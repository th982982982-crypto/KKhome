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HDSD" sheetId="1" state="visible" r:id="rId1"/>
    <sheet xmlns:r="http://schemas.openxmlformats.org/officeDocument/2006/relationships" name="TT_DN" sheetId="2" state="visible" r:id="rId2"/>
    <sheet xmlns:r="http://schemas.openxmlformats.org/officeDocument/2006/relationships" name="DMTK" sheetId="3" state="visible" r:id="rId3"/>
    <sheet xmlns:r="http://schemas.openxmlformats.org/officeDocument/2006/relationships" name="DM_DT" sheetId="4" state="visible" r:id="rId4"/>
    <sheet xmlns:r="http://schemas.openxmlformats.org/officeDocument/2006/relationships" name="SDDK" sheetId="5" state="visible" r:id="rId5"/>
    <sheet xmlns:r="http://schemas.openxmlformats.org/officeDocument/2006/relationships" name="NKC" sheetId="6" state="visible" r:id="rId6"/>
    <sheet xmlns:r="http://schemas.openxmlformats.org/officeDocument/2006/relationships" name="CDPS" sheetId="7" state="visible" r:id="rId7"/>
    <sheet xmlns:r="http://schemas.openxmlformats.org/officeDocument/2006/relationships" name="SOCAI" sheetId="8" state="visible" r:id="rId8"/>
    <sheet xmlns:r="http://schemas.openxmlformats.org/officeDocument/2006/relationships" name="CONGNO" sheetId="9" state="visible" r:id="rId9"/>
    <sheet xmlns:r="http://schemas.openxmlformats.org/officeDocument/2006/relationships" name="B01" sheetId="10" state="visible" r:id="rId10"/>
    <sheet xmlns:r="http://schemas.openxmlformats.org/officeDocument/2006/relationships" name="B02" sheetId="11" state="visible" r:id="rId11"/>
    <sheet xmlns:r="http://schemas.openxmlformats.org/officeDocument/2006/relationships" name="B03_TT" sheetId="12" state="visible" r:id="rId12"/>
    <sheet xmlns:r="http://schemas.openxmlformats.org/officeDocument/2006/relationships" name="B03_GT" sheetId="13" state="visible" r:id="rId13"/>
    <sheet xmlns:r="http://schemas.openxmlformats.org/officeDocument/2006/relationships" name="TM" sheetId="14" state="visible" r:id="rId14"/>
    <sheet xmlns:r="http://schemas.openxmlformats.org/officeDocument/2006/relationships" name="LCTT_MAP" sheetId="15" state="visible" r:id="rId15"/>
    <sheet xmlns:r="http://schemas.openxmlformats.org/officeDocument/2006/relationships" name="KIEMTRA" sheetId="16" state="visible" r:id="rId16"/>
  </sheets>
  <definedNames>
    <definedName name="DEN_NGAY" hidden="0" function="0" vbProcedure="0">TT_DN!$C$9</definedName>
    <definedName name="SC_TK" hidden="0" function="0" vbProcedure="0">SOCAI!$B$5</definedName>
    <definedName name="TU_NGAY" hidden="0" function="0" vbProcedure="0">TT_DN!$C$8</definedName>
    <definedName name="_xlnm._FilterDatabase" localSheetId="5" hidden="1">'NKC'!$A$6:$L$3006</definedName>
    <definedName name="_xlnm.Print_Titles" localSheetId="5">'NKC'!$6:$6</definedName>
    <definedName name="_xlnm.Print_Area" localSheetId="5">'NKC'!$A$1:$L$3006</definedName>
    <definedName name="_xlnm.Print_Titles" localSheetId="6">'CDPS'!$6:$7</definedName>
    <definedName name="_xlnm.Print_Area" localSheetId="6">'CDPS'!$A$1:$I$252</definedName>
    <definedName name="_xlnm.Print_Titles" localSheetId="7">'SOCAI'!$7:$7</definedName>
    <definedName name="_xlnm.Print_Area" localSheetId="9">'B01'!$A$1:$F$120</definedName>
  </definedNames>
  <calcPr calcId="124519" fullCalcOnLoad="1" refMode="A1" iterate="0" iterateCount="100" iterateDelta="0.0001"/>
</workbook>
</file>

<file path=xl/styles.xml><?xml version="1.0" encoding="utf-8"?>
<styleSheet xmlns="http://schemas.openxmlformats.org/spreadsheetml/2006/main">
  <numFmts count="3">
    <numFmt numFmtId="164" formatCode="dd/mm/yyyy"/>
    <numFmt numFmtId="165" formatCode="#,##0;\(#,##0\)"/>
    <numFmt numFmtId="166" formatCode="#,##0;\(#,##0\);\-"/>
  </numFmts>
  <fonts count="14">
    <font>
      <name val="Calibri"/>
      <charset val="1"/>
      <family val="2"/>
      <color theme="1"/>
      <sz val="11"/>
    </font>
    <font>
      <name val="Arial"/>
      <family val="0"/>
      <sz val="10"/>
    </font>
    <font>
      <name val="Arial"/>
      <family val="0"/>
      <sz val="10"/>
    </font>
    <font>
      <name val="Arial"/>
      <family val="0"/>
      <sz val="10"/>
    </font>
    <font>
      <name val="Times New Roman"/>
      <charset val="1"/>
      <family val="0"/>
      <b val="1"/>
      <sz val="14"/>
    </font>
    <font>
      <name val="Times New Roman"/>
      <charset val="1"/>
      <family val="0"/>
      <b val="1"/>
      <color rgb="FFFFFFFF"/>
      <sz val="11"/>
    </font>
    <font>
      <name val="Times New Roman"/>
      <charset val="1"/>
      <family val="0"/>
      <color rgb="FF0000FF"/>
      <sz val="11"/>
    </font>
    <font>
      <name val="Times New Roman"/>
      <charset val="1"/>
      <family val="0"/>
      <b val="1"/>
      <sz val="12"/>
    </font>
    <font>
      <name val="Times New Roman"/>
      <charset val="1"/>
      <family val="0"/>
      <sz val="11"/>
    </font>
    <font>
      <name val="Times New Roman"/>
      <charset val="1"/>
      <family val="0"/>
      <i val="1"/>
      <sz val="11"/>
    </font>
    <font>
      <name val="Times New Roman"/>
      <charset val="1"/>
      <family val="0"/>
      <b val="1"/>
      <sz val="11"/>
    </font>
    <font>
      <name val="Times New Roman"/>
      <charset val="1"/>
      <family val="0"/>
      <i val="1"/>
      <color rgb="FF808080"/>
      <sz val="9"/>
    </font>
    <font>
      <name val="Times New Roman"/>
      <charset val="1"/>
      <family val="0"/>
      <b val="1"/>
      <color rgb="FFCC0000"/>
      <sz val="11"/>
    </font>
    <font>
      <name val="Times New Roman"/>
      <charset val="1"/>
      <family val="0"/>
      <color rgb="FF008000"/>
      <sz val="11"/>
    </font>
  </fonts>
  <fills count="7">
    <fill>
      <patternFill/>
    </fill>
    <fill>
      <patternFill patternType="gray125"/>
    </fill>
    <fill>
      <patternFill patternType="solid">
        <fgColor rgb="FF305496"/>
        <bgColor rgb="FF666699"/>
      </patternFill>
    </fill>
    <fill>
      <patternFill patternType="solid">
        <fgColor rgb="FFFFF2CC"/>
        <bgColor rgb="FFF2F2F2"/>
      </patternFill>
    </fill>
    <fill>
      <patternFill patternType="solid">
        <fgColor rgb="FFD9E1F2"/>
        <bgColor rgb="FFE2EFDA"/>
      </patternFill>
    </fill>
    <fill>
      <patternFill patternType="solid">
        <fgColor rgb="FFF2F2F2"/>
        <bgColor rgb="FFE2EFDA"/>
      </patternFill>
    </fill>
    <fill>
      <patternFill patternType="solid">
        <fgColor rgb="FFE2EFDA"/>
        <bgColor rgb="FFF2F2F2"/>
      </patternFill>
    </fill>
  </fills>
  <borders count="8">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52">
    <xf numFmtId="0" fontId="0" fillId="0" borderId="0" applyAlignment="1" pivotButton="0" quotePrefix="0" xfId="0">
      <alignment horizontal="general" vertical="bottom"/>
    </xf>
    <xf numFmtId="0" fontId="4" fillId="0" borderId="0" applyAlignment="1" pivotButton="0" quotePrefix="0" xfId="0">
      <alignment horizontal="left" vertical="center" wrapText="1"/>
    </xf>
    <xf numFmtId="0" fontId="5" fillId="2" borderId="0" applyAlignment="1" pivotButton="0" quotePrefix="0" xfId="0">
      <alignment horizontal="left" vertical="center" wrapText="1"/>
    </xf>
    <xf numFmtId="0" fontId="6" fillId="3" borderId="0" applyAlignment="1" applyProtection="1" pivotButton="0" quotePrefix="0" xfId="0">
      <alignment horizontal="left" vertical="center" wrapText="1"/>
      <protection locked="0" hidden="0"/>
    </xf>
    <xf numFmtId="0" fontId="7" fillId="4" borderId="0" applyAlignment="1" pivotButton="0" quotePrefix="0" xfId="0">
      <alignment horizontal="left" vertical="center" wrapText="1"/>
    </xf>
    <xf numFmtId="0" fontId="8" fillId="0" borderId="0" applyAlignment="1" pivotButton="0" quotePrefix="0" xfId="0">
      <alignment horizontal="left" vertical="top" wrapText="1"/>
    </xf>
    <xf numFmtId="0" fontId="4" fillId="0" borderId="0" applyAlignment="1" pivotButton="0" quotePrefix="0" xfId="0">
      <alignment horizontal="center" vertical="center" wrapText="1"/>
    </xf>
    <xf numFmtId="0" fontId="9" fillId="0" borderId="0" applyAlignment="1" pivotButton="0" quotePrefix="0" xfId="0">
      <alignment horizontal="general" vertical="bottom"/>
    </xf>
    <xf numFmtId="0" fontId="10" fillId="0" borderId="1" applyAlignment="1" pivotButton="0" quotePrefix="0" xfId="0">
      <alignment horizontal="general" vertical="bottom"/>
    </xf>
    <xf numFmtId="0" fontId="6" fillId="3" borderId="1" applyAlignment="1" applyProtection="1" pivotButton="0" quotePrefix="0" xfId="0">
      <alignment horizontal="left" vertical="center" wrapText="1"/>
      <protection locked="0" hidden="0"/>
    </xf>
    <xf numFmtId="0" fontId="10" fillId="0" borderId="0" applyAlignment="1" pivotButton="0" quotePrefix="0" xfId="0">
      <alignment horizontal="general" vertical="bottom"/>
    </xf>
    <xf numFmtId="0" fontId="8" fillId="0" borderId="0" applyAlignment="1" pivotButton="0" quotePrefix="0" xfId="0">
      <alignment horizontal="general" vertical="bottom"/>
    </xf>
    <xf numFmtId="164" fontId="6" fillId="3" borderId="1" applyAlignment="1" applyProtection="1" pivotButton="0" quotePrefix="0" xfId="0">
      <alignment horizontal="left" vertical="center" wrapText="1"/>
      <protection locked="0" hidden="0"/>
    </xf>
    <xf numFmtId="0" fontId="11" fillId="0" borderId="0" applyAlignment="1" pivotButton="0" quotePrefix="0" xfId="0">
      <alignment horizontal="general" vertical="bottom"/>
    </xf>
    <xf numFmtId="0" fontId="5" fillId="2" borderId="1" applyAlignment="1" pivotButton="0" quotePrefix="0" xfId="0">
      <alignment horizontal="center" vertical="center" wrapText="1"/>
    </xf>
    <xf numFmtId="49" fontId="10" fillId="5" borderId="1" applyAlignment="1" pivotButton="0" quotePrefix="0" xfId="0">
      <alignment horizontal="center" vertical="center" wrapText="1"/>
    </xf>
    <xf numFmtId="0" fontId="10" fillId="5" borderId="1" applyAlignment="1" pivotButton="0" quotePrefix="0" xfId="0">
      <alignment horizontal="left" vertical="center" wrapText="1"/>
    </xf>
    <xf numFmtId="0" fontId="8" fillId="0" borderId="1" applyAlignment="1" pivotButton="0" quotePrefix="0" xfId="0">
      <alignment horizontal="center" vertical="center" wrapText="1"/>
    </xf>
    <xf numFmtId="49" fontId="8" fillId="0" borderId="1" applyAlignment="1" pivotButton="0" quotePrefix="0" xfId="0">
      <alignment horizontal="center" vertical="center" wrapText="1"/>
    </xf>
    <xf numFmtId="0" fontId="8" fillId="0" borderId="1" applyAlignment="1" pivotButton="0" quotePrefix="0" xfId="0">
      <alignment horizontal="left" vertical="center" wrapText="1"/>
    </xf>
    <xf numFmtId="0" fontId="11" fillId="0" borderId="1" applyAlignment="1" pivotButton="0" quotePrefix="0" xfId="0">
      <alignment horizontal="left" vertical="center" wrapText="1"/>
    </xf>
    <xf numFmtId="49" fontId="6" fillId="3" borderId="1" applyAlignment="1" applyProtection="1" pivotButton="0" quotePrefix="0" xfId="0">
      <alignment horizontal="center" vertical="center" wrapText="1"/>
      <protection locked="0" hidden="0"/>
    </xf>
    <xf numFmtId="49" fontId="6" fillId="3" borderId="1" applyAlignment="1" applyProtection="1" pivotButton="0" quotePrefix="0" xfId="0">
      <alignment horizontal="left" vertical="center" wrapText="1"/>
      <protection locked="0" hidden="0"/>
    </xf>
    <xf numFmtId="0" fontId="6" fillId="3" borderId="1" applyAlignment="1" applyProtection="1" pivotButton="0" quotePrefix="0" xfId="0">
      <alignment horizontal="center" vertical="center" wrapText="1"/>
      <protection locked="0" hidden="0"/>
    </xf>
    <xf numFmtId="49" fontId="6" fillId="0" borderId="1" applyAlignment="1" applyProtection="1" pivotButton="0" quotePrefix="0" xfId="0">
      <alignment horizontal="center" vertical="center" wrapText="1"/>
      <protection locked="0" hidden="0"/>
    </xf>
    <xf numFmtId="49" fontId="6" fillId="0" borderId="1" applyAlignment="1" applyProtection="1" pivotButton="0" quotePrefix="0" xfId="0">
      <alignment horizontal="left" vertical="center" wrapText="1"/>
      <protection locked="0" hidden="0"/>
    </xf>
    <xf numFmtId="0" fontId="10" fillId="0" borderId="0" applyAlignment="1" pivotButton="0" quotePrefix="0" xfId="0">
      <alignment horizontal="right" vertical="center"/>
    </xf>
    <xf numFmtId="165" fontId="10" fillId="6" borderId="1" applyAlignment="1" pivotButton="0" quotePrefix="0" xfId="0">
      <alignment horizontal="right" vertical="center"/>
    </xf>
    <xf numFmtId="0" fontId="10" fillId="0" borderId="0" applyAlignment="1" pivotButton="0" quotePrefix="0" xfId="0">
      <alignment horizontal="left" vertical="center" wrapText="1"/>
    </xf>
    <xf numFmtId="166" fontId="6" fillId="3" borderId="1" applyAlignment="1" applyProtection="1" pivotButton="0" quotePrefix="0" xfId="0">
      <alignment horizontal="right" vertical="center"/>
      <protection locked="0" hidden="0"/>
    </xf>
    <xf numFmtId="0" fontId="8" fillId="0" borderId="1" applyAlignment="1" applyProtection="1" pivotButton="0" quotePrefix="0" xfId="0">
      <alignment horizontal="left" vertical="center" wrapText="1"/>
      <protection locked="0" hidden="0"/>
    </xf>
    <xf numFmtId="166" fontId="10" fillId="5" borderId="1" applyAlignment="1" pivotButton="0" quotePrefix="0" xfId="0">
      <alignment horizontal="right" vertical="center"/>
    </xf>
    <xf numFmtId="166" fontId="8" fillId="5" borderId="1" applyAlignment="1" pivotButton="0" quotePrefix="0" xfId="0">
      <alignment horizontal="right" vertical="center"/>
    </xf>
    <xf numFmtId="0" fontId="7" fillId="0" borderId="0" applyAlignment="1" pivotButton="0" quotePrefix="0" xfId="0">
      <alignment horizontal="left" vertical="center" wrapText="1"/>
    </xf>
    <xf numFmtId="0" fontId="10" fillId="6" borderId="1" applyAlignment="1" pivotButton="0" quotePrefix="0" xfId="0">
      <alignment horizontal="right" vertical="center"/>
    </xf>
    <xf numFmtId="0" fontId="11" fillId="4" borderId="1" applyAlignment="1" pivotButton="0" quotePrefix="0" xfId="0">
      <alignment horizontal="center" vertical="center" wrapText="1"/>
    </xf>
    <xf numFmtId="164" fontId="6" fillId="0" borderId="1" applyAlignment="1" applyProtection="1" pivotButton="0" quotePrefix="0" xfId="0">
      <alignment horizontal="center" vertical="center" wrapText="1"/>
      <protection locked="0" hidden="0"/>
    </xf>
    <xf numFmtId="165" fontId="6" fillId="0" borderId="1" applyAlignment="1" applyProtection="1" pivotButton="0" quotePrefix="0" xfId="0">
      <alignment horizontal="right" vertical="center"/>
      <protection locked="0" hidden="0"/>
    </xf>
    <xf numFmtId="0" fontId="12" fillId="0" borderId="1" applyAlignment="1" pivotButton="0" quotePrefix="0" xfId="0">
      <alignment horizontal="left" vertical="center" wrapText="1"/>
    </xf>
    <xf numFmtId="0" fontId="11" fillId="0" borderId="0" applyAlignment="1" pivotButton="0" quotePrefix="0" xfId="0">
      <alignment horizontal="center" vertical="center" wrapText="1"/>
    </xf>
    <xf numFmtId="0" fontId="10" fillId="0" borderId="0" applyAlignment="1" pivotButton="0" quotePrefix="0" xfId="0">
      <alignment horizontal="center" vertical="center" wrapText="1"/>
    </xf>
    <xf numFmtId="0" fontId="9" fillId="0" borderId="0" applyAlignment="1" pivotButton="0" quotePrefix="0" xfId="0">
      <alignment horizontal="center" vertical="center" wrapText="1"/>
    </xf>
    <xf numFmtId="0" fontId="11" fillId="0" borderId="1" applyAlignment="1" pivotButton="0" quotePrefix="0" xfId="0">
      <alignment horizontal="center" vertical="center" wrapText="1"/>
    </xf>
    <xf numFmtId="166" fontId="10" fillId="0" borderId="1" applyAlignment="1" pivotButton="0" quotePrefix="0" xfId="0">
      <alignment horizontal="right" vertical="center"/>
    </xf>
    <xf numFmtId="165" fontId="11" fillId="0" borderId="0" applyAlignment="1" pivotButton="0" quotePrefix="0" xfId="0">
      <alignment horizontal="right" vertical="center"/>
    </xf>
    <xf numFmtId="166" fontId="8" fillId="0" borderId="1" applyAlignment="1" pivotButton="0" quotePrefix="0" xfId="0">
      <alignment horizontal="right" vertical="center"/>
    </xf>
    <xf numFmtId="0" fontId="10" fillId="6" borderId="1" applyAlignment="1" pivotButton="0" quotePrefix="0" xfId="0">
      <alignment horizontal="center" vertical="center" wrapText="1"/>
    </xf>
    <xf numFmtId="0" fontId="10" fillId="6" borderId="1" applyAlignment="1" pivotButton="0" quotePrefix="0" xfId="0">
      <alignment horizontal="left" vertical="center" wrapText="1"/>
    </xf>
    <xf numFmtId="0" fontId="10" fillId="0" borderId="0" applyAlignment="1" pivotButton="0" quotePrefix="0" xfId="0">
      <alignment horizontal="left" vertical="center" wrapText="1"/>
    </xf>
    <xf numFmtId="0" fontId="9" fillId="0" borderId="0" applyAlignment="1" pivotButton="0" quotePrefix="0" xfId="0">
      <alignment horizontal="right" vertical="center"/>
    </xf>
    <xf numFmtId="165" fontId="10" fillId="0" borderId="0" applyAlignment="1" pivotButton="0" quotePrefix="0" xfId="0">
      <alignment horizontal="right" vertical="center"/>
    </xf>
    <xf numFmtId="0" fontId="11" fillId="4" borderId="0" applyAlignment="1" pivotButton="0" quotePrefix="0" xfId="0">
      <alignment horizontal="center" vertical="center" wrapText="1"/>
    </xf>
    <xf numFmtId="164" fontId="8" fillId="0" borderId="1" applyAlignment="1" pivotButton="0" quotePrefix="0" xfId="0">
      <alignment horizontal="center" vertical="center" wrapText="1"/>
    </xf>
    <xf numFmtId="165" fontId="8" fillId="0" borderId="1" applyAlignment="1" pivotButton="0" quotePrefix="0" xfId="0">
      <alignment horizontal="right" vertical="center"/>
    </xf>
    <xf numFmtId="0" fontId="10" fillId="4" borderId="1" applyAlignment="1" pivotButton="0" quotePrefix="0" xfId="0">
      <alignment horizontal="center" vertical="center" wrapText="1"/>
    </xf>
    <xf numFmtId="0" fontId="8" fillId="4" borderId="1" applyAlignment="1" pivotButton="0" quotePrefix="0" xfId="0">
      <alignment horizontal="general" vertical="bottom"/>
    </xf>
    <xf numFmtId="0" fontId="10" fillId="4" borderId="1" applyAlignment="1" pivotButton="0" quotePrefix="0" xfId="0">
      <alignment horizontal="left" vertical="center" wrapText="1"/>
    </xf>
    <xf numFmtId="49" fontId="10" fillId="4" borderId="1" applyAlignment="1" pivotButton="0" quotePrefix="0" xfId="0">
      <alignment horizontal="center" vertical="center" wrapText="1"/>
    </xf>
    <xf numFmtId="0" fontId="8" fillId="4" borderId="1" applyAlignment="1" pivotButton="0" quotePrefix="0" xfId="0">
      <alignment horizontal="center" vertical="center" wrapText="1"/>
    </xf>
    <xf numFmtId="166" fontId="10" fillId="4" borderId="1" applyAlignment="1" pivotButton="0" quotePrefix="0" xfId="0">
      <alignment horizontal="right" vertical="center"/>
    </xf>
    <xf numFmtId="0" fontId="8" fillId="0" borderId="1" applyAlignment="1" pivotButton="0" quotePrefix="0" xfId="0">
      <alignment horizontal="general" vertical="bottom"/>
    </xf>
    <xf numFmtId="0" fontId="10" fillId="0" borderId="1" applyAlignment="1" pivotButton="0" quotePrefix="0" xfId="0">
      <alignment horizontal="left" vertical="center" wrapText="1"/>
    </xf>
    <xf numFmtId="49" fontId="10" fillId="0" borderId="1" applyAlignment="1" pivotButton="0" quotePrefix="0" xfId="0">
      <alignment horizontal="center" vertical="center" wrapText="1"/>
    </xf>
    <xf numFmtId="0" fontId="11" fillId="0" borderId="0" applyAlignment="1" pivotButton="0" quotePrefix="0" xfId="0">
      <alignment horizontal="left" vertical="top" wrapText="1"/>
    </xf>
    <xf numFmtId="166" fontId="10" fillId="6" borderId="1" applyAlignment="1" pivotButton="0" quotePrefix="0" xfId="0">
      <alignment horizontal="right" vertical="center"/>
    </xf>
    <xf numFmtId="0" fontId="9" fillId="0" borderId="0" applyAlignment="1" pivotButton="0" quotePrefix="0" xfId="0">
      <alignment horizontal="center" vertical="center" wrapText="1"/>
    </xf>
    <xf numFmtId="0" fontId="8" fillId="0" borderId="0" applyAlignment="1" pivotButton="0" quotePrefix="0" xfId="0">
      <alignment horizontal="center" vertical="center" wrapText="1"/>
    </xf>
    <xf numFmtId="0" fontId="11" fillId="0" borderId="0" applyAlignment="1" pivotButton="0" quotePrefix="0" xfId="0">
      <alignment horizontal="left" vertical="top" wrapText="1"/>
    </xf>
    <xf numFmtId="0" fontId="10" fillId="0" borderId="0" applyAlignment="1" pivotButton="0" quotePrefix="0" xfId="0">
      <alignment horizontal="center" vertical="center" wrapText="1"/>
    </xf>
    <xf numFmtId="166" fontId="13" fillId="0" borderId="1" applyAlignment="1" pivotButton="0" quotePrefix="0" xfId="0">
      <alignment horizontal="right" vertical="center"/>
    </xf>
    <xf numFmtId="0" fontId="7" fillId="4" borderId="0" applyAlignment="1" pivotButton="0" quotePrefix="0" xfId="0">
      <alignment horizontal="left" vertical="center" wrapText="1"/>
    </xf>
    <xf numFmtId="0" fontId="10" fillId="0" borderId="0" applyAlignment="1" pivotButton="0" quotePrefix="0" xfId="0">
      <alignment horizontal="left" vertical="top" wrapText="1"/>
    </xf>
    <xf numFmtId="0" fontId="6" fillId="3" borderId="0" applyAlignment="1" applyProtection="1" pivotButton="0" quotePrefix="0" xfId="0">
      <alignment horizontal="left" vertical="top" wrapText="1"/>
      <protection locked="0" hidden="0"/>
    </xf>
    <xf numFmtId="0" fontId="8" fillId="0" borderId="0" applyAlignment="1" pivotButton="0" quotePrefix="0" xfId="0">
      <alignment horizontal="left" vertical="top" wrapText="1"/>
    </xf>
    <xf numFmtId="166" fontId="8" fillId="6" borderId="1" applyAlignment="1" pivotButton="0" quotePrefix="0" xfId="0">
      <alignment horizontal="right" vertical="center"/>
    </xf>
    <xf numFmtId="0" fontId="7" fillId="0" borderId="0" applyAlignment="1" pivotButton="0" quotePrefix="0" xfId="0">
      <alignment horizontal="center" vertical="center" wrapText="1"/>
    </xf>
    <xf numFmtId="0" fontId="10" fillId="0" borderId="1" applyAlignment="1" pivotButton="0" quotePrefix="0" xfId="0">
      <alignment horizontal="center" vertical="center"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left" vertical="center" wrapText="1"/>
    </xf>
    <xf numFmtId="0" fontId="5" fillId="2" borderId="0" applyAlignment="1" pivotButton="0" quotePrefix="0" xfId="0">
      <alignment horizontal="left" vertical="center" wrapText="1"/>
    </xf>
    <xf numFmtId="0" fontId="6" fillId="3" borderId="0" applyAlignment="1" applyProtection="1" pivotButton="0" quotePrefix="0" xfId="0">
      <alignment horizontal="left" vertical="center" wrapText="1"/>
      <protection locked="0" hidden="0"/>
    </xf>
    <xf numFmtId="0" fontId="7" fillId="4" borderId="0" applyAlignment="1" pivotButton="0" quotePrefix="0" xfId="0">
      <alignment horizontal="left" vertical="center" wrapText="1"/>
    </xf>
    <xf numFmtId="0" fontId="8" fillId="0" borderId="0" applyAlignment="1" pivotButton="0" quotePrefix="0" xfId="0">
      <alignment horizontal="left" vertical="top" wrapText="1"/>
    </xf>
    <xf numFmtId="0" fontId="4" fillId="0" borderId="0" applyAlignment="1" pivotButton="0" quotePrefix="0" xfId="0">
      <alignment horizontal="center" vertical="center" wrapText="1"/>
    </xf>
    <xf numFmtId="0" fontId="9" fillId="0" borderId="0" applyAlignment="1" pivotButton="0" quotePrefix="0" xfId="0">
      <alignment horizontal="general" vertical="bottom"/>
    </xf>
    <xf numFmtId="0" fontId="10" fillId="0" borderId="1" applyAlignment="1" pivotButton="0" quotePrefix="0" xfId="0">
      <alignment horizontal="general" vertical="bottom"/>
    </xf>
    <xf numFmtId="0" fontId="6" fillId="3" borderId="1" applyAlignment="1" applyProtection="1" pivotButton="0" quotePrefix="0" xfId="0">
      <alignment horizontal="left" vertical="center" wrapText="1"/>
      <protection locked="0" hidden="0"/>
    </xf>
    <xf numFmtId="0" fontId="10" fillId="0" borderId="0" applyAlignment="1" pivotButton="0" quotePrefix="0" xfId="0">
      <alignment horizontal="general" vertical="bottom"/>
    </xf>
    <xf numFmtId="0" fontId="8" fillId="0" borderId="0" applyAlignment="1" pivotButton="0" quotePrefix="0" xfId="0">
      <alignment horizontal="general" vertical="bottom"/>
    </xf>
    <xf numFmtId="164" fontId="6" fillId="3" borderId="1" applyAlignment="1" applyProtection="1" pivotButton="0" quotePrefix="0" xfId="0">
      <alignment horizontal="left" vertical="center" wrapText="1"/>
      <protection locked="0" hidden="0"/>
    </xf>
    <xf numFmtId="0" fontId="11" fillId="0" borderId="0" applyAlignment="1" pivotButton="0" quotePrefix="0" xfId="0">
      <alignment horizontal="general" vertical="bottom"/>
    </xf>
    <xf numFmtId="0" fontId="5" fillId="2" borderId="1" applyAlignment="1" pivotButton="0" quotePrefix="0" xfId="0">
      <alignment horizontal="center" vertical="center" wrapText="1"/>
    </xf>
    <xf numFmtId="49" fontId="10" fillId="5" borderId="1" applyAlignment="1" pivotButton="0" quotePrefix="0" xfId="0">
      <alignment horizontal="center" vertical="center" wrapText="1"/>
    </xf>
    <xf numFmtId="0" fontId="10" fillId="5" borderId="1" applyAlignment="1" pivotButton="0" quotePrefix="0" xfId="0">
      <alignment horizontal="left" vertical="center" wrapText="1"/>
    </xf>
    <xf numFmtId="0" fontId="8" fillId="0" borderId="1" applyAlignment="1" pivotButton="0" quotePrefix="0" xfId="0">
      <alignment horizontal="center" vertical="center" wrapText="1"/>
    </xf>
    <xf numFmtId="49" fontId="8" fillId="0" borderId="1" applyAlignment="1" pivotButton="0" quotePrefix="0" xfId="0">
      <alignment horizontal="center" vertical="center" wrapText="1"/>
    </xf>
    <xf numFmtId="0" fontId="8" fillId="0" borderId="1" applyAlignment="1" pivotButton="0" quotePrefix="0" xfId="0">
      <alignment horizontal="left" vertical="center" wrapText="1"/>
    </xf>
    <xf numFmtId="0" fontId="11" fillId="0" borderId="1" applyAlignment="1" pivotButton="0" quotePrefix="0" xfId="0">
      <alignment horizontal="left" vertical="center" wrapText="1"/>
    </xf>
    <xf numFmtId="49" fontId="6" fillId="3" borderId="1" applyAlignment="1" applyProtection="1" pivotButton="0" quotePrefix="0" xfId="0">
      <alignment horizontal="center" vertical="center" wrapText="1"/>
      <protection locked="0" hidden="0"/>
    </xf>
    <xf numFmtId="49" fontId="6" fillId="3" borderId="1" applyAlignment="1" applyProtection="1" pivotButton="0" quotePrefix="0" xfId="0">
      <alignment horizontal="left" vertical="center" wrapText="1"/>
      <protection locked="0" hidden="0"/>
    </xf>
    <xf numFmtId="0" fontId="6" fillId="3" borderId="1" applyAlignment="1" applyProtection="1" pivotButton="0" quotePrefix="0" xfId="0">
      <alignment horizontal="center" vertical="center" wrapText="1"/>
      <protection locked="0" hidden="0"/>
    </xf>
    <xf numFmtId="49" fontId="6" fillId="0" borderId="1" applyAlignment="1" applyProtection="1" pivotButton="0" quotePrefix="0" xfId="0">
      <alignment horizontal="center" vertical="center" wrapText="1"/>
      <protection locked="0" hidden="0"/>
    </xf>
    <xf numFmtId="49" fontId="6" fillId="0" borderId="1" applyAlignment="1" applyProtection="1" pivotButton="0" quotePrefix="0" xfId="0">
      <alignment horizontal="left" vertical="center" wrapText="1"/>
      <protection locked="0" hidden="0"/>
    </xf>
    <xf numFmtId="0" fontId="10" fillId="0" borderId="0" applyAlignment="1" pivotButton="0" quotePrefix="0" xfId="0">
      <alignment horizontal="right" vertical="center"/>
    </xf>
    <xf numFmtId="165" fontId="10" fillId="6" borderId="1" applyAlignment="1" pivotButton="0" quotePrefix="0" xfId="0">
      <alignment horizontal="right" vertical="center"/>
    </xf>
    <xf numFmtId="0" fontId="10" fillId="0" borderId="0" applyAlignment="1" pivotButton="0" quotePrefix="0" xfId="0">
      <alignment horizontal="left" vertical="center" wrapText="1"/>
    </xf>
    <xf numFmtId="166" fontId="6" fillId="3" borderId="1" applyAlignment="1" applyProtection="1" pivotButton="0" quotePrefix="0" xfId="0">
      <alignment horizontal="right" vertical="center"/>
      <protection locked="0" hidden="0"/>
    </xf>
    <xf numFmtId="0" fontId="8" fillId="0" borderId="1" applyAlignment="1" applyProtection="1" pivotButton="0" quotePrefix="0" xfId="0">
      <alignment horizontal="left" vertical="center" wrapText="1"/>
      <protection locked="0" hidden="0"/>
    </xf>
    <xf numFmtId="166" fontId="10" fillId="5" borderId="1" applyAlignment="1" pivotButton="0" quotePrefix="0" xfId="0">
      <alignment horizontal="right" vertical="center"/>
    </xf>
    <xf numFmtId="166" fontId="8" fillId="5" borderId="1" applyAlignment="1" pivotButton="0" quotePrefix="0" xfId="0">
      <alignment horizontal="right" vertical="center"/>
    </xf>
    <xf numFmtId="0" fontId="7" fillId="0" borderId="0" applyAlignment="1" pivotButton="0" quotePrefix="0" xfId="0">
      <alignment horizontal="left" vertical="center" wrapText="1"/>
    </xf>
    <xf numFmtId="0" fontId="10" fillId="6" borderId="1" applyAlignment="1" pivotButton="0" quotePrefix="0" xfId="0">
      <alignment horizontal="right" vertical="center"/>
    </xf>
    <xf numFmtId="0" fontId="11" fillId="4" borderId="1" applyAlignment="1" pivotButton="0" quotePrefix="0" xfId="0">
      <alignment horizontal="center" vertical="center" wrapText="1"/>
    </xf>
    <xf numFmtId="164" fontId="6" fillId="0" borderId="1" applyAlignment="1" applyProtection="1" pivotButton="0" quotePrefix="0" xfId="0">
      <alignment horizontal="center" vertical="center" wrapText="1"/>
      <protection locked="0" hidden="0"/>
    </xf>
    <xf numFmtId="165" fontId="6" fillId="0" borderId="1" applyAlignment="1" applyProtection="1" pivotButton="0" quotePrefix="0" xfId="0">
      <alignment horizontal="right" vertical="center"/>
      <protection locked="0" hidden="0"/>
    </xf>
    <xf numFmtId="0" fontId="12" fillId="0" borderId="1" applyAlignment="1" pivotButton="0" quotePrefix="0" xfId="0">
      <alignment horizontal="left" vertical="center" wrapText="1"/>
    </xf>
    <xf numFmtId="0" fontId="11" fillId="0" borderId="0" applyAlignment="1" pivotButton="0" quotePrefix="0" xfId="0">
      <alignment horizontal="center" vertical="center" wrapText="1"/>
    </xf>
    <xf numFmtId="0" fontId="10" fillId="0" borderId="0" applyAlignment="1" pivotButton="0" quotePrefix="0" xfId="0">
      <alignment horizontal="center" vertical="center" wrapText="1"/>
    </xf>
    <xf numFmtId="0" fontId="9" fillId="0" borderId="0" applyAlignment="1" pivotButton="0" quotePrefix="0" xfId="0">
      <alignment horizontal="center" vertical="center" wrapText="1"/>
    </xf>
    <xf numFmtId="0" fontId="0" fillId="0" borderId="7" pivotButton="0" quotePrefix="0" xfId="0"/>
    <xf numFmtId="0" fontId="0" fillId="0" borderId="4" pivotButton="0" quotePrefix="0" xfId="0"/>
    <xf numFmtId="0" fontId="11" fillId="0" borderId="1" applyAlignment="1" pivotButton="0" quotePrefix="0" xfId="0">
      <alignment horizontal="center" vertical="center" wrapText="1"/>
    </xf>
    <xf numFmtId="166" fontId="10" fillId="0" borderId="1" applyAlignment="1" pivotButton="0" quotePrefix="0" xfId="0">
      <alignment horizontal="right" vertical="center"/>
    </xf>
    <xf numFmtId="165" fontId="11" fillId="0" borderId="0" applyAlignment="1" pivotButton="0" quotePrefix="0" xfId="0">
      <alignment horizontal="right" vertical="center"/>
    </xf>
    <xf numFmtId="166" fontId="8" fillId="0" borderId="1" applyAlignment="1" pivotButton="0" quotePrefix="0" xfId="0">
      <alignment horizontal="right" vertical="center"/>
    </xf>
    <xf numFmtId="0" fontId="10" fillId="6" borderId="1" applyAlignment="1" pivotButton="0" quotePrefix="0" xfId="0">
      <alignment horizontal="center" vertical="center" wrapText="1"/>
    </xf>
    <xf numFmtId="0" fontId="10" fillId="6" borderId="1" applyAlignment="1" pivotButton="0" quotePrefix="0" xfId="0">
      <alignment horizontal="left" vertical="center" wrapText="1"/>
    </xf>
    <xf numFmtId="0" fontId="9" fillId="0" borderId="0" applyAlignment="1" pivotButton="0" quotePrefix="0" xfId="0">
      <alignment horizontal="right" vertical="center"/>
    </xf>
    <xf numFmtId="165" fontId="10" fillId="0" borderId="0" applyAlignment="1" pivotButton="0" quotePrefix="0" xfId="0">
      <alignment horizontal="right" vertical="center"/>
    </xf>
    <xf numFmtId="0" fontId="11" fillId="4" borderId="0" applyAlignment="1" pivotButton="0" quotePrefix="0" xfId="0">
      <alignment horizontal="center" vertical="center" wrapText="1"/>
    </xf>
    <xf numFmtId="164" fontId="8" fillId="0" borderId="1" applyAlignment="1" pivotButton="0" quotePrefix="0" xfId="0">
      <alignment horizontal="center" vertical="center" wrapText="1"/>
    </xf>
    <xf numFmtId="165" fontId="8" fillId="0" borderId="1" applyAlignment="1" pivotButton="0" quotePrefix="0" xfId="0">
      <alignment horizontal="right" vertical="center"/>
    </xf>
    <xf numFmtId="0" fontId="10" fillId="4" borderId="1" applyAlignment="1" pivotButton="0" quotePrefix="0" xfId="0">
      <alignment horizontal="center" vertical="center" wrapText="1"/>
    </xf>
    <xf numFmtId="0" fontId="8" fillId="4" borderId="1" applyAlignment="1" pivotButton="0" quotePrefix="0" xfId="0">
      <alignment horizontal="general" vertical="bottom"/>
    </xf>
    <xf numFmtId="0" fontId="10" fillId="4" borderId="1" applyAlignment="1" pivotButton="0" quotePrefix="0" xfId="0">
      <alignment horizontal="left" vertical="center" wrapText="1"/>
    </xf>
    <xf numFmtId="49" fontId="10" fillId="4" borderId="1" applyAlignment="1" pivotButton="0" quotePrefix="0" xfId="0">
      <alignment horizontal="center" vertical="center" wrapText="1"/>
    </xf>
    <xf numFmtId="0" fontId="8" fillId="4" borderId="1" applyAlignment="1" pivotButton="0" quotePrefix="0" xfId="0">
      <alignment horizontal="center" vertical="center" wrapText="1"/>
    </xf>
    <xf numFmtId="166" fontId="10" fillId="4" borderId="1" applyAlignment="1" pivotButton="0" quotePrefix="0" xfId="0">
      <alignment horizontal="right" vertical="center"/>
    </xf>
    <xf numFmtId="0" fontId="8" fillId="0" borderId="1" applyAlignment="1" pivotButton="0" quotePrefix="0" xfId="0">
      <alignment horizontal="general" vertical="bottom"/>
    </xf>
    <xf numFmtId="0" fontId="10" fillId="0" borderId="1" applyAlignment="1" pivotButton="0" quotePrefix="0" xfId="0">
      <alignment horizontal="left" vertical="center" wrapText="1"/>
    </xf>
    <xf numFmtId="49" fontId="10" fillId="0" borderId="1" applyAlignment="1" pivotButton="0" quotePrefix="0" xfId="0">
      <alignment horizontal="center" vertical="center" wrapText="1"/>
    </xf>
    <xf numFmtId="0" fontId="11" fillId="0" borderId="0" applyAlignment="1" pivotButton="0" quotePrefix="0" xfId="0">
      <alignment horizontal="left" vertical="top" wrapText="1"/>
    </xf>
    <xf numFmtId="166" fontId="10" fillId="6" borderId="1" applyAlignment="1" pivotButton="0" quotePrefix="0" xfId="0">
      <alignment horizontal="right" vertical="center"/>
    </xf>
    <xf numFmtId="0" fontId="8" fillId="0" borderId="0" applyAlignment="1" pivotButton="0" quotePrefix="0" xfId="0">
      <alignment horizontal="center" vertical="center" wrapText="1"/>
    </xf>
    <xf numFmtId="166" fontId="13" fillId="0" borderId="1" applyAlignment="1" pivotButton="0" quotePrefix="0" xfId="0">
      <alignment horizontal="right" vertical="center"/>
    </xf>
    <xf numFmtId="0" fontId="10" fillId="0" borderId="0" applyAlignment="1" pivotButton="0" quotePrefix="0" xfId="0">
      <alignment horizontal="left" vertical="top" wrapText="1"/>
    </xf>
    <xf numFmtId="0" fontId="6" fillId="3" borderId="0" applyAlignment="1" applyProtection="1" pivotButton="0" quotePrefix="0" xfId="0">
      <alignment horizontal="left" vertical="top" wrapText="1"/>
      <protection locked="0" hidden="0"/>
    </xf>
    <xf numFmtId="0" fontId="0" fillId="0" borderId="0" applyProtection="1" pivotButton="0" quotePrefix="0" xfId="0">
      <protection locked="0" hidden="0"/>
    </xf>
    <xf numFmtId="166" fontId="8" fillId="6" borderId="1" applyAlignment="1" pivotButton="0" quotePrefix="0" xfId="0">
      <alignment horizontal="right" vertical="center"/>
    </xf>
    <xf numFmtId="0" fontId="7" fillId="0" borderId="0" applyAlignment="1" pivotButton="0" quotePrefix="0" xfId="0">
      <alignment horizontal="center" vertical="center" wrapText="1"/>
    </xf>
    <xf numFmtId="0" fontId="10" fillId="0" borderId="1" applyAlignment="1" pivotButton="0" quotePrefix="0" xfId="0">
      <alignment horizontal="center"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8">
    <dxf>
      <font>
        <name val="Times New Roman"/>
        <charset val="1"/>
        <family val="0"/>
        <b val="1"/>
        <color rgb="FFCC0000"/>
        <sz val="11"/>
      </font>
      <fill>
        <patternFill>
          <bgColor rgb="FFFCE4EC"/>
        </patternFill>
      </fill>
    </dxf>
    <dxf>
      <fill>
        <patternFill patternType="solid">
          <fgColor rgb="FF305496"/>
          <bgColor rgb="FF000000"/>
        </patternFill>
      </fill>
    </dxf>
    <dxf>
      <fill>
        <patternFill patternType="solid">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CC0000"/>
          <bgColor rgb="FF000000"/>
        </patternFill>
      </fill>
    </dxf>
    <dxf>
      <fill>
        <patternFill>
          <bgColor rgb="FFFCE4EC"/>
        </patternFill>
      </fill>
    </dxf>
    <dxf>
      <font>
        <name val="Times New Roman"/>
        <charset val="1"/>
        <family val="0"/>
        <b val="1"/>
        <color rgb="FF008000"/>
        <sz val="11"/>
      </font>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EC"/>
      <rgbColor rgb="FF3366FF"/>
      <rgbColor rgb="FF33CCCC"/>
      <rgbColor rgb="FF99CC00"/>
      <rgbColor rgb="FFFFCC00"/>
      <rgbColor rgb="FFFF9900"/>
      <rgbColor rgb="FFFF6600"/>
      <rgbColor rgb="FF666699"/>
      <rgbColor rgb="FF70AD47"/>
      <rgbColor rgb="FF003366"/>
      <rgbColor rgb="FF339966"/>
      <rgbColor rgb="FF003300"/>
      <rgbColor rgb="FF333300"/>
      <rgbColor rgb="FF993300"/>
      <rgbColor rgb="FF993366"/>
      <rgbColor rgb="FF305496"/>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FF808080"/>
    <outlinePr summaryBelow="1" summaryRight="1"/>
    <pageSetUpPr fitToPage="1"/>
  </sheetPr>
  <dimension ref="A1:B36"/>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77" min="1" max="1"/>
    <col width="120" customWidth="1" style="77" min="2" max="2"/>
  </cols>
  <sheetData>
    <row r="1"/>
    <row r="2" ht="17.35" customHeight="1" s="78">
      <c r="B2" s="79" t="inlineStr">
        <is>
          <t>HƯỚNG DẪN SỬ DỤNG PHẦN MỀM KẾ TOÁN EXCEL — CHẾ ĐỘ KẾ TOÁN TT 99/2025/TT-BTC</t>
        </is>
      </c>
    </row>
    <row r="3" ht="24" customHeight="1" s="78">
      <c r="B3" s="80" t="inlineStr">
        <is>
          <t xml:space="preserve">  Xây dựng &amp; phát hành bởi:  KK HOME  —  Kế toán · Kiểm toán · Tư vấn Thuế</t>
        </is>
      </c>
    </row>
    <row r="4" ht="15" customHeight="1" s="78">
      <c r="B4" s="81" t="inlineStr">
        <is>
          <t>Liên hệ hỗ trợ: [điền SĐT/Zalo · Email · Website/Fanpage của KK HOME tại đây]</t>
        </is>
      </c>
    </row>
    <row r="5"/>
    <row r="6" ht="15" customHeight="1" s="78">
      <c r="B6" s="82" t="inlineStr">
        <is>
          <t>GIỚI THIỆU</t>
        </is>
      </c>
    </row>
    <row r="7" ht="45" customHeight="1" s="78">
      <c r="B7" s="83" t="inlineStr">
        <is>
          <t>File này là sổ kế toán + báo cáo tài chính hoàn chỉnh cho doanh nghiệp quy mô vừa và nhỏ, áp dụng Chế độ kế toán doanh nghiệp theo Thông tư 99/2025/TT-BTC (hiệu lực 01/01/2026, thay thế TT 200/2014), hình thức Nhật ký chung, thuế GTGT khấu trừ. Một file = một năm tài chính.</t>
        </is>
      </c>
    </row>
    <row r="8" ht="30" customHeight="1" s="78">
      <c r="B8" s="83" t="inlineStr">
        <is>
          <t>Nguyên tắc màu: Ô VÀNG = nhập liệu. Ô TRẮNG = công thức tự động, KHÔNG sửa. Các sheet đã được bảo vệ không mật khẩu — nếu thật sự cần sửa công thức: Review/Xem lại → Unprotect Sheet.</t>
        </is>
      </c>
    </row>
    <row r="9" ht="15" customHeight="1" s="78">
      <c r="B9" s="82" t="inlineStr">
        <is>
          <t>QUY TRÌNH 6 BƯỚC</t>
        </is>
      </c>
    </row>
    <row r="10" ht="15.75" customHeight="1" s="78">
      <c r="B10" s="83" t="inlineStr">
        <is>
          <t>Bước 1 — TT_DN: điền tên công ty, MST, địa chỉ, kỳ báo cáo (mặc định cả năm), người ký.</t>
        </is>
      </c>
    </row>
    <row r="11" ht="15.75" customHeight="1" s="78">
      <c r="B11" s="83" t="inlineStr">
        <is>
          <t>Bước 2 — DM_DT: khai báo mã khách hàng (KH...), nhà cung cấp (NCC...) để theo dõi công nợ.</t>
        </is>
      </c>
    </row>
    <row r="12" ht="45" customHeight="1" s="78">
      <c r="B12" s="83" t="inlineStr">
        <is>
          <t>Bước 3 — SDDK: nhập số dư đầu năm theo TK chi tiết; riêng 131/331 nhập theo TỪNG ĐỐI TƯỢNG ở bảng dưới cùng sheet (hệ thống tự cộng lên TK). Ô kiểm tra ở đầu sheet phải báo ✔ CÂN. Doanh nghiệp mới thành lập: bỏ qua, chỉ nhập vốn góp khi phát sinh.</t>
        </is>
      </c>
    </row>
    <row r="13" ht="30" customHeight="1" s="78">
      <c r="B13" s="83" t="inlineStr">
        <is>
          <t>Bước 4 — NKC: nhập chứng từ hằng ngày, mỗi dòng một cặp Nợ/Có (định khoản nhiều TK thì tách nhiều dòng cùng Số chứng từ). Cột 'Kiểm tra dòng' tự cảnh báo lỗi ngay khi nhập.</t>
        </is>
      </c>
    </row>
    <row r="14" ht="30" customHeight="1" s="78">
      <c r="B14" s="83" t="inlineStr">
        <is>
          <t>Bước 5 — Xem sổ &amp; báo cáo: CDPS (cân đối phát sinh), SOCAI (chọn TK bất kỳ), CONGNO (chi tiết 131/331), B01, B02, B03_TT, B03_GT, TM. Tất cả tự động.</t>
        </is>
      </c>
    </row>
    <row r="15" ht="15.75" customHeight="1" s="78">
      <c r="B15" s="83" t="inlineStr">
        <is>
          <t>Bước 6 — KIEMTRA: trước khi in/nộp, mọi dòng phải ✔ Khớp.</t>
        </is>
      </c>
    </row>
    <row r="16" ht="15" customHeight="1" s="78">
      <c r="B16" s="82" t="inlineStr">
        <is>
          <t>NHỮNG QUY TẮC QUAN TRỌNG</t>
        </is>
      </c>
    </row>
    <row r="17" ht="45" customHeight="1" s="78">
      <c r="B17" s="83" t="inlineStr">
        <is>
          <t>1. KHÔNG cần bút toán kết chuyển cuối kỳ (511/632/911...). Báo cáo tự tính KQKD và tự cộng lãi kỳ này vào chỉ tiêu 'LNST chưa phân phối'. Nếu bạn vẫn muốn ghi kết chuyển qua TK 911 theo cách truyền thống, file vẫn cho kết quả đúng (các công thức đã loại trừ đối ứng 911).</t>
        </is>
      </c>
    </row>
    <row r="18" ht="30" customHeight="1" s="78">
      <c r="B18" s="83" t="inlineStr">
        <is>
          <t>2. Bút toán liên quan TK 131, 331 BẮT BUỘC ghi Mã ĐT (mã đối tượng) để phân loại đúng 'Phải thu khách hàng' và 'Người mua trả tiền trước' trên B01.</t>
        </is>
      </c>
    </row>
    <row r="19" ht="45" customHeight="1" s="78">
      <c r="B19" s="83" t="inlineStr">
        <is>
          <t>3. Ghi sổ ở TK chi tiết nhất có trong DMTK (ví dụ 1331, 33311, 6421, 4111, 4212). Muốn mở TK chi tiết riêng (VD 1121 - TGNH Vietcombank): thêm vào cuối DMTK, mã phải bắt đầu bằng mã TK chuẩn. Theo Điều 11 TT99, doanh nghiệp được tự mở TK chi tiết, không phải đăng ký với Bộ Tài chính.</t>
        </is>
      </c>
    </row>
    <row r="20" ht="30" customHeight="1" s="78">
      <c r="B20" s="83" t="inlineStr">
        <is>
          <t>4. Ngày ghi sổ nhập đúng định dạng ngày (dd/mm/yyyy). Số tiền luôn DƯƠNG — chiều Nợ/Có do 2 cột TK quyết định. Bút toán điều chỉnh giảm: ghi đảo TK (không ghi số âm).</t>
        </is>
      </c>
    </row>
    <row r="21" ht="30" customHeight="1" s="78">
      <c r="B21" s="83" t="inlineStr">
        <is>
          <t>5. Không xóa/chèn dòng ở vùng công thức. Hết 3.000 dòng NKC: liên hệ người dựng file hoặc mở file mới cho năm sau.</t>
        </is>
      </c>
    </row>
    <row r="22" ht="15" customHeight="1" s="78">
      <c r="B22" s="82" t="inlineStr">
        <is>
          <t>BÁO CÁO LƯU CHUYỂN TIỀN TỆ</t>
        </is>
      </c>
    </row>
    <row r="23" ht="45" customHeight="1" s="78">
      <c r="B23" s="83" t="inlineStr">
        <is>
          <t>B03_TT (trực tiếp) tự phân loại 100% từ NKC theo TK đối ứng với TK tiền (111/112/113), quy tắc trong sheet LCTT_MAP (sửa được). Trường hợp đặc biệt dùng cột 'Mã LCTT' trên NKC để ép mã: trả tiền mua TSCĐ qua 331 → ghi 21; thu thanh lý TSCĐ qua 711/131 → ghi 22.</t>
        </is>
      </c>
    </row>
    <row r="24" ht="45" customHeight="1" s="78">
      <c r="B24" s="83" t="inlineStr">
        <is>
          <t>B03_GT (gián tiếp) tự tính phần lớn; các ô vàng (điều chỉnh) dùng khi có: thuế GTGT đã trả nằm trong dòng tiền đầu tư, thanh lý TSCĐ, giao dịch phi tiền tệ... Đối chiếu mã 20 hai phương pháp tại sheet KIEMTRA. Khi nộp báo cáo chỉ chọn MỘT phương pháp.</t>
        </is>
      </c>
    </row>
    <row r="25" ht="15" customHeight="1" s="78">
      <c r="B25" s="82" t="inlineStr">
        <is>
          <t>BÁO CÁO TÌNH HÌNH TÀI CHÍNH (B01)</t>
        </is>
      </c>
    </row>
    <row r="26" ht="45" customHeight="1" s="78">
      <c r="B26" s="83" t="inlineStr">
        <is>
          <t>Mặc định toàn bộ số dư được xếp NGẮN HẠN (trừ TSCĐ, XDCB, đầu tư dài hạn...). Khoản mục có kỳ hạn còn lại trên 12 tháng (vay dài hạn, trả trước dài hạn...): dùng bảng 'PHÂN LOẠI LẠI' bên phải sheet B01 — nhập số tiền cần chuyển, tổng cân đối được giữ nguyên.</t>
        </is>
      </c>
    </row>
    <row r="27" ht="30" customHeight="1" s="78">
      <c r="B27" s="83" t="inlineStr">
        <is>
          <t>Các khoản tương đương tiền (tiền gửi kỳ hạn ≤ 3 tháng trên TK 1281): phân loại lại từ mã 123 sang mã 112 bằng bảng này.</t>
        </is>
      </c>
    </row>
    <row r="28" ht="15" customHeight="1" s="78">
      <c r="B28" s="82" t="inlineStr">
        <is>
          <t>THUYẾT MINH (TM)</t>
        </is>
      </c>
    </row>
    <row r="29" ht="30" customHeight="1" s="78">
      <c r="B29" s="83" t="inlineStr">
        <is>
          <t>Các bảng số liệu tự nối từ sổ. Phần chữ (chính sách kế toán, đặc điểm DN...) là ô vàng — sửa cho đúng thực tế doanh nghiệp trước khi in. Mục nào không phát sinh có thể xóa nội dung.</t>
        </is>
      </c>
    </row>
    <row r="30" ht="15" customHeight="1" s="78">
      <c r="B30" s="82" t="inlineStr">
        <is>
          <t>IN SỔ SÁCH &amp; BÁO CÁO</t>
        </is>
      </c>
    </row>
    <row r="31" ht="30" customHeight="1" s="78">
      <c r="B31" s="83" t="inlineStr">
        <is>
          <t>Các sheet đã cài sẵn vùng in khổ A4. File → Print. Sổ NKC in theo vùng có số liệu. Chữ ký cuối báo cáo theo TT99: Người lập biểu — Kế toán trưởng — Người đại diện theo pháp luật.</t>
        </is>
      </c>
    </row>
    <row r="32" ht="15" customHeight="1" s="78">
      <c r="B32" s="82" t="inlineStr">
        <is>
          <t>SỐ LIỆU VÍ DỤ ĐANG CÓ TRONG FILE</t>
        </is>
      </c>
    </row>
    <row r="33" ht="90" customHeight="1" s="78">
      <c r="B33" s="83" t="inlineStr">
        <is>
          <t>File đang chứa bộ số liệu minh họa của 'Công ty TNHH TM &amp; DV An Phát' (56 dòng NKC năm 2026 + số dư đầu năm) để bạn xem cách nhập và cách báo cáo chạy. CÁCH XÓA để dùng thật: (1) NKC — chọn vùng dữ liệu từ dòng 7 đến hết, nhấn Delete (chỉ xóa nội dung, không xóa dòng); (2) SDDK — xóa các ô vàng cột C, D và bảng công nợ đối tượng; (3) DM_DT — thay bằng danh sách đối tượng của bạn; (4) TT_DN — sửa thông tin công ty; (5) B03_GT — xóa các ô vàng điều chỉnh; (6) B02 — xóa cột 'Năm trước' nếu có. Sau khi xóa, mọi báo cáo về 0 và KIEMTRA vẫn phải ✔.</t>
        </is>
      </c>
    </row>
    <row r="34" ht="15" customHeight="1" s="78">
      <c r="B34" s="82" t="inlineStr">
        <is>
          <t>LƯU Ý PHÁP LÝ</t>
        </is>
      </c>
    </row>
    <row r="35" ht="75" customHeight="1" s="78">
      <c r="B35" s="83" t="inlineStr">
        <is>
          <t>Sổ Nhật ký chung trong file được thiết kế lại theo dạng 1 dòng = 1 cặp Nợ/Có để tiện nhập liệu — phù hợp Điều 12 TT 99/2025/TT-BTC (doanh nghiệp được tự thiết kế biểu mẫu sổ kế toán, chỉ cần đầy đủ nội dung chủ yếu theo Luật Kế toán). Mẫu B01-DN, B02-DN, B03-DN, B09-DN dựng theo Phụ lục IV TT99; hệ thống TK theo Phụ lục II TT99. Trước khi phát hành BCTC chính thức, khuyến nghị đối chiếu với văn bản gốc TT 99/2025/TT-BTC và tham vấn kế toán trưởng/đơn vị tư vấn của bạn.</t>
        </is>
      </c>
    </row>
    <row r="36" ht="30" customHeight="1" s="78">
      <c r="B36" s="83" t="inlineStr">
        <is>
          <t>Thuế suất, mức giảm trừ, tỷ lệ BHXH... trong bộ số liệu ví dụ chỉ mang tính minh họa tại thời điểm lập (2026); luôn kiểm tra quy định hiện hành khi hạch toán thật.</t>
        </is>
      </c>
    </row>
  </sheetData>
  <printOptions horizontalCentered="0" verticalCentered="0" headings="0" gridLines="0" gridLinesSet="1"/>
  <pageMargins left="0.75" right="0.75" top="1" bottom="1" header="0.511811023622047" footer="0.5"/>
  <pageSetup orientation="portrait" paperSize="9" scale="100" fitToHeight="0" fitToWidth="1" pageOrder="downThenOver" blackAndWhite="0" draft="0" horizontalDpi="300" verticalDpi="300" copies="1"/>
  <headerFooter differentOddEven="0" differentFirst="0">
    <oddHeader/>
    <oddFooter>&amp;L&amp;8 &amp;K808080Mr Wick Kiểm toán — Phần mềm kế toán TT 99/2025&amp;R&amp;8 &amp;K808080Trang &amp;P/&amp;N</oddFooter>
    <evenHeader/>
    <evenFooter/>
    <firstHeader/>
    <firstFooter/>
  </headerFooter>
</worksheet>
</file>

<file path=xl/worksheets/sheet2.xml><?xml version="1.0" encoding="utf-8"?>
<worksheet xmlns="http://schemas.openxmlformats.org/spreadsheetml/2006/main">
  <sheetPr filterMode="0">
    <outlinePr summaryBelow="1" summaryRight="1"/>
    <pageSetUpPr fitToPage="1"/>
  </sheetPr>
  <dimension ref="A1:E18"/>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 customWidth="1" style="77" min="1" max="1"/>
    <col width="34" customWidth="1" style="77" min="2" max="2"/>
    <col width="52" customWidth="1" style="77" min="3" max="3"/>
    <col width="4" customWidth="1" style="77" min="4" max="4"/>
    <col width="60" customWidth="1" style="77" min="5" max="5"/>
  </cols>
  <sheetData>
    <row r="1"/>
    <row r="2" ht="17.35" customHeight="1" s="78">
      <c r="B2" s="84" t="inlineStr">
        <is>
          <t>THÔNG TIN DOANH NGHIỆP &amp; KỲ BÁO CÁO</t>
        </is>
      </c>
    </row>
    <row r="3" ht="15" customHeight="1" s="78">
      <c r="B3" s="85" t="inlineStr">
        <is>
          <t>Áp dụng Chế độ kế toán doanh nghiệp theo Thông tư 99/2025/TT-BTC (hiệu lực từ 01/01/2026) — Hình thức Nhật ký chung</t>
        </is>
      </c>
    </row>
    <row r="4"/>
    <row r="5" ht="25.35" customHeight="1" s="78">
      <c r="B5" s="86" t="inlineStr">
        <is>
          <t>Tên doanh nghiệp</t>
        </is>
      </c>
      <c r="C5" s="87" t="inlineStr">
        <is>
          <t>CÔNG TY TNHH THƯƠNG MẠI VÀ DỊCH VỤ AN PHÁT</t>
        </is>
      </c>
      <c r="E5" s="88" t="inlineStr">
        <is>
          <t>Hướng dẫn nhanh:</t>
        </is>
      </c>
    </row>
    <row r="6" ht="15" customHeight="1" s="78">
      <c r="B6" s="86" t="inlineStr">
        <is>
          <t>Mã số thuế</t>
        </is>
      </c>
      <c r="C6" s="87" t="inlineStr">
        <is>
          <t>0101234567</t>
        </is>
      </c>
      <c r="E6" s="89" t="inlineStr">
        <is>
          <t>1) Điền thông tin DN và kỳ báo cáo tại các ô vàng bên trái.</t>
        </is>
      </c>
    </row>
    <row r="7" ht="15" customHeight="1" s="78">
      <c r="B7" s="86" t="inlineStr">
        <is>
          <t>Địa chỉ</t>
        </is>
      </c>
      <c r="C7" s="87" t="inlineStr">
        <is>
          <t>Số 25 phố Duy Tân, phường Cầu Giấy, TP. Hà Nội</t>
        </is>
      </c>
      <c r="E7" s="89" t="inlineStr">
        <is>
          <t>2) Nhập số dư đầu năm tại sheet SDDK (chỉ nhập ở TK chi tiết).</t>
        </is>
      </c>
    </row>
    <row r="8" ht="15" customHeight="1" s="78">
      <c r="B8" s="86" t="inlineStr">
        <is>
          <t>Kỳ báo cáo - Từ ngày</t>
        </is>
      </c>
      <c r="C8" s="90" t="n">
        <v>46023</v>
      </c>
      <c r="E8" s="89" t="inlineStr">
        <is>
          <t>3) Nhập chứng từ hằng ngày vào sheet NKC (Nhật ký chung).</t>
        </is>
      </c>
    </row>
    <row r="9" ht="15" customHeight="1" s="78">
      <c r="B9" s="86" t="inlineStr">
        <is>
          <t>Kỳ báo cáo - Đến ngày</t>
        </is>
      </c>
      <c r="C9" s="90" t="n">
        <v>46387</v>
      </c>
      <c r="E9" s="89" t="inlineStr">
        <is>
          <t>4) CDPS, CONGNO, SOCAI, B01, B02, B03, TM tự động cập nhật.</t>
        </is>
      </c>
    </row>
    <row r="10" ht="15" customHeight="1" s="78">
      <c r="B10" s="86" t="inlineStr">
        <is>
          <t>Người lập biểu</t>
        </is>
      </c>
      <c r="C10" s="87" t="inlineStr">
        <is>
          <t>Nguyễn Thị Kế</t>
        </is>
      </c>
      <c r="E10" s="89" t="inlineStr">
        <is>
          <t>5) Trước khi in/nộp: mở sheet KIEMTRA — tất cả phải ✔ Khớp.</t>
        </is>
      </c>
    </row>
    <row r="11" ht="15" customHeight="1" s="78">
      <c r="B11" s="86" t="inlineStr">
        <is>
          <t>Kế toán trưởng</t>
        </is>
      </c>
      <c r="C11" s="87" t="inlineStr">
        <is>
          <t>Trần Văn Toán</t>
        </is>
      </c>
      <c r="E11" s="89" t="inlineStr">
        <is>
          <t>Toàn bộ ô màu vàng = ô nhập liệu; ô trắng = công thức, không sửa.</t>
        </is>
      </c>
    </row>
    <row r="12" ht="15" customHeight="1" s="78">
      <c r="B12" s="86" t="inlineStr">
        <is>
          <t>Người đại diện theo pháp luật</t>
        </is>
      </c>
      <c r="C12" s="87" t="inlineStr">
        <is>
          <t>Lê Quang Đốc</t>
        </is>
      </c>
      <c r="E12" s="89" t="inlineStr">
        <is>
          <t>Kỳ báo cáo mặc định là cả năm; có thể thu hẹp để xem báo cáo giữa niên độ.</t>
        </is>
      </c>
    </row>
    <row r="13" ht="15" customHeight="1" s="78">
      <c r="B13" s="86" t="inlineStr">
        <is>
          <t>Đơn vị tiền tệ ghi sổ</t>
        </is>
      </c>
      <c r="C13" s="87" t="inlineStr">
        <is>
          <t>Đồng Việt Nam (VND)</t>
        </is>
      </c>
    </row>
    <row r="14" ht="15" customHeight="1" s="78">
      <c r="B14" s="86" t="inlineStr">
        <is>
          <t>Phương pháp thuế GTGT</t>
        </is>
      </c>
      <c r="C14" s="87" t="inlineStr">
        <is>
          <t>Khấu trừ</t>
        </is>
      </c>
    </row>
    <row r="15" ht="15" customHeight="1" s="78">
      <c r="B15" s="86" t="inlineStr">
        <is>
          <t>Phương pháp khấu hao TSCĐ</t>
        </is>
      </c>
      <c r="C15" s="87" t="inlineStr">
        <is>
          <t>Đường thẳng</t>
        </is>
      </c>
    </row>
    <row r="16" ht="15" customHeight="1" s="78">
      <c r="B16" s="86" t="inlineStr">
        <is>
          <t>Phương pháp tính giá hàng tồn kho</t>
        </is>
      </c>
      <c r="C16" s="87" t="inlineStr">
        <is>
          <t>Bình quân gia quyền</t>
        </is>
      </c>
    </row>
    <row r="17"/>
    <row r="18" ht="15" customHeight="1" s="78">
      <c r="B18" s="91" t="inlineStr">
        <is>
          <t>Phần mềm: Kế toán Excel TT 99/2025 — © KK HOME</t>
        </is>
      </c>
    </row>
  </sheetData>
  <sheetProtection selectLockedCells="0" selectUnlockedCells="0" sheet="1" objects="0" insertRows="1" insertHyperlinks="1" autoFilter="0" scenarios="0" formatColumns="0" deleteColumns="1" insertColumns="1" pivotTables="1" deleteRows="1" formatCells="0" formatRows="0" sort="0"/>
  <mergeCells count="1">
    <mergeCell ref="B2:C2"/>
  </mergeCells>
  <printOptions horizontalCentered="0" verticalCentered="0" headings="0" gridLines="0" gridLinesSet="1"/>
  <pageMargins left="0.75" right="0.75" top="1" bottom="1" header="0.511811023622047" footer="0.5"/>
  <pageSetup orientation="portrait" paperSize="9" scale="100" fitToHeight="0" fitToWidth="1" pageOrder="downThenOver" blackAndWhite="0" draft="0" horizontalDpi="300" verticalDpi="300" copies="1"/>
  <headerFooter differentOddEven="0" differentFirst="0">
    <oddHeader/>
    <oddFooter>&amp;L&amp;8 &amp;K808080Mr Wick Kiểm toán — Phần mềm kế toán TT 99/2025&amp;R&amp;8 &amp;K808080Trang &amp;P/&amp;N</oddFooter>
    <evenHeader/>
    <evenFooter/>
    <firstHeader/>
    <firstFooter/>
  </headerFooter>
</worksheet>
</file>

<file path=xl/worksheets/sheet3.xml><?xml version="1.0" encoding="utf-8"?>
<worksheet xmlns="http://schemas.openxmlformats.org/spreadsheetml/2006/main">
  <sheetPr filterMode="0">
    <outlinePr summaryBelow="1" summaryRight="1"/>
    <pageSetUpPr fitToPage="1"/>
  </sheetPr>
  <dimension ref="A1:F250"/>
  <sheetViews>
    <sheetView showFormulas="0" showGridLines="1"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77" min="1" max="1"/>
    <col width="62" customWidth="1" style="77" min="2" max="2"/>
    <col width="7" customWidth="1" style="77" min="3" max="3"/>
    <col width="9" customWidth="1" style="77" min="4" max="4"/>
    <col width="26" customWidth="1" style="77" min="5" max="5"/>
    <col width="40" customWidth="1" style="77" min="6" max="6"/>
  </cols>
  <sheetData>
    <row r="1"/>
    <row r="2" ht="17.35" customHeight="1" s="78">
      <c r="A2" s="84" t="inlineStr">
        <is>
          <t>DANH MỤC HỆ THỐNG TÀI KHOẢN KẾ TOÁN</t>
        </is>
      </c>
    </row>
    <row r="3" ht="15" customHeight="1" s="78">
      <c r="A3" s="85" t="inlineStr">
        <is>
          <t>Theo Phụ lục II Thông tư 99/2025/TT-BTC — 71 TK cấp 1, 101 TK cấp 2, 10 TK cấp 3, 2 TK cấp 4. Doanh nghiệp được tự mở TK chi tiết (Điều 11).</t>
        </is>
      </c>
    </row>
    <row r="4" ht="15" customHeight="1" s="78">
      <c r="A4" s="91" t="inlineStr">
        <is>
          <t>Thêm TK chi tiết của riêng bạn vào các dòng trống cuối bảng: mã TK con phải BẮT ĐẦU bằng mã TK chuẩn (ví dụ 1121 - TGNH Vietcombank thuộc TK 112).</t>
        </is>
      </c>
    </row>
    <row r="5"/>
    <row r="6" ht="27.75" customHeight="1" s="78">
      <c r="A6" s="92" t="inlineStr">
        <is>
          <t>Mã TK</t>
        </is>
      </c>
      <c r="B6" s="92" t="inlineStr">
        <is>
          <t>Tên tài khoản</t>
        </is>
      </c>
      <c r="C6" s="92" t="inlineStr">
        <is>
          <t>Cấp</t>
        </is>
      </c>
      <c r="D6" s="92" t="inlineStr">
        <is>
          <t>TK cha</t>
        </is>
      </c>
      <c r="E6" s="92" t="inlineStr">
        <is>
          <t>Tính chất số dư</t>
        </is>
      </c>
      <c r="F6" s="92" t="inlineStr">
        <is>
          <t>Ghi chú</t>
        </is>
      </c>
    </row>
    <row r="7" ht="15" customHeight="1" s="78">
      <c r="A7" s="93" t="inlineStr">
        <is>
          <t>111</t>
        </is>
      </c>
      <c r="B7" s="94" t="inlineStr">
        <is>
          <t>Tiền mặt</t>
        </is>
      </c>
      <c r="C7" s="95" t="n">
        <v>1</v>
      </c>
      <c r="D7" s="96" t="n"/>
      <c r="E7" s="97" t="inlineStr">
        <is>
          <t>Dư Nợ</t>
        </is>
      </c>
      <c r="F7" s="97" t="n"/>
    </row>
    <row r="8" ht="22.35" customHeight="1" s="78">
      <c r="A8" s="93" t="inlineStr">
        <is>
          <t>112</t>
        </is>
      </c>
      <c r="B8" s="94" t="inlineStr">
        <is>
          <t>Tiền gửi không kỳ hạn</t>
        </is>
      </c>
      <c r="C8" s="95" t="n">
        <v>1</v>
      </c>
      <c r="D8" s="96" t="n"/>
      <c r="E8" s="97" t="inlineStr">
        <is>
          <t>Dư Nợ</t>
        </is>
      </c>
      <c r="F8" s="98" t="inlineStr">
        <is>
          <t>TT99 đổi tên: Tiền gửi không kỳ hạn (TGNH có kỳ hạn theo dõi ở 1281)</t>
        </is>
      </c>
    </row>
    <row r="9" ht="15" customHeight="1" s="78">
      <c r="A9" s="93" t="inlineStr">
        <is>
          <t>113</t>
        </is>
      </c>
      <c r="B9" s="94" t="inlineStr">
        <is>
          <t>Tiền đang chuyển</t>
        </is>
      </c>
      <c r="C9" s="95" t="n">
        <v>1</v>
      </c>
      <c r="D9" s="96" t="n"/>
      <c r="E9" s="97" t="inlineStr">
        <is>
          <t>Dư Nợ</t>
        </is>
      </c>
      <c r="F9" s="97" t="n"/>
    </row>
    <row r="10" ht="15" customHeight="1" s="78">
      <c r="A10" s="93" t="inlineStr">
        <is>
          <t>121</t>
        </is>
      </c>
      <c r="B10" s="94" t="inlineStr">
        <is>
          <t>Chứng khoán kinh doanh</t>
        </is>
      </c>
      <c r="C10" s="95" t="n">
        <v>1</v>
      </c>
      <c r="D10" s="96" t="n"/>
      <c r="E10" s="97" t="inlineStr">
        <is>
          <t>Dư Nợ</t>
        </is>
      </c>
      <c r="F10" s="97" t="n"/>
    </row>
    <row r="11" ht="15" customHeight="1" s="78">
      <c r="A11" s="93" t="inlineStr">
        <is>
          <t>128</t>
        </is>
      </c>
      <c r="B11" s="94" t="inlineStr">
        <is>
          <t>Đầu tư nắm giữ đến ngày đáo hạn</t>
        </is>
      </c>
      <c r="C11" s="95" t="n">
        <v>1</v>
      </c>
      <c r="D11" s="96" t="n"/>
      <c r="E11" s="97" t="inlineStr">
        <is>
          <t>Dư Nợ</t>
        </is>
      </c>
      <c r="F11" s="97" t="n"/>
    </row>
    <row r="12" ht="15" customHeight="1" s="78">
      <c r="A12" s="96" t="inlineStr">
        <is>
          <t>1281</t>
        </is>
      </c>
      <c r="B12" s="97" t="inlineStr">
        <is>
          <t xml:space="preserve">    Tiền gửi có kỳ hạn</t>
        </is>
      </c>
      <c r="C12" s="95" t="n">
        <v>2</v>
      </c>
      <c r="D12" s="96" t="inlineStr">
        <is>
          <t>128</t>
        </is>
      </c>
      <c r="E12" s="97" t="inlineStr">
        <is>
          <t>Dư Nợ</t>
        </is>
      </c>
      <c r="F12" s="97" t="n"/>
    </row>
    <row r="13" ht="15" customHeight="1" s="78">
      <c r="A13" s="96" t="inlineStr">
        <is>
          <t>1282</t>
        </is>
      </c>
      <c r="B13" s="97" t="inlineStr">
        <is>
          <t xml:space="preserve">    Trái phiếu</t>
        </is>
      </c>
      <c r="C13" s="95" t="n">
        <v>2</v>
      </c>
      <c r="D13" s="96" t="inlineStr">
        <is>
          <t>128</t>
        </is>
      </c>
      <c r="E13" s="97" t="inlineStr">
        <is>
          <t>Dư Nợ</t>
        </is>
      </c>
      <c r="F13" s="97" t="n"/>
    </row>
    <row r="14" ht="15" customHeight="1" s="78">
      <c r="A14" s="96" t="inlineStr">
        <is>
          <t>1283</t>
        </is>
      </c>
      <c r="B14" s="97" t="inlineStr">
        <is>
          <t xml:space="preserve">    Cho vay</t>
        </is>
      </c>
      <c r="C14" s="95" t="n">
        <v>2</v>
      </c>
      <c r="D14" s="96" t="inlineStr">
        <is>
          <t>128</t>
        </is>
      </c>
      <c r="E14" s="97" t="inlineStr">
        <is>
          <t>Dư Nợ</t>
        </is>
      </c>
      <c r="F14" s="97" t="n"/>
    </row>
    <row r="15" ht="15" customHeight="1" s="78">
      <c r="A15" s="96" t="inlineStr">
        <is>
          <t>1288</t>
        </is>
      </c>
      <c r="B15" s="97" t="inlineStr">
        <is>
          <t xml:space="preserve">    Các khoản đầu tư khác nắm giữ đến ngày đáo hạn</t>
        </is>
      </c>
      <c r="C15" s="95" t="n">
        <v>2</v>
      </c>
      <c r="D15" s="96" t="inlineStr">
        <is>
          <t>128</t>
        </is>
      </c>
      <c r="E15" s="97" t="inlineStr">
        <is>
          <t>Dư Nợ</t>
        </is>
      </c>
      <c r="F15" s="97" t="n"/>
    </row>
    <row r="16" ht="15" customHeight="1" s="78">
      <c r="A16" s="93" t="inlineStr">
        <is>
          <t>131</t>
        </is>
      </c>
      <c r="B16" s="94" t="inlineStr">
        <is>
          <t>Phải thu của khách hàng</t>
        </is>
      </c>
      <c r="C16" s="95" t="n">
        <v>1</v>
      </c>
      <c r="D16" s="96" t="n"/>
      <c r="E16" s="97" t="inlineStr">
        <is>
          <t>Lưỡng tính</t>
        </is>
      </c>
      <c r="F16" s="98" t="inlineStr">
        <is>
          <t>Bắt buộc ghi Mã đối tượng trong NKC</t>
        </is>
      </c>
    </row>
    <row r="17" ht="15" customHeight="1" s="78">
      <c r="A17" s="93" t="inlineStr">
        <is>
          <t>133</t>
        </is>
      </c>
      <c r="B17" s="94" t="inlineStr">
        <is>
          <t>Thuế GTGT được khấu trừ</t>
        </is>
      </c>
      <c r="C17" s="95" t="n">
        <v>1</v>
      </c>
      <c r="D17" s="96" t="n"/>
      <c r="E17" s="97" t="inlineStr">
        <is>
          <t>Dư Nợ</t>
        </is>
      </c>
      <c r="F17" s="97" t="n"/>
    </row>
    <row r="18" ht="15" customHeight="1" s="78">
      <c r="A18" s="96" t="inlineStr">
        <is>
          <t>1331</t>
        </is>
      </c>
      <c r="B18" s="97" t="inlineStr">
        <is>
          <t xml:space="preserve">    Thuế GTGT được khấu trừ của hàng hóa, dịch vụ</t>
        </is>
      </c>
      <c r="C18" s="95" t="n">
        <v>2</v>
      </c>
      <c r="D18" s="96" t="inlineStr">
        <is>
          <t>133</t>
        </is>
      </c>
      <c r="E18" s="97" t="inlineStr">
        <is>
          <t>Dư Nợ</t>
        </is>
      </c>
      <c r="F18" s="97" t="n"/>
    </row>
    <row r="19" ht="15" customHeight="1" s="78">
      <c r="A19" s="96" t="inlineStr">
        <is>
          <t>1332</t>
        </is>
      </c>
      <c r="B19" s="97" t="inlineStr">
        <is>
          <t xml:space="preserve">    Thuế GTGT được khấu trừ của TSCĐ</t>
        </is>
      </c>
      <c r="C19" s="95" t="n">
        <v>2</v>
      </c>
      <c r="D19" s="96" t="inlineStr">
        <is>
          <t>133</t>
        </is>
      </c>
      <c r="E19" s="97" t="inlineStr">
        <is>
          <t>Dư Nợ</t>
        </is>
      </c>
      <c r="F19" s="97" t="n"/>
    </row>
    <row r="20" ht="15" customHeight="1" s="78">
      <c r="A20" s="93" t="inlineStr">
        <is>
          <t>136</t>
        </is>
      </c>
      <c r="B20" s="94" t="inlineStr">
        <is>
          <t>Phải thu nội bộ</t>
        </is>
      </c>
      <c r="C20" s="95" t="n">
        <v>1</v>
      </c>
      <c r="D20" s="96" t="n"/>
      <c r="E20" s="97" t="inlineStr">
        <is>
          <t>Dư Nợ</t>
        </is>
      </c>
      <c r="F20" s="97" t="n"/>
    </row>
    <row r="21" ht="15" customHeight="1" s="78">
      <c r="A21" s="96" t="inlineStr">
        <is>
          <t>1361</t>
        </is>
      </c>
      <c r="B21" s="97" t="inlineStr">
        <is>
          <t xml:space="preserve">    Vốn kinh doanh ở đơn vị trực thuộc</t>
        </is>
      </c>
      <c r="C21" s="95" t="n">
        <v>2</v>
      </c>
      <c r="D21" s="96" t="inlineStr">
        <is>
          <t>136</t>
        </is>
      </c>
      <c r="E21" s="97" t="inlineStr">
        <is>
          <t>Dư Nợ</t>
        </is>
      </c>
      <c r="F21" s="97" t="n"/>
    </row>
    <row r="22" ht="15" customHeight="1" s="78">
      <c r="A22" s="96" t="inlineStr">
        <is>
          <t>1362</t>
        </is>
      </c>
      <c r="B22" s="97" t="inlineStr">
        <is>
          <t xml:space="preserve">    Phải thu nội bộ về chênh lệch tỷ giá</t>
        </is>
      </c>
      <c r="C22" s="95" t="n">
        <v>2</v>
      </c>
      <c r="D22" s="96" t="inlineStr">
        <is>
          <t>136</t>
        </is>
      </c>
      <c r="E22" s="97" t="inlineStr">
        <is>
          <t>Dư Nợ</t>
        </is>
      </c>
      <c r="F22" s="97" t="n"/>
    </row>
    <row r="23" ht="15" customHeight="1" s="78">
      <c r="A23" s="96" t="inlineStr">
        <is>
          <t>1363</t>
        </is>
      </c>
      <c r="B23" s="97" t="inlineStr">
        <is>
          <t xml:space="preserve">    Phải thu nội bộ về chi phí đi vay đủ điều kiện được vốn hoá</t>
        </is>
      </c>
      <c r="C23" s="95" t="n">
        <v>2</v>
      </c>
      <c r="D23" s="96" t="inlineStr">
        <is>
          <t>136</t>
        </is>
      </c>
      <c r="E23" s="97" t="inlineStr">
        <is>
          <t>Dư Nợ</t>
        </is>
      </c>
      <c r="F23" s="97" t="n"/>
    </row>
    <row r="24" ht="15" customHeight="1" s="78">
      <c r="A24" s="96" t="inlineStr">
        <is>
          <t>1368</t>
        </is>
      </c>
      <c r="B24" s="97" t="inlineStr">
        <is>
          <t xml:space="preserve">    Phải thu nội bộ khác</t>
        </is>
      </c>
      <c r="C24" s="95" t="n">
        <v>2</v>
      </c>
      <c r="D24" s="96" t="inlineStr">
        <is>
          <t>136</t>
        </is>
      </c>
      <c r="E24" s="97" t="inlineStr">
        <is>
          <t>Dư Nợ</t>
        </is>
      </c>
      <c r="F24" s="97" t="n"/>
    </row>
    <row r="25" ht="15" customHeight="1" s="78">
      <c r="A25" s="93" t="inlineStr">
        <is>
          <t>138</t>
        </is>
      </c>
      <c r="B25" s="94" t="inlineStr">
        <is>
          <t>Phải thu khác</t>
        </is>
      </c>
      <c r="C25" s="95" t="n">
        <v>1</v>
      </c>
      <c r="D25" s="96" t="n"/>
      <c r="E25" s="97" t="inlineStr">
        <is>
          <t>Lưỡng tính</t>
        </is>
      </c>
      <c r="F25" s="97" t="n"/>
    </row>
    <row r="26" ht="15" customHeight="1" s="78">
      <c r="A26" s="96" t="inlineStr">
        <is>
          <t>1381</t>
        </is>
      </c>
      <c r="B26" s="97" t="inlineStr">
        <is>
          <t xml:space="preserve">    Tài sản thiếu chờ xử lý</t>
        </is>
      </c>
      <c r="C26" s="95" t="n">
        <v>2</v>
      </c>
      <c r="D26" s="96" t="inlineStr">
        <is>
          <t>138</t>
        </is>
      </c>
      <c r="E26" s="97" t="inlineStr">
        <is>
          <t>Dư Nợ</t>
        </is>
      </c>
      <c r="F26" s="97" t="n"/>
    </row>
    <row r="27" ht="15" customHeight="1" s="78">
      <c r="A27" s="96" t="inlineStr">
        <is>
          <t>1383</t>
        </is>
      </c>
      <c r="B27" s="97" t="inlineStr">
        <is>
          <t xml:space="preserve">    Thuế TTĐB của hàng nhập khẩu</t>
        </is>
      </c>
      <c r="C27" s="95" t="n">
        <v>2</v>
      </c>
      <c r="D27" s="96" t="inlineStr">
        <is>
          <t>138</t>
        </is>
      </c>
      <c r="E27" s="97" t="inlineStr">
        <is>
          <t>Dư Nợ</t>
        </is>
      </c>
      <c r="F27" s="97" t="n"/>
    </row>
    <row r="28" ht="15" customHeight="1" s="78">
      <c r="A28" s="96" t="inlineStr">
        <is>
          <t>1388</t>
        </is>
      </c>
      <c r="B28" s="97" t="inlineStr">
        <is>
          <t xml:space="preserve">    Phải thu khác</t>
        </is>
      </c>
      <c r="C28" s="95" t="n">
        <v>2</v>
      </c>
      <c r="D28" s="96" t="inlineStr">
        <is>
          <t>138</t>
        </is>
      </c>
      <c r="E28" s="97" t="inlineStr">
        <is>
          <t>Lưỡng tính</t>
        </is>
      </c>
      <c r="F28" s="97" t="n"/>
    </row>
    <row r="29" ht="15" customHeight="1" s="78">
      <c r="A29" s="93" t="inlineStr">
        <is>
          <t>141</t>
        </is>
      </c>
      <c r="B29" s="94" t="inlineStr">
        <is>
          <t>Tạm ứng</t>
        </is>
      </c>
      <c r="C29" s="95" t="n">
        <v>1</v>
      </c>
      <c r="D29" s="96" t="n"/>
      <c r="E29" s="97" t="inlineStr">
        <is>
          <t>Dư Nợ</t>
        </is>
      </c>
      <c r="F29" s="97" t="n"/>
    </row>
    <row r="30" ht="15" customHeight="1" s="78">
      <c r="A30" s="93" t="inlineStr">
        <is>
          <t>151</t>
        </is>
      </c>
      <c r="B30" s="94" t="inlineStr">
        <is>
          <t>Hàng mua đang đi đường</t>
        </is>
      </c>
      <c r="C30" s="95" t="n">
        <v>1</v>
      </c>
      <c r="D30" s="96" t="n"/>
      <c r="E30" s="97" t="inlineStr">
        <is>
          <t>Dư Nợ</t>
        </is>
      </c>
      <c r="F30" s="97" t="n"/>
    </row>
    <row r="31" ht="15" customHeight="1" s="78">
      <c r="A31" s="93" t="inlineStr">
        <is>
          <t>152</t>
        </is>
      </c>
      <c r="B31" s="94" t="inlineStr">
        <is>
          <t>Nguyên liệu, vật liệu</t>
        </is>
      </c>
      <c r="C31" s="95" t="n">
        <v>1</v>
      </c>
      <c r="D31" s="96" t="n"/>
      <c r="E31" s="97" t="inlineStr">
        <is>
          <t>Dư Nợ</t>
        </is>
      </c>
      <c r="F31" s="97" t="n"/>
    </row>
    <row r="32" ht="15" customHeight="1" s="78">
      <c r="A32" s="93" t="inlineStr">
        <is>
          <t>153</t>
        </is>
      </c>
      <c r="B32" s="94" t="inlineStr">
        <is>
          <t>Công cụ, dụng cụ</t>
        </is>
      </c>
      <c r="C32" s="95" t="n">
        <v>1</v>
      </c>
      <c r="D32" s="96" t="n"/>
      <c r="E32" s="97" t="inlineStr">
        <is>
          <t>Dư Nợ</t>
        </is>
      </c>
      <c r="F32" s="97" t="n"/>
    </row>
    <row r="33" ht="15" customHeight="1" s="78">
      <c r="A33" s="93" t="inlineStr">
        <is>
          <t>154</t>
        </is>
      </c>
      <c r="B33" s="94" t="inlineStr">
        <is>
          <t>Chi phí sản xuất, kinh doanh dở dang</t>
        </is>
      </c>
      <c r="C33" s="95" t="n">
        <v>1</v>
      </c>
      <c r="D33" s="96" t="n"/>
      <c r="E33" s="97" t="inlineStr">
        <is>
          <t>Dư Nợ</t>
        </is>
      </c>
      <c r="F33" s="97" t="n"/>
    </row>
    <row r="34" ht="15" customHeight="1" s="78">
      <c r="A34" s="93" t="inlineStr">
        <is>
          <t>155</t>
        </is>
      </c>
      <c r="B34" s="94" t="inlineStr">
        <is>
          <t>Sản phẩm</t>
        </is>
      </c>
      <c r="C34" s="95" t="n">
        <v>1</v>
      </c>
      <c r="D34" s="96" t="n"/>
      <c r="E34" s="97" t="inlineStr">
        <is>
          <t>Dư Nợ</t>
        </is>
      </c>
      <c r="F34" s="98" t="inlineStr">
        <is>
          <t>TT99 đổi tên từ 'Thành phẩm'</t>
        </is>
      </c>
    </row>
    <row r="35" ht="15" customHeight="1" s="78">
      <c r="A35" s="93" t="inlineStr">
        <is>
          <t>156</t>
        </is>
      </c>
      <c r="B35" s="94" t="inlineStr">
        <is>
          <t>Hàng hóa</t>
        </is>
      </c>
      <c r="C35" s="95" t="n">
        <v>1</v>
      </c>
      <c r="D35" s="96" t="n"/>
      <c r="E35" s="97" t="inlineStr">
        <is>
          <t>Dư Nợ</t>
        </is>
      </c>
      <c r="F35" s="97" t="n"/>
    </row>
    <row r="36" ht="15" customHeight="1" s="78">
      <c r="A36" s="93" t="inlineStr">
        <is>
          <t>157</t>
        </is>
      </c>
      <c r="B36" s="94" t="inlineStr">
        <is>
          <t>Hàng gửi đi bán</t>
        </is>
      </c>
      <c r="C36" s="95" t="n">
        <v>1</v>
      </c>
      <c r="D36" s="96" t="n"/>
      <c r="E36" s="97" t="inlineStr">
        <is>
          <t>Dư Nợ</t>
        </is>
      </c>
      <c r="F36" s="97" t="n"/>
    </row>
    <row r="37" ht="15" customHeight="1" s="78">
      <c r="A37" s="93" t="inlineStr">
        <is>
          <t>158</t>
        </is>
      </c>
      <c r="B37" s="94" t="inlineStr">
        <is>
          <t>Nguyên liệu, vật tư tại kho bảo thuế</t>
        </is>
      </c>
      <c r="C37" s="95" t="n">
        <v>1</v>
      </c>
      <c r="D37" s="96" t="n"/>
      <c r="E37" s="97" t="inlineStr">
        <is>
          <t>Dư Nợ</t>
        </is>
      </c>
      <c r="F37" s="97" t="n"/>
    </row>
    <row r="38" ht="15" customHeight="1" s="78">
      <c r="A38" s="93" t="inlineStr">
        <is>
          <t>171</t>
        </is>
      </c>
      <c r="B38" s="94" t="inlineStr">
        <is>
          <t>Giao dịch mua, bán lại trái phiếu chính phủ</t>
        </is>
      </c>
      <c r="C38" s="95" t="n">
        <v>1</v>
      </c>
      <c r="D38" s="96" t="n"/>
      <c r="E38" s="97" t="inlineStr">
        <is>
          <t>Lưỡng tính</t>
        </is>
      </c>
      <c r="F38" s="97" t="n"/>
    </row>
    <row r="39" ht="15" customHeight="1" s="78">
      <c r="A39" s="93" t="inlineStr">
        <is>
          <t>211</t>
        </is>
      </c>
      <c r="B39" s="94" t="inlineStr">
        <is>
          <t>Tài sản cố định hữu hình</t>
        </is>
      </c>
      <c r="C39" s="95" t="n">
        <v>1</v>
      </c>
      <c r="D39" s="96" t="n"/>
      <c r="E39" s="97" t="inlineStr">
        <is>
          <t>Dư Nợ</t>
        </is>
      </c>
      <c r="F39" s="97" t="n"/>
    </row>
    <row r="40" ht="15" customHeight="1" s="78">
      <c r="A40" s="93" t="inlineStr">
        <is>
          <t>212</t>
        </is>
      </c>
      <c r="B40" s="94" t="inlineStr">
        <is>
          <t>Tài sản cố định thuê tài chính</t>
        </is>
      </c>
      <c r="C40" s="95" t="n">
        <v>1</v>
      </c>
      <c r="D40" s="96" t="n"/>
      <c r="E40" s="97" t="inlineStr">
        <is>
          <t>Dư Nợ</t>
        </is>
      </c>
      <c r="F40" s="97" t="n"/>
    </row>
    <row r="41" ht="15" customHeight="1" s="78">
      <c r="A41" s="93" t="inlineStr">
        <is>
          <t>213</t>
        </is>
      </c>
      <c r="B41" s="94" t="inlineStr">
        <is>
          <t>Tài sản cố định vô hình</t>
        </is>
      </c>
      <c r="C41" s="95" t="n">
        <v>1</v>
      </c>
      <c r="D41" s="96" t="n"/>
      <c r="E41" s="97" t="inlineStr">
        <is>
          <t>Dư Nợ</t>
        </is>
      </c>
      <c r="F41" s="97" t="n"/>
    </row>
    <row r="42" ht="25.35" customHeight="1" s="78">
      <c r="A42" s="93" t="inlineStr">
        <is>
          <t>214</t>
        </is>
      </c>
      <c r="B42" s="94" t="inlineStr">
        <is>
          <t>Hao mòn tài sản cố định</t>
        </is>
      </c>
      <c r="C42" s="95" t="n">
        <v>1</v>
      </c>
      <c r="D42" s="96" t="n"/>
      <c r="E42" s="97" t="inlineStr">
        <is>
          <t>Dư Có (điều chỉnh giảm tài sản)</t>
        </is>
      </c>
      <c r="F42" s="97" t="n"/>
    </row>
    <row r="43" ht="25.35" customHeight="1" s="78">
      <c r="A43" s="96" t="inlineStr">
        <is>
          <t>2141</t>
        </is>
      </c>
      <c r="B43" s="97" t="inlineStr">
        <is>
          <t xml:space="preserve">    Hao mòn TSCĐ hữu hình</t>
        </is>
      </c>
      <c r="C43" s="95" t="n">
        <v>2</v>
      </c>
      <c r="D43" s="96" t="inlineStr">
        <is>
          <t>214</t>
        </is>
      </c>
      <c r="E43" s="97" t="inlineStr">
        <is>
          <t>Dư Có (điều chỉnh giảm tài sản)</t>
        </is>
      </c>
      <c r="F43" s="97" t="n"/>
    </row>
    <row r="44" ht="25.35" customHeight="1" s="78">
      <c r="A44" s="96" t="inlineStr">
        <is>
          <t>2142</t>
        </is>
      </c>
      <c r="B44" s="97" t="inlineStr">
        <is>
          <t xml:space="preserve">    Hao mòn TSCĐ thuê tài chính</t>
        </is>
      </c>
      <c r="C44" s="95" t="n">
        <v>2</v>
      </c>
      <c r="D44" s="96" t="inlineStr">
        <is>
          <t>214</t>
        </is>
      </c>
      <c r="E44" s="97" t="inlineStr">
        <is>
          <t>Dư Có (điều chỉnh giảm tài sản)</t>
        </is>
      </c>
      <c r="F44" s="97" t="n"/>
    </row>
    <row r="45" ht="25.35" customHeight="1" s="78">
      <c r="A45" s="96" t="inlineStr">
        <is>
          <t>2143</t>
        </is>
      </c>
      <c r="B45" s="97" t="inlineStr">
        <is>
          <t xml:space="preserve">    Hao mòn TSCĐ vô hình</t>
        </is>
      </c>
      <c r="C45" s="95" t="n">
        <v>2</v>
      </c>
      <c r="D45" s="96" t="inlineStr">
        <is>
          <t>214</t>
        </is>
      </c>
      <c r="E45" s="97" t="inlineStr">
        <is>
          <t>Dư Có (điều chỉnh giảm tài sản)</t>
        </is>
      </c>
      <c r="F45" s="97" t="n"/>
    </row>
    <row r="46" ht="25.35" customHeight="1" s="78">
      <c r="A46" s="96" t="inlineStr">
        <is>
          <t>2147</t>
        </is>
      </c>
      <c r="B46" s="97" t="inlineStr">
        <is>
          <t xml:space="preserve">    Hao mòn bất động sản đầu tư</t>
        </is>
      </c>
      <c r="C46" s="95" t="n">
        <v>2</v>
      </c>
      <c r="D46" s="96" t="inlineStr">
        <is>
          <t>214</t>
        </is>
      </c>
      <c r="E46" s="97" t="inlineStr">
        <is>
          <t>Dư Có (điều chỉnh giảm tài sản)</t>
        </is>
      </c>
      <c r="F46" s="97" t="n"/>
    </row>
    <row r="47" ht="15" customHeight="1" s="78">
      <c r="A47" s="93" t="inlineStr">
        <is>
          <t>215</t>
        </is>
      </c>
      <c r="B47" s="94" t="inlineStr">
        <is>
          <t>Tài sản sinh học</t>
        </is>
      </c>
      <c r="C47" s="95" t="n">
        <v>1</v>
      </c>
      <c r="D47" s="96" t="n"/>
      <c r="E47" s="97" t="inlineStr">
        <is>
          <t>Dư Nợ</t>
        </is>
      </c>
      <c r="F47" s="98" t="inlineStr">
        <is>
          <t>Tài khoản MỚI theo TT99 (tài sản sinh học)</t>
        </is>
      </c>
    </row>
    <row r="48" ht="15" customHeight="1" s="78">
      <c r="A48" s="96" t="inlineStr">
        <is>
          <t>2151</t>
        </is>
      </c>
      <c r="B48" s="97" t="inlineStr">
        <is>
          <t xml:space="preserve">    Súc vật nuôi cho sản phẩm định kỳ</t>
        </is>
      </c>
      <c r="C48" s="95" t="n">
        <v>2</v>
      </c>
      <c r="D48" s="96" t="inlineStr">
        <is>
          <t>215</t>
        </is>
      </c>
      <c r="E48" s="97" t="inlineStr">
        <is>
          <t>Dư Nợ</t>
        </is>
      </c>
      <c r="F48" s="97" t="n"/>
    </row>
    <row r="49" ht="15" customHeight="1" s="78">
      <c r="A49" s="96" t="inlineStr">
        <is>
          <t>21511</t>
        </is>
      </c>
      <c r="B49" s="97" t="inlineStr">
        <is>
          <t xml:space="preserve">        Súc vật chưa trưởng thành</t>
        </is>
      </c>
      <c r="C49" s="95" t="n">
        <v>3</v>
      </c>
      <c r="D49" s="96" t="inlineStr">
        <is>
          <t>2151</t>
        </is>
      </c>
      <c r="E49" s="97" t="inlineStr">
        <is>
          <t>Dư Nợ</t>
        </is>
      </c>
      <c r="F49" s="97" t="n"/>
    </row>
    <row r="50" ht="15" customHeight="1" s="78">
      <c r="A50" s="96" t="inlineStr">
        <is>
          <t>21512</t>
        </is>
      </c>
      <c r="B50" s="97" t="inlineStr">
        <is>
          <t xml:space="preserve">        Súc vật đã trưởng thành</t>
        </is>
      </c>
      <c r="C50" s="95" t="n">
        <v>3</v>
      </c>
      <c r="D50" s="96" t="inlineStr">
        <is>
          <t>2151</t>
        </is>
      </c>
      <c r="E50" s="97" t="inlineStr">
        <is>
          <t>Dư Nợ</t>
        </is>
      </c>
      <c r="F50" s="97" t="n"/>
    </row>
    <row r="51" ht="15" customHeight="1" s="78">
      <c r="A51" s="96" t="inlineStr">
        <is>
          <t>215121</t>
        </is>
      </c>
      <c r="B51" s="97" t="inlineStr">
        <is>
          <t xml:space="preserve">            Nguyên giá</t>
        </is>
      </c>
      <c r="C51" s="95" t="n">
        <v>4</v>
      </c>
      <c r="D51" s="96" t="inlineStr">
        <is>
          <t>21512</t>
        </is>
      </c>
      <c r="E51" s="97" t="inlineStr">
        <is>
          <t>Dư Nợ</t>
        </is>
      </c>
      <c r="F51" s="97" t="n"/>
    </row>
    <row r="52" ht="25.35" customHeight="1" s="78">
      <c r="A52" s="96" t="inlineStr">
        <is>
          <t>215122</t>
        </is>
      </c>
      <c r="B52" s="97" t="inlineStr">
        <is>
          <t xml:space="preserve">            Giá trị khấu hao lũy kế</t>
        </is>
      </c>
      <c r="C52" s="95" t="n">
        <v>4</v>
      </c>
      <c r="D52" s="96" t="inlineStr">
        <is>
          <t>21512</t>
        </is>
      </c>
      <c r="E52" s="97" t="inlineStr">
        <is>
          <t>Dư Có (điều chỉnh giảm tài sản)</t>
        </is>
      </c>
      <c r="F52" s="97" t="n"/>
    </row>
    <row r="53" ht="15" customHeight="1" s="78">
      <c r="A53" s="96" t="inlineStr">
        <is>
          <t>2152</t>
        </is>
      </c>
      <c r="B53" s="97" t="inlineStr">
        <is>
          <t xml:space="preserve">    Súc vật nuôi lấy sản phẩm một lần</t>
        </is>
      </c>
      <c r="C53" s="95" t="n">
        <v>2</v>
      </c>
      <c r="D53" s="96" t="inlineStr">
        <is>
          <t>215</t>
        </is>
      </c>
      <c r="E53" s="97" t="inlineStr">
        <is>
          <t>Dư Nợ</t>
        </is>
      </c>
      <c r="F53" s="97" t="n"/>
    </row>
    <row r="54" ht="15" customHeight="1" s="78">
      <c r="A54" s="96" t="inlineStr">
        <is>
          <t>2153</t>
        </is>
      </c>
      <c r="B54" s="97" t="inlineStr">
        <is>
          <t xml:space="preserve">    Cây trồng theo mùa vụ hoặc lấy sản phẩm một lần</t>
        </is>
      </c>
      <c r="C54" s="95" t="n">
        <v>2</v>
      </c>
      <c r="D54" s="96" t="inlineStr">
        <is>
          <t>215</t>
        </is>
      </c>
      <c r="E54" s="97" t="inlineStr">
        <is>
          <t>Dư Nợ</t>
        </is>
      </c>
      <c r="F54" s="97" t="n"/>
    </row>
    <row r="55" ht="15" customHeight="1" s="78">
      <c r="A55" s="93" t="inlineStr">
        <is>
          <t>217</t>
        </is>
      </c>
      <c r="B55" s="94" t="inlineStr">
        <is>
          <t>Bất động sản đầu tư</t>
        </is>
      </c>
      <c r="C55" s="95" t="n">
        <v>1</v>
      </c>
      <c r="D55" s="96" t="n"/>
      <c r="E55" s="97" t="inlineStr">
        <is>
          <t>Dư Nợ</t>
        </is>
      </c>
      <c r="F55" s="97" t="n"/>
    </row>
    <row r="56" ht="15" customHeight="1" s="78">
      <c r="A56" s="93" t="inlineStr">
        <is>
          <t>221</t>
        </is>
      </c>
      <c r="B56" s="94" t="inlineStr">
        <is>
          <t>Đầu tư vào công ty con</t>
        </is>
      </c>
      <c r="C56" s="95" t="n">
        <v>1</v>
      </c>
      <c r="D56" s="96" t="n"/>
      <c r="E56" s="97" t="inlineStr">
        <is>
          <t>Dư Nợ</t>
        </is>
      </c>
      <c r="F56" s="97" t="n"/>
    </row>
    <row r="57" ht="15" customHeight="1" s="78">
      <c r="A57" s="93" t="inlineStr">
        <is>
          <t>222</t>
        </is>
      </c>
      <c r="B57" s="94" t="inlineStr">
        <is>
          <t>Đầu tư vào công ty liên doanh, liên kết</t>
        </is>
      </c>
      <c r="C57" s="95" t="n">
        <v>1</v>
      </c>
      <c r="D57" s="96" t="n"/>
      <c r="E57" s="97" t="inlineStr">
        <is>
          <t>Dư Nợ</t>
        </is>
      </c>
      <c r="F57" s="97" t="n"/>
    </row>
    <row r="58" ht="15" customHeight="1" s="78">
      <c r="A58" s="93" t="inlineStr">
        <is>
          <t>228</t>
        </is>
      </c>
      <c r="B58" s="94" t="inlineStr">
        <is>
          <t>Đầu tư khác</t>
        </is>
      </c>
      <c r="C58" s="95" t="n">
        <v>1</v>
      </c>
      <c r="D58" s="96" t="n"/>
      <c r="E58" s="97" t="inlineStr">
        <is>
          <t>Dư Nợ</t>
        </is>
      </c>
      <c r="F58" s="97" t="n"/>
    </row>
    <row r="59" ht="15" customHeight="1" s="78">
      <c r="A59" s="96" t="inlineStr">
        <is>
          <t>2281</t>
        </is>
      </c>
      <c r="B59" s="97" t="inlineStr">
        <is>
          <t xml:space="preserve">    Đầu tư góp vốn vào đơn vị khác</t>
        </is>
      </c>
      <c r="C59" s="95" t="n">
        <v>2</v>
      </c>
      <c r="D59" s="96" t="inlineStr">
        <is>
          <t>228</t>
        </is>
      </c>
      <c r="E59" s="97" t="inlineStr">
        <is>
          <t>Dư Nợ</t>
        </is>
      </c>
      <c r="F59" s="97" t="n"/>
    </row>
    <row r="60" ht="15" customHeight="1" s="78">
      <c r="A60" s="96" t="inlineStr">
        <is>
          <t>2288</t>
        </is>
      </c>
      <c r="B60" s="97" t="inlineStr">
        <is>
          <t xml:space="preserve">    Đầu tư khác</t>
        </is>
      </c>
      <c r="C60" s="95" t="n">
        <v>2</v>
      </c>
      <c r="D60" s="96" t="inlineStr">
        <is>
          <t>228</t>
        </is>
      </c>
      <c r="E60" s="97" t="inlineStr">
        <is>
          <t>Dư Nợ</t>
        </is>
      </c>
      <c r="F60" s="97" t="n"/>
    </row>
    <row r="61" ht="25.35" customHeight="1" s="78">
      <c r="A61" s="93" t="inlineStr">
        <is>
          <t>229</t>
        </is>
      </c>
      <c r="B61" s="94" t="inlineStr">
        <is>
          <t>Dự phòng tổn thất tài sản</t>
        </is>
      </c>
      <c r="C61" s="95" t="n">
        <v>1</v>
      </c>
      <c r="D61" s="96" t="n"/>
      <c r="E61" s="97" t="inlineStr">
        <is>
          <t>Dư Có (điều chỉnh giảm tài sản)</t>
        </is>
      </c>
      <c r="F61" s="97" t="n"/>
    </row>
    <row r="62" ht="25.35" customHeight="1" s="78">
      <c r="A62" s="96" t="inlineStr">
        <is>
          <t>2291</t>
        </is>
      </c>
      <c r="B62" s="97" t="inlineStr">
        <is>
          <t xml:space="preserve">    Dự phòng giảm giá chứng khoán kinh doanh</t>
        </is>
      </c>
      <c r="C62" s="95" t="n">
        <v>2</v>
      </c>
      <c r="D62" s="96" t="inlineStr">
        <is>
          <t>229</t>
        </is>
      </c>
      <c r="E62" s="97" t="inlineStr">
        <is>
          <t>Dư Có (điều chỉnh giảm tài sản)</t>
        </is>
      </c>
      <c r="F62" s="97" t="n"/>
    </row>
    <row r="63" ht="25.35" customHeight="1" s="78">
      <c r="A63" s="96" t="inlineStr">
        <is>
          <t>2292</t>
        </is>
      </c>
      <c r="B63" s="97" t="inlineStr">
        <is>
          <t xml:space="preserve">    Dự phòng tổn thất đầu tư vào đơn vị khác</t>
        </is>
      </c>
      <c r="C63" s="95" t="n">
        <v>2</v>
      </c>
      <c r="D63" s="96" t="inlineStr">
        <is>
          <t>229</t>
        </is>
      </c>
      <c r="E63" s="97" t="inlineStr">
        <is>
          <t>Dư Có (điều chỉnh giảm tài sản)</t>
        </is>
      </c>
      <c r="F63" s="97" t="n"/>
    </row>
    <row r="64" ht="25.35" customHeight="1" s="78">
      <c r="A64" s="96" t="inlineStr">
        <is>
          <t>2293</t>
        </is>
      </c>
      <c r="B64" s="97" t="inlineStr">
        <is>
          <t xml:space="preserve">    Dự phòng phải thu khó đòi</t>
        </is>
      </c>
      <c r="C64" s="95" t="n">
        <v>2</v>
      </c>
      <c r="D64" s="96" t="inlineStr">
        <is>
          <t>229</t>
        </is>
      </c>
      <c r="E64" s="97" t="inlineStr">
        <is>
          <t>Dư Có (điều chỉnh giảm tài sản)</t>
        </is>
      </c>
      <c r="F64" s="97" t="n"/>
    </row>
    <row r="65" ht="25.35" customHeight="1" s="78">
      <c r="A65" s="96" t="inlineStr">
        <is>
          <t>2294</t>
        </is>
      </c>
      <c r="B65" s="97" t="inlineStr">
        <is>
          <t xml:space="preserve">    Dự phòng giảm giá hàng tồn kho</t>
        </is>
      </c>
      <c r="C65" s="95" t="n">
        <v>2</v>
      </c>
      <c r="D65" s="96" t="inlineStr">
        <is>
          <t>229</t>
        </is>
      </c>
      <c r="E65" s="97" t="inlineStr">
        <is>
          <t>Dư Có (điều chỉnh giảm tài sản)</t>
        </is>
      </c>
      <c r="F65" s="97" t="n"/>
    </row>
    <row r="66" ht="25.35" customHeight="1" s="78">
      <c r="A66" s="96" t="inlineStr">
        <is>
          <t>2295</t>
        </is>
      </c>
      <c r="B66" s="97" t="inlineStr">
        <is>
          <t xml:space="preserve">    Dự phòng tổn thất tài sản sinh học</t>
        </is>
      </c>
      <c r="C66" s="95" t="n">
        <v>2</v>
      </c>
      <c r="D66" s="96" t="inlineStr">
        <is>
          <t>229</t>
        </is>
      </c>
      <c r="E66" s="97" t="inlineStr">
        <is>
          <t>Dư Có (điều chỉnh giảm tài sản)</t>
        </is>
      </c>
      <c r="F66" s="97" t="n"/>
    </row>
    <row r="67" ht="15" customHeight="1" s="78">
      <c r="A67" s="93" t="inlineStr">
        <is>
          <t>241</t>
        </is>
      </c>
      <c r="B67" s="94" t="inlineStr">
        <is>
          <t>Xây dựng cơ bản dở dang</t>
        </is>
      </c>
      <c r="C67" s="95" t="n">
        <v>1</v>
      </c>
      <c r="D67" s="96" t="n"/>
      <c r="E67" s="97" t="inlineStr">
        <is>
          <t>Dư Nợ</t>
        </is>
      </c>
      <c r="F67" s="97" t="n"/>
    </row>
    <row r="68" ht="15" customHeight="1" s="78">
      <c r="A68" s="96" t="inlineStr">
        <is>
          <t>2411</t>
        </is>
      </c>
      <c r="B68" s="97" t="inlineStr">
        <is>
          <t xml:space="preserve">    Mua sắm TSCĐ</t>
        </is>
      </c>
      <c r="C68" s="95" t="n">
        <v>2</v>
      </c>
      <c r="D68" s="96" t="inlineStr">
        <is>
          <t>241</t>
        </is>
      </c>
      <c r="E68" s="97" t="inlineStr">
        <is>
          <t>Dư Nợ</t>
        </is>
      </c>
      <c r="F68" s="97" t="n"/>
    </row>
    <row r="69" ht="15" customHeight="1" s="78">
      <c r="A69" s="96" t="inlineStr">
        <is>
          <t>2412</t>
        </is>
      </c>
      <c r="B69" s="97" t="inlineStr">
        <is>
          <t xml:space="preserve">    Xây dựng cơ bản</t>
        </is>
      </c>
      <c r="C69" s="95" t="n">
        <v>2</v>
      </c>
      <c r="D69" s="96" t="inlineStr">
        <is>
          <t>241</t>
        </is>
      </c>
      <c r="E69" s="97" t="inlineStr">
        <is>
          <t>Dư Nợ</t>
        </is>
      </c>
      <c r="F69" s="97" t="n"/>
    </row>
    <row r="70" ht="15" customHeight="1" s="78">
      <c r="A70" s="96" t="inlineStr">
        <is>
          <t>2413</t>
        </is>
      </c>
      <c r="B70" s="97" t="inlineStr">
        <is>
          <t xml:space="preserve">    Sửa chữa, bảo dưỡng định kỳ TSCĐ</t>
        </is>
      </c>
      <c r="C70" s="95" t="n">
        <v>2</v>
      </c>
      <c r="D70" s="96" t="inlineStr">
        <is>
          <t>241</t>
        </is>
      </c>
      <c r="E70" s="97" t="inlineStr">
        <is>
          <t>Dư Nợ</t>
        </is>
      </c>
      <c r="F70" s="97" t="n"/>
    </row>
    <row r="71" ht="15" customHeight="1" s="78">
      <c r="A71" s="96" t="inlineStr">
        <is>
          <t>2414</t>
        </is>
      </c>
      <c r="B71" s="97" t="inlineStr">
        <is>
          <t xml:space="preserve">    Nâng cấp, cải tạo TSCĐ</t>
        </is>
      </c>
      <c r="C71" s="95" t="n">
        <v>2</v>
      </c>
      <c r="D71" s="96" t="inlineStr">
        <is>
          <t>241</t>
        </is>
      </c>
      <c r="E71" s="97" t="inlineStr">
        <is>
          <t>Dư Nợ</t>
        </is>
      </c>
      <c r="F71" s="97" t="n"/>
    </row>
    <row r="72" ht="15" customHeight="1" s="78">
      <c r="A72" s="93" t="inlineStr">
        <is>
          <t>242</t>
        </is>
      </c>
      <c r="B72" s="94" t="inlineStr">
        <is>
          <t>Chi phí chờ phân bổ</t>
        </is>
      </c>
      <c r="C72" s="95" t="n">
        <v>1</v>
      </c>
      <c r="D72" s="96" t="n"/>
      <c r="E72" s="97" t="inlineStr">
        <is>
          <t>Dư Nợ</t>
        </is>
      </c>
      <c r="F72" s="98" t="inlineStr">
        <is>
          <t>TT99 đổi tên từ 'Chi phí trả trước'</t>
        </is>
      </c>
    </row>
    <row r="73" ht="15" customHeight="1" s="78">
      <c r="A73" s="93" t="inlineStr">
        <is>
          <t>243</t>
        </is>
      </c>
      <c r="B73" s="94" t="inlineStr">
        <is>
          <t>Tài sản thuế thu nhập hoãn lại</t>
        </is>
      </c>
      <c r="C73" s="95" t="n">
        <v>1</v>
      </c>
      <c r="D73" s="96" t="n"/>
      <c r="E73" s="97" t="inlineStr">
        <is>
          <t>Dư Nợ</t>
        </is>
      </c>
      <c r="F73" s="97" t="n"/>
    </row>
    <row r="74" ht="15" customHeight="1" s="78">
      <c r="A74" s="93" t="inlineStr">
        <is>
          <t>244</t>
        </is>
      </c>
      <c r="B74" s="94" t="inlineStr">
        <is>
          <t>Ký quỹ, ký cược</t>
        </is>
      </c>
      <c r="C74" s="95" t="n">
        <v>1</v>
      </c>
      <c r="D74" s="96" t="n"/>
      <c r="E74" s="97" t="inlineStr">
        <is>
          <t>Dư Nợ</t>
        </is>
      </c>
      <c r="F74" s="97" t="n"/>
    </row>
    <row r="75" ht="15" customHeight="1" s="78">
      <c r="A75" s="93" t="inlineStr">
        <is>
          <t>331</t>
        </is>
      </c>
      <c r="B75" s="94" t="inlineStr">
        <is>
          <t>Phải trả cho người bán</t>
        </is>
      </c>
      <c r="C75" s="95" t="n">
        <v>1</v>
      </c>
      <c r="D75" s="96" t="n"/>
      <c r="E75" s="97" t="inlineStr">
        <is>
          <t>Lưỡng tính</t>
        </is>
      </c>
      <c r="F75" s="98" t="inlineStr">
        <is>
          <t>Bắt buộc ghi Mã đối tượng trong NKC</t>
        </is>
      </c>
    </row>
    <row r="76" ht="15" customHeight="1" s="78">
      <c r="A76" s="93" t="inlineStr">
        <is>
          <t>332</t>
        </is>
      </c>
      <c r="B76" s="94" t="inlineStr">
        <is>
          <t>Phải trả cổ tức, lợi nhuận</t>
        </is>
      </c>
      <c r="C76" s="95" t="n">
        <v>1</v>
      </c>
      <c r="D76" s="96" t="n"/>
      <c r="E76" s="97" t="inlineStr">
        <is>
          <t>Dư Có</t>
        </is>
      </c>
      <c r="F76" s="98" t="inlineStr">
        <is>
          <t>Tài khoản MỚI theo TT99 (tách từ 3388)</t>
        </is>
      </c>
    </row>
    <row r="77" ht="15" customHeight="1" s="78">
      <c r="A77" s="93" t="inlineStr">
        <is>
          <t>333</t>
        </is>
      </c>
      <c r="B77" s="94" t="inlineStr">
        <is>
          <t>Thuế và các khoản phải nộp Nhà nước</t>
        </is>
      </c>
      <c r="C77" s="95" t="n">
        <v>1</v>
      </c>
      <c r="D77" s="96" t="n"/>
      <c r="E77" s="97" t="inlineStr">
        <is>
          <t>Lưỡng tính</t>
        </is>
      </c>
      <c r="F77" s="97" t="n"/>
    </row>
    <row r="78" ht="15" customHeight="1" s="78">
      <c r="A78" s="96" t="inlineStr">
        <is>
          <t>3331</t>
        </is>
      </c>
      <c r="B78" s="97" t="inlineStr">
        <is>
          <t xml:space="preserve">    Thuế giá trị gia tăng phải nộp</t>
        </is>
      </c>
      <c r="C78" s="95" t="n">
        <v>2</v>
      </c>
      <c r="D78" s="96" t="inlineStr">
        <is>
          <t>333</t>
        </is>
      </c>
      <c r="E78" s="97" t="inlineStr">
        <is>
          <t>Lưỡng tính</t>
        </is>
      </c>
      <c r="F78" s="97" t="n"/>
    </row>
    <row r="79" ht="15" customHeight="1" s="78">
      <c r="A79" s="96" t="inlineStr">
        <is>
          <t>33311</t>
        </is>
      </c>
      <c r="B79" s="97" t="inlineStr">
        <is>
          <t xml:space="preserve">        Thuế GTGT đầu ra</t>
        </is>
      </c>
      <c r="C79" s="95" t="n">
        <v>3</v>
      </c>
      <c r="D79" s="96" t="inlineStr">
        <is>
          <t>3331</t>
        </is>
      </c>
      <c r="E79" s="97" t="inlineStr">
        <is>
          <t>Lưỡng tính</t>
        </is>
      </c>
      <c r="F79" s="97" t="n"/>
    </row>
    <row r="80" ht="15" customHeight="1" s="78">
      <c r="A80" s="96" t="inlineStr">
        <is>
          <t>33312</t>
        </is>
      </c>
      <c r="B80" s="97" t="inlineStr">
        <is>
          <t xml:space="preserve">        Thuế GTGT hàng nhập khẩu</t>
        </is>
      </c>
      <c r="C80" s="95" t="n">
        <v>3</v>
      </c>
      <c r="D80" s="96" t="inlineStr">
        <is>
          <t>3331</t>
        </is>
      </c>
      <c r="E80" s="97" t="inlineStr">
        <is>
          <t>Lưỡng tính</t>
        </is>
      </c>
      <c r="F80" s="97" t="n"/>
    </row>
    <row r="81" ht="15" customHeight="1" s="78">
      <c r="A81" s="96" t="inlineStr">
        <is>
          <t>3332</t>
        </is>
      </c>
      <c r="B81" s="97" t="inlineStr">
        <is>
          <t xml:space="preserve">    Thuế tiêu thụ đặc biệt</t>
        </is>
      </c>
      <c r="C81" s="95" t="n">
        <v>2</v>
      </c>
      <c r="D81" s="96" t="inlineStr">
        <is>
          <t>333</t>
        </is>
      </c>
      <c r="E81" s="97" t="inlineStr">
        <is>
          <t>Lưỡng tính</t>
        </is>
      </c>
      <c r="F81" s="97" t="n"/>
    </row>
    <row r="82" ht="15" customHeight="1" s="78">
      <c r="A82" s="96" t="inlineStr">
        <is>
          <t>3333</t>
        </is>
      </c>
      <c r="B82" s="97" t="inlineStr">
        <is>
          <t xml:space="preserve">    Thuế xuất, nhập khẩu</t>
        </is>
      </c>
      <c r="C82" s="95" t="n">
        <v>2</v>
      </c>
      <c r="D82" s="96" t="inlineStr">
        <is>
          <t>333</t>
        </is>
      </c>
      <c r="E82" s="97" t="inlineStr">
        <is>
          <t>Lưỡng tính</t>
        </is>
      </c>
      <c r="F82" s="97" t="n"/>
    </row>
    <row r="83" ht="15" customHeight="1" s="78">
      <c r="A83" s="96" t="inlineStr">
        <is>
          <t>3334</t>
        </is>
      </c>
      <c r="B83" s="97" t="inlineStr">
        <is>
          <t xml:space="preserve">    Thuế thu nhập doanh nghiệp</t>
        </is>
      </c>
      <c r="C83" s="95" t="n">
        <v>2</v>
      </c>
      <c r="D83" s="96" t="inlineStr">
        <is>
          <t>333</t>
        </is>
      </c>
      <c r="E83" s="97" t="inlineStr">
        <is>
          <t>Lưỡng tính</t>
        </is>
      </c>
      <c r="F83" s="97" t="n"/>
    </row>
    <row r="84" ht="15" customHeight="1" s="78">
      <c r="A84" s="96" t="inlineStr">
        <is>
          <t>3335</t>
        </is>
      </c>
      <c r="B84" s="97" t="inlineStr">
        <is>
          <t xml:space="preserve">    Thuế thu nhập cá nhân</t>
        </is>
      </c>
      <c r="C84" s="95" t="n">
        <v>2</v>
      </c>
      <c r="D84" s="96" t="inlineStr">
        <is>
          <t>333</t>
        </is>
      </c>
      <c r="E84" s="97" t="inlineStr">
        <is>
          <t>Lưỡng tính</t>
        </is>
      </c>
      <c r="F84" s="97" t="n"/>
    </row>
    <row r="85" ht="15" customHeight="1" s="78">
      <c r="A85" s="96" t="inlineStr">
        <is>
          <t>3336</t>
        </is>
      </c>
      <c r="B85" s="97" t="inlineStr">
        <is>
          <t xml:space="preserve">    Thuế tài nguyên</t>
        </is>
      </c>
      <c r="C85" s="95" t="n">
        <v>2</v>
      </c>
      <c r="D85" s="96" t="inlineStr">
        <is>
          <t>333</t>
        </is>
      </c>
      <c r="E85" s="97" t="inlineStr">
        <is>
          <t>Lưỡng tính</t>
        </is>
      </c>
      <c r="F85" s="97" t="n"/>
    </row>
    <row r="86" ht="15" customHeight="1" s="78">
      <c r="A86" s="96" t="inlineStr">
        <is>
          <t>3337</t>
        </is>
      </c>
      <c r="B86" s="97" t="inlineStr">
        <is>
          <t xml:space="preserve">    Thuế nhà đất, tiền thuê đất</t>
        </is>
      </c>
      <c r="C86" s="95" t="n">
        <v>2</v>
      </c>
      <c r="D86" s="96" t="inlineStr">
        <is>
          <t>333</t>
        </is>
      </c>
      <c r="E86" s="97" t="inlineStr">
        <is>
          <t>Lưỡng tính</t>
        </is>
      </c>
      <c r="F86" s="97" t="n"/>
    </row>
    <row r="87" ht="15" customHeight="1" s="78">
      <c r="A87" s="96" t="inlineStr">
        <is>
          <t>3338</t>
        </is>
      </c>
      <c r="B87" s="97" t="inlineStr">
        <is>
          <t xml:space="preserve">    Thuế bảo vệ môi trường và các loại thuế khác</t>
        </is>
      </c>
      <c r="C87" s="95" t="n">
        <v>2</v>
      </c>
      <c r="D87" s="96" t="inlineStr">
        <is>
          <t>333</t>
        </is>
      </c>
      <c r="E87" s="97" t="inlineStr">
        <is>
          <t>Lưỡng tính</t>
        </is>
      </c>
      <c r="F87" s="97" t="n"/>
    </row>
    <row r="88" ht="15" customHeight="1" s="78">
      <c r="A88" s="96" t="inlineStr">
        <is>
          <t>33381</t>
        </is>
      </c>
      <c r="B88" s="97" t="inlineStr">
        <is>
          <t xml:space="preserve">        Thuế bảo vệ môi trường</t>
        </is>
      </c>
      <c r="C88" s="95" t="n">
        <v>3</v>
      </c>
      <c r="D88" s="96" t="inlineStr">
        <is>
          <t>3338</t>
        </is>
      </c>
      <c r="E88" s="97" t="inlineStr">
        <is>
          <t>Lưỡng tính</t>
        </is>
      </c>
      <c r="F88" s="97" t="n"/>
    </row>
    <row r="89" ht="15" customHeight="1" s="78">
      <c r="A89" s="96" t="inlineStr">
        <is>
          <t>33382</t>
        </is>
      </c>
      <c r="B89" s="97" t="inlineStr">
        <is>
          <t xml:space="preserve">        Các loại thuế khác</t>
        </is>
      </c>
      <c r="C89" s="95" t="n">
        <v>3</v>
      </c>
      <c r="D89" s="96" t="inlineStr">
        <is>
          <t>3338</t>
        </is>
      </c>
      <c r="E89" s="97" t="inlineStr">
        <is>
          <t>Lưỡng tính</t>
        </is>
      </c>
      <c r="F89" s="97" t="n"/>
    </row>
    <row r="90" ht="15" customHeight="1" s="78">
      <c r="A90" s="96" t="inlineStr">
        <is>
          <t>3339</t>
        </is>
      </c>
      <c r="B90" s="97" t="inlineStr">
        <is>
          <t xml:space="preserve">    Phí, lệ phí và các khoản phải nộp khác</t>
        </is>
      </c>
      <c r="C90" s="95" t="n">
        <v>2</v>
      </c>
      <c r="D90" s="96" t="inlineStr">
        <is>
          <t>333</t>
        </is>
      </c>
      <c r="E90" s="97" t="inlineStr">
        <is>
          <t>Lưỡng tính</t>
        </is>
      </c>
      <c r="F90" s="97" t="n"/>
    </row>
    <row r="91" ht="15" customHeight="1" s="78">
      <c r="A91" s="93" t="inlineStr">
        <is>
          <t>334</t>
        </is>
      </c>
      <c r="B91" s="94" t="inlineStr">
        <is>
          <t>Phải trả người lao động</t>
        </is>
      </c>
      <c r="C91" s="95" t="n">
        <v>1</v>
      </c>
      <c r="D91" s="96" t="n"/>
      <c r="E91" s="97" t="inlineStr">
        <is>
          <t>Dư Có</t>
        </is>
      </c>
      <c r="F91" s="97" t="n"/>
    </row>
    <row r="92" ht="15" customHeight="1" s="78">
      <c r="A92" s="93" t="inlineStr">
        <is>
          <t>335</t>
        </is>
      </c>
      <c r="B92" s="94" t="inlineStr">
        <is>
          <t>Chi phí phải trả</t>
        </is>
      </c>
      <c r="C92" s="95" t="n">
        <v>1</v>
      </c>
      <c r="D92" s="96" t="n"/>
      <c r="E92" s="97" t="inlineStr">
        <is>
          <t>Dư Có</t>
        </is>
      </c>
      <c r="F92" s="97" t="n"/>
    </row>
    <row r="93" ht="15" customHeight="1" s="78">
      <c r="A93" s="93" t="inlineStr">
        <is>
          <t>336</t>
        </is>
      </c>
      <c r="B93" s="94" t="inlineStr">
        <is>
          <t>Phải trả nội bộ</t>
        </is>
      </c>
      <c r="C93" s="95" t="n">
        <v>1</v>
      </c>
      <c r="D93" s="96" t="n"/>
      <c r="E93" s="97" t="inlineStr">
        <is>
          <t>Dư Có</t>
        </is>
      </c>
      <c r="F93" s="97" t="n"/>
    </row>
    <row r="94" ht="15" customHeight="1" s="78">
      <c r="A94" s="96" t="inlineStr">
        <is>
          <t>3361</t>
        </is>
      </c>
      <c r="B94" s="97" t="inlineStr">
        <is>
          <t xml:space="preserve">    Phải trả nội bộ về vốn kinh doanh</t>
        </is>
      </c>
      <c r="C94" s="95" t="n">
        <v>2</v>
      </c>
      <c r="D94" s="96" t="inlineStr">
        <is>
          <t>336</t>
        </is>
      </c>
      <c r="E94" s="97" t="inlineStr">
        <is>
          <t>Dư Có</t>
        </is>
      </c>
      <c r="F94" s="97" t="n"/>
    </row>
    <row r="95" ht="15" customHeight="1" s="78">
      <c r="A95" s="96" t="inlineStr">
        <is>
          <t>3362</t>
        </is>
      </c>
      <c r="B95" s="97" t="inlineStr">
        <is>
          <t xml:space="preserve">    Phải trả nội bộ về chênh lệch tỷ giá</t>
        </is>
      </c>
      <c r="C95" s="95" t="n">
        <v>2</v>
      </c>
      <c r="D95" s="96" t="inlineStr">
        <is>
          <t>336</t>
        </is>
      </c>
      <c r="E95" s="97" t="inlineStr">
        <is>
          <t>Dư Có</t>
        </is>
      </c>
      <c r="F95" s="97" t="n"/>
    </row>
    <row r="96" ht="15" customHeight="1" s="78">
      <c r="A96" s="96" t="inlineStr">
        <is>
          <t>3363</t>
        </is>
      </c>
      <c r="B96" s="97" t="inlineStr">
        <is>
          <t xml:space="preserve">    Phải trả nội bộ về chi phí đi vay đủ điều kiện được vốn hóa</t>
        </is>
      </c>
      <c r="C96" s="95" t="n">
        <v>2</v>
      </c>
      <c r="D96" s="96" t="inlineStr">
        <is>
          <t>336</t>
        </is>
      </c>
      <c r="E96" s="97" t="inlineStr">
        <is>
          <t>Dư Có</t>
        </is>
      </c>
      <c r="F96" s="97" t="n"/>
    </row>
    <row r="97" ht="15" customHeight="1" s="78">
      <c r="A97" s="96" t="inlineStr">
        <is>
          <t>3368</t>
        </is>
      </c>
      <c r="B97" s="97" t="inlineStr">
        <is>
          <t xml:space="preserve">    Phải trả nội bộ khác</t>
        </is>
      </c>
      <c r="C97" s="95" t="n">
        <v>2</v>
      </c>
      <c r="D97" s="96" t="inlineStr">
        <is>
          <t>336</t>
        </is>
      </c>
      <c r="E97" s="97" t="inlineStr">
        <is>
          <t>Dư Có</t>
        </is>
      </c>
      <c r="F97" s="97" t="n"/>
    </row>
    <row r="98" ht="15" customHeight="1" s="78">
      <c r="A98" s="93" t="inlineStr">
        <is>
          <t>337</t>
        </is>
      </c>
      <c r="B98" s="94" t="inlineStr">
        <is>
          <t>Thanh toán theo tiến độ hợp đồng xây dựng</t>
        </is>
      </c>
      <c r="C98" s="95" t="n">
        <v>1</v>
      </c>
      <c r="D98" s="96" t="n"/>
      <c r="E98" s="97" t="inlineStr">
        <is>
          <t>Lưỡng tính</t>
        </is>
      </c>
      <c r="F98" s="97" t="n"/>
    </row>
    <row r="99" ht="15" customHeight="1" s="78">
      <c r="A99" s="93" t="inlineStr">
        <is>
          <t>338</t>
        </is>
      </c>
      <c r="B99" s="94" t="inlineStr">
        <is>
          <t>Phải trả, phải nộp khác</t>
        </is>
      </c>
      <c r="C99" s="95" t="n">
        <v>1</v>
      </c>
      <c r="D99" s="96" t="n"/>
      <c r="E99" s="97" t="inlineStr">
        <is>
          <t>Lưỡng tính</t>
        </is>
      </c>
      <c r="F99" s="97" t="n"/>
    </row>
    <row r="100" ht="15" customHeight="1" s="78">
      <c r="A100" s="96" t="inlineStr">
        <is>
          <t>3381</t>
        </is>
      </c>
      <c r="B100" s="97" t="inlineStr">
        <is>
          <t xml:space="preserve">    Tài sản thừa chờ giải quyết</t>
        </is>
      </c>
      <c r="C100" s="95" t="n">
        <v>2</v>
      </c>
      <c r="D100" s="96" t="inlineStr">
        <is>
          <t>338</t>
        </is>
      </c>
      <c r="E100" s="97" t="inlineStr">
        <is>
          <t>Dư Có</t>
        </is>
      </c>
      <c r="F100" s="97" t="n"/>
    </row>
    <row r="101" ht="15" customHeight="1" s="78">
      <c r="A101" s="96" t="inlineStr">
        <is>
          <t>3382</t>
        </is>
      </c>
      <c r="B101" s="97" t="inlineStr">
        <is>
          <t xml:space="preserve">    Kinh phí công đoàn</t>
        </is>
      </c>
      <c r="C101" s="95" t="n">
        <v>2</v>
      </c>
      <c r="D101" s="96" t="inlineStr">
        <is>
          <t>338</t>
        </is>
      </c>
      <c r="E101" s="97" t="inlineStr">
        <is>
          <t>Dư Có</t>
        </is>
      </c>
      <c r="F101" s="97" t="n"/>
    </row>
    <row r="102" ht="15" customHeight="1" s="78">
      <c r="A102" s="96" t="inlineStr">
        <is>
          <t>3383</t>
        </is>
      </c>
      <c r="B102" s="97" t="inlineStr">
        <is>
          <t xml:space="preserve">    Bảo hiểm xã hội</t>
        </is>
      </c>
      <c r="C102" s="95" t="n">
        <v>2</v>
      </c>
      <c r="D102" s="96" t="inlineStr">
        <is>
          <t>338</t>
        </is>
      </c>
      <c r="E102" s="97" t="inlineStr">
        <is>
          <t>Dư Có</t>
        </is>
      </c>
      <c r="F102" s="97" t="n"/>
    </row>
    <row r="103" ht="15" customHeight="1" s="78">
      <c r="A103" s="96" t="inlineStr">
        <is>
          <t>3384</t>
        </is>
      </c>
      <c r="B103" s="97" t="inlineStr">
        <is>
          <t xml:space="preserve">    Bảo hiểm y tế</t>
        </is>
      </c>
      <c r="C103" s="95" t="n">
        <v>2</v>
      </c>
      <c r="D103" s="96" t="inlineStr">
        <is>
          <t>338</t>
        </is>
      </c>
      <c r="E103" s="97" t="inlineStr">
        <is>
          <t>Dư Có</t>
        </is>
      </c>
      <c r="F103" s="97" t="n"/>
    </row>
    <row r="104" ht="15" customHeight="1" s="78">
      <c r="A104" s="96" t="inlineStr">
        <is>
          <t>3386</t>
        </is>
      </c>
      <c r="B104" s="97" t="inlineStr">
        <is>
          <t xml:space="preserve">    Bảo hiểm thất nghiệp</t>
        </is>
      </c>
      <c r="C104" s="95" t="n">
        <v>2</v>
      </c>
      <c r="D104" s="96" t="inlineStr">
        <is>
          <t>338</t>
        </is>
      </c>
      <c r="E104" s="97" t="inlineStr">
        <is>
          <t>Dư Có</t>
        </is>
      </c>
      <c r="F104" s="97" t="n"/>
    </row>
    <row r="105" ht="15" customHeight="1" s="78">
      <c r="A105" s="96" t="inlineStr">
        <is>
          <t>3387</t>
        </is>
      </c>
      <c r="B105" s="97" t="inlineStr">
        <is>
          <t xml:space="preserve">    Doanh thu chờ phân bổ</t>
        </is>
      </c>
      <c r="C105" s="95" t="n">
        <v>2</v>
      </c>
      <c r="D105" s="96" t="inlineStr">
        <is>
          <t>338</t>
        </is>
      </c>
      <c r="E105" s="97" t="inlineStr">
        <is>
          <t>Dư Có</t>
        </is>
      </c>
      <c r="F105" s="97" t="n"/>
    </row>
    <row r="106" ht="15" customHeight="1" s="78">
      <c r="A106" s="96" t="inlineStr">
        <is>
          <t>3388</t>
        </is>
      </c>
      <c r="B106" s="97" t="inlineStr">
        <is>
          <t xml:space="preserve">    Phải trả, phải nộp khác</t>
        </is>
      </c>
      <c r="C106" s="95" t="n">
        <v>2</v>
      </c>
      <c r="D106" s="96" t="inlineStr">
        <is>
          <t>338</t>
        </is>
      </c>
      <c r="E106" s="97" t="inlineStr">
        <is>
          <t>Lưỡng tính</t>
        </is>
      </c>
      <c r="F106" s="97" t="n"/>
    </row>
    <row r="107" ht="15" customHeight="1" s="78">
      <c r="A107" s="93" t="inlineStr">
        <is>
          <t>341</t>
        </is>
      </c>
      <c r="B107" s="94" t="inlineStr">
        <is>
          <t>Vay và nợ thuê tài chính</t>
        </is>
      </c>
      <c r="C107" s="95" t="n">
        <v>1</v>
      </c>
      <c r="D107" s="96" t="n"/>
      <c r="E107" s="97" t="inlineStr">
        <is>
          <t>Dư Có</t>
        </is>
      </c>
      <c r="F107" s="97" t="n"/>
    </row>
    <row r="108" ht="15" customHeight="1" s="78">
      <c r="A108" s="96" t="inlineStr">
        <is>
          <t>3411</t>
        </is>
      </c>
      <c r="B108" s="97" t="inlineStr">
        <is>
          <t xml:space="preserve">    Các khoản đi vay</t>
        </is>
      </c>
      <c r="C108" s="95" t="n">
        <v>2</v>
      </c>
      <c r="D108" s="96" t="inlineStr">
        <is>
          <t>341</t>
        </is>
      </c>
      <c r="E108" s="97" t="inlineStr">
        <is>
          <t>Dư Có</t>
        </is>
      </c>
      <c r="F108" s="97" t="n"/>
    </row>
    <row r="109" ht="15" customHeight="1" s="78">
      <c r="A109" s="96" t="inlineStr">
        <is>
          <t>3412</t>
        </is>
      </c>
      <c r="B109" s="97" t="inlineStr">
        <is>
          <t xml:space="preserve">    Nợ thuê tài chính</t>
        </is>
      </c>
      <c r="C109" s="95" t="n">
        <v>2</v>
      </c>
      <c r="D109" s="96" t="inlineStr">
        <is>
          <t>341</t>
        </is>
      </c>
      <c r="E109" s="97" t="inlineStr">
        <is>
          <t>Dư Có</t>
        </is>
      </c>
      <c r="F109" s="97" t="n"/>
    </row>
    <row r="110" ht="15" customHeight="1" s="78">
      <c r="A110" s="93" t="inlineStr">
        <is>
          <t>343</t>
        </is>
      </c>
      <c r="B110" s="94" t="inlineStr">
        <is>
          <t>Trái phiếu phát hành</t>
        </is>
      </c>
      <c r="C110" s="95" t="n">
        <v>1</v>
      </c>
      <c r="D110" s="96" t="n"/>
      <c r="E110" s="97" t="inlineStr">
        <is>
          <t>Dư Có</t>
        </is>
      </c>
      <c r="F110" s="97" t="n"/>
    </row>
    <row r="111" ht="15" customHeight="1" s="78">
      <c r="A111" s="96" t="inlineStr">
        <is>
          <t>3431</t>
        </is>
      </c>
      <c r="B111" s="97" t="inlineStr">
        <is>
          <t xml:space="preserve">    Trái phiếu thường</t>
        </is>
      </c>
      <c r="C111" s="95" t="n">
        <v>2</v>
      </c>
      <c r="D111" s="96" t="inlineStr">
        <is>
          <t>343</t>
        </is>
      </c>
      <c r="E111" s="97" t="inlineStr">
        <is>
          <t>Dư Có</t>
        </is>
      </c>
      <c r="F111" s="97" t="n"/>
    </row>
    <row r="112" ht="15" customHeight="1" s="78">
      <c r="A112" s="96" t="inlineStr">
        <is>
          <t>3432</t>
        </is>
      </c>
      <c r="B112" s="97" t="inlineStr">
        <is>
          <t xml:space="preserve">    Trái phiếu chuyển đổi</t>
        </is>
      </c>
      <c r="C112" s="95" t="n">
        <v>2</v>
      </c>
      <c r="D112" s="96" t="inlineStr">
        <is>
          <t>343</t>
        </is>
      </c>
      <c r="E112" s="97" t="inlineStr">
        <is>
          <t>Dư Có</t>
        </is>
      </c>
      <c r="F112" s="97" t="n"/>
    </row>
    <row r="113" ht="15" customHeight="1" s="78">
      <c r="A113" s="93" t="inlineStr">
        <is>
          <t>344</t>
        </is>
      </c>
      <c r="B113" s="94" t="inlineStr">
        <is>
          <t>Nhận ký quỹ, ký cược</t>
        </is>
      </c>
      <c r="C113" s="95" t="n">
        <v>1</v>
      </c>
      <c r="D113" s="96" t="n"/>
      <c r="E113" s="97" t="inlineStr">
        <is>
          <t>Dư Có</t>
        </is>
      </c>
      <c r="F113" s="97" t="n"/>
    </row>
    <row r="114" ht="15" customHeight="1" s="78">
      <c r="A114" s="93" t="inlineStr">
        <is>
          <t>347</t>
        </is>
      </c>
      <c r="B114" s="94" t="inlineStr">
        <is>
          <t>Thuế thu nhập hoãn lại phải trả</t>
        </is>
      </c>
      <c r="C114" s="95" t="n">
        <v>1</v>
      </c>
      <c r="D114" s="96" t="n"/>
      <c r="E114" s="97" t="inlineStr">
        <is>
          <t>Dư Có</t>
        </is>
      </c>
      <c r="F114" s="97" t="n"/>
    </row>
    <row r="115" ht="15" customHeight="1" s="78">
      <c r="A115" s="93" t="inlineStr">
        <is>
          <t>352</t>
        </is>
      </c>
      <c r="B115" s="94" t="inlineStr">
        <is>
          <t>Dự phòng phải trả</t>
        </is>
      </c>
      <c r="C115" s="95" t="n">
        <v>1</v>
      </c>
      <c r="D115" s="96" t="n"/>
      <c r="E115" s="97" t="inlineStr">
        <is>
          <t>Dư Có</t>
        </is>
      </c>
      <c r="F115" s="97" t="n"/>
    </row>
    <row r="116" ht="15" customHeight="1" s="78">
      <c r="A116" s="96" t="inlineStr">
        <is>
          <t>3521</t>
        </is>
      </c>
      <c r="B116" s="97" t="inlineStr">
        <is>
          <t xml:space="preserve">    Dự phòng bảo hành sản phẩm, hàng hóa</t>
        </is>
      </c>
      <c r="C116" s="95" t="n">
        <v>2</v>
      </c>
      <c r="D116" s="96" t="inlineStr">
        <is>
          <t>352</t>
        </is>
      </c>
      <c r="E116" s="97" t="inlineStr">
        <is>
          <t>Dư Có</t>
        </is>
      </c>
      <c r="F116" s="97" t="n"/>
    </row>
    <row r="117" ht="15" customHeight="1" s="78">
      <c r="A117" s="96" t="inlineStr">
        <is>
          <t>3522</t>
        </is>
      </c>
      <c r="B117" s="97" t="inlineStr">
        <is>
          <t xml:space="preserve">    Dự phòng bảo hành công trình xây dựng</t>
        </is>
      </c>
      <c r="C117" s="95" t="n">
        <v>2</v>
      </c>
      <c r="D117" s="96" t="inlineStr">
        <is>
          <t>352</t>
        </is>
      </c>
      <c r="E117" s="97" t="inlineStr">
        <is>
          <t>Dư Có</t>
        </is>
      </c>
      <c r="F117" s="97" t="n"/>
    </row>
    <row r="118" ht="15" customHeight="1" s="78">
      <c r="A118" s="96" t="inlineStr">
        <is>
          <t>3523</t>
        </is>
      </c>
      <c r="B118" s="97" t="inlineStr">
        <is>
          <t xml:space="preserve">    Dự phòng tái cơ cấu doanh nghiệp</t>
        </is>
      </c>
      <c r="C118" s="95" t="n">
        <v>2</v>
      </c>
      <c r="D118" s="96" t="inlineStr">
        <is>
          <t>352</t>
        </is>
      </c>
      <c r="E118" s="97" t="inlineStr">
        <is>
          <t>Dư Có</t>
        </is>
      </c>
      <c r="F118" s="97" t="n"/>
    </row>
    <row r="119" ht="15" customHeight="1" s="78">
      <c r="A119" s="96" t="inlineStr">
        <is>
          <t>3525</t>
        </is>
      </c>
      <c r="B119" s="97" t="inlineStr">
        <is>
          <t xml:space="preserve">    Dự phòng phải trả khác</t>
        </is>
      </c>
      <c r="C119" s="95" t="n">
        <v>2</v>
      </c>
      <c r="D119" s="96" t="inlineStr">
        <is>
          <t>352</t>
        </is>
      </c>
      <c r="E119" s="97" t="inlineStr">
        <is>
          <t>Dư Có</t>
        </is>
      </c>
      <c r="F119" s="98" t="inlineStr">
        <is>
          <t>TT99: thay số hiệu 3524 cũ</t>
        </is>
      </c>
    </row>
    <row r="120" ht="15" customHeight="1" s="78">
      <c r="A120" s="93" t="inlineStr">
        <is>
          <t>353</t>
        </is>
      </c>
      <c r="B120" s="94" t="inlineStr">
        <is>
          <t>Quỹ khen thưởng, phúc lợi</t>
        </is>
      </c>
      <c r="C120" s="95" t="n">
        <v>1</v>
      </c>
      <c r="D120" s="96" t="n"/>
      <c r="E120" s="97" t="inlineStr">
        <is>
          <t>Dư Có</t>
        </is>
      </c>
      <c r="F120" s="97" t="n"/>
    </row>
    <row r="121" ht="15" customHeight="1" s="78">
      <c r="A121" s="96" t="inlineStr">
        <is>
          <t>3531</t>
        </is>
      </c>
      <c r="B121" s="97" t="inlineStr">
        <is>
          <t xml:space="preserve">    Quỹ khen thưởng</t>
        </is>
      </c>
      <c r="C121" s="95" t="n">
        <v>2</v>
      </c>
      <c r="D121" s="96" t="inlineStr">
        <is>
          <t>353</t>
        </is>
      </c>
      <c r="E121" s="97" t="inlineStr">
        <is>
          <t>Dư Có</t>
        </is>
      </c>
      <c r="F121" s="97" t="n"/>
    </row>
    <row r="122" ht="15" customHeight="1" s="78">
      <c r="A122" s="96" t="inlineStr">
        <is>
          <t>3532</t>
        </is>
      </c>
      <c r="B122" s="97" t="inlineStr">
        <is>
          <t xml:space="preserve">    Quỹ phúc lợi</t>
        </is>
      </c>
      <c r="C122" s="95" t="n">
        <v>2</v>
      </c>
      <c r="D122" s="96" t="inlineStr">
        <is>
          <t>353</t>
        </is>
      </c>
      <c r="E122" s="97" t="inlineStr">
        <is>
          <t>Dư Có</t>
        </is>
      </c>
      <c r="F122" s="97" t="n"/>
    </row>
    <row r="123" ht="15" customHeight="1" s="78">
      <c r="A123" s="96" t="inlineStr">
        <is>
          <t>3533</t>
        </is>
      </c>
      <c r="B123" s="97" t="inlineStr">
        <is>
          <t xml:space="preserve">    Quỹ phúc lợi đã hình thành TSCĐ</t>
        </is>
      </c>
      <c r="C123" s="95" t="n">
        <v>2</v>
      </c>
      <c r="D123" s="96" t="inlineStr">
        <is>
          <t>353</t>
        </is>
      </c>
      <c r="E123" s="97" t="inlineStr">
        <is>
          <t>Dư Có</t>
        </is>
      </c>
      <c r="F123" s="97" t="n"/>
    </row>
    <row r="124" ht="15" customHeight="1" s="78">
      <c r="A124" s="96" t="inlineStr">
        <is>
          <t>3534</t>
        </is>
      </c>
      <c r="B124" s="97" t="inlineStr">
        <is>
          <t xml:space="preserve">    Quỹ thưởng ban quản lý điều hành công ty</t>
        </is>
      </c>
      <c r="C124" s="95" t="n">
        <v>2</v>
      </c>
      <c r="D124" s="96" t="inlineStr">
        <is>
          <t>353</t>
        </is>
      </c>
      <c r="E124" s="97" t="inlineStr">
        <is>
          <t>Dư Có</t>
        </is>
      </c>
      <c r="F124" s="97" t="n"/>
    </row>
    <row r="125" ht="15" customHeight="1" s="78">
      <c r="A125" s="93" t="inlineStr">
        <is>
          <t>356</t>
        </is>
      </c>
      <c r="B125" s="94" t="inlineStr">
        <is>
          <t>Quỹ phát triển khoa học và công nghệ</t>
        </is>
      </c>
      <c r="C125" s="95" t="n">
        <v>1</v>
      </c>
      <c r="D125" s="96" t="n"/>
      <c r="E125" s="97" t="inlineStr">
        <is>
          <t>Dư Có</t>
        </is>
      </c>
      <c r="F125" s="97" t="n"/>
    </row>
    <row r="126" ht="15" customHeight="1" s="78">
      <c r="A126" s="96" t="inlineStr">
        <is>
          <t>3561</t>
        </is>
      </c>
      <c r="B126" s="97" t="inlineStr">
        <is>
          <t xml:space="preserve">    Quỹ phát triển khoa học và công nghệ</t>
        </is>
      </c>
      <c r="C126" s="95" t="n">
        <v>2</v>
      </c>
      <c r="D126" s="96" t="inlineStr">
        <is>
          <t>356</t>
        </is>
      </c>
      <c r="E126" s="97" t="inlineStr">
        <is>
          <t>Dư Có</t>
        </is>
      </c>
      <c r="F126" s="97" t="n"/>
    </row>
    <row r="127" ht="15" customHeight="1" s="78">
      <c r="A127" s="96" t="inlineStr">
        <is>
          <t>3562</t>
        </is>
      </c>
      <c r="B127" s="97" t="inlineStr">
        <is>
          <t xml:space="preserve">    Quỹ phát triển khoa học và công nghệ đã hình thành tài sản</t>
        </is>
      </c>
      <c r="C127" s="95" t="n">
        <v>2</v>
      </c>
      <c r="D127" s="96" t="inlineStr">
        <is>
          <t>356</t>
        </is>
      </c>
      <c r="E127" s="97" t="inlineStr">
        <is>
          <t>Dư Có</t>
        </is>
      </c>
      <c r="F127" s="97" t="n"/>
    </row>
    <row r="128" ht="15" customHeight="1" s="78">
      <c r="A128" s="93" t="inlineStr">
        <is>
          <t>357</t>
        </is>
      </c>
      <c r="B128" s="94" t="inlineStr">
        <is>
          <t>Quỹ bình ổn giá</t>
        </is>
      </c>
      <c r="C128" s="95" t="n">
        <v>1</v>
      </c>
      <c r="D128" s="96" t="n"/>
      <c r="E128" s="97" t="inlineStr">
        <is>
          <t>Dư Có</t>
        </is>
      </c>
      <c r="F128" s="97" t="n"/>
    </row>
    <row r="129" ht="15" customHeight="1" s="78">
      <c r="A129" s="93" t="inlineStr">
        <is>
          <t>411</t>
        </is>
      </c>
      <c r="B129" s="94" t="inlineStr">
        <is>
          <t>Vốn đầu tư của chủ sở hữu</t>
        </is>
      </c>
      <c r="C129" s="95" t="n">
        <v>1</v>
      </c>
      <c r="D129" s="96" t="n"/>
      <c r="E129" s="97" t="inlineStr">
        <is>
          <t>Dư Có</t>
        </is>
      </c>
      <c r="F129" s="97" t="n"/>
    </row>
    <row r="130" ht="15" customHeight="1" s="78">
      <c r="A130" s="96" t="inlineStr">
        <is>
          <t>4111</t>
        </is>
      </c>
      <c r="B130" s="97" t="inlineStr">
        <is>
          <t xml:space="preserve">    Vốn góp của chủ sở hữu</t>
        </is>
      </c>
      <c r="C130" s="95" t="n">
        <v>2</v>
      </c>
      <c r="D130" s="96" t="inlineStr">
        <is>
          <t>411</t>
        </is>
      </c>
      <c r="E130" s="97" t="inlineStr">
        <is>
          <t>Dư Có</t>
        </is>
      </c>
      <c r="F130" s="97" t="n"/>
    </row>
    <row r="131" ht="15" customHeight="1" s="78">
      <c r="A131" s="96" t="inlineStr">
        <is>
          <t>41111</t>
        </is>
      </c>
      <c r="B131" s="97" t="inlineStr">
        <is>
          <t xml:space="preserve">        Cổ phiếu phổ thông có quyền biểu quyết</t>
        </is>
      </c>
      <c r="C131" s="95" t="n">
        <v>3</v>
      </c>
      <c r="D131" s="96" t="inlineStr">
        <is>
          <t>4111</t>
        </is>
      </c>
      <c r="E131" s="97" t="inlineStr">
        <is>
          <t>Dư Có</t>
        </is>
      </c>
      <c r="F131" s="97" t="n"/>
    </row>
    <row r="132" ht="15" customHeight="1" s="78">
      <c r="A132" s="96" t="inlineStr">
        <is>
          <t>41112</t>
        </is>
      </c>
      <c r="B132" s="97" t="inlineStr">
        <is>
          <t xml:space="preserve">        Cổ phiếu ưu đãi</t>
        </is>
      </c>
      <c r="C132" s="95" t="n">
        <v>3</v>
      </c>
      <c r="D132" s="96" t="inlineStr">
        <is>
          <t>4111</t>
        </is>
      </c>
      <c r="E132" s="97" t="inlineStr">
        <is>
          <t>Dư Có</t>
        </is>
      </c>
      <c r="F132" s="97" t="n"/>
    </row>
    <row r="133" ht="15" customHeight="1" s="78">
      <c r="A133" s="96" t="inlineStr">
        <is>
          <t>4112</t>
        </is>
      </c>
      <c r="B133" s="97" t="inlineStr">
        <is>
          <t xml:space="preserve">    Thặng dư vốn</t>
        </is>
      </c>
      <c r="C133" s="95" t="n">
        <v>2</v>
      </c>
      <c r="D133" s="96" t="inlineStr">
        <is>
          <t>411</t>
        </is>
      </c>
      <c r="E133" s="97" t="inlineStr">
        <is>
          <t>Lưỡng tính</t>
        </is>
      </c>
      <c r="F133" s="97" t="n"/>
    </row>
    <row r="134" ht="15" customHeight="1" s="78">
      <c r="A134" s="96" t="inlineStr">
        <is>
          <t>4113</t>
        </is>
      </c>
      <c r="B134" s="97" t="inlineStr">
        <is>
          <t xml:space="preserve">    Quyền chọn chuyển đổi trái phiếu</t>
        </is>
      </c>
      <c r="C134" s="95" t="n">
        <v>2</v>
      </c>
      <c r="D134" s="96" t="inlineStr">
        <is>
          <t>411</t>
        </is>
      </c>
      <c r="E134" s="97" t="inlineStr">
        <is>
          <t>Dư Có</t>
        </is>
      </c>
      <c r="F134" s="97" t="n"/>
    </row>
    <row r="135" ht="15" customHeight="1" s="78">
      <c r="A135" s="96" t="inlineStr">
        <is>
          <t>4118</t>
        </is>
      </c>
      <c r="B135" s="97" t="inlineStr">
        <is>
          <t xml:space="preserve">    Vốn khác</t>
        </is>
      </c>
      <c r="C135" s="95" t="n">
        <v>2</v>
      </c>
      <c r="D135" s="96" t="inlineStr">
        <is>
          <t>411</t>
        </is>
      </c>
      <c r="E135" s="97" t="inlineStr">
        <is>
          <t>Dư Có</t>
        </is>
      </c>
      <c r="F135" s="97" t="n"/>
    </row>
    <row r="136" ht="15" customHeight="1" s="78">
      <c r="A136" s="93" t="inlineStr">
        <is>
          <t>412</t>
        </is>
      </c>
      <c r="B136" s="94" t="inlineStr">
        <is>
          <t>Chênh lệch đánh giá lại tài sản</t>
        </is>
      </c>
      <c r="C136" s="95" t="n">
        <v>1</v>
      </c>
      <c r="D136" s="96" t="n"/>
      <c r="E136" s="97" t="inlineStr">
        <is>
          <t>Lưỡng tính</t>
        </is>
      </c>
      <c r="F136" s="97" t="n"/>
    </row>
    <row r="137" ht="15" customHeight="1" s="78">
      <c r="A137" s="93" t="inlineStr">
        <is>
          <t>413</t>
        </is>
      </c>
      <c r="B137" s="94" t="inlineStr">
        <is>
          <t>Chênh lệch tỷ giá hối đoái</t>
        </is>
      </c>
      <c r="C137" s="95" t="n">
        <v>1</v>
      </c>
      <c r="D137" s="96" t="n"/>
      <c r="E137" s="97" t="inlineStr">
        <is>
          <t>Lưỡng tính</t>
        </is>
      </c>
      <c r="F137" s="97" t="n"/>
    </row>
    <row r="138" ht="15" customHeight="1" s="78">
      <c r="A138" s="93" t="inlineStr">
        <is>
          <t>414</t>
        </is>
      </c>
      <c r="B138" s="94" t="inlineStr">
        <is>
          <t>Quỹ đầu tư phát triển</t>
        </is>
      </c>
      <c r="C138" s="95" t="n">
        <v>1</v>
      </c>
      <c r="D138" s="96" t="n"/>
      <c r="E138" s="97" t="inlineStr">
        <is>
          <t>Dư Có</t>
        </is>
      </c>
      <c r="F138" s="97" t="n"/>
    </row>
    <row r="139" ht="15" customHeight="1" s="78">
      <c r="A139" s="93" t="inlineStr">
        <is>
          <t>418</t>
        </is>
      </c>
      <c r="B139" s="94" t="inlineStr">
        <is>
          <t>Các quỹ khác thuộc vốn chủ sở hữu</t>
        </is>
      </c>
      <c r="C139" s="95" t="n">
        <v>1</v>
      </c>
      <c r="D139" s="96" t="n"/>
      <c r="E139" s="97" t="inlineStr">
        <is>
          <t>Dư Có</t>
        </is>
      </c>
      <c r="F139" s="97" t="n"/>
    </row>
    <row r="140" ht="15" customHeight="1" s="78">
      <c r="A140" s="93" t="inlineStr">
        <is>
          <t>419</t>
        </is>
      </c>
      <c r="B140" s="94" t="inlineStr">
        <is>
          <t>Cổ phiếu mua lại của chính mình</t>
        </is>
      </c>
      <c r="C140" s="95" t="n">
        <v>1</v>
      </c>
      <c r="D140" s="96" t="n"/>
      <c r="E140" s="97" t="inlineStr">
        <is>
          <t>Dư Nợ (điều chỉnh giảm vốn)</t>
        </is>
      </c>
      <c r="F140" s="97" t="n"/>
    </row>
    <row r="141" ht="15" customHeight="1" s="78">
      <c r="A141" s="93" t="inlineStr">
        <is>
          <t>421</t>
        </is>
      </c>
      <c r="B141" s="94" t="inlineStr">
        <is>
          <t>Lợi nhuận sau thuế chưa phân phối</t>
        </is>
      </c>
      <c r="C141" s="95" t="n">
        <v>1</v>
      </c>
      <c r="D141" s="96" t="n"/>
      <c r="E141" s="97" t="inlineStr">
        <is>
          <t>Lưỡng tính</t>
        </is>
      </c>
      <c r="F141" s="98" t="inlineStr">
        <is>
          <t>Ghi sổ ở TK 4211/4212</t>
        </is>
      </c>
    </row>
    <row r="142" ht="15" customHeight="1" s="78">
      <c r="A142" s="96" t="inlineStr">
        <is>
          <t>4211</t>
        </is>
      </c>
      <c r="B142" s="97" t="inlineStr">
        <is>
          <t xml:space="preserve">    Lợi nhuận sau thuế chưa phân phối lũy kế đến cuối năm trước</t>
        </is>
      </c>
      <c r="C142" s="95" t="n">
        <v>2</v>
      </c>
      <c r="D142" s="96" t="inlineStr">
        <is>
          <t>421</t>
        </is>
      </c>
      <c r="E142" s="97" t="inlineStr">
        <is>
          <t>Lưỡng tính</t>
        </is>
      </c>
      <c r="F142" s="97" t="n"/>
    </row>
    <row r="143" ht="15" customHeight="1" s="78">
      <c r="A143" s="96" t="inlineStr">
        <is>
          <t>4212</t>
        </is>
      </c>
      <c r="B143" s="97" t="inlineStr">
        <is>
          <t xml:space="preserve">    Lợi nhuận sau thuế chưa phân phối năm nay</t>
        </is>
      </c>
      <c r="C143" s="95" t="n">
        <v>2</v>
      </c>
      <c r="D143" s="96" t="inlineStr">
        <is>
          <t>421</t>
        </is>
      </c>
      <c r="E143" s="97" t="inlineStr">
        <is>
          <t>Lưỡng tính</t>
        </is>
      </c>
      <c r="F143" s="97" t="n"/>
    </row>
    <row r="144" ht="15" customHeight="1" s="78">
      <c r="A144" s="93" t="inlineStr">
        <is>
          <t>511</t>
        </is>
      </c>
      <c r="B144" s="94" t="inlineStr">
        <is>
          <t>Doanh thu bán hàng và cung cấp dịch vụ</t>
        </is>
      </c>
      <c r="C144" s="95" t="n">
        <v>1</v>
      </c>
      <c r="D144" s="96" t="n"/>
      <c r="E144" s="97" t="inlineStr">
        <is>
          <t>Không có số dư (kết chuyển)</t>
        </is>
      </c>
      <c r="F144" s="97" t="n"/>
    </row>
    <row r="145" ht="15" customHeight="1" s="78">
      <c r="A145" s="93" t="inlineStr">
        <is>
          <t>515</t>
        </is>
      </c>
      <c r="B145" s="94" t="inlineStr">
        <is>
          <t>Doanh thu hoạt động tài chính</t>
        </is>
      </c>
      <c r="C145" s="95" t="n">
        <v>1</v>
      </c>
      <c r="D145" s="96" t="n"/>
      <c r="E145" s="97" t="inlineStr">
        <is>
          <t>Không có số dư (kết chuyển)</t>
        </is>
      </c>
      <c r="F145" s="97" t="n"/>
    </row>
    <row r="146" ht="15" customHeight="1" s="78">
      <c r="A146" s="93" t="inlineStr">
        <is>
          <t>521</t>
        </is>
      </c>
      <c r="B146" s="94" t="inlineStr">
        <is>
          <t>Các khoản giảm trừ doanh thu</t>
        </is>
      </c>
      <c r="C146" s="95" t="n">
        <v>1</v>
      </c>
      <c r="D146" s="96" t="n"/>
      <c r="E146" s="97" t="inlineStr">
        <is>
          <t>Không có số dư (kết chuyển)</t>
        </is>
      </c>
      <c r="F146" s="97" t="n"/>
    </row>
    <row r="147" ht="15" customHeight="1" s="78">
      <c r="A147" s="93" t="inlineStr">
        <is>
          <t>621</t>
        </is>
      </c>
      <c r="B147" s="94" t="inlineStr">
        <is>
          <t>Chi phí nguyên liệu, vật liệu trực tiếp</t>
        </is>
      </c>
      <c r="C147" s="95" t="n">
        <v>1</v>
      </c>
      <c r="D147" s="96" t="n"/>
      <c r="E147" s="97" t="inlineStr">
        <is>
          <t>Không có số dư (kết chuyển)</t>
        </is>
      </c>
      <c r="F147" s="97" t="n"/>
    </row>
    <row r="148" ht="15" customHeight="1" s="78">
      <c r="A148" s="93" t="inlineStr">
        <is>
          <t>622</t>
        </is>
      </c>
      <c r="B148" s="94" t="inlineStr">
        <is>
          <t>Chi phí nhân công trực tiếp</t>
        </is>
      </c>
      <c r="C148" s="95" t="n">
        <v>1</v>
      </c>
      <c r="D148" s="96" t="n"/>
      <c r="E148" s="97" t="inlineStr">
        <is>
          <t>Không có số dư (kết chuyển)</t>
        </is>
      </c>
      <c r="F148" s="97" t="n"/>
    </row>
    <row r="149" ht="15" customHeight="1" s="78">
      <c r="A149" s="93" t="inlineStr">
        <is>
          <t>623</t>
        </is>
      </c>
      <c r="B149" s="94" t="inlineStr">
        <is>
          <t>Chi phí sử dụng máy thi công</t>
        </is>
      </c>
      <c r="C149" s="95" t="n">
        <v>1</v>
      </c>
      <c r="D149" s="96" t="n"/>
      <c r="E149" s="97" t="inlineStr">
        <is>
          <t>Không có số dư (kết chuyển)</t>
        </is>
      </c>
      <c r="F149" s="97" t="n"/>
    </row>
    <row r="150" ht="15" customHeight="1" s="78">
      <c r="A150" s="96" t="inlineStr">
        <is>
          <t>6231</t>
        </is>
      </c>
      <c r="B150" s="97" t="inlineStr">
        <is>
          <t xml:space="preserve">    Chi phí nhân công</t>
        </is>
      </c>
      <c r="C150" s="95" t="n">
        <v>2</v>
      </c>
      <c r="D150" s="96" t="inlineStr">
        <is>
          <t>623</t>
        </is>
      </c>
      <c r="E150" s="97" t="inlineStr">
        <is>
          <t>Không có số dư (kết chuyển)</t>
        </is>
      </c>
      <c r="F150" s="97" t="n"/>
    </row>
    <row r="151" ht="15" customHeight="1" s="78">
      <c r="A151" s="96" t="inlineStr">
        <is>
          <t>6232</t>
        </is>
      </c>
      <c r="B151" s="97" t="inlineStr">
        <is>
          <t xml:space="preserve">    Chi phí vật liệu</t>
        </is>
      </c>
      <c r="C151" s="95" t="n">
        <v>2</v>
      </c>
      <c r="D151" s="96" t="inlineStr">
        <is>
          <t>623</t>
        </is>
      </c>
      <c r="E151" s="97" t="inlineStr">
        <is>
          <t>Không có số dư (kết chuyển)</t>
        </is>
      </c>
      <c r="F151" s="97" t="n"/>
    </row>
    <row r="152" ht="15" customHeight="1" s="78">
      <c r="A152" s="96" t="inlineStr">
        <is>
          <t>6233</t>
        </is>
      </c>
      <c r="B152" s="97" t="inlineStr">
        <is>
          <t xml:space="preserve">    Chi phí dụng cụ sản xuất</t>
        </is>
      </c>
      <c r="C152" s="95" t="n">
        <v>2</v>
      </c>
      <c r="D152" s="96" t="inlineStr">
        <is>
          <t>623</t>
        </is>
      </c>
      <c r="E152" s="97" t="inlineStr">
        <is>
          <t>Không có số dư (kết chuyển)</t>
        </is>
      </c>
      <c r="F152" s="97" t="n"/>
    </row>
    <row r="153" ht="15" customHeight="1" s="78">
      <c r="A153" s="96" t="inlineStr">
        <is>
          <t>6234</t>
        </is>
      </c>
      <c r="B153" s="97" t="inlineStr">
        <is>
          <t xml:space="preserve">    Chi phí khấu hao máy thi công</t>
        </is>
      </c>
      <c r="C153" s="95" t="n">
        <v>2</v>
      </c>
      <c r="D153" s="96" t="inlineStr">
        <is>
          <t>623</t>
        </is>
      </c>
      <c r="E153" s="97" t="inlineStr">
        <is>
          <t>Không có số dư (kết chuyển)</t>
        </is>
      </c>
      <c r="F153" s="97" t="n"/>
    </row>
    <row r="154" ht="15" customHeight="1" s="78">
      <c r="A154" s="96" t="inlineStr">
        <is>
          <t>6237</t>
        </is>
      </c>
      <c r="B154" s="97" t="inlineStr">
        <is>
          <t xml:space="preserve">    Chi phí dịch vụ mua ngoài</t>
        </is>
      </c>
      <c r="C154" s="95" t="n">
        <v>2</v>
      </c>
      <c r="D154" s="96" t="inlineStr">
        <is>
          <t>623</t>
        </is>
      </c>
      <c r="E154" s="97" t="inlineStr">
        <is>
          <t>Không có số dư (kết chuyển)</t>
        </is>
      </c>
      <c r="F154" s="97" t="n"/>
    </row>
    <row r="155" ht="15" customHeight="1" s="78">
      <c r="A155" s="96" t="inlineStr">
        <is>
          <t>6238</t>
        </is>
      </c>
      <c r="B155" s="97" t="inlineStr">
        <is>
          <t xml:space="preserve">    Chi phí bằng tiền khác</t>
        </is>
      </c>
      <c r="C155" s="95" t="n">
        <v>2</v>
      </c>
      <c r="D155" s="96" t="inlineStr">
        <is>
          <t>623</t>
        </is>
      </c>
      <c r="E155" s="97" t="inlineStr">
        <is>
          <t>Không có số dư (kết chuyển)</t>
        </is>
      </c>
      <c r="F155" s="97" t="n"/>
    </row>
    <row r="156" ht="15" customHeight="1" s="78">
      <c r="A156" s="93" t="inlineStr">
        <is>
          <t>627</t>
        </is>
      </c>
      <c r="B156" s="94" t="inlineStr">
        <is>
          <t>Chi phí sản xuất chung</t>
        </is>
      </c>
      <c r="C156" s="95" t="n">
        <v>1</v>
      </c>
      <c r="D156" s="96" t="n"/>
      <c r="E156" s="97" t="inlineStr">
        <is>
          <t>Không có số dư (kết chuyển)</t>
        </is>
      </c>
      <c r="F156" s="97" t="n"/>
    </row>
    <row r="157" ht="15" customHeight="1" s="78">
      <c r="A157" s="96" t="inlineStr">
        <is>
          <t>6271</t>
        </is>
      </c>
      <c r="B157" s="97" t="inlineStr">
        <is>
          <t xml:space="preserve">    Chi phí nhân viên phân xưởng</t>
        </is>
      </c>
      <c r="C157" s="95" t="n">
        <v>2</v>
      </c>
      <c r="D157" s="96" t="inlineStr">
        <is>
          <t>627</t>
        </is>
      </c>
      <c r="E157" s="97" t="inlineStr">
        <is>
          <t>Không có số dư (kết chuyển)</t>
        </is>
      </c>
      <c r="F157" s="97" t="n"/>
    </row>
    <row r="158" ht="15" customHeight="1" s="78">
      <c r="A158" s="96" t="inlineStr">
        <is>
          <t>6272</t>
        </is>
      </c>
      <c r="B158" s="97" t="inlineStr">
        <is>
          <t xml:space="preserve">    Chi phí vật liệu</t>
        </is>
      </c>
      <c r="C158" s="95" t="n">
        <v>2</v>
      </c>
      <c r="D158" s="96" t="inlineStr">
        <is>
          <t>627</t>
        </is>
      </c>
      <c r="E158" s="97" t="inlineStr">
        <is>
          <t>Không có số dư (kết chuyển)</t>
        </is>
      </c>
      <c r="F158" s="97" t="n"/>
    </row>
    <row r="159" ht="15" customHeight="1" s="78">
      <c r="A159" s="96" t="inlineStr">
        <is>
          <t>6273</t>
        </is>
      </c>
      <c r="B159" s="97" t="inlineStr">
        <is>
          <t xml:space="preserve">    Chi phí dụng cụ sản xuất</t>
        </is>
      </c>
      <c r="C159" s="95" t="n">
        <v>2</v>
      </c>
      <c r="D159" s="96" t="inlineStr">
        <is>
          <t>627</t>
        </is>
      </c>
      <c r="E159" s="97" t="inlineStr">
        <is>
          <t>Không có số dư (kết chuyển)</t>
        </is>
      </c>
      <c r="F159" s="97" t="n"/>
    </row>
    <row r="160" ht="15" customHeight="1" s="78">
      <c r="A160" s="96" t="inlineStr">
        <is>
          <t>6274</t>
        </is>
      </c>
      <c r="B160" s="97" t="inlineStr">
        <is>
          <t xml:space="preserve">    Chi phí khấu hao TSCĐ</t>
        </is>
      </c>
      <c r="C160" s="95" t="n">
        <v>2</v>
      </c>
      <c r="D160" s="96" t="inlineStr">
        <is>
          <t>627</t>
        </is>
      </c>
      <c r="E160" s="97" t="inlineStr">
        <is>
          <t>Không có số dư (kết chuyển)</t>
        </is>
      </c>
      <c r="F160" s="97" t="n"/>
    </row>
    <row r="161" ht="15" customHeight="1" s="78">
      <c r="A161" s="96" t="inlineStr">
        <is>
          <t>6275</t>
        </is>
      </c>
      <c r="B161" s="97" t="inlineStr">
        <is>
          <t xml:space="preserve">    Thuế, phí, lệ phí</t>
        </is>
      </c>
      <c r="C161" s="95" t="n">
        <v>2</v>
      </c>
      <c r="D161" s="96" t="inlineStr">
        <is>
          <t>627</t>
        </is>
      </c>
      <c r="E161" s="97" t="inlineStr">
        <is>
          <t>Không có số dư (kết chuyển)</t>
        </is>
      </c>
      <c r="F161" s="97" t="n"/>
    </row>
    <row r="162" ht="15" customHeight="1" s="78">
      <c r="A162" s="96" t="inlineStr">
        <is>
          <t>6277</t>
        </is>
      </c>
      <c r="B162" s="97" t="inlineStr">
        <is>
          <t xml:space="preserve">    Chi phí dịch vụ mua ngoài</t>
        </is>
      </c>
      <c r="C162" s="95" t="n">
        <v>2</v>
      </c>
      <c r="D162" s="96" t="inlineStr">
        <is>
          <t>627</t>
        </is>
      </c>
      <c r="E162" s="97" t="inlineStr">
        <is>
          <t>Không có số dư (kết chuyển)</t>
        </is>
      </c>
      <c r="F162" s="97" t="n"/>
    </row>
    <row r="163" ht="15" customHeight="1" s="78">
      <c r="A163" s="96" t="inlineStr">
        <is>
          <t>6278</t>
        </is>
      </c>
      <c r="B163" s="97" t="inlineStr">
        <is>
          <t xml:space="preserve">    Chi phí bằng tiền khác</t>
        </is>
      </c>
      <c r="C163" s="95" t="n">
        <v>2</v>
      </c>
      <c r="D163" s="96" t="inlineStr">
        <is>
          <t>627</t>
        </is>
      </c>
      <c r="E163" s="97" t="inlineStr">
        <is>
          <t>Không có số dư (kết chuyển)</t>
        </is>
      </c>
      <c r="F163" s="97" t="n"/>
    </row>
    <row r="164" ht="15" customHeight="1" s="78">
      <c r="A164" s="93" t="inlineStr">
        <is>
          <t>632</t>
        </is>
      </c>
      <c r="B164" s="94" t="inlineStr">
        <is>
          <t>Giá vốn hàng bán</t>
        </is>
      </c>
      <c r="C164" s="95" t="n">
        <v>1</v>
      </c>
      <c r="D164" s="96" t="n"/>
      <c r="E164" s="97" t="inlineStr">
        <is>
          <t>Không có số dư (kết chuyển)</t>
        </is>
      </c>
      <c r="F164" s="97" t="n"/>
    </row>
    <row r="165" ht="15" customHeight="1" s="78">
      <c r="A165" s="93" t="inlineStr">
        <is>
          <t>635</t>
        </is>
      </c>
      <c r="B165" s="94" t="inlineStr">
        <is>
          <t>Chi phí tài chính</t>
        </is>
      </c>
      <c r="C165" s="95" t="n">
        <v>1</v>
      </c>
      <c r="D165" s="96" t="n"/>
      <c r="E165" s="97" t="inlineStr">
        <is>
          <t>Không có số dư (kết chuyển)</t>
        </is>
      </c>
      <c r="F165" s="97" t="n"/>
    </row>
    <row r="166" ht="15" customHeight="1" s="78">
      <c r="A166" s="93" t="inlineStr">
        <is>
          <t>641</t>
        </is>
      </c>
      <c r="B166" s="94" t="inlineStr">
        <is>
          <t>Chi phí bán hàng</t>
        </is>
      </c>
      <c r="C166" s="95" t="n">
        <v>1</v>
      </c>
      <c r="D166" s="96" t="n"/>
      <c r="E166" s="97" t="inlineStr">
        <is>
          <t>Không có số dư (kết chuyển)</t>
        </is>
      </c>
      <c r="F166" s="97" t="n"/>
    </row>
    <row r="167" ht="15" customHeight="1" s="78">
      <c r="A167" s="96" t="inlineStr">
        <is>
          <t>6411</t>
        </is>
      </c>
      <c r="B167" s="97" t="inlineStr">
        <is>
          <t xml:space="preserve">    Chi phí nhân viên</t>
        </is>
      </c>
      <c r="C167" s="95" t="n">
        <v>2</v>
      </c>
      <c r="D167" s="96" t="inlineStr">
        <is>
          <t>641</t>
        </is>
      </c>
      <c r="E167" s="97" t="inlineStr">
        <is>
          <t>Không có số dư (kết chuyển)</t>
        </is>
      </c>
      <c r="F167" s="97" t="n"/>
    </row>
    <row r="168" ht="15" customHeight="1" s="78">
      <c r="A168" s="96" t="inlineStr">
        <is>
          <t>6412</t>
        </is>
      </c>
      <c r="B168" s="97" t="inlineStr">
        <is>
          <t xml:space="preserve">    Chi phí vật liệu, bao bì</t>
        </is>
      </c>
      <c r="C168" s="95" t="n">
        <v>2</v>
      </c>
      <c r="D168" s="96" t="inlineStr">
        <is>
          <t>641</t>
        </is>
      </c>
      <c r="E168" s="97" t="inlineStr">
        <is>
          <t>Không có số dư (kết chuyển)</t>
        </is>
      </c>
      <c r="F168" s="97" t="n"/>
    </row>
    <row r="169" ht="15" customHeight="1" s="78">
      <c r="A169" s="96" t="inlineStr">
        <is>
          <t>6413</t>
        </is>
      </c>
      <c r="B169" s="97" t="inlineStr">
        <is>
          <t xml:space="preserve">    Chi phí dụng cụ, đồ dùng</t>
        </is>
      </c>
      <c r="C169" s="95" t="n">
        <v>2</v>
      </c>
      <c r="D169" s="96" t="inlineStr">
        <is>
          <t>641</t>
        </is>
      </c>
      <c r="E169" s="97" t="inlineStr">
        <is>
          <t>Không có số dư (kết chuyển)</t>
        </is>
      </c>
      <c r="F169" s="97" t="n"/>
    </row>
    <row r="170" ht="15" customHeight="1" s="78">
      <c r="A170" s="96" t="inlineStr">
        <is>
          <t>6414</t>
        </is>
      </c>
      <c r="B170" s="97" t="inlineStr">
        <is>
          <t xml:space="preserve">    Chi phí khấu hao TSCĐ</t>
        </is>
      </c>
      <c r="C170" s="95" t="n">
        <v>2</v>
      </c>
      <c r="D170" s="96" t="inlineStr">
        <is>
          <t>641</t>
        </is>
      </c>
      <c r="E170" s="97" t="inlineStr">
        <is>
          <t>Không có số dư (kết chuyển)</t>
        </is>
      </c>
      <c r="F170" s="97" t="n"/>
    </row>
    <row r="171" ht="15" customHeight="1" s="78">
      <c r="A171" s="96" t="inlineStr">
        <is>
          <t>6415</t>
        </is>
      </c>
      <c r="B171" s="97" t="inlineStr">
        <is>
          <t xml:space="preserve">    Thuế, phí, lệ phí</t>
        </is>
      </c>
      <c r="C171" s="95" t="n">
        <v>2</v>
      </c>
      <c r="D171" s="96" t="inlineStr">
        <is>
          <t>641</t>
        </is>
      </c>
      <c r="E171" s="97" t="inlineStr">
        <is>
          <t>Không có số dư (kết chuyển)</t>
        </is>
      </c>
      <c r="F171" s="97" t="n"/>
    </row>
    <row r="172" ht="15" customHeight="1" s="78">
      <c r="A172" s="96" t="inlineStr">
        <is>
          <t>6417</t>
        </is>
      </c>
      <c r="B172" s="97" t="inlineStr">
        <is>
          <t xml:space="preserve">    Chi phí dịch vụ mua ngoài</t>
        </is>
      </c>
      <c r="C172" s="95" t="n">
        <v>2</v>
      </c>
      <c r="D172" s="96" t="inlineStr">
        <is>
          <t>641</t>
        </is>
      </c>
      <c r="E172" s="97" t="inlineStr">
        <is>
          <t>Không có số dư (kết chuyển)</t>
        </is>
      </c>
      <c r="F172" s="97" t="n"/>
    </row>
    <row r="173" ht="15" customHeight="1" s="78">
      <c r="A173" s="96" t="inlineStr">
        <is>
          <t>6418</t>
        </is>
      </c>
      <c r="B173" s="97" t="inlineStr">
        <is>
          <t xml:space="preserve">    Chi phí bằng tiền khác</t>
        </is>
      </c>
      <c r="C173" s="95" t="n">
        <v>2</v>
      </c>
      <c r="D173" s="96" t="inlineStr">
        <is>
          <t>641</t>
        </is>
      </c>
      <c r="E173" s="97" t="inlineStr">
        <is>
          <t>Không có số dư (kết chuyển)</t>
        </is>
      </c>
      <c r="F173" s="97" t="n"/>
    </row>
    <row r="174" ht="15" customHeight="1" s="78">
      <c r="A174" s="93" t="inlineStr">
        <is>
          <t>642</t>
        </is>
      </c>
      <c r="B174" s="94" t="inlineStr">
        <is>
          <t>Chi phí quản lý doanh nghiệp</t>
        </is>
      </c>
      <c r="C174" s="95" t="n">
        <v>1</v>
      </c>
      <c r="D174" s="96" t="n"/>
      <c r="E174" s="97" t="inlineStr">
        <is>
          <t>Không có số dư (kết chuyển)</t>
        </is>
      </c>
      <c r="F174" s="97" t="n"/>
    </row>
    <row r="175" ht="15" customHeight="1" s="78">
      <c r="A175" s="96" t="inlineStr">
        <is>
          <t>6421</t>
        </is>
      </c>
      <c r="B175" s="97" t="inlineStr">
        <is>
          <t xml:space="preserve">    Chi phí nhân viên quản lý</t>
        </is>
      </c>
      <c r="C175" s="95" t="n">
        <v>2</v>
      </c>
      <c r="D175" s="96" t="inlineStr">
        <is>
          <t>642</t>
        </is>
      </c>
      <c r="E175" s="97" t="inlineStr">
        <is>
          <t>Không có số dư (kết chuyển)</t>
        </is>
      </c>
      <c r="F175" s="97" t="n"/>
    </row>
    <row r="176" ht="15" customHeight="1" s="78">
      <c r="A176" s="96" t="inlineStr">
        <is>
          <t>6422</t>
        </is>
      </c>
      <c r="B176" s="97" t="inlineStr">
        <is>
          <t xml:space="preserve">    Chi phí vật liệu quản lý</t>
        </is>
      </c>
      <c r="C176" s="95" t="n">
        <v>2</v>
      </c>
      <c r="D176" s="96" t="inlineStr">
        <is>
          <t>642</t>
        </is>
      </c>
      <c r="E176" s="97" t="inlineStr">
        <is>
          <t>Không có số dư (kết chuyển)</t>
        </is>
      </c>
      <c r="F176" s="97" t="n"/>
    </row>
    <row r="177" ht="15" customHeight="1" s="78">
      <c r="A177" s="96" t="inlineStr">
        <is>
          <t>6423</t>
        </is>
      </c>
      <c r="B177" s="97" t="inlineStr">
        <is>
          <t xml:space="preserve">    Chi phí đồ dùng văn phòng</t>
        </is>
      </c>
      <c r="C177" s="95" t="n">
        <v>2</v>
      </c>
      <c r="D177" s="96" t="inlineStr">
        <is>
          <t>642</t>
        </is>
      </c>
      <c r="E177" s="97" t="inlineStr">
        <is>
          <t>Không có số dư (kết chuyển)</t>
        </is>
      </c>
      <c r="F177" s="97" t="n"/>
    </row>
    <row r="178" ht="15" customHeight="1" s="78">
      <c r="A178" s="96" t="inlineStr">
        <is>
          <t>6424</t>
        </is>
      </c>
      <c r="B178" s="97" t="inlineStr">
        <is>
          <t xml:space="preserve">    Chi phí khấu hao TSCĐ</t>
        </is>
      </c>
      <c r="C178" s="95" t="n">
        <v>2</v>
      </c>
      <c r="D178" s="96" t="inlineStr">
        <is>
          <t>642</t>
        </is>
      </c>
      <c r="E178" s="97" t="inlineStr">
        <is>
          <t>Không có số dư (kết chuyển)</t>
        </is>
      </c>
      <c r="F178" s="97" t="n"/>
    </row>
    <row r="179" ht="15" customHeight="1" s="78">
      <c r="A179" s="96" t="inlineStr">
        <is>
          <t>6425</t>
        </is>
      </c>
      <c r="B179" s="97" t="inlineStr">
        <is>
          <t xml:space="preserve">    Thuế, phí và lệ phí</t>
        </is>
      </c>
      <c r="C179" s="95" t="n">
        <v>2</v>
      </c>
      <c r="D179" s="96" t="inlineStr">
        <is>
          <t>642</t>
        </is>
      </c>
      <c r="E179" s="97" t="inlineStr">
        <is>
          <t>Không có số dư (kết chuyển)</t>
        </is>
      </c>
      <c r="F179" s="97" t="n"/>
    </row>
    <row r="180" ht="15" customHeight="1" s="78">
      <c r="A180" s="96" t="inlineStr">
        <is>
          <t>6426</t>
        </is>
      </c>
      <c r="B180" s="97" t="inlineStr">
        <is>
          <t xml:space="preserve">    Chi phí dự phòng</t>
        </is>
      </c>
      <c r="C180" s="95" t="n">
        <v>2</v>
      </c>
      <c r="D180" s="96" t="inlineStr">
        <is>
          <t>642</t>
        </is>
      </c>
      <c r="E180" s="97" t="inlineStr">
        <is>
          <t>Không có số dư (kết chuyển)</t>
        </is>
      </c>
      <c r="F180" s="97" t="n"/>
    </row>
    <row r="181" ht="15" customHeight="1" s="78">
      <c r="A181" s="96" t="inlineStr">
        <is>
          <t>6427</t>
        </is>
      </c>
      <c r="B181" s="97" t="inlineStr">
        <is>
          <t xml:space="preserve">    Chi phí dịch vụ mua ngoài</t>
        </is>
      </c>
      <c r="C181" s="95" t="n">
        <v>2</v>
      </c>
      <c r="D181" s="96" t="inlineStr">
        <is>
          <t>642</t>
        </is>
      </c>
      <c r="E181" s="97" t="inlineStr">
        <is>
          <t>Không có số dư (kết chuyển)</t>
        </is>
      </c>
      <c r="F181" s="97" t="n"/>
    </row>
    <row r="182" ht="15" customHeight="1" s="78">
      <c r="A182" s="96" t="inlineStr">
        <is>
          <t>6428</t>
        </is>
      </c>
      <c r="B182" s="97" t="inlineStr">
        <is>
          <t xml:space="preserve">    Chi phí bằng tiền khác</t>
        </is>
      </c>
      <c r="C182" s="95" t="n">
        <v>2</v>
      </c>
      <c r="D182" s="96" t="inlineStr">
        <is>
          <t>642</t>
        </is>
      </c>
      <c r="E182" s="97" t="inlineStr">
        <is>
          <t>Không có số dư (kết chuyển)</t>
        </is>
      </c>
      <c r="F182" s="97" t="n"/>
    </row>
    <row r="183" ht="15" customHeight="1" s="78">
      <c r="A183" s="93" t="inlineStr">
        <is>
          <t>711</t>
        </is>
      </c>
      <c r="B183" s="94" t="inlineStr">
        <is>
          <t>Thu nhập khác</t>
        </is>
      </c>
      <c r="C183" s="95" t="n">
        <v>1</v>
      </c>
      <c r="D183" s="96" t="n"/>
      <c r="E183" s="97" t="inlineStr">
        <is>
          <t>Không có số dư (kết chuyển)</t>
        </is>
      </c>
      <c r="F183" s="97" t="n"/>
    </row>
    <row r="184" ht="15" customHeight="1" s="78">
      <c r="A184" s="93" t="inlineStr">
        <is>
          <t>811</t>
        </is>
      </c>
      <c r="B184" s="94" t="inlineStr">
        <is>
          <t>Chi phí khác</t>
        </is>
      </c>
      <c r="C184" s="95" t="n">
        <v>1</v>
      </c>
      <c r="D184" s="96" t="n"/>
      <c r="E184" s="97" t="inlineStr">
        <is>
          <t>Không có số dư (kết chuyển)</t>
        </is>
      </c>
      <c r="F184" s="97" t="n"/>
    </row>
    <row r="185" ht="15" customHeight="1" s="78">
      <c r="A185" s="93" t="inlineStr">
        <is>
          <t>821</t>
        </is>
      </c>
      <c r="B185" s="94" t="inlineStr">
        <is>
          <t>Chi phí thuế thu nhập doanh nghiệp</t>
        </is>
      </c>
      <c r="C185" s="95" t="n">
        <v>1</v>
      </c>
      <c r="D185" s="96" t="n"/>
      <c r="E185" s="97" t="inlineStr">
        <is>
          <t>Không có số dư (kết chuyển)</t>
        </is>
      </c>
      <c r="F185" s="97" t="n"/>
    </row>
    <row r="186" ht="15" customHeight="1" s="78">
      <c r="A186" s="96" t="inlineStr">
        <is>
          <t>8211</t>
        </is>
      </c>
      <c r="B186" s="97" t="inlineStr">
        <is>
          <t xml:space="preserve">    Chi phí thuế TNDN hiện hành</t>
        </is>
      </c>
      <c r="C186" s="95" t="n">
        <v>2</v>
      </c>
      <c r="D186" s="96" t="inlineStr">
        <is>
          <t>821</t>
        </is>
      </c>
      <c r="E186" s="97" t="inlineStr">
        <is>
          <t>Không có số dư (kết chuyển)</t>
        </is>
      </c>
      <c r="F186" s="97" t="n"/>
    </row>
    <row r="187" ht="15" customHeight="1" s="78">
      <c r="A187" s="96" t="inlineStr">
        <is>
          <t>82111</t>
        </is>
      </c>
      <c r="B187" s="97" t="inlineStr">
        <is>
          <t xml:space="preserve">        Chi phí thuế TNDN theo quy định của pháp luật thuế TNDN</t>
        </is>
      </c>
      <c r="C187" s="95" t="n">
        <v>3</v>
      </c>
      <c r="D187" s="96" t="inlineStr">
        <is>
          <t>8211</t>
        </is>
      </c>
      <c r="E187" s="97" t="inlineStr">
        <is>
          <t>Không có số dư (kết chuyển)</t>
        </is>
      </c>
      <c r="F187" s="97" t="n"/>
    </row>
    <row r="188" ht="15" customHeight="1" s="78">
      <c r="A188" s="96" t="inlineStr">
        <is>
          <t>82112</t>
        </is>
      </c>
      <c r="B188" s="97" t="inlineStr">
        <is>
          <t xml:space="preserve">        Chi phí thuế TNDN bổ sung theo quy định về thuế tối thiểu toàn cầu</t>
        </is>
      </c>
      <c r="C188" s="95" t="n">
        <v>3</v>
      </c>
      <c r="D188" s="96" t="inlineStr">
        <is>
          <t>8211</t>
        </is>
      </c>
      <c r="E188" s="97" t="inlineStr">
        <is>
          <t>Không có số dư (kết chuyển)</t>
        </is>
      </c>
      <c r="F188" s="97" t="n"/>
    </row>
    <row r="189" ht="15" customHeight="1" s="78">
      <c r="A189" s="96" t="inlineStr">
        <is>
          <t>8212</t>
        </is>
      </c>
      <c r="B189" s="97" t="inlineStr">
        <is>
          <t xml:space="preserve">    Chi phí thuế TNDN hoãn lại</t>
        </is>
      </c>
      <c r="C189" s="95" t="n">
        <v>2</v>
      </c>
      <c r="D189" s="96" t="inlineStr">
        <is>
          <t>821</t>
        </is>
      </c>
      <c r="E189" s="97" t="inlineStr">
        <is>
          <t>Không có số dư (kết chuyển)</t>
        </is>
      </c>
      <c r="F189" s="97" t="n"/>
    </row>
    <row r="190" ht="15" customHeight="1" s="78">
      <c r="A190" s="93" t="inlineStr">
        <is>
          <t>911</t>
        </is>
      </c>
      <c r="B190" s="94" t="inlineStr">
        <is>
          <t>Xác định kết quả kinh doanh</t>
        </is>
      </c>
      <c r="C190" s="95" t="n">
        <v>1</v>
      </c>
      <c r="D190" s="96" t="n"/>
      <c r="E190" s="97" t="inlineStr">
        <is>
          <t>Không có số dư (kết chuyển)</t>
        </is>
      </c>
      <c r="F190" s="97" t="n"/>
    </row>
    <row r="191" ht="15" customHeight="1" s="78">
      <c r="A191" s="99" t="n"/>
      <c r="B191" s="100" t="n"/>
      <c r="C191" s="101" t="n"/>
      <c r="D191" s="96">
        <f>IF($A191="","",IF(LEN($A191)&gt;3,LEFT($A191,LEN($A191)-1),""))</f>
        <v/>
      </c>
      <c r="E191" s="97">
        <f>IF($A191="","",IFERROR(INDEX($E$7:$E$190,MATCH(LEFT($A191,3),$A$7:$A$190,0)),""))</f>
        <v/>
      </c>
      <c r="F191" s="98" t="inlineStr">
        <is>
          <t>TK tự mở</t>
        </is>
      </c>
    </row>
    <row r="192" ht="15" customHeight="1" s="78">
      <c r="A192" s="99" t="n"/>
      <c r="B192" s="100" t="n"/>
      <c r="C192" s="101" t="n"/>
      <c r="D192" s="96">
        <f>IF($A192="","",IF(LEN($A192)&gt;3,LEFT($A192,LEN($A192)-1),""))</f>
        <v/>
      </c>
      <c r="E192" s="97">
        <f>IF($A192="","",IFERROR(INDEX($E$7:$E$190,MATCH(LEFT($A192,3),$A$7:$A$190,0)),""))</f>
        <v/>
      </c>
      <c r="F192" s="98" t="inlineStr">
        <is>
          <t>TK tự mở</t>
        </is>
      </c>
    </row>
    <row r="193" ht="15" customHeight="1" s="78">
      <c r="A193" s="99" t="n"/>
      <c r="B193" s="100" t="n"/>
      <c r="C193" s="101" t="n"/>
      <c r="D193" s="96">
        <f>IF($A193="","",IF(LEN($A193)&gt;3,LEFT($A193,LEN($A193)-1),""))</f>
        <v/>
      </c>
      <c r="E193" s="97">
        <f>IF($A193="","",IFERROR(INDEX($E$7:$E$190,MATCH(LEFT($A193,3),$A$7:$A$190,0)),""))</f>
        <v/>
      </c>
      <c r="F193" s="98" t="inlineStr">
        <is>
          <t>TK tự mở</t>
        </is>
      </c>
    </row>
    <row r="194" ht="15" customHeight="1" s="78">
      <c r="A194" s="99" t="n"/>
      <c r="B194" s="100" t="n"/>
      <c r="C194" s="101" t="n"/>
      <c r="D194" s="96">
        <f>IF($A194="","",IF(LEN($A194)&gt;3,LEFT($A194,LEN($A194)-1),""))</f>
        <v/>
      </c>
      <c r="E194" s="97">
        <f>IF($A194="","",IFERROR(INDEX($E$7:$E$190,MATCH(LEFT($A194,3),$A$7:$A$190,0)),""))</f>
        <v/>
      </c>
      <c r="F194" s="98" t="inlineStr">
        <is>
          <t>TK tự mở</t>
        </is>
      </c>
    </row>
    <row r="195" ht="15" customHeight="1" s="78">
      <c r="A195" s="99" t="n"/>
      <c r="B195" s="100" t="n"/>
      <c r="C195" s="101" t="n"/>
      <c r="D195" s="96">
        <f>IF($A195="","",IF(LEN($A195)&gt;3,LEFT($A195,LEN($A195)-1),""))</f>
        <v/>
      </c>
      <c r="E195" s="97">
        <f>IF($A195="","",IFERROR(INDEX($E$7:$E$190,MATCH(LEFT($A195,3),$A$7:$A$190,0)),""))</f>
        <v/>
      </c>
      <c r="F195" s="98" t="inlineStr">
        <is>
          <t>TK tự mở</t>
        </is>
      </c>
    </row>
    <row r="196" ht="15" customHeight="1" s="78">
      <c r="A196" s="99" t="n"/>
      <c r="B196" s="100" t="n"/>
      <c r="C196" s="101" t="n"/>
      <c r="D196" s="96">
        <f>IF($A196="","",IF(LEN($A196)&gt;3,LEFT($A196,LEN($A196)-1),""))</f>
        <v/>
      </c>
      <c r="E196" s="97">
        <f>IF($A196="","",IFERROR(INDEX($E$7:$E$190,MATCH(LEFT($A196,3),$A$7:$A$190,0)),""))</f>
        <v/>
      </c>
      <c r="F196" s="98" t="inlineStr">
        <is>
          <t>TK tự mở</t>
        </is>
      </c>
    </row>
    <row r="197" ht="15" customHeight="1" s="78">
      <c r="A197" s="99" t="n"/>
      <c r="B197" s="100" t="n"/>
      <c r="C197" s="101" t="n"/>
      <c r="D197" s="96">
        <f>IF($A197="","",IF(LEN($A197)&gt;3,LEFT($A197,LEN($A197)-1),""))</f>
        <v/>
      </c>
      <c r="E197" s="97">
        <f>IF($A197="","",IFERROR(INDEX($E$7:$E$190,MATCH(LEFT($A197,3),$A$7:$A$190,0)),""))</f>
        <v/>
      </c>
      <c r="F197" s="98" t="inlineStr">
        <is>
          <t>TK tự mở</t>
        </is>
      </c>
    </row>
    <row r="198" ht="15" customHeight="1" s="78">
      <c r="A198" s="99" t="n"/>
      <c r="B198" s="100" t="n"/>
      <c r="C198" s="101" t="n"/>
      <c r="D198" s="96">
        <f>IF($A198="","",IF(LEN($A198)&gt;3,LEFT($A198,LEN($A198)-1),""))</f>
        <v/>
      </c>
      <c r="E198" s="97">
        <f>IF($A198="","",IFERROR(INDEX($E$7:$E$190,MATCH(LEFT($A198,3),$A$7:$A$190,0)),""))</f>
        <v/>
      </c>
      <c r="F198" s="98" t="inlineStr">
        <is>
          <t>TK tự mở</t>
        </is>
      </c>
    </row>
    <row r="199" ht="15" customHeight="1" s="78">
      <c r="A199" s="99" t="n"/>
      <c r="B199" s="100" t="n"/>
      <c r="C199" s="101" t="n"/>
      <c r="D199" s="96">
        <f>IF($A199="","",IF(LEN($A199)&gt;3,LEFT($A199,LEN($A199)-1),""))</f>
        <v/>
      </c>
      <c r="E199" s="97">
        <f>IF($A199="","",IFERROR(INDEX($E$7:$E$190,MATCH(LEFT($A199,3),$A$7:$A$190,0)),""))</f>
        <v/>
      </c>
      <c r="F199" s="98" t="inlineStr">
        <is>
          <t>TK tự mở</t>
        </is>
      </c>
    </row>
    <row r="200" ht="15" customHeight="1" s="78">
      <c r="A200" s="99" t="n"/>
      <c r="B200" s="100" t="n"/>
      <c r="C200" s="101" t="n"/>
      <c r="D200" s="96">
        <f>IF($A200="","",IF(LEN($A200)&gt;3,LEFT($A200,LEN($A200)-1),""))</f>
        <v/>
      </c>
      <c r="E200" s="97">
        <f>IF($A200="","",IFERROR(INDEX($E$7:$E$190,MATCH(LEFT($A200,3),$A$7:$A$190,0)),""))</f>
        <v/>
      </c>
      <c r="F200" s="98" t="inlineStr">
        <is>
          <t>TK tự mở</t>
        </is>
      </c>
    </row>
    <row r="201" ht="15" customHeight="1" s="78">
      <c r="A201" s="99" t="n"/>
      <c r="B201" s="100" t="n"/>
      <c r="C201" s="101" t="n"/>
      <c r="D201" s="96">
        <f>IF($A201="","",IF(LEN($A201)&gt;3,LEFT($A201,LEN($A201)-1),""))</f>
        <v/>
      </c>
      <c r="E201" s="97">
        <f>IF($A201="","",IFERROR(INDEX($E$7:$E$190,MATCH(LEFT($A201,3),$A$7:$A$190,0)),""))</f>
        <v/>
      </c>
      <c r="F201" s="98" t="inlineStr">
        <is>
          <t>TK tự mở</t>
        </is>
      </c>
    </row>
    <row r="202" ht="15" customHeight="1" s="78">
      <c r="A202" s="99" t="n"/>
      <c r="B202" s="100" t="n"/>
      <c r="C202" s="101" t="n"/>
      <c r="D202" s="96">
        <f>IF($A202="","",IF(LEN($A202)&gt;3,LEFT($A202,LEN($A202)-1),""))</f>
        <v/>
      </c>
      <c r="E202" s="97">
        <f>IF($A202="","",IFERROR(INDEX($E$7:$E$190,MATCH(LEFT($A202,3),$A$7:$A$190,0)),""))</f>
        <v/>
      </c>
      <c r="F202" s="98" t="inlineStr">
        <is>
          <t>TK tự mở</t>
        </is>
      </c>
    </row>
    <row r="203" ht="15" customHeight="1" s="78">
      <c r="A203" s="99" t="n"/>
      <c r="B203" s="100" t="n"/>
      <c r="C203" s="101" t="n"/>
      <c r="D203" s="96">
        <f>IF($A203="","",IF(LEN($A203)&gt;3,LEFT($A203,LEN($A203)-1),""))</f>
        <v/>
      </c>
      <c r="E203" s="97">
        <f>IF($A203="","",IFERROR(INDEX($E$7:$E$190,MATCH(LEFT($A203,3),$A$7:$A$190,0)),""))</f>
        <v/>
      </c>
      <c r="F203" s="98" t="inlineStr">
        <is>
          <t>TK tự mở</t>
        </is>
      </c>
    </row>
    <row r="204" ht="15" customHeight="1" s="78">
      <c r="A204" s="99" t="n"/>
      <c r="B204" s="100" t="n"/>
      <c r="C204" s="101" t="n"/>
      <c r="D204" s="96">
        <f>IF($A204="","",IF(LEN($A204)&gt;3,LEFT($A204,LEN($A204)-1),""))</f>
        <v/>
      </c>
      <c r="E204" s="97">
        <f>IF($A204="","",IFERROR(INDEX($E$7:$E$190,MATCH(LEFT($A204,3),$A$7:$A$190,0)),""))</f>
        <v/>
      </c>
      <c r="F204" s="98" t="inlineStr">
        <is>
          <t>TK tự mở</t>
        </is>
      </c>
    </row>
    <row r="205" ht="15" customHeight="1" s="78">
      <c r="A205" s="99" t="n"/>
      <c r="B205" s="100" t="n"/>
      <c r="C205" s="101" t="n"/>
      <c r="D205" s="96">
        <f>IF($A205="","",IF(LEN($A205)&gt;3,LEFT($A205,LEN($A205)-1),""))</f>
        <v/>
      </c>
      <c r="E205" s="97">
        <f>IF($A205="","",IFERROR(INDEX($E$7:$E$190,MATCH(LEFT($A205,3),$A$7:$A$190,0)),""))</f>
        <v/>
      </c>
      <c r="F205" s="98" t="inlineStr">
        <is>
          <t>TK tự mở</t>
        </is>
      </c>
    </row>
    <row r="206" ht="15" customHeight="1" s="78">
      <c r="A206" s="99" t="n"/>
      <c r="B206" s="100" t="n"/>
      <c r="C206" s="101" t="n"/>
      <c r="D206" s="96">
        <f>IF($A206="","",IF(LEN($A206)&gt;3,LEFT($A206,LEN($A206)-1),""))</f>
        <v/>
      </c>
      <c r="E206" s="97">
        <f>IF($A206="","",IFERROR(INDEX($E$7:$E$190,MATCH(LEFT($A206,3),$A$7:$A$190,0)),""))</f>
        <v/>
      </c>
      <c r="F206" s="98" t="inlineStr">
        <is>
          <t>TK tự mở</t>
        </is>
      </c>
    </row>
    <row r="207" ht="15" customHeight="1" s="78">
      <c r="A207" s="99" t="n"/>
      <c r="B207" s="100" t="n"/>
      <c r="C207" s="101" t="n"/>
      <c r="D207" s="96">
        <f>IF($A207="","",IF(LEN($A207)&gt;3,LEFT($A207,LEN($A207)-1),""))</f>
        <v/>
      </c>
      <c r="E207" s="97">
        <f>IF($A207="","",IFERROR(INDEX($E$7:$E$190,MATCH(LEFT($A207,3),$A$7:$A$190,0)),""))</f>
        <v/>
      </c>
      <c r="F207" s="98" t="inlineStr">
        <is>
          <t>TK tự mở</t>
        </is>
      </c>
    </row>
    <row r="208" ht="15" customHeight="1" s="78">
      <c r="A208" s="99" t="n"/>
      <c r="B208" s="100" t="n"/>
      <c r="C208" s="101" t="n"/>
      <c r="D208" s="96">
        <f>IF($A208="","",IF(LEN($A208)&gt;3,LEFT($A208,LEN($A208)-1),""))</f>
        <v/>
      </c>
      <c r="E208" s="97">
        <f>IF($A208="","",IFERROR(INDEX($E$7:$E$190,MATCH(LEFT($A208,3),$A$7:$A$190,0)),""))</f>
        <v/>
      </c>
      <c r="F208" s="98" t="inlineStr">
        <is>
          <t>TK tự mở</t>
        </is>
      </c>
    </row>
    <row r="209" ht="15" customHeight="1" s="78">
      <c r="A209" s="99" t="n"/>
      <c r="B209" s="100" t="n"/>
      <c r="C209" s="101" t="n"/>
      <c r="D209" s="96">
        <f>IF($A209="","",IF(LEN($A209)&gt;3,LEFT($A209,LEN($A209)-1),""))</f>
        <v/>
      </c>
      <c r="E209" s="97">
        <f>IF($A209="","",IFERROR(INDEX($E$7:$E$190,MATCH(LEFT($A209,3),$A$7:$A$190,0)),""))</f>
        <v/>
      </c>
      <c r="F209" s="98" t="inlineStr">
        <is>
          <t>TK tự mở</t>
        </is>
      </c>
    </row>
    <row r="210" ht="15" customHeight="1" s="78">
      <c r="A210" s="99" t="n"/>
      <c r="B210" s="100" t="n"/>
      <c r="C210" s="101" t="n"/>
      <c r="D210" s="96">
        <f>IF($A210="","",IF(LEN($A210)&gt;3,LEFT($A210,LEN($A210)-1),""))</f>
        <v/>
      </c>
      <c r="E210" s="97">
        <f>IF($A210="","",IFERROR(INDEX($E$7:$E$190,MATCH(LEFT($A210,3),$A$7:$A$190,0)),""))</f>
        <v/>
      </c>
      <c r="F210" s="98" t="inlineStr">
        <is>
          <t>TK tự mở</t>
        </is>
      </c>
    </row>
    <row r="211" ht="15" customHeight="1" s="78">
      <c r="A211" s="99" t="n"/>
      <c r="B211" s="100" t="n"/>
      <c r="C211" s="101" t="n"/>
      <c r="D211" s="96">
        <f>IF($A211="","",IF(LEN($A211)&gt;3,LEFT($A211,LEN($A211)-1),""))</f>
        <v/>
      </c>
      <c r="E211" s="97">
        <f>IF($A211="","",IFERROR(INDEX($E$7:$E$190,MATCH(LEFT($A211,3),$A$7:$A$190,0)),""))</f>
        <v/>
      </c>
      <c r="F211" s="98" t="inlineStr">
        <is>
          <t>TK tự mở</t>
        </is>
      </c>
    </row>
    <row r="212" ht="15" customHeight="1" s="78">
      <c r="A212" s="99" t="n"/>
      <c r="B212" s="100" t="n"/>
      <c r="C212" s="101" t="n"/>
      <c r="D212" s="96">
        <f>IF($A212="","",IF(LEN($A212)&gt;3,LEFT($A212,LEN($A212)-1),""))</f>
        <v/>
      </c>
      <c r="E212" s="97">
        <f>IF($A212="","",IFERROR(INDEX($E$7:$E$190,MATCH(LEFT($A212,3),$A$7:$A$190,0)),""))</f>
        <v/>
      </c>
      <c r="F212" s="98" t="inlineStr">
        <is>
          <t>TK tự mở</t>
        </is>
      </c>
    </row>
    <row r="213" ht="15" customHeight="1" s="78">
      <c r="A213" s="99" t="n"/>
      <c r="B213" s="100" t="n"/>
      <c r="C213" s="101" t="n"/>
      <c r="D213" s="96">
        <f>IF($A213="","",IF(LEN($A213)&gt;3,LEFT($A213,LEN($A213)-1),""))</f>
        <v/>
      </c>
      <c r="E213" s="97">
        <f>IF($A213="","",IFERROR(INDEX($E$7:$E$190,MATCH(LEFT($A213,3),$A$7:$A$190,0)),""))</f>
        <v/>
      </c>
      <c r="F213" s="98" t="inlineStr">
        <is>
          <t>TK tự mở</t>
        </is>
      </c>
    </row>
    <row r="214" ht="15" customHeight="1" s="78">
      <c r="A214" s="99" t="n"/>
      <c r="B214" s="100" t="n"/>
      <c r="C214" s="101" t="n"/>
      <c r="D214" s="96">
        <f>IF($A214="","",IF(LEN($A214)&gt;3,LEFT($A214,LEN($A214)-1),""))</f>
        <v/>
      </c>
      <c r="E214" s="97">
        <f>IF($A214="","",IFERROR(INDEX($E$7:$E$190,MATCH(LEFT($A214,3),$A$7:$A$190,0)),""))</f>
        <v/>
      </c>
      <c r="F214" s="98" t="inlineStr">
        <is>
          <t>TK tự mở</t>
        </is>
      </c>
    </row>
    <row r="215" ht="15" customHeight="1" s="78">
      <c r="A215" s="99" t="n"/>
      <c r="B215" s="100" t="n"/>
      <c r="C215" s="101" t="n"/>
      <c r="D215" s="96">
        <f>IF($A215="","",IF(LEN($A215)&gt;3,LEFT($A215,LEN($A215)-1),""))</f>
        <v/>
      </c>
      <c r="E215" s="97">
        <f>IF($A215="","",IFERROR(INDEX($E$7:$E$190,MATCH(LEFT($A215,3),$A$7:$A$190,0)),""))</f>
        <v/>
      </c>
      <c r="F215" s="98" t="inlineStr">
        <is>
          <t>TK tự mở</t>
        </is>
      </c>
    </row>
    <row r="216" ht="15" customHeight="1" s="78">
      <c r="A216" s="99" t="n"/>
      <c r="B216" s="100" t="n"/>
      <c r="C216" s="101" t="n"/>
      <c r="D216" s="96">
        <f>IF($A216="","",IF(LEN($A216)&gt;3,LEFT($A216,LEN($A216)-1),""))</f>
        <v/>
      </c>
      <c r="E216" s="97">
        <f>IF($A216="","",IFERROR(INDEX($E$7:$E$190,MATCH(LEFT($A216,3),$A$7:$A$190,0)),""))</f>
        <v/>
      </c>
      <c r="F216" s="98" t="inlineStr">
        <is>
          <t>TK tự mở</t>
        </is>
      </c>
    </row>
    <row r="217" ht="15" customHeight="1" s="78">
      <c r="A217" s="99" t="n"/>
      <c r="B217" s="100" t="n"/>
      <c r="C217" s="101" t="n"/>
      <c r="D217" s="96">
        <f>IF($A217="","",IF(LEN($A217)&gt;3,LEFT($A217,LEN($A217)-1),""))</f>
        <v/>
      </c>
      <c r="E217" s="97">
        <f>IF($A217="","",IFERROR(INDEX($E$7:$E$190,MATCH(LEFT($A217,3),$A$7:$A$190,0)),""))</f>
        <v/>
      </c>
      <c r="F217" s="98" t="inlineStr">
        <is>
          <t>TK tự mở</t>
        </is>
      </c>
    </row>
    <row r="218" ht="15" customHeight="1" s="78">
      <c r="A218" s="99" t="n"/>
      <c r="B218" s="100" t="n"/>
      <c r="C218" s="101" t="n"/>
      <c r="D218" s="96">
        <f>IF($A218="","",IF(LEN($A218)&gt;3,LEFT($A218,LEN($A218)-1),""))</f>
        <v/>
      </c>
      <c r="E218" s="97">
        <f>IF($A218="","",IFERROR(INDEX($E$7:$E$190,MATCH(LEFT($A218,3),$A$7:$A$190,0)),""))</f>
        <v/>
      </c>
      <c r="F218" s="98" t="inlineStr">
        <is>
          <t>TK tự mở</t>
        </is>
      </c>
    </row>
    <row r="219" ht="15" customHeight="1" s="78">
      <c r="A219" s="99" t="n"/>
      <c r="B219" s="100" t="n"/>
      <c r="C219" s="101" t="n"/>
      <c r="D219" s="96">
        <f>IF($A219="","",IF(LEN($A219)&gt;3,LEFT($A219,LEN($A219)-1),""))</f>
        <v/>
      </c>
      <c r="E219" s="97">
        <f>IF($A219="","",IFERROR(INDEX($E$7:$E$190,MATCH(LEFT($A219,3),$A$7:$A$190,0)),""))</f>
        <v/>
      </c>
      <c r="F219" s="98" t="inlineStr">
        <is>
          <t>TK tự mở</t>
        </is>
      </c>
    </row>
    <row r="220" ht="15" customHeight="1" s="78">
      <c r="A220" s="99" t="n"/>
      <c r="B220" s="100" t="n"/>
      <c r="C220" s="101" t="n"/>
      <c r="D220" s="96">
        <f>IF($A220="","",IF(LEN($A220)&gt;3,LEFT($A220,LEN($A220)-1),""))</f>
        <v/>
      </c>
      <c r="E220" s="97">
        <f>IF($A220="","",IFERROR(INDEX($E$7:$E$190,MATCH(LEFT($A220,3),$A$7:$A$190,0)),""))</f>
        <v/>
      </c>
      <c r="F220" s="98" t="inlineStr">
        <is>
          <t>TK tự mở</t>
        </is>
      </c>
    </row>
    <row r="221" ht="15" customHeight="1" s="78">
      <c r="A221" s="99" t="n"/>
      <c r="B221" s="100" t="n"/>
      <c r="C221" s="101" t="n"/>
      <c r="D221" s="96">
        <f>IF($A221="","",IF(LEN($A221)&gt;3,LEFT($A221,LEN($A221)-1),""))</f>
        <v/>
      </c>
      <c r="E221" s="97">
        <f>IF($A221="","",IFERROR(INDEX($E$7:$E$190,MATCH(LEFT($A221,3),$A$7:$A$190,0)),""))</f>
        <v/>
      </c>
      <c r="F221" s="98" t="inlineStr">
        <is>
          <t>TK tự mở</t>
        </is>
      </c>
    </row>
    <row r="222" ht="15" customHeight="1" s="78">
      <c r="A222" s="99" t="n"/>
      <c r="B222" s="100" t="n"/>
      <c r="C222" s="101" t="n"/>
      <c r="D222" s="96">
        <f>IF($A222="","",IF(LEN($A222)&gt;3,LEFT($A222,LEN($A222)-1),""))</f>
        <v/>
      </c>
      <c r="E222" s="97">
        <f>IF($A222="","",IFERROR(INDEX($E$7:$E$190,MATCH(LEFT($A222,3),$A$7:$A$190,0)),""))</f>
        <v/>
      </c>
      <c r="F222" s="98" t="inlineStr">
        <is>
          <t>TK tự mở</t>
        </is>
      </c>
    </row>
    <row r="223" ht="15" customHeight="1" s="78">
      <c r="A223" s="99" t="n"/>
      <c r="B223" s="100" t="n"/>
      <c r="C223" s="101" t="n"/>
      <c r="D223" s="96">
        <f>IF($A223="","",IF(LEN($A223)&gt;3,LEFT($A223,LEN($A223)-1),""))</f>
        <v/>
      </c>
      <c r="E223" s="97">
        <f>IF($A223="","",IFERROR(INDEX($E$7:$E$190,MATCH(LEFT($A223,3),$A$7:$A$190,0)),""))</f>
        <v/>
      </c>
      <c r="F223" s="98" t="inlineStr">
        <is>
          <t>TK tự mở</t>
        </is>
      </c>
    </row>
    <row r="224" ht="15" customHeight="1" s="78">
      <c r="A224" s="99" t="n"/>
      <c r="B224" s="100" t="n"/>
      <c r="C224" s="101" t="n"/>
      <c r="D224" s="96">
        <f>IF($A224="","",IF(LEN($A224)&gt;3,LEFT($A224,LEN($A224)-1),""))</f>
        <v/>
      </c>
      <c r="E224" s="97">
        <f>IF($A224="","",IFERROR(INDEX($E$7:$E$190,MATCH(LEFT($A224,3),$A$7:$A$190,0)),""))</f>
        <v/>
      </c>
      <c r="F224" s="98" t="inlineStr">
        <is>
          <t>TK tự mở</t>
        </is>
      </c>
    </row>
    <row r="225" ht="15" customHeight="1" s="78">
      <c r="A225" s="99" t="n"/>
      <c r="B225" s="100" t="n"/>
      <c r="C225" s="101" t="n"/>
      <c r="D225" s="96">
        <f>IF($A225="","",IF(LEN($A225)&gt;3,LEFT($A225,LEN($A225)-1),""))</f>
        <v/>
      </c>
      <c r="E225" s="97">
        <f>IF($A225="","",IFERROR(INDEX($E$7:$E$190,MATCH(LEFT($A225,3),$A$7:$A$190,0)),""))</f>
        <v/>
      </c>
      <c r="F225" s="98" t="inlineStr">
        <is>
          <t>TK tự mở</t>
        </is>
      </c>
    </row>
    <row r="226" ht="15" customHeight="1" s="78">
      <c r="A226" s="99" t="n"/>
      <c r="B226" s="100" t="n"/>
      <c r="C226" s="101" t="n"/>
      <c r="D226" s="96">
        <f>IF($A226="","",IF(LEN($A226)&gt;3,LEFT($A226,LEN($A226)-1),""))</f>
        <v/>
      </c>
      <c r="E226" s="97">
        <f>IF($A226="","",IFERROR(INDEX($E$7:$E$190,MATCH(LEFT($A226,3),$A$7:$A$190,0)),""))</f>
        <v/>
      </c>
      <c r="F226" s="98" t="inlineStr">
        <is>
          <t>TK tự mở</t>
        </is>
      </c>
    </row>
    <row r="227" ht="15" customHeight="1" s="78">
      <c r="A227" s="99" t="n"/>
      <c r="B227" s="100" t="n"/>
      <c r="C227" s="101" t="n"/>
      <c r="D227" s="96">
        <f>IF($A227="","",IF(LEN($A227)&gt;3,LEFT($A227,LEN($A227)-1),""))</f>
        <v/>
      </c>
      <c r="E227" s="97">
        <f>IF($A227="","",IFERROR(INDEX($E$7:$E$190,MATCH(LEFT($A227,3),$A$7:$A$190,0)),""))</f>
        <v/>
      </c>
      <c r="F227" s="98" t="inlineStr">
        <is>
          <t>TK tự mở</t>
        </is>
      </c>
    </row>
    <row r="228" ht="15" customHeight="1" s="78">
      <c r="A228" s="99" t="n"/>
      <c r="B228" s="100" t="n"/>
      <c r="C228" s="101" t="n"/>
      <c r="D228" s="96">
        <f>IF($A228="","",IF(LEN($A228)&gt;3,LEFT($A228,LEN($A228)-1),""))</f>
        <v/>
      </c>
      <c r="E228" s="97">
        <f>IF($A228="","",IFERROR(INDEX($E$7:$E$190,MATCH(LEFT($A228,3),$A$7:$A$190,0)),""))</f>
        <v/>
      </c>
      <c r="F228" s="98" t="inlineStr">
        <is>
          <t>TK tự mở</t>
        </is>
      </c>
    </row>
    <row r="229" ht="15" customHeight="1" s="78">
      <c r="A229" s="99" t="n"/>
      <c r="B229" s="100" t="n"/>
      <c r="C229" s="101" t="n"/>
      <c r="D229" s="96">
        <f>IF($A229="","",IF(LEN($A229)&gt;3,LEFT($A229,LEN($A229)-1),""))</f>
        <v/>
      </c>
      <c r="E229" s="97">
        <f>IF($A229="","",IFERROR(INDEX($E$7:$E$190,MATCH(LEFT($A229,3),$A$7:$A$190,0)),""))</f>
        <v/>
      </c>
      <c r="F229" s="98" t="inlineStr">
        <is>
          <t>TK tự mở</t>
        </is>
      </c>
    </row>
    <row r="230" ht="15" customHeight="1" s="78">
      <c r="A230" s="99" t="n"/>
      <c r="B230" s="100" t="n"/>
      <c r="C230" s="101" t="n"/>
      <c r="D230" s="96">
        <f>IF($A230="","",IF(LEN($A230)&gt;3,LEFT($A230,LEN($A230)-1),""))</f>
        <v/>
      </c>
      <c r="E230" s="97">
        <f>IF($A230="","",IFERROR(INDEX($E$7:$E$190,MATCH(LEFT($A230,3),$A$7:$A$190,0)),""))</f>
        <v/>
      </c>
      <c r="F230" s="98" t="inlineStr">
        <is>
          <t>TK tự mở</t>
        </is>
      </c>
    </row>
    <row r="231" ht="15" customHeight="1" s="78">
      <c r="A231" s="99" t="n"/>
      <c r="B231" s="100" t="n"/>
      <c r="C231" s="101" t="n"/>
      <c r="D231" s="96">
        <f>IF($A231="","",IF(LEN($A231)&gt;3,LEFT($A231,LEN($A231)-1),""))</f>
        <v/>
      </c>
      <c r="E231" s="97">
        <f>IF($A231="","",IFERROR(INDEX($E$7:$E$190,MATCH(LEFT($A231,3),$A$7:$A$190,0)),""))</f>
        <v/>
      </c>
      <c r="F231" s="98" t="inlineStr">
        <is>
          <t>TK tự mở</t>
        </is>
      </c>
    </row>
    <row r="232" ht="15" customHeight="1" s="78">
      <c r="A232" s="99" t="n"/>
      <c r="B232" s="100" t="n"/>
      <c r="C232" s="101" t="n"/>
      <c r="D232" s="96">
        <f>IF($A232="","",IF(LEN($A232)&gt;3,LEFT($A232,LEN($A232)-1),""))</f>
        <v/>
      </c>
      <c r="E232" s="97">
        <f>IF($A232="","",IFERROR(INDEX($E$7:$E$190,MATCH(LEFT($A232,3),$A$7:$A$190,0)),""))</f>
        <v/>
      </c>
      <c r="F232" s="98" t="inlineStr">
        <is>
          <t>TK tự mở</t>
        </is>
      </c>
    </row>
    <row r="233" ht="15" customHeight="1" s="78">
      <c r="A233" s="99" t="n"/>
      <c r="B233" s="100" t="n"/>
      <c r="C233" s="101" t="n"/>
      <c r="D233" s="96">
        <f>IF($A233="","",IF(LEN($A233)&gt;3,LEFT($A233,LEN($A233)-1),""))</f>
        <v/>
      </c>
      <c r="E233" s="97">
        <f>IF($A233="","",IFERROR(INDEX($E$7:$E$190,MATCH(LEFT($A233,3),$A$7:$A$190,0)),""))</f>
        <v/>
      </c>
      <c r="F233" s="98" t="inlineStr">
        <is>
          <t>TK tự mở</t>
        </is>
      </c>
    </row>
    <row r="234" ht="15" customHeight="1" s="78">
      <c r="A234" s="99" t="n"/>
      <c r="B234" s="100" t="n"/>
      <c r="C234" s="101" t="n"/>
      <c r="D234" s="96">
        <f>IF($A234="","",IF(LEN($A234)&gt;3,LEFT($A234,LEN($A234)-1),""))</f>
        <v/>
      </c>
      <c r="E234" s="97">
        <f>IF($A234="","",IFERROR(INDEX($E$7:$E$190,MATCH(LEFT($A234,3),$A$7:$A$190,0)),""))</f>
        <v/>
      </c>
      <c r="F234" s="98" t="inlineStr">
        <is>
          <t>TK tự mở</t>
        </is>
      </c>
    </row>
    <row r="235" ht="15" customHeight="1" s="78">
      <c r="A235" s="99" t="n"/>
      <c r="B235" s="100" t="n"/>
      <c r="C235" s="101" t="n"/>
      <c r="D235" s="96">
        <f>IF($A235="","",IF(LEN($A235)&gt;3,LEFT($A235,LEN($A235)-1),""))</f>
        <v/>
      </c>
      <c r="E235" s="97">
        <f>IF($A235="","",IFERROR(INDEX($E$7:$E$190,MATCH(LEFT($A235,3),$A$7:$A$190,0)),""))</f>
        <v/>
      </c>
      <c r="F235" s="98" t="inlineStr">
        <is>
          <t>TK tự mở</t>
        </is>
      </c>
    </row>
    <row r="236" ht="15" customHeight="1" s="78">
      <c r="A236" s="99" t="n"/>
      <c r="B236" s="100" t="n"/>
      <c r="C236" s="101" t="n"/>
      <c r="D236" s="96">
        <f>IF($A236="","",IF(LEN($A236)&gt;3,LEFT($A236,LEN($A236)-1),""))</f>
        <v/>
      </c>
      <c r="E236" s="97">
        <f>IF($A236="","",IFERROR(INDEX($E$7:$E$190,MATCH(LEFT($A236,3),$A$7:$A$190,0)),""))</f>
        <v/>
      </c>
      <c r="F236" s="98" t="inlineStr">
        <is>
          <t>TK tự mở</t>
        </is>
      </c>
    </row>
    <row r="237" ht="15" customHeight="1" s="78">
      <c r="A237" s="99" t="n"/>
      <c r="B237" s="100" t="n"/>
      <c r="C237" s="101" t="n"/>
      <c r="D237" s="96">
        <f>IF($A237="","",IF(LEN($A237)&gt;3,LEFT($A237,LEN($A237)-1),""))</f>
        <v/>
      </c>
      <c r="E237" s="97">
        <f>IF($A237="","",IFERROR(INDEX($E$7:$E$190,MATCH(LEFT($A237,3),$A$7:$A$190,0)),""))</f>
        <v/>
      </c>
      <c r="F237" s="98" t="inlineStr">
        <is>
          <t>TK tự mở</t>
        </is>
      </c>
    </row>
    <row r="238" ht="15" customHeight="1" s="78">
      <c r="A238" s="99" t="n"/>
      <c r="B238" s="100" t="n"/>
      <c r="C238" s="101" t="n"/>
      <c r="D238" s="96">
        <f>IF($A238="","",IF(LEN($A238)&gt;3,LEFT($A238,LEN($A238)-1),""))</f>
        <v/>
      </c>
      <c r="E238" s="97">
        <f>IF($A238="","",IFERROR(INDEX($E$7:$E$190,MATCH(LEFT($A238,3),$A$7:$A$190,0)),""))</f>
        <v/>
      </c>
      <c r="F238" s="98" t="inlineStr">
        <is>
          <t>TK tự mở</t>
        </is>
      </c>
    </row>
    <row r="239" ht="15" customHeight="1" s="78">
      <c r="A239" s="99" t="n"/>
      <c r="B239" s="100" t="n"/>
      <c r="C239" s="101" t="n"/>
      <c r="D239" s="96">
        <f>IF($A239="","",IF(LEN($A239)&gt;3,LEFT($A239,LEN($A239)-1),""))</f>
        <v/>
      </c>
      <c r="E239" s="97">
        <f>IF($A239="","",IFERROR(INDEX($E$7:$E$190,MATCH(LEFT($A239,3),$A$7:$A$190,0)),""))</f>
        <v/>
      </c>
      <c r="F239" s="98" t="inlineStr">
        <is>
          <t>TK tự mở</t>
        </is>
      </c>
    </row>
    <row r="240" ht="15" customHeight="1" s="78">
      <c r="A240" s="99" t="n"/>
      <c r="B240" s="100" t="n"/>
      <c r="C240" s="101" t="n"/>
      <c r="D240" s="96">
        <f>IF($A240="","",IF(LEN($A240)&gt;3,LEFT($A240,LEN($A240)-1),""))</f>
        <v/>
      </c>
      <c r="E240" s="97">
        <f>IF($A240="","",IFERROR(INDEX($E$7:$E$190,MATCH(LEFT($A240,3),$A$7:$A$190,0)),""))</f>
        <v/>
      </c>
      <c r="F240" s="98" t="inlineStr">
        <is>
          <t>TK tự mở</t>
        </is>
      </c>
    </row>
    <row r="241" ht="15" customHeight="1" s="78">
      <c r="A241" s="99" t="n"/>
      <c r="B241" s="100" t="n"/>
      <c r="C241" s="101" t="n"/>
      <c r="D241" s="96">
        <f>IF($A241="","",IF(LEN($A241)&gt;3,LEFT($A241,LEN($A241)-1),""))</f>
        <v/>
      </c>
      <c r="E241" s="97">
        <f>IF($A241="","",IFERROR(INDEX($E$7:$E$190,MATCH(LEFT($A241,3),$A$7:$A$190,0)),""))</f>
        <v/>
      </c>
      <c r="F241" s="98" t="inlineStr">
        <is>
          <t>TK tự mở</t>
        </is>
      </c>
    </row>
    <row r="242" ht="15" customHeight="1" s="78">
      <c r="A242" s="99" t="n"/>
      <c r="B242" s="100" t="n"/>
      <c r="C242" s="101" t="n"/>
      <c r="D242" s="96">
        <f>IF($A242="","",IF(LEN($A242)&gt;3,LEFT($A242,LEN($A242)-1),""))</f>
        <v/>
      </c>
      <c r="E242" s="97">
        <f>IF($A242="","",IFERROR(INDEX($E$7:$E$190,MATCH(LEFT($A242,3),$A$7:$A$190,0)),""))</f>
        <v/>
      </c>
      <c r="F242" s="98" t="inlineStr">
        <is>
          <t>TK tự mở</t>
        </is>
      </c>
    </row>
    <row r="243" ht="15" customHeight="1" s="78">
      <c r="A243" s="99" t="n"/>
      <c r="B243" s="100" t="n"/>
      <c r="C243" s="101" t="n"/>
      <c r="D243" s="96">
        <f>IF($A243="","",IF(LEN($A243)&gt;3,LEFT($A243,LEN($A243)-1),""))</f>
        <v/>
      </c>
      <c r="E243" s="97">
        <f>IF($A243="","",IFERROR(INDEX($E$7:$E$190,MATCH(LEFT($A243,3),$A$7:$A$190,0)),""))</f>
        <v/>
      </c>
      <c r="F243" s="98" t="inlineStr">
        <is>
          <t>TK tự mở</t>
        </is>
      </c>
    </row>
    <row r="244" ht="15" customHeight="1" s="78">
      <c r="A244" s="99" t="n"/>
      <c r="B244" s="100" t="n"/>
      <c r="C244" s="101" t="n"/>
      <c r="D244" s="96">
        <f>IF($A244="","",IF(LEN($A244)&gt;3,LEFT($A244,LEN($A244)-1),""))</f>
        <v/>
      </c>
      <c r="E244" s="97">
        <f>IF($A244="","",IFERROR(INDEX($E$7:$E$190,MATCH(LEFT($A244,3),$A$7:$A$190,0)),""))</f>
        <v/>
      </c>
      <c r="F244" s="98" t="inlineStr">
        <is>
          <t>TK tự mở</t>
        </is>
      </c>
    </row>
    <row r="245" ht="15" customHeight="1" s="78">
      <c r="A245" s="99" t="n"/>
      <c r="B245" s="100" t="n"/>
      <c r="C245" s="101" t="n"/>
      <c r="D245" s="96">
        <f>IF($A245="","",IF(LEN($A245)&gt;3,LEFT($A245,LEN($A245)-1),""))</f>
        <v/>
      </c>
      <c r="E245" s="97">
        <f>IF($A245="","",IFERROR(INDEX($E$7:$E$190,MATCH(LEFT($A245,3),$A$7:$A$190,0)),""))</f>
        <v/>
      </c>
      <c r="F245" s="98" t="inlineStr">
        <is>
          <t>TK tự mở</t>
        </is>
      </c>
    </row>
    <row r="246" ht="15" customHeight="1" s="78">
      <c r="A246" s="99" t="n"/>
      <c r="B246" s="100" t="n"/>
      <c r="C246" s="101" t="n"/>
      <c r="D246" s="96">
        <f>IF($A246="","",IF(LEN($A246)&gt;3,LEFT($A246,LEN($A246)-1),""))</f>
        <v/>
      </c>
      <c r="E246" s="97">
        <f>IF($A246="","",IFERROR(INDEX($E$7:$E$190,MATCH(LEFT($A246,3),$A$7:$A$190,0)),""))</f>
        <v/>
      </c>
      <c r="F246" s="98" t="inlineStr">
        <is>
          <t>TK tự mở</t>
        </is>
      </c>
    </row>
    <row r="247" ht="15" customHeight="1" s="78">
      <c r="A247" s="99" t="n"/>
      <c r="B247" s="100" t="n"/>
      <c r="C247" s="101" t="n"/>
      <c r="D247" s="96">
        <f>IF($A247="","",IF(LEN($A247)&gt;3,LEFT($A247,LEN($A247)-1),""))</f>
        <v/>
      </c>
      <c r="E247" s="97">
        <f>IF($A247="","",IFERROR(INDEX($E$7:$E$190,MATCH(LEFT($A247,3),$A$7:$A$190,0)),""))</f>
        <v/>
      </c>
      <c r="F247" s="98" t="inlineStr">
        <is>
          <t>TK tự mở</t>
        </is>
      </c>
    </row>
    <row r="248" ht="15" customHeight="1" s="78">
      <c r="A248" s="99" t="n"/>
      <c r="B248" s="100" t="n"/>
      <c r="C248" s="101" t="n"/>
      <c r="D248" s="96">
        <f>IF($A248="","",IF(LEN($A248)&gt;3,LEFT($A248,LEN($A248)-1),""))</f>
        <v/>
      </c>
      <c r="E248" s="97">
        <f>IF($A248="","",IFERROR(INDEX($E$7:$E$190,MATCH(LEFT($A248,3),$A$7:$A$190,0)),""))</f>
        <v/>
      </c>
      <c r="F248" s="98" t="inlineStr">
        <is>
          <t>TK tự mở</t>
        </is>
      </c>
    </row>
    <row r="249" ht="15" customHeight="1" s="78">
      <c r="A249" s="99" t="n"/>
      <c r="B249" s="100" t="n"/>
      <c r="C249" s="101" t="n"/>
      <c r="D249" s="96">
        <f>IF($A249="","",IF(LEN($A249)&gt;3,LEFT($A249,LEN($A249)-1),""))</f>
        <v/>
      </c>
      <c r="E249" s="97">
        <f>IF($A249="","",IFERROR(INDEX($E$7:$E$190,MATCH(LEFT($A249,3),$A$7:$A$190,0)),""))</f>
        <v/>
      </c>
      <c r="F249" s="98" t="inlineStr">
        <is>
          <t>TK tự mở</t>
        </is>
      </c>
    </row>
    <row r="250" ht="15" customHeight="1" s="78">
      <c r="A250" s="99" t="n"/>
      <c r="B250" s="100" t="n"/>
      <c r="C250" s="101" t="n"/>
      <c r="D250" s="96">
        <f>IF($A250="","",IF(LEN($A250)&gt;3,LEFT($A250,LEN($A250)-1),""))</f>
        <v/>
      </c>
      <c r="E250" s="97">
        <f>IF($A250="","",IFERROR(INDEX($E$7:$E$190,MATCH(LEFT($A250,3),$A$7:$A$190,0)),""))</f>
        <v/>
      </c>
      <c r="F250" s="98" t="inlineStr">
        <is>
          <t>TK tự mở</t>
        </is>
      </c>
    </row>
  </sheetData>
  <sheetProtection selectLockedCells="0" selectUnlockedCells="0" sheet="1" objects="0" insertRows="1" insertHyperlinks="1" autoFilter="0" scenarios="0" formatColumns="0" deleteColumns="1" insertColumns="1" pivotTables="1" deleteRows="1" formatCells="0" formatRows="0" sort="0"/>
  <mergeCells count="1">
    <mergeCell ref="A2:F2"/>
  </mergeCells>
  <printOptions horizontalCentered="0" verticalCentered="0" headings="0" gridLines="0" gridLinesSet="1"/>
  <pageMargins left="0.75" right="0.75" top="1" bottom="1" header="0.511811023622047" footer="0.5"/>
  <pageSetup orientation="portrait" paperSize="9" scale="100" fitToHeight="0" fitToWidth="1" pageOrder="downThenOver" blackAndWhite="0" draft="0" horizontalDpi="300" verticalDpi="300" copies="1"/>
  <headerFooter differentOddEven="0" differentFirst="0">
    <oddHeader/>
    <oddFooter>&amp;L&amp;8 &amp;K808080Mr Wick Kiểm toán — Phần mềm kế toán TT 99/2025&amp;R&amp;8 &amp;K808080Trang &amp;P/&amp;N</oddFooter>
    <evenHeader/>
    <evenFooter/>
    <firstHeader/>
    <firstFooter/>
  </headerFooter>
</worksheet>
</file>

<file path=xl/worksheets/sheet4.xml><?xml version="1.0" encoding="utf-8"?>
<worksheet xmlns="http://schemas.openxmlformats.org/spreadsheetml/2006/main">
  <sheetPr filterMode="0">
    <outlinePr summaryBelow="1" summaryRight="1"/>
    <pageSetUpPr fitToPage="1"/>
  </sheetPr>
  <dimension ref="A1:F306"/>
  <sheetViews>
    <sheetView showFormulas="0" showGridLines="1"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77" min="1" max="1"/>
    <col width="46" customWidth="1" style="77" min="2" max="2"/>
    <col width="14" customWidth="1" style="77" min="3" max="3"/>
    <col width="16" customWidth="1" style="77" min="4" max="4"/>
    <col width="44" customWidth="1" style="77" min="5" max="5"/>
    <col width="24" customWidth="1" style="77" min="6" max="6"/>
  </cols>
  <sheetData>
    <row r="1"/>
    <row r="2" ht="17.35" customHeight="1" s="78">
      <c r="A2" s="84" t="inlineStr">
        <is>
          <t>DANH MỤC ĐỐI TƯỢNG (KHÁCH HÀNG / NHÀ CUNG CẤP / NHÂN VIÊN...)</t>
        </is>
      </c>
    </row>
    <row r="3" ht="15" customHeight="1" s="78">
      <c r="A3" s="85" t="inlineStr">
        <is>
          <t>Mỗi khách hàng, nhà cung cấp cần một mã riêng để theo dõi công nợ 131/331. Mã dùng trong cột 'Mã ĐT' của Nhật ký chung.</t>
        </is>
      </c>
    </row>
    <row r="4"/>
    <row r="5"/>
    <row r="6" ht="27.75" customHeight="1" s="78">
      <c r="A6" s="92" t="inlineStr">
        <is>
          <t>Mã ĐT</t>
        </is>
      </c>
      <c r="B6" s="92" t="inlineStr">
        <is>
          <t>Tên đối tượng</t>
        </is>
      </c>
      <c r="C6" s="92" t="inlineStr">
        <is>
          <t>Loại</t>
        </is>
      </c>
      <c r="D6" s="92" t="inlineStr">
        <is>
          <t>Mã số thuế</t>
        </is>
      </c>
      <c r="E6" s="92" t="inlineStr">
        <is>
          <t>Địa chỉ</t>
        </is>
      </c>
      <c r="F6" s="92" t="inlineStr">
        <is>
          <t>Ghi chú</t>
        </is>
      </c>
    </row>
    <row r="7" ht="15" customHeight="1" s="78">
      <c r="A7" s="102" t="inlineStr">
        <is>
          <t>KH001</t>
        </is>
      </c>
      <c r="B7" s="103" t="inlineStr">
        <is>
          <t>Công ty CP Bình Minh</t>
        </is>
      </c>
      <c r="C7" s="102" t="inlineStr">
        <is>
          <t>KH</t>
        </is>
      </c>
      <c r="D7" s="103" t="n"/>
      <c r="E7" s="103" t="n"/>
      <c r="F7" s="103" t="n"/>
    </row>
    <row r="8" ht="15" customHeight="1" s="78">
      <c r="A8" s="102" t="inlineStr">
        <is>
          <t>KH002</t>
        </is>
      </c>
      <c r="B8" s="103" t="inlineStr">
        <is>
          <t>Công ty TNHH Sao Mai</t>
        </is>
      </c>
      <c r="C8" s="102" t="inlineStr">
        <is>
          <t>KH</t>
        </is>
      </c>
      <c r="D8" s="103" t="n"/>
      <c r="E8" s="103" t="n"/>
      <c r="F8" s="103" t="n"/>
    </row>
    <row r="9" ht="15" customHeight="1" s="78">
      <c r="A9" s="102" t="inlineStr">
        <is>
          <t>KH003</t>
        </is>
      </c>
      <c r="B9" s="103" t="inlineStr">
        <is>
          <t>Đại lý Hòa Bình</t>
        </is>
      </c>
      <c r="C9" s="102" t="inlineStr">
        <is>
          <t>KH</t>
        </is>
      </c>
      <c r="D9" s="103" t="n"/>
      <c r="E9" s="103" t="n"/>
      <c r="F9" s="103" t="n"/>
    </row>
    <row r="10" ht="15" customHeight="1" s="78">
      <c r="A10" s="102" t="inlineStr">
        <is>
          <t>NCC001</t>
        </is>
      </c>
      <c r="B10" s="103" t="inlineStr">
        <is>
          <t>Công ty TNHH Phú Thành</t>
        </is>
      </c>
      <c r="C10" s="102" t="inlineStr">
        <is>
          <t>NCC</t>
        </is>
      </c>
      <c r="D10" s="103" t="n"/>
      <c r="E10" s="103" t="n"/>
      <c r="F10" s="103" t="n"/>
    </row>
    <row r="11" ht="15" customHeight="1" s="78">
      <c r="A11" s="102" t="inlineStr">
        <is>
          <t>NCC002</t>
        </is>
      </c>
      <c r="B11" s="103" t="inlineStr">
        <is>
          <t>Công ty CP Thiết bị Đại Nam</t>
        </is>
      </c>
      <c r="C11" s="102" t="inlineStr">
        <is>
          <t>NCC</t>
        </is>
      </c>
      <c r="D11" s="103" t="n"/>
      <c r="E11" s="103" t="n"/>
      <c r="F11" s="103" t="n"/>
    </row>
    <row r="12" ht="15" customHeight="1" s="78">
      <c r="A12" s="102" t="n"/>
      <c r="B12" s="103" t="n"/>
      <c r="C12" s="102" t="n"/>
      <c r="D12" s="103" t="n"/>
      <c r="E12" s="103" t="n"/>
      <c r="F12" s="103" t="n"/>
    </row>
    <row r="13" ht="15" customHeight="1" s="78">
      <c r="A13" s="102" t="n"/>
      <c r="B13" s="103" t="n"/>
      <c r="C13" s="102" t="n"/>
      <c r="D13" s="103" t="n"/>
      <c r="E13" s="103" t="n"/>
      <c r="F13" s="103" t="n"/>
    </row>
    <row r="14" ht="15" customHeight="1" s="78">
      <c r="A14" s="102" t="n"/>
      <c r="B14" s="103" t="n"/>
      <c r="C14" s="102" t="n"/>
      <c r="D14" s="103" t="n"/>
      <c r="E14" s="103" t="n"/>
      <c r="F14" s="103" t="n"/>
    </row>
    <row r="15" ht="15" customHeight="1" s="78">
      <c r="A15" s="102" t="n"/>
      <c r="B15" s="103" t="n"/>
      <c r="C15" s="102" t="n"/>
      <c r="D15" s="103" t="n"/>
      <c r="E15" s="103" t="n"/>
      <c r="F15" s="103" t="n"/>
    </row>
    <row r="16" ht="15" customHeight="1" s="78">
      <c r="A16" s="102" t="n"/>
      <c r="B16" s="103" t="n"/>
      <c r="C16" s="102" t="n"/>
      <c r="D16" s="103" t="n"/>
      <c r="E16" s="103" t="n"/>
      <c r="F16" s="103" t="n"/>
    </row>
    <row r="17" ht="15" customHeight="1" s="78">
      <c r="A17" s="102" t="n"/>
      <c r="B17" s="103" t="n"/>
      <c r="C17" s="102" t="n"/>
      <c r="D17" s="103" t="n"/>
      <c r="E17" s="103" t="n"/>
      <c r="F17" s="103" t="n"/>
    </row>
    <row r="18" ht="15" customHeight="1" s="78">
      <c r="A18" s="102" t="n"/>
      <c r="B18" s="103" t="n"/>
      <c r="C18" s="102" t="n"/>
      <c r="D18" s="103" t="n"/>
      <c r="E18" s="103" t="n"/>
      <c r="F18" s="103" t="n"/>
    </row>
    <row r="19" ht="15" customHeight="1" s="78">
      <c r="A19" s="102" t="n"/>
      <c r="B19" s="103" t="n"/>
      <c r="C19" s="102" t="n"/>
      <c r="D19" s="103" t="n"/>
      <c r="E19" s="103" t="n"/>
      <c r="F19" s="103" t="n"/>
    </row>
    <row r="20" ht="15" customHeight="1" s="78">
      <c r="A20" s="102" t="n"/>
      <c r="B20" s="103" t="n"/>
      <c r="C20" s="102" t="n"/>
      <c r="D20" s="103" t="n"/>
      <c r="E20" s="103" t="n"/>
      <c r="F20" s="103" t="n"/>
    </row>
    <row r="21" ht="15" customHeight="1" s="78">
      <c r="A21" s="102" t="n"/>
      <c r="B21" s="103" t="n"/>
      <c r="C21" s="102" t="n"/>
      <c r="D21" s="103" t="n"/>
      <c r="E21" s="103" t="n"/>
      <c r="F21" s="103" t="n"/>
    </row>
    <row r="22" ht="15" customHeight="1" s="78">
      <c r="A22" s="102" t="n"/>
      <c r="B22" s="103" t="n"/>
      <c r="C22" s="102" t="n"/>
      <c r="D22" s="103" t="n"/>
      <c r="E22" s="103" t="n"/>
      <c r="F22" s="103" t="n"/>
    </row>
    <row r="23" ht="15" customHeight="1" s="78">
      <c r="A23" s="102" t="n"/>
      <c r="B23" s="103" t="n"/>
      <c r="C23" s="102" t="n"/>
      <c r="D23" s="103" t="n"/>
      <c r="E23" s="103" t="n"/>
      <c r="F23" s="103" t="n"/>
    </row>
    <row r="24" ht="15" customHeight="1" s="78">
      <c r="A24" s="102" t="n"/>
      <c r="B24" s="103" t="n"/>
      <c r="C24" s="102" t="n"/>
      <c r="D24" s="103" t="n"/>
      <c r="E24" s="103" t="n"/>
      <c r="F24" s="103" t="n"/>
    </row>
    <row r="25" ht="15" customHeight="1" s="78">
      <c r="A25" s="102" t="n"/>
      <c r="B25" s="103" t="n"/>
      <c r="C25" s="102" t="n"/>
      <c r="D25" s="103" t="n"/>
      <c r="E25" s="103" t="n"/>
      <c r="F25" s="103" t="n"/>
    </row>
    <row r="26" ht="15" customHeight="1" s="78">
      <c r="A26" s="102" t="n"/>
      <c r="B26" s="103" t="n"/>
      <c r="C26" s="102" t="n"/>
      <c r="D26" s="103" t="n"/>
      <c r="E26" s="103" t="n"/>
      <c r="F26" s="103" t="n"/>
    </row>
    <row r="27" ht="15" customHeight="1" s="78">
      <c r="A27" s="102" t="n"/>
      <c r="B27" s="103" t="n"/>
      <c r="C27" s="102" t="n"/>
      <c r="D27" s="103" t="n"/>
      <c r="E27" s="103" t="n"/>
      <c r="F27" s="103" t="n"/>
    </row>
    <row r="28" ht="15" customHeight="1" s="78">
      <c r="A28" s="102" t="n"/>
      <c r="B28" s="103" t="n"/>
      <c r="C28" s="102" t="n"/>
      <c r="D28" s="103" t="n"/>
      <c r="E28" s="103" t="n"/>
      <c r="F28" s="103" t="n"/>
    </row>
    <row r="29" ht="15" customHeight="1" s="78">
      <c r="A29" s="102" t="n"/>
      <c r="B29" s="103" t="n"/>
      <c r="C29" s="102" t="n"/>
      <c r="D29" s="103" t="n"/>
      <c r="E29" s="103" t="n"/>
      <c r="F29" s="103" t="n"/>
    </row>
    <row r="30" ht="15" customHeight="1" s="78">
      <c r="A30" s="102" t="n"/>
      <c r="B30" s="103" t="n"/>
      <c r="C30" s="102" t="n"/>
      <c r="D30" s="103" t="n"/>
      <c r="E30" s="103" t="n"/>
      <c r="F30" s="103" t="n"/>
    </row>
    <row r="31" ht="15" customHeight="1" s="78">
      <c r="A31" s="102" t="n"/>
      <c r="B31" s="103" t="n"/>
      <c r="C31" s="102" t="n"/>
      <c r="D31" s="103" t="n"/>
      <c r="E31" s="103" t="n"/>
      <c r="F31" s="103" t="n"/>
    </row>
    <row r="32" ht="15" customHeight="1" s="78">
      <c r="A32" s="102" t="n"/>
      <c r="B32" s="103" t="n"/>
      <c r="C32" s="102" t="n"/>
      <c r="D32" s="103" t="n"/>
      <c r="E32" s="103" t="n"/>
      <c r="F32" s="103" t="n"/>
    </row>
    <row r="33" ht="15" customHeight="1" s="78">
      <c r="A33" s="102" t="n"/>
      <c r="B33" s="103" t="n"/>
      <c r="C33" s="102" t="n"/>
      <c r="D33" s="103" t="n"/>
      <c r="E33" s="103" t="n"/>
      <c r="F33" s="103" t="n"/>
    </row>
    <row r="34" ht="15" customHeight="1" s="78">
      <c r="A34" s="102" t="n"/>
      <c r="B34" s="103" t="n"/>
      <c r="C34" s="102" t="n"/>
      <c r="D34" s="103" t="n"/>
      <c r="E34" s="103" t="n"/>
      <c r="F34" s="103" t="n"/>
    </row>
    <row r="35" ht="15" customHeight="1" s="78">
      <c r="A35" s="102" t="n"/>
      <c r="B35" s="103" t="n"/>
      <c r="C35" s="102" t="n"/>
      <c r="D35" s="103" t="n"/>
      <c r="E35" s="103" t="n"/>
      <c r="F35" s="103" t="n"/>
    </row>
    <row r="36" ht="15" customHeight="1" s="78">
      <c r="A36" s="102" t="n"/>
      <c r="B36" s="103" t="n"/>
      <c r="C36" s="102" t="n"/>
      <c r="D36" s="103" t="n"/>
      <c r="E36" s="103" t="n"/>
      <c r="F36" s="103" t="n"/>
    </row>
    <row r="37" ht="15" customHeight="1" s="78">
      <c r="A37" s="102" t="n"/>
      <c r="B37" s="103" t="n"/>
      <c r="C37" s="102" t="n"/>
      <c r="D37" s="103" t="n"/>
      <c r="E37" s="103" t="n"/>
      <c r="F37" s="103" t="n"/>
    </row>
    <row r="38" ht="15" customHeight="1" s="78">
      <c r="A38" s="102" t="n"/>
      <c r="B38" s="103" t="n"/>
      <c r="C38" s="102" t="n"/>
      <c r="D38" s="103" t="n"/>
      <c r="E38" s="103" t="n"/>
      <c r="F38" s="103" t="n"/>
    </row>
    <row r="39" ht="15" customHeight="1" s="78">
      <c r="A39" s="102" t="n"/>
      <c r="B39" s="103" t="n"/>
      <c r="C39" s="102" t="n"/>
      <c r="D39" s="103" t="n"/>
      <c r="E39" s="103" t="n"/>
      <c r="F39" s="103" t="n"/>
    </row>
    <row r="40" ht="15" customHeight="1" s="78">
      <c r="A40" s="102" t="n"/>
      <c r="B40" s="103" t="n"/>
      <c r="C40" s="102" t="n"/>
      <c r="D40" s="103" t="n"/>
      <c r="E40" s="103" t="n"/>
      <c r="F40" s="103" t="n"/>
    </row>
    <row r="41" ht="15" customHeight="1" s="78">
      <c r="A41" s="102" t="n"/>
      <c r="B41" s="103" t="n"/>
      <c r="C41" s="102" t="n"/>
      <c r="D41" s="103" t="n"/>
      <c r="E41" s="103" t="n"/>
      <c r="F41" s="103" t="n"/>
    </row>
    <row r="42" ht="15" customHeight="1" s="78">
      <c r="A42" s="102" t="n"/>
      <c r="B42" s="103" t="n"/>
      <c r="C42" s="102" t="n"/>
      <c r="D42" s="103" t="n"/>
      <c r="E42" s="103" t="n"/>
      <c r="F42" s="103" t="n"/>
    </row>
    <row r="43" ht="15" customHeight="1" s="78">
      <c r="A43" s="102" t="n"/>
      <c r="B43" s="103" t="n"/>
      <c r="C43" s="102" t="n"/>
      <c r="D43" s="103" t="n"/>
      <c r="E43" s="103" t="n"/>
      <c r="F43" s="103" t="n"/>
    </row>
    <row r="44" ht="15" customHeight="1" s="78">
      <c r="A44" s="102" t="n"/>
      <c r="B44" s="103" t="n"/>
      <c r="C44" s="102" t="n"/>
      <c r="D44" s="103" t="n"/>
      <c r="E44" s="103" t="n"/>
      <c r="F44" s="103" t="n"/>
    </row>
    <row r="45" ht="15" customHeight="1" s="78">
      <c r="A45" s="102" t="n"/>
      <c r="B45" s="103" t="n"/>
      <c r="C45" s="102" t="n"/>
      <c r="D45" s="103" t="n"/>
      <c r="E45" s="103" t="n"/>
      <c r="F45" s="103" t="n"/>
    </row>
    <row r="46" ht="15" customHeight="1" s="78">
      <c r="A46" s="102" t="n"/>
      <c r="B46" s="103" t="n"/>
      <c r="C46" s="102" t="n"/>
      <c r="D46" s="103" t="n"/>
      <c r="E46" s="103" t="n"/>
      <c r="F46" s="103" t="n"/>
    </row>
    <row r="47" ht="15" customHeight="1" s="78">
      <c r="A47" s="102" t="n"/>
      <c r="B47" s="103" t="n"/>
      <c r="C47" s="102" t="n"/>
      <c r="D47" s="103" t="n"/>
      <c r="E47" s="103" t="n"/>
      <c r="F47" s="103" t="n"/>
    </row>
    <row r="48" ht="15" customHeight="1" s="78">
      <c r="A48" s="102" t="n"/>
      <c r="B48" s="103" t="n"/>
      <c r="C48" s="102" t="n"/>
      <c r="D48" s="103" t="n"/>
      <c r="E48" s="103" t="n"/>
      <c r="F48" s="103" t="n"/>
    </row>
    <row r="49" ht="15" customHeight="1" s="78">
      <c r="A49" s="102" t="n"/>
      <c r="B49" s="103" t="n"/>
      <c r="C49" s="102" t="n"/>
      <c r="D49" s="103" t="n"/>
      <c r="E49" s="103" t="n"/>
      <c r="F49" s="103" t="n"/>
    </row>
    <row r="50" ht="15" customHeight="1" s="78">
      <c r="A50" s="102" t="n"/>
      <c r="B50" s="103" t="n"/>
      <c r="C50" s="102" t="n"/>
      <c r="D50" s="103" t="n"/>
      <c r="E50" s="103" t="n"/>
      <c r="F50" s="103" t="n"/>
    </row>
    <row r="51" ht="15" customHeight="1" s="78">
      <c r="A51" s="102" t="n"/>
      <c r="B51" s="103" t="n"/>
      <c r="C51" s="102" t="n"/>
      <c r="D51" s="103" t="n"/>
      <c r="E51" s="103" t="n"/>
      <c r="F51" s="103" t="n"/>
    </row>
    <row r="52" ht="15" customHeight="1" s="78">
      <c r="A52" s="102" t="n"/>
      <c r="B52" s="103" t="n"/>
      <c r="C52" s="102" t="n"/>
      <c r="D52" s="103" t="n"/>
      <c r="E52" s="103" t="n"/>
      <c r="F52" s="103" t="n"/>
    </row>
    <row r="53" ht="15" customHeight="1" s="78">
      <c r="A53" s="102" t="n"/>
      <c r="B53" s="103" t="n"/>
      <c r="C53" s="102" t="n"/>
      <c r="D53" s="103" t="n"/>
      <c r="E53" s="103" t="n"/>
      <c r="F53" s="103" t="n"/>
    </row>
    <row r="54" ht="15" customHeight="1" s="78">
      <c r="A54" s="102" t="n"/>
      <c r="B54" s="103" t="n"/>
      <c r="C54" s="102" t="n"/>
      <c r="D54" s="103" t="n"/>
      <c r="E54" s="103" t="n"/>
      <c r="F54" s="103" t="n"/>
    </row>
    <row r="55" ht="15" customHeight="1" s="78">
      <c r="A55" s="102" t="n"/>
      <c r="B55" s="103" t="n"/>
      <c r="C55" s="102" t="n"/>
      <c r="D55" s="103" t="n"/>
      <c r="E55" s="103" t="n"/>
      <c r="F55" s="103" t="n"/>
    </row>
    <row r="56" ht="15" customHeight="1" s="78">
      <c r="A56" s="102" t="n"/>
      <c r="B56" s="103" t="n"/>
      <c r="C56" s="102" t="n"/>
      <c r="D56" s="103" t="n"/>
      <c r="E56" s="103" t="n"/>
      <c r="F56" s="103" t="n"/>
    </row>
    <row r="57" ht="15" customHeight="1" s="78">
      <c r="A57" s="102" t="n"/>
      <c r="B57" s="103" t="n"/>
      <c r="C57" s="102" t="n"/>
      <c r="D57" s="103" t="n"/>
      <c r="E57" s="103" t="n"/>
      <c r="F57" s="103" t="n"/>
    </row>
    <row r="58" ht="15" customHeight="1" s="78">
      <c r="A58" s="102" t="n"/>
      <c r="B58" s="103" t="n"/>
      <c r="C58" s="102" t="n"/>
      <c r="D58" s="103" t="n"/>
      <c r="E58" s="103" t="n"/>
      <c r="F58" s="103" t="n"/>
    </row>
    <row r="59" ht="15" customHeight="1" s="78">
      <c r="A59" s="102" t="n"/>
      <c r="B59" s="103" t="n"/>
      <c r="C59" s="102" t="n"/>
      <c r="D59" s="103" t="n"/>
      <c r="E59" s="103" t="n"/>
      <c r="F59" s="103" t="n"/>
    </row>
    <row r="60" ht="15" customHeight="1" s="78">
      <c r="A60" s="102" t="n"/>
      <c r="B60" s="103" t="n"/>
      <c r="C60" s="102" t="n"/>
      <c r="D60" s="103" t="n"/>
      <c r="E60" s="103" t="n"/>
      <c r="F60" s="103" t="n"/>
    </row>
    <row r="61" ht="15" customHeight="1" s="78">
      <c r="A61" s="102" t="n"/>
      <c r="B61" s="103" t="n"/>
      <c r="C61" s="102" t="n"/>
      <c r="D61" s="103" t="n"/>
      <c r="E61" s="103" t="n"/>
      <c r="F61" s="103" t="n"/>
    </row>
    <row r="62" ht="15" customHeight="1" s="78">
      <c r="A62" s="102" t="n"/>
      <c r="B62" s="103" t="n"/>
      <c r="C62" s="102" t="n"/>
      <c r="D62" s="103" t="n"/>
      <c r="E62" s="103" t="n"/>
      <c r="F62" s="103" t="n"/>
    </row>
    <row r="63" ht="15" customHeight="1" s="78">
      <c r="A63" s="102" t="n"/>
      <c r="B63" s="103" t="n"/>
      <c r="C63" s="102" t="n"/>
      <c r="D63" s="103" t="n"/>
      <c r="E63" s="103" t="n"/>
      <c r="F63" s="103" t="n"/>
    </row>
    <row r="64" ht="15" customHeight="1" s="78">
      <c r="A64" s="102" t="n"/>
      <c r="B64" s="103" t="n"/>
      <c r="C64" s="102" t="n"/>
      <c r="D64" s="103" t="n"/>
      <c r="E64" s="103" t="n"/>
      <c r="F64" s="103" t="n"/>
    </row>
    <row r="65" ht="15" customHeight="1" s="78">
      <c r="A65" s="102" t="n"/>
      <c r="B65" s="103" t="n"/>
      <c r="C65" s="102" t="n"/>
      <c r="D65" s="103" t="n"/>
      <c r="E65" s="103" t="n"/>
      <c r="F65" s="103" t="n"/>
    </row>
    <row r="66" ht="15" customHeight="1" s="78">
      <c r="A66" s="102" t="n"/>
      <c r="B66" s="103" t="n"/>
      <c r="C66" s="102" t="n"/>
      <c r="D66" s="103" t="n"/>
      <c r="E66" s="103" t="n"/>
      <c r="F66" s="103" t="n"/>
    </row>
    <row r="67" ht="15" customHeight="1" s="78">
      <c r="A67" s="102" t="n"/>
      <c r="B67" s="103" t="n"/>
      <c r="C67" s="102" t="n"/>
      <c r="D67" s="103" t="n"/>
      <c r="E67" s="103" t="n"/>
      <c r="F67" s="103" t="n"/>
    </row>
    <row r="68" ht="15" customHeight="1" s="78">
      <c r="A68" s="102" t="n"/>
      <c r="B68" s="103" t="n"/>
      <c r="C68" s="102" t="n"/>
      <c r="D68" s="103" t="n"/>
      <c r="E68" s="103" t="n"/>
      <c r="F68" s="103" t="n"/>
    </row>
    <row r="69" ht="15" customHeight="1" s="78">
      <c r="A69" s="102" t="n"/>
      <c r="B69" s="103" t="n"/>
      <c r="C69" s="102" t="n"/>
      <c r="D69" s="103" t="n"/>
      <c r="E69" s="103" t="n"/>
      <c r="F69" s="103" t="n"/>
    </row>
    <row r="70" ht="15" customHeight="1" s="78">
      <c r="A70" s="102" t="n"/>
      <c r="B70" s="103" t="n"/>
      <c r="C70" s="102" t="n"/>
      <c r="D70" s="103" t="n"/>
      <c r="E70" s="103" t="n"/>
      <c r="F70" s="103" t="n"/>
    </row>
    <row r="71" ht="15" customHeight="1" s="78">
      <c r="A71" s="102" t="n"/>
      <c r="B71" s="103" t="n"/>
      <c r="C71" s="102" t="n"/>
      <c r="D71" s="103" t="n"/>
      <c r="E71" s="103" t="n"/>
      <c r="F71" s="103" t="n"/>
    </row>
    <row r="72" ht="15" customHeight="1" s="78">
      <c r="A72" s="102" t="n"/>
      <c r="B72" s="103" t="n"/>
      <c r="C72" s="102" t="n"/>
      <c r="D72" s="103" t="n"/>
      <c r="E72" s="103" t="n"/>
      <c r="F72" s="103" t="n"/>
    </row>
    <row r="73" ht="15" customHeight="1" s="78">
      <c r="A73" s="102" t="n"/>
      <c r="B73" s="103" t="n"/>
      <c r="C73" s="102" t="n"/>
      <c r="D73" s="103" t="n"/>
      <c r="E73" s="103" t="n"/>
      <c r="F73" s="103" t="n"/>
    </row>
    <row r="74" ht="15" customHeight="1" s="78">
      <c r="A74" s="102" t="n"/>
      <c r="B74" s="103" t="n"/>
      <c r="C74" s="102" t="n"/>
      <c r="D74" s="103" t="n"/>
      <c r="E74" s="103" t="n"/>
      <c r="F74" s="103" t="n"/>
    </row>
    <row r="75" ht="15" customHeight="1" s="78">
      <c r="A75" s="102" t="n"/>
      <c r="B75" s="103" t="n"/>
      <c r="C75" s="102" t="n"/>
      <c r="D75" s="103" t="n"/>
      <c r="E75" s="103" t="n"/>
      <c r="F75" s="103" t="n"/>
    </row>
    <row r="76" ht="15" customHeight="1" s="78">
      <c r="A76" s="102" t="n"/>
      <c r="B76" s="103" t="n"/>
      <c r="C76" s="102" t="n"/>
      <c r="D76" s="103" t="n"/>
      <c r="E76" s="103" t="n"/>
      <c r="F76" s="103" t="n"/>
    </row>
    <row r="77" ht="15" customHeight="1" s="78">
      <c r="A77" s="102" t="n"/>
      <c r="B77" s="103" t="n"/>
      <c r="C77" s="102" t="n"/>
      <c r="D77" s="103" t="n"/>
      <c r="E77" s="103" t="n"/>
      <c r="F77" s="103" t="n"/>
    </row>
    <row r="78" ht="15" customHeight="1" s="78">
      <c r="A78" s="102" t="n"/>
      <c r="B78" s="103" t="n"/>
      <c r="C78" s="102" t="n"/>
      <c r="D78" s="103" t="n"/>
      <c r="E78" s="103" t="n"/>
      <c r="F78" s="103" t="n"/>
    </row>
    <row r="79" ht="15" customHeight="1" s="78">
      <c r="A79" s="102" t="n"/>
      <c r="B79" s="103" t="n"/>
      <c r="C79" s="102" t="n"/>
      <c r="D79" s="103" t="n"/>
      <c r="E79" s="103" t="n"/>
      <c r="F79" s="103" t="n"/>
    </row>
    <row r="80" ht="15" customHeight="1" s="78">
      <c r="A80" s="102" t="n"/>
      <c r="B80" s="103" t="n"/>
      <c r="C80" s="102" t="n"/>
      <c r="D80" s="103" t="n"/>
      <c r="E80" s="103" t="n"/>
      <c r="F80" s="103" t="n"/>
    </row>
    <row r="81" ht="15" customHeight="1" s="78">
      <c r="A81" s="102" t="n"/>
      <c r="B81" s="103" t="n"/>
      <c r="C81" s="102" t="n"/>
      <c r="D81" s="103" t="n"/>
      <c r="E81" s="103" t="n"/>
      <c r="F81" s="103" t="n"/>
    </row>
    <row r="82" ht="15" customHeight="1" s="78">
      <c r="A82" s="102" t="n"/>
      <c r="B82" s="103" t="n"/>
      <c r="C82" s="102" t="n"/>
      <c r="D82" s="103" t="n"/>
      <c r="E82" s="103" t="n"/>
      <c r="F82" s="103" t="n"/>
    </row>
    <row r="83" ht="15" customHeight="1" s="78">
      <c r="A83" s="102" t="n"/>
      <c r="B83" s="103" t="n"/>
      <c r="C83" s="102" t="n"/>
      <c r="D83" s="103" t="n"/>
      <c r="E83" s="103" t="n"/>
      <c r="F83" s="103" t="n"/>
    </row>
    <row r="84" ht="15" customHeight="1" s="78">
      <c r="A84" s="102" t="n"/>
      <c r="B84" s="103" t="n"/>
      <c r="C84" s="102" t="n"/>
      <c r="D84" s="103" t="n"/>
      <c r="E84" s="103" t="n"/>
      <c r="F84" s="103" t="n"/>
    </row>
    <row r="85" ht="15" customHeight="1" s="78">
      <c r="A85" s="102" t="n"/>
      <c r="B85" s="103" t="n"/>
      <c r="C85" s="102" t="n"/>
      <c r="D85" s="103" t="n"/>
      <c r="E85" s="103" t="n"/>
      <c r="F85" s="103" t="n"/>
    </row>
    <row r="86" ht="15" customHeight="1" s="78">
      <c r="A86" s="102" t="n"/>
      <c r="B86" s="103" t="n"/>
      <c r="C86" s="102" t="n"/>
      <c r="D86" s="103" t="n"/>
      <c r="E86" s="103" t="n"/>
      <c r="F86" s="103" t="n"/>
    </row>
    <row r="87" ht="15" customHeight="1" s="78">
      <c r="A87" s="102" t="n"/>
      <c r="B87" s="103" t="n"/>
      <c r="C87" s="102" t="n"/>
      <c r="D87" s="103" t="n"/>
      <c r="E87" s="103" t="n"/>
      <c r="F87" s="103" t="n"/>
    </row>
    <row r="88" ht="15" customHeight="1" s="78">
      <c r="A88" s="102" t="n"/>
      <c r="B88" s="103" t="n"/>
      <c r="C88" s="102" t="n"/>
      <c r="D88" s="103" t="n"/>
      <c r="E88" s="103" t="n"/>
      <c r="F88" s="103" t="n"/>
    </row>
    <row r="89" ht="15" customHeight="1" s="78">
      <c r="A89" s="102" t="n"/>
      <c r="B89" s="103" t="n"/>
      <c r="C89" s="102" t="n"/>
      <c r="D89" s="103" t="n"/>
      <c r="E89" s="103" t="n"/>
      <c r="F89" s="103" t="n"/>
    </row>
    <row r="90" ht="15" customHeight="1" s="78">
      <c r="A90" s="102" t="n"/>
      <c r="B90" s="103" t="n"/>
      <c r="C90" s="102" t="n"/>
      <c r="D90" s="103" t="n"/>
      <c r="E90" s="103" t="n"/>
      <c r="F90" s="103" t="n"/>
    </row>
    <row r="91" ht="15" customHeight="1" s="78">
      <c r="A91" s="102" t="n"/>
      <c r="B91" s="103" t="n"/>
      <c r="C91" s="102" t="n"/>
      <c r="D91" s="103" t="n"/>
      <c r="E91" s="103" t="n"/>
      <c r="F91" s="103" t="n"/>
    </row>
    <row r="92" ht="15" customHeight="1" s="78">
      <c r="A92" s="102" t="n"/>
      <c r="B92" s="103" t="n"/>
      <c r="C92" s="102" t="n"/>
      <c r="D92" s="103" t="n"/>
      <c r="E92" s="103" t="n"/>
      <c r="F92" s="103" t="n"/>
    </row>
    <row r="93" ht="15" customHeight="1" s="78">
      <c r="A93" s="102" t="n"/>
      <c r="B93" s="103" t="n"/>
      <c r="C93" s="102" t="n"/>
      <c r="D93" s="103" t="n"/>
      <c r="E93" s="103" t="n"/>
      <c r="F93" s="103" t="n"/>
    </row>
    <row r="94" ht="15" customHeight="1" s="78">
      <c r="A94" s="102" t="n"/>
      <c r="B94" s="103" t="n"/>
      <c r="C94" s="102" t="n"/>
      <c r="D94" s="103" t="n"/>
      <c r="E94" s="103" t="n"/>
      <c r="F94" s="103" t="n"/>
    </row>
    <row r="95" ht="15" customHeight="1" s="78">
      <c r="A95" s="102" t="n"/>
      <c r="B95" s="103" t="n"/>
      <c r="C95" s="102" t="n"/>
      <c r="D95" s="103" t="n"/>
      <c r="E95" s="103" t="n"/>
      <c r="F95" s="103" t="n"/>
    </row>
    <row r="96" ht="15" customHeight="1" s="78">
      <c r="A96" s="102" t="n"/>
      <c r="B96" s="103" t="n"/>
      <c r="C96" s="102" t="n"/>
      <c r="D96" s="103" t="n"/>
      <c r="E96" s="103" t="n"/>
      <c r="F96" s="103" t="n"/>
    </row>
    <row r="97" ht="15" customHeight="1" s="78">
      <c r="A97" s="102" t="n"/>
      <c r="B97" s="103" t="n"/>
      <c r="C97" s="102" t="n"/>
      <c r="D97" s="103" t="n"/>
      <c r="E97" s="103" t="n"/>
      <c r="F97" s="103" t="n"/>
    </row>
    <row r="98" ht="15" customHeight="1" s="78">
      <c r="A98" s="102" t="n"/>
      <c r="B98" s="103" t="n"/>
      <c r="C98" s="102" t="n"/>
      <c r="D98" s="103" t="n"/>
      <c r="E98" s="103" t="n"/>
      <c r="F98" s="103" t="n"/>
    </row>
    <row r="99" ht="15" customHeight="1" s="78">
      <c r="A99" s="102" t="n"/>
      <c r="B99" s="103" t="n"/>
      <c r="C99" s="102" t="n"/>
      <c r="D99" s="103" t="n"/>
      <c r="E99" s="103" t="n"/>
      <c r="F99" s="103" t="n"/>
    </row>
    <row r="100" ht="15" customHeight="1" s="78">
      <c r="A100" s="102" t="n"/>
      <c r="B100" s="103" t="n"/>
      <c r="C100" s="102" t="n"/>
      <c r="D100" s="103" t="n"/>
      <c r="E100" s="103" t="n"/>
      <c r="F100" s="103" t="n"/>
    </row>
    <row r="101" ht="15" customHeight="1" s="78">
      <c r="A101" s="102" t="n"/>
      <c r="B101" s="103" t="n"/>
      <c r="C101" s="102" t="n"/>
      <c r="D101" s="103" t="n"/>
      <c r="E101" s="103" t="n"/>
      <c r="F101" s="103" t="n"/>
    </row>
    <row r="102" ht="15" customHeight="1" s="78">
      <c r="A102" s="102" t="n"/>
      <c r="B102" s="103" t="n"/>
      <c r="C102" s="102" t="n"/>
      <c r="D102" s="103" t="n"/>
      <c r="E102" s="103" t="n"/>
      <c r="F102" s="103" t="n"/>
    </row>
    <row r="103" ht="15" customHeight="1" s="78">
      <c r="A103" s="102" t="n"/>
      <c r="B103" s="103" t="n"/>
      <c r="C103" s="102" t="n"/>
      <c r="D103" s="103" t="n"/>
      <c r="E103" s="103" t="n"/>
      <c r="F103" s="103" t="n"/>
    </row>
    <row r="104" ht="15" customHeight="1" s="78">
      <c r="A104" s="102" t="n"/>
      <c r="B104" s="103" t="n"/>
      <c r="C104" s="102" t="n"/>
      <c r="D104" s="103" t="n"/>
      <c r="E104" s="103" t="n"/>
      <c r="F104" s="103" t="n"/>
    </row>
    <row r="105" ht="15" customHeight="1" s="78">
      <c r="A105" s="102" t="n"/>
      <c r="B105" s="103" t="n"/>
      <c r="C105" s="102" t="n"/>
      <c r="D105" s="103" t="n"/>
      <c r="E105" s="103" t="n"/>
      <c r="F105" s="103" t="n"/>
    </row>
    <row r="106" ht="15" customHeight="1" s="78">
      <c r="A106" s="102" t="n"/>
      <c r="B106" s="103" t="n"/>
      <c r="C106" s="102" t="n"/>
      <c r="D106" s="103" t="n"/>
      <c r="E106" s="103" t="n"/>
      <c r="F106" s="103" t="n"/>
    </row>
    <row r="107" ht="15" customHeight="1" s="78">
      <c r="A107" s="102" t="n"/>
      <c r="B107" s="103" t="n"/>
      <c r="C107" s="102" t="n"/>
      <c r="D107" s="103" t="n"/>
      <c r="E107" s="103" t="n"/>
      <c r="F107" s="103" t="n"/>
    </row>
    <row r="108" ht="15" customHeight="1" s="78">
      <c r="A108" s="102" t="n"/>
      <c r="B108" s="103" t="n"/>
      <c r="C108" s="102" t="n"/>
      <c r="D108" s="103" t="n"/>
      <c r="E108" s="103" t="n"/>
      <c r="F108" s="103" t="n"/>
    </row>
    <row r="109" ht="15" customHeight="1" s="78">
      <c r="A109" s="102" t="n"/>
      <c r="B109" s="103" t="n"/>
      <c r="C109" s="102" t="n"/>
      <c r="D109" s="103" t="n"/>
      <c r="E109" s="103" t="n"/>
      <c r="F109" s="103" t="n"/>
    </row>
    <row r="110" ht="15" customHeight="1" s="78">
      <c r="A110" s="102" t="n"/>
      <c r="B110" s="103" t="n"/>
      <c r="C110" s="102" t="n"/>
      <c r="D110" s="103" t="n"/>
      <c r="E110" s="103" t="n"/>
      <c r="F110" s="103" t="n"/>
    </row>
    <row r="111" ht="15" customHeight="1" s="78">
      <c r="A111" s="102" t="n"/>
      <c r="B111" s="103" t="n"/>
      <c r="C111" s="102" t="n"/>
      <c r="D111" s="103" t="n"/>
      <c r="E111" s="103" t="n"/>
      <c r="F111" s="103" t="n"/>
    </row>
    <row r="112" ht="15" customHeight="1" s="78">
      <c r="A112" s="102" t="n"/>
      <c r="B112" s="103" t="n"/>
      <c r="C112" s="102" t="n"/>
      <c r="D112" s="103" t="n"/>
      <c r="E112" s="103" t="n"/>
      <c r="F112" s="103" t="n"/>
    </row>
    <row r="113" ht="15" customHeight="1" s="78">
      <c r="A113" s="102" t="n"/>
      <c r="B113" s="103" t="n"/>
      <c r="C113" s="102" t="n"/>
      <c r="D113" s="103" t="n"/>
      <c r="E113" s="103" t="n"/>
      <c r="F113" s="103" t="n"/>
    </row>
    <row r="114" ht="15" customHeight="1" s="78">
      <c r="A114" s="102" t="n"/>
      <c r="B114" s="103" t="n"/>
      <c r="C114" s="102" t="n"/>
      <c r="D114" s="103" t="n"/>
      <c r="E114" s="103" t="n"/>
      <c r="F114" s="103" t="n"/>
    </row>
    <row r="115" ht="15" customHeight="1" s="78">
      <c r="A115" s="102" t="n"/>
      <c r="B115" s="103" t="n"/>
      <c r="C115" s="102" t="n"/>
      <c r="D115" s="103" t="n"/>
      <c r="E115" s="103" t="n"/>
      <c r="F115" s="103" t="n"/>
    </row>
    <row r="116" ht="15" customHeight="1" s="78">
      <c r="A116" s="102" t="n"/>
      <c r="B116" s="103" t="n"/>
      <c r="C116" s="102" t="n"/>
      <c r="D116" s="103" t="n"/>
      <c r="E116" s="103" t="n"/>
      <c r="F116" s="103" t="n"/>
    </row>
    <row r="117" ht="15" customHeight="1" s="78">
      <c r="A117" s="102" t="n"/>
      <c r="B117" s="103" t="n"/>
      <c r="C117" s="102" t="n"/>
      <c r="D117" s="103" t="n"/>
      <c r="E117" s="103" t="n"/>
      <c r="F117" s="103" t="n"/>
    </row>
    <row r="118" ht="15" customHeight="1" s="78">
      <c r="A118" s="102" t="n"/>
      <c r="B118" s="103" t="n"/>
      <c r="C118" s="102" t="n"/>
      <c r="D118" s="103" t="n"/>
      <c r="E118" s="103" t="n"/>
      <c r="F118" s="103" t="n"/>
    </row>
    <row r="119" ht="15" customHeight="1" s="78">
      <c r="A119" s="102" t="n"/>
      <c r="B119" s="103" t="n"/>
      <c r="C119" s="102" t="n"/>
      <c r="D119" s="103" t="n"/>
      <c r="E119" s="103" t="n"/>
      <c r="F119" s="103" t="n"/>
    </row>
    <row r="120" ht="15" customHeight="1" s="78">
      <c r="A120" s="102" t="n"/>
      <c r="B120" s="103" t="n"/>
      <c r="C120" s="102" t="n"/>
      <c r="D120" s="103" t="n"/>
      <c r="E120" s="103" t="n"/>
      <c r="F120" s="103" t="n"/>
    </row>
    <row r="121" ht="15" customHeight="1" s="78">
      <c r="A121" s="102" t="n"/>
      <c r="B121" s="103" t="n"/>
      <c r="C121" s="102" t="n"/>
      <c r="D121" s="103" t="n"/>
      <c r="E121" s="103" t="n"/>
      <c r="F121" s="103" t="n"/>
    </row>
    <row r="122" ht="15" customHeight="1" s="78">
      <c r="A122" s="102" t="n"/>
      <c r="B122" s="103" t="n"/>
      <c r="C122" s="102" t="n"/>
      <c r="D122" s="103" t="n"/>
      <c r="E122" s="103" t="n"/>
      <c r="F122" s="103" t="n"/>
    </row>
    <row r="123" ht="15" customHeight="1" s="78">
      <c r="A123" s="102" t="n"/>
      <c r="B123" s="103" t="n"/>
      <c r="C123" s="102" t="n"/>
      <c r="D123" s="103" t="n"/>
      <c r="E123" s="103" t="n"/>
      <c r="F123" s="103" t="n"/>
    </row>
    <row r="124" ht="15" customHeight="1" s="78">
      <c r="A124" s="102" t="n"/>
      <c r="B124" s="103" t="n"/>
      <c r="C124" s="102" t="n"/>
      <c r="D124" s="103" t="n"/>
      <c r="E124" s="103" t="n"/>
      <c r="F124" s="103" t="n"/>
    </row>
    <row r="125" ht="15" customHeight="1" s="78">
      <c r="A125" s="102" t="n"/>
      <c r="B125" s="103" t="n"/>
      <c r="C125" s="102" t="n"/>
      <c r="D125" s="103" t="n"/>
      <c r="E125" s="103" t="n"/>
      <c r="F125" s="103" t="n"/>
    </row>
    <row r="126" ht="15" customHeight="1" s="78">
      <c r="A126" s="102" t="n"/>
      <c r="B126" s="103" t="n"/>
      <c r="C126" s="102" t="n"/>
      <c r="D126" s="103" t="n"/>
      <c r="E126" s="103" t="n"/>
      <c r="F126" s="103" t="n"/>
    </row>
    <row r="127" ht="15" customHeight="1" s="78">
      <c r="A127" s="102" t="n"/>
      <c r="B127" s="103" t="n"/>
      <c r="C127" s="102" t="n"/>
      <c r="D127" s="103" t="n"/>
      <c r="E127" s="103" t="n"/>
      <c r="F127" s="103" t="n"/>
    </row>
    <row r="128" ht="15" customHeight="1" s="78">
      <c r="A128" s="102" t="n"/>
      <c r="B128" s="103" t="n"/>
      <c r="C128" s="102" t="n"/>
      <c r="D128" s="103" t="n"/>
      <c r="E128" s="103" t="n"/>
      <c r="F128" s="103" t="n"/>
    </row>
    <row r="129" ht="15" customHeight="1" s="78">
      <c r="A129" s="102" t="n"/>
      <c r="B129" s="103" t="n"/>
      <c r="C129" s="102" t="n"/>
      <c r="D129" s="103" t="n"/>
      <c r="E129" s="103" t="n"/>
      <c r="F129" s="103" t="n"/>
    </row>
    <row r="130" ht="15" customHeight="1" s="78">
      <c r="A130" s="102" t="n"/>
      <c r="B130" s="103" t="n"/>
      <c r="C130" s="102" t="n"/>
      <c r="D130" s="103" t="n"/>
      <c r="E130" s="103" t="n"/>
      <c r="F130" s="103" t="n"/>
    </row>
    <row r="131" ht="15" customHeight="1" s="78">
      <c r="A131" s="102" t="n"/>
      <c r="B131" s="103" t="n"/>
      <c r="C131" s="102" t="n"/>
      <c r="D131" s="103" t="n"/>
      <c r="E131" s="103" t="n"/>
      <c r="F131" s="103" t="n"/>
    </row>
    <row r="132" ht="15" customHeight="1" s="78">
      <c r="A132" s="102" t="n"/>
      <c r="B132" s="103" t="n"/>
      <c r="C132" s="102" t="n"/>
      <c r="D132" s="103" t="n"/>
      <c r="E132" s="103" t="n"/>
      <c r="F132" s="103" t="n"/>
    </row>
    <row r="133" ht="15" customHeight="1" s="78">
      <c r="A133" s="102" t="n"/>
      <c r="B133" s="103" t="n"/>
      <c r="C133" s="102" t="n"/>
      <c r="D133" s="103" t="n"/>
      <c r="E133" s="103" t="n"/>
      <c r="F133" s="103" t="n"/>
    </row>
    <row r="134" ht="15" customHeight="1" s="78">
      <c r="A134" s="102" t="n"/>
      <c r="B134" s="103" t="n"/>
      <c r="C134" s="102" t="n"/>
      <c r="D134" s="103" t="n"/>
      <c r="E134" s="103" t="n"/>
      <c r="F134" s="103" t="n"/>
    </row>
    <row r="135" ht="15" customHeight="1" s="78">
      <c r="A135" s="102" t="n"/>
      <c r="B135" s="103" t="n"/>
      <c r="C135" s="102" t="n"/>
      <c r="D135" s="103" t="n"/>
      <c r="E135" s="103" t="n"/>
      <c r="F135" s="103" t="n"/>
    </row>
    <row r="136" ht="15" customHeight="1" s="78">
      <c r="A136" s="102" t="n"/>
      <c r="B136" s="103" t="n"/>
      <c r="C136" s="102" t="n"/>
      <c r="D136" s="103" t="n"/>
      <c r="E136" s="103" t="n"/>
      <c r="F136" s="103" t="n"/>
    </row>
    <row r="137" ht="15" customHeight="1" s="78">
      <c r="A137" s="102" t="n"/>
      <c r="B137" s="103" t="n"/>
      <c r="C137" s="102" t="n"/>
      <c r="D137" s="103" t="n"/>
      <c r="E137" s="103" t="n"/>
      <c r="F137" s="103" t="n"/>
    </row>
    <row r="138" ht="15" customHeight="1" s="78">
      <c r="A138" s="102" t="n"/>
      <c r="B138" s="103" t="n"/>
      <c r="C138" s="102" t="n"/>
      <c r="D138" s="103" t="n"/>
      <c r="E138" s="103" t="n"/>
      <c r="F138" s="103" t="n"/>
    </row>
    <row r="139" ht="15" customHeight="1" s="78">
      <c r="A139" s="102" t="n"/>
      <c r="B139" s="103" t="n"/>
      <c r="C139" s="102" t="n"/>
      <c r="D139" s="103" t="n"/>
      <c r="E139" s="103" t="n"/>
      <c r="F139" s="103" t="n"/>
    </row>
    <row r="140" ht="15" customHeight="1" s="78">
      <c r="A140" s="102" t="n"/>
      <c r="B140" s="103" t="n"/>
      <c r="C140" s="102" t="n"/>
      <c r="D140" s="103" t="n"/>
      <c r="E140" s="103" t="n"/>
      <c r="F140" s="103" t="n"/>
    </row>
    <row r="141" ht="15" customHeight="1" s="78">
      <c r="A141" s="102" t="n"/>
      <c r="B141" s="103" t="n"/>
      <c r="C141" s="102" t="n"/>
      <c r="D141" s="103" t="n"/>
      <c r="E141" s="103" t="n"/>
      <c r="F141" s="103" t="n"/>
    </row>
    <row r="142" ht="15" customHeight="1" s="78">
      <c r="A142" s="102" t="n"/>
      <c r="B142" s="103" t="n"/>
      <c r="C142" s="102" t="n"/>
      <c r="D142" s="103" t="n"/>
      <c r="E142" s="103" t="n"/>
      <c r="F142" s="103" t="n"/>
    </row>
    <row r="143" ht="15" customHeight="1" s="78">
      <c r="A143" s="102" t="n"/>
      <c r="B143" s="103" t="n"/>
      <c r="C143" s="102" t="n"/>
      <c r="D143" s="103" t="n"/>
      <c r="E143" s="103" t="n"/>
      <c r="F143" s="103" t="n"/>
    </row>
    <row r="144" ht="15" customHeight="1" s="78">
      <c r="A144" s="102" t="n"/>
      <c r="B144" s="103" t="n"/>
      <c r="C144" s="102" t="n"/>
      <c r="D144" s="103" t="n"/>
      <c r="E144" s="103" t="n"/>
      <c r="F144" s="103" t="n"/>
    </row>
    <row r="145" ht="15" customHeight="1" s="78">
      <c r="A145" s="102" t="n"/>
      <c r="B145" s="103" t="n"/>
      <c r="C145" s="102" t="n"/>
      <c r="D145" s="103" t="n"/>
      <c r="E145" s="103" t="n"/>
      <c r="F145" s="103" t="n"/>
    </row>
    <row r="146" ht="15" customHeight="1" s="78">
      <c r="A146" s="102" t="n"/>
      <c r="B146" s="103" t="n"/>
      <c r="C146" s="102" t="n"/>
      <c r="D146" s="103" t="n"/>
      <c r="E146" s="103" t="n"/>
      <c r="F146" s="103" t="n"/>
    </row>
    <row r="147" ht="15" customHeight="1" s="78">
      <c r="A147" s="102" t="n"/>
      <c r="B147" s="103" t="n"/>
      <c r="C147" s="102" t="n"/>
      <c r="D147" s="103" t="n"/>
      <c r="E147" s="103" t="n"/>
      <c r="F147" s="103" t="n"/>
    </row>
    <row r="148" ht="15" customHeight="1" s="78">
      <c r="A148" s="102" t="n"/>
      <c r="B148" s="103" t="n"/>
      <c r="C148" s="102" t="n"/>
      <c r="D148" s="103" t="n"/>
      <c r="E148" s="103" t="n"/>
      <c r="F148" s="103" t="n"/>
    </row>
    <row r="149" ht="15" customHeight="1" s="78">
      <c r="A149" s="102" t="n"/>
      <c r="B149" s="103" t="n"/>
      <c r="C149" s="102" t="n"/>
      <c r="D149" s="103" t="n"/>
      <c r="E149" s="103" t="n"/>
      <c r="F149" s="103" t="n"/>
    </row>
    <row r="150" ht="15" customHeight="1" s="78">
      <c r="A150" s="102" t="n"/>
      <c r="B150" s="103" t="n"/>
      <c r="C150" s="102" t="n"/>
      <c r="D150" s="103" t="n"/>
      <c r="E150" s="103" t="n"/>
      <c r="F150" s="103" t="n"/>
    </row>
    <row r="151" ht="15" customHeight="1" s="78">
      <c r="A151" s="102" t="n"/>
      <c r="B151" s="103" t="n"/>
      <c r="C151" s="102" t="n"/>
      <c r="D151" s="103" t="n"/>
      <c r="E151" s="103" t="n"/>
      <c r="F151" s="103" t="n"/>
    </row>
    <row r="152" ht="15" customHeight="1" s="78">
      <c r="A152" s="102" t="n"/>
      <c r="B152" s="103" t="n"/>
      <c r="C152" s="102" t="n"/>
      <c r="D152" s="103" t="n"/>
      <c r="E152" s="103" t="n"/>
      <c r="F152" s="103" t="n"/>
    </row>
    <row r="153" ht="15" customHeight="1" s="78">
      <c r="A153" s="102" t="n"/>
      <c r="B153" s="103" t="n"/>
      <c r="C153" s="102" t="n"/>
      <c r="D153" s="103" t="n"/>
      <c r="E153" s="103" t="n"/>
      <c r="F153" s="103" t="n"/>
    </row>
    <row r="154" ht="15" customHeight="1" s="78">
      <c r="A154" s="102" t="n"/>
      <c r="B154" s="103" t="n"/>
      <c r="C154" s="102" t="n"/>
      <c r="D154" s="103" t="n"/>
      <c r="E154" s="103" t="n"/>
      <c r="F154" s="103" t="n"/>
    </row>
    <row r="155" ht="15" customHeight="1" s="78">
      <c r="A155" s="102" t="n"/>
      <c r="B155" s="103" t="n"/>
      <c r="C155" s="102" t="n"/>
      <c r="D155" s="103" t="n"/>
      <c r="E155" s="103" t="n"/>
      <c r="F155" s="103" t="n"/>
    </row>
    <row r="156" ht="15" customHeight="1" s="78">
      <c r="A156" s="102" t="n"/>
      <c r="B156" s="103" t="n"/>
      <c r="C156" s="102" t="n"/>
      <c r="D156" s="103" t="n"/>
      <c r="E156" s="103" t="n"/>
      <c r="F156" s="103" t="n"/>
    </row>
    <row r="157" ht="15" customHeight="1" s="78">
      <c r="A157" s="102" t="n"/>
      <c r="B157" s="103" t="n"/>
      <c r="C157" s="102" t="n"/>
      <c r="D157" s="103" t="n"/>
      <c r="E157" s="103" t="n"/>
      <c r="F157" s="103" t="n"/>
    </row>
    <row r="158" ht="15" customHeight="1" s="78">
      <c r="A158" s="102" t="n"/>
      <c r="B158" s="103" t="n"/>
      <c r="C158" s="102" t="n"/>
      <c r="D158" s="103" t="n"/>
      <c r="E158" s="103" t="n"/>
      <c r="F158" s="103" t="n"/>
    </row>
    <row r="159" ht="15" customHeight="1" s="78">
      <c r="A159" s="102" t="n"/>
      <c r="B159" s="103" t="n"/>
      <c r="C159" s="102" t="n"/>
      <c r="D159" s="103" t="n"/>
      <c r="E159" s="103" t="n"/>
      <c r="F159" s="103" t="n"/>
    </row>
    <row r="160" ht="15" customHeight="1" s="78">
      <c r="A160" s="102" t="n"/>
      <c r="B160" s="103" t="n"/>
      <c r="C160" s="102" t="n"/>
      <c r="D160" s="103" t="n"/>
      <c r="E160" s="103" t="n"/>
      <c r="F160" s="103" t="n"/>
    </row>
    <row r="161" ht="15" customHeight="1" s="78">
      <c r="A161" s="102" t="n"/>
      <c r="B161" s="103" t="n"/>
      <c r="C161" s="102" t="n"/>
      <c r="D161" s="103" t="n"/>
      <c r="E161" s="103" t="n"/>
      <c r="F161" s="103" t="n"/>
    </row>
    <row r="162" ht="15" customHeight="1" s="78">
      <c r="A162" s="102" t="n"/>
      <c r="B162" s="103" t="n"/>
      <c r="C162" s="102" t="n"/>
      <c r="D162" s="103" t="n"/>
      <c r="E162" s="103" t="n"/>
      <c r="F162" s="103" t="n"/>
    </row>
    <row r="163" ht="15" customHeight="1" s="78">
      <c r="A163" s="102" t="n"/>
      <c r="B163" s="103" t="n"/>
      <c r="C163" s="102" t="n"/>
      <c r="D163" s="103" t="n"/>
      <c r="E163" s="103" t="n"/>
      <c r="F163" s="103" t="n"/>
    </row>
    <row r="164" ht="15" customHeight="1" s="78">
      <c r="A164" s="102" t="n"/>
      <c r="B164" s="103" t="n"/>
      <c r="C164" s="102" t="n"/>
      <c r="D164" s="103" t="n"/>
      <c r="E164" s="103" t="n"/>
      <c r="F164" s="103" t="n"/>
    </row>
    <row r="165" ht="15" customHeight="1" s="78">
      <c r="A165" s="102" t="n"/>
      <c r="B165" s="103" t="n"/>
      <c r="C165" s="102" t="n"/>
      <c r="D165" s="103" t="n"/>
      <c r="E165" s="103" t="n"/>
      <c r="F165" s="103" t="n"/>
    </row>
    <row r="166" ht="15" customHeight="1" s="78">
      <c r="A166" s="102" t="n"/>
      <c r="B166" s="103" t="n"/>
      <c r="C166" s="102" t="n"/>
      <c r="D166" s="103" t="n"/>
      <c r="E166" s="103" t="n"/>
      <c r="F166" s="103" t="n"/>
    </row>
    <row r="167" ht="15" customHeight="1" s="78">
      <c r="A167" s="102" t="n"/>
      <c r="B167" s="103" t="n"/>
      <c r="C167" s="102" t="n"/>
      <c r="D167" s="103" t="n"/>
      <c r="E167" s="103" t="n"/>
      <c r="F167" s="103" t="n"/>
    </row>
    <row r="168" ht="15" customHeight="1" s="78">
      <c r="A168" s="102" t="n"/>
      <c r="B168" s="103" t="n"/>
      <c r="C168" s="102" t="n"/>
      <c r="D168" s="103" t="n"/>
      <c r="E168" s="103" t="n"/>
      <c r="F168" s="103" t="n"/>
    </row>
    <row r="169" ht="15" customHeight="1" s="78">
      <c r="A169" s="102" t="n"/>
      <c r="B169" s="103" t="n"/>
      <c r="C169" s="102" t="n"/>
      <c r="D169" s="103" t="n"/>
      <c r="E169" s="103" t="n"/>
      <c r="F169" s="103" t="n"/>
    </row>
    <row r="170" ht="15" customHeight="1" s="78">
      <c r="A170" s="102" t="n"/>
      <c r="B170" s="103" t="n"/>
      <c r="C170" s="102" t="n"/>
      <c r="D170" s="103" t="n"/>
      <c r="E170" s="103" t="n"/>
      <c r="F170" s="103" t="n"/>
    </row>
    <row r="171" ht="15" customHeight="1" s="78">
      <c r="A171" s="102" t="n"/>
      <c r="B171" s="103" t="n"/>
      <c r="C171" s="102" t="n"/>
      <c r="D171" s="103" t="n"/>
      <c r="E171" s="103" t="n"/>
      <c r="F171" s="103" t="n"/>
    </row>
    <row r="172" ht="15" customHeight="1" s="78">
      <c r="A172" s="102" t="n"/>
      <c r="B172" s="103" t="n"/>
      <c r="C172" s="102" t="n"/>
      <c r="D172" s="103" t="n"/>
      <c r="E172" s="103" t="n"/>
      <c r="F172" s="103" t="n"/>
    </row>
    <row r="173" ht="15" customHeight="1" s="78">
      <c r="A173" s="102" t="n"/>
      <c r="B173" s="103" t="n"/>
      <c r="C173" s="102" t="n"/>
      <c r="D173" s="103" t="n"/>
      <c r="E173" s="103" t="n"/>
      <c r="F173" s="103" t="n"/>
    </row>
    <row r="174" ht="15" customHeight="1" s="78">
      <c r="A174" s="102" t="n"/>
      <c r="B174" s="103" t="n"/>
      <c r="C174" s="102" t="n"/>
      <c r="D174" s="103" t="n"/>
      <c r="E174" s="103" t="n"/>
      <c r="F174" s="103" t="n"/>
    </row>
    <row r="175" ht="15" customHeight="1" s="78">
      <c r="A175" s="102" t="n"/>
      <c r="B175" s="103" t="n"/>
      <c r="C175" s="102" t="n"/>
      <c r="D175" s="103" t="n"/>
      <c r="E175" s="103" t="n"/>
      <c r="F175" s="103" t="n"/>
    </row>
    <row r="176" ht="15" customHeight="1" s="78">
      <c r="A176" s="102" t="n"/>
      <c r="B176" s="103" t="n"/>
      <c r="C176" s="102" t="n"/>
      <c r="D176" s="103" t="n"/>
      <c r="E176" s="103" t="n"/>
      <c r="F176" s="103" t="n"/>
    </row>
    <row r="177" ht="15" customHeight="1" s="78">
      <c r="A177" s="102" t="n"/>
      <c r="B177" s="103" t="n"/>
      <c r="C177" s="102" t="n"/>
      <c r="D177" s="103" t="n"/>
      <c r="E177" s="103" t="n"/>
      <c r="F177" s="103" t="n"/>
    </row>
    <row r="178" ht="15" customHeight="1" s="78">
      <c r="A178" s="102" t="n"/>
      <c r="B178" s="103" t="n"/>
      <c r="C178" s="102" t="n"/>
      <c r="D178" s="103" t="n"/>
      <c r="E178" s="103" t="n"/>
      <c r="F178" s="103" t="n"/>
    </row>
    <row r="179" ht="15" customHeight="1" s="78">
      <c r="A179" s="102" t="n"/>
      <c r="B179" s="103" t="n"/>
      <c r="C179" s="102" t="n"/>
      <c r="D179" s="103" t="n"/>
      <c r="E179" s="103" t="n"/>
      <c r="F179" s="103" t="n"/>
    </row>
    <row r="180" ht="15" customHeight="1" s="78">
      <c r="A180" s="102" t="n"/>
      <c r="B180" s="103" t="n"/>
      <c r="C180" s="102" t="n"/>
      <c r="D180" s="103" t="n"/>
      <c r="E180" s="103" t="n"/>
      <c r="F180" s="103" t="n"/>
    </row>
    <row r="181" ht="15" customHeight="1" s="78">
      <c r="A181" s="102" t="n"/>
      <c r="B181" s="103" t="n"/>
      <c r="C181" s="102" t="n"/>
      <c r="D181" s="103" t="n"/>
      <c r="E181" s="103" t="n"/>
      <c r="F181" s="103" t="n"/>
    </row>
    <row r="182" ht="15" customHeight="1" s="78">
      <c r="A182" s="102" t="n"/>
      <c r="B182" s="103" t="n"/>
      <c r="C182" s="102" t="n"/>
      <c r="D182" s="103" t="n"/>
      <c r="E182" s="103" t="n"/>
      <c r="F182" s="103" t="n"/>
    </row>
    <row r="183" ht="15" customHeight="1" s="78">
      <c r="A183" s="102" t="n"/>
      <c r="B183" s="103" t="n"/>
      <c r="C183" s="102" t="n"/>
      <c r="D183" s="103" t="n"/>
      <c r="E183" s="103" t="n"/>
      <c r="F183" s="103" t="n"/>
    </row>
    <row r="184" ht="15" customHeight="1" s="78">
      <c r="A184" s="102" t="n"/>
      <c r="B184" s="103" t="n"/>
      <c r="C184" s="102" t="n"/>
      <c r="D184" s="103" t="n"/>
      <c r="E184" s="103" t="n"/>
      <c r="F184" s="103" t="n"/>
    </row>
    <row r="185" ht="15" customHeight="1" s="78">
      <c r="A185" s="102" t="n"/>
      <c r="B185" s="103" t="n"/>
      <c r="C185" s="102" t="n"/>
      <c r="D185" s="103" t="n"/>
      <c r="E185" s="103" t="n"/>
      <c r="F185" s="103" t="n"/>
    </row>
    <row r="186" ht="15" customHeight="1" s="78">
      <c r="A186" s="102" t="n"/>
      <c r="B186" s="103" t="n"/>
      <c r="C186" s="102" t="n"/>
      <c r="D186" s="103" t="n"/>
      <c r="E186" s="103" t="n"/>
      <c r="F186" s="103" t="n"/>
    </row>
    <row r="187" ht="15" customHeight="1" s="78">
      <c r="A187" s="102" t="n"/>
      <c r="B187" s="103" t="n"/>
      <c r="C187" s="102" t="n"/>
      <c r="D187" s="103" t="n"/>
      <c r="E187" s="103" t="n"/>
      <c r="F187" s="103" t="n"/>
    </row>
    <row r="188" ht="15" customHeight="1" s="78">
      <c r="A188" s="102" t="n"/>
      <c r="B188" s="103" t="n"/>
      <c r="C188" s="102" t="n"/>
      <c r="D188" s="103" t="n"/>
      <c r="E188" s="103" t="n"/>
      <c r="F188" s="103" t="n"/>
    </row>
    <row r="189" ht="15" customHeight="1" s="78">
      <c r="A189" s="102" t="n"/>
      <c r="B189" s="103" t="n"/>
      <c r="C189" s="102" t="n"/>
      <c r="D189" s="103" t="n"/>
      <c r="E189" s="103" t="n"/>
      <c r="F189" s="103" t="n"/>
    </row>
    <row r="190" ht="15" customHeight="1" s="78">
      <c r="A190" s="102" t="n"/>
      <c r="B190" s="103" t="n"/>
      <c r="C190" s="102" t="n"/>
      <c r="D190" s="103" t="n"/>
      <c r="E190" s="103" t="n"/>
      <c r="F190" s="103" t="n"/>
    </row>
    <row r="191" ht="15" customHeight="1" s="78">
      <c r="A191" s="102" t="n"/>
      <c r="B191" s="103" t="n"/>
      <c r="C191" s="102" t="n"/>
      <c r="D191" s="103" t="n"/>
      <c r="E191" s="103" t="n"/>
      <c r="F191" s="103" t="n"/>
    </row>
    <row r="192" ht="15" customHeight="1" s="78">
      <c r="A192" s="102" t="n"/>
      <c r="B192" s="103" t="n"/>
      <c r="C192" s="102" t="n"/>
      <c r="D192" s="103" t="n"/>
      <c r="E192" s="103" t="n"/>
      <c r="F192" s="103" t="n"/>
    </row>
    <row r="193" ht="15" customHeight="1" s="78">
      <c r="A193" s="102" t="n"/>
      <c r="B193" s="103" t="n"/>
      <c r="C193" s="102" t="n"/>
      <c r="D193" s="103" t="n"/>
      <c r="E193" s="103" t="n"/>
      <c r="F193" s="103" t="n"/>
    </row>
    <row r="194" ht="15" customHeight="1" s="78">
      <c r="A194" s="102" t="n"/>
      <c r="B194" s="103" t="n"/>
      <c r="C194" s="102" t="n"/>
      <c r="D194" s="103" t="n"/>
      <c r="E194" s="103" t="n"/>
      <c r="F194" s="103" t="n"/>
    </row>
    <row r="195" ht="15" customHeight="1" s="78">
      <c r="A195" s="102" t="n"/>
      <c r="B195" s="103" t="n"/>
      <c r="C195" s="102" t="n"/>
      <c r="D195" s="103" t="n"/>
      <c r="E195" s="103" t="n"/>
      <c r="F195" s="103" t="n"/>
    </row>
    <row r="196" ht="15" customHeight="1" s="78">
      <c r="A196" s="102" t="n"/>
      <c r="B196" s="103" t="n"/>
      <c r="C196" s="102" t="n"/>
      <c r="D196" s="103" t="n"/>
      <c r="E196" s="103" t="n"/>
      <c r="F196" s="103" t="n"/>
    </row>
    <row r="197" ht="15" customHeight="1" s="78">
      <c r="A197" s="102" t="n"/>
      <c r="B197" s="103" t="n"/>
      <c r="C197" s="102" t="n"/>
      <c r="D197" s="103" t="n"/>
      <c r="E197" s="103" t="n"/>
      <c r="F197" s="103" t="n"/>
    </row>
    <row r="198" ht="15" customHeight="1" s="78">
      <c r="A198" s="102" t="n"/>
      <c r="B198" s="103" t="n"/>
      <c r="C198" s="102" t="n"/>
      <c r="D198" s="103" t="n"/>
      <c r="E198" s="103" t="n"/>
      <c r="F198" s="103" t="n"/>
    </row>
    <row r="199" ht="15" customHeight="1" s="78">
      <c r="A199" s="102" t="n"/>
      <c r="B199" s="103" t="n"/>
      <c r="C199" s="102" t="n"/>
      <c r="D199" s="103" t="n"/>
      <c r="E199" s="103" t="n"/>
      <c r="F199" s="103" t="n"/>
    </row>
    <row r="200" ht="15" customHeight="1" s="78">
      <c r="A200" s="102" t="n"/>
      <c r="B200" s="103" t="n"/>
      <c r="C200" s="102" t="n"/>
      <c r="D200" s="103" t="n"/>
      <c r="E200" s="103" t="n"/>
      <c r="F200" s="103" t="n"/>
    </row>
    <row r="201" ht="15" customHeight="1" s="78">
      <c r="A201" s="102" t="n"/>
      <c r="B201" s="103" t="n"/>
      <c r="C201" s="102" t="n"/>
      <c r="D201" s="103" t="n"/>
      <c r="E201" s="103" t="n"/>
      <c r="F201" s="103" t="n"/>
    </row>
    <row r="202" ht="15" customHeight="1" s="78">
      <c r="A202" s="102" t="n"/>
      <c r="B202" s="103" t="n"/>
      <c r="C202" s="102" t="n"/>
      <c r="D202" s="103" t="n"/>
      <c r="E202" s="103" t="n"/>
      <c r="F202" s="103" t="n"/>
    </row>
    <row r="203" ht="15" customHeight="1" s="78">
      <c r="A203" s="102" t="n"/>
      <c r="B203" s="103" t="n"/>
      <c r="C203" s="102" t="n"/>
      <c r="D203" s="103" t="n"/>
      <c r="E203" s="103" t="n"/>
      <c r="F203" s="103" t="n"/>
    </row>
    <row r="204" ht="15" customHeight="1" s="78">
      <c r="A204" s="102" t="n"/>
      <c r="B204" s="103" t="n"/>
      <c r="C204" s="102" t="n"/>
      <c r="D204" s="103" t="n"/>
      <c r="E204" s="103" t="n"/>
      <c r="F204" s="103" t="n"/>
    </row>
    <row r="205" ht="15" customHeight="1" s="78">
      <c r="A205" s="102" t="n"/>
      <c r="B205" s="103" t="n"/>
      <c r="C205" s="102" t="n"/>
      <c r="D205" s="103" t="n"/>
      <c r="E205" s="103" t="n"/>
      <c r="F205" s="103" t="n"/>
    </row>
    <row r="206" ht="15" customHeight="1" s="78">
      <c r="A206" s="102" t="n"/>
      <c r="B206" s="103" t="n"/>
      <c r="C206" s="102" t="n"/>
      <c r="D206" s="103" t="n"/>
      <c r="E206" s="103" t="n"/>
      <c r="F206" s="103" t="n"/>
    </row>
    <row r="207" ht="15" customHeight="1" s="78">
      <c r="A207" s="102" t="n"/>
      <c r="B207" s="103" t="n"/>
      <c r="C207" s="102" t="n"/>
      <c r="D207" s="103" t="n"/>
      <c r="E207" s="103" t="n"/>
      <c r="F207" s="103" t="n"/>
    </row>
    <row r="208" ht="15" customHeight="1" s="78">
      <c r="A208" s="102" t="n"/>
      <c r="B208" s="103" t="n"/>
      <c r="C208" s="102" t="n"/>
      <c r="D208" s="103" t="n"/>
      <c r="E208" s="103" t="n"/>
      <c r="F208" s="103" t="n"/>
    </row>
    <row r="209" ht="15" customHeight="1" s="78">
      <c r="A209" s="102" t="n"/>
      <c r="B209" s="103" t="n"/>
      <c r="C209" s="102" t="n"/>
      <c r="D209" s="103" t="n"/>
      <c r="E209" s="103" t="n"/>
      <c r="F209" s="103" t="n"/>
    </row>
    <row r="210" ht="15" customHeight="1" s="78">
      <c r="A210" s="102" t="n"/>
      <c r="B210" s="103" t="n"/>
      <c r="C210" s="102" t="n"/>
      <c r="D210" s="103" t="n"/>
      <c r="E210" s="103" t="n"/>
      <c r="F210" s="103" t="n"/>
    </row>
    <row r="211" ht="15" customHeight="1" s="78">
      <c r="A211" s="102" t="n"/>
      <c r="B211" s="103" t="n"/>
      <c r="C211" s="102" t="n"/>
      <c r="D211" s="103" t="n"/>
      <c r="E211" s="103" t="n"/>
      <c r="F211" s="103" t="n"/>
    </row>
    <row r="212" ht="15" customHeight="1" s="78">
      <c r="A212" s="102" t="n"/>
      <c r="B212" s="103" t="n"/>
      <c r="C212" s="102" t="n"/>
      <c r="D212" s="103" t="n"/>
      <c r="E212" s="103" t="n"/>
      <c r="F212" s="103" t="n"/>
    </row>
    <row r="213" ht="15" customHeight="1" s="78">
      <c r="A213" s="102" t="n"/>
      <c r="B213" s="103" t="n"/>
      <c r="C213" s="102" t="n"/>
      <c r="D213" s="103" t="n"/>
      <c r="E213" s="103" t="n"/>
      <c r="F213" s="103" t="n"/>
    </row>
    <row r="214" ht="15" customHeight="1" s="78">
      <c r="A214" s="102" t="n"/>
      <c r="B214" s="103" t="n"/>
      <c r="C214" s="102" t="n"/>
      <c r="D214" s="103" t="n"/>
      <c r="E214" s="103" t="n"/>
      <c r="F214" s="103" t="n"/>
    </row>
    <row r="215" ht="15" customHeight="1" s="78">
      <c r="A215" s="102" t="n"/>
      <c r="B215" s="103" t="n"/>
      <c r="C215" s="102" t="n"/>
      <c r="D215" s="103" t="n"/>
      <c r="E215" s="103" t="n"/>
      <c r="F215" s="103" t="n"/>
    </row>
    <row r="216" ht="15" customHeight="1" s="78">
      <c r="A216" s="102" t="n"/>
      <c r="B216" s="103" t="n"/>
      <c r="C216" s="102" t="n"/>
      <c r="D216" s="103" t="n"/>
      <c r="E216" s="103" t="n"/>
      <c r="F216" s="103" t="n"/>
    </row>
    <row r="217" ht="15" customHeight="1" s="78">
      <c r="A217" s="102" t="n"/>
      <c r="B217" s="103" t="n"/>
      <c r="C217" s="102" t="n"/>
      <c r="D217" s="103" t="n"/>
      <c r="E217" s="103" t="n"/>
      <c r="F217" s="103" t="n"/>
    </row>
    <row r="218" ht="15" customHeight="1" s="78">
      <c r="A218" s="102" t="n"/>
      <c r="B218" s="103" t="n"/>
      <c r="C218" s="102" t="n"/>
      <c r="D218" s="103" t="n"/>
      <c r="E218" s="103" t="n"/>
      <c r="F218" s="103" t="n"/>
    </row>
    <row r="219" ht="15" customHeight="1" s="78">
      <c r="A219" s="102" t="n"/>
      <c r="B219" s="103" t="n"/>
      <c r="C219" s="102" t="n"/>
      <c r="D219" s="103" t="n"/>
      <c r="E219" s="103" t="n"/>
      <c r="F219" s="103" t="n"/>
    </row>
    <row r="220" ht="15" customHeight="1" s="78">
      <c r="A220" s="102" t="n"/>
      <c r="B220" s="103" t="n"/>
      <c r="C220" s="102" t="n"/>
      <c r="D220" s="103" t="n"/>
      <c r="E220" s="103" t="n"/>
      <c r="F220" s="103" t="n"/>
    </row>
    <row r="221" ht="15" customHeight="1" s="78">
      <c r="A221" s="102" t="n"/>
      <c r="B221" s="103" t="n"/>
      <c r="C221" s="102" t="n"/>
      <c r="D221" s="103" t="n"/>
      <c r="E221" s="103" t="n"/>
      <c r="F221" s="103" t="n"/>
    </row>
    <row r="222" ht="15" customHeight="1" s="78">
      <c r="A222" s="102" t="n"/>
      <c r="B222" s="103" t="n"/>
      <c r="C222" s="102" t="n"/>
      <c r="D222" s="103" t="n"/>
      <c r="E222" s="103" t="n"/>
      <c r="F222" s="103" t="n"/>
    </row>
    <row r="223" ht="15" customHeight="1" s="78">
      <c r="A223" s="102" t="n"/>
      <c r="B223" s="103" t="n"/>
      <c r="C223" s="102" t="n"/>
      <c r="D223" s="103" t="n"/>
      <c r="E223" s="103" t="n"/>
      <c r="F223" s="103" t="n"/>
    </row>
    <row r="224" ht="15" customHeight="1" s="78">
      <c r="A224" s="102" t="n"/>
      <c r="B224" s="103" t="n"/>
      <c r="C224" s="102" t="n"/>
      <c r="D224" s="103" t="n"/>
      <c r="E224" s="103" t="n"/>
      <c r="F224" s="103" t="n"/>
    </row>
    <row r="225" ht="15" customHeight="1" s="78">
      <c r="A225" s="102" t="n"/>
      <c r="B225" s="103" t="n"/>
      <c r="C225" s="102" t="n"/>
      <c r="D225" s="103" t="n"/>
      <c r="E225" s="103" t="n"/>
      <c r="F225" s="103" t="n"/>
    </row>
    <row r="226" ht="15" customHeight="1" s="78">
      <c r="A226" s="102" t="n"/>
      <c r="B226" s="103" t="n"/>
      <c r="C226" s="102" t="n"/>
      <c r="D226" s="103" t="n"/>
      <c r="E226" s="103" t="n"/>
      <c r="F226" s="103" t="n"/>
    </row>
    <row r="227" ht="15" customHeight="1" s="78">
      <c r="A227" s="102" t="n"/>
      <c r="B227" s="103" t="n"/>
      <c r="C227" s="102" t="n"/>
      <c r="D227" s="103" t="n"/>
      <c r="E227" s="103" t="n"/>
      <c r="F227" s="103" t="n"/>
    </row>
    <row r="228" ht="15" customHeight="1" s="78">
      <c r="A228" s="102" t="n"/>
      <c r="B228" s="103" t="n"/>
      <c r="C228" s="102" t="n"/>
      <c r="D228" s="103" t="n"/>
      <c r="E228" s="103" t="n"/>
      <c r="F228" s="103" t="n"/>
    </row>
    <row r="229" ht="15" customHeight="1" s="78">
      <c r="A229" s="102" t="n"/>
      <c r="B229" s="103" t="n"/>
      <c r="C229" s="102" t="n"/>
      <c r="D229" s="103" t="n"/>
      <c r="E229" s="103" t="n"/>
      <c r="F229" s="103" t="n"/>
    </row>
    <row r="230" ht="15" customHeight="1" s="78">
      <c r="A230" s="102" t="n"/>
      <c r="B230" s="103" t="n"/>
      <c r="C230" s="102" t="n"/>
      <c r="D230" s="103" t="n"/>
      <c r="E230" s="103" t="n"/>
      <c r="F230" s="103" t="n"/>
    </row>
    <row r="231" ht="15" customHeight="1" s="78">
      <c r="A231" s="102" t="n"/>
      <c r="B231" s="103" t="n"/>
      <c r="C231" s="102" t="n"/>
      <c r="D231" s="103" t="n"/>
      <c r="E231" s="103" t="n"/>
      <c r="F231" s="103" t="n"/>
    </row>
    <row r="232" ht="15" customHeight="1" s="78">
      <c r="A232" s="102" t="n"/>
      <c r="B232" s="103" t="n"/>
      <c r="C232" s="102" t="n"/>
      <c r="D232" s="103" t="n"/>
      <c r="E232" s="103" t="n"/>
      <c r="F232" s="103" t="n"/>
    </row>
    <row r="233" ht="15" customHeight="1" s="78">
      <c r="A233" s="102" t="n"/>
      <c r="B233" s="103" t="n"/>
      <c r="C233" s="102" t="n"/>
      <c r="D233" s="103" t="n"/>
      <c r="E233" s="103" t="n"/>
      <c r="F233" s="103" t="n"/>
    </row>
    <row r="234" ht="15" customHeight="1" s="78">
      <c r="A234" s="102" t="n"/>
      <c r="B234" s="103" t="n"/>
      <c r="C234" s="102" t="n"/>
      <c r="D234" s="103" t="n"/>
      <c r="E234" s="103" t="n"/>
      <c r="F234" s="103" t="n"/>
    </row>
    <row r="235" ht="15" customHeight="1" s="78">
      <c r="A235" s="102" t="n"/>
      <c r="B235" s="103" t="n"/>
      <c r="C235" s="102" t="n"/>
      <c r="D235" s="103" t="n"/>
      <c r="E235" s="103" t="n"/>
      <c r="F235" s="103" t="n"/>
    </row>
    <row r="236" ht="15" customHeight="1" s="78">
      <c r="A236" s="102" t="n"/>
      <c r="B236" s="103" t="n"/>
      <c r="C236" s="102" t="n"/>
      <c r="D236" s="103" t="n"/>
      <c r="E236" s="103" t="n"/>
      <c r="F236" s="103" t="n"/>
    </row>
    <row r="237" ht="15" customHeight="1" s="78">
      <c r="A237" s="102" t="n"/>
      <c r="B237" s="103" t="n"/>
      <c r="C237" s="102" t="n"/>
      <c r="D237" s="103" t="n"/>
      <c r="E237" s="103" t="n"/>
      <c r="F237" s="103" t="n"/>
    </row>
    <row r="238" ht="15" customHeight="1" s="78">
      <c r="A238" s="102" t="n"/>
      <c r="B238" s="103" t="n"/>
      <c r="C238" s="102" t="n"/>
      <c r="D238" s="103" t="n"/>
      <c r="E238" s="103" t="n"/>
      <c r="F238" s="103" t="n"/>
    </row>
    <row r="239" ht="15" customHeight="1" s="78">
      <c r="A239" s="102" t="n"/>
      <c r="B239" s="103" t="n"/>
      <c r="C239" s="102" t="n"/>
      <c r="D239" s="103" t="n"/>
      <c r="E239" s="103" t="n"/>
      <c r="F239" s="103" t="n"/>
    </row>
    <row r="240" ht="15" customHeight="1" s="78">
      <c r="A240" s="102" t="n"/>
      <c r="B240" s="103" t="n"/>
      <c r="C240" s="102" t="n"/>
      <c r="D240" s="103" t="n"/>
      <c r="E240" s="103" t="n"/>
      <c r="F240" s="103" t="n"/>
    </row>
    <row r="241" ht="15" customHeight="1" s="78">
      <c r="A241" s="102" t="n"/>
      <c r="B241" s="103" t="n"/>
      <c r="C241" s="102" t="n"/>
      <c r="D241" s="103" t="n"/>
      <c r="E241" s="103" t="n"/>
      <c r="F241" s="103" t="n"/>
    </row>
    <row r="242" ht="15" customHeight="1" s="78">
      <c r="A242" s="102" t="n"/>
      <c r="B242" s="103" t="n"/>
      <c r="C242" s="102" t="n"/>
      <c r="D242" s="103" t="n"/>
      <c r="E242" s="103" t="n"/>
      <c r="F242" s="103" t="n"/>
    </row>
    <row r="243" ht="15" customHeight="1" s="78">
      <c r="A243" s="102" t="n"/>
      <c r="B243" s="103" t="n"/>
      <c r="C243" s="102" t="n"/>
      <c r="D243" s="103" t="n"/>
      <c r="E243" s="103" t="n"/>
      <c r="F243" s="103" t="n"/>
    </row>
    <row r="244" ht="15" customHeight="1" s="78">
      <c r="A244" s="102" t="n"/>
      <c r="B244" s="103" t="n"/>
      <c r="C244" s="102" t="n"/>
      <c r="D244" s="103" t="n"/>
      <c r="E244" s="103" t="n"/>
      <c r="F244" s="103" t="n"/>
    </row>
    <row r="245" ht="15" customHeight="1" s="78">
      <c r="A245" s="102" t="n"/>
      <c r="B245" s="103" t="n"/>
      <c r="C245" s="102" t="n"/>
      <c r="D245" s="103" t="n"/>
      <c r="E245" s="103" t="n"/>
      <c r="F245" s="103" t="n"/>
    </row>
    <row r="246" ht="15" customHeight="1" s="78">
      <c r="A246" s="102" t="n"/>
      <c r="B246" s="103" t="n"/>
      <c r="C246" s="102" t="n"/>
      <c r="D246" s="103" t="n"/>
      <c r="E246" s="103" t="n"/>
      <c r="F246" s="103" t="n"/>
    </row>
    <row r="247" ht="15" customHeight="1" s="78">
      <c r="A247" s="102" t="n"/>
      <c r="B247" s="103" t="n"/>
      <c r="C247" s="102" t="n"/>
      <c r="D247" s="103" t="n"/>
      <c r="E247" s="103" t="n"/>
      <c r="F247" s="103" t="n"/>
    </row>
    <row r="248" ht="15" customHeight="1" s="78">
      <c r="A248" s="102" t="n"/>
      <c r="B248" s="103" t="n"/>
      <c r="C248" s="102" t="n"/>
      <c r="D248" s="103" t="n"/>
      <c r="E248" s="103" t="n"/>
      <c r="F248" s="103" t="n"/>
    </row>
    <row r="249" ht="15" customHeight="1" s="78">
      <c r="A249" s="102" t="n"/>
      <c r="B249" s="103" t="n"/>
      <c r="C249" s="102" t="n"/>
      <c r="D249" s="103" t="n"/>
      <c r="E249" s="103" t="n"/>
      <c r="F249" s="103" t="n"/>
    </row>
    <row r="250" ht="15" customHeight="1" s="78">
      <c r="A250" s="102" t="n"/>
      <c r="B250" s="103" t="n"/>
      <c r="C250" s="102" t="n"/>
      <c r="D250" s="103" t="n"/>
      <c r="E250" s="103" t="n"/>
      <c r="F250" s="103" t="n"/>
    </row>
    <row r="251" ht="15" customHeight="1" s="78">
      <c r="A251" s="102" t="n"/>
      <c r="B251" s="103" t="n"/>
      <c r="C251" s="102" t="n"/>
      <c r="D251" s="103" t="n"/>
      <c r="E251" s="103" t="n"/>
      <c r="F251" s="103" t="n"/>
    </row>
    <row r="252" ht="15" customHeight="1" s="78">
      <c r="A252" s="102" t="n"/>
      <c r="B252" s="103" t="n"/>
      <c r="C252" s="102" t="n"/>
      <c r="D252" s="103" t="n"/>
      <c r="E252" s="103" t="n"/>
      <c r="F252" s="103" t="n"/>
    </row>
    <row r="253" ht="15" customHeight="1" s="78">
      <c r="A253" s="102" t="n"/>
      <c r="B253" s="103" t="n"/>
      <c r="C253" s="102" t="n"/>
      <c r="D253" s="103" t="n"/>
      <c r="E253" s="103" t="n"/>
      <c r="F253" s="103" t="n"/>
    </row>
    <row r="254" ht="15" customHeight="1" s="78">
      <c r="A254" s="102" t="n"/>
      <c r="B254" s="103" t="n"/>
      <c r="C254" s="102" t="n"/>
      <c r="D254" s="103" t="n"/>
      <c r="E254" s="103" t="n"/>
      <c r="F254" s="103" t="n"/>
    </row>
    <row r="255" ht="15" customHeight="1" s="78">
      <c r="A255" s="102" t="n"/>
      <c r="B255" s="103" t="n"/>
      <c r="C255" s="102" t="n"/>
      <c r="D255" s="103" t="n"/>
      <c r="E255" s="103" t="n"/>
      <c r="F255" s="103" t="n"/>
    </row>
    <row r="256" ht="15" customHeight="1" s="78">
      <c r="A256" s="102" t="n"/>
      <c r="B256" s="103" t="n"/>
      <c r="C256" s="102" t="n"/>
      <c r="D256" s="103" t="n"/>
      <c r="E256" s="103" t="n"/>
      <c r="F256" s="103" t="n"/>
    </row>
    <row r="257" ht="15" customHeight="1" s="78">
      <c r="A257" s="102" t="n"/>
      <c r="B257" s="103" t="n"/>
      <c r="C257" s="102" t="n"/>
      <c r="D257" s="103" t="n"/>
      <c r="E257" s="103" t="n"/>
      <c r="F257" s="103" t="n"/>
    </row>
    <row r="258" ht="15" customHeight="1" s="78">
      <c r="A258" s="102" t="n"/>
      <c r="B258" s="103" t="n"/>
      <c r="C258" s="102" t="n"/>
      <c r="D258" s="103" t="n"/>
      <c r="E258" s="103" t="n"/>
      <c r="F258" s="103" t="n"/>
    </row>
    <row r="259" ht="15" customHeight="1" s="78">
      <c r="A259" s="102" t="n"/>
      <c r="B259" s="103" t="n"/>
      <c r="C259" s="102" t="n"/>
      <c r="D259" s="103" t="n"/>
      <c r="E259" s="103" t="n"/>
      <c r="F259" s="103" t="n"/>
    </row>
    <row r="260" ht="15" customHeight="1" s="78">
      <c r="A260" s="102" t="n"/>
      <c r="B260" s="103" t="n"/>
      <c r="C260" s="102" t="n"/>
      <c r="D260" s="103" t="n"/>
      <c r="E260" s="103" t="n"/>
      <c r="F260" s="103" t="n"/>
    </row>
    <row r="261" ht="15" customHeight="1" s="78">
      <c r="A261" s="102" t="n"/>
      <c r="B261" s="103" t="n"/>
      <c r="C261" s="102" t="n"/>
      <c r="D261" s="103" t="n"/>
      <c r="E261" s="103" t="n"/>
      <c r="F261" s="103" t="n"/>
    </row>
    <row r="262" ht="15" customHeight="1" s="78">
      <c r="A262" s="102" t="n"/>
      <c r="B262" s="103" t="n"/>
      <c r="C262" s="102" t="n"/>
      <c r="D262" s="103" t="n"/>
      <c r="E262" s="103" t="n"/>
      <c r="F262" s="103" t="n"/>
    </row>
    <row r="263" ht="15" customHeight="1" s="78">
      <c r="A263" s="102" t="n"/>
      <c r="B263" s="103" t="n"/>
      <c r="C263" s="102" t="n"/>
      <c r="D263" s="103" t="n"/>
      <c r="E263" s="103" t="n"/>
      <c r="F263" s="103" t="n"/>
    </row>
    <row r="264" ht="15" customHeight="1" s="78">
      <c r="A264" s="102" t="n"/>
      <c r="B264" s="103" t="n"/>
      <c r="C264" s="102" t="n"/>
      <c r="D264" s="103" t="n"/>
      <c r="E264" s="103" t="n"/>
      <c r="F264" s="103" t="n"/>
    </row>
    <row r="265" ht="15" customHeight="1" s="78">
      <c r="A265" s="102" t="n"/>
      <c r="B265" s="103" t="n"/>
      <c r="C265" s="102" t="n"/>
      <c r="D265" s="103" t="n"/>
      <c r="E265" s="103" t="n"/>
      <c r="F265" s="103" t="n"/>
    </row>
    <row r="266" ht="15" customHeight="1" s="78">
      <c r="A266" s="102" t="n"/>
      <c r="B266" s="103" t="n"/>
      <c r="C266" s="102" t="n"/>
      <c r="D266" s="103" t="n"/>
      <c r="E266" s="103" t="n"/>
      <c r="F266" s="103" t="n"/>
    </row>
    <row r="267" ht="15" customHeight="1" s="78">
      <c r="A267" s="102" t="n"/>
      <c r="B267" s="103" t="n"/>
      <c r="C267" s="102" t="n"/>
      <c r="D267" s="103" t="n"/>
      <c r="E267" s="103" t="n"/>
      <c r="F267" s="103" t="n"/>
    </row>
    <row r="268" ht="15" customHeight="1" s="78">
      <c r="A268" s="102" t="n"/>
      <c r="B268" s="103" t="n"/>
      <c r="C268" s="102" t="n"/>
      <c r="D268" s="103" t="n"/>
      <c r="E268" s="103" t="n"/>
      <c r="F268" s="103" t="n"/>
    </row>
    <row r="269" ht="15" customHeight="1" s="78">
      <c r="A269" s="102" t="n"/>
      <c r="B269" s="103" t="n"/>
      <c r="C269" s="102" t="n"/>
      <c r="D269" s="103" t="n"/>
      <c r="E269" s="103" t="n"/>
      <c r="F269" s="103" t="n"/>
    </row>
    <row r="270" ht="15" customHeight="1" s="78">
      <c r="A270" s="102" t="n"/>
      <c r="B270" s="103" t="n"/>
      <c r="C270" s="102" t="n"/>
      <c r="D270" s="103" t="n"/>
      <c r="E270" s="103" t="n"/>
      <c r="F270" s="103" t="n"/>
    </row>
    <row r="271" ht="15" customHeight="1" s="78">
      <c r="A271" s="102" t="n"/>
      <c r="B271" s="103" t="n"/>
      <c r="C271" s="102" t="n"/>
      <c r="D271" s="103" t="n"/>
      <c r="E271" s="103" t="n"/>
      <c r="F271" s="103" t="n"/>
    </row>
    <row r="272" ht="15" customHeight="1" s="78">
      <c r="A272" s="102" t="n"/>
      <c r="B272" s="103" t="n"/>
      <c r="C272" s="102" t="n"/>
      <c r="D272" s="103" t="n"/>
      <c r="E272" s="103" t="n"/>
      <c r="F272" s="103" t="n"/>
    </row>
    <row r="273" ht="15" customHeight="1" s="78">
      <c r="A273" s="102" t="n"/>
      <c r="B273" s="103" t="n"/>
      <c r="C273" s="102" t="n"/>
      <c r="D273" s="103" t="n"/>
      <c r="E273" s="103" t="n"/>
      <c r="F273" s="103" t="n"/>
    </row>
    <row r="274" ht="15" customHeight="1" s="78">
      <c r="A274" s="102" t="n"/>
      <c r="B274" s="103" t="n"/>
      <c r="C274" s="102" t="n"/>
      <c r="D274" s="103" t="n"/>
      <c r="E274" s="103" t="n"/>
      <c r="F274" s="103" t="n"/>
    </row>
    <row r="275" ht="15" customHeight="1" s="78">
      <c r="A275" s="102" t="n"/>
      <c r="B275" s="103" t="n"/>
      <c r="C275" s="102" t="n"/>
      <c r="D275" s="103" t="n"/>
      <c r="E275" s="103" t="n"/>
      <c r="F275" s="103" t="n"/>
    </row>
    <row r="276" ht="15" customHeight="1" s="78">
      <c r="A276" s="102" t="n"/>
      <c r="B276" s="103" t="n"/>
      <c r="C276" s="102" t="n"/>
      <c r="D276" s="103" t="n"/>
      <c r="E276" s="103" t="n"/>
      <c r="F276" s="103" t="n"/>
    </row>
    <row r="277" ht="15" customHeight="1" s="78">
      <c r="A277" s="102" t="n"/>
      <c r="B277" s="103" t="n"/>
      <c r="C277" s="102" t="n"/>
      <c r="D277" s="103" t="n"/>
      <c r="E277" s="103" t="n"/>
      <c r="F277" s="103" t="n"/>
    </row>
    <row r="278" ht="15" customHeight="1" s="78">
      <c r="A278" s="102" t="n"/>
      <c r="B278" s="103" t="n"/>
      <c r="C278" s="102" t="n"/>
      <c r="D278" s="103" t="n"/>
      <c r="E278" s="103" t="n"/>
      <c r="F278" s="103" t="n"/>
    </row>
    <row r="279" ht="15" customHeight="1" s="78">
      <c r="A279" s="102" t="n"/>
      <c r="B279" s="103" t="n"/>
      <c r="C279" s="102" t="n"/>
      <c r="D279" s="103" t="n"/>
      <c r="E279" s="103" t="n"/>
      <c r="F279" s="103" t="n"/>
    </row>
    <row r="280" ht="15" customHeight="1" s="78">
      <c r="A280" s="102" t="n"/>
      <c r="B280" s="103" t="n"/>
      <c r="C280" s="102" t="n"/>
      <c r="D280" s="103" t="n"/>
      <c r="E280" s="103" t="n"/>
      <c r="F280" s="103" t="n"/>
    </row>
    <row r="281" ht="15" customHeight="1" s="78">
      <c r="A281" s="102" t="n"/>
      <c r="B281" s="103" t="n"/>
      <c r="C281" s="102" t="n"/>
      <c r="D281" s="103" t="n"/>
      <c r="E281" s="103" t="n"/>
      <c r="F281" s="103" t="n"/>
    </row>
    <row r="282" ht="15" customHeight="1" s="78">
      <c r="A282" s="102" t="n"/>
      <c r="B282" s="103" t="n"/>
      <c r="C282" s="102" t="n"/>
      <c r="D282" s="103" t="n"/>
      <c r="E282" s="103" t="n"/>
      <c r="F282" s="103" t="n"/>
    </row>
    <row r="283" ht="15" customHeight="1" s="78">
      <c r="A283" s="102" t="n"/>
      <c r="B283" s="103" t="n"/>
      <c r="C283" s="102" t="n"/>
      <c r="D283" s="103" t="n"/>
      <c r="E283" s="103" t="n"/>
      <c r="F283" s="103" t="n"/>
    </row>
    <row r="284" ht="15" customHeight="1" s="78">
      <c r="A284" s="102" t="n"/>
      <c r="B284" s="103" t="n"/>
      <c r="C284" s="102" t="n"/>
      <c r="D284" s="103" t="n"/>
      <c r="E284" s="103" t="n"/>
      <c r="F284" s="103" t="n"/>
    </row>
    <row r="285" ht="15" customHeight="1" s="78">
      <c r="A285" s="102" t="n"/>
      <c r="B285" s="103" t="n"/>
      <c r="C285" s="102" t="n"/>
      <c r="D285" s="103" t="n"/>
      <c r="E285" s="103" t="n"/>
      <c r="F285" s="103" t="n"/>
    </row>
    <row r="286" ht="15" customHeight="1" s="78">
      <c r="A286" s="102" t="n"/>
      <c r="B286" s="103" t="n"/>
      <c r="C286" s="102" t="n"/>
      <c r="D286" s="103" t="n"/>
      <c r="E286" s="103" t="n"/>
      <c r="F286" s="103" t="n"/>
    </row>
    <row r="287" ht="15" customHeight="1" s="78">
      <c r="A287" s="102" t="n"/>
      <c r="B287" s="103" t="n"/>
      <c r="C287" s="102" t="n"/>
      <c r="D287" s="103" t="n"/>
      <c r="E287" s="103" t="n"/>
      <c r="F287" s="103" t="n"/>
    </row>
    <row r="288" ht="15" customHeight="1" s="78">
      <c r="A288" s="102" t="n"/>
      <c r="B288" s="103" t="n"/>
      <c r="C288" s="102" t="n"/>
      <c r="D288" s="103" t="n"/>
      <c r="E288" s="103" t="n"/>
      <c r="F288" s="103" t="n"/>
    </row>
    <row r="289" ht="15" customHeight="1" s="78">
      <c r="A289" s="102" t="n"/>
      <c r="B289" s="103" t="n"/>
      <c r="C289" s="102" t="n"/>
      <c r="D289" s="103" t="n"/>
      <c r="E289" s="103" t="n"/>
      <c r="F289" s="103" t="n"/>
    </row>
    <row r="290" ht="15" customHeight="1" s="78">
      <c r="A290" s="102" t="n"/>
      <c r="B290" s="103" t="n"/>
      <c r="C290" s="102" t="n"/>
      <c r="D290" s="103" t="n"/>
      <c r="E290" s="103" t="n"/>
      <c r="F290" s="103" t="n"/>
    </row>
    <row r="291" ht="15" customHeight="1" s="78">
      <c r="A291" s="102" t="n"/>
      <c r="B291" s="103" t="n"/>
      <c r="C291" s="102" t="n"/>
      <c r="D291" s="103" t="n"/>
      <c r="E291" s="103" t="n"/>
      <c r="F291" s="103" t="n"/>
    </row>
    <row r="292" ht="15" customHeight="1" s="78">
      <c r="A292" s="102" t="n"/>
      <c r="B292" s="103" t="n"/>
      <c r="C292" s="102" t="n"/>
      <c r="D292" s="103" t="n"/>
      <c r="E292" s="103" t="n"/>
      <c r="F292" s="103" t="n"/>
    </row>
    <row r="293" ht="15" customHeight="1" s="78">
      <c r="A293" s="102" t="n"/>
      <c r="B293" s="103" t="n"/>
      <c r="C293" s="102" t="n"/>
      <c r="D293" s="103" t="n"/>
      <c r="E293" s="103" t="n"/>
      <c r="F293" s="103" t="n"/>
    </row>
    <row r="294" ht="15" customHeight="1" s="78">
      <c r="A294" s="102" t="n"/>
      <c r="B294" s="103" t="n"/>
      <c r="C294" s="102" t="n"/>
      <c r="D294" s="103" t="n"/>
      <c r="E294" s="103" t="n"/>
      <c r="F294" s="103" t="n"/>
    </row>
    <row r="295" ht="15" customHeight="1" s="78">
      <c r="A295" s="102" t="n"/>
      <c r="B295" s="103" t="n"/>
      <c r="C295" s="102" t="n"/>
      <c r="D295" s="103" t="n"/>
      <c r="E295" s="103" t="n"/>
      <c r="F295" s="103" t="n"/>
    </row>
    <row r="296" ht="15" customHeight="1" s="78">
      <c r="A296" s="102" t="n"/>
      <c r="B296" s="103" t="n"/>
      <c r="C296" s="102" t="n"/>
      <c r="D296" s="103" t="n"/>
      <c r="E296" s="103" t="n"/>
      <c r="F296" s="103" t="n"/>
    </row>
    <row r="297" ht="15" customHeight="1" s="78">
      <c r="A297" s="102" t="n"/>
      <c r="B297" s="103" t="n"/>
      <c r="C297" s="102" t="n"/>
      <c r="D297" s="103" t="n"/>
      <c r="E297" s="103" t="n"/>
      <c r="F297" s="103" t="n"/>
    </row>
    <row r="298" ht="15" customHeight="1" s="78">
      <c r="A298" s="102" t="n"/>
      <c r="B298" s="103" t="n"/>
      <c r="C298" s="102" t="n"/>
      <c r="D298" s="103" t="n"/>
      <c r="E298" s="103" t="n"/>
      <c r="F298" s="103" t="n"/>
    </row>
    <row r="299" ht="15" customHeight="1" s="78">
      <c r="A299" s="102" t="n"/>
      <c r="B299" s="103" t="n"/>
      <c r="C299" s="102" t="n"/>
      <c r="D299" s="103" t="n"/>
      <c r="E299" s="103" t="n"/>
      <c r="F299" s="103" t="n"/>
    </row>
    <row r="300" ht="15" customHeight="1" s="78">
      <c r="A300" s="102" t="n"/>
      <c r="B300" s="103" t="n"/>
      <c r="C300" s="102" t="n"/>
      <c r="D300" s="103" t="n"/>
      <c r="E300" s="103" t="n"/>
      <c r="F300" s="103" t="n"/>
    </row>
    <row r="301" ht="15" customHeight="1" s="78">
      <c r="A301" s="102" t="n"/>
      <c r="B301" s="103" t="n"/>
      <c r="C301" s="102" t="n"/>
      <c r="D301" s="103" t="n"/>
      <c r="E301" s="103" t="n"/>
      <c r="F301" s="103" t="n"/>
    </row>
    <row r="302" ht="15" customHeight="1" s="78">
      <c r="A302" s="102" t="n"/>
      <c r="B302" s="103" t="n"/>
      <c r="C302" s="102" t="n"/>
      <c r="D302" s="103" t="n"/>
      <c r="E302" s="103" t="n"/>
      <c r="F302" s="103" t="n"/>
    </row>
    <row r="303" ht="15" customHeight="1" s="78">
      <c r="A303" s="102" t="n"/>
      <c r="B303" s="103" t="n"/>
      <c r="C303" s="102" t="n"/>
      <c r="D303" s="103" t="n"/>
      <c r="E303" s="103" t="n"/>
      <c r="F303" s="103" t="n"/>
    </row>
    <row r="304" ht="15" customHeight="1" s="78">
      <c r="A304" s="102" t="n"/>
      <c r="B304" s="103" t="n"/>
      <c r="C304" s="102" t="n"/>
      <c r="D304" s="103" t="n"/>
      <c r="E304" s="103" t="n"/>
      <c r="F304" s="103" t="n"/>
    </row>
    <row r="305" ht="15" customHeight="1" s="78">
      <c r="A305" s="102" t="n"/>
      <c r="B305" s="103" t="n"/>
      <c r="C305" s="102" t="n"/>
      <c r="D305" s="103" t="n"/>
      <c r="E305" s="103" t="n"/>
      <c r="F305" s="103" t="n"/>
    </row>
    <row r="306" ht="15" customHeight="1" s="78">
      <c r="A306" s="102" t="n"/>
      <c r="B306" s="103" t="n"/>
      <c r="C306" s="102" t="n"/>
      <c r="D306" s="103" t="n"/>
      <c r="E306" s="103" t="n"/>
      <c r="F306" s="103" t="n"/>
    </row>
  </sheetData>
  <sheetProtection selectLockedCells="0" selectUnlockedCells="0" sheet="1" objects="0" insertRows="1" insertHyperlinks="1" autoFilter="0" scenarios="0" formatColumns="0" deleteColumns="1" insertColumns="1" pivotTables="1" deleteRows="1" formatCells="0" formatRows="0" sort="0"/>
  <mergeCells count="1">
    <mergeCell ref="A2:F2"/>
  </mergeCells>
  <dataValidations count="1">
    <dataValidation sqref="C7:C306" showDropDown="0" showInputMessage="0" showErrorMessage="1" allowBlank="1" errorTitle="Sai loại" error="Chọn: KH / NCC / NV / KHAC" type="list" errorStyle="stop" operator="between">
      <formula1>"KH,NCC,NV,KHAC"</formula1>
      <formula2>0</formula2>
    </dataValidation>
  </dataValidations>
  <printOptions horizontalCentered="0" verticalCentered="0" headings="0" gridLines="0" gridLinesSet="1"/>
  <pageMargins left="0.75" right="0.75" top="1" bottom="1" header="0.511811023622047" footer="0.5"/>
  <pageSetup orientation="portrait" paperSize="9" scale="100" fitToHeight="0" fitToWidth="1" pageOrder="downThenOver" blackAndWhite="0" draft="0" horizontalDpi="300" verticalDpi="300" copies="1"/>
  <headerFooter differentOddEven="0" differentFirst="0">
    <oddHeader/>
    <oddFooter>&amp;L&amp;8 &amp;K808080Mr Wick Kiểm toán — Phần mềm kế toán TT 99/2025&amp;R&amp;8 &amp;K808080Trang &amp;P/&amp;N</oddFooter>
    <evenHeader/>
    <evenFooter/>
    <firstHeader/>
    <firstFooter/>
  </headerFooter>
</worksheet>
</file>

<file path=xl/worksheets/sheet5.xml><?xml version="1.0" encoding="utf-8"?>
<worksheet xmlns="http://schemas.openxmlformats.org/spreadsheetml/2006/main">
  <sheetPr filterMode="0">
    <outlinePr summaryBelow="1" summaryRight="1"/>
    <pageSetUpPr fitToPage="1"/>
  </sheetPr>
  <dimension ref="A1:E376"/>
  <sheetViews>
    <sheetView showFormulas="0" showGridLines="1" showRowColHeaders="1" showZeros="1" rightToLeft="0" tabSelected="0" showOutlineSymbols="1" defaultGridColor="1"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77" min="1" max="1"/>
    <col width="58" customWidth="1" style="77" min="2" max="2"/>
    <col width="18" customWidth="1" style="77" min="3" max="4"/>
    <col width="30" customWidth="1" style="77" min="5" max="5"/>
  </cols>
  <sheetData>
    <row r="1"/>
    <row r="2" ht="17.35" customHeight="1" s="78">
      <c r="A2" s="84" t="inlineStr">
        <is>
          <t>SỐ DƯ ĐẦU NĂM CÁC TÀI KHOẢN</t>
        </is>
      </c>
    </row>
    <row r="3" ht="15" customHeight="1" s="78">
      <c r="A3" s="85" t="inlineStr">
        <is>
          <t>Chỉ nhập ở TK CHI TIẾT NHẤT mà bạn dùng để ghi sổ (nếu nhập ở TK cha thì đừng nhập lại ở TK con). Riêng TK 131, 331: nhập theo TỪNG ĐỐI TƯỢNG ở bảng dưới, hệ thống tự cộng lên.</t>
        </is>
      </c>
    </row>
    <row r="4" ht="15" customHeight="1" s="78">
      <c r="B4" s="104" t="inlineStr">
        <is>
          <t>KIỂM TRA CÂN ĐỐI:  Tổng dư Nợ =</t>
        </is>
      </c>
      <c r="C4" s="105">
        <f>SUM(C8:C251)</f>
        <v/>
      </c>
      <c r="D4" s="105">
        <f>SUM(D8:D251)</f>
        <v/>
      </c>
      <c r="E4" s="106">
        <f>IF(C4=D4,"✔ CÂN","✘ LỆCH: "&amp;TEXT(C4-D4,"#,##0"))</f>
        <v/>
      </c>
    </row>
    <row r="5"/>
    <row r="6"/>
    <row r="7" ht="27.75" customHeight="1" s="78">
      <c r="A7" s="92" t="inlineStr">
        <is>
          <t>Mã TK</t>
        </is>
      </c>
      <c r="B7" s="92" t="inlineStr">
        <is>
          <t>Tên tài khoản</t>
        </is>
      </c>
      <c r="C7" s="92" t="inlineStr">
        <is>
          <t>Dư Nợ đầu năm</t>
        </is>
      </c>
      <c r="D7" s="92" t="inlineStr">
        <is>
          <t>Dư Có đầu năm</t>
        </is>
      </c>
      <c r="E7" s="92" t="inlineStr">
        <is>
          <t>Ghi chú</t>
        </is>
      </c>
    </row>
    <row r="8" ht="15" customHeight="1" s="78">
      <c r="A8" s="96" t="inlineStr">
        <is>
          <t>111</t>
        </is>
      </c>
      <c r="B8" s="97" t="inlineStr">
        <is>
          <t>Tiền mặt</t>
        </is>
      </c>
      <c r="C8" s="107" t="n">
        <v>80000000</v>
      </c>
      <c r="D8" s="107" t="n"/>
      <c r="E8" s="108" t="n"/>
    </row>
    <row r="9" ht="15" customHeight="1" s="78">
      <c r="A9" s="96" t="inlineStr">
        <is>
          <t>112</t>
        </is>
      </c>
      <c r="B9" s="97" t="inlineStr">
        <is>
          <t>Tiền gửi không kỳ hạn</t>
        </is>
      </c>
      <c r="C9" s="107" t="n">
        <v>520000000</v>
      </c>
      <c r="D9" s="107" t="n"/>
      <c r="E9" s="108" t="n"/>
    </row>
    <row r="10" ht="15" customHeight="1" s="78">
      <c r="A10" s="96" t="inlineStr">
        <is>
          <t>113</t>
        </is>
      </c>
      <c r="B10" s="97" t="inlineStr">
        <is>
          <t>Tiền đang chuyển</t>
        </is>
      </c>
      <c r="C10" s="107" t="n"/>
      <c r="D10" s="107" t="n"/>
      <c r="E10" s="108" t="n"/>
    </row>
    <row r="11" ht="15" customHeight="1" s="78">
      <c r="A11" s="96" t="inlineStr">
        <is>
          <t>121</t>
        </is>
      </c>
      <c r="B11" s="97" t="inlineStr">
        <is>
          <t>Chứng khoán kinh doanh</t>
        </is>
      </c>
      <c r="C11" s="107" t="n"/>
      <c r="D11" s="107" t="n"/>
      <c r="E11" s="108" t="n"/>
    </row>
    <row r="12" ht="15" customHeight="1" s="78">
      <c r="A12" s="96" t="inlineStr">
        <is>
          <t>128</t>
        </is>
      </c>
      <c r="B12" s="97" t="inlineStr">
        <is>
          <t>Đầu tư nắm giữ đến ngày đáo hạn</t>
        </is>
      </c>
      <c r="C12" s="107" t="n"/>
      <c r="D12" s="107" t="n"/>
      <c r="E12" s="108" t="n"/>
    </row>
    <row r="13" ht="15" customHeight="1" s="78">
      <c r="A13" s="96" t="inlineStr">
        <is>
          <t>1281</t>
        </is>
      </c>
      <c r="B13" s="97" t="inlineStr">
        <is>
          <t>Tiền gửi có kỳ hạn</t>
        </is>
      </c>
      <c r="C13" s="107" t="n"/>
      <c r="D13" s="107" t="n"/>
      <c r="E13" s="108" t="n"/>
    </row>
    <row r="14" ht="15" customHeight="1" s="78">
      <c r="A14" s="96" t="inlineStr">
        <is>
          <t>1282</t>
        </is>
      </c>
      <c r="B14" s="97" t="inlineStr">
        <is>
          <t>Trái phiếu</t>
        </is>
      </c>
      <c r="C14" s="107" t="n"/>
      <c r="D14" s="107" t="n"/>
      <c r="E14" s="108" t="n"/>
    </row>
    <row r="15" ht="15" customHeight="1" s="78">
      <c r="A15" s="96" t="inlineStr">
        <is>
          <t>1283</t>
        </is>
      </c>
      <c r="B15" s="97" t="inlineStr">
        <is>
          <t>Cho vay</t>
        </is>
      </c>
      <c r="C15" s="107" t="n"/>
      <c r="D15" s="107" t="n"/>
      <c r="E15" s="108" t="n"/>
    </row>
    <row r="16" ht="15" customHeight="1" s="78">
      <c r="A16" s="96" t="inlineStr">
        <is>
          <t>1288</t>
        </is>
      </c>
      <c r="B16" s="97" t="inlineStr">
        <is>
          <t>Các khoản đầu tư khác nắm giữ đến ngày đáo hạn</t>
        </is>
      </c>
      <c r="C16" s="107" t="n"/>
      <c r="D16" s="107" t="n"/>
      <c r="E16" s="108" t="n"/>
    </row>
    <row r="17" ht="15" customHeight="1" s="78">
      <c r="A17" s="96" t="inlineStr">
        <is>
          <t>131</t>
        </is>
      </c>
      <c r="B17" s="97" t="inlineStr">
        <is>
          <t>Phải thu của khách hàng</t>
        </is>
      </c>
      <c r="C17" s="109">
        <f>SUMIFS($D$256:$D$375,$A$256:$A$375,$A17)</f>
        <v/>
      </c>
      <c r="D17" s="109">
        <f>SUMIFS($E$256:$E$375,$A$256:$A$375,$A17)</f>
        <v/>
      </c>
      <c r="E17" s="98" t="inlineStr">
        <is>
          <t>Tự cộng từ bảng công nợ bên dưới</t>
        </is>
      </c>
    </row>
    <row r="18" ht="15" customHeight="1" s="78">
      <c r="A18" s="96" t="inlineStr">
        <is>
          <t>133</t>
        </is>
      </c>
      <c r="B18" s="97" t="inlineStr">
        <is>
          <t>Thuế GTGT được khấu trừ</t>
        </is>
      </c>
      <c r="C18" s="107" t="n"/>
      <c r="D18" s="107" t="n"/>
      <c r="E18" s="108" t="n"/>
    </row>
    <row r="19" ht="15" customHeight="1" s="78">
      <c r="A19" s="96" t="inlineStr">
        <is>
          <t>1331</t>
        </is>
      </c>
      <c r="B19" s="97" t="inlineStr">
        <is>
          <t>Thuế GTGT được khấu trừ của hàng hóa, dịch vụ</t>
        </is>
      </c>
      <c r="C19" s="107" t="n"/>
      <c r="D19" s="107" t="n"/>
      <c r="E19" s="108" t="n"/>
    </row>
    <row r="20" ht="15" customHeight="1" s="78">
      <c r="A20" s="96" t="inlineStr">
        <is>
          <t>1332</t>
        </is>
      </c>
      <c r="B20" s="97" t="inlineStr">
        <is>
          <t>Thuế GTGT được khấu trừ của TSCĐ</t>
        </is>
      </c>
      <c r="C20" s="107" t="n"/>
      <c r="D20" s="107" t="n"/>
      <c r="E20" s="108" t="n"/>
    </row>
    <row r="21" ht="15" customHeight="1" s="78">
      <c r="A21" s="96" t="inlineStr">
        <is>
          <t>136</t>
        </is>
      </c>
      <c r="B21" s="97" t="inlineStr">
        <is>
          <t>Phải thu nội bộ</t>
        </is>
      </c>
      <c r="C21" s="107" t="n"/>
      <c r="D21" s="107" t="n"/>
      <c r="E21" s="108" t="n"/>
    </row>
    <row r="22" ht="15" customHeight="1" s="78">
      <c r="A22" s="96" t="inlineStr">
        <is>
          <t>1361</t>
        </is>
      </c>
      <c r="B22" s="97" t="inlineStr">
        <is>
          <t>Vốn kinh doanh ở đơn vị trực thuộc</t>
        </is>
      </c>
      <c r="C22" s="107" t="n"/>
      <c r="D22" s="107" t="n"/>
      <c r="E22" s="108" t="n"/>
    </row>
    <row r="23" ht="15" customHeight="1" s="78">
      <c r="A23" s="96" t="inlineStr">
        <is>
          <t>1362</t>
        </is>
      </c>
      <c r="B23" s="97" t="inlineStr">
        <is>
          <t>Phải thu nội bộ về chênh lệch tỷ giá</t>
        </is>
      </c>
      <c r="C23" s="107" t="n"/>
      <c r="D23" s="107" t="n"/>
      <c r="E23" s="108" t="n"/>
    </row>
    <row r="24" ht="15" customHeight="1" s="78">
      <c r="A24" s="96" t="inlineStr">
        <is>
          <t>1363</t>
        </is>
      </c>
      <c r="B24" s="97" t="inlineStr">
        <is>
          <t>Phải thu nội bộ về chi phí đi vay đủ điều kiện được vốn hoá</t>
        </is>
      </c>
      <c r="C24" s="107" t="n"/>
      <c r="D24" s="107" t="n"/>
      <c r="E24" s="108" t="n"/>
    </row>
    <row r="25" ht="15" customHeight="1" s="78">
      <c r="A25" s="96" t="inlineStr">
        <is>
          <t>1368</t>
        </is>
      </c>
      <c r="B25" s="97" t="inlineStr">
        <is>
          <t>Phải thu nội bộ khác</t>
        </is>
      </c>
      <c r="C25" s="107" t="n"/>
      <c r="D25" s="107" t="n"/>
      <c r="E25" s="108" t="n"/>
    </row>
    <row r="26" ht="15" customHeight="1" s="78">
      <c r="A26" s="96" t="inlineStr">
        <is>
          <t>138</t>
        </is>
      </c>
      <c r="B26" s="97" t="inlineStr">
        <is>
          <t>Phải thu khác</t>
        </is>
      </c>
      <c r="C26" s="107" t="n"/>
      <c r="D26" s="107" t="n"/>
      <c r="E26" s="108" t="n"/>
    </row>
    <row r="27" ht="15" customHeight="1" s="78">
      <c r="A27" s="96" t="inlineStr">
        <is>
          <t>1381</t>
        </is>
      </c>
      <c r="B27" s="97" t="inlineStr">
        <is>
          <t>Tài sản thiếu chờ xử lý</t>
        </is>
      </c>
      <c r="C27" s="107" t="n"/>
      <c r="D27" s="107" t="n"/>
      <c r="E27" s="108" t="n"/>
    </row>
    <row r="28" ht="15" customHeight="1" s="78">
      <c r="A28" s="96" t="inlineStr">
        <is>
          <t>1383</t>
        </is>
      </c>
      <c r="B28" s="97" t="inlineStr">
        <is>
          <t>Thuế TTĐB của hàng nhập khẩu</t>
        </is>
      </c>
      <c r="C28" s="107" t="n"/>
      <c r="D28" s="107" t="n"/>
      <c r="E28" s="108" t="n"/>
    </row>
    <row r="29" ht="15" customHeight="1" s="78">
      <c r="A29" s="96" t="inlineStr">
        <is>
          <t>1388</t>
        </is>
      </c>
      <c r="B29" s="97" t="inlineStr">
        <is>
          <t>Phải thu khác</t>
        </is>
      </c>
      <c r="C29" s="107" t="n"/>
      <c r="D29" s="107" t="n"/>
      <c r="E29" s="108" t="n"/>
    </row>
    <row r="30" ht="15" customHeight="1" s="78">
      <c r="A30" s="96" t="inlineStr">
        <is>
          <t>141</t>
        </is>
      </c>
      <c r="B30" s="97" t="inlineStr">
        <is>
          <t>Tạm ứng</t>
        </is>
      </c>
      <c r="C30" s="107" t="n"/>
      <c r="D30" s="107" t="n"/>
      <c r="E30" s="108" t="n"/>
    </row>
    <row r="31" ht="15" customHeight="1" s="78">
      <c r="A31" s="96" t="inlineStr">
        <is>
          <t>151</t>
        </is>
      </c>
      <c r="B31" s="97" t="inlineStr">
        <is>
          <t>Hàng mua đang đi đường</t>
        </is>
      </c>
      <c r="C31" s="107" t="n"/>
      <c r="D31" s="107" t="n"/>
      <c r="E31" s="108" t="n"/>
    </row>
    <row r="32" ht="15" customHeight="1" s="78">
      <c r="A32" s="96" t="inlineStr">
        <is>
          <t>152</t>
        </is>
      </c>
      <c r="B32" s="97" t="inlineStr">
        <is>
          <t>Nguyên liệu, vật liệu</t>
        </is>
      </c>
      <c r="C32" s="107" t="n"/>
      <c r="D32" s="107" t="n"/>
      <c r="E32" s="108" t="n"/>
    </row>
    <row r="33" ht="15" customHeight="1" s="78">
      <c r="A33" s="96" t="inlineStr">
        <is>
          <t>153</t>
        </is>
      </c>
      <c r="B33" s="97" t="inlineStr">
        <is>
          <t>Công cụ, dụng cụ</t>
        </is>
      </c>
      <c r="C33" s="107" t="n"/>
      <c r="D33" s="107" t="n"/>
      <c r="E33" s="108" t="n"/>
    </row>
    <row r="34" ht="15" customHeight="1" s="78">
      <c r="A34" s="96" t="inlineStr">
        <is>
          <t>154</t>
        </is>
      </c>
      <c r="B34" s="97" t="inlineStr">
        <is>
          <t>Chi phí sản xuất, kinh doanh dở dang</t>
        </is>
      </c>
      <c r="C34" s="107" t="n"/>
      <c r="D34" s="107" t="n"/>
      <c r="E34" s="108" t="n"/>
    </row>
    <row r="35" ht="15" customHeight="1" s="78">
      <c r="A35" s="96" t="inlineStr">
        <is>
          <t>155</t>
        </is>
      </c>
      <c r="B35" s="97" t="inlineStr">
        <is>
          <t>Sản phẩm</t>
        </is>
      </c>
      <c r="C35" s="107" t="n"/>
      <c r="D35" s="107" t="n"/>
      <c r="E35" s="108" t="n"/>
    </row>
    <row r="36" ht="15" customHeight="1" s="78">
      <c r="A36" s="96" t="inlineStr">
        <is>
          <t>156</t>
        </is>
      </c>
      <c r="B36" s="97" t="inlineStr">
        <is>
          <t>Hàng hóa</t>
        </is>
      </c>
      <c r="C36" s="107" t="n">
        <v>350000000</v>
      </c>
      <c r="D36" s="107" t="n"/>
      <c r="E36" s="108" t="n"/>
    </row>
    <row r="37" ht="15" customHeight="1" s="78">
      <c r="A37" s="96" t="inlineStr">
        <is>
          <t>157</t>
        </is>
      </c>
      <c r="B37" s="97" t="inlineStr">
        <is>
          <t>Hàng gửi đi bán</t>
        </is>
      </c>
      <c r="C37" s="107" t="n"/>
      <c r="D37" s="107" t="n"/>
      <c r="E37" s="108" t="n"/>
    </row>
    <row r="38" ht="15" customHeight="1" s="78">
      <c r="A38" s="96" t="inlineStr">
        <is>
          <t>158</t>
        </is>
      </c>
      <c r="B38" s="97" t="inlineStr">
        <is>
          <t>Nguyên liệu, vật tư tại kho bảo thuế</t>
        </is>
      </c>
      <c r="C38" s="107" t="n"/>
      <c r="D38" s="107" t="n"/>
      <c r="E38" s="108" t="n"/>
    </row>
    <row r="39" ht="15" customHeight="1" s="78">
      <c r="A39" s="96" t="inlineStr">
        <is>
          <t>171</t>
        </is>
      </c>
      <c r="B39" s="97" t="inlineStr">
        <is>
          <t>Giao dịch mua, bán lại trái phiếu chính phủ</t>
        </is>
      </c>
      <c r="C39" s="107" t="n"/>
      <c r="D39" s="107" t="n"/>
      <c r="E39" s="108" t="n"/>
    </row>
    <row r="40" ht="15" customHeight="1" s="78">
      <c r="A40" s="96" t="inlineStr">
        <is>
          <t>211</t>
        </is>
      </c>
      <c r="B40" s="97" t="inlineStr">
        <is>
          <t>Tài sản cố định hữu hình</t>
        </is>
      </c>
      <c r="C40" s="107" t="n">
        <v>480000000</v>
      </c>
      <c r="D40" s="107" t="n"/>
      <c r="E40" s="108" t="n"/>
    </row>
    <row r="41" ht="15" customHeight="1" s="78">
      <c r="A41" s="96" t="inlineStr">
        <is>
          <t>212</t>
        </is>
      </c>
      <c r="B41" s="97" t="inlineStr">
        <is>
          <t>Tài sản cố định thuê tài chính</t>
        </is>
      </c>
      <c r="C41" s="107" t="n"/>
      <c r="D41" s="107" t="n"/>
      <c r="E41" s="108" t="n"/>
    </row>
    <row r="42" ht="15" customHeight="1" s="78">
      <c r="A42" s="96" t="inlineStr">
        <is>
          <t>213</t>
        </is>
      </c>
      <c r="B42" s="97" t="inlineStr">
        <is>
          <t>Tài sản cố định vô hình</t>
        </is>
      </c>
      <c r="C42" s="107" t="n"/>
      <c r="D42" s="107" t="n"/>
      <c r="E42" s="108" t="n"/>
    </row>
    <row r="43" ht="15" customHeight="1" s="78">
      <c r="A43" s="96" t="inlineStr">
        <is>
          <t>214</t>
        </is>
      </c>
      <c r="B43" s="97" t="inlineStr">
        <is>
          <t>Hao mòn tài sản cố định</t>
        </is>
      </c>
      <c r="C43" s="107" t="n"/>
      <c r="D43" s="107" t="n"/>
      <c r="E43" s="108" t="n"/>
    </row>
    <row r="44" ht="15" customHeight="1" s="78">
      <c r="A44" s="96" t="inlineStr">
        <is>
          <t>2141</t>
        </is>
      </c>
      <c r="B44" s="97" t="inlineStr">
        <is>
          <t>Hao mòn TSCĐ hữu hình</t>
        </is>
      </c>
      <c r="C44" s="107" t="n"/>
      <c r="D44" s="107" t="n">
        <v>120000000</v>
      </c>
      <c r="E44" s="108" t="n"/>
    </row>
    <row r="45" ht="15" customHeight="1" s="78">
      <c r="A45" s="96" t="inlineStr">
        <is>
          <t>2142</t>
        </is>
      </c>
      <c r="B45" s="97" t="inlineStr">
        <is>
          <t>Hao mòn TSCĐ thuê tài chính</t>
        </is>
      </c>
      <c r="C45" s="107" t="n"/>
      <c r="D45" s="107" t="n"/>
      <c r="E45" s="108" t="n"/>
    </row>
    <row r="46" ht="15" customHeight="1" s="78">
      <c r="A46" s="96" t="inlineStr">
        <is>
          <t>2143</t>
        </is>
      </c>
      <c r="B46" s="97" t="inlineStr">
        <is>
          <t>Hao mòn TSCĐ vô hình</t>
        </is>
      </c>
      <c r="C46" s="107" t="n"/>
      <c r="D46" s="107" t="n"/>
      <c r="E46" s="108" t="n"/>
    </row>
    <row r="47" ht="15" customHeight="1" s="78">
      <c r="A47" s="96" t="inlineStr">
        <is>
          <t>2147</t>
        </is>
      </c>
      <c r="B47" s="97" t="inlineStr">
        <is>
          <t>Hao mòn bất động sản đầu tư</t>
        </is>
      </c>
      <c r="C47" s="107" t="n"/>
      <c r="D47" s="107" t="n"/>
      <c r="E47" s="108" t="n"/>
    </row>
    <row r="48" ht="15" customHeight="1" s="78">
      <c r="A48" s="96" t="inlineStr">
        <is>
          <t>215</t>
        </is>
      </c>
      <c r="B48" s="97" t="inlineStr">
        <is>
          <t>Tài sản sinh học</t>
        </is>
      </c>
      <c r="C48" s="107" t="n"/>
      <c r="D48" s="107" t="n"/>
      <c r="E48" s="108" t="n"/>
    </row>
    <row r="49" ht="15" customHeight="1" s="78">
      <c r="A49" s="96" t="inlineStr">
        <is>
          <t>2151</t>
        </is>
      </c>
      <c r="B49" s="97" t="inlineStr">
        <is>
          <t>Súc vật nuôi cho sản phẩm định kỳ</t>
        </is>
      </c>
      <c r="C49" s="107" t="n"/>
      <c r="D49" s="107" t="n"/>
      <c r="E49" s="108" t="n"/>
    </row>
    <row r="50" ht="15" customHeight="1" s="78">
      <c r="A50" s="96" t="inlineStr">
        <is>
          <t>21511</t>
        </is>
      </c>
      <c r="B50" s="97" t="inlineStr">
        <is>
          <t>Súc vật chưa trưởng thành</t>
        </is>
      </c>
      <c r="C50" s="107" t="n"/>
      <c r="D50" s="107" t="n"/>
      <c r="E50" s="108" t="n"/>
    </row>
    <row r="51" ht="15" customHeight="1" s="78">
      <c r="A51" s="96" t="inlineStr">
        <is>
          <t>21512</t>
        </is>
      </c>
      <c r="B51" s="97" t="inlineStr">
        <is>
          <t>Súc vật đã trưởng thành</t>
        </is>
      </c>
      <c r="C51" s="107" t="n"/>
      <c r="D51" s="107" t="n"/>
      <c r="E51" s="108" t="n"/>
    </row>
    <row r="52" ht="15" customHeight="1" s="78">
      <c r="A52" s="96" t="inlineStr">
        <is>
          <t>215121</t>
        </is>
      </c>
      <c r="B52" s="97" t="inlineStr">
        <is>
          <t>Nguyên giá</t>
        </is>
      </c>
      <c r="C52" s="107" t="n"/>
      <c r="D52" s="107" t="n"/>
      <c r="E52" s="108" t="n"/>
    </row>
    <row r="53" ht="15" customHeight="1" s="78">
      <c r="A53" s="96" t="inlineStr">
        <is>
          <t>215122</t>
        </is>
      </c>
      <c r="B53" s="97" t="inlineStr">
        <is>
          <t>Giá trị khấu hao lũy kế</t>
        </is>
      </c>
      <c r="C53" s="107" t="n"/>
      <c r="D53" s="107" t="n"/>
      <c r="E53" s="108" t="n"/>
    </row>
    <row r="54" ht="15" customHeight="1" s="78">
      <c r="A54" s="96" t="inlineStr">
        <is>
          <t>2152</t>
        </is>
      </c>
      <c r="B54" s="97" t="inlineStr">
        <is>
          <t>Súc vật nuôi lấy sản phẩm một lần</t>
        </is>
      </c>
      <c r="C54" s="107" t="n"/>
      <c r="D54" s="107" t="n"/>
      <c r="E54" s="108" t="n"/>
    </row>
    <row r="55" ht="15" customHeight="1" s="78">
      <c r="A55" s="96" t="inlineStr">
        <is>
          <t>2153</t>
        </is>
      </c>
      <c r="B55" s="97" t="inlineStr">
        <is>
          <t>Cây trồng theo mùa vụ hoặc lấy sản phẩm một lần</t>
        </is>
      </c>
      <c r="C55" s="107" t="n"/>
      <c r="D55" s="107" t="n"/>
      <c r="E55" s="108" t="n"/>
    </row>
    <row r="56" ht="15" customHeight="1" s="78">
      <c r="A56" s="96" t="inlineStr">
        <is>
          <t>217</t>
        </is>
      </c>
      <c r="B56" s="97" t="inlineStr">
        <is>
          <t>Bất động sản đầu tư</t>
        </is>
      </c>
      <c r="C56" s="107" t="n"/>
      <c r="D56" s="107" t="n"/>
      <c r="E56" s="108" t="n"/>
    </row>
    <row r="57" ht="15" customHeight="1" s="78">
      <c r="A57" s="96" t="inlineStr">
        <is>
          <t>221</t>
        </is>
      </c>
      <c r="B57" s="97" t="inlineStr">
        <is>
          <t>Đầu tư vào công ty con</t>
        </is>
      </c>
      <c r="C57" s="107" t="n"/>
      <c r="D57" s="107" t="n"/>
      <c r="E57" s="108" t="n"/>
    </row>
    <row r="58" ht="15" customHeight="1" s="78">
      <c r="A58" s="96" t="inlineStr">
        <is>
          <t>222</t>
        </is>
      </c>
      <c r="B58" s="97" t="inlineStr">
        <is>
          <t>Đầu tư vào công ty liên doanh, liên kết</t>
        </is>
      </c>
      <c r="C58" s="107" t="n"/>
      <c r="D58" s="107" t="n"/>
      <c r="E58" s="108" t="n"/>
    </row>
    <row r="59" ht="15" customHeight="1" s="78">
      <c r="A59" s="96" t="inlineStr">
        <is>
          <t>228</t>
        </is>
      </c>
      <c r="B59" s="97" t="inlineStr">
        <is>
          <t>Đầu tư khác</t>
        </is>
      </c>
      <c r="C59" s="107" t="n"/>
      <c r="D59" s="107" t="n"/>
      <c r="E59" s="108" t="n"/>
    </row>
    <row r="60" ht="15" customHeight="1" s="78">
      <c r="A60" s="96" t="inlineStr">
        <is>
          <t>2281</t>
        </is>
      </c>
      <c r="B60" s="97" t="inlineStr">
        <is>
          <t>Đầu tư góp vốn vào đơn vị khác</t>
        </is>
      </c>
      <c r="C60" s="107" t="n"/>
      <c r="D60" s="107" t="n"/>
      <c r="E60" s="108" t="n"/>
    </row>
    <row r="61" ht="15" customHeight="1" s="78">
      <c r="A61" s="96" t="inlineStr">
        <is>
          <t>2288</t>
        </is>
      </c>
      <c r="B61" s="97" t="inlineStr">
        <is>
          <t>Đầu tư khác</t>
        </is>
      </c>
      <c r="C61" s="107" t="n"/>
      <c r="D61" s="107" t="n"/>
      <c r="E61" s="108" t="n"/>
    </row>
    <row r="62" ht="15" customHeight="1" s="78">
      <c r="A62" s="96" t="inlineStr">
        <is>
          <t>229</t>
        </is>
      </c>
      <c r="B62" s="97" t="inlineStr">
        <is>
          <t>Dự phòng tổn thất tài sản</t>
        </is>
      </c>
      <c r="C62" s="107" t="n"/>
      <c r="D62" s="107" t="n"/>
      <c r="E62" s="108" t="n"/>
    </row>
    <row r="63" ht="15" customHeight="1" s="78">
      <c r="A63" s="96" t="inlineStr">
        <is>
          <t>2291</t>
        </is>
      </c>
      <c r="B63" s="97" t="inlineStr">
        <is>
          <t>Dự phòng giảm giá chứng khoán kinh doanh</t>
        </is>
      </c>
      <c r="C63" s="107" t="n"/>
      <c r="D63" s="107" t="n"/>
      <c r="E63" s="108" t="n"/>
    </row>
    <row r="64" ht="15" customHeight="1" s="78">
      <c r="A64" s="96" t="inlineStr">
        <is>
          <t>2292</t>
        </is>
      </c>
      <c r="B64" s="97" t="inlineStr">
        <is>
          <t>Dự phòng tổn thất đầu tư vào đơn vị khác</t>
        </is>
      </c>
      <c r="C64" s="107" t="n"/>
      <c r="D64" s="107" t="n"/>
      <c r="E64" s="108" t="n"/>
    </row>
    <row r="65" ht="15" customHeight="1" s="78">
      <c r="A65" s="96" t="inlineStr">
        <is>
          <t>2293</t>
        </is>
      </c>
      <c r="B65" s="97" t="inlineStr">
        <is>
          <t>Dự phòng phải thu khó đòi</t>
        </is>
      </c>
      <c r="C65" s="107" t="n"/>
      <c r="D65" s="107" t="n"/>
      <c r="E65" s="108" t="n"/>
    </row>
    <row r="66" ht="15" customHeight="1" s="78">
      <c r="A66" s="96" t="inlineStr">
        <is>
          <t>2294</t>
        </is>
      </c>
      <c r="B66" s="97" t="inlineStr">
        <is>
          <t>Dự phòng giảm giá hàng tồn kho</t>
        </is>
      </c>
      <c r="C66" s="107" t="n"/>
      <c r="D66" s="107" t="n"/>
      <c r="E66" s="108" t="n"/>
    </row>
    <row r="67" ht="15" customHeight="1" s="78">
      <c r="A67" s="96" t="inlineStr">
        <is>
          <t>2295</t>
        </is>
      </c>
      <c r="B67" s="97" t="inlineStr">
        <is>
          <t>Dự phòng tổn thất tài sản sinh học</t>
        </is>
      </c>
      <c r="C67" s="107" t="n"/>
      <c r="D67" s="107" t="n"/>
      <c r="E67" s="108" t="n"/>
    </row>
    <row r="68" ht="15" customHeight="1" s="78">
      <c r="A68" s="96" t="inlineStr">
        <is>
          <t>241</t>
        </is>
      </c>
      <c r="B68" s="97" t="inlineStr">
        <is>
          <t>Xây dựng cơ bản dở dang</t>
        </is>
      </c>
      <c r="C68" s="107" t="n"/>
      <c r="D68" s="107" t="n"/>
      <c r="E68" s="108" t="n"/>
    </row>
    <row r="69" ht="15" customHeight="1" s="78">
      <c r="A69" s="96" t="inlineStr">
        <is>
          <t>2411</t>
        </is>
      </c>
      <c r="B69" s="97" t="inlineStr">
        <is>
          <t>Mua sắm TSCĐ</t>
        </is>
      </c>
      <c r="C69" s="107" t="n"/>
      <c r="D69" s="107" t="n"/>
      <c r="E69" s="108" t="n"/>
    </row>
    <row r="70" ht="15" customHeight="1" s="78">
      <c r="A70" s="96" t="inlineStr">
        <is>
          <t>2412</t>
        </is>
      </c>
      <c r="B70" s="97" t="inlineStr">
        <is>
          <t>Xây dựng cơ bản</t>
        </is>
      </c>
      <c r="C70" s="107" t="n"/>
      <c r="D70" s="107" t="n"/>
      <c r="E70" s="108" t="n"/>
    </row>
    <row r="71" ht="15" customHeight="1" s="78">
      <c r="A71" s="96" t="inlineStr">
        <is>
          <t>2413</t>
        </is>
      </c>
      <c r="B71" s="97" t="inlineStr">
        <is>
          <t>Sửa chữa, bảo dưỡng định kỳ TSCĐ</t>
        </is>
      </c>
      <c r="C71" s="107" t="n"/>
      <c r="D71" s="107" t="n"/>
      <c r="E71" s="108" t="n"/>
    </row>
    <row r="72" ht="15" customHeight="1" s="78">
      <c r="A72" s="96" t="inlineStr">
        <is>
          <t>2414</t>
        </is>
      </c>
      <c r="B72" s="97" t="inlineStr">
        <is>
          <t>Nâng cấp, cải tạo TSCĐ</t>
        </is>
      </c>
      <c r="C72" s="107" t="n"/>
      <c r="D72" s="107" t="n"/>
      <c r="E72" s="108" t="n"/>
    </row>
    <row r="73" ht="15" customHeight="1" s="78">
      <c r="A73" s="96" t="inlineStr">
        <is>
          <t>242</t>
        </is>
      </c>
      <c r="B73" s="97" t="inlineStr">
        <is>
          <t>Chi phí chờ phân bổ</t>
        </is>
      </c>
      <c r="C73" s="107" t="n">
        <v>36000000</v>
      </c>
      <c r="D73" s="107" t="n"/>
      <c r="E73" s="108" t="n"/>
    </row>
    <row r="74" ht="15" customHeight="1" s="78">
      <c r="A74" s="96" t="inlineStr">
        <is>
          <t>243</t>
        </is>
      </c>
      <c r="B74" s="97" t="inlineStr">
        <is>
          <t>Tài sản thuế thu nhập hoãn lại</t>
        </is>
      </c>
      <c r="C74" s="107" t="n"/>
      <c r="D74" s="107" t="n"/>
      <c r="E74" s="108" t="n"/>
    </row>
    <row r="75" ht="15" customHeight="1" s="78">
      <c r="A75" s="96" t="inlineStr">
        <is>
          <t>244</t>
        </is>
      </c>
      <c r="B75" s="97" t="inlineStr">
        <is>
          <t>Ký quỹ, ký cược</t>
        </is>
      </c>
      <c r="C75" s="107" t="n"/>
      <c r="D75" s="107" t="n"/>
      <c r="E75" s="108" t="n"/>
    </row>
    <row r="76" ht="15" customHeight="1" s="78">
      <c r="A76" s="96" t="inlineStr">
        <is>
          <t>331</t>
        </is>
      </c>
      <c r="B76" s="97" t="inlineStr">
        <is>
          <t>Phải trả cho người bán</t>
        </is>
      </c>
      <c r="C76" s="109">
        <f>SUMIFS($D$256:$D$375,$A$256:$A$375,$A76)</f>
        <v/>
      </c>
      <c r="D76" s="109">
        <f>SUMIFS($E$256:$E$375,$A$256:$A$375,$A76)</f>
        <v/>
      </c>
      <c r="E76" s="98" t="inlineStr">
        <is>
          <t>Tự cộng từ bảng công nợ bên dưới</t>
        </is>
      </c>
    </row>
    <row r="77" ht="15" customHeight="1" s="78">
      <c r="A77" s="96" t="inlineStr">
        <is>
          <t>332</t>
        </is>
      </c>
      <c r="B77" s="97" t="inlineStr">
        <is>
          <t>Phải trả cổ tức, lợi nhuận</t>
        </is>
      </c>
      <c r="C77" s="107" t="n"/>
      <c r="D77" s="107" t="n"/>
      <c r="E77" s="108" t="n"/>
    </row>
    <row r="78" ht="15" customHeight="1" s="78">
      <c r="A78" s="96" t="inlineStr">
        <is>
          <t>333</t>
        </is>
      </c>
      <c r="B78" s="97" t="inlineStr">
        <is>
          <t>Thuế và các khoản phải nộp Nhà nước</t>
        </is>
      </c>
      <c r="C78" s="107" t="n"/>
      <c r="D78" s="107" t="n"/>
      <c r="E78" s="108" t="n"/>
    </row>
    <row r="79" ht="15" customHeight="1" s="78">
      <c r="A79" s="96" t="inlineStr">
        <is>
          <t>3331</t>
        </is>
      </c>
      <c r="B79" s="97" t="inlineStr">
        <is>
          <t>Thuế giá trị gia tăng phải nộp</t>
        </is>
      </c>
      <c r="C79" s="107" t="n"/>
      <c r="D79" s="107" t="n"/>
      <c r="E79" s="108" t="n"/>
    </row>
    <row r="80" ht="15" customHeight="1" s="78">
      <c r="A80" s="96" t="inlineStr">
        <is>
          <t>33311</t>
        </is>
      </c>
      <c r="B80" s="97" t="inlineStr">
        <is>
          <t>Thuế GTGT đầu ra</t>
        </is>
      </c>
      <c r="C80" s="107" t="n"/>
      <c r="D80" s="107" t="n"/>
      <c r="E80" s="108" t="n"/>
    </row>
    <row r="81" ht="15" customHeight="1" s="78">
      <c r="A81" s="96" t="inlineStr">
        <is>
          <t>33312</t>
        </is>
      </c>
      <c r="B81" s="97" t="inlineStr">
        <is>
          <t>Thuế GTGT hàng nhập khẩu</t>
        </is>
      </c>
      <c r="C81" s="107" t="n"/>
      <c r="D81" s="107" t="n"/>
      <c r="E81" s="108" t="n"/>
    </row>
    <row r="82" ht="15" customHeight="1" s="78">
      <c r="A82" s="96" t="inlineStr">
        <is>
          <t>3332</t>
        </is>
      </c>
      <c r="B82" s="97" t="inlineStr">
        <is>
          <t>Thuế tiêu thụ đặc biệt</t>
        </is>
      </c>
      <c r="C82" s="107" t="n"/>
      <c r="D82" s="107" t="n"/>
      <c r="E82" s="108" t="n"/>
    </row>
    <row r="83" ht="15" customHeight="1" s="78">
      <c r="A83" s="96" t="inlineStr">
        <is>
          <t>3333</t>
        </is>
      </c>
      <c r="B83" s="97" t="inlineStr">
        <is>
          <t>Thuế xuất, nhập khẩu</t>
        </is>
      </c>
      <c r="C83" s="107" t="n"/>
      <c r="D83" s="107" t="n"/>
      <c r="E83" s="108" t="n"/>
    </row>
    <row r="84" ht="15" customHeight="1" s="78">
      <c r="A84" s="96" t="inlineStr">
        <is>
          <t>3334</t>
        </is>
      </c>
      <c r="B84" s="97" t="inlineStr">
        <is>
          <t>Thuế thu nhập doanh nghiệp</t>
        </is>
      </c>
      <c r="C84" s="107" t="n"/>
      <c r="D84" s="107" t="n">
        <v>12000000</v>
      </c>
      <c r="E84" s="108" t="n"/>
    </row>
    <row r="85" ht="15" customHeight="1" s="78">
      <c r="A85" s="96" t="inlineStr">
        <is>
          <t>3335</t>
        </is>
      </c>
      <c r="B85" s="97" t="inlineStr">
        <is>
          <t>Thuế thu nhập cá nhân</t>
        </is>
      </c>
      <c r="C85" s="107" t="n"/>
      <c r="D85" s="107" t="n"/>
      <c r="E85" s="108" t="n"/>
    </row>
    <row r="86" ht="15" customHeight="1" s="78">
      <c r="A86" s="96" t="inlineStr">
        <is>
          <t>3336</t>
        </is>
      </c>
      <c r="B86" s="97" t="inlineStr">
        <is>
          <t>Thuế tài nguyên</t>
        </is>
      </c>
      <c r="C86" s="107" t="n"/>
      <c r="D86" s="107" t="n"/>
      <c r="E86" s="108" t="n"/>
    </row>
    <row r="87" ht="15" customHeight="1" s="78">
      <c r="A87" s="96" t="inlineStr">
        <is>
          <t>3337</t>
        </is>
      </c>
      <c r="B87" s="97" t="inlineStr">
        <is>
          <t>Thuế nhà đất, tiền thuê đất</t>
        </is>
      </c>
      <c r="C87" s="107" t="n"/>
      <c r="D87" s="107" t="n"/>
      <c r="E87" s="108" t="n"/>
    </row>
    <row r="88" ht="15" customHeight="1" s="78">
      <c r="A88" s="96" t="inlineStr">
        <is>
          <t>3338</t>
        </is>
      </c>
      <c r="B88" s="97" t="inlineStr">
        <is>
          <t>Thuế bảo vệ môi trường và các loại thuế khác</t>
        </is>
      </c>
      <c r="C88" s="107" t="n"/>
      <c r="D88" s="107" t="n"/>
      <c r="E88" s="108" t="n"/>
    </row>
    <row r="89" ht="15" customHeight="1" s="78">
      <c r="A89" s="96" t="inlineStr">
        <is>
          <t>33381</t>
        </is>
      </c>
      <c r="B89" s="97" t="inlineStr">
        <is>
          <t>Thuế bảo vệ môi trường</t>
        </is>
      </c>
      <c r="C89" s="107" t="n"/>
      <c r="D89" s="107" t="n"/>
      <c r="E89" s="108" t="n"/>
    </row>
    <row r="90" ht="15" customHeight="1" s="78">
      <c r="A90" s="96" t="inlineStr">
        <is>
          <t>33382</t>
        </is>
      </c>
      <c r="B90" s="97" t="inlineStr">
        <is>
          <t>Các loại thuế khác</t>
        </is>
      </c>
      <c r="C90" s="107" t="n"/>
      <c r="D90" s="107" t="n"/>
      <c r="E90" s="108" t="n"/>
    </row>
    <row r="91" ht="15" customHeight="1" s="78">
      <c r="A91" s="96" t="inlineStr">
        <is>
          <t>3339</t>
        </is>
      </c>
      <c r="B91" s="97" t="inlineStr">
        <is>
          <t>Phí, lệ phí và các khoản phải nộp khác</t>
        </is>
      </c>
      <c r="C91" s="107" t="n"/>
      <c r="D91" s="107" t="n"/>
      <c r="E91" s="108" t="n"/>
    </row>
    <row r="92" ht="15" customHeight="1" s="78">
      <c r="A92" s="96" t="inlineStr">
        <is>
          <t>334</t>
        </is>
      </c>
      <c r="B92" s="97" t="inlineStr">
        <is>
          <t>Phải trả người lao động</t>
        </is>
      </c>
      <c r="C92" s="107" t="n"/>
      <c r="D92" s="107" t="n">
        <v>45000000</v>
      </c>
      <c r="E92" s="108" t="n"/>
    </row>
    <row r="93" ht="15" customHeight="1" s="78">
      <c r="A93" s="96" t="inlineStr">
        <is>
          <t>335</t>
        </is>
      </c>
      <c r="B93" s="97" t="inlineStr">
        <is>
          <t>Chi phí phải trả</t>
        </is>
      </c>
      <c r="C93" s="107" t="n"/>
      <c r="D93" s="107" t="n"/>
      <c r="E93" s="108" t="n"/>
    </row>
    <row r="94" ht="15" customHeight="1" s="78">
      <c r="A94" s="96" t="inlineStr">
        <is>
          <t>336</t>
        </is>
      </c>
      <c r="B94" s="97" t="inlineStr">
        <is>
          <t>Phải trả nội bộ</t>
        </is>
      </c>
      <c r="C94" s="107" t="n"/>
      <c r="D94" s="107" t="n"/>
      <c r="E94" s="108" t="n"/>
    </row>
    <row r="95" ht="15" customHeight="1" s="78">
      <c r="A95" s="96" t="inlineStr">
        <is>
          <t>3361</t>
        </is>
      </c>
      <c r="B95" s="97" t="inlineStr">
        <is>
          <t>Phải trả nội bộ về vốn kinh doanh</t>
        </is>
      </c>
      <c r="C95" s="107" t="n"/>
      <c r="D95" s="107" t="n"/>
      <c r="E95" s="108" t="n"/>
    </row>
    <row r="96" ht="15" customHeight="1" s="78">
      <c r="A96" s="96" t="inlineStr">
        <is>
          <t>3362</t>
        </is>
      </c>
      <c r="B96" s="97" t="inlineStr">
        <is>
          <t>Phải trả nội bộ về chênh lệch tỷ giá</t>
        </is>
      </c>
      <c r="C96" s="107" t="n"/>
      <c r="D96" s="107" t="n"/>
      <c r="E96" s="108" t="n"/>
    </row>
    <row r="97" ht="15" customHeight="1" s="78">
      <c r="A97" s="96" t="inlineStr">
        <is>
          <t>3363</t>
        </is>
      </c>
      <c r="B97" s="97" t="inlineStr">
        <is>
          <t>Phải trả nội bộ về chi phí đi vay đủ điều kiện được vốn hóa</t>
        </is>
      </c>
      <c r="C97" s="107" t="n"/>
      <c r="D97" s="107" t="n"/>
      <c r="E97" s="108" t="n"/>
    </row>
    <row r="98" ht="15" customHeight="1" s="78">
      <c r="A98" s="96" t="inlineStr">
        <is>
          <t>3368</t>
        </is>
      </c>
      <c r="B98" s="97" t="inlineStr">
        <is>
          <t>Phải trả nội bộ khác</t>
        </is>
      </c>
      <c r="C98" s="107" t="n"/>
      <c r="D98" s="107" t="n"/>
      <c r="E98" s="108" t="n"/>
    </row>
    <row r="99" ht="15" customHeight="1" s="78">
      <c r="A99" s="96" t="inlineStr">
        <is>
          <t>337</t>
        </is>
      </c>
      <c r="B99" s="97" t="inlineStr">
        <is>
          <t>Thanh toán theo tiến độ hợp đồng xây dựng</t>
        </is>
      </c>
      <c r="C99" s="107" t="n"/>
      <c r="D99" s="107" t="n"/>
      <c r="E99" s="108" t="n"/>
    </row>
    <row r="100" ht="15" customHeight="1" s="78">
      <c r="A100" s="96" t="inlineStr">
        <is>
          <t>338</t>
        </is>
      </c>
      <c r="B100" s="97" t="inlineStr">
        <is>
          <t>Phải trả, phải nộp khác</t>
        </is>
      </c>
      <c r="C100" s="107" t="n"/>
      <c r="D100" s="107" t="n"/>
      <c r="E100" s="108" t="n"/>
    </row>
    <row r="101" ht="15" customHeight="1" s="78">
      <c r="A101" s="96" t="inlineStr">
        <is>
          <t>3381</t>
        </is>
      </c>
      <c r="B101" s="97" t="inlineStr">
        <is>
          <t>Tài sản thừa chờ giải quyết</t>
        </is>
      </c>
      <c r="C101" s="107" t="n"/>
      <c r="D101" s="107" t="n"/>
      <c r="E101" s="108" t="n"/>
    </row>
    <row r="102" ht="15" customHeight="1" s="78">
      <c r="A102" s="96" t="inlineStr">
        <is>
          <t>3382</t>
        </is>
      </c>
      <c r="B102" s="97" t="inlineStr">
        <is>
          <t>Kinh phí công đoàn</t>
        </is>
      </c>
      <c r="C102" s="107" t="n"/>
      <c r="D102" s="107" t="n"/>
      <c r="E102" s="108" t="n"/>
    </row>
    <row r="103" ht="15" customHeight="1" s="78">
      <c r="A103" s="96" t="inlineStr">
        <is>
          <t>3383</t>
        </is>
      </c>
      <c r="B103" s="97" t="inlineStr">
        <is>
          <t>Bảo hiểm xã hội</t>
        </is>
      </c>
      <c r="C103" s="107" t="n"/>
      <c r="D103" s="107" t="n"/>
      <c r="E103" s="108" t="n"/>
    </row>
    <row r="104" ht="15" customHeight="1" s="78">
      <c r="A104" s="96" t="inlineStr">
        <is>
          <t>3384</t>
        </is>
      </c>
      <c r="B104" s="97" t="inlineStr">
        <is>
          <t>Bảo hiểm y tế</t>
        </is>
      </c>
      <c r="C104" s="107" t="n"/>
      <c r="D104" s="107" t="n"/>
      <c r="E104" s="108" t="n"/>
    </row>
    <row r="105" ht="15" customHeight="1" s="78">
      <c r="A105" s="96" t="inlineStr">
        <is>
          <t>3386</t>
        </is>
      </c>
      <c r="B105" s="97" t="inlineStr">
        <is>
          <t>Bảo hiểm thất nghiệp</t>
        </is>
      </c>
      <c r="C105" s="107" t="n"/>
      <c r="D105" s="107" t="n"/>
      <c r="E105" s="108" t="n"/>
    </row>
    <row r="106" ht="15" customHeight="1" s="78">
      <c r="A106" s="96" t="inlineStr">
        <is>
          <t>3387</t>
        </is>
      </c>
      <c r="B106" s="97" t="inlineStr">
        <is>
          <t>Doanh thu chờ phân bổ</t>
        </is>
      </c>
      <c r="C106" s="107" t="n"/>
      <c r="D106" s="107" t="n"/>
      <c r="E106" s="108" t="n"/>
    </row>
    <row r="107" ht="15" customHeight="1" s="78">
      <c r="A107" s="96" t="inlineStr">
        <is>
          <t>3388</t>
        </is>
      </c>
      <c r="B107" s="97" t="inlineStr">
        <is>
          <t>Phải trả, phải nộp khác</t>
        </is>
      </c>
      <c r="C107" s="107" t="n"/>
      <c r="D107" s="107" t="n"/>
      <c r="E107" s="108" t="n"/>
    </row>
    <row r="108" ht="15" customHeight="1" s="78">
      <c r="A108" s="96" t="inlineStr">
        <is>
          <t>341</t>
        </is>
      </c>
      <c r="B108" s="97" t="inlineStr">
        <is>
          <t>Vay và nợ thuê tài chính</t>
        </is>
      </c>
      <c r="C108" s="107" t="n"/>
      <c r="D108" s="107" t="n"/>
      <c r="E108" s="108" t="n"/>
    </row>
    <row r="109" ht="15" customHeight="1" s="78">
      <c r="A109" s="96" t="inlineStr">
        <is>
          <t>3411</t>
        </is>
      </c>
      <c r="B109" s="97" t="inlineStr">
        <is>
          <t>Các khoản đi vay</t>
        </is>
      </c>
      <c r="C109" s="107" t="n"/>
      <c r="D109" s="107" t="n">
        <v>250000000</v>
      </c>
      <c r="E109" s="108" t="n"/>
    </row>
    <row r="110" ht="15" customHeight="1" s="78">
      <c r="A110" s="96" t="inlineStr">
        <is>
          <t>3412</t>
        </is>
      </c>
      <c r="B110" s="97" t="inlineStr">
        <is>
          <t>Nợ thuê tài chính</t>
        </is>
      </c>
      <c r="C110" s="107" t="n"/>
      <c r="D110" s="107" t="n"/>
      <c r="E110" s="108" t="n"/>
    </row>
    <row r="111" ht="15" customHeight="1" s="78">
      <c r="A111" s="96" t="inlineStr">
        <is>
          <t>343</t>
        </is>
      </c>
      <c r="B111" s="97" t="inlineStr">
        <is>
          <t>Trái phiếu phát hành</t>
        </is>
      </c>
      <c r="C111" s="107" t="n"/>
      <c r="D111" s="107" t="n"/>
      <c r="E111" s="108" t="n"/>
    </row>
    <row r="112" ht="15" customHeight="1" s="78">
      <c r="A112" s="96" t="inlineStr">
        <is>
          <t>3431</t>
        </is>
      </c>
      <c r="B112" s="97" t="inlineStr">
        <is>
          <t>Trái phiếu thường</t>
        </is>
      </c>
      <c r="C112" s="107" t="n"/>
      <c r="D112" s="107" t="n"/>
      <c r="E112" s="108" t="n"/>
    </row>
    <row r="113" ht="15" customHeight="1" s="78">
      <c r="A113" s="96" t="inlineStr">
        <is>
          <t>3432</t>
        </is>
      </c>
      <c r="B113" s="97" t="inlineStr">
        <is>
          <t>Trái phiếu chuyển đổi</t>
        </is>
      </c>
      <c r="C113" s="107" t="n"/>
      <c r="D113" s="107" t="n"/>
      <c r="E113" s="108" t="n"/>
    </row>
    <row r="114" ht="15" customHeight="1" s="78">
      <c r="A114" s="96" t="inlineStr">
        <is>
          <t>344</t>
        </is>
      </c>
      <c r="B114" s="97" t="inlineStr">
        <is>
          <t>Nhận ký quỹ, ký cược</t>
        </is>
      </c>
      <c r="C114" s="107" t="n"/>
      <c r="D114" s="107" t="n"/>
      <c r="E114" s="108" t="n"/>
    </row>
    <row r="115" ht="15" customHeight="1" s="78">
      <c r="A115" s="96" t="inlineStr">
        <is>
          <t>347</t>
        </is>
      </c>
      <c r="B115" s="97" t="inlineStr">
        <is>
          <t>Thuế thu nhập hoãn lại phải trả</t>
        </is>
      </c>
      <c r="C115" s="107" t="n"/>
      <c r="D115" s="107" t="n"/>
      <c r="E115" s="108" t="n"/>
    </row>
    <row r="116" ht="15" customHeight="1" s="78">
      <c r="A116" s="96" t="inlineStr">
        <is>
          <t>352</t>
        </is>
      </c>
      <c r="B116" s="97" t="inlineStr">
        <is>
          <t>Dự phòng phải trả</t>
        </is>
      </c>
      <c r="C116" s="107" t="n"/>
      <c r="D116" s="107" t="n"/>
      <c r="E116" s="108" t="n"/>
    </row>
    <row r="117" ht="15" customHeight="1" s="78">
      <c r="A117" s="96" t="inlineStr">
        <is>
          <t>3521</t>
        </is>
      </c>
      <c r="B117" s="97" t="inlineStr">
        <is>
          <t>Dự phòng bảo hành sản phẩm, hàng hóa</t>
        </is>
      </c>
      <c r="C117" s="107" t="n"/>
      <c r="D117" s="107" t="n"/>
      <c r="E117" s="108" t="n"/>
    </row>
    <row r="118" ht="15" customHeight="1" s="78">
      <c r="A118" s="96" t="inlineStr">
        <is>
          <t>3522</t>
        </is>
      </c>
      <c r="B118" s="97" t="inlineStr">
        <is>
          <t>Dự phòng bảo hành công trình xây dựng</t>
        </is>
      </c>
      <c r="C118" s="107" t="n"/>
      <c r="D118" s="107" t="n"/>
      <c r="E118" s="108" t="n"/>
    </row>
    <row r="119" ht="15" customHeight="1" s="78">
      <c r="A119" s="96" t="inlineStr">
        <is>
          <t>3523</t>
        </is>
      </c>
      <c r="B119" s="97" t="inlineStr">
        <is>
          <t>Dự phòng tái cơ cấu doanh nghiệp</t>
        </is>
      </c>
      <c r="C119" s="107" t="n"/>
      <c r="D119" s="107" t="n"/>
      <c r="E119" s="108" t="n"/>
    </row>
    <row r="120" ht="15" customHeight="1" s="78">
      <c r="A120" s="96" t="inlineStr">
        <is>
          <t>3525</t>
        </is>
      </c>
      <c r="B120" s="97" t="inlineStr">
        <is>
          <t>Dự phòng phải trả khác</t>
        </is>
      </c>
      <c r="C120" s="107" t="n"/>
      <c r="D120" s="107" t="n"/>
      <c r="E120" s="108" t="n"/>
    </row>
    <row r="121" ht="15" customHeight="1" s="78">
      <c r="A121" s="96" t="inlineStr">
        <is>
          <t>353</t>
        </is>
      </c>
      <c r="B121" s="97" t="inlineStr">
        <is>
          <t>Quỹ khen thưởng, phúc lợi</t>
        </is>
      </c>
      <c r="C121" s="107" t="n"/>
      <c r="D121" s="107" t="n"/>
      <c r="E121" s="108" t="n"/>
    </row>
    <row r="122" ht="15" customHeight="1" s="78">
      <c r="A122" s="96" t="inlineStr">
        <is>
          <t>3531</t>
        </is>
      </c>
      <c r="B122" s="97" t="inlineStr">
        <is>
          <t>Quỹ khen thưởng</t>
        </is>
      </c>
      <c r="C122" s="107" t="n"/>
      <c r="D122" s="107" t="n"/>
      <c r="E122" s="108" t="n"/>
    </row>
    <row r="123" ht="15" customHeight="1" s="78">
      <c r="A123" s="96" t="inlineStr">
        <is>
          <t>3532</t>
        </is>
      </c>
      <c r="B123" s="97" t="inlineStr">
        <is>
          <t>Quỹ phúc lợi</t>
        </is>
      </c>
      <c r="C123" s="107" t="n"/>
      <c r="D123" s="107" t="n"/>
      <c r="E123" s="108" t="n"/>
    </row>
    <row r="124" ht="15" customHeight="1" s="78">
      <c r="A124" s="96" t="inlineStr">
        <is>
          <t>3533</t>
        </is>
      </c>
      <c r="B124" s="97" t="inlineStr">
        <is>
          <t>Quỹ phúc lợi đã hình thành TSCĐ</t>
        </is>
      </c>
      <c r="C124" s="107" t="n"/>
      <c r="D124" s="107" t="n"/>
      <c r="E124" s="108" t="n"/>
    </row>
    <row r="125" ht="15" customHeight="1" s="78">
      <c r="A125" s="96" t="inlineStr">
        <is>
          <t>3534</t>
        </is>
      </c>
      <c r="B125" s="97" t="inlineStr">
        <is>
          <t>Quỹ thưởng ban quản lý điều hành công ty</t>
        </is>
      </c>
      <c r="C125" s="107" t="n"/>
      <c r="D125" s="107" t="n"/>
      <c r="E125" s="108" t="n"/>
    </row>
    <row r="126" ht="15" customHeight="1" s="78">
      <c r="A126" s="96" t="inlineStr">
        <is>
          <t>356</t>
        </is>
      </c>
      <c r="B126" s="97" t="inlineStr">
        <is>
          <t>Quỹ phát triển khoa học và công nghệ</t>
        </is>
      </c>
      <c r="C126" s="107" t="n"/>
      <c r="D126" s="107" t="n"/>
      <c r="E126" s="108" t="n"/>
    </row>
    <row r="127" ht="15" customHeight="1" s="78">
      <c r="A127" s="96" t="inlineStr">
        <is>
          <t>3561</t>
        </is>
      </c>
      <c r="B127" s="97" t="inlineStr">
        <is>
          <t>Quỹ phát triển khoa học và công nghệ</t>
        </is>
      </c>
      <c r="C127" s="107" t="n"/>
      <c r="D127" s="107" t="n"/>
      <c r="E127" s="108" t="n"/>
    </row>
    <row r="128" ht="15" customHeight="1" s="78">
      <c r="A128" s="96" t="inlineStr">
        <is>
          <t>3562</t>
        </is>
      </c>
      <c r="B128" s="97" t="inlineStr">
        <is>
          <t>Quỹ phát triển khoa học và công nghệ đã hình thành tài sản</t>
        </is>
      </c>
      <c r="C128" s="107" t="n"/>
      <c r="D128" s="107" t="n"/>
      <c r="E128" s="108" t="n"/>
    </row>
    <row r="129" ht="15" customHeight="1" s="78">
      <c r="A129" s="96" t="inlineStr">
        <is>
          <t>357</t>
        </is>
      </c>
      <c r="B129" s="97" t="inlineStr">
        <is>
          <t>Quỹ bình ổn giá</t>
        </is>
      </c>
      <c r="C129" s="107" t="n"/>
      <c r="D129" s="107" t="n"/>
      <c r="E129" s="108" t="n"/>
    </row>
    <row r="130" ht="15" customHeight="1" s="78">
      <c r="A130" s="96" t="inlineStr">
        <is>
          <t>411</t>
        </is>
      </c>
      <c r="B130" s="97" t="inlineStr">
        <is>
          <t>Vốn đầu tư của chủ sở hữu</t>
        </is>
      </c>
      <c r="C130" s="107" t="n"/>
      <c r="D130" s="107" t="n"/>
      <c r="E130" s="108" t="n"/>
    </row>
    <row r="131" ht="15" customHeight="1" s="78">
      <c r="A131" s="96" t="inlineStr">
        <is>
          <t>4111</t>
        </is>
      </c>
      <c r="B131" s="97" t="inlineStr">
        <is>
          <t>Vốn góp của chủ sở hữu</t>
        </is>
      </c>
      <c r="C131" s="107" t="n"/>
      <c r="D131" s="107" t="n">
        <v>1000000000</v>
      </c>
      <c r="E131" s="108" t="n"/>
    </row>
    <row r="132" ht="15" customHeight="1" s="78">
      <c r="A132" s="96" t="inlineStr">
        <is>
          <t>41111</t>
        </is>
      </c>
      <c r="B132" s="97" t="inlineStr">
        <is>
          <t>Cổ phiếu phổ thông có quyền biểu quyết</t>
        </is>
      </c>
      <c r="C132" s="107" t="n"/>
      <c r="D132" s="107" t="n"/>
      <c r="E132" s="108" t="n"/>
    </row>
    <row r="133" ht="15" customHeight="1" s="78">
      <c r="A133" s="96" t="inlineStr">
        <is>
          <t>41112</t>
        </is>
      </c>
      <c r="B133" s="97" t="inlineStr">
        <is>
          <t>Cổ phiếu ưu đãi</t>
        </is>
      </c>
      <c r="C133" s="107" t="n"/>
      <c r="D133" s="107" t="n"/>
      <c r="E133" s="108" t="n"/>
    </row>
    <row r="134" ht="15" customHeight="1" s="78">
      <c r="A134" s="96" t="inlineStr">
        <is>
          <t>4112</t>
        </is>
      </c>
      <c r="B134" s="97" t="inlineStr">
        <is>
          <t>Thặng dư vốn</t>
        </is>
      </c>
      <c r="C134" s="107" t="n"/>
      <c r="D134" s="107" t="n"/>
      <c r="E134" s="108" t="n"/>
    </row>
    <row r="135" ht="15" customHeight="1" s="78">
      <c r="A135" s="96" t="inlineStr">
        <is>
          <t>4113</t>
        </is>
      </c>
      <c r="B135" s="97" t="inlineStr">
        <is>
          <t>Quyền chọn chuyển đổi trái phiếu</t>
        </is>
      </c>
      <c r="C135" s="107" t="n"/>
      <c r="D135" s="107" t="n"/>
      <c r="E135" s="108" t="n"/>
    </row>
    <row r="136" ht="15" customHeight="1" s="78">
      <c r="A136" s="96" t="inlineStr">
        <is>
          <t>4118</t>
        </is>
      </c>
      <c r="B136" s="97" t="inlineStr">
        <is>
          <t>Vốn khác</t>
        </is>
      </c>
      <c r="C136" s="107" t="n"/>
      <c r="D136" s="107" t="n"/>
      <c r="E136" s="108" t="n"/>
    </row>
    <row r="137" ht="15" customHeight="1" s="78">
      <c r="A137" s="96" t="inlineStr">
        <is>
          <t>412</t>
        </is>
      </c>
      <c r="B137" s="97" t="inlineStr">
        <is>
          <t>Chênh lệch đánh giá lại tài sản</t>
        </is>
      </c>
      <c r="C137" s="107" t="n"/>
      <c r="D137" s="107" t="n"/>
      <c r="E137" s="108" t="n"/>
    </row>
    <row r="138" ht="15" customHeight="1" s="78">
      <c r="A138" s="96" t="inlineStr">
        <is>
          <t>413</t>
        </is>
      </c>
      <c r="B138" s="97" t="inlineStr">
        <is>
          <t>Chênh lệch tỷ giá hối đoái</t>
        </is>
      </c>
      <c r="C138" s="107" t="n"/>
      <c r="D138" s="107" t="n"/>
      <c r="E138" s="108" t="n"/>
    </row>
    <row r="139" ht="15" customHeight="1" s="78">
      <c r="A139" s="96" t="inlineStr">
        <is>
          <t>414</t>
        </is>
      </c>
      <c r="B139" s="97" t="inlineStr">
        <is>
          <t>Quỹ đầu tư phát triển</t>
        </is>
      </c>
      <c r="C139" s="107" t="n"/>
      <c r="D139" s="107" t="n"/>
      <c r="E139" s="108" t="n"/>
    </row>
    <row r="140" ht="15" customHeight="1" s="78">
      <c r="A140" s="96" t="inlineStr">
        <is>
          <t>418</t>
        </is>
      </c>
      <c r="B140" s="97" t="inlineStr">
        <is>
          <t>Các quỹ khác thuộc vốn chủ sở hữu</t>
        </is>
      </c>
      <c r="C140" s="107" t="n"/>
      <c r="D140" s="107" t="n"/>
      <c r="E140" s="108" t="n"/>
    </row>
    <row r="141" ht="15" customHeight="1" s="78">
      <c r="A141" s="96" t="inlineStr">
        <is>
          <t>419</t>
        </is>
      </c>
      <c r="B141" s="97" t="inlineStr">
        <is>
          <t>Cổ phiếu mua lại của chính mình</t>
        </is>
      </c>
      <c r="C141" s="107" t="n"/>
      <c r="D141" s="107" t="n"/>
      <c r="E141" s="108" t="n"/>
    </row>
    <row r="142" ht="15" customHeight="1" s="78">
      <c r="A142" s="96" t="inlineStr">
        <is>
          <t>421</t>
        </is>
      </c>
      <c r="B142" s="97" t="inlineStr">
        <is>
          <t>Lợi nhuận sau thuế chưa phân phối</t>
        </is>
      </c>
      <c r="C142" s="107" t="n"/>
      <c r="D142" s="107" t="n"/>
      <c r="E142" s="108" t="n"/>
    </row>
    <row r="143" ht="15" customHeight="1" s="78">
      <c r="A143" s="96" t="inlineStr">
        <is>
          <t>4211</t>
        </is>
      </c>
      <c r="B143" s="97" t="inlineStr">
        <is>
          <t>Lợi nhuận sau thuế chưa phân phối lũy kế đến cuối năm trước</t>
        </is>
      </c>
      <c r="C143" s="107" t="n"/>
      <c r="D143" s="107" t="n">
        <v>61000000</v>
      </c>
      <c r="E143" s="108" t="n"/>
    </row>
    <row r="144" ht="15" customHeight="1" s="78">
      <c r="A144" s="96" t="inlineStr">
        <is>
          <t>4212</t>
        </is>
      </c>
      <c r="B144" s="97" t="inlineStr">
        <is>
          <t>Lợi nhuận sau thuế chưa phân phối năm nay</t>
        </is>
      </c>
      <c r="C144" s="107" t="n"/>
      <c r="D144" s="107" t="n"/>
      <c r="E144" s="108" t="n"/>
    </row>
    <row r="145" ht="15" customHeight="1" s="78">
      <c r="A145" s="96" t="inlineStr">
        <is>
          <t>511</t>
        </is>
      </c>
      <c r="B145" s="97" t="inlineStr">
        <is>
          <t>Doanh thu bán hàng và cung cấp dịch vụ</t>
        </is>
      </c>
      <c r="C145" s="110" t="n"/>
      <c r="D145" s="110" t="n"/>
      <c r="E145" s="98" t="inlineStr">
        <is>
          <t>TK kết quả - không có số dư đầu năm</t>
        </is>
      </c>
    </row>
    <row r="146" ht="15" customHeight="1" s="78">
      <c r="A146" s="96" t="inlineStr">
        <is>
          <t>515</t>
        </is>
      </c>
      <c r="B146" s="97" t="inlineStr">
        <is>
          <t>Doanh thu hoạt động tài chính</t>
        </is>
      </c>
      <c r="C146" s="110" t="n"/>
      <c r="D146" s="110" t="n"/>
      <c r="E146" s="98" t="inlineStr">
        <is>
          <t>TK kết quả - không có số dư đầu năm</t>
        </is>
      </c>
    </row>
    <row r="147" ht="15" customHeight="1" s="78">
      <c r="A147" s="96" t="inlineStr">
        <is>
          <t>521</t>
        </is>
      </c>
      <c r="B147" s="97" t="inlineStr">
        <is>
          <t>Các khoản giảm trừ doanh thu</t>
        </is>
      </c>
      <c r="C147" s="110" t="n"/>
      <c r="D147" s="110" t="n"/>
      <c r="E147" s="98" t="inlineStr">
        <is>
          <t>TK kết quả - không có số dư đầu năm</t>
        </is>
      </c>
    </row>
    <row r="148" ht="15" customHeight="1" s="78">
      <c r="A148" s="96" t="inlineStr">
        <is>
          <t>621</t>
        </is>
      </c>
      <c r="B148" s="97" t="inlineStr">
        <is>
          <t>Chi phí nguyên liệu, vật liệu trực tiếp</t>
        </is>
      </c>
      <c r="C148" s="110" t="n"/>
      <c r="D148" s="110" t="n"/>
      <c r="E148" s="98" t="inlineStr">
        <is>
          <t>TK kết quả - không có số dư đầu năm</t>
        </is>
      </c>
    </row>
    <row r="149" ht="15" customHeight="1" s="78">
      <c r="A149" s="96" t="inlineStr">
        <is>
          <t>622</t>
        </is>
      </c>
      <c r="B149" s="97" t="inlineStr">
        <is>
          <t>Chi phí nhân công trực tiếp</t>
        </is>
      </c>
      <c r="C149" s="110" t="n"/>
      <c r="D149" s="110" t="n"/>
      <c r="E149" s="98" t="inlineStr">
        <is>
          <t>TK kết quả - không có số dư đầu năm</t>
        </is>
      </c>
    </row>
    <row r="150" ht="15" customHeight="1" s="78">
      <c r="A150" s="96" t="inlineStr">
        <is>
          <t>623</t>
        </is>
      </c>
      <c r="B150" s="97" t="inlineStr">
        <is>
          <t>Chi phí sử dụng máy thi công</t>
        </is>
      </c>
      <c r="C150" s="110" t="n"/>
      <c r="D150" s="110" t="n"/>
      <c r="E150" s="98" t="inlineStr">
        <is>
          <t>TK kết quả - không có số dư đầu năm</t>
        </is>
      </c>
    </row>
    <row r="151" ht="15" customHeight="1" s="78">
      <c r="A151" s="96" t="inlineStr">
        <is>
          <t>6231</t>
        </is>
      </c>
      <c r="B151" s="97" t="inlineStr">
        <is>
          <t>Chi phí nhân công</t>
        </is>
      </c>
      <c r="C151" s="110" t="n"/>
      <c r="D151" s="110" t="n"/>
      <c r="E151" s="98" t="inlineStr">
        <is>
          <t>TK kết quả - không có số dư đầu năm</t>
        </is>
      </c>
    </row>
    <row r="152" ht="15" customHeight="1" s="78">
      <c r="A152" s="96" t="inlineStr">
        <is>
          <t>6232</t>
        </is>
      </c>
      <c r="B152" s="97" t="inlineStr">
        <is>
          <t>Chi phí vật liệu</t>
        </is>
      </c>
      <c r="C152" s="110" t="n"/>
      <c r="D152" s="110" t="n"/>
      <c r="E152" s="98" t="inlineStr">
        <is>
          <t>TK kết quả - không có số dư đầu năm</t>
        </is>
      </c>
    </row>
    <row r="153" ht="15" customHeight="1" s="78">
      <c r="A153" s="96" t="inlineStr">
        <is>
          <t>6233</t>
        </is>
      </c>
      <c r="B153" s="97" t="inlineStr">
        <is>
          <t>Chi phí dụng cụ sản xuất</t>
        </is>
      </c>
      <c r="C153" s="110" t="n"/>
      <c r="D153" s="110" t="n"/>
      <c r="E153" s="98" t="inlineStr">
        <is>
          <t>TK kết quả - không có số dư đầu năm</t>
        </is>
      </c>
    </row>
    <row r="154" ht="15" customHeight="1" s="78">
      <c r="A154" s="96" t="inlineStr">
        <is>
          <t>6234</t>
        </is>
      </c>
      <c r="B154" s="97" t="inlineStr">
        <is>
          <t>Chi phí khấu hao máy thi công</t>
        </is>
      </c>
      <c r="C154" s="110" t="n"/>
      <c r="D154" s="110" t="n"/>
      <c r="E154" s="98" t="inlineStr">
        <is>
          <t>TK kết quả - không có số dư đầu năm</t>
        </is>
      </c>
    </row>
    <row r="155" ht="15" customHeight="1" s="78">
      <c r="A155" s="96" t="inlineStr">
        <is>
          <t>6237</t>
        </is>
      </c>
      <c r="B155" s="97" t="inlineStr">
        <is>
          <t>Chi phí dịch vụ mua ngoài</t>
        </is>
      </c>
      <c r="C155" s="110" t="n"/>
      <c r="D155" s="110" t="n"/>
      <c r="E155" s="98" t="inlineStr">
        <is>
          <t>TK kết quả - không có số dư đầu năm</t>
        </is>
      </c>
    </row>
    <row r="156" ht="15" customHeight="1" s="78">
      <c r="A156" s="96" t="inlineStr">
        <is>
          <t>6238</t>
        </is>
      </c>
      <c r="B156" s="97" t="inlineStr">
        <is>
          <t>Chi phí bằng tiền khác</t>
        </is>
      </c>
      <c r="C156" s="110" t="n"/>
      <c r="D156" s="110" t="n"/>
      <c r="E156" s="98" t="inlineStr">
        <is>
          <t>TK kết quả - không có số dư đầu năm</t>
        </is>
      </c>
    </row>
    <row r="157" ht="15" customHeight="1" s="78">
      <c r="A157" s="96" t="inlineStr">
        <is>
          <t>627</t>
        </is>
      </c>
      <c r="B157" s="97" t="inlineStr">
        <is>
          <t>Chi phí sản xuất chung</t>
        </is>
      </c>
      <c r="C157" s="110" t="n"/>
      <c r="D157" s="110" t="n"/>
      <c r="E157" s="98" t="inlineStr">
        <is>
          <t>TK kết quả - không có số dư đầu năm</t>
        </is>
      </c>
    </row>
    <row r="158" ht="15" customHeight="1" s="78">
      <c r="A158" s="96" t="inlineStr">
        <is>
          <t>6271</t>
        </is>
      </c>
      <c r="B158" s="97" t="inlineStr">
        <is>
          <t>Chi phí nhân viên phân xưởng</t>
        </is>
      </c>
      <c r="C158" s="110" t="n"/>
      <c r="D158" s="110" t="n"/>
      <c r="E158" s="98" t="inlineStr">
        <is>
          <t>TK kết quả - không có số dư đầu năm</t>
        </is>
      </c>
    </row>
    <row r="159" ht="15" customHeight="1" s="78">
      <c r="A159" s="96" t="inlineStr">
        <is>
          <t>6272</t>
        </is>
      </c>
      <c r="B159" s="97" t="inlineStr">
        <is>
          <t>Chi phí vật liệu</t>
        </is>
      </c>
      <c r="C159" s="110" t="n"/>
      <c r="D159" s="110" t="n"/>
      <c r="E159" s="98" t="inlineStr">
        <is>
          <t>TK kết quả - không có số dư đầu năm</t>
        </is>
      </c>
    </row>
    <row r="160" ht="15" customHeight="1" s="78">
      <c r="A160" s="96" t="inlineStr">
        <is>
          <t>6273</t>
        </is>
      </c>
      <c r="B160" s="97" t="inlineStr">
        <is>
          <t>Chi phí dụng cụ sản xuất</t>
        </is>
      </c>
      <c r="C160" s="110" t="n"/>
      <c r="D160" s="110" t="n"/>
      <c r="E160" s="98" t="inlineStr">
        <is>
          <t>TK kết quả - không có số dư đầu năm</t>
        </is>
      </c>
    </row>
    <row r="161" ht="15" customHeight="1" s="78">
      <c r="A161" s="96" t="inlineStr">
        <is>
          <t>6274</t>
        </is>
      </c>
      <c r="B161" s="97" t="inlineStr">
        <is>
          <t>Chi phí khấu hao TSCĐ</t>
        </is>
      </c>
      <c r="C161" s="110" t="n"/>
      <c r="D161" s="110" t="n"/>
      <c r="E161" s="98" t="inlineStr">
        <is>
          <t>TK kết quả - không có số dư đầu năm</t>
        </is>
      </c>
    </row>
    <row r="162" ht="15" customHeight="1" s="78">
      <c r="A162" s="96" t="inlineStr">
        <is>
          <t>6275</t>
        </is>
      </c>
      <c r="B162" s="97" t="inlineStr">
        <is>
          <t>Thuế, phí, lệ phí</t>
        </is>
      </c>
      <c r="C162" s="110" t="n"/>
      <c r="D162" s="110" t="n"/>
      <c r="E162" s="98" t="inlineStr">
        <is>
          <t>TK kết quả - không có số dư đầu năm</t>
        </is>
      </c>
    </row>
    <row r="163" ht="15" customHeight="1" s="78">
      <c r="A163" s="96" t="inlineStr">
        <is>
          <t>6277</t>
        </is>
      </c>
      <c r="B163" s="97" t="inlineStr">
        <is>
          <t>Chi phí dịch vụ mua ngoài</t>
        </is>
      </c>
      <c r="C163" s="110" t="n"/>
      <c r="D163" s="110" t="n"/>
      <c r="E163" s="98" t="inlineStr">
        <is>
          <t>TK kết quả - không có số dư đầu năm</t>
        </is>
      </c>
    </row>
    <row r="164" ht="15" customHeight="1" s="78">
      <c r="A164" s="96" t="inlineStr">
        <is>
          <t>6278</t>
        </is>
      </c>
      <c r="B164" s="97" t="inlineStr">
        <is>
          <t>Chi phí bằng tiền khác</t>
        </is>
      </c>
      <c r="C164" s="110" t="n"/>
      <c r="D164" s="110" t="n"/>
      <c r="E164" s="98" t="inlineStr">
        <is>
          <t>TK kết quả - không có số dư đầu năm</t>
        </is>
      </c>
    </row>
    <row r="165" ht="15" customHeight="1" s="78">
      <c r="A165" s="96" t="inlineStr">
        <is>
          <t>632</t>
        </is>
      </c>
      <c r="B165" s="97" t="inlineStr">
        <is>
          <t>Giá vốn hàng bán</t>
        </is>
      </c>
      <c r="C165" s="110" t="n"/>
      <c r="D165" s="110" t="n"/>
      <c r="E165" s="98" t="inlineStr">
        <is>
          <t>TK kết quả - không có số dư đầu năm</t>
        </is>
      </c>
    </row>
    <row r="166" ht="15" customHeight="1" s="78">
      <c r="A166" s="96" t="inlineStr">
        <is>
          <t>635</t>
        </is>
      </c>
      <c r="B166" s="97" t="inlineStr">
        <is>
          <t>Chi phí tài chính</t>
        </is>
      </c>
      <c r="C166" s="110" t="n"/>
      <c r="D166" s="110" t="n"/>
      <c r="E166" s="98" t="inlineStr">
        <is>
          <t>TK kết quả - không có số dư đầu năm</t>
        </is>
      </c>
    </row>
    <row r="167" ht="15" customHeight="1" s="78">
      <c r="A167" s="96" t="inlineStr">
        <is>
          <t>641</t>
        </is>
      </c>
      <c r="B167" s="97" t="inlineStr">
        <is>
          <t>Chi phí bán hàng</t>
        </is>
      </c>
      <c r="C167" s="110" t="n"/>
      <c r="D167" s="110" t="n"/>
      <c r="E167" s="98" t="inlineStr">
        <is>
          <t>TK kết quả - không có số dư đầu năm</t>
        </is>
      </c>
    </row>
    <row r="168" ht="15" customHeight="1" s="78">
      <c r="A168" s="96" t="inlineStr">
        <is>
          <t>6411</t>
        </is>
      </c>
      <c r="B168" s="97" t="inlineStr">
        <is>
          <t>Chi phí nhân viên</t>
        </is>
      </c>
      <c r="C168" s="110" t="n"/>
      <c r="D168" s="110" t="n"/>
      <c r="E168" s="98" t="inlineStr">
        <is>
          <t>TK kết quả - không có số dư đầu năm</t>
        </is>
      </c>
    </row>
    <row r="169" ht="15" customHeight="1" s="78">
      <c r="A169" s="96" t="inlineStr">
        <is>
          <t>6412</t>
        </is>
      </c>
      <c r="B169" s="97" t="inlineStr">
        <is>
          <t>Chi phí vật liệu, bao bì</t>
        </is>
      </c>
      <c r="C169" s="110" t="n"/>
      <c r="D169" s="110" t="n"/>
      <c r="E169" s="98" t="inlineStr">
        <is>
          <t>TK kết quả - không có số dư đầu năm</t>
        </is>
      </c>
    </row>
    <row r="170" ht="15" customHeight="1" s="78">
      <c r="A170" s="96" t="inlineStr">
        <is>
          <t>6413</t>
        </is>
      </c>
      <c r="B170" s="97" t="inlineStr">
        <is>
          <t>Chi phí dụng cụ, đồ dùng</t>
        </is>
      </c>
      <c r="C170" s="110" t="n"/>
      <c r="D170" s="110" t="n"/>
      <c r="E170" s="98" t="inlineStr">
        <is>
          <t>TK kết quả - không có số dư đầu năm</t>
        </is>
      </c>
    </row>
    <row r="171" ht="15" customHeight="1" s="78">
      <c r="A171" s="96" t="inlineStr">
        <is>
          <t>6414</t>
        </is>
      </c>
      <c r="B171" s="97" t="inlineStr">
        <is>
          <t>Chi phí khấu hao TSCĐ</t>
        </is>
      </c>
      <c r="C171" s="110" t="n"/>
      <c r="D171" s="110" t="n"/>
      <c r="E171" s="98" t="inlineStr">
        <is>
          <t>TK kết quả - không có số dư đầu năm</t>
        </is>
      </c>
    </row>
    <row r="172" ht="15" customHeight="1" s="78">
      <c r="A172" s="96" t="inlineStr">
        <is>
          <t>6415</t>
        </is>
      </c>
      <c r="B172" s="97" t="inlineStr">
        <is>
          <t>Thuế, phí, lệ phí</t>
        </is>
      </c>
      <c r="C172" s="110" t="n"/>
      <c r="D172" s="110" t="n"/>
      <c r="E172" s="98" t="inlineStr">
        <is>
          <t>TK kết quả - không có số dư đầu năm</t>
        </is>
      </c>
    </row>
    <row r="173" ht="15" customHeight="1" s="78">
      <c r="A173" s="96" t="inlineStr">
        <is>
          <t>6417</t>
        </is>
      </c>
      <c r="B173" s="97" t="inlineStr">
        <is>
          <t>Chi phí dịch vụ mua ngoài</t>
        </is>
      </c>
      <c r="C173" s="110" t="n"/>
      <c r="D173" s="110" t="n"/>
      <c r="E173" s="98" t="inlineStr">
        <is>
          <t>TK kết quả - không có số dư đầu năm</t>
        </is>
      </c>
    </row>
    <row r="174" ht="15" customHeight="1" s="78">
      <c r="A174" s="96" t="inlineStr">
        <is>
          <t>6418</t>
        </is>
      </c>
      <c r="B174" s="97" t="inlineStr">
        <is>
          <t>Chi phí bằng tiền khác</t>
        </is>
      </c>
      <c r="C174" s="110" t="n"/>
      <c r="D174" s="110" t="n"/>
      <c r="E174" s="98" t="inlineStr">
        <is>
          <t>TK kết quả - không có số dư đầu năm</t>
        </is>
      </c>
    </row>
    <row r="175" ht="15" customHeight="1" s="78">
      <c r="A175" s="96" t="inlineStr">
        <is>
          <t>642</t>
        </is>
      </c>
      <c r="B175" s="97" t="inlineStr">
        <is>
          <t>Chi phí quản lý doanh nghiệp</t>
        </is>
      </c>
      <c r="C175" s="110" t="n"/>
      <c r="D175" s="110" t="n"/>
      <c r="E175" s="98" t="inlineStr">
        <is>
          <t>TK kết quả - không có số dư đầu năm</t>
        </is>
      </c>
    </row>
    <row r="176" ht="15" customHeight="1" s="78">
      <c r="A176" s="96" t="inlineStr">
        <is>
          <t>6421</t>
        </is>
      </c>
      <c r="B176" s="97" t="inlineStr">
        <is>
          <t>Chi phí nhân viên quản lý</t>
        </is>
      </c>
      <c r="C176" s="110" t="n"/>
      <c r="D176" s="110" t="n"/>
      <c r="E176" s="98" t="inlineStr">
        <is>
          <t>TK kết quả - không có số dư đầu năm</t>
        </is>
      </c>
    </row>
    <row r="177" ht="15" customHeight="1" s="78">
      <c r="A177" s="96" t="inlineStr">
        <is>
          <t>6422</t>
        </is>
      </c>
      <c r="B177" s="97" t="inlineStr">
        <is>
          <t>Chi phí vật liệu quản lý</t>
        </is>
      </c>
      <c r="C177" s="110" t="n"/>
      <c r="D177" s="110" t="n"/>
      <c r="E177" s="98" t="inlineStr">
        <is>
          <t>TK kết quả - không có số dư đầu năm</t>
        </is>
      </c>
    </row>
    <row r="178" ht="15" customHeight="1" s="78">
      <c r="A178" s="96" t="inlineStr">
        <is>
          <t>6423</t>
        </is>
      </c>
      <c r="B178" s="97" t="inlineStr">
        <is>
          <t>Chi phí đồ dùng văn phòng</t>
        </is>
      </c>
      <c r="C178" s="110" t="n"/>
      <c r="D178" s="110" t="n"/>
      <c r="E178" s="98" t="inlineStr">
        <is>
          <t>TK kết quả - không có số dư đầu năm</t>
        </is>
      </c>
    </row>
    <row r="179" ht="15" customHeight="1" s="78">
      <c r="A179" s="96" t="inlineStr">
        <is>
          <t>6424</t>
        </is>
      </c>
      <c r="B179" s="97" t="inlineStr">
        <is>
          <t>Chi phí khấu hao TSCĐ</t>
        </is>
      </c>
      <c r="C179" s="110" t="n"/>
      <c r="D179" s="110" t="n"/>
      <c r="E179" s="98" t="inlineStr">
        <is>
          <t>TK kết quả - không có số dư đầu năm</t>
        </is>
      </c>
    </row>
    <row r="180" ht="15" customHeight="1" s="78">
      <c r="A180" s="96" t="inlineStr">
        <is>
          <t>6425</t>
        </is>
      </c>
      <c r="B180" s="97" t="inlineStr">
        <is>
          <t>Thuế, phí và lệ phí</t>
        </is>
      </c>
      <c r="C180" s="110" t="n"/>
      <c r="D180" s="110" t="n"/>
      <c r="E180" s="98" t="inlineStr">
        <is>
          <t>TK kết quả - không có số dư đầu năm</t>
        </is>
      </c>
    </row>
    <row r="181" ht="15" customHeight="1" s="78">
      <c r="A181" s="96" t="inlineStr">
        <is>
          <t>6426</t>
        </is>
      </c>
      <c r="B181" s="97" t="inlineStr">
        <is>
          <t>Chi phí dự phòng</t>
        </is>
      </c>
      <c r="C181" s="110" t="n"/>
      <c r="D181" s="110" t="n"/>
      <c r="E181" s="98" t="inlineStr">
        <is>
          <t>TK kết quả - không có số dư đầu năm</t>
        </is>
      </c>
    </row>
    <row r="182" ht="15" customHeight="1" s="78">
      <c r="A182" s="96" t="inlineStr">
        <is>
          <t>6427</t>
        </is>
      </c>
      <c r="B182" s="97" t="inlineStr">
        <is>
          <t>Chi phí dịch vụ mua ngoài</t>
        </is>
      </c>
      <c r="C182" s="110" t="n"/>
      <c r="D182" s="110" t="n"/>
      <c r="E182" s="98" t="inlineStr">
        <is>
          <t>TK kết quả - không có số dư đầu năm</t>
        </is>
      </c>
    </row>
    <row r="183" ht="15" customHeight="1" s="78">
      <c r="A183" s="96" t="inlineStr">
        <is>
          <t>6428</t>
        </is>
      </c>
      <c r="B183" s="97" t="inlineStr">
        <is>
          <t>Chi phí bằng tiền khác</t>
        </is>
      </c>
      <c r="C183" s="110" t="n"/>
      <c r="D183" s="110" t="n"/>
      <c r="E183" s="98" t="inlineStr">
        <is>
          <t>TK kết quả - không có số dư đầu năm</t>
        </is>
      </c>
    </row>
    <row r="184" ht="15" customHeight="1" s="78">
      <c r="A184" s="96" t="inlineStr">
        <is>
          <t>711</t>
        </is>
      </c>
      <c r="B184" s="97" t="inlineStr">
        <is>
          <t>Thu nhập khác</t>
        </is>
      </c>
      <c r="C184" s="110" t="n"/>
      <c r="D184" s="110" t="n"/>
      <c r="E184" s="98" t="inlineStr">
        <is>
          <t>TK kết quả - không có số dư đầu năm</t>
        </is>
      </c>
    </row>
    <row r="185" ht="15" customHeight="1" s="78">
      <c r="A185" s="96" t="inlineStr">
        <is>
          <t>811</t>
        </is>
      </c>
      <c r="B185" s="97" t="inlineStr">
        <is>
          <t>Chi phí khác</t>
        </is>
      </c>
      <c r="C185" s="110" t="n"/>
      <c r="D185" s="110" t="n"/>
      <c r="E185" s="98" t="inlineStr">
        <is>
          <t>TK kết quả - không có số dư đầu năm</t>
        </is>
      </c>
    </row>
    <row r="186" ht="15" customHeight="1" s="78">
      <c r="A186" s="96" t="inlineStr">
        <is>
          <t>821</t>
        </is>
      </c>
      <c r="B186" s="97" t="inlineStr">
        <is>
          <t>Chi phí thuế thu nhập doanh nghiệp</t>
        </is>
      </c>
      <c r="C186" s="110" t="n"/>
      <c r="D186" s="110" t="n"/>
      <c r="E186" s="98" t="inlineStr">
        <is>
          <t>TK kết quả - không có số dư đầu năm</t>
        </is>
      </c>
    </row>
    <row r="187" ht="15" customHeight="1" s="78">
      <c r="A187" s="96" t="inlineStr">
        <is>
          <t>8211</t>
        </is>
      </c>
      <c r="B187" s="97" t="inlineStr">
        <is>
          <t>Chi phí thuế TNDN hiện hành</t>
        </is>
      </c>
      <c r="C187" s="110" t="n"/>
      <c r="D187" s="110" t="n"/>
      <c r="E187" s="98" t="inlineStr">
        <is>
          <t>TK kết quả - không có số dư đầu năm</t>
        </is>
      </c>
    </row>
    <row r="188" ht="15" customHeight="1" s="78">
      <c r="A188" s="96" t="inlineStr">
        <is>
          <t>82111</t>
        </is>
      </c>
      <c r="B188" s="97" t="inlineStr">
        <is>
          <t>Chi phí thuế TNDN theo quy định của pháp luật thuế TNDN</t>
        </is>
      </c>
      <c r="C188" s="110" t="n"/>
      <c r="D188" s="110" t="n"/>
      <c r="E188" s="98" t="inlineStr">
        <is>
          <t>TK kết quả - không có số dư đầu năm</t>
        </is>
      </c>
    </row>
    <row r="189" ht="15" customHeight="1" s="78">
      <c r="A189" s="96" t="inlineStr">
        <is>
          <t>82112</t>
        </is>
      </c>
      <c r="B189" s="97" t="inlineStr">
        <is>
          <t>Chi phí thuế TNDN bổ sung theo quy định về thuế tối thiểu toàn cầu</t>
        </is>
      </c>
      <c r="C189" s="110" t="n"/>
      <c r="D189" s="110" t="n"/>
      <c r="E189" s="98" t="inlineStr">
        <is>
          <t>TK kết quả - không có số dư đầu năm</t>
        </is>
      </c>
    </row>
    <row r="190" ht="15" customHeight="1" s="78">
      <c r="A190" s="96" t="inlineStr">
        <is>
          <t>8212</t>
        </is>
      </c>
      <c r="B190" s="97" t="inlineStr">
        <is>
          <t>Chi phí thuế TNDN hoãn lại</t>
        </is>
      </c>
      <c r="C190" s="110" t="n"/>
      <c r="D190" s="110" t="n"/>
      <c r="E190" s="98" t="inlineStr">
        <is>
          <t>TK kết quả - không có số dư đầu năm</t>
        </is>
      </c>
    </row>
    <row r="191" ht="15" customHeight="1" s="78">
      <c r="A191" s="96" t="inlineStr">
        <is>
          <t>911</t>
        </is>
      </c>
      <c r="B191" s="97" t="inlineStr">
        <is>
          <t>Xác định kết quả kinh doanh</t>
        </is>
      </c>
      <c r="C191" s="110" t="n"/>
      <c r="D191" s="110" t="n"/>
      <c r="E191" s="98" t="inlineStr">
        <is>
          <t>TK kết quả - không có số dư đầu năm</t>
        </is>
      </c>
    </row>
    <row r="192" ht="15" customHeight="1" s="78">
      <c r="A192" s="96">
        <f>IF(DMTK!$A191="","",DMTK!$A191&amp;"")</f>
        <v/>
      </c>
      <c r="B192" s="97">
        <f>IF(DMTK!$B191="","",DMTK!$B191)</f>
        <v/>
      </c>
      <c r="C192" s="107" t="n"/>
      <c r="D192" s="107" t="n"/>
      <c r="E192" s="98" t="inlineStr">
        <is>
          <t>TK tự mở</t>
        </is>
      </c>
    </row>
    <row r="193" ht="15" customHeight="1" s="78">
      <c r="A193" s="96">
        <f>IF(DMTK!$A192="","",DMTK!$A192&amp;"")</f>
        <v/>
      </c>
      <c r="B193" s="97">
        <f>IF(DMTK!$B192="","",DMTK!$B192)</f>
        <v/>
      </c>
      <c r="C193" s="107" t="n"/>
      <c r="D193" s="107" t="n"/>
      <c r="E193" s="98" t="inlineStr">
        <is>
          <t>TK tự mở</t>
        </is>
      </c>
    </row>
    <row r="194" ht="15" customHeight="1" s="78">
      <c r="A194" s="96">
        <f>IF(DMTK!$A193="","",DMTK!$A193&amp;"")</f>
        <v/>
      </c>
      <c r="B194" s="97">
        <f>IF(DMTK!$B193="","",DMTK!$B193)</f>
        <v/>
      </c>
      <c r="C194" s="107" t="n"/>
      <c r="D194" s="107" t="n"/>
      <c r="E194" s="98" t="inlineStr">
        <is>
          <t>TK tự mở</t>
        </is>
      </c>
    </row>
    <row r="195" ht="15" customHeight="1" s="78">
      <c r="A195" s="96">
        <f>IF(DMTK!$A194="","",DMTK!$A194&amp;"")</f>
        <v/>
      </c>
      <c r="B195" s="97">
        <f>IF(DMTK!$B194="","",DMTK!$B194)</f>
        <v/>
      </c>
      <c r="C195" s="107" t="n"/>
      <c r="D195" s="107" t="n"/>
      <c r="E195" s="98" t="inlineStr">
        <is>
          <t>TK tự mở</t>
        </is>
      </c>
    </row>
    <row r="196" ht="15" customHeight="1" s="78">
      <c r="A196" s="96">
        <f>IF(DMTK!$A195="","",DMTK!$A195&amp;"")</f>
        <v/>
      </c>
      <c r="B196" s="97">
        <f>IF(DMTK!$B195="","",DMTK!$B195)</f>
        <v/>
      </c>
      <c r="C196" s="107" t="n"/>
      <c r="D196" s="107" t="n"/>
      <c r="E196" s="98" t="inlineStr">
        <is>
          <t>TK tự mở</t>
        </is>
      </c>
    </row>
    <row r="197" ht="15" customHeight="1" s="78">
      <c r="A197" s="96">
        <f>IF(DMTK!$A196="","",DMTK!$A196&amp;"")</f>
        <v/>
      </c>
      <c r="B197" s="97">
        <f>IF(DMTK!$B196="","",DMTK!$B196)</f>
        <v/>
      </c>
      <c r="C197" s="107" t="n"/>
      <c r="D197" s="107" t="n"/>
      <c r="E197" s="98" t="inlineStr">
        <is>
          <t>TK tự mở</t>
        </is>
      </c>
    </row>
    <row r="198" ht="15" customHeight="1" s="78">
      <c r="A198" s="96">
        <f>IF(DMTK!$A197="","",DMTK!$A197&amp;"")</f>
        <v/>
      </c>
      <c r="B198" s="97">
        <f>IF(DMTK!$B197="","",DMTK!$B197)</f>
        <v/>
      </c>
      <c r="C198" s="107" t="n"/>
      <c r="D198" s="107" t="n"/>
      <c r="E198" s="98" t="inlineStr">
        <is>
          <t>TK tự mở</t>
        </is>
      </c>
    </row>
    <row r="199" ht="15" customHeight="1" s="78">
      <c r="A199" s="96">
        <f>IF(DMTK!$A198="","",DMTK!$A198&amp;"")</f>
        <v/>
      </c>
      <c r="B199" s="97">
        <f>IF(DMTK!$B198="","",DMTK!$B198)</f>
        <v/>
      </c>
      <c r="C199" s="107" t="n"/>
      <c r="D199" s="107" t="n"/>
      <c r="E199" s="98" t="inlineStr">
        <is>
          <t>TK tự mở</t>
        </is>
      </c>
    </row>
    <row r="200" ht="15" customHeight="1" s="78">
      <c r="A200" s="96">
        <f>IF(DMTK!$A199="","",DMTK!$A199&amp;"")</f>
        <v/>
      </c>
      <c r="B200" s="97">
        <f>IF(DMTK!$B199="","",DMTK!$B199)</f>
        <v/>
      </c>
      <c r="C200" s="107" t="n"/>
      <c r="D200" s="107" t="n"/>
      <c r="E200" s="98" t="inlineStr">
        <is>
          <t>TK tự mở</t>
        </is>
      </c>
    </row>
    <row r="201" ht="15" customHeight="1" s="78">
      <c r="A201" s="96">
        <f>IF(DMTK!$A200="","",DMTK!$A200&amp;"")</f>
        <v/>
      </c>
      <c r="B201" s="97">
        <f>IF(DMTK!$B200="","",DMTK!$B200)</f>
        <v/>
      </c>
      <c r="C201" s="107" t="n"/>
      <c r="D201" s="107" t="n"/>
      <c r="E201" s="98" t="inlineStr">
        <is>
          <t>TK tự mở</t>
        </is>
      </c>
    </row>
    <row r="202" ht="15" customHeight="1" s="78">
      <c r="A202" s="96">
        <f>IF(DMTK!$A201="","",DMTK!$A201&amp;"")</f>
        <v/>
      </c>
      <c r="B202" s="97">
        <f>IF(DMTK!$B201="","",DMTK!$B201)</f>
        <v/>
      </c>
      <c r="C202" s="107" t="n"/>
      <c r="D202" s="107" t="n"/>
      <c r="E202" s="98" t="inlineStr">
        <is>
          <t>TK tự mở</t>
        </is>
      </c>
    </row>
    <row r="203" ht="15" customHeight="1" s="78">
      <c r="A203" s="96">
        <f>IF(DMTK!$A202="","",DMTK!$A202&amp;"")</f>
        <v/>
      </c>
      <c r="B203" s="97">
        <f>IF(DMTK!$B202="","",DMTK!$B202)</f>
        <v/>
      </c>
      <c r="C203" s="107" t="n"/>
      <c r="D203" s="107" t="n"/>
      <c r="E203" s="98" t="inlineStr">
        <is>
          <t>TK tự mở</t>
        </is>
      </c>
    </row>
    <row r="204" ht="15" customHeight="1" s="78">
      <c r="A204" s="96">
        <f>IF(DMTK!$A203="","",DMTK!$A203&amp;"")</f>
        <v/>
      </c>
      <c r="B204" s="97">
        <f>IF(DMTK!$B203="","",DMTK!$B203)</f>
        <v/>
      </c>
      <c r="C204" s="107" t="n"/>
      <c r="D204" s="107" t="n"/>
      <c r="E204" s="98" t="inlineStr">
        <is>
          <t>TK tự mở</t>
        </is>
      </c>
    </row>
    <row r="205" ht="15" customHeight="1" s="78">
      <c r="A205" s="96">
        <f>IF(DMTK!$A204="","",DMTK!$A204&amp;"")</f>
        <v/>
      </c>
      <c r="B205" s="97">
        <f>IF(DMTK!$B204="","",DMTK!$B204)</f>
        <v/>
      </c>
      <c r="C205" s="107" t="n"/>
      <c r="D205" s="107" t="n"/>
      <c r="E205" s="98" t="inlineStr">
        <is>
          <t>TK tự mở</t>
        </is>
      </c>
    </row>
    <row r="206" ht="15" customHeight="1" s="78">
      <c r="A206" s="96">
        <f>IF(DMTK!$A205="","",DMTK!$A205&amp;"")</f>
        <v/>
      </c>
      <c r="B206" s="97">
        <f>IF(DMTK!$B205="","",DMTK!$B205)</f>
        <v/>
      </c>
      <c r="C206" s="107" t="n"/>
      <c r="D206" s="107" t="n"/>
      <c r="E206" s="98" t="inlineStr">
        <is>
          <t>TK tự mở</t>
        </is>
      </c>
    </row>
    <row r="207" ht="15" customHeight="1" s="78">
      <c r="A207" s="96">
        <f>IF(DMTK!$A206="","",DMTK!$A206&amp;"")</f>
        <v/>
      </c>
      <c r="B207" s="97">
        <f>IF(DMTK!$B206="","",DMTK!$B206)</f>
        <v/>
      </c>
      <c r="C207" s="107" t="n"/>
      <c r="D207" s="107" t="n"/>
      <c r="E207" s="98" t="inlineStr">
        <is>
          <t>TK tự mở</t>
        </is>
      </c>
    </row>
    <row r="208" ht="15" customHeight="1" s="78">
      <c r="A208" s="96">
        <f>IF(DMTK!$A207="","",DMTK!$A207&amp;"")</f>
        <v/>
      </c>
      <c r="B208" s="97">
        <f>IF(DMTK!$B207="","",DMTK!$B207)</f>
        <v/>
      </c>
      <c r="C208" s="107" t="n"/>
      <c r="D208" s="107" t="n"/>
      <c r="E208" s="98" t="inlineStr">
        <is>
          <t>TK tự mở</t>
        </is>
      </c>
    </row>
    <row r="209" ht="15" customHeight="1" s="78">
      <c r="A209" s="96">
        <f>IF(DMTK!$A208="","",DMTK!$A208&amp;"")</f>
        <v/>
      </c>
      <c r="B209" s="97">
        <f>IF(DMTK!$B208="","",DMTK!$B208)</f>
        <v/>
      </c>
      <c r="C209" s="107" t="n"/>
      <c r="D209" s="107" t="n"/>
      <c r="E209" s="98" t="inlineStr">
        <is>
          <t>TK tự mở</t>
        </is>
      </c>
    </row>
    <row r="210" ht="15" customHeight="1" s="78">
      <c r="A210" s="96">
        <f>IF(DMTK!$A209="","",DMTK!$A209&amp;"")</f>
        <v/>
      </c>
      <c r="B210" s="97">
        <f>IF(DMTK!$B209="","",DMTK!$B209)</f>
        <v/>
      </c>
      <c r="C210" s="107" t="n"/>
      <c r="D210" s="107" t="n"/>
      <c r="E210" s="98" t="inlineStr">
        <is>
          <t>TK tự mở</t>
        </is>
      </c>
    </row>
    <row r="211" ht="15" customHeight="1" s="78">
      <c r="A211" s="96">
        <f>IF(DMTK!$A210="","",DMTK!$A210&amp;"")</f>
        <v/>
      </c>
      <c r="B211" s="97">
        <f>IF(DMTK!$B210="","",DMTK!$B210)</f>
        <v/>
      </c>
      <c r="C211" s="107" t="n"/>
      <c r="D211" s="107" t="n"/>
      <c r="E211" s="98" t="inlineStr">
        <is>
          <t>TK tự mở</t>
        </is>
      </c>
    </row>
    <row r="212" ht="15" customHeight="1" s="78">
      <c r="A212" s="96">
        <f>IF(DMTK!$A211="","",DMTK!$A211&amp;"")</f>
        <v/>
      </c>
      <c r="B212" s="97">
        <f>IF(DMTK!$B211="","",DMTK!$B211)</f>
        <v/>
      </c>
      <c r="C212" s="107" t="n"/>
      <c r="D212" s="107" t="n"/>
      <c r="E212" s="98" t="inlineStr">
        <is>
          <t>TK tự mở</t>
        </is>
      </c>
    </row>
    <row r="213" ht="15" customHeight="1" s="78">
      <c r="A213" s="96">
        <f>IF(DMTK!$A212="","",DMTK!$A212&amp;"")</f>
        <v/>
      </c>
      <c r="B213" s="97">
        <f>IF(DMTK!$B212="","",DMTK!$B212)</f>
        <v/>
      </c>
      <c r="C213" s="107" t="n"/>
      <c r="D213" s="107" t="n"/>
      <c r="E213" s="98" t="inlineStr">
        <is>
          <t>TK tự mở</t>
        </is>
      </c>
    </row>
    <row r="214" ht="15" customHeight="1" s="78">
      <c r="A214" s="96">
        <f>IF(DMTK!$A213="","",DMTK!$A213&amp;"")</f>
        <v/>
      </c>
      <c r="B214" s="97">
        <f>IF(DMTK!$B213="","",DMTK!$B213)</f>
        <v/>
      </c>
      <c r="C214" s="107" t="n"/>
      <c r="D214" s="107" t="n"/>
      <c r="E214" s="98" t="inlineStr">
        <is>
          <t>TK tự mở</t>
        </is>
      </c>
    </row>
    <row r="215" ht="15" customHeight="1" s="78">
      <c r="A215" s="96">
        <f>IF(DMTK!$A214="","",DMTK!$A214&amp;"")</f>
        <v/>
      </c>
      <c r="B215" s="97">
        <f>IF(DMTK!$B214="","",DMTK!$B214)</f>
        <v/>
      </c>
      <c r="C215" s="107" t="n"/>
      <c r="D215" s="107" t="n"/>
      <c r="E215" s="98" t="inlineStr">
        <is>
          <t>TK tự mở</t>
        </is>
      </c>
    </row>
    <row r="216" ht="15" customHeight="1" s="78">
      <c r="A216" s="96">
        <f>IF(DMTK!$A215="","",DMTK!$A215&amp;"")</f>
        <v/>
      </c>
      <c r="B216" s="97">
        <f>IF(DMTK!$B215="","",DMTK!$B215)</f>
        <v/>
      </c>
      <c r="C216" s="107" t="n"/>
      <c r="D216" s="107" t="n"/>
      <c r="E216" s="98" t="inlineStr">
        <is>
          <t>TK tự mở</t>
        </is>
      </c>
    </row>
    <row r="217" ht="15" customHeight="1" s="78">
      <c r="A217" s="96">
        <f>IF(DMTK!$A216="","",DMTK!$A216&amp;"")</f>
        <v/>
      </c>
      <c r="B217" s="97">
        <f>IF(DMTK!$B216="","",DMTK!$B216)</f>
        <v/>
      </c>
      <c r="C217" s="107" t="n"/>
      <c r="D217" s="107" t="n"/>
      <c r="E217" s="98" t="inlineStr">
        <is>
          <t>TK tự mở</t>
        </is>
      </c>
    </row>
    <row r="218" ht="15" customHeight="1" s="78">
      <c r="A218" s="96">
        <f>IF(DMTK!$A217="","",DMTK!$A217&amp;"")</f>
        <v/>
      </c>
      <c r="B218" s="97">
        <f>IF(DMTK!$B217="","",DMTK!$B217)</f>
        <v/>
      </c>
      <c r="C218" s="107" t="n"/>
      <c r="D218" s="107" t="n"/>
      <c r="E218" s="98" t="inlineStr">
        <is>
          <t>TK tự mở</t>
        </is>
      </c>
    </row>
    <row r="219" ht="15" customHeight="1" s="78">
      <c r="A219" s="96">
        <f>IF(DMTK!$A218="","",DMTK!$A218&amp;"")</f>
        <v/>
      </c>
      <c r="B219" s="97">
        <f>IF(DMTK!$B218="","",DMTK!$B218)</f>
        <v/>
      </c>
      <c r="C219" s="107" t="n"/>
      <c r="D219" s="107" t="n"/>
      <c r="E219" s="98" t="inlineStr">
        <is>
          <t>TK tự mở</t>
        </is>
      </c>
    </row>
    <row r="220" ht="15" customHeight="1" s="78">
      <c r="A220" s="96">
        <f>IF(DMTK!$A219="","",DMTK!$A219&amp;"")</f>
        <v/>
      </c>
      <c r="B220" s="97">
        <f>IF(DMTK!$B219="","",DMTK!$B219)</f>
        <v/>
      </c>
      <c r="C220" s="107" t="n"/>
      <c r="D220" s="107" t="n"/>
      <c r="E220" s="98" t="inlineStr">
        <is>
          <t>TK tự mở</t>
        </is>
      </c>
    </row>
    <row r="221" ht="15" customHeight="1" s="78">
      <c r="A221" s="96">
        <f>IF(DMTK!$A220="","",DMTK!$A220&amp;"")</f>
        <v/>
      </c>
      <c r="B221" s="97">
        <f>IF(DMTK!$B220="","",DMTK!$B220)</f>
        <v/>
      </c>
      <c r="C221" s="107" t="n"/>
      <c r="D221" s="107" t="n"/>
      <c r="E221" s="98" t="inlineStr">
        <is>
          <t>TK tự mở</t>
        </is>
      </c>
    </row>
    <row r="222" ht="15" customHeight="1" s="78">
      <c r="A222" s="96">
        <f>IF(DMTK!$A221="","",DMTK!$A221&amp;"")</f>
        <v/>
      </c>
      <c r="B222" s="97">
        <f>IF(DMTK!$B221="","",DMTK!$B221)</f>
        <v/>
      </c>
      <c r="C222" s="107" t="n"/>
      <c r="D222" s="107" t="n"/>
      <c r="E222" s="98" t="inlineStr">
        <is>
          <t>TK tự mở</t>
        </is>
      </c>
    </row>
    <row r="223" ht="15" customHeight="1" s="78">
      <c r="A223" s="96">
        <f>IF(DMTK!$A222="","",DMTK!$A222&amp;"")</f>
        <v/>
      </c>
      <c r="B223" s="97">
        <f>IF(DMTK!$B222="","",DMTK!$B222)</f>
        <v/>
      </c>
      <c r="C223" s="107" t="n"/>
      <c r="D223" s="107" t="n"/>
      <c r="E223" s="98" t="inlineStr">
        <is>
          <t>TK tự mở</t>
        </is>
      </c>
    </row>
    <row r="224" ht="15" customHeight="1" s="78">
      <c r="A224" s="96">
        <f>IF(DMTK!$A223="","",DMTK!$A223&amp;"")</f>
        <v/>
      </c>
      <c r="B224" s="97">
        <f>IF(DMTK!$B223="","",DMTK!$B223)</f>
        <v/>
      </c>
      <c r="C224" s="107" t="n"/>
      <c r="D224" s="107" t="n"/>
      <c r="E224" s="98" t="inlineStr">
        <is>
          <t>TK tự mở</t>
        </is>
      </c>
    </row>
    <row r="225" ht="15" customHeight="1" s="78">
      <c r="A225" s="96">
        <f>IF(DMTK!$A224="","",DMTK!$A224&amp;"")</f>
        <v/>
      </c>
      <c r="B225" s="97">
        <f>IF(DMTK!$B224="","",DMTK!$B224)</f>
        <v/>
      </c>
      <c r="C225" s="107" t="n"/>
      <c r="D225" s="107" t="n"/>
      <c r="E225" s="98" t="inlineStr">
        <is>
          <t>TK tự mở</t>
        </is>
      </c>
    </row>
    <row r="226" ht="15" customHeight="1" s="78">
      <c r="A226" s="96">
        <f>IF(DMTK!$A225="","",DMTK!$A225&amp;"")</f>
        <v/>
      </c>
      <c r="B226" s="97">
        <f>IF(DMTK!$B225="","",DMTK!$B225)</f>
        <v/>
      </c>
      <c r="C226" s="107" t="n"/>
      <c r="D226" s="107" t="n"/>
      <c r="E226" s="98" t="inlineStr">
        <is>
          <t>TK tự mở</t>
        </is>
      </c>
    </row>
    <row r="227" ht="15" customHeight="1" s="78">
      <c r="A227" s="96">
        <f>IF(DMTK!$A226="","",DMTK!$A226&amp;"")</f>
        <v/>
      </c>
      <c r="B227" s="97">
        <f>IF(DMTK!$B226="","",DMTK!$B226)</f>
        <v/>
      </c>
      <c r="C227" s="107" t="n"/>
      <c r="D227" s="107" t="n"/>
      <c r="E227" s="98" t="inlineStr">
        <is>
          <t>TK tự mở</t>
        </is>
      </c>
    </row>
    <row r="228" ht="15" customHeight="1" s="78">
      <c r="A228" s="96">
        <f>IF(DMTK!$A227="","",DMTK!$A227&amp;"")</f>
        <v/>
      </c>
      <c r="B228" s="97">
        <f>IF(DMTK!$B227="","",DMTK!$B227)</f>
        <v/>
      </c>
      <c r="C228" s="107" t="n"/>
      <c r="D228" s="107" t="n"/>
      <c r="E228" s="98" t="inlineStr">
        <is>
          <t>TK tự mở</t>
        </is>
      </c>
    </row>
    <row r="229" ht="15" customHeight="1" s="78">
      <c r="A229" s="96">
        <f>IF(DMTK!$A228="","",DMTK!$A228&amp;"")</f>
        <v/>
      </c>
      <c r="B229" s="97">
        <f>IF(DMTK!$B228="","",DMTK!$B228)</f>
        <v/>
      </c>
      <c r="C229" s="107" t="n"/>
      <c r="D229" s="107" t="n"/>
      <c r="E229" s="98" t="inlineStr">
        <is>
          <t>TK tự mở</t>
        </is>
      </c>
    </row>
    <row r="230" ht="15" customHeight="1" s="78">
      <c r="A230" s="96">
        <f>IF(DMTK!$A229="","",DMTK!$A229&amp;"")</f>
        <v/>
      </c>
      <c r="B230" s="97">
        <f>IF(DMTK!$B229="","",DMTK!$B229)</f>
        <v/>
      </c>
      <c r="C230" s="107" t="n"/>
      <c r="D230" s="107" t="n"/>
      <c r="E230" s="98" t="inlineStr">
        <is>
          <t>TK tự mở</t>
        </is>
      </c>
    </row>
    <row r="231" ht="15" customHeight="1" s="78">
      <c r="A231" s="96">
        <f>IF(DMTK!$A230="","",DMTK!$A230&amp;"")</f>
        <v/>
      </c>
      <c r="B231" s="97">
        <f>IF(DMTK!$B230="","",DMTK!$B230)</f>
        <v/>
      </c>
      <c r="C231" s="107" t="n"/>
      <c r="D231" s="107" t="n"/>
      <c r="E231" s="98" t="inlineStr">
        <is>
          <t>TK tự mở</t>
        </is>
      </c>
    </row>
    <row r="232" ht="15" customHeight="1" s="78">
      <c r="A232" s="96">
        <f>IF(DMTK!$A231="","",DMTK!$A231&amp;"")</f>
        <v/>
      </c>
      <c r="B232" s="97">
        <f>IF(DMTK!$B231="","",DMTK!$B231)</f>
        <v/>
      </c>
      <c r="C232" s="107" t="n"/>
      <c r="D232" s="107" t="n"/>
      <c r="E232" s="98" t="inlineStr">
        <is>
          <t>TK tự mở</t>
        </is>
      </c>
    </row>
    <row r="233" ht="15" customHeight="1" s="78">
      <c r="A233" s="96">
        <f>IF(DMTK!$A232="","",DMTK!$A232&amp;"")</f>
        <v/>
      </c>
      <c r="B233" s="97">
        <f>IF(DMTK!$B232="","",DMTK!$B232)</f>
        <v/>
      </c>
      <c r="C233" s="107" t="n"/>
      <c r="D233" s="107" t="n"/>
      <c r="E233" s="98" t="inlineStr">
        <is>
          <t>TK tự mở</t>
        </is>
      </c>
    </row>
    <row r="234" ht="15" customHeight="1" s="78">
      <c r="A234" s="96">
        <f>IF(DMTK!$A233="","",DMTK!$A233&amp;"")</f>
        <v/>
      </c>
      <c r="B234" s="97">
        <f>IF(DMTK!$B233="","",DMTK!$B233)</f>
        <v/>
      </c>
      <c r="C234" s="107" t="n"/>
      <c r="D234" s="107" t="n"/>
      <c r="E234" s="98" t="inlineStr">
        <is>
          <t>TK tự mở</t>
        </is>
      </c>
    </row>
    <row r="235" ht="15" customHeight="1" s="78">
      <c r="A235" s="96">
        <f>IF(DMTK!$A234="","",DMTK!$A234&amp;"")</f>
        <v/>
      </c>
      <c r="B235" s="97">
        <f>IF(DMTK!$B234="","",DMTK!$B234)</f>
        <v/>
      </c>
      <c r="C235" s="107" t="n"/>
      <c r="D235" s="107" t="n"/>
      <c r="E235" s="98" t="inlineStr">
        <is>
          <t>TK tự mở</t>
        </is>
      </c>
    </row>
    <row r="236" ht="15" customHeight="1" s="78">
      <c r="A236" s="96">
        <f>IF(DMTK!$A235="","",DMTK!$A235&amp;"")</f>
        <v/>
      </c>
      <c r="B236" s="97">
        <f>IF(DMTK!$B235="","",DMTK!$B235)</f>
        <v/>
      </c>
      <c r="C236" s="107" t="n"/>
      <c r="D236" s="107" t="n"/>
      <c r="E236" s="98" t="inlineStr">
        <is>
          <t>TK tự mở</t>
        </is>
      </c>
    </row>
    <row r="237" ht="15" customHeight="1" s="78">
      <c r="A237" s="96">
        <f>IF(DMTK!$A236="","",DMTK!$A236&amp;"")</f>
        <v/>
      </c>
      <c r="B237" s="97">
        <f>IF(DMTK!$B236="","",DMTK!$B236)</f>
        <v/>
      </c>
      <c r="C237" s="107" t="n"/>
      <c r="D237" s="107" t="n"/>
      <c r="E237" s="98" t="inlineStr">
        <is>
          <t>TK tự mở</t>
        </is>
      </c>
    </row>
    <row r="238" ht="15" customHeight="1" s="78">
      <c r="A238" s="96">
        <f>IF(DMTK!$A237="","",DMTK!$A237&amp;"")</f>
        <v/>
      </c>
      <c r="B238" s="97">
        <f>IF(DMTK!$B237="","",DMTK!$B237)</f>
        <v/>
      </c>
      <c r="C238" s="107" t="n"/>
      <c r="D238" s="107" t="n"/>
      <c r="E238" s="98" t="inlineStr">
        <is>
          <t>TK tự mở</t>
        </is>
      </c>
    </row>
    <row r="239" ht="15" customHeight="1" s="78">
      <c r="A239" s="96">
        <f>IF(DMTK!$A238="","",DMTK!$A238&amp;"")</f>
        <v/>
      </c>
      <c r="B239" s="97">
        <f>IF(DMTK!$B238="","",DMTK!$B238)</f>
        <v/>
      </c>
      <c r="C239" s="107" t="n"/>
      <c r="D239" s="107" t="n"/>
      <c r="E239" s="98" t="inlineStr">
        <is>
          <t>TK tự mở</t>
        </is>
      </c>
    </row>
    <row r="240" ht="15" customHeight="1" s="78">
      <c r="A240" s="96">
        <f>IF(DMTK!$A239="","",DMTK!$A239&amp;"")</f>
        <v/>
      </c>
      <c r="B240" s="97">
        <f>IF(DMTK!$B239="","",DMTK!$B239)</f>
        <v/>
      </c>
      <c r="C240" s="107" t="n"/>
      <c r="D240" s="107" t="n"/>
      <c r="E240" s="98" t="inlineStr">
        <is>
          <t>TK tự mở</t>
        </is>
      </c>
    </row>
    <row r="241" ht="15" customHeight="1" s="78">
      <c r="A241" s="96">
        <f>IF(DMTK!$A240="","",DMTK!$A240&amp;"")</f>
        <v/>
      </c>
      <c r="B241" s="97">
        <f>IF(DMTK!$B240="","",DMTK!$B240)</f>
        <v/>
      </c>
      <c r="C241" s="107" t="n"/>
      <c r="D241" s="107" t="n"/>
      <c r="E241" s="98" t="inlineStr">
        <is>
          <t>TK tự mở</t>
        </is>
      </c>
    </row>
    <row r="242" ht="15" customHeight="1" s="78">
      <c r="A242" s="96">
        <f>IF(DMTK!$A241="","",DMTK!$A241&amp;"")</f>
        <v/>
      </c>
      <c r="B242" s="97">
        <f>IF(DMTK!$B241="","",DMTK!$B241)</f>
        <v/>
      </c>
      <c r="C242" s="107" t="n"/>
      <c r="D242" s="107" t="n"/>
      <c r="E242" s="98" t="inlineStr">
        <is>
          <t>TK tự mở</t>
        </is>
      </c>
    </row>
    <row r="243" ht="15" customHeight="1" s="78">
      <c r="A243" s="96">
        <f>IF(DMTK!$A242="","",DMTK!$A242&amp;"")</f>
        <v/>
      </c>
      <c r="B243" s="97">
        <f>IF(DMTK!$B242="","",DMTK!$B242)</f>
        <v/>
      </c>
      <c r="C243" s="107" t="n"/>
      <c r="D243" s="107" t="n"/>
      <c r="E243" s="98" t="inlineStr">
        <is>
          <t>TK tự mở</t>
        </is>
      </c>
    </row>
    <row r="244" ht="15" customHeight="1" s="78">
      <c r="A244" s="96">
        <f>IF(DMTK!$A243="","",DMTK!$A243&amp;"")</f>
        <v/>
      </c>
      <c r="B244" s="97">
        <f>IF(DMTK!$B243="","",DMTK!$B243)</f>
        <v/>
      </c>
      <c r="C244" s="107" t="n"/>
      <c r="D244" s="107" t="n"/>
      <c r="E244" s="98" t="inlineStr">
        <is>
          <t>TK tự mở</t>
        </is>
      </c>
    </row>
    <row r="245" ht="15" customHeight="1" s="78">
      <c r="A245" s="96">
        <f>IF(DMTK!$A244="","",DMTK!$A244&amp;"")</f>
        <v/>
      </c>
      <c r="B245" s="97">
        <f>IF(DMTK!$B244="","",DMTK!$B244)</f>
        <v/>
      </c>
      <c r="C245" s="107" t="n"/>
      <c r="D245" s="107" t="n"/>
      <c r="E245" s="98" t="inlineStr">
        <is>
          <t>TK tự mở</t>
        </is>
      </c>
    </row>
    <row r="246" ht="15" customHeight="1" s="78">
      <c r="A246" s="96">
        <f>IF(DMTK!$A245="","",DMTK!$A245&amp;"")</f>
        <v/>
      </c>
      <c r="B246" s="97">
        <f>IF(DMTK!$B245="","",DMTK!$B245)</f>
        <v/>
      </c>
      <c r="C246" s="107" t="n"/>
      <c r="D246" s="107" t="n"/>
      <c r="E246" s="98" t="inlineStr">
        <is>
          <t>TK tự mở</t>
        </is>
      </c>
    </row>
    <row r="247" ht="15" customHeight="1" s="78">
      <c r="A247" s="96">
        <f>IF(DMTK!$A246="","",DMTK!$A246&amp;"")</f>
        <v/>
      </c>
      <c r="B247" s="97">
        <f>IF(DMTK!$B246="","",DMTK!$B246)</f>
        <v/>
      </c>
      <c r="C247" s="107" t="n"/>
      <c r="D247" s="107" t="n"/>
      <c r="E247" s="98" t="inlineStr">
        <is>
          <t>TK tự mở</t>
        </is>
      </c>
    </row>
    <row r="248" ht="15" customHeight="1" s="78">
      <c r="A248" s="96">
        <f>IF(DMTK!$A247="","",DMTK!$A247&amp;"")</f>
        <v/>
      </c>
      <c r="B248" s="97">
        <f>IF(DMTK!$B247="","",DMTK!$B247)</f>
        <v/>
      </c>
      <c r="C248" s="107" t="n"/>
      <c r="D248" s="107" t="n"/>
      <c r="E248" s="98" t="inlineStr">
        <is>
          <t>TK tự mở</t>
        </is>
      </c>
    </row>
    <row r="249" ht="15" customHeight="1" s="78">
      <c r="A249" s="96">
        <f>IF(DMTK!$A248="","",DMTK!$A248&amp;"")</f>
        <v/>
      </c>
      <c r="B249" s="97">
        <f>IF(DMTK!$B248="","",DMTK!$B248)</f>
        <v/>
      </c>
      <c r="C249" s="107" t="n"/>
      <c r="D249" s="107" t="n"/>
      <c r="E249" s="98" t="inlineStr">
        <is>
          <t>TK tự mở</t>
        </is>
      </c>
    </row>
    <row r="250" ht="15" customHeight="1" s="78">
      <c r="A250" s="96">
        <f>IF(DMTK!$A249="","",DMTK!$A249&amp;"")</f>
        <v/>
      </c>
      <c r="B250" s="97">
        <f>IF(DMTK!$B249="","",DMTK!$B249)</f>
        <v/>
      </c>
      <c r="C250" s="107" t="n"/>
      <c r="D250" s="107" t="n"/>
      <c r="E250" s="98" t="inlineStr">
        <is>
          <t>TK tự mở</t>
        </is>
      </c>
    </row>
    <row r="251" ht="15" customHeight="1" s="78">
      <c r="A251" s="96">
        <f>IF(DMTK!$A250="","",DMTK!$A250&amp;"")</f>
        <v/>
      </c>
      <c r="B251" s="97">
        <f>IF(DMTK!$B250="","",DMTK!$B250)</f>
        <v/>
      </c>
      <c r="C251" s="107" t="n"/>
      <c r="D251" s="107" t="n"/>
      <c r="E251" s="98" t="inlineStr">
        <is>
          <t>TK tự mở</t>
        </is>
      </c>
    </row>
    <row r="254" ht="15" customHeight="1" s="78">
      <c r="A254" s="111" t="inlineStr">
        <is>
          <t>SỐ DƯ CÔNG NỢ ĐẦU NĂM THEO TỪNG ĐỐI TƯỢNG (TK 131, 331)</t>
        </is>
      </c>
    </row>
    <row r="255" ht="27.75" customHeight="1" s="78">
      <c r="A255" s="92" t="inlineStr">
        <is>
          <t>TK</t>
        </is>
      </c>
      <c r="B255" s="92" t="inlineStr">
        <is>
          <t>Mã ĐT</t>
        </is>
      </c>
      <c r="C255" s="92" t="inlineStr">
        <is>
          <t>Tên đối tượng</t>
        </is>
      </c>
      <c r="D255" s="92" t="inlineStr">
        <is>
          <t>Dư Nợ đầu năm</t>
        </is>
      </c>
      <c r="E255" s="92" t="inlineStr">
        <is>
          <t>Dư Có đầu năm</t>
        </is>
      </c>
    </row>
    <row r="256" ht="25.35" customHeight="1" s="78">
      <c r="A256" s="99" t="inlineStr">
        <is>
          <t>131</t>
        </is>
      </c>
      <c r="B256" s="99" t="inlineStr">
        <is>
          <t>KH001</t>
        </is>
      </c>
      <c r="C256" s="97">
        <f>IF($B256="","",IFERROR(INDEX(DM_DT!$B$7:$B$306,MATCH($B256,DM_DT!$A$7:$A$306,0)),"⚠ chưa khai báo"))</f>
        <v/>
      </c>
      <c r="D256" s="107" t="n">
        <v>110000000</v>
      </c>
      <c r="E256" s="107" t="n"/>
    </row>
    <row r="257" ht="25.35" customHeight="1" s="78">
      <c r="A257" s="99" t="inlineStr">
        <is>
          <t>131</t>
        </is>
      </c>
      <c r="B257" s="99" t="inlineStr">
        <is>
          <t>KH002</t>
        </is>
      </c>
      <c r="C257" s="97">
        <f>IF($B257="","",IFERROR(INDEX(DM_DT!$B$7:$B$306,MATCH($B257,DM_DT!$A$7:$A$306,0)),"⚠ chưa khai báo"))</f>
        <v/>
      </c>
      <c r="D257" s="107" t="n">
        <v>44000000</v>
      </c>
      <c r="E257" s="107" t="n"/>
    </row>
    <row r="258" ht="25.35" customHeight="1" s="78">
      <c r="A258" s="99" t="inlineStr">
        <is>
          <t>331</t>
        </is>
      </c>
      <c r="B258" s="99" t="inlineStr">
        <is>
          <t>NCC001</t>
        </is>
      </c>
      <c r="C258" s="97">
        <f>IF($B258="","",IFERROR(INDEX(DM_DT!$B$7:$B$306,MATCH($B258,DM_DT!$A$7:$A$306,0)),"⚠ chưa khai báo"))</f>
        <v/>
      </c>
      <c r="D258" s="107" t="n"/>
      <c r="E258" s="107" t="n">
        <v>88000000</v>
      </c>
    </row>
    <row r="259" ht="25.35" customHeight="1" s="78">
      <c r="A259" s="99" t="inlineStr">
        <is>
          <t>331</t>
        </is>
      </c>
      <c r="B259" s="99" t="inlineStr">
        <is>
          <t>NCC002</t>
        </is>
      </c>
      <c r="C259" s="97">
        <f>IF($B259="","",IFERROR(INDEX(DM_DT!$B$7:$B$306,MATCH($B259,DM_DT!$A$7:$A$306,0)),"⚠ chưa khai báo"))</f>
        <v/>
      </c>
      <c r="D259" s="107" t="n"/>
      <c r="E259" s="107" t="n">
        <v>44000000</v>
      </c>
    </row>
    <row r="260" ht="15" customHeight="1" s="78">
      <c r="A260" s="99" t="n"/>
      <c r="B260" s="99" t="n"/>
      <c r="C260" s="97">
        <f>IF($B260="","",IFERROR(INDEX(DM_DT!$B$7:$B$306,MATCH($B260,DM_DT!$A$7:$A$306,0)),"⚠ chưa khai báo"))</f>
        <v/>
      </c>
      <c r="D260" s="107" t="n"/>
      <c r="E260" s="107" t="n"/>
    </row>
    <row r="261" ht="15" customHeight="1" s="78">
      <c r="A261" s="99" t="n"/>
      <c r="B261" s="99" t="n"/>
      <c r="C261" s="97">
        <f>IF($B261="","",IFERROR(INDEX(DM_DT!$B$7:$B$306,MATCH($B261,DM_DT!$A$7:$A$306,0)),"⚠ chưa khai báo"))</f>
        <v/>
      </c>
      <c r="D261" s="107" t="n"/>
      <c r="E261" s="107" t="n"/>
    </row>
    <row r="262" ht="15" customHeight="1" s="78">
      <c r="A262" s="99" t="n"/>
      <c r="B262" s="99" t="n"/>
      <c r="C262" s="97">
        <f>IF($B262="","",IFERROR(INDEX(DM_DT!$B$7:$B$306,MATCH($B262,DM_DT!$A$7:$A$306,0)),"⚠ chưa khai báo"))</f>
        <v/>
      </c>
      <c r="D262" s="107" t="n"/>
      <c r="E262" s="107" t="n"/>
    </row>
    <row r="263" ht="15" customHeight="1" s="78">
      <c r="A263" s="99" t="n"/>
      <c r="B263" s="99" t="n"/>
      <c r="C263" s="97">
        <f>IF($B263="","",IFERROR(INDEX(DM_DT!$B$7:$B$306,MATCH($B263,DM_DT!$A$7:$A$306,0)),"⚠ chưa khai báo"))</f>
        <v/>
      </c>
      <c r="D263" s="107" t="n"/>
      <c r="E263" s="107" t="n"/>
    </row>
    <row r="264" ht="15" customHeight="1" s="78">
      <c r="A264" s="99" t="n"/>
      <c r="B264" s="99" t="n"/>
      <c r="C264" s="97">
        <f>IF($B264="","",IFERROR(INDEX(DM_DT!$B$7:$B$306,MATCH($B264,DM_DT!$A$7:$A$306,0)),"⚠ chưa khai báo"))</f>
        <v/>
      </c>
      <c r="D264" s="107" t="n"/>
      <c r="E264" s="107" t="n"/>
    </row>
    <row r="265" ht="15" customHeight="1" s="78">
      <c r="A265" s="99" t="n"/>
      <c r="B265" s="99" t="n"/>
      <c r="C265" s="97">
        <f>IF($B265="","",IFERROR(INDEX(DM_DT!$B$7:$B$306,MATCH($B265,DM_DT!$A$7:$A$306,0)),"⚠ chưa khai báo"))</f>
        <v/>
      </c>
      <c r="D265" s="107" t="n"/>
      <c r="E265" s="107" t="n"/>
    </row>
    <row r="266" ht="15" customHeight="1" s="78">
      <c r="A266" s="99" t="n"/>
      <c r="B266" s="99" t="n"/>
      <c r="C266" s="97">
        <f>IF($B266="","",IFERROR(INDEX(DM_DT!$B$7:$B$306,MATCH($B266,DM_DT!$A$7:$A$306,0)),"⚠ chưa khai báo"))</f>
        <v/>
      </c>
      <c r="D266" s="107" t="n"/>
      <c r="E266" s="107" t="n"/>
    </row>
    <row r="267" ht="15" customHeight="1" s="78">
      <c r="A267" s="99" t="n"/>
      <c r="B267" s="99" t="n"/>
      <c r="C267" s="97">
        <f>IF($B267="","",IFERROR(INDEX(DM_DT!$B$7:$B$306,MATCH($B267,DM_DT!$A$7:$A$306,0)),"⚠ chưa khai báo"))</f>
        <v/>
      </c>
      <c r="D267" s="107" t="n"/>
      <c r="E267" s="107" t="n"/>
    </row>
    <row r="268" ht="15" customHeight="1" s="78">
      <c r="A268" s="99" t="n"/>
      <c r="B268" s="99" t="n"/>
      <c r="C268" s="97">
        <f>IF($B268="","",IFERROR(INDEX(DM_DT!$B$7:$B$306,MATCH($B268,DM_DT!$A$7:$A$306,0)),"⚠ chưa khai báo"))</f>
        <v/>
      </c>
      <c r="D268" s="107" t="n"/>
      <c r="E268" s="107" t="n"/>
    </row>
    <row r="269" ht="15" customHeight="1" s="78">
      <c r="A269" s="99" t="n"/>
      <c r="B269" s="99" t="n"/>
      <c r="C269" s="97">
        <f>IF($B269="","",IFERROR(INDEX(DM_DT!$B$7:$B$306,MATCH($B269,DM_DT!$A$7:$A$306,0)),"⚠ chưa khai báo"))</f>
        <v/>
      </c>
      <c r="D269" s="107" t="n"/>
      <c r="E269" s="107" t="n"/>
    </row>
    <row r="270" ht="15" customHeight="1" s="78">
      <c r="A270" s="99" t="n"/>
      <c r="B270" s="99" t="n"/>
      <c r="C270" s="97">
        <f>IF($B270="","",IFERROR(INDEX(DM_DT!$B$7:$B$306,MATCH($B270,DM_DT!$A$7:$A$306,0)),"⚠ chưa khai báo"))</f>
        <v/>
      </c>
      <c r="D270" s="107" t="n"/>
      <c r="E270" s="107" t="n"/>
    </row>
    <row r="271" ht="15" customHeight="1" s="78">
      <c r="A271" s="99" t="n"/>
      <c r="B271" s="99" t="n"/>
      <c r="C271" s="97">
        <f>IF($B271="","",IFERROR(INDEX(DM_DT!$B$7:$B$306,MATCH($B271,DM_DT!$A$7:$A$306,0)),"⚠ chưa khai báo"))</f>
        <v/>
      </c>
      <c r="D271" s="107" t="n"/>
      <c r="E271" s="107" t="n"/>
    </row>
    <row r="272" ht="15" customHeight="1" s="78">
      <c r="A272" s="99" t="n"/>
      <c r="B272" s="99" t="n"/>
      <c r="C272" s="97">
        <f>IF($B272="","",IFERROR(INDEX(DM_DT!$B$7:$B$306,MATCH($B272,DM_DT!$A$7:$A$306,0)),"⚠ chưa khai báo"))</f>
        <v/>
      </c>
      <c r="D272" s="107" t="n"/>
      <c r="E272" s="107" t="n"/>
    </row>
    <row r="273" ht="15" customHeight="1" s="78">
      <c r="A273" s="99" t="n"/>
      <c r="B273" s="99" t="n"/>
      <c r="C273" s="97">
        <f>IF($B273="","",IFERROR(INDEX(DM_DT!$B$7:$B$306,MATCH($B273,DM_DT!$A$7:$A$306,0)),"⚠ chưa khai báo"))</f>
        <v/>
      </c>
      <c r="D273" s="107" t="n"/>
      <c r="E273" s="107" t="n"/>
    </row>
    <row r="274" ht="15" customHeight="1" s="78">
      <c r="A274" s="99" t="n"/>
      <c r="B274" s="99" t="n"/>
      <c r="C274" s="97">
        <f>IF($B274="","",IFERROR(INDEX(DM_DT!$B$7:$B$306,MATCH($B274,DM_DT!$A$7:$A$306,0)),"⚠ chưa khai báo"))</f>
        <v/>
      </c>
      <c r="D274" s="107" t="n"/>
      <c r="E274" s="107" t="n"/>
    </row>
    <row r="275" ht="15" customHeight="1" s="78">
      <c r="A275" s="99" t="n"/>
      <c r="B275" s="99" t="n"/>
      <c r="C275" s="97">
        <f>IF($B275="","",IFERROR(INDEX(DM_DT!$B$7:$B$306,MATCH($B275,DM_DT!$A$7:$A$306,0)),"⚠ chưa khai báo"))</f>
        <v/>
      </c>
      <c r="D275" s="107" t="n"/>
      <c r="E275" s="107" t="n"/>
    </row>
    <row r="276" ht="15" customHeight="1" s="78">
      <c r="A276" s="99" t="n"/>
      <c r="B276" s="99" t="n"/>
      <c r="C276" s="97">
        <f>IF($B276="","",IFERROR(INDEX(DM_DT!$B$7:$B$306,MATCH($B276,DM_DT!$A$7:$A$306,0)),"⚠ chưa khai báo"))</f>
        <v/>
      </c>
      <c r="D276" s="107" t="n"/>
      <c r="E276" s="107" t="n"/>
    </row>
    <row r="277" ht="15" customHeight="1" s="78">
      <c r="A277" s="99" t="n"/>
      <c r="B277" s="99" t="n"/>
      <c r="C277" s="97">
        <f>IF($B277="","",IFERROR(INDEX(DM_DT!$B$7:$B$306,MATCH($B277,DM_DT!$A$7:$A$306,0)),"⚠ chưa khai báo"))</f>
        <v/>
      </c>
      <c r="D277" s="107" t="n"/>
      <c r="E277" s="107" t="n"/>
    </row>
    <row r="278" ht="15" customHeight="1" s="78">
      <c r="A278" s="99" t="n"/>
      <c r="B278" s="99" t="n"/>
      <c r="C278" s="97">
        <f>IF($B278="","",IFERROR(INDEX(DM_DT!$B$7:$B$306,MATCH($B278,DM_DT!$A$7:$A$306,0)),"⚠ chưa khai báo"))</f>
        <v/>
      </c>
      <c r="D278" s="107" t="n"/>
      <c r="E278" s="107" t="n"/>
    </row>
    <row r="279" ht="15" customHeight="1" s="78">
      <c r="A279" s="99" t="n"/>
      <c r="B279" s="99" t="n"/>
      <c r="C279" s="97">
        <f>IF($B279="","",IFERROR(INDEX(DM_DT!$B$7:$B$306,MATCH($B279,DM_DT!$A$7:$A$306,0)),"⚠ chưa khai báo"))</f>
        <v/>
      </c>
      <c r="D279" s="107" t="n"/>
      <c r="E279" s="107" t="n"/>
    </row>
    <row r="280" ht="15" customHeight="1" s="78">
      <c r="A280" s="99" t="n"/>
      <c r="B280" s="99" t="n"/>
      <c r="C280" s="97">
        <f>IF($B280="","",IFERROR(INDEX(DM_DT!$B$7:$B$306,MATCH($B280,DM_DT!$A$7:$A$306,0)),"⚠ chưa khai báo"))</f>
        <v/>
      </c>
      <c r="D280" s="107" t="n"/>
      <c r="E280" s="107" t="n"/>
    </row>
    <row r="281" ht="15" customHeight="1" s="78">
      <c r="A281" s="99" t="n"/>
      <c r="B281" s="99" t="n"/>
      <c r="C281" s="97">
        <f>IF($B281="","",IFERROR(INDEX(DM_DT!$B$7:$B$306,MATCH($B281,DM_DT!$A$7:$A$306,0)),"⚠ chưa khai báo"))</f>
        <v/>
      </c>
      <c r="D281" s="107" t="n"/>
      <c r="E281" s="107" t="n"/>
    </row>
    <row r="282" ht="15" customHeight="1" s="78">
      <c r="A282" s="99" t="n"/>
      <c r="B282" s="99" t="n"/>
      <c r="C282" s="97">
        <f>IF($B282="","",IFERROR(INDEX(DM_DT!$B$7:$B$306,MATCH($B282,DM_DT!$A$7:$A$306,0)),"⚠ chưa khai báo"))</f>
        <v/>
      </c>
      <c r="D282" s="107" t="n"/>
      <c r="E282" s="107" t="n"/>
    </row>
    <row r="283" ht="15" customHeight="1" s="78">
      <c r="A283" s="99" t="n"/>
      <c r="B283" s="99" t="n"/>
      <c r="C283" s="97">
        <f>IF($B283="","",IFERROR(INDEX(DM_DT!$B$7:$B$306,MATCH($B283,DM_DT!$A$7:$A$306,0)),"⚠ chưa khai báo"))</f>
        <v/>
      </c>
      <c r="D283" s="107" t="n"/>
      <c r="E283" s="107" t="n"/>
    </row>
    <row r="284" ht="15" customHeight="1" s="78">
      <c r="A284" s="99" t="n"/>
      <c r="B284" s="99" t="n"/>
      <c r="C284" s="97">
        <f>IF($B284="","",IFERROR(INDEX(DM_DT!$B$7:$B$306,MATCH($B284,DM_DT!$A$7:$A$306,0)),"⚠ chưa khai báo"))</f>
        <v/>
      </c>
      <c r="D284" s="107" t="n"/>
      <c r="E284" s="107" t="n"/>
    </row>
    <row r="285" ht="15" customHeight="1" s="78">
      <c r="A285" s="99" t="n"/>
      <c r="B285" s="99" t="n"/>
      <c r="C285" s="97">
        <f>IF($B285="","",IFERROR(INDEX(DM_DT!$B$7:$B$306,MATCH($B285,DM_DT!$A$7:$A$306,0)),"⚠ chưa khai báo"))</f>
        <v/>
      </c>
      <c r="D285" s="107" t="n"/>
      <c r="E285" s="107" t="n"/>
    </row>
    <row r="286" ht="15" customHeight="1" s="78">
      <c r="A286" s="99" t="n"/>
      <c r="B286" s="99" t="n"/>
      <c r="C286" s="97">
        <f>IF($B286="","",IFERROR(INDEX(DM_DT!$B$7:$B$306,MATCH($B286,DM_DT!$A$7:$A$306,0)),"⚠ chưa khai báo"))</f>
        <v/>
      </c>
      <c r="D286" s="107" t="n"/>
      <c r="E286" s="107" t="n"/>
    </row>
    <row r="287" ht="15" customHeight="1" s="78">
      <c r="A287" s="99" t="n"/>
      <c r="B287" s="99" t="n"/>
      <c r="C287" s="97">
        <f>IF($B287="","",IFERROR(INDEX(DM_DT!$B$7:$B$306,MATCH($B287,DM_DT!$A$7:$A$306,0)),"⚠ chưa khai báo"))</f>
        <v/>
      </c>
      <c r="D287" s="107" t="n"/>
      <c r="E287" s="107" t="n"/>
    </row>
    <row r="288" ht="15" customHeight="1" s="78">
      <c r="A288" s="99" t="n"/>
      <c r="B288" s="99" t="n"/>
      <c r="C288" s="97">
        <f>IF($B288="","",IFERROR(INDEX(DM_DT!$B$7:$B$306,MATCH($B288,DM_DT!$A$7:$A$306,0)),"⚠ chưa khai báo"))</f>
        <v/>
      </c>
      <c r="D288" s="107" t="n"/>
      <c r="E288" s="107" t="n"/>
    </row>
    <row r="289" ht="15" customHeight="1" s="78">
      <c r="A289" s="99" t="n"/>
      <c r="B289" s="99" t="n"/>
      <c r="C289" s="97">
        <f>IF($B289="","",IFERROR(INDEX(DM_DT!$B$7:$B$306,MATCH($B289,DM_DT!$A$7:$A$306,0)),"⚠ chưa khai báo"))</f>
        <v/>
      </c>
      <c r="D289" s="107" t="n"/>
      <c r="E289" s="107" t="n"/>
    </row>
    <row r="290" ht="15" customHeight="1" s="78">
      <c r="A290" s="99" t="n"/>
      <c r="B290" s="99" t="n"/>
      <c r="C290" s="97">
        <f>IF($B290="","",IFERROR(INDEX(DM_DT!$B$7:$B$306,MATCH($B290,DM_DT!$A$7:$A$306,0)),"⚠ chưa khai báo"))</f>
        <v/>
      </c>
      <c r="D290" s="107" t="n"/>
      <c r="E290" s="107" t="n"/>
    </row>
    <row r="291" ht="15" customHeight="1" s="78">
      <c r="A291" s="99" t="n"/>
      <c r="B291" s="99" t="n"/>
      <c r="C291" s="97">
        <f>IF($B291="","",IFERROR(INDEX(DM_DT!$B$7:$B$306,MATCH($B291,DM_DT!$A$7:$A$306,0)),"⚠ chưa khai báo"))</f>
        <v/>
      </c>
      <c r="D291" s="107" t="n"/>
      <c r="E291" s="107" t="n"/>
    </row>
    <row r="292" ht="15" customHeight="1" s="78">
      <c r="A292" s="99" t="n"/>
      <c r="B292" s="99" t="n"/>
      <c r="C292" s="97">
        <f>IF($B292="","",IFERROR(INDEX(DM_DT!$B$7:$B$306,MATCH($B292,DM_DT!$A$7:$A$306,0)),"⚠ chưa khai báo"))</f>
        <v/>
      </c>
      <c r="D292" s="107" t="n"/>
      <c r="E292" s="107" t="n"/>
    </row>
    <row r="293" ht="15" customHeight="1" s="78">
      <c r="A293" s="99" t="n"/>
      <c r="B293" s="99" t="n"/>
      <c r="C293" s="97">
        <f>IF($B293="","",IFERROR(INDEX(DM_DT!$B$7:$B$306,MATCH($B293,DM_DT!$A$7:$A$306,0)),"⚠ chưa khai báo"))</f>
        <v/>
      </c>
      <c r="D293" s="107" t="n"/>
      <c r="E293" s="107" t="n"/>
    </row>
    <row r="294" ht="15" customHeight="1" s="78">
      <c r="A294" s="99" t="n"/>
      <c r="B294" s="99" t="n"/>
      <c r="C294" s="97">
        <f>IF($B294="","",IFERROR(INDEX(DM_DT!$B$7:$B$306,MATCH($B294,DM_DT!$A$7:$A$306,0)),"⚠ chưa khai báo"))</f>
        <v/>
      </c>
      <c r="D294" s="107" t="n"/>
      <c r="E294" s="107" t="n"/>
    </row>
    <row r="295" ht="15" customHeight="1" s="78">
      <c r="A295" s="99" t="n"/>
      <c r="B295" s="99" t="n"/>
      <c r="C295" s="97">
        <f>IF($B295="","",IFERROR(INDEX(DM_DT!$B$7:$B$306,MATCH($B295,DM_DT!$A$7:$A$306,0)),"⚠ chưa khai báo"))</f>
        <v/>
      </c>
      <c r="D295" s="107" t="n"/>
      <c r="E295" s="107" t="n"/>
    </row>
    <row r="296" ht="15" customHeight="1" s="78">
      <c r="A296" s="99" t="n"/>
      <c r="B296" s="99" t="n"/>
      <c r="C296" s="97">
        <f>IF($B296="","",IFERROR(INDEX(DM_DT!$B$7:$B$306,MATCH($B296,DM_DT!$A$7:$A$306,0)),"⚠ chưa khai báo"))</f>
        <v/>
      </c>
      <c r="D296" s="107" t="n"/>
      <c r="E296" s="107" t="n"/>
    </row>
    <row r="297" ht="15" customHeight="1" s="78">
      <c r="A297" s="99" t="n"/>
      <c r="B297" s="99" t="n"/>
      <c r="C297" s="97">
        <f>IF($B297="","",IFERROR(INDEX(DM_DT!$B$7:$B$306,MATCH($B297,DM_DT!$A$7:$A$306,0)),"⚠ chưa khai báo"))</f>
        <v/>
      </c>
      <c r="D297" s="107" t="n"/>
      <c r="E297" s="107" t="n"/>
    </row>
    <row r="298" ht="15" customHeight="1" s="78">
      <c r="A298" s="99" t="n"/>
      <c r="B298" s="99" t="n"/>
      <c r="C298" s="97">
        <f>IF($B298="","",IFERROR(INDEX(DM_DT!$B$7:$B$306,MATCH($B298,DM_DT!$A$7:$A$306,0)),"⚠ chưa khai báo"))</f>
        <v/>
      </c>
      <c r="D298" s="107" t="n"/>
      <c r="E298" s="107" t="n"/>
    </row>
    <row r="299" ht="15" customHeight="1" s="78">
      <c r="A299" s="99" t="n"/>
      <c r="B299" s="99" t="n"/>
      <c r="C299" s="97">
        <f>IF($B299="","",IFERROR(INDEX(DM_DT!$B$7:$B$306,MATCH($B299,DM_DT!$A$7:$A$306,0)),"⚠ chưa khai báo"))</f>
        <v/>
      </c>
      <c r="D299" s="107" t="n"/>
      <c r="E299" s="107" t="n"/>
    </row>
    <row r="300" ht="15" customHeight="1" s="78">
      <c r="A300" s="99" t="n"/>
      <c r="B300" s="99" t="n"/>
      <c r="C300" s="97">
        <f>IF($B300="","",IFERROR(INDEX(DM_DT!$B$7:$B$306,MATCH($B300,DM_DT!$A$7:$A$306,0)),"⚠ chưa khai báo"))</f>
        <v/>
      </c>
      <c r="D300" s="107" t="n"/>
      <c r="E300" s="107" t="n"/>
    </row>
    <row r="301" ht="15" customHeight="1" s="78">
      <c r="A301" s="99" t="n"/>
      <c r="B301" s="99" t="n"/>
      <c r="C301" s="97">
        <f>IF($B301="","",IFERROR(INDEX(DM_DT!$B$7:$B$306,MATCH($B301,DM_DT!$A$7:$A$306,0)),"⚠ chưa khai báo"))</f>
        <v/>
      </c>
      <c r="D301" s="107" t="n"/>
      <c r="E301" s="107" t="n"/>
    </row>
    <row r="302" ht="15" customHeight="1" s="78">
      <c r="A302" s="99" t="n"/>
      <c r="B302" s="99" t="n"/>
      <c r="C302" s="97">
        <f>IF($B302="","",IFERROR(INDEX(DM_DT!$B$7:$B$306,MATCH($B302,DM_DT!$A$7:$A$306,0)),"⚠ chưa khai báo"))</f>
        <v/>
      </c>
      <c r="D302" s="107" t="n"/>
      <c r="E302" s="107" t="n"/>
    </row>
    <row r="303" ht="15" customHeight="1" s="78">
      <c r="A303" s="99" t="n"/>
      <c r="B303" s="99" t="n"/>
      <c r="C303" s="97">
        <f>IF($B303="","",IFERROR(INDEX(DM_DT!$B$7:$B$306,MATCH($B303,DM_DT!$A$7:$A$306,0)),"⚠ chưa khai báo"))</f>
        <v/>
      </c>
      <c r="D303" s="107" t="n"/>
      <c r="E303" s="107" t="n"/>
    </row>
    <row r="304" ht="15" customHeight="1" s="78">
      <c r="A304" s="99" t="n"/>
      <c r="B304" s="99" t="n"/>
      <c r="C304" s="97">
        <f>IF($B304="","",IFERROR(INDEX(DM_DT!$B$7:$B$306,MATCH($B304,DM_DT!$A$7:$A$306,0)),"⚠ chưa khai báo"))</f>
        <v/>
      </c>
      <c r="D304" s="107" t="n"/>
      <c r="E304" s="107" t="n"/>
    </row>
    <row r="305" ht="15" customHeight="1" s="78">
      <c r="A305" s="99" t="n"/>
      <c r="B305" s="99" t="n"/>
      <c r="C305" s="97">
        <f>IF($B305="","",IFERROR(INDEX(DM_DT!$B$7:$B$306,MATCH($B305,DM_DT!$A$7:$A$306,0)),"⚠ chưa khai báo"))</f>
        <v/>
      </c>
      <c r="D305" s="107" t="n"/>
      <c r="E305" s="107" t="n"/>
    </row>
    <row r="306" ht="15" customHeight="1" s="78">
      <c r="A306" s="99" t="n"/>
      <c r="B306" s="99" t="n"/>
      <c r="C306" s="97">
        <f>IF($B306="","",IFERROR(INDEX(DM_DT!$B$7:$B$306,MATCH($B306,DM_DT!$A$7:$A$306,0)),"⚠ chưa khai báo"))</f>
        <v/>
      </c>
      <c r="D306" s="107" t="n"/>
      <c r="E306" s="107" t="n"/>
    </row>
    <row r="307" ht="15" customHeight="1" s="78">
      <c r="A307" s="99" t="n"/>
      <c r="B307" s="99" t="n"/>
      <c r="C307" s="97">
        <f>IF($B307="","",IFERROR(INDEX(DM_DT!$B$7:$B$306,MATCH($B307,DM_DT!$A$7:$A$306,0)),"⚠ chưa khai báo"))</f>
        <v/>
      </c>
      <c r="D307" s="107" t="n"/>
      <c r="E307" s="107" t="n"/>
    </row>
    <row r="308" ht="15" customHeight="1" s="78">
      <c r="A308" s="99" t="n"/>
      <c r="B308" s="99" t="n"/>
      <c r="C308" s="97">
        <f>IF($B308="","",IFERROR(INDEX(DM_DT!$B$7:$B$306,MATCH($B308,DM_DT!$A$7:$A$306,0)),"⚠ chưa khai báo"))</f>
        <v/>
      </c>
      <c r="D308" s="107" t="n"/>
      <c r="E308" s="107" t="n"/>
    </row>
    <row r="309" ht="15" customHeight="1" s="78">
      <c r="A309" s="99" t="n"/>
      <c r="B309" s="99" t="n"/>
      <c r="C309" s="97">
        <f>IF($B309="","",IFERROR(INDEX(DM_DT!$B$7:$B$306,MATCH($B309,DM_DT!$A$7:$A$306,0)),"⚠ chưa khai báo"))</f>
        <v/>
      </c>
      <c r="D309" s="107" t="n"/>
      <c r="E309" s="107" t="n"/>
    </row>
    <row r="310" ht="15" customHeight="1" s="78">
      <c r="A310" s="99" t="n"/>
      <c r="B310" s="99" t="n"/>
      <c r="C310" s="97">
        <f>IF($B310="","",IFERROR(INDEX(DM_DT!$B$7:$B$306,MATCH($B310,DM_DT!$A$7:$A$306,0)),"⚠ chưa khai báo"))</f>
        <v/>
      </c>
      <c r="D310" s="107" t="n"/>
      <c r="E310" s="107" t="n"/>
    </row>
    <row r="311" ht="15" customHeight="1" s="78">
      <c r="A311" s="99" t="n"/>
      <c r="B311" s="99" t="n"/>
      <c r="C311" s="97">
        <f>IF($B311="","",IFERROR(INDEX(DM_DT!$B$7:$B$306,MATCH($B311,DM_DT!$A$7:$A$306,0)),"⚠ chưa khai báo"))</f>
        <v/>
      </c>
      <c r="D311" s="107" t="n"/>
      <c r="E311" s="107" t="n"/>
    </row>
    <row r="312" ht="15" customHeight="1" s="78">
      <c r="A312" s="99" t="n"/>
      <c r="B312" s="99" t="n"/>
      <c r="C312" s="97">
        <f>IF($B312="","",IFERROR(INDEX(DM_DT!$B$7:$B$306,MATCH($B312,DM_DT!$A$7:$A$306,0)),"⚠ chưa khai báo"))</f>
        <v/>
      </c>
      <c r="D312" s="107" t="n"/>
      <c r="E312" s="107" t="n"/>
    </row>
    <row r="313" ht="15" customHeight="1" s="78">
      <c r="A313" s="99" t="n"/>
      <c r="B313" s="99" t="n"/>
      <c r="C313" s="97">
        <f>IF($B313="","",IFERROR(INDEX(DM_DT!$B$7:$B$306,MATCH($B313,DM_DT!$A$7:$A$306,0)),"⚠ chưa khai báo"))</f>
        <v/>
      </c>
      <c r="D313" s="107" t="n"/>
      <c r="E313" s="107" t="n"/>
    </row>
    <row r="314" ht="15" customHeight="1" s="78">
      <c r="A314" s="99" t="n"/>
      <c r="B314" s="99" t="n"/>
      <c r="C314" s="97">
        <f>IF($B314="","",IFERROR(INDEX(DM_DT!$B$7:$B$306,MATCH($B314,DM_DT!$A$7:$A$306,0)),"⚠ chưa khai báo"))</f>
        <v/>
      </c>
      <c r="D314" s="107" t="n"/>
      <c r="E314" s="107" t="n"/>
    </row>
    <row r="315" ht="15" customHeight="1" s="78">
      <c r="A315" s="99" t="n"/>
      <c r="B315" s="99" t="n"/>
      <c r="C315" s="97">
        <f>IF($B315="","",IFERROR(INDEX(DM_DT!$B$7:$B$306,MATCH($B315,DM_DT!$A$7:$A$306,0)),"⚠ chưa khai báo"))</f>
        <v/>
      </c>
      <c r="D315" s="107" t="n"/>
      <c r="E315" s="107" t="n"/>
    </row>
    <row r="316" ht="15" customHeight="1" s="78">
      <c r="A316" s="99" t="n"/>
      <c r="B316" s="99" t="n"/>
      <c r="C316" s="97">
        <f>IF($B316="","",IFERROR(INDEX(DM_DT!$B$7:$B$306,MATCH($B316,DM_DT!$A$7:$A$306,0)),"⚠ chưa khai báo"))</f>
        <v/>
      </c>
      <c r="D316" s="107" t="n"/>
      <c r="E316" s="107" t="n"/>
    </row>
    <row r="317" ht="15" customHeight="1" s="78">
      <c r="A317" s="99" t="n"/>
      <c r="B317" s="99" t="n"/>
      <c r="C317" s="97">
        <f>IF($B317="","",IFERROR(INDEX(DM_DT!$B$7:$B$306,MATCH($B317,DM_DT!$A$7:$A$306,0)),"⚠ chưa khai báo"))</f>
        <v/>
      </c>
      <c r="D317" s="107" t="n"/>
      <c r="E317" s="107" t="n"/>
    </row>
    <row r="318" ht="15" customHeight="1" s="78">
      <c r="A318" s="99" t="n"/>
      <c r="B318" s="99" t="n"/>
      <c r="C318" s="97">
        <f>IF($B318="","",IFERROR(INDEX(DM_DT!$B$7:$B$306,MATCH($B318,DM_DT!$A$7:$A$306,0)),"⚠ chưa khai báo"))</f>
        <v/>
      </c>
      <c r="D318" s="107" t="n"/>
      <c r="E318" s="107" t="n"/>
    </row>
    <row r="319" ht="15" customHeight="1" s="78">
      <c r="A319" s="99" t="n"/>
      <c r="B319" s="99" t="n"/>
      <c r="C319" s="97">
        <f>IF($B319="","",IFERROR(INDEX(DM_DT!$B$7:$B$306,MATCH($B319,DM_DT!$A$7:$A$306,0)),"⚠ chưa khai báo"))</f>
        <v/>
      </c>
      <c r="D319" s="107" t="n"/>
      <c r="E319" s="107" t="n"/>
    </row>
    <row r="320" ht="15" customHeight="1" s="78">
      <c r="A320" s="99" t="n"/>
      <c r="B320" s="99" t="n"/>
      <c r="C320" s="97">
        <f>IF($B320="","",IFERROR(INDEX(DM_DT!$B$7:$B$306,MATCH($B320,DM_DT!$A$7:$A$306,0)),"⚠ chưa khai báo"))</f>
        <v/>
      </c>
      <c r="D320" s="107" t="n"/>
      <c r="E320" s="107" t="n"/>
    </row>
    <row r="321" ht="15" customHeight="1" s="78">
      <c r="A321" s="99" t="n"/>
      <c r="B321" s="99" t="n"/>
      <c r="C321" s="97">
        <f>IF($B321="","",IFERROR(INDEX(DM_DT!$B$7:$B$306,MATCH($B321,DM_DT!$A$7:$A$306,0)),"⚠ chưa khai báo"))</f>
        <v/>
      </c>
      <c r="D321" s="107" t="n"/>
      <c r="E321" s="107" t="n"/>
    </row>
    <row r="322" ht="15" customHeight="1" s="78">
      <c r="A322" s="99" t="n"/>
      <c r="B322" s="99" t="n"/>
      <c r="C322" s="97">
        <f>IF($B322="","",IFERROR(INDEX(DM_DT!$B$7:$B$306,MATCH($B322,DM_DT!$A$7:$A$306,0)),"⚠ chưa khai báo"))</f>
        <v/>
      </c>
      <c r="D322" s="107" t="n"/>
      <c r="E322" s="107" t="n"/>
    </row>
    <row r="323" ht="15" customHeight="1" s="78">
      <c r="A323" s="99" t="n"/>
      <c r="B323" s="99" t="n"/>
      <c r="C323" s="97">
        <f>IF($B323="","",IFERROR(INDEX(DM_DT!$B$7:$B$306,MATCH($B323,DM_DT!$A$7:$A$306,0)),"⚠ chưa khai báo"))</f>
        <v/>
      </c>
      <c r="D323" s="107" t="n"/>
      <c r="E323" s="107" t="n"/>
    </row>
    <row r="324" ht="15" customHeight="1" s="78">
      <c r="A324" s="99" t="n"/>
      <c r="B324" s="99" t="n"/>
      <c r="C324" s="97">
        <f>IF($B324="","",IFERROR(INDEX(DM_DT!$B$7:$B$306,MATCH($B324,DM_DT!$A$7:$A$306,0)),"⚠ chưa khai báo"))</f>
        <v/>
      </c>
      <c r="D324" s="107" t="n"/>
      <c r="E324" s="107" t="n"/>
    </row>
    <row r="325" ht="15" customHeight="1" s="78">
      <c r="A325" s="99" t="n"/>
      <c r="B325" s="99" t="n"/>
      <c r="C325" s="97">
        <f>IF($B325="","",IFERROR(INDEX(DM_DT!$B$7:$B$306,MATCH($B325,DM_DT!$A$7:$A$306,0)),"⚠ chưa khai báo"))</f>
        <v/>
      </c>
      <c r="D325" s="107" t="n"/>
      <c r="E325" s="107" t="n"/>
    </row>
    <row r="326" ht="15" customHeight="1" s="78">
      <c r="A326" s="99" t="n"/>
      <c r="B326" s="99" t="n"/>
      <c r="C326" s="97">
        <f>IF($B326="","",IFERROR(INDEX(DM_DT!$B$7:$B$306,MATCH($B326,DM_DT!$A$7:$A$306,0)),"⚠ chưa khai báo"))</f>
        <v/>
      </c>
      <c r="D326" s="107" t="n"/>
      <c r="E326" s="107" t="n"/>
    </row>
    <row r="327" ht="15" customHeight="1" s="78">
      <c r="A327" s="99" t="n"/>
      <c r="B327" s="99" t="n"/>
      <c r="C327" s="97">
        <f>IF($B327="","",IFERROR(INDEX(DM_DT!$B$7:$B$306,MATCH($B327,DM_DT!$A$7:$A$306,0)),"⚠ chưa khai báo"))</f>
        <v/>
      </c>
      <c r="D327" s="107" t="n"/>
      <c r="E327" s="107" t="n"/>
    </row>
    <row r="328" ht="15" customHeight="1" s="78">
      <c r="A328" s="99" t="n"/>
      <c r="B328" s="99" t="n"/>
      <c r="C328" s="97">
        <f>IF($B328="","",IFERROR(INDEX(DM_DT!$B$7:$B$306,MATCH($B328,DM_DT!$A$7:$A$306,0)),"⚠ chưa khai báo"))</f>
        <v/>
      </c>
      <c r="D328" s="107" t="n"/>
      <c r="E328" s="107" t="n"/>
    </row>
    <row r="329" ht="15" customHeight="1" s="78">
      <c r="A329" s="99" t="n"/>
      <c r="B329" s="99" t="n"/>
      <c r="C329" s="97">
        <f>IF($B329="","",IFERROR(INDEX(DM_DT!$B$7:$B$306,MATCH($B329,DM_DT!$A$7:$A$306,0)),"⚠ chưa khai báo"))</f>
        <v/>
      </c>
      <c r="D329" s="107" t="n"/>
      <c r="E329" s="107" t="n"/>
    </row>
    <row r="330" ht="15" customHeight="1" s="78">
      <c r="A330" s="99" t="n"/>
      <c r="B330" s="99" t="n"/>
      <c r="C330" s="97">
        <f>IF($B330="","",IFERROR(INDEX(DM_DT!$B$7:$B$306,MATCH($B330,DM_DT!$A$7:$A$306,0)),"⚠ chưa khai báo"))</f>
        <v/>
      </c>
      <c r="D330" s="107" t="n"/>
      <c r="E330" s="107" t="n"/>
    </row>
    <row r="331" ht="15" customHeight="1" s="78">
      <c r="A331" s="99" t="n"/>
      <c r="B331" s="99" t="n"/>
      <c r="C331" s="97">
        <f>IF($B331="","",IFERROR(INDEX(DM_DT!$B$7:$B$306,MATCH($B331,DM_DT!$A$7:$A$306,0)),"⚠ chưa khai báo"))</f>
        <v/>
      </c>
      <c r="D331" s="107" t="n"/>
      <c r="E331" s="107" t="n"/>
    </row>
    <row r="332" ht="15" customHeight="1" s="78">
      <c r="A332" s="99" t="n"/>
      <c r="B332" s="99" t="n"/>
      <c r="C332" s="97">
        <f>IF($B332="","",IFERROR(INDEX(DM_DT!$B$7:$B$306,MATCH($B332,DM_DT!$A$7:$A$306,0)),"⚠ chưa khai báo"))</f>
        <v/>
      </c>
      <c r="D332" s="107" t="n"/>
      <c r="E332" s="107" t="n"/>
    </row>
    <row r="333" ht="15" customHeight="1" s="78">
      <c r="A333" s="99" t="n"/>
      <c r="B333" s="99" t="n"/>
      <c r="C333" s="97">
        <f>IF($B333="","",IFERROR(INDEX(DM_DT!$B$7:$B$306,MATCH($B333,DM_DT!$A$7:$A$306,0)),"⚠ chưa khai báo"))</f>
        <v/>
      </c>
      <c r="D333" s="107" t="n"/>
      <c r="E333" s="107" t="n"/>
    </row>
    <row r="334" ht="15" customHeight="1" s="78">
      <c r="A334" s="99" t="n"/>
      <c r="B334" s="99" t="n"/>
      <c r="C334" s="97">
        <f>IF($B334="","",IFERROR(INDEX(DM_DT!$B$7:$B$306,MATCH($B334,DM_DT!$A$7:$A$306,0)),"⚠ chưa khai báo"))</f>
        <v/>
      </c>
      <c r="D334" s="107" t="n"/>
      <c r="E334" s="107" t="n"/>
    </row>
    <row r="335" ht="15" customHeight="1" s="78">
      <c r="A335" s="99" t="n"/>
      <c r="B335" s="99" t="n"/>
      <c r="C335" s="97">
        <f>IF($B335="","",IFERROR(INDEX(DM_DT!$B$7:$B$306,MATCH($B335,DM_DT!$A$7:$A$306,0)),"⚠ chưa khai báo"))</f>
        <v/>
      </c>
      <c r="D335" s="107" t="n"/>
      <c r="E335" s="107" t="n"/>
    </row>
    <row r="336" ht="15" customHeight="1" s="78">
      <c r="A336" s="99" t="n"/>
      <c r="B336" s="99" t="n"/>
      <c r="C336" s="97">
        <f>IF($B336="","",IFERROR(INDEX(DM_DT!$B$7:$B$306,MATCH($B336,DM_DT!$A$7:$A$306,0)),"⚠ chưa khai báo"))</f>
        <v/>
      </c>
      <c r="D336" s="107" t="n"/>
      <c r="E336" s="107" t="n"/>
    </row>
    <row r="337" ht="15" customHeight="1" s="78">
      <c r="A337" s="99" t="n"/>
      <c r="B337" s="99" t="n"/>
      <c r="C337" s="97">
        <f>IF($B337="","",IFERROR(INDEX(DM_DT!$B$7:$B$306,MATCH($B337,DM_DT!$A$7:$A$306,0)),"⚠ chưa khai báo"))</f>
        <v/>
      </c>
      <c r="D337" s="107" t="n"/>
      <c r="E337" s="107" t="n"/>
    </row>
    <row r="338" ht="15" customHeight="1" s="78">
      <c r="A338" s="99" t="n"/>
      <c r="B338" s="99" t="n"/>
      <c r="C338" s="97">
        <f>IF($B338="","",IFERROR(INDEX(DM_DT!$B$7:$B$306,MATCH($B338,DM_DT!$A$7:$A$306,0)),"⚠ chưa khai báo"))</f>
        <v/>
      </c>
      <c r="D338" s="107" t="n"/>
      <c r="E338" s="107" t="n"/>
    </row>
    <row r="339" ht="15" customHeight="1" s="78">
      <c r="A339" s="99" t="n"/>
      <c r="B339" s="99" t="n"/>
      <c r="C339" s="97">
        <f>IF($B339="","",IFERROR(INDEX(DM_DT!$B$7:$B$306,MATCH($B339,DM_DT!$A$7:$A$306,0)),"⚠ chưa khai báo"))</f>
        <v/>
      </c>
      <c r="D339" s="107" t="n"/>
      <c r="E339" s="107" t="n"/>
    </row>
    <row r="340" ht="15" customHeight="1" s="78">
      <c r="A340" s="99" t="n"/>
      <c r="B340" s="99" t="n"/>
      <c r="C340" s="97">
        <f>IF($B340="","",IFERROR(INDEX(DM_DT!$B$7:$B$306,MATCH($B340,DM_DT!$A$7:$A$306,0)),"⚠ chưa khai báo"))</f>
        <v/>
      </c>
      <c r="D340" s="107" t="n"/>
      <c r="E340" s="107" t="n"/>
    </row>
    <row r="341" ht="15" customHeight="1" s="78">
      <c r="A341" s="99" t="n"/>
      <c r="B341" s="99" t="n"/>
      <c r="C341" s="97">
        <f>IF($B341="","",IFERROR(INDEX(DM_DT!$B$7:$B$306,MATCH($B341,DM_DT!$A$7:$A$306,0)),"⚠ chưa khai báo"))</f>
        <v/>
      </c>
      <c r="D341" s="107" t="n"/>
      <c r="E341" s="107" t="n"/>
    </row>
    <row r="342" ht="15" customHeight="1" s="78">
      <c r="A342" s="99" t="n"/>
      <c r="B342" s="99" t="n"/>
      <c r="C342" s="97">
        <f>IF($B342="","",IFERROR(INDEX(DM_DT!$B$7:$B$306,MATCH($B342,DM_DT!$A$7:$A$306,0)),"⚠ chưa khai báo"))</f>
        <v/>
      </c>
      <c r="D342" s="107" t="n"/>
      <c r="E342" s="107" t="n"/>
    </row>
    <row r="343" ht="15" customHeight="1" s="78">
      <c r="A343" s="99" t="n"/>
      <c r="B343" s="99" t="n"/>
      <c r="C343" s="97">
        <f>IF($B343="","",IFERROR(INDEX(DM_DT!$B$7:$B$306,MATCH($B343,DM_DT!$A$7:$A$306,0)),"⚠ chưa khai báo"))</f>
        <v/>
      </c>
      <c r="D343" s="107" t="n"/>
      <c r="E343" s="107" t="n"/>
    </row>
    <row r="344" ht="15" customHeight="1" s="78">
      <c r="A344" s="99" t="n"/>
      <c r="B344" s="99" t="n"/>
      <c r="C344" s="97">
        <f>IF($B344="","",IFERROR(INDEX(DM_DT!$B$7:$B$306,MATCH($B344,DM_DT!$A$7:$A$306,0)),"⚠ chưa khai báo"))</f>
        <v/>
      </c>
      <c r="D344" s="107" t="n"/>
      <c r="E344" s="107" t="n"/>
    </row>
    <row r="345" ht="15" customHeight="1" s="78">
      <c r="A345" s="99" t="n"/>
      <c r="B345" s="99" t="n"/>
      <c r="C345" s="97">
        <f>IF($B345="","",IFERROR(INDEX(DM_DT!$B$7:$B$306,MATCH($B345,DM_DT!$A$7:$A$306,0)),"⚠ chưa khai báo"))</f>
        <v/>
      </c>
      <c r="D345" s="107" t="n"/>
      <c r="E345" s="107" t="n"/>
    </row>
    <row r="346" ht="15" customHeight="1" s="78">
      <c r="A346" s="99" t="n"/>
      <c r="B346" s="99" t="n"/>
      <c r="C346" s="97">
        <f>IF($B346="","",IFERROR(INDEX(DM_DT!$B$7:$B$306,MATCH($B346,DM_DT!$A$7:$A$306,0)),"⚠ chưa khai báo"))</f>
        <v/>
      </c>
      <c r="D346" s="107" t="n"/>
      <c r="E346" s="107" t="n"/>
    </row>
    <row r="347" ht="15" customHeight="1" s="78">
      <c r="A347" s="99" t="n"/>
      <c r="B347" s="99" t="n"/>
      <c r="C347" s="97">
        <f>IF($B347="","",IFERROR(INDEX(DM_DT!$B$7:$B$306,MATCH($B347,DM_DT!$A$7:$A$306,0)),"⚠ chưa khai báo"))</f>
        <v/>
      </c>
      <c r="D347" s="107" t="n"/>
      <c r="E347" s="107" t="n"/>
    </row>
    <row r="348" ht="15" customHeight="1" s="78">
      <c r="A348" s="99" t="n"/>
      <c r="B348" s="99" t="n"/>
      <c r="C348" s="97">
        <f>IF($B348="","",IFERROR(INDEX(DM_DT!$B$7:$B$306,MATCH($B348,DM_DT!$A$7:$A$306,0)),"⚠ chưa khai báo"))</f>
        <v/>
      </c>
      <c r="D348" s="107" t="n"/>
      <c r="E348" s="107" t="n"/>
    </row>
    <row r="349" ht="15" customHeight="1" s="78">
      <c r="A349" s="99" t="n"/>
      <c r="B349" s="99" t="n"/>
      <c r="C349" s="97">
        <f>IF($B349="","",IFERROR(INDEX(DM_DT!$B$7:$B$306,MATCH($B349,DM_DT!$A$7:$A$306,0)),"⚠ chưa khai báo"))</f>
        <v/>
      </c>
      <c r="D349" s="107" t="n"/>
      <c r="E349" s="107" t="n"/>
    </row>
    <row r="350" ht="15" customHeight="1" s="78">
      <c r="A350" s="99" t="n"/>
      <c r="B350" s="99" t="n"/>
      <c r="C350" s="97">
        <f>IF($B350="","",IFERROR(INDEX(DM_DT!$B$7:$B$306,MATCH($B350,DM_DT!$A$7:$A$306,0)),"⚠ chưa khai báo"))</f>
        <v/>
      </c>
      <c r="D350" s="107" t="n"/>
      <c r="E350" s="107" t="n"/>
    </row>
    <row r="351" ht="15" customHeight="1" s="78">
      <c r="A351" s="99" t="n"/>
      <c r="B351" s="99" t="n"/>
      <c r="C351" s="97">
        <f>IF($B351="","",IFERROR(INDEX(DM_DT!$B$7:$B$306,MATCH($B351,DM_DT!$A$7:$A$306,0)),"⚠ chưa khai báo"))</f>
        <v/>
      </c>
      <c r="D351" s="107" t="n"/>
      <c r="E351" s="107" t="n"/>
    </row>
    <row r="352" ht="15" customHeight="1" s="78">
      <c r="A352" s="99" t="n"/>
      <c r="B352" s="99" t="n"/>
      <c r="C352" s="97">
        <f>IF($B352="","",IFERROR(INDEX(DM_DT!$B$7:$B$306,MATCH($B352,DM_DT!$A$7:$A$306,0)),"⚠ chưa khai báo"))</f>
        <v/>
      </c>
      <c r="D352" s="107" t="n"/>
      <c r="E352" s="107" t="n"/>
    </row>
    <row r="353" ht="15" customHeight="1" s="78">
      <c r="A353" s="99" t="n"/>
      <c r="B353" s="99" t="n"/>
      <c r="C353" s="97">
        <f>IF($B353="","",IFERROR(INDEX(DM_DT!$B$7:$B$306,MATCH($B353,DM_DT!$A$7:$A$306,0)),"⚠ chưa khai báo"))</f>
        <v/>
      </c>
      <c r="D353" s="107" t="n"/>
      <c r="E353" s="107" t="n"/>
    </row>
    <row r="354" ht="15" customHeight="1" s="78">
      <c r="A354" s="99" t="n"/>
      <c r="B354" s="99" t="n"/>
      <c r="C354" s="97">
        <f>IF($B354="","",IFERROR(INDEX(DM_DT!$B$7:$B$306,MATCH($B354,DM_DT!$A$7:$A$306,0)),"⚠ chưa khai báo"))</f>
        <v/>
      </c>
      <c r="D354" s="107" t="n"/>
      <c r="E354" s="107" t="n"/>
    </row>
    <row r="355" ht="15" customHeight="1" s="78">
      <c r="A355" s="99" t="n"/>
      <c r="B355" s="99" t="n"/>
      <c r="C355" s="97">
        <f>IF($B355="","",IFERROR(INDEX(DM_DT!$B$7:$B$306,MATCH($B355,DM_DT!$A$7:$A$306,0)),"⚠ chưa khai báo"))</f>
        <v/>
      </c>
      <c r="D355" s="107" t="n"/>
      <c r="E355" s="107" t="n"/>
    </row>
    <row r="356" ht="15" customHeight="1" s="78">
      <c r="A356" s="99" t="n"/>
      <c r="B356" s="99" t="n"/>
      <c r="C356" s="97">
        <f>IF($B356="","",IFERROR(INDEX(DM_DT!$B$7:$B$306,MATCH($B356,DM_DT!$A$7:$A$306,0)),"⚠ chưa khai báo"))</f>
        <v/>
      </c>
      <c r="D356" s="107" t="n"/>
      <c r="E356" s="107" t="n"/>
    </row>
    <row r="357" ht="15" customHeight="1" s="78">
      <c r="A357" s="99" t="n"/>
      <c r="B357" s="99" t="n"/>
      <c r="C357" s="97">
        <f>IF($B357="","",IFERROR(INDEX(DM_DT!$B$7:$B$306,MATCH($B357,DM_DT!$A$7:$A$306,0)),"⚠ chưa khai báo"))</f>
        <v/>
      </c>
      <c r="D357" s="107" t="n"/>
      <c r="E357" s="107" t="n"/>
    </row>
    <row r="358" ht="15" customHeight="1" s="78">
      <c r="A358" s="99" t="n"/>
      <c r="B358" s="99" t="n"/>
      <c r="C358" s="97">
        <f>IF($B358="","",IFERROR(INDEX(DM_DT!$B$7:$B$306,MATCH($B358,DM_DT!$A$7:$A$306,0)),"⚠ chưa khai báo"))</f>
        <v/>
      </c>
      <c r="D358" s="107" t="n"/>
      <c r="E358" s="107" t="n"/>
    </row>
    <row r="359" ht="15" customHeight="1" s="78">
      <c r="A359" s="99" t="n"/>
      <c r="B359" s="99" t="n"/>
      <c r="C359" s="97">
        <f>IF($B359="","",IFERROR(INDEX(DM_DT!$B$7:$B$306,MATCH($B359,DM_DT!$A$7:$A$306,0)),"⚠ chưa khai báo"))</f>
        <v/>
      </c>
      <c r="D359" s="107" t="n"/>
      <c r="E359" s="107" t="n"/>
    </row>
    <row r="360" ht="15" customHeight="1" s="78">
      <c r="A360" s="99" t="n"/>
      <c r="B360" s="99" t="n"/>
      <c r="C360" s="97">
        <f>IF($B360="","",IFERROR(INDEX(DM_DT!$B$7:$B$306,MATCH($B360,DM_DT!$A$7:$A$306,0)),"⚠ chưa khai báo"))</f>
        <v/>
      </c>
      <c r="D360" s="107" t="n"/>
      <c r="E360" s="107" t="n"/>
    </row>
    <row r="361" ht="15" customHeight="1" s="78">
      <c r="A361" s="99" t="n"/>
      <c r="B361" s="99" t="n"/>
      <c r="C361" s="97">
        <f>IF($B361="","",IFERROR(INDEX(DM_DT!$B$7:$B$306,MATCH($B361,DM_DT!$A$7:$A$306,0)),"⚠ chưa khai báo"))</f>
        <v/>
      </c>
      <c r="D361" s="107" t="n"/>
      <c r="E361" s="107" t="n"/>
    </row>
    <row r="362" ht="15" customHeight="1" s="78">
      <c r="A362" s="99" t="n"/>
      <c r="B362" s="99" t="n"/>
      <c r="C362" s="97">
        <f>IF($B362="","",IFERROR(INDEX(DM_DT!$B$7:$B$306,MATCH($B362,DM_DT!$A$7:$A$306,0)),"⚠ chưa khai báo"))</f>
        <v/>
      </c>
      <c r="D362" s="107" t="n"/>
      <c r="E362" s="107" t="n"/>
    </row>
    <row r="363" ht="15" customHeight="1" s="78">
      <c r="A363" s="99" t="n"/>
      <c r="B363" s="99" t="n"/>
      <c r="C363" s="97">
        <f>IF($B363="","",IFERROR(INDEX(DM_DT!$B$7:$B$306,MATCH($B363,DM_DT!$A$7:$A$306,0)),"⚠ chưa khai báo"))</f>
        <v/>
      </c>
      <c r="D363" s="107" t="n"/>
      <c r="E363" s="107" t="n"/>
    </row>
    <row r="364" ht="15" customHeight="1" s="78">
      <c r="A364" s="99" t="n"/>
      <c r="B364" s="99" t="n"/>
      <c r="C364" s="97">
        <f>IF($B364="","",IFERROR(INDEX(DM_DT!$B$7:$B$306,MATCH($B364,DM_DT!$A$7:$A$306,0)),"⚠ chưa khai báo"))</f>
        <v/>
      </c>
      <c r="D364" s="107" t="n"/>
      <c r="E364" s="107" t="n"/>
    </row>
    <row r="365" ht="15" customHeight="1" s="78">
      <c r="A365" s="99" t="n"/>
      <c r="B365" s="99" t="n"/>
      <c r="C365" s="97">
        <f>IF($B365="","",IFERROR(INDEX(DM_DT!$B$7:$B$306,MATCH($B365,DM_DT!$A$7:$A$306,0)),"⚠ chưa khai báo"))</f>
        <v/>
      </c>
      <c r="D365" s="107" t="n"/>
      <c r="E365" s="107" t="n"/>
    </row>
    <row r="366" ht="15" customHeight="1" s="78">
      <c r="A366" s="99" t="n"/>
      <c r="B366" s="99" t="n"/>
      <c r="C366" s="97">
        <f>IF($B366="","",IFERROR(INDEX(DM_DT!$B$7:$B$306,MATCH($B366,DM_DT!$A$7:$A$306,0)),"⚠ chưa khai báo"))</f>
        <v/>
      </c>
      <c r="D366" s="107" t="n"/>
      <c r="E366" s="107" t="n"/>
    </row>
    <row r="367" ht="15" customHeight="1" s="78">
      <c r="A367" s="99" t="n"/>
      <c r="B367" s="99" t="n"/>
      <c r="C367" s="97">
        <f>IF($B367="","",IFERROR(INDEX(DM_DT!$B$7:$B$306,MATCH($B367,DM_DT!$A$7:$A$306,0)),"⚠ chưa khai báo"))</f>
        <v/>
      </c>
      <c r="D367" s="107" t="n"/>
      <c r="E367" s="107" t="n"/>
    </row>
    <row r="368" ht="15" customHeight="1" s="78">
      <c r="A368" s="99" t="n"/>
      <c r="B368" s="99" t="n"/>
      <c r="C368" s="97">
        <f>IF($B368="","",IFERROR(INDEX(DM_DT!$B$7:$B$306,MATCH($B368,DM_DT!$A$7:$A$306,0)),"⚠ chưa khai báo"))</f>
        <v/>
      </c>
      <c r="D368" s="107" t="n"/>
      <c r="E368" s="107" t="n"/>
    </row>
    <row r="369" ht="15" customHeight="1" s="78">
      <c r="A369" s="99" t="n"/>
      <c r="B369" s="99" t="n"/>
      <c r="C369" s="97">
        <f>IF($B369="","",IFERROR(INDEX(DM_DT!$B$7:$B$306,MATCH($B369,DM_DT!$A$7:$A$306,0)),"⚠ chưa khai báo"))</f>
        <v/>
      </c>
      <c r="D369" s="107" t="n"/>
      <c r="E369" s="107" t="n"/>
    </row>
    <row r="370" ht="15" customHeight="1" s="78">
      <c r="A370" s="99" t="n"/>
      <c r="B370" s="99" t="n"/>
      <c r="C370" s="97">
        <f>IF($B370="","",IFERROR(INDEX(DM_DT!$B$7:$B$306,MATCH($B370,DM_DT!$A$7:$A$306,0)),"⚠ chưa khai báo"))</f>
        <v/>
      </c>
      <c r="D370" s="107" t="n"/>
      <c r="E370" s="107" t="n"/>
    </row>
    <row r="371" ht="15" customHeight="1" s="78">
      <c r="A371" s="99" t="n"/>
      <c r="B371" s="99" t="n"/>
      <c r="C371" s="97">
        <f>IF($B371="","",IFERROR(INDEX(DM_DT!$B$7:$B$306,MATCH($B371,DM_DT!$A$7:$A$306,0)),"⚠ chưa khai báo"))</f>
        <v/>
      </c>
      <c r="D371" s="107" t="n"/>
      <c r="E371" s="107" t="n"/>
    </row>
    <row r="372" ht="15" customHeight="1" s="78">
      <c r="A372" s="99" t="n"/>
      <c r="B372" s="99" t="n"/>
      <c r="C372" s="97">
        <f>IF($B372="","",IFERROR(INDEX(DM_DT!$B$7:$B$306,MATCH($B372,DM_DT!$A$7:$A$306,0)),"⚠ chưa khai báo"))</f>
        <v/>
      </c>
      <c r="D372" s="107" t="n"/>
      <c r="E372" s="107" t="n"/>
    </row>
    <row r="373" ht="15" customHeight="1" s="78">
      <c r="A373" s="99" t="n"/>
      <c r="B373" s="99" t="n"/>
      <c r="C373" s="97">
        <f>IF($B373="","",IFERROR(INDEX(DM_DT!$B$7:$B$306,MATCH($B373,DM_DT!$A$7:$A$306,0)),"⚠ chưa khai báo"))</f>
        <v/>
      </c>
      <c r="D373" s="107" t="n"/>
      <c r="E373" s="107" t="n"/>
    </row>
    <row r="374" ht="15" customHeight="1" s="78">
      <c r="A374" s="99" t="n"/>
      <c r="B374" s="99" t="n"/>
      <c r="C374" s="97">
        <f>IF($B374="","",IFERROR(INDEX(DM_DT!$B$7:$B$306,MATCH($B374,DM_DT!$A$7:$A$306,0)),"⚠ chưa khai báo"))</f>
        <v/>
      </c>
      <c r="D374" s="107" t="n"/>
      <c r="E374" s="107" t="n"/>
    </row>
    <row r="375" ht="15" customHeight="1" s="78">
      <c r="A375" s="99" t="n"/>
      <c r="B375" s="99" t="n"/>
      <c r="C375" s="97">
        <f>IF($B375="","",IFERROR(INDEX(DM_DT!$B$7:$B$306,MATCH($B375,DM_DT!$A$7:$A$306,0)),"⚠ chưa khai báo"))</f>
        <v/>
      </c>
      <c r="D375" s="107" t="n"/>
      <c r="E375" s="107" t="n"/>
    </row>
    <row r="376" ht="15" customHeight="1" s="78">
      <c r="C376" s="112" t="inlineStr">
        <is>
          <t>Tổng cộng</t>
        </is>
      </c>
      <c r="D376" s="105">
        <f>SUM(D256:D375)</f>
        <v/>
      </c>
      <c r="E376" s="105">
        <f>SUM(E256:E375)</f>
        <v/>
      </c>
    </row>
  </sheetData>
  <sheetProtection selectLockedCells="0" selectUnlockedCells="0" sheet="1" objects="0" insertRows="1" insertHyperlinks="1" autoFilter="0" scenarios="0" formatColumns="0" deleteColumns="1" insertColumns="1" pivotTables="1" deleteRows="1" formatCells="0" formatRows="0" sort="0"/>
  <mergeCells count="2">
    <mergeCell ref="A2:E2"/>
    <mergeCell ref="A254:E254"/>
  </mergeCells>
  <conditionalFormatting sqref="E4">
    <cfRule type="expression" rank="0" priority="2" equalAverage="0" aboveAverage="0" dxfId="0" text="" percent="0" bottom="0">
      <formula>LEFT($E$4,1)="✘"</formula>
    </cfRule>
  </conditionalFormatting>
  <dataValidations count="2">
    <dataValidation sqref="A256:A375" showDropDown="0" showInputMessage="0" showErrorMessage="0" allowBlank="1" type="list" errorStyle="stop" operator="between">
      <formula1>"131,331"</formula1>
      <formula2>0</formula2>
    </dataValidation>
    <dataValidation sqref="B256:B375" showDropDown="0" showInputMessage="0" showErrorMessage="1" allowBlank="1" errorTitle="Mã ĐT chưa có" error="Khai báo mã này trong sheet DM_DT trước" type="list" errorStyle="stop" operator="between">
      <formula1>DM_DT!$A$7:$A$306</formula1>
      <formula2>0</formula2>
    </dataValidation>
  </dataValidations>
  <printOptions horizontalCentered="0" verticalCentered="0" headings="0" gridLines="0" gridLinesSet="1"/>
  <pageMargins left="0.75" right="0.75" top="1" bottom="1" header="0.511811023622047" footer="0.5"/>
  <pageSetup orientation="portrait" paperSize="9" scale="100" fitToHeight="0" fitToWidth="1" pageOrder="downThenOver" blackAndWhite="0" draft="0" horizontalDpi="300" verticalDpi="300" copies="1"/>
  <headerFooter differentOddEven="0" differentFirst="0">
    <oddHeader/>
    <oddFooter>&amp;L&amp;8 &amp;K808080Mr Wick Kiểm toán — Phần mềm kế toán TT 99/2025&amp;R&amp;8 &amp;K808080Trang &amp;P/&amp;N</oddFooter>
    <evenHeader/>
    <evenFooter/>
    <firstHeader/>
    <firstFooter/>
  </headerFooter>
</worksheet>
</file>

<file path=xl/worksheets/sheet6.xml><?xml version="1.0" encoding="utf-8"?>
<worksheet xmlns="http://schemas.openxmlformats.org/spreadsheetml/2006/main">
  <sheetPr filterMode="0">
    <outlinePr summaryBelow="1" summaryRight="1"/>
    <pageSetUpPr fitToPage="1"/>
  </sheetPr>
  <dimension ref="A1:P3006"/>
  <sheetViews>
    <sheetView showFormulas="0" showGridLines="1"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77" min="1" max="1"/>
    <col width="12" customWidth="1" style="77" min="2" max="2"/>
    <col width="11" customWidth="1" style="77" min="3" max="3"/>
    <col width="12" customWidth="1" style="77" min="4" max="4"/>
    <col width="52" customWidth="1" style="77" min="5" max="5"/>
    <col width="9" customWidth="1" style="77" min="6" max="7"/>
    <col width="16" customWidth="1" style="77" min="8" max="8"/>
    <col width="11" customWidth="1" style="77" min="9" max="9"/>
    <col width="9" customWidth="1" style="77" min="10" max="10"/>
    <col width="18" customWidth="1" style="77" min="11" max="11"/>
    <col width="26" customWidth="1" style="77" min="12" max="12"/>
    <col hidden="1" width="6" customWidth="1" style="77" min="13" max="13"/>
    <col hidden="1" width="7" customWidth="1" style="77" min="14" max="14"/>
    <col hidden="1" width="6" customWidth="1" style="77" min="15" max="16"/>
  </cols>
  <sheetData>
    <row r="1"/>
    <row r="2" ht="17.35" customHeight="1" s="78">
      <c r="A2" s="84" t="inlineStr">
        <is>
          <t>SỔ NHẬT KÝ CHUNG</t>
        </is>
      </c>
    </row>
    <row r="3" ht="15" customHeight="1" s="78">
      <c r="A3" s="85">
        <f>CONCATENATE("Đơn vị: ",TT_DN!$C$5,"  —  Năm: ",TEXT(TU_NGAY,"YYYY"),"  (Mẫu số S03a-DN vận dụng — sổ thiết kế lại theo Điều 12 TT 99/2025/TT-BTC)")</f>
        <v/>
      </c>
    </row>
    <row r="4" ht="15" customHeight="1" s="78">
      <c r="A4" s="91" t="inlineStr">
        <is>
          <t>Mỗi dòng một cặp Nợ/Có. Bút toán nhiều TK: tách thành nhiều dòng, cùng Số CT. Cột Mã LCTT chỉ ghi khi muốn ép mã lưu chuyển tiền tệ (VD: 21 khi trả tiền mua TSCĐ qua TK 331). KHÔNG cần bút toán kết chuyển cuối kỳ — báo cáo tự tính (có nhập kết chuyển qua 911 file vẫn đúng).</t>
        </is>
      </c>
    </row>
    <row r="5" ht="15" customHeight="1" s="78">
      <c r="P5" s="91" t="n">
        <v>0</v>
      </c>
    </row>
    <row r="6" ht="27.75" customHeight="1" s="78">
      <c r="A6" s="92" t="inlineStr">
        <is>
          <t>STT</t>
        </is>
      </c>
      <c r="B6" s="92" t="inlineStr">
        <is>
          <t>Ngày ghi sổ</t>
        </is>
      </c>
      <c r="C6" s="92" t="inlineStr">
        <is>
          <t>Số chứng từ</t>
        </is>
      </c>
      <c r="D6" s="92" t="inlineStr">
        <is>
          <t>Ngày CT</t>
        </is>
      </c>
      <c r="E6" s="92" t="inlineStr">
        <is>
          <t>Diễn giải</t>
        </is>
      </c>
      <c r="F6" s="92" t="inlineStr">
        <is>
          <t>TK Nợ</t>
        </is>
      </c>
      <c r="G6" s="92" t="inlineStr">
        <is>
          <t>TK Có</t>
        </is>
      </c>
      <c r="H6" s="92" t="inlineStr">
        <is>
          <t>Số tiền</t>
        </is>
      </c>
      <c r="I6" s="92" t="inlineStr">
        <is>
          <t>Mã ĐT</t>
        </is>
      </c>
      <c r="J6" s="92" t="inlineStr">
        <is>
          <t>Mã LCTT</t>
        </is>
      </c>
      <c r="K6" s="92" t="inlineStr">
        <is>
          <t>Ghi chú</t>
        </is>
      </c>
      <c r="L6" s="92" t="inlineStr">
        <is>
          <t>Kiểm tra dòng</t>
        </is>
      </c>
      <c r="M6" s="113" t="inlineStr">
        <is>
          <t>Hướng</t>
        </is>
      </c>
      <c r="N6" s="113" t="inlineStr">
        <is>
          <t>Đ.ứng</t>
        </is>
      </c>
      <c r="O6" s="113" t="inlineStr">
        <is>
          <t>MãLC</t>
        </is>
      </c>
      <c r="P6" s="113" t="inlineStr">
        <is>
          <t>SC</t>
        </is>
      </c>
    </row>
    <row r="7" ht="15" customHeight="1" s="78">
      <c r="A7" s="95">
        <f>IF($H7="","",ROW()-6)</f>
        <v/>
      </c>
      <c r="B7" s="114" t="n">
        <v>46027</v>
      </c>
      <c r="C7" s="102" t="inlineStr">
        <is>
          <t>PN001</t>
        </is>
      </c>
      <c r="D7" s="114" t="n">
        <v>46027</v>
      </c>
      <c r="E7" s="103" t="inlineStr">
        <is>
          <t>Mua hàng hóa nhập kho - Cty Phú Thành</t>
        </is>
      </c>
      <c r="F7" s="102" t="inlineStr">
        <is>
          <t>156</t>
        </is>
      </c>
      <c r="G7" s="102" t="inlineStr">
        <is>
          <t>331</t>
        </is>
      </c>
      <c r="H7" s="115" t="n">
        <v>200000000</v>
      </c>
      <c r="I7" s="102" t="inlineStr">
        <is>
          <t>NCC001</t>
        </is>
      </c>
      <c r="J7" s="102" t="n"/>
      <c r="K7" s="103" t="n"/>
      <c r="L7" s="116">
        <f>IF($H7="","",TRIM(IF(COUNTIF(DMTK!$A$7:$A$250,$F7)=0,"TK Nợ sai! ","")&amp;IF(COUNTIF(DMTK!$A$7:$A$250,$G7)=0,"TK Có sai! ","")&amp;IF(N($H7)&lt;=0,"Tiền phải &gt; 0! ","")&amp;IF($B7="","Thiếu ngày! ","")&amp;IF(AND(OR(LEFT($F7,3)="131",LEFT($G7,3)="131",LEFT($F7,3)="331",LEFT($G7,3)="331"),$I7=""),"Thiếu Mã ĐT! ","")&amp;IF(AND($I7&lt;&gt;"",COUNTIF(DM_DT!$A$7:$A$306,$I7)=0),"Mã ĐT chưa khai báo! ","")))</f>
        <v/>
      </c>
      <c r="M7" s="117">
        <f>IF($H7="","",IF(AND(OR(LEFT($F7,3)="111",LEFT($F7,3)="112",LEFT($F7,3)="113"),OR(LEFT($G7,3)="111",LEFT($G7,3)="112",LEFT($G7,3)="113")),"NB",IF(OR(LEFT($F7,3)="111",LEFT($F7,3)="112",LEFT($F7,3)="113"),"THU",IF(OR(LEFT($G7,3)="111",LEFT($G7,3)="112",LEFT($G7,3)="113"),"CHI",""))))</f>
        <v/>
      </c>
      <c r="N7" s="117">
        <f>IF($M7="THU",$G7,IF($M7="CHI",$F7,""))</f>
        <v/>
      </c>
      <c r="O7" s="117">
        <f>IF(OR($M7="",$M7="NB"),"",IF($J7&lt;&gt;"",TEXT($J7,"00"),IFERROR(VLOOKUP(LEFT($N7,4),LCTT_MAP!$A$7:$C$66,IF($M7="THU",2,3),FALSE()),IFERROR(VLOOKUP(LEFT($N7,3),LCTT_MAP!$A$7:$C$66,IF($M7="THU",2,3),FALSE()),IFERROR(VLOOKUP(LEFT($N7,2),LCTT_MAP!$A$7:$C$66,IF($M7="THU",2,3),FALSE()),IFERROR(VLOOKUP(LEFT($N7,1),LCTT_MAP!$A$7:$C$66,IF($M7="THU",2,3),FALSE()),IF($M7="THU","06","07")))))))</f>
        <v/>
      </c>
      <c r="P7" s="117">
        <f>0+IF(AND($H7&lt;&gt;"",OR(LEFT($F7,LEN(SC_TK))=SC_TK,LEFT($G7,LEN(SC_TK))=SC_TK)),1,0)</f>
        <v/>
      </c>
    </row>
    <row r="8" ht="15" customHeight="1" s="78">
      <c r="A8" s="95">
        <f>IF($H8="","",ROW()-6)</f>
        <v/>
      </c>
      <c r="B8" s="114" t="n">
        <v>46027</v>
      </c>
      <c r="C8" s="102" t="inlineStr">
        <is>
          <t>PN001</t>
        </is>
      </c>
      <c r="D8" s="114" t="n">
        <v>46027</v>
      </c>
      <c r="E8" s="103" t="inlineStr">
        <is>
          <t>Thuế GTGT đầu vào mua hàng hóa</t>
        </is>
      </c>
      <c r="F8" s="102" t="inlineStr">
        <is>
          <t>1331</t>
        </is>
      </c>
      <c r="G8" s="102" t="inlineStr">
        <is>
          <t>331</t>
        </is>
      </c>
      <c r="H8" s="115" t="n">
        <v>16000000</v>
      </c>
      <c r="I8" s="102" t="inlineStr">
        <is>
          <t>NCC001</t>
        </is>
      </c>
      <c r="J8" s="102" t="n"/>
      <c r="K8" s="103" t="n"/>
      <c r="L8" s="116">
        <f>IF($H8="","",TRIM(IF(COUNTIF(DMTK!$A$7:$A$250,$F8)=0,"TK Nợ sai! ","")&amp;IF(COUNTIF(DMTK!$A$7:$A$250,$G8)=0,"TK Có sai! ","")&amp;IF(N($H8)&lt;=0,"Tiền phải &gt; 0! ","")&amp;IF($B8="","Thiếu ngày! ","")&amp;IF(AND(OR(LEFT($F8,3)="131",LEFT($G8,3)="131",LEFT($F8,3)="331",LEFT($G8,3)="331"),$I8=""),"Thiếu Mã ĐT! ","")&amp;IF(AND($I8&lt;&gt;"",COUNTIF(DM_DT!$A$7:$A$306,$I8)=0),"Mã ĐT chưa khai báo! ","")))</f>
        <v/>
      </c>
      <c r="M8" s="117">
        <f>IF($H8="","",IF(AND(OR(LEFT($F8,3)="111",LEFT($F8,3)="112",LEFT($F8,3)="113"),OR(LEFT($G8,3)="111",LEFT($G8,3)="112",LEFT($G8,3)="113")),"NB",IF(OR(LEFT($F8,3)="111",LEFT($F8,3)="112",LEFT($F8,3)="113"),"THU",IF(OR(LEFT($G8,3)="111",LEFT($G8,3)="112",LEFT($G8,3)="113"),"CHI",""))))</f>
        <v/>
      </c>
      <c r="N8" s="117">
        <f>IF($M8="THU",$G8,IF($M8="CHI",$F8,""))</f>
        <v/>
      </c>
      <c r="O8" s="117">
        <f>IF(OR($M8="",$M8="NB"),"",IF($J8&lt;&gt;"",TEXT($J8,"00"),IFERROR(VLOOKUP(LEFT($N8,4),LCTT_MAP!$A$7:$C$66,IF($M8="THU",2,3),FALSE()),IFERROR(VLOOKUP(LEFT($N8,3),LCTT_MAP!$A$7:$C$66,IF($M8="THU",2,3),FALSE()),IFERROR(VLOOKUP(LEFT($N8,2),LCTT_MAP!$A$7:$C$66,IF($M8="THU",2,3),FALSE()),IFERROR(VLOOKUP(LEFT($N8,1),LCTT_MAP!$A$7:$C$66,IF($M8="THU",2,3),FALSE()),IF($M8="THU","06","07")))))))</f>
        <v/>
      </c>
      <c r="P8" s="117">
        <f>P7+IF(AND($H8&lt;&gt;"",OR(LEFT($F8,LEN(SC_TK))=SC_TK,LEFT($G8,LEN(SC_TK))=SC_TK)),1,0)</f>
        <v/>
      </c>
    </row>
    <row r="9" ht="15" customHeight="1" s="78">
      <c r="A9" s="95">
        <f>IF($H9="","",ROW()-6)</f>
        <v/>
      </c>
      <c r="B9" s="114" t="n">
        <v>46032</v>
      </c>
      <c r="C9" s="102" t="inlineStr">
        <is>
          <t>HD0001</t>
        </is>
      </c>
      <c r="D9" s="114" t="n">
        <v>46032</v>
      </c>
      <c r="E9" s="103" t="inlineStr">
        <is>
          <t>Bán hàng hóa - Cty Bình Minh</t>
        </is>
      </c>
      <c r="F9" s="102" t="inlineStr">
        <is>
          <t>131</t>
        </is>
      </c>
      <c r="G9" s="102" t="inlineStr">
        <is>
          <t>511</t>
        </is>
      </c>
      <c r="H9" s="115" t="n">
        <v>250000000</v>
      </c>
      <c r="I9" s="102" t="inlineStr">
        <is>
          <t>KH001</t>
        </is>
      </c>
      <c r="J9" s="102" t="n"/>
      <c r="K9" s="103" t="n"/>
      <c r="L9" s="116">
        <f>IF($H9="","",TRIM(IF(COUNTIF(DMTK!$A$7:$A$250,$F9)=0,"TK Nợ sai! ","")&amp;IF(COUNTIF(DMTK!$A$7:$A$250,$G9)=0,"TK Có sai! ","")&amp;IF(N($H9)&lt;=0,"Tiền phải &gt; 0! ","")&amp;IF($B9="","Thiếu ngày! ","")&amp;IF(AND(OR(LEFT($F9,3)="131",LEFT($G9,3)="131",LEFT($F9,3)="331",LEFT($G9,3)="331"),$I9=""),"Thiếu Mã ĐT! ","")&amp;IF(AND($I9&lt;&gt;"",COUNTIF(DM_DT!$A$7:$A$306,$I9)=0),"Mã ĐT chưa khai báo! ","")))</f>
        <v/>
      </c>
      <c r="M9" s="117">
        <f>IF($H9="","",IF(AND(OR(LEFT($F9,3)="111",LEFT($F9,3)="112",LEFT($F9,3)="113"),OR(LEFT($G9,3)="111",LEFT($G9,3)="112",LEFT($G9,3)="113")),"NB",IF(OR(LEFT($F9,3)="111",LEFT($F9,3)="112",LEFT($F9,3)="113"),"THU",IF(OR(LEFT($G9,3)="111",LEFT($G9,3)="112",LEFT($G9,3)="113"),"CHI",""))))</f>
        <v/>
      </c>
      <c r="N9" s="117">
        <f>IF($M9="THU",$G9,IF($M9="CHI",$F9,""))</f>
        <v/>
      </c>
      <c r="O9" s="117">
        <f>IF(OR($M9="",$M9="NB"),"",IF($J9&lt;&gt;"",TEXT($J9,"00"),IFERROR(VLOOKUP(LEFT($N9,4),LCTT_MAP!$A$7:$C$66,IF($M9="THU",2,3),FALSE()),IFERROR(VLOOKUP(LEFT($N9,3),LCTT_MAP!$A$7:$C$66,IF($M9="THU",2,3),FALSE()),IFERROR(VLOOKUP(LEFT($N9,2),LCTT_MAP!$A$7:$C$66,IF($M9="THU",2,3),FALSE()),IFERROR(VLOOKUP(LEFT($N9,1),LCTT_MAP!$A$7:$C$66,IF($M9="THU",2,3),FALSE()),IF($M9="THU","06","07")))))))</f>
        <v/>
      </c>
      <c r="P9" s="117">
        <f>P8+IF(AND($H9&lt;&gt;"",OR(LEFT($F9,LEN(SC_TK))=SC_TK,LEFT($G9,LEN(SC_TK))=SC_TK)),1,0)</f>
        <v/>
      </c>
    </row>
    <row r="10" ht="15" customHeight="1" s="78">
      <c r="A10" s="95">
        <f>IF($H10="","",ROW()-6)</f>
        <v/>
      </c>
      <c r="B10" s="114" t="n">
        <v>46032</v>
      </c>
      <c r="C10" s="102" t="inlineStr">
        <is>
          <t>HD0001</t>
        </is>
      </c>
      <c r="D10" s="114" t="n">
        <v>46032</v>
      </c>
      <c r="E10" s="103" t="inlineStr">
        <is>
          <t>Thuế GTGT đầu ra bán hàng</t>
        </is>
      </c>
      <c r="F10" s="102" t="inlineStr">
        <is>
          <t>131</t>
        </is>
      </c>
      <c r="G10" s="102" t="inlineStr">
        <is>
          <t>33311</t>
        </is>
      </c>
      <c r="H10" s="115" t="n">
        <v>20000000</v>
      </c>
      <c r="I10" s="102" t="inlineStr">
        <is>
          <t>KH001</t>
        </is>
      </c>
      <c r="J10" s="102" t="n"/>
      <c r="K10" s="103" t="n"/>
      <c r="L10" s="116">
        <f>IF($H10="","",TRIM(IF(COUNTIF(DMTK!$A$7:$A$250,$F10)=0,"TK Nợ sai! ","")&amp;IF(COUNTIF(DMTK!$A$7:$A$250,$G10)=0,"TK Có sai! ","")&amp;IF(N($H10)&lt;=0,"Tiền phải &gt; 0! ","")&amp;IF($B10="","Thiếu ngày! ","")&amp;IF(AND(OR(LEFT($F10,3)="131",LEFT($G10,3)="131",LEFT($F10,3)="331",LEFT($G10,3)="331"),$I10=""),"Thiếu Mã ĐT! ","")&amp;IF(AND($I10&lt;&gt;"",COUNTIF(DM_DT!$A$7:$A$306,$I10)=0),"Mã ĐT chưa khai báo! ","")))</f>
        <v/>
      </c>
      <c r="M10" s="117">
        <f>IF($H10="","",IF(AND(OR(LEFT($F10,3)="111",LEFT($F10,3)="112",LEFT($F10,3)="113"),OR(LEFT($G10,3)="111",LEFT($G10,3)="112",LEFT($G10,3)="113")),"NB",IF(OR(LEFT($F10,3)="111",LEFT($F10,3)="112",LEFT($F10,3)="113"),"THU",IF(OR(LEFT($G10,3)="111",LEFT($G10,3)="112",LEFT($G10,3)="113"),"CHI",""))))</f>
        <v/>
      </c>
      <c r="N10" s="117">
        <f>IF($M10="THU",$G10,IF($M10="CHI",$F10,""))</f>
        <v/>
      </c>
      <c r="O10" s="117">
        <f>IF(OR($M10="",$M10="NB"),"",IF($J10&lt;&gt;"",TEXT($J10,"00"),IFERROR(VLOOKUP(LEFT($N10,4),LCTT_MAP!$A$7:$C$66,IF($M10="THU",2,3),FALSE()),IFERROR(VLOOKUP(LEFT($N10,3),LCTT_MAP!$A$7:$C$66,IF($M10="THU",2,3),FALSE()),IFERROR(VLOOKUP(LEFT($N10,2),LCTT_MAP!$A$7:$C$66,IF($M10="THU",2,3),FALSE()),IFERROR(VLOOKUP(LEFT($N10,1),LCTT_MAP!$A$7:$C$66,IF($M10="THU",2,3),FALSE()),IF($M10="THU","06","07")))))))</f>
        <v/>
      </c>
      <c r="P10" s="117">
        <f>P9+IF(AND($H10&lt;&gt;"",OR(LEFT($F10,LEN(SC_TK))=SC_TK,LEFT($G10,LEN(SC_TK))=SC_TK)),1,0)</f>
        <v/>
      </c>
    </row>
    <row r="11" ht="15" customHeight="1" s="78">
      <c r="A11" s="95">
        <f>IF($H11="","",ROW()-6)</f>
        <v/>
      </c>
      <c r="B11" s="114" t="n">
        <v>46032</v>
      </c>
      <c r="C11" s="102" t="inlineStr">
        <is>
          <t>PX001</t>
        </is>
      </c>
      <c r="D11" s="114" t="n">
        <v>46032</v>
      </c>
      <c r="E11" s="103" t="inlineStr">
        <is>
          <t>Giá vốn hàng bán HĐ 0001</t>
        </is>
      </c>
      <c r="F11" s="102" t="inlineStr">
        <is>
          <t>632</t>
        </is>
      </c>
      <c r="G11" s="102" t="inlineStr">
        <is>
          <t>156</t>
        </is>
      </c>
      <c r="H11" s="115" t="n">
        <v>180000000</v>
      </c>
      <c r="I11" s="102" t="n"/>
      <c r="J11" s="102" t="n"/>
      <c r="K11" s="103" t="n"/>
      <c r="L11" s="116">
        <f>IF($H11="","",TRIM(IF(COUNTIF(DMTK!$A$7:$A$250,$F11)=0,"TK Nợ sai! ","")&amp;IF(COUNTIF(DMTK!$A$7:$A$250,$G11)=0,"TK Có sai! ","")&amp;IF(N($H11)&lt;=0,"Tiền phải &gt; 0! ","")&amp;IF($B11="","Thiếu ngày! ","")&amp;IF(AND(OR(LEFT($F11,3)="131",LEFT($G11,3)="131",LEFT($F11,3)="331",LEFT($G11,3)="331"),$I11=""),"Thiếu Mã ĐT! ","")&amp;IF(AND($I11&lt;&gt;"",COUNTIF(DM_DT!$A$7:$A$306,$I11)=0),"Mã ĐT chưa khai báo! ","")))</f>
        <v/>
      </c>
      <c r="M11" s="117">
        <f>IF($H11="","",IF(AND(OR(LEFT($F11,3)="111",LEFT($F11,3)="112",LEFT($F11,3)="113"),OR(LEFT($G11,3)="111",LEFT($G11,3)="112",LEFT($G11,3)="113")),"NB",IF(OR(LEFT($F11,3)="111",LEFT($F11,3)="112",LEFT($F11,3)="113"),"THU",IF(OR(LEFT($G11,3)="111",LEFT($G11,3)="112",LEFT($G11,3)="113"),"CHI",""))))</f>
        <v/>
      </c>
      <c r="N11" s="117">
        <f>IF($M11="THU",$G11,IF($M11="CHI",$F11,""))</f>
        <v/>
      </c>
      <c r="O11" s="117">
        <f>IF(OR($M11="",$M11="NB"),"",IF($J11&lt;&gt;"",TEXT($J11,"00"),IFERROR(VLOOKUP(LEFT($N11,4),LCTT_MAP!$A$7:$C$66,IF($M11="THU",2,3),FALSE()),IFERROR(VLOOKUP(LEFT($N11,3),LCTT_MAP!$A$7:$C$66,IF($M11="THU",2,3),FALSE()),IFERROR(VLOOKUP(LEFT($N11,2),LCTT_MAP!$A$7:$C$66,IF($M11="THU",2,3),FALSE()),IFERROR(VLOOKUP(LEFT($N11,1),LCTT_MAP!$A$7:$C$66,IF($M11="THU",2,3),FALSE()),IF($M11="THU","06","07")))))))</f>
        <v/>
      </c>
      <c r="P11" s="117">
        <f>P10+IF(AND($H11&lt;&gt;"",OR(LEFT($F11,LEN(SC_TK))=SC_TK,LEFT($G11,LEN(SC_TK))=SC_TK)),1,0)</f>
        <v/>
      </c>
    </row>
    <row r="12" ht="15" customHeight="1" s="78">
      <c r="A12" s="95">
        <f>IF($H12="","",ROW()-6)</f>
        <v/>
      </c>
      <c r="B12" s="114" t="n">
        <v>46042</v>
      </c>
      <c r="C12" s="102" t="inlineStr">
        <is>
          <t>BC001</t>
        </is>
      </c>
      <c r="D12" s="114" t="n">
        <v>46042</v>
      </c>
      <c r="E12" s="103" t="inlineStr">
        <is>
          <t>Thu tiền bán hàng - Cty Bình Minh (CK)</t>
        </is>
      </c>
      <c r="F12" s="102" t="inlineStr">
        <is>
          <t>112</t>
        </is>
      </c>
      <c r="G12" s="102" t="inlineStr">
        <is>
          <t>131</t>
        </is>
      </c>
      <c r="H12" s="115" t="n">
        <v>250000000</v>
      </c>
      <c r="I12" s="102" t="inlineStr">
        <is>
          <t>KH001</t>
        </is>
      </c>
      <c r="J12" s="102" t="n"/>
      <c r="K12" s="103" t="n"/>
      <c r="L12" s="116">
        <f>IF($H12="","",TRIM(IF(COUNTIF(DMTK!$A$7:$A$250,$F12)=0,"TK Nợ sai! ","")&amp;IF(COUNTIF(DMTK!$A$7:$A$250,$G12)=0,"TK Có sai! ","")&amp;IF(N($H12)&lt;=0,"Tiền phải &gt; 0! ","")&amp;IF($B12="","Thiếu ngày! ","")&amp;IF(AND(OR(LEFT($F12,3)="131",LEFT($G12,3)="131",LEFT($F12,3)="331",LEFT($G12,3)="331"),$I12=""),"Thiếu Mã ĐT! ","")&amp;IF(AND($I12&lt;&gt;"",COUNTIF(DM_DT!$A$7:$A$306,$I12)=0),"Mã ĐT chưa khai báo! ","")))</f>
        <v/>
      </c>
      <c r="M12" s="117">
        <f>IF($H12="","",IF(AND(OR(LEFT($F12,3)="111",LEFT($F12,3)="112",LEFT($F12,3)="113"),OR(LEFT($G12,3)="111",LEFT($G12,3)="112",LEFT($G12,3)="113")),"NB",IF(OR(LEFT($F12,3)="111",LEFT($F12,3)="112",LEFT($F12,3)="113"),"THU",IF(OR(LEFT($G12,3)="111",LEFT($G12,3)="112",LEFT($G12,3)="113"),"CHI",""))))</f>
        <v/>
      </c>
      <c r="N12" s="117">
        <f>IF($M12="THU",$G12,IF($M12="CHI",$F12,""))</f>
        <v/>
      </c>
      <c r="O12" s="117">
        <f>IF(OR($M12="",$M12="NB"),"",IF($J12&lt;&gt;"",TEXT($J12,"00"),IFERROR(VLOOKUP(LEFT($N12,4),LCTT_MAP!$A$7:$C$66,IF($M12="THU",2,3),FALSE()),IFERROR(VLOOKUP(LEFT($N12,3),LCTT_MAP!$A$7:$C$66,IF($M12="THU",2,3),FALSE()),IFERROR(VLOOKUP(LEFT($N12,2),LCTT_MAP!$A$7:$C$66,IF($M12="THU",2,3),FALSE()),IFERROR(VLOOKUP(LEFT($N12,1),LCTT_MAP!$A$7:$C$66,IF($M12="THU",2,3),FALSE()),IF($M12="THU","06","07")))))))</f>
        <v/>
      </c>
      <c r="P12" s="117">
        <f>P11+IF(AND($H12&lt;&gt;"",OR(LEFT($F12,LEN(SC_TK))=SC_TK,LEFT($G12,LEN(SC_TK))=SC_TK)),1,0)</f>
        <v/>
      </c>
    </row>
    <row r="13" ht="15" customHeight="1" s="78">
      <c r="A13" s="95">
        <f>IF($H13="","",ROW()-6)</f>
        <v/>
      </c>
      <c r="B13" s="114" t="n">
        <v>46047</v>
      </c>
      <c r="C13" s="102" t="inlineStr">
        <is>
          <t>UNC001</t>
        </is>
      </c>
      <c r="D13" s="114" t="n">
        <v>46047</v>
      </c>
      <c r="E13" s="103" t="inlineStr">
        <is>
          <t>Trả tiền mua hàng - Cty Phú Thành</t>
        </is>
      </c>
      <c r="F13" s="102" t="inlineStr">
        <is>
          <t>331</t>
        </is>
      </c>
      <c r="G13" s="102" t="inlineStr">
        <is>
          <t>112</t>
        </is>
      </c>
      <c r="H13" s="115" t="n">
        <v>216000000</v>
      </c>
      <c r="I13" s="102" t="inlineStr">
        <is>
          <t>NCC001</t>
        </is>
      </c>
      <c r="J13" s="102" t="n"/>
      <c r="K13" s="103" t="n"/>
      <c r="L13" s="116">
        <f>IF($H13="","",TRIM(IF(COUNTIF(DMTK!$A$7:$A$250,$F13)=0,"TK Nợ sai! ","")&amp;IF(COUNTIF(DMTK!$A$7:$A$250,$G13)=0,"TK Có sai! ","")&amp;IF(N($H13)&lt;=0,"Tiền phải &gt; 0! ","")&amp;IF($B13="","Thiếu ngày! ","")&amp;IF(AND(OR(LEFT($F13,3)="131",LEFT($G13,3)="131",LEFT($F13,3)="331",LEFT($G13,3)="331"),$I13=""),"Thiếu Mã ĐT! ","")&amp;IF(AND($I13&lt;&gt;"",COUNTIF(DM_DT!$A$7:$A$306,$I13)=0),"Mã ĐT chưa khai báo! ","")))</f>
        <v/>
      </c>
      <c r="M13" s="117">
        <f>IF($H13="","",IF(AND(OR(LEFT($F13,3)="111",LEFT($F13,3)="112",LEFT($F13,3)="113"),OR(LEFT($G13,3)="111",LEFT($G13,3)="112",LEFT($G13,3)="113")),"NB",IF(OR(LEFT($F13,3)="111",LEFT($F13,3)="112",LEFT($F13,3)="113"),"THU",IF(OR(LEFT($G13,3)="111",LEFT($G13,3)="112",LEFT($G13,3)="113"),"CHI",""))))</f>
        <v/>
      </c>
      <c r="N13" s="117">
        <f>IF($M13="THU",$G13,IF($M13="CHI",$F13,""))</f>
        <v/>
      </c>
      <c r="O13" s="117">
        <f>IF(OR($M13="",$M13="NB"),"",IF($J13&lt;&gt;"",TEXT($J13,"00"),IFERROR(VLOOKUP(LEFT($N13,4),LCTT_MAP!$A$7:$C$66,IF($M13="THU",2,3),FALSE()),IFERROR(VLOOKUP(LEFT($N13,3),LCTT_MAP!$A$7:$C$66,IF($M13="THU",2,3),FALSE()),IFERROR(VLOOKUP(LEFT($N13,2),LCTT_MAP!$A$7:$C$66,IF($M13="THU",2,3),FALSE()),IFERROR(VLOOKUP(LEFT($N13,1),LCTT_MAP!$A$7:$C$66,IF($M13="THU",2,3),FALSE()),IF($M13="THU","06","07")))))))</f>
        <v/>
      </c>
      <c r="P13" s="117">
        <f>P12+IF(AND($H13&lt;&gt;"",OR(LEFT($F13,LEN(SC_TK))=SC_TK,LEFT($G13,LEN(SC_TK))=SC_TK)),1,0)</f>
        <v/>
      </c>
    </row>
    <row r="14" ht="15" customHeight="1" s="78">
      <c r="A14" s="95">
        <f>IF($H14="","",ROW()-6)</f>
        <v/>
      </c>
      <c r="B14" s="114" t="n">
        <v>46053</v>
      </c>
      <c r="C14" s="102" t="inlineStr">
        <is>
          <t>BL001</t>
        </is>
      </c>
      <c r="D14" s="114" t="n">
        <v>46053</v>
      </c>
      <c r="E14" s="103" t="inlineStr">
        <is>
          <t>Lương tháng 01 - bộ phận QLDN</t>
        </is>
      </c>
      <c r="F14" s="102" t="inlineStr">
        <is>
          <t>6421</t>
        </is>
      </c>
      <c r="G14" s="102" t="inlineStr">
        <is>
          <t>334</t>
        </is>
      </c>
      <c r="H14" s="115" t="n">
        <v>40000000</v>
      </c>
      <c r="I14" s="102" t="n"/>
      <c r="J14" s="102" t="n"/>
      <c r="K14" s="103" t="n"/>
      <c r="L14" s="116">
        <f>IF($H14="","",TRIM(IF(COUNTIF(DMTK!$A$7:$A$250,$F14)=0,"TK Nợ sai! ","")&amp;IF(COUNTIF(DMTK!$A$7:$A$250,$G14)=0,"TK Có sai! ","")&amp;IF(N($H14)&lt;=0,"Tiền phải &gt; 0! ","")&amp;IF($B14="","Thiếu ngày! ","")&amp;IF(AND(OR(LEFT($F14,3)="131",LEFT($G14,3)="131",LEFT($F14,3)="331",LEFT($G14,3)="331"),$I14=""),"Thiếu Mã ĐT! ","")&amp;IF(AND($I14&lt;&gt;"",COUNTIF(DM_DT!$A$7:$A$306,$I14)=0),"Mã ĐT chưa khai báo! ","")))</f>
        <v/>
      </c>
      <c r="M14" s="117">
        <f>IF($H14="","",IF(AND(OR(LEFT($F14,3)="111",LEFT($F14,3)="112",LEFT($F14,3)="113"),OR(LEFT($G14,3)="111",LEFT($G14,3)="112",LEFT($G14,3)="113")),"NB",IF(OR(LEFT($F14,3)="111",LEFT($F14,3)="112",LEFT($F14,3)="113"),"THU",IF(OR(LEFT($G14,3)="111",LEFT($G14,3)="112",LEFT($G14,3)="113"),"CHI",""))))</f>
        <v/>
      </c>
      <c r="N14" s="117">
        <f>IF($M14="THU",$G14,IF($M14="CHI",$F14,""))</f>
        <v/>
      </c>
      <c r="O14" s="117">
        <f>IF(OR($M14="",$M14="NB"),"",IF($J14&lt;&gt;"",TEXT($J14,"00"),IFERROR(VLOOKUP(LEFT($N14,4),LCTT_MAP!$A$7:$C$66,IF($M14="THU",2,3),FALSE()),IFERROR(VLOOKUP(LEFT($N14,3),LCTT_MAP!$A$7:$C$66,IF($M14="THU",2,3),FALSE()),IFERROR(VLOOKUP(LEFT($N14,2),LCTT_MAP!$A$7:$C$66,IF($M14="THU",2,3),FALSE()),IFERROR(VLOOKUP(LEFT($N14,1),LCTT_MAP!$A$7:$C$66,IF($M14="THU",2,3),FALSE()),IF($M14="THU","06","07")))))))</f>
        <v/>
      </c>
      <c r="P14" s="117">
        <f>P13+IF(AND($H14&lt;&gt;"",OR(LEFT($F14,LEN(SC_TK))=SC_TK,LEFT($G14,LEN(SC_TK))=SC_TK)),1,0)</f>
        <v/>
      </c>
    </row>
    <row r="15" ht="15" customHeight="1" s="78">
      <c r="A15" s="95">
        <f>IF($H15="","",ROW()-6)</f>
        <v/>
      </c>
      <c r="B15" s="114" t="n">
        <v>46053</v>
      </c>
      <c r="C15" s="102" t="inlineStr">
        <is>
          <t>BL001</t>
        </is>
      </c>
      <c r="D15" s="114" t="n">
        <v>46053</v>
      </c>
      <c r="E15" s="103" t="inlineStr">
        <is>
          <t>Lương tháng 01 - bộ phận bán hàng</t>
        </is>
      </c>
      <c r="F15" s="102" t="inlineStr">
        <is>
          <t>6411</t>
        </is>
      </c>
      <c r="G15" s="102" t="inlineStr">
        <is>
          <t>334</t>
        </is>
      </c>
      <c r="H15" s="115" t="n">
        <v>25000000</v>
      </c>
      <c r="I15" s="102" t="n"/>
      <c r="J15" s="102" t="n"/>
      <c r="K15" s="103" t="n"/>
      <c r="L15" s="116">
        <f>IF($H15="","",TRIM(IF(COUNTIF(DMTK!$A$7:$A$250,$F15)=0,"TK Nợ sai! ","")&amp;IF(COUNTIF(DMTK!$A$7:$A$250,$G15)=0,"TK Có sai! ","")&amp;IF(N($H15)&lt;=0,"Tiền phải &gt; 0! ","")&amp;IF($B15="","Thiếu ngày! ","")&amp;IF(AND(OR(LEFT($F15,3)="131",LEFT($G15,3)="131",LEFT($F15,3)="331",LEFT($G15,3)="331"),$I15=""),"Thiếu Mã ĐT! ","")&amp;IF(AND($I15&lt;&gt;"",COUNTIF(DM_DT!$A$7:$A$306,$I15)=0),"Mã ĐT chưa khai báo! ","")))</f>
        <v/>
      </c>
      <c r="M15" s="117">
        <f>IF($H15="","",IF(AND(OR(LEFT($F15,3)="111",LEFT($F15,3)="112",LEFT($F15,3)="113"),OR(LEFT($G15,3)="111",LEFT($G15,3)="112",LEFT($G15,3)="113")),"NB",IF(OR(LEFT($F15,3)="111",LEFT($F15,3)="112",LEFT($F15,3)="113"),"THU",IF(OR(LEFT($G15,3)="111",LEFT($G15,3)="112",LEFT($G15,3)="113"),"CHI",""))))</f>
        <v/>
      </c>
      <c r="N15" s="117">
        <f>IF($M15="THU",$G15,IF($M15="CHI",$F15,""))</f>
        <v/>
      </c>
      <c r="O15" s="117">
        <f>IF(OR($M15="",$M15="NB"),"",IF($J15&lt;&gt;"",TEXT($J15,"00"),IFERROR(VLOOKUP(LEFT($N15,4),LCTT_MAP!$A$7:$C$66,IF($M15="THU",2,3),FALSE()),IFERROR(VLOOKUP(LEFT($N15,3),LCTT_MAP!$A$7:$C$66,IF($M15="THU",2,3),FALSE()),IFERROR(VLOOKUP(LEFT($N15,2),LCTT_MAP!$A$7:$C$66,IF($M15="THU",2,3),FALSE()),IFERROR(VLOOKUP(LEFT($N15,1),LCTT_MAP!$A$7:$C$66,IF($M15="THU",2,3),FALSE()),IF($M15="THU","06","07")))))))</f>
        <v/>
      </c>
      <c r="P15" s="117">
        <f>P14+IF(AND($H15&lt;&gt;"",OR(LEFT($F15,LEN(SC_TK))=SC_TK,LEFT($G15,LEN(SC_TK))=SC_TK)),1,0)</f>
        <v/>
      </c>
    </row>
    <row r="16" ht="15" customHeight="1" s="78">
      <c r="A16" s="95">
        <f>IF($H16="","",ROW()-6)</f>
        <v/>
      </c>
      <c r="B16" s="114" t="n">
        <v>46053</v>
      </c>
      <c r="C16" s="102" t="inlineStr">
        <is>
          <t>BL001</t>
        </is>
      </c>
      <c r="D16" s="114" t="n">
        <v>46053</v>
      </c>
      <c r="E16" s="103" t="inlineStr">
        <is>
          <t>BHXH, BHYT, BHTN, KPCĐ doanh nghiệp đóng - QLDN</t>
        </is>
      </c>
      <c r="F16" s="102" t="inlineStr">
        <is>
          <t>6421</t>
        </is>
      </c>
      <c r="G16" s="102" t="inlineStr">
        <is>
          <t>3383</t>
        </is>
      </c>
      <c r="H16" s="115" t="n">
        <v>9400000</v>
      </c>
      <c r="I16" s="102" t="n"/>
      <c r="J16" s="102" t="n"/>
      <c r="K16" s="103" t="n"/>
      <c r="L16" s="116">
        <f>IF($H16="","",TRIM(IF(COUNTIF(DMTK!$A$7:$A$250,$F16)=0,"TK Nợ sai! ","")&amp;IF(COUNTIF(DMTK!$A$7:$A$250,$G16)=0,"TK Có sai! ","")&amp;IF(N($H16)&lt;=0,"Tiền phải &gt; 0! ","")&amp;IF($B16="","Thiếu ngày! ","")&amp;IF(AND(OR(LEFT($F16,3)="131",LEFT($G16,3)="131",LEFT($F16,3)="331",LEFT($G16,3)="331"),$I16=""),"Thiếu Mã ĐT! ","")&amp;IF(AND($I16&lt;&gt;"",COUNTIF(DM_DT!$A$7:$A$306,$I16)=0),"Mã ĐT chưa khai báo! ","")))</f>
        <v/>
      </c>
      <c r="M16" s="117">
        <f>IF($H16="","",IF(AND(OR(LEFT($F16,3)="111",LEFT($F16,3)="112",LEFT($F16,3)="113"),OR(LEFT($G16,3)="111",LEFT($G16,3)="112",LEFT($G16,3)="113")),"NB",IF(OR(LEFT($F16,3)="111",LEFT($F16,3)="112",LEFT($F16,3)="113"),"THU",IF(OR(LEFT($G16,3)="111",LEFT($G16,3)="112",LEFT($G16,3)="113"),"CHI",""))))</f>
        <v/>
      </c>
      <c r="N16" s="117">
        <f>IF($M16="THU",$G16,IF($M16="CHI",$F16,""))</f>
        <v/>
      </c>
      <c r="O16" s="117">
        <f>IF(OR($M16="",$M16="NB"),"",IF($J16&lt;&gt;"",TEXT($J16,"00"),IFERROR(VLOOKUP(LEFT($N16,4),LCTT_MAP!$A$7:$C$66,IF($M16="THU",2,3),FALSE()),IFERROR(VLOOKUP(LEFT($N16,3),LCTT_MAP!$A$7:$C$66,IF($M16="THU",2,3),FALSE()),IFERROR(VLOOKUP(LEFT($N16,2),LCTT_MAP!$A$7:$C$66,IF($M16="THU",2,3),FALSE()),IFERROR(VLOOKUP(LEFT($N16,1),LCTT_MAP!$A$7:$C$66,IF($M16="THU",2,3),FALSE()),IF($M16="THU","06","07")))))))</f>
        <v/>
      </c>
      <c r="P16" s="117">
        <f>P15+IF(AND($H16&lt;&gt;"",OR(LEFT($F16,LEN(SC_TK))=SC_TK,LEFT($G16,LEN(SC_TK))=SC_TK)),1,0)</f>
        <v/>
      </c>
    </row>
    <row r="17" ht="25.35" customHeight="1" s="78">
      <c r="A17" s="95">
        <f>IF($H17="","",ROW()-6)</f>
        <v/>
      </c>
      <c r="B17" s="114" t="n">
        <v>46053</v>
      </c>
      <c r="C17" s="102" t="inlineStr">
        <is>
          <t>BL001</t>
        </is>
      </c>
      <c r="D17" s="114" t="n">
        <v>46053</v>
      </c>
      <c r="E17" s="103" t="inlineStr">
        <is>
          <t>BHXH, BHYT, BHTN, KPCĐ doanh nghiệp đóng - bán hàng</t>
        </is>
      </c>
      <c r="F17" s="102" t="inlineStr">
        <is>
          <t>6411</t>
        </is>
      </c>
      <c r="G17" s="102" t="inlineStr">
        <is>
          <t>3383</t>
        </is>
      </c>
      <c r="H17" s="115" t="n">
        <v>5875000</v>
      </c>
      <c r="I17" s="102" t="n"/>
      <c r="J17" s="102" t="n"/>
      <c r="K17" s="103" t="n"/>
      <c r="L17" s="116">
        <f>IF($H17="","",TRIM(IF(COUNTIF(DMTK!$A$7:$A$250,$F17)=0,"TK Nợ sai! ","")&amp;IF(COUNTIF(DMTK!$A$7:$A$250,$G17)=0,"TK Có sai! ","")&amp;IF(N($H17)&lt;=0,"Tiền phải &gt; 0! ","")&amp;IF($B17="","Thiếu ngày! ","")&amp;IF(AND(OR(LEFT($F17,3)="131",LEFT($G17,3)="131",LEFT($F17,3)="331",LEFT($G17,3)="331"),$I17=""),"Thiếu Mã ĐT! ","")&amp;IF(AND($I17&lt;&gt;"",COUNTIF(DM_DT!$A$7:$A$306,$I17)=0),"Mã ĐT chưa khai báo! ","")))</f>
        <v/>
      </c>
      <c r="M17" s="117">
        <f>IF($H17="","",IF(AND(OR(LEFT($F17,3)="111",LEFT($F17,3)="112",LEFT($F17,3)="113"),OR(LEFT($G17,3)="111",LEFT($G17,3)="112",LEFT($G17,3)="113")),"NB",IF(OR(LEFT($F17,3)="111",LEFT($F17,3)="112",LEFT($F17,3)="113"),"THU",IF(OR(LEFT($G17,3)="111",LEFT($G17,3)="112",LEFT($G17,3)="113"),"CHI",""))))</f>
        <v/>
      </c>
      <c r="N17" s="117">
        <f>IF($M17="THU",$G17,IF($M17="CHI",$F17,""))</f>
        <v/>
      </c>
      <c r="O17" s="117">
        <f>IF(OR($M17="",$M17="NB"),"",IF($J17&lt;&gt;"",TEXT($J17,"00"),IFERROR(VLOOKUP(LEFT($N17,4),LCTT_MAP!$A$7:$C$66,IF($M17="THU",2,3),FALSE()),IFERROR(VLOOKUP(LEFT($N17,3),LCTT_MAP!$A$7:$C$66,IF($M17="THU",2,3),FALSE()),IFERROR(VLOOKUP(LEFT($N17,2),LCTT_MAP!$A$7:$C$66,IF($M17="THU",2,3),FALSE()),IFERROR(VLOOKUP(LEFT($N17,1),LCTT_MAP!$A$7:$C$66,IF($M17="THU",2,3),FALSE()),IF($M17="THU","06","07")))))))</f>
        <v/>
      </c>
      <c r="P17" s="117">
        <f>P16+IF(AND($H17&lt;&gt;"",OR(LEFT($F17,LEN(SC_TK))=SC_TK,LEFT($G17,LEN(SC_TK))=SC_TK)),1,0)</f>
        <v/>
      </c>
    </row>
    <row r="18" ht="15" customHeight="1" s="78">
      <c r="A18" s="95">
        <f>IF($H18="","",ROW()-6)</f>
        <v/>
      </c>
      <c r="B18" s="114" t="n">
        <v>46053</v>
      </c>
      <c r="C18" s="102" t="inlineStr">
        <is>
          <t>BL001</t>
        </is>
      </c>
      <c r="D18" s="114" t="n">
        <v>46053</v>
      </c>
      <c r="E18" s="103" t="inlineStr">
        <is>
          <t>Bảo hiểm trừ vào lương người lao động (10,5%)</t>
        </is>
      </c>
      <c r="F18" s="102" t="inlineStr">
        <is>
          <t>334</t>
        </is>
      </c>
      <c r="G18" s="102" t="inlineStr">
        <is>
          <t>3383</t>
        </is>
      </c>
      <c r="H18" s="115" t="n">
        <v>6825000</v>
      </c>
      <c r="I18" s="102" t="n"/>
      <c r="J18" s="102" t="n"/>
      <c r="K18" s="103" t="n"/>
      <c r="L18" s="116">
        <f>IF($H18="","",TRIM(IF(COUNTIF(DMTK!$A$7:$A$250,$F18)=0,"TK Nợ sai! ","")&amp;IF(COUNTIF(DMTK!$A$7:$A$250,$G18)=0,"TK Có sai! ","")&amp;IF(N($H18)&lt;=0,"Tiền phải &gt; 0! ","")&amp;IF($B18="","Thiếu ngày! ","")&amp;IF(AND(OR(LEFT($F18,3)="131",LEFT($G18,3)="131",LEFT($F18,3)="331",LEFT($G18,3)="331"),$I18=""),"Thiếu Mã ĐT! ","")&amp;IF(AND($I18&lt;&gt;"",COUNTIF(DM_DT!$A$7:$A$306,$I18)=0),"Mã ĐT chưa khai báo! ","")))</f>
        <v/>
      </c>
      <c r="M18" s="117">
        <f>IF($H18="","",IF(AND(OR(LEFT($F18,3)="111",LEFT($F18,3)="112",LEFT($F18,3)="113"),OR(LEFT($G18,3)="111",LEFT($G18,3)="112",LEFT($G18,3)="113")),"NB",IF(OR(LEFT($F18,3)="111",LEFT($F18,3)="112",LEFT($F18,3)="113"),"THU",IF(OR(LEFT($G18,3)="111",LEFT($G18,3)="112",LEFT($G18,3)="113"),"CHI",""))))</f>
        <v/>
      </c>
      <c r="N18" s="117">
        <f>IF($M18="THU",$G18,IF($M18="CHI",$F18,""))</f>
        <v/>
      </c>
      <c r="O18" s="117">
        <f>IF(OR($M18="",$M18="NB"),"",IF($J18&lt;&gt;"",TEXT($J18,"00"),IFERROR(VLOOKUP(LEFT($N18,4),LCTT_MAP!$A$7:$C$66,IF($M18="THU",2,3),FALSE()),IFERROR(VLOOKUP(LEFT($N18,3),LCTT_MAP!$A$7:$C$66,IF($M18="THU",2,3),FALSE()),IFERROR(VLOOKUP(LEFT($N18,2),LCTT_MAP!$A$7:$C$66,IF($M18="THU",2,3),FALSE()),IFERROR(VLOOKUP(LEFT($N18,1),LCTT_MAP!$A$7:$C$66,IF($M18="THU",2,3),FALSE()),IF($M18="THU","06","07")))))))</f>
        <v/>
      </c>
      <c r="P18" s="117">
        <f>P17+IF(AND($H18&lt;&gt;"",OR(LEFT($F18,LEN(SC_TK))=SC_TK,LEFT($G18,LEN(SC_TK))=SC_TK)),1,0)</f>
        <v/>
      </c>
    </row>
    <row r="19" ht="15" customHeight="1" s="78">
      <c r="A19" s="95">
        <f>IF($H19="","",ROW()-6)</f>
        <v/>
      </c>
      <c r="B19" s="114" t="n">
        <v>46058</v>
      </c>
      <c r="C19" s="102" t="inlineStr">
        <is>
          <t>UNC002</t>
        </is>
      </c>
      <c r="D19" s="114" t="n">
        <v>46058</v>
      </c>
      <c r="E19" s="103" t="inlineStr">
        <is>
          <t>Chi trả lương tháng 01 qua ngân hàng</t>
        </is>
      </c>
      <c r="F19" s="102" t="inlineStr">
        <is>
          <t>334</t>
        </is>
      </c>
      <c r="G19" s="102" t="inlineStr">
        <is>
          <t>112</t>
        </is>
      </c>
      <c r="H19" s="115" t="n">
        <v>58175000</v>
      </c>
      <c r="I19" s="102" t="n"/>
      <c r="J19" s="102" t="n"/>
      <c r="K19" s="103" t="n"/>
      <c r="L19" s="116">
        <f>IF($H19="","",TRIM(IF(COUNTIF(DMTK!$A$7:$A$250,$F19)=0,"TK Nợ sai! ","")&amp;IF(COUNTIF(DMTK!$A$7:$A$250,$G19)=0,"TK Có sai! ","")&amp;IF(N($H19)&lt;=0,"Tiền phải &gt; 0! ","")&amp;IF($B19="","Thiếu ngày! ","")&amp;IF(AND(OR(LEFT($F19,3)="131",LEFT($G19,3)="131",LEFT($F19,3)="331",LEFT($G19,3)="331"),$I19=""),"Thiếu Mã ĐT! ","")&amp;IF(AND($I19&lt;&gt;"",COUNTIF(DM_DT!$A$7:$A$306,$I19)=0),"Mã ĐT chưa khai báo! ","")))</f>
        <v/>
      </c>
      <c r="M19" s="117">
        <f>IF($H19="","",IF(AND(OR(LEFT($F19,3)="111",LEFT($F19,3)="112",LEFT($F19,3)="113"),OR(LEFT($G19,3)="111",LEFT($G19,3)="112",LEFT($G19,3)="113")),"NB",IF(OR(LEFT($F19,3)="111",LEFT($F19,3)="112",LEFT($F19,3)="113"),"THU",IF(OR(LEFT($G19,3)="111",LEFT($G19,3)="112",LEFT($G19,3)="113"),"CHI",""))))</f>
        <v/>
      </c>
      <c r="N19" s="117">
        <f>IF($M19="THU",$G19,IF($M19="CHI",$F19,""))</f>
        <v/>
      </c>
      <c r="O19" s="117">
        <f>IF(OR($M19="",$M19="NB"),"",IF($J19&lt;&gt;"",TEXT($J19,"00"),IFERROR(VLOOKUP(LEFT($N19,4),LCTT_MAP!$A$7:$C$66,IF($M19="THU",2,3),FALSE()),IFERROR(VLOOKUP(LEFT($N19,3),LCTT_MAP!$A$7:$C$66,IF($M19="THU",2,3),FALSE()),IFERROR(VLOOKUP(LEFT($N19,2),LCTT_MAP!$A$7:$C$66,IF($M19="THU",2,3),FALSE()),IFERROR(VLOOKUP(LEFT($N19,1),LCTT_MAP!$A$7:$C$66,IF($M19="THU",2,3),FALSE()),IF($M19="THU","06","07")))))))</f>
        <v/>
      </c>
      <c r="P19" s="117">
        <f>P18+IF(AND($H19&lt;&gt;"",OR(LEFT($F19,LEN(SC_TK))=SC_TK,LEFT($G19,LEN(SC_TK))=SC_TK)),1,0)</f>
        <v/>
      </c>
    </row>
    <row r="20" ht="15" customHeight="1" s="78">
      <c r="A20" s="95">
        <f>IF($H20="","",ROW()-6)</f>
        <v/>
      </c>
      <c r="B20" s="114" t="n">
        <v>46058</v>
      </c>
      <c r="C20" s="102" t="inlineStr">
        <is>
          <t>UNC003</t>
        </is>
      </c>
      <c r="D20" s="114" t="n">
        <v>46058</v>
      </c>
      <c r="E20" s="103" t="inlineStr">
        <is>
          <t>Nộp BHXH, BHYT, BHTN, KPCĐ tháng 01</t>
        </is>
      </c>
      <c r="F20" s="102" t="inlineStr">
        <is>
          <t>3383</t>
        </is>
      </c>
      <c r="G20" s="102" t="inlineStr">
        <is>
          <t>112</t>
        </is>
      </c>
      <c r="H20" s="115" t="n">
        <v>22100000</v>
      </c>
      <c r="I20" s="102" t="n"/>
      <c r="J20" s="102" t="n"/>
      <c r="K20" s="103" t="n"/>
      <c r="L20" s="116">
        <f>IF($H20="","",TRIM(IF(COUNTIF(DMTK!$A$7:$A$250,$F20)=0,"TK Nợ sai! ","")&amp;IF(COUNTIF(DMTK!$A$7:$A$250,$G20)=0,"TK Có sai! ","")&amp;IF(N($H20)&lt;=0,"Tiền phải &gt; 0! ","")&amp;IF($B20="","Thiếu ngày! ","")&amp;IF(AND(OR(LEFT($F20,3)="131",LEFT($G20,3)="131",LEFT($F20,3)="331",LEFT($G20,3)="331"),$I20=""),"Thiếu Mã ĐT! ","")&amp;IF(AND($I20&lt;&gt;"",COUNTIF(DM_DT!$A$7:$A$306,$I20)=0),"Mã ĐT chưa khai báo! ","")))</f>
        <v/>
      </c>
      <c r="M20" s="117">
        <f>IF($H20="","",IF(AND(OR(LEFT($F20,3)="111",LEFT($F20,3)="112",LEFT($F20,3)="113"),OR(LEFT($G20,3)="111",LEFT($G20,3)="112",LEFT($G20,3)="113")),"NB",IF(OR(LEFT($F20,3)="111",LEFT($F20,3)="112",LEFT($F20,3)="113"),"THU",IF(OR(LEFT($G20,3)="111",LEFT($G20,3)="112",LEFT($G20,3)="113"),"CHI",""))))</f>
        <v/>
      </c>
      <c r="N20" s="117">
        <f>IF($M20="THU",$G20,IF($M20="CHI",$F20,""))</f>
        <v/>
      </c>
      <c r="O20" s="117">
        <f>IF(OR($M20="",$M20="NB"),"",IF($J20&lt;&gt;"",TEXT($J20,"00"),IFERROR(VLOOKUP(LEFT($N20,4),LCTT_MAP!$A$7:$C$66,IF($M20="THU",2,3),FALSE()),IFERROR(VLOOKUP(LEFT($N20,3),LCTT_MAP!$A$7:$C$66,IF($M20="THU",2,3),FALSE()),IFERROR(VLOOKUP(LEFT($N20,2),LCTT_MAP!$A$7:$C$66,IF($M20="THU",2,3),FALSE()),IFERROR(VLOOKUP(LEFT($N20,1),LCTT_MAP!$A$7:$C$66,IF($M20="THU",2,3),FALSE()),IF($M20="THU","06","07")))))))</f>
        <v/>
      </c>
      <c r="P20" s="117">
        <f>P19+IF(AND($H20&lt;&gt;"",OR(LEFT($F20,LEN(SC_TK))=SC_TK,LEFT($G20,LEN(SC_TK))=SC_TK)),1,0)</f>
        <v/>
      </c>
    </row>
    <row r="21" ht="15" customHeight="1" s="78">
      <c r="A21" s="95">
        <f>IF($H21="","",ROW()-6)</f>
        <v/>
      </c>
      <c r="B21" s="114" t="n">
        <v>46068</v>
      </c>
      <c r="C21" s="102" t="inlineStr">
        <is>
          <t>HD0002</t>
        </is>
      </c>
      <c r="D21" s="114" t="n">
        <v>46068</v>
      </c>
      <c r="E21" s="103" t="inlineStr">
        <is>
          <t>Bán hàng hóa - Cty Sao Mai</t>
        </is>
      </c>
      <c r="F21" s="102" t="inlineStr">
        <is>
          <t>131</t>
        </is>
      </c>
      <c r="G21" s="102" t="inlineStr">
        <is>
          <t>511</t>
        </is>
      </c>
      <c r="H21" s="115" t="n">
        <v>180000000</v>
      </c>
      <c r="I21" s="102" t="inlineStr">
        <is>
          <t>KH002</t>
        </is>
      </c>
      <c r="J21" s="102" t="n"/>
      <c r="K21" s="103" t="n"/>
      <c r="L21" s="116">
        <f>IF($H21="","",TRIM(IF(COUNTIF(DMTK!$A$7:$A$250,$F21)=0,"TK Nợ sai! ","")&amp;IF(COUNTIF(DMTK!$A$7:$A$250,$G21)=0,"TK Có sai! ","")&amp;IF(N($H21)&lt;=0,"Tiền phải &gt; 0! ","")&amp;IF($B21="","Thiếu ngày! ","")&amp;IF(AND(OR(LEFT($F21,3)="131",LEFT($G21,3)="131",LEFT($F21,3)="331",LEFT($G21,3)="331"),$I21=""),"Thiếu Mã ĐT! ","")&amp;IF(AND($I21&lt;&gt;"",COUNTIF(DM_DT!$A$7:$A$306,$I21)=0),"Mã ĐT chưa khai báo! ","")))</f>
        <v/>
      </c>
      <c r="M21" s="117">
        <f>IF($H21="","",IF(AND(OR(LEFT($F21,3)="111",LEFT($F21,3)="112",LEFT($F21,3)="113"),OR(LEFT($G21,3)="111",LEFT($G21,3)="112",LEFT($G21,3)="113")),"NB",IF(OR(LEFT($F21,3)="111",LEFT($F21,3)="112",LEFT($F21,3)="113"),"THU",IF(OR(LEFT($G21,3)="111",LEFT($G21,3)="112",LEFT($G21,3)="113"),"CHI",""))))</f>
        <v/>
      </c>
      <c r="N21" s="117">
        <f>IF($M21="THU",$G21,IF($M21="CHI",$F21,""))</f>
        <v/>
      </c>
      <c r="O21" s="117">
        <f>IF(OR($M21="",$M21="NB"),"",IF($J21&lt;&gt;"",TEXT($J21,"00"),IFERROR(VLOOKUP(LEFT($N21,4),LCTT_MAP!$A$7:$C$66,IF($M21="THU",2,3),FALSE()),IFERROR(VLOOKUP(LEFT($N21,3),LCTT_MAP!$A$7:$C$66,IF($M21="THU",2,3),FALSE()),IFERROR(VLOOKUP(LEFT($N21,2),LCTT_MAP!$A$7:$C$66,IF($M21="THU",2,3),FALSE()),IFERROR(VLOOKUP(LEFT($N21,1),LCTT_MAP!$A$7:$C$66,IF($M21="THU",2,3),FALSE()),IF($M21="THU","06","07")))))))</f>
        <v/>
      </c>
      <c r="P21" s="117">
        <f>P20+IF(AND($H21&lt;&gt;"",OR(LEFT($F21,LEN(SC_TK))=SC_TK,LEFT($G21,LEN(SC_TK))=SC_TK)),1,0)</f>
        <v/>
      </c>
    </row>
    <row r="22" ht="15" customHeight="1" s="78">
      <c r="A22" s="95">
        <f>IF($H22="","",ROW()-6)</f>
        <v/>
      </c>
      <c r="B22" s="114" t="n">
        <v>46068</v>
      </c>
      <c r="C22" s="102" t="inlineStr">
        <is>
          <t>HD0002</t>
        </is>
      </c>
      <c r="D22" s="114" t="n">
        <v>46068</v>
      </c>
      <c r="E22" s="103" t="inlineStr">
        <is>
          <t>Thuế GTGT đầu ra bán hàng</t>
        </is>
      </c>
      <c r="F22" s="102" t="inlineStr">
        <is>
          <t>131</t>
        </is>
      </c>
      <c r="G22" s="102" t="inlineStr">
        <is>
          <t>33311</t>
        </is>
      </c>
      <c r="H22" s="115" t="n">
        <v>14400000</v>
      </c>
      <c r="I22" s="102" t="inlineStr">
        <is>
          <t>KH002</t>
        </is>
      </c>
      <c r="J22" s="102" t="n"/>
      <c r="K22" s="103" t="n"/>
      <c r="L22" s="116">
        <f>IF($H22="","",TRIM(IF(COUNTIF(DMTK!$A$7:$A$250,$F22)=0,"TK Nợ sai! ","")&amp;IF(COUNTIF(DMTK!$A$7:$A$250,$G22)=0,"TK Có sai! ","")&amp;IF(N($H22)&lt;=0,"Tiền phải &gt; 0! ","")&amp;IF($B22="","Thiếu ngày! ","")&amp;IF(AND(OR(LEFT($F22,3)="131",LEFT($G22,3)="131",LEFT($F22,3)="331",LEFT($G22,3)="331"),$I22=""),"Thiếu Mã ĐT! ","")&amp;IF(AND($I22&lt;&gt;"",COUNTIF(DM_DT!$A$7:$A$306,$I22)=0),"Mã ĐT chưa khai báo! ","")))</f>
        <v/>
      </c>
      <c r="M22" s="117">
        <f>IF($H22="","",IF(AND(OR(LEFT($F22,3)="111",LEFT($F22,3)="112",LEFT($F22,3)="113"),OR(LEFT($G22,3)="111",LEFT($G22,3)="112",LEFT($G22,3)="113")),"NB",IF(OR(LEFT($F22,3)="111",LEFT($F22,3)="112",LEFT($F22,3)="113"),"THU",IF(OR(LEFT($G22,3)="111",LEFT($G22,3)="112",LEFT($G22,3)="113"),"CHI",""))))</f>
        <v/>
      </c>
      <c r="N22" s="117">
        <f>IF($M22="THU",$G22,IF($M22="CHI",$F22,""))</f>
        <v/>
      </c>
      <c r="O22" s="117">
        <f>IF(OR($M22="",$M22="NB"),"",IF($J22&lt;&gt;"",TEXT($J22,"00"),IFERROR(VLOOKUP(LEFT($N22,4),LCTT_MAP!$A$7:$C$66,IF($M22="THU",2,3),FALSE()),IFERROR(VLOOKUP(LEFT($N22,3),LCTT_MAP!$A$7:$C$66,IF($M22="THU",2,3),FALSE()),IFERROR(VLOOKUP(LEFT($N22,2),LCTT_MAP!$A$7:$C$66,IF($M22="THU",2,3),FALSE()),IFERROR(VLOOKUP(LEFT($N22,1),LCTT_MAP!$A$7:$C$66,IF($M22="THU",2,3),FALSE()),IF($M22="THU","06","07")))))))</f>
        <v/>
      </c>
      <c r="P22" s="117">
        <f>P21+IF(AND($H22&lt;&gt;"",OR(LEFT($F22,LEN(SC_TK))=SC_TK,LEFT($G22,LEN(SC_TK))=SC_TK)),1,0)</f>
        <v/>
      </c>
    </row>
    <row r="23" ht="15" customHeight="1" s="78">
      <c r="A23" s="95">
        <f>IF($H23="","",ROW()-6)</f>
        <v/>
      </c>
      <c r="B23" s="114" t="n">
        <v>46068</v>
      </c>
      <c r="C23" s="102" t="inlineStr">
        <is>
          <t>PX002</t>
        </is>
      </c>
      <c r="D23" s="114" t="n">
        <v>46068</v>
      </c>
      <c r="E23" s="103" t="inlineStr">
        <is>
          <t>Giá vốn hàng bán HĐ 0002</t>
        </is>
      </c>
      <c r="F23" s="102" t="inlineStr">
        <is>
          <t>632</t>
        </is>
      </c>
      <c r="G23" s="102" t="inlineStr">
        <is>
          <t>156</t>
        </is>
      </c>
      <c r="H23" s="115" t="n">
        <v>130000000</v>
      </c>
      <c r="I23" s="102" t="n"/>
      <c r="J23" s="102" t="n"/>
      <c r="K23" s="103" t="n"/>
      <c r="L23" s="116">
        <f>IF($H23="","",TRIM(IF(COUNTIF(DMTK!$A$7:$A$250,$F23)=0,"TK Nợ sai! ","")&amp;IF(COUNTIF(DMTK!$A$7:$A$250,$G23)=0,"TK Có sai! ","")&amp;IF(N($H23)&lt;=0,"Tiền phải &gt; 0! ","")&amp;IF($B23="","Thiếu ngày! ","")&amp;IF(AND(OR(LEFT($F23,3)="131",LEFT($G23,3)="131",LEFT($F23,3)="331",LEFT($G23,3)="331"),$I23=""),"Thiếu Mã ĐT! ","")&amp;IF(AND($I23&lt;&gt;"",COUNTIF(DM_DT!$A$7:$A$306,$I23)=0),"Mã ĐT chưa khai báo! ","")))</f>
        <v/>
      </c>
      <c r="M23" s="117">
        <f>IF($H23="","",IF(AND(OR(LEFT($F23,3)="111",LEFT($F23,3)="112",LEFT($F23,3)="113"),OR(LEFT($G23,3)="111",LEFT($G23,3)="112",LEFT($G23,3)="113")),"NB",IF(OR(LEFT($F23,3)="111",LEFT($F23,3)="112",LEFT($F23,3)="113"),"THU",IF(OR(LEFT($G23,3)="111",LEFT($G23,3)="112",LEFT($G23,3)="113"),"CHI",""))))</f>
        <v/>
      </c>
      <c r="N23" s="117">
        <f>IF($M23="THU",$G23,IF($M23="CHI",$F23,""))</f>
        <v/>
      </c>
      <c r="O23" s="117">
        <f>IF(OR($M23="",$M23="NB"),"",IF($J23&lt;&gt;"",TEXT($J23,"00"),IFERROR(VLOOKUP(LEFT($N23,4),LCTT_MAP!$A$7:$C$66,IF($M23="THU",2,3),FALSE()),IFERROR(VLOOKUP(LEFT($N23,3),LCTT_MAP!$A$7:$C$66,IF($M23="THU",2,3),FALSE()),IFERROR(VLOOKUP(LEFT($N23,2),LCTT_MAP!$A$7:$C$66,IF($M23="THU",2,3),FALSE()),IFERROR(VLOOKUP(LEFT($N23,1),LCTT_MAP!$A$7:$C$66,IF($M23="THU",2,3),FALSE()),IF($M23="THU","06","07")))))))</f>
        <v/>
      </c>
      <c r="P23" s="117">
        <f>P22+IF(AND($H23&lt;&gt;"",OR(LEFT($F23,LEN(SC_TK))=SC_TK,LEFT($G23,LEN(SC_TK))=SC_TK)),1,0)</f>
        <v/>
      </c>
    </row>
    <row r="24" ht="15" customHeight="1" s="78">
      <c r="A24" s="95">
        <f>IF($H24="","",ROW()-6)</f>
        <v/>
      </c>
      <c r="B24" s="114" t="n">
        <v>46081</v>
      </c>
      <c r="C24" s="102" t="inlineStr">
        <is>
          <t>PC001</t>
        </is>
      </c>
      <c r="D24" s="114" t="n">
        <v>46081</v>
      </c>
      <c r="E24" s="103" t="inlineStr">
        <is>
          <t>Chi tiếp khách bằng tiền mặt</t>
        </is>
      </c>
      <c r="F24" s="102" t="inlineStr">
        <is>
          <t>6428</t>
        </is>
      </c>
      <c r="G24" s="102" t="inlineStr">
        <is>
          <t>111</t>
        </is>
      </c>
      <c r="H24" s="115" t="n">
        <v>8000000</v>
      </c>
      <c r="I24" s="102" t="n"/>
      <c r="J24" s="102" t="n"/>
      <c r="K24" s="103" t="n"/>
      <c r="L24" s="116">
        <f>IF($H24="","",TRIM(IF(COUNTIF(DMTK!$A$7:$A$250,$F24)=0,"TK Nợ sai! ","")&amp;IF(COUNTIF(DMTK!$A$7:$A$250,$G24)=0,"TK Có sai! ","")&amp;IF(N($H24)&lt;=0,"Tiền phải &gt; 0! ","")&amp;IF($B24="","Thiếu ngày! ","")&amp;IF(AND(OR(LEFT($F24,3)="131",LEFT($G24,3)="131",LEFT($F24,3)="331",LEFT($G24,3)="331"),$I24=""),"Thiếu Mã ĐT! ","")&amp;IF(AND($I24&lt;&gt;"",COUNTIF(DM_DT!$A$7:$A$306,$I24)=0),"Mã ĐT chưa khai báo! ","")))</f>
        <v/>
      </c>
      <c r="M24" s="117">
        <f>IF($H24="","",IF(AND(OR(LEFT($F24,3)="111",LEFT($F24,3)="112",LEFT($F24,3)="113"),OR(LEFT($G24,3)="111",LEFT($G24,3)="112",LEFT($G24,3)="113")),"NB",IF(OR(LEFT($F24,3)="111",LEFT($F24,3)="112",LEFT($F24,3)="113"),"THU",IF(OR(LEFT($G24,3)="111",LEFT($G24,3)="112",LEFT($G24,3)="113"),"CHI",""))))</f>
        <v/>
      </c>
      <c r="N24" s="117">
        <f>IF($M24="THU",$G24,IF($M24="CHI",$F24,""))</f>
        <v/>
      </c>
      <c r="O24" s="117">
        <f>IF(OR($M24="",$M24="NB"),"",IF($J24&lt;&gt;"",TEXT($J24,"00"),IFERROR(VLOOKUP(LEFT($N24,4),LCTT_MAP!$A$7:$C$66,IF($M24="THU",2,3),FALSE()),IFERROR(VLOOKUP(LEFT($N24,3),LCTT_MAP!$A$7:$C$66,IF($M24="THU",2,3),FALSE()),IFERROR(VLOOKUP(LEFT($N24,2),LCTT_MAP!$A$7:$C$66,IF($M24="THU",2,3),FALSE()),IFERROR(VLOOKUP(LEFT($N24,1),LCTT_MAP!$A$7:$C$66,IF($M24="THU",2,3),FALSE()),IF($M24="THU","06","07")))))))</f>
        <v/>
      </c>
      <c r="P24" s="117">
        <f>P23+IF(AND($H24&lt;&gt;"",OR(LEFT($F24,LEN(SC_TK))=SC_TK,LEFT($G24,LEN(SC_TK))=SC_TK)),1,0)</f>
        <v/>
      </c>
    </row>
    <row r="25" ht="15" customHeight="1" s="78">
      <c r="A25" s="95">
        <f>IF($H25="","",ROW()-6)</f>
        <v/>
      </c>
      <c r="B25" s="114" t="n">
        <v>46081</v>
      </c>
      <c r="C25" s="102" t="inlineStr">
        <is>
          <t>PKT001</t>
        </is>
      </c>
      <c r="D25" s="114" t="n">
        <v>46081</v>
      </c>
      <c r="E25" s="103" t="inlineStr">
        <is>
          <t>Khấu trừ thuế GTGT đầu vào với đầu ra</t>
        </is>
      </c>
      <c r="F25" s="102" t="inlineStr">
        <is>
          <t>33311</t>
        </is>
      </c>
      <c r="G25" s="102" t="inlineStr">
        <is>
          <t>1331</t>
        </is>
      </c>
      <c r="H25" s="115" t="n">
        <v>16000000</v>
      </c>
      <c r="I25" s="102" t="n"/>
      <c r="J25" s="102" t="n"/>
      <c r="K25" s="103" t="n"/>
      <c r="L25" s="116">
        <f>IF($H25="","",TRIM(IF(COUNTIF(DMTK!$A$7:$A$250,$F25)=0,"TK Nợ sai! ","")&amp;IF(COUNTIF(DMTK!$A$7:$A$250,$G25)=0,"TK Có sai! ","")&amp;IF(N($H25)&lt;=0,"Tiền phải &gt; 0! ","")&amp;IF($B25="","Thiếu ngày! ","")&amp;IF(AND(OR(LEFT($F25,3)="131",LEFT($G25,3)="131",LEFT($F25,3)="331",LEFT($G25,3)="331"),$I25=""),"Thiếu Mã ĐT! ","")&amp;IF(AND($I25&lt;&gt;"",COUNTIF(DM_DT!$A$7:$A$306,$I25)=0),"Mã ĐT chưa khai báo! ","")))</f>
        <v/>
      </c>
      <c r="M25" s="117">
        <f>IF($H25="","",IF(AND(OR(LEFT($F25,3)="111",LEFT($F25,3)="112",LEFT($F25,3)="113"),OR(LEFT($G25,3)="111",LEFT($G25,3)="112",LEFT($G25,3)="113")),"NB",IF(OR(LEFT($F25,3)="111",LEFT($F25,3)="112",LEFT($F25,3)="113"),"THU",IF(OR(LEFT($G25,3)="111",LEFT($G25,3)="112",LEFT($G25,3)="113"),"CHI",""))))</f>
        <v/>
      </c>
      <c r="N25" s="117">
        <f>IF($M25="THU",$G25,IF($M25="CHI",$F25,""))</f>
        <v/>
      </c>
      <c r="O25" s="117">
        <f>IF(OR($M25="",$M25="NB"),"",IF($J25&lt;&gt;"",TEXT($J25,"00"),IFERROR(VLOOKUP(LEFT($N25,4),LCTT_MAP!$A$7:$C$66,IF($M25="THU",2,3),FALSE()),IFERROR(VLOOKUP(LEFT($N25,3),LCTT_MAP!$A$7:$C$66,IF($M25="THU",2,3),FALSE()),IFERROR(VLOOKUP(LEFT($N25,2),LCTT_MAP!$A$7:$C$66,IF($M25="THU",2,3),FALSE()),IFERROR(VLOOKUP(LEFT($N25,1),LCTT_MAP!$A$7:$C$66,IF($M25="THU",2,3),FALSE()),IF($M25="THU","06","07")))))))</f>
        <v/>
      </c>
      <c r="P25" s="117">
        <f>P24+IF(AND($H25&lt;&gt;"",OR(LEFT($F25,LEN(SC_TK))=SC_TK,LEFT($G25,LEN(SC_TK))=SC_TK)),1,0)</f>
        <v/>
      </c>
    </row>
    <row r="26" ht="15" customHeight="1" s="78">
      <c r="A26" s="95">
        <f>IF($H26="","",ROW()-6)</f>
        <v/>
      </c>
      <c r="B26" s="114" t="n">
        <v>46091</v>
      </c>
      <c r="C26" s="102" t="inlineStr">
        <is>
          <t>BC002</t>
        </is>
      </c>
      <c r="D26" s="114" t="n">
        <v>46091</v>
      </c>
      <c r="E26" s="103" t="inlineStr">
        <is>
          <t>Thu nợ tiền hàng - Cty Sao Mai</t>
        </is>
      </c>
      <c r="F26" s="102" t="inlineStr">
        <is>
          <t>112</t>
        </is>
      </c>
      <c r="G26" s="102" t="inlineStr">
        <is>
          <t>131</t>
        </is>
      </c>
      <c r="H26" s="115" t="n">
        <v>200000000</v>
      </c>
      <c r="I26" s="102" t="inlineStr">
        <is>
          <t>KH002</t>
        </is>
      </c>
      <c r="J26" s="102" t="n"/>
      <c r="K26" s="103" t="n"/>
      <c r="L26" s="116">
        <f>IF($H26="","",TRIM(IF(COUNTIF(DMTK!$A$7:$A$250,$F26)=0,"TK Nợ sai! ","")&amp;IF(COUNTIF(DMTK!$A$7:$A$250,$G26)=0,"TK Có sai! ","")&amp;IF(N($H26)&lt;=0,"Tiền phải &gt; 0! ","")&amp;IF($B26="","Thiếu ngày! ","")&amp;IF(AND(OR(LEFT($F26,3)="131",LEFT($G26,3)="131",LEFT($F26,3)="331",LEFT($G26,3)="331"),$I26=""),"Thiếu Mã ĐT! ","")&amp;IF(AND($I26&lt;&gt;"",COUNTIF(DM_DT!$A$7:$A$306,$I26)=0),"Mã ĐT chưa khai báo! ","")))</f>
        <v/>
      </c>
      <c r="M26" s="117">
        <f>IF($H26="","",IF(AND(OR(LEFT($F26,3)="111",LEFT($F26,3)="112",LEFT($F26,3)="113"),OR(LEFT($G26,3)="111",LEFT($G26,3)="112",LEFT($G26,3)="113")),"NB",IF(OR(LEFT($F26,3)="111",LEFT($F26,3)="112",LEFT($F26,3)="113"),"THU",IF(OR(LEFT($G26,3)="111",LEFT($G26,3)="112",LEFT($G26,3)="113"),"CHI",""))))</f>
        <v/>
      </c>
      <c r="N26" s="117">
        <f>IF($M26="THU",$G26,IF($M26="CHI",$F26,""))</f>
        <v/>
      </c>
      <c r="O26" s="117">
        <f>IF(OR($M26="",$M26="NB"),"",IF($J26&lt;&gt;"",TEXT($J26,"00"),IFERROR(VLOOKUP(LEFT($N26,4),LCTT_MAP!$A$7:$C$66,IF($M26="THU",2,3),FALSE()),IFERROR(VLOOKUP(LEFT($N26,3),LCTT_MAP!$A$7:$C$66,IF($M26="THU",2,3),FALSE()),IFERROR(VLOOKUP(LEFT($N26,2),LCTT_MAP!$A$7:$C$66,IF($M26="THU",2,3),FALSE()),IFERROR(VLOOKUP(LEFT($N26,1),LCTT_MAP!$A$7:$C$66,IF($M26="THU",2,3),FALSE()),IF($M26="THU","06","07")))))))</f>
        <v/>
      </c>
      <c r="P26" s="117">
        <f>P25+IF(AND($H26&lt;&gt;"",OR(LEFT($F26,LEN(SC_TK))=SC_TK,LEFT($G26,LEN(SC_TK))=SC_TK)),1,0)</f>
        <v/>
      </c>
    </row>
    <row r="27" ht="15" customHeight="1" s="78">
      <c r="A27" s="95">
        <f>IF($H27="","",ROW()-6)</f>
        <v/>
      </c>
      <c r="B27" s="114" t="n">
        <v>46101</v>
      </c>
      <c r="C27" s="102" t="inlineStr">
        <is>
          <t>UNC004</t>
        </is>
      </c>
      <c r="D27" s="114" t="n">
        <v>46101</v>
      </c>
      <c r="E27" s="103" t="inlineStr">
        <is>
          <t>Nộp thuế TNDN còn phải nộp năm 2025</t>
        </is>
      </c>
      <c r="F27" s="102" t="inlineStr">
        <is>
          <t>3334</t>
        </is>
      </c>
      <c r="G27" s="102" t="inlineStr">
        <is>
          <t>112</t>
        </is>
      </c>
      <c r="H27" s="115" t="n">
        <v>12000000</v>
      </c>
      <c r="I27" s="102" t="n"/>
      <c r="J27" s="102" t="n"/>
      <c r="K27" s="103" t="n"/>
      <c r="L27" s="116">
        <f>IF($H27="","",TRIM(IF(COUNTIF(DMTK!$A$7:$A$250,$F27)=0,"TK Nợ sai! ","")&amp;IF(COUNTIF(DMTK!$A$7:$A$250,$G27)=0,"TK Có sai! ","")&amp;IF(N($H27)&lt;=0,"Tiền phải &gt; 0! ","")&amp;IF($B27="","Thiếu ngày! ","")&amp;IF(AND(OR(LEFT($F27,3)="131",LEFT($G27,3)="131",LEFT($F27,3)="331",LEFT($G27,3)="331"),$I27=""),"Thiếu Mã ĐT! ","")&amp;IF(AND($I27&lt;&gt;"",COUNTIF(DM_DT!$A$7:$A$306,$I27)=0),"Mã ĐT chưa khai báo! ","")))</f>
        <v/>
      </c>
      <c r="M27" s="117">
        <f>IF($H27="","",IF(AND(OR(LEFT($F27,3)="111",LEFT($F27,3)="112",LEFT($F27,3)="113"),OR(LEFT($G27,3)="111",LEFT($G27,3)="112",LEFT($G27,3)="113")),"NB",IF(OR(LEFT($F27,3)="111",LEFT($F27,3)="112",LEFT($F27,3)="113"),"THU",IF(OR(LEFT($G27,3)="111",LEFT($G27,3)="112",LEFT($G27,3)="113"),"CHI",""))))</f>
        <v/>
      </c>
      <c r="N27" s="117">
        <f>IF($M27="THU",$G27,IF($M27="CHI",$F27,""))</f>
        <v/>
      </c>
      <c r="O27" s="117">
        <f>IF(OR($M27="",$M27="NB"),"",IF($J27&lt;&gt;"",TEXT($J27,"00"),IFERROR(VLOOKUP(LEFT($N27,4),LCTT_MAP!$A$7:$C$66,IF($M27="THU",2,3),FALSE()),IFERROR(VLOOKUP(LEFT($N27,3),LCTT_MAP!$A$7:$C$66,IF($M27="THU",2,3),FALSE()),IFERROR(VLOOKUP(LEFT($N27,2),LCTT_MAP!$A$7:$C$66,IF($M27="THU",2,3),FALSE()),IFERROR(VLOOKUP(LEFT($N27,1),LCTT_MAP!$A$7:$C$66,IF($M27="THU",2,3),FALSE()),IF($M27="THU","06","07")))))))</f>
        <v/>
      </c>
      <c r="P27" s="117">
        <f>P26+IF(AND($H27&lt;&gt;"",OR(LEFT($F27,LEN(SC_TK))=SC_TK,LEFT($G27,LEN(SC_TK))=SC_TK)),1,0)</f>
        <v/>
      </c>
    </row>
    <row r="28" ht="15" customHeight="1" s="78">
      <c r="A28" s="95">
        <f>IF($H28="","",ROW()-6)</f>
        <v/>
      </c>
      <c r="B28" s="114" t="n">
        <v>46106</v>
      </c>
      <c r="C28" s="102" t="inlineStr">
        <is>
          <t>UNC005</t>
        </is>
      </c>
      <c r="D28" s="114" t="n">
        <v>46106</v>
      </c>
      <c r="E28" s="103" t="inlineStr">
        <is>
          <t>Nộp thuế GTGT vào NSNN</t>
        </is>
      </c>
      <c r="F28" s="102" t="inlineStr">
        <is>
          <t>33311</t>
        </is>
      </c>
      <c r="G28" s="102" t="inlineStr">
        <is>
          <t>112</t>
        </is>
      </c>
      <c r="H28" s="115" t="n">
        <v>18400000</v>
      </c>
      <c r="I28" s="102" t="n"/>
      <c r="J28" s="102" t="n"/>
      <c r="K28" s="103" t="n"/>
      <c r="L28" s="116">
        <f>IF($H28="","",TRIM(IF(COUNTIF(DMTK!$A$7:$A$250,$F28)=0,"TK Nợ sai! ","")&amp;IF(COUNTIF(DMTK!$A$7:$A$250,$G28)=0,"TK Có sai! ","")&amp;IF(N($H28)&lt;=0,"Tiền phải &gt; 0! ","")&amp;IF($B28="","Thiếu ngày! ","")&amp;IF(AND(OR(LEFT($F28,3)="131",LEFT($G28,3)="131",LEFT($F28,3)="331",LEFT($G28,3)="331"),$I28=""),"Thiếu Mã ĐT! ","")&amp;IF(AND($I28&lt;&gt;"",COUNTIF(DM_DT!$A$7:$A$306,$I28)=0),"Mã ĐT chưa khai báo! ","")))</f>
        <v/>
      </c>
      <c r="M28" s="117">
        <f>IF($H28="","",IF(AND(OR(LEFT($F28,3)="111",LEFT($F28,3)="112",LEFT($F28,3)="113"),OR(LEFT($G28,3)="111",LEFT($G28,3)="112",LEFT($G28,3)="113")),"NB",IF(OR(LEFT($F28,3)="111",LEFT($F28,3)="112",LEFT($F28,3)="113"),"THU",IF(OR(LEFT($G28,3)="111",LEFT($G28,3)="112",LEFT($G28,3)="113"),"CHI",""))))</f>
        <v/>
      </c>
      <c r="N28" s="117">
        <f>IF($M28="THU",$G28,IF($M28="CHI",$F28,""))</f>
        <v/>
      </c>
      <c r="O28" s="117">
        <f>IF(OR($M28="",$M28="NB"),"",IF($J28&lt;&gt;"",TEXT($J28,"00"),IFERROR(VLOOKUP(LEFT($N28,4),LCTT_MAP!$A$7:$C$66,IF($M28="THU",2,3),FALSE()),IFERROR(VLOOKUP(LEFT($N28,3),LCTT_MAP!$A$7:$C$66,IF($M28="THU",2,3),FALSE()),IFERROR(VLOOKUP(LEFT($N28,2),LCTT_MAP!$A$7:$C$66,IF($M28="THU",2,3),FALSE()),IFERROR(VLOOKUP(LEFT($N28,1),LCTT_MAP!$A$7:$C$66,IF($M28="THU",2,3),FALSE()),IF($M28="THU","06","07")))))))</f>
        <v/>
      </c>
      <c r="P28" s="117">
        <f>P27+IF(AND($H28&lt;&gt;"",OR(LEFT($F28,LEN(SC_TK))=SC_TK,LEFT($G28,LEN(SC_TK))=SC_TK)),1,0)</f>
        <v/>
      </c>
    </row>
    <row r="29" ht="15" customHeight="1" s="78">
      <c r="A29" s="95">
        <f>IF($H29="","",ROW()-6)</f>
        <v/>
      </c>
      <c r="B29" s="114" t="n">
        <v>46112</v>
      </c>
      <c r="C29" s="102" t="inlineStr">
        <is>
          <t>PKT002</t>
        </is>
      </c>
      <c r="D29" s="114" t="n">
        <v>46112</v>
      </c>
      <c r="E29" s="103" t="inlineStr">
        <is>
          <t>Khấu hao TSCĐ quý 1 - bộ phận QLDN</t>
        </is>
      </c>
      <c r="F29" s="102" t="inlineStr">
        <is>
          <t>6424</t>
        </is>
      </c>
      <c r="G29" s="102" t="inlineStr">
        <is>
          <t>2141</t>
        </is>
      </c>
      <c r="H29" s="115" t="n">
        <v>15000000</v>
      </c>
      <c r="I29" s="102" t="n"/>
      <c r="J29" s="102" t="n"/>
      <c r="K29" s="103" t="n"/>
      <c r="L29" s="116">
        <f>IF($H29="","",TRIM(IF(COUNTIF(DMTK!$A$7:$A$250,$F29)=0,"TK Nợ sai! ","")&amp;IF(COUNTIF(DMTK!$A$7:$A$250,$G29)=0,"TK Có sai! ","")&amp;IF(N($H29)&lt;=0,"Tiền phải &gt; 0! ","")&amp;IF($B29="","Thiếu ngày! ","")&amp;IF(AND(OR(LEFT($F29,3)="131",LEFT($G29,3)="131",LEFT($F29,3)="331",LEFT($G29,3)="331"),$I29=""),"Thiếu Mã ĐT! ","")&amp;IF(AND($I29&lt;&gt;"",COUNTIF(DM_DT!$A$7:$A$306,$I29)=0),"Mã ĐT chưa khai báo! ","")))</f>
        <v/>
      </c>
      <c r="M29" s="117">
        <f>IF($H29="","",IF(AND(OR(LEFT($F29,3)="111",LEFT($F29,3)="112",LEFT($F29,3)="113"),OR(LEFT($G29,3)="111",LEFT($G29,3)="112",LEFT($G29,3)="113")),"NB",IF(OR(LEFT($F29,3)="111",LEFT($F29,3)="112",LEFT($F29,3)="113"),"THU",IF(OR(LEFT($G29,3)="111",LEFT($G29,3)="112",LEFT($G29,3)="113"),"CHI",""))))</f>
        <v/>
      </c>
      <c r="N29" s="117">
        <f>IF($M29="THU",$G29,IF($M29="CHI",$F29,""))</f>
        <v/>
      </c>
      <c r="O29" s="117">
        <f>IF(OR($M29="",$M29="NB"),"",IF($J29&lt;&gt;"",TEXT($J29,"00"),IFERROR(VLOOKUP(LEFT($N29,4),LCTT_MAP!$A$7:$C$66,IF($M29="THU",2,3),FALSE()),IFERROR(VLOOKUP(LEFT($N29,3),LCTT_MAP!$A$7:$C$66,IF($M29="THU",2,3),FALSE()),IFERROR(VLOOKUP(LEFT($N29,2),LCTT_MAP!$A$7:$C$66,IF($M29="THU",2,3),FALSE()),IFERROR(VLOOKUP(LEFT($N29,1),LCTT_MAP!$A$7:$C$66,IF($M29="THU",2,3),FALSE()),IF($M29="THU","06","07")))))))</f>
        <v/>
      </c>
      <c r="P29" s="117">
        <f>P28+IF(AND($H29&lt;&gt;"",OR(LEFT($F29,LEN(SC_TK))=SC_TK,LEFT($G29,LEN(SC_TK))=SC_TK)),1,0)</f>
        <v/>
      </c>
    </row>
    <row r="30" ht="15" customHeight="1" s="78">
      <c r="A30" s="95">
        <f>IF($H30="","",ROW()-6)</f>
        <v/>
      </c>
      <c r="B30" s="114" t="n">
        <v>46117</v>
      </c>
      <c r="C30" s="102" t="inlineStr">
        <is>
          <t>PC002</t>
        </is>
      </c>
      <c r="D30" s="114" t="n">
        <v>46117</v>
      </c>
      <c r="E30" s="103" t="inlineStr">
        <is>
          <t>Mua văn phòng phẩm bằng tiền mặt</t>
        </is>
      </c>
      <c r="F30" s="102" t="inlineStr">
        <is>
          <t>6423</t>
        </is>
      </c>
      <c r="G30" s="102" t="inlineStr">
        <is>
          <t>111</t>
        </is>
      </c>
      <c r="H30" s="115" t="n">
        <v>5000000</v>
      </c>
      <c r="I30" s="102" t="n"/>
      <c r="J30" s="102" t="n"/>
      <c r="K30" s="103" t="n"/>
      <c r="L30" s="116">
        <f>IF($H30="","",TRIM(IF(COUNTIF(DMTK!$A$7:$A$250,$F30)=0,"TK Nợ sai! ","")&amp;IF(COUNTIF(DMTK!$A$7:$A$250,$G30)=0,"TK Có sai! ","")&amp;IF(N($H30)&lt;=0,"Tiền phải &gt; 0! ","")&amp;IF($B30="","Thiếu ngày! ","")&amp;IF(AND(OR(LEFT($F30,3)="131",LEFT($G30,3)="131",LEFT($F30,3)="331",LEFT($G30,3)="331"),$I30=""),"Thiếu Mã ĐT! ","")&amp;IF(AND($I30&lt;&gt;"",COUNTIF(DM_DT!$A$7:$A$306,$I30)=0),"Mã ĐT chưa khai báo! ","")))</f>
        <v/>
      </c>
      <c r="M30" s="117">
        <f>IF($H30="","",IF(AND(OR(LEFT($F30,3)="111",LEFT($F30,3)="112",LEFT($F30,3)="113"),OR(LEFT($G30,3)="111",LEFT($G30,3)="112",LEFT($G30,3)="113")),"NB",IF(OR(LEFT($F30,3)="111",LEFT($F30,3)="112",LEFT($F30,3)="113"),"THU",IF(OR(LEFT($G30,3)="111",LEFT($G30,3)="112",LEFT($G30,3)="113"),"CHI",""))))</f>
        <v/>
      </c>
      <c r="N30" s="117">
        <f>IF($M30="THU",$G30,IF($M30="CHI",$F30,""))</f>
        <v/>
      </c>
      <c r="O30" s="117">
        <f>IF(OR($M30="",$M30="NB"),"",IF($J30&lt;&gt;"",TEXT($J30,"00"),IFERROR(VLOOKUP(LEFT($N30,4),LCTT_MAP!$A$7:$C$66,IF($M30="THU",2,3),FALSE()),IFERROR(VLOOKUP(LEFT($N30,3),LCTT_MAP!$A$7:$C$66,IF($M30="THU",2,3),FALSE()),IFERROR(VLOOKUP(LEFT($N30,2),LCTT_MAP!$A$7:$C$66,IF($M30="THU",2,3),FALSE()),IFERROR(VLOOKUP(LEFT($N30,1),LCTT_MAP!$A$7:$C$66,IF($M30="THU",2,3),FALSE()),IF($M30="THU","06","07")))))))</f>
        <v/>
      </c>
      <c r="P30" s="117">
        <f>P29+IF(AND($H30&lt;&gt;"",OR(LEFT($F30,LEN(SC_TK))=SC_TK,LEFT($G30,LEN(SC_TK))=SC_TK)),1,0)</f>
        <v/>
      </c>
    </row>
    <row r="31" ht="15" customHeight="1" s="78">
      <c r="A31" s="95">
        <f>IF($H31="","",ROW()-6)</f>
        <v/>
      </c>
      <c r="B31" s="114" t="n">
        <v>46117</v>
      </c>
      <c r="C31" s="102" t="inlineStr">
        <is>
          <t>PC002</t>
        </is>
      </c>
      <c r="D31" s="114" t="n">
        <v>46117</v>
      </c>
      <c r="E31" s="103" t="inlineStr">
        <is>
          <t>Thuế GTGT đầu vào văn phòng phẩm</t>
        </is>
      </c>
      <c r="F31" s="102" t="inlineStr">
        <is>
          <t>1331</t>
        </is>
      </c>
      <c r="G31" s="102" t="inlineStr">
        <is>
          <t>111</t>
        </is>
      </c>
      <c r="H31" s="115" t="n">
        <v>400000</v>
      </c>
      <c r="I31" s="102" t="n"/>
      <c r="J31" s="102" t="n"/>
      <c r="K31" s="103" t="n"/>
      <c r="L31" s="116">
        <f>IF($H31="","",TRIM(IF(COUNTIF(DMTK!$A$7:$A$250,$F31)=0,"TK Nợ sai! ","")&amp;IF(COUNTIF(DMTK!$A$7:$A$250,$G31)=0,"TK Có sai! ","")&amp;IF(N($H31)&lt;=0,"Tiền phải &gt; 0! ","")&amp;IF($B31="","Thiếu ngày! ","")&amp;IF(AND(OR(LEFT($F31,3)="131",LEFT($G31,3)="131",LEFT($F31,3)="331",LEFT($G31,3)="331"),$I31=""),"Thiếu Mã ĐT! ","")&amp;IF(AND($I31&lt;&gt;"",COUNTIF(DM_DT!$A$7:$A$306,$I31)=0),"Mã ĐT chưa khai báo! ","")))</f>
        <v/>
      </c>
      <c r="M31" s="117">
        <f>IF($H31="","",IF(AND(OR(LEFT($F31,3)="111",LEFT($F31,3)="112",LEFT($F31,3)="113"),OR(LEFT($G31,3)="111",LEFT($G31,3)="112",LEFT($G31,3)="113")),"NB",IF(OR(LEFT($F31,3)="111",LEFT($F31,3)="112",LEFT($F31,3)="113"),"THU",IF(OR(LEFT($G31,3)="111",LEFT($G31,3)="112",LEFT($G31,3)="113"),"CHI",""))))</f>
        <v/>
      </c>
      <c r="N31" s="117">
        <f>IF($M31="THU",$G31,IF($M31="CHI",$F31,""))</f>
        <v/>
      </c>
      <c r="O31" s="117">
        <f>IF(OR($M31="",$M31="NB"),"",IF($J31&lt;&gt;"",TEXT($J31,"00"),IFERROR(VLOOKUP(LEFT($N31,4),LCTT_MAP!$A$7:$C$66,IF($M31="THU",2,3),FALSE()),IFERROR(VLOOKUP(LEFT($N31,3),LCTT_MAP!$A$7:$C$66,IF($M31="THU",2,3),FALSE()),IFERROR(VLOOKUP(LEFT($N31,2),LCTT_MAP!$A$7:$C$66,IF($M31="THU",2,3),FALSE()),IFERROR(VLOOKUP(LEFT($N31,1),LCTT_MAP!$A$7:$C$66,IF($M31="THU",2,3),FALSE()),IF($M31="THU","06","07")))))))</f>
        <v/>
      </c>
      <c r="P31" s="117">
        <f>P30+IF(AND($H31&lt;&gt;"",OR(LEFT($F31,LEN(SC_TK))=SC_TK,LEFT($G31,LEN(SC_TK))=SC_TK)),1,0)</f>
        <v/>
      </c>
    </row>
    <row r="32" ht="15" customHeight="1" s="78">
      <c r="A32" s="95">
        <f>IF($H32="","",ROW()-6)</f>
        <v/>
      </c>
      <c r="B32" s="114" t="n">
        <v>46127</v>
      </c>
      <c r="C32" s="102" t="inlineStr">
        <is>
          <t>HDM001</t>
        </is>
      </c>
      <c r="D32" s="114" t="n">
        <v>46127</v>
      </c>
      <c r="E32" s="103" t="inlineStr">
        <is>
          <t>Mua xe tải giao hàng - Cty Đại Nam</t>
        </is>
      </c>
      <c r="F32" s="102" t="inlineStr">
        <is>
          <t>211</t>
        </is>
      </c>
      <c r="G32" s="102" t="inlineStr">
        <is>
          <t>331</t>
        </is>
      </c>
      <c r="H32" s="115" t="n">
        <v>240000000</v>
      </c>
      <c r="I32" s="102" t="inlineStr">
        <is>
          <t>NCC002</t>
        </is>
      </c>
      <c r="J32" s="102" t="n"/>
      <c r="K32" s="103" t="n"/>
      <c r="L32" s="116">
        <f>IF($H32="","",TRIM(IF(COUNTIF(DMTK!$A$7:$A$250,$F32)=0,"TK Nợ sai! ","")&amp;IF(COUNTIF(DMTK!$A$7:$A$250,$G32)=0,"TK Có sai! ","")&amp;IF(N($H32)&lt;=0,"Tiền phải &gt; 0! ","")&amp;IF($B32="","Thiếu ngày! ","")&amp;IF(AND(OR(LEFT($F32,3)="131",LEFT($G32,3)="131",LEFT($F32,3)="331",LEFT($G32,3)="331"),$I32=""),"Thiếu Mã ĐT! ","")&amp;IF(AND($I32&lt;&gt;"",COUNTIF(DM_DT!$A$7:$A$306,$I32)=0),"Mã ĐT chưa khai báo! ","")))</f>
        <v/>
      </c>
      <c r="M32" s="117">
        <f>IF($H32="","",IF(AND(OR(LEFT($F32,3)="111",LEFT($F32,3)="112",LEFT($F32,3)="113"),OR(LEFT($G32,3)="111",LEFT($G32,3)="112",LEFT($G32,3)="113")),"NB",IF(OR(LEFT($F32,3)="111",LEFT($F32,3)="112",LEFT($F32,3)="113"),"THU",IF(OR(LEFT($G32,3)="111",LEFT($G32,3)="112",LEFT($G32,3)="113"),"CHI",""))))</f>
        <v/>
      </c>
      <c r="N32" s="117">
        <f>IF($M32="THU",$G32,IF($M32="CHI",$F32,""))</f>
        <v/>
      </c>
      <c r="O32" s="117">
        <f>IF(OR($M32="",$M32="NB"),"",IF($J32&lt;&gt;"",TEXT($J32,"00"),IFERROR(VLOOKUP(LEFT($N32,4),LCTT_MAP!$A$7:$C$66,IF($M32="THU",2,3),FALSE()),IFERROR(VLOOKUP(LEFT($N32,3),LCTT_MAP!$A$7:$C$66,IF($M32="THU",2,3),FALSE()),IFERROR(VLOOKUP(LEFT($N32,2),LCTT_MAP!$A$7:$C$66,IF($M32="THU",2,3),FALSE()),IFERROR(VLOOKUP(LEFT($N32,1),LCTT_MAP!$A$7:$C$66,IF($M32="THU",2,3),FALSE()),IF($M32="THU","06","07")))))))</f>
        <v/>
      </c>
      <c r="P32" s="117">
        <f>P31+IF(AND($H32&lt;&gt;"",OR(LEFT($F32,LEN(SC_TK))=SC_TK,LEFT($G32,LEN(SC_TK))=SC_TK)),1,0)</f>
        <v/>
      </c>
    </row>
    <row r="33" ht="15" customHeight="1" s="78">
      <c r="A33" s="95">
        <f>IF($H33="","",ROW()-6)</f>
        <v/>
      </c>
      <c r="B33" s="114" t="n">
        <v>46127</v>
      </c>
      <c r="C33" s="102" t="inlineStr">
        <is>
          <t>HDM001</t>
        </is>
      </c>
      <c r="D33" s="114" t="n">
        <v>46127</v>
      </c>
      <c r="E33" s="103" t="inlineStr">
        <is>
          <t>Thuế GTGT đầu vào TSCĐ (xe tải)</t>
        </is>
      </c>
      <c r="F33" s="102" t="inlineStr">
        <is>
          <t>1332</t>
        </is>
      </c>
      <c r="G33" s="102" t="inlineStr">
        <is>
          <t>331</t>
        </is>
      </c>
      <c r="H33" s="115" t="n">
        <v>19200000</v>
      </c>
      <c r="I33" s="102" t="inlineStr">
        <is>
          <t>NCC002</t>
        </is>
      </c>
      <c r="J33" s="102" t="n"/>
      <c r="K33" s="103" t="n"/>
      <c r="L33" s="116">
        <f>IF($H33="","",TRIM(IF(COUNTIF(DMTK!$A$7:$A$250,$F33)=0,"TK Nợ sai! ","")&amp;IF(COUNTIF(DMTK!$A$7:$A$250,$G33)=0,"TK Có sai! ","")&amp;IF(N($H33)&lt;=0,"Tiền phải &gt; 0! ","")&amp;IF($B33="","Thiếu ngày! ","")&amp;IF(AND(OR(LEFT($F33,3)="131",LEFT($G33,3)="131",LEFT($F33,3)="331",LEFT($G33,3)="331"),$I33=""),"Thiếu Mã ĐT! ","")&amp;IF(AND($I33&lt;&gt;"",COUNTIF(DM_DT!$A$7:$A$306,$I33)=0),"Mã ĐT chưa khai báo! ","")))</f>
        <v/>
      </c>
      <c r="M33" s="117">
        <f>IF($H33="","",IF(AND(OR(LEFT($F33,3)="111",LEFT($F33,3)="112",LEFT($F33,3)="113"),OR(LEFT($G33,3)="111",LEFT($G33,3)="112",LEFT($G33,3)="113")),"NB",IF(OR(LEFT($F33,3)="111",LEFT($F33,3)="112",LEFT($F33,3)="113"),"THU",IF(OR(LEFT($G33,3)="111",LEFT($G33,3)="112",LEFT($G33,3)="113"),"CHI",""))))</f>
        <v/>
      </c>
      <c r="N33" s="117">
        <f>IF($M33="THU",$G33,IF($M33="CHI",$F33,""))</f>
        <v/>
      </c>
      <c r="O33" s="117">
        <f>IF(OR($M33="",$M33="NB"),"",IF($J33&lt;&gt;"",TEXT($J33,"00"),IFERROR(VLOOKUP(LEFT($N33,4),LCTT_MAP!$A$7:$C$66,IF($M33="THU",2,3),FALSE()),IFERROR(VLOOKUP(LEFT($N33,3),LCTT_MAP!$A$7:$C$66,IF($M33="THU",2,3),FALSE()),IFERROR(VLOOKUP(LEFT($N33,2),LCTT_MAP!$A$7:$C$66,IF($M33="THU",2,3),FALSE()),IFERROR(VLOOKUP(LEFT($N33,1),LCTT_MAP!$A$7:$C$66,IF($M33="THU",2,3),FALSE()),IF($M33="THU","06","07")))))))</f>
        <v/>
      </c>
      <c r="P33" s="117">
        <f>P32+IF(AND($H33&lt;&gt;"",OR(LEFT($F33,LEN(SC_TK))=SC_TK,LEFT($G33,LEN(SC_TK))=SC_TK)),1,0)</f>
        <v/>
      </c>
    </row>
    <row r="34" ht="15" customHeight="1" s="78">
      <c r="A34" s="95">
        <f>IF($H34="","",ROW()-6)</f>
        <v/>
      </c>
      <c r="B34" s="114" t="n">
        <v>46132</v>
      </c>
      <c r="C34" s="102" t="inlineStr">
        <is>
          <t>UNC006</t>
        </is>
      </c>
      <c r="D34" s="114" t="n">
        <v>46132</v>
      </c>
      <c r="E34" s="103" t="inlineStr">
        <is>
          <t>Trả tiền mua xe tải - Cty Đại Nam</t>
        </is>
      </c>
      <c r="F34" s="102" t="inlineStr">
        <is>
          <t>331</t>
        </is>
      </c>
      <c r="G34" s="102" t="inlineStr">
        <is>
          <t>112</t>
        </is>
      </c>
      <c r="H34" s="115" t="n">
        <v>259200000</v>
      </c>
      <c r="I34" s="102" t="inlineStr">
        <is>
          <t>NCC002</t>
        </is>
      </c>
      <c r="J34" s="102" t="inlineStr">
        <is>
          <t>21</t>
        </is>
      </c>
      <c r="K34" s="103" t="n"/>
      <c r="L34" s="116">
        <f>IF($H34="","",TRIM(IF(COUNTIF(DMTK!$A$7:$A$250,$F34)=0,"TK Nợ sai! ","")&amp;IF(COUNTIF(DMTK!$A$7:$A$250,$G34)=0,"TK Có sai! ","")&amp;IF(N($H34)&lt;=0,"Tiền phải &gt; 0! ","")&amp;IF($B34="","Thiếu ngày! ","")&amp;IF(AND(OR(LEFT($F34,3)="131",LEFT($G34,3)="131",LEFT($F34,3)="331",LEFT($G34,3)="331"),$I34=""),"Thiếu Mã ĐT! ","")&amp;IF(AND($I34&lt;&gt;"",COUNTIF(DM_DT!$A$7:$A$306,$I34)=0),"Mã ĐT chưa khai báo! ","")))</f>
        <v/>
      </c>
      <c r="M34" s="117">
        <f>IF($H34="","",IF(AND(OR(LEFT($F34,3)="111",LEFT($F34,3)="112",LEFT($F34,3)="113"),OR(LEFT($G34,3)="111",LEFT($G34,3)="112",LEFT($G34,3)="113")),"NB",IF(OR(LEFT($F34,3)="111",LEFT($F34,3)="112",LEFT($F34,3)="113"),"THU",IF(OR(LEFT($G34,3)="111",LEFT($G34,3)="112",LEFT($G34,3)="113"),"CHI",""))))</f>
        <v/>
      </c>
      <c r="N34" s="117">
        <f>IF($M34="THU",$G34,IF($M34="CHI",$F34,""))</f>
        <v/>
      </c>
      <c r="O34" s="117">
        <f>IF(OR($M34="",$M34="NB"),"",IF($J34&lt;&gt;"",TEXT($J34,"00"),IFERROR(VLOOKUP(LEFT($N34,4),LCTT_MAP!$A$7:$C$66,IF($M34="THU",2,3),FALSE()),IFERROR(VLOOKUP(LEFT($N34,3),LCTT_MAP!$A$7:$C$66,IF($M34="THU",2,3),FALSE()),IFERROR(VLOOKUP(LEFT($N34,2),LCTT_MAP!$A$7:$C$66,IF($M34="THU",2,3),FALSE()),IFERROR(VLOOKUP(LEFT($N34,1),LCTT_MAP!$A$7:$C$66,IF($M34="THU",2,3),FALSE()),IF($M34="THU","06","07")))))))</f>
        <v/>
      </c>
      <c r="P34" s="117">
        <f>P33+IF(AND($H34&lt;&gt;"",OR(LEFT($F34,LEN(SC_TK))=SC_TK,LEFT($G34,LEN(SC_TK))=SC_TK)),1,0)</f>
        <v/>
      </c>
    </row>
    <row r="35" ht="15" customHeight="1" s="78">
      <c r="A35" s="95">
        <f>IF($H35="","",ROW()-6)</f>
        <v/>
      </c>
      <c r="B35" s="114" t="n">
        <v>46152</v>
      </c>
      <c r="C35" s="102" t="inlineStr">
        <is>
          <t>BC003</t>
        </is>
      </c>
      <c r="D35" s="114" t="n">
        <v>46152</v>
      </c>
      <c r="E35" s="103" t="inlineStr">
        <is>
          <t>Vay ngắn hạn NH bổ sung vốn lưu động</t>
        </is>
      </c>
      <c r="F35" s="102" t="inlineStr">
        <is>
          <t>112</t>
        </is>
      </c>
      <c r="G35" s="102" t="inlineStr">
        <is>
          <t>3411</t>
        </is>
      </c>
      <c r="H35" s="115" t="n">
        <v>150000000</v>
      </c>
      <c r="I35" s="102" t="n"/>
      <c r="J35" s="102" t="n"/>
      <c r="K35" s="103" t="n"/>
      <c r="L35" s="116">
        <f>IF($H35="","",TRIM(IF(COUNTIF(DMTK!$A$7:$A$250,$F35)=0,"TK Nợ sai! ","")&amp;IF(COUNTIF(DMTK!$A$7:$A$250,$G35)=0,"TK Có sai! ","")&amp;IF(N($H35)&lt;=0,"Tiền phải &gt; 0! ","")&amp;IF($B35="","Thiếu ngày! ","")&amp;IF(AND(OR(LEFT($F35,3)="131",LEFT($G35,3)="131",LEFT($F35,3)="331",LEFT($G35,3)="331"),$I35=""),"Thiếu Mã ĐT! ","")&amp;IF(AND($I35&lt;&gt;"",COUNTIF(DM_DT!$A$7:$A$306,$I35)=0),"Mã ĐT chưa khai báo! ","")))</f>
        <v/>
      </c>
      <c r="M35" s="117">
        <f>IF($H35="","",IF(AND(OR(LEFT($F35,3)="111",LEFT($F35,3)="112",LEFT($F35,3)="113"),OR(LEFT($G35,3)="111",LEFT($G35,3)="112",LEFT($G35,3)="113")),"NB",IF(OR(LEFT($F35,3)="111",LEFT($F35,3)="112",LEFT($F35,3)="113"),"THU",IF(OR(LEFT($G35,3)="111",LEFT($G35,3)="112",LEFT($G35,3)="113"),"CHI",""))))</f>
        <v/>
      </c>
      <c r="N35" s="117">
        <f>IF($M35="THU",$G35,IF($M35="CHI",$F35,""))</f>
        <v/>
      </c>
      <c r="O35" s="117">
        <f>IF(OR($M35="",$M35="NB"),"",IF($J35&lt;&gt;"",TEXT($J35,"00"),IFERROR(VLOOKUP(LEFT($N35,4),LCTT_MAP!$A$7:$C$66,IF($M35="THU",2,3),FALSE()),IFERROR(VLOOKUP(LEFT($N35,3),LCTT_MAP!$A$7:$C$66,IF($M35="THU",2,3),FALSE()),IFERROR(VLOOKUP(LEFT($N35,2),LCTT_MAP!$A$7:$C$66,IF($M35="THU",2,3),FALSE()),IFERROR(VLOOKUP(LEFT($N35,1),LCTT_MAP!$A$7:$C$66,IF($M35="THU",2,3),FALSE()),IF($M35="THU","06","07")))))))</f>
        <v/>
      </c>
      <c r="P35" s="117">
        <f>P34+IF(AND($H35&lt;&gt;"",OR(LEFT($F35,LEN(SC_TK))=SC_TK,LEFT($G35,LEN(SC_TK))=SC_TK)),1,0)</f>
        <v/>
      </c>
    </row>
    <row r="36" ht="15" customHeight="1" s="78">
      <c r="A36" s="95">
        <f>IF($H36="","",ROW()-6)</f>
        <v/>
      </c>
      <c r="B36" s="114" t="n">
        <v>46203</v>
      </c>
      <c r="C36" s="102" t="inlineStr">
        <is>
          <t>UNC007</t>
        </is>
      </c>
      <c r="D36" s="114" t="n">
        <v>46203</v>
      </c>
      <c r="E36" s="103" t="inlineStr">
        <is>
          <t>Trả lãi vay ngân hàng 6 tháng đầu năm</t>
        </is>
      </c>
      <c r="F36" s="102" t="inlineStr">
        <is>
          <t>635</t>
        </is>
      </c>
      <c r="G36" s="102" t="inlineStr">
        <is>
          <t>112</t>
        </is>
      </c>
      <c r="H36" s="115" t="n">
        <v>12000000</v>
      </c>
      <c r="I36" s="102" t="n"/>
      <c r="J36" s="102" t="n"/>
      <c r="K36" s="103" t="n"/>
      <c r="L36" s="116">
        <f>IF($H36="","",TRIM(IF(COUNTIF(DMTK!$A$7:$A$250,$F36)=0,"TK Nợ sai! ","")&amp;IF(COUNTIF(DMTK!$A$7:$A$250,$G36)=0,"TK Có sai! ","")&amp;IF(N($H36)&lt;=0,"Tiền phải &gt; 0! ","")&amp;IF($B36="","Thiếu ngày! ","")&amp;IF(AND(OR(LEFT($F36,3)="131",LEFT($G36,3)="131",LEFT($F36,3)="331",LEFT($G36,3)="331"),$I36=""),"Thiếu Mã ĐT! ","")&amp;IF(AND($I36&lt;&gt;"",COUNTIF(DM_DT!$A$7:$A$306,$I36)=0),"Mã ĐT chưa khai báo! ","")))</f>
        <v/>
      </c>
      <c r="M36" s="117">
        <f>IF($H36="","",IF(AND(OR(LEFT($F36,3)="111",LEFT($F36,3)="112",LEFT($F36,3)="113"),OR(LEFT($G36,3)="111",LEFT($G36,3)="112",LEFT($G36,3)="113")),"NB",IF(OR(LEFT($F36,3)="111",LEFT($F36,3)="112",LEFT($F36,3)="113"),"THU",IF(OR(LEFT($G36,3)="111",LEFT($G36,3)="112",LEFT($G36,3)="113"),"CHI",""))))</f>
        <v/>
      </c>
      <c r="N36" s="117">
        <f>IF($M36="THU",$G36,IF($M36="CHI",$F36,""))</f>
        <v/>
      </c>
      <c r="O36" s="117">
        <f>IF(OR($M36="",$M36="NB"),"",IF($J36&lt;&gt;"",TEXT($J36,"00"),IFERROR(VLOOKUP(LEFT($N36,4),LCTT_MAP!$A$7:$C$66,IF($M36="THU",2,3),FALSE()),IFERROR(VLOOKUP(LEFT($N36,3),LCTT_MAP!$A$7:$C$66,IF($M36="THU",2,3),FALSE()),IFERROR(VLOOKUP(LEFT($N36,2),LCTT_MAP!$A$7:$C$66,IF($M36="THU",2,3),FALSE()),IFERROR(VLOOKUP(LEFT($N36,1),LCTT_MAP!$A$7:$C$66,IF($M36="THU",2,3),FALSE()),IF($M36="THU","06","07")))))))</f>
        <v/>
      </c>
      <c r="P36" s="117">
        <f>P35+IF(AND($H36&lt;&gt;"",OR(LEFT($F36,LEN(SC_TK))=SC_TK,LEFT($G36,LEN(SC_TK))=SC_TK)),1,0)</f>
        <v/>
      </c>
    </row>
    <row r="37" ht="15" customHeight="1" s="78">
      <c r="A37" s="95">
        <f>IF($H37="","",ROW()-6)</f>
        <v/>
      </c>
      <c r="B37" s="114" t="n">
        <v>46203</v>
      </c>
      <c r="C37" s="102" t="inlineStr">
        <is>
          <t>PKT003</t>
        </is>
      </c>
      <c r="D37" s="114" t="n">
        <v>46203</v>
      </c>
      <c r="E37" s="103" t="inlineStr">
        <is>
          <t>Phân bổ chi phí thuê văn phòng trả trước (6T đầu năm)</t>
        </is>
      </c>
      <c r="F37" s="102" t="inlineStr">
        <is>
          <t>6427</t>
        </is>
      </c>
      <c r="G37" s="102" t="inlineStr">
        <is>
          <t>242</t>
        </is>
      </c>
      <c r="H37" s="115" t="n">
        <v>18000000</v>
      </c>
      <c r="I37" s="102" t="n"/>
      <c r="J37" s="102" t="n"/>
      <c r="K37" s="103" t="n"/>
      <c r="L37" s="116">
        <f>IF($H37="","",TRIM(IF(COUNTIF(DMTK!$A$7:$A$250,$F37)=0,"TK Nợ sai! ","")&amp;IF(COUNTIF(DMTK!$A$7:$A$250,$G37)=0,"TK Có sai! ","")&amp;IF(N($H37)&lt;=0,"Tiền phải &gt; 0! ","")&amp;IF($B37="","Thiếu ngày! ","")&amp;IF(AND(OR(LEFT($F37,3)="131",LEFT($G37,3)="131",LEFT($F37,3)="331",LEFT($G37,3)="331"),$I37=""),"Thiếu Mã ĐT! ","")&amp;IF(AND($I37&lt;&gt;"",COUNTIF(DM_DT!$A$7:$A$306,$I37)=0),"Mã ĐT chưa khai báo! ","")))</f>
        <v/>
      </c>
      <c r="M37" s="117">
        <f>IF($H37="","",IF(AND(OR(LEFT($F37,3)="111",LEFT($F37,3)="112",LEFT($F37,3)="113"),OR(LEFT($G37,3)="111",LEFT($G37,3)="112",LEFT($G37,3)="113")),"NB",IF(OR(LEFT($F37,3)="111",LEFT($F37,3)="112",LEFT($F37,3)="113"),"THU",IF(OR(LEFT($G37,3)="111",LEFT($G37,3)="112",LEFT($G37,3)="113"),"CHI",""))))</f>
        <v/>
      </c>
      <c r="N37" s="117">
        <f>IF($M37="THU",$G37,IF($M37="CHI",$F37,""))</f>
        <v/>
      </c>
      <c r="O37" s="117">
        <f>IF(OR($M37="",$M37="NB"),"",IF($J37&lt;&gt;"",TEXT($J37,"00"),IFERROR(VLOOKUP(LEFT($N37,4),LCTT_MAP!$A$7:$C$66,IF($M37="THU",2,3),FALSE()),IFERROR(VLOOKUP(LEFT($N37,3),LCTT_MAP!$A$7:$C$66,IF($M37="THU",2,3),FALSE()),IFERROR(VLOOKUP(LEFT($N37,2),LCTT_MAP!$A$7:$C$66,IF($M37="THU",2,3),FALSE()),IFERROR(VLOOKUP(LEFT($N37,1),LCTT_MAP!$A$7:$C$66,IF($M37="THU",2,3),FALSE()),IF($M37="THU","06","07")))))))</f>
        <v/>
      </c>
      <c r="P37" s="117">
        <f>P36+IF(AND($H37&lt;&gt;"",OR(LEFT($F37,LEN(SC_TK))=SC_TK,LEFT($G37,LEN(SC_TK))=SC_TK)),1,0)</f>
        <v/>
      </c>
    </row>
    <row r="38" ht="15" customHeight="1" s="78">
      <c r="A38" s="95">
        <f>IF($H38="","",ROW()-6)</f>
        <v/>
      </c>
      <c r="B38" s="114" t="n">
        <v>46203</v>
      </c>
      <c r="C38" s="102" t="inlineStr">
        <is>
          <t>PKT004</t>
        </is>
      </c>
      <c r="D38" s="114" t="n">
        <v>46203</v>
      </c>
      <c r="E38" s="103" t="inlineStr">
        <is>
          <t>Khấu hao TSCĐ quý 2 (gồm xe tải từ tháng 5)</t>
        </is>
      </c>
      <c r="F38" s="102" t="inlineStr">
        <is>
          <t>6424</t>
        </is>
      </c>
      <c r="G38" s="102" t="inlineStr">
        <is>
          <t>2141</t>
        </is>
      </c>
      <c r="H38" s="115" t="n">
        <v>23000000</v>
      </c>
      <c r="I38" s="102" t="n"/>
      <c r="J38" s="102" t="n"/>
      <c r="K38" s="103" t="n"/>
      <c r="L38" s="116">
        <f>IF($H38="","",TRIM(IF(COUNTIF(DMTK!$A$7:$A$250,$F38)=0,"TK Nợ sai! ","")&amp;IF(COUNTIF(DMTK!$A$7:$A$250,$G38)=0,"TK Có sai! ","")&amp;IF(N($H38)&lt;=0,"Tiền phải &gt; 0! ","")&amp;IF($B38="","Thiếu ngày! ","")&amp;IF(AND(OR(LEFT($F38,3)="131",LEFT($G38,3)="131",LEFT($F38,3)="331",LEFT($G38,3)="331"),$I38=""),"Thiếu Mã ĐT! ","")&amp;IF(AND($I38&lt;&gt;"",COUNTIF(DM_DT!$A$7:$A$306,$I38)=0),"Mã ĐT chưa khai báo! ","")))</f>
        <v/>
      </c>
      <c r="M38" s="117">
        <f>IF($H38="","",IF(AND(OR(LEFT($F38,3)="111",LEFT($F38,3)="112",LEFT($F38,3)="113"),OR(LEFT($G38,3)="111",LEFT($G38,3)="112",LEFT($G38,3)="113")),"NB",IF(OR(LEFT($F38,3)="111",LEFT($F38,3)="112",LEFT($F38,3)="113"),"THU",IF(OR(LEFT($G38,3)="111",LEFT($G38,3)="112",LEFT($G38,3)="113"),"CHI",""))))</f>
        <v/>
      </c>
      <c r="N38" s="117">
        <f>IF($M38="THU",$G38,IF($M38="CHI",$F38,""))</f>
        <v/>
      </c>
      <c r="O38" s="117">
        <f>IF(OR($M38="",$M38="NB"),"",IF($J38&lt;&gt;"",TEXT($J38,"00"),IFERROR(VLOOKUP(LEFT($N38,4),LCTT_MAP!$A$7:$C$66,IF($M38="THU",2,3),FALSE()),IFERROR(VLOOKUP(LEFT($N38,3),LCTT_MAP!$A$7:$C$66,IF($M38="THU",2,3),FALSE()),IFERROR(VLOOKUP(LEFT($N38,2),LCTT_MAP!$A$7:$C$66,IF($M38="THU",2,3),FALSE()),IFERROR(VLOOKUP(LEFT($N38,1),LCTT_MAP!$A$7:$C$66,IF($M38="THU",2,3),FALSE()),IF($M38="THU","06","07")))))))</f>
        <v/>
      </c>
      <c r="P38" s="117">
        <f>P37+IF(AND($H38&lt;&gt;"",OR(LEFT($F38,LEN(SC_TK))=SC_TK,LEFT($G38,LEN(SC_TK))=SC_TK)),1,0)</f>
        <v/>
      </c>
    </row>
    <row r="39" ht="15" customHeight="1" s="78">
      <c r="A39" s="95">
        <f>IF($H39="","",ROW()-6)</f>
        <v/>
      </c>
      <c r="B39" s="114" t="n">
        <v>46218</v>
      </c>
      <c r="C39" s="102" t="inlineStr">
        <is>
          <t>HD0003</t>
        </is>
      </c>
      <c r="D39" s="114" t="n">
        <v>46218</v>
      </c>
      <c r="E39" s="103" t="inlineStr">
        <is>
          <t>Doanh thu dịch vụ vận chuyển - Cty Bình Minh</t>
        </is>
      </c>
      <c r="F39" s="102" t="inlineStr">
        <is>
          <t>131</t>
        </is>
      </c>
      <c r="G39" s="102" t="inlineStr">
        <is>
          <t>511</t>
        </is>
      </c>
      <c r="H39" s="115" t="n">
        <v>120000000</v>
      </c>
      <c r="I39" s="102" t="inlineStr">
        <is>
          <t>KH001</t>
        </is>
      </c>
      <c r="J39" s="102" t="n"/>
      <c r="K39" s="103" t="n"/>
      <c r="L39" s="116">
        <f>IF($H39="","",TRIM(IF(COUNTIF(DMTK!$A$7:$A$250,$F39)=0,"TK Nợ sai! ","")&amp;IF(COUNTIF(DMTK!$A$7:$A$250,$G39)=0,"TK Có sai! ","")&amp;IF(N($H39)&lt;=0,"Tiền phải &gt; 0! ","")&amp;IF($B39="","Thiếu ngày! ","")&amp;IF(AND(OR(LEFT($F39,3)="131",LEFT($G39,3)="131",LEFT($F39,3)="331",LEFT($G39,3)="331"),$I39=""),"Thiếu Mã ĐT! ","")&amp;IF(AND($I39&lt;&gt;"",COUNTIF(DM_DT!$A$7:$A$306,$I39)=0),"Mã ĐT chưa khai báo! ","")))</f>
        <v/>
      </c>
      <c r="M39" s="117">
        <f>IF($H39="","",IF(AND(OR(LEFT($F39,3)="111",LEFT($F39,3)="112",LEFT($F39,3)="113"),OR(LEFT($G39,3)="111",LEFT($G39,3)="112",LEFT($G39,3)="113")),"NB",IF(OR(LEFT($F39,3)="111",LEFT($F39,3)="112",LEFT($F39,3)="113"),"THU",IF(OR(LEFT($G39,3)="111",LEFT($G39,3)="112",LEFT($G39,3)="113"),"CHI",""))))</f>
        <v/>
      </c>
      <c r="N39" s="117">
        <f>IF($M39="THU",$G39,IF($M39="CHI",$F39,""))</f>
        <v/>
      </c>
      <c r="O39" s="117">
        <f>IF(OR($M39="",$M39="NB"),"",IF($J39&lt;&gt;"",TEXT($J39,"00"),IFERROR(VLOOKUP(LEFT($N39,4),LCTT_MAP!$A$7:$C$66,IF($M39="THU",2,3),FALSE()),IFERROR(VLOOKUP(LEFT($N39,3),LCTT_MAP!$A$7:$C$66,IF($M39="THU",2,3),FALSE()),IFERROR(VLOOKUP(LEFT($N39,2),LCTT_MAP!$A$7:$C$66,IF($M39="THU",2,3),FALSE()),IFERROR(VLOOKUP(LEFT($N39,1),LCTT_MAP!$A$7:$C$66,IF($M39="THU",2,3),FALSE()),IF($M39="THU","06","07")))))))</f>
        <v/>
      </c>
      <c r="P39" s="117">
        <f>P38+IF(AND($H39&lt;&gt;"",OR(LEFT($F39,LEN(SC_TK))=SC_TK,LEFT($G39,LEN(SC_TK))=SC_TK)),1,0)</f>
        <v/>
      </c>
    </row>
    <row r="40" ht="15" customHeight="1" s="78">
      <c r="A40" s="95">
        <f>IF($H40="","",ROW()-6)</f>
        <v/>
      </c>
      <c r="B40" s="114" t="n">
        <v>46218</v>
      </c>
      <c r="C40" s="102" t="inlineStr">
        <is>
          <t>HD0003</t>
        </is>
      </c>
      <c r="D40" s="114" t="n">
        <v>46218</v>
      </c>
      <c r="E40" s="103" t="inlineStr">
        <is>
          <t>Thuế GTGT đầu ra dịch vụ</t>
        </is>
      </c>
      <c r="F40" s="102" t="inlineStr">
        <is>
          <t>131</t>
        </is>
      </c>
      <c r="G40" s="102" t="inlineStr">
        <is>
          <t>33311</t>
        </is>
      </c>
      <c r="H40" s="115" t="n">
        <v>9600000</v>
      </c>
      <c r="I40" s="102" t="inlineStr">
        <is>
          <t>KH001</t>
        </is>
      </c>
      <c r="J40" s="102" t="n"/>
      <c r="K40" s="103" t="n"/>
      <c r="L40" s="116">
        <f>IF($H40="","",TRIM(IF(COUNTIF(DMTK!$A$7:$A$250,$F40)=0,"TK Nợ sai! ","")&amp;IF(COUNTIF(DMTK!$A$7:$A$250,$G40)=0,"TK Có sai! ","")&amp;IF(N($H40)&lt;=0,"Tiền phải &gt; 0! ","")&amp;IF($B40="","Thiếu ngày! ","")&amp;IF(AND(OR(LEFT($F40,3)="131",LEFT($G40,3)="131",LEFT($F40,3)="331",LEFT($G40,3)="331"),$I40=""),"Thiếu Mã ĐT! ","")&amp;IF(AND($I40&lt;&gt;"",COUNTIF(DM_DT!$A$7:$A$306,$I40)=0),"Mã ĐT chưa khai báo! ","")))</f>
        <v/>
      </c>
      <c r="M40" s="117">
        <f>IF($H40="","",IF(AND(OR(LEFT($F40,3)="111",LEFT($F40,3)="112",LEFT($F40,3)="113"),OR(LEFT($G40,3)="111",LEFT($G40,3)="112",LEFT($G40,3)="113")),"NB",IF(OR(LEFT($F40,3)="111",LEFT($F40,3)="112",LEFT($F40,3)="113"),"THU",IF(OR(LEFT($G40,3)="111",LEFT($G40,3)="112",LEFT($G40,3)="113"),"CHI",""))))</f>
        <v/>
      </c>
      <c r="N40" s="117">
        <f>IF($M40="THU",$G40,IF($M40="CHI",$F40,""))</f>
        <v/>
      </c>
      <c r="O40" s="117">
        <f>IF(OR($M40="",$M40="NB"),"",IF($J40&lt;&gt;"",TEXT($J40,"00"),IFERROR(VLOOKUP(LEFT($N40,4),LCTT_MAP!$A$7:$C$66,IF($M40="THU",2,3),FALSE()),IFERROR(VLOOKUP(LEFT($N40,3),LCTT_MAP!$A$7:$C$66,IF($M40="THU",2,3),FALSE()),IFERROR(VLOOKUP(LEFT($N40,2),LCTT_MAP!$A$7:$C$66,IF($M40="THU",2,3),FALSE()),IFERROR(VLOOKUP(LEFT($N40,1),LCTT_MAP!$A$7:$C$66,IF($M40="THU",2,3),FALSE()),IF($M40="THU","06","07")))))))</f>
        <v/>
      </c>
      <c r="P40" s="117">
        <f>P39+IF(AND($H40&lt;&gt;"",OR(LEFT($F40,LEN(SC_TK))=SC_TK,LEFT($G40,LEN(SC_TK))=SC_TK)),1,0)</f>
        <v/>
      </c>
    </row>
    <row r="41" ht="15" customHeight="1" s="78">
      <c r="A41" s="95">
        <f>IF($H41="","",ROW()-6)</f>
        <v/>
      </c>
      <c r="B41" s="114" t="n">
        <v>46228</v>
      </c>
      <c r="C41" s="102" t="inlineStr">
        <is>
          <t>BC004</t>
        </is>
      </c>
      <c r="D41" s="114" t="n">
        <v>46228</v>
      </c>
      <c r="E41" s="103" t="inlineStr">
        <is>
          <t>Thu tiền dịch vụ - Cty Bình Minh</t>
        </is>
      </c>
      <c r="F41" s="102" t="inlineStr">
        <is>
          <t>112</t>
        </is>
      </c>
      <c r="G41" s="102" t="inlineStr">
        <is>
          <t>131</t>
        </is>
      </c>
      <c r="H41" s="115" t="n">
        <v>129600000</v>
      </c>
      <c r="I41" s="102" t="inlineStr">
        <is>
          <t>KH001</t>
        </is>
      </c>
      <c r="J41" s="102" t="n"/>
      <c r="K41" s="103" t="n"/>
      <c r="L41" s="116">
        <f>IF($H41="","",TRIM(IF(COUNTIF(DMTK!$A$7:$A$250,$F41)=0,"TK Nợ sai! ","")&amp;IF(COUNTIF(DMTK!$A$7:$A$250,$G41)=0,"TK Có sai! ","")&amp;IF(N($H41)&lt;=0,"Tiền phải &gt; 0! ","")&amp;IF($B41="","Thiếu ngày! ","")&amp;IF(AND(OR(LEFT($F41,3)="131",LEFT($G41,3)="131",LEFT($F41,3)="331",LEFT($G41,3)="331"),$I41=""),"Thiếu Mã ĐT! ","")&amp;IF(AND($I41&lt;&gt;"",COUNTIF(DM_DT!$A$7:$A$306,$I41)=0),"Mã ĐT chưa khai báo! ","")))</f>
        <v/>
      </c>
      <c r="M41" s="117">
        <f>IF($H41="","",IF(AND(OR(LEFT($F41,3)="111",LEFT($F41,3)="112",LEFT($F41,3)="113"),OR(LEFT($G41,3)="111",LEFT($G41,3)="112",LEFT($G41,3)="113")),"NB",IF(OR(LEFT($F41,3)="111",LEFT($F41,3)="112",LEFT($F41,3)="113"),"THU",IF(OR(LEFT($G41,3)="111",LEFT($G41,3)="112",LEFT($G41,3)="113"),"CHI",""))))</f>
        <v/>
      </c>
      <c r="N41" s="117">
        <f>IF($M41="THU",$G41,IF($M41="CHI",$F41,""))</f>
        <v/>
      </c>
      <c r="O41" s="117">
        <f>IF(OR($M41="",$M41="NB"),"",IF($J41&lt;&gt;"",TEXT($J41,"00"),IFERROR(VLOOKUP(LEFT($N41,4),LCTT_MAP!$A$7:$C$66,IF($M41="THU",2,3),FALSE()),IFERROR(VLOOKUP(LEFT($N41,3),LCTT_MAP!$A$7:$C$66,IF($M41="THU",2,3),FALSE()),IFERROR(VLOOKUP(LEFT($N41,2),LCTT_MAP!$A$7:$C$66,IF($M41="THU",2,3),FALSE()),IFERROR(VLOOKUP(LEFT($N41,1),LCTT_MAP!$A$7:$C$66,IF($M41="THU",2,3),FALSE()),IF($M41="THU","06","07")))))))</f>
        <v/>
      </c>
      <c r="P41" s="117">
        <f>P40+IF(AND($H41&lt;&gt;"",OR(LEFT($F41,LEN(SC_TK))=SC_TK,LEFT($G41,LEN(SC_TK))=SC_TK)),1,0)</f>
        <v/>
      </c>
    </row>
    <row r="42" ht="15" customHeight="1" s="78">
      <c r="A42" s="95">
        <f>IF($H42="","",ROW()-6)</f>
        <v/>
      </c>
      <c r="B42" s="114" t="n">
        <v>46244</v>
      </c>
      <c r="C42" s="102" t="inlineStr">
        <is>
          <t>PN002</t>
        </is>
      </c>
      <c r="D42" s="114" t="n">
        <v>46244</v>
      </c>
      <c r="E42" s="103" t="inlineStr">
        <is>
          <t>Mua hàng hóa nhập kho - Cty Đại Nam</t>
        </is>
      </c>
      <c r="F42" s="102" t="inlineStr">
        <is>
          <t>156</t>
        </is>
      </c>
      <c r="G42" s="102" t="inlineStr">
        <is>
          <t>331</t>
        </is>
      </c>
      <c r="H42" s="115" t="n">
        <v>150000000</v>
      </c>
      <c r="I42" s="102" t="inlineStr">
        <is>
          <t>NCC002</t>
        </is>
      </c>
      <c r="J42" s="102" t="n"/>
      <c r="K42" s="103" t="n"/>
      <c r="L42" s="116">
        <f>IF($H42="","",TRIM(IF(COUNTIF(DMTK!$A$7:$A$250,$F42)=0,"TK Nợ sai! ","")&amp;IF(COUNTIF(DMTK!$A$7:$A$250,$G42)=0,"TK Có sai! ","")&amp;IF(N($H42)&lt;=0,"Tiền phải &gt; 0! ","")&amp;IF($B42="","Thiếu ngày! ","")&amp;IF(AND(OR(LEFT($F42,3)="131",LEFT($G42,3)="131",LEFT($F42,3)="331",LEFT($G42,3)="331"),$I42=""),"Thiếu Mã ĐT! ","")&amp;IF(AND($I42&lt;&gt;"",COUNTIF(DM_DT!$A$7:$A$306,$I42)=0),"Mã ĐT chưa khai báo! ","")))</f>
        <v/>
      </c>
      <c r="M42" s="117">
        <f>IF($H42="","",IF(AND(OR(LEFT($F42,3)="111",LEFT($F42,3)="112",LEFT($F42,3)="113"),OR(LEFT($G42,3)="111",LEFT($G42,3)="112",LEFT($G42,3)="113")),"NB",IF(OR(LEFT($F42,3)="111",LEFT($F42,3)="112",LEFT($F42,3)="113"),"THU",IF(OR(LEFT($G42,3)="111",LEFT($G42,3)="112",LEFT($G42,3)="113"),"CHI",""))))</f>
        <v/>
      </c>
      <c r="N42" s="117">
        <f>IF($M42="THU",$G42,IF($M42="CHI",$F42,""))</f>
        <v/>
      </c>
      <c r="O42" s="117">
        <f>IF(OR($M42="",$M42="NB"),"",IF($J42&lt;&gt;"",TEXT($J42,"00"),IFERROR(VLOOKUP(LEFT($N42,4),LCTT_MAP!$A$7:$C$66,IF($M42="THU",2,3),FALSE()),IFERROR(VLOOKUP(LEFT($N42,3),LCTT_MAP!$A$7:$C$66,IF($M42="THU",2,3),FALSE()),IFERROR(VLOOKUP(LEFT($N42,2),LCTT_MAP!$A$7:$C$66,IF($M42="THU",2,3),FALSE()),IFERROR(VLOOKUP(LEFT($N42,1),LCTT_MAP!$A$7:$C$66,IF($M42="THU",2,3),FALSE()),IF($M42="THU","06","07")))))))</f>
        <v/>
      </c>
      <c r="P42" s="117">
        <f>P41+IF(AND($H42&lt;&gt;"",OR(LEFT($F42,LEN(SC_TK))=SC_TK,LEFT($G42,LEN(SC_TK))=SC_TK)),1,0)</f>
        <v/>
      </c>
    </row>
    <row r="43" ht="15" customHeight="1" s="78">
      <c r="A43" s="95">
        <f>IF($H43="","",ROW()-6)</f>
        <v/>
      </c>
      <c r="B43" s="114" t="n">
        <v>46244</v>
      </c>
      <c r="C43" s="102" t="inlineStr">
        <is>
          <t>PN002</t>
        </is>
      </c>
      <c r="D43" s="114" t="n">
        <v>46244</v>
      </c>
      <c r="E43" s="103" t="inlineStr">
        <is>
          <t>Thuế GTGT đầu vào mua hàng hóa</t>
        </is>
      </c>
      <c r="F43" s="102" t="inlineStr">
        <is>
          <t>1331</t>
        </is>
      </c>
      <c r="G43" s="102" t="inlineStr">
        <is>
          <t>331</t>
        </is>
      </c>
      <c r="H43" s="115" t="n">
        <v>12000000</v>
      </c>
      <c r="I43" s="102" t="inlineStr">
        <is>
          <t>NCC002</t>
        </is>
      </c>
      <c r="J43" s="102" t="n"/>
      <c r="K43" s="103" t="n"/>
      <c r="L43" s="116">
        <f>IF($H43="","",TRIM(IF(COUNTIF(DMTK!$A$7:$A$250,$F43)=0,"TK Nợ sai! ","")&amp;IF(COUNTIF(DMTK!$A$7:$A$250,$G43)=0,"TK Có sai! ","")&amp;IF(N($H43)&lt;=0,"Tiền phải &gt; 0! ","")&amp;IF($B43="","Thiếu ngày! ","")&amp;IF(AND(OR(LEFT($F43,3)="131",LEFT($G43,3)="131",LEFT($F43,3)="331",LEFT($G43,3)="331"),$I43=""),"Thiếu Mã ĐT! ","")&amp;IF(AND($I43&lt;&gt;"",COUNTIF(DM_DT!$A$7:$A$306,$I43)=0),"Mã ĐT chưa khai báo! ","")))</f>
        <v/>
      </c>
      <c r="M43" s="117">
        <f>IF($H43="","",IF(AND(OR(LEFT($F43,3)="111",LEFT($F43,3)="112",LEFT($F43,3)="113"),OR(LEFT($G43,3)="111",LEFT($G43,3)="112",LEFT($G43,3)="113")),"NB",IF(OR(LEFT($F43,3)="111",LEFT($F43,3)="112",LEFT($F43,3)="113"),"THU",IF(OR(LEFT($G43,3)="111",LEFT($G43,3)="112",LEFT($G43,3)="113"),"CHI",""))))</f>
        <v/>
      </c>
      <c r="N43" s="117">
        <f>IF($M43="THU",$G43,IF($M43="CHI",$F43,""))</f>
        <v/>
      </c>
      <c r="O43" s="117">
        <f>IF(OR($M43="",$M43="NB"),"",IF($J43&lt;&gt;"",TEXT($J43,"00"),IFERROR(VLOOKUP(LEFT($N43,4),LCTT_MAP!$A$7:$C$66,IF($M43="THU",2,3),FALSE()),IFERROR(VLOOKUP(LEFT($N43,3),LCTT_MAP!$A$7:$C$66,IF($M43="THU",2,3),FALSE()),IFERROR(VLOOKUP(LEFT($N43,2),LCTT_MAP!$A$7:$C$66,IF($M43="THU",2,3),FALSE()),IFERROR(VLOOKUP(LEFT($N43,1),LCTT_MAP!$A$7:$C$66,IF($M43="THU",2,3),FALSE()),IF($M43="THU","06","07")))))))</f>
        <v/>
      </c>
      <c r="P43" s="117">
        <f>P42+IF(AND($H43&lt;&gt;"",OR(LEFT($F43,LEN(SC_TK))=SC_TK,LEFT($G43,LEN(SC_TK))=SC_TK)),1,0)</f>
        <v/>
      </c>
    </row>
    <row r="44" ht="15" customHeight="1" s="78">
      <c r="A44" s="95">
        <f>IF($H44="","",ROW()-6)</f>
        <v/>
      </c>
      <c r="B44" s="114" t="n">
        <v>46285</v>
      </c>
      <c r="C44" s="102" t="inlineStr">
        <is>
          <t>HD0004</t>
        </is>
      </c>
      <c r="D44" s="114" t="n">
        <v>46285</v>
      </c>
      <c r="E44" s="103" t="inlineStr">
        <is>
          <t>Bán hàng thu tiền ngay qua ngân hàng (khách lẻ)</t>
        </is>
      </c>
      <c r="F44" s="102" t="inlineStr">
        <is>
          <t>112</t>
        </is>
      </c>
      <c r="G44" s="102" t="inlineStr">
        <is>
          <t>511</t>
        </is>
      </c>
      <c r="H44" s="115" t="n">
        <v>95000000</v>
      </c>
      <c r="I44" s="102" t="n"/>
      <c r="J44" s="102" t="n"/>
      <c r="K44" s="103" t="n"/>
      <c r="L44" s="116">
        <f>IF($H44="","",TRIM(IF(COUNTIF(DMTK!$A$7:$A$250,$F44)=0,"TK Nợ sai! ","")&amp;IF(COUNTIF(DMTK!$A$7:$A$250,$G44)=0,"TK Có sai! ","")&amp;IF(N($H44)&lt;=0,"Tiền phải &gt; 0! ","")&amp;IF($B44="","Thiếu ngày! ","")&amp;IF(AND(OR(LEFT($F44,3)="131",LEFT($G44,3)="131",LEFT($F44,3)="331",LEFT($G44,3)="331"),$I44=""),"Thiếu Mã ĐT! ","")&amp;IF(AND($I44&lt;&gt;"",COUNTIF(DM_DT!$A$7:$A$306,$I44)=0),"Mã ĐT chưa khai báo! ","")))</f>
        <v/>
      </c>
      <c r="M44" s="117">
        <f>IF($H44="","",IF(AND(OR(LEFT($F44,3)="111",LEFT($F44,3)="112",LEFT($F44,3)="113"),OR(LEFT($G44,3)="111",LEFT($G44,3)="112",LEFT($G44,3)="113")),"NB",IF(OR(LEFT($F44,3)="111",LEFT($F44,3)="112",LEFT($F44,3)="113"),"THU",IF(OR(LEFT($G44,3)="111",LEFT($G44,3)="112",LEFT($G44,3)="113"),"CHI",""))))</f>
        <v/>
      </c>
      <c r="N44" s="117">
        <f>IF($M44="THU",$G44,IF($M44="CHI",$F44,""))</f>
        <v/>
      </c>
      <c r="O44" s="117">
        <f>IF(OR($M44="",$M44="NB"),"",IF($J44&lt;&gt;"",TEXT($J44,"00"),IFERROR(VLOOKUP(LEFT($N44,4),LCTT_MAP!$A$7:$C$66,IF($M44="THU",2,3),FALSE()),IFERROR(VLOOKUP(LEFT($N44,3),LCTT_MAP!$A$7:$C$66,IF($M44="THU",2,3),FALSE()),IFERROR(VLOOKUP(LEFT($N44,2),LCTT_MAP!$A$7:$C$66,IF($M44="THU",2,3),FALSE()),IFERROR(VLOOKUP(LEFT($N44,1),LCTT_MAP!$A$7:$C$66,IF($M44="THU",2,3),FALSE()),IF($M44="THU","06","07")))))))</f>
        <v/>
      </c>
      <c r="P44" s="117">
        <f>P43+IF(AND($H44&lt;&gt;"",OR(LEFT($F44,LEN(SC_TK))=SC_TK,LEFT($G44,LEN(SC_TK))=SC_TK)),1,0)</f>
        <v/>
      </c>
    </row>
    <row r="45" ht="15" customHeight="1" s="78">
      <c r="A45" s="95">
        <f>IF($H45="","",ROW()-6)</f>
        <v/>
      </c>
      <c r="B45" s="114" t="n">
        <v>46285</v>
      </c>
      <c r="C45" s="102" t="inlineStr">
        <is>
          <t>HD0004</t>
        </is>
      </c>
      <c r="D45" s="114" t="n">
        <v>46285</v>
      </c>
      <c r="E45" s="103" t="inlineStr">
        <is>
          <t>Thuế GTGT đầu ra bán hàng</t>
        </is>
      </c>
      <c r="F45" s="102" t="inlineStr">
        <is>
          <t>112</t>
        </is>
      </c>
      <c r="G45" s="102" t="inlineStr">
        <is>
          <t>33311</t>
        </is>
      </c>
      <c r="H45" s="115" t="n">
        <v>7600000</v>
      </c>
      <c r="I45" s="102" t="n"/>
      <c r="J45" s="102" t="n"/>
      <c r="K45" s="103" t="n"/>
      <c r="L45" s="116">
        <f>IF($H45="","",TRIM(IF(COUNTIF(DMTK!$A$7:$A$250,$F45)=0,"TK Nợ sai! ","")&amp;IF(COUNTIF(DMTK!$A$7:$A$250,$G45)=0,"TK Có sai! ","")&amp;IF(N($H45)&lt;=0,"Tiền phải &gt; 0! ","")&amp;IF($B45="","Thiếu ngày! ","")&amp;IF(AND(OR(LEFT($F45,3)="131",LEFT($G45,3)="131",LEFT($F45,3)="331",LEFT($G45,3)="331"),$I45=""),"Thiếu Mã ĐT! ","")&amp;IF(AND($I45&lt;&gt;"",COUNTIF(DM_DT!$A$7:$A$306,$I45)=0),"Mã ĐT chưa khai báo! ","")))</f>
        <v/>
      </c>
      <c r="M45" s="117">
        <f>IF($H45="","",IF(AND(OR(LEFT($F45,3)="111",LEFT($F45,3)="112",LEFT($F45,3)="113"),OR(LEFT($G45,3)="111",LEFT($G45,3)="112",LEFT($G45,3)="113")),"NB",IF(OR(LEFT($F45,3)="111",LEFT($F45,3)="112",LEFT($F45,3)="113"),"THU",IF(OR(LEFT($G45,3)="111",LEFT($G45,3)="112",LEFT($G45,3)="113"),"CHI",""))))</f>
        <v/>
      </c>
      <c r="N45" s="117">
        <f>IF($M45="THU",$G45,IF($M45="CHI",$F45,""))</f>
        <v/>
      </c>
      <c r="O45" s="117">
        <f>IF(OR($M45="",$M45="NB"),"",IF($J45&lt;&gt;"",TEXT($J45,"00"),IFERROR(VLOOKUP(LEFT($N45,4),LCTT_MAP!$A$7:$C$66,IF($M45="THU",2,3),FALSE()),IFERROR(VLOOKUP(LEFT($N45,3),LCTT_MAP!$A$7:$C$66,IF($M45="THU",2,3),FALSE()),IFERROR(VLOOKUP(LEFT($N45,2),LCTT_MAP!$A$7:$C$66,IF($M45="THU",2,3),FALSE()),IFERROR(VLOOKUP(LEFT($N45,1),LCTT_MAP!$A$7:$C$66,IF($M45="THU",2,3),FALSE()),IF($M45="THU","06","07")))))))</f>
        <v/>
      </c>
      <c r="P45" s="117">
        <f>P44+IF(AND($H45&lt;&gt;"",OR(LEFT($F45,LEN(SC_TK))=SC_TK,LEFT($G45,LEN(SC_TK))=SC_TK)),1,0)</f>
        <v/>
      </c>
    </row>
    <row r="46" ht="15" customHeight="1" s="78">
      <c r="A46" s="95">
        <f>IF($H46="","",ROW()-6)</f>
        <v/>
      </c>
      <c r="B46" s="114" t="n">
        <v>46285</v>
      </c>
      <c r="C46" s="102" t="inlineStr">
        <is>
          <t>PX003</t>
        </is>
      </c>
      <c r="D46" s="114" t="n">
        <v>46285</v>
      </c>
      <c r="E46" s="103" t="inlineStr">
        <is>
          <t>Giá vốn hàng bán HĐ 0004</t>
        </is>
      </c>
      <c r="F46" s="102" t="inlineStr">
        <is>
          <t>632</t>
        </is>
      </c>
      <c r="G46" s="102" t="inlineStr">
        <is>
          <t>156</t>
        </is>
      </c>
      <c r="H46" s="115" t="n">
        <v>70000000</v>
      </c>
      <c r="I46" s="102" t="n"/>
      <c r="J46" s="102" t="n"/>
      <c r="K46" s="103" t="n"/>
      <c r="L46" s="116">
        <f>IF($H46="","",TRIM(IF(COUNTIF(DMTK!$A$7:$A$250,$F46)=0,"TK Nợ sai! ","")&amp;IF(COUNTIF(DMTK!$A$7:$A$250,$G46)=0,"TK Có sai! ","")&amp;IF(N($H46)&lt;=0,"Tiền phải &gt; 0! ","")&amp;IF($B46="","Thiếu ngày! ","")&amp;IF(AND(OR(LEFT($F46,3)="131",LEFT($G46,3)="131",LEFT($F46,3)="331",LEFT($G46,3)="331"),$I46=""),"Thiếu Mã ĐT! ","")&amp;IF(AND($I46&lt;&gt;"",COUNTIF(DM_DT!$A$7:$A$306,$I46)=0),"Mã ĐT chưa khai báo! ","")))</f>
        <v/>
      </c>
      <c r="M46" s="117">
        <f>IF($H46="","",IF(AND(OR(LEFT($F46,3)="111",LEFT($F46,3)="112",LEFT($F46,3)="113"),OR(LEFT($G46,3)="111",LEFT($G46,3)="112",LEFT($G46,3)="113")),"NB",IF(OR(LEFT($F46,3)="111",LEFT($F46,3)="112",LEFT($F46,3)="113"),"THU",IF(OR(LEFT($G46,3)="111",LEFT($G46,3)="112",LEFT($G46,3)="113"),"CHI",""))))</f>
        <v/>
      </c>
      <c r="N46" s="117">
        <f>IF($M46="THU",$G46,IF($M46="CHI",$F46,""))</f>
        <v/>
      </c>
      <c r="O46" s="117">
        <f>IF(OR($M46="",$M46="NB"),"",IF($J46&lt;&gt;"",TEXT($J46,"00"),IFERROR(VLOOKUP(LEFT($N46,4),LCTT_MAP!$A$7:$C$66,IF($M46="THU",2,3),FALSE()),IFERROR(VLOOKUP(LEFT($N46,3),LCTT_MAP!$A$7:$C$66,IF($M46="THU",2,3),FALSE()),IFERROR(VLOOKUP(LEFT($N46,2),LCTT_MAP!$A$7:$C$66,IF($M46="THU",2,3),FALSE()),IFERROR(VLOOKUP(LEFT($N46,1),LCTT_MAP!$A$7:$C$66,IF($M46="THU",2,3),FALSE()),IF($M46="THU","06","07")))))))</f>
        <v/>
      </c>
      <c r="P46" s="117">
        <f>P45+IF(AND($H46&lt;&gt;"",OR(LEFT($F46,LEN(SC_TK))=SC_TK,LEFT($G46,LEN(SC_TK))=SC_TK)),1,0)</f>
        <v/>
      </c>
    </row>
    <row r="47" ht="15" customHeight="1" s="78">
      <c r="A47" s="95">
        <f>IF($H47="","",ROW()-6)</f>
        <v/>
      </c>
      <c r="B47" s="114" t="n">
        <v>46295</v>
      </c>
      <c r="C47" s="102" t="inlineStr">
        <is>
          <t>PKT005</t>
        </is>
      </c>
      <c r="D47" s="114" t="n">
        <v>46295</v>
      </c>
      <c r="E47" s="103" t="inlineStr">
        <is>
          <t>Khấu hao TSCĐ quý 3</t>
        </is>
      </c>
      <c r="F47" s="102" t="inlineStr">
        <is>
          <t>6424</t>
        </is>
      </c>
      <c r="G47" s="102" t="inlineStr">
        <is>
          <t>2141</t>
        </is>
      </c>
      <c r="H47" s="115" t="n">
        <v>27000000</v>
      </c>
      <c r="I47" s="102" t="n"/>
      <c r="J47" s="102" t="n"/>
      <c r="K47" s="103" t="n"/>
      <c r="L47" s="116">
        <f>IF($H47="","",TRIM(IF(COUNTIF(DMTK!$A$7:$A$250,$F47)=0,"TK Nợ sai! ","")&amp;IF(COUNTIF(DMTK!$A$7:$A$250,$G47)=0,"TK Có sai! ","")&amp;IF(N($H47)&lt;=0,"Tiền phải &gt; 0! ","")&amp;IF($B47="","Thiếu ngày! ","")&amp;IF(AND(OR(LEFT($F47,3)="131",LEFT($G47,3)="131",LEFT($F47,3)="331",LEFT($G47,3)="331"),$I47=""),"Thiếu Mã ĐT! ","")&amp;IF(AND($I47&lt;&gt;"",COUNTIF(DM_DT!$A$7:$A$306,$I47)=0),"Mã ĐT chưa khai báo! ","")))</f>
        <v/>
      </c>
      <c r="M47" s="117">
        <f>IF($H47="","",IF(AND(OR(LEFT($F47,3)="111",LEFT($F47,3)="112",LEFT($F47,3)="113"),OR(LEFT($G47,3)="111",LEFT($G47,3)="112",LEFT($G47,3)="113")),"NB",IF(OR(LEFT($F47,3)="111",LEFT($F47,3)="112",LEFT($F47,3)="113"),"THU",IF(OR(LEFT($G47,3)="111",LEFT($G47,3)="112",LEFT($G47,3)="113"),"CHI",""))))</f>
        <v/>
      </c>
      <c r="N47" s="117">
        <f>IF($M47="THU",$G47,IF($M47="CHI",$F47,""))</f>
        <v/>
      </c>
      <c r="O47" s="117">
        <f>IF(OR($M47="",$M47="NB"),"",IF($J47&lt;&gt;"",TEXT($J47,"00"),IFERROR(VLOOKUP(LEFT($N47,4),LCTT_MAP!$A$7:$C$66,IF($M47="THU",2,3),FALSE()),IFERROR(VLOOKUP(LEFT($N47,3),LCTT_MAP!$A$7:$C$66,IF($M47="THU",2,3),FALSE()),IFERROR(VLOOKUP(LEFT($N47,2),LCTT_MAP!$A$7:$C$66,IF($M47="THU",2,3),FALSE()),IFERROR(VLOOKUP(LEFT($N47,1),LCTT_MAP!$A$7:$C$66,IF($M47="THU",2,3),FALSE()),IF($M47="THU","06","07")))))))</f>
        <v/>
      </c>
      <c r="P47" s="117">
        <f>P46+IF(AND($H47&lt;&gt;"",OR(LEFT($F47,LEN(SC_TK))=SC_TK,LEFT($G47,LEN(SC_TK))=SC_TK)),1,0)</f>
        <v/>
      </c>
    </row>
    <row r="48" ht="15" customHeight="1" s="78">
      <c r="A48" s="95">
        <f>IF($H48="","",ROW()-6)</f>
        <v/>
      </c>
      <c r="B48" s="114" t="n">
        <v>46300</v>
      </c>
      <c r="C48" s="102" t="inlineStr">
        <is>
          <t>UNC008</t>
        </is>
      </c>
      <c r="D48" s="114" t="n">
        <v>46300</v>
      </c>
      <c r="E48" s="103" t="inlineStr">
        <is>
          <t>Trả nợ gốc vay ngân hàng</t>
        </is>
      </c>
      <c r="F48" s="102" t="inlineStr">
        <is>
          <t>3411</t>
        </is>
      </c>
      <c r="G48" s="102" t="inlineStr">
        <is>
          <t>112</t>
        </is>
      </c>
      <c r="H48" s="115" t="n">
        <v>100000000</v>
      </c>
      <c r="I48" s="102" t="n"/>
      <c r="J48" s="102" t="n"/>
      <c r="K48" s="103" t="n"/>
      <c r="L48" s="116">
        <f>IF($H48="","",TRIM(IF(COUNTIF(DMTK!$A$7:$A$250,$F48)=0,"TK Nợ sai! ","")&amp;IF(COUNTIF(DMTK!$A$7:$A$250,$G48)=0,"TK Có sai! ","")&amp;IF(N($H48)&lt;=0,"Tiền phải &gt; 0! ","")&amp;IF($B48="","Thiếu ngày! ","")&amp;IF(AND(OR(LEFT($F48,3)="131",LEFT($G48,3)="131",LEFT($F48,3)="331",LEFT($G48,3)="331"),$I48=""),"Thiếu Mã ĐT! ","")&amp;IF(AND($I48&lt;&gt;"",COUNTIF(DM_DT!$A$7:$A$306,$I48)=0),"Mã ĐT chưa khai báo! ","")))</f>
        <v/>
      </c>
      <c r="M48" s="117">
        <f>IF($H48="","",IF(AND(OR(LEFT($F48,3)="111",LEFT($F48,3)="112",LEFT($F48,3)="113"),OR(LEFT($G48,3)="111",LEFT($G48,3)="112",LEFT($G48,3)="113")),"NB",IF(OR(LEFT($F48,3)="111",LEFT($F48,3)="112",LEFT($F48,3)="113"),"THU",IF(OR(LEFT($G48,3)="111",LEFT($G48,3)="112",LEFT($G48,3)="113"),"CHI",""))))</f>
        <v/>
      </c>
      <c r="N48" s="117">
        <f>IF($M48="THU",$G48,IF($M48="CHI",$F48,""))</f>
        <v/>
      </c>
      <c r="O48" s="117">
        <f>IF(OR($M48="",$M48="NB"),"",IF($J48&lt;&gt;"",TEXT($J48,"00"),IFERROR(VLOOKUP(LEFT($N48,4),LCTT_MAP!$A$7:$C$66,IF($M48="THU",2,3),FALSE()),IFERROR(VLOOKUP(LEFT($N48,3),LCTT_MAP!$A$7:$C$66,IF($M48="THU",2,3),FALSE()),IFERROR(VLOOKUP(LEFT($N48,2),LCTT_MAP!$A$7:$C$66,IF($M48="THU",2,3),FALSE()),IFERROR(VLOOKUP(LEFT($N48,1),LCTT_MAP!$A$7:$C$66,IF($M48="THU",2,3),FALSE()),IF($M48="THU","06","07")))))))</f>
        <v/>
      </c>
      <c r="P48" s="117">
        <f>P47+IF(AND($H48&lt;&gt;"",OR(LEFT($F48,LEN(SC_TK))=SC_TK,LEFT($G48,LEN(SC_TK))=SC_TK)),1,0)</f>
        <v/>
      </c>
    </row>
    <row r="49" ht="15" customHeight="1" s="78">
      <c r="A49" s="95">
        <f>IF($H49="","",ROW()-6)</f>
        <v/>
      </c>
      <c r="B49" s="114" t="n">
        <v>46341</v>
      </c>
      <c r="C49" s="102" t="inlineStr">
        <is>
          <t>PT001</t>
        </is>
      </c>
      <c r="D49" s="114" t="n">
        <v>46341</v>
      </c>
      <c r="E49" s="103" t="inlineStr">
        <is>
          <t>Rút tiền gửi ngân hàng nhập quỹ tiền mặt</t>
        </is>
      </c>
      <c r="F49" s="102" t="inlineStr">
        <is>
          <t>111</t>
        </is>
      </c>
      <c r="G49" s="102" t="inlineStr">
        <is>
          <t>112</t>
        </is>
      </c>
      <c r="H49" s="115" t="n">
        <v>50000000</v>
      </c>
      <c r="I49" s="102" t="n"/>
      <c r="J49" s="102" t="n"/>
      <c r="K49" s="103" t="n"/>
      <c r="L49" s="116">
        <f>IF($H49="","",TRIM(IF(COUNTIF(DMTK!$A$7:$A$250,$F49)=0,"TK Nợ sai! ","")&amp;IF(COUNTIF(DMTK!$A$7:$A$250,$G49)=0,"TK Có sai! ","")&amp;IF(N($H49)&lt;=0,"Tiền phải &gt; 0! ","")&amp;IF($B49="","Thiếu ngày! ","")&amp;IF(AND(OR(LEFT($F49,3)="131",LEFT($G49,3)="131",LEFT($F49,3)="331",LEFT($G49,3)="331"),$I49=""),"Thiếu Mã ĐT! ","")&amp;IF(AND($I49&lt;&gt;"",COUNTIF(DM_DT!$A$7:$A$306,$I49)=0),"Mã ĐT chưa khai báo! ","")))</f>
        <v/>
      </c>
      <c r="M49" s="117">
        <f>IF($H49="","",IF(AND(OR(LEFT($F49,3)="111",LEFT($F49,3)="112",LEFT($F49,3)="113"),OR(LEFT($G49,3)="111",LEFT($G49,3)="112",LEFT($G49,3)="113")),"NB",IF(OR(LEFT($F49,3)="111",LEFT($F49,3)="112",LEFT($F49,3)="113"),"THU",IF(OR(LEFT($G49,3)="111",LEFT($G49,3)="112",LEFT($G49,3)="113"),"CHI",""))))</f>
        <v/>
      </c>
      <c r="N49" s="117">
        <f>IF($M49="THU",$G49,IF($M49="CHI",$F49,""))</f>
        <v/>
      </c>
      <c r="O49" s="117">
        <f>IF(OR($M49="",$M49="NB"),"",IF($J49&lt;&gt;"",TEXT($J49,"00"),IFERROR(VLOOKUP(LEFT($N49,4),LCTT_MAP!$A$7:$C$66,IF($M49="THU",2,3),FALSE()),IFERROR(VLOOKUP(LEFT($N49,3),LCTT_MAP!$A$7:$C$66,IF($M49="THU",2,3),FALSE()),IFERROR(VLOOKUP(LEFT($N49,2),LCTT_MAP!$A$7:$C$66,IF($M49="THU",2,3),FALSE()),IFERROR(VLOOKUP(LEFT($N49,1),LCTT_MAP!$A$7:$C$66,IF($M49="THU",2,3),FALSE()),IF($M49="THU","06","07")))))))</f>
        <v/>
      </c>
      <c r="P49" s="117">
        <f>P48+IF(AND($H49&lt;&gt;"",OR(LEFT($F49,LEN(SC_TK))=SC_TK,LEFT($G49,LEN(SC_TK))=SC_TK)),1,0)</f>
        <v/>
      </c>
    </row>
    <row r="50" ht="15" customHeight="1" s="78">
      <c r="A50" s="95">
        <f>IF($H50="","",ROW()-6)</f>
        <v/>
      </c>
      <c r="B50" s="114" t="n">
        <v>46366</v>
      </c>
      <c r="C50" s="102" t="inlineStr">
        <is>
          <t>HD0005</t>
        </is>
      </c>
      <c r="D50" s="114" t="n">
        <v>46366</v>
      </c>
      <c r="E50" s="103" t="inlineStr">
        <is>
          <t>Bán hàng hóa - Cty Sao Mai</t>
        </is>
      </c>
      <c r="F50" s="102" t="inlineStr">
        <is>
          <t>131</t>
        </is>
      </c>
      <c r="G50" s="102" t="inlineStr">
        <is>
          <t>511</t>
        </is>
      </c>
      <c r="H50" s="115" t="n">
        <v>210000000</v>
      </c>
      <c r="I50" s="102" t="inlineStr">
        <is>
          <t>KH002</t>
        </is>
      </c>
      <c r="J50" s="102" t="n"/>
      <c r="K50" s="103" t="n"/>
      <c r="L50" s="116">
        <f>IF($H50="","",TRIM(IF(COUNTIF(DMTK!$A$7:$A$250,$F50)=0,"TK Nợ sai! ","")&amp;IF(COUNTIF(DMTK!$A$7:$A$250,$G50)=0,"TK Có sai! ","")&amp;IF(N($H50)&lt;=0,"Tiền phải &gt; 0! ","")&amp;IF($B50="","Thiếu ngày! ","")&amp;IF(AND(OR(LEFT($F50,3)="131",LEFT($G50,3)="131",LEFT($F50,3)="331",LEFT($G50,3)="331"),$I50=""),"Thiếu Mã ĐT! ","")&amp;IF(AND($I50&lt;&gt;"",COUNTIF(DM_DT!$A$7:$A$306,$I50)=0),"Mã ĐT chưa khai báo! ","")))</f>
        <v/>
      </c>
      <c r="M50" s="117">
        <f>IF($H50="","",IF(AND(OR(LEFT($F50,3)="111",LEFT($F50,3)="112",LEFT($F50,3)="113"),OR(LEFT($G50,3)="111",LEFT($G50,3)="112",LEFT($G50,3)="113")),"NB",IF(OR(LEFT($F50,3)="111",LEFT($F50,3)="112",LEFT($F50,3)="113"),"THU",IF(OR(LEFT($G50,3)="111",LEFT($G50,3)="112",LEFT($G50,3)="113"),"CHI",""))))</f>
        <v/>
      </c>
      <c r="N50" s="117">
        <f>IF($M50="THU",$G50,IF($M50="CHI",$F50,""))</f>
        <v/>
      </c>
      <c r="O50" s="117">
        <f>IF(OR($M50="",$M50="NB"),"",IF($J50&lt;&gt;"",TEXT($J50,"00"),IFERROR(VLOOKUP(LEFT($N50,4),LCTT_MAP!$A$7:$C$66,IF($M50="THU",2,3),FALSE()),IFERROR(VLOOKUP(LEFT($N50,3),LCTT_MAP!$A$7:$C$66,IF($M50="THU",2,3),FALSE()),IFERROR(VLOOKUP(LEFT($N50,2),LCTT_MAP!$A$7:$C$66,IF($M50="THU",2,3),FALSE()),IFERROR(VLOOKUP(LEFT($N50,1),LCTT_MAP!$A$7:$C$66,IF($M50="THU",2,3),FALSE()),IF($M50="THU","06","07")))))))</f>
        <v/>
      </c>
      <c r="P50" s="117">
        <f>P49+IF(AND($H50&lt;&gt;"",OR(LEFT($F50,LEN(SC_TK))=SC_TK,LEFT($G50,LEN(SC_TK))=SC_TK)),1,0)</f>
        <v/>
      </c>
    </row>
    <row r="51" ht="15" customHeight="1" s="78">
      <c r="A51" s="95">
        <f>IF($H51="","",ROW()-6)</f>
        <v/>
      </c>
      <c r="B51" s="114" t="n">
        <v>46366</v>
      </c>
      <c r="C51" s="102" t="inlineStr">
        <is>
          <t>HD0005</t>
        </is>
      </c>
      <c r="D51" s="114" t="n">
        <v>46366</v>
      </c>
      <c r="E51" s="103" t="inlineStr">
        <is>
          <t>Thuế GTGT đầu ra bán hàng</t>
        </is>
      </c>
      <c r="F51" s="102" t="inlineStr">
        <is>
          <t>131</t>
        </is>
      </c>
      <c r="G51" s="102" t="inlineStr">
        <is>
          <t>33311</t>
        </is>
      </c>
      <c r="H51" s="115" t="n">
        <v>16800000</v>
      </c>
      <c r="I51" s="102" t="inlineStr">
        <is>
          <t>KH002</t>
        </is>
      </c>
      <c r="J51" s="102" t="n"/>
      <c r="K51" s="103" t="n"/>
      <c r="L51" s="116">
        <f>IF($H51="","",TRIM(IF(COUNTIF(DMTK!$A$7:$A$250,$F51)=0,"TK Nợ sai! ","")&amp;IF(COUNTIF(DMTK!$A$7:$A$250,$G51)=0,"TK Có sai! ","")&amp;IF(N($H51)&lt;=0,"Tiền phải &gt; 0! ","")&amp;IF($B51="","Thiếu ngày! ","")&amp;IF(AND(OR(LEFT($F51,3)="131",LEFT($G51,3)="131",LEFT($F51,3)="331",LEFT($G51,3)="331"),$I51=""),"Thiếu Mã ĐT! ","")&amp;IF(AND($I51&lt;&gt;"",COUNTIF(DM_DT!$A$7:$A$306,$I51)=0),"Mã ĐT chưa khai báo! ","")))</f>
        <v/>
      </c>
      <c r="M51" s="117">
        <f>IF($H51="","",IF(AND(OR(LEFT($F51,3)="111",LEFT($F51,3)="112",LEFT($F51,3)="113"),OR(LEFT($G51,3)="111",LEFT($G51,3)="112",LEFT($G51,3)="113")),"NB",IF(OR(LEFT($F51,3)="111",LEFT($F51,3)="112",LEFT($F51,3)="113"),"THU",IF(OR(LEFT($G51,3)="111",LEFT($G51,3)="112",LEFT($G51,3)="113"),"CHI",""))))</f>
        <v/>
      </c>
      <c r="N51" s="117">
        <f>IF($M51="THU",$G51,IF($M51="CHI",$F51,""))</f>
        <v/>
      </c>
      <c r="O51" s="117">
        <f>IF(OR($M51="",$M51="NB"),"",IF($J51&lt;&gt;"",TEXT($J51,"00"),IFERROR(VLOOKUP(LEFT($N51,4),LCTT_MAP!$A$7:$C$66,IF($M51="THU",2,3),FALSE()),IFERROR(VLOOKUP(LEFT($N51,3),LCTT_MAP!$A$7:$C$66,IF($M51="THU",2,3),FALSE()),IFERROR(VLOOKUP(LEFT($N51,2),LCTT_MAP!$A$7:$C$66,IF($M51="THU",2,3),FALSE()),IFERROR(VLOOKUP(LEFT($N51,1),LCTT_MAP!$A$7:$C$66,IF($M51="THU",2,3),FALSE()),IF($M51="THU","06","07")))))))</f>
        <v/>
      </c>
      <c r="P51" s="117">
        <f>P50+IF(AND($H51&lt;&gt;"",OR(LEFT($F51,LEN(SC_TK))=SC_TK,LEFT($G51,LEN(SC_TK))=SC_TK)),1,0)</f>
        <v/>
      </c>
    </row>
    <row r="52" ht="15" customHeight="1" s="78">
      <c r="A52" s="95">
        <f>IF($H52="","",ROW()-6)</f>
        <v/>
      </c>
      <c r="B52" s="114" t="n">
        <v>46366</v>
      </c>
      <c r="C52" s="102" t="inlineStr">
        <is>
          <t>PX004</t>
        </is>
      </c>
      <c r="D52" s="114" t="n">
        <v>46366</v>
      </c>
      <c r="E52" s="103" t="inlineStr">
        <is>
          <t>Giá vốn hàng bán HĐ 0005</t>
        </is>
      </c>
      <c r="F52" s="102" t="inlineStr">
        <is>
          <t>632</t>
        </is>
      </c>
      <c r="G52" s="102" t="inlineStr">
        <is>
          <t>156</t>
        </is>
      </c>
      <c r="H52" s="115" t="n">
        <v>150000000</v>
      </c>
      <c r="I52" s="102" t="n"/>
      <c r="J52" s="102" t="n"/>
      <c r="K52" s="103" t="n"/>
      <c r="L52" s="116">
        <f>IF($H52="","",TRIM(IF(COUNTIF(DMTK!$A$7:$A$250,$F52)=0,"TK Nợ sai! ","")&amp;IF(COUNTIF(DMTK!$A$7:$A$250,$G52)=0,"TK Có sai! ","")&amp;IF(N($H52)&lt;=0,"Tiền phải &gt; 0! ","")&amp;IF($B52="","Thiếu ngày! ","")&amp;IF(AND(OR(LEFT($F52,3)="131",LEFT($G52,3)="131",LEFT($F52,3)="331",LEFT($G52,3)="331"),$I52=""),"Thiếu Mã ĐT! ","")&amp;IF(AND($I52&lt;&gt;"",COUNTIF(DM_DT!$A$7:$A$306,$I52)=0),"Mã ĐT chưa khai báo! ","")))</f>
        <v/>
      </c>
      <c r="M52" s="117">
        <f>IF($H52="","",IF(AND(OR(LEFT($F52,3)="111",LEFT($F52,3)="112",LEFT($F52,3)="113"),OR(LEFT($G52,3)="111",LEFT($G52,3)="112",LEFT($G52,3)="113")),"NB",IF(OR(LEFT($F52,3)="111",LEFT($F52,3)="112",LEFT($F52,3)="113"),"THU",IF(OR(LEFT($G52,3)="111",LEFT($G52,3)="112",LEFT($G52,3)="113"),"CHI",""))))</f>
        <v/>
      </c>
      <c r="N52" s="117">
        <f>IF($M52="THU",$G52,IF($M52="CHI",$F52,""))</f>
        <v/>
      </c>
      <c r="O52" s="117">
        <f>IF(OR($M52="",$M52="NB"),"",IF($J52&lt;&gt;"",TEXT($J52,"00"),IFERROR(VLOOKUP(LEFT($N52,4),LCTT_MAP!$A$7:$C$66,IF($M52="THU",2,3),FALSE()),IFERROR(VLOOKUP(LEFT($N52,3),LCTT_MAP!$A$7:$C$66,IF($M52="THU",2,3),FALSE()),IFERROR(VLOOKUP(LEFT($N52,2),LCTT_MAP!$A$7:$C$66,IF($M52="THU",2,3),FALSE()),IFERROR(VLOOKUP(LEFT($N52,1),LCTT_MAP!$A$7:$C$66,IF($M52="THU",2,3),FALSE()),IF($M52="THU","06","07")))))))</f>
        <v/>
      </c>
      <c r="P52" s="117">
        <f>P51+IF(AND($H52&lt;&gt;"",OR(LEFT($F52,LEN(SC_TK))=SC_TK,LEFT($G52,LEN(SC_TK))=SC_TK)),1,0)</f>
        <v/>
      </c>
    </row>
    <row r="53" ht="15" customHeight="1" s="78">
      <c r="A53" s="95">
        <f>IF($H53="","",ROW()-6)</f>
        <v/>
      </c>
      <c r="B53" s="114" t="n">
        <v>46376</v>
      </c>
      <c r="C53" s="102" t="inlineStr">
        <is>
          <t>BC005</t>
        </is>
      </c>
      <c r="D53" s="114" t="n">
        <v>46376</v>
      </c>
      <c r="E53" s="103" t="inlineStr">
        <is>
          <t>Thu nợ tiền hàng - Cty Sao Mai</t>
        </is>
      </c>
      <c r="F53" s="102" t="inlineStr">
        <is>
          <t>112</t>
        </is>
      </c>
      <c r="G53" s="102" t="inlineStr">
        <is>
          <t>131</t>
        </is>
      </c>
      <c r="H53" s="115" t="n">
        <v>150000000</v>
      </c>
      <c r="I53" s="102" t="inlineStr">
        <is>
          <t>KH002</t>
        </is>
      </c>
      <c r="J53" s="102" t="n"/>
      <c r="K53" s="103" t="n"/>
      <c r="L53" s="116">
        <f>IF($H53="","",TRIM(IF(COUNTIF(DMTK!$A$7:$A$250,$F53)=0,"TK Nợ sai! ","")&amp;IF(COUNTIF(DMTK!$A$7:$A$250,$G53)=0,"TK Có sai! ","")&amp;IF(N($H53)&lt;=0,"Tiền phải &gt; 0! ","")&amp;IF($B53="","Thiếu ngày! ","")&amp;IF(AND(OR(LEFT($F53,3)="131",LEFT($G53,3)="131",LEFT($F53,3)="331",LEFT($G53,3)="331"),$I53=""),"Thiếu Mã ĐT! ","")&amp;IF(AND($I53&lt;&gt;"",COUNTIF(DM_DT!$A$7:$A$306,$I53)=0),"Mã ĐT chưa khai báo! ","")))</f>
        <v/>
      </c>
      <c r="M53" s="117">
        <f>IF($H53="","",IF(AND(OR(LEFT($F53,3)="111",LEFT($F53,3)="112",LEFT($F53,3)="113"),OR(LEFT($G53,3)="111",LEFT($G53,3)="112",LEFT($G53,3)="113")),"NB",IF(OR(LEFT($F53,3)="111",LEFT($F53,3)="112",LEFT($F53,3)="113"),"THU",IF(OR(LEFT($G53,3)="111",LEFT($G53,3)="112",LEFT($G53,3)="113"),"CHI",""))))</f>
        <v/>
      </c>
      <c r="N53" s="117">
        <f>IF($M53="THU",$G53,IF($M53="CHI",$F53,""))</f>
        <v/>
      </c>
      <c r="O53" s="117">
        <f>IF(OR($M53="",$M53="NB"),"",IF($J53&lt;&gt;"",TEXT($J53,"00"),IFERROR(VLOOKUP(LEFT($N53,4),LCTT_MAP!$A$7:$C$66,IF($M53="THU",2,3),FALSE()),IFERROR(VLOOKUP(LEFT($N53,3),LCTT_MAP!$A$7:$C$66,IF($M53="THU",2,3),FALSE()),IFERROR(VLOOKUP(LEFT($N53,2),LCTT_MAP!$A$7:$C$66,IF($M53="THU",2,3),FALSE()),IFERROR(VLOOKUP(LEFT($N53,1),LCTT_MAP!$A$7:$C$66,IF($M53="THU",2,3),FALSE()),IF($M53="THU","06","07")))))))</f>
        <v/>
      </c>
      <c r="P53" s="117">
        <f>P52+IF(AND($H53&lt;&gt;"",OR(LEFT($F53,LEN(SC_TK))=SC_TK,LEFT($G53,LEN(SC_TK))=SC_TK)),1,0)</f>
        <v/>
      </c>
    </row>
    <row r="54" ht="15" customHeight="1" s="78">
      <c r="A54" s="95">
        <f>IF($H54="","",ROW()-6)</f>
        <v/>
      </c>
      <c r="B54" s="114" t="n">
        <v>46378</v>
      </c>
      <c r="C54" s="102" t="inlineStr">
        <is>
          <t>BC006</t>
        </is>
      </c>
      <c r="D54" s="114" t="n">
        <v>46378</v>
      </c>
      <c r="E54" s="103" t="inlineStr">
        <is>
          <t>Đại lý Hòa Bình trả trước tiền hàng</t>
        </is>
      </c>
      <c r="F54" s="102" t="inlineStr">
        <is>
          <t>112</t>
        </is>
      </c>
      <c r="G54" s="102" t="inlineStr">
        <is>
          <t>131</t>
        </is>
      </c>
      <c r="H54" s="115" t="n">
        <v>30000000</v>
      </c>
      <c r="I54" s="102" t="inlineStr">
        <is>
          <t>KH003</t>
        </is>
      </c>
      <c r="J54" s="102" t="n"/>
      <c r="K54" s="103" t="n"/>
      <c r="L54" s="116">
        <f>IF($H54="","",TRIM(IF(COUNTIF(DMTK!$A$7:$A$250,$F54)=0,"TK Nợ sai! ","")&amp;IF(COUNTIF(DMTK!$A$7:$A$250,$G54)=0,"TK Có sai! ","")&amp;IF(N($H54)&lt;=0,"Tiền phải &gt; 0! ","")&amp;IF($B54="","Thiếu ngày! ","")&amp;IF(AND(OR(LEFT($F54,3)="131",LEFT($G54,3)="131",LEFT($F54,3)="331",LEFT($G54,3)="331"),$I54=""),"Thiếu Mã ĐT! ","")&amp;IF(AND($I54&lt;&gt;"",COUNTIF(DM_DT!$A$7:$A$306,$I54)=0),"Mã ĐT chưa khai báo! ","")))</f>
        <v/>
      </c>
      <c r="M54" s="117">
        <f>IF($H54="","",IF(AND(OR(LEFT($F54,3)="111",LEFT($F54,3)="112",LEFT($F54,3)="113"),OR(LEFT($G54,3)="111",LEFT($G54,3)="112",LEFT($G54,3)="113")),"NB",IF(OR(LEFT($F54,3)="111",LEFT($F54,3)="112",LEFT($F54,3)="113"),"THU",IF(OR(LEFT($G54,3)="111",LEFT($G54,3)="112",LEFT($G54,3)="113"),"CHI",""))))</f>
        <v/>
      </c>
      <c r="N54" s="117">
        <f>IF($M54="THU",$G54,IF($M54="CHI",$F54,""))</f>
        <v/>
      </c>
      <c r="O54" s="117">
        <f>IF(OR($M54="",$M54="NB"),"",IF($J54&lt;&gt;"",TEXT($J54,"00"),IFERROR(VLOOKUP(LEFT($N54,4),LCTT_MAP!$A$7:$C$66,IF($M54="THU",2,3),FALSE()),IFERROR(VLOOKUP(LEFT($N54,3),LCTT_MAP!$A$7:$C$66,IF($M54="THU",2,3),FALSE()),IFERROR(VLOOKUP(LEFT($N54,2),LCTT_MAP!$A$7:$C$66,IF($M54="THU",2,3),FALSE()),IFERROR(VLOOKUP(LEFT($N54,1),LCTT_MAP!$A$7:$C$66,IF($M54="THU",2,3),FALSE()),IF($M54="THU","06","07")))))))</f>
        <v/>
      </c>
      <c r="P54" s="117">
        <f>P53+IF(AND($H54&lt;&gt;"",OR(LEFT($F54,LEN(SC_TK))=SC_TK,LEFT($G54,LEN(SC_TK))=SC_TK)),1,0)</f>
        <v/>
      </c>
    </row>
    <row r="55" ht="15" customHeight="1" s="78">
      <c r="A55" s="95">
        <f>IF($H55="","",ROW()-6)</f>
        <v/>
      </c>
      <c r="B55" s="114" t="n">
        <v>46381</v>
      </c>
      <c r="C55" s="102" t="inlineStr">
        <is>
          <t>PT002</t>
        </is>
      </c>
      <c r="D55" s="114" t="n">
        <v>46381</v>
      </c>
      <c r="E55" s="103" t="inlineStr">
        <is>
          <t>Thu bán phế liệu, giấy vụn (thu nhập khác)</t>
        </is>
      </c>
      <c r="F55" s="102" t="inlineStr">
        <is>
          <t>111</t>
        </is>
      </c>
      <c r="G55" s="102" t="inlineStr">
        <is>
          <t>711</t>
        </is>
      </c>
      <c r="H55" s="115" t="n">
        <v>6000000</v>
      </c>
      <c r="I55" s="102" t="n"/>
      <c r="J55" s="102" t="n"/>
      <c r="K55" s="103" t="n"/>
      <c r="L55" s="116">
        <f>IF($H55="","",TRIM(IF(COUNTIF(DMTK!$A$7:$A$250,$F55)=0,"TK Nợ sai! ","")&amp;IF(COUNTIF(DMTK!$A$7:$A$250,$G55)=0,"TK Có sai! ","")&amp;IF(N($H55)&lt;=0,"Tiền phải &gt; 0! ","")&amp;IF($B55="","Thiếu ngày! ","")&amp;IF(AND(OR(LEFT($F55,3)="131",LEFT($G55,3)="131",LEFT($F55,3)="331",LEFT($G55,3)="331"),$I55=""),"Thiếu Mã ĐT! ","")&amp;IF(AND($I55&lt;&gt;"",COUNTIF(DM_DT!$A$7:$A$306,$I55)=0),"Mã ĐT chưa khai báo! ","")))</f>
        <v/>
      </c>
      <c r="M55" s="117">
        <f>IF($H55="","",IF(AND(OR(LEFT($F55,3)="111",LEFT($F55,3)="112",LEFT($F55,3)="113"),OR(LEFT($G55,3)="111",LEFT($G55,3)="112",LEFT($G55,3)="113")),"NB",IF(OR(LEFT($F55,3)="111",LEFT($F55,3)="112",LEFT($F55,3)="113"),"THU",IF(OR(LEFT($G55,3)="111",LEFT($G55,3)="112",LEFT($G55,3)="113"),"CHI",""))))</f>
        <v/>
      </c>
      <c r="N55" s="117">
        <f>IF($M55="THU",$G55,IF($M55="CHI",$F55,""))</f>
        <v/>
      </c>
      <c r="O55" s="117">
        <f>IF(OR($M55="",$M55="NB"),"",IF($J55&lt;&gt;"",TEXT($J55,"00"),IFERROR(VLOOKUP(LEFT($N55,4),LCTT_MAP!$A$7:$C$66,IF($M55="THU",2,3),FALSE()),IFERROR(VLOOKUP(LEFT($N55,3),LCTT_MAP!$A$7:$C$66,IF($M55="THU",2,3),FALSE()),IFERROR(VLOOKUP(LEFT($N55,2),LCTT_MAP!$A$7:$C$66,IF($M55="THU",2,3),FALSE()),IFERROR(VLOOKUP(LEFT($N55,1),LCTT_MAP!$A$7:$C$66,IF($M55="THU",2,3),FALSE()),IF($M55="THU","06","07")))))))</f>
        <v/>
      </c>
      <c r="P55" s="117">
        <f>P54+IF(AND($H55&lt;&gt;"",OR(LEFT($F55,LEN(SC_TK))=SC_TK,LEFT($G55,LEN(SC_TK))=SC_TK)),1,0)</f>
        <v/>
      </c>
    </row>
    <row r="56" ht="15" customHeight="1" s="78">
      <c r="A56" s="95">
        <f>IF($H56="","",ROW()-6)</f>
        <v/>
      </c>
      <c r="B56" s="114" t="n">
        <v>46384</v>
      </c>
      <c r="C56" s="102" t="inlineStr">
        <is>
          <t>PC003</t>
        </is>
      </c>
      <c r="D56" s="114" t="n">
        <v>46384</v>
      </c>
      <c r="E56" s="103" t="inlineStr">
        <is>
          <t>Nộp phạt vi phạm hành chính (không được trừ thuế TNDN)</t>
        </is>
      </c>
      <c r="F56" s="102" t="inlineStr">
        <is>
          <t>811</t>
        </is>
      </c>
      <c r="G56" s="102" t="inlineStr">
        <is>
          <t>111</t>
        </is>
      </c>
      <c r="H56" s="115" t="n">
        <v>3000000</v>
      </c>
      <c r="I56" s="102" t="n"/>
      <c r="J56" s="102" t="n"/>
      <c r="K56" s="103" t="n"/>
      <c r="L56" s="116">
        <f>IF($H56="","",TRIM(IF(COUNTIF(DMTK!$A$7:$A$250,$F56)=0,"TK Nợ sai! ","")&amp;IF(COUNTIF(DMTK!$A$7:$A$250,$G56)=0,"TK Có sai! ","")&amp;IF(N($H56)&lt;=0,"Tiền phải &gt; 0! ","")&amp;IF($B56="","Thiếu ngày! ","")&amp;IF(AND(OR(LEFT($F56,3)="131",LEFT($G56,3)="131",LEFT($F56,3)="331",LEFT($G56,3)="331"),$I56=""),"Thiếu Mã ĐT! ","")&amp;IF(AND($I56&lt;&gt;"",COUNTIF(DM_DT!$A$7:$A$306,$I56)=0),"Mã ĐT chưa khai báo! ","")))</f>
        <v/>
      </c>
      <c r="M56" s="117">
        <f>IF($H56="","",IF(AND(OR(LEFT($F56,3)="111",LEFT($F56,3)="112",LEFT($F56,3)="113"),OR(LEFT($G56,3)="111",LEFT($G56,3)="112",LEFT($G56,3)="113")),"NB",IF(OR(LEFT($F56,3)="111",LEFT($F56,3)="112",LEFT($F56,3)="113"),"THU",IF(OR(LEFT($G56,3)="111",LEFT($G56,3)="112",LEFT($G56,3)="113"),"CHI",""))))</f>
        <v/>
      </c>
      <c r="N56" s="117">
        <f>IF($M56="THU",$G56,IF($M56="CHI",$F56,""))</f>
        <v/>
      </c>
      <c r="O56" s="117">
        <f>IF(OR($M56="",$M56="NB"),"",IF($J56&lt;&gt;"",TEXT($J56,"00"),IFERROR(VLOOKUP(LEFT($N56,4),LCTT_MAP!$A$7:$C$66,IF($M56="THU",2,3),FALSE()),IFERROR(VLOOKUP(LEFT($N56,3),LCTT_MAP!$A$7:$C$66,IF($M56="THU",2,3),FALSE()),IFERROR(VLOOKUP(LEFT($N56,2),LCTT_MAP!$A$7:$C$66,IF($M56="THU",2,3),FALSE()),IFERROR(VLOOKUP(LEFT($N56,1),LCTT_MAP!$A$7:$C$66,IF($M56="THU",2,3),FALSE()),IF($M56="THU","06","07")))))))</f>
        <v/>
      </c>
      <c r="P56" s="117">
        <f>P55+IF(AND($H56&lt;&gt;"",OR(LEFT($F56,LEN(SC_TK))=SC_TK,LEFT($G56,LEN(SC_TK))=SC_TK)),1,0)</f>
        <v/>
      </c>
    </row>
    <row r="57" ht="15" customHeight="1" s="78">
      <c r="A57" s="95">
        <f>IF($H57="","",ROW()-6)</f>
        <v/>
      </c>
      <c r="B57" s="114" t="n">
        <v>46387</v>
      </c>
      <c r="C57" s="102" t="inlineStr">
        <is>
          <t>PKT006</t>
        </is>
      </c>
      <c r="D57" s="114" t="n">
        <v>46387</v>
      </c>
      <c r="E57" s="103" t="inlineStr">
        <is>
          <t>Khấu hao TSCĐ quý 4</t>
        </is>
      </c>
      <c r="F57" s="102" t="inlineStr">
        <is>
          <t>6424</t>
        </is>
      </c>
      <c r="G57" s="102" t="inlineStr">
        <is>
          <t>2141</t>
        </is>
      </c>
      <c r="H57" s="115" t="n">
        <v>27000000</v>
      </c>
      <c r="I57" s="102" t="n"/>
      <c r="J57" s="102" t="n"/>
      <c r="K57" s="103" t="n"/>
      <c r="L57" s="116">
        <f>IF($H57="","",TRIM(IF(COUNTIF(DMTK!$A$7:$A$250,$F57)=0,"TK Nợ sai! ","")&amp;IF(COUNTIF(DMTK!$A$7:$A$250,$G57)=0,"TK Có sai! ","")&amp;IF(N($H57)&lt;=0,"Tiền phải &gt; 0! ","")&amp;IF($B57="","Thiếu ngày! ","")&amp;IF(AND(OR(LEFT($F57,3)="131",LEFT($G57,3)="131",LEFT($F57,3)="331",LEFT($G57,3)="331"),$I57=""),"Thiếu Mã ĐT! ","")&amp;IF(AND($I57&lt;&gt;"",COUNTIF(DM_DT!$A$7:$A$306,$I57)=0),"Mã ĐT chưa khai báo! ","")))</f>
        <v/>
      </c>
      <c r="M57" s="117">
        <f>IF($H57="","",IF(AND(OR(LEFT($F57,3)="111",LEFT($F57,3)="112",LEFT($F57,3)="113"),OR(LEFT($G57,3)="111",LEFT($G57,3)="112",LEFT($G57,3)="113")),"NB",IF(OR(LEFT($F57,3)="111",LEFT($F57,3)="112",LEFT($F57,3)="113"),"THU",IF(OR(LEFT($G57,3)="111",LEFT($G57,3)="112",LEFT($G57,3)="113"),"CHI",""))))</f>
        <v/>
      </c>
      <c r="N57" s="117">
        <f>IF($M57="THU",$G57,IF($M57="CHI",$F57,""))</f>
        <v/>
      </c>
      <c r="O57" s="117">
        <f>IF(OR($M57="",$M57="NB"),"",IF($J57&lt;&gt;"",TEXT($J57,"00"),IFERROR(VLOOKUP(LEFT($N57,4),LCTT_MAP!$A$7:$C$66,IF($M57="THU",2,3),FALSE()),IFERROR(VLOOKUP(LEFT($N57,3),LCTT_MAP!$A$7:$C$66,IF($M57="THU",2,3),FALSE()),IFERROR(VLOOKUP(LEFT($N57,2),LCTT_MAP!$A$7:$C$66,IF($M57="THU",2,3),FALSE()),IFERROR(VLOOKUP(LEFT($N57,1),LCTT_MAP!$A$7:$C$66,IF($M57="THU",2,3),FALSE()),IF($M57="THU","06","07")))))))</f>
        <v/>
      </c>
      <c r="P57" s="117">
        <f>P56+IF(AND($H57&lt;&gt;"",OR(LEFT($F57,LEN(SC_TK))=SC_TK,LEFT($G57,LEN(SC_TK))=SC_TK)),1,0)</f>
        <v/>
      </c>
    </row>
    <row r="58" ht="15" customHeight="1" s="78">
      <c r="A58" s="95">
        <f>IF($H58="","",ROW()-6)</f>
        <v/>
      </c>
      <c r="B58" s="114" t="n">
        <v>46387</v>
      </c>
      <c r="C58" s="102" t="inlineStr">
        <is>
          <t>PKT007</t>
        </is>
      </c>
      <c r="D58" s="114" t="n">
        <v>46387</v>
      </c>
      <c r="E58" s="103" t="inlineStr">
        <is>
          <t>Phân bổ chi phí thuê văn phòng trả trước (6T cuối năm)</t>
        </is>
      </c>
      <c r="F58" s="102" t="inlineStr">
        <is>
          <t>6427</t>
        </is>
      </c>
      <c r="G58" s="102" t="inlineStr">
        <is>
          <t>242</t>
        </is>
      </c>
      <c r="H58" s="115" t="n">
        <v>18000000</v>
      </c>
      <c r="I58" s="102" t="n"/>
      <c r="J58" s="102" t="n"/>
      <c r="K58" s="103" t="n"/>
      <c r="L58" s="116">
        <f>IF($H58="","",TRIM(IF(COUNTIF(DMTK!$A$7:$A$250,$F58)=0,"TK Nợ sai! ","")&amp;IF(COUNTIF(DMTK!$A$7:$A$250,$G58)=0,"TK Có sai! ","")&amp;IF(N($H58)&lt;=0,"Tiền phải &gt; 0! ","")&amp;IF($B58="","Thiếu ngày! ","")&amp;IF(AND(OR(LEFT($F58,3)="131",LEFT($G58,3)="131",LEFT($F58,3)="331",LEFT($G58,3)="331"),$I58=""),"Thiếu Mã ĐT! ","")&amp;IF(AND($I58&lt;&gt;"",COUNTIF(DM_DT!$A$7:$A$306,$I58)=0),"Mã ĐT chưa khai báo! ","")))</f>
        <v/>
      </c>
      <c r="M58" s="117">
        <f>IF($H58="","",IF(AND(OR(LEFT($F58,3)="111",LEFT($F58,3)="112",LEFT($F58,3)="113"),OR(LEFT($G58,3)="111",LEFT($G58,3)="112",LEFT($G58,3)="113")),"NB",IF(OR(LEFT($F58,3)="111",LEFT($F58,3)="112",LEFT($F58,3)="113"),"THU",IF(OR(LEFT($G58,3)="111",LEFT($G58,3)="112",LEFT($G58,3)="113"),"CHI",""))))</f>
        <v/>
      </c>
      <c r="N58" s="117">
        <f>IF($M58="THU",$G58,IF($M58="CHI",$F58,""))</f>
        <v/>
      </c>
      <c r="O58" s="117">
        <f>IF(OR($M58="",$M58="NB"),"",IF($J58&lt;&gt;"",TEXT($J58,"00"),IFERROR(VLOOKUP(LEFT($N58,4),LCTT_MAP!$A$7:$C$66,IF($M58="THU",2,3),FALSE()),IFERROR(VLOOKUP(LEFT($N58,3),LCTT_MAP!$A$7:$C$66,IF($M58="THU",2,3),FALSE()),IFERROR(VLOOKUP(LEFT($N58,2),LCTT_MAP!$A$7:$C$66,IF($M58="THU",2,3),FALSE()),IFERROR(VLOOKUP(LEFT($N58,1),LCTT_MAP!$A$7:$C$66,IF($M58="THU",2,3),FALSE()),IF($M58="THU","06","07")))))))</f>
        <v/>
      </c>
      <c r="P58" s="117">
        <f>P57+IF(AND($H58&lt;&gt;"",OR(LEFT($F58,LEN(SC_TK))=SC_TK,LEFT($G58,LEN(SC_TK))=SC_TK)),1,0)</f>
        <v/>
      </c>
    </row>
    <row r="59" ht="15" customHeight="1" s="78">
      <c r="A59" s="95">
        <f>IF($H59="","",ROW()-6)</f>
        <v/>
      </c>
      <c r="B59" s="114" t="n">
        <v>46387</v>
      </c>
      <c r="C59" s="102" t="inlineStr">
        <is>
          <t>PKT008</t>
        </is>
      </c>
      <c r="D59" s="114" t="n">
        <v>46387</v>
      </c>
      <c r="E59" s="103" t="inlineStr">
        <is>
          <t>Trích trước lãi vay phải trả chưa đến hạn thanh toán</t>
        </is>
      </c>
      <c r="F59" s="102" t="inlineStr">
        <is>
          <t>635</t>
        </is>
      </c>
      <c r="G59" s="102" t="inlineStr">
        <is>
          <t>335</t>
        </is>
      </c>
      <c r="H59" s="115" t="n">
        <v>6000000</v>
      </c>
      <c r="I59" s="102" t="n"/>
      <c r="J59" s="102" t="n"/>
      <c r="K59" s="103" t="n"/>
      <c r="L59" s="116">
        <f>IF($H59="","",TRIM(IF(COUNTIF(DMTK!$A$7:$A$250,$F59)=0,"TK Nợ sai! ","")&amp;IF(COUNTIF(DMTK!$A$7:$A$250,$G59)=0,"TK Có sai! ","")&amp;IF(N($H59)&lt;=0,"Tiền phải &gt; 0! ","")&amp;IF($B59="","Thiếu ngày! ","")&amp;IF(AND(OR(LEFT($F59,3)="131",LEFT($G59,3)="131",LEFT($F59,3)="331",LEFT($G59,3)="331"),$I59=""),"Thiếu Mã ĐT! ","")&amp;IF(AND($I59&lt;&gt;"",COUNTIF(DM_DT!$A$7:$A$306,$I59)=0),"Mã ĐT chưa khai báo! ","")))</f>
        <v/>
      </c>
      <c r="M59" s="117">
        <f>IF($H59="","",IF(AND(OR(LEFT($F59,3)="111",LEFT($F59,3)="112",LEFT($F59,3)="113"),OR(LEFT($G59,3)="111",LEFT($G59,3)="112",LEFT($G59,3)="113")),"NB",IF(OR(LEFT($F59,3)="111",LEFT($F59,3)="112",LEFT($F59,3)="113"),"THU",IF(OR(LEFT($G59,3)="111",LEFT($G59,3)="112",LEFT($G59,3)="113"),"CHI",""))))</f>
        <v/>
      </c>
      <c r="N59" s="117">
        <f>IF($M59="THU",$G59,IF($M59="CHI",$F59,""))</f>
        <v/>
      </c>
      <c r="O59" s="117">
        <f>IF(OR($M59="",$M59="NB"),"",IF($J59&lt;&gt;"",TEXT($J59,"00"),IFERROR(VLOOKUP(LEFT($N59,4),LCTT_MAP!$A$7:$C$66,IF($M59="THU",2,3),FALSE()),IFERROR(VLOOKUP(LEFT($N59,3),LCTT_MAP!$A$7:$C$66,IF($M59="THU",2,3),FALSE()),IFERROR(VLOOKUP(LEFT($N59,2),LCTT_MAP!$A$7:$C$66,IF($M59="THU",2,3),FALSE()),IFERROR(VLOOKUP(LEFT($N59,1),LCTT_MAP!$A$7:$C$66,IF($M59="THU",2,3),FALSE()),IF($M59="THU","06","07")))))))</f>
        <v/>
      </c>
      <c r="P59" s="117">
        <f>P58+IF(AND($H59&lt;&gt;"",OR(LEFT($F59,LEN(SC_TK))=SC_TK,LEFT($G59,LEN(SC_TK))=SC_TK)),1,0)</f>
        <v/>
      </c>
    </row>
    <row r="60" ht="15" customHeight="1" s="78">
      <c r="A60" s="95">
        <f>IF($H60="","",ROW()-6)</f>
        <v/>
      </c>
      <c r="B60" s="114" t="n">
        <v>46387</v>
      </c>
      <c r="C60" s="102" t="inlineStr">
        <is>
          <t>PKT009</t>
        </is>
      </c>
      <c r="D60" s="114" t="n">
        <v>46387</v>
      </c>
      <c r="E60" s="103" t="inlineStr">
        <is>
          <t>Khấu trừ thuế GTGT đầu vào HHDV với đầu ra</t>
        </is>
      </c>
      <c r="F60" s="102" t="inlineStr">
        <is>
          <t>33311</t>
        </is>
      </c>
      <c r="G60" s="102" t="inlineStr">
        <is>
          <t>1331</t>
        </is>
      </c>
      <c r="H60" s="115" t="n">
        <v>12400000</v>
      </c>
      <c r="I60" s="102" t="n"/>
      <c r="J60" s="102" t="n"/>
      <c r="K60" s="103" t="n"/>
      <c r="L60" s="116">
        <f>IF($H60="","",TRIM(IF(COUNTIF(DMTK!$A$7:$A$250,$F60)=0,"TK Nợ sai! ","")&amp;IF(COUNTIF(DMTK!$A$7:$A$250,$G60)=0,"TK Có sai! ","")&amp;IF(N($H60)&lt;=0,"Tiền phải &gt; 0! ","")&amp;IF($B60="","Thiếu ngày! ","")&amp;IF(AND(OR(LEFT($F60,3)="131",LEFT($G60,3)="131",LEFT($F60,3)="331",LEFT($G60,3)="331"),$I60=""),"Thiếu Mã ĐT! ","")&amp;IF(AND($I60&lt;&gt;"",COUNTIF(DM_DT!$A$7:$A$306,$I60)=0),"Mã ĐT chưa khai báo! ","")))</f>
        <v/>
      </c>
      <c r="M60" s="117">
        <f>IF($H60="","",IF(AND(OR(LEFT($F60,3)="111",LEFT($F60,3)="112",LEFT($F60,3)="113"),OR(LEFT($G60,3)="111",LEFT($G60,3)="112",LEFT($G60,3)="113")),"NB",IF(OR(LEFT($F60,3)="111",LEFT($F60,3)="112",LEFT($F60,3)="113"),"THU",IF(OR(LEFT($G60,3)="111",LEFT($G60,3)="112",LEFT($G60,3)="113"),"CHI",""))))</f>
        <v/>
      </c>
      <c r="N60" s="117">
        <f>IF($M60="THU",$G60,IF($M60="CHI",$F60,""))</f>
        <v/>
      </c>
      <c r="O60" s="117">
        <f>IF(OR($M60="",$M60="NB"),"",IF($J60&lt;&gt;"",TEXT($J60,"00"),IFERROR(VLOOKUP(LEFT($N60,4),LCTT_MAP!$A$7:$C$66,IF($M60="THU",2,3),FALSE()),IFERROR(VLOOKUP(LEFT($N60,3),LCTT_MAP!$A$7:$C$66,IF($M60="THU",2,3),FALSE()),IFERROR(VLOOKUP(LEFT($N60,2),LCTT_MAP!$A$7:$C$66,IF($M60="THU",2,3),FALSE()),IFERROR(VLOOKUP(LEFT($N60,1),LCTT_MAP!$A$7:$C$66,IF($M60="THU",2,3),FALSE()),IF($M60="THU","06","07")))))))</f>
        <v/>
      </c>
      <c r="P60" s="117">
        <f>P59+IF(AND($H60&lt;&gt;"",OR(LEFT($F60,LEN(SC_TK))=SC_TK,LEFT($G60,LEN(SC_TK))=SC_TK)),1,0)</f>
        <v/>
      </c>
    </row>
    <row r="61" ht="15" customHeight="1" s="78">
      <c r="A61" s="95">
        <f>IF($H61="","",ROW()-6)</f>
        <v/>
      </c>
      <c r="B61" s="114" t="n">
        <v>46387</v>
      </c>
      <c r="C61" s="102" t="inlineStr">
        <is>
          <t>PKT009</t>
        </is>
      </c>
      <c r="D61" s="114" t="n">
        <v>46387</v>
      </c>
      <c r="E61" s="103" t="inlineStr">
        <is>
          <t>Khấu trừ thuế GTGT đầu vào TSCĐ với đầu ra</t>
        </is>
      </c>
      <c r="F61" s="102" t="inlineStr">
        <is>
          <t>33311</t>
        </is>
      </c>
      <c r="G61" s="102" t="inlineStr">
        <is>
          <t>1332</t>
        </is>
      </c>
      <c r="H61" s="115" t="n">
        <v>19200000</v>
      </c>
      <c r="I61" s="102" t="n"/>
      <c r="J61" s="102" t="n"/>
      <c r="K61" s="103" t="n"/>
      <c r="L61" s="116">
        <f>IF($H61="","",TRIM(IF(COUNTIF(DMTK!$A$7:$A$250,$F61)=0,"TK Nợ sai! ","")&amp;IF(COUNTIF(DMTK!$A$7:$A$250,$G61)=0,"TK Có sai! ","")&amp;IF(N($H61)&lt;=0,"Tiền phải &gt; 0! ","")&amp;IF($B61="","Thiếu ngày! ","")&amp;IF(AND(OR(LEFT($F61,3)="131",LEFT($G61,3)="131",LEFT($F61,3)="331",LEFT($G61,3)="331"),$I61=""),"Thiếu Mã ĐT! ","")&amp;IF(AND($I61&lt;&gt;"",COUNTIF(DM_DT!$A$7:$A$306,$I61)=0),"Mã ĐT chưa khai báo! ","")))</f>
        <v/>
      </c>
      <c r="M61" s="117">
        <f>IF($H61="","",IF(AND(OR(LEFT($F61,3)="111",LEFT($F61,3)="112",LEFT($F61,3)="113"),OR(LEFT($G61,3)="111",LEFT($G61,3)="112",LEFT($G61,3)="113")),"NB",IF(OR(LEFT($F61,3)="111",LEFT($F61,3)="112",LEFT($F61,3)="113"),"THU",IF(OR(LEFT($G61,3)="111",LEFT($G61,3)="112",LEFT($G61,3)="113"),"CHI",""))))</f>
        <v/>
      </c>
      <c r="N61" s="117">
        <f>IF($M61="THU",$G61,IF($M61="CHI",$F61,""))</f>
        <v/>
      </c>
      <c r="O61" s="117">
        <f>IF(OR($M61="",$M61="NB"),"",IF($J61&lt;&gt;"",TEXT($J61,"00"),IFERROR(VLOOKUP(LEFT($N61,4),LCTT_MAP!$A$7:$C$66,IF($M61="THU",2,3),FALSE()),IFERROR(VLOOKUP(LEFT($N61,3),LCTT_MAP!$A$7:$C$66,IF($M61="THU",2,3),FALSE()),IFERROR(VLOOKUP(LEFT($N61,2),LCTT_MAP!$A$7:$C$66,IF($M61="THU",2,3),FALSE()),IFERROR(VLOOKUP(LEFT($N61,1),LCTT_MAP!$A$7:$C$66,IF($M61="THU",2,3),FALSE()),IF($M61="THU","06","07")))))))</f>
        <v/>
      </c>
      <c r="P61" s="117">
        <f>P60+IF(AND($H61&lt;&gt;"",OR(LEFT($F61,LEN(SC_TK))=SC_TK,LEFT($G61,LEN(SC_TK))=SC_TK)),1,0)</f>
        <v/>
      </c>
    </row>
    <row r="62" ht="25.35" customHeight="1" s="78">
      <c r="A62" s="95">
        <f>IF($H62="","",ROW()-6)</f>
        <v/>
      </c>
      <c r="B62" s="114" t="n">
        <v>46387</v>
      </c>
      <c r="C62" s="102" t="inlineStr">
        <is>
          <t>PKT010</t>
        </is>
      </c>
      <c r="D62" s="114" t="n">
        <v>46387</v>
      </c>
      <c r="E62" s="103" t="inlineStr">
        <is>
          <t>Chi phí thuế TNDN năm 2026 (thuế suất 15% - DN doanh thu ≤ 3 tỷ)</t>
        </is>
      </c>
      <c r="F62" s="102" t="inlineStr">
        <is>
          <t>82111</t>
        </is>
      </c>
      <c r="G62" s="102" t="inlineStr">
        <is>
          <t>3334</t>
        </is>
      </c>
      <c r="H62" s="115" t="n">
        <v>13308750</v>
      </c>
      <c r="I62" s="102" t="n"/>
      <c r="J62" s="102" t="n"/>
      <c r="K62" s="103" t="n"/>
      <c r="L62" s="116">
        <f>IF($H62="","",TRIM(IF(COUNTIF(DMTK!$A$7:$A$250,$F62)=0,"TK Nợ sai! ","")&amp;IF(COUNTIF(DMTK!$A$7:$A$250,$G62)=0,"TK Có sai! ","")&amp;IF(N($H62)&lt;=0,"Tiền phải &gt; 0! ","")&amp;IF($B62="","Thiếu ngày! ","")&amp;IF(AND(OR(LEFT($F62,3)="131",LEFT($G62,3)="131",LEFT($F62,3)="331",LEFT($G62,3)="331"),$I62=""),"Thiếu Mã ĐT! ","")&amp;IF(AND($I62&lt;&gt;"",COUNTIF(DM_DT!$A$7:$A$306,$I62)=0),"Mã ĐT chưa khai báo! ","")))</f>
        <v/>
      </c>
      <c r="M62" s="117">
        <f>IF($H62="","",IF(AND(OR(LEFT($F62,3)="111",LEFT($F62,3)="112",LEFT($F62,3)="113"),OR(LEFT($G62,3)="111",LEFT($G62,3)="112",LEFT($G62,3)="113")),"NB",IF(OR(LEFT($F62,3)="111",LEFT($F62,3)="112",LEFT($F62,3)="113"),"THU",IF(OR(LEFT($G62,3)="111",LEFT($G62,3)="112",LEFT($G62,3)="113"),"CHI",""))))</f>
        <v/>
      </c>
      <c r="N62" s="117">
        <f>IF($M62="THU",$G62,IF($M62="CHI",$F62,""))</f>
        <v/>
      </c>
      <c r="O62" s="117">
        <f>IF(OR($M62="",$M62="NB"),"",IF($J62&lt;&gt;"",TEXT($J62,"00"),IFERROR(VLOOKUP(LEFT($N62,4),LCTT_MAP!$A$7:$C$66,IF($M62="THU",2,3),FALSE()),IFERROR(VLOOKUP(LEFT($N62,3),LCTT_MAP!$A$7:$C$66,IF($M62="THU",2,3),FALSE()),IFERROR(VLOOKUP(LEFT($N62,2),LCTT_MAP!$A$7:$C$66,IF($M62="THU",2,3),FALSE()),IFERROR(VLOOKUP(LEFT($N62,1),LCTT_MAP!$A$7:$C$66,IF($M62="THU",2,3),FALSE()),IF($M62="THU","06","07")))))))</f>
        <v/>
      </c>
      <c r="P62" s="117">
        <f>P61+IF(AND($H62&lt;&gt;"",OR(LEFT($F62,LEN(SC_TK))=SC_TK,LEFT($G62,LEN(SC_TK))=SC_TK)),1,0)</f>
        <v/>
      </c>
    </row>
    <row r="63" ht="15" customHeight="1" s="78">
      <c r="A63" s="95">
        <f>IF($H63="","",ROW()-6)</f>
        <v/>
      </c>
      <c r="B63" s="114" t="n"/>
      <c r="C63" s="102" t="n"/>
      <c r="D63" s="114" t="n"/>
      <c r="E63" s="103" t="n"/>
      <c r="F63" s="102" t="n"/>
      <c r="G63" s="102" t="n"/>
      <c r="H63" s="115" t="n"/>
      <c r="I63" s="102" t="n"/>
      <c r="J63" s="102" t="n"/>
      <c r="K63" s="103" t="n"/>
      <c r="L63" s="116">
        <f>IF($H63="","",TRIM(IF(COUNTIF(DMTK!$A$7:$A$250,$F63)=0,"TK Nợ sai! ","")&amp;IF(COUNTIF(DMTK!$A$7:$A$250,$G63)=0,"TK Có sai! ","")&amp;IF(N($H63)&lt;=0,"Tiền phải &gt; 0! ","")&amp;IF($B63="","Thiếu ngày! ","")&amp;IF(AND(OR(LEFT($F63,3)="131",LEFT($G63,3)="131",LEFT($F63,3)="331",LEFT($G63,3)="331"),$I63=""),"Thiếu Mã ĐT! ","")&amp;IF(AND($I63&lt;&gt;"",COUNTIF(DM_DT!$A$7:$A$306,$I63)=0),"Mã ĐT chưa khai báo! ","")))</f>
        <v/>
      </c>
      <c r="M63" s="117">
        <f>IF($H63="","",IF(AND(OR(LEFT($F63,3)="111",LEFT($F63,3)="112",LEFT($F63,3)="113"),OR(LEFT($G63,3)="111",LEFT($G63,3)="112",LEFT($G63,3)="113")),"NB",IF(OR(LEFT($F63,3)="111",LEFT($F63,3)="112",LEFT($F63,3)="113"),"THU",IF(OR(LEFT($G63,3)="111",LEFT($G63,3)="112",LEFT($G63,3)="113"),"CHI",""))))</f>
        <v/>
      </c>
      <c r="N63" s="117">
        <f>IF($M63="THU",$G63,IF($M63="CHI",$F63,""))</f>
        <v/>
      </c>
      <c r="O63" s="117">
        <f>IF(OR($M63="",$M63="NB"),"",IF($J63&lt;&gt;"",TEXT($J63,"00"),IFERROR(VLOOKUP(LEFT($N63,4),LCTT_MAP!$A$7:$C$66,IF($M63="THU",2,3),FALSE()),IFERROR(VLOOKUP(LEFT($N63,3),LCTT_MAP!$A$7:$C$66,IF($M63="THU",2,3),FALSE()),IFERROR(VLOOKUP(LEFT($N63,2),LCTT_MAP!$A$7:$C$66,IF($M63="THU",2,3),FALSE()),IFERROR(VLOOKUP(LEFT($N63,1),LCTT_MAP!$A$7:$C$66,IF($M63="THU",2,3),FALSE()),IF($M63="THU","06","07")))))))</f>
        <v/>
      </c>
      <c r="P63" s="117">
        <f>P62+IF(AND($H63&lt;&gt;"",OR(LEFT($F63,LEN(SC_TK))=SC_TK,LEFT($G63,LEN(SC_TK))=SC_TK)),1,0)</f>
        <v/>
      </c>
    </row>
    <row r="64" ht="15" customHeight="1" s="78">
      <c r="A64" s="95">
        <f>IF($H64="","",ROW()-6)</f>
        <v/>
      </c>
      <c r="B64" s="114" t="n"/>
      <c r="C64" s="102" t="n"/>
      <c r="D64" s="114" t="n"/>
      <c r="E64" s="103" t="n"/>
      <c r="F64" s="102" t="n"/>
      <c r="G64" s="102" t="n"/>
      <c r="H64" s="115" t="n"/>
      <c r="I64" s="102" t="n"/>
      <c r="J64" s="102" t="n"/>
      <c r="K64" s="103" t="n"/>
      <c r="L64" s="116">
        <f>IF($H64="","",TRIM(IF(COUNTIF(DMTK!$A$7:$A$250,$F64)=0,"TK Nợ sai! ","")&amp;IF(COUNTIF(DMTK!$A$7:$A$250,$G64)=0,"TK Có sai! ","")&amp;IF(N($H64)&lt;=0,"Tiền phải &gt; 0! ","")&amp;IF($B64="","Thiếu ngày! ","")&amp;IF(AND(OR(LEFT($F64,3)="131",LEFT($G64,3)="131",LEFT($F64,3)="331",LEFT($G64,3)="331"),$I64=""),"Thiếu Mã ĐT! ","")&amp;IF(AND($I64&lt;&gt;"",COUNTIF(DM_DT!$A$7:$A$306,$I64)=0),"Mã ĐT chưa khai báo! ","")))</f>
        <v/>
      </c>
      <c r="M64" s="117">
        <f>IF($H64="","",IF(AND(OR(LEFT($F64,3)="111",LEFT($F64,3)="112",LEFT($F64,3)="113"),OR(LEFT($G64,3)="111",LEFT($G64,3)="112",LEFT($G64,3)="113")),"NB",IF(OR(LEFT($F64,3)="111",LEFT($F64,3)="112",LEFT($F64,3)="113"),"THU",IF(OR(LEFT($G64,3)="111",LEFT($G64,3)="112",LEFT($G64,3)="113"),"CHI",""))))</f>
        <v/>
      </c>
      <c r="N64" s="117">
        <f>IF($M64="THU",$G64,IF($M64="CHI",$F64,""))</f>
        <v/>
      </c>
      <c r="O64" s="117">
        <f>IF(OR($M64="",$M64="NB"),"",IF($J64&lt;&gt;"",TEXT($J64,"00"),IFERROR(VLOOKUP(LEFT($N64,4),LCTT_MAP!$A$7:$C$66,IF($M64="THU",2,3),FALSE()),IFERROR(VLOOKUP(LEFT($N64,3),LCTT_MAP!$A$7:$C$66,IF($M64="THU",2,3),FALSE()),IFERROR(VLOOKUP(LEFT($N64,2),LCTT_MAP!$A$7:$C$66,IF($M64="THU",2,3),FALSE()),IFERROR(VLOOKUP(LEFT($N64,1),LCTT_MAP!$A$7:$C$66,IF($M64="THU",2,3),FALSE()),IF($M64="THU","06","07")))))))</f>
        <v/>
      </c>
      <c r="P64" s="117">
        <f>P63+IF(AND($H64&lt;&gt;"",OR(LEFT($F64,LEN(SC_TK))=SC_TK,LEFT($G64,LEN(SC_TK))=SC_TK)),1,0)</f>
        <v/>
      </c>
    </row>
    <row r="65" ht="15" customHeight="1" s="78">
      <c r="A65" s="95">
        <f>IF($H65="","",ROW()-6)</f>
        <v/>
      </c>
      <c r="B65" s="114" t="n"/>
      <c r="C65" s="102" t="n"/>
      <c r="D65" s="114" t="n"/>
      <c r="E65" s="103" t="n"/>
      <c r="F65" s="102" t="n"/>
      <c r="G65" s="102" t="n"/>
      <c r="H65" s="115" t="n"/>
      <c r="I65" s="102" t="n"/>
      <c r="J65" s="102" t="n"/>
      <c r="K65" s="103" t="n"/>
      <c r="L65" s="116">
        <f>IF($H65="","",TRIM(IF(COUNTIF(DMTK!$A$7:$A$250,$F65)=0,"TK Nợ sai! ","")&amp;IF(COUNTIF(DMTK!$A$7:$A$250,$G65)=0,"TK Có sai! ","")&amp;IF(N($H65)&lt;=0,"Tiền phải &gt; 0! ","")&amp;IF($B65="","Thiếu ngày! ","")&amp;IF(AND(OR(LEFT($F65,3)="131",LEFT($G65,3)="131",LEFT($F65,3)="331",LEFT($G65,3)="331"),$I65=""),"Thiếu Mã ĐT! ","")&amp;IF(AND($I65&lt;&gt;"",COUNTIF(DM_DT!$A$7:$A$306,$I65)=0),"Mã ĐT chưa khai báo! ","")))</f>
        <v/>
      </c>
      <c r="M65" s="117">
        <f>IF($H65="","",IF(AND(OR(LEFT($F65,3)="111",LEFT($F65,3)="112",LEFT($F65,3)="113"),OR(LEFT($G65,3)="111",LEFT($G65,3)="112",LEFT($G65,3)="113")),"NB",IF(OR(LEFT($F65,3)="111",LEFT($F65,3)="112",LEFT($F65,3)="113"),"THU",IF(OR(LEFT($G65,3)="111",LEFT($G65,3)="112",LEFT($G65,3)="113"),"CHI",""))))</f>
        <v/>
      </c>
      <c r="N65" s="117">
        <f>IF($M65="THU",$G65,IF($M65="CHI",$F65,""))</f>
        <v/>
      </c>
      <c r="O65" s="117">
        <f>IF(OR($M65="",$M65="NB"),"",IF($J65&lt;&gt;"",TEXT($J65,"00"),IFERROR(VLOOKUP(LEFT($N65,4),LCTT_MAP!$A$7:$C$66,IF($M65="THU",2,3),FALSE()),IFERROR(VLOOKUP(LEFT($N65,3),LCTT_MAP!$A$7:$C$66,IF($M65="THU",2,3),FALSE()),IFERROR(VLOOKUP(LEFT($N65,2),LCTT_MAP!$A$7:$C$66,IF($M65="THU",2,3),FALSE()),IFERROR(VLOOKUP(LEFT($N65,1),LCTT_MAP!$A$7:$C$66,IF($M65="THU",2,3),FALSE()),IF($M65="THU","06","07")))))))</f>
        <v/>
      </c>
      <c r="P65" s="117">
        <f>P64+IF(AND($H65&lt;&gt;"",OR(LEFT($F65,LEN(SC_TK))=SC_TK,LEFT($G65,LEN(SC_TK))=SC_TK)),1,0)</f>
        <v/>
      </c>
    </row>
    <row r="66" ht="15" customHeight="1" s="78">
      <c r="A66" s="95">
        <f>IF($H66="","",ROW()-6)</f>
        <v/>
      </c>
      <c r="B66" s="114" t="n"/>
      <c r="C66" s="102" t="n"/>
      <c r="D66" s="114" t="n"/>
      <c r="E66" s="103" t="n"/>
      <c r="F66" s="102" t="n"/>
      <c r="G66" s="102" t="n"/>
      <c r="H66" s="115" t="n"/>
      <c r="I66" s="102" t="n"/>
      <c r="J66" s="102" t="n"/>
      <c r="K66" s="103" t="n"/>
      <c r="L66" s="116">
        <f>IF($H66="","",TRIM(IF(COUNTIF(DMTK!$A$7:$A$250,$F66)=0,"TK Nợ sai! ","")&amp;IF(COUNTIF(DMTK!$A$7:$A$250,$G66)=0,"TK Có sai! ","")&amp;IF(N($H66)&lt;=0,"Tiền phải &gt; 0! ","")&amp;IF($B66="","Thiếu ngày! ","")&amp;IF(AND(OR(LEFT($F66,3)="131",LEFT($G66,3)="131",LEFT($F66,3)="331",LEFT($G66,3)="331"),$I66=""),"Thiếu Mã ĐT! ","")&amp;IF(AND($I66&lt;&gt;"",COUNTIF(DM_DT!$A$7:$A$306,$I66)=0),"Mã ĐT chưa khai báo! ","")))</f>
        <v/>
      </c>
      <c r="M66" s="117">
        <f>IF($H66="","",IF(AND(OR(LEFT($F66,3)="111",LEFT($F66,3)="112",LEFT($F66,3)="113"),OR(LEFT($G66,3)="111",LEFT($G66,3)="112",LEFT($G66,3)="113")),"NB",IF(OR(LEFT($F66,3)="111",LEFT($F66,3)="112",LEFT($F66,3)="113"),"THU",IF(OR(LEFT($G66,3)="111",LEFT($G66,3)="112",LEFT($G66,3)="113"),"CHI",""))))</f>
        <v/>
      </c>
      <c r="N66" s="117">
        <f>IF($M66="THU",$G66,IF($M66="CHI",$F66,""))</f>
        <v/>
      </c>
      <c r="O66" s="117">
        <f>IF(OR($M66="",$M66="NB"),"",IF($J66&lt;&gt;"",TEXT($J66,"00"),IFERROR(VLOOKUP(LEFT($N66,4),LCTT_MAP!$A$7:$C$66,IF($M66="THU",2,3),FALSE()),IFERROR(VLOOKUP(LEFT($N66,3),LCTT_MAP!$A$7:$C$66,IF($M66="THU",2,3),FALSE()),IFERROR(VLOOKUP(LEFT($N66,2),LCTT_MAP!$A$7:$C$66,IF($M66="THU",2,3),FALSE()),IFERROR(VLOOKUP(LEFT($N66,1),LCTT_MAP!$A$7:$C$66,IF($M66="THU",2,3),FALSE()),IF($M66="THU","06","07")))))))</f>
        <v/>
      </c>
      <c r="P66" s="117">
        <f>P65+IF(AND($H66&lt;&gt;"",OR(LEFT($F66,LEN(SC_TK))=SC_TK,LEFT($G66,LEN(SC_TK))=SC_TK)),1,0)</f>
        <v/>
      </c>
    </row>
    <row r="67" ht="15" customHeight="1" s="78">
      <c r="A67" s="95">
        <f>IF($H67="","",ROW()-6)</f>
        <v/>
      </c>
      <c r="B67" s="114" t="n"/>
      <c r="C67" s="102" t="n"/>
      <c r="D67" s="114" t="n"/>
      <c r="E67" s="103" t="n"/>
      <c r="F67" s="102" t="n"/>
      <c r="G67" s="102" t="n"/>
      <c r="H67" s="115" t="n"/>
      <c r="I67" s="102" t="n"/>
      <c r="J67" s="102" t="n"/>
      <c r="K67" s="103" t="n"/>
      <c r="L67" s="116">
        <f>IF($H67="","",TRIM(IF(COUNTIF(DMTK!$A$7:$A$250,$F67)=0,"TK Nợ sai! ","")&amp;IF(COUNTIF(DMTK!$A$7:$A$250,$G67)=0,"TK Có sai! ","")&amp;IF(N($H67)&lt;=0,"Tiền phải &gt; 0! ","")&amp;IF($B67="","Thiếu ngày! ","")&amp;IF(AND(OR(LEFT($F67,3)="131",LEFT($G67,3)="131",LEFT($F67,3)="331",LEFT($G67,3)="331"),$I67=""),"Thiếu Mã ĐT! ","")&amp;IF(AND($I67&lt;&gt;"",COUNTIF(DM_DT!$A$7:$A$306,$I67)=0),"Mã ĐT chưa khai báo! ","")))</f>
        <v/>
      </c>
      <c r="M67" s="117">
        <f>IF($H67="","",IF(AND(OR(LEFT($F67,3)="111",LEFT($F67,3)="112",LEFT($F67,3)="113"),OR(LEFT($G67,3)="111",LEFT($G67,3)="112",LEFT($G67,3)="113")),"NB",IF(OR(LEFT($F67,3)="111",LEFT($F67,3)="112",LEFT($F67,3)="113"),"THU",IF(OR(LEFT($G67,3)="111",LEFT($G67,3)="112",LEFT($G67,3)="113"),"CHI",""))))</f>
        <v/>
      </c>
      <c r="N67" s="117">
        <f>IF($M67="THU",$G67,IF($M67="CHI",$F67,""))</f>
        <v/>
      </c>
      <c r="O67" s="117">
        <f>IF(OR($M67="",$M67="NB"),"",IF($J67&lt;&gt;"",TEXT($J67,"00"),IFERROR(VLOOKUP(LEFT($N67,4),LCTT_MAP!$A$7:$C$66,IF($M67="THU",2,3),FALSE()),IFERROR(VLOOKUP(LEFT($N67,3),LCTT_MAP!$A$7:$C$66,IF($M67="THU",2,3),FALSE()),IFERROR(VLOOKUP(LEFT($N67,2),LCTT_MAP!$A$7:$C$66,IF($M67="THU",2,3),FALSE()),IFERROR(VLOOKUP(LEFT($N67,1),LCTT_MAP!$A$7:$C$66,IF($M67="THU",2,3),FALSE()),IF($M67="THU","06","07")))))))</f>
        <v/>
      </c>
      <c r="P67" s="117">
        <f>P66+IF(AND($H67&lt;&gt;"",OR(LEFT($F67,LEN(SC_TK))=SC_TK,LEFT($G67,LEN(SC_TK))=SC_TK)),1,0)</f>
        <v/>
      </c>
    </row>
    <row r="68" ht="15" customHeight="1" s="78">
      <c r="A68" s="95">
        <f>IF($H68="","",ROW()-6)</f>
        <v/>
      </c>
      <c r="B68" s="114" t="n"/>
      <c r="C68" s="102" t="n"/>
      <c r="D68" s="114" t="n"/>
      <c r="E68" s="103" t="n"/>
      <c r="F68" s="102" t="n"/>
      <c r="G68" s="102" t="n"/>
      <c r="H68" s="115" t="n"/>
      <c r="I68" s="102" t="n"/>
      <c r="J68" s="102" t="n"/>
      <c r="K68" s="103" t="n"/>
      <c r="L68" s="116">
        <f>IF($H68="","",TRIM(IF(COUNTIF(DMTK!$A$7:$A$250,$F68)=0,"TK Nợ sai! ","")&amp;IF(COUNTIF(DMTK!$A$7:$A$250,$G68)=0,"TK Có sai! ","")&amp;IF(N($H68)&lt;=0,"Tiền phải &gt; 0! ","")&amp;IF($B68="","Thiếu ngày! ","")&amp;IF(AND(OR(LEFT($F68,3)="131",LEFT($G68,3)="131",LEFT($F68,3)="331",LEFT($G68,3)="331"),$I68=""),"Thiếu Mã ĐT! ","")&amp;IF(AND($I68&lt;&gt;"",COUNTIF(DM_DT!$A$7:$A$306,$I68)=0),"Mã ĐT chưa khai báo! ","")))</f>
        <v/>
      </c>
      <c r="M68" s="117">
        <f>IF($H68="","",IF(AND(OR(LEFT($F68,3)="111",LEFT($F68,3)="112",LEFT($F68,3)="113"),OR(LEFT($G68,3)="111",LEFT($G68,3)="112",LEFT($G68,3)="113")),"NB",IF(OR(LEFT($F68,3)="111",LEFT($F68,3)="112",LEFT($F68,3)="113"),"THU",IF(OR(LEFT($G68,3)="111",LEFT($G68,3)="112",LEFT($G68,3)="113"),"CHI",""))))</f>
        <v/>
      </c>
      <c r="N68" s="117">
        <f>IF($M68="THU",$G68,IF($M68="CHI",$F68,""))</f>
        <v/>
      </c>
      <c r="O68" s="117">
        <f>IF(OR($M68="",$M68="NB"),"",IF($J68&lt;&gt;"",TEXT($J68,"00"),IFERROR(VLOOKUP(LEFT($N68,4),LCTT_MAP!$A$7:$C$66,IF($M68="THU",2,3),FALSE()),IFERROR(VLOOKUP(LEFT($N68,3),LCTT_MAP!$A$7:$C$66,IF($M68="THU",2,3),FALSE()),IFERROR(VLOOKUP(LEFT($N68,2),LCTT_MAP!$A$7:$C$66,IF($M68="THU",2,3),FALSE()),IFERROR(VLOOKUP(LEFT($N68,1),LCTT_MAP!$A$7:$C$66,IF($M68="THU",2,3),FALSE()),IF($M68="THU","06","07")))))))</f>
        <v/>
      </c>
      <c r="P68" s="117">
        <f>P67+IF(AND($H68&lt;&gt;"",OR(LEFT($F68,LEN(SC_TK))=SC_TK,LEFT($G68,LEN(SC_TK))=SC_TK)),1,0)</f>
        <v/>
      </c>
    </row>
    <row r="69" ht="15" customHeight="1" s="78">
      <c r="A69" s="95">
        <f>IF($H69="","",ROW()-6)</f>
        <v/>
      </c>
      <c r="B69" s="114" t="n"/>
      <c r="C69" s="102" t="n"/>
      <c r="D69" s="114" t="n"/>
      <c r="E69" s="103" t="n"/>
      <c r="F69" s="102" t="n"/>
      <c r="G69" s="102" t="n"/>
      <c r="H69" s="115" t="n"/>
      <c r="I69" s="102" t="n"/>
      <c r="J69" s="102" t="n"/>
      <c r="K69" s="103" t="n"/>
      <c r="L69" s="116">
        <f>IF($H69="","",TRIM(IF(COUNTIF(DMTK!$A$7:$A$250,$F69)=0,"TK Nợ sai! ","")&amp;IF(COUNTIF(DMTK!$A$7:$A$250,$G69)=0,"TK Có sai! ","")&amp;IF(N($H69)&lt;=0,"Tiền phải &gt; 0! ","")&amp;IF($B69="","Thiếu ngày! ","")&amp;IF(AND(OR(LEFT($F69,3)="131",LEFT($G69,3)="131",LEFT($F69,3)="331",LEFT($G69,3)="331"),$I69=""),"Thiếu Mã ĐT! ","")&amp;IF(AND($I69&lt;&gt;"",COUNTIF(DM_DT!$A$7:$A$306,$I69)=0),"Mã ĐT chưa khai báo! ","")))</f>
        <v/>
      </c>
      <c r="M69" s="117">
        <f>IF($H69="","",IF(AND(OR(LEFT($F69,3)="111",LEFT($F69,3)="112",LEFT($F69,3)="113"),OR(LEFT($G69,3)="111",LEFT($G69,3)="112",LEFT($G69,3)="113")),"NB",IF(OR(LEFT($F69,3)="111",LEFT($F69,3)="112",LEFT($F69,3)="113"),"THU",IF(OR(LEFT($G69,3)="111",LEFT($G69,3)="112",LEFT($G69,3)="113"),"CHI",""))))</f>
        <v/>
      </c>
      <c r="N69" s="117">
        <f>IF($M69="THU",$G69,IF($M69="CHI",$F69,""))</f>
        <v/>
      </c>
      <c r="O69" s="117">
        <f>IF(OR($M69="",$M69="NB"),"",IF($J69&lt;&gt;"",TEXT($J69,"00"),IFERROR(VLOOKUP(LEFT($N69,4),LCTT_MAP!$A$7:$C$66,IF($M69="THU",2,3),FALSE()),IFERROR(VLOOKUP(LEFT($N69,3),LCTT_MAP!$A$7:$C$66,IF($M69="THU",2,3),FALSE()),IFERROR(VLOOKUP(LEFT($N69,2),LCTT_MAP!$A$7:$C$66,IF($M69="THU",2,3),FALSE()),IFERROR(VLOOKUP(LEFT($N69,1),LCTT_MAP!$A$7:$C$66,IF($M69="THU",2,3),FALSE()),IF($M69="THU","06","07")))))))</f>
        <v/>
      </c>
      <c r="P69" s="117">
        <f>P68+IF(AND($H69&lt;&gt;"",OR(LEFT($F69,LEN(SC_TK))=SC_TK,LEFT($G69,LEN(SC_TK))=SC_TK)),1,0)</f>
        <v/>
      </c>
    </row>
    <row r="70" ht="15" customHeight="1" s="78">
      <c r="A70" s="95">
        <f>IF($H70="","",ROW()-6)</f>
        <v/>
      </c>
      <c r="B70" s="114" t="n"/>
      <c r="C70" s="102" t="n"/>
      <c r="D70" s="114" t="n"/>
      <c r="E70" s="103" t="n"/>
      <c r="F70" s="102" t="n"/>
      <c r="G70" s="102" t="n"/>
      <c r="H70" s="115" t="n"/>
      <c r="I70" s="102" t="n"/>
      <c r="J70" s="102" t="n"/>
      <c r="K70" s="103" t="n"/>
      <c r="L70" s="116">
        <f>IF($H70="","",TRIM(IF(COUNTIF(DMTK!$A$7:$A$250,$F70)=0,"TK Nợ sai! ","")&amp;IF(COUNTIF(DMTK!$A$7:$A$250,$G70)=0,"TK Có sai! ","")&amp;IF(N($H70)&lt;=0,"Tiền phải &gt; 0! ","")&amp;IF($B70="","Thiếu ngày! ","")&amp;IF(AND(OR(LEFT($F70,3)="131",LEFT($G70,3)="131",LEFT($F70,3)="331",LEFT($G70,3)="331"),$I70=""),"Thiếu Mã ĐT! ","")&amp;IF(AND($I70&lt;&gt;"",COUNTIF(DM_DT!$A$7:$A$306,$I70)=0),"Mã ĐT chưa khai báo! ","")))</f>
        <v/>
      </c>
      <c r="M70" s="117">
        <f>IF($H70="","",IF(AND(OR(LEFT($F70,3)="111",LEFT($F70,3)="112",LEFT($F70,3)="113"),OR(LEFT($G70,3)="111",LEFT($G70,3)="112",LEFT($G70,3)="113")),"NB",IF(OR(LEFT($F70,3)="111",LEFT($F70,3)="112",LEFT($F70,3)="113"),"THU",IF(OR(LEFT($G70,3)="111",LEFT($G70,3)="112",LEFT($G70,3)="113"),"CHI",""))))</f>
        <v/>
      </c>
      <c r="N70" s="117">
        <f>IF($M70="THU",$G70,IF($M70="CHI",$F70,""))</f>
        <v/>
      </c>
      <c r="O70" s="117">
        <f>IF(OR($M70="",$M70="NB"),"",IF($J70&lt;&gt;"",TEXT($J70,"00"),IFERROR(VLOOKUP(LEFT($N70,4),LCTT_MAP!$A$7:$C$66,IF($M70="THU",2,3),FALSE()),IFERROR(VLOOKUP(LEFT($N70,3),LCTT_MAP!$A$7:$C$66,IF($M70="THU",2,3),FALSE()),IFERROR(VLOOKUP(LEFT($N70,2),LCTT_MAP!$A$7:$C$66,IF($M70="THU",2,3),FALSE()),IFERROR(VLOOKUP(LEFT($N70,1),LCTT_MAP!$A$7:$C$66,IF($M70="THU",2,3),FALSE()),IF($M70="THU","06","07")))))))</f>
        <v/>
      </c>
      <c r="P70" s="117">
        <f>P69+IF(AND($H70&lt;&gt;"",OR(LEFT($F70,LEN(SC_TK))=SC_TK,LEFT($G70,LEN(SC_TK))=SC_TK)),1,0)</f>
        <v/>
      </c>
    </row>
    <row r="71" ht="15" customHeight="1" s="78">
      <c r="A71" s="95">
        <f>IF($H71="","",ROW()-6)</f>
        <v/>
      </c>
      <c r="B71" s="114" t="n"/>
      <c r="C71" s="102" t="n"/>
      <c r="D71" s="114" t="n"/>
      <c r="E71" s="103" t="n"/>
      <c r="F71" s="102" t="n"/>
      <c r="G71" s="102" t="n"/>
      <c r="H71" s="115" t="n"/>
      <c r="I71" s="102" t="n"/>
      <c r="J71" s="102" t="n"/>
      <c r="K71" s="103" t="n"/>
      <c r="L71" s="116">
        <f>IF($H71="","",TRIM(IF(COUNTIF(DMTK!$A$7:$A$250,$F71)=0,"TK Nợ sai! ","")&amp;IF(COUNTIF(DMTK!$A$7:$A$250,$G71)=0,"TK Có sai! ","")&amp;IF(N($H71)&lt;=0,"Tiền phải &gt; 0! ","")&amp;IF($B71="","Thiếu ngày! ","")&amp;IF(AND(OR(LEFT($F71,3)="131",LEFT($G71,3)="131",LEFT($F71,3)="331",LEFT($G71,3)="331"),$I71=""),"Thiếu Mã ĐT! ","")&amp;IF(AND($I71&lt;&gt;"",COUNTIF(DM_DT!$A$7:$A$306,$I71)=0),"Mã ĐT chưa khai báo! ","")))</f>
        <v/>
      </c>
      <c r="M71" s="117">
        <f>IF($H71="","",IF(AND(OR(LEFT($F71,3)="111",LEFT($F71,3)="112",LEFT($F71,3)="113"),OR(LEFT($G71,3)="111",LEFT($G71,3)="112",LEFT($G71,3)="113")),"NB",IF(OR(LEFT($F71,3)="111",LEFT($F71,3)="112",LEFT($F71,3)="113"),"THU",IF(OR(LEFT($G71,3)="111",LEFT($G71,3)="112",LEFT($G71,3)="113"),"CHI",""))))</f>
        <v/>
      </c>
      <c r="N71" s="117">
        <f>IF($M71="THU",$G71,IF($M71="CHI",$F71,""))</f>
        <v/>
      </c>
      <c r="O71" s="117">
        <f>IF(OR($M71="",$M71="NB"),"",IF($J71&lt;&gt;"",TEXT($J71,"00"),IFERROR(VLOOKUP(LEFT($N71,4),LCTT_MAP!$A$7:$C$66,IF($M71="THU",2,3),FALSE()),IFERROR(VLOOKUP(LEFT($N71,3),LCTT_MAP!$A$7:$C$66,IF($M71="THU",2,3),FALSE()),IFERROR(VLOOKUP(LEFT($N71,2),LCTT_MAP!$A$7:$C$66,IF($M71="THU",2,3),FALSE()),IFERROR(VLOOKUP(LEFT($N71,1),LCTT_MAP!$A$7:$C$66,IF($M71="THU",2,3),FALSE()),IF($M71="THU","06","07")))))))</f>
        <v/>
      </c>
      <c r="P71" s="117">
        <f>P70+IF(AND($H71&lt;&gt;"",OR(LEFT($F71,LEN(SC_TK))=SC_TK,LEFT($G71,LEN(SC_TK))=SC_TK)),1,0)</f>
        <v/>
      </c>
    </row>
    <row r="72" ht="15" customHeight="1" s="78">
      <c r="A72" s="95">
        <f>IF($H72="","",ROW()-6)</f>
        <v/>
      </c>
      <c r="B72" s="114" t="n"/>
      <c r="C72" s="102" t="n"/>
      <c r="D72" s="114" t="n"/>
      <c r="E72" s="103" t="n"/>
      <c r="F72" s="102" t="n"/>
      <c r="G72" s="102" t="n"/>
      <c r="H72" s="115" t="n"/>
      <c r="I72" s="102" t="n"/>
      <c r="J72" s="102" t="n"/>
      <c r="K72" s="103" t="n"/>
      <c r="L72" s="116">
        <f>IF($H72="","",TRIM(IF(COUNTIF(DMTK!$A$7:$A$250,$F72)=0,"TK Nợ sai! ","")&amp;IF(COUNTIF(DMTK!$A$7:$A$250,$G72)=0,"TK Có sai! ","")&amp;IF(N($H72)&lt;=0,"Tiền phải &gt; 0! ","")&amp;IF($B72="","Thiếu ngày! ","")&amp;IF(AND(OR(LEFT($F72,3)="131",LEFT($G72,3)="131",LEFT($F72,3)="331",LEFT($G72,3)="331"),$I72=""),"Thiếu Mã ĐT! ","")&amp;IF(AND($I72&lt;&gt;"",COUNTIF(DM_DT!$A$7:$A$306,$I72)=0),"Mã ĐT chưa khai báo! ","")))</f>
        <v/>
      </c>
      <c r="M72" s="117">
        <f>IF($H72="","",IF(AND(OR(LEFT($F72,3)="111",LEFT($F72,3)="112",LEFT($F72,3)="113"),OR(LEFT($G72,3)="111",LEFT($G72,3)="112",LEFT($G72,3)="113")),"NB",IF(OR(LEFT($F72,3)="111",LEFT($F72,3)="112",LEFT($F72,3)="113"),"THU",IF(OR(LEFT($G72,3)="111",LEFT($G72,3)="112",LEFT($G72,3)="113"),"CHI",""))))</f>
        <v/>
      </c>
      <c r="N72" s="117">
        <f>IF($M72="THU",$G72,IF($M72="CHI",$F72,""))</f>
        <v/>
      </c>
      <c r="O72" s="117">
        <f>IF(OR($M72="",$M72="NB"),"",IF($J72&lt;&gt;"",TEXT($J72,"00"),IFERROR(VLOOKUP(LEFT($N72,4),LCTT_MAP!$A$7:$C$66,IF($M72="THU",2,3),FALSE()),IFERROR(VLOOKUP(LEFT($N72,3),LCTT_MAP!$A$7:$C$66,IF($M72="THU",2,3),FALSE()),IFERROR(VLOOKUP(LEFT($N72,2),LCTT_MAP!$A$7:$C$66,IF($M72="THU",2,3),FALSE()),IFERROR(VLOOKUP(LEFT($N72,1),LCTT_MAP!$A$7:$C$66,IF($M72="THU",2,3),FALSE()),IF($M72="THU","06","07")))))))</f>
        <v/>
      </c>
      <c r="P72" s="117">
        <f>P71+IF(AND($H72&lt;&gt;"",OR(LEFT($F72,LEN(SC_TK))=SC_TK,LEFT($G72,LEN(SC_TK))=SC_TK)),1,0)</f>
        <v/>
      </c>
    </row>
    <row r="73" ht="15" customHeight="1" s="78">
      <c r="A73" s="95">
        <f>IF($H73="","",ROW()-6)</f>
        <v/>
      </c>
      <c r="B73" s="114" t="n"/>
      <c r="C73" s="102" t="n"/>
      <c r="D73" s="114" t="n"/>
      <c r="E73" s="103" t="n"/>
      <c r="F73" s="102" t="n"/>
      <c r="G73" s="102" t="n"/>
      <c r="H73" s="115" t="n"/>
      <c r="I73" s="102" t="n"/>
      <c r="J73" s="102" t="n"/>
      <c r="K73" s="103" t="n"/>
      <c r="L73" s="116">
        <f>IF($H73="","",TRIM(IF(COUNTIF(DMTK!$A$7:$A$250,$F73)=0,"TK Nợ sai! ","")&amp;IF(COUNTIF(DMTK!$A$7:$A$250,$G73)=0,"TK Có sai! ","")&amp;IF(N($H73)&lt;=0,"Tiền phải &gt; 0! ","")&amp;IF($B73="","Thiếu ngày! ","")&amp;IF(AND(OR(LEFT($F73,3)="131",LEFT($G73,3)="131",LEFT($F73,3)="331",LEFT($G73,3)="331"),$I73=""),"Thiếu Mã ĐT! ","")&amp;IF(AND($I73&lt;&gt;"",COUNTIF(DM_DT!$A$7:$A$306,$I73)=0),"Mã ĐT chưa khai báo! ","")))</f>
        <v/>
      </c>
      <c r="M73" s="117">
        <f>IF($H73="","",IF(AND(OR(LEFT($F73,3)="111",LEFT($F73,3)="112",LEFT($F73,3)="113"),OR(LEFT($G73,3)="111",LEFT($G73,3)="112",LEFT($G73,3)="113")),"NB",IF(OR(LEFT($F73,3)="111",LEFT($F73,3)="112",LEFT($F73,3)="113"),"THU",IF(OR(LEFT($G73,3)="111",LEFT($G73,3)="112",LEFT($G73,3)="113"),"CHI",""))))</f>
        <v/>
      </c>
      <c r="N73" s="117">
        <f>IF($M73="THU",$G73,IF($M73="CHI",$F73,""))</f>
        <v/>
      </c>
      <c r="O73" s="117">
        <f>IF(OR($M73="",$M73="NB"),"",IF($J73&lt;&gt;"",TEXT($J73,"00"),IFERROR(VLOOKUP(LEFT($N73,4),LCTT_MAP!$A$7:$C$66,IF($M73="THU",2,3),FALSE()),IFERROR(VLOOKUP(LEFT($N73,3),LCTT_MAP!$A$7:$C$66,IF($M73="THU",2,3),FALSE()),IFERROR(VLOOKUP(LEFT($N73,2),LCTT_MAP!$A$7:$C$66,IF($M73="THU",2,3),FALSE()),IFERROR(VLOOKUP(LEFT($N73,1),LCTT_MAP!$A$7:$C$66,IF($M73="THU",2,3),FALSE()),IF($M73="THU","06","07")))))))</f>
        <v/>
      </c>
      <c r="P73" s="117">
        <f>P72+IF(AND($H73&lt;&gt;"",OR(LEFT($F73,LEN(SC_TK))=SC_TK,LEFT($G73,LEN(SC_TK))=SC_TK)),1,0)</f>
        <v/>
      </c>
    </row>
    <row r="74" ht="15" customHeight="1" s="78">
      <c r="A74" s="95">
        <f>IF($H74="","",ROW()-6)</f>
        <v/>
      </c>
      <c r="B74" s="114" t="n"/>
      <c r="C74" s="102" t="n"/>
      <c r="D74" s="114" t="n"/>
      <c r="E74" s="103" t="n"/>
      <c r="F74" s="102" t="n"/>
      <c r="G74" s="102" t="n"/>
      <c r="H74" s="115" t="n"/>
      <c r="I74" s="102" t="n"/>
      <c r="J74" s="102" t="n"/>
      <c r="K74" s="103" t="n"/>
      <c r="L74" s="116">
        <f>IF($H74="","",TRIM(IF(COUNTIF(DMTK!$A$7:$A$250,$F74)=0,"TK Nợ sai! ","")&amp;IF(COUNTIF(DMTK!$A$7:$A$250,$G74)=0,"TK Có sai! ","")&amp;IF(N($H74)&lt;=0,"Tiền phải &gt; 0! ","")&amp;IF($B74="","Thiếu ngày! ","")&amp;IF(AND(OR(LEFT($F74,3)="131",LEFT($G74,3)="131",LEFT($F74,3)="331",LEFT($G74,3)="331"),$I74=""),"Thiếu Mã ĐT! ","")&amp;IF(AND($I74&lt;&gt;"",COUNTIF(DM_DT!$A$7:$A$306,$I74)=0),"Mã ĐT chưa khai báo! ","")))</f>
        <v/>
      </c>
      <c r="M74" s="117">
        <f>IF($H74="","",IF(AND(OR(LEFT($F74,3)="111",LEFT($F74,3)="112",LEFT($F74,3)="113"),OR(LEFT($G74,3)="111",LEFT($G74,3)="112",LEFT($G74,3)="113")),"NB",IF(OR(LEFT($F74,3)="111",LEFT($F74,3)="112",LEFT($F74,3)="113"),"THU",IF(OR(LEFT($G74,3)="111",LEFT($G74,3)="112",LEFT($G74,3)="113"),"CHI",""))))</f>
        <v/>
      </c>
      <c r="N74" s="117">
        <f>IF($M74="THU",$G74,IF($M74="CHI",$F74,""))</f>
        <v/>
      </c>
      <c r="O74" s="117">
        <f>IF(OR($M74="",$M74="NB"),"",IF($J74&lt;&gt;"",TEXT($J74,"00"),IFERROR(VLOOKUP(LEFT($N74,4),LCTT_MAP!$A$7:$C$66,IF($M74="THU",2,3),FALSE()),IFERROR(VLOOKUP(LEFT($N74,3),LCTT_MAP!$A$7:$C$66,IF($M74="THU",2,3),FALSE()),IFERROR(VLOOKUP(LEFT($N74,2),LCTT_MAP!$A$7:$C$66,IF($M74="THU",2,3),FALSE()),IFERROR(VLOOKUP(LEFT($N74,1),LCTT_MAP!$A$7:$C$66,IF($M74="THU",2,3),FALSE()),IF($M74="THU","06","07")))))))</f>
        <v/>
      </c>
      <c r="P74" s="117">
        <f>P73+IF(AND($H74&lt;&gt;"",OR(LEFT($F74,LEN(SC_TK))=SC_TK,LEFT($G74,LEN(SC_TK))=SC_TK)),1,0)</f>
        <v/>
      </c>
    </row>
    <row r="75" ht="15" customHeight="1" s="78">
      <c r="A75" s="95">
        <f>IF($H75="","",ROW()-6)</f>
        <v/>
      </c>
      <c r="B75" s="114" t="n"/>
      <c r="C75" s="102" t="n"/>
      <c r="D75" s="114" t="n"/>
      <c r="E75" s="103" t="n"/>
      <c r="F75" s="102" t="n"/>
      <c r="G75" s="102" t="n"/>
      <c r="H75" s="115" t="n"/>
      <c r="I75" s="102" t="n"/>
      <c r="J75" s="102" t="n"/>
      <c r="K75" s="103" t="n"/>
      <c r="L75" s="116">
        <f>IF($H75="","",TRIM(IF(COUNTIF(DMTK!$A$7:$A$250,$F75)=0,"TK Nợ sai! ","")&amp;IF(COUNTIF(DMTK!$A$7:$A$250,$G75)=0,"TK Có sai! ","")&amp;IF(N($H75)&lt;=0,"Tiền phải &gt; 0! ","")&amp;IF($B75="","Thiếu ngày! ","")&amp;IF(AND(OR(LEFT($F75,3)="131",LEFT($G75,3)="131",LEFT($F75,3)="331",LEFT($G75,3)="331"),$I75=""),"Thiếu Mã ĐT! ","")&amp;IF(AND($I75&lt;&gt;"",COUNTIF(DM_DT!$A$7:$A$306,$I75)=0),"Mã ĐT chưa khai báo! ","")))</f>
        <v/>
      </c>
      <c r="M75" s="117">
        <f>IF($H75="","",IF(AND(OR(LEFT($F75,3)="111",LEFT($F75,3)="112",LEFT($F75,3)="113"),OR(LEFT($G75,3)="111",LEFT($G75,3)="112",LEFT($G75,3)="113")),"NB",IF(OR(LEFT($F75,3)="111",LEFT($F75,3)="112",LEFT($F75,3)="113"),"THU",IF(OR(LEFT($G75,3)="111",LEFT($G75,3)="112",LEFT($G75,3)="113"),"CHI",""))))</f>
        <v/>
      </c>
      <c r="N75" s="117">
        <f>IF($M75="THU",$G75,IF($M75="CHI",$F75,""))</f>
        <v/>
      </c>
      <c r="O75" s="117">
        <f>IF(OR($M75="",$M75="NB"),"",IF($J75&lt;&gt;"",TEXT($J75,"00"),IFERROR(VLOOKUP(LEFT($N75,4),LCTT_MAP!$A$7:$C$66,IF($M75="THU",2,3),FALSE()),IFERROR(VLOOKUP(LEFT($N75,3),LCTT_MAP!$A$7:$C$66,IF($M75="THU",2,3),FALSE()),IFERROR(VLOOKUP(LEFT($N75,2),LCTT_MAP!$A$7:$C$66,IF($M75="THU",2,3),FALSE()),IFERROR(VLOOKUP(LEFT($N75,1),LCTT_MAP!$A$7:$C$66,IF($M75="THU",2,3),FALSE()),IF($M75="THU","06","07")))))))</f>
        <v/>
      </c>
      <c r="P75" s="117">
        <f>P74+IF(AND($H75&lt;&gt;"",OR(LEFT($F75,LEN(SC_TK))=SC_TK,LEFT($G75,LEN(SC_TK))=SC_TK)),1,0)</f>
        <v/>
      </c>
    </row>
    <row r="76" ht="15" customHeight="1" s="78">
      <c r="A76" s="95">
        <f>IF($H76="","",ROW()-6)</f>
        <v/>
      </c>
      <c r="B76" s="114" t="n"/>
      <c r="C76" s="102" t="n"/>
      <c r="D76" s="114" t="n"/>
      <c r="E76" s="103" t="n"/>
      <c r="F76" s="102" t="n"/>
      <c r="G76" s="102" t="n"/>
      <c r="H76" s="115" t="n"/>
      <c r="I76" s="102" t="n"/>
      <c r="J76" s="102" t="n"/>
      <c r="K76" s="103" t="n"/>
      <c r="L76" s="116">
        <f>IF($H76="","",TRIM(IF(COUNTIF(DMTK!$A$7:$A$250,$F76)=0,"TK Nợ sai! ","")&amp;IF(COUNTIF(DMTK!$A$7:$A$250,$G76)=0,"TK Có sai! ","")&amp;IF(N($H76)&lt;=0,"Tiền phải &gt; 0! ","")&amp;IF($B76="","Thiếu ngày! ","")&amp;IF(AND(OR(LEFT($F76,3)="131",LEFT($G76,3)="131",LEFT($F76,3)="331",LEFT($G76,3)="331"),$I76=""),"Thiếu Mã ĐT! ","")&amp;IF(AND($I76&lt;&gt;"",COUNTIF(DM_DT!$A$7:$A$306,$I76)=0),"Mã ĐT chưa khai báo! ","")))</f>
        <v/>
      </c>
      <c r="M76" s="117">
        <f>IF($H76="","",IF(AND(OR(LEFT($F76,3)="111",LEFT($F76,3)="112",LEFT($F76,3)="113"),OR(LEFT($G76,3)="111",LEFT($G76,3)="112",LEFT($G76,3)="113")),"NB",IF(OR(LEFT($F76,3)="111",LEFT($F76,3)="112",LEFT($F76,3)="113"),"THU",IF(OR(LEFT($G76,3)="111",LEFT($G76,3)="112",LEFT($G76,3)="113"),"CHI",""))))</f>
        <v/>
      </c>
      <c r="N76" s="117">
        <f>IF($M76="THU",$G76,IF($M76="CHI",$F76,""))</f>
        <v/>
      </c>
      <c r="O76" s="117">
        <f>IF(OR($M76="",$M76="NB"),"",IF($J76&lt;&gt;"",TEXT($J76,"00"),IFERROR(VLOOKUP(LEFT($N76,4),LCTT_MAP!$A$7:$C$66,IF($M76="THU",2,3),FALSE()),IFERROR(VLOOKUP(LEFT($N76,3),LCTT_MAP!$A$7:$C$66,IF($M76="THU",2,3),FALSE()),IFERROR(VLOOKUP(LEFT($N76,2),LCTT_MAP!$A$7:$C$66,IF($M76="THU",2,3),FALSE()),IFERROR(VLOOKUP(LEFT($N76,1),LCTT_MAP!$A$7:$C$66,IF($M76="THU",2,3),FALSE()),IF($M76="THU","06","07")))))))</f>
        <v/>
      </c>
      <c r="P76" s="117">
        <f>P75+IF(AND($H76&lt;&gt;"",OR(LEFT($F76,LEN(SC_TK))=SC_TK,LEFT($G76,LEN(SC_TK))=SC_TK)),1,0)</f>
        <v/>
      </c>
    </row>
    <row r="77" ht="15" customHeight="1" s="78">
      <c r="A77" s="95">
        <f>IF($H77="","",ROW()-6)</f>
        <v/>
      </c>
      <c r="B77" s="114" t="n"/>
      <c r="C77" s="102" t="n"/>
      <c r="D77" s="114" t="n"/>
      <c r="E77" s="103" t="n"/>
      <c r="F77" s="102" t="n"/>
      <c r="G77" s="102" t="n"/>
      <c r="H77" s="115" t="n"/>
      <c r="I77" s="102" t="n"/>
      <c r="J77" s="102" t="n"/>
      <c r="K77" s="103" t="n"/>
      <c r="L77" s="116">
        <f>IF($H77="","",TRIM(IF(COUNTIF(DMTK!$A$7:$A$250,$F77)=0,"TK Nợ sai! ","")&amp;IF(COUNTIF(DMTK!$A$7:$A$250,$G77)=0,"TK Có sai! ","")&amp;IF(N($H77)&lt;=0,"Tiền phải &gt; 0! ","")&amp;IF($B77="","Thiếu ngày! ","")&amp;IF(AND(OR(LEFT($F77,3)="131",LEFT($G77,3)="131",LEFT($F77,3)="331",LEFT($G77,3)="331"),$I77=""),"Thiếu Mã ĐT! ","")&amp;IF(AND($I77&lt;&gt;"",COUNTIF(DM_DT!$A$7:$A$306,$I77)=0),"Mã ĐT chưa khai báo! ","")))</f>
        <v/>
      </c>
      <c r="M77" s="117">
        <f>IF($H77="","",IF(AND(OR(LEFT($F77,3)="111",LEFT($F77,3)="112",LEFT($F77,3)="113"),OR(LEFT($G77,3)="111",LEFT($G77,3)="112",LEFT($G77,3)="113")),"NB",IF(OR(LEFT($F77,3)="111",LEFT($F77,3)="112",LEFT($F77,3)="113"),"THU",IF(OR(LEFT($G77,3)="111",LEFT($G77,3)="112",LEFT($G77,3)="113"),"CHI",""))))</f>
        <v/>
      </c>
      <c r="N77" s="117">
        <f>IF($M77="THU",$G77,IF($M77="CHI",$F77,""))</f>
        <v/>
      </c>
      <c r="O77" s="117">
        <f>IF(OR($M77="",$M77="NB"),"",IF($J77&lt;&gt;"",TEXT($J77,"00"),IFERROR(VLOOKUP(LEFT($N77,4),LCTT_MAP!$A$7:$C$66,IF($M77="THU",2,3),FALSE()),IFERROR(VLOOKUP(LEFT($N77,3),LCTT_MAP!$A$7:$C$66,IF($M77="THU",2,3),FALSE()),IFERROR(VLOOKUP(LEFT($N77,2),LCTT_MAP!$A$7:$C$66,IF($M77="THU",2,3),FALSE()),IFERROR(VLOOKUP(LEFT($N77,1),LCTT_MAP!$A$7:$C$66,IF($M77="THU",2,3),FALSE()),IF($M77="THU","06","07")))))))</f>
        <v/>
      </c>
      <c r="P77" s="117">
        <f>P76+IF(AND($H77&lt;&gt;"",OR(LEFT($F77,LEN(SC_TK))=SC_TK,LEFT($G77,LEN(SC_TK))=SC_TK)),1,0)</f>
        <v/>
      </c>
    </row>
    <row r="78" ht="15" customHeight="1" s="78">
      <c r="A78" s="95">
        <f>IF($H78="","",ROW()-6)</f>
        <v/>
      </c>
      <c r="B78" s="114" t="n"/>
      <c r="C78" s="102" t="n"/>
      <c r="D78" s="114" t="n"/>
      <c r="E78" s="103" t="n"/>
      <c r="F78" s="102" t="n"/>
      <c r="G78" s="102" t="n"/>
      <c r="H78" s="115" t="n"/>
      <c r="I78" s="102" t="n"/>
      <c r="J78" s="102" t="n"/>
      <c r="K78" s="103" t="n"/>
      <c r="L78" s="116">
        <f>IF($H78="","",TRIM(IF(COUNTIF(DMTK!$A$7:$A$250,$F78)=0,"TK Nợ sai! ","")&amp;IF(COUNTIF(DMTK!$A$7:$A$250,$G78)=0,"TK Có sai! ","")&amp;IF(N($H78)&lt;=0,"Tiền phải &gt; 0! ","")&amp;IF($B78="","Thiếu ngày! ","")&amp;IF(AND(OR(LEFT($F78,3)="131",LEFT($G78,3)="131",LEFT($F78,3)="331",LEFT($G78,3)="331"),$I78=""),"Thiếu Mã ĐT! ","")&amp;IF(AND($I78&lt;&gt;"",COUNTIF(DM_DT!$A$7:$A$306,$I78)=0),"Mã ĐT chưa khai báo! ","")))</f>
        <v/>
      </c>
      <c r="M78" s="117">
        <f>IF($H78="","",IF(AND(OR(LEFT($F78,3)="111",LEFT($F78,3)="112",LEFT($F78,3)="113"),OR(LEFT($G78,3)="111",LEFT($G78,3)="112",LEFT($G78,3)="113")),"NB",IF(OR(LEFT($F78,3)="111",LEFT($F78,3)="112",LEFT($F78,3)="113"),"THU",IF(OR(LEFT($G78,3)="111",LEFT($G78,3)="112",LEFT($G78,3)="113"),"CHI",""))))</f>
        <v/>
      </c>
      <c r="N78" s="117">
        <f>IF($M78="THU",$G78,IF($M78="CHI",$F78,""))</f>
        <v/>
      </c>
      <c r="O78" s="117">
        <f>IF(OR($M78="",$M78="NB"),"",IF($J78&lt;&gt;"",TEXT($J78,"00"),IFERROR(VLOOKUP(LEFT($N78,4),LCTT_MAP!$A$7:$C$66,IF($M78="THU",2,3),FALSE()),IFERROR(VLOOKUP(LEFT($N78,3),LCTT_MAP!$A$7:$C$66,IF($M78="THU",2,3),FALSE()),IFERROR(VLOOKUP(LEFT($N78,2),LCTT_MAP!$A$7:$C$66,IF($M78="THU",2,3),FALSE()),IFERROR(VLOOKUP(LEFT($N78,1),LCTT_MAP!$A$7:$C$66,IF($M78="THU",2,3),FALSE()),IF($M78="THU","06","07")))))))</f>
        <v/>
      </c>
      <c r="P78" s="117">
        <f>P77+IF(AND($H78&lt;&gt;"",OR(LEFT($F78,LEN(SC_TK))=SC_TK,LEFT($G78,LEN(SC_TK))=SC_TK)),1,0)</f>
        <v/>
      </c>
    </row>
    <row r="79" ht="15" customHeight="1" s="78">
      <c r="A79" s="95">
        <f>IF($H79="","",ROW()-6)</f>
        <v/>
      </c>
      <c r="B79" s="114" t="n"/>
      <c r="C79" s="102" t="n"/>
      <c r="D79" s="114" t="n"/>
      <c r="E79" s="103" t="n"/>
      <c r="F79" s="102" t="n"/>
      <c r="G79" s="102" t="n"/>
      <c r="H79" s="115" t="n"/>
      <c r="I79" s="102" t="n"/>
      <c r="J79" s="102" t="n"/>
      <c r="K79" s="103" t="n"/>
      <c r="L79" s="116">
        <f>IF($H79="","",TRIM(IF(COUNTIF(DMTK!$A$7:$A$250,$F79)=0,"TK Nợ sai! ","")&amp;IF(COUNTIF(DMTK!$A$7:$A$250,$G79)=0,"TK Có sai! ","")&amp;IF(N($H79)&lt;=0,"Tiền phải &gt; 0! ","")&amp;IF($B79="","Thiếu ngày! ","")&amp;IF(AND(OR(LEFT($F79,3)="131",LEFT($G79,3)="131",LEFT($F79,3)="331",LEFT($G79,3)="331"),$I79=""),"Thiếu Mã ĐT! ","")&amp;IF(AND($I79&lt;&gt;"",COUNTIF(DM_DT!$A$7:$A$306,$I79)=0),"Mã ĐT chưa khai báo! ","")))</f>
        <v/>
      </c>
      <c r="M79" s="117">
        <f>IF($H79="","",IF(AND(OR(LEFT($F79,3)="111",LEFT($F79,3)="112",LEFT($F79,3)="113"),OR(LEFT($G79,3)="111",LEFT($G79,3)="112",LEFT($G79,3)="113")),"NB",IF(OR(LEFT($F79,3)="111",LEFT($F79,3)="112",LEFT($F79,3)="113"),"THU",IF(OR(LEFT($G79,3)="111",LEFT($G79,3)="112",LEFT($G79,3)="113"),"CHI",""))))</f>
        <v/>
      </c>
      <c r="N79" s="117">
        <f>IF($M79="THU",$G79,IF($M79="CHI",$F79,""))</f>
        <v/>
      </c>
      <c r="O79" s="117">
        <f>IF(OR($M79="",$M79="NB"),"",IF($J79&lt;&gt;"",TEXT($J79,"00"),IFERROR(VLOOKUP(LEFT($N79,4),LCTT_MAP!$A$7:$C$66,IF($M79="THU",2,3),FALSE()),IFERROR(VLOOKUP(LEFT($N79,3),LCTT_MAP!$A$7:$C$66,IF($M79="THU",2,3),FALSE()),IFERROR(VLOOKUP(LEFT($N79,2),LCTT_MAP!$A$7:$C$66,IF($M79="THU",2,3),FALSE()),IFERROR(VLOOKUP(LEFT($N79,1),LCTT_MAP!$A$7:$C$66,IF($M79="THU",2,3),FALSE()),IF($M79="THU","06","07")))))))</f>
        <v/>
      </c>
      <c r="P79" s="117">
        <f>P78+IF(AND($H79&lt;&gt;"",OR(LEFT($F79,LEN(SC_TK))=SC_TK,LEFT($G79,LEN(SC_TK))=SC_TK)),1,0)</f>
        <v/>
      </c>
    </row>
    <row r="80" ht="15" customHeight="1" s="78">
      <c r="A80" s="95">
        <f>IF($H80="","",ROW()-6)</f>
        <v/>
      </c>
      <c r="B80" s="114" t="n"/>
      <c r="C80" s="102" t="n"/>
      <c r="D80" s="114" t="n"/>
      <c r="E80" s="103" t="n"/>
      <c r="F80" s="102" t="n"/>
      <c r="G80" s="102" t="n"/>
      <c r="H80" s="115" t="n"/>
      <c r="I80" s="102" t="n"/>
      <c r="J80" s="102" t="n"/>
      <c r="K80" s="103" t="n"/>
      <c r="L80" s="116">
        <f>IF($H80="","",TRIM(IF(COUNTIF(DMTK!$A$7:$A$250,$F80)=0,"TK Nợ sai! ","")&amp;IF(COUNTIF(DMTK!$A$7:$A$250,$G80)=0,"TK Có sai! ","")&amp;IF(N($H80)&lt;=0,"Tiền phải &gt; 0! ","")&amp;IF($B80="","Thiếu ngày! ","")&amp;IF(AND(OR(LEFT($F80,3)="131",LEFT($G80,3)="131",LEFT($F80,3)="331",LEFT($G80,3)="331"),$I80=""),"Thiếu Mã ĐT! ","")&amp;IF(AND($I80&lt;&gt;"",COUNTIF(DM_DT!$A$7:$A$306,$I80)=0),"Mã ĐT chưa khai báo! ","")))</f>
        <v/>
      </c>
      <c r="M80" s="117">
        <f>IF($H80="","",IF(AND(OR(LEFT($F80,3)="111",LEFT($F80,3)="112",LEFT($F80,3)="113"),OR(LEFT($G80,3)="111",LEFT($G80,3)="112",LEFT($G80,3)="113")),"NB",IF(OR(LEFT($F80,3)="111",LEFT($F80,3)="112",LEFT($F80,3)="113"),"THU",IF(OR(LEFT($G80,3)="111",LEFT($G80,3)="112",LEFT($G80,3)="113"),"CHI",""))))</f>
        <v/>
      </c>
      <c r="N80" s="117">
        <f>IF($M80="THU",$G80,IF($M80="CHI",$F80,""))</f>
        <v/>
      </c>
      <c r="O80" s="117">
        <f>IF(OR($M80="",$M80="NB"),"",IF($J80&lt;&gt;"",TEXT($J80,"00"),IFERROR(VLOOKUP(LEFT($N80,4),LCTT_MAP!$A$7:$C$66,IF($M80="THU",2,3),FALSE()),IFERROR(VLOOKUP(LEFT($N80,3),LCTT_MAP!$A$7:$C$66,IF($M80="THU",2,3),FALSE()),IFERROR(VLOOKUP(LEFT($N80,2),LCTT_MAP!$A$7:$C$66,IF($M80="THU",2,3),FALSE()),IFERROR(VLOOKUP(LEFT($N80,1),LCTT_MAP!$A$7:$C$66,IF($M80="THU",2,3),FALSE()),IF($M80="THU","06","07")))))))</f>
        <v/>
      </c>
      <c r="P80" s="117">
        <f>P79+IF(AND($H80&lt;&gt;"",OR(LEFT($F80,LEN(SC_TK))=SC_TK,LEFT($G80,LEN(SC_TK))=SC_TK)),1,0)</f>
        <v/>
      </c>
    </row>
    <row r="81" ht="15" customHeight="1" s="78">
      <c r="A81" s="95">
        <f>IF($H81="","",ROW()-6)</f>
        <v/>
      </c>
      <c r="B81" s="114" t="n"/>
      <c r="C81" s="102" t="n"/>
      <c r="D81" s="114" t="n"/>
      <c r="E81" s="103" t="n"/>
      <c r="F81" s="102" t="n"/>
      <c r="G81" s="102" t="n"/>
      <c r="H81" s="115" t="n"/>
      <c r="I81" s="102" t="n"/>
      <c r="J81" s="102" t="n"/>
      <c r="K81" s="103" t="n"/>
      <c r="L81" s="116">
        <f>IF($H81="","",TRIM(IF(COUNTIF(DMTK!$A$7:$A$250,$F81)=0,"TK Nợ sai! ","")&amp;IF(COUNTIF(DMTK!$A$7:$A$250,$G81)=0,"TK Có sai! ","")&amp;IF(N($H81)&lt;=0,"Tiền phải &gt; 0! ","")&amp;IF($B81="","Thiếu ngày! ","")&amp;IF(AND(OR(LEFT($F81,3)="131",LEFT($G81,3)="131",LEFT($F81,3)="331",LEFT($G81,3)="331"),$I81=""),"Thiếu Mã ĐT! ","")&amp;IF(AND($I81&lt;&gt;"",COUNTIF(DM_DT!$A$7:$A$306,$I81)=0),"Mã ĐT chưa khai báo! ","")))</f>
        <v/>
      </c>
      <c r="M81" s="117">
        <f>IF($H81="","",IF(AND(OR(LEFT($F81,3)="111",LEFT($F81,3)="112",LEFT($F81,3)="113"),OR(LEFT($G81,3)="111",LEFT($G81,3)="112",LEFT($G81,3)="113")),"NB",IF(OR(LEFT($F81,3)="111",LEFT($F81,3)="112",LEFT($F81,3)="113"),"THU",IF(OR(LEFT($G81,3)="111",LEFT($G81,3)="112",LEFT($G81,3)="113"),"CHI",""))))</f>
        <v/>
      </c>
      <c r="N81" s="117">
        <f>IF($M81="THU",$G81,IF($M81="CHI",$F81,""))</f>
        <v/>
      </c>
      <c r="O81" s="117">
        <f>IF(OR($M81="",$M81="NB"),"",IF($J81&lt;&gt;"",TEXT($J81,"00"),IFERROR(VLOOKUP(LEFT($N81,4),LCTT_MAP!$A$7:$C$66,IF($M81="THU",2,3),FALSE()),IFERROR(VLOOKUP(LEFT($N81,3),LCTT_MAP!$A$7:$C$66,IF($M81="THU",2,3),FALSE()),IFERROR(VLOOKUP(LEFT($N81,2),LCTT_MAP!$A$7:$C$66,IF($M81="THU",2,3),FALSE()),IFERROR(VLOOKUP(LEFT($N81,1),LCTT_MAP!$A$7:$C$66,IF($M81="THU",2,3),FALSE()),IF($M81="THU","06","07")))))))</f>
        <v/>
      </c>
      <c r="P81" s="117">
        <f>P80+IF(AND($H81&lt;&gt;"",OR(LEFT($F81,LEN(SC_TK))=SC_TK,LEFT($G81,LEN(SC_TK))=SC_TK)),1,0)</f>
        <v/>
      </c>
    </row>
    <row r="82" ht="15" customHeight="1" s="78">
      <c r="A82" s="95">
        <f>IF($H82="","",ROW()-6)</f>
        <v/>
      </c>
      <c r="B82" s="114" t="n"/>
      <c r="C82" s="102" t="n"/>
      <c r="D82" s="114" t="n"/>
      <c r="E82" s="103" t="n"/>
      <c r="F82" s="102" t="n"/>
      <c r="G82" s="102" t="n"/>
      <c r="H82" s="115" t="n"/>
      <c r="I82" s="102" t="n"/>
      <c r="J82" s="102" t="n"/>
      <c r="K82" s="103" t="n"/>
      <c r="L82" s="116">
        <f>IF($H82="","",TRIM(IF(COUNTIF(DMTK!$A$7:$A$250,$F82)=0,"TK Nợ sai! ","")&amp;IF(COUNTIF(DMTK!$A$7:$A$250,$G82)=0,"TK Có sai! ","")&amp;IF(N($H82)&lt;=0,"Tiền phải &gt; 0! ","")&amp;IF($B82="","Thiếu ngày! ","")&amp;IF(AND(OR(LEFT($F82,3)="131",LEFT($G82,3)="131",LEFT($F82,3)="331",LEFT($G82,3)="331"),$I82=""),"Thiếu Mã ĐT! ","")&amp;IF(AND($I82&lt;&gt;"",COUNTIF(DM_DT!$A$7:$A$306,$I82)=0),"Mã ĐT chưa khai báo! ","")))</f>
        <v/>
      </c>
      <c r="M82" s="117">
        <f>IF($H82="","",IF(AND(OR(LEFT($F82,3)="111",LEFT($F82,3)="112",LEFT($F82,3)="113"),OR(LEFT($G82,3)="111",LEFT($G82,3)="112",LEFT($G82,3)="113")),"NB",IF(OR(LEFT($F82,3)="111",LEFT($F82,3)="112",LEFT($F82,3)="113"),"THU",IF(OR(LEFT($G82,3)="111",LEFT($G82,3)="112",LEFT($G82,3)="113"),"CHI",""))))</f>
        <v/>
      </c>
      <c r="N82" s="117">
        <f>IF($M82="THU",$G82,IF($M82="CHI",$F82,""))</f>
        <v/>
      </c>
      <c r="O82" s="117">
        <f>IF(OR($M82="",$M82="NB"),"",IF($J82&lt;&gt;"",TEXT($J82,"00"),IFERROR(VLOOKUP(LEFT($N82,4),LCTT_MAP!$A$7:$C$66,IF($M82="THU",2,3),FALSE()),IFERROR(VLOOKUP(LEFT($N82,3),LCTT_MAP!$A$7:$C$66,IF($M82="THU",2,3),FALSE()),IFERROR(VLOOKUP(LEFT($N82,2),LCTT_MAP!$A$7:$C$66,IF($M82="THU",2,3),FALSE()),IFERROR(VLOOKUP(LEFT($N82,1),LCTT_MAP!$A$7:$C$66,IF($M82="THU",2,3),FALSE()),IF($M82="THU","06","07")))))))</f>
        <v/>
      </c>
      <c r="P82" s="117">
        <f>P81+IF(AND($H82&lt;&gt;"",OR(LEFT($F82,LEN(SC_TK))=SC_TK,LEFT($G82,LEN(SC_TK))=SC_TK)),1,0)</f>
        <v/>
      </c>
    </row>
    <row r="83" ht="15" customHeight="1" s="78">
      <c r="A83" s="95">
        <f>IF($H83="","",ROW()-6)</f>
        <v/>
      </c>
      <c r="B83" s="114" t="n"/>
      <c r="C83" s="102" t="n"/>
      <c r="D83" s="114" t="n"/>
      <c r="E83" s="103" t="n"/>
      <c r="F83" s="102" t="n"/>
      <c r="G83" s="102" t="n"/>
      <c r="H83" s="115" t="n"/>
      <c r="I83" s="102" t="n"/>
      <c r="J83" s="102" t="n"/>
      <c r="K83" s="103" t="n"/>
      <c r="L83" s="116">
        <f>IF($H83="","",TRIM(IF(COUNTIF(DMTK!$A$7:$A$250,$F83)=0,"TK Nợ sai! ","")&amp;IF(COUNTIF(DMTK!$A$7:$A$250,$G83)=0,"TK Có sai! ","")&amp;IF(N($H83)&lt;=0,"Tiền phải &gt; 0! ","")&amp;IF($B83="","Thiếu ngày! ","")&amp;IF(AND(OR(LEFT($F83,3)="131",LEFT($G83,3)="131",LEFT($F83,3)="331",LEFT($G83,3)="331"),$I83=""),"Thiếu Mã ĐT! ","")&amp;IF(AND($I83&lt;&gt;"",COUNTIF(DM_DT!$A$7:$A$306,$I83)=0),"Mã ĐT chưa khai báo! ","")))</f>
        <v/>
      </c>
      <c r="M83" s="117">
        <f>IF($H83="","",IF(AND(OR(LEFT($F83,3)="111",LEFT($F83,3)="112",LEFT($F83,3)="113"),OR(LEFT($G83,3)="111",LEFT($G83,3)="112",LEFT($G83,3)="113")),"NB",IF(OR(LEFT($F83,3)="111",LEFT($F83,3)="112",LEFT($F83,3)="113"),"THU",IF(OR(LEFT($G83,3)="111",LEFT($G83,3)="112",LEFT($G83,3)="113"),"CHI",""))))</f>
        <v/>
      </c>
      <c r="N83" s="117">
        <f>IF($M83="THU",$G83,IF($M83="CHI",$F83,""))</f>
        <v/>
      </c>
      <c r="O83" s="117">
        <f>IF(OR($M83="",$M83="NB"),"",IF($J83&lt;&gt;"",TEXT($J83,"00"),IFERROR(VLOOKUP(LEFT($N83,4),LCTT_MAP!$A$7:$C$66,IF($M83="THU",2,3),FALSE()),IFERROR(VLOOKUP(LEFT($N83,3),LCTT_MAP!$A$7:$C$66,IF($M83="THU",2,3),FALSE()),IFERROR(VLOOKUP(LEFT($N83,2),LCTT_MAP!$A$7:$C$66,IF($M83="THU",2,3),FALSE()),IFERROR(VLOOKUP(LEFT($N83,1),LCTT_MAP!$A$7:$C$66,IF($M83="THU",2,3),FALSE()),IF($M83="THU","06","07")))))))</f>
        <v/>
      </c>
      <c r="P83" s="117">
        <f>P82+IF(AND($H83&lt;&gt;"",OR(LEFT($F83,LEN(SC_TK))=SC_TK,LEFT($G83,LEN(SC_TK))=SC_TK)),1,0)</f>
        <v/>
      </c>
    </row>
    <row r="84" ht="15" customHeight="1" s="78">
      <c r="A84" s="95">
        <f>IF($H84="","",ROW()-6)</f>
        <v/>
      </c>
      <c r="B84" s="114" t="n"/>
      <c r="C84" s="102" t="n"/>
      <c r="D84" s="114" t="n"/>
      <c r="E84" s="103" t="n"/>
      <c r="F84" s="102" t="n"/>
      <c r="G84" s="102" t="n"/>
      <c r="H84" s="115" t="n"/>
      <c r="I84" s="102" t="n"/>
      <c r="J84" s="102" t="n"/>
      <c r="K84" s="103" t="n"/>
      <c r="L84" s="116">
        <f>IF($H84="","",TRIM(IF(COUNTIF(DMTK!$A$7:$A$250,$F84)=0,"TK Nợ sai! ","")&amp;IF(COUNTIF(DMTK!$A$7:$A$250,$G84)=0,"TK Có sai! ","")&amp;IF(N($H84)&lt;=0,"Tiền phải &gt; 0! ","")&amp;IF($B84="","Thiếu ngày! ","")&amp;IF(AND(OR(LEFT($F84,3)="131",LEFT($G84,3)="131",LEFT($F84,3)="331",LEFT($G84,3)="331"),$I84=""),"Thiếu Mã ĐT! ","")&amp;IF(AND($I84&lt;&gt;"",COUNTIF(DM_DT!$A$7:$A$306,$I84)=0),"Mã ĐT chưa khai báo! ","")))</f>
        <v/>
      </c>
      <c r="M84" s="117">
        <f>IF($H84="","",IF(AND(OR(LEFT($F84,3)="111",LEFT($F84,3)="112",LEFT($F84,3)="113"),OR(LEFT($G84,3)="111",LEFT($G84,3)="112",LEFT($G84,3)="113")),"NB",IF(OR(LEFT($F84,3)="111",LEFT($F84,3)="112",LEFT($F84,3)="113"),"THU",IF(OR(LEFT($G84,3)="111",LEFT($G84,3)="112",LEFT($G84,3)="113"),"CHI",""))))</f>
        <v/>
      </c>
      <c r="N84" s="117">
        <f>IF($M84="THU",$G84,IF($M84="CHI",$F84,""))</f>
        <v/>
      </c>
      <c r="O84" s="117">
        <f>IF(OR($M84="",$M84="NB"),"",IF($J84&lt;&gt;"",TEXT($J84,"00"),IFERROR(VLOOKUP(LEFT($N84,4),LCTT_MAP!$A$7:$C$66,IF($M84="THU",2,3),FALSE()),IFERROR(VLOOKUP(LEFT($N84,3),LCTT_MAP!$A$7:$C$66,IF($M84="THU",2,3),FALSE()),IFERROR(VLOOKUP(LEFT($N84,2),LCTT_MAP!$A$7:$C$66,IF($M84="THU",2,3),FALSE()),IFERROR(VLOOKUP(LEFT($N84,1),LCTT_MAP!$A$7:$C$66,IF($M84="THU",2,3),FALSE()),IF($M84="THU","06","07")))))))</f>
        <v/>
      </c>
      <c r="P84" s="117">
        <f>P83+IF(AND($H84&lt;&gt;"",OR(LEFT($F84,LEN(SC_TK))=SC_TK,LEFT($G84,LEN(SC_TK))=SC_TK)),1,0)</f>
        <v/>
      </c>
    </row>
    <row r="85" ht="15" customHeight="1" s="78">
      <c r="A85" s="95">
        <f>IF($H85="","",ROW()-6)</f>
        <v/>
      </c>
      <c r="B85" s="114" t="n"/>
      <c r="C85" s="102" t="n"/>
      <c r="D85" s="114" t="n"/>
      <c r="E85" s="103" t="n"/>
      <c r="F85" s="102" t="n"/>
      <c r="G85" s="102" t="n"/>
      <c r="H85" s="115" t="n"/>
      <c r="I85" s="102" t="n"/>
      <c r="J85" s="102" t="n"/>
      <c r="K85" s="103" t="n"/>
      <c r="L85" s="116">
        <f>IF($H85="","",TRIM(IF(COUNTIF(DMTK!$A$7:$A$250,$F85)=0,"TK Nợ sai! ","")&amp;IF(COUNTIF(DMTK!$A$7:$A$250,$G85)=0,"TK Có sai! ","")&amp;IF(N($H85)&lt;=0,"Tiền phải &gt; 0! ","")&amp;IF($B85="","Thiếu ngày! ","")&amp;IF(AND(OR(LEFT($F85,3)="131",LEFT($G85,3)="131",LEFT($F85,3)="331",LEFT($G85,3)="331"),$I85=""),"Thiếu Mã ĐT! ","")&amp;IF(AND($I85&lt;&gt;"",COUNTIF(DM_DT!$A$7:$A$306,$I85)=0),"Mã ĐT chưa khai báo! ","")))</f>
        <v/>
      </c>
      <c r="M85" s="117">
        <f>IF($H85="","",IF(AND(OR(LEFT($F85,3)="111",LEFT($F85,3)="112",LEFT($F85,3)="113"),OR(LEFT($G85,3)="111",LEFT($G85,3)="112",LEFT($G85,3)="113")),"NB",IF(OR(LEFT($F85,3)="111",LEFT($F85,3)="112",LEFT($F85,3)="113"),"THU",IF(OR(LEFT($G85,3)="111",LEFT($G85,3)="112",LEFT($G85,3)="113"),"CHI",""))))</f>
        <v/>
      </c>
      <c r="N85" s="117">
        <f>IF($M85="THU",$G85,IF($M85="CHI",$F85,""))</f>
        <v/>
      </c>
      <c r="O85" s="117">
        <f>IF(OR($M85="",$M85="NB"),"",IF($J85&lt;&gt;"",TEXT($J85,"00"),IFERROR(VLOOKUP(LEFT($N85,4),LCTT_MAP!$A$7:$C$66,IF($M85="THU",2,3),FALSE()),IFERROR(VLOOKUP(LEFT($N85,3),LCTT_MAP!$A$7:$C$66,IF($M85="THU",2,3),FALSE()),IFERROR(VLOOKUP(LEFT($N85,2),LCTT_MAP!$A$7:$C$66,IF($M85="THU",2,3),FALSE()),IFERROR(VLOOKUP(LEFT($N85,1),LCTT_MAP!$A$7:$C$66,IF($M85="THU",2,3),FALSE()),IF($M85="THU","06","07")))))))</f>
        <v/>
      </c>
      <c r="P85" s="117">
        <f>P84+IF(AND($H85&lt;&gt;"",OR(LEFT($F85,LEN(SC_TK))=SC_TK,LEFT($G85,LEN(SC_TK))=SC_TK)),1,0)</f>
        <v/>
      </c>
    </row>
    <row r="86" ht="15" customHeight="1" s="78">
      <c r="A86" s="95">
        <f>IF($H86="","",ROW()-6)</f>
        <v/>
      </c>
      <c r="B86" s="114" t="n"/>
      <c r="C86" s="102" t="n"/>
      <c r="D86" s="114" t="n"/>
      <c r="E86" s="103" t="n"/>
      <c r="F86" s="102" t="n"/>
      <c r="G86" s="102" t="n"/>
      <c r="H86" s="115" t="n"/>
      <c r="I86" s="102" t="n"/>
      <c r="J86" s="102" t="n"/>
      <c r="K86" s="103" t="n"/>
      <c r="L86" s="116">
        <f>IF($H86="","",TRIM(IF(COUNTIF(DMTK!$A$7:$A$250,$F86)=0,"TK Nợ sai! ","")&amp;IF(COUNTIF(DMTK!$A$7:$A$250,$G86)=0,"TK Có sai! ","")&amp;IF(N($H86)&lt;=0,"Tiền phải &gt; 0! ","")&amp;IF($B86="","Thiếu ngày! ","")&amp;IF(AND(OR(LEFT($F86,3)="131",LEFT($G86,3)="131",LEFT($F86,3)="331",LEFT($G86,3)="331"),$I86=""),"Thiếu Mã ĐT! ","")&amp;IF(AND($I86&lt;&gt;"",COUNTIF(DM_DT!$A$7:$A$306,$I86)=0),"Mã ĐT chưa khai báo! ","")))</f>
        <v/>
      </c>
      <c r="M86" s="117">
        <f>IF($H86="","",IF(AND(OR(LEFT($F86,3)="111",LEFT($F86,3)="112",LEFT($F86,3)="113"),OR(LEFT($G86,3)="111",LEFT($G86,3)="112",LEFT($G86,3)="113")),"NB",IF(OR(LEFT($F86,3)="111",LEFT($F86,3)="112",LEFT($F86,3)="113"),"THU",IF(OR(LEFT($G86,3)="111",LEFT($G86,3)="112",LEFT($G86,3)="113"),"CHI",""))))</f>
        <v/>
      </c>
      <c r="N86" s="117">
        <f>IF($M86="THU",$G86,IF($M86="CHI",$F86,""))</f>
        <v/>
      </c>
      <c r="O86" s="117">
        <f>IF(OR($M86="",$M86="NB"),"",IF($J86&lt;&gt;"",TEXT($J86,"00"),IFERROR(VLOOKUP(LEFT($N86,4),LCTT_MAP!$A$7:$C$66,IF($M86="THU",2,3),FALSE()),IFERROR(VLOOKUP(LEFT($N86,3),LCTT_MAP!$A$7:$C$66,IF($M86="THU",2,3),FALSE()),IFERROR(VLOOKUP(LEFT($N86,2),LCTT_MAP!$A$7:$C$66,IF($M86="THU",2,3),FALSE()),IFERROR(VLOOKUP(LEFT($N86,1),LCTT_MAP!$A$7:$C$66,IF($M86="THU",2,3),FALSE()),IF($M86="THU","06","07")))))))</f>
        <v/>
      </c>
      <c r="P86" s="117">
        <f>P85+IF(AND($H86&lt;&gt;"",OR(LEFT($F86,LEN(SC_TK))=SC_TK,LEFT($G86,LEN(SC_TK))=SC_TK)),1,0)</f>
        <v/>
      </c>
    </row>
    <row r="87" ht="15" customHeight="1" s="78">
      <c r="A87" s="95">
        <f>IF($H87="","",ROW()-6)</f>
        <v/>
      </c>
      <c r="B87" s="114" t="n"/>
      <c r="C87" s="102" t="n"/>
      <c r="D87" s="114" t="n"/>
      <c r="E87" s="103" t="n"/>
      <c r="F87" s="102" t="n"/>
      <c r="G87" s="102" t="n"/>
      <c r="H87" s="115" t="n"/>
      <c r="I87" s="102" t="n"/>
      <c r="J87" s="102" t="n"/>
      <c r="K87" s="103" t="n"/>
      <c r="L87" s="116">
        <f>IF($H87="","",TRIM(IF(COUNTIF(DMTK!$A$7:$A$250,$F87)=0,"TK Nợ sai! ","")&amp;IF(COUNTIF(DMTK!$A$7:$A$250,$G87)=0,"TK Có sai! ","")&amp;IF(N($H87)&lt;=0,"Tiền phải &gt; 0! ","")&amp;IF($B87="","Thiếu ngày! ","")&amp;IF(AND(OR(LEFT($F87,3)="131",LEFT($G87,3)="131",LEFT($F87,3)="331",LEFT($G87,3)="331"),$I87=""),"Thiếu Mã ĐT! ","")&amp;IF(AND($I87&lt;&gt;"",COUNTIF(DM_DT!$A$7:$A$306,$I87)=0),"Mã ĐT chưa khai báo! ","")))</f>
        <v/>
      </c>
      <c r="M87" s="117">
        <f>IF($H87="","",IF(AND(OR(LEFT($F87,3)="111",LEFT($F87,3)="112",LEFT($F87,3)="113"),OR(LEFT($G87,3)="111",LEFT($G87,3)="112",LEFT($G87,3)="113")),"NB",IF(OR(LEFT($F87,3)="111",LEFT($F87,3)="112",LEFT($F87,3)="113"),"THU",IF(OR(LEFT($G87,3)="111",LEFT($G87,3)="112",LEFT($G87,3)="113"),"CHI",""))))</f>
        <v/>
      </c>
      <c r="N87" s="117">
        <f>IF($M87="THU",$G87,IF($M87="CHI",$F87,""))</f>
        <v/>
      </c>
      <c r="O87" s="117">
        <f>IF(OR($M87="",$M87="NB"),"",IF($J87&lt;&gt;"",TEXT($J87,"00"),IFERROR(VLOOKUP(LEFT($N87,4),LCTT_MAP!$A$7:$C$66,IF($M87="THU",2,3),FALSE()),IFERROR(VLOOKUP(LEFT($N87,3),LCTT_MAP!$A$7:$C$66,IF($M87="THU",2,3),FALSE()),IFERROR(VLOOKUP(LEFT($N87,2),LCTT_MAP!$A$7:$C$66,IF($M87="THU",2,3),FALSE()),IFERROR(VLOOKUP(LEFT($N87,1),LCTT_MAP!$A$7:$C$66,IF($M87="THU",2,3),FALSE()),IF($M87="THU","06","07")))))))</f>
        <v/>
      </c>
      <c r="P87" s="117">
        <f>P86+IF(AND($H87&lt;&gt;"",OR(LEFT($F87,LEN(SC_TK))=SC_TK,LEFT($G87,LEN(SC_TK))=SC_TK)),1,0)</f>
        <v/>
      </c>
    </row>
    <row r="88" ht="15" customHeight="1" s="78">
      <c r="A88" s="95">
        <f>IF($H88="","",ROW()-6)</f>
        <v/>
      </c>
      <c r="B88" s="114" t="n"/>
      <c r="C88" s="102" t="n"/>
      <c r="D88" s="114" t="n"/>
      <c r="E88" s="103" t="n"/>
      <c r="F88" s="102" t="n"/>
      <c r="G88" s="102" t="n"/>
      <c r="H88" s="115" t="n"/>
      <c r="I88" s="102" t="n"/>
      <c r="J88" s="102" t="n"/>
      <c r="K88" s="103" t="n"/>
      <c r="L88" s="116">
        <f>IF($H88="","",TRIM(IF(COUNTIF(DMTK!$A$7:$A$250,$F88)=0,"TK Nợ sai! ","")&amp;IF(COUNTIF(DMTK!$A$7:$A$250,$G88)=0,"TK Có sai! ","")&amp;IF(N($H88)&lt;=0,"Tiền phải &gt; 0! ","")&amp;IF($B88="","Thiếu ngày! ","")&amp;IF(AND(OR(LEFT($F88,3)="131",LEFT($G88,3)="131",LEFT($F88,3)="331",LEFT($G88,3)="331"),$I88=""),"Thiếu Mã ĐT! ","")&amp;IF(AND($I88&lt;&gt;"",COUNTIF(DM_DT!$A$7:$A$306,$I88)=0),"Mã ĐT chưa khai báo! ","")))</f>
        <v/>
      </c>
      <c r="M88" s="117">
        <f>IF($H88="","",IF(AND(OR(LEFT($F88,3)="111",LEFT($F88,3)="112",LEFT($F88,3)="113"),OR(LEFT($G88,3)="111",LEFT($G88,3)="112",LEFT($G88,3)="113")),"NB",IF(OR(LEFT($F88,3)="111",LEFT($F88,3)="112",LEFT($F88,3)="113"),"THU",IF(OR(LEFT($G88,3)="111",LEFT($G88,3)="112",LEFT($G88,3)="113"),"CHI",""))))</f>
        <v/>
      </c>
      <c r="N88" s="117">
        <f>IF($M88="THU",$G88,IF($M88="CHI",$F88,""))</f>
        <v/>
      </c>
      <c r="O88" s="117">
        <f>IF(OR($M88="",$M88="NB"),"",IF($J88&lt;&gt;"",TEXT($J88,"00"),IFERROR(VLOOKUP(LEFT($N88,4),LCTT_MAP!$A$7:$C$66,IF($M88="THU",2,3),FALSE()),IFERROR(VLOOKUP(LEFT($N88,3),LCTT_MAP!$A$7:$C$66,IF($M88="THU",2,3),FALSE()),IFERROR(VLOOKUP(LEFT($N88,2),LCTT_MAP!$A$7:$C$66,IF($M88="THU",2,3),FALSE()),IFERROR(VLOOKUP(LEFT($N88,1),LCTT_MAP!$A$7:$C$66,IF($M88="THU",2,3),FALSE()),IF($M88="THU","06","07")))))))</f>
        <v/>
      </c>
      <c r="P88" s="117">
        <f>P87+IF(AND($H88&lt;&gt;"",OR(LEFT($F88,LEN(SC_TK))=SC_TK,LEFT($G88,LEN(SC_TK))=SC_TK)),1,0)</f>
        <v/>
      </c>
    </row>
    <row r="89" ht="15" customHeight="1" s="78">
      <c r="A89" s="95">
        <f>IF($H89="","",ROW()-6)</f>
        <v/>
      </c>
      <c r="B89" s="114" t="n"/>
      <c r="C89" s="102" t="n"/>
      <c r="D89" s="114" t="n"/>
      <c r="E89" s="103" t="n"/>
      <c r="F89" s="102" t="n"/>
      <c r="G89" s="102" t="n"/>
      <c r="H89" s="115" t="n"/>
      <c r="I89" s="102" t="n"/>
      <c r="J89" s="102" t="n"/>
      <c r="K89" s="103" t="n"/>
      <c r="L89" s="116">
        <f>IF($H89="","",TRIM(IF(COUNTIF(DMTK!$A$7:$A$250,$F89)=0,"TK Nợ sai! ","")&amp;IF(COUNTIF(DMTK!$A$7:$A$250,$G89)=0,"TK Có sai! ","")&amp;IF(N($H89)&lt;=0,"Tiền phải &gt; 0! ","")&amp;IF($B89="","Thiếu ngày! ","")&amp;IF(AND(OR(LEFT($F89,3)="131",LEFT($G89,3)="131",LEFT($F89,3)="331",LEFT($G89,3)="331"),$I89=""),"Thiếu Mã ĐT! ","")&amp;IF(AND($I89&lt;&gt;"",COUNTIF(DM_DT!$A$7:$A$306,$I89)=0),"Mã ĐT chưa khai báo! ","")))</f>
        <v/>
      </c>
      <c r="M89" s="117">
        <f>IF($H89="","",IF(AND(OR(LEFT($F89,3)="111",LEFT($F89,3)="112",LEFT($F89,3)="113"),OR(LEFT($G89,3)="111",LEFT($G89,3)="112",LEFT($G89,3)="113")),"NB",IF(OR(LEFT($F89,3)="111",LEFT($F89,3)="112",LEFT($F89,3)="113"),"THU",IF(OR(LEFT($G89,3)="111",LEFT($G89,3)="112",LEFT($G89,3)="113"),"CHI",""))))</f>
        <v/>
      </c>
      <c r="N89" s="117">
        <f>IF($M89="THU",$G89,IF($M89="CHI",$F89,""))</f>
        <v/>
      </c>
      <c r="O89" s="117">
        <f>IF(OR($M89="",$M89="NB"),"",IF($J89&lt;&gt;"",TEXT($J89,"00"),IFERROR(VLOOKUP(LEFT($N89,4),LCTT_MAP!$A$7:$C$66,IF($M89="THU",2,3),FALSE()),IFERROR(VLOOKUP(LEFT($N89,3),LCTT_MAP!$A$7:$C$66,IF($M89="THU",2,3),FALSE()),IFERROR(VLOOKUP(LEFT($N89,2),LCTT_MAP!$A$7:$C$66,IF($M89="THU",2,3),FALSE()),IFERROR(VLOOKUP(LEFT($N89,1),LCTT_MAP!$A$7:$C$66,IF($M89="THU",2,3),FALSE()),IF($M89="THU","06","07")))))))</f>
        <v/>
      </c>
      <c r="P89" s="117">
        <f>P88+IF(AND($H89&lt;&gt;"",OR(LEFT($F89,LEN(SC_TK))=SC_TK,LEFT($G89,LEN(SC_TK))=SC_TK)),1,0)</f>
        <v/>
      </c>
    </row>
    <row r="90" ht="15" customHeight="1" s="78">
      <c r="A90" s="95">
        <f>IF($H90="","",ROW()-6)</f>
        <v/>
      </c>
      <c r="B90" s="114" t="n"/>
      <c r="C90" s="102" t="n"/>
      <c r="D90" s="114" t="n"/>
      <c r="E90" s="103" t="n"/>
      <c r="F90" s="102" t="n"/>
      <c r="G90" s="102" t="n"/>
      <c r="H90" s="115" t="n"/>
      <c r="I90" s="102" t="n"/>
      <c r="J90" s="102" t="n"/>
      <c r="K90" s="103" t="n"/>
      <c r="L90" s="116">
        <f>IF($H90="","",TRIM(IF(COUNTIF(DMTK!$A$7:$A$250,$F90)=0,"TK Nợ sai! ","")&amp;IF(COUNTIF(DMTK!$A$7:$A$250,$G90)=0,"TK Có sai! ","")&amp;IF(N($H90)&lt;=0,"Tiền phải &gt; 0! ","")&amp;IF($B90="","Thiếu ngày! ","")&amp;IF(AND(OR(LEFT($F90,3)="131",LEFT($G90,3)="131",LEFT($F90,3)="331",LEFT($G90,3)="331"),$I90=""),"Thiếu Mã ĐT! ","")&amp;IF(AND($I90&lt;&gt;"",COUNTIF(DM_DT!$A$7:$A$306,$I90)=0),"Mã ĐT chưa khai báo! ","")))</f>
        <v/>
      </c>
      <c r="M90" s="117">
        <f>IF($H90="","",IF(AND(OR(LEFT($F90,3)="111",LEFT($F90,3)="112",LEFT($F90,3)="113"),OR(LEFT($G90,3)="111",LEFT($G90,3)="112",LEFT($G90,3)="113")),"NB",IF(OR(LEFT($F90,3)="111",LEFT($F90,3)="112",LEFT($F90,3)="113"),"THU",IF(OR(LEFT($G90,3)="111",LEFT($G90,3)="112",LEFT($G90,3)="113"),"CHI",""))))</f>
        <v/>
      </c>
      <c r="N90" s="117">
        <f>IF($M90="THU",$G90,IF($M90="CHI",$F90,""))</f>
        <v/>
      </c>
      <c r="O90" s="117">
        <f>IF(OR($M90="",$M90="NB"),"",IF($J90&lt;&gt;"",TEXT($J90,"00"),IFERROR(VLOOKUP(LEFT($N90,4),LCTT_MAP!$A$7:$C$66,IF($M90="THU",2,3),FALSE()),IFERROR(VLOOKUP(LEFT($N90,3),LCTT_MAP!$A$7:$C$66,IF($M90="THU",2,3),FALSE()),IFERROR(VLOOKUP(LEFT($N90,2),LCTT_MAP!$A$7:$C$66,IF($M90="THU",2,3),FALSE()),IFERROR(VLOOKUP(LEFT($N90,1),LCTT_MAP!$A$7:$C$66,IF($M90="THU",2,3),FALSE()),IF($M90="THU","06","07")))))))</f>
        <v/>
      </c>
      <c r="P90" s="117">
        <f>P89+IF(AND($H90&lt;&gt;"",OR(LEFT($F90,LEN(SC_TK))=SC_TK,LEFT($G90,LEN(SC_TK))=SC_TK)),1,0)</f>
        <v/>
      </c>
    </row>
    <row r="91" ht="15" customHeight="1" s="78">
      <c r="A91" s="95">
        <f>IF($H91="","",ROW()-6)</f>
        <v/>
      </c>
      <c r="B91" s="114" t="n"/>
      <c r="C91" s="102" t="n"/>
      <c r="D91" s="114" t="n"/>
      <c r="E91" s="103" t="n"/>
      <c r="F91" s="102" t="n"/>
      <c r="G91" s="102" t="n"/>
      <c r="H91" s="115" t="n"/>
      <c r="I91" s="102" t="n"/>
      <c r="J91" s="102" t="n"/>
      <c r="K91" s="103" t="n"/>
      <c r="L91" s="116">
        <f>IF($H91="","",TRIM(IF(COUNTIF(DMTK!$A$7:$A$250,$F91)=0,"TK Nợ sai! ","")&amp;IF(COUNTIF(DMTK!$A$7:$A$250,$G91)=0,"TK Có sai! ","")&amp;IF(N($H91)&lt;=0,"Tiền phải &gt; 0! ","")&amp;IF($B91="","Thiếu ngày! ","")&amp;IF(AND(OR(LEFT($F91,3)="131",LEFT($G91,3)="131",LEFT($F91,3)="331",LEFT($G91,3)="331"),$I91=""),"Thiếu Mã ĐT! ","")&amp;IF(AND($I91&lt;&gt;"",COUNTIF(DM_DT!$A$7:$A$306,$I91)=0),"Mã ĐT chưa khai báo! ","")))</f>
        <v/>
      </c>
      <c r="M91" s="117">
        <f>IF($H91="","",IF(AND(OR(LEFT($F91,3)="111",LEFT($F91,3)="112",LEFT($F91,3)="113"),OR(LEFT($G91,3)="111",LEFT($G91,3)="112",LEFT($G91,3)="113")),"NB",IF(OR(LEFT($F91,3)="111",LEFT($F91,3)="112",LEFT($F91,3)="113"),"THU",IF(OR(LEFT($G91,3)="111",LEFT($G91,3)="112",LEFT($G91,3)="113"),"CHI",""))))</f>
        <v/>
      </c>
      <c r="N91" s="117">
        <f>IF($M91="THU",$G91,IF($M91="CHI",$F91,""))</f>
        <v/>
      </c>
      <c r="O91" s="117">
        <f>IF(OR($M91="",$M91="NB"),"",IF($J91&lt;&gt;"",TEXT($J91,"00"),IFERROR(VLOOKUP(LEFT($N91,4),LCTT_MAP!$A$7:$C$66,IF($M91="THU",2,3),FALSE()),IFERROR(VLOOKUP(LEFT($N91,3),LCTT_MAP!$A$7:$C$66,IF($M91="THU",2,3),FALSE()),IFERROR(VLOOKUP(LEFT($N91,2),LCTT_MAP!$A$7:$C$66,IF($M91="THU",2,3),FALSE()),IFERROR(VLOOKUP(LEFT($N91,1),LCTT_MAP!$A$7:$C$66,IF($M91="THU",2,3),FALSE()),IF($M91="THU","06","07")))))))</f>
        <v/>
      </c>
      <c r="P91" s="117">
        <f>P90+IF(AND($H91&lt;&gt;"",OR(LEFT($F91,LEN(SC_TK))=SC_TK,LEFT($G91,LEN(SC_TK))=SC_TK)),1,0)</f>
        <v/>
      </c>
    </row>
    <row r="92" ht="15" customHeight="1" s="78">
      <c r="A92" s="95">
        <f>IF($H92="","",ROW()-6)</f>
        <v/>
      </c>
      <c r="B92" s="114" t="n"/>
      <c r="C92" s="102" t="n"/>
      <c r="D92" s="114" t="n"/>
      <c r="E92" s="103" t="n"/>
      <c r="F92" s="102" t="n"/>
      <c r="G92" s="102" t="n"/>
      <c r="H92" s="115" t="n"/>
      <c r="I92" s="102" t="n"/>
      <c r="J92" s="102" t="n"/>
      <c r="K92" s="103" t="n"/>
      <c r="L92" s="116">
        <f>IF($H92="","",TRIM(IF(COUNTIF(DMTK!$A$7:$A$250,$F92)=0,"TK Nợ sai! ","")&amp;IF(COUNTIF(DMTK!$A$7:$A$250,$G92)=0,"TK Có sai! ","")&amp;IF(N($H92)&lt;=0,"Tiền phải &gt; 0! ","")&amp;IF($B92="","Thiếu ngày! ","")&amp;IF(AND(OR(LEFT($F92,3)="131",LEFT($G92,3)="131",LEFT($F92,3)="331",LEFT($G92,3)="331"),$I92=""),"Thiếu Mã ĐT! ","")&amp;IF(AND($I92&lt;&gt;"",COUNTIF(DM_DT!$A$7:$A$306,$I92)=0),"Mã ĐT chưa khai báo! ","")))</f>
        <v/>
      </c>
      <c r="M92" s="117">
        <f>IF($H92="","",IF(AND(OR(LEFT($F92,3)="111",LEFT($F92,3)="112",LEFT($F92,3)="113"),OR(LEFT($G92,3)="111",LEFT($G92,3)="112",LEFT($G92,3)="113")),"NB",IF(OR(LEFT($F92,3)="111",LEFT($F92,3)="112",LEFT($F92,3)="113"),"THU",IF(OR(LEFT($G92,3)="111",LEFT($G92,3)="112",LEFT($G92,3)="113"),"CHI",""))))</f>
        <v/>
      </c>
      <c r="N92" s="117">
        <f>IF($M92="THU",$G92,IF($M92="CHI",$F92,""))</f>
        <v/>
      </c>
      <c r="O92" s="117">
        <f>IF(OR($M92="",$M92="NB"),"",IF($J92&lt;&gt;"",TEXT($J92,"00"),IFERROR(VLOOKUP(LEFT($N92,4),LCTT_MAP!$A$7:$C$66,IF($M92="THU",2,3),FALSE()),IFERROR(VLOOKUP(LEFT($N92,3),LCTT_MAP!$A$7:$C$66,IF($M92="THU",2,3),FALSE()),IFERROR(VLOOKUP(LEFT($N92,2),LCTT_MAP!$A$7:$C$66,IF($M92="THU",2,3),FALSE()),IFERROR(VLOOKUP(LEFT($N92,1),LCTT_MAP!$A$7:$C$66,IF($M92="THU",2,3),FALSE()),IF($M92="THU","06","07")))))))</f>
        <v/>
      </c>
      <c r="P92" s="117">
        <f>P91+IF(AND($H92&lt;&gt;"",OR(LEFT($F92,LEN(SC_TK))=SC_TK,LEFT($G92,LEN(SC_TK))=SC_TK)),1,0)</f>
        <v/>
      </c>
    </row>
    <row r="93" ht="15" customHeight="1" s="78">
      <c r="A93" s="95">
        <f>IF($H93="","",ROW()-6)</f>
        <v/>
      </c>
      <c r="B93" s="114" t="n"/>
      <c r="C93" s="102" t="n"/>
      <c r="D93" s="114" t="n"/>
      <c r="E93" s="103" t="n"/>
      <c r="F93" s="102" t="n"/>
      <c r="G93" s="102" t="n"/>
      <c r="H93" s="115" t="n"/>
      <c r="I93" s="102" t="n"/>
      <c r="J93" s="102" t="n"/>
      <c r="K93" s="103" t="n"/>
      <c r="L93" s="116">
        <f>IF($H93="","",TRIM(IF(COUNTIF(DMTK!$A$7:$A$250,$F93)=0,"TK Nợ sai! ","")&amp;IF(COUNTIF(DMTK!$A$7:$A$250,$G93)=0,"TK Có sai! ","")&amp;IF(N($H93)&lt;=0,"Tiền phải &gt; 0! ","")&amp;IF($B93="","Thiếu ngày! ","")&amp;IF(AND(OR(LEFT($F93,3)="131",LEFT($G93,3)="131",LEFT($F93,3)="331",LEFT($G93,3)="331"),$I93=""),"Thiếu Mã ĐT! ","")&amp;IF(AND($I93&lt;&gt;"",COUNTIF(DM_DT!$A$7:$A$306,$I93)=0),"Mã ĐT chưa khai báo! ","")))</f>
        <v/>
      </c>
      <c r="M93" s="117">
        <f>IF($H93="","",IF(AND(OR(LEFT($F93,3)="111",LEFT($F93,3)="112",LEFT($F93,3)="113"),OR(LEFT($G93,3)="111",LEFT($G93,3)="112",LEFT($G93,3)="113")),"NB",IF(OR(LEFT($F93,3)="111",LEFT($F93,3)="112",LEFT($F93,3)="113"),"THU",IF(OR(LEFT($G93,3)="111",LEFT($G93,3)="112",LEFT($G93,3)="113"),"CHI",""))))</f>
        <v/>
      </c>
      <c r="N93" s="117">
        <f>IF($M93="THU",$G93,IF($M93="CHI",$F93,""))</f>
        <v/>
      </c>
      <c r="O93" s="117">
        <f>IF(OR($M93="",$M93="NB"),"",IF($J93&lt;&gt;"",TEXT($J93,"00"),IFERROR(VLOOKUP(LEFT($N93,4),LCTT_MAP!$A$7:$C$66,IF($M93="THU",2,3),FALSE()),IFERROR(VLOOKUP(LEFT($N93,3),LCTT_MAP!$A$7:$C$66,IF($M93="THU",2,3),FALSE()),IFERROR(VLOOKUP(LEFT($N93,2),LCTT_MAP!$A$7:$C$66,IF($M93="THU",2,3),FALSE()),IFERROR(VLOOKUP(LEFT($N93,1),LCTT_MAP!$A$7:$C$66,IF($M93="THU",2,3),FALSE()),IF($M93="THU","06","07")))))))</f>
        <v/>
      </c>
      <c r="P93" s="117">
        <f>P92+IF(AND($H93&lt;&gt;"",OR(LEFT($F93,LEN(SC_TK))=SC_TK,LEFT($G93,LEN(SC_TK))=SC_TK)),1,0)</f>
        <v/>
      </c>
    </row>
    <row r="94" ht="15" customHeight="1" s="78">
      <c r="A94" s="95">
        <f>IF($H94="","",ROW()-6)</f>
        <v/>
      </c>
      <c r="B94" s="114" t="n"/>
      <c r="C94" s="102" t="n"/>
      <c r="D94" s="114" t="n"/>
      <c r="E94" s="103" t="n"/>
      <c r="F94" s="102" t="n"/>
      <c r="G94" s="102" t="n"/>
      <c r="H94" s="115" t="n"/>
      <c r="I94" s="102" t="n"/>
      <c r="J94" s="102" t="n"/>
      <c r="K94" s="103" t="n"/>
      <c r="L94" s="116">
        <f>IF($H94="","",TRIM(IF(COUNTIF(DMTK!$A$7:$A$250,$F94)=0,"TK Nợ sai! ","")&amp;IF(COUNTIF(DMTK!$A$7:$A$250,$G94)=0,"TK Có sai! ","")&amp;IF(N($H94)&lt;=0,"Tiền phải &gt; 0! ","")&amp;IF($B94="","Thiếu ngày! ","")&amp;IF(AND(OR(LEFT($F94,3)="131",LEFT($G94,3)="131",LEFT($F94,3)="331",LEFT($G94,3)="331"),$I94=""),"Thiếu Mã ĐT! ","")&amp;IF(AND($I94&lt;&gt;"",COUNTIF(DM_DT!$A$7:$A$306,$I94)=0),"Mã ĐT chưa khai báo! ","")))</f>
        <v/>
      </c>
      <c r="M94" s="117">
        <f>IF($H94="","",IF(AND(OR(LEFT($F94,3)="111",LEFT($F94,3)="112",LEFT($F94,3)="113"),OR(LEFT($G94,3)="111",LEFT($G94,3)="112",LEFT($G94,3)="113")),"NB",IF(OR(LEFT($F94,3)="111",LEFT($F94,3)="112",LEFT($F94,3)="113"),"THU",IF(OR(LEFT($G94,3)="111",LEFT($G94,3)="112",LEFT($G94,3)="113"),"CHI",""))))</f>
        <v/>
      </c>
      <c r="N94" s="117">
        <f>IF($M94="THU",$G94,IF($M94="CHI",$F94,""))</f>
        <v/>
      </c>
      <c r="O94" s="117">
        <f>IF(OR($M94="",$M94="NB"),"",IF($J94&lt;&gt;"",TEXT($J94,"00"),IFERROR(VLOOKUP(LEFT($N94,4),LCTT_MAP!$A$7:$C$66,IF($M94="THU",2,3),FALSE()),IFERROR(VLOOKUP(LEFT($N94,3),LCTT_MAP!$A$7:$C$66,IF($M94="THU",2,3),FALSE()),IFERROR(VLOOKUP(LEFT($N94,2),LCTT_MAP!$A$7:$C$66,IF($M94="THU",2,3),FALSE()),IFERROR(VLOOKUP(LEFT($N94,1),LCTT_MAP!$A$7:$C$66,IF($M94="THU",2,3),FALSE()),IF($M94="THU","06","07")))))))</f>
        <v/>
      </c>
      <c r="P94" s="117">
        <f>P93+IF(AND($H94&lt;&gt;"",OR(LEFT($F94,LEN(SC_TK))=SC_TK,LEFT($G94,LEN(SC_TK))=SC_TK)),1,0)</f>
        <v/>
      </c>
    </row>
    <row r="95" ht="15" customHeight="1" s="78">
      <c r="A95" s="95">
        <f>IF($H95="","",ROW()-6)</f>
        <v/>
      </c>
      <c r="B95" s="114" t="n"/>
      <c r="C95" s="102" t="n"/>
      <c r="D95" s="114" t="n"/>
      <c r="E95" s="103" t="n"/>
      <c r="F95" s="102" t="n"/>
      <c r="G95" s="102" t="n"/>
      <c r="H95" s="115" t="n"/>
      <c r="I95" s="102" t="n"/>
      <c r="J95" s="102" t="n"/>
      <c r="K95" s="103" t="n"/>
      <c r="L95" s="116">
        <f>IF($H95="","",TRIM(IF(COUNTIF(DMTK!$A$7:$A$250,$F95)=0,"TK Nợ sai! ","")&amp;IF(COUNTIF(DMTK!$A$7:$A$250,$G95)=0,"TK Có sai! ","")&amp;IF(N($H95)&lt;=0,"Tiền phải &gt; 0! ","")&amp;IF($B95="","Thiếu ngày! ","")&amp;IF(AND(OR(LEFT($F95,3)="131",LEFT($G95,3)="131",LEFT($F95,3)="331",LEFT($G95,3)="331"),$I95=""),"Thiếu Mã ĐT! ","")&amp;IF(AND($I95&lt;&gt;"",COUNTIF(DM_DT!$A$7:$A$306,$I95)=0),"Mã ĐT chưa khai báo! ","")))</f>
        <v/>
      </c>
      <c r="M95" s="117">
        <f>IF($H95="","",IF(AND(OR(LEFT($F95,3)="111",LEFT($F95,3)="112",LEFT($F95,3)="113"),OR(LEFT($G95,3)="111",LEFT($G95,3)="112",LEFT($G95,3)="113")),"NB",IF(OR(LEFT($F95,3)="111",LEFT($F95,3)="112",LEFT($F95,3)="113"),"THU",IF(OR(LEFT($G95,3)="111",LEFT($G95,3)="112",LEFT($G95,3)="113"),"CHI",""))))</f>
        <v/>
      </c>
      <c r="N95" s="117">
        <f>IF($M95="THU",$G95,IF($M95="CHI",$F95,""))</f>
        <v/>
      </c>
      <c r="O95" s="117">
        <f>IF(OR($M95="",$M95="NB"),"",IF($J95&lt;&gt;"",TEXT($J95,"00"),IFERROR(VLOOKUP(LEFT($N95,4),LCTT_MAP!$A$7:$C$66,IF($M95="THU",2,3),FALSE()),IFERROR(VLOOKUP(LEFT($N95,3),LCTT_MAP!$A$7:$C$66,IF($M95="THU",2,3),FALSE()),IFERROR(VLOOKUP(LEFT($N95,2),LCTT_MAP!$A$7:$C$66,IF($M95="THU",2,3),FALSE()),IFERROR(VLOOKUP(LEFT($N95,1),LCTT_MAP!$A$7:$C$66,IF($M95="THU",2,3),FALSE()),IF($M95="THU","06","07")))))))</f>
        <v/>
      </c>
      <c r="P95" s="117">
        <f>P94+IF(AND($H95&lt;&gt;"",OR(LEFT($F95,LEN(SC_TK))=SC_TK,LEFT($G95,LEN(SC_TK))=SC_TK)),1,0)</f>
        <v/>
      </c>
    </row>
    <row r="96" ht="15" customHeight="1" s="78">
      <c r="A96" s="95">
        <f>IF($H96="","",ROW()-6)</f>
        <v/>
      </c>
      <c r="B96" s="114" t="n"/>
      <c r="C96" s="102" t="n"/>
      <c r="D96" s="114" t="n"/>
      <c r="E96" s="103" t="n"/>
      <c r="F96" s="102" t="n"/>
      <c r="G96" s="102" t="n"/>
      <c r="H96" s="115" t="n"/>
      <c r="I96" s="102" t="n"/>
      <c r="J96" s="102" t="n"/>
      <c r="K96" s="103" t="n"/>
      <c r="L96" s="116">
        <f>IF($H96="","",TRIM(IF(COUNTIF(DMTK!$A$7:$A$250,$F96)=0,"TK Nợ sai! ","")&amp;IF(COUNTIF(DMTK!$A$7:$A$250,$G96)=0,"TK Có sai! ","")&amp;IF(N($H96)&lt;=0,"Tiền phải &gt; 0! ","")&amp;IF($B96="","Thiếu ngày! ","")&amp;IF(AND(OR(LEFT($F96,3)="131",LEFT($G96,3)="131",LEFT($F96,3)="331",LEFT($G96,3)="331"),$I96=""),"Thiếu Mã ĐT! ","")&amp;IF(AND($I96&lt;&gt;"",COUNTIF(DM_DT!$A$7:$A$306,$I96)=0),"Mã ĐT chưa khai báo! ","")))</f>
        <v/>
      </c>
      <c r="M96" s="117">
        <f>IF($H96="","",IF(AND(OR(LEFT($F96,3)="111",LEFT($F96,3)="112",LEFT($F96,3)="113"),OR(LEFT($G96,3)="111",LEFT($G96,3)="112",LEFT($G96,3)="113")),"NB",IF(OR(LEFT($F96,3)="111",LEFT($F96,3)="112",LEFT($F96,3)="113"),"THU",IF(OR(LEFT($G96,3)="111",LEFT($G96,3)="112",LEFT($G96,3)="113"),"CHI",""))))</f>
        <v/>
      </c>
      <c r="N96" s="117">
        <f>IF($M96="THU",$G96,IF($M96="CHI",$F96,""))</f>
        <v/>
      </c>
      <c r="O96" s="117">
        <f>IF(OR($M96="",$M96="NB"),"",IF($J96&lt;&gt;"",TEXT($J96,"00"),IFERROR(VLOOKUP(LEFT($N96,4),LCTT_MAP!$A$7:$C$66,IF($M96="THU",2,3),FALSE()),IFERROR(VLOOKUP(LEFT($N96,3),LCTT_MAP!$A$7:$C$66,IF($M96="THU",2,3),FALSE()),IFERROR(VLOOKUP(LEFT($N96,2),LCTT_MAP!$A$7:$C$66,IF($M96="THU",2,3),FALSE()),IFERROR(VLOOKUP(LEFT($N96,1),LCTT_MAP!$A$7:$C$66,IF($M96="THU",2,3),FALSE()),IF($M96="THU","06","07")))))))</f>
        <v/>
      </c>
      <c r="P96" s="117">
        <f>P95+IF(AND($H96&lt;&gt;"",OR(LEFT($F96,LEN(SC_TK))=SC_TK,LEFT($G96,LEN(SC_TK))=SC_TK)),1,0)</f>
        <v/>
      </c>
    </row>
    <row r="97" ht="15" customHeight="1" s="78">
      <c r="A97" s="95">
        <f>IF($H97="","",ROW()-6)</f>
        <v/>
      </c>
      <c r="B97" s="114" t="n"/>
      <c r="C97" s="102" t="n"/>
      <c r="D97" s="114" t="n"/>
      <c r="E97" s="103" t="n"/>
      <c r="F97" s="102" t="n"/>
      <c r="G97" s="102" t="n"/>
      <c r="H97" s="115" t="n"/>
      <c r="I97" s="102" t="n"/>
      <c r="J97" s="102" t="n"/>
      <c r="K97" s="103" t="n"/>
      <c r="L97" s="116">
        <f>IF($H97="","",TRIM(IF(COUNTIF(DMTK!$A$7:$A$250,$F97)=0,"TK Nợ sai! ","")&amp;IF(COUNTIF(DMTK!$A$7:$A$250,$G97)=0,"TK Có sai! ","")&amp;IF(N($H97)&lt;=0,"Tiền phải &gt; 0! ","")&amp;IF($B97="","Thiếu ngày! ","")&amp;IF(AND(OR(LEFT($F97,3)="131",LEFT($G97,3)="131",LEFT($F97,3)="331",LEFT($G97,3)="331"),$I97=""),"Thiếu Mã ĐT! ","")&amp;IF(AND($I97&lt;&gt;"",COUNTIF(DM_DT!$A$7:$A$306,$I97)=0),"Mã ĐT chưa khai báo! ","")))</f>
        <v/>
      </c>
      <c r="M97" s="117">
        <f>IF($H97="","",IF(AND(OR(LEFT($F97,3)="111",LEFT($F97,3)="112",LEFT($F97,3)="113"),OR(LEFT($G97,3)="111",LEFT($G97,3)="112",LEFT($G97,3)="113")),"NB",IF(OR(LEFT($F97,3)="111",LEFT($F97,3)="112",LEFT($F97,3)="113"),"THU",IF(OR(LEFT($G97,3)="111",LEFT($G97,3)="112",LEFT($G97,3)="113"),"CHI",""))))</f>
        <v/>
      </c>
      <c r="N97" s="117">
        <f>IF($M97="THU",$G97,IF($M97="CHI",$F97,""))</f>
        <v/>
      </c>
      <c r="O97" s="117">
        <f>IF(OR($M97="",$M97="NB"),"",IF($J97&lt;&gt;"",TEXT($J97,"00"),IFERROR(VLOOKUP(LEFT($N97,4),LCTT_MAP!$A$7:$C$66,IF($M97="THU",2,3),FALSE()),IFERROR(VLOOKUP(LEFT($N97,3),LCTT_MAP!$A$7:$C$66,IF($M97="THU",2,3),FALSE()),IFERROR(VLOOKUP(LEFT($N97,2),LCTT_MAP!$A$7:$C$66,IF($M97="THU",2,3),FALSE()),IFERROR(VLOOKUP(LEFT($N97,1),LCTT_MAP!$A$7:$C$66,IF($M97="THU",2,3),FALSE()),IF($M97="THU","06","07")))))))</f>
        <v/>
      </c>
      <c r="P97" s="117">
        <f>P96+IF(AND($H97&lt;&gt;"",OR(LEFT($F97,LEN(SC_TK))=SC_TK,LEFT($G97,LEN(SC_TK))=SC_TK)),1,0)</f>
        <v/>
      </c>
    </row>
    <row r="98" ht="15" customHeight="1" s="78">
      <c r="A98" s="95">
        <f>IF($H98="","",ROW()-6)</f>
        <v/>
      </c>
      <c r="B98" s="114" t="n"/>
      <c r="C98" s="102" t="n"/>
      <c r="D98" s="114" t="n"/>
      <c r="E98" s="103" t="n"/>
      <c r="F98" s="102" t="n"/>
      <c r="G98" s="102" t="n"/>
      <c r="H98" s="115" t="n"/>
      <c r="I98" s="102" t="n"/>
      <c r="J98" s="102" t="n"/>
      <c r="K98" s="103" t="n"/>
      <c r="L98" s="116">
        <f>IF($H98="","",TRIM(IF(COUNTIF(DMTK!$A$7:$A$250,$F98)=0,"TK Nợ sai! ","")&amp;IF(COUNTIF(DMTK!$A$7:$A$250,$G98)=0,"TK Có sai! ","")&amp;IF(N($H98)&lt;=0,"Tiền phải &gt; 0! ","")&amp;IF($B98="","Thiếu ngày! ","")&amp;IF(AND(OR(LEFT($F98,3)="131",LEFT($G98,3)="131",LEFT($F98,3)="331",LEFT($G98,3)="331"),$I98=""),"Thiếu Mã ĐT! ","")&amp;IF(AND($I98&lt;&gt;"",COUNTIF(DM_DT!$A$7:$A$306,$I98)=0),"Mã ĐT chưa khai báo! ","")))</f>
        <v/>
      </c>
      <c r="M98" s="117">
        <f>IF($H98="","",IF(AND(OR(LEFT($F98,3)="111",LEFT($F98,3)="112",LEFT($F98,3)="113"),OR(LEFT($G98,3)="111",LEFT($G98,3)="112",LEFT($G98,3)="113")),"NB",IF(OR(LEFT($F98,3)="111",LEFT($F98,3)="112",LEFT($F98,3)="113"),"THU",IF(OR(LEFT($G98,3)="111",LEFT($G98,3)="112",LEFT($G98,3)="113"),"CHI",""))))</f>
        <v/>
      </c>
      <c r="N98" s="117">
        <f>IF($M98="THU",$G98,IF($M98="CHI",$F98,""))</f>
        <v/>
      </c>
      <c r="O98" s="117">
        <f>IF(OR($M98="",$M98="NB"),"",IF($J98&lt;&gt;"",TEXT($J98,"00"),IFERROR(VLOOKUP(LEFT($N98,4),LCTT_MAP!$A$7:$C$66,IF($M98="THU",2,3),FALSE()),IFERROR(VLOOKUP(LEFT($N98,3),LCTT_MAP!$A$7:$C$66,IF($M98="THU",2,3),FALSE()),IFERROR(VLOOKUP(LEFT($N98,2),LCTT_MAP!$A$7:$C$66,IF($M98="THU",2,3),FALSE()),IFERROR(VLOOKUP(LEFT($N98,1),LCTT_MAP!$A$7:$C$66,IF($M98="THU",2,3),FALSE()),IF($M98="THU","06","07")))))))</f>
        <v/>
      </c>
      <c r="P98" s="117">
        <f>P97+IF(AND($H98&lt;&gt;"",OR(LEFT($F98,LEN(SC_TK))=SC_TK,LEFT($G98,LEN(SC_TK))=SC_TK)),1,0)</f>
        <v/>
      </c>
    </row>
    <row r="99" ht="15" customHeight="1" s="78">
      <c r="A99" s="95">
        <f>IF($H99="","",ROW()-6)</f>
        <v/>
      </c>
      <c r="B99" s="114" t="n"/>
      <c r="C99" s="102" t="n"/>
      <c r="D99" s="114" t="n"/>
      <c r="E99" s="103" t="n"/>
      <c r="F99" s="102" t="n"/>
      <c r="G99" s="102" t="n"/>
      <c r="H99" s="115" t="n"/>
      <c r="I99" s="102" t="n"/>
      <c r="J99" s="102" t="n"/>
      <c r="K99" s="103" t="n"/>
      <c r="L99" s="116">
        <f>IF($H99="","",TRIM(IF(COUNTIF(DMTK!$A$7:$A$250,$F99)=0,"TK Nợ sai! ","")&amp;IF(COUNTIF(DMTK!$A$7:$A$250,$G99)=0,"TK Có sai! ","")&amp;IF(N($H99)&lt;=0,"Tiền phải &gt; 0! ","")&amp;IF($B99="","Thiếu ngày! ","")&amp;IF(AND(OR(LEFT($F99,3)="131",LEFT($G99,3)="131",LEFT($F99,3)="331",LEFT($G99,3)="331"),$I99=""),"Thiếu Mã ĐT! ","")&amp;IF(AND($I99&lt;&gt;"",COUNTIF(DM_DT!$A$7:$A$306,$I99)=0),"Mã ĐT chưa khai báo! ","")))</f>
        <v/>
      </c>
      <c r="M99" s="117">
        <f>IF($H99="","",IF(AND(OR(LEFT($F99,3)="111",LEFT($F99,3)="112",LEFT($F99,3)="113"),OR(LEFT($G99,3)="111",LEFT($G99,3)="112",LEFT($G99,3)="113")),"NB",IF(OR(LEFT($F99,3)="111",LEFT($F99,3)="112",LEFT($F99,3)="113"),"THU",IF(OR(LEFT($G99,3)="111",LEFT($G99,3)="112",LEFT($G99,3)="113"),"CHI",""))))</f>
        <v/>
      </c>
      <c r="N99" s="117">
        <f>IF($M99="THU",$G99,IF($M99="CHI",$F99,""))</f>
        <v/>
      </c>
      <c r="O99" s="117">
        <f>IF(OR($M99="",$M99="NB"),"",IF($J99&lt;&gt;"",TEXT($J99,"00"),IFERROR(VLOOKUP(LEFT($N99,4),LCTT_MAP!$A$7:$C$66,IF($M99="THU",2,3),FALSE()),IFERROR(VLOOKUP(LEFT($N99,3),LCTT_MAP!$A$7:$C$66,IF($M99="THU",2,3),FALSE()),IFERROR(VLOOKUP(LEFT($N99,2),LCTT_MAP!$A$7:$C$66,IF($M99="THU",2,3),FALSE()),IFERROR(VLOOKUP(LEFT($N99,1),LCTT_MAP!$A$7:$C$66,IF($M99="THU",2,3),FALSE()),IF($M99="THU","06","07")))))))</f>
        <v/>
      </c>
      <c r="P99" s="117">
        <f>P98+IF(AND($H99&lt;&gt;"",OR(LEFT($F99,LEN(SC_TK))=SC_TK,LEFT($G99,LEN(SC_TK))=SC_TK)),1,0)</f>
        <v/>
      </c>
    </row>
    <row r="100" ht="15" customHeight="1" s="78">
      <c r="A100" s="95">
        <f>IF($H100="","",ROW()-6)</f>
        <v/>
      </c>
      <c r="B100" s="114" t="n"/>
      <c r="C100" s="102" t="n"/>
      <c r="D100" s="114" t="n"/>
      <c r="E100" s="103" t="n"/>
      <c r="F100" s="102" t="n"/>
      <c r="G100" s="102" t="n"/>
      <c r="H100" s="115" t="n"/>
      <c r="I100" s="102" t="n"/>
      <c r="J100" s="102" t="n"/>
      <c r="K100" s="103" t="n"/>
      <c r="L100" s="116">
        <f>IF($H100="","",TRIM(IF(COUNTIF(DMTK!$A$7:$A$250,$F100)=0,"TK Nợ sai! ","")&amp;IF(COUNTIF(DMTK!$A$7:$A$250,$G100)=0,"TK Có sai! ","")&amp;IF(N($H100)&lt;=0,"Tiền phải &gt; 0! ","")&amp;IF($B100="","Thiếu ngày! ","")&amp;IF(AND(OR(LEFT($F100,3)="131",LEFT($G100,3)="131",LEFT($F100,3)="331",LEFT($G100,3)="331"),$I100=""),"Thiếu Mã ĐT! ","")&amp;IF(AND($I100&lt;&gt;"",COUNTIF(DM_DT!$A$7:$A$306,$I100)=0),"Mã ĐT chưa khai báo! ","")))</f>
        <v/>
      </c>
      <c r="M100" s="117">
        <f>IF($H100="","",IF(AND(OR(LEFT($F100,3)="111",LEFT($F100,3)="112",LEFT($F100,3)="113"),OR(LEFT($G100,3)="111",LEFT($G100,3)="112",LEFT($G100,3)="113")),"NB",IF(OR(LEFT($F100,3)="111",LEFT($F100,3)="112",LEFT($F100,3)="113"),"THU",IF(OR(LEFT($G100,3)="111",LEFT($G100,3)="112",LEFT($G100,3)="113"),"CHI",""))))</f>
        <v/>
      </c>
      <c r="N100" s="117">
        <f>IF($M100="THU",$G100,IF($M100="CHI",$F100,""))</f>
        <v/>
      </c>
      <c r="O100" s="117">
        <f>IF(OR($M100="",$M100="NB"),"",IF($J100&lt;&gt;"",TEXT($J100,"00"),IFERROR(VLOOKUP(LEFT($N100,4),LCTT_MAP!$A$7:$C$66,IF($M100="THU",2,3),FALSE()),IFERROR(VLOOKUP(LEFT($N100,3),LCTT_MAP!$A$7:$C$66,IF($M100="THU",2,3),FALSE()),IFERROR(VLOOKUP(LEFT($N100,2),LCTT_MAP!$A$7:$C$66,IF($M100="THU",2,3),FALSE()),IFERROR(VLOOKUP(LEFT($N100,1),LCTT_MAP!$A$7:$C$66,IF($M100="THU",2,3),FALSE()),IF($M100="THU","06","07")))))))</f>
        <v/>
      </c>
      <c r="P100" s="117">
        <f>P99+IF(AND($H100&lt;&gt;"",OR(LEFT($F100,LEN(SC_TK))=SC_TK,LEFT($G100,LEN(SC_TK))=SC_TK)),1,0)</f>
        <v/>
      </c>
    </row>
    <row r="101" ht="15" customHeight="1" s="78">
      <c r="A101" s="95">
        <f>IF($H101="","",ROW()-6)</f>
        <v/>
      </c>
      <c r="B101" s="114" t="n"/>
      <c r="C101" s="102" t="n"/>
      <c r="D101" s="114" t="n"/>
      <c r="E101" s="103" t="n"/>
      <c r="F101" s="102" t="n"/>
      <c r="G101" s="102" t="n"/>
      <c r="H101" s="115" t="n"/>
      <c r="I101" s="102" t="n"/>
      <c r="J101" s="102" t="n"/>
      <c r="K101" s="103" t="n"/>
      <c r="L101" s="116">
        <f>IF($H101="","",TRIM(IF(COUNTIF(DMTK!$A$7:$A$250,$F101)=0,"TK Nợ sai! ","")&amp;IF(COUNTIF(DMTK!$A$7:$A$250,$G101)=0,"TK Có sai! ","")&amp;IF(N($H101)&lt;=0,"Tiền phải &gt; 0! ","")&amp;IF($B101="","Thiếu ngày! ","")&amp;IF(AND(OR(LEFT($F101,3)="131",LEFT($G101,3)="131",LEFT($F101,3)="331",LEFT($G101,3)="331"),$I101=""),"Thiếu Mã ĐT! ","")&amp;IF(AND($I101&lt;&gt;"",COUNTIF(DM_DT!$A$7:$A$306,$I101)=0),"Mã ĐT chưa khai báo! ","")))</f>
        <v/>
      </c>
      <c r="M101" s="117">
        <f>IF($H101="","",IF(AND(OR(LEFT($F101,3)="111",LEFT($F101,3)="112",LEFT($F101,3)="113"),OR(LEFT($G101,3)="111",LEFT($G101,3)="112",LEFT($G101,3)="113")),"NB",IF(OR(LEFT($F101,3)="111",LEFT($F101,3)="112",LEFT($F101,3)="113"),"THU",IF(OR(LEFT($G101,3)="111",LEFT($G101,3)="112",LEFT($G101,3)="113"),"CHI",""))))</f>
        <v/>
      </c>
      <c r="N101" s="117">
        <f>IF($M101="THU",$G101,IF($M101="CHI",$F101,""))</f>
        <v/>
      </c>
      <c r="O101" s="117">
        <f>IF(OR($M101="",$M101="NB"),"",IF($J101&lt;&gt;"",TEXT($J101,"00"),IFERROR(VLOOKUP(LEFT($N101,4),LCTT_MAP!$A$7:$C$66,IF($M101="THU",2,3),FALSE()),IFERROR(VLOOKUP(LEFT($N101,3),LCTT_MAP!$A$7:$C$66,IF($M101="THU",2,3),FALSE()),IFERROR(VLOOKUP(LEFT($N101,2),LCTT_MAP!$A$7:$C$66,IF($M101="THU",2,3),FALSE()),IFERROR(VLOOKUP(LEFT($N101,1),LCTT_MAP!$A$7:$C$66,IF($M101="THU",2,3),FALSE()),IF($M101="THU","06","07")))))))</f>
        <v/>
      </c>
      <c r="P101" s="117">
        <f>P100+IF(AND($H101&lt;&gt;"",OR(LEFT($F101,LEN(SC_TK))=SC_TK,LEFT($G101,LEN(SC_TK))=SC_TK)),1,0)</f>
        <v/>
      </c>
    </row>
    <row r="102" ht="15" customHeight="1" s="78">
      <c r="A102" s="95">
        <f>IF($H102="","",ROW()-6)</f>
        <v/>
      </c>
      <c r="B102" s="114" t="n"/>
      <c r="C102" s="102" t="n"/>
      <c r="D102" s="114" t="n"/>
      <c r="E102" s="103" t="n"/>
      <c r="F102" s="102" t="n"/>
      <c r="G102" s="102" t="n"/>
      <c r="H102" s="115" t="n"/>
      <c r="I102" s="102" t="n"/>
      <c r="J102" s="102" t="n"/>
      <c r="K102" s="103" t="n"/>
      <c r="L102" s="116">
        <f>IF($H102="","",TRIM(IF(COUNTIF(DMTK!$A$7:$A$250,$F102)=0,"TK Nợ sai! ","")&amp;IF(COUNTIF(DMTK!$A$7:$A$250,$G102)=0,"TK Có sai! ","")&amp;IF(N($H102)&lt;=0,"Tiền phải &gt; 0! ","")&amp;IF($B102="","Thiếu ngày! ","")&amp;IF(AND(OR(LEFT($F102,3)="131",LEFT($G102,3)="131",LEFT($F102,3)="331",LEFT($G102,3)="331"),$I102=""),"Thiếu Mã ĐT! ","")&amp;IF(AND($I102&lt;&gt;"",COUNTIF(DM_DT!$A$7:$A$306,$I102)=0),"Mã ĐT chưa khai báo! ","")))</f>
        <v/>
      </c>
      <c r="M102" s="117">
        <f>IF($H102="","",IF(AND(OR(LEFT($F102,3)="111",LEFT($F102,3)="112",LEFT($F102,3)="113"),OR(LEFT($G102,3)="111",LEFT($G102,3)="112",LEFT($G102,3)="113")),"NB",IF(OR(LEFT($F102,3)="111",LEFT($F102,3)="112",LEFT($F102,3)="113"),"THU",IF(OR(LEFT($G102,3)="111",LEFT($G102,3)="112",LEFT($G102,3)="113"),"CHI",""))))</f>
        <v/>
      </c>
      <c r="N102" s="117">
        <f>IF($M102="THU",$G102,IF($M102="CHI",$F102,""))</f>
        <v/>
      </c>
      <c r="O102" s="117">
        <f>IF(OR($M102="",$M102="NB"),"",IF($J102&lt;&gt;"",TEXT($J102,"00"),IFERROR(VLOOKUP(LEFT($N102,4),LCTT_MAP!$A$7:$C$66,IF($M102="THU",2,3),FALSE()),IFERROR(VLOOKUP(LEFT($N102,3),LCTT_MAP!$A$7:$C$66,IF($M102="THU",2,3),FALSE()),IFERROR(VLOOKUP(LEFT($N102,2),LCTT_MAP!$A$7:$C$66,IF($M102="THU",2,3),FALSE()),IFERROR(VLOOKUP(LEFT($N102,1),LCTT_MAP!$A$7:$C$66,IF($M102="THU",2,3),FALSE()),IF($M102="THU","06","07")))))))</f>
        <v/>
      </c>
      <c r="P102" s="117">
        <f>P101+IF(AND($H102&lt;&gt;"",OR(LEFT($F102,LEN(SC_TK))=SC_TK,LEFT($G102,LEN(SC_TK))=SC_TK)),1,0)</f>
        <v/>
      </c>
    </row>
    <row r="103" ht="15" customHeight="1" s="78">
      <c r="A103" s="95">
        <f>IF($H103="","",ROW()-6)</f>
        <v/>
      </c>
      <c r="B103" s="114" t="n"/>
      <c r="C103" s="102" t="n"/>
      <c r="D103" s="114" t="n"/>
      <c r="E103" s="103" t="n"/>
      <c r="F103" s="102" t="n"/>
      <c r="G103" s="102" t="n"/>
      <c r="H103" s="115" t="n"/>
      <c r="I103" s="102" t="n"/>
      <c r="J103" s="102" t="n"/>
      <c r="K103" s="103" t="n"/>
      <c r="L103" s="116">
        <f>IF($H103="","",TRIM(IF(COUNTIF(DMTK!$A$7:$A$250,$F103)=0,"TK Nợ sai! ","")&amp;IF(COUNTIF(DMTK!$A$7:$A$250,$G103)=0,"TK Có sai! ","")&amp;IF(N($H103)&lt;=0,"Tiền phải &gt; 0! ","")&amp;IF($B103="","Thiếu ngày! ","")&amp;IF(AND(OR(LEFT($F103,3)="131",LEFT($G103,3)="131",LEFT($F103,3)="331",LEFT($G103,3)="331"),$I103=""),"Thiếu Mã ĐT! ","")&amp;IF(AND($I103&lt;&gt;"",COUNTIF(DM_DT!$A$7:$A$306,$I103)=0),"Mã ĐT chưa khai báo! ","")))</f>
        <v/>
      </c>
      <c r="M103" s="117">
        <f>IF($H103="","",IF(AND(OR(LEFT($F103,3)="111",LEFT($F103,3)="112",LEFT($F103,3)="113"),OR(LEFT($G103,3)="111",LEFT($G103,3)="112",LEFT($G103,3)="113")),"NB",IF(OR(LEFT($F103,3)="111",LEFT($F103,3)="112",LEFT($F103,3)="113"),"THU",IF(OR(LEFT($G103,3)="111",LEFT($G103,3)="112",LEFT($G103,3)="113"),"CHI",""))))</f>
        <v/>
      </c>
      <c r="N103" s="117">
        <f>IF($M103="THU",$G103,IF($M103="CHI",$F103,""))</f>
        <v/>
      </c>
      <c r="O103" s="117">
        <f>IF(OR($M103="",$M103="NB"),"",IF($J103&lt;&gt;"",TEXT($J103,"00"),IFERROR(VLOOKUP(LEFT($N103,4),LCTT_MAP!$A$7:$C$66,IF($M103="THU",2,3),FALSE()),IFERROR(VLOOKUP(LEFT($N103,3),LCTT_MAP!$A$7:$C$66,IF($M103="THU",2,3),FALSE()),IFERROR(VLOOKUP(LEFT($N103,2),LCTT_MAP!$A$7:$C$66,IF($M103="THU",2,3),FALSE()),IFERROR(VLOOKUP(LEFT($N103,1),LCTT_MAP!$A$7:$C$66,IF($M103="THU",2,3),FALSE()),IF($M103="THU","06","07")))))))</f>
        <v/>
      </c>
      <c r="P103" s="117">
        <f>P102+IF(AND($H103&lt;&gt;"",OR(LEFT($F103,LEN(SC_TK))=SC_TK,LEFT($G103,LEN(SC_TK))=SC_TK)),1,0)</f>
        <v/>
      </c>
    </row>
    <row r="104" ht="15" customHeight="1" s="78">
      <c r="A104" s="95">
        <f>IF($H104="","",ROW()-6)</f>
        <v/>
      </c>
      <c r="B104" s="114" t="n"/>
      <c r="C104" s="102" t="n"/>
      <c r="D104" s="114" t="n"/>
      <c r="E104" s="103" t="n"/>
      <c r="F104" s="102" t="n"/>
      <c r="G104" s="102" t="n"/>
      <c r="H104" s="115" t="n"/>
      <c r="I104" s="102" t="n"/>
      <c r="J104" s="102" t="n"/>
      <c r="K104" s="103" t="n"/>
      <c r="L104" s="116">
        <f>IF($H104="","",TRIM(IF(COUNTIF(DMTK!$A$7:$A$250,$F104)=0,"TK Nợ sai! ","")&amp;IF(COUNTIF(DMTK!$A$7:$A$250,$G104)=0,"TK Có sai! ","")&amp;IF(N($H104)&lt;=0,"Tiền phải &gt; 0! ","")&amp;IF($B104="","Thiếu ngày! ","")&amp;IF(AND(OR(LEFT($F104,3)="131",LEFT($G104,3)="131",LEFT($F104,3)="331",LEFT($G104,3)="331"),$I104=""),"Thiếu Mã ĐT! ","")&amp;IF(AND($I104&lt;&gt;"",COUNTIF(DM_DT!$A$7:$A$306,$I104)=0),"Mã ĐT chưa khai báo! ","")))</f>
        <v/>
      </c>
      <c r="M104" s="117">
        <f>IF($H104="","",IF(AND(OR(LEFT($F104,3)="111",LEFT($F104,3)="112",LEFT($F104,3)="113"),OR(LEFT($G104,3)="111",LEFT($G104,3)="112",LEFT($G104,3)="113")),"NB",IF(OR(LEFT($F104,3)="111",LEFT($F104,3)="112",LEFT($F104,3)="113"),"THU",IF(OR(LEFT($G104,3)="111",LEFT($G104,3)="112",LEFT($G104,3)="113"),"CHI",""))))</f>
        <v/>
      </c>
      <c r="N104" s="117">
        <f>IF($M104="THU",$G104,IF($M104="CHI",$F104,""))</f>
        <v/>
      </c>
      <c r="O104" s="117">
        <f>IF(OR($M104="",$M104="NB"),"",IF($J104&lt;&gt;"",TEXT($J104,"00"),IFERROR(VLOOKUP(LEFT($N104,4),LCTT_MAP!$A$7:$C$66,IF($M104="THU",2,3),FALSE()),IFERROR(VLOOKUP(LEFT($N104,3),LCTT_MAP!$A$7:$C$66,IF($M104="THU",2,3),FALSE()),IFERROR(VLOOKUP(LEFT($N104,2),LCTT_MAP!$A$7:$C$66,IF($M104="THU",2,3),FALSE()),IFERROR(VLOOKUP(LEFT($N104,1),LCTT_MAP!$A$7:$C$66,IF($M104="THU",2,3),FALSE()),IF($M104="THU","06","07")))))))</f>
        <v/>
      </c>
      <c r="P104" s="117">
        <f>P103+IF(AND($H104&lt;&gt;"",OR(LEFT($F104,LEN(SC_TK))=SC_TK,LEFT($G104,LEN(SC_TK))=SC_TK)),1,0)</f>
        <v/>
      </c>
    </row>
    <row r="105" ht="15" customHeight="1" s="78">
      <c r="A105" s="95">
        <f>IF($H105="","",ROW()-6)</f>
        <v/>
      </c>
      <c r="B105" s="114" t="n"/>
      <c r="C105" s="102" t="n"/>
      <c r="D105" s="114" t="n"/>
      <c r="E105" s="103" t="n"/>
      <c r="F105" s="102" t="n"/>
      <c r="G105" s="102" t="n"/>
      <c r="H105" s="115" t="n"/>
      <c r="I105" s="102" t="n"/>
      <c r="J105" s="102" t="n"/>
      <c r="K105" s="103" t="n"/>
      <c r="L105" s="116">
        <f>IF($H105="","",TRIM(IF(COUNTIF(DMTK!$A$7:$A$250,$F105)=0,"TK Nợ sai! ","")&amp;IF(COUNTIF(DMTK!$A$7:$A$250,$G105)=0,"TK Có sai! ","")&amp;IF(N($H105)&lt;=0,"Tiền phải &gt; 0! ","")&amp;IF($B105="","Thiếu ngày! ","")&amp;IF(AND(OR(LEFT($F105,3)="131",LEFT($G105,3)="131",LEFT($F105,3)="331",LEFT($G105,3)="331"),$I105=""),"Thiếu Mã ĐT! ","")&amp;IF(AND($I105&lt;&gt;"",COUNTIF(DM_DT!$A$7:$A$306,$I105)=0),"Mã ĐT chưa khai báo! ","")))</f>
        <v/>
      </c>
      <c r="M105" s="117">
        <f>IF($H105="","",IF(AND(OR(LEFT($F105,3)="111",LEFT($F105,3)="112",LEFT($F105,3)="113"),OR(LEFT($G105,3)="111",LEFT($G105,3)="112",LEFT($G105,3)="113")),"NB",IF(OR(LEFT($F105,3)="111",LEFT($F105,3)="112",LEFT($F105,3)="113"),"THU",IF(OR(LEFT($G105,3)="111",LEFT($G105,3)="112",LEFT($G105,3)="113"),"CHI",""))))</f>
        <v/>
      </c>
      <c r="N105" s="117">
        <f>IF($M105="THU",$G105,IF($M105="CHI",$F105,""))</f>
        <v/>
      </c>
      <c r="O105" s="117">
        <f>IF(OR($M105="",$M105="NB"),"",IF($J105&lt;&gt;"",TEXT($J105,"00"),IFERROR(VLOOKUP(LEFT($N105,4),LCTT_MAP!$A$7:$C$66,IF($M105="THU",2,3),FALSE()),IFERROR(VLOOKUP(LEFT($N105,3),LCTT_MAP!$A$7:$C$66,IF($M105="THU",2,3),FALSE()),IFERROR(VLOOKUP(LEFT($N105,2),LCTT_MAP!$A$7:$C$66,IF($M105="THU",2,3),FALSE()),IFERROR(VLOOKUP(LEFT($N105,1),LCTT_MAP!$A$7:$C$66,IF($M105="THU",2,3),FALSE()),IF($M105="THU","06","07")))))))</f>
        <v/>
      </c>
      <c r="P105" s="117">
        <f>P104+IF(AND($H105&lt;&gt;"",OR(LEFT($F105,LEN(SC_TK))=SC_TK,LEFT($G105,LEN(SC_TK))=SC_TK)),1,0)</f>
        <v/>
      </c>
    </row>
    <row r="106" ht="15" customHeight="1" s="78">
      <c r="A106" s="95">
        <f>IF($H106="","",ROW()-6)</f>
        <v/>
      </c>
      <c r="B106" s="114" t="n"/>
      <c r="C106" s="102" t="n"/>
      <c r="D106" s="114" t="n"/>
      <c r="E106" s="103" t="n"/>
      <c r="F106" s="102" t="n"/>
      <c r="G106" s="102" t="n"/>
      <c r="H106" s="115" t="n"/>
      <c r="I106" s="102" t="n"/>
      <c r="J106" s="102" t="n"/>
      <c r="K106" s="103" t="n"/>
      <c r="L106" s="116">
        <f>IF($H106="","",TRIM(IF(COUNTIF(DMTK!$A$7:$A$250,$F106)=0,"TK Nợ sai! ","")&amp;IF(COUNTIF(DMTK!$A$7:$A$250,$G106)=0,"TK Có sai! ","")&amp;IF(N($H106)&lt;=0,"Tiền phải &gt; 0! ","")&amp;IF($B106="","Thiếu ngày! ","")&amp;IF(AND(OR(LEFT($F106,3)="131",LEFT($G106,3)="131",LEFT($F106,3)="331",LEFT($G106,3)="331"),$I106=""),"Thiếu Mã ĐT! ","")&amp;IF(AND($I106&lt;&gt;"",COUNTIF(DM_DT!$A$7:$A$306,$I106)=0),"Mã ĐT chưa khai báo! ","")))</f>
        <v/>
      </c>
      <c r="M106" s="117">
        <f>IF($H106="","",IF(AND(OR(LEFT($F106,3)="111",LEFT($F106,3)="112",LEFT($F106,3)="113"),OR(LEFT($G106,3)="111",LEFT($G106,3)="112",LEFT($G106,3)="113")),"NB",IF(OR(LEFT($F106,3)="111",LEFT($F106,3)="112",LEFT($F106,3)="113"),"THU",IF(OR(LEFT($G106,3)="111",LEFT($G106,3)="112",LEFT($G106,3)="113"),"CHI",""))))</f>
        <v/>
      </c>
      <c r="N106" s="117">
        <f>IF($M106="THU",$G106,IF($M106="CHI",$F106,""))</f>
        <v/>
      </c>
      <c r="O106" s="117">
        <f>IF(OR($M106="",$M106="NB"),"",IF($J106&lt;&gt;"",TEXT($J106,"00"),IFERROR(VLOOKUP(LEFT($N106,4),LCTT_MAP!$A$7:$C$66,IF($M106="THU",2,3),FALSE()),IFERROR(VLOOKUP(LEFT($N106,3),LCTT_MAP!$A$7:$C$66,IF($M106="THU",2,3),FALSE()),IFERROR(VLOOKUP(LEFT($N106,2),LCTT_MAP!$A$7:$C$66,IF($M106="THU",2,3),FALSE()),IFERROR(VLOOKUP(LEFT($N106,1),LCTT_MAP!$A$7:$C$66,IF($M106="THU",2,3),FALSE()),IF($M106="THU","06","07")))))))</f>
        <v/>
      </c>
      <c r="P106" s="117">
        <f>P105+IF(AND($H106&lt;&gt;"",OR(LEFT($F106,LEN(SC_TK))=SC_TK,LEFT($G106,LEN(SC_TK))=SC_TK)),1,0)</f>
        <v/>
      </c>
    </row>
    <row r="107" ht="15" customHeight="1" s="78">
      <c r="A107" s="95">
        <f>IF($H107="","",ROW()-6)</f>
        <v/>
      </c>
      <c r="B107" s="114" t="n"/>
      <c r="C107" s="102" t="n"/>
      <c r="D107" s="114" t="n"/>
      <c r="E107" s="103" t="n"/>
      <c r="F107" s="102" t="n"/>
      <c r="G107" s="102" t="n"/>
      <c r="H107" s="115" t="n"/>
      <c r="I107" s="102" t="n"/>
      <c r="J107" s="102" t="n"/>
      <c r="K107" s="103" t="n"/>
      <c r="L107" s="116">
        <f>IF($H107="","",TRIM(IF(COUNTIF(DMTK!$A$7:$A$250,$F107)=0,"TK Nợ sai! ","")&amp;IF(COUNTIF(DMTK!$A$7:$A$250,$G107)=0,"TK Có sai! ","")&amp;IF(N($H107)&lt;=0,"Tiền phải &gt; 0! ","")&amp;IF($B107="","Thiếu ngày! ","")&amp;IF(AND(OR(LEFT($F107,3)="131",LEFT($G107,3)="131",LEFT($F107,3)="331",LEFT($G107,3)="331"),$I107=""),"Thiếu Mã ĐT! ","")&amp;IF(AND($I107&lt;&gt;"",COUNTIF(DM_DT!$A$7:$A$306,$I107)=0),"Mã ĐT chưa khai báo! ","")))</f>
        <v/>
      </c>
      <c r="M107" s="117">
        <f>IF($H107="","",IF(AND(OR(LEFT($F107,3)="111",LEFT($F107,3)="112",LEFT($F107,3)="113"),OR(LEFT($G107,3)="111",LEFT($G107,3)="112",LEFT($G107,3)="113")),"NB",IF(OR(LEFT($F107,3)="111",LEFT($F107,3)="112",LEFT($F107,3)="113"),"THU",IF(OR(LEFT($G107,3)="111",LEFT($G107,3)="112",LEFT($G107,3)="113"),"CHI",""))))</f>
        <v/>
      </c>
      <c r="N107" s="117">
        <f>IF($M107="THU",$G107,IF($M107="CHI",$F107,""))</f>
        <v/>
      </c>
      <c r="O107" s="117">
        <f>IF(OR($M107="",$M107="NB"),"",IF($J107&lt;&gt;"",TEXT($J107,"00"),IFERROR(VLOOKUP(LEFT($N107,4),LCTT_MAP!$A$7:$C$66,IF($M107="THU",2,3),FALSE()),IFERROR(VLOOKUP(LEFT($N107,3),LCTT_MAP!$A$7:$C$66,IF($M107="THU",2,3),FALSE()),IFERROR(VLOOKUP(LEFT($N107,2),LCTT_MAP!$A$7:$C$66,IF($M107="THU",2,3),FALSE()),IFERROR(VLOOKUP(LEFT($N107,1),LCTT_MAP!$A$7:$C$66,IF($M107="THU",2,3),FALSE()),IF($M107="THU","06","07")))))))</f>
        <v/>
      </c>
      <c r="P107" s="117">
        <f>P106+IF(AND($H107&lt;&gt;"",OR(LEFT($F107,LEN(SC_TK))=SC_TK,LEFT($G107,LEN(SC_TK))=SC_TK)),1,0)</f>
        <v/>
      </c>
    </row>
    <row r="108" ht="15" customHeight="1" s="78">
      <c r="A108" s="95">
        <f>IF($H108="","",ROW()-6)</f>
        <v/>
      </c>
      <c r="B108" s="114" t="n"/>
      <c r="C108" s="102" t="n"/>
      <c r="D108" s="114" t="n"/>
      <c r="E108" s="103" t="n"/>
      <c r="F108" s="102" t="n"/>
      <c r="G108" s="102" t="n"/>
      <c r="H108" s="115" t="n"/>
      <c r="I108" s="102" t="n"/>
      <c r="J108" s="102" t="n"/>
      <c r="K108" s="103" t="n"/>
      <c r="L108" s="116">
        <f>IF($H108="","",TRIM(IF(COUNTIF(DMTK!$A$7:$A$250,$F108)=0,"TK Nợ sai! ","")&amp;IF(COUNTIF(DMTK!$A$7:$A$250,$G108)=0,"TK Có sai! ","")&amp;IF(N($H108)&lt;=0,"Tiền phải &gt; 0! ","")&amp;IF($B108="","Thiếu ngày! ","")&amp;IF(AND(OR(LEFT($F108,3)="131",LEFT($G108,3)="131",LEFT($F108,3)="331",LEFT($G108,3)="331"),$I108=""),"Thiếu Mã ĐT! ","")&amp;IF(AND($I108&lt;&gt;"",COUNTIF(DM_DT!$A$7:$A$306,$I108)=0),"Mã ĐT chưa khai báo! ","")))</f>
        <v/>
      </c>
      <c r="M108" s="117">
        <f>IF($H108="","",IF(AND(OR(LEFT($F108,3)="111",LEFT($F108,3)="112",LEFT($F108,3)="113"),OR(LEFT($G108,3)="111",LEFT($G108,3)="112",LEFT($G108,3)="113")),"NB",IF(OR(LEFT($F108,3)="111",LEFT($F108,3)="112",LEFT($F108,3)="113"),"THU",IF(OR(LEFT($G108,3)="111",LEFT($G108,3)="112",LEFT($G108,3)="113"),"CHI",""))))</f>
        <v/>
      </c>
      <c r="N108" s="117">
        <f>IF($M108="THU",$G108,IF($M108="CHI",$F108,""))</f>
        <v/>
      </c>
      <c r="O108" s="117">
        <f>IF(OR($M108="",$M108="NB"),"",IF($J108&lt;&gt;"",TEXT($J108,"00"),IFERROR(VLOOKUP(LEFT($N108,4),LCTT_MAP!$A$7:$C$66,IF($M108="THU",2,3),FALSE()),IFERROR(VLOOKUP(LEFT($N108,3),LCTT_MAP!$A$7:$C$66,IF($M108="THU",2,3),FALSE()),IFERROR(VLOOKUP(LEFT($N108,2),LCTT_MAP!$A$7:$C$66,IF($M108="THU",2,3),FALSE()),IFERROR(VLOOKUP(LEFT($N108,1),LCTT_MAP!$A$7:$C$66,IF($M108="THU",2,3),FALSE()),IF($M108="THU","06","07")))))))</f>
        <v/>
      </c>
      <c r="P108" s="117">
        <f>P107+IF(AND($H108&lt;&gt;"",OR(LEFT($F108,LEN(SC_TK))=SC_TK,LEFT($G108,LEN(SC_TK))=SC_TK)),1,0)</f>
        <v/>
      </c>
    </row>
    <row r="109" ht="15" customHeight="1" s="78">
      <c r="A109" s="95">
        <f>IF($H109="","",ROW()-6)</f>
        <v/>
      </c>
      <c r="B109" s="114" t="n"/>
      <c r="C109" s="102" t="n"/>
      <c r="D109" s="114" t="n"/>
      <c r="E109" s="103" t="n"/>
      <c r="F109" s="102" t="n"/>
      <c r="G109" s="102" t="n"/>
      <c r="H109" s="115" t="n"/>
      <c r="I109" s="102" t="n"/>
      <c r="J109" s="102" t="n"/>
      <c r="K109" s="103" t="n"/>
      <c r="L109" s="116">
        <f>IF($H109="","",TRIM(IF(COUNTIF(DMTK!$A$7:$A$250,$F109)=0,"TK Nợ sai! ","")&amp;IF(COUNTIF(DMTK!$A$7:$A$250,$G109)=0,"TK Có sai! ","")&amp;IF(N($H109)&lt;=0,"Tiền phải &gt; 0! ","")&amp;IF($B109="","Thiếu ngày! ","")&amp;IF(AND(OR(LEFT($F109,3)="131",LEFT($G109,3)="131",LEFT($F109,3)="331",LEFT($G109,3)="331"),$I109=""),"Thiếu Mã ĐT! ","")&amp;IF(AND($I109&lt;&gt;"",COUNTIF(DM_DT!$A$7:$A$306,$I109)=0),"Mã ĐT chưa khai báo! ","")))</f>
        <v/>
      </c>
      <c r="M109" s="117">
        <f>IF($H109="","",IF(AND(OR(LEFT($F109,3)="111",LEFT($F109,3)="112",LEFT($F109,3)="113"),OR(LEFT($G109,3)="111",LEFT($G109,3)="112",LEFT($G109,3)="113")),"NB",IF(OR(LEFT($F109,3)="111",LEFT($F109,3)="112",LEFT($F109,3)="113"),"THU",IF(OR(LEFT($G109,3)="111",LEFT($G109,3)="112",LEFT($G109,3)="113"),"CHI",""))))</f>
        <v/>
      </c>
      <c r="N109" s="117">
        <f>IF($M109="THU",$G109,IF($M109="CHI",$F109,""))</f>
        <v/>
      </c>
      <c r="O109" s="117">
        <f>IF(OR($M109="",$M109="NB"),"",IF($J109&lt;&gt;"",TEXT($J109,"00"),IFERROR(VLOOKUP(LEFT($N109,4),LCTT_MAP!$A$7:$C$66,IF($M109="THU",2,3),FALSE()),IFERROR(VLOOKUP(LEFT($N109,3),LCTT_MAP!$A$7:$C$66,IF($M109="THU",2,3),FALSE()),IFERROR(VLOOKUP(LEFT($N109,2),LCTT_MAP!$A$7:$C$66,IF($M109="THU",2,3),FALSE()),IFERROR(VLOOKUP(LEFT($N109,1),LCTT_MAP!$A$7:$C$66,IF($M109="THU",2,3),FALSE()),IF($M109="THU","06","07")))))))</f>
        <v/>
      </c>
      <c r="P109" s="117">
        <f>P108+IF(AND($H109&lt;&gt;"",OR(LEFT($F109,LEN(SC_TK))=SC_TK,LEFT($G109,LEN(SC_TK))=SC_TK)),1,0)</f>
        <v/>
      </c>
    </row>
    <row r="110" ht="15" customHeight="1" s="78">
      <c r="A110" s="95">
        <f>IF($H110="","",ROW()-6)</f>
        <v/>
      </c>
      <c r="B110" s="114" t="n"/>
      <c r="C110" s="102" t="n"/>
      <c r="D110" s="114" t="n"/>
      <c r="E110" s="103" t="n"/>
      <c r="F110" s="102" t="n"/>
      <c r="G110" s="102" t="n"/>
      <c r="H110" s="115" t="n"/>
      <c r="I110" s="102" t="n"/>
      <c r="J110" s="102" t="n"/>
      <c r="K110" s="103" t="n"/>
      <c r="L110" s="116">
        <f>IF($H110="","",TRIM(IF(COUNTIF(DMTK!$A$7:$A$250,$F110)=0,"TK Nợ sai! ","")&amp;IF(COUNTIF(DMTK!$A$7:$A$250,$G110)=0,"TK Có sai! ","")&amp;IF(N($H110)&lt;=0,"Tiền phải &gt; 0! ","")&amp;IF($B110="","Thiếu ngày! ","")&amp;IF(AND(OR(LEFT($F110,3)="131",LEFT($G110,3)="131",LEFT($F110,3)="331",LEFT($G110,3)="331"),$I110=""),"Thiếu Mã ĐT! ","")&amp;IF(AND($I110&lt;&gt;"",COUNTIF(DM_DT!$A$7:$A$306,$I110)=0),"Mã ĐT chưa khai báo! ","")))</f>
        <v/>
      </c>
      <c r="M110" s="117">
        <f>IF($H110="","",IF(AND(OR(LEFT($F110,3)="111",LEFT($F110,3)="112",LEFT($F110,3)="113"),OR(LEFT($G110,3)="111",LEFT($G110,3)="112",LEFT($G110,3)="113")),"NB",IF(OR(LEFT($F110,3)="111",LEFT($F110,3)="112",LEFT($F110,3)="113"),"THU",IF(OR(LEFT($G110,3)="111",LEFT($G110,3)="112",LEFT($G110,3)="113"),"CHI",""))))</f>
        <v/>
      </c>
      <c r="N110" s="117">
        <f>IF($M110="THU",$G110,IF($M110="CHI",$F110,""))</f>
        <v/>
      </c>
      <c r="O110" s="117">
        <f>IF(OR($M110="",$M110="NB"),"",IF($J110&lt;&gt;"",TEXT($J110,"00"),IFERROR(VLOOKUP(LEFT($N110,4),LCTT_MAP!$A$7:$C$66,IF($M110="THU",2,3),FALSE()),IFERROR(VLOOKUP(LEFT($N110,3),LCTT_MAP!$A$7:$C$66,IF($M110="THU",2,3),FALSE()),IFERROR(VLOOKUP(LEFT($N110,2),LCTT_MAP!$A$7:$C$66,IF($M110="THU",2,3),FALSE()),IFERROR(VLOOKUP(LEFT($N110,1),LCTT_MAP!$A$7:$C$66,IF($M110="THU",2,3),FALSE()),IF($M110="THU","06","07")))))))</f>
        <v/>
      </c>
      <c r="P110" s="117">
        <f>P109+IF(AND($H110&lt;&gt;"",OR(LEFT($F110,LEN(SC_TK))=SC_TK,LEFT($G110,LEN(SC_TK))=SC_TK)),1,0)</f>
        <v/>
      </c>
    </row>
    <row r="111" ht="15" customHeight="1" s="78">
      <c r="A111" s="95">
        <f>IF($H111="","",ROW()-6)</f>
        <v/>
      </c>
      <c r="B111" s="114" t="n"/>
      <c r="C111" s="102" t="n"/>
      <c r="D111" s="114" t="n"/>
      <c r="E111" s="103" t="n"/>
      <c r="F111" s="102" t="n"/>
      <c r="G111" s="102" t="n"/>
      <c r="H111" s="115" t="n"/>
      <c r="I111" s="102" t="n"/>
      <c r="J111" s="102" t="n"/>
      <c r="K111" s="103" t="n"/>
      <c r="L111" s="116">
        <f>IF($H111="","",TRIM(IF(COUNTIF(DMTK!$A$7:$A$250,$F111)=0,"TK Nợ sai! ","")&amp;IF(COUNTIF(DMTK!$A$7:$A$250,$G111)=0,"TK Có sai! ","")&amp;IF(N($H111)&lt;=0,"Tiền phải &gt; 0! ","")&amp;IF($B111="","Thiếu ngày! ","")&amp;IF(AND(OR(LEFT($F111,3)="131",LEFT($G111,3)="131",LEFT($F111,3)="331",LEFT($G111,3)="331"),$I111=""),"Thiếu Mã ĐT! ","")&amp;IF(AND($I111&lt;&gt;"",COUNTIF(DM_DT!$A$7:$A$306,$I111)=0),"Mã ĐT chưa khai báo! ","")))</f>
        <v/>
      </c>
      <c r="M111" s="117">
        <f>IF($H111="","",IF(AND(OR(LEFT($F111,3)="111",LEFT($F111,3)="112",LEFT($F111,3)="113"),OR(LEFT($G111,3)="111",LEFT($G111,3)="112",LEFT($G111,3)="113")),"NB",IF(OR(LEFT($F111,3)="111",LEFT($F111,3)="112",LEFT($F111,3)="113"),"THU",IF(OR(LEFT($G111,3)="111",LEFT($G111,3)="112",LEFT($G111,3)="113"),"CHI",""))))</f>
        <v/>
      </c>
      <c r="N111" s="117">
        <f>IF($M111="THU",$G111,IF($M111="CHI",$F111,""))</f>
        <v/>
      </c>
      <c r="O111" s="117">
        <f>IF(OR($M111="",$M111="NB"),"",IF($J111&lt;&gt;"",TEXT($J111,"00"),IFERROR(VLOOKUP(LEFT($N111,4),LCTT_MAP!$A$7:$C$66,IF($M111="THU",2,3),FALSE()),IFERROR(VLOOKUP(LEFT($N111,3),LCTT_MAP!$A$7:$C$66,IF($M111="THU",2,3),FALSE()),IFERROR(VLOOKUP(LEFT($N111,2),LCTT_MAP!$A$7:$C$66,IF($M111="THU",2,3),FALSE()),IFERROR(VLOOKUP(LEFT($N111,1),LCTT_MAP!$A$7:$C$66,IF($M111="THU",2,3),FALSE()),IF($M111="THU","06","07")))))))</f>
        <v/>
      </c>
      <c r="P111" s="117">
        <f>P110+IF(AND($H111&lt;&gt;"",OR(LEFT($F111,LEN(SC_TK))=SC_TK,LEFT($G111,LEN(SC_TK))=SC_TK)),1,0)</f>
        <v/>
      </c>
    </row>
    <row r="112" ht="15" customHeight="1" s="78">
      <c r="A112" s="95">
        <f>IF($H112="","",ROW()-6)</f>
        <v/>
      </c>
      <c r="B112" s="114" t="n"/>
      <c r="C112" s="102" t="n"/>
      <c r="D112" s="114" t="n"/>
      <c r="E112" s="103" t="n"/>
      <c r="F112" s="102" t="n"/>
      <c r="G112" s="102" t="n"/>
      <c r="H112" s="115" t="n"/>
      <c r="I112" s="102" t="n"/>
      <c r="J112" s="102" t="n"/>
      <c r="K112" s="103" t="n"/>
      <c r="L112" s="116">
        <f>IF($H112="","",TRIM(IF(COUNTIF(DMTK!$A$7:$A$250,$F112)=0,"TK Nợ sai! ","")&amp;IF(COUNTIF(DMTK!$A$7:$A$250,$G112)=0,"TK Có sai! ","")&amp;IF(N($H112)&lt;=0,"Tiền phải &gt; 0! ","")&amp;IF($B112="","Thiếu ngày! ","")&amp;IF(AND(OR(LEFT($F112,3)="131",LEFT($G112,3)="131",LEFT($F112,3)="331",LEFT($G112,3)="331"),$I112=""),"Thiếu Mã ĐT! ","")&amp;IF(AND($I112&lt;&gt;"",COUNTIF(DM_DT!$A$7:$A$306,$I112)=0),"Mã ĐT chưa khai báo! ","")))</f>
        <v/>
      </c>
      <c r="M112" s="117">
        <f>IF($H112="","",IF(AND(OR(LEFT($F112,3)="111",LEFT($F112,3)="112",LEFT($F112,3)="113"),OR(LEFT($G112,3)="111",LEFT($G112,3)="112",LEFT($G112,3)="113")),"NB",IF(OR(LEFT($F112,3)="111",LEFT($F112,3)="112",LEFT($F112,3)="113"),"THU",IF(OR(LEFT($G112,3)="111",LEFT($G112,3)="112",LEFT($G112,3)="113"),"CHI",""))))</f>
        <v/>
      </c>
      <c r="N112" s="117">
        <f>IF($M112="THU",$G112,IF($M112="CHI",$F112,""))</f>
        <v/>
      </c>
      <c r="O112" s="117">
        <f>IF(OR($M112="",$M112="NB"),"",IF($J112&lt;&gt;"",TEXT($J112,"00"),IFERROR(VLOOKUP(LEFT($N112,4),LCTT_MAP!$A$7:$C$66,IF($M112="THU",2,3),FALSE()),IFERROR(VLOOKUP(LEFT($N112,3),LCTT_MAP!$A$7:$C$66,IF($M112="THU",2,3),FALSE()),IFERROR(VLOOKUP(LEFT($N112,2),LCTT_MAP!$A$7:$C$66,IF($M112="THU",2,3),FALSE()),IFERROR(VLOOKUP(LEFT($N112,1),LCTT_MAP!$A$7:$C$66,IF($M112="THU",2,3),FALSE()),IF($M112="THU","06","07")))))))</f>
        <v/>
      </c>
      <c r="P112" s="117">
        <f>P111+IF(AND($H112&lt;&gt;"",OR(LEFT($F112,LEN(SC_TK))=SC_TK,LEFT($G112,LEN(SC_TK))=SC_TK)),1,0)</f>
        <v/>
      </c>
    </row>
    <row r="113" ht="15" customHeight="1" s="78">
      <c r="A113" s="95">
        <f>IF($H113="","",ROW()-6)</f>
        <v/>
      </c>
      <c r="B113" s="114" t="n"/>
      <c r="C113" s="102" t="n"/>
      <c r="D113" s="114" t="n"/>
      <c r="E113" s="103" t="n"/>
      <c r="F113" s="102" t="n"/>
      <c r="G113" s="102" t="n"/>
      <c r="H113" s="115" t="n"/>
      <c r="I113" s="102" t="n"/>
      <c r="J113" s="102" t="n"/>
      <c r="K113" s="103" t="n"/>
      <c r="L113" s="116">
        <f>IF($H113="","",TRIM(IF(COUNTIF(DMTK!$A$7:$A$250,$F113)=0,"TK Nợ sai! ","")&amp;IF(COUNTIF(DMTK!$A$7:$A$250,$G113)=0,"TK Có sai! ","")&amp;IF(N($H113)&lt;=0,"Tiền phải &gt; 0! ","")&amp;IF($B113="","Thiếu ngày! ","")&amp;IF(AND(OR(LEFT($F113,3)="131",LEFT($G113,3)="131",LEFT($F113,3)="331",LEFT($G113,3)="331"),$I113=""),"Thiếu Mã ĐT! ","")&amp;IF(AND($I113&lt;&gt;"",COUNTIF(DM_DT!$A$7:$A$306,$I113)=0),"Mã ĐT chưa khai báo! ","")))</f>
        <v/>
      </c>
      <c r="M113" s="117">
        <f>IF($H113="","",IF(AND(OR(LEFT($F113,3)="111",LEFT($F113,3)="112",LEFT($F113,3)="113"),OR(LEFT($G113,3)="111",LEFT($G113,3)="112",LEFT($G113,3)="113")),"NB",IF(OR(LEFT($F113,3)="111",LEFT($F113,3)="112",LEFT($F113,3)="113"),"THU",IF(OR(LEFT($G113,3)="111",LEFT($G113,3)="112",LEFT($G113,3)="113"),"CHI",""))))</f>
        <v/>
      </c>
      <c r="N113" s="117">
        <f>IF($M113="THU",$G113,IF($M113="CHI",$F113,""))</f>
        <v/>
      </c>
      <c r="O113" s="117">
        <f>IF(OR($M113="",$M113="NB"),"",IF($J113&lt;&gt;"",TEXT($J113,"00"),IFERROR(VLOOKUP(LEFT($N113,4),LCTT_MAP!$A$7:$C$66,IF($M113="THU",2,3),FALSE()),IFERROR(VLOOKUP(LEFT($N113,3),LCTT_MAP!$A$7:$C$66,IF($M113="THU",2,3),FALSE()),IFERROR(VLOOKUP(LEFT($N113,2),LCTT_MAP!$A$7:$C$66,IF($M113="THU",2,3),FALSE()),IFERROR(VLOOKUP(LEFT($N113,1),LCTT_MAP!$A$7:$C$66,IF($M113="THU",2,3),FALSE()),IF($M113="THU","06","07")))))))</f>
        <v/>
      </c>
      <c r="P113" s="117">
        <f>P112+IF(AND($H113&lt;&gt;"",OR(LEFT($F113,LEN(SC_TK))=SC_TK,LEFT($G113,LEN(SC_TK))=SC_TK)),1,0)</f>
        <v/>
      </c>
    </row>
    <row r="114" ht="15" customHeight="1" s="78">
      <c r="A114" s="95">
        <f>IF($H114="","",ROW()-6)</f>
        <v/>
      </c>
      <c r="B114" s="114" t="n"/>
      <c r="C114" s="102" t="n"/>
      <c r="D114" s="114" t="n"/>
      <c r="E114" s="103" t="n"/>
      <c r="F114" s="102" t="n"/>
      <c r="G114" s="102" t="n"/>
      <c r="H114" s="115" t="n"/>
      <c r="I114" s="102" t="n"/>
      <c r="J114" s="102" t="n"/>
      <c r="K114" s="103" t="n"/>
      <c r="L114" s="116">
        <f>IF($H114="","",TRIM(IF(COUNTIF(DMTK!$A$7:$A$250,$F114)=0,"TK Nợ sai! ","")&amp;IF(COUNTIF(DMTK!$A$7:$A$250,$G114)=0,"TK Có sai! ","")&amp;IF(N($H114)&lt;=0,"Tiền phải &gt; 0! ","")&amp;IF($B114="","Thiếu ngày! ","")&amp;IF(AND(OR(LEFT($F114,3)="131",LEFT($G114,3)="131",LEFT($F114,3)="331",LEFT($G114,3)="331"),$I114=""),"Thiếu Mã ĐT! ","")&amp;IF(AND($I114&lt;&gt;"",COUNTIF(DM_DT!$A$7:$A$306,$I114)=0),"Mã ĐT chưa khai báo! ","")))</f>
        <v/>
      </c>
      <c r="M114" s="117">
        <f>IF($H114="","",IF(AND(OR(LEFT($F114,3)="111",LEFT($F114,3)="112",LEFT($F114,3)="113"),OR(LEFT($G114,3)="111",LEFT($G114,3)="112",LEFT($G114,3)="113")),"NB",IF(OR(LEFT($F114,3)="111",LEFT($F114,3)="112",LEFT($F114,3)="113"),"THU",IF(OR(LEFT($G114,3)="111",LEFT($G114,3)="112",LEFT($G114,3)="113"),"CHI",""))))</f>
        <v/>
      </c>
      <c r="N114" s="117">
        <f>IF($M114="THU",$G114,IF($M114="CHI",$F114,""))</f>
        <v/>
      </c>
      <c r="O114" s="117">
        <f>IF(OR($M114="",$M114="NB"),"",IF($J114&lt;&gt;"",TEXT($J114,"00"),IFERROR(VLOOKUP(LEFT($N114,4),LCTT_MAP!$A$7:$C$66,IF($M114="THU",2,3),FALSE()),IFERROR(VLOOKUP(LEFT($N114,3),LCTT_MAP!$A$7:$C$66,IF($M114="THU",2,3),FALSE()),IFERROR(VLOOKUP(LEFT($N114,2),LCTT_MAP!$A$7:$C$66,IF($M114="THU",2,3),FALSE()),IFERROR(VLOOKUP(LEFT($N114,1),LCTT_MAP!$A$7:$C$66,IF($M114="THU",2,3),FALSE()),IF($M114="THU","06","07")))))))</f>
        <v/>
      </c>
      <c r="P114" s="117">
        <f>P113+IF(AND($H114&lt;&gt;"",OR(LEFT($F114,LEN(SC_TK))=SC_TK,LEFT($G114,LEN(SC_TK))=SC_TK)),1,0)</f>
        <v/>
      </c>
    </row>
    <row r="115" ht="15" customHeight="1" s="78">
      <c r="A115" s="95">
        <f>IF($H115="","",ROW()-6)</f>
        <v/>
      </c>
      <c r="B115" s="114" t="n"/>
      <c r="C115" s="102" t="n"/>
      <c r="D115" s="114" t="n"/>
      <c r="E115" s="103" t="n"/>
      <c r="F115" s="102" t="n"/>
      <c r="G115" s="102" t="n"/>
      <c r="H115" s="115" t="n"/>
      <c r="I115" s="102" t="n"/>
      <c r="J115" s="102" t="n"/>
      <c r="K115" s="103" t="n"/>
      <c r="L115" s="116">
        <f>IF($H115="","",TRIM(IF(COUNTIF(DMTK!$A$7:$A$250,$F115)=0,"TK Nợ sai! ","")&amp;IF(COUNTIF(DMTK!$A$7:$A$250,$G115)=0,"TK Có sai! ","")&amp;IF(N($H115)&lt;=0,"Tiền phải &gt; 0! ","")&amp;IF($B115="","Thiếu ngày! ","")&amp;IF(AND(OR(LEFT($F115,3)="131",LEFT($G115,3)="131",LEFT($F115,3)="331",LEFT($G115,3)="331"),$I115=""),"Thiếu Mã ĐT! ","")&amp;IF(AND($I115&lt;&gt;"",COUNTIF(DM_DT!$A$7:$A$306,$I115)=0),"Mã ĐT chưa khai báo! ","")))</f>
        <v/>
      </c>
      <c r="M115" s="117">
        <f>IF($H115="","",IF(AND(OR(LEFT($F115,3)="111",LEFT($F115,3)="112",LEFT($F115,3)="113"),OR(LEFT($G115,3)="111",LEFT($G115,3)="112",LEFT($G115,3)="113")),"NB",IF(OR(LEFT($F115,3)="111",LEFT($F115,3)="112",LEFT($F115,3)="113"),"THU",IF(OR(LEFT($G115,3)="111",LEFT($G115,3)="112",LEFT($G115,3)="113"),"CHI",""))))</f>
        <v/>
      </c>
      <c r="N115" s="117">
        <f>IF($M115="THU",$G115,IF($M115="CHI",$F115,""))</f>
        <v/>
      </c>
      <c r="O115" s="117">
        <f>IF(OR($M115="",$M115="NB"),"",IF($J115&lt;&gt;"",TEXT($J115,"00"),IFERROR(VLOOKUP(LEFT($N115,4),LCTT_MAP!$A$7:$C$66,IF($M115="THU",2,3),FALSE()),IFERROR(VLOOKUP(LEFT($N115,3),LCTT_MAP!$A$7:$C$66,IF($M115="THU",2,3),FALSE()),IFERROR(VLOOKUP(LEFT($N115,2),LCTT_MAP!$A$7:$C$66,IF($M115="THU",2,3),FALSE()),IFERROR(VLOOKUP(LEFT($N115,1),LCTT_MAP!$A$7:$C$66,IF($M115="THU",2,3),FALSE()),IF($M115="THU","06","07")))))))</f>
        <v/>
      </c>
      <c r="P115" s="117">
        <f>P114+IF(AND($H115&lt;&gt;"",OR(LEFT($F115,LEN(SC_TK))=SC_TK,LEFT($G115,LEN(SC_TK))=SC_TK)),1,0)</f>
        <v/>
      </c>
    </row>
    <row r="116" ht="15" customHeight="1" s="78">
      <c r="A116" s="95">
        <f>IF($H116="","",ROW()-6)</f>
        <v/>
      </c>
      <c r="B116" s="114" t="n"/>
      <c r="C116" s="102" t="n"/>
      <c r="D116" s="114" t="n"/>
      <c r="E116" s="103" t="n"/>
      <c r="F116" s="102" t="n"/>
      <c r="G116" s="102" t="n"/>
      <c r="H116" s="115" t="n"/>
      <c r="I116" s="102" t="n"/>
      <c r="J116" s="102" t="n"/>
      <c r="K116" s="103" t="n"/>
      <c r="L116" s="116">
        <f>IF($H116="","",TRIM(IF(COUNTIF(DMTK!$A$7:$A$250,$F116)=0,"TK Nợ sai! ","")&amp;IF(COUNTIF(DMTK!$A$7:$A$250,$G116)=0,"TK Có sai! ","")&amp;IF(N($H116)&lt;=0,"Tiền phải &gt; 0! ","")&amp;IF($B116="","Thiếu ngày! ","")&amp;IF(AND(OR(LEFT($F116,3)="131",LEFT($G116,3)="131",LEFT($F116,3)="331",LEFT($G116,3)="331"),$I116=""),"Thiếu Mã ĐT! ","")&amp;IF(AND($I116&lt;&gt;"",COUNTIF(DM_DT!$A$7:$A$306,$I116)=0),"Mã ĐT chưa khai báo! ","")))</f>
        <v/>
      </c>
      <c r="M116" s="117">
        <f>IF($H116="","",IF(AND(OR(LEFT($F116,3)="111",LEFT($F116,3)="112",LEFT($F116,3)="113"),OR(LEFT($G116,3)="111",LEFT($G116,3)="112",LEFT($G116,3)="113")),"NB",IF(OR(LEFT($F116,3)="111",LEFT($F116,3)="112",LEFT($F116,3)="113"),"THU",IF(OR(LEFT($G116,3)="111",LEFT($G116,3)="112",LEFT($G116,3)="113"),"CHI",""))))</f>
        <v/>
      </c>
      <c r="N116" s="117">
        <f>IF($M116="THU",$G116,IF($M116="CHI",$F116,""))</f>
        <v/>
      </c>
      <c r="O116" s="117">
        <f>IF(OR($M116="",$M116="NB"),"",IF($J116&lt;&gt;"",TEXT($J116,"00"),IFERROR(VLOOKUP(LEFT($N116,4),LCTT_MAP!$A$7:$C$66,IF($M116="THU",2,3),FALSE()),IFERROR(VLOOKUP(LEFT($N116,3),LCTT_MAP!$A$7:$C$66,IF($M116="THU",2,3),FALSE()),IFERROR(VLOOKUP(LEFT($N116,2),LCTT_MAP!$A$7:$C$66,IF($M116="THU",2,3),FALSE()),IFERROR(VLOOKUP(LEFT($N116,1),LCTT_MAP!$A$7:$C$66,IF($M116="THU",2,3),FALSE()),IF($M116="THU","06","07")))))))</f>
        <v/>
      </c>
      <c r="P116" s="117">
        <f>P115+IF(AND($H116&lt;&gt;"",OR(LEFT($F116,LEN(SC_TK))=SC_TK,LEFT($G116,LEN(SC_TK))=SC_TK)),1,0)</f>
        <v/>
      </c>
    </row>
    <row r="117" ht="15" customHeight="1" s="78">
      <c r="A117" s="95">
        <f>IF($H117="","",ROW()-6)</f>
        <v/>
      </c>
      <c r="B117" s="114" t="n"/>
      <c r="C117" s="102" t="n"/>
      <c r="D117" s="114" t="n"/>
      <c r="E117" s="103" t="n"/>
      <c r="F117" s="102" t="n"/>
      <c r="G117" s="102" t="n"/>
      <c r="H117" s="115" t="n"/>
      <c r="I117" s="102" t="n"/>
      <c r="J117" s="102" t="n"/>
      <c r="K117" s="103" t="n"/>
      <c r="L117" s="116">
        <f>IF($H117="","",TRIM(IF(COUNTIF(DMTK!$A$7:$A$250,$F117)=0,"TK Nợ sai! ","")&amp;IF(COUNTIF(DMTK!$A$7:$A$250,$G117)=0,"TK Có sai! ","")&amp;IF(N($H117)&lt;=0,"Tiền phải &gt; 0! ","")&amp;IF($B117="","Thiếu ngày! ","")&amp;IF(AND(OR(LEFT($F117,3)="131",LEFT($G117,3)="131",LEFT($F117,3)="331",LEFT($G117,3)="331"),$I117=""),"Thiếu Mã ĐT! ","")&amp;IF(AND($I117&lt;&gt;"",COUNTIF(DM_DT!$A$7:$A$306,$I117)=0),"Mã ĐT chưa khai báo! ","")))</f>
        <v/>
      </c>
      <c r="M117" s="117">
        <f>IF($H117="","",IF(AND(OR(LEFT($F117,3)="111",LEFT($F117,3)="112",LEFT($F117,3)="113"),OR(LEFT($G117,3)="111",LEFT($G117,3)="112",LEFT($G117,3)="113")),"NB",IF(OR(LEFT($F117,3)="111",LEFT($F117,3)="112",LEFT($F117,3)="113"),"THU",IF(OR(LEFT($G117,3)="111",LEFT($G117,3)="112",LEFT($G117,3)="113"),"CHI",""))))</f>
        <v/>
      </c>
      <c r="N117" s="117">
        <f>IF($M117="THU",$G117,IF($M117="CHI",$F117,""))</f>
        <v/>
      </c>
      <c r="O117" s="117">
        <f>IF(OR($M117="",$M117="NB"),"",IF($J117&lt;&gt;"",TEXT($J117,"00"),IFERROR(VLOOKUP(LEFT($N117,4),LCTT_MAP!$A$7:$C$66,IF($M117="THU",2,3),FALSE()),IFERROR(VLOOKUP(LEFT($N117,3),LCTT_MAP!$A$7:$C$66,IF($M117="THU",2,3),FALSE()),IFERROR(VLOOKUP(LEFT($N117,2),LCTT_MAP!$A$7:$C$66,IF($M117="THU",2,3),FALSE()),IFERROR(VLOOKUP(LEFT($N117,1),LCTT_MAP!$A$7:$C$66,IF($M117="THU",2,3),FALSE()),IF($M117="THU","06","07")))))))</f>
        <v/>
      </c>
      <c r="P117" s="117">
        <f>P116+IF(AND($H117&lt;&gt;"",OR(LEFT($F117,LEN(SC_TK))=SC_TK,LEFT($G117,LEN(SC_TK))=SC_TK)),1,0)</f>
        <v/>
      </c>
    </row>
    <row r="118" ht="15" customHeight="1" s="78">
      <c r="A118" s="95">
        <f>IF($H118="","",ROW()-6)</f>
        <v/>
      </c>
      <c r="B118" s="114" t="n"/>
      <c r="C118" s="102" t="n"/>
      <c r="D118" s="114" t="n"/>
      <c r="E118" s="103" t="n"/>
      <c r="F118" s="102" t="n"/>
      <c r="G118" s="102" t="n"/>
      <c r="H118" s="115" t="n"/>
      <c r="I118" s="102" t="n"/>
      <c r="J118" s="102" t="n"/>
      <c r="K118" s="103" t="n"/>
      <c r="L118" s="116">
        <f>IF($H118="","",TRIM(IF(COUNTIF(DMTK!$A$7:$A$250,$F118)=0,"TK Nợ sai! ","")&amp;IF(COUNTIF(DMTK!$A$7:$A$250,$G118)=0,"TK Có sai! ","")&amp;IF(N($H118)&lt;=0,"Tiền phải &gt; 0! ","")&amp;IF($B118="","Thiếu ngày! ","")&amp;IF(AND(OR(LEFT($F118,3)="131",LEFT($G118,3)="131",LEFT($F118,3)="331",LEFT($G118,3)="331"),$I118=""),"Thiếu Mã ĐT! ","")&amp;IF(AND($I118&lt;&gt;"",COUNTIF(DM_DT!$A$7:$A$306,$I118)=0),"Mã ĐT chưa khai báo! ","")))</f>
        <v/>
      </c>
      <c r="M118" s="117">
        <f>IF($H118="","",IF(AND(OR(LEFT($F118,3)="111",LEFT($F118,3)="112",LEFT($F118,3)="113"),OR(LEFT($G118,3)="111",LEFT($G118,3)="112",LEFT($G118,3)="113")),"NB",IF(OR(LEFT($F118,3)="111",LEFT($F118,3)="112",LEFT($F118,3)="113"),"THU",IF(OR(LEFT($G118,3)="111",LEFT($G118,3)="112",LEFT($G118,3)="113"),"CHI",""))))</f>
        <v/>
      </c>
      <c r="N118" s="117">
        <f>IF($M118="THU",$G118,IF($M118="CHI",$F118,""))</f>
        <v/>
      </c>
      <c r="O118" s="117">
        <f>IF(OR($M118="",$M118="NB"),"",IF($J118&lt;&gt;"",TEXT($J118,"00"),IFERROR(VLOOKUP(LEFT($N118,4),LCTT_MAP!$A$7:$C$66,IF($M118="THU",2,3),FALSE()),IFERROR(VLOOKUP(LEFT($N118,3),LCTT_MAP!$A$7:$C$66,IF($M118="THU",2,3),FALSE()),IFERROR(VLOOKUP(LEFT($N118,2),LCTT_MAP!$A$7:$C$66,IF($M118="THU",2,3),FALSE()),IFERROR(VLOOKUP(LEFT($N118,1),LCTT_MAP!$A$7:$C$66,IF($M118="THU",2,3),FALSE()),IF($M118="THU","06","07")))))))</f>
        <v/>
      </c>
      <c r="P118" s="117">
        <f>P117+IF(AND($H118&lt;&gt;"",OR(LEFT($F118,LEN(SC_TK))=SC_TK,LEFT($G118,LEN(SC_TK))=SC_TK)),1,0)</f>
        <v/>
      </c>
    </row>
    <row r="119" ht="15" customHeight="1" s="78">
      <c r="A119" s="95">
        <f>IF($H119="","",ROW()-6)</f>
        <v/>
      </c>
      <c r="B119" s="114" t="n"/>
      <c r="C119" s="102" t="n"/>
      <c r="D119" s="114" t="n"/>
      <c r="E119" s="103" t="n"/>
      <c r="F119" s="102" t="n"/>
      <c r="G119" s="102" t="n"/>
      <c r="H119" s="115" t="n"/>
      <c r="I119" s="102" t="n"/>
      <c r="J119" s="102" t="n"/>
      <c r="K119" s="103" t="n"/>
      <c r="L119" s="116">
        <f>IF($H119="","",TRIM(IF(COUNTIF(DMTK!$A$7:$A$250,$F119)=0,"TK Nợ sai! ","")&amp;IF(COUNTIF(DMTK!$A$7:$A$250,$G119)=0,"TK Có sai! ","")&amp;IF(N($H119)&lt;=0,"Tiền phải &gt; 0! ","")&amp;IF($B119="","Thiếu ngày! ","")&amp;IF(AND(OR(LEFT($F119,3)="131",LEFT($G119,3)="131",LEFT($F119,3)="331",LEFT($G119,3)="331"),$I119=""),"Thiếu Mã ĐT! ","")&amp;IF(AND($I119&lt;&gt;"",COUNTIF(DM_DT!$A$7:$A$306,$I119)=0),"Mã ĐT chưa khai báo! ","")))</f>
        <v/>
      </c>
      <c r="M119" s="117">
        <f>IF($H119="","",IF(AND(OR(LEFT($F119,3)="111",LEFT($F119,3)="112",LEFT($F119,3)="113"),OR(LEFT($G119,3)="111",LEFT($G119,3)="112",LEFT($G119,3)="113")),"NB",IF(OR(LEFT($F119,3)="111",LEFT($F119,3)="112",LEFT($F119,3)="113"),"THU",IF(OR(LEFT($G119,3)="111",LEFT($G119,3)="112",LEFT($G119,3)="113"),"CHI",""))))</f>
        <v/>
      </c>
      <c r="N119" s="117">
        <f>IF($M119="THU",$G119,IF($M119="CHI",$F119,""))</f>
        <v/>
      </c>
      <c r="O119" s="117">
        <f>IF(OR($M119="",$M119="NB"),"",IF($J119&lt;&gt;"",TEXT($J119,"00"),IFERROR(VLOOKUP(LEFT($N119,4),LCTT_MAP!$A$7:$C$66,IF($M119="THU",2,3),FALSE()),IFERROR(VLOOKUP(LEFT($N119,3),LCTT_MAP!$A$7:$C$66,IF($M119="THU",2,3),FALSE()),IFERROR(VLOOKUP(LEFT($N119,2),LCTT_MAP!$A$7:$C$66,IF($M119="THU",2,3),FALSE()),IFERROR(VLOOKUP(LEFT($N119,1),LCTT_MAP!$A$7:$C$66,IF($M119="THU",2,3),FALSE()),IF($M119="THU","06","07")))))))</f>
        <v/>
      </c>
      <c r="P119" s="117">
        <f>P118+IF(AND($H119&lt;&gt;"",OR(LEFT($F119,LEN(SC_TK))=SC_TK,LEFT($G119,LEN(SC_TK))=SC_TK)),1,0)</f>
        <v/>
      </c>
    </row>
    <row r="120" ht="15" customHeight="1" s="78">
      <c r="A120" s="95">
        <f>IF($H120="","",ROW()-6)</f>
        <v/>
      </c>
      <c r="B120" s="114" t="n"/>
      <c r="C120" s="102" t="n"/>
      <c r="D120" s="114" t="n"/>
      <c r="E120" s="103" t="n"/>
      <c r="F120" s="102" t="n"/>
      <c r="G120" s="102" t="n"/>
      <c r="H120" s="115" t="n"/>
      <c r="I120" s="102" t="n"/>
      <c r="J120" s="102" t="n"/>
      <c r="K120" s="103" t="n"/>
      <c r="L120" s="116">
        <f>IF($H120="","",TRIM(IF(COUNTIF(DMTK!$A$7:$A$250,$F120)=0,"TK Nợ sai! ","")&amp;IF(COUNTIF(DMTK!$A$7:$A$250,$G120)=0,"TK Có sai! ","")&amp;IF(N($H120)&lt;=0,"Tiền phải &gt; 0! ","")&amp;IF($B120="","Thiếu ngày! ","")&amp;IF(AND(OR(LEFT($F120,3)="131",LEFT($G120,3)="131",LEFT($F120,3)="331",LEFT($G120,3)="331"),$I120=""),"Thiếu Mã ĐT! ","")&amp;IF(AND($I120&lt;&gt;"",COUNTIF(DM_DT!$A$7:$A$306,$I120)=0),"Mã ĐT chưa khai báo! ","")))</f>
        <v/>
      </c>
      <c r="M120" s="117">
        <f>IF($H120="","",IF(AND(OR(LEFT($F120,3)="111",LEFT($F120,3)="112",LEFT($F120,3)="113"),OR(LEFT($G120,3)="111",LEFT($G120,3)="112",LEFT($G120,3)="113")),"NB",IF(OR(LEFT($F120,3)="111",LEFT($F120,3)="112",LEFT($F120,3)="113"),"THU",IF(OR(LEFT($G120,3)="111",LEFT($G120,3)="112",LEFT($G120,3)="113"),"CHI",""))))</f>
        <v/>
      </c>
      <c r="N120" s="117">
        <f>IF($M120="THU",$G120,IF($M120="CHI",$F120,""))</f>
        <v/>
      </c>
      <c r="O120" s="117">
        <f>IF(OR($M120="",$M120="NB"),"",IF($J120&lt;&gt;"",TEXT($J120,"00"),IFERROR(VLOOKUP(LEFT($N120,4),LCTT_MAP!$A$7:$C$66,IF($M120="THU",2,3),FALSE()),IFERROR(VLOOKUP(LEFT($N120,3),LCTT_MAP!$A$7:$C$66,IF($M120="THU",2,3),FALSE()),IFERROR(VLOOKUP(LEFT($N120,2),LCTT_MAP!$A$7:$C$66,IF($M120="THU",2,3),FALSE()),IFERROR(VLOOKUP(LEFT($N120,1),LCTT_MAP!$A$7:$C$66,IF($M120="THU",2,3),FALSE()),IF($M120="THU","06","07")))))))</f>
        <v/>
      </c>
      <c r="P120" s="117">
        <f>P119+IF(AND($H120&lt;&gt;"",OR(LEFT($F120,LEN(SC_TK))=SC_TK,LEFT($G120,LEN(SC_TK))=SC_TK)),1,0)</f>
        <v/>
      </c>
    </row>
    <row r="121" ht="15" customHeight="1" s="78">
      <c r="A121" s="95">
        <f>IF($H121="","",ROW()-6)</f>
        <v/>
      </c>
      <c r="B121" s="114" t="n"/>
      <c r="C121" s="102" t="n"/>
      <c r="D121" s="114" t="n"/>
      <c r="E121" s="103" t="n"/>
      <c r="F121" s="102" t="n"/>
      <c r="G121" s="102" t="n"/>
      <c r="H121" s="115" t="n"/>
      <c r="I121" s="102" t="n"/>
      <c r="J121" s="102" t="n"/>
      <c r="K121" s="103" t="n"/>
      <c r="L121" s="116">
        <f>IF($H121="","",TRIM(IF(COUNTIF(DMTK!$A$7:$A$250,$F121)=0,"TK Nợ sai! ","")&amp;IF(COUNTIF(DMTK!$A$7:$A$250,$G121)=0,"TK Có sai! ","")&amp;IF(N($H121)&lt;=0,"Tiền phải &gt; 0! ","")&amp;IF($B121="","Thiếu ngày! ","")&amp;IF(AND(OR(LEFT($F121,3)="131",LEFT($G121,3)="131",LEFT($F121,3)="331",LEFT($G121,3)="331"),$I121=""),"Thiếu Mã ĐT! ","")&amp;IF(AND($I121&lt;&gt;"",COUNTIF(DM_DT!$A$7:$A$306,$I121)=0),"Mã ĐT chưa khai báo! ","")))</f>
        <v/>
      </c>
      <c r="M121" s="117">
        <f>IF($H121="","",IF(AND(OR(LEFT($F121,3)="111",LEFT($F121,3)="112",LEFT($F121,3)="113"),OR(LEFT($G121,3)="111",LEFT($G121,3)="112",LEFT($G121,3)="113")),"NB",IF(OR(LEFT($F121,3)="111",LEFT($F121,3)="112",LEFT($F121,3)="113"),"THU",IF(OR(LEFT($G121,3)="111",LEFT($G121,3)="112",LEFT($G121,3)="113"),"CHI",""))))</f>
        <v/>
      </c>
      <c r="N121" s="117">
        <f>IF($M121="THU",$G121,IF($M121="CHI",$F121,""))</f>
        <v/>
      </c>
      <c r="O121" s="117">
        <f>IF(OR($M121="",$M121="NB"),"",IF($J121&lt;&gt;"",TEXT($J121,"00"),IFERROR(VLOOKUP(LEFT($N121,4),LCTT_MAP!$A$7:$C$66,IF($M121="THU",2,3),FALSE()),IFERROR(VLOOKUP(LEFT($N121,3),LCTT_MAP!$A$7:$C$66,IF($M121="THU",2,3),FALSE()),IFERROR(VLOOKUP(LEFT($N121,2),LCTT_MAP!$A$7:$C$66,IF($M121="THU",2,3),FALSE()),IFERROR(VLOOKUP(LEFT($N121,1),LCTT_MAP!$A$7:$C$66,IF($M121="THU",2,3),FALSE()),IF($M121="THU","06","07")))))))</f>
        <v/>
      </c>
      <c r="P121" s="117">
        <f>P120+IF(AND($H121&lt;&gt;"",OR(LEFT($F121,LEN(SC_TK))=SC_TK,LEFT($G121,LEN(SC_TK))=SC_TK)),1,0)</f>
        <v/>
      </c>
    </row>
    <row r="122" ht="15" customHeight="1" s="78">
      <c r="A122" s="95">
        <f>IF($H122="","",ROW()-6)</f>
        <v/>
      </c>
      <c r="B122" s="114" t="n"/>
      <c r="C122" s="102" t="n"/>
      <c r="D122" s="114" t="n"/>
      <c r="E122" s="103" t="n"/>
      <c r="F122" s="102" t="n"/>
      <c r="G122" s="102" t="n"/>
      <c r="H122" s="115" t="n"/>
      <c r="I122" s="102" t="n"/>
      <c r="J122" s="102" t="n"/>
      <c r="K122" s="103" t="n"/>
      <c r="L122" s="116">
        <f>IF($H122="","",TRIM(IF(COUNTIF(DMTK!$A$7:$A$250,$F122)=0,"TK Nợ sai! ","")&amp;IF(COUNTIF(DMTK!$A$7:$A$250,$G122)=0,"TK Có sai! ","")&amp;IF(N($H122)&lt;=0,"Tiền phải &gt; 0! ","")&amp;IF($B122="","Thiếu ngày! ","")&amp;IF(AND(OR(LEFT($F122,3)="131",LEFT($G122,3)="131",LEFT($F122,3)="331",LEFT($G122,3)="331"),$I122=""),"Thiếu Mã ĐT! ","")&amp;IF(AND($I122&lt;&gt;"",COUNTIF(DM_DT!$A$7:$A$306,$I122)=0),"Mã ĐT chưa khai báo! ","")))</f>
        <v/>
      </c>
      <c r="M122" s="117">
        <f>IF($H122="","",IF(AND(OR(LEFT($F122,3)="111",LEFT($F122,3)="112",LEFT($F122,3)="113"),OR(LEFT($G122,3)="111",LEFT($G122,3)="112",LEFT($G122,3)="113")),"NB",IF(OR(LEFT($F122,3)="111",LEFT($F122,3)="112",LEFT($F122,3)="113"),"THU",IF(OR(LEFT($G122,3)="111",LEFT($G122,3)="112",LEFT($G122,3)="113"),"CHI",""))))</f>
        <v/>
      </c>
      <c r="N122" s="117">
        <f>IF($M122="THU",$G122,IF($M122="CHI",$F122,""))</f>
        <v/>
      </c>
      <c r="O122" s="117">
        <f>IF(OR($M122="",$M122="NB"),"",IF($J122&lt;&gt;"",TEXT($J122,"00"),IFERROR(VLOOKUP(LEFT($N122,4),LCTT_MAP!$A$7:$C$66,IF($M122="THU",2,3),FALSE()),IFERROR(VLOOKUP(LEFT($N122,3),LCTT_MAP!$A$7:$C$66,IF($M122="THU",2,3),FALSE()),IFERROR(VLOOKUP(LEFT($N122,2),LCTT_MAP!$A$7:$C$66,IF($M122="THU",2,3),FALSE()),IFERROR(VLOOKUP(LEFT($N122,1),LCTT_MAP!$A$7:$C$66,IF($M122="THU",2,3),FALSE()),IF($M122="THU","06","07")))))))</f>
        <v/>
      </c>
      <c r="P122" s="117">
        <f>P121+IF(AND($H122&lt;&gt;"",OR(LEFT($F122,LEN(SC_TK))=SC_TK,LEFT($G122,LEN(SC_TK))=SC_TK)),1,0)</f>
        <v/>
      </c>
    </row>
    <row r="123" ht="15" customHeight="1" s="78">
      <c r="A123" s="95">
        <f>IF($H123="","",ROW()-6)</f>
        <v/>
      </c>
      <c r="B123" s="114" t="n"/>
      <c r="C123" s="102" t="n"/>
      <c r="D123" s="114" t="n"/>
      <c r="E123" s="103" t="n"/>
      <c r="F123" s="102" t="n"/>
      <c r="G123" s="102" t="n"/>
      <c r="H123" s="115" t="n"/>
      <c r="I123" s="102" t="n"/>
      <c r="J123" s="102" t="n"/>
      <c r="K123" s="103" t="n"/>
      <c r="L123" s="116">
        <f>IF($H123="","",TRIM(IF(COUNTIF(DMTK!$A$7:$A$250,$F123)=0,"TK Nợ sai! ","")&amp;IF(COUNTIF(DMTK!$A$7:$A$250,$G123)=0,"TK Có sai! ","")&amp;IF(N($H123)&lt;=0,"Tiền phải &gt; 0! ","")&amp;IF($B123="","Thiếu ngày! ","")&amp;IF(AND(OR(LEFT($F123,3)="131",LEFT($G123,3)="131",LEFT($F123,3)="331",LEFT($G123,3)="331"),$I123=""),"Thiếu Mã ĐT! ","")&amp;IF(AND($I123&lt;&gt;"",COUNTIF(DM_DT!$A$7:$A$306,$I123)=0),"Mã ĐT chưa khai báo! ","")))</f>
        <v/>
      </c>
      <c r="M123" s="117">
        <f>IF($H123="","",IF(AND(OR(LEFT($F123,3)="111",LEFT($F123,3)="112",LEFT($F123,3)="113"),OR(LEFT($G123,3)="111",LEFT($G123,3)="112",LEFT($G123,3)="113")),"NB",IF(OR(LEFT($F123,3)="111",LEFT($F123,3)="112",LEFT($F123,3)="113"),"THU",IF(OR(LEFT($G123,3)="111",LEFT($G123,3)="112",LEFT($G123,3)="113"),"CHI",""))))</f>
        <v/>
      </c>
      <c r="N123" s="117">
        <f>IF($M123="THU",$G123,IF($M123="CHI",$F123,""))</f>
        <v/>
      </c>
      <c r="O123" s="117">
        <f>IF(OR($M123="",$M123="NB"),"",IF($J123&lt;&gt;"",TEXT($J123,"00"),IFERROR(VLOOKUP(LEFT($N123,4),LCTT_MAP!$A$7:$C$66,IF($M123="THU",2,3),FALSE()),IFERROR(VLOOKUP(LEFT($N123,3),LCTT_MAP!$A$7:$C$66,IF($M123="THU",2,3),FALSE()),IFERROR(VLOOKUP(LEFT($N123,2),LCTT_MAP!$A$7:$C$66,IF($M123="THU",2,3),FALSE()),IFERROR(VLOOKUP(LEFT($N123,1),LCTT_MAP!$A$7:$C$66,IF($M123="THU",2,3),FALSE()),IF($M123="THU","06","07")))))))</f>
        <v/>
      </c>
      <c r="P123" s="117">
        <f>P122+IF(AND($H123&lt;&gt;"",OR(LEFT($F123,LEN(SC_TK))=SC_TK,LEFT($G123,LEN(SC_TK))=SC_TK)),1,0)</f>
        <v/>
      </c>
    </row>
    <row r="124" ht="15" customHeight="1" s="78">
      <c r="A124" s="95">
        <f>IF($H124="","",ROW()-6)</f>
        <v/>
      </c>
      <c r="B124" s="114" t="n"/>
      <c r="C124" s="102" t="n"/>
      <c r="D124" s="114" t="n"/>
      <c r="E124" s="103" t="n"/>
      <c r="F124" s="102" t="n"/>
      <c r="G124" s="102" t="n"/>
      <c r="H124" s="115" t="n"/>
      <c r="I124" s="102" t="n"/>
      <c r="J124" s="102" t="n"/>
      <c r="K124" s="103" t="n"/>
      <c r="L124" s="116">
        <f>IF($H124="","",TRIM(IF(COUNTIF(DMTK!$A$7:$A$250,$F124)=0,"TK Nợ sai! ","")&amp;IF(COUNTIF(DMTK!$A$7:$A$250,$G124)=0,"TK Có sai! ","")&amp;IF(N($H124)&lt;=0,"Tiền phải &gt; 0! ","")&amp;IF($B124="","Thiếu ngày! ","")&amp;IF(AND(OR(LEFT($F124,3)="131",LEFT($G124,3)="131",LEFT($F124,3)="331",LEFT($G124,3)="331"),$I124=""),"Thiếu Mã ĐT! ","")&amp;IF(AND($I124&lt;&gt;"",COUNTIF(DM_DT!$A$7:$A$306,$I124)=0),"Mã ĐT chưa khai báo! ","")))</f>
        <v/>
      </c>
      <c r="M124" s="117">
        <f>IF($H124="","",IF(AND(OR(LEFT($F124,3)="111",LEFT($F124,3)="112",LEFT($F124,3)="113"),OR(LEFT($G124,3)="111",LEFT($G124,3)="112",LEFT($G124,3)="113")),"NB",IF(OR(LEFT($F124,3)="111",LEFT($F124,3)="112",LEFT($F124,3)="113"),"THU",IF(OR(LEFT($G124,3)="111",LEFT($G124,3)="112",LEFT($G124,3)="113"),"CHI",""))))</f>
        <v/>
      </c>
      <c r="N124" s="117">
        <f>IF($M124="THU",$G124,IF($M124="CHI",$F124,""))</f>
        <v/>
      </c>
      <c r="O124" s="117">
        <f>IF(OR($M124="",$M124="NB"),"",IF($J124&lt;&gt;"",TEXT($J124,"00"),IFERROR(VLOOKUP(LEFT($N124,4),LCTT_MAP!$A$7:$C$66,IF($M124="THU",2,3),FALSE()),IFERROR(VLOOKUP(LEFT($N124,3),LCTT_MAP!$A$7:$C$66,IF($M124="THU",2,3),FALSE()),IFERROR(VLOOKUP(LEFT($N124,2),LCTT_MAP!$A$7:$C$66,IF($M124="THU",2,3),FALSE()),IFERROR(VLOOKUP(LEFT($N124,1),LCTT_MAP!$A$7:$C$66,IF($M124="THU",2,3),FALSE()),IF($M124="THU","06","07")))))))</f>
        <v/>
      </c>
      <c r="P124" s="117">
        <f>P123+IF(AND($H124&lt;&gt;"",OR(LEFT($F124,LEN(SC_TK))=SC_TK,LEFT($G124,LEN(SC_TK))=SC_TK)),1,0)</f>
        <v/>
      </c>
    </row>
    <row r="125" ht="15" customHeight="1" s="78">
      <c r="A125" s="95">
        <f>IF($H125="","",ROW()-6)</f>
        <v/>
      </c>
      <c r="B125" s="114" t="n"/>
      <c r="C125" s="102" t="n"/>
      <c r="D125" s="114" t="n"/>
      <c r="E125" s="103" t="n"/>
      <c r="F125" s="102" t="n"/>
      <c r="G125" s="102" t="n"/>
      <c r="H125" s="115" t="n"/>
      <c r="I125" s="102" t="n"/>
      <c r="J125" s="102" t="n"/>
      <c r="K125" s="103" t="n"/>
      <c r="L125" s="116">
        <f>IF($H125="","",TRIM(IF(COUNTIF(DMTK!$A$7:$A$250,$F125)=0,"TK Nợ sai! ","")&amp;IF(COUNTIF(DMTK!$A$7:$A$250,$G125)=0,"TK Có sai! ","")&amp;IF(N($H125)&lt;=0,"Tiền phải &gt; 0! ","")&amp;IF($B125="","Thiếu ngày! ","")&amp;IF(AND(OR(LEFT($F125,3)="131",LEFT($G125,3)="131",LEFT($F125,3)="331",LEFT($G125,3)="331"),$I125=""),"Thiếu Mã ĐT! ","")&amp;IF(AND($I125&lt;&gt;"",COUNTIF(DM_DT!$A$7:$A$306,$I125)=0),"Mã ĐT chưa khai báo! ","")))</f>
        <v/>
      </c>
      <c r="M125" s="117">
        <f>IF($H125="","",IF(AND(OR(LEFT($F125,3)="111",LEFT($F125,3)="112",LEFT($F125,3)="113"),OR(LEFT($G125,3)="111",LEFT($G125,3)="112",LEFT($G125,3)="113")),"NB",IF(OR(LEFT($F125,3)="111",LEFT($F125,3)="112",LEFT($F125,3)="113"),"THU",IF(OR(LEFT($G125,3)="111",LEFT($G125,3)="112",LEFT($G125,3)="113"),"CHI",""))))</f>
        <v/>
      </c>
      <c r="N125" s="117">
        <f>IF($M125="THU",$G125,IF($M125="CHI",$F125,""))</f>
        <v/>
      </c>
      <c r="O125" s="117">
        <f>IF(OR($M125="",$M125="NB"),"",IF($J125&lt;&gt;"",TEXT($J125,"00"),IFERROR(VLOOKUP(LEFT($N125,4),LCTT_MAP!$A$7:$C$66,IF($M125="THU",2,3),FALSE()),IFERROR(VLOOKUP(LEFT($N125,3),LCTT_MAP!$A$7:$C$66,IF($M125="THU",2,3),FALSE()),IFERROR(VLOOKUP(LEFT($N125,2),LCTT_MAP!$A$7:$C$66,IF($M125="THU",2,3),FALSE()),IFERROR(VLOOKUP(LEFT($N125,1),LCTT_MAP!$A$7:$C$66,IF($M125="THU",2,3),FALSE()),IF($M125="THU","06","07")))))))</f>
        <v/>
      </c>
      <c r="P125" s="117">
        <f>P124+IF(AND($H125&lt;&gt;"",OR(LEFT($F125,LEN(SC_TK))=SC_TK,LEFT($G125,LEN(SC_TK))=SC_TK)),1,0)</f>
        <v/>
      </c>
    </row>
    <row r="126" ht="15" customHeight="1" s="78">
      <c r="A126" s="95">
        <f>IF($H126="","",ROW()-6)</f>
        <v/>
      </c>
      <c r="B126" s="114" t="n"/>
      <c r="C126" s="102" t="n"/>
      <c r="D126" s="114" t="n"/>
      <c r="E126" s="103" t="n"/>
      <c r="F126" s="102" t="n"/>
      <c r="G126" s="102" t="n"/>
      <c r="H126" s="115" t="n"/>
      <c r="I126" s="102" t="n"/>
      <c r="J126" s="102" t="n"/>
      <c r="K126" s="103" t="n"/>
      <c r="L126" s="116">
        <f>IF($H126="","",TRIM(IF(COUNTIF(DMTK!$A$7:$A$250,$F126)=0,"TK Nợ sai! ","")&amp;IF(COUNTIF(DMTK!$A$7:$A$250,$G126)=0,"TK Có sai! ","")&amp;IF(N($H126)&lt;=0,"Tiền phải &gt; 0! ","")&amp;IF($B126="","Thiếu ngày! ","")&amp;IF(AND(OR(LEFT($F126,3)="131",LEFT($G126,3)="131",LEFT($F126,3)="331",LEFT($G126,3)="331"),$I126=""),"Thiếu Mã ĐT! ","")&amp;IF(AND($I126&lt;&gt;"",COUNTIF(DM_DT!$A$7:$A$306,$I126)=0),"Mã ĐT chưa khai báo! ","")))</f>
        <v/>
      </c>
      <c r="M126" s="117">
        <f>IF($H126="","",IF(AND(OR(LEFT($F126,3)="111",LEFT($F126,3)="112",LEFT($F126,3)="113"),OR(LEFT($G126,3)="111",LEFT($G126,3)="112",LEFT($G126,3)="113")),"NB",IF(OR(LEFT($F126,3)="111",LEFT($F126,3)="112",LEFT($F126,3)="113"),"THU",IF(OR(LEFT($G126,3)="111",LEFT($G126,3)="112",LEFT($G126,3)="113"),"CHI",""))))</f>
        <v/>
      </c>
      <c r="N126" s="117">
        <f>IF($M126="THU",$G126,IF($M126="CHI",$F126,""))</f>
        <v/>
      </c>
      <c r="O126" s="117">
        <f>IF(OR($M126="",$M126="NB"),"",IF($J126&lt;&gt;"",TEXT($J126,"00"),IFERROR(VLOOKUP(LEFT($N126,4),LCTT_MAP!$A$7:$C$66,IF($M126="THU",2,3),FALSE()),IFERROR(VLOOKUP(LEFT($N126,3),LCTT_MAP!$A$7:$C$66,IF($M126="THU",2,3),FALSE()),IFERROR(VLOOKUP(LEFT($N126,2),LCTT_MAP!$A$7:$C$66,IF($M126="THU",2,3),FALSE()),IFERROR(VLOOKUP(LEFT($N126,1),LCTT_MAP!$A$7:$C$66,IF($M126="THU",2,3),FALSE()),IF($M126="THU","06","07")))))))</f>
        <v/>
      </c>
      <c r="P126" s="117">
        <f>P125+IF(AND($H126&lt;&gt;"",OR(LEFT($F126,LEN(SC_TK))=SC_TK,LEFT($G126,LEN(SC_TK))=SC_TK)),1,0)</f>
        <v/>
      </c>
    </row>
    <row r="127" ht="15" customHeight="1" s="78">
      <c r="A127" s="95">
        <f>IF($H127="","",ROW()-6)</f>
        <v/>
      </c>
      <c r="B127" s="114" t="n"/>
      <c r="C127" s="102" t="n"/>
      <c r="D127" s="114" t="n"/>
      <c r="E127" s="103" t="n"/>
      <c r="F127" s="102" t="n"/>
      <c r="G127" s="102" t="n"/>
      <c r="H127" s="115" t="n"/>
      <c r="I127" s="102" t="n"/>
      <c r="J127" s="102" t="n"/>
      <c r="K127" s="103" t="n"/>
      <c r="L127" s="116">
        <f>IF($H127="","",TRIM(IF(COUNTIF(DMTK!$A$7:$A$250,$F127)=0,"TK Nợ sai! ","")&amp;IF(COUNTIF(DMTK!$A$7:$A$250,$G127)=0,"TK Có sai! ","")&amp;IF(N($H127)&lt;=0,"Tiền phải &gt; 0! ","")&amp;IF($B127="","Thiếu ngày! ","")&amp;IF(AND(OR(LEFT($F127,3)="131",LEFT($G127,3)="131",LEFT($F127,3)="331",LEFT($G127,3)="331"),$I127=""),"Thiếu Mã ĐT! ","")&amp;IF(AND($I127&lt;&gt;"",COUNTIF(DM_DT!$A$7:$A$306,$I127)=0),"Mã ĐT chưa khai báo! ","")))</f>
        <v/>
      </c>
      <c r="M127" s="117">
        <f>IF($H127="","",IF(AND(OR(LEFT($F127,3)="111",LEFT($F127,3)="112",LEFT($F127,3)="113"),OR(LEFT($G127,3)="111",LEFT($G127,3)="112",LEFT($G127,3)="113")),"NB",IF(OR(LEFT($F127,3)="111",LEFT($F127,3)="112",LEFT($F127,3)="113"),"THU",IF(OR(LEFT($G127,3)="111",LEFT($G127,3)="112",LEFT($G127,3)="113"),"CHI",""))))</f>
        <v/>
      </c>
      <c r="N127" s="117">
        <f>IF($M127="THU",$G127,IF($M127="CHI",$F127,""))</f>
        <v/>
      </c>
      <c r="O127" s="117">
        <f>IF(OR($M127="",$M127="NB"),"",IF($J127&lt;&gt;"",TEXT($J127,"00"),IFERROR(VLOOKUP(LEFT($N127,4),LCTT_MAP!$A$7:$C$66,IF($M127="THU",2,3),FALSE()),IFERROR(VLOOKUP(LEFT($N127,3),LCTT_MAP!$A$7:$C$66,IF($M127="THU",2,3),FALSE()),IFERROR(VLOOKUP(LEFT($N127,2),LCTT_MAP!$A$7:$C$66,IF($M127="THU",2,3),FALSE()),IFERROR(VLOOKUP(LEFT($N127,1),LCTT_MAP!$A$7:$C$66,IF($M127="THU",2,3),FALSE()),IF($M127="THU","06","07")))))))</f>
        <v/>
      </c>
      <c r="P127" s="117">
        <f>P126+IF(AND($H127&lt;&gt;"",OR(LEFT($F127,LEN(SC_TK))=SC_TK,LEFT($G127,LEN(SC_TK))=SC_TK)),1,0)</f>
        <v/>
      </c>
    </row>
    <row r="128" ht="15" customHeight="1" s="78">
      <c r="A128" s="95">
        <f>IF($H128="","",ROW()-6)</f>
        <v/>
      </c>
      <c r="B128" s="114" t="n"/>
      <c r="C128" s="102" t="n"/>
      <c r="D128" s="114" t="n"/>
      <c r="E128" s="103" t="n"/>
      <c r="F128" s="102" t="n"/>
      <c r="G128" s="102" t="n"/>
      <c r="H128" s="115" t="n"/>
      <c r="I128" s="102" t="n"/>
      <c r="J128" s="102" t="n"/>
      <c r="K128" s="103" t="n"/>
      <c r="L128" s="116">
        <f>IF($H128="","",TRIM(IF(COUNTIF(DMTK!$A$7:$A$250,$F128)=0,"TK Nợ sai! ","")&amp;IF(COUNTIF(DMTK!$A$7:$A$250,$G128)=0,"TK Có sai! ","")&amp;IF(N($H128)&lt;=0,"Tiền phải &gt; 0! ","")&amp;IF($B128="","Thiếu ngày! ","")&amp;IF(AND(OR(LEFT($F128,3)="131",LEFT($G128,3)="131",LEFT($F128,3)="331",LEFT($G128,3)="331"),$I128=""),"Thiếu Mã ĐT! ","")&amp;IF(AND($I128&lt;&gt;"",COUNTIF(DM_DT!$A$7:$A$306,$I128)=0),"Mã ĐT chưa khai báo! ","")))</f>
        <v/>
      </c>
      <c r="M128" s="117">
        <f>IF($H128="","",IF(AND(OR(LEFT($F128,3)="111",LEFT($F128,3)="112",LEFT($F128,3)="113"),OR(LEFT($G128,3)="111",LEFT($G128,3)="112",LEFT($G128,3)="113")),"NB",IF(OR(LEFT($F128,3)="111",LEFT($F128,3)="112",LEFT($F128,3)="113"),"THU",IF(OR(LEFT($G128,3)="111",LEFT($G128,3)="112",LEFT($G128,3)="113"),"CHI",""))))</f>
        <v/>
      </c>
      <c r="N128" s="117">
        <f>IF($M128="THU",$G128,IF($M128="CHI",$F128,""))</f>
        <v/>
      </c>
      <c r="O128" s="117">
        <f>IF(OR($M128="",$M128="NB"),"",IF($J128&lt;&gt;"",TEXT($J128,"00"),IFERROR(VLOOKUP(LEFT($N128,4),LCTT_MAP!$A$7:$C$66,IF($M128="THU",2,3),FALSE()),IFERROR(VLOOKUP(LEFT($N128,3),LCTT_MAP!$A$7:$C$66,IF($M128="THU",2,3),FALSE()),IFERROR(VLOOKUP(LEFT($N128,2),LCTT_MAP!$A$7:$C$66,IF($M128="THU",2,3),FALSE()),IFERROR(VLOOKUP(LEFT($N128,1),LCTT_MAP!$A$7:$C$66,IF($M128="THU",2,3),FALSE()),IF($M128="THU","06","07")))))))</f>
        <v/>
      </c>
      <c r="P128" s="117">
        <f>P127+IF(AND($H128&lt;&gt;"",OR(LEFT($F128,LEN(SC_TK))=SC_TK,LEFT($G128,LEN(SC_TK))=SC_TK)),1,0)</f>
        <v/>
      </c>
    </row>
    <row r="129" ht="15" customHeight="1" s="78">
      <c r="A129" s="95">
        <f>IF($H129="","",ROW()-6)</f>
        <v/>
      </c>
      <c r="B129" s="114" t="n"/>
      <c r="C129" s="102" t="n"/>
      <c r="D129" s="114" t="n"/>
      <c r="E129" s="103" t="n"/>
      <c r="F129" s="102" t="n"/>
      <c r="G129" s="102" t="n"/>
      <c r="H129" s="115" t="n"/>
      <c r="I129" s="102" t="n"/>
      <c r="J129" s="102" t="n"/>
      <c r="K129" s="103" t="n"/>
      <c r="L129" s="116">
        <f>IF($H129="","",TRIM(IF(COUNTIF(DMTK!$A$7:$A$250,$F129)=0,"TK Nợ sai! ","")&amp;IF(COUNTIF(DMTK!$A$7:$A$250,$G129)=0,"TK Có sai! ","")&amp;IF(N($H129)&lt;=0,"Tiền phải &gt; 0! ","")&amp;IF($B129="","Thiếu ngày! ","")&amp;IF(AND(OR(LEFT($F129,3)="131",LEFT($G129,3)="131",LEFT($F129,3)="331",LEFT($G129,3)="331"),$I129=""),"Thiếu Mã ĐT! ","")&amp;IF(AND($I129&lt;&gt;"",COUNTIF(DM_DT!$A$7:$A$306,$I129)=0),"Mã ĐT chưa khai báo! ","")))</f>
        <v/>
      </c>
      <c r="M129" s="117">
        <f>IF($H129="","",IF(AND(OR(LEFT($F129,3)="111",LEFT($F129,3)="112",LEFT($F129,3)="113"),OR(LEFT($G129,3)="111",LEFT($G129,3)="112",LEFT($G129,3)="113")),"NB",IF(OR(LEFT($F129,3)="111",LEFT($F129,3)="112",LEFT($F129,3)="113"),"THU",IF(OR(LEFT($G129,3)="111",LEFT($G129,3)="112",LEFT($G129,3)="113"),"CHI",""))))</f>
        <v/>
      </c>
      <c r="N129" s="117">
        <f>IF($M129="THU",$G129,IF($M129="CHI",$F129,""))</f>
        <v/>
      </c>
      <c r="O129" s="117">
        <f>IF(OR($M129="",$M129="NB"),"",IF($J129&lt;&gt;"",TEXT($J129,"00"),IFERROR(VLOOKUP(LEFT($N129,4),LCTT_MAP!$A$7:$C$66,IF($M129="THU",2,3),FALSE()),IFERROR(VLOOKUP(LEFT($N129,3),LCTT_MAP!$A$7:$C$66,IF($M129="THU",2,3),FALSE()),IFERROR(VLOOKUP(LEFT($N129,2),LCTT_MAP!$A$7:$C$66,IF($M129="THU",2,3),FALSE()),IFERROR(VLOOKUP(LEFT($N129,1),LCTT_MAP!$A$7:$C$66,IF($M129="THU",2,3),FALSE()),IF($M129="THU","06","07")))))))</f>
        <v/>
      </c>
      <c r="P129" s="117">
        <f>P128+IF(AND($H129&lt;&gt;"",OR(LEFT($F129,LEN(SC_TK))=SC_TK,LEFT($G129,LEN(SC_TK))=SC_TK)),1,0)</f>
        <v/>
      </c>
    </row>
    <row r="130" ht="15" customHeight="1" s="78">
      <c r="A130" s="95">
        <f>IF($H130="","",ROW()-6)</f>
        <v/>
      </c>
      <c r="B130" s="114" t="n"/>
      <c r="C130" s="102" t="n"/>
      <c r="D130" s="114" t="n"/>
      <c r="E130" s="103" t="n"/>
      <c r="F130" s="102" t="n"/>
      <c r="G130" s="102" t="n"/>
      <c r="H130" s="115" t="n"/>
      <c r="I130" s="102" t="n"/>
      <c r="J130" s="102" t="n"/>
      <c r="K130" s="103" t="n"/>
      <c r="L130" s="116">
        <f>IF($H130="","",TRIM(IF(COUNTIF(DMTK!$A$7:$A$250,$F130)=0,"TK Nợ sai! ","")&amp;IF(COUNTIF(DMTK!$A$7:$A$250,$G130)=0,"TK Có sai! ","")&amp;IF(N($H130)&lt;=0,"Tiền phải &gt; 0! ","")&amp;IF($B130="","Thiếu ngày! ","")&amp;IF(AND(OR(LEFT($F130,3)="131",LEFT($G130,3)="131",LEFT($F130,3)="331",LEFT($G130,3)="331"),$I130=""),"Thiếu Mã ĐT! ","")&amp;IF(AND($I130&lt;&gt;"",COUNTIF(DM_DT!$A$7:$A$306,$I130)=0),"Mã ĐT chưa khai báo! ","")))</f>
        <v/>
      </c>
      <c r="M130" s="117">
        <f>IF($H130="","",IF(AND(OR(LEFT($F130,3)="111",LEFT($F130,3)="112",LEFT($F130,3)="113"),OR(LEFT($G130,3)="111",LEFT($G130,3)="112",LEFT($G130,3)="113")),"NB",IF(OR(LEFT($F130,3)="111",LEFT($F130,3)="112",LEFT($F130,3)="113"),"THU",IF(OR(LEFT($G130,3)="111",LEFT($G130,3)="112",LEFT($G130,3)="113"),"CHI",""))))</f>
        <v/>
      </c>
      <c r="N130" s="117">
        <f>IF($M130="THU",$G130,IF($M130="CHI",$F130,""))</f>
        <v/>
      </c>
      <c r="O130" s="117">
        <f>IF(OR($M130="",$M130="NB"),"",IF($J130&lt;&gt;"",TEXT($J130,"00"),IFERROR(VLOOKUP(LEFT($N130,4),LCTT_MAP!$A$7:$C$66,IF($M130="THU",2,3),FALSE()),IFERROR(VLOOKUP(LEFT($N130,3),LCTT_MAP!$A$7:$C$66,IF($M130="THU",2,3),FALSE()),IFERROR(VLOOKUP(LEFT($N130,2),LCTT_MAP!$A$7:$C$66,IF($M130="THU",2,3),FALSE()),IFERROR(VLOOKUP(LEFT($N130,1),LCTT_MAP!$A$7:$C$66,IF($M130="THU",2,3),FALSE()),IF($M130="THU","06","07")))))))</f>
        <v/>
      </c>
      <c r="P130" s="117">
        <f>P129+IF(AND($H130&lt;&gt;"",OR(LEFT($F130,LEN(SC_TK))=SC_TK,LEFT($G130,LEN(SC_TK))=SC_TK)),1,0)</f>
        <v/>
      </c>
    </row>
    <row r="131" ht="15" customHeight="1" s="78">
      <c r="A131" s="95">
        <f>IF($H131="","",ROW()-6)</f>
        <v/>
      </c>
      <c r="B131" s="114" t="n"/>
      <c r="C131" s="102" t="n"/>
      <c r="D131" s="114" t="n"/>
      <c r="E131" s="103" t="n"/>
      <c r="F131" s="102" t="n"/>
      <c r="G131" s="102" t="n"/>
      <c r="H131" s="115" t="n"/>
      <c r="I131" s="102" t="n"/>
      <c r="J131" s="102" t="n"/>
      <c r="K131" s="103" t="n"/>
      <c r="L131" s="116">
        <f>IF($H131="","",TRIM(IF(COUNTIF(DMTK!$A$7:$A$250,$F131)=0,"TK Nợ sai! ","")&amp;IF(COUNTIF(DMTK!$A$7:$A$250,$G131)=0,"TK Có sai! ","")&amp;IF(N($H131)&lt;=0,"Tiền phải &gt; 0! ","")&amp;IF($B131="","Thiếu ngày! ","")&amp;IF(AND(OR(LEFT($F131,3)="131",LEFT($G131,3)="131",LEFT($F131,3)="331",LEFT($G131,3)="331"),$I131=""),"Thiếu Mã ĐT! ","")&amp;IF(AND($I131&lt;&gt;"",COUNTIF(DM_DT!$A$7:$A$306,$I131)=0),"Mã ĐT chưa khai báo! ","")))</f>
        <v/>
      </c>
      <c r="M131" s="117">
        <f>IF($H131="","",IF(AND(OR(LEFT($F131,3)="111",LEFT($F131,3)="112",LEFT($F131,3)="113"),OR(LEFT($G131,3)="111",LEFT($G131,3)="112",LEFT($G131,3)="113")),"NB",IF(OR(LEFT($F131,3)="111",LEFT($F131,3)="112",LEFT($F131,3)="113"),"THU",IF(OR(LEFT($G131,3)="111",LEFT($G131,3)="112",LEFT($G131,3)="113"),"CHI",""))))</f>
        <v/>
      </c>
      <c r="N131" s="117">
        <f>IF($M131="THU",$G131,IF($M131="CHI",$F131,""))</f>
        <v/>
      </c>
      <c r="O131" s="117">
        <f>IF(OR($M131="",$M131="NB"),"",IF($J131&lt;&gt;"",TEXT($J131,"00"),IFERROR(VLOOKUP(LEFT($N131,4),LCTT_MAP!$A$7:$C$66,IF($M131="THU",2,3),FALSE()),IFERROR(VLOOKUP(LEFT($N131,3),LCTT_MAP!$A$7:$C$66,IF($M131="THU",2,3),FALSE()),IFERROR(VLOOKUP(LEFT($N131,2),LCTT_MAP!$A$7:$C$66,IF($M131="THU",2,3),FALSE()),IFERROR(VLOOKUP(LEFT($N131,1),LCTT_MAP!$A$7:$C$66,IF($M131="THU",2,3),FALSE()),IF($M131="THU","06","07")))))))</f>
        <v/>
      </c>
      <c r="P131" s="117">
        <f>P130+IF(AND($H131&lt;&gt;"",OR(LEFT($F131,LEN(SC_TK))=SC_TK,LEFT($G131,LEN(SC_TK))=SC_TK)),1,0)</f>
        <v/>
      </c>
    </row>
    <row r="132" ht="15" customHeight="1" s="78">
      <c r="A132" s="95">
        <f>IF($H132="","",ROW()-6)</f>
        <v/>
      </c>
      <c r="B132" s="114" t="n"/>
      <c r="C132" s="102" t="n"/>
      <c r="D132" s="114" t="n"/>
      <c r="E132" s="103" t="n"/>
      <c r="F132" s="102" t="n"/>
      <c r="G132" s="102" t="n"/>
      <c r="H132" s="115" t="n"/>
      <c r="I132" s="102" t="n"/>
      <c r="J132" s="102" t="n"/>
      <c r="K132" s="103" t="n"/>
      <c r="L132" s="116">
        <f>IF($H132="","",TRIM(IF(COUNTIF(DMTK!$A$7:$A$250,$F132)=0,"TK Nợ sai! ","")&amp;IF(COUNTIF(DMTK!$A$7:$A$250,$G132)=0,"TK Có sai! ","")&amp;IF(N($H132)&lt;=0,"Tiền phải &gt; 0! ","")&amp;IF($B132="","Thiếu ngày! ","")&amp;IF(AND(OR(LEFT($F132,3)="131",LEFT($G132,3)="131",LEFT($F132,3)="331",LEFT($G132,3)="331"),$I132=""),"Thiếu Mã ĐT! ","")&amp;IF(AND($I132&lt;&gt;"",COUNTIF(DM_DT!$A$7:$A$306,$I132)=0),"Mã ĐT chưa khai báo! ","")))</f>
        <v/>
      </c>
      <c r="M132" s="117">
        <f>IF($H132="","",IF(AND(OR(LEFT($F132,3)="111",LEFT($F132,3)="112",LEFT($F132,3)="113"),OR(LEFT($G132,3)="111",LEFT($G132,3)="112",LEFT($G132,3)="113")),"NB",IF(OR(LEFT($F132,3)="111",LEFT($F132,3)="112",LEFT($F132,3)="113"),"THU",IF(OR(LEFT($G132,3)="111",LEFT($G132,3)="112",LEFT($G132,3)="113"),"CHI",""))))</f>
        <v/>
      </c>
      <c r="N132" s="117">
        <f>IF($M132="THU",$G132,IF($M132="CHI",$F132,""))</f>
        <v/>
      </c>
      <c r="O132" s="117">
        <f>IF(OR($M132="",$M132="NB"),"",IF($J132&lt;&gt;"",TEXT($J132,"00"),IFERROR(VLOOKUP(LEFT($N132,4),LCTT_MAP!$A$7:$C$66,IF($M132="THU",2,3),FALSE()),IFERROR(VLOOKUP(LEFT($N132,3),LCTT_MAP!$A$7:$C$66,IF($M132="THU",2,3),FALSE()),IFERROR(VLOOKUP(LEFT($N132,2),LCTT_MAP!$A$7:$C$66,IF($M132="THU",2,3),FALSE()),IFERROR(VLOOKUP(LEFT($N132,1),LCTT_MAP!$A$7:$C$66,IF($M132="THU",2,3),FALSE()),IF($M132="THU","06","07")))))))</f>
        <v/>
      </c>
      <c r="P132" s="117">
        <f>P131+IF(AND($H132&lt;&gt;"",OR(LEFT($F132,LEN(SC_TK))=SC_TK,LEFT($G132,LEN(SC_TK))=SC_TK)),1,0)</f>
        <v/>
      </c>
    </row>
    <row r="133" ht="15" customHeight="1" s="78">
      <c r="A133" s="95">
        <f>IF($H133="","",ROW()-6)</f>
        <v/>
      </c>
      <c r="B133" s="114" t="n"/>
      <c r="C133" s="102" t="n"/>
      <c r="D133" s="114" t="n"/>
      <c r="E133" s="103" t="n"/>
      <c r="F133" s="102" t="n"/>
      <c r="G133" s="102" t="n"/>
      <c r="H133" s="115" t="n"/>
      <c r="I133" s="102" t="n"/>
      <c r="J133" s="102" t="n"/>
      <c r="K133" s="103" t="n"/>
      <c r="L133" s="116">
        <f>IF($H133="","",TRIM(IF(COUNTIF(DMTK!$A$7:$A$250,$F133)=0,"TK Nợ sai! ","")&amp;IF(COUNTIF(DMTK!$A$7:$A$250,$G133)=0,"TK Có sai! ","")&amp;IF(N($H133)&lt;=0,"Tiền phải &gt; 0! ","")&amp;IF($B133="","Thiếu ngày! ","")&amp;IF(AND(OR(LEFT($F133,3)="131",LEFT($G133,3)="131",LEFT($F133,3)="331",LEFT($G133,3)="331"),$I133=""),"Thiếu Mã ĐT! ","")&amp;IF(AND($I133&lt;&gt;"",COUNTIF(DM_DT!$A$7:$A$306,$I133)=0),"Mã ĐT chưa khai báo! ","")))</f>
        <v/>
      </c>
      <c r="M133" s="117">
        <f>IF($H133="","",IF(AND(OR(LEFT($F133,3)="111",LEFT($F133,3)="112",LEFT($F133,3)="113"),OR(LEFT($G133,3)="111",LEFT($G133,3)="112",LEFT($G133,3)="113")),"NB",IF(OR(LEFT($F133,3)="111",LEFT($F133,3)="112",LEFT($F133,3)="113"),"THU",IF(OR(LEFT($G133,3)="111",LEFT($G133,3)="112",LEFT($G133,3)="113"),"CHI",""))))</f>
        <v/>
      </c>
      <c r="N133" s="117">
        <f>IF($M133="THU",$G133,IF($M133="CHI",$F133,""))</f>
        <v/>
      </c>
      <c r="O133" s="117">
        <f>IF(OR($M133="",$M133="NB"),"",IF($J133&lt;&gt;"",TEXT($J133,"00"),IFERROR(VLOOKUP(LEFT($N133,4),LCTT_MAP!$A$7:$C$66,IF($M133="THU",2,3),FALSE()),IFERROR(VLOOKUP(LEFT($N133,3),LCTT_MAP!$A$7:$C$66,IF($M133="THU",2,3),FALSE()),IFERROR(VLOOKUP(LEFT($N133,2),LCTT_MAP!$A$7:$C$66,IF($M133="THU",2,3),FALSE()),IFERROR(VLOOKUP(LEFT($N133,1),LCTT_MAP!$A$7:$C$66,IF($M133="THU",2,3),FALSE()),IF($M133="THU","06","07")))))))</f>
        <v/>
      </c>
      <c r="P133" s="117">
        <f>P132+IF(AND($H133&lt;&gt;"",OR(LEFT($F133,LEN(SC_TK))=SC_TK,LEFT($G133,LEN(SC_TK))=SC_TK)),1,0)</f>
        <v/>
      </c>
    </row>
    <row r="134" ht="15" customHeight="1" s="78">
      <c r="A134" s="95">
        <f>IF($H134="","",ROW()-6)</f>
        <v/>
      </c>
      <c r="B134" s="114" t="n"/>
      <c r="C134" s="102" t="n"/>
      <c r="D134" s="114" t="n"/>
      <c r="E134" s="103" t="n"/>
      <c r="F134" s="102" t="n"/>
      <c r="G134" s="102" t="n"/>
      <c r="H134" s="115" t="n"/>
      <c r="I134" s="102" t="n"/>
      <c r="J134" s="102" t="n"/>
      <c r="K134" s="103" t="n"/>
      <c r="L134" s="116">
        <f>IF($H134="","",TRIM(IF(COUNTIF(DMTK!$A$7:$A$250,$F134)=0,"TK Nợ sai! ","")&amp;IF(COUNTIF(DMTK!$A$7:$A$250,$G134)=0,"TK Có sai! ","")&amp;IF(N($H134)&lt;=0,"Tiền phải &gt; 0! ","")&amp;IF($B134="","Thiếu ngày! ","")&amp;IF(AND(OR(LEFT($F134,3)="131",LEFT($G134,3)="131",LEFT($F134,3)="331",LEFT($G134,3)="331"),$I134=""),"Thiếu Mã ĐT! ","")&amp;IF(AND($I134&lt;&gt;"",COUNTIF(DM_DT!$A$7:$A$306,$I134)=0),"Mã ĐT chưa khai báo! ","")))</f>
        <v/>
      </c>
      <c r="M134" s="117">
        <f>IF($H134="","",IF(AND(OR(LEFT($F134,3)="111",LEFT($F134,3)="112",LEFT($F134,3)="113"),OR(LEFT($G134,3)="111",LEFT($G134,3)="112",LEFT($G134,3)="113")),"NB",IF(OR(LEFT($F134,3)="111",LEFT($F134,3)="112",LEFT($F134,3)="113"),"THU",IF(OR(LEFT($G134,3)="111",LEFT($G134,3)="112",LEFT($G134,3)="113"),"CHI",""))))</f>
        <v/>
      </c>
      <c r="N134" s="117">
        <f>IF($M134="THU",$G134,IF($M134="CHI",$F134,""))</f>
        <v/>
      </c>
      <c r="O134" s="117">
        <f>IF(OR($M134="",$M134="NB"),"",IF($J134&lt;&gt;"",TEXT($J134,"00"),IFERROR(VLOOKUP(LEFT($N134,4),LCTT_MAP!$A$7:$C$66,IF($M134="THU",2,3),FALSE()),IFERROR(VLOOKUP(LEFT($N134,3),LCTT_MAP!$A$7:$C$66,IF($M134="THU",2,3),FALSE()),IFERROR(VLOOKUP(LEFT($N134,2),LCTT_MAP!$A$7:$C$66,IF($M134="THU",2,3),FALSE()),IFERROR(VLOOKUP(LEFT($N134,1),LCTT_MAP!$A$7:$C$66,IF($M134="THU",2,3),FALSE()),IF($M134="THU","06","07")))))))</f>
        <v/>
      </c>
      <c r="P134" s="117">
        <f>P133+IF(AND($H134&lt;&gt;"",OR(LEFT($F134,LEN(SC_TK))=SC_TK,LEFT($G134,LEN(SC_TK))=SC_TK)),1,0)</f>
        <v/>
      </c>
    </row>
    <row r="135" ht="15" customHeight="1" s="78">
      <c r="A135" s="95">
        <f>IF($H135="","",ROW()-6)</f>
        <v/>
      </c>
      <c r="B135" s="114" t="n"/>
      <c r="C135" s="102" t="n"/>
      <c r="D135" s="114" t="n"/>
      <c r="E135" s="103" t="n"/>
      <c r="F135" s="102" t="n"/>
      <c r="G135" s="102" t="n"/>
      <c r="H135" s="115" t="n"/>
      <c r="I135" s="102" t="n"/>
      <c r="J135" s="102" t="n"/>
      <c r="K135" s="103" t="n"/>
      <c r="L135" s="116">
        <f>IF($H135="","",TRIM(IF(COUNTIF(DMTK!$A$7:$A$250,$F135)=0,"TK Nợ sai! ","")&amp;IF(COUNTIF(DMTK!$A$7:$A$250,$G135)=0,"TK Có sai! ","")&amp;IF(N($H135)&lt;=0,"Tiền phải &gt; 0! ","")&amp;IF($B135="","Thiếu ngày! ","")&amp;IF(AND(OR(LEFT($F135,3)="131",LEFT($G135,3)="131",LEFT($F135,3)="331",LEFT($G135,3)="331"),$I135=""),"Thiếu Mã ĐT! ","")&amp;IF(AND($I135&lt;&gt;"",COUNTIF(DM_DT!$A$7:$A$306,$I135)=0),"Mã ĐT chưa khai báo! ","")))</f>
        <v/>
      </c>
      <c r="M135" s="117">
        <f>IF($H135="","",IF(AND(OR(LEFT($F135,3)="111",LEFT($F135,3)="112",LEFT($F135,3)="113"),OR(LEFT($G135,3)="111",LEFT($G135,3)="112",LEFT($G135,3)="113")),"NB",IF(OR(LEFT($F135,3)="111",LEFT($F135,3)="112",LEFT($F135,3)="113"),"THU",IF(OR(LEFT($G135,3)="111",LEFT($G135,3)="112",LEFT($G135,3)="113"),"CHI",""))))</f>
        <v/>
      </c>
      <c r="N135" s="117">
        <f>IF($M135="THU",$G135,IF($M135="CHI",$F135,""))</f>
        <v/>
      </c>
      <c r="O135" s="117">
        <f>IF(OR($M135="",$M135="NB"),"",IF($J135&lt;&gt;"",TEXT($J135,"00"),IFERROR(VLOOKUP(LEFT($N135,4),LCTT_MAP!$A$7:$C$66,IF($M135="THU",2,3),FALSE()),IFERROR(VLOOKUP(LEFT($N135,3),LCTT_MAP!$A$7:$C$66,IF($M135="THU",2,3),FALSE()),IFERROR(VLOOKUP(LEFT($N135,2),LCTT_MAP!$A$7:$C$66,IF($M135="THU",2,3),FALSE()),IFERROR(VLOOKUP(LEFT($N135,1),LCTT_MAP!$A$7:$C$66,IF($M135="THU",2,3),FALSE()),IF($M135="THU","06","07")))))))</f>
        <v/>
      </c>
      <c r="P135" s="117">
        <f>P134+IF(AND($H135&lt;&gt;"",OR(LEFT($F135,LEN(SC_TK))=SC_TK,LEFT($G135,LEN(SC_TK))=SC_TK)),1,0)</f>
        <v/>
      </c>
    </row>
    <row r="136" ht="15" customHeight="1" s="78">
      <c r="A136" s="95">
        <f>IF($H136="","",ROW()-6)</f>
        <v/>
      </c>
      <c r="B136" s="114" t="n"/>
      <c r="C136" s="102" t="n"/>
      <c r="D136" s="114" t="n"/>
      <c r="E136" s="103" t="n"/>
      <c r="F136" s="102" t="n"/>
      <c r="G136" s="102" t="n"/>
      <c r="H136" s="115" t="n"/>
      <c r="I136" s="102" t="n"/>
      <c r="J136" s="102" t="n"/>
      <c r="K136" s="103" t="n"/>
      <c r="L136" s="116">
        <f>IF($H136="","",TRIM(IF(COUNTIF(DMTK!$A$7:$A$250,$F136)=0,"TK Nợ sai! ","")&amp;IF(COUNTIF(DMTK!$A$7:$A$250,$G136)=0,"TK Có sai! ","")&amp;IF(N($H136)&lt;=0,"Tiền phải &gt; 0! ","")&amp;IF($B136="","Thiếu ngày! ","")&amp;IF(AND(OR(LEFT($F136,3)="131",LEFT($G136,3)="131",LEFT($F136,3)="331",LEFT($G136,3)="331"),$I136=""),"Thiếu Mã ĐT! ","")&amp;IF(AND($I136&lt;&gt;"",COUNTIF(DM_DT!$A$7:$A$306,$I136)=0),"Mã ĐT chưa khai báo! ","")))</f>
        <v/>
      </c>
      <c r="M136" s="117">
        <f>IF($H136="","",IF(AND(OR(LEFT($F136,3)="111",LEFT($F136,3)="112",LEFT($F136,3)="113"),OR(LEFT($G136,3)="111",LEFT($G136,3)="112",LEFT($G136,3)="113")),"NB",IF(OR(LEFT($F136,3)="111",LEFT($F136,3)="112",LEFT($F136,3)="113"),"THU",IF(OR(LEFT($G136,3)="111",LEFT($G136,3)="112",LEFT($G136,3)="113"),"CHI",""))))</f>
        <v/>
      </c>
      <c r="N136" s="117">
        <f>IF($M136="THU",$G136,IF($M136="CHI",$F136,""))</f>
        <v/>
      </c>
      <c r="O136" s="117">
        <f>IF(OR($M136="",$M136="NB"),"",IF($J136&lt;&gt;"",TEXT($J136,"00"),IFERROR(VLOOKUP(LEFT($N136,4),LCTT_MAP!$A$7:$C$66,IF($M136="THU",2,3),FALSE()),IFERROR(VLOOKUP(LEFT($N136,3),LCTT_MAP!$A$7:$C$66,IF($M136="THU",2,3),FALSE()),IFERROR(VLOOKUP(LEFT($N136,2),LCTT_MAP!$A$7:$C$66,IF($M136="THU",2,3),FALSE()),IFERROR(VLOOKUP(LEFT($N136,1),LCTT_MAP!$A$7:$C$66,IF($M136="THU",2,3),FALSE()),IF($M136="THU","06","07")))))))</f>
        <v/>
      </c>
      <c r="P136" s="117">
        <f>P135+IF(AND($H136&lt;&gt;"",OR(LEFT($F136,LEN(SC_TK))=SC_TK,LEFT($G136,LEN(SC_TK))=SC_TK)),1,0)</f>
        <v/>
      </c>
    </row>
    <row r="137" ht="15" customHeight="1" s="78">
      <c r="A137" s="95">
        <f>IF($H137="","",ROW()-6)</f>
        <v/>
      </c>
      <c r="B137" s="114" t="n"/>
      <c r="C137" s="102" t="n"/>
      <c r="D137" s="114" t="n"/>
      <c r="E137" s="103" t="n"/>
      <c r="F137" s="102" t="n"/>
      <c r="G137" s="102" t="n"/>
      <c r="H137" s="115" t="n"/>
      <c r="I137" s="102" t="n"/>
      <c r="J137" s="102" t="n"/>
      <c r="K137" s="103" t="n"/>
      <c r="L137" s="116">
        <f>IF($H137="","",TRIM(IF(COUNTIF(DMTK!$A$7:$A$250,$F137)=0,"TK Nợ sai! ","")&amp;IF(COUNTIF(DMTK!$A$7:$A$250,$G137)=0,"TK Có sai! ","")&amp;IF(N($H137)&lt;=0,"Tiền phải &gt; 0! ","")&amp;IF($B137="","Thiếu ngày! ","")&amp;IF(AND(OR(LEFT($F137,3)="131",LEFT($G137,3)="131",LEFT($F137,3)="331",LEFT($G137,3)="331"),$I137=""),"Thiếu Mã ĐT! ","")&amp;IF(AND($I137&lt;&gt;"",COUNTIF(DM_DT!$A$7:$A$306,$I137)=0),"Mã ĐT chưa khai báo! ","")))</f>
        <v/>
      </c>
      <c r="M137" s="117">
        <f>IF($H137="","",IF(AND(OR(LEFT($F137,3)="111",LEFT($F137,3)="112",LEFT($F137,3)="113"),OR(LEFT($G137,3)="111",LEFT($G137,3)="112",LEFT($G137,3)="113")),"NB",IF(OR(LEFT($F137,3)="111",LEFT($F137,3)="112",LEFT($F137,3)="113"),"THU",IF(OR(LEFT($G137,3)="111",LEFT($G137,3)="112",LEFT($G137,3)="113"),"CHI",""))))</f>
        <v/>
      </c>
      <c r="N137" s="117">
        <f>IF($M137="THU",$G137,IF($M137="CHI",$F137,""))</f>
        <v/>
      </c>
      <c r="O137" s="117">
        <f>IF(OR($M137="",$M137="NB"),"",IF($J137&lt;&gt;"",TEXT($J137,"00"),IFERROR(VLOOKUP(LEFT($N137,4),LCTT_MAP!$A$7:$C$66,IF($M137="THU",2,3),FALSE()),IFERROR(VLOOKUP(LEFT($N137,3),LCTT_MAP!$A$7:$C$66,IF($M137="THU",2,3),FALSE()),IFERROR(VLOOKUP(LEFT($N137,2),LCTT_MAP!$A$7:$C$66,IF($M137="THU",2,3),FALSE()),IFERROR(VLOOKUP(LEFT($N137,1),LCTT_MAP!$A$7:$C$66,IF($M137="THU",2,3),FALSE()),IF($M137="THU","06","07")))))))</f>
        <v/>
      </c>
      <c r="P137" s="117">
        <f>P136+IF(AND($H137&lt;&gt;"",OR(LEFT($F137,LEN(SC_TK))=SC_TK,LEFT($G137,LEN(SC_TK))=SC_TK)),1,0)</f>
        <v/>
      </c>
    </row>
    <row r="138" ht="15" customHeight="1" s="78">
      <c r="A138" s="95">
        <f>IF($H138="","",ROW()-6)</f>
        <v/>
      </c>
      <c r="B138" s="114" t="n"/>
      <c r="C138" s="102" t="n"/>
      <c r="D138" s="114" t="n"/>
      <c r="E138" s="103" t="n"/>
      <c r="F138" s="102" t="n"/>
      <c r="G138" s="102" t="n"/>
      <c r="H138" s="115" t="n"/>
      <c r="I138" s="102" t="n"/>
      <c r="J138" s="102" t="n"/>
      <c r="K138" s="103" t="n"/>
      <c r="L138" s="116">
        <f>IF($H138="","",TRIM(IF(COUNTIF(DMTK!$A$7:$A$250,$F138)=0,"TK Nợ sai! ","")&amp;IF(COUNTIF(DMTK!$A$7:$A$250,$G138)=0,"TK Có sai! ","")&amp;IF(N($H138)&lt;=0,"Tiền phải &gt; 0! ","")&amp;IF($B138="","Thiếu ngày! ","")&amp;IF(AND(OR(LEFT($F138,3)="131",LEFT($G138,3)="131",LEFT($F138,3)="331",LEFT($G138,3)="331"),$I138=""),"Thiếu Mã ĐT! ","")&amp;IF(AND($I138&lt;&gt;"",COUNTIF(DM_DT!$A$7:$A$306,$I138)=0),"Mã ĐT chưa khai báo! ","")))</f>
        <v/>
      </c>
      <c r="M138" s="117">
        <f>IF($H138="","",IF(AND(OR(LEFT($F138,3)="111",LEFT($F138,3)="112",LEFT($F138,3)="113"),OR(LEFT($G138,3)="111",LEFT($G138,3)="112",LEFT($G138,3)="113")),"NB",IF(OR(LEFT($F138,3)="111",LEFT($F138,3)="112",LEFT($F138,3)="113"),"THU",IF(OR(LEFT($G138,3)="111",LEFT($G138,3)="112",LEFT($G138,3)="113"),"CHI",""))))</f>
        <v/>
      </c>
      <c r="N138" s="117">
        <f>IF($M138="THU",$G138,IF($M138="CHI",$F138,""))</f>
        <v/>
      </c>
      <c r="O138" s="117">
        <f>IF(OR($M138="",$M138="NB"),"",IF($J138&lt;&gt;"",TEXT($J138,"00"),IFERROR(VLOOKUP(LEFT($N138,4),LCTT_MAP!$A$7:$C$66,IF($M138="THU",2,3),FALSE()),IFERROR(VLOOKUP(LEFT($N138,3),LCTT_MAP!$A$7:$C$66,IF($M138="THU",2,3),FALSE()),IFERROR(VLOOKUP(LEFT($N138,2),LCTT_MAP!$A$7:$C$66,IF($M138="THU",2,3),FALSE()),IFERROR(VLOOKUP(LEFT($N138,1),LCTT_MAP!$A$7:$C$66,IF($M138="THU",2,3),FALSE()),IF($M138="THU","06","07")))))))</f>
        <v/>
      </c>
      <c r="P138" s="117">
        <f>P137+IF(AND($H138&lt;&gt;"",OR(LEFT($F138,LEN(SC_TK))=SC_TK,LEFT($G138,LEN(SC_TK))=SC_TK)),1,0)</f>
        <v/>
      </c>
    </row>
    <row r="139" ht="15" customHeight="1" s="78">
      <c r="A139" s="95">
        <f>IF($H139="","",ROW()-6)</f>
        <v/>
      </c>
      <c r="B139" s="114" t="n"/>
      <c r="C139" s="102" t="n"/>
      <c r="D139" s="114" t="n"/>
      <c r="E139" s="103" t="n"/>
      <c r="F139" s="102" t="n"/>
      <c r="G139" s="102" t="n"/>
      <c r="H139" s="115" t="n"/>
      <c r="I139" s="102" t="n"/>
      <c r="J139" s="102" t="n"/>
      <c r="K139" s="103" t="n"/>
      <c r="L139" s="116">
        <f>IF($H139="","",TRIM(IF(COUNTIF(DMTK!$A$7:$A$250,$F139)=0,"TK Nợ sai! ","")&amp;IF(COUNTIF(DMTK!$A$7:$A$250,$G139)=0,"TK Có sai! ","")&amp;IF(N($H139)&lt;=0,"Tiền phải &gt; 0! ","")&amp;IF($B139="","Thiếu ngày! ","")&amp;IF(AND(OR(LEFT($F139,3)="131",LEFT($G139,3)="131",LEFT($F139,3)="331",LEFT($G139,3)="331"),$I139=""),"Thiếu Mã ĐT! ","")&amp;IF(AND($I139&lt;&gt;"",COUNTIF(DM_DT!$A$7:$A$306,$I139)=0),"Mã ĐT chưa khai báo! ","")))</f>
        <v/>
      </c>
      <c r="M139" s="117">
        <f>IF($H139="","",IF(AND(OR(LEFT($F139,3)="111",LEFT($F139,3)="112",LEFT($F139,3)="113"),OR(LEFT($G139,3)="111",LEFT($G139,3)="112",LEFT($G139,3)="113")),"NB",IF(OR(LEFT($F139,3)="111",LEFT($F139,3)="112",LEFT($F139,3)="113"),"THU",IF(OR(LEFT($G139,3)="111",LEFT($G139,3)="112",LEFT($G139,3)="113"),"CHI",""))))</f>
        <v/>
      </c>
      <c r="N139" s="117">
        <f>IF($M139="THU",$G139,IF($M139="CHI",$F139,""))</f>
        <v/>
      </c>
      <c r="O139" s="117">
        <f>IF(OR($M139="",$M139="NB"),"",IF($J139&lt;&gt;"",TEXT($J139,"00"),IFERROR(VLOOKUP(LEFT($N139,4),LCTT_MAP!$A$7:$C$66,IF($M139="THU",2,3),FALSE()),IFERROR(VLOOKUP(LEFT($N139,3),LCTT_MAP!$A$7:$C$66,IF($M139="THU",2,3),FALSE()),IFERROR(VLOOKUP(LEFT($N139,2),LCTT_MAP!$A$7:$C$66,IF($M139="THU",2,3),FALSE()),IFERROR(VLOOKUP(LEFT($N139,1),LCTT_MAP!$A$7:$C$66,IF($M139="THU",2,3),FALSE()),IF($M139="THU","06","07")))))))</f>
        <v/>
      </c>
      <c r="P139" s="117">
        <f>P138+IF(AND($H139&lt;&gt;"",OR(LEFT($F139,LEN(SC_TK))=SC_TK,LEFT($G139,LEN(SC_TK))=SC_TK)),1,0)</f>
        <v/>
      </c>
    </row>
    <row r="140" ht="15" customHeight="1" s="78">
      <c r="A140" s="95">
        <f>IF($H140="","",ROW()-6)</f>
        <v/>
      </c>
      <c r="B140" s="114" t="n"/>
      <c r="C140" s="102" t="n"/>
      <c r="D140" s="114" t="n"/>
      <c r="E140" s="103" t="n"/>
      <c r="F140" s="102" t="n"/>
      <c r="G140" s="102" t="n"/>
      <c r="H140" s="115" t="n"/>
      <c r="I140" s="102" t="n"/>
      <c r="J140" s="102" t="n"/>
      <c r="K140" s="103" t="n"/>
      <c r="L140" s="116">
        <f>IF($H140="","",TRIM(IF(COUNTIF(DMTK!$A$7:$A$250,$F140)=0,"TK Nợ sai! ","")&amp;IF(COUNTIF(DMTK!$A$7:$A$250,$G140)=0,"TK Có sai! ","")&amp;IF(N($H140)&lt;=0,"Tiền phải &gt; 0! ","")&amp;IF($B140="","Thiếu ngày! ","")&amp;IF(AND(OR(LEFT($F140,3)="131",LEFT($G140,3)="131",LEFT($F140,3)="331",LEFT($G140,3)="331"),$I140=""),"Thiếu Mã ĐT! ","")&amp;IF(AND($I140&lt;&gt;"",COUNTIF(DM_DT!$A$7:$A$306,$I140)=0),"Mã ĐT chưa khai báo! ","")))</f>
        <v/>
      </c>
      <c r="M140" s="117">
        <f>IF($H140="","",IF(AND(OR(LEFT($F140,3)="111",LEFT($F140,3)="112",LEFT($F140,3)="113"),OR(LEFT($G140,3)="111",LEFT($G140,3)="112",LEFT($G140,3)="113")),"NB",IF(OR(LEFT($F140,3)="111",LEFT($F140,3)="112",LEFT($F140,3)="113"),"THU",IF(OR(LEFT($G140,3)="111",LEFT($G140,3)="112",LEFT($G140,3)="113"),"CHI",""))))</f>
        <v/>
      </c>
      <c r="N140" s="117">
        <f>IF($M140="THU",$G140,IF($M140="CHI",$F140,""))</f>
        <v/>
      </c>
      <c r="O140" s="117">
        <f>IF(OR($M140="",$M140="NB"),"",IF($J140&lt;&gt;"",TEXT($J140,"00"),IFERROR(VLOOKUP(LEFT($N140,4),LCTT_MAP!$A$7:$C$66,IF($M140="THU",2,3),FALSE()),IFERROR(VLOOKUP(LEFT($N140,3),LCTT_MAP!$A$7:$C$66,IF($M140="THU",2,3),FALSE()),IFERROR(VLOOKUP(LEFT($N140,2),LCTT_MAP!$A$7:$C$66,IF($M140="THU",2,3),FALSE()),IFERROR(VLOOKUP(LEFT($N140,1),LCTT_MAP!$A$7:$C$66,IF($M140="THU",2,3),FALSE()),IF($M140="THU","06","07")))))))</f>
        <v/>
      </c>
      <c r="P140" s="117">
        <f>P139+IF(AND($H140&lt;&gt;"",OR(LEFT($F140,LEN(SC_TK))=SC_TK,LEFT($G140,LEN(SC_TK))=SC_TK)),1,0)</f>
        <v/>
      </c>
    </row>
    <row r="141" ht="15" customHeight="1" s="78">
      <c r="A141" s="95">
        <f>IF($H141="","",ROW()-6)</f>
        <v/>
      </c>
      <c r="B141" s="114" t="n"/>
      <c r="C141" s="102" t="n"/>
      <c r="D141" s="114" t="n"/>
      <c r="E141" s="103" t="n"/>
      <c r="F141" s="102" t="n"/>
      <c r="G141" s="102" t="n"/>
      <c r="H141" s="115" t="n"/>
      <c r="I141" s="102" t="n"/>
      <c r="J141" s="102" t="n"/>
      <c r="K141" s="103" t="n"/>
      <c r="L141" s="116">
        <f>IF($H141="","",TRIM(IF(COUNTIF(DMTK!$A$7:$A$250,$F141)=0,"TK Nợ sai! ","")&amp;IF(COUNTIF(DMTK!$A$7:$A$250,$G141)=0,"TK Có sai! ","")&amp;IF(N($H141)&lt;=0,"Tiền phải &gt; 0! ","")&amp;IF($B141="","Thiếu ngày! ","")&amp;IF(AND(OR(LEFT($F141,3)="131",LEFT($G141,3)="131",LEFT($F141,3)="331",LEFT($G141,3)="331"),$I141=""),"Thiếu Mã ĐT! ","")&amp;IF(AND($I141&lt;&gt;"",COUNTIF(DM_DT!$A$7:$A$306,$I141)=0),"Mã ĐT chưa khai báo! ","")))</f>
        <v/>
      </c>
      <c r="M141" s="117">
        <f>IF($H141="","",IF(AND(OR(LEFT($F141,3)="111",LEFT($F141,3)="112",LEFT($F141,3)="113"),OR(LEFT($G141,3)="111",LEFT($G141,3)="112",LEFT($G141,3)="113")),"NB",IF(OR(LEFT($F141,3)="111",LEFT($F141,3)="112",LEFT($F141,3)="113"),"THU",IF(OR(LEFT($G141,3)="111",LEFT($G141,3)="112",LEFT($G141,3)="113"),"CHI",""))))</f>
        <v/>
      </c>
      <c r="N141" s="117">
        <f>IF($M141="THU",$G141,IF($M141="CHI",$F141,""))</f>
        <v/>
      </c>
      <c r="O141" s="117">
        <f>IF(OR($M141="",$M141="NB"),"",IF($J141&lt;&gt;"",TEXT($J141,"00"),IFERROR(VLOOKUP(LEFT($N141,4),LCTT_MAP!$A$7:$C$66,IF($M141="THU",2,3),FALSE()),IFERROR(VLOOKUP(LEFT($N141,3),LCTT_MAP!$A$7:$C$66,IF($M141="THU",2,3),FALSE()),IFERROR(VLOOKUP(LEFT($N141,2),LCTT_MAP!$A$7:$C$66,IF($M141="THU",2,3),FALSE()),IFERROR(VLOOKUP(LEFT($N141,1),LCTT_MAP!$A$7:$C$66,IF($M141="THU",2,3),FALSE()),IF($M141="THU","06","07")))))))</f>
        <v/>
      </c>
      <c r="P141" s="117">
        <f>P140+IF(AND($H141&lt;&gt;"",OR(LEFT($F141,LEN(SC_TK))=SC_TK,LEFT($G141,LEN(SC_TK))=SC_TK)),1,0)</f>
        <v/>
      </c>
    </row>
    <row r="142" ht="15" customHeight="1" s="78">
      <c r="A142" s="95">
        <f>IF($H142="","",ROW()-6)</f>
        <v/>
      </c>
      <c r="B142" s="114" t="n"/>
      <c r="C142" s="102" t="n"/>
      <c r="D142" s="114" t="n"/>
      <c r="E142" s="103" t="n"/>
      <c r="F142" s="102" t="n"/>
      <c r="G142" s="102" t="n"/>
      <c r="H142" s="115" t="n"/>
      <c r="I142" s="102" t="n"/>
      <c r="J142" s="102" t="n"/>
      <c r="K142" s="103" t="n"/>
      <c r="L142" s="116">
        <f>IF($H142="","",TRIM(IF(COUNTIF(DMTK!$A$7:$A$250,$F142)=0,"TK Nợ sai! ","")&amp;IF(COUNTIF(DMTK!$A$7:$A$250,$G142)=0,"TK Có sai! ","")&amp;IF(N($H142)&lt;=0,"Tiền phải &gt; 0! ","")&amp;IF($B142="","Thiếu ngày! ","")&amp;IF(AND(OR(LEFT($F142,3)="131",LEFT($G142,3)="131",LEFT($F142,3)="331",LEFT($G142,3)="331"),$I142=""),"Thiếu Mã ĐT! ","")&amp;IF(AND($I142&lt;&gt;"",COUNTIF(DM_DT!$A$7:$A$306,$I142)=0),"Mã ĐT chưa khai báo! ","")))</f>
        <v/>
      </c>
      <c r="M142" s="117">
        <f>IF($H142="","",IF(AND(OR(LEFT($F142,3)="111",LEFT($F142,3)="112",LEFT($F142,3)="113"),OR(LEFT($G142,3)="111",LEFT($G142,3)="112",LEFT($G142,3)="113")),"NB",IF(OR(LEFT($F142,3)="111",LEFT($F142,3)="112",LEFT($F142,3)="113"),"THU",IF(OR(LEFT($G142,3)="111",LEFT($G142,3)="112",LEFT($G142,3)="113"),"CHI",""))))</f>
        <v/>
      </c>
      <c r="N142" s="117">
        <f>IF($M142="THU",$G142,IF($M142="CHI",$F142,""))</f>
        <v/>
      </c>
      <c r="O142" s="117">
        <f>IF(OR($M142="",$M142="NB"),"",IF($J142&lt;&gt;"",TEXT($J142,"00"),IFERROR(VLOOKUP(LEFT($N142,4),LCTT_MAP!$A$7:$C$66,IF($M142="THU",2,3),FALSE()),IFERROR(VLOOKUP(LEFT($N142,3),LCTT_MAP!$A$7:$C$66,IF($M142="THU",2,3),FALSE()),IFERROR(VLOOKUP(LEFT($N142,2),LCTT_MAP!$A$7:$C$66,IF($M142="THU",2,3),FALSE()),IFERROR(VLOOKUP(LEFT($N142,1),LCTT_MAP!$A$7:$C$66,IF($M142="THU",2,3),FALSE()),IF($M142="THU","06","07")))))))</f>
        <v/>
      </c>
      <c r="P142" s="117">
        <f>P141+IF(AND($H142&lt;&gt;"",OR(LEFT($F142,LEN(SC_TK))=SC_TK,LEFT($G142,LEN(SC_TK))=SC_TK)),1,0)</f>
        <v/>
      </c>
    </row>
    <row r="143" ht="15" customHeight="1" s="78">
      <c r="A143" s="95">
        <f>IF($H143="","",ROW()-6)</f>
        <v/>
      </c>
      <c r="B143" s="114" t="n"/>
      <c r="C143" s="102" t="n"/>
      <c r="D143" s="114" t="n"/>
      <c r="E143" s="103" t="n"/>
      <c r="F143" s="102" t="n"/>
      <c r="G143" s="102" t="n"/>
      <c r="H143" s="115" t="n"/>
      <c r="I143" s="102" t="n"/>
      <c r="J143" s="102" t="n"/>
      <c r="K143" s="103" t="n"/>
      <c r="L143" s="116">
        <f>IF($H143="","",TRIM(IF(COUNTIF(DMTK!$A$7:$A$250,$F143)=0,"TK Nợ sai! ","")&amp;IF(COUNTIF(DMTK!$A$7:$A$250,$G143)=0,"TK Có sai! ","")&amp;IF(N($H143)&lt;=0,"Tiền phải &gt; 0! ","")&amp;IF($B143="","Thiếu ngày! ","")&amp;IF(AND(OR(LEFT($F143,3)="131",LEFT($G143,3)="131",LEFT($F143,3)="331",LEFT($G143,3)="331"),$I143=""),"Thiếu Mã ĐT! ","")&amp;IF(AND($I143&lt;&gt;"",COUNTIF(DM_DT!$A$7:$A$306,$I143)=0),"Mã ĐT chưa khai báo! ","")))</f>
        <v/>
      </c>
      <c r="M143" s="117">
        <f>IF($H143="","",IF(AND(OR(LEFT($F143,3)="111",LEFT($F143,3)="112",LEFT($F143,3)="113"),OR(LEFT($G143,3)="111",LEFT($G143,3)="112",LEFT($G143,3)="113")),"NB",IF(OR(LEFT($F143,3)="111",LEFT($F143,3)="112",LEFT($F143,3)="113"),"THU",IF(OR(LEFT($G143,3)="111",LEFT($G143,3)="112",LEFT($G143,3)="113"),"CHI",""))))</f>
        <v/>
      </c>
      <c r="N143" s="117">
        <f>IF($M143="THU",$G143,IF($M143="CHI",$F143,""))</f>
        <v/>
      </c>
      <c r="O143" s="117">
        <f>IF(OR($M143="",$M143="NB"),"",IF($J143&lt;&gt;"",TEXT($J143,"00"),IFERROR(VLOOKUP(LEFT($N143,4),LCTT_MAP!$A$7:$C$66,IF($M143="THU",2,3),FALSE()),IFERROR(VLOOKUP(LEFT($N143,3),LCTT_MAP!$A$7:$C$66,IF($M143="THU",2,3),FALSE()),IFERROR(VLOOKUP(LEFT($N143,2),LCTT_MAP!$A$7:$C$66,IF($M143="THU",2,3),FALSE()),IFERROR(VLOOKUP(LEFT($N143,1),LCTT_MAP!$A$7:$C$66,IF($M143="THU",2,3),FALSE()),IF($M143="THU","06","07")))))))</f>
        <v/>
      </c>
      <c r="P143" s="117">
        <f>P142+IF(AND($H143&lt;&gt;"",OR(LEFT($F143,LEN(SC_TK))=SC_TK,LEFT($G143,LEN(SC_TK))=SC_TK)),1,0)</f>
        <v/>
      </c>
    </row>
    <row r="144" ht="15" customHeight="1" s="78">
      <c r="A144" s="95">
        <f>IF($H144="","",ROW()-6)</f>
        <v/>
      </c>
      <c r="B144" s="114" t="n"/>
      <c r="C144" s="102" t="n"/>
      <c r="D144" s="114" t="n"/>
      <c r="E144" s="103" t="n"/>
      <c r="F144" s="102" t="n"/>
      <c r="G144" s="102" t="n"/>
      <c r="H144" s="115" t="n"/>
      <c r="I144" s="102" t="n"/>
      <c r="J144" s="102" t="n"/>
      <c r="K144" s="103" t="n"/>
      <c r="L144" s="116">
        <f>IF($H144="","",TRIM(IF(COUNTIF(DMTK!$A$7:$A$250,$F144)=0,"TK Nợ sai! ","")&amp;IF(COUNTIF(DMTK!$A$7:$A$250,$G144)=0,"TK Có sai! ","")&amp;IF(N($H144)&lt;=0,"Tiền phải &gt; 0! ","")&amp;IF($B144="","Thiếu ngày! ","")&amp;IF(AND(OR(LEFT($F144,3)="131",LEFT($G144,3)="131",LEFT($F144,3)="331",LEFT($G144,3)="331"),$I144=""),"Thiếu Mã ĐT! ","")&amp;IF(AND($I144&lt;&gt;"",COUNTIF(DM_DT!$A$7:$A$306,$I144)=0),"Mã ĐT chưa khai báo! ","")))</f>
        <v/>
      </c>
      <c r="M144" s="117">
        <f>IF($H144="","",IF(AND(OR(LEFT($F144,3)="111",LEFT($F144,3)="112",LEFT($F144,3)="113"),OR(LEFT($G144,3)="111",LEFT($G144,3)="112",LEFT($G144,3)="113")),"NB",IF(OR(LEFT($F144,3)="111",LEFT($F144,3)="112",LEFT($F144,3)="113"),"THU",IF(OR(LEFT($G144,3)="111",LEFT($G144,3)="112",LEFT($G144,3)="113"),"CHI",""))))</f>
        <v/>
      </c>
      <c r="N144" s="117">
        <f>IF($M144="THU",$G144,IF($M144="CHI",$F144,""))</f>
        <v/>
      </c>
      <c r="O144" s="117">
        <f>IF(OR($M144="",$M144="NB"),"",IF($J144&lt;&gt;"",TEXT($J144,"00"),IFERROR(VLOOKUP(LEFT($N144,4),LCTT_MAP!$A$7:$C$66,IF($M144="THU",2,3),FALSE()),IFERROR(VLOOKUP(LEFT($N144,3),LCTT_MAP!$A$7:$C$66,IF($M144="THU",2,3),FALSE()),IFERROR(VLOOKUP(LEFT($N144,2),LCTT_MAP!$A$7:$C$66,IF($M144="THU",2,3),FALSE()),IFERROR(VLOOKUP(LEFT($N144,1),LCTT_MAP!$A$7:$C$66,IF($M144="THU",2,3),FALSE()),IF($M144="THU","06","07")))))))</f>
        <v/>
      </c>
      <c r="P144" s="117">
        <f>P143+IF(AND($H144&lt;&gt;"",OR(LEFT($F144,LEN(SC_TK))=SC_TK,LEFT($G144,LEN(SC_TK))=SC_TK)),1,0)</f>
        <v/>
      </c>
    </row>
    <row r="145" ht="15" customHeight="1" s="78">
      <c r="A145" s="95">
        <f>IF($H145="","",ROW()-6)</f>
        <v/>
      </c>
      <c r="B145" s="114" t="n"/>
      <c r="C145" s="102" t="n"/>
      <c r="D145" s="114" t="n"/>
      <c r="E145" s="103" t="n"/>
      <c r="F145" s="102" t="n"/>
      <c r="G145" s="102" t="n"/>
      <c r="H145" s="115" t="n"/>
      <c r="I145" s="102" t="n"/>
      <c r="J145" s="102" t="n"/>
      <c r="K145" s="103" t="n"/>
      <c r="L145" s="116">
        <f>IF($H145="","",TRIM(IF(COUNTIF(DMTK!$A$7:$A$250,$F145)=0,"TK Nợ sai! ","")&amp;IF(COUNTIF(DMTK!$A$7:$A$250,$G145)=0,"TK Có sai! ","")&amp;IF(N($H145)&lt;=0,"Tiền phải &gt; 0! ","")&amp;IF($B145="","Thiếu ngày! ","")&amp;IF(AND(OR(LEFT($F145,3)="131",LEFT($G145,3)="131",LEFT($F145,3)="331",LEFT($G145,3)="331"),$I145=""),"Thiếu Mã ĐT! ","")&amp;IF(AND($I145&lt;&gt;"",COUNTIF(DM_DT!$A$7:$A$306,$I145)=0),"Mã ĐT chưa khai báo! ","")))</f>
        <v/>
      </c>
      <c r="M145" s="117">
        <f>IF($H145="","",IF(AND(OR(LEFT($F145,3)="111",LEFT($F145,3)="112",LEFT($F145,3)="113"),OR(LEFT($G145,3)="111",LEFT($G145,3)="112",LEFT($G145,3)="113")),"NB",IF(OR(LEFT($F145,3)="111",LEFT($F145,3)="112",LEFT($F145,3)="113"),"THU",IF(OR(LEFT($G145,3)="111",LEFT($G145,3)="112",LEFT($G145,3)="113"),"CHI",""))))</f>
        <v/>
      </c>
      <c r="N145" s="117">
        <f>IF($M145="THU",$G145,IF($M145="CHI",$F145,""))</f>
        <v/>
      </c>
      <c r="O145" s="117">
        <f>IF(OR($M145="",$M145="NB"),"",IF($J145&lt;&gt;"",TEXT($J145,"00"),IFERROR(VLOOKUP(LEFT($N145,4),LCTT_MAP!$A$7:$C$66,IF($M145="THU",2,3),FALSE()),IFERROR(VLOOKUP(LEFT($N145,3),LCTT_MAP!$A$7:$C$66,IF($M145="THU",2,3),FALSE()),IFERROR(VLOOKUP(LEFT($N145,2),LCTT_MAP!$A$7:$C$66,IF($M145="THU",2,3),FALSE()),IFERROR(VLOOKUP(LEFT($N145,1),LCTT_MAP!$A$7:$C$66,IF($M145="THU",2,3),FALSE()),IF($M145="THU","06","07")))))))</f>
        <v/>
      </c>
      <c r="P145" s="117">
        <f>P144+IF(AND($H145&lt;&gt;"",OR(LEFT($F145,LEN(SC_TK))=SC_TK,LEFT($G145,LEN(SC_TK))=SC_TK)),1,0)</f>
        <v/>
      </c>
    </row>
    <row r="146" ht="15" customHeight="1" s="78">
      <c r="A146" s="95">
        <f>IF($H146="","",ROW()-6)</f>
        <v/>
      </c>
      <c r="B146" s="114" t="n"/>
      <c r="C146" s="102" t="n"/>
      <c r="D146" s="114" t="n"/>
      <c r="E146" s="103" t="n"/>
      <c r="F146" s="102" t="n"/>
      <c r="G146" s="102" t="n"/>
      <c r="H146" s="115" t="n"/>
      <c r="I146" s="102" t="n"/>
      <c r="J146" s="102" t="n"/>
      <c r="K146" s="103" t="n"/>
      <c r="L146" s="116">
        <f>IF($H146="","",TRIM(IF(COUNTIF(DMTK!$A$7:$A$250,$F146)=0,"TK Nợ sai! ","")&amp;IF(COUNTIF(DMTK!$A$7:$A$250,$G146)=0,"TK Có sai! ","")&amp;IF(N($H146)&lt;=0,"Tiền phải &gt; 0! ","")&amp;IF($B146="","Thiếu ngày! ","")&amp;IF(AND(OR(LEFT($F146,3)="131",LEFT($G146,3)="131",LEFT($F146,3)="331",LEFT($G146,3)="331"),$I146=""),"Thiếu Mã ĐT! ","")&amp;IF(AND($I146&lt;&gt;"",COUNTIF(DM_DT!$A$7:$A$306,$I146)=0),"Mã ĐT chưa khai báo! ","")))</f>
        <v/>
      </c>
      <c r="M146" s="117">
        <f>IF($H146="","",IF(AND(OR(LEFT($F146,3)="111",LEFT($F146,3)="112",LEFT($F146,3)="113"),OR(LEFT($G146,3)="111",LEFT($G146,3)="112",LEFT($G146,3)="113")),"NB",IF(OR(LEFT($F146,3)="111",LEFT($F146,3)="112",LEFT($F146,3)="113"),"THU",IF(OR(LEFT($G146,3)="111",LEFT($G146,3)="112",LEFT($G146,3)="113"),"CHI",""))))</f>
        <v/>
      </c>
      <c r="N146" s="117">
        <f>IF($M146="THU",$G146,IF($M146="CHI",$F146,""))</f>
        <v/>
      </c>
      <c r="O146" s="117">
        <f>IF(OR($M146="",$M146="NB"),"",IF($J146&lt;&gt;"",TEXT($J146,"00"),IFERROR(VLOOKUP(LEFT($N146,4),LCTT_MAP!$A$7:$C$66,IF($M146="THU",2,3),FALSE()),IFERROR(VLOOKUP(LEFT($N146,3),LCTT_MAP!$A$7:$C$66,IF($M146="THU",2,3),FALSE()),IFERROR(VLOOKUP(LEFT($N146,2),LCTT_MAP!$A$7:$C$66,IF($M146="THU",2,3),FALSE()),IFERROR(VLOOKUP(LEFT($N146,1),LCTT_MAP!$A$7:$C$66,IF($M146="THU",2,3),FALSE()),IF($M146="THU","06","07")))))))</f>
        <v/>
      </c>
      <c r="P146" s="117">
        <f>P145+IF(AND($H146&lt;&gt;"",OR(LEFT($F146,LEN(SC_TK))=SC_TK,LEFT($G146,LEN(SC_TK))=SC_TK)),1,0)</f>
        <v/>
      </c>
    </row>
    <row r="147" ht="15" customHeight="1" s="78">
      <c r="A147" s="95">
        <f>IF($H147="","",ROW()-6)</f>
        <v/>
      </c>
      <c r="B147" s="114" t="n"/>
      <c r="C147" s="102" t="n"/>
      <c r="D147" s="114" t="n"/>
      <c r="E147" s="103" t="n"/>
      <c r="F147" s="102" t="n"/>
      <c r="G147" s="102" t="n"/>
      <c r="H147" s="115" t="n"/>
      <c r="I147" s="102" t="n"/>
      <c r="J147" s="102" t="n"/>
      <c r="K147" s="103" t="n"/>
      <c r="L147" s="116">
        <f>IF($H147="","",TRIM(IF(COUNTIF(DMTK!$A$7:$A$250,$F147)=0,"TK Nợ sai! ","")&amp;IF(COUNTIF(DMTK!$A$7:$A$250,$G147)=0,"TK Có sai! ","")&amp;IF(N($H147)&lt;=0,"Tiền phải &gt; 0! ","")&amp;IF($B147="","Thiếu ngày! ","")&amp;IF(AND(OR(LEFT($F147,3)="131",LEFT($G147,3)="131",LEFT($F147,3)="331",LEFT($G147,3)="331"),$I147=""),"Thiếu Mã ĐT! ","")&amp;IF(AND($I147&lt;&gt;"",COUNTIF(DM_DT!$A$7:$A$306,$I147)=0),"Mã ĐT chưa khai báo! ","")))</f>
        <v/>
      </c>
      <c r="M147" s="117">
        <f>IF($H147="","",IF(AND(OR(LEFT($F147,3)="111",LEFT($F147,3)="112",LEFT($F147,3)="113"),OR(LEFT($G147,3)="111",LEFT($G147,3)="112",LEFT($G147,3)="113")),"NB",IF(OR(LEFT($F147,3)="111",LEFT($F147,3)="112",LEFT($F147,3)="113"),"THU",IF(OR(LEFT($G147,3)="111",LEFT($G147,3)="112",LEFT($G147,3)="113"),"CHI",""))))</f>
        <v/>
      </c>
      <c r="N147" s="117">
        <f>IF($M147="THU",$G147,IF($M147="CHI",$F147,""))</f>
        <v/>
      </c>
      <c r="O147" s="117">
        <f>IF(OR($M147="",$M147="NB"),"",IF($J147&lt;&gt;"",TEXT($J147,"00"),IFERROR(VLOOKUP(LEFT($N147,4),LCTT_MAP!$A$7:$C$66,IF($M147="THU",2,3),FALSE()),IFERROR(VLOOKUP(LEFT($N147,3),LCTT_MAP!$A$7:$C$66,IF($M147="THU",2,3),FALSE()),IFERROR(VLOOKUP(LEFT($N147,2),LCTT_MAP!$A$7:$C$66,IF($M147="THU",2,3),FALSE()),IFERROR(VLOOKUP(LEFT($N147,1),LCTT_MAP!$A$7:$C$66,IF($M147="THU",2,3),FALSE()),IF($M147="THU","06","07")))))))</f>
        <v/>
      </c>
      <c r="P147" s="117">
        <f>P146+IF(AND($H147&lt;&gt;"",OR(LEFT($F147,LEN(SC_TK))=SC_TK,LEFT($G147,LEN(SC_TK))=SC_TK)),1,0)</f>
        <v/>
      </c>
    </row>
    <row r="148" ht="15" customHeight="1" s="78">
      <c r="A148" s="95">
        <f>IF($H148="","",ROW()-6)</f>
        <v/>
      </c>
      <c r="B148" s="114" t="n"/>
      <c r="C148" s="102" t="n"/>
      <c r="D148" s="114" t="n"/>
      <c r="E148" s="103" t="n"/>
      <c r="F148" s="102" t="n"/>
      <c r="G148" s="102" t="n"/>
      <c r="H148" s="115" t="n"/>
      <c r="I148" s="102" t="n"/>
      <c r="J148" s="102" t="n"/>
      <c r="K148" s="103" t="n"/>
      <c r="L148" s="116">
        <f>IF($H148="","",TRIM(IF(COUNTIF(DMTK!$A$7:$A$250,$F148)=0,"TK Nợ sai! ","")&amp;IF(COUNTIF(DMTK!$A$7:$A$250,$G148)=0,"TK Có sai! ","")&amp;IF(N($H148)&lt;=0,"Tiền phải &gt; 0! ","")&amp;IF($B148="","Thiếu ngày! ","")&amp;IF(AND(OR(LEFT($F148,3)="131",LEFT($G148,3)="131",LEFT($F148,3)="331",LEFT($G148,3)="331"),$I148=""),"Thiếu Mã ĐT! ","")&amp;IF(AND($I148&lt;&gt;"",COUNTIF(DM_DT!$A$7:$A$306,$I148)=0),"Mã ĐT chưa khai báo! ","")))</f>
        <v/>
      </c>
      <c r="M148" s="117">
        <f>IF($H148="","",IF(AND(OR(LEFT($F148,3)="111",LEFT($F148,3)="112",LEFT($F148,3)="113"),OR(LEFT($G148,3)="111",LEFT($G148,3)="112",LEFT($G148,3)="113")),"NB",IF(OR(LEFT($F148,3)="111",LEFT($F148,3)="112",LEFT($F148,3)="113"),"THU",IF(OR(LEFT($G148,3)="111",LEFT($G148,3)="112",LEFT($G148,3)="113"),"CHI",""))))</f>
        <v/>
      </c>
      <c r="N148" s="117">
        <f>IF($M148="THU",$G148,IF($M148="CHI",$F148,""))</f>
        <v/>
      </c>
      <c r="O148" s="117">
        <f>IF(OR($M148="",$M148="NB"),"",IF($J148&lt;&gt;"",TEXT($J148,"00"),IFERROR(VLOOKUP(LEFT($N148,4),LCTT_MAP!$A$7:$C$66,IF($M148="THU",2,3),FALSE()),IFERROR(VLOOKUP(LEFT($N148,3),LCTT_MAP!$A$7:$C$66,IF($M148="THU",2,3),FALSE()),IFERROR(VLOOKUP(LEFT($N148,2),LCTT_MAP!$A$7:$C$66,IF($M148="THU",2,3),FALSE()),IFERROR(VLOOKUP(LEFT($N148,1),LCTT_MAP!$A$7:$C$66,IF($M148="THU",2,3),FALSE()),IF($M148="THU","06","07")))))))</f>
        <v/>
      </c>
      <c r="P148" s="117">
        <f>P147+IF(AND($H148&lt;&gt;"",OR(LEFT($F148,LEN(SC_TK))=SC_TK,LEFT($G148,LEN(SC_TK))=SC_TK)),1,0)</f>
        <v/>
      </c>
    </row>
    <row r="149" ht="15" customHeight="1" s="78">
      <c r="A149" s="95">
        <f>IF($H149="","",ROW()-6)</f>
        <v/>
      </c>
      <c r="B149" s="114" t="n"/>
      <c r="C149" s="102" t="n"/>
      <c r="D149" s="114" t="n"/>
      <c r="E149" s="103" t="n"/>
      <c r="F149" s="102" t="n"/>
      <c r="G149" s="102" t="n"/>
      <c r="H149" s="115" t="n"/>
      <c r="I149" s="102" t="n"/>
      <c r="J149" s="102" t="n"/>
      <c r="K149" s="103" t="n"/>
      <c r="L149" s="116">
        <f>IF($H149="","",TRIM(IF(COUNTIF(DMTK!$A$7:$A$250,$F149)=0,"TK Nợ sai! ","")&amp;IF(COUNTIF(DMTK!$A$7:$A$250,$G149)=0,"TK Có sai! ","")&amp;IF(N($H149)&lt;=0,"Tiền phải &gt; 0! ","")&amp;IF($B149="","Thiếu ngày! ","")&amp;IF(AND(OR(LEFT($F149,3)="131",LEFT($G149,3)="131",LEFT($F149,3)="331",LEFT($G149,3)="331"),$I149=""),"Thiếu Mã ĐT! ","")&amp;IF(AND($I149&lt;&gt;"",COUNTIF(DM_DT!$A$7:$A$306,$I149)=0),"Mã ĐT chưa khai báo! ","")))</f>
        <v/>
      </c>
      <c r="M149" s="117">
        <f>IF($H149="","",IF(AND(OR(LEFT($F149,3)="111",LEFT($F149,3)="112",LEFT($F149,3)="113"),OR(LEFT($G149,3)="111",LEFT($G149,3)="112",LEFT($G149,3)="113")),"NB",IF(OR(LEFT($F149,3)="111",LEFT($F149,3)="112",LEFT($F149,3)="113"),"THU",IF(OR(LEFT($G149,3)="111",LEFT($G149,3)="112",LEFT($G149,3)="113"),"CHI",""))))</f>
        <v/>
      </c>
      <c r="N149" s="117">
        <f>IF($M149="THU",$G149,IF($M149="CHI",$F149,""))</f>
        <v/>
      </c>
      <c r="O149" s="117">
        <f>IF(OR($M149="",$M149="NB"),"",IF($J149&lt;&gt;"",TEXT($J149,"00"),IFERROR(VLOOKUP(LEFT($N149,4),LCTT_MAP!$A$7:$C$66,IF($M149="THU",2,3),FALSE()),IFERROR(VLOOKUP(LEFT($N149,3),LCTT_MAP!$A$7:$C$66,IF($M149="THU",2,3),FALSE()),IFERROR(VLOOKUP(LEFT($N149,2),LCTT_MAP!$A$7:$C$66,IF($M149="THU",2,3),FALSE()),IFERROR(VLOOKUP(LEFT($N149,1),LCTT_MAP!$A$7:$C$66,IF($M149="THU",2,3),FALSE()),IF($M149="THU","06","07")))))))</f>
        <v/>
      </c>
      <c r="P149" s="117">
        <f>P148+IF(AND($H149&lt;&gt;"",OR(LEFT($F149,LEN(SC_TK))=SC_TK,LEFT($G149,LEN(SC_TK))=SC_TK)),1,0)</f>
        <v/>
      </c>
    </row>
    <row r="150" ht="15" customHeight="1" s="78">
      <c r="A150" s="95">
        <f>IF($H150="","",ROW()-6)</f>
        <v/>
      </c>
      <c r="B150" s="114" t="n"/>
      <c r="C150" s="102" t="n"/>
      <c r="D150" s="114" t="n"/>
      <c r="E150" s="103" t="n"/>
      <c r="F150" s="102" t="n"/>
      <c r="G150" s="102" t="n"/>
      <c r="H150" s="115" t="n"/>
      <c r="I150" s="102" t="n"/>
      <c r="J150" s="102" t="n"/>
      <c r="K150" s="103" t="n"/>
      <c r="L150" s="116">
        <f>IF($H150="","",TRIM(IF(COUNTIF(DMTK!$A$7:$A$250,$F150)=0,"TK Nợ sai! ","")&amp;IF(COUNTIF(DMTK!$A$7:$A$250,$G150)=0,"TK Có sai! ","")&amp;IF(N($H150)&lt;=0,"Tiền phải &gt; 0! ","")&amp;IF($B150="","Thiếu ngày! ","")&amp;IF(AND(OR(LEFT($F150,3)="131",LEFT($G150,3)="131",LEFT($F150,3)="331",LEFT($G150,3)="331"),$I150=""),"Thiếu Mã ĐT! ","")&amp;IF(AND($I150&lt;&gt;"",COUNTIF(DM_DT!$A$7:$A$306,$I150)=0),"Mã ĐT chưa khai báo! ","")))</f>
        <v/>
      </c>
      <c r="M150" s="117">
        <f>IF($H150="","",IF(AND(OR(LEFT($F150,3)="111",LEFT($F150,3)="112",LEFT($F150,3)="113"),OR(LEFT($G150,3)="111",LEFT($G150,3)="112",LEFT($G150,3)="113")),"NB",IF(OR(LEFT($F150,3)="111",LEFT($F150,3)="112",LEFT($F150,3)="113"),"THU",IF(OR(LEFT($G150,3)="111",LEFT($G150,3)="112",LEFT($G150,3)="113"),"CHI",""))))</f>
        <v/>
      </c>
      <c r="N150" s="117">
        <f>IF($M150="THU",$G150,IF($M150="CHI",$F150,""))</f>
        <v/>
      </c>
      <c r="O150" s="117">
        <f>IF(OR($M150="",$M150="NB"),"",IF($J150&lt;&gt;"",TEXT($J150,"00"),IFERROR(VLOOKUP(LEFT($N150,4),LCTT_MAP!$A$7:$C$66,IF($M150="THU",2,3),FALSE()),IFERROR(VLOOKUP(LEFT($N150,3),LCTT_MAP!$A$7:$C$66,IF($M150="THU",2,3),FALSE()),IFERROR(VLOOKUP(LEFT($N150,2),LCTT_MAP!$A$7:$C$66,IF($M150="THU",2,3),FALSE()),IFERROR(VLOOKUP(LEFT($N150,1),LCTT_MAP!$A$7:$C$66,IF($M150="THU",2,3),FALSE()),IF($M150="THU","06","07")))))))</f>
        <v/>
      </c>
      <c r="P150" s="117">
        <f>P149+IF(AND($H150&lt;&gt;"",OR(LEFT($F150,LEN(SC_TK))=SC_TK,LEFT($G150,LEN(SC_TK))=SC_TK)),1,0)</f>
        <v/>
      </c>
    </row>
    <row r="151" ht="15" customHeight="1" s="78">
      <c r="A151" s="95">
        <f>IF($H151="","",ROW()-6)</f>
        <v/>
      </c>
      <c r="B151" s="114" t="n"/>
      <c r="C151" s="102" t="n"/>
      <c r="D151" s="114" t="n"/>
      <c r="E151" s="103" t="n"/>
      <c r="F151" s="102" t="n"/>
      <c r="G151" s="102" t="n"/>
      <c r="H151" s="115" t="n"/>
      <c r="I151" s="102" t="n"/>
      <c r="J151" s="102" t="n"/>
      <c r="K151" s="103" t="n"/>
      <c r="L151" s="116">
        <f>IF($H151="","",TRIM(IF(COUNTIF(DMTK!$A$7:$A$250,$F151)=0,"TK Nợ sai! ","")&amp;IF(COUNTIF(DMTK!$A$7:$A$250,$G151)=0,"TK Có sai! ","")&amp;IF(N($H151)&lt;=0,"Tiền phải &gt; 0! ","")&amp;IF($B151="","Thiếu ngày! ","")&amp;IF(AND(OR(LEFT($F151,3)="131",LEFT($G151,3)="131",LEFT($F151,3)="331",LEFT($G151,3)="331"),$I151=""),"Thiếu Mã ĐT! ","")&amp;IF(AND($I151&lt;&gt;"",COUNTIF(DM_DT!$A$7:$A$306,$I151)=0),"Mã ĐT chưa khai báo! ","")))</f>
        <v/>
      </c>
      <c r="M151" s="117">
        <f>IF($H151="","",IF(AND(OR(LEFT($F151,3)="111",LEFT($F151,3)="112",LEFT($F151,3)="113"),OR(LEFT($G151,3)="111",LEFT($G151,3)="112",LEFT($G151,3)="113")),"NB",IF(OR(LEFT($F151,3)="111",LEFT($F151,3)="112",LEFT($F151,3)="113"),"THU",IF(OR(LEFT($G151,3)="111",LEFT($G151,3)="112",LEFT($G151,3)="113"),"CHI",""))))</f>
        <v/>
      </c>
      <c r="N151" s="117">
        <f>IF($M151="THU",$G151,IF($M151="CHI",$F151,""))</f>
        <v/>
      </c>
      <c r="O151" s="117">
        <f>IF(OR($M151="",$M151="NB"),"",IF($J151&lt;&gt;"",TEXT($J151,"00"),IFERROR(VLOOKUP(LEFT($N151,4),LCTT_MAP!$A$7:$C$66,IF($M151="THU",2,3),FALSE()),IFERROR(VLOOKUP(LEFT($N151,3),LCTT_MAP!$A$7:$C$66,IF($M151="THU",2,3),FALSE()),IFERROR(VLOOKUP(LEFT($N151,2),LCTT_MAP!$A$7:$C$66,IF($M151="THU",2,3),FALSE()),IFERROR(VLOOKUP(LEFT($N151,1),LCTT_MAP!$A$7:$C$66,IF($M151="THU",2,3),FALSE()),IF($M151="THU","06","07")))))))</f>
        <v/>
      </c>
      <c r="P151" s="117">
        <f>P150+IF(AND($H151&lt;&gt;"",OR(LEFT($F151,LEN(SC_TK))=SC_TK,LEFT($G151,LEN(SC_TK))=SC_TK)),1,0)</f>
        <v/>
      </c>
    </row>
    <row r="152" ht="15" customHeight="1" s="78">
      <c r="A152" s="95">
        <f>IF($H152="","",ROW()-6)</f>
        <v/>
      </c>
      <c r="B152" s="114" t="n"/>
      <c r="C152" s="102" t="n"/>
      <c r="D152" s="114" t="n"/>
      <c r="E152" s="103" t="n"/>
      <c r="F152" s="102" t="n"/>
      <c r="G152" s="102" t="n"/>
      <c r="H152" s="115" t="n"/>
      <c r="I152" s="102" t="n"/>
      <c r="J152" s="102" t="n"/>
      <c r="K152" s="103" t="n"/>
      <c r="L152" s="116">
        <f>IF($H152="","",TRIM(IF(COUNTIF(DMTK!$A$7:$A$250,$F152)=0,"TK Nợ sai! ","")&amp;IF(COUNTIF(DMTK!$A$7:$A$250,$G152)=0,"TK Có sai! ","")&amp;IF(N($H152)&lt;=0,"Tiền phải &gt; 0! ","")&amp;IF($B152="","Thiếu ngày! ","")&amp;IF(AND(OR(LEFT($F152,3)="131",LEFT($G152,3)="131",LEFT($F152,3)="331",LEFT($G152,3)="331"),$I152=""),"Thiếu Mã ĐT! ","")&amp;IF(AND($I152&lt;&gt;"",COUNTIF(DM_DT!$A$7:$A$306,$I152)=0),"Mã ĐT chưa khai báo! ","")))</f>
        <v/>
      </c>
      <c r="M152" s="117">
        <f>IF($H152="","",IF(AND(OR(LEFT($F152,3)="111",LEFT($F152,3)="112",LEFT($F152,3)="113"),OR(LEFT($G152,3)="111",LEFT($G152,3)="112",LEFT($G152,3)="113")),"NB",IF(OR(LEFT($F152,3)="111",LEFT($F152,3)="112",LEFT($F152,3)="113"),"THU",IF(OR(LEFT($G152,3)="111",LEFT($G152,3)="112",LEFT($G152,3)="113"),"CHI",""))))</f>
        <v/>
      </c>
      <c r="N152" s="117">
        <f>IF($M152="THU",$G152,IF($M152="CHI",$F152,""))</f>
        <v/>
      </c>
      <c r="O152" s="117">
        <f>IF(OR($M152="",$M152="NB"),"",IF($J152&lt;&gt;"",TEXT($J152,"00"),IFERROR(VLOOKUP(LEFT($N152,4),LCTT_MAP!$A$7:$C$66,IF($M152="THU",2,3),FALSE()),IFERROR(VLOOKUP(LEFT($N152,3),LCTT_MAP!$A$7:$C$66,IF($M152="THU",2,3),FALSE()),IFERROR(VLOOKUP(LEFT($N152,2),LCTT_MAP!$A$7:$C$66,IF($M152="THU",2,3),FALSE()),IFERROR(VLOOKUP(LEFT($N152,1),LCTT_MAP!$A$7:$C$66,IF($M152="THU",2,3),FALSE()),IF($M152="THU","06","07")))))))</f>
        <v/>
      </c>
      <c r="P152" s="117">
        <f>P151+IF(AND($H152&lt;&gt;"",OR(LEFT($F152,LEN(SC_TK))=SC_TK,LEFT($G152,LEN(SC_TK))=SC_TK)),1,0)</f>
        <v/>
      </c>
    </row>
    <row r="153" ht="15" customHeight="1" s="78">
      <c r="A153" s="95">
        <f>IF($H153="","",ROW()-6)</f>
        <v/>
      </c>
      <c r="B153" s="114" t="n"/>
      <c r="C153" s="102" t="n"/>
      <c r="D153" s="114" t="n"/>
      <c r="E153" s="103" t="n"/>
      <c r="F153" s="102" t="n"/>
      <c r="G153" s="102" t="n"/>
      <c r="H153" s="115" t="n"/>
      <c r="I153" s="102" t="n"/>
      <c r="J153" s="102" t="n"/>
      <c r="K153" s="103" t="n"/>
      <c r="L153" s="116">
        <f>IF($H153="","",TRIM(IF(COUNTIF(DMTK!$A$7:$A$250,$F153)=0,"TK Nợ sai! ","")&amp;IF(COUNTIF(DMTK!$A$7:$A$250,$G153)=0,"TK Có sai! ","")&amp;IF(N($H153)&lt;=0,"Tiền phải &gt; 0! ","")&amp;IF($B153="","Thiếu ngày! ","")&amp;IF(AND(OR(LEFT($F153,3)="131",LEFT($G153,3)="131",LEFT($F153,3)="331",LEFT($G153,3)="331"),$I153=""),"Thiếu Mã ĐT! ","")&amp;IF(AND($I153&lt;&gt;"",COUNTIF(DM_DT!$A$7:$A$306,$I153)=0),"Mã ĐT chưa khai báo! ","")))</f>
        <v/>
      </c>
      <c r="M153" s="117">
        <f>IF($H153="","",IF(AND(OR(LEFT($F153,3)="111",LEFT($F153,3)="112",LEFT($F153,3)="113"),OR(LEFT($G153,3)="111",LEFT($G153,3)="112",LEFT($G153,3)="113")),"NB",IF(OR(LEFT($F153,3)="111",LEFT($F153,3)="112",LEFT($F153,3)="113"),"THU",IF(OR(LEFT($G153,3)="111",LEFT($G153,3)="112",LEFT($G153,3)="113"),"CHI",""))))</f>
        <v/>
      </c>
      <c r="N153" s="117">
        <f>IF($M153="THU",$G153,IF($M153="CHI",$F153,""))</f>
        <v/>
      </c>
      <c r="O153" s="117">
        <f>IF(OR($M153="",$M153="NB"),"",IF($J153&lt;&gt;"",TEXT($J153,"00"),IFERROR(VLOOKUP(LEFT($N153,4),LCTT_MAP!$A$7:$C$66,IF($M153="THU",2,3),FALSE()),IFERROR(VLOOKUP(LEFT($N153,3),LCTT_MAP!$A$7:$C$66,IF($M153="THU",2,3),FALSE()),IFERROR(VLOOKUP(LEFT($N153,2),LCTT_MAP!$A$7:$C$66,IF($M153="THU",2,3),FALSE()),IFERROR(VLOOKUP(LEFT($N153,1),LCTT_MAP!$A$7:$C$66,IF($M153="THU",2,3),FALSE()),IF($M153="THU","06","07")))))))</f>
        <v/>
      </c>
      <c r="P153" s="117">
        <f>P152+IF(AND($H153&lt;&gt;"",OR(LEFT($F153,LEN(SC_TK))=SC_TK,LEFT($G153,LEN(SC_TK))=SC_TK)),1,0)</f>
        <v/>
      </c>
    </row>
    <row r="154" ht="15" customHeight="1" s="78">
      <c r="A154" s="95">
        <f>IF($H154="","",ROW()-6)</f>
        <v/>
      </c>
      <c r="B154" s="114" t="n"/>
      <c r="C154" s="102" t="n"/>
      <c r="D154" s="114" t="n"/>
      <c r="E154" s="103" t="n"/>
      <c r="F154" s="102" t="n"/>
      <c r="G154" s="102" t="n"/>
      <c r="H154" s="115" t="n"/>
      <c r="I154" s="102" t="n"/>
      <c r="J154" s="102" t="n"/>
      <c r="K154" s="103" t="n"/>
      <c r="L154" s="116">
        <f>IF($H154="","",TRIM(IF(COUNTIF(DMTK!$A$7:$A$250,$F154)=0,"TK Nợ sai! ","")&amp;IF(COUNTIF(DMTK!$A$7:$A$250,$G154)=0,"TK Có sai! ","")&amp;IF(N($H154)&lt;=0,"Tiền phải &gt; 0! ","")&amp;IF($B154="","Thiếu ngày! ","")&amp;IF(AND(OR(LEFT($F154,3)="131",LEFT($G154,3)="131",LEFT($F154,3)="331",LEFT($G154,3)="331"),$I154=""),"Thiếu Mã ĐT! ","")&amp;IF(AND($I154&lt;&gt;"",COUNTIF(DM_DT!$A$7:$A$306,$I154)=0),"Mã ĐT chưa khai báo! ","")))</f>
        <v/>
      </c>
      <c r="M154" s="117">
        <f>IF($H154="","",IF(AND(OR(LEFT($F154,3)="111",LEFT($F154,3)="112",LEFT($F154,3)="113"),OR(LEFT($G154,3)="111",LEFT($G154,3)="112",LEFT($G154,3)="113")),"NB",IF(OR(LEFT($F154,3)="111",LEFT($F154,3)="112",LEFT($F154,3)="113"),"THU",IF(OR(LEFT($G154,3)="111",LEFT($G154,3)="112",LEFT($G154,3)="113"),"CHI",""))))</f>
        <v/>
      </c>
      <c r="N154" s="117">
        <f>IF($M154="THU",$G154,IF($M154="CHI",$F154,""))</f>
        <v/>
      </c>
      <c r="O154" s="117">
        <f>IF(OR($M154="",$M154="NB"),"",IF($J154&lt;&gt;"",TEXT($J154,"00"),IFERROR(VLOOKUP(LEFT($N154,4),LCTT_MAP!$A$7:$C$66,IF($M154="THU",2,3),FALSE()),IFERROR(VLOOKUP(LEFT($N154,3),LCTT_MAP!$A$7:$C$66,IF($M154="THU",2,3),FALSE()),IFERROR(VLOOKUP(LEFT($N154,2),LCTT_MAP!$A$7:$C$66,IF($M154="THU",2,3),FALSE()),IFERROR(VLOOKUP(LEFT($N154,1),LCTT_MAP!$A$7:$C$66,IF($M154="THU",2,3),FALSE()),IF($M154="THU","06","07")))))))</f>
        <v/>
      </c>
      <c r="P154" s="117">
        <f>P153+IF(AND($H154&lt;&gt;"",OR(LEFT($F154,LEN(SC_TK))=SC_TK,LEFT($G154,LEN(SC_TK))=SC_TK)),1,0)</f>
        <v/>
      </c>
    </row>
    <row r="155" ht="15" customHeight="1" s="78">
      <c r="A155" s="95">
        <f>IF($H155="","",ROW()-6)</f>
        <v/>
      </c>
      <c r="B155" s="114" t="n"/>
      <c r="C155" s="102" t="n"/>
      <c r="D155" s="114" t="n"/>
      <c r="E155" s="103" t="n"/>
      <c r="F155" s="102" t="n"/>
      <c r="G155" s="102" t="n"/>
      <c r="H155" s="115" t="n"/>
      <c r="I155" s="102" t="n"/>
      <c r="J155" s="102" t="n"/>
      <c r="K155" s="103" t="n"/>
      <c r="L155" s="116">
        <f>IF($H155="","",TRIM(IF(COUNTIF(DMTK!$A$7:$A$250,$F155)=0,"TK Nợ sai! ","")&amp;IF(COUNTIF(DMTK!$A$7:$A$250,$G155)=0,"TK Có sai! ","")&amp;IF(N($H155)&lt;=0,"Tiền phải &gt; 0! ","")&amp;IF($B155="","Thiếu ngày! ","")&amp;IF(AND(OR(LEFT($F155,3)="131",LEFT($G155,3)="131",LEFT($F155,3)="331",LEFT($G155,3)="331"),$I155=""),"Thiếu Mã ĐT! ","")&amp;IF(AND($I155&lt;&gt;"",COUNTIF(DM_DT!$A$7:$A$306,$I155)=0),"Mã ĐT chưa khai báo! ","")))</f>
        <v/>
      </c>
      <c r="M155" s="117">
        <f>IF($H155="","",IF(AND(OR(LEFT($F155,3)="111",LEFT($F155,3)="112",LEFT($F155,3)="113"),OR(LEFT($G155,3)="111",LEFT($G155,3)="112",LEFT($G155,3)="113")),"NB",IF(OR(LEFT($F155,3)="111",LEFT($F155,3)="112",LEFT($F155,3)="113"),"THU",IF(OR(LEFT($G155,3)="111",LEFT($G155,3)="112",LEFT($G155,3)="113"),"CHI",""))))</f>
        <v/>
      </c>
      <c r="N155" s="117">
        <f>IF($M155="THU",$G155,IF($M155="CHI",$F155,""))</f>
        <v/>
      </c>
      <c r="O155" s="117">
        <f>IF(OR($M155="",$M155="NB"),"",IF($J155&lt;&gt;"",TEXT($J155,"00"),IFERROR(VLOOKUP(LEFT($N155,4),LCTT_MAP!$A$7:$C$66,IF($M155="THU",2,3),FALSE()),IFERROR(VLOOKUP(LEFT($N155,3),LCTT_MAP!$A$7:$C$66,IF($M155="THU",2,3),FALSE()),IFERROR(VLOOKUP(LEFT($N155,2),LCTT_MAP!$A$7:$C$66,IF($M155="THU",2,3),FALSE()),IFERROR(VLOOKUP(LEFT($N155,1),LCTT_MAP!$A$7:$C$66,IF($M155="THU",2,3),FALSE()),IF($M155="THU","06","07")))))))</f>
        <v/>
      </c>
      <c r="P155" s="117">
        <f>P154+IF(AND($H155&lt;&gt;"",OR(LEFT($F155,LEN(SC_TK))=SC_TK,LEFT($G155,LEN(SC_TK))=SC_TK)),1,0)</f>
        <v/>
      </c>
    </row>
    <row r="156" ht="15" customHeight="1" s="78">
      <c r="A156" s="95">
        <f>IF($H156="","",ROW()-6)</f>
        <v/>
      </c>
      <c r="B156" s="114" t="n"/>
      <c r="C156" s="102" t="n"/>
      <c r="D156" s="114" t="n"/>
      <c r="E156" s="103" t="n"/>
      <c r="F156" s="102" t="n"/>
      <c r="G156" s="102" t="n"/>
      <c r="H156" s="115" t="n"/>
      <c r="I156" s="102" t="n"/>
      <c r="J156" s="102" t="n"/>
      <c r="K156" s="103" t="n"/>
      <c r="L156" s="116">
        <f>IF($H156="","",TRIM(IF(COUNTIF(DMTK!$A$7:$A$250,$F156)=0,"TK Nợ sai! ","")&amp;IF(COUNTIF(DMTK!$A$7:$A$250,$G156)=0,"TK Có sai! ","")&amp;IF(N($H156)&lt;=0,"Tiền phải &gt; 0! ","")&amp;IF($B156="","Thiếu ngày! ","")&amp;IF(AND(OR(LEFT($F156,3)="131",LEFT($G156,3)="131",LEFT($F156,3)="331",LEFT($G156,3)="331"),$I156=""),"Thiếu Mã ĐT! ","")&amp;IF(AND($I156&lt;&gt;"",COUNTIF(DM_DT!$A$7:$A$306,$I156)=0),"Mã ĐT chưa khai báo! ","")))</f>
        <v/>
      </c>
      <c r="M156" s="117">
        <f>IF($H156="","",IF(AND(OR(LEFT($F156,3)="111",LEFT($F156,3)="112",LEFT($F156,3)="113"),OR(LEFT($G156,3)="111",LEFT($G156,3)="112",LEFT($G156,3)="113")),"NB",IF(OR(LEFT($F156,3)="111",LEFT($F156,3)="112",LEFT($F156,3)="113"),"THU",IF(OR(LEFT($G156,3)="111",LEFT($G156,3)="112",LEFT($G156,3)="113"),"CHI",""))))</f>
        <v/>
      </c>
      <c r="N156" s="117">
        <f>IF($M156="THU",$G156,IF($M156="CHI",$F156,""))</f>
        <v/>
      </c>
      <c r="O156" s="117">
        <f>IF(OR($M156="",$M156="NB"),"",IF($J156&lt;&gt;"",TEXT($J156,"00"),IFERROR(VLOOKUP(LEFT($N156,4),LCTT_MAP!$A$7:$C$66,IF($M156="THU",2,3),FALSE()),IFERROR(VLOOKUP(LEFT($N156,3),LCTT_MAP!$A$7:$C$66,IF($M156="THU",2,3),FALSE()),IFERROR(VLOOKUP(LEFT($N156,2),LCTT_MAP!$A$7:$C$66,IF($M156="THU",2,3),FALSE()),IFERROR(VLOOKUP(LEFT($N156,1),LCTT_MAP!$A$7:$C$66,IF($M156="THU",2,3),FALSE()),IF($M156="THU","06","07")))))))</f>
        <v/>
      </c>
      <c r="P156" s="117">
        <f>P155+IF(AND($H156&lt;&gt;"",OR(LEFT($F156,LEN(SC_TK))=SC_TK,LEFT($G156,LEN(SC_TK))=SC_TK)),1,0)</f>
        <v/>
      </c>
    </row>
    <row r="157" ht="15" customHeight="1" s="78">
      <c r="A157" s="95">
        <f>IF($H157="","",ROW()-6)</f>
        <v/>
      </c>
      <c r="B157" s="114" t="n"/>
      <c r="C157" s="102" t="n"/>
      <c r="D157" s="114" t="n"/>
      <c r="E157" s="103" t="n"/>
      <c r="F157" s="102" t="n"/>
      <c r="G157" s="102" t="n"/>
      <c r="H157" s="115" t="n"/>
      <c r="I157" s="102" t="n"/>
      <c r="J157" s="102" t="n"/>
      <c r="K157" s="103" t="n"/>
      <c r="L157" s="116">
        <f>IF($H157="","",TRIM(IF(COUNTIF(DMTK!$A$7:$A$250,$F157)=0,"TK Nợ sai! ","")&amp;IF(COUNTIF(DMTK!$A$7:$A$250,$G157)=0,"TK Có sai! ","")&amp;IF(N($H157)&lt;=0,"Tiền phải &gt; 0! ","")&amp;IF($B157="","Thiếu ngày! ","")&amp;IF(AND(OR(LEFT($F157,3)="131",LEFT($G157,3)="131",LEFT($F157,3)="331",LEFT($G157,3)="331"),$I157=""),"Thiếu Mã ĐT! ","")&amp;IF(AND($I157&lt;&gt;"",COUNTIF(DM_DT!$A$7:$A$306,$I157)=0),"Mã ĐT chưa khai báo! ","")))</f>
        <v/>
      </c>
      <c r="M157" s="117">
        <f>IF($H157="","",IF(AND(OR(LEFT($F157,3)="111",LEFT($F157,3)="112",LEFT($F157,3)="113"),OR(LEFT($G157,3)="111",LEFT($G157,3)="112",LEFT($G157,3)="113")),"NB",IF(OR(LEFT($F157,3)="111",LEFT($F157,3)="112",LEFT($F157,3)="113"),"THU",IF(OR(LEFT($G157,3)="111",LEFT($G157,3)="112",LEFT($G157,3)="113"),"CHI",""))))</f>
        <v/>
      </c>
      <c r="N157" s="117">
        <f>IF($M157="THU",$G157,IF($M157="CHI",$F157,""))</f>
        <v/>
      </c>
      <c r="O157" s="117">
        <f>IF(OR($M157="",$M157="NB"),"",IF($J157&lt;&gt;"",TEXT($J157,"00"),IFERROR(VLOOKUP(LEFT($N157,4),LCTT_MAP!$A$7:$C$66,IF($M157="THU",2,3),FALSE()),IFERROR(VLOOKUP(LEFT($N157,3),LCTT_MAP!$A$7:$C$66,IF($M157="THU",2,3),FALSE()),IFERROR(VLOOKUP(LEFT($N157,2),LCTT_MAP!$A$7:$C$66,IF($M157="THU",2,3),FALSE()),IFERROR(VLOOKUP(LEFT($N157,1),LCTT_MAP!$A$7:$C$66,IF($M157="THU",2,3),FALSE()),IF($M157="THU","06","07")))))))</f>
        <v/>
      </c>
      <c r="P157" s="117">
        <f>P156+IF(AND($H157&lt;&gt;"",OR(LEFT($F157,LEN(SC_TK))=SC_TK,LEFT($G157,LEN(SC_TK))=SC_TK)),1,0)</f>
        <v/>
      </c>
    </row>
    <row r="158" ht="15" customHeight="1" s="78">
      <c r="A158" s="95">
        <f>IF($H158="","",ROW()-6)</f>
        <v/>
      </c>
      <c r="B158" s="114" t="n"/>
      <c r="C158" s="102" t="n"/>
      <c r="D158" s="114" t="n"/>
      <c r="E158" s="103" t="n"/>
      <c r="F158" s="102" t="n"/>
      <c r="G158" s="102" t="n"/>
      <c r="H158" s="115" t="n"/>
      <c r="I158" s="102" t="n"/>
      <c r="J158" s="102" t="n"/>
      <c r="K158" s="103" t="n"/>
      <c r="L158" s="116">
        <f>IF($H158="","",TRIM(IF(COUNTIF(DMTK!$A$7:$A$250,$F158)=0,"TK Nợ sai! ","")&amp;IF(COUNTIF(DMTK!$A$7:$A$250,$G158)=0,"TK Có sai! ","")&amp;IF(N($H158)&lt;=0,"Tiền phải &gt; 0! ","")&amp;IF($B158="","Thiếu ngày! ","")&amp;IF(AND(OR(LEFT($F158,3)="131",LEFT($G158,3)="131",LEFT($F158,3)="331",LEFT($G158,3)="331"),$I158=""),"Thiếu Mã ĐT! ","")&amp;IF(AND($I158&lt;&gt;"",COUNTIF(DM_DT!$A$7:$A$306,$I158)=0),"Mã ĐT chưa khai báo! ","")))</f>
        <v/>
      </c>
      <c r="M158" s="117">
        <f>IF($H158="","",IF(AND(OR(LEFT($F158,3)="111",LEFT($F158,3)="112",LEFT($F158,3)="113"),OR(LEFT($G158,3)="111",LEFT($G158,3)="112",LEFT($G158,3)="113")),"NB",IF(OR(LEFT($F158,3)="111",LEFT($F158,3)="112",LEFT($F158,3)="113"),"THU",IF(OR(LEFT($G158,3)="111",LEFT($G158,3)="112",LEFT($G158,3)="113"),"CHI",""))))</f>
        <v/>
      </c>
      <c r="N158" s="117">
        <f>IF($M158="THU",$G158,IF($M158="CHI",$F158,""))</f>
        <v/>
      </c>
      <c r="O158" s="117">
        <f>IF(OR($M158="",$M158="NB"),"",IF($J158&lt;&gt;"",TEXT($J158,"00"),IFERROR(VLOOKUP(LEFT($N158,4),LCTT_MAP!$A$7:$C$66,IF($M158="THU",2,3),FALSE()),IFERROR(VLOOKUP(LEFT($N158,3),LCTT_MAP!$A$7:$C$66,IF($M158="THU",2,3),FALSE()),IFERROR(VLOOKUP(LEFT($N158,2),LCTT_MAP!$A$7:$C$66,IF($M158="THU",2,3),FALSE()),IFERROR(VLOOKUP(LEFT($N158,1),LCTT_MAP!$A$7:$C$66,IF($M158="THU",2,3),FALSE()),IF($M158="THU","06","07")))))))</f>
        <v/>
      </c>
      <c r="P158" s="117">
        <f>P157+IF(AND($H158&lt;&gt;"",OR(LEFT($F158,LEN(SC_TK))=SC_TK,LEFT($G158,LEN(SC_TK))=SC_TK)),1,0)</f>
        <v/>
      </c>
    </row>
    <row r="159" ht="15" customHeight="1" s="78">
      <c r="A159" s="95">
        <f>IF($H159="","",ROW()-6)</f>
        <v/>
      </c>
      <c r="B159" s="114" t="n"/>
      <c r="C159" s="102" t="n"/>
      <c r="D159" s="114" t="n"/>
      <c r="E159" s="103" t="n"/>
      <c r="F159" s="102" t="n"/>
      <c r="G159" s="102" t="n"/>
      <c r="H159" s="115" t="n"/>
      <c r="I159" s="102" t="n"/>
      <c r="J159" s="102" t="n"/>
      <c r="K159" s="103" t="n"/>
      <c r="L159" s="116">
        <f>IF($H159="","",TRIM(IF(COUNTIF(DMTK!$A$7:$A$250,$F159)=0,"TK Nợ sai! ","")&amp;IF(COUNTIF(DMTK!$A$7:$A$250,$G159)=0,"TK Có sai! ","")&amp;IF(N($H159)&lt;=0,"Tiền phải &gt; 0! ","")&amp;IF($B159="","Thiếu ngày! ","")&amp;IF(AND(OR(LEFT($F159,3)="131",LEFT($G159,3)="131",LEFT($F159,3)="331",LEFT($G159,3)="331"),$I159=""),"Thiếu Mã ĐT! ","")&amp;IF(AND($I159&lt;&gt;"",COUNTIF(DM_DT!$A$7:$A$306,$I159)=0),"Mã ĐT chưa khai báo! ","")))</f>
        <v/>
      </c>
      <c r="M159" s="117">
        <f>IF($H159="","",IF(AND(OR(LEFT($F159,3)="111",LEFT($F159,3)="112",LEFT($F159,3)="113"),OR(LEFT($G159,3)="111",LEFT($G159,3)="112",LEFT($G159,3)="113")),"NB",IF(OR(LEFT($F159,3)="111",LEFT($F159,3)="112",LEFT($F159,3)="113"),"THU",IF(OR(LEFT($G159,3)="111",LEFT($G159,3)="112",LEFT($G159,3)="113"),"CHI",""))))</f>
        <v/>
      </c>
      <c r="N159" s="117">
        <f>IF($M159="THU",$G159,IF($M159="CHI",$F159,""))</f>
        <v/>
      </c>
      <c r="O159" s="117">
        <f>IF(OR($M159="",$M159="NB"),"",IF($J159&lt;&gt;"",TEXT($J159,"00"),IFERROR(VLOOKUP(LEFT($N159,4),LCTT_MAP!$A$7:$C$66,IF($M159="THU",2,3),FALSE()),IFERROR(VLOOKUP(LEFT($N159,3),LCTT_MAP!$A$7:$C$66,IF($M159="THU",2,3),FALSE()),IFERROR(VLOOKUP(LEFT($N159,2),LCTT_MAP!$A$7:$C$66,IF($M159="THU",2,3),FALSE()),IFERROR(VLOOKUP(LEFT($N159,1),LCTT_MAP!$A$7:$C$66,IF($M159="THU",2,3),FALSE()),IF($M159="THU","06","07")))))))</f>
        <v/>
      </c>
      <c r="P159" s="117">
        <f>P158+IF(AND($H159&lt;&gt;"",OR(LEFT($F159,LEN(SC_TK))=SC_TK,LEFT($G159,LEN(SC_TK))=SC_TK)),1,0)</f>
        <v/>
      </c>
    </row>
    <row r="160" ht="15" customHeight="1" s="78">
      <c r="A160" s="95">
        <f>IF($H160="","",ROW()-6)</f>
        <v/>
      </c>
      <c r="B160" s="114" t="n"/>
      <c r="C160" s="102" t="n"/>
      <c r="D160" s="114" t="n"/>
      <c r="E160" s="103" t="n"/>
      <c r="F160" s="102" t="n"/>
      <c r="G160" s="102" t="n"/>
      <c r="H160" s="115" t="n"/>
      <c r="I160" s="102" t="n"/>
      <c r="J160" s="102" t="n"/>
      <c r="K160" s="103" t="n"/>
      <c r="L160" s="116">
        <f>IF($H160="","",TRIM(IF(COUNTIF(DMTK!$A$7:$A$250,$F160)=0,"TK Nợ sai! ","")&amp;IF(COUNTIF(DMTK!$A$7:$A$250,$G160)=0,"TK Có sai! ","")&amp;IF(N($H160)&lt;=0,"Tiền phải &gt; 0! ","")&amp;IF($B160="","Thiếu ngày! ","")&amp;IF(AND(OR(LEFT($F160,3)="131",LEFT($G160,3)="131",LEFT($F160,3)="331",LEFT($G160,3)="331"),$I160=""),"Thiếu Mã ĐT! ","")&amp;IF(AND($I160&lt;&gt;"",COUNTIF(DM_DT!$A$7:$A$306,$I160)=0),"Mã ĐT chưa khai báo! ","")))</f>
        <v/>
      </c>
      <c r="M160" s="117">
        <f>IF($H160="","",IF(AND(OR(LEFT($F160,3)="111",LEFT($F160,3)="112",LEFT($F160,3)="113"),OR(LEFT($G160,3)="111",LEFT($G160,3)="112",LEFT($G160,3)="113")),"NB",IF(OR(LEFT($F160,3)="111",LEFT($F160,3)="112",LEFT($F160,3)="113"),"THU",IF(OR(LEFT($G160,3)="111",LEFT($G160,3)="112",LEFT($G160,3)="113"),"CHI",""))))</f>
        <v/>
      </c>
      <c r="N160" s="117">
        <f>IF($M160="THU",$G160,IF($M160="CHI",$F160,""))</f>
        <v/>
      </c>
      <c r="O160" s="117">
        <f>IF(OR($M160="",$M160="NB"),"",IF($J160&lt;&gt;"",TEXT($J160,"00"),IFERROR(VLOOKUP(LEFT($N160,4),LCTT_MAP!$A$7:$C$66,IF($M160="THU",2,3),FALSE()),IFERROR(VLOOKUP(LEFT($N160,3),LCTT_MAP!$A$7:$C$66,IF($M160="THU",2,3),FALSE()),IFERROR(VLOOKUP(LEFT($N160,2),LCTT_MAP!$A$7:$C$66,IF($M160="THU",2,3),FALSE()),IFERROR(VLOOKUP(LEFT($N160,1),LCTT_MAP!$A$7:$C$66,IF($M160="THU",2,3),FALSE()),IF($M160="THU","06","07")))))))</f>
        <v/>
      </c>
      <c r="P160" s="117">
        <f>P159+IF(AND($H160&lt;&gt;"",OR(LEFT($F160,LEN(SC_TK))=SC_TK,LEFT($G160,LEN(SC_TK))=SC_TK)),1,0)</f>
        <v/>
      </c>
    </row>
    <row r="161" ht="15" customHeight="1" s="78">
      <c r="A161" s="95">
        <f>IF($H161="","",ROW()-6)</f>
        <v/>
      </c>
      <c r="B161" s="114" t="n"/>
      <c r="C161" s="102" t="n"/>
      <c r="D161" s="114" t="n"/>
      <c r="E161" s="103" t="n"/>
      <c r="F161" s="102" t="n"/>
      <c r="G161" s="102" t="n"/>
      <c r="H161" s="115" t="n"/>
      <c r="I161" s="102" t="n"/>
      <c r="J161" s="102" t="n"/>
      <c r="K161" s="103" t="n"/>
      <c r="L161" s="116">
        <f>IF($H161="","",TRIM(IF(COUNTIF(DMTK!$A$7:$A$250,$F161)=0,"TK Nợ sai! ","")&amp;IF(COUNTIF(DMTK!$A$7:$A$250,$G161)=0,"TK Có sai! ","")&amp;IF(N($H161)&lt;=0,"Tiền phải &gt; 0! ","")&amp;IF($B161="","Thiếu ngày! ","")&amp;IF(AND(OR(LEFT($F161,3)="131",LEFT($G161,3)="131",LEFT($F161,3)="331",LEFT($G161,3)="331"),$I161=""),"Thiếu Mã ĐT! ","")&amp;IF(AND($I161&lt;&gt;"",COUNTIF(DM_DT!$A$7:$A$306,$I161)=0),"Mã ĐT chưa khai báo! ","")))</f>
        <v/>
      </c>
      <c r="M161" s="117">
        <f>IF($H161="","",IF(AND(OR(LEFT($F161,3)="111",LEFT($F161,3)="112",LEFT($F161,3)="113"),OR(LEFT($G161,3)="111",LEFT($G161,3)="112",LEFT($G161,3)="113")),"NB",IF(OR(LEFT($F161,3)="111",LEFT($F161,3)="112",LEFT($F161,3)="113"),"THU",IF(OR(LEFT($G161,3)="111",LEFT($G161,3)="112",LEFT($G161,3)="113"),"CHI",""))))</f>
        <v/>
      </c>
      <c r="N161" s="117">
        <f>IF($M161="THU",$G161,IF($M161="CHI",$F161,""))</f>
        <v/>
      </c>
      <c r="O161" s="117">
        <f>IF(OR($M161="",$M161="NB"),"",IF($J161&lt;&gt;"",TEXT($J161,"00"),IFERROR(VLOOKUP(LEFT($N161,4),LCTT_MAP!$A$7:$C$66,IF($M161="THU",2,3),FALSE()),IFERROR(VLOOKUP(LEFT($N161,3),LCTT_MAP!$A$7:$C$66,IF($M161="THU",2,3),FALSE()),IFERROR(VLOOKUP(LEFT($N161,2),LCTT_MAP!$A$7:$C$66,IF($M161="THU",2,3),FALSE()),IFERROR(VLOOKUP(LEFT($N161,1),LCTT_MAP!$A$7:$C$66,IF($M161="THU",2,3),FALSE()),IF($M161="THU","06","07")))))))</f>
        <v/>
      </c>
      <c r="P161" s="117">
        <f>P160+IF(AND($H161&lt;&gt;"",OR(LEFT($F161,LEN(SC_TK))=SC_TK,LEFT($G161,LEN(SC_TK))=SC_TK)),1,0)</f>
        <v/>
      </c>
    </row>
    <row r="162" ht="15" customHeight="1" s="78">
      <c r="A162" s="95">
        <f>IF($H162="","",ROW()-6)</f>
        <v/>
      </c>
      <c r="B162" s="114" t="n"/>
      <c r="C162" s="102" t="n"/>
      <c r="D162" s="114" t="n"/>
      <c r="E162" s="103" t="n"/>
      <c r="F162" s="102" t="n"/>
      <c r="G162" s="102" t="n"/>
      <c r="H162" s="115" t="n"/>
      <c r="I162" s="102" t="n"/>
      <c r="J162" s="102" t="n"/>
      <c r="K162" s="103" t="n"/>
      <c r="L162" s="116">
        <f>IF($H162="","",TRIM(IF(COUNTIF(DMTK!$A$7:$A$250,$F162)=0,"TK Nợ sai! ","")&amp;IF(COUNTIF(DMTK!$A$7:$A$250,$G162)=0,"TK Có sai! ","")&amp;IF(N($H162)&lt;=0,"Tiền phải &gt; 0! ","")&amp;IF($B162="","Thiếu ngày! ","")&amp;IF(AND(OR(LEFT($F162,3)="131",LEFT($G162,3)="131",LEFT($F162,3)="331",LEFT($G162,3)="331"),$I162=""),"Thiếu Mã ĐT! ","")&amp;IF(AND($I162&lt;&gt;"",COUNTIF(DM_DT!$A$7:$A$306,$I162)=0),"Mã ĐT chưa khai báo! ","")))</f>
        <v/>
      </c>
      <c r="M162" s="117">
        <f>IF($H162="","",IF(AND(OR(LEFT($F162,3)="111",LEFT($F162,3)="112",LEFT($F162,3)="113"),OR(LEFT($G162,3)="111",LEFT($G162,3)="112",LEFT($G162,3)="113")),"NB",IF(OR(LEFT($F162,3)="111",LEFT($F162,3)="112",LEFT($F162,3)="113"),"THU",IF(OR(LEFT($G162,3)="111",LEFT($G162,3)="112",LEFT($G162,3)="113"),"CHI",""))))</f>
        <v/>
      </c>
      <c r="N162" s="117">
        <f>IF($M162="THU",$G162,IF($M162="CHI",$F162,""))</f>
        <v/>
      </c>
      <c r="O162" s="117">
        <f>IF(OR($M162="",$M162="NB"),"",IF($J162&lt;&gt;"",TEXT($J162,"00"),IFERROR(VLOOKUP(LEFT($N162,4),LCTT_MAP!$A$7:$C$66,IF($M162="THU",2,3),FALSE()),IFERROR(VLOOKUP(LEFT($N162,3),LCTT_MAP!$A$7:$C$66,IF($M162="THU",2,3),FALSE()),IFERROR(VLOOKUP(LEFT($N162,2),LCTT_MAP!$A$7:$C$66,IF($M162="THU",2,3),FALSE()),IFERROR(VLOOKUP(LEFT($N162,1),LCTT_MAP!$A$7:$C$66,IF($M162="THU",2,3),FALSE()),IF($M162="THU","06","07")))))))</f>
        <v/>
      </c>
      <c r="P162" s="117">
        <f>P161+IF(AND($H162&lt;&gt;"",OR(LEFT($F162,LEN(SC_TK))=SC_TK,LEFT($G162,LEN(SC_TK))=SC_TK)),1,0)</f>
        <v/>
      </c>
    </row>
    <row r="163" ht="15" customHeight="1" s="78">
      <c r="A163" s="95">
        <f>IF($H163="","",ROW()-6)</f>
        <v/>
      </c>
      <c r="B163" s="114" t="n"/>
      <c r="C163" s="102" t="n"/>
      <c r="D163" s="114" t="n"/>
      <c r="E163" s="103" t="n"/>
      <c r="F163" s="102" t="n"/>
      <c r="G163" s="102" t="n"/>
      <c r="H163" s="115" t="n"/>
      <c r="I163" s="102" t="n"/>
      <c r="J163" s="102" t="n"/>
      <c r="K163" s="103" t="n"/>
      <c r="L163" s="116">
        <f>IF($H163="","",TRIM(IF(COUNTIF(DMTK!$A$7:$A$250,$F163)=0,"TK Nợ sai! ","")&amp;IF(COUNTIF(DMTK!$A$7:$A$250,$G163)=0,"TK Có sai! ","")&amp;IF(N($H163)&lt;=0,"Tiền phải &gt; 0! ","")&amp;IF($B163="","Thiếu ngày! ","")&amp;IF(AND(OR(LEFT($F163,3)="131",LEFT($G163,3)="131",LEFT($F163,3)="331",LEFT($G163,3)="331"),$I163=""),"Thiếu Mã ĐT! ","")&amp;IF(AND($I163&lt;&gt;"",COUNTIF(DM_DT!$A$7:$A$306,$I163)=0),"Mã ĐT chưa khai báo! ","")))</f>
        <v/>
      </c>
      <c r="M163" s="117">
        <f>IF($H163="","",IF(AND(OR(LEFT($F163,3)="111",LEFT($F163,3)="112",LEFT($F163,3)="113"),OR(LEFT($G163,3)="111",LEFT($G163,3)="112",LEFT($G163,3)="113")),"NB",IF(OR(LEFT($F163,3)="111",LEFT($F163,3)="112",LEFT($F163,3)="113"),"THU",IF(OR(LEFT($G163,3)="111",LEFT($G163,3)="112",LEFT($G163,3)="113"),"CHI",""))))</f>
        <v/>
      </c>
      <c r="N163" s="117">
        <f>IF($M163="THU",$G163,IF($M163="CHI",$F163,""))</f>
        <v/>
      </c>
      <c r="O163" s="117">
        <f>IF(OR($M163="",$M163="NB"),"",IF($J163&lt;&gt;"",TEXT($J163,"00"),IFERROR(VLOOKUP(LEFT($N163,4),LCTT_MAP!$A$7:$C$66,IF($M163="THU",2,3),FALSE()),IFERROR(VLOOKUP(LEFT($N163,3),LCTT_MAP!$A$7:$C$66,IF($M163="THU",2,3),FALSE()),IFERROR(VLOOKUP(LEFT($N163,2),LCTT_MAP!$A$7:$C$66,IF($M163="THU",2,3),FALSE()),IFERROR(VLOOKUP(LEFT($N163,1),LCTT_MAP!$A$7:$C$66,IF($M163="THU",2,3),FALSE()),IF($M163="THU","06","07")))))))</f>
        <v/>
      </c>
      <c r="P163" s="117">
        <f>P162+IF(AND($H163&lt;&gt;"",OR(LEFT($F163,LEN(SC_TK))=SC_TK,LEFT($G163,LEN(SC_TK))=SC_TK)),1,0)</f>
        <v/>
      </c>
    </row>
    <row r="164" ht="15" customHeight="1" s="78">
      <c r="A164" s="95">
        <f>IF($H164="","",ROW()-6)</f>
        <v/>
      </c>
      <c r="B164" s="114" t="n"/>
      <c r="C164" s="102" t="n"/>
      <c r="D164" s="114" t="n"/>
      <c r="E164" s="103" t="n"/>
      <c r="F164" s="102" t="n"/>
      <c r="G164" s="102" t="n"/>
      <c r="H164" s="115" t="n"/>
      <c r="I164" s="102" t="n"/>
      <c r="J164" s="102" t="n"/>
      <c r="K164" s="103" t="n"/>
      <c r="L164" s="116">
        <f>IF($H164="","",TRIM(IF(COUNTIF(DMTK!$A$7:$A$250,$F164)=0,"TK Nợ sai! ","")&amp;IF(COUNTIF(DMTK!$A$7:$A$250,$G164)=0,"TK Có sai! ","")&amp;IF(N($H164)&lt;=0,"Tiền phải &gt; 0! ","")&amp;IF($B164="","Thiếu ngày! ","")&amp;IF(AND(OR(LEFT($F164,3)="131",LEFT($G164,3)="131",LEFT($F164,3)="331",LEFT($G164,3)="331"),$I164=""),"Thiếu Mã ĐT! ","")&amp;IF(AND($I164&lt;&gt;"",COUNTIF(DM_DT!$A$7:$A$306,$I164)=0),"Mã ĐT chưa khai báo! ","")))</f>
        <v/>
      </c>
      <c r="M164" s="117">
        <f>IF($H164="","",IF(AND(OR(LEFT($F164,3)="111",LEFT($F164,3)="112",LEFT($F164,3)="113"),OR(LEFT($G164,3)="111",LEFT($G164,3)="112",LEFT($G164,3)="113")),"NB",IF(OR(LEFT($F164,3)="111",LEFT($F164,3)="112",LEFT($F164,3)="113"),"THU",IF(OR(LEFT($G164,3)="111",LEFT($G164,3)="112",LEFT($G164,3)="113"),"CHI",""))))</f>
        <v/>
      </c>
      <c r="N164" s="117">
        <f>IF($M164="THU",$G164,IF($M164="CHI",$F164,""))</f>
        <v/>
      </c>
      <c r="O164" s="117">
        <f>IF(OR($M164="",$M164="NB"),"",IF($J164&lt;&gt;"",TEXT($J164,"00"),IFERROR(VLOOKUP(LEFT($N164,4),LCTT_MAP!$A$7:$C$66,IF($M164="THU",2,3),FALSE()),IFERROR(VLOOKUP(LEFT($N164,3),LCTT_MAP!$A$7:$C$66,IF($M164="THU",2,3),FALSE()),IFERROR(VLOOKUP(LEFT($N164,2),LCTT_MAP!$A$7:$C$66,IF($M164="THU",2,3),FALSE()),IFERROR(VLOOKUP(LEFT($N164,1),LCTT_MAP!$A$7:$C$66,IF($M164="THU",2,3),FALSE()),IF($M164="THU","06","07")))))))</f>
        <v/>
      </c>
      <c r="P164" s="117">
        <f>P163+IF(AND($H164&lt;&gt;"",OR(LEFT($F164,LEN(SC_TK))=SC_TK,LEFT($G164,LEN(SC_TK))=SC_TK)),1,0)</f>
        <v/>
      </c>
    </row>
    <row r="165" ht="15" customHeight="1" s="78">
      <c r="A165" s="95">
        <f>IF($H165="","",ROW()-6)</f>
        <v/>
      </c>
      <c r="B165" s="114" t="n"/>
      <c r="C165" s="102" t="n"/>
      <c r="D165" s="114" t="n"/>
      <c r="E165" s="103" t="n"/>
      <c r="F165" s="102" t="n"/>
      <c r="G165" s="102" t="n"/>
      <c r="H165" s="115" t="n"/>
      <c r="I165" s="102" t="n"/>
      <c r="J165" s="102" t="n"/>
      <c r="K165" s="103" t="n"/>
      <c r="L165" s="116">
        <f>IF($H165="","",TRIM(IF(COUNTIF(DMTK!$A$7:$A$250,$F165)=0,"TK Nợ sai! ","")&amp;IF(COUNTIF(DMTK!$A$7:$A$250,$G165)=0,"TK Có sai! ","")&amp;IF(N($H165)&lt;=0,"Tiền phải &gt; 0! ","")&amp;IF($B165="","Thiếu ngày! ","")&amp;IF(AND(OR(LEFT($F165,3)="131",LEFT($G165,3)="131",LEFT($F165,3)="331",LEFT($G165,3)="331"),$I165=""),"Thiếu Mã ĐT! ","")&amp;IF(AND($I165&lt;&gt;"",COUNTIF(DM_DT!$A$7:$A$306,$I165)=0),"Mã ĐT chưa khai báo! ","")))</f>
        <v/>
      </c>
      <c r="M165" s="117">
        <f>IF($H165="","",IF(AND(OR(LEFT($F165,3)="111",LEFT($F165,3)="112",LEFT($F165,3)="113"),OR(LEFT($G165,3)="111",LEFT($G165,3)="112",LEFT($G165,3)="113")),"NB",IF(OR(LEFT($F165,3)="111",LEFT($F165,3)="112",LEFT($F165,3)="113"),"THU",IF(OR(LEFT($G165,3)="111",LEFT($G165,3)="112",LEFT($G165,3)="113"),"CHI",""))))</f>
        <v/>
      </c>
      <c r="N165" s="117">
        <f>IF($M165="THU",$G165,IF($M165="CHI",$F165,""))</f>
        <v/>
      </c>
      <c r="O165" s="117">
        <f>IF(OR($M165="",$M165="NB"),"",IF($J165&lt;&gt;"",TEXT($J165,"00"),IFERROR(VLOOKUP(LEFT($N165,4),LCTT_MAP!$A$7:$C$66,IF($M165="THU",2,3),FALSE()),IFERROR(VLOOKUP(LEFT($N165,3),LCTT_MAP!$A$7:$C$66,IF($M165="THU",2,3),FALSE()),IFERROR(VLOOKUP(LEFT($N165,2),LCTT_MAP!$A$7:$C$66,IF($M165="THU",2,3),FALSE()),IFERROR(VLOOKUP(LEFT($N165,1),LCTT_MAP!$A$7:$C$66,IF($M165="THU",2,3),FALSE()),IF($M165="THU","06","07")))))))</f>
        <v/>
      </c>
      <c r="P165" s="117">
        <f>P164+IF(AND($H165&lt;&gt;"",OR(LEFT($F165,LEN(SC_TK))=SC_TK,LEFT($G165,LEN(SC_TK))=SC_TK)),1,0)</f>
        <v/>
      </c>
    </row>
    <row r="166" ht="15" customHeight="1" s="78">
      <c r="A166" s="95">
        <f>IF($H166="","",ROW()-6)</f>
        <v/>
      </c>
      <c r="B166" s="114" t="n"/>
      <c r="C166" s="102" t="n"/>
      <c r="D166" s="114" t="n"/>
      <c r="E166" s="103" t="n"/>
      <c r="F166" s="102" t="n"/>
      <c r="G166" s="102" t="n"/>
      <c r="H166" s="115" t="n"/>
      <c r="I166" s="102" t="n"/>
      <c r="J166" s="102" t="n"/>
      <c r="K166" s="103" t="n"/>
      <c r="L166" s="116">
        <f>IF($H166="","",TRIM(IF(COUNTIF(DMTK!$A$7:$A$250,$F166)=0,"TK Nợ sai! ","")&amp;IF(COUNTIF(DMTK!$A$7:$A$250,$G166)=0,"TK Có sai! ","")&amp;IF(N($H166)&lt;=0,"Tiền phải &gt; 0! ","")&amp;IF($B166="","Thiếu ngày! ","")&amp;IF(AND(OR(LEFT($F166,3)="131",LEFT($G166,3)="131",LEFT($F166,3)="331",LEFT($G166,3)="331"),$I166=""),"Thiếu Mã ĐT! ","")&amp;IF(AND($I166&lt;&gt;"",COUNTIF(DM_DT!$A$7:$A$306,$I166)=0),"Mã ĐT chưa khai báo! ","")))</f>
        <v/>
      </c>
      <c r="M166" s="117">
        <f>IF($H166="","",IF(AND(OR(LEFT($F166,3)="111",LEFT($F166,3)="112",LEFT($F166,3)="113"),OR(LEFT($G166,3)="111",LEFT($G166,3)="112",LEFT($G166,3)="113")),"NB",IF(OR(LEFT($F166,3)="111",LEFT($F166,3)="112",LEFT($F166,3)="113"),"THU",IF(OR(LEFT($G166,3)="111",LEFT($G166,3)="112",LEFT($G166,3)="113"),"CHI",""))))</f>
        <v/>
      </c>
      <c r="N166" s="117">
        <f>IF($M166="THU",$G166,IF($M166="CHI",$F166,""))</f>
        <v/>
      </c>
      <c r="O166" s="117">
        <f>IF(OR($M166="",$M166="NB"),"",IF($J166&lt;&gt;"",TEXT($J166,"00"),IFERROR(VLOOKUP(LEFT($N166,4),LCTT_MAP!$A$7:$C$66,IF($M166="THU",2,3),FALSE()),IFERROR(VLOOKUP(LEFT($N166,3),LCTT_MAP!$A$7:$C$66,IF($M166="THU",2,3),FALSE()),IFERROR(VLOOKUP(LEFT($N166,2),LCTT_MAP!$A$7:$C$66,IF($M166="THU",2,3),FALSE()),IFERROR(VLOOKUP(LEFT($N166,1),LCTT_MAP!$A$7:$C$66,IF($M166="THU",2,3),FALSE()),IF($M166="THU","06","07")))))))</f>
        <v/>
      </c>
      <c r="P166" s="117">
        <f>P165+IF(AND($H166&lt;&gt;"",OR(LEFT($F166,LEN(SC_TK))=SC_TK,LEFT($G166,LEN(SC_TK))=SC_TK)),1,0)</f>
        <v/>
      </c>
    </row>
    <row r="167" ht="15" customHeight="1" s="78">
      <c r="A167" s="95">
        <f>IF($H167="","",ROW()-6)</f>
        <v/>
      </c>
      <c r="B167" s="114" t="n"/>
      <c r="C167" s="102" t="n"/>
      <c r="D167" s="114" t="n"/>
      <c r="E167" s="103" t="n"/>
      <c r="F167" s="102" t="n"/>
      <c r="G167" s="102" t="n"/>
      <c r="H167" s="115" t="n"/>
      <c r="I167" s="102" t="n"/>
      <c r="J167" s="102" t="n"/>
      <c r="K167" s="103" t="n"/>
      <c r="L167" s="116">
        <f>IF($H167="","",TRIM(IF(COUNTIF(DMTK!$A$7:$A$250,$F167)=0,"TK Nợ sai! ","")&amp;IF(COUNTIF(DMTK!$A$7:$A$250,$G167)=0,"TK Có sai! ","")&amp;IF(N($H167)&lt;=0,"Tiền phải &gt; 0! ","")&amp;IF($B167="","Thiếu ngày! ","")&amp;IF(AND(OR(LEFT($F167,3)="131",LEFT($G167,3)="131",LEFT($F167,3)="331",LEFT($G167,3)="331"),$I167=""),"Thiếu Mã ĐT! ","")&amp;IF(AND($I167&lt;&gt;"",COUNTIF(DM_DT!$A$7:$A$306,$I167)=0),"Mã ĐT chưa khai báo! ","")))</f>
        <v/>
      </c>
      <c r="M167" s="117">
        <f>IF($H167="","",IF(AND(OR(LEFT($F167,3)="111",LEFT($F167,3)="112",LEFT($F167,3)="113"),OR(LEFT($G167,3)="111",LEFT($G167,3)="112",LEFT($G167,3)="113")),"NB",IF(OR(LEFT($F167,3)="111",LEFT($F167,3)="112",LEFT($F167,3)="113"),"THU",IF(OR(LEFT($G167,3)="111",LEFT($G167,3)="112",LEFT($G167,3)="113"),"CHI",""))))</f>
        <v/>
      </c>
      <c r="N167" s="117">
        <f>IF($M167="THU",$G167,IF($M167="CHI",$F167,""))</f>
        <v/>
      </c>
      <c r="O167" s="117">
        <f>IF(OR($M167="",$M167="NB"),"",IF($J167&lt;&gt;"",TEXT($J167,"00"),IFERROR(VLOOKUP(LEFT($N167,4),LCTT_MAP!$A$7:$C$66,IF($M167="THU",2,3),FALSE()),IFERROR(VLOOKUP(LEFT($N167,3),LCTT_MAP!$A$7:$C$66,IF($M167="THU",2,3),FALSE()),IFERROR(VLOOKUP(LEFT($N167,2),LCTT_MAP!$A$7:$C$66,IF($M167="THU",2,3),FALSE()),IFERROR(VLOOKUP(LEFT($N167,1),LCTT_MAP!$A$7:$C$66,IF($M167="THU",2,3),FALSE()),IF($M167="THU","06","07")))))))</f>
        <v/>
      </c>
      <c r="P167" s="117">
        <f>P166+IF(AND($H167&lt;&gt;"",OR(LEFT($F167,LEN(SC_TK))=SC_TK,LEFT($G167,LEN(SC_TK))=SC_TK)),1,0)</f>
        <v/>
      </c>
    </row>
    <row r="168" ht="15" customHeight="1" s="78">
      <c r="A168" s="95">
        <f>IF($H168="","",ROW()-6)</f>
        <v/>
      </c>
      <c r="B168" s="114" t="n"/>
      <c r="C168" s="102" t="n"/>
      <c r="D168" s="114" t="n"/>
      <c r="E168" s="103" t="n"/>
      <c r="F168" s="102" t="n"/>
      <c r="G168" s="102" t="n"/>
      <c r="H168" s="115" t="n"/>
      <c r="I168" s="102" t="n"/>
      <c r="J168" s="102" t="n"/>
      <c r="K168" s="103" t="n"/>
      <c r="L168" s="116">
        <f>IF($H168="","",TRIM(IF(COUNTIF(DMTK!$A$7:$A$250,$F168)=0,"TK Nợ sai! ","")&amp;IF(COUNTIF(DMTK!$A$7:$A$250,$G168)=0,"TK Có sai! ","")&amp;IF(N($H168)&lt;=0,"Tiền phải &gt; 0! ","")&amp;IF($B168="","Thiếu ngày! ","")&amp;IF(AND(OR(LEFT($F168,3)="131",LEFT($G168,3)="131",LEFT($F168,3)="331",LEFT($G168,3)="331"),$I168=""),"Thiếu Mã ĐT! ","")&amp;IF(AND($I168&lt;&gt;"",COUNTIF(DM_DT!$A$7:$A$306,$I168)=0),"Mã ĐT chưa khai báo! ","")))</f>
        <v/>
      </c>
      <c r="M168" s="117">
        <f>IF($H168="","",IF(AND(OR(LEFT($F168,3)="111",LEFT($F168,3)="112",LEFT($F168,3)="113"),OR(LEFT($G168,3)="111",LEFT($G168,3)="112",LEFT($G168,3)="113")),"NB",IF(OR(LEFT($F168,3)="111",LEFT($F168,3)="112",LEFT($F168,3)="113"),"THU",IF(OR(LEFT($G168,3)="111",LEFT($G168,3)="112",LEFT($G168,3)="113"),"CHI",""))))</f>
        <v/>
      </c>
      <c r="N168" s="117">
        <f>IF($M168="THU",$G168,IF($M168="CHI",$F168,""))</f>
        <v/>
      </c>
      <c r="O168" s="117">
        <f>IF(OR($M168="",$M168="NB"),"",IF($J168&lt;&gt;"",TEXT($J168,"00"),IFERROR(VLOOKUP(LEFT($N168,4),LCTT_MAP!$A$7:$C$66,IF($M168="THU",2,3),FALSE()),IFERROR(VLOOKUP(LEFT($N168,3),LCTT_MAP!$A$7:$C$66,IF($M168="THU",2,3),FALSE()),IFERROR(VLOOKUP(LEFT($N168,2),LCTT_MAP!$A$7:$C$66,IF($M168="THU",2,3),FALSE()),IFERROR(VLOOKUP(LEFT($N168,1),LCTT_MAP!$A$7:$C$66,IF($M168="THU",2,3),FALSE()),IF($M168="THU","06","07")))))))</f>
        <v/>
      </c>
      <c r="P168" s="117">
        <f>P167+IF(AND($H168&lt;&gt;"",OR(LEFT($F168,LEN(SC_TK))=SC_TK,LEFT($G168,LEN(SC_TK))=SC_TK)),1,0)</f>
        <v/>
      </c>
    </row>
    <row r="169" ht="15" customHeight="1" s="78">
      <c r="A169" s="95">
        <f>IF($H169="","",ROW()-6)</f>
        <v/>
      </c>
      <c r="B169" s="114" t="n"/>
      <c r="C169" s="102" t="n"/>
      <c r="D169" s="114" t="n"/>
      <c r="E169" s="103" t="n"/>
      <c r="F169" s="102" t="n"/>
      <c r="G169" s="102" t="n"/>
      <c r="H169" s="115" t="n"/>
      <c r="I169" s="102" t="n"/>
      <c r="J169" s="102" t="n"/>
      <c r="K169" s="103" t="n"/>
      <c r="L169" s="116">
        <f>IF($H169="","",TRIM(IF(COUNTIF(DMTK!$A$7:$A$250,$F169)=0,"TK Nợ sai! ","")&amp;IF(COUNTIF(DMTK!$A$7:$A$250,$G169)=0,"TK Có sai! ","")&amp;IF(N($H169)&lt;=0,"Tiền phải &gt; 0! ","")&amp;IF($B169="","Thiếu ngày! ","")&amp;IF(AND(OR(LEFT($F169,3)="131",LEFT($G169,3)="131",LEFT($F169,3)="331",LEFT($G169,3)="331"),$I169=""),"Thiếu Mã ĐT! ","")&amp;IF(AND($I169&lt;&gt;"",COUNTIF(DM_DT!$A$7:$A$306,$I169)=0),"Mã ĐT chưa khai báo! ","")))</f>
        <v/>
      </c>
      <c r="M169" s="117">
        <f>IF($H169="","",IF(AND(OR(LEFT($F169,3)="111",LEFT($F169,3)="112",LEFT($F169,3)="113"),OR(LEFT($G169,3)="111",LEFT($G169,3)="112",LEFT($G169,3)="113")),"NB",IF(OR(LEFT($F169,3)="111",LEFT($F169,3)="112",LEFT($F169,3)="113"),"THU",IF(OR(LEFT($G169,3)="111",LEFT($G169,3)="112",LEFT($G169,3)="113"),"CHI",""))))</f>
        <v/>
      </c>
      <c r="N169" s="117">
        <f>IF($M169="THU",$G169,IF($M169="CHI",$F169,""))</f>
        <v/>
      </c>
      <c r="O169" s="117">
        <f>IF(OR($M169="",$M169="NB"),"",IF($J169&lt;&gt;"",TEXT($J169,"00"),IFERROR(VLOOKUP(LEFT($N169,4),LCTT_MAP!$A$7:$C$66,IF($M169="THU",2,3),FALSE()),IFERROR(VLOOKUP(LEFT($N169,3),LCTT_MAP!$A$7:$C$66,IF($M169="THU",2,3),FALSE()),IFERROR(VLOOKUP(LEFT($N169,2),LCTT_MAP!$A$7:$C$66,IF($M169="THU",2,3),FALSE()),IFERROR(VLOOKUP(LEFT($N169,1),LCTT_MAP!$A$7:$C$66,IF($M169="THU",2,3),FALSE()),IF($M169="THU","06","07")))))))</f>
        <v/>
      </c>
      <c r="P169" s="117">
        <f>P168+IF(AND($H169&lt;&gt;"",OR(LEFT($F169,LEN(SC_TK))=SC_TK,LEFT($G169,LEN(SC_TK))=SC_TK)),1,0)</f>
        <v/>
      </c>
    </row>
    <row r="170" ht="15" customHeight="1" s="78">
      <c r="A170" s="95">
        <f>IF($H170="","",ROW()-6)</f>
        <v/>
      </c>
      <c r="B170" s="114" t="n"/>
      <c r="C170" s="102" t="n"/>
      <c r="D170" s="114" t="n"/>
      <c r="E170" s="103" t="n"/>
      <c r="F170" s="102" t="n"/>
      <c r="G170" s="102" t="n"/>
      <c r="H170" s="115" t="n"/>
      <c r="I170" s="102" t="n"/>
      <c r="J170" s="102" t="n"/>
      <c r="K170" s="103" t="n"/>
      <c r="L170" s="116">
        <f>IF($H170="","",TRIM(IF(COUNTIF(DMTK!$A$7:$A$250,$F170)=0,"TK Nợ sai! ","")&amp;IF(COUNTIF(DMTK!$A$7:$A$250,$G170)=0,"TK Có sai! ","")&amp;IF(N($H170)&lt;=0,"Tiền phải &gt; 0! ","")&amp;IF($B170="","Thiếu ngày! ","")&amp;IF(AND(OR(LEFT($F170,3)="131",LEFT($G170,3)="131",LEFT($F170,3)="331",LEFT($G170,3)="331"),$I170=""),"Thiếu Mã ĐT! ","")&amp;IF(AND($I170&lt;&gt;"",COUNTIF(DM_DT!$A$7:$A$306,$I170)=0),"Mã ĐT chưa khai báo! ","")))</f>
        <v/>
      </c>
      <c r="M170" s="117">
        <f>IF($H170="","",IF(AND(OR(LEFT($F170,3)="111",LEFT($F170,3)="112",LEFT($F170,3)="113"),OR(LEFT($G170,3)="111",LEFT($G170,3)="112",LEFT($G170,3)="113")),"NB",IF(OR(LEFT($F170,3)="111",LEFT($F170,3)="112",LEFT($F170,3)="113"),"THU",IF(OR(LEFT($G170,3)="111",LEFT($G170,3)="112",LEFT($G170,3)="113"),"CHI",""))))</f>
        <v/>
      </c>
      <c r="N170" s="117">
        <f>IF($M170="THU",$G170,IF($M170="CHI",$F170,""))</f>
        <v/>
      </c>
      <c r="O170" s="117">
        <f>IF(OR($M170="",$M170="NB"),"",IF($J170&lt;&gt;"",TEXT($J170,"00"),IFERROR(VLOOKUP(LEFT($N170,4),LCTT_MAP!$A$7:$C$66,IF($M170="THU",2,3),FALSE()),IFERROR(VLOOKUP(LEFT($N170,3),LCTT_MAP!$A$7:$C$66,IF($M170="THU",2,3),FALSE()),IFERROR(VLOOKUP(LEFT($N170,2),LCTT_MAP!$A$7:$C$66,IF($M170="THU",2,3),FALSE()),IFERROR(VLOOKUP(LEFT($N170,1),LCTT_MAP!$A$7:$C$66,IF($M170="THU",2,3),FALSE()),IF($M170="THU","06","07")))))))</f>
        <v/>
      </c>
      <c r="P170" s="117">
        <f>P169+IF(AND($H170&lt;&gt;"",OR(LEFT($F170,LEN(SC_TK))=SC_TK,LEFT($G170,LEN(SC_TK))=SC_TK)),1,0)</f>
        <v/>
      </c>
    </row>
    <row r="171" ht="15" customHeight="1" s="78">
      <c r="A171" s="95">
        <f>IF($H171="","",ROW()-6)</f>
        <v/>
      </c>
      <c r="B171" s="114" t="n"/>
      <c r="C171" s="102" t="n"/>
      <c r="D171" s="114" t="n"/>
      <c r="E171" s="103" t="n"/>
      <c r="F171" s="102" t="n"/>
      <c r="G171" s="102" t="n"/>
      <c r="H171" s="115" t="n"/>
      <c r="I171" s="102" t="n"/>
      <c r="J171" s="102" t="n"/>
      <c r="K171" s="103" t="n"/>
      <c r="L171" s="116">
        <f>IF($H171="","",TRIM(IF(COUNTIF(DMTK!$A$7:$A$250,$F171)=0,"TK Nợ sai! ","")&amp;IF(COUNTIF(DMTK!$A$7:$A$250,$G171)=0,"TK Có sai! ","")&amp;IF(N($H171)&lt;=0,"Tiền phải &gt; 0! ","")&amp;IF($B171="","Thiếu ngày! ","")&amp;IF(AND(OR(LEFT($F171,3)="131",LEFT($G171,3)="131",LEFT($F171,3)="331",LEFT($G171,3)="331"),$I171=""),"Thiếu Mã ĐT! ","")&amp;IF(AND($I171&lt;&gt;"",COUNTIF(DM_DT!$A$7:$A$306,$I171)=0),"Mã ĐT chưa khai báo! ","")))</f>
        <v/>
      </c>
      <c r="M171" s="117">
        <f>IF($H171="","",IF(AND(OR(LEFT($F171,3)="111",LEFT($F171,3)="112",LEFT($F171,3)="113"),OR(LEFT($G171,3)="111",LEFT($G171,3)="112",LEFT($G171,3)="113")),"NB",IF(OR(LEFT($F171,3)="111",LEFT($F171,3)="112",LEFT($F171,3)="113"),"THU",IF(OR(LEFT($G171,3)="111",LEFT($G171,3)="112",LEFT($G171,3)="113"),"CHI",""))))</f>
        <v/>
      </c>
      <c r="N171" s="117">
        <f>IF($M171="THU",$G171,IF($M171="CHI",$F171,""))</f>
        <v/>
      </c>
      <c r="O171" s="117">
        <f>IF(OR($M171="",$M171="NB"),"",IF($J171&lt;&gt;"",TEXT($J171,"00"),IFERROR(VLOOKUP(LEFT($N171,4),LCTT_MAP!$A$7:$C$66,IF($M171="THU",2,3),FALSE()),IFERROR(VLOOKUP(LEFT($N171,3),LCTT_MAP!$A$7:$C$66,IF($M171="THU",2,3),FALSE()),IFERROR(VLOOKUP(LEFT($N171,2),LCTT_MAP!$A$7:$C$66,IF($M171="THU",2,3),FALSE()),IFERROR(VLOOKUP(LEFT($N171,1),LCTT_MAP!$A$7:$C$66,IF($M171="THU",2,3),FALSE()),IF($M171="THU","06","07")))))))</f>
        <v/>
      </c>
      <c r="P171" s="117">
        <f>P170+IF(AND($H171&lt;&gt;"",OR(LEFT($F171,LEN(SC_TK))=SC_TK,LEFT($G171,LEN(SC_TK))=SC_TK)),1,0)</f>
        <v/>
      </c>
    </row>
    <row r="172" ht="15" customHeight="1" s="78">
      <c r="A172" s="95">
        <f>IF($H172="","",ROW()-6)</f>
        <v/>
      </c>
      <c r="B172" s="114" t="n"/>
      <c r="C172" s="102" t="n"/>
      <c r="D172" s="114" t="n"/>
      <c r="E172" s="103" t="n"/>
      <c r="F172" s="102" t="n"/>
      <c r="G172" s="102" t="n"/>
      <c r="H172" s="115" t="n"/>
      <c r="I172" s="102" t="n"/>
      <c r="J172" s="102" t="n"/>
      <c r="K172" s="103" t="n"/>
      <c r="L172" s="116">
        <f>IF($H172="","",TRIM(IF(COUNTIF(DMTK!$A$7:$A$250,$F172)=0,"TK Nợ sai! ","")&amp;IF(COUNTIF(DMTK!$A$7:$A$250,$G172)=0,"TK Có sai! ","")&amp;IF(N($H172)&lt;=0,"Tiền phải &gt; 0! ","")&amp;IF($B172="","Thiếu ngày! ","")&amp;IF(AND(OR(LEFT($F172,3)="131",LEFT($G172,3)="131",LEFT($F172,3)="331",LEFT($G172,3)="331"),$I172=""),"Thiếu Mã ĐT! ","")&amp;IF(AND($I172&lt;&gt;"",COUNTIF(DM_DT!$A$7:$A$306,$I172)=0),"Mã ĐT chưa khai báo! ","")))</f>
        <v/>
      </c>
      <c r="M172" s="117">
        <f>IF($H172="","",IF(AND(OR(LEFT($F172,3)="111",LEFT($F172,3)="112",LEFT($F172,3)="113"),OR(LEFT($G172,3)="111",LEFT($G172,3)="112",LEFT($G172,3)="113")),"NB",IF(OR(LEFT($F172,3)="111",LEFT($F172,3)="112",LEFT($F172,3)="113"),"THU",IF(OR(LEFT($G172,3)="111",LEFT($G172,3)="112",LEFT($G172,3)="113"),"CHI",""))))</f>
        <v/>
      </c>
      <c r="N172" s="117">
        <f>IF($M172="THU",$G172,IF($M172="CHI",$F172,""))</f>
        <v/>
      </c>
      <c r="O172" s="117">
        <f>IF(OR($M172="",$M172="NB"),"",IF($J172&lt;&gt;"",TEXT($J172,"00"),IFERROR(VLOOKUP(LEFT($N172,4),LCTT_MAP!$A$7:$C$66,IF($M172="THU",2,3),FALSE()),IFERROR(VLOOKUP(LEFT($N172,3),LCTT_MAP!$A$7:$C$66,IF($M172="THU",2,3),FALSE()),IFERROR(VLOOKUP(LEFT($N172,2),LCTT_MAP!$A$7:$C$66,IF($M172="THU",2,3),FALSE()),IFERROR(VLOOKUP(LEFT($N172,1),LCTT_MAP!$A$7:$C$66,IF($M172="THU",2,3),FALSE()),IF($M172="THU","06","07")))))))</f>
        <v/>
      </c>
      <c r="P172" s="117">
        <f>P171+IF(AND($H172&lt;&gt;"",OR(LEFT($F172,LEN(SC_TK))=SC_TK,LEFT($G172,LEN(SC_TK))=SC_TK)),1,0)</f>
        <v/>
      </c>
    </row>
    <row r="173" ht="15" customHeight="1" s="78">
      <c r="A173" s="95">
        <f>IF($H173="","",ROW()-6)</f>
        <v/>
      </c>
      <c r="B173" s="114" t="n"/>
      <c r="C173" s="102" t="n"/>
      <c r="D173" s="114" t="n"/>
      <c r="E173" s="103" t="n"/>
      <c r="F173" s="102" t="n"/>
      <c r="G173" s="102" t="n"/>
      <c r="H173" s="115" t="n"/>
      <c r="I173" s="102" t="n"/>
      <c r="J173" s="102" t="n"/>
      <c r="K173" s="103" t="n"/>
      <c r="L173" s="116">
        <f>IF($H173="","",TRIM(IF(COUNTIF(DMTK!$A$7:$A$250,$F173)=0,"TK Nợ sai! ","")&amp;IF(COUNTIF(DMTK!$A$7:$A$250,$G173)=0,"TK Có sai! ","")&amp;IF(N($H173)&lt;=0,"Tiền phải &gt; 0! ","")&amp;IF($B173="","Thiếu ngày! ","")&amp;IF(AND(OR(LEFT($F173,3)="131",LEFT($G173,3)="131",LEFT($F173,3)="331",LEFT($G173,3)="331"),$I173=""),"Thiếu Mã ĐT! ","")&amp;IF(AND($I173&lt;&gt;"",COUNTIF(DM_DT!$A$7:$A$306,$I173)=0),"Mã ĐT chưa khai báo! ","")))</f>
        <v/>
      </c>
      <c r="M173" s="117">
        <f>IF($H173="","",IF(AND(OR(LEFT($F173,3)="111",LEFT($F173,3)="112",LEFT($F173,3)="113"),OR(LEFT($G173,3)="111",LEFT($G173,3)="112",LEFT($G173,3)="113")),"NB",IF(OR(LEFT($F173,3)="111",LEFT($F173,3)="112",LEFT($F173,3)="113"),"THU",IF(OR(LEFT($G173,3)="111",LEFT($G173,3)="112",LEFT($G173,3)="113"),"CHI",""))))</f>
        <v/>
      </c>
      <c r="N173" s="117">
        <f>IF($M173="THU",$G173,IF($M173="CHI",$F173,""))</f>
        <v/>
      </c>
      <c r="O173" s="117">
        <f>IF(OR($M173="",$M173="NB"),"",IF($J173&lt;&gt;"",TEXT($J173,"00"),IFERROR(VLOOKUP(LEFT($N173,4),LCTT_MAP!$A$7:$C$66,IF($M173="THU",2,3),FALSE()),IFERROR(VLOOKUP(LEFT($N173,3),LCTT_MAP!$A$7:$C$66,IF($M173="THU",2,3),FALSE()),IFERROR(VLOOKUP(LEFT($N173,2),LCTT_MAP!$A$7:$C$66,IF($M173="THU",2,3),FALSE()),IFERROR(VLOOKUP(LEFT($N173,1),LCTT_MAP!$A$7:$C$66,IF($M173="THU",2,3),FALSE()),IF($M173="THU","06","07")))))))</f>
        <v/>
      </c>
      <c r="P173" s="117">
        <f>P172+IF(AND($H173&lt;&gt;"",OR(LEFT($F173,LEN(SC_TK))=SC_TK,LEFT($G173,LEN(SC_TK))=SC_TK)),1,0)</f>
        <v/>
      </c>
    </row>
    <row r="174" ht="15" customHeight="1" s="78">
      <c r="A174" s="95">
        <f>IF($H174="","",ROW()-6)</f>
        <v/>
      </c>
      <c r="B174" s="114" t="n"/>
      <c r="C174" s="102" t="n"/>
      <c r="D174" s="114" t="n"/>
      <c r="E174" s="103" t="n"/>
      <c r="F174" s="102" t="n"/>
      <c r="G174" s="102" t="n"/>
      <c r="H174" s="115" t="n"/>
      <c r="I174" s="102" t="n"/>
      <c r="J174" s="102" t="n"/>
      <c r="K174" s="103" t="n"/>
      <c r="L174" s="116">
        <f>IF($H174="","",TRIM(IF(COUNTIF(DMTK!$A$7:$A$250,$F174)=0,"TK Nợ sai! ","")&amp;IF(COUNTIF(DMTK!$A$7:$A$250,$G174)=0,"TK Có sai! ","")&amp;IF(N($H174)&lt;=0,"Tiền phải &gt; 0! ","")&amp;IF($B174="","Thiếu ngày! ","")&amp;IF(AND(OR(LEFT($F174,3)="131",LEFT($G174,3)="131",LEFT($F174,3)="331",LEFT($G174,3)="331"),$I174=""),"Thiếu Mã ĐT! ","")&amp;IF(AND($I174&lt;&gt;"",COUNTIF(DM_DT!$A$7:$A$306,$I174)=0),"Mã ĐT chưa khai báo! ","")))</f>
        <v/>
      </c>
      <c r="M174" s="117">
        <f>IF($H174="","",IF(AND(OR(LEFT($F174,3)="111",LEFT($F174,3)="112",LEFT($F174,3)="113"),OR(LEFT($G174,3)="111",LEFT($G174,3)="112",LEFT($G174,3)="113")),"NB",IF(OR(LEFT($F174,3)="111",LEFT($F174,3)="112",LEFT($F174,3)="113"),"THU",IF(OR(LEFT($G174,3)="111",LEFT($G174,3)="112",LEFT($G174,3)="113"),"CHI",""))))</f>
        <v/>
      </c>
      <c r="N174" s="117">
        <f>IF($M174="THU",$G174,IF($M174="CHI",$F174,""))</f>
        <v/>
      </c>
      <c r="O174" s="117">
        <f>IF(OR($M174="",$M174="NB"),"",IF($J174&lt;&gt;"",TEXT($J174,"00"),IFERROR(VLOOKUP(LEFT($N174,4),LCTT_MAP!$A$7:$C$66,IF($M174="THU",2,3),FALSE()),IFERROR(VLOOKUP(LEFT($N174,3),LCTT_MAP!$A$7:$C$66,IF($M174="THU",2,3),FALSE()),IFERROR(VLOOKUP(LEFT($N174,2),LCTT_MAP!$A$7:$C$66,IF($M174="THU",2,3),FALSE()),IFERROR(VLOOKUP(LEFT($N174,1),LCTT_MAP!$A$7:$C$66,IF($M174="THU",2,3),FALSE()),IF($M174="THU","06","07")))))))</f>
        <v/>
      </c>
      <c r="P174" s="117">
        <f>P173+IF(AND($H174&lt;&gt;"",OR(LEFT($F174,LEN(SC_TK))=SC_TK,LEFT($G174,LEN(SC_TK))=SC_TK)),1,0)</f>
        <v/>
      </c>
    </row>
    <row r="175" ht="15" customHeight="1" s="78">
      <c r="A175" s="95">
        <f>IF($H175="","",ROW()-6)</f>
        <v/>
      </c>
      <c r="B175" s="114" t="n"/>
      <c r="C175" s="102" t="n"/>
      <c r="D175" s="114" t="n"/>
      <c r="E175" s="103" t="n"/>
      <c r="F175" s="102" t="n"/>
      <c r="G175" s="102" t="n"/>
      <c r="H175" s="115" t="n"/>
      <c r="I175" s="102" t="n"/>
      <c r="J175" s="102" t="n"/>
      <c r="K175" s="103" t="n"/>
      <c r="L175" s="116">
        <f>IF($H175="","",TRIM(IF(COUNTIF(DMTK!$A$7:$A$250,$F175)=0,"TK Nợ sai! ","")&amp;IF(COUNTIF(DMTK!$A$7:$A$250,$G175)=0,"TK Có sai! ","")&amp;IF(N($H175)&lt;=0,"Tiền phải &gt; 0! ","")&amp;IF($B175="","Thiếu ngày! ","")&amp;IF(AND(OR(LEFT($F175,3)="131",LEFT($G175,3)="131",LEFT($F175,3)="331",LEFT($G175,3)="331"),$I175=""),"Thiếu Mã ĐT! ","")&amp;IF(AND($I175&lt;&gt;"",COUNTIF(DM_DT!$A$7:$A$306,$I175)=0),"Mã ĐT chưa khai báo! ","")))</f>
        <v/>
      </c>
      <c r="M175" s="117">
        <f>IF($H175="","",IF(AND(OR(LEFT($F175,3)="111",LEFT($F175,3)="112",LEFT($F175,3)="113"),OR(LEFT($G175,3)="111",LEFT($G175,3)="112",LEFT($G175,3)="113")),"NB",IF(OR(LEFT($F175,3)="111",LEFT($F175,3)="112",LEFT($F175,3)="113"),"THU",IF(OR(LEFT($G175,3)="111",LEFT($G175,3)="112",LEFT($G175,3)="113"),"CHI",""))))</f>
        <v/>
      </c>
      <c r="N175" s="117">
        <f>IF($M175="THU",$G175,IF($M175="CHI",$F175,""))</f>
        <v/>
      </c>
      <c r="O175" s="117">
        <f>IF(OR($M175="",$M175="NB"),"",IF($J175&lt;&gt;"",TEXT($J175,"00"),IFERROR(VLOOKUP(LEFT($N175,4),LCTT_MAP!$A$7:$C$66,IF($M175="THU",2,3),FALSE()),IFERROR(VLOOKUP(LEFT($N175,3),LCTT_MAP!$A$7:$C$66,IF($M175="THU",2,3),FALSE()),IFERROR(VLOOKUP(LEFT($N175,2),LCTT_MAP!$A$7:$C$66,IF($M175="THU",2,3),FALSE()),IFERROR(VLOOKUP(LEFT($N175,1),LCTT_MAP!$A$7:$C$66,IF($M175="THU",2,3),FALSE()),IF($M175="THU","06","07")))))))</f>
        <v/>
      </c>
      <c r="P175" s="117">
        <f>P174+IF(AND($H175&lt;&gt;"",OR(LEFT($F175,LEN(SC_TK))=SC_TK,LEFT($G175,LEN(SC_TK))=SC_TK)),1,0)</f>
        <v/>
      </c>
    </row>
    <row r="176" ht="15" customHeight="1" s="78">
      <c r="A176" s="95">
        <f>IF($H176="","",ROW()-6)</f>
        <v/>
      </c>
      <c r="B176" s="114" t="n"/>
      <c r="C176" s="102" t="n"/>
      <c r="D176" s="114" t="n"/>
      <c r="E176" s="103" t="n"/>
      <c r="F176" s="102" t="n"/>
      <c r="G176" s="102" t="n"/>
      <c r="H176" s="115" t="n"/>
      <c r="I176" s="102" t="n"/>
      <c r="J176" s="102" t="n"/>
      <c r="K176" s="103" t="n"/>
      <c r="L176" s="116">
        <f>IF($H176="","",TRIM(IF(COUNTIF(DMTK!$A$7:$A$250,$F176)=0,"TK Nợ sai! ","")&amp;IF(COUNTIF(DMTK!$A$7:$A$250,$G176)=0,"TK Có sai! ","")&amp;IF(N($H176)&lt;=0,"Tiền phải &gt; 0! ","")&amp;IF($B176="","Thiếu ngày! ","")&amp;IF(AND(OR(LEFT($F176,3)="131",LEFT($G176,3)="131",LEFT($F176,3)="331",LEFT($G176,3)="331"),$I176=""),"Thiếu Mã ĐT! ","")&amp;IF(AND($I176&lt;&gt;"",COUNTIF(DM_DT!$A$7:$A$306,$I176)=0),"Mã ĐT chưa khai báo! ","")))</f>
        <v/>
      </c>
      <c r="M176" s="117">
        <f>IF($H176="","",IF(AND(OR(LEFT($F176,3)="111",LEFT($F176,3)="112",LEFT($F176,3)="113"),OR(LEFT($G176,3)="111",LEFT($G176,3)="112",LEFT($G176,3)="113")),"NB",IF(OR(LEFT($F176,3)="111",LEFT($F176,3)="112",LEFT($F176,3)="113"),"THU",IF(OR(LEFT($G176,3)="111",LEFT($G176,3)="112",LEFT($G176,3)="113"),"CHI",""))))</f>
        <v/>
      </c>
      <c r="N176" s="117">
        <f>IF($M176="THU",$G176,IF($M176="CHI",$F176,""))</f>
        <v/>
      </c>
      <c r="O176" s="117">
        <f>IF(OR($M176="",$M176="NB"),"",IF($J176&lt;&gt;"",TEXT($J176,"00"),IFERROR(VLOOKUP(LEFT($N176,4),LCTT_MAP!$A$7:$C$66,IF($M176="THU",2,3),FALSE()),IFERROR(VLOOKUP(LEFT($N176,3),LCTT_MAP!$A$7:$C$66,IF($M176="THU",2,3),FALSE()),IFERROR(VLOOKUP(LEFT($N176,2),LCTT_MAP!$A$7:$C$66,IF($M176="THU",2,3),FALSE()),IFERROR(VLOOKUP(LEFT($N176,1),LCTT_MAP!$A$7:$C$66,IF($M176="THU",2,3),FALSE()),IF($M176="THU","06","07")))))))</f>
        <v/>
      </c>
      <c r="P176" s="117">
        <f>P175+IF(AND($H176&lt;&gt;"",OR(LEFT($F176,LEN(SC_TK))=SC_TK,LEFT($G176,LEN(SC_TK))=SC_TK)),1,0)</f>
        <v/>
      </c>
    </row>
    <row r="177" ht="15" customHeight="1" s="78">
      <c r="A177" s="95">
        <f>IF($H177="","",ROW()-6)</f>
        <v/>
      </c>
      <c r="B177" s="114" t="n"/>
      <c r="C177" s="102" t="n"/>
      <c r="D177" s="114" t="n"/>
      <c r="E177" s="103" t="n"/>
      <c r="F177" s="102" t="n"/>
      <c r="G177" s="102" t="n"/>
      <c r="H177" s="115" t="n"/>
      <c r="I177" s="102" t="n"/>
      <c r="J177" s="102" t="n"/>
      <c r="K177" s="103" t="n"/>
      <c r="L177" s="116">
        <f>IF($H177="","",TRIM(IF(COUNTIF(DMTK!$A$7:$A$250,$F177)=0,"TK Nợ sai! ","")&amp;IF(COUNTIF(DMTK!$A$7:$A$250,$G177)=0,"TK Có sai! ","")&amp;IF(N($H177)&lt;=0,"Tiền phải &gt; 0! ","")&amp;IF($B177="","Thiếu ngày! ","")&amp;IF(AND(OR(LEFT($F177,3)="131",LEFT($G177,3)="131",LEFT($F177,3)="331",LEFT($G177,3)="331"),$I177=""),"Thiếu Mã ĐT! ","")&amp;IF(AND($I177&lt;&gt;"",COUNTIF(DM_DT!$A$7:$A$306,$I177)=0),"Mã ĐT chưa khai báo! ","")))</f>
        <v/>
      </c>
      <c r="M177" s="117">
        <f>IF($H177="","",IF(AND(OR(LEFT($F177,3)="111",LEFT($F177,3)="112",LEFT($F177,3)="113"),OR(LEFT($G177,3)="111",LEFT($G177,3)="112",LEFT($G177,3)="113")),"NB",IF(OR(LEFT($F177,3)="111",LEFT($F177,3)="112",LEFT($F177,3)="113"),"THU",IF(OR(LEFT($G177,3)="111",LEFT($G177,3)="112",LEFT($G177,3)="113"),"CHI",""))))</f>
        <v/>
      </c>
      <c r="N177" s="117">
        <f>IF($M177="THU",$G177,IF($M177="CHI",$F177,""))</f>
        <v/>
      </c>
      <c r="O177" s="117">
        <f>IF(OR($M177="",$M177="NB"),"",IF($J177&lt;&gt;"",TEXT($J177,"00"),IFERROR(VLOOKUP(LEFT($N177,4),LCTT_MAP!$A$7:$C$66,IF($M177="THU",2,3),FALSE()),IFERROR(VLOOKUP(LEFT($N177,3),LCTT_MAP!$A$7:$C$66,IF($M177="THU",2,3),FALSE()),IFERROR(VLOOKUP(LEFT($N177,2),LCTT_MAP!$A$7:$C$66,IF($M177="THU",2,3),FALSE()),IFERROR(VLOOKUP(LEFT($N177,1),LCTT_MAP!$A$7:$C$66,IF($M177="THU",2,3),FALSE()),IF($M177="THU","06","07")))))))</f>
        <v/>
      </c>
      <c r="P177" s="117">
        <f>P176+IF(AND($H177&lt;&gt;"",OR(LEFT($F177,LEN(SC_TK))=SC_TK,LEFT($G177,LEN(SC_TK))=SC_TK)),1,0)</f>
        <v/>
      </c>
    </row>
    <row r="178" ht="15" customHeight="1" s="78">
      <c r="A178" s="95">
        <f>IF($H178="","",ROW()-6)</f>
        <v/>
      </c>
      <c r="B178" s="114" t="n"/>
      <c r="C178" s="102" t="n"/>
      <c r="D178" s="114" t="n"/>
      <c r="E178" s="103" t="n"/>
      <c r="F178" s="102" t="n"/>
      <c r="G178" s="102" t="n"/>
      <c r="H178" s="115" t="n"/>
      <c r="I178" s="102" t="n"/>
      <c r="J178" s="102" t="n"/>
      <c r="K178" s="103" t="n"/>
      <c r="L178" s="116">
        <f>IF($H178="","",TRIM(IF(COUNTIF(DMTK!$A$7:$A$250,$F178)=0,"TK Nợ sai! ","")&amp;IF(COUNTIF(DMTK!$A$7:$A$250,$G178)=0,"TK Có sai! ","")&amp;IF(N($H178)&lt;=0,"Tiền phải &gt; 0! ","")&amp;IF($B178="","Thiếu ngày! ","")&amp;IF(AND(OR(LEFT($F178,3)="131",LEFT($G178,3)="131",LEFT($F178,3)="331",LEFT($G178,3)="331"),$I178=""),"Thiếu Mã ĐT! ","")&amp;IF(AND($I178&lt;&gt;"",COUNTIF(DM_DT!$A$7:$A$306,$I178)=0),"Mã ĐT chưa khai báo! ","")))</f>
        <v/>
      </c>
      <c r="M178" s="117">
        <f>IF($H178="","",IF(AND(OR(LEFT($F178,3)="111",LEFT($F178,3)="112",LEFT($F178,3)="113"),OR(LEFT($G178,3)="111",LEFT($G178,3)="112",LEFT($G178,3)="113")),"NB",IF(OR(LEFT($F178,3)="111",LEFT($F178,3)="112",LEFT($F178,3)="113"),"THU",IF(OR(LEFT($G178,3)="111",LEFT($G178,3)="112",LEFT($G178,3)="113"),"CHI",""))))</f>
        <v/>
      </c>
      <c r="N178" s="117">
        <f>IF($M178="THU",$G178,IF($M178="CHI",$F178,""))</f>
        <v/>
      </c>
      <c r="O178" s="117">
        <f>IF(OR($M178="",$M178="NB"),"",IF($J178&lt;&gt;"",TEXT($J178,"00"),IFERROR(VLOOKUP(LEFT($N178,4),LCTT_MAP!$A$7:$C$66,IF($M178="THU",2,3),FALSE()),IFERROR(VLOOKUP(LEFT($N178,3),LCTT_MAP!$A$7:$C$66,IF($M178="THU",2,3),FALSE()),IFERROR(VLOOKUP(LEFT($N178,2),LCTT_MAP!$A$7:$C$66,IF($M178="THU",2,3),FALSE()),IFERROR(VLOOKUP(LEFT($N178,1),LCTT_MAP!$A$7:$C$66,IF($M178="THU",2,3),FALSE()),IF($M178="THU","06","07")))))))</f>
        <v/>
      </c>
      <c r="P178" s="117">
        <f>P177+IF(AND($H178&lt;&gt;"",OR(LEFT($F178,LEN(SC_TK))=SC_TK,LEFT($G178,LEN(SC_TK))=SC_TK)),1,0)</f>
        <v/>
      </c>
    </row>
    <row r="179" ht="15" customHeight="1" s="78">
      <c r="A179" s="95">
        <f>IF($H179="","",ROW()-6)</f>
        <v/>
      </c>
      <c r="B179" s="114" t="n"/>
      <c r="C179" s="102" t="n"/>
      <c r="D179" s="114" t="n"/>
      <c r="E179" s="103" t="n"/>
      <c r="F179" s="102" t="n"/>
      <c r="G179" s="102" t="n"/>
      <c r="H179" s="115" t="n"/>
      <c r="I179" s="102" t="n"/>
      <c r="J179" s="102" t="n"/>
      <c r="K179" s="103" t="n"/>
      <c r="L179" s="116">
        <f>IF($H179="","",TRIM(IF(COUNTIF(DMTK!$A$7:$A$250,$F179)=0,"TK Nợ sai! ","")&amp;IF(COUNTIF(DMTK!$A$7:$A$250,$G179)=0,"TK Có sai! ","")&amp;IF(N($H179)&lt;=0,"Tiền phải &gt; 0! ","")&amp;IF($B179="","Thiếu ngày! ","")&amp;IF(AND(OR(LEFT($F179,3)="131",LEFT($G179,3)="131",LEFT($F179,3)="331",LEFT($G179,3)="331"),$I179=""),"Thiếu Mã ĐT! ","")&amp;IF(AND($I179&lt;&gt;"",COUNTIF(DM_DT!$A$7:$A$306,$I179)=0),"Mã ĐT chưa khai báo! ","")))</f>
        <v/>
      </c>
      <c r="M179" s="117">
        <f>IF($H179="","",IF(AND(OR(LEFT($F179,3)="111",LEFT($F179,3)="112",LEFT($F179,3)="113"),OR(LEFT($G179,3)="111",LEFT($G179,3)="112",LEFT($G179,3)="113")),"NB",IF(OR(LEFT($F179,3)="111",LEFT($F179,3)="112",LEFT($F179,3)="113"),"THU",IF(OR(LEFT($G179,3)="111",LEFT($G179,3)="112",LEFT($G179,3)="113"),"CHI",""))))</f>
        <v/>
      </c>
      <c r="N179" s="117">
        <f>IF($M179="THU",$G179,IF($M179="CHI",$F179,""))</f>
        <v/>
      </c>
      <c r="O179" s="117">
        <f>IF(OR($M179="",$M179="NB"),"",IF($J179&lt;&gt;"",TEXT($J179,"00"),IFERROR(VLOOKUP(LEFT($N179,4),LCTT_MAP!$A$7:$C$66,IF($M179="THU",2,3),FALSE()),IFERROR(VLOOKUP(LEFT($N179,3),LCTT_MAP!$A$7:$C$66,IF($M179="THU",2,3),FALSE()),IFERROR(VLOOKUP(LEFT($N179,2),LCTT_MAP!$A$7:$C$66,IF($M179="THU",2,3),FALSE()),IFERROR(VLOOKUP(LEFT($N179,1),LCTT_MAP!$A$7:$C$66,IF($M179="THU",2,3),FALSE()),IF($M179="THU","06","07")))))))</f>
        <v/>
      </c>
      <c r="P179" s="117">
        <f>P178+IF(AND($H179&lt;&gt;"",OR(LEFT($F179,LEN(SC_TK))=SC_TK,LEFT($G179,LEN(SC_TK))=SC_TK)),1,0)</f>
        <v/>
      </c>
    </row>
    <row r="180" ht="15" customHeight="1" s="78">
      <c r="A180" s="95">
        <f>IF($H180="","",ROW()-6)</f>
        <v/>
      </c>
      <c r="B180" s="114" t="n"/>
      <c r="C180" s="102" t="n"/>
      <c r="D180" s="114" t="n"/>
      <c r="E180" s="103" t="n"/>
      <c r="F180" s="102" t="n"/>
      <c r="G180" s="102" t="n"/>
      <c r="H180" s="115" t="n"/>
      <c r="I180" s="102" t="n"/>
      <c r="J180" s="102" t="n"/>
      <c r="K180" s="103" t="n"/>
      <c r="L180" s="116">
        <f>IF($H180="","",TRIM(IF(COUNTIF(DMTK!$A$7:$A$250,$F180)=0,"TK Nợ sai! ","")&amp;IF(COUNTIF(DMTK!$A$7:$A$250,$G180)=0,"TK Có sai! ","")&amp;IF(N($H180)&lt;=0,"Tiền phải &gt; 0! ","")&amp;IF($B180="","Thiếu ngày! ","")&amp;IF(AND(OR(LEFT($F180,3)="131",LEFT($G180,3)="131",LEFT($F180,3)="331",LEFT($G180,3)="331"),$I180=""),"Thiếu Mã ĐT! ","")&amp;IF(AND($I180&lt;&gt;"",COUNTIF(DM_DT!$A$7:$A$306,$I180)=0),"Mã ĐT chưa khai báo! ","")))</f>
        <v/>
      </c>
      <c r="M180" s="117">
        <f>IF($H180="","",IF(AND(OR(LEFT($F180,3)="111",LEFT($F180,3)="112",LEFT($F180,3)="113"),OR(LEFT($G180,3)="111",LEFT($G180,3)="112",LEFT($G180,3)="113")),"NB",IF(OR(LEFT($F180,3)="111",LEFT($F180,3)="112",LEFT($F180,3)="113"),"THU",IF(OR(LEFT($G180,3)="111",LEFT($G180,3)="112",LEFT($G180,3)="113"),"CHI",""))))</f>
        <v/>
      </c>
      <c r="N180" s="117">
        <f>IF($M180="THU",$G180,IF($M180="CHI",$F180,""))</f>
        <v/>
      </c>
      <c r="O180" s="117">
        <f>IF(OR($M180="",$M180="NB"),"",IF($J180&lt;&gt;"",TEXT($J180,"00"),IFERROR(VLOOKUP(LEFT($N180,4),LCTT_MAP!$A$7:$C$66,IF($M180="THU",2,3),FALSE()),IFERROR(VLOOKUP(LEFT($N180,3),LCTT_MAP!$A$7:$C$66,IF($M180="THU",2,3),FALSE()),IFERROR(VLOOKUP(LEFT($N180,2),LCTT_MAP!$A$7:$C$66,IF($M180="THU",2,3),FALSE()),IFERROR(VLOOKUP(LEFT($N180,1),LCTT_MAP!$A$7:$C$66,IF($M180="THU",2,3),FALSE()),IF($M180="THU","06","07")))))))</f>
        <v/>
      </c>
      <c r="P180" s="117">
        <f>P179+IF(AND($H180&lt;&gt;"",OR(LEFT($F180,LEN(SC_TK))=SC_TK,LEFT($G180,LEN(SC_TK))=SC_TK)),1,0)</f>
        <v/>
      </c>
    </row>
    <row r="181" ht="15" customHeight="1" s="78">
      <c r="A181" s="95">
        <f>IF($H181="","",ROW()-6)</f>
        <v/>
      </c>
      <c r="B181" s="114" t="n"/>
      <c r="C181" s="102" t="n"/>
      <c r="D181" s="114" t="n"/>
      <c r="E181" s="103" t="n"/>
      <c r="F181" s="102" t="n"/>
      <c r="G181" s="102" t="n"/>
      <c r="H181" s="115" t="n"/>
      <c r="I181" s="102" t="n"/>
      <c r="J181" s="102" t="n"/>
      <c r="K181" s="103" t="n"/>
      <c r="L181" s="116">
        <f>IF($H181="","",TRIM(IF(COUNTIF(DMTK!$A$7:$A$250,$F181)=0,"TK Nợ sai! ","")&amp;IF(COUNTIF(DMTK!$A$7:$A$250,$G181)=0,"TK Có sai! ","")&amp;IF(N($H181)&lt;=0,"Tiền phải &gt; 0! ","")&amp;IF($B181="","Thiếu ngày! ","")&amp;IF(AND(OR(LEFT($F181,3)="131",LEFT($G181,3)="131",LEFT($F181,3)="331",LEFT($G181,3)="331"),$I181=""),"Thiếu Mã ĐT! ","")&amp;IF(AND($I181&lt;&gt;"",COUNTIF(DM_DT!$A$7:$A$306,$I181)=0),"Mã ĐT chưa khai báo! ","")))</f>
        <v/>
      </c>
      <c r="M181" s="117">
        <f>IF($H181="","",IF(AND(OR(LEFT($F181,3)="111",LEFT($F181,3)="112",LEFT($F181,3)="113"),OR(LEFT($G181,3)="111",LEFT($G181,3)="112",LEFT($G181,3)="113")),"NB",IF(OR(LEFT($F181,3)="111",LEFT($F181,3)="112",LEFT($F181,3)="113"),"THU",IF(OR(LEFT($G181,3)="111",LEFT($G181,3)="112",LEFT($G181,3)="113"),"CHI",""))))</f>
        <v/>
      </c>
      <c r="N181" s="117">
        <f>IF($M181="THU",$G181,IF($M181="CHI",$F181,""))</f>
        <v/>
      </c>
      <c r="O181" s="117">
        <f>IF(OR($M181="",$M181="NB"),"",IF($J181&lt;&gt;"",TEXT($J181,"00"),IFERROR(VLOOKUP(LEFT($N181,4),LCTT_MAP!$A$7:$C$66,IF($M181="THU",2,3),FALSE()),IFERROR(VLOOKUP(LEFT($N181,3),LCTT_MAP!$A$7:$C$66,IF($M181="THU",2,3),FALSE()),IFERROR(VLOOKUP(LEFT($N181,2),LCTT_MAP!$A$7:$C$66,IF($M181="THU",2,3),FALSE()),IFERROR(VLOOKUP(LEFT($N181,1),LCTT_MAP!$A$7:$C$66,IF($M181="THU",2,3),FALSE()),IF($M181="THU","06","07")))))))</f>
        <v/>
      </c>
      <c r="P181" s="117">
        <f>P180+IF(AND($H181&lt;&gt;"",OR(LEFT($F181,LEN(SC_TK))=SC_TK,LEFT($G181,LEN(SC_TK))=SC_TK)),1,0)</f>
        <v/>
      </c>
    </row>
    <row r="182" ht="15" customHeight="1" s="78">
      <c r="A182" s="95">
        <f>IF($H182="","",ROW()-6)</f>
        <v/>
      </c>
      <c r="B182" s="114" t="n"/>
      <c r="C182" s="102" t="n"/>
      <c r="D182" s="114" t="n"/>
      <c r="E182" s="103" t="n"/>
      <c r="F182" s="102" t="n"/>
      <c r="G182" s="102" t="n"/>
      <c r="H182" s="115" t="n"/>
      <c r="I182" s="102" t="n"/>
      <c r="J182" s="102" t="n"/>
      <c r="K182" s="103" t="n"/>
      <c r="L182" s="116">
        <f>IF($H182="","",TRIM(IF(COUNTIF(DMTK!$A$7:$A$250,$F182)=0,"TK Nợ sai! ","")&amp;IF(COUNTIF(DMTK!$A$7:$A$250,$G182)=0,"TK Có sai! ","")&amp;IF(N($H182)&lt;=0,"Tiền phải &gt; 0! ","")&amp;IF($B182="","Thiếu ngày! ","")&amp;IF(AND(OR(LEFT($F182,3)="131",LEFT($G182,3)="131",LEFT($F182,3)="331",LEFT($G182,3)="331"),$I182=""),"Thiếu Mã ĐT! ","")&amp;IF(AND($I182&lt;&gt;"",COUNTIF(DM_DT!$A$7:$A$306,$I182)=0),"Mã ĐT chưa khai báo! ","")))</f>
        <v/>
      </c>
      <c r="M182" s="117">
        <f>IF($H182="","",IF(AND(OR(LEFT($F182,3)="111",LEFT($F182,3)="112",LEFT($F182,3)="113"),OR(LEFT($G182,3)="111",LEFT($G182,3)="112",LEFT($G182,3)="113")),"NB",IF(OR(LEFT($F182,3)="111",LEFT($F182,3)="112",LEFT($F182,3)="113"),"THU",IF(OR(LEFT($G182,3)="111",LEFT($G182,3)="112",LEFT($G182,3)="113"),"CHI",""))))</f>
        <v/>
      </c>
      <c r="N182" s="117">
        <f>IF($M182="THU",$G182,IF($M182="CHI",$F182,""))</f>
        <v/>
      </c>
      <c r="O182" s="117">
        <f>IF(OR($M182="",$M182="NB"),"",IF($J182&lt;&gt;"",TEXT($J182,"00"),IFERROR(VLOOKUP(LEFT($N182,4),LCTT_MAP!$A$7:$C$66,IF($M182="THU",2,3),FALSE()),IFERROR(VLOOKUP(LEFT($N182,3),LCTT_MAP!$A$7:$C$66,IF($M182="THU",2,3),FALSE()),IFERROR(VLOOKUP(LEFT($N182,2),LCTT_MAP!$A$7:$C$66,IF($M182="THU",2,3),FALSE()),IFERROR(VLOOKUP(LEFT($N182,1),LCTT_MAP!$A$7:$C$66,IF($M182="THU",2,3),FALSE()),IF($M182="THU","06","07")))))))</f>
        <v/>
      </c>
      <c r="P182" s="117">
        <f>P181+IF(AND($H182&lt;&gt;"",OR(LEFT($F182,LEN(SC_TK))=SC_TK,LEFT($G182,LEN(SC_TK))=SC_TK)),1,0)</f>
        <v/>
      </c>
    </row>
    <row r="183" ht="15" customHeight="1" s="78">
      <c r="A183" s="95">
        <f>IF($H183="","",ROW()-6)</f>
        <v/>
      </c>
      <c r="B183" s="114" t="n"/>
      <c r="C183" s="102" t="n"/>
      <c r="D183" s="114" t="n"/>
      <c r="E183" s="103" t="n"/>
      <c r="F183" s="102" t="n"/>
      <c r="G183" s="102" t="n"/>
      <c r="H183" s="115" t="n"/>
      <c r="I183" s="102" t="n"/>
      <c r="J183" s="102" t="n"/>
      <c r="K183" s="103" t="n"/>
      <c r="L183" s="116">
        <f>IF($H183="","",TRIM(IF(COUNTIF(DMTK!$A$7:$A$250,$F183)=0,"TK Nợ sai! ","")&amp;IF(COUNTIF(DMTK!$A$7:$A$250,$G183)=0,"TK Có sai! ","")&amp;IF(N($H183)&lt;=0,"Tiền phải &gt; 0! ","")&amp;IF($B183="","Thiếu ngày! ","")&amp;IF(AND(OR(LEFT($F183,3)="131",LEFT($G183,3)="131",LEFT($F183,3)="331",LEFT($G183,3)="331"),$I183=""),"Thiếu Mã ĐT! ","")&amp;IF(AND($I183&lt;&gt;"",COUNTIF(DM_DT!$A$7:$A$306,$I183)=0),"Mã ĐT chưa khai báo! ","")))</f>
        <v/>
      </c>
      <c r="M183" s="117">
        <f>IF($H183="","",IF(AND(OR(LEFT($F183,3)="111",LEFT($F183,3)="112",LEFT($F183,3)="113"),OR(LEFT($G183,3)="111",LEFT($G183,3)="112",LEFT($G183,3)="113")),"NB",IF(OR(LEFT($F183,3)="111",LEFT($F183,3)="112",LEFT($F183,3)="113"),"THU",IF(OR(LEFT($G183,3)="111",LEFT($G183,3)="112",LEFT($G183,3)="113"),"CHI",""))))</f>
        <v/>
      </c>
      <c r="N183" s="117">
        <f>IF($M183="THU",$G183,IF($M183="CHI",$F183,""))</f>
        <v/>
      </c>
      <c r="O183" s="117">
        <f>IF(OR($M183="",$M183="NB"),"",IF($J183&lt;&gt;"",TEXT($J183,"00"),IFERROR(VLOOKUP(LEFT($N183,4),LCTT_MAP!$A$7:$C$66,IF($M183="THU",2,3),FALSE()),IFERROR(VLOOKUP(LEFT($N183,3),LCTT_MAP!$A$7:$C$66,IF($M183="THU",2,3),FALSE()),IFERROR(VLOOKUP(LEFT($N183,2),LCTT_MAP!$A$7:$C$66,IF($M183="THU",2,3),FALSE()),IFERROR(VLOOKUP(LEFT($N183,1),LCTT_MAP!$A$7:$C$66,IF($M183="THU",2,3),FALSE()),IF($M183="THU","06","07")))))))</f>
        <v/>
      </c>
      <c r="P183" s="117">
        <f>P182+IF(AND($H183&lt;&gt;"",OR(LEFT($F183,LEN(SC_TK))=SC_TK,LEFT($G183,LEN(SC_TK))=SC_TK)),1,0)</f>
        <v/>
      </c>
    </row>
    <row r="184" ht="15" customHeight="1" s="78">
      <c r="A184" s="95">
        <f>IF($H184="","",ROW()-6)</f>
        <v/>
      </c>
      <c r="B184" s="114" t="n"/>
      <c r="C184" s="102" t="n"/>
      <c r="D184" s="114" t="n"/>
      <c r="E184" s="103" t="n"/>
      <c r="F184" s="102" t="n"/>
      <c r="G184" s="102" t="n"/>
      <c r="H184" s="115" t="n"/>
      <c r="I184" s="102" t="n"/>
      <c r="J184" s="102" t="n"/>
      <c r="K184" s="103" t="n"/>
      <c r="L184" s="116">
        <f>IF($H184="","",TRIM(IF(COUNTIF(DMTK!$A$7:$A$250,$F184)=0,"TK Nợ sai! ","")&amp;IF(COUNTIF(DMTK!$A$7:$A$250,$G184)=0,"TK Có sai! ","")&amp;IF(N($H184)&lt;=0,"Tiền phải &gt; 0! ","")&amp;IF($B184="","Thiếu ngày! ","")&amp;IF(AND(OR(LEFT($F184,3)="131",LEFT($G184,3)="131",LEFT($F184,3)="331",LEFT($G184,3)="331"),$I184=""),"Thiếu Mã ĐT! ","")&amp;IF(AND($I184&lt;&gt;"",COUNTIF(DM_DT!$A$7:$A$306,$I184)=0),"Mã ĐT chưa khai báo! ","")))</f>
        <v/>
      </c>
      <c r="M184" s="117">
        <f>IF($H184="","",IF(AND(OR(LEFT($F184,3)="111",LEFT($F184,3)="112",LEFT($F184,3)="113"),OR(LEFT($G184,3)="111",LEFT($G184,3)="112",LEFT($G184,3)="113")),"NB",IF(OR(LEFT($F184,3)="111",LEFT($F184,3)="112",LEFT($F184,3)="113"),"THU",IF(OR(LEFT($G184,3)="111",LEFT($G184,3)="112",LEFT($G184,3)="113"),"CHI",""))))</f>
        <v/>
      </c>
      <c r="N184" s="117">
        <f>IF($M184="THU",$G184,IF($M184="CHI",$F184,""))</f>
        <v/>
      </c>
      <c r="O184" s="117">
        <f>IF(OR($M184="",$M184="NB"),"",IF($J184&lt;&gt;"",TEXT($J184,"00"),IFERROR(VLOOKUP(LEFT($N184,4),LCTT_MAP!$A$7:$C$66,IF($M184="THU",2,3),FALSE()),IFERROR(VLOOKUP(LEFT($N184,3),LCTT_MAP!$A$7:$C$66,IF($M184="THU",2,3),FALSE()),IFERROR(VLOOKUP(LEFT($N184,2),LCTT_MAP!$A$7:$C$66,IF($M184="THU",2,3),FALSE()),IFERROR(VLOOKUP(LEFT($N184,1),LCTT_MAP!$A$7:$C$66,IF($M184="THU",2,3),FALSE()),IF($M184="THU","06","07")))))))</f>
        <v/>
      </c>
      <c r="P184" s="117">
        <f>P183+IF(AND($H184&lt;&gt;"",OR(LEFT($F184,LEN(SC_TK))=SC_TK,LEFT($G184,LEN(SC_TK))=SC_TK)),1,0)</f>
        <v/>
      </c>
    </row>
    <row r="185" ht="15" customHeight="1" s="78">
      <c r="A185" s="95">
        <f>IF($H185="","",ROW()-6)</f>
        <v/>
      </c>
      <c r="B185" s="114" t="n"/>
      <c r="C185" s="102" t="n"/>
      <c r="D185" s="114" t="n"/>
      <c r="E185" s="103" t="n"/>
      <c r="F185" s="102" t="n"/>
      <c r="G185" s="102" t="n"/>
      <c r="H185" s="115" t="n"/>
      <c r="I185" s="102" t="n"/>
      <c r="J185" s="102" t="n"/>
      <c r="K185" s="103" t="n"/>
      <c r="L185" s="116">
        <f>IF($H185="","",TRIM(IF(COUNTIF(DMTK!$A$7:$A$250,$F185)=0,"TK Nợ sai! ","")&amp;IF(COUNTIF(DMTK!$A$7:$A$250,$G185)=0,"TK Có sai! ","")&amp;IF(N($H185)&lt;=0,"Tiền phải &gt; 0! ","")&amp;IF($B185="","Thiếu ngày! ","")&amp;IF(AND(OR(LEFT($F185,3)="131",LEFT($G185,3)="131",LEFT($F185,3)="331",LEFT($G185,3)="331"),$I185=""),"Thiếu Mã ĐT! ","")&amp;IF(AND($I185&lt;&gt;"",COUNTIF(DM_DT!$A$7:$A$306,$I185)=0),"Mã ĐT chưa khai báo! ","")))</f>
        <v/>
      </c>
      <c r="M185" s="117">
        <f>IF($H185="","",IF(AND(OR(LEFT($F185,3)="111",LEFT($F185,3)="112",LEFT($F185,3)="113"),OR(LEFT($G185,3)="111",LEFT($G185,3)="112",LEFT($G185,3)="113")),"NB",IF(OR(LEFT($F185,3)="111",LEFT($F185,3)="112",LEFT($F185,3)="113"),"THU",IF(OR(LEFT($G185,3)="111",LEFT($G185,3)="112",LEFT($G185,3)="113"),"CHI",""))))</f>
        <v/>
      </c>
      <c r="N185" s="117">
        <f>IF($M185="THU",$G185,IF($M185="CHI",$F185,""))</f>
        <v/>
      </c>
      <c r="O185" s="117">
        <f>IF(OR($M185="",$M185="NB"),"",IF($J185&lt;&gt;"",TEXT($J185,"00"),IFERROR(VLOOKUP(LEFT($N185,4),LCTT_MAP!$A$7:$C$66,IF($M185="THU",2,3),FALSE()),IFERROR(VLOOKUP(LEFT($N185,3),LCTT_MAP!$A$7:$C$66,IF($M185="THU",2,3),FALSE()),IFERROR(VLOOKUP(LEFT($N185,2),LCTT_MAP!$A$7:$C$66,IF($M185="THU",2,3),FALSE()),IFERROR(VLOOKUP(LEFT($N185,1),LCTT_MAP!$A$7:$C$66,IF($M185="THU",2,3),FALSE()),IF($M185="THU","06","07")))))))</f>
        <v/>
      </c>
      <c r="P185" s="117">
        <f>P184+IF(AND($H185&lt;&gt;"",OR(LEFT($F185,LEN(SC_TK))=SC_TK,LEFT($G185,LEN(SC_TK))=SC_TK)),1,0)</f>
        <v/>
      </c>
    </row>
    <row r="186" ht="15" customHeight="1" s="78">
      <c r="A186" s="95">
        <f>IF($H186="","",ROW()-6)</f>
        <v/>
      </c>
      <c r="B186" s="114" t="n"/>
      <c r="C186" s="102" t="n"/>
      <c r="D186" s="114" t="n"/>
      <c r="E186" s="103" t="n"/>
      <c r="F186" s="102" t="n"/>
      <c r="G186" s="102" t="n"/>
      <c r="H186" s="115" t="n"/>
      <c r="I186" s="102" t="n"/>
      <c r="J186" s="102" t="n"/>
      <c r="K186" s="103" t="n"/>
      <c r="L186" s="116">
        <f>IF($H186="","",TRIM(IF(COUNTIF(DMTK!$A$7:$A$250,$F186)=0,"TK Nợ sai! ","")&amp;IF(COUNTIF(DMTK!$A$7:$A$250,$G186)=0,"TK Có sai! ","")&amp;IF(N($H186)&lt;=0,"Tiền phải &gt; 0! ","")&amp;IF($B186="","Thiếu ngày! ","")&amp;IF(AND(OR(LEFT($F186,3)="131",LEFT($G186,3)="131",LEFT($F186,3)="331",LEFT($G186,3)="331"),$I186=""),"Thiếu Mã ĐT! ","")&amp;IF(AND($I186&lt;&gt;"",COUNTIF(DM_DT!$A$7:$A$306,$I186)=0),"Mã ĐT chưa khai báo! ","")))</f>
        <v/>
      </c>
      <c r="M186" s="117">
        <f>IF($H186="","",IF(AND(OR(LEFT($F186,3)="111",LEFT($F186,3)="112",LEFT($F186,3)="113"),OR(LEFT($G186,3)="111",LEFT($G186,3)="112",LEFT($G186,3)="113")),"NB",IF(OR(LEFT($F186,3)="111",LEFT($F186,3)="112",LEFT($F186,3)="113"),"THU",IF(OR(LEFT($G186,3)="111",LEFT($G186,3)="112",LEFT($G186,3)="113"),"CHI",""))))</f>
        <v/>
      </c>
      <c r="N186" s="117">
        <f>IF($M186="THU",$G186,IF($M186="CHI",$F186,""))</f>
        <v/>
      </c>
      <c r="O186" s="117">
        <f>IF(OR($M186="",$M186="NB"),"",IF($J186&lt;&gt;"",TEXT($J186,"00"),IFERROR(VLOOKUP(LEFT($N186,4),LCTT_MAP!$A$7:$C$66,IF($M186="THU",2,3),FALSE()),IFERROR(VLOOKUP(LEFT($N186,3),LCTT_MAP!$A$7:$C$66,IF($M186="THU",2,3),FALSE()),IFERROR(VLOOKUP(LEFT($N186,2),LCTT_MAP!$A$7:$C$66,IF($M186="THU",2,3),FALSE()),IFERROR(VLOOKUP(LEFT($N186,1),LCTT_MAP!$A$7:$C$66,IF($M186="THU",2,3),FALSE()),IF($M186="THU","06","07")))))))</f>
        <v/>
      </c>
      <c r="P186" s="117">
        <f>P185+IF(AND($H186&lt;&gt;"",OR(LEFT($F186,LEN(SC_TK))=SC_TK,LEFT($G186,LEN(SC_TK))=SC_TK)),1,0)</f>
        <v/>
      </c>
    </row>
    <row r="187" ht="15" customHeight="1" s="78">
      <c r="A187" s="95">
        <f>IF($H187="","",ROW()-6)</f>
        <v/>
      </c>
      <c r="B187" s="114" t="n"/>
      <c r="C187" s="102" t="n"/>
      <c r="D187" s="114" t="n"/>
      <c r="E187" s="103" t="n"/>
      <c r="F187" s="102" t="n"/>
      <c r="G187" s="102" t="n"/>
      <c r="H187" s="115" t="n"/>
      <c r="I187" s="102" t="n"/>
      <c r="J187" s="102" t="n"/>
      <c r="K187" s="103" t="n"/>
      <c r="L187" s="116">
        <f>IF($H187="","",TRIM(IF(COUNTIF(DMTK!$A$7:$A$250,$F187)=0,"TK Nợ sai! ","")&amp;IF(COUNTIF(DMTK!$A$7:$A$250,$G187)=0,"TK Có sai! ","")&amp;IF(N($H187)&lt;=0,"Tiền phải &gt; 0! ","")&amp;IF($B187="","Thiếu ngày! ","")&amp;IF(AND(OR(LEFT($F187,3)="131",LEFT($G187,3)="131",LEFT($F187,3)="331",LEFT($G187,3)="331"),$I187=""),"Thiếu Mã ĐT! ","")&amp;IF(AND($I187&lt;&gt;"",COUNTIF(DM_DT!$A$7:$A$306,$I187)=0),"Mã ĐT chưa khai báo! ","")))</f>
        <v/>
      </c>
      <c r="M187" s="117">
        <f>IF($H187="","",IF(AND(OR(LEFT($F187,3)="111",LEFT($F187,3)="112",LEFT($F187,3)="113"),OR(LEFT($G187,3)="111",LEFT($G187,3)="112",LEFT($G187,3)="113")),"NB",IF(OR(LEFT($F187,3)="111",LEFT($F187,3)="112",LEFT($F187,3)="113"),"THU",IF(OR(LEFT($G187,3)="111",LEFT($G187,3)="112",LEFT($G187,3)="113"),"CHI",""))))</f>
        <v/>
      </c>
      <c r="N187" s="117">
        <f>IF($M187="THU",$G187,IF($M187="CHI",$F187,""))</f>
        <v/>
      </c>
      <c r="O187" s="117">
        <f>IF(OR($M187="",$M187="NB"),"",IF($J187&lt;&gt;"",TEXT($J187,"00"),IFERROR(VLOOKUP(LEFT($N187,4),LCTT_MAP!$A$7:$C$66,IF($M187="THU",2,3),FALSE()),IFERROR(VLOOKUP(LEFT($N187,3),LCTT_MAP!$A$7:$C$66,IF($M187="THU",2,3),FALSE()),IFERROR(VLOOKUP(LEFT($N187,2),LCTT_MAP!$A$7:$C$66,IF($M187="THU",2,3),FALSE()),IFERROR(VLOOKUP(LEFT($N187,1),LCTT_MAP!$A$7:$C$66,IF($M187="THU",2,3),FALSE()),IF($M187="THU","06","07")))))))</f>
        <v/>
      </c>
      <c r="P187" s="117">
        <f>P186+IF(AND($H187&lt;&gt;"",OR(LEFT($F187,LEN(SC_TK))=SC_TK,LEFT($G187,LEN(SC_TK))=SC_TK)),1,0)</f>
        <v/>
      </c>
    </row>
    <row r="188" ht="15" customHeight="1" s="78">
      <c r="A188" s="95">
        <f>IF($H188="","",ROW()-6)</f>
        <v/>
      </c>
      <c r="B188" s="114" t="n"/>
      <c r="C188" s="102" t="n"/>
      <c r="D188" s="114" t="n"/>
      <c r="E188" s="103" t="n"/>
      <c r="F188" s="102" t="n"/>
      <c r="G188" s="102" t="n"/>
      <c r="H188" s="115" t="n"/>
      <c r="I188" s="102" t="n"/>
      <c r="J188" s="102" t="n"/>
      <c r="K188" s="103" t="n"/>
      <c r="L188" s="116">
        <f>IF($H188="","",TRIM(IF(COUNTIF(DMTK!$A$7:$A$250,$F188)=0,"TK Nợ sai! ","")&amp;IF(COUNTIF(DMTK!$A$7:$A$250,$G188)=0,"TK Có sai! ","")&amp;IF(N($H188)&lt;=0,"Tiền phải &gt; 0! ","")&amp;IF($B188="","Thiếu ngày! ","")&amp;IF(AND(OR(LEFT($F188,3)="131",LEFT($G188,3)="131",LEFT($F188,3)="331",LEFT($G188,3)="331"),$I188=""),"Thiếu Mã ĐT! ","")&amp;IF(AND($I188&lt;&gt;"",COUNTIF(DM_DT!$A$7:$A$306,$I188)=0),"Mã ĐT chưa khai báo! ","")))</f>
        <v/>
      </c>
      <c r="M188" s="117">
        <f>IF($H188="","",IF(AND(OR(LEFT($F188,3)="111",LEFT($F188,3)="112",LEFT($F188,3)="113"),OR(LEFT($G188,3)="111",LEFT($G188,3)="112",LEFT($G188,3)="113")),"NB",IF(OR(LEFT($F188,3)="111",LEFT($F188,3)="112",LEFT($F188,3)="113"),"THU",IF(OR(LEFT($G188,3)="111",LEFT($G188,3)="112",LEFT($G188,3)="113"),"CHI",""))))</f>
        <v/>
      </c>
      <c r="N188" s="117">
        <f>IF($M188="THU",$G188,IF($M188="CHI",$F188,""))</f>
        <v/>
      </c>
      <c r="O188" s="117">
        <f>IF(OR($M188="",$M188="NB"),"",IF($J188&lt;&gt;"",TEXT($J188,"00"),IFERROR(VLOOKUP(LEFT($N188,4),LCTT_MAP!$A$7:$C$66,IF($M188="THU",2,3),FALSE()),IFERROR(VLOOKUP(LEFT($N188,3),LCTT_MAP!$A$7:$C$66,IF($M188="THU",2,3),FALSE()),IFERROR(VLOOKUP(LEFT($N188,2),LCTT_MAP!$A$7:$C$66,IF($M188="THU",2,3),FALSE()),IFERROR(VLOOKUP(LEFT($N188,1),LCTT_MAP!$A$7:$C$66,IF($M188="THU",2,3),FALSE()),IF($M188="THU","06","07")))))))</f>
        <v/>
      </c>
      <c r="P188" s="117">
        <f>P187+IF(AND($H188&lt;&gt;"",OR(LEFT($F188,LEN(SC_TK))=SC_TK,LEFT($G188,LEN(SC_TK))=SC_TK)),1,0)</f>
        <v/>
      </c>
    </row>
    <row r="189" ht="15" customHeight="1" s="78">
      <c r="A189" s="95">
        <f>IF($H189="","",ROW()-6)</f>
        <v/>
      </c>
      <c r="B189" s="114" t="n"/>
      <c r="C189" s="102" t="n"/>
      <c r="D189" s="114" t="n"/>
      <c r="E189" s="103" t="n"/>
      <c r="F189" s="102" t="n"/>
      <c r="G189" s="102" t="n"/>
      <c r="H189" s="115" t="n"/>
      <c r="I189" s="102" t="n"/>
      <c r="J189" s="102" t="n"/>
      <c r="K189" s="103" t="n"/>
      <c r="L189" s="116">
        <f>IF($H189="","",TRIM(IF(COUNTIF(DMTK!$A$7:$A$250,$F189)=0,"TK Nợ sai! ","")&amp;IF(COUNTIF(DMTK!$A$7:$A$250,$G189)=0,"TK Có sai! ","")&amp;IF(N($H189)&lt;=0,"Tiền phải &gt; 0! ","")&amp;IF($B189="","Thiếu ngày! ","")&amp;IF(AND(OR(LEFT($F189,3)="131",LEFT($G189,3)="131",LEFT($F189,3)="331",LEFT($G189,3)="331"),$I189=""),"Thiếu Mã ĐT! ","")&amp;IF(AND($I189&lt;&gt;"",COUNTIF(DM_DT!$A$7:$A$306,$I189)=0),"Mã ĐT chưa khai báo! ","")))</f>
        <v/>
      </c>
      <c r="M189" s="117">
        <f>IF($H189="","",IF(AND(OR(LEFT($F189,3)="111",LEFT($F189,3)="112",LEFT($F189,3)="113"),OR(LEFT($G189,3)="111",LEFT($G189,3)="112",LEFT($G189,3)="113")),"NB",IF(OR(LEFT($F189,3)="111",LEFT($F189,3)="112",LEFT($F189,3)="113"),"THU",IF(OR(LEFT($G189,3)="111",LEFT($G189,3)="112",LEFT($G189,3)="113"),"CHI",""))))</f>
        <v/>
      </c>
      <c r="N189" s="117">
        <f>IF($M189="THU",$G189,IF($M189="CHI",$F189,""))</f>
        <v/>
      </c>
      <c r="O189" s="117">
        <f>IF(OR($M189="",$M189="NB"),"",IF($J189&lt;&gt;"",TEXT($J189,"00"),IFERROR(VLOOKUP(LEFT($N189,4),LCTT_MAP!$A$7:$C$66,IF($M189="THU",2,3),FALSE()),IFERROR(VLOOKUP(LEFT($N189,3),LCTT_MAP!$A$7:$C$66,IF($M189="THU",2,3),FALSE()),IFERROR(VLOOKUP(LEFT($N189,2),LCTT_MAP!$A$7:$C$66,IF($M189="THU",2,3),FALSE()),IFERROR(VLOOKUP(LEFT($N189,1),LCTT_MAP!$A$7:$C$66,IF($M189="THU",2,3),FALSE()),IF($M189="THU","06","07")))))))</f>
        <v/>
      </c>
      <c r="P189" s="117">
        <f>P188+IF(AND($H189&lt;&gt;"",OR(LEFT($F189,LEN(SC_TK))=SC_TK,LEFT($G189,LEN(SC_TK))=SC_TK)),1,0)</f>
        <v/>
      </c>
    </row>
    <row r="190" ht="15" customHeight="1" s="78">
      <c r="A190" s="95">
        <f>IF($H190="","",ROW()-6)</f>
        <v/>
      </c>
      <c r="B190" s="114" t="n"/>
      <c r="C190" s="102" t="n"/>
      <c r="D190" s="114" t="n"/>
      <c r="E190" s="103" t="n"/>
      <c r="F190" s="102" t="n"/>
      <c r="G190" s="102" t="n"/>
      <c r="H190" s="115" t="n"/>
      <c r="I190" s="102" t="n"/>
      <c r="J190" s="102" t="n"/>
      <c r="K190" s="103" t="n"/>
      <c r="L190" s="116">
        <f>IF($H190="","",TRIM(IF(COUNTIF(DMTK!$A$7:$A$250,$F190)=0,"TK Nợ sai! ","")&amp;IF(COUNTIF(DMTK!$A$7:$A$250,$G190)=0,"TK Có sai! ","")&amp;IF(N($H190)&lt;=0,"Tiền phải &gt; 0! ","")&amp;IF($B190="","Thiếu ngày! ","")&amp;IF(AND(OR(LEFT($F190,3)="131",LEFT($G190,3)="131",LEFT($F190,3)="331",LEFT($G190,3)="331"),$I190=""),"Thiếu Mã ĐT! ","")&amp;IF(AND($I190&lt;&gt;"",COUNTIF(DM_DT!$A$7:$A$306,$I190)=0),"Mã ĐT chưa khai báo! ","")))</f>
        <v/>
      </c>
      <c r="M190" s="117">
        <f>IF($H190="","",IF(AND(OR(LEFT($F190,3)="111",LEFT($F190,3)="112",LEFT($F190,3)="113"),OR(LEFT($G190,3)="111",LEFT($G190,3)="112",LEFT($G190,3)="113")),"NB",IF(OR(LEFT($F190,3)="111",LEFT($F190,3)="112",LEFT($F190,3)="113"),"THU",IF(OR(LEFT($G190,3)="111",LEFT($G190,3)="112",LEFT($G190,3)="113"),"CHI",""))))</f>
        <v/>
      </c>
      <c r="N190" s="117">
        <f>IF($M190="THU",$G190,IF($M190="CHI",$F190,""))</f>
        <v/>
      </c>
      <c r="O190" s="117">
        <f>IF(OR($M190="",$M190="NB"),"",IF($J190&lt;&gt;"",TEXT($J190,"00"),IFERROR(VLOOKUP(LEFT($N190,4),LCTT_MAP!$A$7:$C$66,IF($M190="THU",2,3),FALSE()),IFERROR(VLOOKUP(LEFT($N190,3),LCTT_MAP!$A$7:$C$66,IF($M190="THU",2,3),FALSE()),IFERROR(VLOOKUP(LEFT($N190,2),LCTT_MAP!$A$7:$C$66,IF($M190="THU",2,3),FALSE()),IFERROR(VLOOKUP(LEFT($N190,1),LCTT_MAP!$A$7:$C$66,IF($M190="THU",2,3),FALSE()),IF($M190="THU","06","07")))))))</f>
        <v/>
      </c>
      <c r="P190" s="117">
        <f>P189+IF(AND($H190&lt;&gt;"",OR(LEFT($F190,LEN(SC_TK))=SC_TK,LEFT($G190,LEN(SC_TK))=SC_TK)),1,0)</f>
        <v/>
      </c>
    </row>
    <row r="191" ht="15" customHeight="1" s="78">
      <c r="A191" s="95">
        <f>IF($H191="","",ROW()-6)</f>
        <v/>
      </c>
      <c r="B191" s="114" t="n"/>
      <c r="C191" s="102" t="n"/>
      <c r="D191" s="114" t="n"/>
      <c r="E191" s="103" t="n"/>
      <c r="F191" s="102" t="n"/>
      <c r="G191" s="102" t="n"/>
      <c r="H191" s="115" t="n"/>
      <c r="I191" s="102" t="n"/>
      <c r="J191" s="102" t="n"/>
      <c r="K191" s="103" t="n"/>
      <c r="L191" s="116">
        <f>IF($H191="","",TRIM(IF(COUNTIF(DMTK!$A$7:$A$250,$F191)=0,"TK Nợ sai! ","")&amp;IF(COUNTIF(DMTK!$A$7:$A$250,$G191)=0,"TK Có sai! ","")&amp;IF(N($H191)&lt;=0,"Tiền phải &gt; 0! ","")&amp;IF($B191="","Thiếu ngày! ","")&amp;IF(AND(OR(LEFT($F191,3)="131",LEFT($G191,3)="131",LEFT($F191,3)="331",LEFT($G191,3)="331"),$I191=""),"Thiếu Mã ĐT! ","")&amp;IF(AND($I191&lt;&gt;"",COUNTIF(DM_DT!$A$7:$A$306,$I191)=0),"Mã ĐT chưa khai báo! ","")))</f>
        <v/>
      </c>
      <c r="M191" s="117">
        <f>IF($H191="","",IF(AND(OR(LEFT($F191,3)="111",LEFT($F191,3)="112",LEFT($F191,3)="113"),OR(LEFT($G191,3)="111",LEFT($G191,3)="112",LEFT($G191,3)="113")),"NB",IF(OR(LEFT($F191,3)="111",LEFT($F191,3)="112",LEFT($F191,3)="113"),"THU",IF(OR(LEFT($G191,3)="111",LEFT($G191,3)="112",LEFT($G191,3)="113"),"CHI",""))))</f>
        <v/>
      </c>
      <c r="N191" s="117">
        <f>IF($M191="THU",$G191,IF($M191="CHI",$F191,""))</f>
        <v/>
      </c>
      <c r="O191" s="117">
        <f>IF(OR($M191="",$M191="NB"),"",IF($J191&lt;&gt;"",TEXT($J191,"00"),IFERROR(VLOOKUP(LEFT($N191,4),LCTT_MAP!$A$7:$C$66,IF($M191="THU",2,3),FALSE()),IFERROR(VLOOKUP(LEFT($N191,3),LCTT_MAP!$A$7:$C$66,IF($M191="THU",2,3),FALSE()),IFERROR(VLOOKUP(LEFT($N191,2),LCTT_MAP!$A$7:$C$66,IF($M191="THU",2,3),FALSE()),IFERROR(VLOOKUP(LEFT($N191,1),LCTT_MAP!$A$7:$C$66,IF($M191="THU",2,3),FALSE()),IF($M191="THU","06","07")))))))</f>
        <v/>
      </c>
      <c r="P191" s="117">
        <f>P190+IF(AND($H191&lt;&gt;"",OR(LEFT($F191,LEN(SC_TK))=SC_TK,LEFT($G191,LEN(SC_TK))=SC_TK)),1,0)</f>
        <v/>
      </c>
    </row>
    <row r="192" ht="15" customHeight="1" s="78">
      <c r="A192" s="95">
        <f>IF($H192="","",ROW()-6)</f>
        <v/>
      </c>
      <c r="B192" s="114" t="n"/>
      <c r="C192" s="102" t="n"/>
      <c r="D192" s="114" t="n"/>
      <c r="E192" s="103" t="n"/>
      <c r="F192" s="102" t="n"/>
      <c r="G192" s="102" t="n"/>
      <c r="H192" s="115" t="n"/>
      <c r="I192" s="102" t="n"/>
      <c r="J192" s="102" t="n"/>
      <c r="K192" s="103" t="n"/>
      <c r="L192" s="116">
        <f>IF($H192="","",TRIM(IF(COUNTIF(DMTK!$A$7:$A$250,$F192)=0,"TK Nợ sai! ","")&amp;IF(COUNTIF(DMTK!$A$7:$A$250,$G192)=0,"TK Có sai! ","")&amp;IF(N($H192)&lt;=0,"Tiền phải &gt; 0! ","")&amp;IF($B192="","Thiếu ngày! ","")&amp;IF(AND(OR(LEFT($F192,3)="131",LEFT($G192,3)="131",LEFT($F192,3)="331",LEFT($G192,3)="331"),$I192=""),"Thiếu Mã ĐT! ","")&amp;IF(AND($I192&lt;&gt;"",COUNTIF(DM_DT!$A$7:$A$306,$I192)=0),"Mã ĐT chưa khai báo! ","")))</f>
        <v/>
      </c>
      <c r="M192" s="117">
        <f>IF($H192="","",IF(AND(OR(LEFT($F192,3)="111",LEFT($F192,3)="112",LEFT($F192,3)="113"),OR(LEFT($G192,3)="111",LEFT($G192,3)="112",LEFT($G192,3)="113")),"NB",IF(OR(LEFT($F192,3)="111",LEFT($F192,3)="112",LEFT($F192,3)="113"),"THU",IF(OR(LEFT($G192,3)="111",LEFT($G192,3)="112",LEFT($G192,3)="113"),"CHI",""))))</f>
        <v/>
      </c>
      <c r="N192" s="117">
        <f>IF($M192="THU",$G192,IF($M192="CHI",$F192,""))</f>
        <v/>
      </c>
      <c r="O192" s="117">
        <f>IF(OR($M192="",$M192="NB"),"",IF($J192&lt;&gt;"",TEXT($J192,"00"),IFERROR(VLOOKUP(LEFT($N192,4),LCTT_MAP!$A$7:$C$66,IF($M192="THU",2,3),FALSE()),IFERROR(VLOOKUP(LEFT($N192,3),LCTT_MAP!$A$7:$C$66,IF($M192="THU",2,3),FALSE()),IFERROR(VLOOKUP(LEFT($N192,2),LCTT_MAP!$A$7:$C$66,IF($M192="THU",2,3),FALSE()),IFERROR(VLOOKUP(LEFT($N192,1),LCTT_MAP!$A$7:$C$66,IF($M192="THU",2,3),FALSE()),IF($M192="THU","06","07")))))))</f>
        <v/>
      </c>
      <c r="P192" s="117">
        <f>P191+IF(AND($H192&lt;&gt;"",OR(LEFT($F192,LEN(SC_TK))=SC_TK,LEFT($G192,LEN(SC_TK))=SC_TK)),1,0)</f>
        <v/>
      </c>
    </row>
    <row r="193" ht="15" customHeight="1" s="78">
      <c r="A193" s="95">
        <f>IF($H193="","",ROW()-6)</f>
        <v/>
      </c>
      <c r="B193" s="114" t="n"/>
      <c r="C193" s="102" t="n"/>
      <c r="D193" s="114" t="n"/>
      <c r="E193" s="103" t="n"/>
      <c r="F193" s="102" t="n"/>
      <c r="G193" s="102" t="n"/>
      <c r="H193" s="115" t="n"/>
      <c r="I193" s="102" t="n"/>
      <c r="J193" s="102" t="n"/>
      <c r="K193" s="103" t="n"/>
      <c r="L193" s="116">
        <f>IF($H193="","",TRIM(IF(COUNTIF(DMTK!$A$7:$A$250,$F193)=0,"TK Nợ sai! ","")&amp;IF(COUNTIF(DMTK!$A$7:$A$250,$G193)=0,"TK Có sai! ","")&amp;IF(N($H193)&lt;=0,"Tiền phải &gt; 0! ","")&amp;IF($B193="","Thiếu ngày! ","")&amp;IF(AND(OR(LEFT($F193,3)="131",LEFT($G193,3)="131",LEFT($F193,3)="331",LEFT($G193,3)="331"),$I193=""),"Thiếu Mã ĐT! ","")&amp;IF(AND($I193&lt;&gt;"",COUNTIF(DM_DT!$A$7:$A$306,$I193)=0),"Mã ĐT chưa khai báo! ","")))</f>
        <v/>
      </c>
      <c r="M193" s="117">
        <f>IF($H193="","",IF(AND(OR(LEFT($F193,3)="111",LEFT($F193,3)="112",LEFT($F193,3)="113"),OR(LEFT($G193,3)="111",LEFT($G193,3)="112",LEFT($G193,3)="113")),"NB",IF(OR(LEFT($F193,3)="111",LEFT($F193,3)="112",LEFT($F193,3)="113"),"THU",IF(OR(LEFT($G193,3)="111",LEFT($G193,3)="112",LEFT($G193,3)="113"),"CHI",""))))</f>
        <v/>
      </c>
      <c r="N193" s="117">
        <f>IF($M193="THU",$G193,IF($M193="CHI",$F193,""))</f>
        <v/>
      </c>
      <c r="O193" s="117">
        <f>IF(OR($M193="",$M193="NB"),"",IF($J193&lt;&gt;"",TEXT($J193,"00"),IFERROR(VLOOKUP(LEFT($N193,4),LCTT_MAP!$A$7:$C$66,IF($M193="THU",2,3),FALSE()),IFERROR(VLOOKUP(LEFT($N193,3),LCTT_MAP!$A$7:$C$66,IF($M193="THU",2,3),FALSE()),IFERROR(VLOOKUP(LEFT($N193,2),LCTT_MAP!$A$7:$C$66,IF($M193="THU",2,3),FALSE()),IFERROR(VLOOKUP(LEFT($N193,1),LCTT_MAP!$A$7:$C$66,IF($M193="THU",2,3),FALSE()),IF($M193="THU","06","07")))))))</f>
        <v/>
      </c>
      <c r="P193" s="117">
        <f>P192+IF(AND($H193&lt;&gt;"",OR(LEFT($F193,LEN(SC_TK))=SC_TK,LEFT($G193,LEN(SC_TK))=SC_TK)),1,0)</f>
        <v/>
      </c>
    </row>
    <row r="194" ht="15" customHeight="1" s="78">
      <c r="A194" s="95">
        <f>IF($H194="","",ROW()-6)</f>
        <v/>
      </c>
      <c r="B194" s="114" t="n"/>
      <c r="C194" s="102" t="n"/>
      <c r="D194" s="114" t="n"/>
      <c r="E194" s="103" t="n"/>
      <c r="F194" s="102" t="n"/>
      <c r="G194" s="102" t="n"/>
      <c r="H194" s="115" t="n"/>
      <c r="I194" s="102" t="n"/>
      <c r="J194" s="102" t="n"/>
      <c r="K194" s="103" t="n"/>
      <c r="L194" s="116">
        <f>IF($H194="","",TRIM(IF(COUNTIF(DMTK!$A$7:$A$250,$F194)=0,"TK Nợ sai! ","")&amp;IF(COUNTIF(DMTK!$A$7:$A$250,$G194)=0,"TK Có sai! ","")&amp;IF(N($H194)&lt;=0,"Tiền phải &gt; 0! ","")&amp;IF($B194="","Thiếu ngày! ","")&amp;IF(AND(OR(LEFT($F194,3)="131",LEFT($G194,3)="131",LEFT($F194,3)="331",LEFT($G194,3)="331"),$I194=""),"Thiếu Mã ĐT! ","")&amp;IF(AND($I194&lt;&gt;"",COUNTIF(DM_DT!$A$7:$A$306,$I194)=0),"Mã ĐT chưa khai báo! ","")))</f>
        <v/>
      </c>
      <c r="M194" s="117">
        <f>IF($H194="","",IF(AND(OR(LEFT($F194,3)="111",LEFT($F194,3)="112",LEFT($F194,3)="113"),OR(LEFT($G194,3)="111",LEFT($G194,3)="112",LEFT($G194,3)="113")),"NB",IF(OR(LEFT($F194,3)="111",LEFT($F194,3)="112",LEFT($F194,3)="113"),"THU",IF(OR(LEFT($G194,3)="111",LEFT($G194,3)="112",LEFT($G194,3)="113"),"CHI",""))))</f>
        <v/>
      </c>
      <c r="N194" s="117">
        <f>IF($M194="THU",$G194,IF($M194="CHI",$F194,""))</f>
        <v/>
      </c>
      <c r="O194" s="117">
        <f>IF(OR($M194="",$M194="NB"),"",IF($J194&lt;&gt;"",TEXT($J194,"00"),IFERROR(VLOOKUP(LEFT($N194,4),LCTT_MAP!$A$7:$C$66,IF($M194="THU",2,3),FALSE()),IFERROR(VLOOKUP(LEFT($N194,3),LCTT_MAP!$A$7:$C$66,IF($M194="THU",2,3),FALSE()),IFERROR(VLOOKUP(LEFT($N194,2),LCTT_MAP!$A$7:$C$66,IF($M194="THU",2,3),FALSE()),IFERROR(VLOOKUP(LEFT($N194,1),LCTT_MAP!$A$7:$C$66,IF($M194="THU",2,3),FALSE()),IF($M194="THU","06","07")))))))</f>
        <v/>
      </c>
      <c r="P194" s="117">
        <f>P193+IF(AND($H194&lt;&gt;"",OR(LEFT($F194,LEN(SC_TK))=SC_TK,LEFT($G194,LEN(SC_TK))=SC_TK)),1,0)</f>
        <v/>
      </c>
    </row>
    <row r="195" ht="15" customHeight="1" s="78">
      <c r="A195" s="95">
        <f>IF($H195="","",ROW()-6)</f>
        <v/>
      </c>
      <c r="B195" s="114" t="n"/>
      <c r="C195" s="102" t="n"/>
      <c r="D195" s="114" t="n"/>
      <c r="E195" s="103" t="n"/>
      <c r="F195" s="102" t="n"/>
      <c r="G195" s="102" t="n"/>
      <c r="H195" s="115" t="n"/>
      <c r="I195" s="102" t="n"/>
      <c r="J195" s="102" t="n"/>
      <c r="K195" s="103" t="n"/>
      <c r="L195" s="116">
        <f>IF($H195="","",TRIM(IF(COUNTIF(DMTK!$A$7:$A$250,$F195)=0,"TK Nợ sai! ","")&amp;IF(COUNTIF(DMTK!$A$7:$A$250,$G195)=0,"TK Có sai! ","")&amp;IF(N($H195)&lt;=0,"Tiền phải &gt; 0! ","")&amp;IF($B195="","Thiếu ngày! ","")&amp;IF(AND(OR(LEFT($F195,3)="131",LEFT($G195,3)="131",LEFT($F195,3)="331",LEFT($G195,3)="331"),$I195=""),"Thiếu Mã ĐT! ","")&amp;IF(AND($I195&lt;&gt;"",COUNTIF(DM_DT!$A$7:$A$306,$I195)=0),"Mã ĐT chưa khai báo! ","")))</f>
        <v/>
      </c>
      <c r="M195" s="117">
        <f>IF($H195="","",IF(AND(OR(LEFT($F195,3)="111",LEFT($F195,3)="112",LEFT($F195,3)="113"),OR(LEFT($G195,3)="111",LEFT($G195,3)="112",LEFT($G195,3)="113")),"NB",IF(OR(LEFT($F195,3)="111",LEFT($F195,3)="112",LEFT($F195,3)="113"),"THU",IF(OR(LEFT($G195,3)="111",LEFT($G195,3)="112",LEFT($G195,3)="113"),"CHI",""))))</f>
        <v/>
      </c>
      <c r="N195" s="117">
        <f>IF($M195="THU",$G195,IF($M195="CHI",$F195,""))</f>
        <v/>
      </c>
      <c r="O195" s="117">
        <f>IF(OR($M195="",$M195="NB"),"",IF($J195&lt;&gt;"",TEXT($J195,"00"),IFERROR(VLOOKUP(LEFT($N195,4),LCTT_MAP!$A$7:$C$66,IF($M195="THU",2,3),FALSE()),IFERROR(VLOOKUP(LEFT($N195,3),LCTT_MAP!$A$7:$C$66,IF($M195="THU",2,3),FALSE()),IFERROR(VLOOKUP(LEFT($N195,2),LCTT_MAP!$A$7:$C$66,IF($M195="THU",2,3),FALSE()),IFERROR(VLOOKUP(LEFT($N195,1),LCTT_MAP!$A$7:$C$66,IF($M195="THU",2,3),FALSE()),IF($M195="THU","06","07")))))))</f>
        <v/>
      </c>
      <c r="P195" s="117">
        <f>P194+IF(AND($H195&lt;&gt;"",OR(LEFT($F195,LEN(SC_TK))=SC_TK,LEFT($G195,LEN(SC_TK))=SC_TK)),1,0)</f>
        <v/>
      </c>
    </row>
    <row r="196" ht="15" customHeight="1" s="78">
      <c r="A196" s="95">
        <f>IF($H196="","",ROW()-6)</f>
        <v/>
      </c>
      <c r="B196" s="114" t="n"/>
      <c r="C196" s="102" t="n"/>
      <c r="D196" s="114" t="n"/>
      <c r="E196" s="103" t="n"/>
      <c r="F196" s="102" t="n"/>
      <c r="G196" s="102" t="n"/>
      <c r="H196" s="115" t="n"/>
      <c r="I196" s="102" t="n"/>
      <c r="J196" s="102" t="n"/>
      <c r="K196" s="103" t="n"/>
      <c r="L196" s="116">
        <f>IF($H196="","",TRIM(IF(COUNTIF(DMTK!$A$7:$A$250,$F196)=0,"TK Nợ sai! ","")&amp;IF(COUNTIF(DMTK!$A$7:$A$250,$G196)=0,"TK Có sai! ","")&amp;IF(N($H196)&lt;=0,"Tiền phải &gt; 0! ","")&amp;IF($B196="","Thiếu ngày! ","")&amp;IF(AND(OR(LEFT($F196,3)="131",LEFT($G196,3)="131",LEFT($F196,3)="331",LEFT($G196,3)="331"),$I196=""),"Thiếu Mã ĐT! ","")&amp;IF(AND($I196&lt;&gt;"",COUNTIF(DM_DT!$A$7:$A$306,$I196)=0),"Mã ĐT chưa khai báo! ","")))</f>
        <v/>
      </c>
      <c r="M196" s="117">
        <f>IF($H196="","",IF(AND(OR(LEFT($F196,3)="111",LEFT($F196,3)="112",LEFT($F196,3)="113"),OR(LEFT($G196,3)="111",LEFT($G196,3)="112",LEFT($G196,3)="113")),"NB",IF(OR(LEFT($F196,3)="111",LEFT($F196,3)="112",LEFT($F196,3)="113"),"THU",IF(OR(LEFT($G196,3)="111",LEFT($G196,3)="112",LEFT($G196,3)="113"),"CHI",""))))</f>
        <v/>
      </c>
      <c r="N196" s="117">
        <f>IF($M196="THU",$G196,IF($M196="CHI",$F196,""))</f>
        <v/>
      </c>
      <c r="O196" s="117">
        <f>IF(OR($M196="",$M196="NB"),"",IF($J196&lt;&gt;"",TEXT($J196,"00"),IFERROR(VLOOKUP(LEFT($N196,4),LCTT_MAP!$A$7:$C$66,IF($M196="THU",2,3),FALSE()),IFERROR(VLOOKUP(LEFT($N196,3),LCTT_MAP!$A$7:$C$66,IF($M196="THU",2,3),FALSE()),IFERROR(VLOOKUP(LEFT($N196,2),LCTT_MAP!$A$7:$C$66,IF($M196="THU",2,3),FALSE()),IFERROR(VLOOKUP(LEFT($N196,1),LCTT_MAP!$A$7:$C$66,IF($M196="THU",2,3),FALSE()),IF($M196="THU","06","07")))))))</f>
        <v/>
      </c>
      <c r="P196" s="117">
        <f>P195+IF(AND($H196&lt;&gt;"",OR(LEFT($F196,LEN(SC_TK))=SC_TK,LEFT($G196,LEN(SC_TK))=SC_TK)),1,0)</f>
        <v/>
      </c>
    </row>
    <row r="197" ht="15" customHeight="1" s="78">
      <c r="A197" s="95">
        <f>IF($H197="","",ROW()-6)</f>
        <v/>
      </c>
      <c r="B197" s="114" t="n"/>
      <c r="C197" s="102" t="n"/>
      <c r="D197" s="114" t="n"/>
      <c r="E197" s="103" t="n"/>
      <c r="F197" s="102" t="n"/>
      <c r="G197" s="102" t="n"/>
      <c r="H197" s="115" t="n"/>
      <c r="I197" s="102" t="n"/>
      <c r="J197" s="102" t="n"/>
      <c r="K197" s="103" t="n"/>
      <c r="L197" s="116">
        <f>IF($H197="","",TRIM(IF(COUNTIF(DMTK!$A$7:$A$250,$F197)=0,"TK Nợ sai! ","")&amp;IF(COUNTIF(DMTK!$A$7:$A$250,$G197)=0,"TK Có sai! ","")&amp;IF(N($H197)&lt;=0,"Tiền phải &gt; 0! ","")&amp;IF($B197="","Thiếu ngày! ","")&amp;IF(AND(OR(LEFT($F197,3)="131",LEFT($G197,3)="131",LEFT($F197,3)="331",LEFT($G197,3)="331"),$I197=""),"Thiếu Mã ĐT! ","")&amp;IF(AND($I197&lt;&gt;"",COUNTIF(DM_DT!$A$7:$A$306,$I197)=0),"Mã ĐT chưa khai báo! ","")))</f>
        <v/>
      </c>
      <c r="M197" s="117">
        <f>IF($H197="","",IF(AND(OR(LEFT($F197,3)="111",LEFT($F197,3)="112",LEFT($F197,3)="113"),OR(LEFT($G197,3)="111",LEFT($G197,3)="112",LEFT($G197,3)="113")),"NB",IF(OR(LEFT($F197,3)="111",LEFT($F197,3)="112",LEFT($F197,3)="113"),"THU",IF(OR(LEFT($G197,3)="111",LEFT($G197,3)="112",LEFT($G197,3)="113"),"CHI",""))))</f>
        <v/>
      </c>
      <c r="N197" s="117">
        <f>IF($M197="THU",$G197,IF($M197="CHI",$F197,""))</f>
        <v/>
      </c>
      <c r="O197" s="117">
        <f>IF(OR($M197="",$M197="NB"),"",IF($J197&lt;&gt;"",TEXT($J197,"00"),IFERROR(VLOOKUP(LEFT($N197,4),LCTT_MAP!$A$7:$C$66,IF($M197="THU",2,3),FALSE()),IFERROR(VLOOKUP(LEFT($N197,3),LCTT_MAP!$A$7:$C$66,IF($M197="THU",2,3),FALSE()),IFERROR(VLOOKUP(LEFT($N197,2),LCTT_MAP!$A$7:$C$66,IF($M197="THU",2,3),FALSE()),IFERROR(VLOOKUP(LEFT($N197,1),LCTT_MAP!$A$7:$C$66,IF($M197="THU",2,3),FALSE()),IF($M197="THU","06","07")))))))</f>
        <v/>
      </c>
      <c r="P197" s="117">
        <f>P196+IF(AND($H197&lt;&gt;"",OR(LEFT($F197,LEN(SC_TK))=SC_TK,LEFT($G197,LEN(SC_TK))=SC_TK)),1,0)</f>
        <v/>
      </c>
    </row>
    <row r="198" ht="15" customHeight="1" s="78">
      <c r="A198" s="95">
        <f>IF($H198="","",ROW()-6)</f>
        <v/>
      </c>
      <c r="B198" s="114" t="n"/>
      <c r="C198" s="102" t="n"/>
      <c r="D198" s="114" t="n"/>
      <c r="E198" s="103" t="n"/>
      <c r="F198" s="102" t="n"/>
      <c r="G198" s="102" t="n"/>
      <c r="H198" s="115" t="n"/>
      <c r="I198" s="102" t="n"/>
      <c r="J198" s="102" t="n"/>
      <c r="K198" s="103" t="n"/>
      <c r="L198" s="116">
        <f>IF($H198="","",TRIM(IF(COUNTIF(DMTK!$A$7:$A$250,$F198)=0,"TK Nợ sai! ","")&amp;IF(COUNTIF(DMTK!$A$7:$A$250,$G198)=0,"TK Có sai! ","")&amp;IF(N($H198)&lt;=0,"Tiền phải &gt; 0! ","")&amp;IF($B198="","Thiếu ngày! ","")&amp;IF(AND(OR(LEFT($F198,3)="131",LEFT($G198,3)="131",LEFT($F198,3)="331",LEFT($G198,3)="331"),$I198=""),"Thiếu Mã ĐT! ","")&amp;IF(AND($I198&lt;&gt;"",COUNTIF(DM_DT!$A$7:$A$306,$I198)=0),"Mã ĐT chưa khai báo! ","")))</f>
        <v/>
      </c>
      <c r="M198" s="117">
        <f>IF($H198="","",IF(AND(OR(LEFT($F198,3)="111",LEFT($F198,3)="112",LEFT($F198,3)="113"),OR(LEFT($G198,3)="111",LEFT($G198,3)="112",LEFT($G198,3)="113")),"NB",IF(OR(LEFT($F198,3)="111",LEFT($F198,3)="112",LEFT($F198,3)="113"),"THU",IF(OR(LEFT($G198,3)="111",LEFT($G198,3)="112",LEFT($G198,3)="113"),"CHI",""))))</f>
        <v/>
      </c>
      <c r="N198" s="117">
        <f>IF($M198="THU",$G198,IF($M198="CHI",$F198,""))</f>
        <v/>
      </c>
      <c r="O198" s="117">
        <f>IF(OR($M198="",$M198="NB"),"",IF($J198&lt;&gt;"",TEXT($J198,"00"),IFERROR(VLOOKUP(LEFT($N198,4),LCTT_MAP!$A$7:$C$66,IF($M198="THU",2,3),FALSE()),IFERROR(VLOOKUP(LEFT($N198,3),LCTT_MAP!$A$7:$C$66,IF($M198="THU",2,3),FALSE()),IFERROR(VLOOKUP(LEFT($N198,2),LCTT_MAP!$A$7:$C$66,IF($M198="THU",2,3),FALSE()),IFERROR(VLOOKUP(LEFT($N198,1),LCTT_MAP!$A$7:$C$66,IF($M198="THU",2,3),FALSE()),IF($M198="THU","06","07")))))))</f>
        <v/>
      </c>
      <c r="P198" s="117">
        <f>P197+IF(AND($H198&lt;&gt;"",OR(LEFT($F198,LEN(SC_TK))=SC_TK,LEFT($G198,LEN(SC_TK))=SC_TK)),1,0)</f>
        <v/>
      </c>
    </row>
    <row r="199" ht="15" customHeight="1" s="78">
      <c r="A199" s="95">
        <f>IF($H199="","",ROW()-6)</f>
        <v/>
      </c>
      <c r="B199" s="114" t="n"/>
      <c r="C199" s="102" t="n"/>
      <c r="D199" s="114" t="n"/>
      <c r="E199" s="103" t="n"/>
      <c r="F199" s="102" t="n"/>
      <c r="G199" s="102" t="n"/>
      <c r="H199" s="115" t="n"/>
      <c r="I199" s="102" t="n"/>
      <c r="J199" s="102" t="n"/>
      <c r="K199" s="103" t="n"/>
      <c r="L199" s="116">
        <f>IF($H199="","",TRIM(IF(COUNTIF(DMTK!$A$7:$A$250,$F199)=0,"TK Nợ sai! ","")&amp;IF(COUNTIF(DMTK!$A$7:$A$250,$G199)=0,"TK Có sai! ","")&amp;IF(N($H199)&lt;=0,"Tiền phải &gt; 0! ","")&amp;IF($B199="","Thiếu ngày! ","")&amp;IF(AND(OR(LEFT($F199,3)="131",LEFT($G199,3)="131",LEFT($F199,3)="331",LEFT($G199,3)="331"),$I199=""),"Thiếu Mã ĐT! ","")&amp;IF(AND($I199&lt;&gt;"",COUNTIF(DM_DT!$A$7:$A$306,$I199)=0),"Mã ĐT chưa khai báo! ","")))</f>
        <v/>
      </c>
      <c r="M199" s="117">
        <f>IF($H199="","",IF(AND(OR(LEFT($F199,3)="111",LEFT($F199,3)="112",LEFT($F199,3)="113"),OR(LEFT($G199,3)="111",LEFT($G199,3)="112",LEFT($G199,3)="113")),"NB",IF(OR(LEFT($F199,3)="111",LEFT($F199,3)="112",LEFT($F199,3)="113"),"THU",IF(OR(LEFT($G199,3)="111",LEFT($G199,3)="112",LEFT($G199,3)="113"),"CHI",""))))</f>
        <v/>
      </c>
      <c r="N199" s="117">
        <f>IF($M199="THU",$G199,IF($M199="CHI",$F199,""))</f>
        <v/>
      </c>
      <c r="O199" s="117">
        <f>IF(OR($M199="",$M199="NB"),"",IF($J199&lt;&gt;"",TEXT($J199,"00"),IFERROR(VLOOKUP(LEFT($N199,4),LCTT_MAP!$A$7:$C$66,IF($M199="THU",2,3),FALSE()),IFERROR(VLOOKUP(LEFT($N199,3),LCTT_MAP!$A$7:$C$66,IF($M199="THU",2,3),FALSE()),IFERROR(VLOOKUP(LEFT($N199,2),LCTT_MAP!$A$7:$C$66,IF($M199="THU",2,3),FALSE()),IFERROR(VLOOKUP(LEFT($N199,1),LCTT_MAP!$A$7:$C$66,IF($M199="THU",2,3),FALSE()),IF($M199="THU","06","07")))))))</f>
        <v/>
      </c>
      <c r="P199" s="117">
        <f>P198+IF(AND($H199&lt;&gt;"",OR(LEFT($F199,LEN(SC_TK))=SC_TK,LEFT($G199,LEN(SC_TK))=SC_TK)),1,0)</f>
        <v/>
      </c>
    </row>
    <row r="200" ht="15" customHeight="1" s="78">
      <c r="A200" s="95">
        <f>IF($H200="","",ROW()-6)</f>
        <v/>
      </c>
      <c r="B200" s="114" t="n"/>
      <c r="C200" s="102" t="n"/>
      <c r="D200" s="114" t="n"/>
      <c r="E200" s="103" t="n"/>
      <c r="F200" s="102" t="n"/>
      <c r="G200" s="102" t="n"/>
      <c r="H200" s="115" t="n"/>
      <c r="I200" s="102" t="n"/>
      <c r="J200" s="102" t="n"/>
      <c r="K200" s="103" t="n"/>
      <c r="L200" s="116">
        <f>IF($H200="","",TRIM(IF(COUNTIF(DMTK!$A$7:$A$250,$F200)=0,"TK Nợ sai! ","")&amp;IF(COUNTIF(DMTK!$A$7:$A$250,$G200)=0,"TK Có sai! ","")&amp;IF(N($H200)&lt;=0,"Tiền phải &gt; 0! ","")&amp;IF($B200="","Thiếu ngày! ","")&amp;IF(AND(OR(LEFT($F200,3)="131",LEFT($G200,3)="131",LEFT($F200,3)="331",LEFT($G200,3)="331"),$I200=""),"Thiếu Mã ĐT! ","")&amp;IF(AND($I200&lt;&gt;"",COUNTIF(DM_DT!$A$7:$A$306,$I200)=0),"Mã ĐT chưa khai báo! ","")))</f>
        <v/>
      </c>
      <c r="M200" s="117">
        <f>IF($H200="","",IF(AND(OR(LEFT($F200,3)="111",LEFT($F200,3)="112",LEFT($F200,3)="113"),OR(LEFT($G200,3)="111",LEFT($G200,3)="112",LEFT($G200,3)="113")),"NB",IF(OR(LEFT($F200,3)="111",LEFT($F200,3)="112",LEFT($F200,3)="113"),"THU",IF(OR(LEFT($G200,3)="111",LEFT($G200,3)="112",LEFT($G200,3)="113"),"CHI",""))))</f>
        <v/>
      </c>
      <c r="N200" s="117">
        <f>IF($M200="THU",$G200,IF($M200="CHI",$F200,""))</f>
        <v/>
      </c>
      <c r="O200" s="117">
        <f>IF(OR($M200="",$M200="NB"),"",IF($J200&lt;&gt;"",TEXT($J200,"00"),IFERROR(VLOOKUP(LEFT($N200,4),LCTT_MAP!$A$7:$C$66,IF($M200="THU",2,3),FALSE()),IFERROR(VLOOKUP(LEFT($N200,3),LCTT_MAP!$A$7:$C$66,IF($M200="THU",2,3),FALSE()),IFERROR(VLOOKUP(LEFT($N200,2),LCTT_MAP!$A$7:$C$66,IF($M200="THU",2,3),FALSE()),IFERROR(VLOOKUP(LEFT($N200,1),LCTT_MAP!$A$7:$C$66,IF($M200="THU",2,3),FALSE()),IF($M200="THU","06","07")))))))</f>
        <v/>
      </c>
      <c r="P200" s="117">
        <f>P199+IF(AND($H200&lt;&gt;"",OR(LEFT($F200,LEN(SC_TK))=SC_TK,LEFT($G200,LEN(SC_TK))=SC_TK)),1,0)</f>
        <v/>
      </c>
    </row>
    <row r="201" ht="15" customHeight="1" s="78">
      <c r="A201" s="95">
        <f>IF($H201="","",ROW()-6)</f>
        <v/>
      </c>
      <c r="B201" s="114" t="n"/>
      <c r="C201" s="102" t="n"/>
      <c r="D201" s="114" t="n"/>
      <c r="E201" s="103" t="n"/>
      <c r="F201" s="102" t="n"/>
      <c r="G201" s="102" t="n"/>
      <c r="H201" s="115" t="n"/>
      <c r="I201" s="102" t="n"/>
      <c r="J201" s="102" t="n"/>
      <c r="K201" s="103" t="n"/>
      <c r="L201" s="116">
        <f>IF($H201="","",TRIM(IF(COUNTIF(DMTK!$A$7:$A$250,$F201)=0,"TK Nợ sai! ","")&amp;IF(COUNTIF(DMTK!$A$7:$A$250,$G201)=0,"TK Có sai! ","")&amp;IF(N($H201)&lt;=0,"Tiền phải &gt; 0! ","")&amp;IF($B201="","Thiếu ngày! ","")&amp;IF(AND(OR(LEFT($F201,3)="131",LEFT($G201,3)="131",LEFT($F201,3)="331",LEFT($G201,3)="331"),$I201=""),"Thiếu Mã ĐT! ","")&amp;IF(AND($I201&lt;&gt;"",COUNTIF(DM_DT!$A$7:$A$306,$I201)=0),"Mã ĐT chưa khai báo! ","")))</f>
        <v/>
      </c>
      <c r="M201" s="117">
        <f>IF($H201="","",IF(AND(OR(LEFT($F201,3)="111",LEFT($F201,3)="112",LEFT($F201,3)="113"),OR(LEFT($G201,3)="111",LEFT($G201,3)="112",LEFT($G201,3)="113")),"NB",IF(OR(LEFT($F201,3)="111",LEFT($F201,3)="112",LEFT($F201,3)="113"),"THU",IF(OR(LEFT($G201,3)="111",LEFT($G201,3)="112",LEFT($G201,3)="113"),"CHI",""))))</f>
        <v/>
      </c>
      <c r="N201" s="117">
        <f>IF($M201="THU",$G201,IF($M201="CHI",$F201,""))</f>
        <v/>
      </c>
      <c r="O201" s="117">
        <f>IF(OR($M201="",$M201="NB"),"",IF($J201&lt;&gt;"",TEXT($J201,"00"),IFERROR(VLOOKUP(LEFT($N201,4),LCTT_MAP!$A$7:$C$66,IF($M201="THU",2,3),FALSE()),IFERROR(VLOOKUP(LEFT($N201,3),LCTT_MAP!$A$7:$C$66,IF($M201="THU",2,3),FALSE()),IFERROR(VLOOKUP(LEFT($N201,2),LCTT_MAP!$A$7:$C$66,IF($M201="THU",2,3),FALSE()),IFERROR(VLOOKUP(LEFT($N201,1),LCTT_MAP!$A$7:$C$66,IF($M201="THU",2,3),FALSE()),IF($M201="THU","06","07")))))))</f>
        <v/>
      </c>
      <c r="P201" s="117">
        <f>P200+IF(AND($H201&lt;&gt;"",OR(LEFT($F201,LEN(SC_TK))=SC_TK,LEFT($G201,LEN(SC_TK))=SC_TK)),1,0)</f>
        <v/>
      </c>
    </row>
    <row r="202" ht="15" customHeight="1" s="78">
      <c r="A202" s="95">
        <f>IF($H202="","",ROW()-6)</f>
        <v/>
      </c>
      <c r="B202" s="114" t="n"/>
      <c r="C202" s="102" t="n"/>
      <c r="D202" s="114" t="n"/>
      <c r="E202" s="103" t="n"/>
      <c r="F202" s="102" t="n"/>
      <c r="G202" s="102" t="n"/>
      <c r="H202" s="115" t="n"/>
      <c r="I202" s="102" t="n"/>
      <c r="J202" s="102" t="n"/>
      <c r="K202" s="103" t="n"/>
      <c r="L202" s="116">
        <f>IF($H202="","",TRIM(IF(COUNTIF(DMTK!$A$7:$A$250,$F202)=0,"TK Nợ sai! ","")&amp;IF(COUNTIF(DMTK!$A$7:$A$250,$G202)=0,"TK Có sai! ","")&amp;IF(N($H202)&lt;=0,"Tiền phải &gt; 0! ","")&amp;IF($B202="","Thiếu ngày! ","")&amp;IF(AND(OR(LEFT($F202,3)="131",LEFT($G202,3)="131",LEFT($F202,3)="331",LEFT($G202,3)="331"),$I202=""),"Thiếu Mã ĐT! ","")&amp;IF(AND($I202&lt;&gt;"",COUNTIF(DM_DT!$A$7:$A$306,$I202)=0),"Mã ĐT chưa khai báo! ","")))</f>
        <v/>
      </c>
      <c r="M202" s="117">
        <f>IF($H202="","",IF(AND(OR(LEFT($F202,3)="111",LEFT($F202,3)="112",LEFT($F202,3)="113"),OR(LEFT($G202,3)="111",LEFT($G202,3)="112",LEFT($G202,3)="113")),"NB",IF(OR(LEFT($F202,3)="111",LEFT($F202,3)="112",LEFT($F202,3)="113"),"THU",IF(OR(LEFT($G202,3)="111",LEFT($G202,3)="112",LEFT($G202,3)="113"),"CHI",""))))</f>
        <v/>
      </c>
      <c r="N202" s="117">
        <f>IF($M202="THU",$G202,IF($M202="CHI",$F202,""))</f>
        <v/>
      </c>
      <c r="O202" s="117">
        <f>IF(OR($M202="",$M202="NB"),"",IF($J202&lt;&gt;"",TEXT($J202,"00"),IFERROR(VLOOKUP(LEFT($N202,4),LCTT_MAP!$A$7:$C$66,IF($M202="THU",2,3),FALSE()),IFERROR(VLOOKUP(LEFT($N202,3),LCTT_MAP!$A$7:$C$66,IF($M202="THU",2,3),FALSE()),IFERROR(VLOOKUP(LEFT($N202,2),LCTT_MAP!$A$7:$C$66,IF($M202="THU",2,3),FALSE()),IFERROR(VLOOKUP(LEFT($N202,1),LCTT_MAP!$A$7:$C$66,IF($M202="THU",2,3),FALSE()),IF($M202="THU","06","07")))))))</f>
        <v/>
      </c>
      <c r="P202" s="117">
        <f>P201+IF(AND($H202&lt;&gt;"",OR(LEFT($F202,LEN(SC_TK))=SC_TK,LEFT($G202,LEN(SC_TK))=SC_TK)),1,0)</f>
        <v/>
      </c>
    </row>
    <row r="203" ht="15" customHeight="1" s="78">
      <c r="A203" s="95">
        <f>IF($H203="","",ROW()-6)</f>
        <v/>
      </c>
      <c r="B203" s="114" t="n"/>
      <c r="C203" s="102" t="n"/>
      <c r="D203" s="114" t="n"/>
      <c r="E203" s="103" t="n"/>
      <c r="F203" s="102" t="n"/>
      <c r="G203" s="102" t="n"/>
      <c r="H203" s="115" t="n"/>
      <c r="I203" s="102" t="n"/>
      <c r="J203" s="102" t="n"/>
      <c r="K203" s="103" t="n"/>
      <c r="L203" s="116">
        <f>IF($H203="","",TRIM(IF(COUNTIF(DMTK!$A$7:$A$250,$F203)=0,"TK Nợ sai! ","")&amp;IF(COUNTIF(DMTK!$A$7:$A$250,$G203)=0,"TK Có sai! ","")&amp;IF(N($H203)&lt;=0,"Tiền phải &gt; 0! ","")&amp;IF($B203="","Thiếu ngày! ","")&amp;IF(AND(OR(LEFT($F203,3)="131",LEFT($G203,3)="131",LEFT($F203,3)="331",LEFT($G203,3)="331"),$I203=""),"Thiếu Mã ĐT! ","")&amp;IF(AND($I203&lt;&gt;"",COUNTIF(DM_DT!$A$7:$A$306,$I203)=0),"Mã ĐT chưa khai báo! ","")))</f>
        <v/>
      </c>
      <c r="M203" s="117">
        <f>IF($H203="","",IF(AND(OR(LEFT($F203,3)="111",LEFT($F203,3)="112",LEFT($F203,3)="113"),OR(LEFT($G203,3)="111",LEFT($G203,3)="112",LEFT($G203,3)="113")),"NB",IF(OR(LEFT($F203,3)="111",LEFT($F203,3)="112",LEFT($F203,3)="113"),"THU",IF(OR(LEFT($G203,3)="111",LEFT($G203,3)="112",LEFT($G203,3)="113"),"CHI",""))))</f>
        <v/>
      </c>
      <c r="N203" s="117">
        <f>IF($M203="THU",$G203,IF($M203="CHI",$F203,""))</f>
        <v/>
      </c>
      <c r="O203" s="117">
        <f>IF(OR($M203="",$M203="NB"),"",IF($J203&lt;&gt;"",TEXT($J203,"00"),IFERROR(VLOOKUP(LEFT($N203,4),LCTT_MAP!$A$7:$C$66,IF($M203="THU",2,3),FALSE()),IFERROR(VLOOKUP(LEFT($N203,3),LCTT_MAP!$A$7:$C$66,IF($M203="THU",2,3),FALSE()),IFERROR(VLOOKUP(LEFT($N203,2),LCTT_MAP!$A$7:$C$66,IF($M203="THU",2,3),FALSE()),IFERROR(VLOOKUP(LEFT($N203,1),LCTT_MAP!$A$7:$C$66,IF($M203="THU",2,3),FALSE()),IF($M203="THU","06","07")))))))</f>
        <v/>
      </c>
      <c r="P203" s="117">
        <f>P202+IF(AND($H203&lt;&gt;"",OR(LEFT($F203,LEN(SC_TK))=SC_TK,LEFT($G203,LEN(SC_TK))=SC_TK)),1,0)</f>
        <v/>
      </c>
    </row>
    <row r="204" ht="15" customHeight="1" s="78">
      <c r="A204" s="95">
        <f>IF($H204="","",ROW()-6)</f>
        <v/>
      </c>
      <c r="B204" s="114" t="n"/>
      <c r="C204" s="102" t="n"/>
      <c r="D204" s="114" t="n"/>
      <c r="E204" s="103" t="n"/>
      <c r="F204" s="102" t="n"/>
      <c r="G204" s="102" t="n"/>
      <c r="H204" s="115" t="n"/>
      <c r="I204" s="102" t="n"/>
      <c r="J204" s="102" t="n"/>
      <c r="K204" s="103" t="n"/>
      <c r="L204" s="116">
        <f>IF($H204="","",TRIM(IF(COUNTIF(DMTK!$A$7:$A$250,$F204)=0,"TK Nợ sai! ","")&amp;IF(COUNTIF(DMTK!$A$7:$A$250,$G204)=0,"TK Có sai! ","")&amp;IF(N($H204)&lt;=0,"Tiền phải &gt; 0! ","")&amp;IF($B204="","Thiếu ngày! ","")&amp;IF(AND(OR(LEFT($F204,3)="131",LEFT($G204,3)="131",LEFT($F204,3)="331",LEFT($G204,3)="331"),$I204=""),"Thiếu Mã ĐT! ","")&amp;IF(AND($I204&lt;&gt;"",COUNTIF(DM_DT!$A$7:$A$306,$I204)=0),"Mã ĐT chưa khai báo! ","")))</f>
        <v/>
      </c>
      <c r="M204" s="117">
        <f>IF($H204="","",IF(AND(OR(LEFT($F204,3)="111",LEFT($F204,3)="112",LEFT($F204,3)="113"),OR(LEFT($G204,3)="111",LEFT($G204,3)="112",LEFT($G204,3)="113")),"NB",IF(OR(LEFT($F204,3)="111",LEFT($F204,3)="112",LEFT($F204,3)="113"),"THU",IF(OR(LEFT($G204,3)="111",LEFT($G204,3)="112",LEFT($G204,3)="113"),"CHI",""))))</f>
        <v/>
      </c>
      <c r="N204" s="117">
        <f>IF($M204="THU",$G204,IF($M204="CHI",$F204,""))</f>
        <v/>
      </c>
      <c r="O204" s="117">
        <f>IF(OR($M204="",$M204="NB"),"",IF($J204&lt;&gt;"",TEXT($J204,"00"),IFERROR(VLOOKUP(LEFT($N204,4),LCTT_MAP!$A$7:$C$66,IF($M204="THU",2,3),FALSE()),IFERROR(VLOOKUP(LEFT($N204,3),LCTT_MAP!$A$7:$C$66,IF($M204="THU",2,3),FALSE()),IFERROR(VLOOKUP(LEFT($N204,2),LCTT_MAP!$A$7:$C$66,IF($M204="THU",2,3),FALSE()),IFERROR(VLOOKUP(LEFT($N204,1),LCTT_MAP!$A$7:$C$66,IF($M204="THU",2,3),FALSE()),IF($M204="THU","06","07")))))))</f>
        <v/>
      </c>
      <c r="P204" s="117">
        <f>P203+IF(AND($H204&lt;&gt;"",OR(LEFT($F204,LEN(SC_TK))=SC_TK,LEFT($G204,LEN(SC_TK))=SC_TK)),1,0)</f>
        <v/>
      </c>
    </row>
    <row r="205" ht="15" customHeight="1" s="78">
      <c r="A205" s="95">
        <f>IF($H205="","",ROW()-6)</f>
        <v/>
      </c>
      <c r="B205" s="114" t="n"/>
      <c r="C205" s="102" t="n"/>
      <c r="D205" s="114" t="n"/>
      <c r="E205" s="103" t="n"/>
      <c r="F205" s="102" t="n"/>
      <c r="G205" s="102" t="n"/>
      <c r="H205" s="115" t="n"/>
      <c r="I205" s="102" t="n"/>
      <c r="J205" s="102" t="n"/>
      <c r="K205" s="103" t="n"/>
      <c r="L205" s="116">
        <f>IF($H205="","",TRIM(IF(COUNTIF(DMTK!$A$7:$A$250,$F205)=0,"TK Nợ sai! ","")&amp;IF(COUNTIF(DMTK!$A$7:$A$250,$G205)=0,"TK Có sai! ","")&amp;IF(N($H205)&lt;=0,"Tiền phải &gt; 0! ","")&amp;IF($B205="","Thiếu ngày! ","")&amp;IF(AND(OR(LEFT($F205,3)="131",LEFT($G205,3)="131",LEFT($F205,3)="331",LEFT($G205,3)="331"),$I205=""),"Thiếu Mã ĐT! ","")&amp;IF(AND($I205&lt;&gt;"",COUNTIF(DM_DT!$A$7:$A$306,$I205)=0),"Mã ĐT chưa khai báo! ","")))</f>
        <v/>
      </c>
      <c r="M205" s="117">
        <f>IF($H205="","",IF(AND(OR(LEFT($F205,3)="111",LEFT($F205,3)="112",LEFT($F205,3)="113"),OR(LEFT($G205,3)="111",LEFT($G205,3)="112",LEFT($G205,3)="113")),"NB",IF(OR(LEFT($F205,3)="111",LEFT($F205,3)="112",LEFT($F205,3)="113"),"THU",IF(OR(LEFT($G205,3)="111",LEFT($G205,3)="112",LEFT($G205,3)="113"),"CHI",""))))</f>
        <v/>
      </c>
      <c r="N205" s="117">
        <f>IF($M205="THU",$G205,IF($M205="CHI",$F205,""))</f>
        <v/>
      </c>
      <c r="O205" s="117">
        <f>IF(OR($M205="",$M205="NB"),"",IF($J205&lt;&gt;"",TEXT($J205,"00"),IFERROR(VLOOKUP(LEFT($N205,4),LCTT_MAP!$A$7:$C$66,IF($M205="THU",2,3),FALSE()),IFERROR(VLOOKUP(LEFT($N205,3),LCTT_MAP!$A$7:$C$66,IF($M205="THU",2,3),FALSE()),IFERROR(VLOOKUP(LEFT($N205,2),LCTT_MAP!$A$7:$C$66,IF($M205="THU",2,3),FALSE()),IFERROR(VLOOKUP(LEFT($N205,1),LCTT_MAP!$A$7:$C$66,IF($M205="THU",2,3),FALSE()),IF($M205="THU","06","07")))))))</f>
        <v/>
      </c>
      <c r="P205" s="117">
        <f>P204+IF(AND($H205&lt;&gt;"",OR(LEFT($F205,LEN(SC_TK))=SC_TK,LEFT($G205,LEN(SC_TK))=SC_TK)),1,0)</f>
        <v/>
      </c>
    </row>
    <row r="206" ht="15" customHeight="1" s="78">
      <c r="A206" s="95">
        <f>IF($H206="","",ROW()-6)</f>
        <v/>
      </c>
      <c r="B206" s="114" t="n"/>
      <c r="C206" s="102" t="n"/>
      <c r="D206" s="114" t="n"/>
      <c r="E206" s="103" t="n"/>
      <c r="F206" s="102" t="n"/>
      <c r="G206" s="102" t="n"/>
      <c r="H206" s="115" t="n"/>
      <c r="I206" s="102" t="n"/>
      <c r="J206" s="102" t="n"/>
      <c r="K206" s="103" t="n"/>
      <c r="L206" s="116">
        <f>IF($H206="","",TRIM(IF(COUNTIF(DMTK!$A$7:$A$250,$F206)=0,"TK Nợ sai! ","")&amp;IF(COUNTIF(DMTK!$A$7:$A$250,$G206)=0,"TK Có sai! ","")&amp;IF(N($H206)&lt;=0,"Tiền phải &gt; 0! ","")&amp;IF($B206="","Thiếu ngày! ","")&amp;IF(AND(OR(LEFT($F206,3)="131",LEFT($G206,3)="131",LEFT($F206,3)="331",LEFT($G206,3)="331"),$I206=""),"Thiếu Mã ĐT! ","")&amp;IF(AND($I206&lt;&gt;"",COUNTIF(DM_DT!$A$7:$A$306,$I206)=0),"Mã ĐT chưa khai báo! ","")))</f>
        <v/>
      </c>
      <c r="M206" s="117">
        <f>IF($H206="","",IF(AND(OR(LEFT($F206,3)="111",LEFT($F206,3)="112",LEFT($F206,3)="113"),OR(LEFT($G206,3)="111",LEFT($G206,3)="112",LEFT($G206,3)="113")),"NB",IF(OR(LEFT($F206,3)="111",LEFT($F206,3)="112",LEFT($F206,3)="113"),"THU",IF(OR(LEFT($G206,3)="111",LEFT($G206,3)="112",LEFT($G206,3)="113"),"CHI",""))))</f>
        <v/>
      </c>
      <c r="N206" s="117">
        <f>IF($M206="THU",$G206,IF($M206="CHI",$F206,""))</f>
        <v/>
      </c>
      <c r="O206" s="117">
        <f>IF(OR($M206="",$M206="NB"),"",IF($J206&lt;&gt;"",TEXT($J206,"00"),IFERROR(VLOOKUP(LEFT($N206,4),LCTT_MAP!$A$7:$C$66,IF($M206="THU",2,3),FALSE()),IFERROR(VLOOKUP(LEFT($N206,3),LCTT_MAP!$A$7:$C$66,IF($M206="THU",2,3),FALSE()),IFERROR(VLOOKUP(LEFT($N206,2),LCTT_MAP!$A$7:$C$66,IF($M206="THU",2,3),FALSE()),IFERROR(VLOOKUP(LEFT($N206,1),LCTT_MAP!$A$7:$C$66,IF($M206="THU",2,3),FALSE()),IF($M206="THU","06","07")))))))</f>
        <v/>
      </c>
      <c r="P206" s="117">
        <f>P205+IF(AND($H206&lt;&gt;"",OR(LEFT($F206,LEN(SC_TK))=SC_TK,LEFT($G206,LEN(SC_TK))=SC_TK)),1,0)</f>
        <v/>
      </c>
    </row>
    <row r="207" ht="15" customHeight="1" s="78">
      <c r="A207" s="95">
        <f>IF($H207="","",ROW()-6)</f>
        <v/>
      </c>
      <c r="B207" s="114" t="n"/>
      <c r="C207" s="102" t="n"/>
      <c r="D207" s="114" t="n"/>
      <c r="E207" s="103" t="n"/>
      <c r="F207" s="102" t="n"/>
      <c r="G207" s="102" t="n"/>
      <c r="H207" s="115" t="n"/>
      <c r="I207" s="102" t="n"/>
      <c r="J207" s="102" t="n"/>
      <c r="K207" s="103" t="n"/>
      <c r="L207" s="116">
        <f>IF($H207="","",TRIM(IF(COUNTIF(DMTK!$A$7:$A$250,$F207)=0,"TK Nợ sai! ","")&amp;IF(COUNTIF(DMTK!$A$7:$A$250,$G207)=0,"TK Có sai! ","")&amp;IF(N($H207)&lt;=0,"Tiền phải &gt; 0! ","")&amp;IF($B207="","Thiếu ngày! ","")&amp;IF(AND(OR(LEFT($F207,3)="131",LEFT($G207,3)="131",LEFT($F207,3)="331",LEFT($G207,3)="331"),$I207=""),"Thiếu Mã ĐT! ","")&amp;IF(AND($I207&lt;&gt;"",COUNTIF(DM_DT!$A$7:$A$306,$I207)=0),"Mã ĐT chưa khai báo! ","")))</f>
        <v/>
      </c>
      <c r="M207" s="117">
        <f>IF($H207="","",IF(AND(OR(LEFT($F207,3)="111",LEFT($F207,3)="112",LEFT($F207,3)="113"),OR(LEFT($G207,3)="111",LEFT($G207,3)="112",LEFT($G207,3)="113")),"NB",IF(OR(LEFT($F207,3)="111",LEFT($F207,3)="112",LEFT($F207,3)="113"),"THU",IF(OR(LEFT($G207,3)="111",LEFT($G207,3)="112",LEFT($G207,3)="113"),"CHI",""))))</f>
        <v/>
      </c>
      <c r="N207" s="117">
        <f>IF($M207="THU",$G207,IF($M207="CHI",$F207,""))</f>
        <v/>
      </c>
      <c r="O207" s="117">
        <f>IF(OR($M207="",$M207="NB"),"",IF($J207&lt;&gt;"",TEXT($J207,"00"),IFERROR(VLOOKUP(LEFT($N207,4),LCTT_MAP!$A$7:$C$66,IF($M207="THU",2,3),FALSE()),IFERROR(VLOOKUP(LEFT($N207,3),LCTT_MAP!$A$7:$C$66,IF($M207="THU",2,3),FALSE()),IFERROR(VLOOKUP(LEFT($N207,2),LCTT_MAP!$A$7:$C$66,IF($M207="THU",2,3),FALSE()),IFERROR(VLOOKUP(LEFT($N207,1),LCTT_MAP!$A$7:$C$66,IF($M207="THU",2,3),FALSE()),IF($M207="THU","06","07")))))))</f>
        <v/>
      </c>
      <c r="P207" s="117">
        <f>P206+IF(AND($H207&lt;&gt;"",OR(LEFT($F207,LEN(SC_TK))=SC_TK,LEFT($G207,LEN(SC_TK))=SC_TK)),1,0)</f>
        <v/>
      </c>
    </row>
    <row r="208" ht="15" customHeight="1" s="78">
      <c r="A208" s="95">
        <f>IF($H208="","",ROW()-6)</f>
        <v/>
      </c>
      <c r="B208" s="114" t="n"/>
      <c r="C208" s="102" t="n"/>
      <c r="D208" s="114" t="n"/>
      <c r="E208" s="103" t="n"/>
      <c r="F208" s="102" t="n"/>
      <c r="G208" s="102" t="n"/>
      <c r="H208" s="115" t="n"/>
      <c r="I208" s="102" t="n"/>
      <c r="J208" s="102" t="n"/>
      <c r="K208" s="103" t="n"/>
      <c r="L208" s="116">
        <f>IF($H208="","",TRIM(IF(COUNTIF(DMTK!$A$7:$A$250,$F208)=0,"TK Nợ sai! ","")&amp;IF(COUNTIF(DMTK!$A$7:$A$250,$G208)=0,"TK Có sai! ","")&amp;IF(N($H208)&lt;=0,"Tiền phải &gt; 0! ","")&amp;IF($B208="","Thiếu ngày! ","")&amp;IF(AND(OR(LEFT($F208,3)="131",LEFT($G208,3)="131",LEFT($F208,3)="331",LEFT($G208,3)="331"),$I208=""),"Thiếu Mã ĐT! ","")&amp;IF(AND($I208&lt;&gt;"",COUNTIF(DM_DT!$A$7:$A$306,$I208)=0),"Mã ĐT chưa khai báo! ","")))</f>
        <v/>
      </c>
      <c r="M208" s="117">
        <f>IF($H208="","",IF(AND(OR(LEFT($F208,3)="111",LEFT($F208,3)="112",LEFT($F208,3)="113"),OR(LEFT($G208,3)="111",LEFT($G208,3)="112",LEFT($G208,3)="113")),"NB",IF(OR(LEFT($F208,3)="111",LEFT($F208,3)="112",LEFT($F208,3)="113"),"THU",IF(OR(LEFT($G208,3)="111",LEFT($G208,3)="112",LEFT($G208,3)="113"),"CHI",""))))</f>
        <v/>
      </c>
      <c r="N208" s="117">
        <f>IF($M208="THU",$G208,IF($M208="CHI",$F208,""))</f>
        <v/>
      </c>
      <c r="O208" s="117">
        <f>IF(OR($M208="",$M208="NB"),"",IF($J208&lt;&gt;"",TEXT($J208,"00"),IFERROR(VLOOKUP(LEFT($N208,4),LCTT_MAP!$A$7:$C$66,IF($M208="THU",2,3),FALSE()),IFERROR(VLOOKUP(LEFT($N208,3),LCTT_MAP!$A$7:$C$66,IF($M208="THU",2,3),FALSE()),IFERROR(VLOOKUP(LEFT($N208,2),LCTT_MAP!$A$7:$C$66,IF($M208="THU",2,3),FALSE()),IFERROR(VLOOKUP(LEFT($N208,1),LCTT_MAP!$A$7:$C$66,IF($M208="THU",2,3),FALSE()),IF($M208="THU","06","07")))))))</f>
        <v/>
      </c>
      <c r="P208" s="117">
        <f>P207+IF(AND($H208&lt;&gt;"",OR(LEFT($F208,LEN(SC_TK))=SC_TK,LEFT($G208,LEN(SC_TK))=SC_TK)),1,0)</f>
        <v/>
      </c>
    </row>
    <row r="209" ht="15" customHeight="1" s="78">
      <c r="A209" s="95">
        <f>IF($H209="","",ROW()-6)</f>
        <v/>
      </c>
      <c r="B209" s="114" t="n"/>
      <c r="C209" s="102" t="n"/>
      <c r="D209" s="114" t="n"/>
      <c r="E209" s="103" t="n"/>
      <c r="F209" s="102" t="n"/>
      <c r="G209" s="102" t="n"/>
      <c r="H209" s="115" t="n"/>
      <c r="I209" s="102" t="n"/>
      <c r="J209" s="102" t="n"/>
      <c r="K209" s="103" t="n"/>
      <c r="L209" s="116">
        <f>IF($H209="","",TRIM(IF(COUNTIF(DMTK!$A$7:$A$250,$F209)=0,"TK Nợ sai! ","")&amp;IF(COUNTIF(DMTK!$A$7:$A$250,$G209)=0,"TK Có sai! ","")&amp;IF(N($H209)&lt;=0,"Tiền phải &gt; 0! ","")&amp;IF($B209="","Thiếu ngày! ","")&amp;IF(AND(OR(LEFT($F209,3)="131",LEFT($G209,3)="131",LEFT($F209,3)="331",LEFT($G209,3)="331"),$I209=""),"Thiếu Mã ĐT! ","")&amp;IF(AND($I209&lt;&gt;"",COUNTIF(DM_DT!$A$7:$A$306,$I209)=0),"Mã ĐT chưa khai báo! ","")))</f>
        <v/>
      </c>
      <c r="M209" s="117">
        <f>IF($H209="","",IF(AND(OR(LEFT($F209,3)="111",LEFT($F209,3)="112",LEFT($F209,3)="113"),OR(LEFT($G209,3)="111",LEFT($G209,3)="112",LEFT($G209,3)="113")),"NB",IF(OR(LEFT($F209,3)="111",LEFT($F209,3)="112",LEFT($F209,3)="113"),"THU",IF(OR(LEFT($G209,3)="111",LEFT($G209,3)="112",LEFT($G209,3)="113"),"CHI",""))))</f>
        <v/>
      </c>
      <c r="N209" s="117">
        <f>IF($M209="THU",$G209,IF($M209="CHI",$F209,""))</f>
        <v/>
      </c>
      <c r="O209" s="117">
        <f>IF(OR($M209="",$M209="NB"),"",IF($J209&lt;&gt;"",TEXT($J209,"00"),IFERROR(VLOOKUP(LEFT($N209,4),LCTT_MAP!$A$7:$C$66,IF($M209="THU",2,3),FALSE()),IFERROR(VLOOKUP(LEFT($N209,3),LCTT_MAP!$A$7:$C$66,IF($M209="THU",2,3),FALSE()),IFERROR(VLOOKUP(LEFT($N209,2),LCTT_MAP!$A$7:$C$66,IF($M209="THU",2,3),FALSE()),IFERROR(VLOOKUP(LEFT($N209,1),LCTT_MAP!$A$7:$C$66,IF($M209="THU",2,3),FALSE()),IF($M209="THU","06","07")))))))</f>
        <v/>
      </c>
      <c r="P209" s="117">
        <f>P208+IF(AND($H209&lt;&gt;"",OR(LEFT($F209,LEN(SC_TK))=SC_TK,LEFT($G209,LEN(SC_TK))=SC_TK)),1,0)</f>
        <v/>
      </c>
    </row>
    <row r="210" ht="15" customHeight="1" s="78">
      <c r="A210" s="95">
        <f>IF($H210="","",ROW()-6)</f>
        <v/>
      </c>
      <c r="B210" s="114" t="n"/>
      <c r="C210" s="102" t="n"/>
      <c r="D210" s="114" t="n"/>
      <c r="E210" s="103" t="n"/>
      <c r="F210" s="102" t="n"/>
      <c r="G210" s="102" t="n"/>
      <c r="H210" s="115" t="n"/>
      <c r="I210" s="102" t="n"/>
      <c r="J210" s="102" t="n"/>
      <c r="K210" s="103" t="n"/>
      <c r="L210" s="116">
        <f>IF($H210="","",TRIM(IF(COUNTIF(DMTK!$A$7:$A$250,$F210)=0,"TK Nợ sai! ","")&amp;IF(COUNTIF(DMTK!$A$7:$A$250,$G210)=0,"TK Có sai! ","")&amp;IF(N($H210)&lt;=0,"Tiền phải &gt; 0! ","")&amp;IF($B210="","Thiếu ngày! ","")&amp;IF(AND(OR(LEFT($F210,3)="131",LEFT($G210,3)="131",LEFT($F210,3)="331",LEFT($G210,3)="331"),$I210=""),"Thiếu Mã ĐT! ","")&amp;IF(AND($I210&lt;&gt;"",COUNTIF(DM_DT!$A$7:$A$306,$I210)=0),"Mã ĐT chưa khai báo! ","")))</f>
        <v/>
      </c>
      <c r="M210" s="117">
        <f>IF($H210="","",IF(AND(OR(LEFT($F210,3)="111",LEFT($F210,3)="112",LEFT($F210,3)="113"),OR(LEFT($G210,3)="111",LEFT($G210,3)="112",LEFT($G210,3)="113")),"NB",IF(OR(LEFT($F210,3)="111",LEFT($F210,3)="112",LEFT($F210,3)="113"),"THU",IF(OR(LEFT($G210,3)="111",LEFT($G210,3)="112",LEFT($G210,3)="113"),"CHI",""))))</f>
        <v/>
      </c>
      <c r="N210" s="117">
        <f>IF($M210="THU",$G210,IF($M210="CHI",$F210,""))</f>
        <v/>
      </c>
      <c r="O210" s="117">
        <f>IF(OR($M210="",$M210="NB"),"",IF($J210&lt;&gt;"",TEXT($J210,"00"),IFERROR(VLOOKUP(LEFT($N210,4),LCTT_MAP!$A$7:$C$66,IF($M210="THU",2,3),FALSE()),IFERROR(VLOOKUP(LEFT($N210,3),LCTT_MAP!$A$7:$C$66,IF($M210="THU",2,3),FALSE()),IFERROR(VLOOKUP(LEFT($N210,2),LCTT_MAP!$A$7:$C$66,IF($M210="THU",2,3),FALSE()),IFERROR(VLOOKUP(LEFT($N210,1),LCTT_MAP!$A$7:$C$66,IF($M210="THU",2,3),FALSE()),IF($M210="THU","06","07")))))))</f>
        <v/>
      </c>
      <c r="P210" s="117">
        <f>P209+IF(AND($H210&lt;&gt;"",OR(LEFT($F210,LEN(SC_TK))=SC_TK,LEFT($G210,LEN(SC_TK))=SC_TK)),1,0)</f>
        <v/>
      </c>
    </row>
    <row r="211" ht="15" customHeight="1" s="78">
      <c r="A211" s="95">
        <f>IF($H211="","",ROW()-6)</f>
        <v/>
      </c>
      <c r="B211" s="114" t="n"/>
      <c r="C211" s="102" t="n"/>
      <c r="D211" s="114" t="n"/>
      <c r="E211" s="103" t="n"/>
      <c r="F211" s="102" t="n"/>
      <c r="G211" s="102" t="n"/>
      <c r="H211" s="115" t="n"/>
      <c r="I211" s="102" t="n"/>
      <c r="J211" s="102" t="n"/>
      <c r="K211" s="103" t="n"/>
      <c r="L211" s="116">
        <f>IF($H211="","",TRIM(IF(COUNTIF(DMTK!$A$7:$A$250,$F211)=0,"TK Nợ sai! ","")&amp;IF(COUNTIF(DMTK!$A$7:$A$250,$G211)=0,"TK Có sai! ","")&amp;IF(N($H211)&lt;=0,"Tiền phải &gt; 0! ","")&amp;IF($B211="","Thiếu ngày! ","")&amp;IF(AND(OR(LEFT($F211,3)="131",LEFT($G211,3)="131",LEFT($F211,3)="331",LEFT($G211,3)="331"),$I211=""),"Thiếu Mã ĐT! ","")&amp;IF(AND($I211&lt;&gt;"",COUNTIF(DM_DT!$A$7:$A$306,$I211)=0),"Mã ĐT chưa khai báo! ","")))</f>
        <v/>
      </c>
      <c r="M211" s="117">
        <f>IF($H211="","",IF(AND(OR(LEFT($F211,3)="111",LEFT($F211,3)="112",LEFT($F211,3)="113"),OR(LEFT($G211,3)="111",LEFT($G211,3)="112",LEFT($G211,3)="113")),"NB",IF(OR(LEFT($F211,3)="111",LEFT($F211,3)="112",LEFT($F211,3)="113"),"THU",IF(OR(LEFT($G211,3)="111",LEFT($G211,3)="112",LEFT($G211,3)="113"),"CHI",""))))</f>
        <v/>
      </c>
      <c r="N211" s="117">
        <f>IF($M211="THU",$G211,IF($M211="CHI",$F211,""))</f>
        <v/>
      </c>
      <c r="O211" s="117">
        <f>IF(OR($M211="",$M211="NB"),"",IF($J211&lt;&gt;"",TEXT($J211,"00"),IFERROR(VLOOKUP(LEFT($N211,4),LCTT_MAP!$A$7:$C$66,IF($M211="THU",2,3),FALSE()),IFERROR(VLOOKUP(LEFT($N211,3),LCTT_MAP!$A$7:$C$66,IF($M211="THU",2,3),FALSE()),IFERROR(VLOOKUP(LEFT($N211,2),LCTT_MAP!$A$7:$C$66,IF($M211="THU",2,3),FALSE()),IFERROR(VLOOKUP(LEFT($N211,1),LCTT_MAP!$A$7:$C$66,IF($M211="THU",2,3),FALSE()),IF($M211="THU","06","07")))))))</f>
        <v/>
      </c>
      <c r="P211" s="117">
        <f>P210+IF(AND($H211&lt;&gt;"",OR(LEFT($F211,LEN(SC_TK))=SC_TK,LEFT($G211,LEN(SC_TK))=SC_TK)),1,0)</f>
        <v/>
      </c>
    </row>
    <row r="212" ht="15" customHeight="1" s="78">
      <c r="A212" s="95">
        <f>IF($H212="","",ROW()-6)</f>
        <v/>
      </c>
      <c r="B212" s="114" t="n"/>
      <c r="C212" s="102" t="n"/>
      <c r="D212" s="114" t="n"/>
      <c r="E212" s="103" t="n"/>
      <c r="F212" s="102" t="n"/>
      <c r="G212" s="102" t="n"/>
      <c r="H212" s="115" t="n"/>
      <c r="I212" s="102" t="n"/>
      <c r="J212" s="102" t="n"/>
      <c r="K212" s="103" t="n"/>
      <c r="L212" s="116">
        <f>IF($H212="","",TRIM(IF(COUNTIF(DMTK!$A$7:$A$250,$F212)=0,"TK Nợ sai! ","")&amp;IF(COUNTIF(DMTK!$A$7:$A$250,$G212)=0,"TK Có sai! ","")&amp;IF(N($H212)&lt;=0,"Tiền phải &gt; 0! ","")&amp;IF($B212="","Thiếu ngày! ","")&amp;IF(AND(OR(LEFT($F212,3)="131",LEFT($G212,3)="131",LEFT($F212,3)="331",LEFT($G212,3)="331"),$I212=""),"Thiếu Mã ĐT! ","")&amp;IF(AND($I212&lt;&gt;"",COUNTIF(DM_DT!$A$7:$A$306,$I212)=0),"Mã ĐT chưa khai báo! ","")))</f>
        <v/>
      </c>
      <c r="M212" s="117">
        <f>IF($H212="","",IF(AND(OR(LEFT($F212,3)="111",LEFT($F212,3)="112",LEFT($F212,3)="113"),OR(LEFT($G212,3)="111",LEFT($G212,3)="112",LEFT($G212,3)="113")),"NB",IF(OR(LEFT($F212,3)="111",LEFT($F212,3)="112",LEFT($F212,3)="113"),"THU",IF(OR(LEFT($G212,3)="111",LEFT($G212,3)="112",LEFT($G212,3)="113"),"CHI",""))))</f>
        <v/>
      </c>
      <c r="N212" s="117">
        <f>IF($M212="THU",$G212,IF($M212="CHI",$F212,""))</f>
        <v/>
      </c>
      <c r="O212" s="117">
        <f>IF(OR($M212="",$M212="NB"),"",IF($J212&lt;&gt;"",TEXT($J212,"00"),IFERROR(VLOOKUP(LEFT($N212,4),LCTT_MAP!$A$7:$C$66,IF($M212="THU",2,3),FALSE()),IFERROR(VLOOKUP(LEFT($N212,3),LCTT_MAP!$A$7:$C$66,IF($M212="THU",2,3),FALSE()),IFERROR(VLOOKUP(LEFT($N212,2),LCTT_MAP!$A$7:$C$66,IF($M212="THU",2,3),FALSE()),IFERROR(VLOOKUP(LEFT($N212,1),LCTT_MAP!$A$7:$C$66,IF($M212="THU",2,3),FALSE()),IF($M212="THU","06","07")))))))</f>
        <v/>
      </c>
      <c r="P212" s="117">
        <f>P211+IF(AND($H212&lt;&gt;"",OR(LEFT($F212,LEN(SC_TK))=SC_TK,LEFT($G212,LEN(SC_TK))=SC_TK)),1,0)</f>
        <v/>
      </c>
    </row>
    <row r="213" ht="15" customHeight="1" s="78">
      <c r="A213" s="95">
        <f>IF($H213="","",ROW()-6)</f>
        <v/>
      </c>
      <c r="B213" s="114" t="n"/>
      <c r="C213" s="102" t="n"/>
      <c r="D213" s="114" t="n"/>
      <c r="E213" s="103" t="n"/>
      <c r="F213" s="102" t="n"/>
      <c r="G213" s="102" t="n"/>
      <c r="H213" s="115" t="n"/>
      <c r="I213" s="102" t="n"/>
      <c r="J213" s="102" t="n"/>
      <c r="K213" s="103" t="n"/>
      <c r="L213" s="116">
        <f>IF($H213="","",TRIM(IF(COUNTIF(DMTK!$A$7:$A$250,$F213)=0,"TK Nợ sai! ","")&amp;IF(COUNTIF(DMTK!$A$7:$A$250,$G213)=0,"TK Có sai! ","")&amp;IF(N($H213)&lt;=0,"Tiền phải &gt; 0! ","")&amp;IF($B213="","Thiếu ngày! ","")&amp;IF(AND(OR(LEFT($F213,3)="131",LEFT($G213,3)="131",LEFT($F213,3)="331",LEFT($G213,3)="331"),$I213=""),"Thiếu Mã ĐT! ","")&amp;IF(AND($I213&lt;&gt;"",COUNTIF(DM_DT!$A$7:$A$306,$I213)=0),"Mã ĐT chưa khai báo! ","")))</f>
        <v/>
      </c>
      <c r="M213" s="117">
        <f>IF($H213="","",IF(AND(OR(LEFT($F213,3)="111",LEFT($F213,3)="112",LEFT($F213,3)="113"),OR(LEFT($G213,3)="111",LEFT($G213,3)="112",LEFT($G213,3)="113")),"NB",IF(OR(LEFT($F213,3)="111",LEFT($F213,3)="112",LEFT($F213,3)="113"),"THU",IF(OR(LEFT($G213,3)="111",LEFT($G213,3)="112",LEFT($G213,3)="113"),"CHI",""))))</f>
        <v/>
      </c>
      <c r="N213" s="117">
        <f>IF($M213="THU",$G213,IF($M213="CHI",$F213,""))</f>
        <v/>
      </c>
      <c r="O213" s="117">
        <f>IF(OR($M213="",$M213="NB"),"",IF($J213&lt;&gt;"",TEXT($J213,"00"),IFERROR(VLOOKUP(LEFT($N213,4),LCTT_MAP!$A$7:$C$66,IF($M213="THU",2,3),FALSE()),IFERROR(VLOOKUP(LEFT($N213,3),LCTT_MAP!$A$7:$C$66,IF($M213="THU",2,3),FALSE()),IFERROR(VLOOKUP(LEFT($N213,2),LCTT_MAP!$A$7:$C$66,IF($M213="THU",2,3),FALSE()),IFERROR(VLOOKUP(LEFT($N213,1),LCTT_MAP!$A$7:$C$66,IF($M213="THU",2,3),FALSE()),IF($M213="THU","06","07")))))))</f>
        <v/>
      </c>
      <c r="P213" s="117">
        <f>P212+IF(AND($H213&lt;&gt;"",OR(LEFT($F213,LEN(SC_TK))=SC_TK,LEFT($G213,LEN(SC_TK))=SC_TK)),1,0)</f>
        <v/>
      </c>
    </row>
    <row r="214" ht="15" customHeight="1" s="78">
      <c r="A214" s="95">
        <f>IF($H214="","",ROW()-6)</f>
        <v/>
      </c>
      <c r="B214" s="114" t="n"/>
      <c r="C214" s="102" t="n"/>
      <c r="D214" s="114" t="n"/>
      <c r="E214" s="103" t="n"/>
      <c r="F214" s="102" t="n"/>
      <c r="G214" s="102" t="n"/>
      <c r="H214" s="115" t="n"/>
      <c r="I214" s="102" t="n"/>
      <c r="J214" s="102" t="n"/>
      <c r="K214" s="103" t="n"/>
      <c r="L214" s="116">
        <f>IF($H214="","",TRIM(IF(COUNTIF(DMTK!$A$7:$A$250,$F214)=0,"TK Nợ sai! ","")&amp;IF(COUNTIF(DMTK!$A$7:$A$250,$G214)=0,"TK Có sai! ","")&amp;IF(N($H214)&lt;=0,"Tiền phải &gt; 0! ","")&amp;IF($B214="","Thiếu ngày! ","")&amp;IF(AND(OR(LEFT($F214,3)="131",LEFT($G214,3)="131",LEFT($F214,3)="331",LEFT($G214,3)="331"),$I214=""),"Thiếu Mã ĐT! ","")&amp;IF(AND($I214&lt;&gt;"",COUNTIF(DM_DT!$A$7:$A$306,$I214)=0),"Mã ĐT chưa khai báo! ","")))</f>
        <v/>
      </c>
      <c r="M214" s="117">
        <f>IF($H214="","",IF(AND(OR(LEFT($F214,3)="111",LEFT($F214,3)="112",LEFT($F214,3)="113"),OR(LEFT($G214,3)="111",LEFT($G214,3)="112",LEFT($G214,3)="113")),"NB",IF(OR(LEFT($F214,3)="111",LEFT($F214,3)="112",LEFT($F214,3)="113"),"THU",IF(OR(LEFT($G214,3)="111",LEFT($G214,3)="112",LEFT($G214,3)="113"),"CHI",""))))</f>
        <v/>
      </c>
      <c r="N214" s="117">
        <f>IF($M214="THU",$G214,IF($M214="CHI",$F214,""))</f>
        <v/>
      </c>
      <c r="O214" s="117">
        <f>IF(OR($M214="",$M214="NB"),"",IF($J214&lt;&gt;"",TEXT($J214,"00"),IFERROR(VLOOKUP(LEFT($N214,4),LCTT_MAP!$A$7:$C$66,IF($M214="THU",2,3),FALSE()),IFERROR(VLOOKUP(LEFT($N214,3),LCTT_MAP!$A$7:$C$66,IF($M214="THU",2,3),FALSE()),IFERROR(VLOOKUP(LEFT($N214,2),LCTT_MAP!$A$7:$C$66,IF($M214="THU",2,3),FALSE()),IFERROR(VLOOKUP(LEFT($N214,1),LCTT_MAP!$A$7:$C$66,IF($M214="THU",2,3),FALSE()),IF($M214="THU","06","07")))))))</f>
        <v/>
      </c>
      <c r="P214" s="117">
        <f>P213+IF(AND($H214&lt;&gt;"",OR(LEFT($F214,LEN(SC_TK))=SC_TK,LEFT($G214,LEN(SC_TK))=SC_TK)),1,0)</f>
        <v/>
      </c>
    </row>
    <row r="215" ht="15" customHeight="1" s="78">
      <c r="A215" s="95">
        <f>IF($H215="","",ROW()-6)</f>
        <v/>
      </c>
      <c r="B215" s="114" t="n"/>
      <c r="C215" s="102" t="n"/>
      <c r="D215" s="114" t="n"/>
      <c r="E215" s="103" t="n"/>
      <c r="F215" s="102" t="n"/>
      <c r="G215" s="102" t="n"/>
      <c r="H215" s="115" t="n"/>
      <c r="I215" s="102" t="n"/>
      <c r="J215" s="102" t="n"/>
      <c r="K215" s="103" t="n"/>
      <c r="L215" s="116">
        <f>IF($H215="","",TRIM(IF(COUNTIF(DMTK!$A$7:$A$250,$F215)=0,"TK Nợ sai! ","")&amp;IF(COUNTIF(DMTK!$A$7:$A$250,$G215)=0,"TK Có sai! ","")&amp;IF(N($H215)&lt;=0,"Tiền phải &gt; 0! ","")&amp;IF($B215="","Thiếu ngày! ","")&amp;IF(AND(OR(LEFT($F215,3)="131",LEFT($G215,3)="131",LEFT($F215,3)="331",LEFT($G215,3)="331"),$I215=""),"Thiếu Mã ĐT! ","")&amp;IF(AND($I215&lt;&gt;"",COUNTIF(DM_DT!$A$7:$A$306,$I215)=0),"Mã ĐT chưa khai báo! ","")))</f>
        <v/>
      </c>
      <c r="M215" s="117">
        <f>IF($H215="","",IF(AND(OR(LEFT($F215,3)="111",LEFT($F215,3)="112",LEFT($F215,3)="113"),OR(LEFT($G215,3)="111",LEFT($G215,3)="112",LEFT($G215,3)="113")),"NB",IF(OR(LEFT($F215,3)="111",LEFT($F215,3)="112",LEFT($F215,3)="113"),"THU",IF(OR(LEFT($G215,3)="111",LEFT($G215,3)="112",LEFT($G215,3)="113"),"CHI",""))))</f>
        <v/>
      </c>
      <c r="N215" s="117">
        <f>IF($M215="THU",$G215,IF($M215="CHI",$F215,""))</f>
        <v/>
      </c>
      <c r="O215" s="117">
        <f>IF(OR($M215="",$M215="NB"),"",IF($J215&lt;&gt;"",TEXT($J215,"00"),IFERROR(VLOOKUP(LEFT($N215,4),LCTT_MAP!$A$7:$C$66,IF($M215="THU",2,3),FALSE()),IFERROR(VLOOKUP(LEFT($N215,3),LCTT_MAP!$A$7:$C$66,IF($M215="THU",2,3),FALSE()),IFERROR(VLOOKUP(LEFT($N215,2),LCTT_MAP!$A$7:$C$66,IF($M215="THU",2,3),FALSE()),IFERROR(VLOOKUP(LEFT($N215,1),LCTT_MAP!$A$7:$C$66,IF($M215="THU",2,3),FALSE()),IF($M215="THU","06","07")))))))</f>
        <v/>
      </c>
      <c r="P215" s="117">
        <f>P214+IF(AND($H215&lt;&gt;"",OR(LEFT($F215,LEN(SC_TK))=SC_TK,LEFT($G215,LEN(SC_TK))=SC_TK)),1,0)</f>
        <v/>
      </c>
    </row>
    <row r="216" ht="15" customHeight="1" s="78">
      <c r="A216" s="95">
        <f>IF($H216="","",ROW()-6)</f>
        <v/>
      </c>
      <c r="B216" s="114" t="n"/>
      <c r="C216" s="102" t="n"/>
      <c r="D216" s="114" t="n"/>
      <c r="E216" s="103" t="n"/>
      <c r="F216" s="102" t="n"/>
      <c r="G216" s="102" t="n"/>
      <c r="H216" s="115" t="n"/>
      <c r="I216" s="102" t="n"/>
      <c r="J216" s="102" t="n"/>
      <c r="K216" s="103" t="n"/>
      <c r="L216" s="116">
        <f>IF($H216="","",TRIM(IF(COUNTIF(DMTK!$A$7:$A$250,$F216)=0,"TK Nợ sai! ","")&amp;IF(COUNTIF(DMTK!$A$7:$A$250,$G216)=0,"TK Có sai! ","")&amp;IF(N($H216)&lt;=0,"Tiền phải &gt; 0! ","")&amp;IF($B216="","Thiếu ngày! ","")&amp;IF(AND(OR(LEFT($F216,3)="131",LEFT($G216,3)="131",LEFT($F216,3)="331",LEFT($G216,3)="331"),$I216=""),"Thiếu Mã ĐT! ","")&amp;IF(AND($I216&lt;&gt;"",COUNTIF(DM_DT!$A$7:$A$306,$I216)=0),"Mã ĐT chưa khai báo! ","")))</f>
        <v/>
      </c>
      <c r="M216" s="117">
        <f>IF($H216="","",IF(AND(OR(LEFT($F216,3)="111",LEFT($F216,3)="112",LEFT($F216,3)="113"),OR(LEFT($G216,3)="111",LEFT($G216,3)="112",LEFT($G216,3)="113")),"NB",IF(OR(LEFT($F216,3)="111",LEFT($F216,3)="112",LEFT($F216,3)="113"),"THU",IF(OR(LEFT($G216,3)="111",LEFT($G216,3)="112",LEFT($G216,3)="113"),"CHI",""))))</f>
        <v/>
      </c>
      <c r="N216" s="117">
        <f>IF($M216="THU",$G216,IF($M216="CHI",$F216,""))</f>
        <v/>
      </c>
      <c r="O216" s="117">
        <f>IF(OR($M216="",$M216="NB"),"",IF($J216&lt;&gt;"",TEXT($J216,"00"),IFERROR(VLOOKUP(LEFT($N216,4),LCTT_MAP!$A$7:$C$66,IF($M216="THU",2,3),FALSE()),IFERROR(VLOOKUP(LEFT($N216,3),LCTT_MAP!$A$7:$C$66,IF($M216="THU",2,3),FALSE()),IFERROR(VLOOKUP(LEFT($N216,2),LCTT_MAP!$A$7:$C$66,IF($M216="THU",2,3),FALSE()),IFERROR(VLOOKUP(LEFT($N216,1),LCTT_MAP!$A$7:$C$66,IF($M216="THU",2,3),FALSE()),IF($M216="THU","06","07")))))))</f>
        <v/>
      </c>
      <c r="P216" s="117">
        <f>P215+IF(AND($H216&lt;&gt;"",OR(LEFT($F216,LEN(SC_TK))=SC_TK,LEFT($G216,LEN(SC_TK))=SC_TK)),1,0)</f>
        <v/>
      </c>
    </row>
    <row r="217" ht="15" customHeight="1" s="78">
      <c r="A217" s="95">
        <f>IF($H217="","",ROW()-6)</f>
        <v/>
      </c>
      <c r="B217" s="114" t="n"/>
      <c r="C217" s="102" t="n"/>
      <c r="D217" s="114" t="n"/>
      <c r="E217" s="103" t="n"/>
      <c r="F217" s="102" t="n"/>
      <c r="G217" s="102" t="n"/>
      <c r="H217" s="115" t="n"/>
      <c r="I217" s="102" t="n"/>
      <c r="J217" s="102" t="n"/>
      <c r="K217" s="103" t="n"/>
      <c r="L217" s="116">
        <f>IF($H217="","",TRIM(IF(COUNTIF(DMTK!$A$7:$A$250,$F217)=0,"TK Nợ sai! ","")&amp;IF(COUNTIF(DMTK!$A$7:$A$250,$G217)=0,"TK Có sai! ","")&amp;IF(N($H217)&lt;=0,"Tiền phải &gt; 0! ","")&amp;IF($B217="","Thiếu ngày! ","")&amp;IF(AND(OR(LEFT($F217,3)="131",LEFT($G217,3)="131",LEFT($F217,3)="331",LEFT($G217,3)="331"),$I217=""),"Thiếu Mã ĐT! ","")&amp;IF(AND($I217&lt;&gt;"",COUNTIF(DM_DT!$A$7:$A$306,$I217)=0),"Mã ĐT chưa khai báo! ","")))</f>
        <v/>
      </c>
      <c r="M217" s="117">
        <f>IF($H217="","",IF(AND(OR(LEFT($F217,3)="111",LEFT($F217,3)="112",LEFT($F217,3)="113"),OR(LEFT($G217,3)="111",LEFT($G217,3)="112",LEFT($G217,3)="113")),"NB",IF(OR(LEFT($F217,3)="111",LEFT($F217,3)="112",LEFT($F217,3)="113"),"THU",IF(OR(LEFT($G217,3)="111",LEFT($G217,3)="112",LEFT($G217,3)="113"),"CHI",""))))</f>
        <v/>
      </c>
      <c r="N217" s="117">
        <f>IF($M217="THU",$G217,IF($M217="CHI",$F217,""))</f>
        <v/>
      </c>
      <c r="O217" s="117">
        <f>IF(OR($M217="",$M217="NB"),"",IF($J217&lt;&gt;"",TEXT($J217,"00"),IFERROR(VLOOKUP(LEFT($N217,4),LCTT_MAP!$A$7:$C$66,IF($M217="THU",2,3),FALSE()),IFERROR(VLOOKUP(LEFT($N217,3),LCTT_MAP!$A$7:$C$66,IF($M217="THU",2,3),FALSE()),IFERROR(VLOOKUP(LEFT($N217,2),LCTT_MAP!$A$7:$C$66,IF($M217="THU",2,3),FALSE()),IFERROR(VLOOKUP(LEFT($N217,1),LCTT_MAP!$A$7:$C$66,IF($M217="THU",2,3),FALSE()),IF($M217="THU","06","07")))))))</f>
        <v/>
      </c>
      <c r="P217" s="117">
        <f>P216+IF(AND($H217&lt;&gt;"",OR(LEFT($F217,LEN(SC_TK))=SC_TK,LEFT($G217,LEN(SC_TK))=SC_TK)),1,0)</f>
        <v/>
      </c>
    </row>
    <row r="218" ht="15" customHeight="1" s="78">
      <c r="A218" s="95">
        <f>IF($H218="","",ROW()-6)</f>
        <v/>
      </c>
      <c r="B218" s="114" t="n"/>
      <c r="C218" s="102" t="n"/>
      <c r="D218" s="114" t="n"/>
      <c r="E218" s="103" t="n"/>
      <c r="F218" s="102" t="n"/>
      <c r="G218" s="102" t="n"/>
      <c r="H218" s="115" t="n"/>
      <c r="I218" s="102" t="n"/>
      <c r="J218" s="102" t="n"/>
      <c r="K218" s="103" t="n"/>
      <c r="L218" s="116">
        <f>IF($H218="","",TRIM(IF(COUNTIF(DMTK!$A$7:$A$250,$F218)=0,"TK Nợ sai! ","")&amp;IF(COUNTIF(DMTK!$A$7:$A$250,$G218)=0,"TK Có sai! ","")&amp;IF(N($H218)&lt;=0,"Tiền phải &gt; 0! ","")&amp;IF($B218="","Thiếu ngày! ","")&amp;IF(AND(OR(LEFT($F218,3)="131",LEFT($G218,3)="131",LEFT($F218,3)="331",LEFT($G218,3)="331"),$I218=""),"Thiếu Mã ĐT! ","")&amp;IF(AND($I218&lt;&gt;"",COUNTIF(DM_DT!$A$7:$A$306,$I218)=0),"Mã ĐT chưa khai báo! ","")))</f>
        <v/>
      </c>
      <c r="M218" s="117">
        <f>IF($H218="","",IF(AND(OR(LEFT($F218,3)="111",LEFT($F218,3)="112",LEFT($F218,3)="113"),OR(LEFT($G218,3)="111",LEFT($G218,3)="112",LEFT($G218,3)="113")),"NB",IF(OR(LEFT($F218,3)="111",LEFT($F218,3)="112",LEFT($F218,3)="113"),"THU",IF(OR(LEFT($G218,3)="111",LEFT($G218,3)="112",LEFT($G218,3)="113"),"CHI",""))))</f>
        <v/>
      </c>
      <c r="N218" s="117">
        <f>IF($M218="THU",$G218,IF($M218="CHI",$F218,""))</f>
        <v/>
      </c>
      <c r="O218" s="117">
        <f>IF(OR($M218="",$M218="NB"),"",IF($J218&lt;&gt;"",TEXT($J218,"00"),IFERROR(VLOOKUP(LEFT($N218,4),LCTT_MAP!$A$7:$C$66,IF($M218="THU",2,3),FALSE()),IFERROR(VLOOKUP(LEFT($N218,3),LCTT_MAP!$A$7:$C$66,IF($M218="THU",2,3),FALSE()),IFERROR(VLOOKUP(LEFT($N218,2),LCTT_MAP!$A$7:$C$66,IF($M218="THU",2,3),FALSE()),IFERROR(VLOOKUP(LEFT($N218,1),LCTT_MAP!$A$7:$C$66,IF($M218="THU",2,3),FALSE()),IF($M218="THU","06","07")))))))</f>
        <v/>
      </c>
      <c r="P218" s="117">
        <f>P217+IF(AND($H218&lt;&gt;"",OR(LEFT($F218,LEN(SC_TK))=SC_TK,LEFT($G218,LEN(SC_TK))=SC_TK)),1,0)</f>
        <v/>
      </c>
    </row>
    <row r="219" ht="15" customHeight="1" s="78">
      <c r="A219" s="95">
        <f>IF($H219="","",ROW()-6)</f>
        <v/>
      </c>
      <c r="B219" s="114" t="n"/>
      <c r="C219" s="102" t="n"/>
      <c r="D219" s="114" t="n"/>
      <c r="E219" s="103" t="n"/>
      <c r="F219" s="102" t="n"/>
      <c r="G219" s="102" t="n"/>
      <c r="H219" s="115" t="n"/>
      <c r="I219" s="102" t="n"/>
      <c r="J219" s="102" t="n"/>
      <c r="K219" s="103" t="n"/>
      <c r="L219" s="116">
        <f>IF($H219="","",TRIM(IF(COUNTIF(DMTK!$A$7:$A$250,$F219)=0,"TK Nợ sai! ","")&amp;IF(COUNTIF(DMTK!$A$7:$A$250,$G219)=0,"TK Có sai! ","")&amp;IF(N($H219)&lt;=0,"Tiền phải &gt; 0! ","")&amp;IF($B219="","Thiếu ngày! ","")&amp;IF(AND(OR(LEFT($F219,3)="131",LEFT($G219,3)="131",LEFT($F219,3)="331",LEFT($G219,3)="331"),$I219=""),"Thiếu Mã ĐT! ","")&amp;IF(AND($I219&lt;&gt;"",COUNTIF(DM_DT!$A$7:$A$306,$I219)=0),"Mã ĐT chưa khai báo! ","")))</f>
        <v/>
      </c>
      <c r="M219" s="117">
        <f>IF($H219="","",IF(AND(OR(LEFT($F219,3)="111",LEFT($F219,3)="112",LEFT($F219,3)="113"),OR(LEFT($G219,3)="111",LEFT($G219,3)="112",LEFT($G219,3)="113")),"NB",IF(OR(LEFT($F219,3)="111",LEFT($F219,3)="112",LEFT($F219,3)="113"),"THU",IF(OR(LEFT($G219,3)="111",LEFT($G219,3)="112",LEFT($G219,3)="113"),"CHI",""))))</f>
        <v/>
      </c>
      <c r="N219" s="117">
        <f>IF($M219="THU",$G219,IF($M219="CHI",$F219,""))</f>
        <v/>
      </c>
      <c r="O219" s="117">
        <f>IF(OR($M219="",$M219="NB"),"",IF($J219&lt;&gt;"",TEXT($J219,"00"),IFERROR(VLOOKUP(LEFT($N219,4),LCTT_MAP!$A$7:$C$66,IF($M219="THU",2,3),FALSE()),IFERROR(VLOOKUP(LEFT($N219,3),LCTT_MAP!$A$7:$C$66,IF($M219="THU",2,3),FALSE()),IFERROR(VLOOKUP(LEFT($N219,2),LCTT_MAP!$A$7:$C$66,IF($M219="THU",2,3),FALSE()),IFERROR(VLOOKUP(LEFT($N219,1),LCTT_MAP!$A$7:$C$66,IF($M219="THU",2,3),FALSE()),IF($M219="THU","06","07")))))))</f>
        <v/>
      </c>
      <c r="P219" s="117">
        <f>P218+IF(AND($H219&lt;&gt;"",OR(LEFT($F219,LEN(SC_TK))=SC_TK,LEFT($G219,LEN(SC_TK))=SC_TK)),1,0)</f>
        <v/>
      </c>
    </row>
    <row r="220" ht="15" customHeight="1" s="78">
      <c r="A220" s="95">
        <f>IF($H220="","",ROW()-6)</f>
        <v/>
      </c>
      <c r="B220" s="114" t="n"/>
      <c r="C220" s="102" t="n"/>
      <c r="D220" s="114" t="n"/>
      <c r="E220" s="103" t="n"/>
      <c r="F220" s="102" t="n"/>
      <c r="G220" s="102" t="n"/>
      <c r="H220" s="115" t="n"/>
      <c r="I220" s="102" t="n"/>
      <c r="J220" s="102" t="n"/>
      <c r="K220" s="103" t="n"/>
      <c r="L220" s="116">
        <f>IF($H220="","",TRIM(IF(COUNTIF(DMTK!$A$7:$A$250,$F220)=0,"TK Nợ sai! ","")&amp;IF(COUNTIF(DMTK!$A$7:$A$250,$G220)=0,"TK Có sai! ","")&amp;IF(N($H220)&lt;=0,"Tiền phải &gt; 0! ","")&amp;IF($B220="","Thiếu ngày! ","")&amp;IF(AND(OR(LEFT($F220,3)="131",LEFT($G220,3)="131",LEFT($F220,3)="331",LEFT($G220,3)="331"),$I220=""),"Thiếu Mã ĐT! ","")&amp;IF(AND($I220&lt;&gt;"",COUNTIF(DM_DT!$A$7:$A$306,$I220)=0),"Mã ĐT chưa khai báo! ","")))</f>
        <v/>
      </c>
      <c r="M220" s="117">
        <f>IF($H220="","",IF(AND(OR(LEFT($F220,3)="111",LEFT($F220,3)="112",LEFT($F220,3)="113"),OR(LEFT($G220,3)="111",LEFT($G220,3)="112",LEFT($G220,3)="113")),"NB",IF(OR(LEFT($F220,3)="111",LEFT($F220,3)="112",LEFT($F220,3)="113"),"THU",IF(OR(LEFT($G220,3)="111",LEFT($G220,3)="112",LEFT($G220,3)="113"),"CHI",""))))</f>
        <v/>
      </c>
      <c r="N220" s="117">
        <f>IF($M220="THU",$G220,IF($M220="CHI",$F220,""))</f>
        <v/>
      </c>
      <c r="O220" s="117">
        <f>IF(OR($M220="",$M220="NB"),"",IF($J220&lt;&gt;"",TEXT($J220,"00"),IFERROR(VLOOKUP(LEFT($N220,4),LCTT_MAP!$A$7:$C$66,IF($M220="THU",2,3),FALSE()),IFERROR(VLOOKUP(LEFT($N220,3),LCTT_MAP!$A$7:$C$66,IF($M220="THU",2,3),FALSE()),IFERROR(VLOOKUP(LEFT($N220,2),LCTT_MAP!$A$7:$C$66,IF($M220="THU",2,3),FALSE()),IFERROR(VLOOKUP(LEFT($N220,1),LCTT_MAP!$A$7:$C$66,IF($M220="THU",2,3),FALSE()),IF($M220="THU","06","07")))))))</f>
        <v/>
      </c>
      <c r="P220" s="117">
        <f>P219+IF(AND($H220&lt;&gt;"",OR(LEFT($F220,LEN(SC_TK))=SC_TK,LEFT($G220,LEN(SC_TK))=SC_TK)),1,0)</f>
        <v/>
      </c>
    </row>
    <row r="221" ht="15" customHeight="1" s="78">
      <c r="A221" s="95">
        <f>IF($H221="","",ROW()-6)</f>
        <v/>
      </c>
      <c r="B221" s="114" t="n"/>
      <c r="C221" s="102" t="n"/>
      <c r="D221" s="114" t="n"/>
      <c r="E221" s="103" t="n"/>
      <c r="F221" s="102" t="n"/>
      <c r="G221" s="102" t="n"/>
      <c r="H221" s="115" t="n"/>
      <c r="I221" s="102" t="n"/>
      <c r="J221" s="102" t="n"/>
      <c r="K221" s="103" t="n"/>
      <c r="L221" s="116">
        <f>IF($H221="","",TRIM(IF(COUNTIF(DMTK!$A$7:$A$250,$F221)=0,"TK Nợ sai! ","")&amp;IF(COUNTIF(DMTK!$A$7:$A$250,$G221)=0,"TK Có sai! ","")&amp;IF(N($H221)&lt;=0,"Tiền phải &gt; 0! ","")&amp;IF($B221="","Thiếu ngày! ","")&amp;IF(AND(OR(LEFT($F221,3)="131",LEFT($G221,3)="131",LEFT($F221,3)="331",LEFT($G221,3)="331"),$I221=""),"Thiếu Mã ĐT! ","")&amp;IF(AND($I221&lt;&gt;"",COUNTIF(DM_DT!$A$7:$A$306,$I221)=0),"Mã ĐT chưa khai báo! ","")))</f>
        <v/>
      </c>
      <c r="M221" s="117">
        <f>IF($H221="","",IF(AND(OR(LEFT($F221,3)="111",LEFT($F221,3)="112",LEFT($F221,3)="113"),OR(LEFT($G221,3)="111",LEFT($G221,3)="112",LEFT($G221,3)="113")),"NB",IF(OR(LEFT($F221,3)="111",LEFT($F221,3)="112",LEFT($F221,3)="113"),"THU",IF(OR(LEFT($G221,3)="111",LEFT($G221,3)="112",LEFT($G221,3)="113"),"CHI",""))))</f>
        <v/>
      </c>
      <c r="N221" s="117">
        <f>IF($M221="THU",$G221,IF($M221="CHI",$F221,""))</f>
        <v/>
      </c>
      <c r="O221" s="117">
        <f>IF(OR($M221="",$M221="NB"),"",IF($J221&lt;&gt;"",TEXT($J221,"00"),IFERROR(VLOOKUP(LEFT($N221,4),LCTT_MAP!$A$7:$C$66,IF($M221="THU",2,3),FALSE()),IFERROR(VLOOKUP(LEFT($N221,3),LCTT_MAP!$A$7:$C$66,IF($M221="THU",2,3),FALSE()),IFERROR(VLOOKUP(LEFT($N221,2),LCTT_MAP!$A$7:$C$66,IF($M221="THU",2,3),FALSE()),IFERROR(VLOOKUP(LEFT($N221,1),LCTT_MAP!$A$7:$C$66,IF($M221="THU",2,3),FALSE()),IF($M221="THU","06","07")))))))</f>
        <v/>
      </c>
      <c r="P221" s="117">
        <f>P220+IF(AND($H221&lt;&gt;"",OR(LEFT($F221,LEN(SC_TK))=SC_TK,LEFT($G221,LEN(SC_TK))=SC_TK)),1,0)</f>
        <v/>
      </c>
    </row>
    <row r="222" ht="15" customHeight="1" s="78">
      <c r="A222" s="95">
        <f>IF($H222="","",ROW()-6)</f>
        <v/>
      </c>
      <c r="B222" s="114" t="n"/>
      <c r="C222" s="102" t="n"/>
      <c r="D222" s="114" t="n"/>
      <c r="E222" s="103" t="n"/>
      <c r="F222" s="102" t="n"/>
      <c r="G222" s="102" t="n"/>
      <c r="H222" s="115" t="n"/>
      <c r="I222" s="102" t="n"/>
      <c r="J222" s="102" t="n"/>
      <c r="K222" s="103" t="n"/>
      <c r="L222" s="116">
        <f>IF($H222="","",TRIM(IF(COUNTIF(DMTK!$A$7:$A$250,$F222)=0,"TK Nợ sai! ","")&amp;IF(COUNTIF(DMTK!$A$7:$A$250,$G222)=0,"TK Có sai! ","")&amp;IF(N($H222)&lt;=0,"Tiền phải &gt; 0! ","")&amp;IF($B222="","Thiếu ngày! ","")&amp;IF(AND(OR(LEFT($F222,3)="131",LEFT($G222,3)="131",LEFT($F222,3)="331",LEFT($G222,3)="331"),$I222=""),"Thiếu Mã ĐT! ","")&amp;IF(AND($I222&lt;&gt;"",COUNTIF(DM_DT!$A$7:$A$306,$I222)=0),"Mã ĐT chưa khai báo! ","")))</f>
        <v/>
      </c>
      <c r="M222" s="117">
        <f>IF($H222="","",IF(AND(OR(LEFT($F222,3)="111",LEFT($F222,3)="112",LEFT($F222,3)="113"),OR(LEFT($G222,3)="111",LEFT($G222,3)="112",LEFT($G222,3)="113")),"NB",IF(OR(LEFT($F222,3)="111",LEFT($F222,3)="112",LEFT($F222,3)="113"),"THU",IF(OR(LEFT($G222,3)="111",LEFT($G222,3)="112",LEFT($G222,3)="113"),"CHI",""))))</f>
        <v/>
      </c>
      <c r="N222" s="117">
        <f>IF($M222="THU",$G222,IF($M222="CHI",$F222,""))</f>
        <v/>
      </c>
      <c r="O222" s="117">
        <f>IF(OR($M222="",$M222="NB"),"",IF($J222&lt;&gt;"",TEXT($J222,"00"),IFERROR(VLOOKUP(LEFT($N222,4),LCTT_MAP!$A$7:$C$66,IF($M222="THU",2,3),FALSE()),IFERROR(VLOOKUP(LEFT($N222,3),LCTT_MAP!$A$7:$C$66,IF($M222="THU",2,3),FALSE()),IFERROR(VLOOKUP(LEFT($N222,2),LCTT_MAP!$A$7:$C$66,IF($M222="THU",2,3),FALSE()),IFERROR(VLOOKUP(LEFT($N222,1),LCTT_MAP!$A$7:$C$66,IF($M222="THU",2,3),FALSE()),IF($M222="THU","06","07")))))))</f>
        <v/>
      </c>
      <c r="P222" s="117">
        <f>P221+IF(AND($H222&lt;&gt;"",OR(LEFT($F222,LEN(SC_TK))=SC_TK,LEFT($G222,LEN(SC_TK))=SC_TK)),1,0)</f>
        <v/>
      </c>
    </row>
    <row r="223" ht="15" customHeight="1" s="78">
      <c r="A223" s="95">
        <f>IF($H223="","",ROW()-6)</f>
        <v/>
      </c>
      <c r="B223" s="114" t="n"/>
      <c r="C223" s="102" t="n"/>
      <c r="D223" s="114" t="n"/>
      <c r="E223" s="103" t="n"/>
      <c r="F223" s="102" t="n"/>
      <c r="G223" s="102" t="n"/>
      <c r="H223" s="115" t="n"/>
      <c r="I223" s="102" t="n"/>
      <c r="J223" s="102" t="n"/>
      <c r="K223" s="103" t="n"/>
      <c r="L223" s="116">
        <f>IF($H223="","",TRIM(IF(COUNTIF(DMTK!$A$7:$A$250,$F223)=0,"TK Nợ sai! ","")&amp;IF(COUNTIF(DMTK!$A$7:$A$250,$G223)=0,"TK Có sai! ","")&amp;IF(N($H223)&lt;=0,"Tiền phải &gt; 0! ","")&amp;IF($B223="","Thiếu ngày! ","")&amp;IF(AND(OR(LEFT($F223,3)="131",LEFT($G223,3)="131",LEFT($F223,3)="331",LEFT($G223,3)="331"),$I223=""),"Thiếu Mã ĐT! ","")&amp;IF(AND($I223&lt;&gt;"",COUNTIF(DM_DT!$A$7:$A$306,$I223)=0),"Mã ĐT chưa khai báo! ","")))</f>
        <v/>
      </c>
      <c r="M223" s="117">
        <f>IF($H223="","",IF(AND(OR(LEFT($F223,3)="111",LEFT($F223,3)="112",LEFT($F223,3)="113"),OR(LEFT($G223,3)="111",LEFT($G223,3)="112",LEFT($G223,3)="113")),"NB",IF(OR(LEFT($F223,3)="111",LEFT($F223,3)="112",LEFT($F223,3)="113"),"THU",IF(OR(LEFT($G223,3)="111",LEFT($G223,3)="112",LEFT($G223,3)="113"),"CHI",""))))</f>
        <v/>
      </c>
      <c r="N223" s="117">
        <f>IF($M223="THU",$G223,IF($M223="CHI",$F223,""))</f>
        <v/>
      </c>
      <c r="O223" s="117">
        <f>IF(OR($M223="",$M223="NB"),"",IF($J223&lt;&gt;"",TEXT($J223,"00"),IFERROR(VLOOKUP(LEFT($N223,4),LCTT_MAP!$A$7:$C$66,IF($M223="THU",2,3),FALSE()),IFERROR(VLOOKUP(LEFT($N223,3),LCTT_MAP!$A$7:$C$66,IF($M223="THU",2,3),FALSE()),IFERROR(VLOOKUP(LEFT($N223,2),LCTT_MAP!$A$7:$C$66,IF($M223="THU",2,3),FALSE()),IFERROR(VLOOKUP(LEFT($N223,1),LCTT_MAP!$A$7:$C$66,IF($M223="THU",2,3),FALSE()),IF($M223="THU","06","07")))))))</f>
        <v/>
      </c>
      <c r="P223" s="117">
        <f>P222+IF(AND($H223&lt;&gt;"",OR(LEFT($F223,LEN(SC_TK))=SC_TK,LEFT($G223,LEN(SC_TK))=SC_TK)),1,0)</f>
        <v/>
      </c>
    </row>
    <row r="224" ht="15" customHeight="1" s="78">
      <c r="A224" s="95">
        <f>IF($H224="","",ROW()-6)</f>
        <v/>
      </c>
      <c r="B224" s="114" t="n"/>
      <c r="C224" s="102" t="n"/>
      <c r="D224" s="114" t="n"/>
      <c r="E224" s="103" t="n"/>
      <c r="F224" s="102" t="n"/>
      <c r="G224" s="102" t="n"/>
      <c r="H224" s="115" t="n"/>
      <c r="I224" s="102" t="n"/>
      <c r="J224" s="102" t="n"/>
      <c r="K224" s="103" t="n"/>
      <c r="L224" s="116">
        <f>IF($H224="","",TRIM(IF(COUNTIF(DMTK!$A$7:$A$250,$F224)=0,"TK Nợ sai! ","")&amp;IF(COUNTIF(DMTK!$A$7:$A$250,$G224)=0,"TK Có sai! ","")&amp;IF(N($H224)&lt;=0,"Tiền phải &gt; 0! ","")&amp;IF($B224="","Thiếu ngày! ","")&amp;IF(AND(OR(LEFT($F224,3)="131",LEFT($G224,3)="131",LEFT($F224,3)="331",LEFT($G224,3)="331"),$I224=""),"Thiếu Mã ĐT! ","")&amp;IF(AND($I224&lt;&gt;"",COUNTIF(DM_DT!$A$7:$A$306,$I224)=0),"Mã ĐT chưa khai báo! ","")))</f>
        <v/>
      </c>
      <c r="M224" s="117">
        <f>IF($H224="","",IF(AND(OR(LEFT($F224,3)="111",LEFT($F224,3)="112",LEFT($F224,3)="113"),OR(LEFT($G224,3)="111",LEFT($G224,3)="112",LEFT($G224,3)="113")),"NB",IF(OR(LEFT($F224,3)="111",LEFT($F224,3)="112",LEFT($F224,3)="113"),"THU",IF(OR(LEFT($G224,3)="111",LEFT($G224,3)="112",LEFT($G224,3)="113"),"CHI",""))))</f>
        <v/>
      </c>
      <c r="N224" s="117">
        <f>IF($M224="THU",$G224,IF($M224="CHI",$F224,""))</f>
        <v/>
      </c>
      <c r="O224" s="117">
        <f>IF(OR($M224="",$M224="NB"),"",IF($J224&lt;&gt;"",TEXT($J224,"00"),IFERROR(VLOOKUP(LEFT($N224,4),LCTT_MAP!$A$7:$C$66,IF($M224="THU",2,3),FALSE()),IFERROR(VLOOKUP(LEFT($N224,3),LCTT_MAP!$A$7:$C$66,IF($M224="THU",2,3),FALSE()),IFERROR(VLOOKUP(LEFT($N224,2),LCTT_MAP!$A$7:$C$66,IF($M224="THU",2,3),FALSE()),IFERROR(VLOOKUP(LEFT($N224,1),LCTT_MAP!$A$7:$C$66,IF($M224="THU",2,3),FALSE()),IF($M224="THU","06","07")))))))</f>
        <v/>
      </c>
      <c r="P224" s="117">
        <f>P223+IF(AND($H224&lt;&gt;"",OR(LEFT($F224,LEN(SC_TK))=SC_TK,LEFT($G224,LEN(SC_TK))=SC_TK)),1,0)</f>
        <v/>
      </c>
    </row>
    <row r="225" ht="15" customHeight="1" s="78">
      <c r="A225" s="95">
        <f>IF($H225="","",ROW()-6)</f>
        <v/>
      </c>
      <c r="B225" s="114" t="n"/>
      <c r="C225" s="102" t="n"/>
      <c r="D225" s="114" t="n"/>
      <c r="E225" s="103" t="n"/>
      <c r="F225" s="102" t="n"/>
      <c r="G225" s="102" t="n"/>
      <c r="H225" s="115" t="n"/>
      <c r="I225" s="102" t="n"/>
      <c r="J225" s="102" t="n"/>
      <c r="K225" s="103" t="n"/>
      <c r="L225" s="116">
        <f>IF($H225="","",TRIM(IF(COUNTIF(DMTK!$A$7:$A$250,$F225)=0,"TK Nợ sai! ","")&amp;IF(COUNTIF(DMTK!$A$7:$A$250,$G225)=0,"TK Có sai! ","")&amp;IF(N($H225)&lt;=0,"Tiền phải &gt; 0! ","")&amp;IF($B225="","Thiếu ngày! ","")&amp;IF(AND(OR(LEFT($F225,3)="131",LEFT($G225,3)="131",LEFT($F225,3)="331",LEFT($G225,3)="331"),$I225=""),"Thiếu Mã ĐT! ","")&amp;IF(AND($I225&lt;&gt;"",COUNTIF(DM_DT!$A$7:$A$306,$I225)=0),"Mã ĐT chưa khai báo! ","")))</f>
        <v/>
      </c>
      <c r="M225" s="117">
        <f>IF($H225="","",IF(AND(OR(LEFT($F225,3)="111",LEFT($F225,3)="112",LEFT($F225,3)="113"),OR(LEFT($G225,3)="111",LEFT($G225,3)="112",LEFT($G225,3)="113")),"NB",IF(OR(LEFT($F225,3)="111",LEFT($F225,3)="112",LEFT($F225,3)="113"),"THU",IF(OR(LEFT($G225,3)="111",LEFT($G225,3)="112",LEFT($G225,3)="113"),"CHI",""))))</f>
        <v/>
      </c>
      <c r="N225" s="117">
        <f>IF($M225="THU",$G225,IF($M225="CHI",$F225,""))</f>
        <v/>
      </c>
      <c r="O225" s="117">
        <f>IF(OR($M225="",$M225="NB"),"",IF($J225&lt;&gt;"",TEXT($J225,"00"),IFERROR(VLOOKUP(LEFT($N225,4),LCTT_MAP!$A$7:$C$66,IF($M225="THU",2,3),FALSE()),IFERROR(VLOOKUP(LEFT($N225,3),LCTT_MAP!$A$7:$C$66,IF($M225="THU",2,3),FALSE()),IFERROR(VLOOKUP(LEFT($N225,2),LCTT_MAP!$A$7:$C$66,IF($M225="THU",2,3),FALSE()),IFERROR(VLOOKUP(LEFT($N225,1),LCTT_MAP!$A$7:$C$66,IF($M225="THU",2,3),FALSE()),IF($M225="THU","06","07")))))))</f>
        <v/>
      </c>
      <c r="P225" s="117">
        <f>P224+IF(AND($H225&lt;&gt;"",OR(LEFT($F225,LEN(SC_TK))=SC_TK,LEFT($G225,LEN(SC_TK))=SC_TK)),1,0)</f>
        <v/>
      </c>
    </row>
    <row r="226" ht="15" customHeight="1" s="78">
      <c r="A226" s="95">
        <f>IF($H226="","",ROW()-6)</f>
        <v/>
      </c>
      <c r="B226" s="114" t="n"/>
      <c r="C226" s="102" t="n"/>
      <c r="D226" s="114" t="n"/>
      <c r="E226" s="103" t="n"/>
      <c r="F226" s="102" t="n"/>
      <c r="G226" s="102" t="n"/>
      <c r="H226" s="115" t="n"/>
      <c r="I226" s="102" t="n"/>
      <c r="J226" s="102" t="n"/>
      <c r="K226" s="103" t="n"/>
      <c r="L226" s="116">
        <f>IF($H226="","",TRIM(IF(COUNTIF(DMTK!$A$7:$A$250,$F226)=0,"TK Nợ sai! ","")&amp;IF(COUNTIF(DMTK!$A$7:$A$250,$G226)=0,"TK Có sai! ","")&amp;IF(N($H226)&lt;=0,"Tiền phải &gt; 0! ","")&amp;IF($B226="","Thiếu ngày! ","")&amp;IF(AND(OR(LEFT($F226,3)="131",LEFT($G226,3)="131",LEFT($F226,3)="331",LEFT($G226,3)="331"),$I226=""),"Thiếu Mã ĐT! ","")&amp;IF(AND($I226&lt;&gt;"",COUNTIF(DM_DT!$A$7:$A$306,$I226)=0),"Mã ĐT chưa khai báo! ","")))</f>
        <v/>
      </c>
      <c r="M226" s="117">
        <f>IF($H226="","",IF(AND(OR(LEFT($F226,3)="111",LEFT($F226,3)="112",LEFT($F226,3)="113"),OR(LEFT($G226,3)="111",LEFT($G226,3)="112",LEFT($G226,3)="113")),"NB",IF(OR(LEFT($F226,3)="111",LEFT($F226,3)="112",LEFT($F226,3)="113"),"THU",IF(OR(LEFT($G226,3)="111",LEFT($G226,3)="112",LEFT($G226,3)="113"),"CHI",""))))</f>
        <v/>
      </c>
      <c r="N226" s="117">
        <f>IF($M226="THU",$G226,IF($M226="CHI",$F226,""))</f>
        <v/>
      </c>
      <c r="O226" s="117">
        <f>IF(OR($M226="",$M226="NB"),"",IF($J226&lt;&gt;"",TEXT($J226,"00"),IFERROR(VLOOKUP(LEFT($N226,4),LCTT_MAP!$A$7:$C$66,IF($M226="THU",2,3),FALSE()),IFERROR(VLOOKUP(LEFT($N226,3),LCTT_MAP!$A$7:$C$66,IF($M226="THU",2,3),FALSE()),IFERROR(VLOOKUP(LEFT($N226,2),LCTT_MAP!$A$7:$C$66,IF($M226="THU",2,3),FALSE()),IFERROR(VLOOKUP(LEFT($N226,1),LCTT_MAP!$A$7:$C$66,IF($M226="THU",2,3),FALSE()),IF($M226="THU","06","07")))))))</f>
        <v/>
      </c>
      <c r="P226" s="117">
        <f>P225+IF(AND($H226&lt;&gt;"",OR(LEFT($F226,LEN(SC_TK))=SC_TK,LEFT($G226,LEN(SC_TK))=SC_TK)),1,0)</f>
        <v/>
      </c>
    </row>
    <row r="227" ht="15" customHeight="1" s="78">
      <c r="A227" s="95">
        <f>IF($H227="","",ROW()-6)</f>
        <v/>
      </c>
      <c r="B227" s="114" t="n"/>
      <c r="C227" s="102" t="n"/>
      <c r="D227" s="114" t="n"/>
      <c r="E227" s="103" t="n"/>
      <c r="F227" s="102" t="n"/>
      <c r="G227" s="102" t="n"/>
      <c r="H227" s="115" t="n"/>
      <c r="I227" s="102" t="n"/>
      <c r="J227" s="102" t="n"/>
      <c r="K227" s="103" t="n"/>
      <c r="L227" s="116">
        <f>IF($H227="","",TRIM(IF(COUNTIF(DMTK!$A$7:$A$250,$F227)=0,"TK Nợ sai! ","")&amp;IF(COUNTIF(DMTK!$A$7:$A$250,$G227)=0,"TK Có sai! ","")&amp;IF(N($H227)&lt;=0,"Tiền phải &gt; 0! ","")&amp;IF($B227="","Thiếu ngày! ","")&amp;IF(AND(OR(LEFT($F227,3)="131",LEFT($G227,3)="131",LEFT($F227,3)="331",LEFT($G227,3)="331"),$I227=""),"Thiếu Mã ĐT! ","")&amp;IF(AND($I227&lt;&gt;"",COUNTIF(DM_DT!$A$7:$A$306,$I227)=0),"Mã ĐT chưa khai báo! ","")))</f>
        <v/>
      </c>
      <c r="M227" s="117">
        <f>IF($H227="","",IF(AND(OR(LEFT($F227,3)="111",LEFT($F227,3)="112",LEFT($F227,3)="113"),OR(LEFT($G227,3)="111",LEFT($G227,3)="112",LEFT($G227,3)="113")),"NB",IF(OR(LEFT($F227,3)="111",LEFT($F227,3)="112",LEFT($F227,3)="113"),"THU",IF(OR(LEFT($G227,3)="111",LEFT($G227,3)="112",LEFT($G227,3)="113"),"CHI",""))))</f>
        <v/>
      </c>
      <c r="N227" s="117">
        <f>IF($M227="THU",$G227,IF($M227="CHI",$F227,""))</f>
        <v/>
      </c>
      <c r="O227" s="117">
        <f>IF(OR($M227="",$M227="NB"),"",IF($J227&lt;&gt;"",TEXT($J227,"00"),IFERROR(VLOOKUP(LEFT($N227,4),LCTT_MAP!$A$7:$C$66,IF($M227="THU",2,3),FALSE()),IFERROR(VLOOKUP(LEFT($N227,3),LCTT_MAP!$A$7:$C$66,IF($M227="THU",2,3),FALSE()),IFERROR(VLOOKUP(LEFT($N227,2),LCTT_MAP!$A$7:$C$66,IF($M227="THU",2,3),FALSE()),IFERROR(VLOOKUP(LEFT($N227,1),LCTT_MAP!$A$7:$C$66,IF($M227="THU",2,3),FALSE()),IF($M227="THU","06","07")))))))</f>
        <v/>
      </c>
      <c r="P227" s="117">
        <f>P226+IF(AND($H227&lt;&gt;"",OR(LEFT($F227,LEN(SC_TK))=SC_TK,LEFT($G227,LEN(SC_TK))=SC_TK)),1,0)</f>
        <v/>
      </c>
    </row>
    <row r="228" ht="15" customHeight="1" s="78">
      <c r="A228" s="95">
        <f>IF($H228="","",ROW()-6)</f>
        <v/>
      </c>
      <c r="B228" s="114" t="n"/>
      <c r="C228" s="102" t="n"/>
      <c r="D228" s="114" t="n"/>
      <c r="E228" s="103" t="n"/>
      <c r="F228" s="102" t="n"/>
      <c r="G228" s="102" t="n"/>
      <c r="H228" s="115" t="n"/>
      <c r="I228" s="102" t="n"/>
      <c r="J228" s="102" t="n"/>
      <c r="K228" s="103" t="n"/>
      <c r="L228" s="116">
        <f>IF($H228="","",TRIM(IF(COUNTIF(DMTK!$A$7:$A$250,$F228)=0,"TK Nợ sai! ","")&amp;IF(COUNTIF(DMTK!$A$7:$A$250,$G228)=0,"TK Có sai! ","")&amp;IF(N($H228)&lt;=0,"Tiền phải &gt; 0! ","")&amp;IF($B228="","Thiếu ngày! ","")&amp;IF(AND(OR(LEFT($F228,3)="131",LEFT($G228,3)="131",LEFT($F228,3)="331",LEFT($G228,3)="331"),$I228=""),"Thiếu Mã ĐT! ","")&amp;IF(AND($I228&lt;&gt;"",COUNTIF(DM_DT!$A$7:$A$306,$I228)=0),"Mã ĐT chưa khai báo! ","")))</f>
        <v/>
      </c>
      <c r="M228" s="117">
        <f>IF($H228="","",IF(AND(OR(LEFT($F228,3)="111",LEFT($F228,3)="112",LEFT($F228,3)="113"),OR(LEFT($G228,3)="111",LEFT($G228,3)="112",LEFT($G228,3)="113")),"NB",IF(OR(LEFT($F228,3)="111",LEFT($F228,3)="112",LEFT($F228,3)="113"),"THU",IF(OR(LEFT($G228,3)="111",LEFT($G228,3)="112",LEFT($G228,3)="113"),"CHI",""))))</f>
        <v/>
      </c>
      <c r="N228" s="117">
        <f>IF($M228="THU",$G228,IF($M228="CHI",$F228,""))</f>
        <v/>
      </c>
      <c r="O228" s="117">
        <f>IF(OR($M228="",$M228="NB"),"",IF($J228&lt;&gt;"",TEXT($J228,"00"),IFERROR(VLOOKUP(LEFT($N228,4),LCTT_MAP!$A$7:$C$66,IF($M228="THU",2,3),FALSE()),IFERROR(VLOOKUP(LEFT($N228,3),LCTT_MAP!$A$7:$C$66,IF($M228="THU",2,3),FALSE()),IFERROR(VLOOKUP(LEFT($N228,2),LCTT_MAP!$A$7:$C$66,IF($M228="THU",2,3),FALSE()),IFERROR(VLOOKUP(LEFT($N228,1),LCTT_MAP!$A$7:$C$66,IF($M228="THU",2,3),FALSE()),IF($M228="THU","06","07")))))))</f>
        <v/>
      </c>
      <c r="P228" s="117">
        <f>P227+IF(AND($H228&lt;&gt;"",OR(LEFT($F228,LEN(SC_TK))=SC_TK,LEFT($G228,LEN(SC_TK))=SC_TK)),1,0)</f>
        <v/>
      </c>
    </row>
    <row r="229" ht="15" customHeight="1" s="78">
      <c r="A229" s="95">
        <f>IF($H229="","",ROW()-6)</f>
        <v/>
      </c>
      <c r="B229" s="114" t="n"/>
      <c r="C229" s="102" t="n"/>
      <c r="D229" s="114" t="n"/>
      <c r="E229" s="103" t="n"/>
      <c r="F229" s="102" t="n"/>
      <c r="G229" s="102" t="n"/>
      <c r="H229" s="115" t="n"/>
      <c r="I229" s="102" t="n"/>
      <c r="J229" s="102" t="n"/>
      <c r="K229" s="103" t="n"/>
      <c r="L229" s="116">
        <f>IF($H229="","",TRIM(IF(COUNTIF(DMTK!$A$7:$A$250,$F229)=0,"TK Nợ sai! ","")&amp;IF(COUNTIF(DMTK!$A$7:$A$250,$G229)=0,"TK Có sai! ","")&amp;IF(N($H229)&lt;=0,"Tiền phải &gt; 0! ","")&amp;IF($B229="","Thiếu ngày! ","")&amp;IF(AND(OR(LEFT($F229,3)="131",LEFT($G229,3)="131",LEFT($F229,3)="331",LEFT($G229,3)="331"),$I229=""),"Thiếu Mã ĐT! ","")&amp;IF(AND($I229&lt;&gt;"",COUNTIF(DM_DT!$A$7:$A$306,$I229)=0),"Mã ĐT chưa khai báo! ","")))</f>
        <v/>
      </c>
      <c r="M229" s="117">
        <f>IF($H229="","",IF(AND(OR(LEFT($F229,3)="111",LEFT($F229,3)="112",LEFT($F229,3)="113"),OR(LEFT($G229,3)="111",LEFT($G229,3)="112",LEFT($G229,3)="113")),"NB",IF(OR(LEFT($F229,3)="111",LEFT($F229,3)="112",LEFT($F229,3)="113"),"THU",IF(OR(LEFT($G229,3)="111",LEFT($G229,3)="112",LEFT($G229,3)="113"),"CHI",""))))</f>
        <v/>
      </c>
      <c r="N229" s="117">
        <f>IF($M229="THU",$G229,IF($M229="CHI",$F229,""))</f>
        <v/>
      </c>
      <c r="O229" s="117">
        <f>IF(OR($M229="",$M229="NB"),"",IF($J229&lt;&gt;"",TEXT($J229,"00"),IFERROR(VLOOKUP(LEFT($N229,4),LCTT_MAP!$A$7:$C$66,IF($M229="THU",2,3),FALSE()),IFERROR(VLOOKUP(LEFT($N229,3),LCTT_MAP!$A$7:$C$66,IF($M229="THU",2,3),FALSE()),IFERROR(VLOOKUP(LEFT($N229,2),LCTT_MAP!$A$7:$C$66,IF($M229="THU",2,3),FALSE()),IFERROR(VLOOKUP(LEFT($N229,1),LCTT_MAP!$A$7:$C$66,IF($M229="THU",2,3),FALSE()),IF($M229="THU","06","07")))))))</f>
        <v/>
      </c>
      <c r="P229" s="117">
        <f>P228+IF(AND($H229&lt;&gt;"",OR(LEFT($F229,LEN(SC_TK))=SC_TK,LEFT($G229,LEN(SC_TK))=SC_TK)),1,0)</f>
        <v/>
      </c>
    </row>
    <row r="230" ht="15" customHeight="1" s="78">
      <c r="A230" s="95">
        <f>IF($H230="","",ROW()-6)</f>
        <v/>
      </c>
      <c r="B230" s="114" t="n"/>
      <c r="C230" s="102" t="n"/>
      <c r="D230" s="114" t="n"/>
      <c r="E230" s="103" t="n"/>
      <c r="F230" s="102" t="n"/>
      <c r="G230" s="102" t="n"/>
      <c r="H230" s="115" t="n"/>
      <c r="I230" s="102" t="n"/>
      <c r="J230" s="102" t="n"/>
      <c r="K230" s="103" t="n"/>
      <c r="L230" s="116">
        <f>IF($H230="","",TRIM(IF(COUNTIF(DMTK!$A$7:$A$250,$F230)=0,"TK Nợ sai! ","")&amp;IF(COUNTIF(DMTK!$A$7:$A$250,$G230)=0,"TK Có sai! ","")&amp;IF(N($H230)&lt;=0,"Tiền phải &gt; 0! ","")&amp;IF($B230="","Thiếu ngày! ","")&amp;IF(AND(OR(LEFT($F230,3)="131",LEFT($G230,3)="131",LEFT($F230,3)="331",LEFT($G230,3)="331"),$I230=""),"Thiếu Mã ĐT! ","")&amp;IF(AND($I230&lt;&gt;"",COUNTIF(DM_DT!$A$7:$A$306,$I230)=0),"Mã ĐT chưa khai báo! ","")))</f>
        <v/>
      </c>
      <c r="M230" s="117">
        <f>IF($H230="","",IF(AND(OR(LEFT($F230,3)="111",LEFT($F230,3)="112",LEFT($F230,3)="113"),OR(LEFT($G230,3)="111",LEFT($G230,3)="112",LEFT($G230,3)="113")),"NB",IF(OR(LEFT($F230,3)="111",LEFT($F230,3)="112",LEFT($F230,3)="113"),"THU",IF(OR(LEFT($G230,3)="111",LEFT($G230,3)="112",LEFT($G230,3)="113"),"CHI",""))))</f>
        <v/>
      </c>
      <c r="N230" s="117">
        <f>IF($M230="THU",$G230,IF($M230="CHI",$F230,""))</f>
        <v/>
      </c>
      <c r="O230" s="117">
        <f>IF(OR($M230="",$M230="NB"),"",IF($J230&lt;&gt;"",TEXT($J230,"00"),IFERROR(VLOOKUP(LEFT($N230,4),LCTT_MAP!$A$7:$C$66,IF($M230="THU",2,3),FALSE()),IFERROR(VLOOKUP(LEFT($N230,3),LCTT_MAP!$A$7:$C$66,IF($M230="THU",2,3),FALSE()),IFERROR(VLOOKUP(LEFT($N230,2),LCTT_MAP!$A$7:$C$66,IF($M230="THU",2,3),FALSE()),IFERROR(VLOOKUP(LEFT($N230,1),LCTT_MAP!$A$7:$C$66,IF($M230="THU",2,3),FALSE()),IF($M230="THU","06","07")))))))</f>
        <v/>
      </c>
      <c r="P230" s="117">
        <f>P229+IF(AND($H230&lt;&gt;"",OR(LEFT($F230,LEN(SC_TK))=SC_TK,LEFT($G230,LEN(SC_TK))=SC_TK)),1,0)</f>
        <v/>
      </c>
    </row>
    <row r="231" ht="15" customHeight="1" s="78">
      <c r="A231" s="95">
        <f>IF($H231="","",ROW()-6)</f>
        <v/>
      </c>
      <c r="B231" s="114" t="n"/>
      <c r="C231" s="102" t="n"/>
      <c r="D231" s="114" t="n"/>
      <c r="E231" s="103" t="n"/>
      <c r="F231" s="102" t="n"/>
      <c r="G231" s="102" t="n"/>
      <c r="H231" s="115" t="n"/>
      <c r="I231" s="102" t="n"/>
      <c r="J231" s="102" t="n"/>
      <c r="K231" s="103" t="n"/>
      <c r="L231" s="116">
        <f>IF($H231="","",TRIM(IF(COUNTIF(DMTK!$A$7:$A$250,$F231)=0,"TK Nợ sai! ","")&amp;IF(COUNTIF(DMTK!$A$7:$A$250,$G231)=0,"TK Có sai! ","")&amp;IF(N($H231)&lt;=0,"Tiền phải &gt; 0! ","")&amp;IF($B231="","Thiếu ngày! ","")&amp;IF(AND(OR(LEFT($F231,3)="131",LEFT($G231,3)="131",LEFT($F231,3)="331",LEFT($G231,3)="331"),$I231=""),"Thiếu Mã ĐT! ","")&amp;IF(AND($I231&lt;&gt;"",COUNTIF(DM_DT!$A$7:$A$306,$I231)=0),"Mã ĐT chưa khai báo! ","")))</f>
        <v/>
      </c>
      <c r="M231" s="117">
        <f>IF($H231="","",IF(AND(OR(LEFT($F231,3)="111",LEFT($F231,3)="112",LEFT($F231,3)="113"),OR(LEFT($G231,3)="111",LEFT($G231,3)="112",LEFT($G231,3)="113")),"NB",IF(OR(LEFT($F231,3)="111",LEFT($F231,3)="112",LEFT($F231,3)="113"),"THU",IF(OR(LEFT($G231,3)="111",LEFT($G231,3)="112",LEFT($G231,3)="113"),"CHI",""))))</f>
        <v/>
      </c>
      <c r="N231" s="117">
        <f>IF($M231="THU",$G231,IF($M231="CHI",$F231,""))</f>
        <v/>
      </c>
      <c r="O231" s="117">
        <f>IF(OR($M231="",$M231="NB"),"",IF($J231&lt;&gt;"",TEXT($J231,"00"),IFERROR(VLOOKUP(LEFT($N231,4),LCTT_MAP!$A$7:$C$66,IF($M231="THU",2,3),FALSE()),IFERROR(VLOOKUP(LEFT($N231,3),LCTT_MAP!$A$7:$C$66,IF($M231="THU",2,3),FALSE()),IFERROR(VLOOKUP(LEFT($N231,2),LCTT_MAP!$A$7:$C$66,IF($M231="THU",2,3),FALSE()),IFERROR(VLOOKUP(LEFT($N231,1),LCTT_MAP!$A$7:$C$66,IF($M231="THU",2,3),FALSE()),IF($M231="THU","06","07")))))))</f>
        <v/>
      </c>
      <c r="P231" s="117">
        <f>P230+IF(AND($H231&lt;&gt;"",OR(LEFT($F231,LEN(SC_TK))=SC_TK,LEFT($G231,LEN(SC_TK))=SC_TK)),1,0)</f>
        <v/>
      </c>
    </row>
    <row r="232" ht="15" customHeight="1" s="78">
      <c r="A232" s="95">
        <f>IF($H232="","",ROW()-6)</f>
        <v/>
      </c>
      <c r="B232" s="114" t="n"/>
      <c r="C232" s="102" t="n"/>
      <c r="D232" s="114" t="n"/>
      <c r="E232" s="103" t="n"/>
      <c r="F232" s="102" t="n"/>
      <c r="G232" s="102" t="n"/>
      <c r="H232" s="115" t="n"/>
      <c r="I232" s="102" t="n"/>
      <c r="J232" s="102" t="n"/>
      <c r="K232" s="103" t="n"/>
      <c r="L232" s="116">
        <f>IF($H232="","",TRIM(IF(COUNTIF(DMTK!$A$7:$A$250,$F232)=0,"TK Nợ sai! ","")&amp;IF(COUNTIF(DMTK!$A$7:$A$250,$G232)=0,"TK Có sai! ","")&amp;IF(N($H232)&lt;=0,"Tiền phải &gt; 0! ","")&amp;IF($B232="","Thiếu ngày! ","")&amp;IF(AND(OR(LEFT($F232,3)="131",LEFT($G232,3)="131",LEFT($F232,3)="331",LEFT($G232,3)="331"),$I232=""),"Thiếu Mã ĐT! ","")&amp;IF(AND($I232&lt;&gt;"",COUNTIF(DM_DT!$A$7:$A$306,$I232)=0),"Mã ĐT chưa khai báo! ","")))</f>
        <v/>
      </c>
      <c r="M232" s="117">
        <f>IF($H232="","",IF(AND(OR(LEFT($F232,3)="111",LEFT($F232,3)="112",LEFT($F232,3)="113"),OR(LEFT($G232,3)="111",LEFT($G232,3)="112",LEFT($G232,3)="113")),"NB",IF(OR(LEFT($F232,3)="111",LEFT($F232,3)="112",LEFT($F232,3)="113"),"THU",IF(OR(LEFT($G232,3)="111",LEFT($G232,3)="112",LEFT($G232,3)="113"),"CHI",""))))</f>
        <v/>
      </c>
      <c r="N232" s="117">
        <f>IF($M232="THU",$G232,IF($M232="CHI",$F232,""))</f>
        <v/>
      </c>
      <c r="O232" s="117">
        <f>IF(OR($M232="",$M232="NB"),"",IF($J232&lt;&gt;"",TEXT($J232,"00"),IFERROR(VLOOKUP(LEFT($N232,4),LCTT_MAP!$A$7:$C$66,IF($M232="THU",2,3),FALSE()),IFERROR(VLOOKUP(LEFT($N232,3),LCTT_MAP!$A$7:$C$66,IF($M232="THU",2,3),FALSE()),IFERROR(VLOOKUP(LEFT($N232,2),LCTT_MAP!$A$7:$C$66,IF($M232="THU",2,3),FALSE()),IFERROR(VLOOKUP(LEFT($N232,1),LCTT_MAP!$A$7:$C$66,IF($M232="THU",2,3),FALSE()),IF($M232="THU","06","07")))))))</f>
        <v/>
      </c>
      <c r="P232" s="117">
        <f>P231+IF(AND($H232&lt;&gt;"",OR(LEFT($F232,LEN(SC_TK))=SC_TK,LEFT($G232,LEN(SC_TK))=SC_TK)),1,0)</f>
        <v/>
      </c>
    </row>
    <row r="233" ht="15" customHeight="1" s="78">
      <c r="A233" s="95">
        <f>IF($H233="","",ROW()-6)</f>
        <v/>
      </c>
      <c r="B233" s="114" t="n"/>
      <c r="C233" s="102" t="n"/>
      <c r="D233" s="114" t="n"/>
      <c r="E233" s="103" t="n"/>
      <c r="F233" s="102" t="n"/>
      <c r="G233" s="102" t="n"/>
      <c r="H233" s="115" t="n"/>
      <c r="I233" s="102" t="n"/>
      <c r="J233" s="102" t="n"/>
      <c r="K233" s="103" t="n"/>
      <c r="L233" s="116">
        <f>IF($H233="","",TRIM(IF(COUNTIF(DMTK!$A$7:$A$250,$F233)=0,"TK Nợ sai! ","")&amp;IF(COUNTIF(DMTK!$A$7:$A$250,$G233)=0,"TK Có sai! ","")&amp;IF(N($H233)&lt;=0,"Tiền phải &gt; 0! ","")&amp;IF($B233="","Thiếu ngày! ","")&amp;IF(AND(OR(LEFT($F233,3)="131",LEFT($G233,3)="131",LEFT($F233,3)="331",LEFT($G233,3)="331"),$I233=""),"Thiếu Mã ĐT! ","")&amp;IF(AND($I233&lt;&gt;"",COUNTIF(DM_DT!$A$7:$A$306,$I233)=0),"Mã ĐT chưa khai báo! ","")))</f>
        <v/>
      </c>
      <c r="M233" s="117">
        <f>IF($H233="","",IF(AND(OR(LEFT($F233,3)="111",LEFT($F233,3)="112",LEFT($F233,3)="113"),OR(LEFT($G233,3)="111",LEFT($G233,3)="112",LEFT($G233,3)="113")),"NB",IF(OR(LEFT($F233,3)="111",LEFT($F233,3)="112",LEFT($F233,3)="113"),"THU",IF(OR(LEFT($G233,3)="111",LEFT($G233,3)="112",LEFT($G233,3)="113"),"CHI",""))))</f>
        <v/>
      </c>
      <c r="N233" s="117">
        <f>IF($M233="THU",$G233,IF($M233="CHI",$F233,""))</f>
        <v/>
      </c>
      <c r="O233" s="117">
        <f>IF(OR($M233="",$M233="NB"),"",IF($J233&lt;&gt;"",TEXT($J233,"00"),IFERROR(VLOOKUP(LEFT($N233,4),LCTT_MAP!$A$7:$C$66,IF($M233="THU",2,3),FALSE()),IFERROR(VLOOKUP(LEFT($N233,3),LCTT_MAP!$A$7:$C$66,IF($M233="THU",2,3),FALSE()),IFERROR(VLOOKUP(LEFT($N233,2),LCTT_MAP!$A$7:$C$66,IF($M233="THU",2,3),FALSE()),IFERROR(VLOOKUP(LEFT($N233,1),LCTT_MAP!$A$7:$C$66,IF($M233="THU",2,3),FALSE()),IF($M233="THU","06","07")))))))</f>
        <v/>
      </c>
      <c r="P233" s="117">
        <f>P232+IF(AND($H233&lt;&gt;"",OR(LEFT($F233,LEN(SC_TK))=SC_TK,LEFT($G233,LEN(SC_TK))=SC_TK)),1,0)</f>
        <v/>
      </c>
    </row>
    <row r="234" ht="15" customHeight="1" s="78">
      <c r="A234" s="95">
        <f>IF($H234="","",ROW()-6)</f>
        <v/>
      </c>
      <c r="B234" s="114" t="n"/>
      <c r="C234" s="102" t="n"/>
      <c r="D234" s="114" t="n"/>
      <c r="E234" s="103" t="n"/>
      <c r="F234" s="102" t="n"/>
      <c r="G234" s="102" t="n"/>
      <c r="H234" s="115" t="n"/>
      <c r="I234" s="102" t="n"/>
      <c r="J234" s="102" t="n"/>
      <c r="K234" s="103" t="n"/>
      <c r="L234" s="116">
        <f>IF($H234="","",TRIM(IF(COUNTIF(DMTK!$A$7:$A$250,$F234)=0,"TK Nợ sai! ","")&amp;IF(COUNTIF(DMTK!$A$7:$A$250,$G234)=0,"TK Có sai! ","")&amp;IF(N($H234)&lt;=0,"Tiền phải &gt; 0! ","")&amp;IF($B234="","Thiếu ngày! ","")&amp;IF(AND(OR(LEFT($F234,3)="131",LEFT($G234,3)="131",LEFT($F234,3)="331",LEFT($G234,3)="331"),$I234=""),"Thiếu Mã ĐT! ","")&amp;IF(AND($I234&lt;&gt;"",COUNTIF(DM_DT!$A$7:$A$306,$I234)=0),"Mã ĐT chưa khai báo! ","")))</f>
        <v/>
      </c>
      <c r="M234" s="117">
        <f>IF($H234="","",IF(AND(OR(LEFT($F234,3)="111",LEFT($F234,3)="112",LEFT($F234,3)="113"),OR(LEFT($G234,3)="111",LEFT($G234,3)="112",LEFT($G234,3)="113")),"NB",IF(OR(LEFT($F234,3)="111",LEFT($F234,3)="112",LEFT($F234,3)="113"),"THU",IF(OR(LEFT($G234,3)="111",LEFT($G234,3)="112",LEFT($G234,3)="113"),"CHI",""))))</f>
        <v/>
      </c>
      <c r="N234" s="117">
        <f>IF($M234="THU",$G234,IF($M234="CHI",$F234,""))</f>
        <v/>
      </c>
      <c r="O234" s="117">
        <f>IF(OR($M234="",$M234="NB"),"",IF($J234&lt;&gt;"",TEXT($J234,"00"),IFERROR(VLOOKUP(LEFT($N234,4),LCTT_MAP!$A$7:$C$66,IF($M234="THU",2,3),FALSE()),IFERROR(VLOOKUP(LEFT($N234,3),LCTT_MAP!$A$7:$C$66,IF($M234="THU",2,3),FALSE()),IFERROR(VLOOKUP(LEFT($N234,2),LCTT_MAP!$A$7:$C$66,IF($M234="THU",2,3),FALSE()),IFERROR(VLOOKUP(LEFT($N234,1),LCTT_MAP!$A$7:$C$66,IF($M234="THU",2,3),FALSE()),IF($M234="THU","06","07")))))))</f>
        <v/>
      </c>
      <c r="P234" s="117">
        <f>P233+IF(AND($H234&lt;&gt;"",OR(LEFT($F234,LEN(SC_TK))=SC_TK,LEFT($G234,LEN(SC_TK))=SC_TK)),1,0)</f>
        <v/>
      </c>
    </row>
    <row r="235" ht="15" customHeight="1" s="78">
      <c r="A235" s="95">
        <f>IF($H235="","",ROW()-6)</f>
        <v/>
      </c>
      <c r="B235" s="114" t="n"/>
      <c r="C235" s="102" t="n"/>
      <c r="D235" s="114" t="n"/>
      <c r="E235" s="103" t="n"/>
      <c r="F235" s="102" t="n"/>
      <c r="G235" s="102" t="n"/>
      <c r="H235" s="115" t="n"/>
      <c r="I235" s="102" t="n"/>
      <c r="J235" s="102" t="n"/>
      <c r="K235" s="103" t="n"/>
      <c r="L235" s="116">
        <f>IF($H235="","",TRIM(IF(COUNTIF(DMTK!$A$7:$A$250,$F235)=0,"TK Nợ sai! ","")&amp;IF(COUNTIF(DMTK!$A$7:$A$250,$G235)=0,"TK Có sai! ","")&amp;IF(N($H235)&lt;=0,"Tiền phải &gt; 0! ","")&amp;IF($B235="","Thiếu ngày! ","")&amp;IF(AND(OR(LEFT($F235,3)="131",LEFT($G235,3)="131",LEFT($F235,3)="331",LEFT($G235,3)="331"),$I235=""),"Thiếu Mã ĐT! ","")&amp;IF(AND($I235&lt;&gt;"",COUNTIF(DM_DT!$A$7:$A$306,$I235)=0),"Mã ĐT chưa khai báo! ","")))</f>
        <v/>
      </c>
      <c r="M235" s="117">
        <f>IF($H235="","",IF(AND(OR(LEFT($F235,3)="111",LEFT($F235,3)="112",LEFT($F235,3)="113"),OR(LEFT($G235,3)="111",LEFT($G235,3)="112",LEFT($G235,3)="113")),"NB",IF(OR(LEFT($F235,3)="111",LEFT($F235,3)="112",LEFT($F235,3)="113"),"THU",IF(OR(LEFT($G235,3)="111",LEFT($G235,3)="112",LEFT($G235,3)="113"),"CHI",""))))</f>
        <v/>
      </c>
      <c r="N235" s="117">
        <f>IF($M235="THU",$G235,IF($M235="CHI",$F235,""))</f>
        <v/>
      </c>
      <c r="O235" s="117">
        <f>IF(OR($M235="",$M235="NB"),"",IF($J235&lt;&gt;"",TEXT($J235,"00"),IFERROR(VLOOKUP(LEFT($N235,4),LCTT_MAP!$A$7:$C$66,IF($M235="THU",2,3),FALSE()),IFERROR(VLOOKUP(LEFT($N235,3),LCTT_MAP!$A$7:$C$66,IF($M235="THU",2,3),FALSE()),IFERROR(VLOOKUP(LEFT($N235,2),LCTT_MAP!$A$7:$C$66,IF($M235="THU",2,3),FALSE()),IFERROR(VLOOKUP(LEFT($N235,1),LCTT_MAP!$A$7:$C$66,IF($M235="THU",2,3),FALSE()),IF($M235="THU","06","07")))))))</f>
        <v/>
      </c>
      <c r="P235" s="117">
        <f>P234+IF(AND($H235&lt;&gt;"",OR(LEFT($F235,LEN(SC_TK))=SC_TK,LEFT($G235,LEN(SC_TK))=SC_TK)),1,0)</f>
        <v/>
      </c>
    </row>
    <row r="236" ht="15" customHeight="1" s="78">
      <c r="A236" s="95">
        <f>IF($H236="","",ROW()-6)</f>
        <v/>
      </c>
      <c r="B236" s="114" t="n"/>
      <c r="C236" s="102" t="n"/>
      <c r="D236" s="114" t="n"/>
      <c r="E236" s="103" t="n"/>
      <c r="F236" s="102" t="n"/>
      <c r="G236" s="102" t="n"/>
      <c r="H236" s="115" t="n"/>
      <c r="I236" s="102" t="n"/>
      <c r="J236" s="102" t="n"/>
      <c r="K236" s="103" t="n"/>
      <c r="L236" s="116">
        <f>IF($H236="","",TRIM(IF(COUNTIF(DMTK!$A$7:$A$250,$F236)=0,"TK Nợ sai! ","")&amp;IF(COUNTIF(DMTK!$A$7:$A$250,$G236)=0,"TK Có sai! ","")&amp;IF(N($H236)&lt;=0,"Tiền phải &gt; 0! ","")&amp;IF($B236="","Thiếu ngày! ","")&amp;IF(AND(OR(LEFT($F236,3)="131",LEFT($G236,3)="131",LEFT($F236,3)="331",LEFT($G236,3)="331"),$I236=""),"Thiếu Mã ĐT! ","")&amp;IF(AND($I236&lt;&gt;"",COUNTIF(DM_DT!$A$7:$A$306,$I236)=0),"Mã ĐT chưa khai báo! ","")))</f>
        <v/>
      </c>
      <c r="M236" s="117">
        <f>IF($H236="","",IF(AND(OR(LEFT($F236,3)="111",LEFT($F236,3)="112",LEFT($F236,3)="113"),OR(LEFT($G236,3)="111",LEFT($G236,3)="112",LEFT($G236,3)="113")),"NB",IF(OR(LEFT($F236,3)="111",LEFT($F236,3)="112",LEFT($F236,3)="113"),"THU",IF(OR(LEFT($G236,3)="111",LEFT($G236,3)="112",LEFT($G236,3)="113"),"CHI",""))))</f>
        <v/>
      </c>
      <c r="N236" s="117">
        <f>IF($M236="THU",$G236,IF($M236="CHI",$F236,""))</f>
        <v/>
      </c>
      <c r="O236" s="117">
        <f>IF(OR($M236="",$M236="NB"),"",IF($J236&lt;&gt;"",TEXT($J236,"00"),IFERROR(VLOOKUP(LEFT($N236,4),LCTT_MAP!$A$7:$C$66,IF($M236="THU",2,3),FALSE()),IFERROR(VLOOKUP(LEFT($N236,3),LCTT_MAP!$A$7:$C$66,IF($M236="THU",2,3),FALSE()),IFERROR(VLOOKUP(LEFT($N236,2),LCTT_MAP!$A$7:$C$66,IF($M236="THU",2,3),FALSE()),IFERROR(VLOOKUP(LEFT($N236,1),LCTT_MAP!$A$7:$C$66,IF($M236="THU",2,3),FALSE()),IF($M236="THU","06","07")))))))</f>
        <v/>
      </c>
      <c r="P236" s="117">
        <f>P235+IF(AND($H236&lt;&gt;"",OR(LEFT($F236,LEN(SC_TK))=SC_TK,LEFT($G236,LEN(SC_TK))=SC_TK)),1,0)</f>
        <v/>
      </c>
    </row>
    <row r="237" ht="15" customHeight="1" s="78">
      <c r="A237" s="95">
        <f>IF($H237="","",ROW()-6)</f>
        <v/>
      </c>
      <c r="B237" s="114" t="n"/>
      <c r="C237" s="102" t="n"/>
      <c r="D237" s="114" t="n"/>
      <c r="E237" s="103" t="n"/>
      <c r="F237" s="102" t="n"/>
      <c r="G237" s="102" t="n"/>
      <c r="H237" s="115" t="n"/>
      <c r="I237" s="102" t="n"/>
      <c r="J237" s="102" t="n"/>
      <c r="K237" s="103" t="n"/>
      <c r="L237" s="116">
        <f>IF($H237="","",TRIM(IF(COUNTIF(DMTK!$A$7:$A$250,$F237)=0,"TK Nợ sai! ","")&amp;IF(COUNTIF(DMTK!$A$7:$A$250,$G237)=0,"TK Có sai! ","")&amp;IF(N($H237)&lt;=0,"Tiền phải &gt; 0! ","")&amp;IF($B237="","Thiếu ngày! ","")&amp;IF(AND(OR(LEFT($F237,3)="131",LEFT($G237,3)="131",LEFT($F237,3)="331",LEFT($G237,3)="331"),$I237=""),"Thiếu Mã ĐT! ","")&amp;IF(AND($I237&lt;&gt;"",COUNTIF(DM_DT!$A$7:$A$306,$I237)=0),"Mã ĐT chưa khai báo! ","")))</f>
        <v/>
      </c>
      <c r="M237" s="117">
        <f>IF($H237="","",IF(AND(OR(LEFT($F237,3)="111",LEFT($F237,3)="112",LEFT($F237,3)="113"),OR(LEFT($G237,3)="111",LEFT($G237,3)="112",LEFT($G237,3)="113")),"NB",IF(OR(LEFT($F237,3)="111",LEFT($F237,3)="112",LEFT($F237,3)="113"),"THU",IF(OR(LEFT($G237,3)="111",LEFT($G237,3)="112",LEFT($G237,3)="113"),"CHI",""))))</f>
        <v/>
      </c>
      <c r="N237" s="117">
        <f>IF($M237="THU",$G237,IF($M237="CHI",$F237,""))</f>
        <v/>
      </c>
      <c r="O237" s="117">
        <f>IF(OR($M237="",$M237="NB"),"",IF($J237&lt;&gt;"",TEXT($J237,"00"),IFERROR(VLOOKUP(LEFT($N237,4),LCTT_MAP!$A$7:$C$66,IF($M237="THU",2,3),FALSE()),IFERROR(VLOOKUP(LEFT($N237,3),LCTT_MAP!$A$7:$C$66,IF($M237="THU",2,3),FALSE()),IFERROR(VLOOKUP(LEFT($N237,2),LCTT_MAP!$A$7:$C$66,IF($M237="THU",2,3),FALSE()),IFERROR(VLOOKUP(LEFT($N237,1),LCTT_MAP!$A$7:$C$66,IF($M237="THU",2,3),FALSE()),IF($M237="THU","06","07")))))))</f>
        <v/>
      </c>
      <c r="P237" s="117">
        <f>P236+IF(AND($H237&lt;&gt;"",OR(LEFT($F237,LEN(SC_TK))=SC_TK,LEFT($G237,LEN(SC_TK))=SC_TK)),1,0)</f>
        <v/>
      </c>
    </row>
    <row r="238" ht="15" customHeight="1" s="78">
      <c r="A238" s="95">
        <f>IF($H238="","",ROW()-6)</f>
        <v/>
      </c>
      <c r="B238" s="114" t="n"/>
      <c r="C238" s="102" t="n"/>
      <c r="D238" s="114" t="n"/>
      <c r="E238" s="103" t="n"/>
      <c r="F238" s="102" t="n"/>
      <c r="G238" s="102" t="n"/>
      <c r="H238" s="115" t="n"/>
      <c r="I238" s="102" t="n"/>
      <c r="J238" s="102" t="n"/>
      <c r="K238" s="103" t="n"/>
      <c r="L238" s="116">
        <f>IF($H238="","",TRIM(IF(COUNTIF(DMTK!$A$7:$A$250,$F238)=0,"TK Nợ sai! ","")&amp;IF(COUNTIF(DMTK!$A$7:$A$250,$G238)=0,"TK Có sai! ","")&amp;IF(N($H238)&lt;=0,"Tiền phải &gt; 0! ","")&amp;IF($B238="","Thiếu ngày! ","")&amp;IF(AND(OR(LEFT($F238,3)="131",LEFT($G238,3)="131",LEFT($F238,3)="331",LEFT($G238,3)="331"),$I238=""),"Thiếu Mã ĐT! ","")&amp;IF(AND($I238&lt;&gt;"",COUNTIF(DM_DT!$A$7:$A$306,$I238)=0),"Mã ĐT chưa khai báo! ","")))</f>
        <v/>
      </c>
      <c r="M238" s="117">
        <f>IF($H238="","",IF(AND(OR(LEFT($F238,3)="111",LEFT($F238,3)="112",LEFT($F238,3)="113"),OR(LEFT($G238,3)="111",LEFT($G238,3)="112",LEFT($G238,3)="113")),"NB",IF(OR(LEFT($F238,3)="111",LEFT($F238,3)="112",LEFT($F238,3)="113"),"THU",IF(OR(LEFT($G238,3)="111",LEFT($G238,3)="112",LEFT($G238,3)="113"),"CHI",""))))</f>
        <v/>
      </c>
      <c r="N238" s="117">
        <f>IF($M238="THU",$G238,IF($M238="CHI",$F238,""))</f>
        <v/>
      </c>
      <c r="O238" s="117">
        <f>IF(OR($M238="",$M238="NB"),"",IF($J238&lt;&gt;"",TEXT($J238,"00"),IFERROR(VLOOKUP(LEFT($N238,4),LCTT_MAP!$A$7:$C$66,IF($M238="THU",2,3),FALSE()),IFERROR(VLOOKUP(LEFT($N238,3),LCTT_MAP!$A$7:$C$66,IF($M238="THU",2,3),FALSE()),IFERROR(VLOOKUP(LEFT($N238,2),LCTT_MAP!$A$7:$C$66,IF($M238="THU",2,3),FALSE()),IFERROR(VLOOKUP(LEFT($N238,1),LCTT_MAP!$A$7:$C$66,IF($M238="THU",2,3),FALSE()),IF($M238="THU","06","07")))))))</f>
        <v/>
      </c>
      <c r="P238" s="117">
        <f>P237+IF(AND($H238&lt;&gt;"",OR(LEFT($F238,LEN(SC_TK))=SC_TK,LEFT($G238,LEN(SC_TK))=SC_TK)),1,0)</f>
        <v/>
      </c>
    </row>
    <row r="239" ht="15" customHeight="1" s="78">
      <c r="A239" s="95">
        <f>IF($H239="","",ROW()-6)</f>
        <v/>
      </c>
      <c r="B239" s="114" t="n"/>
      <c r="C239" s="102" t="n"/>
      <c r="D239" s="114" t="n"/>
      <c r="E239" s="103" t="n"/>
      <c r="F239" s="102" t="n"/>
      <c r="G239" s="102" t="n"/>
      <c r="H239" s="115" t="n"/>
      <c r="I239" s="102" t="n"/>
      <c r="J239" s="102" t="n"/>
      <c r="K239" s="103" t="n"/>
      <c r="L239" s="116">
        <f>IF($H239="","",TRIM(IF(COUNTIF(DMTK!$A$7:$A$250,$F239)=0,"TK Nợ sai! ","")&amp;IF(COUNTIF(DMTK!$A$7:$A$250,$G239)=0,"TK Có sai! ","")&amp;IF(N($H239)&lt;=0,"Tiền phải &gt; 0! ","")&amp;IF($B239="","Thiếu ngày! ","")&amp;IF(AND(OR(LEFT($F239,3)="131",LEFT($G239,3)="131",LEFT($F239,3)="331",LEFT($G239,3)="331"),$I239=""),"Thiếu Mã ĐT! ","")&amp;IF(AND($I239&lt;&gt;"",COUNTIF(DM_DT!$A$7:$A$306,$I239)=0),"Mã ĐT chưa khai báo! ","")))</f>
        <v/>
      </c>
      <c r="M239" s="117">
        <f>IF($H239="","",IF(AND(OR(LEFT($F239,3)="111",LEFT($F239,3)="112",LEFT($F239,3)="113"),OR(LEFT($G239,3)="111",LEFT($G239,3)="112",LEFT($G239,3)="113")),"NB",IF(OR(LEFT($F239,3)="111",LEFT($F239,3)="112",LEFT($F239,3)="113"),"THU",IF(OR(LEFT($G239,3)="111",LEFT($G239,3)="112",LEFT($G239,3)="113"),"CHI",""))))</f>
        <v/>
      </c>
      <c r="N239" s="117">
        <f>IF($M239="THU",$G239,IF($M239="CHI",$F239,""))</f>
        <v/>
      </c>
      <c r="O239" s="117">
        <f>IF(OR($M239="",$M239="NB"),"",IF($J239&lt;&gt;"",TEXT($J239,"00"),IFERROR(VLOOKUP(LEFT($N239,4),LCTT_MAP!$A$7:$C$66,IF($M239="THU",2,3),FALSE()),IFERROR(VLOOKUP(LEFT($N239,3),LCTT_MAP!$A$7:$C$66,IF($M239="THU",2,3),FALSE()),IFERROR(VLOOKUP(LEFT($N239,2),LCTT_MAP!$A$7:$C$66,IF($M239="THU",2,3),FALSE()),IFERROR(VLOOKUP(LEFT($N239,1),LCTT_MAP!$A$7:$C$66,IF($M239="THU",2,3),FALSE()),IF($M239="THU","06","07")))))))</f>
        <v/>
      </c>
      <c r="P239" s="117">
        <f>P238+IF(AND($H239&lt;&gt;"",OR(LEFT($F239,LEN(SC_TK))=SC_TK,LEFT($G239,LEN(SC_TK))=SC_TK)),1,0)</f>
        <v/>
      </c>
    </row>
    <row r="240" ht="15" customHeight="1" s="78">
      <c r="A240" s="95">
        <f>IF($H240="","",ROW()-6)</f>
        <v/>
      </c>
      <c r="B240" s="114" t="n"/>
      <c r="C240" s="102" t="n"/>
      <c r="D240" s="114" t="n"/>
      <c r="E240" s="103" t="n"/>
      <c r="F240" s="102" t="n"/>
      <c r="G240" s="102" t="n"/>
      <c r="H240" s="115" t="n"/>
      <c r="I240" s="102" t="n"/>
      <c r="J240" s="102" t="n"/>
      <c r="K240" s="103" t="n"/>
      <c r="L240" s="116">
        <f>IF($H240="","",TRIM(IF(COUNTIF(DMTK!$A$7:$A$250,$F240)=0,"TK Nợ sai! ","")&amp;IF(COUNTIF(DMTK!$A$7:$A$250,$G240)=0,"TK Có sai! ","")&amp;IF(N($H240)&lt;=0,"Tiền phải &gt; 0! ","")&amp;IF($B240="","Thiếu ngày! ","")&amp;IF(AND(OR(LEFT($F240,3)="131",LEFT($G240,3)="131",LEFT($F240,3)="331",LEFT($G240,3)="331"),$I240=""),"Thiếu Mã ĐT! ","")&amp;IF(AND($I240&lt;&gt;"",COUNTIF(DM_DT!$A$7:$A$306,$I240)=0),"Mã ĐT chưa khai báo! ","")))</f>
        <v/>
      </c>
      <c r="M240" s="117">
        <f>IF($H240="","",IF(AND(OR(LEFT($F240,3)="111",LEFT($F240,3)="112",LEFT($F240,3)="113"),OR(LEFT($G240,3)="111",LEFT($G240,3)="112",LEFT($G240,3)="113")),"NB",IF(OR(LEFT($F240,3)="111",LEFT($F240,3)="112",LEFT($F240,3)="113"),"THU",IF(OR(LEFT($G240,3)="111",LEFT($G240,3)="112",LEFT($G240,3)="113"),"CHI",""))))</f>
        <v/>
      </c>
      <c r="N240" s="117">
        <f>IF($M240="THU",$G240,IF($M240="CHI",$F240,""))</f>
        <v/>
      </c>
      <c r="O240" s="117">
        <f>IF(OR($M240="",$M240="NB"),"",IF($J240&lt;&gt;"",TEXT($J240,"00"),IFERROR(VLOOKUP(LEFT($N240,4),LCTT_MAP!$A$7:$C$66,IF($M240="THU",2,3),FALSE()),IFERROR(VLOOKUP(LEFT($N240,3),LCTT_MAP!$A$7:$C$66,IF($M240="THU",2,3),FALSE()),IFERROR(VLOOKUP(LEFT($N240,2),LCTT_MAP!$A$7:$C$66,IF($M240="THU",2,3),FALSE()),IFERROR(VLOOKUP(LEFT($N240,1),LCTT_MAP!$A$7:$C$66,IF($M240="THU",2,3),FALSE()),IF($M240="THU","06","07")))))))</f>
        <v/>
      </c>
      <c r="P240" s="117">
        <f>P239+IF(AND($H240&lt;&gt;"",OR(LEFT($F240,LEN(SC_TK))=SC_TK,LEFT($G240,LEN(SC_TK))=SC_TK)),1,0)</f>
        <v/>
      </c>
    </row>
    <row r="241" ht="15" customHeight="1" s="78">
      <c r="A241" s="95">
        <f>IF($H241="","",ROW()-6)</f>
        <v/>
      </c>
      <c r="B241" s="114" t="n"/>
      <c r="C241" s="102" t="n"/>
      <c r="D241" s="114" t="n"/>
      <c r="E241" s="103" t="n"/>
      <c r="F241" s="102" t="n"/>
      <c r="G241" s="102" t="n"/>
      <c r="H241" s="115" t="n"/>
      <c r="I241" s="102" t="n"/>
      <c r="J241" s="102" t="n"/>
      <c r="K241" s="103" t="n"/>
      <c r="L241" s="116">
        <f>IF($H241="","",TRIM(IF(COUNTIF(DMTK!$A$7:$A$250,$F241)=0,"TK Nợ sai! ","")&amp;IF(COUNTIF(DMTK!$A$7:$A$250,$G241)=0,"TK Có sai! ","")&amp;IF(N($H241)&lt;=0,"Tiền phải &gt; 0! ","")&amp;IF($B241="","Thiếu ngày! ","")&amp;IF(AND(OR(LEFT($F241,3)="131",LEFT($G241,3)="131",LEFT($F241,3)="331",LEFT($G241,3)="331"),$I241=""),"Thiếu Mã ĐT! ","")&amp;IF(AND($I241&lt;&gt;"",COUNTIF(DM_DT!$A$7:$A$306,$I241)=0),"Mã ĐT chưa khai báo! ","")))</f>
        <v/>
      </c>
      <c r="M241" s="117">
        <f>IF($H241="","",IF(AND(OR(LEFT($F241,3)="111",LEFT($F241,3)="112",LEFT($F241,3)="113"),OR(LEFT($G241,3)="111",LEFT($G241,3)="112",LEFT($G241,3)="113")),"NB",IF(OR(LEFT($F241,3)="111",LEFT($F241,3)="112",LEFT($F241,3)="113"),"THU",IF(OR(LEFT($G241,3)="111",LEFT($G241,3)="112",LEFT($G241,3)="113"),"CHI",""))))</f>
        <v/>
      </c>
      <c r="N241" s="117">
        <f>IF($M241="THU",$G241,IF($M241="CHI",$F241,""))</f>
        <v/>
      </c>
      <c r="O241" s="117">
        <f>IF(OR($M241="",$M241="NB"),"",IF($J241&lt;&gt;"",TEXT($J241,"00"),IFERROR(VLOOKUP(LEFT($N241,4),LCTT_MAP!$A$7:$C$66,IF($M241="THU",2,3),FALSE()),IFERROR(VLOOKUP(LEFT($N241,3),LCTT_MAP!$A$7:$C$66,IF($M241="THU",2,3),FALSE()),IFERROR(VLOOKUP(LEFT($N241,2),LCTT_MAP!$A$7:$C$66,IF($M241="THU",2,3),FALSE()),IFERROR(VLOOKUP(LEFT($N241,1),LCTT_MAP!$A$7:$C$66,IF($M241="THU",2,3),FALSE()),IF($M241="THU","06","07")))))))</f>
        <v/>
      </c>
      <c r="P241" s="117">
        <f>P240+IF(AND($H241&lt;&gt;"",OR(LEFT($F241,LEN(SC_TK))=SC_TK,LEFT($G241,LEN(SC_TK))=SC_TK)),1,0)</f>
        <v/>
      </c>
    </row>
    <row r="242" ht="15" customHeight="1" s="78">
      <c r="A242" s="95">
        <f>IF($H242="","",ROW()-6)</f>
        <v/>
      </c>
      <c r="B242" s="114" t="n"/>
      <c r="C242" s="102" t="n"/>
      <c r="D242" s="114" t="n"/>
      <c r="E242" s="103" t="n"/>
      <c r="F242" s="102" t="n"/>
      <c r="G242" s="102" t="n"/>
      <c r="H242" s="115" t="n"/>
      <c r="I242" s="102" t="n"/>
      <c r="J242" s="102" t="n"/>
      <c r="K242" s="103" t="n"/>
      <c r="L242" s="116">
        <f>IF($H242="","",TRIM(IF(COUNTIF(DMTK!$A$7:$A$250,$F242)=0,"TK Nợ sai! ","")&amp;IF(COUNTIF(DMTK!$A$7:$A$250,$G242)=0,"TK Có sai! ","")&amp;IF(N($H242)&lt;=0,"Tiền phải &gt; 0! ","")&amp;IF($B242="","Thiếu ngày! ","")&amp;IF(AND(OR(LEFT($F242,3)="131",LEFT($G242,3)="131",LEFT($F242,3)="331",LEFT($G242,3)="331"),$I242=""),"Thiếu Mã ĐT! ","")&amp;IF(AND($I242&lt;&gt;"",COUNTIF(DM_DT!$A$7:$A$306,$I242)=0),"Mã ĐT chưa khai báo! ","")))</f>
        <v/>
      </c>
      <c r="M242" s="117">
        <f>IF($H242="","",IF(AND(OR(LEFT($F242,3)="111",LEFT($F242,3)="112",LEFT($F242,3)="113"),OR(LEFT($G242,3)="111",LEFT($G242,3)="112",LEFT($G242,3)="113")),"NB",IF(OR(LEFT($F242,3)="111",LEFT($F242,3)="112",LEFT($F242,3)="113"),"THU",IF(OR(LEFT($G242,3)="111",LEFT($G242,3)="112",LEFT($G242,3)="113"),"CHI",""))))</f>
        <v/>
      </c>
      <c r="N242" s="117">
        <f>IF($M242="THU",$G242,IF($M242="CHI",$F242,""))</f>
        <v/>
      </c>
      <c r="O242" s="117">
        <f>IF(OR($M242="",$M242="NB"),"",IF($J242&lt;&gt;"",TEXT($J242,"00"),IFERROR(VLOOKUP(LEFT($N242,4),LCTT_MAP!$A$7:$C$66,IF($M242="THU",2,3),FALSE()),IFERROR(VLOOKUP(LEFT($N242,3),LCTT_MAP!$A$7:$C$66,IF($M242="THU",2,3),FALSE()),IFERROR(VLOOKUP(LEFT($N242,2),LCTT_MAP!$A$7:$C$66,IF($M242="THU",2,3),FALSE()),IFERROR(VLOOKUP(LEFT($N242,1),LCTT_MAP!$A$7:$C$66,IF($M242="THU",2,3),FALSE()),IF($M242="THU","06","07")))))))</f>
        <v/>
      </c>
      <c r="P242" s="117">
        <f>P241+IF(AND($H242&lt;&gt;"",OR(LEFT($F242,LEN(SC_TK))=SC_TK,LEFT($G242,LEN(SC_TK))=SC_TK)),1,0)</f>
        <v/>
      </c>
    </row>
    <row r="243" ht="15" customHeight="1" s="78">
      <c r="A243" s="95">
        <f>IF($H243="","",ROW()-6)</f>
        <v/>
      </c>
      <c r="B243" s="114" t="n"/>
      <c r="C243" s="102" t="n"/>
      <c r="D243" s="114" t="n"/>
      <c r="E243" s="103" t="n"/>
      <c r="F243" s="102" t="n"/>
      <c r="G243" s="102" t="n"/>
      <c r="H243" s="115" t="n"/>
      <c r="I243" s="102" t="n"/>
      <c r="J243" s="102" t="n"/>
      <c r="K243" s="103" t="n"/>
      <c r="L243" s="116">
        <f>IF($H243="","",TRIM(IF(COUNTIF(DMTK!$A$7:$A$250,$F243)=0,"TK Nợ sai! ","")&amp;IF(COUNTIF(DMTK!$A$7:$A$250,$G243)=0,"TK Có sai! ","")&amp;IF(N($H243)&lt;=0,"Tiền phải &gt; 0! ","")&amp;IF($B243="","Thiếu ngày! ","")&amp;IF(AND(OR(LEFT($F243,3)="131",LEFT($G243,3)="131",LEFT($F243,3)="331",LEFT($G243,3)="331"),$I243=""),"Thiếu Mã ĐT! ","")&amp;IF(AND($I243&lt;&gt;"",COUNTIF(DM_DT!$A$7:$A$306,$I243)=0),"Mã ĐT chưa khai báo! ","")))</f>
        <v/>
      </c>
      <c r="M243" s="117">
        <f>IF($H243="","",IF(AND(OR(LEFT($F243,3)="111",LEFT($F243,3)="112",LEFT($F243,3)="113"),OR(LEFT($G243,3)="111",LEFT($G243,3)="112",LEFT($G243,3)="113")),"NB",IF(OR(LEFT($F243,3)="111",LEFT($F243,3)="112",LEFT($F243,3)="113"),"THU",IF(OR(LEFT($G243,3)="111",LEFT($G243,3)="112",LEFT($G243,3)="113"),"CHI",""))))</f>
        <v/>
      </c>
      <c r="N243" s="117">
        <f>IF($M243="THU",$G243,IF($M243="CHI",$F243,""))</f>
        <v/>
      </c>
      <c r="O243" s="117">
        <f>IF(OR($M243="",$M243="NB"),"",IF($J243&lt;&gt;"",TEXT($J243,"00"),IFERROR(VLOOKUP(LEFT($N243,4),LCTT_MAP!$A$7:$C$66,IF($M243="THU",2,3),FALSE()),IFERROR(VLOOKUP(LEFT($N243,3),LCTT_MAP!$A$7:$C$66,IF($M243="THU",2,3),FALSE()),IFERROR(VLOOKUP(LEFT($N243,2),LCTT_MAP!$A$7:$C$66,IF($M243="THU",2,3),FALSE()),IFERROR(VLOOKUP(LEFT($N243,1),LCTT_MAP!$A$7:$C$66,IF($M243="THU",2,3),FALSE()),IF($M243="THU","06","07")))))))</f>
        <v/>
      </c>
      <c r="P243" s="117">
        <f>P242+IF(AND($H243&lt;&gt;"",OR(LEFT($F243,LEN(SC_TK))=SC_TK,LEFT($G243,LEN(SC_TK))=SC_TK)),1,0)</f>
        <v/>
      </c>
    </row>
    <row r="244" ht="15" customHeight="1" s="78">
      <c r="A244" s="95">
        <f>IF($H244="","",ROW()-6)</f>
        <v/>
      </c>
      <c r="B244" s="114" t="n"/>
      <c r="C244" s="102" t="n"/>
      <c r="D244" s="114" t="n"/>
      <c r="E244" s="103" t="n"/>
      <c r="F244" s="102" t="n"/>
      <c r="G244" s="102" t="n"/>
      <c r="H244" s="115" t="n"/>
      <c r="I244" s="102" t="n"/>
      <c r="J244" s="102" t="n"/>
      <c r="K244" s="103" t="n"/>
      <c r="L244" s="116">
        <f>IF($H244="","",TRIM(IF(COUNTIF(DMTK!$A$7:$A$250,$F244)=0,"TK Nợ sai! ","")&amp;IF(COUNTIF(DMTK!$A$7:$A$250,$G244)=0,"TK Có sai! ","")&amp;IF(N($H244)&lt;=0,"Tiền phải &gt; 0! ","")&amp;IF($B244="","Thiếu ngày! ","")&amp;IF(AND(OR(LEFT($F244,3)="131",LEFT($G244,3)="131",LEFT($F244,3)="331",LEFT($G244,3)="331"),$I244=""),"Thiếu Mã ĐT! ","")&amp;IF(AND($I244&lt;&gt;"",COUNTIF(DM_DT!$A$7:$A$306,$I244)=0),"Mã ĐT chưa khai báo! ","")))</f>
        <v/>
      </c>
      <c r="M244" s="117">
        <f>IF($H244="","",IF(AND(OR(LEFT($F244,3)="111",LEFT($F244,3)="112",LEFT($F244,3)="113"),OR(LEFT($G244,3)="111",LEFT($G244,3)="112",LEFT($G244,3)="113")),"NB",IF(OR(LEFT($F244,3)="111",LEFT($F244,3)="112",LEFT($F244,3)="113"),"THU",IF(OR(LEFT($G244,3)="111",LEFT($G244,3)="112",LEFT($G244,3)="113"),"CHI",""))))</f>
        <v/>
      </c>
      <c r="N244" s="117">
        <f>IF($M244="THU",$G244,IF($M244="CHI",$F244,""))</f>
        <v/>
      </c>
      <c r="O244" s="117">
        <f>IF(OR($M244="",$M244="NB"),"",IF($J244&lt;&gt;"",TEXT($J244,"00"),IFERROR(VLOOKUP(LEFT($N244,4),LCTT_MAP!$A$7:$C$66,IF($M244="THU",2,3),FALSE()),IFERROR(VLOOKUP(LEFT($N244,3),LCTT_MAP!$A$7:$C$66,IF($M244="THU",2,3),FALSE()),IFERROR(VLOOKUP(LEFT($N244,2),LCTT_MAP!$A$7:$C$66,IF($M244="THU",2,3),FALSE()),IFERROR(VLOOKUP(LEFT($N244,1),LCTT_MAP!$A$7:$C$66,IF($M244="THU",2,3),FALSE()),IF($M244="THU","06","07")))))))</f>
        <v/>
      </c>
      <c r="P244" s="117">
        <f>P243+IF(AND($H244&lt;&gt;"",OR(LEFT($F244,LEN(SC_TK))=SC_TK,LEFT($G244,LEN(SC_TK))=SC_TK)),1,0)</f>
        <v/>
      </c>
    </row>
    <row r="245" ht="15" customHeight="1" s="78">
      <c r="A245" s="95">
        <f>IF($H245="","",ROW()-6)</f>
        <v/>
      </c>
      <c r="B245" s="114" t="n"/>
      <c r="C245" s="102" t="n"/>
      <c r="D245" s="114" t="n"/>
      <c r="E245" s="103" t="n"/>
      <c r="F245" s="102" t="n"/>
      <c r="G245" s="102" t="n"/>
      <c r="H245" s="115" t="n"/>
      <c r="I245" s="102" t="n"/>
      <c r="J245" s="102" t="n"/>
      <c r="K245" s="103" t="n"/>
      <c r="L245" s="116">
        <f>IF($H245="","",TRIM(IF(COUNTIF(DMTK!$A$7:$A$250,$F245)=0,"TK Nợ sai! ","")&amp;IF(COUNTIF(DMTK!$A$7:$A$250,$G245)=0,"TK Có sai! ","")&amp;IF(N($H245)&lt;=0,"Tiền phải &gt; 0! ","")&amp;IF($B245="","Thiếu ngày! ","")&amp;IF(AND(OR(LEFT($F245,3)="131",LEFT($G245,3)="131",LEFT($F245,3)="331",LEFT($G245,3)="331"),$I245=""),"Thiếu Mã ĐT! ","")&amp;IF(AND($I245&lt;&gt;"",COUNTIF(DM_DT!$A$7:$A$306,$I245)=0),"Mã ĐT chưa khai báo! ","")))</f>
        <v/>
      </c>
      <c r="M245" s="117">
        <f>IF($H245="","",IF(AND(OR(LEFT($F245,3)="111",LEFT($F245,3)="112",LEFT($F245,3)="113"),OR(LEFT($G245,3)="111",LEFT($G245,3)="112",LEFT($G245,3)="113")),"NB",IF(OR(LEFT($F245,3)="111",LEFT($F245,3)="112",LEFT($F245,3)="113"),"THU",IF(OR(LEFT($G245,3)="111",LEFT($G245,3)="112",LEFT($G245,3)="113"),"CHI",""))))</f>
        <v/>
      </c>
      <c r="N245" s="117">
        <f>IF($M245="THU",$G245,IF($M245="CHI",$F245,""))</f>
        <v/>
      </c>
      <c r="O245" s="117">
        <f>IF(OR($M245="",$M245="NB"),"",IF($J245&lt;&gt;"",TEXT($J245,"00"),IFERROR(VLOOKUP(LEFT($N245,4),LCTT_MAP!$A$7:$C$66,IF($M245="THU",2,3),FALSE()),IFERROR(VLOOKUP(LEFT($N245,3),LCTT_MAP!$A$7:$C$66,IF($M245="THU",2,3),FALSE()),IFERROR(VLOOKUP(LEFT($N245,2),LCTT_MAP!$A$7:$C$66,IF($M245="THU",2,3),FALSE()),IFERROR(VLOOKUP(LEFT($N245,1),LCTT_MAP!$A$7:$C$66,IF($M245="THU",2,3),FALSE()),IF($M245="THU","06","07")))))))</f>
        <v/>
      </c>
      <c r="P245" s="117">
        <f>P244+IF(AND($H245&lt;&gt;"",OR(LEFT($F245,LEN(SC_TK))=SC_TK,LEFT($G245,LEN(SC_TK))=SC_TK)),1,0)</f>
        <v/>
      </c>
    </row>
    <row r="246" ht="15" customHeight="1" s="78">
      <c r="A246" s="95">
        <f>IF($H246="","",ROW()-6)</f>
        <v/>
      </c>
      <c r="B246" s="114" t="n"/>
      <c r="C246" s="102" t="n"/>
      <c r="D246" s="114" t="n"/>
      <c r="E246" s="103" t="n"/>
      <c r="F246" s="102" t="n"/>
      <c r="G246" s="102" t="n"/>
      <c r="H246" s="115" t="n"/>
      <c r="I246" s="102" t="n"/>
      <c r="J246" s="102" t="n"/>
      <c r="K246" s="103" t="n"/>
      <c r="L246" s="116">
        <f>IF($H246="","",TRIM(IF(COUNTIF(DMTK!$A$7:$A$250,$F246)=0,"TK Nợ sai! ","")&amp;IF(COUNTIF(DMTK!$A$7:$A$250,$G246)=0,"TK Có sai! ","")&amp;IF(N($H246)&lt;=0,"Tiền phải &gt; 0! ","")&amp;IF($B246="","Thiếu ngày! ","")&amp;IF(AND(OR(LEFT($F246,3)="131",LEFT($G246,3)="131",LEFT($F246,3)="331",LEFT($G246,3)="331"),$I246=""),"Thiếu Mã ĐT! ","")&amp;IF(AND($I246&lt;&gt;"",COUNTIF(DM_DT!$A$7:$A$306,$I246)=0),"Mã ĐT chưa khai báo! ","")))</f>
        <v/>
      </c>
      <c r="M246" s="117">
        <f>IF($H246="","",IF(AND(OR(LEFT($F246,3)="111",LEFT($F246,3)="112",LEFT($F246,3)="113"),OR(LEFT($G246,3)="111",LEFT($G246,3)="112",LEFT($G246,3)="113")),"NB",IF(OR(LEFT($F246,3)="111",LEFT($F246,3)="112",LEFT($F246,3)="113"),"THU",IF(OR(LEFT($G246,3)="111",LEFT($G246,3)="112",LEFT($G246,3)="113"),"CHI",""))))</f>
        <v/>
      </c>
      <c r="N246" s="117">
        <f>IF($M246="THU",$G246,IF($M246="CHI",$F246,""))</f>
        <v/>
      </c>
      <c r="O246" s="117">
        <f>IF(OR($M246="",$M246="NB"),"",IF($J246&lt;&gt;"",TEXT($J246,"00"),IFERROR(VLOOKUP(LEFT($N246,4),LCTT_MAP!$A$7:$C$66,IF($M246="THU",2,3),FALSE()),IFERROR(VLOOKUP(LEFT($N246,3),LCTT_MAP!$A$7:$C$66,IF($M246="THU",2,3),FALSE()),IFERROR(VLOOKUP(LEFT($N246,2),LCTT_MAP!$A$7:$C$66,IF($M246="THU",2,3),FALSE()),IFERROR(VLOOKUP(LEFT($N246,1),LCTT_MAP!$A$7:$C$66,IF($M246="THU",2,3),FALSE()),IF($M246="THU","06","07")))))))</f>
        <v/>
      </c>
      <c r="P246" s="117">
        <f>P245+IF(AND($H246&lt;&gt;"",OR(LEFT($F246,LEN(SC_TK))=SC_TK,LEFT($G246,LEN(SC_TK))=SC_TK)),1,0)</f>
        <v/>
      </c>
    </row>
    <row r="247" ht="15" customHeight="1" s="78">
      <c r="A247" s="95">
        <f>IF($H247="","",ROW()-6)</f>
        <v/>
      </c>
      <c r="B247" s="114" t="n"/>
      <c r="C247" s="102" t="n"/>
      <c r="D247" s="114" t="n"/>
      <c r="E247" s="103" t="n"/>
      <c r="F247" s="102" t="n"/>
      <c r="G247" s="102" t="n"/>
      <c r="H247" s="115" t="n"/>
      <c r="I247" s="102" t="n"/>
      <c r="J247" s="102" t="n"/>
      <c r="K247" s="103" t="n"/>
      <c r="L247" s="116">
        <f>IF($H247="","",TRIM(IF(COUNTIF(DMTK!$A$7:$A$250,$F247)=0,"TK Nợ sai! ","")&amp;IF(COUNTIF(DMTK!$A$7:$A$250,$G247)=0,"TK Có sai! ","")&amp;IF(N($H247)&lt;=0,"Tiền phải &gt; 0! ","")&amp;IF($B247="","Thiếu ngày! ","")&amp;IF(AND(OR(LEFT($F247,3)="131",LEFT($G247,3)="131",LEFT($F247,3)="331",LEFT($G247,3)="331"),$I247=""),"Thiếu Mã ĐT! ","")&amp;IF(AND($I247&lt;&gt;"",COUNTIF(DM_DT!$A$7:$A$306,$I247)=0),"Mã ĐT chưa khai báo! ","")))</f>
        <v/>
      </c>
      <c r="M247" s="117">
        <f>IF($H247="","",IF(AND(OR(LEFT($F247,3)="111",LEFT($F247,3)="112",LEFT($F247,3)="113"),OR(LEFT($G247,3)="111",LEFT($G247,3)="112",LEFT($G247,3)="113")),"NB",IF(OR(LEFT($F247,3)="111",LEFT($F247,3)="112",LEFT($F247,3)="113"),"THU",IF(OR(LEFT($G247,3)="111",LEFT($G247,3)="112",LEFT($G247,3)="113"),"CHI",""))))</f>
        <v/>
      </c>
      <c r="N247" s="117">
        <f>IF($M247="THU",$G247,IF($M247="CHI",$F247,""))</f>
        <v/>
      </c>
      <c r="O247" s="117">
        <f>IF(OR($M247="",$M247="NB"),"",IF($J247&lt;&gt;"",TEXT($J247,"00"),IFERROR(VLOOKUP(LEFT($N247,4),LCTT_MAP!$A$7:$C$66,IF($M247="THU",2,3),FALSE()),IFERROR(VLOOKUP(LEFT($N247,3),LCTT_MAP!$A$7:$C$66,IF($M247="THU",2,3),FALSE()),IFERROR(VLOOKUP(LEFT($N247,2),LCTT_MAP!$A$7:$C$66,IF($M247="THU",2,3),FALSE()),IFERROR(VLOOKUP(LEFT($N247,1),LCTT_MAP!$A$7:$C$66,IF($M247="THU",2,3),FALSE()),IF($M247="THU","06","07")))))))</f>
        <v/>
      </c>
      <c r="P247" s="117">
        <f>P246+IF(AND($H247&lt;&gt;"",OR(LEFT($F247,LEN(SC_TK))=SC_TK,LEFT($G247,LEN(SC_TK))=SC_TK)),1,0)</f>
        <v/>
      </c>
    </row>
    <row r="248" ht="15" customHeight="1" s="78">
      <c r="A248" s="95">
        <f>IF($H248="","",ROW()-6)</f>
        <v/>
      </c>
      <c r="B248" s="114" t="n"/>
      <c r="C248" s="102" t="n"/>
      <c r="D248" s="114" t="n"/>
      <c r="E248" s="103" t="n"/>
      <c r="F248" s="102" t="n"/>
      <c r="G248" s="102" t="n"/>
      <c r="H248" s="115" t="n"/>
      <c r="I248" s="102" t="n"/>
      <c r="J248" s="102" t="n"/>
      <c r="K248" s="103" t="n"/>
      <c r="L248" s="116">
        <f>IF($H248="","",TRIM(IF(COUNTIF(DMTK!$A$7:$A$250,$F248)=0,"TK Nợ sai! ","")&amp;IF(COUNTIF(DMTK!$A$7:$A$250,$G248)=0,"TK Có sai! ","")&amp;IF(N($H248)&lt;=0,"Tiền phải &gt; 0! ","")&amp;IF($B248="","Thiếu ngày! ","")&amp;IF(AND(OR(LEFT($F248,3)="131",LEFT($G248,3)="131",LEFT($F248,3)="331",LEFT($G248,3)="331"),$I248=""),"Thiếu Mã ĐT! ","")&amp;IF(AND($I248&lt;&gt;"",COUNTIF(DM_DT!$A$7:$A$306,$I248)=0),"Mã ĐT chưa khai báo! ","")))</f>
        <v/>
      </c>
      <c r="M248" s="117">
        <f>IF($H248="","",IF(AND(OR(LEFT($F248,3)="111",LEFT($F248,3)="112",LEFT($F248,3)="113"),OR(LEFT($G248,3)="111",LEFT($G248,3)="112",LEFT($G248,3)="113")),"NB",IF(OR(LEFT($F248,3)="111",LEFT($F248,3)="112",LEFT($F248,3)="113"),"THU",IF(OR(LEFT($G248,3)="111",LEFT($G248,3)="112",LEFT($G248,3)="113"),"CHI",""))))</f>
        <v/>
      </c>
      <c r="N248" s="117">
        <f>IF($M248="THU",$G248,IF($M248="CHI",$F248,""))</f>
        <v/>
      </c>
      <c r="O248" s="117">
        <f>IF(OR($M248="",$M248="NB"),"",IF($J248&lt;&gt;"",TEXT($J248,"00"),IFERROR(VLOOKUP(LEFT($N248,4),LCTT_MAP!$A$7:$C$66,IF($M248="THU",2,3),FALSE()),IFERROR(VLOOKUP(LEFT($N248,3),LCTT_MAP!$A$7:$C$66,IF($M248="THU",2,3),FALSE()),IFERROR(VLOOKUP(LEFT($N248,2),LCTT_MAP!$A$7:$C$66,IF($M248="THU",2,3),FALSE()),IFERROR(VLOOKUP(LEFT($N248,1),LCTT_MAP!$A$7:$C$66,IF($M248="THU",2,3),FALSE()),IF($M248="THU","06","07")))))))</f>
        <v/>
      </c>
      <c r="P248" s="117">
        <f>P247+IF(AND($H248&lt;&gt;"",OR(LEFT($F248,LEN(SC_TK))=SC_TK,LEFT($G248,LEN(SC_TK))=SC_TK)),1,0)</f>
        <v/>
      </c>
    </row>
    <row r="249" ht="15" customHeight="1" s="78">
      <c r="A249" s="95">
        <f>IF($H249="","",ROW()-6)</f>
        <v/>
      </c>
      <c r="B249" s="114" t="n"/>
      <c r="C249" s="102" t="n"/>
      <c r="D249" s="114" t="n"/>
      <c r="E249" s="103" t="n"/>
      <c r="F249" s="102" t="n"/>
      <c r="G249" s="102" t="n"/>
      <c r="H249" s="115" t="n"/>
      <c r="I249" s="102" t="n"/>
      <c r="J249" s="102" t="n"/>
      <c r="K249" s="103" t="n"/>
      <c r="L249" s="116">
        <f>IF($H249="","",TRIM(IF(COUNTIF(DMTK!$A$7:$A$250,$F249)=0,"TK Nợ sai! ","")&amp;IF(COUNTIF(DMTK!$A$7:$A$250,$G249)=0,"TK Có sai! ","")&amp;IF(N($H249)&lt;=0,"Tiền phải &gt; 0! ","")&amp;IF($B249="","Thiếu ngày! ","")&amp;IF(AND(OR(LEFT($F249,3)="131",LEFT($G249,3)="131",LEFT($F249,3)="331",LEFT($G249,3)="331"),$I249=""),"Thiếu Mã ĐT! ","")&amp;IF(AND($I249&lt;&gt;"",COUNTIF(DM_DT!$A$7:$A$306,$I249)=0),"Mã ĐT chưa khai báo! ","")))</f>
        <v/>
      </c>
      <c r="M249" s="117">
        <f>IF($H249="","",IF(AND(OR(LEFT($F249,3)="111",LEFT($F249,3)="112",LEFT($F249,3)="113"),OR(LEFT($G249,3)="111",LEFT($G249,3)="112",LEFT($G249,3)="113")),"NB",IF(OR(LEFT($F249,3)="111",LEFT($F249,3)="112",LEFT($F249,3)="113"),"THU",IF(OR(LEFT($G249,3)="111",LEFT($G249,3)="112",LEFT($G249,3)="113"),"CHI",""))))</f>
        <v/>
      </c>
      <c r="N249" s="117">
        <f>IF($M249="THU",$G249,IF($M249="CHI",$F249,""))</f>
        <v/>
      </c>
      <c r="O249" s="117">
        <f>IF(OR($M249="",$M249="NB"),"",IF($J249&lt;&gt;"",TEXT($J249,"00"),IFERROR(VLOOKUP(LEFT($N249,4),LCTT_MAP!$A$7:$C$66,IF($M249="THU",2,3),FALSE()),IFERROR(VLOOKUP(LEFT($N249,3),LCTT_MAP!$A$7:$C$66,IF($M249="THU",2,3),FALSE()),IFERROR(VLOOKUP(LEFT($N249,2),LCTT_MAP!$A$7:$C$66,IF($M249="THU",2,3),FALSE()),IFERROR(VLOOKUP(LEFT($N249,1),LCTT_MAP!$A$7:$C$66,IF($M249="THU",2,3),FALSE()),IF($M249="THU","06","07")))))))</f>
        <v/>
      </c>
      <c r="P249" s="117">
        <f>P248+IF(AND($H249&lt;&gt;"",OR(LEFT($F249,LEN(SC_TK))=SC_TK,LEFT($G249,LEN(SC_TK))=SC_TK)),1,0)</f>
        <v/>
      </c>
    </row>
    <row r="250" ht="15" customHeight="1" s="78">
      <c r="A250" s="95">
        <f>IF($H250="","",ROW()-6)</f>
        <v/>
      </c>
      <c r="B250" s="114" t="n"/>
      <c r="C250" s="102" t="n"/>
      <c r="D250" s="114" t="n"/>
      <c r="E250" s="103" t="n"/>
      <c r="F250" s="102" t="n"/>
      <c r="G250" s="102" t="n"/>
      <c r="H250" s="115" t="n"/>
      <c r="I250" s="102" t="n"/>
      <c r="J250" s="102" t="n"/>
      <c r="K250" s="103" t="n"/>
      <c r="L250" s="116">
        <f>IF($H250="","",TRIM(IF(COUNTIF(DMTK!$A$7:$A$250,$F250)=0,"TK Nợ sai! ","")&amp;IF(COUNTIF(DMTK!$A$7:$A$250,$G250)=0,"TK Có sai! ","")&amp;IF(N($H250)&lt;=0,"Tiền phải &gt; 0! ","")&amp;IF($B250="","Thiếu ngày! ","")&amp;IF(AND(OR(LEFT($F250,3)="131",LEFT($G250,3)="131",LEFT($F250,3)="331",LEFT($G250,3)="331"),$I250=""),"Thiếu Mã ĐT! ","")&amp;IF(AND($I250&lt;&gt;"",COUNTIF(DM_DT!$A$7:$A$306,$I250)=0),"Mã ĐT chưa khai báo! ","")))</f>
        <v/>
      </c>
      <c r="M250" s="117">
        <f>IF($H250="","",IF(AND(OR(LEFT($F250,3)="111",LEFT($F250,3)="112",LEFT($F250,3)="113"),OR(LEFT($G250,3)="111",LEFT($G250,3)="112",LEFT($G250,3)="113")),"NB",IF(OR(LEFT($F250,3)="111",LEFT($F250,3)="112",LEFT($F250,3)="113"),"THU",IF(OR(LEFT($G250,3)="111",LEFT($G250,3)="112",LEFT($G250,3)="113"),"CHI",""))))</f>
        <v/>
      </c>
      <c r="N250" s="117">
        <f>IF($M250="THU",$G250,IF($M250="CHI",$F250,""))</f>
        <v/>
      </c>
      <c r="O250" s="117">
        <f>IF(OR($M250="",$M250="NB"),"",IF($J250&lt;&gt;"",TEXT($J250,"00"),IFERROR(VLOOKUP(LEFT($N250,4),LCTT_MAP!$A$7:$C$66,IF($M250="THU",2,3),FALSE()),IFERROR(VLOOKUP(LEFT($N250,3),LCTT_MAP!$A$7:$C$66,IF($M250="THU",2,3),FALSE()),IFERROR(VLOOKUP(LEFT($N250,2),LCTT_MAP!$A$7:$C$66,IF($M250="THU",2,3),FALSE()),IFERROR(VLOOKUP(LEFT($N250,1),LCTT_MAP!$A$7:$C$66,IF($M250="THU",2,3),FALSE()),IF($M250="THU","06","07")))))))</f>
        <v/>
      </c>
      <c r="P250" s="117">
        <f>P249+IF(AND($H250&lt;&gt;"",OR(LEFT($F250,LEN(SC_TK))=SC_TK,LEFT($G250,LEN(SC_TK))=SC_TK)),1,0)</f>
        <v/>
      </c>
    </row>
    <row r="251" ht="15" customHeight="1" s="78">
      <c r="A251" s="95">
        <f>IF($H251="","",ROW()-6)</f>
        <v/>
      </c>
      <c r="B251" s="114" t="n"/>
      <c r="C251" s="102" t="n"/>
      <c r="D251" s="114" t="n"/>
      <c r="E251" s="103" t="n"/>
      <c r="F251" s="102" t="n"/>
      <c r="G251" s="102" t="n"/>
      <c r="H251" s="115" t="n"/>
      <c r="I251" s="102" t="n"/>
      <c r="J251" s="102" t="n"/>
      <c r="K251" s="103" t="n"/>
      <c r="L251" s="116">
        <f>IF($H251="","",TRIM(IF(COUNTIF(DMTK!$A$7:$A$250,$F251)=0,"TK Nợ sai! ","")&amp;IF(COUNTIF(DMTK!$A$7:$A$250,$G251)=0,"TK Có sai! ","")&amp;IF(N($H251)&lt;=0,"Tiền phải &gt; 0! ","")&amp;IF($B251="","Thiếu ngày! ","")&amp;IF(AND(OR(LEFT($F251,3)="131",LEFT($G251,3)="131",LEFT($F251,3)="331",LEFT($G251,3)="331"),$I251=""),"Thiếu Mã ĐT! ","")&amp;IF(AND($I251&lt;&gt;"",COUNTIF(DM_DT!$A$7:$A$306,$I251)=0),"Mã ĐT chưa khai báo! ","")))</f>
        <v/>
      </c>
      <c r="M251" s="117">
        <f>IF($H251="","",IF(AND(OR(LEFT($F251,3)="111",LEFT($F251,3)="112",LEFT($F251,3)="113"),OR(LEFT($G251,3)="111",LEFT($G251,3)="112",LEFT($G251,3)="113")),"NB",IF(OR(LEFT($F251,3)="111",LEFT($F251,3)="112",LEFT($F251,3)="113"),"THU",IF(OR(LEFT($G251,3)="111",LEFT($G251,3)="112",LEFT($G251,3)="113"),"CHI",""))))</f>
        <v/>
      </c>
      <c r="N251" s="117">
        <f>IF($M251="THU",$G251,IF($M251="CHI",$F251,""))</f>
        <v/>
      </c>
      <c r="O251" s="117">
        <f>IF(OR($M251="",$M251="NB"),"",IF($J251&lt;&gt;"",TEXT($J251,"00"),IFERROR(VLOOKUP(LEFT($N251,4),LCTT_MAP!$A$7:$C$66,IF($M251="THU",2,3),FALSE()),IFERROR(VLOOKUP(LEFT($N251,3),LCTT_MAP!$A$7:$C$66,IF($M251="THU",2,3),FALSE()),IFERROR(VLOOKUP(LEFT($N251,2),LCTT_MAP!$A$7:$C$66,IF($M251="THU",2,3),FALSE()),IFERROR(VLOOKUP(LEFT($N251,1),LCTT_MAP!$A$7:$C$66,IF($M251="THU",2,3),FALSE()),IF($M251="THU","06","07")))))))</f>
        <v/>
      </c>
      <c r="P251" s="117">
        <f>P250+IF(AND($H251&lt;&gt;"",OR(LEFT($F251,LEN(SC_TK))=SC_TK,LEFT($G251,LEN(SC_TK))=SC_TK)),1,0)</f>
        <v/>
      </c>
    </row>
    <row r="252" ht="15" customHeight="1" s="78">
      <c r="A252" s="95">
        <f>IF($H252="","",ROW()-6)</f>
        <v/>
      </c>
      <c r="B252" s="114" t="n"/>
      <c r="C252" s="102" t="n"/>
      <c r="D252" s="114" t="n"/>
      <c r="E252" s="103" t="n"/>
      <c r="F252" s="102" t="n"/>
      <c r="G252" s="102" t="n"/>
      <c r="H252" s="115" t="n"/>
      <c r="I252" s="102" t="n"/>
      <c r="J252" s="102" t="n"/>
      <c r="K252" s="103" t="n"/>
      <c r="L252" s="116">
        <f>IF($H252="","",TRIM(IF(COUNTIF(DMTK!$A$7:$A$250,$F252)=0,"TK Nợ sai! ","")&amp;IF(COUNTIF(DMTK!$A$7:$A$250,$G252)=0,"TK Có sai! ","")&amp;IF(N($H252)&lt;=0,"Tiền phải &gt; 0! ","")&amp;IF($B252="","Thiếu ngày! ","")&amp;IF(AND(OR(LEFT($F252,3)="131",LEFT($G252,3)="131",LEFT($F252,3)="331",LEFT($G252,3)="331"),$I252=""),"Thiếu Mã ĐT! ","")&amp;IF(AND($I252&lt;&gt;"",COUNTIF(DM_DT!$A$7:$A$306,$I252)=0),"Mã ĐT chưa khai báo! ","")))</f>
        <v/>
      </c>
      <c r="M252" s="117">
        <f>IF($H252="","",IF(AND(OR(LEFT($F252,3)="111",LEFT($F252,3)="112",LEFT($F252,3)="113"),OR(LEFT($G252,3)="111",LEFT($G252,3)="112",LEFT($G252,3)="113")),"NB",IF(OR(LEFT($F252,3)="111",LEFT($F252,3)="112",LEFT($F252,3)="113"),"THU",IF(OR(LEFT($G252,3)="111",LEFT($G252,3)="112",LEFT($G252,3)="113"),"CHI",""))))</f>
        <v/>
      </c>
      <c r="N252" s="117">
        <f>IF($M252="THU",$G252,IF($M252="CHI",$F252,""))</f>
        <v/>
      </c>
      <c r="O252" s="117">
        <f>IF(OR($M252="",$M252="NB"),"",IF($J252&lt;&gt;"",TEXT($J252,"00"),IFERROR(VLOOKUP(LEFT($N252,4),LCTT_MAP!$A$7:$C$66,IF($M252="THU",2,3),FALSE()),IFERROR(VLOOKUP(LEFT($N252,3),LCTT_MAP!$A$7:$C$66,IF($M252="THU",2,3),FALSE()),IFERROR(VLOOKUP(LEFT($N252,2),LCTT_MAP!$A$7:$C$66,IF($M252="THU",2,3),FALSE()),IFERROR(VLOOKUP(LEFT($N252,1),LCTT_MAP!$A$7:$C$66,IF($M252="THU",2,3),FALSE()),IF($M252="THU","06","07")))))))</f>
        <v/>
      </c>
      <c r="P252" s="117">
        <f>P251+IF(AND($H252&lt;&gt;"",OR(LEFT($F252,LEN(SC_TK))=SC_TK,LEFT($G252,LEN(SC_TK))=SC_TK)),1,0)</f>
        <v/>
      </c>
    </row>
    <row r="253" ht="15" customHeight="1" s="78">
      <c r="A253" s="95">
        <f>IF($H253="","",ROW()-6)</f>
        <v/>
      </c>
      <c r="B253" s="114" t="n"/>
      <c r="C253" s="102" t="n"/>
      <c r="D253" s="114" t="n"/>
      <c r="E253" s="103" t="n"/>
      <c r="F253" s="102" t="n"/>
      <c r="G253" s="102" t="n"/>
      <c r="H253" s="115" t="n"/>
      <c r="I253" s="102" t="n"/>
      <c r="J253" s="102" t="n"/>
      <c r="K253" s="103" t="n"/>
      <c r="L253" s="116">
        <f>IF($H253="","",TRIM(IF(COUNTIF(DMTK!$A$7:$A$250,$F253)=0,"TK Nợ sai! ","")&amp;IF(COUNTIF(DMTK!$A$7:$A$250,$G253)=0,"TK Có sai! ","")&amp;IF(N($H253)&lt;=0,"Tiền phải &gt; 0! ","")&amp;IF($B253="","Thiếu ngày! ","")&amp;IF(AND(OR(LEFT($F253,3)="131",LEFT($G253,3)="131",LEFT($F253,3)="331",LEFT($G253,3)="331"),$I253=""),"Thiếu Mã ĐT! ","")&amp;IF(AND($I253&lt;&gt;"",COUNTIF(DM_DT!$A$7:$A$306,$I253)=0),"Mã ĐT chưa khai báo! ","")))</f>
        <v/>
      </c>
      <c r="M253" s="117">
        <f>IF($H253="","",IF(AND(OR(LEFT($F253,3)="111",LEFT($F253,3)="112",LEFT($F253,3)="113"),OR(LEFT($G253,3)="111",LEFT($G253,3)="112",LEFT($G253,3)="113")),"NB",IF(OR(LEFT($F253,3)="111",LEFT($F253,3)="112",LEFT($F253,3)="113"),"THU",IF(OR(LEFT($G253,3)="111",LEFT($G253,3)="112",LEFT($G253,3)="113"),"CHI",""))))</f>
        <v/>
      </c>
      <c r="N253" s="117">
        <f>IF($M253="THU",$G253,IF($M253="CHI",$F253,""))</f>
        <v/>
      </c>
      <c r="O253" s="117">
        <f>IF(OR($M253="",$M253="NB"),"",IF($J253&lt;&gt;"",TEXT($J253,"00"),IFERROR(VLOOKUP(LEFT($N253,4),LCTT_MAP!$A$7:$C$66,IF($M253="THU",2,3),FALSE()),IFERROR(VLOOKUP(LEFT($N253,3),LCTT_MAP!$A$7:$C$66,IF($M253="THU",2,3),FALSE()),IFERROR(VLOOKUP(LEFT($N253,2),LCTT_MAP!$A$7:$C$66,IF($M253="THU",2,3),FALSE()),IFERROR(VLOOKUP(LEFT($N253,1),LCTT_MAP!$A$7:$C$66,IF($M253="THU",2,3),FALSE()),IF($M253="THU","06","07")))))))</f>
        <v/>
      </c>
      <c r="P253" s="117">
        <f>P252+IF(AND($H253&lt;&gt;"",OR(LEFT($F253,LEN(SC_TK))=SC_TK,LEFT($G253,LEN(SC_TK))=SC_TK)),1,0)</f>
        <v/>
      </c>
    </row>
    <row r="254" ht="15" customHeight="1" s="78">
      <c r="A254" s="95">
        <f>IF($H254="","",ROW()-6)</f>
        <v/>
      </c>
      <c r="B254" s="114" t="n"/>
      <c r="C254" s="102" t="n"/>
      <c r="D254" s="114" t="n"/>
      <c r="E254" s="103" t="n"/>
      <c r="F254" s="102" t="n"/>
      <c r="G254" s="102" t="n"/>
      <c r="H254" s="115" t="n"/>
      <c r="I254" s="102" t="n"/>
      <c r="J254" s="102" t="n"/>
      <c r="K254" s="103" t="n"/>
      <c r="L254" s="116">
        <f>IF($H254="","",TRIM(IF(COUNTIF(DMTK!$A$7:$A$250,$F254)=0,"TK Nợ sai! ","")&amp;IF(COUNTIF(DMTK!$A$7:$A$250,$G254)=0,"TK Có sai! ","")&amp;IF(N($H254)&lt;=0,"Tiền phải &gt; 0! ","")&amp;IF($B254="","Thiếu ngày! ","")&amp;IF(AND(OR(LEFT($F254,3)="131",LEFT($G254,3)="131",LEFT($F254,3)="331",LEFT($G254,3)="331"),$I254=""),"Thiếu Mã ĐT! ","")&amp;IF(AND($I254&lt;&gt;"",COUNTIF(DM_DT!$A$7:$A$306,$I254)=0),"Mã ĐT chưa khai báo! ","")))</f>
        <v/>
      </c>
      <c r="M254" s="117">
        <f>IF($H254="","",IF(AND(OR(LEFT($F254,3)="111",LEFT($F254,3)="112",LEFT($F254,3)="113"),OR(LEFT($G254,3)="111",LEFT($G254,3)="112",LEFT($G254,3)="113")),"NB",IF(OR(LEFT($F254,3)="111",LEFT($F254,3)="112",LEFT($F254,3)="113"),"THU",IF(OR(LEFT($G254,3)="111",LEFT($G254,3)="112",LEFT($G254,3)="113"),"CHI",""))))</f>
        <v/>
      </c>
      <c r="N254" s="117">
        <f>IF($M254="THU",$G254,IF($M254="CHI",$F254,""))</f>
        <v/>
      </c>
      <c r="O254" s="117">
        <f>IF(OR($M254="",$M254="NB"),"",IF($J254&lt;&gt;"",TEXT($J254,"00"),IFERROR(VLOOKUP(LEFT($N254,4),LCTT_MAP!$A$7:$C$66,IF($M254="THU",2,3),FALSE()),IFERROR(VLOOKUP(LEFT($N254,3),LCTT_MAP!$A$7:$C$66,IF($M254="THU",2,3),FALSE()),IFERROR(VLOOKUP(LEFT($N254,2),LCTT_MAP!$A$7:$C$66,IF($M254="THU",2,3),FALSE()),IFERROR(VLOOKUP(LEFT($N254,1),LCTT_MAP!$A$7:$C$66,IF($M254="THU",2,3),FALSE()),IF($M254="THU","06","07")))))))</f>
        <v/>
      </c>
      <c r="P254" s="117">
        <f>P253+IF(AND($H254&lt;&gt;"",OR(LEFT($F254,LEN(SC_TK))=SC_TK,LEFT($G254,LEN(SC_TK))=SC_TK)),1,0)</f>
        <v/>
      </c>
    </row>
    <row r="255" ht="15" customHeight="1" s="78">
      <c r="A255" s="95">
        <f>IF($H255="","",ROW()-6)</f>
        <v/>
      </c>
      <c r="B255" s="114" t="n"/>
      <c r="C255" s="102" t="n"/>
      <c r="D255" s="114" t="n"/>
      <c r="E255" s="103" t="n"/>
      <c r="F255" s="102" t="n"/>
      <c r="G255" s="102" t="n"/>
      <c r="H255" s="115" t="n"/>
      <c r="I255" s="102" t="n"/>
      <c r="J255" s="102" t="n"/>
      <c r="K255" s="103" t="n"/>
      <c r="L255" s="116">
        <f>IF($H255="","",TRIM(IF(COUNTIF(DMTK!$A$7:$A$250,$F255)=0,"TK Nợ sai! ","")&amp;IF(COUNTIF(DMTK!$A$7:$A$250,$G255)=0,"TK Có sai! ","")&amp;IF(N($H255)&lt;=0,"Tiền phải &gt; 0! ","")&amp;IF($B255="","Thiếu ngày! ","")&amp;IF(AND(OR(LEFT($F255,3)="131",LEFT($G255,3)="131",LEFT($F255,3)="331",LEFT($G255,3)="331"),$I255=""),"Thiếu Mã ĐT! ","")&amp;IF(AND($I255&lt;&gt;"",COUNTIF(DM_DT!$A$7:$A$306,$I255)=0),"Mã ĐT chưa khai báo! ","")))</f>
        <v/>
      </c>
      <c r="M255" s="117">
        <f>IF($H255="","",IF(AND(OR(LEFT($F255,3)="111",LEFT($F255,3)="112",LEFT($F255,3)="113"),OR(LEFT($G255,3)="111",LEFT($G255,3)="112",LEFT($G255,3)="113")),"NB",IF(OR(LEFT($F255,3)="111",LEFT($F255,3)="112",LEFT($F255,3)="113"),"THU",IF(OR(LEFT($G255,3)="111",LEFT($G255,3)="112",LEFT($G255,3)="113"),"CHI",""))))</f>
        <v/>
      </c>
      <c r="N255" s="117">
        <f>IF($M255="THU",$G255,IF($M255="CHI",$F255,""))</f>
        <v/>
      </c>
      <c r="O255" s="117">
        <f>IF(OR($M255="",$M255="NB"),"",IF($J255&lt;&gt;"",TEXT($J255,"00"),IFERROR(VLOOKUP(LEFT($N255,4),LCTT_MAP!$A$7:$C$66,IF($M255="THU",2,3),FALSE()),IFERROR(VLOOKUP(LEFT($N255,3),LCTT_MAP!$A$7:$C$66,IF($M255="THU",2,3),FALSE()),IFERROR(VLOOKUP(LEFT($N255,2),LCTT_MAP!$A$7:$C$66,IF($M255="THU",2,3),FALSE()),IFERROR(VLOOKUP(LEFT($N255,1),LCTT_MAP!$A$7:$C$66,IF($M255="THU",2,3),FALSE()),IF($M255="THU","06","07")))))))</f>
        <v/>
      </c>
      <c r="P255" s="117">
        <f>P254+IF(AND($H255&lt;&gt;"",OR(LEFT($F255,LEN(SC_TK))=SC_TK,LEFT($G255,LEN(SC_TK))=SC_TK)),1,0)</f>
        <v/>
      </c>
    </row>
    <row r="256" ht="15" customHeight="1" s="78">
      <c r="A256" s="95">
        <f>IF($H256="","",ROW()-6)</f>
        <v/>
      </c>
      <c r="B256" s="114" t="n"/>
      <c r="C256" s="102" t="n"/>
      <c r="D256" s="114" t="n"/>
      <c r="E256" s="103" t="n"/>
      <c r="F256" s="102" t="n"/>
      <c r="G256" s="102" t="n"/>
      <c r="H256" s="115" t="n"/>
      <c r="I256" s="102" t="n"/>
      <c r="J256" s="102" t="n"/>
      <c r="K256" s="103" t="n"/>
      <c r="L256" s="116">
        <f>IF($H256="","",TRIM(IF(COUNTIF(DMTK!$A$7:$A$250,$F256)=0,"TK Nợ sai! ","")&amp;IF(COUNTIF(DMTK!$A$7:$A$250,$G256)=0,"TK Có sai! ","")&amp;IF(N($H256)&lt;=0,"Tiền phải &gt; 0! ","")&amp;IF($B256="","Thiếu ngày! ","")&amp;IF(AND(OR(LEFT($F256,3)="131",LEFT($G256,3)="131",LEFT($F256,3)="331",LEFT($G256,3)="331"),$I256=""),"Thiếu Mã ĐT! ","")&amp;IF(AND($I256&lt;&gt;"",COUNTIF(DM_DT!$A$7:$A$306,$I256)=0),"Mã ĐT chưa khai báo! ","")))</f>
        <v/>
      </c>
      <c r="M256" s="117">
        <f>IF($H256="","",IF(AND(OR(LEFT($F256,3)="111",LEFT($F256,3)="112",LEFT($F256,3)="113"),OR(LEFT($G256,3)="111",LEFT($G256,3)="112",LEFT($G256,3)="113")),"NB",IF(OR(LEFT($F256,3)="111",LEFT($F256,3)="112",LEFT($F256,3)="113"),"THU",IF(OR(LEFT($G256,3)="111",LEFT($G256,3)="112",LEFT($G256,3)="113"),"CHI",""))))</f>
        <v/>
      </c>
      <c r="N256" s="117">
        <f>IF($M256="THU",$G256,IF($M256="CHI",$F256,""))</f>
        <v/>
      </c>
      <c r="O256" s="117">
        <f>IF(OR($M256="",$M256="NB"),"",IF($J256&lt;&gt;"",TEXT($J256,"00"),IFERROR(VLOOKUP(LEFT($N256,4),LCTT_MAP!$A$7:$C$66,IF($M256="THU",2,3),FALSE()),IFERROR(VLOOKUP(LEFT($N256,3),LCTT_MAP!$A$7:$C$66,IF($M256="THU",2,3),FALSE()),IFERROR(VLOOKUP(LEFT($N256,2),LCTT_MAP!$A$7:$C$66,IF($M256="THU",2,3),FALSE()),IFERROR(VLOOKUP(LEFT($N256,1),LCTT_MAP!$A$7:$C$66,IF($M256="THU",2,3),FALSE()),IF($M256="THU","06","07")))))))</f>
        <v/>
      </c>
      <c r="P256" s="117">
        <f>P255+IF(AND($H256&lt;&gt;"",OR(LEFT($F256,LEN(SC_TK))=SC_TK,LEFT($G256,LEN(SC_TK))=SC_TK)),1,0)</f>
        <v/>
      </c>
    </row>
    <row r="257" ht="15" customHeight="1" s="78">
      <c r="A257" s="95">
        <f>IF($H257="","",ROW()-6)</f>
        <v/>
      </c>
      <c r="B257" s="114" t="n"/>
      <c r="C257" s="102" t="n"/>
      <c r="D257" s="114" t="n"/>
      <c r="E257" s="103" t="n"/>
      <c r="F257" s="102" t="n"/>
      <c r="G257" s="102" t="n"/>
      <c r="H257" s="115" t="n"/>
      <c r="I257" s="102" t="n"/>
      <c r="J257" s="102" t="n"/>
      <c r="K257" s="103" t="n"/>
      <c r="L257" s="116">
        <f>IF($H257="","",TRIM(IF(COUNTIF(DMTK!$A$7:$A$250,$F257)=0,"TK Nợ sai! ","")&amp;IF(COUNTIF(DMTK!$A$7:$A$250,$G257)=0,"TK Có sai! ","")&amp;IF(N($H257)&lt;=0,"Tiền phải &gt; 0! ","")&amp;IF($B257="","Thiếu ngày! ","")&amp;IF(AND(OR(LEFT($F257,3)="131",LEFT($G257,3)="131",LEFT($F257,3)="331",LEFT($G257,3)="331"),$I257=""),"Thiếu Mã ĐT! ","")&amp;IF(AND($I257&lt;&gt;"",COUNTIF(DM_DT!$A$7:$A$306,$I257)=0),"Mã ĐT chưa khai báo! ","")))</f>
        <v/>
      </c>
      <c r="M257" s="117">
        <f>IF($H257="","",IF(AND(OR(LEFT($F257,3)="111",LEFT($F257,3)="112",LEFT($F257,3)="113"),OR(LEFT($G257,3)="111",LEFT($G257,3)="112",LEFT($G257,3)="113")),"NB",IF(OR(LEFT($F257,3)="111",LEFT($F257,3)="112",LEFT($F257,3)="113"),"THU",IF(OR(LEFT($G257,3)="111",LEFT($G257,3)="112",LEFT($G257,3)="113"),"CHI",""))))</f>
        <v/>
      </c>
      <c r="N257" s="117">
        <f>IF($M257="THU",$G257,IF($M257="CHI",$F257,""))</f>
        <v/>
      </c>
      <c r="O257" s="117">
        <f>IF(OR($M257="",$M257="NB"),"",IF($J257&lt;&gt;"",TEXT($J257,"00"),IFERROR(VLOOKUP(LEFT($N257,4),LCTT_MAP!$A$7:$C$66,IF($M257="THU",2,3),FALSE()),IFERROR(VLOOKUP(LEFT($N257,3),LCTT_MAP!$A$7:$C$66,IF($M257="THU",2,3),FALSE()),IFERROR(VLOOKUP(LEFT($N257,2),LCTT_MAP!$A$7:$C$66,IF($M257="THU",2,3),FALSE()),IFERROR(VLOOKUP(LEFT($N257,1),LCTT_MAP!$A$7:$C$66,IF($M257="THU",2,3),FALSE()),IF($M257="THU","06","07")))))))</f>
        <v/>
      </c>
      <c r="P257" s="117">
        <f>P256+IF(AND($H257&lt;&gt;"",OR(LEFT($F257,LEN(SC_TK))=SC_TK,LEFT($G257,LEN(SC_TK))=SC_TK)),1,0)</f>
        <v/>
      </c>
    </row>
    <row r="258" ht="15" customHeight="1" s="78">
      <c r="A258" s="95">
        <f>IF($H258="","",ROW()-6)</f>
        <v/>
      </c>
      <c r="B258" s="114" t="n"/>
      <c r="C258" s="102" t="n"/>
      <c r="D258" s="114" t="n"/>
      <c r="E258" s="103" t="n"/>
      <c r="F258" s="102" t="n"/>
      <c r="G258" s="102" t="n"/>
      <c r="H258" s="115" t="n"/>
      <c r="I258" s="102" t="n"/>
      <c r="J258" s="102" t="n"/>
      <c r="K258" s="103" t="n"/>
      <c r="L258" s="116">
        <f>IF($H258="","",TRIM(IF(COUNTIF(DMTK!$A$7:$A$250,$F258)=0,"TK Nợ sai! ","")&amp;IF(COUNTIF(DMTK!$A$7:$A$250,$G258)=0,"TK Có sai! ","")&amp;IF(N($H258)&lt;=0,"Tiền phải &gt; 0! ","")&amp;IF($B258="","Thiếu ngày! ","")&amp;IF(AND(OR(LEFT($F258,3)="131",LEFT($G258,3)="131",LEFT($F258,3)="331",LEFT($G258,3)="331"),$I258=""),"Thiếu Mã ĐT! ","")&amp;IF(AND($I258&lt;&gt;"",COUNTIF(DM_DT!$A$7:$A$306,$I258)=0),"Mã ĐT chưa khai báo! ","")))</f>
        <v/>
      </c>
      <c r="M258" s="117">
        <f>IF($H258="","",IF(AND(OR(LEFT($F258,3)="111",LEFT($F258,3)="112",LEFT($F258,3)="113"),OR(LEFT($G258,3)="111",LEFT($G258,3)="112",LEFT($G258,3)="113")),"NB",IF(OR(LEFT($F258,3)="111",LEFT($F258,3)="112",LEFT($F258,3)="113"),"THU",IF(OR(LEFT($G258,3)="111",LEFT($G258,3)="112",LEFT($G258,3)="113"),"CHI",""))))</f>
        <v/>
      </c>
      <c r="N258" s="117">
        <f>IF($M258="THU",$G258,IF($M258="CHI",$F258,""))</f>
        <v/>
      </c>
      <c r="O258" s="117">
        <f>IF(OR($M258="",$M258="NB"),"",IF($J258&lt;&gt;"",TEXT($J258,"00"),IFERROR(VLOOKUP(LEFT($N258,4),LCTT_MAP!$A$7:$C$66,IF($M258="THU",2,3),FALSE()),IFERROR(VLOOKUP(LEFT($N258,3),LCTT_MAP!$A$7:$C$66,IF($M258="THU",2,3),FALSE()),IFERROR(VLOOKUP(LEFT($N258,2),LCTT_MAP!$A$7:$C$66,IF($M258="THU",2,3),FALSE()),IFERROR(VLOOKUP(LEFT($N258,1),LCTT_MAP!$A$7:$C$66,IF($M258="THU",2,3),FALSE()),IF($M258="THU","06","07")))))))</f>
        <v/>
      </c>
      <c r="P258" s="117">
        <f>P257+IF(AND($H258&lt;&gt;"",OR(LEFT($F258,LEN(SC_TK))=SC_TK,LEFT($G258,LEN(SC_TK))=SC_TK)),1,0)</f>
        <v/>
      </c>
    </row>
    <row r="259" ht="15" customHeight="1" s="78">
      <c r="A259" s="95">
        <f>IF($H259="","",ROW()-6)</f>
        <v/>
      </c>
      <c r="B259" s="114" t="n"/>
      <c r="C259" s="102" t="n"/>
      <c r="D259" s="114" t="n"/>
      <c r="E259" s="103" t="n"/>
      <c r="F259" s="102" t="n"/>
      <c r="G259" s="102" t="n"/>
      <c r="H259" s="115" t="n"/>
      <c r="I259" s="102" t="n"/>
      <c r="J259" s="102" t="n"/>
      <c r="K259" s="103" t="n"/>
      <c r="L259" s="116">
        <f>IF($H259="","",TRIM(IF(COUNTIF(DMTK!$A$7:$A$250,$F259)=0,"TK Nợ sai! ","")&amp;IF(COUNTIF(DMTK!$A$7:$A$250,$G259)=0,"TK Có sai! ","")&amp;IF(N($H259)&lt;=0,"Tiền phải &gt; 0! ","")&amp;IF($B259="","Thiếu ngày! ","")&amp;IF(AND(OR(LEFT($F259,3)="131",LEFT($G259,3)="131",LEFT($F259,3)="331",LEFT($G259,3)="331"),$I259=""),"Thiếu Mã ĐT! ","")&amp;IF(AND($I259&lt;&gt;"",COUNTIF(DM_DT!$A$7:$A$306,$I259)=0),"Mã ĐT chưa khai báo! ","")))</f>
        <v/>
      </c>
      <c r="M259" s="117">
        <f>IF($H259="","",IF(AND(OR(LEFT($F259,3)="111",LEFT($F259,3)="112",LEFT($F259,3)="113"),OR(LEFT($G259,3)="111",LEFT($G259,3)="112",LEFT($G259,3)="113")),"NB",IF(OR(LEFT($F259,3)="111",LEFT($F259,3)="112",LEFT($F259,3)="113"),"THU",IF(OR(LEFT($G259,3)="111",LEFT($G259,3)="112",LEFT($G259,3)="113"),"CHI",""))))</f>
        <v/>
      </c>
      <c r="N259" s="117">
        <f>IF($M259="THU",$G259,IF($M259="CHI",$F259,""))</f>
        <v/>
      </c>
      <c r="O259" s="117">
        <f>IF(OR($M259="",$M259="NB"),"",IF($J259&lt;&gt;"",TEXT($J259,"00"),IFERROR(VLOOKUP(LEFT($N259,4),LCTT_MAP!$A$7:$C$66,IF($M259="THU",2,3),FALSE()),IFERROR(VLOOKUP(LEFT($N259,3),LCTT_MAP!$A$7:$C$66,IF($M259="THU",2,3),FALSE()),IFERROR(VLOOKUP(LEFT($N259,2),LCTT_MAP!$A$7:$C$66,IF($M259="THU",2,3),FALSE()),IFERROR(VLOOKUP(LEFT($N259,1),LCTT_MAP!$A$7:$C$66,IF($M259="THU",2,3),FALSE()),IF($M259="THU","06","07")))))))</f>
        <v/>
      </c>
      <c r="P259" s="117">
        <f>P258+IF(AND($H259&lt;&gt;"",OR(LEFT($F259,LEN(SC_TK))=SC_TK,LEFT($G259,LEN(SC_TK))=SC_TK)),1,0)</f>
        <v/>
      </c>
    </row>
    <row r="260" ht="15" customHeight="1" s="78">
      <c r="A260" s="95">
        <f>IF($H260="","",ROW()-6)</f>
        <v/>
      </c>
      <c r="B260" s="114" t="n"/>
      <c r="C260" s="102" t="n"/>
      <c r="D260" s="114" t="n"/>
      <c r="E260" s="103" t="n"/>
      <c r="F260" s="102" t="n"/>
      <c r="G260" s="102" t="n"/>
      <c r="H260" s="115" t="n"/>
      <c r="I260" s="102" t="n"/>
      <c r="J260" s="102" t="n"/>
      <c r="K260" s="103" t="n"/>
      <c r="L260" s="116">
        <f>IF($H260="","",TRIM(IF(COUNTIF(DMTK!$A$7:$A$250,$F260)=0,"TK Nợ sai! ","")&amp;IF(COUNTIF(DMTK!$A$7:$A$250,$G260)=0,"TK Có sai! ","")&amp;IF(N($H260)&lt;=0,"Tiền phải &gt; 0! ","")&amp;IF($B260="","Thiếu ngày! ","")&amp;IF(AND(OR(LEFT($F260,3)="131",LEFT($G260,3)="131",LEFT($F260,3)="331",LEFT($G260,3)="331"),$I260=""),"Thiếu Mã ĐT! ","")&amp;IF(AND($I260&lt;&gt;"",COUNTIF(DM_DT!$A$7:$A$306,$I260)=0),"Mã ĐT chưa khai báo! ","")))</f>
        <v/>
      </c>
      <c r="M260" s="117">
        <f>IF($H260="","",IF(AND(OR(LEFT($F260,3)="111",LEFT($F260,3)="112",LEFT($F260,3)="113"),OR(LEFT($G260,3)="111",LEFT($G260,3)="112",LEFT($G260,3)="113")),"NB",IF(OR(LEFT($F260,3)="111",LEFT($F260,3)="112",LEFT($F260,3)="113"),"THU",IF(OR(LEFT($G260,3)="111",LEFT($G260,3)="112",LEFT($G260,3)="113"),"CHI",""))))</f>
        <v/>
      </c>
      <c r="N260" s="117">
        <f>IF($M260="THU",$G260,IF($M260="CHI",$F260,""))</f>
        <v/>
      </c>
      <c r="O260" s="117">
        <f>IF(OR($M260="",$M260="NB"),"",IF($J260&lt;&gt;"",TEXT($J260,"00"),IFERROR(VLOOKUP(LEFT($N260,4),LCTT_MAP!$A$7:$C$66,IF($M260="THU",2,3),FALSE()),IFERROR(VLOOKUP(LEFT($N260,3),LCTT_MAP!$A$7:$C$66,IF($M260="THU",2,3),FALSE()),IFERROR(VLOOKUP(LEFT($N260,2),LCTT_MAP!$A$7:$C$66,IF($M260="THU",2,3),FALSE()),IFERROR(VLOOKUP(LEFT($N260,1),LCTT_MAP!$A$7:$C$66,IF($M260="THU",2,3),FALSE()),IF($M260="THU","06","07")))))))</f>
        <v/>
      </c>
      <c r="P260" s="117">
        <f>P259+IF(AND($H260&lt;&gt;"",OR(LEFT($F260,LEN(SC_TK))=SC_TK,LEFT($G260,LEN(SC_TK))=SC_TK)),1,0)</f>
        <v/>
      </c>
    </row>
    <row r="261" ht="15" customHeight="1" s="78">
      <c r="A261" s="95">
        <f>IF($H261="","",ROW()-6)</f>
        <v/>
      </c>
      <c r="B261" s="114" t="n"/>
      <c r="C261" s="102" t="n"/>
      <c r="D261" s="114" t="n"/>
      <c r="E261" s="103" t="n"/>
      <c r="F261" s="102" t="n"/>
      <c r="G261" s="102" t="n"/>
      <c r="H261" s="115" t="n"/>
      <c r="I261" s="102" t="n"/>
      <c r="J261" s="102" t="n"/>
      <c r="K261" s="103" t="n"/>
      <c r="L261" s="116">
        <f>IF($H261="","",TRIM(IF(COUNTIF(DMTK!$A$7:$A$250,$F261)=0,"TK Nợ sai! ","")&amp;IF(COUNTIF(DMTK!$A$7:$A$250,$G261)=0,"TK Có sai! ","")&amp;IF(N($H261)&lt;=0,"Tiền phải &gt; 0! ","")&amp;IF($B261="","Thiếu ngày! ","")&amp;IF(AND(OR(LEFT($F261,3)="131",LEFT($G261,3)="131",LEFT($F261,3)="331",LEFT($G261,3)="331"),$I261=""),"Thiếu Mã ĐT! ","")&amp;IF(AND($I261&lt;&gt;"",COUNTIF(DM_DT!$A$7:$A$306,$I261)=0),"Mã ĐT chưa khai báo! ","")))</f>
        <v/>
      </c>
      <c r="M261" s="117">
        <f>IF($H261="","",IF(AND(OR(LEFT($F261,3)="111",LEFT($F261,3)="112",LEFT($F261,3)="113"),OR(LEFT($G261,3)="111",LEFT($G261,3)="112",LEFT($G261,3)="113")),"NB",IF(OR(LEFT($F261,3)="111",LEFT($F261,3)="112",LEFT($F261,3)="113"),"THU",IF(OR(LEFT($G261,3)="111",LEFT($G261,3)="112",LEFT($G261,3)="113"),"CHI",""))))</f>
        <v/>
      </c>
      <c r="N261" s="117">
        <f>IF($M261="THU",$G261,IF($M261="CHI",$F261,""))</f>
        <v/>
      </c>
      <c r="O261" s="117">
        <f>IF(OR($M261="",$M261="NB"),"",IF($J261&lt;&gt;"",TEXT($J261,"00"),IFERROR(VLOOKUP(LEFT($N261,4),LCTT_MAP!$A$7:$C$66,IF($M261="THU",2,3),FALSE()),IFERROR(VLOOKUP(LEFT($N261,3),LCTT_MAP!$A$7:$C$66,IF($M261="THU",2,3),FALSE()),IFERROR(VLOOKUP(LEFT($N261,2),LCTT_MAP!$A$7:$C$66,IF($M261="THU",2,3),FALSE()),IFERROR(VLOOKUP(LEFT($N261,1),LCTT_MAP!$A$7:$C$66,IF($M261="THU",2,3),FALSE()),IF($M261="THU","06","07")))))))</f>
        <v/>
      </c>
      <c r="P261" s="117">
        <f>P260+IF(AND($H261&lt;&gt;"",OR(LEFT($F261,LEN(SC_TK))=SC_TK,LEFT($G261,LEN(SC_TK))=SC_TK)),1,0)</f>
        <v/>
      </c>
    </row>
    <row r="262" ht="15" customHeight="1" s="78">
      <c r="A262" s="95">
        <f>IF($H262="","",ROW()-6)</f>
        <v/>
      </c>
      <c r="B262" s="114" t="n"/>
      <c r="C262" s="102" t="n"/>
      <c r="D262" s="114" t="n"/>
      <c r="E262" s="103" t="n"/>
      <c r="F262" s="102" t="n"/>
      <c r="G262" s="102" t="n"/>
      <c r="H262" s="115" t="n"/>
      <c r="I262" s="102" t="n"/>
      <c r="J262" s="102" t="n"/>
      <c r="K262" s="103" t="n"/>
      <c r="L262" s="116">
        <f>IF($H262="","",TRIM(IF(COUNTIF(DMTK!$A$7:$A$250,$F262)=0,"TK Nợ sai! ","")&amp;IF(COUNTIF(DMTK!$A$7:$A$250,$G262)=0,"TK Có sai! ","")&amp;IF(N($H262)&lt;=0,"Tiền phải &gt; 0! ","")&amp;IF($B262="","Thiếu ngày! ","")&amp;IF(AND(OR(LEFT($F262,3)="131",LEFT($G262,3)="131",LEFT($F262,3)="331",LEFT($G262,3)="331"),$I262=""),"Thiếu Mã ĐT! ","")&amp;IF(AND($I262&lt;&gt;"",COUNTIF(DM_DT!$A$7:$A$306,$I262)=0),"Mã ĐT chưa khai báo! ","")))</f>
        <v/>
      </c>
      <c r="M262" s="117">
        <f>IF($H262="","",IF(AND(OR(LEFT($F262,3)="111",LEFT($F262,3)="112",LEFT($F262,3)="113"),OR(LEFT($G262,3)="111",LEFT($G262,3)="112",LEFT($G262,3)="113")),"NB",IF(OR(LEFT($F262,3)="111",LEFT($F262,3)="112",LEFT($F262,3)="113"),"THU",IF(OR(LEFT($G262,3)="111",LEFT($G262,3)="112",LEFT($G262,3)="113"),"CHI",""))))</f>
        <v/>
      </c>
      <c r="N262" s="117">
        <f>IF($M262="THU",$G262,IF($M262="CHI",$F262,""))</f>
        <v/>
      </c>
      <c r="O262" s="117">
        <f>IF(OR($M262="",$M262="NB"),"",IF($J262&lt;&gt;"",TEXT($J262,"00"),IFERROR(VLOOKUP(LEFT($N262,4),LCTT_MAP!$A$7:$C$66,IF($M262="THU",2,3),FALSE()),IFERROR(VLOOKUP(LEFT($N262,3),LCTT_MAP!$A$7:$C$66,IF($M262="THU",2,3),FALSE()),IFERROR(VLOOKUP(LEFT($N262,2),LCTT_MAP!$A$7:$C$66,IF($M262="THU",2,3),FALSE()),IFERROR(VLOOKUP(LEFT($N262,1),LCTT_MAP!$A$7:$C$66,IF($M262="THU",2,3),FALSE()),IF($M262="THU","06","07")))))))</f>
        <v/>
      </c>
      <c r="P262" s="117">
        <f>P261+IF(AND($H262&lt;&gt;"",OR(LEFT($F262,LEN(SC_TK))=SC_TK,LEFT($G262,LEN(SC_TK))=SC_TK)),1,0)</f>
        <v/>
      </c>
    </row>
    <row r="263" ht="15" customHeight="1" s="78">
      <c r="A263" s="95">
        <f>IF($H263="","",ROW()-6)</f>
        <v/>
      </c>
      <c r="B263" s="114" t="n"/>
      <c r="C263" s="102" t="n"/>
      <c r="D263" s="114" t="n"/>
      <c r="E263" s="103" t="n"/>
      <c r="F263" s="102" t="n"/>
      <c r="G263" s="102" t="n"/>
      <c r="H263" s="115" t="n"/>
      <c r="I263" s="102" t="n"/>
      <c r="J263" s="102" t="n"/>
      <c r="K263" s="103" t="n"/>
      <c r="L263" s="116">
        <f>IF($H263="","",TRIM(IF(COUNTIF(DMTK!$A$7:$A$250,$F263)=0,"TK Nợ sai! ","")&amp;IF(COUNTIF(DMTK!$A$7:$A$250,$G263)=0,"TK Có sai! ","")&amp;IF(N($H263)&lt;=0,"Tiền phải &gt; 0! ","")&amp;IF($B263="","Thiếu ngày! ","")&amp;IF(AND(OR(LEFT($F263,3)="131",LEFT($G263,3)="131",LEFT($F263,3)="331",LEFT($G263,3)="331"),$I263=""),"Thiếu Mã ĐT! ","")&amp;IF(AND($I263&lt;&gt;"",COUNTIF(DM_DT!$A$7:$A$306,$I263)=0),"Mã ĐT chưa khai báo! ","")))</f>
        <v/>
      </c>
      <c r="M263" s="117">
        <f>IF($H263="","",IF(AND(OR(LEFT($F263,3)="111",LEFT($F263,3)="112",LEFT($F263,3)="113"),OR(LEFT($G263,3)="111",LEFT($G263,3)="112",LEFT($G263,3)="113")),"NB",IF(OR(LEFT($F263,3)="111",LEFT($F263,3)="112",LEFT($F263,3)="113"),"THU",IF(OR(LEFT($G263,3)="111",LEFT($G263,3)="112",LEFT($G263,3)="113"),"CHI",""))))</f>
        <v/>
      </c>
      <c r="N263" s="117">
        <f>IF($M263="THU",$G263,IF($M263="CHI",$F263,""))</f>
        <v/>
      </c>
      <c r="O263" s="117">
        <f>IF(OR($M263="",$M263="NB"),"",IF($J263&lt;&gt;"",TEXT($J263,"00"),IFERROR(VLOOKUP(LEFT($N263,4),LCTT_MAP!$A$7:$C$66,IF($M263="THU",2,3),FALSE()),IFERROR(VLOOKUP(LEFT($N263,3),LCTT_MAP!$A$7:$C$66,IF($M263="THU",2,3),FALSE()),IFERROR(VLOOKUP(LEFT($N263,2),LCTT_MAP!$A$7:$C$66,IF($M263="THU",2,3),FALSE()),IFERROR(VLOOKUP(LEFT($N263,1),LCTT_MAP!$A$7:$C$66,IF($M263="THU",2,3),FALSE()),IF($M263="THU","06","07")))))))</f>
        <v/>
      </c>
      <c r="P263" s="117">
        <f>P262+IF(AND($H263&lt;&gt;"",OR(LEFT($F263,LEN(SC_TK))=SC_TK,LEFT($G263,LEN(SC_TK))=SC_TK)),1,0)</f>
        <v/>
      </c>
    </row>
    <row r="264" ht="15" customHeight="1" s="78">
      <c r="A264" s="95">
        <f>IF($H264="","",ROW()-6)</f>
        <v/>
      </c>
      <c r="B264" s="114" t="n"/>
      <c r="C264" s="102" t="n"/>
      <c r="D264" s="114" t="n"/>
      <c r="E264" s="103" t="n"/>
      <c r="F264" s="102" t="n"/>
      <c r="G264" s="102" t="n"/>
      <c r="H264" s="115" t="n"/>
      <c r="I264" s="102" t="n"/>
      <c r="J264" s="102" t="n"/>
      <c r="K264" s="103" t="n"/>
      <c r="L264" s="116">
        <f>IF($H264="","",TRIM(IF(COUNTIF(DMTK!$A$7:$A$250,$F264)=0,"TK Nợ sai! ","")&amp;IF(COUNTIF(DMTK!$A$7:$A$250,$G264)=0,"TK Có sai! ","")&amp;IF(N($H264)&lt;=0,"Tiền phải &gt; 0! ","")&amp;IF($B264="","Thiếu ngày! ","")&amp;IF(AND(OR(LEFT($F264,3)="131",LEFT($G264,3)="131",LEFT($F264,3)="331",LEFT($G264,3)="331"),$I264=""),"Thiếu Mã ĐT! ","")&amp;IF(AND($I264&lt;&gt;"",COUNTIF(DM_DT!$A$7:$A$306,$I264)=0),"Mã ĐT chưa khai báo! ","")))</f>
        <v/>
      </c>
      <c r="M264" s="117">
        <f>IF($H264="","",IF(AND(OR(LEFT($F264,3)="111",LEFT($F264,3)="112",LEFT($F264,3)="113"),OR(LEFT($G264,3)="111",LEFT($G264,3)="112",LEFT($G264,3)="113")),"NB",IF(OR(LEFT($F264,3)="111",LEFT($F264,3)="112",LEFT($F264,3)="113"),"THU",IF(OR(LEFT($G264,3)="111",LEFT($G264,3)="112",LEFT($G264,3)="113"),"CHI",""))))</f>
        <v/>
      </c>
      <c r="N264" s="117">
        <f>IF($M264="THU",$G264,IF($M264="CHI",$F264,""))</f>
        <v/>
      </c>
      <c r="O264" s="117">
        <f>IF(OR($M264="",$M264="NB"),"",IF($J264&lt;&gt;"",TEXT($J264,"00"),IFERROR(VLOOKUP(LEFT($N264,4),LCTT_MAP!$A$7:$C$66,IF($M264="THU",2,3),FALSE()),IFERROR(VLOOKUP(LEFT($N264,3),LCTT_MAP!$A$7:$C$66,IF($M264="THU",2,3),FALSE()),IFERROR(VLOOKUP(LEFT($N264,2),LCTT_MAP!$A$7:$C$66,IF($M264="THU",2,3),FALSE()),IFERROR(VLOOKUP(LEFT($N264,1),LCTT_MAP!$A$7:$C$66,IF($M264="THU",2,3),FALSE()),IF($M264="THU","06","07")))))))</f>
        <v/>
      </c>
      <c r="P264" s="117">
        <f>P263+IF(AND($H264&lt;&gt;"",OR(LEFT($F264,LEN(SC_TK))=SC_TK,LEFT($G264,LEN(SC_TK))=SC_TK)),1,0)</f>
        <v/>
      </c>
    </row>
    <row r="265" ht="15" customHeight="1" s="78">
      <c r="A265" s="95">
        <f>IF($H265="","",ROW()-6)</f>
        <v/>
      </c>
      <c r="B265" s="114" t="n"/>
      <c r="C265" s="102" t="n"/>
      <c r="D265" s="114" t="n"/>
      <c r="E265" s="103" t="n"/>
      <c r="F265" s="102" t="n"/>
      <c r="G265" s="102" t="n"/>
      <c r="H265" s="115" t="n"/>
      <c r="I265" s="102" t="n"/>
      <c r="J265" s="102" t="n"/>
      <c r="K265" s="103" t="n"/>
      <c r="L265" s="116">
        <f>IF($H265="","",TRIM(IF(COUNTIF(DMTK!$A$7:$A$250,$F265)=0,"TK Nợ sai! ","")&amp;IF(COUNTIF(DMTK!$A$7:$A$250,$G265)=0,"TK Có sai! ","")&amp;IF(N($H265)&lt;=0,"Tiền phải &gt; 0! ","")&amp;IF($B265="","Thiếu ngày! ","")&amp;IF(AND(OR(LEFT($F265,3)="131",LEFT($G265,3)="131",LEFT($F265,3)="331",LEFT($G265,3)="331"),$I265=""),"Thiếu Mã ĐT! ","")&amp;IF(AND($I265&lt;&gt;"",COUNTIF(DM_DT!$A$7:$A$306,$I265)=0),"Mã ĐT chưa khai báo! ","")))</f>
        <v/>
      </c>
      <c r="M265" s="117">
        <f>IF($H265="","",IF(AND(OR(LEFT($F265,3)="111",LEFT($F265,3)="112",LEFT($F265,3)="113"),OR(LEFT($G265,3)="111",LEFT($G265,3)="112",LEFT($G265,3)="113")),"NB",IF(OR(LEFT($F265,3)="111",LEFT($F265,3)="112",LEFT($F265,3)="113"),"THU",IF(OR(LEFT($G265,3)="111",LEFT($G265,3)="112",LEFT($G265,3)="113"),"CHI",""))))</f>
        <v/>
      </c>
      <c r="N265" s="117">
        <f>IF($M265="THU",$G265,IF($M265="CHI",$F265,""))</f>
        <v/>
      </c>
      <c r="O265" s="117">
        <f>IF(OR($M265="",$M265="NB"),"",IF($J265&lt;&gt;"",TEXT($J265,"00"),IFERROR(VLOOKUP(LEFT($N265,4),LCTT_MAP!$A$7:$C$66,IF($M265="THU",2,3),FALSE()),IFERROR(VLOOKUP(LEFT($N265,3),LCTT_MAP!$A$7:$C$66,IF($M265="THU",2,3),FALSE()),IFERROR(VLOOKUP(LEFT($N265,2),LCTT_MAP!$A$7:$C$66,IF($M265="THU",2,3),FALSE()),IFERROR(VLOOKUP(LEFT($N265,1),LCTT_MAP!$A$7:$C$66,IF($M265="THU",2,3),FALSE()),IF($M265="THU","06","07")))))))</f>
        <v/>
      </c>
      <c r="P265" s="117">
        <f>P264+IF(AND($H265&lt;&gt;"",OR(LEFT($F265,LEN(SC_TK))=SC_TK,LEFT($G265,LEN(SC_TK))=SC_TK)),1,0)</f>
        <v/>
      </c>
    </row>
    <row r="266" ht="15" customHeight="1" s="78">
      <c r="A266" s="95">
        <f>IF($H266="","",ROW()-6)</f>
        <v/>
      </c>
      <c r="B266" s="114" t="n"/>
      <c r="C266" s="102" t="n"/>
      <c r="D266" s="114" t="n"/>
      <c r="E266" s="103" t="n"/>
      <c r="F266" s="102" t="n"/>
      <c r="G266" s="102" t="n"/>
      <c r="H266" s="115" t="n"/>
      <c r="I266" s="102" t="n"/>
      <c r="J266" s="102" t="n"/>
      <c r="K266" s="103" t="n"/>
      <c r="L266" s="116">
        <f>IF($H266="","",TRIM(IF(COUNTIF(DMTK!$A$7:$A$250,$F266)=0,"TK Nợ sai! ","")&amp;IF(COUNTIF(DMTK!$A$7:$A$250,$G266)=0,"TK Có sai! ","")&amp;IF(N($H266)&lt;=0,"Tiền phải &gt; 0! ","")&amp;IF($B266="","Thiếu ngày! ","")&amp;IF(AND(OR(LEFT($F266,3)="131",LEFT($G266,3)="131",LEFT($F266,3)="331",LEFT($G266,3)="331"),$I266=""),"Thiếu Mã ĐT! ","")&amp;IF(AND($I266&lt;&gt;"",COUNTIF(DM_DT!$A$7:$A$306,$I266)=0),"Mã ĐT chưa khai báo! ","")))</f>
        <v/>
      </c>
      <c r="M266" s="117">
        <f>IF($H266="","",IF(AND(OR(LEFT($F266,3)="111",LEFT($F266,3)="112",LEFT($F266,3)="113"),OR(LEFT($G266,3)="111",LEFT($G266,3)="112",LEFT($G266,3)="113")),"NB",IF(OR(LEFT($F266,3)="111",LEFT($F266,3)="112",LEFT($F266,3)="113"),"THU",IF(OR(LEFT($G266,3)="111",LEFT($G266,3)="112",LEFT($G266,3)="113"),"CHI",""))))</f>
        <v/>
      </c>
      <c r="N266" s="117">
        <f>IF($M266="THU",$G266,IF($M266="CHI",$F266,""))</f>
        <v/>
      </c>
      <c r="O266" s="117">
        <f>IF(OR($M266="",$M266="NB"),"",IF($J266&lt;&gt;"",TEXT($J266,"00"),IFERROR(VLOOKUP(LEFT($N266,4),LCTT_MAP!$A$7:$C$66,IF($M266="THU",2,3),FALSE()),IFERROR(VLOOKUP(LEFT($N266,3),LCTT_MAP!$A$7:$C$66,IF($M266="THU",2,3),FALSE()),IFERROR(VLOOKUP(LEFT($N266,2),LCTT_MAP!$A$7:$C$66,IF($M266="THU",2,3),FALSE()),IFERROR(VLOOKUP(LEFT($N266,1),LCTT_MAP!$A$7:$C$66,IF($M266="THU",2,3),FALSE()),IF($M266="THU","06","07")))))))</f>
        <v/>
      </c>
      <c r="P266" s="117">
        <f>P265+IF(AND($H266&lt;&gt;"",OR(LEFT($F266,LEN(SC_TK))=SC_TK,LEFT($G266,LEN(SC_TK))=SC_TK)),1,0)</f>
        <v/>
      </c>
    </row>
    <row r="267" ht="15" customHeight="1" s="78">
      <c r="A267" s="95">
        <f>IF($H267="","",ROW()-6)</f>
        <v/>
      </c>
      <c r="B267" s="114" t="n"/>
      <c r="C267" s="102" t="n"/>
      <c r="D267" s="114" t="n"/>
      <c r="E267" s="103" t="n"/>
      <c r="F267" s="102" t="n"/>
      <c r="G267" s="102" t="n"/>
      <c r="H267" s="115" t="n"/>
      <c r="I267" s="102" t="n"/>
      <c r="J267" s="102" t="n"/>
      <c r="K267" s="103" t="n"/>
      <c r="L267" s="116">
        <f>IF($H267="","",TRIM(IF(COUNTIF(DMTK!$A$7:$A$250,$F267)=0,"TK Nợ sai! ","")&amp;IF(COUNTIF(DMTK!$A$7:$A$250,$G267)=0,"TK Có sai! ","")&amp;IF(N($H267)&lt;=0,"Tiền phải &gt; 0! ","")&amp;IF($B267="","Thiếu ngày! ","")&amp;IF(AND(OR(LEFT($F267,3)="131",LEFT($G267,3)="131",LEFT($F267,3)="331",LEFT($G267,3)="331"),$I267=""),"Thiếu Mã ĐT! ","")&amp;IF(AND($I267&lt;&gt;"",COUNTIF(DM_DT!$A$7:$A$306,$I267)=0),"Mã ĐT chưa khai báo! ","")))</f>
        <v/>
      </c>
      <c r="M267" s="117">
        <f>IF($H267="","",IF(AND(OR(LEFT($F267,3)="111",LEFT($F267,3)="112",LEFT($F267,3)="113"),OR(LEFT($G267,3)="111",LEFT($G267,3)="112",LEFT($G267,3)="113")),"NB",IF(OR(LEFT($F267,3)="111",LEFT($F267,3)="112",LEFT($F267,3)="113"),"THU",IF(OR(LEFT($G267,3)="111",LEFT($G267,3)="112",LEFT($G267,3)="113"),"CHI",""))))</f>
        <v/>
      </c>
      <c r="N267" s="117">
        <f>IF($M267="THU",$G267,IF($M267="CHI",$F267,""))</f>
        <v/>
      </c>
      <c r="O267" s="117">
        <f>IF(OR($M267="",$M267="NB"),"",IF($J267&lt;&gt;"",TEXT($J267,"00"),IFERROR(VLOOKUP(LEFT($N267,4),LCTT_MAP!$A$7:$C$66,IF($M267="THU",2,3),FALSE()),IFERROR(VLOOKUP(LEFT($N267,3),LCTT_MAP!$A$7:$C$66,IF($M267="THU",2,3),FALSE()),IFERROR(VLOOKUP(LEFT($N267,2),LCTT_MAP!$A$7:$C$66,IF($M267="THU",2,3),FALSE()),IFERROR(VLOOKUP(LEFT($N267,1),LCTT_MAP!$A$7:$C$66,IF($M267="THU",2,3),FALSE()),IF($M267="THU","06","07")))))))</f>
        <v/>
      </c>
      <c r="P267" s="117">
        <f>P266+IF(AND($H267&lt;&gt;"",OR(LEFT($F267,LEN(SC_TK))=SC_TK,LEFT($G267,LEN(SC_TK))=SC_TK)),1,0)</f>
        <v/>
      </c>
    </row>
    <row r="268" ht="15" customHeight="1" s="78">
      <c r="A268" s="95">
        <f>IF($H268="","",ROW()-6)</f>
        <v/>
      </c>
      <c r="B268" s="114" t="n"/>
      <c r="C268" s="102" t="n"/>
      <c r="D268" s="114" t="n"/>
      <c r="E268" s="103" t="n"/>
      <c r="F268" s="102" t="n"/>
      <c r="G268" s="102" t="n"/>
      <c r="H268" s="115" t="n"/>
      <c r="I268" s="102" t="n"/>
      <c r="J268" s="102" t="n"/>
      <c r="K268" s="103" t="n"/>
      <c r="L268" s="116">
        <f>IF($H268="","",TRIM(IF(COUNTIF(DMTK!$A$7:$A$250,$F268)=0,"TK Nợ sai! ","")&amp;IF(COUNTIF(DMTK!$A$7:$A$250,$G268)=0,"TK Có sai! ","")&amp;IF(N($H268)&lt;=0,"Tiền phải &gt; 0! ","")&amp;IF($B268="","Thiếu ngày! ","")&amp;IF(AND(OR(LEFT($F268,3)="131",LEFT($G268,3)="131",LEFT($F268,3)="331",LEFT($G268,3)="331"),$I268=""),"Thiếu Mã ĐT! ","")&amp;IF(AND($I268&lt;&gt;"",COUNTIF(DM_DT!$A$7:$A$306,$I268)=0),"Mã ĐT chưa khai báo! ","")))</f>
        <v/>
      </c>
      <c r="M268" s="117">
        <f>IF($H268="","",IF(AND(OR(LEFT($F268,3)="111",LEFT($F268,3)="112",LEFT($F268,3)="113"),OR(LEFT($G268,3)="111",LEFT($G268,3)="112",LEFT($G268,3)="113")),"NB",IF(OR(LEFT($F268,3)="111",LEFT($F268,3)="112",LEFT($F268,3)="113"),"THU",IF(OR(LEFT($G268,3)="111",LEFT($G268,3)="112",LEFT($G268,3)="113"),"CHI",""))))</f>
        <v/>
      </c>
      <c r="N268" s="117">
        <f>IF($M268="THU",$G268,IF($M268="CHI",$F268,""))</f>
        <v/>
      </c>
      <c r="O268" s="117">
        <f>IF(OR($M268="",$M268="NB"),"",IF($J268&lt;&gt;"",TEXT($J268,"00"),IFERROR(VLOOKUP(LEFT($N268,4),LCTT_MAP!$A$7:$C$66,IF($M268="THU",2,3),FALSE()),IFERROR(VLOOKUP(LEFT($N268,3),LCTT_MAP!$A$7:$C$66,IF($M268="THU",2,3),FALSE()),IFERROR(VLOOKUP(LEFT($N268,2),LCTT_MAP!$A$7:$C$66,IF($M268="THU",2,3),FALSE()),IFERROR(VLOOKUP(LEFT($N268,1),LCTT_MAP!$A$7:$C$66,IF($M268="THU",2,3),FALSE()),IF($M268="THU","06","07")))))))</f>
        <v/>
      </c>
      <c r="P268" s="117">
        <f>P267+IF(AND($H268&lt;&gt;"",OR(LEFT($F268,LEN(SC_TK))=SC_TK,LEFT($G268,LEN(SC_TK))=SC_TK)),1,0)</f>
        <v/>
      </c>
    </row>
    <row r="269" ht="15" customHeight="1" s="78">
      <c r="A269" s="95">
        <f>IF($H269="","",ROW()-6)</f>
        <v/>
      </c>
      <c r="B269" s="114" t="n"/>
      <c r="C269" s="102" t="n"/>
      <c r="D269" s="114" t="n"/>
      <c r="E269" s="103" t="n"/>
      <c r="F269" s="102" t="n"/>
      <c r="G269" s="102" t="n"/>
      <c r="H269" s="115" t="n"/>
      <c r="I269" s="102" t="n"/>
      <c r="J269" s="102" t="n"/>
      <c r="K269" s="103" t="n"/>
      <c r="L269" s="116">
        <f>IF($H269="","",TRIM(IF(COUNTIF(DMTK!$A$7:$A$250,$F269)=0,"TK Nợ sai! ","")&amp;IF(COUNTIF(DMTK!$A$7:$A$250,$G269)=0,"TK Có sai! ","")&amp;IF(N($H269)&lt;=0,"Tiền phải &gt; 0! ","")&amp;IF($B269="","Thiếu ngày! ","")&amp;IF(AND(OR(LEFT($F269,3)="131",LEFT($G269,3)="131",LEFT($F269,3)="331",LEFT($G269,3)="331"),$I269=""),"Thiếu Mã ĐT! ","")&amp;IF(AND($I269&lt;&gt;"",COUNTIF(DM_DT!$A$7:$A$306,$I269)=0),"Mã ĐT chưa khai báo! ","")))</f>
        <v/>
      </c>
      <c r="M269" s="117">
        <f>IF($H269="","",IF(AND(OR(LEFT($F269,3)="111",LEFT($F269,3)="112",LEFT($F269,3)="113"),OR(LEFT($G269,3)="111",LEFT($G269,3)="112",LEFT($G269,3)="113")),"NB",IF(OR(LEFT($F269,3)="111",LEFT($F269,3)="112",LEFT($F269,3)="113"),"THU",IF(OR(LEFT($G269,3)="111",LEFT($G269,3)="112",LEFT($G269,3)="113"),"CHI",""))))</f>
        <v/>
      </c>
      <c r="N269" s="117">
        <f>IF($M269="THU",$G269,IF($M269="CHI",$F269,""))</f>
        <v/>
      </c>
      <c r="O269" s="117">
        <f>IF(OR($M269="",$M269="NB"),"",IF($J269&lt;&gt;"",TEXT($J269,"00"),IFERROR(VLOOKUP(LEFT($N269,4),LCTT_MAP!$A$7:$C$66,IF($M269="THU",2,3),FALSE()),IFERROR(VLOOKUP(LEFT($N269,3),LCTT_MAP!$A$7:$C$66,IF($M269="THU",2,3),FALSE()),IFERROR(VLOOKUP(LEFT($N269,2),LCTT_MAP!$A$7:$C$66,IF($M269="THU",2,3),FALSE()),IFERROR(VLOOKUP(LEFT($N269,1),LCTT_MAP!$A$7:$C$66,IF($M269="THU",2,3),FALSE()),IF($M269="THU","06","07")))))))</f>
        <v/>
      </c>
      <c r="P269" s="117">
        <f>P268+IF(AND($H269&lt;&gt;"",OR(LEFT($F269,LEN(SC_TK))=SC_TK,LEFT($G269,LEN(SC_TK))=SC_TK)),1,0)</f>
        <v/>
      </c>
    </row>
    <row r="270" ht="15" customHeight="1" s="78">
      <c r="A270" s="95">
        <f>IF($H270="","",ROW()-6)</f>
        <v/>
      </c>
      <c r="B270" s="114" t="n"/>
      <c r="C270" s="102" t="n"/>
      <c r="D270" s="114" t="n"/>
      <c r="E270" s="103" t="n"/>
      <c r="F270" s="102" t="n"/>
      <c r="G270" s="102" t="n"/>
      <c r="H270" s="115" t="n"/>
      <c r="I270" s="102" t="n"/>
      <c r="J270" s="102" t="n"/>
      <c r="K270" s="103" t="n"/>
      <c r="L270" s="116">
        <f>IF($H270="","",TRIM(IF(COUNTIF(DMTK!$A$7:$A$250,$F270)=0,"TK Nợ sai! ","")&amp;IF(COUNTIF(DMTK!$A$7:$A$250,$G270)=0,"TK Có sai! ","")&amp;IF(N($H270)&lt;=0,"Tiền phải &gt; 0! ","")&amp;IF($B270="","Thiếu ngày! ","")&amp;IF(AND(OR(LEFT($F270,3)="131",LEFT($G270,3)="131",LEFT($F270,3)="331",LEFT($G270,3)="331"),$I270=""),"Thiếu Mã ĐT! ","")&amp;IF(AND($I270&lt;&gt;"",COUNTIF(DM_DT!$A$7:$A$306,$I270)=0),"Mã ĐT chưa khai báo! ","")))</f>
        <v/>
      </c>
      <c r="M270" s="117">
        <f>IF($H270="","",IF(AND(OR(LEFT($F270,3)="111",LEFT($F270,3)="112",LEFT($F270,3)="113"),OR(LEFT($G270,3)="111",LEFT($G270,3)="112",LEFT($G270,3)="113")),"NB",IF(OR(LEFT($F270,3)="111",LEFT($F270,3)="112",LEFT($F270,3)="113"),"THU",IF(OR(LEFT($G270,3)="111",LEFT($G270,3)="112",LEFT($G270,3)="113"),"CHI",""))))</f>
        <v/>
      </c>
      <c r="N270" s="117">
        <f>IF($M270="THU",$G270,IF($M270="CHI",$F270,""))</f>
        <v/>
      </c>
      <c r="O270" s="117">
        <f>IF(OR($M270="",$M270="NB"),"",IF($J270&lt;&gt;"",TEXT($J270,"00"),IFERROR(VLOOKUP(LEFT($N270,4),LCTT_MAP!$A$7:$C$66,IF($M270="THU",2,3),FALSE()),IFERROR(VLOOKUP(LEFT($N270,3),LCTT_MAP!$A$7:$C$66,IF($M270="THU",2,3),FALSE()),IFERROR(VLOOKUP(LEFT($N270,2),LCTT_MAP!$A$7:$C$66,IF($M270="THU",2,3),FALSE()),IFERROR(VLOOKUP(LEFT($N270,1),LCTT_MAP!$A$7:$C$66,IF($M270="THU",2,3),FALSE()),IF($M270="THU","06","07")))))))</f>
        <v/>
      </c>
      <c r="P270" s="117">
        <f>P269+IF(AND($H270&lt;&gt;"",OR(LEFT($F270,LEN(SC_TK))=SC_TK,LEFT($G270,LEN(SC_TK))=SC_TK)),1,0)</f>
        <v/>
      </c>
    </row>
    <row r="271" ht="15" customHeight="1" s="78">
      <c r="A271" s="95">
        <f>IF($H271="","",ROW()-6)</f>
        <v/>
      </c>
      <c r="B271" s="114" t="n"/>
      <c r="C271" s="102" t="n"/>
      <c r="D271" s="114" t="n"/>
      <c r="E271" s="103" t="n"/>
      <c r="F271" s="102" t="n"/>
      <c r="G271" s="102" t="n"/>
      <c r="H271" s="115" t="n"/>
      <c r="I271" s="102" t="n"/>
      <c r="J271" s="102" t="n"/>
      <c r="K271" s="103" t="n"/>
      <c r="L271" s="116">
        <f>IF($H271="","",TRIM(IF(COUNTIF(DMTK!$A$7:$A$250,$F271)=0,"TK Nợ sai! ","")&amp;IF(COUNTIF(DMTK!$A$7:$A$250,$G271)=0,"TK Có sai! ","")&amp;IF(N($H271)&lt;=0,"Tiền phải &gt; 0! ","")&amp;IF($B271="","Thiếu ngày! ","")&amp;IF(AND(OR(LEFT($F271,3)="131",LEFT($G271,3)="131",LEFT($F271,3)="331",LEFT($G271,3)="331"),$I271=""),"Thiếu Mã ĐT! ","")&amp;IF(AND($I271&lt;&gt;"",COUNTIF(DM_DT!$A$7:$A$306,$I271)=0),"Mã ĐT chưa khai báo! ","")))</f>
        <v/>
      </c>
      <c r="M271" s="117">
        <f>IF($H271="","",IF(AND(OR(LEFT($F271,3)="111",LEFT($F271,3)="112",LEFT($F271,3)="113"),OR(LEFT($G271,3)="111",LEFT($G271,3)="112",LEFT($G271,3)="113")),"NB",IF(OR(LEFT($F271,3)="111",LEFT($F271,3)="112",LEFT($F271,3)="113"),"THU",IF(OR(LEFT($G271,3)="111",LEFT($G271,3)="112",LEFT($G271,3)="113"),"CHI",""))))</f>
        <v/>
      </c>
      <c r="N271" s="117">
        <f>IF($M271="THU",$G271,IF($M271="CHI",$F271,""))</f>
        <v/>
      </c>
      <c r="O271" s="117">
        <f>IF(OR($M271="",$M271="NB"),"",IF($J271&lt;&gt;"",TEXT($J271,"00"),IFERROR(VLOOKUP(LEFT($N271,4),LCTT_MAP!$A$7:$C$66,IF($M271="THU",2,3),FALSE()),IFERROR(VLOOKUP(LEFT($N271,3),LCTT_MAP!$A$7:$C$66,IF($M271="THU",2,3),FALSE()),IFERROR(VLOOKUP(LEFT($N271,2),LCTT_MAP!$A$7:$C$66,IF($M271="THU",2,3),FALSE()),IFERROR(VLOOKUP(LEFT($N271,1),LCTT_MAP!$A$7:$C$66,IF($M271="THU",2,3),FALSE()),IF($M271="THU","06","07")))))))</f>
        <v/>
      </c>
      <c r="P271" s="117">
        <f>P270+IF(AND($H271&lt;&gt;"",OR(LEFT($F271,LEN(SC_TK))=SC_TK,LEFT($G271,LEN(SC_TK))=SC_TK)),1,0)</f>
        <v/>
      </c>
    </row>
    <row r="272" ht="15" customHeight="1" s="78">
      <c r="A272" s="95">
        <f>IF($H272="","",ROW()-6)</f>
        <v/>
      </c>
      <c r="B272" s="114" t="n"/>
      <c r="C272" s="102" t="n"/>
      <c r="D272" s="114" t="n"/>
      <c r="E272" s="103" t="n"/>
      <c r="F272" s="102" t="n"/>
      <c r="G272" s="102" t="n"/>
      <c r="H272" s="115" t="n"/>
      <c r="I272" s="102" t="n"/>
      <c r="J272" s="102" t="n"/>
      <c r="K272" s="103" t="n"/>
      <c r="L272" s="116">
        <f>IF($H272="","",TRIM(IF(COUNTIF(DMTK!$A$7:$A$250,$F272)=0,"TK Nợ sai! ","")&amp;IF(COUNTIF(DMTK!$A$7:$A$250,$G272)=0,"TK Có sai! ","")&amp;IF(N($H272)&lt;=0,"Tiền phải &gt; 0! ","")&amp;IF($B272="","Thiếu ngày! ","")&amp;IF(AND(OR(LEFT($F272,3)="131",LEFT($G272,3)="131",LEFT($F272,3)="331",LEFT($G272,3)="331"),$I272=""),"Thiếu Mã ĐT! ","")&amp;IF(AND($I272&lt;&gt;"",COUNTIF(DM_DT!$A$7:$A$306,$I272)=0),"Mã ĐT chưa khai báo! ","")))</f>
        <v/>
      </c>
      <c r="M272" s="117">
        <f>IF($H272="","",IF(AND(OR(LEFT($F272,3)="111",LEFT($F272,3)="112",LEFT($F272,3)="113"),OR(LEFT($G272,3)="111",LEFT($G272,3)="112",LEFT($G272,3)="113")),"NB",IF(OR(LEFT($F272,3)="111",LEFT($F272,3)="112",LEFT($F272,3)="113"),"THU",IF(OR(LEFT($G272,3)="111",LEFT($G272,3)="112",LEFT($G272,3)="113"),"CHI",""))))</f>
        <v/>
      </c>
      <c r="N272" s="117">
        <f>IF($M272="THU",$G272,IF($M272="CHI",$F272,""))</f>
        <v/>
      </c>
      <c r="O272" s="117">
        <f>IF(OR($M272="",$M272="NB"),"",IF($J272&lt;&gt;"",TEXT($J272,"00"),IFERROR(VLOOKUP(LEFT($N272,4),LCTT_MAP!$A$7:$C$66,IF($M272="THU",2,3),FALSE()),IFERROR(VLOOKUP(LEFT($N272,3),LCTT_MAP!$A$7:$C$66,IF($M272="THU",2,3),FALSE()),IFERROR(VLOOKUP(LEFT($N272,2),LCTT_MAP!$A$7:$C$66,IF($M272="THU",2,3),FALSE()),IFERROR(VLOOKUP(LEFT($N272,1),LCTT_MAP!$A$7:$C$66,IF($M272="THU",2,3),FALSE()),IF($M272="THU","06","07")))))))</f>
        <v/>
      </c>
      <c r="P272" s="117">
        <f>P271+IF(AND($H272&lt;&gt;"",OR(LEFT($F272,LEN(SC_TK))=SC_TK,LEFT($G272,LEN(SC_TK))=SC_TK)),1,0)</f>
        <v/>
      </c>
    </row>
    <row r="273" ht="15" customHeight="1" s="78">
      <c r="A273" s="95">
        <f>IF($H273="","",ROW()-6)</f>
        <v/>
      </c>
      <c r="B273" s="114" t="n"/>
      <c r="C273" s="102" t="n"/>
      <c r="D273" s="114" t="n"/>
      <c r="E273" s="103" t="n"/>
      <c r="F273" s="102" t="n"/>
      <c r="G273" s="102" t="n"/>
      <c r="H273" s="115" t="n"/>
      <c r="I273" s="102" t="n"/>
      <c r="J273" s="102" t="n"/>
      <c r="K273" s="103" t="n"/>
      <c r="L273" s="116">
        <f>IF($H273="","",TRIM(IF(COUNTIF(DMTK!$A$7:$A$250,$F273)=0,"TK Nợ sai! ","")&amp;IF(COUNTIF(DMTK!$A$7:$A$250,$G273)=0,"TK Có sai! ","")&amp;IF(N($H273)&lt;=0,"Tiền phải &gt; 0! ","")&amp;IF($B273="","Thiếu ngày! ","")&amp;IF(AND(OR(LEFT($F273,3)="131",LEFT($G273,3)="131",LEFT($F273,3)="331",LEFT($G273,3)="331"),$I273=""),"Thiếu Mã ĐT! ","")&amp;IF(AND($I273&lt;&gt;"",COUNTIF(DM_DT!$A$7:$A$306,$I273)=0),"Mã ĐT chưa khai báo! ","")))</f>
        <v/>
      </c>
      <c r="M273" s="117">
        <f>IF($H273="","",IF(AND(OR(LEFT($F273,3)="111",LEFT($F273,3)="112",LEFT($F273,3)="113"),OR(LEFT($G273,3)="111",LEFT($G273,3)="112",LEFT($G273,3)="113")),"NB",IF(OR(LEFT($F273,3)="111",LEFT($F273,3)="112",LEFT($F273,3)="113"),"THU",IF(OR(LEFT($G273,3)="111",LEFT($G273,3)="112",LEFT($G273,3)="113"),"CHI",""))))</f>
        <v/>
      </c>
      <c r="N273" s="117">
        <f>IF($M273="THU",$G273,IF($M273="CHI",$F273,""))</f>
        <v/>
      </c>
      <c r="O273" s="117">
        <f>IF(OR($M273="",$M273="NB"),"",IF($J273&lt;&gt;"",TEXT($J273,"00"),IFERROR(VLOOKUP(LEFT($N273,4),LCTT_MAP!$A$7:$C$66,IF($M273="THU",2,3),FALSE()),IFERROR(VLOOKUP(LEFT($N273,3),LCTT_MAP!$A$7:$C$66,IF($M273="THU",2,3),FALSE()),IFERROR(VLOOKUP(LEFT($N273,2),LCTT_MAP!$A$7:$C$66,IF($M273="THU",2,3),FALSE()),IFERROR(VLOOKUP(LEFT($N273,1),LCTT_MAP!$A$7:$C$66,IF($M273="THU",2,3),FALSE()),IF($M273="THU","06","07")))))))</f>
        <v/>
      </c>
      <c r="P273" s="117">
        <f>P272+IF(AND($H273&lt;&gt;"",OR(LEFT($F273,LEN(SC_TK))=SC_TK,LEFT($G273,LEN(SC_TK))=SC_TK)),1,0)</f>
        <v/>
      </c>
    </row>
    <row r="274" ht="15" customHeight="1" s="78">
      <c r="A274" s="95">
        <f>IF($H274="","",ROW()-6)</f>
        <v/>
      </c>
      <c r="B274" s="114" t="n"/>
      <c r="C274" s="102" t="n"/>
      <c r="D274" s="114" t="n"/>
      <c r="E274" s="103" t="n"/>
      <c r="F274" s="102" t="n"/>
      <c r="G274" s="102" t="n"/>
      <c r="H274" s="115" t="n"/>
      <c r="I274" s="102" t="n"/>
      <c r="J274" s="102" t="n"/>
      <c r="K274" s="103" t="n"/>
      <c r="L274" s="116">
        <f>IF($H274="","",TRIM(IF(COUNTIF(DMTK!$A$7:$A$250,$F274)=0,"TK Nợ sai! ","")&amp;IF(COUNTIF(DMTK!$A$7:$A$250,$G274)=0,"TK Có sai! ","")&amp;IF(N($H274)&lt;=0,"Tiền phải &gt; 0! ","")&amp;IF($B274="","Thiếu ngày! ","")&amp;IF(AND(OR(LEFT($F274,3)="131",LEFT($G274,3)="131",LEFT($F274,3)="331",LEFT($G274,3)="331"),$I274=""),"Thiếu Mã ĐT! ","")&amp;IF(AND($I274&lt;&gt;"",COUNTIF(DM_DT!$A$7:$A$306,$I274)=0),"Mã ĐT chưa khai báo! ","")))</f>
        <v/>
      </c>
      <c r="M274" s="117">
        <f>IF($H274="","",IF(AND(OR(LEFT($F274,3)="111",LEFT($F274,3)="112",LEFT($F274,3)="113"),OR(LEFT($G274,3)="111",LEFT($G274,3)="112",LEFT($G274,3)="113")),"NB",IF(OR(LEFT($F274,3)="111",LEFT($F274,3)="112",LEFT($F274,3)="113"),"THU",IF(OR(LEFT($G274,3)="111",LEFT($G274,3)="112",LEFT($G274,3)="113"),"CHI",""))))</f>
        <v/>
      </c>
      <c r="N274" s="117">
        <f>IF($M274="THU",$G274,IF($M274="CHI",$F274,""))</f>
        <v/>
      </c>
      <c r="O274" s="117">
        <f>IF(OR($M274="",$M274="NB"),"",IF($J274&lt;&gt;"",TEXT($J274,"00"),IFERROR(VLOOKUP(LEFT($N274,4),LCTT_MAP!$A$7:$C$66,IF($M274="THU",2,3),FALSE()),IFERROR(VLOOKUP(LEFT($N274,3),LCTT_MAP!$A$7:$C$66,IF($M274="THU",2,3),FALSE()),IFERROR(VLOOKUP(LEFT($N274,2),LCTT_MAP!$A$7:$C$66,IF($M274="THU",2,3),FALSE()),IFERROR(VLOOKUP(LEFT($N274,1),LCTT_MAP!$A$7:$C$66,IF($M274="THU",2,3),FALSE()),IF($M274="THU","06","07")))))))</f>
        <v/>
      </c>
      <c r="P274" s="117">
        <f>P273+IF(AND($H274&lt;&gt;"",OR(LEFT($F274,LEN(SC_TK))=SC_TK,LEFT($G274,LEN(SC_TK))=SC_TK)),1,0)</f>
        <v/>
      </c>
    </row>
    <row r="275" ht="15" customHeight="1" s="78">
      <c r="A275" s="95">
        <f>IF($H275="","",ROW()-6)</f>
        <v/>
      </c>
      <c r="B275" s="114" t="n"/>
      <c r="C275" s="102" t="n"/>
      <c r="D275" s="114" t="n"/>
      <c r="E275" s="103" t="n"/>
      <c r="F275" s="102" t="n"/>
      <c r="G275" s="102" t="n"/>
      <c r="H275" s="115" t="n"/>
      <c r="I275" s="102" t="n"/>
      <c r="J275" s="102" t="n"/>
      <c r="K275" s="103" t="n"/>
      <c r="L275" s="116">
        <f>IF($H275="","",TRIM(IF(COUNTIF(DMTK!$A$7:$A$250,$F275)=0,"TK Nợ sai! ","")&amp;IF(COUNTIF(DMTK!$A$7:$A$250,$G275)=0,"TK Có sai! ","")&amp;IF(N($H275)&lt;=0,"Tiền phải &gt; 0! ","")&amp;IF($B275="","Thiếu ngày! ","")&amp;IF(AND(OR(LEFT($F275,3)="131",LEFT($G275,3)="131",LEFT($F275,3)="331",LEFT($G275,3)="331"),$I275=""),"Thiếu Mã ĐT! ","")&amp;IF(AND($I275&lt;&gt;"",COUNTIF(DM_DT!$A$7:$A$306,$I275)=0),"Mã ĐT chưa khai báo! ","")))</f>
        <v/>
      </c>
      <c r="M275" s="117">
        <f>IF($H275="","",IF(AND(OR(LEFT($F275,3)="111",LEFT($F275,3)="112",LEFT($F275,3)="113"),OR(LEFT($G275,3)="111",LEFT($G275,3)="112",LEFT($G275,3)="113")),"NB",IF(OR(LEFT($F275,3)="111",LEFT($F275,3)="112",LEFT($F275,3)="113"),"THU",IF(OR(LEFT($G275,3)="111",LEFT($G275,3)="112",LEFT($G275,3)="113"),"CHI",""))))</f>
        <v/>
      </c>
      <c r="N275" s="117">
        <f>IF($M275="THU",$G275,IF($M275="CHI",$F275,""))</f>
        <v/>
      </c>
      <c r="O275" s="117">
        <f>IF(OR($M275="",$M275="NB"),"",IF($J275&lt;&gt;"",TEXT($J275,"00"),IFERROR(VLOOKUP(LEFT($N275,4),LCTT_MAP!$A$7:$C$66,IF($M275="THU",2,3),FALSE()),IFERROR(VLOOKUP(LEFT($N275,3),LCTT_MAP!$A$7:$C$66,IF($M275="THU",2,3),FALSE()),IFERROR(VLOOKUP(LEFT($N275,2),LCTT_MAP!$A$7:$C$66,IF($M275="THU",2,3),FALSE()),IFERROR(VLOOKUP(LEFT($N275,1),LCTT_MAP!$A$7:$C$66,IF($M275="THU",2,3),FALSE()),IF($M275="THU","06","07")))))))</f>
        <v/>
      </c>
      <c r="P275" s="117">
        <f>P274+IF(AND($H275&lt;&gt;"",OR(LEFT($F275,LEN(SC_TK))=SC_TK,LEFT($G275,LEN(SC_TK))=SC_TK)),1,0)</f>
        <v/>
      </c>
    </row>
    <row r="276" ht="15" customHeight="1" s="78">
      <c r="A276" s="95">
        <f>IF($H276="","",ROW()-6)</f>
        <v/>
      </c>
      <c r="B276" s="114" t="n"/>
      <c r="C276" s="102" t="n"/>
      <c r="D276" s="114" t="n"/>
      <c r="E276" s="103" t="n"/>
      <c r="F276" s="102" t="n"/>
      <c r="G276" s="102" t="n"/>
      <c r="H276" s="115" t="n"/>
      <c r="I276" s="102" t="n"/>
      <c r="J276" s="102" t="n"/>
      <c r="K276" s="103" t="n"/>
      <c r="L276" s="116">
        <f>IF($H276="","",TRIM(IF(COUNTIF(DMTK!$A$7:$A$250,$F276)=0,"TK Nợ sai! ","")&amp;IF(COUNTIF(DMTK!$A$7:$A$250,$G276)=0,"TK Có sai! ","")&amp;IF(N($H276)&lt;=0,"Tiền phải &gt; 0! ","")&amp;IF($B276="","Thiếu ngày! ","")&amp;IF(AND(OR(LEFT($F276,3)="131",LEFT($G276,3)="131",LEFT($F276,3)="331",LEFT($G276,3)="331"),$I276=""),"Thiếu Mã ĐT! ","")&amp;IF(AND($I276&lt;&gt;"",COUNTIF(DM_DT!$A$7:$A$306,$I276)=0),"Mã ĐT chưa khai báo! ","")))</f>
        <v/>
      </c>
      <c r="M276" s="117">
        <f>IF($H276="","",IF(AND(OR(LEFT($F276,3)="111",LEFT($F276,3)="112",LEFT($F276,3)="113"),OR(LEFT($G276,3)="111",LEFT($G276,3)="112",LEFT($G276,3)="113")),"NB",IF(OR(LEFT($F276,3)="111",LEFT($F276,3)="112",LEFT($F276,3)="113"),"THU",IF(OR(LEFT($G276,3)="111",LEFT($G276,3)="112",LEFT($G276,3)="113"),"CHI",""))))</f>
        <v/>
      </c>
      <c r="N276" s="117">
        <f>IF($M276="THU",$G276,IF($M276="CHI",$F276,""))</f>
        <v/>
      </c>
      <c r="O276" s="117">
        <f>IF(OR($M276="",$M276="NB"),"",IF($J276&lt;&gt;"",TEXT($J276,"00"),IFERROR(VLOOKUP(LEFT($N276,4),LCTT_MAP!$A$7:$C$66,IF($M276="THU",2,3),FALSE()),IFERROR(VLOOKUP(LEFT($N276,3),LCTT_MAP!$A$7:$C$66,IF($M276="THU",2,3),FALSE()),IFERROR(VLOOKUP(LEFT($N276,2),LCTT_MAP!$A$7:$C$66,IF($M276="THU",2,3),FALSE()),IFERROR(VLOOKUP(LEFT($N276,1),LCTT_MAP!$A$7:$C$66,IF($M276="THU",2,3),FALSE()),IF($M276="THU","06","07")))))))</f>
        <v/>
      </c>
      <c r="P276" s="117">
        <f>P275+IF(AND($H276&lt;&gt;"",OR(LEFT($F276,LEN(SC_TK))=SC_TK,LEFT($G276,LEN(SC_TK))=SC_TK)),1,0)</f>
        <v/>
      </c>
    </row>
    <row r="277" ht="15" customHeight="1" s="78">
      <c r="A277" s="95">
        <f>IF($H277="","",ROW()-6)</f>
        <v/>
      </c>
      <c r="B277" s="114" t="n"/>
      <c r="C277" s="102" t="n"/>
      <c r="D277" s="114" t="n"/>
      <c r="E277" s="103" t="n"/>
      <c r="F277" s="102" t="n"/>
      <c r="G277" s="102" t="n"/>
      <c r="H277" s="115" t="n"/>
      <c r="I277" s="102" t="n"/>
      <c r="J277" s="102" t="n"/>
      <c r="K277" s="103" t="n"/>
      <c r="L277" s="116">
        <f>IF($H277="","",TRIM(IF(COUNTIF(DMTK!$A$7:$A$250,$F277)=0,"TK Nợ sai! ","")&amp;IF(COUNTIF(DMTK!$A$7:$A$250,$G277)=0,"TK Có sai! ","")&amp;IF(N($H277)&lt;=0,"Tiền phải &gt; 0! ","")&amp;IF($B277="","Thiếu ngày! ","")&amp;IF(AND(OR(LEFT($F277,3)="131",LEFT($G277,3)="131",LEFT($F277,3)="331",LEFT($G277,3)="331"),$I277=""),"Thiếu Mã ĐT! ","")&amp;IF(AND($I277&lt;&gt;"",COUNTIF(DM_DT!$A$7:$A$306,$I277)=0),"Mã ĐT chưa khai báo! ","")))</f>
        <v/>
      </c>
      <c r="M277" s="117">
        <f>IF($H277="","",IF(AND(OR(LEFT($F277,3)="111",LEFT($F277,3)="112",LEFT($F277,3)="113"),OR(LEFT($G277,3)="111",LEFT($G277,3)="112",LEFT($G277,3)="113")),"NB",IF(OR(LEFT($F277,3)="111",LEFT($F277,3)="112",LEFT($F277,3)="113"),"THU",IF(OR(LEFT($G277,3)="111",LEFT($G277,3)="112",LEFT($G277,3)="113"),"CHI",""))))</f>
        <v/>
      </c>
      <c r="N277" s="117">
        <f>IF($M277="THU",$G277,IF($M277="CHI",$F277,""))</f>
        <v/>
      </c>
      <c r="O277" s="117">
        <f>IF(OR($M277="",$M277="NB"),"",IF($J277&lt;&gt;"",TEXT($J277,"00"),IFERROR(VLOOKUP(LEFT($N277,4),LCTT_MAP!$A$7:$C$66,IF($M277="THU",2,3),FALSE()),IFERROR(VLOOKUP(LEFT($N277,3),LCTT_MAP!$A$7:$C$66,IF($M277="THU",2,3),FALSE()),IFERROR(VLOOKUP(LEFT($N277,2),LCTT_MAP!$A$7:$C$66,IF($M277="THU",2,3),FALSE()),IFERROR(VLOOKUP(LEFT($N277,1),LCTT_MAP!$A$7:$C$66,IF($M277="THU",2,3),FALSE()),IF($M277="THU","06","07")))))))</f>
        <v/>
      </c>
      <c r="P277" s="117">
        <f>P276+IF(AND($H277&lt;&gt;"",OR(LEFT($F277,LEN(SC_TK))=SC_TK,LEFT($G277,LEN(SC_TK))=SC_TK)),1,0)</f>
        <v/>
      </c>
    </row>
    <row r="278" ht="15" customHeight="1" s="78">
      <c r="A278" s="95">
        <f>IF($H278="","",ROW()-6)</f>
        <v/>
      </c>
      <c r="B278" s="114" t="n"/>
      <c r="C278" s="102" t="n"/>
      <c r="D278" s="114" t="n"/>
      <c r="E278" s="103" t="n"/>
      <c r="F278" s="102" t="n"/>
      <c r="G278" s="102" t="n"/>
      <c r="H278" s="115" t="n"/>
      <c r="I278" s="102" t="n"/>
      <c r="J278" s="102" t="n"/>
      <c r="K278" s="103" t="n"/>
      <c r="L278" s="116">
        <f>IF($H278="","",TRIM(IF(COUNTIF(DMTK!$A$7:$A$250,$F278)=0,"TK Nợ sai! ","")&amp;IF(COUNTIF(DMTK!$A$7:$A$250,$G278)=0,"TK Có sai! ","")&amp;IF(N($H278)&lt;=0,"Tiền phải &gt; 0! ","")&amp;IF($B278="","Thiếu ngày! ","")&amp;IF(AND(OR(LEFT($F278,3)="131",LEFT($G278,3)="131",LEFT($F278,3)="331",LEFT($G278,3)="331"),$I278=""),"Thiếu Mã ĐT! ","")&amp;IF(AND($I278&lt;&gt;"",COUNTIF(DM_DT!$A$7:$A$306,$I278)=0),"Mã ĐT chưa khai báo! ","")))</f>
        <v/>
      </c>
      <c r="M278" s="117">
        <f>IF($H278="","",IF(AND(OR(LEFT($F278,3)="111",LEFT($F278,3)="112",LEFT($F278,3)="113"),OR(LEFT($G278,3)="111",LEFT($G278,3)="112",LEFT($G278,3)="113")),"NB",IF(OR(LEFT($F278,3)="111",LEFT($F278,3)="112",LEFT($F278,3)="113"),"THU",IF(OR(LEFT($G278,3)="111",LEFT($G278,3)="112",LEFT($G278,3)="113"),"CHI",""))))</f>
        <v/>
      </c>
      <c r="N278" s="117">
        <f>IF($M278="THU",$G278,IF($M278="CHI",$F278,""))</f>
        <v/>
      </c>
      <c r="O278" s="117">
        <f>IF(OR($M278="",$M278="NB"),"",IF($J278&lt;&gt;"",TEXT($J278,"00"),IFERROR(VLOOKUP(LEFT($N278,4),LCTT_MAP!$A$7:$C$66,IF($M278="THU",2,3),FALSE()),IFERROR(VLOOKUP(LEFT($N278,3),LCTT_MAP!$A$7:$C$66,IF($M278="THU",2,3),FALSE()),IFERROR(VLOOKUP(LEFT($N278,2),LCTT_MAP!$A$7:$C$66,IF($M278="THU",2,3),FALSE()),IFERROR(VLOOKUP(LEFT($N278,1),LCTT_MAP!$A$7:$C$66,IF($M278="THU",2,3),FALSE()),IF($M278="THU","06","07")))))))</f>
        <v/>
      </c>
      <c r="P278" s="117">
        <f>P277+IF(AND($H278&lt;&gt;"",OR(LEFT($F278,LEN(SC_TK))=SC_TK,LEFT($G278,LEN(SC_TK))=SC_TK)),1,0)</f>
        <v/>
      </c>
    </row>
    <row r="279" ht="15" customHeight="1" s="78">
      <c r="A279" s="95">
        <f>IF($H279="","",ROW()-6)</f>
        <v/>
      </c>
      <c r="B279" s="114" t="n"/>
      <c r="C279" s="102" t="n"/>
      <c r="D279" s="114" t="n"/>
      <c r="E279" s="103" t="n"/>
      <c r="F279" s="102" t="n"/>
      <c r="G279" s="102" t="n"/>
      <c r="H279" s="115" t="n"/>
      <c r="I279" s="102" t="n"/>
      <c r="J279" s="102" t="n"/>
      <c r="K279" s="103" t="n"/>
      <c r="L279" s="116">
        <f>IF($H279="","",TRIM(IF(COUNTIF(DMTK!$A$7:$A$250,$F279)=0,"TK Nợ sai! ","")&amp;IF(COUNTIF(DMTK!$A$7:$A$250,$G279)=0,"TK Có sai! ","")&amp;IF(N($H279)&lt;=0,"Tiền phải &gt; 0! ","")&amp;IF($B279="","Thiếu ngày! ","")&amp;IF(AND(OR(LEFT($F279,3)="131",LEFT($G279,3)="131",LEFT($F279,3)="331",LEFT($G279,3)="331"),$I279=""),"Thiếu Mã ĐT! ","")&amp;IF(AND($I279&lt;&gt;"",COUNTIF(DM_DT!$A$7:$A$306,$I279)=0),"Mã ĐT chưa khai báo! ","")))</f>
        <v/>
      </c>
      <c r="M279" s="117">
        <f>IF($H279="","",IF(AND(OR(LEFT($F279,3)="111",LEFT($F279,3)="112",LEFT($F279,3)="113"),OR(LEFT($G279,3)="111",LEFT($G279,3)="112",LEFT($G279,3)="113")),"NB",IF(OR(LEFT($F279,3)="111",LEFT($F279,3)="112",LEFT($F279,3)="113"),"THU",IF(OR(LEFT($G279,3)="111",LEFT($G279,3)="112",LEFT($G279,3)="113"),"CHI",""))))</f>
        <v/>
      </c>
      <c r="N279" s="117">
        <f>IF($M279="THU",$G279,IF($M279="CHI",$F279,""))</f>
        <v/>
      </c>
      <c r="O279" s="117">
        <f>IF(OR($M279="",$M279="NB"),"",IF($J279&lt;&gt;"",TEXT($J279,"00"),IFERROR(VLOOKUP(LEFT($N279,4),LCTT_MAP!$A$7:$C$66,IF($M279="THU",2,3),FALSE()),IFERROR(VLOOKUP(LEFT($N279,3),LCTT_MAP!$A$7:$C$66,IF($M279="THU",2,3),FALSE()),IFERROR(VLOOKUP(LEFT($N279,2),LCTT_MAP!$A$7:$C$66,IF($M279="THU",2,3),FALSE()),IFERROR(VLOOKUP(LEFT($N279,1),LCTT_MAP!$A$7:$C$66,IF($M279="THU",2,3),FALSE()),IF($M279="THU","06","07")))))))</f>
        <v/>
      </c>
      <c r="P279" s="117">
        <f>P278+IF(AND($H279&lt;&gt;"",OR(LEFT($F279,LEN(SC_TK))=SC_TK,LEFT($G279,LEN(SC_TK))=SC_TK)),1,0)</f>
        <v/>
      </c>
    </row>
    <row r="280" ht="15" customHeight="1" s="78">
      <c r="A280" s="95">
        <f>IF($H280="","",ROW()-6)</f>
        <v/>
      </c>
      <c r="B280" s="114" t="n"/>
      <c r="C280" s="102" t="n"/>
      <c r="D280" s="114" t="n"/>
      <c r="E280" s="103" t="n"/>
      <c r="F280" s="102" t="n"/>
      <c r="G280" s="102" t="n"/>
      <c r="H280" s="115" t="n"/>
      <c r="I280" s="102" t="n"/>
      <c r="J280" s="102" t="n"/>
      <c r="K280" s="103" t="n"/>
      <c r="L280" s="116">
        <f>IF($H280="","",TRIM(IF(COUNTIF(DMTK!$A$7:$A$250,$F280)=0,"TK Nợ sai! ","")&amp;IF(COUNTIF(DMTK!$A$7:$A$250,$G280)=0,"TK Có sai! ","")&amp;IF(N($H280)&lt;=0,"Tiền phải &gt; 0! ","")&amp;IF($B280="","Thiếu ngày! ","")&amp;IF(AND(OR(LEFT($F280,3)="131",LEFT($G280,3)="131",LEFT($F280,3)="331",LEFT($G280,3)="331"),$I280=""),"Thiếu Mã ĐT! ","")&amp;IF(AND($I280&lt;&gt;"",COUNTIF(DM_DT!$A$7:$A$306,$I280)=0),"Mã ĐT chưa khai báo! ","")))</f>
        <v/>
      </c>
      <c r="M280" s="117">
        <f>IF($H280="","",IF(AND(OR(LEFT($F280,3)="111",LEFT($F280,3)="112",LEFT($F280,3)="113"),OR(LEFT($G280,3)="111",LEFT($G280,3)="112",LEFT($G280,3)="113")),"NB",IF(OR(LEFT($F280,3)="111",LEFT($F280,3)="112",LEFT($F280,3)="113"),"THU",IF(OR(LEFT($G280,3)="111",LEFT($G280,3)="112",LEFT($G280,3)="113"),"CHI",""))))</f>
        <v/>
      </c>
      <c r="N280" s="117">
        <f>IF($M280="THU",$G280,IF($M280="CHI",$F280,""))</f>
        <v/>
      </c>
      <c r="O280" s="117">
        <f>IF(OR($M280="",$M280="NB"),"",IF($J280&lt;&gt;"",TEXT($J280,"00"),IFERROR(VLOOKUP(LEFT($N280,4),LCTT_MAP!$A$7:$C$66,IF($M280="THU",2,3),FALSE()),IFERROR(VLOOKUP(LEFT($N280,3),LCTT_MAP!$A$7:$C$66,IF($M280="THU",2,3),FALSE()),IFERROR(VLOOKUP(LEFT($N280,2),LCTT_MAP!$A$7:$C$66,IF($M280="THU",2,3),FALSE()),IFERROR(VLOOKUP(LEFT($N280,1),LCTT_MAP!$A$7:$C$66,IF($M280="THU",2,3),FALSE()),IF($M280="THU","06","07")))))))</f>
        <v/>
      </c>
      <c r="P280" s="117">
        <f>P279+IF(AND($H280&lt;&gt;"",OR(LEFT($F280,LEN(SC_TK))=SC_TK,LEFT($G280,LEN(SC_TK))=SC_TK)),1,0)</f>
        <v/>
      </c>
    </row>
    <row r="281" ht="15" customHeight="1" s="78">
      <c r="A281" s="95">
        <f>IF($H281="","",ROW()-6)</f>
        <v/>
      </c>
      <c r="B281" s="114" t="n"/>
      <c r="C281" s="102" t="n"/>
      <c r="D281" s="114" t="n"/>
      <c r="E281" s="103" t="n"/>
      <c r="F281" s="102" t="n"/>
      <c r="G281" s="102" t="n"/>
      <c r="H281" s="115" t="n"/>
      <c r="I281" s="102" t="n"/>
      <c r="J281" s="102" t="n"/>
      <c r="K281" s="103" t="n"/>
      <c r="L281" s="116">
        <f>IF($H281="","",TRIM(IF(COUNTIF(DMTK!$A$7:$A$250,$F281)=0,"TK Nợ sai! ","")&amp;IF(COUNTIF(DMTK!$A$7:$A$250,$G281)=0,"TK Có sai! ","")&amp;IF(N($H281)&lt;=0,"Tiền phải &gt; 0! ","")&amp;IF($B281="","Thiếu ngày! ","")&amp;IF(AND(OR(LEFT($F281,3)="131",LEFT($G281,3)="131",LEFT($F281,3)="331",LEFT($G281,3)="331"),$I281=""),"Thiếu Mã ĐT! ","")&amp;IF(AND($I281&lt;&gt;"",COUNTIF(DM_DT!$A$7:$A$306,$I281)=0),"Mã ĐT chưa khai báo! ","")))</f>
        <v/>
      </c>
      <c r="M281" s="117">
        <f>IF($H281="","",IF(AND(OR(LEFT($F281,3)="111",LEFT($F281,3)="112",LEFT($F281,3)="113"),OR(LEFT($G281,3)="111",LEFT($G281,3)="112",LEFT($G281,3)="113")),"NB",IF(OR(LEFT($F281,3)="111",LEFT($F281,3)="112",LEFT($F281,3)="113"),"THU",IF(OR(LEFT($G281,3)="111",LEFT($G281,3)="112",LEFT($G281,3)="113"),"CHI",""))))</f>
        <v/>
      </c>
      <c r="N281" s="117">
        <f>IF($M281="THU",$G281,IF($M281="CHI",$F281,""))</f>
        <v/>
      </c>
      <c r="O281" s="117">
        <f>IF(OR($M281="",$M281="NB"),"",IF($J281&lt;&gt;"",TEXT($J281,"00"),IFERROR(VLOOKUP(LEFT($N281,4),LCTT_MAP!$A$7:$C$66,IF($M281="THU",2,3),FALSE()),IFERROR(VLOOKUP(LEFT($N281,3),LCTT_MAP!$A$7:$C$66,IF($M281="THU",2,3),FALSE()),IFERROR(VLOOKUP(LEFT($N281,2),LCTT_MAP!$A$7:$C$66,IF($M281="THU",2,3),FALSE()),IFERROR(VLOOKUP(LEFT($N281,1),LCTT_MAP!$A$7:$C$66,IF($M281="THU",2,3),FALSE()),IF($M281="THU","06","07")))))))</f>
        <v/>
      </c>
      <c r="P281" s="117">
        <f>P280+IF(AND($H281&lt;&gt;"",OR(LEFT($F281,LEN(SC_TK))=SC_TK,LEFT($G281,LEN(SC_TK))=SC_TK)),1,0)</f>
        <v/>
      </c>
    </row>
    <row r="282" ht="15" customHeight="1" s="78">
      <c r="A282" s="95">
        <f>IF($H282="","",ROW()-6)</f>
        <v/>
      </c>
      <c r="B282" s="114" t="n"/>
      <c r="C282" s="102" t="n"/>
      <c r="D282" s="114" t="n"/>
      <c r="E282" s="103" t="n"/>
      <c r="F282" s="102" t="n"/>
      <c r="G282" s="102" t="n"/>
      <c r="H282" s="115" t="n"/>
      <c r="I282" s="102" t="n"/>
      <c r="J282" s="102" t="n"/>
      <c r="K282" s="103" t="n"/>
      <c r="L282" s="116">
        <f>IF($H282="","",TRIM(IF(COUNTIF(DMTK!$A$7:$A$250,$F282)=0,"TK Nợ sai! ","")&amp;IF(COUNTIF(DMTK!$A$7:$A$250,$G282)=0,"TK Có sai! ","")&amp;IF(N($H282)&lt;=0,"Tiền phải &gt; 0! ","")&amp;IF($B282="","Thiếu ngày! ","")&amp;IF(AND(OR(LEFT($F282,3)="131",LEFT($G282,3)="131",LEFT($F282,3)="331",LEFT($G282,3)="331"),$I282=""),"Thiếu Mã ĐT! ","")&amp;IF(AND($I282&lt;&gt;"",COUNTIF(DM_DT!$A$7:$A$306,$I282)=0),"Mã ĐT chưa khai báo! ","")))</f>
        <v/>
      </c>
      <c r="M282" s="117">
        <f>IF($H282="","",IF(AND(OR(LEFT($F282,3)="111",LEFT($F282,3)="112",LEFT($F282,3)="113"),OR(LEFT($G282,3)="111",LEFT($G282,3)="112",LEFT($G282,3)="113")),"NB",IF(OR(LEFT($F282,3)="111",LEFT($F282,3)="112",LEFT($F282,3)="113"),"THU",IF(OR(LEFT($G282,3)="111",LEFT($G282,3)="112",LEFT($G282,3)="113"),"CHI",""))))</f>
        <v/>
      </c>
      <c r="N282" s="117">
        <f>IF($M282="THU",$G282,IF($M282="CHI",$F282,""))</f>
        <v/>
      </c>
      <c r="O282" s="117">
        <f>IF(OR($M282="",$M282="NB"),"",IF($J282&lt;&gt;"",TEXT($J282,"00"),IFERROR(VLOOKUP(LEFT($N282,4),LCTT_MAP!$A$7:$C$66,IF($M282="THU",2,3),FALSE()),IFERROR(VLOOKUP(LEFT($N282,3),LCTT_MAP!$A$7:$C$66,IF($M282="THU",2,3),FALSE()),IFERROR(VLOOKUP(LEFT($N282,2),LCTT_MAP!$A$7:$C$66,IF($M282="THU",2,3),FALSE()),IFERROR(VLOOKUP(LEFT($N282,1),LCTT_MAP!$A$7:$C$66,IF($M282="THU",2,3),FALSE()),IF($M282="THU","06","07")))))))</f>
        <v/>
      </c>
      <c r="P282" s="117">
        <f>P281+IF(AND($H282&lt;&gt;"",OR(LEFT($F282,LEN(SC_TK))=SC_TK,LEFT($G282,LEN(SC_TK))=SC_TK)),1,0)</f>
        <v/>
      </c>
    </row>
    <row r="283" ht="15" customHeight="1" s="78">
      <c r="A283" s="95">
        <f>IF($H283="","",ROW()-6)</f>
        <v/>
      </c>
      <c r="B283" s="114" t="n"/>
      <c r="C283" s="102" t="n"/>
      <c r="D283" s="114" t="n"/>
      <c r="E283" s="103" t="n"/>
      <c r="F283" s="102" t="n"/>
      <c r="G283" s="102" t="n"/>
      <c r="H283" s="115" t="n"/>
      <c r="I283" s="102" t="n"/>
      <c r="J283" s="102" t="n"/>
      <c r="K283" s="103" t="n"/>
      <c r="L283" s="116">
        <f>IF($H283="","",TRIM(IF(COUNTIF(DMTK!$A$7:$A$250,$F283)=0,"TK Nợ sai! ","")&amp;IF(COUNTIF(DMTK!$A$7:$A$250,$G283)=0,"TK Có sai! ","")&amp;IF(N($H283)&lt;=0,"Tiền phải &gt; 0! ","")&amp;IF($B283="","Thiếu ngày! ","")&amp;IF(AND(OR(LEFT($F283,3)="131",LEFT($G283,3)="131",LEFT($F283,3)="331",LEFT($G283,3)="331"),$I283=""),"Thiếu Mã ĐT! ","")&amp;IF(AND($I283&lt;&gt;"",COUNTIF(DM_DT!$A$7:$A$306,$I283)=0),"Mã ĐT chưa khai báo! ","")))</f>
        <v/>
      </c>
      <c r="M283" s="117">
        <f>IF($H283="","",IF(AND(OR(LEFT($F283,3)="111",LEFT($F283,3)="112",LEFT($F283,3)="113"),OR(LEFT($G283,3)="111",LEFT($G283,3)="112",LEFT($G283,3)="113")),"NB",IF(OR(LEFT($F283,3)="111",LEFT($F283,3)="112",LEFT($F283,3)="113"),"THU",IF(OR(LEFT($G283,3)="111",LEFT($G283,3)="112",LEFT($G283,3)="113"),"CHI",""))))</f>
        <v/>
      </c>
      <c r="N283" s="117">
        <f>IF($M283="THU",$G283,IF($M283="CHI",$F283,""))</f>
        <v/>
      </c>
      <c r="O283" s="117">
        <f>IF(OR($M283="",$M283="NB"),"",IF($J283&lt;&gt;"",TEXT($J283,"00"),IFERROR(VLOOKUP(LEFT($N283,4),LCTT_MAP!$A$7:$C$66,IF($M283="THU",2,3),FALSE()),IFERROR(VLOOKUP(LEFT($N283,3),LCTT_MAP!$A$7:$C$66,IF($M283="THU",2,3),FALSE()),IFERROR(VLOOKUP(LEFT($N283,2),LCTT_MAP!$A$7:$C$66,IF($M283="THU",2,3),FALSE()),IFERROR(VLOOKUP(LEFT($N283,1),LCTT_MAP!$A$7:$C$66,IF($M283="THU",2,3),FALSE()),IF($M283="THU","06","07")))))))</f>
        <v/>
      </c>
      <c r="P283" s="117">
        <f>P282+IF(AND($H283&lt;&gt;"",OR(LEFT($F283,LEN(SC_TK))=SC_TK,LEFT($G283,LEN(SC_TK))=SC_TK)),1,0)</f>
        <v/>
      </c>
    </row>
    <row r="284" ht="15" customHeight="1" s="78">
      <c r="A284" s="95">
        <f>IF($H284="","",ROW()-6)</f>
        <v/>
      </c>
      <c r="B284" s="114" t="n"/>
      <c r="C284" s="102" t="n"/>
      <c r="D284" s="114" t="n"/>
      <c r="E284" s="103" t="n"/>
      <c r="F284" s="102" t="n"/>
      <c r="G284" s="102" t="n"/>
      <c r="H284" s="115" t="n"/>
      <c r="I284" s="102" t="n"/>
      <c r="J284" s="102" t="n"/>
      <c r="K284" s="103" t="n"/>
      <c r="L284" s="116">
        <f>IF($H284="","",TRIM(IF(COUNTIF(DMTK!$A$7:$A$250,$F284)=0,"TK Nợ sai! ","")&amp;IF(COUNTIF(DMTK!$A$7:$A$250,$G284)=0,"TK Có sai! ","")&amp;IF(N($H284)&lt;=0,"Tiền phải &gt; 0! ","")&amp;IF($B284="","Thiếu ngày! ","")&amp;IF(AND(OR(LEFT($F284,3)="131",LEFT($G284,3)="131",LEFT($F284,3)="331",LEFT($G284,3)="331"),$I284=""),"Thiếu Mã ĐT! ","")&amp;IF(AND($I284&lt;&gt;"",COUNTIF(DM_DT!$A$7:$A$306,$I284)=0),"Mã ĐT chưa khai báo! ","")))</f>
        <v/>
      </c>
      <c r="M284" s="117">
        <f>IF($H284="","",IF(AND(OR(LEFT($F284,3)="111",LEFT($F284,3)="112",LEFT($F284,3)="113"),OR(LEFT($G284,3)="111",LEFT($G284,3)="112",LEFT($G284,3)="113")),"NB",IF(OR(LEFT($F284,3)="111",LEFT($F284,3)="112",LEFT($F284,3)="113"),"THU",IF(OR(LEFT($G284,3)="111",LEFT($G284,3)="112",LEFT($G284,3)="113"),"CHI",""))))</f>
        <v/>
      </c>
      <c r="N284" s="117">
        <f>IF($M284="THU",$G284,IF($M284="CHI",$F284,""))</f>
        <v/>
      </c>
      <c r="O284" s="117">
        <f>IF(OR($M284="",$M284="NB"),"",IF($J284&lt;&gt;"",TEXT($J284,"00"),IFERROR(VLOOKUP(LEFT($N284,4),LCTT_MAP!$A$7:$C$66,IF($M284="THU",2,3),FALSE()),IFERROR(VLOOKUP(LEFT($N284,3),LCTT_MAP!$A$7:$C$66,IF($M284="THU",2,3),FALSE()),IFERROR(VLOOKUP(LEFT($N284,2),LCTT_MAP!$A$7:$C$66,IF($M284="THU",2,3),FALSE()),IFERROR(VLOOKUP(LEFT($N284,1),LCTT_MAP!$A$7:$C$66,IF($M284="THU",2,3),FALSE()),IF($M284="THU","06","07")))))))</f>
        <v/>
      </c>
      <c r="P284" s="117">
        <f>P283+IF(AND($H284&lt;&gt;"",OR(LEFT($F284,LEN(SC_TK))=SC_TK,LEFT($G284,LEN(SC_TK))=SC_TK)),1,0)</f>
        <v/>
      </c>
    </row>
    <row r="285" ht="15" customHeight="1" s="78">
      <c r="A285" s="95">
        <f>IF($H285="","",ROW()-6)</f>
        <v/>
      </c>
      <c r="B285" s="114" t="n"/>
      <c r="C285" s="102" t="n"/>
      <c r="D285" s="114" t="n"/>
      <c r="E285" s="103" t="n"/>
      <c r="F285" s="102" t="n"/>
      <c r="G285" s="102" t="n"/>
      <c r="H285" s="115" t="n"/>
      <c r="I285" s="102" t="n"/>
      <c r="J285" s="102" t="n"/>
      <c r="K285" s="103" t="n"/>
      <c r="L285" s="116">
        <f>IF($H285="","",TRIM(IF(COUNTIF(DMTK!$A$7:$A$250,$F285)=0,"TK Nợ sai! ","")&amp;IF(COUNTIF(DMTK!$A$7:$A$250,$G285)=0,"TK Có sai! ","")&amp;IF(N($H285)&lt;=0,"Tiền phải &gt; 0! ","")&amp;IF($B285="","Thiếu ngày! ","")&amp;IF(AND(OR(LEFT($F285,3)="131",LEFT($G285,3)="131",LEFT($F285,3)="331",LEFT($G285,3)="331"),$I285=""),"Thiếu Mã ĐT! ","")&amp;IF(AND($I285&lt;&gt;"",COUNTIF(DM_DT!$A$7:$A$306,$I285)=0),"Mã ĐT chưa khai báo! ","")))</f>
        <v/>
      </c>
      <c r="M285" s="117">
        <f>IF($H285="","",IF(AND(OR(LEFT($F285,3)="111",LEFT($F285,3)="112",LEFT($F285,3)="113"),OR(LEFT($G285,3)="111",LEFT($G285,3)="112",LEFT($G285,3)="113")),"NB",IF(OR(LEFT($F285,3)="111",LEFT($F285,3)="112",LEFT($F285,3)="113"),"THU",IF(OR(LEFT($G285,3)="111",LEFT($G285,3)="112",LEFT($G285,3)="113"),"CHI",""))))</f>
        <v/>
      </c>
      <c r="N285" s="117">
        <f>IF($M285="THU",$G285,IF($M285="CHI",$F285,""))</f>
        <v/>
      </c>
      <c r="O285" s="117">
        <f>IF(OR($M285="",$M285="NB"),"",IF($J285&lt;&gt;"",TEXT($J285,"00"),IFERROR(VLOOKUP(LEFT($N285,4),LCTT_MAP!$A$7:$C$66,IF($M285="THU",2,3),FALSE()),IFERROR(VLOOKUP(LEFT($N285,3),LCTT_MAP!$A$7:$C$66,IF($M285="THU",2,3),FALSE()),IFERROR(VLOOKUP(LEFT($N285,2),LCTT_MAP!$A$7:$C$66,IF($M285="THU",2,3),FALSE()),IFERROR(VLOOKUP(LEFT($N285,1),LCTT_MAP!$A$7:$C$66,IF($M285="THU",2,3),FALSE()),IF($M285="THU","06","07")))))))</f>
        <v/>
      </c>
      <c r="P285" s="117">
        <f>P284+IF(AND($H285&lt;&gt;"",OR(LEFT($F285,LEN(SC_TK))=SC_TK,LEFT($G285,LEN(SC_TK))=SC_TK)),1,0)</f>
        <v/>
      </c>
    </row>
    <row r="286" ht="15" customHeight="1" s="78">
      <c r="A286" s="95">
        <f>IF($H286="","",ROW()-6)</f>
        <v/>
      </c>
      <c r="B286" s="114" t="n"/>
      <c r="C286" s="102" t="n"/>
      <c r="D286" s="114" t="n"/>
      <c r="E286" s="103" t="n"/>
      <c r="F286" s="102" t="n"/>
      <c r="G286" s="102" t="n"/>
      <c r="H286" s="115" t="n"/>
      <c r="I286" s="102" t="n"/>
      <c r="J286" s="102" t="n"/>
      <c r="K286" s="103" t="n"/>
      <c r="L286" s="116">
        <f>IF($H286="","",TRIM(IF(COUNTIF(DMTK!$A$7:$A$250,$F286)=0,"TK Nợ sai! ","")&amp;IF(COUNTIF(DMTK!$A$7:$A$250,$G286)=0,"TK Có sai! ","")&amp;IF(N($H286)&lt;=0,"Tiền phải &gt; 0! ","")&amp;IF($B286="","Thiếu ngày! ","")&amp;IF(AND(OR(LEFT($F286,3)="131",LEFT($G286,3)="131",LEFT($F286,3)="331",LEFT($G286,3)="331"),$I286=""),"Thiếu Mã ĐT! ","")&amp;IF(AND($I286&lt;&gt;"",COUNTIF(DM_DT!$A$7:$A$306,$I286)=0),"Mã ĐT chưa khai báo! ","")))</f>
        <v/>
      </c>
      <c r="M286" s="117">
        <f>IF($H286="","",IF(AND(OR(LEFT($F286,3)="111",LEFT($F286,3)="112",LEFT($F286,3)="113"),OR(LEFT($G286,3)="111",LEFT($G286,3)="112",LEFT($G286,3)="113")),"NB",IF(OR(LEFT($F286,3)="111",LEFT($F286,3)="112",LEFT($F286,3)="113"),"THU",IF(OR(LEFT($G286,3)="111",LEFT($G286,3)="112",LEFT($G286,3)="113"),"CHI",""))))</f>
        <v/>
      </c>
      <c r="N286" s="117">
        <f>IF($M286="THU",$G286,IF($M286="CHI",$F286,""))</f>
        <v/>
      </c>
      <c r="O286" s="117">
        <f>IF(OR($M286="",$M286="NB"),"",IF($J286&lt;&gt;"",TEXT($J286,"00"),IFERROR(VLOOKUP(LEFT($N286,4),LCTT_MAP!$A$7:$C$66,IF($M286="THU",2,3),FALSE()),IFERROR(VLOOKUP(LEFT($N286,3),LCTT_MAP!$A$7:$C$66,IF($M286="THU",2,3),FALSE()),IFERROR(VLOOKUP(LEFT($N286,2),LCTT_MAP!$A$7:$C$66,IF($M286="THU",2,3),FALSE()),IFERROR(VLOOKUP(LEFT($N286,1),LCTT_MAP!$A$7:$C$66,IF($M286="THU",2,3),FALSE()),IF($M286="THU","06","07")))))))</f>
        <v/>
      </c>
      <c r="P286" s="117">
        <f>P285+IF(AND($H286&lt;&gt;"",OR(LEFT($F286,LEN(SC_TK))=SC_TK,LEFT($G286,LEN(SC_TK))=SC_TK)),1,0)</f>
        <v/>
      </c>
    </row>
    <row r="287" ht="15" customHeight="1" s="78">
      <c r="A287" s="95">
        <f>IF($H287="","",ROW()-6)</f>
        <v/>
      </c>
      <c r="B287" s="114" t="n"/>
      <c r="C287" s="102" t="n"/>
      <c r="D287" s="114" t="n"/>
      <c r="E287" s="103" t="n"/>
      <c r="F287" s="102" t="n"/>
      <c r="G287" s="102" t="n"/>
      <c r="H287" s="115" t="n"/>
      <c r="I287" s="102" t="n"/>
      <c r="J287" s="102" t="n"/>
      <c r="K287" s="103" t="n"/>
      <c r="L287" s="116">
        <f>IF($H287="","",TRIM(IF(COUNTIF(DMTK!$A$7:$A$250,$F287)=0,"TK Nợ sai! ","")&amp;IF(COUNTIF(DMTK!$A$7:$A$250,$G287)=0,"TK Có sai! ","")&amp;IF(N($H287)&lt;=0,"Tiền phải &gt; 0! ","")&amp;IF($B287="","Thiếu ngày! ","")&amp;IF(AND(OR(LEFT($F287,3)="131",LEFT($G287,3)="131",LEFT($F287,3)="331",LEFT($G287,3)="331"),$I287=""),"Thiếu Mã ĐT! ","")&amp;IF(AND($I287&lt;&gt;"",COUNTIF(DM_DT!$A$7:$A$306,$I287)=0),"Mã ĐT chưa khai báo! ","")))</f>
        <v/>
      </c>
      <c r="M287" s="117">
        <f>IF($H287="","",IF(AND(OR(LEFT($F287,3)="111",LEFT($F287,3)="112",LEFT($F287,3)="113"),OR(LEFT($G287,3)="111",LEFT($G287,3)="112",LEFT($G287,3)="113")),"NB",IF(OR(LEFT($F287,3)="111",LEFT($F287,3)="112",LEFT($F287,3)="113"),"THU",IF(OR(LEFT($G287,3)="111",LEFT($G287,3)="112",LEFT($G287,3)="113"),"CHI",""))))</f>
        <v/>
      </c>
      <c r="N287" s="117">
        <f>IF($M287="THU",$G287,IF($M287="CHI",$F287,""))</f>
        <v/>
      </c>
      <c r="O287" s="117">
        <f>IF(OR($M287="",$M287="NB"),"",IF($J287&lt;&gt;"",TEXT($J287,"00"),IFERROR(VLOOKUP(LEFT($N287,4),LCTT_MAP!$A$7:$C$66,IF($M287="THU",2,3),FALSE()),IFERROR(VLOOKUP(LEFT($N287,3),LCTT_MAP!$A$7:$C$66,IF($M287="THU",2,3),FALSE()),IFERROR(VLOOKUP(LEFT($N287,2),LCTT_MAP!$A$7:$C$66,IF($M287="THU",2,3),FALSE()),IFERROR(VLOOKUP(LEFT($N287,1),LCTT_MAP!$A$7:$C$66,IF($M287="THU",2,3),FALSE()),IF($M287="THU","06","07")))))))</f>
        <v/>
      </c>
      <c r="P287" s="117">
        <f>P286+IF(AND($H287&lt;&gt;"",OR(LEFT($F287,LEN(SC_TK))=SC_TK,LEFT($G287,LEN(SC_TK))=SC_TK)),1,0)</f>
        <v/>
      </c>
    </row>
    <row r="288" ht="15" customHeight="1" s="78">
      <c r="A288" s="95">
        <f>IF($H288="","",ROW()-6)</f>
        <v/>
      </c>
      <c r="B288" s="114" t="n"/>
      <c r="C288" s="102" t="n"/>
      <c r="D288" s="114" t="n"/>
      <c r="E288" s="103" t="n"/>
      <c r="F288" s="102" t="n"/>
      <c r="G288" s="102" t="n"/>
      <c r="H288" s="115" t="n"/>
      <c r="I288" s="102" t="n"/>
      <c r="J288" s="102" t="n"/>
      <c r="K288" s="103" t="n"/>
      <c r="L288" s="116">
        <f>IF($H288="","",TRIM(IF(COUNTIF(DMTK!$A$7:$A$250,$F288)=0,"TK Nợ sai! ","")&amp;IF(COUNTIF(DMTK!$A$7:$A$250,$G288)=0,"TK Có sai! ","")&amp;IF(N($H288)&lt;=0,"Tiền phải &gt; 0! ","")&amp;IF($B288="","Thiếu ngày! ","")&amp;IF(AND(OR(LEFT($F288,3)="131",LEFT($G288,3)="131",LEFT($F288,3)="331",LEFT($G288,3)="331"),$I288=""),"Thiếu Mã ĐT! ","")&amp;IF(AND($I288&lt;&gt;"",COUNTIF(DM_DT!$A$7:$A$306,$I288)=0),"Mã ĐT chưa khai báo! ","")))</f>
        <v/>
      </c>
      <c r="M288" s="117">
        <f>IF($H288="","",IF(AND(OR(LEFT($F288,3)="111",LEFT($F288,3)="112",LEFT($F288,3)="113"),OR(LEFT($G288,3)="111",LEFT($G288,3)="112",LEFT($G288,3)="113")),"NB",IF(OR(LEFT($F288,3)="111",LEFT($F288,3)="112",LEFT($F288,3)="113"),"THU",IF(OR(LEFT($G288,3)="111",LEFT($G288,3)="112",LEFT($G288,3)="113"),"CHI",""))))</f>
        <v/>
      </c>
      <c r="N288" s="117">
        <f>IF($M288="THU",$G288,IF($M288="CHI",$F288,""))</f>
        <v/>
      </c>
      <c r="O288" s="117">
        <f>IF(OR($M288="",$M288="NB"),"",IF($J288&lt;&gt;"",TEXT($J288,"00"),IFERROR(VLOOKUP(LEFT($N288,4),LCTT_MAP!$A$7:$C$66,IF($M288="THU",2,3),FALSE()),IFERROR(VLOOKUP(LEFT($N288,3),LCTT_MAP!$A$7:$C$66,IF($M288="THU",2,3),FALSE()),IFERROR(VLOOKUP(LEFT($N288,2),LCTT_MAP!$A$7:$C$66,IF($M288="THU",2,3),FALSE()),IFERROR(VLOOKUP(LEFT($N288,1),LCTT_MAP!$A$7:$C$66,IF($M288="THU",2,3),FALSE()),IF($M288="THU","06","07")))))))</f>
        <v/>
      </c>
      <c r="P288" s="117">
        <f>P287+IF(AND($H288&lt;&gt;"",OR(LEFT($F288,LEN(SC_TK))=SC_TK,LEFT($G288,LEN(SC_TK))=SC_TK)),1,0)</f>
        <v/>
      </c>
    </row>
    <row r="289" ht="15" customHeight="1" s="78">
      <c r="A289" s="95">
        <f>IF($H289="","",ROW()-6)</f>
        <v/>
      </c>
      <c r="B289" s="114" t="n"/>
      <c r="C289" s="102" t="n"/>
      <c r="D289" s="114" t="n"/>
      <c r="E289" s="103" t="n"/>
      <c r="F289" s="102" t="n"/>
      <c r="G289" s="102" t="n"/>
      <c r="H289" s="115" t="n"/>
      <c r="I289" s="102" t="n"/>
      <c r="J289" s="102" t="n"/>
      <c r="K289" s="103" t="n"/>
      <c r="L289" s="116">
        <f>IF($H289="","",TRIM(IF(COUNTIF(DMTK!$A$7:$A$250,$F289)=0,"TK Nợ sai! ","")&amp;IF(COUNTIF(DMTK!$A$7:$A$250,$G289)=0,"TK Có sai! ","")&amp;IF(N($H289)&lt;=0,"Tiền phải &gt; 0! ","")&amp;IF($B289="","Thiếu ngày! ","")&amp;IF(AND(OR(LEFT($F289,3)="131",LEFT($G289,3)="131",LEFT($F289,3)="331",LEFT($G289,3)="331"),$I289=""),"Thiếu Mã ĐT! ","")&amp;IF(AND($I289&lt;&gt;"",COUNTIF(DM_DT!$A$7:$A$306,$I289)=0),"Mã ĐT chưa khai báo! ","")))</f>
        <v/>
      </c>
      <c r="M289" s="117">
        <f>IF($H289="","",IF(AND(OR(LEFT($F289,3)="111",LEFT($F289,3)="112",LEFT($F289,3)="113"),OR(LEFT($G289,3)="111",LEFT($G289,3)="112",LEFT($G289,3)="113")),"NB",IF(OR(LEFT($F289,3)="111",LEFT($F289,3)="112",LEFT($F289,3)="113"),"THU",IF(OR(LEFT($G289,3)="111",LEFT($G289,3)="112",LEFT($G289,3)="113"),"CHI",""))))</f>
        <v/>
      </c>
      <c r="N289" s="117">
        <f>IF($M289="THU",$G289,IF($M289="CHI",$F289,""))</f>
        <v/>
      </c>
      <c r="O289" s="117">
        <f>IF(OR($M289="",$M289="NB"),"",IF($J289&lt;&gt;"",TEXT($J289,"00"),IFERROR(VLOOKUP(LEFT($N289,4),LCTT_MAP!$A$7:$C$66,IF($M289="THU",2,3),FALSE()),IFERROR(VLOOKUP(LEFT($N289,3),LCTT_MAP!$A$7:$C$66,IF($M289="THU",2,3),FALSE()),IFERROR(VLOOKUP(LEFT($N289,2),LCTT_MAP!$A$7:$C$66,IF($M289="THU",2,3),FALSE()),IFERROR(VLOOKUP(LEFT($N289,1),LCTT_MAP!$A$7:$C$66,IF($M289="THU",2,3),FALSE()),IF($M289="THU","06","07")))))))</f>
        <v/>
      </c>
      <c r="P289" s="117">
        <f>P288+IF(AND($H289&lt;&gt;"",OR(LEFT($F289,LEN(SC_TK))=SC_TK,LEFT($G289,LEN(SC_TK))=SC_TK)),1,0)</f>
        <v/>
      </c>
    </row>
    <row r="290" ht="15" customHeight="1" s="78">
      <c r="A290" s="95">
        <f>IF($H290="","",ROW()-6)</f>
        <v/>
      </c>
      <c r="B290" s="114" t="n"/>
      <c r="C290" s="102" t="n"/>
      <c r="D290" s="114" t="n"/>
      <c r="E290" s="103" t="n"/>
      <c r="F290" s="102" t="n"/>
      <c r="G290" s="102" t="n"/>
      <c r="H290" s="115" t="n"/>
      <c r="I290" s="102" t="n"/>
      <c r="J290" s="102" t="n"/>
      <c r="K290" s="103" t="n"/>
      <c r="L290" s="116">
        <f>IF($H290="","",TRIM(IF(COUNTIF(DMTK!$A$7:$A$250,$F290)=0,"TK Nợ sai! ","")&amp;IF(COUNTIF(DMTK!$A$7:$A$250,$G290)=0,"TK Có sai! ","")&amp;IF(N($H290)&lt;=0,"Tiền phải &gt; 0! ","")&amp;IF($B290="","Thiếu ngày! ","")&amp;IF(AND(OR(LEFT($F290,3)="131",LEFT($G290,3)="131",LEFT($F290,3)="331",LEFT($G290,3)="331"),$I290=""),"Thiếu Mã ĐT! ","")&amp;IF(AND($I290&lt;&gt;"",COUNTIF(DM_DT!$A$7:$A$306,$I290)=0),"Mã ĐT chưa khai báo! ","")))</f>
        <v/>
      </c>
      <c r="M290" s="117">
        <f>IF($H290="","",IF(AND(OR(LEFT($F290,3)="111",LEFT($F290,3)="112",LEFT($F290,3)="113"),OR(LEFT($G290,3)="111",LEFT($G290,3)="112",LEFT($G290,3)="113")),"NB",IF(OR(LEFT($F290,3)="111",LEFT($F290,3)="112",LEFT($F290,3)="113"),"THU",IF(OR(LEFT($G290,3)="111",LEFT($G290,3)="112",LEFT($G290,3)="113"),"CHI",""))))</f>
        <v/>
      </c>
      <c r="N290" s="117">
        <f>IF($M290="THU",$G290,IF($M290="CHI",$F290,""))</f>
        <v/>
      </c>
      <c r="O290" s="117">
        <f>IF(OR($M290="",$M290="NB"),"",IF($J290&lt;&gt;"",TEXT($J290,"00"),IFERROR(VLOOKUP(LEFT($N290,4),LCTT_MAP!$A$7:$C$66,IF($M290="THU",2,3),FALSE()),IFERROR(VLOOKUP(LEFT($N290,3),LCTT_MAP!$A$7:$C$66,IF($M290="THU",2,3),FALSE()),IFERROR(VLOOKUP(LEFT($N290,2),LCTT_MAP!$A$7:$C$66,IF($M290="THU",2,3),FALSE()),IFERROR(VLOOKUP(LEFT($N290,1),LCTT_MAP!$A$7:$C$66,IF($M290="THU",2,3),FALSE()),IF($M290="THU","06","07")))))))</f>
        <v/>
      </c>
      <c r="P290" s="117">
        <f>P289+IF(AND($H290&lt;&gt;"",OR(LEFT($F290,LEN(SC_TK))=SC_TK,LEFT($G290,LEN(SC_TK))=SC_TK)),1,0)</f>
        <v/>
      </c>
    </row>
    <row r="291" ht="15" customHeight="1" s="78">
      <c r="A291" s="95">
        <f>IF($H291="","",ROW()-6)</f>
        <v/>
      </c>
      <c r="B291" s="114" t="n"/>
      <c r="C291" s="102" t="n"/>
      <c r="D291" s="114" t="n"/>
      <c r="E291" s="103" t="n"/>
      <c r="F291" s="102" t="n"/>
      <c r="G291" s="102" t="n"/>
      <c r="H291" s="115" t="n"/>
      <c r="I291" s="102" t="n"/>
      <c r="J291" s="102" t="n"/>
      <c r="K291" s="103" t="n"/>
      <c r="L291" s="116">
        <f>IF($H291="","",TRIM(IF(COUNTIF(DMTK!$A$7:$A$250,$F291)=0,"TK Nợ sai! ","")&amp;IF(COUNTIF(DMTK!$A$7:$A$250,$G291)=0,"TK Có sai! ","")&amp;IF(N($H291)&lt;=0,"Tiền phải &gt; 0! ","")&amp;IF($B291="","Thiếu ngày! ","")&amp;IF(AND(OR(LEFT($F291,3)="131",LEFT($G291,3)="131",LEFT($F291,3)="331",LEFT($G291,3)="331"),$I291=""),"Thiếu Mã ĐT! ","")&amp;IF(AND($I291&lt;&gt;"",COUNTIF(DM_DT!$A$7:$A$306,$I291)=0),"Mã ĐT chưa khai báo! ","")))</f>
        <v/>
      </c>
      <c r="M291" s="117">
        <f>IF($H291="","",IF(AND(OR(LEFT($F291,3)="111",LEFT($F291,3)="112",LEFT($F291,3)="113"),OR(LEFT($G291,3)="111",LEFT($G291,3)="112",LEFT($G291,3)="113")),"NB",IF(OR(LEFT($F291,3)="111",LEFT($F291,3)="112",LEFT($F291,3)="113"),"THU",IF(OR(LEFT($G291,3)="111",LEFT($G291,3)="112",LEFT($G291,3)="113"),"CHI",""))))</f>
        <v/>
      </c>
      <c r="N291" s="117">
        <f>IF($M291="THU",$G291,IF($M291="CHI",$F291,""))</f>
        <v/>
      </c>
      <c r="O291" s="117">
        <f>IF(OR($M291="",$M291="NB"),"",IF($J291&lt;&gt;"",TEXT($J291,"00"),IFERROR(VLOOKUP(LEFT($N291,4),LCTT_MAP!$A$7:$C$66,IF($M291="THU",2,3),FALSE()),IFERROR(VLOOKUP(LEFT($N291,3),LCTT_MAP!$A$7:$C$66,IF($M291="THU",2,3),FALSE()),IFERROR(VLOOKUP(LEFT($N291,2),LCTT_MAP!$A$7:$C$66,IF($M291="THU",2,3),FALSE()),IFERROR(VLOOKUP(LEFT($N291,1),LCTT_MAP!$A$7:$C$66,IF($M291="THU",2,3),FALSE()),IF($M291="THU","06","07")))))))</f>
        <v/>
      </c>
      <c r="P291" s="117">
        <f>P290+IF(AND($H291&lt;&gt;"",OR(LEFT($F291,LEN(SC_TK))=SC_TK,LEFT($G291,LEN(SC_TK))=SC_TK)),1,0)</f>
        <v/>
      </c>
    </row>
    <row r="292" ht="15" customHeight="1" s="78">
      <c r="A292" s="95">
        <f>IF($H292="","",ROW()-6)</f>
        <v/>
      </c>
      <c r="B292" s="114" t="n"/>
      <c r="C292" s="102" t="n"/>
      <c r="D292" s="114" t="n"/>
      <c r="E292" s="103" t="n"/>
      <c r="F292" s="102" t="n"/>
      <c r="G292" s="102" t="n"/>
      <c r="H292" s="115" t="n"/>
      <c r="I292" s="102" t="n"/>
      <c r="J292" s="102" t="n"/>
      <c r="K292" s="103" t="n"/>
      <c r="L292" s="116">
        <f>IF($H292="","",TRIM(IF(COUNTIF(DMTK!$A$7:$A$250,$F292)=0,"TK Nợ sai! ","")&amp;IF(COUNTIF(DMTK!$A$7:$A$250,$G292)=0,"TK Có sai! ","")&amp;IF(N($H292)&lt;=0,"Tiền phải &gt; 0! ","")&amp;IF($B292="","Thiếu ngày! ","")&amp;IF(AND(OR(LEFT($F292,3)="131",LEFT($G292,3)="131",LEFT($F292,3)="331",LEFT($G292,3)="331"),$I292=""),"Thiếu Mã ĐT! ","")&amp;IF(AND($I292&lt;&gt;"",COUNTIF(DM_DT!$A$7:$A$306,$I292)=0),"Mã ĐT chưa khai báo! ","")))</f>
        <v/>
      </c>
      <c r="M292" s="117">
        <f>IF($H292="","",IF(AND(OR(LEFT($F292,3)="111",LEFT($F292,3)="112",LEFT($F292,3)="113"),OR(LEFT($G292,3)="111",LEFT($G292,3)="112",LEFT($G292,3)="113")),"NB",IF(OR(LEFT($F292,3)="111",LEFT($F292,3)="112",LEFT($F292,3)="113"),"THU",IF(OR(LEFT($G292,3)="111",LEFT($G292,3)="112",LEFT($G292,3)="113"),"CHI",""))))</f>
        <v/>
      </c>
      <c r="N292" s="117">
        <f>IF($M292="THU",$G292,IF($M292="CHI",$F292,""))</f>
        <v/>
      </c>
      <c r="O292" s="117">
        <f>IF(OR($M292="",$M292="NB"),"",IF($J292&lt;&gt;"",TEXT($J292,"00"),IFERROR(VLOOKUP(LEFT($N292,4),LCTT_MAP!$A$7:$C$66,IF($M292="THU",2,3),FALSE()),IFERROR(VLOOKUP(LEFT($N292,3),LCTT_MAP!$A$7:$C$66,IF($M292="THU",2,3),FALSE()),IFERROR(VLOOKUP(LEFT($N292,2),LCTT_MAP!$A$7:$C$66,IF($M292="THU",2,3),FALSE()),IFERROR(VLOOKUP(LEFT($N292,1),LCTT_MAP!$A$7:$C$66,IF($M292="THU",2,3),FALSE()),IF($M292="THU","06","07")))))))</f>
        <v/>
      </c>
      <c r="P292" s="117">
        <f>P291+IF(AND($H292&lt;&gt;"",OR(LEFT($F292,LEN(SC_TK))=SC_TK,LEFT($G292,LEN(SC_TK))=SC_TK)),1,0)</f>
        <v/>
      </c>
    </row>
    <row r="293" ht="15" customHeight="1" s="78">
      <c r="A293" s="95">
        <f>IF($H293="","",ROW()-6)</f>
        <v/>
      </c>
      <c r="B293" s="114" t="n"/>
      <c r="C293" s="102" t="n"/>
      <c r="D293" s="114" t="n"/>
      <c r="E293" s="103" t="n"/>
      <c r="F293" s="102" t="n"/>
      <c r="G293" s="102" t="n"/>
      <c r="H293" s="115" t="n"/>
      <c r="I293" s="102" t="n"/>
      <c r="J293" s="102" t="n"/>
      <c r="K293" s="103" t="n"/>
      <c r="L293" s="116">
        <f>IF($H293="","",TRIM(IF(COUNTIF(DMTK!$A$7:$A$250,$F293)=0,"TK Nợ sai! ","")&amp;IF(COUNTIF(DMTK!$A$7:$A$250,$G293)=0,"TK Có sai! ","")&amp;IF(N($H293)&lt;=0,"Tiền phải &gt; 0! ","")&amp;IF($B293="","Thiếu ngày! ","")&amp;IF(AND(OR(LEFT($F293,3)="131",LEFT($G293,3)="131",LEFT($F293,3)="331",LEFT($G293,3)="331"),$I293=""),"Thiếu Mã ĐT! ","")&amp;IF(AND($I293&lt;&gt;"",COUNTIF(DM_DT!$A$7:$A$306,$I293)=0),"Mã ĐT chưa khai báo! ","")))</f>
        <v/>
      </c>
      <c r="M293" s="117">
        <f>IF($H293="","",IF(AND(OR(LEFT($F293,3)="111",LEFT($F293,3)="112",LEFT($F293,3)="113"),OR(LEFT($G293,3)="111",LEFT($G293,3)="112",LEFT($G293,3)="113")),"NB",IF(OR(LEFT($F293,3)="111",LEFT($F293,3)="112",LEFT($F293,3)="113"),"THU",IF(OR(LEFT($G293,3)="111",LEFT($G293,3)="112",LEFT($G293,3)="113"),"CHI",""))))</f>
        <v/>
      </c>
      <c r="N293" s="117">
        <f>IF($M293="THU",$G293,IF($M293="CHI",$F293,""))</f>
        <v/>
      </c>
      <c r="O293" s="117">
        <f>IF(OR($M293="",$M293="NB"),"",IF($J293&lt;&gt;"",TEXT($J293,"00"),IFERROR(VLOOKUP(LEFT($N293,4),LCTT_MAP!$A$7:$C$66,IF($M293="THU",2,3),FALSE()),IFERROR(VLOOKUP(LEFT($N293,3),LCTT_MAP!$A$7:$C$66,IF($M293="THU",2,3),FALSE()),IFERROR(VLOOKUP(LEFT($N293,2),LCTT_MAP!$A$7:$C$66,IF($M293="THU",2,3),FALSE()),IFERROR(VLOOKUP(LEFT($N293,1),LCTT_MAP!$A$7:$C$66,IF($M293="THU",2,3),FALSE()),IF($M293="THU","06","07")))))))</f>
        <v/>
      </c>
      <c r="P293" s="117">
        <f>P292+IF(AND($H293&lt;&gt;"",OR(LEFT($F293,LEN(SC_TK))=SC_TK,LEFT($G293,LEN(SC_TK))=SC_TK)),1,0)</f>
        <v/>
      </c>
    </row>
    <row r="294" ht="15" customHeight="1" s="78">
      <c r="A294" s="95">
        <f>IF($H294="","",ROW()-6)</f>
        <v/>
      </c>
      <c r="B294" s="114" t="n"/>
      <c r="C294" s="102" t="n"/>
      <c r="D294" s="114" t="n"/>
      <c r="E294" s="103" t="n"/>
      <c r="F294" s="102" t="n"/>
      <c r="G294" s="102" t="n"/>
      <c r="H294" s="115" t="n"/>
      <c r="I294" s="102" t="n"/>
      <c r="J294" s="102" t="n"/>
      <c r="K294" s="103" t="n"/>
      <c r="L294" s="116">
        <f>IF($H294="","",TRIM(IF(COUNTIF(DMTK!$A$7:$A$250,$F294)=0,"TK Nợ sai! ","")&amp;IF(COUNTIF(DMTK!$A$7:$A$250,$G294)=0,"TK Có sai! ","")&amp;IF(N($H294)&lt;=0,"Tiền phải &gt; 0! ","")&amp;IF($B294="","Thiếu ngày! ","")&amp;IF(AND(OR(LEFT($F294,3)="131",LEFT($G294,3)="131",LEFT($F294,3)="331",LEFT($G294,3)="331"),$I294=""),"Thiếu Mã ĐT! ","")&amp;IF(AND($I294&lt;&gt;"",COUNTIF(DM_DT!$A$7:$A$306,$I294)=0),"Mã ĐT chưa khai báo! ","")))</f>
        <v/>
      </c>
      <c r="M294" s="117">
        <f>IF($H294="","",IF(AND(OR(LEFT($F294,3)="111",LEFT($F294,3)="112",LEFT($F294,3)="113"),OR(LEFT($G294,3)="111",LEFT($G294,3)="112",LEFT($G294,3)="113")),"NB",IF(OR(LEFT($F294,3)="111",LEFT($F294,3)="112",LEFT($F294,3)="113"),"THU",IF(OR(LEFT($G294,3)="111",LEFT($G294,3)="112",LEFT($G294,3)="113"),"CHI",""))))</f>
        <v/>
      </c>
      <c r="N294" s="117">
        <f>IF($M294="THU",$G294,IF($M294="CHI",$F294,""))</f>
        <v/>
      </c>
      <c r="O294" s="117">
        <f>IF(OR($M294="",$M294="NB"),"",IF($J294&lt;&gt;"",TEXT($J294,"00"),IFERROR(VLOOKUP(LEFT($N294,4),LCTT_MAP!$A$7:$C$66,IF($M294="THU",2,3),FALSE()),IFERROR(VLOOKUP(LEFT($N294,3),LCTT_MAP!$A$7:$C$66,IF($M294="THU",2,3),FALSE()),IFERROR(VLOOKUP(LEFT($N294,2),LCTT_MAP!$A$7:$C$66,IF($M294="THU",2,3),FALSE()),IFERROR(VLOOKUP(LEFT($N294,1),LCTT_MAP!$A$7:$C$66,IF($M294="THU",2,3),FALSE()),IF($M294="THU","06","07")))))))</f>
        <v/>
      </c>
      <c r="P294" s="117">
        <f>P293+IF(AND($H294&lt;&gt;"",OR(LEFT($F294,LEN(SC_TK))=SC_TK,LEFT($G294,LEN(SC_TK))=SC_TK)),1,0)</f>
        <v/>
      </c>
    </row>
    <row r="295" ht="15" customHeight="1" s="78">
      <c r="A295" s="95">
        <f>IF($H295="","",ROW()-6)</f>
        <v/>
      </c>
      <c r="B295" s="114" t="n"/>
      <c r="C295" s="102" t="n"/>
      <c r="D295" s="114" t="n"/>
      <c r="E295" s="103" t="n"/>
      <c r="F295" s="102" t="n"/>
      <c r="G295" s="102" t="n"/>
      <c r="H295" s="115" t="n"/>
      <c r="I295" s="102" t="n"/>
      <c r="J295" s="102" t="n"/>
      <c r="K295" s="103" t="n"/>
      <c r="L295" s="116">
        <f>IF($H295="","",TRIM(IF(COUNTIF(DMTK!$A$7:$A$250,$F295)=0,"TK Nợ sai! ","")&amp;IF(COUNTIF(DMTK!$A$7:$A$250,$G295)=0,"TK Có sai! ","")&amp;IF(N($H295)&lt;=0,"Tiền phải &gt; 0! ","")&amp;IF($B295="","Thiếu ngày! ","")&amp;IF(AND(OR(LEFT($F295,3)="131",LEFT($G295,3)="131",LEFT($F295,3)="331",LEFT($G295,3)="331"),$I295=""),"Thiếu Mã ĐT! ","")&amp;IF(AND($I295&lt;&gt;"",COUNTIF(DM_DT!$A$7:$A$306,$I295)=0),"Mã ĐT chưa khai báo! ","")))</f>
        <v/>
      </c>
      <c r="M295" s="117">
        <f>IF($H295="","",IF(AND(OR(LEFT($F295,3)="111",LEFT($F295,3)="112",LEFT($F295,3)="113"),OR(LEFT($G295,3)="111",LEFT($G295,3)="112",LEFT($G295,3)="113")),"NB",IF(OR(LEFT($F295,3)="111",LEFT($F295,3)="112",LEFT($F295,3)="113"),"THU",IF(OR(LEFT($G295,3)="111",LEFT($G295,3)="112",LEFT($G295,3)="113"),"CHI",""))))</f>
        <v/>
      </c>
      <c r="N295" s="117">
        <f>IF($M295="THU",$G295,IF($M295="CHI",$F295,""))</f>
        <v/>
      </c>
      <c r="O295" s="117">
        <f>IF(OR($M295="",$M295="NB"),"",IF($J295&lt;&gt;"",TEXT($J295,"00"),IFERROR(VLOOKUP(LEFT($N295,4),LCTT_MAP!$A$7:$C$66,IF($M295="THU",2,3),FALSE()),IFERROR(VLOOKUP(LEFT($N295,3),LCTT_MAP!$A$7:$C$66,IF($M295="THU",2,3),FALSE()),IFERROR(VLOOKUP(LEFT($N295,2),LCTT_MAP!$A$7:$C$66,IF($M295="THU",2,3),FALSE()),IFERROR(VLOOKUP(LEFT($N295,1),LCTT_MAP!$A$7:$C$66,IF($M295="THU",2,3),FALSE()),IF($M295="THU","06","07")))))))</f>
        <v/>
      </c>
      <c r="P295" s="117">
        <f>P294+IF(AND($H295&lt;&gt;"",OR(LEFT($F295,LEN(SC_TK))=SC_TK,LEFT($G295,LEN(SC_TK))=SC_TK)),1,0)</f>
        <v/>
      </c>
    </row>
    <row r="296" ht="15" customHeight="1" s="78">
      <c r="A296" s="95">
        <f>IF($H296="","",ROW()-6)</f>
        <v/>
      </c>
      <c r="B296" s="114" t="n"/>
      <c r="C296" s="102" t="n"/>
      <c r="D296" s="114" t="n"/>
      <c r="E296" s="103" t="n"/>
      <c r="F296" s="102" t="n"/>
      <c r="G296" s="102" t="n"/>
      <c r="H296" s="115" t="n"/>
      <c r="I296" s="102" t="n"/>
      <c r="J296" s="102" t="n"/>
      <c r="K296" s="103" t="n"/>
      <c r="L296" s="116">
        <f>IF($H296="","",TRIM(IF(COUNTIF(DMTK!$A$7:$A$250,$F296)=0,"TK Nợ sai! ","")&amp;IF(COUNTIF(DMTK!$A$7:$A$250,$G296)=0,"TK Có sai! ","")&amp;IF(N($H296)&lt;=0,"Tiền phải &gt; 0! ","")&amp;IF($B296="","Thiếu ngày! ","")&amp;IF(AND(OR(LEFT($F296,3)="131",LEFT($G296,3)="131",LEFT($F296,3)="331",LEFT($G296,3)="331"),$I296=""),"Thiếu Mã ĐT! ","")&amp;IF(AND($I296&lt;&gt;"",COUNTIF(DM_DT!$A$7:$A$306,$I296)=0),"Mã ĐT chưa khai báo! ","")))</f>
        <v/>
      </c>
      <c r="M296" s="117">
        <f>IF($H296="","",IF(AND(OR(LEFT($F296,3)="111",LEFT($F296,3)="112",LEFT($F296,3)="113"),OR(LEFT($G296,3)="111",LEFT($G296,3)="112",LEFT($G296,3)="113")),"NB",IF(OR(LEFT($F296,3)="111",LEFT($F296,3)="112",LEFT($F296,3)="113"),"THU",IF(OR(LEFT($G296,3)="111",LEFT($G296,3)="112",LEFT($G296,3)="113"),"CHI",""))))</f>
        <v/>
      </c>
      <c r="N296" s="117">
        <f>IF($M296="THU",$G296,IF($M296="CHI",$F296,""))</f>
        <v/>
      </c>
      <c r="O296" s="117">
        <f>IF(OR($M296="",$M296="NB"),"",IF($J296&lt;&gt;"",TEXT($J296,"00"),IFERROR(VLOOKUP(LEFT($N296,4),LCTT_MAP!$A$7:$C$66,IF($M296="THU",2,3),FALSE()),IFERROR(VLOOKUP(LEFT($N296,3),LCTT_MAP!$A$7:$C$66,IF($M296="THU",2,3),FALSE()),IFERROR(VLOOKUP(LEFT($N296,2),LCTT_MAP!$A$7:$C$66,IF($M296="THU",2,3),FALSE()),IFERROR(VLOOKUP(LEFT($N296,1),LCTT_MAP!$A$7:$C$66,IF($M296="THU",2,3),FALSE()),IF($M296="THU","06","07")))))))</f>
        <v/>
      </c>
      <c r="P296" s="117">
        <f>P295+IF(AND($H296&lt;&gt;"",OR(LEFT($F296,LEN(SC_TK))=SC_TK,LEFT($G296,LEN(SC_TK))=SC_TK)),1,0)</f>
        <v/>
      </c>
    </row>
    <row r="297" ht="15" customHeight="1" s="78">
      <c r="A297" s="95">
        <f>IF($H297="","",ROW()-6)</f>
        <v/>
      </c>
      <c r="B297" s="114" t="n"/>
      <c r="C297" s="102" t="n"/>
      <c r="D297" s="114" t="n"/>
      <c r="E297" s="103" t="n"/>
      <c r="F297" s="102" t="n"/>
      <c r="G297" s="102" t="n"/>
      <c r="H297" s="115" t="n"/>
      <c r="I297" s="102" t="n"/>
      <c r="J297" s="102" t="n"/>
      <c r="K297" s="103" t="n"/>
      <c r="L297" s="116">
        <f>IF($H297="","",TRIM(IF(COUNTIF(DMTK!$A$7:$A$250,$F297)=0,"TK Nợ sai! ","")&amp;IF(COUNTIF(DMTK!$A$7:$A$250,$G297)=0,"TK Có sai! ","")&amp;IF(N($H297)&lt;=0,"Tiền phải &gt; 0! ","")&amp;IF($B297="","Thiếu ngày! ","")&amp;IF(AND(OR(LEFT($F297,3)="131",LEFT($G297,3)="131",LEFT($F297,3)="331",LEFT($G297,3)="331"),$I297=""),"Thiếu Mã ĐT! ","")&amp;IF(AND($I297&lt;&gt;"",COUNTIF(DM_DT!$A$7:$A$306,$I297)=0),"Mã ĐT chưa khai báo! ","")))</f>
        <v/>
      </c>
      <c r="M297" s="117">
        <f>IF($H297="","",IF(AND(OR(LEFT($F297,3)="111",LEFT($F297,3)="112",LEFT($F297,3)="113"),OR(LEFT($G297,3)="111",LEFT($G297,3)="112",LEFT($G297,3)="113")),"NB",IF(OR(LEFT($F297,3)="111",LEFT($F297,3)="112",LEFT($F297,3)="113"),"THU",IF(OR(LEFT($G297,3)="111",LEFT($G297,3)="112",LEFT($G297,3)="113"),"CHI",""))))</f>
        <v/>
      </c>
      <c r="N297" s="117">
        <f>IF($M297="THU",$G297,IF($M297="CHI",$F297,""))</f>
        <v/>
      </c>
      <c r="O297" s="117">
        <f>IF(OR($M297="",$M297="NB"),"",IF($J297&lt;&gt;"",TEXT($J297,"00"),IFERROR(VLOOKUP(LEFT($N297,4),LCTT_MAP!$A$7:$C$66,IF($M297="THU",2,3),FALSE()),IFERROR(VLOOKUP(LEFT($N297,3),LCTT_MAP!$A$7:$C$66,IF($M297="THU",2,3),FALSE()),IFERROR(VLOOKUP(LEFT($N297,2),LCTT_MAP!$A$7:$C$66,IF($M297="THU",2,3),FALSE()),IFERROR(VLOOKUP(LEFT($N297,1),LCTT_MAP!$A$7:$C$66,IF($M297="THU",2,3),FALSE()),IF($M297="THU","06","07")))))))</f>
        <v/>
      </c>
      <c r="P297" s="117">
        <f>P296+IF(AND($H297&lt;&gt;"",OR(LEFT($F297,LEN(SC_TK))=SC_TK,LEFT($G297,LEN(SC_TK))=SC_TK)),1,0)</f>
        <v/>
      </c>
    </row>
    <row r="298" ht="15" customHeight="1" s="78">
      <c r="A298" s="95">
        <f>IF($H298="","",ROW()-6)</f>
        <v/>
      </c>
      <c r="B298" s="114" t="n"/>
      <c r="C298" s="102" t="n"/>
      <c r="D298" s="114" t="n"/>
      <c r="E298" s="103" t="n"/>
      <c r="F298" s="102" t="n"/>
      <c r="G298" s="102" t="n"/>
      <c r="H298" s="115" t="n"/>
      <c r="I298" s="102" t="n"/>
      <c r="J298" s="102" t="n"/>
      <c r="K298" s="103" t="n"/>
      <c r="L298" s="116">
        <f>IF($H298="","",TRIM(IF(COUNTIF(DMTK!$A$7:$A$250,$F298)=0,"TK Nợ sai! ","")&amp;IF(COUNTIF(DMTK!$A$7:$A$250,$G298)=0,"TK Có sai! ","")&amp;IF(N($H298)&lt;=0,"Tiền phải &gt; 0! ","")&amp;IF($B298="","Thiếu ngày! ","")&amp;IF(AND(OR(LEFT($F298,3)="131",LEFT($G298,3)="131",LEFT($F298,3)="331",LEFT($G298,3)="331"),$I298=""),"Thiếu Mã ĐT! ","")&amp;IF(AND($I298&lt;&gt;"",COUNTIF(DM_DT!$A$7:$A$306,$I298)=0),"Mã ĐT chưa khai báo! ","")))</f>
        <v/>
      </c>
      <c r="M298" s="117">
        <f>IF($H298="","",IF(AND(OR(LEFT($F298,3)="111",LEFT($F298,3)="112",LEFT($F298,3)="113"),OR(LEFT($G298,3)="111",LEFT($G298,3)="112",LEFT($G298,3)="113")),"NB",IF(OR(LEFT($F298,3)="111",LEFT($F298,3)="112",LEFT($F298,3)="113"),"THU",IF(OR(LEFT($G298,3)="111",LEFT($G298,3)="112",LEFT($G298,3)="113"),"CHI",""))))</f>
        <v/>
      </c>
      <c r="N298" s="117">
        <f>IF($M298="THU",$G298,IF($M298="CHI",$F298,""))</f>
        <v/>
      </c>
      <c r="O298" s="117">
        <f>IF(OR($M298="",$M298="NB"),"",IF($J298&lt;&gt;"",TEXT($J298,"00"),IFERROR(VLOOKUP(LEFT($N298,4),LCTT_MAP!$A$7:$C$66,IF($M298="THU",2,3),FALSE()),IFERROR(VLOOKUP(LEFT($N298,3),LCTT_MAP!$A$7:$C$66,IF($M298="THU",2,3),FALSE()),IFERROR(VLOOKUP(LEFT($N298,2),LCTT_MAP!$A$7:$C$66,IF($M298="THU",2,3),FALSE()),IFERROR(VLOOKUP(LEFT($N298,1),LCTT_MAP!$A$7:$C$66,IF($M298="THU",2,3),FALSE()),IF($M298="THU","06","07")))))))</f>
        <v/>
      </c>
      <c r="P298" s="117">
        <f>P297+IF(AND($H298&lt;&gt;"",OR(LEFT($F298,LEN(SC_TK))=SC_TK,LEFT($G298,LEN(SC_TK))=SC_TK)),1,0)</f>
        <v/>
      </c>
    </row>
    <row r="299" ht="15" customHeight="1" s="78">
      <c r="A299" s="95">
        <f>IF($H299="","",ROW()-6)</f>
        <v/>
      </c>
      <c r="B299" s="114" t="n"/>
      <c r="C299" s="102" t="n"/>
      <c r="D299" s="114" t="n"/>
      <c r="E299" s="103" t="n"/>
      <c r="F299" s="102" t="n"/>
      <c r="G299" s="102" t="n"/>
      <c r="H299" s="115" t="n"/>
      <c r="I299" s="102" t="n"/>
      <c r="J299" s="102" t="n"/>
      <c r="K299" s="103" t="n"/>
      <c r="L299" s="116">
        <f>IF($H299="","",TRIM(IF(COUNTIF(DMTK!$A$7:$A$250,$F299)=0,"TK Nợ sai! ","")&amp;IF(COUNTIF(DMTK!$A$7:$A$250,$G299)=0,"TK Có sai! ","")&amp;IF(N($H299)&lt;=0,"Tiền phải &gt; 0! ","")&amp;IF($B299="","Thiếu ngày! ","")&amp;IF(AND(OR(LEFT($F299,3)="131",LEFT($G299,3)="131",LEFT($F299,3)="331",LEFT($G299,3)="331"),$I299=""),"Thiếu Mã ĐT! ","")&amp;IF(AND($I299&lt;&gt;"",COUNTIF(DM_DT!$A$7:$A$306,$I299)=0),"Mã ĐT chưa khai báo! ","")))</f>
        <v/>
      </c>
      <c r="M299" s="117">
        <f>IF($H299="","",IF(AND(OR(LEFT($F299,3)="111",LEFT($F299,3)="112",LEFT($F299,3)="113"),OR(LEFT($G299,3)="111",LEFT($G299,3)="112",LEFT($G299,3)="113")),"NB",IF(OR(LEFT($F299,3)="111",LEFT($F299,3)="112",LEFT($F299,3)="113"),"THU",IF(OR(LEFT($G299,3)="111",LEFT($G299,3)="112",LEFT($G299,3)="113"),"CHI",""))))</f>
        <v/>
      </c>
      <c r="N299" s="117">
        <f>IF($M299="THU",$G299,IF($M299="CHI",$F299,""))</f>
        <v/>
      </c>
      <c r="O299" s="117">
        <f>IF(OR($M299="",$M299="NB"),"",IF($J299&lt;&gt;"",TEXT($J299,"00"),IFERROR(VLOOKUP(LEFT($N299,4),LCTT_MAP!$A$7:$C$66,IF($M299="THU",2,3),FALSE()),IFERROR(VLOOKUP(LEFT($N299,3),LCTT_MAP!$A$7:$C$66,IF($M299="THU",2,3),FALSE()),IFERROR(VLOOKUP(LEFT($N299,2),LCTT_MAP!$A$7:$C$66,IF($M299="THU",2,3),FALSE()),IFERROR(VLOOKUP(LEFT($N299,1),LCTT_MAP!$A$7:$C$66,IF($M299="THU",2,3),FALSE()),IF($M299="THU","06","07")))))))</f>
        <v/>
      </c>
      <c r="P299" s="117">
        <f>P298+IF(AND($H299&lt;&gt;"",OR(LEFT($F299,LEN(SC_TK))=SC_TK,LEFT($G299,LEN(SC_TK))=SC_TK)),1,0)</f>
        <v/>
      </c>
    </row>
    <row r="300" ht="15" customHeight="1" s="78">
      <c r="A300" s="95">
        <f>IF($H300="","",ROW()-6)</f>
        <v/>
      </c>
      <c r="B300" s="114" t="n"/>
      <c r="C300" s="102" t="n"/>
      <c r="D300" s="114" t="n"/>
      <c r="E300" s="103" t="n"/>
      <c r="F300" s="102" t="n"/>
      <c r="G300" s="102" t="n"/>
      <c r="H300" s="115" t="n"/>
      <c r="I300" s="102" t="n"/>
      <c r="J300" s="102" t="n"/>
      <c r="K300" s="103" t="n"/>
      <c r="L300" s="116">
        <f>IF($H300="","",TRIM(IF(COUNTIF(DMTK!$A$7:$A$250,$F300)=0,"TK Nợ sai! ","")&amp;IF(COUNTIF(DMTK!$A$7:$A$250,$G300)=0,"TK Có sai! ","")&amp;IF(N($H300)&lt;=0,"Tiền phải &gt; 0! ","")&amp;IF($B300="","Thiếu ngày! ","")&amp;IF(AND(OR(LEFT($F300,3)="131",LEFT($G300,3)="131",LEFT($F300,3)="331",LEFT($G300,3)="331"),$I300=""),"Thiếu Mã ĐT! ","")&amp;IF(AND($I300&lt;&gt;"",COUNTIF(DM_DT!$A$7:$A$306,$I300)=0),"Mã ĐT chưa khai báo! ","")))</f>
        <v/>
      </c>
      <c r="M300" s="117">
        <f>IF($H300="","",IF(AND(OR(LEFT($F300,3)="111",LEFT($F300,3)="112",LEFT($F300,3)="113"),OR(LEFT($G300,3)="111",LEFT($G300,3)="112",LEFT($G300,3)="113")),"NB",IF(OR(LEFT($F300,3)="111",LEFT($F300,3)="112",LEFT($F300,3)="113"),"THU",IF(OR(LEFT($G300,3)="111",LEFT($G300,3)="112",LEFT($G300,3)="113"),"CHI",""))))</f>
        <v/>
      </c>
      <c r="N300" s="117">
        <f>IF($M300="THU",$G300,IF($M300="CHI",$F300,""))</f>
        <v/>
      </c>
      <c r="O300" s="117">
        <f>IF(OR($M300="",$M300="NB"),"",IF($J300&lt;&gt;"",TEXT($J300,"00"),IFERROR(VLOOKUP(LEFT($N300,4),LCTT_MAP!$A$7:$C$66,IF($M300="THU",2,3),FALSE()),IFERROR(VLOOKUP(LEFT($N300,3),LCTT_MAP!$A$7:$C$66,IF($M300="THU",2,3),FALSE()),IFERROR(VLOOKUP(LEFT($N300,2),LCTT_MAP!$A$7:$C$66,IF($M300="THU",2,3),FALSE()),IFERROR(VLOOKUP(LEFT($N300,1),LCTT_MAP!$A$7:$C$66,IF($M300="THU",2,3),FALSE()),IF($M300="THU","06","07")))))))</f>
        <v/>
      </c>
      <c r="P300" s="117">
        <f>P299+IF(AND($H300&lt;&gt;"",OR(LEFT($F300,LEN(SC_TK))=SC_TK,LEFT($G300,LEN(SC_TK))=SC_TK)),1,0)</f>
        <v/>
      </c>
    </row>
    <row r="301" ht="15" customHeight="1" s="78">
      <c r="A301" s="95">
        <f>IF($H301="","",ROW()-6)</f>
        <v/>
      </c>
      <c r="B301" s="114" t="n"/>
      <c r="C301" s="102" t="n"/>
      <c r="D301" s="114" t="n"/>
      <c r="E301" s="103" t="n"/>
      <c r="F301" s="102" t="n"/>
      <c r="G301" s="102" t="n"/>
      <c r="H301" s="115" t="n"/>
      <c r="I301" s="102" t="n"/>
      <c r="J301" s="102" t="n"/>
      <c r="K301" s="103" t="n"/>
      <c r="L301" s="116">
        <f>IF($H301="","",TRIM(IF(COUNTIF(DMTK!$A$7:$A$250,$F301)=0,"TK Nợ sai! ","")&amp;IF(COUNTIF(DMTK!$A$7:$A$250,$G301)=0,"TK Có sai! ","")&amp;IF(N($H301)&lt;=0,"Tiền phải &gt; 0! ","")&amp;IF($B301="","Thiếu ngày! ","")&amp;IF(AND(OR(LEFT($F301,3)="131",LEFT($G301,3)="131",LEFT($F301,3)="331",LEFT($G301,3)="331"),$I301=""),"Thiếu Mã ĐT! ","")&amp;IF(AND($I301&lt;&gt;"",COUNTIF(DM_DT!$A$7:$A$306,$I301)=0),"Mã ĐT chưa khai báo! ","")))</f>
        <v/>
      </c>
      <c r="M301" s="117">
        <f>IF($H301="","",IF(AND(OR(LEFT($F301,3)="111",LEFT($F301,3)="112",LEFT($F301,3)="113"),OR(LEFT($G301,3)="111",LEFT($G301,3)="112",LEFT($G301,3)="113")),"NB",IF(OR(LEFT($F301,3)="111",LEFT($F301,3)="112",LEFT($F301,3)="113"),"THU",IF(OR(LEFT($G301,3)="111",LEFT($G301,3)="112",LEFT($G301,3)="113"),"CHI",""))))</f>
        <v/>
      </c>
      <c r="N301" s="117">
        <f>IF($M301="THU",$G301,IF($M301="CHI",$F301,""))</f>
        <v/>
      </c>
      <c r="O301" s="117">
        <f>IF(OR($M301="",$M301="NB"),"",IF($J301&lt;&gt;"",TEXT($J301,"00"),IFERROR(VLOOKUP(LEFT($N301,4),LCTT_MAP!$A$7:$C$66,IF($M301="THU",2,3),FALSE()),IFERROR(VLOOKUP(LEFT($N301,3),LCTT_MAP!$A$7:$C$66,IF($M301="THU",2,3),FALSE()),IFERROR(VLOOKUP(LEFT($N301,2),LCTT_MAP!$A$7:$C$66,IF($M301="THU",2,3),FALSE()),IFERROR(VLOOKUP(LEFT($N301,1),LCTT_MAP!$A$7:$C$66,IF($M301="THU",2,3),FALSE()),IF($M301="THU","06","07")))))))</f>
        <v/>
      </c>
      <c r="P301" s="117">
        <f>P300+IF(AND($H301&lt;&gt;"",OR(LEFT($F301,LEN(SC_TK))=SC_TK,LEFT($G301,LEN(SC_TK))=SC_TK)),1,0)</f>
        <v/>
      </c>
    </row>
    <row r="302" ht="15" customHeight="1" s="78">
      <c r="A302" s="95">
        <f>IF($H302="","",ROW()-6)</f>
        <v/>
      </c>
      <c r="B302" s="114" t="n"/>
      <c r="C302" s="102" t="n"/>
      <c r="D302" s="114" t="n"/>
      <c r="E302" s="103" t="n"/>
      <c r="F302" s="102" t="n"/>
      <c r="G302" s="102" t="n"/>
      <c r="H302" s="115" t="n"/>
      <c r="I302" s="102" t="n"/>
      <c r="J302" s="102" t="n"/>
      <c r="K302" s="103" t="n"/>
      <c r="L302" s="116">
        <f>IF($H302="","",TRIM(IF(COUNTIF(DMTK!$A$7:$A$250,$F302)=0,"TK Nợ sai! ","")&amp;IF(COUNTIF(DMTK!$A$7:$A$250,$G302)=0,"TK Có sai! ","")&amp;IF(N($H302)&lt;=0,"Tiền phải &gt; 0! ","")&amp;IF($B302="","Thiếu ngày! ","")&amp;IF(AND(OR(LEFT($F302,3)="131",LEFT($G302,3)="131",LEFT($F302,3)="331",LEFT($G302,3)="331"),$I302=""),"Thiếu Mã ĐT! ","")&amp;IF(AND($I302&lt;&gt;"",COUNTIF(DM_DT!$A$7:$A$306,$I302)=0),"Mã ĐT chưa khai báo! ","")))</f>
        <v/>
      </c>
      <c r="M302" s="117">
        <f>IF($H302="","",IF(AND(OR(LEFT($F302,3)="111",LEFT($F302,3)="112",LEFT($F302,3)="113"),OR(LEFT($G302,3)="111",LEFT($G302,3)="112",LEFT($G302,3)="113")),"NB",IF(OR(LEFT($F302,3)="111",LEFT($F302,3)="112",LEFT($F302,3)="113"),"THU",IF(OR(LEFT($G302,3)="111",LEFT($G302,3)="112",LEFT($G302,3)="113"),"CHI",""))))</f>
        <v/>
      </c>
      <c r="N302" s="117">
        <f>IF($M302="THU",$G302,IF($M302="CHI",$F302,""))</f>
        <v/>
      </c>
      <c r="O302" s="117">
        <f>IF(OR($M302="",$M302="NB"),"",IF($J302&lt;&gt;"",TEXT($J302,"00"),IFERROR(VLOOKUP(LEFT($N302,4),LCTT_MAP!$A$7:$C$66,IF($M302="THU",2,3),FALSE()),IFERROR(VLOOKUP(LEFT($N302,3),LCTT_MAP!$A$7:$C$66,IF($M302="THU",2,3),FALSE()),IFERROR(VLOOKUP(LEFT($N302,2),LCTT_MAP!$A$7:$C$66,IF($M302="THU",2,3),FALSE()),IFERROR(VLOOKUP(LEFT($N302,1),LCTT_MAP!$A$7:$C$66,IF($M302="THU",2,3),FALSE()),IF($M302="THU","06","07")))))))</f>
        <v/>
      </c>
      <c r="P302" s="117">
        <f>P301+IF(AND($H302&lt;&gt;"",OR(LEFT($F302,LEN(SC_TK))=SC_TK,LEFT($G302,LEN(SC_TK))=SC_TK)),1,0)</f>
        <v/>
      </c>
    </row>
    <row r="303" ht="15" customHeight="1" s="78">
      <c r="A303" s="95">
        <f>IF($H303="","",ROW()-6)</f>
        <v/>
      </c>
      <c r="B303" s="114" t="n"/>
      <c r="C303" s="102" t="n"/>
      <c r="D303" s="114" t="n"/>
      <c r="E303" s="103" t="n"/>
      <c r="F303" s="102" t="n"/>
      <c r="G303" s="102" t="n"/>
      <c r="H303" s="115" t="n"/>
      <c r="I303" s="102" t="n"/>
      <c r="J303" s="102" t="n"/>
      <c r="K303" s="103" t="n"/>
      <c r="L303" s="116">
        <f>IF($H303="","",TRIM(IF(COUNTIF(DMTK!$A$7:$A$250,$F303)=0,"TK Nợ sai! ","")&amp;IF(COUNTIF(DMTK!$A$7:$A$250,$G303)=0,"TK Có sai! ","")&amp;IF(N($H303)&lt;=0,"Tiền phải &gt; 0! ","")&amp;IF($B303="","Thiếu ngày! ","")&amp;IF(AND(OR(LEFT($F303,3)="131",LEFT($G303,3)="131",LEFT($F303,3)="331",LEFT($G303,3)="331"),$I303=""),"Thiếu Mã ĐT! ","")&amp;IF(AND($I303&lt;&gt;"",COUNTIF(DM_DT!$A$7:$A$306,$I303)=0),"Mã ĐT chưa khai báo! ","")))</f>
        <v/>
      </c>
      <c r="M303" s="117">
        <f>IF($H303="","",IF(AND(OR(LEFT($F303,3)="111",LEFT($F303,3)="112",LEFT($F303,3)="113"),OR(LEFT($G303,3)="111",LEFT($G303,3)="112",LEFT($G303,3)="113")),"NB",IF(OR(LEFT($F303,3)="111",LEFT($F303,3)="112",LEFT($F303,3)="113"),"THU",IF(OR(LEFT($G303,3)="111",LEFT($G303,3)="112",LEFT($G303,3)="113"),"CHI",""))))</f>
        <v/>
      </c>
      <c r="N303" s="117">
        <f>IF($M303="THU",$G303,IF($M303="CHI",$F303,""))</f>
        <v/>
      </c>
      <c r="O303" s="117">
        <f>IF(OR($M303="",$M303="NB"),"",IF($J303&lt;&gt;"",TEXT($J303,"00"),IFERROR(VLOOKUP(LEFT($N303,4),LCTT_MAP!$A$7:$C$66,IF($M303="THU",2,3),FALSE()),IFERROR(VLOOKUP(LEFT($N303,3),LCTT_MAP!$A$7:$C$66,IF($M303="THU",2,3),FALSE()),IFERROR(VLOOKUP(LEFT($N303,2),LCTT_MAP!$A$7:$C$66,IF($M303="THU",2,3),FALSE()),IFERROR(VLOOKUP(LEFT($N303,1),LCTT_MAP!$A$7:$C$66,IF($M303="THU",2,3),FALSE()),IF($M303="THU","06","07")))))))</f>
        <v/>
      </c>
      <c r="P303" s="117">
        <f>P302+IF(AND($H303&lt;&gt;"",OR(LEFT($F303,LEN(SC_TK))=SC_TK,LEFT($G303,LEN(SC_TK))=SC_TK)),1,0)</f>
        <v/>
      </c>
    </row>
    <row r="304" ht="15" customHeight="1" s="78">
      <c r="A304" s="95">
        <f>IF($H304="","",ROW()-6)</f>
        <v/>
      </c>
      <c r="B304" s="114" t="n"/>
      <c r="C304" s="102" t="n"/>
      <c r="D304" s="114" t="n"/>
      <c r="E304" s="103" t="n"/>
      <c r="F304" s="102" t="n"/>
      <c r="G304" s="102" t="n"/>
      <c r="H304" s="115" t="n"/>
      <c r="I304" s="102" t="n"/>
      <c r="J304" s="102" t="n"/>
      <c r="K304" s="103" t="n"/>
      <c r="L304" s="116">
        <f>IF($H304="","",TRIM(IF(COUNTIF(DMTK!$A$7:$A$250,$F304)=0,"TK Nợ sai! ","")&amp;IF(COUNTIF(DMTK!$A$7:$A$250,$G304)=0,"TK Có sai! ","")&amp;IF(N($H304)&lt;=0,"Tiền phải &gt; 0! ","")&amp;IF($B304="","Thiếu ngày! ","")&amp;IF(AND(OR(LEFT($F304,3)="131",LEFT($G304,3)="131",LEFT($F304,3)="331",LEFT($G304,3)="331"),$I304=""),"Thiếu Mã ĐT! ","")&amp;IF(AND($I304&lt;&gt;"",COUNTIF(DM_DT!$A$7:$A$306,$I304)=0),"Mã ĐT chưa khai báo! ","")))</f>
        <v/>
      </c>
      <c r="M304" s="117">
        <f>IF($H304="","",IF(AND(OR(LEFT($F304,3)="111",LEFT($F304,3)="112",LEFT($F304,3)="113"),OR(LEFT($G304,3)="111",LEFT($G304,3)="112",LEFT($G304,3)="113")),"NB",IF(OR(LEFT($F304,3)="111",LEFT($F304,3)="112",LEFT($F304,3)="113"),"THU",IF(OR(LEFT($G304,3)="111",LEFT($G304,3)="112",LEFT($G304,3)="113"),"CHI",""))))</f>
        <v/>
      </c>
      <c r="N304" s="117">
        <f>IF($M304="THU",$G304,IF($M304="CHI",$F304,""))</f>
        <v/>
      </c>
      <c r="O304" s="117">
        <f>IF(OR($M304="",$M304="NB"),"",IF($J304&lt;&gt;"",TEXT($J304,"00"),IFERROR(VLOOKUP(LEFT($N304,4),LCTT_MAP!$A$7:$C$66,IF($M304="THU",2,3),FALSE()),IFERROR(VLOOKUP(LEFT($N304,3),LCTT_MAP!$A$7:$C$66,IF($M304="THU",2,3),FALSE()),IFERROR(VLOOKUP(LEFT($N304,2),LCTT_MAP!$A$7:$C$66,IF($M304="THU",2,3),FALSE()),IFERROR(VLOOKUP(LEFT($N304,1),LCTT_MAP!$A$7:$C$66,IF($M304="THU",2,3),FALSE()),IF($M304="THU","06","07")))))))</f>
        <v/>
      </c>
      <c r="P304" s="117">
        <f>P303+IF(AND($H304&lt;&gt;"",OR(LEFT($F304,LEN(SC_TK))=SC_TK,LEFT($G304,LEN(SC_TK))=SC_TK)),1,0)</f>
        <v/>
      </c>
    </row>
    <row r="305" ht="15" customHeight="1" s="78">
      <c r="A305" s="95">
        <f>IF($H305="","",ROW()-6)</f>
        <v/>
      </c>
      <c r="B305" s="114" t="n"/>
      <c r="C305" s="102" t="n"/>
      <c r="D305" s="114" t="n"/>
      <c r="E305" s="103" t="n"/>
      <c r="F305" s="102" t="n"/>
      <c r="G305" s="102" t="n"/>
      <c r="H305" s="115" t="n"/>
      <c r="I305" s="102" t="n"/>
      <c r="J305" s="102" t="n"/>
      <c r="K305" s="103" t="n"/>
      <c r="L305" s="116">
        <f>IF($H305="","",TRIM(IF(COUNTIF(DMTK!$A$7:$A$250,$F305)=0,"TK Nợ sai! ","")&amp;IF(COUNTIF(DMTK!$A$7:$A$250,$G305)=0,"TK Có sai! ","")&amp;IF(N($H305)&lt;=0,"Tiền phải &gt; 0! ","")&amp;IF($B305="","Thiếu ngày! ","")&amp;IF(AND(OR(LEFT($F305,3)="131",LEFT($G305,3)="131",LEFT($F305,3)="331",LEFT($G305,3)="331"),$I305=""),"Thiếu Mã ĐT! ","")&amp;IF(AND($I305&lt;&gt;"",COUNTIF(DM_DT!$A$7:$A$306,$I305)=0),"Mã ĐT chưa khai báo! ","")))</f>
        <v/>
      </c>
      <c r="M305" s="117">
        <f>IF($H305="","",IF(AND(OR(LEFT($F305,3)="111",LEFT($F305,3)="112",LEFT($F305,3)="113"),OR(LEFT($G305,3)="111",LEFT($G305,3)="112",LEFT($G305,3)="113")),"NB",IF(OR(LEFT($F305,3)="111",LEFT($F305,3)="112",LEFT($F305,3)="113"),"THU",IF(OR(LEFT($G305,3)="111",LEFT($G305,3)="112",LEFT($G305,3)="113"),"CHI",""))))</f>
        <v/>
      </c>
      <c r="N305" s="117">
        <f>IF($M305="THU",$G305,IF($M305="CHI",$F305,""))</f>
        <v/>
      </c>
      <c r="O305" s="117">
        <f>IF(OR($M305="",$M305="NB"),"",IF($J305&lt;&gt;"",TEXT($J305,"00"),IFERROR(VLOOKUP(LEFT($N305,4),LCTT_MAP!$A$7:$C$66,IF($M305="THU",2,3),FALSE()),IFERROR(VLOOKUP(LEFT($N305,3),LCTT_MAP!$A$7:$C$66,IF($M305="THU",2,3),FALSE()),IFERROR(VLOOKUP(LEFT($N305,2),LCTT_MAP!$A$7:$C$66,IF($M305="THU",2,3),FALSE()),IFERROR(VLOOKUP(LEFT($N305,1),LCTT_MAP!$A$7:$C$66,IF($M305="THU",2,3),FALSE()),IF($M305="THU","06","07")))))))</f>
        <v/>
      </c>
      <c r="P305" s="117">
        <f>P304+IF(AND($H305&lt;&gt;"",OR(LEFT($F305,LEN(SC_TK))=SC_TK,LEFT($G305,LEN(SC_TK))=SC_TK)),1,0)</f>
        <v/>
      </c>
    </row>
    <row r="306" ht="15" customHeight="1" s="78">
      <c r="A306" s="95">
        <f>IF($H306="","",ROW()-6)</f>
        <v/>
      </c>
      <c r="B306" s="114" t="n"/>
      <c r="C306" s="102" t="n"/>
      <c r="D306" s="114" t="n"/>
      <c r="E306" s="103" t="n"/>
      <c r="F306" s="102" t="n"/>
      <c r="G306" s="102" t="n"/>
      <c r="H306" s="115" t="n"/>
      <c r="I306" s="102" t="n"/>
      <c r="J306" s="102" t="n"/>
      <c r="K306" s="103" t="n"/>
      <c r="L306" s="116">
        <f>IF($H306="","",TRIM(IF(COUNTIF(DMTK!$A$7:$A$250,$F306)=0,"TK Nợ sai! ","")&amp;IF(COUNTIF(DMTK!$A$7:$A$250,$G306)=0,"TK Có sai! ","")&amp;IF(N($H306)&lt;=0,"Tiền phải &gt; 0! ","")&amp;IF($B306="","Thiếu ngày! ","")&amp;IF(AND(OR(LEFT($F306,3)="131",LEFT($G306,3)="131",LEFT($F306,3)="331",LEFT($G306,3)="331"),$I306=""),"Thiếu Mã ĐT! ","")&amp;IF(AND($I306&lt;&gt;"",COUNTIF(DM_DT!$A$7:$A$306,$I306)=0),"Mã ĐT chưa khai báo! ","")))</f>
        <v/>
      </c>
      <c r="M306" s="117">
        <f>IF($H306="","",IF(AND(OR(LEFT($F306,3)="111",LEFT($F306,3)="112",LEFT($F306,3)="113"),OR(LEFT($G306,3)="111",LEFT($G306,3)="112",LEFT($G306,3)="113")),"NB",IF(OR(LEFT($F306,3)="111",LEFT($F306,3)="112",LEFT($F306,3)="113"),"THU",IF(OR(LEFT($G306,3)="111",LEFT($G306,3)="112",LEFT($G306,3)="113"),"CHI",""))))</f>
        <v/>
      </c>
      <c r="N306" s="117">
        <f>IF($M306="THU",$G306,IF($M306="CHI",$F306,""))</f>
        <v/>
      </c>
      <c r="O306" s="117">
        <f>IF(OR($M306="",$M306="NB"),"",IF($J306&lt;&gt;"",TEXT($J306,"00"),IFERROR(VLOOKUP(LEFT($N306,4),LCTT_MAP!$A$7:$C$66,IF($M306="THU",2,3),FALSE()),IFERROR(VLOOKUP(LEFT($N306,3),LCTT_MAP!$A$7:$C$66,IF($M306="THU",2,3),FALSE()),IFERROR(VLOOKUP(LEFT($N306,2),LCTT_MAP!$A$7:$C$66,IF($M306="THU",2,3),FALSE()),IFERROR(VLOOKUP(LEFT($N306,1),LCTT_MAP!$A$7:$C$66,IF($M306="THU",2,3),FALSE()),IF($M306="THU","06","07")))))))</f>
        <v/>
      </c>
      <c r="P306" s="117">
        <f>P305+IF(AND($H306&lt;&gt;"",OR(LEFT($F306,LEN(SC_TK))=SC_TK,LEFT($G306,LEN(SC_TK))=SC_TK)),1,0)</f>
        <v/>
      </c>
    </row>
    <row r="307" ht="15" customHeight="1" s="78">
      <c r="A307" s="95">
        <f>IF($H307="","",ROW()-6)</f>
        <v/>
      </c>
      <c r="B307" s="114" t="n"/>
      <c r="C307" s="102" t="n"/>
      <c r="D307" s="114" t="n"/>
      <c r="E307" s="103" t="n"/>
      <c r="F307" s="102" t="n"/>
      <c r="G307" s="102" t="n"/>
      <c r="H307" s="115" t="n"/>
      <c r="I307" s="102" t="n"/>
      <c r="J307" s="102" t="n"/>
      <c r="K307" s="103" t="n"/>
      <c r="L307" s="116">
        <f>IF($H307="","",TRIM(IF(COUNTIF(DMTK!$A$7:$A$250,$F307)=0,"TK Nợ sai! ","")&amp;IF(COUNTIF(DMTK!$A$7:$A$250,$G307)=0,"TK Có sai! ","")&amp;IF(N($H307)&lt;=0,"Tiền phải &gt; 0! ","")&amp;IF($B307="","Thiếu ngày! ","")&amp;IF(AND(OR(LEFT($F307,3)="131",LEFT($G307,3)="131",LEFT($F307,3)="331",LEFT($G307,3)="331"),$I307=""),"Thiếu Mã ĐT! ","")&amp;IF(AND($I307&lt;&gt;"",COUNTIF(DM_DT!$A$7:$A$306,$I307)=0),"Mã ĐT chưa khai báo! ","")))</f>
        <v/>
      </c>
      <c r="M307" s="117">
        <f>IF($H307="","",IF(AND(OR(LEFT($F307,3)="111",LEFT($F307,3)="112",LEFT($F307,3)="113"),OR(LEFT($G307,3)="111",LEFT($G307,3)="112",LEFT($G307,3)="113")),"NB",IF(OR(LEFT($F307,3)="111",LEFT($F307,3)="112",LEFT($F307,3)="113"),"THU",IF(OR(LEFT($G307,3)="111",LEFT($G307,3)="112",LEFT($G307,3)="113"),"CHI",""))))</f>
        <v/>
      </c>
      <c r="N307" s="117">
        <f>IF($M307="THU",$G307,IF($M307="CHI",$F307,""))</f>
        <v/>
      </c>
      <c r="O307" s="117">
        <f>IF(OR($M307="",$M307="NB"),"",IF($J307&lt;&gt;"",TEXT($J307,"00"),IFERROR(VLOOKUP(LEFT($N307,4),LCTT_MAP!$A$7:$C$66,IF($M307="THU",2,3),FALSE()),IFERROR(VLOOKUP(LEFT($N307,3),LCTT_MAP!$A$7:$C$66,IF($M307="THU",2,3),FALSE()),IFERROR(VLOOKUP(LEFT($N307,2),LCTT_MAP!$A$7:$C$66,IF($M307="THU",2,3),FALSE()),IFERROR(VLOOKUP(LEFT($N307,1),LCTT_MAP!$A$7:$C$66,IF($M307="THU",2,3),FALSE()),IF($M307="THU","06","07")))))))</f>
        <v/>
      </c>
      <c r="P307" s="117">
        <f>P306+IF(AND($H307&lt;&gt;"",OR(LEFT($F307,LEN(SC_TK))=SC_TK,LEFT($G307,LEN(SC_TK))=SC_TK)),1,0)</f>
        <v/>
      </c>
    </row>
    <row r="308" ht="15" customHeight="1" s="78">
      <c r="A308" s="95">
        <f>IF($H308="","",ROW()-6)</f>
        <v/>
      </c>
      <c r="B308" s="114" t="n"/>
      <c r="C308" s="102" t="n"/>
      <c r="D308" s="114" t="n"/>
      <c r="E308" s="103" t="n"/>
      <c r="F308" s="102" t="n"/>
      <c r="G308" s="102" t="n"/>
      <c r="H308" s="115" t="n"/>
      <c r="I308" s="102" t="n"/>
      <c r="J308" s="102" t="n"/>
      <c r="K308" s="103" t="n"/>
      <c r="L308" s="116">
        <f>IF($H308="","",TRIM(IF(COUNTIF(DMTK!$A$7:$A$250,$F308)=0,"TK Nợ sai! ","")&amp;IF(COUNTIF(DMTK!$A$7:$A$250,$G308)=0,"TK Có sai! ","")&amp;IF(N($H308)&lt;=0,"Tiền phải &gt; 0! ","")&amp;IF($B308="","Thiếu ngày! ","")&amp;IF(AND(OR(LEFT($F308,3)="131",LEFT($G308,3)="131",LEFT($F308,3)="331",LEFT($G308,3)="331"),$I308=""),"Thiếu Mã ĐT! ","")&amp;IF(AND($I308&lt;&gt;"",COUNTIF(DM_DT!$A$7:$A$306,$I308)=0),"Mã ĐT chưa khai báo! ","")))</f>
        <v/>
      </c>
      <c r="M308" s="117">
        <f>IF($H308="","",IF(AND(OR(LEFT($F308,3)="111",LEFT($F308,3)="112",LEFT($F308,3)="113"),OR(LEFT($G308,3)="111",LEFT($G308,3)="112",LEFT($G308,3)="113")),"NB",IF(OR(LEFT($F308,3)="111",LEFT($F308,3)="112",LEFT($F308,3)="113"),"THU",IF(OR(LEFT($G308,3)="111",LEFT($G308,3)="112",LEFT($G308,3)="113"),"CHI",""))))</f>
        <v/>
      </c>
      <c r="N308" s="117">
        <f>IF($M308="THU",$G308,IF($M308="CHI",$F308,""))</f>
        <v/>
      </c>
      <c r="O308" s="117">
        <f>IF(OR($M308="",$M308="NB"),"",IF($J308&lt;&gt;"",TEXT($J308,"00"),IFERROR(VLOOKUP(LEFT($N308,4),LCTT_MAP!$A$7:$C$66,IF($M308="THU",2,3),FALSE()),IFERROR(VLOOKUP(LEFT($N308,3),LCTT_MAP!$A$7:$C$66,IF($M308="THU",2,3),FALSE()),IFERROR(VLOOKUP(LEFT($N308,2),LCTT_MAP!$A$7:$C$66,IF($M308="THU",2,3),FALSE()),IFERROR(VLOOKUP(LEFT($N308,1),LCTT_MAP!$A$7:$C$66,IF($M308="THU",2,3),FALSE()),IF($M308="THU","06","07")))))))</f>
        <v/>
      </c>
      <c r="P308" s="117">
        <f>P307+IF(AND($H308&lt;&gt;"",OR(LEFT($F308,LEN(SC_TK))=SC_TK,LEFT($G308,LEN(SC_TK))=SC_TK)),1,0)</f>
        <v/>
      </c>
    </row>
    <row r="309" ht="15" customHeight="1" s="78">
      <c r="A309" s="95">
        <f>IF($H309="","",ROW()-6)</f>
        <v/>
      </c>
      <c r="B309" s="114" t="n"/>
      <c r="C309" s="102" t="n"/>
      <c r="D309" s="114" t="n"/>
      <c r="E309" s="103" t="n"/>
      <c r="F309" s="102" t="n"/>
      <c r="G309" s="102" t="n"/>
      <c r="H309" s="115" t="n"/>
      <c r="I309" s="102" t="n"/>
      <c r="J309" s="102" t="n"/>
      <c r="K309" s="103" t="n"/>
      <c r="L309" s="116">
        <f>IF($H309="","",TRIM(IF(COUNTIF(DMTK!$A$7:$A$250,$F309)=0,"TK Nợ sai! ","")&amp;IF(COUNTIF(DMTK!$A$7:$A$250,$G309)=0,"TK Có sai! ","")&amp;IF(N($H309)&lt;=0,"Tiền phải &gt; 0! ","")&amp;IF($B309="","Thiếu ngày! ","")&amp;IF(AND(OR(LEFT($F309,3)="131",LEFT($G309,3)="131",LEFT($F309,3)="331",LEFT($G309,3)="331"),$I309=""),"Thiếu Mã ĐT! ","")&amp;IF(AND($I309&lt;&gt;"",COUNTIF(DM_DT!$A$7:$A$306,$I309)=0),"Mã ĐT chưa khai báo! ","")))</f>
        <v/>
      </c>
      <c r="M309" s="117">
        <f>IF($H309="","",IF(AND(OR(LEFT($F309,3)="111",LEFT($F309,3)="112",LEFT($F309,3)="113"),OR(LEFT($G309,3)="111",LEFT($G309,3)="112",LEFT($G309,3)="113")),"NB",IF(OR(LEFT($F309,3)="111",LEFT($F309,3)="112",LEFT($F309,3)="113"),"THU",IF(OR(LEFT($G309,3)="111",LEFT($G309,3)="112",LEFT($G309,3)="113"),"CHI",""))))</f>
        <v/>
      </c>
      <c r="N309" s="117">
        <f>IF($M309="THU",$G309,IF($M309="CHI",$F309,""))</f>
        <v/>
      </c>
      <c r="O309" s="117">
        <f>IF(OR($M309="",$M309="NB"),"",IF($J309&lt;&gt;"",TEXT($J309,"00"),IFERROR(VLOOKUP(LEFT($N309,4),LCTT_MAP!$A$7:$C$66,IF($M309="THU",2,3),FALSE()),IFERROR(VLOOKUP(LEFT($N309,3),LCTT_MAP!$A$7:$C$66,IF($M309="THU",2,3),FALSE()),IFERROR(VLOOKUP(LEFT($N309,2),LCTT_MAP!$A$7:$C$66,IF($M309="THU",2,3),FALSE()),IFERROR(VLOOKUP(LEFT($N309,1),LCTT_MAP!$A$7:$C$66,IF($M309="THU",2,3),FALSE()),IF($M309="THU","06","07")))))))</f>
        <v/>
      </c>
      <c r="P309" s="117">
        <f>P308+IF(AND($H309&lt;&gt;"",OR(LEFT($F309,LEN(SC_TK))=SC_TK,LEFT($G309,LEN(SC_TK))=SC_TK)),1,0)</f>
        <v/>
      </c>
    </row>
    <row r="310" ht="15" customHeight="1" s="78">
      <c r="A310" s="95">
        <f>IF($H310="","",ROW()-6)</f>
        <v/>
      </c>
      <c r="B310" s="114" t="n"/>
      <c r="C310" s="102" t="n"/>
      <c r="D310" s="114" t="n"/>
      <c r="E310" s="103" t="n"/>
      <c r="F310" s="102" t="n"/>
      <c r="G310" s="102" t="n"/>
      <c r="H310" s="115" t="n"/>
      <c r="I310" s="102" t="n"/>
      <c r="J310" s="102" t="n"/>
      <c r="K310" s="103" t="n"/>
      <c r="L310" s="116">
        <f>IF($H310="","",TRIM(IF(COUNTIF(DMTK!$A$7:$A$250,$F310)=0,"TK Nợ sai! ","")&amp;IF(COUNTIF(DMTK!$A$7:$A$250,$G310)=0,"TK Có sai! ","")&amp;IF(N($H310)&lt;=0,"Tiền phải &gt; 0! ","")&amp;IF($B310="","Thiếu ngày! ","")&amp;IF(AND(OR(LEFT($F310,3)="131",LEFT($G310,3)="131",LEFT($F310,3)="331",LEFT($G310,3)="331"),$I310=""),"Thiếu Mã ĐT! ","")&amp;IF(AND($I310&lt;&gt;"",COUNTIF(DM_DT!$A$7:$A$306,$I310)=0),"Mã ĐT chưa khai báo! ","")))</f>
        <v/>
      </c>
      <c r="M310" s="117">
        <f>IF($H310="","",IF(AND(OR(LEFT($F310,3)="111",LEFT($F310,3)="112",LEFT($F310,3)="113"),OR(LEFT($G310,3)="111",LEFT($G310,3)="112",LEFT($G310,3)="113")),"NB",IF(OR(LEFT($F310,3)="111",LEFT($F310,3)="112",LEFT($F310,3)="113"),"THU",IF(OR(LEFT($G310,3)="111",LEFT($G310,3)="112",LEFT($G310,3)="113"),"CHI",""))))</f>
        <v/>
      </c>
      <c r="N310" s="117">
        <f>IF($M310="THU",$G310,IF($M310="CHI",$F310,""))</f>
        <v/>
      </c>
      <c r="O310" s="117">
        <f>IF(OR($M310="",$M310="NB"),"",IF($J310&lt;&gt;"",TEXT($J310,"00"),IFERROR(VLOOKUP(LEFT($N310,4),LCTT_MAP!$A$7:$C$66,IF($M310="THU",2,3),FALSE()),IFERROR(VLOOKUP(LEFT($N310,3),LCTT_MAP!$A$7:$C$66,IF($M310="THU",2,3),FALSE()),IFERROR(VLOOKUP(LEFT($N310,2),LCTT_MAP!$A$7:$C$66,IF($M310="THU",2,3),FALSE()),IFERROR(VLOOKUP(LEFT($N310,1),LCTT_MAP!$A$7:$C$66,IF($M310="THU",2,3),FALSE()),IF($M310="THU","06","07")))))))</f>
        <v/>
      </c>
      <c r="P310" s="117">
        <f>P309+IF(AND($H310&lt;&gt;"",OR(LEFT($F310,LEN(SC_TK))=SC_TK,LEFT($G310,LEN(SC_TK))=SC_TK)),1,0)</f>
        <v/>
      </c>
    </row>
    <row r="311" ht="15" customHeight="1" s="78">
      <c r="A311" s="95">
        <f>IF($H311="","",ROW()-6)</f>
        <v/>
      </c>
      <c r="B311" s="114" t="n"/>
      <c r="C311" s="102" t="n"/>
      <c r="D311" s="114" t="n"/>
      <c r="E311" s="103" t="n"/>
      <c r="F311" s="102" t="n"/>
      <c r="G311" s="102" t="n"/>
      <c r="H311" s="115" t="n"/>
      <c r="I311" s="102" t="n"/>
      <c r="J311" s="102" t="n"/>
      <c r="K311" s="103" t="n"/>
      <c r="L311" s="116">
        <f>IF($H311="","",TRIM(IF(COUNTIF(DMTK!$A$7:$A$250,$F311)=0,"TK Nợ sai! ","")&amp;IF(COUNTIF(DMTK!$A$7:$A$250,$G311)=0,"TK Có sai! ","")&amp;IF(N($H311)&lt;=0,"Tiền phải &gt; 0! ","")&amp;IF($B311="","Thiếu ngày! ","")&amp;IF(AND(OR(LEFT($F311,3)="131",LEFT($G311,3)="131",LEFT($F311,3)="331",LEFT($G311,3)="331"),$I311=""),"Thiếu Mã ĐT! ","")&amp;IF(AND($I311&lt;&gt;"",COUNTIF(DM_DT!$A$7:$A$306,$I311)=0),"Mã ĐT chưa khai báo! ","")))</f>
        <v/>
      </c>
      <c r="M311" s="117">
        <f>IF($H311="","",IF(AND(OR(LEFT($F311,3)="111",LEFT($F311,3)="112",LEFT($F311,3)="113"),OR(LEFT($G311,3)="111",LEFT($G311,3)="112",LEFT($G311,3)="113")),"NB",IF(OR(LEFT($F311,3)="111",LEFT($F311,3)="112",LEFT($F311,3)="113"),"THU",IF(OR(LEFT($G311,3)="111",LEFT($G311,3)="112",LEFT($G311,3)="113"),"CHI",""))))</f>
        <v/>
      </c>
      <c r="N311" s="117">
        <f>IF($M311="THU",$G311,IF($M311="CHI",$F311,""))</f>
        <v/>
      </c>
      <c r="O311" s="117">
        <f>IF(OR($M311="",$M311="NB"),"",IF($J311&lt;&gt;"",TEXT($J311,"00"),IFERROR(VLOOKUP(LEFT($N311,4),LCTT_MAP!$A$7:$C$66,IF($M311="THU",2,3),FALSE()),IFERROR(VLOOKUP(LEFT($N311,3),LCTT_MAP!$A$7:$C$66,IF($M311="THU",2,3),FALSE()),IFERROR(VLOOKUP(LEFT($N311,2),LCTT_MAP!$A$7:$C$66,IF($M311="THU",2,3),FALSE()),IFERROR(VLOOKUP(LEFT($N311,1),LCTT_MAP!$A$7:$C$66,IF($M311="THU",2,3),FALSE()),IF($M311="THU","06","07")))))))</f>
        <v/>
      </c>
      <c r="P311" s="117">
        <f>P310+IF(AND($H311&lt;&gt;"",OR(LEFT($F311,LEN(SC_TK))=SC_TK,LEFT($G311,LEN(SC_TK))=SC_TK)),1,0)</f>
        <v/>
      </c>
    </row>
    <row r="312" ht="15" customHeight="1" s="78">
      <c r="A312" s="95">
        <f>IF($H312="","",ROW()-6)</f>
        <v/>
      </c>
      <c r="B312" s="114" t="n"/>
      <c r="C312" s="102" t="n"/>
      <c r="D312" s="114" t="n"/>
      <c r="E312" s="103" t="n"/>
      <c r="F312" s="102" t="n"/>
      <c r="G312" s="102" t="n"/>
      <c r="H312" s="115" t="n"/>
      <c r="I312" s="102" t="n"/>
      <c r="J312" s="102" t="n"/>
      <c r="K312" s="103" t="n"/>
      <c r="L312" s="116">
        <f>IF($H312="","",TRIM(IF(COUNTIF(DMTK!$A$7:$A$250,$F312)=0,"TK Nợ sai! ","")&amp;IF(COUNTIF(DMTK!$A$7:$A$250,$G312)=0,"TK Có sai! ","")&amp;IF(N($H312)&lt;=0,"Tiền phải &gt; 0! ","")&amp;IF($B312="","Thiếu ngày! ","")&amp;IF(AND(OR(LEFT($F312,3)="131",LEFT($G312,3)="131",LEFT($F312,3)="331",LEFT($G312,3)="331"),$I312=""),"Thiếu Mã ĐT! ","")&amp;IF(AND($I312&lt;&gt;"",COUNTIF(DM_DT!$A$7:$A$306,$I312)=0),"Mã ĐT chưa khai báo! ","")))</f>
        <v/>
      </c>
      <c r="M312" s="117">
        <f>IF($H312="","",IF(AND(OR(LEFT($F312,3)="111",LEFT($F312,3)="112",LEFT($F312,3)="113"),OR(LEFT($G312,3)="111",LEFT($G312,3)="112",LEFT($G312,3)="113")),"NB",IF(OR(LEFT($F312,3)="111",LEFT($F312,3)="112",LEFT($F312,3)="113"),"THU",IF(OR(LEFT($G312,3)="111",LEFT($G312,3)="112",LEFT($G312,3)="113"),"CHI",""))))</f>
        <v/>
      </c>
      <c r="N312" s="117">
        <f>IF($M312="THU",$G312,IF($M312="CHI",$F312,""))</f>
        <v/>
      </c>
      <c r="O312" s="117">
        <f>IF(OR($M312="",$M312="NB"),"",IF($J312&lt;&gt;"",TEXT($J312,"00"),IFERROR(VLOOKUP(LEFT($N312,4),LCTT_MAP!$A$7:$C$66,IF($M312="THU",2,3),FALSE()),IFERROR(VLOOKUP(LEFT($N312,3),LCTT_MAP!$A$7:$C$66,IF($M312="THU",2,3),FALSE()),IFERROR(VLOOKUP(LEFT($N312,2),LCTT_MAP!$A$7:$C$66,IF($M312="THU",2,3),FALSE()),IFERROR(VLOOKUP(LEFT($N312,1),LCTT_MAP!$A$7:$C$66,IF($M312="THU",2,3),FALSE()),IF($M312="THU","06","07")))))))</f>
        <v/>
      </c>
      <c r="P312" s="117">
        <f>P311+IF(AND($H312&lt;&gt;"",OR(LEFT($F312,LEN(SC_TK))=SC_TK,LEFT($G312,LEN(SC_TK))=SC_TK)),1,0)</f>
        <v/>
      </c>
    </row>
    <row r="313" ht="15" customHeight="1" s="78">
      <c r="A313" s="95">
        <f>IF($H313="","",ROW()-6)</f>
        <v/>
      </c>
      <c r="B313" s="114" t="n"/>
      <c r="C313" s="102" t="n"/>
      <c r="D313" s="114" t="n"/>
      <c r="E313" s="103" t="n"/>
      <c r="F313" s="102" t="n"/>
      <c r="G313" s="102" t="n"/>
      <c r="H313" s="115" t="n"/>
      <c r="I313" s="102" t="n"/>
      <c r="J313" s="102" t="n"/>
      <c r="K313" s="103" t="n"/>
      <c r="L313" s="116">
        <f>IF($H313="","",TRIM(IF(COUNTIF(DMTK!$A$7:$A$250,$F313)=0,"TK Nợ sai! ","")&amp;IF(COUNTIF(DMTK!$A$7:$A$250,$G313)=0,"TK Có sai! ","")&amp;IF(N($H313)&lt;=0,"Tiền phải &gt; 0! ","")&amp;IF($B313="","Thiếu ngày! ","")&amp;IF(AND(OR(LEFT($F313,3)="131",LEFT($G313,3)="131",LEFT($F313,3)="331",LEFT($G313,3)="331"),$I313=""),"Thiếu Mã ĐT! ","")&amp;IF(AND($I313&lt;&gt;"",COUNTIF(DM_DT!$A$7:$A$306,$I313)=0),"Mã ĐT chưa khai báo! ","")))</f>
        <v/>
      </c>
      <c r="M313" s="117">
        <f>IF($H313="","",IF(AND(OR(LEFT($F313,3)="111",LEFT($F313,3)="112",LEFT($F313,3)="113"),OR(LEFT($G313,3)="111",LEFT($G313,3)="112",LEFT($G313,3)="113")),"NB",IF(OR(LEFT($F313,3)="111",LEFT($F313,3)="112",LEFT($F313,3)="113"),"THU",IF(OR(LEFT($G313,3)="111",LEFT($G313,3)="112",LEFT($G313,3)="113"),"CHI",""))))</f>
        <v/>
      </c>
      <c r="N313" s="117">
        <f>IF($M313="THU",$G313,IF($M313="CHI",$F313,""))</f>
        <v/>
      </c>
      <c r="O313" s="117">
        <f>IF(OR($M313="",$M313="NB"),"",IF($J313&lt;&gt;"",TEXT($J313,"00"),IFERROR(VLOOKUP(LEFT($N313,4),LCTT_MAP!$A$7:$C$66,IF($M313="THU",2,3),FALSE()),IFERROR(VLOOKUP(LEFT($N313,3),LCTT_MAP!$A$7:$C$66,IF($M313="THU",2,3),FALSE()),IFERROR(VLOOKUP(LEFT($N313,2),LCTT_MAP!$A$7:$C$66,IF($M313="THU",2,3),FALSE()),IFERROR(VLOOKUP(LEFT($N313,1),LCTT_MAP!$A$7:$C$66,IF($M313="THU",2,3),FALSE()),IF($M313="THU","06","07")))))))</f>
        <v/>
      </c>
      <c r="P313" s="117">
        <f>P312+IF(AND($H313&lt;&gt;"",OR(LEFT($F313,LEN(SC_TK))=SC_TK,LEFT($G313,LEN(SC_TK))=SC_TK)),1,0)</f>
        <v/>
      </c>
    </row>
    <row r="314" ht="15" customHeight="1" s="78">
      <c r="A314" s="95">
        <f>IF($H314="","",ROW()-6)</f>
        <v/>
      </c>
      <c r="B314" s="114" t="n"/>
      <c r="C314" s="102" t="n"/>
      <c r="D314" s="114" t="n"/>
      <c r="E314" s="103" t="n"/>
      <c r="F314" s="102" t="n"/>
      <c r="G314" s="102" t="n"/>
      <c r="H314" s="115" t="n"/>
      <c r="I314" s="102" t="n"/>
      <c r="J314" s="102" t="n"/>
      <c r="K314" s="103" t="n"/>
      <c r="L314" s="116">
        <f>IF($H314="","",TRIM(IF(COUNTIF(DMTK!$A$7:$A$250,$F314)=0,"TK Nợ sai! ","")&amp;IF(COUNTIF(DMTK!$A$7:$A$250,$G314)=0,"TK Có sai! ","")&amp;IF(N($H314)&lt;=0,"Tiền phải &gt; 0! ","")&amp;IF($B314="","Thiếu ngày! ","")&amp;IF(AND(OR(LEFT($F314,3)="131",LEFT($G314,3)="131",LEFT($F314,3)="331",LEFT($G314,3)="331"),$I314=""),"Thiếu Mã ĐT! ","")&amp;IF(AND($I314&lt;&gt;"",COUNTIF(DM_DT!$A$7:$A$306,$I314)=0),"Mã ĐT chưa khai báo! ","")))</f>
        <v/>
      </c>
      <c r="M314" s="117">
        <f>IF($H314="","",IF(AND(OR(LEFT($F314,3)="111",LEFT($F314,3)="112",LEFT($F314,3)="113"),OR(LEFT($G314,3)="111",LEFT($G314,3)="112",LEFT($G314,3)="113")),"NB",IF(OR(LEFT($F314,3)="111",LEFT($F314,3)="112",LEFT($F314,3)="113"),"THU",IF(OR(LEFT($G314,3)="111",LEFT($G314,3)="112",LEFT($G314,3)="113"),"CHI",""))))</f>
        <v/>
      </c>
      <c r="N314" s="117">
        <f>IF($M314="THU",$G314,IF($M314="CHI",$F314,""))</f>
        <v/>
      </c>
      <c r="O314" s="117">
        <f>IF(OR($M314="",$M314="NB"),"",IF($J314&lt;&gt;"",TEXT($J314,"00"),IFERROR(VLOOKUP(LEFT($N314,4),LCTT_MAP!$A$7:$C$66,IF($M314="THU",2,3),FALSE()),IFERROR(VLOOKUP(LEFT($N314,3),LCTT_MAP!$A$7:$C$66,IF($M314="THU",2,3),FALSE()),IFERROR(VLOOKUP(LEFT($N314,2),LCTT_MAP!$A$7:$C$66,IF($M314="THU",2,3),FALSE()),IFERROR(VLOOKUP(LEFT($N314,1),LCTT_MAP!$A$7:$C$66,IF($M314="THU",2,3),FALSE()),IF($M314="THU","06","07")))))))</f>
        <v/>
      </c>
      <c r="P314" s="117">
        <f>P313+IF(AND($H314&lt;&gt;"",OR(LEFT($F314,LEN(SC_TK))=SC_TK,LEFT($G314,LEN(SC_TK))=SC_TK)),1,0)</f>
        <v/>
      </c>
    </row>
    <row r="315" ht="15" customHeight="1" s="78">
      <c r="A315" s="95">
        <f>IF($H315="","",ROW()-6)</f>
        <v/>
      </c>
      <c r="B315" s="114" t="n"/>
      <c r="C315" s="102" t="n"/>
      <c r="D315" s="114" t="n"/>
      <c r="E315" s="103" t="n"/>
      <c r="F315" s="102" t="n"/>
      <c r="G315" s="102" t="n"/>
      <c r="H315" s="115" t="n"/>
      <c r="I315" s="102" t="n"/>
      <c r="J315" s="102" t="n"/>
      <c r="K315" s="103" t="n"/>
      <c r="L315" s="116">
        <f>IF($H315="","",TRIM(IF(COUNTIF(DMTK!$A$7:$A$250,$F315)=0,"TK Nợ sai! ","")&amp;IF(COUNTIF(DMTK!$A$7:$A$250,$G315)=0,"TK Có sai! ","")&amp;IF(N($H315)&lt;=0,"Tiền phải &gt; 0! ","")&amp;IF($B315="","Thiếu ngày! ","")&amp;IF(AND(OR(LEFT($F315,3)="131",LEFT($G315,3)="131",LEFT($F315,3)="331",LEFT($G315,3)="331"),$I315=""),"Thiếu Mã ĐT! ","")&amp;IF(AND($I315&lt;&gt;"",COUNTIF(DM_DT!$A$7:$A$306,$I315)=0),"Mã ĐT chưa khai báo! ","")))</f>
        <v/>
      </c>
      <c r="M315" s="117">
        <f>IF($H315="","",IF(AND(OR(LEFT($F315,3)="111",LEFT($F315,3)="112",LEFT($F315,3)="113"),OR(LEFT($G315,3)="111",LEFT($G315,3)="112",LEFT($G315,3)="113")),"NB",IF(OR(LEFT($F315,3)="111",LEFT($F315,3)="112",LEFT($F315,3)="113"),"THU",IF(OR(LEFT($G315,3)="111",LEFT($G315,3)="112",LEFT($G315,3)="113"),"CHI",""))))</f>
        <v/>
      </c>
      <c r="N315" s="117">
        <f>IF($M315="THU",$G315,IF($M315="CHI",$F315,""))</f>
        <v/>
      </c>
      <c r="O315" s="117">
        <f>IF(OR($M315="",$M315="NB"),"",IF($J315&lt;&gt;"",TEXT($J315,"00"),IFERROR(VLOOKUP(LEFT($N315,4),LCTT_MAP!$A$7:$C$66,IF($M315="THU",2,3),FALSE()),IFERROR(VLOOKUP(LEFT($N315,3),LCTT_MAP!$A$7:$C$66,IF($M315="THU",2,3),FALSE()),IFERROR(VLOOKUP(LEFT($N315,2),LCTT_MAP!$A$7:$C$66,IF($M315="THU",2,3),FALSE()),IFERROR(VLOOKUP(LEFT($N315,1),LCTT_MAP!$A$7:$C$66,IF($M315="THU",2,3),FALSE()),IF($M315="THU","06","07")))))))</f>
        <v/>
      </c>
      <c r="P315" s="117">
        <f>P314+IF(AND($H315&lt;&gt;"",OR(LEFT($F315,LEN(SC_TK))=SC_TK,LEFT($G315,LEN(SC_TK))=SC_TK)),1,0)</f>
        <v/>
      </c>
    </row>
    <row r="316" ht="15" customHeight="1" s="78">
      <c r="A316" s="95">
        <f>IF($H316="","",ROW()-6)</f>
        <v/>
      </c>
      <c r="B316" s="114" t="n"/>
      <c r="C316" s="102" t="n"/>
      <c r="D316" s="114" t="n"/>
      <c r="E316" s="103" t="n"/>
      <c r="F316" s="102" t="n"/>
      <c r="G316" s="102" t="n"/>
      <c r="H316" s="115" t="n"/>
      <c r="I316" s="102" t="n"/>
      <c r="J316" s="102" t="n"/>
      <c r="K316" s="103" t="n"/>
      <c r="L316" s="116">
        <f>IF($H316="","",TRIM(IF(COUNTIF(DMTK!$A$7:$A$250,$F316)=0,"TK Nợ sai! ","")&amp;IF(COUNTIF(DMTK!$A$7:$A$250,$G316)=0,"TK Có sai! ","")&amp;IF(N($H316)&lt;=0,"Tiền phải &gt; 0! ","")&amp;IF($B316="","Thiếu ngày! ","")&amp;IF(AND(OR(LEFT($F316,3)="131",LEFT($G316,3)="131",LEFT($F316,3)="331",LEFT($G316,3)="331"),$I316=""),"Thiếu Mã ĐT! ","")&amp;IF(AND($I316&lt;&gt;"",COUNTIF(DM_DT!$A$7:$A$306,$I316)=0),"Mã ĐT chưa khai báo! ","")))</f>
        <v/>
      </c>
      <c r="M316" s="117">
        <f>IF($H316="","",IF(AND(OR(LEFT($F316,3)="111",LEFT($F316,3)="112",LEFT($F316,3)="113"),OR(LEFT($G316,3)="111",LEFT($G316,3)="112",LEFT($G316,3)="113")),"NB",IF(OR(LEFT($F316,3)="111",LEFT($F316,3)="112",LEFT($F316,3)="113"),"THU",IF(OR(LEFT($G316,3)="111",LEFT($G316,3)="112",LEFT($G316,3)="113"),"CHI",""))))</f>
        <v/>
      </c>
      <c r="N316" s="117">
        <f>IF($M316="THU",$G316,IF($M316="CHI",$F316,""))</f>
        <v/>
      </c>
      <c r="O316" s="117">
        <f>IF(OR($M316="",$M316="NB"),"",IF($J316&lt;&gt;"",TEXT($J316,"00"),IFERROR(VLOOKUP(LEFT($N316,4),LCTT_MAP!$A$7:$C$66,IF($M316="THU",2,3),FALSE()),IFERROR(VLOOKUP(LEFT($N316,3),LCTT_MAP!$A$7:$C$66,IF($M316="THU",2,3),FALSE()),IFERROR(VLOOKUP(LEFT($N316,2),LCTT_MAP!$A$7:$C$66,IF($M316="THU",2,3),FALSE()),IFERROR(VLOOKUP(LEFT($N316,1),LCTT_MAP!$A$7:$C$66,IF($M316="THU",2,3),FALSE()),IF($M316="THU","06","07")))))))</f>
        <v/>
      </c>
      <c r="P316" s="117">
        <f>P315+IF(AND($H316&lt;&gt;"",OR(LEFT($F316,LEN(SC_TK))=SC_TK,LEFT($G316,LEN(SC_TK))=SC_TK)),1,0)</f>
        <v/>
      </c>
    </row>
    <row r="317" ht="15" customHeight="1" s="78">
      <c r="A317" s="95">
        <f>IF($H317="","",ROW()-6)</f>
        <v/>
      </c>
      <c r="B317" s="114" t="n"/>
      <c r="C317" s="102" t="n"/>
      <c r="D317" s="114" t="n"/>
      <c r="E317" s="103" t="n"/>
      <c r="F317" s="102" t="n"/>
      <c r="G317" s="102" t="n"/>
      <c r="H317" s="115" t="n"/>
      <c r="I317" s="102" t="n"/>
      <c r="J317" s="102" t="n"/>
      <c r="K317" s="103" t="n"/>
      <c r="L317" s="116">
        <f>IF($H317="","",TRIM(IF(COUNTIF(DMTK!$A$7:$A$250,$F317)=0,"TK Nợ sai! ","")&amp;IF(COUNTIF(DMTK!$A$7:$A$250,$G317)=0,"TK Có sai! ","")&amp;IF(N($H317)&lt;=0,"Tiền phải &gt; 0! ","")&amp;IF($B317="","Thiếu ngày! ","")&amp;IF(AND(OR(LEFT($F317,3)="131",LEFT($G317,3)="131",LEFT($F317,3)="331",LEFT($G317,3)="331"),$I317=""),"Thiếu Mã ĐT! ","")&amp;IF(AND($I317&lt;&gt;"",COUNTIF(DM_DT!$A$7:$A$306,$I317)=0),"Mã ĐT chưa khai báo! ","")))</f>
        <v/>
      </c>
      <c r="M317" s="117">
        <f>IF($H317="","",IF(AND(OR(LEFT($F317,3)="111",LEFT($F317,3)="112",LEFT($F317,3)="113"),OR(LEFT($G317,3)="111",LEFT($G317,3)="112",LEFT($G317,3)="113")),"NB",IF(OR(LEFT($F317,3)="111",LEFT($F317,3)="112",LEFT($F317,3)="113"),"THU",IF(OR(LEFT($G317,3)="111",LEFT($G317,3)="112",LEFT($G317,3)="113"),"CHI",""))))</f>
        <v/>
      </c>
      <c r="N317" s="117">
        <f>IF($M317="THU",$G317,IF($M317="CHI",$F317,""))</f>
        <v/>
      </c>
      <c r="O317" s="117">
        <f>IF(OR($M317="",$M317="NB"),"",IF($J317&lt;&gt;"",TEXT($J317,"00"),IFERROR(VLOOKUP(LEFT($N317,4),LCTT_MAP!$A$7:$C$66,IF($M317="THU",2,3),FALSE()),IFERROR(VLOOKUP(LEFT($N317,3),LCTT_MAP!$A$7:$C$66,IF($M317="THU",2,3),FALSE()),IFERROR(VLOOKUP(LEFT($N317,2),LCTT_MAP!$A$7:$C$66,IF($M317="THU",2,3),FALSE()),IFERROR(VLOOKUP(LEFT($N317,1),LCTT_MAP!$A$7:$C$66,IF($M317="THU",2,3),FALSE()),IF($M317="THU","06","07")))))))</f>
        <v/>
      </c>
      <c r="P317" s="117">
        <f>P316+IF(AND($H317&lt;&gt;"",OR(LEFT($F317,LEN(SC_TK))=SC_TK,LEFT($G317,LEN(SC_TK))=SC_TK)),1,0)</f>
        <v/>
      </c>
    </row>
    <row r="318" ht="15" customHeight="1" s="78">
      <c r="A318" s="95">
        <f>IF($H318="","",ROW()-6)</f>
        <v/>
      </c>
      <c r="B318" s="114" t="n"/>
      <c r="C318" s="102" t="n"/>
      <c r="D318" s="114" t="n"/>
      <c r="E318" s="103" t="n"/>
      <c r="F318" s="102" t="n"/>
      <c r="G318" s="102" t="n"/>
      <c r="H318" s="115" t="n"/>
      <c r="I318" s="102" t="n"/>
      <c r="J318" s="102" t="n"/>
      <c r="K318" s="103" t="n"/>
      <c r="L318" s="116">
        <f>IF($H318="","",TRIM(IF(COUNTIF(DMTK!$A$7:$A$250,$F318)=0,"TK Nợ sai! ","")&amp;IF(COUNTIF(DMTK!$A$7:$A$250,$G318)=0,"TK Có sai! ","")&amp;IF(N($H318)&lt;=0,"Tiền phải &gt; 0! ","")&amp;IF($B318="","Thiếu ngày! ","")&amp;IF(AND(OR(LEFT($F318,3)="131",LEFT($G318,3)="131",LEFT($F318,3)="331",LEFT($G318,3)="331"),$I318=""),"Thiếu Mã ĐT! ","")&amp;IF(AND($I318&lt;&gt;"",COUNTIF(DM_DT!$A$7:$A$306,$I318)=0),"Mã ĐT chưa khai báo! ","")))</f>
        <v/>
      </c>
      <c r="M318" s="117">
        <f>IF($H318="","",IF(AND(OR(LEFT($F318,3)="111",LEFT($F318,3)="112",LEFT($F318,3)="113"),OR(LEFT($G318,3)="111",LEFT($G318,3)="112",LEFT($G318,3)="113")),"NB",IF(OR(LEFT($F318,3)="111",LEFT($F318,3)="112",LEFT($F318,3)="113"),"THU",IF(OR(LEFT($G318,3)="111",LEFT($G318,3)="112",LEFT($G318,3)="113"),"CHI",""))))</f>
        <v/>
      </c>
      <c r="N318" s="117">
        <f>IF($M318="THU",$G318,IF($M318="CHI",$F318,""))</f>
        <v/>
      </c>
      <c r="O318" s="117">
        <f>IF(OR($M318="",$M318="NB"),"",IF($J318&lt;&gt;"",TEXT($J318,"00"),IFERROR(VLOOKUP(LEFT($N318,4),LCTT_MAP!$A$7:$C$66,IF($M318="THU",2,3),FALSE()),IFERROR(VLOOKUP(LEFT($N318,3),LCTT_MAP!$A$7:$C$66,IF($M318="THU",2,3),FALSE()),IFERROR(VLOOKUP(LEFT($N318,2),LCTT_MAP!$A$7:$C$66,IF($M318="THU",2,3),FALSE()),IFERROR(VLOOKUP(LEFT($N318,1),LCTT_MAP!$A$7:$C$66,IF($M318="THU",2,3),FALSE()),IF($M318="THU","06","07")))))))</f>
        <v/>
      </c>
      <c r="P318" s="117">
        <f>P317+IF(AND($H318&lt;&gt;"",OR(LEFT($F318,LEN(SC_TK))=SC_TK,LEFT($G318,LEN(SC_TK))=SC_TK)),1,0)</f>
        <v/>
      </c>
    </row>
    <row r="319" ht="15" customHeight="1" s="78">
      <c r="A319" s="95">
        <f>IF($H319="","",ROW()-6)</f>
        <v/>
      </c>
      <c r="B319" s="114" t="n"/>
      <c r="C319" s="102" t="n"/>
      <c r="D319" s="114" t="n"/>
      <c r="E319" s="103" t="n"/>
      <c r="F319" s="102" t="n"/>
      <c r="G319" s="102" t="n"/>
      <c r="H319" s="115" t="n"/>
      <c r="I319" s="102" t="n"/>
      <c r="J319" s="102" t="n"/>
      <c r="K319" s="103" t="n"/>
      <c r="L319" s="116">
        <f>IF($H319="","",TRIM(IF(COUNTIF(DMTK!$A$7:$A$250,$F319)=0,"TK Nợ sai! ","")&amp;IF(COUNTIF(DMTK!$A$7:$A$250,$G319)=0,"TK Có sai! ","")&amp;IF(N($H319)&lt;=0,"Tiền phải &gt; 0! ","")&amp;IF($B319="","Thiếu ngày! ","")&amp;IF(AND(OR(LEFT($F319,3)="131",LEFT($G319,3)="131",LEFT($F319,3)="331",LEFT($G319,3)="331"),$I319=""),"Thiếu Mã ĐT! ","")&amp;IF(AND($I319&lt;&gt;"",COUNTIF(DM_DT!$A$7:$A$306,$I319)=0),"Mã ĐT chưa khai báo! ","")))</f>
        <v/>
      </c>
      <c r="M319" s="117">
        <f>IF($H319="","",IF(AND(OR(LEFT($F319,3)="111",LEFT($F319,3)="112",LEFT($F319,3)="113"),OR(LEFT($G319,3)="111",LEFT($G319,3)="112",LEFT($G319,3)="113")),"NB",IF(OR(LEFT($F319,3)="111",LEFT($F319,3)="112",LEFT($F319,3)="113"),"THU",IF(OR(LEFT($G319,3)="111",LEFT($G319,3)="112",LEFT($G319,3)="113"),"CHI",""))))</f>
        <v/>
      </c>
      <c r="N319" s="117">
        <f>IF($M319="THU",$G319,IF($M319="CHI",$F319,""))</f>
        <v/>
      </c>
      <c r="O319" s="117">
        <f>IF(OR($M319="",$M319="NB"),"",IF($J319&lt;&gt;"",TEXT($J319,"00"),IFERROR(VLOOKUP(LEFT($N319,4),LCTT_MAP!$A$7:$C$66,IF($M319="THU",2,3),FALSE()),IFERROR(VLOOKUP(LEFT($N319,3),LCTT_MAP!$A$7:$C$66,IF($M319="THU",2,3),FALSE()),IFERROR(VLOOKUP(LEFT($N319,2),LCTT_MAP!$A$7:$C$66,IF($M319="THU",2,3),FALSE()),IFERROR(VLOOKUP(LEFT($N319,1),LCTT_MAP!$A$7:$C$66,IF($M319="THU",2,3),FALSE()),IF($M319="THU","06","07")))))))</f>
        <v/>
      </c>
      <c r="P319" s="117">
        <f>P318+IF(AND($H319&lt;&gt;"",OR(LEFT($F319,LEN(SC_TK))=SC_TK,LEFT($G319,LEN(SC_TK))=SC_TK)),1,0)</f>
        <v/>
      </c>
    </row>
    <row r="320" ht="15" customHeight="1" s="78">
      <c r="A320" s="95">
        <f>IF($H320="","",ROW()-6)</f>
        <v/>
      </c>
      <c r="B320" s="114" t="n"/>
      <c r="C320" s="102" t="n"/>
      <c r="D320" s="114" t="n"/>
      <c r="E320" s="103" t="n"/>
      <c r="F320" s="102" t="n"/>
      <c r="G320" s="102" t="n"/>
      <c r="H320" s="115" t="n"/>
      <c r="I320" s="102" t="n"/>
      <c r="J320" s="102" t="n"/>
      <c r="K320" s="103" t="n"/>
      <c r="L320" s="116">
        <f>IF($H320="","",TRIM(IF(COUNTIF(DMTK!$A$7:$A$250,$F320)=0,"TK Nợ sai! ","")&amp;IF(COUNTIF(DMTK!$A$7:$A$250,$G320)=0,"TK Có sai! ","")&amp;IF(N($H320)&lt;=0,"Tiền phải &gt; 0! ","")&amp;IF($B320="","Thiếu ngày! ","")&amp;IF(AND(OR(LEFT($F320,3)="131",LEFT($G320,3)="131",LEFT($F320,3)="331",LEFT($G320,3)="331"),$I320=""),"Thiếu Mã ĐT! ","")&amp;IF(AND($I320&lt;&gt;"",COUNTIF(DM_DT!$A$7:$A$306,$I320)=0),"Mã ĐT chưa khai báo! ","")))</f>
        <v/>
      </c>
      <c r="M320" s="117">
        <f>IF($H320="","",IF(AND(OR(LEFT($F320,3)="111",LEFT($F320,3)="112",LEFT($F320,3)="113"),OR(LEFT($G320,3)="111",LEFT($G320,3)="112",LEFT($G320,3)="113")),"NB",IF(OR(LEFT($F320,3)="111",LEFT($F320,3)="112",LEFT($F320,3)="113"),"THU",IF(OR(LEFT($G320,3)="111",LEFT($G320,3)="112",LEFT($G320,3)="113"),"CHI",""))))</f>
        <v/>
      </c>
      <c r="N320" s="117">
        <f>IF($M320="THU",$G320,IF($M320="CHI",$F320,""))</f>
        <v/>
      </c>
      <c r="O320" s="117">
        <f>IF(OR($M320="",$M320="NB"),"",IF($J320&lt;&gt;"",TEXT($J320,"00"),IFERROR(VLOOKUP(LEFT($N320,4),LCTT_MAP!$A$7:$C$66,IF($M320="THU",2,3),FALSE()),IFERROR(VLOOKUP(LEFT($N320,3),LCTT_MAP!$A$7:$C$66,IF($M320="THU",2,3),FALSE()),IFERROR(VLOOKUP(LEFT($N320,2),LCTT_MAP!$A$7:$C$66,IF($M320="THU",2,3),FALSE()),IFERROR(VLOOKUP(LEFT($N320,1),LCTT_MAP!$A$7:$C$66,IF($M320="THU",2,3),FALSE()),IF($M320="THU","06","07")))))))</f>
        <v/>
      </c>
      <c r="P320" s="117">
        <f>P319+IF(AND($H320&lt;&gt;"",OR(LEFT($F320,LEN(SC_TK))=SC_TK,LEFT($G320,LEN(SC_TK))=SC_TK)),1,0)</f>
        <v/>
      </c>
    </row>
    <row r="321" ht="15" customHeight="1" s="78">
      <c r="A321" s="95">
        <f>IF($H321="","",ROW()-6)</f>
        <v/>
      </c>
      <c r="B321" s="114" t="n"/>
      <c r="C321" s="102" t="n"/>
      <c r="D321" s="114" t="n"/>
      <c r="E321" s="103" t="n"/>
      <c r="F321" s="102" t="n"/>
      <c r="G321" s="102" t="n"/>
      <c r="H321" s="115" t="n"/>
      <c r="I321" s="102" t="n"/>
      <c r="J321" s="102" t="n"/>
      <c r="K321" s="103" t="n"/>
      <c r="L321" s="116">
        <f>IF($H321="","",TRIM(IF(COUNTIF(DMTK!$A$7:$A$250,$F321)=0,"TK Nợ sai! ","")&amp;IF(COUNTIF(DMTK!$A$7:$A$250,$G321)=0,"TK Có sai! ","")&amp;IF(N($H321)&lt;=0,"Tiền phải &gt; 0! ","")&amp;IF($B321="","Thiếu ngày! ","")&amp;IF(AND(OR(LEFT($F321,3)="131",LEFT($G321,3)="131",LEFT($F321,3)="331",LEFT($G321,3)="331"),$I321=""),"Thiếu Mã ĐT! ","")&amp;IF(AND($I321&lt;&gt;"",COUNTIF(DM_DT!$A$7:$A$306,$I321)=0),"Mã ĐT chưa khai báo! ","")))</f>
        <v/>
      </c>
      <c r="M321" s="117">
        <f>IF($H321="","",IF(AND(OR(LEFT($F321,3)="111",LEFT($F321,3)="112",LEFT($F321,3)="113"),OR(LEFT($G321,3)="111",LEFT($G321,3)="112",LEFT($G321,3)="113")),"NB",IF(OR(LEFT($F321,3)="111",LEFT($F321,3)="112",LEFT($F321,3)="113"),"THU",IF(OR(LEFT($G321,3)="111",LEFT($G321,3)="112",LEFT($G321,3)="113"),"CHI",""))))</f>
        <v/>
      </c>
      <c r="N321" s="117">
        <f>IF($M321="THU",$G321,IF($M321="CHI",$F321,""))</f>
        <v/>
      </c>
      <c r="O321" s="117">
        <f>IF(OR($M321="",$M321="NB"),"",IF($J321&lt;&gt;"",TEXT($J321,"00"),IFERROR(VLOOKUP(LEFT($N321,4),LCTT_MAP!$A$7:$C$66,IF($M321="THU",2,3),FALSE()),IFERROR(VLOOKUP(LEFT($N321,3),LCTT_MAP!$A$7:$C$66,IF($M321="THU",2,3),FALSE()),IFERROR(VLOOKUP(LEFT($N321,2),LCTT_MAP!$A$7:$C$66,IF($M321="THU",2,3),FALSE()),IFERROR(VLOOKUP(LEFT($N321,1),LCTT_MAP!$A$7:$C$66,IF($M321="THU",2,3),FALSE()),IF($M321="THU","06","07")))))))</f>
        <v/>
      </c>
      <c r="P321" s="117">
        <f>P320+IF(AND($H321&lt;&gt;"",OR(LEFT($F321,LEN(SC_TK))=SC_TK,LEFT($G321,LEN(SC_TK))=SC_TK)),1,0)</f>
        <v/>
      </c>
    </row>
    <row r="322" ht="15" customHeight="1" s="78">
      <c r="A322" s="95">
        <f>IF($H322="","",ROW()-6)</f>
        <v/>
      </c>
      <c r="B322" s="114" t="n"/>
      <c r="C322" s="102" t="n"/>
      <c r="D322" s="114" t="n"/>
      <c r="E322" s="103" t="n"/>
      <c r="F322" s="102" t="n"/>
      <c r="G322" s="102" t="n"/>
      <c r="H322" s="115" t="n"/>
      <c r="I322" s="102" t="n"/>
      <c r="J322" s="102" t="n"/>
      <c r="K322" s="103" t="n"/>
      <c r="L322" s="116">
        <f>IF($H322="","",TRIM(IF(COUNTIF(DMTK!$A$7:$A$250,$F322)=0,"TK Nợ sai! ","")&amp;IF(COUNTIF(DMTK!$A$7:$A$250,$G322)=0,"TK Có sai! ","")&amp;IF(N($H322)&lt;=0,"Tiền phải &gt; 0! ","")&amp;IF($B322="","Thiếu ngày! ","")&amp;IF(AND(OR(LEFT($F322,3)="131",LEFT($G322,3)="131",LEFT($F322,3)="331",LEFT($G322,3)="331"),$I322=""),"Thiếu Mã ĐT! ","")&amp;IF(AND($I322&lt;&gt;"",COUNTIF(DM_DT!$A$7:$A$306,$I322)=0),"Mã ĐT chưa khai báo! ","")))</f>
        <v/>
      </c>
      <c r="M322" s="117">
        <f>IF($H322="","",IF(AND(OR(LEFT($F322,3)="111",LEFT($F322,3)="112",LEFT($F322,3)="113"),OR(LEFT($G322,3)="111",LEFT($G322,3)="112",LEFT($G322,3)="113")),"NB",IF(OR(LEFT($F322,3)="111",LEFT($F322,3)="112",LEFT($F322,3)="113"),"THU",IF(OR(LEFT($G322,3)="111",LEFT($G322,3)="112",LEFT($G322,3)="113"),"CHI",""))))</f>
        <v/>
      </c>
      <c r="N322" s="117">
        <f>IF($M322="THU",$G322,IF($M322="CHI",$F322,""))</f>
        <v/>
      </c>
      <c r="O322" s="117">
        <f>IF(OR($M322="",$M322="NB"),"",IF($J322&lt;&gt;"",TEXT($J322,"00"),IFERROR(VLOOKUP(LEFT($N322,4),LCTT_MAP!$A$7:$C$66,IF($M322="THU",2,3),FALSE()),IFERROR(VLOOKUP(LEFT($N322,3),LCTT_MAP!$A$7:$C$66,IF($M322="THU",2,3),FALSE()),IFERROR(VLOOKUP(LEFT($N322,2),LCTT_MAP!$A$7:$C$66,IF($M322="THU",2,3),FALSE()),IFERROR(VLOOKUP(LEFT($N322,1),LCTT_MAP!$A$7:$C$66,IF($M322="THU",2,3),FALSE()),IF($M322="THU","06","07")))))))</f>
        <v/>
      </c>
      <c r="P322" s="117">
        <f>P321+IF(AND($H322&lt;&gt;"",OR(LEFT($F322,LEN(SC_TK))=SC_TK,LEFT($G322,LEN(SC_TK))=SC_TK)),1,0)</f>
        <v/>
      </c>
    </row>
    <row r="323" ht="15" customHeight="1" s="78">
      <c r="A323" s="95">
        <f>IF($H323="","",ROW()-6)</f>
        <v/>
      </c>
      <c r="B323" s="114" t="n"/>
      <c r="C323" s="102" t="n"/>
      <c r="D323" s="114" t="n"/>
      <c r="E323" s="103" t="n"/>
      <c r="F323" s="102" t="n"/>
      <c r="G323" s="102" t="n"/>
      <c r="H323" s="115" t="n"/>
      <c r="I323" s="102" t="n"/>
      <c r="J323" s="102" t="n"/>
      <c r="K323" s="103" t="n"/>
      <c r="L323" s="116">
        <f>IF($H323="","",TRIM(IF(COUNTIF(DMTK!$A$7:$A$250,$F323)=0,"TK Nợ sai! ","")&amp;IF(COUNTIF(DMTK!$A$7:$A$250,$G323)=0,"TK Có sai! ","")&amp;IF(N($H323)&lt;=0,"Tiền phải &gt; 0! ","")&amp;IF($B323="","Thiếu ngày! ","")&amp;IF(AND(OR(LEFT($F323,3)="131",LEFT($G323,3)="131",LEFT($F323,3)="331",LEFT($G323,3)="331"),$I323=""),"Thiếu Mã ĐT! ","")&amp;IF(AND($I323&lt;&gt;"",COUNTIF(DM_DT!$A$7:$A$306,$I323)=0),"Mã ĐT chưa khai báo! ","")))</f>
        <v/>
      </c>
      <c r="M323" s="117">
        <f>IF($H323="","",IF(AND(OR(LEFT($F323,3)="111",LEFT($F323,3)="112",LEFT($F323,3)="113"),OR(LEFT($G323,3)="111",LEFT($G323,3)="112",LEFT($G323,3)="113")),"NB",IF(OR(LEFT($F323,3)="111",LEFT($F323,3)="112",LEFT($F323,3)="113"),"THU",IF(OR(LEFT($G323,3)="111",LEFT($G323,3)="112",LEFT($G323,3)="113"),"CHI",""))))</f>
        <v/>
      </c>
      <c r="N323" s="117">
        <f>IF($M323="THU",$G323,IF($M323="CHI",$F323,""))</f>
        <v/>
      </c>
      <c r="O323" s="117">
        <f>IF(OR($M323="",$M323="NB"),"",IF($J323&lt;&gt;"",TEXT($J323,"00"),IFERROR(VLOOKUP(LEFT($N323,4),LCTT_MAP!$A$7:$C$66,IF($M323="THU",2,3),FALSE()),IFERROR(VLOOKUP(LEFT($N323,3),LCTT_MAP!$A$7:$C$66,IF($M323="THU",2,3),FALSE()),IFERROR(VLOOKUP(LEFT($N323,2),LCTT_MAP!$A$7:$C$66,IF($M323="THU",2,3),FALSE()),IFERROR(VLOOKUP(LEFT($N323,1),LCTT_MAP!$A$7:$C$66,IF($M323="THU",2,3),FALSE()),IF($M323="THU","06","07")))))))</f>
        <v/>
      </c>
      <c r="P323" s="117">
        <f>P322+IF(AND($H323&lt;&gt;"",OR(LEFT($F323,LEN(SC_TK))=SC_TK,LEFT($G323,LEN(SC_TK))=SC_TK)),1,0)</f>
        <v/>
      </c>
    </row>
    <row r="324" ht="15" customHeight="1" s="78">
      <c r="A324" s="95">
        <f>IF($H324="","",ROW()-6)</f>
        <v/>
      </c>
      <c r="B324" s="114" t="n"/>
      <c r="C324" s="102" t="n"/>
      <c r="D324" s="114" t="n"/>
      <c r="E324" s="103" t="n"/>
      <c r="F324" s="102" t="n"/>
      <c r="G324" s="102" t="n"/>
      <c r="H324" s="115" t="n"/>
      <c r="I324" s="102" t="n"/>
      <c r="J324" s="102" t="n"/>
      <c r="K324" s="103" t="n"/>
      <c r="L324" s="116">
        <f>IF($H324="","",TRIM(IF(COUNTIF(DMTK!$A$7:$A$250,$F324)=0,"TK Nợ sai! ","")&amp;IF(COUNTIF(DMTK!$A$7:$A$250,$G324)=0,"TK Có sai! ","")&amp;IF(N($H324)&lt;=0,"Tiền phải &gt; 0! ","")&amp;IF($B324="","Thiếu ngày! ","")&amp;IF(AND(OR(LEFT($F324,3)="131",LEFT($G324,3)="131",LEFT($F324,3)="331",LEFT($G324,3)="331"),$I324=""),"Thiếu Mã ĐT! ","")&amp;IF(AND($I324&lt;&gt;"",COUNTIF(DM_DT!$A$7:$A$306,$I324)=0),"Mã ĐT chưa khai báo! ","")))</f>
        <v/>
      </c>
      <c r="M324" s="117">
        <f>IF($H324="","",IF(AND(OR(LEFT($F324,3)="111",LEFT($F324,3)="112",LEFT($F324,3)="113"),OR(LEFT($G324,3)="111",LEFT($G324,3)="112",LEFT($G324,3)="113")),"NB",IF(OR(LEFT($F324,3)="111",LEFT($F324,3)="112",LEFT($F324,3)="113"),"THU",IF(OR(LEFT($G324,3)="111",LEFT($G324,3)="112",LEFT($G324,3)="113"),"CHI",""))))</f>
        <v/>
      </c>
      <c r="N324" s="117">
        <f>IF($M324="THU",$G324,IF($M324="CHI",$F324,""))</f>
        <v/>
      </c>
      <c r="O324" s="117">
        <f>IF(OR($M324="",$M324="NB"),"",IF($J324&lt;&gt;"",TEXT($J324,"00"),IFERROR(VLOOKUP(LEFT($N324,4),LCTT_MAP!$A$7:$C$66,IF($M324="THU",2,3),FALSE()),IFERROR(VLOOKUP(LEFT($N324,3),LCTT_MAP!$A$7:$C$66,IF($M324="THU",2,3),FALSE()),IFERROR(VLOOKUP(LEFT($N324,2),LCTT_MAP!$A$7:$C$66,IF($M324="THU",2,3),FALSE()),IFERROR(VLOOKUP(LEFT($N324,1),LCTT_MAP!$A$7:$C$66,IF($M324="THU",2,3),FALSE()),IF($M324="THU","06","07")))))))</f>
        <v/>
      </c>
      <c r="P324" s="117">
        <f>P323+IF(AND($H324&lt;&gt;"",OR(LEFT($F324,LEN(SC_TK))=SC_TK,LEFT($G324,LEN(SC_TK))=SC_TK)),1,0)</f>
        <v/>
      </c>
    </row>
    <row r="325" ht="15" customHeight="1" s="78">
      <c r="A325" s="95">
        <f>IF($H325="","",ROW()-6)</f>
        <v/>
      </c>
      <c r="B325" s="114" t="n"/>
      <c r="C325" s="102" t="n"/>
      <c r="D325" s="114" t="n"/>
      <c r="E325" s="103" t="n"/>
      <c r="F325" s="102" t="n"/>
      <c r="G325" s="102" t="n"/>
      <c r="H325" s="115" t="n"/>
      <c r="I325" s="102" t="n"/>
      <c r="J325" s="102" t="n"/>
      <c r="K325" s="103" t="n"/>
      <c r="L325" s="116">
        <f>IF($H325="","",TRIM(IF(COUNTIF(DMTK!$A$7:$A$250,$F325)=0,"TK Nợ sai! ","")&amp;IF(COUNTIF(DMTK!$A$7:$A$250,$G325)=0,"TK Có sai! ","")&amp;IF(N($H325)&lt;=0,"Tiền phải &gt; 0! ","")&amp;IF($B325="","Thiếu ngày! ","")&amp;IF(AND(OR(LEFT($F325,3)="131",LEFT($G325,3)="131",LEFT($F325,3)="331",LEFT($G325,3)="331"),$I325=""),"Thiếu Mã ĐT! ","")&amp;IF(AND($I325&lt;&gt;"",COUNTIF(DM_DT!$A$7:$A$306,$I325)=0),"Mã ĐT chưa khai báo! ","")))</f>
        <v/>
      </c>
      <c r="M325" s="117">
        <f>IF($H325="","",IF(AND(OR(LEFT($F325,3)="111",LEFT($F325,3)="112",LEFT($F325,3)="113"),OR(LEFT($G325,3)="111",LEFT($G325,3)="112",LEFT($G325,3)="113")),"NB",IF(OR(LEFT($F325,3)="111",LEFT($F325,3)="112",LEFT($F325,3)="113"),"THU",IF(OR(LEFT($G325,3)="111",LEFT($G325,3)="112",LEFT($G325,3)="113"),"CHI",""))))</f>
        <v/>
      </c>
      <c r="N325" s="117">
        <f>IF($M325="THU",$G325,IF($M325="CHI",$F325,""))</f>
        <v/>
      </c>
      <c r="O325" s="117">
        <f>IF(OR($M325="",$M325="NB"),"",IF($J325&lt;&gt;"",TEXT($J325,"00"),IFERROR(VLOOKUP(LEFT($N325,4),LCTT_MAP!$A$7:$C$66,IF($M325="THU",2,3),FALSE()),IFERROR(VLOOKUP(LEFT($N325,3),LCTT_MAP!$A$7:$C$66,IF($M325="THU",2,3),FALSE()),IFERROR(VLOOKUP(LEFT($N325,2),LCTT_MAP!$A$7:$C$66,IF($M325="THU",2,3),FALSE()),IFERROR(VLOOKUP(LEFT($N325,1),LCTT_MAP!$A$7:$C$66,IF($M325="THU",2,3),FALSE()),IF($M325="THU","06","07")))))))</f>
        <v/>
      </c>
      <c r="P325" s="117">
        <f>P324+IF(AND($H325&lt;&gt;"",OR(LEFT($F325,LEN(SC_TK))=SC_TK,LEFT($G325,LEN(SC_TK))=SC_TK)),1,0)</f>
        <v/>
      </c>
    </row>
    <row r="326" ht="15" customHeight="1" s="78">
      <c r="A326" s="95">
        <f>IF($H326="","",ROW()-6)</f>
        <v/>
      </c>
      <c r="B326" s="114" t="n"/>
      <c r="C326" s="102" t="n"/>
      <c r="D326" s="114" t="n"/>
      <c r="E326" s="103" t="n"/>
      <c r="F326" s="102" t="n"/>
      <c r="G326" s="102" t="n"/>
      <c r="H326" s="115" t="n"/>
      <c r="I326" s="102" t="n"/>
      <c r="J326" s="102" t="n"/>
      <c r="K326" s="103" t="n"/>
      <c r="L326" s="116">
        <f>IF($H326="","",TRIM(IF(COUNTIF(DMTK!$A$7:$A$250,$F326)=0,"TK Nợ sai! ","")&amp;IF(COUNTIF(DMTK!$A$7:$A$250,$G326)=0,"TK Có sai! ","")&amp;IF(N($H326)&lt;=0,"Tiền phải &gt; 0! ","")&amp;IF($B326="","Thiếu ngày! ","")&amp;IF(AND(OR(LEFT($F326,3)="131",LEFT($G326,3)="131",LEFT($F326,3)="331",LEFT($G326,3)="331"),$I326=""),"Thiếu Mã ĐT! ","")&amp;IF(AND($I326&lt;&gt;"",COUNTIF(DM_DT!$A$7:$A$306,$I326)=0),"Mã ĐT chưa khai báo! ","")))</f>
        <v/>
      </c>
      <c r="M326" s="117">
        <f>IF($H326="","",IF(AND(OR(LEFT($F326,3)="111",LEFT($F326,3)="112",LEFT($F326,3)="113"),OR(LEFT($G326,3)="111",LEFT($G326,3)="112",LEFT($G326,3)="113")),"NB",IF(OR(LEFT($F326,3)="111",LEFT($F326,3)="112",LEFT($F326,3)="113"),"THU",IF(OR(LEFT($G326,3)="111",LEFT($G326,3)="112",LEFT($G326,3)="113"),"CHI",""))))</f>
        <v/>
      </c>
      <c r="N326" s="117">
        <f>IF($M326="THU",$G326,IF($M326="CHI",$F326,""))</f>
        <v/>
      </c>
      <c r="O326" s="117">
        <f>IF(OR($M326="",$M326="NB"),"",IF($J326&lt;&gt;"",TEXT($J326,"00"),IFERROR(VLOOKUP(LEFT($N326,4),LCTT_MAP!$A$7:$C$66,IF($M326="THU",2,3),FALSE()),IFERROR(VLOOKUP(LEFT($N326,3),LCTT_MAP!$A$7:$C$66,IF($M326="THU",2,3),FALSE()),IFERROR(VLOOKUP(LEFT($N326,2),LCTT_MAP!$A$7:$C$66,IF($M326="THU",2,3),FALSE()),IFERROR(VLOOKUP(LEFT($N326,1),LCTT_MAP!$A$7:$C$66,IF($M326="THU",2,3),FALSE()),IF($M326="THU","06","07")))))))</f>
        <v/>
      </c>
      <c r="P326" s="117">
        <f>P325+IF(AND($H326&lt;&gt;"",OR(LEFT($F326,LEN(SC_TK))=SC_TK,LEFT($G326,LEN(SC_TK))=SC_TK)),1,0)</f>
        <v/>
      </c>
    </row>
    <row r="327" ht="15" customHeight="1" s="78">
      <c r="A327" s="95">
        <f>IF($H327="","",ROW()-6)</f>
        <v/>
      </c>
      <c r="B327" s="114" t="n"/>
      <c r="C327" s="102" t="n"/>
      <c r="D327" s="114" t="n"/>
      <c r="E327" s="103" t="n"/>
      <c r="F327" s="102" t="n"/>
      <c r="G327" s="102" t="n"/>
      <c r="H327" s="115" t="n"/>
      <c r="I327" s="102" t="n"/>
      <c r="J327" s="102" t="n"/>
      <c r="K327" s="103" t="n"/>
      <c r="L327" s="116">
        <f>IF($H327="","",TRIM(IF(COUNTIF(DMTK!$A$7:$A$250,$F327)=0,"TK Nợ sai! ","")&amp;IF(COUNTIF(DMTK!$A$7:$A$250,$G327)=0,"TK Có sai! ","")&amp;IF(N($H327)&lt;=0,"Tiền phải &gt; 0! ","")&amp;IF($B327="","Thiếu ngày! ","")&amp;IF(AND(OR(LEFT($F327,3)="131",LEFT($G327,3)="131",LEFT($F327,3)="331",LEFT($G327,3)="331"),$I327=""),"Thiếu Mã ĐT! ","")&amp;IF(AND($I327&lt;&gt;"",COUNTIF(DM_DT!$A$7:$A$306,$I327)=0),"Mã ĐT chưa khai báo! ","")))</f>
        <v/>
      </c>
      <c r="M327" s="117">
        <f>IF($H327="","",IF(AND(OR(LEFT($F327,3)="111",LEFT($F327,3)="112",LEFT($F327,3)="113"),OR(LEFT($G327,3)="111",LEFT($G327,3)="112",LEFT($G327,3)="113")),"NB",IF(OR(LEFT($F327,3)="111",LEFT($F327,3)="112",LEFT($F327,3)="113"),"THU",IF(OR(LEFT($G327,3)="111",LEFT($G327,3)="112",LEFT($G327,3)="113"),"CHI",""))))</f>
        <v/>
      </c>
      <c r="N327" s="117">
        <f>IF($M327="THU",$G327,IF($M327="CHI",$F327,""))</f>
        <v/>
      </c>
      <c r="O327" s="117">
        <f>IF(OR($M327="",$M327="NB"),"",IF($J327&lt;&gt;"",TEXT($J327,"00"),IFERROR(VLOOKUP(LEFT($N327,4),LCTT_MAP!$A$7:$C$66,IF($M327="THU",2,3),FALSE()),IFERROR(VLOOKUP(LEFT($N327,3),LCTT_MAP!$A$7:$C$66,IF($M327="THU",2,3),FALSE()),IFERROR(VLOOKUP(LEFT($N327,2),LCTT_MAP!$A$7:$C$66,IF($M327="THU",2,3),FALSE()),IFERROR(VLOOKUP(LEFT($N327,1),LCTT_MAP!$A$7:$C$66,IF($M327="THU",2,3),FALSE()),IF($M327="THU","06","07")))))))</f>
        <v/>
      </c>
      <c r="P327" s="117">
        <f>P326+IF(AND($H327&lt;&gt;"",OR(LEFT($F327,LEN(SC_TK))=SC_TK,LEFT($G327,LEN(SC_TK))=SC_TK)),1,0)</f>
        <v/>
      </c>
    </row>
    <row r="328" ht="15" customHeight="1" s="78">
      <c r="A328" s="95">
        <f>IF($H328="","",ROW()-6)</f>
        <v/>
      </c>
      <c r="B328" s="114" t="n"/>
      <c r="C328" s="102" t="n"/>
      <c r="D328" s="114" t="n"/>
      <c r="E328" s="103" t="n"/>
      <c r="F328" s="102" t="n"/>
      <c r="G328" s="102" t="n"/>
      <c r="H328" s="115" t="n"/>
      <c r="I328" s="102" t="n"/>
      <c r="J328" s="102" t="n"/>
      <c r="K328" s="103" t="n"/>
      <c r="L328" s="116">
        <f>IF($H328="","",TRIM(IF(COUNTIF(DMTK!$A$7:$A$250,$F328)=0,"TK Nợ sai! ","")&amp;IF(COUNTIF(DMTK!$A$7:$A$250,$G328)=0,"TK Có sai! ","")&amp;IF(N($H328)&lt;=0,"Tiền phải &gt; 0! ","")&amp;IF($B328="","Thiếu ngày! ","")&amp;IF(AND(OR(LEFT($F328,3)="131",LEFT($G328,3)="131",LEFT($F328,3)="331",LEFT($G328,3)="331"),$I328=""),"Thiếu Mã ĐT! ","")&amp;IF(AND($I328&lt;&gt;"",COUNTIF(DM_DT!$A$7:$A$306,$I328)=0),"Mã ĐT chưa khai báo! ","")))</f>
        <v/>
      </c>
      <c r="M328" s="117">
        <f>IF($H328="","",IF(AND(OR(LEFT($F328,3)="111",LEFT($F328,3)="112",LEFT($F328,3)="113"),OR(LEFT($G328,3)="111",LEFT($G328,3)="112",LEFT($G328,3)="113")),"NB",IF(OR(LEFT($F328,3)="111",LEFT($F328,3)="112",LEFT($F328,3)="113"),"THU",IF(OR(LEFT($G328,3)="111",LEFT($G328,3)="112",LEFT($G328,3)="113"),"CHI",""))))</f>
        <v/>
      </c>
      <c r="N328" s="117">
        <f>IF($M328="THU",$G328,IF($M328="CHI",$F328,""))</f>
        <v/>
      </c>
      <c r="O328" s="117">
        <f>IF(OR($M328="",$M328="NB"),"",IF($J328&lt;&gt;"",TEXT($J328,"00"),IFERROR(VLOOKUP(LEFT($N328,4),LCTT_MAP!$A$7:$C$66,IF($M328="THU",2,3),FALSE()),IFERROR(VLOOKUP(LEFT($N328,3),LCTT_MAP!$A$7:$C$66,IF($M328="THU",2,3),FALSE()),IFERROR(VLOOKUP(LEFT($N328,2),LCTT_MAP!$A$7:$C$66,IF($M328="THU",2,3),FALSE()),IFERROR(VLOOKUP(LEFT($N328,1),LCTT_MAP!$A$7:$C$66,IF($M328="THU",2,3),FALSE()),IF($M328="THU","06","07")))))))</f>
        <v/>
      </c>
      <c r="P328" s="117">
        <f>P327+IF(AND($H328&lt;&gt;"",OR(LEFT($F328,LEN(SC_TK))=SC_TK,LEFT($G328,LEN(SC_TK))=SC_TK)),1,0)</f>
        <v/>
      </c>
    </row>
    <row r="329" ht="15" customHeight="1" s="78">
      <c r="A329" s="95">
        <f>IF($H329="","",ROW()-6)</f>
        <v/>
      </c>
      <c r="B329" s="114" t="n"/>
      <c r="C329" s="102" t="n"/>
      <c r="D329" s="114" t="n"/>
      <c r="E329" s="103" t="n"/>
      <c r="F329" s="102" t="n"/>
      <c r="G329" s="102" t="n"/>
      <c r="H329" s="115" t="n"/>
      <c r="I329" s="102" t="n"/>
      <c r="J329" s="102" t="n"/>
      <c r="K329" s="103" t="n"/>
      <c r="L329" s="116">
        <f>IF($H329="","",TRIM(IF(COUNTIF(DMTK!$A$7:$A$250,$F329)=0,"TK Nợ sai! ","")&amp;IF(COUNTIF(DMTK!$A$7:$A$250,$G329)=0,"TK Có sai! ","")&amp;IF(N($H329)&lt;=0,"Tiền phải &gt; 0! ","")&amp;IF($B329="","Thiếu ngày! ","")&amp;IF(AND(OR(LEFT($F329,3)="131",LEFT($G329,3)="131",LEFT($F329,3)="331",LEFT($G329,3)="331"),$I329=""),"Thiếu Mã ĐT! ","")&amp;IF(AND($I329&lt;&gt;"",COUNTIF(DM_DT!$A$7:$A$306,$I329)=0),"Mã ĐT chưa khai báo! ","")))</f>
        <v/>
      </c>
      <c r="M329" s="117">
        <f>IF($H329="","",IF(AND(OR(LEFT($F329,3)="111",LEFT($F329,3)="112",LEFT($F329,3)="113"),OR(LEFT($G329,3)="111",LEFT($G329,3)="112",LEFT($G329,3)="113")),"NB",IF(OR(LEFT($F329,3)="111",LEFT($F329,3)="112",LEFT($F329,3)="113"),"THU",IF(OR(LEFT($G329,3)="111",LEFT($G329,3)="112",LEFT($G329,3)="113"),"CHI",""))))</f>
        <v/>
      </c>
      <c r="N329" s="117">
        <f>IF($M329="THU",$G329,IF($M329="CHI",$F329,""))</f>
        <v/>
      </c>
      <c r="O329" s="117">
        <f>IF(OR($M329="",$M329="NB"),"",IF($J329&lt;&gt;"",TEXT($J329,"00"),IFERROR(VLOOKUP(LEFT($N329,4),LCTT_MAP!$A$7:$C$66,IF($M329="THU",2,3),FALSE()),IFERROR(VLOOKUP(LEFT($N329,3),LCTT_MAP!$A$7:$C$66,IF($M329="THU",2,3),FALSE()),IFERROR(VLOOKUP(LEFT($N329,2),LCTT_MAP!$A$7:$C$66,IF($M329="THU",2,3),FALSE()),IFERROR(VLOOKUP(LEFT($N329,1),LCTT_MAP!$A$7:$C$66,IF($M329="THU",2,3),FALSE()),IF($M329="THU","06","07")))))))</f>
        <v/>
      </c>
      <c r="P329" s="117">
        <f>P328+IF(AND($H329&lt;&gt;"",OR(LEFT($F329,LEN(SC_TK))=SC_TK,LEFT($G329,LEN(SC_TK))=SC_TK)),1,0)</f>
        <v/>
      </c>
    </row>
    <row r="330" ht="15" customHeight="1" s="78">
      <c r="A330" s="95">
        <f>IF($H330="","",ROW()-6)</f>
        <v/>
      </c>
      <c r="B330" s="114" t="n"/>
      <c r="C330" s="102" t="n"/>
      <c r="D330" s="114" t="n"/>
      <c r="E330" s="103" t="n"/>
      <c r="F330" s="102" t="n"/>
      <c r="G330" s="102" t="n"/>
      <c r="H330" s="115" t="n"/>
      <c r="I330" s="102" t="n"/>
      <c r="J330" s="102" t="n"/>
      <c r="K330" s="103" t="n"/>
      <c r="L330" s="116">
        <f>IF($H330="","",TRIM(IF(COUNTIF(DMTK!$A$7:$A$250,$F330)=0,"TK Nợ sai! ","")&amp;IF(COUNTIF(DMTK!$A$7:$A$250,$G330)=0,"TK Có sai! ","")&amp;IF(N($H330)&lt;=0,"Tiền phải &gt; 0! ","")&amp;IF($B330="","Thiếu ngày! ","")&amp;IF(AND(OR(LEFT($F330,3)="131",LEFT($G330,3)="131",LEFT($F330,3)="331",LEFT($G330,3)="331"),$I330=""),"Thiếu Mã ĐT! ","")&amp;IF(AND($I330&lt;&gt;"",COUNTIF(DM_DT!$A$7:$A$306,$I330)=0),"Mã ĐT chưa khai báo! ","")))</f>
        <v/>
      </c>
      <c r="M330" s="117">
        <f>IF($H330="","",IF(AND(OR(LEFT($F330,3)="111",LEFT($F330,3)="112",LEFT($F330,3)="113"),OR(LEFT($G330,3)="111",LEFT($G330,3)="112",LEFT($G330,3)="113")),"NB",IF(OR(LEFT($F330,3)="111",LEFT($F330,3)="112",LEFT($F330,3)="113"),"THU",IF(OR(LEFT($G330,3)="111",LEFT($G330,3)="112",LEFT($G330,3)="113"),"CHI",""))))</f>
        <v/>
      </c>
      <c r="N330" s="117">
        <f>IF($M330="THU",$G330,IF($M330="CHI",$F330,""))</f>
        <v/>
      </c>
      <c r="O330" s="117">
        <f>IF(OR($M330="",$M330="NB"),"",IF($J330&lt;&gt;"",TEXT($J330,"00"),IFERROR(VLOOKUP(LEFT($N330,4),LCTT_MAP!$A$7:$C$66,IF($M330="THU",2,3),FALSE()),IFERROR(VLOOKUP(LEFT($N330,3),LCTT_MAP!$A$7:$C$66,IF($M330="THU",2,3),FALSE()),IFERROR(VLOOKUP(LEFT($N330,2),LCTT_MAP!$A$7:$C$66,IF($M330="THU",2,3),FALSE()),IFERROR(VLOOKUP(LEFT($N330,1),LCTT_MAP!$A$7:$C$66,IF($M330="THU",2,3),FALSE()),IF($M330="THU","06","07")))))))</f>
        <v/>
      </c>
      <c r="P330" s="117">
        <f>P329+IF(AND($H330&lt;&gt;"",OR(LEFT($F330,LEN(SC_TK))=SC_TK,LEFT($G330,LEN(SC_TK))=SC_TK)),1,0)</f>
        <v/>
      </c>
    </row>
    <row r="331" ht="15" customHeight="1" s="78">
      <c r="A331" s="95">
        <f>IF($H331="","",ROW()-6)</f>
        <v/>
      </c>
      <c r="B331" s="114" t="n"/>
      <c r="C331" s="102" t="n"/>
      <c r="D331" s="114" t="n"/>
      <c r="E331" s="103" t="n"/>
      <c r="F331" s="102" t="n"/>
      <c r="G331" s="102" t="n"/>
      <c r="H331" s="115" t="n"/>
      <c r="I331" s="102" t="n"/>
      <c r="J331" s="102" t="n"/>
      <c r="K331" s="103" t="n"/>
      <c r="L331" s="116">
        <f>IF($H331="","",TRIM(IF(COUNTIF(DMTK!$A$7:$A$250,$F331)=0,"TK Nợ sai! ","")&amp;IF(COUNTIF(DMTK!$A$7:$A$250,$G331)=0,"TK Có sai! ","")&amp;IF(N($H331)&lt;=0,"Tiền phải &gt; 0! ","")&amp;IF($B331="","Thiếu ngày! ","")&amp;IF(AND(OR(LEFT($F331,3)="131",LEFT($G331,3)="131",LEFT($F331,3)="331",LEFT($G331,3)="331"),$I331=""),"Thiếu Mã ĐT! ","")&amp;IF(AND($I331&lt;&gt;"",COUNTIF(DM_DT!$A$7:$A$306,$I331)=0),"Mã ĐT chưa khai báo! ","")))</f>
        <v/>
      </c>
      <c r="M331" s="117">
        <f>IF($H331="","",IF(AND(OR(LEFT($F331,3)="111",LEFT($F331,3)="112",LEFT($F331,3)="113"),OR(LEFT($G331,3)="111",LEFT($G331,3)="112",LEFT($G331,3)="113")),"NB",IF(OR(LEFT($F331,3)="111",LEFT($F331,3)="112",LEFT($F331,3)="113"),"THU",IF(OR(LEFT($G331,3)="111",LEFT($G331,3)="112",LEFT($G331,3)="113"),"CHI",""))))</f>
        <v/>
      </c>
      <c r="N331" s="117">
        <f>IF($M331="THU",$G331,IF($M331="CHI",$F331,""))</f>
        <v/>
      </c>
      <c r="O331" s="117">
        <f>IF(OR($M331="",$M331="NB"),"",IF($J331&lt;&gt;"",TEXT($J331,"00"),IFERROR(VLOOKUP(LEFT($N331,4),LCTT_MAP!$A$7:$C$66,IF($M331="THU",2,3),FALSE()),IFERROR(VLOOKUP(LEFT($N331,3),LCTT_MAP!$A$7:$C$66,IF($M331="THU",2,3),FALSE()),IFERROR(VLOOKUP(LEFT($N331,2),LCTT_MAP!$A$7:$C$66,IF($M331="THU",2,3),FALSE()),IFERROR(VLOOKUP(LEFT($N331,1),LCTT_MAP!$A$7:$C$66,IF($M331="THU",2,3),FALSE()),IF($M331="THU","06","07")))))))</f>
        <v/>
      </c>
      <c r="P331" s="117">
        <f>P330+IF(AND($H331&lt;&gt;"",OR(LEFT($F331,LEN(SC_TK))=SC_TK,LEFT($G331,LEN(SC_TK))=SC_TK)),1,0)</f>
        <v/>
      </c>
    </row>
    <row r="332" ht="15" customHeight="1" s="78">
      <c r="A332" s="95">
        <f>IF($H332="","",ROW()-6)</f>
        <v/>
      </c>
      <c r="B332" s="114" t="n"/>
      <c r="C332" s="102" t="n"/>
      <c r="D332" s="114" t="n"/>
      <c r="E332" s="103" t="n"/>
      <c r="F332" s="102" t="n"/>
      <c r="G332" s="102" t="n"/>
      <c r="H332" s="115" t="n"/>
      <c r="I332" s="102" t="n"/>
      <c r="J332" s="102" t="n"/>
      <c r="K332" s="103" t="n"/>
      <c r="L332" s="116">
        <f>IF($H332="","",TRIM(IF(COUNTIF(DMTK!$A$7:$A$250,$F332)=0,"TK Nợ sai! ","")&amp;IF(COUNTIF(DMTK!$A$7:$A$250,$G332)=0,"TK Có sai! ","")&amp;IF(N($H332)&lt;=0,"Tiền phải &gt; 0! ","")&amp;IF($B332="","Thiếu ngày! ","")&amp;IF(AND(OR(LEFT($F332,3)="131",LEFT($G332,3)="131",LEFT($F332,3)="331",LEFT($G332,3)="331"),$I332=""),"Thiếu Mã ĐT! ","")&amp;IF(AND($I332&lt;&gt;"",COUNTIF(DM_DT!$A$7:$A$306,$I332)=0),"Mã ĐT chưa khai báo! ","")))</f>
        <v/>
      </c>
      <c r="M332" s="117">
        <f>IF($H332="","",IF(AND(OR(LEFT($F332,3)="111",LEFT($F332,3)="112",LEFT($F332,3)="113"),OR(LEFT($G332,3)="111",LEFT($G332,3)="112",LEFT($G332,3)="113")),"NB",IF(OR(LEFT($F332,3)="111",LEFT($F332,3)="112",LEFT($F332,3)="113"),"THU",IF(OR(LEFT($G332,3)="111",LEFT($G332,3)="112",LEFT($G332,3)="113"),"CHI",""))))</f>
        <v/>
      </c>
      <c r="N332" s="117">
        <f>IF($M332="THU",$G332,IF($M332="CHI",$F332,""))</f>
        <v/>
      </c>
      <c r="O332" s="117">
        <f>IF(OR($M332="",$M332="NB"),"",IF($J332&lt;&gt;"",TEXT($J332,"00"),IFERROR(VLOOKUP(LEFT($N332,4),LCTT_MAP!$A$7:$C$66,IF($M332="THU",2,3),FALSE()),IFERROR(VLOOKUP(LEFT($N332,3),LCTT_MAP!$A$7:$C$66,IF($M332="THU",2,3),FALSE()),IFERROR(VLOOKUP(LEFT($N332,2),LCTT_MAP!$A$7:$C$66,IF($M332="THU",2,3),FALSE()),IFERROR(VLOOKUP(LEFT($N332,1),LCTT_MAP!$A$7:$C$66,IF($M332="THU",2,3),FALSE()),IF($M332="THU","06","07")))))))</f>
        <v/>
      </c>
      <c r="P332" s="117">
        <f>P331+IF(AND($H332&lt;&gt;"",OR(LEFT($F332,LEN(SC_TK))=SC_TK,LEFT($G332,LEN(SC_TK))=SC_TK)),1,0)</f>
        <v/>
      </c>
    </row>
    <row r="333" ht="15" customHeight="1" s="78">
      <c r="A333" s="95">
        <f>IF($H333="","",ROW()-6)</f>
        <v/>
      </c>
      <c r="B333" s="114" t="n"/>
      <c r="C333" s="102" t="n"/>
      <c r="D333" s="114" t="n"/>
      <c r="E333" s="103" t="n"/>
      <c r="F333" s="102" t="n"/>
      <c r="G333" s="102" t="n"/>
      <c r="H333" s="115" t="n"/>
      <c r="I333" s="102" t="n"/>
      <c r="J333" s="102" t="n"/>
      <c r="K333" s="103" t="n"/>
      <c r="L333" s="116">
        <f>IF($H333="","",TRIM(IF(COUNTIF(DMTK!$A$7:$A$250,$F333)=0,"TK Nợ sai! ","")&amp;IF(COUNTIF(DMTK!$A$7:$A$250,$G333)=0,"TK Có sai! ","")&amp;IF(N($H333)&lt;=0,"Tiền phải &gt; 0! ","")&amp;IF($B333="","Thiếu ngày! ","")&amp;IF(AND(OR(LEFT($F333,3)="131",LEFT($G333,3)="131",LEFT($F333,3)="331",LEFT($G333,3)="331"),$I333=""),"Thiếu Mã ĐT! ","")&amp;IF(AND($I333&lt;&gt;"",COUNTIF(DM_DT!$A$7:$A$306,$I333)=0),"Mã ĐT chưa khai báo! ","")))</f>
        <v/>
      </c>
      <c r="M333" s="117">
        <f>IF($H333="","",IF(AND(OR(LEFT($F333,3)="111",LEFT($F333,3)="112",LEFT($F333,3)="113"),OR(LEFT($G333,3)="111",LEFT($G333,3)="112",LEFT($G333,3)="113")),"NB",IF(OR(LEFT($F333,3)="111",LEFT($F333,3)="112",LEFT($F333,3)="113"),"THU",IF(OR(LEFT($G333,3)="111",LEFT($G333,3)="112",LEFT($G333,3)="113"),"CHI",""))))</f>
        <v/>
      </c>
      <c r="N333" s="117">
        <f>IF($M333="THU",$G333,IF($M333="CHI",$F333,""))</f>
        <v/>
      </c>
      <c r="O333" s="117">
        <f>IF(OR($M333="",$M333="NB"),"",IF($J333&lt;&gt;"",TEXT($J333,"00"),IFERROR(VLOOKUP(LEFT($N333,4),LCTT_MAP!$A$7:$C$66,IF($M333="THU",2,3),FALSE()),IFERROR(VLOOKUP(LEFT($N333,3),LCTT_MAP!$A$7:$C$66,IF($M333="THU",2,3),FALSE()),IFERROR(VLOOKUP(LEFT($N333,2),LCTT_MAP!$A$7:$C$66,IF($M333="THU",2,3),FALSE()),IFERROR(VLOOKUP(LEFT($N333,1),LCTT_MAP!$A$7:$C$66,IF($M333="THU",2,3),FALSE()),IF($M333="THU","06","07")))))))</f>
        <v/>
      </c>
      <c r="P333" s="117">
        <f>P332+IF(AND($H333&lt;&gt;"",OR(LEFT($F333,LEN(SC_TK))=SC_TK,LEFT($G333,LEN(SC_TK))=SC_TK)),1,0)</f>
        <v/>
      </c>
    </row>
    <row r="334" ht="15" customHeight="1" s="78">
      <c r="A334" s="95">
        <f>IF($H334="","",ROW()-6)</f>
        <v/>
      </c>
      <c r="B334" s="114" t="n"/>
      <c r="C334" s="102" t="n"/>
      <c r="D334" s="114" t="n"/>
      <c r="E334" s="103" t="n"/>
      <c r="F334" s="102" t="n"/>
      <c r="G334" s="102" t="n"/>
      <c r="H334" s="115" t="n"/>
      <c r="I334" s="102" t="n"/>
      <c r="J334" s="102" t="n"/>
      <c r="K334" s="103" t="n"/>
      <c r="L334" s="116">
        <f>IF($H334="","",TRIM(IF(COUNTIF(DMTK!$A$7:$A$250,$F334)=0,"TK Nợ sai! ","")&amp;IF(COUNTIF(DMTK!$A$7:$A$250,$G334)=0,"TK Có sai! ","")&amp;IF(N($H334)&lt;=0,"Tiền phải &gt; 0! ","")&amp;IF($B334="","Thiếu ngày! ","")&amp;IF(AND(OR(LEFT($F334,3)="131",LEFT($G334,3)="131",LEFT($F334,3)="331",LEFT($G334,3)="331"),$I334=""),"Thiếu Mã ĐT! ","")&amp;IF(AND($I334&lt;&gt;"",COUNTIF(DM_DT!$A$7:$A$306,$I334)=0),"Mã ĐT chưa khai báo! ","")))</f>
        <v/>
      </c>
      <c r="M334" s="117">
        <f>IF($H334="","",IF(AND(OR(LEFT($F334,3)="111",LEFT($F334,3)="112",LEFT($F334,3)="113"),OR(LEFT($G334,3)="111",LEFT($G334,3)="112",LEFT($G334,3)="113")),"NB",IF(OR(LEFT($F334,3)="111",LEFT($F334,3)="112",LEFT($F334,3)="113"),"THU",IF(OR(LEFT($G334,3)="111",LEFT($G334,3)="112",LEFT($G334,3)="113"),"CHI",""))))</f>
        <v/>
      </c>
      <c r="N334" s="117">
        <f>IF($M334="THU",$G334,IF($M334="CHI",$F334,""))</f>
        <v/>
      </c>
      <c r="O334" s="117">
        <f>IF(OR($M334="",$M334="NB"),"",IF($J334&lt;&gt;"",TEXT($J334,"00"),IFERROR(VLOOKUP(LEFT($N334,4),LCTT_MAP!$A$7:$C$66,IF($M334="THU",2,3),FALSE()),IFERROR(VLOOKUP(LEFT($N334,3),LCTT_MAP!$A$7:$C$66,IF($M334="THU",2,3),FALSE()),IFERROR(VLOOKUP(LEFT($N334,2),LCTT_MAP!$A$7:$C$66,IF($M334="THU",2,3),FALSE()),IFERROR(VLOOKUP(LEFT($N334,1),LCTT_MAP!$A$7:$C$66,IF($M334="THU",2,3),FALSE()),IF($M334="THU","06","07")))))))</f>
        <v/>
      </c>
      <c r="P334" s="117">
        <f>P333+IF(AND($H334&lt;&gt;"",OR(LEFT($F334,LEN(SC_TK))=SC_TK,LEFT($G334,LEN(SC_TK))=SC_TK)),1,0)</f>
        <v/>
      </c>
    </row>
    <row r="335" ht="15" customHeight="1" s="78">
      <c r="A335" s="95">
        <f>IF($H335="","",ROW()-6)</f>
        <v/>
      </c>
      <c r="B335" s="114" t="n"/>
      <c r="C335" s="102" t="n"/>
      <c r="D335" s="114" t="n"/>
      <c r="E335" s="103" t="n"/>
      <c r="F335" s="102" t="n"/>
      <c r="G335" s="102" t="n"/>
      <c r="H335" s="115" t="n"/>
      <c r="I335" s="102" t="n"/>
      <c r="J335" s="102" t="n"/>
      <c r="K335" s="103" t="n"/>
      <c r="L335" s="116">
        <f>IF($H335="","",TRIM(IF(COUNTIF(DMTK!$A$7:$A$250,$F335)=0,"TK Nợ sai! ","")&amp;IF(COUNTIF(DMTK!$A$7:$A$250,$G335)=0,"TK Có sai! ","")&amp;IF(N($H335)&lt;=0,"Tiền phải &gt; 0! ","")&amp;IF($B335="","Thiếu ngày! ","")&amp;IF(AND(OR(LEFT($F335,3)="131",LEFT($G335,3)="131",LEFT($F335,3)="331",LEFT($G335,3)="331"),$I335=""),"Thiếu Mã ĐT! ","")&amp;IF(AND($I335&lt;&gt;"",COUNTIF(DM_DT!$A$7:$A$306,$I335)=0),"Mã ĐT chưa khai báo! ","")))</f>
        <v/>
      </c>
      <c r="M335" s="117">
        <f>IF($H335="","",IF(AND(OR(LEFT($F335,3)="111",LEFT($F335,3)="112",LEFT($F335,3)="113"),OR(LEFT($G335,3)="111",LEFT($G335,3)="112",LEFT($G335,3)="113")),"NB",IF(OR(LEFT($F335,3)="111",LEFT($F335,3)="112",LEFT($F335,3)="113"),"THU",IF(OR(LEFT($G335,3)="111",LEFT($G335,3)="112",LEFT($G335,3)="113"),"CHI",""))))</f>
        <v/>
      </c>
      <c r="N335" s="117">
        <f>IF($M335="THU",$G335,IF($M335="CHI",$F335,""))</f>
        <v/>
      </c>
      <c r="O335" s="117">
        <f>IF(OR($M335="",$M335="NB"),"",IF($J335&lt;&gt;"",TEXT($J335,"00"),IFERROR(VLOOKUP(LEFT($N335,4),LCTT_MAP!$A$7:$C$66,IF($M335="THU",2,3),FALSE()),IFERROR(VLOOKUP(LEFT($N335,3),LCTT_MAP!$A$7:$C$66,IF($M335="THU",2,3),FALSE()),IFERROR(VLOOKUP(LEFT($N335,2),LCTT_MAP!$A$7:$C$66,IF($M335="THU",2,3),FALSE()),IFERROR(VLOOKUP(LEFT($N335,1),LCTT_MAP!$A$7:$C$66,IF($M335="THU",2,3),FALSE()),IF($M335="THU","06","07")))))))</f>
        <v/>
      </c>
      <c r="P335" s="117">
        <f>P334+IF(AND($H335&lt;&gt;"",OR(LEFT($F335,LEN(SC_TK))=SC_TK,LEFT($G335,LEN(SC_TK))=SC_TK)),1,0)</f>
        <v/>
      </c>
    </row>
    <row r="336" ht="15" customHeight="1" s="78">
      <c r="A336" s="95">
        <f>IF($H336="","",ROW()-6)</f>
        <v/>
      </c>
      <c r="B336" s="114" t="n"/>
      <c r="C336" s="102" t="n"/>
      <c r="D336" s="114" t="n"/>
      <c r="E336" s="103" t="n"/>
      <c r="F336" s="102" t="n"/>
      <c r="G336" s="102" t="n"/>
      <c r="H336" s="115" t="n"/>
      <c r="I336" s="102" t="n"/>
      <c r="J336" s="102" t="n"/>
      <c r="K336" s="103" t="n"/>
      <c r="L336" s="116">
        <f>IF($H336="","",TRIM(IF(COUNTIF(DMTK!$A$7:$A$250,$F336)=0,"TK Nợ sai! ","")&amp;IF(COUNTIF(DMTK!$A$7:$A$250,$G336)=0,"TK Có sai! ","")&amp;IF(N($H336)&lt;=0,"Tiền phải &gt; 0! ","")&amp;IF($B336="","Thiếu ngày! ","")&amp;IF(AND(OR(LEFT($F336,3)="131",LEFT($G336,3)="131",LEFT($F336,3)="331",LEFT($G336,3)="331"),$I336=""),"Thiếu Mã ĐT! ","")&amp;IF(AND($I336&lt;&gt;"",COUNTIF(DM_DT!$A$7:$A$306,$I336)=0),"Mã ĐT chưa khai báo! ","")))</f>
        <v/>
      </c>
      <c r="M336" s="117">
        <f>IF($H336="","",IF(AND(OR(LEFT($F336,3)="111",LEFT($F336,3)="112",LEFT($F336,3)="113"),OR(LEFT($G336,3)="111",LEFT($G336,3)="112",LEFT($G336,3)="113")),"NB",IF(OR(LEFT($F336,3)="111",LEFT($F336,3)="112",LEFT($F336,3)="113"),"THU",IF(OR(LEFT($G336,3)="111",LEFT($G336,3)="112",LEFT($G336,3)="113"),"CHI",""))))</f>
        <v/>
      </c>
      <c r="N336" s="117">
        <f>IF($M336="THU",$G336,IF($M336="CHI",$F336,""))</f>
        <v/>
      </c>
      <c r="O336" s="117">
        <f>IF(OR($M336="",$M336="NB"),"",IF($J336&lt;&gt;"",TEXT($J336,"00"),IFERROR(VLOOKUP(LEFT($N336,4),LCTT_MAP!$A$7:$C$66,IF($M336="THU",2,3),FALSE()),IFERROR(VLOOKUP(LEFT($N336,3),LCTT_MAP!$A$7:$C$66,IF($M336="THU",2,3),FALSE()),IFERROR(VLOOKUP(LEFT($N336,2),LCTT_MAP!$A$7:$C$66,IF($M336="THU",2,3),FALSE()),IFERROR(VLOOKUP(LEFT($N336,1),LCTT_MAP!$A$7:$C$66,IF($M336="THU",2,3),FALSE()),IF($M336="THU","06","07")))))))</f>
        <v/>
      </c>
      <c r="P336" s="117">
        <f>P335+IF(AND($H336&lt;&gt;"",OR(LEFT($F336,LEN(SC_TK))=SC_TK,LEFT($G336,LEN(SC_TK))=SC_TK)),1,0)</f>
        <v/>
      </c>
    </row>
    <row r="337" ht="15" customHeight="1" s="78">
      <c r="A337" s="95">
        <f>IF($H337="","",ROW()-6)</f>
        <v/>
      </c>
      <c r="B337" s="114" t="n"/>
      <c r="C337" s="102" t="n"/>
      <c r="D337" s="114" t="n"/>
      <c r="E337" s="103" t="n"/>
      <c r="F337" s="102" t="n"/>
      <c r="G337" s="102" t="n"/>
      <c r="H337" s="115" t="n"/>
      <c r="I337" s="102" t="n"/>
      <c r="J337" s="102" t="n"/>
      <c r="K337" s="103" t="n"/>
      <c r="L337" s="116">
        <f>IF($H337="","",TRIM(IF(COUNTIF(DMTK!$A$7:$A$250,$F337)=0,"TK Nợ sai! ","")&amp;IF(COUNTIF(DMTK!$A$7:$A$250,$G337)=0,"TK Có sai! ","")&amp;IF(N($H337)&lt;=0,"Tiền phải &gt; 0! ","")&amp;IF($B337="","Thiếu ngày! ","")&amp;IF(AND(OR(LEFT($F337,3)="131",LEFT($G337,3)="131",LEFT($F337,3)="331",LEFT($G337,3)="331"),$I337=""),"Thiếu Mã ĐT! ","")&amp;IF(AND($I337&lt;&gt;"",COUNTIF(DM_DT!$A$7:$A$306,$I337)=0),"Mã ĐT chưa khai báo! ","")))</f>
        <v/>
      </c>
      <c r="M337" s="117">
        <f>IF($H337="","",IF(AND(OR(LEFT($F337,3)="111",LEFT($F337,3)="112",LEFT($F337,3)="113"),OR(LEFT($G337,3)="111",LEFT($G337,3)="112",LEFT($G337,3)="113")),"NB",IF(OR(LEFT($F337,3)="111",LEFT($F337,3)="112",LEFT($F337,3)="113"),"THU",IF(OR(LEFT($G337,3)="111",LEFT($G337,3)="112",LEFT($G337,3)="113"),"CHI",""))))</f>
        <v/>
      </c>
      <c r="N337" s="117">
        <f>IF($M337="THU",$G337,IF($M337="CHI",$F337,""))</f>
        <v/>
      </c>
      <c r="O337" s="117">
        <f>IF(OR($M337="",$M337="NB"),"",IF($J337&lt;&gt;"",TEXT($J337,"00"),IFERROR(VLOOKUP(LEFT($N337,4),LCTT_MAP!$A$7:$C$66,IF($M337="THU",2,3),FALSE()),IFERROR(VLOOKUP(LEFT($N337,3),LCTT_MAP!$A$7:$C$66,IF($M337="THU",2,3),FALSE()),IFERROR(VLOOKUP(LEFT($N337,2),LCTT_MAP!$A$7:$C$66,IF($M337="THU",2,3),FALSE()),IFERROR(VLOOKUP(LEFT($N337,1),LCTT_MAP!$A$7:$C$66,IF($M337="THU",2,3),FALSE()),IF($M337="THU","06","07")))))))</f>
        <v/>
      </c>
      <c r="P337" s="117">
        <f>P336+IF(AND($H337&lt;&gt;"",OR(LEFT($F337,LEN(SC_TK))=SC_TK,LEFT($G337,LEN(SC_TK))=SC_TK)),1,0)</f>
        <v/>
      </c>
    </row>
    <row r="338" ht="15" customHeight="1" s="78">
      <c r="A338" s="95">
        <f>IF($H338="","",ROW()-6)</f>
        <v/>
      </c>
      <c r="B338" s="114" t="n"/>
      <c r="C338" s="102" t="n"/>
      <c r="D338" s="114" t="n"/>
      <c r="E338" s="103" t="n"/>
      <c r="F338" s="102" t="n"/>
      <c r="G338" s="102" t="n"/>
      <c r="H338" s="115" t="n"/>
      <c r="I338" s="102" t="n"/>
      <c r="J338" s="102" t="n"/>
      <c r="K338" s="103" t="n"/>
      <c r="L338" s="116">
        <f>IF($H338="","",TRIM(IF(COUNTIF(DMTK!$A$7:$A$250,$F338)=0,"TK Nợ sai! ","")&amp;IF(COUNTIF(DMTK!$A$7:$A$250,$G338)=0,"TK Có sai! ","")&amp;IF(N($H338)&lt;=0,"Tiền phải &gt; 0! ","")&amp;IF($B338="","Thiếu ngày! ","")&amp;IF(AND(OR(LEFT($F338,3)="131",LEFT($G338,3)="131",LEFT($F338,3)="331",LEFT($G338,3)="331"),$I338=""),"Thiếu Mã ĐT! ","")&amp;IF(AND($I338&lt;&gt;"",COUNTIF(DM_DT!$A$7:$A$306,$I338)=0),"Mã ĐT chưa khai báo! ","")))</f>
        <v/>
      </c>
      <c r="M338" s="117">
        <f>IF($H338="","",IF(AND(OR(LEFT($F338,3)="111",LEFT($F338,3)="112",LEFT($F338,3)="113"),OR(LEFT($G338,3)="111",LEFT($G338,3)="112",LEFT($G338,3)="113")),"NB",IF(OR(LEFT($F338,3)="111",LEFT($F338,3)="112",LEFT($F338,3)="113"),"THU",IF(OR(LEFT($G338,3)="111",LEFT($G338,3)="112",LEFT($G338,3)="113"),"CHI",""))))</f>
        <v/>
      </c>
      <c r="N338" s="117">
        <f>IF($M338="THU",$G338,IF($M338="CHI",$F338,""))</f>
        <v/>
      </c>
      <c r="O338" s="117">
        <f>IF(OR($M338="",$M338="NB"),"",IF($J338&lt;&gt;"",TEXT($J338,"00"),IFERROR(VLOOKUP(LEFT($N338,4),LCTT_MAP!$A$7:$C$66,IF($M338="THU",2,3),FALSE()),IFERROR(VLOOKUP(LEFT($N338,3),LCTT_MAP!$A$7:$C$66,IF($M338="THU",2,3),FALSE()),IFERROR(VLOOKUP(LEFT($N338,2),LCTT_MAP!$A$7:$C$66,IF($M338="THU",2,3),FALSE()),IFERROR(VLOOKUP(LEFT($N338,1),LCTT_MAP!$A$7:$C$66,IF($M338="THU",2,3),FALSE()),IF($M338="THU","06","07")))))))</f>
        <v/>
      </c>
      <c r="P338" s="117">
        <f>P337+IF(AND($H338&lt;&gt;"",OR(LEFT($F338,LEN(SC_TK))=SC_TK,LEFT($G338,LEN(SC_TK))=SC_TK)),1,0)</f>
        <v/>
      </c>
    </row>
    <row r="339" ht="15" customHeight="1" s="78">
      <c r="A339" s="95">
        <f>IF($H339="","",ROW()-6)</f>
        <v/>
      </c>
      <c r="B339" s="114" t="n"/>
      <c r="C339" s="102" t="n"/>
      <c r="D339" s="114" t="n"/>
      <c r="E339" s="103" t="n"/>
      <c r="F339" s="102" t="n"/>
      <c r="G339" s="102" t="n"/>
      <c r="H339" s="115" t="n"/>
      <c r="I339" s="102" t="n"/>
      <c r="J339" s="102" t="n"/>
      <c r="K339" s="103" t="n"/>
      <c r="L339" s="116">
        <f>IF($H339="","",TRIM(IF(COUNTIF(DMTK!$A$7:$A$250,$F339)=0,"TK Nợ sai! ","")&amp;IF(COUNTIF(DMTK!$A$7:$A$250,$G339)=0,"TK Có sai! ","")&amp;IF(N($H339)&lt;=0,"Tiền phải &gt; 0! ","")&amp;IF($B339="","Thiếu ngày! ","")&amp;IF(AND(OR(LEFT($F339,3)="131",LEFT($G339,3)="131",LEFT($F339,3)="331",LEFT($G339,3)="331"),$I339=""),"Thiếu Mã ĐT! ","")&amp;IF(AND($I339&lt;&gt;"",COUNTIF(DM_DT!$A$7:$A$306,$I339)=0),"Mã ĐT chưa khai báo! ","")))</f>
        <v/>
      </c>
      <c r="M339" s="117">
        <f>IF($H339="","",IF(AND(OR(LEFT($F339,3)="111",LEFT($F339,3)="112",LEFT($F339,3)="113"),OR(LEFT($G339,3)="111",LEFT($G339,3)="112",LEFT($G339,3)="113")),"NB",IF(OR(LEFT($F339,3)="111",LEFT($F339,3)="112",LEFT($F339,3)="113"),"THU",IF(OR(LEFT($G339,3)="111",LEFT($G339,3)="112",LEFT($G339,3)="113"),"CHI",""))))</f>
        <v/>
      </c>
      <c r="N339" s="117">
        <f>IF($M339="THU",$G339,IF($M339="CHI",$F339,""))</f>
        <v/>
      </c>
      <c r="O339" s="117">
        <f>IF(OR($M339="",$M339="NB"),"",IF($J339&lt;&gt;"",TEXT($J339,"00"),IFERROR(VLOOKUP(LEFT($N339,4),LCTT_MAP!$A$7:$C$66,IF($M339="THU",2,3),FALSE()),IFERROR(VLOOKUP(LEFT($N339,3),LCTT_MAP!$A$7:$C$66,IF($M339="THU",2,3),FALSE()),IFERROR(VLOOKUP(LEFT($N339,2),LCTT_MAP!$A$7:$C$66,IF($M339="THU",2,3),FALSE()),IFERROR(VLOOKUP(LEFT($N339,1),LCTT_MAP!$A$7:$C$66,IF($M339="THU",2,3),FALSE()),IF($M339="THU","06","07")))))))</f>
        <v/>
      </c>
      <c r="P339" s="117">
        <f>P338+IF(AND($H339&lt;&gt;"",OR(LEFT($F339,LEN(SC_TK))=SC_TK,LEFT($G339,LEN(SC_TK))=SC_TK)),1,0)</f>
        <v/>
      </c>
    </row>
    <row r="340" ht="15" customHeight="1" s="78">
      <c r="A340" s="95">
        <f>IF($H340="","",ROW()-6)</f>
        <v/>
      </c>
      <c r="B340" s="114" t="n"/>
      <c r="C340" s="102" t="n"/>
      <c r="D340" s="114" t="n"/>
      <c r="E340" s="103" t="n"/>
      <c r="F340" s="102" t="n"/>
      <c r="G340" s="102" t="n"/>
      <c r="H340" s="115" t="n"/>
      <c r="I340" s="102" t="n"/>
      <c r="J340" s="102" t="n"/>
      <c r="K340" s="103" t="n"/>
      <c r="L340" s="116">
        <f>IF($H340="","",TRIM(IF(COUNTIF(DMTK!$A$7:$A$250,$F340)=0,"TK Nợ sai! ","")&amp;IF(COUNTIF(DMTK!$A$7:$A$250,$G340)=0,"TK Có sai! ","")&amp;IF(N($H340)&lt;=0,"Tiền phải &gt; 0! ","")&amp;IF($B340="","Thiếu ngày! ","")&amp;IF(AND(OR(LEFT($F340,3)="131",LEFT($G340,3)="131",LEFT($F340,3)="331",LEFT($G340,3)="331"),$I340=""),"Thiếu Mã ĐT! ","")&amp;IF(AND($I340&lt;&gt;"",COUNTIF(DM_DT!$A$7:$A$306,$I340)=0),"Mã ĐT chưa khai báo! ","")))</f>
        <v/>
      </c>
      <c r="M340" s="117">
        <f>IF($H340="","",IF(AND(OR(LEFT($F340,3)="111",LEFT($F340,3)="112",LEFT($F340,3)="113"),OR(LEFT($G340,3)="111",LEFT($G340,3)="112",LEFT($G340,3)="113")),"NB",IF(OR(LEFT($F340,3)="111",LEFT($F340,3)="112",LEFT($F340,3)="113"),"THU",IF(OR(LEFT($G340,3)="111",LEFT($G340,3)="112",LEFT($G340,3)="113"),"CHI",""))))</f>
        <v/>
      </c>
      <c r="N340" s="117">
        <f>IF($M340="THU",$G340,IF($M340="CHI",$F340,""))</f>
        <v/>
      </c>
      <c r="O340" s="117">
        <f>IF(OR($M340="",$M340="NB"),"",IF($J340&lt;&gt;"",TEXT($J340,"00"),IFERROR(VLOOKUP(LEFT($N340,4),LCTT_MAP!$A$7:$C$66,IF($M340="THU",2,3),FALSE()),IFERROR(VLOOKUP(LEFT($N340,3),LCTT_MAP!$A$7:$C$66,IF($M340="THU",2,3),FALSE()),IFERROR(VLOOKUP(LEFT($N340,2),LCTT_MAP!$A$7:$C$66,IF($M340="THU",2,3),FALSE()),IFERROR(VLOOKUP(LEFT($N340,1),LCTT_MAP!$A$7:$C$66,IF($M340="THU",2,3),FALSE()),IF($M340="THU","06","07")))))))</f>
        <v/>
      </c>
      <c r="P340" s="117">
        <f>P339+IF(AND($H340&lt;&gt;"",OR(LEFT($F340,LEN(SC_TK))=SC_TK,LEFT($G340,LEN(SC_TK))=SC_TK)),1,0)</f>
        <v/>
      </c>
    </row>
    <row r="341" ht="15" customHeight="1" s="78">
      <c r="A341" s="95">
        <f>IF($H341="","",ROW()-6)</f>
        <v/>
      </c>
      <c r="B341" s="114" t="n"/>
      <c r="C341" s="102" t="n"/>
      <c r="D341" s="114" t="n"/>
      <c r="E341" s="103" t="n"/>
      <c r="F341" s="102" t="n"/>
      <c r="G341" s="102" t="n"/>
      <c r="H341" s="115" t="n"/>
      <c r="I341" s="102" t="n"/>
      <c r="J341" s="102" t="n"/>
      <c r="K341" s="103" t="n"/>
      <c r="L341" s="116">
        <f>IF($H341="","",TRIM(IF(COUNTIF(DMTK!$A$7:$A$250,$F341)=0,"TK Nợ sai! ","")&amp;IF(COUNTIF(DMTK!$A$7:$A$250,$G341)=0,"TK Có sai! ","")&amp;IF(N($H341)&lt;=0,"Tiền phải &gt; 0! ","")&amp;IF($B341="","Thiếu ngày! ","")&amp;IF(AND(OR(LEFT($F341,3)="131",LEFT($G341,3)="131",LEFT($F341,3)="331",LEFT($G341,3)="331"),$I341=""),"Thiếu Mã ĐT! ","")&amp;IF(AND($I341&lt;&gt;"",COUNTIF(DM_DT!$A$7:$A$306,$I341)=0),"Mã ĐT chưa khai báo! ","")))</f>
        <v/>
      </c>
      <c r="M341" s="117">
        <f>IF($H341="","",IF(AND(OR(LEFT($F341,3)="111",LEFT($F341,3)="112",LEFT($F341,3)="113"),OR(LEFT($G341,3)="111",LEFT($G341,3)="112",LEFT($G341,3)="113")),"NB",IF(OR(LEFT($F341,3)="111",LEFT($F341,3)="112",LEFT($F341,3)="113"),"THU",IF(OR(LEFT($G341,3)="111",LEFT($G341,3)="112",LEFT($G341,3)="113"),"CHI",""))))</f>
        <v/>
      </c>
      <c r="N341" s="117">
        <f>IF($M341="THU",$G341,IF($M341="CHI",$F341,""))</f>
        <v/>
      </c>
      <c r="O341" s="117">
        <f>IF(OR($M341="",$M341="NB"),"",IF($J341&lt;&gt;"",TEXT($J341,"00"),IFERROR(VLOOKUP(LEFT($N341,4),LCTT_MAP!$A$7:$C$66,IF($M341="THU",2,3),FALSE()),IFERROR(VLOOKUP(LEFT($N341,3),LCTT_MAP!$A$7:$C$66,IF($M341="THU",2,3),FALSE()),IFERROR(VLOOKUP(LEFT($N341,2),LCTT_MAP!$A$7:$C$66,IF($M341="THU",2,3),FALSE()),IFERROR(VLOOKUP(LEFT($N341,1),LCTT_MAP!$A$7:$C$66,IF($M341="THU",2,3),FALSE()),IF($M341="THU","06","07")))))))</f>
        <v/>
      </c>
      <c r="P341" s="117">
        <f>P340+IF(AND($H341&lt;&gt;"",OR(LEFT($F341,LEN(SC_TK))=SC_TK,LEFT($G341,LEN(SC_TK))=SC_TK)),1,0)</f>
        <v/>
      </c>
    </row>
    <row r="342" ht="15" customHeight="1" s="78">
      <c r="A342" s="95">
        <f>IF($H342="","",ROW()-6)</f>
        <v/>
      </c>
      <c r="B342" s="114" t="n"/>
      <c r="C342" s="102" t="n"/>
      <c r="D342" s="114" t="n"/>
      <c r="E342" s="103" t="n"/>
      <c r="F342" s="102" t="n"/>
      <c r="G342" s="102" t="n"/>
      <c r="H342" s="115" t="n"/>
      <c r="I342" s="102" t="n"/>
      <c r="J342" s="102" t="n"/>
      <c r="K342" s="103" t="n"/>
      <c r="L342" s="116">
        <f>IF($H342="","",TRIM(IF(COUNTIF(DMTK!$A$7:$A$250,$F342)=0,"TK Nợ sai! ","")&amp;IF(COUNTIF(DMTK!$A$7:$A$250,$G342)=0,"TK Có sai! ","")&amp;IF(N($H342)&lt;=0,"Tiền phải &gt; 0! ","")&amp;IF($B342="","Thiếu ngày! ","")&amp;IF(AND(OR(LEFT($F342,3)="131",LEFT($G342,3)="131",LEFT($F342,3)="331",LEFT($G342,3)="331"),$I342=""),"Thiếu Mã ĐT! ","")&amp;IF(AND($I342&lt;&gt;"",COUNTIF(DM_DT!$A$7:$A$306,$I342)=0),"Mã ĐT chưa khai báo! ","")))</f>
        <v/>
      </c>
      <c r="M342" s="117">
        <f>IF($H342="","",IF(AND(OR(LEFT($F342,3)="111",LEFT($F342,3)="112",LEFT($F342,3)="113"),OR(LEFT($G342,3)="111",LEFT($G342,3)="112",LEFT($G342,3)="113")),"NB",IF(OR(LEFT($F342,3)="111",LEFT($F342,3)="112",LEFT($F342,3)="113"),"THU",IF(OR(LEFT($G342,3)="111",LEFT($G342,3)="112",LEFT($G342,3)="113"),"CHI",""))))</f>
        <v/>
      </c>
      <c r="N342" s="117">
        <f>IF($M342="THU",$G342,IF($M342="CHI",$F342,""))</f>
        <v/>
      </c>
      <c r="O342" s="117">
        <f>IF(OR($M342="",$M342="NB"),"",IF($J342&lt;&gt;"",TEXT($J342,"00"),IFERROR(VLOOKUP(LEFT($N342,4),LCTT_MAP!$A$7:$C$66,IF($M342="THU",2,3),FALSE()),IFERROR(VLOOKUP(LEFT($N342,3),LCTT_MAP!$A$7:$C$66,IF($M342="THU",2,3),FALSE()),IFERROR(VLOOKUP(LEFT($N342,2),LCTT_MAP!$A$7:$C$66,IF($M342="THU",2,3),FALSE()),IFERROR(VLOOKUP(LEFT($N342,1),LCTT_MAP!$A$7:$C$66,IF($M342="THU",2,3),FALSE()),IF($M342="THU","06","07")))))))</f>
        <v/>
      </c>
      <c r="P342" s="117">
        <f>P341+IF(AND($H342&lt;&gt;"",OR(LEFT($F342,LEN(SC_TK))=SC_TK,LEFT($G342,LEN(SC_TK))=SC_TK)),1,0)</f>
        <v/>
      </c>
    </row>
    <row r="343" ht="15" customHeight="1" s="78">
      <c r="A343" s="95">
        <f>IF($H343="","",ROW()-6)</f>
        <v/>
      </c>
      <c r="B343" s="114" t="n"/>
      <c r="C343" s="102" t="n"/>
      <c r="D343" s="114" t="n"/>
      <c r="E343" s="103" t="n"/>
      <c r="F343" s="102" t="n"/>
      <c r="G343" s="102" t="n"/>
      <c r="H343" s="115" t="n"/>
      <c r="I343" s="102" t="n"/>
      <c r="J343" s="102" t="n"/>
      <c r="K343" s="103" t="n"/>
      <c r="L343" s="116">
        <f>IF($H343="","",TRIM(IF(COUNTIF(DMTK!$A$7:$A$250,$F343)=0,"TK Nợ sai! ","")&amp;IF(COUNTIF(DMTK!$A$7:$A$250,$G343)=0,"TK Có sai! ","")&amp;IF(N($H343)&lt;=0,"Tiền phải &gt; 0! ","")&amp;IF($B343="","Thiếu ngày! ","")&amp;IF(AND(OR(LEFT($F343,3)="131",LEFT($G343,3)="131",LEFT($F343,3)="331",LEFT($G343,3)="331"),$I343=""),"Thiếu Mã ĐT! ","")&amp;IF(AND($I343&lt;&gt;"",COUNTIF(DM_DT!$A$7:$A$306,$I343)=0),"Mã ĐT chưa khai báo! ","")))</f>
        <v/>
      </c>
      <c r="M343" s="117">
        <f>IF($H343="","",IF(AND(OR(LEFT($F343,3)="111",LEFT($F343,3)="112",LEFT($F343,3)="113"),OR(LEFT($G343,3)="111",LEFT($G343,3)="112",LEFT($G343,3)="113")),"NB",IF(OR(LEFT($F343,3)="111",LEFT($F343,3)="112",LEFT($F343,3)="113"),"THU",IF(OR(LEFT($G343,3)="111",LEFT($G343,3)="112",LEFT($G343,3)="113"),"CHI",""))))</f>
        <v/>
      </c>
      <c r="N343" s="117">
        <f>IF($M343="THU",$G343,IF($M343="CHI",$F343,""))</f>
        <v/>
      </c>
      <c r="O343" s="117">
        <f>IF(OR($M343="",$M343="NB"),"",IF($J343&lt;&gt;"",TEXT($J343,"00"),IFERROR(VLOOKUP(LEFT($N343,4),LCTT_MAP!$A$7:$C$66,IF($M343="THU",2,3),FALSE()),IFERROR(VLOOKUP(LEFT($N343,3),LCTT_MAP!$A$7:$C$66,IF($M343="THU",2,3),FALSE()),IFERROR(VLOOKUP(LEFT($N343,2),LCTT_MAP!$A$7:$C$66,IF($M343="THU",2,3),FALSE()),IFERROR(VLOOKUP(LEFT($N343,1),LCTT_MAP!$A$7:$C$66,IF($M343="THU",2,3),FALSE()),IF($M343="THU","06","07")))))))</f>
        <v/>
      </c>
      <c r="P343" s="117">
        <f>P342+IF(AND($H343&lt;&gt;"",OR(LEFT($F343,LEN(SC_TK))=SC_TK,LEFT($G343,LEN(SC_TK))=SC_TK)),1,0)</f>
        <v/>
      </c>
    </row>
    <row r="344" ht="15" customHeight="1" s="78">
      <c r="A344" s="95">
        <f>IF($H344="","",ROW()-6)</f>
        <v/>
      </c>
      <c r="B344" s="114" t="n"/>
      <c r="C344" s="102" t="n"/>
      <c r="D344" s="114" t="n"/>
      <c r="E344" s="103" t="n"/>
      <c r="F344" s="102" t="n"/>
      <c r="G344" s="102" t="n"/>
      <c r="H344" s="115" t="n"/>
      <c r="I344" s="102" t="n"/>
      <c r="J344" s="102" t="n"/>
      <c r="K344" s="103" t="n"/>
      <c r="L344" s="116">
        <f>IF($H344="","",TRIM(IF(COUNTIF(DMTK!$A$7:$A$250,$F344)=0,"TK Nợ sai! ","")&amp;IF(COUNTIF(DMTK!$A$7:$A$250,$G344)=0,"TK Có sai! ","")&amp;IF(N($H344)&lt;=0,"Tiền phải &gt; 0! ","")&amp;IF($B344="","Thiếu ngày! ","")&amp;IF(AND(OR(LEFT($F344,3)="131",LEFT($G344,3)="131",LEFT($F344,3)="331",LEFT($G344,3)="331"),$I344=""),"Thiếu Mã ĐT! ","")&amp;IF(AND($I344&lt;&gt;"",COUNTIF(DM_DT!$A$7:$A$306,$I344)=0),"Mã ĐT chưa khai báo! ","")))</f>
        <v/>
      </c>
      <c r="M344" s="117">
        <f>IF($H344="","",IF(AND(OR(LEFT($F344,3)="111",LEFT($F344,3)="112",LEFT($F344,3)="113"),OR(LEFT($G344,3)="111",LEFT($G344,3)="112",LEFT($G344,3)="113")),"NB",IF(OR(LEFT($F344,3)="111",LEFT($F344,3)="112",LEFT($F344,3)="113"),"THU",IF(OR(LEFT($G344,3)="111",LEFT($G344,3)="112",LEFT($G344,3)="113"),"CHI",""))))</f>
        <v/>
      </c>
      <c r="N344" s="117">
        <f>IF($M344="THU",$G344,IF($M344="CHI",$F344,""))</f>
        <v/>
      </c>
      <c r="O344" s="117">
        <f>IF(OR($M344="",$M344="NB"),"",IF($J344&lt;&gt;"",TEXT($J344,"00"),IFERROR(VLOOKUP(LEFT($N344,4),LCTT_MAP!$A$7:$C$66,IF($M344="THU",2,3),FALSE()),IFERROR(VLOOKUP(LEFT($N344,3),LCTT_MAP!$A$7:$C$66,IF($M344="THU",2,3),FALSE()),IFERROR(VLOOKUP(LEFT($N344,2),LCTT_MAP!$A$7:$C$66,IF($M344="THU",2,3),FALSE()),IFERROR(VLOOKUP(LEFT($N344,1),LCTT_MAP!$A$7:$C$66,IF($M344="THU",2,3),FALSE()),IF($M344="THU","06","07")))))))</f>
        <v/>
      </c>
      <c r="P344" s="117">
        <f>P343+IF(AND($H344&lt;&gt;"",OR(LEFT($F344,LEN(SC_TK))=SC_TK,LEFT($G344,LEN(SC_TK))=SC_TK)),1,0)</f>
        <v/>
      </c>
    </row>
    <row r="345" ht="15" customHeight="1" s="78">
      <c r="A345" s="95">
        <f>IF($H345="","",ROW()-6)</f>
        <v/>
      </c>
      <c r="B345" s="114" t="n"/>
      <c r="C345" s="102" t="n"/>
      <c r="D345" s="114" t="n"/>
      <c r="E345" s="103" t="n"/>
      <c r="F345" s="102" t="n"/>
      <c r="G345" s="102" t="n"/>
      <c r="H345" s="115" t="n"/>
      <c r="I345" s="102" t="n"/>
      <c r="J345" s="102" t="n"/>
      <c r="K345" s="103" t="n"/>
      <c r="L345" s="116">
        <f>IF($H345="","",TRIM(IF(COUNTIF(DMTK!$A$7:$A$250,$F345)=0,"TK Nợ sai! ","")&amp;IF(COUNTIF(DMTK!$A$7:$A$250,$G345)=0,"TK Có sai! ","")&amp;IF(N($H345)&lt;=0,"Tiền phải &gt; 0! ","")&amp;IF($B345="","Thiếu ngày! ","")&amp;IF(AND(OR(LEFT($F345,3)="131",LEFT($G345,3)="131",LEFT($F345,3)="331",LEFT($G345,3)="331"),$I345=""),"Thiếu Mã ĐT! ","")&amp;IF(AND($I345&lt;&gt;"",COUNTIF(DM_DT!$A$7:$A$306,$I345)=0),"Mã ĐT chưa khai báo! ","")))</f>
        <v/>
      </c>
      <c r="M345" s="117">
        <f>IF($H345="","",IF(AND(OR(LEFT($F345,3)="111",LEFT($F345,3)="112",LEFT($F345,3)="113"),OR(LEFT($G345,3)="111",LEFT($G345,3)="112",LEFT($G345,3)="113")),"NB",IF(OR(LEFT($F345,3)="111",LEFT($F345,3)="112",LEFT($F345,3)="113"),"THU",IF(OR(LEFT($G345,3)="111",LEFT($G345,3)="112",LEFT($G345,3)="113"),"CHI",""))))</f>
        <v/>
      </c>
      <c r="N345" s="117">
        <f>IF($M345="THU",$G345,IF($M345="CHI",$F345,""))</f>
        <v/>
      </c>
      <c r="O345" s="117">
        <f>IF(OR($M345="",$M345="NB"),"",IF($J345&lt;&gt;"",TEXT($J345,"00"),IFERROR(VLOOKUP(LEFT($N345,4),LCTT_MAP!$A$7:$C$66,IF($M345="THU",2,3),FALSE()),IFERROR(VLOOKUP(LEFT($N345,3),LCTT_MAP!$A$7:$C$66,IF($M345="THU",2,3),FALSE()),IFERROR(VLOOKUP(LEFT($N345,2),LCTT_MAP!$A$7:$C$66,IF($M345="THU",2,3),FALSE()),IFERROR(VLOOKUP(LEFT($N345,1),LCTT_MAP!$A$7:$C$66,IF($M345="THU",2,3),FALSE()),IF($M345="THU","06","07")))))))</f>
        <v/>
      </c>
      <c r="P345" s="117">
        <f>P344+IF(AND($H345&lt;&gt;"",OR(LEFT($F345,LEN(SC_TK))=SC_TK,LEFT($G345,LEN(SC_TK))=SC_TK)),1,0)</f>
        <v/>
      </c>
    </row>
    <row r="346" ht="15" customHeight="1" s="78">
      <c r="A346" s="95">
        <f>IF($H346="","",ROW()-6)</f>
        <v/>
      </c>
      <c r="B346" s="114" t="n"/>
      <c r="C346" s="102" t="n"/>
      <c r="D346" s="114" t="n"/>
      <c r="E346" s="103" t="n"/>
      <c r="F346" s="102" t="n"/>
      <c r="G346" s="102" t="n"/>
      <c r="H346" s="115" t="n"/>
      <c r="I346" s="102" t="n"/>
      <c r="J346" s="102" t="n"/>
      <c r="K346" s="103" t="n"/>
      <c r="L346" s="116">
        <f>IF($H346="","",TRIM(IF(COUNTIF(DMTK!$A$7:$A$250,$F346)=0,"TK Nợ sai! ","")&amp;IF(COUNTIF(DMTK!$A$7:$A$250,$G346)=0,"TK Có sai! ","")&amp;IF(N($H346)&lt;=0,"Tiền phải &gt; 0! ","")&amp;IF($B346="","Thiếu ngày! ","")&amp;IF(AND(OR(LEFT($F346,3)="131",LEFT($G346,3)="131",LEFT($F346,3)="331",LEFT($G346,3)="331"),$I346=""),"Thiếu Mã ĐT! ","")&amp;IF(AND($I346&lt;&gt;"",COUNTIF(DM_DT!$A$7:$A$306,$I346)=0),"Mã ĐT chưa khai báo! ","")))</f>
        <v/>
      </c>
      <c r="M346" s="117">
        <f>IF($H346="","",IF(AND(OR(LEFT($F346,3)="111",LEFT($F346,3)="112",LEFT($F346,3)="113"),OR(LEFT($G346,3)="111",LEFT($G346,3)="112",LEFT($G346,3)="113")),"NB",IF(OR(LEFT($F346,3)="111",LEFT($F346,3)="112",LEFT($F346,3)="113"),"THU",IF(OR(LEFT($G346,3)="111",LEFT($G346,3)="112",LEFT($G346,3)="113"),"CHI",""))))</f>
        <v/>
      </c>
      <c r="N346" s="117">
        <f>IF($M346="THU",$G346,IF($M346="CHI",$F346,""))</f>
        <v/>
      </c>
      <c r="O346" s="117">
        <f>IF(OR($M346="",$M346="NB"),"",IF($J346&lt;&gt;"",TEXT($J346,"00"),IFERROR(VLOOKUP(LEFT($N346,4),LCTT_MAP!$A$7:$C$66,IF($M346="THU",2,3),FALSE()),IFERROR(VLOOKUP(LEFT($N346,3),LCTT_MAP!$A$7:$C$66,IF($M346="THU",2,3),FALSE()),IFERROR(VLOOKUP(LEFT($N346,2),LCTT_MAP!$A$7:$C$66,IF($M346="THU",2,3),FALSE()),IFERROR(VLOOKUP(LEFT($N346,1),LCTT_MAP!$A$7:$C$66,IF($M346="THU",2,3),FALSE()),IF($M346="THU","06","07")))))))</f>
        <v/>
      </c>
      <c r="P346" s="117">
        <f>P345+IF(AND($H346&lt;&gt;"",OR(LEFT($F346,LEN(SC_TK))=SC_TK,LEFT($G346,LEN(SC_TK))=SC_TK)),1,0)</f>
        <v/>
      </c>
    </row>
    <row r="347" ht="15" customHeight="1" s="78">
      <c r="A347" s="95">
        <f>IF($H347="","",ROW()-6)</f>
        <v/>
      </c>
      <c r="B347" s="114" t="n"/>
      <c r="C347" s="102" t="n"/>
      <c r="D347" s="114" t="n"/>
      <c r="E347" s="103" t="n"/>
      <c r="F347" s="102" t="n"/>
      <c r="G347" s="102" t="n"/>
      <c r="H347" s="115" t="n"/>
      <c r="I347" s="102" t="n"/>
      <c r="J347" s="102" t="n"/>
      <c r="K347" s="103" t="n"/>
      <c r="L347" s="116">
        <f>IF($H347="","",TRIM(IF(COUNTIF(DMTK!$A$7:$A$250,$F347)=0,"TK Nợ sai! ","")&amp;IF(COUNTIF(DMTK!$A$7:$A$250,$G347)=0,"TK Có sai! ","")&amp;IF(N($H347)&lt;=0,"Tiền phải &gt; 0! ","")&amp;IF($B347="","Thiếu ngày! ","")&amp;IF(AND(OR(LEFT($F347,3)="131",LEFT($G347,3)="131",LEFT($F347,3)="331",LEFT($G347,3)="331"),$I347=""),"Thiếu Mã ĐT! ","")&amp;IF(AND($I347&lt;&gt;"",COUNTIF(DM_DT!$A$7:$A$306,$I347)=0),"Mã ĐT chưa khai báo! ","")))</f>
        <v/>
      </c>
      <c r="M347" s="117">
        <f>IF($H347="","",IF(AND(OR(LEFT($F347,3)="111",LEFT($F347,3)="112",LEFT($F347,3)="113"),OR(LEFT($G347,3)="111",LEFT($G347,3)="112",LEFT($G347,3)="113")),"NB",IF(OR(LEFT($F347,3)="111",LEFT($F347,3)="112",LEFT($F347,3)="113"),"THU",IF(OR(LEFT($G347,3)="111",LEFT($G347,3)="112",LEFT($G347,3)="113"),"CHI",""))))</f>
        <v/>
      </c>
      <c r="N347" s="117">
        <f>IF($M347="THU",$G347,IF($M347="CHI",$F347,""))</f>
        <v/>
      </c>
      <c r="O347" s="117">
        <f>IF(OR($M347="",$M347="NB"),"",IF($J347&lt;&gt;"",TEXT($J347,"00"),IFERROR(VLOOKUP(LEFT($N347,4),LCTT_MAP!$A$7:$C$66,IF($M347="THU",2,3),FALSE()),IFERROR(VLOOKUP(LEFT($N347,3),LCTT_MAP!$A$7:$C$66,IF($M347="THU",2,3),FALSE()),IFERROR(VLOOKUP(LEFT($N347,2),LCTT_MAP!$A$7:$C$66,IF($M347="THU",2,3),FALSE()),IFERROR(VLOOKUP(LEFT($N347,1),LCTT_MAP!$A$7:$C$66,IF($M347="THU",2,3),FALSE()),IF($M347="THU","06","07")))))))</f>
        <v/>
      </c>
      <c r="P347" s="117">
        <f>P346+IF(AND($H347&lt;&gt;"",OR(LEFT($F347,LEN(SC_TK))=SC_TK,LEFT($G347,LEN(SC_TK))=SC_TK)),1,0)</f>
        <v/>
      </c>
    </row>
    <row r="348" ht="15" customHeight="1" s="78">
      <c r="A348" s="95">
        <f>IF($H348="","",ROW()-6)</f>
        <v/>
      </c>
      <c r="B348" s="114" t="n"/>
      <c r="C348" s="102" t="n"/>
      <c r="D348" s="114" t="n"/>
      <c r="E348" s="103" t="n"/>
      <c r="F348" s="102" t="n"/>
      <c r="G348" s="102" t="n"/>
      <c r="H348" s="115" t="n"/>
      <c r="I348" s="102" t="n"/>
      <c r="J348" s="102" t="n"/>
      <c r="K348" s="103" t="n"/>
      <c r="L348" s="116">
        <f>IF($H348="","",TRIM(IF(COUNTIF(DMTK!$A$7:$A$250,$F348)=0,"TK Nợ sai! ","")&amp;IF(COUNTIF(DMTK!$A$7:$A$250,$G348)=0,"TK Có sai! ","")&amp;IF(N($H348)&lt;=0,"Tiền phải &gt; 0! ","")&amp;IF($B348="","Thiếu ngày! ","")&amp;IF(AND(OR(LEFT($F348,3)="131",LEFT($G348,3)="131",LEFT($F348,3)="331",LEFT($G348,3)="331"),$I348=""),"Thiếu Mã ĐT! ","")&amp;IF(AND($I348&lt;&gt;"",COUNTIF(DM_DT!$A$7:$A$306,$I348)=0),"Mã ĐT chưa khai báo! ","")))</f>
        <v/>
      </c>
      <c r="M348" s="117">
        <f>IF($H348="","",IF(AND(OR(LEFT($F348,3)="111",LEFT($F348,3)="112",LEFT($F348,3)="113"),OR(LEFT($G348,3)="111",LEFT($G348,3)="112",LEFT($G348,3)="113")),"NB",IF(OR(LEFT($F348,3)="111",LEFT($F348,3)="112",LEFT($F348,3)="113"),"THU",IF(OR(LEFT($G348,3)="111",LEFT($G348,3)="112",LEFT($G348,3)="113"),"CHI",""))))</f>
        <v/>
      </c>
      <c r="N348" s="117">
        <f>IF($M348="THU",$G348,IF($M348="CHI",$F348,""))</f>
        <v/>
      </c>
      <c r="O348" s="117">
        <f>IF(OR($M348="",$M348="NB"),"",IF($J348&lt;&gt;"",TEXT($J348,"00"),IFERROR(VLOOKUP(LEFT($N348,4),LCTT_MAP!$A$7:$C$66,IF($M348="THU",2,3),FALSE()),IFERROR(VLOOKUP(LEFT($N348,3),LCTT_MAP!$A$7:$C$66,IF($M348="THU",2,3),FALSE()),IFERROR(VLOOKUP(LEFT($N348,2),LCTT_MAP!$A$7:$C$66,IF($M348="THU",2,3),FALSE()),IFERROR(VLOOKUP(LEFT($N348,1),LCTT_MAP!$A$7:$C$66,IF($M348="THU",2,3),FALSE()),IF($M348="THU","06","07")))))))</f>
        <v/>
      </c>
      <c r="P348" s="117">
        <f>P347+IF(AND($H348&lt;&gt;"",OR(LEFT($F348,LEN(SC_TK))=SC_TK,LEFT($G348,LEN(SC_TK))=SC_TK)),1,0)</f>
        <v/>
      </c>
    </row>
    <row r="349" ht="15" customHeight="1" s="78">
      <c r="A349" s="95">
        <f>IF($H349="","",ROW()-6)</f>
        <v/>
      </c>
      <c r="B349" s="114" t="n"/>
      <c r="C349" s="102" t="n"/>
      <c r="D349" s="114" t="n"/>
      <c r="E349" s="103" t="n"/>
      <c r="F349" s="102" t="n"/>
      <c r="G349" s="102" t="n"/>
      <c r="H349" s="115" t="n"/>
      <c r="I349" s="102" t="n"/>
      <c r="J349" s="102" t="n"/>
      <c r="K349" s="103" t="n"/>
      <c r="L349" s="116">
        <f>IF($H349="","",TRIM(IF(COUNTIF(DMTK!$A$7:$A$250,$F349)=0,"TK Nợ sai! ","")&amp;IF(COUNTIF(DMTK!$A$7:$A$250,$G349)=0,"TK Có sai! ","")&amp;IF(N($H349)&lt;=0,"Tiền phải &gt; 0! ","")&amp;IF($B349="","Thiếu ngày! ","")&amp;IF(AND(OR(LEFT($F349,3)="131",LEFT($G349,3)="131",LEFT($F349,3)="331",LEFT($G349,3)="331"),$I349=""),"Thiếu Mã ĐT! ","")&amp;IF(AND($I349&lt;&gt;"",COUNTIF(DM_DT!$A$7:$A$306,$I349)=0),"Mã ĐT chưa khai báo! ","")))</f>
        <v/>
      </c>
      <c r="M349" s="117">
        <f>IF($H349="","",IF(AND(OR(LEFT($F349,3)="111",LEFT($F349,3)="112",LEFT($F349,3)="113"),OR(LEFT($G349,3)="111",LEFT($G349,3)="112",LEFT($G349,3)="113")),"NB",IF(OR(LEFT($F349,3)="111",LEFT($F349,3)="112",LEFT($F349,3)="113"),"THU",IF(OR(LEFT($G349,3)="111",LEFT($G349,3)="112",LEFT($G349,3)="113"),"CHI",""))))</f>
        <v/>
      </c>
      <c r="N349" s="117">
        <f>IF($M349="THU",$G349,IF($M349="CHI",$F349,""))</f>
        <v/>
      </c>
      <c r="O349" s="117">
        <f>IF(OR($M349="",$M349="NB"),"",IF($J349&lt;&gt;"",TEXT($J349,"00"),IFERROR(VLOOKUP(LEFT($N349,4),LCTT_MAP!$A$7:$C$66,IF($M349="THU",2,3),FALSE()),IFERROR(VLOOKUP(LEFT($N349,3),LCTT_MAP!$A$7:$C$66,IF($M349="THU",2,3),FALSE()),IFERROR(VLOOKUP(LEFT($N349,2),LCTT_MAP!$A$7:$C$66,IF($M349="THU",2,3),FALSE()),IFERROR(VLOOKUP(LEFT($N349,1),LCTT_MAP!$A$7:$C$66,IF($M349="THU",2,3),FALSE()),IF($M349="THU","06","07")))))))</f>
        <v/>
      </c>
      <c r="P349" s="117">
        <f>P348+IF(AND($H349&lt;&gt;"",OR(LEFT($F349,LEN(SC_TK))=SC_TK,LEFT($G349,LEN(SC_TK))=SC_TK)),1,0)</f>
        <v/>
      </c>
    </row>
    <row r="350" ht="15" customHeight="1" s="78">
      <c r="A350" s="95">
        <f>IF($H350="","",ROW()-6)</f>
        <v/>
      </c>
      <c r="B350" s="114" t="n"/>
      <c r="C350" s="102" t="n"/>
      <c r="D350" s="114" t="n"/>
      <c r="E350" s="103" t="n"/>
      <c r="F350" s="102" t="n"/>
      <c r="G350" s="102" t="n"/>
      <c r="H350" s="115" t="n"/>
      <c r="I350" s="102" t="n"/>
      <c r="J350" s="102" t="n"/>
      <c r="K350" s="103" t="n"/>
      <c r="L350" s="116">
        <f>IF($H350="","",TRIM(IF(COUNTIF(DMTK!$A$7:$A$250,$F350)=0,"TK Nợ sai! ","")&amp;IF(COUNTIF(DMTK!$A$7:$A$250,$G350)=0,"TK Có sai! ","")&amp;IF(N($H350)&lt;=0,"Tiền phải &gt; 0! ","")&amp;IF($B350="","Thiếu ngày! ","")&amp;IF(AND(OR(LEFT($F350,3)="131",LEFT($G350,3)="131",LEFT($F350,3)="331",LEFT($G350,3)="331"),$I350=""),"Thiếu Mã ĐT! ","")&amp;IF(AND($I350&lt;&gt;"",COUNTIF(DM_DT!$A$7:$A$306,$I350)=0),"Mã ĐT chưa khai báo! ","")))</f>
        <v/>
      </c>
      <c r="M350" s="117">
        <f>IF($H350="","",IF(AND(OR(LEFT($F350,3)="111",LEFT($F350,3)="112",LEFT($F350,3)="113"),OR(LEFT($G350,3)="111",LEFT($G350,3)="112",LEFT($G350,3)="113")),"NB",IF(OR(LEFT($F350,3)="111",LEFT($F350,3)="112",LEFT($F350,3)="113"),"THU",IF(OR(LEFT($G350,3)="111",LEFT($G350,3)="112",LEFT($G350,3)="113"),"CHI",""))))</f>
        <v/>
      </c>
      <c r="N350" s="117">
        <f>IF($M350="THU",$G350,IF($M350="CHI",$F350,""))</f>
        <v/>
      </c>
      <c r="O350" s="117">
        <f>IF(OR($M350="",$M350="NB"),"",IF($J350&lt;&gt;"",TEXT($J350,"00"),IFERROR(VLOOKUP(LEFT($N350,4),LCTT_MAP!$A$7:$C$66,IF($M350="THU",2,3),FALSE()),IFERROR(VLOOKUP(LEFT($N350,3),LCTT_MAP!$A$7:$C$66,IF($M350="THU",2,3),FALSE()),IFERROR(VLOOKUP(LEFT($N350,2),LCTT_MAP!$A$7:$C$66,IF($M350="THU",2,3),FALSE()),IFERROR(VLOOKUP(LEFT($N350,1),LCTT_MAP!$A$7:$C$66,IF($M350="THU",2,3),FALSE()),IF($M350="THU","06","07")))))))</f>
        <v/>
      </c>
      <c r="P350" s="117">
        <f>P349+IF(AND($H350&lt;&gt;"",OR(LEFT($F350,LEN(SC_TK))=SC_TK,LEFT($G350,LEN(SC_TK))=SC_TK)),1,0)</f>
        <v/>
      </c>
    </row>
    <row r="351" ht="15" customHeight="1" s="78">
      <c r="A351" s="95">
        <f>IF($H351="","",ROW()-6)</f>
        <v/>
      </c>
      <c r="B351" s="114" t="n"/>
      <c r="C351" s="102" t="n"/>
      <c r="D351" s="114" t="n"/>
      <c r="E351" s="103" t="n"/>
      <c r="F351" s="102" t="n"/>
      <c r="G351" s="102" t="n"/>
      <c r="H351" s="115" t="n"/>
      <c r="I351" s="102" t="n"/>
      <c r="J351" s="102" t="n"/>
      <c r="K351" s="103" t="n"/>
      <c r="L351" s="116">
        <f>IF($H351="","",TRIM(IF(COUNTIF(DMTK!$A$7:$A$250,$F351)=0,"TK Nợ sai! ","")&amp;IF(COUNTIF(DMTK!$A$7:$A$250,$G351)=0,"TK Có sai! ","")&amp;IF(N($H351)&lt;=0,"Tiền phải &gt; 0! ","")&amp;IF($B351="","Thiếu ngày! ","")&amp;IF(AND(OR(LEFT($F351,3)="131",LEFT($G351,3)="131",LEFT($F351,3)="331",LEFT($G351,3)="331"),$I351=""),"Thiếu Mã ĐT! ","")&amp;IF(AND($I351&lt;&gt;"",COUNTIF(DM_DT!$A$7:$A$306,$I351)=0),"Mã ĐT chưa khai báo! ","")))</f>
        <v/>
      </c>
      <c r="M351" s="117">
        <f>IF($H351="","",IF(AND(OR(LEFT($F351,3)="111",LEFT($F351,3)="112",LEFT($F351,3)="113"),OR(LEFT($G351,3)="111",LEFT($G351,3)="112",LEFT($G351,3)="113")),"NB",IF(OR(LEFT($F351,3)="111",LEFT($F351,3)="112",LEFT($F351,3)="113"),"THU",IF(OR(LEFT($G351,3)="111",LEFT($G351,3)="112",LEFT($G351,3)="113"),"CHI",""))))</f>
        <v/>
      </c>
      <c r="N351" s="117">
        <f>IF($M351="THU",$G351,IF($M351="CHI",$F351,""))</f>
        <v/>
      </c>
      <c r="O351" s="117">
        <f>IF(OR($M351="",$M351="NB"),"",IF($J351&lt;&gt;"",TEXT($J351,"00"),IFERROR(VLOOKUP(LEFT($N351,4),LCTT_MAP!$A$7:$C$66,IF($M351="THU",2,3),FALSE()),IFERROR(VLOOKUP(LEFT($N351,3),LCTT_MAP!$A$7:$C$66,IF($M351="THU",2,3),FALSE()),IFERROR(VLOOKUP(LEFT($N351,2),LCTT_MAP!$A$7:$C$66,IF($M351="THU",2,3),FALSE()),IFERROR(VLOOKUP(LEFT($N351,1),LCTT_MAP!$A$7:$C$66,IF($M351="THU",2,3),FALSE()),IF($M351="THU","06","07")))))))</f>
        <v/>
      </c>
      <c r="P351" s="117">
        <f>P350+IF(AND($H351&lt;&gt;"",OR(LEFT($F351,LEN(SC_TK))=SC_TK,LEFT($G351,LEN(SC_TK))=SC_TK)),1,0)</f>
        <v/>
      </c>
    </row>
    <row r="352" ht="15" customHeight="1" s="78">
      <c r="A352" s="95">
        <f>IF($H352="","",ROW()-6)</f>
        <v/>
      </c>
      <c r="B352" s="114" t="n"/>
      <c r="C352" s="102" t="n"/>
      <c r="D352" s="114" t="n"/>
      <c r="E352" s="103" t="n"/>
      <c r="F352" s="102" t="n"/>
      <c r="G352" s="102" t="n"/>
      <c r="H352" s="115" t="n"/>
      <c r="I352" s="102" t="n"/>
      <c r="J352" s="102" t="n"/>
      <c r="K352" s="103" t="n"/>
      <c r="L352" s="116">
        <f>IF($H352="","",TRIM(IF(COUNTIF(DMTK!$A$7:$A$250,$F352)=0,"TK Nợ sai! ","")&amp;IF(COUNTIF(DMTK!$A$7:$A$250,$G352)=0,"TK Có sai! ","")&amp;IF(N($H352)&lt;=0,"Tiền phải &gt; 0! ","")&amp;IF($B352="","Thiếu ngày! ","")&amp;IF(AND(OR(LEFT($F352,3)="131",LEFT($G352,3)="131",LEFT($F352,3)="331",LEFT($G352,3)="331"),$I352=""),"Thiếu Mã ĐT! ","")&amp;IF(AND($I352&lt;&gt;"",COUNTIF(DM_DT!$A$7:$A$306,$I352)=0),"Mã ĐT chưa khai báo! ","")))</f>
        <v/>
      </c>
      <c r="M352" s="117">
        <f>IF($H352="","",IF(AND(OR(LEFT($F352,3)="111",LEFT($F352,3)="112",LEFT($F352,3)="113"),OR(LEFT($G352,3)="111",LEFT($G352,3)="112",LEFT($G352,3)="113")),"NB",IF(OR(LEFT($F352,3)="111",LEFT($F352,3)="112",LEFT($F352,3)="113"),"THU",IF(OR(LEFT($G352,3)="111",LEFT($G352,3)="112",LEFT($G352,3)="113"),"CHI",""))))</f>
        <v/>
      </c>
      <c r="N352" s="117">
        <f>IF($M352="THU",$G352,IF($M352="CHI",$F352,""))</f>
        <v/>
      </c>
      <c r="O352" s="117">
        <f>IF(OR($M352="",$M352="NB"),"",IF($J352&lt;&gt;"",TEXT($J352,"00"),IFERROR(VLOOKUP(LEFT($N352,4),LCTT_MAP!$A$7:$C$66,IF($M352="THU",2,3),FALSE()),IFERROR(VLOOKUP(LEFT($N352,3),LCTT_MAP!$A$7:$C$66,IF($M352="THU",2,3),FALSE()),IFERROR(VLOOKUP(LEFT($N352,2),LCTT_MAP!$A$7:$C$66,IF($M352="THU",2,3),FALSE()),IFERROR(VLOOKUP(LEFT($N352,1),LCTT_MAP!$A$7:$C$66,IF($M352="THU",2,3),FALSE()),IF($M352="THU","06","07")))))))</f>
        <v/>
      </c>
      <c r="P352" s="117">
        <f>P351+IF(AND($H352&lt;&gt;"",OR(LEFT($F352,LEN(SC_TK))=SC_TK,LEFT($G352,LEN(SC_TK))=SC_TK)),1,0)</f>
        <v/>
      </c>
    </row>
    <row r="353" ht="15" customHeight="1" s="78">
      <c r="A353" s="95">
        <f>IF($H353="","",ROW()-6)</f>
        <v/>
      </c>
      <c r="B353" s="114" t="n"/>
      <c r="C353" s="102" t="n"/>
      <c r="D353" s="114" t="n"/>
      <c r="E353" s="103" t="n"/>
      <c r="F353" s="102" t="n"/>
      <c r="G353" s="102" t="n"/>
      <c r="H353" s="115" t="n"/>
      <c r="I353" s="102" t="n"/>
      <c r="J353" s="102" t="n"/>
      <c r="K353" s="103" t="n"/>
      <c r="L353" s="116">
        <f>IF($H353="","",TRIM(IF(COUNTIF(DMTK!$A$7:$A$250,$F353)=0,"TK Nợ sai! ","")&amp;IF(COUNTIF(DMTK!$A$7:$A$250,$G353)=0,"TK Có sai! ","")&amp;IF(N($H353)&lt;=0,"Tiền phải &gt; 0! ","")&amp;IF($B353="","Thiếu ngày! ","")&amp;IF(AND(OR(LEFT($F353,3)="131",LEFT($G353,3)="131",LEFT($F353,3)="331",LEFT($G353,3)="331"),$I353=""),"Thiếu Mã ĐT! ","")&amp;IF(AND($I353&lt;&gt;"",COUNTIF(DM_DT!$A$7:$A$306,$I353)=0),"Mã ĐT chưa khai báo! ","")))</f>
        <v/>
      </c>
      <c r="M353" s="117">
        <f>IF($H353="","",IF(AND(OR(LEFT($F353,3)="111",LEFT($F353,3)="112",LEFT($F353,3)="113"),OR(LEFT($G353,3)="111",LEFT($G353,3)="112",LEFT($G353,3)="113")),"NB",IF(OR(LEFT($F353,3)="111",LEFT($F353,3)="112",LEFT($F353,3)="113"),"THU",IF(OR(LEFT($G353,3)="111",LEFT($G353,3)="112",LEFT($G353,3)="113"),"CHI",""))))</f>
        <v/>
      </c>
      <c r="N353" s="117">
        <f>IF($M353="THU",$G353,IF($M353="CHI",$F353,""))</f>
        <v/>
      </c>
      <c r="O353" s="117">
        <f>IF(OR($M353="",$M353="NB"),"",IF($J353&lt;&gt;"",TEXT($J353,"00"),IFERROR(VLOOKUP(LEFT($N353,4),LCTT_MAP!$A$7:$C$66,IF($M353="THU",2,3),FALSE()),IFERROR(VLOOKUP(LEFT($N353,3),LCTT_MAP!$A$7:$C$66,IF($M353="THU",2,3),FALSE()),IFERROR(VLOOKUP(LEFT($N353,2),LCTT_MAP!$A$7:$C$66,IF($M353="THU",2,3),FALSE()),IFERROR(VLOOKUP(LEFT($N353,1),LCTT_MAP!$A$7:$C$66,IF($M353="THU",2,3),FALSE()),IF($M353="THU","06","07")))))))</f>
        <v/>
      </c>
      <c r="P353" s="117">
        <f>P352+IF(AND($H353&lt;&gt;"",OR(LEFT($F353,LEN(SC_TK))=SC_TK,LEFT($G353,LEN(SC_TK))=SC_TK)),1,0)</f>
        <v/>
      </c>
    </row>
    <row r="354" ht="15" customHeight="1" s="78">
      <c r="A354" s="95">
        <f>IF($H354="","",ROW()-6)</f>
        <v/>
      </c>
      <c r="B354" s="114" t="n"/>
      <c r="C354" s="102" t="n"/>
      <c r="D354" s="114" t="n"/>
      <c r="E354" s="103" t="n"/>
      <c r="F354" s="102" t="n"/>
      <c r="G354" s="102" t="n"/>
      <c r="H354" s="115" t="n"/>
      <c r="I354" s="102" t="n"/>
      <c r="J354" s="102" t="n"/>
      <c r="K354" s="103" t="n"/>
      <c r="L354" s="116">
        <f>IF($H354="","",TRIM(IF(COUNTIF(DMTK!$A$7:$A$250,$F354)=0,"TK Nợ sai! ","")&amp;IF(COUNTIF(DMTK!$A$7:$A$250,$G354)=0,"TK Có sai! ","")&amp;IF(N($H354)&lt;=0,"Tiền phải &gt; 0! ","")&amp;IF($B354="","Thiếu ngày! ","")&amp;IF(AND(OR(LEFT($F354,3)="131",LEFT($G354,3)="131",LEFT($F354,3)="331",LEFT($G354,3)="331"),$I354=""),"Thiếu Mã ĐT! ","")&amp;IF(AND($I354&lt;&gt;"",COUNTIF(DM_DT!$A$7:$A$306,$I354)=0),"Mã ĐT chưa khai báo! ","")))</f>
        <v/>
      </c>
      <c r="M354" s="117">
        <f>IF($H354="","",IF(AND(OR(LEFT($F354,3)="111",LEFT($F354,3)="112",LEFT($F354,3)="113"),OR(LEFT($G354,3)="111",LEFT($G354,3)="112",LEFT($G354,3)="113")),"NB",IF(OR(LEFT($F354,3)="111",LEFT($F354,3)="112",LEFT($F354,3)="113"),"THU",IF(OR(LEFT($G354,3)="111",LEFT($G354,3)="112",LEFT($G354,3)="113"),"CHI",""))))</f>
        <v/>
      </c>
      <c r="N354" s="117">
        <f>IF($M354="THU",$G354,IF($M354="CHI",$F354,""))</f>
        <v/>
      </c>
      <c r="O354" s="117">
        <f>IF(OR($M354="",$M354="NB"),"",IF($J354&lt;&gt;"",TEXT($J354,"00"),IFERROR(VLOOKUP(LEFT($N354,4),LCTT_MAP!$A$7:$C$66,IF($M354="THU",2,3),FALSE()),IFERROR(VLOOKUP(LEFT($N354,3),LCTT_MAP!$A$7:$C$66,IF($M354="THU",2,3),FALSE()),IFERROR(VLOOKUP(LEFT($N354,2),LCTT_MAP!$A$7:$C$66,IF($M354="THU",2,3),FALSE()),IFERROR(VLOOKUP(LEFT($N354,1),LCTT_MAP!$A$7:$C$66,IF($M354="THU",2,3),FALSE()),IF($M354="THU","06","07")))))))</f>
        <v/>
      </c>
      <c r="P354" s="117">
        <f>P353+IF(AND($H354&lt;&gt;"",OR(LEFT($F354,LEN(SC_TK))=SC_TK,LEFT($G354,LEN(SC_TK))=SC_TK)),1,0)</f>
        <v/>
      </c>
    </row>
    <row r="355" ht="15" customHeight="1" s="78">
      <c r="A355" s="95">
        <f>IF($H355="","",ROW()-6)</f>
        <v/>
      </c>
      <c r="B355" s="114" t="n"/>
      <c r="C355" s="102" t="n"/>
      <c r="D355" s="114" t="n"/>
      <c r="E355" s="103" t="n"/>
      <c r="F355" s="102" t="n"/>
      <c r="G355" s="102" t="n"/>
      <c r="H355" s="115" t="n"/>
      <c r="I355" s="102" t="n"/>
      <c r="J355" s="102" t="n"/>
      <c r="K355" s="103" t="n"/>
      <c r="L355" s="116">
        <f>IF($H355="","",TRIM(IF(COUNTIF(DMTK!$A$7:$A$250,$F355)=0,"TK Nợ sai! ","")&amp;IF(COUNTIF(DMTK!$A$7:$A$250,$G355)=0,"TK Có sai! ","")&amp;IF(N($H355)&lt;=0,"Tiền phải &gt; 0! ","")&amp;IF($B355="","Thiếu ngày! ","")&amp;IF(AND(OR(LEFT($F355,3)="131",LEFT($G355,3)="131",LEFT($F355,3)="331",LEFT($G355,3)="331"),$I355=""),"Thiếu Mã ĐT! ","")&amp;IF(AND($I355&lt;&gt;"",COUNTIF(DM_DT!$A$7:$A$306,$I355)=0),"Mã ĐT chưa khai báo! ","")))</f>
        <v/>
      </c>
      <c r="M355" s="117">
        <f>IF($H355="","",IF(AND(OR(LEFT($F355,3)="111",LEFT($F355,3)="112",LEFT($F355,3)="113"),OR(LEFT($G355,3)="111",LEFT($G355,3)="112",LEFT($G355,3)="113")),"NB",IF(OR(LEFT($F355,3)="111",LEFT($F355,3)="112",LEFT($F355,3)="113"),"THU",IF(OR(LEFT($G355,3)="111",LEFT($G355,3)="112",LEFT($G355,3)="113"),"CHI",""))))</f>
        <v/>
      </c>
      <c r="N355" s="117">
        <f>IF($M355="THU",$G355,IF($M355="CHI",$F355,""))</f>
        <v/>
      </c>
      <c r="O355" s="117">
        <f>IF(OR($M355="",$M355="NB"),"",IF($J355&lt;&gt;"",TEXT($J355,"00"),IFERROR(VLOOKUP(LEFT($N355,4),LCTT_MAP!$A$7:$C$66,IF($M355="THU",2,3),FALSE()),IFERROR(VLOOKUP(LEFT($N355,3),LCTT_MAP!$A$7:$C$66,IF($M355="THU",2,3),FALSE()),IFERROR(VLOOKUP(LEFT($N355,2),LCTT_MAP!$A$7:$C$66,IF($M355="THU",2,3),FALSE()),IFERROR(VLOOKUP(LEFT($N355,1),LCTT_MAP!$A$7:$C$66,IF($M355="THU",2,3),FALSE()),IF($M355="THU","06","07")))))))</f>
        <v/>
      </c>
      <c r="P355" s="117">
        <f>P354+IF(AND($H355&lt;&gt;"",OR(LEFT($F355,LEN(SC_TK))=SC_TK,LEFT($G355,LEN(SC_TK))=SC_TK)),1,0)</f>
        <v/>
      </c>
    </row>
    <row r="356" ht="15" customHeight="1" s="78">
      <c r="A356" s="95">
        <f>IF($H356="","",ROW()-6)</f>
        <v/>
      </c>
      <c r="B356" s="114" t="n"/>
      <c r="C356" s="102" t="n"/>
      <c r="D356" s="114" t="n"/>
      <c r="E356" s="103" t="n"/>
      <c r="F356" s="102" t="n"/>
      <c r="G356" s="102" t="n"/>
      <c r="H356" s="115" t="n"/>
      <c r="I356" s="102" t="n"/>
      <c r="J356" s="102" t="n"/>
      <c r="K356" s="103" t="n"/>
      <c r="L356" s="116">
        <f>IF($H356="","",TRIM(IF(COUNTIF(DMTK!$A$7:$A$250,$F356)=0,"TK Nợ sai! ","")&amp;IF(COUNTIF(DMTK!$A$7:$A$250,$G356)=0,"TK Có sai! ","")&amp;IF(N($H356)&lt;=0,"Tiền phải &gt; 0! ","")&amp;IF($B356="","Thiếu ngày! ","")&amp;IF(AND(OR(LEFT($F356,3)="131",LEFT($G356,3)="131",LEFT($F356,3)="331",LEFT($G356,3)="331"),$I356=""),"Thiếu Mã ĐT! ","")&amp;IF(AND($I356&lt;&gt;"",COUNTIF(DM_DT!$A$7:$A$306,$I356)=0),"Mã ĐT chưa khai báo! ","")))</f>
        <v/>
      </c>
      <c r="M356" s="117">
        <f>IF($H356="","",IF(AND(OR(LEFT($F356,3)="111",LEFT($F356,3)="112",LEFT($F356,3)="113"),OR(LEFT($G356,3)="111",LEFT($G356,3)="112",LEFT($G356,3)="113")),"NB",IF(OR(LEFT($F356,3)="111",LEFT($F356,3)="112",LEFT($F356,3)="113"),"THU",IF(OR(LEFT($G356,3)="111",LEFT($G356,3)="112",LEFT($G356,3)="113"),"CHI",""))))</f>
        <v/>
      </c>
      <c r="N356" s="117">
        <f>IF($M356="THU",$G356,IF($M356="CHI",$F356,""))</f>
        <v/>
      </c>
      <c r="O356" s="117">
        <f>IF(OR($M356="",$M356="NB"),"",IF($J356&lt;&gt;"",TEXT($J356,"00"),IFERROR(VLOOKUP(LEFT($N356,4),LCTT_MAP!$A$7:$C$66,IF($M356="THU",2,3),FALSE()),IFERROR(VLOOKUP(LEFT($N356,3),LCTT_MAP!$A$7:$C$66,IF($M356="THU",2,3),FALSE()),IFERROR(VLOOKUP(LEFT($N356,2),LCTT_MAP!$A$7:$C$66,IF($M356="THU",2,3),FALSE()),IFERROR(VLOOKUP(LEFT($N356,1),LCTT_MAP!$A$7:$C$66,IF($M356="THU",2,3),FALSE()),IF($M356="THU","06","07")))))))</f>
        <v/>
      </c>
      <c r="P356" s="117">
        <f>P355+IF(AND($H356&lt;&gt;"",OR(LEFT($F356,LEN(SC_TK))=SC_TK,LEFT($G356,LEN(SC_TK))=SC_TK)),1,0)</f>
        <v/>
      </c>
    </row>
    <row r="357" ht="15" customHeight="1" s="78">
      <c r="A357" s="95">
        <f>IF($H357="","",ROW()-6)</f>
        <v/>
      </c>
      <c r="B357" s="114" t="n"/>
      <c r="C357" s="102" t="n"/>
      <c r="D357" s="114" t="n"/>
      <c r="E357" s="103" t="n"/>
      <c r="F357" s="102" t="n"/>
      <c r="G357" s="102" t="n"/>
      <c r="H357" s="115" t="n"/>
      <c r="I357" s="102" t="n"/>
      <c r="J357" s="102" t="n"/>
      <c r="K357" s="103" t="n"/>
      <c r="L357" s="116">
        <f>IF($H357="","",TRIM(IF(COUNTIF(DMTK!$A$7:$A$250,$F357)=0,"TK Nợ sai! ","")&amp;IF(COUNTIF(DMTK!$A$7:$A$250,$G357)=0,"TK Có sai! ","")&amp;IF(N($H357)&lt;=0,"Tiền phải &gt; 0! ","")&amp;IF($B357="","Thiếu ngày! ","")&amp;IF(AND(OR(LEFT($F357,3)="131",LEFT($G357,3)="131",LEFT($F357,3)="331",LEFT($G357,3)="331"),$I357=""),"Thiếu Mã ĐT! ","")&amp;IF(AND($I357&lt;&gt;"",COUNTIF(DM_DT!$A$7:$A$306,$I357)=0),"Mã ĐT chưa khai báo! ","")))</f>
        <v/>
      </c>
      <c r="M357" s="117">
        <f>IF($H357="","",IF(AND(OR(LEFT($F357,3)="111",LEFT($F357,3)="112",LEFT($F357,3)="113"),OR(LEFT($G357,3)="111",LEFT($G357,3)="112",LEFT($G357,3)="113")),"NB",IF(OR(LEFT($F357,3)="111",LEFT($F357,3)="112",LEFT($F357,3)="113"),"THU",IF(OR(LEFT($G357,3)="111",LEFT($G357,3)="112",LEFT($G357,3)="113"),"CHI",""))))</f>
        <v/>
      </c>
      <c r="N357" s="117">
        <f>IF($M357="THU",$G357,IF($M357="CHI",$F357,""))</f>
        <v/>
      </c>
      <c r="O357" s="117">
        <f>IF(OR($M357="",$M357="NB"),"",IF($J357&lt;&gt;"",TEXT($J357,"00"),IFERROR(VLOOKUP(LEFT($N357,4),LCTT_MAP!$A$7:$C$66,IF($M357="THU",2,3),FALSE()),IFERROR(VLOOKUP(LEFT($N357,3),LCTT_MAP!$A$7:$C$66,IF($M357="THU",2,3),FALSE()),IFERROR(VLOOKUP(LEFT($N357,2),LCTT_MAP!$A$7:$C$66,IF($M357="THU",2,3),FALSE()),IFERROR(VLOOKUP(LEFT($N357,1),LCTT_MAP!$A$7:$C$66,IF($M357="THU",2,3),FALSE()),IF($M357="THU","06","07")))))))</f>
        <v/>
      </c>
      <c r="P357" s="117">
        <f>P356+IF(AND($H357&lt;&gt;"",OR(LEFT($F357,LEN(SC_TK))=SC_TK,LEFT($G357,LEN(SC_TK))=SC_TK)),1,0)</f>
        <v/>
      </c>
    </row>
    <row r="358" ht="15" customHeight="1" s="78">
      <c r="A358" s="95">
        <f>IF($H358="","",ROW()-6)</f>
        <v/>
      </c>
      <c r="B358" s="114" t="n"/>
      <c r="C358" s="102" t="n"/>
      <c r="D358" s="114" t="n"/>
      <c r="E358" s="103" t="n"/>
      <c r="F358" s="102" t="n"/>
      <c r="G358" s="102" t="n"/>
      <c r="H358" s="115" t="n"/>
      <c r="I358" s="102" t="n"/>
      <c r="J358" s="102" t="n"/>
      <c r="K358" s="103" t="n"/>
      <c r="L358" s="116">
        <f>IF($H358="","",TRIM(IF(COUNTIF(DMTK!$A$7:$A$250,$F358)=0,"TK Nợ sai! ","")&amp;IF(COUNTIF(DMTK!$A$7:$A$250,$G358)=0,"TK Có sai! ","")&amp;IF(N($H358)&lt;=0,"Tiền phải &gt; 0! ","")&amp;IF($B358="","Thiếu ngày! ","")&amp;IF(AND(OR(LEFT($F358,3)="131",LEFT($G358,3)="131",LEFT($F358,3)="331",LEFT($G358,3)="331"),$I358=""),"Thiếu Mã ĐT! ","")&amp;IF(AND($I358&lt;&gt;"",COUNTIF(DM_DT!$A$7:$A$306,$I358)=0),"Mã ĐT chưa khai báo! ","")))</f>
        <v/>
      </c>
      <c r="M358" s="117">
        <f>IF($H358="","",IF(AND(OR(LEFT($F358,3)="111",LEFT($F358,3)="112",LEFT($F358,3)="113"),OR(LEFT($G358,3)="111",LEFT($G358,3)="112",LEFT($G358,3)="113")),"NB",IF(OR(LEFT($F358,3)="111",LEFT($F358,3)="112",LEFT($F358,3)="113"),"THU",IF(OR(LEFT($G358,3)="111",LEFT($G358,3)="112",LEFT($G358,3)="113"),"CHI",""))))</f>
        <v/>
      </c>
      <c r="N358" s="117">
        <f>IF($M358="THU",$G358,IF($M358="CHI",$F358,""))</f>
        <v/>
      </c>
      <c r="O358" s="117">
        <f>IF(OR($M358="",$M358="NB"),"",IF($J358&lt;&gt;"",TEXT($J358,"00"),IFERROR(VLOOKUP(LEFT($N358,4),LCTT_MAP!$A$7:$C$66,IF($M358="THU",2,3),FALSE()),IFERROR(VLOOKUP(LEFT($N358,3),LCTT_MAP!$A$7:$C$66,IF($M358="THU",2,3),FALSE()),IFERROR(VLOOKUP(LEFT($N358,2),LCTT_MAP!$A$7:$C$66,IF($M358="THU",2,3),FALSE()),IFERROR(VLOOKUP(LEFT($N358,1),LCTT_MAP!$A$7:$C$66,IF($M358="THU",2,3),FALSE()),IF($M358="THU","06","07")))))))</f>
        <v/>
      </c>
      <c r="P358" s="117">
        <f>P357+IF(AND($H358&lt;&gt;"",OR(LEFT($F358,LEN(SC_TK))=SC_TK,LEFT($G358,LEN(SC_TK))=SC_TK)),1,0)</f>
        <v/>
      </c>
    </row>
    <row r="359" ht="15" customHeight="1" s="78">
      <c r="A359" s="95">
        <f>IF($H359="","",ROW()-6)</f>
        <v/>
      </c>
      <c r="B359" s="114" t="n"/>
      <c r="C359" s="102" t="n"/>
      <c r="D359" s="114" t="n"/>
      <c r="E359" s="103" t="n"/>
      <c r="F359" s="102" t="n"/>
      <c r="G359" s="102" t="n"/>
      <c r="H359" s="115" t="n"/>
      <c r="I359" s="102" t="n"/>
      <c r="J359" s="102" t="n"/>
      <c r="K359" s="103" t="n"/>
      <c r="L359" s="116">
        <f>IF($H359="","",TRIM(IF(COUNTIF(DMTK!$A$7:$A$250,$F359)=0,"TK Nợ sai! ","")&amp;IF(COUNTIF(DMTK!$A$7:$A$250,$G359)=0,"TK Có sai! ","")&amp;IF(N($H359)&lt;=0,"Tiền phải &gt; 0! ","")&amp;IF($B359="","Thiếu ngày! ","")&amp;IF(AND(OR(LEFT($F359,3)="131",LEFT($G359,3)="131",LEFT($F359,3)="331",LEFT($G359,3)="331"),$I359=""),"Thiếu Mã ĐT! ","")&amp;IF(AND($I359&lt;&gt;"",COUNTIF(DM_DT!$A$7:$A$306,$I359)=0),"Mã ĐT chưa khai báo! ","")))</f>
        <v/>
      </c>
      <c r="M359" s="117">
        <f>IF($H359="","",IF(AND(OR(LEFT($F359,3)="111",LEFT($F359,3)="112",LEFT($F359,3)="113"),OR(LEFT($G359,3)="111",LEFT($G359,3)="112",LEFT($G359,3)="113")),"NB",IF(OR(LEFT($F359,3)="111",LEFT($F359,3)="112",LEFT($F359,3)="113"),"THU",IF(OR(LEFT($G359,3)="111",LEFT($G359,3)="112",LEFT($G359,3)="113"),"CHI",""))))</f>
        <v/>
      </c>
      <c r="N359" s="117">
        <f>IF($M359="THU",$G359,IF($M359="CHI",$F359,""))</f>
        <v/>
      </c>
      <c r="O359" s="117">
        <f>IF(OR($M359="",$M359="NB"),"",IF($J359&lt;&gt;"",TEXT($J359,"00"),IFERROR(VLOOKUP(LEFT($N359,4),LCTT_MAP!$A$7:$C$66,IF($M359="THU",2,3),FALSE()),IFERROR(VLOOKUP(LEFT($N359,3),LCTT_MAP!$A$7:$C$66,IF($M359="THU",2,3),FALSE()),IFERROR(VLOOKUP(LEFT($N359,2),LCTT_MAP!$A$7:$C$66,IF($M359="THU",2,3),FALSE()),IFERROR(VLOOKUP(LEFT($N359,1),LCTT_MAP!$A$7:$C$66,IF($M359="THU",2,3),FALSE()),IF($M359="THU","06","07")))))))</f>
        <v/>
      </c>
      <c r="P359" s="117">
        <f>P358+IF(AND($H359&lt;&gt;"",OR(LEFT($F359,LEN(SC_TK))=SC_TK,LEFT($G359,LEN(SC_TK))=SC_TK)),1,0)</f>
        <v/>
      </c>
    </row>
    <row r="360" ht="15" customHeight="1" s="78">
      <c r="A360" s="95">
        <f>IF($H360="","",ROW()-6)</f>
        <v/>
      </c>
      <c r="B360" s="114" t="n"/>
      <c r="C360" s="102" t="n"/>
      <c r="D360" s="114" t="n"/>
      <c r="E360" s="103" t="n"/>
      <c r="F360" s="102" t="n"/>
      <c r="G360" s="102" t="n"/>
      <c r="H360" s="115" t="n"/>
      <c r="I360" s="102" t="n"/>
      <c r="J360" s="102" t="n"/>
      <c r="K360" s="103" t="n"/>
      <c r="L360" s="116">
        <f>IF($H360="","",TRIM(IF(COUNTIF(DMTK!$A$7:$A$250,$F360)=0,"TK Nợ sai! ","")&amp;IF(COUNTIF(DMTK!$A$7:$A$250,$G360)=0,"TK Có sai! ","")&amp;IF(N($H360)&lt;=0,"Tiền phải &gt; 0! ","")&amp;IF($B360="","Thiếu ngày! ","")&amp;IF(AND(OR(LEFT($F360,3)="131",LEFT($G360,3)="131",LEFT($F360,3)="331",LEFT($G360,3)="331"),$I360=""),"Thiếu Mã ĐT! ","")&amp;IF(AND($I360&lt;&gt;"",COUNTIF(DM_DT!$A$7:$A$306,$I360)=0),"Mã ĐT chưa khai báo! ","")))</f>
        <v/>
      </c>
      <c r="M360" s="117">
        <f>IF($H360="","",IF(AND(OR(LEFT($F360,3)="111",LEFT($F360,3)="112",LEFT($F360,3)="113"),OR(LEFT($G360,3)="111",LEFT($G360,3)="112",LEFT($G360,3)="113")),"NB",IF(OR(LEFT($F360,3)="111",LEFT($F360,3)="112",LEFT($F360,3)="113"),"THU",IF(OR(LEFT($G360,3)="111",LEFT($G360,3)="112",LEFT($G360,3)="113"),"CHI",""))))</f>
        <v/>
      </c>
      <c r="N360" s="117">
        <f>IF($M360="THU",$G360,IF($M360="CHI",$F360,""))</f>
        <v/>
      </c>
      <c r="O360" s="117">
        <f>IF(OR($M360="",$M360="NB"),"",IF($J360&lt;&gt;"",TEXT($J360,"00"),IFERROR(VLOOKUP(LEFT($N360,4),LCTT_MAP!$A$7:$C$66,IF($M360="THU",2,3),FALSE()),IFERROR(VLOOKUP(LEFT($N360,3),LCTT_MAP!$A$7:$C$66,IF($M360="THU",2,3),FALSE()),IFERROR(VLOOKUP(LEFT($N360,2),LCTT_MAP!$A$7:$C$66,IF($M360="THU",2,3),FALSE()),IFERROR(VLOOKUP(LEFT($N360,1),LCTT_MAP!$A$7:$C$66,IF($M360="THU",2,3),FALSE()),IF($M360="THU","06","07")))))))</f>
        <v/>
      </c>
      <c r="P360" s="117">
        <f>P359+IF(AND($H360&lt;&gt;"",OR(LEFT($F360,LEN(SC_TK))=SC_TK,LEFT($G360,LEN(SC_TK))=SC_TK)),1,0)</f>
        <v/>
      </c>
    </row>
    <row r="361" ht="15" customHeight="1" s="78">
      <c r="A361" s="95">
        <f>IF($H361="","",ROW()-6)</f>
        <v/>
      </c>
      <c r="B361" s="114" t="n"/>
      <c r="C361" s="102" t="n"/>
      <c r="D361" s="114" t="n"/>
      <c r="E361" s="103" t="n"/>
      <c r="F361" s="102" t="n"/>
      <c r="G361" s="102" t="n"/>
      <c r="H361" s="115" t="n"/>
      <c r="I361" s="102" t="n"/>
      <c r="J361" s="102" t="n"/>
      <c r="K361" s="103" t="n"/>
      <c r="L361" s="116">
        <f>IF($H361="","",TRIM(IF(COUNTIF(DMTK!$A$7:$A$250,$F361)=0,"TK Nợ sai! ","")&amp;IF(COUNTIF(DMTK!$A$7:$A$250,$G361)=0,"TK Có sai! ","")&amp;IF(N($H361)&lt;=0,"Tiền phải &gt; 0! ","")&amp;IF($B361="","Thiếu ngày! ","")&amp;IF(AND(OR(LEFT($F361,3)="131",LEFT($G361,3)="131",LEFT($F361,3)="331",LEFT($G361,3)="331"),$I361=""),"Thiếu Mã ĐT! ","")&amp;IF(AND($I361&lt;&gt;"",COUNTIF(DM_DT!$A$7:$A$306,$I361)=0),"Mã ĐT chưa khai báo! ","")))</f>
        <v/>
      </c>
      <c r="M361" s="117">
        <f>IF($H361="","",IF(AND(OR(LEFT($F361,3)="111",LEFT($F361,3)="112",LEFT($F361,3)="113"),OR(LEFT($G361,3)="111",LEFT($G361,3)="112",LEFT($G361,3)="113")),"NB",IF(OR(LEFT($F361,3)="111",LEFT($F361,3)="112",LEFT($F361,3)="113"),"THU",IF(OR(LEFT($G361,3)="111",LEFT($G361,3)="112",LEFT($G361,3)="113"),"CHI",""))))</f>
        <v/>
      </c>
      <c r="N361" s="117">
        <f>IF($M361="THU",$G361,IF($M361="CHI",$F361,""))</f>
        <v/>
      </c>
      <c r="O361" s="117">
        <f>IF(OR($M361="",$M361="NB"),"",IF($J361&lt;&gt;"",TEXT($J361,"00"),IFERROR(VLOOKUP(LEFT($N361,4),LCTT_MAP!$A$7:$C$66,IF($M361="THU",2,3),FALSE()),IFERROR(VLOOKUP(LEFT($N361,3),LCTT_MAP!$A$7:$C$66,IF($M361="THU",2,3),FALSE()),IFERROR(VLOOKUP(LEFT($N361,2),LCTT_MAP!$A$7:$C$66,IF($M361="THU",2,3),FALSE()),IFERROR(VLOOKUP(LEFT($N361,1),LCTT_MAP!$A$7:$C$66,IF($M361="THU",2,3),FALSE()),IF($M361="THU","06","07")))))))</f>
        <v/>
      </c>
      <c r="P361" s="117">
        <f>P360+IF(AND($H361&lt;&gt;"",OR(LEFT($F361,LEN(SC_TK))=SC_TK,LEFT($G361,LEN(SC_TK))=SC_TK)),1,0)</f>
        <v/>
      </c>
    </row>
    <row r="362" ht="15" customHeight="1" s="78">
      <c r="A362" s="95">
        <f>IF($H362="","",ROW()-6)</f>
        <v/>
      </c>
      <c r="B362" s="114" t="n"/>
      <c r="C362" s="102" t="n"/>
      <c r="D362" s="114" t="n"/>
      <c r="E362" s="103" t="n"/>
      <c r="F362" s="102" t="n"/>
      <c r="G362" s="102" t="n"/>
      <c r="H362" s="115" t="n"/>
      <c r="I362" s="102" t="n"/>
      <c r="J362" s="102" t="n"/>
      <c r="K362" s="103" t="n"/>
      <c r="L362" s="116">
        <f>IF($H362="","",TRIM(IF(COUNTIF(DMTK!$A$7:$A$250,$F362)=0,"TK Nợ sai! ","")&amp;IF(COUNTIF(DMTK!$A$7:$A$250,$G362)=0,"TK Có sai! ","")&amp;IF(N($H362)&lt;=0,"Tiền phải &gt; 0! ","")&amp;IF($B362="","Thiếu ngày! ","")&amp;IF(AND(OR(LEFT($F362,3)="131",LEFT($G362,3)="131",LEFT($F362,3)="331",LEFT($G362,3)="331"),$I362=""),"Thiếu Mã ĐT! ","")&amp;IF(AND($I362&lt;&gt;"",COUNTIF(DM_DT!$A$7:$A$306,$I362)=0),"Mã ĐT chưa khai báo! ","")))</f>
        <v/>
      </c>
      <c r="M362" s="117">
        <f>IF($H362="","",IF(AND(OR(LEFT($F362,3)="111",LEFT($F362,3)="112",LEFT($F362,3)="113"),OR(LEFT($G362,3)="111",LEFT($G362,3)="112",LEFT($G362,3)="113")),"NB",IF(OR(LEFT($F362,3)="111",LEFT($F362,3)="112",LEFT($F362,3)="113"),"THU",IF(OR(LEFT($G362,3)="111",LEFT($G362,3)="112",LEFT($G362,3)="113"),"CHI",""))))</f>
        <v/>
      </c>
      <c r="N362" s="117">
        <f>IF($M362="THU",$G362,IF($M362="CHI",$F362,""))</f>
        <v/>
      </c>
      <c r="O362" s="117">
        <f>IF(OR($M362="",$M362="NB"),"",IF($J362&lt;&gt;"",TEXT($J362,"00"),IFERROR(VLOOKUP(LEFT($N362,4),LCTT_MAP!$A$7:$C$66,IF($M362="THU",2,3),FALSE()),IFERROR(VLOOKUP(LEFT($N362,3),LCTT_MAP!$A$7:$C$66,IF($M362="THU",2,3),FALSE()),IFERROR(VLOOKUP(LEFT($N362,2),LCTT_MAP!$A$7:$C$66,IF($M362="THU",2,3),FALSE()),IFERROR(VLOOKUP(LEFT($N362,1),LCTT_MAP!$A$7:$C$66,IF($M362="THU",2,3),FALSE()),IF($M362="THU","06","07")))))))</f>
        <v/>
      </c>
      <c r="P362" s="117">
        <f>P361+IF(AND($H362&lt;&gt;"",OR(LEFT($F362,LEN(SC_TK))=SC_TK,LEFT($G362,LEN(SC_TK))=SC_TK)),1,0)</f>
        <v/>
      </c>
    </row>
    <row r="363" ht="15" customHeight="1" s="78">
      <c r="A363" s="95">
        <f>IF($H363="","",ROW()-6)</f>
        <v/>
      </c>
      <c r="B363" s="114" t="n"/>
      <c r="C363" s="102" t="n"/>
      <c r="D363" s="114" t="n"/>
      <c r="E363" s="103" t="n"/>
      <c r="F363" s="102" t="n"/>
      <c r="G363" s="102" t="n"/>
      <c r="H363" s="115" t="n"/>
      <c r="I363" s="102" t="n"/>
      <c r="J363" s="102" t="n"/>
      <c r="K363" s="103" t="n"/>
      <c r="L363" s="116">
        <f>IF($H363="","",TRIM(IF(COUNTIF(DMTK!$A$7:$A$250,$F363)=0,"TK Nợ sai! ","")&amp;IF(COUNTIF(DMTK!$A$7:$A$250,$G363)=0,"TK Có sai! ","")&amp;IF(N($H363)&lt;=0,"Tiền phải &gt; 0! ","")&amp;IF($B363="","Thiếu ngày! ","")&amp;IF(AND(OR(LEFT($F363,3)="131",LEFT($G363,3)="131",LEFT($F363,3)="331",LEFT($G363,3)="331"),$I363=""),"Thiếu Mã ĐT! ","")&amp;IF(AND($I363&lt;&gt;"",COUNTIF(DM_DT!$A$7:$A$306,$I363)=0),"Mã ĐT chưa khai báo! ","")))</f>
        <v/>
      </c>
      <c r="M363" s="117">
        <f>IF($H363="","",IF(AND(OR(LEFT($F363,3)="111",LEFT($F363,3)="112",LEFT($F363,3)="113"),OR(LEFT($G363,3)="111",LEFT($G363,3)="112",LEFT($G363,3)="113")),"NB",IF(OR(LEFT($F363,3)="111",LEFT($F363,3)="112",LEFT($F363,3)="113"),"THU",IF(OR(LEFT($G363,3)="111",LEFT($G363,3)="112",LEFT($G363,3)="113"),"CHI",""))))</f>
        <v/>
      </c>
      <c r="N363" s="117">
        <f>IF($M363="THU",$G363,IF($M363="CHI",$F363,""))</f>
        <v/>
      </c>
      <c r="O363" s="117">
        <f>IF(OR($M363="",$M363="NB"),"",IF($J363&lt;&gt;"",TEXT($J363,"00"),IFERROR(VLOOKUP(LEFT($N363,4),LCTT_MAP!$A$7:$C$66,IF($M363="THU",2,3),FALSE()),IFERROR(VLOOKUP(LEFT($N363,3),LCTT_MAP!$A$7:$C$66,IF($M363="THU",2,3),FALSE()),IFERROR(VLOOKUP(LEFT($N363,2),LCTT_MAP!$A$7:$C$66,IF($M363="THU",2,3),FALSE()),IFERROR(VLOOKUP(LEFT($N363,1),LCTT_MAP!$A$7:$C$66,IF($M363="THU",2,3),FALSE()),IF($M363="THU","06","07")))))))</f>
        <v/>
      </c>
      <c r="P363" s="117">
        <f>P362+IF(AND($H363&lt;&gt;"",OR(LEFT($F363,LEN(SC_TK))=SC_TK,LEFT($G363,LEN(SC_TK))=SC_TK)),1,0)</f>
        <v/>
      </c>
    </row>
    <row r="364" ht="15" customHeight="1" s="78">
      <c r="A364" s="95">
        <f>IF($H364="","",ROW()-6)</f>
        <v/>
      </c>
      <c r="B364" s="114" t="n"/>
      <c r="C364" s="102" t="n"/>
      <c r="D364" s="114" t="n"/>
      <c r="E364" s="103" t="n"/>
      <c r="F364" s="102" t="n"/>
      <c r="G364" s="102" t="n"/>
      <c r="H364" s="115" t="n"/>
      <c r="I364" s="102" t="n"/>
      <c r="J364" s="102" t="n"/>
      <c r="K364" s="103" t="n"/>
      <c r="L364" s="116">
        <f>IF($H364="","",TRIM(IF(COUNTIF(DMTK!$A$7:$A$250,$F364)=0,"TK Nợ sai! ","")&amp;IF(COUNTIF(DMTK!$A$7:$A$250,$G364)=0,"TK Có sai! ","")&amp;IF(N($H364)&lt;=0,"Tiền phải &gt; 0! ","")&amp;IF($B364="","Thiếu ngày! ","")&amp;IF(AND(OR(LEFT($F364,3)="131",LEFT($G364,3)="131",LEFT($F364,3)="331",LEFT($G364,3)="331"),$I364=""),"Thiếu Mã ĐT! ","")&amp;IF(AND($I364&lt;&gt;"",COUNTIF(DM_DT!$A$7:$A$306,$I364)=0),"Mã ĐT chưa khai báo! ","")))</f>
        <v/>
      </c>
      <c r="M364" s="117">
        <f>IF($H364="","",IF(AND(OR(LEFT($F364,3)="111",LEFT($F364,3)="112",LEFT($F364,3)="113"),OR(LEFT($G364,3)="111",LEFT($G364,3)="112",LEFT($G364,3)="113")),"NB",IF(OR(LEFT($F364,3)="111",LEFT($F364,3)="112",LEFT($F364,3)="113"),"THU",IF(OR(LEFT($G364,3)="111",LEFT($G364,3)="112",LEFT($G364,3)="113"),"CHI",""))))</f>
        <v/>
      </c>
      <c r="N364" s="117">
        <f>IF($M364="THU",$G364,IF($M364="CHI",$F364,""))</f>
        <v/>
      </c>
      <c r="O364" s="117">
        <f>IF(OR($M364="",$M364="NB"),"",IF($J364&lt;&gt;"",TEXT($J364,"00"),IFERROR(VLOOKUP(LEFT($N364,4),LCTT_MAP!$A$7:$C$66,IF($M364="THU",2,3),FALSE()),IFERROR(VLOOKUP(LEFT($N364,3),LCTT_MAP!$A$7:$C$66,IF($M364="THU",2,3),FALSE()),IFERROR(VLOOKUP(LEFT($N364,2),LCTT_MAP!$A$7:$C$66,IF($M364="THU",2,3),FALSE()),IFERROR(VLOOKUP(LEFT($N364,1),LCTT_MAP!$A$7:$C$66,IF($M364="THU",2,3),FALSE()),IF($M364="THU","06","07")))))))</f>
        <v/>
      </c>
      <c r="P364" s="117">
        <f>P363+IF(AND($H364&lt;&gt;"",OR(LEFT($F364,LEN(SC_TK))=SC_TK,LEFT($G364,LEN(SC_TK))=SC_TK)),1,0)</f>
        <v/>
      </c>
    </row>
    <row r="365" ht="15" customHeight="1" s="78">
      <c r="A365" s="95">
        <f>IF($H365="","",ROW()-6)</f>
        <v/>
      </c>
      <c r="B365" s="114" t="n"/>
      <c r="C365" s="102" t="n"/>
      <c r="D365" s="114" t="n"/>
      <c r="E365" s="103" t="n"/>
      <c r="F365" s="102" t="n"/>
      <c r="G365" s="102" t="n"/>
      <c r="H365" s="115" t="n"/>
      <c r="I365" s="102" t="n"/>
      <c r="J365" s="102" t="n"/>
      <c r="K365" s="103" t="n"/>
      <c r="L365" s="116">
        <f>IF($H365="","",TRIM(IF(COUNTIF(DMTK!$A$7:$A$250,$F365)=0,"TK Nợ sai! ","")&amp;IF(COUNTIF(DMTK!$A$7:$A$250,$G365)=0,"TK Có sai! ","")&amp;IF(N($H365)&lt;=0,"Tiền phải &gt; 0! ","")&amp;IF($B365="","Thiếu ngày! ","")&amp;IF(AND(OR(LEFT($F365,3)="131",LEFT($G365,3)="131",LEFT($F365,3)="331",LEFT($G365,3)="331"),$I365=""),"Thiếu Mã ĐT! ","")&amp;IF(AND($I365&lt;&gt;"",COUNTIF(DM_DT!$A$7:$A$306,$I365)=0),"Mã ĐT chưa khai báo! ","")))</f>
        <v/>
      </c>
      <c r="M365" s="117">
        <f>IF($H365="","",IF(AND(OR(LEFT($F365,3)="111",LEFT($F365,3)="112",LEFT($F365,3)="113"),OR(LEFT($G365,3)="111",LEFT($G365,3)="112",LEFT($G365,3)="113")),"NB",IF(OR(LEFT($F365,3)="111",LEFT($F365,3)="112",LEFT($F365,3)="113"),"THU",IF(OR(LEFT($G365,3)="111",LEFT($G365,3)="112",LEFT($G365,3)="113"),"CHI",""))))</f>
        <v/>
      </c>
      <c r="N365" s="117">
        <f>IF($M365="THU",$G365,IF($M365="CHI",$F365,""))</f>
        <v/>
      </c>
      <c r="O365" s="117">
        <f>IF(OR($M365="",$M365="NB"),"",IF($J365&lt;&gt;"",TEXT($J365,"00"),IFERROR(VLOOKUP(LEFT($N365,4),LCTT_MAP!$A$7:$C$66,IF($M365="THU",2,3),FALSE()),IFERROR(VLOOKUP(LEFT($N365,3),LCTT_MAP!$A$7:$C$66,IF($M365="THU",2,3),FALSE()),IFERROR(VLOOKUP(LEFT($N365,2),LCTT_MAP!$A$7:$C$66,IF($M365="THU",2,3),FALSE()),IFERROR(VLOOKUP(LEFT($N365,1),LCTT_MAP!$A$7:$C$66,IF($M365="THU",2,3),FALSE()),IF($M365="THU","06","07")))))))</f>
        <v/>
      </c>
      <c r="P365" s="117">
        <f>P364+IF(AND($H365&lt;&gt;"",OR(LEFT($F365,LEN(SC_TK))=SC_TK,LEFT($G365,LEN(SC_TK))=SC_TK)),1,0)</f>
        <v/>
      </c>
    </row>
    <row r="366" ht="15" customHeight="1" s="78">
      <c r="A366" s="95">
        <f>IF($H366="","",ROW()-6)</f>
        <v/>
      </c>
      <c r="B366" s="114" t="n"/>
      <c r="C366" s="102" t="n"/>
      <c r="D366" s="114" t="n"/>
      <c r="E366" s="103" t="n"/>
      <c r="F366" s="102" t="n"/>
      <c r="G366" s="102" t="n"/>
      <c r="H366" s="115" t="n"/>
      <c r="I366" s="102" t="n"/>
      <c r="J366" s="102" t="n"/>
      <c r="K366" s="103" t="n"/>
      <c r="L366" s="116">
        <f>IF($H366="","",TRIM(IF(COUNTIF(DMTK!$A$7:$A$250,$F366)=0,"TK Nợ sai! ","")&amp;IF(COUNTIF(DMTK!$A$7:$A$250,$G366)=0,"TK Có sai! ","")&amp;IF(N($H366)&lt;=0,"Tiền phải &gt; 0! ","")&amp;IF($B366="","Thiếu ngày! ","")&amp;IF(AND(OR(LEFT($F366,3)="131",LEFT($G366,3)="131",LEFT($F366,3)="331",LEFT($G366,3)="331"),$I366=""),"Thiếu Mã ĐT! ","")&amp;IF(AND($I366&lt;&gt;"",COUNTIF(DM_DT!$A$7:$A$306,$I366)=0),"Mã ĐT chưa khai báo! ","")))</f>
        <v/>
      </c>
      <c r="M366" s="117">
        <f>IF($H366="","",IF(AND(OR(LEFT($F366,3)="111",LEFT($F366,3)="112",LEFT($F366,3)="113"),OR(LEFT($G366,3)="111",LEFT($G366,3)="112",LEFT($G366,3)="113")),"NB",IF(OR(LEFT($F366,3)="111",LEFT($F366,3)="112",LEFT($F366,3)="113"),"THU",IF(OR(LEFT($G366,3)="111",LEFT($G366,3)="112",LEFT($G366,3)="113"),"CHI",""))))</f>
        <v/>
      </c>
      <c r="N366" s="117">
        <f>IF($M366="THU",$G366,IF($M366="CHI",$F366,""))</f>
        <v/>
      </c>
      <c r="O366" s="117">
        <f>IF(OR($M366="",$M366="NB"),"",IF($J366&lt;&gt;"",TEXT($J366,"00"),IFERROR(VLOOKUP(LEFT($N366,4),LCTT_MAP!$A$7:$C$66,IF($M366="THU",2,3),FALSE()),IFERROR(VLOOKUP(LEFT($N366,3),LCTT_MAP!$A$7:$C$66,IF($M366="THU",2,3),FALSE()),IFERROR(VLOOKUP(LEFT($N366,2),LCTT_MAP!$A$7:$C$66,IF($M366="THU",2,3),FALSE()),IFERROR(VLOOKUP(LEFT($N366,1),LCTT_MAP!$A$7:$C$66,IF($M366="THU",2,3),FALSE()),IF($M366="THU","06","07")))))))</f>
        <v/>
      </c>
      <c r="P366" s="117">
        <f>P365+IF(AND($H366&lt;&gt;"",OR(LEFT($F366,LEN(SC_TK))=SC_TK,LEFT($G366,LEN(SC_TK))=SC_TK)),1,0)</f>
        <v/>
      </c>
    </row>
    <row r="367" ht="15" customHeight="1" s="78">
      <c r="A367" s="95">
        <f>IF($H367="","",ROW()-6)</f>
        <v/>
      </c>
      <c r="B367" s="114" t="n"/>
      <c r="C367" s="102" t="n"/>
      <c r="D367" s="114" t="n"/>
      <c r="E367" s="103" t="n"/>
      <c r="F367" s="102" t="n"/>
      <c r="G367" s="102" t="n"/>
      <c r="H367" s="115" t="n"/>
      <c r="I367" s="102" t="n"/>
      <c r="J367" s="102" t="n"/>
      <c r="K367" s="103" t="n"/>
      <c r="L367" s="116">
        <f>IF($H367="","",TRIM(IF(COUNTIF(DMTK!$A$7:$A$250,$F367)=0,"TK Nợ sai! ","")&amp;IF(COUNTIF(DMTK!$A$7:$A$250,$G367)=0,"TK Có sai! ","")&amp;IF(N($H367)&lt;=0,"Tiền phải &gt; 0! ","")&amp;IF($B367="","Thiếu ngày! ","")&amp;IF(AND(OR(LEFT($F367,3)="131",LEFT($G367,3)="131",LEFT($F367,3)="331",LEFT($G367,3)="331"),$I367=""),"Thiếu Mã ĐT! ","")&amp;IF(AND($I367&lt;&gt;"",COUNTIF(DM_DT!$A$7:$A$306,$I367)=0),"Mã ĐT chưa khai báo! ","")))</f>
        <v/>
      </c>
      <c r="M367" s="117">
        <f>IF($H367="","",IF(AND(OR(LEFT($F367,3)="111",LEFT($F367,3)="112",LEFT($F367,3)="113"),OR(LEFT($G367,3)="111",LEFT($G367,3)="112",LEFT($G367,3)="113")),"NB",IF(OR(LEFT($F367,3)="111",LEFT($F367,3)="112",LEFT($F367,3)="113"),"THU",IF(OR(LEFT($G367,3)="111",LEFT($G367,3)="112",LEFT($G367,3)="113"),"CHI",""))))</f>
        <v/>
      </c>
      <c r="N367" s="117">
        <f>IF($M367="THU",$G367,IF($M367="CHI",$F367,""))</f>
        <v/>
      </c>
      <c r="O367" s="117">
        <f>IF(OR($M367="",$M367="NB"),"",IF($J367&lt;&gt;"",TEXT($J367,"00"),IFERROR(VLOOKUP(LEFT($N367,4),LCTT_MAP!$A$7:$C$66,IF($M367="THU",2,3),FALSE()),IFERROR(VLOOKUP(LEFT($N367,3),LCTT_MAP!$A$7:$C$66,IF($M367="THU",2,3),FALSE()),IFERROR(VLOOKUP(LEFT($N367,2),LCTT_MAP!$A$7:$C$66,IF($M367="THU",2,3),FALSE()),IFERROR(VLOOKUP(LEFT($N367,1),LCTT_MAP!$A$7:$C$66,IF($M367="THU",2,3),FALSE()),IF($M367="THU","06","07")))))))</f>
        <v/>
      </c>
      <c r="P367" s="117">
        <f>P366+IF(AND($H367&lt;&gt;"",OR(LEFT($F367,LEN(SC_TK))=SC_TK,LEFT($G367,LEN(SC_TK))=SC_TK)),1,0)</f>
        <v/>
      </c>
    </row>
    <row r="368" ht="15" customHeight="1" s="78">
      <c r="A368" s="95">
        <f>IF($H368="","",ROW()-6)</f>
        <v/>
      </c>
      <c r="B368" s="114" t="n"/>
      <c r="C368" s="102" t="n"/>
      <c r="D368" s="114" t="n"/>
      <c r="E368" s="103" t="n"/>
      <c r="F368" s="102" t="n"/>
      <c r="G368" s="102" t="n"/>
      <c r="H368" s="115" t="n"/>
      <c r="I368" s="102" t="n"/>
      <c r="J368" s="102" t="n"/>
      <c r="K368" s="103" t="n"/>
      <c r="L368" s="116">
        <f>IF($H368="","",TRIM(IF(COUNTIF(DMTK!$A$7:$A$250,$F368)=0,"TK Nợ sai! ","")&amp;IF(COUNTIF(DMTK!$A$7:$A$250,$G368)=0,"TK Có sai! ","")&amp;IF(N($H368)&lt;=0,"Tiền phải &gt; 0! ","")&amp;IF($B368="","Thiếu ngày! ","")&amp;IF(AND(OR(LEFT($F368,3)="131",LEFT($G368,3)="131",LEFT($F368,3)="331",LEFT($G368,3)="331"),$I368=""),"Thiếu Mã ĐT! ","")&amp;IF(AND($I368&lt;&gt;"",COUNTIF(DM_DT!$A$7:$A$306,$I368)=0),"Mã ĐT chưa khai báo! ","")))</f>
        <v/>
      </c>
      <c r="M368" s="117">
        <f>IF($H368="","",IF(AND(OR(LEFT($F368,3)="111",LEFT($F368,3)="112",LEFT($F368,3)="113"),OR(LEFT($G368,3)="111",LEFT($G368,3)="112",LEFT($G368,3)="113")),"NB",IF(OR(LEFT($F368,3)="111",LEFT($F368,3)="112",LEFT($F368,3)="113"),"THU",IF(OR(LEFT($G368,3)="111",LEFT($G368,3)="112",LEFT($G368,3)="113"),"CHI",""))))</f>
        <v/>
      </c>
      <c r="N368" s="117">
        <f>IF($M368="THU",$G368,IF($M368="CHI",$F368,""))</f>
        <v/>
      </c>
      <c r="O368" s="117">
        <f>IF(OR($M368="",$M368="NB"),"",IF($J368&lt;&gt;"",TEXT($J368,"00"),IFERROR(VLOOKUP(LEFT($N368,4),LCTT_MAP!$A$7:$C$66,IF($M368="THU",2,3),FALSE()),IFERROR(VLOOKUP(LEFT($N368,3),LCTT_MAP!$A$7:$C$66,IF($M368="THU",2,3),FALSE()),IFERROR(VLOOKUP(LEFT($N368,2),LCTT_MAP!$A$7:$C$66,IF($M368="THU",2,3),FALSE()),IFERROR(VLOOKUP(LEFT($N368,1),LCTT_MAP!$A$7:$C$66,IF($M368="THU",2,3),FALSE()),IF($M368="THU","06","07")))))))</f>
        <v/>
      </c>
      <c r="P368" s="117">
        <f>P367+IF(AND($H368&lt;&gt;"",OR(LEFT($F368,LEN(SC_TK))=SC_TK,LEFT($G368,LEN(SC_TK))=SC_TK)),1,0)</f>
        <v/>
      </c>
    </row>
    <row r="369" ht="15" customHeight="1" s="78">
      <c r="A369" s="95">
        <f>IF($H369="","",ROW()-6)</f>
        <v/>
      </c>
      <c r="B369" s="114" t="n"/>
      <c r="C369" s="102" t="n"/>
      <c r="D369" s="114" t="n"/>
      <c r="E369" s="103" t="n"/>
      <c r="F369" s="102" t="n"/>
      <c r="G369" s="102" t="n"/>
      <c r="H369" s="115" t="n"/>
      <c r="I369" s="102" t="n"/>
      <c r="J369" s="102" t="n"/>
      <c r="K369" s="103" t="n"/>
      <c r="L369" s="116">
        <f>IF($H369="","",TRIM(IF(COUNTIF(DMTK!$A$7:$A$250,$F369)=0,"TK Nợ sai! ","")&amp;IF(COUNTIF(DMTK!$A$7:$A$250,$G369)=0,"TK Có sai! ","")&amp;IF(N($H369)&lt;=0,"Tiền phải &gt; 0! ","")&amp;IF($B369="","Thiếu ngày! ","")&amp;IF(AND(OR(LEFT($F369,3)="131",LEFT($G369,3)="131",LEFT($F369,3)="331",LEFT($G369,3)="331"),$I369=""),"Thiếu Mã ĐT! ","")&amp;IF(AND($I369&lt;&gt;"",COUNTIF(DM_DT!$A$7:$A$306,$I369)=0),"Mã ĐT chưa khai báo! ","")))</f>
        <v/>
      </c>
      <c r="M369" s="117">
        <f>IF($H369="","",IF(AND(OR(LEFT($F369,3)="111",LEFT($F369,3)="112",LEFT($F369,3)="113"),OR(LEFT($G369,3)="111",LEFT($G369,3)="112",LEFT($G369,3)="113")),"NB",IF(OR(LEFT($F369,3)="111",LEFT($F369,3)="112",LEFT($F369,3)="113"),"THU",IF(OR(LEFT($G369,3)="111",LEFT($G369,3)="112",LEFT($G369,3)="113"),"CHI",""))))</f>
        <v/>
      </c>
      <c r="N369" s="117">
        <f>IF($M369="THU",$G369,IF($M369="CHI",$F369,""))</f>
        <v/>
      </c>
      <c r="O369" s="117">
        <f>IF(OR($M369="",$M369="NB"),"",IF($J369&lt;&gt;"",TEXT($J369,"00"),IFERROR(VLOOKUP(LEFT($N369,4),LCTT_MAP!$A$7:$C$66,IF($M369="THU",2,3),FALSE()),IFERROR(VLOOKUP(LEFT($N369,3),LCTT_MAP!$A$7:$C$66,IF($M369="THU",2,3),FALSE()),IFERROR(VLOOKUP(LEFT($N369,2),LCTT_MAP!$A$7:$C$66,IF($M369="THU",2,3),FALSE()),IFERROR(VLOOKUP(LEFT($N369,1),LCTT_MAP!$A$7:$C$66,IF($M369="THU",2,3),FALSE()),IF($M369="THU","06","07")))))))</f>
        <v/>
      </c>
      <c r="P369" s="117">
        <f>P368+IF(AND($H369&lt;&gt;"",OR(LEFT($F369,LEN(SC_TK))=SC_TK,LEFT($G369,LEN(SC_TK))=SC_TK)),1,0)</f>
        <v/>
      </c>
    </row>
    <row r="370" ht="15" customHeight="1" s="78">
      <c r="A370" s="95">
        <f>IF($H370="","",ROW()-6)</f>
        <v/>
      </c>
      <c r="B370" s="114" t="n"/>
      <c r="C370" s="102" t="n"/>
      <c r="D370" s="114" t="n"/>
      <c r="E370" s="103" t="n"/>
      <c r="F370" s="102" t="n"/>
      <c r="G370" s="102" t="n"/>
      <c r="H370" s="115" t="n"/>
      <c r="I370" s="102" t="n"/>
      <c r="J370" s="102" t="n"/>
      <c r="K370" s="103" t="n"/>
      <c r="L370" s="116">
        <f>IF($H370="","",TRIM(IF(COUNTIF(DMTK!$A$7:$A$250,$F370)=0,"TK Nợ sai! ","")&amp;IF(COUNTIF(DMTK!$A$7:$A$250,$G370)=0,"TK Có sai! ","")&amp;IF(N($H370)&lt;=0,"Tiền phải &gt; 0! ","")&amp;IF($B370="","Thiếu ngày! ","")&amp;IF(AND(OR(LEFT($F370,3)="131",LEFT($G370,3)="131",LEFT($F370,3)="331",LEFT($G370,3)="331"),$I370=""),"Thiếu Mã ĐT! ","")&amp;IF(AND($I370&lt;&gt;"",COUNTIF(DM_DT!$A$7:$A$306,$I370)=0),"Mã ĐT chưa khai báo! ","")))</f>
        <v/>
      </c>
      <c r="M370" s="117">
        <f>IF($H370="","",IF(AND(OR(LEFT($F370,3)="111",LEFT($F370,3)="112",LEFT($F370,3)="113"),OR(LEFT($G370,3)="111",LEFT($G370,3)="112",LEFT($G370,3)="113")),"NB",IF(OR(LEFT($F370,3)="111",LEFT($F370,3)="112",LEFT($F370,3)="113"),"THU",IF(OR(LEFT($G370,3)="111",LEFT($G370,3)="112",LEFT($G370,3)="113"),"CHI",""))))</f>
        <v/>
      </c>
      <c r="N370" s="117">
        <f>IF($M370="THU",$G370,IF($M370="CHI",$F370,""))</f>
        <v/>
      </c>
      <c r="O370" s="117">
        <f>IF(OR($M370="",$M370="NB"),"",IF($J370&lt;&gt;"",TEXT($J370,"00"),IFERROR(VLOOKUP(LEFT($N370,4),LCTT_MAP!$A$7:$C$66,IF($M370="THU",2,3),FALSE()),IFERROR(VLOOKUP(LEFT($N370,3),LCTT_MAP!$A$7:$C$66,IF($M370="THU",2,3),FALSE()),IFERROR(VLOOKUP(LEFT($N370,2),LCTT_MAP!$A$7:$C$66,IF($M370="THU",2,3),FALSE()),IFERROR(VLOOKUP(LEFT($N370,1),LCTT_MAP!$A$7:$C$66,IF($M370="THU",2,3),FALSE()),IF($M370="THU","06","07")))))))</f>
        <v/>
      </c>
      <c r="P370" s="117">
        <f>P369+IF(AND($H370&lt;&gt;"",OR(LEFT($F370,LEN(SC_TK))=SC_TK,LEFT($G370,LEN(SC_TK))=SC_TK)),1,0)</f>
        <v/>
      </c>
    </row>
    <row r="371" ht="15" customHeight="1" s="78">
      <c r="A371" s="95">
        <f>IF($H371="","",ROW()-6)</f>
        <v/>
      </c>
      <c r="B371" s="114" t="n"/>
      <c r="C371" s="102" t="n"/>
      <c r="D371" s="114" t="n"/>
      <c r="E371" s="103" t="n"/>
      <c r="F371" s="102" t="n"/>
      <c r="G371" s="102" t="n"/>
      <c r="H371" s="115" t="n"/>
      <c r="I371" s="102" t="n"/>
      <c r="J371" s="102" t="n"/>
      <c r="K371" s="103" t="n"/>
      <c r="L371" s="116">
        <f>IF($H371="","",TRIM(IF(COUNTIF(DMTK!$A$7:$A$250,$F371)=0,"TK Nợ sai! ","")&amp;IF(COUNTIF(DMTK!$A$7:$A$250,$G371)=0,"TK Có sai! ","")&amp;IF(N($H371)&lt;=0,"Tiền phải &gt; 0! ","")&amp;IF($B371="","Thiếu ngày! ","")&amp;IF(AND(OR(LEFT($F371,3)="131",LEFT($G371,3)="131",LEFT($F371,3)="331",LEFT($G371,3)="331"),$I371=""),"Thiếu Mã ĐT! ","")&amp;IF(AND($I371&lt;&gt;"",COUNTIF(DM_DT!$A$7:$A$306,$I371)=0),"Mã ĐT chưa khai báo! ","")))</f>
        <v/>
      </c>
      <c r="M371" s="117">
        <f>IF($H371="","",IF(AND(OR(LEFT($F371,3)="111",LEFT($F371,3)="112",LEFT($F371,3)="113"),OR(LEFT($G371,3)="111",LEFT($G371,3)="112",LEFT($G371,3)="113")),"NB",IF(OR(LEFT($F371,3)="111",LEFT($F371,3)="112",LEFT($F371,3)="113"),"THU",IF(OR(LEFT($G371,3)="111",LEFT($G371,3)="112",LEFT($G371,3)="113"),"CHI",""))))</f>
        <v/>
      </c>
      <c r="N371" s="117">
        <f>IF($M371="THU",$G371,IF($M371="CHI",$F371,""))</f>
        <v/>
      </c>
      <c r="O371" s="117">
        <f>IF(OR($M371="",$M371="NB"),"",IF($J371&lt;&gt;"",TEXT($J371,"00"),IFERROR(VLOOKUP(LEFT($N371,4),LCTT_MAP!$A$7:$C$66,IF($M371="THU",2,3),FALSE()),IFERROR(VLOOKUP(LEFT($N371,3),LCTT_MAP!$A$7:$C$66,IF($M371="THU",2,3),FALSE()),IFERROR(VLOOKUP(LEFT($N371,2),LCTT_MAP!$A$7:$C$66,IF($M371="THU",2,3),FALSE()),IFERROR(VLOOKUP(LEFT($N371,1),LCTT_MAP!$A$7:$C$66,IF($M371="THU",2,3),FALSE()),IF($M371="THU","06","07")))))))</f>
        <v/>
      </c>
      <c r="P371" s="117">
        <f>P370+IF(AND($H371&lt;&gt;"",OR(LEFT($F371,LEN(SC_TK))=SC_TK,LEFT($G371,LEN(SC_TK))=SC_TK)),1,0)</f>
        <v/>
      </c>
    </row>
    <row r="372" ht="15" customHeight="1" s="78">
      <c r="A372" s="95">
        <f>IF($H372="","",ROW()-6)</f>
        <v/>
      </c>
      <c r="B372" s="114" t="n"/>
      <c r="C372" s="102" t="n"/>
      <c r="D372" s="114" t="n"/>
      <c r="E372" s="103" t="n"/>
      <c r="F372" s="102" t="n"/>
      <c r="G372" s="102" t="n"/>
      <c r="H372" s="115" t="n"/>
      <c r="I372" s="102" t="n"/>
      <c r="J372" s="102" t="n"/>
      <c r="K372" s="103" t="n"/>
      <c r="L372" s="116">
        <f>IF($H372="","",TRIM(IF(COUNTIF(DMTK!$A$7:$A$250,$F372)=0,"TK Nợ sai! ","")&amp;IF(COUNTIF(DMTK!$A$7:$A$250,$G372)=0,"TK Có sai! ","")&amp;IF(N($H372)&lt;=0,"Tiền phải &gt; 0! ","")&amp;IF($B372="","Thiếu ngày! ","")&amp;IF(AND(OR(LEFT($F372,3)="131",LEFT($G372,3)="131",LEFT($F372,3)="331",LEFT($G372,3)="331"),$I372=""),"Thiếu Mã ĐT! ","")&amp;IF(AND($I372&lt;&gt;"",COUNTIF(DM_DT!$A$7:$A$306,$I372)=0),"Mã ĐT chưa khai báo! ","")))</f>
        <v/>
      </c>
      <c r="M372" s="117">
        <f>IF($H372="","",IF(AND(OR(LEFT($F372,3)="111",LEFT($F372,3)="112",LEFT($F372,3)="113"),OR(LEFT($G372,3)="111",LEFT($G372,3)="112",LEFT($G372,3)="113")),"NB",IF(OR(LEFT($F372,3)="111",LEFT($F372,3)="112",LEFT($F372,3)="113"),"THU",IF(OR(LEFT($G372,3)="111",LEFT($G372,3)="112",LEFT($G372,3)="113"),"CHI",""))))</f>
        <v/>
      </c>
      <c r="N372" s="117">
        <f>IF($M372="THU",$G372,IF($M372="CHI",$F372,""))</f>
        <v/>
      </c>
      <c r="O372" s="117">
        <f>IF(OR($M372="",$M372="NB"),"",IF($J372&lt;&gt;"",TEXT($J372,"00"),IFERROR(VLOOKUP(LEFT($N372,4),LCTT_MAP!$A$7:$C$66,IF($M372="THU",2,3),FALSE()),IFERROR(VLOOKUP(LEFT($N372,3),LCTT_MAP!$A$7:$C$66,IF($M372="THU",2,3),FALSE()),IFERROR(VLOOKUP(LEFT($N372,2),LCTT_MAP!$A$7:$C$66,IF($M372="THU",2,3),FALSE()),IFERROR(VLOOKUP(LEFT($N372,1),LCTT_MAP!$A$7:$C$66,IF($M372="THU",2,3),FALSE()),IF($M372="THU","06","07")))))))</f>
        <v/>
      </c>
      <c r="P372" s="117">
        <f>P371+IF(AND($H372&lt;&gt;"",OR(LEFT($F372,LEN(SC_TK))=SC_TK,LEFT($G372,LEN(SC_TK))=SC_TK)),1,0)</f>
        <v/>
      </c>
    </row>
    <row r="373" ht="15" customHeight="1" s="78">
      <c r="A373" s="95">
        <f>IF($H373="","",ROW()-6)</f>
        <v/>
      </c>
      <c r="B373" s="114" t="n"/>
      <c r="C373" s="102" t="n"/>
      <c r="D373" s="114" t="n"/>
      <c r="E373" s="103" t="n"/>
      <c r="F373" s="102" t="n"/>
      <c r="G373" s="102" t="n"/>
      <c r="H373" s="115" t="n"/>
      <c r="I373" s="102" t="n"/>
      <c r="J373" s="102" t="n"/>
      <c r="K373" s="103" t="n"/>
      <c r="L373" s="116">
        <f>IF($H373="","",TRIM(IF(COUNTIF(DMTK!$A$7:$A$250,$F373)=0,"TK Nợ sai! ","")&amp;IF(COUNTIF(DMTK!$A$7:$A$250,$G373)=0,"TK Có sai! ","")&amp;IF(N($H373)&lt;=0,"Tiền phải &gt; 0! ","")&amp;IF($B373="","Thiếu ngày! ","")&amp;IF(AND(OR(LEFT($F373,3)="131",LEFT($G373,3)="131",LEFT($F373,3)="331",LEFT($G373,3)="331"),$I373=""),"Thiếu Mã ĐT! ","")&amp;IF(AND($I373&lt;&gt;"",COUNTIF(DM_DT!$A$7:$A$306,$I373)=0),"Mã ĐT chưa khai báo! ","")))</f>
        <v/>
      </c>
      <c r="M373" s="117">
        <f>IF($H373="","",IF(AND(OR(LEFT($F373,3)="111",LEFT($F373,3)="112",LEFT($F373,3)="113"),OR(LEFT($G373,3)="111",LEFT($G373,3)="112",LEFT($G373,3)="113")),"NB",IF(OR(LEFT($F373,3)="111",LEFT($F373,3)="112",LEFT($F373,3)="113"),"THU",IF(OR(LEFT($G373,3)="111",LEFT($G373,3)="112",LEFT($G373,3)="113"),"CHI",""))))</f>
        <v/>
      </c>
      <c r="N373" s="117">
        <f>IF($M373="THU",$G373,IF($M373="CHI",$F373,""))</f>
        <v/>
      </c>
      <c r="O373" s="117">
        <f>IF(OR($M373="",$M373="NB"),"",IF($J373&lt;&gt;"",TEXT($J373,"00"),IFERROR(VLOOKUP(LEFT($N373,4),LCTT_MAP!$A$7:$C$66,IF($M373="THU",2,3),FALSE()),IFERROR(VLOOKUP(LEFT($N373,3),LCTT_MAP!$A$7:$C$66,IF($M373="THU",2,3),FALSE()),IFERROR(VLOOKUP(LEFT($N373,2),LCTT_MAP!$A$7:$C$66,IF($M373="THU",2,3),FALSE()),IFERROR(VLOOKUP(LEFT($N373,1),LCTT_MAP!$A$7:$C$66,IF($M373="THU",2,3),FALSE()),IF($M373="THU","06","07")))))))</f>
        <v/>
      </c>
      <c r="P373" s="117">
        <f>P372+IF(AND($H373&lt;&gt;"",OR(LEFT($F373,LEN(SC_TK))=SC_TK,LEFT($G373,LEN(SC_TK))=SC_TK)),1,0)</f>
        <v/>
      </c>
    </row>
    <row r="374" ht="15" customHeight="1" s="78">
      <c r="A374" s="95">
        <f>IF($H374="","",ROW()-6)</f>
        <v/>
      </c>
      <c r="B374" s="114" t="n"/>
      <c r="C374" s="102" t="n"/>
      <c r="D374" s="114" t="n"/>
      <c r="E374" s="103" t="n"/>
      <c r="F374" s="102" t="n"/>
      <c r="G374" s="102" t="n"/>
      <c r="H374" s="115" t="n"/>
      <c r="I374" s="102" t="n"/>
      <c r="J374" s="102" t="n"/>
      <c r="K374" s="103" t="n"/>
      <c r="L374" s="116">
        <f>IF($H374="","",TRIM(IF(COUNTIF(DMTK!$A$7:$A$250,$F374)=0,"TK Nợ sai! ","")&amp;IF(COUNTIF(DMTK!$A$7:$A$250,$G374)=0,"TK Có sai! ","")&amp;IF(N($H374)&lt;=0,"Tiền phải &gt; 0! ","")&amp;IF($B374="","Thiếu ngày! ","")&amp;IF(AND(OR(LEFT($F374,3)="131",LEFT($G374,3)="131",LEFT($F374,3)="331",LEFT($G374,3)="331"),$I374=""),"Thiếu Mã ĐT! ","")&amp;IF(AND($I374&lt;&gt;"",COUNTIF(DM_DT!$A$7:$A$306,$I374)=0),"Mã ĐT chưa khai báo! ","")))</f>
        <v/>
      </c>
      <c r="M374" s="117">
        <f>IF($H374="","",IF(AND(OR(LEFT($F374,3)="111",LEFT($F374,3)="112",LEFT($F374,3)="113"),OR(LEFT($G374,3)="111",LEFT($G374,3)="112",LEFT($G374,3)="113")),"NB",IF(OR(LEFT($F374,3)="111",LEFT($F374,3)="112",LEFT($F374,3)="113"),"THU",IF(OR(LEFT($G374,3)="111",LEFT($G374,3)="112",LEFT($G374,3)="113"),"CHI",""))))</f>
        <v/>
      </c>
      <c r="N374" s="117">
        <f>IF($M374="THU",$G374,IF($M374="CHI",$F374,""))</f>
        <v/>
      </c>
      <c r="O374" s="117">
        <f>IF(OR($M374="",$M374="NB"),"",IF($J374&lt;&gt;"",TEXT($J374,"00"),IFERROR(VLOOKUP(LEFT($N374,4),LCTT_MAP!$A$7:$C$66,IF($M374="THU",2,3),FALSE()),IFERROR(VLOOKUP(LEFT($N374,3),LCTT_MAP!$A$7:$C$66,IF($M374="THU",2,3),FALSE()),IFERROR(VLOOKUP(LEFT($N374,2),LCTT_MAP!$A$7:$C$66,IF($M374="THU",2,3),FALSE()),IFERROR(VLOOKUP(LEFT($N374,1),LCTT_MAP!$A$7:$C$66,IF($M374="THU",2,3),FALSE()),IF($M374="THU","06","07")))))))</f>
        <v/>
      </c>
      <c r="P374" s="117">
        <f>P373+IF(AND($H374&lt;&gt;"",OR(LEFT($F374,LEN(SC_TK))=SC_TK,LEFT($G374,LEN(SC_TK))=SC_TK)),1,0)</f>
        <v/>
      </c>
    </row>
    <row r="375" ht="15" customHeight="1" s="78">
      <c r="A375" s="95">
        <f>IF($H375="","",ROW()-6)</f>
        <v/>
      </c>
      <c r="B375" s="114" t="n"/>
      <c r="C375" s="102" t="n"/>
      <c r="D375" s="114" t="n"/>
      <c r="E375" s="103" t="n"/>
      <c r="F375" s="102" t="n"/>
      <c r="G375" s="102" t="n"/>
      <c r="H375" s="115" t="n"/>
      <c r="I375" s="102" t="n"/>
      <c r="J375" s="102" t="n"/>
      <c r="K375" s="103" t="n"/>
      <c r="L375" s="116">
        <f>IF($H375="","",TRIM(IF(COUNTIF(DMTK!$A$7:$A$250,$F375)=0,"TK Nợ sai! ","")&amp;IF(COUNTIF(DMTK!$A$7:$A$250,$G375)=0,"TK Có sai! ","")&amp;IF(N($H375)&lt;=0,"Tiền phải &gt; 0! ","")&amp;IF($B375="","Thiếu ngày! ","")&amp;IF(AND(OR(LEFT($F375,3)="131",LEFT($G375,3)="131",LEFT($F375,3)="331",LEFT($G375,3)="331"),$I375=""),"Thiếu Mã ĐT! ","")&amp;IF(AND($I375&lt;&gt;"",COUNTIF(DM_DT!$A$7:$A$306,$I375)=0),"Mã ĐT chưa khai báo! ","")))</f>
        <v/>
      </c>
      <c r="M375" s="117">
        <f>IF($H375="","",IF(AND(OR(LEFT($F375,3)="111",LEFT($F375,3)="112",LEFT($F375,3)="113"),OR(LEFT($G375,3)="111",LEFT($G375,3)="112",LEFT($G375,3)="113")),"NB",IF(OR(LEFT($F375,3)="111",LEFT($F375,3)="112",LEFT($F375,3)="113"),"THU",IF(OR(LEFT($G375,3)="111",LEFT($G375,3)="112",LEFT($G375,3)="113"),"CHI",""))))</f>
        <v/>
      </c>
      <c r="N375" s="117">
        <f>IF($M375="THU",$G375,IF($M375="CHI",$F375,""))</f>
        <v/>
      </c>
      <c r="O375" s="117">
        <f>IF(OR($M375="",$M375="NB"),"",IF($J375&lt;&gt;"",TEXT($J375,"00"),IFERROR(VLOOKUP(LEFT($N375,4),LCTT_MAP!$A$7:$C$66,IF($M375="THU",2,3),FALSE()),IFERROR(VLOOKUP(LEFT($N375,3),LCTT_MAP!$A$7:$C$66,IF($M375="THU",2,3),FALSE()),IFERROR(VLOOKUP(LEFT($N375,2),LCTT_MAP!$A$7:$C$66,IF($M375="THU",2,3),FALSE()),IFERROR(VLOOKUP(LEFT($N375,1),LCTT_MAP!$A$7:$C$66,IF($M375="THU",2,3),FALSE()),IF($M375="THU","06","07")))))))</f>
        <v/>
      </c>
      <c r="P375" s="117">
        <f>P374+IF(AND($H375&lt;&gt;"",OR(LEFT($F375,LEN(SC_TK))=SC_TK,LEFT($G375,LEN(SC_TK))=SC_TK)),1,0)</f>
        <v/>
      </c>
    </row>
    <row r="376" ht="15" customHeight="1" s="78">
      <c r="A376" s="95">
        <f>IF($H376="","",ROW()-6)</f>
        <v/>
      </c>
      <c r="B376" s="114" t="n"/>
      <c r="C376" s="102" t="n"/>
      <c r="D376" s="114" t="n"/>
      <c r="E376" s="103" t="n"/>
      <c r="F376" s="102" t="n"/>
      <c r="G376" s="102" t="n"/>
      <c r="H376" s="115" t="n"/>
      <c r="I376" s="102" t="n"/>
      <c r="J376" s="102" t="n"/>
      <c r="K376" s="103" t="n"/>
      <c r="L376" s="116">
        <f>IF($H376="","",TRIM(IF(COUNTIF(DMTK!$A$7:$A$250,$F376)=0,"TK Nợ sai! ","")&amp;IF(COUNTIF(DMTK!$A$7:$A$250,$G376)=0,"TK Có sai! ","")&amp;IF(N($H376)&lt;=0,"Tiền phải &gt; 0! ","")&amp;IF($B376="","Thiếu ngày! ","")&amp;IF(AND(OR(LEFT($F376,3)="131",LEFT($G376,3)="131",LEFT($F376,3)="331",LEFT($G376,3)="331"),$I376=""),"Thiếu Mã ĐT! ","")&amp;IF(AND($I376&lt;&gt;"",COUNTIF(DM_DT!$A$7:$A$306,$I376)=0),"Mã ĐT chưa khai báo! ","")))</f>
        <v/>
      </c>
      <c r="M376" s="117">
        <f>IF($H376="","",IF(AND(OR(LEFT($F376,3)="111",LEFT($F376,3)="112",LEFT($F376,3)="113"),OR(LEFT($G376,3)="111",LEFT($G376,3)="112",LEFT($G376,3)="113")),"NB",IF(OR(LEFT($F376,3)="111",LEFT($F376,3)="112",LEFT($F376,3)="113"),"THU",IF(OR(LEFT($G376,3)="111",LEFT($G376,3)="112",LEFT($G376,3)="113"),"CHI",""))))</f>
        <v/>
      </c>
      <c r="N376" s="117">
        <f>IF($M376="THU",$G376,IF($M376="CHI",$F376,""))</f>
        <v/>
      </c>
      <c r="O376" s="117">
        <f>IF(OR($M376="",$M376="NB"),"",IF($J376&lt;&gt;"",TEXT($J376,"00"),IFERROR(VLOOKUP(LEFT($N376,4),LCTT_MAP!$A$7:$C$66,IF($M376="THU",2,3),FALSE()),IFERROR(VLOOKUP(LEFT($N376,3),LCTT_MAP!$A$7:$C$66,IF($M376="THU",2,3),FALSE()),IFERROR(VLOOKUP(LEFT($N376,2),LCTT_MAP!$A$7:$C$66,IF($M376="THU",2,3),FALSE()),IFERROR(VLOOKUP(LEFT($N376,1),LCTT_MAP!$A$7:$C$66,IF($M376="THU",2,3),FALSE()),IF($M376="THU","06","07")))))))</f>
        <v/>
      </c>
      <c r="P376" s="117">
        <f>P375+IF(AND($H376&lt;&gt;"",OR(LEFT($F376,LEN(SC_TK))=SC_TK,LEFT($G376,LEN(SC_TK))=SC_TK)),1,0)</f>
        <v/>
      </c>
    </row>
    <row r="377" ht="15" customHeight="1" s="78">
      <c r="A377" s="95">
        <f>IF($H377="","",ROW()-6)</f>
        <v/>
      </c>
      <c r="B377" s="114" t="n"/>
      <c r="C377" s="102" t="n"/>
      <c r="D377" s="114" t="n"/>
      <c r="E377" s="103" t="n"/>
      <c r="F377" s="102" t="n"/>
      <c r="G377" s="102" t="n"/>
      <c r="H377" s="115" t="n"/>
      <c r="I377" s="102" t="n"/>
      <c r="J377" s="102" t="n"/>
      <c r="K377" s="103" t="n"/>
      <c r="L377" s="116">
        <f>IF($H377="","",TRIM(IF(COUNTIF(DMTK!$A$7:$A$250,$F377)=0,"TK Nợ sai! ","")&amp;IF(COUNTIF(DMTK!$A$7:$A$250,$G377)=0,"TK Có sai! ","")&amp;IF(N($H377)&lt;=0,"Tiền phải &gt; 0! ","")&amp;IF($B377="","Thiếu ngày! ","")&amp;IF(AND(OR(LEFT($F377,3)="131",LEFT($G377,3)="131",LEFT($F377,3)="331",LEFT($G377,3)="331"),$I377=""),"Thiếu Mã ĐT! ","")&amp;IF(AND($I377&lt;&gt;"",COUNTIF(DM_DT!$A$7:$A$306,$I377)=0),"Mã ĐT chưa khai báo! ","")))</f>
        <v/>
      </c>
      <c r="M377" s="117">
        <f>IF($H377="","",IF(AND(OR(LEFT($F377,3)="111",LEFT($F377,3)="112",LEFT($F377,3)="113"),OR(LEFT($G377,3)="111",LEFT($G377,3)="112",LEFT($G377,3)="113")),"NB",IF(OR(LEFT($F377,3)="111",LEFT($F377,3)="112",LEFT($F377,3)="113"),"THU",IF(OR(LEFT($G377,3)="111",LEFT($G377,3)="112",LEFT($G377,3)="113"),"CHI",""))))</f>
        <v/>
      </c>
      <c r="N377" s="117">
        <f>IF($M377="THU",$G377,IF($M377="CHI",$F377,""))</f>
        <v/>
      </c>
      <c r="O377" s="117">
        <f>IF(OR($M377="",$M377="NB"),"",IF($J377&lt;&gt;"",TEXT($J377,"00"),IFERROR(VLOOKUP(LEFT($N377,4),LCTT_MAP!$A$7:$C$66,IF($M377="THU",2,3),FALSE()),IFERROR(VLOOKUP(LEFT($N377,3),LCTT_MAP!$A$7:$C$66,IF($M377="THU",2,3),FALSE()),IFERROR(VLOOKUP(LEFT($N377,2),LCTT_MAP!$A$7:$C$66,IF($M377="THU",2,3),FALSE()),IFERROR(VLOOKUP(LEFT($N377,1),LCTT_MAP!$A$7:$C$66,IF($M377="THU",2,3),FALSE()),IF($M377="THU","06","07")))))))</f>
        <v/>
      </c>
      <c r="P377" s="117">
        <f>P376+IF(AND($H377&lt;&gt;"",OR(LEFT($F377,LEN(SC_TK))=SC_TK,LEFT($G377,LEN(SC_TK))=SC_TK)),1,0)</f>
        <v/>
      </c>
    </row>
    <row r="378" ht="15" customHeight="1" s="78">
      <c r="A378" s="95">
        <f>IF($H378="","",ROW()-6)</f>
        <v/>
      </c>
      <c r="B378" s="114" t="n"/>
      <c r="C378" s="102" t="n"/>
      <c r="D378" s="114" t="n"/>
      <c r="E378" s="103" t="n"/>
      <c r="F378" s="102" t="n"/>
      <c r="G378" s="102" t="n"/>
      <c r="H378" s="115" t="n"/>
      <c r="I378" s="102" t="n"/>
      <c r="J378" s="102" t="n"/>
      <c r="K378" s="103" t="n"/>
      <c r="L378" s="116">
        <f>IF($H378="","",TRIM(IF(COUNTIF(DMTK!$A$7:$A$250,$F378)=0,"TK Nợ sai! ","")&amp;IF(COUNTIF(DMTK!$A$7:$A$250,$G378)=0,"TK Có sai! ","")&amp;IF(N($H378)&lt;=0,"Tiền phải &gt; 0! ","")&amp;IF($B378="","Thiếu ngày! ","")&amp;IF(AND(OR(LEFT($F378,3)="131",LEFT($G378,3)="131",LEFT($F378,3)="331",LEFT($G378,3)="331"),$I378=""),"Thiếu Mã ĐT! ","")&amp;IF(AND($I378&lt;&gt;"",COUNTIF(DM_DT!$A$7:$A$306,$I378)=0),"Mã ĐT chưa khai báo! ","")))</f>
        <v/>
      </c>
      <c r="M378" s="117">
        <f>IF($H378="","",IF(AND(OR(LEFT($F378,3)="111",LEFT($F378,3)="112",LEFT($F378,3)="113"),OR(LEFT($G378,3)="111",LEFT($G378,3)="112",LEFT($G378,3)="113")),"NB",IF(OR(LEFT($F378,3)="111",LEFT($F378,3)="112",LEFT($F378,3)="113"),"THU",IF(OR(LEFT($G378,3)="111",LEFT($G378,3)="112",LEFT($G378,3)="113"),"CHI",""))))</f>
        <v/>
      </c>
      <c r="N378" s="117">
        <f>IF($M378="THU",$G378,IF($M378="CHI",$F378,""))</f>
        <v/>
      </c>
      <c r="O378" s="117">
        <f>IF(OR($M378="",$M378="NB"),"",IF($J378&lt;&gt;"",TEXT($J378,"00"),IFERROR(VLOOKUP(LEFT($N378,4),LCTT_MAP!$A$7:$C$66,IF($M378="THU",2,3),FALSE()),IFERROR(VLOOKUP(LEFT($N378,3),LCTT_MAP!$A$7:$C$66,IF($M378="THU",2,3),FALSE()),IFERROR(VLOOKUP(LEFT($N378,2),LCTT_MAP!$A$7:$C$66,IF($M378="THU",2,3),FALSE()),IFERROR(VLOOKUP(LEFT($N378,1),LCTT_MAP!$A$7:$C$66,IF($M378="THU",2,3),FALSE()),IF($M378="THU","06","07")))))))</f>
        <v/>
      </c>
      <c r="P378" s="117">
        <f>P377+IF(AND($H378&lt;&gt;"",OR(LEFT($F378,LEN(SC_TK))=SC_TK,LEFT($G378,LEN(SC_TK))=SC_TK)),1,0)</f>
        <v/>
      </c>
    </row>
    <row r="379" ht="15" customHeight="1" s="78">
      <c r="A379" s="95">
        <f>IF($H379="","",ROW()-6)</f>
        <v/>
      </c>
      <c r="B379" s="114" t="n"/>
      <c r="C379" s="102" t="n"/>
      <c r="D379" s="114" t="n"/>
      <c r="E379" s="103" t="n"/>
      <c r="F379" s="102" t="n"/>
      <c r="G379" s="102" t="n"/>
      <c r="H379" s="115" t="n"/>
      <c r="I379" s="102" t="n"/>
      <c r="J379" s="102" t="n"/>
      <c r="K379" s="103" t="n"/>
      <c r="L379" s="116">
        <f>IF($H379="","",TRIM(IF(COUNTIF(DMTK!$A$7:$A$250,$F379)=0,"TK Nợ sai! ","")&amp;IF(COUNTIF(DMTK!$A$7:$A$250,$G379)=0,"TK Có sai! ","")&amp;IF(N($H379)&lt;=0,"Tiền phải &gt; 0! ","")&amp;IF($B379="","Thiếu ngày! ","")&amp;IF(AND(OR(LEFT($F379,3)="131",LEFT($G379,3)="131",LEFT($F379,3)="331",LEFT($G379,3)="331"),$I379=""),"Thiếu Mã ĐT! ","")&amp;IF(AND($I379&lt;&gt;"",COUNTIF(DM_DT!$A$7:$A$306,$I379)=0),"Mã ĐT chưa khai báo! ","")))</f>
        <v/>
      </c>
      <c r="M379" s="117">
        <f>IF($H379="","",IF(AND(OR(LEFT($F379,3)="111",LEFT($F379,3)="112",LEFT($F379,3)="113"),OR(LEFT($G379,3)="111",LEFT($G379,3)="112",LEFT($G379,3)="113")),"NB",IF(OR(LEFT($F379,3)="111",LEFT($F379,3)="112",LEFT($F379,3)="113"),"THU",IF(OR(LEFT($G379,3)="111",LEFT($G379,3)="112",LEFT($G379,3)="113"),"CHI",""))))</f>
        <v/>
      </c>
      <c r="N379" s="117">
        <f>IF($M379="THU",$G379,IF($M379="CHI",$F379,""))</f>
        <v/>
      </c>
      <c r="O379" s="117">
        <f>IF(OR($M379="",$M379="NB"),"",IF($J379&lt;&gt;"",TEXT($J379,"00"),IFERROR(VLOOKUP(LEFT($N379,4),LCTT_MAP!$A$7:$C$66,IF($M379="THU",2,3),FALSE()),IFERROR(VLOOKUP(LEFT($N379,3),LCTT_MAP!$A$7:$C$66,IF($M379="THU",2,3),FALSE()),IFERROR(VLOOKUP(LEFT($N379,2),LCTT_MAP!$A$7:$C$66,IF($M379="THU",2,3),FALSE()),IFERROR(VLOOKUP(LEFT($N379,1),LCTT_MAP!$A$7:$C$66,IF($M379="THU",2,3),FALSE()),IF($M379="THU","06","07")))))))</f>
        <v/>
      </c>
      <c r="P379" s="117">
        <f>P378+IF(AND($H379&lt;&gt;"",OR(LEFT($F379,LEN(SC_TK))=SC_TK,LEFT($G379,LEN(SC_TK))=SC_TK)),1,0)</f>
        <v/>
      </c>
    </row>
    <row r="380" ht="15" customHeight="1" s="78">
      <c r="A380" s="95">
        <f>IF($H380="","",ROW()-6)</f>
        <v/>
      </c>
      <c r="B380" s="114" t="n"/>
      <c r="C380" s="102" t="n"/>
      <c r="D380" s="114" t="n"/>
      <c r="E380" s="103" t="n"/>
      <c r="F380" s="102" t="n"/>
      <c r="G380" s="102" t="n"/>
      <c r="H380" s="115" t="n"/>
      <c r="I380" s="102" t="n"/>
      <c r="J380" s="102" t="n"/>
      <c r="K380" s="103" t="n"/>
      <c r="L380" s="116">
        <f>IF($H380="","",TRIM(IF(COUNTIF(DMTK!$A$7:$A$250,$F380)=0,"TK Nợ sai! ","")&amp;IF(COUNTIF(DMTK!$A$7:$A$250,$G380)=0,"TK Có sai! ","")&amp;IF(N($H380)&lt;=0,"Tiền phải &gt; 0! ","")&amp;IF($B380="","Thiếu ngày! ","")&amp;IF(AND(OR(LEFT($F380,3)="131",LEFT($G380,3)="131",LEFT($F380,3)="331",LEFT($G380,3)="331"),$I380=""),"Thiếu Mã ĐT! ","")&amp;IF(AND($I380&lt;&gt;"",COUNTIF(DM_DT!$A$7:$A$306,$I380)=0),"Mã ĐT chưa khai báo! ","")))</f>
        <v/>
      </c>
      <c r="M380" s="117">
        <f>IF($H380="","",IF(AND(OR(LEFT($F380,3)="111",LEFT($F380,3)="112",LEFT($F380,3)="113"),OR(LEFT($G380,3)="111",LEFT($G380,3)="112",LEFT($G380,3)="113")),"NB",IF(OR(LEFT($F380,3)="111",LEFT($F380,3)="112",LEFT($F380,3)="113"),"THU",IF(OR(LEFT($G380,3)="111",LEFT($G380,3)="112",LEFT($G380,3)="113"),"CHI",""))))</f>
        <v/>
      </c>
      <c r="N380" s="117">
        <f>IF($M380="THU",$G380,IF($M380="CHI",$F380,""))</f>
        <v/>
      </c>
      <c r="O380" s="117">
        <f>IF(OR($M380="",$M380="NB"),"",IF($J380&lt;&gt;"",TEXT($J380,"00"),IFERROR(VLOOKUP(LEFT($N380,4),LCTT_MAP!$A$7:$C$66,IF($M380="THU",2,3),FALSE()),IFERROR(VLOOKUP(LEFT($N380,3),LCTT_MAP!$A$7:$C$66,IF($M380="THU",2,3),FALSE()),IFERROR(VLOOKUP(LEFT($N380,2),LCTT_MAP!$A$7:$C$66,IF($M380="THU",2,3),FALSE()),IFERROR(VLOOKUP(LEFT($N380,1),LCTT_MAP!$A$7:$C$66,IF($M380="THU",2,3),FALSE()),IF($M380="THU","06","07")))))))</f>
        <v/>
      </c>
      <c r="P380" s="117">
        <f>P379+IF(AND($H380&lt;&gt;"",OR(LEFT($F380,LEN(SC_TK))=SC_TK,LEFT($G380,LEN(SC_TK))=SC_TK)),1,0)</f>
        <v/>
      </c>
    </row>
    <row r="381" ht="15" customHeight="1" s="78">
      <c r="A381" s="95">
        <f>IF($H381="","",ROW()-6)</f>
        <v/>
      </c>
      <c r="B381" s="114" t="n"/>
      <c r="C381" s="102" t="n"/>
      <c r="D381" s="114" t="n"/>
      <c r="E381" s="103" t="n"/>
      <c r="F381" s="102" t="n"/>
      <c r="G381" s="102" t="n"/>
      <c r="H381" s="115" t="n"/>
      <c r="I381" s="102" t="n"/>
      <c r="J381" s="102" t="n"/>
      <c r="K381" s="103" t="n"/>
      <c r="L381" s="116">
        <f>IF($H381="","",TRIM(IF(COUNTIF(DMTK!$A$7:$A$250,$F381)=0,"TK Nợ sai! ","")&amp;IF(COUNTIF(DMTK!$A$7:$A$250,$G381)=0,"TK Có sai! ","")&amp;IF(N($H381)&lt;=0,"Tiền phải &gt; 0! ","")&amp;IF($B381="","Thiếu ngày! ","")&amp;IF(AND(OR(LEFT($F381,3)="131",LEFT($G381,3)="131",LEFT($F381,3)="331",LEFT($G381,3)="331"),$I381=""),"Thiếu Mã ĐT! ","")&amp;IF(AND($I381&lt;&gt;"",COUNTIF(DM_DT!$A$7:$A$306,$I381)=0),"Mã ĐT chưa khai báo! ","")))</f>
        <v/>
      </c>
      <c r="M381" s="117">
        <f>IF($H381="","",IF(AND(OR(LEFT($F381,3)="111",LEFT($F381,3)="112",LEFT($F381,3)="113"),OR(LEFT($G381,3)="111",LEFT($G381,3)="112",LEFT($G381,3)="113")),"NB",IF(OR(LEFT($F381,3)="111",LEFT($F381,3)="112",LEFT($F381,3)="113"),"THU",IF(OR(LEFT($G381,3)="111",LEFT($G381,3)="112",LEFT($G381,3)="113"),"CHI",""))))</f>
        <v/>
      </c>
      <c r="N381" s="117">
        <f>IF($M381="THU",$G381,IF($M381="CHI",$F381,""))</f>
        <v/>
      </c>
      <c r="O381" s="117">
        <f>IF(OR($M381="",$M381="NB"),"",IF($J381&lt;&gt;"",TEXT($J381,"00"),IFERROR(VLOOKUP(LEFT($N381,4),LCTT_MAP!$A$7:$C$66,IF($M381="THU",2,3),FALSE()),IFERROR(VLOOKUP(LEFT($N381,3),LCTT_MAP!$A$7:$C$66,IF($M381="THU",2,3),FALSE()),IFERROR(VLOOKUP(LEFT($N381,2),LCTT_MAP!$A$7:$C$66,IF($M381="THU",2,3),FALSE()),IFERROR(VLOOKUP(LEFT($N381,1),LCTT_MAP!$A$7:$C$66,IF($M381="THU",2,3),FALSE()),IF($M381="THU","06","07")))))))</f>
        <v/>
      </c>
      <c r="P381" s="117">
        <f>P380+IF(AND($H381&lt;&gt;"",OR(LEFT($F381,LEN(SC_TK))=SC_TK,LEFT($G381,LEN(SC_TK))=SC_TK)),1,0)</f>
        <v/>
      </c>
    </row>
    <row r="382" ht="15" customHeight="1" s="78">
      <c r="A382" s="95">
        <f>IF($H382="","",ROW()-6)</f>
        <v/>
      </c>
      <c r="B382" s="114" t="n"/>
      <c r="C382" s="102" t="n"/>
      <c r="D382" s="114" t="n"/>
      <c r="E382" s="103" t="n"/>
      <c r="F382" s="102" t="n"/>
      <c r="G382" s="102" t="n"/>
      <c r="H382" s="115" t="n"/>
      <c r="I382" s="102" t="n"/>
      <c r="J382" s="102" t="n"/>
      <c r="K382" s="103" t="n"/>
      <c r="L382" s="116">
        <f>IF($H382="","",TRIM(IF(COUNTIF(DMTK!$A$7:$A$250,$F382)=0,"TK Nợ sai! ","")&amp;IF(COUNTIF(DMTK!$A$7:$A$250,$G382)=0,"TK Có sai! ","")&amp;IF(N($H382)&lt;=0,"Tiền phải &gt; 0! ","")&amp;IF($B382="","Thiếu ngày! ","")&amp;IF(AND(OR(LEFT($F382,3)="131",LEFT($G382,3)="131",LEFT($F382,3)="331",LEFT($G382,3)="331"),$I382=""),"Thiếu Mã ĐT! ","")&amp;IF(AND($I382&lt;&gt;"",COUNTIF(DM_DT!$A$7:$A$306,$I382)=0),"Mã ĐT chưa khai báo! ","")))</f>
        <v/>
      </c>
      <c r="M382" s="117">
        <f>IF($H382="","",IF(AND(OR(LEFT($F382,3)="111",LEFT($F382,3)="112",LEFT($F382,3)="113"),OR(LEFT($G382,3)="111",LEFT($G382,3)="112",LEFT($G382,3)="113")),"NB",IF(OR(LEFT($F382,3)="111",LEFT($F382,3)="112",LEFT($F382,3)="113"),"THU",IF(OR(LEFT($G382,3)="111",LEFT($G382,3)="112",LEFT($G382,3)="113"),"CHI",""))))</f>
        <v/>
      </c>
      <c r="N382" s="117">
        <f>IF($M382="THU",$G382,IF($M382="CHI",$F382,""))</f>
        <v/>
      </c>
      <c r="O382" s="117">
        <f>IF(OR($M382="",$M382="NB"),"",IF($J382&lt;&gt;"",TEXT($J382,"00"),IFERROR(VLOOKUP(LEFT($N382,4),LCTT_MAP!$A$7:$C$66,IF($M382="THU",2,3),FALSE()),IFERROR(VLOOKUP(LEFT($N382,3),LCTT_MAP!$A$7:$C$66,IF($M382="THU",2,3),FALSE()),IFERROR(VLOOKUP(LEFT($N382,2),LCTT_MAP!$A$7:$C$66,IF($M382="THU",2,3),FALSE()),IFERROR(VLOOKUP(LEFT($N382,1),LCTT_MAP!$A$7:$C$66,IF($M382="THU",2,3),FALSE()),IF($M382="THU","06","07")))))))</f>
        <v/>
      </c>
      <c r="P382" s="117">
        <f>P381+IF(AND($H382&lt;&gt;"",OR(LEFT($F382,LEN(SC_TK))=SC_TK,LEFT($G382,LEN(SC_TK))=SC_TK)),1,0)</f>
        <v/>
      </c>
    </row>
    <row r="383" ht="15" customHeight="1" s="78">
      <c r="A383" s="95">
        <f>IF($H383="","",ROW()-6)</f>
        <v/>
      </c>
      <c r="B383" s="114" t="n"/>
      <c r="C383" s="102" t="n"/>
      <c r="D383" s="114" t="n"/>
      <c r="E383" s="103" t="n"/>
      <c r="F383" s="102" t="n"/>
      <c r="G383" s="102" t="n"/>
      <c r="H383" s="115" t="n"/>
      <c r="I383" s="102" t="n"/>
      <c r="J383" s="102" t="n"/>
      <c r="K383" s="103" t="n"/>
      <c r="L383" s="116">
        <f>IF($H383="","",TRIM(IF(COUNTIF(DMTK!$A$7:$A$250,$F383)=0,"TK Nợ sai! ","")&amp;IF(COUNTIF(DMTK!$A$7:$A$250,$G383)=0,"TK Có sai! ","")&amp;IF(N($H383)&lt;=0,"Tiền phải &gt; 0! ","")&amp;IF($B383="","Thiếu ngày! ","")&amp;IF(AND(OR(LEFT($F383,3)="131",LEFT($G383,3)="131",LEFT($F383,3)="331",LEFT($G383,3)="331"),$I383=""),"Thiếu Mã ĐT! ","")&amp;IF(AND($I383&lt;&gt;"",COUNTIF(DM_DT!$A$7:$A$306,$I383)=0),"Mã ĐT chưa khai báo! ","")))</f>
        <v/>
      </c>
      <c r="M383" s="117">
        <f>IF($H383="","",IF(AND(OR(LEFT($F383,3)="111",LEFT($F383,3)="112",LEFT($F383,3)="113"),OR(LEFT($G383,3)="111",LEFT($G383,3)="112",LEFT($G383,3)="113")),"NB",IF(OR(LEFT($F383,3)="111",LEFT($F383,3)="112",LEFT($F383,3)="113"),"THU",IF(OR(LEFT($G383,3)="111",LEFT($G383,3)="112",LEFT($G383,3)="113"),"CHI",""))))</f>
        <v/>
      </c>
      <c r="N383" s="117">
        <f>IF($M383="THU",$G383,IF($M383="CHI",$F383,""))</f>
        <v/>
      </c>
      <c r="O383" s="117">
        <f>IF(OR($M383="",$M383="NB"),"",IF($J383&lt;&gt;"",TEXT($J383,"00"),IFERROR(VLOOKUP(LEFT($N383,4),LCTT_MAP!$A$7:$C$66,IF($M383="THU",2,3),FALSE()),IFERROR(VLOOKUP(LEFT($N383,3),LCTT_MAP!$A$7:$C$66,IF($M383="THU",2,3),FALSE()),IFERROR(VLOOKUP(LEFT($N383,2),LCTT_MAP!$A$7:$C$66,IF($M383="THU",2,3),FALSE()),IFERROR(VLOOKUP(LEFT($N383,1),LCTT_MAP!$A$7:$C$66,IF($M383="THU",2,3),FALSE()),IF($M383="THU","06","07")))))))</f>
        <v/>
      </c>
      <c r="P383" s="117">
        <f>P382+IF(AND($H383&lt;&gt;"",OR(LEFT($F383,LEN(SC_TK))=SC_TK,LEFT($G383,LEN(SC_TK))=SC_TK)),1,0)</f>
        <v/>
      </c>
    </row>
    <row r="384" ht="15" customHeight="1" s="78">
      <c r="A384" s="95">
        <f>IF($H384="","",ROW()-6)</f>
        <v/>
      </c>
      <c r="B384" s="114" t="n"/>
      <c r="C384" s="102" t="n"/>
      <c r="D384" s="114" t="n"/>
      <c r="E384" s="103" t="n"/>
      <c r="F384" s="102" t="n"/>
      <c r="G384" s="102" t="n"/>
      <c r="H384" s="115" t="n"/>
      <c r="I384" s="102" t="n"/>
      <c r="J384" s="102" t="n"/>
      <c r="K384" s="103" t="n"/>
      <c r="L384" s="116">
        <f>IF($H384="","",TRIM(IF(COUNTIF(DMTK!$A$7:$A$250,$F384)=0,"TK Nợ sai! ","")&amp;IF(COUNTIF(DMTK!$A$7:$A$250,$G384)=0,"TK Có sai! ","")&amp;IF(N($H384)&lt;=0,"Tiền phải &gt; 0! ","")&amp;IF($B384="","Thiếu ngày! ","")&amp;IF(AND(OR(LEFT($F384,3)="131",LEFT($G384,3)="131",LEFT($F384,3)="331",LEFT($G384,3)="331"),$I384=""),"Thiếu Mã ĐT! ","")&amp;IF(AND($I384&lt;&gt;"",COUNTIF(DM_DT!$A$7:$A$306,$I384)=0),"Mã ĐT chưa khai báo! ","")))</f>
        <v/>
      </c>
      <c r="M384" s="117">
        <f>IF($H384="","",IF(AND(OR(LEFT($F384,3)="111",LEFT($F384,3)="112",LEFT($F384,3)="113"),OR(LEFT($G384,3)="111",LEFT($G384,3)="112",LEFT($G384,3)="113")),"NB",IF(OR(LEFT($F384,3)="111",LEFT($F384,3)="112",LEFT($F384,3)="113"),"THU",IF(OR(LEFT($G384,3)="111",LEFT($G384,3)="112",LEFT($G384,3)="113"),"CHI",""))))</f>
        <v/>
      </c>
      <c r="N384" s="117">
        <f>IF($M384="THU",$G384,IF($M384="CHI",$F384,""))</f>
        <v/>
      </c>
      <c r="O384" s="117">
        <f>IF(OR($M384="",$M384="NB"),"",IF($J384&lt;&gt;"",TEXT($J384,"00"),IFERROR(VLOOKUP(LEFT($N384,4),LCTT_MAP!$A$7:$C$66,IF($M384="THU",2,3),FALSE()),IFERROR(VLOOKUP(LEFT($N384,3),LCTT_MAP!$A$7:$C$66,IF($M384="THU",2,3),FALSE()),IFERROR(VLOOKUP(LEFT($N384,2),LCTT_MAP!$A$7:$C$66,IF($M384="THU",2,3),FALSE()),IFERROR(VLOOKUP(LEFT($N384,1),LCTT_MAP!$A$7:$C$66,IF($M384="THU",2,3),FALSE()),IF($M384="THU","06","07")))))))</f>
        <v/>
      </c>
      <c r="P384" s="117">
        <f>P383+IF(AND($H384&lt;&gt;"",OR(LEFT($F384,LEN(SC_TK))=SC_TK,LEFT($G384,LEN(SC_TK))=SC_TK)),1,0)</f>
        <v/>
      </c>
    </row>
    <row r="385" ht="15" customHeight="1" s="78">
      <c r="A385" s="95">
        <f>IF($H385="","",ROW()-6)</f>
        <v/>
      </c>
      <c r="B385" s="114" t="n"/>
      <c r="C385" s="102" t="n"/>
      <c r="D385" s="114" t="n"/>
      <c r="E385" s="103" t="n"/>
      <c r="F385" s="102" t="n"/>
      <c r="G385" s="102" t="n"/>
      <c r="H385" s="115" t="n"/>
      <c r="I385" s="102" t="n"/>
      <c r="J385" s="102" t="n"/>
      <c r="K385" s="103" t="n"/>
      <c r="L385" s="116">
        <f>IF($H385="","",TRIM(IF(COUNTIF(DMTK!$A$7:$A$250,$F385)=0,"TK Nợ sai! ","")&amp;IF(COUNTIF(DMTK!$A$7:$A$250,$G385)=0,"TK Có sai! ","")&amp;IF(N($H385)&lt;=0,"Tiền phải &gt; 0! ","")&amp;IF($B385="","Thiếu ngày! ","")&amp;IF(AND(OR(LEFT($F385,3)="131",LEFT($G385,3)="131",LEFT($F385,3)="331",LEFT($G385,3)="331"),$I385=""),"Thiếu Mã ĐT! ","")&amp;IF(AND($I385&lt;&gt;"",COUNTIF(DM_DT!$A$7:$A$306,$I385)=0),"Mã ĐT chưa khai báo! ","")))</f>
        <v/>
      </c>
      <c r="M385" s="117">
        <f>IF($H385="","",IF(AND(OR(LEFT($F385,3)="111",LEFT($F385,3)="112",LEFT($F385,3)="113"),OR(LEFT($G385,3)="111",LEFT($G385,3)="112",LEFT($G385,3)="113")),"NB",IF(OR(LEFT($F385,3)="111",LEFT($F385,3)="112",LEFT($F385,3)="113"),"THU",IF(OR(LEFT($G385,3)="111",LEFT($G385,3)="112",LEFT($G385,3)="113"),"CHI",""))))</f>
        <v/>
      </c>
      <c r="N385" s="117">
        <f>IF($M385="THU",$G385,IF($M385="CHI",$F385,""))</f>
        <v/>
      </c>
      <c r="O385" s="117">
        <f>IF(OR($M385="",$M385="NB"),"",IF($J385&lt;&gt;"",TEXT($J385,"00"),IFERROR(VLOOKUP(LEFT($N385,4),LCTT_MAP!$A$7:$C$66,IF($M385="THU",2,3),FALSE()),IFERROR(VLOOKUP(LEFT($N385,3),LCTT_MAP!$A$7:$C$66,IF($M385="THU",2,3),FALSE()),IFERROR(VLOOKUP(LEFT($N385,2),LCTT_MAP!$A$7:$C$66,IF($M385="THU",2,3),FALSE()),IFERROR(VLOOKUP(LEFT($N385,1),LCTT_MAP!$A$7:$C$66,IF($M385="THU",2,3),FALSE()),IF($M385="THU","06","07")))))))</f>
        <v/>
      </c>
      <c r="P385" s="117">
        <f>P384+IF(AND($H385&lt;&gt;"",OR(LEFT($F385,LEN(SC_TK))=SC_TK,LEFT($G385,LEN(SC_TK))=SC_TK)),1,0)</f>
        <v/>
      </c>
    </row>
    <row r="386" ht="15" customHeight="1" s="78">
      <c r="A386" s="95">
        <f>IF($H386="","",ROW()-6)</f>
        <v/>
      </c>
      <c r="B386" s="114" t="n"/>
      <c r="C386" s="102" t="n"/>
      <c r="D386" s="114" t="n"/>
      <c r="E386" s="103" t="n"/>
      <c r="F386" s="102" t="n"/>
      <c r="G386" s="102" t="n"/>
      <c r="H386" s="115" t="n"/>
      <c r="I386" s="102" t="n"/>
      <c r="J386" s="102" t="n"/>
      <c r="K386" s="103" t="n"/>
      <c r="L386" s="116">
        <f>IF($H386="","",TRIM(IF(COUNTIF(DMTK!$A$7:$A$250,$F386)=0,"TK Nợ sai! ","")&amp;IF(COUNTIF(DMTK!$A$7:$A$250,$G386)=0,"TK Có sai! ","")&amp;IF(N($H386)&lt;=0,"Tiền phải &gt; 0! ","")&amp;IF($B386="","Thiếu ngày! ","")&amp;IF(AND(OR(LEFT($F386,3)="131",LEFT($G386,3)="131",LEFT($F386,3)="331",LEFT($G386,3)="331"),$I386=""),"Thiếu Mã ĐT! ","")&amp;IF(AND($I386&lt;&gt;"",COUNTIF(DM_DT!$A$7:$A$306,$I386)=0),"Mã ĐT chưa khai báo! ","")))</f>
        <v/>
      </c>
      <c r="M386" s="117">
        <f>IF($H386="","",IF(AND(OR(LEFT($F386,3)="111",LEFT($F386,3)="112",LEFT($F386,3)="113"),OR(LEFT($G386,3)="111",LEFT($G386,3)="112",LEFT($G386,3)="113")),"NB",IF(OR(LEFT($F386,3)="111",LEFT($F386,3)="112",LEFT($F386,3)="113"),"THU",IF(OR(LEFT($G386,3)="111",LEFT($G386,3)="112",LEFT($G386,3)="113"),"CHI",""))))</f>
        <v/>
      </c>
      <c r="N386" s="117">
        <f>IF($M386="THU",$G386,IF($M386="CHI",$F386,""))</f>
        <v/>
      </c>
      <c r="O386" s="117">
        <f>IF(OR($M386="",$M386="NB"),"",IF($J386&lt;&gt;"",TEXT($J386,"00"),IFERROR(VLOOKUP(LEFT($N386,4),LCTT_MAP!$A$7:$C$66,IF($M386="THU",2,3),FALSE()),IFERROR(VLOOKUP(LEFT($N386,3),LCTT_MAP!$A$7:$C$66,IF($M386="THU",2,3),FALSE()),IFERROR(VLOOKUP(LEFT($N386,2),LCTT_MAP!$A$7:$C$66,IF($M386="THU",2,3),FALSE()),IFERROR(VLOOKUP(LEFT($N386,1),LCTT_MAP!$A$7:$C$66,IF($M386="THU",2,3),FALSE()),IF($M386="THU","06","07")))))))</f>
        <v/>
      </c>
      <c r="P386" s="117">
        <f>P385+IF(AND($H386&lt;&gt;"",OR(LEFT($F386,LEN(SC_TK))=SC_TK,LEFT($G386,LEN(SC_TK))=SC_TK)),1,0)</f>
        <v/>
      </c>
    </row>
    <row r="387" ht="15" customHeight="1" s="78">
      <c r="A387" s="95">
        <f>IF($H387="","",ROW()-6)</f>
        <v/>
      </c>
      <c r="B387" s="114" t="n"/>
      <c r="C387" s="102" t="n"/>
      <c r="D387" s="114" t="n"/>
      <c r="E387" s="103" t="n"/>
      <c r="F387" s="102" t="n"/>
      <c r="G387" s="102" t="n"/>
      <c r="H387" s="115" t="n"/>
      <c r="I387" s="102" t="n"/>
      <c r="J387" s="102" t="n"/>
      <c r="K387" s="103" t="n"/>
      <c r="L387" s="116">
        <f>IF($H387="","",TRIM(IF(COUNTIF(DMTK!$A$7:$A$250,$F387)=0,"TK Nợ sai! ","")&amp;IF(COUNTIF(DMTK!$A$7:$A$250,$G387)=0,"TK Có sai! ","")&amp;IF(N($H387)&lt;=0,"Tiền phải &gt; 0! ","")&amp;IF($B387="","Thiếu ngày! ","")&amp;IF(AND(OR(LEFT($F387,3)="131",LEFT($G387,3)="131",LEFT($F387,3)="331",LEFT($G387,3)="331"),$I387=""),"Thiếu Mã ĐT! ","")&amp;IF(AND($I387&lt;&gt;"",COUNTIF(DM_DT!$A$7:$A$306,$I387)=0),"Mã ĐT chưa khai báo! ","")))</f>
        <v/>
      </c>
      <c r="M387" s="117">
        <f>IF($H387="","",IF(AND(OR(LEFT($F387,3)="111",LEFT($F387,3)="112",LEFT($F387,3)="113"),OR(LEFT($G387,3)="111",LEFT($G387,3)="112",LEFT($G387,3)="113")),"NB",IF(OR(LEFT($F387,3)="111",LEFT($F387,3)="112",LEFT($F387,3)="113"),"THU",IF(OR(LEFT($G387,3)="111",LEFT($G387,3)="112",LEFT($G387,3)="113"),"CHI",""))))</f>
        <v/>
      </c>
      <c r="N387" s="117">
        <f>IF($M387="THU",$G387,IF($M387="CHI",$F387,""))</f>
        <v/>
      </c>
      <c r="O387" s="117">
        <f>IF(OR($M387="",$M387="NB"),"",IF($J387&lt;&gt;"",TEXT($J387,"00"),IFERROR(VLOOKUP(LEFT($N387,4),LCTT_MAP!$A$7:$C$66,IF($M387="THU",2,3),FALSE()),IFERROR(VLOOKUP(LEFT($N387,3),LCTT_MAP!$A$7:$C$66,IF($M387="THU",2,3),FALSE()),IFERROR(VLOOKUP(LEFT($N387,2),LCTT_MAP!$A$7:$C$66,IF($M387="THU",2,3),FALSE()),IFERROR(VLOOKUP(LEFT($N387,1),LCTT_MAP!$A$7:$C$66,IF($M387="THU",2,3),FALSE()),IF($M387="THU","06","07")))))))</f>
        <v/>
      </c>
      <c r="P387" s="117">
        <f>P386+IF(AND($H387&lt;&gt;"",OR(LEFT($F387,LEN(SC_TK))=SC_TK,LEFT($G387,LEN(SC_TK))=SC_TK)),1,0)</f>
        <v/>
      </c>
    </row>
    <row r="388" ht="15" customHeight="1" s="78">
      <c r="A388" s="95">
        <f>IF($H388="","",ROW()-6)</f>
        <v/>
      </c>
      <c r="B388" s="114" t="n"/>
      <c r="C388" s="102" t="n"/>
      <c r="D388" s="114" t="n"/>
      <c r="E388" s="103" t="n"/>
      <c r="F388" s="102" t="n"/>
      <c r="G388" s="102" t="n"/>
      <c r="H388" s="115" t="n"/>
      <c r="I388" s="102" t="n"/>
      <c r="J388" s="102" t="n"/>
      <c r="K388" s="103" t="n"/>
      <c r="L388" s="116">
        <f>IF($H388="","",TRIM(IF(COUNTIF(DMTK!$A$7:$A$250,$F388)=0,"TK Nợ sai! ","")&amp;IF(COUNTIF(DMTK!$A$7:$A$250,$G388)=0,"TK Có sai! ","")&amp;IF(N($H388)&lt;=0,"Tiền phải &gt; 0! ","")&amp;IF($B388="","Thiếu ngày! ","")&amp;IF(AND(OR(LEFT($F388,3)="131",LEFT($G388,3)="131",LEFT($F388,3)="331",LEFT($G388,3)="331"),$I388=""),"Thiếu Mã ĐT! ","")&amp;IF(AND($I388&lt;&gt;"",COUNTIF(DM_DT!$A$7:$A$306,$I388)=0),"Mã ĐT chưa khai báo! ","")))</f>
        <v/>
      </c>
      <c r="M388" s="117">
        <f>IF($H388="","",IF(AND(OR(LEFT($F388,3)="111",LEFT($F388,3)="112",LEFT($F388,3)="113"),OR(LEFT($G388,3)="111",LEFT($G388,3)="112",LEFT($G388,3)="113")),"NB",IF(OR(LEFT($F388,3)="111",LEFT($F388,3)="112",LEFT($F388,3)="113"),"THU",IF(OR(LEFT($G388,3)="111",LEFT($G388,3)="112",LEFT($G388,3)="113"),"CHI",""))))</f>
        <v/>
      </c>
      <c r="N388" s="117">
        <f>IF($M388="THU",$G388,IF($M388="CHI",$F388,""))</f>
        <v/>
      </c>
      <c r="O388" s="117">
        <f>IF(OR($M388="",$M388="NB"),"",IF($J388&lt;&gt;"",TEXT($J388,"00"),IFERROR(VLOOKUP(LEFT($N388,4),LCTT_MAP!$A$7:$C$66,IF($M388="THU",2,3),FALSE()),IFERROR(VLOOKUP(LEFT($N388,3),LCTT_MAP!$A$7:$C$66,IF($M388="THU",2,3),FALSE()),IFERROR(VLOOKUP(LEFT($N388,2),LCTT_MAP!$A$7:$C$66,IF($M388="THU",2,3),FALSE()),IFERROR(VLOOKUP(LEFT($N388,1),LCTT_MAP!$A$7:$C$66,IF($M388="THU",2,3),FALSE()),IF($M388="THU","06","07")))))))</f>
        <v/>
      </c>
      <c r="P388" s="117">
        <f>P387+IF(AND($H388&lt;&gt;"",OR(LEFT($F388,LEN(SC_TK))=SC_TK,LEFT($G388,LEN(SC_TK))=SC_TK)),1,0)</f>
        <v/>
      </c>
    </row>
    <row r="389" ht="15" customHeight="1" s="78">
      <c r="A389" s="95">
        <f>IF($H389="","",ROW()-6)</f>
        <v/>
      </c>
      <c r="B389" s="114" t="n"/>
      <c r="C389" s="102" t="n"/>
      <c r="D389" s="114" t="n"/>
      <c r="E389" s="103" t="n"/>
      <c r="F389" s="102" t="n"/>
      <c r="G389" s="102" t="n"/>
      <c r="H389" s="115" t="n"/>
      <c r="I389" s="102" t="n"/>
      <c r="J389" s="102" t="n"/>
      <c r="K389" s="103" t="n"/>
      <c r="L389" s="116">
        <f>IF($H389="","",TRIM(IF(COUNTIF(DMTK!$A$7:$A$250,$F389)=0,"TK Nợ sai! ","")&amp;IF(COUNTIF(DMTK!$A$7:$A$250,$G389)=0,"TK Có sai! ","")&amp;IF(N($H389)&lt;=0,"Tiền phải &gt; 0! ","")&amp;IF($B389="","Thiếu ngày! ","")&amp;IF(AND(OR(LEFT($F389,3)="131",LEFT($G389,3)="131",LEFT($F389,3)="331",LEFT($G389,3)="331"),$I389=""),"Thiếu Mã ĐT! ","")&amp;IF(AND($I389&lt;&gt;"",COUNTIF(DM_DT!$A$7:$A$306,$I389)=0),"Mã ĐT chưa khai báo! ","")))</f>
        <v/>
      </c>
      <c r="M389" s="117">
        <f>IF($H389="","",IF(AND(OR(LEFT($F389,3)="111",LEFT($F389,3)="112",LEFT($F389,3)="113"),OR(LEFT($G389,3)="111",LEFT($G389,3)="112",LEFT($G389,3)="113")),"NB",IF(OR(LEFT($F389,3)="111",LEFT($F389,3)="112",LEFT($F389,3)="113"),"THU",IF(OR(LEFT($G389,3)="111",LEFT($G389,3)="112",LEFT($G389,3)="113"),"CHI",""))))</f>
        <v/>
      </c>
      <c r="N389" s="117">
        <f>IF($M389="THU",$G389,IF($M389="CHI",$F389,""))</f>
        <v/>
      </c>
      <c r="O389" s="117">
        <f>IF(OR($M389="",$M389="NB"),"",IF($J389&lt;&gt;"",TEXT($J389,"00"),IFERROR(VLOOKUP(LEFT($N389,4),LCTT_MAP!$A$7:$C$66,IF($M389="THU",2,3),FALSE()),IFERROR(VLOOKUP(LEFT($N389,3),LCTT_MAP!$A$7:$C$66,IF($M389="THU",2,3),FALSE()),IFERROR(VLOOKUP(LEFT($N389,2),LCTT_MAP!$A$7:$C$66,IF($M389="THU",2,3),FALSE()),IFERROR(VLOOKUP(LEFT($N389,1),LCTT_MAP!$A$7:$C$66,IF($M389="THU",2,3),FALSE()),IF($M389="THU","06","07")))))))</f>
        <v/>
      </c>
      <c r="P389" s="117">
        <f>P388+IF(AND($H389&lt;&gt;"",OR(LEFT($F389,LEN(SC_TK))=SC_TK,LEFT($G389,LEN(SC_TK))=SC_TK)),1,0)</f>
        <v/>
      </c>
    </row>
    <row r="390" ht="15" customHeight="1" s="78">
      <c r="A390" s="95">
        <f>IF($H390="","",ROW()-6)</f>
        <v/>
      </c>
      <c r="B390" s="114" t="n"/>
      <c r="C390" s="102" t="n"/>
      <c r="D390" s="114" t="n"/>
      <c r="E390" s="103" t="n"/>
      <c r="F390" s="102" t="n"/>
      <c r="G390" s="102" t="n"/>
      <c r="H390" s="115" t="n"/>
      <c r="I390" s="102" t="n"/>
      <c r="J390" s="102" t="n"/>
      <c r="K390" s="103" t="n"/>
      <c r="L390" s="116">
        <f>IF($H390="","",TRIM(IF(COUNTIF(DMTK!$A$7:$A$250,$F390)=0,"TK Nợ sai! ","")&amp;IF(COUNTIF(DMTK!$A$7:$A$250,$G390)=0,"TK Có sai! ","")&amp;IF(N($H390)&lt;=0,"Tiền phải &gt; 0! ","")&amp;IF($B390="","Thiếu ngày! ","")&amp;IF(AND(OR(LEFT($F390,3)="131",LEFT($G390,3)="131",LEFT($F390,3)="331",LEFT($G390,3)="331"),$I390=""),"Thiếu Mã ĐT! ","")&amp;IF(AND($I390&lt;&gt;"",COUNTIF(DM_DT!$A$7:$A$306,$I390)=0),"Mã ĐT chưa khai báo! ","")))</f>
        <v/>
      </c>
      <c r="M390" s="117">
        <f>IF($H390="","",IF(AND(OR(LEFT($F390,3)="111",LEFT($F390,3)="112",LEFT($F390,3)="113"),OR(LEFT($G390,3)="111",LEFT($G390,3)="112",LEFT($G390,3)="113")),"NB",IF(OR(LEFT($F390,3)="111",LEFT($F390,3)="112",LEFT($F390,3)="113"),"THU",IF(OR(LEFT($G390,3)="111",LEFT($G390,3)="112",LEFT($G390,3)="113"),"CHI",""))))</f>
        <v/>
      </c>
      <c r="N390" s="117">
        <f>IF($M390="THU",$G390,IF($M390="CHI",$F390,""))</f>
        <v/>
      </c>
      <c r="O390" s="117">
        <f>IF(OR($M390="",$M390="NB"),"",IF($J390&lt;&gt;"",TEXT($J390,"00"),IFERROR(VLOOKUP(LEFT($N390,4),LCTT_MAP!$A$7:$C$66,IF($M390="THU",2,3),FALSE()),IFERROR(VLOOKUP(LEFT($N390,3),LCTT_MAP!$A$7:$C$66,IF($M390="THU",2,3),FALSE()),IFERROR(VLOOKUP(LEFT($N390,2),LCTT_MAP!$A$7:$C$66,IF($M390="THU",2,3),FALSE()),IFERROR(VLOOKUP(LEFT($N390,1),LCTT_MAP!$A$7:$C$66,IF($M390="THU",2,3),FALSE()),IF($M390="THU","06","07")))))))</f>
        <v/>
      </c>
      <c r="P390" s="117">
        <f>P389+IF(AND($H390&lt;&gt;"",OR(LEFT($F390,LEN(SC_TK))=SC_TK,LEFT($G390,LEN(SC_TK))=SC_TK)),1,0)</f>
        <v/>
      </c>
    </row>
    <row r="391" ht="15" customHeight="1" s="78">
      <c r="A391" s="95">
        <f>IF($H391="","",ROW()-6)</f>
        <v/>
      </c>
      <c r="B391" s="114" t="n"/>
      <c r="C391" s="102" t="n"/>
      <c r="D391" s="114" t="n"/>
      <c r="E391" s="103" t="n"/>
      <c r="F391" s="102" t="n"/>
      <c r="G391" s="102" t="n"/>
      <c r="H391" s="115" t="n"/>
      <c r="I391" s="102" t="n"/>
      <c r="J391" s="102" t="n"/>
      <c r="K391" s="103" t="n"/>
      <c r="L391" s="116">
        <f>IF($H391="","",TRIM(IF(COUNTIF(DMTK!$A$7:$A$250,$F391)=0,"TK Nợ sai! ","")&amp;IF(COUNTIF(DMTK!$A$7:$A$250,$G391)=0,"TK Có sai! ","")&amp;IF(N($H391)&lt;=0,"Tiền phải &gt; 0! ","")&amp;IF($B391="","Thiếu ngày! ","")&amp;IF(AND(OR(LEFT($F391,3)="131",LEFT($G391,3)="131",LEFT($F391,3)="331",LEFT($G391,3)="331"),$I391=""),"Thiếu Mã ĐT! ","")&amp;IF(AND($I391&lt;&gt;"",COUNTIF(DM_DT!$A$7:$A$306,$I391)=0),"Mã ĐT chưa khai báo! ","")))</f>
        <v/>
      </c>
      <c r="M391" s="117">
        <f>IF($H391="","",IF(AND(OR(LEFT($F391,3)="111",LEFT($F391,3)="112",LEFT($F391,3)="113"),OR(LEFT($G391,3)="111",LEFT($G391,3)="112",LEFT($G391,3)="113")),"NB",IF(OR(LEFT($F391,3)="111",LEFT($F391,3)="112",LEFT($F391,3)="113"),"THU",IF(OR(LEFT($G391,3)="111",LEFT($G391,3)="112",LEFT($G391,3)="113"),"CHI",""))))</f>
        <v/>
      </c>
      <c r="N391" s="117">
        <f>IF($M391="THU",$G391,IF($M391="CHI",$F391,""))</f>
        <v/>
      </c>
      <c r="O391" s="117">
        <f>IF(OR($M391="",$M391="NB"),"",IF($J391&lt;&gt;"",TEXT($J391,"00"),IFERROR(VLOOKUP(LEFT($N391,4),LCTT_MAP!$A$7:$C$66,IF($M391="THU",2,3),FALSE()),IFERROR(VLOOKUP(LEFT($N391,3),LCTT_MAP!$A$7:$C$66,IF($M391="THU",2,3),FALSE()),IFERROR(VLOOKUP(LEFT($N391,2),LCTT_MAP!$A$7:$C$66,IF($M391="THU",2,3),FALSE()),IFERROR(VLOOKUP(LEFT($N391,1),LCTT_MAP!$A$7:$C$66,IF($M391="THU",2,3),FALSE()),IF($M391="THU","06","07")))))))</f>
        <v/>
      </c>
      <c r="P391" s="117">
        <f>P390+IF(AND($H391&lt;&gt;"",OR(LEFT($F391,LEN(SC_TK))=SC_TK,LEFT($G391,LEN(SC_TK))=SC_TK)),1,0)</f>
        <v/>
      </c>
    </row>
    <row r="392" ht="15" customHeight="1" s="78">
      <c r="A392" s="95">
        <f>IF($H392="","",ROW()-6)</f>
        <v/>
      </c>
      <c r="B392" s="114" t="n"/>
      <c r="C392" s="102" t="n"/>
      <c r="D392" s="114" t="n"/>
      <c r="E392" s="103" t="n"/>
      <c r="F392" s="102" t="n"/>
      <c r="G392" s="102" t="n"/>
      <c r="H392" s="115" t="n"/>
      <c r="I392" s="102" t="n"/>
      <c r="J392" s="102" t="n"/>
      <c r="K392" s="103" t="n"/>
      <c r="L392" s="116">
        <f>IF($H392="","",TRIM(IF(COUNTIF(DMTK!$A$7:$A$250,$F392)=0,"TK Nợ sai! ","")&amp;IF(COUNTIF(DMTK!$A$7:$A$250,$G392)=0,"TK Có sai! ","")&amp;IF(N($H392)&lt;=0,"Tiền phải &gt; 0! ","")&amp;IF($B392="","Thiếu ngày! ","")&amp;IF(AND(OR(LEFT($F392,3)="131",LEFT($G392,3)="131",LEFT($F392,3)="331",LEFT($G392,3)="331"),$I392=""),"Thiếu Mã ĐT! ","")&amp;IF(AND($I392&lt;&gt;"",COUNTIF(DM_DT!$A$7:$A$306,$I392)=0),"Mã ĐT chưa khai báo! ","")))</f>
        <v/>
      </c>
      <c r="M392" s="117">
        <f>IF($H392="","",IF(AND(OR(LEFT($F392,3)="111",LEFT($F392,3)="112",LEFT($F392,3)="113"),OR(LEFT($G392,3)="111",LEFT($G392,3)="112",LEFT($G392,3)="113")),"NB",IF(OR(LEFT($F392,3)="111",LEFT($F392,3)="112",LEFT($F392,3)="113"),"THU",IF(OR(LEFT($G392,3)="111",LEFT($G392,3)="112",LEFT($G392,3)="113"),"CHI",""))))</f>
        <v/>
      </c>
      <c r="N392" s="117">
        <f>IF($M392="THU",$G392,IF($M392="CHI",$F392,""))</f>
        <v/>
      </c>
      <c r="O392" s="117">
        <f>IF(OR($M392="",$M392="NB"),"",IF($J392&lt;&gt;"",TEXT($J392,"00"),IFERROR(VLOOKUP(LEFT($N392,4),LCTT_MAP!$A$7:$C$66,IF($M392="THU",2,3),FALSE()),IFERROR(VLOOKUP(LEFT($N392,3),LCTT_MAP!$A$7:$C$66,IF($M392="THU",2,3),FALSE()),IFERROR(VLOOKUP(LEFT($N392,2),LCTT_MAP!$A$7:$C$66,IF($M392="THU",2,3),FALSE()),IFERROR(VLOOKUP(LEFT($N392,1),LCTT_MAP!$A$7:$C$66,IF($M392="THU",2,3),FALSE()),IF($M392="THU","06","07")))))))</f>
        <v/>
      </c>
      <c r="P392" s="117">
        <f>P391+IF(AND($H392&lt;&gt;"",OR(LEFT($F392,LEN(SC_TK))=SC_TK,LEFT($G392,LEN(SC_TK))=SC_TK)),1,0)</f>
        <v/>
      </c>
    </row>
    <row r="393" ht="15" customHeight="1" s="78">
      <c r="A393" s="95">
        <f>IF($H393="","",ROW()-6)</f>
        <v/>
      </c>
      <c r="B393" s="114" t="n"/>
      <c r="C393" s="102" t="n"/>
      <c r="D393" s="114" t="n"/>
      <c r="E393" s="103" t="n"/>
      <c r="F393" s="102" t="n"/>
      <c r="G393" s="102" t="n"/>
      <c r="H393" s="115" t="n"/>
      <c r="I393" s="102" t="n"/>
      <c r="J393" s="102" t="n"/>
      <c r="K393" s="103" t="n"/>
      <c r="L393" s="116">
        <f>IF($H393="","",TRIM(IF(COUNTIF(DMTK!$A$7:$A$250,$F393)=0,"TK Nợ sai! ","")&amp;IF(COUNTIF(DMTK!$A$7:$A$250,$G393)=0,"TK Có sai! ","")&amp;IF(N($H393)&lt;=0,"Tiền phải &gt; 0! ","")&amp;IF($B393="","Thiếu ngày! ","")&amp;IF(AND(OR(LEFT($F393,3)="131",LEFT($G393,3)="131",LEFT($F393,3)="331",LEFT($G393,3)="331"),$I393=""),"Thiếu Mã ĐT! ","")&amp;IF(AND($I393&lt;&gt;"",COUNTIF(DM_DT!$A$7:$A$306,$I393)=0),"Mã ĐT chưa khai báo! ","")))</f>
        <v/>
      </c>
      <c r="M393" s="117">
        <f>IF($H393="","",IF(AND(OR(LEFT($F393,3)="111",LEFT($F393,3)="112",LEFT($F393,3)="113"),OR(LEFT($G393,3)="111",LEFT($G393,3)="112",LEFT($G393,3)="113")),"NB",IF(OR(LEFT($F393,3)="111",LEFT($F393,3)="112",LEFT($F393,3)="113"),"THU",IF(OR(LEFT($G393,3)="111",LEFT($G393,3)="112",LEFT($G393,3)="113"),"CHI",""))))</f>
        <v/>
      </c>
      <c r="N393" s="117">
        <f>IF($M393="THU",$G393,IF($M393="CHI",$F393,""))</f>
        <v/>
      </c>
      <c r="O393" s="117">
        <f>IF(OR($M393="",$M393="NB"),"",IF($J393&lt;&gt;"",TEXT($J393,"00"),IFERROR(VLOOKUP(LEFT($N393,4),LCTT_MAP!$A$7:$C$66,IF($M393="THU",2,3),FALSE()),IFERROR(VLOOKUP(LEFT($N393,3),LCTT_MAP!$A$7:$C$66,IF($M393="THU",2,3),FALSE()),IFERROR(VLOOKUP(LEFT($N393,2),LCTT_MAP!$A$7:$C$66,IF($M393="THU",2,3),FALSE()),IFERROR(VLOOKUP(LEFT($N393,1),LCTT_MAP!$A$7:$C$66,IF($M393="THU",2,3),FALSE()),IF($M393="THU","06","07")))))))</f>
        <v/>
      </c>
      <c r="P393" s="117">
        <f>P392+IF(AND($H393&lt;&gt;"",OR(LEFT($F393,LEN(SC_TK))=SC_TK,LEFT($G393,LEN(SC_TK))=SC_TK)),1,0)</f>
        <v/>
      </c>
    </row>
    <row r="394" ht="15" customHeight="1" s="78">
      <c r="A394" s="95">
        <f>IF($H394="","",ROW()-6)</f>
        <v/>
      </c>
      <c r="B394" s="114" t="n"/>
      <c r="C394" s="102" t="n"/>
      <c r="D394" s="114" t="n"/>
      <c r="E394" s="103" t="n"/>
      <c r="F394" s="102" t="n"/>
      <c r="G394" s="102" t="n"/>
      <c r="H394" s="115" t="n"/>
      <c r="I394" s="102" t="n"/>
      <c r="J394" s="102" t="n"/>
      <c r="K394" s="103" t="n"/>
      <c r="L394" s="116">
        <f>IF($H394="","",TRIM(IF(COUNTIF(DMTK!$A$7:$A$250,$F394)=0,"TK Nợ sai! ","")&amp;IF(COUNTIF(DMTK!$A$7:$A$250,$G394)=0,"TK Có sai! ","")&amp;IF(N($H394)&lt;=0,"Tiền phải &gt; 0! ","")&amp;IF($B394="","Thiếu ngày! ","")&amp;IF(AND(OR(LEFT($F394,3)="131",LEFT($G394,3)="131",LEFT($F394,3)="331",LEFT($G394,3)="331"),$I394=""),"Thiếu Mã ĐT! ","")&amp;IF(AND($I394&lt;&gt;"",COUNTIF(DM_DT!$A$7:$A$306,$I394)=0),"Mã ĐT chưa khai báo! ","")))</f>
        <v/>
      </c>
      <c r="M394" s="117">
        <f>IF($H394="","",IF(AND(OR(LEFT($F394,3)="111",LEFT($F394,3)="112",LEFT($F394,3)="113"),OR(LEFT($G394,3)="111",LEFT($G394,3)="112",LEFT($G394,3)="113")),"NB",IF(OR(LEFT($F394,3)="111",LEFT($F394,3)="112",LEFT($F394,3)="113"),"THU",IF(OR(LEFT($G394,3)="111",LEFT($G394,3)="112",LEFT($G394,3)="113"),"CHI",""))))</f>
        <v/>
      </c>
      <c r="N394" s="117">
        <f>IF($M394="THU",$G394,IF($M394="CHI",$F394,""))</f>
        <v/>
      </c>
      <c r="O394" s="117">
        <f>IF(OR($M394="",$M394="NB"),"",IF($J394&lt;&gt;"",TEXT($J394,"00"),IFERROR(VLOOKUP(LEFT($N394,4),LCTT_MAP!$A$7:$C$66,IF($M394="THU",2,3),FALSE()),IFERROR(VLOOKUP(LEFT($N394,3),LCTT_MAP!$A$7:$C$66,IF($M394="THU",2,3),FALSE()),IFERROR(VLOOKUP(LEFT($N394,2),LCTT_MAP!$A$7:$C$66,IF($M394="THU",2,3),FALSE()),IFERROR(VLOOKUP(LEFT($N394,1),LCTT_MAP!$A$7:$C$66,IF($M394="THU",2,3),FALSE()),IF($M394="THU","06","07")))))))</f>
        <v/>
      </c>
      <c r="P394" s="117">
        <f>P393+IF(AND($H394&lt;&gt;"",OR(LEFT($F394,LEN(SC_TK))=SC_TK,LEFT($G394,LEN(SC_TK))=SC_TK)),1,0)</f>
        <v/>
      </c>
    </row>
    <row r="395" ht="15" customHeight="1" s="78">
      <c r="A395" s="95">
        <f>IF($H395="","",ROW()-6)</f>
        <v/>
      </c>
      <c r="B395" s="114" t="n"/>
      <c r="C395" s="102" t="n"/>
      <c r="D395" s="114" t="n"/>
      <c r="E395" s="103" t="n"/>
      <c r="F395" s="102" t="n"/>
      <c r="G395" s="102" t="n"/>
      <c r="H395" s="115" t="n"/>
      <c r="I395" s="102" t="n"/>
      <c r="J395" s="102" t="n"/>
      <c r="K395" s="103" t="n"/>
      <c r="L395" s="116">
        <f>IF($H395="","",TRIM(IF(COUNTIF(DMTK!$A$7:$A$250,$F395)=0,"TK Nợ sai! ","")&amp;IF(COUNTIF(DMTK!$A$7:$A$250,$G395)=0,"TK Có sai! ","")&amp;IF(N($H395)&lt;=0,"Tiền phải &gt; 0! ","")&amp;IF($B395="","Thiếu ngày! ","")&amp;IF(AND(OR(LEFT($F395,3)="131",LEFT($G395,3)="131",LEFT($F395,3)="331",LEFT($G395,3)="331"),$I395=""),"Thiếu Mã ĐT! ","")&amp;IF(AND($I395&lt;&gt;"",COUNTIF(DM_DT!$A$7:$A$306,$I395)=0),"Mã ĐT chưa khai báo! ","")))</f>
        <v/>
      </c>
      <c r="M395" s="117">
        <f>IF($H395="","",IF(AND(OR(LEFT($F395,3)="111",LEFT($F395,3)="112",LEFT($F395,3)="113"),OR(LEFT($G395,3)="111",LEFT($G395,3)="112",LEFT($G395,3)="113")),"NB",IF(OR(LEFT($F395,3)="111",LEFT($F395,3)="112",LEFT($F395,3)="113"),"THU",IF(OR(LEFT($G395,3)="111",LEFT($G395,3)="112",LEFT($G395,3)="113"),"CHI",""))))</f>
        <v/>
      </c>
      <c r="N395" s="117">
        <f>IF($M395="THU",$G395,IF($M395="CHI",$F395,""))</f>
        <v/>
      </c>
      <c r="O395" s="117">
        <f>IF(OR($M395="",$M395="NB"),"",IF($J395&lt;&gt;"",TEXT($J395,"00"),IFERROR(VLOOKUP(LEFT($N395,4),LCTT_MAP!$A$7:$C$66,IF($M395="THU",2,3),FALSE()),IFERROR(VLOOKUP(LEFT($N395,3),LCTT_MAP!$A$7:$C$66,IF($M395="THU",2,3),FALSE()),IFERROR(VLOOKUP(LEFT($N395,2),LCTT_MAP!$A$7:$C$66,IF($M395="THU",2,3),FALSE()),IFERROR(VLOOKUP(LEFT($N395,1),LCTT_MAP!$A$7:$C$66,IF($M395="THU",2,3),FALSE()),IF($M395="THU","06","07")))))))</f>
        <v/>
      </c>
      <c r="P395" s="117">
        <f>P394+IF(AND($H395&lt;&gt;"",OR(LEFT($F395,LEN(SC_TK))=SC_TK,LEFT($G395,LEN(SC_TK))=SC_TK)),1,0)</f>
        <v/>
      </c>
    </row>
    <row r="396" ht="15" customHeight="1" s="78">
      <c r="A396" s="95">
        <f>IF($H396="","",ROW()-6)</f>
        <v/>
      </c>
      <c r="B396" s="114" t="n"/>
      <c r="C396" s="102" t="n"/>
      <c r="D396" s="114" t="n"/>
      <c r="E396" s="103" t="n"/>
      <c r="F396" s="102" t="n"/>
      <c r="G396" s="102" t="n"/>
      <c r="H396" s="115" t="n"/>
      <c r="I396" s="102" t="n"/>
      <c r="J396" s="102" t="n"/>
      <c r="K396" s="103" t="n"/>
      <c r="L396" s="116">
        <f>IF($H396="","",TRIM(IF(COUNTIF(DMTK!$A$7:$A$250,$F396)=0,"TK Nợ sai! ","")&amp;IF(COUNTIF(DMTK!$A$7:$A$250,$G396)=0,"TK Có sai! ","")&amp;IF(N($H396)&lt;=0,"Tiền phải &gt; 0! ","")&amp;IF($B396="","Thiếu ngày! ","")&amp;IF(AND(OR(LEFT($F396,3)="131",LEFT($G396,3)="131",LEFT($F396,3)="331",LEFT($G396,3)="331"),$I396=""),"Thiếu Mã ĐT! ","")&amp;IF(AND($I396&lt;&gt;"",COUNTIF(DM_DT!$A$7:$A$306,$I396)=0),"Mã ĐT chưa khai báo! ","")))</f>
        <v/>
      </c>
      <c r="M396" s="117">
        <f>IF($H396="","",IF(AND(OR(LEFT($F396,3)="111",LEFT($F396,3)="112",LEFT($F396,3)="113"),OR(LEFT($G396,3)="111",LEFT($G396,3)="112",LEFT($G396,3)="113")),"NB",IF(OR(LEFT($F396,3)="111",LEFT($F396,3)="112",LEFT($F396,3)="113"),"THU",IF(OR(LEFT($G396,3)="111",LEFT($G396,3)="112",LEFT($G396,3)="113"),"CHI",""))))</f>
        <v/>
      </c>
      <c r="N396" s="117">
        <f>IF($M396="THU",$G396,IF($M396="CHI",$F396,""))</f>
        <v/>
      </c>
      <c r="O396" s="117">
        <f>IF(OR($M396="",$M396="NB"),"",IF($J396&lt;&gt;"",TEXT($J396,"00"),IFERROR(VLOOKUP(LEFT($N396,4),LCTT_MAP!$A$7:$C$66,IF($M396="THU",2,3),FALSE()),IFERROR(VLOOKUP(LEFT($N396,3),LCTT_MAP!$A$7:$C$66,IF($M396="THU",2,3),FALSE()),IFERROR(VLOOKUP(LEFT($N396,2),LCTT_MAP!$A$7:$C$66,IF($M396="THU",2,3),FALSE()),IFERROR(VLOOKUP(LEFT($N396,1),LCTT_MAP!$A$7:$C$66,IF($M396="THU",2,3),FALSE()),IF($M396="THU","06","07")))))))</f>
        <v/>
      </c>
      <c r="P396" s="117">
        <f>P395+IF(AND($H396&lt;&gt;"",OR(LEFT($F396,LEN(SC_TK))=SC_TK,LEFT($G396,LEN(SC_TK))=SC_TK)),1,0)</f>
        <v/>
      </c>
    </row>
    <row r="397" ht="15" customHeight="1" s="78">
      <c r="A397" s="95">
        <f>IF($H397="","",ROW()-6)</f>
        <v/>
      </c>
      <c r="B397" s="114" t="n"/>
      <c r="C397" s="102" t="n"/>
      <c r="D397" s="114" t="n"/>
      <c r="E397" s="103" t="n"/>
      <c r="F397" s="102" t="n"/>
      <c r="G397" s="102" t="n"/>
      <c r="H397" s="115" t="n"/>
      <c r="I397" s="102" t="n"/>
      <c r="J397" s="102" t="n"/>
      <c r="K397" s="103" t="n"/>
      <c r="L397" s="116">
        <f>IF($H397="","",TRIM(IF(COUNTIF(DMTK!$A$7:$A$250,$F397)=0,"TK Nợ sai! ","")&amp;IF(COUNTIF(DMTK!$A$7:$A$250,$G397)=0,"TK Có sai! ","")&amp;IF(N($H397)&lt;=0,"Tiền phải &gt; 0! ","")&amp;IF($B397="","Thiếu ngày! ","")&amp;IF(AND(OR(LEFT($F397,3)="131",LEFT($G397,3)="131",LEFT($F397,3)="331",LEFT($G397,3)="331"),$I397=""),"Thiếu Mã ĐT! ","")&amp;IF(AND($I397&lt;&gt;"",COUNTIF(DM_DT!$A$7:$A$306,$I397)=0),"Mã ĐT chưa khai báo! ","")))</f>
        <v/>
      </c>
      <c r="M397" s="117">
        <f>IF($H397="","",IF(AND(OR(LEFT($F397,3)="111",LEFT($F397,3)="112",LEFT($F397,3)="113"),OR(LEFT($G397,3)="111",LEFT($G397,3)="112",LEFT($G397,3)="113")),"NB",IF(OR(LEFT($F397,3)="111",LEFT($F397,3)="112",LEFT($F397,3)="113"),"THU",IF(OR(LEFT($G397,3)="111",LEFT($G397,3)="112",LEFT($G397,3)="113"),"CHI",""))))</f>
        <v/>
      </c>
      <c r="N397" s="117">
        <f>IF($M397="THU",$G397,IF($M397="CHI",$F397,""))</f>
        <v/>
      </c>
      <c r="O397" s="117">
        <f>IF(OR($M397="",$M397="NB"),"",IF($J397&lt;&gt;"",TEXT($J397,"00"),IFERROR(VLOOKUP(LEFT($N397,4),LCTT_MAP!$A$7:$C$66,IF($M397="THU",2,3),FALSE()),IFERROR(VLOOKUP(LEFT($N397,3),LCTT_MAP!$A$7:$C$66,IF($M397="THU",2,3),FALSE()),IFERROR(VLOOKUP(LEFT($N397,2),LCTT_MAP!$A$7:$C$66,IF($M397="THU",2,3),FALSE()),IFERROR(VLOOKUP(LEFT($N397,1),LCTT_MAP!$A$7:$C$66,IF($M397="THU",2,3),FALSE()),IF($M397="THU","06","07")))))))</f>
        <v/>
      </c>
      <c r="P397" s="117">
        <f>P396+IF(AND($H397&lt;&gt;"",OR(LEFT($F397,LEN(SC_TK))=SC_TK,LEFT($G397,LEN(SC_TK))=SC_TK)),1,0)</f>
        <v/>
      </c>
    </row>
    <row r="398" ht="15" customHeight="1" s="78">
      <c r="A398" s="95">
        <f>IF($H398="","",ROW()-6)</f>
        <v/>
      </c>
      <c r="B398" s="114" t="n"/>
      <c r="C398" s="102" t="n"/>
      <c r="D398" s="114" t="n"/>
      <c r="E398" s="103" t="n"/>
      <c r="F398" s="102" t="n"/>
      <c r="G398" s="102" t="n"/>
      <c r="H398" s="115" t="n"/>
      <c r="I398" s="102" t="n"/>
      <c r="J398" s="102" t="n"/>
      <c r="K398" s="103" t="n"/>
      <c r="L398" s="116">
        <f>IF($H398="","",TRIM(IF(COUNTIF(DMTK!$A$7:$A$250,$F398)=0,"TK Nợ sai! ","")&amp;IF(COUNTIF(DMTK!$A$7:$A$250,$G398)=0,"TK Có sai! ","")&amp;IF(N($H398)&lt;=0,"Tiền phải &gt; 0! ","")&amp;IF($B398="","Thiếu ngày! ","")&amp;IF(AND(OR(LEFT($F398,3)="131",LEFT($G398,3)="131",LEFT($F398,3)="331",LEFT($G398,3)="331"),$I398=""),"Thiếu Mã ĐT! ","")&amp;IF(AND($I398&lt;&gt;"",COUNTIF(DM_DT!$A$7:$A$306,$I398)=0),"Mã ĐT chưa khai báo! ","")))</f>
        <v/>
      </c>
      <c r="M398" s="117">
        <f>IF($H398="","",IF(AND(OR(LEFT($F398,3)="111",LEFT($F398,3)="112",LEFT($F398,3)="113"),OR(LEFT($G398,3)="111",LEFT($G398,3)="112",LEFT($G398,3)="113")),"NB",IF(OR(LEFT($F398,3)="111",LEFT($F398,3)="112",LEFT($F398,3)="113"),"THU",IF(OR(LEFT($G398,3)="111",LEFT($G398,3)="112",LEFT($G398,3)="113"),"CHI",""))))</f>
        <v/>
      </c>
      <c r="N398" s="117">
        <f>IF($M398="THU",$G398,IF($M398="CHI",$F398,""))</f>
        <v/>
      </c>
      <c r="O398" s="117">
        <f>IF(OR($M398="",$M398="NB"),"",IF($J398&lt;&gt;"",TEXT($J398,"00"),IFERROR(VLOOKUP(LEFT($N398,4),LCTT_MAP!$A$7:$C$66,IF($M398="THU",2,3),FALSE()),IFERROR(VLOOKUP(LEFT($N398,3),LCTT_MAP!$A$7:$C$66,IF($M398="THU",2,3),FALSE()),IFERROR(VLOOKUP(LEFT($N398,2),LCTT_MAP!$A$7:$C$66,IF($M398="THU",2,3),FALSE()),IFERROR(VLOOKUP(LEFT($N398,1),LCTT_MAP!$A$7:$C$66,IF($M398="THU",2,3),FALSE()),IF($M398="THU","06","07")))))))</f>
        <v/>
      </c>
      <c r="P398" s="117">
        <f>P397+IF(AND($H398&lt;&gt;"",OR(LEFT($F398,LEN(SC_TK))=SC_TK,LEFT($G398,LEN(SC_TK))=SC_TK)),1,0)</f>
        <v/>
      </c>
    </row>
    <row r="399" ht="15" customHeight="1" s="78">
      <c r="A399" s="95">
        <f>IF($H399="","",ROW()-6)</f>
        <v/>
      </c>
      <c r="B399" s="114" t="n"/>
      <c r="C399" s="102" t="n"/>
      <c r="D399" s="114" t="n"/>
      <c r="E399" s="103" t="n"/>
      <c r="F399" s="102" t="n"/>
      <c r="G399" s="102" t="n"/>
      <c r="H399" s="115" t="n"/>
      <c r="I399" s="102" t="n"/>
      <c r="J399" s="102" t="n"/>
      <c r="K399" s="103" t="n"/>
      <c r="L399" s="116">
        <f>IF($H399="","",TRIM(IF(COUNTIF(DMTK!$A$7:$A$250,$F399)=0,"TK Nợ sai! ","")&amp;IF(COUNTIF(DMTK!$A$7:$A$250,$G399)=0,"TK Có sai! ","")&amp;IF(N($H399)&lt;=0,"Tiền phải &gt; 0! ","")&amp;IF($B399="","Thiếu ngày! ","")&amp;IF(AND(OR(LEFT($F399,3)="131",LEFT($G399,3)="131",LEFT($F399,3)="331",LEFT($G399,3)="331"),$I399=""),"Thiếu Mã ĐT! ","")&amp;IF(AND($I399&lt;&gt;"",COUNTIF(DM_DT!$A$7:$A$306,$I399)=0),"Mã ĐT chưa khai báo! ","")))</f>
        <v/>
      </c>
      <c r="M399" s="117">
        <f>IF($H399="","",IF(AND(OR(LEFT($F399,3)="111",LEFT($F399,3)="112",LEFT($F399,3)="113"),OR(LEFT($G399,3)="111",LEFT($G399,3)="112",LEFT($G399,3)="113")),"NB",IF(OR(LEFT($F399,3)="111",LEFT($F399,3)="112",LEFT($F399,3)="113"),"THU",IF(OR(LEFT($G399,3)="111",LEFT($G399,3)="112",LEFT($G399,3)="113"),"CHI",""))))</f>
        <v/>
      </c>
      <c r="N399" s="117">
        <f>IF($M399="THU",$G399,IF($M399="CHI",$F399,""))</f>
        <v/>
      </c>
      <c r="O399" s="117">
        <f>IF(OR($M399="",$M399="NB"),"",IF($J399&lt;&gt;"",TEXT($J399,"00"),IFERROR(VLOOKUP(LEFT($N399,4),LCTT_MAP!$A$7:$C$66,IF($M399="THU",2,3),FALSE()),IFERROR(VLOOKUP(LEFT($N399,3),LCTT_MAP!$A$7:$C$66,IF($M399="THU",2,3),FALSE()),IFERROR(VLOOKUP(LEFT($N399,2),LCTT_MAP!$A$7:$C$66,IF($M399="THU",2,3),FALSE()),IFERROR(VLOOKUP(LEFT($N399,1),LCTT_MAP!$A$7:$C$66,IF($M399="THU",2,3),FALSE()),IF($M399="THU","06","07")))))))</f>
        <v/>
      </c>
      <c r="P399" s="117">
        <f>P398+IF(AND($H399&lt;&gt;"",OR(LEFT($F399,LEN(SC_TK))=SC_TK,LEFT($G399,LEN(SC_TK))=SC_TK)),1,0)</f>
        <v/>
      </c>
    </row>
    <row r="400" ht="15" customHeight="1" s="78">
      <c r="A400" s="95">
        <f>IF($H400="","",ROW()-6)</f>
        <v/>
      </c>
      <c r="B400" s="114" t="n"/>
      <c r="C400" s="102" t="n"/>
      <c r="D400" s="114" t="n"/>
      <c r="E400" s="103" t="n"/>
      <c r="F400" s="102" t="n"/>
      <c r="G400" s="102" t="n"/>
      <c r="H400" s="115" t="n"/>
      <c r="I400" s="102" t="n"/>
      <c r="J400" s="102" t="n"/>
      <c r="K400" s="103" t="n"/>
      <c r="L400" s="116">
        <f>IF($H400="","",TRIM(IF(COUNTIF(DMTK!$A$7:$A$250,$F400)=0,"TK Nợ sai! ","")&amp;IF(COUNTIF(DMTK!$A$7:$A$250,$G400)=0,"TK Có sai! ","")&amp;IF(N($H400)&lt;=0,"Tiền phải &gt; 0! ","")&amp;IF($B400="","Thiếu ngày! ","")&amp;IF(AND(OR(LEFT($F400,3)="131",LEFT($G400,3)="131",LEFT($F400,3)="331",LEFT($G400,3)="331"),$I400=""),"Thiếu Mã ĐT! ","")&amp;IF(AND($I400&lt;&gt;"",COUNTIF(DM_DT!$A$7:$A$306,$I400)=0),"Mã ĐT chưa khai báo! ","")))</f>
        <v/>
      </c>
      <c r="M400" s="117">
        <f>IF($H400="","",IF(AND(OR(LEFT($F400,3)="111",LEFT($F400,3)="112",LEFT($F400,3)="113"),OR(LEFT($G400,3)="111",LEFT($G400,3)="112",LEFT($G400,3)="113")),"NB",IF(OR(LEFT($F400,3)="111",LEFT($F400,3)="112",LEFT($F400,3)="113"),"THU",IF(OR(LEFT($G400,3)="111",LEFT($G400,3)="112",LEFT($G400,3)="113"),"CHI",""))))</f>
        <v/>
      </c>
      <c r="N400" s="117">
        <f>IF($M400="THU",$G400,IF($M400="CHI",$F400,""))</f>
        <v/>
      </c>
      <c r="O400" s="117">
        <f>IF(OR($M400="",$M400="NB"),"",IF($J400&lt;&gt;"",TEXT($J400,"00"),IFERROR(VLOOKUP(LEFT($N400,4),LCTT_MAP!$A$7:$C$66,IF($M400="THU",2,3),FALSE()),IFERROR(VLOOKUP(LEFT($N400,3),LCTT_MAP!$A$7:$C$66,IF($M400="THU",2,3),FALSE()),IFERROR(VLOOKUP(LEFT($N400,2),LCTT_MAP!$A$7:$C$66,IF($M400="THU",2,3),FALSE()),IFERROR(VLOOKUP(LEFT($N400,1),LCTT_MAP!$A$7:$C$66,IF($M400="THU",2,3),FALSE()),IF($M400="THU","06","07")))))))</f>
        <v/>
      </c>
      <c r="P400" s="117">
        <f>P399+IF(AND($H400&lt;&gt;"",OR(LEFT($F400,LEN(SC_TK))=SC_TK,LEFT($G400,LEN(SC_TK))=SC_TK)),1,0)</f>
        <v/>
      </c>
    </row>
    <row r="401" ht="15" customHeight="1" s="78">
      <c r="A401" s="95">
        <f>IF($H401="","",ROW()-6)</f>
        <v/>
      </c>
      <c r="B401" s="114" t="n"/>
      <c r="C401" s="102" t="n"/>
      <c r="D401" s="114" t="n"/>
      <c r="E401" s="103" t="n"/>
      <c r="F401" s="102" t="n"/>
      <c r="G401" s="102" t="n"/>
      <c r="H401" s="115" t="n"/>
      <c r="I401" s="102" t="n"/>
      <c r="J401" s="102" t="n"/>
      <c r="K401" s="103" t="n"/>
      <c r="L401" s="116">
        <f>IF($H401="","",TRIM(IF(COUNTIF(DMTK!$A$7:$A$250,$F401)=0,"TK Nợ sai! ","")&amp;IF(COUNTIF(DMTK!$A$7:$A$250,$G401)=0,"TK Có sai! ","")&amp;IF(N($H401)&lt;=0,"Tiền phải &gt; 0! ","")&amp;IF($B401="","Thiếu ngày! ","")&amp;IF(AND(OR(LEFT($F401,3)="131",LEFT($G401,3)="131",LEFT($F401,3)="331",LEFT($G401,3)="331"),$I401=""),"Thiếu Mã ĐT! ","")&amp;IF(AND($I401&lt;&gt;"",COUNTIF(DM_DT!$A$7:$A$306,$I401)=0),"Mã ĐT chưa khai báo! ","")))</f>
        <v/>
      </c>
      <c r="M401" s="117">
        <f>IF($H401="","",IF(AND(OR(LEFT($F401,3)="111",LEFT($F401,3)="112",LEFT($F401,3)="113"),OR(LEFT($G401,3)="111",LEFT($G401,3)="112",LEFT($G401,3)="113")),"NB",IF(OR(LEFT($F401,3)="111",LEFT($F401,3)="112",LEFT($F401,3)="113"),"THU",IF(OR(LEFT($G401,3)="111",LEFT($G401,3)="112",LEFT($G401,3)="113"),"CHI",""))))</f>
        <v/>
      </c>
      <c r="N401" s="117">
        <f>IF($M401="THU",$G401,IF($M401="CHI",$F401,""))</f>
        <v/>
      </c>
      <c r="O401" s="117">
        <f>IF(OR($M401="",$M401="NB"),"",IF($J401&lt;&gt;"",TEXT($J401,"00"),IFERROR(VLOOKUP(LEFT($N401,4),LCTT_MAP!$A$7:$C$66,IF($M401="THU",2,3),FALSE()),IFERROR(VLOOKUP(LEFT($N401,3),LCTT_MAP!$A$7:$C$66,IF($M401="THU",2,3),FALSE()),IFERROR(VLOOKUP(LEFT($N401,2),LCTT_MAP!$A$7:$C$66,IF($M401="THU",2,3),FALSE()),IFERROR(VLOOKUP(LEFT($N401,1),LCTT_MAP!$A$7:$C$66,IF($M401="THU",2,3),FALSE()),IF($M401="THU","06","07")))))))</f>
        <v/>
      </c>
      <c r="P401" s="117">
        <f>P400+IF(AND($H401&lt;&gt;"",OR(LEFT($F401,LEN(SC_TK))=SC_TK,LEFT($G401,LEN(SC_TK))=SC_TK)),1,0)</f>
        <v/>
      </c>
    </row>
    <row r="402" ht="15" customHeight="1" s="78">
      <c r="A402" s="95">
        <f>IF($H402="","",ROW()-6)</f>
        <v/>
      </c>
      <c r="B402" s="114" t="n"/>
      <c r="C402" s="102" t="n"/>
      <c r="D402" s="114" t="n"/>
      <c r="E402" s="103" t="n"/>
      <c r="F402" s="102" t="n"/>
      <c r="G402" s="102" t="n"/>
      <c r="H402" s="115" t="n"/>
      <c r="I402" s="102" t="n"/>
      <c r="J402" s="102" t="n"/>
      <c r="K402" s="103" t="n"/>
      <c r="L402" s="116">
        <f>IF($H402="","",TRIM(IF(COUNTIF(DMTK!$A$7:$A$250,$F402)=0,"TK Nợ sai! ","")&amp;IF(COUNTIF(DMTK!$A$7:$A$250,$G402)=0,"TK Có sai! ","")&amp;IF(N($H402)&lt;=0,"Tiền phải &gt; 0! ","")&amp;IF($B402="","Thiếu ngày! ","")&amp;IF(AND(OR(LEFT($F402,3)="131",LEFT($G402,3)="131",LEFT($F402,3)="331",LEFT($G402,3)="331"),$I402=""),"Thiếu Mã ĐT! ","")&amp;IF(AND($I402&lt;&gt;"",COUNTIF(DM_DT!$A$7:$A$306,$I402)=0),"Mã ĐT chưa khai báo! ","")))</f>
        <v/>
      </c>
      <c r="M402" s="117">
        <f>IF($H402="","",IF(AND(OR(LEFT($F402,3)="111",LEFT($F402,3)="112",LEFT($F402,3)="113"),OR(LEFT($G402,3)="111",LEFT($G402,3)="112",LEFT($G402,3)="113")),"NB",IF(OR(LEFT($F402,3)="111",LEFT($F402,3)="112",LEFT($F402,3)="113"),"THU",IF(OR(LEFT($G402,3)="111",LEFT($G402,3)="112",LEFT($G402,3)="113"),"CHI",""))))</f>
        <v/>
      </c>
      <c r="N402" s="117">
        <f>IF($M402="THU",$G402,IF($M402="CHI",$F402,""))</f>
        <v/>
      </c>
      <c r="O402" s="117">
        <f>IF(OR($M402="",$M402="NB"),"",IF($J402&lt;&gt;"",TEXT($J402,"00"),IFERROR(VLOOKUP(LEFT($N402,4),LCTT_MAP!$A$7:$C$66,IF($M402="THU",2,3),FALSE()),IFERROR(VLOOKUP(LEFT($N402,3),LCTT_MAP!$A$7:$C$66,IF($M402="THU",2,3),FALSE()),IFERROR(VLOOKUP(LEFT($N402,2),LCTT_MAP!$A$7:$C$66,IF($M402="THU",2,3),FALSE()),IFERROR(VLOOKUP(LEFT($N402,1),LCTT_MAP!$A$7:$C$66,IF($M402="THU",2,3),FALSE()),IF($M402="THU","06","07")))))))</f>
        <v/>
      </c>
      <c r="P402" s="117">
        <f>P401+IF(AND($H402&lt;&gt;"",OR(LEFT($F402,LEN(SC_TK))=SC_TK,LEFT($G402,LEN(SC_TK))=SC_TK)),1,0)</f>
        <v/>
      </c>
    </row>
    <row r="403" ht="15" customHeight="1" s="78">
      <c r="A403" s="95">
        <f>IF($H403="","",ROW()-6)</f>
        <v/>
      </c>
      <c r="B403" s="114" t="n"/>
      <c r="C403" s="102" t="n"/>
      <c r="D403" s="114" t="n"/>
      <c r="E403" s="103" t="n"/>
      <c r="F403" s="102" t="n"/>
      <c r="G403" s="102" t="n"/>
      <c r="H403" s="115" t="n"/>
      <c r="I403" s="102" t="n"/>
      <c r="J403" s="102" t="n"/>
      <c r="K403" s="103" t="n"/>
      <c r="L403" s="116">
        <f>IF($H403="","",TRIM(IF(COUNTIF(DMTK!$A$7:$A$250,$F403)=0,"TK Nợ sai! ","")&amp;IF(COUNTIF(DMTK!$A$7:$A$250,$G403)=0,"TK Có sai! ","")&amp;IF(N($H403)&lt;=0,"Tiền phải &gt; 0! ","")&amp;IF($B403="","Thiếu ngày! ","")&amp;IF(AND(OR(LEFT($F403,3)="131",LEFT($G403,3)="131",LEFT($F403,3)="331",LEFT($G403,3)="331"),$I403=""),"Thiếu Mã ĐT! ","")&amp;IF(AND($I403&lt;&gt;"",COUNTIF(DM_DT!$A$7:$A$306,$I403)=0),"Mã ĐT chưa khai báo! ","")))</f>
        <v/>
      </c>
      <c r="M403" s="117">
        <f>IF($H403="","",IF(AND(OR(LEFT($F403,3)="111",LEFT($F403,3)="112",LEFT($F403,3)="113"),OR(LEFT($G403,3)="111",LEFT($G403,3)="112",LEFT($G403,3)="113")),"NB",IF(OR(LEFT($F403,3)="111",LEFT($F403,3)="112",LEFT($F403,3)="113"),"THU",IF(OR(LEFT($G403,3)="111",LEFT($G403,3)="112",LEFT($G403,3)="113"),"CHI",""))))</f>
        <v/>
      </c>
      <c r="N403" s="117">
        <f>IF($M403="THU",$G403,IF($M403="CHI",$F403,""))</f>
        <v/>
      </c>
      <c r="O403" s="117">
        <f>IF(OR($M403="",$M403="NB"),"",IF($J403&lt;&gt;"",TEXT($J403,"00"),IFERROR(VLOOKUP(LEFT($N403,4),LCTT_MAP!$A$7:$C$66,IF($M403="THU",2,3),FALSE()),IFERROR(VLOOKUP(LEFT($N403,3),LCTT_MAP!$A$7:$C$66,IF($M403="THU",2,3),FALSE()),IFERROR(VLOOKUP(LEFT($N403,2),LCTT_MAP!$A$7:$C$66,IF($M403="THU",2,3),FALSE()),IFERROR(VLOOKUP(LEFT($N403,1),LCTT_MAP!$A$7:$C$66,IF($M403="THU",2,3),FALSE()),IF($M403="THU","06","07")))))))</f>
        <v/>
      </c>
      <c r="P403" s="117">
        <f>P402+IF(AND($H403&lt;&gt;"",OR(LEFT($F403,LEN(SC_TK))=SC_TK,LEFT($G403,LEN(SC_TK))=SC_TK)),1,0)</f>
        <v/>
      </c>
    </row>
    <row r="404" ht="15" customHeight="1" s="78">
      <c r="A404" s="95">
        <f>IF($H404="","",ROW()-6)</f>
        <v/>
      </c>
      <c r="B404" s="114" t="n"/>
      <c r="C404" s="102" t="n"/>
      <c r="D404" s="114" t="n"/>
      <c r="E404" s="103" t="n"/>
      <c r="F404" s="102" t="n"/>
      <c r="G404" s="102" t="n"/>
      <c r="H404" s="115" t="n"/>
      <c r="I404" s="102" t="n"/>
      <c r="J404" s="102" t="n"/>
      <c r="K404" s="103" t="n"/>
      <c r="L404" s="116">
        <f>IF($H404="","",TRIM(IF(COUNTIF(DMTK!$A$7:$A$250,$F404)=0,"TK Nợ sai! ","")&amp;IF(COUNTIF(DMTK!$A$7:$A$250,$G404)=0,"TK Có sai! ","")&amp;IF(N($H404)&lt;=0,"Tiền phải &gt; 0! ","")&amp;IF($B404="","Thiếu ngày! ","")&amp;IF(AND(OR(LEFT($F404,3)="131",LEFT($G404,3)="131",LEFT($F404,3)="331",LEFT($G404,3)="331"),$I404=""),"Thiếu Mã ĐT! ","")&amp;IF(AND($I404&lt;&gt;"",COUNTIF(DM_DT!$A$7:$A$306,$I404)=0),"Mã ĐT chưa khai báo! ","")))</f>
        <v/>
      </c>
      <c r="M404" s="117">
        <f>IF($H404="","",IF(AND(OR(LEFT($F404,3)="111",LEFT($F404,3)="112",LEFT($F404,3)="113"),OR(LEFT($G404,3)="111",LEFT($G404,3)="112",LEFT($G404,3)="113")),"NB",IF(OR(LEFT($F404,3)="111",LEFT($F404,3)="112",LEFT($F404,3)="113"),"THU",IF(OR(LEFT($G404,3)="111",LEFT($G404,3)="112",LEFT($G404,3)="113"),"CHI",""))))</f>
        <v/>
      </c>
      <c r="N404" s="117">
        <f>IF($M404="THU",$G404,IF($M404="CHI",$F404,""))</f>
        <v/>
      </c>
      <c r="O404" s="117">
        <f>IF(OR($M404="",$M404="NB"),"",IF($J404&lt;&gt;"",TEXT($J404,"00"),IFERROR(VLOOKUP(LEFT($N404,4),LCTT_MAP!$A$7:$C$66,IF($M404="THU",2,3),FALSE()),IFERROR(VLOOKUP(LEFT($N404,3),LCTT_MAP!$A$7:$C$66,IF($M404="THU",2,3),FALSE()),IFERROR(VLOOKUP(LEFT($N404,2),LCTT_MAP!$A$7:$C$66,IF($M404="THU",2,3),FALSE()),IFERROR(VLOOKUP(LEFT($N404,1),LCTT_MAP!$A$7:$C$66,IF($M404="THU",2,3),FALSE()),IF($M404="THU","06","07")))))))</f>
        <v/>
      </c>
      <c r="P404" s="117">
        <f>P403+IF(AND($H404&lt;&gt;"",OR(LEFT($F404,LEN(SC_TK))=SC_TK,LEFT($G404,LEN(SC_TK))=SC_TK)),1,0)</f>
        <v/>
      </c>
    </row>
    <row r="405" ht="15" customHeight="1" s="78">
      <c r="A405" s="95">
        <f>IF($H405="","",ROW()-6)</f>
        <v/>
      </c>
      <c r="B405" s="114" t="n"/>
      <c r="C405" s="102" t="n"/>
      <c r="D405" s="114" t="n"/>
      <c r="E405" s="103" t="n"/>
      <c r="F405" s="102" t="n"/>
      <c r="G405" s="102" t="n"/>
      <c r="H405" s="115" t="n"/>
      <c r="I405" s="102" t="n"/>
      <c r="J405" s="102" t="n"/>
      <c r="K405" s="103" t="n"/>
      <c r="L405" s="116">
        <f>IF($H405="","",TRIM(IF(COUNTIF(DMTK!$A$7:$A$250,$F405)=0,"TK Nợ sai! ","")&amp;IF(COUNTIF(DMTK!$A$7:$A$250,$G405)=0,"TK Có sai! ","")&amp;IF(N($H405)&lt;=0,"Tiền phải &gt; 0! ","")&amp;IF($B405="","Thiếu ngày! ","")&amp;IF(AND(OR(LEFT($F405,3)="131",LEFT($G405,3)="131",LEFT($F405,3)="331",LEFT($G405,3)="331"),$I405=""),"Thiếu Mã ĐT! ","")&amp;IF(AND($I405&lt;&gt;"",COUNTIF(DM_DT!$A$7:$A$306,$I405)=0),"Mã ĐT chưa khai báo! ","")))</f>
        <v/>
      </c>
      <c r="M405" s="117">
        <f>IF($H405="","",IF(AND(OR(LEFT($F405,3)="111",LEFT($F405,3)="112",LEFT($F405,3)="113"),OR(LEFT($G405,3)="111",LEFT($G405,3)="112",LEFT($G405,3)="113")),"NB",IF(OR(LEFT($F405,3)="111",LEFT($F405,3)="112",LEFT($F405,3)="113"),"THU",IF(OR(LEFT($G405,3)="111",LEFT($G405,3)="112",LEFT($G405,3)="113"),"CHI",""))))</f>
        <v/>
      </c>
      <c r="N405" s="117">
        <f>IF($M405="THU",$G405,IF($M405="CHI",$F405,""))</f>
        <v/>
      </c>
      <c r="O405" s="117">
        <f>IF(OR($M405="",$M405="NB"),"",IF($J405&lt;&gt;"",TEXT($J405,"00"),IFERROR(VLOOKUP(LEFT($N405,4),LCTT_MAP!$A$7:$C$66,IF($M405="THU",2,3),FALSE()),IFERROR(VLOOKUP(LEFT($N405,3),LCTT_MAP!$A$7:$C$66,IF($M405="THU",2,3),FALSE()),IFERROR(VLOOKUP(LEFT($N405,2),LCTT_MAP!$A$7:$C$66,IF($M405="THU",2,3),FALSE()),IFERROR(VLOOKUP(LEFT($N405,1),LCTT_MAP!$A$7:$C$66,IF($M405="THU",2,3),FALSE()),IF($M405="THU","06","07")))))))</f>
        <v/>
      </c>
      <c r="P405" s="117">
        <f>P404+IF(AND($H405&lt;&gt;"",OR(LEFT($F405,LEN(SC_TK))=SC_TK,LEFT($G405,LEN(SC_TK))=SC_TK)),1,0)</f>
        <v/>
      </c>
    </row>
    <row r="406" ht="15" customHeight="1" s="78">
      <c r="A406" s="95">
        <f>IF($H406="","",ROW()-6)</f>
        <v/>
      </c>
      <c r="B406" s="114" t="n"/>
      <c r="C406" s="102" t="n"/>
      <c r="D406" s="114" t="n"/>
      <c r="E406" s="103" t="n"/>
      <c r="F406" s="102" t="n"/>
      <c r="G406" s="102" t="n"/>
      <c r="H406" s="115" t="n"/>
      <c r="I406" s="102" t="n"/>
      <c r="J406" s="102" t="n"/>
      <c r="K406" s="103" t="n"/>
      <c r="L406" s="116">
        <f>IF($H406="","",TRIM(IF(COUNTIF(DMTK!$A$7:$A$250,$F406)=0,"TK Nợ sai! ","")&amp;IF(COUNTIF(DMTK!$A$7:$A$250,$G406)=0,"TK Có sai! ","")&amp;IF(N($H406)&lt;=0,"Tiền phải &gt; 0! ","")&amp;IF($B406="","Thiếu ngày! ","")&amp;IF(AND(OR(LEFT($F406,3)="131",LEFT($G406,3)="131",LEFT($F406,3)="331",LEFT($G406,3)="331"),$I406=""),"Thiếu Mã ĐT! ","")&amp;IF(AND($I406&lt;&gt;"",COUNTIF(DM_DT!$A$7:$A$306,$I406)=0),"Mã ĐT chưa khai báo! ","")))</f>
        <v/>
      </c>
      <c r="M406" s="117">
        <f>IF($H406="","",IF(AND(OR(LEFT($F406,3)="111",LEFT($F406,3)="112",LEFT($F406,3)="113"),OR(LEFT($G406,3)="111",LEFT($G406,3)="112",LEFT($G406,3)="113")),"NB",IF(OR(LEFT($F406,3)="111",LEFT($F406,3)="112",LEFT($F406,3)="113"),"THU",IF(OR(LEFT($G406,3)="111",LEFT($G406,3)="112",LEFT($G406,3)="113"),"CHI",""))))</f>
        <v/>
      </c>
      <c r="N406" s="117">
        <f>IF($M406="THU",$G406,IF($M406="CHI",$F406,""))</f>
        <v/>
      </c>
      <c r="O406" s="117">
        <f>IF(OR($M406="",$M406="NB"),"",IF($J406&lt;&gt;"",TEXT($J406,"00"),IFERROR(VLOOKUP(LEFT($N406,4),LCTT_MAP!$A$7:$C$66,IF($M406="THU",2,3),FALSE()),IFERROR(VLOOKUP(LEFT($N406,3),LCTT_MAP!$A$7:$C$66,IF($M406="THU",2,3),FALSE()),IFERROR(VLOOKUP(LEFT($N406,2),LCTT_MAP!$A$7:$C$66,IF($M406="THU",2,3),FALSE()),IFERROR(VLOOKUP(LEFT($N406,1),LCTT_MAP!$A$7:$C$66,IF($M406="THU",2,3),FALSE()),IF($M406="THU","06","07")))))))</f>
        <v/>
      </c>
      <c r="P406" s="117">
        <f>P405+IF(AND($H406&lt;&gt;"",OR(LEFT($F406,LEN(SC_TK))=SC_TK,LEFT($G406,LEN(SC_TK))=SC_TK)),1,0)</f>
        <v/>
      </c>
    </row>
    <row r="407" ht="15" customHeight="1" s="78">
      <c r="A407" s="95">
        <f>IF($H407="","",ROW()-6)</f>
        <v/>
      </c>
      <c r="B407" s="114" t="n"/>
      <c r="C407" s="102" t="n"/>
      <c r="D407" s="114" t="n"/>
      <c r="E407" s="103" t="n"/>
      <c r="F407" s="102" t="n"/>
      <c r="G407" s="102" t="n"/>
      <c r="H407" s="115" t="n"/>
      <c r="I407" s="102" t="n"/>
      <c r="J407" s="102" t="n"/>
      <c r="K407" s="103" t="n"/>
      <c r="L407" s="116">
        <f>IF($H407="","",TRIM(IF(COUNTIF(DMTK!$A$7:$A$250,$F407)=0,"TK Nợ sai! ","")&amp;IF(COUNTIF(DMTK!$A$7:$A$250,$G407)=0,"TK Có sai! ","")&amp;IF(N($H407)&lt;=0,"Tiền phải &gt; 0! ","")&amp;IF($B407="","Thiếu ngày! ","")&amp;IF(AND(OR(LEFT($F407,3)="131",LEFT($G407,3)="131",LEFT($F407,3)="331",LEFT($G407,3)="331"),$I407=""),"Thiếu Mã ĐT! ","")&amp;IF(AND($I407&lt;&gt;"",COUNTIF(DM_DT!$A$7:$A$306,$I407)=0),"Mã ĐT chưa khai báo! ","")))</f>
        <v/>
      </c>
      <c r="M407" s="117">
        <f>IF($H407="","",IF(AND(OR(LEFT($F407,3)="111",LEFT($F407,3)="112",LEFT($F407,3)="113"),OR(LEFT($G407,3)="111",LEFT($G407,3)="112",LEFT($G407,3)="113")),"NB",IF(OR(LEFT($F407,3)="111",LEFT($F407,3)="112",LEFT($F407,3)="113"),"THU",IF(OR(LEFT($G407,3)="111",LEFT($G407,3)="112",LEFT($G407,3)="113"),"CHI",""))))</f>
        <v/>
      </c>
      <c r="N407" s="117">
        <f>IF($M407="THU",$G407,IF($M407="CHI",$F407,""))</f>
        <v/>
      </c>
      <c r="O407" s="117">
        <f>IF(OR($M407="",$M407="NB"),"",IF($J407&lt;&gt;"",TEXT($J407,"00"),IFERROR(VLOOKUP(LEFT($N407,4),LCTT_MAP!$A$7:$C$66,IF($M407="THU",2,3),FALSE()),IFERROR(VLOOKUP(LEFT($N407,3),LCTT_MAP!$A$7:$C$66,IF($M407="THU",2,3),FALSE()),IFERROR(VLOOKUP(LEFT($N407,2),LCTT_MAP!$A$7:$C$66,IF($M407="THU",2,3),FALSE()),IFERROR(VLOOKUP(LEFT($N407,1),LCTT_MAP!$A$7:$C$66,IF($M407="THU",2,3),FALSE()),IF($M407="THU","06","07")))))))</f>
        <v/>
      </c>
      <c r="P407" s="117">
        <f>P406+IF(AND($H407&lt;&gt;"",OR(LEFT($F407,LEN(SC_TK))=SC_TK,LEFT($G407,LEN(SC_TK))=SC_TK)),1,0)</f>
        <v/>
      </c>
    </row>
    <row r="408" ht="15" customHeight="1" s="78">
      <c r="A408" s="95">
        <f>IF($H408="","",ROW()-6)</f>
        <v/>
      </c>
      <c r="B408" s="114" t="n"/>
      <c r="C408" s="102" t="n"/>
      <c r="D408" s="114" t="n"/>
      <c r="E408" s="103" t="n"/>
      <c r="F408" s="102" t="n"/>
      <c r="G408" s="102" t="n"/>
      <c r="H408" s="115" t="n"/>
      <c r="I408" s="102" t="n"/>
      <c r="J408" s="102" t="n"/>
      <c r="K408" s="103" t="n"/>
      <c r="L408" s="116">
        <f>IF($H408="","",TRIM(IF(COUNTIF(DMTK!$A$7:$A$250,$F408)=0,"TK Nợ sai! ","")&amp;IF(COUNTIF(DMTK!$A$7:$A$250,$G408)=0,"TK Có sai! ","")&amp;IF(N($H408)&lt;=0,"Tiền phải &gt; 0! ","")&amp;IF($B408="","Thiếu ngày! ","")&amp;IF(AND(OR(LEFT($F408,3)="131",LEFT($G408,3)="131",LEFT($F408,3)="331",LEFT($G408,3)="331"),$I408=""),"Thiếu Mã ĐT! ","")&amp;IF(AND($I408&lt;&gt;"",COUNTIF(DM_DT!$A$7:$A$306,$I408)=0),"Mã ĐT chưa khai báo! ","")))</f>
        <v/>
      </c>
      <c r="M408" s="117">
        <f>IF($H408="","",IF(AND(OR(LEFT($F408,3)="111",LEFT($F408,3)="112",LEFT($F408,3)="113"),OR(LEFT($G408,3)="111",LEFT($G408,3)="112",LEFT($G408,3)="113")),"NB",IF(OR(LEFT($F408,3)="111",LEFT($F408,3)="112",LEFT($F408,3)="113"),"THU",IF(OR(LEFT($G408,3)="111",LEFT($G408,3)="112",LEFT($G408,3)="113"),"CHI",""))))</f>
        <v/>
      </c>
      <c r="N408" s="117">
        <f>IF($M408="THU",$G408,IF($M408="CHI",$F408,""))</f>
        <v/>
      </c>
      <c r="O408" s="117">
        <f>IF(OR($M408="",$M408="NB"),"",IF($J408&lt;&gt;"",TEXT($J408,"00"),IFERROR(VLOOKUP(LEFT($N408,4),LCTT_MAP!$A$7:$C$66,IF($M408="THU",2,3),FALSE()),IFERROR(VLOOKUP(LEFT($N408,3),LCTT_MAP!$A$7:$C$66,IF($M408="THU",2,3),FALSE()),IFERROR(VLOOKUP(LEFT($N408,2),LCTT_MAP!$A$7:$C$66,IF($M408="THU",2,3),FALSE()),IFERROR(VLOOKUP(LEFT($N408,1),LCTT_MAP!$A$7:$C$66,IF($M408="THU",2,3),FALSE()),IF($M408="THU","06","07")))))))</f>
        <v/>
      </c>
      <c r="P408" s="117">
        <f>P407+IF(AND($H408&lt;&gt;"",OR(LEFT($F408,LEN(SC_TK))=SC_TK,LEFT($G408,LEN(SC_TK))=SC_TK)),1,0)</f>
        <v/>
      </c>
    </row>
    <row r="409" ht="15" customHeight="1" s="78">
      <c r="A409" s="95">
        <f>IF($H409="","",ROW()-6)</f>
        <v/>
      </c>
      <c r="B409" s="114" t="n"/>
      <c r="C409" s="102" t="n"/>
      <c r="D409" s="114" t="n"/>
      <c r="E409" s="103" t="n"/>
      <c r="F409" s="102" t="n"/>
      <c r="G409" s="102" t="n"/>
      <c r="H409" s="115" t="n"/>
      <c r="I409" s="102" t="n"/>
      <c r="J409" s="102" t="n"/>
      <c r="K409" s="103" t="n"/>
      <c r="L409" s="116">
        <f>IF($H409="","",TRIM(IF(COUNTIF(DMTK!$A$7:$A$250,$F409)=0,"TK Nợ sai! ","")&amp;IF(COUNTIF(DMTK!$A$7:$A$250,$G409)=0,"TK Có sai! ","")&amp;IF(N($H409)&lt;=0,"Tiền phải &gt; 0! ","")&amp;IF($B409="","Thiếu ngày! ","")&amp;IF(AND(OR(LEFT($F409,3)="131",LEFT($G409,3)="131",LEFT($F409,3)="331",LEFT($G409,3)="331"),$I409=""),"Thiếu Mã ĐT! ","")&amp;IF(AND($I409&lt;&gt;"",COUNTIF(DM_DT!$A$7:$A$306,$I409)=0),"Mã ĐT chưa khai báo! ","")))</f>
        <v/>
      </c>
      <c r="M409" s="117">
        <f>IF($H409="","",IF(AND(OR(LEFT($F409,3)="111",LEFT($F409,3)="112",LEFT($F409,3)="113"),OR(LEFT($G409,3)="111",LEFT($G409,3)="112",LEFT($G409,3)="113")),"NB",IF(OR(LEFT($F409,3)="111",LEFT($F409,3)="112",LEFT($F409,3)="113"),"THU",IF(OR(LEFT($G409,3)="111",LEFT($G409,3)="112",LEFT($G409,3)="113"),"CHI",""))))</f>
        <v/>
      </c>
      <c r="N409" s="117">
        <f>IF($M409="THU",$G409,IF($M409="CHI",$F409,""))</f>
        <v/>
      </c>
      <c r="O409" s="117">
        <f>IF(OR($M409="",$M409="NB"),"",IF($J409&lt;&gt;"",TEXT($J409,"00"),IFERROR(VLOOKUP(LEFT($N409,4),LCTT_MAP!$A$7:$C$66,IF($M409="THU",2,3),FALSE()),IFERROR(VLOOKUP(LEFT($N409,3),LCTT_MAP!$A$7:$C$66,IF($M409="THU",2,3),FALSE()),IFERROR(VLOOKUP(LEFT($N409,2),LCTT_MAP!$A$7:$C$66,IF($M409="THU",2,3),FALSE()),IFERROR(VLOOKUP(LEFT($N409,1),LCTT_MAP!$A$7:$C$66,IF($M409="THU",2,3),FALSE()),IF($M409="THU","06","07")))))))</f>
        <v/>
      </c>
      <c r="P409" s="117">
        <f>P408+IF(AND($H409&lt;&gt;"",OR(LEFT($F409,LEN(SC_TK))=SC_TK,LEFT($G409,LEN(SC_TK))=SC_TK)),1,0)</f>
        <v/>
      </c>
    </row>
    <row r="410" ht="15" customHeight="1" s="78">
      <c r="A410" s="95">
        <f>IF($H410="","",ROW()-6)</f>
        <v/>
      </c>
      <c r="B410" s="114" t="n"/>
      <c r="C410" s="102" t="n"/>
      <c r="D410" s="114" t="n"/>
      <c r="E410" s="103" t="n"/>
      <c r="F410" s="102" t="n"/>
      <c r="G410" s="102" t="n"/>
      <c r="H410" s="115" t="n"/>
      <c r="I410" s="102" t="n"/>
      <c r="J410" s="102" t="n"/>
      <c r="K410" s="103" t="n"/>
      <c r="L410" s="116">
        <f>IF($H410="","",TRIM(IF(COUNTIF(DMTK!$A$7:$A$250,$F410)=0,"TK Nợ sai! ","")&amp;IF(COUNTIF(DMTK!$A$7:$A$250,$G410)=0,"TK Có sai! ","")&amp;IF(N($H410)&lt;=0,"Tiền phải &gt; 0! ","")&amp;IF($B410="","Thiếu ngày! ","")&amp;IF(AND(OR(LEFT($F410,3)="131",LEFT($G410,3)="131",LEFT($F410,3)="331",LEFT($G410,3)="331"),$I410=""),"Thiếu Mã ĐT! ","")&amp;IF(AND($I410&lt;&gt;"",COUNTIF(DM_DT!$A$7:$A$306,$I410)=0),"Mã ĐT chưa khai báo! ","")))</f>
        <v/>
      </c>
      <c r="M410" s="117">
        <f>IF($H410="","",IF(AND(OR(LEFT($F410,3)="111",LEFT($F410,3)="112",LEFT($F410,3)="113"),OR(LEFT($G410,3)="111",LEFT($G410,3)="112",LEFT($G410,3)="113")),"NB",IF(OR(LEFT($F410,3)="111",LEFT($F410,3)="112",LEFT($F410,3)="113"),"THU",IF(OR(LEFT($G410,3)="111",LEFT($G410,3)="112",LEFT($G410,3)="113"),"CHI",""))))</f>
        <v/>
      </c>
      <c r="N410" s="117">
        <f>IF($M410="THU",$G410,IF($M410="CHI",$F410,""))</f>
        <v/>
      </c>
      <c r="O410" s="117">
        <f>IF(OR($M410="",$M410="NB"),"",IF($J410&lt;&gt;"",TEXT($J410,"00"),IFERROR(VLOOKUP(LEFT($N410,4),LCTT_MAP!$A$7:$C$66,IF($M410="THU",2,3),FALSE()),IFERROR(VLOOKUP(LEFT($N410,3),LCTT_MAP!$A$7:$C$66,IF($M410="THU",2,3),FALSE()),IFERROR(VLOOKUP(LEFT($N410,2),LCTT_MAP!$A$7:$C$66,IF($M410="THU",2,3),FALSE()),IFERROR(VLOOKUP(LEFT($N410,1),LCTT_MAP!$A$7:$C$66,IF($M410="THU",2,3),FALSE()),IF($M410="THU","06","07")))))))</f>
        <v/>
      </c>
      <c r="P410" s="117">
        <f>P409+IF(AND($H410&lt;&gt;"",OR(LEFT($F410,LEN(SC_TK))=SC_TK,LEFT($G410,LEN(SC_TK))=SC_TK)),1,0)</f>
        <v/>
      </c>
    </row>
    <row r="411" ht="15" customHeight="1" s="78">
      <c r="A411" s="95">
        <f>IF($H411="","",ROW()-6)</f>
        <v/>
      </c>
      <c r="B411" s="114" t="n"/>
      <c r="C411" s="102" t="n"/>
      <c r="D411" s="114" t="n"/>
      <c r="E411" s="103" t="n"/>
      <c r="F411" s="102" t="n"/>
      <c r="G411" s="102" t="n"/>
      <c r="H411" s="115" t="n"/>
      <c r="I411" s="102" t="n"/>
      <c r="J411" s="102" t="n"/>
      <c r="K411" s="103" t="n"/>
      <c r="L411" s="116">
        <f>IF($H411="","",TRIM(IF(COUNTIF(DMTK!$A$7:$A$250,$F411)=0,"TK Nợ sai! ","")&amp;IF(COUNTIF(DMTK!$A$7:$A$250,$G411)=0,"TK Có sai! ","")&amp;IF(N($H411)&lt;=0,"Tiền phải &gt; 0! ","")&amp;IF($B411="","Thiếu ngày! ","")&amp;IF(AND(OR(LEFT($F411,3)="131",LEFT($G411,3)="131",LEFT($F411,3)="331",LEFT($G411,3)="331"),$I411=""),"Thiếu Mã ĐT! ","")&amp;IF(AND($I411&lt;&gt;"",COUNTIF(DM_DT!$A$7:$A$306,$I411)=0),"Mã ĐT chưa khai báo! ","")))</f>
        <v/>
      </c>
      <c r="M411" s="117">
        <f>IF($H411="","",IF(AND(OR(LEFT($F411,3)="111",LEFT($F411,3)="112",LEFT($F411,3)="113"),OR(LEFT($G411,3)="111",LEFT($G411,3)="112",LEFT($G411,3)="113")),"NB",IF(OR(LEFT($F411,3)="111",LEFT($F411,3)="112",LEFT($F411,3)="113"),"THU",IF(OR(LEFT($G411,3)="111",LEFT($G411,3)="112",LEFT($G411,3)="113"),"CHI",""))))</f>
        <v/>
      </c>
      <c r="N411" s="117">
        <f>IF($M411="THU",$G411,IF($M411="CHI",$F411,""))</f>
        <v/>
      </c>
      <c r="O411" s="117">
        <f>IF(OR($M411="",$M411="NB"),"",IF($J411&lt;&gt;"",TEXT($J411,"00"),IFERROR(VLOOKUP(LEFT($N411,4),LCTT_MAP!$A$7:$C$66,IF($M411="THU",2,3),FALSE()),IFERROR(VLOOKUP(LEFT($N411,3),LCTT_MAP!$A$7:$C$66,IF($M411="THU",2,3),FALSE()),IFERROR(VLOOKUP(LEFT($N411,2),LCTT_MAP!$A$7:$C$66,IF($M411="THU",2,3),FALSE()),IFERROR(VLOOKUP(LEFT($N411,1),LCTT_MAP!$A$7:$C$66,IF($M411="THU",2,3),FALSE()),IF($M411="THU","06","07")))))))</f>
        <v/>
      </c>
      <c r="P411" s="117">
        <f>P410+IF(AND($H411&lt;&gt;"",OR(LEFT($F411,LEN(SC_TK))=SC_TK,LEFT($G411,LEN(SC_TK))=SC_TK)),1,0)</f>
        <v/>
      </c>
    </row>
    <row r="412" ht="15" customHeight="1" s="78">
      <c r="A412" s="95">
        <f>IF($H412="","",ROW()-6)</f>
        <v/>
      </c>
      <c r="B412" s="114" t="n"/>
      <c r="C412" s="102" t="n"/>
      <c r="D412" s="114" t="n"/>
      <c r="E412" s="103" t="n"/>
      <c r="F412" s="102" t="n"/>
      <c r="G412" s="102" t="n"/>
      <c r="H412" s="115" t="n"/>
      <c r="I412" s="102" t="n"/>
      <c r="J412" s="102" t="n"/>
      <c r="K412" s="103" t="n"/>
      <c r="L412" s="116">
        <f>IF($H412="","",TRIM(IF(COUNTIF(DMTK!$A$7:$A$250,$F412)=0,"TK Nợ sai! ","")&amp;IF(COUNTIF(DMTK!$A$7:$A$250,$G412)=0,"TK Có sai! ","")&amp;IF(N($H412)&lt;=0,"Tiền phải &gt; 0! ","")&amp;IF($B412="","Thiếu ngày! ","")&amp;IF(AND(OR(LEFT($F412,3)="131",LEFT($G412,3)="131",LEFT($F412,3)="331",LEFT($G412,3)="331"),$I412=""),"Thiếu Mã ĐT! ","")&amp;IF(AND($I412&lt;&gt;"",COUNTIF(DM_DT!$A$7:$A$306,$I412)=0),"Mã ĐT chưa khai báo! ","")))</f>
        <v/>
      </c>
      <c r="M412" s="117">
        <f>IF($H412="","",IF(AND(OR(LEFT($F412,3)="111",LEFT($F412,3)="112",LEFT($F412,3)="113"),OR(LEFT($G412,3)="111",LEFT($G412,3)="112",LEFT($G412,3)="113")),"NB",IF(OR(LEFT($F412,3)="111",LEFT($F412,3)="112",LEFT($F412,3)="113"),"THU",IF(OR(LEFT($G412,3)="111",LEFT($G412,3)="112",LEFT($G412,3)="113"),"CHI",""))))</f>
        <v/>
      </c>
      <c r="N412" s="117">
        <f>IF($M412="THU",$G412,IF($M412="CHI",$F412,""))</f>
        <v/>
      </c>
      <c r="O412" s="117">
        <f>IF(OR($M412="",$M412="NB"),"",IF($J412&lt;&gt;"",TEXT($J412,"00"),IFERROR(VLOOKUP(LEFT($N412,4),LCTT_MAP!$A$7:$C$66,IF($M412="THU",2,3),FALSE()),IFERROR(VLOOKUP(LEFT($N412,3),LCTT_MAP!$A$7:$C$66,IF($M412="THU",2,3),FALSE()),IFERROR(VLOOKUP(LEFT($N412,2),LCTT_MAP!$A$7:$C$66,IF($M412="THU",2,3),FALSE()),IFERROR(VLOOKUP(LEFT($N412,1),LCTT_MAP!$A$7:$C$66,IF($M412="THU",2,3),FALSE()),IF($M412="THU","06","07")))))))</f>
        <v/>
      </c>
      <c r="P412" s="117">
        <f>P411+IF(AND($H412&lt;&gt;"",OR(LEFT($F412,LEN(SC_TK))=SC_TK,LEFT($G412,LEN(SC_TK))=SC_TK)),1,0)</f>
        <v/>
      </c>
    </row>
    <row r="413" ht="15" customHeight="1" s="78">
      <c r="A413" s="95">
        <f>IF($H413="","",ROW()-6)</f>
        <v/>
      </c>
      <c r="B413" s="114" t="n"/>
      <c r="C413" s="102" t="n"/>
      <c r="D413" s="114" t="n"/>
      <c r="E413" s="103" t="n"/>
      <c r="F413" s="102" t="n"/>
      <c r="G413" s="102" t="n"/>
      <c r="H413" s="115" t="n"/>
      <c r="I413" s="102" t="n"/>
      <c r="J413" s="102" t="n"/>
      <c r="K413" s="103" t="n"/>
      <c r="L413" s="116">
        <f>IF($H413="","",TRIM(IF(COUNTIF(DMTK!$A$7:$A$250,$F413)=0,"TK Nợ sai! ","")&amp;IF(COUNTIF(DMTK!$A$7:$A$250,$G413)=0,"TK Có sai! ","")&amp;IF(N($H413)&lt;=0,"Tiền phải &gt; 0! ","")&amp;IF($B413="","Thiếu ngày! ","")&amp;IF(AND(OR(LEFT($F413,3)="131",LEFT($G413,3)="131",LEFT($F413,3)="331",LEFT($G413,3)="331"),$I413=""),"Thiếu Mã ĐT! ","")&amp;IF(AND($I413&lt;&gt;"",COUNTIF(DM_DT!$A$7:$A$306,$I413)=0),"Mã ĐT chưa khai báo! ","")))</f>
        <v/>
      </c>
      <c r="M413" s="117">
        <f>IF($H413="","",IF(AND(OR(LEFT($F413,3)="111",LEFT($F413,3)="112",LEFT($F413,3)="113"),OR(LEFT($G413,3)="111",LEFT($G413,3)="112",LEFT($G413,3)="113")),"NB",IF(OR(LEFT($F413,3)="111",LEFT($F413,3)="112",LEFT($F413,3)="113"),"THU",IF(OR(LEFT($G413,3)="111",LEFT($G413,3)="112",LEFT($G413,3)="113"),"CHI",""))))</f>
        <v/>
      </c>
      <c r="N413" s="117">
        <f>IF($M413="THU",$G413,IF($M413="CHI",$F413,""))</f>
        <v/>
      </c>
      <c r="O413" s="117">
        <f>IF(OR($M413="",$M413="NB"),"",IF($J413&lt;&gt;"",TEXT($J413,"00"),IFERROR(VLOOKUP(LEFT($N413,4),LCTT_MAP!$A$7:$C$66,IF($M413="THU",2,3),FALSE()),IFERROR(VLOOKUP(LEFT($N413,3),LCTT_MAP!$A$7:$C$66,IF($M413="THU",2,3),FALSE()),IFERROR(VLOOKUP(LEFT($N413,2),LCTT_MAP!$A$7:$C$66,IF($M413="THU",2,3),FALSE()),IFERROR(VLOOKUP(LEFT($N413,1),LCTT_MAP!$A$7:$C$66,IF($M413="THU",2,3),FALSE()),IF($M413="THU","06","07")))))))</f>
        <v/>
      </c>
      <c r="P413" s="117">
        <f>P412+IF(AND($H413&lt;&gt;"",OR(LEFT($F413,LEN(SC_TK))=SC_TK,LEFT($G413,LEN(SC_TK))=SC_TK)),1,0)</f>
        <v/>
      </c>
    </row>
    <row r="414" ht="15" customHeight="1" s="78">
      <c r="A414" s="95">
        <f>IF($H414="","",ROW()-6)</f>
        <v/>
      </c>
      <c r="B414" s="114" t="n"/>
      <c r="C414" s="102" t="n"/>
      <c r="D414" s="114" t="n"/>
      <c r="E414" s="103" t="n"/>
      <c r="F414" s="102" t="n"/>
      <c r="G414" s="102" t="n"/>
      <c r="H414" s="115" t="n"/>
      <c r="I414" s="102" t="n"/>
      <c r="J414" s="102" t="n"/>
      <c r="K414" s="103" t="n"/>
      <c r="L414" s="116">
        <f>IF($H414="","",TRIM(IF(COUNTIF(DMTK!$A$7:$A$250,$F414)=0,"TK Nợ sai! ","")&amp;IF(COUNTIF(DMTK!$A$7:$A$250,$G414)=0,"TK Có sai! ","")&amp;IF(N($H414)&lt;=0,"Tiền phải &gt; 0! ","")&amp;IF($B414="","Thiếu ngày! ","")&amp;IF(AND(OR(LEFT($F414,3)="131",LEFT($G414,3)="131",LEFT($F414,3)="331",LEFT($G414,3)="331"),$I414=""),"Thiếu Mã ĐT! ","")&amp;IF(AND($I414&lt;&gt;"",COUNTIF(DM_DT!$A$7:$A$306,$I414)=0),"Mã ĐT chưa khai báo! ","")))</f>
        <v/>
      </c>
      <c r="M414" s="117">
        <f>IF($H414="","",IF(AND(OR(LEFT($F414,3)="111",LEFT($F414,3)="112",LEFT($F414,3)="113"),OR(LEFT($G414,3)="111",LEFT($G414,3)="112",LEFT($G414,3)="113")),"NB",IF(OR(LEFT($F414,3)="111",LEFT($F414,3)="112",LEFT($F414,3)="113"),"THU",IF(OR(LEFT($G414,3)="111",LEFT($G414,3)="112",LEFT($G414,3)="113"),"CHI",""))))</f>
        <v/>
      </c>
      <c r="N414" s="117">
        <f>IF($M414="THU",$G414,IF($M414="CHI",$F414,""))</f>
        <v/>
      </c>
      <c r="O414" s="117">
        <f>IF(OR($M414="",$M414="NB"),"",IF($J414&lt;&gt;"",TEXT($J414,"00"),IFERROR(VLOOKUP(LEFT($N414,4),LCTT_MAP!$A$7:$C$66,IF($M414="THU",2,3),FALSE()),IFERROR(VLOOKUP(LEFT($N414,3),LCTT_MAP!$A$7:$C$66,IF($M414="THU",2,3),FALSE()),IFERROR(VLOOKUP(LEFT($N414,2),LCTT_MAP!$A$7:$C$66,IF($M414="THU",2,3),FALSE()),IFERROR(VLOOKUP(LEFT($N414,1),LCTT_MAP!$A$7:$C$66,IF($M414="THU",2,3),FALSE()),IF($M414="THU","06","07")))))))</f>
        <v/>
      </c>
      <c r="P414" s="117">
        <f>P413+IF(AND($H414&lt;&gt;"",OR(LEFT($F414,LEN(SC_TK))=SC_TK,LEFT($G414,LEN(SC_TK))=SC_TK)),1,0)</f>
        <v/>
      </c>
    </row>
    <row r="415" ht="15" customHeight="1" s="78">
      <c r="A415" s="95">
        <f>IF($H415="","",ROW()-6)</f>
        <v/>
      </c>
      <c r="B415" s="114" t="n"/>
      <c r="C415" s="102" t="n"/>
      <c r="D415" s="114" t="n"/>
      <c r="E415" s="103" t="n"/>
      <c r="F415" s="102" t="n"/>
      <c r="G415" s="102" t="n"/>
      <c r="H415" s="115" t="n"/>
      <c r="I415" s="102" t="n"/>
      <c r="J415" s="102" t="n"/>
      <c r="K415" s="103" t="n"/>
      <c r="L415" s="116">
        <f>IF($H415="","",TRIM(IF(COUNTIF(DMTK!$A$7:$A$250,$F415)=0,"TK Nợ sai! ","")&amp;IF(COUNTIF(DMTK!$A$7:$A$250,$G415)=0,"TK Có sai! ","")&amp;IF(N($H415)&lt;=0,"Tiền phải &gt; 0! ","")&amp;IF($B415="","Thiếu ngày! ","")&amp;IF(AND(OR(LEFT($F415,3)="131",LEFT($G415,3)="131",LEFT($F415,3)="331",LEFT($G415,3)="331"),$I415=""),"Thiếu Mã ĐT! ","")&amp;IF(AND($I415&lt;&gt;"",COUNTIF(DM_DT!$A$7:$A$306,$I415)=0),"Mã ĐT chưa khai báo! ","")))</f>
        <v/>
      </c>
      <c r="M415" s="117">
        <f>IF($H415="","",IF(AND(OR(LEFT($F415,3)="111",LEFT($F415,3)="112",LEFT($F415,3)="113"),OR(LEFT($G415,3)="111",LEFT($G415,3)="112",LEFT($G415,3)="113")),"NB",IF(OR(LEFT($F415,3)="111",LEFT($F415,3)="112",LEFT($F415,3)="113"),"THU",IF(OR(LEFT($G415,3)="111",LEFT($G415,3)="112",LEFT($G415,3)="113"),"CHI",""))))</f>
        <v/>
      </c>
      <c r="N415" s="117">
        <f>IF($M415="THU",$G415,IF($M415="CHI",$F415,""))</f>
        <v/>
      </c>
      <c r="O415" s="117">
        <f>IF(OR($M415="",$M415="NB"),"",IF($J415&lt;&gt;"",TEXT($J415,"00"),IFERROR(VLOOKUP(LEFT($N415,4),LCTT_MAP!$A$7:$C$66,IF($M415="THU",2,3),FALSE()),IFERROR(VLOOKUP(LEFT($N415,3),LCTT_MAP!$A$7:$C$66,IF($M415="THU",2,3),FALSE()),IFERROR(VLOOKUP(LEFT($N415,2),LCTT_MAP!$A$7:$C$66,IF($M415="THU",2,3),FALSE()),IFERROR(VLOOKUP(LEFT($N415,1),LCTT_MAP!$A$7:$C$66,IF($M415="THU",2,3),FALSE()),IF($M415="THU","06","07")))))))</f>
        <v/>
      </c>
      <c r="P415" s="117">
        <f>P414+IF(AND($H415&lt;&gt;"",OR(LEFT($F415,LEN(SC_TK))=SC_TK,LEFT($G415,LEN(SC_TK))=SC_TK)),1,0)</f>
        <v/>
      </c>
    </row>
    <row r="416" ht="15" customHeight="1" s="78">
      <c r="A416" s="95">
        <f>IF($H416="","",ROW()-6)</f>
        <v/>
      </c>
      <c r="B416" s="114" t="n"/>
      <c r="C416" s="102" t="n"/>
      <c r="D416" s="114" t="n"/>
      <c r="E416" s="103" t="n"/>
      <c r="F416" s="102" t="n"/>
      <c r="G416" s="102" t="n"/>
      <c r="H416" s="115" t="n"/>
      <c r="I416" s="102" t="n"/>
      <c r="J416" s="102" t="n"/>
      <c r="K416" s="103" t="n"/>
      <c r="L416" s="116">
        <f>IF($H416="","",TRIM(IF(COUNTIF(DMTK!$A$7:$A$250,$F416)=0,"TK Nợ sai! ","")&amp;IF(COUNTIF(DMTK!$A$7:$A$250,$G416)=0,"TK Có sai! ","")&amp;IF(N($H416)&lt;=0,"Tiền phải &gt; 0! ","")&amp;IF($B416="","Thiếu ngày! ","")&amp;IF(AND(OR(LEFT($F416,3)="131",LEFT($G416,3)="131",LEFT($F416,3)="331",LEFT($G416,3)="331"),$I416=""),"Thiếu Mã ĐT! ","")&amp;IF(AND($I416&lt;&gt;"",COUNTIF(DM_DT!$A$7:$A$306,$I416)=0),"Mã ĐT chưa khai báo! ","")))</f>
        <v/>
      </c>
      <c r="M416" s="117">
        <f>IF($H416="","",IF(AND(OR(LEFT($F416,3)="111",LEFT($F416,3)="112",LEFT($F416,3)="113"),OR(LEFT($G416,3)="111",LEFT($G416,3)="112",LEFT($G416,3)="113")),"NB",IF(OR(LEFT($F416,3)="111",LEFT($F416,3)="112",LEFT($F416,3)="113"),"THU",IF(OR(LEFT($G416,3)="111",LEFT($G416,3)="112",LEFT($G416,3)="113"),"CHI",""))))</f>
        <v/>
      </c>
      <c r="N416" s="117">
        <f>IF($M416="THU",$G416,IF($M416="CHI",$F416,""))</f>
        <v/>
      </c>
      <c r="O416" s="117">
        <f>IF(OR($M416="",$M416="NB"),"",IF($J416&lt;&gt;"",TEXT($J416,"00"),IFERROR(VLOOKUP(LEFT($N416,4),LCTT_MAP!$A$7:$C$66,IF($M416="THU",2,3),FALSE()),IFERROR(VLOOKUP(LEFT($N416,3),LCTT_MAP!$A$7:$C$66,IF($M416="THU",2,3),FALSE()),IFERROR(VLOOKUP(LEFT($N416,2),LCTT_MAP!$A$7:$C$66,IF($M416="THU",2,3),FALSE()),IFERROR(VLOOKUP(LEFT($N416,1),LCTT_MAP!$A$7:$C$66,IF($M416="THU",2,3),FALSE()),IF($M416="THU","06","07")))))))</f>
        <v/>
      </c>
      <c r="P416" s="117">
        <f>P415+IF(AND($H416&lt;&gt;"",OR(LEFT($F416,LEN(SC_TK))=SC_TK,LEFT($G416,LEN(SC_TK))=SC_TK)),1,0)</f>
        <v/>
      </c>
    </row>
    <row r="417" ht="15" customHeight="1" s="78">
      <c r="A417" s="95">
        <f>IF($H417="","",ROW()-6)</f>
        <v/>
      </c>
      <c r="B417" s="114" t="n"/>
      <c r="C417" s="102" t="n"/>
      <c r="D417" s="114" t="n"/>
      <c r="E417" s="103" t="n"/>
      <c r="F417" s="102" t="n"/>
      <c r="G417" s="102" t="n"/>
      <c r="H417" s="115" t="n"/>
      <c r="I417" s="102" t="n"/>
      <c r="J417" s="102" t="n"/>
      <c r="K417" s="103" t="n"/>
      <c r="L417" s="116">
        <f>IF($H417="","",TRIM(IF(COUNTIF(DMTK!$A$7:$A$250,$F417)=0,"TK Nợ sai! ","")&amp;IF(COUNTIF(DMTK!$A$7:$A$250,$G417)=0,"TK Có sai! ","")&amp;IF(N($H417)&lt;=0,"Tiền phải &gt; 0! ","")&amp;IF($B417="","Thiếu ngày! ","")&amp;IF(AND(OR(LEFT($F417,3)="131",LEFT($G417,3)="131",LEFT($F417,3)="331",LEFT($G417,3)="331"),$I417=""),"Thiếu Mã ĐT! ","")&amp;IF(AND($I417&lt;&gt;"",COUNTIF(DM_DT!$A$7:$A$306,$I417)=0),"Mã ĐT chưa khai báo! ","")))</f>
        <v/>
      </c>
      <c r="M417" s="117">
        <f>IF($H417="","",IF(AND(OR(LEFT($F417,3)="111",LEFT($F417,3)="112",LEFT($F417,3)="113"),OR(LEFT($G417,3)="111",LEFT($G417,3)="112",LEFT($G417,3)="113")),"NB",IF(OR(LEFT($F417,3)="111",LEFT($F417,3)="112",LEFT($F417,3)="113"),"THU",IF(OR(LEFT($G417,3)="111",LEFT($G417,3)="112",LEFT($G417,3)="113"),"CHI",""))))</f>
        <v/>
      </c>
      <c r="N417" s="117">
        <f>IF($M417="THU",$G417,IF($M417="CHI",$F417,""))</f>
        <v/>
      </c>
      <c r="O417" s="117">
        <f>IF(OR($M417="",$M417="NB"),"",IF($J417&lt;&gt;"",TEXT($J417,"00"),IFERROR(VLOOKUP(LEFT($N417,4),LCTT_MAP!$A$7:$C$66,IF($M417="THU",2,3),FALSE()),IFERROR(VLOOKUP(LEFT($N417,3),LCTT_MAP!$A$7:$C$66,IF($M417="THU",2,3),FALSE()),IFERROR(VLOOKUP(LEFT($N417,2),LCTT_MAP!$A$7:$C$66,IF($M417="THU",2,3),FALSE()),IFERROR(VLOOKUP(LEFT($N417,1),LCTT_MAP!$A$7:$C$66,IF($M417="THU",2,3),FALSE()),IF($M417="THU","06","07")))))))</f>
        <v/>
      </c>
      <c r="P417" s="117">
        <f>P416+IF(AND($H417&lt;&gt;"",OR(LEFT($F417,LEN(SC_TK))=SC_TK,LEFT($G417,LEN(SC_TK))=SC_TK)),1,0)</f>
        <v/>
      </c>
    </row>
    <row r="418" ht="15" customHeight="1" s="78">
      <c r="A418" s="95">
        <f>IF($H418="","",ROW()-6)</f>
        <v/>
      </c>
      <c r="B418" s="114" t="n"/>
      <c r="C418" s="102" t="n"/>
      <c r="D418" s="114" t="n"/>
      <c r="E418" s="103" t="n"/>
      <c r="F418" s="102" t="n"/>
      <c r="G418" s="102" t="n"/>
      <c r="H418" s="115" t="n"/>
      <c r="I418" s="102" t="n"/>
      <c r="J418" s="102" t="n"/>
      <c r="K418" s="103" t="n"/>
      <c r="L418" s="116">
        <f>IF($H418="","",TRIM(IF(COUNTIF(DMTK!$A$7:$A$250,$F418)=0,"TK Nợ sai! ","")&amp;IF(COUNTIF(DMTK!$A$7:$A$250,$G418)=0,"TK Có sai! ","")&amp;IF(N($H418)&lt;=0,"Tiền phải &gt; 0! ","")&amp;IF($B418="","Thiếu ngày! ","")&amp;IF(AND(OR(LEFT($F418,3)="131",LEFT($G418,3)="131",LEFT($F418,3)="331",LEFT($G418,3)="331"),$I418=""),"Thiếu Mã ĐT! ","")&amp;IF(AND($I418&lt;&gt;"",COUNTIF(DM_DT!$A$7:$A$306,$I418)=0),"Mã ĐT chưa khai báo! ","")))</f>
        <v/>
      </c>
      <c r="M418" s="117">
        <f>IF($H418="","",IF(AND(OR(LEFT($F418,3)="111",LEFT($F418,3)="112",LEFT($F418,3)="113"),OR(LEFT($G418,3)="111",LEFT($G418,3)="112",LEFT($G418,3)="113")),"NB",IF(OR(LEFT($F418,3)="111",LEFT($F418,3)="112",LEFT($F418,3)="113"),"THU",IF(OR(LEFT($G418,3)="111",LEFT($G418,3)="112",LEFT($G418,3)="113"),"CHI",""))))</f>
        <v/>
      </c>
      <c r="N418" s="117">
        <f>IF($M418="THU",$G418,IF($M418="CHI",$F418,""))</f>
        <v/>
      </c>
      <c r="O418" s="117">
        <f>IF(OR($M418="",$M418="NB"),"",IF($J418&lt;&gt;"",TEXT($J418,"00"),IFERROR(VLOOKUP(LEFT($N418,4),LCTT_MAP!$A$7:$C$66,IF($M418="THU",2,3),FALSE()),IFERROR(VLOOKUP(LEFT($N418,3),LCTT_MAP!$A$7:$C$66,IF($M418="THU",2,3),FALSE()),IFERROR(VLOOKUP(LEFT($N418,2),LCTT_MAP!$A$7:$C$66,IF($M418="THU",2,3),FALSE()),IFERROR(VLOOKUP(LEFT($N418,1),LCTT_MAP!$A$7:$C$66,IF($M418="THU",2,3),FALSE()),IF($M418="THU","06","07")))))))</f>
        <v/>
      </c>
      <c r="P418" s="117">
        <f>P417+IF(AND($H418&lt;&gt;"",OR(LEFT($F418,LEN(SC_TK))=SC_TK,LEFT($G418,LEN(SC_TK))=SC_TK)),1,0)</f>
        <v/>
      </c>
    </row>
    <row r="419" ht="15" customHeight="1" s="78">
      <c r="A419" s="95">
        <f>IF($H419="","",ROW()-6)</f>
        <v/>
      </c>
      <c r="B419" s="114" t="n"/>
      <c r="C419" s="102" t="n"/>
      <c r="D419" s="114" t="n"/>
      <c r="E419" s="103" t="n"/>
      <c r="F419" s="102" t="n"/>
      <c r="G419" s="102" t="n"/>
      <c r="H419" s="115" t="n"/>
      <c r="I419" s="102" t="n"/>
      <c r="J419" s="102" t="n"/>
      <c r="K419" s="103" t="n"/>
      <c r="L419" s="116">
        <f>IF($H419="","",TRIM(IF(COUNTIF(DMTK!$A$7:$A$250,$F419)=0,"TK Nợ sai! ","")&amp;IF(COUNTIF(DMTK!$A$7:$A$250,$G419)=0,"TK Có sai! ","")&amp;IF(N($H419)&lt;=0,"Tiền phải &gt; 0! ","")&amp;IF($B419="","Thiếu ngày! ","")&amp;IF(AND(OR(LEFT($F419,3)="131",LEFT($G419,3)="131",LEFT($F419,3)="331",LEFT($G419,3)="331"),$I419=""),"Thiếu Mã ĐT! ","")&amp;IF(AND($I419&lt;&gt;"",COUNTIF(DM_DT!$A$7:$A$306,$I419)=0),"Mã ĐT chưa khai báo! ","")))</f>
        <v/>
      </c>
      <c r="M419" s="117">
        <f>IF($H419="","",IF(AND(OR(LEFT($F419,3)="111",LEFT($F419,3)="112",LEFT($F419,3)="113"),OR(LEFT($G419,3)="111",LEFT($G419,3)="112",LEFT($G419,3)="113")),"NB",IF(OR(LEFT($F419,3)="111",LEFT($F419,3)="112",LEFT($F419,3)="113"),"THU",IF(OR(LEFT($G419,3)="111",LEFT($G419,3)="112",LEFT($G419,3)="113"),"CHI",""))))</f>
        <v/>
      </c>
      <c r="N419" s="117">
        <f>IF($M419="THU",$G419,IF($M419="CHI",$F419,""))</f>
        <v/>
      </c>
      <c r="O419" s="117">
        <f>IF(OR($M419="",$M419="NB"),"",IF($J419&lt;&gt;"",TEXT($J419,"00"),IFERROR(VLOOKUP(LEFT($N419,4),LCTT_MAP!$A$7:$C$66,IF($M419="THU",2,3),FALSE()),IFERROR(VLOOKUP(LEFT($N419,3),LCTT_MAP!$A$7:$C$66,IF($M419="THU",2,3),FALSE()),IFERROR(VLOOKUP(LEFT($N419,2),LCTT_MAP!$A$7:$C$66,IF($M419="THU",2,3),FALSE()),IFERROR(VLOOKUP(LEFT($N419,1),LCTT_MAP!$A$7:$C$66,IF($M419="THU",2,3),FALSE()),IF($M419="THU","06","07")))))))</f>
        <v/>
      </c>
      <c r="P419" s="117">
        <f>P418+IF(AND($H419&lt;&gt;"",OR(LEFT($F419,LEN(SC_TK))=SC_TK,LEFT($G419,LEN(SC_TK))=SC_TK)),1,0)</f>
        <v/>
      </c>
    </row>
    <row r="420" ht="15" customHeight="1" s="78">
      <c r="A420" s="95">
        <f>IF($H420="","",ROW()-6)</f>
        <v/>
      </c>
      <c r="B420" s="114" t="n"/>
      <c r="C420" s="102" t="n"/>
      <c r="D420" s="114" t="n"/>
      <c r="E420" s="103" t="n"/>
      <c r="F420" s="102" t="n"/>
      <c r="G420" s="102" t="n"/>
      <c r="H420" s="115" t="n"/>
      <c r="I420" s="102" t="n"/>
      <c r="J420" s="102" t="n"/>
      <c r="K420" s="103" t="n"/>
      <c r="L420" s="116">
        <f>IF($H420="","",TRIM(IF(COUNTIF(DMTK!$A$7:$A$250,$F420)=0,"TK Nợ sai! ","")&amp;IF(COUNTIF(DMTK!$A$7:$A$250,$G420)=0,"TK Có sai! ","")&amp;IF(N($H420)&lt;=0,"Tiền phải &gt; 0! ","")&amp;IF($B420="","Thiếu ngày! ","")&amp;IF(AND(OR(LEFT($F420,3)="131",LEFT($G420,3)="131",LEFT($F420,3)="331",LEFT($G420,3)="331"),$I420=""),"Thiếu Mã ĐT! ","")&amp;IF(AND($I420&lt;&gt;"",COUNTIF(DM_DT!$A$7:$A$306,$I420)=0),"Mã ĐT chưa khai báo! ","")))</f>
        <v/>
      </c>
      <c r="M420" s="117">
        <f>IF($H420="","",IF(AND(OR(LEFT($F420,3)="111",LEFT($F420,3)="112",LEFT($F420,3)="113"),OR(LEFT($G420,3)="111",LEFT($G420,3)="112",LEFT($G420,3)="113")),"NB",IF(OR(LEFT($F420,3)="111",LEFT($F420,3)="112",LEFT($F420,3)="113"),"THU",IF(OR(LEFT($G420,3)="111",LEFT($G420,3)="112",LEFT($G420,3)="113"),"CHI",""))))</f>
        <v/>
      </c>
      <c r="N420" s="117">
        <f>IF($M420="THU",$G420,IF($M420="CHI",$F420,""))</f>
        <v/>
      </c>
      <c r="O420" s="117">
        <f>IF(OR($M420="",$M420="NB"),"",IF($J420&lt;&gt;"",TEXT($J420,"00"),IFERROR(VLOOKUP(LEFT($N420,4),LCTT_MAP!$A$7:$C$66,IF($M420="THU",2,3),FALSE()),IFERROR(VLOOKUP(LEFT($N420,3),LCTT_MAP!$A$7:$C$66,IF($M420="THU",2,3),FALSE()),IFERROR(VLOOKUP(LEFT($N420,2),LCTT_MAP!$A$7:$C$66,IF($M420="THU",2,3),FALSE()),IFERROR(VLOOKUP(LEFT($N420,1),LCTT_MAP!$A$7:$C$66,IF($M420="THU",2,3),FALSE()),IF($M420="THU","06","07")))))))</f>
        <v/>
      </c>
      <c r="P420" s="117">
        <f>P419+IF(AND($H420&lt;&gt;"",OR(LEFT($F420,LEN(SC_TK))=SC_TK,LEFT($G420,LEN(SC_TK))=SC_TK)),1,0)</f>
        <v/>
      </c>
    </row>
    <row r="421" ht="15" customHeight="1" s="78">
      <c r="A421" s="95">
        <f>IF($H421="","",ROW()-6)</f>
        <v/>
      </c>
      <c r="B421" s="114" t="n"/>
      <c r="C421" s="102" t="n"/>
      <c r="D421" s="114" t="n"/>
      <c r="E421" s="103" t="n"/>
      <c r="F421" s="102" t="n"/>
      <c r="G421" s="102" t="n"/>
      <c r="H421" s="115" t="n"/>
      <c r="I421" s="102" t="n"/>
      <c r="J421" s="102" t="n"/>
      <c r="K421" s="103" t="n"/>
      <c r="L421" s="116">
        <f>IF($H421="","",TRIM(IF(COUNTIF(DMTK!$A$7:$A$250,$F421)=0,"TK Nợ sai! ","")&amp;IF(COUNTIF(DMTK!$A$7:$A$250,$G421)=0,"TK Có sai! ","")&amp;IF(N($H421)&lt;=0,"Tiền phải &gt; 0! ","")&amp;IF($B421="","Thiếu ngày! ","")&amp;IF(AND(OR(LEFT($F421,3)="131",LEFT($G421,3)="131",LEFT($F421,3)="331",LEFT($G421,3)="331"),$I421=""),"Thiếu Mã ĐT! ","")&amp;IF(AND($I421&lt;&gt;"",COUNTIF(DM_DT!$A$7:$A$306,$I421)=0),"Mã ĐT chưa khai báo! ","")))</f>
        <v/>
      </c>
      <c r="M421" s="117">
        <f>IF($H421="","",IF(AND(OR(LEFT($F421,3)="111",LEFT($F421,3)="112",LEFT($F421,3)="113"),OR(LEFT($G421,3)="111",LEFT($G421,3)="112",LEFT($G421,3)="113")),"NB",IF(OR(LEFT($F421,3)="111",LEFT($F421,3)="112",LEFT($F421,3)="113"),"THU",IF(OR(LEFT($G421,3)="111",LEFT($G421,3)="112",LEFT($G421,3)="113"),"CHI",""))))</f>
        <v/>
      </c>
      <c r="N421" s="117">
        <f>IF($M421="THU",$G421,IF($M421="CHI",$F421,""))</f>
        <v/>
      </c>
      <c r="O421" s="117">
        <f>IF(OR($M421="",$M421="NB"),"",IF($J421&lt;&gt;"",TEXT($J421,"00"),IFERROR(VLOOKUP(LEFT($N421,4),LCTT_MAP!$A$7:$C$66,IF($M421="THU",2,3),FALSE()),IFERROR(VLOOKUP(LEFT($N421,3),LCTT_MAP!$A$7:$C$66,IF($M421="THU",2,3),FALSE()),IFERROR(VLOOKUP(LEFT($N421,2),LCTT_MAP!$A$7:$C$66,IF($M421="THU",2,3),FALSE()),IFERROR(VLOOKUP(LEFT($N421,1),LCTT_MAP!$A$7:$C$66,IF($M421="THU",2,3),FALSE()),IF($M421="THU","06","07")))))))</f>
        <v/>
      </c>
      <c r="P421" s="117">
        <f>P420+IF(AND($H421&lt;&gt;"",OR(LEFT($F421,LEN(SC_TK))=SC_TK,LEFT($G421,LEN(SC_TK))=SC_TK)),1,0)</f>
        <v/>
      </c>
    </row>
    <row r="422" ht="15" customHeight="1" s="78">
      <c r="A422" s="95">
        <f>IF($H422="","",ROW()-6)</f>
        <v/>
      </c>
      <c r="B422" s="114" t="n"/>
      <c r="C422" s="102" t="n"/>
      <c r="D422" s="114" t="n"/>
      <c r="E422" s="103" t="n"/>
      <c r="F422" s="102" t="n"/>
      <c r="G422" s="102" t="n"/>
      <c r="H422" s="115" t="n"/>
      <c r="I422" s="102" t="n"/>
      <c r="J422" s="102" t="n"/>
      <c r="K422" s="103" t="n"/>
      <c r="L422" s="116">
        <f>IF($H422="","",TRIM(IF(COUNTIF(DMTK!$A$7:$A$250,$F422)=0,"TK Nợ sai! ","")&amp;IF(COUNTIF(DMTK!$A$7:$A$250,$G422)=0,"TK Có sai! ","")&amp;IF(N($H422)&lt;=0,"Tiền phải &gt; 0! ","")&amp;IF($B422="","Thiếu ngày! ","")&amp;IF(AND(OR(LEFT($F422,3)="131",LEFT($G422,3)="131",LEFT($F422,3)="331",LEFT($G422,3)="331"),$I422=""),"Thiếu Mã ĐT! ","")&amp;IF(AND($I422&lt;&gt;"",COUNTIF(DM_DT!$A$7:$A$306,$I422)=0),"Mã ĐT chưa khai báo! ","")))</f>
        <v/>
      </c>
      <c r="M422" s="117">
        <f>IF($H422="","",IF(AND(OR(LEFT($F422,3)="111",LEFT($F422,3)="112",LEFT($F422,3)="113"),OR(LEFT($G422,3)="111",LEFT($G422,3)="112",LEFT($G422,3)="113")),"NB",IF(OR(LEFT($F422,3)="111",LEFT($F422,3)="112",LEFT($F422,3)="113"),"THU",IF(OR(LEFT($G422,3)="111",LEFT($G422,3)="112",LEFT($G422,3)="113"),"CHI",""))))</f>
        <v/>
      </c>
      <c r="N422" s="117">
        <f>IF($M422="THU",$G422,IF($M422="CHI",$F422,""))</f>
        <v/>
      </c>
      <c r="O422" s="117">
        <f>IF(OR($M422="",$M422="NB"),"",IF($J422&lt;&gt;"",TEXT($J422,"00"),IFERROR(VLOOKUP(LEFT($N422,4),LCTT_MAP!$A$7:$C$66,IF($M422="THU",2,3),FALSE()),IFERROR(VLOOKUP(LEFT($N422,3),LCTT_MAP!$A$7:$C$66,IF($M422="THU",2,3),FALSE()),IFERROR(VLOOKUP(LEFT($N422,2),LCTT_MAP!$A$7:$C$66,IF($M422="THU",2,3),FALSE()),IFERROR(VLOOKUP(LEFT($N422,1),LCTT_MAP!$A$7:$C$66,IF($M422="THU",2,3),FALSE()),IF($M422="THU","06","07")))))))</f>
        <v/>
      </c>
      <c r="P422" s="117">
        <f>P421+IF(AND($H422&lt;&gt;"",OR(LEFT($F422,LEN(SC_TK))=SC_TK,LEFT($G422,LEN(SC_TK))=SC_TK)),1,0)</f>
        <v/>
      </c>
    </row>
    <row r="423" ht="15" customHeight="1" s="78">
      <c r="A423" s="95">
        <f>IF($H423="","",ROW()-6)</f>
        <v/>
      </c>
      <c r="B423" s="114" t="n"/>
      <c r="C423" s="102" t="n"/>
      <c r="D423" s="114" t="n"/>
      <c r="E423" s="103" t="n"/>
      <c r="F423" s="102" t="n"/>
      <c r="G423" s="102" t="n"/>
      <c r="H423" s="115" t="n"/>
      <c r="I423" s="102" t="n"/>
      <c r="J423" s="102" t="n"/>
      <c r="K423" s="103" t="n"/>
      <c r="L423" s="116">
        <f>IF($H423="","",TRIM(IF(COUNTIF(DMTK!$A$7:$A$250,$F423)=0,"TK Nợ sai! ","")&amp;IF(COUNTIF(DMTK!$A$7:$A$250,$G423)=0,"TK Có sai! ","")&amp;IF(N($H423)&lt;=0,"Tiền phải &gt; 0! ","")&amp;IF($B423="","Thiếu ngày! ","")&amp;IF(AND(OR(LEFT($F423,3)="131",LEFT($G423,3)="131",LEFT($F423,3)="331",LEFT($G423,3)="331"),$I423=""),"Thiếu Mã ĐT! ","")&amp;IF(AND($I423&lt;&gt;"",COUNTIF(DM_DT!$A$7:$A$306,$I423)=0),"Mã ĐT chưa khai báo! ","")))</f>
        <v/>
      </c>
      <c r="M423" s="117">
        <f>IF($H423="","",IF(AND(OR(LEFT($F423,3)="111",LEFT($F423,3)="112",LEFT($F423,3)="113"),OR(LEFT($G423,3)="111",LEFT($G423,3)="112",LEFT($G423,3)="113")),"NB",IF(OR(LEFT($F423,3)="111",LEFT($F423,3)="112",LEFT($F423,3)="113"),"THU",IF(OR(LEFT($G423,3)="111",LEFT($G423,3)="112",LEFT($G423,3)="113"),"CHI",""))))</f>
        <v/>
      </c>
      <c r="N423" s="117">
        <f>IF($M423="THU",$G423,IF($M423="CHI",$F423,""))</f>
        <v/>
      </c>
      <c r="O423" s="117">
        <f>IF(OR($M423="",$M423="NB"),"",IF($J423&lt;&gt;"",TEXT($J423,"00"),IFERROR(VLOOKUP(LEFT($N423,4),LCTT_MAP!$A$7:$C$66,IF($M423="THU",2,3),FALSE()),IFERROR(VLOOKUP(LEFT($N423,3),LCTT_MAP!$A$7:$C$66,IF($M423="THU",2,3),FALSE()),IFERROR(VLOOKUP(LEFT($N423,2),LCTT_MAP!$A$7:$C$66,IF($M423="THU",2,3),FALSE()),IFERROR(VLOOKUP(LEFT($N423,1),LCTT_MAP!$A$7:$C$66,IF($M423="THU",2,3),FALSE()),IF($M423="THU","06","07")))))))</f>
        <v/>
      </c>
      <c r="P423" s="117">
        <f>P422+IF(AND($H423&lt;&gt;"",OR(LEFT($F423,LEN(SC_TK))=SC_TK,LEFT($G423,LEN(SC_TK))=SC_TK)),1,0)</f>
        <v/>
      </c>
    </row>
    <row r="424" ht="15" customHeight="1" s="78">
      <c r="A424" s="95">
        <f>IF($H424="","",ROW()-6)</f>
        <v/>
      </c>
      <c r="B424" s="114" t="n"/>
      <c r="C424" s="102" t="n"/>
      <c r="D424" s="114" t="n"/>
      <c r="E424" s="103" t="n"/>
      <c r="F424" s="102" t="n"/>
      <c r="G424" s="102" t="n"/>
      <c r="H424" s="115" t="n"/>
      <c r="I424" s="102" t="n"/>
      <c r="J424" s="102" t="n"/>
      <c r="K424" s="103" t="n"/>
      <c r="L424" s="116">
        <f>IF($H424="","",TRIM(IF(COUNTIF(DMTK!$A$7:$A$250,$F424)=0,"TK Nợ sai! ","")&amp;IF(COUNTIF(DMTK!$A$7:$A$250,$G424)=0,"TK Có sai! ","")&amp;IF(N($H424)&lt;=0,"Tiền phải &gt; 0! ","")&amp;IF($B424="","Thiếu ngày! ","")&amp;IF(AND(OR(LEFT($F424,3)="131",LEFT($G424,3)="131",LEFT($F424,3)="331",LEFT($G424,3)="331"),$I424=""),"Thiếu Mã ĐT! ","")&amp;IF(AND($I424&lt;&gt;"",COUNTIF(DM_DT!$A$7:$A$306,$I424)=0),"Mã ĐT chưa khai báo! ","")))</f>
        <v/>
      </c>
      <c r="M424" s="117">
        <f>IF($H424="","",IF(AND(OR(LEFT($F424,3)="111",LEFT($F424,3)="112",LEFT($F424,3)="113"),OR(LEFT($G424,3)="111",LEFT($G424,3)="112",LEFT($G424,3)="113")),"NB",IF(OR(LEFT($F424,3)="111",LEFT($F424,3)="112",LEFT($F424,3)="113"),"THU",IF(OR(LEFT($G424,3)="111",LEFT($G424,3)="112",LEFT($G424,3)="113"),"CHI",""))))</f>
        <v/>
      </c>
      <c r="N424" s="117">
        <f>IF($M424="THU",$G424,IF($M424="CHI",$F424,""))</f>
        <v/>
      </c>
      <c r="O424" s="117">
        <f>IF(OR($M424="",$M424="NB"),"",IF($J424&lt;&gt;"",TEXT($J424,"00"),IFERROR(VLOOKUP(LEFT($N424,4),LCTT_MAP!$A$7:$C$66,IF($M424="THU",2,3),FALSE()),IFERROR(VLOOKUP(LEFT($N424,3),LCTT_MAP!$A$7:$C$66,IF($M424="THU",2,3),FALSE()),IFERROR(VLOOKUP(LEFT($N424,2),LCTT_MAP!$A$7:$C$66,IF($M424="THU",2,3),FALSE()),IFERROR(VLOOKUP(LEFT($N424,1),LCTT_MAP!$A$7:$C$66,IF($M424="THU",2,3),FALSE()),IF($M424="THU","06","07")))))))</f>
        <v/>
      </c>
      <c r="P424" s="117">
        <f>P423+IF(AND($H424&lt;&gt;"",OR(LEFT($F424,LEN(SC_TK))=SC_TK,LEFT($G424,LEN(SC_TK))=SC_TK)),1,0)</f>
        <v/>
      </c>
    </row>
    <row r="425" ht="15" customHeight="1" s="78">
      <c r="A425" s="95">
        <f>IF($H425="","",ROW()-6)</f>
        <v/>
      </c>
      <c r="B425" s="114" t="n"/>
      <c r="C425" s="102" t="n"/>
      <c r="D425" s="114" t="n"/>
      <c r="E425" s="103" t="n"/>
      <c r="F425" s="102" t="n"/>
      <c r="G425" s="102" t="n"/>
      <c r="H425" s="115" t="n"/>
      <c r="I425" s="102" t="n"/>
      <c r="J425" s="102" t="n"/>
      <c r="K425" s="103" t="n"/>
      <c r="L425" s="116">
        <f>IF($H425="","",TRIM(IF(COUNTIF(DMTK!$A$7:$A$250,$F425)=0,"TK Nợ sai! ","")&amp;IF(COUNTIF(DMTK!$A$7:$A$250,$G425)=0,"TK Có sai! ","")&amp;IF(N($H425)&lt;=0,"Tiền phải &gt; 0! ","")&amp;IF($B425="","Thiếu ngày! ","")&amp;IF(AND(OR(LEFT($F425,3)="131",LEFT($G425,3)="131",LEFT($F425,3)="331",LEFT($G425,3)="331"),$I425=""),"Thiếu Mã ĐT! ","")&amp;IF(AND($I425&lt;&gt;"",COUNTIF(DM_DT!$A$7:$A$306,$I425)=0),"Mã ĐT chưa khai báo! ","")))</f>
        <v/>
      </c>
      <c r="M425" s="117">
        <f>IF($H425="","",IF(AND(OR(LEFT($F425,3)="111",LEFT($F425,3)="112",LEFT($F425,3)="113"),OR(LEFT($G425,3)="111",LEFT($G425,3)="112",LEFT($G425,3)="113")),"NB",IF(OR(LEFT($F425,3)="111",LEFT($F425,3)="112",LEFT($F425,3)="113"),"THU",IF(OR(LEFT($G425,3)="111",LEFT($G425,3)="112",LEFT($G425,3)="113"),"CHI",""))))</f>
        <v/>
      </c>
      <c r="N425" s="117">
        <f>IF($M425="THU",$G425,IF($M425="CHI",$F425,""))</f>
        <v/>
      </c>
      <c r="O425" s="117">
        <f>IF(OR($M425="",$M425="NB"),"",IF($J425&lt;&gt;"",TEXT($J425,"00"),IFERROR(VLOOKUP(LEFT($N425,4),LCTT_MAP!$A$7:$C$66,IF($M425="THU",2,3),FALSE()),IFERROR(VLOOKUP(LEFT($N425,3),LCTT_MAP!$A$7:$C$66,IF($M425="THU",2,3),FALSE()),IFERROR(VLOOKUP(LEFT($N425,2),LCTT_MAP!$A$7:$C$66,IF($M425="THU",2,3),FALSE()),IFERROR(VLOOKUP(LEFT($N425,1),LCTT_MAP!$A$7:$C$66,IF($M425="THU",2,3),FALSE()),IF($M425="THU","06","07")))))))</f>
        <v/>
      </c>
      <c r="P425" s="117">
        <f>P424+IF(AND($H425&lt;&gt;"",OR(LEFT($F425,LEN(SC_TK))=SC_TK,LEFT($G425,LEN(SC_TK))=SC_TK)),1,0)</f>
        <v/>
      </c>
    </row>
    <row r="426" ht="15" customHeight="1" s="78">
      <c r="A426" s="95">
        <f>IF($H426="","",ROW()-6)</f>
        <v/>
      </c>
      <c r="B426" s="114" t="n"/>
      <c r="C426" s="102" t="n"/>
      <c r="D426" s="114" t="n"/>
      <c r="E426" s="103" t="n"/>
      <c r="F426" s="102" t="n"/>
      <c r="G426" s="102" t="n"/>
      <c r="H426" s="115" t="n"/>
      <c r="I426" s="102" t="n"/>
      <c r="J426" s="102" t="n"/>
      <c r="K426" s="103" t="n"/>
      <c r="L426" s="116">
        <f>IF($H426="","",TRIM(IF(COUNTIF(DMTK!$A$7:$A$250,$F426)=0,"TK Nợ sai! ","")&amp;IF(COUNTIF(DMTK!$A$7:$A$250,$G426)=0,"TK Có sai! ","")&amp;IF(N($H426)&lt;=0,"Tiền phải &gt; 0! ","")&amp;IF($B426="","Thiếu ngày! ","")&amp;IF(AND(OR(LEFT($F426,3)="131",LEFT($G426,3)="131",LEFT($F426,3)="331",LEFT($G426,3)="331"),$I426=""),"Thiếu Mã ĐT! ","")&amp;IF(AND($I426&lt;&gt;"",COUNTIF(DM_DT!$A$7:$A$306,$I426)=0),"Mã ĐT chưa khai báo! ","")))</f>
        <v/>
      </c>
      <c r="M426" s="117">
        <f>IF($H426="","",IF(AND(OR(LEFT($F426,3)="111",LEFT($F426,3)="112",LEFT($F426,3)="113"),OR(LEFT($G426,3)="111",LEFT($G426,3)="112",LEFT($G426,3)="113")),"NB",IF(OR(LEFT($F426,3)="111",LEFT($F426,3)="112",LEFT($F426,3)="113"),"THU",IF(OR(LEFT($G426,3)="111",LEFT($G426,3)="112",LEFT($G426,3)="113"),"CHI",""))))</f>
        <v/>
      </c>
      <c r="N426" s="117">
        <f>IF($M426="THU",$G426,IF($M426="CHI",$F426,""))</f>
        <v/>
      </c>
      <c r="O426" s="117">
        <f>IF(OR($M426="",$M426="NB"),"",IF($J426&lt;&gt;"",TEXT($J426,"00"),IFERROR(VLOOKUP(LEFT($N426,4),LCTT_MAP!$A$7:$C$66,IF($M426="THU",2,3),FALSE()),IFERROR(VLOOKUP(LEFT($N426,3),LCTT_MAP!$A$7:$C$66,IF($M426="THU",2,3),FALSE()),IFERROR(VLOOKUP(LEFT($N426,2),LCTT_MAP!$A$7:$C$66,IF($M426="THU",2,3),FALSE()),IFERROR(VLOOKUP(LEFT($N426,1),LCTT_MAP!$A$7:$C$66,IF($M426="THU",2,3),FALSE()),IF($M426="THU","06","07")))))))</f>
        <v/>
      </c>
      <c r="P426" s="117">
        <f>P425+IF(AND($H426&lt;&gt;"",OR(LEFT($F426,LEN(SC_TK))=SC_TK,LEFT($G426,LEN(SC_TK))=SC_TK)),1,0)</f>
        <v/>
      </c>
    </row>
    <row r="427" ht="15" customHeight="1" s="78">
      <c r="A427" s="95">
        <f>IF($H427="","",ROW()-6)</f>
        <v/>
      </c>
      <c r="B427" s="114" t="n"/>
      <c r="C427" s="102" t="n"/>
      <c r="D427" s="114" t="n"/>
      <c r="E427" s="103" t="n"/>
      <c r="F427" s="102" t="n"/>
      <c r="G427" s="102" t="n"/>
      <c r="H427" s="115" t="n"/>
      <c r="I427" s="102" t="n"/>
      <c r="J427" s="102" t="n"/>
      <c r="K427" s="103" t="n"/>
      <c r="L427" s="116">
        <f>IF($H427="","",TRIM(IF(COUNTIF(DMTK!$A$7:$A$250,$F427)=0,"TK Nợ sai! ","")&amp;IF(COUNTIF(DMTK!$A$7:$A$250,$G427)=0,"TK Có sai! ","")&amp;IF(N($H427)&lt;=0,"Tiền phải &gt; 0! ","")&amp;IF($B427="","Thiếu ngày! ","")&amp;IF(AND(OR(LEFT($F427,3)="131",LEFT($G427,3)="131",LEFT($F427,3)="331",LEFT($G427,3)="331"),$I427=""),"Thiếu Mã ĐT! ","")&amp;IF(AND($I427&lt;&gt;"",COUNTIF(DM_DT!$A$7:$A$306,$I427)=0),"Mã ĐT chưa khai báo! ","")))</f>
        <v/>
      </c>
      <c r="M427" s="117">
        <f>IF($H427="","",IF(AND(OR(LEFT($F427,3)="111",LEFT($F427,3)="112",LEFT($F427,3)="113"),OR(LEFT($G427,3)="111",LEFT($G427,3)="112",LEFT($G427,3)="113")),"NB",IF(OR(LEFT($F427,3)="111",LEFT($F427,3)="112",LEFT($F427,3)="113"),"THU",IF(OR(LEFT($G427,3)="111",LEFT($G427,3)="112",LEFT($G427,3)="113"),"CHI",""))))</f>
        <v/>
      </c>
      <c r="N427" s="117">
        <f>IF($M427="THU",$G427,IF($M427="CHI",$F427,""))</f>
        <v/>
      </c>
      <c r="O427" s="117">
        <f>IF(OR($M427="",$M427="NB"),"",IF($J427&lt;&gt;"",TEXT($J427,"00"),IFERROR(VLOOKUP(LEFT($N427,4),LCTT_MAP!$A$7:$C$66,IF($M427="THU",2,3),FALSE()),IFERROR(VLOOKUP(LEFT($N427,3),LCTT_MAP!$A$7:$C$66,IF($M427="THU",2,3),FALSE()),IFERROR(VLOOKUP(LEFT($N427,2),LCTT_MAP!$A$7:$C$66,IF($M427="THU",2,3),FALSE()),IFERROR(VLOOKUP(LEFT($N427,1),LCTT_MAP!$A$7:$C$66,IF($M427="THU",2,3),FALSE()),IF($M427="THU","06","07")))))))</f>
        <v/>
      </c>
      <c r="P427" s="117">
        <f>P426+IF(AND($H427&lt;&gt;"",OR(LEFT($F427,LEN(SC_TK))=SC_TK,LEFT($G427,LEN(SC_TK))=SC_TK)),1,0)</f>
        <v/>
      </c>
    </row>
    <row r="428" ht="15" customHeight="1" s="78">
      <c r="A428" s="95">
        <f>IF($H428="","",ROW()-6)</f>
        <v/>
      </c>
      <c r="B428" s="114" t="n"/>
      <c r="C428" s="102" t="n"/>
      <c r="D428" s="114" t="n"/>
      <c r="E428" s="103" t="n"/>
      <c r="F428" s="102" t="n"/>
      <c r="G428" s="102" t="n"/>
      <c r="H428" s="115" t="n"/>
      <c r="I428" s="102" t="n"/>
      <c r="J428" s="102" t="n"/>
      <c r="K428" s="103" t="n"/>
      <c r="L428" s="116">
        <f>IF($H428="","",TRIM(IF(COUNTIF(DMTK!$A$7:$A$250,$F428)=0,"TK Nợ sai! ","")&amp;IF(COUNTIF(DMTK!$A$7:$A$250,$G428)=0,"TK Có sai! ","")&amp;IF(N($H428)&lt;=0,"Tiền phải &gt; 0! ","")&amp;IF($B428="","Thiếu ngày! ","")&amp;IF(AND(OR(LEFT($F428,3)="131",LEFT($G428,3)="131",LEFT($F428,3)="331",LEFT($G428,3)="331"),$I428=""),"Thiếu Mã ĐT! ","")&amp;IF(AND($I428&lt;&gt;"",COUNTIF(DM_DT!$A$7:$A$306,$I428)=0),"Mã ĐT chưa khai báo! ","")))</f>
        <v/>
      </c>
      <c r="M428" s="117">
        <f>IF($H428="","",IF(AND(OR(LEFT($F428,3)="111",LEFT($F428,3)="112",LEFT($F428,3)="113"),OR(LEFT($G428,3)="111",LEFT($G428,3)="112",LEFT($G428,3)="113")),"NB",IF(OR(LEFT($F428,3)="111",LEFT($F428,3)="112",LEFT($F428,3)="113"),"THU",IF(OR(LEFT($G428,3)="111",LEFT($G428,3)="112",LEFT($G428,3)="113"),"CHI",""))))</f>
        <v/>
      </c>
      <c r="N428" s="117">
        <f>IF($M428="THU",$G428,IF($M428="CHI",$F428,""))</f>
        <v/>
      </c>
      <c r="O428" s="117">
        <f>IF(OR($M428="",$M428="NB"),"",IF($J428&lt;&gt;"",TEXT($J428,"00"),IFERROR(VLOOKUP(LEFT($N428,4),LCTT_MAP!$A$7:$C$66,IF($M428="THU",2,3),FALSE()),IFERROR(VLOOKUP(LEFT($N428,3),LCTT_MAP!$A$7:$C$66,IF($M428="THU",2,3),FALSE()),IFERROR(VLOOKUP(LEFT($N428,2),LCTT_MAP!$A$7:$C$66,IF($M428="THU",2,3),FALSE()),IFERROR(VLOOKUP(LEFT($N428,1),LCTT_MAP!$A$7:$C$66,IF($M428="THU",2,3),FALSE()),IF($M428="THU","06","07")))))))</f>
        <v/>
      </c>
      <c r="P428" s="117">
        <f>P427+IF(AND($H428&lt;&gt;"",OR(LEFT($F428,LEN(SC_TK))=SC_TK,LEFT($G428,LEN(SC_TK))=SC_TK)),1,0)</f>
        <v/>
      </c>
    </row>
    <row r="429" ht="15" customHeight="1" s="78">
      <c r="A429" s="95">
        <f>IF($H429="","",ROW()-6)</f>
        <v/>
      </c>
      <c r="B429" s="114" t="n"/>
      <c r="C429" s="102" t="n"/>
      <c r="D429" s="114" t="n"/>
      <c r="E429" s="103" t="n"/>
      <c r="F429" s="102" t="n"/>
      <c r="G429" s="102" t="n"/>
      <c r="H429" s="115" t="n"/>
      <c r="I429" s="102" t="n"/>
      <c r="J429" s="102" t="n"/>
      <c r="K429" s="103" t="n"/>
      <c r="L429" s="116">
        <f>IF($H429="","",TRIM(IF(COUNTIF(DMTK!$A$7:$A$250,$F429)=0,"TK Nợ sai! ","")&amp;IF(COUNTIF(DMTK!$A$7:$A$250,$G429)=0,"TK Có sai! ","")&amp;IF(N($H429)&lt;=0,"Tiền phải &gt; 0! ","")&amp;IF($B429="","Thiếu ngày! ","")&amp;IF(AND(OR(LEFT($F429,3)="131",LEFT($G429,3)="131",LEFT($F429,3)="331",LEFT($G429,3)="331"),$I429=""),"Thiếu Mã ĐT! ","")&amp;IF(AND($I429&lt;&gt;"",COUNTIF(DM_DT!$A$7:$A$306,$I429)=0),"Mã ĐT chưa khai báo! ","")))</f>
        <v/>
      </c>
      <c r="M429" s="117">
        <f>IF($H429="","",IF(AND(OR(LEFT($F429,3)="111",LEFT($F429,3)="112",LEFT($F429,3)="113"),OR(LEFT($G429,3)="111",LEFT($G429,3)="112",LEFT($G429,3)="113")),"NB",IF(OR(LEFT($F429,3)="111",LEFT($F429,3)="112",LEFT($F429,3)="113"),"THU",IF(OR(LEFT($G429,3)="111",LEFT($G429,3)="112",LEFT($G429,3)="113"),"CHI",""))))</f>
        <v/>
      </c>
      <c r="N429" s="117">
        <f>IF($M429="THU",$G429,IF($M429="CHI",$F429,""))</f>
        <v/>
      </c>
      <c r="O429" s="117">
        <f>IF(OR($M429="",$M429="NB"),"",IF($J429&lt;&gt;"",TEXT($J429,"00"),IFERROR(VLOOKUP(LEFT($N429,4),LCTT_MAP!$A$7:$C$66,IF($M429="THU",2,3),FALSE()),IFERROR(VLOOKUP(LEFT($N429,3),LCTT_MAP!$A$7:$C$66,IF($M429="THU",2,3),FALSE()),IFERROR(VLOOKUP(LEFT($N429,2),LCTT_MAP!$A$7:$C$66,IF($M429="THU",2,3),FALSE()),IFERROR(VLOOKUP(LEFT($N429,1),LCTT_MAP!$A$7:$C$66,IF($M429="THU",2,3),FALSE()),IF($M429="THU","06","07")))))))</f>
        <v/>
      </c>
      <c r="P429" s="117">
        <f>P428+IF(AND($H429&lt;&gt;"",OR(LEFT($F429,LEN(SC_TK))=SC_TK,LEFT($G429,LEN(SC_TK))=SC_TK)),1,0)</f>
        <v/>
      </c>
    </row>
    <row r="430" ht="15" customHeight="1" s="78">
      <c r="A430" s="95">
        <f>IF($H430="","",ROW()-6)</f>
        <v/>
      </c>
      <c r="B430" s="114" t="n"/>
      <c r="C430" s="102" t="n"/>
      <c r="D430" s="114" t="n"/>
      <c r="E430" s="103" t="n"/>
      <c r="F430" s="102" t="n"/>
      <c r="G430" s="102" t="n"/>
      <c r="H430" s="115" t="n"/>
      <c r="I430" s="102" t="n"/>
      <c r="J430" s="102" t="n"/>
      <c r="K430" s="103" t="n"/>
      <c r="L430" s="116">
        <f>IF($H430="","",TRIM(IF(COUNTIF(DMTK!$A$7:$A$250,$F430)=0,"TK Nợ sai! ","")&amp;IF(COUNTIF(DMTK!$A$7:$A$250,$G430)=0,"TK Có sai! ","")&amp;IF(N($H430)&lt;=0,"Tiền phải &gt; 0! ","")&amp;IF($B430="","Thiếu ngày! ","")&amp;IF(AND(OR(LEFT($F430,3)="131",LEFT($G430,3)="131",LEFT($F430,3)="331",LEFT($G430,3)="331"),$I430=""),"Thiếu Mã ĐT! ","")&amp;IF(AND($I430&lt;&gt;"",COUNTIF(DM_DT!$A$7:$A$306,$I430)=0),"Mã ĐT chưa khai báo! ","")))</f>
        <v/>
      </c>
      <c r="M430" s="117">
        <f>IF($H430="","",IF(AND(OR(LEFT($F430,3)="111",LEFT($F430,3)="112",LEFT($F430,3)="113"),OR(LEFT($G430,3)="111",LEFT($G430,3)="112",LEFT($G430,3)="113")),"NB",IF(OR(LEFT($F430,3)="111",LEFT($F430,3)="112",LEFT($F430,3)="113"),"THU",IF(OR(LEFT($G430,3)="111",LEFT($G430,3)="112",LEFT($G430,3)="113"),"CHI",""))))</f>
        <v/>
      </c>
      <c r="N430" s="117">
        <f>IF($M430="THU",$G430,IF($M430="CHI",$F430,""))</f>
        <v/>
      </c>
      <c r="O430" s="117">
        <f>IF(OR($M430="",$M430="NB"),"",IF($J430&lt;&gt;"",TEXT($J430,"00"),IFERROR(VLOOKUP(LEFT($N430,4),LCTT_MAP!$A$7:$C$66,IF($M430="THU",2,3),FALSE()),IFERROR(VLOOKUP(LEFT($N430,3),LCTT_MAP!$A$7:$C$66,IF($M430="THU",2,3),FALSE()),IFERROR(VLOOKUP(LEFT($N430,2),LCTT_MAP!$A$7:$C$66,IF($M430="THU",2,3),FALSE()),IFERROR(VLOOKUP(LEFT($N430,1),LCTT_MAP!$A$7:$C$66,IF($M430="THU",2,3),FALSE()),IF($M430="THU","06","07")))))))</f>
        <v/>
      </c>
      <c r="P430" s="117">
        <f>P429+IF(AND($H430&lt;&gt;"",OR(LEFT($F430,LEN(SC_TK))=SC_TK,LEFT($G430,LEN(SC_TK))=SC_TK)),1,0)</f>
        <v/>
      </c>
    </row>
    <row r="431" ht="15" customHeight="1" s="78">
      <c r="A431" s="95">
        <f>IF($H431="","",ROW()-6)</f>
        <v/>
      </c>
      <c r="B431" s="114" t="n"/>
      <c r="C431" s="102" t="n"/>
      <c r="D431" s="114" t="n"/>
      <c r="E431" s="103" t="n"/>
      <c r="F431" s="102" t="n"/>
      <c r="G431" s="102" t="n"/>
      <c r="H431" s="115" t="n"/>
      <c r="I431" s="102" t="n"/>
      <c r="J431" s="102" t="n"/>
      <c r="K431" s="103" t="n"/>
      <c r="L431" s="116">
        <f>IF($H431="","",TRIM(IF(COUNTIF(DMTK!$A$7:$A$250,$F431)=0,"TK Nợ sai! ","")&amp;IF(COUNTIF(DMTK!$A$7:$A$250,$G431)=0,"TK Có sai! ","")&amp;IF(N($H431)&lt;=0,"Tiền phải &gt; 0! ","")&amp;IF($B431="","Thiếu ngày! ","")&amp;IF(AND(OR(LEFT($F431,3)="131",LEFT($G431,3)="131",LEFT($F431,3)="331",LEFT($G431,3)="331"),$I431=""),"Thiếu Mã ĐT! ","")&amp;IF(AND($I431&lt;&gt;"",COUNTIF(DM_DT!$A$7:$A$306,$I431)=0),"Mã ĐT chưa khai báo! ","")))</f>
        <v/>
      </c>
      <c r="M431" s="117">
        <f>IF($H431="","",IF(AND(OR(LEFT($F431,3)="111",LEFT($F431,3)="112",LEFT($F431,3)="113"),OR(LEFT($G431,3)="111",LEFT($G431,3)="112",LEFT($G431,3)="113")),"NB",IF(OR(LEFT($F431,3)="111",LEFT($F431,3)="112",LEFT($F431,3)="113"),"THU",IF(OR(LEFT($G431,3)="111",LEFT($G431,3)="112",LEFT($G431,3)="113"),"CHI",""))))</f>
        <v/>
      </c>
      <c r="N431" s="117">
        <f>IF($M431="THU",$G431,IF($M431="CHI",$F431,""))</f>
        <v/>
      </c>
      <c r="O431" s="117">
        <f>IF(OR($M431="",$M431="NB"),"",IF($J431&lt;&gt;"",TEXT($J431,"00"),IFERROR(VLOOKUP(LEFT($N431,4),LCTT_MAP!$A$7:$C$66,IF($M431="THU",2,3),FALSE()),IFERROR(VLOOKUP(LEFT($N431,3),LCTT_MAP!$A$7:$C$66,IF($M431="THU",2,3),FALSE()),IFERROR(VLOOKUP(LEFT($N431,2),LCTT_MAP!$A$7:$C$66,IF($M431="THU",2,3),FALSE()),IFERROR(VLOOKUP(LEFT($N431,1),LCTT_MAP!$A$7:$C$66,IF($M431="THU",2,3),FALSE()),IF($M431="THU","06","07")))))))</f>
        <v/>
      </c>
      <c r="P431" s="117">
        <f>P430+IF(AND($H431&lt;&gt;"",OR(LEFT($F431,LEN(SC_TK))=SC_TK,LEFT($G431,LEN(SC_TK))=SC_TK)),1,0)</f>
        <v/>
      </c>
    </row>
    <row r="432" ht="15" customHeight="1" s="78">
      <c r="A432" s="95">
        <f>IF($H432="","",ROW()-6)</f>
        <v/>
      </c>
      <c r="B432" s="114" t="n"/>
      <c r="C432" s="102" t="n"/>
      <c r="D432" s="114" t="n"/>
      <c r="E432" s="103" t="n"/>
      <c r="F432" s="102" t="n"/>
      <c r="G432" s="102" t="n"/>
      <c r="H432" s="115" t="n"/>
      <c r="I432" s="102" t="n"/>
      <c r="J432" s="102" t="n"/>
      <c r="K432" s="103" t="n"/>
      <c r="L432" s="116">
        <f>IF($H432="","",TRIM(IF(COUNTIF(DMTK!$A$7:$A$250,$F432)=0,"TK Nợ sai! ","")&amp;IF(COUNTIF(DMTK!$A$7:$A$250,$G432)=0,"TK Có sai! ","")&amp;IF(N($H432)&lt;=0,"Tiền phải &gt; 0! ","")&amp;IF($B432="","Thiếu ngày! ","")&amp;IF(AND(OR(LEFT($F432,3)="131",LEFT($G432,3)="131",LEFT($F432,3)="331",LEFT($G432,3)="331"),$I432=""),"Thiếu Mã ĐT! ","")&amp;IF(AND($I432&lt;&gt;"",COUNTIF(DM_DT!$A$7:$A$306,$I432)=0),"Mã ĐT chưa khai báo! ","")))</f>
        <v/>
      </c>
      <c r="M432" s="117">
        <f>IF($H432="","",IF(AND(OR(LEFT($F432,3)="111",LEFT($F432,3)="112",LEFT($F432,3)="113"),OR(LEFT($G432,3)="111",LEFT($G432,3)="112",LEFT($G432,3)="113")),"NB",IF(OR(LEFT($F432,3)="111",LEFT($F432,3)="112",LEFT($F432,3)="113"),"THU",IF(OR(LEFT($G432,3)="111",LEFT($G432,3)="112",LEFT($G432,3)="113"),"CHI",""))))</f>
        <v/>
      </c>
      <c r="N432" s="117">
        <f>IF($M432="THU",$G432,IF($M432="CHI",$F432,""))</f>
        <v/>
      </c>
      <c r="O432" s="117">
        <f>IF(OR($M432="",$M432="NB"),"",IF($J432&lt;&gt;"",TEXT($J432,"00"),IFERROR(VLOOKUP(LEFT($N432,4),LCTT_MAP!$A$7:$C$66,IF($M432="THU",2,3),FALSE()),IFERROR(VLOOKUP(LEFT($N432,3),LCTT_MAP!$A$7:$C$66,IF($M432="THU",2,3),FALSE()),IFERROR(VLOOKUP(LEFT($N432,2),LCTT_MAP!$A$7:$C$66,IF($M432="THU",2,3),FALSE()),IFERROR(VLOOKUP(LEFT($N432,1),LCTT_MAP!$A$7:$C$66,IF($M432="THU",2,3),FALSE()),IF($M432="THU","06","07")))))))</f>
        <v/>
      </c>
      <c r="P432" s="117">
        <f>P431+IF(AND($H432&lt;&gt;"",OR(LEFT($F432,LEN(SC_TK))=SC_TK,LEFT($G432,LEN(SC_TK))=SC_TK)),1,0)</f>
        <v/>
      </c>
    </row>
    <row r="433" ht="15" customHeight="1" s="78">
      <c r="A433" s="95">
        <f>IF($H433="","",ROW()-6)</f>
        <v/>
      </c>
      <c r="B433" s="114" t="n"/>
      <c r="C433" s="102" t="n"/>
      <c r="D433" s="114" t="n"/>
      <c r="E433" s="103" t="n"/>
      <c r="F433" s="102" t="n"/>
      <c r="G433" s="102" t="n"/>
      <c r="H433" s="115" t="n"/>
      <c r="I433" s="102" t="n"/>
      <c r="J433" s="102" t="n"/>
      <c r="K433" s="103" t="n"/>
      <c r="L433" s="116">
        <f>IF($H433="","",TRIM(IF(COUNTIF(DMTK!$A$7:$A$250,$F433)=0,"TK Nợ sai! ","")&amp;IF(COUNTIF(DMTK!$A$7:$A$250,$G433)=0,"TK Có sai! ","")&amp;IF(N($H433)&lt;=0,"Tiền phải &gt; 0! ","")&amp;IF($B433="","Thiếu ngày! ","")&amp;IF(AND(OR(LEFT($F433,3)="131",LEFT($G433,3)="131",LEFT($F433,3)="331",LEFT($G433,3)="331"),$I433=""),"Thiếu Mã ĐT! ","")&amp;IF(AND($I433&lt;&gt;"",COUNTIF(DM_DT!$A$7:$A$306,$I433)=0),"Mã ĐT chưa khai báo! ","")))</f>
        <v/>
      </c>
      <c r="M433" s="117">
        <f>IF($H433="","",IF(AND(OR(LEFT($F433,3)="111",LEFT($F433,3)="112",LEFT($F433,3)="113"),OR(LEFT($G433,3)="111",LEFT($G433,3)="112",LEFT($G433,3)="113")),"NB",IF(OR(LEFT($F433,3)="111",LEFT($F433,3)="112",LEFT($F433,3)="113"),"THU",IF(OR(LEFT($G433,3)="111",LEFT($G433,3)="112",LEFT($G433,3)="113"),"CHI",""))))</f>
        <v/>
      </c>
      <c r="N433" s="117">
        <f>IF($M433="THU",$G433,IF($M433="CHI",$F433,""))</f>
        <v/>
      </c>
      <c r="O433" s="117">
        <f>IF(OR($M433="",$M433="NB"),"",IF($J433&lt;&gt;"",TEXT($J433,"00"),IFERROR(VLOOKUP(LEFT($N433,4),LCTT_MAP!$A$7:$C$66,IF($M433="THU",2,3),FALSE()),IFERROR(VLOOKUP(LEFT($N433,3),LCTT_MAP!$A$7:$C$66,IF($M433="THU",2,3),FALSE()),IFERROR(VLOOKUP(LEFT($N433,2),LCTT_MAP!$A$7:$C$66,IF($M433="THU",2,3),FALSE()),IFERROR(VLOOKUP(LEFT($N433,1),LCTT_MAP!$A$7:$C$66,IF($M433="THU",2,3),FALSE()),IF($M433="THU","06","07")))))))</f>
        <v/>
      </c>
      <c r="P433" s="117">
        <f>P432+IF(AND($H433&lt;&gt;"",OR(LEFT($F433,LEN(SC_TK))=SC_TK,LEFT($G433,LEN(SC_TK))=SC_TK)),1,0)</f>
        <v/>
      </c>
    </row>
    <row r="434" ht="15" customHeight="1" s="78">
      <c r="A434" s="95">
        <f>IF($H434="","",ROW()-6)</f>
        <v/>
      </c>
      <c r="B434" s="114" t="n"/>
      <c r="C434" s="102" t="n"/>
      <c r="D434" s="114" t="n"/>
      <c r="E434" s="103" t="n"/>
      <c r="F434" s="102" t="n"/>
      <c r="G434" s="102" t="n"/>
      <c r="H434" s="115" t="n"/>
      <c r="I434" s="102" t="n"/>
      <c r="J434" s="102" t="n"/>
      <c r="K434" s="103" t="n"/>
      <c r="L434" s="116">
        <f>IF($H434="","",TRIM(IF(COUNTIF(DMTK!$A$7:$A$250,$F434)=0,"TK Nợ sai! ","")&amp;IF(COUNTIF(DMTK!$A$7:$A$250,$G434)=0,"TK Có sai! ","")&amp;IF(N($H434)&lt;=0,"Tiền phải &gt; 0! ","")&amp;IF($B434="","Thiếu ngày! ","")&amp;IF(AND(OR(LEFT($F434,3)="131",LEFT($G434,3)="131",LEFT($F434,3)="331",LEFT($G434,3)="331"),$I434=""),"Thiếu Mã ĐT! ","")&amp;IF(AND($I434&lt;&gt;"",COUNTIF(DM_DT!$A$7:$A$306,$I434)=0),"Mã ĐT chưa khai báo! ","")))</f>
        <v/>
      </c>
      <c r="M434" s="117">
        <f>IF($H434="","",IF(AND(OR(LEFT($F434,3)="111",LEFT($F434,3)="112",LEFT($F434,3)="113"),OR(LEFT($G434,3)="111",LEFT($G434,3)="112",LEFT($G434,3)="113")),"NB",IF(OR(LEFT($F434,3)="111",LEFT($F434,3)="112",LEFT($F434,3)="113"),"THU",IF(OR(LEFT($G434,3)="111",LEFT($G434,3)="112",LEFT($G434,3)="113"),"CHI",""))))</f>
        <v/>
      </c>
      <c r="N434" s="117">
        <f>IF($M434="THU",$G434,IF($M434="CHI",$F434,""))</f>
        <v/>
      </c>
      <c r="O434" s="117">
        <f>IF(OR($M434="",$M434="NB"),"",IF($J434&lt;&gt;"",TEXT($J434,"00"),IFERROR(VLOOKUP(LEFT($N434,4),LCTT_MAP!$A$7:$C$66,IF($M434="THU",2,3),FALSE()),IFERROR(VLOOKUP(LEFT($N434,3),LCTT_MAP!$A$7:$C$66,IF($M434="THU",2,3),FALSE()),IFERROR(VLOOKUP(LEFT($N434,2),LCTT_MAP!$A$7:$C$66,IF($M434="THU",2,3),FALSE()),IFERROR(VLOOKUP(LEFT($N434,1),LCTT_MAP!$A$7:$C$66,IF($M434="THU",2,3),FALSE()),IF($M434="THU","06","07")))))))</f>
        <v/>
      </c>
      <c r="P434" s="117">
        <f>P433+IF(AND($H434&lt;&gt;"",OR(LEFT($F434,LEN(SC_TK))=SC_TK,LEFT($G434,LEN(SC_TK))=SC_TK)),1,0)</f>
        <v/>
      </c>
    </row>
    <row r="435" ht="15" customHeight="1" s="78">
      <c r="A435" s="95">
        <f>IF($H435="","",ROW()-6)</f>
        <v/>
      </c>
      <c r="B435" s="114" t="n"/>
      <c r="C435" s="102" t="n"/>
      <c r="D435" s="114" t="n"/>
      <c r="E435" s="103" t="n"/>
      <c r="F435" s="102" t="n"/>
      <c r="G435" s="102" t="n"/>
      <c r="H435" s="115" t="n"/>
      <c r="I435" s="102" t="n"/>
      <c r="J435" s="102" t="n"/>
      <c r="K435" s="103" t="n"/>
      <c r="L435" s="116">
        <f>IF($H435="","",TRIM(IF(COUNTIF(DMTK!$A$7:$A$250,$F435)=0,"TK Nợ sai! ","")&amp;IF(COUNTIF(DMTK!$A$7:$A$250,$G435)=0,"TK Có sai! ","")&amp;IF(N($H435)&lt;=0,"Tiền phải &gt; 0! ","")&amp;IF($B435="","Thiếu ngày! ","")&amp;IF(AND(OR(LEFT($F435,3)="131",LEFT($G435,3)="131",LEFT($F435,3)="331",LEFT($G435,3)="331"),$I435=""),"Thiếu Mã ĐT! ","")&amp;IF(AND($I435&lt;&gt;"",COUNTIF(DM_DT!$A$7:$A$306,$I435)=0),"Mã ĐT chưa khai báo! ","")))</f>
        <v/>
      </c>
      <c r="M435" s="117">
        <f>IF($H435="","",IF(AND(OR(LEFT($F435,3)="111",LEFT($F435,3)="112",LEFT($F435,3)="113"),OR(LEFT($G435,3)="111",LEFT($G435,3)="112",LEFT($G435,3)="113")),"NB",IF(OR(LEFT($F435,3)="111",LEFT($F435,3)="112",LEFT($F435,3)="113"),"THU",IF(OR(LEFT($G435,3)="111",LEFT($G435,3)="112",LEFT($G435,3)="113"),"CHI",""))))</f>
        <v/>
      </c>
      <c r="N435" s="117">
        <f>IF($M435="THU",$G435,IF($M435="CHI",$F435,""))</f>
        <v/>
      </c>
      <c r="O435" s="117">
        <f>IF(OR($M435="",$M435="NB"),"",IF($J435&lt;&gt;"",TEXT($J435,"00"),IFERROR(VLOOKUP(LEFT($N435,4),LCTT_MAP!$A$7:$C$66,IF($M435="THU",2,3),FALSE()),IFERROR(VLOOKUP(LEFT($N435,3),LCTT_MAP!$A$7:$C$66,IF($M435="THU",2,3),FALSE()),IFERROR(VLOOKUP(LEFT($N435,2),LCTT_MAP!$A$7:$C$66,IF($M435="THU",2,3),FALSE()),IFERROR(VLOOKUP(LEFT($N435,1),LCTT_MAP!$A$7:$C$66,IF($M435="THU",2,3),FALSE()),IF($M435="THU","06","07")))))))</f>
        <v/>
      </c>
      <c r="P435" s="117">
        <f>P434+IF(AND($H435&lt;&gt;"",OR(LEFT($F435,LEN(SC_TK))=SC_TK,LEFT($G435,LEN(SC_TK))=SC_TK)),1,0)</f>
        <v/>
      </c>
    </row>
    <row r="436" ht="15" customHeight="1" s="78">
      <c r="A436" s="95">
        <f>IF($H436="","",ROW()-6)</f>
        <v/>
      </c>
      <c r="B436" s="114" t="n"/>
      <c r="C436" s="102" t="n"/>
      <c r="D436" s="114" t="n"/>
      <c r="E436" s="103" t="n"/>
      <c r="F436" s="102" t="n"/>
      <c r="G436" s="102" t="n"/>
      <c r="H436" s="115" t="n"/>
      <c r="I436" s="102" t="n"/>
      <c r="J436" s="102" t="n"/>
      <c r="K436" s="103" t="n"/>
      <c r="L436" s="116">
        <f>IF($H436="","",TRIM(IF(COUNTIF(DMTK!$A$7:$A$250,$F436)=0,"TK Nợ sai! ","")&amp;IF(COUNTIF(DMTK!$A$7:$A$250,$G436)=0,"TK Có sai! ","")&amp;IF(N($H436)&lt;=0,"Tiền phải &gt; 0! ","")&amp;IF($B436="","Thiếu ngày! ","")&amp;IF(AND(OR(LEFT($F436,3)="131",LEFT($G436,3)="131",LEFT($F436,3)="331",LEFT($G436,3)="331"),$I436=""),"Thiếu Mã ĐT! ","")&amp;IF(AND($I436&lt;&gt;"",COUNTIF(DM_DT!$A$7:$A$306,$I436)=0),"Mã ĐT chưa khai báo! ","")))</f>
        <v/>
      </c>
      <c r="M436" s="117">
        <f>IF($H436="","",IF(AND(OR(LEFT($F436,3)="111",LEFT($F436,3)="112",LEFT($F436,3)="113"),OR(LEFT($G436,3)="111",LEFT($G436,3)="112",LEFT($G436,3)="113")),"NB",IF(OR(LEFT($F436,3)="111",LEFT($F436,3)="112",LEFT($F436,3)="113"),"THU",IF(OR(LEFT($G436,3)="111",LEFT($G436,3)="112",LEFT($G436,3)="113"),"CHI",""))))</f>
        <v/>
      </c>
      <c r="N436" s="117">
        <f>IF($M436="THU",$G436,IF($M436="CHI",$F436,""))</f>
        <v/>
      </c>
      <c r="O436" s="117">
        <f>IF(OR($M436="",$M436="NB"),"",IF($J436&lt;&gt;"",TEXT($J436,"00"),IFERROR(VLOOKUP(LEFT($N436,4),LCTT_MAP!$A$7:$C$66,IF($M436="THU",2,3),FALSE()),IFERROR(VLOOKUP(LEFT($N436,3),LCTT_MAP!$A$7:$C$66,IF($M436="THU",2,3),FALSE()),IFERROR(VLOOKUP(LEFT($N436,2),LCTT_MAP!$A$7:$C$66,IF($M436="THU",2,3),FALSE()),IFERROR(VLOOKUP(LEFT($N436,1),LCTT_MAP!$A$7:$C$66,IF($M436="THU",2,3),FALSE()),IF($M436="THU","06","07")))))))</f>
        <v/>
      </c>
      <c r="P436" s="117">
        <f>P435+IF(AND($H436&lt;&gt;"",OR(LEFT($F436,LEN(SC_TK))=SC_TK,LEFT($G436,LEN(SC_TK))=SC_TK)),1,0)</f>
        <v/>
      </c>
    </row>
    <row r="437" ht="15" customHeight="1" s="78">
      <c r="A437" s="95">
        <f>IF($H437="","",ROW()-6)</f>
        <v/>
      </c>
      <c r="B437" s="114" t="n"/>
      <c r="C437" s="102" t="n"/>
      <c r="D437" s="114" t="n"/>
      <c r="E437" s="103" t="n"/>
      <c r="F437" s="102" t="n"/>
      <c r="G437" s="102" t="n"/>
      <c r="H437" s="115" t="n"/>
      <c r="I437" s="102" t="n"/>
      <c r="J437" s="102" t="n"/>
      <c r="K437" s="103" t="n"/>
      <c r="L437" s="116">
        <f>IF($H437="","",TRIM(IF(COUNTIF(DMTK!$A$7:$A$250,$F437)=0,"TK Nợ sai! ","")&amp;IF(COUNTIF(DMTK!$A$7:$A$250,$G437)=0,"TK Có sai! ","")&amp;IF(N($H437)&lt;=0,"Tiền phải &gt; 0! ","")&amp;IF($B437="","Thiếu ngày! ","")&amp;IF(AND(OR(LEFT($F437,3)="131",LEFT($G437,3)="131",LEFT($F437,3)="331",LEFT($G437,3)="331"),$I437=""),"Thiếu Mã ĐT! ","")&amp;IF(AND($I437&lt;&gt;"",COUNTIF(DM_DT!$A$7:$A$306,$I437)=0),"Mã ĐT chưa khai báo! ","")))</f>
        <v/>
      </c>
      <c r="M437" s="117">
        <f>IF($H437="","",IF(AND(OR(LEFT($F437,3)="111",LEFT($F437,3)="112",LEFT($F437,3)="113"),OR(LEFT($G437,3)="111",LEFT($G437,3)="112",LEFT($G437,3)="113")),"NB",IF(OR(LEFT($F437,3)="111",LEFT($F437,3)="112",LEFT($F437,3)="113"),"THU",IF(OR(LEFT($G437,3)="111",LEFT($G437,3)="112",LEFT($G437,3)="113"),"CHI",""))))</f>
        <v/>
      </c>
      <c r="N437" s="117">
        <f>IF($M437="THU",$G437,IF($M437="CHI",$F437,""))</f>
        <v/>
      </c>
      <c r="O437" s="117">
        <f>IF(OR($M437="",$M437="NB"),"",IF($J437&lt;&gt;"",TEXT($J437,"00"),IFERROR(VLOOKUP(LEFT($N437,4),LCTT_MAP!$A$7:$C$66,IF($M437="THU",2,3),FALSE()),IFERROR(VLOOKUP(LEFT($N437,3),LCTT_MAP!$A$7:$C$66,IF($M437="THU",2,3),FALSE()),IFERROR(VLOOKUP(LEFT($N437,2),LCTT_MAP!$A$7:$C$66,IF($M437="THU",2,3),FALSE()),IFERROR(VLOOKUP(LEFT($N437,1),LCTT_MAP!$A$7:$C$66,IF($M437="THU",2,3),FALSE()),IF($M437="THU","06","07")))))))</f>
        <v/>
      </c>
      <c r="P437" s="117">
        <f>P436+IF(AND($H437&lt;&gt;"",OR(LEFT($F437,LEN(SC_TK))=SC_TK,LEFT($G437,LEN(SC_TK))=SC_TK)),1,0)</f>
        <v/>
      </c>
    </row>
    <row r="438" ht="15" customHeight="1" s="78">
      <c r="A438" s="95">
        <f>IF($H438="","",ROW()-6)</f>
        <v/>
      </c>
      <c r="B438" s="114" t="n"/>
      <c r="C438" s="102" t="n"/>
      <c r="D438" s="114" t="n"/>
      <c r="E438" s="103" t="n"/>
      <c r="F438" s="102" t="n"/>
      <c r="G438" s="102" t="n"/>
      <c r="H438" s="115" t="n"/>
      <c r="I438" s="102" t="n"/>
      <c r="J438" s="102" t="n"/>
      <c r="K438" s="103" t="n"/>
      <c r="L438" s="116">
        <f>IF($H438="","",TRIM(IF(COUNTIF(DMTK!$A$7:$A$250,$F438)=0,"TK Nợ sai! ","")&amp;IF(COUNTIF(DMTK!$A$7:$A$250,$G438)=0,"TK Có sai! ","")&amp;IF(N($H438)&lt;=0,"Tiền phải &gt; 0! ","")&amp;IF($B438="","Thiếu ngày! ","")&amp;IF(AND(OR(LEFT($F438,3)="131",LEFT($G438,3)="131",LEFT($F438,3)="331",LEFT($G438,3)="331"),$I438=""),"Thiếu Mã ĐT! ","")&amp;IF(AND($I438&lt;&gt;"",COUNTIF(DM_DT!$A$7:$A$306,$I438)=0),"Mã ĐT chưa khai báo! ","")))</f>
        <v/>
      </c>
      <c r="M438" s="117">
        <f>IF($H438="","",IF(AND(OR(LEFT($F438,3)="111",LEFT($F438,3)="112",LEFT($F438,3)="113"),OR(LEFT($G438,3)="111",LEFT($G438,3)="112",LEFT($G438,3)="113")),"NB",IF(OR(LEFT($F438,3)="111",LEFT($F438,3)="112",LEFT($F438,3)="113"),"THU",IF(OR(LEFT($G438,3)="111",LEFT($G438,3)="112",LEFT($G438,3)="113"),"CHI",""))))</f>
        <v/>
      </c>
      <c r="N438" s="117">
        <f>IF($M438="THU",$G438,IF($M438="CHI",$F438,""))</f>
        <v/>
      </c>
      <c r="O438" s="117">
        <f>IF(OR($M438="",$M438="NB"),"",IF($J438&lt;&gt;"",TEXT($J438,"00"),IFERROR(VLOOKUP(LEFT($N438,4),LCTT_MAP!$A$7:$C$66,IF($M438="THU",2,3),FALSE()),IFERROR(VLOOKUP(LEFT($N438,3),LCTT_MAP!$A$7:$C$66,IF($M438="THU",2,3),FALSE()),IFERROR(VLOOKUP(LEFT($N438,2),LCTT_MAP!$A$7:$C$66,IF($M438="THU",2,3),FALSE()),IFERROR(VLOOKUP(LEFT($N438,1),LCTT_MAP!$A$7:$C$66,IF($M438="THU",2,3),FALSE()),IF($M438="THU","06","07")))))))</f>
        <v/>
      </c>
      <c r="P438" s="117">
        <f>P437+IF(AND($H438&lt;&gt;"",OR(LEFT($F438,LEN(SC_TK))=SC_TK,LEFT($G438,LEN(SC_TK))=SC_TK)),1,0)</f>
        <v/>
      </c>
    </row>
    <row r="439" ht="15" customHeight="1" s="78">
      <c r="A439" s="95">
        <f>IF($H439="","",ROW()-6)</f>
        <v/>
      </c>
      <c r="B439" s="114" t="n"/>
      <c r="C439" s="102" t="n"/>
      <c r="D439" s="114" t="n"/>
      <c r="E439" s="103" t="n"/>
      <c r="F439" s="102" t="n"/>
      <c r="G439" s="102" t="n"/>
      <c r="H439" s="115" t="n"/>
      <c r="I439" s="102" t="n"/>
      <c r="J439" s="102" t="n"/>
      <c r="K439" s="103" t="n"/>
      <c r="L439" s="116">
        <f>IF($H439="","",TRIM(IF(COUNTIF(DMTK!$A$7:$A$250,$F439)=0,"TK Nợ sai! ","")&amp;IF(COUNTIF(DMTK!$A$7:$A$250,$G439)=0,"TK Có sai! ","")&amp;IF(N($H439)&lt;=0,"Tiền phải &gt; 0! ","")&amp;IF($B439="","Thiếu ngày! ","")&amp;IF(AND(OR(LEFT($F439,3)="131",LEFT($G439,3)="131",LEFT($F439,3)="331",LEFT($G439,3)="331"),$I439=""),"Thiếu Mã ĐT! ","")&amp;IF(AND($I439&lt;&gt;"",COUNTIF(DM_DT!$A$7:$A$306,$I439)=0),"Mã ĐT chưa khai báo! ","")))</f>
        <v/>
      </c>
      <c r="M439" s="117">
        <f>IF($H439="","",IF(AND(OR(LEFT($F439,3)="111",LEFT($F439,3)="112",LEFT($F439,3)="113"),OR(LEFT($G439,3)="111",LEFT($G439,3)="112",LEFT($G439,3)="113")),"NB",IF(OR(LEFT($F439,3)="111",LEFT($F439,3)="112",LEFT($F439,3)="113"),"THU",IF(OR(LEFT($G439,3)="111",LEFT($G439,3)="112",LEFT($G439,3)="113"),"CHI",""))))</f>
        <v/>
      </c>
      <c r="N439" s="117">
        <f>IF($M439="THU",$G439,IF($M439="CHI",$F439,""))</f>
        <v/>
      </c>
      <c r="O439" s="117">
        <f>IF(OR($M439="",$M439="NB"),"",IF($J439&lt;&gt;"",TEXT($J439,"00"),IFERROR(VLOOKUP(LEFT($N439,4),LCTT_MAP!$A$7:$C$66,IF($M439="THU",2,3),FALSE()),IFERROR(VLOOKUP(LEFT($N439,3),LCTT_MAP!$A$7:$C$66,IF($M439="THU",2,3),FALSE()),IFERROR(VLOOKUP(LEFT($N439,2),LCTT_MAP!$A$7:$C$66,IF($M439="THU",2,3),FALSE()),IFERROR(VLOOKUP(LEFT($N439,1),LCTT_MAP!$A$7:$C$66,IF($M439="THU",2,3),FALSE()),IF($M439="THU","06","07")))))))</f>
        <v/>
      </c>
      <c r="P439" s="117">
        <f>P438+IF(AND($H439&lt;&gt;"",OR(LEFT($F439,LEN(SC_TK))=SC_TK,LEFT($G439,LEN(SC_TK))=SC_TK)),1,0)</f>
        <v/>
      </c>
    </row>
    <row r="440" ht="15" customHeight="1" s="78">
      <c r="A440" s="95">
        <f>IF($H440="","",ROW()-6)</f>
        <v/>
      </c>
      <c r="B440" s="114" t="n"/>
      <c r="C440" s="102" t="n"/>
      <c r="D440" s="114" t="n"/>
      <c r="E440" s="103" t="n"/>
      <c r="F440" s="102" t="n"/>
      <c r="G440" s="102" t="n"/>
      <c r="H440" s="115" t="n"/>
      <c r="I440" s="102" t="n"/>
      <c r="J440" s="102" t="n"/>
      <c r="K440" s="103" t="n"/>
      <c r="L440" s="116">
        <f>IF($H440="","",TRIM(IF(COUNTIF(DMTK!$A$7:$A$250,$F440)=0,"TK Nợ sai! ","")&amp;IF(COUNTIF(DMTK!$A$7:$A$250,$G440)=0,"TK Có sai! ","")&amp;IF(N($H440)&lt;=0,"Tiền phải &gt; 0! ","")&amp;IF($B440="","Thiếu ngày! ","")&amp;IF(AND(OR(LEFT($F440,3)="131",LEFT($G440,3)="131",LEFT($F440,3)="331",LEFT($G440,3)="331"),$I440=""),"Thiếu Mã ĐT! ","")&amp;IF(AND($I440&lt;&gt;"",COUNTIF(DM_DT!$A$7:$A$306,$I440)=0),"Mã ĐT chưa khai báo! ","")))</f>
        <v/>
      </c>
      <c r="M440" s="117">
        <f>IF($H440="","",IF(AND(OR(LEFT($F440,3)="111",LEFT($F440,3)="112",LEFT($F440,3)="113"),OR(LEFT($G440,3)="111",LEFT($G440,3)="112",LEFT($G440,3)="113")),"NB",IF(OR(LEFT($F440,3)="111",LEFT($F440,3)="112",LEFT($F440,3)="113"),"THU",IF(OR(LEFT($G440,3)="111",LEFT($G440,3)="112",LEFT($G440,3)="113"),"CHI",""))))</f>
        <v/>
      </c>
      <c r="N440" s="117">
        <f>IF($M440="THU",$G440,IF($M440="CHI",$F440,""))</f>
        <v/>
      </c>
      <c r="O440" s="117">
        <f>IF(OR($M440="",$M440="NB"),"",IF($J440&lt;&gt;"",TEXT($J440,"00"),IFERROR(VLOOKUP(LEFT($N440,4),LCTT_MAP!$A$7:$C$66,IF($M440="THU",2,3),FALSE()),IFERROR(VLOOKUP(LEFT($N440,3),LCTT_MAP!$A$7:$C$66,IF($M440="THU",2,3),FALSE()),IFERROR(VLOOKUP(LEFT($N440,2),LCTT_MAP!$A$7:$C$66,IF($M440="THU",2,3),FALSE()),IFERROR(VLOOKUP(LEFT($N440,1),LCTT_MAP!$A$7:$C$66,IF($M440="THU",2,3),FALSE()),IF($M440="THU","06","07")))))))</f>
        <v/>
      </c>
      <c r="P440" s="117">
        <f>P439+IF(AND($H440&lt;&gt;"",OR(LEFT($F440,LEN(SC_TK))=SC_TK,LEFT($G440,LEN(SC_TK))=SC_TK)),1,0)</f>
        <v/>
      </c>
    </row>
    <row r="441" ht="15" customHeight="1" s="78">
      <c r="A441" s="95">
        <f>IF($H441="","",ROW()-6)</f>
        <v/>
      </c>
      <c r="B441" s="114" t="n"/>
      <c r="C441" s="102" t="n"/>
      <c r="D441" s="114" t="n"/>
      <c r="E441" s="103" t="n"/>
      <c r="F441" s="102" t="n"/>
      <c r="G441" s="102" t="n"/>
      <c r="H441" s="115" t="n"/>
      <c r="I441" s="102" t="n"/>
      <c r="J441" s="102" t="n"/>
      <c r="K441" s="103" t="n"/>
      <c r="L441" s="116">
        <f>IF($H441="","",TRIM(IF(COUNTIF(DMTK!$A$7:$A$250,$F441)=0,"TK Nợ sai! ","")&amp;IF(COUNTIF(DMTK!$A$7:$A$250,$G441)=0,"TK Có sai! ","")&amp;IF(N($H441)&lt;=0,"Tiền phải &gt; 0! ","")&amp;IF($B441="","Thiếu ngày! ","")&amp;IF(AND(OR(LEFT($F441,3)="131",LEFT($G441,3)="131",LEFT($F441,3)="331",LEFT($G441,3)="331"),$I441=""),"Thiếu Mã ĐT! ","")&amp;IF(AND($I441&lt;&gt;"",COUNTIF(DM_DT!$A$7:$A$306,$I441)=0),"Mã ĐT chưa khai báo! ","")))</f>
        <v/>
      </c>
      <c r="M441" s="117">
        <f>IF($H441="","",IF(AND(OR(LEFT($F441,3)="111",LEFT($F441,3)="112",LEFT($F441,3)="113"),OR(LEFT($G441,3)="111",LEFT($G441,3)="112",LEFT($G441,3)="113")),"NB",IF(OR(LEFT($F441,3)="111",LEFT($F441,3)="112",LEFT($F441,3)="113"),"THU",IF(OR(LEFT($G441,3)="111",LEFT($G441,3)="112",LEFT($G441,3)="113"),"CHI",""))))</f>
        <v/>
      </c>
      <c r="N441" s="117">
        <f>IF($M441="THU",$G441,IF($M441="CHI",$F441,""))</f>
        <v/>
      </c>
      <c r="O441" s="117">
        <f>IF(OR($M441="",$M441="NB"),"",IF($J441&lt;&gt;"",TEXT($J441,"00"),IFERROR(VLOOKUP(LEFT($N441,4),LCTT_MAP!$A$7:$C$66,IF($M441="THU",2,3),FALSE()),IFERROR(VLOOKUP(LEFT($N441,3),LCTT_MAP!$A$7:$C$66,IF($M441="THU",2,3),FALSE()),IFERROR(VLOOKUP(LEFT($N441,2),LCTT_MAP!$A$7:$C$66,IF($M441="THU",2,3),FALSE()),IFERROR(VLOOKUP(LEFT($N441,1),LCTT_MAP!$A$7:$C$66,IF($M441="THU",2,3),FALSE()),IF($M441="THU","06","07")))))))</f>
        <v/>
      </c>
      <c r="P441" s="117">
        <f>P440+IF(AND($H441&lt;&gt;"",OR(LEFT($F441,LEN(SC_TK))=SC_TK,LEFT($G441,LEN(SC_TK))=SC_TK)),1,0)</f>
        <v/>
      </c>
    </row>
    <row r="442" ht="15" customHeight="1" s="78">
      <c r="A442" s="95">
        <f>IF($H442="","",ROW()-6)</f>
        <v/>
      </c>
      <c r="B442" s="114" t="n"/>
      <c r="C442" s="102" t="n"/>
      <c r="D442" s="114" t="n"/>
      <c r="E442" s="103" t="n"/>
      <c r="F442" s="102" t="n"/>
      <c r="G442" s="102" t="n"/>
      <c r="H442" s="115" t="n"/>
      <c r="I442" s="102" t="n"/>
      <c r="J442" s="102" t="n"/>
      <c r="K442" s="103" t="n"/>
      <c r="L442" s="116">
        <f>IF($H442="","",TRIM(IF(COUNTIF(DMTK!$A$7:$A$250,$F442)=0,"TK Nợ sai! ","")&amp;IF(COUNTIF(DMTK!$A$7:$A$250,$G442)=0,"TK Có sai! ","")&amp;IF(N($H442)&lt;=0,"Tiền phải &gt; 0! ","")&amp;IF($B442="","Thiếu ngày! ","")&amp;IF(AND(OR(LEFT($F442,3)="131",LEFT($G442,3)="131",LEFT($F442,3)="331",LEFT($G442,3)="331"),$I442=""),"Thiếu Mã ĐT! ","")&amp;IF(AND($I442&lt;&gt;"",COUNTIF(DM_DT!$A$7:$A$306,$I442)=0),"Mã ĐT chưa khai báo! ","")))</f>
        <v/>
      </c>
      <c r="M442" s="117">
        <f>IF($H442="","",IF(AND(OR(LEFT($F442,3)="111",LEFT($F442,3)="112",LEFT($F442,3)="113"),OR(LEFT($G442,3)="111",LEFT($G442,3)="112",LEFT($G442,3)="113")),"NB",IF(OR(LEFT($F442,3)="111",LEFT($F442,3)="112",LEFT($F442,3)="113"),"THU",IF(OR(LEFT($G442,3)="111",LEFT($G442,3)="112",LEFT($G442,3)="113"),"CHI",""))))</f>
        <v/>
      </c>
      <c r="N442" s="117">
        <f>IF($M442="THU",$G442,IF($M442="CHI",$F442,""))</f>
        <v/>
      </c>
      <c r="O442" s="117">
        <f>IF(OR($M442="",$M442="NB"),"",IF($J442&lt;&gt;"",TEXT($J442,"00"),IFERROR(VLOOKUP(LEFT($N442,4),LCTT_MAP!$A$7:$C$66,IF($M442="THU",2,3),FALSE()),IFERROR(VLOOKUP(LEFT($N442,3),LCTT_MAP!$A$7:$C$66,IF($M442="THU",2,3),FALSE()),IFERROR(VLOOKUP(LEFT($N442,2),LCTT_MAP!$A$7:$C$66,IF($M442="THU",2,3),FALSE()),IFERROR(VLOOKUP(LEFT($N442,1),LCTT_MAP!$A$7:$C$66,IF($M442="THU",2,3),FALSE()),IF($M442="THU","06","07")))))))</f>
        <v/>
      </c>
      <c r="P442" s="117">
        <f>P441+IF(AND($H442&lt;&gt;"",OR(LEFT($F442,LEN(SC_TK))=SC_TK,LEFT($G442,LEN(SC_TK))=SC_TK)),1,0)</f>
        <v/>
      </c>
    </row>
    <row r="443" ht="15" customHeight="1" s="78">
      <c r="A443" s="95">
        <f>IF($H443="","",ROW()-6)</f>
        <v/>
      </c>
      <c r="B443" s="114" t="n"/>
      <c r="C443" s="102" t="n"/>
      <c r="D443" s="114" t="n"/>
      <c r="E443" s="103" t="n"/>
      <c r="F443" s="102" t="n"/>
      <c r="G443" s="102" t="n"/>
      <c r="H443" s="115" t="n"/>
      <c r="I443" s="102" t="n"/>
      <c r="J443" s="102" t="n"/>
      <c r="K443" s="103" t="n"/>
      <c r="L443" s="116">
        <f>IF($H443="","",TRIM(IF(COUNTIF(DMTK!$A$7:$A$250,$F443)=0,"TK Nợ sai! ","")&amp;IF(COUNTIF(DMTK!$A$7:$A$250,$G443)=0,"TK Có sai! ","")&amp;IF(N($H443)&lt;=0,"Tiền phải &gt; 0! ","")&amp;IF($B443="","Thiếu ngày! ","")&amp;IF(AND(OR(LEFT($F443,3)="131",LEFT($G443,3)="131",LEFT($F443,3)="331",LEFT($G443,3)="331"),$I443=""),"Thiếu Mã ĐT! ","")&amp;IF(AND($I443&lt;&gt;"",COUNTIF(DM_DT!$A$7:$A$306,$I443)=0),"Mã ĐT chưa khai báo! ","")))</f>
        <v/>
      </c>
      <c r="M443" s="117">
        <f>IF($H443="","",IF(AND(OR(LEFT($F443,3)="111",LEFT($F443,3)="112",LEFT($F443,3)="113"),OR(LEFT($G443,3)="111",LEFT($G443,3)="112",LEFT($G443,3)="113")),"NB",IF(OR(LEFT($F443,3)="111",LEFT($F443,3)="112",LEFT($F443,3)="113"),"THU",IF(OR(LEFT($G443,3)="111",LEFT($G443,3)="112",LEFT($G443,3)="113"),"CHI",""))))</f>
        <v/>
      </c>
      <c r="N443" s="117">
        <f>IF($M443="THU",$G443,IF($M443="CHI",$F443,""))</f>
        <v/>
      </c>
      <c r="O443" s="117">
        <f>IF(OR($M443="",$M443="NB"),"",IF($J443&lt;&gt;"",TEXT($J443,"00"),IFERROR(VLOOKUP(LEFT($N443,4),LCTT_MAP!$A$7:$C$66,IF($M443="THU",2,3),FALSE()),IFERROR(VLOOKUP(LEFT($N443,3),LCTT_MAP!$A$7:$C$66,IF($M443="THU",2,3),FALSE()),IFERROR(VLOOKUP(LEFT($N443,2),LCTT_MAP!$A$7:$C$66,IF($M443="THU",2,3),FALSE()),IFERROR(VLOOKUP(LEFT($N443,1),LCTT_MAP!$A$7:$C$66,IF($M443="THU",2,3),FALSE()),IF($M443="THU","06","07")))))))</f>
        <v/>
      </c>
      <c r="P443" s="117">
        <f>P442+IF(AND($H443&lt;&gt;"",OR(LEFT($F443,LEN(SC_TK))=SC_TK,LEFT($G443,LEN(SC_TK))=SC_TK)),1,0)</f>
        <v/>
      </c>
    </row>
    <row r="444" ht="15" customHeight="1" s="78">
      <c r="A444" s="95">
        <f>IF($H444="","",ROW()-6)</f>
        <v/>
      </c>
      <c r="B444" s="114" t="n"/>
      <c r="C444" s="102" t="n"/>
      <c r="D444" s="114" t="n"/>
      <c r="E444" s="103" t="n"/>
      <c r="F444" s="102" t="n"/>
      <c r="G444" s="102" t="n"/>
      <c r="H444" s="115" t="n"/>
      <c r="I444" s="102" t="n"/>
      <c r="J444" s="102" t="n"/>
      <c r="K444" s="103" t="n"/>
      <c r="L444" s="116">
        <f>IF($H444="","",TRIM(IF(COUNTIF(DMTK!$A$7:$A$250,$F444)=0,"TK Nợ sai! ","")&amp;IF(COUNTIF(DMTK!$A$7:$A$250,$G444)=0,"TK Có sai! ","")&amp;IF(N($H444)&lt;=0,"Tiền phải &gt; 0! ","")&amp;IF($B444="","Thiếu ngày! ","")&amp;IF(AND(OR(LEFT($F444,3)="131",LEFT($G444,3)="131",LEFT($F444,3)="331",LEFT($G444,3)="331"),$I444=""),"Thiếu Mã ĐT! ","")&amp;IF(AND($I444&lt;&gt;"",COUNTIF(DM_DT!$A$7:$A$306,$I444)=0),"Mã ĐT chưa khai báo! ","")))</f>
        <v/>
      </c>
      <c r="M444" s="117">
        <f>IF($H444="","",IF(AND(OR(LEFT($F444,3)="111",LEFT($F444,3)="112",LEFT($F444,3)="113"),OR(LEFT($G444,3)="111",LEFT($G444,3)="112",LEFT($G444,3)="113")),"NB",IF(OR(LEFT($F444,3)="111",LEFT($F444,3)="112",LEFT($F444,3)="113"),"THU",IF(OR(LEFT($G444,3)="111",LEFT($G444,3)="112",LEFT($G444,3)="113"),"CHI",""))))</f>
        <v/>
      </c>
      <c r="N444" s="117">
        <f>IF($M444="THU",$G444,IF($M444="CHI",$F444,""))</f>
        <v/>
      </c>
      <c r="O444" s="117">
        <f>IF(OR($M444="",$M444="NB"),"",IF($J444&lt;&gt;"",TEXT($J444,"00"),IFERROR(VLOOKUP(LEFT($N444,4),LCTT_MAP!$A$7:$C$66,IF($M444="THU",2,3),FALSE()),IFERROR(VLOOKUP(LEFT($N444,3),LCTT_MAP!$A$7:$C$66,IF($M444="THU",2,3),FALSE()),IFERROR(VLOOKUP(LEFT($N444,2),LCTT_MAP!$A$7:$C$66,IF($M444="THU",2,3),FALSE()),IFERROR(VLOOKUP(LEFT($N444,1),LCTT_MAP!$A$7:$C$66,IF($M444="THU",2,3),FALSE()),IF($M444="THU","06","07")))))))</f>
        <v/>
      </c>
      <c r="P444" s="117">
        <f>P443+IF(AND($H444&lt;&gt;"",OR(LEFT($F444,LEN(SC_TK))=SC_TK,LEFT($G444,LEN(SC_TK))=SC_TK)),1,0)</f>
        <v/>
      </c>
    </row>
    <row r="445" ht="15" customHeight="1" s="78">
      <c r="A445" s="95">
        <f>IF($H445="","",ROW()-6)</f>
        <v/>
      </c>
      <c r="B445" s="114" t="n"/>
      <c r="C445" s="102" t="n"/>
      <c r="D445" s="114" t="n"/>
      <c r="E445" s="103" t="n"/>
      <c r="F445" s="102" t="n"/>
      <c r="G445" s="102" t="n"/>
      <c r="H445" s="115" t="n"/>
      <c r="I445" s="102" t="n"/>
      <c r="J445" s="102" t="n"/>
      <c r="K445" s="103" t="n"/>
      <c r="L445" s="116">
        <f>IF($H445="","",TRIM(IF(COUNTIF(DMTK!$A$7:$A$250,$F445)=0,"TK Nợ sai! ","")&amp;IF(COUNTIF(DMTK!$A$7:$A$250,$G445)=0,"TK Có sai! ","")&amp;IF(N($H445)&lt;=0,"Tiền phải &gt; 0! ","")&amp;IF($B445="","Thiếu ngày! ","")&amp;IF(AND(OR(LEFT($F445,3)="131",LEFT($G445,3)="131",LEFT($F445,3)="331",LEFT($G445,3)="331"),$I445=""),"Thiếu Mã ĐT! ","")&amp;IF(AND($I445&lt;&gt;"",COUNTIF(DM_DT!$A$7:$A$306,$I445)=0),"Mã ĐT chưa khai báo! ","")))</f>
        <v/>
      </c>
      <c r="M445" s="117">
        <f>IF($H445="","",IF(AND(OR(LEFT($F445,3)="111",LEFT($F445,3)="112",LEFT($F445,3)="113"),OR(LEFT($G445,3)="111",LEFT($G445,3)="112",LEFT($G445,3)="113")),"NB",IF(OR(LEFT($F445,3)="111",LEFT($F445,3)="112",LEFT($F445,3)="113"),"THU",IF(OR(LEFT($G445,3)="111",LEFT($G445,3)="112",LEFT($G445,3)="113"),"CHI",""))))</f>
        <v/>
      </c>
      <c r="N445" s="117">
        <f>IF($M445="THU",$G445,IF($M445="CHI",$F445,""))</f>
        <v/>
      </c>
      <c r="O445" s="117">
        <f>IF(OR($M445="",$M445="NB"),"",IF($J445&lt;&gt;"",TEXT($J445,"00"),IFERROR(VLOOKUP(LEFT($N445,4),LCTT_MAP!$A$7:$C$66,IF($M445="THU",2,3),FALSE()),IFERROR(VLOOKUP(LEFT($N445,3),LCTT_MAP!$A$7:$C$66,IF($M445="THU",2,3),FALSE()),IFERROR(VLOOKUP(LEFT($N445,2),LCTT_MAP!$A$7:$C$66,IF($M445="THU",2,3),FALSE()),IFERROR(VLOOKUP(LEFT($N445,1),LCTT_MAP!$A$7:$C$66,IF($M445="THU",2,3),FALSE()),IF($M445="THU","06","07")))))))</f>
        <v/>
      </c>
      <c r="P445" s="117">
        <f>P444+IF(AND($H445&lt;&gt;"",OR(LEFT($F445,LEN(SC_TK))=SC_TK,LEFT($G445,LEN(SC_TK))=SC_TK)),1,0)</f>
        <v/>
      </c>
    </row>
    <row r="446" ht="15" customHeight="1" s="78">
      <c r="A446" s="95">
        <f>IF($H446="","",ROW()-6)</f>
        <v/>
      </c>
      <c r="B446" s="114" t="n"/>
      <c r="C446" s="102" t="n"/>
      <c r="D446" s="114" t="n"/>
      <c r="E446" s="103" t="n"/>
      <c r="F446" s="102" t="n"/>
      <c r="G446" s="102" t="n"/>
      <c r="H446" s="115" t="n"/>
      <c r="I446" s="102" t="n"/>
      <c r="J446" s="102" t="n"/>
      <c r="K446" s="103" t="n"/>
      <c r="L446" s="116">
        <f>IF($H446="","",TRIM(IF(COUNTIF(DMTK!$A$7:$A$250,$F446)=0,"TK Nợ sai! ","")&amp;IF(COUNTIF(DMTK!$A$7:$A$250,$G446)=0,"TK Có sai! ","")&amp;IF(N($H446)&lt;=0,"Tiền phải &gt; 0! ","")&amp;IF($B446="","Thiếu ngày! ","")&amp;IF(AND(OR(LEFT($F446,3)="131",LEFT($G446,3)="131",LEFT($F446,3)="331",LEFT($G446,3)="331"),$I446=""),"Thiếu Mã ĐT! ","")&amp;IF(AND($I446&lt;&gt;"",COUNTIF(DM_DT!$A$7:$A$306,$I446)=0),"Mã ĐT chưa khai báo! ","")))</f>
        <v/>
      </c>
      <c r="M446" s="117">
        <f>IF($H446="","",IF(AND(OR(LEFT($F446,3)="111",LEFT($F446,3)="112",LEFT($F446,3)="113"),OR(LEFT($G446,3)="111",LEFT($G446,3)="112",LEFT($G446,3)="113")),"NB",IF(OR(LEFT($F446,3)="111",LEFT($F446,3)="112",LEFT($F446,3)="113"),"THU",IF(OR(LEFT($G446,3)="111",LEFT($G446,3)="112",LEFT($G446,3)="113"),"CHI",""))))</f>
        <v/>
      </c>
      <c r="N446" s="117">
        <f>IF($M446="THU",$G446,IF($M446="CHI",$F446,""))</f>
        <v/>
      </c>
      <c r="O446" s="117">
        <f>IF(OR($M446="",$M446="NB"),"",IF($J446&lt;&gt;"",TEXT($J446,"00"),IFERROR(VLOOKUP(LEFT($N446,4),LCTT_MAP!$A$7:$C$66,IF($M446="THU",2,3),FALSE()),IFERROR(VLOOKUP(LEFT($N446,3),LCTT_MAP!$A$7:$C$66,IF($M446="THU",2,3),FALSE()),IFERROR(VLOOKUP(LEFT($N446,2),LCTT_MAP!$A$7:$C$66,IF($M446="THU",2,3),FALSE()),IFERROR(VLOOKUP(LEFT($N446,1),LCTT_MAP!$A$7:$C$66,IF($M446="THU",2,3),FALSE()),IF($M446="THU","06","07")))))))</f>
        <v/>
      </c>
      <c r="P446" s="117">
        <f>P445+IF(AND($H446&lt;&gt;"",OR(LEFT($F446,LEN(SC_TK))=SC_TK,LEFT($G446,LEN(SC_TK))=SC_TK)),1,0)</f>
        <v/>
      </c>
    </row>
    <row r="447" ht="15" customHeight="1" s="78">
      <c r="A447" s="95">
        <f>IF($H447="","",ROW()-6)</f>
        <v/>
      </c>
      <c r="B447" s="114" t="n"/>
      <c r="C447" s="102" t="n"/>
      <c r="D447" s="114" t="n"/>
      <c r="E447" s="103" t="n"/>
      <c r="F447" s="102" t="n"/>
      <c r="G447" s="102" t="n"/>
      <c r="H447" s="115" t="n"/>
      <c r="I447" s="102" t="n"/>
      <c r="J447" s="102" t="n"/>
      <c r="K447" s="103" t="n"/>
      <c r="L447" s="116">
        <f>IF($H447="","",TRIM(IF(COUNTIF(DMTK!$A$7:$A$250,$F447)=0,"TK Nợ sai! ","")&amp;IF(COUNTIF(DMTK!$A$7:$A$250,$G447)=0,"TK Có sai! ","")&amp;IF(N($H447)&lt;=0,"Tiền phải &gt; 0! ","")&amp;IF($B447="","Thiếu ngày! ","")&amp;IF(AND(OR(LEFT($F447,3)="131",LEFT($G447,3)="131",LEFT($F447,3)="331",LEFT($G447,3)="331"),$I447=""),"Thiếu Mã ĐT! ","")&amp;IF(AND($I447&lt;&gt;"",COUNTIF(DM_DT!$A$7:$A$306,$I447)=0),"Mã ĐT chưa khai báo! ","")))</f>
        <v/>
      </c>
      <c r="M447" s="117">
        <f>IF($H447="","",IF(AND(OR(LEFT($F447,3)="111",LEFT($F447,3)="112",LEFT($F447,3)="113"),OR(LEFT($G447,3)="111",LEFT($G447,3)="112",LEFT($G447,3)="113")),"NB",IF(OR(LEFT($F447,3)="111",LEFT($F447,3)="112",LEFT($F447,3)="113"),"THU",IF(OR(LEFT($G447,3)="111",LEFT($G447,3)="112",LEFT($G447,3)="113"),"CHI",""))))</f>
        <v/>
      </c>
      <c r="N447" s="117">
        <f>IF($M447="THU",$G447,IF($M447="CHI",$F447,""))</f>
        <v/>
      </c>
      <c r="O447" s="117">
        <f>IF(OR($M447="",$M447="NB"),"",IF($J447&lt;&gt;"",TEXT($J447,"00"),IFERROR(VLOOKUP(LEFT($N447,4),LCTT_MAP!$A$7:$C$66,IF($M447="THU",2,3),FALSE()),IFERROR(VLOOKUP(LEFT($N447,3),LCTT_MAP!$A$7:$C$66,IF($M447="THU",2,3),FALSE()),IFERROR(VLOOKUP(LEFT($N447,2),LCTT_MAP!$A$7:$C$66,IF($M447="THU",2,3),FALSE()),IFERROR(VLOOKUP(LEFT($N447,1),LCTT_MAP!$A$7:$C$66,IF($M447="THU",2,3),FALSE()),IF($M447="THU","06","07")))))))</f>
        <v/>
      </c>
      <c r="P447" s="117">
        <f>P446+IF(AND($H447&lt;&gt;"",OR(LEFT($F447,LEN(SC_TK))=SC_TK,LEFT($G447,LEN(SC_TK))=SC_TK)),1,0)</f>
        <v/>
      </c>
    </row>
    <row r="448" ht="15" customHeight="1" s="78">
      <c r="A448" s="95">
        <f>IF($H448="","",ROW()-6)</f>
        <v/>
      </c>
      <c r="B448" s="114" t="n"/>
      <c r="C448" s="102" t="n"/>
      <c r="D448" s="114" t="n"/>
      <c r="E448" s="103" t="n"/>
      <c r="F448" s="102" t="n"/>
      <c r="G448" s="102" t="n"/>
      <c r="H448" s="115" t="n"/>
      <c r="I448" s="102" t="n"/>
      <c r="J448" s="102" t="n"/>
      <c r="K448" s="103" t="n"/>
      <c r="L448" s="116">
        <f>IF($H448="","",TRIM(IF(COUNTIF(DMTK!$A$7:$A$250,$F448)=0,"TK Nợ sai! ","")&amp;IF(COUNTIF(DMTK!$A$7:$A$250,$G448)=0,"TK Có sai! ","")&amp;IF(N($H448)&lt;=0,"Tiền phải &gt; 0! ","")&amp;IF($B448="","Thiếu ngày! ","")&amp;IF(AND(OR(LEFT($F448,3)="131",LEFT($G448,3)="131",LEFT($F448,3)="331",LEFT($G448,3)="331"),$I448=""),"Thiếu Mã ĐT! ","")&amp;IF(AND($I448&lt;&gt;"",COUNTIF(DM_DT!$A$7:$A$306,$I448)=0),"Mã ĐT chưa khai báo! ","")))</f>
        <v/>
      </c>
      <c r="M448" s="117">
        <f>IF($H448="","",IF(AND(OR(LEFT($F448,3)="111",LEFT($F448,3)="112",LEFT($F448,3)="113"),OR(LEFT($G448,3)="111",LEFT($G448,3)="112",LEFT($G448,3)="113")),"NB",IF(OR(LEFT($F448,3)="111",LEFT($F448,3)="112",LEFT($F448,3)="113"),"THU",IF(OR(LEFT($G448,3)="111",LEFT($G448,3)="112",LEFT($G448,3)="113"),"CHI",""))))</f>
        <v/>
      </c>
      <c r="N448" s="117">
        <f>IF($M448="THU",$G448,IF($M448="CHI",$F448,""))</f>
        <v/>
      </c>
      <c r="O448" s="117">
        <f>IF(OR($M448="",$M448="NB"),"",IF($J448&lt;&gt;"",TEXT($J448,"00"),IFERROR(VLOOKUP(LEFT($N448,4),LCTT_MAP!$A$7:$C$66,IF($M448="THU",2,3),FALSE()),IFERROR(VLOOKUP(LEFT($N448,3),LCTT_MAP!$A$7:$C$66,IF($M448="THU",2,3),FALSE()),IFERROR(VLOOKUP(LEFT($N448,2),LCTT_MAP!$A$7:$C$66,IF($M448="THU",2,3),FALSE()),IFERROR(VLOOKUP(LEFT($N448,1),LCTT_MAP!$A$7:$C$66,IF($M448="THU",2,3),FALSE()),IF($M448="THU","06","07")))))))</f>
        <v/>
      </c>
      <c r="P448" s="117">
        <f>P447+IF(AND($H448&lt;&gt;"",OR(LEFT($F448,LEN(SC_TK))=SC_TK,LEFT($G448,LEN(SC_TK))=SC_TK)),1,0)</f>
        <v/>
      </c>
    </row>
    <row r="449" ht="15" customHeight="1" s="78">
      <c r="A449" s="95">
        <f>IF($H449="","",ROW()-6)</f>
        <v/>
      </c>
      <c r="B449" s="114" t="n"/>
      <c r="C449" s="102" t="n"/>
      <c r="D449" s="114" t="n"/>
      <c r="E449" s="103" t="n"/>
      <c r="F449" s="102" t="n"/>
      <c r="G449" s="102" t="n"/>
      <c r="H449" s="115" t="n"/>
      <c r="I449" s="102" t="n"/>
      <c r="J449" s="102" t="n"/>
      <c r="K449" s="103" t="n"/>
      <c r="L449" s="116">
        <f>IF($H449="","",TRIM(IF(COUNTIF(DMTK!$A$7:$A$250,$F449)=0,"TK Nợ sai! ","")&amp;IF(COUNTIF(DMTK!$A$7:$A$250,$G449)=0,"TK Có sai! ","")&amp;IF(N($H449)&lt;=0,"Tiền phải &gt; 0! ","")&amp;IF($B449="","Thiếu ngày! ","")&amp;IF(AND(OR(LEFT($F449,3)="131",LEFT($G449,3)="131",LEFT($F449,3)="331",LEFT($G449,3)="331"),$I449=""),"Thiếu Mã ĐT! ","")&amp;IF(AND($I449&lt;&gt;"",COUNTIF(DM_DT!$A$7:$A$306,$I449)=0),"Mã ĐT chưa khai báo! ","")))</f>
        <v/>
      </c>
      <c r="M449" s="117">
        <f>IF($H449="","",IF(AND(OR(LEFT($F449,3)="111",LEFT($F449,3)="112",LEFT($F449,3)="113"),OR(LEFT($G449,3)="111",LEFT($G449,3)="112",LEFT($G449,3)="113")),"NB",IF(OR(LEFT($F449,3)="111",LEFT($F449,3)="112",LEFT($F449,3)="113"),"THU",IF(OR(LEFT($G449,3)="111",LEFT($G449,3)="112",LEFT($G449,3)="113"),"CHI",""))))</f>
        <v/>
      </c>
      <c r="N449" s="117">
        <f>IF($M449="THU",$G449,IF($M449="CHI",$F449,""))</f>
        <v/>
      </c>
      <c r="O449" s="117">
        <f>IF(OR($M449="",$M449="NB"),"",IF($J449&lt;&gt;"",TEXT($J449,"00"),IFERROR(VLOOKUP(LEFT($N449,4),LCTT_MAP!$A$7:$C$66,IF($M449="THU",2,3),FALSE()),IFERROR(VLOOKUP(LEFT($N449,3),LCTT_MAP!$A$7:$C$66,IF($M449="THU",2,3),FALSE()),IFERROR(VLOOKUP(LEFT($N449,2),LCTT_MAP!$A$7:$C$66,IF($M449="THU",2,3),FALSE()),IFERROR(VLOOKUP(LEFT($N449,1),LCTT_MAP!$A$7:$C$66,IF($M449="THU",2,3),FALSE()),IF($M449="THU","06","07")))))))</f>
        <v/>
      </c>
      <c r="P449" s="117">
        <f>P448+IF(AND($H449&lt;&gt;"",OR(LEFT($F449,LEN(SC_TK))=SC_TK,LEFT($G449,LEN(SC_TK))=SC_TK)),1,0)</f>
        <v/>
      </c>
    </row>
    <row r="450" ht="15" customHeight="1" s="78">
      <c r="A450" s="95">
        <f>IF($H450="","",ROW()-6)</f>
        <v/>
      </c>
      <c r="B450" s="114" t="n"/>
      <c r="C450" s="102" t="n"/>
      <c r="D450" s="114" t="n"/>
      <c r="E450" s="103" t="n"/>
      <c r="F450" s="102" t="n"/>
      <c r="G450" s="102" t="n"/>
      <c r="H450" s="115" t="n"/>
      <c r="I450" s="102" t="n"/>
      <c r="J450" s="102" t="n"/>
      <c r="K450" s="103" t="n"/>
      <c r="L450" s="116">
        <f>IF($H450="","",TRIM(IF(COUNTIF(DMTK!$A$7:$A$250,$F450)=0,"TK Nợ sai! ","")&amp;IF(COUNTIF(DMTK!$A$7:$A$250,$G450)=0,"TK Có sai! ","")&amp;IF(N($H450)&lt;=0,"Tiền phải &gt; 0! ","")&amp;IF($B450="","Thiếu ngày! ","")&amp;IF(AND(OR(LEFT($F450,3)="131",LEFT($G450,3)="131",LEFT($F450,3)="331",LEFT($G450,3)="331"),$I450=""),"Thiếu Mã ĐT! ","")&amp;IF(AND($I450&lt;&gt;"",COUNTIF(DM_DT!$A$7:$A$306,$I450)=0),"Mã ĐT chưa khai báo! ","")))</f>
        <v/>
      </c>
      <c r="M450" s="117">
        <f>IF($H450="","",IF(AND(OR(LEFT($F450,3)="111",LEFT($F450,3)="112",LEFT($F450,3)="113"),OR(LEFT($G450,3)="111",LEFT($G450,3)="112",LEFT($G450,3)="113")),"NB",IF(OR(LEFT($F450,3)="111",LEFT($F450,3)="112",LEFT($F450,3)="113"),"THU",IF(OR(LEFT($G450,3)="111",LEFT($G450,3)="112",LEFT($G450,3)="113"),"CHI",""))))</f>
        <v/>
      </c>
      <c r="N450" s="117">
        <f>IF($M450="THU",$G450,IF($M450="CHI",$F450,""))</f>
        <v/>
      </c>
      <c r="O450" s="117">
        <f>IF(OR($M450="",$M450="NB"),"",IF($J450&lt;&gt;"",TEXT($J450,"00"),IFERROR(VLOOKUP(LEFT($N450,4),LCTT_MAP!$A$7:$C$66,IF($M450="THU",2,3),FALSE()),IFERROR(VLOOKUP(LEFT($N450,3),LCTT_MAP!$A$7:$C$66,IF($M450="THU",2,3),FALSE()),IFERROR(VLOOKUP(LEFT($N450,2),LCTT_MAP!$A$7:$C$66,IF($M450="THU",2,3),FALSE()),IFERROR(VLOOKUP(LEFT($N450,1),LCTT_MAP!$A$7:$C$66,IF($M450="THU",2,3),FALSE()),IF($M450="THU","06","07")))))))</f>
        <v/>
      </c>
      <c r="P450" s="117">
        <f>P449+IF(AND($H450&lt;&gt;"",OR(LEFT($F450,LEN(SC_TK))=SC_TK,LEFT($G450,LEN(SC_TK))=SC_TK)),1,0)</f>
        <v/>
      </c>
    </row>
    <row r="451" ht="15" customHeight="1" s="78">
      <c r="A451" s="95">
        <f>IF($H451="","",ROW()-6)</f>
        <v/>
      </c>
      <c r="B451" s="114" t="n"/>
      <c r="C451" s="102" t="n"/>
      <c r="D451" s="114" t="n"/>
      <c r="E451" s="103" t="n"/>
      <c r="F451" s="102" t="n"/>
      <c r="G451" s="102" t="n"/>
      <c r="H451" s="115" t="n"/>
      <c r="I451" s="102" t="n"/>
      <c r="J451" s="102" t="n"/>
      <c r="K451" s="103" t="n"/>
      <c r="L451" s="116">
        <f>IF($H451="","",TRIM(IF(COUNTIF(DMTK!$A$7:$A$250,$F451)=0,"TK Nợ sai! ","")&amp;IF(COUNTIF(DMTK!$A$7:$A$250,$G451)=0,"TK Có sai! ","")&amp;IF(N($H451)&lt;=0,"Tiền phải &gt; 0! ","")&amp;IF($B451="","Thiếu ngày! ","")&amp;IF(AND(OR(LEFT($F451,3)="131",LEFT($G451,3)="131",LEFT($F451,3)="331",LEFT($G451,3)="331"),$I451=""),"Thiếu Mã ĐT! ","")&amp;IF(AND($I451&lt;&gt;"",COUNTIF(DM_DT!$A$7:$A$306,$I451)=0),"Mã ĐT chưa khai báo! ","")))</f>
        <v/>
      </c>
      <c r="M451" s="117">
        <f>IF($H451="","",IF(AND(OR(LEFT($F451,3)="111",LEFT($F451,3)="112",LEFT($F451,3)="113"),OR(LEFT($G451,3)="111",LEFT($G451,3)="112",LEFT($G451,3)="113")),"NB",IF(OR(LEFT($F451,3)="111",LEFT($F451,3)="112",LEFT($F451,3)="113"),"THU",IF(OR(LEFT($G451,3)="111",LEFT($G451,3)="112",LEFT($G451,3)="113"),"CHI",""))))</f>
        <v/>
      </c>
      <c r="N451" s="117">
        <f>IF($M451="THU",$G451,IF($M451="CHI",$F451,""))</f>
        <v/>
      </c>
      <c r="O451" s="117">
        <f>IF(OR($M451="",$M451="NB"),"",IF($J451&lt;&gt;"",TEXT($J451,"00"),IFERROR(VLOOKUP(LEFT($N451,4),LCTT_MAP!$A$7:$C$66,IF($M451="THU",2,3),FALSE()),IFERROR(VLOOKUP(LEFT($N451,3),LCTT_MAP!$A$7:$C$66,IF($M451="THU",2,3),FALSE()),IFERROR(VLOOKUP(LEFT($N451,2),LCTT_MAP!$A$7:$C$66,IF($M451="THU",2,3),FALSE()),IFERROR(VLOOKUP(LEFT($N451,1),LCTT_MAP!$A$7:$C$66,IF($M451="THU",2,3),FALSE()),IF($M451="THU","06","07")))))))</f>
        <v/>
      </c>
      <c r="P451" s="117">
        <f>P450+IF(AND($H451&lt;&gt;"",OR(LEFT($F451,LEN(SC_TK))=SC_TK,LEFT($G451,LEN(SC_TK))=SC_TK)),1,0)</f>
        <v/>
      </c>
    </row>
    <row r="452" ht="15" customHeight="1" s="78">
      <c r="A452" s="95">
        <f>IF($H452="","",ROW()-6)</f>
        <v/>
      </c>
      <c r="B452" s="114" t="n"/>
      <c r="C452" s="102" t="n"/>
      <c r="D452" s="114" t="n"/>
      <c r="E452" s="103" t="n"/>
      <c r="F452" s="102" t="n"/>
      <c r="G452" s="102" t="n"/>
      <c r="H452" s="115" t="n"/>
      <c r="I452" s="102" t="n"/>
      <c r="J452" s="102" t="n"/>
      <c r="K452" s="103" t="n"/>
      <c r="L452" s="116">
        <f>IF($H452="","",TRIM(IF(COUNTIF(DMTK!$A$7:$A$250,$F452)=0,"TK Nợ sai! ","")&amp;IF(COUNTIF(DMTK!$A$7:$A$250,$G452)=0,"TK Có sai! ","")&amp;IF(N($H452)&lt;=0,"Tiền phải &gt; 0! ","")&amp;IF($B452="","Thiếu ngày! ","")&amp;IF(AND(OR(LEFT($F452,3)="131",LEFT($G452,3)="131",LEFT($F452,3)="331",LEFT($G452,3)="331"),$I452=""),"Thiếu Mã ĐT! ","")&amp;IF(AND($I452&lt;&gt;"",COUNTIF(DM_DT!$A$7:$A$306,$I452)=0),"Mã ĐT chưa khai báo! ","")))</f>
        <v/>
      </c>
      <c r="M452" s="117">
        <f>IF($H452="","",IF(AND(OR(LEFT($F452,3)="111",LEFT($F452,3)="112",LEFT($F452,3)="113"),OR(LEFT($G452,3)="111",LEFT($G452,3)="112",LEFT($G452,3)="113")),"NB",IF(OR(LEFT($F452,3)="111",LEFT($F452,3)="112",LEFT($F452,3)="113"),"THU",IF(OR(LEFT($G452,3)="111",LEFT($G452,3)="112",LEFT($G452,3)="113"),"CHI",""))))</f>
        <v/>
      </c>
      <c r="N452" s="117">
        <f>IF($M452="THU",$G452,IF($M452="CHI",$F452,""))</f>
        <v/>
      </c>
      <c r="O452" s="117">
        <f>IF(OR($M452="",$M452="NB"),"",IF($J452&lt;&gt;"",TEXT($J452,"00"),IFERROR(VLOOKUP(LEFT($N452,4),LCTT_MAP!$A$7:$C$66,IF($M452="THU",2,3),FALSE()),IFERROR(VLOOKUP(LEFT($N452,3),LCTT_MAP!$A$7:$C$66,IF($M452="THU",2,3),FALSE()),IFERROR(VLOOKUP(LEFT($N452,2),LCTT_MAP!$A$7:$C$66,IF($M452="THU",2,3),FALSE()),IFERROR(VLOOKUP(LEFT($N452,1),LCTT_MAP!$A$7:$C$66,IF($M452="THU",2,3),FALSE()),IF($M452="THU","06","07")))))))</f>
        <v/>
      </c>
      <c r="P452" s="117">
        <f>P451+IF(AND($H452&lt;&gt;"",OR(LEFT($F452,LEN(SC_TK))=SC_TK,LEFT($G452,LEN(SC_TK))=SC_TK)),1,0)</f>
        <v/>
      </c>
    </row>
    <row r="453" ht="15" customHeight="1" s="78">
      <c r="A453" s="95">
        <f>IF($H453="","",ROW()-6)</f>
        <v/>
      </c>
      <c r="B453" s="114" t="n"/>
      <c r="C453" s="102" t="n"/>
      <c r="D453" s="114" t="n"/>
      <c r="E453" s="103" t="n"/>
      <c r="F453" s="102" t="n"/>
      <c r="G453" s="102" t="n"/>
      <c r="H453" s="115" t="n"/>
      <c r="I453" s="102" t="n"/>
      <c r="J453" s="102" t="n"/>
      <c r="K453" s="103" t="n"/>
      <c r="L453" s="116">
        <f>IF($H453="","",TRIM(IF(COUNTIF(DMTK!$A$7:$A$250,$F453)=0,"TK Nợ sai! ","")&amp;IF(COUNTIF(DMTK!$A$7:$A$250,$G453)=0,"TK Có sai! ","")&amp;IF(N($H453)&lt;=0,"Tiền phải &gt; 0! ","")&amp;IF($B453="","Thiếu ngày! ","")&amp;IF(AND(OR(LEFT($F453,3)="131",LEFT($G453,3)="131",LEFT($F453,3)="331",LEFT($G453,3)="331"),$I453=""),"Thiếu Mã ĐT! ","")&amp;IF(AND($I453&lt;&gt;"",COUNTIF(DM_DT!$A$7:$A$306,$I453)=0),"Mã ĐT chưa khai báo! ","")))</f>
        <v/>
      </c>
      <c r="M453" s="117">
        <f>IF($H453="","",IF(AND(OR(LEFT($F453,3)="111",LEFT($F453,3)="112",LEFT($F453,3)="113"),OR(LEFT($G453,3)="111",LEFT($G453,3)="112",LEFT($G453,3)="113")),"NB",IF(OR(LEFT($F453,3)="111",LEFT($F453,3)="112",LEFT($F453,3)="113"),"THU",IF(OR(LEFT($G453,3)="111",LEFT($G453,3)="112",LEFT($G453,3)="113"),"CHI",""))))</f>
        <v/>
      </c>
      <c r="N453" s="117">
        <f>IF($M453="THU",$G453,IF($M453="CHI",$F453,""))</f>
        <v/>
      </c>
      <c r="O453" s="117">
        <f>IF(OR($M453="",$M453="NB"),"",IF($J453&lt;&gt;"",TEXT($J453,"00"),IFERROR(VLOOKUP(LEFT($N453,4),LCTT_MAP!$A$7:$C$66,IF($M453="THU",2,3),FALSE()),IFERROR(VLOOKUP(LEFT($N453,3),LCTT_MAP!$A$7:$C$66,IF($M453="THU",2,3),FALSE()),IFERROR(VLOOKUP(LEFT($N453,2),LCTT_MAP!$A$7:$C$66,IF($M453="THU",2,3),FALSE()),IFERROR(VLOOKUP(LEFT($N453,1),LCTT_MAP!$A$7:$C$66,IF($M453="THU",2,3),FALSE()),IF($M453="THU","06","07")))))))</f>
        <v/>
      </c>
      <c r="P453" s="117">
        <f>P452+IF(AND($H453&lt;&gt;"",OR(LEFT($F453,LEN(SC_TK))=SC_TK,LEFT($G453,LEN(SC_TK))=SC_TK)),1,0)</f>
        <v/>
      </c>
    </row>
    <row r="454" ht="15" customHeight="1" s="78">
      <c r="A454" s="95">
        <f>IF($H454="","",ROW()-6)</f>
        <v/>
      </c>
      <c r="B454" s="114" t="n"/>
      <c r="C454" s="102" t="n"/>
      <c r="D454" s="114" t="n"/>
      <c r="E454" s="103" t="n"/>
      <c r="F454" s="102" t="n"/>
      <c r="G454" s="102" t="n"/>
      <c r="H454" s="115" t="n"/>
      <c r="I454" s="102" t="n"/>
      <c r="J454" s="102" t="n"/>
      <c r="K454" s="103" t="n"/>
      <c r="L454" s="116">
        <f>IF($H454="","",TRIM(IF(COUNTIF(DMTK!$A$7:$A$250,$F454)=0,"TK Nợ sai! ","")&amp;IF(COUNTIF(DMTK!$A$7:$A$250,$G454)=0,"TK Có sai! ","")&amp;IF(N($H454)&lt;=0,"Tiền phải &gt; 0! ","")&amp;IF($B454="","Thiếu ngày! ","")&amp;IF(AND(OR(LEFT($F454,3)="131",LEFT($G454,3)="131",LEFT($F454,3)="331",LEFT($G454,3)="331"),$I454=""),"Thiếu Mã ĐT! ","")&amp;IF(AND($I454&lt;&gt;"",COUNTIF(DM_DT!$A$7:$A$306,$I454)=0),"Mã ĐT chưa khai báo! ","")))</f>
        <v/>
      </c>
      <c r="M454" s="117">
        <f>IF($H454="","",IF(AND(OR(LEFT($F454,3)="111",LEFT($F454,3)="112",LEFT($F454,3)="113"),OR(LEFT($G454,3)="111",LEFT($G454,3)="112",LEFT($G454,3)="113")),"NB",IF(OR(LEFT($F454,3)="111",LEFT($F454,3)="112",LEFT($F454,3)="113"),"THU",IF(OR(LEFT($G454,3)="111",LEFT($G454,3)="112",LEFT($G454,3)="113"),"CHI",""))))</f>
        <v/>
      </c>
      <c r="N454" s="117">
        <f>IF($M454="THU",$G454,IF($M454="CHI",$F454,""))</f>
        <v/>
      </c>
      <c r="O454" s="117">
        <f>IF(OR($M454="",$M454="NB"),"",IF($J454&lt;&gt;"",TEXT($J454,"00"),IFERROR(VLOOKUP(LEFT($N454,4),LCTT_MAP!$A$7:$C$66,IF($M454="THU",2,3),FALSE()),IFERROR(VLOOKUP(LEFT($N454,3),LCTT_MAP!$A$7:$C$66,IF($M454="THU",2,3),FALSE()),IFERROR(VLOOKUP(LEFT($N454,2),LCTT_MAP!$A$7:$C$66,IF($M454="THU",2,3),FALSE()),IFERROR(VLOOKUP(LEFT($N454,1),LCTT_MAP!$A$7:$C$66,IF($M454="THU",2,3),FALSE()),IF($M454="THU","06","07")))))))</f>
        <v/>
      </c>
      <c r="P454" s="117">
        <f>P453+IF(AND($H454&lt;&gt;"",OR(LEFT($F454,LEN(SC_TK))=SC_TK,LEFT($G454,LEN(SC_TK))=SC_TK)),1,0)</f>
        <v/>
      </c>
    </row>
    <row r="455" ht="15" customHeight="1" s="78">
      <c r="A455" s="95">
        <f>IF($H455="","",ROW()-6)</f>
        <v/>
      </c>
      <c r="B455" s="114" t="n"/>
      <c r="C455" s="102" t="n"/>
      <c r="D455" s="114" t="n"/>
      <c r="E455" s="103" t="n"/>
      <c r="F455" s="102" t="n"/>
      <c r="G455" s="102" t="n"/>
      <c r="H455" s="115" t="n"/>
      <c r="I455" s="102" t="n"/>
      <c r="J455" s="102" t="n"/>
      <c r="K455" s="103" t="n"/>
      <c r="L455" s="116">
        <f>IF($H455="","",TRIM(IF(COUNTIF(DMTK!$A$7:$A$250,$F455)=0,"TK Nợ sai! ","")&amp;IF(COUNTIF(DMTK!$A$7:$A$250,$G455)=0,"TK Có sai! ","")&amp;IF(N($H455)&lt;=0,"Tiền phải &gt; 0! ","")&amp;IF($B455="","Thiếu ngày! ","")&amp;IF(AND(OR(LEFT($F455,3)="131",LEFT($G455,3)="131",LEFT($F455,3)="331",LEFT($G455,3)="331"),$I455=""),"Thiếu Mã ĐT! ","")&amp;IF(AND($I455&lt;&gt;"",COUNTIF(DM_DT!$A$7:$A$306,$I455)=0),"Mã ĐT chưa khai báo! ","")))</f>
        <v/>
      </c>
      <c r="M455" s="117">
        <f>IF($H455="","",IF(AND(OR(LEFT($F455,3)="111",LEFT($F455,3)="112",LEFT($F455,3)="113"),OR(LEFT($G455,3)="111",LEFT($G455,3)="112",LEFT($G455,3)="113")),"NB",IF(OR(LEFT($F455,3)="111",LEFT($F455,3)="112",LEFT($F455,3)="113"),"THU",IF(OR(LEFT($G455,3)="111",LEFT($G455,3)="112",LEFT($G455,3)="113"),"CHI",""))))</f>
        <v/>
      </c>
      <c r="N455" s="117">
        <f>IF($M455="THU",$G455,IF($M455="CHI",$F455,""))</f>
        <v/>
      </c>
      <c r="O455" s="117">
        <f>IF(OR($M455="",$M455="NB"),"",IF($J455&lt;&gt;"",TEXT($J455,"00"),IFERROR(VLOOKUP(LEFT($N455,4),LCTT_MAP!$A$7:$C$66,IF($M455="THU",2,3),FALSE()),IFERROR(VLOOKUP(LEFT($N455,3),LCTT_MAP!$A$7:$C$66,IF($M455="THU",2,3),FALSE()),IFERROR(VLOOKUP(LEFT($N455,2),LCTT_MAP!$A$7:$C$66,IF($M455="THU",2,3),FALSE()),IFERROR(VLOOKUP(LEFT($N455,1),LCTT_MAP!$A$7:$C$66,IF($M455="THU",2,3),FALSE()),IF($M455="THU","06","07")))))))</f>
        <v/>
      </c>
      <c r="P455" s="117">
        <f>P454+IF(AND($H455&lt;&gt;"",OR(LEFT($F455,LEN(SC_TK))=SC_TK,LEFT($G455,LEN(SC_TK))=SC_TK)),1,0)</f>
        <v/>
      </c>
    </row>
    <row r="456" ht="15" customHeight="1" s="78">
      <c r="A456" s="95">
        <f>IF($H456="","",ROW()-6)</f>
        <v/>
      </c>
      <c r="B456" s="114" t="n"/>
      <c r="C456" s="102" t="n"/>
      <c r="D456" s="114" t="n"/>
      <c r="E456" s="103" t="n"/>
      <c r="F456" s="102" t="n"/>
      <c r="G456" s="102" t="n"/>
      <c r="H456" s="115" t="n"/>
      <c r="I456" s="102" t="n"/>
      <c r="J456" s="102" t="n"/>
      <c r="K456" s="103" t="n"/>
      <c r="L456" s="116">
        <f>IF($H456="","",TRIM(IF(COUNTIF(DMTK!$A$7:$A$250,$F456)=0,"TK Nợ sai! ","")&amp;IF(COUNTIF(DMTK!$A$7:$A$250,$G456)=0,"TK Có sai! ","")&amp;IF(N($H456)&lt;=0,"Tiền phải &gt; 0! ","")&amp;IF($B456="","Thiếu ngày! ","")&amp;IF(AND(OR(LEFT($F456,3)="131",LEFT($G456,3)="131",LEFT($F456,3)="331",LEFT($G456,3)="331"),$I456=""),"Thiếu Mã ĐT! ","")&amp;IF(AND($I456&lt;&gt;"",COUNTIF(DM_DT!$A$7:$A$306,$I456)=0),"Mã ĐT chưa khai báo! ","")))</f>
        <v/>
      </c>
      <c r="M456" s="117">
        <f>IF($H456="","",IF(AND(OR(LEFT($F456,3)="111",LEFT($F456,3)="112",LEFT($F456,3)="113"),OR(LEFT($G456,3)="111",LEFT($G456,3)="112",LEFT($G456,3)="113")),"NB",IF(OR(LEFT($F456,3)="111",LEFT($F456,3)="112",LEFT($F456,3)="113"),"THU",IF(OR(LEFT($G456,3)="111",LEFT($G456,3)="112",LEFT($G456,3)="113"),"CHI",""))))</f>
        <v/>
      </c>
      <c r="N456" s="117">
        <f>IF($M456="THU",$G456,IF($M456="CHI",$F456,""))</f>
        <v/>
      </c>
      <c r="O456" s="117">
        <f>IF(OR($M456="",$M456="NB"),"",IF($J456&lt;&gt;"",TEXT($J456,"00"),IFERROR(VLOOKUP(LEFT($N456,4),LCTT_MAP!$A$7:$C$66,IF($M456="THU",2,3),FALSE()),IFERROR(VLOOKUP(LEFT($N456,3),LCTT_MAP!$A$7:$C$66,IF($M456="THU",2,3),FALSE()),IFERROR(VLOOKUP(LEFT($N456,2),LCTT_MAP!$A$7:$C$66,IF($M456="THU",2,3),FALSE()),IFERROR(VLOOKUP(LEFT($N456,1),LCTT_MAP!$A$7:$C$66,IF($M456="THU",2,3),FALSE()),IF($M456="THU","06","07")))))))</f>
        <v/>
      </c>
      <c r="P456" s="117">
        <f>P455+IF(AND($H456&lt;&gt;"",OR(LEFT($F456,LEN(SC_TK))=SC_TK,LEFT($G456,LEN(SC_TK))=SC_TK)),1,0)</f>
        <v/>
      </c>
    </row>
    <row r="457" ht="15" customHeight="1" s="78">
      <c r="A457" s="95">
        <f>IF($H457="","",ROW()-6)</f>
        <v/>
      </c>
      <c r="B457" s="114" t="n"/>
      <c r="C457" s="102" t="n"/>
      <c r="D457" s="114" t="n"/>
      <c r="E457" s="103" t="n"/>
      <c r="F457" s="102" t="n"/>
      <c r="G457" s="102" t="n"/>
      <c r="H457" s="115" t="n"/>
      <c r="I457" s="102" t="n"/>
      <c r="J457" s="102" t="n"/>
      <c r="K457" s="103" t="n"/>
      <c r="L457" s="116">
        <f>IF($H457="","",TRIM(IF(COUNTIF(DMTK!$A$7:$A$250,$F457)=0,"TK Nợ sai! ","")&amp;IF(COUNTIF(DMTK!$A$7:$A$250,$G457)=0,"TK Có sai! ","")&amp;IF(N($H457)&lt;=0,"Tiền phải &gt; 0! ","")&amp;IF($B457="","Thiếu ngày! ","")&amp;IF(AND(OR(LEFT($F457,3)="131",LEFT($G457,3)="131",LEFT($F457,3)="331",LEFT($G457,3)="331"),$I457=""),"Thiếu Mã ĐT! ","")&amp;IF(AND($I457&lt;&gt;"",COUNTIF(DM_DT!$A$7:$A$306,$I457)=0),"Mã ĐT chưa khai báo! ","")))</f>
        <v/>
      </c>
      <c r="M457" s="117">
        <f>IF($H457="","",IF(AND(OR(LEFT($F457,3)="111",LEFT($F457,3)="112",LEFT($F457,3)="113"),OR(LEFT($G457,3)="111",LEFT($G457,3)="112",LEFT($G457,3)="113")),"NB",IF(OR(LEFT($F457,3)="111",LEFT($F457,3)="112",LEFT($F457,3)="113"),"THU",IF(OR(LEFT($G457,3)="111",LEFT($G457,3)="112",LEFT($G457,3)="113"),"CHI",""))))</f>
        <v/>
      </c>
      <c r="N457" s="117">
        <f>IF($M457="THU",$G457,IF($M457="CHI",$F457,""))</f>
        <v/>
      </c>
      <c r="O457" s="117">
        <f>IF(OR($M457="",$M457="NB"),"",IF($J457&lt;&gt;"",TEXT($J457,"00"),IFERROR(VLOOKUP(LEFT($N457,4),LCTT_MAP!$A$7:$C$66,IF($M457="THU",2,3),FALSE()),IFERROR(VLOOKUP(LEFT($N457,3),LCTT_MAP!$A$7:$C$66,IF($M457="THU",2,3),FALSE()),IFERROR(VLOOKUP(LEFT($N457,2),LCTT_MAP!$A$7:$C$66,IF($M457="THU",2,3),FALSE()),IFERROR(VLOOKUP(LEFT($N457,1),LCTT_MAP!$A$7:$C$66,IF($M457="THU",2,3),FALSE()),IF($M457="THU","06","07")))))))</f>
        <v/>
      </c>
      <c r="P457" s="117">
        <f>P456+IF(AND($H457&lt;&gt;"",OR(LEFT($F457,LEN(SC_TK))=SC_TK,LEFT($G457,LEN(SC_TK))=SC_TK)),1,0)</f>
        <v/>
      </c>
    </row>
    <row r="458" ht="15" customHeight="1" s="78">
      <c r="A458" s="95">
        <f>IF($H458="","",ROW()-6)</f>
        <v/>
      </c>
      <c r="B458" s="114" t="n"/>
      <c r="C458" s="102" t="n"/>
      <c r="D458" s="114" t="n"/>
      <c r="E458" s="103" t="n"/>
      <c r="F458" s="102" t="n"/>
      <c r="G458" s="102" t="n"/>
      <c r="H458" s="115" t="n"/>
      <c r="I458" s="102" t="n"/>
      <c r="J458" s="102" t="n"/>
      <c r="K458" s="103" t="n"/>
      <c r="L458" s="116">
        <f>IF($H458="","",TRIM(IF(COUNTIF(DMTK!$A$7:$A$250,$F458)=0,"TK Nợ sai! ","")&amp;IF(COUNTIF(DMTK!$A$7:$A$250,$G458)=0,"TK Có sai! ","")&amp;IF(N($H458)&lt;=0,"Tiền phải &gt; 0! ","")&amp;IF($B458="","Thiếu ngày! ","")&amp;IF(AND(OR(LEFT($F458,3)="131",LEFT($G458,3)="131",LEFT($F458,3)="331",LEFT($G458,3)="331"),$I458=""),"Thiếu Mã ĐT! ","")&amp;IF(AND($I458&lt;&gt;"",COUNTIF(DM_DT!$A$7:$A$306,$I458)=0),"Mã ĐT chưa khai báo! ","")))</f>
        <v/>
      </c>
      <c r="M458" s="117">
        <f>IF($H458="","",IF(AND(OR(LEFT($F458,3)="111",LEFT($F458,3)="112",LEFT($F458,3)="113"),OR(LEFT($G458,3)="111",LEFT($G458,3)="112",LEFT($G458,3)="113")),"NB",IF(OR(LEFT($F458,3)="111",LEFT($F458,3)="112",LEFT($F458,3)="113"),"THU",IF(OR(LEFT($G458,3)="111",LEFT($G458,3)="112",LEFT($G458,3)="113"),"CHI",""))))</f>
        <v/>
      </c>
      <c r="N458" s="117">
        <f>IF($M458="THU",$G458,IF($M458="CHI",$F458,""))</f>
        <v/>
      </c>
      <c r="O458" s="117">
        <f>IF(OR($M458="",$M458="NB"),"",IF($J458&lt;&gt;"",TEXT($J458,"00"),IFERROR(VLOOKUP(LEFT($N458,4),LCTT_MAP!$A$7:$C$66,IF($M458="THU",2,3),FALSE()),IFERROR(VLOOKUP(LEFT($N458,3),LCTT_MAP!$A$7:$C$66,IF($M458="THU",2,3),FALSE()),IFERROR(VLOOKUP(LEFT($N458,2),LCTT_MAP!$A$7:$C$66,IF($M458="THU",2,3),FALSE()),IFERROR(VLOOKUP(LEFT($N458,1),LCTT_MAP!$A$7:$C$66,IF($M458="THU",2,3),FALSE()),IF($M458="THU","06","07")))))))</f>
        <v/>
      </c>
      <c r="P458" s="117">
        <f>P457+IF(AND($H458&lt;&gt;"",OR(LEFT($F458,LEN(SC_TK))=SC_TK,LEFT($G458,LEN(SC_TK))=SC_TK)),1,0)</f>
        <v/>
      </c>
    </row>
    <row r="459" ht="15" customHeight="1" s="78">
      <c r="A459" s="95">
        <f>IF($H459="","",ROW()-6)</f>
        <v/>
      </c>
      <c r="B459" s="114" t="n"/>
      <c r="C459" s="102" t="n"/>
      <c r="D459" s="114" t="n"/>
      <c r="E459" s="103" t="n"/>
      <c r="F459" s="102" t="n"/>
      <c r="G459" s="102" t="n"/>
      <c r="H459" s="115" t="n"/>
      <c r="I459" s="102" t="n"/>
      <c r="J459" s="102" t="n"/>
      <c r="K459" s="103" t="n"/>
      <c r="L459" s="116">
        <f>IF($H459="","",TRIM(IF(COUNTIF(DMTK!$A$7:$A$250,$F459)=0,"TK Nợ sai! ","")&amp;IF(COUNTIF(DMTK!$A$7:$A$250,$G459)=0,"TK Có sai! ","")&amp;IF(N($H459)&lt;=0,"Tiền phải &gt; 0! ","")&amp;IF($B459="","Thiếu ngày! ","")&amp;IF(AND(OR(LEFT($F459,3)="131",LEFT($G459,3)="131",LEFT($F459,3)="331",LEFT($G459,3)="331"),$I459=""),"Thiếu Mã ĐT! ","")&amp;IF(AND($I459&lt;&gt;"",COUNTIF(DM_DT!$A$7:$A$306,$I459)=0),"Mã ĐT chưa khai báo! ","")))</f>
        <v/>
      </c>
      <c r="M459" s="117">
        <f>IF($H459="","",IF(AND(OR(LEFT($F459,3)="111",LEFT($F459,3)="112",LEFT($F459,3)="113"),OR(LEFT($G459,3)="111",LEFT($G459,3)="112",LEFT($G459,3)="113")),"NB",IF(OR(LEFT($F459,3)="111",LEFT($F459,3)="112",LEFT($F459,3)="113"),"THU",IF(OR(LEFT($G459,3)="111",LEFT($G459,3)="112",LEFT($G459,3)="113"),"CHI",""))))</f>
        <v/>
      </c>
      <c r="N459" s="117">
        <f>IF($M459="THU",$G459,IF($M459="CHI",$F459,""))</f>
        <v/>
      </c>
      <c r="O459" s="117">
        <f>IF(OR($M459="",$M459="NB"),"",IF($J459&lt;&gt;"",TEXT($J459,"00"),IFERROR(VLOOKUP(LEFT($N459,4),LCTT_MAP!$A$7:$C$66,IF($M459="THU",2,3),FALSE()),IFERROR(VLOOKUP(LEFT($N459,3),LCTT_MAP!$A$7:$C$66,IF($M459="THU",2,3),FALSE()),IFERROR(VLOOKUP(LEFT($N459,2),LCTT_MAP!$A$7:$C$66,IF($M459="THU",2,3),FALSE()),IFERROR(VLOOKUP(LEFT($N459,1),LCTT_MAP!$A$7:$C$66,IF($M459="THU",2,3),FALSE()),IF($M459="THU","06","07")))))))</f>
        <v/>
      </c>
      <c r="P459" s="117">
        <f>P458+IF(AND($H459&lt;&gt;"",OR(LEFT($F459,LEN(SC_TK))=SC_TK,LEFT($G459,LEN(SC_TK))=SC_TK)),1,0)</f>
        <v/>
      </c>
    </row>
    <row r="460" ht="15" customHeight="1" s="78">
      <c r="A460" s="95">
        <f>IF($H460="","",ROW()-6)</f>
        <v/>
      </c>
      <c r="B460" s="114" t="n"/>
      <c r="C460" s="102" t="n"/>
      <c r="D460" s="114" t="n"/>
      <c r="E460" s="103" t="n"/>
      <c r="F460" s="102" t="n"/>
      <c r="G460" s="102" t="n"/>
      <c r="H460" s="115" t="n"/>
      <c r="I460" s="102" t="n"/>
      <c r="J460" s="102" t="n"/>
      <c r="K460" s="103" t="n"/>
      <c r="L460" s="116">
        <f>IF($H460="","",TRIM(IF(COUNTIF(DMTK!$A$7:$A$250,$F460)=0,"TK Nợ sai! ","")&amp;IF(COUNTIF(DMTK!$A$7:$A$250,$G460)=0,"TK Có sai! ","")&amp;IF(N($H460)&lt;=0,"Tiền phải &gt; 0! ","")&amp;IF($B460="","Thiếu ngày! ","")&amp;IF(AND(OR(LEFT($F460,3)="131",LEFT($G460,3)="131",LEFT($F460,3)="331",LEFT($G460,3)="331"),$I460=""),"Thiếu Mã ĐT! ","")&amp;IF(AND($I460&lt;&gt;"",COUNTIF(DM_DT!$A$7:$A$306,$I460)=0),"Mã ĐT chưa khai báo! ","")))</f>
        <v/>
      </c>
      <c r="M460" s="117">
        <f>IF($H460="","",IF(AND(OR(LEFT($F460,3)="111",LEFT($F460,3)="112",LEFT($F460,3)="113"),OR(LEFT($G460,3)="111",LEFT($G460,3)="112",LEFT($G460,3)="113")),"NB",IF(OR(LEFT($F460,3)="111",LEFT($F460,3)="112",LEFT($F460,3)="113"),"THU",IF(OR(LEFT($G460,3)="111",LEFT($G460,3)="112",LEFT($G460,3)="113"),"CHI",""))))</f>
        <v/>
      </c>
      <c r="N460" s="117">
        <f>IF($M460="THU",$G460,IF($M460="CHI",$F460,""))</f>
        <v/>
      </c>
      <c r="O460" s="117">
        <f>IF(OR($M460="",$M460="NB"),"",IF($J460&lt;&gt;"",TEXT($J460,"00"),IFERROR(VLOOKUP(LEFT($N460,4),LCTT_MAP!$A$7:$C$66,IF($M460="THU",2,3),FALSE()),IFERROR(VLOOKUP(LEFT($N460,3),LCTT_MAP!$A$7:$C$66,IF($M460="THU",2,3),FALSE()),IFERROR(VLOOKUP(LEFT($N460,2),LCTT_MAP!$A$7:$C$66,IF($M460="THU",2,3),FALSE()),IFERROR(VLOOKUP(LEFT($N460,1),LCTT_MAP!$A$7:$C$66,IF($M460="THU",2,3),FALSE()),IF($M460="THU","06","07")))))))</f>
        <v/>
      </c>
      <c r="P460" s="117">
        <f>P459+IF(AND($H460&lt;&gt;"",OR(LEFT($F460,LEN(SC_TK))=SC_TK,LEFT($G460,LEN(SC_TK))=SC_TK)),1,0)</f>
        <v/>
      </c>
    </row>
    <row r="461" ht="15" customHeight="1" s="78">
      <c r="A461" s="95">
        <f>IF($H461="","",ROW()-6)</f>
        <v/>
      </c>
      <c r="B461" s="114" t="n"/>
      <c r="C461" s="102" t="n"/>
      <c r="D461" s="114" t="n"/>
      <c r="E461" s="103" t="n"/>
      <c r="F461" s="102" t="n"/>
      <c r="G461" s="102" t="n"/>
      <c r="H461" s="115" t="n"/>
      <c r="I461" s="102" t="n"/>
      <c r="J461" s="102" t="n"/>
      <c r="K461" s="103" t="n"/>
      <c r="L461" s="116">
        <f>IF($H461="","",TRIM(IF(COUNTIF(DMTK!$A$7:$A$250,$F461)=0,"TK Nợ sai! ","")&amp;IF(COUNTIF(DMTK!$A$7:$A$250,$G461)=0,"TK Có sai! ","")&amp;IF(N($H461)&lt;=0,"Tiền phải &gt; 0! ","")&amp;IF($B461="","Thiếu ngày! ","")&amp;IF(AND(OR(LEFT($F461,3)="131",LEFT($G461,3)="131",LEFT($F461,3)="331",LEFT($G461,3)="331"),$I461=""),"Thiếu Mã ĐT! ","")&amp;IF(AND($I461&lt;&gt;"",COUNTIF(DM_DT!$A$7:$A$306,$I461)=0),"Mã ĐT chưa khai báo! ","")))</f>
        <v/>
      </c>
      <c r="M461" s="117">
        <f>IF($H461="","",IF(AND(OR(LEFT($F461,3)="111",LEFT($F461,3)="112",LEFT($F461,3)="113"),OR(LEFT($G461,3)="111",LEFT($G461,3)="112",LEFT($G461,3)="113")),"NB",IF(OR(LEFT($F461,3)="111",LEFT($F461,3)="112",LEFT($F461,3)="113"),"THU",IF(OR(LEFT($G461,3)="111",LEFT($G461,3)="112",LEFT($G461,3)="113"),"CHI",""))))</f>
        <v/>
      </c>
      <c r="N461" s="117">
        <f>IF($M461="THU",$G461,IF($M461="CHI",$F461,""))</f>
        <v/>
      </c>
      <c r="O461" s="117">
        <f>IF(OR($M461="",$M461="NB"),"",IF($J461&lt;&gt;"",TEXT($J461,"00"),IFERROR(VLOOKUP(LEFT($N461,4),LCTT_MAP!$A$7:$C$66,IF($M461="THU",2,3),FALSE()),IFERROR(VLOOKUP(LEFT($N461,3),LCTT_MAP!$A$7:$C$66,IF($M461="THU",2,3),FALSE()),IFERROR(VLOOKUP(LEFT($N461,2),LCTT_MAP!$A$7:$C$66,IF($M461="THU",2,3),FALSE()),IFERROR(VLOOKUP(LEFT($N461,1),LCTT_MAP!$A$7:$C$66,IF($M461="THU",2,3),FALSE()),IF($M461="THU","06","07")))))))</f>
        <v/>
      </c>
      <c r="P461" s="117">
        <f>P460+IF(AND($H461&lt;&gt;"",OR(LEFT($F461,LEN(SC_TK))=SC_TK,LEFT($G461,LEN(SC_TK))=SC_TK)),1,0)</f>
        <v/>
      </c>
    </row>
    <row r="462" ht="15" customHeight="1" s="78">
      <c r="A462" s="95">
        <f>IF($H462="","",ROW()-6)</f>
        <v/>
      </c>
      <c r="B462" s="114" t="n"/>
      <c r="C462" s="102" t="n"/>
      <c r="D462" s="114" t="n"/>
      <c r="E462" s="103" t="n"/>
      <c r="F462" s="102" t="n"/>
      <c r="G462" s="102" t="n"/>
      <c r="H462" s="115" t="n"/>
      <c r="I462" s="102" t="n"/>
      <c r="J462" s="102" t="n"/>
      <c r="K462" s="103" t="n"/>
      <c r="L462" s="116">
        <f>IF($H462="","",TRIM(IF(COUNTIF(DMTK!$A$7:$A$250,$F462)=0,"TK Nợ sai! ","")&amp;IF(COUNTIF(DMTK!$A$7:$A$250,$G462)=0,"TK Có sai! ","")&amp;IF(N($H462)&lt;=0,"Tiền phải &gt; 0! ","")&amp;IF($B462="","Thiếu ngày! ","")&amp;IF(AND(OR(LEFT($F462,3)="131",LEFT($G462,3)="131",LEFT($F462,3)="331",LEFT($G462,3)="331"),$I462=""),"Thiếu Mã ĐT! ","")&amp;IF(AND($I462&lt;&gt;"",COUNTIF(DM_DT!$A$7:$A$306,$I462)=0),"Mã ĐT chưa khai báo! ","")))</f>
        <v/>
      </c>
      <c r="M462" s="117">
        <f>IF($H462="","",IF(AND(OR(LEFT($F462,3)="111",LEFT($F462,3)="112",LEFT($F462,3)="113"),OR(LEFT($G462,3)="111",LEFT($G462,3)="112",LEFT($G462,3)="113")),"NB",IF(OR(LEFT($F462,3)="111",LEFT($F462,3)="112",LEFT($F462,3)="113"),"THU",IF(OR(LEFT($G462,3)="111",LEFT($G462,3)="112",LEFT($G462,3)="113"),"CHI",""))))</f>
        <v/>
      </c>
      <c r="N462" s="117">
        <f>IF($M462="THU",$G462,IF($M462="CHI",$F462,""))</f>
        <v/>
      </c>
      <c r="O462" s="117">
        <f>IF(OR($M462="",$M462="NB"),"",IF($J462&lt;&gt;"",TEXT($J462,"00"),IFERROR(VLOOKUP(LEFT($N462,4),LCTT_MAP!$A$7:$C$66,IF($M462="THU",2,3),FALSE()),IFERROR(VLOOKUP(LEFT($N462,3),LCTT_MAP!$A$7:$C$66,IF($M462="THU",2,3),FALSE()),IFERROR(VLOOKUP(LEFT($N462,2),LCTT_MAP!$A$7:$C$66,IF($M462="THU",2,3),FALSE()),IFERROR(VLOOKUP(LEFT($N462,1),LCTT_MAP!$A$7:$C$66,IF($M462="THU",2,3),FALSE()),IF($M462="THU","06","07")))))))</f>
        <v/>
      </c>
      <c r="P462" s="117">
        <f>P461+IF(AND($H462&lt;&gt;"",OR(LEFT($F462,LEN(SC_TK))=SC_TK,LEFT($G462,LEN(SC_TK))=SC_TK)),1,0)</f>
        <v/>
      </c>
    </row>
    <row r="463" ht="15" customHeight="1" s="78">
      <c r="A463" s="95">
        <f>IF($H463="","",ROW()-6)</f>
        <v/>
      </c>
      <c r="B463" s="114" t="n"/>
      <c r="C463" s="102" t="n"/>
      <c r="D463" s="114" t="n"/>
      <c r="E463" s="103" t="n"/>
      <c r="F463" s="102" t="n"/>
      <c r="G463" s="102" t="n"/>
      <c r="H463" s="115" t="n"/>
      <c r="I463" s="102" t="n"/>
      <c r="J463" s="102" t="n"/>
      <c r="K463" s="103" t="n"/>
      <c r="L463" s="116">
        <f>IF($H463="","",TRIM(IF(COUNTIF(DMTK!$A$7:$A$250,$F463)=0,"TK Nợ sai! ","")&amp;IF(COUNTIF(DMTK!$A$7:$A$250,$G463)=0,"TK Có sai! ","")&amp;IF(N($H463)&lt;=0,"Tiền phải &gt; 0! ","")&amp;IF($B463="","Thiếu ngày! ","")&amp;IF(AND(OR(LEFT($F463,3)="131",LEFT($G463,3)="131",LEFT($F463,3)="331",LEFT($G463,3)="331"),$I463=""),"Thiếu Mã ĐT! ","")&amp;IF(AND($I463&lt;&gt;"",COUNTIF(DM_DT!$A$7:$A$306,$I463)=0),"Mã ĐT chưa khai báo! ","")))</f>
        <v/>
      </c>
      <c r="M463" s="117">
        <f>IF($H463="","",IF(AND(OR(LEFT($F463,3)="111",LEFT($F463,3)="112",LEFT($F463,3)="113"),OR(LEFT($G463,3)="111",LEFT($G463,3)="112",LEFT($G463,3)="113")),"NB",IF(OR(LEFT($F463,3)="111",LEFT($F463,3)="112",LEFT($F463,3)="113"),"THU",IF(OR(LEFT($G463,3)="111",LEFT($G463,3)="112",LEFT($G463,3)="113"),"CHI",""))))</f>
        <v/>
      </c>
      <c r="N463" s="117">
        <f>IF($M463="THU",$G463,IF($M463="CHI",$F463,""))</f>
        <v/>
      </c>
      <c r="O463" s="117">
        <f>IF(OR($M463="",$M463="NB"),"",IF($J463&lt;&gt;"",TEXT($J463,"00"),IFERROR(VLOOKUP(LEFT($N463,4),LCTT_MAP!$A$7:$C$66,IF($M463="THU",2,3),FALSE()),IFERROR(VLOOKUP(LEFT($N463,3),LCTT_MAP!$A$7:$C$66,IF($M463="THU",2,3),FALSE()),IFERROR(VLOOKUP(LEFT($N463,2),LCTT_MAP!$A$7:$C$66,IF($M463="THU",2,3),FALSE()),IFERROR(VLOOKUP(LEFT($N463,1),LCTT_MAP!$A$7:$C$66,IF($M463="THU",2,3),FALSE()),IF($M463="THU","06","07")))))))</f>
        <v/>
      </c>
      <c r="P463" s="117">
        <f>P462+IF(AND($H463&lt;&gt;"",OR(LEFT($F463,LEN(SC_TK))=SC_TK,LEFT($G463,LEN(SC_TK))=SC_TK)),1,0)</f>
        <v/>
      </c>
    </row>
    <row r="464" ht="15" customHeight="1" s="78">
      <c r="A464" s="95">
        <f>IF($H464="","",ROW()-6)</f>
        <v/>
      </c>
      <c r="B464" s="114" t="n"/>
      <c r="C464" s="102" t="n"/>
      <c r="D464" s="114" t="n"/>
      <c r="E464" s="103" t="n"/>
      <c r="F464" s="102" t="n"/>
      <c r="G464" s="102" t="n"/>
      <c r="H464" s="115" t="n"/>
      <c r="I464" s="102" t="n"/>
      <c r="J464" s="102" t="n"/>
      <c r="K464" s="103" t="n"/>
      <c r="L464" s="116">
        <f>IF($H464="","",TRIM(IF(COUNTIF(DMTK!$A$7:$A$250,$F464)=0,"TK Nợ sai! ","")&amp;IF(COUNTIF(DMTK!$A$7:$A$250,$G464)=0,"TK Có sai! ","")&amp;IF(N($H464)&lt;=0,"Tiền phải &gt; 0! ","")&amp;IF($B464="","Thiếu ngày! ","")&amp;IF(AND(OR(LEFT($F464,3)="131",LEFT($G464,3)="131",LEFT($F464,3)="331",LEFT($G464,3)="331"),$I464=""),"Thiếu Mã ĐT! ","")&amp;IF(AND($I464&lt;&gt;"",COUNTIF(DM_DT!$A$7:$A$306,$I464)=0),"Mã ĐT chưa khai báo! ","")))</f>
        <v/>
      </c>
      <c r="M464" s="117">
        <f>IF($H464="","",IF(AND(OR(LEFT($F464,3)="111",LEFT($F464,3)="112",LEFT($F464,3)="113"),OR(LEFT($G464,3)="111",LEFT($G464,3)="112",LEFT($G464,3)="113")),"NB",IF(OR(LEFT($F464,3)="111",LEFT($F464,3)="112",LEFT($F464,3)="113"),"THU",IF(OR(LEFT($G464,3)="111",LEFT($G464,3)="112",LEFT($G464,3)="113"),"CHI",""))))</f>
        <v/>
      </c>
      <c r="N464" s="117">
        <f>IF($M464="THU",$G464,IF($M464="CHI",$F464,""))</f>
        <v/>
      </c>
      <c r="O464" s="117">
        <f>IF(OR($M464="",$M464="NB"),"",IF($J464&lt;&gt;"",TEXT($J464,"00"),IFERROR(VLOOKUP(LEFT($N464,4),LCTT_MAP!$A$7:$C$66,IF($M464="THU",2,3),FALSE()),IFERROR(VLOOKUP(LEFT($N464,3),LCTT_MAP!$A$7:$C$66,IF($M464="THU",2,3),FALSE()),IFERROR(VLOOKUP(LEFT($N464,2),LCTT_MAP!$A$7:$C$66,IF($M464="THU",2,3),FALSE()),IFERROR(VLOOKUP(LEFT($N464,1),LCTT_MAP!$A$7:$C$66,IF($M464="THU",2,3),FALSE()),IF($M464="THU","06","07")))))))</f>
        <v/>
      </c>
      <c r="P464" s="117">
        <f>P463+IF(AND($H464&lt;&gt;"",OR(LEFT($F464,LEN(SC_TK))=SC_TK,LEFT($G464,LEN(SC_TK))=SC_TK)),1,0)</f>
        <v/>
      </c>
    </row>
    <row r="465" ht="15" customHeight="1" s="78">
      <c r="A465" s="95">
        <f>IF($H465="","",ROW()-6)</f>
        <v/>
      </c>
      <c r="B465" s="114" t="n"/>
      <c r="C465" s="102" t="n"/>
      <c r="D465" s="114" t="n"/>
      <c r="E465" s="103" t="n"/>
      <c r="F465" s="102" t="n"/>
      <c r="G465" s="102" t="n"/>
      <c r="H465" s="115" t="n"/>
      <c r="I465" s="102" t="n"/>
      <c r="J465" s="102" t="n"/>
      <c r="K465" s="103" t="n"/>
      <c r="L465" s="116">
        <f>IF($H465="","",TRIM(IF(COUNTIF(DMTK!$A$7:$A$250,$F465)=0,"TK Nợ sai! ","")&amp;IF(COUNTIF(DMTK!$A$7:$A$250,$G465)=0,"TK Có sai! ","")&amp;IF(N($H465)&lt;=0,"Tiền phải &gt; 0! ","")&amp;IF($B465="","Thiếu ngày! ","")&amp;IF(AND(OR(LEFT($F465,3)="131",LEFT($G465,3)="131",LEFT($F465,3)="331",LEFT($G465,3)="331"),$I465=""),"Thiếu Mã ĐT! ","")&amp;IF(AND($I465&lt;&gt;"",COUNTIF(DM_DT!$A$7:$A$306,$I465)=0),"Mã ĐT chưa khai báo! ","")))</f>
        <v/>
      </c>
      <c r="M465" s="117">
        <f>IF($H465="","",IF(AND(OR(LEFT($F465,3)="111",LEFT($F465,3)="112",LEFT($F465,3)="113"),OR(LEFT($G465,3)="111",LEFT($G465,3)="112",LEFT($G465,3)="113")),"NB",IF(OR(LEFT($F465,3)="111",LEFT($F465,3)="112",LEFT($F465,3)="113"),"THU",IF(OR(LEFT($G465,3)="111",LEFT($G465,3)="112",LEFT($G465,3)="113"),"CHI",""))))</f>
        <v/>
      </c>
      <c r="N465" s="117">
        <f>IF($M465="THU",$G465,IF($M465="CHI",$F465,""))</f>
        <v/>
      </c>
      <c r="O465" s="117">
        <f>IF(OR($M465="",$M465="NB"),"",IF($J465&lt;&gt;"",TEXT($J465,"00"),IFERROR(VLOOKUP(LEFT($N465,4),LCTT_MAP!$A$7:$C$66,IF($M465="THU",2,3),FALSE()),IFERROR(VLOOKUP(LEFT($N465,3),LCTT_MAP!$A$7:$C$66,IF($M465="THU",2,3),FALSE()),IFERROR(VLOOKUP(LEFT($N465,2),LCTT_MAP!$A$7:$C$66,IF($M465="THU",2,3),FALSE()),IFERROR(VLOOKUP(LEFT($N465,1),LCTT_MAP!$A$7:$C$66,IF($M465="THU",2,3),FALSE()),IF($M465="THU","06","07")))))))</f>
        <v/>
      </c>
      <c r="P465" s="117">
        <f>P464+IF(AND($H465&lt;&gt;"",OR(LEFT($F465,LEN(SC_TK))=SC_TK,LEFT($G465,LEN(SC_TK))=SC_TK)),1,0)</f>
        <v/>
      </c>
    </row>
    <row r="466" ht="15" customHeight="1" s="78">
      <c r="A466" s="95">
        <f>IF($H466="","",ROW()-6)</f>
        <v/>
      </c>
      <c r="B466" s="114" t="n"/>
      <c r="C466" s="102" t="n"/>
      <c r="D466" s="114" t="n"/>
      <c r="E466" s="103" t="n"/>
      <c r="F466" s="102" t="n"/>
      <c r="G466" s="102" t="n"/>
      <c r="H466" s="115" t="n"/>
      <c r="I466" s="102" t="n"/>
      <c r="J466" s="102" t="n"/>
      <c r="K466" s="103" t="n"/>
      <c r="L466" s="116">
        <f>IF($H466="","",TRIM(IF(COUNTIF(DMTK!$A$7:$A$250,$F466)=0,"TK Nợ sai! ","")&amp;IF(COUNTIF(DMTK!$A$7:$A$250,$G466)=0,"TK Có sai! ","")&amp;IF(N($H466)&lt;=0,"Tiền phải &gt; 0! ","")&amp;IF($B466="","Thiếu ngày! ","")&amp;IF(AND(OR(LEFT($F466,3)="131",LEFT($G466,3)="131",LEFT($F466,3)="331",LEFT($G466,3)="331"),$I466=""),"Thiếu Mã ĐT! ","")&amp;IF(AND($I466&lt;&gt;"",COUNTIF(DM_DT!$A$7:$A$306,$I466)=0),"Mã ĐT chưa khai báo! ","")))</f>
        <v/>
      </c>
      <c r="M466" s="117">
        <f>IF($H466="","",IF(AND(OR(LEFT($F466,3)="111",LEFT($F466,3)="112",LEFT($F466,3)="113"),OR(LEFT($G466,3)="111",LEFT($G466,3)="112",LEFT($G466,3)="113")),"NB",IF(OR(LEFT($F466,3)="111",LEFT($F466,3)="112",LEFT($F466,3)="113"),"THU",IF(OR(LEFT($G466,3)="111",LEFT($G466,3)="112",LEFT($G466,3)="113"),"CHI",""))))</f>
        <v/>
      </c>
      <c r="N466" s="117">
        <f>IF($M466="THU",$G466,IF($M466="CHI",$F466,""))</f>
        <v/>
      </c>
      <c r="O466" s="117">
        <f>IF(OR($M466="",$M466="NB"),"",IF($J466&lt;&gt;"",TEXT($J466,"00"),IFERROR(VLOOKUP(LEFT($N466,4),LCTT_MAP!$A$7:$C$66,IF($M466="THU",2,3),FALSE()),IFERROR(VLOOKUP(LEFT($N466,3),LCTT_MAP!$A$7:$C$66,IF($M466="THU",2,3),FALSE()),IFERROR(VLOOKUP(LEFT($N466,2),LCTT_MAP!$A$7:$C$66,IF($M466="THU",2,3),FALSE()),IFERROR(VLOOKUP(LEFT($N466,1),LCTT_MAP!$A$7:$C$66,IF($M466="THU",2,3),FALSE()),IF($M466="THU","06","07")))))))</f>
        <v/>
      </c>
      <c r="P466" s="117">
        <f>P465+IF(AND($H466&lt;&gt;"",OR(LEFT($F466,LEN(SC_TK))=SC_TK,LEFT($G466,LEN(SC_TK))=SC_TK)),1,0)</f>
        <v/>
      </c>
    </row>
    <row r="467" ht="15" customHeight="1" s="78">
      <c r="A467" s="95">
        <f>IF($H467="","",ROW()-6)</f>
        <v/>
      </c>
      <c r="B467" s="114" t="n"/>
      <c r="C467" s="102" t="n"/>
      <c r="D467" s="114" t="n"/>
      <c r="E467" s="103" t="n"/>
      <c r="F467" s="102" t="n"/>
      <c r="G467" s="102" t="n"/>
      <c r="H467" s="115" t="n"/>
      <c r="I467" s="102" t="n"/>
      <c r="J467" s="102" t="n"/>
      <c r="K467" s="103" t="n"/>
      <c r="L467" s="116">
        <f>IF($H467="","",TRIM(IF(COUNTIF(DMTK!$A$7:$A$250,$F467)=0,"TK Nợ sai! ","")&amp;IF(COUNTIF(DMTK!$A$7:$A$250,$G467)=0,"TK Có sai! ","")&amp;IF(N($H467)&lt;=0,"Tiền phải &gt; 0! ","")&amp;IF($B467="","Thiếu ngày! ","")&amp;IF(AND(OR(LEFT($F467,3)="131",LEFT($G467,3)="131",LEFT($F467,3)="331",LEFT($G467,3)="331"),$I467=""),"Thiếu Mã ĐT! ","")&amp;IF(AND($I467&lt;&gt;"",COUNTIF(DM_DT!$A$7:$A$306,$I467)=0),"Mã ĐT chưa khai báo! ","")))</f>
        <v/>
      </c>
      <c r="M467" s="117">
        <f>IF($H467="","",IF(AND(OR(LEFT($F467,3)="111",LEFT($F467,3)="112",LEFT($F467,3)="113"),OR(LEFT($G467,3)="111",LEFT($G467,3)="112",LEFT($G467,3)="113")),"NB",IF(OR(LEFT($F467,3)="111",LEFT($F467,3)="112",LEFT($F467,3)="113"),"THU",IF(OR(LEFT($G467,3)="111",LEFT($G467,3)="112",LEFT($G467,3)="113"),"CHI",""))))</f>
        <v/>
      </c>
      <c r="N467" s="117">
        <f>IF($M467="THU",$G467,IF($M467="CHI",$F467,""))</f>
        <v/>
      </c>
      <c r="O467" s="117">
        <f>IF(OR($M467="",$M467="NB"),"",IF($J467&lt;&gt;"",TEXT($J467,"00"),IFERROR(VLOOKUP(LEFT($N467,4),LCTT_MAP!$A$7:$C$66,IF($M467="THU",2,3),FALSE()),IFERROR(VLOOKUP(LEFT($N467,3),LCTT_MAP!$A$7:$C$66,IF($M467="THU",2,3),FALSE()),IFERROR(VLOOKUP(LEFT($N467,2),LCTT_MAP!$A$7:$C$66,IF($M467="THU",2,3),FALSE()),IFERROR(VLOOKUP(LEFT($N467,1),LCTT_MAP!$A$7:$C$66,IF($M467="THU",2,3),FALSE()),IF($M467="THU","06","07")))))))</f>
        <v/>
      </c>
      <c r="P467" s="117">
        <f>P466+IF(AND($H467&lt;&gt;"",OR(LEFT($F467,LEN(SC_TK))=SC_TK,LEFT($G467,LEN(SC_TK))=SC_TK)),1,0)</f>
        <v/>
      </c>
    </row>
    <row r="468" ht="15" customHeight="1" s="78">
      <c r="A468" s="95">
        <f>IF($H468="","",ROW()-6)</f>
        <v/>
      </c>
      <c r="B468" s="114" t="n"/>
      <c r="C468" s="102" t="n"/>
      <c r="D468" s="114" t="n"/>
      <c r="E468" s="103" t="n"/>
      <c r="F468" s="102" t="n"/>
      <c r="G468" s="102" t="n"/>
      <c r="H468" s="115" t="n"/>
      <c r="I468" s="102" t="n"/>
      <c r="J468" s="102" t="n"/>
      <c r="K468" s="103" t="n"/>
      <c r="L468" s="116">
        <f>IF($H468="","",TRIM(IF(COUNTIF(DMTK!$A$7:$A$250,$F468)=0,"TK Nợ sai! ","")&amp;IF(COUNTIF(DMTK!$A$7:$A$250,$G468)=0,"TK Có sai! ","")&amp;IF(N($H468)&lt;=0,"Tiền phải &gt; 0! ","")&amp;IF($B468="","Thiếu ngày! ","")&amp;IF(AND(OR(LEFT($F468,3)="131",LEFT($G468,3)="131",LEFT($F468,3)="331",LEFT($G468,3)="331"),$I468=""),"Thiếu Mã ĐT! ","")&amp;IF(AND($I468&lt;&gt;"",COUNTIF(DM_DT!$A$7:$A$306,$I468)=0),"Mã ĐT chưa khai báo! ","")))</f>
        <v/>
      </c>
      <c r="M468" s="117">
        <f>IF($H468="","",IF(AND(OR(LEFT($F468,3)="111",LEFT($F468,3)="112",LEFT($F468,3)="113"),OR(LEFT($G468,3)="111",LEFT($G468,3)="112",LEFT($G468,3)="113")),"NB",IF(OR(LEFT($F468,3)="111",LEFT($F468,3)="112",LEFT($F468,3)="113"),"THU",IF(OR(LEFT($G468,3)="111",LEFT($G468,3)="112",LEFT($G468,3)="113"),"CHI",""))))</f>
        <v/>
      </c>
      <c r="N468" s="117">
        <f>IF($M468="THU",$G468,IF($M468="CHI",$F468,""))</f>
        <v/>
      </c>
      <c r="O468" s="117">
        <f>IF(OR($M468="",$M468="NB"),"",IF($J468&lt;&gt;"",TEXT($J468,"00"),IFERROR(VLOOKUP(LEFT($N468,4),LCTT_MAP!$A$7:$C$66,IF($M468="THU",2,3),FALSE()),IFERROR(VLOOKUP(LEFT($N468,3),LCTT_MAP!$A$7:$C$66,IF($M468="THU",2,3),FALSE()),IFERROR(VLOOKUP(LEFT($N468,2),LCTT_MAP!$A$7:$C$66,IF($M468="THU",2,3),FALSE()),IFERROR(VLOOKUP(LEFT($N468,1),LCTT_MAP!$A$7:$C$66,IF($M468="THU",2,3),FALSE()),IF($M468="THU","06","07")))))))</f>
        <v/>
      </c>
      <c r="P468" s="117">
        <f>P467+IF(AND($H468&lt;&gt;"",OR(LEFT($F468,LEN(SC_TK))=SC_TK,LEFT($G468,LEN(SC_TK))=SC_TK)),1,0)</f>
        <v/>
      </c>
    </row>
    <row r="469" ht="15" customHeight="1" s="78">
      <c r="A469" s="95">
        <f>IF($H469="","",ROW()-6)</f>
        <v/>
      </c>
      <c r="B469" s="114" t="n"/>
      <c r="C469" s="102" t="n"/>
      <c r="D469" s="114" t="n"/>
      <c r="E469" s="103" t="n"/>
      <c r="F469" s="102" t="n"/>
      <c r="G469" s="102" t="n"/>
      <c r="H469" s="115" t="n"/>
      <c r="I469" s="102" t="n"/>
      <c r="J469" s="102" t="n"/>
      <c r="K469" s="103" t="n"/>
      <c r="L469" s="116">
        <f>IF($H469="","",TRIM(IF(COUNTIF(DMTK!$A$7:$A$250,$F469)=0,"TK Nợ sai! ","")&amp;IF(COUNTIF(DMTK!$A$7:$A$250,$G469)=0,"TK Có sai! ","")&amp;IF(N($H469)&lt;=0,"Tiền phải &gt; 0! ","")&amp;IF($B469="","Thiếu ngày! ","")&amp;IF(AND(OR(LEFT($F469,3)="131",LEFT($G469,3)="131",LEFT($F469,3)="331",LEFT($G469,3)="331"),$I469=""),"Thiếu Mã ĐT! ","")&amp;IF(AND($I469&lt;&gt;"",COUNTIF(DM_DT!$A$7:$A$306,$I469)=0),"Mã ĐT chưa khai báo! ","")))</f>
        <v/>
      </c>
      <c r="M469" s="117">
        <f>IF($H469="","",IF(AND(OR(LEFT($F469,3)="111",LEFT($F469,3)="112",LEFT($F469,3)="113"),OR(LEFT($G469,3)="111",LEFT($G469,3)="112",LEFT($G469,3)="113")),"NB",IF(OR(LEFT($F469,3)="111",LEFT($F469,3)="112",LEFT($F469,3)="113"),"THU",IF(OR(LEFT($G469,3)="111",LEFT($G469,3)="112",LEFT($G469,3)="113"),"CHI",""))))</f>
        <v/>
      </c>
      <c r="N469" s="117">
        <f>IF($M469="THU",$G469,IF($M469="CHI",$F469,""))</f>
        <v/>
      </c>
      <c r="O469" s="117">
        <f>IF(OR($M469="",$M469="NB"),"",IF($J469&lt;&gt;"",TEXT($J469,"00"),IFERROR(VLOOKUP(LEFT($N469,4),LCTT_MAP!$A$7:$C$66,IF($M469="THU",2,3),FALSE()),IFERROR(VLOOKUP(LEFT($N469,3),LCTT_MAP!$A$7:$C$66,IF($M469="THU",2,3),FALSE()),IFERROR(VLOOKUP(LEFT($N469,2),LCTT_MAP!$A$7:$C$66,IF($M469="THU",2,3),FALSE()),IFERROR(VLOOKUP(LEFT($N469,1),LCTT_MAP!$A$7:$C$66,IF($M469="THU",2,3),FALSE()),IF($M469="THU","06","07")))))))</f>
        <v/>
      </c>
      <c r="P469" s="117">
        <f>P468+IF(AND($H469&lt;&gt;"",OR(LEFT($F469,LEN(SC_TK))=SC_TK,LEFT($G469,LEN(SC_TK))=SC_TK)),1,0)</f>
        <v/>
      </c>
    </row>
    <row r="470" ht="15" customHeight="1" s="78">
      <c r="A470" s="95">
        <f>IF($H470="","",ROW()-6)</f>
        <v/>
      </c>
      <c r="B470" s="114" t="n"/>
      <c r="C470" s="102" t="n"/>
      <c r="D470" s="114" t="n"/>
      <c r="E470" s="103" t="n"/>
      <c r="F470" s="102" t="n"/>
      <c r="G470" s="102" t="n"/>
      <c r="H470" s="115" t="n"/>
      <c r="I470" s="102" t="n"/>
      <c r="J470" s="102" t="n"/>
      <c r="K470" s="103" t="n"/>
      <c r="L470" s="116">
        <f>IF($H470="","",TRIM(IF(COUNTIF(DMTK!$A$7:$A$250,$F470)=0,"TK Nợ sai! ","")&amp;IF(COUNTIF(DMTK!$A$7:$A$250,$G470)=0,"TK Có sai! ","")&amp;IF(N($H470)&lt;=0,"Tiền phải &gt; 0! ","")&amp;IF($B470="","Thiếu ngày! ","")&amp;IF(AND(OR(LEFT($F470,3)="131",LEFT($G470,3)="131",LEFT($F470,3)="331",LEFT($G470,3)="331"),$I470=""),"Thiếu Mã ĐT! ","")&amp;IF(AND($I470&lt;&gt;"",COUNTIF(DM_DT!$A$7:$A$306,$I470)=0),"Mã ĐT chưa khai báo! ","")))</f>
        <v/>
      </c>
      <c r="M470" s="117">
        <f>IF($H470="","",IF(AND(OR(LEFT($F470,3)="111",LEFT($F470,3)="112",LEFT($F470,3)="113"),OR(LEFT($G470,3)="111",LEFT($G470,3)="112",LEFT($G470,3)="113")),"NB",IF(OR(LEFT($F470,3)="111",LEFT($F470,3)="112",LEFT($F470,3)="113"),"THU",IF(OR(LEFT($G470,3)="111",LEFT($G470,3)="112",LEFT($G470,3)="113"),"CHI",""))))</f>
        <v/>
      </c>
      <c r="N470" s="117">
        <f>IF($M470="THU",$G470,IF($M470="CHI",$F470,""))</f>
        <v/>
      </c>
      <c r="O470" s="117">
        <f>IF(OR($M470="",$M470="NB"),"",IF($J470&lt;&gt;"",TEXT($J470,"00"),IFERROR(VLOOKUP(LEFT($N470,4),LCTT_MAP!$A$7:$C$66,IF($M470="THU",2,3),FALSE()),IFERROR(VLOOKUP(LEFT($N470,3),LCTT_MAP!$A$7:$C$66,IF($M470="THU",2,3),FALSE()),IFERROR(VLOOKUP(LEFT($N470,2),LCTT_MAP!$A$7:$C$66,IF($M470="THU",2,3),FALSE()),IFERROR(VLOOKUP(LEFT($N470,1),LCTT_MAP!$A$7:$C$66,IF($M470="THU",2,3),FALSE()),IF($M470="THU","06","07")))))))</f>
        <v/>
      </c>
      <c r="P470" s="117">
        <f>P469+IF(AND($H470&lt;&gt;"",OR(LEFT($F470,LEN(SC_TK))=SC_TK,LEFT($G470,LEN(SC_TK))=SC_TK)),1,0)</f>
        <v/>
      </c>
    </row>
    <row r="471" ht="15" customHeight="1" s="78">
      <c r="A471" s="95">
        <f>IF($H471="","",ROW()-6)</f>
        <v/>
      </c>
      <c r="B471" s="114" t="n"/>
      <c r="C471" s="102" t="n"/>
      <c r="D471" s="114" t="n"/>
      <c r="E471" s="103" t="n"/>
      <c r="F471" s="102" t="n"/>
      <c r="G471" s="102" t="n"/>
      <c r="H471" s="115" t="n"/>
      <c r="I471" s="102" t="n"/>
      <c r="J471" s="102" t="n"/>
      <c r="K471" s="103" t="n"/>
      <c r="L471" s="116">
        <f>IF($H471="","",TRIM(IF(COUNTIF(DMTK!$A$7:$A$250,$F471)=0,"TK Nợ sai! ","")&amp;IF(COUNTIF(DMTK!$A$7:$A$250,$G471)=0,"TK Có sai! ","")&amp;IF(N($H471)&lt;=0,"Tiền phải &gt; 0! ","")&amp;IF($B471="","Thiếu ngày! ","")&amp;IF(AND(OR(LEFT($F471,3)="131",LEFT($G471,3)="131",LEFT($F471,3)="331",LEFT($G471,3)="331"),$I471=""),"Thiếu Mã ĐT! ","")&amp;IF(AND($I471&lt;&gt;"",COUNTIF(DM_DT!$A$7:$A$306,$I471)=0),"Mã ĐT chưa khai báo! ","")))</f>
        <v/>
      </c>
      <c r="M471" s="117">
        <f>IF($H471="","",IF(AND(OR(LEFT($F471,3)="111",LEFT($F471,3)="112",LEFT($F471,3)="113"),OR(LEFT($G471,3)="111",LEFT($G471,3)="112",LEFT($G471,3)="113")),"NB",IF(OR(LEFT($F471,3)="111",LEFT($F471,3)="112",LEFT($F471,3)="113"),"THU",IF(OR(LEFT($G471,3)="111",LEFT($G471,3)="112",LEFT($G471,3)="113"),"CHI",""))))</f>
        <v/>
      </c>
      <c r="N471" s="117">
        <f>IF($M471="THU",$G471,IF($M471="CHI",$F471,""))</f>
        <v/>
      </c>
      <c r="O471" s="117">
        <f>IF(OR($M471="",$M471="NB"),"",IF($J471&lt;&gt;"",TEXT($J471,"00"),IFERROR(VLOOKUP(LEFT($N471,4),LCTT_MAP!$A$7:$C$66,IF($M471="THU",2,3),FALSE()),IFERROR(VLOOKUP(LEFT($N471,3),LCTT_MAP!$A$7:$C$66,IF($M471="THU",2,3),FALSE()),IFERROR(VLOOKUP(LEFT($N471,2),LCTT_MAP!$A$7:$C$66,IF($M471="THU",2,3),FALSE()),IFERROR(VLOOKUP(LEFT($N471,1),LCTT_MAP!$A$7:$C$66,IF($M471="THU",2,3),FALSE()),IF($M471="THU","06","07")))))))</f>
        <v/>
      </c>
      <c r="P471" s="117">
        <f>P470+IF(AND($H471&lt;&gt;"",OR(LEFT($F471,LEN(SC_TK))=SC_TK,LEFT($G471,LEN(SC_TK))=SC_TK)),1,0)</f>
        <v/>
      </c>
    </row>
    <row r="472" ht="15" customHeight="1" s="78">
      <c r="A472" s="95">
        <f>IF($H472="","",ROW()-6)</f>
        <v/>
      </c>
      <c r="B472" s="114" t="n"/>
      <c r="C472" s="102" t="n"/>
      <c r="D472" s="114" t="n"/>
      <c r="E472" s="103" t="n"/>
      <c r="F472" s="102" t="n"/>
      <c r="G472" s="102" t="n"/>
      <c r="H472" s="115" t="n"/>
      <c r="I472" s="102" t="n"/>
      <c r="J472" s="102" t="n"/>
      <c r="K472" s="103" t="n"/>
      <c r="L472" s="116">
        <f>IF($H472="","",TRIM(IF(COUNTIF(DMTK!$A$7:$A$250,$F472)=0,"TK Nợ sai! ","")&amp;IF(COUNTIF(DMTK!$A$7:$A$250,$G472)=0,"TK Có sai! ","")&amp;IF(N($H472)&lt;=0,"Tiền phải &gt; 0! ","")&amp;IF($B472="","Thiếu ngày! ","")&amp;IF(AND(OR(LEFT($F472,3)="131",LEFT($G472,3)="131",LEFT($F472,3)="331",LEFT($G472,3)="331"),$I472=""),"Thiếu Mã ĐT! ","")&amp;IF(AND($I472&lt;&gt;"",COUNTIF(DM_DT!$A$7:$A$306,$I472)=0),"Mã ĐT chưa khai báo! ","")))</f>
        <v/>
      </c>
      <c r="M472" s="117">
        <f>IF($H472="","",IF(AND(OR(LEFT($F472,3)="111",LEFT($F472,3)="112",LEFT($F472,3)="113"),OR(LEFT($G472,3)="111",LEFT($G472,3)="112",LEFT($G472,3)="113")),"NB",IF(OR(LEFT($F472,3)="111",LEFT($F472,3)="112",LEFT($F472,3)="113"),"THU",IF(OR(LEFT($G472,3)="111",LEFT($G472,3)="112",LEFT($G472,3)="113"),"CHI",""))))</f>
        <v/>
      </c>
      <c r="N472" s="117">
        <f>IF($M472="THU",$G472,IF($M472="CHI",$F472,""))</f>
        <v/>
      </c>
      <c r="O472" s="117">
        <f>IF(OR($M472="",$M472="NB"),"",IF($J472&lt;&gt;"",TEXT($J472,"00"),IFERROR(VLOOKUP(LEFT($N472,4),LCTT_MAP!$A$7:$C$66,IF($M472="THU",2,3),FALSE()),IFERROR(VLOOKUP(LEFT($N472,3),LCTT_MAP!$A$7:$C$66,IF($M472="THU",2,3),FALSE()),IFERROR(VLOOKUP(LEFT($N472,2),LCTT_MAP!$A$7:$C$66,IF($M472="THU",2,3),FALSE()),IFERROR(VLOOKUP(LEFT($N472,1),LCTT_MAP!$A$7:$C$66,IF($M472="THU",2,3),FALSE()),IF($M472="THU","06","07")))))))</f>
        <v/>
      </c>
      <c r="P472" s="117">
        <f>P471+IF(AND($H472&lt;&gt;"",OR(LEFT($F472,LEN(SC_TK))=SC_TK,LEFT($G472,LEN(SC_TK))=SC_TK)),1,0)</f>
        <v/>
      </c>
    </row>
    <row r="473" ht="15" customHeight="1" s="78">
      <c r="A473" s="95">
        <f>IF($H473="","",ROW()-6)</f>
        <v/>
      </c>
      <c r="B473" s="114" t="n"/>
      <c r="C473" s="102" t="n"/>
      <c r="D473" s="114" t="n"/>
      <c r="E473" s="103" t="n"/>
      <c r="F473" s="102" t="n"/>
      <c r="G473" s="102" t="n"/>
      <c r="H473" s="115" t="n"/>
      <c r="I473" s="102" t="n"/>
      <c r="J473" s="102" t="n"/>
      <c r="K473" s="103" t="n"/>
      <c r="L473" s="116">
        <f>IF($H473="","",TRIM(IF(COUNTIF(DMTK!$A$7:$A$250,$F473)=0,"TK Nợ sai! ","")&amp;IF(COUNTIF(DMTK!$A$7:$A$250,$G473)=0,"TK Có sai! ","")&amp;IF(N($H473)&lt;=0,"Tiền phải &gt; 0! ","")&amp;IF($B473="","Thiếu ngày! ","")&amp;IF(AND(OR(LEFT($F473,3)="131",LEFT($G473,3)="131",LEFT($F473,3)="331",LEFT($G473,3)="331"),$I473=""),"Thiếu Mã ĐT! ","")&amp;IF(AND($I473&lt;&gt;"",COUNTIF(DM_DT!$A$7:$A$306,$I473)=0),"Mã ĐT chưa khai báo! ","")))</f>
        <v/>
      </c>
      <c r="M473" s="117">
        <f>IF($H473="","",IF(AND(OR(LEFT($F473,3)="111",LEFT($F473,3)="112",LEFT($F473,3)="113"),OR(LEFT($G473,3)="111",LEFT($G473,3)="112",LEFT($G473,3)="113")),"NB",IF(OR(LEFT($F473,3)="111",LEFT($F473,3)="112",LEFT($F473,3)="113"),"THU",IF(OR(LEFT($G473,3)="111",LEFT($G473,3)="112",LEFT($G473,3)="113"),"CHI",""))))</f>
        <v/>
      </c>
      <c r="N473" s="117">
        <f>IF($M473="THU",$G473,IF($M473="CHI",$F473,""))</f>
        <v/>
      </c>
      <c r="O473" s="117">
        <f>IF(OR($M473="",$M473="NB"),"",IF($J473&lt;&gt;"",TEXT($J473,"00"),IFERROR(VLOOKUP(LEFT($N473,4),LCTT_MAP!$A$7:$C$66,IF($M473="THU",2,3),FALSE()),IFERROR(VLOOKUP(LEFT($N473,3),LCTT_MAP!$A$7:$C$66,IF($M473="THU",2,3),FALSE()),IFERROR(VLOOKUP(LEFT($N473,2),LCTT_MAP!$A$7:$C$66,IF($M473="THU",2,3),FALSE()),IFERROR(VLOOKUP(LEFT($N473,1),LCTT_MAP!$A$7:$C$66,IF($M473="THU",2,3),FALSE()),IF($M473="THU","06","07")))))))</f>
        <v/>
      </c>
      <c r="P473" s="117">
        <f>P472+IF(AND($H473&lt;&gt;"",OR(LEFT($F473,LEN(SC_TK))=SC_TK,LEFT($G473,LEN(SC_TK))=SC_TK)),1,0)</f>
        <v/>
      </c>
    </row>
    <row r="474" ht="15" customHeight="1" s="78">
      <c r="A474" s="95">
        <f>IF($H474="","",ROW()-6)</f>
        <v/>
      </c>
      <c r="B474" s="114" t="n"/>
      <c r="C474" s="102" t="n"/>
      <c r="D474" s="114" t="n"/>
      <c r="E474" s="103" t="n"/>
      <c r="F474" s="102" t="n"/>
      <c r="G474" s="102" t="n"/>
      <c r="H474" s="115" t="n"/>
      <c r="I474" s="102" t="n"/>
      <c r="J474" s="102" t="n"/>
      <c r="K474" s="103" t="n"/>
      <c r="L474" s="116">
        <f>IF($H474="","",TRIM(IF(COUNTIF(DMTK!$A$7:$A$250,$F474)=0,"TK Nợ sai! ","")&amp;IF(COUNTIF(DMTK!$A$7:$A$250,$G474)=0,"TK Có sai! ","")&amp;IF(N($H474)&lt;=0,"Tiền phải &gt; 0! ","")&amp;IF($B474="","Thiếu ngày! ","")&amp;IF(AND(OR(LEFT($F474,3)="131",LEFT($G474,3)="131",LEFT($F474,3)="331",LEFT($G474,3)="331"),$I474=""),"Thiếu Mã ĐT! ","")&amp;IF(AND($I474&lt;&gt;"",COUNTIF(DM_DT!$A$7:$A$306,$I474)=0),"Mã ĐT chưa khai báo! ","")))</f>
        <v/>
      </c>
      <c r="M474" s="117">
        <f>IF($H474="","",IF(AND(OR(LEFT($F474,3)="111",LEFT($F474,3)="112",LEFT($F474,3)="113"),OR(LEFT($G474,3)="111",LEFT($G474,3)="112",LEFT($G474,3)="113")),"NB",IF(OR(LEFT($F474,3)="111",LEFT($F474,3)="112",LEFT($F474,3)="113"),"THU",IF(OR(LEFT($G474,3)="111",LEFT($G474,3)="112",LEFT($G474,3)="113"),"CHI",""))))</f>
        <v/>
      </c>
      <c r="N474" s="117">
        <f>IF($M474="THU",$G474,IF($M474="CHI",$F474,""))</f>
        <v/>
      </c>
      <c r="O474" s="117">
        <f>IF(OR($M474="",$M474="NB"),"",IF($J474&lt;&gt;"",TEXT($J474,"00"),IFERROR(VLOOKUP(LEFT($N474,4),LCTT_MAP!$A$7:$C$66,IF($M474="THU",2,3),FALSE()),IFERROR(VLOOKUP(LEFT($N474,3),LCTT_MAP!$A$7:$C$66,IF($M474="THU",2,3),FALSE()),IFERROR(VLOOKUP(LEFT($N474,2),LCTT_MAP!$A$7:$C$66,IF($M474="THU",2,3),FALSE()),IFERROR(VLOOKUP(LEFT($N474,1),LCTT_MAP!$A$7:$C$66,IF($M474="THU",2,3),FALSE()),IF($M474="THU","06","07")))))))</f>
        <v/>
      </c>
      <c r="P474" s="117">
        <f>P473+IF(AND($H474&lt;&gt;"",OR(LEFT($F474,LEN(SC_TK))=SC_TK,LEFT($G474,LEN(SC_TK))=SC_TK)),1,0)</f>
        <v/>
      </c>
    </row>
    <row r="475" ht="15" customHeight="1" s="78">
      <c r="A475" s="95">
        <f>IF($H475="","",ROW()-6)</f>
        <v/>
      </c>
      <c r="B475" s="114" t="n"/>
      <c r="C475" s="102" t="n"/>
      <c r="D475" s="114" t="n"/>
      <c r="E475" s="103" t="n"/>
      <c r="F475" s="102" t="n"/>
      <c r="G475" s="102" t="n"/>
      <c r="H475" s="115" t="n"/>
      <c r="I475" s="102" t="n"/>
      <c r="J475" s="102" t="n"/>
      <c r="K475" s="103" t="n"/>
      <c r="L475" s="116">
        <f>IF($H475="","",TRIM(IF(COUNTIF(DMTK!$A$7:$A$250,$F475)=0,"TK Nợ sai! ","")&amp;IF(COUNTIF(DMTK!$A$7:$A$250,$G475)=0,"TK Có sai! ","")&amp;IF(N($H475)&lt;=0,"Tiền phải &gt; 0! ","")&amp;IF($B475="","Thiếu ngày! ","")&amp;IF(AND(OR(LEFT($F475,3)="131",LEFT($G475,3)="131",LEFT($F475,3)="331",LEFT($G475,3)="331"),$I475=""),"Thiếu Mã ĐT! ","")&amp;IF(AND($I475&lt;&gt;"",COUNTIF(DM_DT!$A$7:$A$306,$I475)=0),"Mã ĐT chưa khai báo! ","")))</f>
        <v/>
      </c>
      <c r="M475" s="117">
        <f>IF($H475="","",IF(AND(OR(LEFT($F475,3)="111",LEFT($F475,3)="112",LEFT($F475,3)="113"),OR(LEFT($G475,3)="111",LEFT($G475,3)="112",LEFT($G475,3)="113")),"NB",IF(OR(LEFT($F475,3)="111",LEFT($F475,3)="112",LEFT($F475,3)="113"),"THU",IF(OR(LEFT($G475,3)="111",LEFT($G475,3)="112",LEFT($G475,3)="113"),"CHI",""))))</f>
        <v/>
      </c>
      <c r="N475" s="117">
        <f>IF($M475="THU",$G475,IF($M475="CHI",$F475,""))</f>
        <v/>
      </c>
      <c r="O475" s="117">
        <f>IF(OR($M475="",$M475="NB"),"",IF($J475&lt;&gt;"",TEXT($J475,"00"),IFERROR(VLOOKUP(LEFT($N475,4),LCTT_MAP!$A$7:$C$66,IF($M475="THU",2,3),FALSE()),IFERROR(VLOOKUP(LEFT($N475,3),LCTT_MAP!$A$7:$C$66,IF($M475="THU",2,3),FALSE()),IFERROR(VLOOKUP(LEFT($N475,2),LCTT_MAP!$A$7:$C$66,IF($M475="THU",2,3),FALSE()),IFERROR(VLOOKUP(LEFT($N475,1),LCTT_MAP!$A$7:$C$66,IF($M475="THU",2,3),FALSE()),IF($M475="THU","06","07")))))))</f>
        <v/>
      </c>
      <c r="P475" s="117">
        <f>P474+IF(AND($H475&lt;&gt;"",OR(LEFT($F475,LEN(SC_TK))=SC_TK,LEFT($G475,LEN(SC_TK))=SC_TK)),1,0)</f>
        <v/>
      </c>
    </row>
    <row r="476" ht="15" customHeight="1" s="78">
      <c r="A476" s="95">
        <f>IF($H476="","",ROW()-6)</f>
        <v/>
      </c>
      <c r="B476" s="114" t="n"/>
      <c r="C476" s="102" t="n"/>
      <c r="D476" s="114" t="n"/>
      <c r="E476" s="103" t="n"/>
      <c r="F476" s="102" t="n"/>
      <c r="G476" s="102" t="n"/>
      <c r="H476" s="115" t="n"/>
      <c r="I476" s="102" t="n"/>
      <c r="J476" s="102" t="n"/>
      <c r="K476" s="103" t="n"/>
      <c r="L476" s="116">
        <f>IF($H476="","",TRIM(IF(COUNTIF(DMTK!$A$7:$A$250,$F476)=0,"TK Nợ sai! ","")&amp;IF(COUNTIF(DMTK!$A$7:$A$250,$G476)=0,"TK Có sai! ","")&amp;IF(N($H476)&lt;=0,"Tiền phải &gt; 0! ","")&amp;IF($B476="","Thiếu ngày! ","")&amp;IF(AND(OR(LEFT($F476,3)="131",LEFT($G476,3)="131",LEFT($F476,3)="331",LEFT($G476,3)="331"),$I476=""),"Thiếu Mã ĐT! ","")&amp;IF(AND($I476&lt;&gt;"",COUNTIF(DM_DT!$A$7:$A$306,$I476)=0),"Mã ĐT chưa khai báo! ","")))</f>
        <v/>
      </c>
      <c r="M476" s="117">
        <f>IF($H476="","",IF(AND(OR(LEFT($F476,3)="111",LEFT($F476,3)="112",LEFT($F476,3)="113"),OR(LEFT($G476,3)="111",LEFT($G476,3)="112",LEFT($G476,3)="113")),"NB",IF(OR(LEFT($F476,3)="111",LEFT($F476,3)="112",LEFT($F476,3)="113"),"THU",IF(OR(LEFT($G476,3)="111",LEFT($G476,3)="112",LEFT($G476,3)="113"),"CHI",""))))</f>
        <v/>
      </c>
      <c r="N476" s="117">
        <f>IF($M476="THU",$G476,IF($M476="CHI",$F476,""))</f>
        <v/>
      </c>
      <c r="O476" s="117">
        <f>IF(OR($M476="",$M476="NB"),"",IF($J476&lt;&gt;"",TEXT($J476,"00"),IFERROR(VLOOKUP(LEFT($N476,4),LCTT_MAP!$A$7:$C$66,IF($M476="THU",2,3),FALSE()),IFERROR(VLOOKUP(LEFT($N476,3),LCTT_MAP!$A$7:$C$66,IF($M476="THU",2,3),FALSE()),IFERROR(VLOOKUP(LEFT($N476,2),LCTT_MAP!$A$7:$C$66,IF($M476="THU",2,3),FALSE()),IFERROR(VLOOKUP(LEFT($N476,1),LCTT_MAP!$A$7:$C$66,IF($M476="THU",2,3),FALSE()),IF($M476="THU","06","07")))))))</f>
        <v/>
      </c>
      <c r="P476" s="117">
        <f>P475+IF(AND($H476&lt;&gt;"",OR(LEFT($F476,LEN(SC_TK))=SC_TK,LEFT($G476,LEN(SC_TK))=SC_TK)),1,0)</f>
        <v/>
      </c>
    </row>
    <row r="477" ht="15" customHeight="1" s="78">
      <c r="A477" s="95">
        <f>IF($H477="","",ROW()-6)</f>
        <v/>
      </c>
      <c r="B477" s="114" t="n"/>
      <c r="C477" s="102" t="n"/>
      <c r="D477" s="114" t="n"/>
      <c r="E477" s="103" t="n"/>
      <c r="F477" s="102" t="n"/>
      <c r="G477" s="102" t="n"/>
      <c r="H477" s="115" t="n"/>
      <c r="I477" s="102" t="n"/>
      <c r="J477" s="102" t="n"/>
      <c r="K477" s="103" t="n"/>
      <c r="L477" s="116">
        <f>IF($H477="","",TRIM(IF(COUNTIF(DMTK!$A$7:$A$250,$F477)=0,"TK Nợ sai! ","")&amp;IF(COUNTIF(DMTK!$A$7:$A$250,$G477)=0,"TK Có sai! ","")&amp;IF(N($H477)&lt;=0,"Tiền phải &gt; 0! ","")&amp;IF($B477="","Thiếu ngày! ","")&amp;IF(AND(OR(LEFT($F477,3)="131",LEFT($G477,3)="131",LEFT($F477,3)="331",LEFT($G477,3)="331"),$I477=""),"Thiếu Mã ĐT! ","")&amp;IF(AND($I477&lt;&gt;"",COUNTIF(DM_DT!$A$7:$A$306,$I477)=0),"Mã ĐT chưa khai báo! ","")))</f>
        <v/>
      </c>
      <c r="M477" s="117">
        <f>IF($H477="","",IF(AND(OR(LEFT($F477,3)="111",LEFT($F477,3)="112",LEFT($F477,3)="113"),OR(LEFT($G477,3)="111",LEFT($G477,3)="112",LEFT($G477,3)="113")),"NB",IF(OR(LEFT($F477,3)="111",LEFT($F477,3)="112",LEFT($F477,3)="113"),"THU",IF(OR(LEFT($G477,3)="111",LEFT($G477,3)="112",LEFT($G477,3)="113"),"CHI",""))))</f>
        <v/>
      </c>
      <c r="N477" s="117">
        <f>IF($M477="THU",$G477,IF($M477="CHI",$F477,""))</f>
        <v/>
      </c>
      <c r="O477" s="117">
        <f>IF(OR($M477="",$M477="NB"),"",IF($J477&lt;&gt;"",TEXT($J477,"00"),IFERROR(VLOOKUP(LEFT($N477,4),LCTT_MAP!$A$7:$C$66,IF($M477="THU",2,3),FALSE()),IFERROR(VLOOKUP(LEFT($N477,3),LCTT_MAP!$A$7:$C$66,IF($M477="THU",2,3),FALSE()),IFERROR(VLOOKUP(LEFT($N477,2),LCTT_MAP!$A$7:$C$66,IF($M477="THU",2,3),FALSE()),IFERROR(VLOOKUP(LEFT($N477,1),LCTT_MAP!$A$7:$C$66,IF($M477="THU",2,3),FALSE()),IF($M477="THU","06","07")))))))</f>
        <v/>
      </c>
      <c r="P477" s="117">
        <f>P476+IF(AND($H477&lt;&gt;"",OR(LEFT($F477,LEN(SC_TK))=SC_TK,LEFT($G477,LEN(SC_TK))=SC_TK)),1,0)</f>
        <v/>
      </c>
    </row>
    <row r="478" ht="15" customHeight="1" s="78">
      <c r="A478" s="95">
        <f>IF($H478="","",ROW()-6)</f>
        <v/>
      </c>
      <c r="B478" s="114" t="n"/>
      <c r="C478" s="102" t="n"/>
      <c r="D478" s="114" t="n"/>
      <c r="E478" s="103" t="n"/>
      <c r="F478" s="102" t="n"/>
      <c r="G478" s="102" t="n"/>
      <c r="H478" s="115" t="n"/>
      <c r="I478" s="102" t="n"/>
      <c r="J478" s="102" t="n"/>
      <c r="K478" s="103" t="n"/>
      <c r="L478" s="116">
        <f>IF($H478="","",TRIM(IF(COUNTIF(DMTK!$A$7:$A$250,$F478)=0,"TK Nợ sai! ","")&amp;IF(COUNTIF(DMTK!$A$7:$A$250,$G478)=0,"TK Có sai! ","")&amp;IF(N($H478)&lt;=0,"Tiền phải &gt; 0! ","")&amp;IF($B478="","Thiếu ngày! ","")&amp;IF(AND(OR(LEFT($F478,3)="131",LEFT($G478,3)="131",LEFT($F478,3)="331",LEFT($G478,3)="331"),$I478=""),"Thiếu Mã ĐT! ","")&amp;IF(AND($I478&lt;&gt;"",COUNTIF(DM_DT!$A$7:$A$306,$I478)=0),"Mã ĐT chưa khai báo! ","")))</f>
        <v/>
      </c>
      <c r="M478" s="117">
        <f>IF($H478="","",IF(AND(OR(LEFT($F478,3)="111",LEFT($F478,3)="112",LEFT($F478,3)="113"),OR(LEFT($G478,3)="111",LEFT($G478,3)="112",LEFT($G478,3)="113")),"NB",IF(OR(LEFT($F478,3)="111",LEFT($F478,3)="112",LEFT($F478,3)="113"),"THU",IF(OR(LEFT($G478,3)="111",LEFT($G478,3)="112",LEFT($G478,3)="113"),"CHI",""))))</f>
        <v/>
      </c>
      <c r="N478" s="117">
        <f>IF($M478="THU",$G478,IF($M478="CHI",$F478,""))</f>
        <v/>
      </c>
      <c r="O478" s="117">
        <f>IF(OR($M478="",$M478="NB"),"",IF($J478&lt;&gt;"",TEXT($J478,"00"),IFERROR(VLOOKUP(LEFT($N478,4),LCTT_MAP!$A$7:$C$66,IF($M478="THU",2,3),FALSE()),IFERROR(VLOOKUP(LEFT($N478,3),LCTT_MAP!$A$7:$C$66,IF($M478="THU",2,3),FALSE()),IFERROR(VLOOKUP(LEFT($N478,2),LCTT_MAP!$A$7:$C$66,IF($M478="THU",2,3),FALSE()),IFERROR(VLOOKUP(LEFT($N478,1),LCTT_MAP!$A$7:$C$66,IF($M478="THU",2,3),FALSE()),IF($M478="THU","06","07")))))))</f>
        <v/>
      </c>
      <c r="P478" s="117">
        <f>P477+IF(AND($H478&lt;&gt;"",OR(LEFT($F478,LEN(SC_TK))=SC_TK,LEFT($G478,LEN(SC_TK))=SC_TK)),1,0)</f>
        <v/>
      </c>
    </row>
    <row r="479" ht="15" customHeight="1" s="78">
      <c r="A479" s="95">
        <f>IF($H479="","",ROW()-6)</f>
        <v/>
      </c>
      <c r="B479" s="114" t="n"/>
      <c r="C479" s="102" t="n"/>
      <c r="D479" s="114" t="n"/>
      <c r="E479" s="103" t="n"/>
      <c r="F479" s="102" t="n"/>
      <c r="G479" s="102" t="n"/>
      <c r="H479" s="115" t="n"/>
      <c r="I479" s="102" t="n"/>
      <c r="J479" s="102" t="n"/>
      <c r="K479" s="103" t="n"/>
      <c r="L479" s="116">
        <f>IF($H479="","",TRIM(IF(COUNTIF(DMTK!$A$7:$A$250,$F479)=0,"TK Nợ sai! ","")&amp;IF(COUNTIF(DMTK!$A$7:$A$250,$G479)=0,"TK Có sai! ","")&amp;IF(N($H479)&lt;=0,"Tiền phải &gt; 0! ","")&amp;IF($B479="","Thiếu ngày! ","")&amp;IF(AND(OR(LEFT($F479,3)="131",LEFT($G479,3)="131",LEFT($F479,3)="331",LEFT($G479,3)="331"),$I479=""),"Thiếu Mã ĐT! ","")&amp;IF(AND($I479&lt;&gt;"",COUNTIF(DM_DT!$A$7:$A$306,$I479)=0),"Mã ĐT chưa khai báo! ","")))</f>
        <v/>
      </c>
      <c r="M479" s="117">
        <f>IF($H479="","",IF(AND(OR(LEFT($F479,3)="111",LEFT($F479,3)="112",LEFT($F479,3)="113"),OR(LEFT($G479,3)="111",LEFT($G479,3)="112",LEFT($G479,3)="113")),"NB",IF(OR(LEFT($F479,3)="111",LEFT($F479,3)="112",LEFT($F479,3)="113"),"THU",IF(OR(LEFT($G479,3)="111",LEFT($G479,3)="112",LEFT($G479,3)="113"),"CHI",""))))</f>
        <v/>
      </c>
      <c r="N479" s="117">
        <f>IF($M479="THU",$G479,IF($M479="CHI",$F479,""))</f>
        <v/>
      </c>
      <c r="O479" s="117">
        <f>IF(OR($M479="",$M479="NB"),"",IF($J479&lt;&gt;"",TEXT($J479,"00"),IFERROR(VLOOKUP(LEFT($N479,4),LCTT_MAP!$A$7:$C$66,IF($M479="THU",2,3),FALSE()),IFERROR(VLOOKUP(LEFT($N479,3),LCTT_MAP!$A$7:$C$66,IF($M479="THU",2,3),FALSE()),IFERROR(VLOOKUP(LEFT($N479,2),LCTT_MAP!$A$7:$C$66,IF($M479="THU",2,3),FALSE()),IFERROR(VLOOKUP(LEFT($N479,1),LCTT_MAP!$A$7:$C$66,IF($M479="THU",2,3),FALSE()),IF($M479="THU","06","07")))))))</f>
        <v/>
      </c>
      <c r="P479" s="117">
        <f>P478+IF(AND($H479&lt;&gt;"",OR(LEFT($F479,LEN(SC_TK))=SC_TK,LEFT($G479,LEN(SC_TK))=SC_TK)),1,0)</f>
        <v/>
      </c>
    </row>
    <row r="480" ht="15" customHeight="1" s="78">
      <c r="A480" s="95">
        <f>IF($H480="","",ROW()-6)</f>
        <v/>
      </c>
      <c r="B480" s="114" t="n"/>
      <c r="C480" s="102" t="n"/>
      <c r="D480" s="114" t="n"/>
      <c r="E480" s="103" t="n"/>
      <c r="F480" s="102" t="n"/>
      <c r="G480" s="102" t="n"/>
      <c r="H480" s="115" t="n"/>
      <c r="I480" s="102" t="n"/>
      <c r="J480" s="102" t="n"/>
      <c r="K480" s="103" t="n"/>
      <c r="L480" s="116">
        <f>IF($H480="","",TRIM(IF(COUNTIF(DMTK!$A$7:$A$250,$F480)=0,"TK Nợ sai! ","")&amp;IF(COUNTIF(DMTK!$A$7:$A$250,$G480)=0,"TK Có sai! ","")&amp;IF(N($H480)&lt;=0,"Tiền phải &gt; 0! ","")&amp;IF($B480="","Thiếu ngày! ","")&amp;IF(AND(OR(LEFT($F480,3)="131",LEFT($G480,3)="131",LEFT($F480,3)="331",LEFT($G480,3)="331"),$I480=""),"Thiếu Mã ĐT! ","")&amp;IF(AND($I480&lt;&gt;"",COUNTIF(DM_DT!$A$7:$A$306,$I480)=0),"Mã ĐT chưa khai báo! ","")))</f>
        <v/>
      </c>
      <c r="M480" s="117">
        <f>IF($H480="","",IF(AND(OR(LEFT($F480,3)="111",LEFT($F480,3)="112",LEFT($F480,3)="113"),OR(LEFT($G480,3)="111",LEFT($G480,3)="112",LEFT($G480,3)="113")),"NB",IF(OR(LEFT($F480,3)="111",LEFT($F480,3)="112",LEFT($F480,3)="113"),"THU",IF(OR(LEFT($G480,3)="111",LEFT($G480,3)="112",LEFT($G480,3)="113"),"CHI",""))))</f>
        <v/>
      </c>
      <c r="N480" s="117">
        <f>IF($M480="THU",$G480,IF($M480="CHI",$F480,""))</f>
        <v/>
      </c>
      <c r="O480" s="117">
        <f>IF(OR($M480="",$M480="NB"),"",IF($J480&lt;&gt;"",TEXT($J480,"00"),IFERROR(VLOOKUP(LEFT($N480,4),LCTT_MAP!$A$7:$C$66,IF($M480="THU",2,3),FALSE()),IFERROR(VLOOKUP(LEFT($N480,3),LCTT_MAP!$A$7:$C$66,IF($M480="THU",2,3),FALSE()),IFERROR(VLOOKUP(LEFT($N480,2),LCTT_MAP!$A$7:$C$66,IF($M480="THU",2,3),FALSE()),IFERROR(VLOOKUP(LEFT($N480,1),LCTT_MAP!$A$7:$C$66,IF($M480="THU",2,3),FALSE()),IF($M480="THU","06","07")))))))</f>
        <v/>
      </c>
      <c r="P480" s="117">
        <f>P479+IF(AND($H480&lt;&gt;"",OR(LEFT($F480,LEN(SC_TK))=SC_TK,LEFT($G480,LEN(SC_TK))=SC_TK)),1,0)</f>
        <v/>
      </c>
    </row>
    <row r="481" ht="15" customHeight="1" s="78">
      <c r="A481" s="95">
        <f>IF($H481="","",ROW()-6)</f>
        <v/>
      </c>
      <c r="B481" s="114" t="n"/>
      <c r="C481" s="102" t="n"/>
      <c r="D481" s="114" t="n"/>
      <c r="E481" s="103" t="n"/>
      <c r="F481" s="102" t="n"/>
      <c r="G481" s="102" t="n"/>
      <c r="H481" s="115" t="n"/>
      <c r="I481" s="102" t="n"/>
      <c r="J481" s="102" t="n"/>
      <c r="K481" s="103" t="n"/>
      <c r="L481" s="116">
        <f>IF($H481="","",TRIM(IF(COUNTIF(DMTK!$A$7:$A$250,$F481)=0,"TK Nợ sai! ","")&amp;IF(COUNTIF(DMTK!$A$7:$A$250,$G481)=0,"TK Có sai! ","")&amp;IF(N($H481)&lt;=0,"Tiền phải &gt; 0! ","")&amp;IF($B481="","Thiếu ngày! ","")&amp;IF(AND(OR(LEFT($F481,3)="131",LEFT($G481,3)="131",LEFT($F481,3)="331",LEFT($G481,3)="331"),$I481=""),"Thiếu Mã ĐT! ","")&amp;IF(AND($I481&lt;&gt;"",COUNTIF(DM_DT!$A$7:$A$306,$I481)=0),"Mã ĐT chưa khai báo! ","")))</f>
        <v/>
      </c>
      <c r="M481" s="117">
        <f>IF($H481="","",IF(AND(OR(LEFT($F481,3)="111",LEFT($F481,3)="112",LEFT($F481,3)="113"),OR(LEFT($G481,3)="111",LEFT($G481,3)="112",LEFT($G481,3)="113")),"NB",IF(OR(LEFT($F481,3)="111",LEFT($F481,3)="112",LEFT($F481,3)="113"),"THU",IF(OR(LEFT($G481,3)="111",LEFT($G481,3)="112",LEFT($G481,3)="113"),"CHI",""))))</f>
        <v/>
      </c>
      <c r="N481" s="117">
        <f>IF($M481="THU",$G481,IF($M481="CHI",$F481,""))</f>
        <v/>
      </c>
      <c r="O481" s="117">
        <f>IF(OR($M481="",$M481="NB"),"",IF($J481&lt;&gt;"",TEXT($J481,"00"),IFERROR(VLOOKUP(LEFT($N481,4),LCTT_MAP!$A$7:$C$66,IF($M481="THU",2,3),FALSE()),IFERROR(VLOOKUP(LEFT($N481,3),LCTT_MAP!$A$7:$C$66,IF($M481="THU",2,3),FALSE()),IFERROR(VLOOKUP(LEFT($N481,2),LCTT_MAP!$A$7:$C$66,IF($M481="THU",2,3),FALSE()),IFERROR(VLOOKUP(LEFT($N481,1),LCTT_MAP!$A$7:$C$66,IF($M481="THU",2,3),FALSE()),IF($M481="THU","06","07")))))))</f>
        <v/>
      </c>
      <c r="P481" s="117">
        <f>P480+IF(AND($H481&lt;&gt;"",OR(LEFT($F481,LEN(SC_TK))=SC_TK,LEFT($G481,LEN(SC_TK))=SC_TK)),1,0)</f>
        <v/>
      </c>
    </row>
    <row r="482" ht="15" customHeight="1" s="78">
      <c r="A482" s="95">
        <f>IF($H482="","",ROW()-6)</f>
        <v/>
      </c>
      <c r="B482" s="114" t="n"/>
      <c r="C482" s="102" t="n"/>
      <c r="D482" s="114" t="n"/>
      <c r="E482" s="103" t="n"/>
      <c r="F482" s="102" t="n"/>
      <c r="G482" s="102" t="n"/>
      <c r="H482" s="115" t="n"/>
      <c r="I482" s="102" t="n"/>
      <c r="J482" s="102" t="n"/>
      <c r="K482" s="103" t="n"/>
      <c r="L482" s="116">
        <f>IF($H482="","",TRIM(IF(COUNTIF(DMTK!$A$7:$A$250,$F482)=0,"TK Nợ sai! ","")&amp;IF(COUNTIF(DMTK!$A$7:$A$250,$G482)=0,"TK Có sai! ","")&amp;IF(N($H482)&lt;=0,"Tiền phải &gt; 0! ","")&amp;IF($B482="","Thiếu ngày! ","")&amp;IF(AND(OR(LEFT($F482,3)="131",LEFT($G482,3)="131",LEFT($F482,3)="331",LEFT($G482,3)="331"),$I482=""),"Thiếu Mã ĐT! ","")&amp;IF(AND($I482&lt;&gt;"",COUNTIF(DM_DT!$A$7:$A$306,$I482)=0),"Mã ĐT chưa khai báo! ","")))</f>
        <v/>
      </c>
      <c r="M482" s="117">
        <f>IF($H482="","",IF(AND(OR(LEFT($F482,3)="111",LEFT($F482,3)="112",LEFT($F482,3)="113"),OR(LEFT($G482,3)="111",LEFT($G482,3)="112",LEFT($G482,3)="113")),"NB",IF(OR(LEFT($F482,3)="111",LEFT($F482,3)="112",LEFT($F482,3)="113"),"THU",IF(OR(LEFT($G482,3)="111",LEFT($G482,3)="112",LEFT($G482,3)="113"),"CHI",""))))</f>
        <v/>
      </c>
      <c r="N482" s="117">
        <f>IF($M482="THU",$G482,IF($M482="CHI",$F482,""))</f>
        <v/>
      </c>
      <c r="O482" s="117">
        <f>IF(OR($M482="",$M482="NB"),"",IF($J482&lt;&gt;"",TEXT($J482,"00"),IFERROR(VLOOKUP(LEFT($N482,4),LCTT_MAP!$A$7:$C$66,IF($M482="THU",2,3),FALSE()),IFERROR(VLOOKUP(LEFT($N482,3),LCTT_MAP!$A$7:$C$66,IF($M482="THU",2,3),FALSE()),IFERROR(VLOOKUP(LEFT($N482,2),LCTT_MAP!$A$7:$C$66,IF($M482="THU",2,3),FALSE()),IFERROR(VLOOKUP(LEFT($N482,1),LCTT_MAP!$A$7:$C$66,IF($M482="THU",2,3),FALSE()),IF($M482="THU","06","07")))))))</f>
        <v/>
      </c>
      <c r="P482" s="117">
        <f>P481+IF(AND($H482&lt;&gt;"",OR(LEFT($F482,LEN(SC_TK))=SC_TK,LEFT($G482,LEN(SC_TK))=SC_TK)),1,0)</f>
        <v/>
      </c>
    </row>
    <row r="483" ht="15" customHeight="1" s="78">
      <c r="A483" s="95">
        <f>IF($H483="","",ROW()-6)</f>
        <v/>
      </c>
      <c r="B483" s="114" t="n"/>
      <c r="C483" s="102" t="n"/>
      <c r="D483" s="114" t="n"/>
      <c r="E483" s="103" t="n"/>
      <c r="F483" s="102" t="n"/>
      <c r="G483" s="102" t="n"/>
      <c r="H483" s="115" t="n"/>
      <c r="I483" s="102" t="n"/>
      <c r="J483" s="102" t="n"/>
      <c r="K483" s="103" t="n"/>
      <c r="L483" s="116">
        <f>IF($H483="","",TRIM(IF(COUNTIF(DMTK!$A$7:$A$250,$F483)=0,"TK Nợ sai! ","")&amp;IF(COUNTIF(DMTK!$A$7:$A$250,$G483)=0,"TK Có sai! ","")&amp;IF(N($H483)&lt;=0,"Tiền phải &gt; 0! ","")&amp;IF($B483="","Thiếu ngày! ","")&amp;IF(AND(OR(LEFT($F483,3)="131",LEFT($G483,3)="131",LEFT($F483,3)="331",LEFT($G483,3)="331"),$I483=""),"Thiếu Mã ĐT! ","")&amp;IF(AND($I483&lt;&gt;"",COUNTIF(DM_DT!$A$7:$A$306,$I483)=0),"Mã ĐT chưa khai báo! ","")))</f>
        <v/>
      </c>
      <c r="M483" s="117">
        <f>IF($H483="","",IF(AND(OR(LEFT($F483,3)="111",LEFT($F483,3)="112",LEFT($F483,3)="113"),OR(LEFT($G483,3)="111",LEFT($G483,3)="112",LEFT($G483,3)="113")),"NB",IF(OR(LEFT($F483,3)="111",LEFT($F483,3)="112",LEFT($F483,3)="113"),"THU",IF(OR(LEFT($G483,3)="111",LEFT($G483,3)="112",LEFT($G483,3)="113"),"CHI",""))))</f>
        <v/>
      </c>
      <c r="N483" s="117">
        <f>IF($M483="THU",$G483,IF($M483="CHI",$F483,""))</f>
        <v/>
      </c>
      <c r="O483" s="117">
        <f>IF(OR($M483="",$M483="NB"),"",IF($J483&lt;&gt;"",TEXT($J483,"00"),IFERROR(VLOOKUP(LEFT($N483,4),LCTT_MAP!$A$7:$C$66,IF($M483="THU",2,3),FALSE()),IFERROR(VLOOKUP(LEFT($N483,3),LCTT_MAP!$A$7:$C$66,IF($M483="THU",2,3),FALSE()),IFERROR(VLOOKUP(LEFT($N483,2),LCTT_MAP!$A$7:$C$66,IF($M483="THU",2,3),FALSE()),IFERROR(VLOOKUP(LEFT($N483,1),LCTT_MAP!$A$7:$C$66,IF($M483="THU",2,3),FALSE()),IF($M483="THU","06","07")))))))</f>
        <v/>
      </c>
      <c r="P483" s="117">
        <f>P482+IF(AND($H483&lt;&gt;"",OR(LEFT($F483,LEN(SC_TK))=SC_TK,LEFT($G483,LEN(SC_TK))=SC_TK)),1,0)</f>
        <v/>
      </c>
    </row>
    <row r="484" ht="15" customHeight="1" s="78">
      <c r="A484" s="95">
        <f>IF($H484="","",ROW()-6)</f>
        <v/>
      </c>
      <c r="B484" s="114" t="n"/>
      <c r="C484" s="102" t="n"/>
      <c r="D484" s="114" t="n"/>
      <c r="E484" s="103" t="n"/>
      <c r="F484" s="102" t="n"/>
      <c r="G484" s="102" t="n"/>
      <c r="H484" s="115" t="n"/>
      <c r="I484" s="102" t="n"/>
      <c r="J484" s="102" t="n"/>
      <c r="K484" s="103" t="n"/>
      <c r="L484" s="116">
        <f>IF($H484="","",TRIM(IF(COUNTIF(DMTK!$A$7:$A$250,$F484)=0,"TK Nợ sai! ","")&amp;IF(COUNTIF(DMTK!$A$7:$A$250,$G484)=0,"TK Có sai! ","")&amp;IF(N($H484)&lt;=0,"Tiền phải &gt; 0! ","")&amp;IF($B484="","Thiếu ngày! ","")&amp;IF(AND(OR(LEFT($F484,3)="131",LEFT($G484,3)="131",LEFT($F484,3)="331",LEFT($G484,3)="331"),$I484=""),"Thiếu Mã ĐT! ","")&amp;IF(AND($I484&lt;&gt;"",COUNTIF(DM_DT!$A$7:$A$306,$I484)=0),"Mã ĐT chưa khai báo! ","")))</f>
        <v/>
      </c>
      <c r="M484" s="117">
        <f>IF($H484="","",IF(AND(OR(LEFT($F484,3)="111",LEFT($F484,3)="112",LEFT($F484,3)="113"),OR(LEFT($G484,3)="111",LEFT($G484,3)="112",LEFT($G484,3)="113")),"NB",IF(OR(LEFT($F484,3)="111",LEFT($F484,3)="112",LEFT($F484,3)="113"),"THU",IF(OR(LEFT($G484,3)="111",LEFT($G484,3)="112",LEFT($G484,3)="113"),"CHI",""))))</f>
        <v/>
      </c>
      <c r="N484" s="117">
        <f>IF($M484="THU",$G484,IF($M484="CHI",$F484,""))</f>
        <v/>
      </c>
      <c r="O484" s="117">
        <f>IF(OR($M484="",$M484="NB"),"",IF($J484&lt;&gt;"",TEXT($J484,"00"),IFERROR(VLOOKUP(LEFT($N484,4),LCTT_MAP!$A$7:$C$66,IF($M484="THU",2,3),FALSE()),IFERROR(VLOOKUP(LEFT($N484,3),LCTT_MAP!$A$7:$C$66,IF($M484="THU",2,3),FALSE()),IFERROR(VLOOKUP(LEFT($N484,2),LCTT_MAP!$A$7:$C$66,IF($M484="THU",2,3),FALSE()),IFERROR(VLOOKUP(LEFT($N484,1),LCTT_MAP!$A$7:$C$66,IF($M484="THU",2,3),FALSE()),IF($M484="THU","06","07")))))))</f>
        <v/>
      </c>
      <c r="P484" s="117">
        <f>P483+IF(AND($H484&lt;&gt;"",OR(LEFT($F484,LEN(SC_TK))=SC_TK,LEFT($G484,LEN(SC_TK))=SC_TK)),1,0)</f>
        <v/>
      </c>
    </row>
    <row r="485" ht="15" customHeight="1" s="78">
      <c r="A485" s="95">
        <f>IF($H485="","",ROW()-6)</f>
        <v/>
      </c>
      <c r="B485" s="114" t="n"/>
      <c r="C485" s="102" t="n"/>
      <c r="D485" s="114" t="n"/>
      <c r="E485" s="103" t="n"/>
      <c r="F485" s="102" t="n"/>
      <c r="G485" s="102" t="n"/>
      <c r="H485" s="115" t="n"/>
      <c r="I485" s="102" t="n"/>
      <c r="J485" s="102" t="n"/>
      <c r="K485" s="103" t="n"/>
      <c r="L485" s="116">
        <f>IF($H485="","",TRIM(IF(COUNTIF(DMTK!$A$7:$A$250,$F485)=0,"TK Nợ sai! ","")&amp;IF(COUNTIF(DMTK!$A$7:$A$250,$G485)=0,"TK Có sai! ","")&amp;IF(N($H485)&lt;=0,"Tiền phải &gt; 0! ","")&amp;IF($B485="","Thiếu ngày! ","")&amp;IF(AND(OR(LEFT($F485,3)="131",LEFT($G485,3)="131",LEFT($F485,3)="331",LEFT($G485,3)="331"),$I485=""),"Thiếu Mã ĐT! ","")&amp;IF(AND($I485&lt;&gt;"",COUNTIF(DM_DT!$A$7:$A$306,$I485)=0),"Mã ĐT chưa khai báo! ","")))</f>
        <v/>
      </c>
      <c r="M485" s="117">
        <f>IF($H485="","",IF(AND(OR(LEFT($F485,3)="111",LEFT($F485,3)="112",LEFT($F485,3)="113"),OR(LEFT($G485,3)="111",LEFT($G485,3)="112",LEFT($G485,3)="113")),"NB",IF(OR(LEFT($F485,3)="111",LEFT($F485,3)="112",LEFT($F485,3)="113"),"THU",IF(OR(LEFT($G485,3)="111",LEFT($G485,3)="112",LEFT($G485,3)="113"),"CHI",""))))</f>
        <v/>
      </c>
      <c r="N485" s="117">
        <f>IF($M485="THU",$G485,IF($M485="CHI",$F485,""))</f>
        <v/>
      </c>
      <c r="O485" s="117">
        <f>IF(OR($M485="",$M485="NB"),"",IF($J485&lt;&gt;"",TEXT($J485,"00"),IFERROR(VLOOKUP(LEFT($N485,4),LCTT_MAP!$A$7:$C$66,IF($M485="THU",2,3),FALSE()),IFERROR(VLOOKUP(LEFT($N485,3),LCTT_MAP!$A$7:$C$66,IF($M485="THU",2,3),FALSE()),IFERROR(VLOOKUP(LEFT($N485,2),LCTT_MAP!$A$7:$C$66,IF($M485="THU",2,3),FALSE()),IFERROR(VLOOKUP(LEFT($N485,1),LCTT_MAP!$A$7:$C$66,IF($M485="THU",2,3),FALSE()),IF($M485="THU","06","07")))))))</f>
        <v/>
      </c>
      <c r="P485" s="117">
        <f>P484+IF(AND($H485&lt;&gt;"",OR(LEFT($F485,LEN(SC_TK))=SC_TK,LEFT($G485,LEN(SC_TK))=SC_TK)),1,0)</f>
        <v/>
      </c>
    </row>
    <row r="486" ht="15" customHeight="1" s="78">
      <c r="A486" s="95">
        <f>IF($H486="","",ROW()-6)</f>
        <v/>
      </c>
      <c r="B486" s="114" t="n"/>
      <c r="C486" s="102" t="n"/>
      <c r="D486" s="114" t="n"/>
      <c r="E486" s="103" t="n"/>
      <c r="F486" s="102" t="n"/>
      <c r="G486" s="102" t="n"/>
      <c r="H486" s="115" t="n"/>
      <c r="I486" s="102" t="n"/>
      <c r="J486" s="102" t="n"/>
      <c r="K486" s="103" t="n"/>
      <c r="L486" s="116">
        <f>IF($H486="","",TRIM(IF(COUNTIF(DMTK!$A$7:$A$250,$F486)=0,"TK Nợ sai! ","")&amp;IF(COUNTIF(DMTK!$A$7:$A$250,$G486)=0,"TK Có sai! ","")&amp;IF(N($H486)&lt;=0,"Tiền phải &gt; 0! ","")&amp;IF($B486="","Thiếu ngày! ","")&amp;IF(AND(OR(LEFT($F486,3)="131",LEFT($G486,3)="131",LEFT($F486,3)="331",LEFT($G486,3)="331"),$I486=""),"Thiếu Mã ĐT! ","")&amp;IF(AND($I486&lt;&gt;"",COUNTIF(DM_DT!$A$7:$A$306,$I486)=0),"Mã ĐT chưa khai báo! ","")))</f>
        <v/>
      </c>
      <c r="M486" s="117">
        <f>IF($H486="","",IF(AND(OR(LEFT($F486,3)="111",LEFT($F486,3)="112",LEFT($F486,3)="113"),OR(LEFT($G486,3)="111",LEFT($G486,3)="112",LEFT($G486,3)="113")),"NB",IF(OR(LEFT($F486,3)="111",LEFT($F486,3)="112",LEFT($F486,3)="113"),"THU",IF(OR(LEFT($G486,3)="111",LEFT($G486,3)="112",LEFT($G486,3)="113"),"CHI",""))))</f>
        <v/>
      </c>
      <c r="N486" s="117">
        <f>IF($M486="THU",$G486,IF($M486="CHI",$F486,""))</f>
        <v/>
      </c>
      <c r="O486" s="117">
        <f>IF(OR($M486="",$M486="NB"),"",IF($J486&lt;&gt;"",TEXT($J486,"00"),IFERROR(VLOOKUP(LEFT($N486,4),LCTT_MAP!$A$7:$C$66,IF($M486="THU",2,3),FALSE()),IFERROR(VLOOKUP(LEFT($N486,3),LCTT_MAP!$A$7:$C$66,IF($M486="THU",2,3),FALSE()),IFERROR(VLOOKUP(LEFT($N486,2),LCTT_MAP!$A$7:$C$66,IF($M486="THU",2,3),FALSE()),IFERROR(VLOOKUP(LEFT($N486,1),LCTT_MAP!$A$7:$C$66,IF($M486="THU",2,3),FALSE()),IF($M486="THU","06","07")))))))</f>
        <v/>
      </c>
      <c r="P486" s="117">
        <f>P485+IF(AND($H486&lt;&gt;"",OR(LEFT($F486,LEN(SC_TK))=SC_TK,LEFT($G486,LEN(SC_TK))=SC_TK)),1,0)</f>
        <v/>
      </c>
    </row>
    <row r="487" ht="15" customHeight="1" s="78">
      <c r="A487" s="95">
        <f>IF($H487="","",ROW()-6)</f>
        <v/>
      </c>
      <c r="B487" s="114" t="n"/>
      <c r="C487" s="102" t="n"/>
      <c r="D487" s="114" t="n"/>
      <c r="E487" s="103" t="n"/>
      <c r="F487" s="102" t="n"/>
      <c r="G487" s="102" t="n"/>
      <c r="H487" s="115" t="n"/>
      <c r="I487" s="102" t="n"/>
      <c r="J487" s="102" t="n"/>
      <c r="K487" s="103" t="n"/>
      <c r="L487" s="116">
        <f>IF($H487="","",TRIM(IF(COUNTIF(DMTK!$A$7:$A$250,$F487)=0,"TK Nợ sai! ","")&amp;IF(COUNTIF(DMTK!$A$7:$A$250,$G487)=0,"TK Có sai! ","")&amp;IF(N($H487)&lt;=0,"Tiền phải &gt; 0! ","")&amp;IF($B487="","Thiếu ngày! ","")&amp;IF(AND(OR(LEFT($F487,3)="131",LEFT($G487,3)="131",LEFT($F487,3)="331",LEFT($G487,3)="331"),$I487=""),"Thiếu Mã ĐT! ","")&amp;IF(AND($I487&lt;&gt;"",COUNTIF(DM_DT!$A$7:$A$306,$I487)=0),"Mã ĐT chưa khai báo! ","")))</f>
        <v/>
      </c>
      <c r="M487" s="117">
        <f>IF($H487="","",IF(AND(OR(LEFT($F487,3)="111",LEFT($F487,3)="112",LEFT($F487,3)="113"),OR(LEFT($G487,3)="111",LEFT($G487,3)="112",LEFT($G487,3)="113")),"NB",IF(OR(LEFT($F487,3)="111",LEFT($F487,3)="112",LEFT($F487,3)="113"),"THU",IF(OR(LEFT($G487,3)="111",LEFT($G487,3)="112",LEFT($G487,3)="113"),"CHI",""))))</f>
        <v/>
      </c>
      <c r="N487" s="117">
        <f>IF($M487="THU",$G487,IF($M487="CHI",$F487,""))</f>
        <v/>
      </c>
      <c r="O487" s="117">
        <f>IF(OR($M487="",$M487="NB"),"",IF($J487&lt;&gt;"",TEXT($J487,"00"),IFERROR(VLOOKUP(LEFT($N487,4),LCTT_MAP!$A$7:$C$66,IF($M487="THU",2,3),FALSE()),IFERROR(VLOOKUP(LEFT($N487,3),LCTT_MAP!$A$7:$C$66,IF($M487="THU",2,3),FALSE()),IFERROR(VLOOKUP(LEFT($N487,2),LCTT_MAP!$A$7:$C$66,IF($M487="THU",2,3),FALSE()),IFERROR(VLOOKUP(LEFT($N487,1),LCTT_MAP!$A$7:$C$66,IF($M487="THU",2,3),FALSE()),IF($M487="THU","06","07")))))))</f>
        <v/>
      </c>
      <c r="P487" s="117">
        <f>P486+IF(AND($H487&lt;&gt;"",OR(LEFT($F487,LEN(SC_TK))=SC_TK,LEFT($G487,LEN(SC_TK))=SC_TK)),1,0)</f>
        <v/>
      </c>
    </row>
    <row r="488" ht="15" customHeight="1" s="78">
      <c r="A488" s="95">
        <f>IF($H488="","",ROW()-6)</f>
        <v/>
      </c>
      <c r="B488" s="114" t="n"/>
      <c r="C488" s="102" t="n"/>
      <c r="D488" s="114" t="n"/>
      <c r="E488" s="103" t="n"/>
      <c r="F488" s="102" t="n"/>
      <c r="G488" s="102" t="n"/>
      <c r="H488" s="115" t="n"/>
      <c r="I488" s="102" t="n"/>
      <c r="J488" s="102" t="n"/>
      <c r="K488" s="103" t="n"/>
      <c r="L488" s="116">
        <f>IF($H488="","",TRIM(IF(COUNTIF(DMTK!$A$7:$A$250,$F488)=0,"TK Nợ sai! ","")&amp;IF(COUNTIF(DMTK!$A$7:$A$250,$G488)=0,"TK Có sai! ","")&amp;IF(N($H488)&lt;=0,"Tiền phải &gt; 0! ","")&amp;IF($B488="","Thiếu ngày! ","")&amp;IF(AND(OR(LEFT($F488,3)="131",LEFT($G488,3)="131",LEFT($F488,3)="331",LEFT($G488,3)="331"),$I488=""),"Thiếu Mã ĐT! ","")&amp;IF(AND($I488&lt;&gt;"",COUNTIF(DM_DT!$A$7:$A$306,$I488)=0),"Mã ĐT chưa khai báo! ","")))</f>
        <v/>
      </c>
      <c r="M488" s="117">
        <f>IF($H488="","",IF(AND(OR(LEFT($F488,3)="111",LEFT($F488,3)="112",LEFT($F488,3)="113"),OR(LEFT($G488,3)="111",LEFT($G488,3)="112",LEFT($G488,3)="113")),"NB",IF(OR(LEFT($F488,3)="111",LEFT($F488,3)="112",LEFT($F488,3)="113"),"THU",IF(OR(LEFT($G488,3)="111",LEFT($G488,3)="112",LEFT($G488,3)="113"),"CHI",""))))</f>
        <v/>
      </c>
      <c r="N488" s="117">
        <f>IF($M488="THU",$G488,IF($M488="CHI",$F488,""))</f>
        <v/>
      </c>
      <c r="O488" s="117">
        <f>IF(OR($M488="",$M488="NB"),"",IF($J488&lt;&gt;"",TEXT($J488,"00"),IFERROR(VLOOKUP(LEFT($N488,4),LCTT_MAP!$A$7:$C$66,IF($M488="THU",2,3),FALSE()),IFERROR(VLOOKUP(LEFT($N488,3),LCTT_MAP!$A$7:$C$66,IF($M488="THU",2,3),FALSE()),IFERROR(VLOOKUP(LEFT($N488,2),LCTT_MAP!$A$7:$C$66,IF($M488="THU",2,3),FALSE()),IFERROR(VLOOKUP(LEFT($N488,1),LCTT_MAP!$A$7:$C$66,IF($M488="THU",2,3),FALSE()),IF($M488="THU","06","07")))))))</f>
        <v/>
      </c>
      <c r="P488" s="117">
        <f>P487+IF(AND($H488&lt;&gt;"",OR(LEFT($F488,LEN(SC_TK))=SC_TK,LEFT($G488,LEN(SC_TK))=SC_TK)),1,0)</f>
        <v/>
      </c>
    </row>
    <row r="489" ht="15" customHeight="1" s="78">
      <c r="A489" s="95">
        <f>IF($H489="","",ROW()-6)</f>
        <v/>
      </c>
      <c r="B489" s="114" t="n"/>
      <c r="C489" s="102" t="n"/>
      <c r="D489" s="114" t="n"/>
      <c r="E489" s="103" t="n"/>
      <c r="F489" s="102" t="n"/>
      <c r="G489" s="102" t="n"/>
      <c r="H489" s="115" t="n"/>
      <c r="I489" s="102" t="n"/>
      <c r="J489" s="102" t="n"/>
      <c r="K489" s="103" t="n"/>
      <c r="L489" s="116">
        <f>IF($H489="","",TRIM(IF(COUNTIF(DMTK!$A$7:$A$250,$F489)=0,"TK Nợ sai! ","")&amp;IF(COUNTIF(DMTK!$A$7:$A$250,$G489)=0,"TK Có sai! ","")&amp;IF(N($H489)&lt;=0,"Tiền phải &gt; 0! ","")&amp;IF($B489="","Thiếu ngày! ","")&amp;IF(AND(OR(LEFT($F489,3)="131",LEFT($G489,3)="131",LEFT($F489,3)="331",LEFT($G489,3)="331"),$I489=""),"Thiếu Mã ĐT! ","")&amp;IF(AND($I489&lt;&gt;"",COUNTIF(DM_DT!$A$7:$A$306,$I489)=0),"Mã ĐT chưa khai báo! ","")))</f>
        <v/>
      </c>
      <c r="M489" s="117">
        <f>IF($H489="","",IF(AND(OR(LEFT($F489,3)="111",LEFT($F489,3)="112",LEFT($F489,3)="113"),OR(LEFT($G489,3)="111",LEFT($G489,3)="112",LEFT($G489,3)="113")),"NB",IF(OR(LEFT($F489,3)="111",LEFT($F489,3)="112",LEFT($F489,3)="113"),"THU",IF(OR(LEFT($G489,3)="111",LEFT($G489,3)="112",LEFT($G489,3)="113"),"CHI",""))))</f>
        <v/>
      </c>
      <c r="N489" s="117">
        <f>IF($M489="THU",$G489,IF($M489="CHI",$F489,""))</f>
        <v/>
      </c>
      <c r="O489" s="117">
        <f>IF(OR($M489="",$M489="NB"),"",IF($J489&lt;&gt;"",TEXT($J489,"00"),IFERROR(VLOOKUP(LEFT($N489,4),LCTT_MAP!$A$7:$C$66,IF($M489="THU",2,3),FALSE()),IFERROR(VLOOKUP(LEFT($N489,3),LCTT_MAP!$A$7:$C$66,IF($M489="THU",2,3),FALSE()),IFERROR(VLOOKUP(LEFT($N489,2),LCTT_MAP!$A$7:$C$66,IF($M489="THU",2,3),FALSE()),IFERROR(VLOOKUP(LEFT($N489,1),LCTT_MAP!$A$7:$C$66,IF($M489="THU",2,3),FALSE()),IF($M489="THU","06","07")))))))</f>
        <v/>
      </c>
      <c r="P489" s="117">
        <f>P488+IF(AND($H489&lt;&gt;"",OR(LEFT($F489,LEN(SC_TK))=SC_TK,LEFT($G489,LEN(SC_TK))=SC_TK)),1,0)</f>
        <v/>
      </c>
    </row>
    <row r="490" ht="15" customHeight="1" s="78">
      <c r="A490" s="95">
        <f>IF($H490="","",ROW()-6)</f>
        <v/>
      </c>
      <c r="B490" s="114" t="n"/>
      <c r="C490" s="102" t="n"/>
      <c r="D490" s="114" t="n"/>
      <c r="E490" s="103" t="n"/>
      <c r="F490" s="102" t="n"/>
      <c r="G490" s="102" t="n"/>
      <c r="H490" s="115" t="n"/>
      <c r="I490" s="102" t="n"/>
      <c r="J490" s="102" t="n"/>
      <c r="K490" s="103" t="n"/>
      <c r="L490" s="116">
        <f>IF($H490="","",TRIM(IF(COUNTIF(DMTK!$A$7:$A$250,$F490)=0,"TK Nợ sai! ","")&amp;IF(COUNTIF(DMTK!$A$7:$A$250,$G490)=0,"TK Có sai! ","")&amp;IF(N($H490)&lt;=0,"Tiền phải &gt; 0! ","")&amp;IF($B490="","Thiếu ngày! ","")&amp;IF(AND(OR(LEFT($F490,3)="131",LEFT($G490,3)="131",LEFT($F490,3)="331",LEFT($G490,3)="331"),$I490=""),"Thiếu Mã ĐT! ","")&amp;IF(AND($I490&lt;&gt;"",COUNTIF(DM_DT!$A$7:$A$306,$I490)=0),"Mã ĐT chưa khai báo! ","")))</f>
        <v/>
      </c>
      <c r="M490" s="117">
        <f>IF($H490="","",IF(AND(OR(LEFT($F490,3)="111",LEFT($F490,3)="112",LEFT($F490,3)="113"),OR(LEFT($G490,3)="111",LEFT($G490,3)="112",LEFT($G490,3)="113")),"NB",IF(OR(LEFT($F490,3)="111",LEFT($F490,3)="112",LEFT($F490,3)="113"),"THU",IF(OR(LEFT($G490,3)="111",LEFT($G490,3)="112",LEFT($G490,3)="113"),"CHI",""))))</f>
        <v/>
      </c>
      <c r="N490" s="117">
        <f>IF($M490="THU",$G490,IF($M490="CHI",$F490,""))</f>
        <v/>
      </c>
      <c r="O490" s="117">
        <f>IF(OR($M490="",$M490="NB"),"",IF($J490&lt;&gt;"",TEXT($J490,"00"),IFERROR(VLOOKUP(LEFT($N490,4),LCTT_MAP!$A$7:$C$66,IF($M490="THU",2,3),FALSE()),IFERROR(VLOOKUP(LEFT($N490,3),LCTT_MAP!$A$7:$C$66,IF($M490="THU",2,3),FALSE()),IFERROR(VLOOKUP(LEFT($N490,2),LCTT_MAP!$A$7:$C$66,IF($M490="THU",2,3),FALSE()),IFERROR(VLOOKUP(LEFT($N490,1),LCTT_MAP!$A$7:$C$66,IF($M490="THU",2,3),FALSE()),IF($M490="THU","06","07")))))))</f>
        <v/>
      </c>
      <c r="P490" s="117">
        <f>P489+IF(AND($H490&lt;&gt;"",OR(LEFT($F490,LEN(SC_TK))=SC_TK,LEFT($G490,LEN(SC_TK))=SC_TK)),1,0)</f>
        <v/>
      </c>
    </row>
    <row r="491" ht="15" customHeight="1" s="78">
      <c r="A491" s="95">
        <f>IF($H491="","",ROW()-6)</f>
        <v/>
      </c>
      <c r="B491" s="114" t="n"/>
      <c r="C491" s="102" t="n"/>
      <c r="D491" s="114" t="n"/>
      <c r="E491" s="103" t="n"/>
      <c r="F491" s="102" t="n"/>
      <c r="G491" s="102" t="n"/>
      <c r="H491" s="115" t="n"/>
      <c r="I491" s="102" t="n"/>
      <c r="J491" s="102" t="n"/>
      <c r="K491" s="103" t="n"/>
      <c r="L491" s="116">
        <f>IF($H491="","",TRIM(IF(COUNTIF(DMTK!$A$7:$A$250,$F491)=0,"TK Nợ sai! ","")&amp;IF(COUNTIF(DMTK!$A$7:$A$250,$G491)=0,"TK Có sai! ","")&amp;IF(N($H491)&lt;=0,"Tiền phải &gt; 0! ","")&amp;IF($B491="","Thiếu ngày! ","")&amp;IF(AND(OR(LEFT($F491,3)="131",LEFT($G491,3)="131",LEFT($F491,3)="331",LEFT($G491,3)="331"),$I491=""),"Thiếu Mã ĐT! ","")&amp;IF(AND($I491&lt;&gt;"",COUNTIF(DM_DT!$A$7:$A$306,$I491)=0),"Mã ĐT chưa khai báo! ","")))</f>
        <v/>
      </c>
      <c r="M491" s="117">
        <f>IF($H491="","",IF(AND(OR(LEFT($F491,3)="111",LEFT($F491,3)="112",LEFT($F491,3)="113"),OR(LEFT($G491,3)="111",LEFT($G491,3)="112",LEFT($G491,3)="113")),"NB",IF(OR(LEFT($F491,3)="111",LEFT($F491,3)="112",LEFT($F491,3)="113"),"THU",IF(OR(LEFT($G491,3)="111",LEFT($G491,3)="112",LEFT($G491,3)="113"),"CHI",""))))</f>
        <v/>
      </c>
      <c r="N491" s="117">
        <f>IF($M491="THU",$G491,IF($M491="CHI",$F491,""))</f>
        <v/>
      </c>
      <c r="O491" s="117">
        <f>IF(OR($M491="",$M491="NB"),"",IF($J491&lt;&gt;"",TEXT($J491,"00"),IFERROR(VLOOKUP(LEFT($N491,4),LCTT_MAP!$A$7:$C$66,IF($M491="THU",2,3),FALSE()),IFERROR(VLOOKUP(LEFT($N491,3),LCTT_MAP!$A$7:$C$66,IF($M491="THU",2,3),FALSE()),IFERROR(VLOOKUP(LEFT($N491,2),LCTT_MAP!$A$7:$C$66,IF($M491="THU",2,3),FALSE()),IFERROR(VLOOKUP(LEFT($N491,1),LCTT_MAP!$A$7:$C$66,IF($M491="THU",2,3),FALSE()),IF($M491="THU","06","07")))))))</f>
        <v/>
      </c>
      <c r="P491" s="117">
        <f>P490+IF(AND($H491&lt;&gt;"",OR(LEFT($F491,LEN(SC_TK))=SC_TK,LEFT($G491,LEN(SC_TK))=SC_TK)),1,0)</f>
        <v/>
      </c>
    </row>
    <row r="492" ht="15" customHeight="1" s="78">
      <c r="A492" s="95">
        <f>IF($H492="","",ROW()-6)</f>
        <v/>
      </c>
      <c r="B492" s="114" t="n"/>
      <c r="C492" s="102" t="n"/>
      <c r="D492" s="114" t="n"/>
      <c r="E492" s="103" t="n"/>
      <c r="F492" s="102" t="n"/>
      <c r="G492" s="102" t="n"/>
      <c r="H492" s="115" t="n"/>
      <c r="I492" s="102" t="n"/>
      <c r="J492" s="102" t="n"/>
      <c r="K492" s="103" t="n"/>
      <c r="L492" s="116">
        <f>IF($H492="","",TRIM(IF(COUNTIF(DMTK!$A$7:$A$250,$F492)=0,"TK Nợ sai! ","")&amp;IF(COUNTIF(DMTK!$A$7:$A$250,$G492)=0,"TK Có sai! ","")&amp;IF(N($H492)&lt;=0,"Tiền phải &gt; 0! ","")&amp;IF($B492="","Thiếu ngày! ","")&amp;IF(AND(OR(LEFT($F492,3)="131",LEFT($G492,3)="131",LEFT($F492,3)="331",LEFT($G492,3)="331"),$I492=""),"Thiếu Mã ĐT! ","")&amp;IF(AND($I492&lt;&gt;"",COUNTIF(DM_DT!$A$7:$A$306,$I492)=0),"Mã ĐT chưa khai báo! ","")))</f>
        <v/>
      </c>
      <c r="M492" s="117">
        <f>IF($H492="","",IF(AND(OR(LEFT($F492,3)="111",LEFT($F492,3)="112",LEFT($F492,3)="113"),OR(LEFT($G492,3)="111",LEFT($G492,3)="112",LEFT($G492,3)="113")),"NB",IF(OR(LEFT($F492,3)="111",LEFT($F492,3)="112",LEFT($F492,3)="113"),"THU",IF(OR(LEFT($G492,3)="111",LEFT($G492,3)="112",LEFT($G492,3)="113"),"CHI",""))))</f>
        <v/>
      </c>
      <c r="N492" s="117">
        <f>IF($M492="THU",$G492,IF($M492="CHI",$F492,""))</f>
        <v/>
      </c>
      <c r="O492" s="117">
        <f>IF(OR($M492="",$M492="NB"),"",IF($J492&lt;&gt;"",TEXT($J492,"00"),IFERROR(VLOOKUP(LEFT($N492,4),LCTT_MAP!$A$7:$C$66,IF($M492="THU",2,3),FALSE()),IFERROR(VLOOKUP(LEFT($N492,3),LCTT_MAP!$A$7:$C$66,IF($M492="THU",2,3),FALSE()),IFERROR(VLOOKUP(LEFT($N492,2),LCTT_MAP!$A$7:$C$66,IF($M492="THU",2,3),FALSE()),IFERROR(VLOOKUP(LEFT($N492,1),LCTT_MAP!$A$7:$C$66,IF($M492="THU",2,3),FALSE()),IF($M492="THU","06","07")))))))</f>
        <v/>
      </c>
      <c r="P492" s="117">
        <f>P491+IF(AND($H492&lt;&gt;"",OR(LEFT($F492,LEN(SC_TK))=SC_TK,LEFT($G492,LEN(SC_TK))=SC_TK)),1,0)</f>
        <v/>
      </c>
    </row>
    <row r="493" ht="15" customHeight="1" s="78">
      <c r="A493" s="95">
        <f>IF($H493="","",ROW()-6)</f>
        <v/>
      </c>
      <c r="B493" s="114" t="n"/>
      <c r="C493" s="102" t="n"/>
      <c r="D493" s="114" t="n"/>
      <c r="E493" s="103" t="n"/>
      <c r="F493" s="102" t="n"/>
      <c r="G493" s="102" t="n"/>
      <c r="H493" s="115" t="n"/>
      <c r="I493" s="102" t="n"/>
      <c r="J493" s="102" t="n"/>
      <c r="K493" s="103" t="n"/>
      <c r="L493" s="116">
        <f>IF($H493="","",TRIM(IF(COUNTIF(DMTK!$A$7:$A$250,$F493)=0,"TK Nợ sai! ","")&amp;IF(COUNTIF(DMTK!$A$7:$A$250,$G493)=0,"TK Có sai! ","")&amp;IF(N($H493)&lt;=0,"Tiền phải &gt; 0! ","")&amp;IF($B493="","Thiếu ngày! ","")&amp;IF(AND(OR(LEFT($F493,3)="131",LEFT($G493,3)="131",LEFT($F493,3)="331",LEFT($G493,3)="331"),$I493=""),"Thiếu Mã ĐT! ","")&amp;IF(AND($I493&lt;&gt;"",COUNTIF(DM_DT!$A$7:$A$306,$I493)=0),"Mã ĐT chưa khai báo! ","")))</f>
        <v/>
      </c>
      <c r="M493" s="117">
        <f>IF($H493="","",IF(AND(OR(LEFT($F493,3)="111",LEFT($F493,3)="112",LEFT($F493,3)="113"),OR(LEFT($G493,3)="111",LEFT($G493,3)="112",LEFT($G493,3)="113")),"NB",IF(OR(LEFT($F493,3)="111",LEFT($F493,3)="112",LEFT($F493,3)="113"),"THU",IF(OR(LEFT($G493,3)="111",LEFT($G493,3)="112",LEFT($G493,3)="113"),"CHI",""))))</f>
        <v/>
      </c>
      <c r="N493" s="117">
        <f>IF($M493="THU",$G493,IF($M493="CHI",$F493,""))</f>
        <v/>
      </c>
      <c r="O493" s="117">
        <f>IF(OR($M493="",$M493="NB"),"",IF($J493&lt;&gt;"",TEXT($J493,"00"),IFERROR(VLOOKUP(LEFT($N493,4),LCTT_MAP!$A$7:$C$66,IF($M493="THU",2,3),FALSE()),IFERROR(VLOOKUP(LEFT($N493,3),LCTT_MAP!$A$7:$C$66,IF($M493="THU",2,3),FALSE()),IFERROR(VLOOKUP(LEFT($N493,2),LCTT_MAP!$A$7:$C$66,IF($M493="THU",2,3),FALSE()),IFERROR(VLOOKUP(LEFT($N493,1),LCTT_MAP!$A$7:$C$66,IF($M493="THU",2,3),FALSE()),IF($M493="THU","06","07")))))))</f>
        <v/>
      </c>
      <c r="P493" s="117">
        <f>P492+IF(AND($H493&lt;&gt;"",OR(LEFT($F493,LEN(SC_TK))=SC_TK,LEFT($G493,LEN(SC_TK))=SC_TK)),1,0)</f>
        <v/>
      </c>
    </row>
    <row r="494" ht="15" customHeight="1" s="78">
      <c r="A494" s="95">
        <f>IF($H494="","",ROW()-6)</f>
        <v/>
      </c>
      <c r="B494" s="114" t="n"/>
      <c r="C494" s="102" t="n"/>
      <c r="D494" s="114" t="n"/>
      <c r="E494" s="103" t="n"/>
      <c r="F494" s="102" t="n"/>
      <c r="G494" s="102" t="n"/>
      <c r="H494" s="115" t="n"/>
      <c r="I494" s="102" t="n"/>
      <c r="J494" s="102" t="n"/>
      <c r="K494" s="103" t="n"/>
      <c r="L494" s="116">
        <f>IF($H494="","",TRIM(IF(COUNTIF(DMTK!$A$7:$A$250,$F494)=0,"TK Nợ sai! ","")&amp;IF(COUNTIF(DMTK!$A$7:$A$250,$G494)=0,"TK Có sai! ","")&amp;IF(N($H494)&lt;=0,"Tiền phải &gt; 0! ","")&amp;IF($B494="","Thiếu ngày! ","")&amp;IF(AND(OR(LEFT($F494,3)="131",LEFT($G494,3)="131",LEFT($F494,3)="331",LEFT($G494,3)="331"),$I494=""),"Thiếu Mã ĐT! ","")&amp;IF(AND($I494&lt;&gt;"",COUNTIF(DM_DT!$A$7:$A$306,$I494)=0),"Mã ĐT chưa khai báo! ","")))</f>
        <v/>
      </c>
      <c r="M494" s="117">
        <f>IF($H494="","",IF(AND(OR(LEFT($F494,3)="111",LEFT($F494,3)="112",LEFT($F494,3)="113"),OR(LEFT($G494,3)="111",LEFT($G494,3)="112",LEFT($G494,3)="113")),"NB",IF(OR(LEFT($F494,3)="111",LEFT($F494,3)="112",LEFT($F494,3)="113"),"THU",IF(OR(LEFT($G494,3)="111",LEFT($G494,3)="112",LEFT($G494,3)="113"),"CHI",""))))</f>
        <v/>
      </c>
      <c r="N494" s="117">
        <f>IF($M494="THU",$G494,IF($M494="CHI",$F494,""))</f>
        <v/>
      </c>
      <c r="O494" s="117">
        <f>IF(OR($M494="",$M494="NB"),"",IF($J494&lt;&gt;"",TEXT($J494,"00"),IFERROR(VLOOKUP(LEFT($N494,4),LCTT_MAP!$A$7:$C$66,IF($M494="THU",2,3),FALSE()),IFERROR(VLOOKUP(LEFT($N494,3),LCTT_MAP!$A$7:$C$66,IF($M494="THU",2,3),FALSE()),IFERROR(VLOOKUP(LEFT($N494,2),LCTT_MAP!$A$7:$C$66,IF($M494="THU",2,3),FALSE()),IFERROR(VLOOKUP(LEFT($N494,1),LCTT_MAP!$A$7:$C$66,IF($M494="THU",2,3),FALSE()),IF($M494="THU","06","07")))))))</f>
        <v/>
      </c>
      <c r="P494" s="117">
        <f>P493+IF(AND($H494&lt;&gt;"",OR(LEFT($F494,LEN(SC_TK))=SC_TK,LEFT($G494,LEN(SC_TK))=SC_TK)),1,0)</f>
        <v/>
      </c>
    </row>
    <row r="495" ht="15" customHeight="1" s="78">
      <c r="A495" s="95">
        <f>IF($H495="","",ROW()-6)</f>
        <v/>
      </c>
      <c r="B495" s="114" t="n"/>
      <c r="C495" s="102" t="n"/>
      <c r="D495" s="114" t="n"/>
      <c r="E495" s="103" t="n"/>
      <c r="F495" s="102" t="n"/>
      <c r="G495" s="102" t="n"/>
      <c r="H495" s="115" t="n"/>
      <c r="I495" s="102" t="n"/>
      <c r="J495" s="102" t="n"/>
      <c r="K495" s="103" t="n"/>
      <c r="L495" s="116">
        <f>IF($H495="","",TRIM(IF(COUNTIF(DMTK!$A$7:$A$250,$F495)=0,"TK Nợ sai! ","")&amp;IF(COUNTIF(DMTK!$A$7:$A$250,$G495)=0,"TK Có sai! ","")&amp;IF(N($H495)&lt;=0,"Tiền phải &gt; 0! ","")&amp;IF($B495="","Thiếu ngày! ","")&amp;IF(AND(OR(LEFT($F495,3)="131",LEFT($G495,3)="131",LEFT($F495,3)="331",LEFT($G495,3)="331"),$I495=""),"Thiếu Mã ĐT! ","")&amp;IF(AND($I495&lt;&gt;"",COUNTIF(DM_DT!$A$7:$A$306,$I495)=0),"Mã ĐT chưa khai báo! ","")))</f>
        <v/>
      </c>
      <c r="M495" s="117">
        <f>IF($H495="","",IF(AND(OR(LEFT($F495,3)="111",LEFT($F495,3)="112",LEFT($F495,3)="113"),OR(LEFT($G495,3)="111",LEFT($G495,3)="112",LEFT($G495,3)="113")),"NB",IF(OR(LEFT($F495,3)="111",LEFT($F495,3)="112",LEFT($F495,3)="113"),"THU",IF(OR(LEFT($G495,3)="111",LEFT($G495,3)="112",LEFT($G495,3)="113"),"CHI",""))))</f>
        <v/>
      </c>
      <c r="N495" s="117">
        <f>IF($M495="THU",$G495,IF($M495="CHI",$F495,""))</f>
        <v/>
      </c>
      <c r="O495" s="117">
        <f>IF(OR($M495="",$M495="NB"),"",IF($J495&lt;&gt;"",TEXT($J495,"00"),IFERROR(VLOOKUP(LEFT($N495,4),LCTT_MAP!$A$7:$C$66,IF($M495="THU",2,3),FALSE()),IFERROR(VLOOKUP(LEFT($N495,3),LCTT_MAP!$A$7:$C$66,IF($M495="THU",2,3),FALSE()),IFERROR(VLOOKUP(LEFT($N495,2),LCTT_MAP!$A$7:$C$66,IF($M495="THU",2,3),FALSE()),IFERROR(VLOOKUP(LEFT($N495,1),LCTT_MAP!$A$7:$C$66,IF($M495="THU",2,3),FALSE()),IF($M495="THU","06","07")))))))</f>
        <v/>
      </c>
      <c r="P495" s="117">
        <f>P494+IF(AND($H495&lt;&gt;"",OR(LEFT($F495,LEN(SC_TK))=SC_TK,LEFT($G495,LEN(SC_TK))=SC_TK)),1,0)</f>
        <v/>
      </c>
    </row>
    <row r="496" ht="15" customHeight="1" s="78">
      <c r="A496" s="95">
        <f>IF($H496="","",ROW()-6)</f>
        <v/>
      </c>
      <c r="B496" s="114" t="n"/>
      <c r="C496" s="102" t="n"/>
      <c r="D496" s="114" t="n"/>
      <c r="E496" s="103" t="n"/>
      <c r="F496" s="102" t="n"/>
      <c r="G496" s="102" t="n"/>
      <c r="H496" s="115" t="n"/>
      <c r="I496" s="102" t="n"/>
      <c r="J496" s="102" t="n"/>
      <c r="K496" s="103" t="n"/>
      <c r="L496" s="116">
        <f>IF($H496="","",TRIM(IF(COUNTIF(DMTK!$A$7:$A$250,$F496)=0,"TK Nợ sai! ","")&amp;IF(COUNTIF(DMTK!$A$7:$A$250,$G496)=0,"TK Có sai! ","")&amp;IF(N($H496)&lt;=0,"Tiền phải &gt; 0! ","")&amp;IF($B496="","Thiếu ngày! ","")&amp;IF(AND(OR(LEFT($F496,3)="131",LEFT($G496,3)="131",LEFT($F496,3)="331",LEFT($G496,3)="331"),$I496=""),"Thiếu Mã ĐT! ","")&amp;IF(AND($I496&lt;&gt;"",COUNTIF(DM_DT!$A$7:$A$306,$I496)=0),"Mã ĐT chưa khai báo! ","")))</f>
        <v/>
      </c>
      <c r="M496" s="117">
        <f>IF($H496="","",IF(AND(OR(LEFT($F496,3)="111",LEFT($F496,3)="112",LEFT($F496,3)="113"),OR(LEFT($G496,3)="111",LEFT($G496,3)="112",LEFT($G496,3)="113")),"NB",IF(OR(LEFT($F496,3)="111",LEFT($F496,3)="112",LEFT($F496,3)="113"),"THU",IF(OR(LEFT($G496,3)="111",LEFT($G496,3)="112",LEFT($G496,3)="113"),"CHI",""))))</f>
        <v/>
      </c>
      <c r="N496" s="117">
        <f>IF($M496="THU",$G496,IF($M496="CHI",$F496,""))</f>
        <v/>
      </c>
      <c r="O496" s="117">
        <f>IF(OR($M496="",$M496="NB"),"",IF($J496&lt;&gt;"",TEXT($J496,"00"),IFERROR(VLOOKUP(LEFT($N496,4),LCTT_MAP!$A$7:$C$66,IF($M496="THU",2,3),FALSE()),IFERROR(VLOOKUP(LEFT($N496,3),LCTT_MAP!$A$7:$C$66,IF($M496="THU",2,3),FALSE()),IFERROR(VLOOKUP(LEFT($N496,2),LCTT_MAP!$A$7:$C$66,IF($M496="THU",2,3),FALSE()),IFERROR(VLOOKUP(LEFT($N496,1),LCTT_MAP!$A$7:$C$66,IF($M496="THU",2,3),FALSE()),IF($M496="THU","06","07")))))))</f>
        <v/>
      </c>
      <c r="P496" s="117">
        <f>P495+IF(AND($H496&lt;&gt;"",OR(LEFT($F496,LEN(SC_TK))=SC_TK,LEFT($G496,LEN(SC_TK))=SC_TK)),1,0)</f>
        <v/>
      </c>
    </row>
    <row r="497" ht="15" customHeight="1" s="78">
      <c r="A497" s="95">
        <f>IF($H497="","",ROW()-6)</f>
        <v/>
      </c>
      <c r="B497" s="114" t="n"/>
      <c r="C497" s="102" t="n"/>
      <c r="D497" s="114" t="n"/>
      <c r="E497" s="103" t="n"/>
      <c r="F497" s="102" t="n"/>
      <c r="G497" s="102" t="n"/>
      <c r="H497" s="115" t="n"/>
      <c r="I497" s="102" t="n"/>
      <c r="J497" s="102" t="n"/>
      <c r="K497" s="103" t="n"/>
      <c r="L497" s="116">
        <f>IF($H497="","",TRIM(IF(COUNTIF(DMTK!$A$7:$A$250,$F497)=0,"TK Nợ sai! ","")&amp;IF(COUNTIF(DMTK!$A$7:$A$250,$G497)=0,"TK Có sai! ","")&amp;IF(N($H497)&lt;=0,"Tiền phải &gt; 0! ","")&amp;IF($B497="","Thiếu ngày! ","")&amp;IF(AND(OR(LEFT($F497,3)="131",LEFT($G497,3)="131",LEFT($F497,3)="331",LEFT($G497,3)="331"),$I497=""),"Thiếu Mã ĐT! ","")&amp;IF(AND($I497&lt;&gt;"",COUNTIF(DM_DT!$A$7:$A$306,$I497)=0),"Mã ĐT chưa khai báo! ","")))</f>
        <v/>
      </c>
      <c r="M497" s="117">
        <f>IF($H497="","",IF(AND(OR(LEFT($F497,3)="111",LEFT($F497,3)="112",LEFT($F497,3)="113"),OR(LEFT($G497,3)="111",LEFT($G497,3)="112",LEFT($G497,3)="113")),"NB",IF(OR(LEFT($F497,3)="111",LEFT($F497,3)="112",LEFT($F497,3)="113"),"THU",IF(OR(LEFT($G497,3)="111",LEFT($G497,3)="112",LEFT($G497,3)="113"),"CHI",""))))</f>
        <v/>
      </c>
      <c r="N497" s="117">
        <f>IF($M497="THU",$G497,IF($M497="CHI",$F497,""))</f>
        <v/>
      </c>
      <c r="O497" s="117">
        <f>IF(OR($M497="",$M497="NB"),"",IF($J497&lt;&gt;"",TEXT($J497,"00"),IFERROR(VLOOKUP(LEFT($N497,4),LCTT_MAP!$A$7:$C$66,IF($M497="THU",2,3),FALSE()),IFERROR(VLOOKUP(LEFT($N497,3),LCTT_MAP!$A$7:$C$66,IF($M497="THU",2,3),FALSE()),IFERROR(VLOOKUP(LEFT($N497,2),LCTT_MAP!$A$7:$C$66,IF($M497="THU",2,3),FALSE()),IFERROR(VLOOKUP(LEFT($N497,1),LCTT_MAP!$A$7:$C$66,IF($M497="THU",2,3),FALSE()),IF($M497="THU","06","07")))))))</f>
        <v/>
      </c>
      <c r="P497" s="117">
        <f>P496+IF(AND($H497&lt;&gt;"",OR(LEFT($F497,LEN(SC_TK))=SC_TK,LEFT($G497,LEN(SC_TK))=SC_TK)),1,0)</f>
        <v/>
      </c>
    </row>
    <row r="498" ht="15" customHeight="1" s="78">
      <c r="A498" s="95">
        <f>IF($H498="","",ROW()-6)</f>
        <v/>
      </c>
      <c r="B498" s="114" t="n"/>
      <c r="C498" s="102" t="n"/>
      <c r="D498" s="114" t="n"/>
      <c r="E498" s="103" t="n"/>
      <c r="F498" s="102" t="n"/>
      <c r="G498" s="102" t="n"/>
      <c r="H498" s="115" t="n"/>
      <c r="I498" s="102" t="n"/>
      <c r="J498" s="102" t="n"/>
      <c r="K498" s="103" t="n"/>
      <c r="L498" s="116">
        <f>IF($H498="","",TRIM(IF(COUNTIF(DMTK!$A$7:$A$250,$F498)=0,"TK Nợ sai! ","")&amp;IF(COUNTIF(DMTK!$A$7:$A$250,$G498)=0,"TK Có sai! ","")&amp;IF(N($H498)&lt;=0,"Tiền phải &gt; 0! ","")&amp;IF($B498="","Thiếu ngày! ","")&amp;IF(AND(OR(LEFT($F498,3)="131",LEFT($G498,3)="131",LEFT($F498,3)="331",LEFT($G498,3)="331"),$I498=""),"Thiếu Mã ĐT! ","")&amp;IF(AND($I498&lt;&gt;"",COUNTIF(DM_DT!$A$7:$A$306,$I498)=0),"Mã ĐT chưa khai báo! ","")))</f>
        <v/>
      </c>
      <c r="M498" s="117">
        <f>IF($H498="","",IF(AND(OR(LEFT($F498,3)="111",LEFT($F498,3)="112",LEFT($F498,3)="113"),OR(LEFT($G498,3)="111",LEFT($G498,3)="112",LEFT($G498,3)="113")),"NB",IF(OR(LEFT($F498,3)="111",LEFT($F498,3)="112",LEFT($F498,3)="113"),"THU",IF(OR(LEFT($G498,3)="111",LEFT($G498,3)="112",LEFT($G498,3)="113"),"CHI",""))))</f>
        <v/>
      </c>
      <c r="N498" s="117">
        <f>IF($M498="THU",$G498,IF($M498="CHI",$F498,""))</f>
        <v/>
      </c>
      <c r="O498" s="117">
        <f>IF(OR($M498="",$M498="NB"),"",IF($J498&lt;&gt;"",TEXT($J498,"00"),IFERROR(VLOOKUP(LEFT($N498,4),LCTT_MAP!$A$7:$C$66,IF($M498="THU",2,3),FALSE()),IFERROR(VLOOKUP(LEFT($N498,3),LCTT_MAP!$A$7:$C$66,IF($M498="THU",2,3),FALSE()),IFERROR(VLOOKUP(LEFT($N498,2),LCTT_MAP!$A$7:$C$66,IF($M498="THU",2,3),FALSE()),IFERROR(VLOOKUP(LEFT($N498,1),LCTT_MAP!$A$7:$C$66,IF($M498="THU",2,3),FALSE()),IF($M498="THU","06","07")))))))</f>
        <v/>
      </c>
      <c r="P498" s="117">
        <f>P497+IF(AND($H498&lt;&gt;"",OR(LEFT($F498,LEN(SC_TK))=SC_TK,LEFT($G498,LEN(SC_TK))=SC_TK)),1,0)</f>
        <v/>
      </c>
    </row>
    <row r="499" ht="15" customHeight="1" s="78">
      <c r="A499" s="95">
        <f>IF($H499="","",ROW()-6)</f>
        <v/>
      </c>
      <c r="B499" s="114" t="n"/>
      <c r="C499" s="102" t="n"/>
      <c r="D499" s="114" t="n"/>
      <c r="E499" s="103" t="n"/>
      <c r="F499" s="102" t="n"/>
      <c r="G499" s="102" t="n"/>
      <c r="H499" s="115" t="n"/>
      <c r="I499" s="102" t="n"/>
      <c r="J499" s="102" t="n"/>
      <c r="K499" s="103" t="n"/>
      <c r="L499" s="116">
        <f>IF($H499="","",TRIM(IF(COUNTIF(DMTK!$A$7:$A$250,$F499)=0,"TK Nợ sai! ","")&amp;IF(COUNTIF(DMTK!$A$7:$A$250,$G499)=0,"TK Có sai! ","")&amp;IF(N($H499)&lt;=0,"Tiền phải &gt; 0! ","")&amp;IF($B499="","Thiếu ngày! ","")&amp;IF(AND(OR(LEFT($F499,3)="131",LEFT($G499,3)="131",LEFT($F499,3)="331",LEFT($G499,3)="331"),$I499=""),"Thiếu Mã ĐT! ","")&amp;IF(AND($I499&lt;&gt;"",COUNTIF(DM_DT!$A$7:$A$306,$I499)=0),"Mã ĐT chưa khai báo! ","")))</f>
        <v/>
      </c>
      <c r="M499" s="117">
        <f>IF($H499="","",IF(AND(OR(LEFT($F499,3)="111",LEFT($F499,3)="112",LEFT($F499,3)="113"),OR(LEFT($G499,3)="111",LEFT($G499,3)="112",LEFT($G499,3)="113")),"NB",IF(OR(LEFT($F499,3)="111",LEFT($F499,3)="112",LEFT($F499,3)="113"),"THU",IF(OR(LEFT($G499,3)="111",LEFT($G499,3)="112",LEFT($G499,3)="113"),"CHI",""))))</f>
        <v/>
      </c>
      <c r="N499" s="117">
        <f>IF($M499="THU",$G499,IF($M499="CHI",$F499,""))</f>
        <v/>
      </c>
      <c r="O499" s="117">
        <f>IF(OR($M499="",$M499="NB"),"",IF($J499&lt;&gt;"",TEXT($J499,"00"),IFERROR(VLOOKUP(LEFT($N499,4),LCTT_MAP!$A$7:$C$66,IF($M499="THU",2,3),FALSE()),IFERROR(VLOOKUP(LEFT($N499,3),LCTT_MAP!$A$7:$C$66,IF($M499="THU",2,3),FALSE()),IFERROR(VLOOKUP(LEFT($N499,2),LCTT_MAP!$A$7:$C$66,IF($M499="THU",2,3),FALSE()),IFERROR(VLOOKUP(LEFT($N499,1),LCTT_MAP!$A$7:$C$66,IF($M499="THU",2,3),FALSE()),IF($M499="THU","06","07")))))))</f>
        <v/>
      </c>
      <c r="P499" s="117">
        <f>P498+IF(AND($H499&lt;&gt;"",OR(LEFT($F499,LEN(SC_TK))=SC_TK,LEFT($G499,LEN(SC_TK))=SC_TK)),1,0)</f>
        <v/>
      </c>
    </row>
    <row r="500" ht="15" customHeight="1" s="78">
      <c r="A500" s="95">
        <f>IF($H500="","",ROW()-6)</f>
        <v/>
      </c>
      <c r="B500" s="114" t="n"/>
      <c r="C500" s="102" t="n"/>
      <c r="D500" s="114" t="n"/>
      <c r="E500" s="103" t="n"/>
      <c r="F500" s="102" t="n"/>
      <c r="G500" s="102" t="n"/>
      <c r="H500" s="115" t="n"/>
      <c r="I500" s="102" t="n"/>
      <c r="J500" s="102" t="n"/>
      <c r="K500" s="103" t="n"/>
      <c r="L500" s="116">
        <f>IF($H500="","",TRIM(IF(COUNTIF(DMTK!$A$7:$A$250,$F500)=0,"TK Nợ sai! ","")&amp;IF(COUNTIF(DMTK!$A$7:$A$250,$G500)=0,"TK Có sai! ","")&amp;IF(N($H500)&lt;=0,"Tiền phải &gt; 0! ","")&amp;IF($B500="","Thiếu ngày! ","")&amp;IF(AND(OR(LEFT($F500,3)="131",LEFT($G500,3)="131",LEFT($F500,3)="331",LEFT($G500,3)="331"),$I500=""),"Thiếu Mã ĐT! ","")&amp;IF(AND($I500&lt;&gt;"",COUNTIF(DM_DT!$A$7:$A$306,$I500)=0),"Mã ĐT chưa khai báo! ","")))</f>
        <v/>
      </c>
      <c r="M500" s="117">
        <f>IF($H500="","",IF(AND(OR(LEFT($F500,3)="111",LEFT($F500,3)="112",LEFT($F500,3)="113"),OR(LEFT($G500,3)="111",LEFT($G500,3)="112",LEFT($G500,3)="113")),"NB",IF(OR(LEFT($F500,3)="111",LEFT($F500,3)="112",LEFT($F500,3)="113"),"THU",IF(OR(LEFT($G500,3)="111",LEFT($G500,3)="112",LEFT($G500,3)="113"),"CHI",""))))</f>
        <v/>
      </c>
      <c r="N500" s="117">
        <f>IF($M500="THU",$G500,IF($M500="CHI",$F500,""))</f>
        <v/>
      </c>
      <c r="O500" s="117">
        <f>IF(OR($M500="",$M500="NB"),"",IF($J500&lt;&gt;"",TEXT($J500,"00"),IFERROR(VLOOKUP(LEFT($N500,4),LCTT_MAP!$A$7:$C$66,IF($M500="THU",2,3),FALSE()),IFERROR(VLOOKUP(LEFT($N500,3),LCTT_MAP!$A$7:$C$66,IF($M500="THU",2,3),FALSE()),IFERROR(VLOOKUP(LEFT($N500,2),LCTT_MAP!$A$7:$C$66,IF($M500="THU",2,3),FALSE()),IFERROR(VLOOKUP(LEFT($N500,1),LCTT_MAP!$A$7:$C$66,IF($M500="THU",2,3),FALSE()),IF($M500="THU","06","07")))))))</f>
        <v/>
      </c>
      <c r="P500" s="117">
        <f>P499+IF(AND($H500&lt;&gt;"",OR(LEFT($F500,LEN(SC_TK))=SC_TK,LEFT($G500,LEN(SC_TK))=SC_TK)),1,0)</f>
        <v/>
      </c>
    </row>
    <row r="501" ht="15" customHeight="1" s="78">
      <c r="A501" s="95">
        <f>IF($H501="","",ROW()-6)</f>
        <v/>
      </c>
      <c r="B501" s="114" t="n"/>
      <c r="C501" s="102" t="n"/>
      <c r="D501" s="114" t="n"/>
      <c r="E501" s="103" t="n"/>
      <c r="F501" s="102" t="n"/>
      <c r="G501" s="102" t="n"/>
      <c r="H501" s="115" t="n"/>
      <c r="I501" s="102" t="n"/>
      <c r="J501" s="102" t="n"/>
      <c r="K501" s="103" t="n"/>
      <c r="L501" s="116">
        <f>IF($H501="","",TRIM(IF(COUNTIF(DMTK!$A$7:$A$250,$F501)=0,"TK Nợ sai! ","")&amp;IF(COUNTIF(DMTK!$A$7:$A$250,$G501)=0,"TK Có sai! ","")&amp;IF(N($H501)&lt;=0,"Tiền phải &gt; 0! ","")&amp;IF($B501="","Thiếu ngày! ","")&amp;IF(AND(OR(LEFT($F501,3)="131",LEFT($G501,3)="131",LEFT($F501,3)="331",LEFT($G501,3)="331"),$I501=""),"Thiếu Mã ĐT! ","")&amp;IF(AND($I501&lt;&gt;"",COUNTIF(DM_DT!$A$7:$A$306,$I501)=0),"Mã ĐT chưa khai báo! ","")))</f>
        <v/>
      </c>
      <c r="M501" s="117">
        <f>IF($H501="","",IF(AND(OR(LEFT($F501,3)="111",LEFT($F501,3)="112",LEFT($F501,3)="113"),OR(LEFT($G501,3)="111",LEFT($G501,3)="112",LEFT($G501,3)="113")),"NB",IF(OR(LEFT($F501,3)="111",LEFT($F501,3)="112",LEFT($F501,3)="113"),"THU",IF(OR(LEFT($G501,3)="111",LEFT($G501,3)="112",LEFT($G501,3)="113"),"CHI",""))))</f>
        <v/>
      </c>
      <c r="N501" s="117">
        <f>IF($M501="THU",$G501,IF($M501="CHI",$F501,""))</f>
        <v/>
      </c>
      <c r="O501" s="117">
        <f>IF(OR($M501="",$M501="NB"),"",IF($J501&lt;&gt;"",TEXT($J501,"00"),IFERROR(VLOOKUP(LEFT($N501,4),LCTT_MAP!$A$7:$C$66,IF($M501="THU",2,3),FALSE()),IFERROR(VLOOKUP(LEFT($N501,3),LCTT_MAP!$A$7:$C$66,IF($M501="THU",2,3),FALSE()),IFERROR(VLOOKUP(LEFT($N501,2),LCTT_MAP!$A$7:$C$66,IF($M501="THU",2,3),FALSE()),IFERROR(VLOOKUP(LEFT($N501,1),LCTT_MAP!$A$7:$C$66,IF($M501="THU",2,3),FALSE()),IF($M501="THU","06","07")))))))</f>
        <v/>
      </c>
      <c r="P501" s="117">
        <f>P500+IF(AND($H501&lt;&gt;"",OR(LEFT($F501,LEN(SC_TK))=SC_TK,LEFT($G501,LEN(SC_TK))=SC_TK)),1,0)</f>
        <v/>
      </c>
    </row>
    <row r="502" ht="15" customHeight="1" s="78">
      <c r="A502" s="95">
        <f>IF($H502="","",ROW()-6)</f>
        <v/>
      </c>
      <c r="B502" s="114" t="n"/>
      <c r="C502" s="102" t="n"/>
      <c r="D502" s="114" t="n"/>
      <c r="E502" s="103" t="n"/>
      <c r="F502" s="102" t="n"/>
      <c r="G502" s="102" t="n"/>
      <c r="H502" s="115" t="n"/>
      <c r="I502" s="102" t="n"/>
      <c r="J502" s="102" t="n"/>
      <c r="K502" s="103" t="n"/>
      <c r="L502" s="116">
        <f>IF($H502="","",TRIM(IF(COUNTIF(DMTK!$A$7:$A$250,$F502)=0,"TK Nợ sai! ","")&amp;IF(COUNTIF(DMTK!$A$7:$A$250,$G502)=0,"TK Có sai! ","")&amp;IF(N($H502)&lt;=0,"Tiền phải &gt; 0! ","")&amp;IF($B502="","Thiếu ngày! ","")&amp;IF(AND(OR(LEFT($F502,3)="131",LEFT($G502,3)="131",LEFT($F502,3)="331",LEFT($G502,3)="331"),$I502=""),"Thiếu Mã ĐT! ","")&amp;IF(AND($I502&lt;&gt;"",COUNTIF(DM_DT!$A$7:$A$306,$I502)=0),"Mã ĐT chưa khai báo! ","")))</f>
        <v/>
      </c>
      <c r="M502" s="117">
        <f>IF($H502="","",IF(AND(OR(LEFT($F502,3)="111",LEFT($F502,3)="112",LEFT($F502,3)="113"),OR(LEFT($G502,3)="111",LEFT($G502,3)="112",LEFT($G502,3)="113")),"NB",IF(OR(LEFT($F502,3)="111",LEFT($F502,3)="112",LEFT($F502,3)="113"),"THU",IF(OR(LEFT($G502,3)="111",LEFT($G502,3)="112",LEFT($G502,3)="113"),"CHI",""))))</f>
        <v/>
      </c>
      <c r="N502" s="117">
        <f>IF($M502="THU",$G502,IF($M502="CHI",$F502,""))</f>
        <v/>
      </c>
      <c r="O502" s="117">
        <f>IF(OR($M502="",$M502="NB"),"",IF($J502&lt;&gt;"",TEXT($J502,"00"),IFERROR(VLOOKUP(LEFT($N502,4),LCTT_MAP!$A$7:$C$66,IF($M502="THU",2,3),FALSE()),IFERROR(VLOOKUP(LEFT($N502,3),LCTT_MAP!$A$7:$C$66,IF($M502="THU",2,3),FALSE()),IFERROR(VLOOKUP(LEFT($N502,2),LCTT_MAP!$A$7:$C$66,IF($M502="THU",2,3),FALSE()),IFERROR(VLOOKUP(LEFT($N502,1),LCTT_MAP!$A$7:$C$66,IF($M502="THU",2,3),FALSE()),IF($M502="THU","06","07")))))))</f>
        <v/>
      </c>
      <c r="P502" s="117">
        <f>P501+IF(AND($H502&lt;&gt;"",OR(LEFT($F502,LEN(SC_TK))=SC_TK,LEFT($G502,LEN(SC_TK))=SC_TK)),1,0)</f>
        <v/>
      </c>
    </row>
    <row r="503" ht="15" customHeight="1" s="78">
      <c r="A503" s="95">
        <f>IF($H503="","",ROW()-6)</f>
        <v/>
      </c>
      <c r="B503" s="114" t="n"/>
      <c r="C503" s="102" t="n"/>
      <c r="D503" s="114" t="n"/>
      <c r="E503" s="103" t="n"/>
      <c r="F503" s="102" t="n"/>
      <c r="G503" s="102" t="n"/>
      <c r="H503" s="115" t="n"/>
      <c r="I503" s="102" t="n"/>
      <c r="J503" s="102" t="n"/>
      <c r="K503" s="103" t="n"/>
      <c r="L503" s="116">
        <f>IF($H503="","",TRIM(IF(COUNTIF(DMTK!$A$7:$A$250,$F503)=0,"TK Nợ sai! ","")&amp;IF(COUNTIF(DMTK!$A$7:$A$250,$G503)=0,"TK Có sai! ","")&amp;IF(N($H503)&lt;=0,"Tiền phải &gt; 0! ","")&amp;IF($B503="","Thiếu ngày! ","")&amp;IF(AND(OR(LEFT($F503,3)="131",LEFT($G503,3)="131",LEFT($F503,3)="331",LEFT($G503,3)="331"),$I503=""),"Thiếu Mã ĐT! ","")&amp;IF(AND($I503&lt;&gt;"",COUNTIF(DM_DT!$A$7:$A$306,$I503)=0),"Mã ĐT chưa khai báo! ","")))</f>
        <v/>
      </c>
      <c r="M503" s="117">
        <f>IF($H503="","",IF(AND(OR(LEFT($F503,3)="111",LEFT($F503,3)="112",LEFT($F503,3)="113"),OR(LEFT($G503,3)="111",LEFT($G503,3)="112",LEFT($G503,3)="113")),"NB",IF(OR(LEFT($F503,3)="111",LEFT($F503,3)="112",LEFT($F503,3)="113"),"THU",IF(OR(LEFT($G503,3)="111",LEFT($G503,3)="112",LEFT($G503,3)="113"),"CHI",""))))</f>
        <v/>
      </c>
      <c r="N503" s="117">
        <f>IF($M503="THU",$G503,IF($M503="CHI",$F503,""))</f>
        <v/>
      </c>
      <c r="O503" s="117">
        <f>IF(OR($M503="",$M503="NB"),"",IF($J503&lt;&gt;"",TEXT($J503,"00"),IFERROR(VLOOKUP(LEFT($N503,4),LCTT_MAP!$A$7:$C$66,IF($M503="THU",2,3),FALSE()),IFERROR(VLOOKUP(LEFT($N503,3),LCTT_MAP!$A$7:$C$66,IF($M503="THU",2,3),FALSE()),IFERROR(VLOOKUP(LEFT($N503,2),LCTT_MAP!$A$7:$C$66,IF($M503="THU",2,3),FALSE()),IFERROR(VLOOKUP(LEFT($N503,1),LCTT_MAP!$A$7:$C$66,IF($M503="THU",2,3),FALSE()),IF($M503="THU","06","07")))))))</f>
        <v/>
      </c>
      <c r="P503" s="117">
        <f>P502+IF(AND($H503&lt;&gt;"",OR(LEFT($F503,LEN(SC_TK))=SC_TK,LEFT($G503,LEN(SC_TK))=SC_TK)),1,0)</f>
        <v/>
      </c>
    </row>
    <row r="504" ht="15" customHeight="1" s="78">
      <c r="A504" s="95">
        <f>IF($H504="","",ROW()-6)</f>
        <v/>
      </c>
      <c r="B504" s="114" t="n"/>
      <c r="C504" s="102" t="n"/>
      <c r="D504" s="114" t="n"/>
      <c r="E504" s="103" t="n"/>
      <c r="F504" s="102" t="n"/>
      <c r="G504" s="102" t="n"/>
      <c r="H504" s="115" t="n"/>
      <c r="I504" s="102" t="n"/>
      <c r="J504" s="102" t="n"/>
      <c r="K504" s="103" t="n"/>
      <c r="L504" s="116">
        <f>IF($H504="","",TRIM(IF(COUNTIF(DMTK!$A$7:$A$250,$F504)=0,"TK Nợ sai! ","")&amp;IF(COUNTIF(DMTK!$A$7:$A$250,$G504)=0,"TK Có sai! ","")&amp;IF(N($H504)&lt;=0,"Tiền phải &gt; 0! ","")&amp;IF($B504="","Thiếu ngày! ","")&amp;IF(AND(OR(LEFT($F504,3)="131",LEFT($G504,3)="131",LEFT($F504,3)="331",LEFT($G504,3)="331"),$I504=""),"Thiếu Mã ĐT! ","")&amp;IF(AND($I504&lt;&gt;"",COUNTIF(DM_DT!$A$7:$A$306,$I504)=0),"Mã ĐT chưa khai báo! ","")))</f>
        <v/>
      </c>
      <c r="M504" s="117">
        <f>IF($H504="","",IF(AND(OR(LEFT($F504,3)="111",LEFT($F504,3)="112",LEFT($F504,3)="113"),OR(LEFT($G504,3)="111",LEFT($G504,3)="112",LEFT($G504,3)="113")),"NB",IF(OR(LEFT($F504,3)="111",LEFT($F504,3)="112",LEFT($F504,3)="113"),"THU",IF(OR(LEFT($G504,3)="111",LEFT($G504,3)="112",LEFT($G504,3)="113"),"CHI",""))))</f>
        <v/>
      </c>
      <c r="N504" s="117">
        <f>IF($M504="THU",$G504,IF($M504="CHI",$F504,""))</f>
        <v/>
      </c>
      <c r="O504" s="117">
        <f>IF(OR($M504="",$M504="NB"),"",IF($J504&lt;&gt;"",TEXT($J504,"00"),IFERROR(VLOOKUP(LEFT($N504,4),LCTT_MAP!$A$7:$C$66,IF($M504="THU",2,3),FALSE()),IFERROR(VLOOKUP(LEFT($N504,3),LCTT_MAP!$A$7:$C$66,IF($M504="THU",2,3),FALSE()),IFERROR(VLOOKUP(LEFT($N504,2),LCTT_MAP!$A$7:$C$66,IF($M504="THU",2,3),FALSE()),IFERROR(VLOOKUP(LEFT($N504,1),LCTT_MAP!$A$7:$C$66,IF($M504="THU",2,3),FALSE()),IF($M504="THU","06","07")))))))</f>
        <v/>
      </c>
      <c r="P504" s="117">
        <f>P503+IF(AND($H504&lt;&gt;"",OR(LEFT($F504,LEN(SC_TK))=SC_TK,LEFT($G504,LEN(SC_TK))=SC_TK)),1,0)</f>
        <v/>
      </c>
    </row>
    <row r="505" ht="15" customHeight="1" s="78">
      <c r="A505" s="95">
        <f>IF($H505="","",ROW()-6)</f>
        <v/>
      </c>
      <c r="B505" s="114" t="n"/>
      <c r="C505" s="102" t="n"/>
      <c r="D505" s="114" t="n"/>
      <c r="E505" s="103" t="n"/>
      <c r="F505" s="102" t="n"/>
      <c r="G505" s="102" t="n"/>
      <c r="H505" s="115" t="n"/>
      <c r="I505" s="102" t="n"/>
      <c r="J505" s="102" t="n"/>
      <c r="K505" s="103" t="n"/>
      <c r="L505" s="116">
        <f>IF($H505="","",TRIM(IF(COUNTIF(DMTK!$A$7:$A$250,$F505)=0,"TK Nợ sai! ","")&amp;IF(COUNTIF(DMTK!$A$7:$A$250,$G505)=0,"TK Có sai! ","")&amp;IF(N($H505)&lt;=0,"Tiền phải &gt; 0! ","")&amp;IF($B505="","Thiếu ngày! ","")&amp;IF(AND(OR(LEFT($F505,3)="131",LEFT($G505,3)="131",LEFT($F505,3)="331",LEFT($G505,3)="331"),$I505=""),"Thiếu Mã ĐT! ","")&amp;IF(AND($I505&lt;&gt;"",COUNTIF(DM_DT!$A$7:$A$306,$I505)=0),"Mã ĐT chưa khai báo! ","")))</f>
        <v/>
      </c>
      <c r="M505" s="117">
        <f>IF($H505="","",IF(AND(OR(LEFT($F505,3)="111",LEFT($F505,3)="112",LEFT($F505,3)="113"),OR(LEFT($G505,3)="111",LEFT($G505,3)="112",LEFT($G505,3)="113")),"NB",IF(OR(LEFT($F505,3)="111",LEFT($F505,3)="112",LEFT($F505,3)="113"),"THU",IF(OR(LEFT($G505,3)="111",LEFT($G505,3)="112",LEFT($G505,3)="113"),"CHI",""))))</f>
        <v/>
      </c>
      <c r="N505" s="117">
        <f>IF($M505="THU",$G505,IF($M505="CHI",$F505,""))</f>
        <v/>
      </c>
      <c r="O505" s="117">
        <f>IF(OR($M505="",$M505="NB"),"",IF($J505&lt;&gt;"",TEXT($J505,"00"),IFERROR(VLOOKUP(LEFT($N505,4),LCTT_MAP!$A$7:$C$66,IF($M505="THU",2,3),FALSE()),IFERROR(VLOOKUP(LEFT($N505,3),LCTT_MAP!$A$7:$C$66,IF($M505="THU",2,3),FALSE()),IFERROR(VLOOKUP(LEFT($N505,2),LCTT_MAP!$A$7:$C$66,IF($M505="THU",2,3),FALSE()),IFERROR(VLOOKUP(LEFT($N505,1),LCTT_MAP!$A$7:$C$66,IF($M505="THU",2,3),FALSE()),IF($M505="THU","06","07")))))))</f>
        <v/>
      </c>
      <c r="P505" s="117">
        <f>P504+IF(AND($H505&lt;&gt;"",OR(LEFT($F505,LEN(SC_TK))=SC_TK,LEFT($G505,LEN(SC_TK))=SC_TK)),1,0)</f>
        <v/>
      </c>
    </row>
    <row r="506" ht="15" customHeight="1" s="78">
      <c r="A506" s="95">
        <f>IF($H506="","",ROW()-6)</f>
        <v/>
      </c>
      <c r="B506" s="114" t="n"/>
      <c r="C506" s="102" t="n"/>
      <c r="D506" s="114" t="n"/>
      <c r="E506" s="103" t="n"/>
      <c r="F506" s="102" t="n"/>
      <c r="G506" s="102" t="n"/>
      <c r="H506" s="115" t="n"/>
      <c r="I506" s="102" t="n"/>
      <c r="J506" s="102" t="n"/>
      <c r="K506" s="103" t="n"/>
      <c r="L506" s="116">
        <f>IF($H506="","",TRIM(IF(COUNTIF(DMTK!$A$7:$A$250,$F506)=0,"TK Nợ sai! ","")&amp;IF(COUNTIF(DMTK!$A$7:$A$250,$G506)=0,"TK Có sai! ","")&amp;IF(N($H506)&lt;=0,"Tiền phải &gt; 0! ","")&amp;IF($B506="","Thiếu ngày! ","")&amp;IF(AND(OR(LEFT($F506,3)="131",LEFT($G506,3)="131",LEFT($F506,3)="331",LEFT($G506,3)="331"),$I506=""),"Thiếu Mã ĐT! ","")&amp;IF(AND($I506&lt;&gt;"",COUNTIF(DM_DT!$A$7:$A$306,$I506)=0),"Mã ĐT chưa khai báo! ","")))</f>
        <v/>
      </c>
      <c r="M506" s="117">
        <f>IF($H506="","",IF(AND(OR(LEFT($F506,3)="111",LEFT($F506,3)="112",LEFT($F506,3)="113"),OR(LEFT($G506,3)="111",LEFT($G506,3)="112",LEFT($G506,3)="113")),"NB",IF(OR(LEFT($F506,3)="111",LEFT($F506,3)="112",LEFT($F506,3)="113"),"THU",IF(OR(LEFT($G506,3)="111",LEFT($G506,3)="112",LEFT($G506,3)="113"),"CHI",""))))</f>
        <v/>
      </c>
      <c r="N506" s="117">
        <f>IF($M506="THU",$G506,IF($M506="CHI",$F506,""))</f>
        <v/>
      </c>
      <c r="O506" s="117">
        <f>IF(OR($M506="",$M506="NB"),"",IF($J506&lt;&gt;"",TEXT($J506,"00"),IFERROR(VLOOKUP(LEFT($N506,4),LCTT_MAP!$A$7:$C$66,IF($M506="THU",2,3),FALSE()),IFERROR(VLOOKUP(LEFT($N506,3),LCTT_MAP!$A$7:$C$66,IF($M506="THU",2,3),FALSE()),IFERROR(VLOOKUP(LEFT($N506,2),LCTT_MAP!$A$7:$C$66,IF($M506="THU",2,3),FALSE()),IFERROR(VLOOKUP(LEFT($N506,1),LCTT_MAP!$A$7:$C$66,IF($M506="THU",2,3),FALSE()),IF($M506="THU","06","07")))))))</f>
        <v/>
      </c>
      <c r="P506" s="117">
        <f>P505+IF(AND($H506&lt;&gt;"",OR(LEFT($F506,LEN(SC_TK))=SC_TK,LEFT($G506,LEN(SC_TK))=SC_TK)),1,0)</f>
        <v/>
      </c>
    </row>
    <row r="507" ht="15" customHeight="1" s="78">
      <c r="A507" s="95">
        <f>IF($H507="","",ROW()-6)</f>
        <v/>
      </c>
      <c r="B507" s="114" t="n"/>
      <c r="C507" s="102" t="n"/>
      <c r="D507" s="114" t="n"/>
      <c r="E507" s="103" t="n"/>
      <c r="F507" s="102" t="n"/>
      <c r="G507" s="102" t="n"/>
      <c r="H507" s="115" t="n"/>
      <c r="I507" s="102" t="n"/>
      <c r="J507" s="102" t="n"/>
      <c r="K507" s="103" t="n"/>
      <c r="L507" s="116">
        <f>IF($H507="","",TRIM(IF(COUNTIF(DMTK!$A$7:$A$250,$F507)=0,"TK Nợ sai! ","")&amp;IF(COUNTIF(DMTK!$A$7:$A$250,$G507)=0,"TK Có sai! ","")&amp;IF(N($H507)&lt;=0,"Tiền phải &gt; 0! ","")&amp;IF($B507="","Thiếu ngày! ","")&amp;IF(AND(OR(LEFT($F507,3)="131",LEFT($G507,3)="131",LEFT($F507,3)="331",LEFT($G507,3)="331"),$I507=""),"Thiếu Mã ĐT! ","")&amp;IF(AND($I507&lt;&gt;"",COUNTIF(DM_DT!$A$7:$A$306,$I507)=0),"Mã ĐT chưa khai báo! ","")))</f>
        <v/>
      </c>
      <c r="M507" s="117">
        <f>IF($H507="","",IF(AND(OR(LEFT($F507,3)="111",LEFT($F507,3)="112",LEFT($F507,3)="113"),OR(LEFT($G507,3)="111",LEFT($G507,3)="112",LEFT($G507,3)="113")),"NB",IF(OR(LEFT($F507,3)="111",LEFT($F507,3)="112",LEFT($F507,3)="113"),"THU",IF(OR(LEFT($G507,3)="111",LEFT($G507,3)="112",LEFT($G507,3)="113"),"CHI",""))))</f>
        <v/>
      </c>
      <c r="N507" s="117">
        <f>IF($M507="THU",$G507,IF($M507="CHI",$F507,""))</f>
        <v/>
      </c>
      <c r="O507" s="117">
        <f>IF(OR($M507="",$M507="NB"),"",IF($J507&lt;&gt;"",TEXT($J507,"00"),IFERROR(VLOOKUP(LEFT($N507,4),LCTT_MAP!$A$7:$C$66,IF($M507="THU",2,3),FALSE()),IFERROR(VLOOKUP(LEFT($N507,3),LCTT_MAP!$A$7:$C$66,IF($M507="THU",2,3),FALSE()),IFERROR(VLOOKUP(LEFT($N507,2),LCTT_MAP!$A$7:$C$66,IF($M507="THU",2,3),FALSE()),IFERROR(VLOOKUP(LEFT($N507,1),LCTT_MAP!$A$7:$C$66,IF($M507="THU",2,3),FALSE()),IF($M507="THU","06","07")))))))</f>
        <v/>
      </c>
      <c r="P507" s="117">
        <f>P506+IF(AND($H507&lt;&gt;"",OR(LEFT($F507,LEN(SC_TK))=SC_TK,LEFT($G507,LEN(SC_TK))=SC_TK)),1,0)</f>
        <v/>
      </c>
    </row>
    <row r="508" ht="15" customHeight="1" s="78">
      <c r="A508" s="95">
        <f>IF($H508="","",ROW()-6)</f>
        <v/>
      </c>
      <c r="B508" s="114" t="n"/>
      <c r="C508" s="102" t="n"/>
      <c r="D508" s="114" t="n"/>
      <c r="E508" s="103" t="n"/>
      <c r="F508" s="102" t="n"/>
      <c r="G508" s="102" t="n"/>
      <c r="H508" s="115" t="n"/>
      <c r="I508" s="102" t="n"/>
      <c r="J508" s="102" t="n"/>
      <c r="K508" s="103" t="n"/>
      <c r="L508" s="116">
        <f>IF($H508="","",TRIM(IF(COUNTIF(DMTK!$A$7:$A$250,$F508)=0,"TK Nợ sai! ","")&amp;IF(COUNTIF(DMTK!$A$7:$A$250,$G508)=0,"TK Có sai! ","")&amp;IF(N($H508)&lt;=0,"Tiền phải &gt; 0! ","")&amp;IF($B508="","Thiếu ngày! ","")&amp;IF(AND(OR(LEFT($F508,3)="131",LEFT($G508,3)="131",LEFT($F508,3)="331",LEFT($G508,3)="331"),$I508=""),"Thiếu Mã ĐT! ","")&amp;IF(AND($I508&lt;&gt;"",COUNTIF(DM_DT!$A$7:$A$306,$I508)=0),"Mã ĐT chưa khai báo! ","")))</f>
        <v/>
      </c>
      <c r="M508" s="117">
        <f>IF($H508="","",IF(AND(OR(LEFT($F508,3)="111",LEFT($F508,3)="112",LEFT($F508,3)="113"),OR(LEFT($G508,3)="111",LEFT($G508,3)="112",LEFT($G508,3)="113")),"NB",IF(OR(LEFT($F508,3)="111",LEFT($F508,3)="112",LEFT($F508,3)="113"),"THU",IF(OR(LEFT($G508,3)="111",LEFT($G508,3)="112",LEFT($G508,3)="113"),"CHI",""))))</f>
        <v/>
      </c>
      <c r="N508" s="117">
        <f>IF($M508="THU",$G508,IF($M508="CHI",$F508,""))</f>
        <v/>
      </c>
      <c r="O508" s="117">
        <f>IF(OR($M508="",$M508="NB"),"",IF($J508&lt;&gt;"",TEXT($J508,"00"),IFERROR(VLOOKUP(LEFT($N508,4),LCTT_MAP!$A$7:$C$66,IF($M508="THU",2,3),FALSE()),IFERROR(VLOOKUP(LEFT($N508,3),LCTT_MAP!$A$7:$C$66,IF($M508="THU",2,3),FALSE()),IFERROR(VLOOKUP(LEFT($N508,2),LCTT_MAP!$A$7:$C$66,IF($M508="THU",2,3),FALSE()),IFERROR(VLOOKUP(LEFT($N508,1),LCTT_MAP!$A$7:$C$66,IF($M508="THU",2,3),FALSE()),IF($M508="THU","06","07")))))))</f>
        <v/>
      </c>
      <c r="P508" s="117">
        <f>P507+IF(AND($H508&lt;&gt;"",OR(LEFT($F508,LEN(SC_TK))=SC_TK,LEFT($G508,LEN(SC_TK))=SC_TK)),1,0)</f>
        <v/>
      </c>
    </row>
    <row r="509" ht="15" customHeight="1" s="78">
      <c r="A509" s="95">
        <f>IF($H509="","",ROW()-6)</f>
        <v/>
      </c>
      <c r="B509" s="114" t="n"/>
      <c r="C509" s="102" t="n"/>
      <c r="D509" s="114" t="n"/>
      <c r="E509" s="103" t="n"/>
      <c r="F509" s="102" t="n"/>
      <c r="G509" s="102" t="n"/>
      <c r="H509" s="115" t="n"/>
      <c r="I509" s="102" t="n"/>
      <c r="J509" s="102" t="n"/>
      <c r="K509" s="103" t="n"/>
      <c r="L509" s="116">
        <f>IF($H509="","",TRIM(IF(COUNTIF(DMTK!$A$7:$A$250,$F509)=0,"TK Nợ sai! ","")&amp;IF(COUNTIF(DMTK!$A$7:$A$250,$G509)=0,"TK Có sai! ","")&amp;IF(N($H509)&lt;=0,"Tiền phải &gt; 0! ","")&amp;IF($B509="","Thiếu ngày! ","")&amp;IF(AND(OR(LEFT($F509,3)="131",LEFT($G509,3)="131",LEFT($F509,3)="331",LEFT($G509,3)="331"),$I509=""),"Thiếu Mã ĐT! ","")&amp;IF(AND($I509&lt;&gt;"",COUNTIF(DM_DT!$A$7:$A$306,$I509)=0),"Mã ĐT chưa khai báo! ","")))</f>
        <v/>
      </c>
      <c r="M509" s="117">
        <f>IF($H509="","",IF(AND(OR(LEFT($F509,3)="111",LEFT($F509,3)="112",LEFT($F509,3)="113"),OR(LEFT($G509,3)="111",LEFT($G509,3)="112",LEFT($G509,3)="113")),"NB",IF(OR(LEFT($F509,3)="111",LEFT($F509,3)="112",LEFT($F509,3)="113"),"THU",IF(OR(LEFT($G509,3)="111",LEFT($G509,3)="112",LEFT($G509,3)="113"),"CHI",""))))</f>
        <v/>
      </c>
      <c r="N509" s="117">
        <f>IF($M509="THU",$G509,IF($M509="CHI",$F509,""))</f>
        <v/>
      </c>
      <c r="O509" s="117">
        <f>IF(OR($M509="",$M509="NB"),"",IF($J509&lt;&gt;"",TEXT($J509,"00"),IFERROR(VLOOKUP(LEFT($N509,4),LCTT_MAP!$A$7:$C$66,IF($M509="THU",2,3),FALSE()),IFERROR(VLOOKUP(LEFT($N509,3),LCTT_MAP!$A$7:$C$66,IF($M509="THU",2,3),FALSE()),IFERROR(VLOOKUP(LEFT($N509,2),LCTT_MAP!$A$7:$C$66,IF($M509="THU",2,3),FALSE()),IFERROR(VLOOKUP(LEFT($N509,1),LCTT_MAP!$A$7:$C$66,IF($M509="THU",2,3),FALSE()),IF($M509="THU","06","07")))))))</f>
        <v/>
      </c>
      <c r="P509" s="117">
        <f>P508+IF(AND($H509&lt;&gt;"",OR(LEFT($F509,LEN(SC_TK))=SC_TK,LEFT($G509,LEN(SC_TK))=SC_TK)),1,0)</f>
        <v/>
      </c>
    </row>
    <row r="510" ht="15" customHeight="1" s="78">
      <c r="A510" s="95">
        <f>IF($H510="","",ROW()-6)</f>
        <v/>
      </c>
      <c r="B510" s="114" t="n"/>
      <c r="C510" s="102" t="n"/>
      <c r="D510" s="114" t="n"/>
      <c r="E510" s="103" t="n"/>
      <c r="F510" s="102" t="n"/>
      <c r="G510" s="102" t="n"/>
      <c r="H510" s="115" t="n"/>
      <c r="I510" s="102" t="n"/>
      <c r="J510" s="102" t="n"/>
      <c r="K510" s="103" t="n"/>
      <c r="L510" s="116">
        <f>IF($H510="","",TRIM(IF(COUNTIF(DMTK!$A$7:$A$250,$F510)=0,"TK Nợ sai! ","")&amp;IF(COUNTIF(DMTK!$A$7:$A$250,$G510)=0,"TK Có sai! ","")&amp;IF(N($H510)&lt;=0,"Tiền phải &gt; 0! ","")&amp;IF($B510="","Thiếu ngày! ","")&amp;IF(AND(OR(LEFT($F510,3)="131",LEFT($G510,3)="131",LEFT($F510,3)="331",LEFT($G510,3)="331"),$I510=""),"Thiếu Mã ĐT! ","")&amp;IF(AND($I510&lt;&gt;"",COUNTIF(DM_DT!$A$7:$A$306,$I510)=0),"Mã ĐT chưa khai báo! ","")))</f>
        <v/>
      </c>
      <c r="M510" s="117">
        <f>IF($H510="","",IF(AND(OR(LEFT($F510,3)="111",LEFT($F510,3)="112",LEFT($F510,3)="113"),OR(LEFT($G510,3)="111",LEFT($G510,3)="112",LEFT($G510,3)="113")),"NB",IF(OR(LEFT($F510,3)="111",LEFT($F510,3)="112",LEFT($F510,3)="113"),"THU",IF(OR(LEFT($G510,3)="111",LEFT($G510,3)="112",LEFT($G510,3)="113"),"CHI",""))))</f>
        <v/>
      </c>
      <c r="N510" s="117">
        <f>IF($M510="THU",$G510,IF($M510="CHI",$F510,""))</f>
        <v/>
      </c>
      <c r="O510" s="117">
        <f>IF(OR($M510="",$M510="NB"),"",IF($J510&lt;&gt;"",TEXT($J510,"00"),IFERROR(VLOOKUP(LEFT($N510,4),LCTT_MAP!$A$7:$C$66,IF($M510="THU",2,3),FALSE()),IFERROR(VLOOKUP(LEFT($N510,3),LCTT_MAP!$A$7:$C$66,IF($M510="THU",2,3),FALSE()),IFERROR(VLOOKUP(LEFT($N510,2),LCTT_MAP!$A$7:$C$66,IF($M510="THU",2,3),FALSE()),IFERROR(VLOOKUP(LEFT($N510,1),LCTT_MAP!$A$7:$C$66,IF($M510="THU",2,3),FALSE()),IF($M510="THU","06","07")))))))</f>
        <v/>
      </c>
      <c r="P510" s="117">
        <f>P509+IF(AND($H510&lt;&gt;"",OR(LEFT($F510,LEN(SC_TK))=SC_TK,LEFT($G510,LEN(SC_TK))=SC_TK)),1,0)</f>
        <v/>
      </c>
    </row>
    <row r="511" ht="15" customHeight="1" s="78">
      <c r="A511" s="95">
        <f>IF($H511="","",ROW()-6)</f>
        <v/>
      </c>
      <c r="B511" s="114" t="n"/>
      <c r="C511" s="102" t="n"/>
      <c r="D511" s="114" t="n"/>
      <c r="E511" s="103" t="n"/>
      <c r="F511" s="102" t="n"/>
      <c r="G511" s="102" t="n"/>
      <c r="H511" s="115" t="n"/>
      <c r="I511" s="102" t="n"/>
      <c r="J511" s="102" t="n"/>
      <c r="K511" s="103" t="n"/>
      <c r="L511" s="116">
        <f>IF($H511="","",TRIM(IF(COUNTIF(DMTK!$A$7:$A$250,$F511)=0,"TK Nợ sai! ","")&amp;IF(COUNTIF(DMTK!$A$7:$A$250,$G511)=0,"TK Có sai! ","")&amp;IF(N($H511)&lt;=0,"Tiền phải &gt; 0! ","")&amp;IF($B511="","Thiếu ngày! ","")&amp;IF(AND(OR(LEFT($F511,3)="131",LEFT($G511,3)="131",LEFT($F511,3)="331",LEFT($G511,3)="331"),$I511=""),"Thiếu Mã ĐT! ","")&amp;IF(AND($I511&lt;&gt;"",COUNTIF(DM_DT!$A$7:$A$306,$I511)=0),"Mã ĐT chưa khai báo! ","")))</f>
        <v/>
      </c>
      <c r="M511" s="117">
        <f>IF($H511="","",IF(AND(OR(LEFT($F511,3)="111",LEFT($F511,3)="112",LEFT($F511,3)="113"),OR(LEFT($G511,3)="111",LEFT($G511,3)="112",LEFT($G511,3)="113")),"NB",IF(OR(LEFT($F511,3)="111",LEFT($F511,3)="112",LEFT($F511,3)="113"),"THU",IF(OR(LEFT($G511,3)="111",LEFT($G511,3)="112",LEFT($G511,3)="113"),"CHI",""))))</f>
        <v/>
      </c>
      <c r="N511" s="117">
        <f>IF($M511="THU",$G511,IF($M511="CHI",$F511,""))</f>
        <v/>
      </c>
      <c r="O511" s="117">
        <f>IF(OR($M511="",$M511="NB"),"",IF($J511&lt;&gt;"",TEXT($J511,"00"),IFERROR(VLOOKUP(LEFT($N511,4),LCTT_MAP!$A$7:$C$66,IF($M511="THU",2,3),FALSE()),IFERROR(VLOOKUP(LEFT($N511,3),LCTT_MAP!$A$7:$C$66,IF($M511="THU",2,3),FALSE()),IFERROR(VLOOKUP(LEFT($N511,2),LCTT_MAP!$A$7:$C$66,IF($M511="THU",2,3),FALSE()),IFERROR(VLOOKUP(LEFT($N511,1),LCTT_MAP!$A$7:$C$66,IF($M511="THU",2,3),FALSE()),IF($M511="THU","06","07")))))))</f>
        <v/>
      </c>
      <c r="P511" s="117">
        <f>P510+IF(AND($H511&lt;&gt;"",OR(LEFT($F511,LEN(SC_TK))=SC_TK,LEFT($G511,LEN(SC_TK))=SC_TK)),1,0)</f>
        <v/>
      </c>
    </row>
    <row r="512" ht="15" customHeight="1" s="78">
      <c r="A512" s="95">
        <f>IF($H512="","",ROW()-6)</f>
        <v/>
      </c>
      <c r="B512" s="114" t="n"/>
      <c r="C512" s="102" t="n"/>
      <c r="D512" s="114" t="n"/>
      <c r="E512" s="103" t="n"/>
      <c r="F512" s="102" t="n"/>
      <c r="G512" s="102" t="n"/>
      <c r="H512" s="115" t="n"/>
      <c r="I512" s="102" t="n"/>
      <c r="J512" s="102" t="n"/>
      <c r="K512" s="103" t="n"/>
      <c r="L512" s="116">
        <f>IF($H512="","",TRIM(IF(COUNTIF(DMTK!$A$7:$A$250,$F512)=0,"TK Nợ sai! ","")&amp;IF(COUNTIF(DMTK!$A$7:$A$250,$G512)=0,"TK Có sai! ","")&amp;IF(N($H512)&lt;=0,"Tiền phải &gt; 0! ","")&amp;IF($B512="","Thiếu ngày! ","")&amp;IF(AND(OR(LEFT($F512,3)="131",LEFT($G512,3)="131",LEFT($F512,3)="331",LEFT($G512,3)="331"),$I512=""),"Thiếu Mã ĐT! ","")&amp;IF(AND($I512&lt;&gt;"",COUNTIF(DM_DT!$A$7:$A$306,$I512)=0),"Mã ĐT chưa khai báo! ","")))</f>
        <v/>
      </c>
      <c r="M512" s="117">
        <f>IF($H512="","",IF(AND(OR(LEFT($F512,3)="111",LEFT($F512,3)="112",LEFT($F512,3)="113"),OR(LEFT($G512,3)="111",LEFT($G512,3)="112",LEFT($G512,3)="113")),"NB",IF(OR(LEFT($F512,3)="111",LEFT($F512,3)="112",LEFT($F512,3)="113"),"THU",IF(OR(LEFT($G512,3)="111",LEFT($G512,3)="112",LEFT($G512,3)="113"),"CHI",""))))</f>
        <v/>
      </c>
      <c r="N512" s="117">
        <f>IF($M512="THU",$G512,IF($M512="CHI",$F512,""))</f>
        <v/>
      </c>
      <c r="O512" s="117">
        <f>IF(OR($M512="",$M512="NB"),"",IF($J512&lt;&gt;"",TEXT($J512,"00"),IFERROR(VLOOKUP(LEFT($N512,4),LCTT_MAP!$A$7:$C$66,IF($M512="THU",2,3),FALSE()),IFERROR(VLOOKUP(LEFT($N512,3),LCTT_MAP!$A$7:$C$66,IF($M512="THU",2,3),FALSE()),IFERROR(VLOOKUP(LEFT($N512,2),LCTT_MAP!$A$7:$C$66,IF($M512="THU",2,3),FALSE()),IFERROR(VLOOKUP(LEFT($N512,1),LCTT_MAP!$A$7:$C$66,IF($M512="THU",2,3),FALSE()),IF($M512="THU","06","07")))))))</f>
        <v/>
      </c>
      <c r="P512" s="117">
        <f>P511+IF(AND($H512&lt;&gt;"",OR(LEFT($F512,LEN(SC_TK))=SC_TK,LEFT($G512,LEN(SC_TK))=SC_TK)),1,0)</f>
        <v/>
      </c>
    </row>
    <row r="513" ht="15" customHeight="1" s="78">
      <c r="A513" s="95">
        <f>IF($H513="","",ROW()-6)</f>
        <v/>
      </c>
      <c r="B513" s="114" t="n"/>
      <c r="C513" s="102" t="n"/>
      <c r="D513" s="114" t="n"/>
      <c r="E513" s="103" t="n"/>
      <c r="F513" s="102" t="n"/>
      <c r="G513" s="102" t="n"/>
      <c r="H513" s="115" t="n"/>
      <c r="I513" s="102" t="n"/>
      <c r="J513" s="102" t="n"/>
      <c r="K513" s="103" t="n"/>
      <c r="L513" s="116">
        <f>IF($H513="","",TRIM(IF(COUNTIF(DMTK!$A$7:$A$250,$F513)=0,"TK Nợ sai! ","")&amp;IF(COUNTIF(DMTK!$A$7:$A$250,$G513)=0,"TK Có sai! ","")&amp;IF(N($H513)&lt;=0,"Tiền phải &gt; 0! ","")&amp;IF($B513="","Thiếu ngày! ","")&amp;IF(AND(OR(LEFT($F513,3)="131",LEFT($G513,3)="131",LEFT($F513,3)="331",LEFT($G513,3)="331"),$I513=""),"Thiếu Mã ĐT! ","")&amp;IF(AND($I513&lt;&gt;"",COUNTIF(DM_DT!$A$7:$A$306,$I513)=0),"Mã ĐT chưa khai báo! ","")))</f>
        <v/>
      </c>
      <c r="M513" s="117">
        <f>IF($H513="","",IF(AND(OR(LEFT($F513,3)="111",LEFT($F513,3)="112",LEFT($F513,3)="113"),OR(LEFT($G513,3)="111",LEFT($G513,3)="112",LEFT($G513,3)="113")),"NB",IF(OR(LEFT($F513,3)="111",LEFT($F513,3)="112",LEFT($F513,3)="113"),"THU",IF(OR(LEFT($G513,3)="111",LEFT($G513,3)="112",LEFT($G513,3)="113"),"CHI",""))))</f>
        <v/>
      </c>
      <c r="N513" s="117">
        <f>IF($M513="THU",$G513,IF($M513="CHI",$F513,""))</f>
        <v/>
      </c>
      <c r="O513" s="117">
        <f>IF(OR($M513="",$M513="NB"),"",IF($J513&lt;&gt;"",TEXT($J513,"00"),IFERROR(VLOOKUP(LEFT($N513,4),LCTT_MAP!$A$7:$C$66,IF($M513="THU",2,3),FALSE()),IFERROR(VLOOKUP(LEFT($N513,3),LCTT_MAP!$A$7:$C$66,IF($M513="THU",2,3),FALSE()),IFERROR(VLOOKUP(LEFT($N513,2),LCTT_MAP!$A$7:$C$66,IF($M513="THU",2,3),FALSE()),IFERROR(VLOOKUP(LEFT($N513,1),LCTT_MAP!$A$7:$C$66,IF($M513="THU",2,3),FALSE()),IF($M513="THU","06","07")))))))</f>
        <v/>
      </c>
      <c r="P513" s="117">
        <f>P512+IF(AND($H513&lt;&gt;"",OR(LEFT($F513,LEN(SC_TK))=SC_TK,LEFT($G513,LEN(SC_TK))=SC_TK)),1,0)</f>
        <v/>
      </c>
    </row>
    <row r="514" ht="15" customHeight="1" s="78">
      <c r="A514" s="95">
        <f>IF($H514="","",ROW()-6)</f>
        <v/>
      </c>
      <c r="B514" s="114" t="n"/>
      <c r="C514" s="102" t="n"/>
      <c r="D514" s="114" t="n"/>
      <c r="E514" s="103" t="n"/>
      <c r="F514" s="102" t="n"/>
      <c r="G514" s="102" t="n"/>
      <c r="H514" s="115" t="n"/>
      <c r="I514" s="102" t="n"/>
      <c r="J514" s="102" t="n"/>
      <c r="K514" s="103" t="n"/>
      <c r="L514" s="116">
        <f>IF($H514="","",TRIM(IF(COUNTIF(DMTK!$A$7:$A$250,$F514)=0,"TK Nợ sai! ","")&amp;IF(COUNTIF(DMTK!$A$7:$A$250,$G514)=0,"TK Có sai! ","")&amp;IF(N($H514)&lt;=0,"Tiền phải &gt; 0! ","")&amp;IF($B514="","Thiếu ngày! ","")&amp;IF(AND(OR(LEFT($F514,3)="131",LEFT($G514,3)="131",LEFT($F514,3)="331",LEFT($G514,3)="331"),$I514=""),"Thiếu Mã ĐT! ","")&amp;IF(AND($I514&lt;&gt;"",COUNTIF(DM_DT!$A$7:$A$306,$I514)=0),"Mã ĐT chưa khai báo! ","")))</f>
        <v/>
      </c>
      <c r="M514" s="117">
        <f>IF($H514="","",IF(AND(OR(LEFT($F514,3)="111",LEFT($F514,3)="112",LEFT($F514,3)="113"),OR(LEFT($G514,3)="111",LEFT($G514,3)="112",LEFT($G514,3)="113")),"NB",IF(OR(LEFT($F514,3)="111",LEFT($F514,3)="112",LEFT($F514,3)="113"),"THU",IF(OR(LEFT($G514,3)="111",LEFT($G514,3)="112",LEFT($G514,3)="113"),"CHI",""))))</f>
        <v/>
      </c>
      <c r="N514" s="117">
        <f>IF($M514="THU",$G514,IF($M514="CHI",$F514,""))</f>
        <v/>
      </c>
      <c r="O514" s="117">
        <f>IF(OR($M514="",$M514="NB"),"",IF($J514&lt;&gt;"",TEXT($J514,"00"),IFERROR(VLOOKUP(LEFT($N514,4),LCTT_MAP!$A$7:$C$66,IF($M514="THU",2,3),FALSE()),IFERROR(VLOOKUP(LEFT($N514,3),LCTT_MAP!$A$7:$C$66,IF($M514="THU",2,3),FALSE()),IFERROR(VLOOKUP(LEFT($N514,2),LCTT_MAP!$A$7:$C$66,IF($M514="THU",2,3),FALSE()),IFERROR(VLOOKUP(LEFT($N514,1),LCTT_MAP!$A$7:$C$66,IF($M514="THU",2,3),FALSE()),IF($M514="THU","06","07")))))))</f>
        <v/>
      </c>
      <c r="P514" s="117">
        <f>P513+IF(AND($H514&lt;&gt;"",OR(LEFT($F514,LEN(SC_TK))=SC_TK,LEFT($G514,LEN(SC_TK))=SC_TK)),1,0)</f>
        <v/>
      </c>
    </row>
    <row r="515" ht="15" customHeight="1" s="78">
      <c r="A515" s="95">
        <f>IF($H515="","",ROW()-6)</f>
        <v/>
      </c>
      <c r="B515" s="114" t="n"/>
      <c r="C515" s="102" t="n"/>
      <c r="D515" s="114" t="n"/>
      <c r="E515" s="103" t="n"/>
      <c r="F515" s="102" t="n"/>
      <c r="G515" s="102" t="n"/>
      <c r="H515" s="115" t="n"/>
      <c r="I515" s="102" t="n"/>
      <c r="J515" s="102" t="n"/>
      <c r="K515" s="103" t="n"/>
      <c r="L515" s="116">
        <f>IF($H515="","",TRIM(IF(COUNTIF(DMTK!$A$7:$A$250,$F515)=0,"TK Nợ sai! ","")&amp;IF(COUNTIF(DMTK!$A$7:$A$250,$G515)=0,"TK Có sai! ","")&amp;IF(N($H515)&lt;=0,"Tiền phải &gt; 0! ","")&amp;IF($B515="","Thiếu ngày! ","")&amp;IF(AND(OR(LEFT($F515,3)="131",LEFT($G515,3)="131",LEFT($F515,3)="331",LEFT($G515,3)="331"),$I515=""),"Thiếu Mã ĐT! ","")&amp;IF(AND($I515&lt;&gt;"",COUNTIF(DM_DT!$A$7:$A$306,$I515)=0),"Mã ĐT chưa khai báo! ","")))</f>
        <v/>
      </c>
      <c r="M515" s="117">
        <f>IF($H515="","",IF(AND(OR(LEFT($F515,3)="111",LEFT($F515,3)="112",LEFT($F515,3)="113"),OR(LEFT($G515,3)="111",LEFT($G515,3)="112",LEFT($G515,3)="113")),"NB",IF(OR(LEFT($F515,3)="111",LEFT($F515,3)="112",LEFT($F515,3)="113"),"THU",IF(OR(LEFT($G515,3)="111",LEFT($G515,3)="112",LEFT($G515,3)="113"),"CHI",""))))</f>
        <v/>
      </c>
      <c r="N515" s="117">
        <f>IF($M515="THU",$G515,IF($M515="CHI",$F515,""))</f>
        <v/>
      </c>
      <c r="O515" s="117">
        <f>IF(OR($M515="",$M515="NB"),"",IF($J515&lt;&gt;"",TEXT($J515,"00"),IFERROR(VLOOKUP(LEFT($N515,4),LCTT_MAP!$A$7:$C$66,IF($M515="THU",2,3),FALSE()),IFERROR(VLOOKUP(LEFT($N515,3),LCTT_MAP!$A$7:$C$66,IF($M515="THU",2,3),FALSE()),IFERROR(VLOOKUP(LEFT($N515,2),LCTT_MAP!$A$7:$C$66,IF($M515="THU",2,3),FALSE()),IFERROR(VLOOKUP(LEFT($N515,1),LCTT_MAP!$A$7:$C$66,IF($M515="THU",2,3),FALSE()),IF($M515="THU","06","07")))))))</f>
        <v/>
      </c>
      <c r="P515" s="117">
        <f>P514+IF(AND($H515&lt;&gt;"",OR(LEFT($F515,LEN(SC_TK))=SC_TK,LEFT($G515,LEN(SC_TK))=SC_TK)),1,0)</f>
        <v/>
      </c>
    </row>
    <row r="516" ht="15" customHeight="1" s="78">
      <c r="A516" s="95">
        <f>IF($H516="","",ROW()-6)</f>
        <v/>
      </c>
      <c r="B516" s="114" t="n"/>
      <c r="C516" s="102" t="n"/>
      <c r="D516" s="114" t="n"/>
      <c r="E516" s="103" t="n"/>
      <c r="F516" s="102" t="n"/>
      <c r="G516" s="102" t="n"/>
      <c r="H516" s="115" t="n"/>
      <c r="I516" s="102" t="n"/>
      <c r="J516" s="102" t="n"/>
      <c r="K516" s="103" t="n"/>
      <c r="L516" s="116">
        <f>IF($H516="","",TRIM(IF(COUNTIF(DMTK!$A$7:$A$250,$F516)=0,"TK Nợ sai! ","")&amp;IF(COUNTIF(DMTK!$A$7:$A$250,$G516)=0,"TK Có sai! ","")&amp;IF(N($H516)&lt;=0,"Tiền phải &gt; 0! ","")&amp;IF($B516="","Thiếu ngày! ","")&amp;IF(AND(OR(LEFT($F516,3)="131",LEFT($G516,3)="131",LEFT($F516,3)="331",LEFT($G516,3)="331"),$I516=""),"Thiếu Mã ĐT! ","")&amp;IF(AND($I516&lt;&gt;"",COUNTIF(DM_DT!$A$7:$A$306,$I516)=0),"Mã ĐT chưa khai báo! ","")))</f>
        <v/>
      </c>
      <c r="M516" s="117">
        <f>IF($H516="","",IF(AND(OR(LEFT($F516,3)="111",LEFT($F516,3)="112",LEFT($F516,3)="113"),OR(LEFT($G516,3)="111",LEFT($G516,3)="112",LEFT($G516,3)="113")),"NB",IF(OR(LEFT($F516,3)="111",LEFT($F516,3)="112",LEFT($F516,3)="113"),"THU",IF(OR(LEFT($G516,3)="111",LEFT($G516,3)="112",LEFT($G516,3)="113"),"CHI",""))))</f>
        <v/>
      </c>
      <c r="N516" s="117">
        <f>IF($M516="THU",$G516,IF($M516="CHI",$F516,""))</f>
        <v/>
      </c>
      <c r="O516" s="117">
        <f>IF(OR($M516="",$M516="NB"),"",IF($J516&lt;&gt;"",TEXT($J516,"00"),IFERROR(VLOOKUP(LEFT($N516,4),LCTT_MAP!$A$7:$C$66,IF($M516="THU",2,3),FALSE()),IFERROR(VLOOKUP(LEFT($N516,3),LCTT_MAP!$A$7:$C$66,IF($M516="THU",2,3),FALSE()),IFERROR(VLOOKUP(LEFT($N516,2),LCTT_MAP!$A$7:$C$66,IF($M516="THU",2,3),FALSE()),IFERROR(VLOOKUP(LEFT($N516,1),LCTT_MAP!$A$7:$C$66,IF($M516="THU",2,3),FALSE()),IF($M516="THU","06","07")))))))</f>
        <v/>
      </c>
      <c r="P516" s="117">
        <f>P515+IF(AND($H516&lt;&gt;"",OR(LEFT($F516,LEN(SC_TK))=SC_TK,LEFT($G516,LEN(SC_TK))=SC_TK)),1,0)</f>
        <v/>
      </c>
    </row>
    <row r="517" ht="15" customHeight="1" s="78">
      <c r="A517" s="95">
        <f>IF($H517="","",ROW()-6)</f>
        <v/>
      </c>
      <c r="B517" s="114" t="n"/>
      <c r="C517" s="102" t="n"/>
      <c r="D517" s="114" t="n"/>
      <c r="E517" s="103" t="n"/>
      <c r="F517" s="102" t="n"/>
      <c r="G517" s="102" t="n"/>
      <c r="H517" s="115" t="n"/>
      <c r="I517" s="102" t="n"/>
      <c r="J517" s="102" t="n"/>
      <c r="K517" s="103" t="n"/>
      <c r="L517" s="116">
        <f>IF($H517="","",TRIM(IF(COUNTIF(DMTK!$A$7:$A$250,$F517)=0,"TK Nợ sai! ","")&amp;IF(COUNTIF(DMTK!$A$7:$A$250,$G517)=0,"TK Có sai! ","")&amp;IF(N($H517)&lt;=0,"Tiền phải &gt; 0! ","")&amp;IF($B517="","Thiếu ngày! ","")&amp;IF(AND(OR(LEFT($F517,3)="131",LEFT($G517,3)="131",LEFT($F517,3)="331",LEFT($G517,3)="331"),$I517=""),"Thiếu Mã ĐT! ","")&amp;IF(AND($I517&lt;&gt;"",COUNTIF(DM_DT!$A$7:$A$306,$I517)=0),"Mã ĐT chưa khai báo! ","")))</f>
        <v/>
      </c>
      <c r="M517" s="117">
        <f>IF($H517="","",IF(AND(OR(LEFT($F517,3)="111",LEFT($F517,3)="112",LEFT($F517,3)="113"),OR(LEFT($G517,3)="111",LEFT($G517,3)="112",LEFT($G517,3)="113")),"NB",IF(OR(LEFT($F517,3)="111",LEFT($F517,3)="112",LEFT($F517,3)="113"),"THU",IF(OR(LEFT($G517,3)="111",LEFT($G517,3)="112",LEFT($G517,3)="113"),"CHI",""))))</f>
        <v/>
      </c>
      <c r="N517" s="117">
        <f>IF($M517="THU",$G517,IF($M517="CHI",$F517,""))</f>
        <v/>
      </c>
      <c r="O517" s="117">
        <f>IF(OR($M517="",$M517="NB"),"",IF($J517&lt;&gt;"",TEXT($J517,"00"),IFERROR(VLOOKUP(LEFT($N517,4),LCTT_MAP!$A$7:$C$66,IF($M517="THU",2,3),FALSE()),IFERROR(VLOOKUP(LEFT($N517,3),LCTT_MAP!$A$7:$C$66,IF($M517="THU",2,3),FALSE()),IFERROR(VLOOKUP(LEFT($N517,2),LCTT_MAP!$A$7:$C$66,IF($M517="THU",2,3),FALSE()),IFERROR(VLOOKUP(LEFT($N517,1),LCTT_MAP!$A$7:$C$66,IF($M517="THU",2,3),FALSE()),IF($M517="THU","06","07")))))))</f>
        <v/>
      </c>
      <c r="P517" s="117">
        <f>P516+IF(AND($H517&lt;&gt;"",OR(LEFT($F517,LEN(SC_TK))=SC_TK,LEFT($G517,LEN(SC_TK))=SC_TK)),1,0)</f>
        <v/>
      </c>
    </row>
    <row r="518" ht="15" customHeight="1" s="78">
      <c r="A518" s="95">
        <f>IF($H518="","",ROW()-6)</f>
        <v/>
      </c>
      <c r="B518" s="114" t="n"/>
      <c r="C518" s="102" t="n"/>
      <c r="D518" s="114" t="n"/>
      <c r="E518" s="103" t="n"/>
      <c r="F518" s="102" t="n"/>
      <c r="G518" s="102" t="n"/>
      <c r="H518" s="115" t="n"/>
      <c r="I518" s="102" t="n"/>
      <c r="J518" s="102" t="n"/>
      <c r="K518" s="103" t="n"/>
      <c r="L518" s="116">
        <f>IF($H518="","",TRIM(IF(COUNTIF(DMTK!$A$7:$A$250,$F518)=0,"TK Nợ sai! ","")&amp;IF(COUNTIF(DMTK!$A$7:$A$250,$G518)=0,"TK Có sai! ","")&amp;IF(N($H518)&lt;=0,"Tiền phải &gt; 0! ","")&amp;IF($B518="","Thiếu ngày! ","")&amp;IF(AND(OR(LEFT($F518,3)="131",LEFT($G518,3)="131",LEFT($F518,3)="331",LEFT($G518,3)="331"),$I518=""),"Thiếu Mã ĐT! ","")&amp;IF(AND($I518&lt;&gt;"",COUNTIF(DM_DT!$A$7:$A$306,$I518)=0),"Mã ĐT chưa khai báo! ","")))</f>
        <v/>
      </c>
      <c r="M518" s="117">
        <f>IF($H518="","",IF(AND(OR(LEFT($F518,3)="111",LEFT($F518,3)="112",LEFT($F518,3)="113"),OR(LEFT($G518,3)="111",LEFT($G518,3)="112",LEFT($G518,3)="113")),"NB",IF(OR(LEFT($F518,3)="111",LEFT($F518,3)="112",LEFT($F518,3)="113"),"THU",IF(OR(LEFT($G518,3)="111",LEFT($G518,3)="112",LEFT($G518,3)="113"),"CHI",""))))</f>
        <v/>
      </c>
      <c r="N518" s="117">
        <f>IF($M518="THU",$G518,IF($M518="CHI",$F518,""))</f>
        <v/>
      </c>
      <c r="O518" s="117">
        <f>IF(OR($M518="",$M518="NB"),"",IF($J518&lt;&gt;"",TEXT($J518,"00"),IFERROR(VLOOKUP(LEFT($N518,4),LCTT_MAP!$A$7:$C$66,IF($M518="THU",2,3),FALSE()),IFERROR(VLOOKUP(LEFT($N518,3),LCTT_MAP!$A$7:$C$66,IF($M518="THU",2,3),FALSE()),IFERROR(VLOOKUP(LEFT($N518,2),LCTT_MAP!$A$7:$C$66,IF($M518="THU",2,3),FALSE()),IFERROR(VLOOKUP(LEFT($N518,1),LCTT_MAP!$A$7:$C$66,IF($M518="THU",2,3),FALSE()),IF($M518="THU","06","07")))))))</f>
        <v/>
      </c>
      <c r="P518" s="117">
        <f>P517+IF(AND($H518&lt;&gt;"",OR(LEFT($F518,LEN(SC_TK))=SC_TK,LEFT($G518,LEN(SC_TK))=SC_TK)),1,0)</f>
        <v/>
      </c>
    </row>
    <row r="519" ht="15" customHeight="1" s="78">
      <c r="A519" s="95">
        <f>IF($H519="","",ROW()-6)</f>
        <v/>
      </c>
      <c r="B519" s="114" t="n"/>
      <c r="C519" s="102" t="n"/>
      <c r="D519" s="114" t="n"/>
      <c r="E519" s="103" t="n"/>
      <c r="F519" s="102" t="n"/>
      <c r="G519" s="102" t="n"/>
      <c r="H519" s="115" t="n"/>
      <c r="I519" s="102" t="n"/>
      <c r="J519" s="102" t="n"/>
      <c r="K519" s="103" t="n"/>
      <c r="L519" s="116">
        <f>IF($H519="","",TRIM(IF(COUNTIF(DMTK!$A$7:$A$250,$F519)=0,"TK Nợ sai! ","")&amp;IF(COUNTIF(DMTK!$A$7:$A$250,$G519)=0,"TK Có sai! ","")&amp;IF(N($H519)&lt;=0,"Tiền phải &gt; 0! ","")&amp;IF($B519="","Thiếu ngày! ","")&amp;IF(AND(OR(LEFT($F519,3)="131",LEFT($G519,3)="131",LEFT($F519,3)="331",LEFT($G519,3)="331"),$I519=""),"Thiếu Mã ĐT! ","")&amp;IF(AND($I519&lt;&gt;"",COUNTIF(DM_DT!$A$7:$A$306,$I519)=0),"Mã ĐT chưa khai báo! ","")))</f>
        <v/>
      </c>
      <c r="M519" s="117">
        <f>IF($H519="","",IF(AND(OR(LEFT($F519,3)="111",LEFT($F519,3)="112",LEFT($F519,3)="113"),OR(LEFT($G519,3)="111",LEFT($G519,3)="112",LEFT($G519,3)="113")),"NB",IF(OR(LEFT($F519,3)="111",LEFT($F519,3)="112",LEFT($F519,3)="113"),"THU",IF(OR(LEFT($G519,3)="111",LEFT($G519,3)="112",LEFT($G519,3)="113"),"CHI",""))))</f>
        <v/>
      </c>
      <c r="N519" s="117">
        <f>IF($M519="THU",$G519,IF($M519="CHI",$F519,""))</f>
        <v/>
      </c>
      <c r="O519" s="117">
        <f>IF(OR($M519="",$M519="NB"),"",IF($J519&lt;&gt;"",TEXT($J519,"00"),IFERROR(VLOOKUP(LEFT($N519,4),LCTT_MAP!$A$7:$C$66,IF($M519="THU",2,3),FALSE()),IFERROR(VLOOKUP(LEFT($N519,3),LCTT_MAP!$A$7:$C$66,IF($M519="THU",2,3),FALSE()),IFERROR(VLOOKUP(LEFT($N519,2),LCTT_MAP!$A$7:$C$66,IF($M519="THU",2,3),FALSE()),IFERROR(VLOOKUP(LEFT($N519,1),LCTT_MAP!$A$7:$C$66,IF($M519="THU",2,3),FALSE()),IF($M519="THU","06","07")))))))</f>
        <v/>
      </c>
      <c r="P519" s="117">
        <f>P518+IF(AND($H519&lt;&gt;"",OR(LEFT($F519,LEN(SC_TK))=SC_TK,LEFT($G519,LEN(SC_TK))=SC_TK)),1,0)</f>
        <v/>
      </c>
    </row>
    <row r="520" ht="15" customHeight="1" s="78">
      <c r="A520" s="95">
        <f>IF($H520="","",ROW()-6)</f>
        <v/>
      </c>
      <c r="B520" s="114" t="n"/>
      <c r="C520" s="102" t="n"/>
      <c r="D520" s="114" t="n"/>
      <c r="E520" s="103" t="n"/>
      <c r="F520" s="102" t="n"/>
      <c r="G520" s="102" t="n"/>
      <c r="H520" s="115" t="n"/>
      <c r="I520" s="102" t="n"/>
      <c r="J520" s="102" t="n"/>
      <c r="K520" s="103" t="n"/>
      <c r="L520" s="116">
        <f>IF($H520="","",TRIM(IF(COUNTIF(DMTK!$A$7:$A$250,$F520)=0,"TK Nợ sai! ","")&amp;IF(COUNTIF(DMTK!$A$7:$A$250,$G520)=0,"TK Có sai! ","")&amp;IF(N($H520)&lt;=0,"Tiền phải &gt; 0! ","")&amp;IF($B520="","Thiếu ngày! ","")&amp;IF(AND(OR(LEFT($F520,3)="131",LEFT($G520,3)="131",LEFT($F520,3)="331",LEFT($G520,3)="331"),$I520=""),"Thiếu Mã ĐT! ","")&amp;IF(AND($I520&lt;&gt;"",COUNTIF(DM_DT!$A$7:$A$306,$I520)=0),"Mã ĐT chưa khai báo! ","")))</f>
        <v/>
      </c>
      <c r="M520" s="117">
        <f>IF($H520="","",IF(AND(OR(LEFT($F520,3)="111",LEFT($F520,3)="112",LEFT($F520,3)="113"),OR(LEFT($G520,3)="111",LEFT($G520,3)="112",LEFT($G520,3)="113")),"NB",IF(OR(LEFT($F520,3)="111",LEFT($F520,3)="112",LEFT($F520,3)="113"),"THU",IF(OR(LEFT($G520,3)="111",LEFT($G520,3)="112",LEFT($G520,3)="113"),"CHI",""))))</f>
        <v/>
      </c>
      <c r="N520" s="117">
        <f>IF($M520="THU",$G520,IF($M520="CHI",$F520,""))</f>
        <v/>
      </c>
      <c r="O520" s="117">
        <f>IF(OR($M520="",$M520="NB"),"",IF($J520&lt;&gt;"",TEXT($J520,"00"),IFERROR(VLOOKUP(LEFT($N520,4),LCTT_MAP!$A$7:$C$66,IF($M520="THU",2,3),FALSE()),IFERROR(VLOOKUP(LEFT($N520,3),LCTT_MAP!$A$7:$C$66,IF($M520="THU",2,3),FALSE()),IFERROR(VLOOKUP(LEFT($N520,2),LCTT_MAP!$A$7:$C$66,IF($M520="THU",2,3),FALSE()),IFERROR(VLOOKUP(LEFT($N520,1),LCTT_MAP!$A$7:$C$66,IF($M520="THU",2,3),FALSE()),IF($M520="THU","06","07")))))))</f>
        <v/>
      </c>
      <c r="P520" s="117">
        <f>P519+IF(AND($H520&lt;&gt;"",OR(LEFT($F520,LEN(SC_TK))=SC_TK,LEFT($G520,LEN(SC_TK))=SC_TK)),1,0)</f>
        <v/>
      </c>
    </row>
    <row r="521" ht="15" customHeight="1" s="78">
      <c r="A521" s="95">
        <f>IF($H521="","",ROW()-6)</f>
        <v/>
      </c>
      <c r="B521" s="114" t="n"/>
      <c r="C521" s="102" t="n"/>
      <c r="D521" s="114" t="n"/>
      <c r="E521" s="103" t="n"/>
      <c r="F521" s="102" t="n"/>
      <c r="G521" s="102" t="n"/>
      <c r="H521" s="115" t="n"/>
      <c r="I521" s="102" t="n"/>
      <c r="J521" s="102" t="n"/>
      <c r="K521" s="103" t="n"/>
      <c r="L521" s="116">
        <f>IF($H521="","",TRIM(IF(COUNTIF(DMTK!$A$7:$A$250,$F521)=0,"TK Nợ sai! ","")&amp;IF(COUNTIF(DMTK!$A$7:$A$250,$G521)=0,"TK Có sai! ","")&amp;IF(N($H521)&lt;=0,"Tiền phải &gt; 0! ","")&amp;IF($B521="","Thiếu ngày! ","")&amp;IF(AND(OR(LEFT($F521,3)="131",LEFT($G521,3)="131",LEFT($F521,3)="331",LEFT($G521,3)="331"),$I521=""),"Thiếu Mã ĐT! ","")&amp;IF(AND($I521&lt;&gt;"",COUNTIF(DM_DT!$A$7:$A$306,$I521)=0),"Mã ĐT chưa khai báo! ","")))</f>
        <v/>
      </c>
      <c r="M521" s="117">
        <f>IF($H521="","",IF(AND(OR(LEFT($F521,3)="111",LEFT($F521,3)="112",LEFT($F521,3)="113"),OR(LEFT($G521,3)="111",LEFT($G521,3)="112",LEFT($G521,3)="113")),"NB",IF(OR(LEFT($F521,3)="111",LEFT($F521,3)="112",LEFT($F521,3)="113"),"THU",IF(OR(LEFT($G521,3)="111",LEFT($G521,3)="112",LEFT($G521,3)="113"),"CHI",""))))</f>
        <v/>
      </c>
      <c r="N521" s="117">
        <f>IF($M521="THU",$G521,IF($M521="CHI",$F521,""))</f>
        <v/>
      </c>
      <c r="O521" s="117">
        <f>IF(OR($M521="",$M521="NB"),"",IF($J521&lt;&gt;"",TEXT($J521,"00"),IFERROR(VLOOKUP(LEFT($N521,4),LCTT_MAP!$A$7:$C$66,IF($M521="THU",2,3),FALSE()),IFERROR(VLOOKUP(LEFT($N521,3),LCTT_MAP!$A$7:$C$66,IF($M521="THU",2,3),FALSE()),IFERROR(VLOOKUP(LEFT($N521,2),LCTT_MAP!$A$7:$C$66,IF($M521="THU",2,3),FALSE()),IFERROR(VLOOKUP(LEFT($N521,1),LCTT_MAP!$A$7:$C$66,IF($M521="THU",2,3),FALSE()),IF($M521="THU","06","07")))))))</f>
        <v/>
      </c>
      <c r="P521" s="117">
        <f>P520+IF(AND($H521&lt;&gt;"",OR(LEFT($F521,LEN(SC_TK))=SC_TK,LEFT($G521,LEN(SC_TK))=SC_TK)),1,0)</f>
        <v/>
      </c>
    </row>
    <row r="522" ht="15" customHeight="1" s="78">
      <c r="A522" s="95">
        <f>IF($H522="","",ROW()-6)</f>
        <v/>
      </c>
      <c r="B522" s="114" t="n"/>
      <c r="C522" s="102" t="n"/>
      <c r="D522" s="114" t="n"/>
      <c r="E522" s="103" t="n"/>
      <c r="F522" s="102" t="n"/>
      <c r="G522" s="102" t="n"/>
      <c r="H522" s="115" t="n"/>
      <c r="I522" s="102" t="n"/>
      <c r="J522" s="102" t="n"/>
      <c r="K522" s="103" t="n"/>
      <c r="L522" s="116">
        <f>IF($H522="","",TRIM(IF(COUNTIF(DMTK!$A$7:$A$250,$F522)=0,"TK Nợ sai! ","")&amp;IF(COUNTIF(DMTK!$A$7:$A$250,$G522)=0,"TK Có sai! ","")&amp;IF(N($H522)&lt;=0,"Tiền phải &gt; 0! ","")&amp;IF($B522="","Thiếu ngày! ","")&amp;IF(AND(OR(LEFT($F522,3)="131",LEFT($G522,3)="131",LEFT($F522,3)="331",LEFT($G522,3)="331"),$I522=""),"Thiếu Mã ĐT! ","")&amp;IF(AND($I522&lt;&gt;"",COUNTIF(DM_DT!$A$7:$A$306,$I522)=0),"Mã ĐT chưa khai báo! ","")))</f>
        <v/>
      </c>
      <c r="M522" s="117">
        <f>IF($H522="","",IF(AND(OR(LEFT($F522,3)="111",LEFT($F522,3)="112",LEFT($F522,3)="113"),OR(LEFT($G522,3)="111",LEFT($G522,3)="112",LEFT($G522,3)="113")),"NB",IF(OR(LEFT($F522,3)="111",LEFT($F522,3)="112",LEFT($F522,3)="113"),"THU",IF(OR(LEFT($G522,3)="111",LEFT($G522,3)="112",LEFT($G522,3)="113"),"CHI",""))))</f>
        <v/>
      </c>
      <c r="N522" s="117">
        <f>IF($M522="THU",$G522,IF($M522="CHI",$F522,""))</f>
        <v/>
      </c>
      <c r="O522" s="117">
        <f>IF(OR($M522="",$M522="NB"),"",IF($J522&lt;&gt;"",TEXT($J522,"00"),IFERROR(VLOOKUP(LEFT($N522,4),LCTT_MAP!$A$7:$C$66,IF($M522="THU",2,3),FALSE()),IFERROR(VLOOKUP(LEFT($N522,3),LCTT_MAP!$A$7:$C$66,IF($M522="THU",2,3),FALSE()),IFERROR(VLOOKUP(LEFT($N522,2),LCTT_MAP!$A$7:$C$66,IF($M522="THU",2,3),FALSE()),IFERROR(VLOOKUP(LEFT($N522,1),LCTT_MAP!$A$7:$C$66,IF($M522="THU",2,3),FALSE()),IF($M522="THU","06","07")))))))</f>
        <v/>
      </c>
      <c r="P522" s="117">
        <f>P521+IF(AND($H522&lt;&gt;"",OR(LEFT($F522,LEN(SC_TK))=SC_TK,LEFT($G522,LEN(SC_TK))=SC_TK)),1,0)</f>
        <v/>
      </c>
    </row>
    <row r="523" ht="15" customHeight="1" s="78">
      <c r="A523" s="95">
        <f>IF($H523="","",ROW()-6)</f>
        <v/>
      </c>
      <c r="B523" s="114" t="n"/>
      <c r="C523" s="102" t="n"/>
      <c r="D523" s="114" t="n"/>
      <c r="E523" s="103" t="n"/>
      <c r="F523" s="102" t="n"/>
      <c r="G523" s="102" t="n"/>
      <c r="H523" s="115" t="n"/>
      <c r="I523" s="102" t="n"/>
      <c r="J523" s="102" t="n"/>
      <c r="K523" s="103" t="n"/>
      <c r="L523" s="116">
        <f>IF($H523="","",TRIM(IF(COUNTIF(DMTK!$A$7:$A$250,$F523)=0,"TK Nợ sai! ","")&amp;IF(COUNTIF(DMTK!$A$7:$A$250,$G523)=0,"TK Có sai! ","")&amp;IF(N($H523)&lt;=0,"Tiền phải &gt; 0! ","")&amp;IF($B523="","Thiếu ngày! ","")&amp;IF(AND(OR(LEFT($F523,3)="131",LEFT($G523,3)="131",LEFT($F523,3)="331",LEFT($G523,3)="331"),$I523=""),"Thiếu Mã ĐT! ","")&amp;IF(AND($I523&lt;&gt;"",COUNTIF(DM_DT!$A$7:$A$306,$I523)=0),"Mã ĐT chưa khai báo! ","")))</f>
        <v/>
      </c>
      <c r="M523" s="117">
        <f>IF($H523="","",IF(AND(OR(LEFT($F523,3)="111",LEFT($F523,3)="112",LEFT($F523,3)="113"),OR(LEFT($G523,3)="111",LEFT($G523,3)="112",LEFT($G523,3)="113")),"NB",IF(OR(LEFT($F523,3)="111",LEFT($F523,3)="112",LEFT($F523,3)="113"),"THU",IF(OR(LEFT($G523,3)="111",LEFT($G523,3)="112",LEFT($G523,3)="113"),"CHI",""))))</f>
        <v/>
      </c>
      <c r="N523" s="117">
        <f>IF($M523="THU",$G523,IF($M523="CHI",$F523,""))</f>
        <v/>
      </c>
      <c r="O523" s="117">
        <f>IF(OR($M523="",$M523="NB"),"",IF($J523&lt;&gt;"",TEXT($J523,"00"),IFERROR(VLOOKUP(LEFT($N523,4),LCTT_MAP!$A$7:$C$66,IF($M523="THU",2,3),FALSE()),IFERROR(VLOOKUP(LEFT($N523,3),LCTT_MAP!$A$7:$C$66,IF($M523="THU",2,3),FALSE()),IFERROR(VLOOKUP(LEFT($N523,2),LCTT_MAP!$A$7:$C$66,IF($M523="THU",2,3),FALSE()),IFERROR(VLOOKUP(LEFT($N523,1),LCTT_MAP!$A$7:$C$66,IF($M523="THU",2,3),FALSE()),IF($M523="THU","06","07")))))))</f>
        <v/>
      </c>
      <c r="P523" s="117">
        <f>P522+IF(AND($H523&lt;&gt;"",OR(LEFT($F523,LEN(SC_TK))=SC_TK,LEFT($G523,LEN(SC_TK))=SC_TK)),1,0)</f>
        <v/>
      </c>
    </row>
    <row r="524" ht="15" customHeight="1" s="78">
      <c r="A524" s="95">
        <f>IF($H524="","",ROW()-6)</f>
        <v/>
      </c>
      <c r="B524" s="114" t="n"/>
      <c r="C524" s="102" t="n"/>
      <c r="D524" s="114" t="n"/>
      <c r="E524" s="103" t="n"/>
      <c r="F524" s="102" t="n"/>
      <c r="G524" s="102" t="n"/>
      <c r="H524" s="115" t="n"/>
      <c r="I524" s="102" t="n"/>
      <c r="J524" s="102" t="n"/>
      <c r="K524" s="103" t="n"/>
      <c r="L524" s="116">
        <f>IF($H524="","",TRIM(IF(COUNTIF(DMTK!$A$7:$A$250,$F524)=0,"TK Nợ sai! ","")&amp;IF(COUNTIF(DMTK!$A$7:$A$250,$G524)=0,"TK Có sai! ","")&amp;IF(N($H524)&lt;=0,"Tiền phải &gt; 0! ","")&amp;IF($B524="","Thiếu ngày! ","")&amp;IF(AND(OR(LEFT($F524,3)="131",LEFT($G524,3)="131",LEFT($F524,3)="331",LEFT($G524,3)="331"),$I524=""),"Thiếu Mã ĐT! ","")&amp;IF(AND($I524&lt;&gt;"",COUNTIF(DM_DT!$A$7:$A$306,$I524)=0),"Mã ĐT chưa khai báo! ","")))</f>
        <v/>
      </c>
      <c r="M524" s="117">
        <f>IF($H524="","",IF(AND(OR(LEFT($F524,3)="111",LEFT($F524,3)="112",LEFT($F524,3)="113"),OR(LEFT($G524,3)="111",LEFT($G524,3)="112",LEFT($G524,3)="113")),"NB",IF(OR(LEFT($F524,3)="111",LEFT($F524,3)="112",LEFT($F524,3)="113"),"THU",IF(OR(LEFT($G524,3)="111",LEFT($G524,3)="112",LEFT($G524,3)="113"),"CHI",""))))</f>
        <v/>
      </c>
      <c r="N524" s="117">
        <f>IF($M524="THU",$G524,IF($M524="CHI",$F524,""))</f>
        <v/>
      </c>
      <c r="O524" s="117">
        <f>IF(OR($M524="",$M524="NB"),"",IF($J524&lt;&gt;"",TEXT($J524,"00"),IFERROR(VLOOKUP(LEFT($N524,4),LCTT_MAP!$A$7:$C$66,IF($M524="THU",2,3),FALSE()),IFERROR(VLOOKUP(LEFT($N524,3),LCTT_MAP!$A$7:$C$66,IF($M524="THU",2,3),FALSE()),IFERROR(VLOOKUP(LEFT($N524,2),LCTT_MAP!$A$7:$C$66,IF($M524="THU",2,3),FALSE()),IFERROR(VLOOKUP(LEFT($N524,1),LCTT_MAP!$A$7:$C$66,IF($M524="THU",2,3),FALSE()),IF($M524="THU","06","07")))))))</f>
        <v/>
      </c>
      <c r="P524" s="117">
        <f>P523+IF(AND($H524&lt;&gt;"",OR(LEFT($F524,LEN(SC_TK))=SC_TK,LEFT($G524,LEN(SC_TK))=SC_TK)),1,0)</f>
        <v/>
      </c>
    </row>
    <row r="525" ht="15" customHeight="1" s="78">
      <c r="A525" s="95">
        <f>IF($H525="","",ROW()-6)</f>
        <v/>
      </c>
      <c r="B525" s="114" t="n"/>
      <c r="C525" s="102" t="n"/>
      <c r="D525" s="114" t="n"/>
      <c r="E525" s="103" t="n"/>
      <c r="F525" s="102" t="n"/>
      <c r="G525" s="102" t="n"/>
      <c r="H525" s="115" t="n"/>
      <c r="I525" s="102" t="n"/>
      <c r="J525" s="102" t="n"/>
      <c r="K525" s="103" t="n"/>
      <c r="L525" s="116">
        <f>IF($H525="","",TRIM(IF(COUNTIF(DMTK!$A$7:$A$250,$F525)=0,"TK Nợ sai! ","")&amp;IF(COUNTIF(DMTK!$A$7:$A$250,$G525)=0,"TK Có sai! ","")&amp;IF(N($H525)&lt;=0,"Tiền phải &gt; 0! ","")&amp;IF($B525="","Thiếu ngày! ","")&amp;IF(AND(OR(LEFT($F525,3)="131",LEFT($G525,3)="131",LEFT($F525,3)="331",LEFT($G525,3)="331"),$I525=""),"Thiếu Mã ĐT! ","")&amp;IF(AND($I525&lt;&gt;"",COUNTIF(DM_DT!$A$7:$A$306,$I525)=0),"Mã ĐT chưa khai báo! ","")))</f>
        <v/>
      </c>
      <c r="M525" s="117">
        <f>IF($H525="","",IF(AND(OR(LEFT($F525,3)="111",LEFT($F525,3)="112",LEFT($F525,3)="113"),OR(LEFT($G525,3)="111",LEFT($G525,3)="112",LEFT($G525,3)="113")),"NB",IF(OR(LEFT($F525,3)="111",LEFT($F525,3)="112",LEFT($F525,3)="113"),"THU",IF(OR(LEFT($G525,3)="111",LEFT($G525,3)="112",LEFT($G525,3)="113"),"CHI",""))))</f>
        <v/>
      </c>
      <c r="N525" s="117">
        <f>IF($M525="THU",$G525,IF($M525="CHI",$F525,""))</f>
        <v/>
      </c>
      <c r="O525" s="117">
        <f>IF(OR($M525="",$M525="NB"),"",IF($J525&lt;&gt;"",TEXT($J525,"00"),IFERROR(VLOOKUP(LEFT($N525,4),LCTT_MAP!$A$7:$C$66,IF($M525="THU",2,3),FALSE()),IFERROR(VLOOKUP(LEFT($N525,3),LCTT_MAP!$A$7:$C$66,IF($M525="THU",2,3),FALSE()),IFERROR(VLOOKUP(LEFT($N525,2),LCTT_MAP!$A$7:$C$66,IF($M525="THU",2,3),FALSE()),IFERROR(VLOOKUP(LEFT($N525,1),LCTT_MAP!$A$7:$C$66,IF($M525="THU",2,3),FALSE()),IF($M525="THU","06","07")))))))</f>
        <v/>
      </c>
      <c r="P525" s="117">
        <f>P524+IF(AND($H525&lt;&gt;"",OR(LEFT($F525,LEN(SC_TK))=SC_TK,LEFT($G525,LEN(SC_TK))=SC_TK)),1,0)</f>
        <v/>
      </c>
    </row>
    <row r="526" ht="15" customHeight="1" s="78">
      <c r="A526" s="95">
        <f>IF($H526="","",ROW()-6)</f>
        <v/>
      </c>
      <c r="B526" s="114" t="n"/>
      <c r="C526" s="102" t="n"/>
      <c r="D526" s="114" t="n"/>
      <c r="E526" s="103" t="n"/>
      <c r="F526" s="102" t="n"/>
      <c r="G526" s="102" t="n"/>
      <c r="H526" s="115" t="n"/>
      <c r="I526" s="102" t="n"/>
      <c r="J526" s="102" t="n"/>
      <c r="K526" s="103" t="n"/>
      <c r="L526" s="116">
        <f>IF($H526="","",TRIM(IF(COUNTIF(DMTK!$A$7:$A$250,$F526)=0,"TK Nợ sai! ","")&amp;IF(COUNTIF(DMTK!$A$7:$A$250,$G526)=0,"TK Có sai! ","")&amp;IF(N($H526)&lt;=0,"Tiền phải &gt; 0! ","")&amp;IF($B526="","Thiếu ngày! ","")&amp;IF(AND(OR(LEFT($F526,3)="131",LEFT($G526,3)="131",LEFT($F526,3)="331",LEFT($G526,3)="331"),$I526=""),"Thiếu Mã ĐT! ","")&amp;IF(AND($I526&lt;&gt;"",COUNTIF(DM_DT!$A$7:$A$306,$I526)=0),"Mã ĐT chưa khai báo! ","")))</f>
        <v/>
      </c>
      <c r="M526" s="117">
        <f>IF($H526="","",IF(AND(OR(LEFT($F526,3)="111",LEFT($F526,3)="112",LEFT($F526,3)="113"),OR(LEFT($G526,3)="111",LEFT($G526,3)="112",LEFT($G526,3)="113")),"NB",IF(OR(LEFT($F526,3)="111",LEFT($F526,3)="112",LEFT($F526,3)="113"),"THU",IF(OR(LEFT($G526,3)="111",LEFT($G526,3)="112",LEFT($G526,3)="113"),"CHI",""))))</f>
        <v/>
      </c>
      <c r="N526" s="117">
        <f>IF($M526="THU",$G526,IF($M526="CHI",$F526,""))</f>
        <v/>
      </c>
      <c r="O526" s="117">
        <f>IF(OR($M526="",$M526="NB"),"",IF($J526&lt;&gt;"",TEXT($J526,"00"),IFERROR(VLOOKUP(LEFT($N526,4),LCTT_MAP!$A$7:$C$66,IF($M526="THU",2,3),FALSE()),IFERROR(VLOOKUP(LEFT($N526,3),LCTT_MAP!$A$7:$C$66,IF($M526="THU",2,3),FALSE()),IFERROR(VLOOKUP(LEFT($N526,2),LCTT_MAP!$A$7:$C$66,IF($M526="THU",2,3),FALSE()),IFERROR(VLOOKUP(LEFT($N526,1),LCTT_MAP!$A$7:$C$66,IF($M526="THU",2,3),FALSE()),IF($M526="THU","06","07")))))))</f>
        <v/>
      </c>
      <c r="P526" s="117">
        <f>P525+IF(AND($H526&lt;&gt;"",OR(LEFT($F526,LEN(SC_TK))=SC_TK,LEFT($G526,LEN(SC_TK))=SC_TK)),1,0)</f>
        <v/>
      </c>
    </row>
    <row r="527" ht="15" customHeight="1" s="78">
      <c r="A527" s="95">
        <f>IF($H527="","",ROW()-6)</f>
        <v/>
      </c>
      <c r="B527" s="114" t="n"/>
      <c r="C527" s="102" t="n"/>
      <c r="D527" s="114" t="n"/>
      <c r="E527" s="103" t="n"/>
      <c r="F527" s="102" t="n"/>
      <c r="G527" s="102" t="n"/>
      <c r="H527" s="115" t="n"/>
      <c r="I527" s="102" t="n"/>
      <c r="J527" s="102" t="n"/>
      <c r="K527" s="103" t="n"/>
      <c r="L527" s="116">
        <f>IF($H527="","",TRIM(IF(COUNTIF(DMTK!$A$7:$A$250,$F527)=0,"TK Nợ sai! ","")&amp;IF(COUNTIF(DMTK!$A$7:$A$250,$G527)=0,"TK Có sai! ","")&amp;IF(N($H527)&lt;=0,"Tiền phải &gt; 0! ","")&amp;IF($B527="","Thiếu ngày! ","")&amp;IF(AND(OR(LEFT($F527,3)="131",LEFT($G527,3)="131",LEFT($F527,3)="331",LEFT($G527,3)="331"),$I527=""),"Thiếu Mã ĐT! ","")&amp;IF(AND($I527&lt;&gt;"",COUNTIF(DM_DT!$A$7:$A$306,$I527)=0),"Mã ĐT chưa khai báo! ","")))</f>
        <v/>
      </c>
      <c r="M527" s="117">
        <f>IF($H527="","",IF(AND(OR(LEFT($F527,3)="111",LEFT($F527,3)="112",LEFT($F527,3)="113"),OR(LEFT($G527,3)="111",LEFT($G527,3)="112",LEFT($G527,3)="113")),"NB",IF(OR(LEFT($F527,3)="111",LEFT($F527,3)="112",LEFT($F527,3)="113"),"THU",IF(OR(LEFT($G527,3)="111",LEFT($G527,3)="112",LEFT($G527,3)="113"),"CHI",""))))</f>
        <v/>
      </c>
      <c r="N527" s="117">
        <f>IF($M527="THU",$G527,IF($M527="CHI",$F527,""))</f>
        <v/>
      </c>
      <c r="O527" s="117">
        <f>IF(OR($M527="",$M527="NB"),"",IF($J527&lt;&gt;"",TEXT($J527,"00"),IFERROR(VLOOKUP(LEFT($N527,4),LCTT_MAP!$A$7:$C$66,IF($M527="THU",2,3),FALSE()),IFERROR(VLOOKUP(LEFT($N527,3),LCTT_MAP!$A$7:$C$66,IF($M527="THU",2,3),FALSE()),IFERROR(VLOOKUP(LEFT($N527,2),LCTT_MAP!$A$7:$C$66,IF($M527="THU",2,3),FALSE()),IFERROR(VLOOKUP(LEFT($N527,1),LCTT_MAP!$A$7:$C$66,IF($M527="THU",2,3),FALSE()),IF($M527="THU","06","07")))))))</f>
        <v/>
      </c>
      <c r="P527" s="117">
        <f>P526+IF(AND($H527&lt;&gt;"",OR(LEFT($F527,LEN(SC_TK))=SC_TK,LEFT($G527,LEN(SC_TK))=SC_TK)),1,0)</f>
        <v/>
      </c>
    </row>
    <row r="528" ht="15" customHeight="1" s="78">
      <c r="A528" s="95">
        <f>IF($H528="","",ROW()-6)</f>
        <v/>
      </c>
      <c r="B528" s="114" t="n"/>
      <c r="C528" s="102" t="n"/>
      <c r="D528" s="114" t="n"/>
      <c r="E528" s="103" t="n"/>
      <c r="F528" s="102" t="n"/>
      <c r="G528" s="102" t="n"/>
      <c r="H528" s="115" t="n"/>
      <c r="I528" s="102" t="n"/>
      <c r="J528" s="102" t="n"/>
      <c r="K528" s="103" t="n"/>
      <c r="L528" s="116">
        <f>IF($H528="","",TRIM(IF(COUNTIF(DMTK!$A$7:$A$250,$F528)=0,"TK Nợ sai! ","")&amp;IF(COUNTIF(DMTK!$A$7:$A$250,$G528)=0,"TK Có sai! ","")&amp;IF(N($H528)&lt;=0,"Tiền phải &gt; 0! ","")&amp;IF($B528="","Thiếu ngày! ","")&amp;IF(AND(OR(LEFT($F528,3)="131",LEFT($G528,3)="131",LEFT($F528,3)="331",LEFT($G528,3)="331"),$I528=""),"Thiếu Mã ĐT! ","")&amp;IF(AND($I528&lt;&gt;"",COUNTIF(DM_DT!$A$7:$A$306,$I528)=0),"Mã ĐT chưa khai báo! ","")))</f>
        <v/>
      </c>
      <c r="M528" s="117">
        <f>IF($H528="","",IF(AND(OR(LEFT($F528,3)="111",LEFT($F528,3)="112",LEFT($F528,3)="113"),OR(LEFT($G528,3)="111",LEFT($G528,3)="112",LEFT($G528,3)="113")),"NB",IF(OR(LEFT($F528,3)="111",LEFT($F528,3)="112",LEFT($F528,3)="113"),"THU",IF(OR(LEFT($G528,3)="111",LEFT($G528,3)="112",LEFT($G528,3)="113"),"CHI",""))))</f>
        <v/>
      </c>
      <c r="N528" s="117">
        <f>IF($M528="THU",$G528,IF($M528="CHI",$F528,""))</f>
        <v/>
      </c>
      <c r="O528" s="117">
        <f>IF(OR($M528="",$M528="NB"),"",IF($J528&lt;&gt;"",TEXT($J528,"00"),IFERROR(VLOOKUP(LEFT($N528,4),LCTT_MAP!$A$7:$C$66,IF($M528="THU",2,3),FALSE()),IFERROR(VLOOKUP(LEFT($N528,3),LCTT_MAP!$A$7:$C$66,IF($M528="THU",2,3),FALSE()),IFERROR(VLOOKUP(LEFT($N528,2),LCTT_MAP!$A$7:$C$66,IF($M528="THU",2,3),FALSE()),IFERROR(VLOOKUP(LEFT($N528,1),LCTT_MAP!$A$7:$C$66,IF($M528="THU",2,3),FALSE()),IF($M528="THU","06","07")))))))</f>
        <v/>
      </c>
      <c r="P528" s="117">
        <f>P527+IF(AND($H528&lt;&gt;"",OR(LEFT($F528,LEN(SC_TK))=SC_TK,LEFT($G528,LEN(SC_TK))=SC_TK)),1,0)</f>
        <v/>
      </c>
    </row>
    <row r="529" ht="15" customHeight="1" s="78">
      <c r="A529" s="95">
        <f>IF($H529="","",ROW()-6)</f>
        <v/>
      </c>
      <c r="B529" s="114" t="n"/>
      <c r="C529" s="102" t="n"/>
      <c r="D529" s="114" t="n"/>
      <c r="E529" s="103" t="n"/>
      <c r="F529" s="102" t="n"/>
      <c r="G529" s="102" t="n"/>
      <c r="H529" s="115" t="n"/>
      <c r="I529" s="102" t="n"/>
      <c r="J529" s="102" t="n"/>
      <c r="K529" s="103" t="n"/>
      <c r="L529" s="116">
        <f>IF($H529="","",TRIM(IF(COUNTIF(DMTK!$A$7:$A$250,$F529)=0,"TK Nợ sai! ","")&amp;IF(COUNTIF(DMTK!$A$7:$A$250,$G529)=0,"TK Có sai! ","")&amp;IF(N($H529)&lt;=0,"Tiền phải &gt; 0! ","")&amp;IF($B529="","Thiếu ngày! ","")&amp;IF(AND(OR(LEFT($F529,3)="131",LEFT($G529,3)="131",LEFT($F529,3)="331",LEFT($G529,3)="331"),$I529=""),"Thiếu Mã ĐT! ","")&amp;IF(AND($I529&lt;&gt;"",COUNTIF(DM_DT!$A$7:$A$306,$I529)=0),"Mã ĐT chưa khai báo! ","")))</f>
        <v/>
      </c>
      <c r="M529" s="117">
        <f>IF($H529="","",IF(AND(OR(LEFT($F529,3)="111",LEFT($F529,3)="112",LEFT($F529,3)="113"),OR(LEFT($G529,3)="111",LEFT($G529,3)="112",LEFT($G529,3)="113")),"NB",IF(OR(LEFT($F529,3)="111",LEFT($F529,3)="112",LEFT($F529,3)="113"),"THU",IF(OR(LEFT($G529,3)="111",LEFT($G529,3)="112",LEFT($G529,3)="113"),"CHI",""))))</f>
        <v/>
      </c>
      <c r="N529" s="117">
        <f>IF($M529="THU",$G529,IF($M529="CHI",$F529,""))</f>
        <v/>
      </c>
      <c r="O529" s="117">
        <f>IF(OR($M529="",$M529="NB"),"",IF($J529&lt;&gt;"",TEXT($J529,"00"),IFERROR(VLOOKUP(LEFT($N529,4),LCTT_MAP!$A$7:$C$66,IF($M529="THU",2,3),FALSE()),IFERROR(VLOOKUP(LEFT($N529,3),LCTT_MAP!$A$7:$C$66,IF($M529="THU",2,3),FALSE()),IFERROR(VLOOKUP(LEFT($N529,2),LCTT_MAP!$A$7:$C$66,IF($M529="THU",2,3),FALSE()),IFERROR(VLOOKUP(LEFT($N529,1),LCTT_MAP!$A$7:$C$66,IF($M529="THU",2,3),FALSE()),IF($M529="THU","06","07")))))))</f>
        <v/>
      </c>
      <c r="P529" s="117">
        <f>P528+IF(AND($H529&lt;&gt;"",OR(LEFT($F529,LEN(SC_TK))=SC_TK,LEFT($G529,LEN(SC_TK))=SC_TK)),1,0)</f>
        <v/>
      </c>
    </row>
    <row r="530" ht="15" customHeight="1" s="78">
      <c r="A530" s="95">
        <f>IF($H530="","",ROW()-6)</f>
        <v/>
      </c>
      <c r="B530" s="114" t="n"/>
      <c r="C530" s="102" t="n"/>
      <c r="D530" s="114" t="n"/>
      <c r="E530" s="103" t="n"/>
      <c r="F530" s="102" t="n"/>
      <c r="G530" s="102" t="n"/>
      <c r="H530" s="115" t="n"/>
      <c r="I530" s="102" t="n"/>
      <c r="J530" s="102" t="n"/>
      <c r="K530" s="103" t="n"/>
      <c r="L530" s="116">
        <f>IF($H530="","",TRIM(IF(COUNTIF(DMTK!$A$7:$A$250,$F530)=0,"TK Nợ sai! ","")&amp;IF(COUNTIF(DMTK!$A$7:$A$250,$G530)=0,"TK Có sai! ","")&amp;IF(N($H530)&lt;=0,"Tiền phải &gt; 0! ","")&amp;IF($B530="","Thiếu ngày! ","")&amp;IF(AND(OR(LEFT($F530,3)="131",LEFT($G530,3)="131",LEFT($F530,3)="331",LEFT($G530,3)="331"),$I530=""),"Thiếu Mã ĐT! ","")&amp;IF(AND($I530&lt;&gt;"",COUNTIF(DM_DT!$A$7:$A$306,$I530)=0),"Mã ĐT chưa khai báo! ","")))</f>
        <v/>
      </c>
      <c r="M530" s="117">
        <f>IF($H530="","",IF(AND(OR(LEFT($F530,3)="111",LEFT($F530,3)="112",LEFT($F530,3)="113"),OR(LEFT($G530,3)="111",LEFT($G530,3)="112",LEFT($G530,3)="113")),"NB",IF(OR(LEFT($F530,3)="111",LEFT($F530,3)="112",LEFT($F530,3)="113"),"THU",IF(OR(LEFT($G530,3)="111",LEFT($G530,3)="112",LEFT($G530,3)="113"),"CHI",""))))</f>
        <v/>
      </c>
      <c r="N530" s="117">
        <f>IF($M530="THU",$G530,IF($M530="CHI",$F530,""))</f>
        <v/>
      </c>
      <c r="O530" s="117">
        <f>IF(OR($M530="",$M530="NB"),"",IF($J530&lt;&gt;"",TEXT($J530,"00"),IFERROR(VLOOKUP(LEFT($N530,4),LCTT_MAP!$A$7:$C$66,IF($M530="THU",2,3),FALSE()),IFERROR(VLOOKUP(LEFT($N530,3),LCTT_MAP!$A$7:$C$66,IF($M530="THU",2,3),FALSE()),IFERROR(VLOOKUP(LEFT($N530,2),LCTT_MAP!$A$7:$C$66,IF($M530="THU",2,3),FALSE()),IFERROR(VLOOKUP(LEFT($N530,1),LCTT_MAP!$A$7:$C$66,IF($M530="THU",2,3),FALSE()),IF($M530="THU","06","07")))))))</f>
        <v/>
      </c>
      <c r="P530" s="117">
        <f>P529+IF(AND($H530&lt;&gt;"",OR(LEFT($F530,LEN(SC_TK))=SC_TK,LEFT($G530,LEN(SC_TK))=SC_TK)),1,0)</f>
        <v/>
      </c>
    </row>
    <row r="531" ht="15" customHeight="1" s="78">
      <c r="A531" s="95">
        <f>IF($H531="","",ROW()-6)</f>
        <v/>
      </c>
      <c r="B531" s="114" t="n"/>
      <c r="C531" s="102" t="n"/>
      <c r="D531" s="114" t="n"/>
      <c r="E531" s="103" t="n"/>
      <c r="F531" s="102" t="n"/>
      <c r="G531" s="102" t="n"/>
      <c r="H531" s="115" t="n"/>
      <c r="I531" s="102" t="n"/>
      <c r="J531" s="102" t="n"/>
      <c r="K531" s="103" t="n"/>
      <c r="L531" s="116">
        <f>IF($H531="","",TRIM(IF(COUNTIF(DMTK!$A$7:$A$250,$F531)=0,"TK Nợ sai! ","")&amp;IF(COUNTIF(DMTK!$A$7:$A$250,$G531)=0,"TK Có sai! ","")&amp;IF(N($H531)&lt;=0,"Tiền phải &gt; 0! ","")&amp;IF($B531="","Thiếu ngày! ","")&amp;IF(AND(OR(LEFT($F531,3)="131",LEFT($G531,3)="131",LEFT($F531,3)="331",LEFT($G531,3)="331"),$I531=""),"Thiếu Mã ĐT! ","")&amp;IF(AND($I531&lt;&gt;"",COUNTIF(DM_DT!$A$7:$A$306,$I531)=0),"Mã ĐT chưa khai báo! ","")))</f>
        <v/>
      </c>
      <c r="M531" s="117">
        <f>IF($H531="","",IF(AND(OR(LEFT($F531,3)="111",LEFT($F531,3)="112",LEFT($F531,3)="113"),OR(LEFT($G531,3)="111",LEFT($G531,3)="112",LEFT($G531,3)="113")),"NB",IF(OR(LEFT($F531,3)="111",LEFT($F531,3)="112",LEFT($F531,3)="113"),"THU",IF(OR(LEFT($G531,3)="111",LEFT($G531,3)="112",LEFT($G531,3)="113"),"CHI",""))))</f>
        <v/>
      </c>
      <c r="N531" s="117">
        <f>IF($M531="THU",$G531,IF($M531="CHI",$F531,""))</f>
        <v/>
      </c>
      <c r="O531" s="117">
        <f>IF(OR($M531="",$M531="NB"),"",IF($J531&lt;&gt;"",TEXT($J531,"00"),IFERROR(VLOOKUP(LEFT($N531,4),LCTT_MAP!$A$7:$C$66,IF($M531="THU",2,3),FALSE()),IFERROR(VLOOKUP(LEFT($N531,3),LCTT_MAP!$A$7:$C$66,IF($M531="THU",2,3),FALSE()),IFERROR(VLOOKUP(LEFT($N531,2),LCTT_MAP!$A$7:$C$66,IF($M531="THU",2,3),FALSE()),IFERROR(VLOOKUP(LEFT($N531,1),LCTT_MAP!$A$7:$C$66,IF($M531="THU",2,3),FALSE()),IF($M531="THU","06","07")))))))</f>
        <v/>
      </c>
      <c r="P531" s="117">
        <f>P530+IF(AND($H531&lt;&gt;"",OR(LEFT($F531,LEN(SC_TK))=SC_TK,LEFT($G531,LEN(SC_TK))=SC_TK)),1,0)</f>
        <v/>
      </c>
    </row>
    <row r="532" ht="15" customHeight="1" s="78">
      <c r="A532" s="95">
        <f>IF($H532="","",ROW()-6)</f>
        <v/>
      </c>
      <c r="B532" s="114" t="n"/>
      <c r="C532" s="102" t="n"/>
      <c r="D532" s="114" t="n"/>
      <c r="E532" s="103" t="n"/>
      <c r="F532" s="102" t="n"/>
      <c r="G532" s="102" t="n"/>
      <c r="H532" s="115" t="n"/>
      <c r="I532" s="102" t="n"/>
      <c r="J532" s="102" t="n"/>
      <c r="K532" s="103" t="n"/>
      <c r="L532" s="116">
        <f>IF($H532="","",TRIM(IF(COUNTIF(DMTK!$A$7:$A$250,$F532)=0,"TK Nợ sai! ","")&amp;IF(COUNTIF(DMTK!$A$7:$A$250,$G532)=0,"TK Có sai! ","")&amp;IF(N($H532)&lt;=0,"Tiền phải &gt; 0! ","")&amp;IF($B532="","Thiếu ngày! ","")&amp;IF(AND(OR(LEFT($F532,3)="131",LEFT($G532,3)="131",LEFT($F532,3)="331",LEFT($G532,3)="331"),$I532=""),"Thiếu Mã ĐT! ","")&amp;IF(AND($I532&lt;&gt;"",COUNTIF(DM_DT!$A$7:$A$306,$I532)=0),"Mã ĐT chưa khai báo! ","")))</f>
        <v/>
      </c>
      <c r="M532" s="117">
        <f>IF($H532="","",IF(AND(OR(LEFT($F532,3)="111",LEFT($F532,3)="112",LEFT($F532,3)="113"),OR(LEFT($G532,3)="111",LEFT($G532,3)="112",LEFT($G532,3)="113")),"NB",IF(OR(LEFT($F532,3)="111",LEFT($F532,3)="112",LEFT($F532,3)="113"),"THU",IF(OR(LEFT($G532,3)="111",LEFT($G532,3)="112",LEFT($G532,3)="113"),"CHI",""))))</f>
        <v/>
      </c>
      <c r="N532" s="117">
        <f>IF($M532="THU",$G532,IF($M532="CHI",$F532,""))</f>
        <v/>
      </c>
      <c r="O532" s="117">
        <f>IF(OR($M532="",$M532="NB"),"",IF($J532&lt;&gt;"",TEXT($J532,"00"),IFERROR(VLOOKUP(LEFT($N532,4),LCTT_MAP!$A$7:$C$66,IF($M532="THU",2,3),FALSE()),IFERROR(VLOOKUP(LEFT($N532,3),LCTT_MAP!$A$7:$C$66,IF($M532="THU",2,3),FALSE()),IFERROR(VLOOKUP(LEFT($N532,2),LCTT_MAP!$A$7:$C$66,IF($M532="THU",2,3),FALSE()),IFERROR(VLOOKUP(LEFT($N532,1),LCTT_MAP!$A$7:$C$66,IF($M532="THU",2,3),FALSE()),IF($M532="THU","06","07")))))))</f>
        <v/>
      </c>
      <c r="P532" s="117">
        <f>P531+IF(AND($H532&lt;&gt;"",OR(LEFT($F532,LEN(SC_TK))=SC_TK,LEFT($G532,LEN(SC_TK))=SC_TK)),1,0)</f>
        <v/>
      </c>
    </row>
    <row r="533" ht="15" customHeight="1" s="78">
      <c r="A533" s="95">
        <f>IF($H533="","",ROW()-6)</f>
        <v/>
      </c>
      <c r="B533" s="114" t="n"/>
      <c r="C533" s="102" t="n"/>
      <c r="D533" s="114" t="n"/>
      <c r="E533" s="103" t="n"/>
      <c r="F533" s="102" t="n"/>
      <c r="G533" s="102" t="n"/>
      <c r="H533" s="115" t="n"/>
      <c r="I533" s="102" t="n"/>
      <c r="J533" s="102" t="n"/>
      <c r="K533" s="103" t="n"/>
      <c r="L533" s="116">
        <f>IF($H533="","",TRIM(IF(COUNTIF(DMTK!$A$7:$A$250,$F533)=0,"TK Nợ sai! ","")&amp;IF(COUNTIF(DMTK!$A$7:$A$250,$G533)=0,"TK Có sai! ","")&amp;IF(N($H533)&lt;=0,"Tiền phải &gt; 0! ","")&amp;IF($B533="","Thiếu ngày! ","")&amp;IF(AND(OR(LEFT($F533,3)="131",LEFT($G533,3)="131",LEFT($F533,3)="331",LEFT($G533,3)="331"),$I533=""),"Thiếu Mã ĐT! ","")&amp;IF(AND($I533&lt;&gt;"",COUNTIF(DM_DT!$A$7:$A$306,$I533)=0),"Mã ĐT chưa khai báo! ","")))</f>
        <v/>
      </c>
      <c r="M533" s="117">
        <f>IF($H533="","",IF(AND(OR(LEFT($F533,3)="111",LEFT($F533,3)="112",LEFT($F533,3)="113"),OR(LEFT($G533,3)="111",LEFT($G533,3)="112",LEFT($G533,3)="113")),"NB",IF(OR(LEFT($F533,3)="111",LEFT($F533,3)="112",LEFT($F533,3)="113"),"THU",IF(OR(LEFT($G533,3)="111",LEFT($G533,3)="112",LEFT($G533,3)="113"),"CHI",""))))</f>
        <v/>
      </c>
      <c r="N533" s="117">
        <f>IF($M533="THU",$G533,IF($M533="CHI",$F533,""))</f>
        <v/>
      </c>
      <c r="O533" s="117">
        <f>IF(OR($M533="",$M533="NB"),"",IF($J533&lt;&gt;"",TEXT($J533,"00"),IFERROR(VLOOKUP(LEFT($N533,4),LCTT_MAP!$A$7:$C$66,IF($M533="THU",2,3),FALSE()),IFERROR(VLOOKUP(LEFT($N533,3),LCTT_MAP!$A$7:$C$66,IF($M533="THU",2,3),FALSE()),IFERROR(VLOOKUP(LEFT($N533,2),LCTT_MAP!$A$7:$C$66,IF($M533="THU",2,3),FALSE()),IFERROR(VLOOKUP(LEFT($N533,1),LCTT_MAP!$A$7:$C$66,IF($M533="THU",2,3),FALSE()),IF($M533="THU","06","07")))))))</f>
        <v/>
      </c>
      <c r="P533" s="117">
        <f>P532+IF(AND($H533&lt;&gt;"",OR(LEFT($F533,LEN(SC_TK))=SC_TK,LEFT($G533,LEN(SC_TK))=SC_TK)),1,0)</f>
        <v/>
      </c>
    </row>
    <row r="534" ht="15" customHeight="1" s="78">
      <c r="A534" s="95">
        <f>IF($H534="","",ROW()-6)</f>
        <v/>
      </c>
      <c r="B534" s="114" t="n"/>
      <c r="C534" s="102" t="n"/>
      <c r="D534" s="114" t="n"/>
      <c r="E534" s="103" t="n"/>
      <c r="F534" s="102" t="n"/>
      <c r="G534" s="102" t="n"/>
      <c r="H534" s="115" t="n"/>
      <c r="I534" s="102" t="n"/>
      <c r="J534" s="102" t="n"/>
      <c r="K534" s="103" t="n"/>
      <c r="L534" s="116">
        <f>IF($H534="","",TRIM(IF(COUNTIF(DMTK!$A$7:$A$250,$F534)=0,"TK Nợ sai! ","")&amp;IF(COUNTIF(DMTK!$A$7:$A$250,$G534)=0,"TK Có sai! ","")&amp;IF(N($H534)&lt;=0,"Tiền phải &gt; 0! ","")&amp;IF($B534="","Thiếu ngày! ","")&amp;IF(AND(OR(LEFT($F534,3)="131",LEFT($G534,3)="131",LEFT($F534,3)="331",LEFT($G534,3)="331"),$I534=""),"Thiếu Mã ĐT! ","")&amp;IF(AND($I534&lt;&gt;"",COUNTIF(DM_DT!$A$7:$A$306,$I534)=0),"Mã ĐT chưa khai báo! ","")))</f>
        <v/>
      </c>
      <c r="M534" s="117">
        <f>IF($H534="","",IF(AND(OR(LEFT($F534,3)="111",LEFT($F534,3)="112",LEFT($F534,3)="113"),OR(LEFT($G534,3)="111",LEFT($G534,3)="112",LEFT($G534,3)="113")),"NB",IF(OR(LEFT($F534,3)="111",LEFT($F534,3)="112",LEFT($F534,3)="113"),"THU",IF(OR(LEFT($G534,3)="111",LEFT($G534,3)="112",LEFT($G534,3)="113"),"CHI",""))))</f>
        <v/>
      </c>
      <c r="N534" s="117">
        <f>IF($M534="THU",$G534,IF($M534="CHI",$F534,""))</f>
        <v/>
      </c>
      <c r="O534" s="117">
        <f>IF(OR($M534="",$M534="NB"),"",IF($J534&lt;&gt;"",TEXT($J534,"00"),IFERROR(VLOOKUP(LEFT($N534,4),LCTT_MAP!$A$7:$C$66,IF($M534="THU",2,3),FALSE()),IFERROR(VLOOKUP(LEFT($N534,3),LCTT_MAP!$A$7:$C$66,IF($M534="THU",2,3),FALSE()),IFERROR(VLOOKUP(LEFT($N534,2),LCTT_MAP!$A$7:$C$66,IF($M534="THU",2,3),FALSE()),IFERROR(VLOOKUP(LEFT($N534,1),LCTT_MAP!$A$7:$C$66,IF($M534="THU",2,3),FALSE()),IF($M534="THU","06","07")))))))</f>
        <v/>
      </c>
      <c r="P534" s="117">
        <f>P533+IF(AND($H534&lt;&gt;"",OR(LEFT($F534,LEN(SC_TK))=SC_TK,LEFT($G534,LEN(SC_TK))=SC_TK)),1,0)</f>
        <v/>
      </c>
    </row>
    <row r="535" ht="15" customHeight="1" s="78">
      <c r="A535" s="95">
        <f>IF($H535="","",ROW()-6)</f>
        <v/>
      </c>
      <c r="B535" s="114" t="n"/>
      <c r="C535" s="102" t="n"/>
      <c r="D535" s="114" t="n"/>
      <c r="E535" s="103" t="n"/>
      <c r="F535" s="102" t="n"/>
      <c r="G535" s="102" t="n"/>
      <c r="H535" s="115" t="n"/>
      <c r="I535" s="102" t="n"/>
      <c r="J535" s="102" t="n"/>
      <c r="K535" s="103" t="n"/>
      <c r="L535" s="116">
        <f>IF($H535="","",TRIM(IF(COUNTIF(DMTK!$A$7:$A$250,$F535)=0,"TK Nợ sai! ","")&amp;IF(COUNTIF(DMTK!$A$7:$A$250,$G535)=0,"TK Có sai! ","")&amp;IF(N($H535)&lt;=0,"Tiền phải &gt; 0! ","")&amp;IF($B535="","Thiếu ngày! ","")&amp;IF(AND(OR(LEFT($F535,3)="131",LEFT($G535,3)="131",LEFT($F535,3)="331",LEFT($G535,3)="331"),$I535=""),"Thiếu Mã ĐT! ","")&amp;IF(AND($I535&lt;&gt;"",COUNTIF(DM_DT!$A$7:$A$306,$I535)=0),"Mã ĐT chưa khai báo! ","")))</f>
        <v/>
      </c>
      <c r="M535" s="117">
        <f>IF($H535="","",IF(AND(OR(LEFT($F535,3)="111",LEFT($F535,3)="112",LEFT($F535,3)="113"),OR(LEFT($G535,3)="111",LEFT($G535,3)="112",LEFT($G535,3)="113")),"NB",IF(OR(LEFT($F535,3)="111",LEFT($F535,3)="112",LEFT($F535,3)="113"),"THU",IF(OR(LEFT($G535,3)="111",LEFT($G535,3)="112",LEFT($G535,3)="113"),"CHI",""))))</f>
        <v/>
      </c>
      <c r="N535" s="117">
        <f>IF($M535="THU",$G535,IF($M535="CHI",$F535,""))</f>
        <v/>
      </c>
      <c r="O535" s="117">
        <f>IF(OR($M535="",$M535="NB"),"",IF($J535&lt;&gt;"",TEXT($J535,"00"),IFERROR(VLOOKUP(LEFT($N535,4),LCTT_MAP!$A$7:$C$66,IF($M535="THU",2,3),FALSE()),IFERROR(VLOOKUP(LEFT($N535,3),LCTT_MAP!$A$7:$C$66,IF($M535="THU",2,3),FALSE()),IFERROR(VLOOKUP(LEFT($N535,2),LCTT_MAP!$A$7:$C$66,IF($M535="THU",2,3),FALSE()),IFERROR(VLOOKUP(LEFT($N535,1),LCTT_MAP!$A$7:$C$66,IF($M535="THU",2,3),FALSE()),IF($M535="THU","06","07")))))))</f>
        <v/>
      </c>
      <c r="P535" s="117">
        <f>P534+IF(AND($H535&lt;&gt;"",OR(LEFT($F535,LEN(SC_TK))=SC_TK,LEFT($G535,LEN(SC_TK))=SC_TK)),1,0)</f>
        <v/>
      </c>
    </row>
    <row r="536" ht="15" customHeight="1" s="78">
      <c r="A536" s="95">
        <f>IF($H536="","",ROW()-6)</f>
        <v/>
      </c>
      <c r="B536" s="114" t="n"/>
      <c r="C536" s="102" t="n"/>
      <c r="D536" s="114" t="n"/>
      <c r="E536" s="103" t="n"/>
      <c r="F536" s="102" t="n"/>
      <c r="G536" s="102" t="n"/>
      <c r="H536" s="115" t="n"/>
      <c r="I536" s="102" t="n"/>
      <c r="J536" s="102" t="n"/>
      <c r="K536" s="103" t="n"/>
      <c r="L536" s="116">
        <f>IF($H536="","",TRIM(IF(COUNTIF(DMTK!$A$7:$A$250,$F536)=0,"TK Nợ sai! ","")&amp;IF(COUNTIF(DMTK!$A$7:$A$250,$G536)=0,"TK Có sai! ","")&amp;IF(N($H536)&lt;=0,"Tiền phải &gt; 0! ","")&amp;IF($B536="","Thiếu ngày! ","")&amp;IF(AND(OR(LEFT($F536,3)="131",LEFT($G536,3)="131",LEFT($F536,3)="331",LEFT($G536,3)="331"),$I536=""),"Thiếu Mã ĐT! ","")&amp;IF(AND($I536&lt;&gt;"",COUNTIF(DM_DT!$A$7:$A$306,$I536)=0),"Mã ĐT chưa khai báo! ","")))</f>
        <v/>
      </c>
      <c r="M536" s="117">
        <f>IF($H536="","",IF(AND(OR(LEFT($F536,3)="111",LEFT($F536,3)="112",LEFT($F536,3)="113"),OR(LEFT($G536,3)="111",LEFT($G536,3)="112",LEFT($G536,3)="113")),"NB",IF(OR(LEFT($F536,3)="111",LEFT($F536,3)="112",LEFT($F536,3)="113"),"THU",IF(OR(LEFT($G536,3)="111",LEFT($G536,3)="112",LEFT($G536,3)="113"),"CHI",""))))</f>
        <v/>
      </c>
      <c r="N536" s="117">
        <f>IF($M536="THU",$G536,IF($M536="CHI",$F536,""))</f>
        <v/>
      </c>
      <c r="O536" s="117">
        <f>IF(OR($M536="",$M536="NB"),"",IF($J536&lt;&gt;"",TEXT($J536,"00"),IFERROR(VLOOKUP(LEFT($N536,4),LCTT_MAP!$A$7:$C$66,IF($M536="THU",2,3),FALSE()),IFERROR(VLOOKUP(LEFT($N536,3),LCTT_MAP!$A$7:$C$66,IF($M536="THU",2,3),FALSE()),IFERROR(VLOOKUP(LEFT($N536,2),LCTT_MAP!$A$7:$C$66,IF($M536="THU",2,3),FALSE()),IFERROR(VLOOKUP(LEFT($N536,1),LCTT_MAP!$A$7:$C$66,IF($M536="THU",2,3),FALSE()),IF($M536="THU","06","07")))))))</f>
        <v/>
      </c>
      <c r="P536" s="117">
        <f>P535+IF(AND($H536&lt;&gt;"",OR(LEFT($F536,LEN(SC_TK))=SC_TK,LEFT($G536,LEN(SC_TK))=SC_TK)),1,0)</f>
        <v/>
      </c>
    </row>
    <row r="537" ht="15" customHeight="1" s="78">
      <c r="A537" s="95">
        <f>IF($H537="","",ROW()-6)</f>
        <v/>
      </c>
      <c r="B537" s="114" t="n"/>
      <c r="C537" s="102" t="n"/>
      <c r="D537" s="114" t="n"/>
      <c r="E537" s="103" t="n"/>
      <c r="F537" s="102" t="n"/>
      <c r="G537" s="102" t="n"/>
      <c r="H537" s="115" t="n"/>
      <c r="I537" s="102" t="n"/>
      <c r="J537" s="102" t="n"/>
      <c r="K537" s="103" t="n"/>
      <c r="L537" s="116">
        <f>IF($H537="","",TRIM(IF(COUNTIF(DMTK!$A$7:$A$250,$F537)=0,"TK Nợ sai! ","")&amp;IF(COUNTIF(DMTK!$A$7:$A$250,$G537)=0,"TK Có sai! ","")&amp;IF(N($H537)&lt;=0,"Tiền phải &gt; 0! ","")&amp;IF($B537="","Thiếu ngày! ","")&amp;IF(AND(OR(LEFT($F537,3)="131",LEFT($G537,3)="131",LEFT($F537,3)="331",LEFT($G537,3)="331"),$I537=""),"Thiếu Mã ĐT! ","")&amp;IF(AND($I537&lt;&gt;"",COUNTIF(DM_DT!$A$7:$A$306,$I537)=0),"Mã ĐT chưa khai báo! ","")))</f>
        <v/>
      </c>
      <c r="M537" s="117">
        <f>IF($H537="","",IF(AND(OR(LEFT($F537,3)="111",LEFT($F537,3)="112",LEFT($F537,3)="113"),OR(LEFT($G537,3)="111",LEFT($G537,3)="112",LEFT($G537,3)="113")),"NB",IF(OR(LEFT($F537,3)="111",LEFT($F537,3)="112",LEFT($F537,3)="113"),"THU",IF(OR(LEFT($G537,3)="111",LEFT($G537,3)="112",LEFT($G537,3)="113"),"CHI",""))))</f>
        <v/>
      </c>
      <c r="N537" s="117">
        <f>IF($M537="THU",$G537,IF($M537="CHI",$F537,""))</f>
        <v/>
      </c>
      <c r="O537" s="117">
        <f>IF(OR($M537="",$M537="NB"),"",IF($J537&lt;&gt;"",TEXT($J537,"00"),IFERROR(VLOOKUP(LEFT($N537,4),LCTT_MAP!$A$7:$C$66,IF($M537="THU",2,3),FALSE()),IFERROR(VLOOKUP(LEFT($N537,3),LCTT_MAP!$A$7:$C$66,IF($M537="THU",2,3),FALSE()),IFERROR(VLOOKUP(LEFT($N537,2),LCTT_MAP!$A$7:$C$66,IF($M537="THU",2,3),FALSE()),IFERROR(VLOOKUP(LEFT($N537,1),LCTT_MAP!$A$7:$C$66,IF($M537="THU",2,3),FALSE()),IF($M537="THU","06","07")))))))</f>
        <v/>
      </c>
      <c r="P537" s="117">
        <f>P536+IF(AND($H537&lt;&gt;"",OR(LEFT($F537,LEN(SC_TK))=SC_TK,LEFT($G537,LEN(SC_TK))=SC_TK)),1,0)</f>
        <v/>
      </c>
    </row>
    <row r="538" ht="15" customHeight="1" s="78">
      <c r="A538" s="95">
        <f>IF($H538="","",ROW()-6)</f>
        <v/>
      </c>
      <c r="B538" s="114" t="n"/>
      <c r="C538" s="102" t="n"/>
      <c r="D538" s="114" t="n"/>
      <c r="E538" s="103" t="n"/>
      <c r="F538" s="102" t="n"/>
      <c r="G538" s="102" t="n"/>
      <c r="H538" s="115" t="n"/>
      <c r="I538" s="102" t="n"/>
      <c r="J538" s="102" t="n"/>
      <c r="K538" s="103" t="n"/>
      <c r="L538" s="116">
        <f>IF($H538="","",TRIM(IF(COUNTIF(DMTK!$A$7:$A$250,$F538)=0,"TK Nợ sai! ","")&amp;IF(COUNTIF(DMTK!$A$7:$A$250,$G538)=0,"TK Có sai! ","")&amp;IF(N($H538)&lt;=0,"Tiền phải &gt; 0! ","")&amp;IF($B538="","Thiếu ngày! ","")&amp;IF(AND(OR(LEFT($F538,3)="131",LEFT($G538,3)="131",LEFT($F538,3)="331",LEFT($G538,3)="331"),$I538=""),"Thiếu Mã ĐT! ","")&amp;IF(AND($I538&lt;&gt;"",COUNTIF(DM_DT!$A$7:$A$306,$I538)=0),"Mã ĐT chưa khai báo! ","")))</f>
        <v/>
      </c>
      <c r="M538" s="117">
        <f>IF($H538="","",IF(AND(OR(LEFT($F538,3)="111",LEFT($F538,3)="112",LEFT($F538,3)="113"),OR(LEFT($G538,3)="111",LEFT($G538,3)="112",LEFT($G538,3)="113")),"NB",IF(OR(LEFT($F538,3)="111",LEFT($F538,3)="112",LEFT($F538,3)="113"),"THU",IF(OR(LEFT($G538,3)="111",LEFT($G538,3)="112",LEFT($G538,3)="113"),"CHI",""))))</f>
        <v/>
      </c>
      <c r="N538" s="117">
        <f>IF($M538="THU",$G538,IF($M538="CHI",$F538,""))</f>
        <v/>
      </c>
      <c r="O538" s="117">
        <f>IF(OR($M538="",$M538="NB"),"",IF($J538&lt;&gt;"",TEXT($J538,"00"),IFERROR(VLOOKUP(LEFT($N538,4),LCTT_MAP!$A$7:$C$66,IF($M538="THU",2,3),FALSE()),IFERROR(VLOOKUP(LEFT($N538,3),LCTT_MAP!$A$7:$C$66,IF($M538="THU",2,3),FALSE()),IFERROR(VLOOKUP(LEFT($N538,2),LCTT_MAP!$A$7:$C$66,IF($M538="THU",2,3),FALSE()),IFERROR(VLOOKUP(LEFT($N538,1),LCTT_MAP!$A$7:$C$66,IF($M538="THU",2,3),FALSE()),IF($M538="THU","06","07")))))))</f>
        <v/>
      </c>
      <c r="P538" s="117">
        <f>P537+IF(AND($H538&lt;&gt;"",OR(LEFT($F538,LEN(SC_TK))=SC_TK,LEFT($G538,LEN(SC_TK))=SC_TK)),1,0)</f>
        <v/>
      </c>
    </row>
    <row r="539" ht="15" customHeight="1" s="78">
      <c r="A539" s="95">
        <f>IF($H539="","",ROW()-6)</f>
        <v/>
      </c>
      <c r="B539" s="114" t="n"/>
      <c r="C539" s="102" t="n"/>
      <c r="D539" s="114" t="n"/>
      <c r="E539" s="103" t="n"/>
      <c r="F539" s="102" t="n"/>
      <c r="G539" s="102" t="n"/>
      <c r="H539" s="115" t="n"/>
      <c r="I539" s="102" t="n"/>
      <c r="J539" s="102" t="n"/>
      <c r="K539" s="103" t="n"/>
      <c r="L539" s="116">
        <f>IF($H539="","",TRIM(IF(COUNTIF(DMTK!$A$7:$A$250,$F539)=0,"TK Nợ sai! ","")&amp;IF(COUNTIF(DMTK!$A$7:$A$250,$G539)=0,"TK Có sai! ","")&amp;IF(N($H539)&lt;=0,"Tiền phải &gt; 0! ","")&amp;IF($B539="","Thiếu ngày! ","")&amp;IF(AND(OR(LEFT($F539,3)="131",LEFT($G539,3)="131",LEFT($F539,3)="331",LEFT($G539,3)="331"),$I539=""),"Thiếu Mã ĐT! ","")&amp;IF(AND($I539&lt;&gt;"",COUNTIF(DM_DT!$A$7:$A$306,$I539)=0),"Mã ĐT chưa khai báo! ","")))</f>
        <v/>
      </c>
      <c r="M539" s="117">
        <f>IF($H539="","",IF(AND(OR(LEFT($F539,3)="111",LEFT($F539,3)="112",LEFT($F539,3)="113"),OR(LEFT($G539,3)="111",LEFT($G539,3)="112",LEFT($G539,3)="113")),"NB",IF(OR(LEFT($F539,3)="111",LEFT($F539,3)="112",LEFT($F539,3)="113"),"THU",IF(OR(LEFT($G539,3)="111",LEFT($G539,3)="112",LEFT($G539,3)="113"),"CHI",""))))</f>
        <v/>
      </c>
      <c r="N539" s="117">
        <f>IF($M539="THU",$G539,IF($M539="CHI",$F539,""))</f>
        <v/>
      </c>
      <c r="O539" s="117">
        <f>IF(OR($M539="",$M539="NB"),"",IF($J539&lt;&gt;"",TEXT($J539,"00"),IFERROR(VLOOKUP(LEFT($N539,4),LCTT_MAP!$A$7:$C$66,IF($M539="THU",2,3),FALSE()),IFERROR(VLOOKUP(LEFT($N539,3),LCTT_MAP!$A$7:$C$66,IF($M539="THU",2,3),FALSE()),IFERROR(VLOOKUP(LEFT($N539,2),LCTT_MAP!$A$7:$C$66,IF($M539="THU",2,3),FALSE()),IFERROR(VLOOKUP(LEFT($N539,1),LCTT_MAP!$A$7:$C$66,IF($M539="THU",2,3),FALSE()),IF($M539="THU","06","07")))))))</f>
        <v/>
      </c>
      <c r="P539" s="117">
        <f>P538+IF(AND($H539&lt;&gt;"",OR(LEFT($F539,LEN(SC_TK))=SC_TK,LEFT($G539,LEN(SC_TK))=SC_TK)),1,0)</f>
        <v/>
      </c>
    </row>
    <row r="540" ht="15" customHeight="1" s="78">
      <c r="A540" s="95">
        <f>IF($H540="","",ROW()-6)</f>
        <v/>
      </c>
      <c r="B540" s="114" t="n"/>
      <c r="C540" s="102" t="n"/>
      <c r="D540" s="114" t="n"/>
      <c r="E540" s="103" t="n"/>
      <c r="F540" s="102" t="n"/>
      <c r="G540" s="102" t="n"/>
      <c r="H540" s="115" t="n"/>
      <c r="I540" s="102" t="n"/>
      <c r="J540" s="102" t="n"/>
      <c r="K540" s="103" t="n"/>
      <c r="L540" s="116">
        <f>IF($H540="","",TRIM(IF(COUNTIF(DMTK!$A$7:$A$250,$F540)=0,"TK Nợ sai! ","")&amp;IF(COUNTIF(DMTK!$A$7:$A$250,$G540)=0,"TK Có sai! ","")&amp;IF(N($H540)&lt;=0,"Tiền phải &gt; 0! ","")&amp;IF($B540="","Thiếu ngày! ","")&amp;IF(AND(OR(LEFT($F540,3)="131",LEFT($G540,3)="131",LEFT($F540,3)="331",LEFT($G540,3)="331"),$I540=""),"Thiếu Mã ĐT! ","")&amp;IF(AND($I540&lt;&gt;"",COUNTIF(DM_DT!$A$7:$A$306,$I540)=0),"Mã ĐT chưa khai báo! ","")))</f>
        <v/>
      </c>
      <c r="M540" s="117">
        <f>IF($H540="","",IF(AND(OR(LEFT($F540,3)="111",LEFT($F540,3)="112",LEFT($F540,3)="113"),OR(LEFT($G540,3)="111",LEFT($G540,3)="112",LEFT($G540,3)="113")),"NB",IF(OR(LEFT($F540,3)="111",LEFT($F540,3)="112",LEFT($F540,3)="113"),"THU",IF(OR(LEFT($G540,3)="111",LEFT($G540,3)="112",LEFT($G540,3)="113"),"CHI",""))))</f>
        <v/>
      </c>
      <c r="N540" s="117">
        <f>IF($M540="THU",$G540,IF($M540="CHI",$F540,""))</f>
        <v/>
      </c>
      <c r="O540" s="117">
        <f>IF(OR($M540="",$M540="NB"),"",IF($J540&lt;&gt;"",TEXT($J540,"00"),IFERROR(VLOOKUP(LEFT($N540,4),LCTT_MAP!$A$7:$C$66,IF($M540="THU",2,3),FALSE()),IFERROR(VLOOKUP(LEFT($N540,3),LCTT_MAP!$A$7:$C$66,IF($M540="THU",2,3),FALSE()),IFERROR(VLOOKUP(LEFT($N540,2),LCTT_MAP!$A$7:$C$66,IF($M540="THU",2,3),FALSE()),IFERROR(VLOOKUP(LEFT($N540,1),LCTT_MAP!$A$7:$C$66,IF($M540="THU",2,3),FALSE()),IF($M540="THU","06","07")))))))</f>
        <v/>
      </c>
      <c r="P540" s="117">
        <f>P539+IF(AND($H540&lt;&gt;"",OR(LEFT($F540,LEN(SC_TK))=SC_TK,LEFT($G540,LEN(SC_TK))=SC_TK)),1,0)</f>
        <v/>
      </c>
    </row>
    <row r="541" ht="15" customHeight="1" s="78">
      <c r="A541" s="95">
        <f>IF($H541="","",ROW()-6)</f>
        <v/>
      </c>
      <c r="B541" s="114" t="n"/>
      <c r="C541" s="102" t="n"/>
      <c r="D541" s="114" t="n"/>
      <c r="E541" s="103" t="n"/>
      <c r="F541" s="102" t="n"/>
      <c r="G541" s="102" t="n"/>
      <c r="H541" s="115" t="n"/>
      <c r="I541" s="102" t="n"/>
      <c r="J541" s="102" t="n"/>
      <c r="K541" s="103" t="n"/>
      <c r="L541" s="116">
        <f>IF($H541="","",TRIM(IF(COUNTIF(DMTK!$A$7:$A$250,$F541)=0,"TK Nợ sai! ","")&amp;IF(COUNTIF(DMTK!$A$7:$A$250,$G541)=0,"TK Có sai! ","")&amp;IF(N($H541)&lt;=0,"Tiền phải &gt; 0! ","")&amp;IF($B541="","Thiếu ngày! ","")&amp;IF(AND(OR(LEFT($F541,3)="131",LEFT($G541,3)="131",LEFT($F541,3)="331",LEFT($G541,3)="331"),$I541=""),"Thiếu Mã ĐT! ","")&amp;IF(AND($I541&lt;&gt;"",COUNTIF(DM_DT!$A$7:$A$306,$I541)=0),"Mã ĐT chưa khai báo! ","")))</f>
        <v/>
      </c>
      <c r="M541" s="117">
        <f>IF($H541="","",IF(AND(OR(LEFT($F541,3)="111",LEFT($F541,3)="112",LEFT($F541,3)="113"),OR(LEFT($G541,3)="111",LEFT($G541,3)="112",LEFT($G541,3)="113")),"NB",IF(OR(LEFT($F541,3)="111",LEFT($F541,3)="112",LEFT($F541,3)="113"),"THU",IF(OR(LEFT($G541,3)="111",LEFT($G541,3)="112",LEFT($G541,3)="113"),"CHI",""))))</f>
        <v/>
      </c>
      <c r="N541" s="117">
        <f>IF($M541="THU",$G541,IF($M541="CHI",$F541,""))</f>
        <v/>
      </c>
      <c r="O541" s="117">
        <f>IF(OR($M541="",$M541="NB"),"",IF($J541&lt;&gt;"",TEXT($J541,"00"),IFERROR(VLOOKUP(LEFT($N541,4),LCTT_MAP!$A$7:$C$66,IF($M541="THU",2,3),FALSE()),IFERROR(VLOOKUP(LEFT($N541,3),LCTT_MAP!$A$7:$C$66,IF($M541="THU",2,3),FALSE()),IFERROR(VLOOKUP(LEFT($N541,2),LCTT_MAP!$A$7:$C$66,IF($M541="THU",2,3),FALSE()),IFERROR(VLOOKUP(LEFT($N541,1),LCTT_MAP!$A$7:$C$66,IF($M541="THU",2,3),FALSE()),IF($M541="THU","06","07")))))))</f>
        <v/>
      </c>
      <c r="P541" s="117">
        <f>P540+IF(AND($H541&lt;&gt;"",OR(LEFT($F541,LEN(SC_TK))=SC_TK,LEFT($G541,LEN(SC_TK))=SC_TK)),1,0)</f>
        <v/>
      </c>
    </row>
    <row r="542" ht="15" customHeight="1" s="78">
      <c r="A542" s="95">
        <f>IF($H542="","",ROW()-6)</f>
        <v/>
      </c>
      <c r="B542" s="114" t="n"/>
      <c r="C542" s="102" t="n"/>
      <c r="D542" s="114" t="n"/>
      <c r="E542" s="103" t="n"/>
      <c r="F542" s="102" t="n"/>
      <c r="G542" s="102" t="n"/>
      <c r="H542" s="115" t="n"/>
      <c r="I542" s="102" t="n"/>
      <c r="J542" s="102" t="n"/>
      <c r="K542" s="103" t="n"/>
      <c r="L542" s="116">
        <f>IF($H542="","",TRIM(IF(COUNTIF(DMTK!$A$7:$A$250,$F542)=0,"TK Nợ sai! ","")&amp;IF(COUNTIF(DMTK!$A$7:$A$250,$G542)=0,"TK Có sai! ","")&amp;IF(N($H542)&lt;=0,"Tiền phải &gt; 0! ","")&amp;IF($B542="","Thiếu ngày! ","")&amp;IF(AND(OR(LEFT($F542,3)="131",LEFT($G542,3)="131",LEFT($F542,3)="331",LEFT($G542,3)="331"),$I542=""),"Thiếu Mã ĐT! ","")&amp;IF(AND($I542&lt;&gt;"",COUNTIF(DM_DT!$A$7:$A$306,$I542)=0),"Mã ĐT chưa khai báo! ","")))</f>
        <v/>
      </c>
      <c r="M542" s="117">
        <f>IF($H542="","",IF(AND(OR(LEFT($F542,3)="111",LEFT($F542,3)="112",LEFT($F542,3)="113"),OR(LEFT($G542,3)="111",LEFT($G542,3)="112",LEFT($G542,3)="113")),"NB",IF(OR(LEFT($F542,3)="111",LEFT($F542,3)="112",LEFT($F542,3)="113"),"THU",IF(OR(LEFT($G542,3)="111",LEFT($G542,3)="112",LEFT($G542,3)="113"),"CHI",""))))</f>
        <v/>
      </c>
      <c r="N542" s="117">
        <f>IF($M542="THU",$G542,IF($M542="CHI",$F542,""))</f>
        <v/>
      </c>
      <c r="O542" s="117">
        <f>IF(OR($M542="",$M542="NB"),"",IF($J542&lt;&gt;"",TEXT($J542,"00"),IFERROR(VLOOKUP(LEFT($N542,4),LCTT_MAP!$A$7:$C$66,IF($M542="THU",2,3),FALSE()),IFERROR(VLOOKUP(LEFT($N542,3),LCTT_MAP!$A$7:$C$66,IF($M542="THU",2,3),FALSE()),IFERROR(VLOOKUP(LEFT($N542,2),LCTT_MAP!$A$7:$C$66,IF($M542="THU",2,3),FALSE()),IFERROR(VLOOKUP(LEFT($N542,1),LCTT_MAP!$A$7:$C$66,IF($M542="THU",2,3),FALSE()),IF($M542="THU","06","07")))))))</f>
        <v/>
      </c>
      <c r="P542" s="117">
        <f>P541+IF(AND($H542&lt;&gt;"",OR(LEFT($F542,LEN(SC_TK))=SC_TK,LEFT($G542,LEN(SC_TK))=SC_TK)),1,0)</f>
        <v/>
      </c>
    </row>
    <row r="543" ht="15" customHeight="1" s="78">
      <c r="A543" s="95">
        <f>IF($H543="","",ROW()-6)</f>
        <v/>
      </c>
      <c r="B543" s="114" t="n"/>
      <c r="C543" s="102" t="n"/>
      <c r="D543" s="114" t="n"/>
      <c r="E543" s="103" t="n"/>
      <c r="F543" s="102" t="n"/>
      <c r="G543" s="102" t="n"/>
      <c r="H543" s="115" t="n"/>
      <c r="I543" s="102" t="n"/>
      <c r="J543" s="102" t="n"/>
      <c r="K543" s="103" t="n"/>
      <c r="L543" s="116">
        <f>IF($H543="","",TRIM(IF(COUNTIF(DMTK!$A$7:$A$250,$F543)=0,"TK Nợ sai! ","")&amp;IF(COUNTIF(DMTK!$A$7:$A$250,$G543)=0,"TK Có sai! ","")&amp;IF(N($H543)&lt;=0,"Tiền phải &gt; 0! ","")&amp;IF($B543="","Thiếu ngày! ","")&amp;IF(AND(OR(LEFT($F543,3)="131",LEFT($G543,3)="131",LEFT($F543,3)="331",LEFT($G543,3)="331"),$I543=""),"Thiếu Mã ĐT! ","")&amp;IF(AND($I543&lt;&gt;"",COUNTIF(DM_DT!$A$7:$A$306,$I543)=0),"Mã ĐT chưa khai báo! ","")))</f>
        <v/>
      </c>
      <c r="M543" s="117">
        <f>IF($H543="","",IF(AND(OR(LEFT($F543,3)="111",LEFT($F543,3)="112",LEFT($F543,3)="113"),OR(LEFT($G543,3)="111",LEFT($G543,3)="112",LEFT($G543,3)="113")),"NB",IF(OR(LEFT($F543,3)="111",LEFT($F543,3)="112",LEFT($F543,3)="113"),"THU",IF(OR(LEFT($G543,3)="111",LEFT($G543,3)="112",LEFT($G543,3)="113"),"CHI",""))))</f>
        <v/>
      </c>
      <c r="N543" s="117">
        <f>IF($M543="THU",$G543,IF($M543="CHI",$F543,""))</f>
        <v/>
      </c>
      <c r="O543" s="117">
        <f>IF(OR($M543="",$M543="NB"),"",IF($J543&lt;&gt;"",TEXT($J543,"00"),IFERROR(VLOOKUP(LEFT($N543,4),LCTT_MAP!$A$7:$C$66,IF($M543="THU",2,3),FALSE()),IFERROR(VLOOKUP(LEFT($N543,3),LCTT_MAP!$A$7:$C$66,IF($M543="THU",2,3),FALSE()),IFERROR(VLOOKUP(LEFT($N543,2),LCTT_MAP!$A$7:$C$66,IF($M543="THU",2,3),FALSE()),IFERROR(VLOOKUP(LEFT($N543,1),LCTT_MAP!$A$7:$C$66,IF($M543="THU",2,3),FALSE()),IF($M543="THU","06","07")))))))</f>
        <v/>
      </c>
      <c r="P543" s="117">
        <f>P542+IF(AND($H543&lt;&gt;"",OR(LEFT($F543,LEN(SC_TK))=SC_TK,LEFT($G543,LEN(SC_TK))=SC_TK)),1,0)</f>
        <v/>
      </c>
    </row>
    <row r="544" ht="15" customHeight="1" s="78">
      <c r="A544" s="95">
        <f>IF($H544="","",ROW()-6)</f>
        <v/>
      </c>
      <c r="B544" s="114" t="n"/>
      <c r="C544" s="102" t="n"/>
      <c r="D544" s="114" t="n"/>
      <c r="E544" s="103" t="n"/>
      <c r="F544" s="102" t="n"/>
      <c r="G544" s="102" t="n"/>
      <c r="H544" s="115" t="n"/>
      <c r="I544" s="102" t="n"/>
      <c r="J544" s="102" t="n"/>
      <c r="K544" s="103" t="n"/>
      <c r="L544" s="116">
        <f>IF($H544="","",TRIM(IF(COUNTIF(DMTK!$A$7:$A$250,$F544)=0,"TK Nợ sai! ","")&amp;IF(COUNTIF(DMTK!$A$7:$A$250,$G544)=0,"TK Có sai! ","")&amp;IF(N($H544)&lt;=0,"Tiền phải &gt; 0! ","")&amp;IF($B544="","Thiếu ngày! ","")&amp;IF(AND(OR(LEFT($F544,3)="131",LEFT($G544,3)="131",LEFT($F544,3)="331",LEFT($G544,3)="331"),$I544=""),"Thiếu Mã ĐT! ","")&amp;IF(AND($I544&lt;&gt;"",COUNTIF(DM_DT!$A$7:$A$306,$I544)=0),"Mã ĐT chưa khai báo! ","")))</f>
        <v/>
      </c>
      <c r="M544" s="117">
        <f>IF($H544="","",IF(AND(OR(LEFT($F544,3)="111",LEFT($F544,3)="112",LEFT($F544,3)="113"),OR(LEFT($G544,3)="111",LEFT($G544,3)="112",LEFT($G544,3)="113")),"NB",IF(OR(LEFT($F544,3)="111",LEFT($F544,3)="112",LEFT($F544,3)="113"),"THU",IF(OR(LEFT($G544,3)="111",LEFT($G544,3)="112",LEFT($G544,3)="113"),"CHI",""))))</f>
        <v/>
      </c>
      <c r="N544" s="117">
        <f>IF($M544="THU",$G544,IF($M544="CHI",$F544,""))</f>
        <v/>
      </c>
      <c r="O544" s="117">
        <f>IF(OR($M544="",$M544="NB"),"",IF($J544&lt;&gt;"",TEXT($J544,"00"),IFERROR(VLOOKUP(LEFT($N544,4),LCTT_MAP!$A$7:$C$66,IF($M544="THU",2,3),FALSE()),IFERROR(VLOOKUP(LEFT($N544,3),LCTT_MAP!$A$7:$C$66,IF($M544="THU",2,3),FALSE()),IFERROR(VLOOKUP(LEFT($N544,2),LCTT_MAP!$A$7:$C$66,IF($M544="THU",2,3),FALSE()),IFERROR(VLOOKUP(LEFT($N544,1),LCTT_MAP!$A$7:$C$66,IF($M544="THU",2,3),FALSE()),IF($M544="THU","06","07")))))))</f>
        <v/>
      </c>
      <c r="P544" s="117">
        <f>P543+IF(AND($H544&lt;&gt;"",OR(LEFT($F544,LEN(SC_TK))=SC_TK,LEFT($G544,LEN(SC_TK))=SC_TK)),1,0)</f>
        <v/>
      </c>
    </row>
    <row r="545" ht="15" customHeight="1" s="78">
      <c r="A545" s="95">
        <f>IF($H545="","",ROW()-6)</f>
        <v/>
      </c>
      <c r="B545" s="114" t="n"/>
      <c r="C545" s="102" t="n"/>
      <c r="D545" s="114" t="n"/>
      <c r="E545" s="103" t="n"/>
      <c r="F545" s="102" t="n"/>
      <c r="G545" s="102" t="n"/>
      <c r="H545" s="115" t="n"/>
      <c r="I545" s="102" t="n"/>
      <c r="J545" s="102" t="n"/>
      <c r="K545" s="103" t="n"/>
      <c r="L545" s="116">
        <f>IF($H545="","",TRIM(IF(COUNTIF(DMTK!$A$7:$A$250,$F545)=0,"TK Nợ sai! ","")&amp;IF(COUNTIF(DMTK!$A$7:$A$250,$G545)=0,"TK Có sai! ","")&amp;IF(N($H545)&lt;=0,"Tiền phải &gt; 0! ","")&amp;IF($B545="","Thiếu ngày! ","")&amp;IF(AND(OR(LEFT($F545,3)="131",LEFT($G545,3)="131",LEFT($F545,3)="331",LEFT($G545,3)="331"),$I545=""),"Thiếu Mã ĐT! ","")&amp;IF(AND($I545&lt;&gt;"",COUNTIF(DM_DT!$A$7:$A$306,$I545)=0),"Mã ĐT chưa khai báo! ","")))</f>
        <v/>
      </c>
      <c r="M545" s="117">
        <f>IF($H545="","",IF(AND(OR(LEFT($F545,3)="111",LEFT($F545,3)="112",LEFT($F545,3)="113"),OR(LEFT($G545,3)="111",LEFT($G545,3)="112",LEFT($G545,3)="113")),"NB",IF(OR(LEFT($F545,3)="111",LEFT($F545,3)="112",LEFT($F545,3)="113"),"THU",IF(OR(LEFT($G545,3)="111",LEFT($G545,3)="112",LEFT($G545,3)="113"),"CHI",""))))</f>
        <v/>
      </c>
      <c r="N545" s="117">
        <f>IF($M545="THU",$G545,IF($M545="CHI",$F545,""))</f>
        <v/>
      </c>
      <c r="O545" s="117">
        <f>IF(OR($M545="",$M545="NB"),"",IF($J545&lt;&gt;"",TEXT($J545,"00"),IFERROR(VLOOKUP(LEFT($N545,4),LCTT_MAP!$A$7:$C$66,IF($M545="THU",2,3),FALSE()),IFERROR(VLOOKUP(LEFT($N545,3),LCTT_MAP!$A$7:$C$66,IF($M545="THU",2,3),FALSE()),IFERROR(VLOOKUP(LEFT($N545,2),LCTT_MAP!$A$7:$C$66,IF($M545="THU",2,3),FALSE()),IFERROR(VLOOKUP(LEFT($N545,1),LCTT_MAP!$A$7:$C$66,IF($M545="THU",2,3),FALSE()),IF($M545="THU","06","07")))))))</f>
        <v/>
      </c>
      <c r="P545" s="117">
        <f>P544+IF(AND($H545&lt;&gt;"",OR(LEFT($F545,LEN(SC_TK))=SC_TK,LEFT($G545,LEN(SC_TK))=SC_TK)),1,0)</f>
        <v/>
      </c>
    </row>
    <row r="546" ht="15" customHeight="1" s="78">
      <c r="A546" s="95">
        <f>IF($H546="","",ROW()-6)</f>
        <v/>
      </c>
      <c r="B546" s="114" t="n"/>
      <c r="C546" s="102" t="n"/>
      <c r="D546" s="114" t="n"/>
      <c r="E546" s="103" t="n"/>
      <c r="F546" s="102" t="n"/>
      <c r="G546" s="102" t="n"/>
      <c r="H546" s="115" t="n"/>
      <c r="I546" s="102" t="n"/>
      <c r="J546" s="102" t="n"/>
      <c r="K546" s="103" t="n"/>
      <c r="L546" s="116">
        <f>IF($H546="","",TRIM(IF(COUNTIF(DMTK!$A$7:$A$250,$F546)=0,"TK Nợ sai! ","")&amp;IF(COUNTIF(DMTK!$A$7:$A$250,$G546)=0,"TK Có sai! ","")&amp;IF(N($H546)&lt;=0,"Tiền phải &gt; 0! ","")&amp;IF($B546="","Thiếu ngày! ","")&amp;IF(AND(OR(LEFT($F546,3)="131",LEFT($G546,3)="131",LEFT($F546,3)="331",LEFT($G546,3)="331"),$I546=""),"Thiếu Mã ĐT! ","")&amp;IF(AND($I546&lt;&gt;"",COUNTIF(DM_DT!$A$7:$A$306,$I546)=0),"Mã ĐT chưa khai báo! ","")))</f>
        <v/>
      </c>
      <c r="M546" s="117">
        <f>IF($H546="","",IF(AND(OR(LEFT($F546,3)="111",LEFT($F546,3)="112",LEFT($F546,3)="113"),OR(LEFT($G546,3)="111",LEFT($G546,3)="112",LEFT($G546,3)="113")),"NB",IF(OR(LEFT($F546,3)="111",LEFT($F546,3)="112",LEFT($F546,3)="113"),"THU",IF(OR(LEFT($G546,3)="111",LEFT($G546,3)="112",LEFT($G546,3)="113"),"CHI",""))))</f>
        <v/>
      </c>
      <c r="N546" s="117">
        <f>IF($M546="THU",$G546,IF($M546="CHI",$F546,""))</f>
        <v/>
      </c>
      <c r="O546" s="117">
        <f>IF(OR($M546="",$M546="NB"),"",IF($J546&lt;&gt;"",TEXT($J546,"00"),IFERROR(VLOOKUP(LEFT($N546,4),LCTT_MAP!$A$7:$C$66,IF($M546="THU",2,3),FALSE()),IFERROR(VLOOKUP(LEFT($N546,3),LCTT_MAP!$A$7:$C$66,IF($M546="THU",2,3),FALSE()),IFERROR(VLOOKUP(LEFT($N546,2),LCTT_MAP!$A$7:$C$66,IF($M546="THU",2,3),FALSE()),IFERROR(VLOOKUP(LEFT($N546,1),LCTT_MAP!$A$7:$C$66,IF($M546="THU",2,3),FALSE()),IF($M546="THU","06","07")))))))</f>
        <v/>
      </c>
      <c r="P546" s="117">
        <f>P545+IF(AND($H546&lt;&gt;"",OR(LEFT($F546,LEN(SC_TK))=SC_TK,LEFT($G546,LEN(SC_TK))=SC_TK)),1,0)</f>
        <v/>
      </c>
    </row>
    <row r="547" ht="15" customHeight="1" s="78">
      <c r="A547" s="95">
        <f>IF($H547="","",ROW()-6)</f>
        <v/>
      </c>
      <c r="B547" s="114" t="n"/>
      <c r="C547" s="102" t="n"/>
      <c r="D547" s="114" t="n"/>
      <c r="E547" s="103" t="n"/>
      <c r="F547" s="102" t="n"/>
      <c r="G547" s="102" t="n"/>
      <c r="H547" s="115" t="n"/>
      <c r="I547" s="102" t="n"/>
      <c r="J547" s="102" t="n"/>
      <c r="K547" s="103" t="n"/>
      <c r="L547" s="116">
        <f>IF($H547="","",TRIM(IF(COUNTIF(DMTK!$A$7:$A$250,$F547)=0,"TK Nợ sai! ","")&amp;IF(COUNTIF(DMTK!$A$7:$A$250,$G547)=0,"TK Có sai! ","")&amp;IF(N($H547)&lt;=0,"Tiền phải &gt; 0! ","")&amp;IF($B547="","Thiếu ngày! ","")&amp;IF(AND(OR(LEFT($F547,3)="131",LEFT($G547,3)="131",LEFT($F547,3)="331",LEFT($G547,3)="331"),$I547=""),"Thiếu Mã ĐT! ","")&amp;IF(AND($I547&lt;&gt;"",COUNTIF(DM_DT!$A$7:$A$306,$I547)=0),"Mã ĐT chưa khai báo! ","")))</f>
        <v/>
      </c>
      <c r="M547" s="117">
        <f>IF($H547="","",IF(AND(OR(LEFT($F547,3)="111",LEFT($F547,3)="112",LEFT($F547,3)="113"),OR(LEFT($G547,3)="111",LEFT($G547,3)="112",LEFT($G547,3)="113")),"NB",IF(OR(LEFT($F547,3)="111",LEFT($F547,3)="112",LEFT($F547,3)="113"),"THU",IF(OR(LEFT($G547,3)="111",LEFT($G547,3)="112",LEFT($G547,3)="113"),"CHI",""))))</f>
        <v/>
      </c>
      <c r="N547" s="117">
        <f>IF($M547="THU",$G547,IF($M547="CHI",$F547,""))</f>
        <v/>
      </c>
      <c r="O547" s="117">
        <f>IF(OR($M547="",$M547="NB"),"",IF($J547&lt;&gt;"",TEXT($J547,"00"),IFERROR(VLOOKUP(LEFT($N547,4),LCTT_MAP!$A$7:$C$66,IF($M547="THU",2,3),FALSE()),IFERROR(VLOOKUP(LEFT($N547,3),LCTT_MAP!$A$7:$C$66,IF($M547="THU",2,3),FALSE()),IFERROR(VLOOKUP(LEFT($N547,2),LCTT_MAP!$A$7:$C$66,IF($M547="THU",2,3),FALSE()),IFERROR(VLOOKUP(LEFT($N547,1),LCTT_MAP!$A$7:$C$66,IF($M547="THU",2,3),FALSE()),IF($M547="THU","06","07")))))))</f>
        <v/>
      </c>
      <c r="P547" s="117">
        <f>P546+IF(AND($H547&lt;&gt;"",OR(LEFT($F547,LEN(SC_TK))=SC_TK,LEFT($G547,LEN(SC_TK))=SC_TK)),1,0)</f>
        <v/>
      </c>
    </row>
    <row r="548" ht="15" customHeight="1" s="78">
      <c r="A548" s="95">
        <f>IF($H548="","",ROW()-6)</f>
        <v/>
      </c>
      <c r="B548" s="114" t="n"/>
      <c r="C548" s="102" t="n"/>
      <c r="D548" s="114" t="n"/>
      <c r="E548" s="103" t="n"/>
      <c r="F548" s="102" t="n"/>
      <c r="G548" s="102" t="n"/>
      <c r="H548" s="115" t="n"/>
      <c r="I548" s="102" t="n"/>
      <c r="J548" s="102" t="n"/>
      <c r="K548" s="103" t="n"/>
      <c r="L548" s="116">
        <f>IF($H548="","",TRIM(IF(COUNTIF(DMTK!$A$7:$A$250,$F548)=0,"TK Nợ sai! ","")&amp;IF(COUNTIF(DMTK!$A$7:$A$250,$G548)=0,"TK Có sai! ","")&amp;IF(N($H548)&lt;=0,"Tiền phải &gt; 0! ","")&amp;IF($B548="","Thiếu ngày! ","")&amp;IF(AND(OR(LEFT($F548,3)="131",LEFT($G548,3)="131",LEFT($F548,3)="331",LEFT($G548,3)="331"),$I548=""),"Thiếu Mã ĐT! ","")&amp;IF(AND($I548&lt;&gt;"",COUNTIF(DM_DT!$A$7:$A$306,$I548)=0),"Mã ĐT chưa khai báo! ","")))</f>
        <v/>
      </c>
      <c r="M548" s="117">
        <f>IF($H548="","",IF(AND(OR(LEFT($F548,3)="111",LEFT($F548,3)="112",LEFT($F548,3)="113"),OR(LEFT($G548,3)="111",LEFT($G548,3)="112",LEFT($G548,3)="113")),"NB",IF(OR(LEFT($F548,3)="111",LEFT($F548,3)="112",LEFT($F548,3)="113"),"THU",IF(OR(LEFT($G548,3)="111",LEFT($G548,3)="112",LEFT($G548,3)="113"),"CHI",""))))</f>
        <v/>
      </c>
      <c r="N548" s="117">
        <f>IF($M548="THU",$G548,IF($M548="CHI",$F548,""))</f>
        <v/>
      </c>
      <c r="O548" s="117">
        <f>IF(OR($M548="",$M548="NB"),"",IF($J548&lt;&gt;"",TEXT($J548,"00"),IFERROR(VLOOKUP(LEFT($N548,4),LCTT_MAP!$A$7:$C$66,IF($M548="THU",2,3),FALSE()),IFERROR(VLOOKUP(LEFT($N548,3),LCTT_MAP!$A$7:$C$66,IF($M548="THU",2,3),FALSE()),IFERROR(VLOOKUP(LEFT($N548,2),LCTT_MAP!$A$7:$C$66,IF($M548="THU",2,3),FALSE()),IFERROR(VLOOKUP(LEFT($N548,1),LCTT_MAP!$A$7:$C$66,IF($M548="THU",2,3),FALSE()),IF($M548="THU","06","07")))))))</f>
        <v/>
      </c>
      <c r="P548" s="117">
        <f>P547+IF(AND($H548&lt;&gt;"",OR(LEFT($F548,LEN(SC_TK))=SC_TK,LEFT($G548,LEN(SC_TK))=SC_TK)),1,0)</f>
        <v/>
      </c>
    </row>
    <row r="549" ht="15" customHeight="1" s="78">
      <c r="A549" s="95">
        <f>IF($H549="","",ROW()-6)</f>
        <v/>
      </c>
      <c r="B549" s="114" t="n"/>
      <c r="C549" s="102" t="n"/>
      <c r="D549" s="114" t="n"/>
      <c r="E549" s="103" t="n"/>
      <c r="F549" s="102" t="n"/>
      <c r="G549" s="102" t="n"/>
      <c r="H549" s="115" t="n"/>
      <c r="I549" s="102" t="n"/>
      <c r="J549" s="102" t="n"/>
      <c r="K549" s="103" t="n"/>
      <c r="L549" s="116">
        <f>IF($H549="","",TRIM(IF(COUNTIF(DMTK!$A$7:$A$250,$F549)=0,"TK Nợ sai! ","")&amp;IF(COUNTIF(DMTK!$A$7:$A$250,$G549)=0,"TK Có sai! ","")&amp;IF(N($H549)&lt;=0,"Tiền phải &gt; 0! ","")&amp;IF($B549="","Thiếu ngày! ","")&amp;IF(AND(OR(LEFT($F549,3)="131",LEFT($G549,3)="131",LEFT($F549,3)="331",LEFT($G549,3)="331"),$I549=""),"Thiếu Mã ĐT! ","")&amp;IF(AND($I549&lt;&gt;"",COUNTIF(DM_DT!$A$7:$A$306,$I549)=0),"Mã ĐT chưa khai báo! ","")))</f>
        <v/>
      </c>
      <c r="M549" s="117">
        <f>IF($H549="","",IF(AND(OR(LEFT($F549,3)="111",LEFT($F549,3)="112",LEFT($F549,3)="113"),OR(LEFT($G549,3)="111",LEFT($G549,3)="112",LEFT($G549,3)="113")),"NB",IF(OR(LEFT($F549,3)="111",LEFT($F549,3)="112",LEFT($F549,3)="113"),"THU",IF(OR(LEFT($G549,3)="111",LEFT($G549,3)="112",LEFT($G549,3)="113"),"CHI",""))))</f>
        <v/>
      </c>
      <c r="N549" s="117">
        <f>IF($M549="THU",$G549,IF($M549="CHI",$F549,""))</f>
        <v/>
      </c>
      <c r="O549" s="117">
        <f>IF(OR($M549="",$M549="NB"),"",IF($J549&lt;&gt;"",TEXT($J549,"00"),IFERROR(VLOOKUP(LEFT($N549,4),LCTT_MAP!$A$7:$C$66,IF($M549="THU",2,3),FALSE()),IFERROR(VLOOKUP(LEFT($N549,3),LCTT_MAP!$A$7:$C$66,IF($M549="THU",2,3),FALSE()),IFERROR(VLOOKUP(LEFT($N549,2),LCTT_MAP!$A$7:$C$66,IF($M549="THU",2,3),FALSE()),IFERROR(VLOOKUP(LEFT($N549,1),LCTT_MAP!$A$7:$C$66,IF($M549="THU",2,3),FALSE()),IF($M549="THU","06","07")))))))</f>
        <v/>
      </c>
      <c r="P549" s="117">
        <f>P548+IF(AND($H549&lt;&gt;"",OR(LEFT($F549,LEN(SC_TK))=SC_TK,LEFT($G549,LEN(SC_TK))=SC_TK)),1,0)</f>
        <v/>
      </c>
    </row>
    <row r="550" ht="15" customHeight="1" s="78">
      <c r="A550" s="95">
        <f>IF($H550="","",ROW()-6)</f>
        <v/>
      </c>
      <c r="B550" s="114" t="n"/>
      <c r="C550" s="102" t="n"/>
      <c r="D550" s="114" t="n"/>
      <c r="E550" s="103" t="n"/>
      <c r="F550" s="102" t="n"/>
      <c r="G550" s="102" t="n"/>
      <c r="H550" s="115" t="n"/>
      <c r="I550" s="102" t="n"/>
      <c r="J550" s="102" t="n"/>
      <c r="K550" s="103" t="n"/>
      <c r="L550" s="116">
        <f>IF($H550="","",TRIM(IF(COUNTIF(DMTK!$A$7:$A$250,$F550)=0,"TK Nợ sai! ","")&amp;IF(COUNTIF(DMTK!$A$7:$A$250,$G550)=0,"TK Có sai! ","")&amp;IF(N($H550)&lt;=0,"Tiền phải &gt; 0! ","")&amp;IF($B550="","Thiếu ngày! ","")&amp;IF(AND(OR(LEFT($F550,3)="131",LEFT($G550,3)="131",LEFT($F550,3)="331",LEFT($G550,3)="331"),$I550=""),"Thiếu Mã ĐT! ","")&amp;IF(AND($I550&lt;&gt;"",COUNTIF(DM_DT!$A$7:$A$306,$I550)=0),"Mã ĐT chưa khai báo! ","")))</f>
        <v/>
      </c>
      <c r="M550" s="117">
        <f>IF($H550="","",IF(AND(OR(LEFT($F550,3)="111",LEFT($F550,3)="112",LEFT($F550,3)="113"),OR(LEFT($G550,3)="111",LEFT($G550,3)="112",LEFT($G550,3)="113")),"NB",IF(OR(LEFT($F550,3)="111",LEFT($F550,3)="112",LEFT($F550,3)="113"),"THU",IF(OR(LEFT($G550,3)="111",LEFT($G550,3)="112",LEFT($G550,3)="113"),"CHI",""))))</f>
        <v/>
      </c>
      <c r="N550" s="117">
        <f>IF($M550="THU",$G550,IF($M550="CHI",$F550,""))</f>
        <v/>
      </c>
      <c r="O550" s="117">
        <f>IF(OR($M550="",$M550="NB"),"",IF($J550&lt;&gt;"",TEXT($J550,"00"),IFERROR(VLOOKUP(LEFT($N550,4),LCTT_MAP!$A$7:$C$66,IF($M550="THU",2,3),FALSE()),IFERROR(VLOOKUP(LEFT($N550,3),LCTT_MAP!$A$7:$C$66,IF($M550="THU",2,3),FALSE()),IFERROR(VLOOKUP(LEFT($N550,2),LCTT_MAP!$A$7:$C$66,IF($M550="THU",2,3),FALSE()),IFERROR(VLOOKUP(LEFT($N550,1),LCTT_MAP!$A$7:$C$66,IF($M550="THU",2,3),FALSE()),IF($M550="THU","06","07")))))))</f>
        <v/>
      </c>
      <c r="P550" s="117">
        <f>P549+IF(AND($H550&lt;&gt;"",OR(LEFT($F550,LEN(SC_TK))=SC_TK,LEFT($G550,LEN(SC_TK))=SC_TK)),1,0)</f>
        <v/>
      </c>
    </row>
    <row r="551" ht="15" customHeight="1" s="78">
      <c r="A551" s="95">
        <f>IF($H551="","",ROW()-6)</f>
        <v/>
      </c>
      <c r="B551" s="114" t="n"/>
      <c r="C551" s="102" t="n"/>
      <c r="D551" s="114" t="n"/>
      <c r="E551" s="103" t="n"/>
      <c r="F551" s="102" t="n"/>
      <c r="G551" s="102" t="n"/>
      <c r="H551" s="115" t="n"/>
      <c r="I551" s="102" t="n"/>
      <c r="J551" s="102" t="n"/>
      <c r="K551" s="103" t="n"/>
      <c r="L551" s="116">
        <f>IF($H551="","",TRIM(IF(COUNTIF(DMTK!$A$7:$A$250,$F551)=0,"TK Nợ sai! ","")&amp;IF(COUNTIF(DMTK!$A$7:$A$250,$G551)=0,"TK Có sai! ","")&amp;IF(N($H551)&lt;=0,"Tiền phải &gt; 0! ","")&amp;IF($B551="","Thiếu ngày! ","")&amp;IF(AND(OR(LEFT($F551,3)="131",LEFT($G551,3)="131",LEFT($F551,3)="331",LEFT($G551,3)="331"),$I551=""),"Thiếu Mã ĐT! ","")&amp;IF(AND($I551&lt;&gt;"",COUNTIF(DM_DT!$A$7:$A$306,$I551)=0),"Mã ĐT chưa khai báo! ","")))</f>
        <v/>
      </c>
      <c r="M551" s="117">
        <f>IF($H551="","",IF(AND(OR(LEFT($F551,3)="111",LEFT($F551,3)="112",LEFT($F551,3)="113"),OR(LEFT($G551,3)="111",LEFT($G551,3)="112",LEFT($G551,3)="113")),"NB",IF(OR(LEFT($F551,3)="111",LEFT($F551,3)="112",LEFT($F551,3)="113"),"THU",IF(OR(LEFT($G551,3)="111",LEFT($G551,3)="112",LEFT($G551,3)="113"),"CHI",""))))</f>
        <v/>
      </c>
      <c r="N551" s="117">
        <f>IF($M551="THU",$G551,IF($M551="CHI",$F551,""))</f>
        <v/>
      </c>
      <c r="O551" s="117">
        <f>IF(OR($M551="",$M551="NB"),"",IF($J551&lt;&gt;"",TEXT($J551,"00"),IFERROR(VLOOKUP(LEFT($N551,4),LCTT_MAP!$A$7:$C$66,IF($M551="THU",2,3),FALSE()),IFERROR(VLOOKUP(LEFT($N551,3),LCTT_MAP!$A$7:$C$66,IF($M551="THU",2,3),FALSE()),IFERROR(VLOOKUP(LEFT($N551,2),LCTT_MAP!$A$7:$C$66,IF($M551="THU",2,3),FALSE()),IFERROR(VLOOKUP(LEFT($N551,1),LCTT_MAP!$A$7:$C$66,IF($M551="THU",2,3),FALSE()),IF($M551="THU","06","07")))))))</f>
        <v/>
      </c>
      <c r="P551" s="117">
        <f>P550+IF(AND($H551&lt;&gt;"",OR(LEFT($F551,LEN(SC_TK))=SC_TK,LEFT($G551,LEN(SC_TK))=SC_TK)),1,0)</f>
        <v/>
      </c>
    </row>
    <row r="552" ht="15" customHeight="1" s="78">
      <c r="A552" s="95">
        <f>IF($H552="","",ROW()-6)</f>
        <v/>
      </c>
      <c r="B552" s="114" t="n"/>
      <c r="C552" s="102" t="n"/>
      <c r="D552" s="114" t="n"/>
      <c r="E552" s="103" t="n"/>
      <c r="F552" s="102" t="n"/>
      <c r="G552" s="102" t="n"/>
      <c r="H552" s="115" t="n"/>
      <c r="I552" s="102" t="n"/>
      <c r="J552" s="102" t="n"/>
      <c r="K552" s="103" t="n"/>
      <c r="L552" s="116">
        <f>IF($H552="","",TRIM(IF(COUNTIF(DMTK!$A$7:$A$250,$F552)=0,"TK Nợ sai! ","")&amp;IF(COUNTIF(DMTK!$A$7:$A$250,$G552)=0,"TK Có sai! ","")&amp;IF(N($H552)&lt;=0,"Tiền phải &gt; 0! ","")&amp;IF($B552="","Thiếu ngày! ","")&amp;IF(AND(OR(LEFT($F552,3)="131",LEFT($G552,3)="131",LEFT($F552,3)="331",LEFT($G552,3)="331"),$I552=""),"Thiếu Mã ĐT! ","")&amp;IF(AND($I552&lt;&gt;"",COUNTIF(DM_DT!$A$7:$A$306,$I552)=0),"Mã ĐT chưa khai báo! ","")))</f>
        <v/>
      </c>
      <c r="M552" s="117">
        <f>IF($H552="","",IF(AND(OR(LEFT($F552,3)="111",LEFT($F552,3)="112",LEFT($F552,3)="113"),OR(LEFT($G552,3)="111",LEFT($G552,3)="112",LEFT($G552,3)="113")),"NB",IF(OR(LEFT($F552,3)="111",LEFT($F552,3)="112",LEFT($F552,3)="113"),"THU",IF(OR(LEFT($G552,3)="111",LEFT($G552,3)="112",LEFT($G552,3)="113"),"CHI",""))))</f>
        <v/>
      </c>
      <c r="N552" s="117">
        <f>IF($M552="THU",$G552,IF($M552="CHI",$F552,""))</f>
        <v/>
      </c>
      <c r="O552" s="117">
        <f>IF(OR($M552="",$M552="NB"),"",IF($J552&lt;&gt;"",TEXT($J552,"00"),IFERROR(VLOOKUP(LEFT($N552,4),LCTT_MAP!$A$7:$C$66,IF($M552="THU",2,3),FALSE()),IFERROR(VLOOKUP(LEFT($N552,3),LCTT_MAP!$A$7:$C$66,IF($M552="THU",2,3),FALSE()),IFERROR(VLOOKUP(LEFT($N552,2),LCTT_MAP!$A$7:$C$66,IF($M552="THU",2,3),FALSE()),IFERROR(VLOOKUP(LEFT($N552,1),LCTT_MAP!$A$7:$C$66,IF($M552="THU",2,3),FALSE()),IF($M552="THU","06","07")))))))</f>
        <v/>
      </c>
      <c r="P552" s="117">
        <f>P551+IF(AND($H552&lt;&gt;"",OR(LEFT($F552,LEN(SC_TK))=SC_TK,LEFT($G552,LEN(SC_TK))=SC_TK)),1,0)</f>
        <v/>
      </c>
    </row>
    <row r="553" ht="15" customHeight="1" s="78">
      <c r="A553" s="95">
        <f>IF($H553="","",ROW()-6)</f>
        <v/>
      </c>
      <c r="B553" s="114" t="n"/>
      <c r="C553" s="102" t="n"/>
      <c r="D553" s="114" t="n"/>
      <c r="E553" s="103" t="n"/>
      <c r="F553" s="102" t="n"/>
      <c r="G553" s="102" t="n"/>
      <c r="H553" s="115" t="n"/>
      <c r="I553" s="102" t="n"/>
      <c r="J553" s="102" t="n"/>
      <c r="K553" s="103" t="n"/>
      <c r="L553" s="116">
        <f>IF($H553="","",TRIM(IF(COUNTIF(DMTK!$A$7:$A$250,$F553)=0,"TK Nợ sai! ","")&amp;IF(COUNTIF(DMTK!$A$7:$A$250,$G553)=0,"TK Có sai! ","")&amp;IF(N($H553)&lt;=0,"Tiền phải &gt; 0! ","")&amp;IF($B553="","Thiếu ngày! ","")&amp;IF(AND(OR(LEFT($F553,3)="131",LEFT($G553,3)="131",LEFT($F553,3)="331",LEFT($G553,3)="331"),$I553=""),"Thiếu Mã ĐT! ","")&amp;IF(AND($I553&lt;&gt;"",COUNTIF(DM_DT!$A$7:$A$306,$I553)=0),"Mã ĐT chưa khai báo! ","")))</f>
        <v/>
      </c>
      <c r="M553" s="117">
        <f>IF($H553="","",IF(AND(OR(LEFT($F553,3)="111",LEFT($F553,3)="112",LEFT($F553,3)="113"),OR(LEFT($G553,3)="111",LEFT($G553,3)="112",LEFT($G553,3)="113")),"NB",IF(OR(LEFT($F553,3)="111",LEFT($F553,3)="112",LEFT($F553,3)="113"),"THU",IF(OR(LEFT($G553,3)="111",LEFT($G553,3)="112",LEFT($G553,3)="113"),"CHI",""))))</f>
        <v/>
      </c>
      <c r="N553" s="117">
        <f>IF($M553="THU",$G553,IF($M553="CHI",$F553,""))</f>
        <v/>
      </c>
      <c r="O553" s="117">
        <f>IF(OR($M553="",$M553="NB"),"",IF($J553&lt;&gt;"",TEXT($J553,"00"),IFERROR(VLOOKUP(LEFT($N553,4),LCTT_MAP!$A$7:$C$66,IF($M553="THU",2,3),FALSE()),IFERROR(VLOOKUP(LEFT($N553,3),LCTT_MAP!$A$7:$C$66,IF($M553="THU",2,3),FALSE()),IFERROR(VLOOKUP(LEFT($N553,2),LCTT_MAP!$A$7:$C$66,IF($M553="THU",2,3),FALSE()),IFERROR(VLOOKUP(LEFT($N553,1),LCTT_MAP!$A$7:$C$66,IF($M553="THU",2,3),FALSE()),IF($M553="THU","06","07")))))))</f>
        <v/>
      </c>
      <c r="P553" s="117">
        <f>P552+IF(AND($H553&lt;&gt;"",OR(LEFT($F553,LEN(SC_TK))=SC_TK,LEFT($G553,LEN(SC_TK))=SC_TK)),1,0)</f>
        <v/>
      </c>
    </row>
    <row r="554" ht="15" customHeight="1" s="78">
      <c r="A554" s="95">
        <f>IF($H554="","",ROW()-6)</f>
        <v/>
      </c>
      <c r="B554" s="114" t="n"/>
      <c r="C554" s="102" t="n"/>
      <c r="D554" s="114" t="n"/>
      <c r="E554" s="103" t="n"/>
      <c r="F554" s="102" t="n"/>
      <c r="G554" s="102" t="n"/>
      <c r="H554" s="115" t="n"/>
      <c r="I554" s="102" t="n"/>
      <c r="J554" s="102" t="n"/>
      <c r="K554" s="103" t="n"/>
      <c r="L554" s="116">
        <f>IF($H554="","",TRIM(IF(COUNTIF(DMTK!$A$7:$A$250,$F554)=0,"TK Nợ sai! ","")&amp;IF(COUNTIF(DMTK!$A$7:$A$250,$G554)=0,"TK Có sai! ","")&amp;IF(N($H554)&lt;=0,"Tiền phải &gt; 0! ","")&amp;IF($B554="","Thiếu ngày! ","")&amp;IF(AND(OR(LEFT($F554,3)="131",LEFT($G554,3)="131",LEFT($F554,3)="331",LEFT($G554,3)="331"),$I554=""),"Thiếu Mã ĐT! ","")&amp;IF(AND($I554&lt;&gt;"",COUNTIF(DM_DT!$A$7:$A$306,$I554)=0),"Mã ĐT chưa khai báo! ","")))</f>
        <v/>
      </c>
      <c r="M554" s="117">
        <f>IF($H554="","",IF(AND(OR(LEFT($F554,3)="111",LEFT($F554,3)="112",LEFT($F554,3)="113"),OR(LEFT($G554,3)="111",LEFT($G554,3)="112",LEFT($G554,3)="113")),"NB",IF(OR(LEFT($F554,3)="111",LEFT($F554,3)="112",LEFT($F554,3)="113"),"THU",IF(OR(LEFT($G554,3)="111",LEFT($G554,3)="112",LEFT($G554,3)="113"),"CHI",""))))</f>
        <v/>
      </c>
      <c r="N554" s="117">
        <f>IF($M554="THU",$G554,IF($M554="CHI",$F554,""))</f>
        <v/>
      </c>
      <c r="O554" s="117">
        <f>IF(OR($M554="",$M554="NB"),"",IF($J554&lt;&gt;"",TEXT($J554,"00"),IFERROR(VLOOKUP(LEFT($N554,4),LCTT_MAP!$A$7:$C$66,IF($M554="THU",2,3),FALSE()),IFERROR(VLOOKUP(LEFT($N554,3),LCTT_MAP!$A$7:$C$66,IF($M554="THU",2,3),FALSE()),IFERROR(VLOOKUP(LEFT($N554,2),LCTT_MAP!$A$7:$C$66,IF($M554="THU",2,3),FALSE()),IFERROR(VLOOKUP(LEFT($N554,1),LCTT_MAP!$A$7:$C$66,IF($M554="THU",2,3),FALSE()),IF($M554="THU","06","07")))))))</f>
        <v/>
      </c>
      <c r="P554" s="117">
        <f>P553+IF(AND($H554&lt;&gt;"",OR(LEFT($F554,LEN(SC_TK))=SC_TK,LEFT($G554,LEN(SC_TK))=SC_TK)),1,0)</f>
        <v/>
      </c>
    </row>
    <row r="555" ht="15" customHeight="1" s="78">
      <c r="A555" s="95">
        <f>IF($H555="","",ROW()-6)</f>
        <v/>
      </c>
      <c r="B555" s="114" t="n"/>
      <c r="C555" s="102" t="n"/>
      <c r="D555" s="114" t="n"/>
      <c r="E555" s="103" t="n"/>
      <c r="F555" s="102" t="n"/>
      <c r="G555" s="102" t="n"/>
      <c r="H555" s="115" t="n"/>
      <c r="I555" s="102" t="n"/>
      <c r="J555" s="102" t="n"/>
      <c r="K555" s="103" t="n"/>
      <c r="L555" s="116">
        <f>IF($H555="","",TRIM(IF(COUNTIF(DMTK!$A$7:$A$250,$F555)=0,"TK Nợ sai! ","")&amp;IF(COUNTIF(DMTK!$A$7:$A$250,$G555)=0,"TK Có sai! ","")&amp;IF(N($H555)&lt;=0,"Tiền phải &gt; 0! ","")&amp;IF($B555="","Thiếu ngày! ","")&amp;IF(AND(OR(LEFT($F555,3)="131",LEFT($G555,3)="131",LEFT($F555,3)="331",LEFT($G555,3)="331"),$I555=""),"Thiếu Mã ĐT! ","")&amp;IF(AND($I555&lt;&gt;"",COUNTIF(DM_DT!$A$7:$A$306,$I555)=0),"Mã ĐT chưa khai báo! ","")))</f>
        <v/>
      </c>
      <c r="M555" s="117">
        <f>IF($H555="","",IF(AND(OR(LEFT($F555,3)="111",LEFT($F555,3)="112",LEFT($F555,3)="113"),OR(LEFT($G555,3)="111",LEFT($G555,3)="112",LEFT($G555,3)="113")),"NB",IF(OR(LEFT($F555,3)="111",LEFT($F555,3)="112",LEFT($F555,3)="113"),"THU",IF(OR(LEFT($G555,3)="111",LEFT($G555,3)="112",LEFT($G555,3)="113"),"CHI",""))))</f>
        <v/>
      </c>
      <c r="N555" s="117">
        <f>IF($M555="THU",$G555,IF($M555="CHI",$F555,""))</f>
        <v/>
      </c>
      <c r="O555" s="117">
        <f>IF(OR($M555="",$M555="NB"),"",IF($J555&lt;&gt;"",TEXT($J555,"00"),IFERROR(VLOOKUP(LEFT($N555,4),LCTT_MAP!$A$7:$C$66,IF($M555="THU",2,3),FALSE()),IFERROR(VLOOKUP(LEFT($N555,3),LCTT_MAP!$A$7:$C$66,IF($M555="THU",2,3),FALSE()),IFERROR(VLOOKUP(LEFT($N555,2),LCTT_MAP!$A$7:$C$66,IF($M555="THU",2,3),FALSE()),IFERROR(VLOOKUP(LEFT($N555,1),LCTT_MAP!$A$7:$C$66,IF($M555="THU",2,3),FALSE()),IF($M555="THU","06","07")))))))</f>
        <v/>
      </c>
      <c r="P555" s="117">
        <f>P554+IF(AND($H555&lt;&gt;"",OR(LEFT($F555,LEN(SC_TK))=SC_TK,LEFT($G555,LEN(SC_TK))=SC_TK)),1,0)</f>
        <v/>
      </c>
    </row>
    <row r="556" ht="15" customHeight="1" s="78">
      <c r="A556" s="95">
        <f>IF($H556="","",ROW()-6)</f>
        <v/>
      </c>
      <c r="B556" s="114" t="n"/>
      <c r="C556" s="102" t="n"/>
      <c r="D556" s="114" t="n"/>
      <c r="E556" s="103" t="n"/>
      <c r="F556" s="102" t="n"/>
      <c r="G556" s="102" t="n"/>
      <c r="H556" s="115" t="n"/>
      <c r="I556" s="102" t="n"/>
      <c r="J556" s="102" t="n"/>
      <c r="K556" s="103" t="n"/>
      <c r="L556" s="116">
        <f>IF($H556="","",TRIM(IF(COUNTIF(DMTK!$A$7:$A$250,$F556)=0,"TK Nợ sai! ","")&amp;IF(COUNTIF(DMTK!$A$7:$A$250,$G556)=0,"TK Có sai! ","")&amp;IF(N($H556)&lt;=0,"Tiền phải &gt; 0! ","")&amp;IF($B556="","Thiếu ngày! ","")&amp;IF(AND(OR(LEFT($F556,3)="131",LEFT($G556,3)="131",LEFT($F556,3)="331",LEFT($G556,3)="331"),$I556=""),"Thiếu Mã ĐT! ","")&amp;IF(AND($I556&lt;&gt;"",COUNTIF(DM_DT!$A$7:$A$306,$I556)=0),"Mã ĐT chưa khai báo! ","")))</f>
        <v/>
      </c>
      <c r="M556" s="117">
        <f>IF($H556="","",IF(AND(OR(LEFT($F556,3)="111",LEFT($F556,3)="112",LEFT($F556,3)="113"),OR(LEFT($G556,3)="111",LEFT($G556,3)="112",LEFT($G556,3)="113")),"NB",IF(OR(LEFT($F556,3)="111",LEFT($F556,3)="112",LEFT($F556,3)="113"),"THU",IF(OR(LEFT($G556,3)="111",LEFT($G556,3)="112",LEFT($G556,3)="113"),"CHI",""))))</f>
        <v/>
      </c>
      <c r="N556" s="117">
        <f>IF($M556="THU",$G556,IF($M556="CHI",$F556,""))</f>
        <v/>
      </c>
      <c r="O556" s="117">
        <f>IF(OR($M556="",$M556="NB"),"",IF($J556&lt;&gt;"",TEXT($J556,"00"),IFERROR(VLOOKUP(LEFT($N556,4),LCTT_MAP!$A$7:$C$66,IF($M556="THU",2,3),FALSE()),IFERROR(VLOOKUP(LEFT($N556,3),LCTT_MAP!$A$7:$C$66,IF($M556="THU",2,3),FALSE()),IFERROR(VLOOKUP(LEFT($N556,2),LCTT_MAP!$A$7:$C$66,IF($M556="THU",2,3),FALSE()),IFERROR(VLOOKUP(LEFT($N556,1),LCTT_MAP!$A$7:$C$66,IF($M556="THU",2,3),FALSE()),IF($M556="THU","06","07")))))))</f>
        <v/>
      </c>
      <c r="P556" s="117">
        <f>P555+IF(AND($H556&lt;&gt;"",OR(LEFT($F556,LEN(SC_TK))=SC_TK,LEFT($G556,LEN(SC_TK))=SC_TK)),1,0)</f>
        <v/>
      </c>
    </row>
    <row r="557" ht="15" customHeight="1" s="78">
      <c r="A557" s="95">
        <f>IF($H557="","",ROW()-6)</f>
        <v/>
      </c>
      <c r="B557" s="114" t="n"/>
      <c r="C557" s="102" t="n"/>
      <c r="D557" s="114" t="n"/>
      <c r="E557" s="103" t="n"/>
      <c r="F557" s="102" t="n"/>
      <c r="G557" s="102" t="n"/>
      <c r="H557" s="115" t="n"/>
      <c r="I557" s="102" t="n"/>
      <c r="J557" s="102" t="n"/>
      <c r="K557" s="103" t="n"/>
      <c r="L557" s="116">
        <f>IF($H557="","",TRIM(IF(COUNTIF(DMTK!$A$7:$A$250,$F557)=0,"TK Nợ sai! ","")&amp;IF(COUNTIF(DMTK!$A$7:$A$250,$G557)=0,"TK Có sai! ","")&amp;IF(N($H557)&lt;=0,"Tiền phải &gt; 0! ","")&amp;IF($B557="","Thiếu ngày! ","")&amp;IF(AND(OR(LEFT($F557,3)="131",LEFT($G557,3)="131",LEFT($F557,3)="331",LEFT($G557,3)="331"),$I557=""),"Thiếu Mã ĐT! ","")&amp;IF(AND($I557&lt;&gt;"",COUNTIF(DM_DT!$A$7:$A$306,$I557)=0),"Mã ĐT chưa khai báo! ","")))</f>
        <v/>
      </c>
      <c r="M557" s="117">
        <f>IF($H557="","",IF(AND(OR(LEFT($F557,3)="111",LEFT($F557,3)="112",LEFT($F557,3)="113"),OR(LEFT($G557,3)="111",LEFT($G557,3)="112",LEFT($G557,3)="113")),"NB",IF(OR(LEFT($F557,3)="111",LEFT($F557,3)="112",LEFT($F557,3)="113"),"THU",IF(OR(LEFT($G557,3)="111",LEFT($G557,3)="112",LEFT($G557,3)="113"),"CHI",""))))</f>
        <v/>
      </c>
      <c r="N557" s="117">
        <f>IF($M557="THU",$G557,IF($M557="CHI",$F557,""))</f>
        <v/>
      </c>
      <c r="O557" s="117">
        <f>IF(OR($M557="",$M557="NB"),"",IF($J557&lt;&gt;"",TEXT($J557,"00"),IFERROR(VLOOKUP(LEFT($N557,4),LCTT_MAP!$A$7:$C$66,IF($M557="THU",2,3),FALSE()),IFERROR(VLOOKUP(LEFT($N557,3),LCTT_MAP!$A$7:$C$66,IF($M557="THU",2,3),FALSE()),IFERROR(VLOOKUP(LEFT($N557,2),LCTT_MAP!$A$7:$C$66,IF($M557="THU",2,3),FALSE()),IFERROR(VLOOKUP(LEFT($N557,1),LCTT_MAP!$A$7:$C$66,IF($M557="THU",2,3),FALSE()),IF($M557="THU","06","07")))))))</f>
        <v/>
      </c>
      <c r="P557" s="117">
        <f>P556+IF(AND($H557&lt;&gt;"",OR(LEFT($F557,LEN(SC_TK))=SC_TK,LEFT($G557,LEN(SC_TK))=SC_TK)),1,0)</f>
        <v/>
      </c>
    </row>
    <row r="558" ht="15" customHeight="1" s="78">
      <c r="A558" s="95">
        <f>IF($H558="","",ROW()-6)</f>
        <v/>
      </c>
      <c r="B558" s="114" t="n"/>
      <c r="C558" s="102" t="n"/>
      <c r="D558" s="114" t="n"/>
      <c r="E558" s="103" t="n"/>
      <c r="F558" s="102" t="n"/>
      <c r="G558" s="102" t="n"/>
      <c r="H558" s="115" t="n"/>
      <c r="I558" s="102" t="n"/>
      <c r="J558" s="102" t="n"/>
      <c r="K558" s="103" t="n"/>
      <c r="L558" s="116">
        <f>IF($H558="","",TRIM(IF(COUNTIF(DMTK!$A$7:$A$250,$F558)=0,"TK Nợ sai! ","")&amp;IF(COUNTIF(DMTK!$A$7:$A$250,$G558)=0,"TK Có sai! ","")&amp;IF(N($H558)&lt;=0,"Tiền phải &gt; 0! ","")&amp;IF($B558="","Thiếu ngày! ","")&amp;IF(AND(OR(LEFT($F558,3)="131",LEFT($G558,3)="131",LEFT($F558,3)="331",LEFT($G558,3)="331"),$I558=""),"Thiếu Mã ĐT! ","")&amp;IF(AND($I558&lt;&gt;"",COUNTIF(DM_DT!$A$7:$A$306,$I558)=0),"Mã ĐT chưa khai báo! ","")))</f>
        <v/>
      </c>
      <c r="M558" s="117">
        <f>IF($H558="","",IF(AND(OR(LEFT($F558,3)="111",LEFT($F558,3)="112",LEFT($F558,3)="113"),OR(LEFT($G558,3)="111",LEFT($G558,3)="112",LEFT($G558,3)="113")),"NB",IF(OR(LEFT($F558,3)="111",LEFT($F558,3)="112",LEFT($F558,3)="113"),"THU",IF(OR(LEFT($G558,3)="111",LEFT($G558,3)="112",LEFT($G558,3)="113"),"CHI",""))))</f>
        <v/>
      </c>
      <c r="N558" s="117">
        <f>IF($M558="THU",$G558,IF($M558="CHI",$F558,""))</f>
        <v/>
      </c>
      <c r="O558" s="117">
        <f>IF(OR($M558="",$M558="NB"),"",IF($J558&lt;&gt;"",TEXT($J558,"00"),IFERROR(VLOOKUP(LEFT($N558,4),LCTT_MAP!$A$7:$C$66,IF($M558="THU",2,3),FALSE()),IFERROR(VLOOKUP(LEFT($N558,3),LCTT_MAP!$A$7:$C$66,IF($M558="THU",2,3),FALSE()),IFERROR(VLOOKUP(LEFT($N558,2),LCTT_MAP!$A$7:$C$66,IF($M558="THU",2,3),FALSE()),IFERROR(VLOOKUP(LEFT($N558,1),LCTT_MAP!$A$7:$C$66,IF($M558="THU",2,3),FALSE()),IF($M558="THU","06","07")))))))</f>
        <v/>
      </c>
      <c r="P558" s="117">
        <f>P557+IF(AND($H558&lt;&gt;"",OR(LEFT($F558,LEN(SC_TK))=SC_TK,LEFT($G558,LEN(SC_TK))=SC_TK)),1,0)</f>
        <v/>
      </c>
    </row>
    <row r="559" ht="15" customHeight="1" s="78">
      <c r="A559" s="95">
        <f>IF($H559="","",ROW()-6)</f>
        <v/>
      </c>
      <c r="B559" s="114" t="n"/>
      <c r="C559" s="102" t="n"/>
      <c r="D559" s="114" t="n"/>
      <c r="E559" s="103" t="n"/>
      <c r="F559" s="102" t="n"/>
      <c r="G559" s="102" t="n"/>
      <c r="H559" s="115" t="n"/>
      <c r="I559" s="102" t="n"/>
      <c r="J559" s="102" t="n"/>
      <c r="K559" s="103" t="n"/>
      <c r="L559" s="116">
        <f>IF($H559="","",TRIM(IF(COUNTIF(DMTK!$A$7:$A$250,$F559)=0,"TK Nợ sai! ","")&amp;IF(COUNTIF(DMTK!$A$7:$A$250,$G559)=0,"TK Có sai! ","")&amp;IF(N($H559)&lt;=0,"Tiền phải &gt; 0! ","")&amp;IF($B559="","Thiếu ngày! ","")&amp;IF(AND(OR(LEFT($F559,3)="131",LEFT($G559,3)="131",LEFT($F559,3)="331",LEFT($G559,3)="331"),$I559=""),"Thiếu Mã ĐT! ","")&amp;IF(AND($I559&lt;&gt;"",COUNTIF(DM_DT!$A$7:$A$306,$I559)=0),"Mã ĐT chưa khai báo! ","")))</f>
        <v/>
      </c>
      <c r="M559" s="117">
        <f>IF($H559="","",IF(AND(OR(LEFT($F559,3)="111",LEFT($F559,3)="112",LEFT($F559,3)="113"),OR(LEFT($G559,3)="111",LEFT($G559,3)="112",LEFT($G559,3)="113")),"NB",IF(OR(LEFT($F559,3)="111",LEFT($F559,3)="112",LEFT($F559,3)="113"),"THU",IF(OR(LEFT($G559,3)="111",LEFT($G559,3)="112",LEFT($G559,3)="113"),"CHI",""))))</f>
        <v/>
      </c>
      <c r="N559" s="117">
        <f>IF($M559="THU",$G559,IF($M559="CHI",$F559,""))</f>
        <v/>
      </c>
      <c r="O559" s="117">
        <f>IF(OR($M559="",$M559="NB"),"",IF($J559&lt;&gt;"",TEXT($J559,"00"),IFERROR(VLOOKUP(LEFT($N559,4),LCTT_MAP!$A$7:$C$66,IF($M559="THU",2,3),FALSE()),IFERROR(VLOOKUP(LEFT($N559,3),LCTT_MAP!$A$7:$C$66,IF($M559="THU",2,3),FALSE()),IFERROR(VLOOKUP(LEFT($N559,2),LCTT_MAP!$A$7:$C$66,IF($M559="THU",2,3),FALSE()),IFERROR(VLOOKUP(LEFT($N559,1),LCTT_MAP!$A$7:$C$66,IF($M559="THU",2,3),FALSE()),IF($M559="THU","06","07")))))))</f>
        <v/>
      </c>
      <c r="P559" s="117">
        <f>P558+IF(AND($H559&lt;&gt;"",OR(LEFT($F559,LEN(SC_TK))=SC_TK,LEFT($G559,LEN(SC_TK))=SC_TK)),1,0)</f>
        <v/>
      </c>
    </row>
    <row r="560" ht="15" customHeight="1" s="78">
      <c r="A560" s="95">
        <f>IF($H560="","",ROW()-6)</f>
        <v/>
      </c>
      <c r="B560" s="114" t="n"/>
      <c r="C560" s="102" t="n"/>
      <c r="D560" s="114" t="n"/>
      <c r="E560" s="103" t="n"/>
      <c r="F560" s="102" t="n"/>
      <c r="G560" s="102" t="n"/>
      <c r="H560" s="115" t="n"/>
      <c r="I560" s="102" t="n"/>
      <c r="J560" s="102" t="n"/>
      <c r="K560" s="103" t="n"/>
      <c r="L560" s="116">
        <f>IF($H560="","",TRIM(IF(COUNTIF(DMTK!$A$7:$A$250,$F560)=0,"TK Nợ sai! ","")&amp;IF(COUNTIF(DMTK!$A$7:$A$250,$G560)=0,"TK Có sai! ","")&amp;IF(N($H560)&lt;=0,"Tiền phải &gt; 0! ","")&amp;IF($B560="","Thiếu ngày! ","")&amp;IF(AND(OR(LEFT($F560,3)="131",LEFT($G560,3)="131",LEFT($F560,3)="331",LEFT($G560,3)="331"),$I560=""),"Thiếu Mã ĐT! ","")&amp;IF(AND($I560&lt;&gt;"",COUNTIF(DM_DT!$A$7:$A$306,$I560)=0),"Mã ĐT chưa khai báo! ","")))</f>
        <v/>
      </c>
      <c r="M560" s="117">
        <f>IF($H560="","",IF(AND(OR(LEFT($F560,3)="111",LEFT($F560,3)="112",LEFT($F560,3)="113"),OR(LEFT($G560,3)="111",LEFT($G560,3)="112",LEFT($G560,3)="113")),"NB",IF(OR(LEFT($F560,3)="111",LEFT($F560,3)="112",LEFT($F560,3)="113"),"THU",IF(OR(LEFT($G560,3)="111",LEFT($G560,3)="112",LEFT($G560,3)="113"),"CHI",""))))</f>
        <v/>
      </c>
      <c r="N560" s="117">
        <f>IF($M560="THU",$G560,IF($M560="CHI",$F560,""))</f>
        <v/>
      </c>
      <c r="O560" s="117">
        <f>IF(OR($M560="",$M560="NB"),"",IF($J560&lt;&gt;"",TEXT($J560,"00"),IFERROR(VLOOKUP(LEFT($N560,4),LCTT_MAP!$A$7:$C$66,IF($M560="THU",2,3),FALSE()),IFERROR(VLOOKUP(LEFT($N560,3),LCTT_MAP!$A$7:$C$66,IF($M560="THU",2,3),FALSE()),IFERROR(VLOOKUP(LEFT($N560,2),LCTT_MAP!$A$7:$C$66,IF($M560="THU",2,3),FALSE()),IFERROR(VLOOKUP(LEFT($N560,1),LCTT_MAP!$A$7:$C$66,IF($M560="THU",2,3),FALSE()),IF($M560="THU","06","07")))))))</f>
        <v/>
      </c>
      <c r="P560" s="117">
        <f>P559+IF(AND($H560&lt;&gt;"",OR(LEFT($F560,LEN(SC_TK))=SC_TK,LEFT($G560,LEN(SC_TK))=SC_TK)),1,0)</f>
        <v/>
      </c>
    </row>
    <row r="561" ht="15" customHeight="1" s="78">
      <c r="A561" s="95">
        <f>IF($H561="","",ROW()-6)</f>
        <v/>
      </c>
      <c r="B561" s="114" t="n"/>
      <c r="C561" s="102" t="n"/>
      <c r="D561" s="114" t="n"/>
      <c r="E561" s="103" t="n"/>
      <c r="F561" s="102" t="n"/>
      <c r="G561" s="102" t="n"/>
      <c r="H561" s="115" t="n"/>
      <c r="I561" s="102" t="n"/>
      <c r="J561" s="102" t="n"/>
      <c r="K561" s="103" t="n"/>
      <c r="L561" s="116">
        <f>IF($H561="","",TRIM(IF(COUNTIF(DMTK!$A$7:$A$250,$F561)=0,"TK Nợ sai! ","")&amp;IF(COUNTIF(DMTK!$A$7:$A$250,$G561)=0,"TK Có sai! ","")&amp;IF(N($H561)&lt;=0,"Tiền phải &gt; 0! ","")&amp;IF($B561="","Thiếu ngày! ","")&amp;IF(AND(OR(LEFT($F561,3)="131",LEFT($G561,3)="131",LEFT($F561,3)="331",LEFT($G561,3)="331"),$I561=""),"Thiếu Mã ĐT! ","")&amp;IF(AND($I561&lt;&gt;"",COUNTIF(DM_DT!$A$7:$A$306,$I561)=0),"Mã ĐT chưa khai báo! ","")))</f>
        <v/>
      </c>
      <c r="M561" s="117">
        <f>IF($H561="","",IF(AND(OR(LEFT($F561,3)="111",LEFT($F561,3)="112",LEFT($F561,3)="113"),OR(LEFT($G561,3)="111",LEFT($G561,3)="112",LEFT($G561,3)="113")),"NB",IF(OR(LEFT($F561,3)="111",LEFT($F561,3)="112",LEFT($F561,3)="113"),"THU",IF(OR(LEFT($G561,3)="111",LEFT($G561,3)="112",LEFT($G561,3)="113"),"CHI",""))))</f>
        <v/>
      </c>
      <c r="N561" s="117">
        <f>IF($M561="THU",$G561,IF($M561="CHI",$F561,""))</f>
        <v/>
      </c>
      <c r="O561" s="117">
        <f>IF(OR($M561="",$M561="NB"),"",IF($J561&lt;&gt;"",TEXT($J561,"00"),IFERROR(VLOOKUP(LEFT($N561,4),LCTT_MAP!$A$7:$C$66,IF($M561="THU",2,3),FALSE()),IFERROR(VLOOKUP(LEFT($N561,3),LCTT_MAP!$A$7:$C$66,IF($M561="THU",2,3),FALSE()),IFERROR(VLOOKUP(LEFT($N561,2),LCTT_MAP!$A$7:$C$66,IF($M561="THU",2,3),FALSE()),IFERROR(VLOOKUP(LEFT($N561,1),LCTT_MAP!$A$7:$C$66,IF($M561="THU",2,3),FALSE()),IF($M561="THU","06","07")))))))</f>
        <v/>
      </c>
      <c r="P561" s="117">
        <f>P560+IF(AND($H561&lt;&gt;"",OR(LEFT($F561,LEN(SC_TK))=SC_TK,LEFT($G561,LEN(SC_TK))=SC_TK)),1,0)</f>
        <v/>
      </c>
    </row>
    <row r="562" ht="15" customHeight="1" s="78">
      <c r="A562" s="95">
        <f>IF($H562="","",ROW()-6)</f>
        <v/>
      </c>
      <c r="B562" s="114" t="n"/>
      <c r="C562" s="102" t="n"/>
      <c r="D562" s="114" t="n"/>
      <c r="E562" s="103" t="n"/>
      <c r="F562" s="102" t="n"/>
      <c r="G562" s="102" t="n"/>
      <c r="H562" s="115" t="n"/>
      <c r="I562" s="102" t="n"/>
      <c r="J562" s="102" t="n"/>
      <c r="K562" s="103" t="n"/>
      <c r="L562" s="116">
        <f>IF($H562="","",TRIM(IF(COUNTIF(DMTK!$A$7:$A$250,$F562)=0,"TK Nợ sai! ","")&amp;IF(COUNTIF(DMTK!$A$7:$A$250,$G562)=0,"TK Có sai! ","")&amp;IF(N($H562)&lt;=0,"Tiền phải &gt; 0! ","")&amp;IF($B562="","Thiếu ngày! ","")&amp;IF(AND(OR(LEFT($F562,3)="131",LEFT($G562,3)="131",LEFT($F562,3)="331",LEFT($G562,3)="331"),$I562=""),"Thiếu Mã ĐT! ","")&amp;IF(AND($I562&lt;&gt;"",COUNTIF(DM_DT!$A$7:$A$306,$I562)=0),"Mã ĐT chưa khai báo! ","")))</f>
        <v/>
      </c>
      <c r="M562" s="117">
        <f>IF($H562="","",IF(AND(OR(LEFT($F562,3)="111",LEFT($F562,3)="112",LEFT($F562,3)="113"),OR(LEFT($G562,3)="111",LEFT($G562,3)="112",LEFT($G562,3)="113")),"NB",IF(OR(LEFT($F562,3)="111",LEFT($F562,3)="112",LEFT($F562,3)="113"),"THU",IF(OR(LEFT($G562,3)="111",LEFT($G562,3)="112",LEFT($G562,3)="113"),"CHI",""))))</f>
        <v/>
      </c>
      <c r="N562" s="117">
        <f>IF($M562="THU",$G562,IF($M562="CHI",$F562,""))</f>
        <v/>
      </c>
      <c r="O562" s="117">
        <f>IF(OR($M562="",$M562="NB"),"",IF($J562&lt;&gt;"",TEXT($J562,"00"),IFERROR(VLOOKUP(LEFT($N562,4),LCTT_MAP!$A$7:$C$66,IF($M562="THU",2,3),FALSE()),IFERROR(VLOOKUP(LEFT($N562,3),LCTT_MAP!$A$7:$C$66,IF($M562="THU",2,3),FALSE()),IFERROR(VLOOKUP(LEFT($N562,2),LCTT_MAP!$A$7:$C$66,IF($M562="THU",2,3),FALSE()),IFERROR(VLOOKUP(LEFT($N562,1),LCTT_MAP!$A$7:$C$66,IF($M562="THU",2,3),FALSE()),IF($M562="THU","06","07")))))))</f>
        <v/>
      </c>
      <c r="P562" s="117">
        <f>P561+IF(AND($H562&lt;&gt;"",OR(LEFT($F562,LEN(SC_TK))=SC_TK,LEFT($G562,LEN(SC_TK))=SC_TK)),1,0)</f>
        <v/>
      </c>
    </row>
    <row r="563" ht="15" customHeight="1" s="78">
      <c r="A563" s="95">
        <f>IF($H563="","",ROW()-6)</f>
        <v/>
      </c>
      <c r="B563" s="114" t="n"/>
      <c r="C563" s="102" t="n"/>
      <c r="D563" s="114" t="n"/>
      <c r="E563" s="103" t="n"/>
      <c r="F563" s="102" t="n"/>
      <c r="G563" s="102" t="n"/>
      <c r="H563" s="115" t="n"/>
      <c r="I563" s="102" t="n"/>
      <c r="J563" s="102" t="n"/>
      <c r="K563" s="103" t="n"/>
      <c r="L563" s="116">
        <f>IF($H563="","",TRIM(IF(COUNTIF(DMTK!$A$7:$A$250,$F563)=0,"TK Nợ sai! ","")&amp;IF(COUNTIF(DMTK!$A$7:$A$250,$G563)=0,"TK Có sai! ","")&amp;IF(N($H563)&lt;=0,"Tiền phải &gt; 0! ","")&amp;IF($B563="","Thiếu ngày! ","")&amp;IF(AND(OR(LEFT($F563,3)="131",LEFT($G563,3)="131",LEFT($F563,3)="331",LEFT($G563,3)="331"),$I563=""),"Thiếu Mã ĐT! ","")&amp;IF(AND($I563&lt;&gt;"",COUNTIF(DM_DT!$A$7:$A$306,$I563)=0),"Mã ĐT chưa khai báo! ","")))</f>
        <v/>
      </c>
      <c r="M563" s="117">
        <f>IF($H563="","",IF(AND(OR(LEFT($F563,3)="111",LEFT($F563,3)="112",LEFT($F563,3)="113"),OR(LEFT($G563,3)="111",LEFT($G563,3)="112",LEFT($G563,3)="113")),"NB",IF(OR(LEFT($F563,3)="111",LEFT($F563,3)="112",LEFT($F563,3)="113"),"THU",IF(OR(LEFT($G563,3)="111",LEFT($G563,3)="112",LEFT($G563,3)="113"),"CHI",""))))</f>
        <v/>
      </c>
      <c r="N563" s="117">
        <f>IF($M563="THU",$G563,IF($M563="CHI",$F563,""))</f>
        <v/>
      </c>
      <c r="O563" s="117">
        <f>IF(OR($M563="",$M563="NB"),"",IF($J563&lt;&gt;"",TEXT($J563,"00"),IFERROR(VLOOKUP(LEFT($N563,4),LCTT_MAP!$A$7:$C$66,IF($M563="THU",2,3),FALSE()),IFERROR(VLOOKUP(LEFT($N563,3),LCTT_MAP!$A$7:$C$66,IF($M563="THU",2,3),FALSE()),IFERROR(VLOOKUP(LEFT($N563,2),LCTT_MAP!$A$7:$C$66,IF($M563="THU",2,3),FALSE()),IFERROR(VLOOKUP(LEFT($N563,1),LCTT_MAP!$A$7:$C$66,IF($M563="THU",2,3),FALSE()),IF($M563="THU","06","07")))))))</f>
        <v/>
      </c>
      <c r="P563" s="117">
        <f>P562+IF(AND($H563&lt;&gt;"",OR(LEFT($F563,LEN(SC_TK))=SC_TK,LEFT($G563,LEN(SC_TK))=SC_TK)),1,0)</f>
        <v/>
      </c>
    </row>
    <row r="564" ht="15" customHeight="1" s="78">
      <c r="A564" s="95">
        <f>IF($H564="","",ROW()-6)</f>
        <v/>
      </c>
      <c r="B564" s="114" t="n"/>
      <c r="C564" s="102" t="n"/>
      <c r="D564" s="114" t="n"/>
      <c r="E564" s="103" t="n"/>
      <c r="F564" s="102" t="n"/>
      <c r="G564" s="102" t="n"/>
      <c r="H564" s="115" t="n"/>
      <c r="I564" s="102" t="n"/>
      <c r="J564" s="102" t="n"/>
      <c r="K564" s="103" t="n"/>
      <c r="L564" s="116">
        <f>IF($H564="","",TRIM(IF(COUNTIF(DMTK!$A$7:$A$250,$F564)=0,"TK Nợ sai! ","")&amp;IF(COUNTIF(DMTK!$A$7:$A$250,$G564)=0,"TK Có sai! ","")&amp;IF(N($H564)&lt;=0,"Tiền phải &gt; 0! ","")&amp;IF($B564="","Thiếu ngày! ","")&amp;IF(AND(OR(LEFT($F564,3)="131",LEFT($G564,3)="131",LEFT($F564,3)="331",LEFT($G564,3)="331"),$I564=""),"Thiếu Mã ĐT! ","")&amp;IF(AND($I564&lt;&gt;"",COUNTIF(DM_DT!$A$7:$A$306,$I564)=0),"Mã ĐT chưa khai báo! ","")))</f>
        <v/>
      </c>
      <c r="M564" s="117">
        <f>IF($H564="","",IF(AND(OR(LEFT($F564,3)="111",LEFT($F564,3)="112",LEFT($F564,3)="113"),OR(LEFT($G564,3)="111",LEFT($G564,3)="112",LEFT($G564,3)="113")),"NB",IF(OR(LEFT($F564,3)="111",LEFT($F564,3)="112",LEFT($F564,3)="113"),"THU",IF(OR(LEFT($G564,3)="111",LEFT($G564,3)="112",LEFT($G564,3)="113"),"CHI",""))))</f>
        <v/>
      </c>
      <c r="N564" s="117">
        <f>IF($M564="THU",$G564,IF($M564="CHI",$F564,""))</f>
        <v/>
      </c>
      <c r="O564" s="117">
        <f>IF(OR($M564="",$M564="NB"),"",IF($J564&lt;&gt;"",TEXT($J564,"00"),IFERROR(VLOOKUP(LEFT($N564,4),LCTT_MAP!$A$7:$C$66,IF($M564="THU",2,3),FALSE()),IFERROR(VLOOKUP(LEFT($N564,3),LCTT_MAP!$A$7:$C$66,IF($M564="THU",2,3),FALSE()),IFERROR(VLOOKUP(LEFT($N564,2),LCTT_MAP!$A$7:$C$66,IF($M564="THU",2,3),FALSE()),IFERROR(VLOOKUP(LEFT($N564,1),LCTT_MAP!$A$7:$C$66,IF($M564="THU",2,3),FALSE()),IF($M564="THU","06","07")))))))</f>
        <v/>
      </c>
      <c r="P564" s="117">
        <f>P563+IF(AND($H564&lt;&gt;"",OR(LEFT($F564,LEN(SC_TK))=SC_TK,LEFT($G564,LEN(SC_TK))=SC_TK)),1,0)</f>
        <v/>
      </c>
    </row>
    <row r="565" ht="15" customHeight="1" s="78">
      <c r="A565" s="95">
        <f>IF($H565="","",ROW()-6)</f>
        <v/>
      </c>
      <c r="B565" s="114" t="n"/>
      <c r="C565" s="102" t="n"/>
      <c r="D565" s="114" t="n"/>
      <c r="E565" s="103" t="n"/>
      <c r="F565" s="102" t="n"/>
      <c r="G565" s="102" t="n"/>
      <c r="H565" s="115" t="n"/>
      <c r="I565" s="102" t="n"/>
      <c r="J565" s="102" t="n"/>
      <c r="K565" s="103" t="n"/>
      <c r="L565" s="116">
        <f>IF($H565="","",TRIM(IF(COUNTIF(DMTK!$A$7:$A$250,$F565)=0,"TK Nợ sai! ","")&amp;IF(COUNTIF(DMTK!$A$7:$A$250,$G565)=0,"TK Có sai! ","")&amp;IF(N($H565)&lt;=0,"Tiền phải &gt; 0! ","")&amp;IF($B565="","Thiếu ngày! ","")&amp;IF(AND(OR(LEFT($F565,3)="131",LEFT($G565,3)="131",LEFT($F565,3)="331",LEFT($G565,3)="331"),$I565=""),"Thiếu Mã ĐT! ","")&amp;IF(AND($I565&lt;&gt;"",COUNTIF(DM_DT!$A$7:$A$306,$I565)=0),"Mã ĐT chưa khai báo! ","")))</f>
        <v/>
      </c>
      <c r="M565" s="117">
        <f>IF($H565="","",IF(AND(OR(LEFT($F565,3)="111",LEFT($F565,3)="112",LEFT($F565,3)="113"),OR(LEFT($G565,3)="111",LEFT($G565,3)="112",LEFT($G565,3)="113")),"NB",IF(OR(LEFT($F565,3)="111",LEFT($F565,3)="112",LEFT($F565,3)="113"),"THU",IF(OR(LEFT($G565,3)="111",LEFT($G565,3)="112",LEFT($G565,3)="113"),"CHI",""))))</f>
        <v/>
      </c>
      <c r="N565" s="117">
        <f>IF($M565="THU",$G565,IF($M565="CHI",$F565,""))</f>
        <v/>
      </c>
      <c r="O565" s="117">
        <f>IF(OR($M565="",$M565="NB"),"",IF($J565&lt;&gt;"",TEXT($J565,"00"),IFERROR(VLOOKUP(LEFT($N565,4),LCTT_MAP!$A$7:$C$66,IF($M565="THU",2,3),FALSE()),IFERROR(VLOOKUP(LEFT($N565,3),LCTT_MAP!$A$7:$C$66,IF($M565="THU",2,3),FALSE()),IFERROR(VLOOKUP(LEFT($N565,2),LCTT_MAP!$A$7:$C$66,IF($M565="THU",2,3),FALSE()),IFERROR(VLOOKUP(LEFT($N565,1),LCTT_MAP!$A$7:$C$66,IF($M565="THU",2,3),FALSE()),IF($M565="THU","06","07")))))))</f>
        <v/>
      </c>
      <c r="P565" s="117">
        <f>P564+IF(AND($H565&lt;&gt;"",OR(LEFT($F565,LEN(SC_TK))=SC_TK,LEFT($G565,LEN(SC_TK))=SC_TK)),1,0)</f>
        <v/>
      </c>
    </row>
    <row r="566" ht="15" customHeight="1" s="78">
      <c r="A566" s="95">
        <f>IF($H566="","",ROW()-6)</f>
        <v/>
      </c>
      <c r="B566" s="114" t="n"/>
      <c r="C566" s="102" t="n"/>
      <c r="D566" s="114" t="n"/>
      <c r="E566" s="103" t="n"/>
      <c r="F566" s="102" t="n"/>
      <c r="G566" s="102" t="n"/>
      <c r="H566" s="115" t="n"/>
      <c r="I566" s="102" t="n"/>
      <c r="J566" s="102" t="n"/>
      <c r="K566" s="103" t="n"/>
      <c r="L566" s="116">
        <f>IF($H566="","",TRIM(IF(COUNTIF(DMTK!$A$7:$A$250,$F566)=0,"TK Nợ sai! ","")&amp;IF(COUNTIF(DMTK!$A$7:$A$250,$G566)=0,"TK Có sai! ","")&amp;IF(N($H566)&lt;=0,"Tiền phải &gt; 0! ","")&amp;IF($B566="","Thiếu ngày! ","")&amp;IF(AND(OR(LEFT($F566,3)="131",LEFT($G566,3)="131",LEFT($F566,3)="331",LEFT($G566,3)="331"),$I566=""),"Thiếu Mã ĐT! ","")&amp;IF(AND($I566&lt;&gt;"",COUNTIF(DM_DT!$A$7:$A$306,$I566)=0),"Mã ĐT chưa khai báo! ","")))</f>
        <v/>
      </c>
      <c r="M566" s="117">
        <f>IF($H566="","",IF(AND(OR(LEFT($F566,3)="111",LEFT($F566,3)="112",LEFT($F566,3)="113"),OR(LEFT($G566,3)="111",LEFT($G566,3)="112",LEFT($G566,3)="113")),"NB",IF(OR(LEFT($F566,3)="111",LEFT($F566,3)="112",LEFT($F566,3)="113"),"THU",IF(OR(LEFT($G566,3)="111",LEFT($G566,3)="112",LEFT($G566,3)="113"),"CHI",""))))</f>
        <v/>
      </c>
      <c r="N566" s="117">
        <f>IF($M566="THU",$G566,IF($M566="CHI",$F566,""))</f>
        <v/>
      </c>
      <c r="O566" s="117">
        <f>IF(OR($M566="",$M566="NB"),"",IF($J566&lt;&gt;"",TEXT($J566,"00"),IFERROR(VLOOKUP(LEFT($N566,4),LCTT_MAP!$A$7:$C$66,IF($M566="THU",2,3),FALSE()),IFERROR(VLOOKUP(LEFT($N566,3),LCTT_MAP!$A$7:$C$66,IF($M566="THU",2,3),FALSE()),IFERROR(VLOOKUP(LEFT($N566,2),LCTT_MAP!$A$7:$C$66,IF($M566="THU",2,3),FALSE()),IFERROR(VLOOKUP(LEFT($N566,1),LCTT_MAP!$A$7:$C$66,IF($M566="THU",2,3),FALSE()),IF($M566="THU","06","07")))))))</f>
        <v/>
      </c>
      <c r="P566" s="117">
        <f>P565+IF(AND($H566&lt;&gt;"",OR(LEFT($F566,LEN(SC_TK))=SC_TK,LEFT($G566,LEN(SC_TK))=SC_TK)),1,0)</f>
        <v/>
      </c>
    </row>
    <row r="567" ht="15" customHeight="1" s="78">
      <c r="A567" s="95">
        <f>IF($H567="","",ROW()-6)</f>
        <v/>
      </c>
      <c r="B567" s="114" t="n"/>
      <c r="C567" s="102" t="n"/>
      <c r="D567" s="114" t="n"/>
      <c r="E567" s="103" t="n"/>
      <c r="F567" s="102" t="n"/>
      <c r="G567" s="102" t="n"/>
      <c r="H567" s="115" t="n"/>
      <c r="I567" s="102" t="n"/>
      <c r="J567" s="102" t="n"/>
      <c r="K567" s="103" t="n"/>
      <c r="L567" s="116">
        <f>IF($H567="","",TRIM(IF(COUNTIF(DMTK!$A$7:$A$250,$F567)=0,"TK Nợ sai! ","")&amp;IF(COUNTIF(DMTK!$A$7:$A$250,$G567)=0,"TK Có sai! ","")&amp;IF(N($H567)&lt;=0,"Tiền phải &gt; 0! ","")&amp;IF($B567="","Thiếu ngày! ","")&amp;IF(AND(OR(LEFT($F567,3)="131",LEFT($G567,3)="131",LEFT($F567,3)="331",LEFT($G567,3)="331"),$I567=""),"Thiếu Mã ĐT! ","")&amp;IF(AND($I567&lt;&gt;"",COUNTIF(DM_DT!$A$7:$A$306,$I567)=0),"Mã ĐT chưa khai báo! ","")))</f>
        <v/>
      </c>
      <c r="M567" s="117">
        <f>IF($H567="","",IF(AND(OR(LEFT($F567,3)="111",LEFT($F567,3)="112",LEFT($F567,3)="113"),OR(LEFT($G567,3)="111",LEFT($G567,3)="112",LEFT($G567,3)="113")),"NB",IF(OR(LEFT($F567,3)="111",LEFT($F567,3)="112",LEFT($F567,3)="113"),"THU",IF(OR(LEFT($G567,3)="111",LEFT($G567,3)="112",LEFT($G567,3)="113"),"CHI",""))))</f>
        <v/>
      </c>
      <c r="N567" s="117">
        <f>IF($M567="THU",$G567,IF($M567="CHI",$F567,""))</f>
        <v/>
      </c>
      <c r="O567" s="117">
        <f>IF(OR($M567="",$M567="NB"),"",IF($J567&lt;&gt;"",TEXT($J567,"00"),IFERROR(VLOOKUP(LEFT($N567,4),LCTT_MAP!$A$7:$C$66,IF($M567="THU",2,3),FALSE()),IFERROR(VLOOKUP(LEFT($N567,3),LCTT_MAP!$A$7:$C$66,IF($M567="THU",2,3),FALSE()),IFERROR(VLOOKUP(LEFT($N567,2),LCTT_MAP!$A$7:$C$66,IF($M567="THU",2,3),FALSE()),IFERROR(VLOOKUP(LEFT($N567,1),LCTT_MAP!$A$7:$C$66,IF($M567="THU",2,3),FALSE()),IF($M567="THU","06","07")))))))</f>
        <v/>
      </c>
      <c r="P567" s="117">
        <f>P566+IF(AND($H567&lt;&gt;"",OR(LEFT($F567,LEN(SC_TK))=SC_TK,LEFT($G567,LEN(SC_TK))=SC_TK)),1,0)</f>
        <v/>
      </c>
    </row>
    <row r="568" ht="15" customHeight="1" s="78">
      <c r="A568" s="95">
        <f>IF($H568="","",ROW()-6)</f>
        <v/>
      </c>
      <c r="B568" s="114" t="n"/>
      <c r="C568" s="102" t="n"/>
      <c r="D568" s="114" t="n"/>
      <c r="E568" s="103" t="n"/>
      <c r="F568" s="102" t="n"/>
      <c r="G568" s="102" t="n"/>
      <c r="H568" s="115" t="n"/>
      <c r="I568" s="102" t="n"/>
      <c r="J568" s="102" t="n"/>
      <c r="K568" s="103" t="n"/>
      <c r="L568" s="116">
        <f>IF($H568="","",TRIM(IF(COUNTIF(DMTK!$A$7:$A$250,$F568)=0,"TK Nợ sai! ","")&amp;IF(COUNTIF(DMTK!$A$7:$A$250,$G568)=0,"TK Có sai! ","")&amp;IF(N($H568)&lt;=0,"Tiền phải &gt; 0! ","")&amp;IF($B568="","Thiếu ngày! ","")&amp;IF(AND(OR(LEFT($F568,3)="131",LEFT($G568,3)="131",LEFT($F568,3)="331",LEFT($G568,3)="331"),$I568=""),"Thiếu Mã ĐT! ","")&amp;IF(AND($I568&lt;&gt;"",COUNTIF(DM_DT!$A$7:$A$306,$I568)=0),"Mã ĐT chưa khai báo! ","")))</f>
        <v/>
      </c>
      <c r="M568" s="117">
        <f>IF($H568="","",IF(AND(OR(LEFT($F568,3)="111",LEFT($F568,3)="112",LEFT($F568,3)="113"),OR(LEFT($G568,3)="111",LEFT($G568,3)="112",LEFT($G568,3)="113")),"NB",IF(OR(LEFT($F568,3)="111",LEFT($F568,3)="112",LEFT($F568,3)="113"),"THU",IF(OR(LEFT($G568,3)="111",LEFT($G568,3)="112",LEFT($G568,3)="113"),"CHI",""))))</f>
        <v/>
      </c>
      <c r="N568" s="117">
        <f>IF($M568="THU",$G568,IF($M568="CHI",$F568,""))</f>
        <v/>
      </c>
      <c r="O568" s="117">
        <f>IF(OR($M568="",$M568="NB"),"",IF($J568&lt;&gt;"",TEXT($J568,"00"),IFERROR(VLOOKUP(LEFT($N568,4),LCTT_MAP!$A$7:$C$66,IF($M568="THU",2,3),FALSE()),IFERROR(VLOOKUP(LEFT($N568,3),LCTT_MAP!$A$7:$C$66,IF($M568="THU",2,3),FALSE()),IFERROR(VLOOKUP(LEFT($N568,2),LCTT_MAP!$A$7:$C$66,IF($M568="THU",2,3),FALSE()),IFERROR(VLOOKUP(LEFT($N568,1),LCTT_MAP!$A$7:$C$66,IF($M568="THU",2,3),FALSE()),IF($M568="THU","06","07")))))))</f>
        <v/>
      </c>
      <c r="P568" s="117">
        <f>P567+IF(AND($H568&lt;&gt;"",OR(LEFT($F568,LEN(SC_TK))=SC_TK,LEFT($G568,LEN(SC_TK))=SC_TK)),1,0)</f>
        <v/>
      </c>
    </row>
    <row r="569" ht="15" customHeight="1" s="78">
      <c r="A569" s="95">
        <f>IF($H569="","",ROW()-6)</f>
        <v/>
      </c>
      <c r="B569" s="114" t="n"/>
      <c r="C569" s="102" t="n"/>
      <c r="D569" s="114" t="n"/>
      <c r="E569" s="103" t="n"/>
      <c r="F569" s="102" t="n"/>
      <c r="G569" s="102" t="n"/>
      <c r="H569" s="115" t="n"/>
      <c r="I569" s="102" t="n"/>
      <c r="J569" s="102" t="n"/>
      <c r="K569" s="103" t="n"/>
      <c r="L569" s="116">
        <f>IF($H569="","",TRIM(IF(COUNTIF(DMTK!$A$7:$A$250,$F569)=0,"TK Nợ sai! ","")&amp;IF(COUNTIF(DMTK!$A$7:$A$250,$G569)=0,"TK Có sai! ","")&amp;IF(N($H569)&lt;=0,"Tiền phải &gt; 0! ","")&amp;IF($B569="","Thiếu ngày! ","")&amp;IF(AND(OR(LEFT($F569,3)="131",LEFT($G569,3)="131",LEFT($F569,3)="331",LEFT($G569,3)="331"),$I569=""),"Thiếu Mã ĐT! ","")&amp;IF(AND($I569&lt;&gt;"",COUNTIF(DM_DT!$A$7:$A$306,$I569)=0),"Mã ĐT chưa khai báo! ","")))</f>
        <v/>
      </c>
      <c r="M569" s="117">
        <f>IF($H569="","",IF(AND(OR(LEFT($F569,3)="111",LEFT($F569,3)="112",LEFT($F569,3)="113"),OR(LEFT($G569,3)="111",LEFT($G569,3)="112",LEFT($G569,3)="113")),"NB",IF(OR(LEFT($F569,3)="111",LEFT($F569,3)="112",LEFT($F569,3)="113"),"THU",IF(OR(LEFT($G569,3)="111",LEFT($G569,3)="112",LEFT($G569,3)="113"),"CHI",""))))</f>
        <v/>
      </c>
      <c r="N569" s="117">
        <f>IF($M569="THU",$G569,IF($M569="CHI",$F569,""))</f>
        <v/>
      </c>
      <c r="O569" s="117">
        <f>IF(OR($M569="",$M569="NB"),"",IF($J569&lt;&gt;"",TEXT($J569,"00"),IFERROR(VLOOKUP(LEFT($N569,4),LCTT_MAP!$A$7:$C$66,IF($M569="THU",2,3),FALSE()),IFERROR(VLOOKUP(LEFT($N569,3),LCTT_MAP!$A$7:$C$66,IF($M569="THU",2,3),FALSE()),IFERROR(VLOOKUP(LEFT($N569,2),LCTT_MAP!$A$7:$C$66,IF($M569="THU",2,3),FALSE()),IFERROR(VLOOKUP(LEFT($N569,1),LCTT_MAP!$A$7:$C$66,IF($M569="THU",2,3),FALSE()),IF($M569="THU","06","07")))))))</f>
        <v/>
      </c>
      <c r="P569" s="117">
        <f>P568+IF(AND($H569&lt;&gt;"",OR(LEFT($F569,LEN(SC_TK))=SC_TK,LEFT($G569,LEN(SC_TK))=SC_TK)),1,0)</f>
        <v/>
      </c>
    </row>
    <row r="570" ht="15" customHeight="1" s="78">
      <c r="A570" s="95">
        <f>IF($H570="","",ROW()-6)</f>
        <v/>
      </c>
      <c r="B570" s="114" t="n"/>
      <c r="C570" s="102" t="n"/>
      <c r="D570" s="114" t="n"/>
      <c r="E570" s="103" t="n"/>
      <c r="F570" s="102" t="n"/>
      <c r="G570" s="102" t="n"/>
      <c r="H570" s="115" t="n"/>
      <c r="I570" s="102" t="n"/>
      <c r="J570" s="102" t="n"/>
      <c r="K570" s="103" t="n"/>
      <c r="L570" s="116">
        <f>IF($H570="","",TRIM(IF(COUNTIF(DMTK!$A$7:$A$250,$F570)=0,"TK Nợ sai! ","")&amp;IF(COUNTIF(DMTK!$A$7:$A$250,$G570)=0,"TK Có sai! ","")&amp;IF(N($H570)&lt;=0,"Tiền phải &gt; 0! ","")&amp;IF($B570="","Thiếu ngày! ","")&amp;IF(AND(OR(LEFT($F570,3)="131",LEFT($G570,3)="131",LEFT($F570,3)="331",LEFT($G570,3)="331"),$I570=""),"Thiếu Mã ĐT! ","")&amp;IF(AND($I570&lt;&gt;"",COUNTIF(DM_DT!$A$7:$A$306,$I570)=0),"Mã ĐT chưa khai báo! ","")))</f>
        <v/>
      </c>
      <c r="M570" s="117">
        <f>IF($H570="","",IF(AND(OR(LEFT($F570,3)="111",LEFT($F570,3)="112",LEFT($F570,3)="113"),OR(LEFT($G570,3)="111",LEFT($G570,3)="112",LEFT($G570,3)="113")),"NB",IF(OR(LEFT($F570,3)="111",LEFT($F570,3)="112",LEFT($F570,3)="113"),"THU",IF(OR(LEFT($G570,3)="111",LEFT($G570,3)="112",LEFT($G570,3)="113"),"CHI",""))))</f>
        <v/>
      </c>
      <c r="N570" s="117">
        <f>IF($M570="THU",$G570,IF($M570="CHI",$F570,""))</f>
        <v/>
      </c>
      <c r="O570" s="117">
        <f>IF(OR($M570="",$M570="NB"),"",IF($J570&lt;&gt;"",TEXT($J570,"00"),IFERROR(VLOOKUP(LEFT($N570,4),LCTT_MAP!$A$7:$C$66,IF($M570="THU",2,3),FALSE()),IFERROR(VLOOKUP(LEFT($N570,3),LCTT_MAP!$A$7:$C$66,IF($M570="THU",2,3),FALSE()),IFERROR(VLOOKUP(LEFT($N570,2),LCTT_MAP!$A$7:$C$66,IF($M570="THU",2,3),FALSE()),IFERROR(VLOOKUP(LEFT($N570,1),LCTT_MAP!$A$7:$C$66,IF($M570="THU",2,3),FALSE()),IF($M570="THU","06","07")))))))</f>
        <v/>
      </c>
      <c r="P570" s="117">
        <f>P569+IF(AND($H570&lt;&gt;"",OR(LEFT($F570,LEN(SC_TK))=SC_TK,LEFT($G570,LEN(SC_TK))=SC_TK)),1,0)</f>
        <v/>
      </c>
    </row>
    <row r="571" ht="15" customHeight="1" s="78">
      <c r="A571" s="95">
        <f>IF($H571="","",ROW()-6)</f>
        <v/>
      </c>
      <c r="B571" s="114" t="n"/>
      <c r="C571" s="102" t="n"/>
      <c r="D571" s="114" t="n"/>
      <c r="E571" s="103" t="n"/>
      <c r="F571" s="102" t="n"/>
      <c r="G571" s="102" t="n"/>
      <c r="H571" s="115" t="n"/>
      <c r="I571" s="102" t="n"/>
      <c r="J571" s="102" t="n"/>
      <c r="K571" s="103" t="n"/>
      <c r="L571" s="116">
        <f>IF($H571="","",TRIM(IF(COUNTIF(DMTK!$A$7:$A$250,$F571)=0,"TK Nợ sai! ","")&amp;IF(COUNTIF(DMTK!$A$7:$A$250,$G571)=0,"TK Có sai! ","")&amp;IF(N($H571)&lt;=0,"Tiền phải &gt; 0! ","")&amp;IF($B571="","Thiếu ngày! ","")&amp;IF(AND(OR(LEFT($F571,3)="131",LEFT($G571,3)="131",LEFT($F571,3)="331",LEFT($G571,3)="331"),$I571=""),"Thiếu Mã ĐT! ","")&amp;IF(AND($I571&lt;&gt;"",COUNTIF(DM_DT!$A$7:$A$306,$I571)=0),"Mã ĐT chưa khai báo! ","")))</f>
        <v/>
      </c>
      <c r="M571" s="117">
        <f>IF($H571="","",IF(AND(OR(LEFT($F571,3)="111",LEFT($F571,3)="112",LEFT($F571,3)="113"),OR(LEFT($G571,3)="111",LEFT($G571,3)="112",LEFT($G571,3)="113")),"NB",IF(OR(LEFT($F571,3)="111",LEFT($F571,3)="112",LEFT($F571,3)="113"),"THU",IF(OR(LEFT($G571,3)="111",LEFT($G571,3)="112",LEFT($G571,3)="113"),"CHI",""))))</f>
        <v/>
      </c>
      <c r="N571" s="117">
        <f>IF($M571="THU",$G571,IF($M571="CHI",$F571,""))</f>
        <v/>
      </c>
      <c r="O571" s="117">
        <f>IF(OR($M571="",$M571="NB"),"",IF($J571&lt;&gt;"",TEXT($J571,"00"),IFERROR(VLOOKUP(LEFT($N571,4),LCTT_MAP!$A$7:$C$66,IF($M571="THU",2,3),FALSE()),IFERROR(VLOOKUP(LEFT($N571,3),LCTT_MAP!$A$7:$C$66,IF($M571="THU",2,3),FALSE()),IFERROR(VLOOKUP(LEFT($N571,2),LCTT_MAP!$A$7:$C$66,IF($M571="THU",2,3),FALSE()),IFERROR(VLOOKUP(LEFT($N571,1),LCTT_MAP!$A$7:$C$66,IF($M571="THU",2,3),FALSE()),IF($M571="THU","06","07")))))))</f>
        <v/>
      </c>
      <c r="P571" s="117">
        <f>P570+IF(AND($H571&lt;&gt;"",OR(LEFT($F571,LEN(SC_TK))=SC_TK,LEFT($G571,LEN(SC_TK))=SC_TK)),1,0)</f>
        <v/>
      </c>
    </row>
    <row r="572" ht="15" customHeight="1" s="78">
      <c r="A572" s="95">
        <f>IF($H572="","",ROW()-6)</f>
        <v/>
      </c>
      <c r="B572" s="114" t="n"/>
      <c r="C572" s="102" t="n"/>
      <c r="D572" s="114" t="n"/>
      <c r="E572" s="103" t="n"/>
      <c r="F572" s="102" t="n"/>
      <c r="G572" s="102" t="n"/>
      <c r="H572" s="115" t="n"/>
      <c r="I572" s="102" t="n"/>
      <c r="J572" s="102" t="n"/>
      <c r="K572" s="103" t="n"/>
      <c r="L572" s="116">
        <f>IF($H572="","",TRIM(IF(COUNTIF(DMTK!$A$7:$A$250,$F572)=0,"TK Nợ sai! ","")&amp;IF(COUNTIF(DMTK!$A$7:$A$250,$G572)=0,"TK Có sai! ","")&amp;IF(N($H572)&lt;=0,"Tiền phải &gt; 0! ","")&amp;IF($B572="","Thiếu ngày! ","")&amp;IF(AND(OR(LEFT($F572,3)="131",LEFT($G572,3)="131",LEFT($F572,3)="331",LEFT($G572,3)="331"),$I572=""),"Thiếu Mã ĐT! ","")&amp;IF(AND($I572&lt;&gt;"",COUNTIF(DM_DT!$A$7:$A$306,$I572)=0),"Mã ĐT chưa khai báo! ","")))</f>
        <v/>
      </c>
      <c r="M572" s="117">
        <f>IF($H572="","",IF(AND(OR(LEFT($F572,3)="111",LEFT($F572,3)="112",LEFT($F572,3)="113"),OR(LEFT($G572,3)="111",LEFT($G572,3)="112",LEFT($G572,3)="113")),"NB",IF(OR(LEFT($F572,3)="111",LEFT($F572,3)="112",LEFT($F572,3)="113"),"THU",IF(OR(LEFT($G572,3)="111",LEFT($G572,3)="112",LEFT($G572,3)="113"),"CHI",""))))</f>
        <v/>
      </c>
      <c r="N572" s="117">
        <f>IF($M572="THU",$G572,IF($M572="CHI",$F572,""))</f>
        <v/>
      </c>
      <c r="O572" s="117">
        <f>IF(OR($M572="",$M572="NB"),"",IF($J572&lt;&gt;"",TEXT($J572,"00"),IFERROR(VLOOKUP(LEFT($N572,4),LCTT_MAP!$A$7:$C$66,IF($M572="THU",2,3),FALSE()),IFERROR(VLOOKUP(LEFT($N572,3),LCTT_MAP!$A$7:$C$66,IF($M572="THU",2,3),FALSE()),IFERROR(VLOOKUP(LEFT($N572,2),LCTT_MAP!$A$7:$C$66,IF($M572="THU",2,3),FALSE()),IFERROR(VLOOKUP(LEFT($N572,1),LCTT_MAP!$A$7:$C$66,IF($M572="THU",2,3),FALSE()),IF($M572="THU","06","07")))))))</f>
        <v/>
      </c>
      <c r="P572" s="117">
        <f>P571+IF(AND($H572&lt;&gt;"",OR(LEFT($F572,LEN(SC_TK))=SC_TK,LEFT($G572,LEN(SC_TK))=SC_TK)),1,0)</f>
        <v/>
      </c>
    </row>
    <row r="573" ht="15" customHeight="1" s="78">
      <c r="A573" s="95">
        <f>IF($H573="","",ROW()-6)</f>
        <v/>
      </c>
      <c r="B573" s="114" t="n"/>
      <c r="C573" s="102" t="n"/>
      <c r="D573" s="114" t="n"/>
      <c r="E573" s="103" t="n"/>
      <c r="F573" s="102" t="n"/>
      <c r="G573" s="102" t="n"/>
      <c r="H573" s="115" t="n"/>
      <c r="I573" s="102" t="n"/>
      <c r="J573" s="102" t="n"/>
      <c r="K573" s="103" t="n"/>
      <c r="L573" s="116">
        <f>IF($H573="","",TRIM(IF(COUNTIF(DMTK!$A$7:$A$250,$F573)=0,"TK Nợ sai! ","")&amp;IF(COUNTIF(DMTK!$A$7:$A$250,$G573)=0,"TK Có sai! ","")&amp;IF(N($H573)&lt;=0,"Tiền phải &gt; 0! ","")&amp;IF($B573="","Thiếu ngày! ","")&amp;IF(AND(OR(LEFT($F573,3)="131",LEFT($G573,3)="131",LEFT($F573,3)="331",LEFT($G573,3)="331"),$I573=""),"Thiếu Mã ĐT! ","")&amp;IF(AND($I573&lt;&gt;"",COUNTIF(DM_DT!$A$7:$A$306,$I573)=0),"Mã ĐT chưa khai báo! ","")))</f>
        <v/>
      </c>
      <c r="M573" s="117">
        <f>IF($H573="","",IF(AND(OR(LEFT($F573,3)="111",LEFT($F573,3)="112",LEFT($F573,3)="113"),OR(LEFT($G573,3)="111",LEFT($G573,3)="112",LEFT($G573,3)="113")),"NB",IF(OR(LEFT($F573,3)="111",LEFT($F573,3)="112",LEFT($F573,3)="113"),"THU",IF(OR(LEFT($G573,3)="111",LEFT($G573,3)="112",LEFT($G573,3)="113"),"CHI",""))))</f>
        <v/>
      </c>
      <c r="N573" s="117">
        <f>IF($M573="THU",$G573,IF($M573="CHI",$F573,""))</f>
        <v/>
      </c>
      <c r="O573" s="117">
        <f>IF(OR($M573="",$M573="NB"),"",IF($J573&lt;&gt;"",TEXT($J573,"00"),IFERROR(VLOOKUP(LEFT($N573,4),LCTT_MAP!$A$7:$C$66,IF($M573="THU",2,3),FALSE()),IFERROR(VLOOKUP(LEFT($N573,3),LCTT_MAP!$A$7:$C$66,IF($M573="THU",2,3),FALSE()),IFERROR(VLOOKUP(LEFT($N573,2),LCTT_MAP!$A$7:$C$66,IF($M573="THU",2,3),FALSE()),IFERROR(VLOOKUP(LEFT($N573,1),LCTT_MAP!$A$7:$C$66,IF($M573="THU",2,3),FALSE()),IF($M573="THU","06","07")))))))</f>
        <v/>
      </c>
      <c r="P573" s="117">
        <f>P572+IF(AND($H573&lt;&gt;"",OR(LEFT($F573,LEN(SC_TK))=SC_TK,LEFT($G573,LEN(SC_TK))=SC_TK)),1,0)</f>
        <v/>
      </c>
    </row>
    <row r="574" ht="15" customHeight="1" s="78">
      <c r="A574" s="95">
        <f>IF($H574="","",ROW()-6)</f>
        <v/>
      </c>
      <c r="B574" s="114" t="n"/>
      <c r="C574" s="102" t="n"/>
      <c r="D574" s="114" t="n"/>
      <c r="E574" s="103" t="n"/>
      <c r="F574" s="102" t="n"/>
      <c r="G574" s="102" t="n"/>
      <c r="H574" s="115" t="n"/>
      <c r="I574" s="102" t="n"/>
      <c r="J574" s="102" t="n"/>
      <c r="K574" s="103" t="n"/>
      <c r="L574" s="116">
        <f>IF($H574="","",TRIM(IF(COUNTIF(DMTK!$A$7:$A$250,$F574)=0,"TK Nợ sai! ","")&amp;IF(COUNTIF(DMTK!$A$7:$A$250,$G574)=0,"TK Có sai! ","")&amp;IF(N($H574)&lt;=0,"Tiền phải &gt; 0! ","")&amp;IF($B574="","Thiếu ngày! ","")&amp;IF(AND(OR(LEFT($F574,3)="131",LEFT($G574,3)="131",LEFT($F574,3)="331",LEFT($G574,3)="331"),$I574=""),"Thiếu Mã ĐT! ","")&amp;IF(AND($I574&lt;&gt;"",COUNTIF(DM_DT!$A$7:$A$306,$I574)=0),"Mã ĐT chưa khai báo! ","")))</f>
        <v/>
      </c>
      <c r="M574" s="117">
        <f>IF($H574="","",IF(AND(OR(LEFT($F574,3)="111",LEFT($F574,3)="112",LEFT($F574,3)="113"),OR(LEFT($G574,3)="111",LEFT($G574,3)="112",LEFT($G574,3)="113")),"NB",IF(OR(LEFT($F574,3)="111",LEFT($F574,3)="112",LEFT($F574,3)="113"),"THU",IF(OR(LEFT($G574,3)="111",LEFT($G574,3)="112",LEFT($G574,3)="113"),"CHI",""))))</f>
        <v/>
      </c>
      <c r="N574" s="117">
        <f>IF($M574="THU",$G574,IF($M574="CHI",$F574,""))</f>
        <v/>
      </c>
      <c r="O574" s="117">
        <f>IF(OR($M574="",$M574="NB"),"",IF($J574&lt;&gt;"",TEXT($J574,"00"),IFERROR(VLOOKUP(LEFT($N574,4),LCTT_MAP!$A$7:$C$66,IF($M574="THU",2,3),FALSE()),IFERROR(VLOOKUP(LEFT($N574,3),LCTT_MAP!$A$7:$C$66,IF($M574="THU",2,3),FALSE()),IFERROR(VLOOKUP(LEFT($N574,2),LCTT_MAP!$A$7:$C$66,IF($M574="THU",2,3),FALSE()),IFERROR(VLOOKUP(LEFT($N574,1),LCTT_MAP!$A$7:$C$66,IF($M574="THU",2,3),FALSE()),IF($M574="THU","06","07")))))))</f>
        <v/>
      </c>
      <c r="P574" s="117">
        <f>P573+IF(AND($H574&lt;&gt;"",OR(LEFT($F574,LEN(SC_TK))=SC_TK,LEFT($G574,LEN(SC_TK))=SC_TK)),1,0)</f>
        <v/>
      </c>
    </row>
    <row r="575" ht="15" customHeight="1" s="78">
      <c r="A575" s="95">
        <f>IF($H575="","",ROW()-6)</f>
        <v/>
      </c>
      <c r="B575" s="114" t="n"/>
      <c r="C575" s="102" t="n"/>
      <c r="D575" s="114" t="n"/>
      <c r="E575" s="103" t="n"/>
      <c r="F575" s="102" t="n"/>
      <c r="G575" s="102" t="n"/>
      <c r="H575" s="115" t="n"/>
      <c r="I575" s="102" t="n"/>
      <c r="J575" s="102" t="n"/>
      <c r="K575" s="103" t="n"/>
      <c r="L575" s="116">
        <f>IF($H575="","",TRIM(IF(COUNTIF(DMTK!$A$7:$A$250,$F575)=0,"TK Nợ sai! ","")&amp;IF(COUNTIF(DMTK!$A$7:$A$250,$G575)=0,"TK Có sai! ","")&amp;IF(N($H575)&lt;=0,"Tiền phải &gt; 0! ","")&amp;IF($B575="","Thiếu ngày! ","")&amp;IF(AND(OR(LEFT($F575,3)="131",LEFT($G575,3)="131",LEFT($F575,3)="331",LEFT($G575,3)="331"),$I575=""),"Thiếu Mã ĐT! ","")&amp;IF(AND($I575&lt;&gt;"",COUNTIF(DM_DT!$A$7:$A$306,$I575)=0),"Mã ĐT chưa khai báo! ","")))</f>
        <v/>
      </c>
      <c r="M575" s="117">
        <f>IF($H575="","",IF(AND(OR(LEFT($F575,3)="111",LEFT($F575,3)="112",LEFT($F575,3)="113"),OR(LEFT($G575,3)="111",LEFT($G575,3)="112",LEFT($G575,3)="113")),"NB",IF(OR(LEFT($F575,3)="111",LEFT($F575,3)="112",LEFT($F575,3)="113"),"THU",IF(OR(LEFT($G575,3)="111",LEFT($G575,3)="112",LEFT($G575,3)="113"),"CHI",""))))</f>
        <v/>
      </c>
      <c r="N575" s="117">
        <f>IF($M575="THU",$G575,IF($M575="CHI",$F575,""))</f>
        <v/>
      </c>
      <c r="O575" s="117">
        <f>IF(OR($M575="",$M575="NB"),"",IF($J575&lt;&gt;"",TEXT($J575,"00"),IFERROR(VLOOKUP(LEFT($N575,4),LCTT_MAP!$A$7:$C$66,IF($M575="THU",2,3),FALSE()),IFERROR(VLOOKUP(LEFT($N575,3),LCTT_MAP!$A$7:$C$66,IF($M575="THU",2,3),FALSE()),IFERROR(VLOOKUP(LEFT($N575,2),LCTT_MAP!$A$7:$C$66,IF($M575="THU",2,3),FALSE()),IFERROR(VLOOKUP(LEFT($N575,1),LCTT_MAP!$A$7:$C$66,IF($M575="THU",2,3),FALSE()),IF($M575="THU","06","07")))))))</f>
        <v/>
      </c>
      <c r="P575" s="117">
        <f>P574+IF(AND($H575&lt;&gt;"",OR(LEFT($F575,LEN(SC_TK))=SC_TK,LEFT($G575,LEN(SC_TK))=SC_TK)),1,0)</f>
        <v/>
      </c>
    </row>
    <row r="576" ht="15" customHeight="1" s="78">
      <c r="A576" s="95">
        <f>IF($H576="","",ROW()-6)</f>
        <v/>
      </c>
      <c r="B576" s="114" t="n"/>
      <c r="C576" s="102" t="n"/>
      <c r="D576" s="114" t="n"/>
      <c r="E576" s="103" t="n"/>
      <c r="F576" s="102" t="n"/>
      <c r="G576" s="102" t="n"/>
      <c r="H576" s="115" t="n"/>
      <c r="I576" s="102" t="n"/>
      <c r="J576" s="102" t="n"/>
      <c r="K576" s="103" t="n"/>
      <c r="L576" s="116">
        <f>IF($H576="","",TRIM(IF(COUNTIF(DMTK!$A$7:$A$250,$F576)=0,"TK Nợ sai! ","")&amp;IF(COUNTIF(DMTK!$A$7:$A$250,$G576)=0,"TK Có sai! ","")&amp;IF(N($H576)&lt;=0,"Tiền phải &gt; 0! ","")&amp;IF($B576="","Thiếu ngày! ","")&amp;IF(AND(OR(LEFT($F576,3)="131",LEFT($G576,3)="131",LEFT($F576,3)="331",LEFT($G576,3)="331"),$I576=""),"Thiếu Mã ĐT! ","")&amp;IF(AND($I576&lt;&gt;"",COUNTIF(DM_DT!$A$7:$A$306,$I576)=0),"Mã ĐT chưa khai báo! ","")))</f>
        <v/>
      </c>
      <c r="M576" s="117">
        <f>IF($H576="","",IF(AND(OR(LEFT($F576,3)="111",LEFT($F576,3)="112",LEFT($F576,3)="113"),OR(LEFT($G576,3)="111",LEFT($G576,3)="112",LEFT($G576,3)="113")),"NB",IF(OR(LEFT($F576,3)="111",LEFT($F576,3)="112",LEFT($F576,3)="113"),"THU",IF(OR(LEFT($G576,3)="111",LEFT($G576,3)="112",LEFT($G576,3)="113"),"CHI",""))))</f>
        <v/>
      </c>
      <c r="N576" s="117">
        <f>IF($M576="THU",$G576,IF($M576="CHI",$F576,""))</f>
        <v/>
      </c>
      <c r="O576" s="117">
        <f>IF(OR($M576="",$M576="NB"),"",IF($J576&lt;&gt;"",TEXT($J576,"00"),IFERROR(VLOOKUP(LEFT($N576,4),LCTT_MAP!$A$7:$C$66,IF($M576="THU",2,3),FALSE()),IFERROR(VLOOKUP(LEFT($N576,3),LCTT_MAP!$A$7:$C$66,IF($M576="THU",2,3),FALSE()),IFERROR(VLOOKUP(LEFT($N576,2),LCTT_MAP!$A$7:$C$66,IF($M576="THU",2,3),FALSE()),IFERROR(VLOOKUP(LEFT($N576,1),LCTT_MAP!$A$7:$C$66,IF($M576="THU",2,3),FALSE()),IF($M576="THU","06","07")))))))</f>
        <v/>
      </c>
      <c r="P576" s="117">
        <f>P575+IF(AND($H576&lt;&gt;"",OR(LEFT($F576,LEN(SC_TK))=SC_TK,LEFT($G576,LEN(SC_TK))=SC_TK)),1,0)</f>
        <v/>
      </c>
    </row>
    <row r="577" ht="15" customHeight="1" s="78">
      <c r="A577" s="95">
        <f>IF($H577="","",ROW()-6)</f>
        <v/>
      </c>
      <c r="B577" s="114" t="n"/>
      <c r="C577" s="102" t="n"/>
      <c r="D577" s="114" t="n"/>
      <c r="E577" s="103" t="n"/>
      <c r="F577" s="102" t="n"/>
      <c r="G577" s="102" t="n"/>
      <c r="H577" s="115" t="n"/>
      <c r="I577" s="102" t="n"/>
      <c r="J577" s="102" t="n"/>
      <c r="K577" s="103" t="n"/>
      <c r="L577" s="116">
        <f>IF($H577="","",TRIM(IF(COUNTIF(DMTK!$A$7:$A$250,$F577)=0,"TK Nợ sai! ","")&amp;IF(COUNTIF(DMTK!$A$7:$A$250,$G577)=0,"TK Có sai! ","")&amp;IF(N($H577)&lt;=0,"Tiền phải &gt; 0! ","")&amp;IF($B577="","Thiếu ngày! ","")&amp;IF(AND(OR(LEFT($F577,3)="131",LEFT($G577,3)="131",LEFT($F577,3)="331",LEFT($G577,3)="331"),$I577=""),"Thiếu Mã ĐT! ","")&amp;IF(AND($I577&lt;&gt;"",COUNTIF(DM_DT!$A$7:$A$306,$I577)=0),"Mã ĐT chưa khai báo! ","")))</f>
        <v/>
      </c>
      <c r="M577" s="117">
        <f>IF($H577="","",IF(AND(OR(LEFT($F577,3)="111",LEFT($F577,3)="112",LEFT($F577,3)="113"),OR(LEFT($G577,3)="111",LEFT($G577,3)="112",LEFT($G577,3)="113")),"NB",IF(OR(LEFT($F577,3)="111",LEFT($F577,3)="112",LEFT($F577,3)="113"),"THU",IF(OR(LEFT($G577,3)="111",LEFT($G577,3)="112",LEFT($G577,3)="113"),"CHI",""))))</f>
        <v/>
      </c>
      <c r="N577" s="117">
        <f>IF($M577="THU",$G577,IF($M577="CHI",$F577,""))</f>
        <v/>
      </c>
      <c r="O577" s="117">
        <f>IF(OR($M577="",$M577="NB"),"",IF($J577&lt;&gt;"",TEXT($J577,"00"),IFERROR(VLOOKUP(LEFT($N577,4),LCTT_MAP!$A$7:$C$66,IF($M577="THU",2,3),FALSE()),IFERROR(VLOOKUP(LEFT($N577,3),LCTT_MAP!$A$7:$C$66,IF($M577="THU",2,3),FALSE()),IFERROR(VLOOKUP(LEFT($N577,2),LCTT_MAP!$A$7:$C$66,IF($M577="THU",2,3),FALSE()),IFERROR(VLOOKUP(LEFT($N577,1),LCTT_MAP!$A$7:$C$66,IF($M577="THU",2,3),FALSE()),IF($M577="THU","06","07")))))))</f>
        <v/>
      </c>
      <c r="P577" s="117">
        <f>P576+IF(AND($H577&lt;&gt;"",OR(LEFT($F577,LEN(SC_TK))=SC_TK,LEFT($G577,LEN(SC_TK))=SC_TK)),1,0)</f>
        <v/>
      </c>
    </row>
    <row r="578" ht="15" customHeight="1" s="78">
      <c r="A578" s="95">
        <f>IF($H578="","",ROW()-6)</f>
        <v/>
      </c>
      <c r="B578" s="114" t="n"/>
      <c r="C578" s="102" t="n"/>
      <c r="D578" s="114" t="n"/>
      <c r="E578" s="103" t="n"/>
      <c r="F578" s="102" t="n"/>
      <c r="G578" s="102" t="n"/>
      <c r="H578" s="115" t="n"/>
      <c r="I578" s="102" t="n"/>
      <c r="J578" s="102" t="n"/>
      <c r="K578" s="103" t="n"/>
      <c r="L578" s="116">
        <f>IF($H578="","",TRIM(IF(COUNTIF(DMTK!$A$7:$A$250,$F578)=0,"TK Nợ sai! ","")&amp;IF(COUNTIF(DMTK!$A$7:$A$250,$G578)=0,"TK Có sai! ","")&amp;IF(N($H578)&lt;=0,"Tiền phải &gt; 0! ","")&amp;IF($B578="","Thiếu ngày! ","")&amp;IF(AND(OR(LEFT($F578,3)="131",LEFT($G578,3)="131",LEFT($F578,3)="331",LEFT($G578,3)="331"),$I578=""),"Thiếu Mã ĐT! ","")&amp;IF(AND($I578&lt;&gt;"",COUNTIF(DM_DT!$A$7:$A$306,$I578)=0),"Mã ĐT chưa khai báo! ","")))</f>
        <v/>
      </c>
      <c r="M578" s="117">
        <f>IF($H578="","",IF(AND(OR(LEFT($F578,3)="111",LEFT($F578,3)="112",LEFT($F578,3)="113"),OR(LEFT($G578,3)="111",LEFT($G578,3)="112",LEFT($G578,3)="113")),"NB",IF(OR(LEFT($F578,3)="111",LEFT($F578,3)="112",LEFT($F578,3)="113"),"THU",IF(OR(LEFT($G578,3)="111",LEFT($G578,3)="112",LEFT($G578,3)="113"),"CHI",""))))</f>
        <v/>
      </c>
      <c r="N578" s="117">
        <f>IF($M578="THU",$G578,IF($M578="CHI",$F578,""))</f>
        <v/>
      </c>
      <c r="O578" s="117">
        <f>IF(OR($M578="",$M578="NB"),"",IF($J578&lt;&gt;"",TEXT($J578,"00"),IFERROR(VLOOKUP(LEFT($N578,4),LCTT_MAP!$A$7:$C$66,IF($M578="THU",2,3),FALSE()),IFERROR(VLOOKUP(LEFT($N578,3),LCTT_MAP!$A$7:$C$66,IF($M578="THU",2,3),FALSE()),IFERROR(VLOOKUP(LEFT($N578,2),LCTT_MAP!$A$7:$C$66,IF($M578="THU",2,3),FALSE()),IFERROR(VLOOKUP(LEFT($N578,1),LCTT_MAP!$A$7:$C$66,IF($M578="THU",2,3),FALSE()),IF($M578="THU","06","07")))))))</f>
        <v/>
      </c>
      <c r="P578" s="117">
        <f>P577+IF(AND($H578&lt;&gt;"",OR(LEFT($F578,LEN(SC_TK))=SC_TK,LEFT($G578,LEN(SC_TK))=SC_TK)),1,0)</f>
        <v/>
      </c>
    </row>
    <row r="579" ht="15" customHeight="1" s="78">
      <c r="A579" s="95">
        <f>IF($H579="","",ROW()-6)</f>
        <v/>
      </c>
      <c r="B579" s="114" t="n"/>
      <c r="C579" s="102" t="n"/>
      <c r="D579" s="114" t="n"/>
      <c r="E579" s="103" t="n"/>
      <c r="F579" s="102" t="n"/>
      <c r="G579" s="102" t="n"/>
      <c r="H579" s="115" t="n"/>
      <c r="I579" s="102" t="n"/>
      <c r="J579" s="102" t="n"/>
      <c r="K579" s="103" t="n"/>
      <c r="L579" s="116">
        <f>IF($H579="","",TRIM(IF(COUNTIF(DMTK!$A$7:$A$250,$F579)=0,"TK Nợ sai! ","")&amp;IF(COUNTIF(DMTK!$A$7:$A$250,$G579)=0,"TK Có sai! ","")&amp;IF(N($H579)&lt;=0,"Tiền phải &gt; 0! ","")&amp;IF($B579="","Thiếu ngày! ","")&amp;IF(AND(OR(LEFT($F579,3)="131",LEFT($G579,3)="131",LEFT($F579,3)="331",LEFT($G579,3)="331"),$I579=""),"Thiếu Mã ĐT! ","")&amp;IF(AND($I579&lt;&gt;"",COUNTIF(DM_DT!$A$7:$A$306,$I579)=0),"Mã ĐT chưa khai báo! ","")))</f>
        <v/>
      </c>
      <c r="M579" s="117">
        <f>IF($H579="","",IF(AND(OR(LEFT($F579,3)="111",LEFT($F579,3)="112",LEFT($F579,3)="113"),OR(LEFT($G579,3)="111",LEFT($G579,3)="112",LEFT($G579,3)="113")),"NB",IF(OR(LEFT($F579,3)="111",LEFT($F579,3)="112",LEFT($F579,3)="113"),"THU",IF(OR(LEFT($G579,3)="111",LEFT($G579,3)="112",LEFT($G579,3)="113"),"CHI",""))))</f>
        <v/>
      </c>
      <c r="N579" s="117">
        <f>IF($M579="THU",$G579,IF($M579="CHI",$F579,""))</f>
        <v/>
      </c>
      <c r="O579" s="117">
        <f>IF(OR($M579="",$M579="NB"),"",IF($J579&lt;&gt;"",TEXT($J579,"00"),IFERROR(VLOOKUP(LEFT($N579,4),LCTT_MAP!$A$7:$C$66,IF($M579="THU",2,3),FALSE()),IFERROR(VLOOKUP(LEFT($N579,3),LCTT_MAP!$A$7:$C$66,IF($M579="THU",2,3),FALSE()),IFERROR(VLOOKUP(LEFT($N579,2),LCTT_MAP!$A$7:$C$66,IF($M579="THU",2,3),FALSE()),IFERROR(VLOOKUP(LEFT($N579,1),LCTT_MAP!$A$7:$C$66,IF($M579="THU",2,3),FALSE()),IF($M579="THU","06","07")))))))</f>
        <v/>
      </c>
      <c r="P579" s="117">
        <f>P578+IF(AND($H579&lt;&gt;"",OR(LEFT($F579,LEN(SC_TK))=SC_TK,LEFT($G579,LEN(SC_TK))=SC_TK)),1,0)</f>
        <v/>
      </c>
    </row>
    <row r="580" ht="15" customHeight="1" s="78">
      <c r="A580" s="95">
        <f>IF($H580="","",ROW()-6)</f>
        <v/>
      </c>
      <c r="B580" s="114" t="n"/>
      <c r="C580" s="102" t="n"/>
      <c r="D580" s="114" t="n"/>
      <c r="E580" s="103" t="n"/>
      <c r="F580" s="102" t="n"/>
      <c r="G580" s="102" t="n"/>
      <c r="H580" s="115" t="n"/>
      <c r="I580" s="102" t="n"/>
      <c r="J580" s="102" t="n"/>
      <c r="K580" s="103" t="n"/>
      <c r="L580" s="116">
        <f>IF($H580="","",TRIM(IF(COUNTIF(DMTK!$A$7:$A$250,$F580)=0,"TK Nợ sai! ","")&amp;IF(COUNTIF(DMTK!$A$7:$A$250,$G580)=0,"TK Có sai! ","")&amp;IF(N($H580)&lt;=0,"Tiền phải &gt; 0! ","")&amp;IF($B580="","Thiếu ngày! ","")&amp;IF(AND(OR(LEFT($F580,3)="131",LEFT($G580,3)="131",LEFT($F580,3)="331",LEFT($G580,3)="331"),$I580=""),"Thiếu Mã ĐT! ","")&amp;IF(AND($I580&lt;&gt;"",COUNTIF(DM_DT!$A$7:$A$306,$I580)=0),"Mã ĐT chưa khai báo! ","")))</f>
        <v/>
      </c>
      <c r="M580" s="117">
        <f>IF($H580="","",IF(AND(OR(LEFT($F580,3)="111",LEFT($F580,3)="112",LEFT($F580,3)="113"),OR(LEFT($G580,3)="111",LEFT($G580,3)="112",LEFT($G580,3)="113")),"NB",IF(OR(LEFT($F580,3)="111",LEFT($F580,3)="112",LEFT($F580,3)="113"),"THU",IF(OR(LEFT($G580,3)="111",LEFT($G580,3)="112",LEFT($G580,3)="113"),"CHI",""))))</f>
        <v/>
      </c>
      <c r="N580" s="117">
        <f>IF($M580="THU",$G580,IF($M580="CHI",$F580,""))</f>
        <v/>
      </c>
      <c r="O580" s="117">
        <f>IF(OR($M580="",$M580="NB"),"",IF($J580&lt;&gt;"",TEXT($J580,"00"),IFERROR(VLOOKUP(LEFT($N580,4),LCTT_MAP!$A$7:$C$66,IF($M580="THU",2,3),FALSE()),IFERROR(VLOOKUP(LEFT($N580,3),LCTT_MAP!$A$7:$C$66,IF($M580="THU",2,3),FALSE()),IFERROR(VLOOKUP(LEFT($N580,2),LCTT_MAP!$A$7:$C$66,IF($M580="THU",2,3),FALSE()),IFERROR(VLOOKUP(LEFT($N580,1),LCTT_MAP!$A$7:$C$66,IF($M580="THU",2,3),FALSE()),IF($M580="THU","06","07")))))))</f>
        <v/>
      </c>
      <c r="P580" s="117">
        <f>P579+IF(AND($H580&lt;&gt;"",OR(LEFT($F580,LEN(SC_TK))=SC_TK,LEFT($G580,LEN(SC_TK))=SC_TK)),1,0)</f>
        <v/>
      </c>
    </row>
    <row r="581" ht="15" customHeight="1" s="78">
      <c r="A581" s="95">
        <f>IF($H581="","",ROW()-6)</f>
        <v/>
      </c>
      <c r="B581" s="114" t="n"/>
      <c r="C581" s="102" t="n"/>
      <c r="D581" s="114" t="n"/>
      <c r="E581" s="103" t="n"/>
      <c r="F581" s="102" t="n"/>
      <c r="G581" s="102" t="n"/>
      <c r="H581" s="115" t="n"/>
      <c r="I581" s="102" t="n"/>
      <c r="J581" s="102" t="n"/>
      <c r="K581" s="103" t="n"/>
      <c r="L581" s="116">
        <f>IF($H581="","",TRIM(IF(COUNTIF(DMTK!$A$7:$A$250,$F581)=0,"TK Nợ sai! ","")&amp;IF(COUNTIF(DMTK!$A$7:$A$250,$G581)=0,"TK Có sai! ","")&amp;IF(N($H581)&lt;=0,"Tiền phải &gt; 0! ","")&amp;IF($B581="","Thiếu ngày! ","")&amp;IF(AND(OR(LEFT($F581,3)="131",LEFT($G581,3)="131",LEFT($F581,3)="331",LEFT($G581,3)="331"),$I581=""),"Thiếu Mã ĐT! ","")&amp;IF(AND($I581&lt;&gt;"",COUNTIF(DM_DT!$A$7:$A$306,$I581)=0),"Mã ĐT chưa khai báo! ","")))</f>
        <v/>
      </c>
      <c r="M581" s="117">
        <f>IF($H581="","",IF(AND(OR(LEFT($F581,3)="111",LEFT($F581,3)="112",LEFT($F581,3)="113"),OR(LEFT($G581,3)="111",LEFT($G581,3)="112",LEFT($G581,3)="113")),"NB",IF(OR(LEFT($F581,3)="111",LEFT($F581,3)="112",LEFT($F581,3)="113"),"THU",IF(OR(LEFT($G581,3)="111",LEFT($G581,3)="112",LEFT($G581,3)="113"),"CHI",""))))</f>
        <v/>
      </c>
      <c r="N581" s="117">
        <f>IF($M581="THU",$G581,IF($M581="CHI",$F581,""))</f>
        <v/>
      </c>
      <c r="O581" s="117">
        <f>IF(OR($M581="",$M581="NB"),"",IF($J581&lt;&gt;"",TEXT($J581,"00"),IFERROR(VLOOKUP(LEFT($N581,4),LCTT_MAP!$A$7:$C$66,IF($M581="THU",2,3),FALSE()),IFERROR(VLOOKUP(LEFT($N581,3),LCTT_MAP!$A$7:$C$66,IF($M581="THU",2,3),FALSE()),IFERROR(VLOOKUP(LEFT($N581,2),LCTT_MAP!$A$7:$C$66,IF($M581="THU",2,3),FALSE()),IFERROR(VLOOKUP(LEFT($N581,1),LCTT_MAP!$A$7:$C$66,IF($M581="THU",2,3),FALSE()),IF($M581="THU","06","07")))))))</f>
        <v/>
      </c>
      <c r="P581" s="117">
        <f>P580+IF(AND($H581&lt;&gt;"",OR(LEFT($F581,LEN(SC_TK))=SC_TK,LEFT($G581,LEN(SC_TK))=SC_TK)),1,0)</f>
        <v/>
      </c>
    </row>
    <row r="582" ht="15" customHeight="1" s="78">
      <c r="A582" s="95">
        <f>IF($H582="","",ROW()-6)</f>
        <v/>
      </c>
      <c r="B582" s="114" t="n"/>
      <c r="C582" s="102" t="n"/>
      <c r="D582" s="114" t="n"/>
      <c r="E582" s="103" t="n"/>
      <c r="F582" s="102" t="n"/>
      <c r="G582" s="102" t="n"/>
      <c r="H582" s="115" t="n"/>
      <c r="I582" s="102" t="n"/>
      <c r="J582" s="102" t="n"/>
      <c r="K582" s="103" t="n"/>
      <c r="L582" s="116">
        <f>IF($H582="","",TRIM(IF(COUNTIF(DMTK!$A$7:$A$250,$F582)=0,"TK Nợ sai! ","")&amp;IF(COUNTIF(DMTK!$A$7:$A$250,$G582)=0,"TK Có sai! ","")&amp;IF(N($H582)&lt;=0,"Tiền phải &gt; 0! ","")&amp;IF($B582="","Thiếu ngày! ","")&amp;IF(AND(OR(LEFT($F582,3)="131",LEFT($G582,3)="131",LEFT($F582,3)="331",LEFT($G582,3)="331"),$I582=""),"Thiếu Mã ĐT! ","")&amp;IF(AND($I582&lt;&gt;"",COUNTIF(DM_DT!$A$7:$A$306,$I582)=0),"Mã ĐT chưa khai báo! ","")))</f>
        <v/>
      </c>
      <c r="M582" s="117">
        <f>IF($H582="","",IF(AND(OR(LEFT($F582,3)="111",LEFT($F582,3)="112",LEFT($F582,3)="113"),OR(LEFT($G582,3)="111",LEFT($G582,3)="112",LEFT($G582,3)="113")),"NB",IF(OR(LEFT($F582,3)="111",LEFT($F582,3)="112",LEFT($F582,3)="113"),"THU",IF(OR(LEFT($G582,3)="111",LEFT($G582,3)="112",LEFT($G582,3)="113"),"CHI",""))))</f>
        <v/>
      </c>
      <c r="N582" s="117">
        <f>IF($M582="THU",$G582,IF($M582="CHI",$F582,""))</f>
        <v/>
      </c>
      <c r="O582" s="117">
        <f>IF(OR($M582="",$M582="NB"),"",IF($J582&lt;&gt;"",TEXT($J582,"00"),IFERROR(VLOOKUP(LEFT($N582,4),LCTT_MAP!$A$7:$C$66,IF($M582="THU",2,3),FALSE()),IFERROR(VLOOKUP(LEFT($N582,3),LCTT_MAP!$A$7:$C$66,IF($M582="THU",2,3),FALSE()),IFERROR(VLOOKUP(LEFT($N582,2),LCTT_MAP!$A$7:$C$66,IF($M582="THU",2,3),FALSE()),IFERROR(VLOOKUP(LEFT($N582,1),LCTT_MAP!$A$7:$C$66,IF($M582="THU",2,3),FALSE()),IF($M582="THU","06","07")))))))</f>
        <v/>
      </c>
      <c r="P582" s="117">
        <f>P581+IF(AND($H582&lt;&gt;"",OR(LEFT($F582,LEN(SC_TK))=SC_TK,LEFT($G582,LEN(SC_TK))=SC_TK)),1,0)</f>
        <v/>
      </c>
    </row>
    <row r="583" ht="15" customHeight="1" s="78">
      <c r="A583" s="95">
        <f>IF($H583="","",ROW()-6)</f>
        <v/>
      </c>
      <c r="B583" s="114" t="n"/>
      <c r="C583" s="102" t="n"/>
      <c r="D583" s="114" t="n"/>
      <c r="E583" s="103" t="n"/>
      <c r="F583" s="102" t="n"/>
      <c r="G583" s="102" t="n"/>
      <c r="H583" s="115" t="n"/>
      <c r="I583" s="102" t="n"/>
      <c r="J583" s="102" t="n"/>
      <c r="K583" s="103" t="n"/>
      <c r="L583" s="116">
        <f>IF($H583="","",TRIM(IF(COUNTIF(DMTK!$A$7:$A$250,$F583)=0,"TK Nợ sai! ","")&amp;IF(COUNTIF(DMTK!$A$7:$A$250,$G583)=0,"TK Có sai! ","")&amp;IF(N($H583)&lt;=0,"Tiền phải &gt; 0! ","")&amp;IF($B583="","Thiếu ngày! ","")&amp;IF(AND(OR(LEFT($F583,3)="131",LEFT($G583,3)="131",LEFT($F583,3)="331",LEFT($G583,3)="331"),$I583=""),"Thiếu Mã ĐT! ","")&amp;IF(AND($I583&lt;&gt;"",COUNTIF(DM_DT!$A$7:$A$306,$I583)=0),"Mã ĐT chưa khai báo! ","")))</f>
        <v/>
      </c>
      <c r="M583" s="117">
        <f>IF($H583="","",IF(AND(OR(LEFT($F583,3)="111",LEFT($F583,3)="112",LEFT($F583,3)="113"),OR(LEFT($G583,3)="111",LEFT($G583,3)="112",LEFT($G583,3)="113")),"NB",IF(OR(LEFT($F583,3)="111",LEFT($F583,3)="112",LEFT($F583,3)="113"),"THU",IF(OR(LEFT($G583,3)="111",LEFT($G583,3)="112",LEFT($G583,3)="113"),"CHI",""))))</f>
        <v/>
      </c>
      <c r="N583" s="117">
        <f>IF($M583="THU",$G583,IF($M583="CHI",$F583,""))</f>
        <v/>
      </c>
      <c r="O583" s="117">
        <f>IF(OR($M583="",$M583="NB"),"",IF($J583&lt;&gt;"",TEXT($J583,"00"),IFERROR(VLOOKUP(LEFT($N583,4),LCTT_MAP!$A$7:$C$66,IF($M583="THU",2,3),FALSE()),IFERROR(VLOOKUP(LEFT($N583,3),LCTT_MAP!$A$7:$C$66,IF($M583="THU",2,3),FALSE()),IFERROR(VLOOKUP(LEFT($N583,2),LCTT_MAP!$A$7:$C$66,IF($M583="THU",2,3),FALSE()),IFERROR(VLOOKUP(LEFT($N583,1),LCTT_MAP!$A$7:$C$66,IF($M583="THU",2,3),FALSE()),IF($M583="THU","06","07")))))))</f>
        <v/>
      </c>
      <c r="P583" s="117">
        <f>P582+IF(AND($H583&lt;&gt;"",OR(LEFT($F583,LEN(SC_TK))=SC_TK,LEFT($G583,LEN(SC_TK))=SC_TK)),1,0)</f>
        <v/>
      </c>
    </row>
    <row r="584" ht="15" customHeight="1" s="78">
      <c r="A584" s="95">
        <f>IF($H584="","",ROW()-6)</f>
        <v/>
      </c>
      <c r="B584" s="114" t="n"/>
      <c r="C584" s="102" t="n"/>
      <c r="D584" s="114" t="n"/>
      <c r="E584" s="103" t="n"/>
      <c r="F584" s="102" t="n"/>
      <c r="G584" s="102" t="n"/>
      <c r="H584" s="115" t="n"/>
      <c r="I584" s="102" t="n"/>
      <c r="J584" s="102" t="n"/>
      <c r="K584" s="103" t="n"/>
      <c r="L584" s="116">
        <f>IF($H584="","",TRIM(IF(COUNTIF(DMTK!$A$7:$A$250,$F584)=0,"TK Nợ sai! ","")&amp;IF(COUNTIF(DMTK!$A$7:$A$250,$G584)=0,"TK Có sai! ","")&amp;IF(N($H584)&lt;=0,"Tiền phải &gt; 0! ","")&amp;IF($B584="","Thiếu ngày! ","")&amp;IF(AND(OR(LEFT($F584,3)="131",LEFT($G584,3)="131",LEFT($F584,3)="331",LEFT($G584,3)="331"),$I584=""),"Thiếu Mã ĐT! ","")&amp;IF(AND($I584&lt;&gt;"",COUNTIF(DM_DT!$A$7:$A$306,$I584)=0),"Mã ĐT chưa khai báo! ","")))</f>
        <v/>
      </c>
      <c r="M584" s="117">
        <f>IF($H584="","",IF(AND(OR(LEFT($F584,3)="111",LEFT($F584,3)="112",LEFT($F584,3)="113"),OR(LEFT($G584,3)="111",LEFT($G584,3)="112",LEFT($G584,3)="113")),"NB",IF(OR(LEFT($F584,3)="111",LEFT($F584,3)="112",LEFT($F584,3)="113"),"THU",IF(OR(LEFT($G584,3)="111",LEFT($G584,3)="112",LEFT($G584,3)="113"),"CHI",""))))</f>
        <v/>
      </c>
      <c r="N584" s="117">
        <f>IF($M584="THU",$G584,IF($M584="CHI",$F584,""))</f>
        <v/>
      </c>
      <c r="O584" s="117">
        <f>IF(OR($M584="",$M584="NB"),"",IF($J584&lt;&gt;"",TEXT($J584,"00"),IFERROR(VLOOKUP(LEFT($N584,4),LCTT_MAP!$A$7:$C$66,IF($M584="THU",2,3),FALSE()),IFERROR(VLOOKUP(LEFT($N584,3),LCTT_MAP!$A$7:$C$66,IF($M584="THU",2,3),FALSE()),IFERROR(VLOOKUP(LEFT($N584,2),LCTT_MAP!$A$7:$C$66,IF($M584="THU",2,3),FALSE()),IFERROR(VLOOKUP(LEFT($N584,1),LCTT_MAP!$A$7:$C$66,IF($M584="THU",2,3),FALSE()),IF($M584="THU","06","07")))))))</f>
        <v/>
      </c>
      <c r="P584" s="117">
        <f>P583+IF(AND($H584&lt;&gt;"",OR(LEFT($F584,LEN(SC_TK))=SC_TK,LEFT($G584,LEN(SC_TK))=SC_TK)),1,0)</f>
        <v/>
      </c>
    </row>
    <row r="585" ht="15" customHeight="1" s="78">
      <c r="A585" s="95">
        <f>IF($H585="","",ROW()-6)</f>
        <v/>
      </c>
      <c r="B585" s="114" t="n"/>
      <c r="C585" s="102" t="n"/>
      <c r="D585" s="114" t="n"/>
      <c r="E585" s="103" t="n"/>
      <c r="F585" s="102" t="n"/>
      <c r="G585" s="102" t="n"/>
      <c r="H585" s="115" t="n"/>
      <c r="I585" s="102" t="n"/>
      <c r="J585" s="102" t="n"/>
      <c r="K585" s="103" t="n"/>
      <c r="L585" s="116">
        <f>IF($H585="","",TRIM(IF(COUNTIF(DMTK!$A$7:$A$250,$F585)=0,"TK Nợ sai! ","")&amp;IF(COUNTIF(DMTK!$A$7:$A$250,$G585)=0,"TK Có sai! ","")&amp;IF(N($H585)&lt;=0,"Tiền phải &gt; 0! ","")&amp;IF($B585="","Thiếu ngày! ","")&amp;IF(AND(OR(LEFT($F585,3)="131",LEFT($G585,3)="131",LEFT($F585,3)="331",LEFT($G585,3)="331"),$I585=""),"Thiếu Mã ĐT! ","")&amp;IF(AND($I585&lt;&gt;"",COUNTIF(DM_DT!$A$7:$A$306,$I585)=0),"Mã ĐT chưa khai báo! ","")))</f>
        <v/>
      </c>
      <c r="M585" s="117">
        <f>IF($H585="","",IF(AND(OR(LEFT($F585,3)="111",LEFT($F585,3)="112",LEFT($F585,3)="113"),OR(LEFT($G585,3)="111",LEFT($G585,3)="112",LEFT($G585,3)="113")),"NB",IF(OR(LEFT($F585,3)="111",LEFT($F585,3)="112",LEFT($F585,3)="113"),"THU",IF(OR(LEFT($G585,3)="111",LEFT($G585,3)="112",LEFT($G585,3)="113"),"CHI",""))))</f>
        <v/>
      </c>
      <c r="N585" s="117">
        <f>IF($M585="THU",$G585,IF($M585="CHI",$F585,""))</f>
        <v/>
      </c>
      <c r="O585" s="117">
        <f>IF(OR($M585="",$M585="NB"),"",IF($J585&lt;&gt;"",TEXT($J585,"00"),IFERROR(VLOOKUP(LEFT($N585,4),LCTT_MAP!$A$7:$C$66,IF($M585="THU",2,3),FALSE()),IFERROR(VLOOKUP(LEFT($N585,3),LCTT_MAP!$A$7:$C$66,IF($M585="THU",2,3),FALSE()),IFERROR(VLOOKUP(LEFT($N585,2),LCTT_MAP!$A$7:$C$66,IF($M585="THU",2,3),FALSE()),IFERROR(VLOOKUP(LEFT($N585,1),LCTT_MAP!$A$7:$C$66,IF($M585="THU",2,3),FALSE()),IF($M585="THU","06","07")))))))</f>
        <v/>
      </c>
      <c r="P585" s="117">
        <f>P584+IF(AND($H585&lt;&gt;"",OR(LEFT($F585,LEN(SC_TK))=SC_TK,LEFT($G585,LEN(SC_TK))=SC_TK)),1,0)</f>
        <v/>
      </c>
    </row>
    <row r="586" ht="15" customHeight="1" s="78">
      <c r="A586" s="95">
        <f>IF($H586="","",ROW()-6)</f>
        <v/>
      </c>
      <c r="B586" s="114" t="n"/>
      <c r="C586" s="102" t="n"/>
      <c r="D586" s="114" t="n"/>
      <c r="E586" s="103" t="n"/>
      <c r="F586" s="102" t="n"/>
      <c r="G586" s="102" t="n"/>
      <c r="H586" s="115" t="n"/>
      <c r="I586" s="102" t="n"/>
      <c r="J586" s="102" t="n"/>
      <c r="K586" s="103" t="n"/>
      <c r="L586" s="116">
        <f>IF($H586="","",TRIM(IF(COUNTIF(DMTK!$A$7:$A$250,$F586)=0,"TK Nợ sai! ","")&amp;IF(COUNTIF(DMTK!$A$7:$A$250,$G586)=0,"TK Có sai! ","")&amp;IF(N($H586)&lt;=0,"Tiền phải &gt; 0! ","")&amp;IF($B586="","Thiếu ngày! ","")&amp;IF(AND(OR(LEFT($F586,3)="131",LEFT($G586,3)="131",LEFT($F586,3)="331",LEFT($G586,3)="331"),$I586=""),"Thiếu Mã ĐT! ","")&amp;IF(AND($I586&lt;&gt;"",COUNTIF(DM_DT!$A$7:$A$306,$I586)=0),"Mã ĐT chưa khai báo! ","")))</f>
        <v/>
      </c>
      <c r="M586" s="117">
        <f>IF($H586="","",IF(AND(OR(LEFT($F586,3)="111",LEFT($F586,3)="112",LEFT($F586,3)="113"),OR(LEFT($G586,3)="111",LEFT($G586,3)="112",LEFT($G586,3)="113")),"NB",IF(OR(LEFT($F586,3)="111",LEFT($F586,3)="112",LEFT($F586,3)="113"),"THU",IF(OR(LEFT($G586,3)="111",LEFT($G586,3)="112",LEFT($G586,3)="113"),"CHI",""))))</f>
        <v/>
      </c>
      <c r="N586" s="117">
        <f>IF($M586="THU",$G586,IF($M586="CHI",$F586,""))</f>
        <v/>
      </c>
      <c r="O586" s="117">
        <f>IF(OR($M586="",$M586="NB"),"",IF($J586&lt;&gt;"",TEXT($J586,"00"),IFERROR(VLOOKUP(LEFT($N586,4),LCTT_MAP!$A$7:$C$66,IF($M586="THU",2,3),FALSE()),IFERROR(VLOOKUP(LEFT($N586,3),LCTT_MAP!$A$7:$C$66,IF($M586="THU",2,3),FALSE()),IFERROR(VLOOKUP(LEFT($N586,2),LCTT_MAP!$A$7:$C$66,IF($M586="THU",2,3),FALSE()),IFERROR(VLOOKUP(LEFT($N586,1),LCTT_MAP!$A$7:$C$66,IF($M586="THU",2,3),FALSE()),IF($M586="THU","06","07")))))))</f>
        <v/>
      </c>
      <c r="P586" s="117">
        <f>P585+IF(AND($H586&lt;&gt;"",OR(LEFT($F586,LEN(SC_TK))=SC_TK,LEFT($G586,LEN(SC_TK))=SC_TK)),1,0)</f>
        <v/>
      </c>
    </row>
    <row r="587" ht="15" customHeight="1" s="78">
      <c r="A587" s="95">
        <f>IF($H587="","",ROW()-6)</f>
        <v/>
      </c>
      <c r="B587" s="114" t="n"/>
      <c r="C587" s="102" t="n"/>
      <c r="D587" s="114" t="n"/>
      <c r="E587" s="103" t="n"/>
      <c r="F587" s="102" t="n"/>
      <c r="G587" s="102" t="n"/>
      <c r="H587" s="115" t="n"/>
      <c r="I587" s="102" t="n"/>
      <c r="J587" s="102" t="n"/>
      <c r="K587" s="103" t="n"/>
      <c r="L587" s="116">
        <f>IF($H587="","",TRIM(IF(COUNTIF(DMTK!$A$7:$A$250,$F587)=0,"TK Nợ sai! ","")&amp;IF(COUNTIF(DMTK!$A$7:$A$250,$G587)=0,"TK Có sai! ","")&amp;IF(N($H587)&lt;=0,"Tiền phải &gt; 0! ","")&amp;IF($B587="","Thiếu ngày! ","")&amp;IF(AND(OR(LEFT($F587,3)="131",LEFT($G587,3)="131",LEFT($F587,3)="331",LEFT($G587,3)="331"),$I587=""),"Thiếu Mã ĐT! ","")&amp;IF(AND($I587&lt;&gt;"",COUNTIF(DM_DT!$A$7:$A$306,$I587)=0),"Mã ĐT chưa khai báo! ","")))</f>
        <v/>
      </c>
      <c r="M587" s="117">
        <f>IF($H587="","",IF(AND(OR(LEFT($F587,3)="111",LEFT($F587,3)="112",LEFT($F587,3)="113"),OR(LEFT($G587,3)="111",LEFT($G587,3)="112",LEFT($G587,3)="113")),"NB",IF(OR(LEFT($F587,3)="111",LEFT($F587,3)="112",LEFT($F587,3)="113"),"THU",IF(OR(LEFT($G587,3)="111",LEFT($G587,3)="112",LEFT($G587,3)="113"),"CHI",""))))</f>
        <v/>
      </c>
      <c r="N587" s="117">
        <f>IF($M587="THU",$G587,IF($M587="CHI",$F587,""))</f>
        <v/>
      </c>
      <c r="O587" s="117">
        <f>IF(OR($M587="",$M587="NB"),"",IF($J587&lt;&gt;"",TEXT($J587,"00"),IFERROR(VLOOKUP(LEFT($N587,4),LCTT_MAP!$A$7:$C$66,IF($M587="THU",2,3),FALSE()),IFERROR(VLOOKUP(LEFT($N587,3),LCTT_MAP!$A$7:$C$66,IF($M587="THU",2,3),FALSE()),IFERROR(VLOOKUP(LEFT($N587,2),LCTT_MAP!$A$7:$C$66,IF($M587="THU",2,3),FALSE()),IFERROR(VLOOKUP(LEFT($N587,1),LCTT_MAP!$A$7:$C$66,IF($M587="THU",2,3),FALSE()),IF($M587="THU","06","07")))))))</f>
        <v/>
      </c>
      <c r="P587" s="117">
        <f>P586+IF(AND($H587&lt;&gt;"",OR(LEFT($F587,LEN(SC_TK))=SC_TK,LEFT($G587,LEN(SC_TK))=SC_TK)),1,0)</f>
        <v/>
      </c>
    </row>
    <row r="588" ht="15" customHeight="1" s="78">
      <c r="A588" s="95">
        <f>IF($H588="","",ROW()-6)</f>
        <v/>
      </c>
      <c r="B588" s="114" t="n"/>
      <c r="C588" s="102" t="n"/>
      <c r="D588" s="114" t="n"/>
      <c r="E588" s="103" t="n"/>
      <c r="F588" s="102" t="n"/>
      <c r="G588" s="102" t="n"/>
      <c r="H588" s="115" t="n"/>
      <c r="I588" s="102" t="n"/>
      <c r="J588" s="102" t="n"/>
      <c r="K588" s="103" t="n"/>
      <c r="L588" s="116">
        <f>IF($H588="","",TRIM(IF(COUNTIF(DMTK!$A$7:$A$250,$F588)=0,"TK Nợ sai! ","")&amp;IF(COUNTIF(DMTK!$A$7:$A$250,$G588)=0,"TK Có sai! ","")&amp;IF(N($H588)&lt;=0,"Tiền phải &gt; 0! ","")&amp;IF($B588="","Thiếu ngày! ","")&amp;IF(AND(OR(LEFT($F588,3)="131",LEFT($G588,3)="131",LEFT($F588,3)="331",LEFT($G588,3)="331"),$I588=""),"Thiếu Mã ĐT! ","")&amp;IF(AND($I588&lt;&gt;"",COUNTIF(DM_DT!$A$7:$A$306,$I588)=0),"Mã ĐT chưa khai báo! ","")))</f>
        <v/>
      </c>
      <c r="M588" s="117">
        <f>IF($H588="","",IF(AND(OR(LEFT($F588,3)="111",LEFT($F588,3)="112",LEFT($F588,3)="113"),OR(LEFT($G588,3)="111",LEFT($G588,3)="112",LEFT($G588,3)="113")),"NB",IF(OR(LEFT($F588,3)="111",LEFT($F588,3)="112",LEFT($F588,3)="113"),"THU",IF(OR(LEFT($G588,3)="111",LEFT($G588,3)="112",LEFT($G588,3)="113"),"CHI",""))))</f>
        <v/>
      </c>
      <c r="N588" s="117">
        <f>IF($M588="THU",$G588,IF($M588="CHI",$F588,""))</f>
        <v/>
      </c>
      <c r="O588" s="117">
        <f>IF(OR($M588="",$M588="NB"),"",IF($J588&lt;&gt;"",TEXT($J588,"00"),IFERROR(VLOOKUP(LEFT($N588,4),LCTT_MAP!$A$7:$C$66,IF($M588="THU",2,3),FALSE()),IFERROR(VLOOKUP(LEFT($N588,3),LCTT_MAP!$A$7:$C$66,IF($M588="THU",2,3),FALSE()),IFERROR(VLOOKUP(LEFT($N588,2),LCTT_MAP!$A$7:$C$66,IF($M588="THU",2,3),FALSE()),IFERROR(VLOOKUP(LEFT($N588,1),LCTT_MAP!$A$7:$C$66,IF($M588="THU",2,3),FALSE()),IF($M588="THU","06","07")))))))</f>
        <v/>
      </c>
      <c r="P588" s="117">
        <f>P587+IF(AND($H588&lt;&gt;"",OR(LEFT($F588,LEN(SC_TK))=SC_TK,LEFT($G588,LEN(SC_TK))=SC_TK)),1,0)</f>
        <v/>
      </c>
    </row>
    <row r="589" ht="15" customHeight="1" s="78">
      <c r="A589" s="95">
        <f>IF($H589="","",ROW()-6)</f>
        <v/>
      </c>
      <c r="B589" s="114" t="n"/>
      <c r="C589" s="102" t="n"/>
      <c r="D589" s="114" t="n"/>
      <c r="E589" s="103" t="n"/>
      <c r="F589" s="102" t="n"/>
      <c r="G589" s="102" t="n"/>
      <c r="H589" s="115" t="n"/>
      <c r="I589" s="102" t="n"/>
      <c r="J589" s="102" t="n"/>
      <c r="K589" s="103" t="n"/>
      <c r="L589" s="116">
        <f>IF($H589="","",TRIM(IF(COUNTIF(DMTK!$A$7:$A$250,$F589)=0,"TK Nợ sai! ","")&amp;IF(COUNTIF(DMTK!$A$7:$A$250,$G589)=0,"TK Có sai! ","")&amp;IF(N($H589)&lt;=0,"Tiền phải &gt; 0! ","")&amp;IF($B589="","Thiếu ngày! ","")&amp;IF(AND(OR(LEFT($F589,3)="131",LEFT($G589,3)="131",LEFT($F589,3)="331",LEFT($G589,3)="331"),$I589=""),"Thiếu Mã ĐT! ","")&amp;IF(AND($I589&lt;&gt;"",COUNTIF(DM_DT!$A$7:$A$306,$I589)=0),"Mã ĐT chưa khai báo! ","")))</f>
        <v/>
      </c>
      <c r="M589" s="117">
        <f>IF($H589="","",IF(AND(OR(LEFT($F589,3)="111",LEFT($F589,3)="112",LEFT($F589,3)="113"),OR(LEFT($G589,3)="111",LEFT($G589,3)="112",LEFT($G589,3)="113")),"NB",IF(OR(LEFT($F589,3)="111",LEFT($F589,3)="112",LEFT($F589,3)="113"),"THU",IF(OR(LEFT($G589,3)="111",LEFT($G589,3)="112",LEFT($G589,3)="113"),"CHI",""))))</f>
        <v/>
      </c>
      <c r="N589" s="117">
        <f>IF($M589="THU",$G589,IF($M589="CHI",$F589,""))</f>
        <v/>
      </c>
      <c r="O589" s="117">
        <f>IF(OR($M589="",$M589="NB"),"",IF($J589&lt;&gt;"",TEXT($J589,"00"),IFERROR(VLOOKUP(LEFT($N589,4),LCTT_MAP!$A$7:$C$66,IF($M589="THU",2,3),FALSE()),IFERROR(VLOOKUP(LEFT($N589,3),LCTT_MAP!$A$7:$C$66,IF($M589="THU",2,3),FALSE()),IFERROR(VLOOKUP(LEFT($N589,2),LCTT_MAP!$A$7:$C$66,IF($M589="THU",2,3),FALSE()),IFERROR(VLOOKUP(LEFT($N589,1),LCTT_MAP!$A$7:$C$66,IF($M589="THU",2,3),FALSE()),IF($M589="THU","06","07")))))))</f>
        <v/>
      </c>
      <c r="P589" s="117">
        <f>P588+IF(AND($H589&lt;&gt;"",OR(LEFT($F589,LEN(SC_TK))=SC_TK,LEFT($G589,LEN(SC_TK))=SC_TK)),1,0)</f>
        <v/>
      </c>
    </row>
    <row r="590" ht="15" customHeight="1" s="78">
      <c r="A590" s="95">
        <f>IF($H590="","",ROW()-6)</f>
        <v/>
      </c>
      <c r="B590" s="114" t="n"/>
      <c r="C590" s="102" t="n"/>
      <c r="D590" s="114" t="n"/>
      <c r="E590" s="103" t="n"/>
      <c r="F590" s="102" t="n"/>
      <c r="G590" s="102" t="n"/>
      <c r="H590" s="115" t="n"/>
      <c r="I590" s="102" t="n"/>
      <c r="J590" s="102" t="n"/>
      <c r="K590" s="103" t="n"/>
      <c r="L590" s="116">
        <f>IF($H590="","",TRIM(IF(COUNTIF(DMTK!$A$7:$A$250,$F590)=0,"TK Nợ sai! ","")&amp;IF(COUNTIF(DMTK!$A$7:$A$250,$G590)=0,"TK Có sai! ","")&amp;IF(N($H590)&lt;=0,"Tiền phải &gt; 0! ","")&amp;IF($B590="","Thiếu ngày! ","")&amp;IF(AND(OR(LEFT($F590,3)="131",LEFT($G590,3)="131",LEFT($F590,3)="331",LEFT($G590,3)="331"),$I590=""),"Thiếu Mã ĐT! ","")&amp;IF(AND($I590&lt;&gt;"",COUNTIF(DM_DT!$A$7:$A$306,$I590)=0),"Mã ĐT chưa khai báo! ","")))</f>
        <v/>
      </c>
      <c r="M590" s="117">
        <f>IF($H590="","",IF(AND(OR(LEFT($F590,3)="111",LEFT($F590,3)="112",LEFT($F590,3)="113"),OR(LEFT($G590,3)="111",LEFT($G590,3)="112",LEFT($G590,3)="113")),"NB",IF(OR(LEFT($F590,3)="111",LEFT($F590,3)="112",LEFT($F590,3)="113"),"THU",IF(OR(LEFT($G590,3)="111",LEFT($G590,3)="112",LEFT($G590,3)="113"),"CHI",""))))</f>
        <v/>
      </c>
      <c r="N590" s="117">
        <f>IF($M590="THU",$G590,IF($M590="CHI",$F590,""))</f>
        <v/>
      </c>
      <c r="O590" s="117">
        <f>IF(OR($M590="",$M590="NB"),"",IF($J590&lt;&gt;"",TEXT($J590,"00"),IFERROR(VLOOKUP(LEFT($N590,4),LCTT_MAP!$A$7:$C$66,IF($M590="THU",2,3),FALSE()),IFERROR(VLOOKUP(LEFT($N590,3),LCTT_MAP!$A$7:$C$66,IF($M590="THU",2,3),FALSE()),IFERROR(VLOOKUP(LEFT($N590,2),LCTT_MAP!$A$7:$C$66,IF($M590="THU",2,3),FALSE()),IFERROR(VLOOKUP(LEFT($N590,1),LCTT_MAP!$A$7:$C$66,IF($M590="THU",2,3),FALSE()),IF($M590="THU","06","07")))))))</f>
        <v/>
      </c>
      <c r="P590" s="117">
        <f>P589+IF(AND($H590&lt;&gt;"",OR(LEFT($F590,LEN(SC_TK))=SC_TK,LEFT($G590,LEN(SC_TK))=SC_TK)),1,0)</f>
        <v/>
      </c>
    </row>
    <row r="591" ht="15" customHeight="1" s="78">
      <c r="A591" s="95">
        <f>IF($H591="","",ROW()-6)</f>
        <v/>
      </c>
      <c r="B591" s="114" t="n"/>
      <c r="C591" s="102" t="n"/>
      <c r="D591" s="114" t="n"/>
      <c r="E591" s="103" t="n"/>
      <c r="F591" s="102" t="n"/>
      <c r="G591" s="102" t="n"/>
      <c r="H591" s="115" t="n"/>
      <c r="I591" s="102" t="n"/>
      <c r="J591" s="102" t="n"/>
      <c r="K591" s="103" t="n"/>
      <c r="L591" s="116">
        <f>IF($H591="","",TRIM(IF(COUNTIF(DMTK!$A$7:$A$250,$F591)=0,"TK Nợ sai! ","")&amp;IF(COUNTIF(DMTK!$A$7:$A$250,$G591)=0,"TK Có sai! ","")&amp;IF(N($H591)&lt;=0,"Tiền phải &gt; 0! ","")&amp;IF($B591="","Thiếu ngày! ","")&amp;IF(AND(OR(LEFT($F591,3)="131",LEFT($G591,3)="131",LEFT($F591,3)="331",LEFT($G591,3)="331"),$I591=""),"Thiếu Mã ĐT! ","")&amp;IF(AND($I591&lt;&gt;"",COUNTIF(DM_DT!$A$7:$A$306,$I591)=0),"Mã ĐT chưa khai báo! ","")))</f>
        <v/>
      </c>
      <c r="M591" s="117">
        <f>IF($H591="","",IF(AND(OR(LEFT($F591,3)="111",LEFT($F591,3)="112",LEFT($F591,3)="113"),OR(LEFT($G591,3)="111",LEFT($G591,3)="112",LEFT($G591,3)="113")),"NB",IF(OR(LEFT($F591,3)="111",LEFT($F591,3)="112",LEFT($F591,3)="113"),"THU",IF(OR(LEFT($G591,3)="111",LEFT($G591,3)="112",LEFT($G591,3)="113"),"CHI",""))))</f>
        <v/>
      </c>
      <c r="N591" s="117">
        <f>IF($M591="THU",$G591,IF($M591="CHI",$F591,""))</f>
        <v/>
      </c>
      <c r="O591" s="117">
        <f>IF(OR($M591="",$M591="NB"),"",IF($J591&lt;&gt;"",TEXT($J591,"00"),IFERROR(VLOOKUP(LEFT($N591,4),LCTT_MAP!$A$7:$C$66,IF($M591="THU",2,3),FALSE()),IFERROR(VLOOKUP(LEFT($N591,3),LCTT_MAP!$A$7:$C$66,IF($M591="THU",2,3),FALSE()),IFERROR(VLOOKUP(LEFT($N591,2),LCTT_MAP!$A$7:$C$66,IF($M591="THU",2,3),FALSE()),IFERROR(VLOOKUP(LEFT($N591,1),LCTT_MAP!$A$7:$C$66,IF($M591="THU",2,3),FALSE()),IF($M591="THU","06","07")))))))</f>
        <v/>
      </c>
      <c r="P591" s="117">
        <f>P590+IF(AND($H591&lt;&gt;"",OR(LEFT($F591,LEN(SC_TK))=SC_TK,LEFT($G591,LEN(SC_TK))=SC_TK)),1,0)</f>
        <v/>
      </c>
    </row>
    <row r="592" ht="15" customHeight="1" s="78">
      <c r="A592" s="95">
        <f>IF($H592="","",ROW()-6)</f>
        <v/>
      </c>
      <c r="B592" s="114" t="n"/>
      <c r="C592" s="102" t="n"/>
      <c r="D592" s="114" t="n"/>
      <c r="E592" s="103" t="n"/>
      <c r="F592" s="102" t="n"/>
      <c r="G592" s="102" t="n"/>
      <c r="H592" s="115" t="n"/>
      <c r="I592" s="102" t="n"/>
      <c r="J592" s="102" t="n"/>
      <c r="K592" s="103" t="n"/>
      <c r="L592" s="116">
        <f>IF($H592="","",TRIM(IF(COUNTIF(DMTK!$A$7:$A$250,$F592)=0,"TK Nợ sai! ","")&amp;IF(COUNTIF(DMTK!$A$7:$A$250,$G592)=0,"TK Có sai! ","")&amp;IF(N($H592)&lt;=0,"Tiền phải &gt; 0! ","")&amp;IF($B592="","Thiếu ngày! ","")&amp;IF(AND(OR(LEFT($F592,3)="131",LEFT($G592,3)="131",LEFT($F592,3)="331",LEFT($G592,3)="331"),$I592=""),"Thiếu Mã ĐT! ","")&amp;IF(AND($I592&lt;&gt;"",COUNTIF(DM_DT!$A$7:$A$306,$I592)=0),"Mã ĐT chưa khai báo! ","")))</f>
        <v/>
      </c>
      <c r="M592" s="117">
        <f>IF($H592="","",IF(AND(OR(LEFT($F592,3)="111",LEFT($F592,3)="112",LEFT($F592,3)="113"),OR(LEFT($G592,3)="111",LEFT($G592,3)="112",LEFT($G592,3)="113")),"NB",IF(OR(LEFT($F592,3)="111",LEFT($F592,3)="112",LEFT($F592,3)="113"),"THU",IF(OR(LEFT($G592,3)="111",LEFT($G592,3)="112",LEFT($G592,3)="113"),"CHI",""))))</f>
        <v/>
      </c>
      <c r="N592" s="117">
        <f>IF($M592="THU",$G592,IF($M592="CHI",$F592,""))</f>
        <v/>
      </c>
      <c r="O592" s="117">
        <f>IF(OR($M592="",$M592="NB"),"",IF($J592&lt;&gt;"",TEXT($J592,"00"),IFERROR(VLOOKUP(LEFT($N592,4),LCTT_MAP!$A$7:$C$66,IF($M592="THU",2,3),FALSE()),IFERROR(VLOOKUP(LEFT($N592,3),LCTT_MAP!$A$7:$C$66,IF($M592="THU",2,3),FALSE()),IFERROR(VLOOKUP(LEFT($N592,2),LCTT_MAP!$A$7:$C$66,IF($M592="THU",2,3),FALSE()),IFERROR(VLOOKUP(LEFT($N592,1),LCTT_MAP!$A$7:$C$66,IF($M592="THU",2,3),FALSE()),IF($M592="THU","06","07")))))))</f>
        <v/>
      </c>
      <c r="P592" s="117">
        <f>P591+IF(AND($H592&lt;&gt;"",OR(LEFT($F592,LEN(SC_TK))=SC_TK,LEFT($G592,LEN(SC_TK))=SC_TK)),1,0)</f>
        <v/>
      </c>
    </row>
    <row r="593" ht="15" customHeight="1" s="78">
      <c r="A593" s="95">
        <f>IF($H593="","",ROW()-6)</f>
        <v/>
      </c>
      <c r="B593" s="114" t="n"/>
      <c r="C593" s="102" t="n"/>
      <c r="D593" s="114" t="n"/>
      <c r="E593" s="103" t="n"/>
      <c r="F593" s="102" t="n"/>
      <c r="G593" s="102" t="n"/>
      <c r="H593" s="115" t="n"/>
      <c r="I593" s="102" t="n"/>
      <c r="J593" s="102" t="n"/>
      <c r="K593" s="103" t="n"/>
      <c r="L593" s="116">
        <f>IF($H593="","",TRIM(IF(COUNTIF(DMTK!$A$7:$A$250,$F593)=0,"TK Nợ sai! ","")&amp;IF(COUNTIF(DMTK!$A$7:$A$250,$G593)=0,"TK Có sai! ","")&amp;IF(N($H593)&lt;=0,"Tiền phải &gt; 0! ","")&amp;IF($B593="","Thiếu ngày! ","")&amp;IF(AND(OR(LEFT($F593,3)="131",LEFT($G593,3)="131",LEFT($F593,3)="331",LEFT($G593,3)="331"),$I593=""),"Thiếu Mã ĐT! ","")&amp;IF(AND($I593&lt;&gt;"",COUNTIF(DM_DT!$A$7:$A$306,$I593)=0),"Mã ĐT chưa khai báo! ","")))</f>
        <v/>
      </c>
      <c r="M593" s="117">
        <f>IF($H593="","",IF(AND(OR(LEFT($F593,3)="111",LEFT($F593,3)="112",LEFT($F593,3)="113"),OR(LEFT($G593,3)="111",LEFT($G593,3)="112",LEFT($G593,3)="113")),"NB",IF(OR(LEFT($F593,3)="111",LEFT($F593,3)="112",LEFT($F593,3)="113"),"THU",IF(OR(LEFT($G593,3)="111",LEFT($G593,3)="112",LEFT($G593,3)="113"),"CHI",""))))</f>
        <v/>
      </c>
      <c r="N593" s="117">
        <f>IF($M593="THU",$G593,IF($M593="CHI",$F593,""))</f>
        <v/>
      </c>
      <c r="O593" s="117">
        <f>IF(OR($M593="",$M593="NB"),"",IF($J593&lt;&gt;"",TEXT($J593,"00"),IFERROR(VLOOKUP(LEFT($N593,4),LCTT_MAP!$A$7:$C$66,IF($M593="THU",2,3),FALSE()),IFERROR(VLOOKUP(LEFT($N593,3),LCTT_MAP!$A$7:$C$66,IF($M593="THU",2,3),FALSE()),IFERROR(VLOOKUP(LEFT($N593,2),LCTT_MAP!$A$7:$C$66,IF($M593="THU",2,3),FALSE()),IFERROR(VLOOKUP(LEFT($N593,1),LCTT_MAP!$A$7:$C$66,IF($M593="THU",2,3),FALSE()),IF($M593="THU","06","07")))))))</f>
        <v/>
      </c>
      <c r="P593" s="117">
        <f>P592+IF(AND($H593&lt;&gt;"",OR(LEFT($F593,LEN(SC_TK))=SC_TK,LEFT($G593,LEN(SC_TK))=SC_TK)),1,0)</f>
        <v/>
      </c>
    </row>
    <row r="594" ht="15" customHeight="1" s="78">
      <c r="A594" s="95">
        <f>IF($H594="","",ROW()-6)</f>
        <v/>
      </c>
      <c r="B594" s="114" t="n"/>
      <c r="C594" s="102" t="n"/>
      <c r="D594" s="114" t="n"/>
      <c r="E594" s="103" t="n"/>
      <c r="F594" s="102" t="n"/>
      <c r="G594" s="102" t="n"/>
      <c r="H594" s="115" t="n"/>
      <c r="I594" s="102" t="n"/>
      <c r="J594" s="102" t="n"/>
      <c r="K594" s="103" t="n"/>
      <c r="L594" s="116">
        <f>IF($H594="","",TRIM(IF(COUNTIF(DMTK!$A$7:$A$250,$F594)=0,"TK Nợ sai! ","")&amp;IF(COUNTIF(DMTK!$A$7:$A$250,$G594)=0,"TK Có sai! ","")&amp;IF(N($H594)&lt;=0,"Tiền phải &gt; 0! ","")&amp;IF($B594="","Thiếu ngày! ","")&amp;IF(AND(OR(LEFT($F594,3)="131",LEFT($G594,3)="131",LEFT($F594,3)="331",LEFT($G594,3)="331"),$I594=""),"Thiếu Mã ĐT! ","")&amp;IF(AND($I594&lt;&gt;"",COUNTIF(DM_DT!$A$7:$A$306,$I594)=0),"Mã ĐT chưa khai báo! ","")))</f>
        <v/>
      </c>
      <c r="M594" s="117">
        <f>IF($H594="","",IF(AND(OR(LEFT($F594,3)="111",LEFT($F594,3)="112",LEFT($F594,3)="113"),OR(LEFT($G594,3)="111",LEFT($G594,3)="112",LEFT($G594,3)="113")),"NB",IF(OR(LEFT($F594,3)="111",LEFT($F594,3)="112",LEFT($F594,3)="113"),"THU",IF(OR(LEFT($G594,3)="111",LEFT($G594,3)="112",LEFT($G594,3)="113"),"CHI",""))))</f>
        <v/>
      </c>
      <c r="N594" s="117">
        <f>IF($M594="THU",$G594,IF($M594="CHI",$F594,""))</f>
        <v/>
      </c>
      <c r="O594" s="117">
        <f>IF(OR($M594="",$M594="NB"),"",IF($J594&lt;&gt;"",TEXT($J594,"00"),IFERROR(VLOOKUP(LEFT($N594,4),LCTT_MAP!$A$7:$C$66,IF($M594="THU",2,3),FALSE()),IFERROR(VLOOKUP(LEFT($N594,3),LCTT_MAP!$A$7:$C$66,IF($M594="THU",2,3),FALSE()),IFERROR(VLOOKUP(LEFT($N594,2),LCTT_MAP!$A$7:$C$66,IF($M594="THU",2,3),FALSE()),IFERROR(VLOOKUP(LEFT($N594,1),LCTT_MAP!$A$7:$C$66,IF($M594="THU",2,3),FALSE()),IF($M594="THU","06","07")))))))</f>
        <v/>
      </c>
      <c r="P594" s="117">
        <f>P593+IF(AND($H594&lt;&gt;"",OR(LEFT($F594,LEN(SC_TK))=SC_TK,LEFT($G594,LEN(SC_TK))=SC_TK)),1,0)</f>
        <v/>
      </c>
    </row>
    <row r="595" ht="15" customHeight="1" s="78">
      <c r="A595" s="95">
        <f>IF($H595="","",ROW()-6)</f>
        <v/>
      </c>
      <c r="B595" s="114" t="n"/>
      <c r="C595" s="102" t="n"/>
      <c r="D595" s="114" t="n"/>
      <c r="E595" s="103" t="n"/>
      <c r="F595" s="102" t="n"/>
      <c r="G595" s="102" t="n"/>
      <c r="H595" s="115" t="n"/>
      <c r="I595" s="102" t="n"/>
      <c r="J595" s="102" t="n"/>
      <c r="K595" s="103" t="n"/>
      <c r="L595" s="116">
        <f>IF($H595="","",TRIM(IF(COUNTIF(DMTK!$A$7:$A$250,$F595)=0,"TK Nợ sai! ","")&amp;IF(COUNTIF(DMTK!$A$7:$A$250,$G595)=0,"TK Có sai! ","")&amp;IF(N($H595)&lt;=0,"Tiền phải &gt; 0! ","")&amp;IF($B595="","Thiếu ngày! ","")&amp;IF(AND(OR(LEFT($F595,3)="131",LEFT($G595,3)="131",LEFT($F595,3)="331",LEFT($G595,3)="331"),$I595=""),"Thiếu Mã ĐT! ","")&amp;IF(AND($I595&lt;&gt;"",COUNTIF(DM_DT!$A$7:$A$306,$I595)=0),"Mã ĐT chưa khai báo! ","")))</f>
        <v/>
      </c>
      <c r="M595" s="117">
        <f>IF($H595="","",IF(AND(OR(LEFT($F595,3)="111",LEFT($F595,3)="112",LEFT($F595,3)="113"),OR(LEFT($G595,3)="111",LEFT($G595,3)="112",LEFT($G595,3)="113")),"NB",IF(OR(LEFT($F595,3)="111",LEFT($F595,3)="112",LEFT($F595,3)="113"),"THU",IF(OR(LEFT($G595,3)="111",LEFT($G595,3)="112",LEFT($G595,3)="113"),"CHI",""))))</f>
        <v/>
      </c>
      <c r="N595" s="117">
        <f>IF($M595="THU",$G595,IF($M595="CHI",$F595,""))</f>
        <v/>
      </c>
      <c r="O595" s="117">
        <f>IF(OR($M595="",$M595="NB"),"",IF($J595&lt;&gt;"",TEXT($J595,"00"),IFERROR(VLOOKUP(LEFT($N595,4),LCTT_MAP!$A$7:$C$66,IF($M595="THU",2,3),FALSE()),IFERROR(VLOOKUP(LEFT($N595,3),LCTT_MAP!$A$7:$C$66,IF($M595="THU",2,3),FALSE()),IFERROR(VLOOKUP(LEFT($N595,2),LCTT_MAP!$A$7:$C$66,IF($M595="THU",2,3),FALSE()),IFERROR(VLOOKUP(LEFT($N595,1),LCTT_MAP!$A$7:$C$66,IF($M595="THU",2,3),FALSE()),IF($M595="THU","06","07")))))))</f>
        <v/>
      </c>
      <c r="P595" s="117">
        <f>P594+IF(AND($H595&lt;&gt;"",OR(LEFT($F595,LEN(SC_TK))=SC_TK,LEFT($G595,LEN(SC_TK))=SC_TK)),1,0)</f>
        <v/>
      </c>
    </row>
    <row r="596" ht="15" customHeight="1" s="78">
      <c r="A596" s="95">
        <f>IF($H596="","",ROW()-6)</f>
        <v/>
      </c>
      <c r="B596" s="114" t="n"/>
      <c r="C596" s="102" t="n"/>
      <c r="D596" s="114" t="n"/>
      <c r="E596" s="103" t="n"/>
      <c r="F596" s="102" t="n"/>
      <c r="G596" s="102" t="n"/>
      <c r="H596" s="115" t="n"/>
      <c r="I596" s="102" t="n"/>
      <c r="J596" s="102" t="n"/>
      <c r="K596" s="103" t="n"/>
      <c r="L596" s="116">
        <f>IF($H596="","",TRIM(IF(COUNTIF(DMTK!$A$7:$A$250,$F596)=0,"TK Nợ sai! ","")&amp;IF(COUNTIF(DMTK!$A$7:$A$250,$G596)=0,"TK Có sai! ","")&amp;IF(N($H596)&lt;=0,"Tiền phải &gt; 0! ","")&amp;IF($B596="","Thiếu ngày! ","")&amp;IF(AND(OR(LEFT($F596,3)="131",LEFT($G596,3)="131",LEFT($F596,3)="331",LEFT($G596,3)="331"),$I596=""),"Thiếu Mã ĐT! ","")&amp;IF(AND($I596&lt;&gt;"",COUNTIF(DM_DT!$A$7:$A$306,$I596)=0),"Mã ĐT chưa khai báo! ","")))</f>
        <v/>
      </c>
      <c r="M596" s="117">
        <f>IF($H596="","",IF(AND(OR(LEFT($F596,3)="111",LEFT($F596,3)="112",LEFT($F596,3)="113"),OR(LEFT($G596,3)="111",LEFT($G596,3)="112",LEFT($G596,3)="113")),"NB",IF(OR(LEFT($F596,3)="111",LEFT($F596,3)="112",LEFT($F596,3)="113"),"THU",IF(OR(LEFT($G596,3)="111",LEFT($G596,3)="112",LEFT($G596,3)="113"),"CHI",""))))</f>
        <v/>
      </c>
      <c r="N596" s="117">
        <f>IF($M596="THU",$G596,IF($M596="CHI",$F596,""))</f>
        <v/>
      </c>
      <c r="O596" s="117">
        <f>IF(OR($M596="",$M596="NB"),"",IF($J596&lt;&gt;"",TEXT($J596,"00"),IFERROR(VLOOKUP(LEFT($N596,4),LCTT_MAP!$A$7:$C$66,IF($M596="THU",2,3),FALSE()),IFERROR(VLOOKUP(LEFT($N596,3),LCTT_MAP!$A$7:$C$66,IF($M596="THU",2,3),FALSE()),IFERROR(VLOOKUP(LEFT($N596,2),LCTT_MAP!$A$7:$C$66,IF($M596="THU",2,3),FALSE()),IFERROR(VLOOKUP(LEFT($N596,1),LCTT_MAP!$A$7:$C$66,IF($M596="THU",2,3),FALSE()),IF($M596="THU","06","07")))))))</f>
        <v/>
      </c>
      <c r="P596" s="117">
        <f>P595+IF(AND($H596&lt;&gt;"",OR(LEFT($F596,LEN(SC_TK))=SC_TK,LEFT($G596,LEN(SC_TK))=SC_TK)),1,0)</f>
        <v/>
      </c>
    </row>
    <row r="597" ht="15" customHeight="1" s="78">
      <c r="A597" s="95">
        <f>IF($H597="","",ROW()-6)</f>
        <v/>
      </c>
      <c r="B597" s="114" t="n"/>
      <c r="C597" s="102" t="n"/>
      <c r="D597" s="114" t="n"/>
      <c r="E597" s="103" t="n"/>
      <c r="F597" s="102" t="n"/>
      <c r="G597" s="102" t="n"/>
      <c r="H597" s="115" t="n"/>
      <c r="I597" s="102" t="n"/>
      <c r="J597" s="102" t="n"/>
      <c r="K597" s="103" t="n"/>
      <c r="L597" s="116">
        <f>IF($H597="","",TRIM(IF(COUNTIF(DMTK!$A$7:$A$250,$F597)=0,"TK Nợ sai! ","")&amp;IF(COUNTIF(DMTK!$A$7:$A$250,$G597)=0,"TK Có sai! ","")&amp;IF(N($H597)&lt;=0,"Tiền phải &gt; 0! ","")&amp;IF($B597="","Thiếu ngày! ","")&amp;IF(AND(OR(LEFT($F597,3)="131",LEFT($G597,3)="131",LEFT($F597,3)="331",LEFT($G597,3)="331"),$I597=""),"Thiếu Mã ĐT! ","")&amp;IF(AND($I597&lt;&gt;"",COUNTIF(DM_DT!$A$7:$A$306,$I597)=0),"Mã ĐT chưa khai báo! ","")))</f>
        <v/>
      </c>
      <c r="M597" s="117">
        <f>IF($H597="","",IF(AND(OR(LEFT($F597,3)="111",LEFT($F597,3)="112",LEFT($F597,3)="113"),OR(LEFT($G597,3)="111",LEFT($G597,3)="112",LEFT($G597,3)="113")),"NB",IF(OR(LEFT($F597,3)="111",LEFT($F597,3)="112",LEFT($F597,3)="113"),"THU",IF(OR(LEFT($G597,3)="111",LEFT($G597,3)="112",LEFT($G597,3)="113"),"CHI",""))))</f>
        <v/>
      </c>
      <c r="N597" s="117">
        <f>IF($M597="THU",$G597,IF($M597="CHI",$F597,""))</f>
        <v/>
      </c>
      <c r="O597" s="117">
        <f>IF(OR($M597="",$M597="NB"),"",IF($J597&lt;&gt;"",TEXT($J597,"00"),IFERROR(VLOOKUP(LEFT($N597,4),LCTT_MAP!$A$7:$C$66,IF($M597="THU",2,3),FALSE()),IFERROR(VLOOKUP(LEFT($N597,3),LCTT_MAP!$A$7:$C$66,IF($M597="THU",2,3),FALSE()),IFERROR(VLOOKUP(LEFT($N597,2),LCTT_MAP!$A$7:$C$66,IF($M597="THU",2,3),FALSE()),IFERROR(VLOOKUP(LEFT($N597,1),LCTT_MAP!$A$7:$C$66,IF($M597="THU",2,3),FALSE()),IF($M597="THU","06","07")))))))</f>
        <v/>
      </c>
      <c r="P597" s="117">
        <f>P596+IF(AND($H597&lt;&gt;"",OR(LEFT($F597,LEN(SC_TK))=SC_TK,LEFT($G597,LEN(SC_TK))=SC_TK)),1,0)</f>
        <v/>
      </c>
    </row>
    <row r="598" ht="15" customHeight="1" s="78">
      <c r="A598" s="95">
        <f>IF($H598="","",ROW()-6)</f>
        <v/>
      </c>
      <c r="B598" s="114" t="n"/>
      <c r="C598" s="102" t="n"/>
      <c r="D598" s="114" t="n"/>
      <c r="E598" s="103" t="n"/>
      <c r="F598" s="102" t="n"/>
      <c r="G598" s="102" t="n"/>
      <c r="H598" s="115" t="n"/>
      <c r="I598" s="102" t="n"/>
      <c r="J598" s="102" t="n"/>
      <c r="K598" s="103" t="n"/>
      <c r="L598" s="116">
        <f>IF($H598="","",TRIM(IF(COUNTIF(DMTK!$A$7:$A$250,$F598)=0,"TK Nợ sai! ","")&amp;IF(COUNTIF(DMTK!$A$7:$A$250,$G598)=0,"TK Có sai! ","")&amp;IF(N($H598)&lt;=0,"Tiền phải &gt; 0! ","")&amp;IF($B598="","Thiếu ngày! ","")&amp;IF(AND(OR(LEFT($F598,3)="131",LEFT($G598,3)="131",LEFT($F598,3)="331",LEFT($G598,3)="331"),$I598=""),"Thiếu Mã ĐT! ","")&amp;IF(AND($I598&lt;&gt;"",COUNTIF(DM_DT!$A$7:$A$306,$I598)=0),"Mã ĐT chưa khai báo! ","")))</f>
        <v/>
      </c>
      <c r="M598" s="117">
        <f>IF($H598="","",IF(AND(OR(LEFT($F598,3)="111",LEFT($F598,3)="112",LEFT($F598,3)="113"),OR(LEFT($G598,3)="111",LEFT($G598,3)="112",LEFT($G598,3)="113")),"NB",IF(OR(LEFT($F598,3)="111",LEFT($F598,3)="112",LEFT($F598,3)="113"),"THU",IF(OR(LEFT($G598,3)="111",LEFT($G598,3)="112",LEFT($G598,3)="113"),"CHI",""))))</f>
        <v/>
      </c>
      <c r="N598" s="117">
        <f>IF($M598="THU",$G598,IF($M598="CHI",$F598,""))</f>
        <v/>
      </c>
      <c r="O598" s="117">
        <f>IF(OR($M598="",$M598="NB"),"",IF($J598&lt;&gt;"",TEXT($J598,"00"),IFERROR(VLOOKUP(LEFT($N598,4),LCTT_MAP!$A$7:$C$66,IF($M598="THU",2,3),FALSE()),IFERROR(VLOOKUP(LEFT($N598,3),LCTT_MAP!$A$7:$C$66,IF($M598="THU",2,3),FALSE()),IFERROR(VLOOKUP(LEFT($N598,2),LCTT_MAP!$A$7:$C$66,IF($M598="THU",2,3),FALSE()),IFERROR(VLOOKUP(LEFT($N598,1),LCTT_MAP!$A$7:$C$66,IF($M598="THU",2,3),FALSE()),IF($M598="THU","06","07")))))))</f>
        <v/>
      </c>
      <c r="P598" s="117">
        <f>P597+IF(AND($H598&lt;&gt;"",OR(LEFT($F598,LEN(SC_TK))=SC_TK,LEFT($G598,LEN(SC_TK))=SC_TK)),1,0)</f>
        <v/>
      </c>
    </row>
    <row r="599" ht="15" customHeight="1" s="78">
      <c r="A599" s="95">
        <f>IF($H599="","",ROW()-6)</f>
        <v/>
      </c>
      <c r="B599" s="114" t="n"/>
      <c r="C599" s="102" t="n"/>
      <c r="D599" s="114" t="n"/>
      <c r="E599" s="103" t="n"/>
      <c r="F599" s="102" t="n"/>
      <c r="G599" s="102" t="n"/>
      <c r="H599" s="115" t="n"/>
      <c r="I599" s="102" t="n"/>
      <c r="J599" s="102" t="n"/>
      <c r="K599" s="103" t="n"/>
      <c r="L599" s="116">
        <f>IF($H599="","",TRIM(IF(COUNTIF(DMTK!$A$7:$A$250,$F599)=0,"TK Nợ sai! ","")&amp;IF(COUNTIF(DMTK!$A$7:$A$250,$G599)=0,"TK Có sai! ","")&amp;IF(N($H599)&lt;=0,"Tiền phải &gt; 0! ","")&amp;IF($B599="","Thiếu ngày! ","")&amp;IF(AND(OR(LEFT($F599,3)="131",LEFT($G599,3)="131",LEFT($F599,3)="331",LEFT($G599,3)="331"),$I599=""),"Thiếu Mã ĐT! ","")&amp;IF(AND($I599&lt;&gt;"",COUNTIF(DM_DT!$A$7:$A$306,$I599)=0),"Mã ĐT chưa khai báo! ","")))</f>
        <v/>
      </c>
      <c r="M599" s="117">
        <f>IF($H599="","",IF(AND(OR(LEFT($F599,3)="111",LEFT($F599,3)="112",LEFT($F599,3)="113"),OR(LEFT($G599,3)="111",LEFT($G599,3)="112",LEFT($G599,3)="113")),"NB",IF(OR(LEFT($F599,3)="111",LEFT($F599,3)="112",LEFT($F599,3)="113"),"THU",IF(OR(LEFT($G599,3)="111",LEFT($G599,3)="112",LEFT($G599,3)="113"),"CHI",""))))</f>
        <v/>
      </c>
      <c r="N599" s="117">
        <f>IF($M599="THU",$G599,IF($M599="CHI",$F599,""))</f>
        <v/>
      </c>
      <c r="O599" s="117">
        <f>IF(OR($M599="",$M599="NB"),"",IF($J599&lt;&gt;"",TEXT($J599,"00"),IFERROR(VLOOKUP(LEFT($N599,4),LCTT_MAP!$A$7:$C$66,IF($M599="THU",2,3),FALSE()),IFERROR(VLOOKUP(LEFT($N599,3),LCTT_MAP!$A$7:$C$66,IF($M599="THU",2,3),FALSE()),IFERROR(VLOOKUP(LEFT($N599,2),LCTT_MAP!$A$7:$C$66,IF($M599="THU",2,3),FALSE()),IFERROR(VLOOKUP(LEFT($N599,1),LCTT_MAP!$A$7:$C$66,IF($M599="THU",2,3),FALSE()),IF($M599="THU","06","07")))))))</f>
        <v/>
      </c>
      <c r="P599" s="117">
        <f>P598+IF(AND($H599&lt;&gt;"",OR(LEFT($F599,LEN(SC_TK))=SC_TK,LEFT($G599,LEN(SC_TK))=SC_TK)),1,0)</f>
        <v/>
      </c>
    </row>
    <row r="600" ht="15" customHeight="1" s="78">
      <c r="A600" s="95">
        <f>IF($H600="","",ROW()-6)</f>
        <v/>
      </c>
      <c r="B600" s="114" t="n"/>
      <c r="C600" s="102" t="n"/>
      <c r="D600" s="114" t="n"/>
      <c r="E600" s="103" t="n"/>
      <c r="F600" s="102" t="n"/>
      <c r="G600" s="102" t="n"/>
      <c r="H600" s="115" t="n"/>
      <c r="I600" s="102" t="n"/>
      <c r="J600" s="102" t="n"/>
      <c r="K600" s="103" t="n"/>
      <c r="L600" s="116">
        <f>IF($H600="","",TRIM(IF(COUNTIF(DMTK!$A$7:$A$250,$F600)=0,"TK Nợ sai! ","")&amp;IF(COUNTIF(DMTK!$A$7:$A$250,$G600)=0,"TK Có sai! ","")&amp;IF(N($H600)&lt;=0,"Tiền phải &gt; 0! ","")&amp;IF($B600="","Thiếu ngày! ","")&amp;IF(AND(OR(LEFT($F600,3)="131",LEFT($G600,3)="131",LEFT($F600,3)="331",LEFT($G600,3)="331"),$I600=""),"Thiếu Mã ĐT! ","")&amp;IF(AND($I600&lt;&gt;"",COUNTIF(DM_DT!$A$7:$A$306,$I600)=0),"Mã ĐT chưa khai báo! ","")))</f>
        <v/>
      </c>
      <c r="M600" s="117">
        <f>IF($H600="","",IF(AND(OR(LEFT($F600,3)="111",LEFT($F600,3)="112",LEFT($F600,3)="113"),OR(LEFT($G600,3)="111",LEFT($G600,3)="112",LEFT($G600,3)="113")),"NB",IF(OR(LEFT($F600,3)="111",LEFT($F600,3)="112",LEFT($F600,3)="113"),"THU",IF(OR(LEFT($G600,3)="111",LEFT($G600,3)="112",LEFT($G600,3)="113"),"CHI",""))))</f>
        <v/>
      </c>
      <c r="N600" s="117">
        <f>IF($M600="THU",$G600,IF($M600="CHI",$F600,""))</f>
        <v/>
      </c>
      <c r="O600" s="117">
        <f>IF(OR($M600="",$M600="NB"),"",IF($J600&lt;&gt;"",TEXT($J600,"00"),IFERROR(VLOOKUP(LEFT($N600,4),LCTT_MAP!$A$7:$C$66,IF($M600="THU",2,3),FALSE()),IFERROR(VLOOKUP(LEFT($N600,3),LCTT_MAP!$A$7:$C$66,IF($M600="THU",2,3),FALSE()),IFERROR(VLOOKUP(LEFT($N600,2),LCTT_MAP!$A$7:$C$66,IF($M600="THU",2,3),FALSE()),IFERROR(VLOOKUP(LEFT($N600,1),LCTT_MAP!$A$7:$C$66,IF($M600="THU",2,3),FALSE()),IF($M600="THU","06","07")))))))</f>
        <v/>
      </c>
      <c r="P600" s="117">
        <f>P599+IF(AND($H600&lt;&gt;"",OR(LEFT($F600,LEN(SC_TK))=SC_TK,LEFT($G600,LEN(SC_TK))=SC_TK)),1,0)</f>
        <v/>
      </c>
    </row>
    <row r="601" ht="15" customHeight="1" s="78">
      <c r="A601" s="95">
        <f>IF($H601="","",ROW()-6)</f>
        <v/>
      </c>
      <c r="B601" s="114" t="n"/>
      <c r="C601" s="102" t="n"/>
      <c r="D601" s="114" t="n"/>
      <c r="E601" s="103" t="n"/>
      <c r="F601" s="102" t="n"/>
      <c r="G601" s="102" t="n"/>
      <c r="H601" s="115" t="n"/>
      <c r="I601" s="102" t="n"/>
      <c r="J601" s="102" t="n"/>
      <c r="K601" s="103" t="n"/>
      <c r="L601" s="116">
        <f>IF($H601="","",TRIM(IF(COUNTIF(DMTK!$A$7:$A$250,$F601)=0,"TK Nợ sai! ","")&amp;IF(COUNTIF(DMTK!$A$7:$A$250,$G601)=0,"TK Có sai! ","")&amp;IF(N($H601)&lt;=0,"Tiền phải &gt; 0! ","")&amp;IF($B601="","Thiếu ngày! ","")&amp;IF(AND(OR(LEFT($F601,3)="131",LEFT($G601,3)="131",LEFT($F601,3)="331",LEFT($G601,3)="331"),$I601=""),"Thiếu Mã ĐT! ","")&amp;IF(AND($I601&lt;&gt;"",COUNTIF(DM_DT!$A$7:$A$306,$I601)=0),"Mã ĐT chưa khai báo! ","")))</f>
        <v/>
      </c>
      <c r="M601" s="117">
        <f>IF($H601="","",IF(AND(OR(LEFT($F601,3)="111",LEFT($F601,3)="112",LEFT($F601,3)="113"),OR(LEFT($G601,3)="111",LEFT($G601,3)="112",LEFT($G601,3)="113")),"NB",IF(OR(LEFT($F601,3)="111",LEFT($F601,3)="112",LEFT($F601,3)="113"),"THU",IF(OR(LEFT($G601,3)="111",LEFT($G601,3)="112",LEFT($G601,3)="113"),"CHI",""))))</f>
        <v/>
      </c>
      <c r="N601" s="117">
        <f>IF($M601="THU",$G601,IF($M601="CHI",$F601,""))</f>
        <v/>
      </c>
      <c r="O601" s="117">
        <f>IF(OR($M601="",$M601="NB"),"",IF($J601&lt;&gt;"",TEXT($J601,"00"),IFERROR(VLOOKUP(LEFT($N601,4),LCTT_MAP!$A$7:$C$66,IF($M601="THU",2,3),FALSE()),IFERROR(VLOOKUP(LEFT($N601,3),LCTT_MAP!$A$7:$C$66,IF($M601="THU",2,3),FALSE()),IFERROR(VLOOKUP(LEFT($N601,2),LCTT_MAP!$A$7:$C$66,IF($M601="THU",2,3),FALSE()),IFERROR(VLOOKUP(LEFT($N601,1),LCTT_MAP!$A$7:$C$66,IF($M601="THU",2,3),FALSE()),IF($M601="THU","06","07")))))))</f>
        <v/>
      </c>
      <c r="P601" s="117">
        <f>P600+IF(AND($H601&lt;&gt;"",OR(LEFT($F601,LEN(SC_TK))=SC_TK,LEFT($G601,LEN(SC_TK))=SC_TK)),1,0)</f>
        <v/>
      </c>
    </row>
    <row r="602" ht="15" customHeight="1" s="78">
      <c r="A602" s="95">
        <f>IF($H602="","",ROW()-6)</f>
        <v/>
      </c>
      <c r="B602" s="114" t="n"/>
      <c r="C602" s="102" t="n"/>
      <c r="D602" s="114" t="n"/>
      <c r="E602" s="103" t="n"/>
      <c r="F602" s="102" t="n"/>
      <c r="G602" s="102" t="n"/>
      <c r="H602" s="115" t="n"/>
      <c r="I602" s="102" t="n"/>
      <c r="J602" s="102" t="n"/>
      <c r="K602" s="103" t="n"/>
      <c r="L602" s="116">
        <f>IF($H602="","",TRIM(IF(COUNTIF(DMTK!$A$7:$A$250,$F602)=0,"TK Nợ sai! ","")&amp;IF(COUNTIF(DMTK!$A$7:$A$250,$G602)=0,"TK Có sai! ","")&amp;IF(N($H602)&lt;=0,"Tiền phải &gt; 0! ","")&amp;IF($B602="","Thiếu ngày! ","")&amp;IF(AND(OR(LEFT($F602,3)="131",LEFT($G602,3)="131",LEFT($F602,3)="331",LEFT($G602,3)="331"),$I602=""),"Thiếu Mã ĐT! ","")&amp;IF(AND($I602&lt;&gt;"",COUNTIF(DM_DT!$A$7:$A$306,$I602)=0),"Mã ĐT chưa khai báo! ","")))</f>
        <v/>
      </c>
      <c r="M602" s="117">
        <f>IF($H602="","",IF(AND(OR(LEFT($F602,3)="111",LEFT($F602,3)="112",LEFT($F602,3)="113"),OR(LEFT($G602,3)="111",LEFT($G602,3)="112",LEFT($G602,3)="113")),"NB",IF(OR(LEFT($F602,3)="111",LEFT($F602,3)="112",LEFT($F602,3)="113"),"THU",IF(OR(LEFT($G602,3)="111",LEFT($G602,3)="112",LEFT($G602,3)="113"),"CHI",""))))</f>
        <v/>
      </c>
      <c r="N602" s="117">
        <f>IF($M602="THU",$G602,IF($M602="CHI",$F602,""))</f>
        <v/>
      </c>
      <c r="O602" s="117">
        <f>IF(OR($M602="",$M602="NB"),"",IF($J602&lt;&gt;"",TEXT($J602,"00"),IFERROR(VLOOKUP(LEFT($N602,4),LCTT_MAP!$A$7:$C$66,IF($M602="THU",2,3),FALSE()),IFERROR(VLOOKUP(LEFT($N602,3),LCTT_MAP!$A$7:$C$66,IF($M602="THU",2,3),FALSE()),IFERROR(VLOOKUP(LEFT($N602,2),LCTT_MAP!$A$7:$C$66,IF($M602="THU",2,3),FALSE()),IFERROR(VLOOKUP(LEFT($N602,1),LCTT_MAP!$A$7:$C$66,IF($M602="THU",2,3),FALSE()),IF($M602="THU","06","07")))))))</f>
        <v/>
      </c>
      <c r="P602" s="117">
        <f>P601+IF(AND($H602&lt;&gt;"",OR(LEFT($F602,LEN(SC_TK))=SC_TK,LEFT($G602,LEN(SC_TK))=SC_TK)),1,0)</f>
        <v/>
      </c>
    </row>
    <row r="603" ht="15" customHeight="1" s="78">
      <c r="A603" s="95">
        <f>IF($H603="","",ROW()-6)</f>
        <v/>
      </c>
      <c r="B603" s="114" t="n"/>
      <c r="C603" s="102" t="n"/>
      <c r="D603" s="114" t="n"/>
      <c r="E603" s="103" t="n"/>
      <c r="F603" s="102" t="n"/>
      <c r="G603" s="102" t="n"/>
      <c r="H603" s="115" t="n"/>
      <c r="I603" s="102" t="n"/>
      <c r="J603" s="102" t="n"/>
      <c r="K603" s="103" t="n"/>
      <c r="L603" s="116">
        <f>IF($H603="","",TRIM(IF(COUNTIF(DMTK!$A$7:$A$250,$F603)=0,"TK Nợ sai! ","")&amp;IF(COUNTIF(DMTK!$A$7:$A$250,$G603)=0,"TK Có sai! ","")&amp;IF(N($H603)&lt;=0,"Tiền phải &gt; 0! ","")&amp;IF($B603="","Thiếu ngày! ","")&amp;IF(AND(OR(LEFT($F603,3)="131",LEFT($G603,3)="131",LEFT($F603,3)="331",LEFT($G603,3)="331"),$I603=""),"Thiếu Mã ĐT! ","")&amp;IF(AND($I603&lt;&gt;"",COUNTIF(DM_DT!$A$7:$A$306,$I603)=0),"Mã ĐT chưa khai báo! ","")))</f>
        <v/>
      </c>
      <c r="M603" s="117">
        <f>IF($H603="","",IF(AND(OR(LEFT($F603,3)="111",LEFT($F603,3)="112",LEFT($F603,3)="113"),OR(LEFT($G603,3)="111",LEFT($G603,3)="112",LEFT($G603,3)="113")),"NB",IF(OR(LEFT($F603,3)="111",LEFT($F603,3)="112",LEFT($F603,3)="113"),"THU",IF(OR(LEFT($G603,3)="111",LEFT($G603,3)="112",LEFT($G603,3)="113"),"CHI",""))))</f>
        <v/>
      </c>
      <c r="N603" s="117">
        <f>IF($M603="THU",$G603,IF($M603="CHI",$F603,""))</f>
        <v/>
      </c>
      <c r="O603" s="117">
        <f>IF(OR($M603="",$M603="NB"),"",IF($J603&lt;&gt;"",TEXT($J603,"00"),IFERROR(VLOOKUP(LEFT($N603,4),LCTT_MAP!$A$7:$C$66,IF($M603="THU",2,3),FALSE()),IFERROR(VLOOKUP(LEFT($N603,3),LCTT_MAP!$A$7:$C$66,IF($M603="THU",2,3),FALSE()),IFERROR(VLOOKUP(LEFT($N603,2),LCTT_MAP!$A$7:$C$66,IF($M603="THU",2,3),FALSE()),IFERROR(VLOOKUP(LEFT($N603,1),LCTT_MAP!$A$7:$C$66,IF($M603="THU",2,3),FALSE()),IF($M603="THU","06","07")))))))</f>
        <v/>
      </c>
      <c r="P603" s="117">
        <f>P602+IF(AND($H603&lt;&gt;"",OR(LEFT($F603,LEN(SC_TK))=SC_TK,LEFT($G603,LEN(SC_TK))=SC_TK)),1,0)</f>
        <v/>
      </c>
    </row>
    <row r="604" ht="15" customHeight="1" s="78">
      <c r="A604" s="95">
        <f>IF($H604="","",ROW()-6)</f>
        <v/>
      </c>
      <c r="B604" s="114" t="n"/>
      <c r="C604" s="102" t="n"/>
      <c r="D604" s="114" t="n"/>
      <c r="E604" s="103" t="n"/>
      <c r="F604" s="102" t="n"/>
      <c r="G604" s="102" t="n"/>
      <c r="H604" s="115" t="n"/>
      <c r="I604" s="102" t="n"/>
      <c r="J604" s="102" t="n"/>
      <c r="K604" s="103" t="n"/>
      <c r="L604" s="116">
        <f>IF($H604="","",TRIM(IF(COUNTIF(DMTK!$A$7:$A$250,$F604)=0,"TK Nợ sai! ","")&amp;IF(COUNTIF(DMTK!$A$7:$A$250,$G604)=0,"TK Có sai! ","")&amp;IF(N($H604)&lt;=0,"Tiền phải &gt; 0! ","")&amp;IF($B604="","Thiếu ngày! ","")&amp;IF(AND(OR(LEFT($F604,3)="131",LEFT($G604,3)="131",LEFT($F604,3)="331",LEFT($G604,3)="331"),$I604=""),"Thiếu Mã ĐT! ","")&amp;IF(AND($I604&lt;&gt;"",COUNTIF(DM_DT!$A$7:$A$306,$I604)=0),"Mã ĐT chưa khai báo! ","")))</f>
        <v/>
      </c>
      <c r="M604" s="117">
        <f>IF($H604="","",IF(AND(OR(LEFT($F604,3)="111",LEFT($F604,3)="112",LEFT($F604,3)="113"),OR(LEFT($G604,3)="111",LEFT($G604,3)="112",LEFT($G604,3)="113")),"NB",IF(OR(LEFT($F604,3)="111",LEFT($F604,3)="112",LEFT($F604,3)="113"),"THU",IF(OR(LEFT($G604,3)="111",LEFT($G604,3)="112",LEFT($G604,3)="113"),"CHI",""))))</f>
        <v/>
      </c>
      <c r="N604" s="117">
        <f>IF($M604="THU",$G604,IF($M604="CHI",$F604,""))</f>
        <v/>
      </c>
      <c r="O604" s="117">
        <f>IF(OR($M604="",$M604="NB"),"",IF($J604&lt;&gt;"",TEXT($J604,"00"),IFERROR(VLOOKUP(LEFT($N604,4),LCTT_MAP!$A$7:$C$66,IF($M604="THU",2,3),FALSE()),IFERROR(VLOOKUP(LEFT($N604,3),LCTT_MAP!$A$7:$C$66,IF($M604="THU",2,3),FALSE()),IFERROR(VLOOKUP(LEFT($N604,2),LCTT_MAP!$A$7:$C$66,IF($M604="THU",2,3),FALSE()),IFERROR(VLOOKUP(LEFT($N604,1),LCTT_MAP!$A$7:$C$66,IF($M604="THU",2,3),FALSE()),IF($M604="THU","06","07")))))))</f>
        <v/>
      </c>
      <c r="P604" s="117">
        <f>P603+IF(AND($H604&lt;&gt;"",OR(LEFT($F604,LEN(SC_TK))=SC_TK,LEFT($G604,LEN(SC_TK))=SC_TK)),1,0)</f>
        <v/>
      </c>
    </row>
    <row r="605" ht="15" customHeight="1" s="78">
      <c r="A605" s="95">
        <f>IF($H605="","",ROW()-6)</f>
        <v/>
      </c>
      <c r="B605" s="114" t="n"/>
      <c r="C605" s="102" t="n"/>
      <c r="D605" s="114" t="n"/>
      <c r="E605" s="103" t="n"/>
      <c r="F605" s="102" t="n"/>
      <c r="G605" s="102" t="n"/>
      <c r="H605" s="115" t="n"/>
      <c r="I605" s="102" t="n"/>
      <c r="J605" s="102" t="n"/>
      <c r="K605" s="103" t="n"/>
      <c r="L605" s="116">
        <f>IF($H605="","",TRIM(IF(COUNTIF(DMTK!$A$7:$A$250,$F605)=0,"TK Nợ sai! ","")&amp;IF(COUNTIF(DMTK!$A$7:$A$250,$G605)=0,"TK Có sai! ","")&amp;IF(N($H605)&lt;=0,"Tiền phải &gt; 0! ","")&amp;IF($B605="","Thiếu ngày! ","")&amp;IF(AND(OR(LEFT($F605,3)="131",LEFT($G605,3)="131",LEFT($F605,3)="331",LEFT($G605,3)="331"),$I605=""),"Thiếu Mã ĐT! ","")&amp;IF(AND($I605&lt;&gt;"",COUNTIF(DM_DT!$A$7:$A$306,$I605)=0),"Mã ĐT chưa khai báo! ","")))</f>
        <v/>
      </c>
      <c r="M605" s="117">
        <f>IF($H605="","",IF(AND(OR(LEFT($F605,3)="111",LEFT($F605,3)="112",LEFT($F605,3)="113"),OR(LEFT($G605,3)="111",LEFT($G605,3)="112",LEFT($G605,3)="113")),"NB",IF(OR(LEFT($F605,3)="111",LEFT($F605,3)="112",LEFT($F605,3)="113"),"THU",IF(OR(LEFT($G605,3)="111",LEFT($G605,3)="112",LEFT($G605,3)="113"),"CHI",""))))</f>
        <v/>
      </c>
      <c r="N605" s="117">
        <f>IF($M605="THU",$G605,IF($M605="CHI",$F605,""))</f>
        <v/>
      </c>
      <c r="O605" s="117">
        <f>IF(OR($M605="",$M605="NB"),"",IF($J605&lt;&gt;"",TEXT($J605,"00"),IFERROR(VLOOKUP(LEFT($N605,4),LCTT_MAP!$A$7:$C$66,IF($M605="THU",2,3),FALSE()),IFERROR(VLOOKUP(LEFT($N605,3),LCTT_MAP!$A$7:$C$66,IF($M605="THU",2,3),FALSE()),IFERROR(VLOOKUP(LEFT($N605,2),LCTT_MAP!$A$7:$C$66,IF($M605="THU",2,3),FALSE()),IFERROR(VLOOKUP(LEFT($N605,1),LCTT_MAP!$A$7:$C$66,IF($M605="THU",2,3),FALSE()),IF($M605="THU","06","07")))))))</f>
        <v/>
      </c>
      <c r="P605" s="117">
        <f>P604+IF(AND($H605&lt;&gt;"",OR(LEFT($F605,LEN(SC_TK))=SC_TK,LEFT($G605,LEN(SC_TK))=SC_TK)),1,0)</f>
        <v/>
      </c>
    </row>
    <row r="606" ht="15" customHeight="1" s="78">
      <c r="A606" s="95">
        <f>IF($H606="","",ROW()-6)</f>
        <v/>
      </c>
      <c r="B606" s="114" t="n"/>
      <c r="C606" s="102" t="n"/>
      <c r="D606" s="114" t="n"/>
      <c r="E606" s="103" t="n"/>
      <c r="F606" s="102" t="n"/>
      <c r="G606" s="102" t="n"/>
      <c r="H606" s="115" t="n"/>
      <c r="I606" s="102" t="n"/>
      <c r="J606" s="102" t="n"/>
      <c r="K606" s="103" t="n"/>
      <c r="L606" s="116">
        <f>IF($H606="","",TRIM(IF(COUNTIF(DMTK!$A$7:$A$250,$F606)=0,"TK Nợ sai! ","")&amp;IF(COUNTIF(DMTK!$A$7:$A$250,$G606)=0,"TK Có sai! ","")&amp;IF(N($H606)&lt;=0,"Tiền phải &gt; 0! ","")&amp;IF($B606="","Thiếu ngày! ","")&amp;IF(AND(OR(LEFT($F606,3)="131",LEFT($G606,3)="131",LEFT($F606,3)="331",LEFT($G606,3)="331"),$I606=""),"Thiếu Mã ĐT! ","")&amp;IF(AND($I606&lt;&gt;"",COUNTIF(DM_DT!$A$7:$A$306,$I606)=0),"Mã ĐT chưa khai báo! ","")))</f>
        <v/>
      </c>
      <c r="M606" s="117">
        <f>IF($H606="","",IF(AND(OR(LEFT($F606,3)="111",LEFT($F606,3)="112",LEFT($F606,3)="113"),OR(LEFT($G606,3)="111",LEFT($G606,3)="112",LEFT($G606,3)="113")),"NB",IF(OR(LEFT($F606,3)="111",LEFT($F606,3)="112",LEFT($F606,3)="113"),"THU",IF(OR(LEFT($G606,3)="111",LEFT($G606,3)="112",LEFT($G606,3)="113"),"CHI",""))))</f>
        <v/>
      </c>
      <c r="N606" s="117">
        <f>IF($M606="THU",$G606,IF($M606="CHI",$F606,""))</f>
        <v/>
      </c>
      <c r="O606" s="117">
        <f>IF(OR($M606="",$M606="NB"),"",IF($J606&lt;&gt;"",TEXT($J606,"00"),IFERROR(VLOOKUP(LEFT($N606,4),LCTT_MAP!$A$7:$C$66,IF($M606="THU",2,3),FALSE()),IFERROR(VLOOKUP(LEFT($N606,3),LCTT_MAP!$A$7:$C$66,IF($M606="THU",2,3),FALSE()),IFERROR(VLOOKUP(LEFT($N606,2),LCTT_MAP!$A$7:$C$66,IF($M606="THU",2,3),FALSE()),IFERROR(VLOOKUP(LEFT($N606,1),LCTT_MAP!$A$7:$C$66,IF($M606="THU",2,3),FALSE()),IF($M606="THU","06","07")))))))</f>
        <v/>
      </c>
      <c r="P606" s="117">
        <f>P605+IF(AND($H606&lt;&gt;"",OR(LEFT($F606,LEN(SC_TK))=SC_TK,LEFT($G606,LEN(SC_TK))=SC_TK)),1,0)</f>
        <v/>
      </c>
    </row>
    <row r="607" ht="15" customHeight="1" s="78">
      <c r="A607" s="95">
        <f>IF($H607="","",ROW()-6)</f>
        <v/>
      </c>
      <c r="B607" s="114" t="n"/>
      <c r="C607" s="102" t="n"/>
      <c r="D607" s="114" t="n"/>
      <c r="E607" s="103" t="n"/>
      <c r="F607" s="102" t="n"/>
      <c r="G607" s="102" t="n"/>
      <c r="H607" s="115" t="n"/>
      <c r="I607" s="102" t="n"/>
      <c r="J607" s="102" t="n"/>
      <c r="K607" s="103" t="n"/>
      <c r="L607" s="116">
        <f>IF($H607="","",TRIM(IF(COUNTIF(DMTK!$A$7:$A$250,$F607)=0,"TK Nợ sai! ","")&amp;IF(COUNTIF(DMTK!$A$7:$A$250,$G607)=0,"TK Có sai! ","")&amp;IF(N($H607)&lt;=0,"Tiền phải &gt; 0! ","")&amp;IF($B607="","Thiếu ngày! ","")&amp;IF(AND(OR(LEFT($F607,3)="131",LEFT($G607,3)="131",LEFT($F607,3)="331",LEFT($G607,3)="331"),$I607=""),"Thiếu Mã ĐT! ","")&amp;IF(AND($I607&lt;&gt;"",COUNTIF(DM_DT!$A$7:$A$306,$I607)=0),"Mã ĐT chưa khai báo! ","")))</f>
        <v/>
      </c>
      <c r="M607" s="117">
        <f>IF($H607="","",IF(AND(OR(LEFT($F607,3)="111",LEFT($F607,3)="112",LEFT($F607,3)="113"),OR(LEFT($G607,3)="111",LEFT($G607,3)="112",LEFT($G607,3)="113")),"NB",IF(OR(LEFT($F607,3)="111",LEFT($F607,3)="112",LEFT($F607,3)="113"),"THU",IF(OR(LEFT($G607,3)="111",LEFT($G607,3)="112",LEFT($G607,3)="113"),"CHI",""))))</f>
        <v/>
      </c>
      <c r="N607" s="117">
        <f>IF($M607="THU",$G607,IF($M607="CHI",$F607,""))</f>
        <v/>
      </c>
      <c r="O607" s="117">
        <f>IF(OR($M607="",$M607="NB"),"",IF($J607&lt;&gt;"",TEXT($J607,"00"),IFERROR(VLOOKUP(LEFT($N607,4),LCTT_MAP!$A$7:$C$66,IF($M607="THU",2,3),FALSE()),IFERROR(VLOOKUP(LEFT($N607,3),LCTT_MAP!$A$7:$C$66,IF($M607="THU",2,3),FALSE()),IFERROR(VLOOKUP(LEFT($N607,2),LCTT_MAP!$A$7:$C$66,IF($M607="THU",2,3),FALSE()),IFERROR(VLOOKUP(LEFT($N607,1),LCTT_MAP!$A$7:$C$66,IF($M607="THU",2,3),FALSE()),IF($M607="THU","06","07")))))))</f>
        <v/>
      </c>
      <c r="P607" s="117">
        <f>P606+IF(AND($H607&lt;&gt;"",OR(LEFT($F607,LEN(SC_TK))=SC_TK,LEFT($G607,LEN(SC_TK))=SC_TK)),1,0)</f>
        <v/>
      </c>
    </row>
    <row r="608" ht="15" customHeight="1" s="78">
      <c r="A608" s="95">
        <f>IF($H608="","",ROW()-6)</f>
        <v/>
      </c>
      <c r="B608" s="114" t="n"/>
      <c r="C608" s="102" t="n"/>
      <c r="D608" s="114" t="n"/>
      <c r="E608" s="103" t="n"/>
      <c r="F608" s="102" t="n"/>
      <c r="G608" s="102" t="n"/>
      <c r="H608" s="115" t="n"/>
      <c r="I608" s="102" t="n"/>
      <c r="J608" s="102" t="n"/>
      <c r="K608" s="103" t="n"/>
      <c r="L608" s="116">
        <f>IF($H608="","",TRIM(IF(COUNTIF(DMTK!$A$7:$A$250,$F608)=0,"TK Nợ sai! ","")&amp;IF(COUNTIF(DMTK!$A$7:$A$250,$G608)=0,"TK Có sai! ","")&amp;IF(N($H608)&lt;=0,"Tiền phải &gt; 0! ","")&amp;IF($B608="","Thiếu ngày! ","")&amp;IF(AND(OR(LEFT($F608,3)="131",LEFT($G608,3)="131",LEFT($F608,3)="331",LEFT($G608,3)="331"),$I608=""),"Thiếu Mã ĐT! ","")&amp;IF(AND($I608&lt;&gt;"",COUNTIF(DM_DT!$A$7:$A$306,$I608)=0),"Mã ĐT chưa khai báo! ","")))</f>
        <v/>
      </c>
      <c r="M608" s="117">
        <f>IF($H608="","",IF(AND(OR(LEFT($F608,3)="111",LEFT($F608,3)="112",LEFT($F608,3)="113"),OR(LEFT($G608,3)="111",LEFT($G608,3)="112",LEFT($G608,3)="113")),"NB",IF(OR(LEFT($F608,3)="111",LEFT($F608,3)="112",LEFT($F608,3)="113"),"THU",IF(OR(LEFT($G608,3)="111",LEFT($G608,3)="112",LEFT($G608,3)="113"),"CHI",""))))</f>
        <v/>
      </c>
      <c r="N608" s="117">
        <f>IF($M608="THU",$G608,IF($M608="CHI",$F608,""))</f>
        <v/>
      </c>
      <c r="O608" s="117">
        <f>IF(OR($M608="",$M608="NB"),"",IF($J608&lt;&gt;"",TEXT($J608,"00"),IFERROR(VLOOKUP(LEFT($N608,4),LCTT_MAP!$A$7:$C$66,IF($M608="THU",2,3),FALSE()),IFERROR(VLOOKUP(LEFT($N608,3),LCTT_MAP!$A$7:$C$66,IF($M608="THU",2,3),FALSE()),IFERROR(VLOOKUP(LEFT($N608,2),LCTT_MAP!$A$7:$C$66,IF($M608="THU",2,3),FALSE()),IFERROR(VLOOKUP(LEFT($N608,1),LCTT_MAP!$A$7:$C$66,IF($M608="THU",2,3),FALSE()),IF($M608="THU","06","07")))))))</f>
        <v/>
      </c>
      <c r="P608" s="117">
        <f>P607+IF(AND($H608&lt;&gt;"",OR(LEFT($F608,LEN(SC_TK))=SC_TK,LEFT($G608,LEN(SC_TK))=SC_TK)),1,0)</f>
        <v/>
      </c>
    </row>
    <row r="609" ht="15" customHeight="1" s="78">
      <c r="A609" s="95">
        <f>IF($H609="","",ROW()-6)</f>
        <v/>
      </c>
      <c r="B609" s="114" t="n"/>
      <c r="C609" s="102" t="n"/>
      <c r="D609" s="114" t="n"/>
      <c r="E609" s="103" t="n"/>
      <c r="F609" s="102" t="n"/>
      <c r="G609" s="102" t="n"/>
      <c r="H609" s="115" t="n"/>
      <c r="I609" s="102" t="n"/>
      <c r="J609" s="102" t="n"/>
      <c r="K609" s="103" t="n"/>
      <c r="L609" s="116">
        <f>IF($H609="","",TRIM(IF(COUNTIF(DMTK!$A$7:$A$250,$F609)=0,"TK Nợ sai! ","")&amp;IF(COUNTIF(DMTK!$A$7:$A$250,$G609)=0,"TK Có sai! ","")&amp;IF(N($H609)&lt;=0,"Tiền phải &gt; 0! ","")&amp;IF($B609="","Thiếu ngày! ","")&amp;IF(AND(OR(LEFT($F609,3)="131",LEFT($G609,3)="131",LEFT($F609,3)="331",LEFT($G609,3)="331"),$I609=""),"Thiếu Mã ĐT! ","")&amp;IF(AND($I609&lt;&gt;"",COUNTIF(DM_DT!$A$7:$A$306,$I609)=0),"Mã ĐT chưa khai báo! ","")))</f>
        <v/>
      </c>
      <c r="M609" s="117">
        <f>IF($H609="","",IF(AND(OR(LEFT($F609,3)="111",LEFT($F609,3)="112",LEFT($F609,3)="113"),OR(LEFT($G609,3)="111",LEFT($G609,3)="112",LEFT($G609,3)="113")),"NB",IF(OR(LEFT($F609,3)="111",LEFT($F609,3)="112",LEFT($F609,3)="113"),"THU",IF(OR(LEFT($G609,3)="111",LEFT($G609,3)="112",LEFT($G609,3)="113"),"CHI",""))))</f>
        <v/>
      </c>
      <c r="N609" s="117">
        <f>IF($M609="THU",$G609,IF($M609="CHI",$F609,""))</f>
        <v/>
      </c>
      <c r="O609" s="117">
        <f>IF(OR($M609="",$M609="NB"),"",IF($J609&lt;&gt;"",TEXT($J609,"00"),IFERROR(VLOOKUP(LEFT($N609,4),LCTT_MAP!$A$7:$C$66,IF($M609="THU",2,3),FALSE()),IFERROR(VLOOKUP(LEFT($N609,3),LCTT_MAP!$A$7:$C$66,IF($M609="THU",2,3),FALSE()),IFERROR(VLOOKUP(LEFT($N609,2),LCTT_MAP!$A$7:$C$66,IF($M609="THU",2,3),FALSE()),IFERROR(VLOOKUP(LEFT($N609,1),LCTT_MAP!$A$7:$C$66,IF($M609="THU",2,3),FALSE()),IF($M609="THU","06","07")))))))</f>
        <v/>
      </c>
      <c r="P609" s="117">
        <f>P608+IF(AND($H609&lt;&gt;"",OR(LEFT($F609,LEN(SC_TK))=SC_TK,LEFT($G609,LEN(SC_TK))=SC_TK)),1,0)</f>
        <v/>
      </c>
    </row>
    <row r="610" ht="15" customHeight="1" s="78">
      <c r="A610" s="95">
        <f>IF($H610="","",ROW()-6)</f>
        <v/>
      </c>
      <c r="B610" s="114" t="n"/>
      <c r="C610" s="102" t="n"/>
      <c r="D610" s="114" t="n"/>
      <c r="E610" s="103" t="n"/>
      <c r="F610" s="102" t="n"/>
      <c r="G610" s="102" t="n"/>
      <c r="H610" s="115" t="n"/>
      <c r="I610" s="102" t="n"/>
      <c r="J610" s="102" t="n"/>
      <c r="K610" s="103" t="n"/>
      <c r="L610" s="116">
        <f>IF($H610="","",TRIM(IF(COUNTIF(DMTK!$A$7:$A$250,$F610)=0,"TK Nợ sai! ","")&amp;IF(COUNTIF(DMTK!$A$7:$A$250,$G610)=0,"TK Có sai! ","")&amp;IF(N($H610)&lt;=0,"Tiền phải &gt; 0! ","")&amp;IF($B610="","Thiếu ngày! ","")&amp;IF(AND(OR(LEFT($F610,3)="131",LEFT($G610,3)="131",LEFT($F610,3)="331",LEFT($G610,3)="331"),$I610=""),"Thiếu Mã ĐT! ","")&amp;IF(AND($I610&lt;&gt;"",COUNTIF(DM_DT!$A$7:$A$306,$I610)=0),"Mã ĐT chưa khai báo! ","")))</f>
        <v/>
      </c>
      <c r="M610" s="117">
        <f>IF($H610="","",IF(AND(OR(LEFT($F610,3)="111",LEFT($F610,3)="112",LEFT($F610,3)="113"),OR(LEFT($G610,3)="111",LEFT($G610,3)="112",LEFT($G610,3)="113")),"NB",IF(OR(LEFT($F610,3)="111",LEFT($F610,3)="112",LEFT($F610,3)="113"),"THU",IF(OR(LEFT($G610,3)="111",LEFT($G610,3)="112",LEFT($G610,3)="113"),"CHI",""))))</f>
        <v/>
      </c>
      <c r="N610" s="117">
        <f>IF($M610="THU",$G610,IF($M610="CHI",$F610,""))</f>
        <v/>
      </c>
      <c r="O610" s="117">
        <f>IF(OR($M610="",$M610="NB"),"",IF($J610&lt;&gt;"",TEXT($J610,"00"),IFERROR(VLOOKUP(LEFT($N610,4),LCTT_MAP!$A$7:$C$66,IF($M610="THU",2,3),FALSE()),IFERROR(VLOOKUP(LEFT($N610,3),LCTT_MAP!$A$7:$C$66,IF($M610="THU",2,3),FALSE()),IFERROR(VLOOKUP(LEFT($N610,2),LCTT_MAP!$A$7:$C$66,IF($M610="THU",2,3),FALSE()),IFERROR(VLOOKUP(LEFT($N610,1),LCTT_MAP!$A$7:$C$66,IF($M610="THU",2,3),FALSE()),IF($M610="THU","06","07")))))))</f>
        <v/>
      </c>
      <c r="P610" s="117">
        <f>P609+IF(AND($H610&lt;&gt;"",OR(LEFT($F610,LEN(SC_TK))=SC_TK,LEFT($G610,LEN(SC_TK))=SC_TK)),1,0)</f>
        <v/>
      </c>
    </row>
    <row r="611" ht="15" customHeight="1" s="78">
      <c r="A611" s="95">
        <f>IF($H611="","",ROW()-6)</f>
        <v/>
      </c>
      <c r="B611" s="114" t="n"/>
      <c r="C611" s="102" t="n"/>
      <c r="D611" s="114" t="n"/>
      <c r="E611" s="103" t="n"/>
      <c r="F611" s="102" t="n"/>
      <c r="G611" s="102" t="n"/>
      <c r="H611" s="115" t="n"/>
      <c r="I611" s="102" t="n"/>
      <c r="J611" s="102" t="n"/>
      <c r="K611" s="103" t="n"/>
      <c r="L611" s="116">
        <f>IF($H611="","",TRIM(IF(COUNTIF(DMTK!$A$7:$A$250,$F611)=0,"TK Nợ sai! ","")&amp;IF(COUNTIF(DMTK!$A$7:$A$250,$G611)=0,"TK Có sai! ","")&amp;IF(N($H611)&lt;=0,"Tiền phải &gt; 0! ","")&amp;IF($B611="","Thiếu ngày! ","")&amp;IF(AND(OR(LEFT($F611,3)="131",LEFT($G611,3)="131",LEFT($F611,3)="331",LEFT($G611,3)="331"),$I611=""),"Thiếu Mã ĐT! ","")&amp;IF(AND($I611&lt;&gt;"",COUNTIF(DM_DT!$A$7:$A$306,$I611)=0),"Mã ĐT chưa khai báo! ","")))</f>
        <v/>
      </c>
      <c r="M611" s="117">
        <f>IF($H611="","",IF(AND(OR(LEFT($F611,3)="111",LEFT($F611,3)="112",LEFT($F611,3)="113"),OR(LEFT($G611,3)="111",LEFT($G611,3)="112",LEFT($G611,3)="113")),"NB",IF(OR(LEFT($F611,3)="111",LEFT($F611,3)="112",LEFT($F611,3)="113"),"THU",IF(OR(LEFT($G611,3)="111",LEFT($G611,3)="112",LEFT($G611,3)="113"),"CHI",""))))</f>
        <v/>
      </c>
      <c r="N611" s="117">
        <f>IF($M611="THU",$G611,IF($M611="CHI",$F611,""))</f>
        <v/>
      </c>
      <c r="O611" s="117">
        <f>IF(OR($M611="",$M611="NB"),"",IF($J611&lt;&gt;"",TEXT($J611,"00"),IFERROR(VLOOKUP(LEFT($N611,4),LCTT_MAP!$A$7:$C$66,IF($M611="THU",2,3),FALSE()),IFERROR(VLOOKUP(LEFT($N611,3),LCTT_MAP!$A$7:$C$66,IF($M611="THU",2,3),FALSE()),IFERROR(VLOOKUP(LEFT($N611,2),LCTT_MAP!$A$7:$C$66,IF($M611="THU",2,3),FALSE()),IFERROR(VLOOKUP(LEFT($N611,1),LCTT_MAP!$A$7:$C$66,IF($M611="THU",2,3),FALSE()),IF($M611="THU","06","07")))))))</f>
        <v/>
      </c>
      <c r="P611" s="117">
        <f>P610+IF(AND($H611&lt;&gt;"",OR(LEFT($F611,LEN(SC_TK))=SC_TK,LEFT($G611,LEN(SC_TK))=SC_TK)),1,0)</f>
        <v/>
      </c>
    </row>
    <row r="612" ht="15" customHeight="1" s="78">
      <c r="A612" s="95">
        <f>IF($H612="","",ROW()-6)</f>
        <v/>
      </c>
      <c r="B612" s="114" t="n"/>
      <c r="C612" s="102" t="n"/>
      <c r="D612" s="114" t="n"/>
      <c r="E612" s="103" t="n"/>
      <c r="F612" s="102" t="n"/>
      <c r="G612" s="102" t="n"/>
      <c r="H612" s="115" t="n"/>
      <c r="I612" s="102" t="n"/>
      <c r="J612" s="102" t="n"/>
      <c r="K612" s="103" t="n"/>
      <c r="L612" s="116">
        <f>IF($H612="","",TRIM(IF(COUNTIF(DMTK!$A$7:$A$250,$F612)=0,"TK Nợ sai! ","")&amp;IF(COUNTIF(DMTK!$A$7:$A$250,$G612)=0,"TK Có sai! ","")&amp;IF(N($H612)&lt;=0,"Tiền phải &gt; 0! ","")&amp;IF($B612="","Thiếu ngày! ","")&amp;IF(AND(OR(LEFT($F612,3)="131",LEFT($G612,3)="131",LEFT($F612,3)="331",LEFT($G612,3)="331"),$I612=""),"Thiếu Mã ĐT! ","")&amp;IF(AND($I612&lt;&gt;"",COUNTIF(DM_DT!$A$7:$A$306,$I612)=0),"Mã ĐT chưa khai báo! ","")))</f>
        <v/>
      </c>
      <c r="M612" s="117">
        <f>IF($H612="","",IF(AND(OR(LEFT($F612,3)="111",LEFT($F612,3)="112",LEFT($F612,3)="113"),OR(LEFT($G612,3)="111",LEFT($G612,3)="112",LEFT($G612,3)="113")),"NB",IF(OR(LEFT($F612,3)="111",LEFT($F612,3)="112",LEFT($F612,3)="113"),"THU",IF(OR(LEFT($G612,3)="111",LEFT($G612,3)="112",LEFT($G612,3)="113"),"CHI",""))))</f>
        <v/>
      </c>
      <c r="N612" s="117">
        <f>IF($M612="THU",$G612,IF($M612="CHI",$F612,""))</f>
        <v/>
      </c>
      <c r="O612" s="117">
        <f>IF(OR($M612="",$M612="NB"),"",IF($J612&lt;&gt;"",TEXT($J612,"00"),IFERROR(VLOOKUP(LEFT($N612,4),LCTT_MAP!$A$7:$C$66,IF($M612="THU",2,3),FALSE()),IFERROR(VLOOKUP(LEFT($N612,3),LCTT_MAP!$A$7:$C$66,IF($M612="THU",2,3),FALSE()),IFERROR(VLOOKUP(LEFT($N612,2),LCTT_MAP!$A$7:$C$66,IF($M612="THU",2,3),FALSE()),IFERROR(VLOOKUP(LEFT($N612,1),LCTT_MAP!$A$7:$C$66,IF($M612="THU",2,3),FALSE()),IF($M612="THU","06","07")))))))</f>
        <v/>
      </c>
      <c r="P612" s="117">
        <f>P611+IF(AND($H612&lt;&gt;"",OR(LEFT($F612,LEN(SC_TK))=SC_TK,LEFT($G612,LEN(SC_TK))=SC_TK)),1,0)</f>
        <v/>
      </c>
    </row>
    <row r="613" ht="15" customHeight="1" s="78">
      <c r="A613" s="95">
        <f>IF($H613="","",ROW()-6)</f>
        <v/>
      </c>
      <c r="B613" s="114" t="n"/>
      <c r="C613" s="102" t="n"/>
      <c r="D613" s="114" t="n"/>
      <c r="E613" s="103" t="n"/>
      <c r="F613" s="102" t="n"/>
      <c r="G613" s="102" t="n"/>
      <c r="H613" s="115" t="n"/>
      <c r="I613" s="102" t="n"/>
      <c r="J613" s="102" t="n"/>
      <c r="K613" s="103" t="n"/>
      <c r="L613" s="116">
        <f>IF($H613="","",TRIM(IF(COUNTIF(DMTK!$A$7:$A$250,$F613)=0,"TK Nợ sai! ","")&amp;IF(COUNTIF(DMTK!$A$7:$A$250,$G613)=0,"TK Có sai! ","")&amp;IF(N($H613)&lt;=0,"Tiền phải &gt; 0! ","")&amp;IF($B613="","Thiếu ngày! ","")&amp;IF(AND(OR(LEFT($F613,3)="131",LEFT($G613,3)="131",LEFT($F613,3)="331",LEFT($G613,3)="331"),$I613=""),"Thiếu Mã ĐT! ","")&amp;IF(AND($I613&lt;&gt;"",COUNTIF(DM_DT!$A$7:$A$306,$I613)=0),"Mã ĐT chưa khai báo! ","")))</f>
        <v/>
      </c>
      <c r="M613" s="117">
        <f>IF($H613="","",IF(AND(OR(LEFT($F613,3)="111",LEFT($F613,3)="112",LEFT($F613,3)="113"),OR(LEFT($G613,3)="111",LEFT($G613,3)="112",LEFT($G613,3)="113")),"NB",IF(OR(LEFT($F613,3)="111",LEFT($F613,3)="112",LEFT($F613,3)="113"),"THU",IF(OR(LEFT($G613,3)="111",LEFT($G613,3)="112",LEFT($G613,3)="113"),"CHI",""))))</f>
        <v/>
      </c>
      <c r="N613" s="117">
        <f>IF($M613="THU",$G613,IF($M613="CHI",$F613,""))</f>
        <v/>
      </c>
      <c r="O613" s="117">
        <f>IF(OR($M613="",$M613="NB"),"",IF($J613&lt;&gt;"",TEXT($J613,"00"),IFERROR(VLOOKUP(LEFT($N613,4),LCTT_MAP!$A$7:$C$66,IF($M613="THU",2,3),FALSE()),IFERROR(VLOOKUP(LEFT($N613,3),LCTT_MAP!$A$7:$C$66,IF($M613="THU",2,3),FALSE()),IFERROR(VLOOKUP(LEFT($N613,2),LCTT_MAP!$A$7:$C$66,IF($M613="THU",2,3),FALSE()),IFERROR(VLOOKUP(LEFT($N613,1),LCTT_MAP!$A$7:$C$66,IF($M613="THU",2,3),FALSE()),IF($M613="THU","06","07")))))))</f>
        <v/>
      </c>
      <c r="P613" s="117">
        <f>P612+IF(AND($H613&lt;&gt;"",OR(LEFT($F613,LEN(SC_TK))=SC_TK,LEFT($G613,LEN(SC_TK))=SC_TK)),1,0)</f>
        <v/>
      </c>
    </row>
    <row r="614" ht="15" customHeight="1" s="78">
      <c r="A614" s="95">
        <f>IF($H614="","",ROW()-6)</f>
        <v/>
      </c>
      <c r="B614" s="114" t="n"/>
      <c r="C614" s="102" t="n"/>
      <c r="D614" s="114" t="n"/>
      <c r="E614" s="103" t="n"/>
      <c r="F614" s="102" t="n"/>
      <c r="G614" s="102" t="n"/>
      <c r="H614" s="115" t="n"/>
      <c r="I614" s="102" t="n"/>
      <c r="J614" s="102" t="n"/>
      <c r="K614" s="103" t="n"/>
      <c r="L614" s="116">
        <f>IF($H614="","",TRIM(IF(COUNTIF(DMTK!$A$7:$A$250,$F614)=0,"TK Nợ sai! ","")&amp;IF(COUNTIF(DMTK!$A$7:$A$250,$G614)=0,"TK Có sai! ","")&amp;IF(N($H614)&lt;=0,"Tiền phải &gt; 0! ","")&amp;IF($B614="","Thiếu ngày! ","")&amp;IF(AND(OR(LEFT($F614,3)="131",LEFT($G614,3)="131",LEFT($F614,3)="331",LEFT($G614,3)="331"),$I614=""),"Thiếu Mã ĐT! ","")&amp;IF(AND($I614&lt;&gt;"",COUNTIF(DM_DT!$A$7:$A$306,$I614)=0),"Mã ĐT chưa khai báo! ","")))</f>
        <v/>
      </c>
      <c r="M614" s="117">
        <f>IF($H614="","",IF(AND(OR(LEFT($F614,3)="111",LEFT($F614,3)="112",LEFT($F614,3)="113"),OR(LEFT($G614,3)="111",LEFT($G614,3)="112",LEFT($G614,3)="113")),"NB",IF(OR(LEFT($F614,3)="111",LEFT($F614,3)="112",LEFT($F614,3)="113"),"THU",IF(OR(LEFT($G614,3)="111",LEFT($G614,3)="112",LEFT($G614,3)="113"),"CHI",""))))</f>
        <v/>
      </c>
      <c r="N614" s="117">
        <f>IF($M614="THU",$G614,IF($M614="CHI",$F614,""))</f>
        <v/>
      </c>
      <c r="O614" s="117">
        <f>IF(OR($M614="",$M614="NB"),"",IF($J614&lt;&gt;"",TEXT($J614,"00"),IFERROR(VLOOKUP(LEFT($N614,4),LCTT_MAP!$A$7:$C$66,IF($M614="THU",2,3),FALSE()),IFERROR(VLOOKUP(LEFT($N614,3),LCTT_MAP!$A$7:$C$66,IF($M614="THU",2,3),FALSE()),IFERROR(VLOOKUP(LEFT($N614,2),LCTT_MAP!$A$7:$C$66,IF($M614="THU",2,3),FALSE()),IFERROR(VLOOKUP(LEFT($N614,1),LCTT_MAP!$A$7:$C$66,IF($M614="THU",2,3),FALSE()),IF($M614="THU","06","07")))))))</f>
        <v/>
      </c>
      <c r="P614" s="117">
        <f>P613+IF(AND($H614&lt;&gt;"",OR(LEFT($F614,LEN(SC_TK))=SC_TK,LEFT($G614,LEN(SC_TK))=SC_TK)),1,0)</f>
        <v/>
      </c>
    </row>
    <row r="615" ht="15" customHeight="1" s="78">
      <c r="A615" s="95">
        <f>IF($H615="","",ROW()-6)</f>
        <v/>
      </c>
      <c r="B615" s="114" t="n"/>
      <c r="C615" s="102" t="n"/>
      <c r="D615" s="114" t="n"/>
      <c r="E615" s="103" t="n"/>
      <c r="F615" s="102" t="n"/>
      <c r="G615" s="102" t="n"/>
      <c r="H615" s="115" t="n"/>
      <c r="I615" s="102" t="n"/>
      <c r="J615" s="102" t="n"/>
      <c r="K615" s="103" t="n"/>
      <c r="L615" s="116">
        <f>IF($H615="","",TRIM(IF(COUNTIF(DMTK!$A$7:$A$250,$F615)=0,"TK Nợ sai! ","")&amp;IF(COUNTIF(DMTK!$A$7:$A$250,$G615)=0,"TK Có sai! ","")&amp;IF(N($H615)&lt;=0,"Tiền phải &gt; 0! ","")&amp;IF($B615="","Thiếu ngày! ","")&amp;IF(AND(OR(LEFT($F615,3)="131",LEFT($G615,3)="131",LEFT($F615,3)="331",LEFT($G615,3)="331"),$I615=""),"Thiếu Mã ĐT! ","")&amp;IF(AND($I615&lt;&gt;"",COUNTIF(DM_DT!$A$7:$A$306,$I615)=0),"Mã ĐT chưa khai báo! ","")))</f>
        <v/>
      </c>
      <c r="M615" s="117">
        <f>IF($H615="","",IF(AND(OR(LEFT($F615,3)="111",LEFT($F615,3)="112",LEFT($F615,3)="113"),OR(LEFT($G615,3)="111",LEFT($G615,3)="112",LEFT($G615,3)="113")),"NB",IF(OR(LEFT($F615,3)="111",LEFT($F615,3)="112",LEFT($F615,3)="113"),"THU",IF(OR(LEFT($G615,3)="111",LEFT($G615,3)="112",LEFT($G615,3)="113"),"CHI",""))))</f>
        <v/>
      </c>
      <c r="N615" s="117">
        <f>IF($M615="THU",$G615,IF($M615="CHI",$F615,""))</f>
        <v/>
      </c>
      <c r="O615" s="117">
        <f>IF(OR($M615="",$M615="NB"),"",IF($J615&lt;&gt;"",TEXT($J615,"00"),IFERROR(VLOOKUP(LEFT($N615,4),LCTT_MAP!$A$7:$C$66,IF($M615="THU",2,3),FALSE()),IFERROR(VLOOKUP(LEFT($N615,3),LCTT_MAP!$A$7:$C$66,IF($M615="THU",2,3),FALSE()),IFERROR(VLOOKUP(LEFT($N615,2),LCTT_MAP!$A$7:$C$66,IF($M615="THU",2,3),FALSE()),IFERROR(VLOOKUP(LEFT($N615,1),LCTT_MAP!$A$7:$C$66,IF($M615="THU",2,3),FALSE()),IF($M615="THU","06","07")))))))</f>
        <v/>
      </c>
      <c r="P615" s="117">
        <f>P614+IF(AND($H615&lt;&gt;"",OR(LEFT($F615,LEN(SC_TK))=SC_TK,LEFT($G615,LEN(SC_TK))=SC_TK)),1,0)</f>
        <v/>
      </c>
    </row>
    <row r="616" ht="15" customHeight="1" s="78">
      <c r="A616" s="95">
        <f>IF($H616="","",ROW()-6)</f>
        <v/>
      </c>
      <c r="B616" s="114" t="n"/>
      <c r="C616" s="102" t="n"/>
      <c r="D616" s="114" t="n"/>
      <c r="E616" s="103" t="n"/>
      <c r="F616" s="102" t="n"/>
      <c r="G616" s="102" t="n"/>
      <c r="H616" s="115" t="n"/>
      <c r="I616" s="102" t="n"/>
      <c r="J616" s="102" t="n"/>
      <c r="K616" s="103" t="n"/>
      <c r="L616" s="116">
        <f>IF($H616="","",TRIM(IF(COUNTIF(DMTK!$A$7:$A$250,$F616)=0,"TK Nợ sai! ","")&amp;IF(COUNTIF(DMTK!$A$7:$A$250,$G616)=0,"TK Có sai! ","")&amp;IF(N($H616)&lt;=0,"Tiền phải &gt; 0! ","")&amp;IF($B616="","Thiếu ngày! ","")&amp;IF(AND(OR(LEFT($F616,3)="131",LEFT($G616,3)="131",LEFT($F616,3)="331",LEFT($G616,3)="331"),$I616=""),"Thiếu Mã ĐT! ","")&amp;IF(AND($I616&lt;&gt;"",COUNTIF(DM_DT!$A$7:$A$306,$I616)=0),"Mã ĐT chưa khai báo! ","")))</f>
        <v/>
      </c>
      <c r="M616" s="117">
        <f>IF($H616="","",IF(AND(OR(LEFT($F616,3)="111",LEFT($F616,3)="112",LEFT($F616,3)="113"),OR(LEFT($G616,3)="111",LEFT($G616,3)="112",LEFT($G616,3)="113")),"NB",IF(OR(LEFT($F616,3)="111",LEFT($F616,3)="112",LEFT($F616,3)="113"),"THU",IF(OR(LEFT($G616,3)="111",LEFT($G616,3)="112",LEFT($G616,3)="113"),"CHI",""))))</f>
        <v/>
      </c>
      <c r="N616" s="117">
        <f>IF($M616="THU",$G616,IF($M616="CHI",$F616,""))</f>
        <v/>
      </c>
      <c r="O616" s="117">
        <f>IF(OR($M616="",$M616="NB"),"",IF($J616&lt;&gt;"",TEXT($J616,"00"),IFERROR(VLOOKUP(LEFT($N616,4),LCTT_MAP!$A$7:$C$66,IF($M616="THU",2,3),FALSE()),IFERROR(VLOOKUP(LEFT($N616,3),LCTT_MAP!$A$7:$C$66,IF($M616="THU",2,3),FALSE()),IFERROR(VLOOKUP(LEFT($N616,2),LCTT_MAP!$A$7:$C$66,IF($M616="THU",2,3),FALSE()),IFERROR(VLOOKUP(LEFT($N616,1),LCTT_MAP!$A$7:$C$66,IF($M616="THU",2,3),FALSE()),IF($M616="THU","06","07")))))))</f>
        <v/>
      </c>
      <c r="P616" s="117">
        <f>P615+IF(AND($H616&lt;&gt;"",OR(LEFT($F616,LEN(SC_TK))=SC_TK,LEFT($G616,LEN(SC_TK))=SC_TK)),1,0)</f>
        <v/>
      </c>
    </row>
    <row r="617" ht="15" customHeight="1" s="78">
      <c r="A617" s="95">
        <f>IF($H617="","",ROW()-6)</f>
        <v/>
      </c>
      <c r="B617" s="114" t="n"/>
      <c r="C617" s="102" t="n"/>
      <c r="D617" s="114" t="n"/>
      <c r="E617" s="103" t="n"/>
      <c r="F617" s="102" t="n"/>
      <c r="G617" s="102" t="n"/>
      <c r="H617" s="115" t="n"/>
      <c r="I617" s="102" t="n"/>
      <c r="J617" s="102" t="n"/>
      <c r="K617" s="103" t="n"/>
      <c r="L617" s="116">
        <f>IF($H617="","",TRIM(IF(COUNTIF(DMTK!$A$7:$A$250,$F617)=0,"TK Nợ sai! ","")&amp;IF(COUNTIF(DMTK!$A$7:$A$250,$G617)=0,"TK Có sai! ","")&amp;IF(N($H617)&lt;=0,"Tiền phải &gt; 0! ","")&amp;IF($B617="","Thiếu ngày! ","")&amp;IF(AND(OR(LEFT($F617,3)="131",LEFT($G617,3)="131",LEFT($F617,3)="331",LEFT($G617,3)="331"),$I617=""),"Thiếu Mã ĐT! ","")&amp;IF(AND($I617&lt;&gt;"",COUNTIF(DM_DT!$A$7:$A$306,$I617)=0),"Mã ĐT chưa khai báo! ","")))</f>
        <v/>
      </c>
      <c r="M617" s="117">
        <f>IF($H617="","",IF(AND(OR(LEFT($F617,3)="111",LEFT($F617,3)="112",LEFT($F617,3)="113"),OR(LEFT($G617,3)="111",LEFT($G617,3)="112",LEFT($G617,3)="113")),"NB",IF(OR(LEFT($F617,3)="111",LEFT($F617,3)="112",LEFT($F617,3)="113"),"THU",IF(OR(LEFT($G617,3)="111",LEFT($G617,3)="112",LEFT($G617,3)="113"),"CHI",""))))</f>
        <v/>
      </c>
      <c r="N617" s="117">
        <f>IF($M617="THU",$G617,IF($M617="CHI",$F617,""))</f>
        <v/>
      </c>
      <c r="O617" s="117">
        <f>IF(OR($M617="",$M617="NB"),"",IF($J617&lt;&gt;"",TEXT($J617,"00"),IFERROR(VLOOKUP(LEFT($N617,4),LCTT_MAP!$A$7:$C$66,IF($M617="THU",2,3),FALSE()),IFERROR(VLOOKUP(LEFT($N617,3),LCTT_MAP!$A$7:$C$66,IF($M617="THU",2,3),FALSE()),IFERROR(VLOOKUP(LEFT($N617,2),LCTT_MAP!$A$7:$C$66,IF($M617="THU",2,3),FALSE()),IFERROR(VLOOKUP(LEFT($N617,1),LCTT_MAP!$A$7:$C$66,IF($M617="THU",2,3),FALSE()),IF($M617="THU","06","07")))))))</f>
        <v/>
      </c>
      <c r="P617" s="117">
        <f>P616+IF(AND($H617&lt;&gt;"",OR(LEFT($F617,LEN(SC_TK))=SC_TK,LEFT($G617,LEN(SC_TK))=SC_TK)),1,0)</f>
        <v/>
      </c>
    </row>
    <row r="618" ht="15" customHeight="1" s="78">
      <c r="A618" s="95">
        <f>IF($H618="","",ROW()-6)</f>
        <v/>
      </c>
      <c r="B618" s="114" t="n"/>
      <c r="C618" s="102" t="n"/>
      <c r="D618" s="114" t="n"/>
      <c r="E618" s="103" t="n"/>
      <c r="F618" s="102" t="n"/>
      <c r="G618" s="102" t="n"/>
      <c r="H618" s="115" t="n"/>
      <c r="I618" s="102" t="n"/>
      <c r="J618" s="102" t="n"/>
      <c r="K618" s="103" t="n"/>
      <c r="L618" s="116">
        <f>IF($H618="","",TRIM(IF(COUNTIF(DMTK!$A$7:$A$250,$F618)=0,"TK Nợ sai! ","")&amp;IF(COUNTIF(DMTK!$A$7:$A$250,$G618)=0,"TK Có sai! ","")&amp;IF(N($H618)&lt;=0,"Tiền phải &gt; 0! ","")&amp;IF($B618="","Thiếu ngày! ","")&amp;IF(AND(OR(LEFT($F618,3)="131",LEFT($G618,3)="131",LEFT($F618,3)="331",LEFT($G618,3)="331"),$I618=""),"Thiếu Mã ĐT! ","")&amp;IF(AND($I618&lt;&gt;"",COUNTIF(DM_DT!$A$7:$A$306,$I618)=0),"Mã ĐT chưa khai báo! ","")))</f>
        <v/>
      </c>
      <c r="M618" s="117">
        <f>IF($H618="","",IF(AND(OR(LEFT($F618,3)="111",LEFT($F618,3)="112",LEFT($F618,3)="113"),OR(LEFT($G618,3)="111",LEFT($G618,3)="112",LEFT($G618,3)="113")),"NB",IF(OR(LEFT($F618,3)="111",LEFT($F618,3)="112",LEFT($F618,3)="113"),"THU",IF(OR(LEFT($G618,3)="111",LEFT($G618,3)="112",LEFT($G618,3)="113"),"CHI",""))))</f>
        <v/>
      </c>
      <c r="N618" s="117">
        <f>IF($M618="THU",$G618,IF($M618="CHI",$F618,""))</f>
        <v/>
      </c>
      <c r="O618" s="117">
        <f>IF(OR($M618="",$M618="NB"),"",IF($J618&lt;&gt;"",TEXT($J618,"00"),IFERROR(VLOOKUP(LEFT($N618,4),LCTT_MAP!$A$7:$C$66,IF($M618="THU",2,3),FALSE()),IFERROR(VLOOKUP(LEFT($N618,3),LCTT_MAP!$A$7:$C$66,IF($M618="THU",2,3),FALSE()),IFERROR(VLOOKUP(LEFT($N618,2),LCTT_MAP!$A$7:$C$66,IF($M618="THU",2,3),FALSE()),IFERROR(VLOOKUP(LEFT($N618,1),LCTT_MAP!$A$7:$C$66,IF($M618="THU",2,3),FALSE()),IF($M618="THU","06","07")))))))</f>
        <v/>
      </c>
      <c r="P618" s="117">
        <f>P617+IF(AND($H618&lt;&gt;"",OR(LEFT($F618,LEN(SC_TK))=SC_TK,LEFT($G618,LEN(SC_TK))=SC_TK)),1,0)</f>
        <v/>
      </c>
    </row>
    <row r="619" ht="15" customHeight="1" s="78">
      <c r="A619" s="95">
        <f>IF($H619="","",ROW()-6)</f>
        <v/>
      </c>
      <c r="B619" s="114" t="n"/>
      <c r="C619" s="102" t="n"/>
      <c r="D619" s="114" t="n"/>
      <c r="E619" s="103" t="n"/>
      <c r="F619" s="102" t="n"/>
      <c r="G619" s="102" t="n"/>
      <c r="H619" s="115" t="n"/>
      <c r="I619" s="102" t="n"/>
      <c r="J619" s="102" t="n"/>
      <c r="K619" s="103" t="n"/>
      <c r="L619" s="116">
        <f>IF($H619="","",TRIM(IF(COUNTIF(DMTK!$A$7:$A$250,$F619)=0,"TK Nợ sai! ","")&amp;IF(COUNTIF(DMTK!$A$7:$A$250,$G619)=0,"TK Có sai! ","")&amp;IF(N($H619)&lt;=0,"Tiền phải &gt; 0! ","")&amp;IF($B619="","Thiếu ngày! ","")&amp;IF(AND(OR(LEFT($F619,3)="131",LEFT($G619,3)="131",LEFT($F619,3)="331",LEFT($G619,3)="331"),$I619=""),"Thiếu Mã ĐT! ","")&amp;IF(AND($I619&lt;&gt;"",COUNTIF(DM_DT!$A$7:$A$306,$I619)=0),"Mã ĐT chưa khai báo! ","")))</f>
        <v/>
      </c>
      <c r="M619" s="117">
        <f>IF($H619="","",IF(AND(OR(LEFT($F619,3)="111",LEFT($F619,3)="112",LEFT($F619,3)="113"),OR(LEFT($G619,3)="111",LEFT($G619,3)="112",LEFT($G619,3)="113")),"NB",IF(OR(LEFT($F619,3)="111",LEFT($F619,3)="112",LEFT($F619,3)="113"),"THU",IF(OR(LEFT($G619,3)="111",LEFT($G619,3)="112",LEFT($G619,3)="113"),"CHI",""))))</f>
        <v/>
      </c>
      <c r="N619" s="117">
        <f>IF($M619="THU",$G619,IF($M619="CHI",$F619,""))</f>
        <v/>
      </c>
      <c r="O619" s="117">
        <f>IF(OR($M619="",$M619="NB"),"",IF($J619&lt;&gt;"",TEXT($J619,"00"),IFERROR(VLOOKUP(LEFT($N619,4),LCTT_MAP!$A$7:$C$66,IF($M619="THU",2,3),FALSE()),IFERROR(VLOOKUP(LEFT($N619,3),LCTT_MAP!$A$7:$C$66,IF($M619="THU",2,3),FALSE()),IFERROR(VLOOKUP(LEFT($N619,2),LCTT_MAP!$A$7:$C$66,IF($M619="THU",2,3),FALSE()),IFERROR(VLOOKUP(LEFT($N619,1),LCTT_MAP!$A$7:$C$66,IF($M619="THU",2,3),FALSE()),IF($M619="THU","06","07")))))))</f>
        <v/>
      </c>
      <c r="P619" s="117">
        <f>P618+IF(AND($H619&lt;&gt;"",OR(LEFT($F619,LEN(SC_TK))=SC_TK,LEFT($G619,LEN(SC_TK))=SC_TK)),1,0)</f>
        <v/>
      </c>
    </row>
    <row r="620" ht="15" customHeight="1" s="78">
      <c r="A620" s="95">
        <f>IF($H620="","",ROW()-6)</f>
        <v/>
      </c>
      <c r="B620" s="114" t="n"/>
      <c r="C620" s="102" t="n"/>
      <c r="D620" s="114" t="n"/>
      <c r="E620" s="103" t="n"/>
      <c r="F620" s="102" t="n"/>
      <c r="G620" s="102" t="n"/>
      <c r="H620" s="115" t="n"/>
      <c r="I620" s="102" t="n"/>
      <c r="J620" s="102" t="n"/>
      <c r="K620" s="103" t="n"/>
      <c r="L620" s="116">
        <f>IF($H620="","",TRIM(IF(COUNTIF(DMTK!$A$7:$A$250,$F620)=0,"TK Nợ sai! ","")&amp;IF(COUNTIF(DMTK!$A$7:$A$250,$G620)=0,"TK Có sai! ","")&amp;IF(N($H620)&lt;=0,"Tiền phải &gt; 0! ","")&amp;IF($B620="","Thiếu ngày! ","")&amp;IF(AND(OR(LEFT($F620,3)="131",LEFT($G620,3)="131",LEFT($F620,3)="331",LEFT($G620,3)="331"),$I620=""),"Thiếu Mã ĐT! ","")&amp;IF(AND($I620&lt;&gt;"",COUNTIF(DM_DT!$A$7:$A$306,$I620)=0),"Mã ĐT chưa khai báo! ","")))</f>
        <v/>
      </c>
      <c r="M620" s="117">
        <f>IF($H620="","",IF(AND(OR(LEFT($F620,3)="111",LEFT($F620,3)="112",LEFT($F620,3)="113"),OR(LEFT($G620,3)="111",LEFT($G620,3)="112",LEFT($G620,3)="113")),"NB",IF(OR(LEFT($F620,3)="111",LEFT($F620,3)="112",LEFT($F620,3)="113"),"THU",IF(OR(LEFT($G620,3)="111",LEFT($G620,3)="112",LEFT($G620,3)="113"),"CHI",""))))</f>
        <v/>
      </c>
      <c r="N620" s="117">
        <f>IF($M620="THU",$G620,IF($M620="CHI",$F620,""))</f>
        <v/>
      </c>
      <c r="O620" s="117">
        <f>IF(OR($M620="",$M620="NB"),"",IF($J620&lt;&gt;"",TEXT($J620,"00"),IFERROR(VLOOKUP(LEFT($N620,4),LCTT_MAP!$A$7:$C$66,IF($M620="THU",2,3),FALSE()),IFERROR(VLOOKUP(LEFT($N620,3),LCTT_MAP!$A$7:$C$66,IF($M620="THU",2,3),FALSE()),IFERROR(VLOOKUP(LEFT($N620,2),LCTT_MAP!$A$7:$C$66,IF($M620="THU",2,3),FALSE()),IFERROR(VLOOKUP(LEFT($N620,1),LCTT_MAP!$A$7:$C$66,IF($M620="THU",2,3),FALSE()),IF($M620="THU","06","07")))))))</f>
        <v/>
      </c>
      <c r="P620" s="117">
        <f>P619+IF(AND($H620&lt;&gt;"",OR(LEFT($F620,LEN(SC_TK))=SC_TK,LEFT($G620,LEN(SC_TK))=SC_TK)),1,0)</f>
        <v/>
      </c>
    </row>
    <row r="621" ht="15" customHeight="1" s="78">
      <c r="A621" s="95">
        <f>IF($H621="","",ROW()-6)</f>
        <v/>
      </c>
      <c r="B621" s="114" t="n"/>
      <c r="C621" s="102" t="n"/>
      <c r="D621" s="114" t="n"/>
      <c r="E621" s="103" t="n"/>
      <c r="F621" s="102" t="n"/>
      <c r="G621" s="102" t="n"/>
      <c r="H621" s="115" t="n"/>
      <c r="I621" s="102" t="n"/>
      <c r="J621" s="102" t="n"/>
      <c r="K621" s="103" t="n"/>
      <c r="L621" s="116">
        <f>IF($H621="","",TRIM(IF(COUNTIF(DMTK!$A$7:$A$250,$F621)=0,"TK Nợ sai! ","")&amp;IF(COUNTIF(DMTK!$A$7:$A$250,$G621)=0,"TK Có sai! ","")&amp;IF(N($H621)&lt;=0,"Tiền phải &gt; 0! ","")&amp;IF($B621="","Thiếu ngày! ","")&amp;IF(AND(OR(LEFT($F621,3)="131",LEFT($G621,3)="131",LEFT($F621,3)="331",LEFT($G621,3)="331"),$I621=""),"Thiếu Mã ĐT! ","")&amp;IF(AND($I621&lt;&gt;"",COUNTIF(DM_DT!$A$7:$A$306,$I621)=0),"Mã ĐT chưa khai báo! ","")))</f>
        <v/>
      </c>
      <c r="M621" s="117">
        <f>IF($H621="","",IF(AND(OR(LEFT($F621,3)="111",LEFT($F621,3)="112",LEFT($F621,3)="113"),OR(LEFT($G621,3)="111",LEFT($G621,3)="112",LEFT($G621,3)="113")),"NB",IF(OR(LEFT($F621,3)="111",LEFT($F621,3)="112",LEFT($F621,3)="113"),"THU",IF(OR(LEFT($G621,3)="111",LEFT($G621,3)="112",LEFT($G621,3)="113"),"CHI",""))))</f>
        <v/>
      </c>
      <c r="N621" s="117">
        <f>IF($M621="THU",$G621,IF($M621="CHI",$F621,""))</f>
        <v/>
      </c>
      <c r="O621" s="117">
        <f>IF(OR($M621="",$M621="NB"),"",IF($J621&lt;&gt;"",TEXT($J621,"00"),IFERROR(VLOOKUP(LEFT($N621,4),LCTT_MAP!$A$7:$C$66,IF($M621="THU",2,3),FALSE()),IFERROR(VLOOKUP(LEFT($N621,3),LCTT_MAP!$A$7:$C$66,IF($M621="THU",2,3),FALSE()),IFERROR(VLOOKUP(LEFT($N621,2),LCTT_MAP!$A$7:$C$66,IF($M621="THU",2,3),FALSE()),IFERROR(VLOOKUP(LEFT($N621,1),LCTT_MAP!$A$7:$C$66,IF($M621="THU",2,3),FALSE()),IF($M621="THU","06","07")))))))</f>
        <v/>
      </c>
      <c r="P621" s="117">
        <f>P620+IF(AND($H621&lt;&gt;"",OR(LEFT($F621,LEN(SC_TK))=SC_TK,LEFT($G621,LEN(SC_TK))=SC_TK)),1,0)</f>
        <v/>
      </c>
    </row>
    <row r="622" ht="15" customHeight="1" s="78">
      <c r="A622" s="95">
        <f>IF($H622="","",ROW()-6)</f>
        <v/>
      </c>
      <c r="B622" s="114" t="n"/>
      <c r="C622" s="102" t="n"/>
      <c r="D622" s="114" t="n"/>
      <c r="E622" s="103" t="n"/>
      <c r="F622" s="102" t="n"/>
      <c r="G622" s="102" t="n"/>
      <c r="H622" s="115" t="n"/>
      <c r="I622" s="102" t="n"/>
      <c r="J622" s="102" t="n"/>
      <c r="K622" s="103" t="n"/>
      <c r="L622" s="116">
        <f>IF($H622="","",TRIM(IF(COUNTIF(DMTK!$A$7:$A$250,$F622)=0,"TK Nợ sai! ","")&amp;IF(COUNTIF(DMTK!$A$7:$A$250,$G622)=0,"TK Có sai! ","")&amp;IF(N($H622)&lt;=0,"Tiền phải &gt; 0! ","")&amp;IF($B622="","Thiếu ngày! ","")&amp;IF(AND(OR(LEFT($F622,3)="131",LEFT($G622,3)="131",LEFT($F622,3)="331",LEFT($G622,3)="331"),$I622=""),"Thiếu Mã ĐT! ","")&amp;IF(AND($I622&lt;&gt;"",COUNTIF(DM_DT!$A$7:$A$306,$I622)=0),"Mã ĐT chưa khai báo! ","")))</f>
        <v/>
      </c>
      <c r="M622" s="117">
        <f>IF($H622="","",IF(AND(OR(LEFT($F622,3)="111",LEFT($F622,3)="112",LEFT($F622,3)="113"),OR(LEFT($G622,3)="111",LEFT($G622,3)="112",LEFT($G622,3)="113")),"NB",IF(OR(LEFT($F622,3)="111",LEFT($F622,3)="112",LEFT($F622,3)="113"),"THU",IF(OR(LEFT($G622,3)="111",LEFT($G622,3)="112",LEFT($G622,3)="113"),"CHI",""))))</f>
        <v/>
      </c>
      <c r="N622" s="117">
        <f>IF($M622="THU",$G622,IF($M622="CHI",$F622,""))</f>
        <v/>
      </c>
      <c r="O622" s="117">
        <f>IF(OR($M622="",$M622="NB"),"",IF($J622&lt;&gt;"",TEXT($J622,"00"),IFERROR(VLOOKUP(LEFT($N622,4),LCTT_MAP!$A$7:$C$66,IF($M622="THU",2,3),FALSE()),IFERROR(VLOOKUP(LEFT($N622,3),LCTT_MAP!$A$7:$C$66,IF($M622="THU",2,3),FALSE()),IFERROR(VLOOKUP(LEFT($N622,2),LCTT_MAP!$A$7:$C$66,IF($M622="THU",2,3),FALSE()),IFERROR(VLOOKUP(LEFT($N622,1),LCTT_MAP!$A$7:$C$66,IF($M622="THU",2,3),FALSE()),IF($M622="THU","06","07")))))))</f>
        <v/>
      </c>
      <c r="P622" s="117">
        <f>P621+IF(AND($H622&lt;&gt;"",OR(LEFT($F622,LEN(SC_TK))=SC_TK,LEFT($G622,LEN(SC_TK))=SC_TK)),1,0)</f>
        <v/>
      </c>
    </row>
    <row r="623" ht="15" customHeight="1" s="78">
      <c r="A623" s="95">
        <f>IF($H623="","",ROW()-6)</f>
        <v/>
      </c>
      <c r="B623" s="114" t="n"/>
      <c r="C623" s="102" t="n"/>
      <c r="D623" s="114" t="n"/>
      <c r="E623" s="103" t="n"/>
      <c r="F623" s="102" t="n"/>
      <c r="G623" s="102" t="n"/>
      <c r="H623" s="115" t="n"/>
      <c r="I623" s="102" t="n"/>
      <c r="J623" s="102" t="n"/>
      <c r="K623" s="103" t="n"/>
      <c r="L623" s="116">
        <f>IF($H623="","",TRIM(IF(COUNTIF(DMTK!$A$7:$A$250,$F623)=0,"TK Nợ sai! ","")&amp;IF(COUNTIF(DMTK!$A$7:$A$250,$G623)=0,"TK Có sai! ","")&amp;IF(N($H623)&lt;=0,"Tiền phải &gt; 0! ","")&amp;IF($B623="","Thiếu ngày! ","")&amp;IF(AND(OR(LEFT($F623,3)="131",LEFT($G623,3)="131",LEFT($F623,3)="331",LEFT($G623,3)="331"),$I623=""),"Thiếu Mã ĐT! ","")&amp;IF(AND($I623&lt;&gt;"",COUNTIF(DM_DT!$A$7:$A$306,$I623)=0),"Mã ĐT chưa khai báo! ","")))</f>
        <v/>
      </c>
      <c r="M623" s="117">
        <f>IF($H623="","",IF(AND(OR(LEFT($F623,3)="111",LEFT($F623,3)="112",LEFT($F623,3)="113"),OR(LEFT($G623,3)="111",LEFT($G623,3)="112",LEFT($G623,3)="113")),"NB",IF(OR(LEFT($F623,3)="111",LEFT($F623,3)="112",LEFT($F623,3)="113"),"THU",IF(OR(LEFT($G623,3)="111",LEFT($G623,3)="112",LEFT($G623,3)="113"),"CHI",""))))</f>
        <v/>
      </c>
      <c r="N623" s="117">
        <f>IF($M623="THU",$G623,IF($M623="CHI",$F623,""))</f>
        <v/>
      </c>
      <c r="O623" s="117">
        <f>IF(OR($M623="",$M623="NB"),"",IF($J623&lt;&gt;"",TEXT($J623,"00"),IFERROR(VLOOKUP(LEFT($N623,4),LCTT_MAP!$A$7:$C$66,IF($M623="THU",2,3),FALSE()),IFERROR(VLOOKUP(LEFT($N623,3),LCTT_MAP!$A$7:$C$66,IF($M623="THU",2,3),FALSE()),IFERROR(VLOOKUP(LEFT($N623,2),LCTT_MAP!$A$7:$C$66,IF($M623="THU",2,3),FALSE()),IFERROR(VLOOKUP(LEFT($N623,1),LCTT_MAP!$A$7:$C$66,IF($M623="THU",2,3),FALSE()),IF($M623="THU","06","07")))))))</f>
        <v/>
      </c>
      <c r="P623" s="117">
        <f>P622+IF(AND($H623&lt;&gt;"",OR(LEFT($F623,LEN(SC_TK))=SC_TK,LEFT($G623,LEN(SC_TK))=SC_TK)),1,0)</f>
        <v/>
      </c>
    </row>
    <row r="624" ht="15" customHeight="1" s="78">
      <c r="A624" s="95">
        <f>IF($H624="","",ROW()-6)</f>
        <v/>
      </c>
      <c r="B624" s="114" t="n"/>
      <c r="C624" s="102" t="n"/>
      <c r="D624" s="114" t="n"/>
      <c r="E624" s="103" t="n"/>
      <c r="F624" s="102" t="n"/>
      <c r="G624" s="102" t="n"/>
      <c r="H624" s="115" t="n"/>
      <c r="I624" s="102" t="n"/>
      <c r="J624" s="102" t="n"/>
      <c r="K624" s="103" t="n"/>
      <c r="L624" s="116">
        <f>IF($H624="","",TRIM(IF(COUNTIF(DMTK!$A$7:$A$250,$F624)=0,"TK Nợ sai! ","")&amp;IF(COUNTIF(DMTK!$A$7:$A$250,$G624)=0,"TK Có sai! ","")&amp;IF(N($H624)&lt;=0,"Tiền phải &gt; 0! ","")&amp;IF($B624="","Thiếu ngày! ","")&amp;IF(AND(OR(LEFT($F624,3)="131",LEFT($G624,3)="131",LEFT($F624,3)="331",LEFT($G624,3)="331"),$I624=""),"Thiếu Mã ĐT! ","")&amp;IF(AND($I624&lt;&gt;"",COUNTIF(DM_DT!$A$7:$A$306,$I624)=0),"Mã ĐT chưa khai báo! ","")))</f>
        <v/>
      </c>
      <c r="M624" s="117">
        <f>IF($H624="","",IF(AND(OR(LEFT($F624,3)="111",LEFT($F624,3)="112",LEFT($F624,3)="113"),OR(LEFT($G624,3)="111",LEFT($G624,3)="112",LEFT($G624,3)="113")),"NB",IF(OR(LEFT($F624,3)="111",LEFT($F624,3)="112",LEFT($F624,3)="113"),"THU",IF(OR(LEFT($G624,3)="111",LEFT($G624,3)="112",LEFT($G624,3)="113"),"CHI",""))))</f>
        <v/>
      </c>
      <c r="N624" s="117">
        <f>IF($M624="THU",$G624,IF($M624="CHI",$F624,""))</f>
        <v/>
      </c>
      <c r="O624" s="117">
        <f>IF(OR($M624="",$M624="NB"),"",IF($J624&lt;&gt;"",TEXT($J624,"00"),IFERROR(VLOOKUP(LEFT($N624,4),LCTT_MAP!$A$7:$C$66,IF($M624="THU",2,3),FALSE()),IFERROR(VLOOKUP(LEFT($N624,3),LCTT_MAP!$A$7:$C$66,IF($M624="THU",2,3),FALSE()),IFERROR(VLOOKUP(LEFT($N624,2),LCTT_MAP!$A$7:$C$66,IF($M624="THU",2,3),FALSE()),IFERROR(VLOOKUP(LEFT($N624,1),LCTT_MAP!$A$7:$C$66,IF($M624="THU",2,3),FALSE()),IF($M624="THU","06","07")))))))</f>
        <v/>
      </c>
      <c r="P624" s="117">
        <f>P623+IF(AND($H624&lt;&gt;"",OR(LEFT($F624,LEN(SC_TK))=SC_TK,LEFT($G624,LEN(SC_TK))=SC_TK)),1,0)</f>
        <v/>
      </c>
    </row>
    <row r="625" ht="15" customHeight="1" s="78">
      <c r="A625" s="95">
        <f>IF($H625="","",ROW()-6)</f>
        <v/>
      </c>
      <c r="B625" s="114" t="n"/>
      <c r="C625" s="102" t="n"/>
      <c r="D625" s="114" t="n"/>
      <c r="E625" s="103" t="n"/>
      <c r="F625" s="102" t="n"/>
      <c r="G625" s="102" t="n"/>
      <c r="H625" s="115" t="n"/>
      <c r="I625" s="102" t="n"/>
      <c r="J625" s="102" t="n"/>
      <c r="K625" s="103" t="n"/>
      <c r="L625" s="116">
        <f>IF($H625="","",TRIM(IF(COUNTIF(DMTK!$A$7:$A$250,$F625)=0,"TK Nợ sai! ","")&amp;IF(COUNTIF(DMTK!$A$7:$A$250,$G625)=0,"TK Có sai! ","")&amp;IF(N($H625)&lt;=0,"Tiền phải &gt; 0! ","")&amp;IF($B625="","Thiếu ngày! ","")&amp;IF(AND(OR(LEFT($F625,3)="131",LEFT($G625,3)="131",LEFT($F625,3)="331",LEFT($G625,3)="331"),$I625=""),"Thiếu Mã ĐT! ","")&amp;IF(AND($I625&lt;&gt;"",COUNTIF(DM_DT!$A$7:$A$306,$I625)=0),"Mã ĐT chưa khai báo! ","")))</f>
        <v/>
      </c>
      <c r="M625" s="117">
        <f>IF($H625="","",IF(AND(OR(LEFT($F625,3)="111",LEFT($F625,3)="112",LEFT($F625,3)="113"),OR(LEFT($G625,3)="111",LEFT($G625,3)="112",LEFT($G625,3)="113")),"NB",IF(OR(LEFT($F625,3)="111",LEFT($F625,3)="112",LEFT($F625,3)="113"),"THU",IF(OR(LEFT($G625,3)="111",LEFT($G625,3)="112",LEFT($G625,3)="113"),"CHI",""))))</f>
        <v/>
      </c>
      <c r="N625" s="117">
        <f>IF($M625="THU",$G625,IF($M625="CHI",$F625,""))</f>
        <v/>
      </c>
      <c r="O625" s="117">
        <f>IF(OR($M625="",$M625="NB"),"",IF($J625&lt;&gt;"",TEXT($J625,"00"),IFERROR(VLOOKUP(LEFT($N625,4),LCTT_MAP!$A$7:$C$66,IF($M625="THU",2,3),FALSE()),IFERROR(VLOOKUP(LEFT($N625,3),LCTT_MAP!$A$7:$C$66,IF($M625="THU",2,3),FALSE()),IFERROR(VLOOKUP(LEFT($N625,2),LCTT_MAP!$A$7:$C$66,IF($M625="THU",2,3),FALSE()),IFERROR(VLOOKUP(LEFT($N625,1),LCTT_MAP!$A$7:$C$66,IF($M625="THU",2,3),FALSE()),IF($M625="THU","06","07")))))))</f>
        <v/>
      </c>
      <c r="P625" s="117">
        <f>P624+IF(AND($H625&lt;&gt;"",OR(LEFT($F625,LEN(SC_TK))=SC_TK,LEFT($G625,LEN(SC_TK))=SC_TK)),1,0)</f>
        <v/>
      </c>
    </row>
    <row r="626" ht="15" customHeight="1" s="78">
      <c r="A626" s="95">
        <f>IF($H626="","",ROW()-6)</f>
        <v/>
      </c>
      <c r="B626" s="114" t="n"/>
      <c r="C626" s="102" t="n"/>
      <c r="D626" s="114" t="n"/>
      <c r="E626" s="103" t="n"/>
      <c r="F626" s="102" t="n"/>
      <c r="G626" s="102" t="n"/>
      <c r="H626" s="115" t="n"/>
      <c r="I626" s="102" t="n"/>
      <c r="J626" s="102" t="n"/>
      <c r="K626" s="103" t="n"/>
      <c r="L626" s="116">
        <f>IF($H626="","",TRIM(IF(COUNTIF(DMTK!$A$7:$A$250,$F626)=0,"TK Nợ sai! ","")&amp;IF(COUNTIF(DMTK!$A$7:$A$250,$G626)=0,"TK Có sai! ","")&amp;IF(N($H626)&lt;=0,"Tiền phải &gt; 0! ","")&amp;IF($B626="","Thiếu ngày! ","")&amp;IF(AND(OR(LEFT($F626,3)="131",LEFT($G626,3)="131",LEFT($F626,3)="331",LEFT($G626,3)="331"),$I626=""),"Thiếu Mã ĐT! ","")&amp;IF(AND($I626&lt;&gt;"",COUNTIF(DM_DT!$A$7:$A$306,$I626)=0),"Mã ĐT chưa khai báo! ","")))</f>
        <v/>
      </c>
      <c r="M626" s="117">
        <f>IF($H626="","",IF(AND(OR(LEFT($F626,3)="111",LEFT($F626,3)="112",LEFT($F626,3)="113"),OR(LEFT($G626,3)="111",LEFT($G626,3)="112",LEFT($G626,3)="113")),"NB",IF(OR(LEFT($F626,3)="111",LEFT($F626,3)="112",LEFT($F626,3)="113"),"THU",IF(OR(LEFT($G626,3)="111",LEFT($G626,3)="112",LEFT($G626,3)="113"),"CHI",""))))</f>
        <v/>
      </c>
      <c r="N626" s="117">
        <f>IF($M626="THU",$G626,IF($M626="CHI",$F626,""))</f>
        <v/>
      </c>
      <c r="O626" s="117">
        <f>IF(OR($M626="",$M626="NB"),"",IF($J626&lt;&gt;"",TEXT($J626,"00"),IFERROR(VLOOKUP(LEFT($N626,4),LCTT_MAP!$A$7:$C$66,IF($M626="THU",2,3),FALSE()),IFERROR(VLOOKUP(LEFT($N626,3),LCTT_MAP!$A$7:$C$66,IF($M626="THU",2,3),FALSE()),IFERROR(VLOOKUP(LEFT($N626,2),LCTT_MAP!$A$7:$C$66,IF($M626="THU",2,3),FALSE()),IFERROR(VLOOKUP(LEFT($N626,1),LCTT_MAP!$A$7:$C$66,IF($M626="THU",2,3),FALSE()),IF($M626="THU","06","07")))))))</f>
        <v/>
      </c>
      <c r="P626" s="117">
        <f>P625+IF(AND($H626&lt;&gt;"",OR(LEFT($F626,LEN(SC_TK))=SC_TK,LEFT($G626,LEN(SC_TK))=SC_TK)),1,0)</f>
        <v/>
      </c>
    </row>
    <row r="627" ht="15" customHeight="1" s="78">
      <c r="A627" s="95">
        <f>IF($H627="","",ROW()-6)</f>
        <v/>
      </c>
      <c r="B627" s="114" t="n"/>
      <c r="C627" s="102" t="n"/>
      <c r="D627" s="114" t="n"/>
      <c r="E627" s="103" t="n"/>
      <c r="F627" s="102" t="n"/>
      <c r="G627" s="102" t="n"/>
      <c r="H627" s="115" t="n"/>
      <c r="I627" s="102" t="n"/>
      <c r="J627" s="102" t="n"/>
      <c r="K627" s="103" t="n"/>
      <c r="L627" s="116">
        <f>IF($H627="","",TRIM(IF(COUNTIF(DMTK!$A$7:$A$250,$F627)=0,"TK Nợ sai! ","")&amp;IF(COUNTIF(DMTK!$A$7:$A$250,$G627)=0,"TK Có sai! ","")&amp;IF(N($H627)&lt;=0,"Tiền phải &gt; 0! ","")&amp;IF($B627="","Thiếu ngày! ","")&amp;IF(AND(OR(LEFT($F627,3)="131",LEFT($G627,3)="131",LEFT($F627,3)="331",LEFT($G627,3)="331"),$I627=""),"Thiếu Mã ĐT! ","")&amp;IF(AND($I627&lt;&gt;"",COUNTIF(DM_DT!$A$7:$A$306,$I627)=0),"Mã ĐT chưa khai báo! ","")))</f>
        <v/>
      </c>
      <c r="M627" s="117">
        <f>IF($H627="","",IF(AND(OR(LEFT($F627,3)="111",LEFT($F627,3)="112",LEFT($F627,3)="113"),OR(LEFT($G627,3)="111",LEFT($G627,3)="112",LEFT($G627,3)="113")),"NB",IF(OR(LEFT($F627,3)="111",LEFT($F627,3)="112",LEFT($F627,3)="113"),"THU",IF(OR(LEFT($G627,3)="111",LEFT($G627,3)="112",LEFT($G627,3)="113"),"CHI",""))))</f>
        <v/>
      </c>
      <c r="N627" s="117">
        <f>IF($M627="THU",$G627,IF($M627="CHI",$F627,""))</f>
        <v/>
      </c>
      <c r="O627" s="117">
        <f>IF(OR($M627="",$M627="NB"),"",IF($J627&lt;&gt;"",TEXT($J627,"00"),IFERROR(VLOOKUP(LEFT($N627,4),LCTT_MAP!$A$7:$C$66,IF($M627="THU",2,3),FALSE()),IFERROR(VLOOKUP(LEFT($N627,3),LCTT_MAP!$A$7:$C$66,IF($M627="THU",2,3),FALSE()),IFERROR(VLOOKUP(LEFT($N627,2),LCTT_MAP!$A$7:$C$66,IF($M627="THU",2,3),FALSE()),IFERROR(VLOOKUP(LEFT($N627,1),LCTT_MAP!$A$7:$C$66,IF($M627="THU",2,3),FALSE()),IF($M627="THU","06","07")))))))</f>
        <v/>
      </c>
      <c r="P627" s="117">
        <f>P626+IF(AND($H627&lt;&gt;"",OR(LEFT($F627,LEN(SC_TK))=SC_TK,LEFT($G627,LEN(SC_TK))=SC_TK)),1,0)</f>
        <v/>
      </c>
    </row>
    <row r="628" ht="15" customHeight="1" s="78">
      <c r="A628" s="95">
        <f>IF($H628="","",ROW()-6)</f>
        <v/>
      </c>
      <c r="B628" s="114" t="n"/>
      <c r="C628" s="102" t="n"/>
      <c r="D628" s="114" t="n"/>
      <c r="E628" s="103" t="n"/>
      <c r="F628" s="102" t="n"/>
      <c r="G628" s="102" t="n"/>
      <c r="H628" s="115" t="n"/>
      <c r="I628" s="102" t="n"/>
      <c r="J628" s="102" t="n"/>
      <c r="K628" s="103" t="n"/>
      <c r="L628" s="116">
        <f>IF($H628="","",TRIM(IF(COUNTIF(DMTK!$A$7:$A$250,$F628)=0,"TK Nợ sai! ","")&amp;IF(COUNTIF(DMTK!$A$7:$A$250,$G628)=0,"TK Có sai! ","")&amp;IF(N($H628)&lt;=0,"Tiền phải &gt; 0! ","")&amp;IF($B628="","Thiếu ngày! ","")&amp;IF(AND(OR(LEFT($F628,3)="131",LEFT($G628,3)="131",LEFT($F628,3)="331",LEFT($G628,3)="331"),$I628=""),"Thiếu Mã ĐT! ","")&amp;IF(AND($I628&lt;&gt;"",COUNTIF(DM_DT!$A$7:$A$306,$I628)=0),"Mã ĐT chưa khai báo! ","")))</f>
        <v/>
      </c>
      <c r="M628" s="117">
        <f>IF($H628="","",IF(AND(OR(LEFT($F628,3)="111",LEFT($F628,3)="112",LEFT($F628,3)="113"),OR(LEFT($G628,3)="111",LEFT($G628,3)="112",LEFT($G628,3)="113")),"NB",IF(OR(LEFT($F628,3)="111",LEFT($F628,3)="112",LEFT($F628,3)="113"),"THU",IF(OR(LEFT($G628,3)="111",LEFT($G628,3)="112",LEFT($G628,3)="113"),"CHI",""))))</f>
        <v/>
      </c>
      <c r="N628" s="117">
        <f>IF($M628="THU",$G628,IF($M628="CHI",$F628,""))</f>
        <v/>
      </c>
      <c r="O628" s="117">
        <f>IF(OR($M628="",$M628="NB"),"",IF($J628&lt;&gt;"",TEXT($J628,"00"),IFERROR(VLOOKUP(LEFT($N628,4),LCTT_MAP!$A$7:$C$66,IF($M628="THU",2,3),FALSE()),IFERROR(VLOOKUP(LEFT($N628,3),LCTT_MAP!$A$7:$C$66,IF($M628="THU",2,3),FALSE()),IFERROR(VLOOKUP(LEFT($N628,2),LCTT_MAP!$A$7:$C$66,IF($M628="THU",2,3),FALSE()),IFERROR(VLOOKUP(LEFT($N628,1),LCTT_MAP!$A$7:$C$66,IF($M628="THU",2,3),FALSE()),IF($M628="THU","06","07")))))))</f>
        <v/>
      </c>
      <c r="P628" s="117">
        <f>P627+IF(AND($H628&lt;&gt;"",OR(LEFT($F628,LEN(SC_TK))=SC_TK,LEFT($G628,LEN(SC_TK))=SC_TK)),1,0)</f>
        <v/>
      </c>
    </row>
    <row r="629" ht="15" customHeight="1" s="78">
      <c r="A629" s="95">
        <f>IF($H629="","",ROW()-6)</f>
        <v/>
      </c>
      <c r="B629" s="114" t="n"/>
      <c r="C629" s="102" t="n"/>
      <c r="D629" s="114" t="n"/>
      <c r="E629" s="103" t="n"/>
      <c r="F629" s="102" t="n"/>
      <c r="G629" s="102" t="n"/>
      <c r="H629" s="115" t="n"/>
      <c r="I629" s="102" t="n"/>
      <c r="J629" s="102" t="n"/>
      <c r="K629" s="103" t="n"/>
      <c r="L629" s="116">
        <f>IF($H629="","",TRIM(IF(COUNTIF(DMTK!$A$7:$A$250,$F629)=0,"TK Nợ sai! ","")&amp;IF(COUNTIF(DMTK!$A$7:$A$250,$G629)=0,"TK Có sai! ","")&amp;IF(N($H629)&lt;=0,"Tiền phải &gt; 0! ","")&amp;IF($B629="","Thiếu ngày! ","")&amp;IF(AND(OR(LEFT($F629,3)="131",LEFT($G629,3)="131",LEFT($F629,3)="331",LEFT($G629,3)="331"),$I629=""),"Thiếu Mã ĐT! ","")&amp;IF(AND($I629&lt;&gt;"",COUNTIF(DM_DT!$A$7:$A$306,$I629)=0),"Mã ĐT chưa khai báo! ","")))</f>
        <v/>
      </c>
      <c r="M629" s="117">
        <f>IF($H629="","",IF(AND(OR(LEFT($F629,3)="111",LEFT($F629,3)="112",LEFT($F629,3)="113"),OR(LEFT($G629,3)="111",LEFT($G629,3)="112",LEFT($G629,3)="113")),"NB",IF(OR(LEFT($F629,3)="111",LEFT($F629,3)="112",LEFT($F629,3)="113"),"THU",IF(OR(LEFT($G629,3)="111",LEFT($G629,3)="112",LEFT($G629,3)="113"),"CHI",""))))</f>
        <v/>
      </c>
      <c r="N629" s="117">
        <f>IF($M629="THU",$G629,IF($M629="CHI",$F629,""))</f>
        <v/>
      </c>
      <c r="O629" s="117">
        <f>IF(OR($M629="",$M629="NB"),"",IF($J629&lt;&gt;"",TEXT($J629,"00"),IFERROR(VLOOKUP(LEFT($N629,4),LCTT_MAP!$A$7:$C$66,IF($M629="THU",2,3),FALSE()),IFERROR(VLOOKUP(LEFT($N629,3),LCTT_MAP!$A$7:$C$66,IF($M629="THU",2,3),FALSE()),IFERROR(VLOOKUP(LEFT($N629,2),LCTT_MAP!$A$7:$C$66,IF($M629="THU",2,3),FALSE()),IFERROR(VLOOKUP(LEFT($N629,1),LCTT_MAP!$A$7:$C$66,IF($M629="THU",2,3),FALSE()),IF($M629="THU","06","07")))))))</f>
        <v/>
      </c>
      <c r="P629" s="117">
        <f>P628+IF(AND($H629&lt;&gt;"",OR(LEFT($F629,LEN(SC_TK))=SC_TK,LEFT($G629,LEN(SC_TK))=SC_TK)),1,0)</f>
        <v/>
      </c>
    </row>
    <row r="630" ht="15" customHeight="1" s="78">
      <c r="A630" s="95">
        <f>IF($H630="","",ROW()-6)</f>
        <v/>
      </c>
      <c r="B630" s="114" t="n"/>
      <c r="C630" s="102" t="n"/>
      <c r="D630" s="114" t="n"/>
      <c r="E630" s="103" t="n"/>
      <c r="F630" s="102" t="n"/>
      <c r="G630" s="102" t="n"/>
      <c r="H630" s="115" t="n"/>
      <c r="I630" s="102" t="n"/>
      <c r="J630" s="102" t="n"/>
      <c r="K630" s="103" t="n"/>
      <c r="L630" s="116">
        <f>IF($H630="","",TRIM(IF(COUNTIF(DMTK!$A$7:$A$250,$F630)=0,"TK Nợ sai! ","")&amp;IF(COUNTIF(DMTK!$A$7:$A$250,$G630)=0,"TK Có sai! ","")&amp;IF(N($H630)&lt;=0,"Tiền phải &gt; 0! ","")&amp;IF($B630="","Thiếu ngày! ","")&amp;IF(AND(OR(LEFT($F630,3)="131",LEFT($G630,3)="131",LEFT($F630,3)="331",LEFT($G630,3)="331"),$I630=""),"Thiếu Mã ĐT! ","")&amp;IF(AND($I630&lt;&gt;"",COUNTIF(DM_DT!$A$7:$A$306,$I630)=0),"Mã ĐT chưa khai báo! ","")))</f>
        <v/>
      </c>
      <c r="M630" s="117">
        <f>IF($H630="","",IF(AND(OR(LEFT($F630,3)="111",LEFT($F630,3)="112",LEFT($F630,3)="113"),OR(LEFT($G630,3)="111",LEFT($G630,3)="112",LEFT($G630,3)="113")),"NB",IF(OR(LEFT($F630,3)="111",LEFT($F630,3)="112",LEFT($F630,3)="113"),"THU",IF(OR(LEFT($G630,3)="111",LEFT($G630,3)="112",LEFT($G630,3)="113"),"CHI",""))))</f>
        <v/>
      </c>
      <c r="N630" s="117">
        <f>IF($M630="THU",$G630,IF($M630="CHI",$F630,""))</f>
        <v/>
      </c>
      <c r="O630" s="117">
        <f>IF(OR($M630="",$M630="NB"),"",IF($J630&lt;&gt;"",TEXT($J630,"00"),IFERROR(VLOOKUP(LEFT($N630,4),LCTT_MAP!$A$7:$C$66,IF($M630="THU",2,3),FALSE()),IFERROR(VLOOKUP(LEFT($N630,3),LCTT_MAP!$A$7:$C$66,IF($M630="THU",2,3),FALSE()),IFERROR(VLOOKUP(LEFT($N630,2),LCTT_MAP!$A$7:$C$66,IF($M630="THU",2,3),FALSE()),IFERROR(VLOOKUP(LEFT($N630,1),LCTT_MAP!$A$7:$C$66,IF($M630="THU",2,3),FALSE()),IF($M630="THU","06","07")))))))</f>
        <v/>
      </c>
      <c r="P630" s="117">
        <f>P629+IF(AND($H630&lt;&gt;"",OR(LEFT($F630,LEN(SC_TK))=SC_TK,LEFT($G630,LEN(SC_TK))=SC_TK)),1,0)</f>
        <v/>
      </c>
    </row>
    <row r="631" ht="15" customHeight="1" s="78">
      <c r="A631" s="95">
        <f>IF($H631="","",ROW()-6)</f>
        <v/>
      </c>
      <c r="B631" s="114" t="n"/>
      <c r="C631" s="102" t="n"/>
      <c r="D631" s="114" t="n"/>
      <c r="E631" s="103" t="n"/>
      <c r="F631" s="102" t="n"/>
      <c r="G631" s="102" t="n"/>
      <c r="H631" s="115" t="n"/>
      <c r="I631" s="102" t="n"/>
      <c r="J631" s="102" t="n"/>
      <c r="K631" s="103" t="n"/>
      <c r="L631" s="116">
        <f>IF($H631="","",TRIM(IF(COUNTIF(DMTK!$A$7:$A$250,$F631)=0,"TK Nợ sai! ","")&amp;IF(COUNTIF(DMTK!$A$7:$A$250,$G631)=0,"TK Có sai! ","")&amp;IF(N($H631)&lt;=0,"Tiền phải &gt; 0! ","")&amp;IF($B631="","Thiếu ngày! ","")&amp;IF(AND(OR(LEFT($F631,3)="131",LEFT($G631,3)="131",LEFT($F631,3)="331",LEFT($G631,3)="331"),$I631=""),"Thiếu Mã ĐT! ","")&amp;IF(AND($I631&lt;&gt;"",COUNTIF(DM_DT!$A$7:$A$306,$I631)=0),"Mã ĐT chưa khai báo! ","")))</f>
        <v/>
      </c>
      <c r="M631" s="117">
        <f>IF($H631="","",IF(AND(OR(LEFT($F631,3)="111",LEFT($F631,3)="112",LEFT($F631,3)="113"),OR(LEFT($G631,3)="111",LEFT($G631,3)="112",LEFT($G631,3)="113")),"NB",IF(OR(LEFT($F631,3)="111",LEFT($F631,3)="112",LEFT($F631,3)="113"),"THU",IF(OR(LEFT($G631,3)="111",LEFT($G631,3)="112",LEFT($G631,3)="113"),"CHI",""))))</f>
        <v/>
      </c>
      <c r="N631" s="117">
        <f>IF($M631="THU",$G631,IF($M631="CHI",$F631,""))</f>
        <v/>
      </c>
      <c r="O631" s="117">
        <f>IF(OR($M631="",$M631="NB"),"",IF($J631&lt;&gt;"",TEXT($J631,"00"),IFERROR(VLOOKUP(LEFT($N631,4),LCTT_MAP!$A$7:$C$66,IF($M631="THU",2,3),FALSE()),IFERROR(VLOOKUP(LEFT($N631,3),LCTT_MAP!$A$7:$C$66,IF($M631="THU",2,3),FALSE()),IFERROR(VLOOKUP(LEFT($N631,2),LCTT_MAP!$A$7:$C$66,IF($M631="THU",2,3),FALSE()),IFERROR(VLOOKUP(LEFT($N631,1),LCTT_MAP!$A$7:$C$66,IF($M631="THU",2,3),FALSE()),IF($M631="THU","06","07")))))))</f>
        <v/>
      </c>
      <c r="P631" s="117">
        <f>P630+IF(AND($H631&lt;&gt;"",OR(LEFT($F631,LEN(SC_TK))=SC_TK,LEFT($G631,LEN(SC_TK))=SC_TK)),1,0)</f>
        <v/>
      </c>
    </row>
    <row r="632" ht="15" customHeight="1" s="78">
      <c r="A632" s="95">
        <f>IF($H632="","",ROW()-6)</f>
        <v/>
      </c>
      <c r="B632" s="114" t="n"/>
      <c r="C632" s="102" t="n"/>
      <c r="D632" s="114" t="n"/>
      <c r="E632" s="103" t="n"/>
      <c r="F632" s="102" t="n"/>
      <c r="G632" s="102" t="n"/>
      <c r="H632" s="115" t="n"/>
      <c r="I632" s="102" t="n"/>
      <c r="J632" s="102" t="n"/>
      <c r="K632" s="103" t="n"/>
      <c r="L632" s="116">
        <f>IF($H632="","",TRIM(IF(COUNTIF(DMTK!$A$7:$A$250,$F632)=0,"TK Nợ sai! ","")&amp;IF(COUNTIF(DMTK!$A$7:$A$250,$G632)=0,"TK Có sai! ","")&amp;IF(N($H632)&lt;=0,"Tiền phải &gt; 0! ","")&amp;IF($B632="","Thiếu ngày! ","")&amp;IF(AND(OR(LEFT($F632,3)="131",LEFT($G632,3)="131",LEFT($F632,3)="331",LEFT($G632,3)="331"),$I632=""),"Thiếu Mã ĐT! ","")&amp;IF(AND($I632&lt;&gt;"",COUNTIF(DM_DT!$A$7:$A$306,$I632)=0),"Mã ĐT chưa khai báo! ","")))</f>
        <v/>
      </c>
      <c r="M632" s="117">
        <f>IF($H632="","",IF(AND(OR(LEFT($F632,3)="111",LEFT($F632,3)="112",LEFT($F632,3)="113"),OR(LEFT($G632,3)="111",LEFT($G632,3)="112",LEFT($G632,3)="113")),"NB",IF(OR(LEFT($F632,3)="111",LEFT($F632,3)="112",LEFT($F632,3)="113"),"THU",IF(OR(LEFT($G632,3)="111",LEFT($G632,3)="112",LEFT($G632,3)="113"),"CHI",""))))</f>
        <v/>
      </c>
      <c r="N632" s="117">
        <f>IF($M632="THU",$G632,IF($M632="CHI",$F632,""))</f>
        <v/>
      </c>
      <c r="O632" s="117">
        <f>IF(OR($M632="",$M632="NB"),"",IF($J632&lt;&gt;"",TEXT($J632,"00"),IFERROR(VLOOKUP(LEFT($N632,4),LCTT_MAP!$A$7:$C$66,IF($M632="THU",2,3),FALSE()),IFERROR(VLOOKUP(LEFT($N632,3),LCTT_MAP!$A$7:$C$66,IF($M632="THU",2,3),FALSE()),IFERROR(VLOOKUP(LEFT($N632,2),LCTT_MAP!$A$7:$C$66,IF($M632="THU",2,3),FALSE()),IFERROR(VLOOKUP(LEFT($N632,1),LCTT_MAP!$A$7:$C$66,IF($M632="THU",2,3),FALSE()),IF($M632="THU","06","07")))))))</f>
        <v/>
      </c>
      <c r="P632" s="117">
        <f>P631+IF(AND($H632&lt;&gt;"",OR(LEFT($F632,LEN(SC_TK))=SC_TK,LEFT($G632,LEN(SC_TK))=SC_TK)),1,0)</f>
        <v/>
      </c>
    </row>
    <row r="633" ht="15" customHeight="1" s="78">
      <c r="A633" s="95">
        <f>IF($H633="","",ROW()-6)</f>
        <v/>
      </c>
      <c r="B633" s="114" t="n"/>
      <c r="C633" s="102" t="n"/>
      <c r="D633" s="114" t="n"/>
      <c r="E633" s="103" t="n"/>
      <c r="F633" s="102" t="n"/>
      <c r="G633" s="102" t="n"/>
      <c r="H633" s="115" t="n"/>
      <c r="I633" s="102" t="n"/>
      <c r="J633" s="102" t="n"/>
      <c r="K633" s="103" t="n"/>
      <c r="L633" s="116">
        <f>IF($H633="","",TRIM(IF(COUNTIF(DMTK!$A$7:$A$250,$F633)=0,"TK Nợ sai! ","")&amp;IF(COUNTIF(DMTK!$A$7:$A$250,$G633)=0,"TK Có sai! ","")&amp;IF(N($H633)&lt;=0,"Tiền phải &gt; 0! ","")&amp;IF($B633="","Thiếu ngày! ","")&amp;IF(AND(OR(LEFT($F633,3)="131",LEFT($G633,3)="131",LEFT($F633,3)="331",LEFT($G633,3)="331"),$I633=""),"Thiếu Mã ĐT! ","")&amp;IF(AND($I633&lt;&gt;"",COUNTIF(DM_DT!$A$7:$A$306,$I633)=0),"Mã ĐT chưa khai báo! ","")))</f>
        <v/>
      </c>
      <c r="M633" s="117">
        <f>IF($H633="","",IF(AND(OR(LEFT($F633,3)="111",LEFT($F633,3)="112",LEFT($F633,3)="113"),OR(LEFT($G633,3)="111",LEFT($G633,3)="112",LEFT($G633,3)="113")),"NB",IF(OR(LEFT($F633,3)="111",LEFT($F633,3)="112",LEFT($F633,3)="113"),"THU",IF(OR(LEFT($G633,3)="111",LEFT($G633,3)="112",LEFT($G633,3)="113"),"CHI",""))))</f>
        <v/>
      </c>
      <c r="N633" s="117">
        <f>IF($M633="THU",$G633,IF($M633="CHI",$F633,""))</f>
        <v/>
      </c>
      <c r="O633" s="117">
        <f>IF(OR($M633="",$M633="NB"),"",IF($J633&lt;&gt;"",TEXT($J633,"00"),IFERROR(VLOOKUP(LEFT($N633,4),LCTT_MAP!$A$7:$C$66,IF($M633="THU",2,3),FALSE()),IFERROR(VLOOKUP(LEFT($N633,3),LCTT_MAP!$A$7:$C$66,IF($M633="THU",2,3),FALSE()),IFERROR(VLOOKUP(LEFT($N633,2),LCTT_MAP!$A$7:$C$66,IF($M633="THU",2,3),FALSE()),IFERROR(VLOOKUP(LEFT($N633,1),LCTT_MAP!$A$7:$C$66,IF($M633="THU",2,3),FALSE()),IF($M633="THU","06","07")))))))</f>
        <v/>
      </c>
      <c r="P633" s="117">
        <f>P632+IF(AND($H633&lt;&gt;"",OR(LEFT($F633,LEN(SC_TK))=SC_TK,LEFT($G633,LEN(SC_TK))=SC_TK)),1,0)</f>
        <v/>
      </c>
    </row>
    <row r="634" ht="15" customHeight="1" s="78">
      <c r="A634" s="95">
        <f>IF($H634="","",ROW()-6)</f>
        <v/>
      </c>
      <c r="B634" s="114" t="n"/>
      <c r="C634" s="102" t="n"/>
      <c r="D634" s="114" t="n"/>
      <c r="E634" s="103" t="n"/>
      <c r="F634" s="102" t="n"/>
      <c r="G634" s="102" t="n"/>
      <c r="H634" s="115" t="n"/>
      <c r="I634" s="102" t="n"/>
      <c r="J634" s="102" t="n"/>
      <c r="K634" s="103" t="n"/>
      <c r="L634" s="116">
        <f>IF($H634="","",TRIM(IF(COUNTIF(DMTK!$A$7:$A$250,$F634)=0,"TK Nợ sai! ","")&amp;IF(COUNTIF(DMTK!$A$7:$A$250,$G634)=0,"TK Có sai! ","")&amp;IF(N($H634)&lt;=0,"Tiền phải &gt; 0! ","")&amp;IF($B634="","Thiếu ngày! ","")&amp;IF(AND(OR(LEFT($F634,3)="131",LEFT($G634,3)="131",LEFT($F634,3)="331",LEFT($G634,3)="331"),$I634=""),"Thiếu Mã ĐT! ","")&amp;IF(AND($I634&lt;&gt;"",COUNTIF(DM_DT!$A$7:$A$306,$I634)=0),"Mã ĐT chưa khai báo! ","")))</f>
        <v/>
      </c>
      <c r="M634" s="117">
        <f>IF($H634="","",IF(AND(OR(LEFT($F634,3)="111",LEFT($F634,3)="112",LEFT($F634,3)="113"),OR(LEFT($G634,3)="111",LEFT($G634,3)="112",LEFT($G634,3)="113")),"NB",IF(OR(LEFT($F634,3)="111",LEFT($F634,3)="112",LEFT($F634,3)="113"),"THU",IF(OR(LEFT($G634,3)="111",LEFT($G634,3)="112",LEFT($G634,3)="113"),"CHI",""))))</f>
        <v/>
      </c>
      <c r="N634" s="117">
        <f>IF($M634="THU",$G634,IF($M634="CHI",$F634,""))</f>
        <v/>
      </c>
      <c r="O634" s="117">
        <f>IF(OR($M634="",$M634="NB"),"",IF($J634&lt;&gt;"",TEXT($J634,"00"),IFERROR(VLOOKUP(LEFT($N634,4),LCTT_MAP!$A$7:$C$66,IF($M634="THU",2,3),FALSE()),IFERROR(VLOOKUP(LEFT($N634,3),LCTT_MAP!$A$7:$C$66,IF($M634="THU",2,3),FALSE()),IFERROR(VLOOKUP(LEFT($N634,2),LCTT_MAP!$A$7:$C$66,IF($M634="THU",2,3),FALSE()),IFERROR(VLOOKUP(LEFT($N634,1),LCTT_MAP!$A$7:$C$66,IF($M634="THU",2,3),FALSE()),IF($M634="THU","06","07")))))))</f>
        <v/>
      </c>
      <c r="P634" s="117">
        <f>P633+IF(AND($H634&lt;&gt;"",OR(LEFT($F634,LEN(SC_TK))=SC_TK,LEFT($G634,LEN(SC_TK))=SC_TK)),1,0)</f>
        <v/>
      </c>
    </row>
    <row r="635" ht="15" customHeight="1" s="78">
      <c r="A635" s="95">
        <f>IF($H635="","",ROW()-6)</f>
        <v/>
      </c>
      <c r="B635" s="114" t="n"/>
      <c r="C635" s="102" t="n"/>
      <c r="D635" s="114" t="n"/>
      <c r="E635" s="103" t="n"/>
      <c r="F635" s="102" t="n"/>
      <c r="G635" s="102" t="n"/>
      <c r="H635" s="115" t="n"/>
      <c r="I635" s="102" t="n"/>
      <c r="J635" s="102" t="n"/>
      <c r="K635" s="103" t="n"/>
      <c r="L635" s="116">
        <f>IF($H635="","",TRIM(IF(COUNTIF(DMTK!$A$7:$A$250,$F635)=0,"TK Nợ sai! ","")&amp;IF(COUNTIF(DMTK!$A$7:$A$250,$G635)=0,"TK Có sai! ","")&amp;IF(N($H635)&lt;=0,"Tiền phải &gt; 0! ","")&amp;IF($B635="","Thiếu ngày! ","")&amp;IF(AND(OR(LEFT($F635,3)="131",LEFT($G635,3)="131",LEFT($F635,3)="331",LEFT($G635,3)="331"),$I635=""),"Thiếu Mã ĐT! ","")&amp;IF(AND($I635&lt;&gt;"",COUNTIF(DM_DT!$A$7:$A$306,$I635)=0),"Mã ĐT chưa khai báo! ","")))</f>
        <v/>
      </c>
      <c r="M635" s="117">
        <f>IF($H635="","",IF(AND(OR(LEFT($F635,3)="111",LEFT($F635,3)="112",LEFT($F635,3)="113"),OR(LEFT($G635,3)="111",LEFT($G635,3)="112",LEFT($G635,3)="113")),"NB",IF(OR(LEFT($F635,3)="111",LEFT($F635,3)="112",LEFT($F635,3)="113"),"THU",IF(OR(LEFT($G635,3)="111",LEFT($G635,3)="112",LEFT($G635,3)="113"),"CHI",""))))</f>
        <v/>
      </c>
      <c r="N635" s="117">
        <f>IF($M635="THU",$G635,IF($M635="CHI",$F635,""))</f>
        <v/>
      </c>
      <c r="O635" s="117">
        <f>IF(OR($M635="",$M635="NB"),"",IF($J635&lt;&gt;"",TEXT($J635,"00"),IFERROR(VLOOKUP(LEFT($N635,4),LCTT_MAP!$A$7:$C$66,IF($M635="THU",2,3),FALSE()),IFERROR(VLOOKUP(LEFT($N635,3),LCTT_MAP!$A$7:$C$66,IF($M635="THU",2,3),FALSE()),IFERROR(VLOOKUP(LEFT($N635,2),LCTT_MAP!$A$7:$C$66,IF($M635="THU",2,3),FALSE()),IFERROR(VLOOKUP(LEFT($N635,1),LCTT_MAP!$A$7:$C$66,IF($M635="THU",2,3),FALSE()),IF($M635="THU","06","07")))))))</f>
        <v/>
      </c>
      <c r="P635" s="117">
        <f>P634+IF(AND($H635&lt;&gt;"",OR(LEFT($F635,LEN(SC_TK))=SC_TK,LEFT($G635,LEN(SC_TK))=SC_TK)),1,0)</f>
        <v/>
      </c>
    </row>
    <row r="636" ht="15" customHeight="1" s="78">
      <c r="A636" s="95">
        <f>IF($H636="","",ROW()-6)</f>
        <v/>
      </c>
      <c r="B636" s="114" t="n"/>
      <c r="C636" s="102" t="n"/>
      <c r="D636" s="114" t="n"/>
      <c r="E636" s="103" t="n"/>
      <c r="F636" s="102" t="n"/>
      <c r="G636" s="102" t="n"/>
      <c r="H636" s="115" t="n"/>
      <c r="I636" s="102" t="n"/>
      <c r="J636" s="102" t="n"/>
      <c r="K636" s="103" t="n"/>
      <c r="L636" s="116">
        <f>IF($H636="","",TRIM(IF(COUNTIF(DMTK!$A$7:$A$250,$F636)=0,"TK Nợ sai! ","")&amp;IF(COUNTIF(DMTK!$A$7:$A$250,$G636)=0,"TK Có sai! ","")&amp;IF(N($H636)&lt;=0,"Tiền phải &gt; 0! ","")&amp;IF($B636="","Thiếu ngày! ","")&amp;IF(AND(OR(LEFT($F636,3)="131",LEFT($G636,3)="131",LEFT($F636,3)="331",LEFT($G636,3)="331"),$I636=""),"Thiếu Mã ĐT! ","")&amp;IF(AND($I636&lt;&gt;"",COUNTIF(DM_DT!$A$7:$A$306,$I636)=0),"Mã ĐT chưa khai báo! ","")))</f>
        <v/>
      </c>
      <c r="M636" s="117">
        <f>IF($H636="","",IF(AND(OR(LEFT($F636,3)="111",LEFT($F636,3)="112",LEFT($F636,3)="113"),OR(LEFT($G636,3)="111",LEFT($G636,3)="112",LEFT($G636,3)="113")),"NB",IF(OR(LEFT($F636,3)="111",LEFT($F636,3)="112",LEFT($F636,3)="113"),"THU",IF(OR(LEFT($G636,3)="111",LEFT($G636,3)="112",LEFT($G636,3)="113"),"CHI",""))))</f>
        <v/>
      </c>
      <c r="N636" s="117">
        <f>IF($M636="THU",$G636,IF($M636="CHI",$F636,""))</f>
        <v/>
      </c>
      <c r="O636" s="117">
        <f>IF(OR($M636="",$M636="NB"),"",IF($J636&lt;&gt;"",TEXT($J636,"00"),IFERROR(VLOOKUP(LEFT($N636,4),LCTT_MAP!$A$7:$C$66,IF($M636="THU",2,3),FALSE()),IFERROR(VLOOKUP(LEFT($N636,3),LCTT_MAP!$A$7:$C$66,IF($M636="THU",2,3),FALSE()),IFERROR(VLOOKUP(LEFT($N636,2),LCTT_MAP!$A$7:$C$66,IF($M636="THU",2,3),FALSE()),IFERROR(VLOOKUP(LEFT($N636,1),LCTT_MAP!$A$7:$C$66,IF($M636="THU",2,3),FALSE()),IF($M636="THU","06","07")))))))</f>
        <v/>
      </c>
      <c r="P636" s="117">
        <f>P635+IF(AND($H636&lt;&gt;"",OR(LEFT($F636,LEN(SC_TK))=SC_TK,LEFT($G636,LEN(SC_TK))=SC_TK)),1,0)</f>
        <v/>
      </c>
    </row>
    <row r="637" ht="15" customHeight="1" s="78">
      <c r="A637" s="95">
        <f>IF($H637="","",ROW()-6)</f>
        <v/>
      </c>
      <c r="B637" s="114" t="n"/>
      <c r="C637" s="102" t="n"/>
      <c r="D637" s="114" t="n"/>
      <c r="E637" s="103" t="n"/>
      <c r="F637" s="102" t="n"/>
      <c r="G637" s="102" t="n"/>
      <c r="H637" s="115" t="n"/>
      <c r="I637" s="102" t="n"/>
      <c r="J637" s="102" t="n"/>
      <c r="K637" s="103" t="n"/>
      <c r="L637" s="116">
        <f>IF($H637="","",TRIM(IF(COUNTIF(DMTK!$A$7:$A$250,$F637)=0,"TK Nợ sai! ","")&amp;IF(COUNTIF(DMTK!$A$7:$A$250,$G637)=0,"TK Có sai! ","")&amp;IF(N($H637)&lt;=0,"Tiền phải &gt; 0! ","")&amp;IF($B637="","Thiếu ngày! ","")&amp;IF(AND(OR(LEFT($F637,3)="131",LEFT($G637,3)="131",LEFT($F637,3)="331",LEFT($G637,3)="331"),$I637=""),"Thiếu Mã ĐT! ","")&amp;IF(AND($I637&lt;&gt;"",COUNTIF(DM_DT!$A$7:$A$306,$I637)=0),"Mã ĐT chưa khai báo! ","")))</f>
        <v/>
      </c>
      <c r="M637" s="117">
        <f>IF($H637="","",IF(AND(OR(LEFT($F637,3)="111",LEFT($F637,3)="112",LEFT($F637,3)="113"),OR(LEFT($G637,3)="111",LEFT($G637,3)="112",LEFT($G637,3)="113")),"NB",IF(OR(LEFT($F637,3)="111",LEFT($F637,3)="112",LEFT($F637,3)="113"),"THU",IF(OR(LEFT($G637,3)="111",LEFT($G637,3)="112",LEFT($G637,3)="113"),"CHI",""))))</f>
        <v/>
      </c>
      <c r="N637" s="117">
        <f>IF($M637="THU",$G637,IF($M637="CHI",$F637,""))</f>
        <v/>
      </c>
      <c r="O637" s="117">
        <f>IF(OR($M637="",$M637="NB"),"",IF($J637&lt;&gt;"",TEXT($J637,"00"),IFERROR(VLOOKUP(LEFT($N637,4),LCTT_MAP!$A$7:$C$66,IF($M637="THU",2,3),FALSE()),IFERROR(VLOOKUP(LEFT($N637,3),LCTT_MAP!$A$7:$C$66,IF($M637="THU",2,3),FALSE()),IFERROR(VLOOKUP(LEFT($N637,2),LCTT_MAP!$A$7:$C$66,IF($M637="THU",2,3),FALSE()),IFERROR(VLOOKUP(LEFT($N637,1),LCTT_MAP!$A$7:$C$66,IF($M637="THU",2,3),FALSE()),IF($M637="THU","06","07")))))))</f>
        <v/>
      </c>
      <c r="P637" s="117">
        <f>P636+IF(AND($H637&lt;&gt;"",OR(LEFT($F637,LEN(SC_TK))=SC_TK,LEFT($G637,LEN(SC_TK))=SC_TK)),1,0)</f>
        <v/>
      </c>
    </row>
    <row r="638" ht="15" customHeight="1" s="78">
      <c r="A638" s="95">
        <f>IF($H638="","",ROW()-6)</f>
        <v/>
      </c>
      <c r="B638" s="114" t="n"/>
      <c r="C638" s="102" t="n"/>
      <c r="D638" s="114" t="n"/>
      <c r="E638" s="103" t="n"/>
      <c r="F638" s="102" t="n"/>
      <c r="G638" s="102" t="n"/>
      <c r="H638" s="115" t="n"/>
      <c r="I638" s="102" t="n"/>
      <c r="J638" s="102" t="n"/>
      <c r="K638" s="103" t="n"/>
      <c r="L638" s="116">
        <f>IF($H638="","",TRIM(IF(COUNTIF(DMTK!$A$7:$A$250,$F638)=0,"TK Nợ sai! ","")&amp;IF(COUNTIF(DMTK!$A$7:$A$250,$G638)=0,"TK Có sai! ","")&amp;IF(N($H638)&lt;=0,"Tiền phải &gt; 0! ","")&amp;IF($B638="","Thiếu ngày! ","")&amp;IF(AND(OR(LEFT($F638,3)="131",LEFT($G638,3)="131",LEFT($F638,3)="331",LEFT($G638,3)="331"),$I638=""),"Thiếu Mã ĐT! ","")&amp;IF(AND($I638&lt;&gt;"",COUNTIF(DM_DT!$A$7:$A$306,$I638)=0),"Mã ĐT chưa khai báo! ","")))</f>
        <v/>
      </c>
      <c r="M638" s="117">
        <f>IF($H638="","",IF(AND(OR(LEFT($F638,3)="111",LEFT($F638,3)="112",LEFT($F638,3)="113"),OR(LEFT($G638,3)="111",LEFT($G638,3)="112",LEFT($G638,3)="113")),"NB",IF(OR(LEFT($F638,3)="111",LEFT($F638,3)="112",LEFT($F638,3)="113"),"THU",IF(OR(LEFT($G638,3)="111",LEFT($G638,3)="112",LEFT($G638,3)="113"),"CHI",""))))</f>
        <v/>
      </c>
      <c r="N638" s="117">
        <f>IF($M638="THU",$G638,IF($M638="CHI",$F638,""))</f>
        <v/>
      </c>
      <c r="O638" s="117">
        <f>IF(OR($M638="",$M638="NB"),"",IF($J638&lt;&gt;"",TEXT($J638,"00"),IFERROR(VLOOKUP(LEFT($N638,4),LCTT_MAP!$A$7:$C$66,IF($M638="THU",2,3),FALSE()),IFERROR(VLOOKUP(LEFT($N638,3),LCTT_MAP!$A$7:$C$66,IF($M638="THU",2,3),FALSE()),IFERROR(VLOOKUP(LEFT($N638,2),LCTT_MAP!$A$7:$C$66,IF($M638="THU",2,3),FALSE()),IFERROR(VLOOKUP(LEFT($N638,1),LCTT_MAP!$A$7:$C$66,IF($M638="THU",2,3),FALSE()),IF($M638="THU","06","07")))))))</f>
        <v/>
      </c>
      <c r="P638" s="117">
        <f>P637+IF(AND($H638&lt;&gt;"",OR(LEFT($F638,LEN(SC_TK))=SC_TK,LEFT($G638,LEN(SC_TK))=SC_TK)),1,0)</f>
        <v/>
      </c>
    </row>
    <row r="639" ht="15" customHeight="1" s="78">
      <c r="A639" s="95">
        <f>IF($H639="","",ROW()-6)</f>
        <v/>
      </c>
      <c r="B639" s="114" t="n"/>
      <c r="C639" s="102" t="n"/>
      <c r="D639" s="114" t="n"/>
      <c r="E639" s="103" t="n"/>
      <c r="F639" s="102" t="n"/>
      <c r="G639" s="102" t="n"/>
      <c r="H639" s="115" t="n"/>
      <c r="I639" s="102" t="n"/>
      <c r="J639" s="102" t="n"/>
      <c r="K639" s="103" t="n"/>
      <c r="L639" s="116">
        <f>IF($H639="","",TRIM(IF(COUNTIF(DMTK!$A$7:$A$250,$F639)=0,"TK Nợ sai! ","")&amp;IF(COUNTIF(DMTK!$A$7:$A$250,$G639)=0,"TK Có sai! ","")&amp;IF(N($H639)&lt;=0,"Tiền phải &gt; 0! ","")&amp;IF($B639="","Thiếu ngày! ","")&amp;IF(AND(OR(LEFT($F639,3)="131",LEFT($G639,3)="131",LEFT($F639,3)="331",LEFT($G639,3)="331"),$I639=""),"Thiếu Mã ĐT! ","")&amp;IF(AND($I639&lt;&gt;"",COUNTIF(DM_DT!$A$7:$A$306,$I639)=0),"Mã ĐT chưa khai báo! ","")))</f>
        <v/>
      </c>
      <c r="M639" s="117">
        <f>IF($H639="","",IF(AND(OR(LEFT($F639,3)="111",LEFT($F639,3)="112",LEFT($F639,3)="113"),OR(LEFT($G639,3)="111",LEFT($G639,3)="112",LEFT($G639,3)="113")),"NB",IF(OR(LEFT($F639,3)="111",LEFT($F639,3)="112",LEFT($F639,3)="113"),"THU",IF(OR(LEFT($G639,3)="111",LEFT($G639,3)="112",LEFT($G639,3)="113"),"CHI",""))))</f>
        <v/>
      </c>
      <c r="N639" s="117">
        <f>IF($M639="THU",$G639,IF($M639="CHI",$F639,""))</f>
        <v/>
      </c>
      <c r="O639" s="117">
        <f>IF(OR($M639="",$M639="NB"),"",IF($J639&lt;&gt;"",TEXT($J639,"00"),IFERROR(VLOOKUP(LEFT($N639,4),LCTT_MAP!$A$7:$C$66,IF($M639="THU",2,3),FALSE()),IFERROR(VLOOKUP(LEFT($N639,3),LCTT_MAP!$A$7:$C$66,IF($M639="THU",2,3),FALSE()),IFERROR(VLOOKUP(LEFT($N639,2),LCTT_MAP!$A$7:$C$66,IF($M639="THU",2,3),FALSE()),IFERROR(VLOOKUP(LEFT($N639,1),LCTT_MAP!$A$7:$C$66,IF($M639="THU",2,3),FALSE()),IF($M639="THU","06","07")))))))</f>
        <v/>
      </c>
      <c r="P639" s="117">
        <f>P638+IF(AND($H639&lt;&gt;"",OR(LEFT($F639,LEN(SC_TK))=SC_TK,LEFT($G639,LEN(SC_TK))=SC_TK)),1,0)</f>
        <v/>
      </c>
    </row>
    <row r="640" ht="15" customHeight="1" s="78">
      <c r="A640" s="95">
        <f>IF($H640="","",ROW()-6)</f>
        <v/>
      </c>
      <c r="B640" s="114" t="n"/>
      <c r="C640" s="102" t="n"/>
      <c r="D640" s="114" t="n"/>
      <c r="E640" s="103" t="n"/>
      <c r="F640" s="102" t="n"/>
      <c r="G640" s="102" t="n"/>
      <c r="H640" s="115" t="n"/>
      <c r="I640" s="102" t="n"/>
      <c r="J640" s="102" t="n"/>
      <c r="K640" s="103" t="n"/>
      <c r="L640" s="116">
        <f>IF($H640="","",TRIM(IF(COUNTIF(DMTK!$A$7:$A$250,$F640)=0,"TK Nợ sai! ","")&amp;IF(COUNTIF(DMTK!$A$7:$A$250,$G640)=0,"TK Có sai! ","")&amp;IF(N($H640)&lt;=0,"Tiền phải &gt; 0! ","")&amp;IF($B640="","Thiếu ngày! ","")&amp;IF(AND(OR(LEFT($F640,3)="131",LEFT($G640,3)="131",LEFT($F640,3)="331",LEFT($G640,3)="331"),$I640=""),"Thiếu Mã ĐT! ","")&amp;IF(AND($I640&lt;&gt;"",COUNTIF(DM_DT!$A$7:$A$306,$I640)=0),"Mã ĐT chưa khai báo! ","")))</f>
        <v/>
      </c>
      <c r="M640" s="117">
        <f>IF($H640="","",IF(AND(OR(LEFT($F640,3)="111",LEFT($F640,3)="112",LEFT($F640,3)="113"),OR(LEFT($G640,3)="111",LEFT($G640,3)="112",LEFT($G640,3)="113")),"NB",IF(OR(LEFT($F640,3)="111",LEFT($F640,3)="112",LEFT($F640,3)="113"),"THU",IF(OR(LEFT($G640,3)="111",LEFT($G640,3)="112",LEFT($G640,3)="113"),"CHI",""))))</f>
        <v/>
      </c>
      <c r="N640" s="117">
        <f>IF($M640="THU",$G640,IF($M640="CHI",$F640,""))</f>
        <v/>
      </c>
      <c r="O640" s="117">
        <f>IF(OR($M640="",$M640="NB"),"",IF($J640&lt;&gt;"",TEXT($J640,"00"),IFERROR(VLOOKUP(LEFT($N640,4),LCTT_MAP!$A$7:$C$66,IF($M640="THU",2,3),FALSE()),IFERROR(VLOOKUP(LEFT($N640,3),LCTT_MAP!$A$7:$C$66,IF($M640="THU",2,3),FALSE()),IFERROR(VLOOKUP(LEFT($N640,2),LCTT_MAP!$A$7:$C$66,IF($M640="THU",2,3),FALSE()),IFERROR(VLOOKUP(LEFT($N640,1),LCTT_MAP!$A$7:$C$66,IF($M640="THU",2,3),FALSE()),IF($M640="THU","06","07")))))))</f>
        <v/>
      </c>
      <c r="P640" s="117">
        <f>P639+IF(AND($H640&lt;&gt;"",OR(LEFT($F640,LEN(SC_TK))=SC_TK,LEFT($G640,LEN(SC_TK))=SC_TK)),1,0)</f>
        <v/>
      </c>
    </row>
    <row r="641" ht="15" customHeight="1" s="78">
      <c r="A641" s="95">
        <f>IF($H641="","",ROW()-6)</f>
        <v/>
      </c>
      <c r="B641" s="114" t="n"/>
      <c r="C641" s="102" t="n"/>
      <c r="D641" s="114" t="n"/>
      <c r="E641" s="103" t="n"/>
      <c r="F641" s="102" t="n"/>
      <c r="G641" s="102" t="n"/>
      <c r="H641" s="115" t="n"/>
      <c r="I641" s="102" t="n"/>
      <c r="J641" s="102" t="n"/>
      <c r="K641" s="103" t="n"/>
      <c r="L641" s="116">
        <f>IF($H641="","",TRIM(IF(COUNTIF(DMTK!$A$7:$A$250,$F641)=0,"TK Nợ sai! ","")&amp;IF(COUNTIF(DMTK!$A$7:$A$250,$G641)=0,"TK Có sai! ","")&amp;IF(N($H641)&lt;=0,"Tiền phải &gt; 0! ","")&amp;IF($B641="","Thiếu ngày! ","")&amp;IF(AND(OR(LEFT($F641,3)="131",LEFT($G641,3)="131",LEFT($F641,3)="331",LEFT($G641,3)="331"),$I641=""),"Thiếu Mã ĐT! ","")&amp;IF(AND($I641&lt;&gt;"",COUNTIF(DM_DT!$A$7:$A$306,$I641)=0),"Mã ĐT chưa khai báo! ","")))</f>
        <v/>
      </c>
      <c r="M641" s="117">
        <f>IF($H641="","",IF(AND(OR(LEFT($F641,3)="111",LEFT($F641,3)="112",LEFT($F641,3)="113"),OR(LEFT($G641,3)="111",LEFT($G641,3)="112",LEFT($G641,3)="113")),"NB",IF(OR(LEFT($F641,3)="111",LEFT($F641,3)="112",LEFT($F641,3)="113"),"THU",IF(OR(LEFT($G641,3)="111",LEFT($G641,3)="112",LEFT($G641,3)="113"),"CHI",""))))</f>
        <v/>
      </c>
      <c r="N641" s="117">
        <f>IF($M641="THU",$G641,IF($M641="CHI",$F641,""))</f>
        <v/>
      </c>
      <c r="O641" s="117">
        <f>IF(OR($M641="",$M641="NB"),"",IF($J641&lt;&gt;"",TEXT($J641,"00"),IFERROR(VLOOKUP(LEFT($N641,4),LCTT_MAP!$A$7:$C$66,IF($M641="THU",2,3),FALSE()),IFERROR(VLOOKUP(LEFT($N641,3),LCTT_MAP!$A$7:$C$66,IF($M641="THU",2,3),FALSE()),IFERROR(VLOOKUP(LEFT($N641,2),LCTT_MAP!$A$7:$C$66,IF($M641="THU",2,3),FALSE()),IFERROR(VLOOKUP(LEFT($N641,1),LCTT_MAP!$A$7:$C$66,IF($M641="THU",2,3),FALSE()),IF($M641="THU","06","07")))))))</f>
        <v/>
      </c>
      <c r="P641" s="117">
        <f>P640+IF(AND($H641&lt;&gt;"",OR(LEFT($F641,LEN(SC_TK))=SC_TK,LEFT($G641,LEN(SC_TK))=SC_TK)),1,0)</f>
        <v/>
      </c>
    </row>
    <row r="642" ht="15" customHeight="1" s="78">
      <c r="A642" s="95">
        <f>IF($H642="","",ROW()-6)</f>
        <v/>
      </c>
      <c r="B642" s="114" t="n"/>
      <c r="C642" s="102" t="n"/>
      <c r="D642" s="114" t="n"/>
      <c r="E642" s="103" t="n"/>
      <c r="F642" s="102" t="n"/>
      <c r="G642" s="102" t="n"/>
      <c r="H642" s="115" t="n"/>
      <c r="I642" s="102" t="n"/>
      <c r="J642" s="102" t="n"/>
      <c r="K642" s="103" t="n"/>
      <c r="L642" s="116">
        <f>IF($H642="","",TRIM(IF(COUNTIF(DMTK!$A$7:$A$250,$F642)=0,"TK Nợ sai! ","")&amp;IF(COUNTIF(DMTK!$A$7:$A$250,$G642)=0,"TK Có sai! ","")&amp;IF(N($H642)&lt;=0,"Tiền phải &gt; 0! ","")&amp;IF($B642="","Thiếu ngày! ","")&amp;IF(AND(OR(LEFT($F642,3)="131",LEFT($G642,3)="131",LEFT($F642,3)="331",LEFT($G642,3)="331"),$I642=""),"Thiếu Mã ĐT! ","")&amp;IF(AND($I642&lt;&gt;"",COUNTIF(DM_DT!$A$7:$A$306,$I642)=0),"Mã ĐT chưa khai báo! ","")))</f>
        <v/>
      </c>
      <c r="M642" s="117">
        <f>IF($H642="","",IF(AND(OR(LEFT($F642,3)="111",LEFT($F642,3)="112",LEFT($F642,3)="113"),OR(LEFT($G642,3)="111",LEFT($G642,3)="112",LEFT($G642,3)="113")),"NB",IF(OR(LEFT($F642,3)="111",LEFT($F642,3)="112",LEFT($F642,3)="113"),"THU",IF(OR(LEFT($G642,3)="111",LEFT($G642,3)="112",LEFT($G642,3)="113"),"CHI",""))))</f>
        <v/>
      </c>
      <c r="N642" s="117">
        <f>IF($M642="THU",$G642,IF($M642="CHI",$F642,""))</f>
        <v/>
      </c>
      <c r="O642" s="117">
        <f>IF(OR($M642="",$M642="NB"),"",IF($J642&lt;&gt;"",TEXT($J642,"00"),IFERROR(VLOOKUP(LEFT($N642,4),LCTT_MAP!$A$7:$C$66,IF($M642="THU",2,3),FALSE()),IFERROR(VLOOKUP(LEFT($N642,3),LCTT_MAP!$A$7:$C$66,IF($M642="THU",2,3),FALSE()),IFERROR(VLOOKUP(LEFT($N642,2),LCTT_MAP!$A$7:$C$66,IF($M642="THU",2,3),FALSE()),IFERROR(VLOOKUP(LEFT($N642,1),LCTT_MAP!$A$7:$C$66,IF($M642="THU",2,3),FALSE()),IF($M642="THU","06","07")))))))</f>
        <v/>
      </c>
      <c r="P642" s="117">
        <f>P641+IF(AND($H642&lt;&gt;"",OR(LEFT($F642,LEN(SC_TK))=SC_TK,LEFT($G642,LEN(SC_TK))=SC_TK)),1,0)</f>
        <v/>
      </c>
    </row>
    <row r="643" ht="15" customHeight="1" s="78">
      <c r="A643" s="95">
        <f>IF($H643="","",ROW()-6)</f>
        <v/>
      </c>
      <c r="B643" s="114" t="n"/>
      <c r="C643" s="102" t="n"/>
      <c r="D643" s="114" t="n"/>
      <c r="E643" s="103" t="n"/>
      <c r="F643" s="102" t="n"/>
      <c r="G643" s="102" t="n"/>
      <c r="H643" s="115" t="n"/>
      <c r="I643" s="102" t="n"/>
      <c r="J643" s="102" t="n"/>
      <c r="K643" s="103" t="n"/>
      <c r="L643" s="116">
        <f>IF($H643="","",TRIM(IF(COUNTIF(DMTK!$A$7:$A$250,$F643)=0,"TK Nợ sai! ","")&amp;IF(COUNTIF(DMTK!$A$7:$A$250,$G643)=0,"TK Có sai! ","")&amp;IF(N($H643)&lt;=0,"Tiền phải &gt; 0! ","")&amp;IF($B643="","Thiếu ngày! ","")&amp;IF(AND(OR(LEFT($F643,3)="131",LEFT($G643,3)="131",LEFT($F643,3)="331",LEFT($G643,3)="331"),$I643=""),"Thiếu Mã ĐT! ","")&amp;IF(AND($I643&lt;&gt;"",COUNTIF(DM_DT!$A$7:$A$306,$I643)=0),"Mã ĐT chưa khai báo! ","")))</f>
        <v/>
      </c>
      <c r="M643" s="117">
        <f>IF($H643="","",IF(AND(OR(LEFT($F643,3)="111",LEFT($F643,3)="112",LEFT($F643,3)="113"),OR(LEFT($G643,3)="111",LEFT($G643,3)="112",LEFT($G643,3)="113")),"NB",IF(OR(LEFT($F643,3)="111",LEFT($F643,3)="112",LEFT($F643,3)="113"),"THU",IF(OR(LEFT($G643,3)="111",LEFT($G643,3)="112",LEFT($G643,3)="113"),"CHI",""))))</f>
        <v/>
      </c>
      <c r="N643" s="117">
        <f>IF($M643="THU",$G643,IF($M643="CHI",$F643,""))</f>
        <v/>
      </c>
      <c r="O643" s="117">
        <f>IF(OR($M643="",$M643="NB"),"",IF($J643&lt;&gt;"",TEXT($J643,"00"),IFERROR(VLOOKUP(LEFT($N643,4),LCTT_MAP!$A$7:$C$66,IF($M643="THU",2,3),FALSE()),IFERROR(VLOOKUP(LEFT($N643,3),LCTT_MAP!$A$7:$C$66,IF($M643="THU",2,3),FALSE()),IFERROR(VLOOKUP(LEFT($N643,2),LCTT_MAP!$A$7:$C$66,IF($M643="THU",2,3),FALSE()),IFERROR(VLOOKUP(LEFT($N643,1),LCTT_MAP!$A$7:$C$66,IF($M643="THU",2,3),FALSE()),IF($M643="THU","06","07")))))))</f>
        <v/>
      </c>
      <c r="P643" s="117">
        <f>P642+IF(AND($H643&lt;&gt;"",OR(LEFT($F643,LEN(SC_TK))=SC_TK,LEFT($G643,LEN(SC_TK))=SC_TK)),1,0)</f>
        <v/>
      </c>
    </row>
    <row r="644" ht="15" customHeight="1" s="78">
      <c r="A644" s="95">
        <f>IF($H644="","",ROW()-6)</f>
        <v/>
      </c>
      <c r="B644" s="114" t="n"/>
      <c r="C644" s="102" t="n"/>
      <c r="D644" s="114" t="n"/>
      <c r="E644" s="103" t="n"/>
      <c r="F644" s="102" t="n"/>
      <c r="G644" s="102" t="n"/>
      <c r="H644" s="115" t="n"/>
      <c r="I644" s="102" t="n"/>
      <c r="J644" s="102" t="n"/>
      <c r="K644" s="103" t="n"/>
      <c r="L644" s="116">
        <f>IF($H644="","",TRIM(IF(COUNTIF(DMTK!$A$7:$A$250,$F644)=0,"TK Nợ sai! ","")&amp;IF(COUNTIF(DMTK!$A$7:$A$250,$G644)=0,"TK Có sai! ","")&amp;IF(N($H644)&lt;=0,"Tiền phải &gt; 0! ","")&amp;IF($B644="","Thiếu ngày! ","")&amp;IF(AND(OR(LEFT($F644,3)="131",LEFT($G644,3)="131",LEFT($F644,3)="331",LEFT($G644,3)="331"),$I644=""),"Thiếu Mã ĐT! ","")&amp;IF(AND($I644&lt;&gt;"",COUNTIF(DM_DT!$A$7:$A$306,$I644)=0),"Mã ĐT chưa khai báo! ","")))</f>
        <v/>
      </c>
      <c r="M644" s="117">
        <f>IF($H644="","",IF(AND(OR(LEFT($F644,3)="111",LEFT($F644,3)="112",LEFT($F644,3)="113"),OR(LEFT($G644,3)="111",LEFT($G644,3)="112",LEFT($G644,3)="113")),"NB",IF(OR(LEFT($F644,3)="111",LEFT($F644,3)="112",LEFT($F644,3)="113"),"THU",IF(OR(LEFT($G644,3)="111",LEFT($G644,3)="112",LEFT($G644,3)="113"),"CHI",""))))</f>
        <v/>
      </c>
      <c r="N644" s="117">
        <f>IF($M644="THU",$G644,IF($M644="CHI",$F644,""))</f>
        <v/>
      </c>
      <c r="O644" s="117">
        <f>IF(OR($M644="",$M644="NB"),"",IF($J644&lt;&gt;"",TEXT($J644,"00"),IFERROR(VLOOKUP(LEFT($N644,4),LCTT_MAP!$A$7:$C$66,IF($M644="THU",2,3),FALSE()),IFERROR(VLOOKUP(LEFT($N644,3),LCTT_MAP!$A$7:$C$66,IF($M644="THU",2,3),FALSE()),IFERROR(VLOOKUP(LEFT($N644,2),LCTT_MAP!$A$7:$C$66,IF($M644="THU",2,3),FALSE()),IFERROR(VLOOKUP(LEFT($N644,1),LCTT_MAP!$A$7:$C$66,IF($M644="THU",2,3),FALSE()),IF($M644="THU","06","07")))))))</f>
        <v/>
      </c>
      <c r="P644" s="117">
        <f>P643+IF(AND($H644&lt;&gt;"",OR(LEFT($F644,LEN(SC_TK))=SC_TK,LEFT($G644,LEN(SC_TK))=SC_TK)),1,0)</f>
        <v/>
      </c>
    </row>
    <row r="645" ht="15" customHeight="1" s="78">
      <c r="A645" s="95">
        <f>IF($H645="","",ROW()-6)</f>
        <v/>
      </c>
      <c r="B645" s="114" t="n"/>
      <c r="C645" s="102" t="n"/>
      <c r="D645" s="114" t="n"/>
      <c r="E645" s="103" t="n"/>
      <c r="F645" s="102" t="n"/>
      <c r="G645" s="102" t="n"/>
      <c r="H645" s="115" t="n"/>
      <c r="I645" s="102" t="n"/>
      <c r="J645" s="102" t="n"/>
      <c r="K645" s="103" t="n"/>
      <c r="L645" s="116">
        <f>IF($H645="","",TRIM(IF(COUNTIF(DMTK!$A$7:$A$250,$F645)=0,"TK Nợ sai! ","")&amp;IF(COUNTIF(DMTK!$A$7:$A$250,$G645)=0,"TK Có sai! ","")&amp;IF(N($H645)&lt;=0,"Tiền phải &gt; 0! ","")&amp;IF($B645="","Thiếu ngày! ","")&amp;IF(AND(OR(LEFT($F645,3)="131",LEFT($G645,3)="131",LEFT($F645,3)="331",LEFT($G645,3)="331"),$I645=""),"Thiếu Mã ĐT! ","")&amp;IF(AND($I645&lt;&gt;"",COUNTIF(DM_DT!$A$7:$A$306,$I645)=0),"Mã ĐT chưa khai báo! ","")))</f>
        <v/>
      </c>
      <c r="M645" s="117">
        <f>IF($H645="","",IF(AND(OR(LEFT($F645,3)="111",LEFT($F645,3)="112",LEFT($F645,3)="113"),OR(LEFT($G645,3)="111",LEFT($G645,3)="112",LEFT($G645,3)="113")),"NB",IF(OR(LEFT($F645,3)="111",LEFT($F645,3)="112",LEFT($F645,3)="113"),"THU",IF(OR(LEFT($G645,3)="111",LEFT($G645,3)="112",LEFT($G645,3)="113"),"CHI",""))))</f>
        <v/>
      </c>
      <c r="N645" s="117">
        <f>IF($M645="THU",$G645,IF($M645="CHI",$F645,""))</f>
        <v/>
      </c>
      <c r="O645" s="117">
        <f>IF(OR($M645="",$M645="NB"),"",IF($J645&lt;&gt;"",TEXT($J645,"00"),IFERROR(VLOOKUP(LEFT($N645,4),LCTT_MAP!$A$7:$C$66,IF($M645="THU",2,3),FALSE()),IFERROR(VLOOKUP(LEFT($N645,3),LCTT_MAP!$A$7:$C$66,IF($M645="THU",2,3),FALSE()),IFERROR(VLOOKUP(LEFT($N645,2),LCTT_MAP!$A$7:$C$66,IF($M645="THU",2,3),FALSE()),IFERROR(VLOOKUP(LEFT($N645,1),LCTT_MAP!$A$7:$C$66,IF($M645="THU",2,3),FALSE()),IF($M645="THU","06","07")))))))</f>
        <v/>
      </c>
      <c r="P645" s="117">
        <f>P644+IF(AND($H645&lt;&gt;"",OR(LEFT($F645,LEN(SC_TK))=SC_TK,LEFT($G645,LEN(SC_TK))=SC_TK)),1,0)</f>
        <v/>
      </c>
    </row>
    <row r="646" ht="15" customHeight="1" s="78">
      <c r="A646" s="95">
        <f>IF($H646="","",ROW()-6)</f>
        <v/>
      </c>
      <c r="B646" s="114" t="n"/>
      <c r="C646" s="102" t="n"/>
      <c r="D646" s="114" t="n"/>
      <c r="E646" s="103" t="n"/>
      <c r="F646" s="102" t="n"/>
      <c r="G646" s="102" t="n"/>
      <c r="H646" s="115" t="n"/>
      <c r="I646" s="102" t="n"/>
      <c r="J646" s="102" t="n"/>
      <c r="K646" s="103" t="n"/>
      <c r="L646" s="116">
        <f>IF($H646="","",TRIM(IF(COUNTIF(DMTK!$A$7:$A$250,$F646)=0,"TK Nợ sai! ","")&amp;IF(COUNTIF(DMTK!$A$7:$A$250,$G646)=0,"TK Có sai! ","")&amp;IF(N($H646)&lt;=0,"Tiền phải &gt; 0! ","")&amp;IF($B646="","Thiếu ngày! ","")&amp;IF(AND(OR(LEFT($F646,3)="131",LEFT($G646,3)="131",LEFT($F646,3)="331",LEFT($G646,3)="331"),$I646=""),"Thiếu Mã ĐT! ","")&amp;IF(AND($I646&lt;&gt;"",COUNTIF(DM_DT!$A$7:$A$306,$I646)=0),"Mã ĐT chưa khai báo! ","")))</f>
        <v/>
      </c>
      <c r="M646" s="117">
        <f>IF($H646="","",IF(AND(OR(LEFT($F646,3)="111",LEFT($F646,3)="112",LEFT($F646,3)="113"),OR(LEFT($G646,3)="111",LEFT($G646,3)="112",LEFT($G646,3)="113")),"NB",IF(OR(LEFT($F646,3)="111",LEFT($F646,3)="112",LEFT($F646,3)="113"),"THU",IF(OR(LEFT($G646,3)="111",LEFT($G646,3)="112",LEFT($G646,3)="113"),"CHI",""))))</f>
        <v/>
      </c>
      <c r="N646" s="117">
        <f>IF($M646="THU",$G646,IF($M646="CHI",$F646,""))</f>
        <v/>
      </c>
      <c r="O646" s="117">
        <f>IF(OR($M646="",$M646="NB"),"",IF($J646&lt;&gt;"",TEXT($J646,"00"),IFERROR(VLOOKUP(LEFT($N646,4),LCTT_MAP!$A$7:$C$66,IF($M646="THU",2,3),FALSE()),IFERROR(VLOOKUP(LEFT($N646,3),LCTT_MAP!$A$7:$C$66,IF($M646="THU",2,3),FALSE()),IFERROR(VLOOKUP(LEFT($N646,2),LCTT_MAP!$A$7:$C$66,IF($M646="THU",2,3),FALSE()),IFERROR(VLOOKUP(LEFT($N646,1),LCTT_MAP!$A$7:$C$66,IF($M646="THU",2,3),FALSE()),IF($M646="THU","06","07")))))))</f>
        <v/>
      </c>
      <c r="P646" s="117">
        <f>P645+IF(AND($H646&lt;&gt;"",OR(LEFT($F646,LEN(SC_TK))=SC_TK,LEFT($G646,LEN(SC_TK))=SC_TK)),1,0)</f>
        <v/>
      </c>
    </row>
    <row r="647" ht="15" customHeight="1" s="78">
      <c r="A647" s="95">
        <f>IF($H647="","",ROW()-6)</f>
        <v/>
      </c>
      <c r="B647" s="114" t="n"/>
      <c r="C647" s="102" t="n"/>
      <c r="D647" s="114" t="n"/>
      <c r="E647" s="103" t="n"/>
      <c r="F647" s="102" t="n"/>
      <c r="G647" s="102" t="n"/>
      <c r="H647" s="115" t="n"/>
      <c r="I647" s="102" t="n"/>
      <c r="J647" s="102" t="n"/>
      <c r="K647" s="103" t="n"/>
      <c r="L647" s="116">
        <f>IF($H647="","",TRIM(IF(COUNTIF(DMTK!$A$7:$A$250,$F647)=0,"TK Nợ sai! ","")&amp;IF(COUNTIF(DMTK!$A$7:$A$250,$G647)=0,"TK Có sai! ","")&amp;IF(N($H647)&lt;=0,"Tiền phải &gt; 0! ","")&amp;IF($B647="","Thiếu ngày! ","")&amp;IF(AND(OR(LEFT($F647,3)="131",LEFT($G647,3)="131",LEFT($F647,3)="331",LEFT($G647,3)="331"),$I647=""),"Thiếu Mã ĐT! ","")&amp;IF(AND($I647&lt;&gt;"",COUNTIF(DM_DT!$A$7:$A$306,$I647)=0),"Mã ĐT chưa khai báo! ","")))</f>
        <v/>
      </c>
      <c r="M647" s="117">
        <f>IF($H647="","",IF(AND(OR(LEFT($F647,3)="111",LEFT($F647,3)="112",LEFT($F647,3)="113"),OR(LEFT($G647,3)="111",LEFT($G647,3)="112",LEFT($G647,3)="113")),"NB",IF(OR(LEFT($F647,3)="111",LEFT($F647,3)="112",LEFT($F647,3)="113"),"THU",IF(OR(LEFT($G647,3)="111",LEFT($G647,3)="112",LEFT($G647,3)="113"),"CHI",""))))</f>
        <v/>
      </c>
      <c r="N647" s="117">
        <f>IF($M647="THU",$G647,IF($M647="CHI",$F647,""))</f>
        <v/>
      </c>
      <c r="O647" s="117">
        <f>IF(OR($M647="",$M647="NB"),"",IF($J647&lt;&gt;"",TEXT($J647,"00"),IFERROR(VLOOKUP(LEFT($N647,4),LCTT_MAP!$A$7:$C$66,IF($M647="THU",2,3),FALSE()),IFERROR(VLOOKUP(LEFT($N647,3),LCTT_MAP!$A$7:$C$66,IF($M647="THU",2,3),FALSE()),IFERROR(VLOOKUP(LEFT($N647,2),LCTT_MAP!$A$7:$C$66,IF($M647="THU",2,3),FALSE()),IFERROR(VLOOKUP(LEFT($N647,1),LCTT_MAP!$A$7:$C$66,IF($M647="THU",2,3),FALSE()),IF($M647="THU","06","07")))))))</f>
        <v/>
      </c>
      <c r="P647" s="117">
        <f>P646+IF(AND($H647&lt;&gt;"",OR(LEFT($F647,LEN(SC_TK))=SC_TK,LEFT($G647,LEN(SC_TK))=SC_TK)),1,0)</f>
        <v/>
      </c>
    </row>
    <row r="648" ht="15" customHeight="1" s="78">
      <c r="A648" s="95">
        <f>IF($H648="","",ROW()-6)</f>
        <v/>
      </c>
      <c r="B648" s="114" t="n"/>
      <c r="C648" s="102" t="n"/>
      <c r="D648" s="114" t="n"/>
      <c r="E648" s="103" t="n"/>
      <c r="F648" s="102" t="n"/>
      <c r="G648" s="102" t="n"/>
      <c r="H648" s="115" t="n"/>
      <c r="I648" s="102" t="n"/>
      <c r="J648" s="102" t="n"/>
      <c r="K648" s="103" t="n"/>
      <c r="L648" s="116">
        <f>IF($H648="","",TRIM(IF(COUNTIF(DMTK!$A$7:$A$250,$F648)=0,"TK Nợ sai! ","")&amp;IF(COUNTIF(DMTK!$A$7:$A$250,$G648)=0,"TK Có sai! ","")&amp;IF(N($H648)&lt;=0,"Tiền phải &gt; 0! ","")&amp;IF($B648="","Thiếu ngày! ","")&amp;IF(AND(OR(LEFT($F648,3)="131",LEFT($G648,3)="131",LEFT($F648,3)="331",LEFT($G648,3)="331"),$I648=""),"Thiếu Mã ĐT! ","")&amp;IF(AND($I648&lt;&gt;"",COUNTIF(DM_DT!$A$7:$A$306,$I648)=0),"Mã ĐT chưa khai báo! ","")))</f>
        <v/>
      </c>
      <c r="M648" s="117">
        <f>IF($H648="","",IF(AND(OR(LEFT($F648,3)="111",LEFT($F648,3)="112",LEFT($F648,3)="113"),OR(LEFT($G648,3)="111",LEFT($G648,3)="112",LEFT($G648,3)="113")),"NB",IF(OR(LEFT($F648,3)="111",LEFT($F648,3)="112",LEFT($F648,3)="113"),"THU",IF(OR(LEFT($G648,3)="111",LEFT($G648,3)="112",LEFT($G648,3)="113"),"CHI",""))))</f>
        <v/>
      </c>
      <c r="N648" s="117">
        <f>IF($M648="THU",$G648,IF($M648="CHI",$F648,""))</f>
        <v/>
      </c>
      <c r="O648" s="117">
        <f>IF(OR($M648="",$M648="NB"),"",IF($J648&lt;&gt;"",TEXT($J648,"00"),IFERROR(VLOOKUP(LEFT($N648,4),LCTT_MAP!$A$7:$C$66,IF($M648="THU",2,3),FALSE()),IFERROR(VLOOKUP(LEFT($N648,3),LCTT_MAP!$A$7:$C$66,IF($M648="THU",2,3),FALSE()),IFERROR(VLOOKUP(LEFT($N648,2),LCTT_MAP!$A$7:$C$66,IF($M648="THU",2,3),FALSE()),IFERROR(VLOOKUP(LEFT($N648,1),LCTT_MAP!$A$7:$C$66,IF($M648="THU",2,3),FALSE()),IF($M648="THU","06","07")))))))</f>
        <v/>
      </c>
      <c r="P648" s="117">
        <f>P647+IF(AND($H648&lt;&gt;"",OR(LEFT($F648,LEN(SC_TK))=SC_TK,LEFT($G648,LEN(SC_TK))=SC_TK)),1,0)</f>
        <v/>
      </c>
    </row>
    <row r="649" ht="15" customHeight="1" s="78">
      <c r="A649" s="95">
        <f>IF($H649="","",ROW()-6)</f>
        <v/>
      </c>
      <c r="B649" s="114" t="n"/>
      <c r="C649" s="102" t="n"/>
      <c r="D649" s="114" t="n"/>
      <c r="E649" s="103" t="n"/>
      <c r="F649" s="102" t="n"/>
      <c r="G649" s="102" t="n"/>
      <c r="H649" s="115" t="n"/>
      <c r="I649" s="102" t="n"/>
      <c r="J649" s="102" t="n"/>
      <c r="K649" s="103" t="n"/>
      <c r="L649" s="116">
        <f>IF($H649="","",TRIM(IF(COUNTIF(DMTK!$A$7:$A$250,$F649)=0,"TK Nợ sai! ","")&amp;IF(COUNTIF(DMTK!$A$7:$A$250,$G649)=0,"TK Có sai! ","")&amp;IF(N($H649)&lt;=0,"Tiền phải &gt; 0! ","")&amp;IF($B649="","Thiếu ngày! ","")&amp;IF(AND(OR(LEFT($F649,3)="131",LEFT($G649,3)="131",LEFT($F649,3)="331",LEFT($G649,3)="331"),$I649=""),"Thiếu Mã ĐT! ","")&amp;IF(AND($I649&lt;&gt;"",COUNTIF(DM_DT!$A$7:$A$306,$I649)=0),"Mã ĐT chưa khai báo! ","")))</f>
        <v/>
      </c>
      <c r="M649" s="117">
        <f>IF($H649="","",IF(AND(OR(LEFT($F649,3)="111",LEFT($F649,3)="112",LEFT($F649,3)="113"),OR(LEFT($G649,3)="111",LEFT($G649,3)="112",LEFT($G649,3)="113")),"NB",IF(OR(LEFT($F649,3)="111",LEFT($F649,3)="112",LEFT($F649,3)="113"),"THU",IF(OR(LEFT($G649,3)="111",LEFT($G649,3)="112",LEFT($G649,3)="113"),"CHI",""))))</f>
        <v/>
      </c>
      <c r="N649" s="117">
        <f>IF($M649="THU",$G649,IF($M649="CHI",$F649,""))</f>
        <v/>
      </c>
      <c r="O649" s="117">
        <f>IF(OR($M649="",$M649="NB"),"",IF($J649&lt;&gt;"",TEXT($J649,"00"),IFERROR(VLOOKUP(LEFT($N649,4),LCTT_MAP!$A$7:$C$66,IF($M649="THU",2,3),FALSE()),IFERROR(VLOOKUP(LEFT($N649,3),LCTT_MAP!$A$7:$C$66,IF($M649="THU",2,3),FALSE()),IFERROR(VLOOKUP(LEFT($N649,2),LCTT_MAP!$A$7:$C$66,IF($M649="THU",2,3),FALSE()),IFERROR(VLOOKUP(LEFT($N649,1),LCTT_MAP!$A$7:$C$66,IF($M649="THU",2,3),FALSE()),IF($M649="THU","06","07")))))))</f>
        <v/>
      </c>
      <c r="P649" s="117">
        <f>P648+IF(AND($H649&lt;&gt;"",OR(LEFT($F649,LEN(SC_TK))=SC_TK,LEFT($G649,LEN(SC_TK))=SC_TK)),1,0)</f>
        <v/>
      </c>
    </row>
    <row r="650" ht="15" customHeight="1" s="78">
      <c r="A650" s="95">
        <f>IF($H650="","",ROW()-6)</f>
        <v/>
      </c>
      <c r="B650" s="114" t="n"/>
      <c r="C650" s="102" t="n"/>
      <c r="D650" s="114" t="n"/>
      <c r="E650" s="103" t="n"/>
      <c r="F650" s="102" t="n"/>
      <c r="G650" s="102" t="n"/>
      <c r="H650" s="115" t="n"/>
      <c r="I650" s="102" t="n"/>
      <c r="J650" s="102" t="n"/>
      <c r="K650" s="103" t="n"/>
      <c r="L650" s="116">
        <f>IF($H650="","",TRIM(IF(COUNTIF(DMTK!$A$7:$A$250,$F650)=0,"TK Nợ sai! ","")&amp;IF(COUNTIF(DMTK!$A$7:$A$250,$G650)=0,"TK Có sai! ","")&amp;IF(N($H650)&lt;=0,"Tiền phải &gt; 0! ","")&amp;IF($B650="","Thiếu ngày! ","")&amp;IF(AND(OR(LEFT($F650,3)="131",LEFT($G650,3)="131",LEFT($F650,3)="331",LEFT($G650,3)="331"),$I650=""),"Thiếu Mã ĐT! ","")&amp;IF(AND($I650&lt;&gt;"",COUNTIF(DM_DT!$A$7:$A$306,$I650)=0),"Mã ĐT chưa khai báo! ","")))</f>
        <v/>
      </c>
      <c r="M650" s="117">
        <f>IF($H650="","",IF(AND(OR(LEFT($F650,3)="111",LEFT($F650,3)="112",LEFT($F650,3)="113"),OR(LEFT($G650,3)="111",LEFT($G650,3)="112",LEFT($G650,3)="113")),"NB",IF(OR(LEFT($F650,3)="111",LEFT($F650,3)="112",LEFT($F650,3)="113"),"THU",IF(OR(LEFT($G650,3)="111",LEFT($G650,3)="112",LEFT($G650,3)="113"),"CHI",""))))</f>
        <v/>
      </c>
      <c r="N650" s="117">
        <f>IF($M650="THU",$G650,IF($M650="CHI",$F650,""))</f>
        <v/>
      </c>
      <c r="O650" s="117">
        <f>IF(OR($M650="",$M650="NB"),"",IF($J650&lt;&gt;"",TEXT($J650,"00"),IFERROR(VLOOKUP(LEFT($N650,4),LCTT_MAP!$A$7:$C$66,IF($M650="THU",2,3),FALSE()),IFERROR(VLOOKUP(LEFT($N650,3),LCTT_MAP!$A$7:$C$66,IF($M650="THU",2,3),FALSE()),IFERROR(VLOOKUP(LEFT($N650,2),LCTT_MAP!$A$7:$C$66,IF($M650="THU",2,3),FALSE()),IFERROR(VLOOKUP(LEFT($N650,1),LCTT_MAP!$A$7:$C$66,IF($M650="THU",2,3),FALSE()),IF($M650="THU","06","07")))))))</f>
        <v/>
      </c>
      <c r="P650" s="117">
        <f>P649+IF(AND($H650&lt;&gt;"",OR(LEFT($F650,LEN(SC_TK))=SC_TK,LEFT($G650,LEN(SC_TK))=SC_TK)),1,0)</f>
        <v/>
      </c>
    </row>
    <row r="651" ht="15" customHeight="1" s="78">
      <c r="A651" s="95">
        <f>IF($H651="","",ROW()-6)</f>
        <v/>
      </c>
      <c r="B651" s="114" t="n"/>
      <c r="C651" s="102" t="n"/>
      <c r="D651" s="114" t="n"/>
      <c r="E651" s="103" t="n"/>
      <c r="F651" s="102" t="n"/>
      <c r="G651" s="102" t="n"/>
      <c r="H651" s="115" t="n"/>
      <c r="I651" s="102" t="n"/>
      <c r="J651" s="102" t="n"/>
      <c r="K651" s="103" t="n"/>
      <c r="L651" s="116">
        <f>IF($H651="","",TRIM(IF(COUNTIF(DMTK!$A$7:$A$250,$F651)=0,"TK Nợ sai! ","")&amp;IF(COUNTIF(DMTK!$A$7:$A$250,$G651)=0,"TK Có sai! ","")&amp;IF(N($H651)&lt;=0,"Tiền phải &gt; 0! ","")&amp;IF($B651="","Thiếu ngày! ","")&amp;IF(AND(OR(LEFT($F651,3)="131",LEFT($G651,3)="131",LEFT($F651,3)="331",LEFT($G651,3)="331"),$I651=""),"Thiếu Mã ĐT! ","")&amp;IF(AND($I651&lt;&gt;"",COUNTIF(DM_DT!$A$7:$A$306,$I651)=0),"Mã ĐT chưa khai báo! ","")))</f>
        <v/>
      </c>
      <c r="M651" s="117">
        <f>IF($H651="","",IF(AND(OR(LEFT($F651,3)="111",LEFT($F651,3)="112",LEFT($F651,3)="113"),OR(LEFT($G651,3)="111",LEFT($G651,3)="112",LEFT($G651,3)="113")),"NB",IF(OR(LEFT($F651,3)="111",LEFT($F651,3)="112",LEFT($F651,3)="113"),"THU",IF(OR(LEFT($G651,3)="111",LEFT($G651,3)="112",LEFT($G651,3)="113"),"CHI",""))))</f>
        <v/>
      </c>
      <c r="N651" s="117">
        <f>IF($M651="THU",$G651,IF($M651="CHI",$F651,""))</f>
        <v/>
      </c>
      <c r="O651" s="117">
        <f>IF(OR($M651="",$M651="NB"),"",IF($J651&lt;&gt;"",TEXT($J651,"00"),IFERROR(VLOOKUP(LEFT($N651,4),LCTT_MAP!$A$7:$C$66,IF($M651="THU",2,3),FALSE()),IFERROR(VLOOKUP(LEFT($N651,3),LCTT_MAP!$A$7:$C$66,IF($M651="THU",2,3),FALSE()),IFERROR(VLOOKUP(LEFT($N651,2),LCTT_MAP!$A$7:$C$66,IF($M651="THU",2,3),FALSE()),IFERROR(VLOOKUP(LEFT($N651,1),LCTT_MAP!$A$7:$C$66,IF($M651="THU",2,3),FALSE()),IF($M651="THU","06","07")))))))</f>
        <v/>
      </c>
      <c r="P651" s="117">
        <f>P650+IF(AND($H651&lt;&gt;"",OR(LEFT($F651,LEN(SC_TK))=SC_TK,LEFT($G651,LEN(SC_TK))=SC_TK)),1,0)</f>
        <v/>
      </c>
    </row>
    <row r="652" ht="15" customHeight="1" s="78">
      <c r="A652" s="95">
        <f>IF($H652="","",ROW()-6)</f>
        <v/>
      </c>
      <c r="B652" s="114" t="n"/>
      <c r="C652" s="102" t="n"/>
      <c r="D652" s="114" t="n"/>
      <c r="E652" s="103" t="n"/>
      <c r="F652" s="102" t="n"/>
      <c r="G652" s="102" t="n"/>
      <c r="H652" s="115" t="n"/>
      <c r="I652" s="102" t="n"/>
      <c r="J652" s="102" t="n"/>
      <c r="K652" s="103" t="n"/>
      <c r="L652" s="116">
        <f>IF($H652="","",TRIM(IF(COUNTIF(DMTK!$A$7:$A$250,$F652)=0,"TK Nợ sai! ","")&amp;IF(COUNTIF(DMTK!$A$7:$A$250,$G652)=0,"TK Có sai! ","")&amp;IF(N($H652)&lt;=0,"Tiền phải &gt; 0! ","")&amp;IF($B652="","Thiếu ngày! ","")&amp;IF(AND(OR(LEFT($F652,3)="131",LEFT($G652,3)="131",LEFT($F652,3)="331",LEFT($G652,3)="331"),$I652=""),"Thiếu Mã ĐT! ","")&amp;IF(AND($I652&lt;&gt;"",COUNTIF(DM_DT!$A$7:$A$306,$I652)=0),"Mã ĐT chưa khai báo! ","")))</f>
        <v/>
      </c>
      <c r="M652" s="117">
        <f>IF($H652="","",IF(AND(OR(LEFT($F652,3)="111",LEFT($F652,3)="112",LEFT($F652,3)="113"),OR(LEFT($G652,3)="111",LEFT($G652,3)="112",LEFT($G652,3)="113")),"NB",IF(OR(LEFT($F652,3)="111",LEFT($F652,3)="112",LEFT($F652,3)="113"),"THU",IF(OR(LEFT($G652,3)="111",LEFT($G652,3)="112",LEFT($G652,3)="113"),"CHI",""))))</f>
        <v/>
      </c>
      <c r="N652" s="117">
        <f>IF($M652="THU",$G652,IF($M652="CHI",$F652,""))</f>
        <v/>
      </c>
      <c r="O652" s="117">
        <f>IF(OR($M652="",$M652="NB"),"",IF($J652&lt;&gt;"",TEXT($J652,"00"),IFERROR(VLOOKUP(LEFT($N652,4),LCTT_MAP!$A$7:$C$66,IF($M652="THU",2,3),FALSE()),IFERROR(VLOOKUP(LEFT($N652,3),LCTT_MAP!$A$7:$C$66,IF($M652="THU",2,3),FALSE()),IFERROR(VLOOKUP(LEFT($N652,2),LCTT_MAP!$A$7:$C$66,IF($M652="THU",2,3),FALSE()),IFERROR(VLOOKUP(LEFT($N652,1),LCTT_MAP!$A$7:$C$66,IF($M652="THU",2,3),FALSE()),IF($M652="THU","06","07")))))))</f>
        <v/>
      </c>
      <c r="P652" s="117">
        <f>P651+IF(AND($H652&lt;&gt;"",OR(LEFT($F652,LEN(SC_TK))=SC_TK,LEFT($G652,LEN(SC_TK))=SC_TK)),1,0)</f>
        <v/>
      </c>
    </row>
    <row r="653" ht="15" customHeight="1" s="78">
      <c r="A653" s="95">
        <f>IF($H653="","",ROW()-6)</f>
        <v/>
      </c>
      <c r="B653" s="114" t="n"/>
      <c r="C653" s="102" t="n"/>
      <c r="D653" s="114" t="n"/>
      <c r="E653" s="103" t="n"/>
      <c r="F653" s="102" t="n"/>
      <c r="G653" s="102" t="n"/>
      <c r="H653" s="115" t="n"/>
      <c r="I653" s="102" t="n"/>
      <c r="J653" s="102" t="n"/>
      <c r="K653" s="103" t="n"/>
      <c r="L653" s="116">
        <f>IF($H653="","",TRIM(IF(COUNTIF(DMTK!$A$7:$A$250,$F653)=0,"TK Nợ sai! ","")&amp;IF(COUNTIF(DMTK!$A$7:$A$250,$G653)=0,"TK Có sai! ","")&amp;IF(N($H653)&lt;=0,"Tiền phải &gt; 0! ","")&amp;IF($B653="","Thiếu ngày! ","")&amp;IF(AND(OR(LEFT($F653,3)="131",LEFT($G653,3)="131",LEFT($F653,3)="331",LEFT($G653,3)="331"),$I653=""),"Thiếu Mã ĐT! ","")&amp;IF(AND($I653&lt;&gt;"",COUNTIF(DM_DT!$A$7:$A$306,$I653)=0),"Mã ĐT chưa khai báo! ","")))</f>
        <v/>
      </c>
      <c r="M653" s="117">
        <f>IF($H653="","",IF(AND(OR(LEFT($F653,3)="111",LEFT($F653,3)="112",LEFT($F653,3)="113"),OR(LEFT($G653,3)="111",LEFT($G653,3)="112",LEFT($G653,3)="113")),"NB",IF(OR(LEFT($F653,3)="111",LEFT($F653,3)="112",LEFT($F653,3)="113"),"THU",IF(OR(LEFT($G653,3)="111",LEFT($G653,3)="112",LEFT($G653,3)="113"),"CHI",""))))</f>
        <v/>
      </c>
      <c r="N653" s="117">
        <f>IF($M653="THU",$G653,IF($M653="CHI",$F653,""))</f>
        <v/>
      </c>
      <c r="O653" s="117">
        <f>IF(OR($M653="",$M653="NB"),"",IF($J653&lt;&gt;"",TEXT($J653,"00"),IFERROR(VLOOKUP(LEFT($N653,4),LCTT_MAP!$A$7:$C$66,IF($M653="THU",2,3),FALSE()),IFERROR(VLOOKUP(LEFT($N653,3),LCTT_MAP!$A$7:$C$66,IF($M653="THU",2,3),FALSE()),IFERROR(VLOOKUP(LEFT($N653,2),LCTT_MAP!$A$7:$C$66,IF($M653="THU",2,3),FALSE()),IFERROR(VLOOKUP(LEFT($N653,1),LCTT_MAP!$A$7:$C$66,IF($M653="THU",2,3),FALSE()),IF($M653="THU","06","07")))))))</f>
        <v/>
      </c>
      <c r="P653" s="117">
        <f>P652+IF(AND($H653&lt;&gt;"",OR(LEFT($F653,LEN(SC_TK))=SC_TK,LEFT($G653,LEN(SC_TK))=SC_TK)),1,0)</f>
        <v/>
      </c>
    </row>
    <row r="654" ht="15" customHeight="1" s="78">
      <c r="A654" s="95">
        <f>IF($H654="","",ROW()-6)</f>
        <v/>
      </c>
      <c r="B654" s="114" t="n"/>
      <c r="C654" s="102" t="n"/>
      <c r="D654" s="114" t="n"/>
      <c r="E654" s="103" t="n"/>
      <c r="F654" s="102" t="n"/>
      <c r="G654" s="102" t="n"/>
      <c r="H654" s="115" t="n"/>
      <c r="I654" s="102" t="n"/>
      <c r="J654" s="102" t="n"/>
      <c r="K654" s="103" t="n"/>
      <c r="L654" s="116">
        <f>IF($H654="","",TRIM(IF(COUNTIF(DMTK!$A$7:$A$250,$F654)=0,"TK Nợ sai! ","")&amp;IF(COUNTIF(DMTK!$A$7:$A$250,$G654)=0,"TK Có sai! ","")&amp;IF(N($H654)&lt;=0,"Tiền phải &gt; 0! ","")&amp;IF($B654="","Thiếu ngày! ","")&amp;IF(AND(OR(LEFT($F654,3)="131",LEFT($G654,3)="131",LEFT($F654,3)="331",LEFT($G654,3)="331"),$I654=""),"Thiếu Mã ĐT! ","")&amp;IF(AND($I654&lt;&gt;"",COUNTIF(DM_DT!$A$7:$A$306,$I654)=0),"Mã ĐT chưa khai báo! ","")))</f>
        <v/>
      </c>
      <c r="M654" s="117">
        <f>IF($H654="","",IF(AND(OR(LEFT($F654,3)="111",LEFT($F654,3)="112",LEFT($F654,3)="113"),OR(LEFT($G654,3)="111",LEFT($G654,3)="112",LEFT($G654,3)="113")),"NB",IF(OR(LEFT($F654,3)="111",LEFT($F654,3)="112",LEFT($F654,3)="113"),"THU",IF(OR(LEFT($G654,3)="111",LEFT($G654,3)="112",LEFT($G654,3)="113"),"CHI",""))))</f>
        <v/>
      </c>
      <c r="N654" s="117">
        <f>IF($M654="THU",$G654,IF($M654="CHI",$F654,""))</f>
        <v/>
      </c>
      <c r="O654" s="117">
        <f>IF(OR($M654="",$M654="NB"),"",IF($J654&lt;&gt;"",TEXT($J654,"00"),IFERROR(VLOOKUP(LEFT($N654,4),LCTT_MAP!$A$7:$C$66,IF($M654="THU",2,3),FALSE()),IFERROR(VLOOKUP(LEFT($N654,3),LCTT_MAP!$A$7:$C$66,IF($M654="THU",2,3),FALSE()),IFERROR(VLOOKUP(LEFT($N654,2),LCTT_MAP!$A$7:$C$66,IF($M654="THU",2,3),FALSE()),IFERROR(VLOOKUP(LEFT($N654,1),LCTT_MAP!$A$7:$C$66,IF($M654="THU",2,3),FALSE()),IF($M654="THU","06","07")))))))</f>
        <v/>
      </c>
      <c r="P654" s="117">
        <f>P653+IF(AND($H654&lt;&gt;"",OR(LEFT($F654,LEN(SC_TK))=SC_TK,LEFT($G654,LEN(SC_TK))=SC_TK)),1,0)</f>
        <v/>
      </c>
    </row>
    <row r="655" ht="15" customHeight="1" s="78">
      <c r="A655" s="95">
        <f>IF($H655="","",ROW()-6)</f>
        <v/>
      </c>
      <c r="B655" s="114" t="n"/>
      <c r="C655" s="102" t="n"/>
      <c r="D655" s="114" t="n"/>
      <c r="E655" s="103" t="n"/>
      <c r="F655" s="102" t="n"/>
      <c r="G655" s="102" t="n"/>
      <c r="H655" s="115" t="n"/>
      <c r="I655" s="102" t="n"/>
      <c r="J655" s="102" t="n"/>
      <c r="K655" s="103" t="n"/>
      <c r="L655" s="116">
        <f>IF($H655="","",TRIM(IF(COUNTIF(DMTK!$A$7:$A$250,$F655)=0,"TK Nợ sai! ","")&amp;IF(COUNTIF(DMTK!$A$7:$A$250,$G655)=0,"TK Có sai! ","")&amp;IF(N($H655)&lt;=0,"Tiền phải &gt; 0! ","")&amp;IF($B655="","Thiếu ngày! ","")&amp;IF(AND(OR(LEFT($F655,3)="131",LEFT($G655,3)="131",LEFT($F655,3)="331",LEFT($G655,3)="331"),$I655=""),"Thiếu Mã ĐT! ","")&amp;IF(AND($I655&lt;&gt;"",COUNTIF(DM_DT!$A$7:$A$306,$I655)=0),"Mã ĐT chưa khai báo! ","")))</f>
        <v/>
      </c>
      <c r="M655" s="117">
        <f>IF($H655="","",IF(AND(OR(LEFT($F655,3)="111",LEFT($F655,3)="112",LEFT($F655,3)="113"),OR(LEFT($G655,3)="111",LEFT($G655,3)="112",LEFT($G655,3)="113")),"NB",IF(OR(LEFT($F655,3)="111",LEFT($F655,3)="112",LEFT($F655,3)="113"),"THU",IF(OR(LEFT($G655,3)="111",LEFT($G655,3)="112",LEFT($G655,3)="113"),"CHI",""))))</f>
        <v/>
      </c>
      <c r="N655" s="117">
        <f>IF($M655="THU",$G655,IF($M655="CHI",$F655,""))</f>
        <v/>
      </c>
      <c r="O655" s="117">
        <f>IF(OR($M655="",$M655="NB"),"",IF($J655&lt;&gt;"",TEXT($J655,"00"),IFERROR(VLOOKUP(LEFT($N655,4),LCTT_MAP!$A$7:$C$66,IF($M655="THU",2,3),FALSE()),IFERROR(VLOOKUP(LEFT($N655,3),LCTT_MAP!$A$7:$C$66,IF($M655="THU",2,3),FALSE()),IFERROR(VLOOKUP(LEFT($N655,2),LCTT_MAP!$A$7:$C$66,IF($M655="THU",2,3),FALSE()),IFERROR(VLOOKUP(LEFT($N655,1),LCTT_MAP!$A$7:$C$66,IF($M655="THU",2,3),FALSE()),IF($M655="THU","06","07")))))))</f>
        <v/>
      </c>
      <c r="P655" s="117">
        <f>P654+IF(AND($H655&lt;&gt;"",OR(LEFT($F655,LEN(SC_TK))=SC_TK,LEFT($G655,LEN(SC_TK))=SC_TK)),1,0)</f>
        <v/>
      </c>
    </row>
    <row r="656" ht="15" customHeight="1" s="78">
      <c r="A656" s="95">
        <f>IF($H656="","",ROW()-6)</f>
        <v/>
      </c>
      <c r="B656" s="114" t="n"/>
      <c r="C656" s="102" t="n"/>
      <c r="D656" s="114" t="n"/>
      <c r="E656" s="103" t="n"/>
      <c r="F656" s="102" t="n"/>
      <c r="G656" s="102" t="n"/>
      <c r="H656" s="115" t="n"/>
      <c r="I656" s="102" t="n"/>
      <c r="J656" s="102" t="n"/>
      <c r="K656" s="103" t="n"/>
      <c r="L656" s="116">
        <f>IF($H656="","",TRIM(IF(COUNTIF(DMTK!$A$7:$A$250,$F656)=0,"TK Nợ sai! ","")&amp;IF(COUNTIF(DMTK!$A$7:$A$250,$G656)=0,"TK Có sai! ","")&amp;IF(N($H656)&lt;=0,"Tiền phải &gt; 0! ","")&amp;IF($B656="","Thiếu ngày! ","")&amp;IF(AND(OR(LEFT($F656,3)="131",LEFT($G656,3)="131",LEFT($F656,3)="331",LEFT($G656,3)="331"),$I656=""),"Thiếu Mã ĐT! ","")&amp;IF(AND($I656&lt;&gt;"",COUNTIF(DM_DT!$A$7:$A$306,$I656)=0),"Mã ĐT chưa khai báo! ","")))</f>
        <v/>
      </c>
      <c r="M656" s="117">
        <f>IF($H656="","",IF(AND(OR(LEFT($F656,3)="111",LEFT($F656,3)="112",LEFT($F656,3)="113"),OR(LEFT($G656,3)="111",LEFT($G656,3)="112",LEFT($G656,3)="113")),"NB",IF(OR(LEFT($F656,3)="111",LEFT($F656,3)="112",LEFT($F656,3)="113"),"THU",IF(OR(LEFT($G656,3)="111",LEFT($G656,3)="112",LEFT($G656,3)="113"),"CHI",""))))</f>
        <v/>
      </c>
      <c r="N656" s="117">
        <f>IF($M656="THU",$G656,IF($M656="CHI",$F656,""))</f>
        <v/>
      </c>
      <c r="O656" s="117">
        <f>IF(OR($M656="",$M656="NB"),"",IF($J656&lt;&gt;"",TEXT($J656,"00"),IFERROR(VLOOKUP(LEFT($N656,4),LCTT_MAP!$A$7:$C$66,IF($M656="THU",2,3),FALSE()),IFERROR(VLOOKUP(LEFT($N656,3),LCTT_MAP!$A$7:$C$66,IF($M656="THU",2,3),FALSE()),IFERROR(VLOOKUP(LEFT($N656,2),LCTT_MAP!$A$7:$C$66,IF($M656="THU",2,3),FALSE()),IFERROR(VLOOKUP(LEFT($N656,1),LCTT_MAP!$A$7:$C$66,IF($M656="THU",2,3),FALSE()),IF($M656="THU","06","07")))))))</f>
        <v/>
      </c>
      <c r="P656" s="117">
        <f>P655+IF(AND($H656&lt;&gt;"",OR(LEFT($F656,LEN(SC_TK))=SC_TK,LEFT($G656,LEN(SC_TK))=SC_TK)),1,0)</f>
        <v/>
      </c>
    </row>
    <row r="657" ht="15" customHeight="1" s="78">
      <c r="A657" s="95">
        <f>IF($H657="","",ROW()-6)</f>
        <v/>
      </c>
      <c r="B657" s="114" t="n"/>
      <c r="C657" s="102" t="n"/>
      <c r="D657" s="114" t="n"/>
      <c r="E657" s="103" t="n"/>
      <c r="F657" s="102" t="n"/>
      <c r="G657" s="102" t="n"/>
      <c r="H657" s="115" t="n"/>
      <c r="I657" s="102" t="n"/>
      <c r="J657" s="102" t="n"/>
      <c r="K657" s="103" t="n"/>
      <c r="L657" s="116">
        <f>IF($H657="","",TRIM(IF(COUNTIF(DMTK!$A$7:$A$250,$F657)=0,"TK Nợ sai! ","")&amp;IF(COUNTIF(DMTK!$A$7:$A$250,$G657)=0,"TK Có sai! ","")&amp;IF(N($H657)&lt;=0,"Tiền phải &gt; 0! ","")&amp;IF($B657="","Thiếu ngày! ","")&amp;IF(AND(OR(LEFT($F657,3)="131",LEFT($G657,3)="131",LEFT($F657,3)="331",LEFT($G657,3)="331"),$I657=""),"Thiếu Mã ĐT! ","")&amp;IF(AND($I657&lt;&gt;"",COUNTIF(DM_DT!$A$7:$A$306,$I657)=0),"Mã ĐT chưa khai báo! ","")))</f>
        <v/>
      </c>
      <c r="M657" s="117">
        <f>IF($H657="","",IF(AND(OR(LEFT($F657,3)="111",LEFT($F657,3)="112",LEFT($F657,3)="113"),OR(LEFT($G657,3)="111",LEFT($G657,3)="112",LEFT($G657,3)="113")),"NB",IF(OR(LEFT($F657,3)="111",LEFT($F657,3)="112",LEFT($F657,3)="113"),"THU",IF(OR(LEFT($G657,3)="111",LEFT($G657,3)="112",LEFT($G657,3)="113"),"CHI",""))))</f>
        <v/>
      </c>
      <c r="N657" s="117">
        <f>IF($M657="THU",$G657,IF($M657="CHI",$F657,""))</f>
        <v/>
      </c>
      <c r="O657" s="117">
        <f>IF(OR($M657="",$M657="NB"),"",IF($J657&lt;&gt;"",TEXT($J657,"00"),IFERROR(VLOOKUP(LEFT($N657,4),LCTT_MAP!$A$7:$C$66,IF($M657="THU",2,3),FALSE()),IFERROR(VLOOKUP(LEFT($N657,3),LCTT_MAP!$A$7:$C$66,IF($M657="THU",2,3),FALSE()),IFERROR(VLOOKUP(LEFT($N657,2),LCTT_MAP!$A$7:$C$66,IF($M657="THU",2,3),FALSE()),IFERROR(VLOOKUP(LEFT($N657,1),LCTT_MAP!$A$7:$C$66,IF($M657="THU",2,3),FALSE()),IF($M657="THU","06","07")))))))</f>
        <v/>
      </c>
      <c r="P657" s="117">
        <f>P656+IF(AND($H657&lt;&gt;"",OR(LEFT($F657,LEN(SC_TK))=SC_TK,LEFT($G657,LEN(SC_TK))=SC_TK)),1,0)</f>
        <v/>
      </c>
    </row>
    <row r="658" ht="15" customHeight="1" s="78">
      <c r="A658" s="95">
        <f>IF($H658="","",ROW()-6)</f>
        <v/>
      </c>
      <c r="B658" s="114" t="n"/>
      <c r="C658" s="102" t="n"/>
      <c r="D658" s="114" t="n"/>
      <c r="E658" s="103" t="n"/>
      <c r="F658" s="102" t="n"/>
      <c r="G658" s="102" t="n"/>
      <c r="H658" s="115" t="n"/>
      <c r="I658" s="102" t="n"/>
      <c r="J658" s="102" t="n"/>
      <c r="K658" s="103" t="n"/>
      <c r="L658" s="116">
        <f>IF($H658="","",TRIM(IF(COUNTIF(DMTK!$A$7:$A$250,$F658)=0,"TK Nợ sai! ","")&amp;IF(COUNTIF(DMTK!$A$7:$A$250,$G658)=0,"TK Có sai! ","")&amp;IF(N($H658)&lt;=0,"Tiền phải &gt; 0! ","")&amp;IF($B658="","Thiếu ngày! ","")&amp;IF(AND(OR(LEFT($F658,3)="131",LEFT($G658,3)="131",LEFT($F658,3)="331",LEFT($G658,3)="331"),$I658=""),"Thiếu Mã ĐT! ","")&amp;IF(AND($I658&lt;&gt;"",COUNTIF(DM_DT!$A$7:$A$306,$I658)=0),"Mã ĐT chưa khai báo! ","")))</f>
        <v/>
      </c>
      <c r="M658" s="117">
        <f>IF($H658="","",IF(AND(OR(LEFT($F658,3)="111",LEFT($F658,3)="112",LEFT($F658,3)="113"),OR(LEFT($G658,3)="111",LEFT($G658,3)="112",LEFT($G658,3)="113")),"NB",IF(OR(LEFT($F658,3)="111",LEFT($F658,3)="112",LEFT($F658,3)="113"),"THU",IF(OR(LEFT($G658,3)="111",LEFT($G658,3)="112",LEFT($G658,3)="113"),"CHI",""))))</f>
        <v/>
      </c>
      <c r="N658" s="117">
        <f>IF($M658="THU",$G658,IF($M658="CHI",$F658,""))</f>
        <v/>
      </c>
      <c r="O658" s="117">
        <f>IF(OR($M658="",$M658="NB"),"",IF($J658&lt;&gt;"",TEXT($J658,"00"),IFERROR(VLOOKUP(LEFT($N658,4),LCTT_MAP!$A$7:$C$66,IF($M658="THU",2,3),FALSE()),IFERROR(VLOOKUP(LEFT($N658,3),LCTT_MAP!$A$7:$C$66,IF($M658="THU",2,3),FALSE()),IFERROR(VLOOKUP(LEFT($N658,2),LCTT_MAP!$A$7:$C$66,IF($M658="THU",2,3),FALSE()),IFERROR(VLOOKUP(LEFT($N658,1),LCTT_MAP!$A$7:$C$66,IF($M658="THU",2,3),FALSE()),IF($M658="THU","06","07")))))))</f>
        <v/>
      </c>
      <c r="P658" s="117">
        <f>P657+IF(AND($H658&lt;&gt;"",OR(LEFT($F658,LEN(SC_TK))=SC_TK,LEFT($G658,LEN(SC_TK))=SC_TK)),1,0)</f>
        <v/>
      </c>
    </row>
    <row r="659" ht="15" customHeight="1" s="78">
      <c r="A659" s="95">
        <f>IF($H659="","",ROW()-6)</f>
        <v/>
      </c>
      <c r="B659" s="114" t="n"/>
      <c r="C659" s="102" t="n"/>
      <c r="D659" s="114" t="n"/>
      <c r="E659" s="103" t="n"/>
      <c r="F659" s="102" t="n"/>
      <c r="G659" s="102" t="n"/>
      <c r="H659" s="115" t="n"/>
      <c r="I659" s="102" t="n"/>
      <c r="J659" s="102" t="n"/>
      <c r="K659" s="103" t="n"/>
      <c r="L659" s="116">
        <f>IF($H659="","",TRIM(IF(COUNTIF(DMTK!$A$7:$A$250,$F659)=0,"TK Nợ sai! ","")&amp;IF(COUNTIF(DMTK!$A$7:$A$250,$G659)=0,"TK Có sai! ","")&amp;IF(N($H659)&lt;=0,"Tiền phải &gt; 0! ","")&amp;IF($B659="","Thiếu ngày! ","")&amp;IF(AND(OR(LEFT($F659,3)="131",LEFT($G659,3)="131",LEFT($F659,3)="331",LEFT($G659,3)="331"),$I659=""),"Thiếu Mã ĐT! ","")&amp;IF(AND($I659&lt;&gt;"",COUNTIF(DM_DT!$A$7:$A$306,$I659)=0),"Mã ĐT chưa khai báo! ","")))</f>
        <v/>
      </c>
      <c r="M659" s="117">
        <f>IF($H659="","",IF(AND(OR(LEFT($F659,3)="111",LEFT($F659,3)="112",LEFT($F659,3)="113"),OR(LEFT($G659,3)="111",LEFT($G659,3)="112",LEFT($G659,3)="113")),"NB",IF(OR(LEFT($F659,3)="111",LEFT($F659,3)="112",LEFT($F659,3)="113"),"THU",IF(OR(LEFT($G659,3)="111",LEFT($G659,3)="112",LEFT($G659,3)="113"),"CHI",""))))</f>
        <v/>
      </c>
      <c r="N659" s="117">
        <f>IF($M659="THU",$G659,IF($M659="CHI",$F659,""))</f>
        <v/>
      </c>
      <c r="O659" s="117">
        <f>IF(OR($M659="",$M659="NB"),"",IF($J659&lt;&gt;"",TEXT($J659,"00"),IFERROR(VLOOKUP(LEFT($N659,4),LCTT_MAP!$A$7:$C$66,IF($M659="THU",2,3),FALSE()),IFERROR(VLOOKUP(LEFT($N659,3),LCTT_MAP!$A$7:$C$66,IF($M659="THU",2,3),FALSE()),IFERROR(VLOOKUP(LEFT($N659,2),LCTT_MAP!$A$7:$C$66,IF($M659="THU",2,3),FALSE()),IFERROR(VLOOKUP(LEFT($N659,1),LCTT_MAP!$A$7:$C$66,IF($M659="THU",2,3),FALSE()),IF($M659="THU","06","07")))))))</f>
        <v/>
      </c>
      <c r="P659" s="117">
        <f>P658+IF(AND($H659&lt;&gt;"",OR(LEFT($F659,LEN(SC_TK))=SC_TK,LEFT($G659,LEN(SC_TK))=SC_TK)),1,0)</f>
        <v/>
      </c>
    </row>
    <row r="660" ht="15" customHeight="1" s="78">
      <c r="A660" s="95">
        <f>IF($H660="","",ROW()-6)</f>
        <v/>
      </c>
      <c r="B660" s="114" t="n"/>
      <c r="C660" s="102" t="n"/>
      <c r="D660" s="114" t="n"/>
      <c r="E660" s="103" t="n"/>
      <c r="F660" s="102" t="n"/>
      <c r="G660" s="102" t="n"/>
      <c r="H660" s="115" t="n"/>
      <c r="I660" s="102" t="n"/>
      <c r="J660" s="102" t="n"/>
      <c r="K660" s="103" t="n"/>
      <c r="L660" s="116">
        <f>IF($H660="","",TRIM(IF(COUNTIF(DMTK!$A$7:$A$250,$F660)=0,"TK Nợ sai! ","")&amp;IF(COUNTIF(DMTK!$A$7:$A$250,$G660)=0,"TK Có sai! ","")&amp;IF(N($H660)&lt;=0,"Tiền phải &gt; 0! ","")&amp;IF($B660="","Thiếu ngày! ","")&amp;IF(AND(OR(LEFT($F660,3)="131",LEFT($G660,3)="131",LEFT($F660,3)="331",LEFT($G660,3)="331"),$I660=""),"Thiếu Mã ĐT! ","")&amp;IF(AND($I660&lt;&gt;"",COUNTIF(DM_DT!$A$7:$A$306,$I660)=0),"Mã ĐT chưa khai báo! ","")))</f>
        <v/>
      </c>
      <c r="M660" s="117">
        <f>IF($H660="","",IF(AND(OR(LEFT($F660,3)="111",LEFT($F660,3)="112",LEFT($F660,3)="113"),OR(LEFT($G660,3)="111",LEFT($G660,3)="112",LEFT($G660,3)="113")),"NB",IF(OR(LEFT($F660,3)="111",LEFT($F660,3)="112",LEFT($F660,3)="113"),"THU",IF(OR(LEFT($G660,3)="111",LEFT($G660,3)="112",LEFT($G660,3)="113"),"CHI",""))))</f>
        <v/>
      </c>
      <c r="N660" s="117">
        <f>IF($M660="THU",$G660,IF($M660="CHI",$F660,""))</f>
        <v/>
      </c>
      <c r="O660" s="117">
        <f>IF(OR($M660="",$M660="NB"),"",IF($J660&lt;&gt;"",TEXT($J660,"00"),IFERROR(VLOOKUP(LEFT($N660,4),LCTT_MAP!$A$7:$C$66,IF($M660="THU",2,3),FALSE()),IFERROR(VLOOKUP(LEFT($N660,3),LCTT_MAP!$A$7:$C$66,IF($M660="THU",2,3),FALSE()),IFERROR(VLOOKUP(LEFT($N660,2),LCTT_MAP!$A$7:$C$66,IF($M660="THU",2,3),FALSE()),IFERROR(VLOOKUP(LEFT($N660,1),LCTT_MAP!$A$7:$C$66,IF($M660="THU",2,3),FALSE()),IF($M660="THU","06","07")))))))</f>
        <v/>
      </c>
      <c r="P660" s="117">
        <f>P659+IF(AND($H660&lt;&gt;"",OR(LEFT($F660,LEN(SC_TK))=SC_TK,LEFT($G660,LEN(SC_TK))=SC_TK)),1,0)</f>
        <v/>
      </c>
    </row>
    <row r="661" ht="15" customHeight="1" s="78">
      <c r="A661" s="95">
        <f>IF($H661="","",ROW()-6)</f>
        <v/>
      </c>
      <c r="B661" s="114" t="n"/>
      <c r="C661" s="102" t="n"/>
      <c r="D661" s="114" t="n"/>
      <c r="E661" s="103" t="n"/>
      <c r="F661" s="102" t="n"/>
      <c r="G661" s="102" t="n"/>
      <c r="H661" s="115" t="n"/>
      <c r="I661" s="102" t="n"/>
      <c r="J661" s="102" t="n"/>
      <c r="K661" s="103" t="n"/>
      <c r="L661" s="116">
        <f>IF($H661="","",TRIM(IF(COUNTIF(DMTK!$A$7:$A$250,$F661)=0,"TK Nợ sai! ","")&amp;IF(COUNTIF(DMTK!$A$7:$A$250,$G661)=0,"TK Có sai! ","")&amp;IF(N($H661)&lt;=0,"Tiền phải &gt; 0! ","")&amp;IF($B661="","Thiếu ngày! ","")&amp;IF(AND(OR(LEFT($F661,3)="131",LEFT($G661,3)="131",LEFT($F661,3)="331",LEFT($G661,3)="331"),$I661=""),"Thiếu Mã ĐT! ","")&amp;IF(AND($I661&lt;&gt;"",COUNTIF(DM_DT!$A$7:$A$306,$I661)=0),"Mã ĐT chưa khai báo! ","")))</f>
        <v/>
      </c>
      <c r="M661" s="117">
        <f>IF($H661="","",IF(AND(OR(LEFT($F661,3)="111",LEFT($F661,3)="112",LEFT($F661,3)="113"),OR(LEFT($G661,3)="111",LEFT($G661,3)="112",LEFT($G661,3)="113")),"NB",IF(OR(LEFT($F661,3)="111",LEFT($F661,3)="112",LEFT($F661,3)="113"),"THU",IF(OR(LEFT($G661,3)="111",LEFT($G661,3)="112",LEFT($G661,3)="113"),"CHI",""))))</f>
        <v/>
      </c>
      <c r="N661" s="117">
        <f>IF($M661="THU",$G661,IF($M661="CHI",$F661,""))</f>
        <v/>
      </c>
      <c r="O661" s="117">
        <f>IF(OR($M661="",$M661="NB"),"",IF($J661&lt;&gt;"",TEXT($J661,"00"),IFERROR(VLOOKUP(LEFT($N661,4),LCTT_MAP!$A$7:$C$66,IF($M661="THU",2,3),FALSE()),IFERROR(VLOOKUP(LEFT($N661,3),LCTT_MAP!$A$7:$C$66,IF($M661="THU",2,3),FALSE()),IFERROR(VLOOKUP(LEFT($N661,2),LCTT_MAP!$A$7:$C$66,IF($M661="THU",2,3),FALSE()),IFERROR(VLOOKUP(LEFT($N661,1),LCTT_MAP!$A$7:$C$66,IF($M661="THU",2,3),FALSE()),IF($M661="THU","06","07")))))))</f>
        <v/>
      </c>
      <c r="P661" s="117">
        <f>P660+IF(AND($H661&lt;&gt;"",OR(LEFT($F661,LEN(SC_TK))=SC_TK,LEFT($G661,LEN(SC_TK))=SC_TK)),1,0)</f>
        <v/>
      </c>
    </row>
    <row r="662" ht="15" customHeight="1" s="78">
      <c r="A662" s="95">
        <f>IF($H662="","",ROW()-6)</f>
        <v/>
      </c>
      <c r="B662" s="114" t="n"/>
      <c r="C662" s="102" t="n"/>
      <c r="D662" s="114" t="n"/>
      <c r="E662" s="103" t="n"/>
      <c r="F662" s="102" t="n"/>
      <c r="G662" s="102" t="n"/>
      <c r="H662" s="115" t="n"/>
      <c r="I662" s="102" t="n"/>
      <c r="J662" s="102" t="n"/>
      <c r="K662" s="103" t="n"/>
      <c r="L662" s="116">
        <f>IF($H662="","",TRIM(IF(COUNTIF(DMTK!$A$7:$A$250,$F662)=0,"TK Nợ sai! ","")&amp;IF(COUNTIF(DMTK!$A$7:$A$250,$G662)=0,"TK Có sai! ","")&amp;IF(N($H662)&lt;=0,"Tiền phải &gt; 0! ","")&amp;IF($B662="","Thiếu ngày! ","")&amp;IF(AND(OR(LEFT($F662,3)="131",LEFT($G662,3)="131",LEFT($F662,3)="331",LEFT($G662,3)="331"),$I662=""),"Thiếu Mã ĐT! ","")&amp;IF(AND($I662&lt;&gt;"",COUNTIF(DM_DT!$A$7:$A$306,$I662)=0),"Mã ĐT chưa khai báo! ","")))</f>
        <v/>
      </c>
      <c r="M662" s="117">
        <f>IF($H662="","",IF(AND(OR(LEFT($F662,3)="111",LEFT($F662,3)="112",LEFT($F662,3)="113"),OR(LEFT($G662,3)="111",LEFT($G662,3)="112",LEFT($G662,3)="113")),"NB",IF(OR(LEFT($F662,3)="111",LEFT($F662,3)="112",LEFT($F662,3)="113"),"THU",IF(OR(LEFT($G662,3)="111",LEFT($G662,3)="112",LEFT($G662,3)="113"),"CHI",""))))</f>
        <v/>
      </c>
      <c r="N662" s="117">
        <f>IF($M662="THU",$G662,IF($M662="CHI",$F662,""))</f>
        <v/>
      </c>
      <c r="O662" s="117">
        <f>IF(OR($M662="",$M662="NB"),"",IF($J662&lt;&gt;"",TEXT($J662,"00"),IFERROR(VLOOKUP(LEFT($N662,4),LCTT_MAP!$A$7:$C$66,IF($M662="THU",2,3),FALSE()),IFERROR(VLOOKUP(LEFT($N662,3),LCTT_MAP!$A$7:$C$66,IF($M662="THU",2,3),FALSE()),IFERROR(VLOOKUP(LEFT($N662,2),LCTT_MAP!$A$7:$C$66,IF($M662="THU",2,3),FALSE()),IFERROR(VLOOKUP(LEFT($N662,1),LCTT_MAP!$A$7:$C$66,IF($M662="THU",2,3),FALSE()),IF($M662="THU","06","07")))))))</f>
        <v/>
      </c>
      <c r="P662" s="117">
        <f>P661+IF(AND($H662&lt;&gt;"",OR(LEFT($F662,LEN(SC_TK))=SC_TK,LEFT($G662,LEN(SC_TK))=SC_TK)),1,0)</f>
        <v/>
      </c>
    </row>
    <row r="663" ht="15" customHeight="1" s="78">
      <c r="A663" s="95">
        <f>IF($H663="","",ROW()-6)</f>
        <v/>
      </c>
      <c r="B663" s="114" t="n"/>
      <c r="C663" s="102" t="n"/>
      <c r="D663" s="114" t="n"/>
      <c r="E663" s="103" t="n"/>
      <c r="F663" s="102" t="n"/>
      <c r="G663" s="102" t="n"/>
      <c r="H663" s="115" t="n"/>
      <c r="I663" s="102" t="n"/>
      <c r="J663" s="102" t="n"/>
      <c r="K663" s="103" t="n"/>
      <c r="L663" s="116">
        <f>IF($H663="","",TRIM(IF(COUNTIF(DMTK!$A$7:$A$250,$F663)=0,"TK Nợ sai! ","")&amp;IF(COUNTIF(DMTK!$A$7:$A$250,$G663)=0,"TK Có sai! ","")&amp;IF(N($H663)&lt;=0,"Tiền phải &gt; 0! ","")&amp;IF($B663="","Thiếu ngày! ","")&amp;IF(AND(OR(LEFT($F663,3)="131",LEFT($G663,3)="131",LEFT($F663,3)="331",LEFT($G663,3)="331"),$I663=""),"Thiếu Mã ĐT! ","")&amp;IF(AND($I663&lt;&gt;"",COUNTIF(DM_DT!$A$7:$A$306,$I663)=0),"Mã ĐT chưa khai báo! ","")))</f>
        <v/>
      </c>
      <c r="M663" s="117">
        <f>IF($H663="","",IF(AND(OR(LEFT($F663,3)="111",LEFT($F663,3)="112",LEFT($F663,3)="113"),OR(LEFT($G663,3)="111",LEFT($G663,3)="112",LEFT($G663,3)="113")),"NB",IF(OR(LEFT($F663,3)="111",LEFT($F663,3)="112",LEFT($F663,3)="113"),"THU",IF(OR(LEFT($G663,3)="111",LEFT($G663,3)="112",LEFT($G663,3)="113"),"CHI",""))))</f>
        <v/>
      </c>
      <c r="N663" s="117">
        <f>IF($M663="THU",$G663,IF($M663="CHI",$F663,""))</f>
        <v/>
      </c>
      <c r="O663" s="117">
        <f>IF(OR($M663="",$M663="NB"),"",IF($J663&lt;&gt;"",TEXT($J663,"00"),IFERROR(VLOOKUP(LEFT($N663,4),LCTT_MAP!$A$7:$C$66,IF($M663="THU",2,3),FALSE()),IFERROR(VLOOKUP(LEFT($N663,3),LCTT_MAP!$A$7:$C$66,IF($M663="THU",2,3),FALSE()),IFERROR(VLOOKUP(LEFT($N663,2),LCTT_MAP!$A$7:$C$66,IF($M663="THU",2,3),FALSE()),IFERROR(VLOOKUP(LEFT($N663,1),LCTT_MAP!$A$7:$C$66,IF($M663="THU",2,3),FALSE()),IF($M663="THU","06","07")))))))</f>
        <v/>
      </c>
      <c r="P663" s="117">
        <f>P662+IF(AND($H663&lt;&gt;"",OR(LEFT($F663,LEN(SC_TK))=SC_TK,LEFT($G663,LEN(SC_TK))=SC_TK)),1,0)</f>
        <v/>
      </c>
    </row>
    <row r="664" ht="15" customHeight="1" s="78">
      <c r="A664" s="95">
        <f>IF($H664="","",ROW()-6)</f>
        <v/>
      </c>
      <c r="B664" s="114" t="n"/>
      <c r="C664" s="102" t="n"/>
      <c r="D664" s="114" t="n"/>
      <c r="E664" s="103" t="n"/>
      <c r="F664" s="102" t="n"/>
      <c r="G664" s="102" t="n"/>
      <c r="H664" s="115" t="n"/>
      <c r="I664" s="102" t="n"/>
      <c r="J664" s="102" t="n"/>
      <c r="K664" s="103" t="n"/>
      <c r="L664" s="116">
        <f>IF($H664="","",TRIM(IF(COUNTIF(DMTK!$A$7:$A$250,$F664)=0,"TK Nợ sai! ","")&amp;IF(COUNTIF(DMTK!$A$7:$A$250,$G664)=0,"TK Có sai! ","")&amp;IF(N($H664)&lt;=0,"Tiền phải &gt; 0! ","")&amp;IF($B664="","Thiếu ngày! ","")&amp;IF(AND(OR(LEFT($F664,3)="131",LEFT($G664,3)="131",LEFT($F664,3)="331",LEFT($G664,3)="331"),$I664=""),"Thiếu Mã ĐT! ","")&amp;IF(AND($I664&lt;&gt;"",COUNTIF(DM_DT!$A$7:$A$306,$I664)=0),"Mã ĐT chưa khai báo! ","")))</f>
        <v/>
      </c>
      <c r="M664" s="117">
        <f>IF($H664="","",IF(AND(OR(LEFT($F664,3)="111",LEFT($F664,3)="112",LEFT($F664,3)="113"),OR(LEFT($G664,3)="111",LEFT($G664,3)="112",LEFT($G664,3)="113")),"NB",IF(OR(LEFT($F664,3)="111",LEFT($F664,3)="112",LEFT($F664,3)="113"),"THU",IF(OR(LEFT($G664,3)="111",LEFT($G664,3)="112",LEFT($G664,3)="113"),"CHI",""))))</f>
        <v/>
      </c>
      <c r="N664" s="117">
        <f>IF($M664="THU",$G664,IF($M664="CHI",$F664,""))</f>
        <v/>
      </c>
      <c r="O664" s="117">
        <f>IF(OR($M664="",$M664="NB"),"",IF($J664&lt;&gt;"",TEXT($J664,"00"),IFERROR(VLOOKUP(LEFT($N664,4),LCTT_MAP!$A$7:$C$66,IF($M664="THU",2,3),FALSE()),IFERROR(VLOOKUP(LEFT($N664,3),LCTT_MAP!$A$7:$C$66,IF($M664="THU",2,3),FALSE()),IFERROR(VLOOKUP(LEFT($N664,2),LCTT_MAP!$A$7:$C$66,IF($M664="THU",2,3),FALSE()),IFERROR(VLOOKUP(LEFT($N664,1),LCTT_MAP!$A$7:$C$66,IF($M664="THU",2,3),FALSE()),IF($M664="THU","06","07")))))))</f>
        <v/>
      </c>
      <c r="P664" s="117">
        <f>P663+IF(AND($H664&lt;&gt;"",OR(LEFT($F664,LEN(SC_TK))=SC_TK,LEFT($G664,LEN(SC_TK))=SC_TK)),1,0)</f>
        <v/>
      </c>
    </row>
    <row r="665" ht="15" customHeight="1" s="78">
      <c r="A665" s="95">
        <f>IF($H665="","",ROW()-6)</f>
        <v/>
      </c>
      <c r="B665" s="114" t="n"/>
      <c r="C665" s="102" t="n"/>
      <c r="D665" s="114" t="n"/>
      <c r="E665" s="103" t="n"/>
      <c r="F665" s="102" t="n"/>
      <c r="G665" s="102" t="n"/>
      <c r="H665" s="115" t="n"/>
      <c r="I665" s="102" t="n"/>
      <c r="J665" s="102" t="n"/>
      <c r="K665" s="103" t="n"/>
      <c r="L665" s="116">
        <f>IF($H665="","",TRIM(IF(COUNTIF(DMTK!$A$7:$A$250,$F665)=0,"TK Nợ sai! ","")&amp;IF(COUNTIF(DMTK!$A$7:$A$250,$G665)=0,"TK Có sai! ","")&amp;IF(N($H665)&lt;=0,"Tiền phải &gt; 0! ","")&amp;IF($B665="","Thiếu ngày! ","")&amp;IF(AND(OR(LEFT($F665,3)="131",LEFT($G665,3)="131",LEFT($F665,3)="331",LEFT($G665,3)="331"),$I665=""),"Thiếu Mã ĐT! ","")&amp;IF(AND($I665&lt;&gt;"",COUNTIF(DM_DT!$A$7:$A$306,$I665)=0),"Mã ĐT chưa khai báo! ","")))</f>
        <v/>
      </c>
      <c r="M665" s="117">
        <f>IF($H665="","",IF(AND(OR(LEFT($F665,3)="111",LEFT($F665,3)="112",LEFT($F665,3)="113"),OR(LEFT($G665,3)="111",LEFT($G665,3)="112",LEFT($G665,3)="113")),"NB",IF(OR(LEFT($F665,3)="111",LEFT($F665,3)="112",LEFT($F665,3)="113"),"THU",IF(OR(LEFT($G665,3)="111",LEFT($G665,3)="112",LEFT($G665,3)="113"),"CHI",""))))</f>
        <v/>
      </c>
      <c r="N665" s="117">
        <f>IF($M665="THU",$G665,IF($M665="CHI",$F665,""))</f>
        <v/>
      </c>
      <c r="O665" s="117">
        <f>IF(OR($M665="",$M665="NB"),"",IF($J665&lt;&gt;"",TEXT($J665,"00"),IFERROR(VLOOKUP(LEFT($N665,4),LCTT_MAP!$A$7:$C$66,IF($M665="THU",2,3),FALSE()),IFERROR(VLOOKUP(LEFT($N665,3),LCTT_MAP!$A$7:$C$66,IF($M665="THU",2,3),FALSE()),IFERROR(VLOOKUP(LEFT($N665,2),LCTT_MAP!$A$7:$C$66,IF($M665="THU",2,3),FALSE()),IFERROR(VLOOKUP(LEFT($N665,1),LCTT_MAP!$A$7:$C$66,IF($M665="THU",2,3),FALSE()),IF($M665="THU","06","07")))))))</f>
        <v/>
      </c>
      <c r="P665" s="117">
        <f>P664+IF(AND($H665&lt;&gt;"",OR(LEFT($F665,LEN(SC_TK))=SC_TK,LEFT($G665,LEN(SC_TK))=SC_TK)),1,0)</f>
        <v/>
      </c>
    </row>
    <row r="666" ht="15" customHeight="1" s="78">
      <c r="A666" s="95">
        <f>IF($H666="","",ROW()-6)</f>
        <v/>
      </c>
      <c r="B666" s="114" t="n"/>
      <c r="C666" s="102" t="n"/>
      <c r="D666" s="114" t="n"/>
      <c r="E666" s="103" t="n"/>
      <c r="F666" s="102" t="n"/>
      <c r="G666" s="102" t="n"/>
      <c r="H666" s="115" t="n"/>
      <c r="I666" s="102" t="n"/>
      <c r="J666" s="102" t="n"/>
      <c r="K666" s="103" t="n"/>
      <c r="L666" s="116">
        <f>IF($H666="","",TRIM(IF(COUNTIF(DMTK!$A$7:$A$250,$F666)=0,"TK Nợ sai! ","")&amp;IF(COUNTIF(DMTK!$A$7:$A$250,$G666)=0,"TK Có sai! ","")&amp;IF(N($H666)&lt;=0,"Tiền phải &gt; 0! ","")&amp;IF($B666="","Thiếu ngày! ","")&amp;IF(AND(OR(LEFT($F666,3)="131",LEFT($G666,3)="131",LEFT($F666,3)="331",LEFT($G666,3)="331"),$I666=""),"Thiếu Mã ĐT! ","")&amp;IF(AND($I666&lt;&gt;"",COUNTIF(DM_DT!$A$7:$A$306,$I666)=0),"Mã ĐT chưa khai báo! ","")))</f>
        <v/>
      </c>
      <c r="M666" s="117">
        <f>IF($H666="","",IF(AND(OR(LEFT($F666,3)="111",LEFT($F666,3)="112",LEFT($F666,3)="113"),OR(LEFT($G666,3)="111",LEFT($G666,3)="112",LEFT($G666,3)="113")),"NB",IF(OR(LEFT($F666,3)="111",LEFT($F666,3)="112",LEFT($F666,3)="113"),"THU",IF(OR(LEFT($G666,3)="111",LEFT($G666,3)="112",LEFT($G666,3)="113"),"CHI",""))))</f>
        <v/>
      </c>
      <c r="N666" s="117">
        <f>IF($M666="THU",$G666,IF($M666="CHI",$F666,""))</f>
        <v/>
      </c>
      <c r="O666" s="117">
        <f>IF(OR($M666="",$M666="NB"),"",IF($J666&lt;&gt;"",TEXT($J666,"00"),IFERROR(VLOOKUP(LEFT($N666,4),LCTT_MAP!$A$7:$C$66,IF($M666="THU",2,3),FALSE()),IFERROR(VLOOKUP(LEFT($N666,3),LCTT_MAP!$A$7:$C$66,IF($M666="THU",2,3),FALSE()),IFERROR(VLOOKUP(LEFT($N666,2),LCTT_MAP!$A$7:$C$66,IF($M666="THU",2,3),FALSE()),IFERROR(VLOOKUP(LEFT($N666,1),LCTT_MAP!$A$7:$C$66,IF($M666="THU",2,3),FALSE()),IF($M666="THU","06","07")))))))</f>
        <v/>
      </c>
      <c r="P666" s="117">
        <f>P665+IF(AND($H666&lt;&gt;"",OR(LEFT($F666,LEN(SC_TK))=SC_TK,LEFT($G666,LEN(SC_TK))=SC_TK)),1,0)</f>
        <v/>
      </c>
    </row>
    <row r="667" ht="15" customHeight="1" s="78">
      <c r="A667" s="95">
        <f>IF($H667="","",ROW()-6)</f>
        <v/>
      </c>
      <c r="B667" s="114" t="n"/>
      <c r="C667" s="102" t="n"/>
      <c r="D667" s="114" t="n"/>
      <c r="E667" s="103" t="n"/>
      <c r="F667" s="102" t="n"/>
      <c r="G667" s="102" t="n"/>
      <c r="H667" s="115" t="n"/>
      <c r="I667" s="102" t="n"/>
      <c r="J667" s="102" t="n"/>
      <c r="K667" s="103" t="n"/>
      <c r="L667" s="116">
        <f>IF($H667="","",TRIM(IF(COUNTIF(DMTK!$A$7:$A$250,$F667)=0,"TK Nợ sai! ","")&amp;IF(COUNTIF(DMTK!$A$7:$A$250,$G667)=0,"TK Có sai! ","")&amp;IF(N($H667)&lt;=0,"Tiền phải &gt; 0! ","")&amp;IF($B667="","Thiếu ngày! ","")&amp;IF(AND(OR(LEFT($F667,3)="131",LEFT($G667,3)="131",LEFT($F667,3)="331",LEFT($G667,3)="331"),$I667=""),"Thiếu Mã ĐT! ","")&amp;IF(AND($I667&lt;&gt;"",COUNTIF(DM_DT!$A$7:$A$306,$I667)=0),"Mã ĐT chưa khai báo! ","")))</f>
        <v/>
      </c>
      <c r="M667" s="117">
        <f>IF($H667="","",IF(AND(OR(LEFT($F667,3)="111",LEFT($F667,3)="112",LEFT($F667,3)="113"),OR(LEFT($G667,3)="111",LEFT($G667,3)="112",LEFT($G667,3)="113")),"NB",IF(OR(LEFT($F667,3)="111",LEFT($F667,3)="112",LEFT($F667,3)="113"),"THU",IF(OR(LEFT($G667,3)="111",LEFT($G667,3)="112",LEFT($G667,3)="113"),"CHI",""))))</f>
        <v/>
      </c>
      <c r="N667" s="117">
        <f>IF($M667="THU",$G667,IF($M667="CHI",$F667,""))</f>
        <v/>
      </c>
      <c r="O667" s="117">
        <f>IF(OR($M667="",$M667="NB"),"",IF($J667&lt;&gt;"",TEXT($J667,"00"),IFERROR(VLOOKUP(LEFT($N667,4),LCTT_MAP!$A$7:$C$66,IF($M667="THU",2,3),FALSE()),IFERROR(VLOOKUP(LEFT($N667,3),LCTT_MAP!$A$7:$C$66,IF($M667="THU",2,3),FALSE()),IFERROR(VLOOKUP(LEFT($N667,2),LCTT_MAP!$A$7:$C$66,IF($M667="THU",2,3),FALSE()),IFERROR(VLOOKUP(LEFT($N667,1),LCTT_MAP!$A$7:$C$66,IF($M667="THU",2,3),FALSE()),IF($M667="THU","06","07")))))))</f>
        <v/>
      </c>
      <c r="P667" s="117">
        <f>P666+IF(AND($H667&lt;&gt;"",OR(LEFT($F667,LEN(SC_TK))=SC_TK,LEFT($G667,LEN(SC_TK))=SC_TK)),1,0)</f>
        <v/>
      </c>
    </row>
    <row r="668" ht="15" customHeight="1" s="78">
      <c r="A668" s="95">
        <f>IF($H668="","",ROW()-6)</f>
        <v/>
      </c>
      <c r="B668" s="114" t="n"/>
      <c r="C668" s="102" t="n"/>
      <c r="D668" s="114" t="n"/>
      <c r="E668" s="103" t="n"/>
      <c r="F668" s="102" t="n"/>
      <c r="G668" s="102" t="n"/>
      <c r="H668" s="115" t="n"/>
      <c r="I668" s="102" t="n"/>
      <c r="J668" s="102" t="n"/>
      <c r="K668" s="103" t="n"/>
      <c r="L668" s="116">
        <f>IF($H668="","",TRIM(IF(COUNTIF(DMTK!$A$7:$A$250,$F668)=0,"TK Nợ sai! ","")&amp;IF(COUNTIF(DMTK!$A$7:$A$250,$G668)=0,"TK Có sai! ","")&amp;IF(N($H668)&lt;=0,"Tiền phải &gt; 0! ","")&amp;IF($B668="","Thiếu ngày! ","")&amp;IF(AND(OR(LEFT($F668,3)="131",LEFT($G668,3)="131",LEFT($F668,3)="331",LEFT($G668,3)="331"),$I668=""),"Thiếu Mã ĐT! ","")&amp;IF(AND($I668&lt;&gt;"",COUNTIF(DM_DT!$A$7:$A$306,$I668)=0),"Mã ĐT chưa khai báo! ","")))</f>
        <v/>
      </c>
      <c r="M668" s="117">
        <f>IF($H668="","",IF(AND(OR(LEFT($F668,3)="111",LEFT($F668,3)="112",LEFT($F668,3)="113"),OR(LEFT($G668,3)="111",LEFT($G668,3)="112",LEFT($G668,3)="113")),"NB",IF(OR(LEFT($F668,3)="111",LEFT($F668,3)="112",LEFT($F668,3)="113"),"THU",IF(OR(LEFT($G668,3)="111",LEFT($G668,3)="112",LEFT($G668,3)="113"),"CHI",""))))</f>
        <v/>
      </c>
      <c r="N668" s="117">
        <f>IF($M668="THU",$G668,IF($M668="CHI",$F668,""))</f>
        <v/>
      </c>
      <c r="O668" s="117">
        <f>IF(OR($M668="",$M668="NB"),"",IF($J668&lt;&gt;"",TEXT($J668,"00"),IFERROR(VLOOKUP(LEFT($N668,4),LCTT_MAP!$A$7:$C$66,IF($M668="THU",2,3),FALSE()),IFERROR(VLOOKUP(LEFT($N668,3),LCTT_MAP!$A$7:$C$66,IF($M668="THU",2,3),FALSE()),IFERROR(VLOOKUP(LEFT($N668,2),LCTT_MAP!$A$7:$C$66,IF($M668="THU",2,3),FALSE()),IFERROR(VLOOKUP(LEFT($N668,1),LCTT_MAP!$A$7:$C$66,IF($M668="THU",2,3),FALSE()),IF($M668="THU","06","07")))))))</f>
        <v/>
      </c>
      <c r="P668" s="117">
        <f>P667+IF(AND($H668&lt;&gt;"",OR(LEFT($F668,LEN(SC_TK))=SC_TK,LEFT($G668,LEN(SC_TK))=SC_TK)),1,0)</f>
        <v/>
      </c>
    </row>
    <row r="669" ht="15" customHeight="1" s="78">
      <c r="A669" s="95">
        <f>IF($H669="","",ROW()-6)</f>
        <v/>
      </c>
      <c r="B669" s="114" t="n"/>
      <c r="C669" s="102" t="n"/>
      <c r="D669" s="114" t="n"/>
      <c r="E669" s="103" t="n"/>
      <c r="F669" s="102" t="n"/>
      <c r="G669" s="102" t="n"/>
      <c r="H669" s="115" t="n"/>
      <c r="I669" s="102" t="n"/>
      <c r="J669" s="102" t="n"/>
      <c r="K669" s="103" t="n"/>
      <c r="L669" s="116">
        <f>IF($H669="","",TRIM(IF(COUNTIF(DMTK!$A$7:$A$250,$F669)=0,"TK Nợ sai! ","")&amp;IF(COUNTIF(DMTK!$A$7:$A$250,$G669)=0,"TK Có sai! ","")&amp;IF(N($H669)&lt;=0,"Tiền phải &gt; 0! ","")&amp;IF($B669="","Thiếu ngày! ","")&amp;IF(AND(OR(LEFT($F669,3)="131",LEFT($G669,3)="131",LEFT($F669,3)="331",LEFT($G669,3)="331"),$I669=""),"Thiếu Mã ĐT! ","")&amp;IF(AND($I669&lt;&gt;"",COUNTIF(DM_DT!$A$7:$A$306,$I669)=0),"Mã ĐT chưa khai báo! ","")))</f>
        <v/>
      </c>
      <c r="M669" s="117">
        <f>IF($H669="","",IF(AND(OR(LEFT($F669,3)="111",LEFT($F669,3)="112",LEFT($F669,3)="113"),OR(LEFT($G669,3)="111",LEFT($G669,3)="112",LEFT($G669,3)="113")),"NB",IF(OR(LEFT($F669,3)="111",LEFT($F669,3)="112",LEFT($F669,3)="113"),"THU",IF(OR(LEFT($G669,3)="111",LEFT($G669,3)="112",LEFT($G669,3)="113"),"CHI",""))))</f>
        <v/>
      </c>
      <c r="N669" s="117">
        <f>IF($M669="THU",$G669,IF($M669="CHI",$F669,""))</f>
        <v/>
      </c>
      <c r="O669" s="117">
        <f>IF(OR($M669="",$M669="NB"),"",IF($J669&lt;&gt;"",TEXT($J669,"00"),IFERROR(VLOOKUP(LEFT($N669,4),LCTT_MAP!$A$7:$C$66,IF($M669="THU",2,3),FALSE()),IFERROR(VLOOKUP(LEFT($N669,3),LCTT_MAP!$A$7:$C$66,IF($M669="THU",2,3),FALSE()),IFERROR(VLOOKUP(LEFT($N669,2),LCTT_MAP!$A$7:$C$66,IF($M669="THU",2,3),FALSE()),IFERROR(VLOOKUP(LEFT($N669,1),LCTT_MAP!$A$7:$C$66,IF($M669="THU",2,3),FALSE()),IF($M669="THU","06","07")))))))</f>
        <v/>
      </c>
      <c r="P669" s="117">
        <f>P668+IF(AND($H669&lt;&gt;"",OR(LEFT($F669,LEN(SC_TK))=SC_TK,LEFT($G669,LEN(SC_TK))=SC_TK)),1,0)</f>
        <v/>
      </c>
    </row>
    <row r="670" ht="15" customHeight="1" s="78">
      <c r="A670" s="95">
        <f>IF($H670="","",ROW()-6)</f>
        <v/>
      </c>
      <c r="B670" s="114" t="n"/>
      <c r="C670" s="102" t="n"/>
      <c r="D670" s="114" t="n"/>
      <c r="E670" s="103" t="n"/>
      <c r="F670" s="102" t="n"/>
      <c r="G670" s="102" t="n"/>
      <c r="H670" s="115" t="n"/>
      <c r="I670" s="102" t="n"/>
      <c r="J670" s="102" t="n"/>
      <c r="K670" s="103" t="n"/>
      <c r="L670" s="116">
        <f>IF($H670="","",TRIM(IF(COUNTIF(DMTK!$A$7:$A$250,$F670)=0,"TK Nợ sai! ","")&amp;IF(COUNTIF(DMTK!$A$7:$A$250,$G670)=0,"TK Có sai! ","")&amp;IF(N($H670)&lt;=0,"Tiền phải &gt; 0! ","")&amp;IF($B670="","Thiếu ngày! ","")&amp;IF(AND(OR(LEFT($F670,3)="131",LEFT($G670,3)="131",LEFT($F670,3)="331",LEFT($G670,3)="331"),$I670=""),"Thiếu Mã ĐT! ","")&amp;IF(AND($I670&lt;&gt;"",COUNTIF(DM_DT!$A$7:$A$306,$I670)=0),"Mã ĐT chưa khai báo! ","")))</f>
        <v/>
      </c>
      <c r="M670" s="117">
        <f>IF($H670="","",IF(AND(OR(LEFT($F670,3)="111",LEFT($F670,3)="112",LEFT($F670,3)="113"),OR(LEFT($G670,3)="111",LEFT($G670,3)="112",LEFT($G670,3)="113")),"NB",IF(OR(LEFT($F670,3)="111",LEFT($F670,3)="112",LEFT($F670,3)="113"),"THU",IF(OR(LEFT($G670,3)="111",LEFT($G670,3)="112",LEFT($G670,3)="113"),"CHI",""))))</f>
        <v/>
      </c>
      <c r="N670" s="117">
        <f>IF($M670="THU",$G670,IF($M670="CHI",$F670,""))</f>
        <v/>
      </c>
      <c r="O670" s="117">
        <f>IF(OR($M670="",$M670="NB"),"",IF($J670&lt;&gt;"",TEXT($J670,"00"),IFERROR(VLOOKUP(LEFT($N670,4),LCTT_MAP!$A$7:$C$66,IF($M670="THU",2,3),FALSE()),IFERROR(VLOOKUP(LEFT($N670,3),LCTT_MAP!$A$7:$C$66,IF($M670="THU",2,3),FALSE()),IFERROR(VLOOKUP(LEFT($N670,2),LCTT_MAP!$A$7:$C$66,IF($M670="THU",2,3),FALSE()),IFERROR(VLOOKUP(LEFT($N670,1),LCTT_MAP!$A$7:$C$66,IF($M670="THU",2,3),FALSE()),IF($M670="THU","06","07")))))))</f>
        <v/>
      </c>
      <c r="P670" s="117">
        <f>P669+IF(AND($H670&lt;&gt;"",OR(LEFT($F670,LEN(SC_TK))=SC_TK,LEFT($G670,LEN(SC_TK))=SC_TK)),1,0)</f>
        <v/>
      </c>
    </row>
    <row r="671" ht="15" customHeight="1" s="78">
      <c r="A671" s="95">
        <f>IF($H671="","",ROW()-6)</f>
        <v/>
      </c>
      <c r="B671" s="114" t="n"/>
      <c r="C671" s="102" t="n"/>
      <c r="D671" s="114" t="n"/>
      <c r="E671" s="103" t="n"/>
      <c r="F671" s="102" t="n"/>
      <c r="G671" s="102" t="n"/>
      <c r="H671" s="115" t="n"/>
      <c r="I671" s="102" t="n"/>
      <c r="J671" s="102" t="n"/>
      <c r="K671" s="103" t="n"/>
      <c r="L671" s="116">
        <f>IF($H671="","",TRIM(IF(COUNTIF(DMTK!$A$7:$A$250,$F671)=0,"TK Nợ sai! ","")&amp;IF(COUNTIF(DMTK!$A$7:$A$250,$G671)=0,"TK Có sai! ","")&amp;IF(N($H671)&lt;=0,"Tiền phải &gt; 0! ","")&amp;IF($B671="","Thiếu ngày! ","")&amp;IF(AND(OR(LEFT($F671,3)="131",LEFT($G671,3)="131",LEFT($F671,3)="331",LEFT($G671,3)="331"),$I671=""),"Thiếu Mã ĐT! ","")&amp;IF(AND($I671&lt;&gt;"",COUNTIF(DM_DT!$A$7:$A$306,$I671)=0),"Mã ĐT chưa khai báo! ","")))</f>
        <v/>
      </c>
      <c r="M671" s="117">
        <f>IF($H671="","",IF(AND(OR(LEFT($F671,3)="111",LEFT($F671,3)="112",LEFT($F671,3)="113"),OR(LEFT($G671,3)="111",LEFT($G671,3)="112",LEFT($G671,3)="113")),"NB",IF(OR(LEFT($F671,3)="111",LEFT($F671,3)="112",LEFT($F671,3)="113"),"THU",IF(OR(LEFT($G671,3)="111",LEFT($G671,3)="112",LEFT($G671,3)="113"),"CHI",""))))</f>
        <v/>
      </c>
      <c r="N671" s="117">
        <f>IF($M671="THU",$G671,IF($M671="CHI",$F671,""))</f>
        <v/>
      </c>
      <c r="O671" s="117">
        <f>IF(OR($M671="",$M671="NB"),"",IF($J671&lt;&gt;"",TEXT($J671,"00"),IFERROR(VLOOKUP(LEFT($N671,4),LCTT_MAP!$A$7:$C$66,IF($M671="THU",2,3),FALSE()),IFERROR(VLOOKUP(LEFT($N671,3),LCTT_MAP!$A$7:$C$66,IF($M671="THU",2,3),FALSE()),IFERROR(VLOOKUP(LEFT($N671,2),LCTT_MAP!$A$7:$C$66,IF($M671="THU",2,3),FALSE()),IFERROR(VLOOKUP(LEFT($N671,1),LCTT_MAP!$A$7:$C$66,IF($M671="THU",2,3),FALSE()),IF($M671="THU","06","07")))))))</f>
        <v/>
      </c>
      <c r="P671" s="117">
        <f>P670+IF(AND($H671&lt;&gt;"",OR(LEFT($F671,LEN(SC_TK))=SC_TK,LEFT($G671,LEN(SC_TK))=SC_TK)),1,0)</f>
        <v/>
      </c>
    </row>
    <row r="672" ht="15" customHeight="1" s="78">
      <c r="A672" s="95">
        <f>IF($H672="","",ROW()-6)</f>
        <v/>
      </c>
      <c r="B672" s="114" t="n"/>
      <c r="C672" s="102" t="n"/>
      <c r="D672" s="114" t="n"/>
      <c r="E672" s="103" t="n"/>
      <c r="F672" s="102" t="n"/>
      <c r="G672" s="102" t="n"/>
      <c r="H672" s="115" t="n"/>
      <c r="I672" s="102" t="n"/>
      <c r="J672" s="102" t="n"/>
      <c r="K672" s="103" t="n"/>
      <c r="L672" s="116">
        <f>IF($H672="","",TRIM(IF(COUNTIF(DMTK!$A$7:$A$250,$F672)=0,"TK Nợ sai! ","")&amp;IF(COUNTIF(DMTK!$A$7:$A$250,$G672)=0,"TK Có sai! ","")&amp;IF(N($H672)&lt;=0,"Tiền phải &gt; 0! ","")&amp;IF($B672="","Thiếu ngày! ","")&amp;IF(AND(OR(LEFT($F672,3)="131",LEFT($G672,3)="131",LEFT($F672,3)="331",LEFT($G672,3)="331"),$I672=""),"Thiếu Mã ĐT! ","")&amp;IF(AND($I672&lt;&gt;"",COUNTIF(DM_DT!$A$7:$A$306,$I672)=0),"Mã ĐT chưa khai báo! ","")))</f>
        <v/>
      </c>
      <c r="M672" s="117">
        <f>IF($H672="","",IF(AND(OR(LEFT($F672,3)="111",LEFT($F672,3)="112",LEFT($F672,3)="113"),OR(LEFT($G672,3)="111",LEFT($G672,3)="112",LEFT($G672,3)="113")),"NB",IF(OR(LEFT($F672,3)="111",LEFT($F672,3)="112",LEFT($F672,3)="113"),"THU",IF(OR(LEFT($G672,3)="111",LEFT($G672,3)="112",LEFT($G672,3)="113"),"CHI",""))))</f>
        <v/>
      </c>
      <c r="N672" s="117">
        <f>IF($M672="THU",$G672,IF($M672="CHI",$F672,""))</f>
        <v/>
      </c>
      <c r="O672" s="117">
        <f>IF(OR($M672="",$M672="NB"),"",IF($J672&lt;&gt;"",TEXT($J672,"00"),IFERROR(VLOOKUP(LEFT($N672,4),LCTT_MAP!$A$7:$C$66,IF($M672="THU",2,3),FALSE()),IFERROR(VLOOKUP(LEFT($N672,3),LCTT_MAP!$A$7:$C$66,IF($M672="THU",2,3),FALSE()),IFERROR(VLOOKUP(LEFT($N672,2),LCTT_MAP!$A$7:$C$66,IF($M672="THU",2,3),FALSE()),IFERROR(VLOOKUP(LEFT($N672,1),LCTT_MAP!$A$7:$C$66,IF($M672="THU",2,3),FALSE()),IF($M672="THU","06","07")))))))</f>
        <v/>
      </c>
      <c r="P672" s="117">
        <f>P671+IF(AND($H672&lt;&gt;"",OR(LEFT($F672,LEN(SC_TK))=SC_TK,LEFT($G672,LEN(SC_TK))=SC_TK)),1,0)</f>
        <v/>
      </c>
    </row>
    <row r="673" ht="15" customHeight="1" s="78">
      <c r="A673" s="95">
        <f>IF($H673="","",ROW()-6)</f>
        <v/>
      </c>
      <c r="B673" s="114" t="n"/>
      <c r="C673" s="102" t="n"/>
      <c r="D673" s="114" t="n"/>
      <c r="E673" s="103" t="n"/>
      <c r="F673" s="102" t="n"/>
      <c r="G673" s="102" t="n"/>
      <c r="H673" s="115" t="n"/>
      <c r="I673" s="102" t="n"/>
      <c r="J673" s="102" t="n"/>
      <c r="K673" s="103" t="n"/>
      <c r="L673" s="116">
        <f>IF($H673="","",TRIM(IF(COUNTIF(DMTK!$A$7:$A$250,$F673)=0,"TK Nợ sai! ","")&amp;IF(COUNTIF(DMTK!$A$7:$A$250,$G673)=0,"TK Có sai! ","")&amp;IF(N($H673)&lt;=0,"Tiền phải &gt; 0! ","")&amp;IF($B673="","Thiếu ngày! ","")&amp;IF(AND(OR(LEFT($F673,3)="131",LEFT($G673,3)="131",LEFT($F673,3)="331",LEFT($G673,3)="331"),$I673=""),"Thiếu Mã ĐT! ","")&amp;IF(AND($I673&lt;&gt;"",COUNTIF(DM_DT!$A$7:$A$306,$I673)=0),"Mã ĐT chưa khai báo! ","")))</f>
        <v/>
      </c>
      <c r="M673" s="117">
        <f>IF($H673="","",IF(AND(OR(LEFT($F673,3)="111",LEFT($F673,3)="112",LEFT($F673,3)="113"),OR(LEFT($G673,3)="111",LEFT($G673,3)="112",LEFT($G673,3)="113")),"NB",IF(OR(LEFT($F673,3)="111",LEFT($F673,3)="112",LEFT($F673,3)="113"),"THU",IF(OR(LEFT($G673,3)="111",LEFT($G673,3)="112",LEFT($G673,3)="113"),"CHI",""))))</f>
        <v/>
      </c>
      <c r="N673" s="117">
        <f>IF($M673="THU",$G673,IF($M673="CHI",$F673,""))</f>
        <v/>
      </c>
      <c r="O673" s="117">
        <f>IF(OR($M673="",$M673="NB"),"",IF($J673&lt;&gt;"",TEXT($J673,"00"),IFERROR(VLOOKUP(LEFT($N673,4),LCTT_MAP!$A$7:$C$66,IF($M673="THU",2,3),FALSE()),IFERROR(VLOOKUP(LEFT($N673,3),LCTT_MAP!$A$7:$C$66,IF($M673="THU",2,3),FALSE()),IFERROR(VLOOKUP(LEFT($N673,2),LCTT_MAP!$A$7:$C$66,IF($M673="THU",2,3),FALSE()),IFERROR(VLOOKUP(LEFT($N673,1),LCTT_MAP!$A$7:$C$66,IF($M673="THU",2,3),FALSE()),IF($M673="THU","06","07")))))))</f>
        <v/>
      </c>
      <c r="P673" s="117">
        <f>P672+IF(AND($H673&lt;&gt;"",OR(LEFT($F673,LEN(SC_TK))=SC_TK,LEFT($G673,LEN(SC_TK))=SC_TK)),1,0)</f>
        <v/>
      </c>
    </row>
    <row r="674" ht="15" customHeight="1" s="78">
      <c r="A674" s="95">
        <f>IF($H674="","",ROW()-6)</f>
        <v/>
      </c>
      <c r="B674" s="114" t="n"/>
      <c r="C674" s="102" t="n"/>
      <c r="D674" s="114" t="n"/>
      <c r="E674" s="103" t="n"/>
      <c r="F674" s="102" t="n"/>
      <c r="G674" s="102" t="n"/>
      <c r="H674" s="115" t="n"/>
      <c r="I674" s="102" t="n"/>
      <c r="J674" s="102" t="n"/>
      <c r="K674" s="103" t="n"/>
      <c r="L674" s="116">
        <f>IF($H674="","",TRIM(IF(COUNTIF(DMTK!$A$7:$A$250,$F674)=0,"TK Nợ sai! ","")&amp;IF(COUNTIF(DMTK!$A$7:$A$250,$G674)=0,"TK Có sai! ","")&amp;IF(N($H674)&lt;=0,"Tiền phải &gt; 0! ","")&amp;IF($B674="","Thiếu ngày! ","")&amp;IF(AND(OR(LEFT($F674,3)="131",LEFT($G674,3)="131",LEFT($F674,3)="331",LEFT($G674,3)="331"),$I674=""),"Thiếu Mã ĐT! ","")&amp;IF(AND($I674&lt;&gt;"",COUNTIF(DM_DT!$A$7:$A$306,$I674)=0),"Mã ĐT chưa khai báo! ","")))</f>
        <v/>
      </c>
      <c r="M674" s="117">
        <f>IF($H674="","",IF(AND(OR(LEFT($F674,3)="111",LEFT($F674,3)="112",LEFT($F674,3)="113"),OR(LEFT($G674,3)="111",LEFT($G674,3)="112",LEFT($G674,3)="113")),"NB",IF(OR(LEFT($F674,3)="111",LEFT($F674,3)="112",LEFT($F674,3)="113"),"THU",IF(OR(LEFT($G674,3)="111",LEFT($G674,3)="112",LEFT($G674,3)="113"),"CHI",""))))</f>
        <v/>
      </c>
      <c r="N674" s="117">
        <f>IF($M674="THU",$G674,IF($M674="CHI",$F674,""))</f>
        <v/>
      </c>
      <c r="O674" s="117">
        <f>IF(OR($M674="",$M674="NB"),"",IF($J674&lt;&gt;"",TEXT($J674,"00"),IFERROR(VLOOKUP(LEFT($N674,4),LCTT_MAP!$A$7:$C$66,IF($M674="THU",2,3),FALSE()),IFERROR(VLOOKUP(LEFT($N674,3),LCTT_MAP!$A$7:$C$66,IF($M674="THU",2,3),FALSE()),IFERROR(VLOOKUP(LEFT($N674,2),LCTT_MAP!$A$7:$C$66,IF($M674="THU",2,3),FALSE()),IFERROR(VLOOKUP(LEFT($N674,1),LCTT_MAP!$A$7:$C$66,IF($M674="THU",2,3),FALSE()),IF($M674="THU","06","07")))))))</f>
        <v/>
      </c>
      <c r="P674" s="117">
        <f>P673+IF(AND($H674&lt;&gt;"",OR(LEFT($F674,LEN(SC_TK))=SC_TK,LEFT($G674,LEN(SC_TK))=SC_TK)),1,0)</f>
        <v/>
      </c>
    </row>
    <row r="675" ht="15" customHeight="1" s="78">
      <c r="A675" s="95">
        <f>IF($H675="","",ROW()-6)</f>
        <v/>
      </c>
      <c r="B675" s="114" t="n"/>
      <c r="C675" s="102" t="n"/>
      <c r="D675" s="114" t="n"/>
      <c r="E675" s="103" t="n"/>
      <c r="F675" s="102" t="n"/>
      <c r="G675" s="102" t="n"/>
      <c r="H675" s="115" t="n"/>
      <c r="I675" s="102" t="n"/>
      <c r="J675" s="102" t="n"/>
      <c r="K675" s="103" t="n"/>
      <c r="L675" s="116">
        <f>IF($H675="","",TRIM(IF(COUNTIF(DMTK!$A$7:$A$250,$F675)=0,"TK Nợ sai! ","")&amp;IF(COUNTIF(DMTK!$A$7:$A$250,$G675)=0,"TK Có sai! ","")&amp;IF(N($H675)&lt;=0,"Tiền phải &gt; 0! ","")&amp;IF($B675="","Thiếu ngày! ","")&amp;IF(AND(OR(LEFT($F675,3)="131",LEFT($G675,3)="131",LEFT($F675,3)="331",LEFT($G675,3)="331"),$I675=""),"Thiếu Mã ĐT! ","")&amp;IF(AND($I675&lt;&gt;"",COUNTIF(DM_DT!$A$7:$A$306,$I675)=0),"Mã ĐT chưa khai báo! ","")))</f>
        <v/>
      </c>
      <c r="M675" s="117">
        <f>IF($H675="","",IF(AND(OR(LEFT($F675,3)="111",LEFT($F675,3)="112",LEFT($F675,3)="113"),OR(LEFT($G675,3)="111",LEFT($G675,3)="112",LEFT($G675,3)="113")),"NB",IF(OR(LEFT($F675,3)="111",LEFT($F675,3)="112",LEFT($F675,3)="113"),"THU",IF(OR(LEFT($G675,3)="111",LEFT($G675,3)="112",LEFT($G675,3)="113"),"CHI",""))))</f>
        <v/>
      </c>
      <c r="N675" s="117">
        <f>IF($M675="THU",$G675,IF($M675="CHI",$F675,""))</f>
        <v/>
      </c>
      <c r="O675" s="117">
        <f>IF(OR($M675="",$M675="NB"),"",IF($J675&lt;&gt;"",TEXT($J675,"00"),IFERROR(VLOOKUP(LEFT($N675,4),LCTT_MAP!$A$7:$C$66,IF($M675="THU",2,3),FALSE()),IFERROR(VLOOKUP(LEFT($N675,3),LCTT_MAP!$A$7:$C$66,IF($M675="THU",2,3),FALSE()),IFERROR(VLOOKUP(LEFT($N675,2),LCTT_MAP!$A$7:$C$66,IF($M675="THU",2,3),FALSE()),IFERROR(VLOOKUP(LEFT($N675,1),LCTT_MAP!$A$7:$C$66,IF($M675="THU",2,3),FALSE()),IF($M675="THU","06","07")))))))</f>
        <v/>
      </c>
      <c r="P675" s="117">
        <f>P674+IF(AND($H675&lt;&gt;"",OR(LEFT($F675,LEN(SC_TK))=SC_TK,LEFT($G675,LEN(SC_TK))=SC_TK)),1,0)</f>
        <v/>
      </c>
    </row>
    <row r="676" ht="15" customHeight="1" s="78">
      <c r="A676" s="95">
        <f>IF($H676="","",ROW()-6)</f>
        <v/>
      </c>
      <c r="B676" s="114" t="n"/>
      <c r="C676" s="102" t="n"/>
      <c r="D676" s="114" t="n"/>
      <c r="E676" s="103" t="n"/>
      <c r="F676" s="102" t="n"/>
      <c r="G676" s="102" t="n"/>
      <c r="H676" s="115" t="n"/>
      <c r="I676" s="102" t="n"/>
      <c r="J676" s="102" t="n"/>
      <c r="K676" s="103" t="n"/>
      <c r="L676" s="116">
        <f>IF($H676="","",TRIM(IF(COUNTIF(DMTK!$A$7:$A$250,$F676)=0,"TK Nợ sai! ","")&amp;IF(COUNTIF(DMTK!$A$7:$A$250,$G676)=0,"TK Có sai! ","")&amp;IF(N($H676)&lt;=0,"Tiền phải &gt; 0! ","")&amp;IF($B676="","Thiếu ngày! ","")&amp;IF(AND(OR(LEFT($F676,3)="131",LEFT($G676,3)="131",LEFT($F676,3)="331",LEFT($G676,3)="331"),$I676=""),"Thiếu Mã ĐT! ","")&amp;IF(AND($I676&lt;&gt;"",COUNTIF(DM_DT!$A$7:$A$306,$I676)=0),"Mã ĐT chưa khai báo! ","")))</f>
        <v/>
      </c>
      <c r="M676" s="117">
        <f>IF($H676="","",IF(AND(OR(LEFT($F676,3)="111",LEFT($F676,3)="112",LEFT($F676,3)="113"),OR(LEFT($G676,3)="111",LEFT($G676,3)="112",LEFT($G676,3)="113")),"NB",IF(OR(LEFT($F676,3)="111",LEFT($F676,3)="112",LEFT($F676,3)="113"),"THU",IF(OR(LEFT($G676,3)="111",LEFT($G676,3)="112",LEFT($G676,3)="113"),"CHI",""))))</f>
        <v/>
      </c>
      <c r="N676" s="117">
        <f>IF($M676="THU",$G676,IF($M676="CHI",$F676,""))</f>
        <v/>
      </c>
      <c r="O676" s="117">
        <f>IF(OR($M676="",$M676="NB"),"",IF($J676&lt;&gt;"",TEXT($J676,"00"),IFERROR(VLOOKUP(LEFT($N676,4),LCTT_MAP!$A$7:$C$66,IF($M676="THU",2,3),FALSE()),IFERROR(VLOOKUP(LEFT($N676,3),LCTT_MAP!$A$7:$C$66,IF($M676="THU",2,3),FALSE()),IFERROR(VLOOKUP(LEFT($N676,2),LCTT_MAP!$A$7:$C$66,IF($M676="THU",2,3),FALSE()),IFERROR(VLOOKUP(LEFT($N676,1),LCTT_MAP!$A$7:$C$66,IF($M676="THU",2,3),FALSE()),IF($M676="THU","06","07")))))))</f>
        <v/>
      </c>
      <c r="P676" s="117">
        <f>P675+IF(AND($H676&lt;&gt;"",OR(LEFT($F676,LEN(SC_TK))=SC_TK,LEFT($G676,LEN(SC_TK))=SC_TK)),1,0)</f>
        <v/>
      </c>
    </row>
    <row r="677" ht="15" customHeight="1" s="78">
      <c r="A677" s="95">
        <f>IF($H677="","",ROW()-6)</f>
        <v/>
      </c>
      <c r="B677" s="114" t="n"/>
      <c r="C677" s="102" t="n"/>
      <c r="D677" s="114" t="n"/>
      <c r="E677" s="103" t="n"/>
      <c r="F677" s="102" t="n"/>
      <c r="G677" s="102" t="n"/>
      <c r="H677" s="115" t="n"/>
      <c r="I677" s="102" t="n"/>
      <c r="J677" s="102" t="n"/>
      <c r="K677" s="103" t="n"/>
      <c r="L677" s="116">
        <f>IF($H677="","",TRIM(IF(COUNTIF(DMTK!$A$7:$A$250,$F677)=0,"TK Nợ sai! ","")&amp;IF(COUNTIF(DMTK!$A$7:$A$250,$G677)=0,"TK Có sai! ","")&amp;IF(N($H677)&lt;=0,"Tiền phải &gt; 0! ","")&amp;IF($B677="","Thiếu ngày! ","")&amp;IF(AND(OR(LEFT($F677,3)="131",LEFT($G677,3)="131",LEFT($F677,3)="331",LEFT($G677,3)="331"),$I677=""),"Thiếu Mã ĐT! ","")&amp;IF(AND($I677&lt;&gt;"",COUNTIF(DM_DT!$A$7:$A$306,$I677)=0),"Mã ĐT chưa khai báo! ","")))</f>
        <v/>
      </c>
      <c r="M677" s="117">
        <f>IF($H677="","",IF(AND(OR(LEFT($F677,3)="111",LEFT($F677,3)="112",LEFT($F677,3)="113"),OR(LEFT($G677,3)="111",LEFT($G677,3)="112",LEFT($G677,3)="113")),"NB",IF(OR(LEFT($F677,3)="111",LEFT($F677,3)="112",LEFT($F677,3)="113"),"THU",IF(OR(LEFT($G677,3)="111",LEFT($G677,3)="112",LEFT($G677,3)="113"),"CHI",""))))</f>
        <v/>
      </c>
      <c r="N677" s="117">
        <f>IF($M677="THU",$G677,IF($M677="CHI",$F677,""))</f>
        <v/>
      </c>
      <c r="O677" s="117">
        <f>IF(OR($M677="",$M677="NB"),"",IF($J677&lt;&gt;"",TEXT($J677,"00"),IFERROR(VLOOKUP(LEFT($N677,4),LCTT_MAP!$A$7:$C$66,IF($M677="THU",2,3),FALSE()),IFERROR(VLOOKUP(LEFT($N677,3),LCTT_MAP!$A$7:$C$66,IF($M677="THU",2,3),FALSE()),IFERROR(VLOOKUP(LEFT($N677,2),LCTT_MAP!$A$7:$C$66,IF($M677="THU",2,3),FALSE()),IFERROR(VLOOKUP(LEFT($N677,1),LCTT_MAP!$A$7:$C$66,IF($M677="THU",2,3),FALSE()),IF($M677="THU","06","07")))))))</f>
        <v/>
      </c>
      <c r="P677" s="117">
        <f>P676+IF(AND($H677&lt;&gt;"",OR(LEFT($F677,LEN(SC_TK))=SC_TK,LEFT($G677,LEN(SC_TK))=SC_TK)),1,0)</f>
        <v/>
      </c>
    </row>
    <row r="678" ht="15" customHeight="1" s="78">
      <c r="A678" s="95">
        <f>IF($H678="","",ROW()-6)</f>
        <v/>
      </c>
      <c r="B678" s="114" t="n"/>
      <c r="C678" s="102" t="n"/>
      <c r="D678" s="114" t="n"/>
      <c r="E678" s="103" t="n"/>
      <c r="F678" s="102" t="n"/>
      <c r="G678" s="102" t="n"/>
      <c r="H678" s="115" t="n"/>
      <c r="I678" s="102" t="n"/>
      <c r="J678" s="102" t="n"/>
      <c r="K678" s="103" t="n"/>
      <c r="L678" s="116">
        <f>IF($H678="","",TRIM(IF(COUNTIF(DMTK!$A$7:$A$250,$F678)=0,"TK Nợ sai! ","")&amp;IF(COUNTIF(DMTK!$A$7:$A$250,$G678)=0,"TK Có sai! ","")&amp;IF(N($H678)&lt;=0,"Tiền phải &gt; 0! ","")&amp;IF($B678="","Thiếu ngày! ","")&amp;IF(AND(OR(LEFT($F678,3)="131",LEFT($G678,3)="131",LEFT($F678,3)="331",LEFT($G678,3)="331"),$I678=""),"Thiếu Mã ĐT! ","")&amp;IF(AND($I678&lt;&gt;"",COUNTIF(DM_DT!$A$7:$A$306,$I678)=0),"Mã ĐT chưa khai báo! ","")))</f>
        <v/>
      </c>
      <c r="M678" s="117">
        <f>IF($H678="","",IF(AND(OR(LEFT($F678,3)="111",LEFT($F678,3)="112",LEFT($F678,3)="113"),OR(LEFT($G678,3)="111",LEFT($G678,3)="112",LEFT($G678,3)="113")),"NB",IF(OR(LEFT($F678,3)="111",LEFT($F678,3)="112",LEFT($F678,3)="113"),"THU",IF(OR(LEFT($G678,3)="111",LEFT($G678,3)="112",LEFT($G678,3)="113"),"CHI",""))))</f>
        <v/>
      </c>
      <c r="N678" s="117">
        <f>IF($M678="THU",$G678,IF($M678="CHI",$F678,""))</f>
        <v/>
      </c>
      <c r="O678" s="117">
        <f>IF(OR($M678="",$M678="NB"),"",IF($J678&lt;&gt;"",TEXT($J678,"00"),IFERROR(VLOOKUP(LEFT($N678,4),LCTT_MAP!$A$7:$C$66,IF($M678="THU",2,3),FALSE()),IFERROR(VLOOKUP(LEFT($N678,3),LCTT_MAP!$A$7:$C$66,IF($M678="THU",2,3),FALSE()),IFERROR(VLOOKUP(LEFT($N678,2),LCTT_MAP!$A$7:$C$66,IF($M678="THU",2,3),FALSE()),IFERROR(VLOOKUP(LEFT($N678,1),LCTT_MAP!$A$7:$C$66,IF($M678="THU",2,3),FALSE()),IF($M678="THU","06","07")))))))</f>
        <v/>
      </c>
      <c r="P678" s="117">
        <f>P677+IF(AND($H678&lt;&gt;"",OR(LEFT($F678,LEN(SC_TK))=SC_TK,LEFT($G678,LEN(SC_TK))=SC_TK)),1,0)</f>
        <v/>
      </c>
    </row>
    <row r="679" ht="15" customHeight="1" s="78">
      <c r="A679" s="95">
        <f>IF($H679="","",ROW()-6)</f>
        <v/>
      </c>
      <c r="B679" s="114" t="n"/>
      <c r="C679" s="102" t="n"/>
      <c r="D679" s="114" t="n"/>
      <c r="E679" s="103" t="n"/>
      <c r="F679" s="102" t="n"/>
      <c r="G679" s="102" t="n"/>
      <c r="H679" s="115" t="n"/>
      <c r="I679" s="102" t="n"/>
      <c r="J679" s="102" t="n"/>
      <c r="K679" s="103" t="n"/>
      <c r="L679" s="116">
        <f>IF($H679="","",TRIM(IF(COUNTIF(DMTK!$A$7:$A$250,$F679)=0,"TK Nợ sai! ","")&amp;IF(COUNTIF(DMTK!$A$7:$A$250,$G679)=0,"TK Có sai! ","")&amp;IF(N($H679)&lt;=0,"Tiền phải &gt; 0! ","")&amp;IF($B679="","Thiếu ngày! ","")&amp;IF(AND(OR(LEFT($F679,3)="131",LEFT($G679,3)="131",LEFT($F679,3)="331",LEFT($G679,3)="331"),$I679=""),"Thiếu Mã ĐT! ","")&amp;IF(AND($I679&lt;&gt;"",COUNTIF(DM_DT!$A$7:$A$306,$I679)=0),"Mã ĐT chưa khai báo! ","")))</f>
        <v/>
      </c>
      <c r="M679" s="117">
        <f>IF($H679="","",IF(AND(OR(LEFT($F679,3)="111",LEFT($F679,3)="112",LEFT($F679,3)="113"),OR(LEFT($G679,3)="111",LEFT($G679,3)="112",LEFT($G679,3)="113")),"NB",IF(OR(LEFT($F679,3)="111",LEFT($F679,3)="112",LEFT($F679,3)="113"),"THU",IF(OR(LEFT($G679,3)="111",LEFT($G679,3)="112",LEFT($G679,3)="113"),"CHI",""))))</f>
        <v/>
      </c>
      <c r="N679" s="117">
        <f>IF($M679="THU",$G679,IF($M679="CHI",$F679,""))</f>
        <v/>
      </c>
      <c r="O679" s="117">
        <f>IF(OR($M679="",$M679="NB"),"",IF($J679&lt;&gt;"",TEXT($J679,"00"),IFERROR(VLOOKUP(LEFT($N679,4),LCTT_MAP!$A$7:$C$66,IF($M679="THU",2,3),FALSE()),IFERROR(VLOOKUP(LEFT($N679,3),LCTT_MAP!$A$7:$C$66,IF($M679="THU",2,3),FALSE()),IFERROR(VLOOKUP(LEFT($N679,2),LCTT_MAP!$A$7:$C$66,IF($M679="THU",2,3),FALSE()),IFERROR(VLOOKUP(LEFT($N679,1),LCTT_MAP!$A$7:$C$66,IF($M679="THU",2,3),FALSE()),IF($M679="THU","06","07")))))))</f>
        <v/>
      </c>
      <c r="P679" s="117">
        <f>P678+IF(AND($H679&lt;&gt;"",OR(LEFT($F679,LEN(SC_TK))=SC_TK,LEFT($G679,LEN(SC_TK))=SC_TK)),1,0)</f>
        <v/>
      </c>
    </row>
    <row r="680" ht="15" customHeight="1" s="78">
      <c r="A680" s="95">
        <f>IF($H680="","",ROW()-6)</f>
        <v/>
      </c>
      <c r="B680" s="114" t="n"/>
      <c r="C680" s="102" t="n"/>
      <c r="D680" s="114" t="n"/>
      <c r="E680" s="103" t="n"/>
      <c r="F680" s="102" t="n"/>
      <c r="G680" s="102" t="n"/>
      <c r="H680" s="115" t="n"/>
      <c r="I680" s="102" t="n"/>
      <c r="J680" s="102" t="n"/>
      <c r="K680" s="103" t="n"/>
      <c r="L680" s="116">
        <f>IF($H680="","",TRIM(IF(COUNTIF(DMTK!$A$7:$A$250,$F680)=0,"TK Nợ sai! ","")&amp;IF(COUNTIF(DMTK!$A$7:$A$250,$G680)=0,"TK Có sai! ","")&amp;IF(N($H680)&lt;=0,"Tiền phải &gt; 0! ","")&amp;IF($B680="","Thiếu ngày! ","")&amp;IF(AND(OR(LEFT($F680,3)="131",LEFT($G680,3)="131",LEFT($F680,3)="331",LEFT($G680,3)="331"),$I680=""),"Thiếu Mã ĐT! ","")&amp;IF(AND($I680&lt;&gt;"",COUNTIF(DM_DT!$A$7:$A$306,$I680)=0),"Mã ĐT chưa khai báo! ","")))</f>
        <v/>
      </c>
      <c r="M680" s="117">
        <f>IF($H680="","",IF(AND(OR(LEFT($F680,3)="111",LEFT($F680,3)="112",LEFT($F680,3)="113"),OR(LEFT($G680,3)="111",LEFT($G680,3)="112",LEFT($G680,3)="113")),"NB",IF(OR(LEFT($F680,3)="111",LEFT($F680,3)="112",LEFT($F680,3)="113"),"THU",IF(OR(LEFT($G680,3)="111",LEFT($G680,3)="112",LEFT($G680,3)="113"),"CHI",""))))</f>
        <v/>
      </c>
      <c r="N680" s="117">
        <f>IF($M680="THU",$G680,IF($M680="CHI",$F680,""))</f>
        <v/>
      </c>
      <c r="O680" s="117">
        <f>IF(OR($M680="",$M680="NB"),"",IF($J680&lt;&gt;"",TEXT($J680,"00"),IFERROR(VLOOKUP(LEFT($N680,4),LCTT_MAP!$A$7:$C$66,IF($M680="THU",2,3),FALSE()),IFERROR(VLOOKUP(LEFT($N680,3),LCTT_MAP!$A$7:$C$66,IF($M680="THU",2,3),FALSE()),IFERROR(VLOOKUP(LEFT($N680,2),LCTT_MAP!$A$7:$C$66,IF($M680="THU",2,3),FALSE()),IFERROR(VLOOKUP(LEFT($N680,1),LCTT_MAP!$A$7:$C$66,IF($M680="THU",2,3),FALSE()),IF($M680="THU","06","07")))))))</f>
        <v/>
      </c>
      <c r="P680" s="117">
        <f>P679+IF(AND($H680&lt;&gt;"",OR(LEFT($F680,LEN(SC_TK))=SC_TK,LEFT($G680,LEN(SC_TK))=SC_TK)),1,0)</f>
        <v/>
      </c>
    </row>
    <row r="681" ht="15" customHeight="1" s="78">
      <c r="A681" s="95">
        <f>IF($H681="","",ROW()-6)</f>
        <v/>
      </c>
      <c r="B681" s="114" t="n"/>
      <c r="C681" s="102" t="n"/>
      <c r="D681" s="114" t="n"/>
      <c r="E681" s="103" t="n"/>
      <c r="F681" s="102" t="n"/>
      <c r="G681" s="102" t="n"/>
      <c r="H681" s="115" t="n"/>
      <c r="I681" s="102" t="n"/>
      <c r="J681" s="102" t="n"/>
      <c r="K681" s="103" t="n"/>
      <c r="L681" s="116">
        <f>IF($H681="","",TRIM(IF(COUNTIF(DMTK!$A$7:$A$250,$F681)=0,"TK Nợ sai! ","")&amp;IF(COUNTIF(DMTK!$A$7:$A$250,$G681)=0,"TK Có sai! ","")&amp;IF(N($H681)&lt;=0,"Tiền phải &gt; 0! ","")&amp;IF($B681="","Thiếu ngày! ","")&amp;IF(AND(OR(LEFT($F681,3)="131",LEFT($G681,3)="131",LEFT($F681,3)="331",LEFT($G681,3)="331"),$I681=""),"Thiếu Mã ĐT! ","")&amp;IF(AND($I681&lt;&gt;"",COUNTIF(DM_DT!$A$7:$A$306,$I681)=0),"Mã ĐT chưa khai báo! ","")))</f>
        <v/>
      </c>
      <c r="M681" s="117">
        <f>IF($H681="","",IF(AND(OR(LEFT($F681,3)="111",LEFT($F681,3)="112",LEFT($F681,3)="113"),OR(LEFT($G681,3)="111",LEFT($G681,3)="112",LEFT($G681,3)="113")),"NB",IF(OR(LEFT($F681,3)="111",LEFT($F681,3)="112",LEFT($F681,3)="113"),"THU",IF(OR(LEFT($G681,3)="111",LEFT($G681,3)="112",LEFT($G681,3)="113"),"CHI",""))))</f>
        <v/>
      </c>
      <c r="N681" s="117">
        <f>IF($M681="THU",$G681,IF($M681="CHI",$F681,""))</f>
        <v/>
      </c>
      <c r="O681" s="117">
        <f>IF(OR($M681="",$M681="NB"),"",IF($J681&lt;&gt;"",TEXT($J681,"00"),IFERROR(VLOOKUP(LEFT($N681,4),LCTT_MAP!$A$7:$C$66,IF($M681="THU",2,3),FALSE()),IFERROR(VLOOKUP(LEFT($N681,3),LCTT_MAP!$A$7:$C$66,IF($M681="THU",2,3),FALSE()),IFERROR(VLOOKUP(LEFT($N681,2),LCTT_MAP!$A$7:$C$66,IF($M681="THU",2,3),FALSE()),IFERROR(VLOOKUP(LEFT($N681,1),LCTT_MAP!$A$7:$C$66,IF($M681="THU",2,3),FALSE()),IF($M681="THU","06","07")))))))</f>
        <v/>
      </c>
      <c r="P681" s="117">
        <f>P680+IF(AND($H681&lt;&gt;"",OR(LEFT($F681,LEN(SC_TK))=SC_TK,LEFT($G681,LEN(SC_TK))=SC_TK)),1,0)</f>
        <v/>
      </c>
    </row>
    <row r="682" ht="15" customHeight="1" s="78">
      <c r="A682" s="95">
        <f>IF($H682="","",ROW()-6)</f>
        <v/>
      </c>
      <c r="B682" s="114" t="n"/>
      <c r="C682" s="102" t="n"/>
      <c r="D682" s="114" t="n"/>
      <c r="E682" s="103" t="n"/>
      <c r="F682" s="102" t="n"/>
      <c r="G682" s="102" t="n"/>
      <c r="H682" s="115" t="n"/>
      <c r="I682" s="102" t="n"/>
      <c r="J682" s="102" t="n"/>
      <c r="K682" s="103" t="n"/>
      <c r="L682" s="116">
        <f>IF($H682="","",TRIM(IF(COUNTIF(DMTK!$A$7:$A$250,$F682)=0,"TK Nợ sai! ","")&amp;IF(COUNTIF(DMTK!$A$7:$A$250,$G682)=0,"TK Có sai! ","")&amp;IF(N($H682)&lt;=0,"Tiền phải &gt; 0! ","")&amp;IF($B682="","Thiếu ngày! ","")&amp;IF(AND(OR(LEFT($F682,3)="131",LEFT($G682,3)="131",LEFT($F682,3)="331",LEFT($G682,3)="331"),$I682=""),"Thiếu Mã ĐT! ","")&amp;IF(AND($I682&lt;&gt;"",COUNTIF(DM_DT!$A$7:$A$306,$I682)=0),"Mã ĐT chưa khai báo! ","")))</f>
        <v/>
      </c>
      <c r="M682" s="117">
        <f>IF($H682="","",IF(AND(OR(LEFT($F682,3)="111",LEFT($F682,3)="112",LEFT($F682,3)="113"),OR(LEFT($G682,3)="111",LEFT($G682,3)="112",LEFT($G682,3)="113")),"NB",IF(OR(LEFT($F682,3)="111",LEFT($F682,3)="112",LEFT($F682,3)="113"),"THU",IF(OR(LEFT($G682,3)="111",LEFT($G682,3)="112",LEFT($G682,3)="113"),"CHI",""))))</f>
        <v/>
      </c>
      <c r="N682" s="117">
        <f>IF($M682="THU",$G682,IF($M682="CHI",$F682,""))</f>
        <v/>
      </c>
      <c r="O682" s="117">
        <f>IF(OR($M682="",$M682="NB"),"",IF($J682&lt;&gt;"",TEXT($J682,"00"),IFERROR(VLOOKUP(LEFT($N682,4),LCTT_MAP!$A$7:$C$66,IF($M682="THU",2,3),FALSE()),IFERROR(VLOOKUP(LEFT($N682,3),LCTT_MAP!$A$7:$C$66,IF($M682="THU",2,3),FALSE()),IFERROR(VLOOKUP(LEFT($N682,2),LCTT_MAP!$A$7:$C$66,IF($M682="THU",2,3),FALSE()),IFERROR(VLOOKUP(LEFT($N682,1),LCTT_MAP!$A$7:$C$66,IF($M682="THU",2,3),FALSE()),IF($M682="THU","06","07")))))))</f>
        <v/>
      </c>
      <c r="P682" s="117">
        <f>P681+IF(AND($H682&lt;&gt;"",OR(LEFT($F682,LEN(SC_TK))=SC_TK,LEFT($G682,LEN(SC_TK))=SC_TK)),1,0)</f>
        <v/>
      </c>
    </row>
    <row r="683" ht="15" customHeight="1" s="78">
      <c r="A683" s="95">
        <f>IF($H683="","",ROW()-6)</f>
        <v/>
      </c>
      <c r="B683" s="114" t="n"/>
      <c r="C683" s="102" t="n"/>
      <c r="D683" s="114" t="n"/>
      <c r="E683" s="103" t="n"/>
      <c r="F683" s="102" t="n"/>
      <c r="G683" s="102" t="n"/>
      <c r="H683" s="115" t="n"/>
      <c r="I683" s="102" t="n"/>
      <c r="J683" s="102" t="n"/>
      <c r="K683" s="103" t="n"/>
      <c r="L683" s="116">
        <f>IF($H683="","",TRIM(IF(COUNTIF(DMTK!$A$7:$A$250,$F683)=0,"TK Nợ sai! ","")&amp;IF(COUNTIF(DMTK!$A$7:$A$250,$G683)=0,"TK Có sai! ","")&amp;IF(N($H683)&lt;=0,"Tiền phải &gt; 0! ","")&amp;IF($B683="","Thiếu ngày! ","")&amp;IF(AND(OR(LEFT($F683,3)="131",LEFT($G683,3)="131",LEFT($F683,3)="331",LEFT($G683,3)="331"),$I683=""),"Thiếu Mã ĐT! ","")&amp;IF(AND($I683&lt;&gt;"",COUNTIF(DM_DT!$A$7:$A$306,$I683)=0),"Mã ĐT chưa khai báo! ","")))</f>
        <v/>
      </c>
      <c r="M683" s="117">
        <f>IF($H683="","",IF(AND(OR(LEFT($F683,3)="111",LEFT($F683,3)="112",LEFT($F683,3)="113"),OR(LEFT($G683,3)="111",LEFT($G683,3)="112",LEFT($G683,3)="113")),"NB",IF(OR(LEFT($F683,3)="111",LEFT($F683,3)="112",LEFT($F683,3)="113"),"THU",IF(OR(LEFT($G683,3)="111",LEFT($G683,3)="112",LEFT($G683,3)="113"),"CHI",""))))</f>
        <v/>
      </c>
      <c r="N683" s="117">
        <f>IF($M683="THU",$G683,IF($M683="CHI",$F683,""))</f>
        <v/>
      </c>
      <c r="O683" s="117">
        <f>IF(OR($M683="",$M683="NB"),"",IF($J683&lt;&gt;"",TEXT($J683,"00"),IFERROR(VLOOKUP(LEFT($N683,4),LCTT_MAP!$A$7:$C$66,IF($M683="THU",2,3),FALSE()),IFERROR(VLOOKUP(LEFT($N683,3),LCTT_MAP!$A$7:$C$66,IF($M683="THU",2,3),FALSE()),IFERROR(VLOOKUP(LEFT($N683,2),LCTT_MAP!$A$7:$C$66,IF($M683="THU",2,3),FALSE()),IFERROR(VLOOKUP(LEFT($N683,1),LCTT_MAP!$A$7:$C$66,IF($M683="THU",2,3),FALSE()),IF($M683="THU","06","07")))))))</f>
        <v/>
      </c>
      <c r="P683" s="117">
        <f>P682+IF(AND($H683&lt;&gt;"",OR(LEFT($F683,LEN(SC_TK))=SC_TK,LEFT($G683,LEN(SC_TK))=SC_TK)),1,0)</f>
        <v/>
      </c>
    </row>
    <row r="684" ht="15" customHeight="1" s="78">
      <c r="A684" s="95">
        <f>IF($H684="","",ROW()-6)</f>
        <v/>
      </c>
      <c r="B684" s="114" t="n"/>
      <c r="C684" s="102" t="n"/>
      <c r="D684" s="114" t="n"/>
      <c r="E684" s="103" t="n"/>
      <c r="F684" s="102" t="n"/>
      <c r="G684" s="102" t="n"/>
      <c r="H684" s="115" t="n"/>
      <c r="I684" s="102" t="n"/>
      <c r="J684" s="102" t="n"/>
      <c r="K684" s="103" t="n"/>
      <c r="L684" s="116">
        <f>IF($H684="","",TRIM(IF(COUNTIF(DMTK!$A$7:$A$250,$F684)=0,"TK Nợ sai! ","")&amp;IF(COUNTIF(DMTK!$A$7:$A$250,$G684)=0,"TK Có sai! ","")&amp;IF(N($H684)&lt;=0,"Tiền phải &gt; 0! ","")&amp;IF($B684="","Thiếu ngày! ","")&amp;IF(AND(OR(LEFT($F684,3)="131",LEFT($G684,3)="131",LEFT($F684,3)="331",LEFT($G684,3)="331"),$I684=""),"Thiếu Mã ĐT! ","")&amp;IF(AND($I684&lt;&gt;"",COUNTIF(DM_DT!$A$7:$A$306,$I684)=0),"Mã ĐT chưa khai báo! ","")))</f>
        <v/>
      </c>
      <c r="M684" s="117">
        <f>IF($H684="","",IF(AND(OR(LEFT($F684,3)="111",LEFT($F684,3)="112",LEFT($F684,3)="113"),OR(LEFT($G684,3)="111",LEFT($G684,3)="112",LEFT($G684,3)="113")),"NB",IF(OR(LEFT($F684,3)="111",LEFT($F684,3)="112",LEFT($F684,3)="113"),"THU",IF(OR(LEFT($G684,3)="111",LEFT($G684,3)="112",LEFT($G684,3)="113"),"CHI",""))))</f>
        <v/>
      </c>
      <c r="N684" s="117">
        <f>IF($M684="THU",$G684,IF($M684="CHI",$F684,""))</f>
        <v/>
      </c>
      <c r="O684" s="117">
        <f>IF(OR($M684="",$M684="NB"),"",IF($J684&lt;&gt;"",TEXT($J684,"00"),IFERROR(VLOOKUP(LEFT($N684,4),LCTT_MAP!$A$7:$C$66,IF($M684="THU",2,3),FALSE()),IFERROR(VLOOKUP(LEFT($N684,3),LCTT_MAP!$A$7:$C$66,IF($M684="THU",2,3),FALSE()),IFERROR(VLOOKUP(LEFT($N684,2),LCTT_MAP!$A$7:$C$66,IF($M684="THU",2,3),FALSE()),IFERROR(VLOOKUP(LEFT($N684,1),LCTT_MAP!$A$7:$C$66,IF($M684="THU",2,3),FALSE()),IF($M684="THU","06","07")))))))</f>
        <v/>
      </c>
      <c r="P684" s="117">
        <f>P683+IF(AND($H684&lt;&gt;"",OR(LEFT($F684,LEN(SC_TK))=SC_TK,LEFT($G684,LEN(SC_TK))=SC_TK)),1,0)</f>
        <v/>
      </c>
    </row>
    <row r="685" ht="15" customHeight="1" s="78">
      <c r="A685" s="95">
        <f>IF($H685="","",ROW()-6)</f>
        <v/>
      </c>
      <c r="B685" s="114" t="n"/>
      <c r="C685" s="102" t="n"/>
      <c r="D685" s="114" t="n"/>
      <c r="E685" s="103" t="n"/>
      <c r="F685" s="102" t="n"/>
      <c r="G685" s="102" t="n"/>
      <c r="H685" s="115" t="n"/>
      <c r="I685" s="102" t="n"/>
      <c r="J685" s="102" t="n"/>
      <c r="K685" s="103" t="n"/>
      <c r="L685" s="116">
        <f>IF($H685="","",TRIM(IF(COUNTIF(DMTK!$A$7:$A$250,$F685)=0,"TK Nợ sai! ","")&amp;IF(COUNTIF(DMTK!$A$7:$A$250,$G685)=0,"TK Có sai! ","")&amp;IF(N($H685)&lt;=0,"Tiền phải &gt; 0! ","")&amp;IF($B685="","Thiếu ngày! ","")&amp;IF(AND(OR(LEFT($F685,3)="131",LEFT($G685,3)="131",LEFT($F685,3)="331",LEFT($G685,3)="331"),$I685=""),"Thiếu Mã ĐT! ","")&amp;IF(AND($I685&lt;&gt;"",COUNTIF(DM_DT!$A$7:$A$306,$I685)=0),"Mã ĐT chưa khai báo! ","")))</f>
        <v/>
      </c>
      <c r="M685" s="117">
        <f>IF($H685="","",IF(AND(OR(LEFT($F685,3)="111",LEFT($F685,3)="112",LEFT($F685,3)="113"),OR(LEFT($G685,3)="111",LEFT($G685,3)="112",LEFT($G685,3)="113")),"NB",IF(OR(LEFT($F685,3)="111",LEFT($F685,3)="112",LEFT($F685,3)="113"),"THU",IF(OR(LEFT($G685,3)="111",LEFT($G685,3)="112",LEFT($G685,3)="113"),"CHI",""))))</f>
        <v/>
      </c>
      <c r="N685" s="117">
        <f>IF($M685="THU",$G685,IF($M685="CHI",$F685,""))</f>
        <v/>
      </c>
      <c r="O685" s="117">
        <f>IF(OR($M685="",$M685="NB"),"",IF($J685&lt;&gt;"",TEXT($J685,"00"),IFERROR(VLOOKUP(LEFT($N685,4),LCTT_MAP!$A$7:$C$66,IF($M685="THU",2,3),FALSE()),IFERROR(VLOOKUP(LEFT($N685,3),LCTT_MAP!$A$7:$C$66,IF($M685="THU",2,3),FALSE()),IFERROR(VLOOKUP(LEFT($N685,2),LCTT_MAP!$A$7:$C$66,IF($M685="THU",2,3),FALSE()),IFERROR(VLOOKUP(LEFT($N685,1),LCTT_MAP!$A$7:$C$66,IF($M685="THU",2,3),FALSE()),IF($M685="THU","06","07")))))))</f>
        <v/>
      </c>
      <c r="P685" s="117">
        <f>P684+IF(AND($H685&lt;&gt;"",OR(LEFT($F685,LEN(SC_TK))=SC_TK,LEFT($G685,LEN(SC_TK))=SC_TK)),1,0)</f>
        <v/>
      </c>
    </row>
    <row r="686" ht="15" customHeight="1" s="78">
      <c r="A686" s="95">
        <f>IF($H686="","",ROW()-6)</f>
        <v/>
      </c>
      <c r="B686" s="114" t="n"/>
      <c r="C686" s="102" t="n"/>
      <c r="D686" s="114" t="n"/>
      <c r="E686" s="103" t="n"/>
      <c r="F686" s="102" t="n"/>
      <c r="G686" s="102" t="n"/>
      <c r="H686" s="115" t="n"/>
      <c r="I686" s="102" t="n"/>
      <c r="J686" s="102" t="n"/>
      <c r="K686" s="103" t="n"/>
      <c r="L686" s="116">
        <f>IF($H686="","",TRIM(IF(COUNTIF(DMTK!$A$7:$A$250,$F686)=0,"TK Nợ sai! ","")&amp;IF(COUNTIF(DMTK!$A$7:$A$250,$G686)=0,"TK Có sai! ","")&amp;IF(N($H686)&lt;=0,"Tiền phải &gt; 0! ","")&amp;IF($B686="","Thiếu ngày! ","")&amp;IF(AND(OR(LEFT($F686,3)="131",LEFT($G686,3)="131",LEFT($F686,3)="331",LEFT($G686,3)="331"),$I686=""),"Thiếu Mã ĐT! ","")&amp;IF(AND($I686&lt;&gt;"",COUNTIF(DM_DT!$A$7:$A$306,$I686)=0),"Mã ĐT chưa khai báo! ","")))</f>
        <v/>
      </c>
      <c r="M686" s="117">
        <f>IF($H686="","",IF(AND(OR(LEFT($F686,3)="111",LEFT($F686,3)="112",LEFT($F686,3)="113"),OR(LEFT($G686,3)="111",LEFT($G686,3)="112",LEFT($G686,3)="113")),"NB",IF(OR(LEFT($F686,3)="111",LEFT($F686,3)="112",LEFT($F686,3)="113"),"THU",IF(OR(LEFT($G686,3)="111",LEFT($G686,3)="112",LEFT($G686,3)="113"),"CHI",""))))</f>
        <v/>
      </c>
      <c r="N686" s="117">
        <f>IF($M686="THU",$G686,IF($M686="CHI",$F686,""))</f>
        <v/>
      </c>
      <c r="O686" s="117">
        <f>IF(OR($M686="",$M686="NB"),"",IF($J686&lt;&gt;"",TEXT($J686,"00"),IFERROR(VLOOKUP(LEFT($N686,4),LCTT_MAP!$A$7:$C$66,IF($M686="THU",2,3),FALSE()),IFERROR(VLOOKUP(LEFT($N686,3),LCTT_MAP!$A$7:$C$66,IF($M686="THU",2,3),FALSE()),IFERROR(VLOOKUP(LEFT($N686,2),LCTT_MAP!$A$7:$C$66,IF($M686="THU",2,3),FALSE()),IFERROR(VLOOKUP(LEFT($N686,1),LCTT_MAP!$A$7:$C$66,IF($M686="THU",2,3),FALSE()),IF($M686="THU","06","07")))))))</f>
        <v/>
      </c>
      <c r="P686" s="117">
        <f>P685+IF(AND($H686&lt;&gt;"",OR(LEFT($F686,LEN(SC_TK))=SC_TK,LEFT($G686,LEN(SC_TK))=SC_TK)),1,0)</f>
        <v/>
      </c>
    </row>
    <row r="687" ht="15" customHeight="1" s="78">
      <c r="A687" s="95">
        <f>IF($H687="","",ROW()-6)</f>
        <v/>
      </c>
      <c r="B687" s="114" t="n"/>
      <c r="C687" s="102" t="n"/>
      <c r="D687" s="114" t="n"/>
      <c r="E687" s="103" t="n"/>
      <c r="F687" s="102" t="n"/>
      <c r="G687" s="102" t="n"/>
      <c r="H687" s="115" t="n"/>
      <c r="I687" s="102" t="n"/>
      <c r="J687" s="102" t="n"/>
      <c r="K687" s="103" t="n"/>
      <c r="L687" s="116">
        <f>IF($H687="","",TRIM(IF(COUNTIF(DMTK!$A$7:$A$250,$F687)=0,"TK Nợ sai! ","")&amp;IF(COUNTIF(DMTK!$A$7:$A$250,$G687)=0,"TK Có sai! ","")&amp;IF(N($H687)&lt;=0,"Tiền phải &gt; 0! ","")&amp;IF($B687="","Thiếu ngày! ","")&amp;IF(AND(OR(LEFT($F687,3)="131",LEFT($G687,3)="131",LEFT($F687,3)="331",LEFT($G687,3)="331"),$I687=""),"Thiếu Mã ĐT! ","")&amp;IF(AND($I687&lt;&gt;"",COUNTIF(DM_DT!$A$7:$A$306,$I687)=0),"Mã ĐT chưa khai báo! ","")))</f>
        <v/>
      </c>
      <c r="M687" s="117">
        <f>IF($H687="","",IF(AND(OR(LEFT($F687,3)="111",LEFT($F687,3)="112",LEFT($F687,3)="113"),OR(LEFT($G687,3)="111",LEFT($G687,3)="112",LEFT($G687,3)="113")),"NB",IF(OR(LEFT($F687,3)="111",LEFT($F687,3)="112",LEFT($F687,3)="113"),"THU",IF(OR(LEFT($G687,3)="111",LEFT($G687,3)="112",LEFT($G687,3)="113"),"CHI",""))))</f>
        <v/>
      </c>
      <c r="N687" s="117">
        <f>IF($M687="THU",$G687,IF($M687="CHI",$F687,""))</f>
        <v/>
      </c>
      <c r="O687" s="117">
        <f>IF(OR($M687="",$M687="NB"),"",IF($J687&lt;&gt;"",TEXT($J687,"00"),IFERROR(VLOOKUP(LEFT($N687,4),LCTT_MAP!$A$7:$C$66,IF($M687="THU",2,3),FALSE()),IFERROR(VLOOKUP(LEFT($N687,3),LCTT_MAP!$A$7:$C$66,IF($M687="THU",2,3),FALSE()),IFERROR(VLOOKUP(LEFT($N687,2),LCTT_MAP!$A$7:$C$66,IF($M687="THU",2,3),FALSE()),IFERROR(VLOOKUP(LEFT($N687,1),LCTT_MAP!$A$7:$C$66,IF($M687="THU",2,3),FALSE()),IF($M687="THU","06","07")))))))</f>
        <v/>
      </c>
      <c r="P687" s="117">
        <f>P686+IF(AND($H687&lt;&gt;"",OR(LEFT($F687,LEN(SC_TK))=SC_TK,LEFT($G687,LEN(SC_TK))=SC_TK)),1,0)</f>
        <v/>
      </c>
    </row>
    <row r="688" ht="15" customHeight="1" s="78">
      <c r="A688" s="95">
        <f>IF($H688="","",ROW()-6)</f>
        <v/>
      </c>
      <c r="B688" s="114" t="n"/>
      <c r="C688" s="102" t="n"/>
      <c r="D688" s="114" t="n"/>
      <c r="E688" s="103" t="n"/>
      <c r="F688" s="102" t="n"/>
      <c r="G688" s="102" t="n"/>
      <c r="H688" s="115" t="n"/>
      <c r="I688" s="102" t="n"/>
      <c r="J688" s="102" t="n"/>
      <c r="K688" s="103" t="n"/>
      <c r="L688" s="116">
        <f>IF($H688="","",TRIM(IF(COUNTIF(DMTK!$A$7:$A$250,$F688)=0,"TK Nợ sai! ","")&amp;IF(COUNTIF(DMTK!$A$7:$A$250,$G688)=0,"TK Có sai! ","")&amp;IF(N($H688)&lt;=0,"Tiền phải &gt; 0! ","")&amp;IF($B688="","Thiếu ngày! ","")&amp;IF(AND(OR(LEFT($F688,3)="131",LEFT($G688,3)="131",LEFT($F688,3)="331",LEFT($G688,3)="331"),$I688=""),"Thiếu Mã ĐT! ","")&amp;IF(AND($I688&lt;&gt;"",COUNTIF(DM_DT!$A$7:$A$306,$I688)=0),"Mã ĐT chưa khai báo! ","")))</f>
        <v/>
      </c>
      <c r="M688" s="117">
        <f>IF($H688="","",IF(AND(OR(LEFT($F688,3)="111",LEFT($F688,3)="112",LEFT($F688,3)="113"),OR(LEFT($G688,3)="111",LEFT($G688,3)="112",LEFT($G688,3)="113")),"NB",IF(OR(LEFT($F688,3)="111",LEFT($F688,3)="112",LEFT($F688,3)="113"),"THU",IF(OR(LEFT($G688,3)="111",LEFT($G688,3)="112",LEFT($G688,3)="113"),"CHI",""))))</f>
        <v/>
      </c>
      <c r="N688" s="117">
        <f>IF($M688="THU",$G688,IF($M688="CHI",$F688,""))</f>
        <v/>
      </c>
      <c r="O688" s="117">
        <f>IF(OR($M688="",$M688="NB"),"",IF($J688&lt;&gt;"",TEXT($J688,"00"),IFERROR(VLOOKUP(LEFT($N688,4),LCTT_MAP!$A$7:$C$66,IF($M688="THU",2,3),FALSE()),IFERROR(VLOOKUP(LEFT($N688,3),LCTT_MAP!$A$7:$C$66,IF($M688="THU",2,3),FALSE()),IFERROR(VLOOKUP(LEFT($N688,2),LCTT_MAP!$A$7:$C$66,IF($M688="THU",2,3),FALSE()),IFERROR(VLOOKUP(LEFT($N688,1),LCTT_MAP!$A$7:$C$66,IF($M688="THU",2,3),FALSE()),IF($M688="THU","06","07")))))))</f>
        <v/>
      </c>
      <c r="P688" s="117">
        <f>P687+IF(AND($H688&lt;&gt;"",OR(LEFT($F688,LEN(SC_TK))=SC_TK,LEFT($G688,LEN(SC_TK))=SC_TK)),1,0)</f>
        <v/>
      </c>
    </row>
    <row r="689" ht="15" customHeight="1" s="78">
      <c r="A689" s="95">
        <f>IF($H689="","",ROW()-6)</f>
        <v/>
      </c>
      <c r="B689" s="114" t="n"/>
      <c r="C689" s="102" t="n"/>
      <c r="D689" s="114" t="n"/>
      <c r="E689" s="103" t="n"/>
      <c r="F689" s="102" t="n"/>
      <c r="G689" s="102" t="n"/>
      <c r="H689" s="115" t="n"/>
      <c r="I689" s="102" t="n"/>
      <c r="J689" s="102" t="n"/>
      <c r="K689" s="103" t="n"/>
      <c r="L689" s="116">
        <f>IF($H689="","",TRIM(IF(COUNTIF(DMTK!$A$7:$A$250,$F689)=0,"TK Nợ sai! ","")&amp;IF(COUNTIF(DMTK!$A$7:$A$250,$G689)=0,"TK Có sai! ","")&amp;IF(N($H689)&lt;=0,"Tiền phải &gt; 0! ","")&amp;IF($B689="","Thiếu ngày! ","")&amp;IF(AND(OR(LEFT($F689,3)="131",LEFT($G689,3)="131",LEFT($F689,3)="331",LEFT($G689,3)="331"),$I689=""),"Thiếu Mã ĐT! ","")&amp;IF(AND($I689&lt;&gt;"",COUNTIF(DM_DT!$A$7:$A$306,$I689)=0),"Mã ĐT chưa khai báo! ","")))</f>
        <v/>
      </c>
      <c r="M689" s="117">
        <f>IF($H689="","",IF(AND(OR(LEFT($F689,3)="111",LEFT($F689,3)="112",LEFT($F689,3)="113"),OR(LEFT($G689,3)="111",LEFT($G689,3)="112",LEFT($G689,3)="113")),"NB",IF(OR(LEFT($F689,3)="111",LEFT($F689,3)="112",LEFT($F689,3)="113"),"THU",IF(OR(LEFT($G689,3)="111",LEFT($G689,3)="112",LEFT($G689,3)="113"),"CHI",""))))</f>
        <v/>
      </c>
      <c r="N689" s="117">
        <f>IF($M689="THU",$G689,IF($M689="CHI",$F689,""))</f>
        <v/>
      </c>
      <c r="O689" s="117">
        <f>IF(OR($M689="",$M689="NB"),"",IF($J689&lt;&gt;"",TEXT($J689,"00"),IFERROR(VLOOKUP(LEFT($N689,4),LCTT_MAP!$A$7:$C$66,IF($M689="THU",2,3),FALSE()),IFERROR(VLOOKUP(LEFT($N689,3),LCTT_MAP!$A$7:$C$66,IF($M689="THU",2,3),FALSE()),IFERROR(VLOOKUP(LEFT($N689,2),LCTT_MAP!$A$7:$C$66,IF($M689="THU",2,3),FALSE()),IFERROR(VLOOKUP(LEFT($N689,1),LCTT_MAP!$A$7:$C$66,IF($M689="THU",2,3),FALSE()),IF($M689="THU","06","07")))))))</f>
        <v/>
      </c>
      <c r="P689" s="117">
        <f>P688+IF(AND($H689&lt;&gt;"",OR(LEFT($F689,LEN(SC_TK))=SC_TK,LEFT($G689,LEN(SC_TK))=SC_TK)),1,0)</f>
        <v/>
      </c>
    </row>
    <row r="690" ht="15" customHeight="1" s="78">
      <c r="A690" s="95">
        <f>IF($H690="","",ROW()-6)</f>
        <v/>
      </c>
      <c r="B690" s="114" t="n"/>
      <c r="C690" s="102" t="n"/>
      <c r="D690" s="114" t="n"/>
      <c r="E690" s="103" t="n"/>
      <c r="F690" s="102" t="n"/>
      <c r="G690" s="102" t="n"/>
      <c r="H690" s="115" t="n"/>
      <c r="I690" s="102" t="n"/>
      <c r="J690" s="102" t="n"/>
      <c r="K690" s="103" t="n"/>
      <c r="L690" s="116">
        <f>IF($H690="","",TRIM(IF(COUNTIF(DMTK!$A$7:$A$250,$F690)=0,"TK Nợ sai! ","")&amp;IF(COUNTIF(DMTK!$A$7:$A$250,$G690)=0,"TK Có sai! ","")&amp;IF(N($H690)&lt;=0,"Tiền phải &gt; 0! ","")&amp;IF($B690="","Thiếu ngày! ","")&amp;IF(AND(OR(LEFT($F690,3)="131",LEFT($G690,3)="131",LEFT($F690,3)="331",LEFT($G690,3)="331"),$I690=""),"Thiếu Mã ĐT! ","")&amp;IF(AND($I690&lt;&gt;"",COUNTIF(DM_DT!$A$7:$A$306,$I690)=0),"Mã ĐT chưa khai báo! ","")))</f>
        <v/>
      </c>
      <c r="M690" s="117">
        <f>IF($H690="","",IF(AND(OR(LEFT($F690,3)="111",LEFT($F690,3)="112",LEFT($F690,3)="113"),OR(LEFT($G690,3)="111",LEFT($G690,3)="112",LEFT($G690,3)="113")),"NB",IF(OR(LEFT($F690,3)="111",LEFT($F690,3)="112",LEFT($F690,3)="113"),"THU",IF(OR(LEFT($G690,3)="111",LEFT($G690,3)="112",LEFT($G690,3)="113"),"CHI",""))))</f>
        <v/>
      </c>
      <c r="N690" s="117">
        <f>IF($M690="THU",$G690,IF($M690="CHI",$F690,""))</f>
        <v/>
      </c>
      <c r="O690" s="117">
        <f>IF(OR($M690="",$M690="NB"),"",IF($J690&lt;&gt;"",TEXT($J690,"00"),IFERROR(VLOOKUP(LEFT($N690,4),LCTT_MAP!$A$7:$C$66,IF($M690="THU",2,3),FALSE()),IFERROR(VLOOKUP(LEFT($N690,3),LCTT_MAP!$A$7:$C$66,IF($M690="THU",2,3),FALSE()),IFERROR(VLOOKUP(LEFT($N690,2),LCTT_MAP!$A$7:$C$66,IF($M690="THU",2,3),FALSE()),IFERROR(VLOOKUP(LEFT($N690,1),LCTT_MAP!$A$7:$C$66,IF($M690="THU",2,3),FALSE()),IF($M690="THU","06","07")))))))</f>
        <v/>
      </c>
      <c r="P690" s="117">
        <f>P689+IF(AND($H690&lt;&gt;"",OR(LEFT($F690,LEN(SC_TK))=SC_TK,LEFT($G690,LEN(SC_TK))=SC_TK)),1,0)</f>
        <v/>
      </c>
    </row>
    <row r="691" ht="15" customHeight="1" s="78">
      <c r="A691" s="95">
        <f>IF($H691="","",ROW()-6)</f>
        <v/>
      </c>
      <c r="B691" s="114" t="n"/>
      <c r="C691" s="102" t="n"/>
      <c r="D691" s="114" t="n"/>
      <c r="E691" s="103" t="n"/>
      <c r="F691" s="102" t="n"/>
      <c r="G691" s="102" t="n"/>
      <c r="H691" s="115" t="n"/>
      <c r="I691" s="102" t="n"/>
      <c r="J691" s="102" t="n"/>
      <c r="K691" s="103" t="n"/>
      <c r="L691" s="116">
        <f>IF($H691="","",TRIM(IF(COUNTIF(DMTK!$A$7:$A$250,$F691)=0,"TK Nợ sai! ","")&amp;IF(COUNTIF(DMTK!$A$7:$A$250,$G691)=0,"TK Có sai! ","")&amp;IF(N($H691)&lt;=0,"Tiền phải &gt; 0! ","")&amp;IF($B691="","Thiếu ngày! ","")&amp;IF(AND(OR(LEFT($F691,3)="131",LEFT($G691,3)="131",LEFT($F691,3)="331",LEFT($G691,3)="331"),$I691=""),"Thiếu Mã ĐT! ","")&amp;IF(AND($I691&lt;&gt;"",COUNTIF(DM_DT!$A$7:$A$306,$I691)=0),"Mã ĐT chưa khai báo! ","")))</f>
        <v/>
      </c>
      <c r="M691" s="117">
        <f>IF($H691="","",IF(AND(OR(LEFT($F691,3)="111",LEFT($F691,3)="112",LEFT($F691,3)="113"),OR(LEFT($G691,3)="111",LEFT($G691,3)="112",LEFT($G691,3)="113")),"NB",IF(OR(LEFT($F691,3)="111",LEFT($F691,3)="112",LEFT($F691,3)="113"),"THU",IF(OR(LEFT($G691,3)="111",LEFT($G691,3)="112",LEFT($G691,3)="113"),"CHI",""))))</f>
        <v/>
      </c>
      <c r="N691" s="117">
        <f>IF($M691="THU",$G691,IF($M691="CHI",$F691,""))</f>
        <v/>
      </c>
      <c r="O691" s="117">
        <f>IF(OR($M691="",$M691="NB"),"",IF($J691&lt;&gt;"",TEXT($J691,"00"),IFERROR(VLOOKUP(LEFT($N691,4),LCTT_MAP!$A$7:$C$66,IF($M691="THU",2,3),FALSE()),IFERROR(VLOOKUP(LEFT($N691,3),LCTT_MAP!$A$7:$C$66,IF($M691="THU",2,3),FALSE()),IFERROR(VLOOKUP(LEFT($N691,2),LCTT_MAP!$A$7:$C$66,IF($M691="THU",2,3),FALSE()),IFERROR(VLOOKUP(LEFT($N691,1),LCTT_MAP!$A$7:$C$66,IF($M691="THU",2,3),FALSE()),IF($M691="THU","06","07")))))))</f>
        <v/>
      </c>
      <c r="P691" s="117">
        <f>P690+IF(AND($H691&lt;&gt;"",OR(LEFT($F691,LEN(SC_TK))=SC_TK,LEFT($G691,LEN(SC_TK))=SC_TK)),1,0)</f>
        <v/>
      </c>
    </row>
    <row r="692" ht="15" customHeight="1" s="78">
      <c r="A692" s="95">
        <f>IF($H692="","",ROW()-6)</f>
        <v/>
      </c>
      <c r="B692" s="114" t="n"/>
      <c r="C692" s="102" t="n"/>
      <c r="D692" s="114" t="n"/>
      <c r="E692" s="103" t="n"/>
      <c r="F692" s="102" t="n"/>
      <c r="G692" s="102" t="n"/>
      <c r="H692" s="115" t="n"/>
      <c r="I692" s="102" t="n"/>
      <c r="J692" s="102" t="n"/>
      <c r="K692" s="103" t="n"/>
      <c r="L692" s="116">
        <f>IF($H692="","",TRIM(IF(COUNTIF(DMTK!$A$7:$A$250,$F692)=0,"TK Nợ sai! ","")&amp;IF(COUNTIF(DMTK!$A$7:$A$250,$G692)=0,"TK Có sai! ","")&amp;IF(N($H692)&lt;=0,"Tiền phải &gt; 0! ","")&amp;IF($B692="","Thiếu ngày! ","")&amp;IF(AND(OR(LEFT($F692,3)="131",LEFT($G692,3)="131",LEFT($F692,3)="331",LEFT($G692,3)="331"),$I692=""),"Thiếu Mã ĐT! ","")&amp;IF(AND($I692&lt;&gt;"",COUNTIF(DM_DT!$A$7:$A$306,$I692)=0),"Mã ĐT chưa khai báo! ","")))</f>
        <v/>
      </c>
      <c r="M692" s="117">
        <f>IF($H692="","",IF(AND(OR(LEFT($F692,3)="111",LEFT($F692,3)="112",LEFT($F692,3)="113"),OR(LEFT($G692,3)="111",LEFT($G692,3)="112",LEFT($G692,3)="113")),"NB",IF(OR(LEFT($F692,3)="111",LEFT($F692,3)="112",LEFT($F692,3)="113"),"THU",IF(OR(LEFT($G692,3)="111",LEFT($G692,3)="112",LEFT($G692,3)="113"),"CHI",""))))</f>
        <v/>
      </c>
      <c r="N692" s="117">
        <f>IF($M692="THU",$G692,IF($M692="CHI",$F692,""))</f>
        <v/>
      </c>
      <c r="O692" s="117">
        <f>IF(OR($M692="",$M692="NB"),"",IF($J692&lt;&gt;"",TEXT($J692,"00"),IFERROR(VLOOKUP(LEFT($N692,4),LCTT_MAP!$A$7:$C$66,IF($M692="THU",2,3),FALSE()),IFERROR(VLOOKUP(LEFT($N692,3),LCTT_MAP!$A$7:$C$66,IF($M692="THU",2,3),FALSE()),IFERROR(VLOOKUP(LEFT($N692,2),LCTT_MAP!$A$7:$C$66,IF($M692="THU",2,3),FALSE()),IFERROR(VLOOKUP(LEFT($N692,1),LCTT_MAP!$A$7:$C$66,IF($M692="THU",2,3),FALSE()),IF($M692="THU","06","07")))))))</f>
        <v/>
      </c>
      <c r="P692" s="117">
        <f>P691+IF(AND($H692&lt;&gt;"",OR(LEFT($F692,LEN(SC_TK))=SC_TK,LEFT($G692,LEN(SC_TK))=SC_TK)),1,0)</f>
        <v/>
      </c>
    </row>
    <row r="693" ht="15" customHeight="1" s="78">
      <c r="A693" s="95">
        <f>IF($H693="","",ROW()-6)</f>
        <v/>
      </c>
      <c r="B693" s="114" t="n"/>
      <c r="C693" s="102" t="n"/>
      <c r="D693" s="114" t="n"/>
      <c r="E693" s="103" t="n"/>
      <c r="F693" s="102" t="n"/>
      <c r="G693" s="102" t="n"/>
      <c r="H693" s="115" t="n"/>
      <c r="I693" s="102" t="n"/>
      <c r="J693" s="102" t="n"/>
      <c r="K693" s="103" t="n"/>
      <c r="L693" s="116">
        <f>IF($H693="","",TRIM(IF(COUNTIF(DMTK!$A$7:$A$250,$F693)=0,"TK Nợ sai! ","")&amp;IF(COUNTIF(DMTK!$A$7:$A$250,$G693)=0,"TK Có sai! ","")&amp;IF(N($H693)&lt;=0,"Tiền phải &gt; 0! ","")&amp;IF($B693="","Thiếu ngày! ","")&amp;IF(AND(OR(LEFT($F693,3)="131",LEFT($G693,3)="131",LEFT($F693,3)="331",LEFT($G693,3)="331"),$I693=""),"Thiếu Mã ĐT! ","")&amp;IF(AND($I693&lt;&gt;"",COUNTIF(DM_DT!$A$7:$A$306,$I693)=0),"Mã ĐT chưa khai báo! ","")))</f>
        <v/>
      </c>
      <c r="M693" s="117">
        <f>IF($H693="","",IF(AND(OR(LEFT($F693,3)="111",LEFT($F693,3)="112",LEFT($F693,3)="113"),OR(LEFT($G693,3)="111",LEFT($G693,3)="112",LEFT($G693,3)="113")),"NB",IF(OR(LEFT($F693,3)="111",LEFT($F693,3)="112",LEFT($F693,3)="113"),"THU",IF(OR(LEFT($G693,3)="111",LEFT($G693,3)="112",LEFT($G693,3)="113"),"CHI",""))))</f>
        <v/>
      </c>
      <c r="N693" s="117">
        <f>IF($M693="THU",$G693,IF($M693="CHI",$F693,""))</f>
        <v/>
      </c>
      <c r="O693" s="117">
        <f>IF(OR($M693="",$M693="NB"),"",IF($J693&lt;&gt;"",TEXT($J693,"00"),IFERROR(VLOOKUP(LEFT($N693,4),LCTT_MAP!$A$7:$C$66,IF($M693="THU",2,3),FALSE()),IFERROR(VLOOKUP(LEFT($N693,3),LCTT_MAP!$A$7:$C$66,IF($M693="THU",2,3),FALSE()),IFERROR(VLOOKUP(LEFT($N693,2),LCTT_MAP!$A$7:$C$66,IF($M693="THU",2,3),FALSE()),IFERROR(VLOOKUP(LEFT($N693,1),LCTT_MAP!$A$7:$C$66,IF($M693="THU",2,3),FALSE()),IF($M693="THU","06","07")))))))</f>
        <v/>
      </c>
      <c r="P693" s="117">
        <f>P692+IF(AND($H693&lt;&gt;"",OR(LEFT($F693,LEN(SC_TK))=SC_TK,LEFT($G693,LEN(SC_TK))=SC_TK)),1,0)</f>
        <v/>
      </c>
    </row>
    <row r="694" ht="15" customHeight="1" s="78">
      <c r="A694" s="95">
        <f>IF($H694="","",ROW()-6)</f>
        <v/>
      </c>
      <c r="B694" s="114" t="n"/>
      <c r="C694" s="102" t="n"/>
      <c r="D694" s="114" t="n"/>
      <c r="E694" s="103" t="n"/>
      <c r="F694" s="102" t="n"/>
      <c r="G694" s="102" t="n"/>
      <c r="H694" s="115" t="n"/>
      <c r="I694" s="102" t="n"/>
      <c r="J694" s="102" t="n"/>
      <c r="K694" s="103" t="n"/>
      <c r="L694" s="116">
        <f>IF($H694="","",TRIM(IF(COUNTIF(DMTK!$A$7:$A$250,$F694)=0,"TK Nợ sai! ","")&amp;IF(COUNTIF(DMTK!$A$7:$A$250,$G694)=0,"TK Có sai! ","")&amp;IF(N($H694)&lt;=0,"Tiền phải &gt; 0! ","")&amp;IF($B694="","Thiếu ngày! ","")&amp;IF(AND(OR(LEFT($F694,3)="131",LEFT($G694,3)="131",LEFT($F694,3)="331",LEFT($G694,3)="331"),$I694=""),"Thiếu Mã ĐT! ","")&amp;IF(AND($I694&lt;&gt;"",COUNTIF(DM_DT!$A$7:$A$306,$I694)=0),"Mã ĐT chưa khai báo! ","")))</f>
        <v/>
      </c>
      <c r="M694" s="117">
        <f>IF($H694="","",IF(AND(OR(LEFT($F694,3)="111",LEFT($F694,3)="112",LEFT($F694,3)="113"),OR(LEFT($G694,3)="111",LEFT($G694,3)="112",LEFT($G694,3)="113")),"NB",IF(OR(LEFT($F694,3)="111",LEFT($F694,3)="112",LEFT($F694,3)="113"),"THU",IF(OR(LEFT($G694,3)="111",LEFT($G694,3)="112",LEFT($G694,3)="113"),"CHI",""))))</f>
        <v/>
      </c>
      <c r="N694" s="117">
        <f>IF($M694="THU",$G694,IF($M694="CHI",$F694,""))</f>
        <v/>
      </c>
      <c r="O694" s="117">
        <f>IF(OR($M694="",$M694="NB"),"",IF($J694&lt;&gt;"",TEXT($J694,"00"),IFERROR(VLOOKUP(LEFT($N694,4),LCTT_MAP!$A$7:$C$66,IF($M694="THU",2,3),FALSE()),IFERROR(VLOOKUP(LEFT($N694,3),LCTT_MAP!$A$7:$C$66,IF($M694="THU",2,3),FALSE()),IFERROR(VLOOKUP(LEFT($N694,2),LCTT_MAP!$A$7:$C$66,IF($M694="THU",2,3),FALSE()),IFERROR(VLOOKUP(LEFT($N694,1),LCTT_MAP!$A$7:$C$66,IF($M694="THU",2,3),FALSE()),IF($M694="THU","06","07")))))))</f>
        <v/>
      </c>
      <c r="P694" s="117">
        <f>P693+IF(AND($H694&lt;&gt;"",OR(LEFT($F694,LEN(SC_TK))=SC_TK,LEFT($G694,LEN(SC_TK))=SC_TK)),1,0)</f>
        <v/>
      </c>
    </row>
    <row r="695" ht="15" customHeight="1" s="78">
      <c r="A695" s="95">
        <f>IF($H695="","",ROW()-6)</f>
        <v/>
      </c>
      <c r="B695" s="114" t="n"/>
      <c r="C695" s="102" t="n"/>
      <c r="D695" s="114" t="n"/>
      <c r="E695" s="103" t="n"/>
      <c r="F695" s="102" t="n"/>
      <c r="G695" s="102" t="n"/>
      <c r="H695" s="115" t="n"/>
      <c r="I695" s="102" t="n"/>
      <c r="J695" s="102" t="n"/>
      <c r="K695" s="103" t="n"/>
      <c r="L695" s="116">
        <f>IF($H695="","",TRIM(IF(COUNTIF(DMTK!$A$7:$A$250,$F695)=0,"TK Nợ sai! ","")&amp;IF(COUNTIF(DMTK!$A$7:$A$250,$G695)=0,"TK Có sai! ","")&amp;IF(N($H695)&lt;=0,"Tiền phải &gt; 0! ","")&amp;IF($B695="","Thiếu ngày! ","")&amp;IF(AND(OR(LEFT($F695,3)="131",LEFT($G695,3)="131",LEFT($F695,3)="331",LEFT($G695,3)="331"),$I695=""),"Thiếu Mã ĐT! ","")&amp;IF(AND($I695&lt;&gt;"",COUNTIF(DM_DT!$A$7:$A$306,$I695)=0),"Mã ĐT chưa khai báo! ","")))</f>
        <v/>
      </c>
      <c r="M695" s="117">
        <f>IF($H695="","",IF(AND(OR(LEFT($F695,3)="111",LEFT($F695,3)="112",LEFT($F695,3)="113"),OR(LEFT($G695,3)="111",LEFT($G695,3)="112",LEFT($G695,3)="113")),"NB",IF(OR(LEFT($F695,3)="111",LEFT($F695,3)="112",LEFT($F695,3)="113"),"THU",IF(OR(LEFT($G695,3)="111",LEFT($G695,3)="112",LEFT($G695,3)="113"),"CHI",""))))</f>
        <v/>
      </c>
      <c r="N695" s="117">
        <f>IF($M695="THU",$G695,IF($M695="CHI",$F695,""))</f>
        <v/>
      </c>
      <c r="O695" s="117">
        <f>IF(OR($M695="",$M695="NB"),"",IF($J695&lt;&gt;"",TEXT($J695,"00"),IFERROR(VLOOKUP(LEFT($N695,4),LCTT_MAP!$A$7:$C$66,IF($M695="THU",2,3),FALSE()),IFERROR(VLOOKUP(LEFT($N695,3),LCTT_MAP!$A$7:$C$66,IF($M695="THU",2,3),FALSE()),IFERROR(VLOOKUP(LEFT($N695,2),LCTT_MAP!$A$7:$C$66,IF($M695="THU",2,3),FALSE()),IFERROR(VLOOKUP(LEFT($N695,1),LCTT_MAP!$A$7:$C$66,IF($M695="THU",2,3),FALSE()),IF($M695="THU","06","07")))))))</f>
        <v/>
      </c>
      <c r="P695" s="117">
        <f>P694+IF(AND($H695&lt;&gt;"",OR(LEFT($F695,LEN(SC_TK))=SC_TK,LEFT($G695,LEN(SC_TK))=SC_TK)),1,0)</f>
        <v/>
      </c>
    </row>
    <row r="696" ht="15" customHeight="1" s="78">
      <c r="A696" s="95">
        <f>IF($H696="","",ROW()-6)</f>
        <v/>
      </c>
      <c r="B696" s="114" t="n"/>
      <c r="C696" s="102" t="n"/>
      <c r="D696" s="114" t="n"/>
      <c r="E696" s="103" t="n"/>
      <c r="F696" s="102" t="n"/>
      <c r="G696" s="102" t="n"/>
      <c r="H696" s="115" t="n"/>
      <c r="I696" s="102" t="n"/>
      <c r="J696" s="102" t="n"/>
      <c r="K696" s="103" t="n"/>
      <c r="L696" s="116">
        <f>IF($H696="","",TRIM(IF(COUNTIF(DMTK!$A$7:$A$250,$F696)=0,"TK Nợ sai! ","")&amp;IF(COUNTIF(DMTK!$A$7:$A$250,$G696)=0,"TK Có sai! ","")&amp;IF(N($H696)&lt;=0,"Tiền phải &gt; 0! ","")&amp;IF($B696="","Thiếu ngày! ","")&amp;IF(AND(OR(LEFT($F696,3)="131",LEFT($G696,3)="131",LEFT($F696,3)="331",LEFT($G696,3)="331"),$I696=""),"Thiếu Mã ĐT! ","")&amp;IF(AND($I696&lt;&gt;"",COUNTIF(DM_DT!$A$7:$A$306,$I696)=0),"Mã ĐT chưa khai báo! ","")))</f>
        <v/>
      </c>
      <c r="M696" s="117">
        <f>IF($H696="","",IF(AND(OR(LEFT($F696,3)="111",LEFT($F696,3)="112",LEFT($F696,3)="113"),OR(LEFT($G696,3)="111",LEFT($G696,3)="112",LEFT($G696,3)="113")),"NB",IF(OR(LEFT($F696,3)="111",LEFT($F696,3)="112",LEFT($F696,3)="113"),"THU",IF(OR(LEFT($G696,3)="111",LEFT($G696,3)="112",LEFT($G696,3)="113"),"CHI",""))))</f>
        <v/>
      </c>
      <c r="N696" s="117">
        <f>IF($M696="THU",$G696,IF($M696="CHI",$F696,""))</f>
        <v/>
      </c>
      <c r="O696" s="117">
        <f>IF(OR($M696="",$M696="NB"),"",IF($J696&lt;&gt;"",TEXT($J696,"00"),IFERROR(VLOOKUP(LEFT($N696,4),LCTT_MAP!$A$7:$C$66,IF($M696="THU",2,3),FALSE()),IFERROR(VLOOKUP(LEFT($N696,3),LCTT_MAP!$A$7:$C$66,IF($M696="THU",2,3),FALSE()),IFERROR(VLOOKUP(LEFT($N696,2),LCTT_MAP!$A$7:$C$66,IF($M696="THU",2,3),FALSE()),IFERROR(VLOOKUP(LEFT($N696,1),LCTT_MAP!$A$7:$C$66,IF($M696="THU",2,3),FALSE()),IF($M696="THU","06","07")))))))</f>
        <v/>
      </c>
      <c r="P696" s="117">
        <f>P695+IF(AND($H696&lt;&gt;"",OR(LEFT($F696,LEN(SC_TK))=SC_TK,LEFT($G696,LEN(SC_TK))=SC_TK)),1,0)</f>
        <v/>
      </c>
    </row>
    <row r="697" ht="15" customHeight="1" s="78">
      <c r="A697" s="95">
        <f>IF($H697="","",ROW()-6)</f>
        <v/>
      </c>
      <c r="B697" s="114" t="n"/>
      <c r="C697" s="102" t="n"/>
      <c r="D697" s="114" t="n"/>
      <c r="E697" s="103" t="n"/>
      <c r="F697" s="102" t="n"/>
      <c r="G697" s="102" t="n"/>
      <c r="H697" s="115" t="n"/>
      <c r="I697" s="102" t="n"/>
      <c r="J697" s="102" t="n"/>
      <c r="K697" s="103" t="n"/>
      <c r="L697" s="116">
        <f>IF($H697="","",TRIM(IF(COUNTIF(DMTK!$A$7:$A$250,$F697)=0,"TK Nợ sai! ","")&amp;IF(COUNTIF(DMTK!$A$7:$A$250,$G697)=0,"TK Có sai! ","")&amp;IF(N($H697)&lt;=0,"Tiền phải &gt; 0! ","")&amp;IF($B697="","Thiếu ngày! ","")&amp;IF(AND(OR(LEFT($F697,3)="131",LEFT($G697,3)="131",LEFT($F697,3)="331",LEFT($G697,3)="331"),$I697=""),"Thiếu Mã ĐT! ","")&amp;IF(AND($I697&lt;&gt;"",COUNTIF(DM_DT!$A$7:$A$306,$I697)=0),"Mã ĐT chưa khai báo! ","")))</f>
        <v/>
      </c>
      <c r="M697" s="117">
        <f>IF($H697="","",IF(AND(OR(LEFT($F697,3)="111",LEFT($F697,3)="112",LEFT($F697,3)="113"),OR(LEFT($G697,3)="111",LEFT($G697,3)="112",LEFT($G697,3)="113")),"NB",IF(OR(LEFT($F697,3)="111",LEFT($F697,3)="112",LEFT($F697,3)="113"),"THU",IF(OR(LEFT($G697,3)="111",LEFT($G697,3)="112",LEFT($G697,3)="113"),"CHI",""))))</f>
        <v/>
      </c>
      <c r="N697" s="117">
        <f>IF($M697="THU",$G697,IF($M697="CHI",$F697,""))</f>
        <v/>
      </c>
      <c r="O697" s="117">
        <f>IF(OR($M697="",$M697="NB"),"",IF($J697&lt;&gt;"",TEXT($J697,"00"),IFERROR(VLOOKUP(LEFT($N697,4),LCTT_MAP!$A$7:$C$66,IF($M697="THU",2,3),FALSE()),IFERROR(VLOOKUP(LEFT($N697,3),LCTT_MAP!$A$7:$C$66,IF($M697="THU",2,3),FALSE()),IFERROR(VLOOKUP(LEFT($N697,2),LCTT_MAP!$A$7:$C$66,IF($M697="THU",2,3),FALSE()),IFERROR(VLOOKUP(LEFT($N697,1),LCTT_MAP!$A$7:$C$66,IF($M697="THU",2,3),FALSE()),IF($M697="THU","06","07")))))))</f>
        <v/>
      </c>
      <c r="P697" s="117">
        <f>P696+IF(AND($H697&lt;&gt;"",OR(LEFT($F697,LEN(SC_TK))=SC_TK,LEFT($G697,LEN(SC_TK))=SC_TK)),1,0)</f>
        <v/>
      </c>
    </row>
    <row r="698" ht="15" customHeight="1" s="78">
      <c r="A698" s="95">
        <f>IF($H698="","",ROW()-6)</f>
        <v/>
      </c>
      <c r="B698" s="114" t="n"/>
      <c r="C698" s="102" t="n"/>
      <c r="D698" s="114" t="n"/>
      <c r="E698" s="103" t="n"/>
      <c r="F698" s="102" t="n"/>
      <c r="G698" s="102" t="n"/>
      <c r="H698" s="115" t="n"/>
      <c r="I698" s="102" t="n"/>
      <c r="J698" s="102" t="n"/>
      <c r="K698" s="103" t="n"/>
      <c r="L698" s="116">
        <f>IF($H698="","",TRIM(IF(COUNTIF(DMTK!$A$7:$A$250,$F698)=0,"TK Nợ sai! ","")&amp;IF(COUNTIF(DMTK!$A$7:$A$250,$G698)=0,"TK Có sai! ","")&amp;IF(N($H698)&lt;=0,"Tiền phải &gt; 0! ","")&amp;IF($B698="","Thiếu ngày! ","")&amp;IF(AND(OR(LEFT($F698,3)="131",LEFT($G698,3)="131",LEFT($F698,3)="331",LEFT($G698,3)="331"),$I698=""),"Thiếu Mã ĐT! ","")&amp;IF(AND($I698&lt;&gt;"",COUNTIF(DM_DT!$A$7:$A$306,$I698)=0),"Mã ĐT chưa khai báo! ","")))</f>
        <v/>
      </c>
      <c r="M698" s="117">
        <f>IF($H698="","",IF(AND(OR(LEFT($F698,3)="111",LEFT($F698,3)="112",LEFT($F698,3)="113"),OR(LEFT($G698,3)="111",LEFT($G698,3)="112",LEFT($G698,3)="113")),"NB",IF(OR(LEFT($F698,3)="111",LEFT($F698,3)="112",LEFT($F698,3)="113"),"THU",IF(OR(LEFT($G698,3)="111",LEFT($G698,3)="112",LEFT($G698,3)="113"),"CHI",""))))</f>
        <v/>
      </c>
      <c r="N698" s="117">
        <f>IF($M698="THU",$G698,IF($M698="CHI",$F698,""))</f>
        <v/>
      </c>
      <c r="O698" s="117">
        <f>IF(OR($M698="",$M698="NB"),"",IF($J698&lt;&gt;"",TEXT($J698,"00"),IFERROR(VLOOKUP(LEFT($N698,4),LCTT_MAP!$A$7:$C$66,IF($M698="THU",2,3),FALSE()),IFERROR(VLOOKUP(LEFT($N698,3),LCTT_MAP!$A$7:$C$66,IF($M698="THU",2,3),FALSE()),IFERROR(VLOOKUP(LEFT($N698,2),LCTT_MAP!$A$7:$C$66,IF($M698="THU",2,3),FALSE()),IFERROR(VLOOKUP(LEFT($N698,1),LCTT_MAP!$A$7:$C$66,IF($M698="THU",2,3),FALSE()),IF($M698="THU","06","07")))))))</f>
        <v/>
      </c>
      <c r="P698" s="117">
        <f>P697+IF(AND($H698&lt;&gt;"",OR(LEFT($F698,LEN(SC_TK))=SC_TK,LEFT($G698,LEN(SC_TK))=SC_TK)),1,0)</f>
        <v/>
      </c>
    </row>
    <row r="699" ht="15" customHeight="1" s="78">
      <c r="A699" s="95">
        <f>IF($H699="","",ROW()-6)</f>
        <v/>
      </c>
      <c r="B699" s="114" t="n"/>
      <c r="C699" s="102" t="n"/>
      <c r="D699" s="114" t="n"/>
      <c r="E699" s="103" t="n"/>
      <c r="F699" s="102" t="n"/>
      <c r="G699" s="102" t="n"/>
      <c r="H699" s="115" t="n"/>
      <c r="I699" s="102" t="n"/>
      <c r="J699" s="102" t="n"/>
      <c r="K699" s="103" t="n"/>
      <c r="L699" s="116">
        <f>IF($H699="","",TRIM(IF(COUNTIF(DMTK!$A$7:$A$250,$F699)=0,"TK Nợ sai! ","")&amp;IF(COUNTIF(DMTK!$A$7:$A$250,$G699)=0,"TK Có sai! ","")&amp;IF(N($H699)&lt;=0,"Tiền phải &gt; 0! ","")&amp;IF($B699="","Thiếu ngày! ","")&amp;IF(AND(OR(LEFT($F699,3)="131",LEFT($G699,3)="131",LEFT($F699,3)="331",LEFT($G699,3)="331"),$I699=""),"Thiếu Mã ĐT! ","")&amp;IF(AND($I699&lt;&gt;"",COUNTIF(DM_DT!$A$7:$A$306,$I699)=0),"Mã ĐT chưa khai báo! ","")))</f>
        <v/>
      </c>
      <c r="M699" s="117">
        <f>IF($H699="","",IF(AND(OR(LEFT($F699,3)="111",LEFT($F699,3)="112",LEFT($F699,3)="113"),OR(LEFT($G699,3)="111",LEFT($G699,3)="112",LEFT($G699,3)="113")),"NB",IF(OR(LEFT($F699,3)="111",LEFT($F699,3)="112",LEFT($F699,3)="113"),"THU",IF(OR(LEFT($G699,3)="111",LEFT($G699,3)="112",LEFT($G699,3)="113"),"CHI",""))))</f>
        <v/>
      </c>
      <c r="N699" s="117">
        <f>IF($M699="THU",$G699,IF($M699="CHI",$F699,""))</f>
        <v/>
      </c>
      <c r="O699" s="117">
        <f>IF(OR($M699="",$M699="NB"),"",IF($J699&lt;&gt;"",TEXT($J699,"00"),IFERROR(VLOOKUP(LEFT($N699,4),LCTT_MAP!$A$7:$C$66,IF($M699="THU",2,3),FALSE()),IFERROR(VLOOKUP(LEFT($N699,3),LCTT_MAP!$A$7:$C$66,IF($M699="THU",2,3),FALSE()),IFERROR(VLOOKUP(LEFT($N699,2),LCTT_MAP!$A$7:$C$66,IF($M699="THU",2,3),FALSE()),IFERROR(VLOOKUP(LEFT($N699,1),LCTT_MAP!$A$7:$C$66,IF($M699="THU",2,3),FALSE()),IF($M699="THU","06","07")))))))</f>
        <v/>
      </c>
      <c r="P699" s="117">
        <f>P698+IF(AND($H699&lt;&gt;"",OR(LEFT($F699,LEN(SC_TK))=SC_TK,LEFT($G699,LEN(SC_TK))=SC_TK)),1,0)</f>
        <v/>
      </c>
    </row>
    <row r="700" ht="15" customHeight="1" s="78">
      <c r="A700" s="95">
        <f>IF($H700="","",ROW()-6)</f>
        <v/>
      </c>
      <c r="B700" s="114" t="n"/>
      <c r="C700" s="102" t="n"/>
      <c r="D700" s="114" t="n"/>
      <c r="E700" s="103" t="n"/>
      <c r="F700" s="102" t="n"/>
      <c r="G700" s="102" t="n"/>
      <c r="H700" s="115" t="n"/>
      <c r="I700" s="102" t="n"/>
      <c r="J700" s="102" t="n"/>
      <c r="K700" s="103" t="n"/>
      <c r="L700" s="116">
        <f>IF($H700="","",TRIM(IF(COUNTIF(DMTK!$A$7:$A$250,$F700)=0,"TK Nợ sai! ","")&amp;IF(COUNTIF(DMTK!$A$7:$A$250,$G700)=0,"TK Có sai! ","")&amp;IF(N($H700)&lt;=0,"Tiền phải &gt; 0! ","")&amp;IF($B700="","Thiếu ngày! ","")&amp;IF(AND(OR(LEFT($F700,3)="131",LEFT($G700,3)="131",LEFT($F700,3)="331",LEFT($G700,3)="331"),$I700=""),"Thiếu Mã ĐT! ","")&amp;IF(AND($I700&lt;&gt;"",COUNTIF(DM_DT!$A$7:$A$306,$I700)=0),"Mã ĐT chưa khai báo! ","")))</f>
        <v/>
      </c>
      <c r="M700" s="117">
        <f>IF($H700="","",IF(AND(OR(LEFT($F700,3)="111",LEFT($F700,3)="112",LEFT($F700,3)="113"),OR(LEFT($G700,3)="111",LEFT($G700,3)="112",LEFT($G700,3)="113")),"NB",IF(OR(LEFT($F700,3)="111",LEFT($F700,3)="112",LEFT($F700,3)="113"),"THU",IF(OR(LEFT($G700,3)="111",LEFT($G700,3)="112",LEFT($G700,3)="113"),"CHI",""))))</f>
        <v/>
      </c>
      <c r="N700" s="117">
        <f>IF($M700="THU",$G700,IF($M700="CHI",$F700,""))</f>
        <v/>
      </c>
      <c r="O700" s="117">
        <f>IF(OR($M700="",$M700="NB"),"",IF($J700&lt;&gt;"",TEXT($J700,"00"),IFERROR(VLOOKUP(LEFT($N700,4),LCTT_MAP!$A$7:$C$66,IF($M700="THU",2,3),FALSE()),IFERROR(VLOOKUP(LEFT($N700,3),LCTT_MAP!$A$7:$C$66,IF($M700="THU",2,3),FALSE()),IFERROR(VLOOKUP(LEFT($N700,2),LCTT_MAP!$A$7:$C$66,IF($M700="THU",2,3),FALSE()),IFERROR(VLOOKUP(LEFT($N700,1),LCTT_MAP!$A$7:$C$66,IF($M700="THU",2,3),FALSE()),IF($M700="THU","06","07")))))))</f>
        <v/>
      </c>
      <c r="P700" s="117">
        <f>P699+IF(AND($H700&lt;&gt;"",OR(LEFT($F700,LEN(SC_TK))=SC_TK,LEFT($G700,LEN(SC_TK))=SC_TK)),1,0)</f>
        <v/>
      </c>
    </row>
    <row r="701" ht="15" customHeight="1" s="78">
      <c r="A701" s="95">
        <f>IF($H701="","",ROW()-6)</f>
        <v/>
      </c>
      <c r="B701" s="114" t="n"/>
      <c r="C701" s="102" t="n"/>
      <c r="D701" s="114" t="n"/>
      <c r="E701" s="103" t="n"/>
      <c r="F701" s="102" t="n"/>
      <c r="G701" s="102" t="n"/>
      <c r="H701" s="115" t="n"/>
      <c r="I701" s="102" t="n"/>
      <c r="J701" s="102" t="n"/>
      <c r="K701" s="103" t="n"/>
      <c r="L701" s="116">
        <f>IF($H701="","",TRIM(IF(COUNTIF(DMTK!$A$7:$A$250,$F701)=0,"TK Nợ sai! ","")&amp;IF(COUNTIF(DMTK!$A$7:$A$250,$G701)=0,"TK Có sai! ","")&amp;IF(N($H701)&lt;=0,"Tiền phải &gt; 0! ","")&amp;IF($B701="","Thiếu ngày! ","")&amp;IF(AND(OR(LEFT($F701,3)="131",LEFT($G701,3)="131",LEFT($F701,3)="331",LEFT($G701,3)="331"),$I701=""),"Thiếu Mã ĐT! ","")&amp;IF(AND($I701&lt;&gt;"",COUNTIF(DM_DT!$A$7:$A$306,$I701)=0),"Mã ĐT chưa khai báo! ","")))</f>
        <v/>
      </c>
      <c r="M701" s="117">
        <f>IF($H701="","",IF(AND(OR(LEFT($F701,3)="111",LEFT($F701,3)="112",LEFT($F701,3)="113"),OR(LEFT($G701,3)="111",LEFT($G701,3)="112",LEFT($G701,3)="113")),"NB",IF(OR(LEFT($F701,3)="111",LEFT($F701,3)="112",LEFT($F701,3)="113"),"THU",IF(OR(LEFT($G701,3)="111",LEFT($G701,3)="112",LEFT($G701,3)="113"),"CHI",""))))</f>
        <v/>
      </c>
      <c r="N701" s="117">
        <f>IF($M701="THU",$G701,IF($M701="CHI",$F701,""))</f>
        <v/>
      </c>
      <c r="O701" s="117">
        <f>IF(OR($M701="",$M701="NB"),"",IF($J701&lt;&gt;"",TEXT($J701,"00"),IFERROR(VLOOKUP(LEFT($N701,4),LCTT_MAP!$A$7:$C$66,IF($M701="THU",2,3),FALSE()),IFERROR(VLOOKUP(LEFT($N701,3),LCTT_MAP!$A$7:$C$66,IF($M701="THU",2,3),FALSE()),IFERROR(VLOOKUP(LEFT($N701,2),LCTT_MAP!$A$7:$C$66,IF($M701="THU",2,3),FALSE()),IFERROR(VLOOKUP(LEFT($N701,1),LCTT_MAP!$A$7:$C$66,IF($M701="THU",2,3),FALSE()),IF($M701="THU","06","07")))))))</f>
        <v/>
      </c>
      <c r="P701" s="117">
        <f>P700+IF(AND($H701&lt;&gt;"",OR(LEFT($F701,LEN(SC_TK))=SC_TK,LEFT($G701,LEN(SC_TK))=SC_TK)),1,0)</f>
        <v/>
      </c>
    </row>
    <row r="702" ht="15" customHeight="1" s="78">
      <c r="A702" s="95">
        <f>IF($H702="","",ROW()-6)</f>
        <v/>
      </c>
      <c r="B702" s="114" t="n"/>
      <c r="C702" s="102" t="n"/>
      <c r="D702" s="114" t="n"/>
      <c r="E702" s="103" t="n"/>
      <c r="F702" s="102" t="n"/>
      <c r="G702" s="102" t="n"/>
      <c r="H702" s="115" t="n"/>
      <c r="I702" s="102" t="n"/>
      <c r="J702" s="102" t="n"/>
      <c r="K702" s="103" t="n"/>
      <c r="L702" s="116">
        <f>IF($H702="","",TRIM(IF(COUNTIF(DMTK!$A$7:$A$250,$F702)=0,"TK Nợ sai! ","")&amp;IF(COUNTIF(DMTK!$A$7:$A$250,$G702)=0,"TK Có sai! ","")&amp;IF(N($H702)&lt;=0,"Tiền phải &gt; 0! ","")&amp;IF($B702="","Thiếu ngày! ","")&amp;IF(AND(OR(LEFT($F702,3)="131",LEFT($G702,3)="131",LEFT($F702,3)="331",LEFT($G702,3)="331"),$I702=""),"Thiếu Mã ĐT! ","")&amp;IF(AND($I702&lt;&gt;"",COUNTIF(DM_DT!$A$7:$A$306,$I702)=0),"Mã ĐT chưa khai báo! ","")))</f>
        <v/>
      </c>
      <c r="M702" s="117">
        <f>IF($H702="","",IF(AND(OR(LEFT($F702,3)="111",LEFT($F702,3)="112",LEFT($F702,3)="113"),OR(LEFT($G702,3)="111",LEFT($G702,3)="112",LEFT($G702,3)="113")),"NB",IF(OR(LEFT($F702,3)="111",LEFT($F702,3)="112",LEFT($F702,3)="113"),"THU",IF(OR(LEFT($G702,3)="111",LEFT($G702,3)="112",LEFT($G702,3)="113"),"CHI",""))))</f>
        <v/>
      </c>
      <c r="N702" s="117">
        <f>IF($M702="THU",$G702,IF($M702="CHI",$F702,""))</f>
        <v/>
      </c>
      <c r="O702" s="117">
        <f>IF(OR($M702="",$M702="NB"),"",IF($J702&lt;&gt;"",TEXT($J702,"00"),IFERROR(VLOOKUP(LEFT($N702,4),LCTT_MAP!$A$7:$C$66,IF($M702="THU",2,3),FALSE()),IFERROR(VLOOKUP(LEFT($N702,3),LCTT_MAP!$A$7:$C$66,IF($M702="THU",2,3),FALSE()),IFERROR(VLOOKUP(LEFT($N702,2),LCTT_MAP!$A$7:$C$66,IF($M702="THU",2,3),FALSE()),IFERROR(VLOOKUP(LEFT($N702,1),LCTT_MAP!$A$7:$C$66,IF($M702="THU",2,3),FALSE()),IF($M702="THU","06","07")))))))</f>
        <v/>
      </c>
      <c r="P702" s="117">
        <f>P701+IF(AND($H702&lt;&gt;"",OR(LEFT($F702,LEN(SC_TK))=SC_TK,LEFT($G702,LEN(SC_TK))=SC_TK)),1,0)</f>
        <v/>
      </c>
    </row>
    <row r="703" ht="15" customHeight="1" s="78">
      <c r="A703" s="95">
        <f>IF($H703="","",ROW()-6)</f>
        <v/>
      </c>
      <c r="B703" s="114" t="n"/>
      <c r="C703" s="102" t="n"/>
      <c r="D703" s="114" t="n"/>
      <c r="E703" s="103" t="n"/>
      <c r="F703" s="102" t="n"/>
      <c r="G703" s="102" t="n"/>
      <c r="H703" s="115" t="n"/>
      <c r="I703" s="102" t="n"/>
      <c r="J703" s="102" t="n"/>
      <c r="K703" s="103" t="n"/>
      <c r="L703" s="116">
        <f>IF($H703="","",TRIM(IF(COUNTIF(DMTK!$A$7:$A$250,$F703)=0,"TK Nợ sai! ","")&amp;IF(COUNTIF(DMTK!$A$7:$A$250,$G703)=0,"TK Có sai! ","")&amp;IF(N($H703)&lt;=0,"Tiền phải &gt; 0! ","")&amp;IF($B703="","Thiếu ngày! ","")&amp;IF(AND(OR(LEFT($F703,3)="131",LEFT($G703,3)="131",LEFT($F703,3)="331",LEFT($G703,3)="331"),$I703=""),"Thiếu Mã ĐT! ","")&amp;IF(AND($I703&lt;&gt;"",COUNTIF(DM_DT!$A$7:$A$306,$I703)=0),"Mã ĐT chưa khai báo! ","")))</f>
        <v/>
      </c>
      <c r="M703" s="117">
        <f>IF($H703="","",IF(AND(OR(LEFT($F703,3)="111",LEFT($F703,3)="112",LEFT($F703,3)="113"),OR(LEFT($G703,3)="111",LEFT($G703,3)="112",LEFT($G703,3)="113")),"NB",IF(OR(LEFT($F703,3)="111",LEFT($F703,3)="112",LEFT($F703,3)="113"),"THU",IF(OR(LEFT($G703,3)="111",LEFT($G703,3)="112",LEFT($G703,3)="113"),"CHI",""))))</f>
        <v/>
      </c>
      <c r="N703" s="117">
        <f>IF($M703="THU",$G703,IF($M703="CHI",$F703,""))</f>
        <v/>
      </c>
      <c r="O703" s="117">
        <f>IF(OR($M703="",$M703="NB"),"",IF($J703&lt;&gt;"",TEXT($J703,"00"),IFERROR(VLOOKUP(LEFT($N703,4),LCTT_MAP!$A$7:$C$66,IF($M703="THU",2,3),FALSE()),IFERROR(VLOOKUP(LEFT($N703,3),LCTT_MAP!$A$7:$C$66,IF($M703="THU",2,3),FALSE()),IFERROR(VLOOKUP(LEFT($N703,2),LCTT_MAP!$A$7:$C$66,IF($M703="THU",2,3),FALSE()),IFERROR(VLOOKUP(LEFT($N703,1),LCTT_MAP!$A$7:$C$66,IF($M703="THU",2,3),FALSE()),IF($M703="THU","06","07")))))))</f>
        <v/>
      </c>
      <c r="P703" s="117">
        <f>P702+IF(AND($H703&lt;&gt;"",OR(LEFT($F703,LEN(SC_TK))=SC_TK,LEFT($G703,LEN(SC_TK))=SC_TK)),1,0)</f>
        <v/>
      </c>
    </row>
    <row r="704" ht="15" customHeight="1" s="78">
      <c r="A704" s="95">
        <f>IF($H704="","",ROW()-6)</f>
        <v/>
      </c>
      <c r="B704" s="114" t="n"/>
      <c r="C704" s="102" t="n"/>
      <c r="D704" s="114" t="n"/>
      <c r="E704" s="103" t="n"/>
      <c r="F704" s="102" t="n"/>
      <c r="G704" s="102" t="n"/>
      <c r="H704" s="115" t="n"/>
      <c r="I704" s="102" t="n"/>
      <c r="J704" s="102" t="n"/>
      <c r="K704" s="103" t="n"/>
      <c r="L704" s="116">
        <f>IF($H704="","",TRIM(IF(COUNTIF(DMTK!$A$7:$A$250,$F704)=0,"TK Nợ sai! ","")&amp;IF(COUNTIF(DMTK!$A$7:$A$250,$G704)=0,"TK Có sai! ","")&amp;IF(N($H704)&lt;=0,"Tiền phải &gt; 0! ","")&amp;IF($B704="","Thiếu ngày! ","")&amp;IF(AND(OR(LEFT($F704,3)="131",LEFT($G704,3)="131",LEFT($F704,3)="331",LEFT($G704,3)="331"),$I704=""),"Thiếu Mã ĐT! ","")&amp;IF(AND($I704&lt;&gt;"",COUNTIF(DM_DT!$A$7:$A$306,$I704)=0),"Mã ĐT chưa khai báo! ","")))</f>
        <v/>
      </c>
      <c r="M704" s="117">
        <f>IF($H704="","",IF(AND(OR(LEFT($F704,3)="111",LEFT($F704,3)="112",LEFT($F704,3)="113"),OR(LEFT($G704,3)="111",LEFT($G704,3)="112",LEFT($G704,3)="113")),"NB",IF(OR(LEFT($F704,3)="111",LEFT($F704,3)="112",LEFT($F704,3)="113"),"THU",IF(OR(LEFT($G704,3)="111",LEFT($G704,3)="112",LEFT($G704,3)="113"),"CHI",""))))</f>
        <v/>
      </c>
      <c r="N704" s="117">
        <f>IF($M704="THU",$G704,IF($M704="CHI",$F704,""))</f>
        <v/>
      </c>
      <c r="O704" s="117">
        <f>IF(OR($M704="",$M704="NB"),"",IF($J704&lt;&gt;"",TEXT($J704,"00"),IFERROR(VLOOKUP(LEFT($N704,4),LCTT_MAP!$A$7:$C$66,IF($M704="THU",2,3),FALSE()),IFERROR(VLOOKUP(LEFT($N704,3),LCTT_MAP!$A$7:$C$66,IF($M704="THU",2,3),FALSE()),IFERROR(VLOOKUP(LEFT($N704,2),LCTT_MAP!$A$7:$C$66,IF($M704="THU",2,3),FALSE()),IFERROR(VLOOKUP(LEFT($N704,1),LCTT_MAP!$A$7:$C$66,IF($M704="THU",2,3),FALSE()),IF($M704="THU","06","07")))))))</f>
        <v/>
      </c>
      <c r="P704" s="117">
        <f>P703+IF(AND($H704&lt;&gt;"",OR(LEFT($F704,LEN(SC_TK))=SC_TK,LEFT($G704,LEN(SC_TK))=SC_TK)),1,0)</f>
        <v/>
      </c>
    </row>
    <row r="705" ht="15" customHeight="1" s="78">
      <c r="A705" s="95">
        <f>IF($H705="","",ROW()-6)</f>
        <v/>
      </c>
      <c r="B705" s="114" t="n"/>
      <c r="C705" s="102" t="n"/>
      <c r="D705" s="114" t="n"/>
      <c r="E705" s="103" t="n"/>
      <c r="F705" s="102" t="n"/>
      <c r="G705" s="102" t="n"/>
      <c r="H705" s="115" t="n"/>
      <c r="I705" s="102" t="n"/>
      <c r="J705" s="102" t="n"/>
      <c r="K705" s="103" t="n"/>
      <c r="L705" s="116">
        <f>IF($H705="","",TRIM(IF(COUNTIF(DMTK!$A$7:$A$250,$F705)=0,"TK Nợ sai! ","")&amp;IF(COUNTIF(DMTK!$A$7:$A$250,$G705)=0,"TK Có sai! ","")&amp;IF(N($H705)&lt;=0,"Tiền phải &gt; 0! ","")&amp;IF($B705="","Thiếu ngày! ","")&amp;IF(AND(OR(LEFT($F705,3)="131",LEFT($G705,3)="131",LEFT($F705,3)="331",LEFT($G705,3)="331"),$I705=""),"Thiếu Mã ĐT! ","")&amp;IF(AND($I705&lt;&gt;"",COUNTIF(DM_DT!$A$7:$A$306,$I705)=0),"Mã ĐT chưa khai báo! ","")))</f>
        <v/>
      </c>
      <c r="M705" s="117">
        <f>IF($H705="","",IF(AND(OR(LEFT($F705,3)="111",LEFT($F705,3)="112",LEFT($F705,3)="113"),OR(LEFT($G705,3)="111",LEFT($G705,3)="112",LEFT($G705,3)="113")),"NB",IF(OR(LEFT($F705,3)="111",LEFT($F705,3)="112",LEFT($F705,3)="113"),"THU",IF(OR(LEFT($G705,3)="111",LEFT($G705,3)="112",LEFT($G705,3)="113"),"CHI",""))))</f>
        <v/>
      </c>
      <c r="N705" s="117">
        <f>IF($M705="THU",$G705,IF($M705="CHI",$F705,""))</f>
        <v/>
      </c>
      <c r="O705" s="117">
        <f>IF(OR($M705="",$M705="NB"),"",IF($J705&lt;&gt;"",TEXT($J705,"00"),IFERROR(VLOOKUP(LEFT($N705,4),LCTT_MAP!$A$7:$C$66,IF($M705="THU",2,3),FALSE()),IFERROR(VLOOKUP(LEFT($N705,3),LCTT_MAP!$A$7:$C$66,IF($M705="THU",2,3),FALSE()),IFERROR(VLOOKUP(LEFT($N705,2),LCTT_MAP!$A$7:$C$66,IF($M705="THU",2,3),FALSE()),IFERROR(VLOOKUP(LEFT($N705,1),LCTT_MAP!$A$7:$C$66,IF($M705="THU",2,3),FALSE()),IF($M705="THU","06","07")))))))</f>
        <v/>
      </c>
      <c r="P705" s="117">
        <f>P704+IF(AND($H705&lt;&gt;"",OR(LEFT($F705,LEN(SC_TK))=SC_TK,LEFT($G705,LEN(SC_TK))=SC_TK)),1,0)</f>
        <v/>
      </c>
    </row>
    <row r="706" ht="15" customHeight="1" s="78">
      <c r="A706" s="95">
        <f>IF($H706="","",ROW()-6)</f>
        <v/>
      </c>
      <c r="B706" s="114" t="n"/>
      <c r="C706" s="102" t="n"/>
      <c r="D706" s="114" t="n"/>
      <c r="E706" s="103" t="n"/>
      <c r="F706" s="102" t="n"/>
      <c r="G706" s="102" t="n"/>
      <c r="H706" s="115" t="n"/>
      <c r="I706" s="102" t="n"/>
      <c r="J706" s="102" t="n"/>
      <c r="K706" s="103" t="n"/>
      <c r="L706" s="116">
        <f>IF($H706="","",TRIM(IF(COUNTIF(DMTK!$A$7:$A$250,$F706)=0,"TK Nợ sai! ","")&amp;IF(COUNTIF(DMTK!$A$7:$A$250,$G706)=0,"TK Có sai! ","")&amp;IF(N($H706)&lt;=0,"Tiền phải &gt; 0! ","")&amp;IF($B706="","Thiếu ngày! ","")&amp;IF(AND(OR(LEFT($F706,3)="131",LEFT($G706,3)="131",LEFT($F706,3)="331",LEFT($G706,3)="331"),$I706=""),"Thiếu Mã ĐT! ","")&amp;IF(AND($I706&lt;&gt;"",COUNTIF(DM_DT!$A$7:$A$306,$I706)=0),"Mã ĐT chưa khai báo! ","")))</f>
        <v/>
      </c>
      <c r="M706" s="117">
        <f>IF($H706="","",IF(AND(OR(LEFT($F706,3)="111",LEFT($F706,3)="112",LEFT($F706,3)="113"),OR(LEFT($G706,3)="111",LEFT($G706,3)="112",LEFT($G706,3)="113")),"NB",IF(OR(LEFT($F706,3)="111",LEFT($F706,3)="112",LEFT($F706,3)="113"),"THU",IF(OR(LEFT($G706,3)="111",LEFT($G706,3)="112",LEFT($G706,3)="113"),"CHI",""))))</f>
        <v/>
      </c>
      <c r="N706" s="117">
        <f>IF($M706="THU",$G706,IF($M706="CHI",$F706,""))</f>
        <v/>
      </c>
      <c r="O706" s="117">
        <f>IF(OR($M706="",$M706="NB"),"",IF($J706&lt;&gt;"",TEXT($J706,"00"),IFERROR(VLOOKUP(LEFT($N706,4),LCTT_MAP!$A$7:$C$66,IF($M706="THU",2,3),FALSE()),IFERROR(VLOOKUP(LEFT($N706,3),LCTT_MAP!$A$7:$C$66,IF($M706="THU",2,3),FALSE()),IFERROR(VLOOKUP(LEFT($N706,2),LCTT_MAP!$A$7:$C$66,IF($M706="THU",2,3),FALSE()),IFERROR(VLOOKUP(LEFT($N706,1),LCTT_MAP!$A$7:$C$66,IF($M706="THU",2,3),FALSE()),IF($M706="THU","06","07")))))))</f>
        <v/>
      </c>
      <c r="P706" s="117">
        <f>P705+IF(AND($H706&lt;&gt;"",OR(LEFT($F706,LEN(SC_TK))=SC_TK,LEFT($G706,LEN(SC_TK))=SC_TK)),1,0)</f>
        <v/>
      </c>
    </row>
    <row r="707" ht="15" customHeight="1" s="78">
      <c r="A707" s="95">
        <f>IF($H707="","",ROW()-6)</f>
        <v/>
      </c>
      <c r="B707" s="114" t="n"/>
      <c r="C707" s="102" t="n"/>
      <c r="D707" s="114" t="n"/>
      <c r="E707" s="103" t="n"/>
      <c r="F707" s="102" t="n"/>
      <c r="G707" s="102" t="n"/>
      <c r="H707" s="115" t="n"/>
      <c r="I707" s="102" t="n"/>
      <c r="J707" s="102" t="n"/>
      <c r="K707" s="103" t="n"/>
      <c r="L707" s="116">
        <f>IF($H707="","",TRIM(IF(COUNTIF(DMTK!$A$7:$A$250,$F707)=0,"TK Nợ sai! ","")&amp;IF(COUNTIF(DMTK!$A$7:$A$250,$G707)=0,"TK Có sai! ","")&amp;IF(N($H707)&lt;=0,"Tiền phải &gt; 0! ","")&amp;IF($B707="","Thiếu ngày! ","")&amp;IF(AND(OR(LEFT($F707,3)="131",LEFT($G707,3)="131",LEFT($F707,3)="331",LEFT($G707,3)="331"),$I707=""),"Thiếu Mã ĐT! ","")&amp;IF(AND($I707&lt;&gt;"",COUNTIF(DM_DT!$A$7:$A$306,$I707)=0),"Mã ĐT chưa khai báo! ","")))</f>
        <v/>
      </c>
      <c r="M707" s="117">
        <f>IF($H707="","",IF(AND(OR(LEFT($F707,3)="111",LEFT($F707,3)="112",LEFT($F707,3)="113"),OR(LEFT($G707,3)="111",LEFT($G707,3)="112",LEFT($G707,3)="113")),"NB",IF(OR(LEFT($F707,3)="111",LEFT($F707,3)="112",LEFT($F707,3)="113"),"THU",IF(OR(LEFT($G707,3)="111",LEFT($G707,3)="112",LEFT($G707,3)="113"),"CHI",""))))</f>
        <v/>
      </c>
      <c r="N707" s="117">
        <f>IF($M707="THU",$G707,IF($M707="CHI",$F707,""))</f>
        <v/>
      </c>
      <c r="O707" s="117">
        <f>IF(OR($M707="",$M707="NB"),"",IF($J707&lt;&gt;"",TEXT($J707,"00"),IFERROR(VLOOKUP(LEFT($N707,4),LCTT_MAP!$A$7:$C$66,IF($M707="THU",2,3),FALSE()),IFERROR(VLOOKUP(LEFT($N707,3),LCTT_MAP!$A$7:$C$66,IF($M707="THU",2,3),FALSE()),IFERROR(VLOOKUP(LEFT($N707,2),LCTT_MAP!$A$7:$C$66,IF($M707="THU",2,3),FALSE()),IFERROR(VLOOKUP(LEFT($N707,1),LCTT_MAP!$A$7:$C$66,IF($M707="THU",2,3),FALSE()),IF($M707="THU","06","07")))))))</f>
        <v/>
      </c>
      <c r="P707" s="117">
        <f>P706+IF(AND($H707&lt;&gt;"",OR(LEFT($F707,LEN(SC_TK))=SC_TK,LEFT($G707,LEN(SC_TK))=SC_TK)),1,0)</f>
        <v/>
      </c>
    </row>
    <row r="708" ht="15" customHeight="1" s="78">
      <c r="A708" s="95">
        <f>IF($H708="","",ROW()-6)</f>
        <v/>
      </c>
      <c r="B708" s="114" t="n"/>
      <c r="C708" s="102" t="n"/>
      <c r="D708" s="114" t="n"/>
      <c r="E708" s="103" t="n"/>
      <c r="F708" s="102" t="n"/>
      <c r="G708" s="102" t="n"/>
      <c r="H708" s="115" t="n"/>
      <c r="I708" s="102" t="n"/>
      <c r="J708" s="102" t="n"/>
      <c r="K708" s="103" t="n"/>
      <c r="L708" s="116">
        <f>IF($H708="","",TRIM(IF(COUNTIF(DMTK!$A$7:$A$250,$F708)=0,"TK Nợ sai! ","")&amp;IF(COUNTIF(DMTK!$A$7:$A$250,$G708)=0,"TK Có sai! ","")&amp;IF(N($H708)&lt;=0,"Tiền phải &gt; 0! ","")&amp;IF($B708="","Thiếu ngày! ","")&amp;IF(AND(OR(LEFT($F708,3)="131",LEFT($G708,3)="131",LEFT($F708,3)="331",LEFT($G708,3)="331"),$I708=""),"Thiếu Mã ĐT! ","")&amp;IF(AND($I708&lt;&gt;"",COUNTIF(DM_DT!$A$7:$A$306,$I708)=0),"Mã ĐT chưa khai báo! ","")))</f>
        <v/>
      </c>
      <c r="M708" s="117">
        <f>IF($H708="","",IF(AND(OR(LEFT($F708,3)="111",LEFT($F708,3)="112",LEFT($F708,3)="113"),OR(LEFT($G708,3)="111",LEFT($G708,3)="112",LEFT($G708,3)="113")),"NB",IF(OR(LEFT($F708,3)="111",LEFT($F708,3)="112",LEFT($F708,3)="113"),"THU",IF(OR(LEFT($G708,3)="111",LEFT($G708,3)="112",LEFT($G708,3)="113"),"CHI",""))))</f>
        <v/>
      </c>
      <c r="N708" s="117">
        <f>IF($M708="THU",$G708,IF($M708="CHI",$F708,""))</f>
        <v/>
      </c>
      <c r="O708" s="117">
        <f>IF(OR($M708="",$M708="NB"),"",IF($J708&lt;&gt;"",TEXT($J708,"00"),IFERROR(VLOOKUP(LEFT($N708,4),LCTT_MAP!$A$7:$C$66,IF($M708="THU",2,3),FALSE()),IFERROR(VLOOKUP(LEFT($N708,3),LCTT_MAP!$A$7:$C$66,IF($M708="THU",2,3),FALSE()),IFERROR(VLOOKUP(LEFT($N708,2),LCTT_MAP!$A$7:$C$66,IF($M708="THU",2,3),FALSE()),IFERROR(VLOOKUP(LEFT($N708,1),LCTT_MAP!$A$7:$C$66,IF($M708="THU",2,3),FALSE()),IF($M708="THU","06","07")))))))</f>
        <v/>
      </c>
      <c r="P708" s="117">
        <f>P707+IF(AND($H708&lt;&gt;"",OR(LEFT($F708,LEN(SC_TK))=SC_TK,LEFT($G708,LEN(SC_TK))=SC_TK)),1,0)</f>
        <v/>
      </c>
    </row>
    <row r="709" ht="15" customHeight="1" s="78">
      <c r="A709" s="95">
        <f>IF($H709="","",ROW()-6)</f>
        <v/>
      </c>
      <c r="B709" s="114" t="n"/>
      <c r="C709" s="102" t="n"/>
      <c r="D709" s="114" t="n"/>
      <c r="E709" s="103" t="n"/>
      <c r="F709" s="102" t="n"/>
      <c r="G709" s="102" t="n"/>
      <c r="H709" s="115" t="n"/>
      <c r="I709" s="102" t="n"/>
      <c r="J709" s="102" t="n"/>
      <c r="K709" s="103" t="n"/>
      <c r="L709" s="116">
        <f>IF($H709="","",TRIM(IF(COUNTIF(DMTK!$A$7:$A$250,$F709)=0,"TK Nợ sai! ","")&amp;IF(COUNTIF(DMTK!$A$7:$A$250,$G709)=0,"TK Có sai! ","")&amp;IF(N($H709)&lt;=0,"Tiền phải &gt; 0! ","")&amp;IF($B709="","Thiếu ngày! ","")&amp;IF(AND(OR(LEFT($F709,3)="131",LEFT($G709,3)="131",LEFT($F709,3)="331",LEFT($G709,3)="331"),$I709=""),"Thiếu Mã ĐT! ","")&amp;IF(AND($I709&lt;&gt;"",COUNTIF(DM_DT!$A$7:$A$306,$I709)=0),"Mã ĐT chưa khai báo! ","")))</f>
        <v/>
      </c>
      <c r="M709" s="117">
        <f>IF($H709="","",IF(AND(OR(LEFT($F709,3)="111",LEFT($F709,3)="112",LEFT($F709,3)="113"),OR(LEFT($G709,3)="111",LEFT($G709,3)="112",LEFT($G709,3)="113")),"NB",IF(OR(LEFT($F709,3)="111",LEFT($F709,3)="112",LEFT($F709,3)="113"),"THU",IF(OR(LEFT($G709,3)="111",LEFT($G709,3)="112",LEFT($G709,3)="113"),"CHI",""))))</f>
        <v/>
      </c>
      <c r="N709" s="117">
        <f>IF($M709="THU",$G709,IF($M709="CHI",$F709,""))</f>
        <v/>
      </c>
      <c r="O709" s="117">
        <f>IF(OR($M709="",$M709="NB"),"",IF($J709&lt;&gt;"",TEXT($J709,"00"),IFERROR(VLOOKUP(LEFT($N709,4),LCTT_MAP!$A$7:$C$66,IF($M709="THU",2,3),FALSE()),IFERROR(VLOOKUP(LEFT($N709,3),LCTT_MAP!$A$7:$C$66,IF($M709="THU",2,3),FALSE()),IFERROR(VLOOKUP(LEFT($N709,2),LCTT_MAP!$A$7:$C$66,IF($M709="THU",2,3),FALSE()),IFERROR(VLOOKUP(LEFT($N709,1),LCTT_MAP!$A$7:$C$66,IF($M709="THU",2,3),FALSE()),IF($M709="THU","06","07")))))))</f>
        <v/>
      </c>
      <c r="P709" s="117">
        <f>P708+IF(AND($H709&lt;&gt;"",OR(LEFT($F709,LEN(SC_TK))=SC_TK,LEFT($G709,LEN(SC_TK))=SC_TK)),1,0)</f>
        <v/>
      </c>
    </row>
    <row r="710" ht="15" customHeight="1" s="78">
      <c r="A710" s="95">
        <f>IF($H710="","",ROW()-6)</f>
        <v/>
      </c>
      <c r="B710" s="114" t="n"/>
      <c r="C710" s="102" t="n"/>
      <c r="D710" s="114" t="n"/>
      <c r="E710" s="103" t="n"/>
      <c r="F710" s="102" t="n"/>
      <c r="G710" s="102" t="n"/>
      <c r="H710" s="115" t="n"/>
      <c r="I710" s="102" t="n"/>
      <c r="J710" s="102" t="n"/>
      <c r="K710" s="103" t="n"/>
      <c r="L710" s="116">
        <f>IF($H710="","",TRIM(IF(COUNTIF(DMTK!$A$7:$A$250,$F710)=0,"TK Nợ sai! ","")&amp;IF(COUNTIF(DMTK!$A$7:$A$250,$G710)=0,"TK Có sai! ","")&amp;IF(N($H710)&lt;=0,"Tiền phải &gt; 0! ","")&amp;IF($B710="","Thiếu ngày! ","")&amp;IF(AND(OR(LEFT($F710,3)="131",LEFT($G710,3)="131",LEFT($F710,3)="331",LEFT($G710,3)="331"),$I710=""),"Thiếu Mã ĐT! ","")&amp;IF(AND($I710&lt;&gt;"",COUNTIF(DM_DT!$A$7:$A$306,$I710)=0),"Mã ĐT chưa khai báo! ","")))</f>
        <v/>
      </c>
      <c r="M710" s="117">
        <f>IF($H710="","",IF(AND(OR(LEFT($F710,3)="111",LEFT($F710,3)="112",LEFT($F710,3)="113"),OR(LEFT($G710,3)="111",LEFT($G710,3)="112",LEFT($G710,3)="113")),"NB",IF(OR(LEFT($F710,3)="111",LEFT($F710,3)="112",LEFT($F710,3)="113"),"THU",IF(OR(LEFT($G710,3)="111",LEFT($G710,3)="112",LEFT($G710,3)="113"),"CHI",""))))</f>
        <v/>
      </c>
      <c r="N710" s="117">
        <f>IF($M710="THU",$G710,IF($M710="CHI",$F710,""))</f>
        <v/>
      </c>
      <c r="O710" s="117">
        <f>IF(OR($M710="",$M710="NB"),"",IF($J710&lt;&gt;"",TEXT($J710,"00"),IFERROR(VLOOKUP(LEFT($N710,4),LCTT_MAP!$A$7:$C$66,IF($M710="THU",2,3),FALSE()),IFERROR(VLOOKUP(LEFT($N710,3),LCTT_MAP!$A$7:$C$66,IF($M710="THU",2,3),FALSE()),IFERROR(VLOOKUP(LEFT($N710,2),LCTT_MAP!$A$7:$C$66,IF($M710="THU",2,3),FALSE()),IFERROR(VLOOKUP(LEFT($N710,1),LCTT_MAP!$A$7:$C$66,IF($M710="THU",2,3),FALSE()),IF($M710="THU","06","07")))))))</f>
        <v/>
      </c>
      <c r="P710" s="117">
        <f>P709+IF(AND($H710&lt;&gt;"",OR(LEFT($F710,LEN(SC_TK))=SC_TK,LEFT($G710,LEN(SC_TK))=SC_TK)),1,0)</f>
        <v/>
      </c>
    </row>
    <row r="711" ht="15" customHeight="1" s="78">
      <c r="A711" s="95">
        <f>IF($H711="","",ROW()-6)</f>
        <v/>
      </c>
      <c r="B711" s="114" t="n"/>
      <c r="C711" s="102" t="n"/>
      <c r="D711" s="114" t="n"/>
      <c r="E711" s="103" t="n"/>
      <c r="F711" s="102" t="n"/>
      <c r="G711" s="102" t="n"/>
      <c r="H711" s="115" t="n"/>
      <c r="I711" s="102" t="n"/>
      <c r="J711" s="102" t="n"/>
      <c r="K711" s="103" t="n"/>
      <c r="L711" s="116">
        <f>IF($H711="","",TRIM(IF(COUNTIF(DMTK!$A$7:$A$250,$F711)=0,"TK Nợ sai! ","")&amp;IF(COUNTIF(DMTK!$A$7:$A$250,$G711)=0,"TK Có sai! ","")&amp;IF(N($H711)&lt;=0,"Tiền phải &gt; 0! ","")&amp;IF($B711="","Thiếu ngày! ","")&amp;IF(AND(OR(LEFT($F711,3)="131",LEFT($G711,3)="131",LEFT($F711,3)="331",LEFT($G711,3)="331"),$I711=""),"Thiếu Mã ĐT! ","")&amp;IF(AND($I711&lt;&gt;"",COUNTIF(DM_DT!$A$7:$A$306,$I711)=0),"Mã ĐT chưa khai báo! ","")))</f>
        <v/>
      </c>
      <c r="M711" s="117">
        <f>IF($H711="","",IF(AND(OR(LEFT($F711,3)="111",LEFT($F711,3)="112",LEFT($F711,3)="113"),OR(LEFT($G711,3)="111",LEFT($G711,3)="112",LEFT($G711,3)="113")),"NB",IF(OR(LEFT($F711,3)="111",LEFT($F711,3)="112",LEFT($F711,3)="113"),"THU",IF(OR(LEFT($G711,3)="111",LEFT($G711,3)="112",LEFT($G711,3)="113"),"CHI",""))))</f>
        <v/>
      </c>
      <c r="N711" s="117">
        <f>IF($M711="THU",$G711,IF($M711="CHI",$F711,""))</f>
        <v/>
      </c>
      <c r="O711" s="117">
        <f>IF(OR($M711="",$M711="NB"),"",IF($J711&lt;&gt;"",TEXT($J711,"00"),IFERROR(VLOOKUP(LEFT($N711,4),LCTT_MAP!$A$7:$C$66,IF($M711="THU",2,3),FALSE()),IFERROR(VLOOKUP(LEFT($N711,3),LCTT_MAP!$A$7:$C$66,IF($M711="THU",2,3),FALSE()),IFERROR(VLOOKUP(LEFT($N711,2),LCTT_MAP!$A$7:$C$66,IF($M711="THU",2,3),FALSE()),IFERROR(VLOOKUP(LEFT($N711,1),LCTT_MAP!$A$7:$C$66,IF($M711="THU",2,3),FALSE()),IF($M711="THU","06","07")))))))</f>
        <v/>
      </c>
      <c r="P711" s="117">
        <f>P710+IF(AND($H711&lt;&gt;"",OR(LEFT($F711,LEN(SC_TK))=SC_TK,LEFT($G711,LEN(SC_TK))=SC_TK)),1,0)</f>
        <v/>
      </c>
    </row>
    <row r="712" ht="15" customHeight="1" s="78">
      <c r="A712" s="95">
        <f>IF($H712="","",ROW()-6)</f>
        <v/>
      </c>
      <c r="B712" s="114" t="n"/>
      <c r="C712" s="102" t="n"/>
      <c r="D712" s="114" t="n"/>
      <c r="E712" s="103" t="n"/>
      <c r="F712" s="102" t="n"/>
      <c r="G712" s="102" t="n"/>
      <c r="H712" s="115" t="n"/>
      <c r="I712" s="102" t="n"/>
      <c r="J712" s="102" t="n"/>
      <c r="K712" s="103" t="n"/>
      <c r="L712" s="116">
        <f>IF($H712="","",TRIM(IF(COUNTIF(DMTK!$A$7:$A$250,$F712)=0,"TK Nợ sai! ","")&amp;IF(COUNTIF(DMTK!$A$7:$A$250,$G712)=0,"TK Có sai! ","")&amp;IF(N($H712)&lt;=0,"Tiền phải &gt; 0! ","")&amp;IF($B712="","Thiếu ngày! ","")&amp;IF(AND(OR(LEFT($F712,3)="131",LEFT($G712,3)="131",LEFT($F712,3)="331",LEFT($G712,3)="331"),$I712=""),"Thiếu Mã ĐT! ","")&amp;IF(AND($I712&lt;&gt;"",COUNTIF(DM_DT!$A$7:$A$306,$I712)=0),"Mã ĐT chưa khai báo! ","")))</f>
        <v/>
      </c>
      <c r="M712" s="117">
        <f>IF($H712="","",IF(AND(OR(LEFT($F712,3)="111",LEFT($F712,3)="112",LEFT($F712,3)="113"),OR(LEFT($G712,3)="111",LEFT($G712,3)="112",LEFT($G712,3)="113")),"NB",IF(OR(LEFT($F712,3)="111",LEFT($F712,3)="112",LEFT($F712,3)="113"),"THU",IF(OR(LEFT($G712,3)="111",LEFT($G712,3)="112",LEFT($G712,3)="113"),"CHI",""))))</f>
        <v/>
      </c>
      <c r="N712" s="117">
        <f>IF($M712="THU",$G712,IF($M712="CHI",$F712,""))</f>
        <v/>
      </c>
      <c r="O712" s="117">
        <f>IF(OR($M712="",$M712="NB"),"",IF($J712&lt;&gt;"",TEXT($J712,"00"),IFERROR(VLOOKUP(LEFT($N712,4),LCTT_MAP!$A$7:$C$66,IF($M712="THU",2,3),FALSE()),IFERROR(VLOOKUP(LEFT($N712,3),LCTT_MAP!$A$7:$C$66,IF($M712="THU",2,3),FALSE()),IFERROR(VLOOKUP(LEFT($N712,2),LCTT_MAP!$A$7:$C$66,IF($M712="THU",2,3),FALSE()),IFERROR(VLOOKUP(LEFT($N712,1),LCTT_MAP!$A$7:$C$66,IF($M712="THU",2,3),FALSE()),IF($M712="THU","06","07")))))))</f>
        <v/>
      </c>
      <c r="P712" s="117">
        <f>P711+IF(AND($H712&lt;&gt;"",OR(LEFT($F712,LEN(SC_TK))=SC_TK,LEFT($G712,LEN(SC_TK))=SC_TK)),1,0)</f>
        <v/>
      </c>
    </row>
    <row r="713" ht="15" customHeight="1" s="78">
      <c r="A713" s="95">
        <f>IF($H713="","",ROW()-6)</f>
        <v/>
      </c>
      <c r="B713" s="114" t="n"/>
      <c r="C713" s="102" t="n"/>
      <c r="D713" s="114" t="n"/>
      <c r="E713" s="103" t="n"/>
      <c r="F713" s="102" t="n"/>
      <c r="G713" s="102" t="n"/>
      <c r="H713" s="115" t="n"/>
      <c r="I713" s="102" t="n"/>
      <c r="J713" s="102" t="n"/>
      <c r="K713" s="103" t="n"/>
      <c r="L713" s="116">
        <f>IF($H713="","",TRIM(IF(COUNTIF(DMTK!$A$7:$A$250,$F713)=0,"TK Nợ sai! ","")&amp;IF(COUNTIF(DMTK!$A$7:$A$250,$G713)=0,"TK Có sai! ","")&amp;IF(N($H713)&lt;=0,"Tiền phải &gt; 0! ","")&amp;IF($B713="","Thiếu ngày! ","")&amp;IF(AND(OR(LEFT($F713,3)="131",LEFT($G713,3)="131",LEFT($F713,3)="331",LEFT($G713,3)="331"),$I713=""),"Thiếu Mã ĐT! ","")&amp;IF(AND($I713&lt;&gt;"",COUNTIF(DM_DT!$A$7:$A$306,$I713)=0),"Mã ĐT chưa khai báo! ","")))</f>
        <v/>
      </c>
      <c r="M713" s="117">
        <f>IF($H713="","",IF(AND(OR(LEFT($F713,3)="111",LEFT($F713,3)="112",LEFT($F713,3)="113"),OR(LEFT($G713,3)="111",LEFT($G713,3)="112",LEFT($G713,3)="113")),"NB",IF(OR(LEFT($F713,3)="111",LEFT($F713,3)="112",LEFT($F713,3)="113"),"THU",IF(OR(LEFT($G713,3)="111",LEFT($G713,3)="112",LEFT($G713,3)="113"),"CHI",""))))</f>
        <v/>
      </c>
      <c r="N713" s="117">
        <f>IF($M713="THU",$G713,IF($M713="CHI",$F713,""))</f>
        <v/>
      </c>
      <c r="O713" s="117">
        <f>IF(OR($M713="",$M713="NB"),"",IF($J713&lt;&gt;"",TEXT($J713,"00"),IFERROR(VLOOKUP(LEFT($N713,4),LCTT_MAP!$A$7:$C$66,IF($M713="THU",2,3),FALSE()),IFERROR(VLOOKUP(LEFT($N713,3),LCTT_MAP!$A$7:$C$66,IF($M713="THU",2,3),FALSE()),IFERROR(VLOOKUP(LEFT($N713,2),LCTT_MAP!$A$7:$C$66,IF($M713="THU",2,3),FALSE()),IFERROR(VLOOKUP(LEFT($N713,1),LCTT_MAP!$A$7:$C$66,IF($M713="THU",2,3),FALSE()),IF($M713="THU","06","07")))))))</f>
        <v/>
      </c>
      <c r="P713" s="117">
        <f>P712+IF(AND($H713&lt;&gt;"",OR(LEFT($F713,LEN(SC_TK))=SC_TK,LEFT($G713,LEN(SC_TK))=SC_TK)),1,0)</f>
        <v/>
      </c>
    </row>
    <row r="714" ht="15" customHeight="1" s="78">
      <c r="A714" s="95">
        <f>IF($H714="","",ROW()-6)</f>
        <v/>
      </c>
      <c r="B714" s="114" t="n"/>
      <c r="C714" s="102" t="n"/>
      <c r="D714" s="114" t="n"/>
      <c r="E714" s="103" t="n"/>
      <c r="F714" s="102" t="n"/>
      <c r="G714" s="102" t="n"/>
      <c r="H714" s="115" t="n"/>
      <c r="I714" s="102" t="n"/>
      <c r="J714" s="102" t="n"/>
      <c r="K714" s="103" t="n"/>
      <c r="L714" s="116">
        <f>IF($H714="","",TRIM(IF(COUNTIF(DMTK!$A$7:$A$250,$F714)=0,"TK Nợ sai! ","")&amp;IF(COUNTIF(DMTK!$A$7:$A$250,$G714)=0,"TK Có sai! ","")&amp;IF(N($H714)&lt;=0,"Tiền phải &gt; 0! ","")&amp;IF($B714="","Thiếu ngày! ","")&amp;IF(AND(OR(LEFT($F714,3)="131",LEFT($G714,3)="131",LEFT($F714,3)="331",LEFT($G714,3)="331"),$I714=""),"Thiếu Mã ĐT! ","")&amp;IF(AND($I714&lt;&gt;"",COUNTIF(DM_DT!$A$7:$A$306,$I714)=0),"Mã ĐT chưa khai báo! ","")))</f>
        <v/>
      </c>
      <c r="M714" s="117">
        <f>IF($H714="","",IF(AND(OR(LEFT($F714,3)="111",LEFT($F714,3)="112",LEFT($F714,3)="113"),OR(LEFT($G714,3)="111",LEFT($G714,3)="112",LEFT($G714,3)="113")),"NB",IF(OR(LEFT($F714,3)="111",LEFT($F714,3)="112",LEFT($F714,3)="113"),"THU",IF(OR(LEFT($G714,3)="111",LEFT($G714,3)="112",LEFT($G714,3)="113"),"CHI",""))))</f>
        <v/>
      </c>
      <c r="N714" s="117">
        <f>IF($M714="THU",$G714,IF($M714="CHI",$F714,""))</f>
        <v/>
      </c>
      <c r="O714" s="117">
        <f>IF(OR($M714="",$M714="NB"),"",IF($J714&lt;&gt;"",TEXT($J714,"00"),IFERROR(VLOOKUP(LEFT($N714,4),LCTT_MAP!$A$7:$C$66,IF($M714="THU",2,3),FALSE()),IFERROR(VLOOKUP(LEFT($N714,3),LCTT_MAP!$A$7:$C$66,IF($M714="THU",2,3),FALSE()),IFERROR(VLOOKUP(LEFT($N714,2),LCTT_MAP!$A$7:$C$66,IF($M714="THU",2,3),FALSE()),IFERROR(VLOOKUP(LEFT($N714,1),LCTT_MAP!$A$7:$C$66,IF($M714="THU",2,3),FALSE()),IF($M714="THU","06","07")))))))</f>
        <v/>
      </c>
      <c r="P714" s="117">
        <f>P713+IF(AND($H714&lt;&gt;"",OR(LEFT($F714,LEN(SC_TK))=SC_TK,LEFT($G714,LEN(SC_TK))=SC_TK)),1,0)</f>
        <v/>
      </c>
    </row>
    <row r="715" ht="15" customHeight="1" s="78">
      <c r="A715" s="95">
        <f>IF($H715="","",ROW()-6)</f>
        <v/>
      </c>
      <c r="B715" s="114" t="n"/>
      <c r="C715" s="102" t="n"/>
      <c r="D715" s="114" t="n"/>
      <c r="E715" s="103" t="n"/>
      <c r="F715" s="102" t="n"/>
      <c r="G715" s="102" t="n"/>
      <c r="H715" s="115" t="n"/>
      <c r="I715" s="102" t="n"/>
      <c r="J715" s="102" t="n"/>
      <c r="K715" s="103" t="n"/>
      <c r="L715" s="116">
        <f>IF($H715="","",TRIM(IF(COUNTIF(DMTK!$A$7:$A$250,$F715)=0,"TK Nợ sai! ","")&amp;IF(COUNTIF(DMTK!$A$7:$A$250,$G715)=0,"TK Có sai! ","")&amp;IF(N($H715)&lt;=0,"Tiền phải &gt; 0! ","")&amp;IF($B715="","Thiếu ngày! ","")&amp;IF(AND(OR(LEFT($F715,3)="131",LEFT($G715,3)="131",LEFT($F715,3)="331",LEFT($G715,3)="331"),$I715=""),"Thiếu Mã ĐT! ","")&amp;IF(AND($I715&lt;&gt;"",COUNTIF(DM_DT!$A$7:$A$306,$I715)=0),"Mã ĐT chưa khai báo! ","")))</f>
        <v/>
      </c>
      <c r="M715" s="117">
        <f>IF($H715="","",IF(AND(OR(LEFT($F715,3)="111",LEFT($F715,3)="112",LEFT($F715,3)="113"),OR(LEFT($G715,3)="111",LEFT($G715,3)="112",LEFT($G715,3)="113")),"NB",IF(OR(LEFT($F715,3)="111",LEFT($F715,3)="112",LEFT($F715,3)="113"),"THU",IF(OR(LEFT($G715,3)="111",LEFT($G715,3)="112",LEFT($G715,3)="113"),"CHI",""))))</f>
        <v/>
      </c>
      <c r="N715" s="117">
        <f>IF($M715="THU",$G715,IF($M715="CHI",$F715,""))</f>
        <v/>
      </c>
      <c r="O715" s="117">
        <f>IF(OR($M715="",$M715="NB"),"",IF($J715&lt;&gt;"",TEXT($J715,"00"),IFERROR(VLOOKUP(LEFT($N715,4),LCTT_MAP!$A$7:$C$66,IF($M715="THU",2,3),FALSE()),IFERROR(VLOOKUP(LEFT($N715,3),LCTT_MAP!$A$7:$C$66,IF($M715="THU",2,3),FALSE()),IFERROR(VLOOKUP(LEFT($N715,2),LCTT_MAP!$A$7:$C$66,IF($M715="THU",2,3),FALSE()),IFERROR(VLOOKUP(LEFT($N715,1),LCTT_MAP!$A$7:$C$66,IF($M715="THU",2,3),FALSE()),IF($M715="THU","06","07")))))))</f>
        <v/>
      </c>
      <c r="P715" s="117">
        <f>P714+IF(AND($H715&lt;&gt;"",OR(LEFT($F715,LEN(SC_TK))=SC_TK,LEFT($G715,LEN(SC_TK))=SC_TK)),1,0)</f>
        <v/>
      </c>
    </row>
    <row r="716" ht="15" customHeight="1" s="78">
      <c r="A716" s="95">
        <f>IF($H716="","",ROW()-6)</f>
        <v/>
      </c>
      <c r="B716" s="114" t="n"/>
      <c r="C716" s="102" t="n"/>
      <c r="D716" s="114" t="n"/>
      <c r="E716" s="103" t="n"/>
      <c r="F716" s="102" t="n"/>
      <c r="G716" s="102" t="n"/>
      <c r="H716" s="115" t="n"/>
      <c r="I716" s="102" t="n"/>
      <c r="J716" s="102" t="n"/>
      <c r="K716" s="103" t="n"/>
      <c r="L716" s="116">
        <f>IF($H716="","",TRIM(IF(COUNTIF(DMTK!$A$7:$A$250,$F716)=0,"TK Nợ sai! ","")&amp;IF(COUNTIF(DMTK!$A$7:$A$250,$G716)=0,"TK Có sai! ","")&amp;IF(N($H716)&lt;=0,"Tiền phải &gt; 0! ","")&amp;IF($B716="","Thiếu ngày! ","")&amp;IF(AND(OR(LEFT($F716,3)="131",LEFT($G716,3)="131",LEFT($F716,3)="331",LEFT($G716,3)="331"),$I716=""),"Thiếu Mã ĐT! ","")&amp;IF(AND($I716&lt;&gt;"",COUNTIF(DM_DT!$A$7:$A$306,$I716)=0),"Mã ĐT chưa khai báo! ","")))</f>
        <v/>
      </c>
      <c r="M716" s="117">
        <f>IF($H716="","",IF(AND(OR(LEFT($F716,3)="111",LEFT($F716,3)="112",LEFT($F716,3)="113"),OR(LEFT($G716,3)="111",LEFT($G716,3)="112",LEFT($G716,3)="113")),"NB",IF(OR(LEFT($F716,3)="111",LEFT($F716,3)="112",LEFT($F716,3)="113"),"THU",IF(OR(LEFT($G716,3)="111",LEFT($G716,3)="112",LEFT($G716,3)="113"),"CHI",""))))</f>
        <v/>
      </c>
      <c r="N716" s="117">
        <f>IF($M716="THU",$G716,IF($M716="CHI",$F716,""))</f>
        <v/>
      </c>
      <c r="O716" s="117">
        <f>IF(OR($M716="",$M716="NB"),"",IF($J716&lt;&gt;"",TEXT($J716,"00"),IFERROR(VLOOKUP(LEFT($N716,4),LCTT_MAP!$A$7:$C$66,IF($M716="THU",2,3),FALSE()),IFERROR(VLOOKUP(LEFT($N716,3),LCTT_MAP!$A$7:$C$66,IF($M716="THU",2,3),FALSE()),IFERROR(VLOOKUP(LEFT($N716,2),LCTT_MAP!$A$7:$C$66,IF($M716="THU",2,3),FALSE()),IFERROR(VLOOKUP(LEFT($N716,1),LCTT_MAP!$A$7:$C$66,IF($M716="THU",2,3),FALSE()),IF($M716="THU","06","07")))))))</f>
        <v/>
      </c>
      <c r="P716" s="117">
        <f>P715+IF(AND($H716&lt;&gt;"",OR(LEFT($F716,LEN(SC_TK))=SC_TK,LEFT($G716,LEN(SC_TK))=SC_TK)),1,0)</f>
        <v/>
      </c>
    </row>
    <row r="717" ht="15" customHeight="1" s="78">
      <c r="A717" s="95">
        <f>IF($H717="","",ROW()-6)</f>
        <v/>
      </c>
      <c r="B717" s="114" t="n"/>
      <c r="C717" s="102" t="n"/>
      <c r="D717" s="114" t="n"/>
      <c r="E717" s="103" t="n"/>
      <c r="F717" s="102" t="n"/>
      <c r="G717" s="102" t="n"/>
      <c r="H717" s="115" t="n"/>
      <c r="I717" s="102" t="n"/>
      <c r="J717" s="102" t="n"/>
      <c r="K717" s="103" t="n"/>
      <c r="L717" s="116">
        <f>IF($H717="","",TRIM(IF(COUNTIF(DMTK!$A$7:$A$250,$F717)=0,"TK Nợ sai! ","")&amp;IF(COUNTIF(DMTK!$A$7:$A$250,$G717)=0,"TK Có sai! ","")&amp;IF(N($H717)&lt;=0,"Tiền phải &gt; 0! ","")&amp;IF($B717="","Thiếu ngày! ","")&amp;IF(AND(OR(LEFT($F717,3)="131",LEFT($G717,3)="131",LEFT($F717,3)="331",LEFT($G717,3)="331"),$I717=""),"Thiếu Mã ĐT! ","")&amp;IF(AND($I717&lt;&gt;"",COUNTIF(DM_DT!$A$7:$A$306,$I717)=0),"Mã ĐT chưa khai báo! ","")))</f>
        <v/>
      </c>
      <c r="M717" s="117">
        <f>IF($H717="","",IF(AND(OR(LEFT($F717,3)="111",LEFT($F717,3)="112",LEFT($F717,3)="113"),OR(LEFT($G717,3)="111",LEFT($G717,3)="112",LEFT($G717,3)="113")),"NB",IF(OR(LEFT($F717,3)="111",LEFT($F717,3)="112",LEFT($F717,3)="113"),"THU",IF(OR(LEFT($G717,3)="111",LEFT($G717,3)="112",LEFT($G717,3)="113"),"CHI",""))))</f>
        <v/>
      </c>
      <c r="N717" s="117">
        <f>IF($M717="THU",$G717,IF($M717="CHI",$F717,""))</f>
        <v/>
      </c>
      <c r="O717" s="117">
        <f>IF(OR($M717="",$M717="NB"),"",IF($J717&lt;&gt;"",TEXT($J717,"00"),IFERROR(VLOOKUP(LEFT($N717,4),LCTT_MAP!$A$7:$C$66,IF($M717="THU",2,3),FALSE()),IFERROR(VLOOKUP(LEFT($N717,3),LCTT_MAP!$A$7:$C$66,IF($M717="THU",2,3),FALSE()),IFERROR(VLOOKUP(LEFT($N717,2),LCTT_MAP!$A$7:$C$66,IF($M717="THU",2,3),FALSE()),IFERROR(VLOOKUP(LEFT($N717,1),LCTT_MAP!$A$7:$C$66,IF($M717="THU",2,3),FALSE()),IF($M717="THU","06","07")))))))</f>
        <v/>
      </c>
      <c r="P717" s="117">
        <f>P716+IF(AND($H717&lt;&gt;"",OR(LEFT($F717,LEN(SC_TK))=SC_TK,LEFT($G717,LEN(SC_TK))=SC_TK)),1,0)</f>
        <v/>
      </c>
    </row>
    <row r="718" ht="15" customHeight="1" s="78">
      <c r="A718" s="95">
        <f>IF($H718="","",ROW()-6)</f>
        <v/>
      </c>
      <c r="B718" s="114" t="n"/>
      <c r="C718" s="102" t="n"/>
      <c r="D718" s="114" t="n"/>
      <c r="E718" s="103" t="n"/>
      <c r="F718" s="102" t="n"/>
      <c r="G718" s="102" t="n"/>
      <c r="H718" s="115" t="n"/>
      <c r="I718" s="102" t="n"/>
      <c r="J718" s="102" t="n"/>
      <c r="K718" s="103" t="n"/>
      <c r="L718" s="116">
        <f>IF($H718="","",TRIM(IF(COUNTIF(DMTK!$A$7:$A$250,$F718)=0,"TK Nợ sai! ","")&amp;IF(COUNTIF(DMTK!$A$7:$A$250,$G718)=0,"TK Có sai! ","")&amp;IF(N($H718)&lt;=0,"Tiền phải &gt; 0! ","")&amp;IF($B718="","Thiếu ngày! ","")&amp;IF(AND(OR(LEFT($F718,3)="131",LEFT($G718,3)="131",LEFT($F718,3)="331",LEFT($G718,3)="331"),$I718=""),"Thiếu Mã ĐT! ","")&amp;IF(AND($I718&lt;&gt;"",COUNTIF(DM_DT!$A$7:$A$306,$I718)=0),"Mã ĐT chưa khai báo! ","")))</f>
        <v/>
      </c>
      <c r="M718" s="117">
        <f>IF($H718="","",IF(AND(OR(LEFT($F718,3)="111",LEFT($F718,3)="112",LEFT($F718,3)="113"),OR(LEFT($G718,3)="111",LEFT($G718,3)="112",LEFT($G718,3)="113")),"NB",IF(OR(LEFT($F718,3)="111",LEFT($F718,3)="112",LEFT($F718,3)="113"),"THU",IF(OR(LEFT($G718,3)="111",LEFT($G718,3)="112",LEFT($G718,3)="113"),"CHI",""))))</f>
        <v/>
      </c>
      <c r="N718" s="117">
        <f>IF($M718="THU",$G718,IF($M718="CHI",$F718,""))</f>
        <v/>
      </c>
      <c r="O718" s="117">
        <f>IF(OR($M718="",$M718="NB"),"",IF($J718&lt;&gt;"",TEXT($J718,"00"),IFERROR(VLOOKUP(LEFT($N718,4),LCTT_MAP!$A$7:$C$66,IF($M718="THU",2,3),FALSE()),IFERROR(VLOOKUP(LEFT($N718,3),LCTT_MAP!$A$7:$C$66,IF($M718="THU",2,3),FALSE()),IFERROR(VLOOKUP(LEFT($N718,2),LCTT_MAP!$A$7:$C$66,IF($M718="THU",2,3),FALSE()),IFERROR(VLOOKUP(LEFT($N718,1),LCTT_MAP!$A$7:$C$66,IF($M718="THU",2,3),FALSE()),IF($M718="THU","06","07")))))))</f>
        <v/>
      </c>
      <c r="P718" s="117">
        <f>P717+IF(AND($H718&lt;&gt;"",OR(LEFT($F718,LEN(SC_TK))=SC_TK,LEFT($G718,LEN(SC_TK))=SC_TK)),1,0)</f>
        <v/>
      </c>
    </row>
    <row r="719" ht="15" customHeight="1" s="78">
      <c r="A719" s="95">
        <f>IF($H719="","",ROW()-6)</f>
        <v/>
      </c>
      <c r="B719" s="114" t="n"/>
      <c r="C719" s="102" t="n"/>
      <c r="D719" s="114" t="n"/>
      <c r="E719" s="103" t="n"/>
      <c r="F719" s="102" t="n"/>
      <c r="G719" s="102" t="n"/>
      <c r="H719" s="115" t="n"/>
      <c r="I719" s="102" t="n"/>
      <c r="J719" s="102" t="n"/>
      <c r="K719" s="103" t="n"/>
      <c r="L719" s="116">
        <f>IF($H719="","",TRIM(IF(COUNTIF(DMTK!$A$7:$A$250,$F719)=0,"TK Nợ sai! ","")&amp;IF(COUNTIF(DMTK!$A$7:$A$250,$G719)=0,"TK Có sai! ","")&amp;IF(N($H719)&lt;=0,"Tiền phải &gt; 0! ","")&amp;IF($B719="","Thiếu ngày! ","")&amp;IF(AND(OR(LEFT($F719,3)="131",LEFT($G719,3)="131",LEFT($F719,3)="331",LEFT($G719,3)="331"),$I719=""),"Thiếu Mã ĐT! ","")&amp;IF(AND($I719&lt;&gt;"",COUNTIF(DM_DT!$A$7:$A$306,$I719)=0),"Mã ĐT chưa khai báo! ","")))</f>
        <v/>
      </c>
      <c r="M719" s="117">
        <f>IF($H719="","",IF(AND(OR(LEFT($F719,3)="111",LEFT($F719,3)="112",LEFT($F719,3)="113"),OR(LEFT($G719,3)="111",LEFT($G719,3)="112",LEFT($G719,3)="113")),"NB",IF(OR(LEFT($F719,3)="111",LEFT($F719,3)="112",LEFT($F719,3)="113"),"THU",IF(OR(LEFT($G719,3)="111",LEFT($G719,3)="112",LEFT($G719,3)="113"),"CHI",""))))</f>
        <v/>
      </c>
      <c r="N719" s="117">
        <f>IF($M719="THU",$G719,IF($M719="CHI",$F719,""))</f>
        <v/>
      </c>
      <c r="O719" s="117">
        <f>IF(OR($M719="",$M719="NB"),"",IF($J719&lt;&gt;"",TEXT($J719,"00"),IFERROR(VLOOKUP(LEFT($N719,4),LCTT_MAP!$A$7:$C$66,IF($M719="THU",2,3),FALSE()),IFERROR(VLOOKUP(LEFT($N719,3),LCTT_MAP!$A$7:$C$66,IF($M719="THU",2,3),FALSE()),IFERROR(VLOOKUP(LEFT($N719,2),LCTT_MAP!$A$7:$C$66,IF($M719="THU",2,3),FALSE()),IFERROR(VLOOKUP(LEFT($N719,1),LCTT_MAP!$A$7:$C$66,IF($M719="THU",2,3),FALSE()),IF($M719="THU","06","07")))))))</f>
        <v/>
      </c>
      <c r="P719" s="117">
        <f>P718+IF(AND($H719&lt;&gt;"",OR(LEFT($F719,LEN(SC_TK))=SC_TK,LEFT($G719,LEN(SC_TK))=SC_TK)),1,0)</f>
        <v/>
      </c>
    </row>
    <row r="720" ht="15" customHeight="1" s="78">
      <c r="A720" s="95">
        <f>IF($H720="","",ROW()-6)</f>
        <v/>
      </c>
      <c r="B720" s="114" t="n"/>
      <c r="C720" s="102" t="n"/>
      <c r="D720" s="114" t="n"/>
      <c r="E720" s="103" t="n"/>
      <c r="F720" s="102" t="n"/>
      <c r="G720" s="102" t="n"/>
      <c r="H720" s="115" t="n"/>
      <c r="I720" s="102" t="n"/>
      <c r="J720" s="102" t="n"/>
      <c r="K720" s="103" t="n"/>
      <c r="L720" s="116">
        <f>IF($H720="","",TRIM(IF(COUNTIF(DMTK!$A$7:$A$250,$F720)=0,"TK Nợ sai! ","")&amp;IF(COUNTIF(DMTK!$A$7:$A$250,$G720)=0,"TK Có sai! ","")&amp;IF(N($H720)&lt;=0,"Tiền phải &gt; 0! ","")&amp;IF($B720="","Thiếu ngày! ","")&amp;IF(AND(OR(LEFT($F720,3)="131",LEFT($G720,3)="131",LEFT($F720,3)="331",LEFT($G720,3)="331"),$I720=""),"Thiếu Mã ĐT! ","")&amp;IF(AND($I720&lt;&gt;"",COUNTIF(DM_DT!$A$7:$A$306,$I720)=0),"Mã ĐT chưa khai báo! ","")))</f>
        <v/>
      </c>
      <c r="M720" s="117">
        <f>IF($H720="","",IF(AND(OR(LEFT($F720,3)="111",LEFT($F720,3)="112",LEFT($F720,3)="113"),OR(LEFT($G720,3)="111",LEFT($G720,3)="112",LEFT($G720,3)="113")),"NB",IF(OR(LEFT($F720,3)="111",LEFT($F720,3)="112",LEFT($F720,3)="113"),"THU",IF(OR(LEFT($G720,3)="111",LEFT($G720,3)="112",LEFT($G720,3)="113"),"CHI",""))))</f>
        <v/>
      </c>
      <c r="N720" s="117">
        <f>IF($M720="THU",$G720,IF($M720="CHI",$F720,""))</f>
        <v/>
      </c>
      <c r="O720" s="117">
        <f>IF(OR($M720="",$M720="NB"),"",IF($J720&lt;&gt;"",TEXT($J720,"00"),IFERROR(VLOOKUP(LEFT($N720,4),LCTT_MAP!$A$7:$C$66,IF($M720="THU",2,3),FALSE()),IFERROR(VLOOKUP(LEFT($N720,3),LCTT_MAP!$A$7:$C$66,IF($M720="THU",2,3),FALSE()),IFERROR(VLOOKUP(LEFT($N720,2),LCTT_MAP!$A$7:$C$66,IF($M720="THU",2,3),FALSE()),IFERROR(VLOOKUP(LEFT($N720,1),LCTT_MAP!$A$7:$C$66,IF($M720="THU",2,3),FALSE()),IF($M720="THU","06","07")))))))</f>
        <v/>
      </c>
      <c r="P720" s="117">
        <f>P719+IF(AND($H720&lt;&gt;"",OR(LEFT($F720,LEN(SC_TK))=SC_TK,LEFT($G720,LEN(SC_TK))=SC_TK)),1,0)</f>
        <v/>
      </c>
    </row>
    <row r="721" ht="15" customHeight="1" s="78">
      <c r="A721" s="95">
        <f>IF($H721="","",ROW()-6)</f>
        <v/>
      </c>
      <c r="B721" s="114" t="n"/>
      <c r="C721" s="102" t="n"/>
      <c r="D721" s="114" t="n"/>
      <c r="E721" s="103" t="n"/>
      <c r="F721" s="102" t="n"/>
      <c r="G721" s="102" t="n"/>
      <c r="H721" s="115" t="n"/>
      <c r="I721" s="102" t="n"/>
      <c r="J721" s="102" t="n"/>
      <c r="K721" s="103" t="n"/>
      <c r="L721" s="116">
        <f>IF($H721="","",TRIM(IF(COUNTIF(DMTK!$A$7:$A$250,$F721)=0,"TK Nợ sai! ","")&amp;IF(COUNTIF(DMTK!$A$7:$A$250,$G721)=0,"TK Có sai! ","")&amp;IF(N($H721)&lt;=0,"Tiền phải &gt; 0! ","")&amp;IF($B721="","Thiếu ngày! ","")&amp;IF(AND(OR(LEFT($F721,3)="131",LEFT($G721,3)="131",LEFT($F721,3)="331",LEFT($G721,3)="331"),$I721=""),"Thiếu Mã ĐT! ","")&amp;IF(AND($I721&lt;&gt;"",COUNTIF(DM_DT!$A$7:$A$306,$I721)=0),"Mã ĐT chưa khai báo! ","")))</f>
        <v/>
      </c>
      <c r="M721" s="117">
        <f>IF($H721="","",IF(AND(OR(LEFT($F721,3)="111",LEFT($F721,3)="112",LEFT($F721,3)="113"),OR(LEFT($G721,3)="111",LEFT($G721,3)="112",LEFT($G721,3)="113")),"NB",IF(OR(LEFT($F721,3)="111",LEFT($F721,3)="112",LEFT($F721,3)="113"),"THU",IF(OR(LEFT($G721,3)="111",LEFT($G721,3)="112",LEFT($G721,3)="113"),"CHI",""))))</f>
        <v/>
      </c>
      <c r="N721" s="117">
        <f>IF($M721="THU",$G721,IF($M721="CHI",$F721,""))</f>
        <v/>
      </c>
      <c r="O721" s="117">
        <f>IF(OR($M721="",$M721="NB"),"",IF($J721&lt;&gt;"",TEXT($J721,"00"),IFERROR(VLOOKUP(LEFT($N721,4),LCTT_MAP!$A$7:$C$66,IF($M721="THU",2,3),FALSE()),IFERROR(VLOOKUP(LEFT($N721,3),LCTT_MAP!$A$7:$C$66,IF($M721="THU",2,3),FALSE()),IFERROR(VLOOKUP(LEFT($N721,2),LCTT_MAP!$A$7:$C$66,IF($M721="THU",2,3),FALSE()),IFERROR(VLOOKUP(LEFT($N721,1),LCTT_MAP!$A$7:$C$66,IF($M721="THU",2,3),FALSE()),IF($M721="THU","06","07")))))))</f>
        <v/>
      </c>
      <c r="P721" s="117">
        <f>P720+IF(AND($H721&lt;&gt;"",OR(LEFT($F721,LEN(SC_TK))=SC_TK,LEFT($G721,LEN(SC_TK))=SC_TK)),1,0)</f>
        <v/>
      </c>
    </row>
    <row r="722" ht="15" customHeight="1" s="78">
      <c r="A722" s="95">
        <f>IF($H722="","",ROW()-6)</f>
        <v/>
      </c>
      <c r="B722" s="114" t="n"/>
      <c r="C722" s="102" t="n"/>
      <c r="D722" s="114" t="n"/>
      <c r="E722" s="103" t="n"/>
      <c r="F722" s="102" t="n"/>
      <c r="G722" s="102" t="n"/>
      <c r="H722" s="115" t="n"/>
      <c r="I722" s="102" t="n"/>
      <c r="J722" s="102" t="n"/>
      <c r="K722" s="103" t="n"/>
      <c r="L722" s="116">
        <f>IF($H722="","",TRIM(IF(COUNTIF(DMTK!$A$7:$A$250,$F722)=0,"TK Nợ sai! ","")&amp;IF(COUNTIF(DMTK!$A$7:$A$250,$G722)=0,"TK Có sai! ","")&amp;IF(N($H722)&lt;=0,"Tiền phải &gt; 0! ","")&amp;IF($B722="","Thiếu ngày! ","")&amp;IF(AND(OR(LEFT($F722,3)="131",LEFT($G722,3)="131",LEFT($F722,3)="331",LEFT($G722,3)="331"),$I722=""),"Thiếu Mã ĐT! ","")&amp;IF(AND($I722&lt;&gt;"",COUNTIF(DM_DT!$A$7:$A$306,$I722)=0),"Mã ĐT chưa khai báo! ","")))</f>
        <v/>
      </c>
      <c r="M722" s="117">
        <f>IF($H722="","",IF(AND(OR(LEFT($F722,3)="111",LEFT($F722,3)="112",LEFT($F722,3)="113"),OR(LEFT($G722,3)="111",LEFT($G722,3)="112",LEFT($G722,3)="113")),"NB",IF(OR(LEFT($F722,3)="111",LEFT($F722,3)="112",LEFT($F722,3)="113"),"THU",IF(OR(LEFT($G722,3)="111",LEFT($G722,3)="112",LEFT($G722,3)="113"),"CHI",""))))</f>
        <v/>
      </c>
      <c r="N722" s="117">
        <f>IF($M722="THU",$G722,IF($M722="CHI",$F722,""))</f>
        <v/>
      </c>
      <c r="O722" s="117">
        <f>IF(OR($M722="",$M722="NB"),"",IF($J722&lt;&gt;"",TEXT($J722,"00"),IFERROR(VLOOKUP(LEFT($N722,4),LCTT_MAP!$A$7:$C$66,IF($M722="THU",2,3),FALSE()),IFERROR(VLOOKUP(LEFT($N722,3),LCTT_MAP!$A$7:$C$66,IF($M722="THU",2,3),FALSE()),IFERROR(VLOOKUP(LEFT($N722,2),LCTT_MAP!$A$7:$C$66,IF($M722="THU",2,3),FALSE()),IFERROR(VLOOKUP(LEFT($N722,1),LCTT_MAP!$A$7:$C$66,IF($M722="THU",2,3),FALSE()),IF($M722="THU","06","07")))))))</f>
        <v/>
      </c>
      <c r="P722" s="117">
        <f>P721+IF(AND($H722&lt;&gt;"",OR(LEFT($F722,LEN(SC_TK))=SC_TK,LEFT($G722,LEN(SC_TK))=SC_TK)),1,0)</f>
        <v/>
      </c>
    </row>
    <row r="723" ht="15" customHeight="1" s="78">
      <c r="A723" s="95">
        <f>IF($H723="","",ROW()-6)</f>
        <v/>
      </c>
      <c r="B723" s="114" t="n"/>
      <c r="C723" s="102" t="n"/>
      <c r="D723" s="114" t="n"/>
      <c r="E723" s="103" t="n"/>
      <c r="F723" s="102" t="n"/>
      <c r="G723" s="102" t="n"/>
      <c r="H723" s="115" t="n"/>
      <c r="I723" s="102" t="n"/>
      <c r="J723" s="102" t="n"/>
      <c r="K723" s="103" t="n"/>
      <c r="L723" s="116">
        <f>IF($H723="","",TRIM(IF(COUNTIF(DMTK!$A$7:$A$250,$F723)=0,"TK Nợ sai! ","")&amp;IF(COUNTIF(DMTK!$A$7:$A$250,$G723)=0,"TK Có sai! ","")&amp;IF(N($H723)&lt;=0,"Tiền phải &gt; 0! ","")&amp;IF($B723="","Thiếu ngày! ","")&amp;IF(AND(OR(LEFT($F723,3)="131",LEFT($G723,3)="131",LEFT($F723,3)="331",LEFT($G723,3)="331"),$I723=""),"Thiếu Mã ĐT! ","")&amp;IF(AND($I723&lt;&gt;"",COUNTIF(DM_DT!$A$7:$A$306,$I723)=0),"Mã ĐT chưa khai báo! ","")))</f>
        <v/>
      </c>
      <c r="M723" s="117">
        <f>IF($H723="","",IF(AND(OR(LEFT($F723,3)="111",LEFT($F723,3)="112",LEFT($F723,3)="113"),OR(LEFT($G723,3)="111",LEFT($G723,3)="112",LEFT($G723,3)="113")),"NB",IF(OR(LEFT($F723,3)="111",LEFT($F723,3)="112",LEFT($F723,3)="113"),"THU",IF(OR(LEFT($G723,3)="111",LEFT($G723,3)="112",LEFT($G723,3)="113"),"CHI",""))))</f>
        <v/>
      </c>
      <c r="N723" s="117">
        <f>IF($M723="THU",$G723,IF($M723="CHI",$F723,""))</f>
        <v/>
      </c>
      <c r="O723" s="117">
        <f>IF(OR($M723="",$M723="NB"),"",IF($J723&lt;&gt;"",TEXT($J723,"00"),IFERROR(VLOOKUP(LEFT($N723,4),LCTT_MAP!$A$7:$C$66,IF($M723="THU",2,3),FALSE()),IFERROR(VLOOKUP(LEFT($N723,3),LCTT_MAP!$A$7:$C$66,IF($M723="THU",2,3),FALSE()),IFERROR(VLOOKUP(LEFT($N723,2),LCTT_MAP!$A$7:$C$66,IF($M723="THU",2,3),FALSE()),IFERROR(VLOOKUP(LEFT($N723,1),LCTT_MAP!$A$7:$C$66,IF($M723="THU",2,3),FALSE()),IF($M723="THU","06","07")))))))</f>
        <v/>
      </c>
      <c r="P723" s="117">
        <f>P722+IF(AND($H723&lt;&gt;"",OR(LEFT($F723,LEN(SC_TK))=SC_TK,LEFT($G723,LEN(SC_TK))=SC_TK)),1,0)</f>
        <v/>
      </c>
    </row>
    <row r="724" ht="15" customHeight="1" s="78">
      <c r="A724" s="95">
        <f>IF($H724="","",ROW()-6)</f>
        <v/>
      </c>
      <c r="B724" s="114" t="n"/>
      <c r="C724" s="102" t="n"/>
      <c r="D724" s="114" t="n"/>
      <c r="E724" s="103" t="n"/>
      <c r="F724" s="102" t="n"/>
      <c r="G724" s="102" t="n"/>
      <c r="H724" s="115" t="n"/>
      <c r="I724" s="102" t="n"/>
      <c r="J724" s="102" t="n"/>
      <c r="K724" s="103" t="n"/>
      <c r="L724" s="116">
        <f>IF($H724="","",TRIM(IF(COUNTIF(DMTK!$A$7:$A$250,$F724)=0,"TK Nợ sai! ","")&amp;IF(COUNTIF(DMTK!$A$7:$A$250,$G724)=0,"TK Có sai! ","")&amp;IF(N($H724)&lt;=0,"Tiền phải &gt; 0! ","")&amp;IF($B724="","Thiếu ngày! ","")&amp;IF(AND(OR(LEFT($F724,3)="131",LEFT($G724,3)="131",LEFT($F724,3)="331",LEFT($G724,3)="331"),$I724=""),"Thiếu Mã ĐT! ","")&amp;IF(AND($I724&lt;&gt;"",COUNTIF(DM_DT!$A$7:$A$306,$I724)=0),"Mã ĐT chưa khai báo! ","")))</f>
        <v/>
      </c>
      <c r="M724" s="117">
        <f>IF($H724="","",IF(AND(OR(LEFT($F724,3)="111",LEFT($F724,3)="112",LEFT($F724,3)="113"),OR(LEFT($G724,3)="111",LEFT($G724,3)="112",LEFT($G724,3)="113")),"NB",IF(OR(LEFT($F724,3)="111",LEFT($F724,3)="112",LEFT($F724,3)="113"),"THU",IF(OR(LEFT($G724,3)="111",LEFT($G724,3)="112",LEFT($G724,3)="113"),"CHI",""))))</f>
        <v/>
      </c>
      <c r="N724" s="117">
        <f>IF($M724="THU",$G724,IF($M724="CHI",$F724,""))</f>
        <v/>
      </c>
      <c r="O724" s="117">
        <f>IF(OR($M724="",$M724="NB"),"",IF($J724&lt;&gt;"",TEXT($J724,"00"),IFERROR(VLOOKUP(LEFT($N724,4),LCTT_MAP!$A$7:$C$66,IF($M724="THU",2,3),FALSE()),IFERROR(VLOOKUP(LEFT($N724,3),LCTT_MAP!$A$7:$C$66,IF($M724="THU",2,3),FALSE()),IFERROR(VLOOKUP(LEFT($N724,2),LCTT_MAP!$A$7:$C$66,IF($M724="THU",2,3),FALSE()),IFERROR(VLOOKUP(LEFT($N724,1),LCTT_MAP!$A$7:$C$66,IF($M724="THU",2,3),FALSE()),IF($M724="THU","06","07")))))))</f>
        <v/>
      </c>
      <c r="P724" s="117">
        <f>P723+IF(AND($H724&lt;&gt;"",OR(LEFT($F724,LEN(SC_TK))=SC_TK,LEFT($G724,LEN(SC_TK))=SC_TK)),1,0)</f>
        <v/>
      </c>
    </row>
    <row r="725" ht="15" customHeight="1" s="78">
      <c r="A725" s="95">
        <f>IF($H725="","",ROW()-6)</f>
        <v/>
      </c>
      <c r="B725" s="114" t="n"/>
      <c r="C725" s="102" t="n"/>
      <c r="D725" s="114" t="n"/>
      <c r="E725" s="103" t="n"/>
      <c r="F725" s="102" t="n"/>
      <c r="G725" s="102" t="n"/>
      <c r="H725" s="115" t="n"/>
      <c r="I725" s="102" t="n"/>
      <c r="J725" s="102" t="n"/>
      <c r="K725" s="103" t="n"/>
      <c r="L725" s="116">
        <f>IF($H725="","",TRIM(IF(COUNTIF(DMTK!$A$7:$A$250,$F725)=0,"TK Nợ sai! ","")&amp;IF(COUNTIF(DMTK!$A$7:$A$250,$G725)=0,"TK Có sai! ","")&amp;IF(N($H725)&lt;=0,"Tiền phải &gt; 0! ","")&amp;IF($B725="","Thiếu ngày! ","")&amp;IF(AND(OR(LEFT($F725,3)="131",LEFT($G725,3)="131",LEFT($F725,3)="331",LEFT($G725,3)="331"),$I725=""),"Thiếu Mã ĐT! ","")&amp;IF(AND($I725&lt;&gt;"",COUNTIF(DM_DT!$A$7:$A$306,$I725)=0),"Mã ĐT chưa khai báo! ","")))</f>
        <v/>
      </c>
      <c r="M725" s="117">
        <f>IF($H725="","",IF(AND(OR(LEFT($F725,3)="111",LEFT($F725,3)="112",LEFT($F725,3)="113"),OR(LEFT($G725,3)="111",LEFT($G725,3)="112",LEFT($G725,3)="113")),"NB",IF(OR(LEFT($F725,3)="111",LEFT($F725,3)="112",LEFT($F725,3)="113"),"THU",IF(OR(LEFT($G725,3)="111",LEFT($G725,3)="112",LEFT($G725,3)="113"),"CHI",""))))</f>
        <v/>
      </c>
      <c r="N725" s="117">
        <f>IF($M725="THU",$G725,IF($M725="CHI",$F725,""))</f>
        <v/>
      </c>
      <c r="O725" s="117">
        <f>IF(OR($M725="",$M725="NB"),"",IF($J725&lt;&gt;"",TEXT($J725,"00"),IFERROR(VLOOKUP(LEFT($N725,4),LCTT_MAP!$A$7:$C$66,IF($M725="THU",2,3),FALSE()),IFERROR(VLOOKUP(LEFT($N725,3),LCTT_MAP!$A$7:$C$66,IF($M725="THU",2,3),FALSE()),IFERROR(VLOOKUP(LEFT($N725,2),LCTT_MAP!$A$7:$C$66,IF($M725="THU",2,3),FALSE()),IFERROR(VLOOKUP(LEFT($N725,1),LCTT_MAP!$A$7:$C$66,IF($M725="THU",2,3),FALSE()),IF($M725="THU","06","07")))))))</f>
        <v/>
      </c>
      <c r="P725" s="117">
        <f>P724+IF(AND($H725&lt;&gt;"",OR(LEFT($F725,LEN(SC_TK))=SC_TK,LEFT($G725,LEN(SC_TK))=SC_TK)),1,0)</f>
        <v/>
      </c>
    </row>
    <row r="726" ht="15" customHeight="1" s="78">
      <c r="A726" s="95">
        <f>IF($H726="","",ROW()-6)</f>
        <v/>
      </c>
      <c r="B726" s="114" t="n"/>
      <c r="C726" s="102" t="n"/>
      <c r="D726" s="114" t="n"/>
      <c r="E726" s="103" t="n"/>
      <c r="F726" s="102" t="n"/>
      <c r="G726" s="102" t="n"/>
      <c r="H726" s="115" t="n"/>
      <c r="I726" s="102" t="n"/>
      <c r="J726" s="102" t="n"/>
      <c r="K726" s="103" t="n"/>
      <c r="L726" s="116">
        <f>IF($H726="","",TRIM(IF(COUNTIF(DMTK!$A$7:$A$250,$F726)=0,"TK Nợ sai! ","")&amp;IF(COUNTIF(DMTK!$A$7:$A$250,$G726)=0,"TK Có sai! ","")&amp;IF(N($H726)&lt;=0,"Tiền phải &gt; 0! ","")&amp;IF($B726="","Thiếu ngày! ","")&amp;IF(AND(OR(LEFT($F726,3)="131",LEFT($G726,3)="131",LEFT($F726,3)="331",LEFT($G726,3)="331"),$I726=""),"Thiếu Mã ĐT! ","")&amp;IF(AND($I726&lt;&gt;"",COUNTIF(DM_DT!$A$7:$A$306,$I726)=0),"Mã ĐT chưa khai báo! ","")))</f>
        <v/>
      </c>
      <c r="M726" s="117">
        <f>IF($H726="","",IF(AND(OR(LEFT($F726,3)="111",LEFT($F726,3)="112",LEFT($F726,3)="113"),OR(LEFT($G726,3)="111",LEFT($G726,3)="112",LEFT($G726,3)="113")),"NB",IF(OR(LEFT($F726,3)="111",LEFT($F726,3)="112",LEFT($F726,3)="113"),"THU",IF(OR(LEFT($G726,3)="111",LEFT($G726,3)="112",LEFT($G726,3)="113"),"CHI",""))))</f>
        <v/>
      </c>
      <c r="N726" s="117">
        <f>IF($M726="THU",$G726,IF($M726="CHI",$F726,""))</f>
        <v/>
      </c>
      <c r="O726" s="117">
        <f>IF(OR($M726="",$M726="NB"),"",IF($J726&lt;&gt;"",TEXT($J726,"00"),IFERROR(VLOOKUP(LEFT($N726,4),LCTT_MAP!$A$7:$C$66,IF($M726="THU",2,3),FALSE()),IFERROR(VLOOKUP(LEFT($N726,3),LCTT_MAP!$A$7:$C$66,IF($M726="THU",2,3),FALSE()),IFERROR(VLOOKUP(LEFT($N726,2),LCTT_MAP!$A$7:$C$66,IF($M726="THU",2,3),FALSE()),IFERROR(VLOOKUP(LEFT($N726,1),LCTT_MAP!$A$7:$C$66,IF($M726="THU",2,3),FALSE()),IF($M726="THU","06","07")))))))</f>
        <v/>
      </c>
      <c r="P726" s="117">
        <f>P725+IF(AND($H726&lt;&gt;"",OR(LEFT($F726,LEN(SC_TK))=SC_TK,LEFT($G726,LEN(SC_TK))=SC_TK)),1,0)</f>
        <v/>
      </c>
    </row>
    <row r="727" ht="15" customHeight="1" s="78">
      <c r="A727" s="95">
        <f>IF($H727="","",ROW()-6)</f>
        <v/>
      </c>
      <c r="B727" s="114" t="n"/>
      <c r="C727" s="102" t="n"/>
      <c r="D727" s="114" t="n"/>
      <c r="E727" s="103" t="n"/>
      <c r="F727" s="102" t="n"/>
      <c r="G727" s="102" t="n"/>
      <c r="H727" s="115" t="n"/>
      <c r="I727" s="102" t="n"/>
      <c r="J727" s="102" t="n"/>
      <c r="K727" s="103" t="n"/>
      <c r="L727" s="116">
        <f>IF($H727="","",TRIM(IF(COUNTIF(DMTK!$A$7:$A$250,$F727)=0,"TK Nợ sai! ","")&amp;IF(COUNTIF(DMTK!$A$7:$A$250,$G727)=0,"TK Có sai! ","")&amp;IF(N($H727)&lt;=0,"Tiền phải &gt; 0! ","")&amp;IF($B727="","Thiếu ngày! ","")&amp;IF(AND(OR(LEFT($F727,3)="131",LEFT($G727,3)="131",LEFT($F727,3)="331",LEFT($G727,3)="331"),$I727=""),"Thiếu Mã ĐT! ","")&amp;IF(AND($I727&lt;&gt;"",COUNTIF(DM_DT!$A$7:$A$306,$I727)=0),"Mã ĐT chưa khai báo! ","")))</f>
        <v/>
      </c>
      <c r="M727" s="117">
        <f>IF($H727="","",IF(AND(OR(LEFT($F727,3)="111",LEFT($F727,3)="112",LEFT($F727,3)="113"),OR(LEFT($G727,3)="111",LEFT($G727,3)="112",LEFT($G727,3)="113")),"NB",IF(OR(LEFT($F727,3)="111",LEFT($F727,3)="112",LEFT($F727,3)="113"),"THU",IF(OR(LEFT($G727,3)="111",LEFT($G727,3)="112",LEFT($G727,3)="113"),"CHI",""))))</f>
        <v/>
      </c>
      <c r="N727" s="117">
        <f>IF($M727="THU",$G727,IF($M727="CHI",$F727,""))</f>
        <v/>
      </c>
      <c r="O727" s="117">
        <f>IF(OR($M727="",$M727="NB"),"",IF($J727&lt;&gt;"",TEXT($J727,"00"),IFERROR(VLOOKUP(LEFT($N727,4),LCTT_MAP!$A$7:$C$66,IF($M727="THU",2,3),FALSE()),IFERROR(VLOOKUP(LEFT($N727,3),LCTT_MAP!$A$7:$C$66,IF($M727="THU",2,3),FALSE()),IFERROR(VLOOKUP(LEFT($N727,2),LCTT_MAP!$A$7:$C$66,IF($M727="THU",2,3),FALSE()),IFERROR(VLOOKUP(LEFT($N727,1),LCTT_MAP!$A$7:$C$66,IF($M727="THU",2,3),FALSE()),IF($M727="THU","06","07")))))))</f>
        <v/>
      </c>
      <c r="P727" s="117">
        <f>P726+IF(AND($H727&lt;&gt;"",OR(LEFT($F727,LEN(SC_TK))=SC_TK,LEFT($G727,LEN(SC_TK))=SC_TK)),1,0)</f>
        <v/>
      </c>
    </row>
    <row r="728" ht="15" customHeight="1" s="78">
      <c r="A728" s="95">
        <f>IF($H728="","",ROW()-6)</f>
        <v/>
      </c>
      <c r="B728" s="114" t="n"/>
      <c r="C728" s="102" t="n"/>
      <c r="D728" s="114" t="n"/>
      <c r="E728" s="103" t="n"/>
      <c r="F728" s="102" t="n"/>
      <c r="G728" s="102" t="n"/>
      <c r="H728" s="115" t="n"/>
      <c r="I728" s="102" t="n"/>
      <c r="J728" s="102" t="n"/>
      <c r="K728" s="103" t="n"/>
      <c r="L728" s="116">
        <f>IF($H728="","",TRIM(IF(COUNTIF(DMTK!$A$7:$A$250,$F728)=0,"TK Nợ sai! ","")&amp;IF(COUNTIF(DMTK!$A$7:$A$250,$G728)=0,"TK Có sai! ","")&amp;IF(N($H728)&lt;=0,"Tiền phải &gt; 0! ","")&amp;IF($B728="","Thiếu ngày! ","")&amp;IF(AND(OR(LEFT($F728,3)="131",LEFT($G728,3)="131",LEFT($F728,3)="331",LEFT($G728,3)="331"),$I728=""),"Thiếu Mã ĐT! ","")&amp;IF(AND($I728&lt;&gt;"",COUNTIF(DM_DT!$A$7:$A$306,$I728)=0),"Mã ĐT chưa khai báo! ","")))</f>
        <v/>
      </c>
      <c r="M728" s="117">
        <f>IF($H728="","",IF(AND(OR(LEFT($F728,3)="111",LEFT($F728,3)="112",LEFT($F728,3)="113"),OR(LEFT($G728,3)="111",LEFT($G728,3)="112",LEFT($G728,3)="113")),"NB",IF(OR(LEFT($F728,3)="111",LEFT($F728,3)="112",LEFT($F728,3)="113"),"THU",IF(OR(LEFT($G728,3)="111",LEFT($G728,3)="112",LEFT($G728,3)="113"),"CHI",""))))</f>
        <v/>
      </c>
      <c r="N728" s="117">
        <f>IF($M728="THU",$G728,IF($M728="CHI",$F728,""))</f>
        <v/>
      </c>
      <c r="O728" s="117">
        <f>IF(OR($M728="",$M728="NB"),"",IF($J728&lt;&gt;"",TEXT($J728,"00"),IFERROR(VLOOKUP(LEFT($N728,4),LCTT_MAP!$A$7:$C$66,IF($M728="THU",2,3),FALSE()),IFERROR(VLOOKUP(LEFT($N728,3),LCTT_MAP!$A$7:$C$66,IF($M728="THU",2,3),FALSE()),IFERROR(VLOOKUP(LEFT($N728,2),LCTT_MAP!$A$7:$C$66,IF($M728="THU",2,3),FALSE()),IFERROR(VLOOKUP(LEFT($N728,1),LCTT_MAP!$A$7:$C$66,IF($M728="THU",2,3),FALSE()),IF($M728="THU","06","07")))))))</f>
        <v/>
      </c>
      <c r="P728" s="117">
        <f>P727+IF(AND($H728&lt;&gt;"",OR(LEFT($F728,LEN(SC_TK))=SC_TK,LEFT($G728,LEN(SC_TK))=SC_TK)),1,0)</f>
        <v/>
      </c>
    </row>
    <row r="729" ht="15" customHeight="1" s="78">
      <c r="A729" s="95">
        <f>IF($H729="","",ROW()-6)</f>
        <v/>
      </c>
      <c r="B729" s="114" t="n"/>
      <c r="C729" s="102" t="n"/>
      <c r="D729" s="114" t="n"/>
      <c r="E729" s="103" t="n"/>
      <c r="F729" s="102" t="n"/>
      <c r="G729" s="102" t="n"/>
      <c r="H729" s="115" t="n"/>
      <c r="I729" s="102" t="n"/>
      <c r="J729" s="102" t="n"/>
      <c r="K729" s="103" t="n"/>
      <c r="L729" s="116">
        <f>IF($H729="","",TRIM(IF(COUNTIF(DMTK!$A$7:$A$250,$F729)=0,"TK Nợ sai! ","")&amp;IF(COUNTIF(DMTK!$A$7:$A$250,$G729)=0,"TK Có sai! ","")&amp;IF(N($H729)&lt;=0,"Tiền phải &gt; 0! ","")&amp;IF($B729="","Thiếu ngày! ","")&amp;IF(AND(OR(LEFT($F729,3)="131",LEFT($G729,3)="131",LEFT($F729,3)="331",LEFT($G729,3)="331"),$I729=""),"Thiếu Mã ĐT! ","")&amp;IF(AND($I729&lt;&gt;"",COUNTIF(DM_DT!$A$7:$A$306,$I729)=0),"Mã ĐT chưa khai báo! ","")))</f>
        <v/>
      </c>
      <c r="M729" s="117">
        <f>IF($H729="","",IF(AND(OR(LEFT($F729,3)="111",LEFT($F729,3)="112",LEFT($F729,3)="113"),OR(LEFT($G729,3)="111",LEFT($G729,3)="112",LEFT($G729,3)="113")),"NB",IF(OR(LEFT($F729,3)="111",LEFT($F729,3)="112",LEFT($F729,3)="113"),"THU",IF(OR(LEFT($G729,3)="111",LEFT($G729,3)="112",LEFT($G729,3)="113"),"CHI",""))))</f>
        <v/>
      </c>
      <c r="N729" s="117">
        <f>IF($M729="THU",$G729,IF($M729="CHI",$F729,""))</f>
        <v/>
      </c>
      <c r="O729" s="117">
        <f>IF(OR($M729="",$M729="NB"),"",IF($J729&lt;&gt;"",TEXT($J729,"00"),IFERROR(VLOOKUP(LEFT($N729,4),LCTT_MAP!$A$7:$C$66,IF($M729="THU",2,3),FALSE()),IFERROR(VLOOKUP(LEFT($N729,3),LCTT_MAP!$A$7:$C$66,IF($M729="THU",2,3),FALSE()),IFERROR(VLOOKUP(LEFT($N729,2),LCTT_MAP!$A$7:$C$66,IF($M729="THU",2,3),FALSE()),IFERROR(VLOOKUP(LEFT($N729,1),LCTT_MAP!$A$7:$C$66,IF($M729="THU",2,3),FALSE()),IF($M729="THU","06","07")))))))</f>
        <v/>
      </c>
      <c r="P729" s="117">
        <f>P728+IF(AND($H729&lt;&gt;"",OR(LEFT($F729,LEN(SC_TK))=SC_TK,LEFT($G729,LEN(SC_TK))=SC_TK)),1,0)</f>
        <v/>
      </c>
    </row>
    <row r="730" ht="15" customHeight="1" s="78">
      <c r="A730" s="95">
        <f>IF($H730="","",ROW()-6)</f>
        <v/>
      </c>
      <c r="B730" s="114" t="n"/>
      <c r="C730" s="102" t="n"/>
      <c r="D730" s="114" t="n"/>
      <c r="E730" s="103" t="n"/>
      <c r="F730" s="102" t="n"/>
      <c r="G730" s="102" t="n"/>
      <c r="H730" s="115" t="n"/>
      <c r="I730" s="102" t="n"/>
      <c r="J730" s="102" t="n"/>
      <c r="K730" s="103" t="n"/>
      <c r="L730" s="116">
        <f>IF($H730="","",TRIM(IF(COUNTIF(DMTK!$A$7:$A$250,$F730)=0,"TK Nợ sai! ","")&amp;IF(COUNTIF(DMTK!$A$7:$A$250,$G730)=0,"TK Có sai! ","")&amp;IF(N($H730)&lt;=0,"Tiền phải &gt; 0! ","")&amp;IF($B730="","Thiếu ngày! ","")&amp;IF(AND(OR(LEFT($F730,3)="131",LEFT($G730,3)="131",LEFT($F730,3)="331",LEFT($G730,3)="331"),$I730=""),"Thiếu Mã ĐT! ","")&amp;IF(AND($I730&lt;&gt;"",COUNTIF(DM_DT!$A$7:$A$306,$I730)=0),"Mã ĐT chưa khai báo! ","")))</f>
        <v/>
      </c>
      <c r="M730" s="117">
        <f>IF($H730="","",IF(AND(OR(LEFT($F730,3)="111",LEFT($F730,3)="112",LEFT($F730,3)="113"),OR(LEFT($G730,3)="111",LEFT($G730,3)="112",LEFT($G730,3)="113")),"NB",IF(OR(LEFT($F730,3)="111",LEFT($F730,3)="112",LEFT($F730,3)="113"),"THU",IF(OR(LEFT($G730,3)="111",LEFT($G730,3)="112",LEFT($G730,3)="113"),"CHI",""))))</f>
        <v/>
      </c>
      <c r="N730" s="117">
        <f>IF($M730="THU",$G730,IF($M730="CHI",$F730,""))</f>
        <v/>
      </c>
      <c r="O730" s="117">
        <f>IF(OR($M730="",$M730="NB"),"",IF($J730&lt;&gt;"",TEXT($J730,"00"),IFERROR(VLOOKUP(LEFT($N730,4),LCTT_MAP!$A$7:$C$66,IF($M730="THU",2,3),FALSE()),IFERROR(VLOOKUP(LEFT($N730,3),LCTT_MAP!$A$7:$C$66,IF($M730="THU",2,3),FALSE()),IFERROR(VLOOKUP(LEFT($N730,2),LCTT_MAP!$A$7:$C$66,IF($M730="THU",2,3),FALSE()),IFERROR(VLOOKUP(LEFT($N730,1),LCTT_MAP!$A$7:$C$66,IF($M730="THU",2,3),FALSE()),IF($M730="THU","06","07")))))))</f>
        <v/>
      </c>
      <c r="P730" s="117">
        <f>P729+IF(AND($H730&lt;&gt;"",OR(LEFT($F730,LEN(SC_TK))=SC_TK,LEFT($G730,LEN(SC_TK))=SC_TK)),1,0)</f>
        <v/>
      </c>
    </row>
    <row r="731" ht="15" customHeight="1" s="78">
      <c r="A731" s="95">
        <f>IF($H731="","",ROW()-6)</f>
        <v/>
      </c>
      <c r="B731" s="114" t="n"/>
      <c r="C731" s="102" t="n"/>
      <c r="D731" s="114" t="n"/>
      <c r="E731" s="103" t="n"/>
      <c r="F731" s="102" t="n"/>
      <c r="G731" s="102" t="n"/>
      <c r="H731" s="115" t="n"/>
      <c r="I731" s="102" t="n"/>
      <c r="J731" s="102" t="n"/>
      <c r="K731" s="103" t="n"/>
      <c r="L731" s="116">
        <f>IF($H731="","",TRIM(IF(COUNTIF(DMTK!$A$7:$A$250,$F731)=0,"TK Nợ sai! ","")&amp;IF(COUNTIF(DMTK!$A$7:$A$250,$G731)=0,"TK Có sai! ","")&amp;IF(N($H731)&lt;=0,"Tiền phải &gt; 0! ","")&amp;IF($B731="","Thiếu ngày! ","")&amp;IF(AND(OR(LEFT($F731,3)="131",LEFT($G731,3)="131",LEFT($F731,3)="331",LEFT($G731,3)="331"),$I731=""),"Thiếu Mã ĐT! ","")&amp;IF(AND($I731&lt;&gt;"",COUNTIF(DM_DT!$A$7:$A$306,$I731)=0),"Mã ĐT chưa khai báo! ","")))</f>
        <v/>
      </c>
      <c r="M731" s="117">
        <f>IF($H731="","",IF(AND(OR(LEFT($F731,3)="111",LEFT($F731,3)="112",LEFT($F731,3)="113"),OR(LEFT($G731,3)="111",LEFT($G731,3)="112",LEFT($G731,3)="113")),"NB",IF(OR(LEFT($F731,3)="111",LEFT($F731,3)="112",LEFT($F731,3)="113"),"THU",IF(OR(LEFT($G731,3)="111",LEFT($G731,3)="112",LEFT($G731,3)="113"),"CHI",""))))</f>
        <v/>
      </c>
      <c r="N731" s="117">
        <f>IF($M731="THU",$G731,IF($M731="CHI",$F731,""))</f>
        <v/>
      </c>
      <c r="O731" s="117">
        <f>IF(OR($M731="",$M731="NB"),"",IF($J731&lt;&gt;"",TEXT($J731,"00"),IFERROR(VLOOKUP(LEFT($N731,4),LCTT_MAP!$A$7:$C$66,IF($M731="THU",2,3),FALSE()),IFERROR(VLOOKUP(LEFT($N731,3),LCTT_MAP!$A$7:$C$66,IF($M731="THU",2,3),FALSE()),IFERROR(VLOOKUP(LEFT($N731,2),LCTT_MAP!$A$7:$C$66,IF($M731="THU",2,3),FALSE()),IFERROR(VLOOKUP(LEFT($N731,1),LCTT_MAP!$A$7:$C$66,IF($M731="THU",2,3),FALSE()),IF($M731="THU","06","07")))))))</f>
        <v/>
      </c>
      <c r="P731" s="117">
        <f>P730+IF(AND($H731&lt;&gt;"",OR(LEFT($F731,LEN(SC_TK))=SC_TK,LEFT($G731,LEN(SC_TK))=SC_TK)),1,0)</f>
        <v/>
      </c>
    </row>
    <row r="732" ht="15" customHeight="1" s="78">
      <c r="A732" s="95">
        <f>IF($H732="","",ROW()-6)</f>
        <v/>
      </c>
      <c r="B732" s="114" t="n"/>
      <c r="C732" s="102" t="n"/>
      <c r="D732" s="114" t="n"/>
      <c r="E732" s="103" t="n"/>
      <c r="F732" s="102" t="n"/>
      <c r="G732" s="102" t="n"/>
      <c r="H732" s="115" t="n"/>
      <c r="I732" s="102" t="n"/>
      <c r="J732" s="102" t="n"/>
      <c r="K732" s="103" t="n"/>
      <c r="L732" s="116">
        <f>IF($H732="","",TRIM(IF(COUNTIF(DMTK!$A$7:$A$250,$F732)=0,"TK Nợ sai! ","")&amp;IF(COUNTIF(DMTK!$A$7:$A$250,$G732)=0,"TK Có sai! ","")&amp;IF(N($H732)&lt;=0,"Tiền phải &gt; 0! ","")&amp;IF($B732="","Thiếu ngày! ","")&amp;IF(AND(OR(LEFT($F732,3)="131",LEFT($G732,3)="131",LEFT($F732,3)="331",LEFT($G732,3)="331"),$I732=""),"Thiếu Mã ĐT! ","")&amp;IF(AND($I732&lt;&gt;"",COUNTIF(DM_DT!$A$7:$A$306,$I732)=0),"Mã ĐT chưa khai báo! ","")))</f>
        <v/>
      </c>
      <c r="M732" s="117">
        <f>IF($H732="","",IF(AND(OR(LEFT($F732,3)="111",LEFT($F732,3)="112",LEFT($F732,3)="113"),OR(LEFT($G732,3)="111",LEFT($G732,3)="112",LEFT($G732,3)="113")),"NB",IF(OR(LEFT($F732,3)="111",LEFT($F732,3)="112",LEFT($F732,3)="113"),"THU",IF(OR(LEFT($G732,3)="111",LEFT($G732,3)="112",LEFT($G732,3)="113"),"CHI",""))))</f>
        <v/>
      </c>
      <c r="N732" s="117">
        <f>IF($M732="THU",$G732,IF($M732="CHI",$F732,""))</f>
        <v/>
      </c>
      <c r="O732" s="117">
        <f>IF(OR($M732="",$M732="NB"),"",IF($J732&lt;&gt;"",TEXT($J732,"00"),IFERROR(VLOOKUP(LEFT($N732,4),LCTT_MAP!$A$7:$C$66,IF($M732="THU",2,3),FALSE()),IFERROR(VLOOKUP(LEFT($N732,3),LCTT_MAP!$A$7:$C$66,IF($M732="THU",2,3),FALSE()),IFERROR(VLOOKUP(LEFT($N732,2),LCTT_MAP!$A$7:$C$66,IF($M732="THU",2,3),FALSE()),IFERROR(VLOOKUP(LEFT($N732,1),LCTT_MAP!$A$7:$C$66,IF($M732="THU",2,3),FALSE()),IF($M732="THU","06","07")))))))</f>
        <v/>
      </c>
      <c r="P732" s="117">
        <f>P731+IF(AND($H732&lt;&gt;"",OR(LEFT($F732,LEN(SC_TK))=SC_TK,LEFT($G732,LEN(SC_TK))=SC_TK)),1,0)</f>
        <v/>
      </c>
    </row>
    <row r="733" ht="15" customHeight="1" s="78">
      <c r="A733" s="95">
        <f>IF($H733="","",ROW()-6)</f>
        <v/>
      </c>
      <c r="B733" s="114" t="n"/>
      <c r="C733" s="102" t="n"/>
      <c r="D733" s="114" t="n"/>
      <c r="E733" s="103" t="n"/>
      <c r="F733" s="102" t="n"/>
      <c r="G733" s="102" t="n"/>
      <c r="H733" s="115" t="n"/>
      <c r="I733" s="102" t="n"/>
      <c r="J733" s="102" t="n"/>
      <c r="K733" s="103" t="n"/>
      <c r="L733" s="116">
        <f>IF($H733="","",TRIM(IF(COUNTIF(DMTK!$A$7:$A$250,$F733)=0,"TK Nợ sai! ","")&amp;IF(COUNTIF(DMTK!$A$7:$A$250,$G733)=0,"TK Có sai! ","")&amp;IF(N($H733)&lt;=0,"Tiền phải &gt; 0! ","")&amp;IF($B733="","Thiếu ngày! ","")&amp;IF(AND(OR(LEFT($F733,3)="131",LEFT($G733,3)="131",LEFT($F733,3)="331",LEFT($G733,3)="331"),$I733=""),"Thiếu Mã ĐT! ","")&amp;IF(AND($I733&lt;&gt;"",COUNTIF(DM_DT!$A$7:$A$306,$I733)=0),"Mã ĐT chưa khai báo! ","")))</f>
        <v/>
      </c>
      <c r="M733" s="117">
        <f>IF($H733="","",IF(AND(OR(LEFT($F733,3)="111",LEFT($F733,3)="112",LEFT($F733,3)="113"),OR(LEFT($G733,3)="111",LEFT($G733,3)="112",LEFT($G733,3)="113")),"NB",IF(OR(LEFT($F733,3)="111",LEFT($F733,3)="112",LEFT($F733,3)="113"),"THU",IF(OR(LEFT($G733,3)="111",LEFT($G733,3)="112",LEFT($G733,3)="113"),"CHI",""))))</f>
        <v/>
      </c>
      <c r="N733" s="117">
        <f>IF($M733="THU",$G733,IF($M733="CHI",$F733,""))</f>
        <v/>
      </c>
      <c r="O733" s="117">
        <f>IF(OR($M733="",$M733="NB"),"",IF($J733&lt;&gt;"",TEXT($J733,"00"),IFERROR(VLOOKUP(LEFT($N733,4),LCTT_MAP!$A$7:$C$66,IF($M733="THU",2,3),FALSE()),IFERROR(VLOOKUP(LEFT($N733,3),LCTT_MAP!$A$7:$C$66,IF($M733="THU",2,3),FALSE()),IFERROR(VLOOKUP(LEFT($N733,2),LCTT_MAP!$A$7:$C$66,IF($M733="THU",2,3),FALSE()),IFERROR(VLOOKUP(LEFT($N733,1),LCTT_MAP!$A$7:$C$66,IF($M733="THU",2,3),FALSE()),IF($M733="THU","06","07")))))))</f>
        <v/>
      </c>
      <c r="P733" s="117">
        <f>P732+IF(AND($H733&lt;&gt;"",OR(LEFT($F733,LEN(SC_TK))=SC_TK,LEFT($G733,LEN(SC_TK))=SC_TK)),1,0)</f>
        <v/>
      </c>
    </row>
    <row r="734" ht="15" customHeight="1" s="78">
      <c r="A734" s="95">
        <f>IF($H734="","",ROW()-6)</f>
        <v/>
      </c>
      <c r="B734" s="114" t="n"/>
      <c r="C734" s="102" t="n"/>
      <c r="D734" s="114" t="n"/>
      <c r="E734" s="103" t="n"/>
      <c r="F734" s="102" t="n"/>
      <c r="G734" s="102" t="n"/>
      <c r="H734" s="115" t="n"/>
      <c r="I734" s="102" t="n"/>
      <c r="J734" s="102" t="n"/>
      <c r="K734" s="103" t="n"/>
      <c r="L734" s="116">
        <f>IF($H734="","",TRIM(IF(COUNTIF(DMTK!$A$7:$A$250,$F734)=0,"TK Nợ sai! ","")&amp;IF(COUNTIF(DMTK!$A$7:$A$250,$G734)=0,"TK Có sai! ","")&amp;IF(N($H734)&lt;=0,"Tiền phải &gt; 0! ","")&amp;IF($B734="","Thiếu ngày! ","")&amp;IF(AND(OR(LEFT($F734,3)="131",LEFT($G734,3)="131",LEFT($F734,3)="331",LEFT($G734,3)="331"),$I734=""),"Thiếu Mã ĐT! ","")&amp;IF(AND($I734&lt;&gt;"",COUNTIF(DM_DT!$A$7:$A$306,$I734)=0),"Mã ĐT chưa khai báo! ","")))</f>
        <v/>
      </c>
      <c r="M734" s="117">
        <f>IF($H734="","",IF(AND(OR(LEFT($F734,3)="111",LEFT($F734,3)="112",LEFT($F734,3)="113"),OR(LEFT($G734,3)="111",LEFT($G734,3)="112",LEFT($G734,3)="113")),"NB",IF(OR(LEFT($F734,3)="111",LEFT($F734,3)="112",LEFT($F734,3)="113"),"THU",IF(OR(LEFT($G734,3)="111",LEFT($G734,3)="112",LEFT($G734,3)="113"),"CHI",""))))</f>
        <v/>
      </c>
      <c r="N734" s="117">
        <f>IF($M734="THU",$G734,IF($M734="CHI",$F734,""))</f>
        <v/>
      </c>
      <c r="O734" s="117">
        <f>IF(OR($M734="",$M734="NB"),"",IF($J734&lt;&gt;"",TEXT($J734,"00"),IFERROR(VLOOKUP(LEFT($N734,4),LCTT_MAP!$A$7:$C$66,IF($M734="THU",2,3),FALSE()),IFERROR(VLOOKUP(LEFT($N734,3),LCTT_MAP!$A$7:$C$66,IF($M734="THU",2,3),FALSE()),IFERROR(VLOOKUP(LEFT($N734,2),LCTT_MAP!$A$7:$C$66,IF($M734="THU",2,3),FALSE()),IFERROR(VLOOKUP(LEFT($N734,1),LCTT_MAP!$A$7:$C$66,IF($M734="THU",2,3),FALSE()),IF($M734="THU","06","07")))))))</f>
        <v/>
      </c>
      <c r="P734" s="117">
        <f>P733+IF(AND($H734&lt;&gt;"",OR(LEFT($F734,LEN(SC_TK))=SC_TK,LEFT($G734,LEN(SC_TK))=SC_TK)),1,0)</f>
        <v/>
      </c>
    </row>
    <row r="735" ht="15" customHeight="1" s="78">
      <c r="A735" s="95">
        <f>IF($H735="","",ROW()-6)</f>
        <v/>
      </c>
      <c r="B735" s="114" t="n"/>
      <c r="C735" s="102" t="n"/>
      <c r="D735" s="114" t="n"/>
      <c r="E735" s="103" t="n"/>
      <c r="F735" s="102" t="n"/>
      <c r="G735" s="102" t="n"/>
      <c r="H735" s="115" t="n"/>
      <c r="I735" s="102" t="n"/>
      <c r="J735" s="102" t="n"/>
      <c r="K735" s="103" t="n"/>
      <c r="L735" s="116">
        <f>IF($H735="","",TRIM(IF(COUNTIF(DMTK!$A$7:$A$250,$F735)=0,"TK Nợ sai! ","")&amp;IF(COUNTIF(DMTK!$A$7:$A$250,$G735)=0,"TK Có sai! ","")&amp;IF(N($H735)&lt;=0,"Tiền phải &gt; 0! ","")&amp;IF($B735="","Thiếu ngày! ","")&amp;IF(AND(OR(LEFT($F735,3)="131",LEFT($G735,3)="131",LEFT($F735,3)="331",LEFT($G735,3)="331"),$I735=""),"Thiếu Mã ĐT! ","")&amp;IF(AND($I735&lt;&gt;"",COUNTIF(DM_DT!$A$7:$A$306,$I735)=0),"Mã ĐT chưa khai báo! ","")))</f>
        <v/>
      </c>
      <c r="M735" s="117">
        <f>IF($H735="","",IF(AND(OR(LEFT($F735,3)="111",LEFT($F735,3)="112",LEFT($F735,3)="113"),OR(LEFT($G735,3)="111",LEFT($G735,3)="112",LEFT($G735,3)="113")),"NB",IF(OR(LEFT($F735,3)="111",LEFT($F735,3)="112",LEFT($F735,3)="113"),"THU",IF(OR(LEFT($G735,3)="111",LEFT($G735,3)="112",LEFT($G735,3)="113"),"CHI",""))))</f>
        <v/>
      </c>
      <c r="N735" s="117">
        <f>IF($M735="THU",$G735,IF($M735="CHI",$F735,""))</f>
        <v/>
      </c>
      <c r="O735" s="117">
        <f>IF(OR($M735="",$M735="NB"),"",IF($J735&lt;&gt;"",TEXT($J735,"00"),IFERROR(VLOOKUP(LEFT($N735,4),LCTT_MAP!$A$7:$C$66,IF($M735="THU",2,3),FALSE()),IFERROR(VLOOKUP(LEFT($N735,3),LCTT_MAP!$A$7:$C$66,IF($M735="THU",2,3),FALSE()),IFERROR(VLOOKUP(LEFT($N735,2),LCTT_MAP!$A$7:$C$66,IF($M735="THU",2,3),FALSE()),IFERROR(VLOOKUP(LEFT($N735,1),LCTT_MAP!$A$7:$C$66,IF($M735="THU",2,3),FALSE()),IF($M735="THU","06","07")))))))</f>
        <v/>
      </c>
      <c r="P735" s="117">
        <f>P734+IF(AND($H735&lt;&gt;"",OR(LEFT($F735,LEN(SC_TK))=SC_TK,LEFT($G735,LEN(SC_TK))=SC_TK)),1,0)</f>
        <v/>
      </c>
    </row>
    <row r="736" ht="15" customHeight="1" s="78">
      <c r="A736" s="95">
        <f>IF($H736="","",ROW()-6)</f>
        <v/>
      </c>
      <c r="B736" s="114" t="n"/>
      <c r="C736" s="102" t="n"/>
      <c r="D736" s="114" t="n"/>
      <c r="E736" s="103" t="n"/>
      <c r="F736" s="102" t="n"/>
      <c r="G736" s="102" t="n"/>
      <c r="H736" s="115" t="n"/>
      <c r="I736" s="102" t="n"/>
      <c r="J736" s="102" t="n"/>
      <c r="K736" s="103" t="n"/>
      <c r="L736" s="116">
        <f>IF($H736="","",TRIM(IF(COUNTIF(DMTK!$A$7:$A$250,$F736)=0,"TK Nợ sai! ","")&amp;IF(COUNTIF(DMTK!$A$7:$A$250,$G736)=0,"TK Có sai! ","")&amp;IF(N($H736)&lt;=0,"Tiền phải &gt; 0! ","")&amp;IF($B736="","Thiếu ngày! ","")&amp;IF(AND(OR(LEFT($F736,3)="131",LEFT($G736,3)="131",LEFT($F736,3)="331",LEFT($G736,3)="331"),$I736=""),"Thiếu Mã ĐT! ","")&amp;IF(AND($I736&lt;&gt;"",COUNTIF(DM_DT!$A$7:$A$306,$I736)=0),"Mã ĐT chưa khai báo! ","")))</f>
        <v/>
      </c>
      <c r="M736" s="117">
        <f>IF($H736="","",IF(AND(OR(LEFT($F736,3)="111",LEFT($F736,3)="112",LEFT($F736,3)="113"),OR(LEFT($G736,3)="111",LEFT($G736,3)="112",LEFT($G736,3)="113")),"NB",IF(OR(LEFT($F736,3)="111",LEFT($F736,3)="112",LEFT($F736,3)="113"),"THU",IF(OR(LEFT($G736,3)="111",LEFT($G736,3)="112",LEFT($G736,3)="113"),"CHI",""))))</f>
        <v/>
      </c>
      <c r="N736" s="117">
        <f>IF($M736="THU",$G736,IF($M736="CHI",$F736,""))</f>
        <v/>
      </c>
      <c r="O736" s="117">
        <f>IF(OR($M736="",$M736="NB"),"",IF($J736&lt;&gt;"",TEXT($J736,"00"),IFERROR(VLOOKUP(LEFT($N736,4),LCTT_MAP!$A$7:$C$66,IF($M736="THU",2,3),FALSE()),IFERROR(VLOOKUP(LEFT($N736,3),LCTT_MAP!$A$7:$C$66,IF($M736="THU",2,3),FALSE()),IFERROR(VLOOKUP(LEFT($N736,2),LCTT_MAP!$A$7:$C$66,IF($M736="THU",2,3),FALSE()),IFERROR(VLOOKUP(LEFT($N736,1),LCTT_MAP!$A$7:$C$66,IF($M736="THU",2,3),FALSE()),IF($M736="THU","06","07")))))))</f>
        <v/>
      </c>
      <c r="P736" s="117">
        <f>P735+IF(AND($H736&lt;&gt;"",OR(LEFT($F736,LEN(SC_TK))=SC_TK,LEFT($G736,LEN(SC_TK))=SC_TK)),1,0)</f>
        <v/>
      </c>
    </row>
    <row r="737" ht="15" customHeight="1" s="78">
      <c r="A737" s="95">
        <f>IF($H737="","",ROW()-6)</f>
        <v/>
      </c>
      <c r="B737" s="114" t="n"/>
      <c r="C737" s="102" t="n"/>
      <c r="D737" s="114" t="n"/>
      <c r="E737" s="103" t="n"/>
      <c r="F737" s="102" t="n"/>
      <c r="G737" s="102" t="n"/>
      <c r="H737" s="115" t="n"/>
      <c r="I737" s="102" t="n"/>
      <c r="J737" s="102" t="n"/>
      <c r="K737" s="103" t="n"/>
      <c r="L737" s="116">
        <f>IF($H737="","",TRIM(IF(COUNTIF(DMTK!$A$7:$A$250,$F737)=0,"TK Nợ sai! ","")&amp;IF(COUNTIF(DMTK!$A$7:$A$250,$G737)=0,"TK Có sai! ","")&amp;IF(N($H737)&lt;=0,"Tiền phải &gt; 0! ","")&amp;IF($B737="","Thiếu ngày! ","")&amp;IF(AND(OR(LEFT($F737,3)="131",LEFT($G737,3)="131",LEFT($F737,3)="331",LEFT($G737,3)="331"),$I737=""),"Thiếu Mã ĐT! ","")&amp;IF(AND($I737&lt;&gt;"",COUNTIF(DM_DT!$A$7:$A$306,$I737)=0),"Mã ĐT chưa khai báo! ","")))</f>
        <v/>
      </c>
      <c r="M737" s="117">
        <f>IF($H737="","",IF(AND(OR(LEFT($F737,3)="111",LEFT($F737,3)="112",LEFT($F737,3)="113"),OR(LEFT($G737,3)="111",LEFT($G737,3)="112",LEFT($G737,3)="113")),"NB",IF(OR(LEFT($F737,3)="111",LEFT($F737,3)="112",LEFT($F737,3)="113"),"THU",IF(OR(LEFT($G737,3)="111",LEFT($G737,3)="112",LEFT($G737,3)="113"),"CHI",""))))</f>
        <v/>
      </c>
      <c r="N737" s="117">
        <f>IF($M737="THU",$G737,IF($M737="CHI",$F737,""))</f>
        <v/>
      </c>
      <c r="O737" s="117">
        <f>IF(OR($M737="",$M737="NB"),"",IF($J737&lt;&gt;"",TEXT($J737,"00"),IFERROR(VLOOKUP(LEFT($N737,4),LCTT_MAP!$A$7:$C$66,IF($M737="THU",2,3),FALSE()),IFERROR(VLOOKUP(LEFT($N737,3),LCTT_MAP!$A$7:$C$66,IF($M737="THU",2,3),FALSE()),IFERROR(VLOOKUP(LEFT($N737,2),LCTT_MAP!$A$7:$C$66,IF($M737="THU",2,3),FALSE()),IFERROR(VLOOKUP(LEFT($N737,1),LCTT_MAP!$A$7:$C$66,IF($M737="THU",2,3),FALSE()),IF($M737="THU","06","07")))))))</f>
        <v/>
      </c>
      <c r="P737" s="117">
        <f>P736+IF(AND($H737&lt;&gt;"",OR(LEFT($F737,LEN(SC_TK))=SC_TK,LEFT($G737,LEN(SC_TK))=SC_TK)),1,0)</f>
        <v/>
      </c>
    </row>
    <row r="738" ht="15" customHeight="1" s="78">
      <c r="A738" s="95">
        <f>IF($H738="","",ROW()-6)</f>
        <v/>
      </c>
      <c r="B738" s="114" t="n"/>
      <c r="C738" s="102" t="n"/>
      <c r="D738" s="114" t="n"/>
      <c r="E738" s="103" t="n"/>
      <c r="F738" s="102" t="n"/>
      <c r="G738" s="102" t="n"/>
      <c r="H738" s="115" t="n"/>
      <c r="I738" s="102" t="n"/>
      <c r="J738" s="102" t="n"/>
      <c r="K738" s="103" t="n"/>
      <c r="L738" s="116">
        <f>IF($H738="","",TRIM(IF(COUNTIF(DMTK!$A$7:$A$250,$F738)=0,"TK Nợ sai! ","")&amp;IF(COUNTIF(DMTK!$A$7:$A$250,$G738)=0,"TK Có sai! ","")&amp;IF(N($H738)&lt;=0,"Tiền phải &gt; 0! ","")&amp;IF($B738="","Thiếu ngày! ","")&amp;IF(AND(OR(LEFT($F738,3)="131",LEFT($G738,3)="131",LEFT($F738,3)="331",LEFT($G738,3)="331"),$I738=""),"Thiếu Mã ĐT! ","")&amp;IF(AND($I738&lt;&gt;"",COUNTIF(DM_DT!$A$7:$A$306,$I738)=0),"Mã ĐT chưa khai báo! ","")))</f>
        <v/>
      </c>
      <c r="M738" s="117">
        <f>IF($H738="","",IF(AND(OR(LEFT($F738,3)="111",LEFT($F738,3)="112",LEFT($F738,3)="113"),OR(LEFT($G738,3)="111",LEFT($G738,3)="112",LEFT($G738,3)="113")),"NB",IF(OR(LEFT($F738,3)="111",LEFT($F738,3)="112",LEFT($F738,3)="113"),"THU",IF(OR(LEFT($G738,3)="111",LEFT($G738,3)="112",LEFT($G738,3)="113"),"CHI",""))))</f>
        <v/>
      </c>
      <c r="N738" s="117">
        <f>IF($M738="THU",$G738,IF($M738="CHI",$F738,""))</f>
        <v/>
      </c>
      <c r="O738" s="117">
        <f>IF(OR($M738="",$M738="NB"),"",IF($J738&lt;&gt;"",TEXT($J738,"00"),IFERROR(VLOOKUP(LEFT($N738,4),LCTT_MAP!$A$7:$C$66,IF($M738="THU",2,3),FALSE()),IFERROR(VLOOKUP(LEFT($N738,3),LCTT_MAP!$A$7:$C$66,IF($M738="THU",2,3),FALSE()),IFERROR(VLOOKUP(LEFT($N738,2),LCTT_MAP!$A$7:$C$66,IF($M738="THU",2,3),FALSE()),IFERROR(VLOOKUP(LEFT($N738,1),LCTT_MAP!$A$7:$C$66,IF($M738="THU",2,3),FALSE()),IF($M738="THU","06","07")))))))</f>
        <v/>
      </c>
      <c r="P738" s="117">
        <f>P737+IF(AND($H738&lt;&gt;"",OR(LEFT($F738,LEN(SC_TK))=SC_TK,LEFT($G738,LEN(SC_TK))=SC_TK)),1,0)</f>
        <v/>
      </c>
    </row>
    <row r="739" ht="15" customHeight="1" s="78">
      <c r="A739" s="95">
        <f>IF($H739="","",ROW()-6)</f>
        <v/>
      </c>
      <c r="B739" s="114" t="n"/>
      <c r="C739" s="102" t="n"/>
      <c r="D739" s="114" t="n"/>
      <c r="E739" s="103" t="n"/>
      <c r="F739" s="102" t="n"/>
      <c r="G739" s="102" t="n"/>
      <c r="H739" s="115" t="n"/>
      <c r="I739" s="102" t="n"/>
      <c r="J739" s="102" t="n"/>
      <c r="K739" s="103" t="n"/>
      <c r="L739" s="116">
        <f>IF($H739="","",TRIM(IF(COUNTIF(DMTK!$A$7:$A$250,$F739)=0,"TK Nợ sai! ","")&amp;IF(COUNTIF(DMTK!$A$7:$A$250,$G739)=0,"TK Có sai! ","")&amp;IF(N($H739)&lt;=0,"Tiền phải &gt; 0! ","")&amp;IF($B739="","Thiếu ngày! ","")&amp;IF(AND(OR(LEFT($F739,3)="131",LEFT($G739,3)="131",LEFT($F739,3)="331",LEFT($G739,3)="331"),$I739=""),"Thiếu Mã ĐT! ","")&amp;IF(AND($I739&lt;&gt;"",COUNTIF(DM_DT!$A$7:$A$306,$I739)=0),"Mã ĐT chưa khai báo! ","")))</f>
        <v/>
      </c>
      <c r="M739" s="117">
        <f>IF($H739="","",IF(AND(OR(LEFT($F739,3)="111",LEFT($F739,3)="112",LEFT($F739,3)="113"),OR(LEFT($G739,3)="111",LEFT($G739,3)="112",LEFT($G739,3)="113")),"NB",IF(OR(LEFT($F739,3)="111",LEFT($F739,3)="112",LEFT($F739,3)="113"),"THU",IF(OR(LEFT($G739,3)="111",LEFT($G739,3)="112",LEFT($G739,3)="113"),"CHI",""))))</f>
        <v/>
      </c>
      <c r="N739" s="117">
        <f>IF($M739="THU",$G739,IF($M739="CHI",$F739,""))</f>
        <v/>
      </c>
      <c r="O739" s="117">
        <f>IF(OR($M739="",$M739="NB"),"",IF($J739&lt;&gt;"",TEXT($J739,"00"),IFERROR(VLOOKUP(LEFT($N739,4),LCTT_MAP!$A$7:$C$66,IF($M739="THU",2,3),FALSE()),IFERROR(VLOOKUP(LEFT($N739,3),LCTT_MAP!$A$7:$C$66,IF($M739="THU",2,3),FALSE()),IFERROR(VLOOKUP(LEFT($N739,2),LCTT_MAP!$A$7:$C$66,IF($M739="THU",2,3),FALSE()),IFERROR(VLOOKUP(LEFT($N739,1),LCTT_MAP!$A$7:$C$66,IF($M739="THU",2,3),FALSE()),IF($M739="THU","06","07")))))))</f>
        <v/>
      </c>
      <c r="P739" s="117">
        <f>P738+IF(AND($H739&lt;&gt;"",OR(LEFT($F739,LEN(SC_TK))=SC_TK,LEFT($G739,LEN(SC_TK))=SC_TK)),1,0)</f>
        <v/>
      </c>
    </row>
    <row r="740" ht="15" customHeight="1" s="78">
      <c r="A740" s="95">
        <f>IF($H740="","",ROW()-6)</f>
        <v/>
      </c>
      <c r="B740" s="114" t="n"/>
      <c r="C740" s="102" t="n"/>
      <c r="D740" s="114" t="n"/>
      <c r="E740" s="103" t="n"/>
      <c r="F740" s="102" t="n"/>
      <c r="G740" s="102" t="n"/>
      <c r="H740" s="115" t="n"/>
      <c r="I740" s="102" t="n"/>
      <c r="J740" s="102" t="n"/>
      <c r="K740" s="103" t="n"/>
      <c r="L740" s="116">
        <f>IF($H740="","",TRIM(IF(COUNTIF(DMTK!$A$7:$A$250,$F740)=0,"TK Nợ sai! ","")&amp;IF(COUNTIF(DMTK!$A$7:$A$250,$G740)=0,"TK Có sai! ","")&amp;IF(N($H740)&lt;=0,"Tiền phải &gt; 0! ","")&amp;IF($B740="","Thiếu ngày! ","")&amp;IF(AND(OR(LEFT($F740,3)="131",LEFT($G740,3)="131",LEFT($F740,3)="331",LEFT($G740,3)="331"),$I740=""),"Thiếu Mã ĐT! ","")&amp;IF(AND($I740&lt;&gt;"",COUNTIF(DM_DT!$A$7:$A$306,$I740)=0),"Mã ĐT chưa khai báo! ","")))</f>
        <v/>
      </c>
      <c r="M740" s="117">
        <f>IF($H740="","",IF(AND(OR(LEFT($F740,3)="111",LEFT($F740,3)="112",LEFT($F740,3)="113"),OR(LEFT($G740,3)="111",LEFT($G740,3)="112",LEFT($G740,3)="113")),"NB",IF(OR(LEFT($F740,3)="111",LEFT($F740,3)="112",LEFT($F740,3)="113"),"THU",IF(OR(LEFT($G740,3)="111",LEFT($G740,3)="112",LEFT($G740,3)="113"),"CHI",""))))</f>
        <v/>
      </c>
      <c r="N740" s="117">
        <f>IF($M740="THU",$G740,IF($M740="CHI",$F740,""))</f>
        <v/>
      </c>
      <c r="O740" s="117">
        <f>IF(OR($M740="",$M740="NB"),"",IF($J740&lt;&gt;"",TEXT($J740,"00"),IFERROR(VLOOKUP(LEFT($N740,4),LCTT_MAP!$A$7:$C$66,IF($M740="THU",2,3),FALSE()),IFERROR(VLOOKUP(LEFT($N740,3),LCTT_MAP!$A$7:$C$66,IF($M740="THU",2,3),FALSE()),IFERROR(VLOOKUP(LEFT($N740,2),LCTT_MAP!$A$7:$C$66,IF($M740="THU",2,3),FALSE()),IFERROR(VLOOKUP(LEFT($N740,1),LCTT_MAP!$A$7:$C$66,IF($M740="THU",2,3),FALSE()),IF($M740="THU","06","07")))))))</f>
        <v/>
      </c>
      <c r="P740" s="117">
        <f>P739+IF(AND($H740&lt;&gt;"",OR(LEFT($F740,LEN(SC_TK))=SC_TK,LEFT($G740,LEN(SC_TK))=SC_TK)),1,0)</f>
        <v/>
      </c>
    </row>
    <row r="741" ht="15" customHeight="1" s="78">
      <c r="A741" s="95">
        <f>IF($H741="","",ROW()-6)</f>
        <v/>
      </c>
      <c r="B741" s="114" t="n"/>
      <c r="C741" s="102" t="n"/>
      <c r="D741" s="114" t="n"/>
      <c r="E741" s="103" t="n"/>
      <c r="F741" s="102" t="n"/>
      <c r="G741" s="102" t="n"/>
      <c r="H741" s="115" t="n"/>
      <c r="I741" s="102" t="n"/>
      <c r="J741" s="102" t="n"/>
      <c r="K741" s="103" t="n"/>
      <c r="L741" s="116">
        <f>IF($H741="","",TRIM(IF(COUNTIF(DMTK!$A$7:$A$250,$F741)=0,"TK Nợ sai! ","")&amp;IF(COUNTIF(DMTK!$A$7:$A$250,$G741)=0,"TK Có sai! ","")&amp;IF(N($H741)&lt;=0,"Tiền phải &gt; 0! ","")&amp;IF($B741="","Thiếu ngày! ","")&amp;IF(AND(OR(LEFT($F741,3)="131",LEFT($G741,3)="131",LEFT($F741,3)="331",LEFT($G741,3)="331"),$I741=""),"Thiếu Mã ĐT! ","")&amp;IF(AND($I741&lt;&gt;"",COUNTIF(DM_DT!$A$7:$A$306,$I741)=0),"Mã ĐT chưa khai báo! ","")))</f>
        <v/>
      </c>
      <c r="M741" s="117">
        <f>IF($H741="","",IF(AND(OR(LEFT($F741,3)="111",LEFT($F741,3)="112",LEFT($F741,3)="113"),OR(LEFT($G741,3)="111",LEFT($G741,3)="112",LEFT($G741,3)="113")),"NB",IF(OR(LEFT($F741,3)="111",LEFT($F741,3)="112",LEFT($F741,3)="113"),"THU",IF(OR(LEFT($G741,3)="111",LEFT($G741,3)="112",LEFT($G741,3)="113"),"CHI",""))))</f>
        <v/>
      </c>
      <c r="N741" s="117">
        <f>IF($M741="THU",$G741,IF($M741="CHI",$F741,""))</f>
        <v/>
      </c>
      <c r="O741" s="117">
        <f>IF(OR($M741="",$M741="NB"),"",IF($J741&lt;&gt;"",TEXT($J741,"00"),IFERROR(VLOOKUP(LEFT($N741,4),LCTT_MAP!$A$7:$C$66,IF($M741="THU",2,3),FALSE()),IFERROR(VLOOKUP(LEFT($N741,3),LCTT_MAP!$A$7:$C$66,IF($M741="THU",2,3),FALSE()),IFERROR(VLOOKUP(LEFT($N741,2),LCTT_MAP!$A$7:$C$66,IF($M741="THU",2,3),FALSE()),IFERROR(VLOOKUP(LEFT($N741,1),LCTT_MAP!$A$7:$C$66,IF($M741="THU",2,3),FALSE()),IF($M741="THU","06","07")))))))</f>
        <v/>
      </c>
      <c r="P741" s="117">
        <f>P740+IF(AND($H741&lt;&gt;"",OR(LEFT($F741,LEN(SC_TK))=SC_TK,LEFT($G741,LEN(SC_TK))=SC_TK)),1,0)</f>
        <v/>
      </c>
    </row>
    <row r="742" ht="15" customHeight="1" s="78">
      <c r="A742" s="95">
        <f>IF($H742="","",ROW()-6)</f>
        <v/>
      </c>
      <c r="B742" s="114" t="n"/>
      <c r="C742" s="102" t="n"/>
      <c r="D742" s="114" t="n"/>
      <c r="E742" s="103" t="n"/>
      <c r="F742" s="102" t="n"/>
      <c r="G742" s="102" t="n"/>
      <c r="H742" s="115" t="n"/>
      <c r="I742" s="102" t="n"/>
      <c r="J742" s="102" t="n"/>
      <c r="K742" s="103" t="n"/>
      <c r="L742" s="116">
        <f>IF($H742="","",TRIM(IF(COUNTIF(DMTK!$A$7:$A$250,$F742)=0,"TK Nợ sai! ","")&amp;IF(COUNTIF(DMTK!$A$7:$A$250,$G742)=0,"TK Có sai! ","")&amp;IF(N($H742)&lt;=0,"Tiền phải &gt; 0! ","")&amp;IF($B742="","Thiếu ngày! ","")&amp;IF(AND(OR(LEFT($F742,3)="131",LEFT($G742,3)="131",LEFT($F742,3)="331",LEFT($G742,3)="331"),$I742=""),"Thiếu Mã ĐT! ","")&amp;IF(AND($I742&lt;&gt;"",COUNTIF(DM_DT!$A$7:$A$306,$I742)=0),"Mã ĐT chưa khai báo! ","")))</f>
        <v/>
      </c>
      <c r="M742" s="117">
        <f>IF($H742="","",IF(AND(OR(LEFT($F742,3)="111",LEFT($F742,3)="112",LEFT($F742,3)="113"),OR(LEFT($G742,3)="111",LEFT($G742,3)="112",LEFT($G742,3)="113")),"NB",IF(OR(LEFT($F742,3)="111",LEFT($F742,3)="112",LEFT($F742,3)="113"),"THU",IF(OR(LEFT($G742,3)="111",LEFT($G742,3)="112",LEFT($G742,3)="113"),"CHI",""))))</f>
        <v/>
      </c>
      <c r="N742" s="117">
        <f>IF($M742="THU",$G742,IF($M742="CHI",$F742,""))</f>
        <v/>
      </c>
      <c r="O742" s="117">
        <f>IF(OR($M742="",$M742="NB"),"",IF($J742&lt;&gt;"",TEXT($J742,"00"),IFERROR(VLOOKUP(LEFT($N742,4),LCTT_MAP!$A$7:$C$66,IF($M742="THU",2,3),FALSE()),IFERROR(VLOOKUP(LEFT($N742,3),LCTT_MAP!$A$7:$C$66,IF($M742="THU",2,3),FALSE()),IFERROR(VLOOKUP(LEFT($N742,2),LCTT_MAP!$A$7:$C$66,IF($M742="THU",2,3),FALSE()),IFERROR(VLOOKUP(LEFT($N742,1),LCTT_MAP!$A$7:$C$66,IF($M742="THU",2,3),FALSE()),IF($M742="THU","06","07")))))))</f>
        <v/>
      </c>
      <c r="P742" s="117">
        <f>P741+IF(AND($H742&lt;&gt;"",OR(LEFT($F742,LEN(SC_TK))=SC_TK,LEFT($G742,LEN(SC_TK))=SC_TK)),1,0)</f>
        <v/>
      </c>
    </row>
    <row r="743" ht="15" customHeight="1" s="78">
      <c r="A743" s="95">
        <f>IF($H743="","",ROW()-6)</f>
        <v/>
      </c>
      <c r="B743" s="114" t="n"/>
      <c r="C743" s="102" t="n"/>
      <c r="D743" s="114" t="n"/>
      <c r="E743" s="103" t="n"/>
      <c r="F743" s="102" t="n"/>
      <c r="G743" s="102" t="n"/>
      <c r="H743" s="115" t="n"/>
      <c r="I743" s="102" t="n"/>
      <c r="J743" s="102" t="n"/>
      <c r="K743" s="103" t="n"/>
      <c r="L743" s="116">
        <f>IF($H743="","",TRIM(IF(COUNTIF(DMTK!$A$7:$A$250,$F743)=0,"TK Nợ sai! ","")&amp;IF(COUNTIF(DMTK!$A$7:$A$250,$G743)=0,"TK Có sai! ","")&amp;IF(N($H743)&lt;=0,"Tiền phải &gt; 0! ","")&amp;IF($B743="","Thiếu ngày! ","")&amp;IF(AND(OR(LEFT($F743,3)="131",LEFT($G743,3)="131",LEFT($F743,3)="331",LEFT($G743,3)="331"),$I743=""),"Thiếu Mã ĐT! ","")&amp;IF(AND($I743&lt;&gt;"",COUNTIF(DM_DT!$A$7:$A$306,$I743)=0),"Mã ĐT chưa khai báo! ","")))</f>
        <v/>
      </c>
      <c r="M743" s="117">
        <f>IF($H743="","",IF(AND(OR(LEFT($F743,3)="111",LEFT($F743,3)="112",LEFT($F743,3)="113"),OR(LEFT($G743,3)="111",LEFT($G743,3)="112",LEFT($G743,3)="113")),"NB",IF(OR(LEFT($F743,3)="111",LEFT($F743,3)="112",LEFT($F743,3)="113"),"THU",IF(OR(LEFT($G743,3)="111",LEFT($G743,3)="112",LEFT($G743,3)="113"),"CHI",""))))</f>
        <v/>
      </c>
      <c r="N743" s="117">
        <f>IF($M743="THU",$G743,IF($M743="CHI",$F743,""))</f>
        <v/>
      </c>
      <c r="O743" s="117">
        <f>IF(OR($M743="",$M743="NB"),"",IF($J743&lt;&gt;"",TEXT($J743,"00"),IFERROR(VLOOKUP(LEFT($N743,4),LCTT_MAP!$A$7:$C$66,IF($M743="THU",2,3),FALSE()),IFERROR(VLOOKUP(LEFT($N743,3),LCTT_MAP!$A$7:$C$66,IF($M743="THU",2,3),FALSE()),IFERROR(VLOOKUP(LEFT($N743,2),LCTT_MAP!$A$7:$C$66,IF($M743="THU",2,3),FALSE()),IFERROR(VLOOKUP(LEFT($N743,1),LCTT_MAP!$A$7:$C$66,IF($M743="THU",2,3),FALSE()),IF($M743="THU","06","07")))))))</f>
        <v/>
      </c>
      <c r="P743" s="117">
        <f>P742+IF(AND($H743&lt;&gt;"",OR(LEFT($F743,LEN(SC_TK))=SC_TK,LEFT($G743,LEN(SC_TK))=SC_TK)),1,0)</f>
        <v/>
      </c>
    </row>
    <row r="744" ht="15" customHeight="1" s="78">
      <c r="A744" s="95">
        <f>IF($H744="","",ROW()-6)</f>
        <v/>
      </c>
      <c r="B744" s="114" t="n"/>
      <c r="C744" s="102" t="n"/>
      <c r="D744" s="114" t="n"/>
      <c r="E744" s="103" t="n"/>
      <c r="F744" s="102" t="n"/>
      <c r="G744" s="102" t="n"/>
      <c r="H744" s="115" t="n"/>
      <c r="I744" s="102" t="n"/>
      <c r="J744" s="102" t="n"/>
      <c r="K744" s="103" t="n"/>
      <c r="L744" s="116">
        <f>IF($H744="","",TRIM(IF(COUNTIF(DMTK!$A$7:$A$250,$F744)=0,"TK Nợ sai! ","")&amp;IF(COUNTIF(DMTK!$A$7:$A$250,$G744)=0,"TK Có sai! ","")&amp;IF(N($H744)&lt;=0,"Tiền phải &gt; 0! ","")&amp;IF($B744="","Thiếu ngày! ","")&amp;IF(AND(OR(LEFT($F744,3)="131",LEFT($G744,3)="131",LEFT($F744,3)="331",LEFT($G744,3)="331"),$I744=""),"Thiếu Mã ĐT! ","")&amp;IF(AND($I744&lt;&gt;"",COUNTIF(DM_DT!$A$7:$A$306,$I744)=0),"Mã ĐT chưa khai báo! ","")))</f>
        <v/>
      </c>
      <c r="M744" s="117">
        <f>IF($H744="","",IF(AND(OR(LEFT($F744,3)="111",LEFT($F744,3)="112",LEFT($F744,3)="113"),OR(LEFT($G744,3)="111",LEFT($G744,3)="112",LEFT($G744,3)="113")),"NB",IF(OR(LEFT($F744,3)="111",LEFT($F744,3)="112",LEFT($F744,3)="113"),"THU",IF(OR(LEFT($G744,3)="111",LEFT($G744,3)="112",LEFT($G744,3)="113"),"CHI",""))))</f>
        <v/>
      </c>
      <c r="N744" s="117">
        <f>IF($M744="THU",$G744,IF($M744="CHI",$F744,""))</f>
        <v/>
      </c>
      <c r="O744" s="117">
        <f>IF(OR($M744="",$M744="NB"),"",IF($J744&lt;&gt;"",TEXT($J744,"00"),IFERROR(VLOOKUP(LEFT($N744,4),LCTT_MAP!$A$7:$C$66,IF($M744="THU",2,3),FALSE()),IFERROR(VLOOKUP(LEFT($N744,3),LCTT_MAP!$A$7:$C$66,IF($M744="THU",2,3),FALSE()),IFERROR(VLOOKUP(LEFT($N744,2),LCTT_MAP!$A$7:$C$66,IF($M744="THU",2,3),FALSE()),IFERROR(VLOOKUP(LEFT($N744,1),LCTT_MAP!$A$7:$C$66,IF($M744="THU",2,3),FALSE()),IF($M744="THU","06","07")))))))</f>
        <v/>
      </c>
      <c r="P744" s="117">
        <f>P743+IF(AND($H744&lt;&gt;"",OR(LEFT($F744,LEN(SC_TK))=SC_TK,LEFT($G744,LEN(SC_TK))=SC_TK)),1,0)</f>
        <v/>
      </c>
    </row>
    <row r="745" ht="15" customHeight="1" s="78">
      <c r="A745" s="95">
        <f>IF($H745="","",ROW()-6)</f>
        <v/>
      </c>
      <c r="B745" s="114" t="n"/>
      <c r="C745" s="102" t="n"/>
      <c r="D745" s="114" t="n"/>
      <c r="E745" s="103" t="n"/>
      <c r="F745" s="102" t="n"/>
      <c r="G745" s="102" t="n"/>
      <c r="H745" s="115" t="n"/>
      <c r="I745" s="102" t="n"/>
      <c r="J745" s="102" t="n"/>
      <c r="K745" s="103" t="n"/>
      <c r="L745" s="116">
        <f>IF($H745="","",TRIM(IF(COUNTIF(DMTK!$A$7:$A$250,$F745)=0,"TK Nợ sai! ","")&amp;IF(COUNTIF(DMTK!$A$7:$A$250,$G745)=0,"TK Có sai! ","")&amp;IF(N($H745)&lt;=0,"Tiền phải &gt; 0! ","")&amp;IF($B745="","Thiếu ngày! ","")&amp;IF(AND(OR(LEFT($F745,3)="131",LEFT($G745,3)="131",LEFT($F745,3)="331",LEFT($G745,3)="331"),$I745=""),"Thiếu Mã ĐT! ","")&amp;IF(AND($I745&lt;&gt;"",COUNTIF(DM_DT!$A$7:$A$306,$I745)=0),"Mã ĐT chưa khai báo! ","")))</f>
        <v/>
      </c>
      <c r="M745" s="117">
        <f>IF($H745="","",IF(AND(OR(LEFT($F745,3)="111",LEFT($F745,3)="112",LEFT($F745,3)="113"),OR(LEFT($G745,3)="111",LEFT($G745,3)="112",LEFT($G745,3)="113")),"NB",IF(OR(LEFT($F745,3)="111",LEFT($F745,3)="112",LEFT($F745,3)="113"),"THU",IF(OR(LEFT($G745,3)="111",LEFT($G745,3)="112",LEFT($G745,3)="113"),"CHI",""))))</f>
        <v/>
      </c>
      <c r="N745" s="117">
        <f>IF($M745="THU",$G745,IF($M745="CHI",$F745,""))</f>
        <v/>
      </c>
      <c r="O745" s="117">
        <f>IF(OR($M745="",$M745="NB"),"",IF($J745&lt;&gt;"",TEXT($J745,"00"),IFERROR(VLOOKUP(LEFT($N745,4),LCTT_MAP!$A$7:$C$66,IF($M745="THU",2,3),FALSE()),IFERROR(VLOOKUP(LEFT($N745,3),LCTT_MAP!$A$7:$C$66,IF($M745="THU",2,3),FALSE()),IFERROR(VLOOKUP(LEFT($N745,2),LCTT_MAP!$A$7:$C$66,IF($M745="THU",2,3),FALSE()),IFERROR(VLOOKUP(LEFT($N745,1),LCTT_MAP!$A$7:$C$66,IF($M745="THU",2,3),FALSE()),IF($M745="THU","06","07")))))))</f>
        <v/>
      </c>
      <c r="P745" s="117">
        <f>P744+IF(AND($H745&lt;&gt;"",OR(LEFT($F745,LEN(SC_TK))=SC_TK,LEFT($G745,LEN(SC_TK))=SC_TK)),1,0)</f>
        <v/>
      </c>
    </row>
    <row r="746" ht="15" customHeight="1" s="78">
      <c r="A746" s="95">
        <f>IF($H746="","",ROW()-6)</f>
        <v/>
      </c>
      <c r="B746" s="114" t="n"/>
      <c r="C746" s="102" t="n"/>
      <c r="D746" s="114" t="n"/>
      <c r="E746" s="103" t="n"/>
      <c r="F746" s="102" t="n"/>
      <c r="G746" s="102" t="n"/>
      <c r="H746" s="115" t="n"/>
      <c r="I746" s="102" t="n"/>
      <c r="J746" s="102" t="n"/>
      <c r="K746" s="103" t="n"/>
      <c r="L746" s="116">
        <f>IF($H746="","",TRIM(IF(COUNTIF(DMTK!$A$7:$A$250,$F746)=0,"TK Nợ sai! ","")&amp;IF(COUNTIF(DMTK!$A$7:$A$250,$G746)=0,"TK Có sai! ","")&amp;IF(N($H746)&lt;=0,"Tiền phải &gt; 0! ","")&amp;IF($B746="","Thiếu ngày! ","")&amp;IF(AND(OR(LEFT($F746,3)="131",LEFT($G746,3)="131",LEFT($F746,3)="331",LEFT($G746,3)="331"),$I746=""),"Thiếu Mã ĐT! ","")&amp;IF(AND($I746&lt;&gt;"",COUNTIF(DM_DT!$A$7:$A$306,$I746)=0),"Mã ĐT chưa khai báo! ","")))</f>
        <v/>
      </c>
      <c r="M746" s="117">
        <f>IF($H746="","",IF(AND(OR(LEFT($F746,3)="111",LEFT($F746,3)="112",LEFT($F746,3)="113"),OR(LEFT($G746,3)="111",LEFT($G746,3)="112",LEFT($G746,3)="113")),"NB",IF(OR(LEFT($F746,3)="111",LEFT($F746,3)="112",LEFT($F746,3)="113"),"THU",IF(OR(LEFT($G746,3)="111",LEFT($G746,3)="112",LEFT($G746,3)="113"),"CHI",""))))</f>
        <v/>
      </c>
      <c r="N746" s="117">
        <f>IF($M746="THU",$G746,IF($M746="CHI",$F746,""))</f>
        <v/>
      </c>
      <c r="O746" s="117">
        <f>IF(OR($M746="",$M746="NB"),"",IF($J746&lt;&gt;"",TEXT($J746,"00"),IFERROR(VLOOKUP(LEFT($N746,4),LCTT_MAP!$A$7:$C$66,IF($M746="THU",2,3),FALSE()),IFERROR(VLOOKUP(LEFT($N746,3),LCTT_MAP!$A$7:$C$66,IF($M746="THU",2,3),FALSE()),IFERROR(VLOOKUP(LEFT($N746,2),LCTT_MAP!$A$7:$C$66,IF($M746="THU",2,3),FALSE()),IFERROR(VLOOKUP(LEFT($N746,1),LCTT_MAP!$A$7:$C$66,IF($M746="THU",2,3),FALSE()),IF($M746="THU","06","07")))))))</f>
        <v/>
      </c>
      <c r="P746" s="117">
        <f>P745+IF(AND($H746&lt;&gt;"",OR(LEFT($F746,LEN(SC_TK))=SC_TK,LEFT($G746,LEN(SC_TK))=SC_TK)),1,0)</f>
        <v/>
      </c>
    </row>
    <row r="747" ht="15" customHeight="1" s="78">
      <c r="A747" s="95">
        <f>IF($H747="","",ROW()-6)</f>
        <v/>
      </c>
      <c r="B747" s="114" t="n"/>
      <c r="C747" s="102" t="n"/>
      <c r="D747" s="114" t="n"/>
      <c r="E747" s="103" t="n"/>
      <c r="F747" s="102" t="n"/>
      <c r="G747" s="102" t="n"/>
      <c r="H747" s="115" t="n"/>
      <c r="I747" s="102" t="n"/>
      <c r="J747" s="102" t="n"/>
      <c r="K747" s="103" t="n"/>
      <c r="L747" s="116">
        <f>IF($H747="","",TRIM(IF(COUNTIF(DMTK!$A$7:$A$250,$F747)=0,"TK Nợ sai! ","")&amp;IF(COUNTIF(DMTK!$A$7:$A$250,$G747)=0,"TK Có sai! ","")&amp;IF(N($H747)&lt;=0,"Tiền phải &gt; 0! ","")&amp;IF($B747="","Thiếu ngày! ","")&amp;IF(AND(OR(LEFT($F747,3)="131",LEFT($G747,3)="131",LEFT($F747,3)="331",LEFT($G747,3)="331"),$I747=""),"Thiếu Mã ĐT! ","")&amp;IF(AND($I747&lt;&gt;"",COUNTIF(DM_DT!$A$7:$A$306,$I747)=0),"Mã ĐT chưa khai báo! ","")))</f>
        <v/>
      </c>
      <c r="M747" s="117">
        <f>IF($H747="","",IF(AND(OR(LEFT($F747,3)="111",LEFT($F747,3)="112",LEFT($F747,3)="113"),OR(LEFT($G747,3)="111",LEFT($G747,3)="112",LEFT($G747,3)="113")),"NB",IF(OR(LEFT($F747,3)="111",LEFT($F747,3)="112",LEFT($F747,3)="113"),"THU",IF(OR(LEFT($G747,3)="111",LEFT($G747,3)="112",LEFT($G747,3)="113"),"CHI",""))))</f>
        <v/>
      </c>
      <c r="N747" s="117">
        <f>IF($M747="THU",$G747,IF($M747="CHI",$F747,""))</f>
        <v/>
      </c>
      <c r="O747" s="117">
        <f>IF(OR($M747="",$M747="NB"),"",IF($J747&lt;&gt;"",TEXT($J747,"00"),IFERROR(VLOOKUP(LEFT($N747,4),LCTT_MAP!$A$7:$C$66,IF($M747="THU",2,3),FALSE()),IFERROR(VLOOKUP(LEFT($N747,3),LCTT_MAP!$A$7:$C$66,IF($M747="THU",2,3),FALSE()),IFERROR(VLOOKUP(LEFT($N747,2),LCTT_MAP!$A$7:$C$66,IF($M747="THU",2,3),FALSE()),IFERROR(VLOOKUP(LEFT($N747,1),LCTT_MAP!$A$7:$C$66,IF($M747="THU",2,3),FALSE()),IF($M747="THU","06","07")))))))</f>
        <v/>
      </c>
      <c r="P747" s="117">
        <f>P746+IF(AND($H747&lt;&gt;"",OR(LEFT($F747,LEN(SC_TK))=SC_TK,LEFT($G747,LEN(SC_TK))=SC_TK)),1,0)</f>
        <v/>
      </c>
    </row>
    <row r="748" ht="15" customHeight="1" s="78">
      <c r="A748" s="95">
        <f>IF($H748="","",ROW()-6)</f>
        <v/>
      </c>
      <c r="B748" s="114" t="n"/>
      <c r="C748" s="102" t="n"/>
      <c r="D748" s="114" t="n"/>
      <c r="E748" s="103" t="n"/>
      <c r="F748" s="102" t="n"/>
      <c r="G748" s="102" t="n"/>
      <c r="H748" s="115" t="n"/>
      <c r="I748" s="102" t="n"/>
      <c r="J748" s="102" t="n"/>
      <c r="K748" s="103" t="n"/>
      <c r="L748" s="116">
        <f>IF($H748="","",TRIM(IF(COUNTIF(DMTK!$A$7:$A$250,$F748)=0,"TK Nợ sai! ","")&amp;IF(COUNTIF(DMTK!$A$7:$A$250,$G748)=0,"TK Có sai! ","")&amp;IF(N($H748)&lt;=0,"Tiền phải &gt; 0! ","")&amp;IF($B748="","Thiếu ngày! ","")&amp;IF(AND(OR(LEFT($F748,3)="131",LEFT($G748,3)="131",LEFT($F748,3)="331",LEFT($G748,3)="331"),$I748=""),"Thiếu Mã ĐT! ","")&amp;IF(AND($I748&lt;&gt;"",COUNTIF(DM_DT!$A$7:$A$306,$I748)=0),"Mã ĐT chưa khai báo! ","")))</f>
        <v/>
      </c>
      <c r="M748" s="117">
        <f>IF($H748="","",IF(AND(OR(LEFT($F748,3)="111",LEFT($F748,3)="112",LEFT($F748,3)="113"),OR(LEFT($G748,3)="111",LEFT($G748,3)="112",LEFT($G748,3)="113")),"NB",IF(OR(LEFT($F748,3)="111",LEFT($F748,3)="112",LEFT($F748,3)="113"),"THU",IF(OR(LEFT($G748,3)="111",LEFT($G748,3)="112",LEFT($G748,3)="113"),"CHI",""))))</f>
        <v/>
      </c>
      <c r="N748" s="117">
        <f>IF($M748="THU",$G748,IF($M748="CHI",$F748,""))</f>
        <v/>
      </c>
      <c r="O748" s="117">
        <f>IF(OR($M748="",$M748="NB"),"",IF($J748&lt;&gt;"",TEXT($J748,"00"),IFERROR(VLOOKUP(LEFT($N748,4),LCTT_MAP!$A$7:$C$66,IF($M748="THU",2,3),FALSE()),IFERROR(VLOOKUP(LEFT($N748,3),LCTT_MAP!$A$7:$C$66,IF($M748="THU",2,3),FALSE()),IFERROR(VLOOKUP(LEFT($N748,2),LCTT_MAP!$A$7:$C$66,IF($M748="THU",2,3),FALSE()),IFERROR(VLOOKUP(LEFT($N748,1),LCTT_MAP!$A$7:$C$66,IF($M748="THU",2,3),FALSE()),IF($M748="THU","06","07")))))))</f>
        <v/>
      </c>
      <c r="P748" s="117">
        <f>P747+IF(AND($H748&lt;&gt;"",OR(LEFT($F748,LEN(SC_TK))=SC_TK,LEFT($G748,LEN(SC_TK))=SC_TK)),1,0)</f>
        <v/>
      </c>
    </row>
    <row r="749" ht="15" customHeight="1" s="78">
      <c r="A749" s="95">
        <f>IF($H749="","",ROW()-6)</f>
        <v/>
      </c>
      <c r="B749" s="114" t="n"/>
      <c r="C749" s="102" t="n"/>
      <c r="D749" s="114" t="n"/>
      <c r="E749" s="103" t="n"/>
      <c r="F749" s="102" t="n"/>
      <c r="G749" s="102" t="n"/>
      <c r="H749" s="115" t="n"/>
      <c r="I749" s="102" t="n"/>
      <c r="J749" s="102" t="n"/>
      <c r="K749" s="103" t="n"/>
      <c r="L749" s="116">
        <f>IF($H749="","",TRIM(IF(COUNTIF(DMTK!$A$7:$A$250,$F749)=0,"TK Nợ sai! ","")&amp;IF(COUNTIF(DMTK!$A$7:$A$250,$G749)=0,"TK Có sai! ","")&amp;IF(N($H749)&lt;=0,"Tiền phải &gt; 0! ","")&amp;IF($B749="","Thiếu ngày! ","")&amp;IF(AND(OR(LEFT($F749,3)="131",LEFT($G749,3)="131",LEFT($F749,3)="331",LEFT($G749,3)="331"),$I749=""),"Thiếu Mã ĐT! ","")&amp;IF(AND($I749&lt;&gt;"",COUNTIF(DM_DT!$A$7:$A$306,$I749)=0),"Mã ĐT chưa khai báo! ","")))</f>
        <v/>
      </c>
      <c r="M749" s="117">
        <f>IF($H749="","",IF(AND(OR(LEFT($F749,3)="111",LEFT($F749,3)="112",LEFT($F749,3)="113"),OR(LEFT($G749,3)="111",LEFT($G749,3)="112",LEFT($G749,3)="113")),"NB",IF(OR(LEFT($F749,3)="111",LEFT($F749,3)="112",LEFT($F749,3)="113"),"THU",IF(OR(LEFT($G749,3)="111",LEFT($G749,3)="112",LEFT($G749,3)="113"),"CHI",""))))</f>
        <v/>
      </c>
      <c r="N749" s="117">
        <f>IF($M749="THU",$G749,IF($M749="CHI",$F749,""))</f>
        <v/>
      </c>
      <c r="O749" s="117">
        <f>IF(OR($M749="",$M749="NB"),"",IF($J749&lt;&gt;"",TEXT($J749,"00"),IFERROR(VLOOKUP(LEFT($N749,4),LCTT_MAP!$A$7:$C$66,IF($M749="THU",2,3),FALSE()),IFERROR(VLOOKUP(LEFT($N749,3),LCTT_MAP!$A$7:$C$66,IF($M749="THU",2,3),FALSE()),IFERROR(VLOOKUP(LEFT($N749,2),LCTT_MAP!$A$7:$C$66,IF($M749="THU",2,3),FALSE()),IFERROR(VLOOKUP(LEFT($N749,1),LCTT_MAP!$A$7:$C$66,IF($M749="THU",2,3),FALSE()),IF($M749="THU","06","07")))))))</f>
        <v/>
      </c>
      <c r="P749" s="117">
        <f>P748+IF(AND($H749&lt;&gt;"",OR(LEFT($F749,LEN(SC_TK))=SC_TK,LEFT($G749,LEN(SC_TK))=SC_TK)),1,0)</f>
        <v/>
      </c>
    </row>
    <row r="750" ht="15" customHeight="1" s="78">
      <c r="A750" s="95">
        <f>IF($H750="","",ROW()-6)</f>
        <v/>
      </c>
      <c r="B750" s="114" t="n"/>
      <c r="C750" s="102" t="n"/>
      <c r="D750" s="114" t="n"/>
      <c r="E750" s="103" t="n"/>
      <c r="F750" s="102" t="n"/>
      <c r="G750" s="102" t="n"/>
      <c r="H750" s="115" t="n"/>
      <c r="I750" s="102" t="n"/>
      <c r="J750" s="102" t="n"/>
      <c r="K750" s="103" t="n"/>
      <c r="L750" s="116">
        <f>IF($H750="","",TRIM(IF(COUNTIF(DMTK!$A$7:$A$250,$F750)=0,"TK Nợ sai! ","")&amp;IF(COUNTIF(DMTK!$A$7:$A$250,$G750)=0,"TK Có sai! ","")&amp;IF(N($H750)&lt;=0,"Tiền phải &gt; 0! ","")&amp;IF($B750="","Thiếu ngày! ","")&amp;IF(AND(OR(LEFT($F750,3)="131",LEFT($G750,3)="131",LEFT($F750,3)="331",LEFT($G750,3)="331"),$I750=""),"Thiếu Mã ĐT! ","")&amp;IF(AND($I750&lt;&gt;"",COUNTIF(DM_DT!$A$7:$A$306,$I750)=0),"Mã ĐT chưa khai báo! ","")))</f>
        <v/>
      </c>
      <c r="M750" s="117">
        <f>IF($H750="","",IF(AND(OR(LEFT($F750,3)="111",LEFT($F750,3)="112",LEFT($F750,3)="113"),OR(LEFT($G750,3)="111",LEFT($G750,3)="112",LEFT($G750,3)="113")),"NB",IF(OR(LEFT($F750,3)="111",LEFT($F750,3)="112",LEFT($F750,3)="113"),"THU",IF(OR(LEFT($G750,3)="111",LEFT($G750,3)="112",LEFT($G750,3)="113"),"CHI",""))))</f>
        <v/>
      </c>
      <c r="N750" s="117">
        <f>IF($M750="THU",$G750,IF($M750="CHI",$F750,""))</f>
        <v/>
      </c>
      <c r="O750" s="117">
        <f>IF(OR($M750="",$M750="NB"),"",IF($J750&lt;&gt;"",TEXT($J750,"00"),IFERROR(VLOOKUP(LEFT($N750,4),LCTT_MAP!$A$7:$C$66,IF($M750="THU",2,3),FALSE()),IFERROR(VLOOKUP(LEFT($N750,3),LCTT_MAP!$A$7:$C$66,IF($M750="THU",2,3),FALSE()),IFERROR(VLOOKUP(LEFT($N750,2),LCTT_MAP!$A$7:$C$66,IF($M750="THU",2,3),FALSE()),IFERROR(VLOOKUP(LEFT($N750,1),LCTT_MAP!$A$7:$C$66,IF($M750="THU",2,3),FALSE()),IF($M750="THU","06","07")))))))</f>
        <v/>
      </c>
      <c r="P750" s="117">
        <f>P749+IF(AND($H750&lt;&gt;"",OR(LEFT($F750,LEN(SC_TK))=SC_TK,LEFT($G750,LEN(SC_TK))=SC_TK)),1,0)</f>
        <v/>
      </c>
    </row>
    <row r="751" ht="15" customHeight="1" s="78">
      <c r="A751" s="95">
        <f>IF($H751="","",ROW()-6)</f>
        <v/>
      </c>
      <c r="B751" s="114" t="n"/>
      <c r="C751" s="102" t="n"/>
      <c r="D751" s="114" t="n"/>
      <c r="E751" s="103" t="n"/>
      <c r="F751" s="102" t="n"/>
      <c r="G751" s="102" t="n"/>
      <c r="H751" s="115" t="n"/>
      <c r="I751" s="102" t="n"/>
      <c r="J751" s="102" t="n"/>
      <c r="K751" s="103" t="n"/>
      <c r="L751" s="116">
        <f>IF($H751="","",TRIM(IF(COUNTIF(DMTK!$A$7:$A$250,$F751)=0,"TK Nợ sai! ","")&amp;IF(COUNTIF(DMTK!$A$7:$A$250,$G751)=0,"TK Có sai! ","")&amp;IF(N($H751)&lt;=0,"Tiền phải &gt; 0! ","")&amp;IF($B751="","Thiếu ngày! ","")&amp;IF(AND(OR(LEFT($F751,3)="131",LEFT($G751,3)="131",LEFT($F751,3)="331",LEFT($G751,3)="331"),$I751=""),"Thiếu Mã ĐT! ","")&amp;IF(AND($I751&lt;&gt;"",COUNTIF(DM_DT!$A$7:$A$306,$I751)=0),"Mã ĐT chưa khai báo! ","")))</f>
        <v/>
      </c>
      <c r="M751" s="117">
        <f>IF($H751="","",IF(AND(OR(LEFT($F751,3)="111",LEFT($F751,3)="112",LEFT($F751,3)="113"),OR(LEFT($G751,3)="111",LEFT($G751,3)="112",LEFT($G751,3)="113")),"NB",IF(OR(LEFT($F751,3)="111",LEFT($F751,3)="112",LEFT($F751,3)="113"),"THU",IF(OR(LEFT($G751,3)="111",LEFT($G751,3)="112",LEFT($G751,3)="113"),"CHI",""))))</f>
        <v/>
      </c>
      <c r="N751" s="117">
        <f>IF($M751="THU",$G751,IF($M751="CHI",$F751,""))</f>
        <v/>
      </c>
      <c r="O751" s="117">
        <f>IF(OR($M751="",$M751="NB"),"",IF($J751&lt;&gt;"",TEXT($J751,"00"),IFERROR(VLOOKUP(LEFT($N751,4),LCTT_MAP!$A$7:$C$66,IF($M751="THU",2,3),FALSE()),IFERROR(VLOOKUP(LEFT($N751,3),LCTT_MAP!$A$7:$C$66,IF($M751="THU",2,3),FALSE()),IFERROR(VLOOKUP(LEFT($N751,2),LCTT_MAP!$A$7:$C$66,IF($M751="THU",2,3),FALSE()),IFERROR(VLOOKUP(LEFT($N751,1),LCTT_MAP!$A$7:$C$66,IF($M751="THU",2,3),FALSE()),IF($M751="THU","06","07")))))))</f>
        <v/>
      </c>
      <c r="P751" s="117">
        <f>P750+IF(AND($H751&lt;&gt;"",OR(LEFT($F751,LEN(SC_TK))=SC_TK,LEFT($G751,LEN(SC_TK))=SC_TK)),1,0)</f>
        <v/>
      </c>
    </row>
    <row r="752" ht="15" customHeight="1" s="78">
      <c r="A752" s="95">
        <f>IF($H752="","",ROW()-6)</f>
        <v/>
      </c>
      <c r="B752" s="114" t="n"/>
      <c r="C752" s="102" t="n"/>
      <c r="D752" s="114" t="n"/>
      <c r="E752" s="103" t="n"/>
      <c r="F752" s="102" t="n"/>
      <c r="G752" s="102" t="n"/>
      <c r="H752" s="115" t="n"/>
      <c r="I752" s="102" t="n"/>
      <c r="J752" s="102" t="n"/>
      <c r="K752" s="103" t="n"/>
      <c r="L752" s="116">
        <f>IF($H752="","",TRIM(IF(COUNTIF(DMTK!$A$7:$A$250,$F752)=0,"TK Nợ sai! ","")&amp;IF(COUNTIF(DMTK!$A$7:$A$250,$G752)=0,"TK Có sai! ","")&amp;IF(N($H752)&lt;=0,"Tiền phải &gt; 0! ","")&amp;IF($B752="","Thiếu ngày! ","")&amp;IF(AND(OR(LEFT($F752,3)="131",LEFT($G752,3)="131",LEFT($F752,3)="331",LEFT($G752,3)="331"),$I752=""),"Thiếu Mã ĐT! ","")&amp;IF(AND($I752&lt;&gt;"",COUNTIF(DM_DT!$A$7:$A$306,$I752)=0),"Mã ĐT chưa khai báo! ","")))</f>
        <v/>
      </c>
      <c r="M752" s="117">
        <f>IF($H752="","",IF(AND(OR(LEFT($F752,3)="111",LEFT($F752,3)="112",LEFT($F752,3)="113"),OR(LEFT($G752,3)="111",LEFT($G752,3)="112",LEFT($G752,3)="113")),"NB",IF(OR(LEFT($F752,3)="111",LEFT($F752,3)="112",LEFT($F752,3)="113"),"THU",IF(OR(LEFT($G752,3)="111",LEFT($G752,3)="112",LEFT($G752,3)="113"),"CHI",""))))</f>
        <v/>
      </c>
      <c r="N752" s="117">
        <f>IF($M752="THU",$G752,IF($M752="CHI",$F752,""))</f>
        <v/>
      </c>
      <c r="O752" s="117">
        <f>IF(OR($M752="",$M752="NB"),"",IF($J752&lt;&gt;"",TEXT($J752,"00"),IFERROR(VLOOKUP(LEFT($N752,4),LCTT_MAP!$A$7:$C$66,IF($M752="THU",2,3),FALSE()),IFERROR(VLOOKUP(LEFT($N752,3),LCTT_MAP!$A$7:$C$66,IF($M752="THU",2,3),FALSE()),IFERROR(VLOOKUP(LEFT($N752,2),LCTT_MAP!$A$7:$C$66,IF($M752="THU",2,3),FALSE()),IFERROR(VLOOKUP(LEFT($N752,1),LCTT_MAP!$A$7:$C$66,IF($M752="THU",2,3),FALSE()),IF($M752="THU","06","07")))))))</f>
        <v/>
      </c>
      <c r="P752" s="117">
        <f>P751+IF(AND($H752&lt;&gt;"",OR(LEFT($F752,LEN(SC_TK))=SC_TK,LEFT($G752,LEN(SC_TK))=SC_TK)),1,0)</f>
        <v/>
      </c>
    </row>
    <row r="753" ht="15" customHeight="1" s="78">
      <c r="A753" s="95">
        <f>IF($H753="","",ROW()-6)</f>
        <v/>
      </c>
      <c r="B753" s="114" t="n"/>
      <c r="C753" s="102" t="n"/>
      <c r="D753" s="114" t="n"/>
      <c r="E753" s="103" t="n"/>
      <c r="F753" s="102" t="n"/>
      <c r="G753" s="102" t="n"/>
      <c r="H753" s="115" t="n"/>
      <c r="I753" s="102" t="n"/>
      <c r="J753" s="102" t="n"/>
      <c r="K753" s="103" t="n"/>
      <c r="L753" s="116">
        <f>IF($H753="","",TRIM(IF(COUNTIF(DMTK!$A$7:$A$250,$F753)=0,"TK Nợ sai! ","")&amp;IF(COUNTIF(DMTK!$A$7:$A$250,$G753)=0,"TK Có sai! ","")&amp;IF(N($H753)&lt;=0,"Tiền phải &gt; 0! ","")&amp;IF($B753="","Thiếu ngày! ","")&amp;IF(AND(OR(LEFT($F753,3)="131",LEFT($G753,3)="131",LEFT($F753,3)="331",LEFT($G753,3)="331"),$I753=""),"Thiếu Mã ĐT! ","")&amp;IF(AND($I753&lt;&gt;"",COUNTIF(DM_DT!$A$7:$A$306,$I753)=0),"Mã ĐT chưa khai báo! ","")))</f>
        <v/>
      </c>
      <c r="M753" s="117">
        <f>IF($H753="","",IF(AND(OR(LEFT($F753,3)="111",LEFT($F753,3)="112",LEFT($F753,3)="113"),OR(LEFT($G753,3)="111",LEFT($G753,3)="112",LEFT($G753,3)="113")),"NB",IF(OR(LEFT($F753,3)="111",LEFT($F753,3)="112",LEFT($F753,3)="113"),"THU",IF(OR(LEFT($G753,3)="111",LEFT($G753,3)="112",LEFT($G753,3)="113"),"CHI",""))))</f>
        <v/>
      </c>
      <c r="N753" s="117">
        <f>IF($M753="THU",$G753,IF($M753="CHI",$F753,""))</f>
        <v/>
      </c>
      <c r="O753" s="117">
        <f>IF(OR($M753="",$M753="NB"),"",IF($J753&lt;&gt;"",TEXT($J753,"00"),IFERROR(VLOOKUP(LEFT($N753,4),LCTT_MAP!$A$7:$C$66,IF($M753="THU",2,3),FALSE()),IFERROR(VLOOKUP(LEFT($N753,3),LCTT_MAP!$A$7:$C$66,IF($M753="THU",2,3),FALSE()),IFERROR(VLOOKUP(LEFT($N753,2),LCTT_MAP!$A$7:$C$66,IF($M753="THU",2,3),FALSE()),IFERROR(VLOOKUP(LEFT($N753,1),LCTT_MAP!$A$7:$C$66,IF($M753="THU",2,3),FALSE()),IF($M753="THU","06","07")))))))</f>
        <v/>
      </c>
      <c r="P753" s="117">
        <f>P752+IF(AND($H753&lt;&gt;"",OR(LEFT($F753,LEN(SC_TK))=SC_TK,LEFT($G753,LEN(SC_TK))=SC_TK)),1,0)</f>
        <v/>
      </c>
    </row>
    <row r="754" ht="15" customHeight="1" s="78">
      <c r="A754" s="95">
        <f>IF($H754="","",ROW()-6)</f>
        <v/>
      </c>
      <c r="B754" s="114" t="n"/>
      <c r="C754" s="102" t="n"/>
      <c r="D754" s="114" t="n"/>
      <c r="E754" s="103" t="n"/>
      <c r="F754" s="102" t="n"/>
      <c r="G754" s="102" t="n"/>
      <c r="H754" s="115" t="n"/>
      <c r="I754" s="102" t="n"/>
      <c r="J754" s="102" t="n"/>
      <c r="K754" s="103" t="n"/>
      <c r="L754" s="116">
        <f>IF($H754="","",TRIM(IF(COUNTIF(DMTK!$A$7:$A$250,$F754)=0,"TK Nợ sai! ","")&amp;IF(COUNTIF(DMTK!$A$7:$A$250,$G754)=0,"TK Có sai! ","")&amp;IF(N($H754)&lt;=0,"Tiền phải &gt; 0! ","")&amp;IF($B754="","Thiếu ngày! ","")&amp;IF(AND(OR(LEFT($F754,3)="131",LEFT($G754,3)="131",LEFT($F754,3)="331",LEFT($G754,3)="331"),$I754=""),"Thiếu Mã ĐT! ","")&amp;IF(AND($I754&lt;&gt;"",COUNTIF(DM_DT!$A$7:$A$306,$I754)=0),"Mã ĐT chưa khai báo! ","")))</f>
        <v/>
      </c>
      <c r="M754" s="117">
        <f>IF($H754="","",IF(AND(OR(LEFT($F754,3)="111",LEFT($F754,3)="112",LEFT($F754,3)="113"),OR(LEFT($G754,3)="111",LEFT($G754,3)="112",LEFT($G754,3)="113")),"NB",IF(OR(LEFT($F754,3)="111",LEFT($F754,3)="112",LEFT($F754,3)="113"),"THU",IF(OR(LEFT($G754,3)="111",LEFT($G754,3)="112",LEFT($G754,3)="113"),"CHI",""))))</f>
        <v/>
      </c>
      <c r="N754" s="117">
        <f>IF($M754="THU",$G754,IF($M754="CHI",$F754,""))</f>
        <v/>
      </c>
      <c r="O754" s="117">
        <f>IF(OR($M754="",$M754="NB"),"",IF($J754&lt;&gt;"",TEXT($J754,"00"),IFERROR(VLOOKUP(LEFT($N754,4),LCTT_MAP!$A$7:$C$66,IF($M754="THU",2,3),FALSE()),IFERROR(VLOOKUP(LEFT($N754,3),LCTT_MAP!$A$7:$C$66,IF($M754="THU",2,3),FALSE()),IFERROR(VLOOKUP(LEFT($N754,2),LCTT_MAP!$A$7:$C$66,IF($M754="THU",2,3),FALSE()),IFERROR(VLOOKUP(LEFT($N754,1),LCTT_MAP!$A$7:$C$66,IF($M754="THU",2,3),FALSE()),IF($M754="THU","06","07")))))))</f>
        <v/>
      </c>
      <c r="P754" s="117">
        <f>P753+IF(AND($H754&lt;&gt;"",OR(LEFT($F754,LEN(SC_TK))=SC_TK,LEFT($G754,LEN(SC_TK))=SC_TK)),1,0)</f>
        <v/>
      </c>
    </row>
    <row r="755" ht="15" customHeight="1" s="78">
      <c r="A755" s="95">
        <f>IF($H755="","",ROW()-6)</f>
        <v/>
      </c>
      <c r="B755" s="114" t="n"/>
      <c r="C755" s="102" t="n"/>
      <c r="D755" s="114" t="n"/>
      <c r="E755" s="103" t="n"/>
      <c r="F755" s="102" t="n"/>
      <c r="G755" s="102" t="n"/>
      <c r="H755" s="115" t="n"/>
      <c r="I755" s="102" t="n"/>
      <c r="J755" s="102" t="n"/>
      <c r="K755" s="103" t="n"/>
      <c r="L755" s="116">
        <f>IF($H755="","",TRIM(IF(COUNTIF(DMTK!$A$7:$A$250,$F755)=0,"TK Nợ sai! ","")&amp;IF(COUNTIF(DMTK!$A$7:$A$250,$G755)=0,"TK Có sai! ","")&amp;IF(N($H755)&lt;=0,"Tiền phải &gt; 0! ","")&amp;IF($B755="","Thiếu ngày! ","")&amp;IF(AND(OR(LEFT($F755,3)="131",LEFT($G755,3)="131",LEFT($F755,3)="331",LEFT($G755,3)="331"),$I755=""),"Thiếu Mã ĐT! ","")&amp;IF(AND($I755&lt;&gt;"",COUNTIF(DM_DT!$A$7:$A$306,$I755)=0),"Mã ĐT chưa khai báo! ","")))</f>
        <v/>
      </c>
      <c r="M755" s="117">
        <f>IF($H755="","",IF(AND(OR(LEFT($F755,3)="111",LEFT($F755,3)="112",LEFT($F755,3)="113"),OR(LEFT($G755,3)="111",LEFT($G755,3)="112",LEFT($G755,3)="113")),"NB",IF(OR(LEFT($F755,3)="111",LEFT($F755,3)="112",LEFT($F755,3)="113"),"THU",IF(OR(LEFT($G755,3)="111",LEFT($G755,3)="112",LEFT($G755,3)="113"),"CHI",""))))</f>
        <v/>
      </c>
      <c r="N755" s="117">
        <f>IF($M755="THU",$G755,IF($M755="CHI",$F755,""))</f>
        <v/>
      </c>
      <c r="O755" s="117">
        <f>IF(OR($M755="",$M755="NB"),"",IF($J755&lt;&gt;"",TEXT($J755,"00"),IFERROR(VLOOKUP(LEFT($N755,4),LCTT_MAP!$A$7:$C$66,IF($M755="THU",2,3),FALSE()),IFERROR(VLOOKUP(LEFT($N755,3),LCTT_MAP!$A$7:$C$66,IF($M755="THU",2,3),FALSE()),IFERROR(VLOOKUP(LEFT($N755,2),LCTT_MAP!$A$7:$C$66,IF($M755="THU",2,3),FALSE()),IFERROR(VLOOKUP(LEFT($N755,1),LCTT_MAP!$A$7:$C$66,IF($M755="THU",2,3),FALSE()),IF($M755="THU","06","07")))))))</f>
        <v/>
      </c>
      <c r="P755" s="117">
        <f>P754+IF(AND($H755&lt;&gt;"",OR(LEFT($F755,LEN(SC_TK))=SC_TK,LEFT($G755,LEN(SC_TK))=SC_TK)),1,0)</f>
        <v/>
      </c>
    </row>
    <row r="756" ht="15" customHeight="1" s="78">
      <c r="A756" s="95">
        <f>IF($H756="","",ROW()-6)</f>
        <v/>
      </c>
      <c r="B756" s="114" t="n"/>
      <c r="C756" s="102" t="n"/>
      <c r="D756" s="114" t="n"/>
      <c r="E756" s="103" t="n"/>
      <c r="F756" s="102" t="n"/>
      <c r="G756" s="102" t="n"/>
      <c r="H756" s="115" t="n"/>
      <c r="I756" s="102" t="n"/>
      <c r="J756" s="102" t="n"/>
      <c r="K756" s="103" t="n"/>
      <c r="L756" s="116">
        <f>IF($H756="","",TRIM(IF(COUNTIF(DMTK!$A$7:$A$250,$F756)=0,"TK Nợ sai! ","")&amp;IF(COUNTIF(DMTK!$A$7:$A$250,$G756)=0,"TK Có sai! ","")&amp;IF(N($H756)&lt;=0,"Tiền phải &gt; 0! ","")&amp;IF($B756="","Thiếu ngày! ","")&amp;IF(AND(OR(LEFT($F756,3)="131",LEFT($G756,3)="131",LEFT($F756,3)="331",LEFT($G756,3)="331"),$I756=""),"Thiếu Mã ĐT! ","")&amp;IF(AND($I756&lt;&gt;"",COUNTIF(DM_DT!$A$7:$A$306,$I756)=0),"Mã ĐT chưa khai báo! ","")))</f>
        <v/>
      </c>
      <c r="M756" s="117">
        <f>IF($H756="","",IF(AND(OR(LEFT($F756,3)="111",LEFT($F756,3)="112",LEFT($F756,3)="113"),OR(LEFT($G756,3)="111",LEFT($G756,3)="112",LEFT($G756,3)="113")),"NB",IF(OR(LEFT($F756,3)="111",LEFT($F756,3)="112",LEFT($F756,3)="113"),"THU",IF(OR(LEFT($G756,3)="111",LEFT($G756,3)="112",LEFT($G756,3)="113"),"CHI",""))))</f>
        <v/>
      </c>
      <c r="N756" s="117">
        <f>IF($M756="THU",$G756,IF($M756="CHI",$F756,""))</f>
        <v/>
      </c>
      <c r="O756" s="117">
        <f>IF(OR($M756="",$M756="NB"),"",IF($J756&lt;&gt;"",TEXT($J756,"00"),IFERROR(VLOOKUP(LEFT($N756,4),LCTT_MAP!$A$7:$C$66,IF($M756="THU",2,3),FALSE()),IFERROR(VLOOKUP(LEFT($N756,3),LCTT_MAP!$A$7:$C$66,IF($M756="THU",2,3),FALSE()),IFERROR(VLOOKUP(LEFT($N756,2),LCTT_MAP!$A$7:$C$66,IF($M756="THU",2,3),FALSE()),IFERROR(VLOOKUP(LEFT($N756,1),LCTT_MAP!$A$7:$C$66,IF($M756="THU",2,3),FALSE()),IF($M756="THU","06","07")))))))</f>
        <v/>
      </c>
      <c r="P756" s="117">
        <f>P755+IF(AND($H756&lt;&gt;"",OR(LEFT($F756,LEN(SC_TK))=SC_TK,LEFT($G756,LEN(SC_TK))=SC_TK)),1,0)</f>
        <v/>
      </c>
    </row>
    <row r="757" ht="15" customHeight="1" s="78">
      <c r="A757" s="95">
        <f>IF($H757="","",ROW()-6)</f>
        <v/>
      </c>
      <c r="B757" s="114" t="n"/>
      <c r="C757" s="102" t="n"/>
      <c r="D757" s="114" t="n"/>
      <c r="E757" s="103" t="n"/>
      <c r="F757" s="102" t="n"/>
      <c r="G757" s="102" t="n"/>
      <c r="H757" s="115" t="n"/>
      <c r="I757" s="102" t="n"/>
      <c r="J757" s="102" t="n"/>
      <c r="K757" s="103" t="n"/>
      <c r="L757" s="116">
        <f>IF($H757="","",TRIM(IF(COUNTIF(DMTK!$A$7:$A$250,$F757)=0,"TK Nợ sai! ","")&amp;IF(COUNTIF(DMTK!$A$7:$A$250,$G757)=0,"TK Có sai! ","")&amp;IF(N($H757)&lt;=0,"Tiền phải &gt; 0! ","")&amp;IF($B757="","Thiếu ngày! ","")&amp;IF(AND(OR(LEFT($F757,3)="131",LEFT($G757,3)="131",LEFT($F757,3)="331",LEFT($G757,3)="331"),$I757=""),"Thiếu Mã ĐT! ","")&amp;IF(AND($I757&lt;&gt;"",COUNTIF(DM_DT!$A$7:$A$306,$I757)=0),"Mã ĐT chưa khai báo! ","")))</f>
        <v/>
      </c>
      <c r="M757" s="117">
        <f>IF($H757="","",IF(AND(OR(LEFT($F757,3)="111",LEFT($F757,3)="112",LEFT($F757,3)="113"),OR(LEFT($G757,3)="111",LEFT($G757,3)="112",LEFT($G757,3)="113")),"NB",IF(OR(LEFT($F757,3)="111",LEFT($F757,3)="112",LEFT($F757,3)="113"),"THU",IF(OR(LEFT($G757,3)="111",LEFT($G757,3)="112",LEFT($G757,3)="113"),"CHI",""))))</f>
        <v/>
      </c>
      <c r="N757" s="117">
        <f>IF($M757="THU",$G757,IF($M757="CHI",$F757,""))</f>
        <v/>
      </c>
      <c r="O757" s="117">
        <f>IF(OR($M757="",$M757="NB"),"",IF($J757&lt;&gt;"",TEXT($J757,"00"),IFERROR(VLOOKUP(LEFT($N757,4),LCTT_MAP!$A$7:$C$66,IF($M757="THU",2,3),FALSE()),IFERROR(VLOOKUP(LEFT($N757,3),LCTT_MAP!$A$7:$C$66,IF($M757="THU",2,3),FALSE()),IFERROR(VLOOKUP(LEFT($N757,2),LCTT_MAP!$A$7:$C$66,IF($M757="THU",2,3),FALSE()),IFERROR(VLOOKUP(LEFT($N757,1),LCTT_MAP!$A$7:$C$66,IF($M757="THU",2,3),FALSE()),IF($M757="THU","06","07")))))))</f>
        <v/>
      </c>
      <c r="P757" s="117">
        <f>P756+IF(AND($H757&lt;&gt;"",OR(LEFT($F757,LEN(SC_TK))=SC_TK,LEFT($G757,LEN(SC_TK))=SC_TK)),1,0)</f>
        <v/>
      </c>
    </row>
    <row r="758" ht="15" customHeight="1" s="78">
      <c r="A758" s="95">
        <f>IF($H758="","",ROW()-6)</f>
        <v/>
      </c>
      <c r="B758" s="114" t="n"/>
      <c r="C758" s="102" t="n"/>
      <c r="D758" s="114" t="n"/>
      <c r="E758" s="103" t="n"/>
      <c r="F758" s="102" t="n"/>
      <c r="G758" s="102" t="n"/>
      <c r="H758" s="115" t="n"/>
      <c r="I758" s="102" t="n"/>
      <c r="J758" s="102" t="n"/>
      <c r="K758" s="103" t="n"/>
      <c r="L758" s="116">
        <f>IF($H758="","",TRIM(IF(COUNTIF(DMTK!$A$7:$A$250,$F758)=0,"TK Nợ sai! ","")&amp;IF(COUNTIF(DMTK!$A$7:$A$250,$G758)=0,"TK Có sai! ","")&amp;IF(N($H758)&lt;=0,"Tiền phải &gt; 0! ","")&amp;IF($B758="","Thiếu ngày! ","")&amp;IF(AND(OR(LEFT($F758,3)="131",LEFT($G758,3)="131",LEFT($F758,3)="331",LEFT($G758,3)="331"),$I758=""),"Thiếu Mã ĐT! ","")&amp;IF(AND($I758&lt;&gt;"",COUNTIF(DM_DT!$A$7:$A$306,$I758)=0),"Mã ĐT chưa khai báo! ","")))</f>
        <v/>
      </c>
      <c r="M758" s="117">
        <f>IF($H758="","",IF(AND(OR(LEFT($F758,3)="111",LEFT($F758,3)="112",LEFT($F758,3)="113"),OR(LEFT($G758,3)="111",LEFT($G758,3)="112",LEFT($G758,3)="113")),"NB",IF(OR(LEFT($F758,3)="111",LEFT($F758,3)="112",LEFT($F758,3)="113"),"THU",IF(OR(LEFT($G758,3)="111",LEFT($G758,3)="112",LEFT($G758,3)="113"),"CHI",""))))</f>
        <v/>
      </c>
      <c r="N758" s="117">
        <f>IF($M758="THU",$G758,IF($M758="CHI",$F758,""))</f>
        <v/>
      </c>
      <c r="O758" s="117">
        <f>IF(OR($M758="",$M758="NB"),"",IF($J758&lt;&gt;"",TEXT($J758,"00"),IFERROR(VLOOKUP(LEFT($N758,4),LCTT_MAP!$A$7:$C$66,IF($M758="THU",2,3),FALSE()),IFERROR(VLOOKUP(LEFT($N758,3),LCTT_MAP!$A$7:$C$66,IF($M758="THU",2,3),FALSE()),IFERROR(VLOOKUP(LEFT($N758,2),LCTT_MAP!$A$7:$C$66,IF($M758="THU",2,3),FALSE()),IFERROR(VLOOKUP(LEFT($N758,1),LCTT_MAP!$A$7:$C$66,IF($M758="THU",2,3),FALSE()),IF($M758="THU","06","07")))))))</f>
        <v/>
      </c>
      <c r="P758" s="117">
        <f>P757+IF(AND($H758&lt;&gt;"",OR(LEFT($F758,LEN(SC_TK))=SC_TK,LEFT($G758,LEN(SC_TK))=SC_TK)),1,0)</f>
        <v/>
      </c>
    </row>
    <row r="759" ht="15" customHeight="1" s="78">
      <c r="A759" s="95">
        <f>IF($H759="","",ROW()-6)</f>
        <v/>
      </c>
      <c r="B759" s="114" t="n"/>
      <c r="C759" s="102" t="n"/>
      <c r="D759" s="114" t="n"/>
      <c r="E759" s="103" t="n"/>
      <c r="F759" s="102" t="n"/>
      <c r="G759" s="102" t="n"/>
      <c r="H759" s="115" t="n"/>
      <c r="I759" s="102" t="n"/>
      <c r="J759" s="102" t="n"/>
      <c r="K759" s="103" t="n"/>
      <c r="L759" s="116">
        <f>IF($H759="","",TRIM(IF(COUNTIF(DMTK!$A$7:$A$250,$F759)=0,"TK Nợ sai! ","")&amp;IF(COUNTIF(DMTK!$A$7:$A$250,$G759)=0,"TK Có sai! ","")&amp;IF(N($H759)&lt;=0,"Tiền phải &gt; 0! ","")&amp;IF($B759="","Thiếu ngày! ","")&amp;IF(AND(OR(LEFT($F759,3)="131",LEFT($G759,3)="131",LEFT($F759,3)="331",LEFT($G759,3)="331"),$I759=""),"Thiếu Mã ĐT! ","")&amp;IF(AND($I759&lt;&gt;"",COUNTIF(DM_DT!$A$7:$A$306,$I759)=0),"Mã ĐT chưa khai báo! ","")))</f>
        <v/>
      </c>
      <c r="M759" s="117">
        <f>IF($H759="","",IF(AND(OR(LEFT($F759,3)="111",LEFT($F759,3)="112",LEFT($F759,3)="113"),OR(LEFT($G759,3)="111",LEFT($G759,3)="112",LEFT($G759,3)="113")),"NB",IF(OR(LEFT($F759,3)="111",LEFT($F759,3)="112",LEFT($F759,3)="113"),"THU",IF(OR(LEFT($G759,3)="111",LEFT($G759,3)="112",LEFT($G759,3)="113"),"CHI",""))))</f>
        <v/>
      </c>
      <c r="N759" s="117">
        <f>IF($M759="THU",$G759,IF($M759="CHI",$F759,""))</f>
        <v/>
      </c>
      <c r="O759" s="117">
        <f>IF(OR($M759="",$M759="NB"),"",IF($J759&lt;&gt;"",TEXT($J759,"00"),IFERROR(VLOOKUP(LEFT($N759,4),LCTT_MAP!$A$7:$C$66,IF($M759="THU",2,3),FALSE()),IFERROR(VLOOKUP(LEFT($N759,3),LCTT_MAP!$A$7:$C$66,IF($M759="THU",2,3),FALSE()),IFERROR(VLOOKUP(LEFT($N759,2),LCTT_MAP!$A$7:$C$66,IF($M759="THU",2,3),FALSE()),IFERROR(VLOOKUP(LEFT($N759,1),LCTT_MAP!$A$7:$C$66,IF($M759="THU",2,3),FALSE()),IF($M759="THU","06","07")))))))</f>
        <v/>
      </c>
      <c r="P759" s="117">
        <f>P758+IF(AND($H759&lt;&gt;"",OR(LEFT($F759,LEN(SC_TK))=SC_TK,LEFT($G759,LEN(SC_TK))=SC_TK)),1,0)</f>
        <v/>
      </c>
    </row>
    <row r="760" ht="15" customHeight="1" s="78">
      <c r="A760" s="95">
        <f>IF($H760="","",ROW()-6)</f>
        <v/>
      </c>
      <c r="B760" s="114" t="n"/>
      <c r="C760" s="102" t="n"/>
      <c r="D760" s="114" t="n"/>
      <c r="E760" s="103" t="n"/>
      <c r="F760" s="102" t="n"/>
      <c r="G760" s="102" t="n"/>
      <c r="H760" s="115" t="n"/>
      <c r="I760" s="102" t="n"/>
      <c r="J760" s="102" t="n"/>
      <c r="K760" s="103" t="n"/>
      <c r="L760" s="116">
        <f>IF($H760="","",TRIM(IF(COUNTIF(DMTK!$A$7:$A$250,$F760)=0,"TK Nợ sai! ","")&amp;IF(COUNTIF(DMTK!$A$7:$A$250,$G760)=0,"TK Có sai! ","")&amp;IF(N($H760)&lt;=0,"Tiền phải &gt; 0! ","")&amp;IF($B760="","Thiếu ngày! ","")&amp;IF(AND(OR(LEFT($F760,3)="131",LEFT($G760,3)="131",LEFT($F760,3)="331",LEFT($G760,3)="331"),$I760=""),"Thiếu Mã ĐT! ","")&amp;IF(AND($I760&lt;&gt;"",COUNTIF(DM_DT!$A$7:$A$306,$I760)=0),"Mã ĐT chưa khai báo! ","")))</f>
        <v/>
      </c>
      <c r="M760" s="117">
        <f>IF($H760="","",IF(AND(OR(LEFT($F760,3)="111",LEFT($F760,3)="112",LEFT($F760,3)="113"),OR(LEFT($G760,3)="111",LEFT($G760,3)="112",LEFT($G760,3)="113")),"NB",IF(OR(LEFT($F760,3)="111",LEFT($F760,3)="112",LEFT($F760,3)="113"),"THU",IF(OR(LEFT($G760,3)="111",LEFT($G760,3)="112",LEFT($G760,3)="113"),"CHI",""))))</f>
        <v/>
      </c>
      <c r="N760" s="117">
        <f>IF($M760="THU",$G760,IF($M760="CHI",$F760,""))</f>
        <v/>
      </c>
      <c r="O760" s="117">
        <f>IF(OR($M760="",$M760="NB"),"",IF($J760&lt;&gt;"",TEXT($J760,"00"),IFERROR(VLOOKUP(LEFT($N760,4),LCTT_MAP!$A$7:$C$66,IF($M760="THU",2,3),FALSE()),IFERROR(VLOOKUP(LEFT($N760,3),LCTT_MAP!$A$7:$C$66,IF($M760="THU",2,3),FALSE()),IFERROR(VLOOKUP(LEFT($N760,2),LCTT_MAP!$A$7:$C$66,IF($M760="THU",2,3),FALSE()),IFERROR(VLOOKUP(LEFT($N760,1),LCTT_MAP!$A$7:$C$66,IF($M760="THU",2,3),FALSE()),IF($M760="THU","06","07")))))))</f>
        <v/>
      </c>
      <c r="P760" s="117">
        <f>P759+IF(AND($H760&lt;&gt;"",OR(LEFT($F760,LEN(SC_TK))=SC_TK,LEFT($G760,LEN(SC_TK))=SC_TK)),1,0)</f>
        <v/>
      </c>
    </row>
    <row r="761" ht="15" customHeight="1" s="78">
      <c r="A761" s="95">
        <f>IF($H761="","",ROW()-6)</f>
        <v/>
      </c>
      <c r="B761" s="114" t="n"/>
      <c r="C761" s="102" t="n"/>
      <c r="D761" s="114" t="n"/>
      <c r="E761" s="103" t="n"/>
      <c r="F761" s="102" t="n"/>
      <c r="G761" s="102" t="n"/>
      <c r="H761" s="115" t="n"/>
      <c r="I761" s="102" t="n"/>
      <c r="J761" s="102" t="n"/>
      <c r="K761" s="103" t="n"/>
      <c r="L761" s="116">
        <f>IF($H761="","",TRIM(IF(COUNTIF(DMTK!$A$7:$A$250,$F761)=0,"TK Nợ sai! ","")&amp;IF(COUNTIF(DMTK!$A$7:$A$250,$G761)=0,"TK Có sai! ","")&amp;IF(N($H761)&lt;=0,"Tiền phải &gt; 0! ","")&amp;IF($B761="","Thiếu ngày! ","")&amp;IF(AND(OR(LEFT($F761,3)="131",LEFT($G761,3)="131",LEFT($F761,3)="331",LEFT($G761,3)="331"),$I761=""),"Thiếu Mã ĐT! ","")&amp;IF(AND($I761&lt;&gt;"",COUNTIF(DM_DT!$A$7:$A$306,$I761)=0),"Mã ĐT chưa khai báo! ","")))</f>
        <v/>
      </c>
      <c r="M761" s="117">
        <f>IF($H761="","",IF(AND(OR(LEFT($F761,3)="111",LEFT($F761,3)="112",LEFT($F761,3)="113"),OR(LEFT($G761,3)="111",LEFT($G761,3)="112",LEFT($G761,3)="113")),"NB",IF(OR(LEFT($F761,3)="111",LEFT($F761,3)="112",LEFT($F761,3)="113"),"THU",IF(OR(LEFT($G761,3)="111",LEFT($G761,3)="112",LEFT($G761,3)="113"),"CHI",""))))</f>
        <v/>
      </c>
      <c r="N761" s="117">
        <f>IF($M761="THU",$G761,IF($M761="CHI",$F761,""))</f>
        <v/>
      </c>
      <c r="O761" s="117">
        <f>IF(OR($M761="",$M761="NB"),"",IF($J761&lt;&gt;"",TEXT($J761,"00"),IFERROR(VLOOKUP(LEFT($N761,4),LCTT_MAP!$A$7:$C$66,IF($M761="THU",2,3),FALSE()),IFERROR(VLOOKUP(LEFT($N761,3),LCTT_MAP!$A$7:$C$66,IF($M761="THU",2,3),FALSE()),IFERROR(VLOOKUP(LEFT($N761,2),LCTT_MAP!$A$7:$C$66,IF($M761="THU",2,3),FALSE()),IFERROR(VLOOKUP(LEFT($N761,1),LCTT_MAP!$A$7:$C$66,IF($M761="THU",2,3),FALSE()),IF($M761="THU","06","07")))))))</f>
        <v/>
      </c>
      <c r="P761" s="117">
        <f>P760+IF(AND($H761&lt;&gt;"",OR(LEFT($F761,LEN(SC_TK))=SC_TK,LEFT($G761,LEN(SC_TK))=SC_TK)),1,0)</f>
        <v/>
      </c>
    </row>
    <row r="762" ht="15" customHeight="1" s="78">
      <c r="A762" s="95">
        <f>IF($H762="","",ROW()-6)</f>
        <v/>
      </c>
      <c r="B762" s="114" t="n"/>
      <c r="C762" s="102" t="n"/>
      <c r="D762" s="114" t="n"/>
      <c r="E762" s="103" t="n"/>
      <c r="F762" s="102" t="n"/>
      <c r="G762" s="102" t="n"/>
      <c r="H762" s="115" t="n"/>
      <c r="I762" s="102" t="n"/>
      <c r="J762" s="102" t="n"/>
      <c r="K762" s="103" t="n"/>
      <c r="L762" s="116">
        <f>IF($H762="","",TRIM(IF(COUNTIF(DMTK!$A$7:$A$250,$F762)=0,"TK Nợ sai! ","")&amp;IF(COUNTIF(DMTK!$A$7:$A$250,$G762)=0,"TK Có sai! ","")&amp;IF(N($H762)&lt;=0,"Tiền phải &gt; 0! ","")&amp;IF($B762="","Thiếu ngày! ","")&amp;IF(AND(OR(LEFT($F762,3)="131",LEFT($G762,3)="131",LEFT($F762,3)="331",LEFT($G762,3)="331"),$I762=""),"Thiếu Mã ĐT! ","")&amp;IF(AND($I762&lt;&gt;"",COUNTIF(DM_DT!$A$7:$A$306,$I762)=0),"Mã ĐT chưa khai báo! ","")))</f>
        <v/>
      </c>
      <c r="M762" s="117">
        <f>IF($H762="","",IF(AND(OR(LEFT($F762,3)="111",LEFT($F762,3)="112",LEFT($F762,3)="113"),OR(LEFT($G762,3)="111",LEFT($G762,3)="112",LEFT($G762,3)="113")),"NB",IF(OR(LEFT($F762,3)="111",LEFT($F762,3)="112",LEFT($F762,3)="113"),"THU",IF(OR(LEFT($G762,3)="111",LEFT($G762,3)="112",LEFT($G762,3)="113"),"CHI",""))))</f>
        <v/>
      </c>
      <c r="N762" s="117">
        <f>IF($M762="THU",$G762,IF($M762="CHI",$F762,""))</f>
        <v/>
      </c>
      <c r="O762" s="117">
        <f>IF(OR($M762="",$M762="NB"),"",IF($J762&lt;&gt;"",TEXT($J762,"00"),IFERROR(VLOOKUP(LEFT($N762,4),LCTT_MAP!$A$7:$C$66,IF($M762="THU",2,3),FALSE()),IFERROR(VLOOKUP(LEFT($N762,3),LCTT_MAP!$A$7:$C$66,IF($M762="THU",2,3),FALSE()),IFERROR(VLOOKUP(LEFT($N762,2),LCTT_MAP!$A$7:$C$66,IF($M762="THU",2,3),FALSE()),IFERROR(VLOOKUP(LEFT($N762,1),LCTT_MAP!$A$7:$C$66,IF($M762="THU",2,3),FALSE()),IF($M762="THU","06","07")))))))</f>
        <v/>
      </c>
      <c r="P762" s="117">
        <f>P761+IF(AND($H762&lt;&gt;"",OR(LEFT($F762,LEN(SC_TK))=SC_TK,LEFT($G762,LEN(SC_TK))=SC_TK)),1,0)</f>
        <v/>
      </c>
    </row>
    <row r="763" ht="15" customHeight="1" s="78">
      <c r="A763" s="95">
        <f>IF($H763="","",ROW()-6)</f>
        <v/>
      </c>
      <c r="B763" s="114" t="n"/>
      <c r="C763" s="102" t="n"/>
      <c r="D763" s="114" t="n"/>
      <c r="E763" s="103" t="n"/>
      <c r="F763" s="102" t="n"/>
      <c r="G763" s="102" t="n"/>
      <c r="H763" s="115" t="n"/>
      <c r="I763" s="102" t="n"/>
      <c r="J763" s="102" t="n"/>
      <c r="K763" s="103" t="n"/>
      <c r="L763" s="116">
        <f>IF($H763="","",TRIM(IF(COUNTIF(DMTK!$A$7:$A$250,$F763)=0,"TK Nợ sai! ","")&amp;IF(COUNTIF(DMTK!$A$7:$A$250,$G763)=0,"TK Có sai! ","")&amp;IF(N($H763)&lt;=0,"Tiền phải &gt; 0! ","")&amp;IF($B763="","Thiếu ngày! ","")&amp;IF(AND(OR(LEFT($F763,3)="131",LEFT($G763,3)="131",LEFT($F763,3)="331",LEFT($G763,3)="331"),$I763=""),"Thiếu Mã ĐT! ","")&amp;IF(AND($I763&lt;&gt;"",COUNTIF(DM_DT!$A$7:$A$306,$I763)=0),"Mã ĐT chưa khai báo! ","")))</f>
        <v/>
      </c>
      <c r="M763" s="117">
        <f>IF($H763="","",IF(AND(OR(LEFT($F763,3)="111",LEFT($F763,3)="112",LEFT($F763,3)="113"),OR(LEFT($G763,3)="111",LEFT($G763,3)="112",LEFT($G763,3)="113")),"NB",IF(OR(LEFT($F763,3)="111",LEFT($F763,3)="112",LEFT($F763,3)="113"),"THU",IF(OR(LEFT($G763,3)="111",LEFT($G763,3)="112",LEFT($G763,3)="113"),"CHI",""))))</f>
        <v/>
      </c>
      <c r="N763" s="117">
        <f>IF($M763="THU",$G763,IF($M763="CHI",$F763,""))</f>
        <v/>
      </c>
      <c r="O763" s="117">
        <f>IF(OR($M763="",$M763="NB"),"",IF($J763&lt;&gt;"",TEXT($J763,"00"),IFERROR(VLOOKUP(LEFT($N763,4),LCTT_MAP!$A$7:$C$66,IF($M763="THU",2,3),FALSE()),IFERROR(VLOOKUP(LEFT($N763,3),LCTT_MAP!$A$7:$C$66,IF($M763="THU",2,3),FALSE()),IFERROR(VLOOKUP(LEFT($N763,2),LCTT_MAP!$A$7:$C$66,IF($M763="THU",2,3),FALSE()),IFERROR(VLOOKUP(LEFT($N763,1),LCTT_MAP!$A$7:$C$66,IF($M763="THU",2,3),FALSE()),IF($M763="THU","06","07")))))))</f>
        <v/>
      </c>
      <c r="P763" s="117">
        <f>P762+IF(AND($H763&lt;&gt;"",OR(LEFT($F763,LEN(SC_TK))=SC_TK,LEFT($G763,LEN(SC_TK))=SC_TK)),1,0)</f>
        <v/>
      </c>
    </row>
    <row r="764" ht="15" customHeight="1" s="78">
      <c r="A764" s="95">
        <f>IF($H764="","",ROW()-6)</f>
        <v/>
      </c>
      <c r="B764" s="114" t="n"/>
      <c r="C764" s="102" t="n"/>
      <c r="D764" s="114" t="n"/>
      <c r="E764" s="103" t="n"/>
      <c r="F764" s="102" t="n"/>
      <c r="G764" s="102" t="n"/>
      <c r="H764" s="115" t="n"/>
      <c r="I764" s="102" t="n"/>
      <c r="J764" s="102" t="n"/>
      <c r="K764" s="103" t="n"/>
      <c r="L764" s="116">
        <f>IF($H764="","",TRIM(IF(COUNTIF(DMTK!$A$7:$A$250,$F764)=0,"TK Nợ sai! ","")&amp;IF(COUNTIF(DMTK!$A$7:$A$250,$G764)=0,"TK Có sai! ","")&amp;IF(N($H764)&lt;=0,"Tiền phải &gt; 0! ","")&amp;IF($B764="","Thiếu ngày! ","")&amp;IF(AND(OR(LEFT($F764,3)="131",LEFT($G764,3)="131",LEFT($F764,3)="331",LEFT($G764,3)="331"),$I764=""),"Thiếu Mã ĐT! ","")&amp;IF(AND($I764&lt;&gt;"",COUNTIF(DM_DT!$A$7:$A$306,$I764)=0),"Mã ĐT chưa khai báo! ","")))</f>
        <v/>
      </c>
      <c r="M764" s="117">
        <f>IF($H764="","",IF(AND(OR(LEFT($F764,3)="111",LEFT($F764,3)="112",LEFT($F764,3)="113"),OR(LEFT($G764,3)="111",LEFT($G764,3)="112",LEFT($G764,3)="113")),"NB",IF(OR(LEFT($F764,3)="111",LEFT($F764,3)="112",LEFT($F764,3)="113"),"THU",IF(OR(LEFT($G764,3)="111",LEFT($G764,3)="112",LEFT($G764,3)="113"),"CHI",""))))</f>
        <v/>
      </c>
      <c r="N764" s="117">
        <f>IF($M764="THU",$G764,IF($M764="CHI",$F764,""))</f>
        <v/>
      </c>
      <c r="O764" s="117">
        <f>IF(OR($M764="",$M764="NB"),"",IF($J764&lt;&gt;"",TEXT($J764,"00"),IFERROR(VLOOKUP(LEFT($N764,4),LCTT_MAP!$A$7:$C$66,IF($M764="THU",2,3),FALSE()),IFERROR(VLOOKUP(LEFT($N764,3),LCTT_MAP!$A$7:$C$66,IF($M764="THU",2,3),FALSE()),IFERROR(VLOOKUP(LEFT($N764,2),LCTT_MAP!$A$7:$C$66,IF($M764="THU",2,3),FALSE()),IFERROR(VLOOKUP(LEFT($N764,1),LCTT_MAP!$A$7:$C$66,IF($M764="THU",2,3),FALSE()),IF($M764="THU","06","07")))))))</f>
        <v/>
      </c>
      <c r="P764" s="117">
        <f>P763+IF(AND($H764&lt;&gt;"",OR(LEFT($F764,LEN(SC_TK))=SC_TK,LEFT($G764,LEN(SC_TK))=SC_TK)),1,0)</f>
        <v/>
      </c>
    </row>
    <row r="765" ht="15" customHeight="1" s="78">
      <c r="A765" s="95">
        <f>IF($H765="","",ROW()-6)</f>
        <v/>
      </c>
      <c r="B765" s="114" t="n"/>
      <c r="C765" s="102" t="n"/>
      <c r="D765" s="114" t="n"/>
      <c r="E765" s="103" t="n"/>
      <c r="F765" s="102" t="n"/>
      <c r="G765" s="102" t="n"/>
      <c r="H765" s="115" t="n"/>
      <c r="I765" s="102" t="n"/>
      <c r="J765" s="102" t="n"/>
      <c r="K765" s="103" t="n"/>
      <c r="L765" s="116">
        <f>IF($H765="","",TRIM(IF(COUNTIF(DMTK!$A$7:$A$250,$F765)=0,"TK Nợ sai! ","")&amp;IF(COUNTIF(DMTK!$A$7:$A$250,$G765)=0,"TK Có sai! ","")&amp;IF(N($H765)&lt;=0,"Tiền phải &gt; 0! ","")&amp;IF($B765="","Thiếu ngày! ","")&amp;IF(AND(OR(LEFT($F765,3)="131",LEFT($G765,3)="131",LEFT($F765,3)="331",LEFT($G765,3)="331"),$I765=""),"Thiếu Mã ĐT! ","")&amp;IF(AND($I765&lt;&gt;"",COUNTIF(DM_DT!$A$7:$A$306,$I765)=0),"Mã ĐT chưa khai báo! ","")))</f>
        <v/>
      </c>
      <c r="M765" s="117">
        <f>IF($H765="","",IF(AND(OR(LEFT($F765,3)="111",LEFT($F765,3)="112",LEFT($F765,3)="113"),OR(LEFT($G765,3)="111",LEFT($G765,3)="112",LEFT($G765,3)="113")),"NB",IF(OR(LEFT($F765,3)="111",LEFT($F765,3)="112",LEFT($F765,3)="113"),"THU",IF(OR(LEFT($G765,3)="111",LEFT($G765,3)="112",LEFT($G765,3)="113"),"CHI",""))))</f>
        <v/>
      </c>
      <c r="N765" s="117">
        <f>IF($M765="THU",$G765,IF($M765="CHI",$F765,""))</f>
        <v/>
      </c>
      <c r="O765" s="117">
        <f>IF(OR($M765="",$M765="NB"),"",IF($J765&lt;&gt;"",TEXT($J765,"00"),IFERROR(VLOOKUP(LEFT($N765,4),LCTT_MAP!$A$7:$C$66,IF($M765="THU",2,3),FALSE()),IFERROR(VLOOKUP(LEFT($N765,3),LCTT_MAP!$A$7:$C$66,IF($M765="THU",2,3),FALSE()),IFERROR(VLOOKUP(LEFT($N765,2),LCTT_MAP!$A$7:$C$66,IF($M765="THU",2,3),FALSE()),IFERROR(VLOOKUP(LEFT($N765,1),LCTT_MAP!$A$7:$C$66,IF($M765="THU",2,3),FALSE()),IF($M765="THU","06","07")))))))</f>
        <v/>
      </c>
      <c r="P765" s="117">
        <f>P764+IF(AND($H765&lt;&gt;"",OR(LEFT($F765,LEN(SC_TK))=SC_TK,LEFT($G765,LEN(SC_TK))=SC_TK)),1,0)</f>
        <v/>
      </c>
    </row>
    <row r="766" ht="15" customHeight="1" s="78">
      <c r="A766" s="95">
        <f>IF($H766="","",ROW()-6)</f>
        <v/>
      </c>
      <c r="B766" s="114" t="n"/>
      <c r="C766" s="102" t="n"/>
      <c r="D766" s="114" t="n"/>
      <c r="E766" s="103" t="n"/>
      <c r="F766" s="102" t="n"/>
      <c r="G766" s="102" t="n"/>
      <c r="H766" s="115" t="n"/>
      <c r="I766" s="102" t="n"/>
      <c r="J766" s="102" t="n"/>
      <c r="K766" s="103" t="n"/>
      <c r="L766" s="116">
        <f>IF($H766="","",TRIM(IF(COUNTIF(DMTK!$A$7:$A$250,$F766)=0,"TK Nợ sai! ","")&amp;IF(COUNTIF(DMTK!$A$7:$A$250,$G766)=0,"TK Có sai! ","")&amp;IF(N($H766)&lt;=0,"Tiền phải &gt; 0! ","")&amp;IF($B766="","Thiếu ngày! ","")&amp;IF(AND(OR(LEFT($F766,3)="131",LEFT($G766,3)="131",LEFT($F766,3)="331",LEFT($G766,3)="331"),$I766=""),"Thiếu Mã ĐT! ","")&amp;IF(AND($I766&lt;&gt;"",COUNTIF(DM_DT!$A$7:$A$306,$I766)=0),"Mã ĐT chưa khai báo! ","")))</f>
        <v/>
      </c>
      <c r="M766" s="117">
        <f>IF($H766="","",IF(AND(OR(LEFT($F766,3)="111",LEFT($F766,3)="112",LEFT($F766,3)="113"),OR(LEFT($G766,3)="111",LEFT($G766,3)="112",LEFT($G766,3)="113")),"NB",IF(OR(LEFT($F766,3)="111",LEFT($F766,3)="112",LEFT($F766,3)="113"),"THU",IF(OR(LEFT($G766,3)="111",LEFT($G766,3)="112",LEFT($G766,3)="113"),"CHI",""))))</f>
        <v/>
      </c>
      <c r="N766" s="117">
        <f>IF($M766="THU",$G766,IF($M766="CHI",$F766,""))</f>
        <v/>
      </c>
      <c r="O766" s="117">
        <f>IF(OR($M766="",$M766="NB"),"",IF($J766&lt;&gt;"",TEXT($J766,"00"),IFERROR(VLOOKUP(LEFT($N766,4),LCTT_MAP!$A$7:$C$66,IF($M766="THU",2,3),FALSE()),IFERROR(VLOOKUP(LEFT($N766,3),LCTT_MAP!$A$7:$C$66,IF($M766="THU",2,3),FALSE()),IFERROR(VLOOKUP(LEFT($N766,2),LCTT_MAP!$A$7:$C$66,IF($M766="THU",2,3),FALSE()),IFERROR(VLOOKUP(LEFT($N766,1),LCTT_MAP!$A$7:$C$66,IF($M766="THU",2,3),FALSE()),IF($M766="THU","06","07")))))))</f>
        <v/>
      </c>
      <c r="P766" s="117">
        <f>P765+IF(AND($H766&lt;&gt;"",OR(LEFT($F766,LEN(SC_TK))=SC_TK,LEFT($G766,LEN(SC_TK))=SC_TK)),1,0)</f>
        <v/>
      </c>
    </row>
    <row r="767" ht="15" customHeight="1" s="78">
      <c r="A767" s="95">
        <f>IF($H767="","",ROW()-6)</f>
        <v/>
      </c>
      <c r="B767" s="114" t="n"/>
      <c r="C767" s="102" t="n"/>
      <c r="D767" s="114" t="n"/>
      <c r="E767" s="103" t="n"/>
      <c r="F767" s="102" t="n"/>
      <c r="G767" s="102" t="n"/>
      <c r="H767" s="115" t="n"/>
      <c r="I767" s="102" t="n"/>
      <c r="J767" s="102" t="n"/>
      <c r="K767" s="103" t="n"/>
      <c r="L767" s="116">
        <f>IF($H767="","",TRIM(IF(COUNTIF(DMTK!$A$7:$A$250,$F767)=0,"TK Nợ sai! ","")&amp;IF(COUNTIF(DMTK!$A$7:$A$250,$G767)=0,"TK Có sai! ","")&amp;IF(N($H767)&lt;=0,"Tiền phải &gt; 0! ","")&amp;IF($B767="","Thiếu ngày! ","")&amp;IF(AND(OR(LEFT($F767,3)="131",LEFT($G767,3)="131",LEFT($F767,3)="331",LEFT($G767,3)="331"),$I767=""),"Thiếu Mã ĐT! ","")&amp;IF(AND($I767&lt;&gt;"",COUNTIF(DM_DT!$A$7:$A$306,$I767)=0),"Mã ĐT chưa khai báo! ","")))</f>
        <v/>
      </c>
      <c r="M767" s="117">
        <f>IF($H767="","",IF(AND(OR(LEFT($F767,3)="111",LEFT($F767,3)="112",LEFT($F767,3)="113"),OR(LEFT($G767,3)="111",LEFT($G767,3)="112",LEFT($G767,3)="113")),"NB",IF(OR(LEFT($F767,3)="111",LEFT($F767,3)="112",LEFT($F767,3)="113"),"THU",IF(OR(LEFT($G767,3)="111",LEFT($G767,3)="112",LEFT($G767,3)="113"),"CHI",""))))</f>
        <v/>
      </c>
      <c r="N767" s="117">
        <f>IF($M767="THU",$G767,IF($M767="CHI",$F767,""))</f>
        <v/>
      </c>
      <c r="O767" s="117">
        <f>IF(OR($M767="",$M767="NB"),"",IF($J767&lt;&gt;"",TEXT($J767,"00"),IFERROR(VLOOKUP(LEFT($N767,4),LCTT_MAP!$A$7:$C$66,IF($M767="THU",2,3),FALSE()),IFERROR(VLOOKUP(LEFT($N767,3),LCTT_MAP!$A$7:$C$66,IF($M767="THU",2,3),FALSE()),IFERROR(VLOOKUP(LEFT($N767,2),LCTT_MAP!$A$7:$C$66,IF($M767="THU",2,3),FALSE()),IFERROR(VLOOKUP(LEFT($N767,1),LCTT_MAP!$A$7:$C$66,IF($M767="THU",2,3),FALSE()),IF($M767="THU","06","07")))))))</f>
        <v/>
      </c>
      <c r="P767" s="117">
        <f>P766+IF(AND($H767&lt;&gt;"",OR(LEFT($F767,LEN(SC_TK))=SC_TK,LEFT($G767,LEN(SC_TK))=SC_TK)),1,0)</f>
        <v/>
      </c>
    </row>
    <row r="768" ht="15" customHeight="1" s="78">
      <c r="A768" s="95">
        <f>IF($H768="","",ROW()-6)</f>
        <v/>
      </c>
      <c r="B768" s="114" t="n"/>
      <c r="C768" s="102" t="n"/>
      <c r="D768" s="114" t="n"/>
      <c r="E768" s="103" t="n"/>
      <c r="F768" s="102" t="n"/>
      <c r="G768" s="102" t="n"/>
      <c r="H768" s="115" t="n"/>
      <c r="I768" s="102" t="n"/>
      <c r="J768" s="102" t="n"/>
      <c r="K768" s="103" t="n"/>
      <c r="L768" s="116">
        <f>IF($H768="","",TRIM(IF(COUNTIF(DMTK!$A$7:$A$250,$F768)=0,"TK Nợ sai! ","")&amp;IF(COUNTIF(DMTK!$A$7:$A$250,$G768)=0,"TK Có sai! ","")&amp;IF(N($H768)&lt;=0,"Tiền phải &gt; 0! ","")&amp;IF($B768="","Thiếu ngày! ","")&amp;IF(AND(OR(LEFT($F768,3)="131",LEFT($G768,3)="131",LEFT($F768,3)="331",LEFT($G768,3)="331"),$I768=""),"Thiếu Mã ĐT! ","")&amp;IF(AND($I768&lt;&gt;"",COUNTIF(DM_DT!$A$7:$A$306,$I768)=0),"Mã ĐT chưa khai báo! ","")))</f>
        <v/>
      </c>
      <c r="M768" s="117">
        <f>IF($H768="","",IF(AND(OR(LEFT($F768,3)="111",LEFT($F768,3)="112",LEFT($F768,3)="113"),OR(LEFT($G768,3)="111",LEFT($G768,3)="112",LEFT($G768,3)="113")),"NB",IF(OR(LEFT($F768,3)="111",LEFT($F768,3)="112",LEFT($F768,3)="113"),"THU",IF(OR(LEFT($G768,3)="111",LEFT($G768,3)="112",LEFT($G768,3)="113"),"CHI",""))))</f>
        <v/>
      </c>
      <c r="N768" s="117">
        <f>IF($M768="THU",$G768,IF($M768="CHI",$F768,""))</f>
        <v/>
      </c>
      <c r="O768" s="117">
        <f>IF(OR($M768="",$M768="NB"),"",IF($J768&lt;&gt;"",TEXT($J768,"00"),IFERROR(VLOOKUP(LEFT($N768,4),LCTT_MAP!$A$7:$C$66,IF($M768="THU",2,3),FALSE()),IFERROR(VLOOKUP(LEFT($N768,3),LCTT_MAP!$A$7:$C$66,IF($M768="THU",2,3),FALSE()),IFERROR(VLOOKUP(LEFT($N768,2),LCTT_MAP!$A$7:$C$66,IF($M768="THU",2,3),FALSE()),IFERROR(VLOOKUP(LEFT($N768,1),LCTT_MAP!$A$7:$C$66,IF($M768="THU",2,3),FALSE()),IF($M768="THU","06","07")))))))</f>
        <v/>
      </c>
      <c r="P768" s="117">
        <f>P767+IF(AND($H768&lt;&gt;"",OR(LEFT($F768,LEN(SC_TK))=SC_TK,LEFT($G768,LEN(SC_TK))=SC_TK)),1,0)</f>
        <v/>
      </c>
    </row>
    <row r="769" ht="15" customHeight="1" s="78">
      <c r="A769" s="95">
        <f>IF($H769="","",ROW()-6)</f>
        <v/>
      </c>
      <c r="B769" s="114" t="n"/>
      <c r="C769" s="102" t="n"/>
      <c r="D769" s="114" t="n"/>
      <c r="E769" s="103" t="n"/>
      <c r="F769" s="102" t="n"/>
      <c r="G769" s="102" t="n"/>
      <c r="H769" s="115" t="n"/>
      <c r="I769" s="102" t="n"/>
      <c r="J769" s="102" t="n"/>
      <c r="K769" s="103" t="n"/>
      <c r="L769" s="116">
        <f>IF($H769="","",TRIM(IF(COUNTIF(DMTK!$A$7:$A$250,$F769)=0,"TK Nợ sai! ","")&amp;IF(COUNTIF(DMTK!$A$7:$A$250,$G769)=0,"TK Có sai! ","")&amp;IF(N($H769)&lt;=0,"Tiền phải &gt; 0! ","")&amp;IF($B769="","Thiếu ngày! ","")&amp;IF(AND(OR(LEFT($F769,3)="131",LEFT($G769,3)="131",LEFT($F769,3)="331",LEFT($G769,3)="331"),$I769=""),"Thiếu Mã ĐT! ","")&amp;IF(AND($I769&lt;&gt;"",COUNTIF(DM_DT!$A$7:$A$306,$I769)=0),"Mã ĐT chưa khai báo! ","")))</f>
        <v/>
      </c>
      <c r="M769" s="117">
        <f>IF($H769="","",IF(AND(OR(LEFT($F769,3)="111",LEFT($F769,3)="112",LEFT($F769,3)="113"),OR(LEFT($G769,3)="111",LEFT($G769,3)="112",LEFT($G769,3)="113")),"NB",IF(OR(LEFT($F769,3)="111",LEFT($F769,3)="112",LEFT($F769,3)="113"),"THU",IF(OR(LEFT($G769,3)="111",LEFT($G769,3)="112",LEFT($G769,3)="113"),"CHI",""))))</f>
        <v/>
      </c>
      <c r="N769" s="117">
        <f>IF($M769="THU",$G769,IF($M769="CHI",$F769,""))</f>
        <v/>
      </c>
      <c r="O769" s="117">
        <f>IF(OR($M769="",$M769="NB"),"",IF($J769&lt;&gt;"",TEXT($J769,"00"),IFERROR(VLOOKUP(LEFT($N769,4),LCTT_MAP!$A$7:$C$66,IF($M769="THU",2,3),FALSE()),IFERROR(VLOOKUP(LEFT($N769,3),LCTT_MAP!$A$7:$C$66,IF($M769="THU",2,3),FALSE()),IFERROR(VLOOKUP(LEFT($N769,2),LCTT_MAP!$A$7:$C$66,IF($M769="THU",2,3),FALSE()),IFERROR(VLOOKUP(LEFT($N769,1),LCTT_MAP!$A$7:$C$66,IF($M769="THU",2,3),FALSE()),IF($M769="THU","06","07")))))))</f>
        <v/>
      </c>
      <c r="P769" s="117">
        <f>P768+IF(AND($H769&lt;&gt;"",OR(LEFT($F769,LEN(SC_TK))=SC_TK,LEFT($G769,LEN(SC_TK))=SC_TK)),1,0)</f>
        <v/>
      </c>
    </row>
    <row r="770" ht="15" customHeight="1" s="78">
      <c r="A770" s="95">
        <f>IF($H770="","",ROW()-6)</f>
        <v/>
      </c>
      <c r="B770" s="114" t="n"/>
      <c r="C770" s="102" t="n"/>
      <c r="D770" s="114" t="n"/>
      <c r="E770" s="103" t="n"/>
      <c r="F770" s="102" t="n"/>
      <c r="G770" s="102" t="n"/>
      <c r="H770" s="115" t="n"/>
      <c r="I770" s="102" t="n"/>
      <c r="J770" s="102" t="n"/>
      <c r="K770" s="103" t="n"/>
      <c r="L770" s="116">
        <f>IF($H770="","",TRIM(IF(COUNTIF(DMTK!$A$7:$A$250,$F770)=0,"TK Nợ sai! ","")&amp;IF(COUNTIF(DMTK!$A$7:$A$250,$G770)=0,"TK Có sai! ","")&amp;IF(N($H770)&lt;=0,"Tiền phải &gt; 0! ","")&amp;IF($B770="","Thiếu ngày! ","")&amp;IF(AND(OR(LEFT($F770,3)="131",LEFT($G770,3)="131",LEFT($F770,3)="331",LEFT($G770,3)="331"),$I770=""),"Thiếu Mã ĐT! ","")&amp;IF(AND($I770&lt;&gt;"",COUNTIF(DM_DT!$A$7:$A$306,$I770)=0),"Mã ĐT chưa khai báo! ","")))</f>
        <v/>
      </c>
      <c r="M770" s="117">
        <f>IF($H770="","",IF(AND(OR(LEFT($F770,3)="111",LEFT($F770,3)="112",LEFT($F770,3)="113"),OR(LEFT($G770,3)="111",LEFT($G770,3)="112",LEFT($G770,3)="113")),"NB",IF(OR(LEFT($F770,3)="111",LEFT($F770,3)="112",LEFT($F770,3)="113"),"THU",IF(OR(LEFT($G770,3)="111",LEFT($G770,3)="112",LEFT($G770,3)="113"),"CHI",""))))</f>
        <v/>
      </c>
      <c r="N770" s="117">
        <f>IF($M770="THU",$G770,IF($M770="CHI",$F770,""))</f>
        <v/>
      </c>
      <c r="O770" s="117">
        <f>IF(OR($M770="",$M770="NB"),"",IF($J770&lt;&gt;"",TEXT($J770,"00"),IFERROR(VLOOKUP(LEFT($N770,4),LCTT_MAP!$A$7:$C$66,IF($M770="THU",2,3),FALSE()),IFERROR(VLOOKUP(LEFT($N770,3),LCTT_MAP!$A$7:$C$66,IF($M770="THU",2,3),FALSE()),IFERROR(VLOOKUP(LEFT($N770,2),LCTT_MAP!$A$7:$C$66,IF($M770="THU",2,3),FALSE()),IFERROR(VLOOKUP(LEFT($N770,1),LCTT_MAP!$A$7:$C$66,IF($M770="THU",2,3),FALSE()),IF($M770="THU","06","07")))))))</f>
        <v/>
      </c>
      <c r="P770" s="117">
        <f>P769+IF(AND($H770&lt;&gt;"",OR(LEFT($F770,LEN(SC_TK))=SC_TK,LEFT($G770,LEN(SC_TK))=SC_TK)),1,0)</f>
        <v/>
      </c>
    </row>
    <row r="771" ht="15" customHeight="1" s="78">
      <c r="A771" s="95">
        <f>IF($H771="","",ROW()-6)</f>
        <v/>
      </c>
      <c r="B771" s="114" t="n"/>
      <c r="C771" s="102" t="n"/>
      <c r="D771" s="114" t="n"/>
      <c r="E771" s="103" t="n"/>
      <c r="F771" s="102" t="n"/>
      <c r="G771" s="102" t="n"/>
      <c r="H771" s="115" t="n"/>
      <c r="I771" s="102" t="n"/>
      <c r="J771" s="102" t="n"/>
      <c r="K771" s="103" t="n"/>
      <c r="L771" s="116">
        <f>IF($H771="","",TRIM(IF(COUNTIF(DMTK!$A$7:$A$250,$F771)=0,"TK Nợ sai! ","")&amp;IF(COUNTIF(DMTK!$A$7:$A$250,$G771)=0,"TK Có sai! ","")&amp;IF(N($H771)&lt;=0,"Tiền phải &gt; 0! ","")&amp;IF($B771="","Thiếu ngày! ","")&amp;IF(AND(OR(LEFT($F771,3)="131",LEFT($G771,3)="131",LEFT($F771,3)="331",LEFT($G771,3)="331"),$I771=""),"Thiếu Mã ĐT! ","")&amp;IF(AND($I771&lt;&gt;"",COUNTIF(DM_DT!$A$7:$A$306,$I771)=0),"Mã ĐT chưa khai báo! ","")))</f>
        <v/>
      </c>
      <c r="M771" s="117">
        <f>IF($H771="","",IF(AND(OR(LEFT($F771,3)="111",LEFT($F771,3)="112",LEFT($F771,3)="113"),OR(LEFT($G771,3)="111",LEFT($G771,3)="112",LEFT($G771,3)="113")),"NB",IF(OR(LEFT($F771,3)="111",LEFT($F771,3)="112",LEFT($F771,3)="113"),"THU",IF(OR(LEFT($G771,3)="111",LEFT($G771,3)="112",LEFT($G771,3)="113"),"CHI",""))))</f>
        <v/>
      </c>
      <c r="N771" s="117">
        <f>IF($M771="THU",$G771,IF($M771="CHI",$F771,""))</f>
        <v/>
      </c>
      <c r="O771" s="117">
        <f>IF(OR($M771="",$M771="NB"),"",IF($J771&lt;&gt;"",TEXT($J771,"00"),IFERROR(VLOOKUP(LEFT($N771,4),LCTT_MAP!$A$7:$C$66,IF($M771="THU",2,3),FALSE()),IFERROR(VLOOKUP(LEFT($N771,3),LCTT_MAP!$A$7:$C$66,IF($M771="THU",2,3),FALSE()),IFERROR(VLOOKUP(LEFT($N771,2),LCTT_MAP!$A$7:$C$66,IF($M771="THU",2,3),FALSE()),IFERROR(VLOOKUP(LEFT($N771,1),LCTT_MAP!$A$7:$C$66,IF($M771="THU",2,3),FALSE()),IF($M771="THU","06","07")))))))</f>
        <v/>
      </c>
      <c r="P771" s="117">
        <f>P770+IF(AND($H771&lt;&gt;"",OR(LEFT($F771,LEN(SC_TK))=SC_TK,LEFT($G771,LEN(SC_TK))=SC_TK)),1,0)</f>
        <v/>
      </c>
    </row>
    <row r="772" ht="15" customHeight="1" s="78">
      <c r="A772" s="95">
        <f>IF($H772="","",ROW()-6)</f>
        <v/>
      </c>
      <c r="B772" s="114" t="n"/>
      <c r="C772" s="102" t="n"/>
      <c r="D772" s="114" t="n"/>
      <c r="E772" s="103" t="n"/>
      <c r="F772" s="102" t="n"/>
      <c r="G772" s="102" t="n"/>
      <c r="H772" s="115" t="n"/>
      <c r="I772" s="102" t="n"/>
      <c r="J772" s="102" t="n"/>
      <c r="K772" s="103" t="n"/>
      <c r="L772" s="116">
        <f>IF($H772="","",TRIM(IF(COUNTIF(DMTK!$A$7:$A$250,$F772)=0,"TK Nợ sai! ","")&amp;IF(COUNTIF(DMTK!$A$7:$A$250,$G772)=0,"TK Có sai! ","")&amp;IF(N($H772)&lt;=0,"Tiền phải &gt; 0! ","")&amp;IF($B772="","Thiếu ngày! ","")&amp;IF(AND(OR(LEFT($F772,3)="131",LEFT($G772,3)="131",LEFT($F772,3)="331",LEFT($G772,3)="331"),$I772=""),"Thiếu Mã ĐT! ","")&amp;IF(AND($I772&lt;&gt;"",COUNTIF(DM_DT!$A$7:$A$306,$I772)=0),"Mã ĐT chưa khai báo! ","")))</f>
        <v/>
      </c>
      <c r="M772" s="117">
        <f>IF($H772="","",IF(AND(OR(LEFT($F772,3)="111",LEFT($F772,3)="112",LEFT($F772,3)="113"),OR(LEFT($G772,3)="111",LEFT($G772,3)="112",LEFT($G772,3)="113")),"NB",IF(OR(LEFT($F772,3)="111",LEFT($F772,3)="112",LEFT($F772,3)="113"),"THU",IF(OR(LEFT($G772,3)="111",LEFT($G772,3)="112",LEFT($G772,3)="113"),"CHI",""))))</f>
        <v/>
      </c>
      <c r="N772" s="117">
        <f>IF($M772="THU",$G772,IF($M772="CHI",$F772,""))</f>
        <v/>
      </c>
      <c r="O772" s="117">
        <f>IF(OR($M772="",$M772="NB"),"",IF($J772&lt;&gt;"",TEXT($J772,"00"),IFERROR(VLOOKUP(LEFT($N772,4),LCTT_MAP!$A$7:$C$66,IF($M772="THU",2,3),FALSE()),IFERROR(VLOOKUP(LEFT($N772,3),LCTT_MAP!$A$7:$C$66,IF($M772="THU",2,3),FALSE()),IFERROR(VLOOKUP(LEFT($N772,2),LCTT_MAP!$A$7:$C$66,IF($M772="THU",2,3),FALSE()),IFERROR(VLOOKUP(LEFT($N772,1),LCTT_MAP!$A$7:$C$66,IF($M772="THU",2,3),FALSE()),IF($M772="THU","06","07")))))))</f>
        <v/>
      </c>
      <c r="P772" s="117">
        <f>P771+IF(AND($H772&lt;&gt;"",OR(LEFT($F772,LEN(SC_TK))=SC_TK,LEFT($G772,LEN(SC_TK))=SC_TK)),1,0)</f>
        <v/>
      </c>
    </row>
    <row r="773" ht="15" customHeight="1" s="78">
      <c r="A773" s="95">
        <f>IF($H773="","",ROW()-6)</f>
        <v/>
      </c>
      <c r="B773" s="114" t="n"/>
      <c r="C773" s="102" t="n"/>
      <c r="D773" s="114" t="n"/>
      <c r="E773" s="103" t="n"/>
      <c r="F773" s="102" t="n"/>
      <c r="G773" s="102" t="n"/>
      <c r="H773" s="115" t="n"/>
      <c r="I773" s="102" t="n"/>
      <c r="J773" s="102" t="n"/>
      <c r="K773" s="103" t="n"/>
      <c r="L773" s="116">
        <f>IF($H773="","",TRIM(IF(COUNTIF(DMTK!$A$7:$A$250,$F773)=0,"TK Nợ sai! ","")&amp;IF(COUNTIF(DMTK!$A$7:$A$250,$G773)=0,"TK Có sai! ","")&amp;IF(N($H773)&lt;=0,"Tiền phải &gt; 0! ","")&amp;IF($B773="","Thiếu ngày! ","")&amp;IF(AND(OR(LEFT($F773,3)="131",LEFT($G773,3)="131",LEFT($F773,3)="331",LEFT($G773,3)="331"),$I773=""),"Thiếu Mã ĐT! ","")&amp;IF(AND($I773&lt;&gt;"",COUNTIF(DM_DT!$A$7:$A$306,$I773)=0),"Mã ĐT chưa khai báo! ","")))</f>
        <v/>
      </c>
      <c r="M773" s="117">
        <f>IF($H773="","",IF(AND(OR(LEFT($F773,3)="111",LEFT($F773,3)="112",LEFT($F773,3)="113"),OR(LEFT($G773,3)="111",LEFT($G773,3)="112",LEFT($G773,3)="113")),"NB",IF(OR(LEFT($F773,3)="111",LEFT($F773,3)="112",LEFT($F773,3)="113"),"THU",IF(OR(LEFT($G773,3)="111",LEFT($G773,3)="112",LEFT($G773,3)="113"),"CHI",""))))</f>
        <v/>
      </c>
      <c r="N773" s="117">
        <f>IF($M773="THU",$G773,IF($M773="CHI",$F773,""))</f>
        <v/>
      </c>
      <c r="O773" s="117">
        <f>IF(OR($M773="",$M773="NB"),"",IF($J773&lt;&gt;"",TEXT($J773,"00"),IFERROR(VLOOKUP(LEFT($N773,4),LCTT_MAP!$A$7:$C$66,IF($M773="THU",2,3),FALSE()),IFERROR(VLOOKUP(LEFT($N773,3),LCTT_MAP!$A$7:$C$66,IF($M773="THU",2,3),FALSE()),IFERROR(VLOOKUP(LEFT($N773,2),LCTT_MAP!$A$7:$C$66,IF($M773="THU",2,3),FALSE()),IFERROR(VLOOKUP(LEFT($N773,1),LCTT_MAP!$A$7:$C$66,IF($M773="THU",2,3),FALSE()),IF($M773="THU","06","07")))))))</f>
        <v/>
      </c>
      <c r="P773" s="117">
        <f>P772+IF(AND($H773&lt;&gt;"",OR(LEFT($F773,LEN(SC_TK))=SC_TK,LEFT($G773,LEN(SC_TK))=SC_TK)),1,0)</f>
        <v/>
      </c>
    </row>
    <row r="774" ht="15" customHeight="1" s="78">
      <c r="A774" s="95">
        <f>IF($H774="","",ROW()-6)</f>
        <v/>
      </c>
      <c r="B774" s="114" t="n"/>
      <c r="C774" s="102" t="n"/>
      <c r="D774" s="114" t="n"/>
      <c r="E774" s="103" t="n"/>
      <c r="F774" s="102" t="n"/>
      <c r="G774" s="102" t="n"/>
      <c r="H774" s="115" t="n"/>
      <c r="I774" s="102" t="n"/>
      <c r="J774" s="102" t="n"/>
      <c r="K774" s="103" t="n"/>
      <c r="L774" s="116">
        <f>IF($H774="","",TRIM(IF(COUNTIF(DMTK!$A$7:$A$250,$F774)=0,"TK Nợ sai! ","")&amp;IF(COUNTIF(DMTK!$A$7:$A$250,$G774)=0,"TK Có sai! ","")&amp;IF(N($H774)&lt;=0,"Tiền phải &gt; 0! ","")&amp;IF($B774="","Thiếu ngày! ","")&amp;IF(AND(OR(LEFT($F774,3)="131",LEFT($G774,3)="131",LEFT($F774,3)="331",LEFT($G774,3)="331"),$I774=""),"Thiếu Mã ĐT! ","")&amp;IF(AND($I774&lt;&gt;"",COUNTIF(DM_DT!$A$7:$A$306,$I774)=0),"Mã ĐT chưa khai báo! ","")))</f>
        <v/>
      </c>
      <c r="M774" s="117">
        <f>IF($H774="","",IF(AND(OR(LEFT($F774,3)="111",LEFT($F774,3)="112",LEFT($F774,3)="113"),OR(LEFT($G774,3)="111",LEFT($G774,3)="112",LEFT($G774,3)="113")),"NB",IF(OR(LEFT($F774,3)="111",LEFT($F774,3)="112",LEFT($F774,3)="113"),"THU",IF(OR(LEFT($G774,3)="111",LEFT($G774,3)="112",LEFT($G774,3)="113"),"CHI",""))))</f>
        <v/>
      </c>
      <c r="N774" s="117">
        <f>IF($M774="THU",$G774,IF($M774="CHI",$F774,""))</f>
        <v/>
      </c>
      <c r="O774" s="117">
        <f>IF(OR($M774="",$M774="NB"),"",IF($J774&lt;&gt;"",TEXT($J774,"00"),IFERROR(VLOOKUP(LEFT($N774,4),LCTT_MAP!$A$7:$C$66,IF($M774="THU",2,3),FALSE()),IFERROR(VLOOKUP(LEFT($N774,3),LCTT_MAP!$A$7:$C$66,IF($M774="THU",2,3),FALSE()),IFERROR(VLOOKUP(LEFT($N774,2),LCTT_MAP!$A$7:$C$66,IF($M774="THU",2,3),FALSE()),IFERROR(VLOOKUP(LEFT($N774,1),LCTT_MAP!$A$7:$C$66,IF($M774="THU",2,3),FALSE()),IF($M774="THU","06","07")))))))</f>
        <v/>
      </c>
      <c r="P774" s="117">
        <f>P773+IF(AND($H774&lt;&gt;"",OR(LEFT($F774,LEN(SC_TK))=SC_TK,LEFT($G774,LEN(SC_TK))=SC_TK)),1,0)</f>
        <v/>
      </c>
    </row>
    <row r="775" ht="15" customHeight="1" s="78">
      <c r="A775" s="95">
        <f>IF($H775="","",ROW()-6)</f>
        <v/>
      </c>
      <c r="B775" s="114" t="n"/>
      <c r="C775" s="102" t="n"/>
      <c r="D775" s="114" t="n"/>
      <c r="E775" s="103" t="n"/>
      <c r="F775" s="102" t="n"/>
      <c r="G775" s="102" t="n"/>
      <c r="H775" s="115" t="n"/>
      <c r="I775" s="102" t="n"/>
      <c r="J775" s="102" t="n"/>
      <c r="K775" s="103" t="n"/>
      <c r="L775" s="116">
        <f>IF($H775="","",TRIM(IF(COUNTIF(DMTK!$A$7:$A$250,$F775)=0,"TK Nợ sai! ","")&amp;IF(COUNTIF(DMTK!$A$7:$A$250,$G775)=0,"TK Có sai! ","")&amp;IF(N($H775)&lt;=0,"Tiền phải &gt; 0! ","")&amp;IF($B775="","Thiếu ngày! ","")&amp;IF(AND(OR(LEFT($F775,3)="131",LEFT($G775,3)="131",LEFT($F775,3)="331",LEFT($G775,3)="331"),$I775=""),"Thiếu Mã ĐT! ","")&amp;IF(AND($I775&lt;&gt;"",COUNTIF(DM_DT!$A$7:$A$306,$I775)=0),"Mã ĐT chưa khai báo! ","")))</f>
        <v/>
      </c>
      <c r="M775" s="117">
        <f>IF($H775="","",IF(AND(OR(LEFT($F775,3)="111",LEFT($F775,3)="112",LEFT($F775,3)="113"),OR(LEFT($G775,3)="111",LEFT($G775,3)="112",LEFT($G775,3)="113")),"NB",IF(OR(LEFT($F775,3)="111",LEFT($F775,3)="112",LEFT($F775,3)="113"),"THU",IF(OR(LEFT($G775,3)="111",LEFT($G775,3)="112",LEFT($G775,3)="113"),"CHI",""))))</f>
        <v/>
      </c>
      <c r="N775" s="117">
        <f>IF($M775="THU",$G775,IF($M775="CHI",$F775,""))</f>
        <v/>
      </c>
      <c r="O775" s="117">
        <f>IF(OR($M775="",$M775="NB"),"",IF($J775&lt;&gt;"",TEXT($J775,"00"),IFERROR(VLOOKUP(LEFT($N775,4),LCTT_MAP!$A$7:$C$66,IF($M775="THU",2,3),FALSE()),IFERROR(VLOOKUP(LEFT($N775,3),LCTT_MAP!$A$7:$C$66,IF($M775="THU",2,3),FALSE()),IFERROR(VLOOKUP(LEFT($N775,2),LCTT_MAP!$A$7:$C$66,IF($M775="THU",2,3),FALSE()),IFERROR(VLOOKUP(LEFT($N775,1),LCTT_MAP!$A$7:$C$66,IF($M775="THU",2,3),FALSE()),IF($M775="THU","06","07")))))))</f>
        <v/>
      </c>
      <c r="P775" s="117">
        <f>P774+IF(AND($H775&lt;&gt;"",OR(LEFT($F775,LEN(SC_TK))=SC_TK,LEFT($G775,LEN(SC_TK))=SC_TK)),1,0)</f>
        <v/>
      </c>
    </row>
    <row r="776" ht="15" customHeight="1" s="78">
      <c r="A776" s="95">
        <f>IF($H776="","",ROW()-6)</f>
        <v/>
      </c>
      <c r="B776" s="114" t="n"/>
      <c r="C776" s="102" t="n"/>
      <c r="D776" s="114" t="n"/>
      <c r="E776" s="103" t="n"/>
      <c r="F776" s="102" t="n"/>
      <c r="G776" s="102" t="n"/>
      <c r="H776" s="115" t="n"/>
      <c r="I776" s="102" t="n"/>
      <c r="J776" s="102" t="n"/>
      <c r="K776" s="103" t="n"/>
      <c r="L776" s="116">
        <f>IF($H776="","",TRIM(IF(COUNTIF(DMTK!$A$7:$A$250,$F776)=0,"TK Nợ sai! ","")&amp;IF(COUNTIF(DMTK!$A$7:$A$250,$G776)=0,"TK Có sai! ","")&amp;IF(N($H776)&lt;=0,"Tiền phải &gt; 0! ","")&amp;IF($B776="","Thiếu ngày! ","")&amp;IF(AND(OR(LEFT($F776,3)="131",LEFT($G776,3)="131",LEFT($F776,3)="331",LEFT($G776,3)="331"),$I776=""),"Thiếu Mã ĐT! ","")&amp;IF(AND($I776&lt;&gt;"",COUNTIF(DM_DT!$A$7:$A$306,$I776)=0),"Mã ĐT chưa khai báo! ","")))</f>
        <v/>
      </c>
      <c r="M776" s="117">
        <f>IF($H776="","",IF(AND(OR(LEFT($F776,3)="111",LEFT($F776,3)="112",LEFT($F776,3)="113"),OR(LEFT($G776,3)="111",LEFT($G776,3)="112",LEFT($G776,3)="113")),"NB",IF(OR(LEFT($F776,3)="111",LEFT($F776,3)="112",LEFT($F776,3)="113"),"THU",IF(OR(LEFT($G776,3)="111",LEFT($G776,3)="112",LEFT($G776,3)="113"),"CHI",""))))</f>
        <v/>
      </c>
      <c r="N776" s="117">
        <f>IF($M776="THU",$G776,IF($M776="CHI",$F776,""))</f>
        <v/>
      </c>
      <c r="O776" s="117">
        <f>IF(OR($M776="",$M776="NB"),"",IF($J776&lt;&gt;"",TEXT($J776,"00"),IFERROR(VLOOKUP(LEFT($N776,4),LCTT_MAP!$A$7:$C$66,IF($M776="THU",2,3),FALSE()),IFERROR(VLOOKUP(LEFT($N776,3),LCTT_MAP!$A$7:$C$66,IF($M776="THU",2,3),FALSE()),IFERROR(VLOOKUP(LEFT($N776,2),LCTT_MAP!$A$7:$C$66,IF($M776="THU",2,3),FALSE()),IFERROR(VLOOKUP(LEFT($N776,1),LCTT_MAP!$A$7:$C$66,IF($M776="THU",2,3),FALSE()),IF($M776="THU","06","07")))))))</f>
        <v/>
      </c>
      <c r="P776" s="117">
        <f>P775+IF(AND($H776&lt;&gt;"",OR(LEFT($F776,LEN(SC_TK))=SC_TK,LEFT($G776,LEN(SC_TK))=SC_TK)),1,0)</f>
        <v/>
      </c>
    </row>
    <row r="777" ht="15" customHeight="1" s="78">
      <c r="A777" s="95">
        <f>IF($H777="","",ROW()-6)</f>
        <v/>
      </c>
      <c r="B777" s="114" t="n"/>
      <c r="C777" s="102" t="n"/>
      <c r="D777" s="114" t="n"/>
      <c r="E777" s="103" t="n"/>
      <c r="F777" s="102" t="n"/>
      <c r="G777" s="102" t="n"/>
      <c r="H777" s="115" t="n"/>
      <c r="I777" s="102" t="n"/>
      <c r="J777" s="102" t="n"/>
      <c r="K777" s="103" t="n"/>
      <c r="L777" s="116">
        <f>IF($H777="","",TRIM(IF(COUNTIF(DMTK!$A$7:$A$250,$F777)=0,"TK Nợ sai! ","")&amp;IF(COUNTIF(DMTK!$A$7:$A$250,$G777)=0,"TK Có sai! ","")&amp;IF(N($H777)&lt;=0,"Tiền phải &gt; 0! ","")&amp;IF($B777="","Thiếu ngày! ","")&amp;IF(AND(OR(LEFT($F777,3)="131",LEFT($G777,3)="131",LEFT($F777,3)="331",LEFT($G777,3)="331"),$I777=""),"Thiếu Mã ĐT! ","")&amp;IF(AND($I777&lt;&gt;"",COUNTIF(DM_DT!$A$7:$A$306,$I777)=0),"Mã ĐT chưa khai báo! ","")))</f>
        <v/>
      </c>
      <c r="M777" s="117">
        <f>IF($H777="","",IF(AND(OR(LEFT($F777,3)="111",LEFT($F777,3)="112",LEFT($F777,3)="113"),OR(LEFT($G777,3)="111",LEFT($G777,3)="112",LEFT($G777,3)="113")),"NB",IF(OR(LEFT($F777,3)="111",LEFT($F777,3)="112",LEFT($F777,3)="113"),"THU",IF(OR(LEFT($G777,3)="111",LEFT($G777,3)="112",LEFT($G777,3)="113"),"CHI",""))))</f>
        <v/>
      </c>
      <c r="N777" s="117">
        <f>IF($M777="THU",$G777,IF($M777="CHI",$F777,""))</f>
        <v/>
      </c>
      <c r="O777" s="117">
        <f>IF(OR($M777="",$M777="NB"),"",IF($J777&lt;&gt;"",TEXT($J777,"00"),IFERROR(VLOOKUP(LEFT($N777,4),LCTT_MAP!$A$7:$C$66,IF($M777="THU",2,3),FALSE()),IFERROR(VLOOKUP(LEFT($N777,3),LCTT_MAP!$A$7:$C$66,IF($M777="THU",2,3),FALSE()),IFERROR(VLOOKUP(LEFT($N777,2),LCTT_MAP!$A$7:$C$66,IF($M777="THU",2,3),FALSE()),IFERROR(VLOOKUP(LEFT($N777,1),LCTT_MAP!$A$7:$C$66,IF($M777="THU",2,3),FALSE()),IF($M777="THU","06","07")))))))</f>
        <v/>
      </c>
      <c r="P777" s="117">
        <f>P776+IF(AND($H777&lt;&gt;"",OR(LEFT($F777,LEN(SC_TK))=SC_TK,LEFT($G777,LEN(SC_TK))=SC_TK)),1,0)</f>
        <v/>
      </c>
    </row>
    <row r="778" ht="15" customHeight="1" s="78">
      <c r="A778" s="95">
        <f>IF($H778="","",ROW()-6)</f>
        <v/>
      </c>
      <c r="B778" s="114" t="n"/>
      <c r="C778" s="102" t="n"/>
      <c r="D778" s="114" t="n"/>
      <c r="E778" s="103" t="n"/>
      <c r="F778" s="102" t="n"/>
      <c r="G778" s="102" t="n"/>
      <c r="H778" s="115" t="n"/>
      <c r="I778" s="102" t="n"/>
      <c r="J778" s="102" t="n"/>
      <c r="K778" s="103" t="n"/>
      <c r="L778" s="116">
        <f>IF($H778="","",TRIM(IF(COUNTIF(DMTK!$A$7:$A$250,$F778)=0,"TK Nợ sai! ","")&amp;IF(COUNTIF(DMTK!$A$7:$A$250,$G778)=0,"TK Có sai! ","")&amp;IF(N($H778)&lt;=0,"Tiền phải &gt; 0! ","")&amp;IF($B778="","Thiếu ngày! ","")&amp;IF(AND(OR(LEFT($F778,3)="131",LEFT($G778,3)="131",LEFT($F778,3)="331",LEFT($G778,3)="331"),$I778=""),"Thiếu Mã ĐT! ","")&amp;IF(AND($I778&lt;&gt;"",COUNTIF(DM_DT!$A$7:$A$306,$I778)=0),"Mã ĐT chưa khai báo! ","")))</f>
        <v/>
      </c>
      <c r="M778" s="117">
        <f>IF($H778="","",IF(AND(OR(LEFT($F778,3)="111",LEFT($F778,3)="112",LEFT($F778,3)="113"),OR(LEFT($G778,3)="111",LEFT($G778,3)="112",LEFT($G778,3)="113")),"NB",IF(OR(LEFT($F778,3)="111",LEFT($F778,3)="112",LEFT($F778,3)="113"),"THU",IF(OR(LEFT($G778,3)="111",LEFT($G778,3)="112",LEFT($G778,3)="113"),"CHI",""))))</f>
        <v/>
      </c>
      <c r="N778" s="117">
        <f>IF($M778="THU",$G778,IF($M778="CHI",$F778,""))</f>
        <v/>
      </c>
      <c r="O778" s="117">
        <f>IF(OR($M778="",$M778="NB"),"",IF($J778&lt;&gt;"",TEXT($J778,"00"),IFERROR(VLOOKUP(LEFT($N778,4),LCTT_MAP!$A$7:$C$66,IF($M778="THU",2,3),FALSE()),IFERROR(VLOOKUP(LEFT($N778,3),LCTT_MAP!$A$7:$C$66,IF($M778="THU",2,3),FALSE()),IFERROR(VLOOKUP(LEFT($N778,2),LCTT_MAP!$A$7:$C$66,IF($M778="THU",2,3),FALSE()),IFERROR(VLOOKUP(LEFT($N778,1),LCTT_MAP!$A$7:$C$66,IF($M778="THU",2,3),FALSE()),IF($M778="THU","06","07")))))))</f>
        <v/>
      </c>
      <c r="P778" s="117">
        <f>P777+IF(AND($H778&lt;&gt;"",OR(LEFT($F778,LEN(SC_TK))=SC_TK,LEFT($G778,LEN(SC_TK))=SC_TK)),1,0)</f>
        <v/>
      </c>
    </row>
    <row r="779" ht="15" customHeight="1" s="78">
      <c r="A779" s="95">
        <f>IF($H779="","",ROW()-6)</f>
        <v/>
      </c>
      <c r="B779" s="114" t="n"/>
      <c r="C779" s="102" t="n"/>
      <c r="D779" s="114" t="n"/>
      <c r="E779" s="103" t="n"/>
      <c r="F779" s="102" t="n"/>
      <c r="G779" s="102" t="n"/>
      <c r="H779" s="115" t="n"/>
      <c r="I779" s="102" t="n"/>
      <c r="J779" s="102" t="n"/>
      <c r="K779" s="103" t="n"/>
      <c r="L779" s="116">
        <f>IF($H779="","",TRIM(IF(COUNTIF(DMTK!$A$7:$A$250,$F779)=0,"TK Nợ sai! ","")&amp;IF(COUNTIF(DMTK!$A$7:$A$250,$G779)=0,"TK Có sai! ","")&amp;IF(N($H779)&lt;=0,"Tiền phải &gt; 0! ","")&amp;IF($B779="","Thiếu ngày! ","")&amp;IF(AND(OR(LEFT($F779,3)="131",LEFT($G779,3)="131",LEFT($F779,3)="331",LEFT($G779,3)="331"),$I779=""),"Thiếu Mã ĐT! ","")&amp;IF(AND($I779&lt;&gt;"",COUNTIF(DM_DT!$A$7:$A$306,$I779)=0),"Mã ĐT chưa khai báo! ","")))</f>
        <v/>
      </c>
      <c r="M779" s="117">
        <f>IF($H779="","",IF(AND(OR(LEFT($F779,3)="111",LEFT($F779,3)="112",LEFT($F779,3)="113"),OR(LEFT($G779,3)="111",LEFT($G779,3)="112",LEFT($G779,3)="113")),"NB",IF(OR(LEFT($F779,3)="111",LEFT($F779,3)="112",LEFT($F779,3)="113"),"THU",IF(OR(LEFT($G779,3)="111",LEFT($G779,3)="112",LEFT($G779,3)="113"),"CHI",""))))</f>
        <v/>
      </c>
      <c r="N779" s="117">
        <f>IF($M779="THU",$G779,IF($M779="CHI",$F779,""))</f>
        <v/>
      </c>
      <c r="O779" s="117">
        <f>IF(OR($M779="",$M779="NB"),"",IF($J779&lt;&gt;"",TEXT($J779,"00"),IFERROR(VLOOKUP(LEFT($N779,4),LCTT_MAP!$A$7:$C$66,IF($M779="THU",2,3),FALSE()),IFERROR(VLOOKUP(LEFT($N779,3),LCTT_MAP!$A$7:$C$66,IF($M779="THU",2,3),FALSE()),IFERROR(VLOOKUP(LEFT($N779,2),LCTT_MAP!$A$7:$C$66,IF($M779="THU",2,3),FALSE()),IFERROR(VLOOKUP(LEFT($N779,1),LCTT_MAP!$A$7:$C$66,IF($M779="THU",2,3),FALSE()),IF($M779="THU","06","07")))))))</f>
        <v/>
      </c>
      <c r="P779" s="117">
        <f>P778+IF(AND($H779&lt;&gt;"",OR(LEFT($F779,LEN(SC_TK))=SC_TK,LEFT($G779,LEN(SC_TK))=SC_TK)),1,0)</f>
        <v/>
      </c>
    </row>
    <row r="780" ht="15" customHeight="1" s="78">
      <c r="A780" s="95">
        <f>IF($H780="","",ROW()-6)</f>
        <v/>
      </c>
      <c r="B780" s="114" t="n"/>
      <c r="C780" s="102" t="n"/>
      <c r="D780" s="114" t="n"/>
      <c r="E780" s="103" t="n"/>
      <c r="F780" s="102" t="n"/>
      <c r="G780" s="102" t="n"/>
      <c r="H780" s="115" t="n"/>
      <c r="I780" s="102" t="n"/>
      <c r="J780" s="102" t="n"/>
      <c r="K780" s="103" t="n"/>
      <c r="L780" s="116">
        <f>IF($H780="","",TRIM(IF(COUNTIF(DMTK!$A$7:$A$250,$F780)=0,"TK Nợ sai! ","")&amp;IF(COUNTIF(DMTK!$A$7:$A$250,$G780)=0,"TK Có sai! ","")&amp;IF(N($H780)&lt;=0,"Tiền phải &gt; 0! ","")&amp;IF($B780="","Thiếu ngày! ","")&amp;IF(AND(OR(LEFT($F780,3)="131",LEFT($G780,3)="131",LEFT($F780,3)="331",LEFT($G780,3)="331"),$I780=""),"Thiếu Mã ĐT! ","")&amp;IF(AND($I780&lt;&gt;"",COUNTIF(DM_DT!$A$7:$A$306,$I780)=0),"Mã ĐT chưa khai báo! ","")))</f>
        <v/>
      </c>
      <c r="M780" s="117">
        <f>IF($H780="","",IF(AND(OR(LEFT($F780,3)="111",LEFT($F780,3)="112",LEFT($F780,3)="113"),OR(LEFT($G780,3)="111",LEFT($G780,3)="112",LEFT($G780,3)="113")),"NB",IF(OR(LEFT($F780,3)="111",LEFT($F780,3)="112",LEFT($F780,3)="113"),"THU",IF(OR(LEFT($G780,3)="111",LEFT($G780,3)="112",LEFT($G780,3)="113"),"CHI",""))))</f>
        <v/>
      </c>
      <c r="N780" s="117">
        <f>IF($M780="THU",$G780,IF($M780="CHI",$F780,""))</f>
        <v/>
      </c>
      <c r="O780" s="117">
        <f>IF(OR($M780="",$M780="NB"),"",IF($J780&lt;&gt;"",TEXT($J780,"00"),IFERROR(VLOOKUP(LEFT($N780,4),LCTT_MAP!$A$7:$C$66,IF($M780="THU",2,3),FALSE()),IFERROR(VLOOKUP(LEFT($N780,3),LCTT_MAP!$A$7:$C$66,IF($M780="THU",2,3),FALSE()),IFERROR(VLOOKUP(LEFT($N780,2),LCTT_MAP!$A$7:$C$66,IF($M780="THU",2,3),FALSE()),IFERROR(VLOOKUP(LEFT($N780,1),LCTT_MAP!$A$7:$C$66,IF($M780="THU",2,3),FALSE()),IF($M780="THU","06","07")))))))</f>
        <v/>
      </c>
      <c r="P780" s="117">
        <f>P779+IF(AND($H780&lt;&gt;"",OR(LEFT($F780,LEN(SC_TK))=SC_TK,LEFT($G780,LEN(SC_TK))=SC_TK)),1,0)</f>
        <v/>
      </c>
    </row>
    <row r="781" ht="15" customHeight="1" s="78">
      <c r="A781" s="95">
        <f>IF($H781="","",ROW()-6)</f>
        <v/>
      </c>
      <c r="B781" s="114" t="n"/>
      <c r="C781" s="102" t="n"/>
      <c r="D781" s="114" t="n"/>
      <c r="E781" s="103" t="n"/>
      <c r="F781" s="102" t="n"/>
      <c r="G781" s="102" t="n"/>
      <c r="H781" s="115" t="n"/>
      <c r="I781" s="102" t="n"/>
      <c r="J781" s="102" t="n"/>
      <c r="K781" s="103" t="n"/>
      <c r="L781" s="116">
        <f>IF($H781="","",TRIM(IF(COUNTIF(DMTK!$A$7:$A$250,$F781)=0,"TK Nợ sai! ","")&amp;IF(COUNTIF(DMTK!$A$7:$A$250,$G781)=0,"TK Có sai! ","")&amp;IF(N($H781)&lt;=0,"Tiền phải &gt; 0! ","")&amp;IF($B781="","Thiếu ngày! ","")&amp;IF(AND(OR(LEFT($F781,3)="131",LEFT($G781,3)="131",LEFT($F781,3)="331",LEFT($G781,3)="331"),$I781=""),"Thiếu Mã ĐT! ","")&amp;IF(AND($I781&lt;&gt;"",COUNTIF(DM_DT!$A$7:$A$306,$I781)=0),"Mã ĐT chưa khai báo! ","")))</f>
        <v/>
      </c>
      <c r="M781" s="117">
        <f>IF($H781="","",IF(AND(OR(LEFT($F781,3)="111",LEFT($F781,3)="112",LEFT($F781,3)="113"),OR(LEFT($G781,3)="111",LEFT($G781,3)="112",LEFT($G781,3)="113")),"NB",IF(OR(LEFT($F781,3)="111",LEFT($F781,3)="112",LEFT($F781,3)="113"),"THU",IF(OR(LEFT($G781,3)="111",LEFT($G781,3)="112",LEFT($G781,3)="113"),"CHI",""))))</f>
        <v/>
      </c>
      <c r="N781" s="117">
        <f>IF($M781="THU",$G781,IF($M781="CHI",$F781,""))</f>
        <v/>
      </c>
      <c r="O781" s="117">
        <f>IF(OR($M781="",$M781="NB"),"",IF($J781&lt;&gt;"",TEXT($J781,"00"),IFERROR(VLOOKUP(LEFT($N781,4),LCTT_MAP!$A$7:$C$66,IF($M781="THU",2,3),FALSE()),IFERROR(VLOOKUP(LEFT($N781,3),LCTT_MAP!$A$7:$C$66,IF($M781="THU",2,3),FALSE()),IFERROR(VLOOKUP(LEFT($N781,2),LCTT_MAP!$A$7:$C$66,IF($M781="THU",2,3),FALSE()),IFERROR(VLOOKUP(LEFT($N781,1),LCTT_MAP!$A$7:$C$66,IF($M781="THU",2,3),FALSE()),IF($M781="THU","06","07")))))))</f>
        <v/>
      </c>
      <c r="P781" s="117">
        <f>P780+IF(AND($H781&lt;&gt;"",OR(LEFT($F781,LEN(SC_TK))=SC_TK,LEFT($G781,LEN(SC_TK))=SC_TK)),1,0)</f>
        <v/>
      </c>
    </row>
    <row r="782" ht="15" customHeight="1" s="78">
      <c r="A782" s="95">
        <f>IF($H782="","",ROW()-6)</f>
        <v/>
      </c>
      <c r="B782" s="114" t="n"/>
      <c r="C782" s="102" t="n"/>
      <c r="D782" s="114" t="n"/>
      <c r="E782" s="103" t="n"/>
      <c r="F782" s="102" t="n"/>
      <c r="G782" s="102" t="n"/>
      <c r="H782" s="115" t="n"/>
      <c r="I782" s="102" t="n"/>
      <c r="J782" s="102" t="n"/>
      <c r="K782" s="103" t="n"/>
      <c r="L782" s="116">
        <f>IF($H782="","",TRIM(IF(COUNTIF(DMTK!$A$7:$A$250,$F782)=0,"TK Nợ sai! ","")&amp;IF(COUNTIF(DMTK!$A$7:$A$250,$G782)=0,"TK Có sai! ","")&amp;IF(N($H782)&lt;=0,"Tiền phải &gt; 0! ","")&amp;IF($B782="","Thiếu ngày! ","")&amp;IF(AND(OR(LEFT($F782,3)="131",LEFT($G782,3)="131",LEFT($F782,3)="331",LEFT($G782,3)="331"),$I782=""),"Thiếu Mã ĐT! ","")&amp;IF(AND($I782&lt;&gt;"",COUNTIF(DM_DT!$A$7:$A$306,$I782)=0),"Mã ĐT chưa khai báo! ","")))</f>
        <v/>
      </c>
      <c r="M782" s="117">
        <f>IF($H782="","",IF(AND(OR(LEFT($F782,3)="111",LEFT($F782,3)="112",LEFT($F782,3)="113"),OR(LEFT($G782,3)="111",LEFT($G782,3)="112",LEFT($G782,3)="113")),"NB",IF(OR(LEFT($F782,3)="111",LEFT($F782,3)="112",LEFT($F782,3)="113"),"THU",IF(OR(LEFT($G782,3)="111",LEFT($G782,3)="112",LEFT($G782,3)="113"),"CHI",""))))</f>
        <v/>
      </c>
      <c r="N782" s="117">
        <f>IF($M782="THU",$G782,IF($M782="CHI",$F782,""))</f>
        <v/>
      </c>
      <c r="O782" s="117">
        <f>IF(OR($M782="",$M782="NB"),"",IF($J782&lt;&gt;"",TEXT($J782,"00"),IFERROR(VLOOKUP(LEFT($N782,4),LCTT_MAP!$A$7:$C$66,IF($M782="THU",2,3),FALSE()),IFERROR(VLOOKUP(LEFT($N782,3),LCTT_MAP!$A$7:$C$66,IF($M782="THU",2,3),FALSE()),IFERROR(VLOOKUP(LEFT($N782,2),LCTT_MAP!$A$7:$C$66,IF($M782="THU",2,3),FALSE()),IFERROR(VLOOKUP(LEFT($N782,1),LCTT_MAP!$A$7:$C$66,IF($M782="THU",2,3),FALSE()),IF($M782="THU","06","07")))))))</f>
        <v/>
      </c>
      <c r="P782" s="117">
        <f>P781+IF(AND($H782&lt;&gt;"",OR(LEFT($F782,LEN(SC_TK))=SC_TK,LEFT($G782,LEN(SC_TK))=SC_TK)),1,0)</f>
        <v/>
      </c>
    </row>
    <row r="783" ht="15" customHeight="1" s="78">
      <c r="A783" s="95">
        <f>IF($H783="","",ROW()-6)</f>
        <v/>
      </c>
      <c r="B783" s="114" t="n"/>
      <c r="C783" s="102" t="n"/>
      <c r="D783" s="114" t="n"/>
      <c r="E783" s="103" t="n"/>
      <c r="F783" s="102" t="n"/>
      <c r="G783" s="102" t="n"/>
      <c r="H783" s="115" t="n"/>
      <c r="I783" s="102" t="n"/>
      <c r="J783" s="102" t="n"/>
      <c r="K783" s="103" t="n"/>
      <c r="L783" s="116">
        <f>IF($H783="","",TRIM(IF(COUNTIF(DMTK!$A$7:$A$250,$F783)=0,"TK Nợ sai! ","")&amp;IF(COUNTIF(DMTK!$A$7:$A$250,$G783)=0,"TK Có sai! ","")&amp;IF(N($H783)&lt;=0,"Tiền phải &gt; 0! ","")&amp;IF($B783="","Thiếu ngày! ","")&amp;IF(AND(OR(LEFT($F783,3)="131",LEFT($G783,3)="131",LEFT($F783,3)="331",LEFT($G783,3)="331"),$I783=""),"Thiếu Mã ĐT! ","")&amp;IF(AND($I783&lt;&gt;"",COUNTIF(DM_DT!$A$7:$A$306,$I783)=0),"Mã ĐT chưa khai báo! ","")))</f>
        <v/>
      </c>
      <c r="M783" s="117">
        <f>IF($H783="","",IF(AND(OR(LEFT($F783,3)="111",LEFT($F783,3)="112",LEFT($F783,3)="113"),OR(LEFT($G783,3)="111",LEFT($G783,3)="112",LEFT($G783,3)="113")),"NB",IF(OR(LEFT($F783,3)="111",LEFT($F783,3)="112",LEFT($F783,3)="113"),"THU",IF(OR(LEFT($G783,3)="111",LEFT($G783,3)="112",LEFT($G783,3)="113"),"CHI",""))))</f>
        <v/>
      </c>
      <c r="N783" s="117">
        <f>IF($M783="THU",$G783,IF($M783="CHI",$F783,""))</f>
        <v/>
      </c>
      <c r="O783" s="117">
        <f>IF(OR($M783="",$M783="NB"),"",IF($J783&lt;&gt;"",TEXT($J783,"00"),IFERROR(VLOOKUP(LEFT($N783,4),LCTT_MAP!$A$7:$C$66,IF($M783="THU",2,3),FALSE()),IFERROR(VLOOKUP(LEFT($N783,3),LCTT_MAP!$A$7:$C$66,IF($M783="THU",2,3),FALSE()),IFERROR(VLOOKUP(LEFT($N783,2),LCTT_MAP!$A$7:$C$66,IF($M783="THU",2,3),FALSE()),IFERROR(VLOOKUP(LEFT($N783,1),LCTT_MAP!$A$7:$C$66,IF($M783="THU",2,3),FALSE()),IF($M783="THU","06","07")))))))</f>
        <v/>
      </c>
      <c r="P783" s="117">
        <f>P782+IF(AND($H783&lt;&gt;"",OR(LEFT($F783,LEN(SC_TK))=SC_TK,LEFT($G783,LEN(SC_TK))=SC_TK)),1,0)</f>
        <v/>
      </c>
    </row>
    <row r="784" ht="15" customHeight="1" s="78">
      <c r="A784" s="95">
        <f>IF($H784="","",ROW()-6)</f>
        <v/>
      </c>
      <c r="B784" s="114" t="n"/>
      <c r="C784" s="102" t="n"/>
      <c r="D784" s="114" t="n"/>
      <c r="E784" s="103" t="n"/>
      <c r="F784" s="102" t="n"/>
      <c r="G784" s="102" t="n"/>
      <c r="H784" s="115" t="n"/>
      <c r="I784" s="102" t="n"/>
      <c r="J784" s="102" t="n"/>
      <c r="K784" s="103" t="n"/>
      <c r="L784" s="116">
        <f>IF($H784="","",TRIM(IF(COUNTIF(DMTK!$A$7:$A$250,$F784)=0,"TK Nợ sai! ","")&amp;IF(COUNTIF(DMTK!$A$7:$A$250,$G784)=0,"TK Có sai! ","")&amp;IF(N($H784)&lt;=0,"Tiền phải &gt; 0! ","")&amp;IF($B784="","Thiếu ngày! ","")&amp;IF(AND(OR(LEFT($F784,3)="131",LEFT($G784,3)="131",LEFT($F784,3)="331",LEFT($G784,3)="331"),$I784=""),"Thiếu Mã ĐT! ","")&amp;IF(AND($I784&lt;&gt;"",COUNTIF(DM_DT!$A$7:$A$306,$I784)=0),"Mã ĐT chưa khai báo! ","")))</f>
        <v/>
      </c>
      <c r="M784" s="117">
        <f>IF($H784="","",IF(AND(OR(LEFT($F784,3)="111",LEFT($F784,3)="112",LEFT($F784,3)="113"),OR(LEFT($G784,3)="111",LEFT($G784,3)="112",LEFT($G784,3)="113")),"NB",IF(OR(LEFT($F784,3)="111",LEFT($F784,3)="112",LEFT($F784,3)="113"),"THU",IF(OR(LEFT($G784,3)="111",LEFT($G784,3)="112",LEFT($G784,3)="113"),"CHI",""))))</f>
        <v/>
      </c>
      <c r="N784" s="117">
        <f>IF($M784="THU",$G784,IF($M784="CHI",$F784,""))</f>
        <v/>
      </c>
      <c r="O784" s="117">
        <f>IF(OR($M784="",$M784="NB"),"",IF($J784&lt;&gt;"",TEXT($J784,"00"),IFERROR(VLOOKUP(LEFT($N784,4),LCTT_MAP!$A$7:$C$66,IF($M784="THU",2,3),FALSE()),IFERROR(VLOOKUP(LEFT($N784,3),LCTT_MAP!$A$7:$C$66,IF($M784="THU",2,3),FALSE()),IFERROR(VLOOKUP(LEFT($N784,2),LCTT_MAP!$A$7:$C$66,IF($M784="THU",2,3),FALSE()),IFERROR(VLOOKUP(LEFT($N784,1),LCTT_MAP!$A$7:$C$66,IF($M784="THU",2,3),FALSE()),IF($M784="THU","06","07")))))))</f>
        <v/>
      </c>
      <c r="P784" s="117">
        <f>P783+IF(AND($H784&lt;&gt;"",OR(LEFT($F784,LEN(SC_TK))=SC_TK,LEFT($G784,LEN(SC_TK))=SC_TK)),1,0)</f>
        <v/>
      </c>
    </row>
    <row r="785" ht="15" customHeight="1" s="78">
      <c r="A785" s="95">
        <f>IF($H785="","",ROW()-6)</f>
        <v/>
      </c>
      <c r="B785" s="114" t="n"/>
      <c r="C785" s="102" t="n"/>
      <c r="D785" s="114" t="n"/>
      <c r="E785" s="103" t="n"/>
      <c r="F785" s="102" t="n"/>
      <c r="G785" s="102" t="n"/>
      <c r="H785" s="115" t="n"/>
      <c r="I785" s="102" t="n"/>
      <c r="J785" s="102" t="n"/>
      <c r="K785" s="103" t="n"/>
      <c r="L785" s="116">
        <f>IF($H785="","",TRIM(IF(COUNTIF(DMTK!$A$7:$A$250,$F785)=0,"TK Nợ sai! ","")&amp;IF(COUNTIF(DMTK!$A$7:$A$250,$G785)=0,"TK Có sai! ","")&amp;IF(N($H785)&lt;=0,"Tiền phải &gt; 0! ","")&amp;IF($B785="","Thiếu ngày! ","")&amp;IF(AND(OR(LEFT($F785,3)="131",LEFT($G785,3)="131",LEFT($F785,3)="331",LEFT($G785,3)="331"),$I785=""),"Thiếu Mã ĐT! ","")&amp;IF(AND($I785&lt;&gt;"",COUNTIF(DM_DT!$A$7:$A$306,$I785)=0),"Mã ĐT chưa khai báo! ","")))</f>
        <v/>
      </c>
      <c r="M785" s="117">
        <f>IF($H785="","",IF(AND(OR(LEFT($F785,3)="111",LEFT($F785,3)="112",LEFT($F785,3)="113"),OR(LEFT($G785,3)="111",LEFT($G785,3)="112",LEFT($G785,3)="113")),"NB",IF(OR(LEFT($F785,3)="111",LEFT($F785,3)="112",LEFT($F785,3)="113"),"THU",IF(OR(LEFT($G785,3)="111",LEFT($G785,3)="112",LEFT($G785,3)="113"),"CHI",""))))</f>
        <v/>
      </c>
      <c r="N785" s="117">
        <f>IF($M785="THU",$G785,IF($M785="CHI",$F785,""))</f>
        <v/>
      </c>
      <c r="O785" s="117">
        <f>IF(OR($M785="",$M785="NB"),"",IF($J785&lt;&gt;"",TEXT($J785,"00"),IFERROR(VLOOKUP(LEFT($N785,4),LCTT_MAP!$A$7:$C$66,IF($M785="THU",2,3),FALSE()),IFERROR(VLOOKUP(LEFT($N785,3),LCTT_MAP!$A$7:$C$66,IF($M785="THU",2,3),FALSE()),IFERROR(VLOOKUP(LEFT($N785,2),LCTT_MAP!$A$7:$C$66,IF($M785="THU",2,3),FALSE()),IFERROR(VLOOKUP(LEFT($N785,1),LCTT_MAP!$A$7:$C$66,IF($M785="THU",2,3),FALSE()),IF($M785="THU","06","07")))))))</f>
        <v/>
      </c>
      <c r="P785" s="117">
        <f>P784+IF(AND($H785&lt;&gt;"",OR(LEFT($F785,LEN(SC_TK))=SC_TK,LEFT($G785,LEN(SC_TK))=SC_TK)),1,0)</f>
        <v/>
      </c>
    </row>
    <row r="786" ht="15" customHeight="1" s="78">
      <c r="A786" s="95">
        <f>IF($H786="","",ROW()-6)</f>
        <v/>
      </c>
      <c r="B786" s="114" t="n"/>
      <c r="C786" s="102" t="n"/>
      <c r="D786" s="114" t="n"/>
      <c r="E786" s="103" t="n"/>
      <c r="F786" s="102" t="n"/>
      <c r="G786" s="102" t="n"/>
      <c r="H786" s="115" t="n"/>
      <c r="I786" s="102" t="n"/>
      <c r="J786" s="102" t="n"/>
      <c r="K786" s="103" t="n"/>
      <c r="L786" s="116">
        <f>IF($H786="","",TRIM(IF(COUNTIF(DMTK!$A$7:$A$250,$F786)=0,"TK Nợ sai! ","")&amp;IF(COUNTIF(DMTK!$A$7:$A$250,$G786)=0,"TK Có sai! ","")&amp;IF(N($H786)&lt;=0,"Tiền phải &gt; 0! ","")&amp;IF($B786="","Thiếu ngày! ","")&amp;IF(AND(OR(LEFT($F786,3)="131",LEFT($G786,3)="131",LEFT($F786,3)="331",LEFT($G786,3)="331"),$I786=""),"Thiếu Mã ĐT! ","")&amp;IF(AND($I786&lt;&gt;"",COUNTIF(DM_DT!$A$7:$A$306,$I786)=0),"Mã ĐT chưa khai báo! ","")))</f>
        <v/>
      </c>
      <c r="M786" s="117">
        <f>IF($H786="","",IF(AND(OR(LEFT($F786,3)="111",LEFT($F786,3)="112",LEFT($F786,3)="113"),OR(LEFT($G786,3)="111",LEFT($G786,3)="112",LEFT($G786,3)="113")),"NB",IF(OR(LEFT($F786,3)="111",LEFT($F786,3)="112",LEFT($F786,3)="113"),"THU",IF(OR(LEFT($G786,3)="111",LEFT($G786,3)="112",LEFT($G786,3)="113"),"CHI",""))))</f>
        <v/>
      </c>
      <c r="N786" s="117">
        <f>IF($M786="THU",$G786,IF($M786="CHI",$F786,""))</f>
        <v/>
      </c>
      <c r="O786" s="117">
        <f>IF(OR($M786="",$M786="NB"),"",IF($J786&lt;&gt;"",TEXT($J786,"00"),IFERROR(VLOOKUP(LEFT($N786,4),LCTT_MAP!$A$7:$C$66,IF($M786="THU",2,3),FALSE()),IFERROR(VLOOKUP(LEFT($N786,3),LCTT_MAP!$A$7:$C$66,IF($M786="THU",2,3),FALSE()),IFERROR(VLOOKUP(LEFT($N786,2),LCTT_MAP!$A$7:$C$66,IF($M786="THU",2,3),FALSE()),IFERROR(VLOOKUP(LEFT($N786,1),LCTT_MAP!$A$7:$C$66,IF($M786="THU",2,3),FALSE()),IF($M786="THU","06","07")))))))</f>
        <v/>
      </c>
      <c r="P786" s="117">
        <f>P785+IF(AND($H786&lt;&gt;"",OR(LEFT($F786,LEN(SC_TK))=SC_TK,LEFT($G786,LEN(SC_TK))=SC_TK)),1,0)</f>
        <v/>
      </c>
    </row>
    <row r="787" ht="15" customHeight="1" s="78">
      <c r="A787" s="95">
        <f>IF($H787="","",ROW()-6)</f>
        <v/>
      </c>
      <c r="B787" s="114" t="n"/>
      <c r="C787" s="102" t="n"/>
      <c r="D787" s="114" t="n"/>
      <c r="E787" s="103" t="n"/>
      <c r="F787" s="102" t="n"/>
      <c r="G787" s="102" t="n"/>
      <c r="H787" s="115" t="n"/>
      <c r="I787" s="102" t="n"/>
      <c r="J787" s="102" t="n"/>
      <c r="K787" s="103" t="n"/>
      <c r="L787" s="116">
        <f>IF($H787="","",TRIM(IF(COUNTIF(DMTK!$A$7:$A$250,$F787)=0,"TK Nợ sai! ","")&amp;IF(COUNTIF(DMTK!$A$7:$A$250,$G787)=0,"TK Có sai! ","")&amp;IF(N($H787)&lt;=0,"Tiền phải &gt; 0! ","")&amp;IF($B787="","Thiếu ngày! ","")&amp;IF(AND(OR(LEFT($F787,3)="131",LEFT($G787,3)="131",LEFT($F787,3)="331",LEFT($G787,3)="331"),$I787=""),"Thiếu Mã ĐT! ","")&amp;IF(AND($I787&lt;&gt;"",COUNTIF(DM_DT!$A$7:$A$306,$I787)=0),"Mã ĐT chưa khai báo! ","")))</f>
        <v/>
      </c>
      <c r="M787" s="117">
        <f>IF($H787="","",IF(AND(OR(LEFT($F787,3)="111",LEFT($F787,3)="112",LEFT($F787,3)="113"),OR(LEFT($G787,3)="111",LEFT($G787,3)="112",LEFT($G787,3)="113")),"NB",IF(OR(LEFT($F787,3)="111",LEFT($F787,3)="112",LEFT($F787,3)="113"),"THU",IF(OR(LEFT($G787,3)="111",LEFT($G787,3)="112",LEFT($G787,3)="113"),"CHI",""))))</f>
        <v/>
      </c>
      <c r="N787" s="117">
        <f>IF($M787="THU",$G787,IF($M787="CHI",$F787,""))</f>
        <v/>
      </c>
      <c r="O787" s="117">
        <f>IF(OR($M787="",$M787="NB"),"",IF($J787&lt;&gt;"",TEXT($J787,"00"),IFERROR(VLOOKUP(LEFT($N787,4),LCTT_MAP!$A$7:$C$66,IF($M787="THU",2,3),FALSE()),IFERROR(VLOOKUP(LEFT($N787,3),LCTT_MAP!$A$7:$C$66,IF($M787="THU",2,3),FALSE()),IFERROR(VLOOKUP(LEFT($N787,2),LCTT_MAP!$A$7:$C$66,IF($M787="THU",2,3),FALSE()),IFERROR(VLOOKUP(LEFT($N787,1),LCTT_MAP!$A$7:$C$66,IF($M787="THU",2,3),FALSE()),IF($M787="THU","06","07")))))))</f>
        <v/>
      </c>
      <c r="P787" s="117">
        <f>P786+IF(AND($H787&lt;&gt;"",OR(LEFT($F787,LEN(SC_TK))=SC_TK,LEFT($G787,LEN(SC_TK))=SC_TK)),1,0)</f>
        <v/>
      </c>
    </row>
    <row r="788" ht="15" customHeight="1" s="78">
      <c r="A788" s="95">
        <f>IF($H788="","",ROW()-6)</f>
        <v/>
      </c>
      <c r="B788" s="114" t="n"/>
      <c r="C788" s="102" t="n"/>
      <c r="D788" s="114" t="n"/>
      <c r="E788" s="103" t="n"/>
      <c r="F788" s="102" t="n"/>
      <c r="G788" s="102" t="n"/>
      <c r="H788" s="115" t="n"/>
      <c r="I788" s="102" t="n"/>
      <c r="J788" s="102" t="n"/>
      <c r="K788" s="103" t="n"/>
      <c r="L788" s="116">
        <f>IF($H788="","",TRIM(IF(COUNTIF(DMTK!$A$7:$A$250,$F788)=0,"TK Nợ sai! ","")&amp;IF(COUNTIF(DMTK!$A$7:$A$250,$G788)=0,"TK Có sai! ","")&amp;IF(N($H788)&lt;=0,"Tiền phải &gt; 0! ","")&amp;IF($B788="","Thiếu ngày! ","")&amp;IF(AND(OR(LEFT($F788,3)="131",LEFT($G788,3)="131",LEFT($F788,3)="331",LEFT($G788,3)="331"),$I788=""),"Thiếu Mã ĐT! ","")&amp;IF(AND($I788&lt;&gt;"",COUNTIF(DM_DT!$A$7:$A$306,$I788)=0),"Mã ĐT chưa khai báo! ","")))</f>
        <v/>
      </c>
      <c r="M788" s="117">
        <f>IF($H788="","",IF(AND(OR(LEFT($F788,3)="111",LEFT($F788,3)="112",LEFT($F788,3)="113"),OR(LEFT($G788,3)="111",LEFT($G788,3)="112",LEFT($G788,3)="113")),"NB",IF(OR(LEFT($F788,3)="111",LEFT($F788,3)="112",LEFT($F788,3)="113"),"THU",IF(OR(LEFT($G788,3)="111",LEFT($G788,3)="112",LEFT($G788,3)="113"),"CHI",""))))</f>
        <v/>
      </c>
      <c r="N788" s="117">
        <f>IF($M788="THU",$G788,IF($M788="CHI",$F788,""))</f>
        <v/>
      </c>
      <c r="O788" s="117">
        <f>IF(OR($M788="",$M788="NB"),"",IF($J788&lt;&gt;"",TEXT($J788,"00"),IFERROR(VLOOKUP(LEFT($N788,4),LCTT_MAP!$A$7:$C$66,IF($M788="THU",2,3),FALSE()),IFERROR(VLOOKUP(LEFT($N788,3),LCTT_MAP!$A$7:$C$66,IF($M788="THU",2,3),FALSE()),IFERROR(VLOOKUP(LEFT($N788,2),LCTT_MAP!$A$7:$C$66,IF($M788="THU",2,3),FALSE()),IFERROR(VLOOKUP(LEFT($N788,1),LCTT_MAP!$A$7:$C$66,IF($M788="THU",2,3),FALSE()),IF($M788="THU","06","07")))))))</f>
        <v/>
      </c>
      <c r="P788" s="117">
        <f>P787+IF(AND($H788&lt;&gt;"",OR(LEFT($F788,LEN(SC_TK))=SC_TK,LEFT($G788,LEN(SC_TK))=SC_TK)),1,0)</f>
        <v/>
      </c>
    </row>
    <row r="789" ht="15" customHeight="1" s="78">
      <c r="A789" s="95">
        <f>IF($H789="","",ROW()-6)</f>
        <v/>
      </c>
      <c r="B789" s="114" t="n"/>
      <c r="C789" s="102" t="n"/>
      <c r="D789" s="114" t="n"/>
      <c r="E789" s="103" t="n"/>
      <c r="F789" s="102" t="n"/>
      <c r="G789" s="102" t="n"/>
      <c r="H789" s="115" t="n"/>
      <c r="I789" s="102" t="n"/>
      <c r="J789" s="102" t="n"/>
      <c r="K789" s="103" t="n"/>
      <c r="L789" s="116">
        <f>IF($H789="","",TRIM(IF(COUNTIF(DMTK!$A$7:$A$250,$F789)=0,"TK Nợ sai! ","")&amp;IF(COUNTIF(DMTK!$A$7:$A$250,$G789)=0,"TK Có sai! ","")&amp;IF(N($H789)&lt;=0,"Tiền phải &gt; 0! ","")&amp;IF($B789="","Thiếu ngày! ","")&amp;IF(AND(OR(LEFT($F789,3)="131",LEFT($G789,3)="131",LEFT($F789,3)="331",LEFT($G789,3)="331"),$I789=""),"Thiếu Mã ĐT! ","")&amp;IF(AND($I789&lt;&gt;"",COUNTIF(DM_DT!$A$7:$A$306,$I789)=0),"Mã ĐT chưa khai báo! ","")))</f>
        <v/>
      </c>
      <c r="M789" s="117">
        <f>IF($H789="","",IF(AND(OR(LEFT($F789,3)="111",LEFT($F789,3)="112",LEFT($F789,3)="113"),OR(LEFT($G789,3)="111",LEFT($G789,3)="112",LEFT($G789,3)="113")),"NB",IF(OR(LEFT($F789,3)="111",LEFT($F789,3)="112",LEFT($F789,3)="113"),"THU",IF(OR(LEFT($G789,3)="111",LEFT($G789,3)="112",LEFT($G789,3)="113"),"CHI",""))))</f>
        <v/>
      </c>
      <c r="N789" s="117">
        <f>IF($M789="THU",$G789,IF($M789="CHI",$F789,""))</f>
        <v/>
      </c>
      <c r="O789" s="117">
        <f>IF(OR($M789="",$M789="NB"),"",IF($J789&lt;&gt;"",TEXT($J789,"00"),IFERROR(VLOOKUP(LEFT($N789,4),LCTT_MAP!$A$7:$C$66,IF($M789="THU",2,3),FALSE()),IFERROR(VLOOKUP(LEFT($N789,3),LCTT_MAP!$A$7:$C$66,IF($M789="THU",2,3),FALSE()),IFERROR(VLOOKUP(LEFT($N789,2),LCTT_MAP!$A$7:$C$66,IF($M789="THU",2,3),FALSE()),IFERROR(VLOOKUP(LEFT($N789,1),LCTT_MAP!$A$7:$C$66,IF($M789="THU",2,3),FALSE()),IF($M789="THU","06","07")))))))</f>
        <v/>
      </c>
      <c r="P789" s="117">
        <f>P788+IF(AND($H789&lt;&gt;"",OR(LEFT($F789,LEN(SC_TK))=SC_TK,LEFT($G789,LEN(SC_TK))=SC_TK)),1,0)</f>
        <v/>
      </c>
    </row>
    <row r="790" ht="15" customHeight="1" s="78">
      <c r="A790" s="95">
        <f>IF($H790="","",ROW()-6)</f>
        <v/>
      </c>
      <c r="B790" s="114" t="n"/>
      <c r="C790" s="102" t="n"/>
      <c r="D790" s="114" t="n"/>
      <c r="E790" s="103" t="n"/>
      <c r="F790" s="102" t="n"/>
      <c r="G790" s="102" t="n"/>
      <c r="H790" s="115" t="n"/>
      <c r="I790" s="102" t="n"/>
      <c r="J790" s="102" t="n"/>
      <c r="K790" s="103" t="n"/>
      <c r="L790" s="116">
        <f>IF($H790="","",TRIM(IF(COUNTIF(DMTK!$A$7:$A$250,$F790)=0,"TK Nợ sai! ","")&amp;IF(COUNTIF(DMTK!$A$7:$A$250,$G790)=0,"TK Có sai! ","")&amp;IF(N($H790)&lt;=0,"Tiền phải &gt; 0! ","")&amp;IF($B790="","Thiếu ngày! ","")&amp;IF(AND(OR(LEFT($F790,3)="131",LEFT($G790,3)="131",LEFT($F790,3)="331",LEFT($G790,3)="331"),$I790=""),"Thiếu Mã ĐT! ","")&amp;IF(AND($I790&lt;&gt;"",COUNTIF(DM_DT!$A$7:$A$306,$I790)=0),"Mã ĐT chưa khai báo! ","")))</f>
        <v/>
      </c>
      <c r="M790" s="117">
        <f>IF($H790="","",IF(AND(OR(LEFT($F790,3)="111",LEFT($F790,3)="112",LEFT($F790,3)="113"),OR(LEFT($G790,3)="111",LEFT($G790,3)="112",LEFT($G790,3)="113")),"NB",IF(OR(LEFT($F790,3)="111",LEFT($F790,3)="112",LEFT($F790,3)="113"),"THU",IF(OR(LEFT($G790,3)="111",LEFT($G790,3)="112",LEFT($G790,3)="113"),"CHI",""))))</f>
        <v/>
      </c>
      <c r="N790" s="117">
        <f>IF($M790="THU",$G790,IF($M790="CHI",$F790,""))</f>
        <v/>
      </c>
      <c r="O790" s="117">
        <f>IF(OR($M790="",$M790="NB"),"",IF($J790&lt;&gt;"",TEXT($J790,"00"),IFERROR(VLOOKUP(LEFT($N790,4),LCTT_MAP!$A$7:$C$66,IF($M790="THU",2,3),FALSE()),IFERROR(VLOOKUP(LEFT($N790,3),LCTT_MAP!$A$7:$C$66,IF($M790="THU",2,3),FALSE()),IFERROR(VLOOKUP(LEFT($N790,2),LCTT_MAP!$A$7:$C$66,IF($M790="THU",2,3),FALSE()),IFERROR(VLOOKUP(LEFT($N790,1),LCTT_MAP!$A$7:$C$66,IF($M790="THU",2,3),FALSE()),IF($M790="THU","06","07")))))))</f>
        <v/>
      </c>
      <c r="P790" s="117">
        <f>P789+IF(AND($H790&lt;&gt;"",OR(LEFT($F790,LEN(SC_TK))=SC_TK,LEFT($G790,LEN(SC_TK))=SC_TK)),1,0)</f>
        <v/>
      </c>
    </row>
    <row r="791" ht="15" customHeight="1" s="78">
      <c r="A791" s="95">
        <f>IF($H791="","",ROW()-6)</f>
        <v/>
      </c>
      <c r="B791" s="114" t="n"/>
      <c r="C791" s="102" t="n"/>
      <c r="D791" s="114" t="n"/>
      <c r="E791" s="103" t="n"/>
      <c r="F791" s="102" t="n"/>
      <c r="G791" s="102" t="n"/>
      <c r="H791" s="115" t="n"/>
      <c r="I791" s="102" t="n"/>
      <c r="J791" s="102" t="n"/>
      <c r="K791" s="103" t="n"/>
      <c r="L791" s="116">
        <f>IF($H791="","",TRIM(IF(COUNTIF(DMTK!$A$7:$A$250,$F791)=0,"TK Nợ sai! ","")&amp;IF(COUNTIF(DMTK!$A$7:$A$250,$G791)=0,"TK Có sai! ","")&amp;IF(N($H791)&lt;=0,"Tiền phải &gt; 0! ","")&amp;IF($B791="","Thiếu ngày! ","")&amp;IF(AND(OR(LEFT($F791,3)="131",LEFT($G791,3)="131",LEFT($F791,3)="331",LEFT($G791,3)="331"),$I791=""),"Thiếu Mã ĐT! ","")&amp;IF(AND($I791&lt;&gt;"",COUNTIF(DM_DT!$A$7:$A$306,$I791)=0),"Mã ĐT chưa khai báo! ","")))</f>
        <v/>
      </c>
      <c r="M791" s="117">
        <f>IF($H791="","",IF(AND(OR(LEFT($F791,3)="111",LEFT($F791,3)="112",LEFT($F791,3)="113"),OR(LEFT($G791,3)="111",LEFT($G791,3)="112",LEFT($G791,3)="113")),"NB",IF(OR(LEFT($F791,3)="111",LEFT($F791,3)="112",LEFT($F791,3)="113"),"THU",IF(OR(LEFT($G791,3)="111",LEFT($G791,3)="112",LEFT($G791,3)="113"),"CHI",""))))</f>
        <v/>
      </c>
      <c r="N791" s="117">
        <f>IF($M791="THU",$G791,IF($M791="CHI",$F791,""))</f>
        <v/>
      </c>
      <c r="O791" s="117">
        <f>IF(OR($M791="",$M791="NB"),"",IF($J791&lt;&gt;"",TEXT($J791,"00"),IFERROR(VLOOKUP(LEFT($N791,4),LCTT_MAP!$A$7:$C$66,IF($M791="THU",2,3),FALSE()),IFERROR(VLOOKUP(LEFT($N791,3),LCTT_MAP!$A$7:$C$66,IF($M791="THU",2,3),FALSE()),IFERROR(VLOOKUP(LEFT($N791,2),LCTT_MAP!$A$7:$C$66,IF($M791="THU",2,3),FALSE()),IFERROR(VLOOKUP(LEFT($N791,1),LCTT_MAP!$A$7:$C$66,IF($M791="THU",2,3),FALSE()),IF($M791="THU","06","07")))))))</f>
        <v/>
      </c>
      <c r="P791" s="117">
        <f>P790+IF(AND($H791&lt;&gt;"",OR(LEFT($F791,LEN(SC_TK))=SC_TK,LEFT($G791,LEN(SC_TK))=SC_TK)),1,0)</f>
        <v/>
      </c>
    </row>
    <row r="792" ht="15" customHeight="1" s="78">
      <c r="A792" s="95">
        <f>IF($H792="","",ROW()-6)</f>
        <v/>
      </c>
      <c r="B792" s="114" t="n"/>
      <c r="C792" s="102" t="n"/>
      <c r="D792" s="114" t="n"/>
      <c r="E792" s="103" t="n"/>
      <c r="F792" s="102" t="n"/>
      <c r="G792" s="102" t="n"/>
      <c r="H792" s="115" t="n"/>
      <c r="I792" s="102" t="n"/>
      <c r="J792" s="102" t="n"/>
      <c r="K792" s="103" t="n"/>
      <c r="L792" s="116">
        <f>IF($H792="","",TRIM(IF(COUNTIF(DMTK!$A$7:$A$250,$F792)=0,"TK Nợ sai! ","")&amp;IF(COUNTIF(DMTK!$A$7:$A$250,$G792)=0,"TK Có sai! ","")&amp;IF(N($H792)&lt;=0,"Tiền phải &gt; 0! ","")&amp;IF($B792="","Thiếu ngày! ","")&amp;IF(AND(OR(LEFT($F792,3)="131",LEFT($G792,3)="131",LEFT($F792,3)="331",LEFT($G792,3)="331"),$I792=""),"Thiếu Mã ĐT! ","")&amp;IF(AND($I792&lt;&gt;"",COUNTIF(DM_DT!$A$7:$A$306,$I792)=0),"Mã ĐT chưa khai báo! ","")))</f>
        <v/>
      </c>
      <c r="M792" s="117">
        <f>IF($H792="","",IF(AND(OR(LEFT($F792,3)="111",LEFT($F792,3)="112",LEFT($F792,3)="113"),OR(LEFT($G792,3)="111",LEFT($G792,3)="112",LEFT($G792,3)="113")),"NB",IF(OR(LEFT($F792,3)="111",LEFT($F792,3)="112",LEFT($F792,3)="113"),"THU",IF(OR(LEFT($G792,3)="111",LEFT($G792,3)="112",LEFT($G792,3)="113"),"CHI",""))))</f>
        <v/>
      </c>
      <c r="N792" s="117">
        <f>IF($M792="THU",$G792,IF($M792="CHI",$F792,""))</f>
        <v/>
      </c>
      <c r="O792" s="117">
        <f>IF(OR($M792="",$M792="NB"),"",IF($J792&lt;&gt;"",TEXT($J792,"00"),IFERROR(VLOOKUP(LEFT($N792,4),LCTT_MAP!$A$7:$C$66,IF($M792="THU",2,3),FALSE()),IFERROR(VLOOKUP(LEFT($N792,3),LCTT_MAP!$A$7:$C$66,IF($M792="THU",2,3),FALSE()),IFERROR(VLOOKUP(LEFT($N792,2),LCTT_MAP!$A$7:$C$66,IF($M792="THU",2,3),FALSE()),IFERROR(VLOOKUP(LEFT($N792,1),LCTT_MAP!$A$7:$C$66,IF($M792="THU",2,3),FALSE()),IF($M792="THU","06","07")))))))</f>
        <v/>
      </c>
      <c r="P792" s="117">
        <f>P791+IF(AND($H792&lt;&gt;"",OR(LEFT($F792,LEN(SC_TK))=SC_TK,LEFT($G792,LEN(SC_TK))=SC_TK)),1,0)</f>
        <v/>
      </c>
    </row>
    <row r="793" ht="15" customHeight="1" s="78">
      <c r="A793" s="95">
        <f>IF($H793="","",ROW()-6)</f>
        <v/>
      </c>
      <c r="B793" s="114" t="n"/>
      <c r="C793" s="102" t="n"/>
      <c r="D793" s="114" t="n"/>
      <c r="E793" s="103" t="n"/>
      <c r="F793" s="102" t="n"/>
      <c r="G793" s="102" t="n"/>
      <c r="H793" s="115" t="n"/>
      <c r="I793" s="102" t="n"/>
      <c r="J793" s="102" t="n"/>
      <c r="K793" s="103" t="n"/>
      <c r="L793" s="116">
        <f>IF($H793="","",TRIM(IF(COUNTIF(DMTK!$A$7:$A$250,$F793)=0,"TK Nợ sai! ","")&amp;IF(COUNTIF(DMTK!$A$7:$A$250,$G793)=0,"TK Có sai! ","")&amp;IF(N($H793)&lt;=0,"Tiền phải &gt; 0! ","")&amp;IF($B793="","Thiếu ngày! ","")&amp;IF(AND(OR(LEFT($F793,3)="131",LEFT($G793,3)="131",LEFT($F793,3)="331",LEFT($G793,3)="331"),$I793=""),"Thiếu Mã ĐT! ","")&amp;IF(AND($I793&lt;&gt;"",COUNTIF(DM_DT!$A$7:$A$306,$I793)=0),"Mã ĐT chưa khai báo! ","")))</f>
        <v/>
      </c>
      <c r="M793" s="117">
        <f>IF($H793="","",IF(AND(OR(LEFT($F793,3)="111",LEFT($F793,3)="112",LEFT($F793,3)="113"),OR(LEFT($G793,3)="111",LEFT($G793,3)="112",LEFT($G793,3)="113")),"NB",IF(OR(LEFT($F793,3)="111",LEFT($F793,3)="112",LEFT($F793,3)="113"),"THU",IF(OR(LEFT($G793,3)="111",LEFT($G793,3)="112",LEFT($G793,3)="113"),"CHI",""))))</f>
        <v/>
      </c>
      <c r="N793" s="117">
        <f>IF($M793="THU",$G793,IF($M793="CHI",$F793,""))</f>
        <v/>
      </c>
      <c r="O793" s="117">
        <f>IF(OR($M793="",$M793="NB"),"",IF($J793&lt;&gt;"",TEXT($J793,"00"),IFERROR(VLOOKUP(LEFT($N793,4),LCTT_MAP!$A$7:$C$66,IF($M793="THU",2,3),FALSE()),IFERROR(VLOOKUP(LEFT($N793,3),LCTT_MAP!$A$7:$C$66,IF($M793="THU",2,3),FALSE()),IFERROR(VLOOKUP(LEFT($N793,2),LCTT_MAP!$A$7:$C$66,IF($M793="THU",2,3),FALSE()),IFERROR(VLOOKUP(LEFT($N793,1),LCTT_MAP!$A$7:$C$66,IF($M793="THU",2,3),FALSE()),IF($M793="THU","06","07")))))))</f>
        <v/>
      </c>
      <c r="P793" s="117">
        <f>P792+IF(AND($H793&lt;&gt;"",OR(LEFT($F793,LEN(SC_TK))=SC_TK,LEFT($G793,LEN(SC_TK))=SC_TK)),1,0)</f>
        <v/>
      </c>
    </row>
    <row r="794" ht="15" customHeight="1" s="78">
      <c r="A794" s="95">
        <f>IF($H794="","",ROW()-6)</f>
        <v/>
      </c>
      <c r="B794" s="114" t="n"/>
      <c r="C794" s="102" t="n"/>
      <c r="D794" s="114" t="n"/>
      <c r="E794" s="103" t="n"/>
      <c r="F794" s="102" t="n"/>
      <c r="G794" s="102" t="n"/>
      <c r="H794" s="115" t="n"/>
      <c r="I794" s="102" t="n"/>
      <c r="J794" s="102" t="n"/>
      <c r="K794" s="103" t="n"/>
      <c r="L794" s="116">
        <f>IF($H794="","",TRIM(IF(COUNTIF(DMTK!$A$7:$A$250,$F794)=0,"TK Nợ sai! ","")&amp;IF(COUNTIF(DMTK!$A$7:$A$250,$G794)=0,"TK Có sai! ","")&amp;IF(N($H794)&lt;=0,"Tiền phải &gt; 0! ","")&amp;IF($B794="","Thiếu ngày! ","")&amp;IF(AND(OR(LEFT($F794,3)="131",LEFT($G794,3)="131",LEFT($F794,3)="331",LEFT($G794,3)="331"),$I794=""),"Thiếu Mã ĐT! ","")&amp;IF(AND($I794&lt;&gt;"",COUNTIF(DM_DT!$A$7:$A$306,$I794)=0),"Mã ĐT chưa khai báo! ","")))</f>
        <v/>
      </c>
      <c r="M794" s="117">
        <f>IF($H794="","",IF(AND(OR(LEFT($F794,3)="111",LEFT($F794,3)="112",LEFT($F794,3)="113"),OR(LEFT($G794,3)="111",LEFT($G794,3)="112",LEFT($G794,3)="113")),"NB",IF(OR(LEFT($F794,3)="111",LEFT($F794,3)="112",LEFT($F794,3)="113"),"THU",IF(OR(LEFT($G794,3)="111",LEFT($G794,3)="112",LEFT($G794,3)="113"),"CHI",""))))</f>
        <v/>
      </c>
      <c r="N794" s="117">
        <f>IF($M794="THU",$G794,IF($M794="CHI",$F794,""))</f>
        <v/>
      </c>
      <c r="O794" s="117">
        <f>IF(OR($M794="",$M794="NB"),"",IF($J794&lt;&gt;"",TEXT($J794,"00"),IFERROR(VLOOKUP(LEFT($N794,4),LCTT_MAP!$A$7:$C$66,IF($M794="THU",2,3),FALSE()),IFERROR(VLOOKUP(LEFT($N794,3),LCTT_MAP!$A$7:$C$66,IF($M794="THU",2,3),FALSE()),IFERROR(VLOOKUP(LEFT($N794,2),LCTT_MAP!$A$7:$C$66,IF($M794="THU",2,3),FALSE()),IFERROR(VLOOKUP(LEFT($N794,1),LCTT_MAP!$A$7:$C$66,IF($M794="THU",2,3),FALSE()),IF($M794="THU","06","07")))))))</f>
        <v/>
      </c>
      <c r="P794" s="117">
        <f>P793+IF(AND($H794&lt;&gt;"",OR(LEFT($F794,LEN(SC_TK))=SC_TK,LEFT($G794,LEN(SC_TK))=SC_TK)),1,0)</f>
        <v/>
      </c>
    </row>
    <row r="795" ht="15" customHeight="1" s="78">
      <c r="A795" s="95">
        <f>IF($H795="","",ROW()-6)</f>
        <v/>
      </c>
      <c r="B795" s="114" t="n"/>
      <c r="C795" s="102" t="n"/>
      <c r="D795" s="114" t="n"/>
      <c r="E795" s="103" t="n"/>
      <c r="F795" s="102" t="n"/>
      <c r="G795" s="102" t="n"/>
      <c r="H795" s="115" t="n"/>
      <c r="I795" s="102" t="n"/>
      <c r="J795" s="102" t="n"/>
      <c r="K795" s="103" t="n"/>
      <c r="L795" s="116">
        <f>IF($H795="","",TRIM(IF(COUNTIF(DMTK!$A$7:$A$250,$F795)=0,"TK Nợ sai! ","")&amp;IF(COUNTIF(DMTK!$A$7:$A$250,$G795)=0,"TK Có sai! ","")&amp;IF(N($H795)&lt;=0,"Tiền phải &gt; 0! ","")&amp;IF($B795="","Thiếu ngày! ","")&amp;IF(AND(OR(LEFT($F795,3)="131",LEFT($G795,3)="131",LEFT($F795,3)="331",LEFT($G795,3)="331"),$I795=""),"Thiếu Mã ĐT! ","")&amp;IF(AND($I795&lt;&gt;"",COUNTIF(DM_DT!$A$7:$A$306,$I795)=0),"Mã ĐT chưa khai báo! ","")))</f>
        <v/>
      </c>
      <c r="M795" s="117">
        <f>IF($H795="","",IF(AND(OR(LEFT($F795,3)="111",LEFT($F795,3)="112",LEFT($F795,3)="113"),OR(LEFT($G795,3)="111",LEFT($G795,3)="112",LEFT($G795,3)="113")),"NB",IF(OR(LEFT($F795,3)="111",LEFT($F795,3)="112",LEFT($F795,3)="113"),"THU",IF(OR(LEFT($G795,3)="111",LEFT($G795,3)="112",LEFT($G795,3)="113"),"CHI",""))))</f>
        <v/>
      </c>
      <c r="N795" s="117">
        <f>IF($M795="THU",$G795,IF($M795="CHI",$F795,""))</f>
        <v/>
      </c>
      <c r="O795" s="117">
        <f>IF(OR($M795="",$M795="NB"),"",IF($J795&lt;&gt;"",TEXT($J795,"00"),IFERROR(VLOOKUP(LEFT($N795,4),LCTT_MAP!$A$7:$C$66,IF($M795="THU",2,3),FALSE()),IFERROR(VLOOKUP(LEFT($N795,3),LCTT_MAP!$A$7:$C$66,IF($M795="THU",2,3),FALSE()),IFERROR(VLOOKUP(LEFT($N795,2),LCTT_MAP!$A$7:$C$66,IF($M795="THU",2,3),FALSE()),IFERROR(VLOOKUP(LEFT($N795,1),LCTT_MAP!$A$7:$C$66,IF($M795="THU",2,3),FALSE()),IF($M795="THU","06","07")))))))</f>
        <v/>
      </c>
      <c r="P795" s="117">
        <f>P794+IF(AND($H795&lt;&gt;"",OR(LEFT($F795,LEN(SC_TK))=SC_TK,LEFT($G795,LEN(SC_TK))=SC_TK)),1,0)</f>
        <v/>
      </c>
    </row>
    <row r="796" ht="15" customHeight="1" s="78">
      <c r="A796" s="95">
        <f>IF($H796="","",ROW()-6)</f>
        <v/>
      </c>
      <c r="B796" s="114" t="n"/>
      <c r="C796" s="102" t="n"/>
      <c r="D796" s="114" t="n"/>
      <c r="E796" s="103" t="n"/>
      <c r="F796" s="102" t="n"/>
      <c r="G796" s="102" t="n"/>
      <c r="H796" s="115" t="n"/>
      <c r="I796" s="102" t="n"/>
      <c r="J796" s="102" t="n"/>
      <c r="K796" s="103" t="n"/>
      <c r="L796" s="116">
        <f>IF($H796="","",TRIM(IF(COUNTIF(DMTK!$A$7:$A$250,$F796)=0,"TK Nợ sai! ","")&amp;IF(COUNTIF(DMTK!$A$7:$A$250,$G796)=0,"TK Có sai! ","")&amp;IF(N($H796)&lt;=0,"Tiền phải &gt; 0! ","")&amp;IF($B796="","Thiếu ngày! ","")&amp;IF(AND(OR(LEFT($F796,3)="131",LEFT($G796,3)="131",LEFT($F796,3)="331",LEFT($G796,3)="331"),$I796=""),"Thiếu Mã ĐT! ","")&amp;IF(AND($I796&lt;&gt;"",COUNTIF(DM_DT!$A$7:$A$306,$I796)=0),"Mã ĐT chưa khai báo! ","")))</f>
        <v/>
      </c>
      <c r="M796" s="117">
        <f>IF($H796="","",IF(AND(OR(LEFT($F796,3)="111",LEFT($F796,3)="112",LEFT($F796,3)="113"),OR(LEFT($G796,3)="111",LEFT($G796,3)="112",LEFT($G796,3)="113")),"NB",IF(OR(LEFT($F796,3)="111",LEFT($F796,3)="112",LEFT($F796,3)="113"),"THU",IF(OR(LEFT($G796,3)="111",LEFT($G796,3)="112",LEFT($G796,3)="113"),"CHI",""))))</f>
        <v/>
      </c>
      <c r="N796" s="117">
        <f>IF($M796="THU",$G796,IF($M796="CHI",$F796,""))</f>
        <v/>
      </c>
      <c r="O796" s="117">
        <f>IF(OR($M796="",$M796="NB"),"",IF($J796&lt;&gt;"",TEXT($J796,"00"),IFERROR(VLOOKUP(LEFT($N796,4),LCTT_MAP!$A$7:$C$66,IF($M796="THU",2,3),FALSE()),IFERROR(VLOOKUP(LEFT($N796,3),LCTT_MAP!$A$7:$C$66,IF($M796="THU",2,3),FALSE()),IFERROR(VLOOKUP(LEFT($N796,2),LCTT_MAP!$A$7:$C$66,IF($M796="THU",2,3),FALSE()),IFERROR(VLOOKUP(LEFT($N796,1),LCTT_MAP!$A$7:$C$66,IF($M796="THU",2,3),FALSE()),IF($M796="THU","06","07")))))))</f>
        <v/>
      </c>
      <c r="P796" s="117">
        <f>P795+IF(AND($H796&lt;&gt;"",OR(LEFT($F796,LEN(SC_TK))=SC_TK,LEFT($G796,LEN(SC_TK))=SC_TK)),1,0)</f>
        <v/>
      </c>
    </row>
    <row r="797" ht="15" customHeight="1" s="78">
      <c r="A797" s="95">
        <f>IF($H797="","",ROW()-6)</f>
        <v/>
      </c>
      <c r="B797" s="114" t="n"/>
      <c r="C797" s="102" t="n"/>
      <c r="D797" s="114" t="n"/>
      <c r="E797" s="103" t="n"/>
      <c r="F797" s="102" t="n"/>
      <c r="G797" s="102" t="n"/>
      <c r="H797" s="115" t="n"/>
      <c r="I797" s="102" t="n"/>
      <c r="J797" s="102" t="n"/>
      <c r="K797" s="103" t="n"/>
      <c r="L797" s="116">
        <f>IF($H797="","",TRIM(IF(COUNTIF(DMTK!$A$7:$A$250,$F797)=0,"TK Nợ sai! ","")&amp;IF(COUNTIF(DMTK!$A$7:$A$250,$G797)=0,"TK Có sai! ","")&amp;IF(N($H797)&lt;=0,"Tiền phải &gt; 0! ","")&amp;IF($B797="","Thiếu ngày! ","")&amp;IF(AND(OR(LEFT($F797,3)="131",LEFT($G797,3)="131",LEFT($F797,3)="331",LEFT($G797,3)="331"),$I797=""),"Thiếu Mã ĐT! ","")&amp;IF(AND($I797&lt;&gt;"",COUNTIF(DM_DT!$A$7:$A$306,$I797)=0),"Mã ĐT chưa khai báo! ","")))</f>
        <v/>
      </c>
      <c r="M797" s="117">
        <f>IF($H797="","",IF(AND(OR(LEFT($F797,3)="111",LEFT($F797,3)="112",LEFT($F797,3)="113"),OR(LEFT($G797,3)="111",LEFT($G797,3)="112",LEFT($G797,3)="113")),"NB",IF(OR(LEFT($F797,3)="111",LEFT($F797,3)="112",LEFT($F797,3)="113"),"THU",IF(OR(LEFT($G797,3)="111",LEFT($G797,3)="112",LEFT($G797,3)="113"),"CHI",""))))</f>
        <v/>
      </c>
      <c r="N797" s="117">
        <f>IF($M797="THU",$G797,IF($M797="CHI",$F797,""))</f>
        <v/>
      </c>
      <c r="O797" s="117">
        <f>IF(OR($M797="",$M797="NB"),"",IF($J797&lt;&gt;"",TEXT($J797,"00"),IFERROR(VLOOKUP(LEFT($N797,4),LCTT_MAP!$A$7:$C$66,IF($M797="THU",2,3),FALSE()),IFERROR(VLOOKUP(LEFT($N797,3),LCTT_MAP!$A$7:$C$66,IF($M797="THU",2,3),FALSE()),IFERROR(VLOOKUP(LEFT($N797,2),LCTT_MAP!$A$7:$C$66,IF($M797="THU",2,3),FALSE()),IFERROR(VLOOKUP(LEFT($N797,1),LCTT_MAP!$A$7:$C$66,IF($M797="THU",2,3),FALSE()),IF($M797="THU","06","07")))))))</f>
        <v/>
      </c>
      <c r="P797" s="117">
        <f>P796+IF(AND($H797&lt;&gt;"",OR(LEFT($F797,LEN(SC_TK))=SC_TK,LEFT($G797,LEN(SC_TK))=SC_TK)),1,0)</f>
        <v/>
      </c>
    </row>
    <row r="798" ht="15" customHeight="1" s="78">
      <c r="A798" s="95">
        <f>IF($H798="","",ROW()-6)</f>
        <v/>
      </c>
      <c r="B798" s="114" t="n"/>
      <c r="C798" s="102" t="n"/>
      <c r="D798" s="114" t="n"/>
      <c r="E798" s="103" t="n"/>
      <c r="F798" s="102" t="n"/>
      <c r="G798" s="102" t="n"/>
      <c r="H798" s="115" t="n"/>
      <c r="I798" s="102" t="n"/>
      <c r="J798" s="102" t="n"/>
      <c r="K798" s="103" t="n"/>
      <c r="L798" s="116">
        <f>IF($H798="","",TRIM(IF(COUNTIF(DMTK!$A$7:$A$250,$F798)=0,"TK Nợ sai! ","")&amp;IF(COUNTIF(DMTK!$A$7:$A$250,$G798)=0,"TK Có sai! ","")&amp;IF(N($H798)&lt;=0,"Tiền phải &gt; 0! ","")&amp;IF($B798="","Thiếu ngày! ","")&amp;IF(AND(OR(LEFT($F798,3)="131",LEFT($G798,3)="131",LEFT($F798,3)="331",LEFT($G798,3)="331"),$I798=""),"Thiếu Mã ĐT! ","")&amp;IF(AND($I798&lt;&gt;"",COUNTIF(DM_DT!$A$7:$A$306,$I798)=0),"Mã ĐT chưa khai báo! ","")))</f>
        <v/>
      </c>
      <c r="M798" s="117">
        <f>IF($H798="","",IF(AND(OR(LEFT($F798,3)="111",LEFT($F798,3)="112",LEFT($F798,3)="113"),OR(LEFT($G798,3)="111",LEFT($G798,3)="112",LEFT($G798,3)="113")),"NB",IF(OR(LEFT($F798,3)="111",LEFT($F798,3)="112",LEFT($F798,3)="113"),"THU",IF(OR(LEFT($G798,3)="111",LEFT($G798,3)="112",LEFT($G798,3)="113"),"CHI",""))))</f>
        <v/>
      </c>
      <c r="N798" s="117">
        <f>IF($M798="THU",$G798,IF($M798="CHI",$F798,""))</f>
        <v/>
      </c>
      <c r="O798" s="117">
        <f>IF(OR($M798="",$M798="NB"),"",IF($J798&lt;&gt;"",TEXT($J798,"00"),IFERROR(VLOOKUP(LEFT($N798,4),LCTT_MAP!$A$7:$C$66,IF($M798="THU",2,3),FALSE()),IFERROR(VLOOKUP(LEFT($N798,3),LCTT_MAP!$A$7:$C$66,IF($M798="THU",2,3),FALSE()),IFERROR(VLOOKUP(LEFT($N798,2),LCTT_MAP!$A$7:$C$66,IF($M798="THU",2,3),FALSE()),IFERROR(VLOOKUP(LEFT($N798,1),LCTT_MAP!$A$7:$C$66,IF($M798="THU",2,3),FALSE()),IF($M798="THU","06","07")))))))</f>
        <v/>
      </c>
      <c r="P798" s="117">
        <f>P797+IF(AND($H798&lt;&gt;"",OR(LEFT($F798,LEN(SC_TK))=SC_TK,LEFT($G798,LEN(SC_TK))=SC_TK)),1,0)</f>
        <v/>
      </c>
    </row>
    <row r="799" ht="15" customHeight="1" s="78">
      <c r="A799" s="95">
        <f>IF($H799="","",ROW()-6)</f>
        <v/>
      </c>
      <c r="B799" s="114" t="n"/>
      <c r="C799" s="102" t="n"/>
      <c r="D799" s="114" t="n"/>
      <c r="E799" s="103" t="n"/>
      <c r="F799" s="102" t="n"/>
      <c r="G799" s="102" t="n"/>
      <c r="H799" s="115" t="n"/>
      <c r="I799" s="102" t="n"/>
      <c r="J799" s="102" t="n"/>
      <c r="K799" s="103" t="n"/>
      <c r="L799" s="116">
        <f>IF($H799="","",TRIM(IF(COUNTIF(DMTK!$A$7:$A$250,$F799)=0,"TK Nợ sai! ","")&amp;IF(COUNTIF(DMTK!$A$7:$A$250,$G799)=0,"TK Có sai! ","")&amp;IF(N($H799)&lt;=0,"Tiền phải &gt; 0! ","")&amp;IF($B799="","Thiếu ngày! ","")&amp;IF(AND(OR(LEFT($F799,3)="131",LEFT($G799,3)="131",LEFT($F799,3)="331",LEFT($G799,3)="331"),$I799=""),"Thiếu Mã ĐT! ","")&amp;IF(AND($I799&lt;&gt;"",COUNTIF(DM_DT!$A$7:$A$306,$I799)=0),"Mã ĐT chưa khai báo! ","")))</f>
        <v/>
      </c>
      <c r="M799" s="117">
        <f>IF($H799="","",IF(AND(OR(LEFT($F799,3)="111",LEFT($F799,3)="112",LEFT($F799,3)="113"),OR(LEFT($G799,3)="111",LEFT($G799,3)="112",LEFT($G799,3)="113")),"NB",IF(OR(LEFT($F799,3)="111",LEFT($F799,3)="112",LEFT($F799,3)="113"),"THU",IF(OR(LEFT($G799,3)="111",LEFT($G799,3)="112",LEFT($G799,3)="113"),"CHI",""))))</f>
        <v/>
      </c>
      <c r="N799" s="117">
        <f>IF($M799="THU",$G799,IF($M799="CHI",$F799,""))</f>
        <v/>
      </c>
      <c r="O799" s="117">
        <f>IF(OR($M799="",$M799="NB"),"",IF($J799&lt;&gt;"",TEXT($J799,"00"),IFERROR(VLOOKUP(LEFT($N799,4),LCTT_MAP!$A$7:$C$66,IF($M799="THU",2,3),FALSE()),IFERROR(VLOOKUP(LEFT($N799,3),LCTT_MAP!$A$7:$C$66,IF($M799="THU",2,3),FALSE()),IFERROR(VLOOKUP(LEFT($N799,2),LCTT_MAP!$A$7:$C$66,IF($M799="THU",2,3),FALSE()),IFERROR(VLOOKUP(LEFT($N799,1),LCTT_MAP!$A$7:$C$66,IF($M799="THU",2,3),FALSE()),IF($M799="THU","06","07")))))))</f>
        <v/>
      </c>
      <c r="P799" s="117">
        <f>P798+IF(AND($H799&lt;&gt;"",OR(LEFT($F799,LEN(SC_TK))=SC_TK,LEFT($G799,LEN(SC_TK))=SC_TK)),1,0)</f>
        <v/>
      </c>
    </row>
    <row r="800" ht="15" customHeight="1" s="78">
      <c r="A800" s="95">
        <f>IF($H800="","",ROW()-6)</f>
        <v/>
      </c>
      <c r="B800" s="114" t="n"/>
      <c r="C800" s="102" t="n"/>
      <c r="D800" s="114" t="n"/>
      <c r="E800" s="103" t="n"/>
      <c r="F800" s="102" t="n"/>
      <c r="G800" s="102" t="n"/>
      <c r="H800" s="115" t="n"/>
      <c r="I800" s="102" t="n"/>
      <c r="J800" s="102" t="n"/>
      <c r="K800" s="103" t="n"/>
      <c r="L800" s="116">
        <f>IF($H800="","",TRIM(IF(COUNTIF(DMTK!$A$7:$A$250,$F800)=0,"TK Nợ sai! ","")&amp;IF(COUNTIF(DMTK!$A$7:$A$250,$G800)=0,"TK Có sai! ","")&amp;IF(N($H800)&lt;=0,"Tiền phải &gt; 0! ","")&amp;IF($B800="","Thiếu ngày! ","")&amp;IF(AND(OR(LEFT($F800,3)="131",LEFT($G800,3)="131",LEFT($F800,3)="331",LEFT($G800,3)="331"),$I800=""),"Thiếu Mã ĐT! ","")&amp;IF(AND($I800&lt;&gt;"",COUNTIF(DM_DT!$A$7:$A$306,$I800)=0),"Mã ĐT chưa khai báo! ","")))</f>
        <v/>
      </c>
      <c r="M800" s="117">
        <f>IF($H800="","",IF(AND(OR(LEFT($F800,3)="111",LEFT($F800,3)="112",LEFT($F800,3)="113"),OR(LEFT($G800,3)="111",LEFT($G800,3)="112",LEFT($G800,3)="113")),"NB",IF(OR(LEFT($F800,3)="111",LEFT($F800,3)="112",LEFT($F800,3)="113"),"THU",IF(OR(LEFT($G800,3)="111",LEFT($G800,3)="112",LEFT($G800,3)="113"),"CHI",""))))</f>
        <v/>
      </c>
      <c r="N800" s="117">
        <f>IF($M800="THU",$G800,IF($M800="CHI",$F800,""))</f>
        <v/>
      </c>
      <c r="O800" s="117">
        <f>IF(OR($M800="",$M800="NB"),"",IF($J800&lt;&gt;"",TEXT($J800,"00"),IFERROR(VLOOKUP(LEFT($N800,4),LCTT_MAP!$A$7:$C$66,IF($M800="THU",2,3),FALSE()),IFERROR(VLOOKUP(LEFT($N800,3),LCTT_MAP!$A$7:$C$66,IF($M800="THU",2,3),FALSE()),IFERROR(VLOOKUP(LEFT($N800,2),LCTT_MAP!$A$7:$C$66,IF($M800="THU",2,3),FALSE()),IFERROR(VLOOKUP(LEFT($N800,1),LCTT_MAP!$A$7:$C$66,IF($M800="THU",2,3),FALSE()),IF($M800="THU","06","07")))))))</f>
        <v/>
      </c>
      <c r="P800" s="117">
        <f>P799+IF(AND($H800&lt;&gt;"",OR(LEFT($F800,LEN(SC_TK))=SC_TK,LEFT($G800,LEN(SC_TK))=SC_TK)),1,0)</f>
        <v/>
      </c>
    </row>
    <row r="801" ht="15" customHeight="1" s="78">
      <c r="A801" s="95">
        <f>IF($H801="","",ROW()-6)</f>
        <v/>
      </c>
      <c r="B801" s="114" t="n"/>
      <c r="C801" s="102" t="n"/>
      <c r="D801" s="114" t="n"/>
      <c r="E801" s="103" t="n"/>
      <c r="F801" s="102" t="n"/>
      <c r="G801" s="102" t="n"/>
      <c r="H801" s="115" t="n"/>
      <c r="I801" s="102" t="n"/>
      <c r="J801" s="102" t="n"/>
      <c r="K801" s="103" t="n"/>
      <c r="L801" s="116">
        <f>IF($H801="","",TRIM(IF(COUNTIF(DMTK!$A$7:$A$250,$F801)=0,"TK Nợ sai! ","")&amp;IF(COUNTIF(DMTK!$A$7:$A$250,$G801)=0,"TK Có sai! ","")&amp;IF(N($H801)&lt;=0,"Tiền phải &gt; 0! ","")&amp;IF($B801="","Thiếu ngày! ","")&amp;IF(AND(OR(LEFT($F801,3)="131",LEFT($G801,3)="131",LEFT($F801,3)="331",LEFT($G801,3)="331"),$I801=""),"Thiếu Mã ĐT! ","")&amp;IF(AND($I801&lt;&gt;"",COUNTIF(DM_DT!$A$7:$A$306,$I801)=0),"Mã ĐT chưa khai báo! ","")))</f>
        <v/>
      </c>
      <c r="M801" s="117">
        <f>IF($H801="","",IF(AND(OR(LEFT($F801,3)="111",LEFT($F801,3)="112",LEFT($F801,3)="113"),OR(LEFT($G801,3)="111",LEFT($G801,3)="112",LEFT($G801,3)="113")),"NB",IF(OR(LEFT($F801,3)="111",LEFT($F801,3)="112",LEFT($F801,3)="113"),"THU",IF(OR(LEFT($G801,3)="111",LEFT($G801,3)="112",LEFT($G801,3)="113"),"CHI",""))))</f>
        <v/>
      </c>
      <c r="N801" s="117">
        <f>IF($M801="THU",$G801,IF($M801="CHI",$F801,""))</f>
        <v/>
      </c>
      <c r="O801" s="117">
        <f>IF(OR($M801="",$M801="NB"),"",IF($J801&lt;&gt;"",TEXT($J801,"00"),IFERROR(VLOOKUP(LEFT($N801,4),LCTT_MAP!$A$7:$C$66,IF($M801="THU",2,3),FALSE()),IFERROR(VLOOKUP(LEFT($N801,3),LCTT_MAP!$A$7:$C$66,IF($M801="THU",2,3),FALSE()),IFERROR(VLOOKUP(LEFT($N801,2),LCTT_MAP!$A$7:$C$66,IF($M801="THU",2,3),FALSE()),IFERROR(VLOOKUP(LEFT($N801,1),LCTT_MAP!$A$7:$C$66,IF($M801="THU",2,3),FALSE()),IF($M801="THU","06","07")))))))</f>
        <v/>
      </c>
      <c r="P801" s="117">
        <f>P800+IF(AND($H801&lt;&gt;"",OR(LEFT($F801,LEN(SC_TK))=SC_TK,LEFT($G801,LEN(SC_TK))=SC_TK)),1,0)</f>
        <v/>
      </c>
    </row>
    <row r="802" ht="15" customHeight="1" s="78">
      <c r="A802" s="95">
        <f>IF($H802="","",ROW()-6)</f>
        <v/>
      </c>
      <c r="B802" s="114" t="n"/>
      <c r="C802" s="102" t="n"/>
      <c r="D802" s="114" t="n"/>
      <c r="E802" s="103" t="n"/>
      <c r="F802" s="102" t="n"/>
      <c r="G802" s="102" t="n"/>
      <c r="H802" s="115" t="n"/>
      <c r="I802" s="102" t="n"/>
      <c r="J802" s="102" t="n"/>
      <c r="K802" s="103" t="n"/>
      <c r="L802" s="116">
        <f>IF($H802="","",TRIM(IF(COUNTIF(DMTK!$A$7:$A$250,$F802)=0,"TK Nợ sai! ","")&amp;IF(COUNTIF(DMTK!$A$7:$A$250,$G802)=0,"TK Có sai! ","")&amp;IF(N($H802)&lt;=0,"Tiền phải &gt; 0! ","")&amp;IF($B802="","Thiếu ngày! ","")&amp;IF(AND(OR(LEFT($F802,3)="131",LEFT($G802,3)="131",LEFT($F802,3)="331",LEFT($G802,3)="331"),$I802=""),"Thiếu Mã ĐT! ","")&amp;IF(AND($I802&lt;&gt;"",COUNTIF(DM_DT!$A$7:$A$306,$I802)=0),"Mã ĐT chưa khai báo! ","")))</f>
        <v/>
      </c>
      <c r="M802" s="117">
        <f>IF($H802="","",IF(AND(OR(LEFT($F802,3)="111",LEFT($F802,3)="112",LEFT($F802,3)="113"),OR(LEFT($G802,3)="111",LEFT($G802,3)="112",LEFT($G802,3)="113")),"NB",IF(OR(LEFT($F802,3)="111",LEFT($F802,3)="112",LEFT($F802,3)="113"),"THU",IF(OR(LEFT($G802,3)="111",LEFT($G802,3)="112",LEFT($G802,3)="113"),"CHI",""))))</f>
        <v/>
      </c>
      <c r="N802" s="117">
        <f>IF($M802="THU",$G802,IF($M802="CHI",$F802,""))</f>
        <v/>
      </c>
      <c r="O802" s="117">
        <f>IF(OR($M802="",$M802="NB"),"",IF($J802&lt;&gt;"",TEXT($J802,"00"),IFERROR(VLOOKUP(LEFT($N802,4),LCTT_MAP!$A$7:$C$66,IF($M802="THU",2,3),FALSE()),IFERROR(VLOOKUP(LEFT($N802,3),LCTT_MAP!$A$7:$C$66,IF($M802="THU",2,3),FALSE()),IFERROR(VLOOKUP(LEFT($N802,2),LCTT_MAP!$A$7:$C$66,IF($M802="THU",2,3),FALSE()),IFERROR(VLOOKUP(LEFT($N802,1),LCTT_MAP!$A$7:$C$66,IF($M802="THU",2,3),FALSE()),IF($M802="THU","06","07")))))))</f>
        <v/>
      </c>
      <c r="P802" s="117">
        <f>P801+IF(AND($H802&lt;&gt;"",OR(LEFT($F802,LEN(SC_TK))=SC_TK,LEFT($G802,LEN(SC_TK))=SC_TK)),1,0)</f>
        <v/>
      </c>
    </row>
    <row r="803" ht="15" customHeight="1" s="78">
      <c r="A803" s="95">
        <f>IF($H803="","",ROW()-6)</f>
        <v/>
      </c>
      <c r="B803" s="114" t="n"/>
      <c r="C803" s="102" t="n"/>
      <c r="D803" s="114" t="n"/>
      <c r="E803" s="103" t="n"/>
      <c r="F803" s="102" t="n"/>
      <c r="G803" s="102" t="n"/>
      <c r="H803" s="115" t="n"/>
      <c r="I803" s="102" t="n"/>
      <c r="J803" s="102" t="n"/>
      <c r="K803" s="103" t="n"/>
      <c r="L803" s="116">
        <f>IF($H803="","",TRIM(IF(COUNTIF(DMTK!$A$7:$A$250,$F803)=0,"TK Nợ sai! ","")&amp;IF(COUNTIF(DMTK!$A$7:$A$250,$G803)=0,"TK Có sai! ","")&amp;IF(N($H803)&lt;=0,"Tiền phải &gt; 0! ","")&amp;IF($B803="","Thiếu ngày! ","")&amp;IF(AND(OR(LEFT($F803,3)="131",LEFT($G803,3)="131",LEFT($F803,3)="331",LEFT($G803,3)="331"),$I803=""),"Thiếu Mã ĐT! ","")&amp;IF(AND($I803&lt;&gt;"",COUNTIF(DM_DT!$A$7:$A$306,$I803)=0),"Mã ĐT chưa khai báo! ","")))</f>
        <v/>
      </c>
      <c r="M803" s="117">
        <f>IF($H803="","",IF(AND(OR(LEFT($F803,3)="111",LEFT($F803,3)="112",LEFT($F803,3)="113"),OR(LEFT($G803,3)="111",LEFT($G803,3)="112",LEFT($G803,3)="113")),"NB",IF(OR(LEFT($F803,3)="111",LEFT($F803,3)="112",LEFT($F803,3)="113"),"THU",IF(OR(LEFT($G803,3)="111",LEFT($G803,3)="112",LEFT($G803,3)="113"),"CHI",""))))</f>
        <v/>
      </c>
      <c r="N803" s="117">
        <f>IF($M803="THU",$G803,IF($M803="CHI",$F803,""))</f>
        <v/>
      </c>
      <c r="O803" s="117">
        <f>IF(OR($M803="",$M803="NB"),"",IF($J803&lt;&gt;"",TEXT($J803,"00"),IFERROR(VLOOKUP(LEFT($N803,4),LCTT_MAP!$A$7:$C$66,IF($M803="THU",2,3),FALSE()),IFERROR(VLOOKUP(LEFT($N803,3),LCTT_MAP!$A$7:$C$66,IF($M803="THU",2,3),FALSE()),IFERROR(VLOOKUP(LEFT($N803,2),LCTT_MAP!$A$7:$C$66,IF($M803="THU",2,3),FALSE()),IFERROR(VLOOKUP(LEFT($N803,1),LCTT_MAP!$A$7:$C$66,IF($M803="THU",2,3),FALSE()),IF($M803="THU","06","07")))))))</f>
        <v/>
      </c>
      <c r="P803" s="117">
        <f>P802+IF(AND($H803&lt;&gt;"",OR(LEFT($F803,LEN(SC_TK))=SC_TK,LEFT($G803,LEN(SC_TK))=SC_TK)),1,0)</f>
        <v/>
      </c>
    </row>
    <row r="804" ht="15" customHeight="1" s="78">
      <c r="A804" s="95">
        <f>IF($H804="","",ROW()-6)</f>
        <v/>
      </c>
      <c r="B804" s="114" t="n"/>
      <c r="C804" s="102" t="n"/>
      <c r="D804" s="114" t="n"/>
      <c r="E804" s="103" t="n"/>
      <c r="F804" s="102" t="n"/>
      <c r="G804" s="102" t="n"/>
      <c r="H804" s="115" t="n"/>
      <c r="I804" s="102" t="n"/>
      <c r="J804" s="102" t="n"/>
      <c r="K804" s="103" t="n"/>
      <c r="L804" s="116">
        <f>IF($H804="","",TRIM(IF(COUNTIF(DMTK!$A$7:$A$250,$F804)=0,"TK Nợ sai! ","")&amp;IF(COUNTIF(DMTK!$A$7:$A$250,$G804)=0,"TK Có sai! ","")&amp;IF(N($H804)&lt;=0,"Tiền phải &gt; 0! ","")&amp;IF($B804="","Thiếu ngày! ","")&amp;IF(AND(OR(LEFT($F804,3)="131",LEFT($G804,3)="131",LEFT($F804,3)="331",LEFT($G804,3)="331"),$I804=""),"Thiếu Mã ĐT! ","")&amp;IF(AND($I804&lt;&gt;"",COUNTIF(DM_DT!$A$7:$A$306,$I804)=0),"Mã ĐT chưa khai báo! ","")))</f>
        <v/>
      </c>
      <c r="M804" s="117">
        <f>IF($H804="","",IF(AND(OR(LEFT($F804,3)="111",LEFT($F804,3)="112",LEFT($F804,3)="113"),OR(LEFT($G804,3)="111",LEFT($G804,3)="112",LEFT($G804,3)="113")),"NB",IF(OR(LEFT($F804,3)="111",LEFT($F804,3)="112",LEFT($F804,3)="113"),"THU",IF(OR(LEFT($G804,3)="111",LEFT($G804,3)="112",LEFT($G804,3)="113"),"CHI",""))))</f>
        <v/>
      </c>
      <c r="N804" s="117">
        <f>IF($M804="THU",$G804,IF($M804="CHI",$F804,""))</f>
        <v/>
      </c>
      <c r="O804" s="117">
        <f>IF(OR($M804="",$M804="NB"),"",IF($J804&lt;&gt;"",TEXT($J804,"00"),IFERROR(VLOOKUP(LEFT($N804,4),LCTT_MAP!$A$7:$C$66,IF($M804="THU",2,3),FALSE()),IFERROR(VLOOKUP(LEFT($N804,3),LCTT_MAP!$A$7:$C$66,IF($M804="THU",2,3),FALSE()),IFERROR(VLOOKUP(LEFT($N804,2),LCTT_MAP!$A$7:$C$66,IF($M804="THU",2,3),FALSE()),IFERROR(VLOOKUP(LEFT($N804,1),LCTT_MAP!$A$7:$C$66,IF($M804="THU",2,3),FALSE()),IF($M804="THU","06","07")))))))</f>
        <v/>
      </c>
      <c r="P804" s="117">
        <f>P803+IF(AND($H804&lt;&gt;"",OR(LEFT($F804,LEN(SC_TK))=SC_TK,LEFT($G804,LEN(SC_TK))=SC_TK)),1,0)</f>
        <v/>
      </c>
    </row>
    <row r="805" ht="15" customHeight="1" s="78">
      <c r="A805" s="95">
        <f>IF($H805="","",ROW()-6)</f>
        <v/>
      </c>
      <c r="B805" s="114" t="n"/>
      <c r="C805" s="102" t="n"/>
      <c r="D805" s="114" t="n"/>
      <c r="E805" s="103" t="n"/>
      <c r="F805" s="102" t="n"/>
      <c r="G805" s="102" t="n"/>
      <c r="H805" s="115" t="n"/>
      <c r="I805" s="102" t="n"/>
      <c r="J805" s="102" t="n"/>
      <c r="K805" s="103" t="n"/>
      <c r="L805" s="116">
        <f>IF($H805="","",TRIM(IF(COUNTIF(DMTK!$A$7:$A$250,$F805)=0,"TK Nợ sai! ","")&amp;IF(COUNTIF(DMTK!$A$7:$A$250,$G805)=0,"TK Có sai! ","")&amp;IF(N($H805)&lt;=0,"Tiền phải &gt; 0! ","")&amp;IF($B805="","Thiếu ngày! ","")&amp;IF(AND(OR(LEFT($F805,3)="131",LEFT($G805,3)="131",LEFT($F805,3)="331",LEFT($G805,3)="331"),$I805=""),"Thiếu Mã ĐT! ","")&amp;IF(AND($I805&lt;&gt;"",COUNTIF(DM_DT!$A$7:$A$306,$I805)=0),"Mã ĐT chưa khai báo! ","")))</f>
        <v/>
      </c>
      <c r="M805" s="117">
        <f>IF($H805="","",IF(AND(OR(LEFT($F805,3)="111",LEFT($F805,3)="112",LEFT($F805,3)="113"),OR(LEFT($G805,3)="111",LEFT($G805,3)="112",LEFT($G805,3)="113")),"NB",IF(OR(LEFT($F805,3)="111",LEFT($F805,3)="112",LEFT($F805,3)="113"),"THU",IF(OR(LEFT($G805,3)="111",LEFT($G805,3)="112",LEFT($G805,3)="113"),"CHI",""))))</f>
        <v/>
      </c>
      <c r="N805" s="117">
        <f>IF($M805="THU",$G805,IF($M805="CHI",$F805,""))</f>
        <v/>
      </c>
      <c r="O805" s="117">
        <f>IF(OR($M805="",$M805="NB"),"",IF($J805&lt;&gt;"",TEXT($J805,"00"),IFERROR(VLOOKUP(LEFT($N805,4),LCTT_MAP!$A$7:$C$66,IF($M805="THU",2,3),FALSE()),IFERROR(VLOOKUP(LEFT($N805,3),LCTT_MAP!$A$7:$C$66,IF($M805="THU",2,3),FALSE()),IFERROR(VLOOKUP(LEFT($N805,2),LCTT_MAP!$A$7:$C$66,IF($M805="THU",2,3),FALSE()),IFERROR(VLOOKUP(LEFT($N805,1),LCTT_MAP!$A$7:$C$66,IF($M805="THU",2,3),FALSE()),IF($M805="THU","06","07")))))))</f>
        <v/>
      </c>
      <c r="P805" s="117">
        <f>P804+IF(AND($H805&lt;&gt;"",OR(LEFT($F805,LEN(SC_TK))=SC_TK,LEFT($G805,LEN(SC_TK))=SC_TK)),1,0)</f>
        <v/>
      </c>
    </row>
    <row r="806" ht="15" customHeight="1" s="78">
      <c r="A806" s="95">
        <f>IF($H806="","",ROW()-6)</f>
        <v/>
      </c>
      <c r="B806" s="114" t="n"/>
      <c r="C806" s="102" t="n"/>
      <c r="D806" s="114" t="n"/>
      <c r="E806" s="103" t="n"/>
      <c r="F806" s="102" t="n"/>
      <c r="G806" s="102" t="n"/>
      <c r="H806" s="115" t="n"/>
      <c r="I806" s="102" t="n"/>
      <c r="J806" s="102" t="n"/>
      <c r="K806" s="103" t="n"/>
      <c r="L806" s="116">
        <f>IF($H806="","",TRIM(IF(COUNTIF(DMTK!$A$7:$A$250,$F806)=0,"TK Nợ sai! ","")&amp;IF(COUNTIF(DMTK!$A$7:$A$250,$G806)=0,"TK Có sai! ","")&amp;IF(N($H806)&lt;=0,"Tiền phải &gt; 0! ","")&amp;IF($B806="","Thiếu ngày! ","")&amp;IF(AND(OR(LEFT($F806,3)="131",LEFT($G806,3)="131",LEFT($F806,3)="331",LEFT($G806,3)="331"),$I806=""),"Thiếu Mã ĐT! ","")&amp;IF(AND($I806&lt;&gt;"",COUNTIF(DM_DT!$A$7:$A$306,$I806)=0),"Mã ĐT chưa khai báo! ","")))</f>
        <v/>
      </c>
      <c r="M806" s="117">
        <f>IF($H806="","",IF(AND(OR(LEFT($F806,3)="111",LEFT($F806,3)="112",LEFT($F806,3)="113"),OR(LEFT($G806,3)="111",LEFT($G806,3)="112",LEFT($G806,3)="113")),"NB",IF(OR(LEFT($F806,3)="111",LEFT($F806,3)="112",LEFT($F806,3)="113"),"THU",IF(OR(LEFT($G806,3)="111",LEFT($G806,3)="112",LEFT($G806,3)="113"),"CHI",""))))</f>
        <v/>
      </c>
      <c r="N806" s="117">
        <f>IF($M806="THU",$G806,IF($M806="CHI",$F806,""))</f>
        <v/>
      </c>
      <c r="O806" s="117">
        <f>IF(OR($M806="",$M806="NB"),"",IF($J806&lt;&gt;"",TEXT($J806,"00"),IFERROR(VLOOKUP(LEFT($N806,4),LCTT_MAP!$A$7:$C$66,IF($M806="THU",2,3),FALSE()),IFERROR(VLOOKUP(LEFT($N806,3),LCTT_MAP!$A$7:$C$66,IF($M806="THU",2,3),FALSE()),IFERROR(VLOOKUP(LEFT($N806,2),LCTT_MAP!$A$7:$C$66,IF($M806="THU",2,3),FALSE()),IFERROR(VLOOKUP(LEFT($N806,1),LCTT_MAP!$A$7:$C$66,IF($M806="THU",2,3),FALSE()),IF($M806="THU","06","07")))))))</f>
        <v/>
      </c>
      <c r="P806" s="117">
        <f>P805+IF(AND($H806&lt;&gt;"",OR(LEFT($F806,LEN(SC_TK))=SC_TK,LEFT($G806,LEN(SC_TK))=SC_TK)),1,0)</f>
        <v/>
      </c>
    </row>
    <row r="807" ht="15" customHeight="1" s="78">
      <c r="A807" s="95">
        <f>IF($H807="","",ROW()-6)</f>
        <v/>
      </c>
      <c r="B807" s="114" t="n"/>
      <c r="C807" s="102" t="n"/>
      <c r="D807" s="114" t="n"/>
      <c r="E807" s="103" t="n"/>
      <c r="F807" s="102" t="n"/>
      <c r="G807" s="102" t="n"/>
      <c r="H807" s="115" t="n"/>
      <c r="I807" s="102" t="n"/>
      <c r="J807" s="102" t="n"/>
      <c r="K807" s="103" t="n"/>
      <c r="L807" s="116">
        <f>IF($H807="","",TRIM(IF(COUNTIF(DMTK!$A$7:$A$250,$F807)=0,"TK Nợ sai! ","")&amp;IF(COUNTIF(DMTK!$A$7:$A$250,$G807)=0,"TK Có sai! ","")&amp;IF(N($H807)&lt;=0,"Tiền phải &gt; 0! ","")&amp;IF($B807="","Thiếu ngày! ","")&amp;IF(AND(OR(LEFT($F807,3)="131",LEFT($G807,3)="131",LEFT($F807,3)="331",LEFT($G807,3)="331"),$I807=""),"Thiếu Mã ĐT! ","")&amp;IF(AND($I807&lt;&gt;"",COUNTIF(DM_DT!$A$7:$A$306,$I807)=0),"Mã ĐT chưa khai báo! ","")))</f>
        <v/>
      </c>
      <c r="M807" s="117">
        <f>IF($H807="","",IF(AND(OR(LEFT($F807,3)="111",LEFT($F807,3)="112",LEFT($F807,3)="113"),OR(LEFT($G807,3)="111",LEFT($G807,3)="112",LEFT($G807,3)="113")),"NB",IF(OR(LEFT($F807,3)="111",LEFT($F807,3)="112",LEFT($F807,3)="113"),"THU",IF(OR(LEFT($G807,3)="111",LEFT($G807,3)="112",LEFT($G807,3)="113"),"CHI",""))))</f>
        <v/>
      </c>
      <c r="N807" s="117">
        <f>IF($M807="THU",$G807,IF($M807="CHI",$F807,""))</f>
        <v/>
      </c>
      <c r="O807" s="117">
        <f>IF(OR($M807="",$M807="NB"),"",IF($J807&lt;&gt;"",TEXT($J807,"00"),IFERROR(VLOOKUP(LEFT($N807,4),LCTT_MAP!$A$7:$C$66,IF($M807="THU",2,3),FALSE()),IFERROR(VLOOKUP(LEFT($N807,3),LCTT_MAP!$A$7:$C$66,IF($M807="THU",2,3),FALSE()),IFERROR(VLOOKUP(LEFT($N807,2),LCTT_MAP!$A$7:$C$66,IF($M807="THU",2,3),FALSE()),IFERROR(VLOOKUP(LEFT($N807,1),LCTT_MAP!$A$7:$C$66,IF($M807="THU",2,3),FALSE()),IF($M807="THU","06","07")))))))</f>
        <v/>
      </c>
      <c r="P807" s="117">
        <f>P806+IF(AND($H807&lt;&gt;"",OR(LEFT($F807,LEN(SC_TK))=SC_TK,LEFT($G807,LEN(SC_TK))=SC_TK)),1,0)</f>
        <v/>
      </c>
    </row>
    <row r="808" ht="15" customHeight="1" s="78">
      <c r="A808" s="95">
        <f>IF($H808="","",ROW()-6)</f>
        <v/>
      </c>
      <c r="B808" s="114" t="n"/>
      <c r="C808" s="102" t="n"/>
      <c r="D808" s="114" t="n"/>
      <c r="E808" s="103" t="n"/>
      <c r="F808" s="102" t="n"/>
      <c r="G808" s="102" t="n"/>
      <c r="H808" s="115" t="n"/>
      <c r="I808" s="102" t="n"/>
      <c r="J808" s="102" t="n"/>
      <c r="K808" s="103" t="n"/>
      <c r="L808" s="116">
        <f>IF($H808="","",TRIM(IF(COUNTIF(DMTK!$A$7:$A$250,$F808)=0,"TK Nợ sai! ","")&amp;IF(COUNTIF(DMTK!$A$7:$A$250,$G808)=0,"TK Có sai! ","")&amp;IF(N($H808)&lt;=0,"Tiền phải &gt; 0! ","")&amp;IF($B808="","Thiếu ngày! ","")&amp;IF(AND(OR(LEFT($F808,3)="131",LEFT($G808,3)="131",LEFT($F808,3)="331",LEFT($G808,3)="331"),$I808=""),"Thiếu Mã ĐT! ","")&amp;IF(AND($I808&lt;&gt;"",COUNTIF(DM_DT!$A$7:$A$306,$I808)=0),"Mã ĐT chưa khai báo! ","")))</f>
        <v/>
      </c>
      <c r="M808" s="117">
        <f>IF($H808="","",IF(AND(OR(LEFT($F808,3)="111",LEFT($F808,3)="112",LEFT($F808,3)="113"),OR(LEFT($G808,3)="111",LEFT($G808,3)="112",LEFT($G808,3)="113")),"NB",IF(OR(LEFT($F808,3)="111",LEFT($F808,3)="112",LEFT($F808,3)="113"),"THU",IF(OR(LEFT($G808,3)="111",LEFT($G808,3)="112",LEFT($G808,3)="113"),"CHI",""))))</f>
        <v/>
      </c>
      <c r="N808" s="117">
        <f>IF($M808="THU",$G808,IF($M808="CHI",$F808,""))</f>
        <v/>
      </c>
      <c r="O808" s="117">
        <f>IF(OR($M808="",$M808="NB"),"",IF($J808&lt;&gt;"",TEXT($J808,"00"),IFERROR(VLOOKUP(LEFT($N808,4),LCTT_MAP!$A$7:$C$66,IF($M808="THU",2,3),FALSE()),IFERROR(VLOOKUP(LEFT($N808,3),LCTT_MAP!$A$7:$C$66,IF($M808="THU",2,3),FALSE()),IFERROR(VLOOKUP(LEFT($N808,2),LCTT_MAP!$A$7:$C$66,IF($M808="THU",2,3),FALSE()),IFERROR(VLOOKUP(LEFT($N808,1),LCTT_MAP!$A$7:$C$66,IF($M808="THU",2,3),FALSE()),IF($M808="THU","06","07")))))))</f>
        <v/>
      </c>
      <c r="P808" s="117">
        <f>P807+IF(AND($H808&lt;&gt;"",OR(LEFT($F808,LEN(SC_TK))=SC_TK,LEFT($G808,LEN(SC_TK))=SC_TK)),1,0)</f>
        <v/>
      </c>
    </row>
    <row r="809" ht="15" customHeight="1" s="78">
      <c r="A809" s="95">
        <f>IF($H809="","",ROW()-6)</f>
        <v/>
      </c>
      <c r="B809" s="114" t="n"/>
      <c r="C809" s="102" t="n"/>
      <c r="D809" s="114" t="n"/>
      <c r="E809" s="103" t="n"/>
      <c r="F809" s="102" t="n"/>
      <c r="G809" s="102" t="n"/>
      <c r="H809" s="115" t="n"/>
      <c r="I809" s="102" t="n"/>
      <c r="J809" s="102" t="n"/>
      <c r="K809" s="103" t="n"/>
      <c r="L809" s="116">
        <f>IF($H809="","",TRIM(IF(COUNTIF(DMTK!$A$7:$A$250,$F809)=0,"TK Nợ sai! ","")&amp;IF(COUNTIF(DMTK!$A$7:$A$250,$G809)=0,"TK Có sai! ","")&amp;IF(N($H809)&lt;=0,"Tiền phải &gt; 0! ","")&amp;IF($B809="","Thiếu ngày! ","")&amp;IF(AND(OR(LEFT($F809,3)="131",LEFT($G809,3)="131",LEFT($F809,3)="331",LEFT($G809,3)="331"),$I809=""),"Thiếu Mã ĐT! ","")&amp;IF(AND($I809&lt;&gt;"",COUNTIF(DM_DT!$A$7:$A$306,$I809)=0),"Mã ĐT chưa khai báo! ","")))</f>
        <v/>
      </c>
      <c r="M809" s="117">
        <f>IF($H809="","",IF(AND(OR(LEFT($F809,3)="111",LEFT($F809,3)="112",LEFT($F809,3)="113"),OR(LEFT($G809,3)="111",LEFT($G809,3)="112",LEFT($G809,3)="113")),"NB",IF(OR(LEFT($F809,3)="111",LEFT($F809,3)="112",LEFT($F809,3)="113"),"THU",IF(OR(LEFT($G809,3)="111",LEFT($G809,3)="112",LEFT($G809,3)="113"),"CHI",""))))</f>
        <v/>
      </c>
      <c r="N809" s="117">
        <f>IF($M809="THU",$G809,IF($M809="CHI",$F809,""))</f>
        <v/>
      </c>
      <c r="O809" s="117">
        <f>IF(OR($M809="",$M809="NB"),"",IF($J809&lt;&gt;"",TEXT($J809,"00"),IFERROR(VLOOKUP(LEFT($N809,4),LCTT_MAP!$A$7:$C$66,IF($M809="THU",2,3),FALSE()),IFERROR(VLOOKUP(LEFT($N809,3),LCTT_MAP!$A$7:$C$66,IF($M809="THU",2,3),FALSE()),IFERROR(VLOOKUP(LEFT($N809,2),LCTT_MAP!$A$7:$C$66,IF($M809="THU",2,3),FALSE()),IFERROR(VLOOKUP(LEFT($N809,1),LCTT_MAP!$A$7:$C$66,IF($M809="THU",2,3),FALSE()),IF($M809="THU","06","07")))))))</f>
        <v/>
      </c>
      <c r="P809" s="117">
        <f>P808+IF(AND($H809&lt;&gt;"",OR(LEFT($F809,LEN(SC_TK))=SC_TK,LEFT($G809,LEN(SC_TK))=SC_TK)),1,0)</f>
        <v/>
      </c>
    </row>
    <row r="810" ht="15" customHeight="1" s="78">
      <c r="A810" s="95">
        <f>IF($H810="","",ROW()-6)</f>
        <v/>
      </c>
      <c r="B810" s="114" t="n"/>
      <c r="C810" s="102" t="n"/>
      <c r="D810" s="114" t="n"/>
      <c r="E810" s="103" t="n"/>
      <c r="F810" s="102" t="n"/>
      <c r="G810" s="102" t="n"/>
      <c r="H810" s="115" t="n"/>
      <c r="I810" s="102" t="n"/>
      <c r="J810" s="102" t="n"/>
      <c r="K810" s="103" t="n"/>
      <c r="L810" s="116">
        <f>IF($H810="","",TRIM(IF(COUNTIF(DMTK!$A$7:$A$250,$F810)=0,"TK Nợ sai! ","")&amp;IF(COUNTIF(DMTK!$A$7:$A$250,$G810)=0,"TK Có sai! ","")&amp;IF(N($H810)&lt;=0,"Tiền phải &gt; 0! ","")&amp;IF($B810="","Thiếu ngày! ","")&amp;IF(AND(OR(LEFT($F810,3)="131",LEFT($G810,3)="131",LEFT($F810,3)="331",LEFT($G810,3)="331"),$I810=""),"Thiếu Mã ĐT! ","")&amp;IF(AND($I810&lt;&gt;"",COUNTIF(DM_DT!$A$7:$A$306,$I810)=0),"Mã ĐT chưa khai báo! ","")))</f>
        <v/>
      </c>
      <c r="M810" s="117">
        <f>IF($H810="","",IF(AND(OR(LEFT($F810,3)="111",LEFT($F810,3)="112",LEFT($F810,3)="113"),OR(LEFT($G810,3)="111",LEFT($G810,3)="112",LEFT($G810,3)="113")),"NB",IF(OR(LEFT($F810,3)="111",LEFT($F810,3)="112",LEFT($F810,3)="113"),"THU",IF(OR(LEFT($G810,3)="111",LEFT($G810,3)="112",LEFT($G810,3)="113"),"CHI",""))))</f>
        <v/>
      </c>
      <c r="N810" s="117">
        <f>IF($M810="THU",$G810,IF($M810="CHI",$F810,""))</f>
        <v/>
      </c>
      <c r="O810" s="117">
        <f>IF(OR($M810="",$M810="NB"),"",IF($J810&lt;&gt;"",TEXT($J810,"00"),IFERROR(VLOOKUP(LEFT($N810,4),LCTT_MAP!$A$7:$C$66,IF($M810="THU",2,3),FALSE()),IFERROR(VLOOKUP(LEFT($N810,3),LCTT_MAP!$A$7:$C$66,IF($M810="THU",2,3),FALSE()),IFERROR(VLOOKUP(LEFT($N810,2),LCTT_MAP!$A$7:$C$66,IF($M810="THU",2,3),FALSE()),IFERROR(VLOOKUP(LEFT($N810,1),LCTT_MAP!$A$7:$C$66,IF($M810="THU",2,3),FALSE()),IF($M810="THU","06","07")))))))</f>
        <v/>
      </c>
      <c r="P810" s="117">
        <f>P809+IF(AND($H810&lt;&gt;"",OR(LEFT($F810,LEN(SC_TK))=SC_TK,LEFT($G810,LEN(SC_TK))=SC_TK)),1,0)</f>
        <v/>
      </c>
    </row>
    <row r="811" ht="15" customHeight="1" s="78">
      <c r="A811" s="95">
        <f>IF($H811="","",ROW()-6)</f>
        <v/>
      </c>
      <c r="B811" s="114" t="n"/>
      <c r="C811" s="102" t="n"/>
      <c r="D811" s="114" t="n"/>
      <c r="E811" s="103" t="n"/>
      <c r="F811" s="102" t="n"/>
      <c r="G811" s="102" t="n"/>
      <c r="H811" s="115" t="n"/>
      <c r="I811" s="102" t="n"/>
      <c r="J811" s="102" t="n"/>
      <c r="K811" s="103" t="n"/>
      <c r="L811" s="116">
        <f>IF($H811="","",TRIM(IF(COUNTIF(DMTK!$A$7:$A$250,$F811)=0,"TK Nợ sai! ","")&amp;IF(COUNTIF(DMTK!$A$7:$A$250,$G811)=0,"TK Có sai! ","")&amp;IF(N($H811)&lt;=0,"Tiền phải &gt; 0! ","")&amp;IF($B811="","Thiếu ngày! ","")&amp;IF(AND(OR(LEFT($F811,3)="131",LEFT($G811,3)="131",LEFT($F811,3)="331",LEFT($G811,3)="331"),$I811=""),"Thiếu Mã ĐT! ","")&amp;IF(AND($I811&lt;&gt;"",COUNTIF(DM_DT!$A$7:$A$306,$I811)=0),"Mã ĐT chưa khai báo! ","")))</f>
        <v/>
      </c>
      <c r="M811" s="117">
        <f>IF($H811="","",IF(AND(OR(LEFT($F811,3)="111",LEFT($F811,3)="112",LEFT($F811,3)="113"),OR(LEFT($G811,3)="111",LEFT($G811,3)="112",LEFT($G811,3)="113")),"NB",IF(OR(LEFT($F811,3)="111",LEFT($F811,3)="112",LEFT($F811,3)="113"),"THU",IF(OR(LEFT($G811,3)="111",LEFT($G811,3)="112",LEFT($G811,3)="113"),"CHI",""))))</f>
        <v/>
      </c>
      <c r="N811" s="117">
        <f>IF($M811="THU",$G811,IF($M811="CHI",$F811,""))</f>
        <v/>
      </c>
      <c r="O811" s="117">
        <f>IF(OR($M811="",$M811="NB"),"",IF($J811&lt;&gt;"",TEXT($J811,"00"),IFERROR(VLOOKUP(LEFT($N811,4),LCTT_MAP!$A$7:$C$66,IF($M811="THU",2,3),FALSE()),IFERROR(VLOOKUP(LEFT($N811,3),LCTT_MAP!$A$7:$C$66,IF($M811="THU",2,3),FALSE()),IFERROR(VLOOKUP(LEFT($N811,2),LCTT_MAP!$A$7:$C$66,IF($M811="THU",2,3),FALSE()),IFERROR(VLOOKUP(LEFT($N811,1),LCTT_MAP!$A$7:$C$66,IF($M811="THU",2,3),FALSE()),IF($M811="THU","06","07")))))))</f>
        <v/>
      </c>
      <c r="P811" s="117">
        <f>P810+IF(AND($H811&lt;&gt;"",OR(LEFT($F811,LEN(SC_TK))=SC_TK,LEFT($G811,LEN(SC_TK))=SC_TK)),1,0)</f>
        <v/>
      </c>
    </row>
    <row r="812" ht="15" customHeight="1" s="78">
      <c r="A812" s="95">
        <f>IF($H812="","",ROW()-6)</f>
        <v/>
      </c>
      <c r="B812" s="114" t="n"/>
      <c r="C812" s="102" t="n"/>
      <c r="D812" s="114" t="n"/>
      <c r="E812" s="103" t="n"/>
      <c r="F812" s="102" t="n"/>
      <c r="G812" s="102" t="n"/>
      <c r="H812" s="115" t="n"/>
      <c r="I812" s="102" t="n"/>
      <c r="J812" s="102" t="n"/>
      <c r="K812" s="103" t="n"/>
      <c r="L812" s="116">
        <f>IF($H812="","",TRIM(IF(COUNTIF(DMTK!$A$7:$A$250,$F812)=0,"TK Nợ sai! ","")&amp;IF(COUNTIF(DMTK!$A$7:$A$250,$G812)=0,"TK Có sai! ","")&amp;IF(N($H812)&lt;=0,"Tiền phải &gt; 0! ","")&amp;IF($B812="","Thiếu ngày! ","")&amp;IF(AND(OR(LEFT($F812,3)="131",LEFT($G812,3)="131",LEFT($F812,3)="331",LEFT($G812,3)="331"),$I812=""),"Thiếu Mã ĐT! ","")&amp;IF(AND($I812&lt;&gt;"",COUNTIF(DM_DT!$A$7:$A$306,$I812)=0),"Mã ĐT chưa khai báo! ","")))</f>
        <v/>
      </c>
      <c r="M812" s="117">
        <f>IF($H812="","",IF(AND(OR(LEFT($F812,3)="111",LEFT($F812,3)="112",LEFT($F812,3)="113"),OR(LEFT($G812,3)="111",LEFT($G812,3)="112",LEFT($G812,3)="113")),"NB",IF(OR(LEFT($F812,3)="111",LEFT($F812,3)="112",LEFT($F812,3)="113"),"THU",IF(OR(LEFT($G812,3)="111",LEFT($G812,3)="112",LEFT($G812,3)="113"),"CHI",""))))</f>
        <v/>
      </c>
      <c r="N812" s="117">
        <f>IF($M812="THU",$G812,IF($M812="CHI",$F812,""))</f>
        <v/>
      </c>
      <c r="O812" s="117">
        <f>IF(OR($M812="",$M812="NB"),"",IF($J812&lt;&gt;"",TEXT($J812,"00"),IFERROR(VLOOKUP(LEFT($N812,4),LCTT_MAP!$A$7:$C$66,IF($M812="THU",2,3),FALSE()),IFERROR(VLOOKUP(LEFT($N812,3),LCTT_MAP!$A$7:$C$66,IF($M812="THU",2,3),FALSE()),IFERROR(VLOOKUP(LEFT($N812,2),LCTT_MAP!$A$7:$C$66,IF($M812="THU",2,3),FALSE()),IFERROR(VLOOKUP(LEFT($N812,1),LCTT_MAP!$A$7:$C$66,IF($M812="THU",2,3),FALSE()),IF($M812="THU","06","07")))))))</f>
        <v/>
      </c>
      <c r="P812" s="117">
        <f>P811+IF(AND($H812&lt;&gt;"",OR(LEFT($F812,LEN(SC_TK))=SC_TK,LEFT($G812,LEN(SC_TK))=SC_TK)),1,0)</f>
        <v/>
      </c>
    </row>
    <row r="813" ht="15" customHeight="1" s="78">
      <c r="A813" s="95">
        <f>IF($H813="","",ROW()-6)</f>
        <v/>
      </c>
      <c r="B813" s="114" t="n"/>
      <c r="C813" s="102" t="n"/>
      <c r="D813" s="114" t="n"/>
      <c r="E813" s="103" t="n"/>
      <c r="F813" s="102" t="n"/>
      <c r="G813" s="102" t="n"/>
      <c r="H813" s="115" t="n"/>
      <c r="I813" s="102" t="n"/>
      <c r="J813" s="102" t="n"/>
      <c r="K813" s="103" t="n"/>
      <c r="L813" s="116">
        <f>IF($H813="","",TRIM(IF(COUNTIF(DMTK!$A$7:$A$250,$F813)=0,"TK Nợ sai! ","")&amp;IF(COUNTIF(DMTK!$A$7:$A$250,$G813)=0,"TK Có sai! ","")&amp;IF(N($H813)&lt;=0,"Tiền phải &gt; 0! ","")&amp;IF($B813="","Thiếu ngày! ","")&amp;IF(AND(OR(LEFT($F813,3)="131",LEFT($G813,3)="131",LEFT($F813,3)="331",LEFT($G813,3)="331"),$I813=""),"Thiếu Mã ĐT! ","")&amp;IF(AND($I813&lt;&gt;"",COUNTIF(DM_DT!$A$7:$A$306,$I813)=0),"Mã ĐT chưa khai báo! ","")))</f>
        <v/>
      </c>
      <c r="M813" s="117">
        <f>IF($H813="","",IF(AND(OR(LEFT($F813,3)="111",LEFT($F813,3)="112",LEFT($F813,3)="113"),OR(LEFT($G813,3)="111",LEFT($G813,3)="112",LEFT($G813,3)="113")),"NB",IF(OR(LEFT($F813,3)="111",LEFT($F813,3)="112",LEFT($F813,3)="113"),"THU",IF(OR(LEFT($G813,3)="111",LEFT($G813,3)="112",LEFT($G813,3)="113"),"CHI",""))))</f>
        <v/>
      </c>
      <c r="N813" s="117">
        <f>IF($M813="THU",$G813,IF($M813="CHI",$F813,""))</f>
        <v/>
      </c>
      <c r="O813" s="117">
        <f>IF(OR($M813="",$M813="NB"),"",IF($J813&lt;&gt;"",TEXT($J813,"00"),IFERROR(VLOOKUP(LEFT($N813,4),LCTT_MAP!$A$7:$C$66,IF($M813="THU",2,3),FALSE()),IFERROR(VLOOKUP(LEFT($N813,3),LCTT_MAP!$A$7:$C$66,IF($M813="THU",2,3),FALSE()),IFERROR(VLOOKUP(LEFT($N813,2),LCTT_MAP!$A$7:$C$66,IF($M813="THU",2,3),FALSE()),IFERROR(VLOOKUP(LEFT($N813,1),LCTT_MAP!$A$7:$C$66,IF($M813="THU",2,3),FALSE()),IF($M813="THU","06","07")))))))</f>
        <v/>
      </c>
      <c r="P813" s="117">
        <f>P812+IF(AND($H813&lt;&gt;"",OR(LEFT($F813,LEN(SC_TK))=SC_TK,LEFT($G813,LEN(SC_TK))=SC_TK)),1,0)</f>
        <v/>
      </c>
    </row>
    <row r="814" ht="15" customHeight="1" s="78">
      <c r="A814" s="95">
        <f>IF($H814="","",ROW()-6)</f>
        <v/>
      </c>
      <c r="B814" s="114" t="n"/>
      <c r="C814" s="102" t="n"/>
      <c r="D814" s="114" t="n"/>
      <c r="E814" s="103" t="n"/>
      <c r="F814" s="102" t="n"/>
      <c r="G814" s="102" t="n"/>
      <c r="H814" s="115" t="n"/>
      <c r="I814" s="102" t="n"/>
      <c r="J814" s="102" t="n"/>
      <c r="K814" s="103" t="n"/>
      <c r="L814" s="116">
        <f>IF($H814="","",TRIM(IF(COUNTIF(DMTK!$A$7:$A$250,$F814)=0,"TK Nợ sai! ","")&amp;IF(COUNTIF(DMTK!$A$7:$A$250,$G814)=0,"TK Có sai! ","")&amp;IF(N($H814)&lt;=0,"Tiền phải &gt; 0! ","")&amp;IF($B814="","Thiếu ngày! ","")&amp;IF(AND(OR(LEFT($F814,3)="131",LEFT($G814,3)="131",LEFT($F814,3)="331",LEFT($G814,3)="331"),$I814=""),"Thiếu Mã ĐT! ","")&amp;IF(AND($I814&lt;&gt;"",COUNTIF(DM_DT!$A$7:$A$306,$I814)=0),"Mã ĐT chưa khai báo! ","")))</f>
        <v/>
      </c>
      <c r="M814" s="117">
        <f>IF($H814="","",IF(AND(OR(LEFT($F814,3)="111",LEFT($F814,3)="112",LEFT($F814,3)="113"),OR(LEFT($G814,3)="111",LEFT($G814,3)="112",LEFT($G814,3)="113")),"NB",IF(OR(LEFT($F814,3)="111",LEFT($F814,3)="112",LEFT($F814,3)="113"),"THU",IF(OR(LEFT($G814,3)="111",LEFT($G814,3)="112",LEFT($G814,3)="113"),"CHI",""))))</f>
        <v/>
      </c>
      <c r="N814" s="117">
        <f>IF($M814="THU",$G814,IF($M814="CHI",$F814,""))</f>
        <v/>
      </c>
      <c r="O814" s="117">
        <f>IF(OR($M814="",$M814="NB"),"",IF($J814&lt;&gt;"",TEXT($J814,"00"),IFERROR(VLOOKUP(LEFT($N814,4),LCTT_MAP!$A$7:$C$66,IF($M814="THU",2,3),FALSE()),IFERROR(VLOOKUP(LEFT($N814,3),LCTT_MAP!$A$7:$C$66,IF($M814="THU",2,3),FALSE()),IFERROR(VLOOKUP(LEFT($N814,2),LCTT_MAP!$A$7:$C$66,IF($M814="THU",2,3),FALSE()),IFERROR(VLOOKUP(LEFT($N814,1),LCTT_MAP!$A$7:$C$66,IF($M814="THU",2,3),FALSE()),IF($M814="THU","06","07")))))))</f>
        <v/>
      </c>
      <c r="P814" s="117">
        <f>P813+IF(AND($H814&lt;&gt;"",OR(LEFT($F814,LEN(SC_TK))=SC_TK,LEFT($G814,LEN(SC_TK))=SC_TK)),1,0)</f>
        <v/>
      </c>
    </row>
    <row r="815" ht="15" customHeight="1" s="78">
      <c r="A815" s="95">
        <f>IF($H815="","",ROW()-6)</f>
        <v/>
      </c>
      <c r="B815" s="114" t="n"/>
      <c r="C815" s="102" t="n"/>
      <c r="D815" s="114" t="n"/>
      <c r="E815" s="103" t="n"/>
      <c r="F815" s="102" t="n"/>
      <c r="G815" s="102" t="n"/>
      <c r="H815" s="115" t="n"/>
      <c r="I815" s="102" t="n"/>
      <c r="J815" s="102" t="n"/>
      <c r="K815" s="103" t="n"/>
      <c r="L815" s="116">
        <f>IF($H815="","",TRIM(IF(COUNTIF(DMTK!$A$7:$A$250,$F815)=0,"TK Nợ sai! ","")&amp;IF(COUNTIF(DMTK!$A$7:$A$250,$G815)=0,"TK Có sai! ","")&amp;IF(N($H815)&lt;=0,"Tiền phải &gt; 0! ","")&amp;IF($B815="","Thiếu ngày! ","")&amp;IF(AND(OR(LEFT($F815,3)="131",LEFT($G815,3)="131",LEFT($F815,3)="331",LEFT($G815,3)="331"),$I815=""),"Thiếu Mã ĐT! ","")&amp;IF(AND($I815&lt;&gt;"",COUNTIF(DM_DT!$A$7:$A$306,$I815)=0),"Mã ĐT chưa khai báo! ","")))</f>
        <v/>
      </c>
      <c r="M815" s="117">
        <f>IF($H815="","",IF(AND(OR(LEFT($F815,3)="111",LEFT($F815,3)="112",LEFT($F815,3)="113"),OR(LEFT($G815,3)="111",LEFT($G815,3)="112",LEFT($G815,3)="113")),"NB",IF(OR(LEFT($F815,3)="111",LEFT($F815,3)="112",LEFT($F815,3)="113"),"THU",IF(OR(LEFT($G815,3)="111",LEFT($G815,3)="112",LEFT($G815,3)="113"),"CHI",""))))</f>
        <v/>
      </c>
      <c r="N815" s="117">
        <f>IF($M815="THU",$G815,IF($M815="CHI",$F815,""))</f>
        <v/>
      </c>
      <c r="O815" s="117">
        <f>IF(OR($M815="",$M815="NB"),"",IF($J815&lt;&gt;"",TEXT($J815,"00"),IFERROR(VLOOKUP(LEFT($N815,4),LCTT_MAP!$A$7:$C$66,IF($M815="THU",2,3),FALSE()),IFERROR(VLOOKUP(LEFT($N815,3),LCTT_MAP!$A$7:$C$66,IF($M815="THU",2,3),FALSE()),IFERROR(VLOOKUP(LEFT($N815,2),LCTT_MAP!$A$7:$C$66,IF($M815="THU",2,3),FALSE()),IFERROR(VLOOKUP(LEFT($N815,1),LCTT_MAP!$A$7:$C$66,IF($M815="THU",2,3),FALSE()),IF($M815="THU","06","07")))))))</f>
        <v/>
      </c>
      <c r="P815" s="117">
        <f>P814+IF(AND($H815&lt;&gt;"",OR(LEFT($F815,LEN(SC_TK))=SC_TK,LEFT($G815,LEN(SC_TK))=SC_TK)),1,0)</f>
        <v/>
      </c>
    </row>
    <row r="816" ht="15" customHeight="1" s="78">
      <c r="A816" s="95">
        <f>IF($H816="","",ROW()-6)</f>
        <v/>
      </c>
      <c r="B816" s="114" t="n"/>
      <c r="C816" s="102" t="n"/>
      <c r="D816" s="114" t="n"/>
      <c r="E816" s="103" t="n"/>
      <c r="F816" s="102" t="n"/>
      <c r="G816" s="102" t="n"/>
      <c r="H816" s="115" t="n"/>
      <c r="I816" s="102" t="n"/>
      <c r="J816" s="102" t="n"/>
      <c r="K816" s="103" t="n"/>
      <c r="L816" s="116">
        <f>IF($H816="","",TRIM(IF(COUNTIF(DMTK!$A$7:$A$250,$F816)=0,"TK Nợ sai! ","")&amp;IF(COUNTIF(DMTK!$A$7:$A$250,$G816)=0,"TK Có sai! ","")&amp;IF(N($H816)&lt;=0,"Tiền phải &gt; 0! ","")&amp;IF($B816="","Thiếu ngày! ","")&amp;IF(AND(OR(LEFT($F816,3)="131",LEFT($G816,3)="131",LEFT($F816,3)="331",LEFT($G816,3)="331"),$I816=""),"Thiếu Mã ĐT! ","")&amp;IF(AND($I816&lt;&gt;"",COUNTIF(DM_DT!$A$7:$A$306,$I816)=0),"Mã ĐT chưa khai báo! ","")))</f>
        <v/>
      </c>
      <c r="M816" s="117">
        <f>IF($H816="","",IF(AND(OR(LEFT($F816,3)="111",LEFT($F816,3)="112",LEFT($F816,3)="113"),OR(LEFT($G816,3)="111",LEFT($G816,3)="112",LEFT($G816,3)="113")),"NB",IF(OR(LEFT($F816,3)="111",LEFT($F816,3)="112",LEFT($F816,3)="113"),"THU",IF(OR(LEFT($G816,3)="111",LEFT($G816,3)="112",LEFT($G816,3)="113"),"CHI",""))))</f>
        <v/>
      </c>
      <c r="N816" s="117">
        <f>IF($M816="THU",$G816,IF($M816="CHI",$F816,""))</f>
        <v/>
      </c>
      <c r="O816" s="117">
        <f>IF(OR($M816="",$M816="NB"),"",IF($J816&lt;&gt;"",TEXT($J816,"00"),IFERROR(VLOOKUP(LEFT($N816,4),LCTT_MAP!$A$7:$C$66,IF($M816="THU",2,3),FALSE()),IFERROR(VLOOKUP(LEFT($N816,3),LCTT_MAP!$A$7:$C$66,IF($M816="THU",2,3),FALSE()),IFERROR(VLOOKUP(LEFT($N816,2),LCTT_MAP!$A$7:$C$66,IF($M816="THU",2,3),FALSE()),IFERROR(VLOOKUP(LEFT($N816,1),LCTT_MAP!$A$7:$C$66,IF($M816="THU",2,3),FALSE()),IF($M816="THU","06","07")))))))</f>
        <v/>
      </c>
      <c r="P816" s="117">
        <f>P815+IF(AND($H816&lt;&gt;"",OR(LEFT($F816,LEN(SC_TK))=SC_TK,LEFT($G816,LEN(SC_TK))=SC_TK)),1,0)</f>
        <v/>
      </c>
    </row>
    <row r="817" ht="15" customHeight="1" s="78">
      <c r="A817" s="95">
        <f>IF($H817="","",ROW()-6)</f>
        <v/>
      </c>
      <c r="B817" s="114" t="n"/>
      <c r="C817" s="102" t="n"/>
      <c r="D817" s="114" t="n"/>
      <c r="E817" s="103" t="n"/>
      <c r="F817" s="102" t="n"/>
      <c r="G817" s="102" t="n"/>
      <c r="H817" s="115" t="n"/>
      <c r="I817" s="102" t="n"/>
      <c r="J817" s="102" t="n"/>
      <c r="K817" s="103" t="n"/>
      <c r="L817" s="116">
        <f>IF($H817="","",TRIM(IF(COUNTIF(DMTK!$A$7:$A$250,$F817)=0,"TK Nợ sai! ","")&amp;IF(COUNTIF(DMTK!$A$7:$A$250,$G817)=0,"TK Có sai! ","")&amp;IF(N($H817)&lt;=0,"Tiền phải &gt; 0! ","")&amp;IF($B817="","Thiếu ngày! ","")&amp;IF(AND(OR(LEFT($F817,3)="131",LEFT($G817,3)="131",LEFT($F817,3)="331",LEFT($G817,3)="331"),$I817=""),"Thiếu Mã ĐT! ","")&amp;IF(AND($I817&lt;&gt;"",COUNTIF(DM_DT!$A$7:$A$306,$I817)=0),"Mã ĐT chưa khai báo! ","")))</f>
        <v/>
      </c>
      <c r="M817" s="117">
        <f>IF($H817="","",IF(AND(OR(LEFT($F817,3)="111",LEFT($F817,3)="112",LEFT($F817,3)="113"),OR(LEFT($G817,3)="111",LEFT($G817,3)="112",LEFT($G817,3)="113")),"NB",IF(OR(LEFT($F817,3)="111",LEFT($F817,3)="112",LEFT($F817,3)="113"),"THU",IF(OR(LEFT($G817,3)="111",LEFT($G817,3)="112",LEFT($G817,3)="113"),"CHI",""))))</f>
        <v/>
      </c>
      <c r="N817" s="117">
        <f>IF($M817="THU",$G817,IF($M817="CHI",$F817,""))</f>
        <v/>
      </c>
      <c r="O817" s="117">
        <f>IF(OR($M817="",$M817="NB"),"",IF($J817&lt;&gt;"",TEXT($J817,"00"),IFERROR(VLOOKUP(LEFT($N817,4),LCTT_MAP!$A$7:$C$66,IF($M817="THU",2,3),FALSE()),IFERROR(VLOOKUP(LEFT($N817,3),LCTT_MAP!$A$7:$C$66,IF($M817="THU",2,3),FALSE()),IFERROR(VLOOKUP(LEFT($N817,2),LCTT_MAP!$A$7:$C$66,IF($M817="THU",2,3),FALSE()),IFERROR(VLOOKUP(LEFT($N817,1),LCTT_MAP!$A$7:$C$66,IF($M817="THU",2,3),FALSE()),IF($M817="THU","06","07")))))))</f>
        <v/>
      </c>
      <c r="P817" s="117">
        <f>P816+IF(AND($H817&lt;&gt;"",OR(LEFT($F817,LEN(SC_TK))=SC_TK,LEFT($G817,LEN(SC_TK))=SC_TK)),1,0)</f>
        <v/>
      </c>
    </row>
    <row r="818" ht="15" customHeight="1" s="78">
      <c r="A818" s="95">
        <f>IF($H818="","",ROW()-6)</f>
        <v/>
      </c>
      <c r="B818" s="114" t="n"/>
      <c r="C818" s="102" t="n"/>
      <c r="D818" s="114" t="n"/>
      <c r="E818" s="103" t="n"/>
      <c r="F818" s="102" t="n"/>
      <c r="G818" s="102" t="n"/>
      <c r="H818" s="115" t="n"/>
      <c r="I818" s="102" t="n"/>
      <c r="J818" s="102" t="n"/>
      <c r="K818" s="103" t="n"/>
      <c r="L818" s="116">
        <f>IF($H818="","",TRIM(IF(COUNTIF(DMTK!$A$7:$A$250,$F818)=0,"TK Nợ sai! ","")&amp;IF(COUNTIF(DMTK!$A$7:$A$250,$G818)=0,"TK Có sai! ","")&amp;IF(N($H818)&lt;=0,"Tiền phải &gt; 0! ","")&amp;IF($B818="","Thiếu ngày! ","")&amp;IF(AND(OR(LEFT($F818,3)="131",LEFT($G818,3)="131",LEFT($F818,3)="331",LEFT($G818,3)="331"),$I818=""),"Thiếu Mã ĐT! ","")&amp;IF(AND($I818&lt;&gt;"",COUNTIF(DM_DT!$A$7:$A$306,$I818)=0),"Mã ĐT chưa khai báo! ","")))</f>
        <v/>
      </c>
      <c r="M818" s="117">
        <f>IF($H818="","",IF(AND(OR(LEFT($F818,3)="111",LEFT($F818,3)="112",LEFT($F818,3)="113"),OR(LEFT($G818,3)="111",LEFT($G818,3)="112",LEFT($G818,3)="113")),"NB",IF(OR(LEFT($F818,3)="111",LEFT($F818,3)="112",LEFT($F818,3)="113"),"THU",IF(OR(LEFT($G818,3)="111",LEFT($G818,3)="112",LEFT($G818,3)="113"),"CHI",""))))</f>
        <v/>
      </c>
      <c r="N818" s="117">
        <f>IF($M818="THU",$G818,IF($M818="CHI",$F818,""))</f>
        <v/>
      </c>
      <c r="O818" s="117">
        <f>IF(OR($M818="",$M818="NB"),"",IF($J818&lt;&gt;"",TEXT($J818,"00"),IFERROR(VLOOKUP(LEFT($N818,4),LCTT_MAP!$A$7:$C$66,IF($M818="THU",2,3),FALSE()),IFERROR(VLOOKUP(LEFT($N818,3),LCTT_MAP!$A$7:$C$66,IF($M818="THU",2,3),FALSE()),IFERROR(VLOOKUP(LEFT($N818,2),LCTT_MAP!$A$7:$C$66,IF($M818="THU",2,3),FALSE()),IFERROR(VLOOKUP(LEFT($N818,1),LCTT_MAP!$A$7:$C$66,IF($M818="THU",2,3),FALSE()),IF($M818="THU","06","07")))))))</f>
        <v/>
      </c>
      <c r="P818" s="117">
        <f>P817+IF(AND($H818&lt;&gt;"",OR(LEFT($F818,LEN(SC_TK))=SC_TK,LEFT($G818,LEN(SC_TK))=SC_TK)),1,0)</f>
        <v/>
      </c>
    </row>
    <row r="819" ht="15" customHeight="1" s="78">
      <c r="A819" s="95">
        <f>IF($H819="","",ROW()-6)</f>
        <v/>
      </c>
      <c r="B819" s="114" t="n"/>
      <c r="C819" s="102" t="n"/>
      <c r="D819" s="114" t="n"/>
      <c r="E819" s="103" t="n"/>
      <c r="F819" s="102" t="n"/>
      <c r="G819" s="102" t="n"/>
      <c r="H819" s="115" t="n"/>
      <c r="I819" s="102" t="n"/>
      <c r="J819" s="102" t="n"/>
      <c r="K819" s="103" t="n"/>
      <c r="L819" s="116">
        <f>IF($H819="","",TRIM(IF(COUNTIF(DMTK!$A$7:$A$250,$F819)=0,"TK Nợ sai! ","")&amp;IF(COUNTIF(DMTK!$A$7:$A$250,$G819)=0,"TK Có sai! ","")&amp;IF(N($H819)&lt;=0,"Tiền phải &gt; 0! ","")&amp;IF($B819="","Thiếu ngày! ","")&amp;IF(AND(OR(LEFT($F819,3)="131",LEFT($G819,3)="131",LEFT($F819,3)="331",LEFT($G819,3)="331"),$I819=""),"Thiếu Mã ĐT! ","")&amp;IF(AND($I819&lt;&gt;"",COUNTIF(DM_DT!$A$7:$A$306,$I819)=0),"Mã ĐT chưa khai báo! ","")))</f>
        <v/>
      </c>
      <c r="M819" s="117">
        <f>IF($H819="","",IF(AND(OR(LEFT($F819,3)="111",LEFT($F819,3)="112",LEFT($F819,3)="113"),OR(LEFT($G819,3)="111",LEFT($G819,3)="112",LEFT($G819,3)="113")),"NB",IF(OR(LEFT($F819,3)="111",LEFT($F819,3)="112",LEFT($F819,3)="113"),"THU",IF(OR(LEFT($G819,3)="111",LEFT($G819,3)="112",LEFT($G819,3)="113"),"CHI",""))))</f>
        <v/>
      </c>
      <c r="N819" s="117">
        <f>IF($M819="THU",$G819,IF($M819="CHI",$F819,""))</f>
        <v/>
      </c>
      <c r="O819" s="117">
        <f>IF(OR($M819="",$M819="NB"),"",IF($J819&lt;&gt;"",TEXT($J819,"00"),IFERROR(VLOOKUP(LEFT($N819,4),LCTT_MAP!$A$7:$C$66,IF($M819="THU",2,3),FALSE()),IFERROR(VLOOKUP(LEFT($N819,3),LCTT_MAP!$A$7:$C$66,IF($M819="THU",2,3),FALSE()),IFERROR(VLOOKUP(LEFT($N819,2),LCTT_MAP!$A$7:$C$66,IF($M819="THU",2,3),FALSE()),IFERROR(VLOOKUP(LEFT($N819,1),LCTT_MAP!$A$7:$C$66,IF($M819="THU",2,3),FALSE()),IF($M819="THU","06","07")))))))</f>
        <v/>
      </c>
      <c r="P819" s="117">
        <f>P818+IF(AND($H819&lt;&gt;"",OR(LEFT($F819,LEN(SC_TK))=SC_TK,LEFT($G819,LEN(SC_TK))=SC_TK)),1,0)</f>
        <v/>
      </c>
    </row>
    <row r="820" ht="15" customHeight="1" s="78">
      <c r="A820" s="95">
        <f>IF($H820="","",ROW()-6)</f>
        <v/>
      </c>
      <c r="B820" s="114" t="n"/>
      <c r="C820" s="102" t="n"/>
      <c r="D820" s="114" t="n"/>
      <c r="E820" s="103" t="n"/>
      <c r="F820" s="102" t="n"/>
      <c r="G820" s="102" t="n"/>
      <c r="H820" s="115" t="n"/>
      <c r="I820" s="102" t="n"/>
      <c r="J820" s="102" t="n"/>
      <c r="K820" s="103" t="n"/>
      <c r="L820" s="116">
        <f>IF($H820="","",TRIM(IF(COUNTIF(DMTK!$A$7:$A$250,$F820)=0,"TK Nợ sai! ","")&amp;IF(COUNTIF(DMTK!$A$7:$A$250,$G820)=0,"TK Có sai! ","")&amp;IF(N($H820)&lt;=0,"Tiền phải &gt; 0! ","")&amp;IF($B820="","Thiếu ngày! ","")&amp;IF(AND(OR(LEFT($F820,3)="131",LEFT($G820,3)="131",LEFT($F820,3)="331",LEFT($G820,3)="331"),$I820=""),"Thiếu Mã ĐT! ","")&amp;IF(AND($I820&lt;&gt;"",COUNTIF(DM_DT!$A$7:$A$306,$I820)=0),"Mã ĐT chưa khai báo! ","")))</f>
        <v/>
      </c>
      <c r="M820" s="117">
        <f>IF($H820="","",IF(AND(OR(LEFT($F820,3)="111",LEFT($F820,3)="112",LEFT($F820,3)="113"),OR(LEFT($G820,3)="111",LEFT($G820,3)="112",LEFT($G820,3)="113")),"NB",IF(OR(LEFT($F820,3)="111",LEFT($F820,3)="112",LEFT($F820,3)="113"),"THU",IF(OR(LEFT($G820,3)="111",LEFT($G820,3)="112",LEFT($G820,3)="113"),"CHI",""))))</f>
        <v/>
      </c>
      <c r="N820" s="117">
        <f>IF($M820="THU",$G820,IF($M820="CHI",$F820,""))</f>
        <v/>
      </c>
      <c r="O820" s="117">
        <f>IF(OR($M820="",$M820="NB"),"",IF($J820&lt;&gt;"",TEXT($J820,"00"),IFERROR(VLOOKUP(LEFT($N820,4),LCTT_MAP!$A$7:$C$66,IF($M820="THU",2,3),FALSE()),IFERROR(VLOOKUP(LEFT($N820,3),LCTT_MAP!$A$7:$C$66,IF($M820="THU",2,3),FALSE()),IFERROR(VLOOKUP(LEFT($N820,2),LCTT_MAP!$A$7:$C$66,IF($M820="THU",2,3),FALSE()),IFERROR(VLOOKUP(LEFT($N820,1),LCTT_MAP!$A$7:$C$66,IF($M820="THU",2,3),FALSE()),IF($M820="THU","06","07")))))))</f>
        <v/>
      </c>
      <c r="P820" s="117">
        <f>P819+IF(AND($H820&lt;&gt;"",OR(LEFT($F820,LEN(SC_TK))=SC_TK,LEFT($G820,LEN(SC_TK))=SC_TK)),1,0)</f>
        <v/>
      </c>
    </row>
    <row r="821" ht="15" customHeight="1" s="78">
      <c r="A821" s="95">
        <f>IF($H821="","",ROW()-6)</f>
        <v/>
      </c>
      <c r="B821" s="114" t="n"/>
      <c r="C821" s="102" t="n"/>
      <c r="D821" s="114" t="n"/>
      <c r="E821" s="103" t="n"/>
      <c r="F821" s="102" t="n"/>
      <c r="G821" s="102" t="n"/>
      <c r="H821" s="115" t="n"/>
      <c r="I821" s="102" t="n"/>
      <c r="J821" s="102" t="n"/>
      <c r="K821" s="103" t="n"/>
      <c r="L821" s="116">
        <f>IF($H821="","",TRIM(IF(COUNTIF(DMTK!$A$7:$A$250,$F821)=0,"TK Nợ sai! ","")&amp;IF(COUNTIF(DMTK!$A$7:$A$250,$G821)=0,"TK Có sai! ","")&amp;IF(N($H821)&lt;=0,"Tiền phải &gt; 0! ","")&amp;IF($B821="","Thiếu ngày! ","")&amp;IF(AND(OR(LEFT($F821,3)="131",LEFT($G821,3)="131",LEFT($F821,3)="331",LEFT($G821,3)="331"),$I821=""),"Thiếu Mã ĐT! ","")&amp;IF(AND($I821&lt;&gt;"",COUNTIF(DM_DT!$A$7:$A$306,$I821)=0),"Mã ĐT chưa khai báo! ","")))</f>
        <v/>
      </c>
      <c r="M821" s="117">
        <f>IF($H821="","",IF(AND(OR(LEFT($F821,3)="111",LEFT($F821,3)="112",LEFT($F821,3)="113"),OR(LEFT($G821,3)="111",LEFT($G821,3)="112",LEFT($G821,3)="113")),"NB",IF(OR(LEFT($F821,3)="111",LEFT($F821,3)="112",LEFT($F821,3)="113"),"THU",IF(OR(LEFT($G821,3)="111",LEFT($G821,3)="112",LEFT($G821,3)="113"),"CHI",""))))</f>
        <v/>
      </c>
      <c r="N821" s="117">
        <f>IF($M821="THU",$G821,IF($M821="CHI",$F821,""))</f>
        <v/>
      </c>
      <c r="O821" s="117">
        <f>IF(OR($M821="",$M821="NB"),"",IF($J821&lt;&gt;"",TEXT($J821,"00"),IFERROR(VLOOKUP(LEFT($N821,4),LCTT_MAP!$A$7:$C$66,IF($M821="THU",2,3),FALSE()),IFERROR(VLOOKUP(LEFT($N821,3),LCTT_MAP!$A$7:$C$66,IF($M821="THU",2,3),FALSE()),IFERROR(VLOOKUP(LEFT($N821,2),LCTT_MAP!$A$7:$C$66,IF($M821="THU",2,3),FALSE()),IFERROR(VLOOKUP(LEFT($N821,1),LCTT_MAP!$A$7:$C$66,IF($M821="THU",2,3),FALSE()),IF($M821="THU","06","07")))))))</f>
        <v/>
      </c>
      <c r="P821" s="117">
        <f>P820+IF(AND($H821&lt;&gt;"",OR(LEFT($F821,LEN(SC_TK))=SC_TK,LEFT($G821,LEN(SC_TK))=SC_TK)),1,0)</f>
        <v/>
      </c>
    </row>
    <row r="822" ht="15" customHeight="1" s="78">
      <c r="A822" s="95">
        <f>IF($H822="","",ROW()-6)</f>
        <v/>
      </c>
      <c r="B822" s="114" t="n"/>
      <c r="C822" s="102" t="n"/>
      <c r="D822" s="114" t="n"/>
      <c r="E822" s="103" t="n"/>
      <c r="F822" s="102" t="n"/>
      <c r="G822" s="102" t="n"/>
      <c r="H822" s="115" t="n"/>
      <c r="I822" s="102" t="n"/>
      <c r="J822" s="102" t="n"/>
      <c r="K822" s="103" t="n"/>
      <c r="L822" s="116">
        <f>IF($H822="","",TRIM(IF(COUNTIF(DMTK!$A$7:$A$250,$F822)=0,"TK Nợ sai! ","")&amp;IF(COUNTIF(DMTK!$A$7:$A$250,$G822)=0,"TK Có sai! ","")&amp;IF(N($H822)&lt;=0,"Tiền phải &gt; 0! ","")&amp;IF($B822="","Thiếu ngày! ","")&amp;IF(AND(OR(LEFT($F822,3)="131",LEFT($G822,3)="131",LEFT($F822,3)="331",LEFT($G822,3)="331"),$I822=""),"Thiếu Mã ĐT! ","")&amp;IF(AND($I822&lt;&gt;"",COUNTIF(DM_DT!$A$7:$A$306,$I822)=0),"Mã ĐT chưa khai báo! ","")))</f>
        <v/>
      </c>
      <c r="M822" s="117">
        <f>IF($H822="","",IF(AND(OR(LEFT($F822,3)="111",LEFT($F822,3)="112",LEFT($F822,3)="113"),OR(LEFT($G822,3)="111",LEFT($G822,3)="112",LEFT($G822,3)="113")),"NB",IF(OR(LEFT($F822,3)="111",LEFT($F822,3)="112",LEFT($F822,3)="113"),"THU",IF(OR(LEFT($G822,3)="111",LEFT($G822,3)="112",LEFT($G822,3)="113"),"CHI",""))))</f>
        <v/>
      </c>
      <c r="N822" s="117">
        <f>IF($M822="THU",$G822,IF($M822="CHI",$F822,""))</f>
        <v/>
      </c>
      <c r="O822" s="117">
        <f>IF(OR($M822="",$M822="NB"),"",IF($J822&lt;&gt;"",TEXT($J822,"00"),IFERROR(VLOOKUP(LEFT($N822,4),LCTT_MAP!$A$7:$C$66,IF($M822="THU",2,3),FALSE()),IFERROR(VLOOKUP(LEFT($N822,3),LCTT_MAP!$A$7:$C$66,IF($M822="THU",2,3),FALSE()),IFERROR(VLOOKUP(LEFT($N822,2),LCTT_MAP!$A$7:$C$66,IF($M822="THU",2,3),FALSE()),IFERROR(VLOOKUP(LEFT($N822,1),LCTT_MAP!$A$7:$C$66,IF($M822="THU",2,3),FALSE()),IF($M822="THU","06","07")))))))</f>
        <v/>
      </c>
      <c r="P822" s="117">
        <f>P821+IF(AND($H822&lt;&gt;"",OR(LEFT($F822,LEN(SC_TK))=SC_TK,LEFT($G822,LEN(SC_TK))=SC_TK)),1,0)</f>
        <v/>
      </c>
    </row>
    <row r="823" ht="15" customHeight="1" s="78">
      <c r="A823" s="95">
        <f>IF($H823="","",ROW()-6)</f>
        <v/>
      </c>
      <c r="B823" s="114" t="n"/>
      <c r="C823" s="102" t="n"/>
      <c r="D823" s="114" t="n"/>
      <c r="E823" s="103" t="n"/>
      <c r="F823" s="102" t="n"/>
      <c r="G823" s="102" t="n"/>
      <c r="H823" s="115" t="n"/>
      <c r="I823" s="102" t="n"/>
      <c r="J823" s="102" t="n"/>
      <c r="K823" s="103" t="n"/>
      <c r="L823" s="116">
        <f>IF($H823="","",TRIM(IF(COUNTIF(DMTK!$A$7:$A$250,$F823)=0,"TK Nợ sai! ","")&amp;IF(COUNTIF(DMTK!$A$7:$A$250,$G823)=0,"TK Có sai! ","")&amp;IF(N($H823)&lt;=0,"Tiền phải &gt; 0! ","")&amp;IF($B823="","Thiếu ngày! ","")&amp;IF(AND(OR(LEFT($F823,3)="131",LEFT($G823,3)="131",LEFT($F823,3)="331",LEFT($G823,3)="331"),$I823=""),"Thiếu Mã ĐT! ","")&amp;IF(AND($I823&lt;&gt;"",COUNTIF(DM_DT!$A$7:$A$306,$I823)=0),"Mã ĐT chưa khai báo! ","")))</f>
        <v/>
      </c>
      <c r="M823" s="117">
        <f>IF($H823="","",IF(AND(OR(LEFT($F823,3)="111",LEFT($F823,3)="112",LEFT($F823,3)="113"),OR(LEFT($G823,3)="111",LEFT($G823,3)="112",LEFT($G823,3)="113")),"NB",IF(OR(LEFT($F823,3)="111",LEFT($F823,3)="112",LEFT($F823,3)="113"),"THU",IF(OR(LEFT($G823,3)="111",LEFT($G823,3)="112",LEFT($G823,3)="113"),"CHI",""))))</f>
        <v/>
      </c>
      <c r="N823" s="117">
        <f>IF($M823="THU",$G823,IF($M823="CHI",$F823,""))</f>
        <v/>
      </c>
      <c r="O823" s="117">
        <f>IF(OR($M823="",$M823="NB"),"",IF($J823&lt;&gt;"",TEXT($J823,"00"),IFERROR(VLOOKUP(LEFT($N823,4),LCTT_MAP!$A$7:$C$66,IF($M823="THU",2,3),FALSE()),IFERROR(VLOOKUP(LEFT($N823,3),LCTT_MAP!$A$7:$C$66,IF($M823="THU",2,3),FALSE()),IFERROR(VLOOKUP(LEFT($N823,2),LCTT_MAP!$A$7:$C$66,IF($M823="THU",2,3),FALSE()),IFERROR(VLOOKUP(LEFT($N823,1),LCTT_MAP!$A$7:$C$66,IF($M823="THU",2,3),FALSE()),IF($M823="THU","06","07")))))))</f>
        <v/>
      </c>
      <c r="P823" s="117">
        <f>P822+IF(AND($H823&lt;&gt;"",OR(LEFT($F823,LEN(SC_TK))=SC_TK,LEFT($G823,LEN(SC_TK))=SC_TK)),1,0)</f>
        <v/>
      </c>
    </row>
    <row r="824" ht="15" customHeight="1" s="78">
      <c r="A824" s="95">
        <f>IF($H824="","",ROW()-6)</f>
        <v/>
      </c>
      <c r="B824" s="114" t="n"/>
      <c r="C824" s="102" t="n"/>
      <c r="D824" s="114" t="n"/>
      <c r="E824" s="103" t="n"/>
      <c r="F824" s="102" t="n"/>
      <c r="G824" s="102" t="n"/>
      <c r="H824" s="115" t="n"/>
      <c r="I824" s="102" t="n"/>
      <c r="J824" s="102" t="n"/>
      <c r="K824" s="103" t="n"/>
      <c r="L824" s="116">
        <f>IF($H824="","",TRIM(IF(COUNTIF(DMTK!$A$7:$A$250,$F824)=0,"TK Nợ sai! ","")&amp;IF(COUNTIF(DMTK!$A$7:$A$250,$G824)=0,"TK Có sai! ","")&amp;IF(N($H824)&lt;=0,"Tiền phải &gt; 0! ","")&amp;IF($B824="","Thiếu ngày! ","")&amp;IF(AND(OR(LEFT($F824,3)="131",LEFT($G824,3)="131",LEFT($F824,3)="331",LEFT($G824,3)="331"),$I824=""),"Thiếu Mã ĐT! ","")&amp;IF(AND($I824&lt;&gt;"",COUNTIF(DM_DT!$A$7:$A$306,$I824)=0),"Mã ĐT chưa khai báo! ","")))</f>
        <v/>
      </c>
      <c r="M824" s="117">
        <f>IF($H824="","",IF(AND(OR(LEFT($F824,3)="111",LEFT($F824,3)="112",LEFT($F824,3)="113"),OR(LEFT($G824,3)="111",LEFT($G824,3)="112",LEFT($G824,3)="113")),"NB",IF(OR(LEFT($F824,3)="111",LEFT($F824,3)="112",LEFT($F824,3)="113"),"THU",IF(OR(LEFT($G824,3)="111",LEFT($G824,3)="112",LEFT($G824,3)="113"),"CHI",""))))</f>
        <v/>
      </c>
      <c r="N824" s="117">
        <f>IF($M824="THU",$G824,IF($M824="CHI",$F824,""))</f>
        <v/>
      </c>
      <c r="O824" s="117">
        <f>IF(OR($M824="",$M824="NB"),"",IF($J824&lt;&gt;"",TEXT($J824,"00"),IFERROR(VLOOKUP(LEFT($N824,4),LCTT_MAP!$A$7:$C$66,IF($M824="THU",2,3),FALSE()),IFERROR(VLOOKUP(LEFT($N824,3),LCTT_MAP!$A$7:$C$66,IF($M824="THU",2,3),FALSE()),IFERROR(VLOOKUP(LEFT($N824,2),LCTT_MAP!$A$7:$C$66,IF($M824="THU",2,3),FALSE()),IFERROR(VLOOKUP(LEFT($N824,1),LCTT_MAP!$A$7:$C$66,IF($M824="THU",2,3),FALSE()),IF($M824="THU","06","07")))))))</f>
        <v/>
      </c>
      <c r="P824" s="117">
        <f>P823+IF(AND($H824&lt;&gt;"",OR(LEFT($F824,LEN(SC_TK))=SC_TK,LEFT($G824,LEN(SC_TK))=SC_TK)),1,0)</f>
        <v/>
      </c>
    </row>
    <row r="825" ht="15" customHeight="1" s="78">
      <c r="A825" s="95">
        <f>IF($H825="","",ROW()-6)</f>
        <v/>
      </c>
      <c r="B825" s="114" t="n"/>
      <c r="C825" s="102" t="n"/>
      <c r="D825" s="114" t="n"/>
      <c r="E825" s="103" t="n"/>
      <c r="F825" s="102" t="n"/>
      <c r="G825" s="102" t="n"/>
      <c r="H825" s="115" t="n"/>
      <c r="I825" s="102" t="n"/>
      <c r="J825" s="102" t="n"/>
      <c r="K825" s="103" t="n"/>
      <c r="L825" s="116">
        <f>IF($H825="","",TRIM(IF(COUNTIF(DMTK!$A$7:$A$250,$F825)=0,"TK Nợ sai! ","")&amp;IF(COUNTIF(DMTK!$A$7:$A$250,$G825)=0,"TK Có sai! ","")&amp;IF(N($H825)&lt;=0,"Tiền phải &gt; 0! ","")&amp;IF($B825="","Thiếu ngày! ","")&amp;IF(AND(OR(LEFT($F825,3)="131",LEFT($G825,3)="131",LEFT($F825,3)="331",LEFT($G825,3)="331"),$I825=""),"Thiếu Mã ĐT! ","")&amp;IF(AND($I825&lt;&gt;"",COUNTIF(DM_DT!$A$7:$A$306,$I825)=0),"Mã ĐT chưa khai báo! ","")))</f>
        <v/>
      </c>
      <c r="M825" s="117">
        <f>IF($H825="","",IF(AND(OR(LEFT($F825,3)="111",LEFT($F825,3)="112",LEFT($F825,3)="113"),OR(LEFT($G825,3)="111",LEFT($G825,3)="112",LEFT($G825,3)="113")),"NB",IF(OR(LEFT($F825,3)="111",LEFT($F825,3)="112",LEFT($F825,3)="113"),"THU",IF(OR(LEFT($G825,3)="111",LEFT($G825,3)="112",LEFT($G825,3)="113"),"CHI",""))))</f>
        <v/>
      </c>
      <c r="N825" s="117">
        <f>IF($M825="THU",$G825,IF($M825="CHI",$F825,""))</f>
        <v/>
      </c>
      <c r="O825" s="117">
        <f>IF(OR($M825="",$M825="NB"),"",IF($J825&lt;&gt;"",TEXT($J825,"00"),IFERROR(VLOOKUP(LEFT($N825,4),LCTT_MAP!$A$7:$C$66,IF($M825="THU",2,3),FALSE()),IFERROR(VLOOKUP(LEFT($N825,3),LCTT_MAP!$A$7:$C$66,IF($M825="THU",2,3),FALSE()),IFERROR(VLOOKUP(LEFT($N825,2),LCTT_MAP!$A$7:$C$66,IF($M825="THU",2,3),FALSE()),IFERROR(VLOOKUP(LEFT($N825,1),LCTT_MAP!$A$7:$C$66,IF($M825="THU",2,3),FALSE()),IF($M825="THU","06","07")))))))</f>
        <v/>
      </c>
      <c r="P825" s="117">
        <f>P824+IF(AND($H825&lt;&gt;"",OR(LEFT($F825,LEN(SC_TK))=SC_TK,LEFT($G825,LEN(SC_TK))=SC_TK)),1,0)</f>
        <v/>
      </c>
    </row>
    <row r="826" ht="15" customHeight="1" s="78">
      <c r="A826" s="95">
        <f>IF($H826="","",ROW()-6)</f>
        <v/>
      </c>
      <c r="B826" s="114" t="n"/>
      <c r="C826" s="102" t="n"/>
      <c r="D826" s="114" t="n"/>
      <c r="E826" s="103" t="n"/>
      <c r="F826" s="102" t="n"/>
      <c r="G826" s="102" t="n"/>
      <c r="H826" s="115" t="n"/>
      <c r="I826" s="102" t="n"/>
      <c r="J826" s="102" t="n"/>
      <c r="K826" s="103" t="n"/>
      <c r="L826" s="116">
        <f>IF($H826="","",TRIM(IF(COUNTIF(DMTK!$A$7:$A$250,$F826)=0,"TK Nợ sai! ","")&amp;IF(COUNTIF(DMTK!$A$7:$A$250,$G826)=0,"TK Có sai! ","")&amp;IF(N($H826)&lt;=0,"Tiền phải &gt; 0! ","")&amp;IF($B826="","Thiếu ngày! ","")&amp;IF(AND(OR(LEFT($F826,3)="131",LEFT($G826,3)="131",LEFT($F826,3)="331",LEFT($G826,3)="331"),$I826=""),"Thiếu Mã ĐT! ","")&amp;IF(AND($I826&lt;&gt;"",COUNTIF(DM_DT!$A$7:$A$306,$I826)=0),"Mã ĐT chưa khai báo! ","")))</f>
        <v/>
      </c>
      <c r="M826" s="117">
        <f>IF($H826="","",IF(AND(OR(LEFT($F826,3)="111",LEFT($F826,3)="112",LEFT($F826,3)="113"),OR(LEFT($G826,3)="111",LEFT($G826,3)="112",LEFT($G826,3)="113")),"NB",IF(OR(LEFT($F826,3)="111",LEFT($F826,3)="112",LEFT($F826,3)="113"),"THU",IF(OR(LEFT($G826,3)="111",LEFT($G826,3)="112",LEFT($G826,3)="113"),"CHI",""))))</f>
        <v/>
      </c>
      <c r="N826" s="117">
        <f>IF($M826="THU",$G826,IF($M826="CHI",$F826,""))</f>
        <v/>
      </c>
      <c r="O826" s="117">
        <f>IF(OR($M826="",$M826="NB"),"",IF($J826&lt;&gt;"",TEXT($J826,"00"),IFERROR(VLOOKUP(LEFT($N826,4),LCTT_MAP!$A$7:$C$66,IF($M826="THU",2,3),FALSE()),IFERROR(VLOOKUP(LEFT($N826,3),LCTT_MAP!$A$7:$C$66,IF($M826="THU",2,3),FALSE()),IFERROR(VLOOKUP(LEFT($N826,2),LCTT_MAP!$A$7:$C$66,IF($M826="THU",2,3),FALSE()),IFERROR(VLOOKUP(LEFT($N826,1),LCTT_MAP!$A$7:$C$66,IF($M826="THU",2,3),FALSE()),IF($M826="THU","06","07")))))))</f>
        <v/>
      </c>
      <c r="P826" s="117">
        <f>P825+IF(AND($H826&lt;&gt;"",OR(LEFT($F826,LEN(SC_TK))=SC_TK,LEFT($G826,LEN(SC_TK))=SC_TK)),1,0)</f>
        <v/>
      </c>
    </row>
    <row r="827" ht="15" customHeight="1" s="78">
      <c r="A827" s="95">
        <f>IF($H827="","",ROW()-6)</f>
        <v/>
      </c>
      <c r="B827" s="114" t="n"/>
      <c r="C827" s="102" t="n"/>
      <c r="D827" s="114" t="n"/>
      <c r="E827" s="103" t="n"/>
      <c r="F827" s="102" t="n"/>
      <c r="G827" s="102" t="n"/>
      <c r="H827" s="115" t="n"/>
      <c r="I827" s="102" t="n"/>
      <c r="J827" s="102" t="n"/>
      <c r="K827" s="103" t="n"/>
      <c r="L827" s="116">
        <f>IF($H827="","",TRIM(IF(COUNTIF(DMTK!$A$7:$A$250,$F827)=0,"TK Nợ sai! ","")&amp;IF(COUNTIF(DMTK!$A$7:$A$250,$G827)=0,"TK Có sai! ","")&amp;IF(N($H827)&lt;=0,"Tiền phải &gt; 0! ","")&amp;IF($B827="","Thiếu ngày! ","")&amp;IF(AND(OR(LEFT($F827,3)="131",LEFT($G827,3)="131",LEFT($F827,3)="331",LEFT($G827,3)="331"),$I827=""),"Thiếu Mã ĐT! ","")&amp;IF(AND($I827&lt;&gt;"",COUNTIF(DM_DT!$A$7:$A$306,$I827)=0),"Mã ĐT chưa khai báo! ","")))</f>
        <v/>
      </c>
      <c r="M827" s="117">
        <f>IF($H827="","",IF(AND(OR(LEFT($F827,3)="111",LEFT($F827,3)="112",LEFT($F827,3)="113"),OR(LEFT($G827,3)="111",LEFT($G827,3)="112",LEFT($G827,3)="113")),"NB",IF(OR(LEFT($F827,3)="111",LEFT($F827,3)="112",LEFT($F827,3)="113"),"THU",IF(OR(LEFT($G827,3)="111",LEFT($G827,3)="112",LEFT($G827,3)="113"),"CHI",""))))</f>
        <v/>
      </c>
      <c r="N827" s="117">
        <f>IF($M827="THU",$G827,IF($M827="CHI",$F827,""))</f>
        <v/>
      </c>
      <c r="O827" s="117">
        <f>IF(OR($M827="",$M827="NB"),"",IF($J827&lt;&gt;"",TEXT($J827,"00"),IFERROR(VLOOKUP(LEFT($N827,4),LCTT_MAP!$A$7:$C$66,IF($M827="THU",2,3),FALSE()),IFERROR(VLOOKUP(LEFT($N827,3),LCTT_MAP!$A$7:$C$66,IF($M827="THU",2,3),FALSE()),IFERROR(VLOOKUP(LEFT($N827,2),LCTT_MAP!$A$7:$C$66,IF($M827="THU",2,3),FALSE()),IFERROR(VLOOKUP(LEFT($N827,1),LCTT_MAP!$A$7:$C$66,IF($M827="THU",2,3),FALSE()),IF($M827="THU","06","07")))))))</f>
        <v/>
      </c>
      <c r="P827" s="117">
        <f>P826+IF(AND($H827&lt;&gt;"",OR(LEFT($F827,LEN(SC_TK))=SC_TK,LEFT($G827,LEN(SC_TK))=SC_TK)),1,0)</f>
        <v/>
      </c>
    </row>
    <row r="828" ht="15" customHeight="1" s="78">
      <c r="A828" s="95">
        <f>IF($H828="","",ROW()-6)</f>
        <v/>
      </c>
      <c r="B828" s="114" t="n"/>
      <c r="C828" s="102" t="n"/>
      <c r="D828" s="114" t="n"/>
      <c r="E828" s="103" t="n"/>
      <c r="F828" s="102" t="n"/>
      <c r="G828" s="102" t="n"/>
      <c r="H828" s="115" t="n"/>
      <c r="I828" s="102" t="n"/>
      <c r="J828" s="102" t="n"/>
      <c r="K828" s="103" t="n"/>
      <c r="L828" s="116">
        <f>IF($H828="","",TRIM(IF(COUNTIF(DMTK!$A$7:$A$250,$F828)=0,"TK Nợ sai! ","")&amp;IF(COUNTIF(DMTK!$A$7:$A$250,$G828)=0,"TK Có sai! ","")&amp;IF(N($H828)&lt;=0,"Tiền phải &gt; 0! ","")&amp;IF($B828="","Thiếu ngày! ","")&amp;IF(AND(OR(LEFT($F828,3)="131",LEFT($G828,3)="131",LEFT($F828,3)="331",LEFT($G828,3)="331"),$I828=""),"Thiếu Mã ĐT! ","")&amp;IF(AND($I828&lt;&gt;"",COUNTIF(DM_DT!$A$7:$A$306,$I828)=0),"Mã ĐT chưa khai báo! ","")))</f>
        <v/>
      </c>
      <c r="M828" s="117">
        <f>IF($H828="","",IF(AND(OR(LEFT($F828,3)="111",LEFT($F828,3)="112",LEFT($F828,3)="113"),OR(LEFT($G828,3)="111",LEFT($G828,3)="112",LEFT($G828,3)="113")),"NB",IF(OR(LEFT($F828,3)="111",LEFT($F828,3)="112",LEFT($F828,3)="113"),"THU",IF(OR(LEFT($G828,3)="111",LEFT($G828,3)="112",LEFT($G828,3)="113"),"CHI",""))))</f>
        <v/>
      </c>
      <c r="N828" s="117">
        <f>IF($M828="THU",$G828,IF($M828="CHI",$F828,""))</f>
        <v/>
      </c>
      <c r="O828" s="117">
        <f>IF(OR($M828="",$M828="NB"),"",IF($J828&lt;&gt;"",TEXT($J828,"00"),IFERROR(VLOOKUP(LEFT($N828,4),LCTT_MAP!$A$7:$C$66,IF($M828="THU",2,3),FALSE()),IFERROR(VLOOKUP(LEFT($N828,3),LCTT_MAP!$A$7:$C$66,IF($M828="THU",2,3),FALSE()),IFERROR(VLOOKUP(LEFT($N828,2),LCTT_MAP!$A$7:$C$66,IF($M828="THU",2,3),FALSE()),IFERROR(VLOOKUP(LEFT($N828,1),LCTT_MAP!$A$7:$C$66,IF($M828="THU",2,3),FALSE()),IF($M828="THU","06","07")))))))</f>
        <v/>
      </c>
      <c r="P828" s="117">
        <f>P827+IF(AND($H828&lt;&gt;"",OR(LEFT($F828,LEN(SC_TK))=SC_TK,LEFT($G828,LEN(SC_TK))=SC_TK)),1,0)</f>
        <v/>
      </c>
    </row>
    <row r="829" ht="15" customHeight="1" s="78">
      <c r="A829" s="95">
        <f>IF($H829="","",ROW()-6)</f>
        <v/>
      </c>
      <c r="B829" s="114" t="n"/>
      <c r="C829" s="102" t="n"/>
      <c r="D829" s="114" t="n"/>
      <c r="E829" s="103" t="n"/>
      <c r="F829" s="102" t="n"/>
      <c r="G829" s="102" t="n"/>
      <c r="H829" s="115" t="n"/>
      <c r="I829" s="102" t="n"/>
      <c r="J829" s="102" t="n"/>
      <c r="K829" s="103" t="n"/>
      <c r="L829" s="116">
        <f>IF($H829="","",TRIM(IF(COUNTIF(DMTK!$A$7:$A$250,$F829)=0,"TK Nợ sai! ","")&amp;IF(COUNTIF(DMTK!$A$7:$A$250,$G829)=0,"TK Có sai! ","")&amp;IF(N($H829)&lt;=0,"Tiền phải &gt; 0! ","")&amp;IF($B829="","Thiếu ngày! ","")&amp;IF(AND(OR(LEFT($F829,3)="131",LEFT($G829,3)="131",LEFT($F829,3)="331",LEFT($G829,3)="331"),$I829=""),"Thiếu Mã ĐT! ","")&amp;IF(AND($I829&lt;&gt;"",COUNTIF(DM_DT!$A$7:$A$306,$I829)=0),"Mã ĐT chưa khai báo! ","")))</f>
        <v/>
      </c>
      <c r="M829" s="117">
        <f>IF($H829="","",IF(AND(OR(LEFT($F829,3)="111",LEFT($F829,3)="112",LEFT($F829,3)="113"),OR(LEFT($G829,3)="111",LEFT($G829,3)="112",LEFT($G829,3)="113")),"NB",IF(OR(LEFT($F829,3)="111",LEFT($F829,3)="112",LEFT($F829,3)="113"),"THU",IF(OR(LEFT($G829,3)="111",LEFT($G829,3)="112",LEFT($G829,3)="113"),"CHI",""))))</f>
        <v/>
      </c>
      <c r="N829" s="117">
        <f>IF($M829="THU",$G829,IF($M829="CHI",$F829,""))</f>
        <v/>
      </c>
      <c r="O829" s="117">
        <f>IF(OR($M829="",$M829="NB"),"",IF($J829&lt;&gt;"",TEXT($J829,"00"),IFERROR(VLOOKUP(LEFT($N829,4),LCTT_MAP!$A$7:$C$66,IF($M829="THU",2,3),FALSE()),IFERROR(VLOOKUP(LEFT($N829,3),LCTT_MAP!$A$7:$C$66,IF($M829="THU",2,3),FALSE()),IFERROR(VLOOKUP(LEFT($N829,2),LCTT_MAP!$A$7:$C$66,IF($M829="THU",2,3),FALSE()),IFERROR(VLOOKUP(LEFT($N829,1),LCTT_MAP!$A$7:$C$66,IF($M829="THU",2,3),FALSE()),IF($M829="THU","06","07")))))))</f>
        <v/>
      </c>
      <c r="P829" s="117">
        <f>P828+IF(AND($H829&lt;&gt;"",OR(LEFT($F829,LEN(SC_TK))=SC_TK,LEFT($G829,LEN(SC_TK))=SC_TK)),1,0)</f>
        <v/>
      </c>
    </row>
    <row r="830" ht="15" customHeight="1" s="78">
      <c r="A830" s="95">
        <f>IF($H830="","",ROW()-6)</f>
        <v/>
      </c>
      <c r="B830" s="114" t="n"/>
      <c r="C830" s="102" t="n"/>
      <c r="D830" s="114" t="n"/>
      <c r="E830" s="103" t="n"/>
      <c r="F830" s="102" t="n"/>
      <c r="G830" s="102" t="n"/>
      <c r="H830" s="115" t="n"/>
      <c r="I830" s="102" t="n"/>
      <c r="J830" s="102" t="n"/>
      <c r="K830" s="103" t="n"/>
      <c r="L830" s="116">
        <f>IF($H830="","",TRIM(IF(COUNTIF(DMTK!$A$7:$A$250,$F830)=0,"TK Nợ sai! ","")&amp;IF(COUNTIF(DMTK!$A$7:$A$250,$G830)=0,"TK Có sai! ","")&amp;IF(N($H830)&lt;=0,"Tiền phải &gt; 0! ","")&amp;IF($B830="","Thiếu ngày! ","")&amp;IF(AND(OR(LEFT($F830,3)="131",LEFT($G830,3)="131",LEFT($F830,3)="331",LEFT($G830,3)="331"),$I830=""),"Thiếu Mã ĐT! ","")&amp;IF(AND($I830&lt;&gt;"",COUNTIF(DM_DT!$A$7:$A$306,$I830)=0),"Mã ĐT chưa khai báo! ","")))</f>
        <v/>
      </c>
      <c r="M830" s="117">
        <f>IF($H830="","",IF(AND(OR(LEFT($F830,3)="111",LEFT($F830,3)="112",LEFT($F830,3)="113"),OR(LEFT($G830,3)="111",LEFT($G830,3)="112",LEFT($G830,3)="113")),"NB",IF(OR(LEFT($F830,3)="111",LEFT($F830,3)="112",LEFT($F830,3)="113"),"THU",IF(OR(LEFT($G830,3)="111",LEFT($G830,3)="112",LEFT($G830,3)="113"),"CHI",""))))</f>
        <v/>
      </c>
      <c r="N830" s="117">
        <f>IF($M830="THU",$G830,IF($M830="CHI",$F830,""))</f>
        <v/>
      </c>
      <c r="O830" s="117">
        <f>IF(OR($M830="",$M830="NB"),"",IF($J830&lt;&gt;"",TEXT($J830,"00"),IFERROR(VLOOKUP(LEFT($N830,4),LCTT_MAP!$A$7:$C$66,IF($M830="THU",2,3),FALSE()),IFERROR(VLOOKUP(LEFT($N830,3),LCTT_MAP!$A$7:$C$66,IF($M830="THU",2,3),FALSE()),IFERROR(VLOOKUP(LEFT($N830,2),LCTT_MAP!$A$7:$C$66,IF($M830="THU",2,3),FALSE()),IFERROR(VLOOKUP(LEFT($N830,1),LCTT_MAP!$A$7:$C$66,IF($M830="THU",2,3),FALSE()),IF($M830="THU","06","07")))))))</f>
        <v/>
      </c>
      <c r="P830" s="117">
        <f>P829+IF(AND($H830&lt;&gt;"",OR(LEFT($F830,LEN(SC_TK))=SC_TK,LEFT($G830,LEN(SC_TK))=SC_TK)),1,0)</f>
        <v/>
      </c>
    </row>
    <row r="831" ht="15" customHeight="1" s="78">
      <c r="A831" s="95">
        <f>IF($H831="","",ROW()-6)</f>
        <v/>
      </c>
      <c r="B831" s="114" t="n"/>
      <c r="C831" s="102" t="n"/>
      <c r="D831" s="114" t="n"/>
      <c r="E831" s="103" t="n"/>
      <c r="F831" s="102" t="n"/>
      <c r="G831" s="102" t="n"/>
      <c r="H831" s="115" t="n"/>
      <c r="I831" s="102" t="n"/>
      <c r="J831" s="102" t="n"/>
      <c r="K831" s="103" t="n"/>
      <c r="L831" s="116">
        <f>IF($H831="","",TRIM(IF(COUNTIF(DMTK!$A$7:$A$250,$F831)=0,"TK Nợ sai! ","")&amp;IF(COUNTIF(DMTK!$A$7:$A$250,$G831)=0,"TK Có sai! ","")&amp;IF(N($H831)&lt;=0,"Tiền phải &gt; 0! ","")&amp;IF($B831="","Thiếu ngày! ","")&amp;IF(AND(OR(LEFT($F831,3)="131",LEFT($G831,3)="131",LEFT($F831,3)="331",LEFT($G831,3)="331"),$I831=""),"Thiếu Mã ĐT! ","")&amp;IF(AND($I831&lt;&gt;"",COUNTIF(DM_DT!$A$7:$A$306,$I831)=0),"Mã ĐT chưa khai báo! ","")))</f>
        <v/>
      </c>
      <c r="M831" s="117">
        <f>IF($H831="","",IF(AND(OR(LEFT($F831,3)="111",LEFT($F831,3)="112",LEFT($F831,3)="113"),OR(LEFT($G831,3)="111",LEFT($G831,3)="112",LEFT($G831,3)="113")),"NB",IF(OR(LEFT($F831,3)="111",LEFT($F831,3)="112",LEFT($F831,3)="113"),"THU",IF(OR(LEFT($G831,3)="111",LEFT($G831,3)="112",LEFT($G831,3)="113"),"CHI",""))))</f>
        <v/>
      </c>
      <c r="N831" s="117">
        <f>IF($M831="THU",$G831,IF($M831="CHI",$F831,""))</f>
        <v/>
      </c>
      <c r="O831" s="117">
        <f>IF(OR($M831="",$M831="NB"),"",IF($J831&lt;&gt;"",TEXT($J831,"00"),IFERROR(VLOOKUP(LEFT($N831,4),LCTT_MAP!$A$7:$C$66,IF($M831="THU",2,3),FALSE()),IFERROR(VLOOKUP(LEFT($N831,3),LCTT_MAP!$A$7:$C$66,IF($M831="THU",2,3),FALSE()),IFERROR(VLOOKUP(LEFT($N831,2),LCTT_MAP!$A$7:$C$66,IF($M831="THU",2,3),FALSE()),IFERROR(VLOOKUP(LEFT($N831,1),LCTT_MAP!$A$7:$C$66,IF($M831="THU",2,3),FALSE()),IF($M831="THU","06","07")))))))</f>
        <v/>
      </c>
      <c r="P831" s="117">
        <f>P830+IF(AND($H831&lt;&gt;"",OR(LEFT($F831,LEN(SC_TK))=SC_TK,LEFT($G831,LEN(SC_TK))=SC_TK)),1,0)</f>
        <v/>
      </c>
    </row>
    <row r="832" ht="15" customHeight="1" s="78">
      <c r="A832" s="95">
        <f>IF($H832="","",ROW()-6)</f>
        <v/>
      </c>
      <c r="B832" s="114" t="n"/>
      <c r="C832" s="102" t="n"/>
      <c r="D832" s="114" t="n"/>
      <c r="E832" s="103" t="n"/>
      <c r="F832" s="102" t="n"/>
      <c r="G832" s="102" t="n"/>
      <c r="H832" s="115" t="n"/>
      <c r="I832" s="102" t="n"/>
      <c r="J832" s="102" t="n"/>
      <c r="K832" s="103" t="n"/>
      <c r="L832" s="116">
        <f>IF($H832="","",TRIM(IF(COUNTIF(DMTK!$A$7:$A$250,$F832)=0,"TK Nợ sai! ","")&amp;IF(COUNTIF(DMTK!$A$7:$A$250,$G832)=0,"TK Có sai! ","")&amp;IF(N($H832)&lt;=0,"Tiền phải &gt; 0! ","")&amp;IF($B832="","Thiếu ngày! ","")&amp;IF(AND(OR(LEFT($F832,3)="131",LEFT($G832,3)="131",LEFT($F832,3)="331",LEFT($G832,3)="331"),$I832=""),"Thiếu Mã ĐT! ","")&amp;IF(AND($I832&lt;&gt;"",COUNTIF(DM_DT!$A$7:$A$306,$I832)=0),"Mã ĐT chưa khai báo! ","")))</f>
        <v/>
      </c>
      <c r="M832" s="117">
        <f>IF($H832="","",IF(AND(OR(LEFT($F832,3)="111",LEFT($F832,3)="112",LEFT($F832,3)="113"),OR(LEFT($G832,3)="111",LEFT($G832,3)="112",LEFT($G832,3)="113")),"NB",IF(OR(LEFT($F832,3)="111",LEFT($F832,3)="112",LEFT($F832,3)="113"),"THU",IF(OR(LEFT($G832,3)="111",LEFT($G832,3)="112",LEFT($G832,3)="113"),"CHI",""))))</f>
        <v/>
      </c>
      <c r="N832" s="117">
        <f>IF($M832="THU",$G832,IF($M832="CHI",$F832,""))</f>
        <v/>
      </c>
      <c r="O832" s="117">
        <f>IF(OR($M832="",$M832="NB"),"",IF($J832&lt;&gt;"",TEXT($J832,"00"),IFERROR(VLOOKUP(LEFT($N832,4),LCTT_MAP!$A$7:$C$66,IF($M832="THU",2,3),FALSE()),IFERROR(VLOOKUP(LEFT($N832,3),LCTT_MAP!$A$7:$C$66,IF($M832="THU",2,3),FALSE()),IFERROR(VLOOKUP(LEFT($N832,2),LCTT_MAP!$A$7:$C$66,IF($M832="THU",2,3),FALSE()),IFERROR(VLOOKUP(LEFT($N832,1),LCTT_MAP!$A$7:$C$66,IF($M832="THU",2,3),FALSE()),IF($M832="THU","06","07")))))))</f>
        <v/>
      </c>
      <c r="P832" s="117">
        <f>P831+IF(AND($H832&lt;&gt;"",OR(LEFT($F832,LEN(SC_TK))=SC_TK,LEFT($G832,LEN(SC_TK))=SC_TK)),1,0)</f>
        <v/>
      </c>
    </row>
    <row r="833" ht="15" customHeight="1" s="78">
      <c r="A833" s="95">
        <f>IF($H833="","",ROW()-6)</f>
        <v/>
      </c>
      <c r="B833" s="114" t="n"/>
      <c r="C833" s="102" t="n"/>
      <c r="D833" s="114" t="n"/>
      <c r="E833" s="103" t="n"/>
      <c r="F833" s="102" t="n"/>
      <c r="G833" s="102" t="n"/>
      <c r="H833" s="115" t="n"/>
      <c r="I833" s="102" t="n"/>
      <c r="J833" s="102" t="n"/>
      <c r="K833" s="103" t="n"/>
      <c r="L833" s="116">
        <f>IF($H833="","",TRIM(IF(COUNTIF(DMTK!$A$7:$A$250,$F833)=0,"TK Nợ sai! ","")&amp;IF(COUNTIF(DMTK!$A$7:$A$250,$G833)=0,"TK Có sai! ","")&amp;IF(N($H833)&lt;=0,"Tiền phải &gt; 0! ","")&amp;IF($B833="","Thiếu ngày! ","")&amp;IF(AND(OR(LEFT($F833,3)="131",LEFT($G833,3)="131",LEFT($F833,3)="331",LEFT($G833,3)="331"),$I833=""),"Thiếu Mã ĐT! ","")&amp;IF(AND($I833&lt;&gt;"",COUNTIF(DM_DT!$A$7:$A$306,$I833)=0),"Mã ĐT chưa khai báo! ","")))</f>
        <v/>
      </c>
      <c r="M833" s="117">
        <f>IF($H833="","",IF(AND(OR(LEFT($F833,3)="111",LEFT($F833,3)="112",LEFT($F833,3)="113"),OR(LEFT($G833,3)="111",LEFT($G833,3)="112",LEFT($G833,3)="113")),"NB",IF(OR(LEFT($F833,3)="111",LEFT($F833,3)="112",LEFT($F833,3)="113"),"THU",IF(OR(LEFT($G833,3)="111",LEFT($G833,3)="112",LEFT($G833,3)="113"),"CHI",""))))</f>
        <v/>
      </c>
      <c r="N833" s="117">
        <f>IF($M833="THU",$G833,IF($M833="CHI",$F833,""))</f>
        <v/>
      </c>
      <c r="O833" s="117">
        <f>IF(OR($M833="",$M833="NB"),"",IF($J833&lt;&gt;"",TEXT($J833,"00"),IFERROR(VLOOKUP(LEFT($N833,4),LCTT_MAP!$A$7:$C$66,IF($M833="THU",2,3),FALSE()),IFERROR(VLOOKUP(LEFT($N833,3),LCTT_MAP!$A$7:$C$66,IF($M833="THU",2,3),FALSE()),IFERROR(VLOOKUP(LEFT($N833,2),LCTT_MAP!$A$7:$C$66,IF($M833="THU",2,3),FALSE()),IFERROR(VLOOKUP(LEFT($N833,1),LCTT_MAP!$A$7:$C$66,IF($M833="THU",2,3),FALSE()),IF($M833="THU","06","07")))))))</f>
        <v/>
      </c>
      <c r="P833" s="117">
        <f>P832+IF(AND($H833&lt;&gt;"",OR(LEFT($F833,LEN(SC_TK))=SC_TK,LEFT($G833,LEN(SC_TK))=SC_TK)),1,0)</f>
        <v/>
      </c>
    </row>
    <row r="834" ht="15" customHeight="1" s="78">
      <c r="A834" s="95">
        <f>IF($H834="","",ROW()-6)</f>
        <v/>
      </c>
      <c r="B834" s="114" t="n"/>
      <c r="C834" s="102" t="n"/>
      <c r="D834" s="114" t="n"/>
      <c r="E834" s="103" t="n"/>
      <c r="F834" s="102" t="n"/>
      <c r="G834" s="102" t="n"/>
      <c r="H834" s="115" t="n"/>
      <c r="I834" s="102" t="n"/>
      <c r="J834" s="102" t="n"/>
      <c r="K834" s="103" t="n"/>
      <c r="L834" s="116">
        <f>IF($H834="","",TRIM(IF(COUNTIF(DMTK!$A$7:$A$250,$F834)=0,"TK Nợ sai! ","")&amp;IF(COUNTIF(DMTK!$A$7:$A$250,$G834)=0,"TK Có sai! ","")&amp;IF(N($H834)&lt;=0,"Tiền phải &gt; 0! ","")&amp;IF($B834="","Thiếu ngày! ","")&amp;IF(AND(OR(LEFT($F834,3)="131",LEFT($G834,3)="131",LEFT($F834,3)="331",LEFT($G834,3)="331"),$I834=""),"Thiếu Mã ĐT! ","")&amp;IF(AND($I834&lt;&gt;"",COUNTIF(DM_DT!$A$7:$A$306,$I834)=0),"Mã ĐT chưa khai báo! ","")))</f>
        <v/>
      </c>
      <c r="M834" s="117">
        <f>IF($H834="","",IF(AND(OR(LEFT($F834,3)="111",LEFT($F834,3)="112",LEFT($F834,3)="113"),OR(LEFT($G834,3)="111",LEFT($G834,3)="112",LEFT($G834,3)="113")),"NB",IF(OR(LEFT($F834,3)="111",LEFT($F834,3)="112",LEFT($F834,3)="113"),"THU",IF(OR(LEFT($G834,3)="111",LEFT($G834,3)="112",LEFT($G834,3)="113"),"CHI",""))))</f>
        <v/>
      </c>
      <c r="N834" s="117">
        <f>IF($M834="THU",$G834,IF($M834="CHI",$F834,""))</f>
        <v/>
      </c>
      <c r="O834" s="117">
        <f>IF(OR($M834="",$M834="NB"),"",IF($J834&lt;&gt;"",TEXT($J834,"00"),IFERROR(VLOOKUP(LEFT($N834,4),LCTT_MAP!$A$7:$C$66,IF($M834="THU",2,3),FALSE()),IFERROR(VLOOKUP(LEFT($N834,3),LCTT_MAP!$A$7:$C$66,IF($M834="THU",2,3),FALSE()),IFERROR(VLOOKUP(LEFT($N834,2),LCTT_MAP!$A$7:$C$66,IF($M834="THU",2,3),FALSE()),IFERROR(VLOOKUP(LEFT($N834,1),LCTT_MAP!$A$7:$C$66,IF($M834="THU",2,3),FALSE()),IF($M834="THU","06","07")))))))</f>
        <v/>
      </c>
      <c r="P834" s="117">
        <f>P833+IF(AND($H834&lt;&gt;"",OR(LEFT($F834,LEN(SC_TK))=SC_TK,LEFT($G834,LEN(SC_TK))=SC_TK)),1,0)</f>
        <v/>
      </c>
    </row>
    <row r="835" ht="15" customHeight="1" s="78">
      <c r="A835" s="95">
        <f>IF($H835="","",ROW()-6)</f>
        <v/>
      </c>
      <c r="B835" s="114" t="n"/>
      <c r="C835" s="102" t="n"/>
      <c r="D835" s="114" t="n"/>
      <c r="E835" s="103" t="n"/>
      <c r="F835" s="102" t="n"/>
      <c r="G835" s="102" t="n"/>
      <c r="H835" s="115" t="n"/>
      <c r="I835" s="102" t="n"/>
      <c r="J835" s="102" t="n"/>
      <c r="K835" s="103" t="n"/>
      <c r="L835" s="116">
        <f>IF($H835="","",TRIM(IF(COUNTIF(DMTK!$A$7:$A$250,$F835)=0,"TK Nợ sai! ","")&amp;IF(COUNTIF(DMTK!$A$7:$A$250,$G835)=0,"TK Có sai! ","")&amp;IF(N($H835)&lt;=0,"Tiền phải &gt; 0! ","")&amp;IF($B835="","Thiếu ngày! ","")&amp;IF(AND(OR(LEFT($F835,3)="131",LEFT($G835,3)="131",LEFT($F835,3)="331",LEFT($G835,3)="331"),$I835=""),"Thiếu Mã ĐT! ","")&amp;IF(AND($I835&lt;&gt;"",COUNTIF(DM_DT!$A$7:$A$306,$I835)=0),"Mã ĐT chưa khai báo! ","")))</f>
        <v/>
      </c>
      <c r="M835" s="117">
        <f>IF($H835="","",IF(AND(OR(LEFT($F835,3)="111",LEFT($F835,3)="112",LEFT($F835,3)="113"),OR(LEFT($G835,3)="111",LEFT($G835,3)="112",LEFT($G835,3)="113")),"NB",IF(OR(LEFT($F835,3)="111",LEFT($F835,3)="112",LEFT($F835,3)="113"),"THU",IF(OR(LEFT($G835,3)="111",LEFT($G835,3)="112",LEFT($G835,3)="113"),"CHI",""))))</f>
        <v/>
      </c>
      <c r="N835" s="117">
        <f>IF($M835="THU",$G835,IF($M835="CHI",$F835,""))</f>
        <v/>
      </c>
      <c r="O835" s="117">
        <f>IF(OR($M835="",$M835="NB"),"",IF($J835&lt;&gt;"",TEXT($J835,"00"),IFERROR(VLOOKUP(LEFT($N835,4),LCTT_MAP!$A$7:$C$66,IF($M835="THU",2,3),FALSE()),IFERROR(VLOOKUP(LEFT($N835,3),LCTT_MAP!$A$7:$C$66,IF($M835="THU",2,3),FALSE()),IFERROR(VLOOKUP(LEFT($N835,2),LCTT_MAP!$A$7:$C$66,IF($M835="THU",2,3),FALSE()),IFERROR(VLOOKUP(LEFT($N835,1),LCTT_MAP!$A$7:$C$66,IF($M835="THU",2,3),FALSE()),IF($M835="THU","06","07")))))))</f>
        <v/>
      </c>
      <c r="P835" s="117">
        <f>P834+IF(AND($H835&lt;&gt;"",OR(LEFT($F835,LEN(SC_TK))=SC_TK,LEFT($G835,LEN(SC_TK))=SC_TK)),1,0)</f>
        <v/>
      </c>
    </row>
    <row r="836" ht="15" customHeight="1" s="78">
      <c r="A836" s="95">
        <f>IF($H836="","",ROW()-6)</f>
        <v/>
      </c>
      <c r="B836" s="114" t="n"/>
      <c r="C836" s="102" t="n"/>
      <c r="D836" s="114" t="n"/>
      <c r="E836" s="103" t="n"/>
      <c r="F836" s="102" t="n"/>
      <c r="G836" s="102" t="n"/>
      <c r="H836" s="115" t="n"/>
      <c r="I836" s="102" t="n"/>
      <c r="J836" s="102" t="n"/>
      <c r="K836" s="103" t="n"/>
      <c r="L836" s="116">
        <f>IF($H836="","",TRIM(IF(COUNTIF(DMTK!$A$7:$A$250,$F836)=0,"TK Nợ sai! ","")&amp;IF(COUNTIF(DMTK!$A$7:$A$250,$G836)=0,"TK Có sai! ","")&amp;IF(N($H836)&lt;=0,"Tiền phải &gt; 0! ","")&amp;IF($B836="","Thiếu ngày! ","")&amp;IF(AND(OR(LEFT($F836,3)="131",LEFT($G836,3)="131",LEFT($F836,3)="331",LEFT($G836,3)="331"),$I836=""),"Thiếu Mã ĐT! ","")&amp;IF(AND($I836&lt;&gt;"",COUNTIF(DM_DT!$A$7:$A$306,$I836)=0),"Mã ĐT chưa khai báo! ","")))</f>
        <v/>
      </c>
      <c r="M836" s="117">
        <f>IF($H836="","",IF(AND(OR(LEFT($F836,3)="111",LEFT($F836,3)="112",LEFT($F836,3)="113"),OR(LEFT($G836,3)="111",LEFT($G836,3)="112",LEFT($G836,3)="113")),"NB",IF(OR(LEFT($F836,3)="111",LEFT($F836,3)="112",LEFT($F836,3)="113"),"THU",IF(OR(LEFT($G836,3)="111",LEFT($G836,3)="112",LEFT($G836,3)="113"),"CHI",""))))</f>
        <v/>
      </c>
      <c r="N836" s="117">
        <f>IF($M836="THU",$G836,IF($M836="CHI",$F836,""))</f>
        <v/>
      </c>
      <c r="O836" s="117">
        <f>IF(OR($M836="",$M836="NB"),"",IF($J836&lt;&gt;"",TEXT($J836,"00"),IFERROR(VLOOKUP(LEFT($N836,4),LCTT_MAP!$A$7:$C$66,IF($M836="THU",2,3),FALSE()),IFERROR(VLOOKUP(LEFT($N836,3),LCTT_MAP!$A$7:$C$66,IF($M836="THU",2,3),FALSE()),IFERROR(VLOOKUP(LEFT($N836,2),LCTT_MAP!$A$7:$C$66,IF($M836="THU",2,3),FALSE()),IFERROR(VLOOKUP(LEFT($N836,1),LCTT_MAP!$A$7:$C$66,IF($M836="THU",2,3),FALSE()),IF($M836="THU","06","07")))))))</f>
        <v/>
      </c>
      <c r="P836" s="117">
        <f>P835+IF(AND($H836&lt;&gt;"",OR(LEFT($F836,LEN(SC_TK))=SC_TK,LEFT($G836,LEN(SC_TK))=SC_TK)),1,0)</f>
        <v/>
      </c>
    </row>
    <row r="837" ht="15" customHeight="1" s="78">
      <c r="A837" s="95">
        <f>IF($H837="","",ROW()-6)</f>
        <v/>
      </c>
      <c r="B837" s="114" t="n"/>
      <c r="C837" s="102" t="n"/>
      <c r="D837" s="114" t="n"/>
      <c r="E837" s="103" t="n"/>
      <c r="F837" s="102" t="n"/>
      <c r="G837" s="102" t="n"/>
      <c r="H837" s="115" t="n"/>
      <c r="I837" s="102" t="n"/>
      <c r="J837" s="102" t="n"/>
      <c r="K837" s="103" t="n"/>
      <c r="L837" s="116">
        <f>IF($H837="","",TRIM(IF(COUNTIF(DMTK!$A$7:$A$250,$F837)=0,"TK Nợ sai! ","")&amp;IF(COUNTIF(DMTK!$A$7:$A$250,$G837)=0,"TK Có sai! ","")&amp;IF(N($H837)&lt;=0,"Tiền phải &gt; 0! ","")&amp;IF($B837="","Thiếu ngày! ","")&amp;IF(AND(OR(LEFT($F837,3)="131",LEFT($G837,3)="131",LEFT($F837,3)="331",LEFT($G837,3)="331"),$I837=""),"Thiếu Mã ĐT! ","")&amp;IF(AND($I837&lt;&gt;"",COUNTIF(DM_DT!$A$7:$A$306,$I837)=0),"Mã ĐT chưa khai báo! ","")))</f>
        <v/>
      </c>
      <c r="M837" s="117">
        <f>IF($H837="","",IF(AND(OR(LEFT($F837,3)="111",LEFT($F837,3)="112",LEFT($F837,3)="113"),OR(LEFT($G837,3)="111",LEFT($G837,3)="112",LEFT($G837,3)="113")),"NB",IF(OR(LEFT($F837,3)="111",LEFT($F837,3)="112",LEFT($F837,3)="113"),"THU",IF(OR(LEFT($G837,3)="111",LEFT($G837,3)="112",LEFT($G837,3)="113"),"CHI",""))))</f>
        <v/>
      </c>
      <c r="N837" s="117">
        <f>IF($M837="THU",$G837,IF($M837="CHI",$F837,""))</f>
        <v/>
      </c>
      <c r="O837" s="117">
        <f>IF(OR($M837="",$M837="NB"),"",IF($J837&lt;&gt;"",TEXT($J837,"00"),IFERROR(VLOOKUP(LEFT($N837,4),LCTT_MAP!$A$7:$C$66,IF($M837="THU",2,3),FALSE()),IFERROR(VLOOKUP(LEFT($N837,3),LCTT_MAP!$A$7:$C$66,IF($M837="THU",2,3),FALSE()),IFERROR(VLOOKUP(LEFT($N837,2),LCTT_MAP!$A$7:$C$66,IF($M837="THU",2,3),FALSE()),IFERROR(VLOOKUP(LEFT($N837,1),LCTT_MAP!$A$7:$C$66,IF($M837="THU",2,3),FALSE()),IF($M837="THU","06","07")))))))</f>
        <v/>
      </c>
      <c r="P837" s="117">
        <f>P836+IF(AND($H837&lt;&gt;"",OR(LEFT($F837,LEN(SC_TK))=SC_TK,LEFT($G837,LEN(SC_TK))=SC_TK)),1,0)</f>
        <v/>
      </c>
    </row>
    <row r="838" ht="15" customHeight="1" s="78">
      <c r="A838" s="95">
        <f>IF($H838="","",ROW()-6)</f>
        <v/>
      </c>
      <c r="B838" s="114" t="n"/>
      <c r="C838" s="102" t="n"/>
      <c r="D838" s="114" t="n"/>
      <c r="E838" s="103" t="n"/>
      <c r="F838" s="102" t="n"/>
      <c r="G838" s="102" t="n"/>
      <c r="H838" s="115" t="n"/>
      <c r="I838" s="102" t="n"/>
      <c r="J838" s="102" t="n"/>
      <c r="K838" s="103" t="n"/>
      <c r="L838" s="116">
        <f>IF($H838="","",TRIM(IF(COUNTIF(DMTK!$A$7:$A$250,$F838)=0,"TK Nợ sai! ","")&amp;IF(COUNTIF(DMTK!$A$7:$A$250,$G838)=0,"TK Có sai! ","")&amp;IF(N($H838)&lt;=0,"Tiền phải &gt; 0! ","")&amp;IF($B838="","Thiếu ngày! ","")&amp;IF(AND(OR(LEFT($F838,3)="131",LEFT($G838,3)="131",LEFT($F838,3)="331",LEFT($G838,3)="331"),$I838=""),"Thiếu Mã ĐT! ","")&amp;IF(AND($I838&lt;&gt;"",COUNTIF(DM_DT!$A$7:$A$306,$I838)=0),"Mã ĐT chưa khai báo! ","")))</f>
        <v/>
      </c>
      <c r="M838" s="117">
        <f>IF($H838="","",IF(AND(OR(LEFT($F838,3)="111",LEFT($F838,3)="112",LEFT($F838,3)="113"),OR(LEFT($G838,3)="111",LEFT($G838,3)="112",LEFT($G838,3)="113")),"NB",IF(OR(LEFT($F838,3)="111",LEFT($F838,3)="112",LEFT($F838,3)="113"),"THU",IF(OR(LEFT($G838,3)="111",LEFT($G838,3)="112",LEFT($G838,3)="113"),"CHI",""))))</f>
        <v/>
      </c>
      <c r="N838" s="117">
        <f>IF($M838="THU",$G838,IF($M838="CHI",$F838,""))</f>
        <v/>
      </c>
      <c r="O838" s="117">
        <f>IF(OR($M838="",$M838="NB"),"",IF($J838&lt;&gt;"",TEXT($J838,"00"),IFERROR(VLOOKUP(LEFT($N838,4),LCTT_MAP!$A$7:$C$66,IF($M838="THU",2,3),FALSE()),IFERROR(VLOOKUP(LEFT($N838,3),LCTT_MAP!$A$7:$C$66,IF($M838="THU",2,3),FALSE()),IFERROR(VLOOKUP(LEFT($N838,2),LCTT_MAP!$A$7:$C$66,IF($M838="THU",2,3),FALSE()),IFERROR(VLOOKUP(LEFT($N838,1),LCTT_MAP!$A$7:$C$66,IF($M838="THU",2,3),FALSE()),IF($M838="THU","06","07")))))))</f>
        <v/>
      </c>
      <c r="P838" s="117">
        <f>P837+IF(AND($H838&lt;&gt;"",OR(LEFT($F838,LEN(SC_TK))=SC_TK,LEFT($G838,LEN(SC_TK))=SC_TK)),1,0)</f>
        <v/>
      </c>
    </row>
    <row r="839" ht="15" customHeight="1" s="78">
      <c r="A839" s="95">
        <f>IF($H839="","",ROW()-6)</f>
        <v/>
      </c>
      <c r="B839" s="114" t="n"/>
      <c r="C839" s="102" t="n"/>
      <c r="D839" s="114" t="n"/>
      <c r="E839" s="103" t="n"/>
      <c r="F839" s="102" t="n"/>
      <c r="G839" s="102" t="n"/>
      <c r="H839" s="115" t="n"/>
      <c r="I839" s="102" t="n"/>
      <c r="J839" s="102" t="n"/>
      <c r="K839" s="103" t="n"/>
      <c r="L839" s="116">
        <f>IF($H839="","",TRIM(IF(COUNTIF(DMTK!$A$7:$A$250,$F839)=0,"TK Nợ sai! ","")&amp;IF(COUNTIF(DMTK!$A$7:$A$250,$G839)=0,"TK Có sai! ","")&amp;IF(N($H839)&lt;=0,"Tiền phải &gt; 0! ","")&amp;IF($B839="","Thiếu ngày! ","")&amp;IF(AND(OR(LEFT($F839,3)="131",LEFT($G839,3)="131",LEFT($F839,3)="331",LEFT($G839,3)="331"),$I839=""),"Thiếu Mã ĐT! ","")&amp;IF(AND($I839&lt;&gt;"",COUNTIF(DM_DT!$A$7:$A$306,$I839)=0),"Mã ĐT chưa khai báo! ","")))</f>
        <v/>
      </c>
      <c r="M839" s="117">
        <f>IF($H839="","",IF(AND(OR(LEFT($F839,3)="111",LEFT($F839,3)="112",LEFT($F839,3)="113"),OR(LEFT($G839,3)="111",LEFT($G839,3)="112",LEFT($G839,3)="113")),"NB",IF(OR(LEFT($F839,3)="111",LEFT($F839,3)="112",LEFT($F839,3)="113"),"THU",IF(OR(LEFT($G839,3)="111",LEFT($G839,3)="112",LEFT($G839,3)="113"),"CHI",""))))</f>
        <v/>
      </c>
      <c r="N839" s="117">
        <f>IF($M839="THU",$G839,IF($M839="CHI",$F839,""))</f>
        <v/>
      </c>
      <c r="O839" s="117">
        <f>IF(OR($M839="",$M839="NB"),"",IF($J839&lt;&gt;"",TEXT($J839,"00"),IFERROR(VLOOKUP(LEFT($N839,4),LCTT_MAP!$A$7:$C$66,IF($M839="THU",2,3),FALSE()),IFERROR(VLOOKUP(LEFT($N839,3),LCTT_MAP!$A$7:$C$66,IF($M839="THU",2,3),FALSE()),IFERROR(VLOOKUP(LEFT($N839,2),LCTT_MAP!$A$7:$C$66,IF($M839="THU",2,3),FALSE()),IFERROR(VLOOKUP(LEFT($N839,1),LCTT_MAP!$A$7:$C$66,IF($M839="THU",2,3),FALSE()),IF($M839="THU","06","07")))))))</f>
        <v/>
      </c>
      <c r="P839" s="117">
        <f>P838+IF(AND($H839&lt;&gt;"",OR(LEFT($F839,LEN(SC_TK))=SC_TK,LEFT($G839,LEN(SC_TK))=SC_TK)),1,0)</f>
        <v/>
      </c>
    </row>
    <row r="840" ht="15" customHeight="1" s="78">
      <c r="A840" s="95">
        <f>IF($H840="","",ROW()-6)</f>
        <v/>
      </c>
      <c r="B840" s="114" t="n"/>
      <c r="C840" s="102" t="n"/>
      <c r="D840" s="114" t="n"/>
      <c r="E840" s="103" t="n"/>
      <c r="F840" s="102" t="n"/>
      <c r="G840" s="102" t="n"/>
      <c r="H840" s="115" t="n"/>
      <c r="I840" s="102" t="n"/>
      <c r="J840" s="102" t="n"/>
      <c r="K840" s="103" t="n"/>
      <c r="L840" s="116">
        <f>IF($H840="","",TRIM(IF(COUNTIF(DMTK!$A$7:$A$250,$F840)=0,"TK Nợ sai! ","")&amp;IF(COUNTIF(DMTK!$A$7:$A$250,$G840)=0,"TK Có sai! ","")&amp;IF(N($H840)&lt;=0,"Tiền phải &gt; 0! ","")&amp;IF($B840="","Thiếu ngày! ","")&amp;IF(AND(OR(LEFT($F840,3)="131",LEFT($G840,3)="131",LEFT($F840,3)="331",LEFT($G840,3)="331"),$I840=""),"Thiếu Mã ĐT! ","")&amp;IF(AND($I840&lt;&gt;"",COUNTIF(DM_DT!$A$7:$A$306,$I840)=0),"Mã ĐT chưa khai báo! ","")))</f>
        <v/>
      </c>
      <c r="M840" s="117">
        <f>IF($H840="","",IF(AND(OR(LEFT($F840,3)="111",LEFT($F840,3)="112",LEFT($F840,3)="113"),OR(LEFT($G840,3)="111",LEFT($G840,3)="112",LEFT($G840,3)="113")),"NB",IF(OR(LEFT($F840,3)="111",LEFT($F840,3)="112",LEFT($F840,3)="113"),"THU",IF(OR(LEFT($G840,3)="111",LEFT($G840,3)="112",LEFT($G840,3)="113"),"CHI",""))))</f>
        <v/>
      </c>
      <c r="N840" s="117">
        <f>IF($M840="THU",$G840,IF($M840="CHI",$F840,""))</f>
        <v/>
      </c>
      <c r="O840" s="117">
        <f>IF(OR($M840="",$M840="NB"),"",IF($J840&lt;&gt;"",TEXT($J840,"00"),IFERROR(VLOOKUP(LEFT($N840,4),LCTT_MAP!$A$7:$C$66,IF($M840="THU",2,3),FALSE()),IFERROR(VLOOKUP(LEFT($N840,3),LCTT_MAP!$A$7:$C$66,IF($M840="THU",2,3),FALSE()),IFERROR(VLOOKUP(LEFT($N840,2),LCTT_MAP!$A$7:$C$66,IF($M840="THU",2,3),FALSE()),IFERROR(VLOOKUP(LEFT($N840,1),LCTT_MAP!$A$7:$C$66,IF($M840="THU",2,3),FALSE()),IF($M840="THU","06","07")))))))</f>
        <v/>
      </c>
      <c r="P840" s="117">
        <f>P839+IF(AND($H840&lt;&gt;"",OR(LEFT($F840,LEN(SC_TK))=SC_TK,LEFT($G840,LEN(SC_TK))=SC_TK)),1,0)</f>
        <v/>
      </c>
    </row>
    <row r="841" ht="15" customHeight="1" s="78">
      <c r="A841" s="95">
        <f>IF($H841="","",ROW()-6)</f>
        <v/>
      </c>
      <c r="B841" s="114" t="n"/>
      <c r="C841" s="102" t="n"/>
      <c r="D841" s="114" t="n"/>
      <c r="E841" s="103" t="n"/>
      <c r="F841" s="102" t="n"/>
      <c r="G841" s="102" t="n"/>
      <c r="H841" s="115" t="n"/>
      <c r="I841" s="102" t="n"/>
      <c r="J841" s="102" t="n"/>
      <c r="K841" s="103" t="n"/>
      <c r="L841" s="116">
        <f>IF($H841="","",TRIM(IF(COUNTIF(DMTK!$A$7:$A$250,$F841)=0,"TK Nợ sai! ","")&amp;IF(COUNTIF(DMTK!$A$7:$A$250,$G841)=0,"TK Có sai! ","")&amp;IF(N($H841)&lt;=0,"Tiền phải &gt; 0! ","")&amp;IF($B841="","Thiếu ngày! ","")&amp;IF(AND(OR(LEFT($F841,3)="131",LEFT($G841,3)="131",LEFT($F841,3)="331",LEFT($G841,3)="331"),$I841=""),"Thiếu Mã ĐT! ","")&amp;IF(AND($I841&lt;&gt;"",COUNTIF(DM_DT!$A$7:$A$306,$I841)=0),"Mã ĐT chưa khai báo! ","")))</f>
        <v/>
      </c>
      <c r="M841" s="117">
        <f>IF($H841="","",IF(AND(OR(LEFT($F841,3)="111",LEFT($F841,3)="112",LEFT($F841,3)="113"),OR(LEFT($G841,3)="111",LEFT($G841,3)="112",LEFT($G841,3)="113")),"NB",IF(OR(LEFT($F841,3)="111",LEFT($F841,3)="112",LEFT($F841,3)="113"),"THU",IF(OR(LEFT($G841,3)="111",LEFT($G841,3)="112",LEFT($G841,3)="113"),"CHI",""))))</f>
        <v/>
      </c>
      <c r="N841" s="117">
        <f>IF($M841="THU",$G841,IF($M841="CHI",$F841,""))</f>
        <v/>
      </c>
      <c r="O841" s="117">
        <f>IF(OR($M841="",$M841="NB"),"",IF($J841&lt;&gt;"",TEXT($J841,"00"),IFERROR(VLOOKUP(LEFT($N841,4),LCTT_MAP!$A$7:$C$66,IF($M841="THU",2,3),FALSE()),IFERROR(VLOOKUP(LEFT($N841,3),LCTT_MAP!$A$7:$C$66,IF($M841="THU",2,3),FALSE()),IFERROR(VLOOKUP(LEFT($N841,2),LCTT_MAP!$A$7:$C$66,IF($M841="THU",2,3),FALSE()),IFERROR(VLOOKUP(LEFT($N841,1),LCTT_MAP!$A$7:$C$66,IF($M841="THU",2,3),FALSE()),IF($M841="THU","06","07")))))))</f>
        <v/>
      </c>
      <c r="P841" s="117">
        <f>P840+IF(AND($H841&lt;&gt;"",OR(LEFT($F841,LEN(SC_TK))=SC_TK,LEFT($G841,LEN(SC_TK))=SC_TK)),1,0)</f>
        <v/>
      </c>
    </row>
    <row r="842" ht="15" customHeight="1" s="78">
      <c r="A842" s="95">
        <f>IF($H842="","",ROW()-6)</f>
        <v/>
      </c>
      <c r="B842" s="114" t="n"/>
      <c r="C842" s="102" t="n"/>
      <c r="D842" s="114" t="n"/>
      <c r="E842" s="103" t="n"/>
      <c r="F842" s="102" t="n"/>
      <c r="G842" s="102" t="n"/>
      <c r="H842" s="115" t="n"/>
      <c r="I842" s="102" t="n"/>
      <c r="J842" s="102" t="n"/>
      <c r="K842" s="103" t="n"/>
      <c r="L842" s="116">
        <f>IF($H842="","",TRIM(IF(COUNTIF(DMTK!$A$7:$A$250,$F842)=0,"TK Nợ sai! ","")&amp;IF(COUNTIF(DMTK!$A$7:$A$250,$G842)=0,"TK Có sai! ","")&amp;IF(N($H842)&lt;=0,"Tiền phải &gt; 0! ","")&amp;IF($B842="","Thiếu ngày! ","")&amp;IF(AND(OR(LEFT($F842,3)="131",LEFT($G842,3)="131",LEFT($F842,3)="331",LEFT($G842,3)="331"),$I842=""),"Thiếu Mã ĐT! ","")&amp;IF(AND($I842&lt;&gt;"",COUNTIF(DM_DT!$A$7:$A$306,$I842)=0),"Mã ĐT chưa khai báo! ","")))</f>
        <v/>
      </c>
      <c r="M842" s="117">
        <f>IF($H842="","",IF(AND(OR(LEFT($F842,3)="111",LEFT($F842,3)="112",LEFT($F842,3)="113"),OR(LEFT($G842,3)="111",LEFT($G842,3)="112",LEFT($G842,3)="113")),"NB",IF(OR(LEFT($F842,3)="111",LEFT($F842,3)="112",LEFT($F842,3)="113"),"THU",IF(OR(LEFT($G842,3)="111",LEFT($G842,3)="112",LEFT($G842,3)="113"),"CHI",""))))</f>
        <v/>
      </c>
      <c r="N842" s="117">
        <f>IF($M842="THU",$G842,IF($M842="CHI",$F842,""))</f>
        <v/>
      </c>
      <c r="O842" s="117">
        <f>IF(OR($M842="",$M842="NB"),"",IF($J842&lt;&gt;"",TEXT($J842,"00"),IFERROR(VLOOKUP(LEFT($N842,4),LCTT_MAP!$A$7:$C$66,IF($M842="THU",2,3),FALSE()),IFERROR(VLOOKUP(LEFT($N842,3),LCTT_MAP!$A$7:$C$66,IF($M842="THU",2,3),FALSE()),IFERROR(VLOOKUP(LEFT($N842,2),LCTT_MAP!$A$7:$C$66,IF($M842="THU",2,3),FALSE()),IFERROR(VLOOKUP(LEFT($N842,1),LCTT_MAP!$A$7:$C$66,IF($M842="THU",2,3),FALSE()),IF($M842="THU","06","07")))))))</f>
        <v/>
      </c>
      <c r="P842" s="117">
        <f>P841+IF(AND($H842&lt;&gt;"",OR(LEFT($F842,LEN(SC_TK))=SC_TK,LEFT($G842,LEN(SC_TK))=SC_TK)),1,0)</f>
        <v/>
      </c>
    </row>
    <row r="843" ht="15" customHeight="1" s="78">
      <c r="A843" s="95">
        <f>IF($H843="","",ROW()-6)</f>
        <v/>
      </c>
      <c r="B843" s="114" t="n"/>
      <c r="C843" s="102" t="n"/>
      <c r="D843" s="114" t="n"/>
      <c r="E843" s="103" t="n"/>
      <c r="F843" s="102" t="n"/>
      <c r="G843" s="102" t="n"/>
      <c r="H843" s="115" t="n"/>
      <c r="I843" s="102" t="n"/>
      <c r="J843" s="102" t="n"/>
      <c r="K843" s="103" t="n"/>
      <c r="L843" s="116">
        <f>IF($H843="","",TRIM(IF(COUNTIF(DMTK!$A$7:$A$250,$F843)=0,"TK Nợ sai! ","")&amp;IF(COUNTIF(DMTK!$A$7:$A$250,$G843)=0,"TK Có sai! ","")&amp;IF(N($H843)&lt;=0,"Tiền phải &gt; 0! ","")&amp;IF($B843="","Thiếu ngày! ","")&amp;IF(AND(OR(LEFT($F843,3)="131",LEFT($G843,3)="131",LEFT($F843,3)="331",LEFT($G843,3)="331"),$I843=""),"Thiếu Mã ĐT! ","")&amp;IF(AND($I843&lt;&gt;"",COUNTIF(DM_DT!$A$7:$A$306,$I843)=0),"Mã ĐT chưa khai báo! ","")))</f>
        <v/>
      </c>
      <c r="M843" s="117">
        <f>IF($H843="","",IF(AND(OR(LEFT($F843,3)="111",LEFT($F843,3)="112",LEFT($F843,3)="113"),OR(LEFT($G843,3)="111",LEFT($G843,3)="112",LEFT($G843,3)="113")),"NB",IF(OR(LEFT($F843,3)="111",LEFT($F843,3)="112",LEFT($F843,3)="113"),"THU",IF(OR(LEFT($G843,3)="111",LEFT($G843,3)="112",LEFT($G843,3)="113"),"CHI",""))))</f>
        <v/>
      </c>
      <c r="N843" s="117">
        <f>IF($M843="THU",$G843,IF($M843="CHI",$F843,""))</f>
        <v/>
      </c>
      <c r="O843" s="117">
        <f>IF(OR($M843="",$M843="NB"),"",IF($J843&lt;&gt;"",TEXT($J843,"00"),IFERROR(VLOOKUP(LEFT($N843,4),LCTT_MAP!$A$7:$C$66,IF($M843="THU",2,3),FALSE()),IFERROR(VLOOKUP(LEFT($N843,3),LCTT_MAP!$A$7:$C$66,IF($M843="THU",2,3),FALSE()),IFERROR(VLOOKUP(LEFT($N843,2),LCTT_MAP!$A$7:$C$66,IF($M843="THU",2,3),FALSE()),IFERROR(VLOOKUP(LEFT($N843,1),LCTT_MAP!$A$7:$C$66,IF($M843="THU",2,3),FALSE()),IF($M843="THU","06","07")))))))</f>
        <v/>
      </c>
      <c r="P843" s="117">
        <f>P842+IF(AND($H843&lt;&gt;"",OR(LEFT($F843,LEN(SC_TK))=SC_TK,LEFT($G843,LEN(SC_TK))=SC_TK)),1,0)</f>
        <v/>
      </c>
    </row>
    <row r="844" ht="15" customHeight="1" s="78">
      <c r="A844" s="95">
        <f>IF($H844="","",ROW()-6)</f>
        <v/>
      </c>
      <c r="B844" s="114" t="n"/>
      <c r="C844" s="102" t="n"/>
      <c r="D844" s="114" t="n"/>
      <c r="E844" s="103" t="n"/>
      <c r="F844" s="102" t="n"/>
      <c r="G844" s="102" t="n"/>
      <c r="H844" s="115" t="n"/>
      <c r="I844" s="102" t="n"/>
      <c r="J844" s="102" t="n"/>
      <c r="K844" s="103" t="n"/>
      <c r="L844" s="116">
        <f>IF($H844="","",TRIM(IF(COUNTIF(DMTK!$A$7:$A$250,$F844)=0,"TK Nợ sai! ","")&amp;IF(COUNTIF(DMTK!$A$7:$A$250,$G844)=0,"TK Có sai! ","")&amp;IF(N($H844)&lt;=0,"Tiền phải &gt; 0! ","")&amp;IF($B844="","Thiếu ngày! ","")&amp;IF(AND(OR(LEFT($F844,3)="131",LEFT($G844,3)="131",LEFT($F844,3)="331",LEFT($G844,3)="331"),$I844=""),"Thiếu Mã ĐT! ","")&amp;IF(AND($I844&lt;&gt;"",COUNTIF(DM_DT!$A$7:$A$306,$I844)=0),"Mã ĐT chưa khai báo! ","")))</f>
        <v/>
      </c>
      <c r="M844" s="117">
        <f>IF($H844="","",IF(AND(OR(LEFT($F844,3)="111",LEFT($F844,3)="112",LEFT($F844,3)="113"),OR(LEFT($G844,3)="111",LEFT($G844,3)="112",LEFT($G844,3)="113")),"NB",IF(OR(LEFT($F844,3)="111",LEFT($F844,3)="112",LEFT($F844,3)="113"),"THU",IF(OR(LEFT($G844,3)="111",LEFT($G844,3)="112",LEFT($G844,3)="113"),"CHI",""))))</f>
        <v/>
      </c>
      <c r="N844" s="117">
        <f>IF($M844="THU",$G844,IF($M844="CHI",$F844,""))</f>
        <v/>
      </c>
      <c r="O844" s="117">
        <f>IF(OR($M844="",$M844="NB"),"",IF($J844&lt;&gt;"",TEXT($J844,"00"),IFERROR(VLOOKUP(LEFT($N844,4),LCTT_MAP!$A$7:$C$66,IF($M844="THU",2,3),FALSE()),IFERROR(VLOOKUP(LEFT($N844,3),LCTT_MAP!$A$7:$C$66,IF($M844="THU",2,3),FALSE()),IFERROR(VLOOKUP(LEFT($N844,2),LCTT_MAP!$A$7:$C$66,IF($M844="THU",2,3),FALSE()),IFERROR(VLOOKUP(LEFT($N844,1),LCTT_MAP!$A$7:$C$66,IF($M844="THU",2,3),FALSE()),IF($M844="THU","06","07")))))))</f>
        <v/>
      </c>
      <c r="P844" s="117">
        <f>P843+IF(AND($H844&lt;&gt;"",OR(LEFT($F844,LEN(SC_TK))=SC_TK,LEFT($G844,LEN(SC_TK))=SC_TK)),1,0)</f>
        <v/>
      </c>
    </row>
    <row r="845" ht="15" customHeight="1" s="78">
      <c r="A845" s="95">
        <f>IF($H845="","",ROW()-6)</f>
        <v/>
      </c>
      <c r="B845" s="114" t="n"/>
      <c r="C845" s="102" t="n"/>
      <c r="D845" s="114" t="n"/>
      <c r="E845" s="103" t="n"/>
      <c r="F845" s="102" t="n"/>
      <c r="G845" s="102" t="n"/>
      <c r="H845" s="115" t="n"/>
      <c r="I845" s="102" t="n"/>
      <c r="J845" s="102" t="n"/>
      <c r="K845" s="103" t="n"/>
      <c r="L845" s="116">
        <f>IF($H845="","",TRIM(IF(COUNTIF(DMTK!$A$7:$A$250,$F845)=0,"TK Nợ sai! ","")&amp;IF(COUNTIF(DMTK!$A$7:$A$250,$G845)=0,"TK Có sai! ","")&amp;IF(N($H845)&lt;=0,"Tiền phải &gt; 0! ","")&amp;IF($B845="","Thiếu ngày! ","")&amp;IF(AND(OR(LEFT($F845,3)="131",LEFT($G845,3)="131",LEFT($F845,3)="331",LEFT($G845,3)="331"),$I845=""),"Thiếu Mã ĐT! ","")&amp;IF(AND($I845&lt;&gt;"",COUNTIF(DM_DT!$A$7:$A$306,$I845)=0),"Mã ĐT chưa khai báo! ","")))</f>
        <v/>
      </c>
      <c r="M845" s="117">
        <f>IF($H845="","",IF(AND(OR(LEFT($F845,3)="111",LEFT($F845,3)="112",LEFT($F845,3)="113"),OR(LEFT($G845,3)="111",LEFT($G845,3)="112",LEFT($G845,3)="113")),"NB",IF(OR(LEFT($F845,3)="111",LEFT($F845,3)="112",LEFT($F845,3)="113"),"THU",IF(OR(LEFT($G845,3)="111",LEFT($G845,3)="112",LEFT($G845,3)="113"),"CHI",""))))</f>
        <v/>
      </c>
      <c r="N845" s="117">
        <f>IF($M845="THU",$G845,IF($M845="CHI",$F845,""))</f>
        <v/>
      </c>
      <c r="O845" s="117">
        <f>IF(OR($M845="",$M845="NB"),"",IF($J845&lt;&gt;"",TEXT($J845,"00"),IFERROR(VLOOKUP(LEFT($N845,4),LCTT_MAP!$A$7:$C$66,IF($M845="THU",2,3),FALSE()),IFERROR(VLOOKUP(LEFT($N845,3),LCTT_MAP!$A$7:$C$66,IF($M845="THU",2,3),FALSE()),IFERROR(VLOOKUP(LEFT($N845,2),LCTT_MAP!$A$7:$C$66,IF($M845="THU",2,3),FALSE()),IFERROR(VLOOKUP(LEFT($N845,1),LCTT_MAP!$A$7:$C$66,IF($M845="THU",2,3),FALSE()),IF($M845="THU","06","07")))))))</f>
        <v/>
      </c>
      <c r="P845" s="117">
        <f>P844+IF(AND($H845&lt;&gt;"",OR(LEFT($F845,LEN(SC_TK))=SC_TK,LEFT($G845,LEN(SC_TK))=SC_TK)),1,0)</f>
        <v/>
      </c>
    </row>
    <row r="846" ht="15" customHeight="1" s="78">
      <c r="A846" s="95">
        <f>IF($H846="","",ROW()-6)</f>
        <v/>
      </c>
      <c r="B846" s="114" t="n"/>
      <c r="C846" s="102" t="n"/>
      <c r="D846" s="114" t="n"/>
      <c r="E846" s="103" t="n"/>
      <c r="F846" s="102" t="n"/>
      <c r="G846" s="102" t="n"/>
      <c r="H846" s="115" t="n"/>
      <c r="I846" s="102" t="n"/>
      <c r="J846" s="102" t="n"/>
      <c r="K846" s="103" t="n"/>
      <c r="L846" s="116">
        <f>IF($H846="","",TRIM(IF(COUNTIF(DMTK!$A$7:$A$250,$F846)=0,"TK Nợ sai! ","")&amp;IF(COUNTIF(DMTK!$A$7:$A$250,$G846)=0,"TK Có sai! ","")&amp;IF(N($H846)&lt;=0,"Tiền phải &gt; 0! ","")&amp;IF($B846="","Thiếu ngày! ","")&amp;IF(AND(OR(LEFT($F846,3)="131",LEFT($G846,3)="131",LEFT($F846,3)="331",LEFT($G846,3)="331"),$I846=""),"Thiếu Mã ĐT! ","")&amp;IF(AND($I846&lt;&gt;"",COUNTIF(DM_DT!$A$7:$A$306,$I846)=0),"Mã ĐT chưa khai báo! ","")))</f>
        <v/>
      </c>
      <c r="M846" s="117">
        <f>IF($H846="","",IF(AND(OR(LEFT($F846,3)="111",LEFT($F846,3)="112",LEFT($F846,3)="113"),OR(LEFT($G846,3)="111",LEFT($G846,3)="112",LEFT($G846,3)="113")),"NB",IF(OR(LEFT($F846,3)="111",LEFT($F846,3)="112",LEFT($F846,3)="113"),"THU",IF(OR(LEFT($G846,3)="111",LEFT($G846,3)="112",LEFT($G846,3)="113"),"CHI",""))))</f>
        <v/>
      </c>
      <c r="N846" s="117">
        <f>IF($M846="THU",$G846,IF($M846="CHI",$F846,""))</f>
        <v/>
      </c>
      <c r="O846" s="117">
        <f>IF(OR($M846="",$M846="NB"),"",IF($J846&lt;&gt;"",TEXT($J846,"00"),IFERROR(VLOOKUP(LEFT($N846,4),LCTT_MAP!$A$7:$C$66,IF($M846="THU",2,3),FALSE()),IFERROR(VLOOKUP(LEFT($N846,3),LCTT_MAP!$A$7:$C$66,IF($M846="THU",2,3),FALSE()),IFERROR(VLOOKUP(LEFT($N846,2),LCTT_MAP!$A$7:$C$66,IF($M846="THU",2,3),FALSE()),IFERROR(VLOOKUP(LEFT($N846,1),LCTT_MAP!$A$7:$C$66,IF($M846="THU",2,3),FALSE()),IF($M846="THU","06","07")))))))</f>
        <v/>
      </c>
      <c r="P846" s="117">
        <f>P845+IF(AND($H846&lt;&gt;"",OR(LEFT($F846,LEN(SC_TK))=SC_TK,LEFT($G846,LEN(SC_TK))=SC_TK)),1,0)</f>
        <v/>
      </c>
    </row>
    <row r="847" ht="15" customHeight="1" s="78">
      <c r="A847" s="95">
        <f>IF($H847="","",ROW()-6)</f>
        <v/>
      </c>
      <c r="B847" s="114" t="n"/>
      <c r="C847" s="102" t="n"/>
      <c r="D847" s="114" t="n"/>
      <c r="E847" s="103" t="n"/>
      <c r="F847" s="102" t="n"/>
      <c r="G847" s="102" t="n"/>
      <c r="H847" s="115" t="n"/>
      <c r="I847" s="102" t="n"/>
      <c r="J847" s="102" t="n"/>
      <c r="K847" s="103" t="n"/>
      <c r="L847" s="116">
        <f>IF($H847="","",TRIM(IF(COUNTIF(DMTK!$A$7:$A$250,$F847)=0,"TK Nợ sai! ","")&amp;IF(COUNTIF(DMTK!$A$7:$A$250,$G847)=0,"TK Có sai! ","")&amp;IF(N($H847)&lt;=0,"Tiền phải &gt; 0! ","")&amp;IF($B847="","Thiếu ngày! ","")&amp;IF(AND(OR(LEFT($F847,3)="131",LEFT($G847,3)="131",LEFT($F847,3)="331",LEFT($G847,3)="331"),$I847=""),"Thiếu Mã ĐT! ","")&amp;IF(AND($I847&lt;&gt;"",COUNTIF(DM_DT!$A$7:$A$306,$I847)=0),"Mã ĐT chưa khai báo! ","")))</f>
        <v/>
      </c>
      <c r="M847" s="117">
        <f>IF($H847="","",IF(AND(OR(LEFT($F847,3)="111",LEFT($F847,3)="112",LEFT($F847,3)="113"),OR(LEFT($G847,3)="111",LEFT($G847,3)="112",LEFT($G847,3)="113")),"NB",IF(OR(LEFT($F847,3)="111",LEFT($F847,3)="112",LEFT($F847,3)="113"),"THU",IF(OR(LEFT($G847,3)="111",LEFT($G847,3)="112",LEFT($G847,3)="113"),"CHI",""))))</f>
        <v/>
      </c>
      <c r="N847" s="117">
        <f>IF($M847="THU",$G847,IF($M847="CHI",$F847,""))</f>
        <v/>
      </c>
      <c r="O847" s="117">
        <f>IF(OR($M847="",$M847="NB"),"",IF($J847&lt;&gt;"",TEXT($J847,"00"),IFERROR(VLOOKUP(LEFT($N847,4),LCTT_MAP!$A$7:$C$66,IF($M847="THU",2,3),FALSE()),IFERROR(VLOOKUP(LEFT($N847,3),LCTT_MAP!$A$7:$C$66,IF($M847="THU",2,3),FALSE()),IFERROR(VLOOKUP(LEFT($N847,2),LCTT_MAP!$A$7:$C$66,IF($M847="THU",2,3),FALSE()),IFERROR(VLOOKUP(LEFT($N847,1),LCTT_MAP!$A$7:$C$66,IF($M847="THU",2,3),FALSE()),IF($M847="THU","06","07")))))))</f>
        <v/>
      </c>
      <c r="P847" s="117">
        <f>P846+IF(AND($H847&lt;&gt;"",OR(LEFT($F847,LEN(SC_TK))=SC_TK,LEFT($G847,LEN(SC_TK))=SC_TK)),1,0)</f>
        <v/>
      </c>
    </row>
    <row r="848" ht="15" customHeight="1" s="78">
      <c r="A848" s="95">
        <f>IF($H848="","",ROW()-6)</f>
        <v/>
      </c>
      <c r="B848" s="114" t="n"/>
      <c r="C848" s="102" t="n"/>
      <c r="D848" s="114" t="n"/>
      <c r="E848" s="103" t="n"/>
      <c r="F848" s="102" t="n"/>
      <c r="G848" s="102" t="n"/>
      <c r="H848" s="115" t="n"/>
      <c r="I848" s="102" t="n"/>
      <c r="J848" s="102" t="n"/>
      <c r="K848" s="103" t="n"/>
      <c r="L848" s="116">
        <f>IF($H848="","",TRIM(IF(COUNTIF(DMTK!$A$7:$A$250,$F848)=0,"TK Nợ sai! ","")&amp;IF(COUNTIF(DMTK!$A$7:$A$250,$G848)=0,"TK Có sai! ","")&amp;IF(N($H848)&lt;=0,"Tiền phải &gt; 0! ","")&amp;IF($B848="","Thiếu ngày! ","")&amp;IF(AND(OR(LEFT($F848,3)="131",LEFT($G848,3)="131",LEFT($F848,3)="331",LEFT($G848,3)="331"),$I848=""),"Thiếu Mã ĐT! ","")&amp;IF(AND($I848&lt;&gt;"",COUNTIF(DM_DT!$A$7:$A$306,$I848)=0),"Mã ĐT chưa khai báo! ","")))</f>
        <v/>
      </c>
      <c r="M848" s="117">
        <f>IF($H848="","",IF(AND(OR(LEFT($F848,3)="111",LEFT($F848,3)="112",LEFT($F848,3)="113"),OR(LEFT($G848,3)="111",LEFT($G848,3)="112",LEFT($G848,3)="113")),"NB",IF(OR(LEFT($F848,3)="111",LEFT($F848,3)="112",LEFT($F848,3)="113"),"THU",IF(OR(LEFT($G848,3)="111",LEFT($G848,3)="112",LEFT($G848,3)="113"),"CHI",""))))</f>
        <v/>
      </c>
      <c r="N848" s="117">
        <f>IF($M848="THU",$G848,IF($M848="CHI",$F848,""))</f>
        <v/>
      </c>
      <c r="O848" s="117">
        <f>IF(OR($M848="",$M848="NB"),"",IF($J848&lt;&gt;"",TEXT($J848,"00"),IFERROR(VLOOKUP(LEFT($N848,4),LCTT_MAP!$A$7:$C$66,IF($M848="THU",2,3),FALSE()),IFERROR(VLOOKUP(LEFT($N848,3),LCTT_MAP!$A$7:$C$66,IF($M848="THU",2,3),FALSE()),IFERROR(VLOOKUP(LEFT($N848,2),LCTT_MAP!$A$7:$C$66,IF($M848="THU",2,3),FALSE()),IFERROR(VLOOKUP(LEFT($N848,1),LCTT_MAP!$A$7:$C$66,IF($M848="THU",2,3),FALSE()),IF($M848="THU","06","07")))))))</f>
        <v/>
      </c>
      <c r="P848" s="117">
        <f>P847+IF(AND($H848&lt;&gt;"",OR(LEFT($F848,LEN(SC_TK))=SC_TK,LEFT($G848,LEN(SC_TK))=SC_TK)),1,0)</f>
        <v/>
      </c>
    </row>
    <row r="849" ht="15" customHeight="1" s="78">
      <c r="A849" s="95">
        <f>IF($H849="","",ROW()-6)</f>
        <v/>
      </c>
      <c r="B849" s="114" t="n"/>
      <c r="C849" s="102" t="n"/>
      <c r="D849" s="114" t="n"/>
      <c r="E849" s="103" t="n"/>
      <c r="F849" s="102" t="n"/>
      <c r="G849" s="102" t="n"/>
      <c r="H849" s="115" t="n"/>
      <c r="I849" s="102" t="n"/>
      <c r="J849" s="102" t="n"/>
      <c r="K849" s="103" t="n"/>
      <c r="L849" s="116">
        <f>IF($H849="","",TRIM(IF(COUNTIF(DMTK!$A$7:$A$250,$F849)=0,"TK Nợ sai! ","")&amp;IF(COUNTIF(DMTK!$A$7:$A$250,$G849)=0,"TK Có sai! ","")&amp;IF(N($H849)&lt;=0,"Tiền phải &gt; 0! ","")&amp;IF($B849="","Thiếu ngày! ","")&amp;IF(AND(OR(LEFT($F849,3)="131",LEFT($G849,3)="131",LEFT($F849,3)="331",LEFT($G849,3)="331"),$I849=""),"Thiếu Mã ĐT! ","")&amp;IF(AND($I849&lt;&gt;"",COUNTIF(DM_DT!$A$7:$A$306,$I849)=0),"Mã ĐT chưa khai báo! ","")))</f>
        <v/>
      </c>
      <c r="M849" s="117">
        <f>IF($H849="","",IF(AND(OR(LEFT($F849,3)="111",LEFT($F849,3)="112",LEFT($F849,3)="113"),OR(LEFT($G849,3)="111",LEFT($G849,3)="112",LEFT($G849,3)="113")),"NB",IF(OR(LEFT($F849,3)="111",LEFT($F849,3)="112",LEFT($F849,3)="113"),"THU",IF(OR(LEFT($G849,3)="111",LEFT($G849,3)="112",LEFT($G849,3)="113"),"CHI",""))))</f>
        <v/>
      </c>
      <c r="N849" s="117">
        <f>IF($M849="THU",$G849,IF($M849="CHI",$F849,""))</f>
        <v/>
      </c>
      <c r="O849" s="117">
        <f>IF(OR($M849="",$M849="NB"),"",IF($J849&lt;&gt;"",TEXT($J849,"00"),IFERROR(VLOOKUP(LEFT($N849,4),LCTT_MAP!$A$7:$C$66,IF($M849="THU",2,3),FALSE()),IFERROR(VLOOKUP(LEFT($N849,3),LCTT_MAP!$A$7:$C$66,IF($M849="THU",2,3),FALSE()),IFERROR(VLOOKUP(LEFT($N849,2),LCTT_MAP!$A$7:$C$66,IF($M849="THU",2,3),FALSE()),IFERROR(VLOOKUP(LEFT($N849,1),LCTT_MAP!$A$7:$C$66,IF($M849="THU",2,3),FALSE()),IF($M849="THU","06","07")))))))</f>
        <v/>
      </c>
      <c r="P849" s="117">
        <f>P848+IF(AND($H849&lt;&gt;"",OR(LEFT($F849,LEN(SC_TK))=SC_TK,LEFT($G849,LEN(SC_TK))=SC_TK)),1,0)</f>
        <v/>
      </c>
    </row>
    <row r="850" ht="15" customHeight="1" s="78">
      <c r="A850" s="95">
        <f>IF($H850="","",ROW()-6)</f>
        <v/>
      </c>
      <c r="B850" s="114" t="n"/>
      <c r="C850" s="102" t="n"/>
      <c r="D850" s="114" t="n"/>
      <c r="E850" s="103" t="n"/>
      <c r="F850" s="102" t="n"/>
      <c r="G850" s="102" t="n"/>
      <c r="H850" s="115" t="n"/>
      <c r="I850" s="102" t="n"/>
      <c r="J850" s="102" t="n"/>
      <c r="K850" s="103" t="n"/>
      <c r="L850" s="116">
        <f>IF($H850="","",TRIM(IF(COUNTIF(DMTK!$A$7:$A$250,$F850)=0,"TK Nợ sai! ","")&amp;IF(COUNTIF(DMTK!$A$7:$A$250,$G850)=0,"TK Có sai! ","")&amp;IF(N($H850)&lt;=0,"Tiền phải &gt; 0! ","")&amp;IF($B850="","Thiếu ngày! ","")&amp;IF(AND(OR(LEFT($F850,3)="131",LEFT($G850,3)="131",LEFT($F850,3)="331",LEFT($G850,3)="331"),$I850=""),"Thiếu Mã ĐT! ","")&amp;IF(AND($I850&lt;&gt;"",COUNTIF(DM_DT!$A$7:$A$306,$I850)=0),"Mã ĐT chưa khai báo! ","")))</f>
        <v/>
      </c>
      <c r="M850" s="117">
        <f>IF($H850="","",IF(AND(OR(LEFT($F850,3)="111",LEFT($F850,3)="112",LEFT($F850,3)="113"),OR(LEFT($G850,3)="111",LEFT($G850,3)="112",LEFT($G850,3)="113")),"NB",IF(OR(LEFT($F850,3)="111",LEFT($F850,3)="112",LEFT($F850,3)="113"),"THU",IF(OR(LEFT($G850,3)="111",LEFT($G850,3)="112",LEFT($G850,3)="113"),"CHI",""))))</f>
        <v/>
      </c>
      <c r="N850" s="117">
        <f>IF($M850="THU",$G850,IF($M850="CHI",$F850,""))</f>
        <v/>
      </c>
      <c r="O850" s="117">
        <f>IF(OR($M850="",$M850="NB"),"",IF($J850&lt;&gt;"",TEXT($J850,"00"),IFERROR(VLOOKUP(LEFT($N850,4),LCTT_MAP!$A$7:$C$66,IF($M850="THU",2,3),FALSE()),IFERROR(VLOOKUP(LEFT($N850,3),LCTT_MAP!$A$7:$C$66,IF($M850="THU",2,3),FALSE()),IFERROR(VLOOKUP(LEFT($N850,2),LCTT_MAP!$A$7:$C$66,IF($M850="THU",2,3),FALSE()),IFERROR(VLOOKUP(LEFT($N850,1),LCTT_MAP!$A$7:$C$66,IF($M850="THU",2,3),FALSE()),IF($M850="THU","06","07")))))))</f>
        <v/>
      </c>
      <c r="P850" s="117">
        <f>P849+IF(AND($H850&lt;&gt;"",OR(LEFT($F850,LEN(SC_TK))=SC_TK,LEFT($G850,LEN(SC_TK))=SC_TK)),1,0)</f>
        <v/>
      </c>
    </row>
    <row r="851" ht="15" customHeight="1" s="78">
      <c r="A851" s="95">
        <f>IF($H851="","",ROW()-6)</f>
        <v/>
      </c>
      <c r="B851" s="114" t="n"/>
      <c r="C851" s="102" t="n"/>
      <c r="D851" s="114" t="n"/>
      <c r="E851" s="103" t="n"/>
      <c r="F851" s="102" t="n"/>
      <c r="G851" s="102" t="n"/>
      <c r="H851" s="115" t="n"/>
      <c r="I851" s="102" t="n"/>
      <c r="J851" s="102" t="n"/>
      <c r="K851" s="103" t="n"/>
      <c r="L851" s="116">
        <f>IF($H851="","",TRIM(IF(COUNTIF(DMTK!$A$7:$A$250,$F851)=0,"TK Nợ sai! ","")&amp;IF(COUNTIF(DMTK!$A$7:$A$250,$G851)=0,"TK Có sai! ","")&amp;IF(N($H851)&lt;=0,"Tiền phải &gt; 0! ","")&amp;IF($B851="","Thiếu ngày! ","")&amp;IF(AND(OR(LEFT($F851,3)="131",LEFT($G851,3)="131",LEFT($F851,3)="331",LEFT($G851,3)="331"),$I851=""),"Thiếu Mã ĐT! ","")&amp;IF(AND($I851&lt;&gt;"",COUNTIF(DM_DT!$A$7:$A$306,$I851)=0),"Mã ĐT chưa khai báo! ","")))</f>
        <v/>
      </c>
      <c r="M851" s="117">
        <f>IF($H851="","",IF(AND(OR(LEFT($F851,3)="111",LEFT($F851,3)="112",LEFT($F851,3)="113"),OR(LEFT($G851,3)="111",LEFT($G851,3)="112",LEFT($G851,3)="113")),"NB",IF(OR(LEFT($F851,3)="111",LEFT($F851,3)="112",LEFT($F851,3)="113"),"THU",IF(OR(LEFT($G851,3)="111",LEFT($G851,3)="112",LEFT($G851,3)="113"),"CHI",""))))</f>
        <v/>
      </c>
      <c r="N851" s="117">
        <f>IF($M851="THU",$G851,IF($M851="CHI",$F851,""))</f>
        <v/>
      </c>
      <c r="O851" s="117">
        <f>IF(OR($M851="",$M851="NB"),"",IF($J851&lt;&gt;"",TEXT($J851,"00"),IFERROR(VLOOKUP(LEFT($N851,4),LCTT_MAP!$A$7:$C$66,IF($M851="THU",2,3),FALSE()),IFERROR(VLOOKUP(LEFT($N851,3),LCTT_MAP!$A$7:$C$66,IF($M851="THU",2,3),FALSE()),IFERROR(VLOOKUP(LEFT($N851,2),LCTT_MAP!$A$7:$C$66,IF($M851="THU",2,3),FALSE()),IFERROR(VLOOKUP(LEFT($N851,1),LCTT_MAP!$A$7:$C$66,IF($M851="THU",2,3),FALSE()),IF($M851="THU","06","07")))))))</f>
        <v/>
      </c>
      <c r="P851" s="117">
        <f>P850+IF(AND($H851&lt;&gt;"",OR(LEFT($F851,LEN(SC_TK))=SC_TK,LEFT($G851,LEN(SC_TK))=SC_TK)),1,0)</f>
        <v/>
      </c>
    </row>
    <row r="852" ht="15" customHeight="1" s="78">
      <c r="A852" s="95">
        <f>IF($H852="","",ROW()-6)</f>
        <v/>
      </c>
      <c r="B852" s="114" t="n"/>
      <c r="C852" s="102" t="n"/>
      <c r="D852" s="114" t="n"/>
      <c r="E852" s="103" t="n"/>
      <c r="F852" s="102" t="n"/>
      <c r="G852" s="102" t="n"/>
      <c r="H852" s="115" t="n"/>
      <c r="I852" s="102" t="n"/>
      <c r="J852" s="102" t="n"/>
      <c r="K852" s="103" t="n"/>
      <c r="L852" s="116">
        <f>IF($H852="","",TRIM(IF(COUNTIF(DMTK!$A$7:$A$250,$F852)=0,"TK Nợ sai! ","")&amp;IF(COUNTIF(DMTK!$A$7:$A$250,$G852)=0,"TK Có sai! ","")&amp;IF(N($H852)&lt;=0,"Tiền phải &gt; 0! ","")&amp;IF($B852="","Thiếu ngày! ","")&amp;IF(AND(OR(LEFT($F852,3)="131",LEFT($G852,3)="131",LEFT($F852,3)="331",LEFT($G852,3)="331"),$I852=""),"Thiếu Mã ĐT! ","")&amp;IF(AND($I852&lt;&gt;"",COUNTIF(DM_DT!$A$7:$A$306,$I852)=0),"Mã ĐT chưa khai báo! ","")))</f>
        <v/>
      </c>
      <c r="M852" s="117">
        <f>IF($H852="","",IF(AND(OR(LEFT($F852,3)="111",LEFT($F852,3)="112",LEFT($F852,3)="113"),OR(LEFT($G852,3)="111",LEFT($G852,3)="112",LEFT($G852,3)="113")),"NB",IF(OR(LEFT($F852,3)="111",LEFT($F852,3)="112",LEFT($F852,3)="113"),"THU",IF(OR(LEFT($G852,3)="111",LEFT($G852,3)="112",LEFT($G852,3)="113"),"CHI",""))))</f>
        <v/>
      </c>
      <c r="N852" s="117">
        <f>IF($M852="THU",$G852,IF($M852="CHI",$F852,""))</f>
        <v/>
      </c>
      <c r="O852" s="117">
        <f>IF(OR($M852="",$M852="NB"),"",IF($J852&lt;&gt;"",TEXT($J852,"00"),IFERROR(VLOOKUP(LEFT($N852,4),LCTT_MAP!$A$7:$C$66,IF($M852="THU",2,3),FALSE()),IFERROR(VLOOKUP(LEFT($N852,3),LCTT_MAP!$A$7:$C$66,IF($M852="THU",2,3),FALSE()),IFERROR(VLOOKUP(LEFT($N852,2),LCTT_MAP!$A$7:$C$66,IF($M852="THU",2,3),FALSE()),IFERROR(VLOOKUP(LEFT($N852,1),LCTT_MAP!$A$7:$C$66,IF($M852="THU",2,3),FALSE()),IF($M852="THU","06","07")))))))</f>
        <v/>
      </c>
      <c r="P852" s="117">
        <f>P851+IF(AND($H852&lt;&gt;"",OR(LEFT($F852,LEN(SC_TK))=SC_TK,LEFT($G852,LEN(SC_TK))=SC_TK)),1,0)</f>
        <v/>
      </c>
    </row>
    <row r="853" ht="15" customHeight="1" s="78">
      <c r="A853" s="95">
        <f>IF($H853="","",ROW()-6)</f>
        <v/>
      </c>
      <c r="B853" s="114" t="n"/>
      <c r="C853" s="102" t="n"/>
      <c r="D853" s="114" t="n"/>
      <c r="E853" s="103" t="n"/>
      <c r="F853" s="102" t="n"/>
      <c r="G853" s="102" t="n"/>
      <c r="H853" s="115" t="n"/>
      <c r="I853" s="102" t="n"/>
      <c r="J853" s="102" t="n"/>
      <c r="K853" s="103" t="n"/>
      <c r="L853" s="116">
        <f>IF($H853="","",TRIM(IF(COUNTIF(DMTK!$A$7:$A$250,$F853)=0,"TK Nợ sai! ","")&amp;IF(COUNTIF(DMTK!$A$7:$A$250,$G853)=0,"TK Có sai! ","")&amp;IF(N($H853)&lt;=0,"Tiền phải &gt; 0! ","")&amp;IF($B853="","Thiếu ngày! ","")&amp;IF(AND(OR(LEFT($F853,3)="131",LEFT($G853,3)="131",LEFT($F853,3)="331",LEFT($G853,3)="331"),$I853=""),"Thiếu Mã ĐT! ","")&amp;IF(AND($I853&lt;&gt;"",COUNTIF(DM_DT!$A$7:$A$306,$I853)=0),"Mã ĐT chưa khai báo! ","")))</f>
        <v/>
      </c>
      <c r="M853" s="117">
        <f>IF($H853="","",IF(AND(OR(LEFT($F853,3)="111",LEFT($F853,3)="112",LEFT($F853,3)="113"),OR(LEFT($G853,3)="111",LEFT($G853,3)="112",LEFT($G853,3)="113")),"NB",IF(OR(LEFT($F853,3)="111",LEFT($F853,3)="112",LEFT($F853,3)="113"),"THU",IF(OR(LEFT($G853,3)="111",LEFT($G853,3)="112",LEFT($G853,3)="113"),"CHI",""))))</f>
        <v/>
      </c>
      <c r="N853" s="117">
        <f>IF($M853="THU",$G853,IF($M853="CHI",$F853,""))</f>
        <v/>
      </c>
      <c r="O853" s="117">
        <f>IF(OR($M853="",$M853="NB"),"",IF($J853&lt;&gt;"",TEXT($J853,"00"),IFERROR(VLOOKUP(LEFT($N853,4),LCTT_MAP!$A$7:$C$66,IF($M853="THU",2,3),FALSE()),IFERROR(VLOOKUP(LEFT($N853,3),LCTT_MAP!$A$7:$C$66,IF($M853="THU",2,3),FALSE()),IFERROR(VLOOKUP(LEFT($N853,2),LCTT_MAP!$A$7:$C$66,IF($M853="THU",2,3),FALSE()),IFERROR(VLOOKUP(LEFT($N853,1),LCTT_MAP!$A$7:$C$66,IF($M853="THU",2,3),FALSE()),IF($M853="THU","06","07")))))))</f>
        <v/>
      </c>
      <c r="P853" s="117">
        <f>P852+IF(AND($H853&lt;&gt;"",OR(LEFT($F853,LEN(SC_TK))=SC_TK,LEFT($G853,LEN(SC_TK))=SC_TK)),1,0)</f>
        <v/>
      </c>
    </row>
    <row r="854" ht="15" customHeight="1" s="78">
      <c r="A854" s="95">
        <f>IF($H854="","",ROW()-6)</f>
        <v/>
      </c>
      <c r="B854" s="114" t="n"/>
      <c r="C854" s="102" t="n"/>
      <c r="D854" s="114" t="n"/>
      <c r="E854" s="103" t="n"/>
      <c r="F854" s="102" t="n"/>
      <c r="G854" s="102" t="n"/>
      <c r="H854" s="115" t="n"/>
      <c r="I854" s="102" t="n"/>
      <c r="J854" s="102" t="n"/>
      <c r="K854" s="103" t="n"/>
      <c r="L854" s="116">
        <f>IF($H854="","",TRIM(IF(COUNTIF(DMTK!$A$7:$A$250,$F854)=0,"TK Nợ sai! ","")&amp;IF(COUNTIF(DMTK!$A$7:$A$250,$G854)=0,"TK Có sai! ","")&amp;IF(N($H854)&lt;=0,"Tiền phải &gt; 0! ","")&amp;IF($B854="","Thiếu ngày! ","")&amp;IF(AND(OR(LEFT($F854,3)="131",LEFT($G854,3)="131",LEFT($F854,3)="331",LEFT($G854,3)="331"),$I854=""),"Thiếu Mã ĐT! ","")&amp;IF(AND($I854&lt;&gt;"",COUNTIF(DM_DT!$A$7:$A$306,$I854)=0),"Mã ĐT chưa khai báo! ","")))</f>
        <v/>
      </c>
      <c r="M854" s="117">
        <f>IF($H854="","",IF(AND(OR(LEFT($F854,3)="111",LEFT($F854,3)="112",LEFT($F854,3)="113"),OR(LEFT($G854,3)="111",LEFT($G854,3)="112",LEFT($G854,3)="113")),"NB",IF(OR(LEFT($F854,3)="111",LEFT($F854,3)="112",LEFT($F854,3)="113"),"THU",IF(OR(LEFT($G854,3)="111",LEFT($G854,3)="112",LEFT($G854,3)="113"),"CHI",""))))</f>
        <v/>
      </c>
      <c r="N854" s="117">
        <f>IF($M854="THU",$G854,IF($M854="CHI",$F854,""))</f>
        <v/>
      </c>
      <c r="O854" s="117">
        <f>IF(OR($M854="",$M854="NB"),"",IF($J854&lt;&gt;"",TEXT($J854,"00"),IFERROR(VLOOKUP(LEFT($N854,4),LCTT_MAP!$A$7:$C$66,IF($M854="THU",2,3),FALSE()),IFERROR(VLOOKUP(LEFT($N854,3),LCTT_MAP!$A$7:$C$66,IF($M854="THU",2,3),FALSE()),IFERROR(VLOOKUP(LEFT($N854,2),LCTT_MAP!$A$7:$C$66,IF($M854="THU",2,3),FALSE()),IFERROR(VLOOKUP(LEFT($N854,1),LCTT_MAP!$A$7:$C$66,IF($M854="THU",2,3),FALSE()),IF($M854="THU","06","07")))))))</f>
        <v/>
      </c>
      <c r="P854" s="117">
        <f>P853+IF(AND($H854&lt;&gt;"",OR(LEFT($F854,LEN(SC_TK))=SC_TK,LEFT($G854,LEN(SC_TK))=SC_TK)),1,0)</f>
        <v/>
      </c>
    </row>
    <row r="855" ht="15" customHeight="1" s="78">
      <c r="A855" s="95">
        <f>IF($H855="","",ROW()-6)</f>
        <v/>
      </c>
      <c r="B855" s="114" t="n"/>
      <c r="C855" s="102" t="n"/>
      <c r="D855" s="114" t="n"/>
      <c r="E855" s="103" t="n"/>
      <c r="F855" s="102" t="n"/>
      <c r="G855" s="102" t="n"/>
      <c r="H855" s="115" t="n"/>
      <c r="I855" s="102" t="n"/>
      <c r="J855" s="102" t="n"/>
      <c r="K855" s="103" t="n"/>
      <c r="L855" s="116">
        <f>IF($H855="","",TRIM(IF(COUNTIF(DMTK!$A$7:$A$250,$F855)=0,"TK Nợ sai! ","")&amp;IF(COUNTIF(DMTK!$A$7:$A$250,$G855)=0,"TK Có sai! ","")&amp;IF(N($H855)&lt;=0,"Tiền phải &gt; 0! ","")&amp;IF($B855="","Thiếu ngày! ","")&amp;IF(AND(OR(LEFT($F855,3)="131",LEFT($G855,3)="131",LEFT($F855,3)="331",LEFT($G855,3)="331"),$I855=""),"Thiếu Mã ĐT! ","")&amp;IF(AND($I855&lt;&gt;"",COUNTIF(DM_DT!$A$7:$A$306,$I855)=0),"Mã ĐT chưa khai báo! ","")))</f>
        <v/>
      </c>
      <c r="M855" s="117">
        <f>IF($H855="","",IF(AND(OR(LEFT($F855,3)="111",LEFT($F855,3)="112",LEFT($F855,3)="113"),OR(LEFT($G855,3)="111",LEFT($G855,3)="112",LEFT($G855,3)="113")),"NB",IF(OR(LEFT($F855,3)="111",LEFT($F855,3)="112",LEFT($F855,3)="113"),"THU",IF(OR(LEFT($G855,3)="111",LEFT($G855,3)="112",LEFT($G855,3)="113"),"CHI",""))))</f>
        <v/>
      </c>
      <c r="N855" s="117">
        <f>IF($M855="THU",$G855,IF($M855="CHI",$F855,""))</f>
        <v/>
      </c>
      <c r="O855" s="117">
        <f>IF(OR($M855="",$M855="NB"),"",IF($J855&lt;&gt;"",TEXT($J855,"00"),IFERROR(VLOOKUP(LEFT($N855,4),LCTT_MAP!$A$7:$C$66,IF($M855="THU",2,3),FALSE()),IFERROR(VLOOKUP(LEFT($N855,3),LCTT_MAP!$A$7:$C$66,IF($M855="THU",2,3),FALSE()),IFERROR(VLOOKUP(LEFT($N855,2),LCTT_MAP!$A$7:$C$66,IF($M855="THU",2,3),FALSE()),IFERROR(VLOOKUP(LEFT($N855,1),LCTT_MAP!$A$7:$C$66,IF($M855="THU",2,3),FALSE()),IF($M855="THU","06","07")))))))</f>
        <v/>
      </c>
      <c r="P855" s="117">
        <f>P854+IF(AND($H855&lt;&gt;"",OR(LEFT($F855,LEN(SC_TK))=SC_TK,LEFT($G855,LEN(SC_TK))=SC_TK)),1,0)</f>
        <v/>
      </c>
    </row>
    <row r="856" ht="15" customHeight="1" s="78">
      <c r="A856" s="95">
        <f>IF($H856="","",ROW()-6)</f>
        <v/>
      </c>
      <c r="B856" s="114" t="n"/>
      <c r="C856" s="102" t="n"/>
      <c r="D856" s="114" t="n"/>
      <c r="E856" s="103" t="n"/>
      <c r="F856" s="102" t="n"/>
      <c r="G856" s="102" t="n"/>
      <c r="H856" s="115" t="n"/>
      <c r="I856" s="102" t="n"/>
      <c r="J856" s="102" t="n"/>
      <c r="K856" s="103" t="n"/>
      <c r="L856" s="116">
        <f>IF($H856="","",TRIM(IF(COUNTIF(DMTK!$A$7:$A$250,$F856)=0,"TK Nợ sai! ","")&amp;IF(COUNTIF(DMTK!$A$7:$A$250,$G856)=0,"TK Có sai! ","")&amp;IF(N($H856)&lt;=0,"Tiền phải &gt; 0! ","")&amp;IF($B856="","Thiếu ngày! ","")&amp;IF(AND(OR(LEFT($F856,3)="131",LEFT($G856,3)="131",LEFT($F856,3)="331",LEFT($G856,3)="331"),$I856=""),"Thiếu Mã ĐT! ","")&amp;IF(AND($I856&lt;&gt;"",COUNTIF(DM_DT!$A$7:$A$306,$I856)=0),"Mã ĐT chưa khai báo! ","")))</f>
        <v/>
      </c>
      <c r="M856" s="117">
        <f>IF($H856="","",IF(AND(OR(LEFT($F856,3)="111",LEFT($F856,3)="112",LEFT($F856,3)="113"),OR(LEFT($G856,3)="111",LEFT($G856,3)="112",LEFT($G856,3)="113")),"NB",IF(OR(LEFT($F856,3)="111",LEFT($F856,3)="112",LEFT($F856,3)="113"),"THU",IF(OR(LEFT($G856,3)="111",LEFT($G856,3)="112",LEFT($G856,3)="113"),"CHI",""))))</f>
        <v/>
      </c>
      <c r="N856" s="117">
        <f>IF($M856="THU",$G856,IF($M856="CHI",$F856,""))</f>
        <v/>
      </c>
      <c r="O856" s="117">
        <f>IF(OR($M856="",$M856="NB"),"",IF($J856&lt;&gt;"",TEXT($J856,"00"),IFERROR(VLOOKUP(LEFT($N856,4),LCTT_MAP!$A$7:$C$66,IF($M856="THU",2,3),FALSE()),IFERROR(VLOOKUP(LEFT($N856,3),LCTT_MAP!$A$7:$C$66,IF($M856="THU",2,3),FALSE()),IFERROR(VLOOKUP(LEFT($N856,2),LCTT_MAP!$A$7:$C$66,IF($M856="THU",2,3),FALSE()),IFERROR(VLOOKUP(LEFT($N856,1),LCTT_MAP!$A$7:$C$66,IF($M856="THU",2,3),FALSE()),IF($M856="THU","06","07")))))))</f>
        <v/>
      </c>
      <c r="P856" s="117">
        <f>P855+IF(AND($H856&lt;&gt;"",OR(LEFT($F856,LEN(SC_TK))=SC_TK,LEFT($G856,LEN(SC_TK))=SC_TK)),1,0)</f>
        <v/>
      </c>
    </row>
    <row r="857" ht="15" customHeight="1" s="78">
      <c r="A857" s="95">
        <f>IF($H857="","",ROW()-6)</f>
        <v/>
      </c>
      <c r="B857" s="114" t="n"/>
      <c r="C857" s="102" t="n"/>
      <c r="D857" s="114" t="n"/>
      <c r="E857" s="103" t="n"/>
      <c r="F857" s="102" t="n"/>
      <c r="G857" s="102" t="n"/>
      <c r="H857" s="115" t="n"/>
      <c r="I857" s="102" t="n"/>
      <c r="J857" s="102" t="n"/>
      <c r="K857" s="103" t="n"/>
      <c r="L857" s="116">
        <f>IF($H857="","",TRIM(IF(COUNTIF(DMTK!$A$7:$A$250,$F857)=0,"TK Nợ sai! ","")&amp;IF(COUNTIF(DMTK!$A$7:$A$250,$G857)=0,"TK Có sai! ","")&amp;IF(N($H857)&lt;=0,"Tiền phải &gt; 0! ","")&amp;IF($B857="","Thiếu ngày! ","")&amp;IF(AND(OR(LEFT($F857,3)="131",LEFT($G857,3)="131",LEFT($F857,3)="331",LEFT($G857,3)="331"),$I857=""),"Thiếu Mã ĐT! ","")&amp;IF(AND($I857&lt;&gt;"",COUNTIF(DM_DT!$A$7:$A$306,$I857)=0),"Mã ĐT chưa khai báo! ","")))</f>
        <v/>
      </c>
      <c r="M857" s="117">
        <f>IF($H857="","",IF(AND(OR(LEFT($F857,3)="111",LEFT($F857,3)="112",LEFT($F857,3)="113"),OR(LEFT($G857,3)="111",LEFT($G857,3)="112",LEFT($G857,3)="113")),"NB",IF(OR(LEFT($F857,3)="111",LEFT($F857,3)="112",LEFT($F857,3)="113"),"THU",IF(OR(LEFT($G857,3)="111",LEFT($G857,3)="112",LEFT($G857,3)="113"),"CHI",""))))</f>
        <v/>
      </c>
      <c r="N857" s="117">
        <f>IF($M857="THU",$G857,IF($M857="CHI",$F857,""))</f>
        <v/>
      </c>
      <c r="O857" s="117">
        <f>IF(OR($M857="",$M857="NB"),"",IF($J857&lt;&gt;"",TEXT($J857,"00"),IFERROR(VLOOKUP(LEFT($N857,4),LCTT_MAP!$A$7:$C$66,IF($M857="THU",2,3),FALSE()),IFERROR(VLOOKUP(LEFT($N857,3),LCTT_MAP!$A$7:$C$66,IF($M857="THU",2,3),FALSE()),IFERROR(VLOOKUP(LEFT($N857,2),LCTT_MAP!$A$7:$C$66,IF($M857="THU",2,3),FALSE()),IFERROR(VLOOKUP(LEFT($N857,1),LCTT_MAP!$A$7:$C$66,IF($M857="THU",2,3),FALSE()),IF($M857="THU","06","07")))))))</f>
        <v/>
      </c>
      <c r="P857" s="117">
        <f>P856+IF(AND($H857&lt;&gt;"",OR(LEFT($F857,LEN(SC_TK))=SC_TK,LEFT($G857,LEN(SC_TK))=SC_TK)),1,0)</f>
        <v/>
      </c>
    </row>
    <row r="858" ht="15" customHeight="1" s="78">
      <c r="A858" s="95">
        <f>IF($H858="","",ROW()-6)</f>
        <v/>
      </c>
      <c r="B858" s="114" t="n"/>
      <c r="C858" s="102" t="n"/>
      <c r="D858" s="114" t="n"/>
      <c r="E858" s="103" t="n"/>
      <c r="F858" s="102" t="n"/>
      <c r="G858" s="102" t="n"/>
      <c r="H858" s="115" t="n"/>
      <c r="I858" s="102" t="n"/>
      <c r="J858" s="102" t="n"/>
      <c r="K858" s="103" t="n"/>
      <c r="L858" s="116">
        <f>IF($H858="","",TRIM(IF(COUNTIF(DMTK!$A$7:$A$250,$F858)=0,"TK Nợ sai! ","")&amp;IF(COUNTIF(DMTK!$A$7:$A$250,$G858)=0,"TK Có sai! ","")&amp;IF(N($H858)&lt;=0,"Tiền phải &gt; 0! ","")&amp;IF($B858="","Thiếu ngày! ","")&amp;IF(AND(OR(LEFT($F858,3)="131",LEFT($G858,3)="131",LEFT($F858,3)="331",LEFT($G858,3)="331"),$I858=""),"Thiếu Mã ĐT! ","")&amp;IF(AND($I858&lt;&gt;"",COUNTIF(DM_DT!$A$7:$A$306,$I858)=0),"Mã ĐT chưa khai báo! ","")))</f>
        <v/>
      </c>
      <c r="M858" s="117">
        <f>IF($H858="","",IF(AND(OR(LEFT($F858,3)="111",LEFT($F858,3)="112",LEFT($F858,3)="113"),OR(LEFT($G858,3)="111",LEFT($G858,3)="112",LEFT($G858,3)="113")),"NB",IF(OR(LEFT($F858,3)="111",LEFT($F858,3)="112",LEFT($F858,3)="113"),"THU",IF(OR(LEFT($G858,3)="111",LEFT($G858,3)="112",LEFT($G858,3)="113"),"CHI",""))))</f>
        <v/>
      </c>
      <c r="N858" s="117">
        <f>IF($M858="THU",$G858,IF($M858="CHI",$F858,""))</f>
        <v/>
      </c>
      <c r="O858" s="117">
        <f>IF(OR($M858="",$M858="NB"),"",IF($J858&lt;&gt;"",TEXT($J858,"00"),IFERROR(VLOOKUP(LEFT($N858,4),LCTT_MAP!$A$7:$C$66,IF($M858="THU",2,3),FALSE()),IFERROR(VLOOKUP(LEFT($N858,3),LCTT_MAP!$A$7:$C$66,IF($M858="THU",2,3),FALSE()),IFERROR(VLOOKUP(LEFT($N858,2),LCTT_MAP!$A$7:$C$66,IF($M858="THU",2,3),FALSE()),IFERROR(VLOOKUP(LEFT($N858,1),LCTT_MAP!$A$7:$C$66,IF($M858="THU",2,3),FALSE()),IF($M858="THU","06","07")))))))</f>
        <v/>
      </c>
      <c r="P858" s="117">
        <f>P857+IF(AND($H858&lt;&gt;"",OR(LEFT($F858,LEN(SC_TK))=SC_TK,LEFT($G858,LEN(SC_TK))=SC_TK)),1,0)</f>
        <v/>
      </c>
    </row>
    <row r="859" ht="15" customHeight="1" s="78">
      <c r="A859" s="95">
        <f>IF($H859="","",ROW()-6)</f>
        <v/>
      </c>
      <c r="B859" s="114" t="n"/>
      <c r="C859" s="102" t="n"/>
      <c r="D859" s="114" t="n"/>
      <c r="E859" s="103" t="n"/>
      <c r="F859" s="102" t="n"/>
      <c r="G859" s="102" t="n"/>
      <c r="H859" s="115" t="n"/>
      <c r="I859" s="102" t="n"/>
      <c r="J859" s="102" t="n"/>
      <c r="K859" s="103" t="n"/>
      <c r="L859" s="116">
        <f>IF($H859="","",TRIM(IF(COUNTIF(DMTK!$A$7:$A$250,$F859)=0,"TK Nợ sai! ","")&amp;IF(COUNTIF(DMTK!$A$7:$A$250,$G859)=0,"TK Có sai! ","")&amp;IF(N($H859)&lt;=0,"Tiền phải &gt; 0! ","")&amp;IF($B859="","Thiếu ngày! ","")&amp;IF(AND(OR(LEFT($F859,3)="131",LEFT($G859,3)="131",LEFT($F859,3)="331",LEFT($G859,3)="331"),$I859=""),"Thiếu Mã ĐT! ","")&amp;IF(AND($I859&lt;&gt;"",COUNTIF(DM_DT!$A$7:$A$306,$I859)=0),"Mã ĐT chưa khai báo! ","")))</f>
        <v/>
      </c>
      <c r="M859" s="117">
        <f>IF($H859="","",IF(AND(OR(LEFT($F859,3)="111",LEFT($F859,3)="112",LEFT($F859,3)="113"),OR(LEFT($G859,3)="111",LEFT($G859,3)="112",LEFT($G859,3)="113")),"NB",IF(OR(LEFT($F859,3)="111",LEFT($F859,3)="112",LEFT($F859,3)="113"),"THU",IF(OR(LEFT($G859,3)="111",LEFT($G859,3)="112",LEFT($G859,3)="113"),"CHI",""))))</f>
        <v/>
      </c>
      <c r="N859" s="117">
        <f>IF($M859="THU",$G859,IF($M859="CHI",$F859,""))</f>
        <v/>
      </c>
      <c r="O859" s="117">
        <f>IF(OR($M859="",$M859="NB"),"",IF($J859&lt;&gt;"",TEXT($J859,"00"),IFERROR(VLOOKUP(LEFT($N859,4),LCTT_MAP!$A$7:$C$66,IF($M859="THU",2,3),FALSE()),IFERROR(VLOOKUP(LEFT($N859,3),LCTT_MAP!$A$7:$C$66,IF($M859="THU",2,3),FALSE()),IFERROR(VLOOKUP(LEFT($N859,2),LCTT_MAP!$A$7:$C$66,IF($M859="THU",2,3),FALSE()),IFERROR(VLOOKUP(LEFT($N859,1),LCTT_MAP!$A$7:$C$66,IF($M859="THU",2,3),FALSE()),IF($M859="THU","06","07")))))))</f>
        <v/>
      </c>
      <c r="P859" s="117">
        <f>P858+IF(AND($H859&lt;&gt;"",OR(LEFT($F859,LEN(SC_TK))=SC_TK,LEFT($G859,LEN(SC_TK))=SC_TK)),1,0)</f>
        <v/>
      </c>
    </row>
    <row r="860" ht="15" customHeight="1" s="78">
      <c r="A860" s="95">
        <f>IF($H860="","",ROW()-6)</f>
        <v/>
      </c>
      <c r="B860" s="114" t="n"/>
      <c r="C860" s="102" t="n"/>
      <c r="D860" s="114" t="n"/>
      <c r="E860" s="103" t="n"/>
      <c r="F860" s="102" t="n"/>
      <c r="G860" s="102" t="n"/>
      <c r="H860" s="115" t="n"/>
      <c r="I860" s="102" t="n"/>
      <c r="J860" s="102" t="n"/>
      <c r="K860" s="103" t="n"/>
      <c r="L860" s="116">
        <f>IF($H860="","",TRIM(IF(COUNTIF(DMTK!$A$7:$A$250,$F860)=0,"TK Nợ sai! ","")&amp;IF(COUNTIF(DMTK!$A$7:$A$250,$G860)=0,"TK Có sai! ","")&amp;IF(N($H860)&lt;=0,"Tiền phải &gt; 0! ","")&amp;IF($B860="","Thiếu ngày! ","")&amp;IF(AND(OR(LEFT($F860,3)="131",LEFT($G860,3)="131",LEFT($F860,3)="331",LEFT($G860,3)="331"),$I860=""),"Thiếu Mã ĐT! ","")&amp;IF(AND($I860&lt;&gt;"",COUNTIF(DM_DT!$A$7:$A$306,$I860)=0),"Mã ĐT chưa khai báo! ","")))</f>
        <v/>
      </c>
      <c r="M860" s="117">
        <f>IF($H860="","",IF(AND(OR(LEFT($F860,3)="111",LEFT($F860,3)="112",LEFT($F860,3)="113"),OR(LEFT($G860,3)="111",LEFT($G860,3)="112",LEFT($G860,3)="113")),"NB",IF(OR(LEFT($F860,3)="111",LEFT($F860,3)="112",LEFT($F860,3)="113"),"THU",IF(OR(LEFT($G860,3)="111",LEFT($G860,3)="112",LEFT($G860,3)="113"),"CHI",""))))</f>
        <v/>
      </c>
      <c r="N860" s="117">
        <f>IF($M860="THU",$G860,IF($M860="CHI",$F860,""))</f>
        <v/>
      </c>
      <c r="O860" s="117">
        <f>IF(OR($M860="",$M860="NB"),"",IF($J860&lt;&gt;"",TEXT($J860,"00"),IFERROR(VLOOKUP(LEFT($N860,4),LCTT_MAP!$A$7:$C$66,IF($M860="THU",2,3),FALSE()),IFERROR(VLOOKUP(LEFT($N860,3),LCTT_MAP!$A$7:$C$66,IF($M860="THU",2,3),FALSE()),IFERROR(VLOOKUP(LEFT($N860,2),LCTT_MAP!$A$7:$C$66,IF($M860="THU",2,3),FALSE()),IFERROR(VLOOKUP(LEFT($N860,1),LCTT_MAP!$A$7:$C$66,IF($M860="THU",2,3),FALSE()),IF($M860="THU","06","07")))))))</f>
        <v/>
      </c>
      <c r="P860" s="117">
        <f>P859+IF(AND($H860&lt;&gt;"",OR(LEFT($F860,LEN(SC_TK))=SC_TK,LEFT($G860,LEN(SC_TK))=SC_TK)),1,0)</f>
        <v/>
      </c>
    </row>
    <row r="861" ht="15" customHeight="1" s="78">
      <c r="A861" s="95">
        <f>IF($H861="","",ROW()-6)</f>
        <v/>
      </c>
      <c r="B861" s="114" t="n"/>
      <c r="C861" s="102" t="n"/>
      <c r="D861" s="114" t="n"/>
      <c r="E861" s="103" t="n"/>
      <c r="F861" s="102" t="n"/>
      <c r="G861" s="102" t="n"/>
      <c r="H861" s="115" t="n"/>
      <c r="I861" s="102" t="n"/>
      <c r="J861" s="102" t="n"/>
      <c r="K861" s="103" t="n"/>
      <c r="L861" s="116">
        <f>IF($H861="","",TRIM(IF(COUNTIF(DMTK!$A$7:$A$250,$F861)=0,"TK Nợ sai! ","")&amp;IF(COUNTIF(DMTK!$A$7:$A$250,$G861)=0,"TK Có sai! ","")&amp;IF(N($H861)&lt;=0,"Tiền phải &gt; 0! ","")&amp;IF($B861="","Thiếu ngày! ","")&amp;IF(AND(OR(LEFT($F861,3)="131",LEFT($G861,3)="131",LEFT($F861,3)="331",LEFT($G861,3)="331"),$I861=""),"Thiếu Mã ĐT! ","")&amp;IF(AND($I861&lt;&gt;"",COUNTIF(DM_DT!$A$7:$A$306,$I861)=0),"Mã ĐT chưa khai báo! ","")))</f>
        <v/>
      </c>
      <c r="M861" s="117">
        <f>IF($H861="","",IF(AND(OR(LEFT($F861,3)="111",LEFT($F861,3)="112",LEFT($F861,3)="113"),OR(LEFT($G861,3)="111",LEFT($G861,3)="112",LEFT($G861,3)="113")),"NB",IF(OR(LEFT($F861,3)="111",LEFT($F861,3)="112",LEFT($F861,3)="113"),"THU",IF(OR(LEFT($G861,3)="111",LEFT($G861,3)="112",LEFT($G861,3)="113"),"CHI",""))))</f>
        <v/>
      </c>
      <c r="N861" s="117">
        <f>IF($M861="THU",$G861,IF($M861="CHI",$F861,""))</f>
        <v/>
      </c>
      <c r="O861" s="117">
        <f>IF(OR($M861="",$M861="NB"),"",IF($J861&lt;&gt;"",TEXT($J861,"00"),IFERROR(VLOOKUP(LEFT($N861,4),LCTT_MAP!$A$7:$C$66,IF($M861="THU",2,3),FALSE()),IFERROR(VLOOKUP(LEFT($N861,3),LCTT_MAP!$A$7:$C$66,IF($M861="THU",2,3),FALSE()),IFERROR(VLOOKUP(LEFT($N861,2),LCTT_MAP!$A$7:$C$66,IF($M861="THU",2,3),FALSE()),IFERROR(VLOOKUP(LEFT($N861,1),LCTT_MAP!$A$7:$C$66,IF($M861="THU",2,3),FALSE()),IF($M861="THU","06","07")))))))</f>
        <v/>
      </c>
      <c r="P861" s="117">
        <f>P860+IF(AND($H861&lt;&gt;"",OR(LEFT($F861,LEN(SC_TK))=SC_TK,LEFT($G861,LEN(SC_TK))=SC_TK)),1,0)</f>
        <v/>
      </c>
    </row>
    <row r="862" ht="15" customHeight="1" s="78">
      <c r="A862" s="95">
        <f>IF($H862="","",ROW()-6)</f>
        <v/>
      </c>
      <c r="B862" s="114" t="n"/>
      <c r="C862" s="102" t="n"/>
      <c r="D862" s="114" t="n"/>
      <c r="E862" s="103" t="n"/>
      <c r="F862" s="102" t="n"/>
      <c r="G862" s="102" t="n"/>
      <c r="H862" s="115" t="n"/>
      <c r="I862" s="102" t="n"/>
      <c r="J862" s="102" t="n"/>
      <c r="K862" s="103" t="n"/>
      <c r="L862" s="116">
        <f>IF($H862="","",TRIM(IF(COUNTIF(DMTK!$A$7:$A$250,$F862)=0,"TK Nợ sai! ","")&amp;IF(COUNTIF(DMTK!$A$7:$A$250,$G862)=0,"TK Có sai! ","")&amp;IF(N($H862)&lt;=0,"Tiền phải &gt; 0! ","")&amp;IF($B862="","Thiếu ngày! ","")&amp;IF(AND(OR(LEFT($F862,3)="131",LEFT($G862,3)="131",LEFT($F862,3)="331",LEFT($G862,3)="331"),$I862=""),"Thiếu Mã ĐT! ","")&amp;IF(AND($I862&lt;&gt;"",COUNTIF(DM_DT!$A$7:$A$306,$I862)=0),"Mã ĐT chưa khai báo! ","")))</f>
        <v/>
      </c>
      <c r="M862" s="117">
        <f>IF($H862="","",IF(AND(OR(LEFT($F862,3)="111",LEFT($F862,3)="112",LEFT($F862,3)="113"),OR(LEFT($G862,3)="111",LEFT($G862,3)="112",LEFT($G862,3)="113")),"NB",IF(OR(LEFT($F862,3)="111",LEFT($F862,3)="112",LEFT($F862,3)="113"),"THU",IF(OR(LEFT($G862,3)="111",LEFT($G862,3)="112",LEFT($G862,3)="113"),"CHI",""))))</f>
        <v/>
      </c>
      <c r="N862" s="117">
        <f>IF($M862="THU",$G862,IF($M862="CHI",$F862,""))</f>
        <v/>
      </c>
      <c r="O862" s="117">
        <f>IF(OR($M862="",$M862="NB"),"",IF($J862&lt;&gt;"",TEXT($J862,"00"),IFERROR(VLOOKUP(LEFT($N862,4),LCTT_MAP!$A$7:$C$66,IF($M862="THU",2,3),FALSE()),IFERROR(VLOOKUP(LEFT($N862,3),LCTT_MAP!$A$7:$C$66,IF($M862="THU",2,3),FALSE()),IFERROR(VLOOKUP(LEFT($N862,2),LCTT_MAP!$A$7:$C$66,IF($M862="THU",2,3),FALSE()),IFERROR(VLOOKUP(LEFT($N862,1),LCTT_MAP!$A$7:$C$66,IF($M862="THU",2,3),FALSE()),IF($M862="THU","06","07")))))))</f>
        <v/>
      </c>
      <c r="P862" s="117">
        <f>P861+IF(AND($H862&lt;&gt;"",OR(LEFT($F862,LEN(SC_TK))=SC_TK,LEFT($G862,LEN(SC_TK))=SC_TK)),1,0)</f>
        <v/>
      </c>
    </row>
    <row r="863" ht="15" customHeight="1" s="78">
      <c r="A863" s="95">
        <f>IF($H863="","",ROW()-6)</f>
        <v/>
      </c>
      <c r="B863" s="114" t="n"/>
      <c r="C863" s="102" t="n"/>
      <c r="D863" s="114" t="n"/>
      <c r="E863" s="103" t="n"/>
      <c r="F863" s="102" t="n"/>
      <c r="G863" s="102" t="n"/>
      <c r="H863" s="115" t="n"/>
      <c r="I863" s="102" t="n"/>
      <c r="J863" s="102" t="n"/>
      <c r="K863" s="103" t="n"/>
      <c r="L863" s="116">
        <f>IF($H863="","",TRIM(IF(COUNTIF(DMTK!$A$7:$A$250,$F863)=0,"TK Nợ sai! ","")&amp;IF(COUNTIF(DMTK!$A$7:$A$250,$G863)=0,"TK Có sai! ","")&amp;IF(N($H863)&lt;=0,"Tiền phải &gt; 0! ","")&amp;IF($B863="","Thiếu ngày! ","")&amp;IF(AND(OR(LEFT($F863,3)="131",LEFT($G863,3)="131",LEFT($F863,3)="331",LEFT($G863,3)="331"),$I863=""),"Thiếu Mã ĐT! ","")&amp;IF(AND($I863&lt;&gt;"",COUNTIF(DM_DT!$A$7:$A$306,$I863)=0),"Mã ĐT chưa khai báo! ","")))</f>
        <v/>
      </c>
      <c r="M863" s="117">
        <f>IF($H863="","",IF(AND(OR(LEFT($F863,3)="111",LEFT($F863,3)="112",LEFT($F863,3)="113"),OR(LEFT($G863,3)="111",LEFT($G863,3)="112",LEFT($G863,3)="113")),"NB",IF(OR(LEFT($F863,3)="111",LEFT($F863,3)="112",LEFT($F863,3)="113"),"THU",IF(OR(LEFT($G863,3)="111",LEFT($G863,3)="112",LEFT($G863,3)="113"),"CHI",""))))</f>
        <v/>
      </c>
      <c r="N863" s="117">
        <f>IF($M863="THU",$G863,IF($M863="CHI",$F863,""))</f>
        <v/>
      </c>
      <c r="O863" s="117">
        <f>IF(OR($M863="",$M863="NB"),"",IF($J863&lt;&gt;"",TEXT($J863,"00"),IFERROR(VLOOKUP(LEFT($N863,4),LCTT_MAP!$A$7:$C$66,IF($M863="THU",2,3),FALSE()),IFERROR(VLOOKUP(LEFT($N863,3),LCTT_MAP!$A$7:$C$66,IF($M863="THU",2,3),FALSE()),IFERROR(VLOOKUP(LEFT($N863,2),LCTT_MAP!$A$7:$C$66,IF($M863="THU",2,3),FALSE()),IFERROR(VLOOKUP(LEFT($N863,1),LCTT_MAP!$A$7:$C$66,IF($M863="THU",2,3),FALSE()),IF($M863="THU","06","07")))))))</f>
        <v/>
      </c>
      <c r="P863" s="117">
        <f>P862+IF(AND($H863&lt;&gt;"",OR(LEFT($F863,LEN(SC_TK))=SC_TK,LEFT($G863,LEN(SC_TK))=SC_TK)),1,0)</f>
        <v/>
      </c>
    </row>
    <row r="864" ht="15" customHeight="1" s="78">
      <c r="A864" s="95">
        <f>IF($H864="","",ROW()-6)</f>
        <v/>
      </c>
      <c r="B864" s="114" t="n"/>
      <c r="C864" s="102" t="n"/>
      <c r="D864" s="114" t="n"/>
      <c r="E864" s="103" t="n"/>
      <c r="F864" s="102" t="n"/>
      <c r="G864" s="102" t="n"/>
      <c r="H864" s="115" t="n"/>
      <c r="I864" s="102" t="n"/>
      <c r="J864" s="102" t="n"/>
      <c r="K864" s="103" t="n"/>
      <c r="L864" s="116">
        <f>IF($H864="","",TRIM(IF(COUNTIF(DMTK!$A$7:$A$250,$F864)=0,"TK Nợ sai! ","")&amp;IF(COUNTIF(DMTK!$A$7:$A$250,$G864)=0,"TK Có sai! ","")&amp;IF(N($H864)&lt;=0,"Tiền phải &gt; 0! ","")&amp;IF($B864="","Thiếu ngày! ","")&amp;IF(AND(OR(LEFT($F864,3)="131",LEFT($G864,3)="131",LEFT($F864,3)="331",LEFT($G864,3)="331"),$I864=""),"Thiếu Mã ĐT! ","")&amp;IF(AND($I864&lt;&gt;"",COUNTIF(DM_DT!$A$7:$A$306,$I864)=0),"Mã ĐT chưa khai báo! ","")))</f>
        <v/>
      </c>
      <c r="M864" s="117">
        <f>IF($H864="","",IF(AND(OR(LEFT($F864,3)="111",LEFT($F864,3)="112",LEFT($F864,3)="113"),OR(LEFT($G864,3)="111",LEFT($G864,3)="112",LEFT($G864,3)="113")),"NB",IF(OR(LEFT($F864,3)="111",LEFT($F864,3)="112",LEFT($F864,3)="113"),"THU",IF(OR(LEFT($G864,3)="111",LEFT($G864,3)="112",LEFT($G864,3)="113"),"CHI",""))))</f>
        <v/>
      </c>
      <c r="N864" s="117">
        <f>IF($M864="THU",$G864,IF($M864="CHI",$F864,""))</f>
        <v/>
      </c>
      <c r="O864" s="117">
        <f>IF(OR($M864="",$M864="NB"),"",IF($J864&lt;&gt;"",TEXT($J864,"00"),IFERROR(VLOOKUP(LEFT($N864,4),LCTT_MAP!$A$7:$C$66,IF($M864="THU",2,3),FALSE()),IFERROR(VLOOKUP(LEFT($N864,3),LCTT_MAP!$A$7:$C$66,IF($M864="THU",2,3),FALSE()),IFERROR(VLOOKUP(LEFT($N864,2),LCTT_MAP!$A$7:$C$66,IF($M864="THU",2,3),FALSE()),IFERROR(VLOOKUP(LEFT($N864,1),LCTT_MAP!$A$7:$C$66,IF($M864="THU",2,3),FALSE()),IF($M864="THU","06","07")))))))</f>
        <v/>
      </c>
      <c r="P864" s="117">
        <f>P863+IF(AND($H864&lt;&gt;"",OR(LEFT($F864,LEN(SC_TK))=SC_TK,LEFT($G864,LEN(SC_TK))=SC_TK)),1,0)</f>
        <v/>
      </c>
    </row>
    <row r="865" ht="15" customHeight="1" s="78">
      <c r="A865" s="95">
        <f>IF($H865="","",ROW()-6)</f>
        <v/>
      </c>
      <c r="B865" s="114" t="n"/>
      <c r="C865" s="102" t="n"/>
      <c r="D865" s="114" t="n"/>
      <c r="E865" s="103" t="n"/>
      <c r="F865" s="102" t="n"/>
      <c r="G865" s="102" t="n"/>
      <c r="H865" s="115" t="n"/>
      <c r="I865" s="102" t="n"/>
      <c r="J865" s="102" t="n"/>
      <c r="K865" s="103" t="n"/>
      <c r="L865" s="116">
        <f>IF($H865="","",TRIM(IF(COUNTIF(DMTK!$A$7:$A$250,$F865)=0,"TK Nợ sai! ","")&amp;IF(COUNTIF(DMTK!$A$7:$A$250,$G865)=0,"TK Có sai! ","")&amp;IF(N($H865)&lt;=0,"Tiền phải &gt; 0! ","")&amp;IF($B865="","Thiếu ngày! ","")&amp;IF(AND(OR(LEFT($F865,3)="131",LEFT($G865,3)="131",LEFT($F865,3)="331",LEFT($G865,3)="331"),$I865=""),"Thiếu Mã ĐT! ","")&amp;IF(AND($I865&lt;&gt;"",COUNTIF(DM_DT!$A$7:$A$306,$I865)=0),"Mã ĐT chưa khai báo! ","")))</f>
        <v/>
      </c>
      <c r="M865" s="117">
        <f>IF($H865="","",IF(AND(OR(LEFT($F865,3)="111",LEFT($F865,3)="112",LEFT($F865,3)="113"),OR(LEFT($G865,3)="111",LEFT($G865,3)="112",LEFT($G865,3)="113")),"NB",IF(OR(LEFT($F865,3)="111",LEFT($F865,3)="112",LEFT($F865,3)="113"),"THU",IF(OR(LEFT($G865,3)="111",LEFT($G865,3)="112",LEFT($G865,3)="113"),"CHI",""))))</f>
        <v/>
      </c>
      <c r="N865" s="117">
        <f>IF($M865="THU",$G865,IF($M865="CHI",$F865,""))</f>
        <v/>
      </c>
      <c r="O865" s="117">
        <f>IF(OR($M865="",$M865="NB"),"",IF($J865&lt;&gt;"",TEXT($J865,"00"),IFERROR(VLOOKUP(LEFT($N865,4),LCTT_MAP!$A$7:$C$66,IF($M865="THU",2,3),FALSE()),IFERROR(VLOOKUP(LEFT($N865,3),LCTT_MAP!$A$7:$C$66,IF($M865="THU",2,3),FALSE()),IFERROR(VLOOKUP(LEFT($N865,2),LCTT_MAP!$A$7:$C$66,IF($M865="THU",2,3),FALSE()),IFERROR(VLOOKUP(LEFT($N865,1),LCTT_MAP!$A$7:$C$66,IF($M865="THU",2,3),FALSE()),IF($M865="THU","06","07")))))))</f>
        <v/>
      </c>
      <c r="P865" s="117">
        <f>P864+IF(AND($H865&lt;&gt;"",OR(LEFT($F865,LEN(SC_TK))=SC_TK,LEFT($G865,LEN(SC_TK))=SC_TK)),1,0)</f>
        <v/>
      </c>
    </row>
    <row r="866" ht="15" customHeight="1" s="78">
      <c r="A866" s="95">
        <f>IF($H866="","",ROW()-6)</f>
        <v/>
      </c>
      <c r="B866" s="114" t="n"/>
      <c r="C866" s="102" t="n"/>
      <c r="D866" s="114" t="n"/>
      <c r="E866" s="103" t="n"/>
      <c r="F866" s="102" t="n"/>
      <c r="G866" s="102" t="n"/>
      <c r="H866" s="115" t="n"/>
      <c r="I866" s="102" t="n"/>
      <c r="J866" s="102" t="n"/>
      <c r="K866" s="103" t="n"/>
      <c r="L866" s="116">
        <f>IF($H866="","",TRIM(IF(COUNTIF(DMTK!$A$7:$A$250,$F866)=0,"TK Nợ sai! ","")&amp;IF(COUNTIF(DMTK!$A$7:$A$250,$G866)=0,"TK Có sai! ","")&amp;IF(N($H866)&lt;=0,"Tiền phải &gt; 0! ","")&amp;IF($B866="","Thiếu ngày! ","")&amp;IF(AND(OR(LEFT($F866,3)="131",LEFT($G866,3)="131",LEFT($F866,3)="331",LEFT($G866,3)="331"),$I866=""),"Thiếu Mã ĐT! ","")&amp;IF(AND($I866&lt;&gt;"",COUNTIF(DM_DT!$A$7:$A$306,$I866)=0),"Mã ĐT chưa khai báo! ","")))</f>
        <v/>
      </c>
      <c r="M866" s="117">
        <f>IF($H866="","",IF(AND(OR(LEFT($F866,3)="111",LEFT($F866,3)="112",LEFT($F866,3)="113"),OR(LEFT($G866,3)="111",LEFT($G866,3)="112",LEFT($G866,3)="113")),"NB",IF(OR(LEFT($F866,3)="111",LEFT($F866,3)="112",LEFT($F866,3)="113"),"THU",IF(OR(LEFT($G866,3)="111",LEFT($G866,3)="112",LEFT($G866,3)="113"),"CHI",""))))</f>
        <v/>
      </c>
      <c r="N866" s="117">
        <f>IF($M866="THU",$G866,IF($M866="CHI",$F866,""))</f>
        <v/>
      </c>
      <c r="O866" s="117">
        <f>IF(OR($M866="",$M866="NB"),"",IF($J866&lt;&gt;"",TEXT($J866,"00"),IFERROR(VLOOKUP(LEFT($N866,4),LCTT_MAP!$A$7:$C$66,IF($M866="THU",2,3),FALSE()),IFERROR(VLOOKUP(LEFT($N866,3),LCTT_MAP!$A$7:$C$66,IF($M866="THU",2,3),FALSE()),IFERROR(VLOOKUP(LEFT($N866,2),LCTT_MAP!$A$7:$C$66,IF($M866="THU",2,3),FALSE()),IFERROR(VLOOKUP(LEFT($N866,1),LCTT_MAP!$A$7:$C$66,IF($M866="THU",2,3),FALSE()),IF($M866="THU","06","07")))))))</f>
        <v/>
      </c>
      <c r="P866" s="117">
        <f>P865+IF(AND($H866&lt;&gt;"",OR(LEFT($F866,LEN(SC_TK))=SC_TK,LEFT($G866,LEN(SC_TK))=SC_TK)),1,0)</f>
        <v/>
      </c>
    </row>
    <row r="867" ht="15" customHeight="1" s="78">
      <c r="A867" s="95">
        <f>IF($H867="","",ROW()-6)</f>
        <v/>
      </c>
      <c r="B867" s="114" t="n"/>
      <c r="C867" s="102" t="n"/>
      <c r="D867" s="114" t="n"/>
      <c r="E867" s="103" t="n"/>
      <c r="F867" s="102" t="n"/>
      <c r="G867" s="102" t="n"/>
      <c r="H867" s="115" t="n"/>
      <c r="I867" s="102" t="n"/>
      <c r="J867" s="102" t="n"/>
      <c r="K867" s="103" t="n"/>
      <c r="L867" s="116">
        <f>IF($H867="","",TRIM(IF(COUNTIF(DMTK!$A$7:$A$250,$F867)=0,"TK Nợ sai! ","")&amp;IF(COUNTIF(DMTK!$A$7:$A$250,$G867)=0,"TK Có sai! ","")&amp;IF(N($H867)&lt;=0,"Tiền phải &gt; 0! ","")&amp;IF($B867="","Thiếu ngày! ","")&amp;IF(AND(OR(LEFT($F867,3)="131",LEFT($G867,3)="131",LEFT($F867,3)="331",LEFT($G867,3)="331"),$I867=""),"Thiếu Mã ĐT! ","")&amp;IF(AND($I867&lt;&gt;"",COUNTIF(DM_DT!$A$7:$A$306,$I867)=0),"Mã ĐT chưa khai báo! ","")))</f>
        <v/>
      </c>
      <c r="M867" s="117">
        <f>IF($H867="","",IF(AND(OR(LEFT($F867,3)="111",LEFT($F867,3)="112",LEFT($F867,3)="113"),OR(LEFT($G867,3)="111",LEFT($G867,3)="112",LEFT($G867,3)="113")),"NB",IF(OR(LEFT($F867,3)="111",LEFT($F867,3)="112",LEFT($F867,3)="113"),"THU",IF(OR(LEFT($G867,3)="111",LEFT($G867,3)="112",LEFT($G867,3)="113"),"CHI",""))))</f>
        <v/>
      </c>
      <c r="N867" s="117">
        <f>IF($M867="THU",$G867,IF($M867="CHI",$F867,""))</f>
        <v/>
      </c>
      <c r="O867" s="117">
        <f>IF(OR($M867="",$M867="NB"),"",IF($J867&lt;&gt;"",TEXT($J867,"00"),IFERROR(VLOOKUP(LEFT($N867,4),LCTT_MAP!$A$7:$C$66,IF($M867="THU",2,3),FALSE()),IFERROR(VLOOKUP(LEFT($N867,3),LCTT_MAP!$A$7:$C$66,IF($M867="THU",2,3),FALSE()),IFERROR(VLOOKUP(LEFT($N867,2),LCTT_MAP!$A$7:$C$66,IF($M867="THU",2,3),FALSE()),IFERROR(VLOOKUP(LEFT($N867,1),LCTT_MAP!$A$7:$C$66,IF($M867="THU",2,3),FALSE()),IF($M867="THU","06","07")))))))</f>
        <v/>
      </c>
      <c r="P867" s="117">
        <f>P866+IF(AND($H867&lt;&gt;"",OR(LEFT($F867,LEN(SC_TK))=SC_TK,LEFT($G867,LEN(SC_TK))=SC_TK)),1,0)</f>
        <v/>
      </c>
    </row>
    <row r="868" ht="15" customHeight="1" s="78">
      <c r="A868" s="95">
        <f>IF($H868="","",ROW()-6)</f>
        <v/>
      </c>
      <c r="B868" s="114" t="n"/>
      <c r="C868" s="102" t="n"/>
      <c r="D868" s="114" t="n"/>
      <c r="E868" s="103" t="n"/>
      <c r="F868" s="102" t="n"/>
      <c r="G868" s="102" t="n"/>
      <c r="H868" s="115" t="n"/>
      <c r="I868" s="102" t="n"/>
      <c r="J868" s="102" t="n"/>
      <c r="K868" s="103" t="n"/>
      <c r="L868" s="116">
        <f>IF($H868="","",TRIM(IF(COUNTIF(DMTK!$A$7:$A$250,$F868)=0,"TK Nợ sai! ","")&amp;IF(COUNTIF(DMTK!$A$7:$A$250,$G868)=0,"TK Có sai! ","")&amp;IF(N($H868)&lt;=0,"Tiền phải &gt; 0! ","")&amp;IF($B868="","Thiếu ngày! ","")&amp;IF(AND(OR(LEFT($F868,3)="131",LEFT($G868,3)="131",LEFT($F868,3)="331",LEFT($G868,3)="331"),$I868=""),"Thiếu Mã ĐT! ","")&amp;IF(AND($I868&lt;&gt;"",COUNTIF(DM_DT!$A$7:$A$306,$I868)=0),"Mã ĐT chưa khai báo! ","")))</f>
        <v/>
      </c>
      <c r="M868" s="117">
        <f>IF($H868="","",IF(AND(OR(LEFT($F868,3)="111",LEFT($F868,3)="112",LEFT($F868,3)="113"),OR(LEFT($G868,3)="111",LEFT($G868,3)="112",LEFT($G868,3)="113")),"NB",IF(OR(LEFT($F868,3)="111",LEFT($F868,3)="112",LEFT($F868,3)="113"),"THU",IF(OR(LEFT($G868,3)="111",LEFT($G868,3)="112",LEFT($G868,3)="113"),"CHI",""))))</f>
        <v/>
      </c>
      <c r="N868" s="117">
        <f>IF($M868="THU",$G868,IF($M868="CHI",$F868,""))</f>
        <v/>
      </c>
      <c r="O868" s="117">
        <f>IF(OR($M868="",$M868="NB"),"",IF($J868&lt;&gt;"",TEXT($J868,"00"),IFERROR(VLOOKUP(LEFT($N868,4),LCTT_MAP!$A$7:$C$66,IF($M868="THU",2,3),FALSE()),IFERROR(VLOOKUP(LEFT($N868,3),LCTT_MAP!$A$7:$C$66,IF($M868="THU",2,3),FALSE()),IFERROR(VLOOKUP(LEFT($N868,2),LCTT_MAP!$A$7:$C$66,IF($M868="THU",2,3),FALSE()),IFERROR(VLOOKUP(LEFT($N868,1),LCTT_MAP!$A$7:$C$66,IF($M868="THU",2,3),FALSE()),IF($M868="THU","06","07")))))))</f>
        <v/>
      </c>
      <c r="P868" s="117">
        <f>P867+IF(AND($H868&lt;&gt;"",OR(LEFT($F868,LEN(SC_TK))=SC_TK,LEFT($G868,LEN(SC_TK))=SC_TK)),1,0)</f>
        <v/>
      </c>
    </row>
    <row r="869" ht="15" customHeight="1" s="78">
      <c r="A869" s="95">
        <f>IF($H869="","",ROW()-6)</f>
        <v/>
      </c>
      <c r="B869" s="114" t="n"/>
      <c r="C869" s="102" t="n"/>
      <c r="D869" s="114" t="n"/>
      <c r="E869" s="103" t="n"/>
      <c r="F869" s="102" t="n"/>
      <c r="G869" s="102" t="n"/>
      <c r="H869" s="115" t="n"/>
      <c r="I869" s="102" t="n"/>
      <c r="J869" s="102" t="n"/>
      <c r="K869" s="103" t="n"/>
      <c r="L869" s="116">
        <f>IF($H869="","",TRIM(IF(COUNTIF(DMTK!$A$7:$A$250,$F869)=0,"TK Nợ sai! ","")&amp;IF(COUNTIF(DMTK!$A$7:$A$250,$G869)=0,"TK Có sai! ","")&amp;IF(N($H869)&lt;=0,"Tiền phải &gt; 0! ","")&amp;IF($B869="","Thiếu ngày! ","")&amp;IF(AND(OR(LEFT($F869,3)="131",LEFT($G869,3)="131",LEFT($F869,3)="331",LEFT($G869,3)="331"),$I869=""),"Thiếu Mã ĐT! ","")&amp;IF(AND($I869&lt;&gt;"",COUNTIF(DM_DT!$A$7:$A$306,$I869)=0),"Mã ĐT chưa khai báo! ","")))</f>
        <v/>
      </c>
      <c r="M869" s="117">
        <f>IF($H869="","",IF(AND(OR(LEFT($F869,3)="111",LEFT($F869,3)="112",LEFT($F869,3)="113"),OR(LEFT($G869,3)="111",LEFT($G869,3)="112",LEFT($G869,3)="113")),"NB",IF(OR(LEFT($F869,3)="111",LEFT($F869,3)="112",LEFT($F869,3)="113"),"THU",IF(OR(LEFT($G869,3)="111",LEFT($G869,3)="112",LEFT($G869,3)="113"),"CHI",""))))</f>
        <v/>
      </c>
      <c r="N869" s="117">
        <f>IF($M869="THU",$G869,IF($M869="CHI",$F869,""))</f>
        <v/>
      </c>
      <c r="O869" s="117">
        <f>IF(OR($M869="",$M869="NB"),"",IF($J869&lt;&gt;"",TEXT($J869,"00"),IFERROR(VLOOKUP(LEFT($N869,4),LCTT_MAP!$A$7:$C$66,IF($M869="THU",2,3),FALSE()),IFERROR(VLOOKUP(LEFT($N869,3),LCTT_MAP!$A$7:$C$66,IF($M869="THU",2,3),FALSE()),IFERROR(VLOOKUP(LEFT($N869,2),LCTT_MAP!$A$7:$C$66,IF($M869="THU",2,3),FALSE()),IFERROR(VLOOKUP(LEFT($N869,1),LCTT_MAP!$A$7:$C$66,IF($M869="THU",2,3),FALSE()),IF($M869="THU","06","07")))))))</f>
        <v/>
      </c>
      <c r="P869" s="117">
        <f>P868+IF(AND($H869&lt;&gt;"",OR(LEFT($F869,LEN(SC_TK))=SC_TK,LEFT($G869,LEN(SC_TK))=SC_TK)),1,0)</f>
        <v/>
      </c>
    </row>
    <row r="870" ht="15" customHeight="1" s="78">
      <c r="A870" s="95">
        <f>IF($H870="","",ROW()-6)</f>
        <v/>
      </c>
      <c r="B870" s="114" t="n"/>
      <c r="C870" s="102" t="n"/>
      <c r="D870" s="114" t="n"/>
      <c r="E870" s="103" t="n"/>
      <c r="F870" s="102" t="n"/>
      <c r="G870" s="102" t="n"/>
      <c r="H870" s="115" t="n"/>
      <c r="I870" s="102" t="n"/>
      <c r="J870" s="102" t="n"/>
      <c r="K870" s="103" t="n"/>
      <c r="L870" s="116">
        <f>IF($H870="","",TRIM(IF(COUNTIF(DMTK!$A$7:$A$250,$F870)=0,"TK Nợ sai! ","")&amp;IF(COUNTIF(DMTK!$A$7:$A$250,$G870)=0,"TK Có sai! ","")&amp;IF(N($H870)&lt;=0,"Tiền phải &gt; 0! ","")&amp;IF($B870="","Thiếu ngày! ","")&amp;IF(AND(OR(LEFT($F870,3)="131",LEFT($G870,3)="131",LEFT($F870,3)="331",LEFT($G870,3)="331"),$I870=""),"Thiếu Mã ĐT! ","")&amp;IF(AND($I870&lt;&gt;"",COUNTIF(DM_DT!$A$7:$A$306,$I870)=0),"Mã ĐT chưa khai báo! ","")))</f>
        <v/>
      </c>
      <c r="M870" s="117">
        <f>IF($H870="","",IF(AND(OR(LEFT($F870,3)="111",LEFT($F870,3)="112",LEFT($F870,3)="113"),OR(LEFT($G870,3)="111",LEFT($G870,3)="112",LEFT($G870,3)="113")),"NB",IF(OR(LEFT($F870,3)="111",LEFT($F870,3)="112",LEFT($F870,3)="113"),"THU",IF(OR(LEFT($G870,3)="111",LEFT($G870,3)="112",LEFT($G870,3)="113"),"CHI",""))))</f>
        <v/>
      </c>
      <c r="N870" s="117">
        <f>IF($M870="THU",$G870,IF($M870="CHI",$F870,""))</f>
        <v/>
      </c>
      <c r="O870" s="117">
        <f>IF(OR($M870="",$M870="NB"),"",IF($J870&lt;&gt;"",TEXT($J870,"00"),IFERROR(VLOOKUP(LEFT($N870,4),LCTT_MAP!$A$7:$C$66,IF($M870="THU",2,3),FALSE()),IFERROR(VLOOKUP(LEFT($N870,3),LCTT_MAP!$A$7:$C$66,IF($M870="THU",2,3),FALSE()),IFERROR(VLOOKUP(LEFT($N870,2),LCTT_MAP!$A$7:$C$66,IF($M870="THU",2,3),FALSE()),IFERROR(VLOOKUP(LEFT($N870,1),LCTT_MAP!$A$7:$C$66,IF($M870="THU",2,3),FALSE()),IF($M870="THU","06","07")))))))</f>
        <v/>
      </c>
      <c r="P870" s="117">
        <f>P869+IF(AND($H870&lt;&gt;"",OR(LEFT($F870,LEN(SC_TK))=SC_TK,LEFT($G870,LEN(SC_TK))=SC_TK)),1,0)</f>
        <v/>
      </c>
    </row>
    <row r="871" ht="15" customHeight="1" s="78">
      <c r="A871" s="95">
        <f>IF($H871="","",ROW()-6)</f>
        <v/>
      </c>
      <c r="B871" s="114" t="n"/>
      <c r="C871" s="102" t="n"/>
      <c r="D871" s="114" t="n"/>
      <c r="E871" s="103" t="n"/>
      <c r="F871" s="102" t="n"/>
      <c r="G871" s="102" t="n"/>
      <c r="H871" s="115" t="n"/>
      <c r="I871" s="102" t="n"/>
      <c r="J871" s="102" t="n"/>
      <c r="K871" s="103" t="n"/>
      <c r="L871" s="116">
        <f>IF($H871="","",TRIM(IF(COUNTIF(DMTK!$A$7:$A$250,$F871)=0,"TK Nợ sai! ","")&amp;IF(COUNTIF(DMTK!$A$7:$A$250,$G871)=0,"TK Có sai! ","")&amp;IF(N($H871)&lt;=0,"Tiền phải &gt; 0! ","")&amp;IF($B871="","Thiếu ngày! ","")&amp;IF(AND(OR(LEFT($F871,3)="131",LEFT($G871,3)="131",LEFT($F871,3)="331",LEFT($G871,3)="331"),$I871=""),"Thiếu Mã ĐT! ","")&amp;IF(AND($I871&lt;&gt;"",COUNTIF(DM_DT!$A$7:$A$306,$I871)=0),"Mã ĐT chưa khai báo! ","")))</f>
        <v/>
      </c>
      <c r="M871" s="117">
        <f>IF($H871="","",IF(AND(OR(LEFT($F871,3)="111",LEFT($F871,3)="112",LEFT($F871,3)="113"),OR(LEFT($G871,3)="111",LEFT($G871,3)="112",LEFT($G871,3)="113")),"NB",IF(OR(LEFT($F871,3)="111",LEFT($F871,3)="112",LEFT($F871,3)="113"),"THU",IF(OR(LEFT($G871,3)="111",LEFT($G871,3)="112",LEFT($G871,3)="113"),"CHI",""))))</f>
        <v/>
      </c>
      <c r="N871" s="117">
        <f>IF($M871="THU",$G871,IF($M871="CHI",$F871,""))</f>
        <v/>
      </c>
      <c r="O871" s="117">
        <f>IF(OR($M871="",$M871="NB"),"",IF($J871&lt;&gt;"",TEXT($J871,"00"),IFERROR(VLOOKUP(LEFT($N871,4),LCTT_MAP!$A$7:$C$66,IF($M871="THU",2,3),FALSE()),IFERROR(VLOOKUP(LEFT($N871,3),LCTT_MAP!$A$7:$C$66,IF($M871="THU",2,3),FALSE()),IFERROR(VLOOKUP(LEFT($N871,2),LCTT_MAP!$A$7:$C$66,IF($M871="THU",2,3),FALSE()),IFERROR(VLOOKUP(LEFT($N871,1),LCTT_MAP!$A$7:$C$66,IF($M871="THU",2,3),FALSE()),IF($M871="THU","06","07")))))))</f>
        <v/>
      </c>
      <c r="P871" s="117">
        <f>P870+IF(AND($H871&lt;&gt;"",OR(LEFT($F871,LEN(SC_TK))=SC_TK,LEFT($G871,LEN(SC_TK))=SC_TK)),1,0)</f>
        <v/>
      </c>
    </row>
    <row r="872" ht="15" customHeight="1" s="78">
      <c r="A872" s="95">
        <f>IF($H872="","",ROW()-6)</f>
        <v/>
      </c>
      <c r="B872" s="114" t="n"/>
      <c r="C872" s="102" t="n"/>
      <c r="D872" s="114" t="n"/>
      <c r="E872" s="103" t="n"/>
      <c r="F872" s="102" t="n"/>
      <c r="G872" s="102" t="n"/>
      <c r="H872" s="115" t="n"/>
      <c r="I872" s="102" t="n"/>
      <c r="J872" s="102" t="n"/>
      <c r="K872" s="103" t="n"/>
      <c r="L872" s="116">
        <f>IF($H872="","",TRIM(IF(COUNTIF(DMTK!$A$7:$A$250,$F872)=0,"TK Nợ sai! ","")&amp;IF(COUNTIF(DMTK!$A$7:$A$250,$G872)=0,"TK Có sai! ","")&amp;IF(N($H872)&lt;=0,"Tiền phải &gt; 0! ","")&amp;IF($B872="","Thiếu ngày! ","")&amp;IF(AND(OR(LEFT($F872,3)="131",LEFT($G872,3)="131",LEFT($F872,3)="331",LEFT($G872,3)="331"),$I872=""),"Thiếu Mã ĐT! ","")&amp;IF(AND($I872&lt;&gt;"",COUNTIF(DM_DT!$A$7:$A$306,$I872)=0),"Mã ĐT chưa khai báo! ","")))</f>
        <v/>
      </c>
      <c r="M872" s="117">
        <f>IF($H872="","",IF(AND(OR(LEFT($F872,3)="111",LEFT($F872,3)="112",LEFT($F872,3)="113"),OR(LEFT($G872,3)="111",LEFT($G872,3)="112",LEFT($G872,3)="113")),"NB",IF(OR(LEFT($F872,3)="111",LEFT($F872,3)="112",LEFT($F872,3)="113"),"THU",IF(OR(LEFT($G872,3)="111",LEFT($G872,3)="112",LEFT($G872,3)="113"),"CHI",""))))</f>
        <v/>
      </c>
      <c r="N872" s="117">
        <f>IF($M872="THU",$G872,IF($M872="CHI",$F872,""))</f>
        <v/>
      </c>
      <c r="O872" s="117">
        <f>IF(OR($M872="",$M872="NB"),"",IF($J872&lt;&gt;"",TEXT($J872,"00"),IFERROR(VLOOKUP(LEFT($N872,4),LCTT_MAP!$A$7:$C$66,IF($M872="THU",2,3),FALSE()),IFERROR(VLOOKUP(LEFT($N872,3),LCTT_MAP!$A$7:$C$66,IF($M872="THU",2,3),FALSE()),IFERROR(VLOOKUP(LEFT($N872,2),LCTT_MAP!$A$7:$C$66,IF($M872="THU",2,3),FALSE()),IFERROR(VLOOKUP(LEFT($N872,1),LCTT_MAP!$A$7:$C$66,IF($M872="THU",2,3),FALSE()),IF($M872="THU","06","07")))))))</f>
        <v/>
      </c>
      <c r="P872" s="117">
        <f>P871+IF(AND($H872&lt;&gt;"",OR(LEFT($F872,LEN(SC_TK))=SC_TK,LEFT($G872,LEN(SC_TK))=SC_TK)),1,0)</f>
        <v/>
      </c>
    </row>
    <row r="873" ht="15" customHeight="1" s="78">
      <c r="A873" s="95">
        <f>IF($H873="","",ROW()-6)</f>
        <v/>
      </c>
      <c r="B873" s="114" t="n"/>
      <c r="C873" s="102" t="n"/>
      <c r="D873" s="114" t="n"/>
      <c r="E873" s="103" t="n"/>
      <c r="F873" s="102" t="n"/>
      <c r="G873" s="102" t="n"/>
      <c r="H873" s="115" t="n"/>
      <c r="I873" s="102" t="n"/>
      <c r="J873" s="102" t="n"/>
      <c r="K873" s="103" t="n"/>
      <c r="L873" s="116">
        <f>IF($H873="","",TRIM(IF(COUNTIF(DMTK!$A$7:$A$250,$F873)=0,"TK Nợ sai! ","")&amp;IF(COUNTIF(DMTK!$A$7:$A$250,$G873)=0,"TK Có sai! ","")&amp;IF(N($H873)&lt;=0,"Tiền phải &gt; 0! ","")&amp;IF($B873="","Thiếu ngày! ","")&amp;IF(AND(OR(LEFT($F873,3)="131",LEFT($G873,3)="131",LEFT($F873,3)="331",LEFT($G873,3)="331"),$I873=""),"Thiếu Mã ĐT! ","")&amp;IF(AND($I873&lt;&gt;"",COUNTIF(DM_DT!$A$7:$A$306,$I873)=0),"Mã ĐT chưa khai báo! ","")))</f>
        <v/>
      </c>
      <c r="M873" s="117">
        <f>IF($H873="","",IF(AND(OR(LEFT($F873,3)="111",LEFT($F873,3)="112",LEFT($F873,3)="113"),OR(LEFT($G873,3)="111",LEFT($G873,3)="112",LEFT($G873,3)="113")),"NB",IF(OR(LEFT($F873,3)="111",LEFT($F873,3)="112",LEFT($F873,3)="113"),"THU",IF(OR(LEFT($G873,3)="111",LEFT($G873,3)="112",LEFT($G873,3)="113"),"CHI",""))))</f>
        <v/>
      </c>
      <c r="N873" s="117">
        <f>IF($M873="THU",$G873,IF($M873="CHI",$F873,""))</f>
        <v/>
      </c>
      <c r="O873" s="117">
        <f>IF(OR($M873="",$M873="NB"),"",IF($J873&lt;&gt;"",TEXT($J873,"00"),IFERROR(VLOOKUP(LEFT($N873,4),LCTT_MAP!$A$7:$C$66,IF($M873="THU",2,3),FALSE()),IFERROR(VLOOKUP(LEFT($N873,3),LCTT_MAP!$A$7:$C$66,IF($M873="THU",2,3),FALSE()),IFERROR(VLOOKUP(LEFT($N873,2),LCTT_MAP!$A$7:$C$66,IF($M873="THU",2,3),FALSE()),IFERROR(VLOOKUP(LEFT($N873,1),LCTT_MAP!$A$7:$C$66,IF($M873="THU",2,3),FALSE()),IF($M873="THU","06","07")))))))</f>
        <v/>
      </c>
      <c r="P873" s="117">
        <f>P872+IF(AND($H873&lt;&gt;"",OR(LEFT($F873,LEN(SC_TK))=SC_TK,LEFT($G873,LEN(SC_TK))=SC_TK)),1,0)</f>
        <v/>
      </c>
    </row>
    <row r="874" ht="15" customHeight="1" s="78">
      <c r="A874" s="95">
        <f>IF($H874="","",ROW()-6)</f>
        <v/>
      </c>
      <c r="B874" s="114" t="n"/>
      <c r="C874" s="102" t="n"/>
      <c r="D874" s="114" t="n"/>
      <c r="E874" s="103" t="n"/>
      <c r="F874" s="102" t="n"/>
      <c r="G874" s="102" t="n"/>
      <c r="H874" s="115" t="n"/>
      <c r="I874" s="102" t="n"/>
      <c r="J874" s="102" t="n"/>
      <c r="K874" s="103" t="n"/>
      <c r="L874" s="116">
        <f>IF($H874="","",TRIM(IF(COUNTIF(DMTK!$A$7:$A$250,$F874)=0,"TK Nợ sai! ","")&amp;IF(COUNTIF(DMTK!$A$7:$A$250,$G874)=0,"TK Có sai! ","")&amp;IF(N($H874)&lt;=0,"Tiền phải &gt; 0! ","")&amp;IF($B874="","Thiếu ngày! ","")&amp;IF(AND(OR(LEFT($F874,3)="131",LEFT($G874,3)="131",LEFT($F874,3)="331",LEFT($G874,3)="331"),$I874=""),"Thiếu Mã ĐT! ","")&amp;IF(AND($I874&lt;&gt;"",COUNTIF(DM_DT!$A$7:$A$306,$I874)=0),"Mã ĐT chưa khai báo! ","")))</f>
        <v/>
      </c>
      <c r="M874" s="117">
        <f>IF($H874="","",IF(AND(OR(LEFT($F874,3)="111",LEFT($F874,3)="112",LEFT($F874,3)="113"),OR(LEFT($G874,3)="111",LEFT($G874,3)="112",LEFT($G874,3)="113")),"NB",IF(OR(LEFT($F874,3)="111",LEFT($F874,3)="112",LEFT($F874,3)="113"),"THU",IF(OR(LEFT($G874,3)="111",LEFT($G874,3)="112",LEFT($G874,3)="113"),"CHI",""))))</f>
        <v/>
      </c>
      <c r="N874" s="117">
        <f>IF($M874="THU",$G874,IF($M874="CHI",$F874,""))</f>
        <v/>
      </c>
      <c r="O874" s="117">
        <f>IF(OR($M874="",$M874="NB"),"",IF($J874&lt;&gt;"",TEXT($J874,"00"),IFERROR(VLOOKUP(LEFT($N874,4),LCTT_MAP!$A$7:$C$66,IF($M874="THU",2,3),FALSE()),IFERROR(VLOOKUP(LEFT($N874,3),LCTT_MAP!$A$7:$C$66,IF($M874="THU",2,3),FALSE()),IFERROR(VLOOKUP(LEFT($N874,2),LCTT_MAP!$A$7:$C$66,IF($M874="THU",2,3),FALSE()),IFERROR(VLOOKUP(LEFT($N874,1),LCTT_MAP!$A$7:$C$66,IF($M874="THU",2,3),FALSE()),IF($M874="THU","06","07")))))))</f>
        <v/>
      </c>
      <c r="P874" s="117">
        <f>P873+IF(AND($H874&lt;&gt;"",OR(LEFT($F874,LEN(SC_TK))=SC_TK,LEFT($G874,LEN(SC_TK))=SC_TK)),1,0)</f>
        <v/>
      </c>
    </row>
    <row r="875" ht="15" customHeight="1" s="78">
      <c r="A875" s="95">
        <f>IF($H875="","",ROW()-6)</f>
        <v/>
      </c>
      <c r="B875" s="114" t="n"/>
      <c r="C875" s="102" t="n"/>
      <c r="D875" s="114" t="n"/>
      <c r="E875" s="103" t="n"/>
      <c r="F875" s="102" t="n"/>
      <c r="G875" s="102" t="n"/>
      <c r="H875" s="115" t="n"/>
      <c r="I875" s="102" t="n"/>
      <c r="J875" s="102" t="n"/>
      <c r="K875" s="103" t="n"/>
      <c r="L875" s="116">
        <f>IF($H875="","",TRIM(IF(COUNTIF(DMTK!$A$7:$A$250,$F875)=0,"TK Nợ sai! ","")&amp;IF(COUNTIF(DMTK!$A$7:$A$250,$G875)=0,"TK Có sai! ","")&amp;IF(N($H875)&lt;=0,"Tiền phải &gt; 0! ","")&amp;IF($B875="","Thiếu ngày! ","")&amp;IF(AND(OR(LEFT($F875,3)="131",LEFT($G875,3)="131",LEFT($F875,3)="331",LEFT($G875,3)="331"),$I875=""),"Thiếu Mã ĐT! ","")&amp;IF(AND($I875&lt;&gt;"",COUNTIF(DM_DT!$A$7:$A$306,$I875)=0),"Mã ĐT chưa khai báo! ","")))</f>
        <v/>
      </c>
      <c r="M875" s="117">
        <f>IF($H875="","",IF(AND(OR(LEFT($F875,3)="111",LEFT($F875,3)="112",LEFT($F875,3)="113"),OR(LEFT($G875,3)="111",LEFT($G875,3)="112",LEFT($G875,3)="113")),"NB",IF(OR(LEFT($F875,3)="111",LEFT($F875,3)="112",LEFT($F875,3)="113"),"THU",IF(OR(LEFT($G875,3)="111",LEFT($G875,3)="112",LEFT($G875,3)="113"),"CHI",""))))</f>
        <v/>
      </c>
      <c r="N875" s="117">
        <f>IF($M875="THU",$G875,IF($M875="CHI",$F875,""))</f>
        <v/>
      </c>
      <c r="O875" s="117">
        <f>IF(OR($M875="",$M875="NB"),"",IF($J875&lt;&gt;"",TEXT($J875,"00"),IFERROR(VLOOKUP(LEFT($N875,4),LCTT_MAP!$A$7:$C$66,IF($M875="THU",2,3),FALSE()),IFERROR(VLOOKUP(LEFT($N875,3),LCTT_MAP!$A$7:$C$66,IF($M875="THU",2,3),FALSE()),IFERROR(VLOOKUP(LEFT($N875,2),LCTT_MAP!$A$7:$C$66,IF($M875="THU",2,3),FALSE()),IFERROR(VLOOKUP(LEFT($N875,1),LCTT_MAP!$A$7:$C$66,IF($M875="THU",2,3),FALSE()),IF($M875="THU","06","07")))))))</f>
        <v/>
      </c>
      <c r="P875" s="117">
        <f>P874+IF(AND($H875&lt;&gt;"",OR(LEFT($F875,LEN(SC_TK))=SC_TK,LEFT($G875,LEN(SC_TK))=SC_TK)),1,0)</f>
        <v/>
      </c>
    </row>
    <row r="876" ht="15" customHeight="1" s="78">
      <c r="A876" s="95">
        <f>IF($H876="","",ROW()-6)</f>
        <v/>
      </c>
      <c r="B876" s="114" t="n"/>
      <c r="C876" s="102" t="n"/>
      <c r="D876" s="114" t="n"/>
      <c r="E876" s="103" t="n"/>
      <c r="F876" s="102" t="n"/>
      <c r="G876" s="102" t="n"/>
      <c r="H876" s="115" t="n"/>
      <c r="I876" s="102" t="n"/>
      <c r="J876" s="102" t="n"/>
      <c r="K876" s="103" t="n"/>
      <c r="L876" s="116">
        <f>IF($H876="","",TRIM(IF(COUNTIF(DMTK!$A$7:$A$250,$F876)=0,"TK Nợ sai! ","")&amp;IF(COUNTIF(DMTK!$A$7:$A$250,$G876)=0,"TK Có sai! ","")&amp;IF(N($H876)&lt;=0,"Tiền phải &gt; 0! ","")&amp;IF($B876="","Thiếu ngày! ","")&amp;IF(AND(OR(LEFT($F876,3)="131",LEFT($G876,3)="131",LEFT($F876,3)="331",LEFT($G876,3)="331"),$I876=""),"Thiếu Mã ĐT! ","")&amp;IF(AND($I876&lt;&gt;"",COUNTIF(DM_DT!$A$7:$A$306,$I876)=0),"Mã ĐT chưa khai báo! ","")))</f>
        <v/>
      </c>
      <c r="M876" s="117">
        <f>IF($H876="","",IF(AND(OR(LEFT($F876,3)="111",LEFT($F876,3)="112",LEFT($F876,3)="113"),OR(LEFT($G876,3)="111",LEFT($G876,3)="112",LEFT($G876,3)="113")),"NB",IF(OR(LEFT($F876,3)="111",LEFT($F876,3)="112",LEFT($F876,3)="113"),"THU",IF(OR(LEFT($G876,3)="111",LEFT($G876,3)="112",LEFT($G876,3)="113"),"CHI",""))))</f>
        <v/>
      </c>
      <c r="N876" s="117">
        <f>IF($M876="THU",$G876,IF($M876="CHI",$F876,""))</f>
        <v/>
      </c>
      <c r="O876" s="117">
        <f>IF(OR($M876="",$M876="NB"),"",IF($J876&lt;&gt;"",TEXT($J876,"00"),IFERROR(VLOOKUP(LEFT($N876,4),LCTT_MAP!$A$7:$C$66,IF($M876="THU",2,3),FALSE()),IFERROR(VLOOKUP(LEFT($N876,3),LCTT_MAP!$A$7:$C$66,IF($M876="THU",2,3),FALSE()),IFERROR(VLOOKUP(LEFT($N876,2),LCTT_MAP!$A$7:$C$66,IF($M876="THU",2,3),FALSE()),IFERROR(VLOOKUP(LEFT($N876,1),LCTT_MAP!$A$7:$C$66,IF($M876="THU",2,3),FALSE()),IF($M876="THU","06","07")))))))</f>
        <v/>
      </c>
      <c r="P876" s="117">
        <f>P875+IF(AND($H876&lt;&gt;"",OR(LEFT($F876,LEN(SC_TK))=SC_TK,LEFT($G876,LEN(SC_TK))=SC_TK)),1,0)</f>
        <v/>
      </c>
    </row>
    <row r="877" ht="15" customHeight="1" s="78">
      <c r="A877" s="95">
        <f>IF($H877="","",ROW()-6)</f>
        <v/>
      </c>
      <c r="B877" s="114" t="n"/>
      <c r="C877" s="102" t="n"/>
      <c r="D877" s="114" t="n"/>
      <c r="E877" s="103" t="n"/>
      <c r="F877" s="102" t="n"/>
      <c r="G877" s="102" t="n"/>
      <c r="H877" s="115" t="n"/>
      <c r="I877" s="102" t="n"/>
      <c r="J877" s="102" t="n"/>
      <c r="K877" s="103" t="n"/>
      <c r="L877" s="116">
        <f>IF($H877="","",TRIM(IF(COUNTIF(DMTK!$A$7:$A$250,$F877)=0,"TK Nợ sai! ","")&amp;IF(COUNTIF(DMTK!$A$7:$A$250,$G877)=0,"TK Có sai! ","")&amp;IF(N($H877)&lt;=0,"Tiền phải &gt; 0! ","")&amp;IF($B877="","Thiếu ngày! ","")&amp;IF(AND(OR(LEFT($F877,3)="131",LEFT($G877,3)="131",LEFT($F877,3)="331",LEFT($G877,3)="331"),$I877=""),"Thiếu Mã ĐT! ","")&amp;IF(AND($I877&lt;&gt;"",COUNTIF(DM_DT!$A$7:$A$306,$I877)=0),"Mã ĐT chưa khai báo! ","")))</f>
        <v/>
      </c>
      <c r="M877" s="117">
        <f>IF($H877="","",IF(AND(OR(LEFT($F877,3)="111",LEFT($F877,3)="112",LEFT($F877,3)="113"),OR(LEFT($G877,3)="111",LEFT($G877,3)="112",LEFT($G877,3)="113")),"NB",IF(OR(LEFT($F877,3)="111",LEFT($F877,3)="112",LEFT($F877,3)="113"),"THU",IF(OR(LEFT($G877,3)="111",LEFT($G877,3)="112",LEFT($G877,3)="113"),"CHI",""))))</f>
        <v/>
      </c>
      <c r="N877" s="117">
        <f>IF($M877="THU",$G877,IF($M877="CHI",$F877,""))</f>
        <v/>
      </c>
      <c r="O877" s="117">
        <f>IF(OR($M877="",$M877="NB"),"",IF($J877&lt;&gt;"",TEXT($J877,"00"),IFERROR(VLOOKUP(LEFT($N877,4),LCTT_MAP!$A$7:$C$66,IF($M877="THU",2,3),FALSE()),IFERROR(VLOOKUP(LEFT($N877,3),LCTT_MAP!$A$7:$C$66,IF($M877="THU",2,3),FALSE()),IFERROR(VLOOKUP(LEFT($N877,2),LCTT_MAP!$A$7:$C$66,IF($M877="THU",2,3),FALSE()),IFERROR(VLOOKUP(LEFT($N877,1),LCTT_MAP!$A$7:$C$66,IF($M877="THU",2,3),FALSE()),IF($M877="THU","06","07")))))))</f>
        <v/>
      </c>
      <c r="P877" s="117">
        <f>P876+IF(AND($H877&lt;&gt;"",OR(LEFT($F877,LEN(SC_TK))=SC_TK,LEFT($G877,LEN(SC_TK))=SC_TK)),1,0)</f>
        <v/>
      </c>
    </row>
    <row r="878" ht="15" customHeight="1" s="78">
      <c r="A878" s="95">
        <f>IF($H878="","",ROW()-6)</f>
        <v/>
      </c>
      <c r="B878" s="114" t="n"/>
      <c r="C878" s="102" t="n"/>
      <c r="D878" s="114" t="n"/>
      <c r="E878" s="103" t="n"/>
      <c r="F878" s="102" t="n"/>
      <c r="G878" s="102" t="n"/>
      <c r="H878" s="115" t="n"/>
      <c r="I878" s="102" t="n"/>
      <c r="J878" s="102" t="n"/>
      <c r="K878" s="103" t="n"/>
      <c r="L878" s="116">
        <f>IF($H878="","",TRIM(IF(COUNTIF(DMTK!$A$7:$A$250,$F878)=0,"TK Nợ sai! ","")&amp;IF(COUNTIF(DMTK!$A$7:$A$250,$G878)=0,"TK Có sai! ","")&amp;IF(N($H878)&lt;=0,"Tiền phải &gt; 0! ","")&amp;IF($B878="","Thiếu ngày! ","")&amp;IF(AND(OR(LEFT($F878,3)="131",LEFT($G878,3)="131",LEFT($F878,3)="331",LEFT($G878,3)="331"),$I878=""),"Thiếu Mã ĐT! ","")&amp;IF(AND($I878&lt;&gt;"",COUNTIF(DM_DT!$A$7:$A$306,$I878)=0),"Mã ĐT chưa khai báo! ","")))</f>
        <v/>
      </c>
      <c r="M878" s="117">
        <f>IF($H878="","",IF(AND(OR(LEFT($F878,3)="111",LEFT($F878,3)="112",LEFT($F878,3)="113"),OR(LEFT($G878,3)="111",LEFT($G878,3)="112",LEFT($G878,3)="113")),"NB",IF(OR(LEFT($F878,3)="111",LEFT($F878,3)="112",LEFT($F878,3)="113"),"THU",IF(OR(LEFT($G878,3)="111",LEFT($G878,3)="112",LEFT($G878,3)="113"),"CHI",""))))</f>
        <v/>
      </c>
      <c r="N878" s="117">
        <f>IF($M878="THU",$G878,IF($M878="CHI",$F878,""))</f>
        <v/>
      </c>
      <c r="O878" s="117">
        <f>IF(OR($M878="",$M878="NB"),"",IF($J878&lt;&gt;"",TEXT($J878,"00"),IFERROR(VLOOKUP(LEFT($N878,4),LCTT_MAP!$A$7:$C$66,IF($M878="THU",2,3),FALSE()),IFERROR(VLOOKUP(LEFT($N878,3),LCTT_MAP!$A$7:$C$66,IF($M878="THU",2,3),FALSE()),IFERROR(VLOOKUP(LEFT($N878,2),LCTT_MAP!$A$7:$C$66,IF($M878="THU",2,3),FALSE()),IFERROR(VLOOKUP(LEFT($N878,1),LCTT_MAP!$A$7:$C$66,IF($M878="THU",2,3),FALSE()),IF($M878="THU","06","07")))))))</f>
        <v/>
      </c>
      <c r="P878" s="117">
        <f>P877+IF(AND($H878&lt;&gt;"",OR(LEFT($F878,LEN(SC_TK))=SC_TK,LEFT($G878,LEN(SC_TK))=SC_TK)),1,0)</f>
        <v/>
      </c>
    </row>
    <row r="879" ht="15" customHeight="1" s="78">
      <c r="A879" s="95">
        <f>IF($H879="","",ROW()-6)</f>
        <v/>
      </c>
      <c r="B879" s="114" t="n"/>
      <c r="C879" s="102" t="n"/>
      <c r="D879" s="114" t="n"/>
      <c r="E879" s="103" t="n"/>
      <c r="F879" s="102" t="n"/>
      <c r="G879" s="102" t="n"/>
      <c r="H879" s="115" t="n"/>
      <c r="I879" s="102" t="n"/>
      <c r="J879" s="102" t="n"/>
      <c r="K879" s="103" t="n"/>
      <c r="L879" s="116">
        <f>IF($H879="","",TRIM(IF(COUNTIF(DMTK!$A$7:$A$250,$F879)=0,"TK Nợ sai! ","")&amp;IF(COUNTIF(DMTK!$A$7:$A$250,$G879)=0,"TK Có sai! ","")&amp;IF(N($H879)&lt;=0,"Tiền phải &gt; 0! ","")&amp;IF($B879="","Thiếu ngày! ","")&amp;IF(AND(OR(LEFT($F879,3)="131",LEFT($G879,3)="131",LEFT($F879,3)="331",LEFT($G879,3)="331"),$I879=""),"Thiếu Mã ĐT! ","")&amp;IF(AND($I879&lt;&gt;"",COUNTIF(DM_DT!$A$7:$A$306,$I879)=0),"Mã ĐT chưa khai báo! ","")))</f>
        <v/>
      </c>
      <c r="M879" s="117">
        <f>IF($H879="","",IF(AND(OR(LEFT($F879,3)="111",LEFT($F879,3)="112",LEFT($F879,3)="113"),OR(LEFT($G879,3)="111",LEFT($G879,3)="112",LEFT($G879,3)="113")),"NB",IF(OR(LEFT($F879,3)="111",LEFT($F879,3)="112",LEFT($F879,3)="113"),"THU",IF(OR(LEFT($G879,3)="111",LEFT($G879,3)="112",LEFT($G879,3)="113"),"CHI",""))))</f>
        <v/>
      </c>
      <c r="N879" s="117">
        <f>IF($M879="THU",$G879,IF($M879="CHI",$F879,""))</f>
        <v/>
      </c>
      <c r="O879" s="117">
        <f>IF(OR($M879="",$M879="NB"),"",IF($J879&lt;&gt;"",TEXT($J879,"00"),IFERROR(VLOOKUP(LEFT($N879,4),LCTT_MAP!$A$7:$C$66,IF($M879="THU",2,3),FALSE()),IFERROR(VLOOKUP(LEFT($N879,3),LCTT_MAP!$A$7:$C$66,IF($M879="THU",2,3),FALSE()),IFERROR(VLOOKUP(LEFT($N879,2),LCTT_MAP!$A$7:$C$66,IF($M879="THU",2,3),FALSE()),IFERROR(VLOOKUP(LEFT($N879,1),LCTT_MAP!$A$7:$C$66,IF($M879="THU",2,3),FALSE()),IF($M879="THU","06","07")))))))</f>
        <v/>
      </c>
      <c r="P879" s="117">
        <f>P878+IF(AND($H879&lt;&gt;"",OR(LEFT($F879,LEN(SC_TK))=SC_TK,LEFT($G879,LEN(SC_TK))=SC_TK)),1,0)</f>
        <v/>
      </c>
    </row>
    <row r="880" ht="15" customHeight="1" s="78">
      <c r="A880" s="95">
        <f>IF($H880="","",ROW()-6)</f>
        <v/>
      </c>
      <c r="B880" s="114" t="n"/>
      <c r="C880" s="102" t="n"/>
      <c r="D880" s="114" t="n"/>
      <c r="E880" s="103" t="n"/>
      <c r="F880" s="102" t="n"/>
      <c r="G880" s="102" t="n"/>
      <c r="H880" s="115" t="n"/>
      <c r="I880" s="102" t="n"/>
      <c r="J880" s="102" t="n"/>
      <c r="K880" s="103" t="n"/>
      <c r="L880" s="116">
        <f>IF($H880="","",TRIM(IF(COUNTIF(DMTK!$A$7:$A$250,$F880)=0,"TK Nợ sai! ","")&amp;IF(COUNTIF(DMTK!$A$7:$A$250,$G880)=0,"TK Có sai! ","")&amp;IF(N($H880)&lt;=0,"Tiền phải &gt; 0! ","")&amp;IF($B880="","Thiếu ngày! ","")&amp;IF(AND(OR(LEFT($F880,3)="131",LEFT($G880,3)="131",LEFT($F880,3)="331",LEFT($G880,3)="331"),$I880=""),"Thiếu Mã ĐT! ","")&amp;IF(AND($I880&lt;&gt;"",COUNTIF(DM_DT!$A$7:$A$306,$I880)=0),"Mã ĐT chưa khai báo! ","")))</f>
        <v/>
      </c>
      <c r="M880" s="117">
        <f>IF($H880="","",IF(AND(OR(LEFT($F880,3)="111",LEFT($F880,3)="112",LEFT($F880,3)="113"),OR(LEFT($G880,3)="111",LEFT($G880,3)="112",LEFT($G880,3)="113")),"NB",IF(OR(LEFT($F880,3)="111",LEFT($F880,3)="112",LEFT($F880,3)="113"),"THU",IF(OR(LEFT($G880,3)="111",LEFT($G880,3)="112",LEFT($G880,3)="113"),"CHI",""))))</f>
        <v/>
      </c>
      <c r="N880" s="117">
        <f>IF($M880="THU",$G880,IF($M880="CHI",$F880,""))</f>
        <v/>
      </c>
      <c r="O880" s="117">
        <f>IF(OR($M880="",$M880="NB"),"",IF($J880&lt;&gt;"",TEXT($J880,"00"),IFERROR(VLOOKUP(LEFT($N880,4),LCTT_MAP!$A$7:$C$66,IF($M880="THU",2,3),FALSE()),IFERROR(VLOOKUP(LEFT($N880,3),LCTT_MAP!$A$7:$C$66,IF($M880="THU",2,3),FALSE()),IFERROR(VLOOKUP(LEFT($N880,2),LCTT_MAP!$A$7:$C$66,IF($M880="THU",2,3),FALSE()),IFERROR(VLOOKUP(LEFT($N880,1),LCTT_MAP!$A$7:$C$66,IF($M880="THU",2,3),FALSE()),IF($M880="THU","06","07")))))))</f>
        <v/>
      </c>
      <c r="P880" s="117">
        <f>P879+IF(AND($H880&lt;&gt;"",OR(LEFT($F880,LEN(SC_TK))=SC_TK,LEFT($G880,LEN(SC_TK))=SC_TK)),1,0)</f>
        <v/>
      </c>
    </row>
    <row r="881" ht="15" customHeight="1" s="78">
      <c r="A881" s="95">
        <f>IF($H881="","",ROW()-6)</f>
        <v/>
      </c>
      <c r="B881" s="114" t="n"/>
      <c r="C881" s="102" t="n"/>
      <c r="D881" s="114" t="n"/>
      <c r="E881" s="103" t="n"/>
      <c r="F881" s="102" t="n"/>
      <c r="G881" s="102" t="n"/>
      <c r="H881" s="115" t="n"/>
      <c r="I881" s="102" t="n"/>
      <c r="J881" s="102" t="n"/>
      <c r="K881" s="103" t="n"/>
      <c r="L881" s="116">
        <f>IF($H881="","",TRIM(IF(COUNTIF(DMTK!$A$7:$A$250,$F881)=0,"TK Nợ sai! ","")&amp;IF(COUNTIF(DMTK!$A$7:$A$250,$G881)=0,"TK Có sai! ","")&amp;IF(N($H881)&lt;=0,"Tiền phải &gt; 0! ","")&amp;IF($B881="","Thiếu ngày! ","")&amp;IF(AND(OR(LEFT($F881,3)="131",LEFT($G881,3)="131",LEFT($F881,3)="331",LEFT($G881,3)="331"),$I881=""),"Thiếu Mã ĐT! ","")&amp;IF(AND($I881&lt;&gt;"",COUNTIF(DM_DT!$A$7:$A$306,$I881)=0),"Mã ĐT chưa khai báo! ","")))</f>
        <v/>
      </c>
      <c r="M881" s="117">
        <f>IF($H881="","",IF(AND(OR(LEFT($F881,3)="111",LEFT($F881,3)="112",LEFT($F881,3)="113"),OR(LEFT($G881,3)="111",LEFT($G881,3)="112",LEFT($G881,3)="113")),"NB",IF(OR(LEFT($F881,3)="111",LEFT($F881,3)="112",LEFT($F881,3)="113"),"THU",IF(OR(LEFT($G881,3)="111",LEFT($G881,3)="112",LEFT($G881,3)="113"),"CHI",""))))</f>
        <v/>
      </c>
      <c r="N881" s="117">
        <f>IF($M881="THU",$G881,IF($M881="CHI",$F881,""))</f>
        <v/>
      </c>
      <c r="O881" s="117">
        <f>IF(OR($M881="",$M881="NB"),"",IF($J881&lt;&gt;"",TEXT($J881,"00"),IFERROR(VLOOKUP(LEFT($N881,4),LCTT_MAP!$A$7:$C$66,IF($M881="THU",2,3),FALSE()),IFERROR(VLOOKUP(LEFT($N881,3),LCTT_MAP!$A$7:$C$66,IF($M881="THU",2,3),FALSE()),IFERROR(VLOOKUP(LEFT($N881,2),LCTT_MAP!$A$7:$C$66,IF($M881="THU",2,3),FALSE()),IFERROR(VLOOKUP(LEFT($N881,1),LCTT_MAP!$A$7:$C$66,IF($M881="THU",2,3),FALSE()),IF($M881="THU","06","07")))))))</f>
        <v/>
      </c>
      <c r="P881" s="117">
        <f>P880+IF(AND($H881&lt;&gt;"",OR(LEFT($F881,LEN(SC_TK))=SC_TK,LEFT($G881,LEN(SC_TK))=SC_TK)),1,0)</f>
        <v/>
      </c>
    </row>
    <row r="882" ht="15" customHeight="1" s="78">
      <c r="A882" s="95">
        <f>IF($H882="","",ROW()-6)</f>
        <v/>
      </c>
      <c r="B882" s="114" t="n"/>
      <c r="C882" s="102" t="n"/>
      <c r="D882" s="114" t="n"/>
      <c r="E882" s="103" t="n"/>
      <c r="F882" s="102" t="n"/>
      <c r="G882" s="102" t="n"/>
      <c r="H882" s="115" t="n"/>
      <c r="I882" s="102" t="n"/>
      <c r="J882" s="102" t="n"/>
      <c r="K882" s="103" t="n"/>
      <c r="L882" s="116">
        <f>IF($H882="","",TRIM(IF(COUNTIF(DMTK!$A$7:$A$250,$F882)=0,"TK Nợ sai! ","")&amp;IF(COUNTIF(DMTK!$A$7:$A$250,$G882)=0,"TK Có sai! ","")&amp;IF(N($H882)&lt;=0,"Tiền phải &gt; 0! ","")&amp;IF($B882="","Thiếu ngày! ","")&amp;IF(AND(OR(LEFT($F882,3)="131",LEFT($G882,3)="131",LEFT($F882,3)="331",LEFT($G882,3)="331"),$I882=""),"Thiếu Mã ĐT! ","")&amp;IF(AND($I882&lt;&gt;"",COUNTIF(DM_DT!$A$7:$A$306,$I882)=0),"Mã ĐT chưa khai báo! ","")))</f>
        <v/>
      </c>
      <c r="M882" s="117">
        <f>IF($H882="","",IF(AND(OR(LEFT($F882,3)="111",LEFT($F882,3)="112",LEFT($F882,3)="113"),OR(LEFT($G882,3)="111",LEFT($G882,3)="112",LEFT($G882,3)="113")),"NB",IF(OR(LEFT($F882,3)="111",LEFT($F882,3)="112",LEFT($F882,3)="113"),"THU",IF(OR(LEFT($G882,3)="111",LEFT($G882,3)="112",LEFT($G882,3)="113"),"CHI",""))))</f>
        <v/>
      </c>
      <c r="N882" s="117">
        <f>IF($M882="THU",$G882,IF($M882="CHI",$F882,""))</f>
        <v/>
      </c>
      <c r="O882" s="117">
        <f>IF(OR($M882="",$M882="NB"),"",IF($J882&lt;&gt;"",TEXT($J882,"00"),IFERROR(VLOOKUP(LEFT($N882,4),LCTT_MAP!$A$7:$C$66,IF($M882="THU",2,3),FALSE()),IFERROR(VLOOKUP(LEFT($N882,3),LCTT_MAP!$A$7:$C$66,IF($M882="THU",2,3),FALSE()),IFERROR(VLOOKUP(LEFT($N882,2),LCTT_MAP!$A$7:$C$66,IF($M882="THU",2,3),FALSE()),IFERROR(VLOOKUP(LEFT($N882,1),LCTT_MAP!$A$7:$C$66,IF($M882="THU",2,3),FALSE()),IF($M882="THU","06","07")))))))</f>
        <v/>
      </c>
      <c r="P882" s="117">
        <f>P881+IF(AND($H882&lt;&gt;"",OR(LEFT($F882,LEN(SC_TK))=SC_TK,LEFT($G882,LEN(SC_TK))=SC_TK)),1,0)</f>
        <v/>
      </c>
    </row>
    <row r="883" ht="15" customHeight="1" s="78">
      <c r="A883" s="95">
        <f>IF($H883="","",ROW()-6)</f>
        <v/>
      </c>
      <c r="B883" s="114" t="n"/>
      <c r="C883" s="102" t="n"/>
      <c r="D883" s="114" t="n"/>
      <c r="E883" s="103" t="n"/>
      <c r="F883" s="102" t="n"/>
      <c r="G883" s="102" t="n"/>
      <c r="H883" s="115" t="n"/>
      <c r="I883" s="102" t="n"/>
      <c r="J883" s="102" t="n"/>
      <c r="K883" s="103" t="n"/>
      <c r="L883" s="116">
        <f>IF($H883="","",TRIM(IF(COUNTIF(DMTK!$A$7:$A$250,$F883)=0,"TK Nợ sai! ","")&amp;IF(COUNTIF(DMTK!$A$7:$A$250,$G883)=0,"TK Có sai! ","")&amp;IF(N($H883)&lt;=0,"Tiền phải &gt; 0! ","")&amp;IF($B883="","Thiếu ngày! ","")&amp;IF(AND(OR(LEFT($F883,3)="131",LEFT($G883,3)="131",LEFT($F883,3)="331",LEFT($G883,3)="331"),$I883=""),"Thiếu Mã ĐT! ","")&amp;IF(AND($I883&lt;&gt;"",COUNTIF(DM_DT!$A$7:$A$306,$I883)=0),"Mã ĐT chưa khai báo! ","")))</f>
        <v/>
      </c>
      <c r="M883" s="117">
        <f>IF($H883="","",IF(AND(OR(LEFT($F883,3)="111",LEFT($F883,3)="112",LEFT($F883,3)="113"),OR(LEFT($G883,3)="111",LEFT($G883,3)="112",LEFT($G883,3)="113")),"NB",IF(OR(LEFT($F883,3)="111",LEFT($F883,3)="112",LEFT($F883,3)="113"),"THU",IF(OR(LEFT($G883,3)="111",LEFT($G883,3)="112",LEFT($G883,3)="113"),"CHI",""))))</f>
        <v/>
      </c>
      <c r="N883" s="117">
        <f>IF($M883="THU",$G883,IF($M883="CHI",$F883,""))</f>
        <v/>
      </c>
      <c r="O883" s="117">
        <f>IF(OR($M883="",$M883="NB"),"",IF($J883&lt;&gt;"",TEXT($J883,"00"),IFERROR(VLOOKUP(LEFT($N883,4),LCTT_MAP!$A$7:$C$66,IF($M883="THU",2,3),FALSE()),IFERROR(VLOOKUP(LEFT($N883,3),LCTT_MAP!$A$7:$C$66,IF($M883="THU",2,3),FALSE()),IFERROR(VLOOKUP(LEFT($N883,2),LCTT_MAP!$A$7:$C$66,IF($M883="THU",2,3),FALSE()),IFERROR(VLOOKUP(LEFT($N883,1),LCTT_MAP!$A$7:$C$66,IF($M883="THU",2,3),FALSE()),IF($M883="THU","06","07")))))))</f>
        <v/>
      </c>
      <c r="P883" s="117">
        <f>P882+IF(AND($H883&lt;&gt;"",OR(LEFT($F883,LEN(SC_TK))=SC_TK,LEFT($G883,LEN(SC_TK))=SC_TK)),1,0)</f>
        <v/>
      </c>
    </row>
    <row r="884" ht="15" customHeight="1" s="78">
      <c r="A884" s="95">
        <f>IF($H884="","",ROW()-6)</f>
        <v/>
      </c>
      <c r="B884" s="114" t="n"/>
      <c r="C884" s="102" t="n"/>
      <c r="D884" s="114" t="n"/>
      <c r="E884" s="103" t="n"/>
      <c r="F884" s="102" t="n"/>
      <c r="G884" s="102" t="n"/>
      <c r="H884" s="115" t="n"/>
      <c r="I884" s="102" t="n"/>
      <c r="J884" s="102" t="n"/>
      <c r="K884" s="103" t="n"/>
      <c r="L884" s="116">
        <f>IF($H884="","",TRIM(IF(COUNTIF(DMTK!$A$7:$A$250,$F884)=0,"TK Nợ sai! ","")&amp;IF(COUNTIF(DMTK!$A$7:$A$250,$G884)=0,"TK Có sai! ","")&amp;IF(N($H884)&lt;=0,"Tiền phải &gt; 0! ","")&amp;IF($B884="","Thiếu ngày! ","")&amp;IF(AND(OR(LEFT($F884,3)="131",LEFT($G884,3)="131",LEFT($F884,3)="331",LEFT($G884,3)="331"),$I884=""),"Thiếu Mã ĐT! ","")&amp;IF(AND($I884&lt;&gt;"",COUNTIF(DM_DT!$A$7:$A$306,$I884)=0),"Mã ĐT chưa khai báo! ","")))</f>
        <v/>
      </c>
      <c r="M884" s="117">
        <f>IF($H884="","",IF(AND(OR(LEFT($F884,3)="111",LEFT($F884,3)="112",LEFT($F884,3)="113"),OR(LEFT($G884,3)="111",LEFT($G884,3)="112",LEFT($G884,3)="113")),"NB",IF(OR(LEFT($F884,3)="111",LEFT($F884,3)="112",LEFT($F884,3)="113"),"THU",IF(OR(LEFT($G884,3)="111",LEFT($G884,3)="112",LEFT($G884,3)="113"),"CHI",""))))</f>
        <v/>
      </c>
      <c r="N884" s="117">
        <f>IF($M884="THU",$G884,IF($M884="CHI",$F884,""))</f>
        <v/>
      </c>
      <c r="O884" s="117">
        <f>IF(OR($M884="",$M884="NB"),"",IF($J884&lt;&gt;"",TEXT($J884,"00"),IFERROR(VLOOKUP(LEFT($N884,4),LCTT_MAP!$A$7:$C$66,IF($M884="THU",2,3),FALSE()),IFERROR(VLOOKUP(LEFT($N884,3),LCTT_MAP!$A$7:$C$66,IF($M884="THU",2,3),FALSE()),IFERROR(VLOOKUP(LEFT($N884,2),LCTT_MAP!$A$7:$C$66,IF($M884="THU",2,3),FALSE()),IFERROR(VLOOKUP(LEFT($N884,1),LCTT_MAP!$A$7:$C$66,IF($M884="THU",2,3),FALSE()),IF($M884="THU","06","07")))))))</f>
        <v/>
      </c>
      <c r="P884" s="117">
        <f>P883+IF(AND($H884&lt;&gt;"",OR(LEFT($F884,LEN(SC_TK))=SC_TK,LEFT($G884,LEN(SC_TK))=SC_TK)),1,0)</f>
        <v/>
      </c>
    </row>
    <row r="885" ht="15" customHeight="1" s="78">
      <c r="A885" s="95">
        <f>IF($H885="","",ROW()-6)</f>
        <v/>
      </c>
      <c r="B885" s="114" t="n"/>
      <c r="C885" s="102" t="n"/>
      <c r="D885" s="114" t="n"/>
      <c r="E885" s="103" t="n"/>
      <c r="F885" s="102" t="n"/>
      <c r="G885" s="102" t="n"/>
      <c r="H885" s="115" t="n"/>
      <c r="I885" s="102" t="n"/>
      <c r="J885" s="102" t="n"/>
      <c r="K885" s="103" t="n"/>
      <c r="L885" s="116">
        <f>IF($H885="","",TRIM(IF(COUNTIF(DMTK!$A$7:$A$250,$F885)=0,"TK Nợ sai! ","")&amp;IF(COUNTIF(DMTK!$A$7:$A$250,$G885)=0,"TK Có sai! ","")&amp;IF(N($H885)&lt;=0,"Tiền phải &gt; 0! ","")&amp;IF($B885="","Thiếu ngày! ","")&amp;IF(AND(OR(LEFT($F885,3)="131",LEFT($G885,3)="131",LEFT($F885,3)="331",LEFT($G885,3)="331"),$I885=""),"Thiếu Mã ĐT! ","")&amp;IF(AND($I885&lt;&gt;"",COUNTIF(DM_DT!$A$7:$A$306,$I885)=0),"Mã ĐT chưa khai báo! ","")))</f>
        <v/>
      </c>
      <c r="M885" s="117">
        <f>IF($H885="","",IF(AND(OR(LEFT($F885,3)="111",LEFT($F885,3)="112",LEFT($F885,3)="113"),OR(LEFT($G885,3)="111",LEFT($G885,3)="112",LEFT($G885,3)="113")),"NB",IF(OR(LEFT($F885,3)="111",LEFT($F885,3)="112",LEFT($F885,3)="113"),"THU",IF(OR(LEFT($G885,3)="111",LEFT($G885,3)="112",LEFT($G885,3)="113"),"CHI",""))))</f>
        <v/>
      </c>
      <c r="N885" s="117">
        <f>IF($M885="THU",$G885,IF($M885="CHI",$F885,""))</f>
        <v/>
      </c>
      <c r="O885" s="117">
        <f>IF(OR($M885="",$M885="NB"),"",IF($J885&lt;&gt;"",TEXT($J885,"00"),IFERROR(VLOOKUP(LEFT($N885,4),LCTT_MAP!$A$7:$C$66,IF($M885="THU",2,3),FALSE()),IFERROR(VLOOKUP(LEFT($N885,3),LCTT_MAP!$A$7:$C$66,IF($M885="THU",2,3),FALSE()),IFERROR(VLOOKUP(LEFT($N885,2),LCTT_MAP!$A$7:$C$66,IF($M885="THU",2,3),FALSE()),IFERROR(VLOOKUP(LEFT($N885,1),LCTT_MAP!$A$7:$C$66,IF($M885="THU",2,3),FALSE()),IF($M885="THU","06","07")))))))</f>
        <v/>
      </c>
      <c r="P885" s="117">
        <f>P884+IF(AND($H885&lt;&gt;"",OR(LEFT($F885,LEN(SC_TK))=SC_TK,LEFT($G885,LEN(SC_TK))=SC_TK)),1,0)</f>
        <v/>
      </c>
    </row>
    <row r="886" ht="15" customHeight="1" s="78">
      <c r="A886" s="95">
        <f>IF($H886="","",ROW()-6)</f>
        <v/>
      </c>
      <c r="B886" s="114" t="n"/>
      <c r="C886" s="102" t="n"/>
      <c r="D886" s="114" t="n"/>
      <c r="E886" s="103" t="n"/>
      <c r="F886" s="102" t="n"/>
      <c r="G886" s="102" t="n"/>
      <c r="H886" s="115" t="n"/>
      <c r="I886" s="102" t="n"/>
      <c r="J886" s="102" t="n"/>
      <c r="K886" s="103" t="n"/>
      <c r="L886" s="116">
        <f>IF($H886="","",TRIM(IF(COUNTIF(DMTK!$A$7:$A$250,$F886)=0,"TK Nợ sai! ","")&amp;IF(COUNTIF(DMTK!$A$7:$A$250,$G886)=0,"TK Có sai! ","")&amp;IF(N($H886)&lt;=0,"Tiền phải &gt; 0! ","")&amp;IF($B886="","Thiếu ngày! ","")&amp;IF(AND(OR(LEFT($F886,3)="131",LEFT($G886,3)="131",LEFT($F886,3)="331",LEFT($G886,3)="331"),$I886=""),"Thiếu Mã ĐT! ","")&amp;IF(AND($I886&lt;&gt;"",COUNTIF(DM_DT!$A$7:$A$306,$I886)=0),"Mã ĐT chưa khai báo! ","")))</f>
        <v/>
      </c>
      <c r="M886" s="117">
        <f>IF($H886="","",IF(AND(OR(LEFT($F886,3)="111",LEFT($F886,3)="112",LEFT($F886,3)="113"),OR(LEFT($G886,3)="111",LEFT($G886,3)="112",LEFT($G886,3)="113")),"NB",IF(OR(LEFT($F886,3)="111",LEFT($F886,3)="112",LEFT($F886,3)="113"),"THU",IF(OR(LEFT($G886,3)="111",LEFT($G886,3)="112",LEFT($G886,3)="113"),"CHI",""))))</f>
        <v/>
      </c>
      <c r="N886" s="117">
        <f>IF($M886="THU",$G886,IF($M886="CHI",$F886,""))</f>
        <v/>
      </c>
      <c r="O886" s="117">
        <f>IF(OR($M886="",$M886="NB"),"",IF($J886&lt;&gt;"",TEXT($J886,"00"),IFERROR(VLOOKUP(LEFT($N886,4),LCTT_MAP!$A$7:$C$66,IF($M886="THU",2,3),FALSE()),IFERROR(VLOOKUP(LEFT($N886,3),LCTT_MAP!$A$7:$C$66,IF($M886="THU",2,3),FALSE()),IFERROR(VLOOKUP(LEFT($N886,2),LCTT_MAP!$A$7:$C$66,IF($M886="THU",2,3),FALSE()),IFERROR(VLOOKUP(LEFT($N886,1),LCTT_MAP!$A$7:$C$66,IF($M886="THU",2,3),FALSE()),IF($M886="THU","06","07")))))))</f>
        <v/>
      </c>
      <c r="P886" s="117">
        <f>P885+IF(AND($H886&lt;&gt;"",OR(LEFT($F886,LEN(SC_TK))=SC_TK,LEFT($G886,LEN(SC_TK))=SC_TK)),1,0)</f>
        <v/>
      </c>
    </row>
    <row r="887" ht="15" customHeight="1" s="78">
      <c r="A887" s="95">
        <f>IF($H887="","",ROW()-6)</f>
        <v/>
      </c>
      <c r="B887" s="114" t="n"/>
      <c r="C887" s="102" t="n"/>
      <c r="D887" s="114" t="n"/>
      <c r="E887" s="103" t="n"/>
      <c r="F887" s="102" t="n"/>
      <c r="G887" s="102" t="n"/>
      <c r="H887" s="115" t="n"/>
      <c r="I887" s="102" t="n"/>
      <c r="J887" s="102" t="n"/>
      <c r="K887" s="103" t="n"/>
      <c r="L887" s="116">
        <f>IF($H887="","",TRIM(IF(COUNTIF(DMTK!$A$7:$A$250,$F887)=0,"TK Nợ sai! ","")&amp;IF(COUNTIF(DMTK!$A$7:$A$250,$G887)=0,"TK Có sai! ","")&amp;IF(N($H887)&lt;=0,"Tiền phải &gt; 0! ","")&amp;IF($B887="","Thiếu ngày! ","")&amp;IF(AND(OR(LEFT($F887,3)="131",LEFT($G887,3)="131",LEFT($F887,3)="331",LEFT($G887,3)="331"),$I887=""),"Thiếu Mã ĐT! ","")&amp;IF(AND($I887&lt;&gt;"",COUNTIF(DM_DT!$A$7:$A$306,$I887)=0),"Mã ĐT chưa khai báo! ","")))</f>
        <v/>
      </c>
      <c r="M887" s="117">
        <f>IF($H887="","",IF(AND(OR(LEFT($F887,3)="111",LEFT($F887,3)="112",LEFT($F887,3)="113"),OR(LEFT($G887,3)="111",LEFT($G887,3)="112",LEFT($G887,3)="113")),"NB",IF(OR(LEFT($F887,3)="111",LEFT($F887,3)="112",LEFT($F887,3)="113"),"THU",IF(OR(LEFT($G887,3)="111",LEFT($G887,3)="112",LEFT($G887,3)="113"),"CHI",""))))</f>
        <v/>
      </c>
      <c r="N887" s="117">
        <f>IF($M887="THU",$G887,IF($M887="CHI",$F887,""))</f>
        <v/>
      </c>
      <c r="O887" s="117">
        <f>IF(OR($M887="",$M887="NB"),"",IF($J887&lt;&gt;"",TEXT($J887,"00"),IFERROR(VLOOKUP(LEFT($N887,4),LCTT_MAP!$A$7:$C$66,IF($M887="THU",2,3),FALSE()),IFERROR(VLOOKUP(LEFT($N887,3),LCTT_MAP!$A$7:$C$66,IF($M887="THU",2,3),FALSE()),IFERROR(VLOOKUP(LEFT($N887,2),LCTT_MAP!$A$7:$C$66,IF($M887="THU",2,3),FALSE()),IFERROR(VLOOKUP(LEFT($N887,1),LCTT_MAP!$A$7:$C$66,IF($M887="THU",2,3),FALSE()),IF($M887="THU","06","07")))))))</f>
        <v/>
      </c>
      <c r="P887" s="117">
        <f>P886+IF(AND($H887&lt;&gt;"",OR(LEFT($F887,LEN(SC_TK))=SC_TK,LEFT($G887,LEN(SC_TK))=SC_TK)),1,0)</f>
        <v/>
      </c>
    </row>
    <row r="888" ht="15" customHeight="1" s="78">
      <c r="A888" s="95">
        <f>IF($H888="","",ROW()-6)</f>
        <v/>
      </c>
      <c r="B888" s="114" t="n"/>
      <c r="C888" s="102" t="n"/>
      <c r="D888" s="114" t="n"/>
      <c r="E888" s="103" t="n"/>
      <c r="F888" s="102" t="n"/>
      <c r="G888" s="102" t="n"/>
      <c r="H888" s="115" t="n"/>
      <c r="I888" s="102" t="n"/>
      <c r="J888" s="102" t="n"/>
      <c r="K888" s="103" t="n"/>
      <c r="L888" s="116">
        <f>IF($H888="","",TRIM(IF(COUNTIF(DMTK!$A$7:$A$250,$F888)=0,"TK Nợ sai! ","")&amp;IF(COUNTIF(DMTK!$A$7:$A$250,$G888)=0,"TK Có sai! ","")&amp;IF(N($H888)&lt;=0,"Tiền phải &gt; 0! ","")&amp;IF($B888="","Thiếu ngày! ","")&amp;IF(AND(OR(LEFT($F888,3)="131",LEFT($G888,3)="131",LEFT($F888,3)="331",LEFT($G888,3)="331"),$I888=""),"Thiếu Mã ĐT! ","")&amp;IF(AND($I888&lt;&gt;"",COUNTIF(DM_DT!$A$7:$A$306,$I888)=0),"Mã ĐT chưa khai báo! ","")))</f>
        <v/>
      </c>
      <c r="M888" s="117">
        <f>IF($H888="","",IF(AND(OR(LEFT($F888,3)="111",LEFT($F888,3)="112",LEFT($F888,3)="113"),OR(LEFT($G888,3)="111",LEFT($G888,3)="112",LEFT($G888,3)="113")),"NB",IF(OR(LEFT($F888,3)="111",LEFT($F888,3)="112",LEFT($F888,3)="113"),"THU",IF(OR(LEFT($G888,3)="111",LEFT($G888,3)="112",LEFT($G888,3)="113"),"CHI",""))))</f>
        <v/>
      </c>
      <c r="N888" s="117">
        <f>IF($M888="THU",$G888,IF($M888="CHI",$F888,""))</f>
        <v/>
      </c>
      <c r="O888" s="117">
        <f>IF(OR($M888="",$M888="NB"),"",IF($J888&lt;&gt;"",TEXT($J888,"00"),IFERROR(VLOOKUP(LEFT($N888,4),LCTT_MAP!$A$7:$C$66,IF($M888="THU",2,3),FALSE()),IFERROR(VLOOKUP(LEFT($N888,3),LCTT_MAP!$A$7:$C$66,IF($M888="THU",2,3),FALSE()),IFERROR(VLOOKUP(LEFT($N888,2),LCTT_MAP!$A$7:$C$66,IF($M888="THU",2,3),FALSE()),IFERROR(VLOOKUP(LEFT($N888,1),LCTT_MAP!$A$7:$C$66,IF($M888="THU",2,3),FALSE()),IF($M888="THU","06","07")))))))</f>
        <v/>
      </c>
      <c r="P888" s="117">
        <f>P887+IF(AND($H888&lt;&gt;"",OR(LEFT($F888,LEN(SC_TK))=SC_TK,LEFT($G888,LEN(SC_TK))=SC_TK)),1,0)</f>
        <v/>
      </c>
    </row>
    <row r="889" ht="15" customHeight="1" s="78">
      <c r="A889" s="95">
        <f>IF($H889="","",ROW()-6)</f>
        <v/>
      </c>
      <c r="B889" s="114" t="n"/>
      <c r="C889" s="102" t="n"/>
      <c r="D889" s="114" t="n"/>
      <c r="E889" s="103" t="n"/>
      <c r="F889" s="102" t="n"/>
      <c r="G889" s="102" t="n"/>
      <c r="H889" s="115" t="n"/>
      <c r="I889" s="102" t="n"/>
      <c r="J889" s="102" t="n"/>
      <c r="K889" s="103" t="n"/>
      <c r="L889" s="116">
        <f>IF($H889="","",TRIM(IF(COUNTIF(DMTK!$A$7:$A$250,$F889)=0,"TK Nợ sai! ","")&amp;IF(COUNTIF(DMTK!$A$7:$A$250,$G889)=0,"TK Có sai! ","")&amp;IF(N($H889)&lt;=0,"Tiền phải &gt; 0! ","")&amp;IF($B889="","Thiếu ngày! ","")&amp;IF(AND(OR(LEFT($F889,3)="131",LEFT($G889,3)="131",LEFT($F889,3)="331",LEFT($G889,3)="331"),$I889=""),"Thiếu Mã ĐT! ","")&amp;IF(AND($I889&lt;&gt;"",COUNTIF(DM_DT!$A$7:$A$306,$I889)=0),"Mã ĐT chưa khai báo! ","")))</f>
        <v/>
      </c>
      <c r="M889" s="117">
        <f>IF($H889="","",IF(AND(OR(LEFT($F889,3)="111",LEFT($F889,3)="112",LEFT($F889,3)="113"),OR(LEFT($G889,3)="111",LEFT($G889,3)="112",LEFT($G889,3)="113")),"NB",IF(OR(LEFT($F889,3)="111",LEFT($F889,3)="112",LEFT($F889,3)="113"),"THU",IF(OR(LEFT($G889,3)="111",LEFT($G889,3)="112",LEFT($G889,3)="113"),"CHI",""))))</f>
        <v/>
      </c>
      <c r="N889" s="117">
        <f>IF($M889="THU",$G889,IF($M889="CHI",$F889,""))</f>
        <v/>
      </c>
      <c r="O889" s="117">
        <f>IF(OR($M889="",$M889="NB"),"",IF($J889&lt;&gt;"",TEXT($J889,"00"),IFERROR(VLOOKUP(LEFT($N889,4),LCTT_MAP!$A$7:$C$66,IF($M889="THU",2,3),FALSE()),IFERROR(VLOOKUP(LEFT($N889,3),LCTT_MAP!$A$7:$C$66,IF($M889="THU",2,3),FALSE()),IFERROR(VLOOKUP(LEFT($N889,2),LCTT_MAP!$A$7:$C$66,IF($M889="THU",2,3),FALSE()),IFERROR(VLOOKUP(LEFT($N889,1),LCTT_MAP!$A$7:$C$66,IF($M889="THU",2,3),FALSE()),IF($M889="THU","06","07")))))))</f>
        <v/>
      </c>
      <c r="P889" s="117">
        <f>P888+IF(AND($H889&lt;&gt;"",OR(LEFT($F889,LEN(SC_TK))=SC_TK,LEFT($G889,LEN(SC_TK))=SC_TK)),1,0)</f>
        <v/>
      </c>
    </row>
    <row r="890" ht="15" customHeight="1" s="78">
      <c r="A890" s="95">
        <f>IF($H890="","",ROW()-6)</f>
        <v/>
      </c>
      <c r="B890" s="114" t="n"/>
      <c r="C890" s="102" t="n"/>
      <c r="D890" s="114" t="n"/>
      <c r="E890" s="103" t="n"/>
      <c r="F890" s="102" t="n"/>
      <c r="G890" s="102" t="n"/>
      <c r="H890" s="115" t="n"/>
      <c r="I890" s="102" t="n"/>
      <c r="J890" s="102" t="n"/>
      <c r="K890" s="103" t="n"/>
      <c r="L890" s="116">
        <f>IF($H890="","",TRIM(IF(COUNTIF(DMTK!$A$7:$A$250,$F890)=0,"TK Nợ sai! ","")&amp;IF(COUNTIF(DMTK!$A$7:$A$250,$G890)=0,"TK Có sai! ","")&amp;IF(N($H890)&lt;=0,"Tiền phải &gt; 0! ","")&amp;IF($B890="","Thiếu ngày! ","")&amp;IF(AND(OR(LEFT($F890,3)="131",LEFT($G890,3)="131",LEFT($F890,3)="331",LEFT($G890,3)="331"),$I890=""),"Thiếu Mã ĐT! ","")&amp;IF(AND($I890&lt;&gt;"",COUNTIF(DM_DT!$A$7:$A$306,$I890)=0),"Mã ĐT chưa khai báo! ","")))</f>
        <v/>
      </c>
      <c r="M890" s="117">
        <f>IF($H890="","",IF(AND(OR(LEFT($F890,3)="111",LEFT($F890,3)="112",LEFT($F890,3)="113"),OR(LEFT($G890,3)="111",LEFT($G890,3)="112",LEFT($G890,3)="113")),"NB",IF(OR(LEFT($F890,3)="111",LEFT($F890,3)="112",LEFT($F890,3)="113"),"THU",IF(OR(LEFT($G890,3)="111",LEFT($G890,3)="112",LEFT($G890,3)="113"),"CHI",""))))</f>
        <v/>
      </c>
      <c r="N890" s="117">
        <f>IF($M890="THU",$G890,IF($M890="CHI",$F890,""))</f>
        <v/>
      </c>
      <c r="O890" s="117">
        <f>IF(OR($M890="",$M890="NB"),"",IF($J890&lt;&gt;"",TEXT($J890,"00"),IFERROR(VLOOKUP(LEFT($N890,4),LCTT_MAP!$A$7:$C$66,IF($M890="THU",2,3),FALSE()),IFERROR(VLOOKUP(LEFT($N890,3),LCTT_MAP!$A$7:$C$66,IF($M890="THU",2,3),FALSE()),IFERROR(VLOOKUP(LEFT($N890,2),LCTT_MAP!$A$7:$C$66,IF($M890="THU",2,3),FALSE()),IFERROR(VLOOKUP(LEFT($N890,1),LCTT_MAP!$A$7:$C$66,IF($M890="THU",2,3),FALSE()),IF($M890="THU","06","07")))))))</f>
        <v/>
      </c>
      <c r="P890" s="117">
        <f>P889+IF(AND($H890&lt;&gt;"",OR(LEFT($F890,LEN(SC_TK))=SC_TK,LEFT($G890,LEN(SC_TK))=SC_TK)),1,0)</f>
        <v/>
      </c>
    </row>
    <row r="891" ht="15" customHeight="1" s="78">
      <c r="A891" s="95">
        <f>IF($H891="","",ROW()-6)</f>
        <v/>
      </c>
      <c r="B891" s="114" t="n"/>
      <c r="C891" s="102" t="n"/>
      <c r="D891" s="114" t="n"/>
      <c r="E891" s="103" t="n"/>
      <c r="F891" s="102" t="n"/>
      <c r="G891" s="102" t="n"/>
      <c r="H891" s="115" t="n"/>
      <c r="I891" s="102" t="n"/>
      <c r="J891" s="102" t="n"/>
      <c r="K891" s="103" t="n"/>
      <c r="L891" s="116">
        <f>IF($H891="","",TRIM(IF(COUNTIF(DMTK!$A$7:$A$250,$F891)=0,"TK Nợ sai! ","")&amp;IF(COUNTIF(DMTK!$A$7:$A$250,$G891)=0,"TK Có sai! ","")&amp;IF(N($H891)&lt;=0,"Tiền phải &gt; 0! ","")&amp;IF($B891="","Thiếu ngày! ","")&amp;IF(AND(OR(LEFT($F891,3)="131",LEFT($G891,3)="131",LEFT($F891,3)="331",LEFT($G891,3)="331"),$I891=""),"Thiếu Mã ĐT! ","")&amp;IF(AND($I891&lt;&gt;"",COUNTIF(DM_DT!$A$7:$A$306,$I891)=0),"Mã ĐT chưa khai báo! ","")))</f>
        <v/>
      </c>
      <c r="M891" s="117">
        <f>IF($H891="","",IF(AND(OR(LEFT($F891,3)="111",LEFT($F891,3)="112",LEFT($F891,3)="113"),OR(LEFT($G891,3)="111",LEFT($G891,3)="112",LEFT($G891,3)="113")),"NB",IF(OR(LEFT($F891,3)="111",LEFT($F891,3)="112",LEFT($F891,3)="113"),"THU",IF(OR(LEFT($G891,3)="111",LEFT($G891,3)="112",LEFT($G891,3)="113"),"CHI",""))))</f>
        <v/>
      </c>
      <c r="N891" s="117">
        <f>IF($M891="THU",$G891,IF($M891="CHI",$F891,""))</f>
        <v/>
      </c>
      <c r="O891" s="117">
        <f>IF(OR($M891="",$M891="NB"),"",IF($J891&lt;&gt;"",TEXT($J891,"00"),IFERROR(VLOOKUP(LEFT($N891,4),LCTT_MAP!$A$7:$C$66,IF($M891="THU",2,3),FALSE()),IFERROR(VLOOKUP(LEFT($N891,3),LCTT_MAP!$A$7:$C$66,IF($M891="THU",2,3),FALSE()),IFERROR(VLOOKUP(LEFT($N891,2),LCTT_MAP!$A$7:$C$66,IF($M891="THU",2,3),FALSE()),IFERROR(VLOOKUP(LEFT($N891,1),LCTT_MAP!$A$7:$C$66,IF($M891="THU",2,3),FALSE()),IF($M891="THU","06","07")))))))</f>
        <v/>
      </c>
      <c r="P891" s="117">
        <f>P890+IF(AND($H891&lt;&gt;"",OR(LEFT($F891,LEN(SC_TK))=SC_TK,LEFT($G891,LEN(SC_TK))=SC_TK)),1,0)</f>
        <v/>
      </c>
    </row>
    <row r="892" ht="15" customHeight="1" s="78">
      <c r="A892" s="95">
        <f>IF($H892="","",ROW()-6)</f>
        <v/>
      </c>
      <c r="B892" s="114" t="n"/>
      <c r="C892" s="102" t="n"/>
      <c r="D892" s="114" t="n"/>
      <c r="E892" s="103" t="n"/>
      <c r="F892" s="102" t="n"/>
      <c r="G892" s="102" t="n"/>
      <c r="H892" s="115" t="n"/>
      <c r="I892" s="102" t="n"/>
      <c r="J892" s="102" t="n"/>
      <c r="K892" s="103" t="n"/>
      <c r="L892" s="116">
        <f>IF($H892="","",TRIM(IF(COUNTIF(DMTK!$A$7:$A$250,$F892)=0,"TK Nợ sai! ","")&amp;IF(COUNTIF(DMTK!$A$7:$A$250,$G892)=0,"TK Có sai! ","")&amp;IF(N($H892)&lt;=0,"Tiền phải &gt; 0! ","")&amp;IF($B892="","Thiếu ngày! ","")&amp;IF(AND(OR(LEFT($F892,3)="131",LEFT($G892,3)="131",LEFT($F892,3)="331",LEFT($G892,3)="331"),$I892=""),"Thiếu Mã ĐT! ","")&amp;IF(AND($I892&lt;&gt;"",COUNTIF(DM_DT!$A$7:$A$306,$I892)=0),"Mã ĐT chưa khai báo! ","")))</f>
        <v/>
      </c>
      <c r="M892" s="117">
        <f>IF($H892="","",IF(AND(OR(LEFT($F892,3)="111",LEFT($F892,3)="112",LEFT($F892,3)="113"),OR(LEFT($G892,3)="111",LEFT($G892,3)="112",LEFT($G892,3)="113")),"NB",IF(OR(LEFT($F892,3)="111",LEFT($F892,3)="112",LEFT($F892,3)="113"),"THU",IF(OR(LEFT($G892,3)="111",LEFT($G892,3)="112",LEFT($G892,3)="113"),"CHI",""))))</f>
        <v/>
      </c>
      <c r="N892" s="117">
        <f>IF($M892="THU",$G892,IF($M892="CHI",$F892,""))</f>
        <v/>
      </c>
      <c r="O892" s="117">
        <f>IF(OR($M892="",$M892="NB"),"",IF($J892&lt;&gt;"",TEXT($J892,"00"),IFERROR(VLOOKUP(LEFT($N892,4),LCTT_MAP!$A$7:$C$66,IF($M892="THU",2,3),FALSE()),IFERROR(VLOOKUP(LEFT($N892,3),LCTT_MAP!$A$7:$C$66,IF($M892="THU",2,3),FALSE()),IFERROR(VLOOKUP(LEFT($N892,2),LCTT_MAP!$A$7:$C$66,IF($M892="THU",2,3),FALSE()),IFERROR(VLOOKUP(LEFT($N892,1),LCTT_MAP!$A$7:$C$66,IF($M892="THU",2,3),FALSE()),IF($M892="THU","06","07")))))))</f>
        <v/>
      </c>
      <c r="P892" s="117">
        <f>P891+IF(AND($H892&lt;&gt;"",OR(LEFT($F892,LEN(SC_TK))=SC_TK,LEFT($G892,LEN(SC_TK))=SC_TK)),1,0)</f>
        <v/>
      </c>
    </row>
    <row r="893" ht="15" customHeight="1" s="78">
      <c r="A893" s="95">
        <f>IF($H893="","",ROW()-6)</f>
        <v/>
      </c>
      <c r="B893" s="114" t="n"/>
      <c r="C893" s="102" t="n"/>
      <c r="D893" s="114" t="n"/>
      <c r="E893" s="103" t="n"/>
      <c r="F893" s="102" t="n"/>
      <c r="G893" s="102" t="n"/>
      <c r="H893" s="115" t="n"/>
      <c r="I893" s="102" t="n"/>
      <c r="J893" s="102" t="n"/>
      <c r="K893" s="103" t="n"/>
      <c r="L893" s="116">
        <f>IF($H893="","",TRIM(IF(COUNTIF(DMTK!$A$7:$A$250,$F893)=0,"TK Nợ sai! ","")&amp;IF(COUNTIF(DMTK!$A$7:$A$250,$G893)=0,"TK Có sai! ","")&amp;IF(N($H893)&lt;=0,"Tiền phải &gt; 0! ","")&amp;IF($B893="","Thiếu ngày! ","")&amp;IF(AND(OR(LEFT($F893,3)="131",LEFT($G893,3)="131",LEFT($F893,3)="331",LEFT($G893,3)="331"),$I893=""),"Thiếu Mã ĐT! ","")&amp;IF(AND($I893&lt;&gt;"",COUNTIF(DM_DT!$A$7:$A$306,$I893)=0),"Mã ĐT chưa khai báo! ","")))</f>
        <v/>
      </c>
      <c r="M893" s="117">
        <f>IF($H893="","",IF(AND(OR(LEFT($F893,3)="111",LEFT($F893,3)="112",LEFT($F893,3)="113"),OR(LEFT($G893,3)="111",LEFT($G893,3)="112",LEFT($G893,3)="113")),"NB",IF(OR(LEFT($F893,3)="111",LEFT($F893,3)="112",LEFT($F893,3)="113"),"THU",IF(OR(LEFT($G893,3)="111",LEFT($G893,3)="112",LEFT($G893,3)="113"),"CHI",""))))</f>
        <v/>
      </c>
      <c r="N893" s="117">
        <f>IF($M893="THU",$G893,IF($M893="CHI",$F893,""))</f>
        <v/>
      </c>
      <c r="O893" s="117">
        <f>IF(OR($M893="",$M893="NB"),"",IF($J893&lt;&gt;"",TEXT($J893,"00"),IFERROR(VLOOKUP(LEFT($N893,4),LCTT_MAP!$A$7:$C$66,IF($M893="THU",2,3),FALSE()),IFERROR(VLOOKUP(LEFT($N893,3),LCTT_MAP!$A$7:$C$66,IF($M893="THU",2,3),FALSE()),IFERROR(VLOOKUP(LEFT($N893,2),LCTT_MAP!$A$7:$C$66,IF($M893="THU",2,3),FALSE()),IFERROR(VLOOKUP(LEFT($N893,1),LCTT_MAP!$A$7:$C$66,IF($M893="THU",2,3),FALSE()),IF($M893="THU","06","07")))))))</f>
        <v/>
      </c>
      <c r="P893" s="117">
        <f>P892+IF(AND($H893&lt;&gt;"",OR(LEFT($F893,LEN(SC_TK))=SC_TK,LEFT($G893,LEN(SC_TK))=SC_TK)),1,0)</f>
        <v/>
      </c>
    </row>
    <row r="894" ht="15" customHeight="1" s="78">
      <c r="A894" s="95">
        <f>IF($H894="","",ROW()-6)</f>
        <v/>
      </c>
      <c r="B894" s="114" t="n"/>
      <c r="C894" s="102" t="n"/>
      <c r="D894" s="114" t="n"/>
      <c r="E894" s="103" t="n"/>
      <c r="F894" s="102" t="n"/>
      <c r="G894" s="102" t="n"/>
      <c r="H894" s="115" t="n"/>
      <c r="I894" s="102" t="n"/>
      <c r="J894" s="102" t="n"/>
      <c r="K894" s="103" t="n"/>
      <c r="L894" s="116">
        <f>IF($H894="","",TRIM(IF(COUNTIF(DMTK!$A$7:$A$250,$F894)=0,"TK Nợ sai! ","")&amp;IF(COUNTIF(DMTK!$A$7:$A$250,$G894)=0,"TK Có sai! ","")&amp;IF(N($H894)&lt;=0,"Tiền phải &gt; 0! ","")&amp;IF($B894="","Thiếu ngày! ","")&amp;IF(AND(OR(LEFT($F894,3)="131",LEFT($G894,3)="131",LEFT($F894,3)="331",LEFT($G894,3)="331"),$I894=""),"Thiếu Mã ĐT! ","")&amp;IF(AND($I894&lt;&gt;"",COUNTIF(DM_DT!$A$7:$A$306,$I894)=0),"Mã ĐT chưa khai báo! ","")))</f>
        <v/>
      </c>
      <c r="M894" s="117">
        <f>IF($H894="","",IF(AND(OR(LEFT($F894,3)="111",LEFT($F894,3)="112",LEFT($F894,3)="113"),OR(LEFT($G894,3)="111",LEFT($G894,3)="112",LEFT($G894,3)="113")),"NB",IF(OR(LEFT($F894,3)="111",LEFT($F894,3)="112",LEFT($F894,3)="113"),"THU",IF(OR(LEFT($G894,3)="111",LEFT($G894,3)="112",LEFT($G894,3)="113"),"CHI",""))))</f>
        <v/>
      </c>
      <c r="N894" s="117">
        <f>IF($M894="THU",$G894,IF($M894="CHI",$F894,""))</f>
        <v/>
      </c>
      <c r="O894" s="117">
        <f>IF(OR($M894="",$M894="NB"),"",IF($J894&lt;&gt;"",TEXT($J894,"00"),IFERROR(VLOOKUP(LEFT($N894,4),LCTT_MAP!$A$7:$C$66,IF($M894="THU",2,3),FALSE()),IFERROR(VLOOKUP(LEFT($N894,3),LCTT_MAP!$A$7:$C$66,IF($M894="THU",2,3),FALSE()),IFERROR(VLOOKUP(LEFT($N894,2),LCTT_MAP!$A$7:$C$66,IF($M894="THU",2,3),FALSE()),IFERROR(VLOOKUP(LEFT($N894,1),LCTT_MAP!$A$7:$C$66,IF($M894="THU",2,3),FALSE()),IF($M894="THU","06","07")))))))</f>
        <v/>
      </c>
      <c r="P894" s="117">
        <f>P893+IF(AND($H894&lt;&gt;"",OR(LEFT($F894,LEN(SC_TK))=SC_TK,LEFT($G894,LEN(SC_TK))=SC_TK)),1,0)</f>
        <v/>
      </c>
    </row>
    <row r="895" ht="15" customHeight="1" s="78">
      <c r="A895" s="95">
        <f>IF($H895="","",ROW()-6)</f>
        <v/>
      </c>
      <c r="B895" s="114" t="n"/>
      <c r="C895" s="102" t="n"/>
      <c r="D895" s="114" t="n"/>
      <c r="E895" s="103" t="n"/>
      <c r="F895" s="102" t="n"/>
      <c r="G895" s="102" t="n"/>
      <c r="H895" s="115" t="n"/>
      <c r="I895" s="102" t="n"/>
      <c r="J895" s="102" t="n"/>
      <c r="K895" s="103" t="n"/>
      <c r="L895" s="116">
        <f>IF($H895="","",TRIM(IF(COUNTIF(DMTK!$A$7:$A$250,$F895)=0,"TK Nợ sai! ","")&amp;IF(COUNTIF(DMTK!$A$7:$A$250,$G895)=0,"TK Có sai! ","")&amp;IF(N($H895)&lt;=0,"Tiền phải &gt; 0! ","")&amp;IF($B895="","Thiếu ngày! ","")&amp;IF(AND(OR(LEFT($F895,3)="131",LEFT($G895,3)="131",LEFT($F895,3)="331",LEFT($G895,3)="331"),$I895=""),"Thiếu Mã ĐT! ","")&amp;IF(AND($I895&lt;&gt;"",COUNTIF(DM_DT!$A$7:$A$306,$I895)=0),"Mã ĐT chưa khai báo! ","")))</f>
        <v/>
      </c>
      <c r="M895" s="117">
        <f>IF($H895="","",IF(AND(OR(LEFT($F895,3)="111",LEFT($F895,3)="112",LEFT($F895,3)="113"),OR(LEFT($G895,3)="111",LEFT($G895,3)="112",LEFT($G895,3)="113")),"NB",IF(OR(LEFT($F895,3)="111",LEFT($F895,3)="112",LEFT($F895,3)="113"),"THU",IF(OR(LEFT($G895,3)="111",LEFT($G895,3)="112",LEFT($G895,3)="113"),"CHI",""))))</f>
        <v/>
      </c>
      <c r="N895" s="117">
        <f>IF($M895="THU",$G895,IF($M895="CHI",$F895,""))</f>
        <v/>
      </c>
      <c r="O895" s="117">
        <f>IF(OR($M895="",$M895="NB"),"",IF($J895&lt;&gt;"",TEXT($J895,"00"),IFERROR(VLOOKUP(LEFT($N895,4),LCTT_MAP!$A$7:$C$66,IF($M895="THU",2,3),FALSE()),IFERROR(VLOOKUP(LEFT($N895,3),LCTT_MAP!$A$7:$C$66,IF($M895="THU",2,3),FALSE()),IFERROR(VLOOKUP(LEFT($N895,2),LCTT_MAP!$A$7:$C$66,IF($M895="THU",2,3),FALSE()),IFERROR(VLOOKUP(LEFT($N895,1),LCTT_MAP!$A$7:$C$66,IF($M895="THU",2,3),FALSE()),IF($M895="THU","06","07")))))))</f>
        <v/>
      </c>
      <c r="P895" s="117">
        <f>P894+IF(AND($H895&lt;&gt;"",OR(LEFT($F895,LEN(SC_TK))=SC_TK,LEFT($G895,LEN(SC_TK))=SC_TK)),1,0)</f>
        <v/>
      </c>
    </row>
    <row r="896" ht="15" customHeight="1" s="78">
      <c r="A896" s="95">
        <f>IF($H896="","",ROW()-6)</f>
        <v/>
      </c>
      <c r="B896" s="114" t="n"/>
      <c r="C896" s="102" t="n"/>
      <c r="D896" s="114" t="n"/>
      <c r="E896" s="103" t="n"/>
      <c r="F896" s="102" t="n"/>
      <c r="G896" s="102" t="n"/>
      <c r="H896" s="115" t="n"/>
      <c r="I896" s="102" t="n"/>
      <c r="J896" s="102" t="n"/>
      <c r="K896" s="103" t="n"/>
      <c r="L896" s="116">
        <f>IF($H896="","",TRIM(IF(COUNTIF(DMTK!$A$7:$A$250,$F896)=0,"TK Nợ sai! ","")&amp;IF(COUNTIF(DMTK!$A$7:$A$250,$G896)=0,"TK Có sai! ","")&amp;IF(N($H896)&lt;=0,"Tiền phải &gt; 0! ","")&amp;IF($B896="","Thiếu ngày! ","")&amp;IF(AND(OR(LEFT($F896,3)="131",LEFT($G896,3)="131",LEFT($F896,3)="331",LEFT($G896,3)="331"),$I896=""),"Thiếu Mã ĐT! ","")&amp;IF(AND($I896&lt;&gt;"",COUNTIF(DM_DT!$A$7:$A$306,$I896)=0),"Mã ĐT chưa khai báo! ","")))</f>
        <v/>
      </c>
      <c r="M896" s="117">
        <f>IF($H896="","",IF(AND(OR(LEFT($F896,3)="111",LEFT($F896,3)="112",LEFT($F896,3)="113"),OR(LEFT($G896,3)="111",LEFT($G896,3)="112",LEFT($G896,3)="113")),"NB",IF(OR(LEFT($F896,3)="111",LEFT($F896,3)="112",LEFT($F896,3)="113"),"THU",IF(OR(LEFT($G896,3)="111",LEFT($G896,3)="112",LEFT($G896,3)="113"),"CHI",""))))</f>
        <v/>
      </c>
      <c r="N896" s="117">
        <f>IF($M896="THU",$G896,IF($M896="CHI",$F896,""))</f>
        <v/>
      </c>
      <c r="O896" s="117">
        <f>IF(OR($M896="",$M896="NB"),"",IF($J896&lt;&gt;"",TEXT($J896,"00"),IFERROR(VLOOKUP(LEFT($N896,4),LCTT_MAP!$A$7:$C$66,IF($M896="THU",2,3),FALSE()),IFERROR(VLOOKUP(LEFT($N896,3),LCTT_MAP!$A$7:$C$66,IF($M896="THU",2,3),FALSE()),IFERROR(VLOOKUP(LEFT($N896,2),LCTT_MAP!$A$7:$C$66,IF($M896="THU",2,3),FALSE()),IFERROR(VLOOKUP(LEFT($N896,1),LCTT_MAP!$A$7:$C$66,IF($M896="THU",2,3),FALSE()),IF($M896="THU","06","07")))))))</f>
        <v/>
      </c>
      <c r="P896" s="117">
        <f>P895+IF(AND($H896&lt;&gt;"",OR(LEFT($F896,LEN(SC_TK))=SC_TK,LEFT($G896,LEN(SC_TK))=SC_TK)),1,0)</f>
        <v/>
      </c>
    </row>
    <row r="897" ht="15" customHeight="1" s="78">
      <c r="A897" s="95">
        <f>IF($H897="","",ROW()-6)</f>
        <v/>
      </c>
      <c r="B897" s="114" t="n"/>
      <c r="C897" s="102" t="n"/>
      <c r="D897" s="114" t="n"/>
      <c r="E897" s="103" t="n"/>
      <c r="F897" s="102" t="n"/>
      <c r="G897" s="102" t="n"/>
      <c r="H897" s="115" t="n"/>
      <c r="I897" s="102" t="n"/>
      <c r="J897" s="102" t="n"/>
      <c r="K897" s="103" t="n"/>
      <c r="L897" s="116">
        <f>IF($H897="","",TRIM(IF(COUNTIF(DMTK!$A$7:$A$250,$F897)=0,"TK Nợ sai! ","")&amp;IF(COUNTIF(DMTK!$A$7:$A$250,$G897)=0,"TK Có sai! ","")&amp;IF(N($H897)&lt;=0,"Tiền phải &gt; 0! ","")&amp;IF($B897="","Thiếu ngày! ","")&amp;IF(AND(OR(LEFT($F897,3)="131",LEFT($G897,3)="131",LEFT($F897,3)="331",LEFT($G897,3)="331"),$I897=""),"Thiếu Mã ĐT! ","")&amp;IF(AND($I897&lt;&gt;"",COUNTIF(DM_DT!$A$7:$A$306,$I897)=0),"Mã ĐT chưa khai báo! ","")))</f>
        <v/>
      </c>
      <c r="M897" s="117">
        <f>IF($H897="","",IF(AND(OR(LEFT($F897,3)="111",LEFT($F897,3)="112",LEFT($F897,3)="113"),OR(LEFT($G897,3)="111",LEFT($G897,3)="112",LEFT($G897,3)="113")),"NB",IF(OR(LEFT($F897,3)="111",LEFT($F897,3)="112",LEFT($F897,3)="113"),"THU",IF(OR(LEFT($G897,3)="111",LEFT($G897,3)="112",LEFT($G897,3)="113"),"CHI",""))))</f>
        <v/>
      </c>
      <c r="N897" s="117">
        <f>IF($M897="THU",$G897,IF($M897="CHI",$F897,""))</f>
        <v/>
      </c>
      <c r="O897" s="117">
        <f>IF(OR($M897="",$M897="NB"),"",IF($J897&lt;&gt;"",TEXT($J897,"00"),IFERROR(VLOOKUP(LEFT($N897,4),LCTT_MAP!$A$7:$C$66,IF($M897="THU",2,3),FALSE()),IFERROR(VLOOKUP(LEFT($N897,3),LCTT_MAP!$A$7:$C$66,IF($M897="THU",2,3),FALSE()),IFERROR(VLOOKUP(LEFT($N897,2),LCTT_MAP!$A$7:$C$66,IF($M897="THU",2,3),FALSE()),IFERROR(VLOOKUP(LEFT($N897,1),LCTT_MAP!$A$7:$C$66,IF($M897="THU",2,3),FALSE()),IF($M897="THU","06","07")))))))</f>
        <v/>
      </c>
      <c r="P897" s="117">
        <f>P896+IF(AND($H897&lt;&gt;"",OR(LEFT($F897,LEN(SC_TK))=SC_TK,LEFT($G897,LEN(SC_TK))=SC_TK)),1,0)</f>
        <v/>
      </c>
    </row>
    <row r="898" ht="15" customHeight="1" s="78">
      <c r="A898" s="95">
        <f>IF($H898="","",ROW()-6)</f>
        <v/>
      </c>
      <c r="B898" s="114" t="n"/>
      <c r="C898" s="102" t="n"/>
      <c r="D898" s="114" t="n"/>
      <c r="E898" s="103" t="n"/>
      <c r="F898" s="102" t="n"/>
      <c r="G898" s="102" t="n"/>
      <c r="H898" s="115" t="n"/>
      <c r="I898" s="102" t="n"/>
      <c r="J898" s="102" t="n"/>
      <c r="K898" s="103" t="n"/>
      <c r="L898" s="116">
        <f>IF($H898="","",TRIM(IF(COUNTIF(DMTK!$A$7:$A$250,$F898)=0,"TK Nợ sai! ","")&amp;IF(COUNTIF(DMTK!$A$7:$A$250,$G898)=0,"TK Có sai! ","")&amp;IF(N($H898)&lt;=0,"Tiền phải &gt; 0! ","")&amp;IF($B898="","Thiếu ngày! ","")&amp;IF(AND(OR(LEFT($F898,3)="131",LEFT($G898,3)="131",LEFT($F898,3)="331",LEFT($G898,3)="331"),$I898=""),"Thiếu Mã ĐT! ","")&amp;IF(AND($I898&lt;&gt;"",COUNTIF(DM_DT!$A$7:$A$306,$I898)=0),"Mã ĐT chưa khai báo! ","")))</f>
        <v/>
      </c>
      <c r="M898" s="117">
        <f>IF($H898="","",IF(AND(OR(LEFT($F898,3)="111",LEFT($F898,3)="112",LEFT($F898,3)="113"),OR(LEFT($G898,3)="111",LEFT($G898,3)="112",LEFT($G898,3)="113")),"NB",IF(OR(LEFT($F898,3)="111",LEFT($F898,3)="112",LEFT($F898,3)="113"),"THU",IF(OR(LEFT($G898,3)="111",LEFT($G898,3)="112",LEFT($G898,3)="113"),"CHI",""))))</f>
        <v/>
      </c>
      <c r="N898" s="117">
        <f>IF($M898="THU",$G898,IF($M898="CHI",$F898,""))</f>
        <v/>
      </c>
      <c r="O898" s="117">
        <f>IF(OR($M898="",$M898="NB"),"",IF($J898&lt;&gt;"",TEXT($J898,"00"),IFERROR(VLOOKUP(LEFT($N898,4),LCTT_MAP!$A$7:$C$66,IF($M898="THU",2,3),FALSE()),IFERROR(VLOOKUP(LEFT($N898,3),LCTT_MAP!$A$7:$C$66,IF($M898="THU",2,3),FALSE()),IFERROR(VLOOKUP(LEFT($N898,2),LCTT_MAP!$A$7:$C$66,IF($M898="THU",2,3),FALSE()),IFERROR(VLOOKUP(LEFT($N898,1),LCTT_MAP!$A$7:$C$66,IF($M898="THU",2,3),FALSE()),IF($M898="THU","06","07")))))))</f>
        <v/>
      </c>
      <c r="P898" s="117">
        <f>P897+IF(AND($H898&lt;&gt;"",OR(LEFT($F898,LEN(SC_TK))=SC_TK,LEFT($G898,LEN(SC_TK))=SC_TK)),1,0)</f>
        <v/>
      </c>
    </row>
    <row r="899" ht="15" customHeight="1" s="78">
      <c r="A899" s="95">
        <f>IF($H899="","",ROW()-6)</f>
        <v/>
      </c>
      <c r="B899" s="114" t="n"/>
      <c r="C899" s="102" t="n"/>
      <c r="D899" s="114" t="n"/>
      <c r="E899" s="103" t="n"/>
      <c r="F899" s="102" t="n"/>
      <c r="G899" s="102" t="n"/>
      <c r="H899" s="115" t="n"/>
      <c r="I899" s="102" t="n"/>
      <c r="J899" s="102" t="n"/>
      <c r="K899" s="103" t="n"/>
      <c r="L899" s="116">
        <f>IF($H899="","",TRIM(IF(COUNTIF(DMTK!$A$7:$A$250,$F899)=0,"TK Nợ sai! ","")&amp;IF(COUNTIF(DMTK!$A$7:$A$250,$G899)=0,"TK Có sai! ","")&amp;IF(N($H899)&lt;=0,"Tiền phải &gt; 0! ","")&amp;IF($B899="","Thiếu ngày! ","")&amp;IF(AND(OR(LEFT($F899,3)="131",LEFT($G899,3)="131",LEFT($F899,3)="331",LEFT($G899,3)="331"),$I899=""),"Thiếu Mã ĐT! ","")&amp;IF(AND($I899&lt;&gt;"",COUNTIF(DM_DT!$A$7:$A$306,$I899)=0),"Mã ĐT chưa khai báo! ","")))</f>
        <v/>
      </c>
      <c r="M899" s="117">
        <f>IF($H899="","",IF(AND(OR(LEFT($F899,3)="111",LEFT($F899,3)="112",LEFT($F899,3)="113"),OR(LEFT($G899,3)="111",LEFT($G899,3)="112",LEFT($G899,3)="113")),"NB",IF(OR(LEFT($F899,3)="111",LEFT($F899,3)="112",LEFT($F899,3)="113"),"THU",IF(OR(LEFT($G899,3)="111",LEFT($G899,3)="112",LEFT($G899,3)="113"),"CHI",""))))</f>
        <v/>
      </c>
      <c r="N899" s="117">
        <f>IF($M899="THU",$G899,IF($M899="CHI",$F899,""))</f>
        <v/>
      </c>
      <c r="O899" s="117">
        <f>IF(OR($M899="",$M899="NB"),"",IF($J899&lt;&gt;"",TEXT($J899,"00"),IFERROR(VLOOKUP(LEFT($N899,4),LCTT_MAP!$A$7:$C$66,IF($M899="THU",2,3),FALSE()),IFERROR(VLOOKUP(LEFT($N899,3),LCTT_MAP!$A$7:$C$66,IF($M899="THU",2,3),FALSE()),IFERROR(VLOOKUP(LEFT($N899,2),LCTT_MAP!$A$7:$C$66,IF($M899="THU",2,3),FALSE()),IFERROR(VLOOKUP(LEFT($N899,1),LCTT_MAP!$A$7:$C$66,IF($M899="THU",2,3),FALSE()),IF($M899="THU","06","07")))))))</f>
        <v/>
      </c>
      <c r="P899" s="117">
        <f>P898+IF(AND($H899&lt;&gt;"",OR(LEFT($F899,LEN(SC_TK))=SC_TK,LEFT($G899,LEN(SC_TK))=SC_TK)),1,0)</f>
        <v/>
      </c>
    </row>
    <row r="900" ht="15" customHeight="1" s="78">
      <c r="A900" s="95">
        <f>IF($H900="","",ROW()-6)</f>
        <v/>
      </c>
      <c r="B900" s="114" t="n"/>
      <c r="C900" s="102" t="n"/>
      <c r="D900" s="114" t="n"/>
      <c r="E900" s="103" t="n"/>
      <c r="F900" s="102" t="n"/>
      <c r="G900" s="102" t="n"/>
      <c r="H900" s="115" t="n"/>
      <c r="I900" s="102" t="n"/>
      <c r="J900" s="102" t="n"/>
      <c r="K900" s="103" t="n"/>
      <c r="L900" s="116">
        <f>IF($H900="","",TRIM(IF(COUNTIF(DMTK!$A$7:$A$250,$F900)=0,"TK Nợ sai! ","")&amp;IF(COUNTIF(DMTK!$A$7:$A$250,$G900)=0,"TK Có sai! ","")&amp;IF(N($H900)&lt;=0,"Tiền phải &gt; 0! ","")&amp;IF($B900="","Thiếu ngày! ","")&amp;IF(AND(OR(LEFT($F900,3)="131",LEFT($G900,3)="131",LEFT($F900,3)="331",LEFT($G900,3)="331"),$I900=""),"Thiếu Mã ĐT! ","")&amp;IF(AND($I900&lt;&gt;"",COUNTIF(DM_DT!$A$7:$A$306,$I900)=0),"Mã ĐT chưa khai báo! ","")))</f>
        <v/>
      </c>
      <c r="M900" s="117">
        <f>IF($H900="","",IF(AND(OR(LEFT($F900,3)="111",LEFT($F900,3)="112",LEFT($F900,3)="113"),OR(LEFT($G900,3)="111",LEFT($G900,3)="112",LEFT($G900,3)="113")),"NB",IF(OR(LEFT($F900,3)="111",LEFT($F900,3)="112",LEFT($F900,3)="113"),"THU",IF(OR(LEFT($G900,3)="111",LEFT($G900,3)="112",LEFT($G900,3)="113"),"CHI",""))))</f>
        <v/>
      </c>
      <c r="N900" s="117">
        <f>IF($M900="THU",$G900,IF($M900="CHI",$F900,""))</f>
        <v/>
      </c>
      <c r="O900" s="117">
        <f>IF(OR($M900="",$M900="NB"),"",IF($J900&lt;&gt;"",TEXT($J900,"00"),IFERROR(VLOOKUP(LEFT($N900,4),LCTT_MAP!$A$7:$C$66,IF($M900="THU",2,3),FALSE()),IFERROR(VLOOKUP(LEFT($N900,3),LCTT_MAP!$A$7:$C$66,IF($M900="THU",2,3),FALSE()),IFERROR(VLOOKUP(LEFT($N900,2),LCTT_MAP!$A$7:$C$66,IF($M900="THU",2,3),FALSE()),IFERROR(VLOOKUP(LEFT($N900,1),LCTT_MAP!$A$7:$C$66,IF($M900="THU",2,3),FALSE()),IF($M900="THU","06","07")))))))</f>
        <v/>
      </c>
      <c r="P900" s="117">
        <f>P899+IF(AND($H900&lt;&gt;"",OR(LEFT($F900,LEN(SC_TK))=SC_TK,LEFT($G900,LEN(SC_TK))=SC_TK)),1,0)</f>
        <v/>
      </c>
    </row>
    <row r="901" ht="15" customHeight="1" s="78">
      <c r="A901" s="95">
        <f>IF($H901="","",ROW()-6)</f>
        <v/>
      </c>
      <c r="B901" s="114" t="n"/>
      <c r="C901" s="102" t="n"/>
      <c r="D901" s="114" t="n"/>
      <c r="E901" s="103" t="n"/>
      <c r="F901" s="102" t="n"/>
      <c r="G901" s="102" t="n"/>
      <c r="H901" s="115" t="n"/>
      <c r="I901" s="102" t="n"/>
      <c r="J901" s="102" t="n"/>
      <c r="K901" s="103" t="n"/>
      <c r="L901" s="116">
        <f>IF($H901="","",TRIM(IF(COUNTIF(DMTK!$A$7:$A$250,$F901)=0,"TK Nợ sai! ","")&amp;IF(COUNTIF(DMTK!$A$7:$A$250,$G901)=0,"TK Có sai! ","")&amp;IF(N($H901)&lt;=0,"Tiền phải &gt; 0! ","")&amp;IF($B901="","Thiếu ngày! ","")&amp;IF(AND(OR(LEFT($F901,3)="131",LEFT($G901,3)="131",LEFT($F901,3)="331",LEFT($G901,3)="331"),$I901=""),"Thiếu Mã ĐT! ","")&amp;IF(AND($I901&lt;&gt;"",COUNTIF(DM_DT!$A$7:$A$306,$I901)=0),"Mã ĐT chưa khai báo! ","")))</f>
        <v/>
      </c>
      <c r="M901" s="117">
        <f>IF($H901="","",IF(AND(OR(LEFT($F901,3)="111",LEFT($F901,3)="112",LEFT($F901,3)="113"),OR(LEFT($G901,3)="111",LEFT($G901,3)="112",LEFT($G901,3)="113")),"NB",IF(OR(LEFT($F901,3)="111",LEFT($F901,3)="112",LEFT($F901,3)="113"),"THU",IF(OR(LEFT($G901,3)="111",LEFT($G901,3)="112",LEFT($G901,3)="113"),"CHI",""))))</f>
        <v/>
      </c>
      <c r="N901" s="117">
        <f>IF($M901="THU",$G901,IF($M901="CHI",$F901,""))</f>
        <v/>
      </c>
      <c r="O901" s="117">
        <f>IF(OR($M901="",$M901="NB"),"",IF($J901&lt;&gt;"",TEXT($J901,"00"),IFERROR(VLOOKUP(LEFT($N901,4),LCTT_MAP!$A$7:$C$66,IF($M901="THU",2,3),FALSE()),IFERROR(VLOOKUP(LEFT($N901,3),LCTT_MAP!$A$7:$C$66,IF($M901="THU",2,3),FALSE()),IFERROR(VLOOKUP(LEFT($N901,2),LCTT_MAP!$A$7:$C$66,IF($M901="THU",2,3),FALSE()),IFERROR(VLOOKUP(LEFT($N901,1),LCTT_MAP!$A$7:$C$66,IF($M901="THU",2,3),FALSE()),IF($M901="THU","06","07")))))))</f>
        <v/>
      </c>
      <c r="P901" s="117">
        <f>P900+IF(AND($H901&lt;&gt;"",OR(LEFT($F901,LEN(SC_TK))=SC_TK,LEFT($G901,LEN(SC_TK))=SC_TK)),1,0)</f>
        <v/>
      </c>
    </row>
    <row r="902" ht="15" customHeight="1" s="78">
      <c r="A902" s="95">
        <f>IF($H902="","",ROW()-6)</f>
        <v/>
      </c>
      <c r="B902" s="114" t="n"/>
      <c r="C902" s="102" t="n"/>
      <c r="D902" s="114" t="n"/>
      <c r="E902" s="103" t="n"/>
      <c r="F902" s="102" t="n"/>
      <c r="G902" s="102" t="n"/>
      <c r="H902" s="115" t="n"/>
      <c r="I902" s="102" t="n"/>
      <c r="J902" s="102" t="n"/>
      <c r="K902" s="103" t="n"/>
      <c r="L902" s="116">
        <f>IF($H902="","",TRIM(IF(COUNTIF(DMTK!$A$7:$A$250,$F902)=0,"TK Nợ sai! ","")&amp;IF(COUNTIF(DMTK!$A$7:$A$250,$G902)=0,"TK Có sai! ","")&amp;IF(N($H902)&lt;=0,"Tiền phải &gt; 0! ","")&amp;IF($B902="","Thiếu ngày! ","")&amp;IF(AND(OR(LEFT($F902,3)="131",LEFT($G902,3)="131",LEFT($F902,3)="331",LEFT($G902,3)="331"),$I902=""),"Thiếu Mã ĐT! ","")&amp;IF(AND($I902&lt;&gt;"",COUNTIF(DM_DT!$A$7:$A$306,$I902)=0),"Mã ĐT chưa khai báo! ","")))</f>
        <v/>
      </c>
      <c r="M902" s="117">
        <f>IF($H902="","",IF(AND(OR(LEFT($F902,3)="111",LEFT($F902,3)="112",LEFT($F902,3)="113"),OR(LEFT($G902,3)="111",LEFT($G902,3)="112",LEFT($G902,3)="113")),"NB",IF(OR(LEFT($F902,3)="111",LEFT($F902,3)="112",LEFT($F902,3)="113"),"THU",IF(OR(LEFT($G902,3)="111",LEFT($G902,3)="112",LEFT($G902,3)="113"),"CHI",""))))</f>
        <v/>
      </c>
      <c r="N902" s="117">
        <f>IF($M902="THU",$G902,IF($M902="CHI",$F902,""))</f>
        <v/>
      </c>
      <c r="O902" s="117">
        <f>IF(OR($M902="",$M902="NB"),"",IF($J902&lt;&gt;"",TEXT($J902,"00"),IFERROR(VLOOKUP(LEFT($N902,4),LCTT_MAP!$A$7:$C$66,IF($M902="THU",2,3),FALSE()),IFERROR(VLOOKUP(LEFT($N902,3),LCTT_MAP!$A$7:$C$66,IF($M902="THU",2,3),FALSE()),IFERROR(VLOOKUP(LEFT($N902,2),LCTT_MAP!$A$7:$C$66,IF($M902="THU",2,3),FALSE()),IFERROR(VLOOKUP(LEFT($N902,1),LCTT_MAP!$A$7:$C$66,IF($M902="THU",2,3),FALSE()),IF($M902="THU","06","07")))))))</f>
        <v/>
      </c>
      <c r="P902" s="117">
        <f>P901+IF(AND($H902&lt;&gt;"",OR(LEFT($F902,LEN(SC_TK))=SC_TK,LEFT($G902,LEN(SC_TK))=SC_TK)),1,0)</f>
        <v/>
      </c>
    </row>
    <row r="903" ht="15" customHeight="1" s="78">
      <c r="A903" s="95">
        <f>IF($H903="","",ROW()-6)</f>
        <v/>
      </c>
      <c r="B903" s="114" t="n"/>
      <c r="C903" s="102" t="n"/>
      <c r="D903" s="114" t="n"/>
      <c r="E903" s="103" t="n"/>
      <c r="F903" s="102" t="n"/>
      <c r="G903" s="102" t="n"/>
      <c r="H903" s="115" t="n"/>
      <c r="I903" s="102" t="n"/>
      <c r="J903" s="102" t="n"/>
      <c r="K903" s="103" t="n"/>
      <c r="L903" s="116">
        <f>IF($H903="","",TRIM(IF(COUNTIF(DMTK!$A$7:$A$250,$F903)=0,"TK Nợ sai! ","")&amp;IF(COUNTIF(DMTK!$A$7:$A$250,$G903)=0,"TK Có sai! ","")&amp;IF(N($H903)&lt;=0,"Tiền phải &gt; 0! ","")&amp;IF($B903="","Thiếu ngày! ","")&amp;IF(AND(OR(LEFT($F903,3)="131",LEFT($G903,3)="131",LEFT($F903,3)="331",LEFT($G903,3)="331"),$I903=""),"Thiếu Mã ĐT! ","")&amp;IF(AND($I903&lt;&gt;"",COUNTIF(DM_DT!$A$7:$A$306,$I903)=0),"Mã ĐT chưa khai báo! ","")))</f>
        <v/>
      </c>
      <c r="M903" s="117">
        <f>IF($H903="","",IF(AND(OR(LEFT($F903,3)="111",LEFT($F903,3)="112",LEFT($F903,3)="113"),OR(LEFT($G903,3)="111",LEFT($G903,3)="112",LEFT($G903,3)="113")),"NB",IF(OR(LEFT($F903,3)="111",LEFT($F903,3)="112",LEFT($F903,3)="113"),"THU",IF(OR(LEFT($G903,3)="111",LEFT($G903,3)="112",LEFT($G903,3)="113"),"CHI",""))))</f>
        <v/>
      </c>
      <c r="N903" s="117">
        <f>IF($M903="THU",$G903,IF($M903="CHI",$F903,""))</f>
        <v/>
      </c>
      <c r="O903" s="117">
        <f>IF(OR($M903="",$M903="NB"),"",IF($J903&lt;&gt;"",TEXT($J903,"00"),IFERROR(VLOOKUP(LEFT($N903,4),LCTT_MAP!$A$7:$C$66,IF($M903="THU",2,3),FALSE()),IFERROR(VLOOKUP(LEFT($N903,3),LCTT_MAP!$A$7:$C$66,IF($M903="THU",2,3),FALSE()),IFERROR(VLOOKUP(LEFT($N903,2),LCTT_MAP!$A$7:$C$66,IF($M903="THU",2,3),FALSE()),IFERROR(VLOOKUP(LEFT($N903,1),LCTT_MAP!$A$7:$C$66,IF($M903="THU",2,3),FALSE()),IF($M903="THU","06","07")))))))</f>
        <v/>
      </c>
      <c r="P903" s="117">
        <f>P902+IF(AND($H903&lt;&gt;"",OR(LEFT($F903,LEN(SC_TK))=SC_TK,LEFT($G903,LEN(SC_TK))=SC_TK)),1,0)</f>
        <v/>
      </c>
    </row>
    <row r="904" ht="15" customHeight="1" s="78">
      <c r="A904" s="95">
        <f>IF($H904="","",ROW()-6)</f>
        <v/>
      </c>
      <c r="B904" s="114" t="n"/>
      <c r="C904" s="102" t="n"/>
      <c r="D904" s="114" t="n"/>
      <c r="E904" s="103" t="n"/>
      <c r="F904" s="102" t="n"/>
      <c r="G904" s="102" t="n"/>
      <c r="H904" s="115" t="n"/>
      <c r="I904" s="102" t="n"/>
      <c r="J904" s="102" t="n"/>
      <c r="K904" s="103" t="n"/>
      <c r="L904" s="116">
        <f>IF($H904="","",TRIM(IF(COUNTIF(DMTK!$A$7:$A$250,$F904)=0,"TK Nợ sai! ","")&amp;IF(COUNTIF(DMTK!$A$7:$A$250,$G904)=0,"TK Có sai! ","")&amp;IF(N($H904)&lt;=0,"Tiền phải &gt; 0! ","")&amp;IF($B904="","Thiếu ngày! ","")&amp;IF(AND(OR(LEFT($F904,3)="131",LEFT($G904,3)="131",LEFT($F904,3)="331",LEFT($G904,3)="331"),$I904=""),"Thiếu Mã ĐT! ","")&amp;IF(AND($I904&lt;&gt;"",COUNTIF(DM_DT!$A$7:$A$306,$I904)=0),"Mã ĐT chưa khai báo! ","")))</f>
        <v/>
      </c>
      <c r="M904" s="117">
        <f>IF($H904="","",IF(AND(OR(LEFT($F904,3)="111",LEFT($F904,3)="112",LEFT($F904,3)="113"),OR(LEFT($G904,3)="111",LEFT($G904,3)="112",LEFT($G904,3)="113")),"NB",IF(OR(LEFT($F904,3)="111",LEFT($F904,3)="112",LEFT($F904,3)="113"),"THU",IF(OR(LEFT($G904,3)="111",LEFT($G904,3)="112",LEFT($G904,3)="113"),"CHI",""))))</f>
        <v/>
      </c>
      <c r="N904" s="117">
        <f>IF($M904="THU",$G904,IF($M904="CHI",$F904,""))</f>
        <v/>
      </c>
      <c r="O904" s="117">
        <f>IF(OR($M904="",$M904="NB"),"",IF($J904&lt;&gt;"",TEXT($J904,"00"),IFERROR(VLOOKUP(LEFT($N904,4),LCTT_MAP!$A$7:$C$66,IF($M904="THU",2,3),FALSE()),IFERROR(VLOOKUP(LEFT($N904,3),LCTT_MAP!$A$7:$C$66,IF($M904="THU",2,3),FALSE()),IFERROR(VLOOKUP(LEFT($N904,2),LCTT_MAP!$A$7:$C$66,IF($M904="THU",2,3),FALSE()),IFERROR(VLOOKUP(LEFT($N904,1),LCTT_MAP!$A$7:$C$66,IF($M904="THU",2,3),FALSE()),IF($M904="THU","06","07")))))))</f>
        <v/>
      </c>
      <c r="P904" s="117">
        <f>P903+IF(AND($H904&lt;&gt;"",OR(LEFT($F904,LEN(SC_TK))=SC_TK,LEFT($G904,LEN(SC_TK))=SC_TK)),1,0)</f>
        <v/>
      </c>
    </row>
    <row r="905" ht="15" customHeight="1" s="78">
      <c r="A905" s="95">
        <f>IF($H905="","",ROW()-6)</f>
        <v/>
      </c>
      <c r="B905" s="114" t="n"/>
      <c r="C905" s="102" t="n"/>
      <c r="D905" s="114" t="n"/>
      <c r="E905" s="103" t="n"/>
      <c r="F905" s="102" t="n"/>
      <c r="G905" s="102" t="n"/>
      <c r="H905" s="115" t="n"/>
      <c r="I905" s="102" t="n"/>
      <c r="J905" s="102" t="n"/>
      <c r="K905" s="103" t="n"/>
      <c r="L905" s="116">
        <f>IF($H905="","",TRIM(IF(COUNTIF(DMTK!$A$7:$A$250,$F905)=0,"TK Nợ sai! ","")&amp;IF(COUNTIF(DMTK!$A$7:$A$250,$G905)=0,"TK Có sai! ","")&amp;IF(N($H905)&lt;=0,"Tiền phải &gt; 0! ","")&amp;IF($B905="","Thiếu ngày! ","")&amp;IF(AND(OR(LEFT($F905,3)="131",LEFT($G905,3)="131",LEFT($F905,3)="331",LEFT($G905,3)="331"),$I905=""),"Thiếu Mã ĐT! ","")&amp;IF(AND($I905&lt;&gt;"",COUNTIF(DM_DT!$A$7:$A$306,$I905)=0),"Mã ĐT chưa khai báo! ","")))</f>
        <v/>
      </c>
      <c r="M905" s="117">
        <f>IF($H905="","",IF(AND(OR(LEFT($F905,3)="111",LEFT($F905,3)="112",LEFT($F905,3)="113"),OR(LEFT($G905,3)="111",LEFT($G905,3)="112",LEFT($G905,3)="113")),"NB",IF(OR(LEFT($F905,3)="111",LEFT($F905,3)="112",LEFT($F905,3)="113"),"THU",IF(OR(LEFT($G905,3)="111",LEFT($G905,3)="112",LEFT($G905,3)="113"),"CHI",""))))</f>
        <v/>
      </c>
      <c r="N905" s="117">
        <f>IF($M905="THU",$G905,IF($M905="CHI",$F905,""))</f>
        <v/>
      </c>
      <c r="O905" s="117">
        <f>IF(OR($M905="",$M905="NB"),"",IF($J905&lt;&gt;"",TEXT($J905,"00"),IFERROR(VLOOKUP(LEFT($N905,4),LCTT_MAP!$A$7:$C$66,IF($M905="THU",2,3),FALSE()),IFERROR(VLOOKUP(LEFT($N905,3),LCTT_MAP!$A$7:$C$66,IF($M905="THU",2,3),FALSE()),IFERROR(VLOOKUP(LEFT($N905,2),LCTT_MAP!$A$7:$C$66,IF($M905="THU",2,3),FALSE()),IFERROR(VLOOKUP(LEFT($N905,1),LCTT_MAP!$A$7:$C$66,IF($M905="THU",2,3),FALSE()),IF($M905="THU","06","07")))))))</f>
        <v/>
      </c>
      <c r="P905" s="117">
        <f>P904+IF(AND($H905&lt;&gt;"",OR(LEFT($F905,LEN(SC_TK))=SC_TK,LEFT($G905,LEN(SC_TK))=SC_TK)),1,0)</f>
        <v/>
      </c>
    </row>
    <row r="906" ht="15" customHeight="1" s="78">
      <c r="A906" s="95">
        <f>IF($H906="","",ROW()-6)</f>
        <v/>
      </c>
      <c r="B906" s="114" t="n"/>
      <c r="C906" s="102" t="n"/>
      <c r="D906" s="114" t="n"/>
      <c r="E906" s="103" t="n"/>
      <c r="F906" s="102" t="n"/>
      <c r="G906" s="102" t="n"/>
      <c r="H906" s="115" t="n"/>
      <c r="I906" s="102" t="n"/>
      <c r="J906" s="102" t="n"/>
      <c r="K906" s="103" t="n"/>
      <c r="L906" s="116">
        <f>IF($H906="","",TRIM(IF(COUNTIF(DMTK!$A$7:$A$250,$F906)=0,"TK Nợ sai! ","")&amp;IF(COUNTIF(DMTK!$A$7:$A$250,$G906)=0,"TK Có sai! ","")&amp;IF(N($H906)&lt;=0,"Tiền phải &gt; 0! ","")&amp;IF($B906="","Thiếu ngày! ","")&amp;IF(AND(OR(LEFT($F906,3)="131",LEFT($G906,3)="131",LEFT($F906,3)="331",LEFT($G906,3)="331"),$I906=""),"Thiếu Mã ĐT! ","")&amp;IF(AND($I906&lt;&gt;"",COUNTIF(DM_DT!$A$7:$A$306,$I906)=0),"Mã ĐT chưa khai báo! ","")))</f>
        <v/>
      </c>
      <c r="M906" s="117">
        <f>IF($H906="","",IF(AND(OR(LEFT($F906,3)="111",LEFT($F906,3)="112",LEFT($F906,3)="113"),OR(LEFT($G906,3)="111",LEFT($G906,3)="112",LEFT($G906,3)="113")),"NB",IF(OR(LEFT($F906,3)="111",LEFT($F906,3)="112",LEFT($F906,3)="113"),"THU",IF(OR(LEFT($G906,3)="111",LEFT($G906,3)="112",LEFT($G906,3)="113"),"CHI",""))))</f>
        <v/>
      </c>
      <c r="N906" s="117">
        <f>IF($M906="THU",$G906,IF($M906="CHI",$F906,""))</f>
        <v/>
      </c>
      <c r="O906" s="117">
        <f>IF(OR($M906="",$M906="NB"),"",IF($J906&lt;&gt;"",TEXT($J906,"00"),IFERROR(VLOOKUP(LEFT($N906,4),LCTT_MAP!$A$7:$C$66,IF($M906="THU",2,3),FALSE()),IFERROR(VLOOKUP(LEFT($N906,3),LCTT_MAP!$A$7:$C$66,IF($M906="THU",2,3),FALSE()),IFERROR(VLOOKUP(LEFT($N906,2),LCTT_MAP!$A$7:$C$66,IF($M906="THU",2,3),FALSE()),IFERROR(VLOOKUP(LEFT($N906,1),LCTT_MAP!$A$7:$C$66,IF($M906="THU",2,3),FALSE()),IF($M906="THU","06","07")))))))</f>
        <v/>
      </c>
      <c r="P906" s="117">
        <f>P905+IF(AND($H906&lt;&gt;"",OR(LEFT($F906,LEN(SC_TK))=SC_TK,LEFT($G906,LEN(SC_TK))=SC_TK)),1,0)</f>
        <v/>
      </c>
    </row>
    <row r="907" ht="15" customHeight="1" s="78">
      <c r="A907" s="95">
        <f>IF($H907="","",ROW()-6)</f>
        <v/>
      </c>
      <c r="B907" s="114" t="n"/>
      <c r="C907" s="102" t="n"/>
      <c r="D907" s="114" t="n"/>
      <c r="E907" s="103" t="n"/>
      <c r="F907" s="102" t="n"/>
      <c r="G907" s="102" t="n"/>
      <c r="H907" s="115" t="n"/>
      <c r="I907" s="102" t="n"/>
      <c r="J907" s="102" t="n"/>
      <c r="K907" s="103" t="n"/>
      <c r="L907" s="116">
        <f>IF($H907="","",TRIM(IF(COUNTIF(DMTK!$A$7:$A$250,$F907)=0,"TK Nợ sai! ","")&amp;IF(COUNTIF(DMTK!$A$7:$A$250,$G907)=0,"TK Có sai! ","")&amp;IF(N($H907)&lt;=0,"Tiền phải &gt; 0! ","")&amp;IF($B907="","Thiếu ngày! ","")&amp;IF(AND(OR(LEFT($F907,3)="131",LEFT($G907,3)="131",LEFT($F907,3)="331",LEFT($G907,3)="331"),$I907=""),"Thiếu Mã ĐT! ","")&amp;IF(AND($I907&lt;&gt;"",COUNTIF(DM_DT!$A$7:$A$306,$I907)=0),"Mã ĐT chưa khai báo! ","")))</f>
        <v/>
      </c>
      <c r="M907" s="117">
        <f>IF($H907="","",IF(AND(OR(LEFT($F907,3)="111",LEFT($F907,3)="112",LEFT($F907,3)="113"),OR(LEFT($G907,3)="111",LEFT($G907,3)="112",LEFT($G907,3)="113")),"NB",IF(OR(LEFT($F907,3)="111",LEFT($F907,3)="112",LEFT($F907,3)="113"),"THU",IF(OR(LEFT($G907,3)="111",LEFT($G907,3)="112",LEFT($G907,3)="113"),"CHI",""))))</f>
        <v/>
      </c>
      <c r="N907" s="117">
        <f>IF($M907="THU",$G907,IF($M907="CHI",$F907,""))</f>
        <v/>
      </c>
      <c r="O907" s="117">
        <f>IF(OR($M907="",$M907="NB"),"",IF($J907&lt;&gt;"",TEXT($J907,"00"),IFERROR(VLOOKUP(LEFT($N907,4),LCTT_MAP!$A$7:$C$66,IF($M907="THU",2,3),FALSE()),IFERROR(VLOOKUP(LEFT($N907,3),LCTT_MAP!$A$7:$C$66,IF($M907="THU",2,3),FALSE()),IFERROR(VLOOKUP(LEFT($N907,2),LCTT_MAP!$A$7:$C$66,IF($M907="THU",2,3),FALSE()),IFERROR(VLOOKUP(LEFT($N907,1),LCTT_MAP!$A$7:$C$66,IF($M907="THU",2,3),FALSE()),IF($M907="THU","06","07")))))))</f>
        <v/>
      </c>
      <c r="P907" s="117">
        <f>P906+IF(AND($H907&lt;&gt;"",OR(LEFT($F907,LEN(SC_TK))=SC_TK,LEFT($G907,LEN(SC_TK))=SC_TK)),1,0)</f>
        <v/>
      </c>
    </row>
    <row r="908" ht="15" customHeight="1" s="78">
      <c r="A908" s="95">
        <f>IF($H908="","",ROW()-6)</f>
        <v/>
      </c>
      <c r="B908" s="114" t="n"/>
      <c r="C908" s="102" t="n"/>
      <c r="D908" s="114" t="n"/>
      <c r="E908" s="103" t="n"/>
      <c r="F908" s="102" t="n"/>
      <c r="G908" s="102" t="n"/>
      <c r="H908" s="115" t="n"/>
      <c r="I908" s="102" t="n"/>
      <c r="J908" s="102" t="n"/>
      <c r="K908" s="103" t="n"/>
      <c r="L908" s="116">
        <f>IF($H908="","",TRIM(IF(COUNTIF(DMTK!$A$7:$A$250,$F908)=0,"TK Nợ sai! ","")&amp;IF(COUNTIF(DMTK!$A$7:$A$250,$G908)=0,"TK Có sai! ","")&amp;IF(N($H908)&lt;=0,"Tiền phải &gt; 0! ","")&amp;IF($B908="","Thiếu ngày! ","")&amp;IF(AND(OR(LEFT($F908,3)="131",LEFT($G908,3)="131",LEFT($F908,3)="331",LEFT($G908,3)="331"),$I908=""),"Thiếu Mã ĐT! ","")&amp;IF(AND($I908&lt;&gt;"",COUNTIF(DM_DT!$A$7:$A$306,$I908)=0),"Mã ĐT chưa khai báo! ","")))</f>
        <v/>
      </c>
      <c r="M908" s="117">
        <f>IF($H908="","",IF(AND(OR(LEFT($F908,3)="111",LEFT($F908,3)="112",LEFT($F908,3)="113"),OR(LEFT($G908,3)="111",LEFT($G908,3)="112",LEFT($G908,3)="113")),"NB",IF(OR(LEFT($F908,3)="111",LEFT($F908,3)="112",LEFT($F908,3)="113"),"THU",IF(OR(LEFT($G908,3)="111",LEFT($G908,3)="112",LEFT($G908,3)="113"),"CHI",""))))</f>
        <v/>
      </c>
      <c r="N908" s="117">
        <f>IF($M908="THU",$G908,IF($M908="CHI",$F908,""))</f>
        <v/>
      </c>
      <c r="O908" s="117">
        <f>IF(OR($M908="",$M908="NB"),"",IF($J908&lt;&gt;"",TEXT($J908,"00"),IFERROR(VLOOKUP(LEFT($N908,4),LCTT_MAP!$A$7:$C$66,IF($M908="THU",2,3),FALSE()),IFERROR(VLOOKUP(LEFT($N908,3),LCTT_MAP!$A$7:$C$66,IF($M908="THU",2,3),FALSE()),IFERROR(VLOOKUP(LEFT($N908,2),LCTT_MAP!$A$7:$C$66,IF($M908="THU",2,3),FALSE()),IFERROR(VLOOKUP(LEFT($N908,1),LCTT_MAP!$A$7:$C$66,IF($M908="THU",2,3),FALSE()),IF($M908="THU","06","07")))))))</f>
        <v/>
      </c>
      <c r="P908" s="117">
        <f>P907+IF(AND($H908&lt;&gt;"",OR(LEFT($F908,LEN(SC_TK))=SC_TK,LEFT($G908,LEN(SC_TK))=SC_TK)),1,0)</f>
        <v/>
      </c>
    </row>
    <row r="909" ht="15" customHeight="1" s="78">
      <c r="A909" s="95">
        <f>IF($H909="","",ROW()-6)</f>
        <v/>
      </c>
      <c r="B909" s="114" t="n"/>
      <c r="C909" s="102" t="n"/>
      <c r="D909" s="114" t="n"/>
      <c r="E909" s="103" t="n"/>
      <c r="F909" s="102" t="n"/>
      <c r="G909" s="102" t="n"/>
      <c r="H909" s="115" t="n"/>
      <c r="I909" s="102" t="n"/>
      <c r="J909" s="102" t="n"/>
      <c r="K909" s="103" t="n"/>
      <c r="L909" s="116">
        <f>IF($H909="","",TRIM(IF(COUNTIF(DMTK!$A$7:$A$250,$F909)=0,"TK Nợ sai! ","")&amp;IF(COUNTIF(DMTK!$A$7:$A$250,$G909)=0,"TK Có sai! ","")&amp;IF(N($H909)&lt;=0,"Tiền phải &gt; 0! ","")&amp;IF($B909="","Thiếu ngày! ","")&amp;IF(AND(OR(LEFT($F909,3)="131",LEFT($G909,3)="131",LEFT($F909,3)="331",LEFT($G909,3)="331"),$I909=""),"Thiếu Mã ĐT! ","")&amp;IF(AND($I909&lt;&gt;"",COUNTIF(DM_DT!$A$7:$A$306,$I909)=0),"Mã ĐT chưa khai báo! ","")))</f>
        <v/>
      </c>
      <c r="M909" s="117">
        <f>IF($H909="","",IF(AND(OR(LEFT($F909,3)="111",LEFT($F909,3)="112",LEFT($F909,3)="113"),OR(LEFT($G909,3)="111",LEFT($G909,3)="112",LEFT($G909,3)="113")),"NB",IF(OR(LEFT($F909,3)="111",LEFT($F909,3)="112",LEFT($F909,3)="113"),"THU",IF(OR(LEFT($G909,3)="111",LEFT($G909,3)="112",LEFT($G909,3)="113"),"CHI",""))))</f>
        <v/>
      </c>
      <c r="N909" s="117">
        <f>IF($M909="THU",$G909,IF($M909="CHI",$F909,""))</f>
        <v/>
      </c>
      <c r="O909" s="117">
        <f>IF(OR($M909="",$M909="NB"),"",IF($J909&lt;&gt;"",TEXT($J909,"00"),IFERROR(VLOOKUP(LEFT($N909,4),LCTT_MAP!$A$7:$C$66,IF($M909="THU",2,3),FALSE()),IFERROR(VLOOKUP(LEFT($N909,3),LCTT_MAP!$A$7:$C$66,IF($M909="THU",2,3),FALSE()),IFERROR(VLOOKUP(LEFT($N909,2),LCTT_MAP!$A$7:$C$66,IF($M909="THU",2,3),FALSE()),IFERROR(VLOOKUP(LEFT($N909,1),LCTT_MAP!$A$7:$C$66,IF($M909="THU",2,3),FALSE()),IF($M909="THU","06","07")))))))</f>
        <v/>
      </c>
      <c r="P909" s="117">
        <f>P908+IF(AND($H909&lt;&gt;"",OR(LEFT($F909,LEN(SC_TK))=SC_TK,LEFT($G909,LEN(SC_TK))=SC_TK)),1,0)</f>
        <v/>
      </c>
    </row>
    <row r="910" ht="15" customHeight="1" s="78">
      <c r="A910" s="95">
        <f>IF($H910="","",ROW()-6)</f>
        <v/>
      </c>
      <c r="B910" s="114" t="n"/>
      <c r="C910" s="102" t="n"/>
      <c r="D910" s="114" t="n"/>
      <c r="E910" s="103" t="n"/>
      <c r="F910" s="102" t="n"/>
      <c r="G910" s="102" t="n"/>
      <c r="H910" s="115" t="n"/>
      <c r="I910" s="102" t="n"/>
      <c r="J910" s="102" t="n"/>
      <c r="K910" s="103" t="n"/>
      <c r="L910" s="116">
        <f>IF($H910="","",TRIM(IF(COUNTIF(DMTK!$A$7:$A$250,$F910)=0,"TK Nợ sai! ","")&amp;IF(COUNTIF(DMTK!$A$7:$A$250,$G910)=0,"TK Có sai! ","")&amp;IF(N($H910)&lt;=0,"Tiền phải &gt; 0! ","")&amp;IF($B910="","Thiếu ngày! ","")&amp;IF(AND(OR(LEFT($F910,3)="131",LEFT($G910,3)="131",LEFT($F910,3)="331",LEFT($G910,3)="331"),$I910=""),"Thiếu Mã ĐT! ","")&amp;IF(AND($I910&lt;&gt;"",COUNTIF(DM_DT!$A$7:$A$306,$I910)=0),"Mã ĐT chưa khai báo! ","")))</f>
        <v/>
      </c>
      <c r="M910" s="117">
        <f>IF($H910="","",IF(AND(OR(LEFT($F910,3)="111",LEFT($F910,3)="112",LEFT($F910,3)="113"),OR(LEFT($G910,3)="111",LEFT($G910,3)="112",LEFT($G910,3)="113")),"NB",IF(OR(LEFT($F910,3)="111",LEFT($F910,3)="112",LEFT($F910,3)="113"),"THU",IF(OR(LEFT($G910,3)="111",LEFT($G910,3)="112",LEFT($G910,3)="113"),"CHI",""))))</f>
        <v/>
      </c>
      <c r="N910" s="117">
        <f>IF($M910="THU",$G910,IF($M910="CHI",$F910,""))</f>
        <v/>
      </c>
      <c r="O910" s="117">
        <f>IF(OR($M910="",$M910="NB"),"",IF($J910&lt;&gt;"",TEXT($J910,"00"),IFERROR(VLOOKUP(LEFT($N910,4),LCTT_MAP!$A$7:$C$66,IF($M910="THU",2,3),FALSE()),IFERROR(VLOOKUP(LEFT($N910,3),LCTT_MAP!$A$7:$C$66,IF($M910="THU",2,3),FALSE()),IFERROR(VLOOKUP(LEFT($N910,2),LCTT_MAP!$A$7:$C$66,IF($M910="THU",2,3),FALSE()),IFERROR(VLOOKUP(LEFT($N910,1),LCTT_MAP!$A$7:$C$66,IF($M910="THU",2,3),FALSE()),IF($M910="THU","06","07")))))))</f>
        <v/>
      </c>
      <c r="P910" s="117">
        <f>P909+IF(AND($H910&lt;&gt;"",OR(LEFT($F910,LEN(SC_TK))=SC_TK,LEFT($G910,LEN(SC_TK))=SC_TK)),1,0)</f>
        <v/>
      </c>
    </row>
    <row r="911" ht="15" customHeight="1" s="78">
      <c r="A911" s="95">
        <f>IF($H911="","",ROW()-6)</f>
        <v/>
      </c>
      <c r="B911" s="114" t="n"/>
      <c r="C911" s="102" t="n"/>
      <c r="D911" s="114" t="n"/>
      <c r="E911" s="103" t="n"/>
      <c r="F911" s="102" t="n"/>
      <c r="G911" s="102" t="n"/>
      <c r="H911" s="115" t="n"/>
      <c r="I911" s="102" t="n"/>
      <c r="J911" s="102" t="n"/>
      <c r="K911" s="103" t="n"/>
      <c r="L911" s="116">
        <f>IF($H911="","",TRIM(IF(COUNTIF(DMTK!$A$7:$A$250,$F911)=0,"TK Nợ sai! ","")&amp;IF(COUNTIF(DMTK!$A$7:$A$250,$G911)=0,"TK Có sai! ","")&amp;IF(N($H911)&lt;=0,"Tiền phải &gt; 0! ","")&amp;IF($B911="","Thiếu ngày! ","")&amp;IF(AND(OR(LEFT($F911,3)="131",LEFT($G911,3)="131",LEFT($F911,3)="331",LEFT($G911,3)="331"),$I911=""),"Thiếu Mã ĐT! ","")&amp;IF(AND($I911&lt;&gt;"",COUNTIF(DM_DT!$A$7:$A$306,$I911)=0),"Mã ĐT chưa khai báo! ","")))</f>
        <v/>
      </c>
      <c r="M911" s="117">
        <f>IF($H911="","",IF(AND(OR(LEFT($F911,3)="111",LEFT($F911,3)="112",LEFT($F911,3)="113"),OR(LEFT($G911,3)="111",LEFT($G911,3)="112",LEFT($G911,3)="113")),"NB",IF(OR(LEFT($F911,3)="111",LEFT($F911,3)="112",LEFT($F911,3)="113"),"THU",IF(OR(LEFT($G911,3)="111",LEFT($G911,3)="112",LEFT($G911,3)="113"),"CHI",""))))</f>
        <v/>
      </c>
      <c r="N911" s="117">
        <f>IF($M911="THU",$G911,IF($M911="CHI",$F911,""))</f>
        <v/>
      </c>
      <c r="O911" s="117">
        <f>IF(OR($M911="",$M911="NB"),"",IF($J911&lt;&gt;"",TEXT($J911,"00"),IFERROR(VLOOKUP(LEFT($N911,4),LCTT_MAP!$A$7:$C$66,IF($M911="THU",2,3),FALSE()),IFERROR(VLOOKUP(LEFT($N911,3),LCTT_MAP!$A$7:$C$66,IF($M911="THU",2,3),FALSE()),IFERROR(VLOOKUP(LEFT($N911,2),LCTT_MAP!$A$7:$C$66,IF($M911="THU",2,3),FALSE()),IFERROR(VLOOKUP(LEFT($N911,1),LCTT_MAP!$A$7:$C$66,IF($M911="THU",2,3),FALSE()),IF($M911="THU","06","07")))))))</f>
        <v/>
      </c>
      <c r="P911" s="117">
        <f>P910+IF(AND($H911&lt;&gt;"",OR(LEFT($F911,LEN(SC_TK))=SC_TK,LEFT($G911,LEN(SC_TK))=SC_TK)),1,0)</f>
        <v/>
      </c>
    </row>
    <row r="912" ht="15" customHeight="1" s="78">
      <c r="A912" s="95">
        <f>IF($H912="","",ROW()-6)</f>
        <v/>
      </c>
      <c r="B912" s="114" t="n"/>
      <c r="C912" s="102" t="n"/>
      <c r="D912" s="114" t="n"/>
      <c r="E912" s="103" t="n"/>
      <c r="F912" s="102" t="n"/>
      <c r="G912" s="102" t="n"/>
      <c r="H912" s="115" t="n"/>
      <c r="I912" s="102" t="n"/>
      <c r="J912" s="102" t="n"/>
      <c r="K912" s="103" t="n"/>
      <c r="L912" s="116">
        <f>IF($H912="","",TRIM(IF(COUNTIF(DMTK!$A$7:$A$250,$F912)=0,"TK Nợ sai! ","")&amp;IF(COUNTIF(DMTK!$A$7:$A$250,$G912)=0,"TK Có sai! ","")&amp;IF(N($H912)&lt;=0,"Tiền phải &gt; 0! ","")&amp;IF($B912="","Thiếu ngày! ","")&amp;IF(AND(OR(LEFT($F912,3)="131",LEFT($G912,3)="131",LEFT($F912,3)="331",LEFT($G912,3)="331"),$I912=""),"Thiếu Mã ĐT! ","")&amp;IF(AND($I912&lt;&gt;"",COUNTIF(DM_DT!$A$7:$A$306,$I912)=0),"Mã ĐT chưa khai báo! ","")))</f>
        <v/>
      </c>
      <c r="M912" s="117">
        <f>IF($H912="","",IF(AND(OR(LEFT($F912,3)="111",LEFT($F912,3)="112",LEFT($F912,3)="113"),OR(LEFT($G912,3)="111",LEFT($G912,3)="112",LEFT($G912,3)="113")),"NB",IF(OR(LEFT($F912,3)="111",LEFT($F912,3)="112",LEFT($F912,3)="113"),"THU",IF(OR(LEFT($G912,3)="111",LEFT($G912,3)="112",LEFT($G912,3)="113"),"CHI",""))))</f>
        <v/>
      </c>
      <c r="N912" s="117">
        <f>IF($M912="THU",$G912,IF($M912="CHI",$F912,""))</f>
        <v/>
      </c>
      <c r="O912" s="117">
        <f>IF(OR($M912="",$M912="NB"),"",IF($J912&lt;&gt;"",TEXT($J912,"00"),IFERROR(VLOOKUP(LEFT($N912,4),LCTT_MAP!$A$7:$C$66,IF($M912="THU",2,3),FALSE()),IFERROR(VLOOKUP(LEFT($N912,3),LCTT_MAP!$A$7:$C$66,IF($M912="THU",2,3),FALSE()),IFERROR(VLOOKUP(LEFT($N912,2),LCTT_MAP!$A$7:$C$66,IF($M912="THU",2,3),FALSE()),IFERROR(VLOOKUP(LEFT($N912,1),LCTT_MAP!$A$7:$C$66,IF($M912="THU",2,3),FALSE()),IF($M912="THU","06","07")))))))</f>
        <v/>
      </c>
      <c r="P912" s="117">
        <f>P911+IF(AND($H912&lt;&gt;"",OR(LEFT($F912,LEN(SC_TK))=SC_TK,LEFT($G912,LEN(SC_TK))=SC_TK)),1,0)</f>
        <v/>
      </c>
    </row>
    <row r="913" ht="15" customHeight="1" s="78">
      <c r="A913" s="95">
        <f>IF($H913="","",ROW()-6)</f>
        <v/>
      </c>
      <c r="B913" s="114" t="n"/>
      <c r="C913" s="102" t="n"/>
      <c r="D913" s="114" t="n"/>
      <c r="E913" s="103" t="n"/>
      <c r="F913" s="102" t="n"/>
      <c r="G913" s="102" t="n"/>
      <c r="H913" s="115" t="n"/>
      <c r="I913" s="102" t="n"/>
      <c r="J913" s="102" t="n"/>
      <c r="K913" s="103" t="n"/>
      <c r="L913" s="116">
        <f>IF($H913="","",TRIM(IF(COUNTIF(DMTK!$A$7:$A$250,$F913)=0,"TK Nợ sai! ","")&amp;IF(COUNTIF(DMTK!$A$7:$A$250,$G913)=0,"TK Có sai! ","")&amp;IF(N($H913)&lt;=0,"Tiền phải &gt; 0! ","")&amp;IF($B913="","Thiếu ngày! ","")&amp;IF(AND(OR(LEFT($F913,3)="131",LEFT($G913,3)="131",LEFT($F913,3)="331",LEFT($G913,3)="331"),$I913=""),"Thiếu Mã ĐT! ","")&amp;IF(AND($I913&lt;&gt;"",COUNTIF(DM_DT!$A$7:$A$306,$I913)=0),"Mã ĐT chưa khai báo! ","")))</f>
        <v/>
      </c>
      <c r="M913" s="117">
        <f>IF($H913="","",IF(AND(OR(LEFT($F913,3)="111",LEFT($F913,3)="112",LEFT($F913,3)="113"),OR(LEFT($G913,3)="111",LEFT($G913,3)="112",LEFT($G913,3)="113")),"NB",IF(OR(LEFT($F913,3)="111",LEFT($F913,3)="112",LEFT($F913,3)="113"),"THU",IF(OR(LEFT($G913,3)="111",LEFT($G913,3)="112",LEFT($G913,3)="113"),"CHI",""))))</f>
        <v/>
      </c>
      <c r="N913" s="117">
        <f>IF($M913="THU",$G913,IF($M913="CHI",$F913,""))</f>
        <v/>
      </c>
      <c r="O913" s="117">
        <f>IF(OR($M913="",$M913="NB"),"",IF($J913&lt;&gt;"",TEXT($J913,"00"),IFERROR(VLOOKUP(LEFT($N913,4),LCTT_MAP!$A$7:$C$66,IF($M913="THU",2,3),FALSE()),IFERROR(VLOOKUP(LEFT($N913,3),LCTT_MAP!$A$7:$C$66,IF($M913="THU",2,3),FALSE()),IFERROR(VLOOKUP(LEFT($N913,2),LCTT_MAP!$A$7:$C$66,IF($M913="THU",2,3),FALSE()),IFERROR(VLOOKUP(LEFT($N913,1),LCTT_MAP!$A$7:$C$66,IF($M913="THU",2,3),FALSE()),IF($M913="THU","06","07")))))))</f>
        <v/>
      </c>
      <c r="P913" s="117">
        <f>P912+IF(AND($H913&lt;&gt;"",OR(LEFT($F913,LEN(SC_TK))=SC_TK,LEFT($G913,LEN(SC_TK))=SC_TK)),1,0)</f>
        <v/>
      </c>
    </row>
    <row r="914" ht="15" customHeight="1" s="78">
      <c r="A914" s="95">
        <f>IF($H914="","",ROW()-6)</f>
        <v/>
      </c>
      <c r="B914" s="114" t="n"/>
      <c r="C914" s="102" t="n"/>
      <c r="D914" s="114" t="n"/>
      <c r="E914" s="103" t="n"/>
      <c r="F914" s="102" t="n"/>
      <c r="G914" s="102" t="n"/>
      <c r="H914" s="115" t="n"/>
      <c r="I914" s="102" t="n"/>
      <c r="J914" s="102" t="n"/>
      <c r="K914" s="103" t="n"/>
      <c r="L914" s="116">
        <f>IF($H914="","",TRIM(IF(COUNTIF(DMTK!$A$7:$A$250,$F914)=0,"TK Nợ sai! ","")&amp;IF(COUNTIF(DMTK!$A$7:$A$250,$G914)=0,"TK Có sai! ","")&amp;IF(N($H914)&lt;=0,"Tiền phải &gt; 0! ","")&amp;IF($B914="","Thiếu ngày! ","")&amp;IF(AND(OR(LEFT($F914,3)="131",LEFT($G914,3)="131",LEFT($F914,3)="331",LEFT($G914,3)="331"),$I914=""),"Thiếu Mã ĐT! ","")&amp;IF(AND($I914&lt;&gt;"",COUNTIF(DM_DT!$A$7:$A$306,$I914)=0),"Mã ĐT chưa khai báo! ","")))</f>
        <v/>
      </c>
      <c r="M914" s="117">
        <f>IF($H914="","",IF(AND(OR(LEFT($F914,3)="111",LEFT($F914,3)="112",LEFT($F914,3)="113"),OR(LEFT($G914,3)="111",LEFT($G914,3)="112",LEFT($G914,3)="113")),"NB",IF(OR(LEFT($F914,3)="111",LEFT($F914,3)="112",LEFT($F914,3)="113"),"THU",IF(OR(LEFT($G914,3)="111",LEFT($G914,3)="112",LEFT($G914,3)="113"),"CHI",""))))</f>
        <v/>
      </c>
      <c r="N914" s="117">
        <f>IF($M914="THU",$G914,IF($M914="CHI",$F914,""))</f>
        <v/>
      </c>
      <c r="O914" s="117">
        <f>IF(OR($M914="",$M914="NB"),"",IF($J914&lt;&gt;"",TEXT($J914,"00"),IFERROR(VLOOKUP(LEFT($N914,4),LCTT_MAP!$A$7:$C$66,IF($M914="THU",2,3),FALSE()),IFERROR(VLOOKUP(LEFT($N914,3),LCTT_MAP!$A$7:$C$66,IF($M914="THU",2,3),FALSE()),IFERROR(VLOOKUP(LEFT($N914,2),LCTT_MAP!$A$7:$C$66,IF($M914="THU",2,3),FALSE()),IFERROR(VLOOKUP(LEFT($N914,1),LCTT_MAP!$A$7:$C$66,IF($M914="THU",2,3),FALSE()),IF($M914="THU","06","07")))))))</f>
        <v/>
      </c>
      <c r="P914" s="117">
        <f>P913+IF(AND($H914&lt;&gt;"",OR(LEFT($F914,LEN(SC_TK))=SC_TK,LEFT($G914,LEN(SC_TK))=SC_TK)),1,0)</f>
        <v/>
      </c>
    </row>
    <row r="915" ht="15" customHeight="1" s="78">
      <c r="A915" s="95">
        <f>IF($H915="","",ROW()-6)</f>
        <v/>
      </c>
      <c r="B915" s="114" t="n"/>
      <c r="C915" s="102" t="n"/>
      <c r="D915" s="114" t="n"/>
      <c r="E915" s="103" t="n"/>
      <c r="F915" s="102" t="n"/>
      <c r="G915" s="102" t="n"/>
      <c r="H915" s="115" t="n"/>
      <c r="I915" s="102" t="n"/>
      <c r="J915" s="102" t="n"/>
      <c r="K915" s="103" t="n"/>
      <c r="L915" s="116">
        <f>IF($H915="","",TRIM(IF(COUNTIF(DMTK!$A$7:$A$250,$F915)=0,"TK Nợ sai! ","")&amp;IF(COUNTIF(DMTK!$A$7:$A$250,$G915)=0,"TK Có sai! ","")&amp;IF(N($H915)&lt;=0,"Tiền phải &gt; 0! ","")&amp;IF($B915="","Thiếu ngày! ","")&amp;IF(AND(OR(LEFT($F915,3)="131",LEFT($G915,3)="131",LEFT($F915,3)="331",LEFT($G915,3)="331"),$I915=""),"Thiếu Mã ĐT! ","")&amp;IF(AND($I915&lt;&gt;"",COUNTIF(DM_DT!$A$7:$A$306,$I915)=0),"Mã ĐT chưa khai báo! ","")))</f>
        <v/>
      </c>
      <c r="M915" s="117">
        <f>IF($H915="","",IF(AND(OR(LEFT($F915,3)="111",LEFT($F915,3)="112",LEFT($F915,3)="113"),OR(LEFT($G915,3)="111",LEFT($G915,3)="112",LEFT($G915,3)="113")),"NB",IF(OR(LEFT($F915,3)="111",LEFT($F915,3)="112",LEFT($F915,3)="113"),"THU",IF(OR(LEFT($G915,3)="111",LEFT($G915,3)="112",LEFT($G915,3)="113"),"CHI",""))))</f>
        <v/>
      </c>
      <c r="N915" s="117">
        <f>IF($M915="THU",$G915,IF($M915="CHI",$F915,""))</f>
        <v/>
      </c>
      <c r="O915" s="117">
        <f>IF(OR($M915="",$M915="NB"),"",IF($J915&lt;&gt;"",TEXT($J915,"00"),IFERROR(VLOOKUP(LEFT($N915,4),LCTT_MAP!$A$7:$C$66,IF($M915="THU",2,3),FALSE()),IFERROR(VLOOKUP(LEFT($N915,3),LCTT_MAP!$A$7:$C$66,IF($M915="THU",2,3),FALSE()),IFERROR(VLOOKUP(LEFT($N915,2),LCTT_MAP!$A$7:$C$66,IF($M915="THU",2,3),FALSE()),IFERROR(VLOOKUP(LEFT($N915,1),LCTT_MAP!$A$7:$C$66,IF($M915="THU",2,3),FALSE()),IF($M915="THU","06","07")))))))</f>
        <v/>
      </c>
      <c r="P915" s="117">
        <f>P914+IF(AND($H915&lt;&gt;"",OR(LEFT($F915,LEN(SC_TK))=SC_TK,LEFT($G915,LEN(SC_TK))=SC_TK)),1,0)</f>
        <v/>
      </c>
    </row>
    <row r="916" ht="15" customHeight="1" s="78">
      <c r="A916" s="95">
        <f>IF($H916="","",ROW()-6)</f>
        <v/>
      </c>
      <c r="B916" s="114" t="n"/>
      <c r="C916" s="102" t="n"/>
      <c r="D916" s="114" t="n"/>
      <c r="E916" s="103" t="n"/>
      <c r="F916" s="102" t="n"/>
      <c r="G916" s="102" t="n"/>
      <c r="H916" s="115" t="n"/>
      <c r="I916" s="102" t="n"/>
      <c r="J916" s="102" t="n"/>
      <c r="K916" s="103" t="n"/>
      <c r="L916" s="116">
        <f>IF($H916="","",TRIM(IF(COUNTIF(DMTK!$A$7:$A$250,$F916)=0,"TK Nợ sai! ","")&amp;IF(COUNTIF(DMTK!$A$7:$A$250,$G916)=0,"TK Có sai! ","")&amp;IF(N($H916)&lt;=0,"Tiền phải &gt; 0! ","")&amp;IF($B916="","Thiếu ngày! ","")&amp;IF(AND(OR(LEFT($F916,3)="131",LEFT($G916,3)="131",LEFT($F916,3)="331",LEFT($G916,3)="331"),$I916=""),"Thiếu Mã ĐT! ","")&amp;IF(AND($I916&lt;&gt;"",COUNTIF(DM_DT!$A$7:$A$306,$I916)=0),"Mã ĐT chưa khai báo! ","")))</f>
        <v/>
      </c>
      <c r="M916" s="117">
        <f>IF($H916="","",IF(AND(OR(LEFT($F916,3)="111",LEFT($F916,3)="112",LEFT($F916,3)="113"),OR(LEFT($G916,3)="111",LEFT($G916,3)="112",LEFT($G916,3)="113")),"NB",IF(OR(LEFT($F916,3)="111",LEFT($F916,3)="112",LEFT($F916,3)="113"),"THU",IF(OR(LEFT($G916,3)="111",LEFT($G916,3)="112",LEFT($G916,3)="113"),"CHI",""))))</f>
        <v/>
      </c>
      <c r="N916" s="117">
        <f>IF($M916="THU",$G916,IF($M916="CHI",$F916,""))</f>
        <v/>
      </c>
      <c r="O916" s="117">
        <f>IF(OR($M916="",$M916="NB"),"",IF($J916&lt;&gt;"",TEXT($J916,"00"),IFERROR(VLOOKUP(LEFT($N916,4),LCTT_MAP!$A$7:$C$66,IF($M916="THU",2,3),FALSE()),IFERROR(VLOOKUP(LEFT($N916,3),LCTT_MAP!$A$7:$C$66,IF($M916="THU",2,3),FALSE()),IFERROR(VLOOKUP(LEFT($N916,2),LCTT_MAP!$A$7:$C$66,IF($M916="THU",2,3),FALSE()),IFERROR(VLOOKUP(LEFT($N916,1),LCTT_MAP!$A$7:$C$66,IF($M916="THU",2,3),FALSE()),IF($M916="THU","06","07")))))))</f>
        <v/>
      </c>
      <c r="P916" s="117">
        <f>P915+IF(AND($H916&lt;&gt;"",OR(LEFT($F916,LEN(SC_TK))=SC_TK,LEFT($G916,LEN(SC_TK))=SC_TK)),1,0)</f>
        <v/>
      </c>
    </row>
    <row r="917" ht="15" customHeight="1" s="78">
      <c r="A917" s="95">
        <f>IF($H917="","",ROW()-6)</f>
        <v/>
      </c>
      <c r="B917" s="114" t="n"/>
      <c r="C917" s="102" t="n"/>
      <c r="D917" s="114" t="n"/>
      <c r="E917" s="103" t="n"/>
      <c r="F917" s="102" t="n"/>
      <c r="G917" s="102" t="n"/>
      <c r="H917" s="115" t="n"/>
      <c r="I917" s="102" t="n"/>
      <c r="J917" s="102" t="n"/>
      <c r="K917" s="103" t="n"/>
      <c r="L917" s="116">
        <f>IF($H917="","",TRIM(IF(COUNTIF(DMTK!$A$7:$A$250,$F917)=0,"TK Nợ sai! ","")&amp;IF(COUNTIF(DMTK!$A$7:$A$250,$G917)=0,"TK Có sai! ","")&amp;IF(N($H917)&lt;=0,"Tiền phải &gt; 0! ","")&amp;IF($B917="","Thiếu ngày! ","")&amp;IF(AND(OR(LEFT($F917,3)="131",LEFT($G917,3)="131",LEFT($F917,3)="331",LEFT($G917,3)="331"),$I917=""),"Thiếu Mã ĐT! ","")&amp;IF(AND($I917&lt;&gt;"",COUNTIF(DM_DT!$A$7:$A$306,$I917)=0),"Mã ĐT chưa khai báo! ","")))</f>
        <v/>
      </c>
      <c r="M917" s="117">
        <f>IF($H917="","",IF(AND(OR(LEFT($F917,3)="111",LEFT($F917,3)="112",LEFT($F917,3)="113"),OR(LEFT($G917,3)="111",LEFT($G917,3)="112",LEFT($G917,3)="113")),"NB",IF(OR(LEFT($F917,3)="111",LEFT($F917,3)="112",LEFT($F917,3)="113"),"THU",IF(OR(LEFT($G917,3)="111",LEFT($G917,3)="112",LEFT($G917,3)="113"),"CHI",""))))</f>
        <v/>
      </c>
      <c r="N917" s="117">
        <f>IF($M917="THU",$G917,IF($M917="CHI",$F917,""))</f>
        <v/>
      </c>
      <c r="O917" s="117">
        <f>IF(OR($M917="",$M917="NB"),"",IF($J917&lt;&gt;"",TEXT($J917,"00"),IFERROR(VLOOKUP(LEFT($N917,4),LCTT_MAP!$A$7:$C$66,IF($M917="THU",2,3),FALSE()),IFERROR(VLOOKUP(LEFT($N917,3),LCTT_MAP!$A$7:$C$66,IF($M917="THU",2,3),FALSE()),IFERROR(VLOOKUP(LEFT($N917,2),LCTT_MAP!$A$7:$C$66,IF($M917="THU",2,3),FALSE()),IFERROR(VLOOKUP(LEFT($N917,1),LCTT_MAP!$A$7:$C$66,IF($M917="THU",2,3),FALSE()),IF($M917="THU","06","07")))))))</f>
        <v/>
      </c>
      <c r="P917" s="117">
        <f>P916+IF(AND($H917&lt;&gt;"",OR(LEFT($F917,LEN(SC_TK))=SC_TK,LEFT($G917,LEN(SC_TK))=SC_TK)),1,0)</f>
        <v/>
      </c>
    </row>
    <row r="918" ht="15" customHeight="1" s="78">
      <c r="A918" s="95">
        <f>IF($H918="","",ROW()-6)</f>
        <v/>
      </c>
      <c r="B918" s="114" t="n"/>
      <c r="C918" s="102" t="n"/>
      <c r="D918" s="114" t="n"/>
      <c r="E918" s="103" t="n"/>
      <c r="F918" s="102" t="n"/>
      <c r="G918" s="102" t="n"/>
      <c r="H918" s="115" t="n"/>
      <c r="I918" s="102" t="n"/>
      <c r="J918" s="102" t="n"/>
      <c r="K918" s="103" t="n"/>
      <c r="L918" s="116">
        <f>IF($H918="","",TRIM(IF(COUNTIF(DMTK!$A$7:$A$250,$F918)=0,"TK Nợ sai! ","")&amp;IF(COUNTIF(DMTK!$A$7:$A$250,$G918)=0,"TK Có sai! ","")&amp;IF(N($H918)&lt;=0,"Tiền phải &gt; 0! ","")&amp;IF($B918="","Thiếu ngày! ","")&amp;IF(AND(OR(LEFT($F918,3)="131",LEFT($G918,3)="131",LEFT($F918,3)="331",LEFT($G918,3)="331"),$I918=""),"Thiếu Mã ĐT! ","")&amp;IF(AND($I918&lt;&gt;"",COUNTIF(DM_DT!$A$7:$A$306,$I918)=0),"Mã ĐT chưa khai báo! ","")))</f>
        <v/>
      </c>
      <c r="M918" s="117">
        <f>IF($H918="","",IF(AND(OR(LEFT($F918,3)="111",LEFT($F918,3)="112",LEFT($F918,3)="113"),OR(LEFT($G918,3)="111",LEFT($G918,3)="112",LEFT($G918,3)="113")),"NB",IF(OR(LEFT($F918,3)="111",LEFT($F918,3)="112",LEFT($F918,3)="113"),"THU",IF(OR(LEFT($G918,3)="111",LEFT($G918,3)="112",LEFT($G918,3)="113"),"CHI",""))))</f>
        <v/>
      </c>
      <c r="N918" s="117">
        <f>IF($M918="THU",$G918,IF($M918="CHI",$F918,""))</f>
        <v/>
      </c>
      <c r="O918" s="117">
        <f>IF(OR($M918="",$M918="NB"),"",IF($J918&lt;&gt;"",TEXT($J918,"00"),IFERROR(VLOOKUP(LEFT($N918,4),LCTT_MAP!$A$7:$C$66,IF($M918="THU",2,3),FALSE()),IFERROR(VLOOKUP(LEFT($N918,3),LCTT_MAP!$A$7:$C$66,IF($M918="THU",2,3),FALSE()),IFERROR(VLOOKUP(LEFT($N918,2),LCTT_MAP!$A$7:$C$66,IF($M918="THU",2,3),FALSE()),IFERROR(VLOOKUP(LEFT($N918,1),LCTT_MAP!$A$7:$C$66,IF($M918="THU",2,3),FALSE()),IF($M918="THU","06","07")))))))</f>
        <v/>
      </c>
      <c r="P918" s="117">
        <f>P917+IF(AND($H918&lt;&gt;"",OR(LEFT($F918,LEN(SC_TK))=SC_TK,LEFT($G918,LEN(SC_TK))=SC_TK)),1,0)</f>
        <v/>
      </c>
    </row>
    <row r="919" ht="15" customHeight="1" s="78">
      <c r="A919" s="95">
        <f>IF($H919="","",ROW()-6)</f>
        <v/>
      </c>
      <c r="B919" s="114" t="n"/>
      <c r="C919" s="102" t="n"/>
      <c r="D919" s="114" t="n"/>
      <c r="E919" s="103" t="n"/>
      <c r="F919" s="102" t="n"/>
      <c r="G919" s="102" t="n"/>
      <c r="H919" s="115" t="n"/>
      <c r="I919" s="102" t="n"/>
      <c r="J919" s="102" t="n"/>
      <c r="K919" s="103" t="n"/>
      <c r="L919" s="116">
        <f>IF($H919="","",TRIM(IF(COUNTIF(DMTK!$A$7:$A$250,$F919)=0,"TK Nợ sai! ","")&amp;IF(COUNTIF(DMTK!$A$7:$A$250,$G919)=0,"TK Có sai! ","")&amp;IF(N($H919)&lt;=0,"Tiền phải &gt; 0! ","")&amp;IF($B919="","Thiếu ngày! ","")&amp;IF(AND(OR(LEFT($F919,3)="131",LEFT($G919,3)="131",LEFT($F919,3)="331",LEFT($G919,3)="331"),$I919=""),"Thiếu Mã ĐT! ","")&amp;IF(AND($I919&lt;&gt;"",COUNTIF(DM_DT!$A$7:$A$306,$I919)=0),"Mã ĐT chưa khai báo! ","")))</f>
        <v/>
      </c>
      <c r="M919" s="117">
        <f>IF($H919="","",IF(AND(OR(LEFT($F919,3)="111",LEFT($F919,3)="112",LEFT($F919,3)="113"),OR(LEFT($G919,3)="111",LEFT($G919,3)="112",LEFT($G919,3)="113")),"NB",IF(OR(LEFT($F919,3)="111",LEFT($F919,3)="112",LEFT($F919,3)="113"),"THU",IF(OR(LEFT($G919,3)="111",LEFT($G919,3)="112",LEFT($G919,3)="113"),"CHI",""))))</f>
        <v/>
      </c>
      <c r="N919" s="117">
        <f>IF($M919="THU",$G919,IF($M919="CHI",$F919,""))</f>
        <v/>
      </c>
      <c r="O919" s="117">
        <f>IF(OR($M919="",$M919="NB"),"",IF($J919&lt;&gt;"",TEXT($J919,"00"),IFERROR(VLOOKUP(LEFT($N919,4),LCTT_MAP!$A$7:$C$66,IF($M919="THU",2,3),FALSE()),IFERROR(VLOOKUP(LEFT($N919,3),LCTT_MAP!$A$7:$C$66,IF($M919="THU",2,3),FALSE()),IFERROR(VLOOKUP(LEFT($N919,2),LCTT_MAP!$A$7:$C$66,IF($M919="THU",2,3),FALSE()),IFERROR(VLOOKUP(LEFT($N919,1),LCTT_MAP!$A$7:$C$66,IF($M919="THU",2,3),FALSE()),IF($M919="THU","06","07")))))))</f>
        <v/>
      </c>
      <c r="P919" s="117">
        <f>P918+IF(AND($H919&lt;&gt;"",OR(LEFT($F919,LEN(SC_TK))=SC_TK,LEFT($G919,LEN(SC_TK))=SC_TK)),1,0)</f>
        <v/>
      </c>
    </row>
    <row r="920" ht="15" customHeight="1" s="78">
      <c r="A920" s="95">
        <f>IF($H920="","",ROW()-6)</f>
        <v/>
      </c>
      <c r="B920" s="114" t="n"/>
      <c r="C920" s="102" t="n"/>
      <c r="D920" s="114" t="n"/>
      <c r="E920" s="103" t="n"/>
      <c r="F920" s="102" t="n"/>
      <c r="G920" s="102" t="n"/>
      <c r="H920" s="115" t="n"/>
      <c r="I920" s="102" t="n"/>
      <c r="J920" s="102" t="n"/>
      <c r="K920" s="103" t="n"/>
      <c r="L920" s="116">
        <f>IF($H920="","",TRIM(IF(COUNTIF(DMTK!$A$7:$A$250,$F920)=0,"TK Nợ sai! ","")&amp;IF(COUNTIF(DMTK!$A$7:$A$250,$G920)=0,"TK Có sai! ","")&amp;IF(N($H920)&lt;=0,"Tiền phải &gt; 0! ","")&amp;IF($B920="","Thiếu ngày! ","")&amp;IF(AND(OR(LEFT($F920,3)="131",LEFT($G920,3)="131",LEFT($F920,3)="331",LEFT($G920,3)="331"),$I920=""),"Thiếu Mã ĐT! ","")&amp;IF(AND($I920&lt;&gt;"",COUNTIF(DM_DT!$A$7:$A$306,$I920)=0),"Mã ĐT chưa khai báo! ","")))</f>
        <v/>
      </c>
      <c r="M920" s="117">
        <f>IF($H920="","",IF(AND(OR(LEFT($F920,3)="111",LEFT($F920,3)="112",LEFT($F920,3)="113"),OR(LEFT($G920,3)="111",LEFT($G920,3)="112",LEFT($G920,3)="113")),"NB",IF(OR(LEFT($F920,3)="111",LEFT($F920,3)="112",LEFT($F920,3)="113"),"THU",IF(OR(LEFT($G920,3)="111",LEFT($G920,3)="112",LEFT($G920,3)="113"),"CHI",""))))</f>
        <v/>
      </c>
      <c r="N920" s="117">
        <f>IF($M920="THU",$G920,IF($M920="CHI",$F920,""))</f>
        <v/>
      </c>
      <c r="O920" s="117">
        <f>IF(OR($M920="",$M920="NB"),"",IF($J920&lt;&gt;"",TEXT($J920,"00"),IFERROR(VLOOKUP(LEFT($N920,4),LCTT_MAP!$A$7:$C$66,IF($M920="THU",2,3),FALSE()),IFERROR(VLOOKUP(LEFT($N920,3),LCTT_MAP!$A$7:$C$66,IF($M920="THU",2,3),FALSE()),IFERROR(VLOOKUP(LEFT($N920,2),LCTT_MAP!$A$7:$C$66,IF($M920="THU",2,3),FALSE()),IFERROR(VLOOKUP(LEFT($N920,1),LCTT_MAP!$A$7:$C$66,IF($M920="THU",2,3),FALSE()),IF($M920="THU","06","07")))))))</f>
        <v/>
      </c>
      <c r="P920" s="117">
        <f>P919+IF(AND($H920&lt;&gt;"",OR(LEFT($F920,LEN(SC_TK))=SC_TK,LEFT($G920,LEN(SC_TK))=SC_TK)),1,0)</f>
        <v/>
      </c>
    </row>
    <row r="921" ht="15" customHeight="1" s="78">
      <c r="A921" s="95">
        <f>IF($H921="","",ROW()-6)</f>
        <v/>
      </c>
      <c r="B921" s="114" t="n"/>
      <c r="C921" s="102" t="n"/>
      <c r="D921" s="114" t="n"/>
      <c r="E921" s="103" t="n"/>
      <c r="F921" s="102" t="n"/>
      <c r="G921" s="102" t="n"/>
      <c r="H921" s="115" t="n"/>
      <c r="I921" s="102" t="n"/>
      <c r="J921" s="102" t="n"/>
      <c r="K921" s="103" t="n"/>
      <c r="L921" s="116">
        <f>IF($H921="","",TRIM(IF(COUNTIF(DMTK!$A$7:$A$250,$F921)=0,"TK Nợ sai! ","")&amp;IF(COUNTIF(DMTK!$A$7:$A$250,$G921)=0,"TK Có sai! ","")&amp;IF(N($H921)&lt;=0,"Tiền phải &gt; 0! ","")&amp;IF($B921="","Thiếu ngày! ","")&amp;IF(AND(OR(LEFT($F921,3)="131",LEFT($G921,3)="131",LEFT($F921,3)="331",LEFT($G921,3)="331"),$I921=""),"Thiếu Mã ĐT! ","")&amp;IF(AND($I921&lt;&gt;"",COUNTIF(DM_DT!$A$7:$A$306,$I921)=0),"Mã ĐT chưa khai báo! ","")))</f>
        <v/>
      </c>
      <c r="M921" s="117">
        <f>IF($H921="","",IF(AND(OR(LEFT($F921,3)="111",LEFT($F921,3)="112",LEFT($F921,3)="113"),OR(LEFT($G921,3)="111",LEFT($G921,3)="112",LEFT($G921,3)="113")),"NB",IF(OR(LEFT($F921,3)="111",LEFT($F921,3)="112",LEFT($F921,3)="113"),"THU",IF(OR(LEFT($G921,3)="111",LEFT($G921,3)="112",LEFT($G921,3)="113"),"CHI",""))))</f>
        <v/>
      </c>
      <c r="N921" s="117">
        <f>IF($M921="THU",$G921,IF($M921="CHI",$F921,""))</f>
        <v/>
      </c>
      <c r="O921" s="117">
        <f>IF(OR($M921="",$M921="NB"),"",IF($J921&lt;&gt;"",TEXT($J921,"00"),IFERROR(VLOOKUP(LEFT($N921,4),LCTT_MAP!$A$7:$C$66,IF($M921="THU",2,3),FALSE()),IFERROR(VLOOKUP(LEFT($N921,3),LCTT_MAP!$A$7:$C$66,IF($M921="THU",2,3),FALSE()),IFERROR(VLOOKUP(LEFT($N921,2),LCTT_MAP!$A$7:$C$66,IF($M921="THU",2,3),FALSE()),IFERROR(VLOOKUP(LEFT($N921,1),LCTT_MAP!$A$7:$C$66,IF($M921="THU",2,3),FALSE()),IF($M921="THU","06","07")))))))</f>
        <v/>
      </c>
      <c r="P921" s="117">
        <f>P920+IF(AND($H921&lt;&gt;"",OR(LEFT($F921,LEN(SC_TK))=SC_TK,LEFT($G921,LEN(SC_TK))=SC_TK)),1,0)</f>
        <v/>
      </c>
    </row>
    <row r="922" ht="15" customHeight="1" s="78">
      <c r="A922" s="95">
        <f>IF($H922="","",ROW()-6)</f>
        <v/>
      </c>
      <c r="B922" s="114" t="n"/>
      <c r="C922" s="102" t="n"/>
      <c r="D922" s="114" t="n"/>
      <c r="E922" s="103" t="n"/>
      <c r="F922" s="102" t="n"/>
      <c r="G922" s="102" t="n"/>
      <c r="H922" s="115" t="n"/>
      <c r="I922" s="102" t="n"/>
      <c r="J922" s="102" t="n"/>
      <c r="K922" s="103" t="n"/>
      <c r="L922" s="116">
        <f>IF($H922="","",TRIM(IF(COUNTIF(DMTK!$A$7:$A$250,$F922)=0,"TK Nợ sai! ","")&amp;IF(COUNTIF(DMTK!$A$7:$A$250,$G922)=0,"TK Có sai! ","")&amp;IF(N($H922)&lt;=0,"Tiền phải &gt; 0! ","")&amp;IF($B922="","Thiếu ngày! ","")&amp;IF(AND(OR(LEFT($F922,3)="131",LEFT($G922,3)="131",LEFT($F922,3)="331",LEFT($G922,3)="331"),$I922=""),"Thiếu Mã ĐT! ","")&amp;IF(AND($I922&lt;&gt;"",COUNTIF(DM_DT!$A$7:$A$306,$I922)=0),"Mã ĐT chưa khai báo! ","")))</f>
        <v/>
      </c>
      <c r="M922" s="117">
        <f>IF($H922="","",IF(AND(OR(LEFT($F922,3)="111",LEFT($F922,3)="112",LEFT($F922,3)="113"),OR(LEFT($G922,3)="111",LEFT($G922,3)="112",LEFT($G922,3)="113")),"NB",IF(OR(LEFT($F922,3)="111",LEFT($F922,3)="112",LEFT($F922,3)="113"),"THU",IF(OR(LEFT($G922,3)="111",LEFT($G922,3)="112",LEFT($G922,3)="113"),"CHI",""))))</f>
        <v/>
      </c>
      <c r="N922" s="117">
        <f>IF($M922="THU",$G922,IF($M922="CHI",$F922,""))</f>
        <v/>
      </c>
      <c r="O922" s="117">
        <f>IF(OR($M922="",$M922="NB"),"",IF($J922&lt;&gt;"",TEXT($J922,"00"),IFERROR(VLOOKUP(LEFT($N922,4),LCTT_MAP!$A$7:$C$66,IF($M922="THU",2,3),FALSE()),IFERROR(VLOOKUP(LEFT($N922,3),LCTT_MAP!$A$7:$C$66,IF($M922="THU",2,3),FALSE()),IFERROR(VLOOKUP(LEFT($N922,2),LCTT_MAP!$A$7:$C$66,IF($M922="THU",2,3),FALSE()),IFERROR(VLOOKUP(LEFT($N922,1),LCTT_MAP!$A$7:$C$66,IF($M922="THU",2,3),FALSE()),IF($M922="THU","06","07")))))))</f>
        <v/>
      </c>
      <c r="P922" s="117">
        <f>P921+IF(AND($H922&lt;&gt;"",OR(LEFT($F922,LEN(SC_TK))=SC_TK,LEFT($G922,LEN(SC_TK))=SC_TK)),1,0)</f>
        <v/>
      </c>
    </row>
    <row r="923" ht="15" customHeight="1" s="78">
      <c r="A923" s="95">
        <f>IF($H923="","",ROW()-6)</f>
        <v/>
      </c>
      <c r="B923" s="114" t="n"/>
      <c r="C923" s="102" t="n"/>
      <c r="D923" s="114" t="n"/>
      <c r="E923" s="103" t="n"/>
      <c r="F923" s="102" t="n"/>
      <c r="G923" s="102" t="n"/>
      <c r="H923" s="115" t="n"/>
      <c r="I923" s="102" t="n"/>
      <c r="J923" s="102" t="n"/>
      <c r="K923" s="103" t="n"/>
      <c r="L923" s="116">
        <f>IF($H923="","",TRIM(IF(COUNTIF(DMTK!$A$7:$A$250,$F923)=0,"TK Nợ sai! ","")&amp;IF(COUNTIF(DMTK!$A$7:$A$250,$G923)=0,"TK Có sai! ","")&amp;IF(N($H923)&lt;=0,"Tiền phải &gt; 0! ","")&amp;IF($B923="","Thiếu ngày! ","")&amp;IF(AND(OR(LEFT($F923,3)="131",LEFT($G923,3)="131",LEFT($F923,3)="331",LEFT($G923,3)="331"),$I923=""),"Thiếu Mã ĐT! ","")&amp;IF(AND($I923&lt;&gt;"",COUNTIF(DM_DT!$A$7:$A$306,$I923)=0),"Mã ĐT chưa khai báo! ","")))</f>
        <v/>
      </c>
      <c r="M923" s="117">
        <f>IF($H923="","",IF(AND(OR(LEFT($F923,3)="111",LEFT($F923,3)="112",LEFT($F923,3)="113"),OR(LEFT($G923,3)="111",LEFT($G923,3)="112",LEFT($G923,3)="113")),"NB",IF(OR(LEFT($F923,3)="111",LEFT($F923,3)="112",LEFT($F923,3)="113"),"THU",IF(OR(LEFT($G923,3)="111",LEFT($G923,3)="112",LEFT($G923,3)="113"),"CHI",""))))</f>
        <v/>
      </c>
      <c r="N923" s="117">
        <f>IF($M923="THU",$G923,IF($M923="CHI",$F923,""))</f>
        <v/>
      </c>
      <c r="O923" s="117">
        <f>IF(OR($M923="",$M923="NB"),"",IF($J923&lt;&gt;"",TEXT($J923,"00"),IFERROR(VLOOKUP(LEFT($N923,4),LCTT_MAP!$A$7:$C$66,IF($M923="THU",2,3),FALSE()),IFERROR(VLOOKUP(LEFT($N923,3),LCTT_MAP!$A$7:$C$66,IF($M923="THU",2,3),FALSE()),IFERROR(VLOOKUP(LEFT($N923,2),LCTT_MAP!$A$7:$C$66,IF($M923="THU",2,3),FALSE()),IFERROR(VLOOKUP(LEFT($N923,1),LCTT_MAP!$A$7:$C$66,IF($M923="THU",2,3),FALSE()),IF($M923="THU","06","07")))))))</f>
        <v/>
      </c>
      <c r="P923" s="117">
        <f>P922+IF(AND($H923&lt;&gt;"",OR(LEFT($F923,LEN(SC_TK))=SC_TK,LEFT($G923,LEN(SC_TK))=SC_TK)),1,0)</f>
        <v/>
      </c>
    </row>
    <row r="924" ht="15" customHeight="1" s="78">
      <c r="A924" s="95">
        <f>IF($H924="","",ROW()-6)</f>
        <v/>
      </c>
      <c r="B924" s="114" t="n"/>
      <c r="C924" s="102" t="n"/>
      <c r="D924" s="114" t="n"/>
      <c r="E924" s="103" t="n"/>
      <c r="F924" s="102" t="n"/>
      <c r="G924" s="102" t="n"/>
      <c r="H924" s="115" t="n"/>
      <c r="I924" s="102" t="n"/>
      <c r="J924" s="102" t="n"/>
      <c r="K924" s="103" t="n"/>
      <c r="L924" s="116">
        <f>IF($H924="","",TRIM(IF(COUNTIF(DMTK!$A$7:$A$250,$F924)=0,"TK Nợ sai! ","")&amp;IF(COUNTIF(DMTK!$A$7:$A$250,$G924)=0,"TK Có sai! ","")&amp;IF(N($H924)&lt;=0,"Tiền phải &gt; 0! ","")&amp;IF($B924="","Thiếu ngày! ","")&amp;IF(AND(OR(LEFT($F924,3)="131",LEFT($G924,3)="131",LEFT($F924,3)="331",LEFT($G924,3)="331"),$I924=""),"Thiếu Mã ĐT! ","")&amp;IF(AND($I924&lt;&gt;"",COUNTIF(DM_DT!$A$7:$A$306,$I924)=0),"Mã ĐT chưa khai báo! ","")))</f>
        <v/>
      </c>
      <c r="M924" s="117">
        <f>IF($H924="","",IF(AND(OR(LEFT($F924,3)="111",LEFT($F924,3)="112",LEFT($F924,3)="113"),OR(LEFT($G924,3)="111",LEFT($G924,3)="112",LEFT($G924,3)="113")),"NB",IF(OR(LEFT($F924,3)="111",LEFT($F924,3)="112",LEFT($F924,3)="113"),"THU",IF(OR(LEFT($G924,3)="111",LEFT($G924,3)="112",LEFT($G924,3)="113"),"CHI",""))))</f>
        <v/>
      </c>
      <c r="N924" s="117">
        <f>IF($M924="THU",$G924,IF($M924="CHI",$F924,""))</f>
        <v/>
      </c>
      <c r="O924" s="117">
        <f>IF(OR($M924="",$M924="NB"),"",IF($J924&lt;&gt;"",TEXT($J924,"00"),IFERROR(VLOOKUP(LEFT($N924,4),LCTT_MAP!$A$7:$C$66,IF($M924="THU",2,3),FALSE()),IFERROR(VLOOKUP(LEFT($N924,3),LCTT_MAP!$A$7:$C$66,IF($M924="THU",2,3),FALSE()),IFERROR(VLOOKUP(LEFT($N924,2),LCTT_MAP!$A$7:$C$66,IF($M924="THU",2,3),FALSE()),IFERROR(VLOOKUP(LEFT($N924,1),LCTT_MAP!$A$7:$C$66,IF($M924="THU",2,3),FALSE()),IF($M924="THU","06","07")))))))</f>
        <v/>
      </c>
      <c r="P924" s="117">
        <f>P923+IF(AND($H924&lt;&gt;"",OR(LEFT($F924,LEN(SC_TK))=SC_TK,LEFT($G924,LEN(SC_TK))=SC_TK)),1,0)</f>
        <v/>
      </c>
    </row>
    <row r="925" ht="15" customHeight="1" s="78">
      <c r="A925" s="95">
        <f>IF($H925="","",ROW()-6)</f>
        <v/>
      </c>
      <c r="B925" s="114" t="n"/>
      <c r="C925" s="102" t="n"/>
      <c r="D925" s="114" t="n"/>
      <c r="E925" s="103" t="n"/>
      <c r="F925" s="102" t="n"/>
      <c r="G925" s="102" t="n"/>
      <c r="H925" s="115" t="n"/>
      <c r="I925" s="102" t="n"/>
      <c r="J925" s="102" t="n"/>
      <c r="K925" s="103" t="n"/>
      <c r="L925" s="116">
        <f>IF($H925="","",TRIM(IF(COUNTIF(DMTK!$A$7:$A$250,$F925)=0,"TK Nợ sai! ","")&amp;IF(COUNTIF(DMTK!$A$7:$A$250,$G925)=0,"TK Có sai! ","")&amp;IF(N($H925)&lt;=0,"Tiền phải &gt; 0! ","")&amp;IF($B925="","Thiếu ngày! ","")&amp;IF(AND(OR(LEFT($F925,3)="131",LEFT($G925,3)="131",LEFT($F925,3)="331",LEFT($G925,3)="331"),$I925=""),"Thiếu Mã ĐT! ","")&amp;IF(AND($I925&lt;&gt;"",COUNTIF(DM_DT!$A$7:$A$306,$I925)=0),"Mã ĐT chưa khai báo! ","")))</f>
        <v/>
      </c>
      <c r="M925" s="117">
        <f>IF($H925="","",IF(AND(OR(LEFT($F925,3)="111",LEFT($F925,3)="112",LEFT($F925,3)="113"),OR(LEFT($G925,3)="111",LEFT($G925,3)="112",LEFT($G925,3)="113")),"NB",IF(OR(LEFT($F925,3)="111",LEFT($F925,3)="112",LEFT($F925,3)="113"),"THU",IF(OR(LEFT($G925,3)="111",LEFT($G925,3)="112",LEFT($G925,3)="113"),"CHI",""))))</f>
        <v/>
      </c>
      <c r="N925" s="117">
        <f>IF($M925="THU",$G925,IF($M925="CHI",$F925,""))</f>
        <v/>
      </c>
      <c r="O925" s="117">
        <f>IF(OR($M925="",$M925="NB"),"",IF($J925&lt;&gt;"",TEXT($J925,"00"),IFERROR(VLOOKUP(LEFT($N925,4),LCTT_MAP!$A$7:$C$66,IF($M925="THU",2,3),FALSE()),IFERROR(VLOOKUP(LEFT($N925,3),LCTT_MAP!$A$7:$C$66,IF($M925="THU",2,3),FALSE()),IFERROR(VLOOKUP(LEFT($N925,2),LCTT_MAP!$A$7:$C$66,IF($M925="THU",2,3),FALSE()),IFERROR(VLOOKUP(LEFT($N925,1),LCTT_MAP!$A$7:$C$66,IF($M925="THU",2,3),FALSE()),IF($M925="THU","06","07")))))))</f>
        <v/>
      </c>
      <c r="P925" s="117">
        <f>P924+IF(AND($H925&lt;&gt;"",OR(LEFT($F925,LEN(SC_TK))=SC_TK,LEFT($G925,LEN(SC_TK))=SC_TK)),1,0)</f>
        <v/>
      </c>
    </row>
    <row r="926" ht="15" customHeight="1" s="78">
      <c r="A926" s="95">
        <f>IF($H926="","",ROW()-6)</f>
        <v/>
      </c>
      <c r="B926" s="114" t="n"/>
      <c r="C926" s="102" t="n"/>
      <c r="D926" s="114" t="n"/>
      <c r="E926" s="103" t="n"/>
      <c r="F926" s="102" t="n"/>
      <c r="G926" s="102" t="n"/>
      <c r="H926" s="115" t="n"/>
      <c r="I926" s="102" t="n"/>
      <c r="J926" s="102" t="n"/>
      <c r="K926" s="103" t="n"/>
      <c r="L926" s="116">
        <f>IF($H926="","",TRIM(IF(COUNTIF(DMTK!$A$7:$A$250,$F926)=0,"TK Nợ sai! ","")&amp;IF(COUNTIF(DMTK!$A$7:$A$250,$G926)=0,"TK Có sai! ","")&amp;IF(N($H926)&lt;=0,"Tiền phải &gt; 0! ","")&amp;IF($B926="","Thiếu ngày! ","")&amp;IF(AND(OR(LEFT($F926,3)="131",LEFT($G926,3)="131",LEFT($F926,3)="331",LEFT($G926,3)="331"),$I926=""),"Thiếu Mã ĐT! ","")&amp;IF(AND($I926&lt;&gt;"",COUNTIF(DM_DT!$A$7:$A$306,$I926)=0),"Mã ĐT chưa khai báo! ","")))</f>
        <v/>
      </c>
      <c r="M926" s="117">
        <f>IF($H926="","",IF(AND(OR(LEFT($F926,3)="111",LEFT($F926,3)="112",LEFT($F926,3)="113"),OR(LEFT($G926,3)="111",LEFT($G926,3)="112",LEFT($G926,3)="113")),"NB",IF(OR(LEFT($F926,3)="111",LEFT($F926,3)="112",LEFT($F926,3)="113"),"THU",IF(OR(LEFT($G926,3)="111",LEFT($G926,3)="112",LEFT($G926,3)="113"),"CHI",""))))</f>
        <v/>
      </c>
      <c r="N926" s="117">
        <f>IF($M926="THU",$G926,IF($M926="CHI",$F926,""))</f>
        <v/>
      </c>
      <c r="O926" s="117">
        <f>IF(OR($M926="",$M926="NB"),"",IF($J926&lt;&gt;"",TEXT($J926,"00"),IFERROR(VLOOKUP(LEFT($N926,4),LCTT_MAP!$A$7:$C$66,IF($M926="THU",2,3),FALSE()),IFERROR(VLOOKUP(LEFT($N926,3),LCTT_MAP!$A$7:$C$66,IF($M926="THU",2,3),FALSE()),IFERROR(VLOOKUP(LEFT($N926,2),LCTT_MAP!$A$7:$C$66,IF($M926="THU",2,3),FALSE()),IFERROR(VLOOKUP(LEFT($N926,1),LCTT_MAP!$A$7:$C$66,IF($M926="THU",2,3),FALSE()),IF($M926="THU","06","07")))))))</f>
        <v/>
      </c>
      <c r="P926" s="117">
        <f>P925+IF(AND($H926&lt;&gt;"",OR(LEFT($F926,LEN(SC_TK))=SC_TK,LEFT($G926,LEN(SC_TK))=SC_TK)),1,0)</f>
        <v/>
      </c>
    </row>
    <row r="927" ht="15" customHeight="1" s="78">
      <c r="A927" s="95">
        <f>IF($H927="","",ROW()-6)</f>
        <v/>
      </c>
      <c r="B927" s="114" t="n"/>
      <c r="C927" s="102" t="n"/>
      <c r="D927" s="114" t="n"/>
      <c r="E927" s="103" t="n"/>
      <c r="F927" s="102" t="n"/>
      <c r="G927" s="102" t="n"/>
      <c r="H927" s="115" t="n"/>
      <c r="I927" s="102" t="n"/>
      <c r="J927" s="102" t="n"/>
      <c r="K927" s="103" t="n"/>
      <c r="L927" s="116">
        <f>IF($H927="","",TRIM(IF(COUNTIF(DMTK!$A$7:$A$250,$F927)=0,"TK Nợ sai! ","")&amp;IF(COUNTIF(DMTK!$A$7:$A$250,$G927)=0,"TK Có sai! ","")&amp;IF(N($H927)&lt;=0,"Tiền phải &gt; 0! ","")&amp;IF($B927="","Thiếu ngày! ","")&amp;IF(AND(OR(LEFT($F927,3)="131",LEFT($G927,3)="131",LEFT($F927,3)="331",LEFT($G927,3)="331"),$I927=""),"Thiếu Mã ĐT! ","")&amp;IF(AND($I927&lt;&gt;"",COUNTIF(DM_DT!$A$7:$A$306,$I927)=0),"Mã ĐT chưa khai báo! ","")))</f>
        <v/>
      </c>
      <c r="M927" s="117">
        <f>IF($H927="","",IF(AND(OR(LEFT($F927,3)="111",LEFT($F927,3)="112",LEFT($F927,3)="113"),OR(LEFT($G927,3)="111",LEFT($G927,3)="112",LEFT($G927,3)="113")),"NB",IF(OR(LEFT($F927,3)="111",LEFT($F927,3)="112",LEFT($F927,3)="113"),"THU",IF(OR(LEFT($G927,3)="111",LEFT($G927,3)="112",LEFT($G927,3)="113"),"CHI",""))))</f>
        <v/>
      </c>
      <c r="N927" s="117">
        <f>IF($M927="THU",$G927,IF($M927="CHI",$F927,""))</f>
        <v/>
      </c>
      <c r="O927" s="117">
        <f>IF(OR($M927="",$M927="NB"),"",IF($J927&lt;&gt;"",TEXT($J927,"00"),IFERROR(VLOOKUP(LEFT($N927,4),LCTT_MAP!$A$7:$C$66,IF($M927="THU",2,3),FALSE()),IFERROR(VLOOKUP(LEFT($N927,3),LCTT_MAP!$A$7:$C$66,IF($M927="THU",2,3),FALSE()),IFERROR(VLOOKUP(LEFT($N927,2),LCTT_MAP!$A$7:$C$66,IF($M927="THU",2,3),FALSE()),IFERROR(VLOOKUP(LEFT($N927,1),LCTT_MAP!$A$7:$C$66,IF($M927="THU",2,3),FALSE()),IF($M927="THU","06","07")))))))</f>
        <v/>
      </c>
      <c r="P927" s="117">
        <f>P926+IF(AND($H927&lt;&gt;"",OR(LEFT($F927,LEN(SC_TK))=SC_TK,LEFT($G927,LEN(SC_TK))=SC_TK)),1,0)</f>
        <v/>
      </c>
    </row>
    <row r="928" ht="15" customHeight="1" s="78">
      <c r="A928" s="95">
        <f>IF($H928="","",ROW()-6)</f>
        <v/>
      </c>
      <c r="B928" s="114" t="n"/>
      <c r="C928" s="102" t="n"/>
      <c r="D928" s="114" t="n"/>
      <c r="E928" s="103" t="n"/>
      <c r="F928" s="102" t="n"/>
      <c r="G928" s="102" t="n"/>
      <c r="H928" s="115" t="n"/>
      <c r="I928" s="102" t="n"/>
      <c r="J928" s="102" t="n"/>
      <c r="K928" s="103" t="n"/>
      <c r="L928" s="116">
        <f>IF($H928="","",TRIM(IF(COUNTIF(DMTK!$A$7:$A$250,$F928)=0,"TK Nợ sai! ","")&amp;IF(COUNTIF(DMTK!$A$7:$A$250,$G928)=0,"TK Có sai! ","")&amp;IF(N($H928)&lt;=0,"Tiền phải &gt; 0! ","")&amp;IF($B928="","Thiếu ngày! ","")&amp;IF(AND(OR(LEFT($F928,3)="131",LEFT($G928,3)="131",LEFT($F928,3)="331",LEFT($G928,3)="331"),$I928=""),"Thiếu Mã ĐT! ","")&amp;IF(AND($I928&lt;&gt;"",COUNTIF(DM_DT!$A$7:$A$306,$I928)=0),"Mã ĐT chưa khai báo! ","")))</f>
        <v/>
      </c>
      <c r="M928" s="117">
        <f>IF($H928="","",IF(AND(OR(LEFT($F928,3)="111",LEFT($F928,3)="112",LEFT($F928,3)="113"),OR(LEFT($G928,3)="111",LEFT($G928,3)="112",LEFT($G928,3)="113")),"NB",IF(OR(LEFT($F928,3)="111",LEFT($F928,3)="112",LEFT($F928,3)="113"),"THU",IF(OR(LEFT($G928,3)="111",LEFT($G928,3)="112",LEFT($G928,3)="113"),"CHI",""))))</f>
        <v/>
      </c>
      <c r="N928" s="117">
        <f>IF($M928="THU",$G928,IF($M928="CHI",$F928,""))</f>
        <v/>
      </c>
      <c r="O928" s="117">
        <f>IF(OR($M928="",$M928="NB"),"",IF($J928&lt;&gt;"",TEXT($J928,"00"),IFERROR(VLOOKUP(LEFT($N928,4),LCTT_MAP!$A$7:$C$66,IF($M928="THU",2,3),FALSE()),IFERROR(VLOOKUP(LEFT($N928,3),LCTT_MAP!$A$7:$C$66,IF($M928="THU",2,3),FALSE()),IFERROR(VLOOKUP(LEFT($N928,2),LCTT_MAP!$A$7:$C$66,IF($M928="THU",2,3),FALSE()),IFERROR(VLOOKUP(LEFT($N928,1),LCTT_MAP!$A$7:$C$66,IF($M928="THU",2,3),FALSE()),IF($M928="THU","06","07")))))))</f>
        <v/>
      </c>
      <c r="P928" s="117">
        <f>P927+IF(AND($H928&lt;&gt;"",OR(LEFT($F928,LEN(SC_TK))=SC_TK,LEFT($G928,LEN(SC_TK))=SC_TK)),1,0)</f>
        <v/>
      </c>
    </row>
    <row r="929" ht="15" customHeight="1" s="78">
      <c r="A929" s="95">
        <f>IF($H929="","",ROW()-6)</f>
        <v/>
      </c>
      <c r="B929" s="114" t="n"/>
      <c r="C929" s="102" t="n"/>
      <c r="D929" s="114" t="n"/>
      <c r="E929" s="103" t="n"/>
      <c r="F929" s="102" t="n"/>
      <c r="G929" s="102" t="n"/>
      <c r="H929" s="115" t="n"/>
      <c r="I929" s="102" t="n"/>
      <c r="J929" s="102" t="n"/>
      <c r="K929" s="103" t="n"/>
      <c r="L929" s="116">
        <f>IF($H929="","",TRIM(IF(COUNTIF(DMTK!$A$7:$A$250,$F929)=0,"TK Nợ sai! ","")&amp;IF(COUNTIF(DMTK!$A$7:$A$250,$G929)=0,"TK Có sai! ","")&amp;IF(N($H929)&lt;=0,"Tiền phải &gt; 0! ","")&amp;IF($B929="","Thiếu ngày! ","")&amp;IF(AND(OR(LEFT($F929,3)="131",LEFT($G929,3)="131",LEFT($F929,3)="331",LEFT($G929,3)="331"),$I929=""),"Thiếu Mã ĐT! ","")&amp;IF(AND($I929&lt;&gt;"",COUNTIF(DM_DT!$A$7:$A$306,$I929)=0),"Mã ĐT chưa khai báo! ","")))</f>
        <v/>
      </c>
      <c r="M929" s="117">
        <f>IF($H929="","",IF(AND(OR(LEFT($F929,3)="111",LEFT($F929,3)="112",LEFT($F929,3)="113"),OR(LEFT($G929,3)="111",LEFT($G929,3)="112",LEFT($G929,3)="113")),"NB",IF(OR(LEFT($F929,3)="111",LEFT($F929,3)="112",LEFT($F929,3)="113"),"THU",IF(OR(LEFT($G929,3)="111",LEFT($G929,3)="112",LEFT($G929,3)="113"),"CHI",""))))</f>
        <v/>
      </c>
      <c r="N929" s="117">
        <f>IF($M929="THU",$G929,IF($M929="CHI",$F929,""))</f>
        <v/>
      </c>
      <c r="O929" s="117">
        <f>IF(OR($M929="",$M929="NB"),"",IF($J929&lt;&gt;"",TEXT($J929,"00"),IFERROR(VLOOKUP(LEFT($N929,4),LCTT_MAP!$A$7:$C$66,IF($M929="THU",2,3),FALSE()),IFERROR(VLOOKUP(LEFT($N929,3),LCTT_MAP!$A$7:$C$66,IF($M929="THU",2,3),FALSE()),IFERROR(VLOOKUP(LEFT($N929,2),LCTT_MAP!$A$7:$C$66,IF($M929="THU",2,3),FALSE()),IFERROR(VLOOKUP(LEFT($N929,1),LCTT_MAP!$A$7:$C$66,IF($M929="THU",2,3),FALSE()),IF($M929="THU","06","07")))))))</f>
        <v/>
      </c>
      <c r="P929" s="117">
        <f>P928+IF(AND($H929&lt;&gt;"",OR(LEFT($F929,LEN(SC_TK))=SC_TK,LEFT($G929,LEN(SC_TK))=SC_TK)),1,0)</f>
        <v/>
      </c>
    </row>
    <row r="930" ht="15" customHeight="1" s="78">
      <c r="A930" s="95">
        <f>IF($H930="","",ROW()-6)</f>
        <v/>
      </c>
      <c r="B930" s="114" t="n"/>
      <c r="C930" s="102" t="n"/>
      <c r="D930" s="114" t="n"/>
      <c r="E930" s="103" t="n"/>
      <c r="F930" s="102" t="n"/>
      <c r="G930" s="102" t="n"/>
      <c r="H930" s="115" t="n"/>
      <c r="I930" s="102" t="n"/>
      <c r="J930" s="102" t="n"/>
      <c r="K930" s="103" t="n"/>
      <c r="L930" s="116">
        <f>IF($H930="","",TRIM(IF(COUNTIF(DMTK!$A$7:$A$250,$F930)=0,"TK Nợ sai! ","")&amp;IF(COUNTIF(DMTK!$A$7:$A$250,$G930)=0,"TK Có sai! ","")&amp;IF(N($H930)&lt;=0,"Tiền phải &gt; 0! ","")&amp;IF($B930="","Thiếu ngày! ","")&amp;IF(AND(OR(LEFT($F930,3)="131",LEFT($G930,3)="131",LEFT($F930,3)="331",LEFT($G930,3)="331"),$I930=""),"Thiếu Mã ĐT! ","")&amp;IF(AND($I930&lt;&gt;"",COUNTIF(DM_DT!$A$7:$A$306,$I930)=0),"Mã ĐT chưa khai báo! ","")))</f>
        <v/>
      </c>
      <c r="M930" s="117">
        <f>IF($H930="","",IF(AND(OR(LEFT($F930,3)="111",LEFT($F930,3)="112",LEFT($F930,3)="113"),OR(LEFT($G930,3)="111",LEFT($G930,3)="112",LEFT($G930,3)="113")),"NB",IF(OR(LEFT($F930,3)="111",LEFT($F930,3)="112",LEFT($F930,3)="113"),"THU",IF(OR(LEFT($G930,3)="111",LEFT($G930,3)="112",LEFT($G930,3)="113"),"CHI",""))))</f>
        <v/>
      </c>
      <c r="N930" s="117">
        <f>IF($M930="THU",$G930,IF($M930="CHI",$F930,""))</f>
        <v/>
      </c>
      <c r="O930" s="117">
        <f>IF(OR($M930="",$M930="NB"),"",IF($J930&lt;&gt;"",TEXT($J930,"00"),IFERROR(VLOOKUP(LEFT($N930,4),LCTT_MAP!$A$7:$C$66,IF($M930="THU",2,3),FALSE()),IFERROR(VLOOKUP(LEFT($N930,3),LCTT_MAP!$A$7:$C$66,IF($M930="THU",2,3),FALSE()),IFERROR(VLOOKUP(LEFT($N930,2),LCTT_MAP!$A$7:$C$66,IF($M930="THU",2,3),FALSE()),IFERROR(VLOOKUP(LEFT($N930,1),LCTT_MAP!$A$7:$C$66,IF($M930="THU",2,3),FALSE()),IF($M930="THU","06","07")))))))</f>
        <v/>
      </c>
      <c r="P930" s="117">
        <f>P929+IF(AND($H930&lt;&gt;"",OR(LEFT($F930,LEN(SC_TK))=SC_TK,LEFT($G930,LEN(SC_TK))=SC_TK)),1,0)</f>
        <v/>
      </c>
    </row>
    <row r="931" ht="15" customHeight="1" s="78">
      <c r="A931" s="95">
        <f>IF($H931="","",ROW()-6)</f>
        <v/>
      </c>
      <c r="B931" s="114" t="n"/>
      <c r="C931" s="102" t="n"/>
      <c r="D931" s="114" t="n"/>
      <c r="E931" s="103" t="n"/>
      <c r="F931" s="102" t="n"/>
      <c r="G931" s="102" t="n"/>
      <c r="H931" s="115" t="n"/>
      <c r="I931" s="102" t="n"/>
      <c r="J931" s="102" t="n"/>
      <c r="K931" s="103" t="n"/>
      <c r="L931" s="116">
        <f>IF($H931="","",TRIM(IF(COUNTIF(DMTK!$A$7:$A$250,$F931)=0,"TK Nợ sai! ","")&amp;IF(COUNTIF(DMTK!$A$7:$A$250,$G931)=0,"TK Có sai! ","")&amp;IF(N($H931)&lt;=0,"Tiền phải &gt; 0! ","")&amp;IF($B931="","Thiếu ngày! ","")&amp;IF(AND(OR(LEFT($F931,3)="131",LEFT($G931,3)="131",LEFT($F931,3)="331",LEFT($G931,3)="331"),$I931=""),"Thiếu Mã ĐT! ","")&amp;IF(AND($I931&lt;&gt;"",COUNTIF(DM_DT!$A$7:$A$306,$I931)=0),"Mã ĐT chưa khai báo! ","")))</f>
        <v/>
      </c>
      <c r="M931" s="117">
        <f>IF($H931="","",IF(AND(OR(LEFT($F931,3)="111",LEFT($F931,3)="112",LEFT($F931,3)="113"),OR(LEFT($G931,3)="111",LEFT($G931,3)="112",LEFT($G931,3)="113")),"NB",IF(OR(LEFT($F931,3)="111",LEFT($F931,3)="112",LEFT($F931,3)="113"),"THU",IF(OR(LEFT($G931,3)="111",LEFT($G931,3)="112",LEFT($G931,3)="113"),"CHI",""))))</f>
        <v/>
      </c>
      <c r="N931" s="117">
        <f>IF($M931="THU",$G931,IF($M931="CHI",$F931,""))</f>
        <v/>
      </c>
      <c r="O931" s="117">
        <f>IF(OR($M931="",$M931="NB"),"",IF($J931&lt;&gt;"",TEXT($J931,"00"),IFERROR(VLOOKUP(LEFT($N931,4),LCTT_MAP!$A$7:$C$66,IF($M931="THU",2,3),FALSE()),IFERROR(VLOOKUP(LEFT($N931,3),LCTT_MAP!$A$7:$C$66,IF($M931="THU",2,3),FALSE()),IFERROR(VLOOKUP(LEFT($N931,2),LCTT_MAP!$A$7:$C$66,IF($M931="THU",2,3),FALSE()),IFERROR(VLOOKUP(LEFT($N931,1),LCTT_MAP!$A$7:$C$66,IF($M931="THU",2,3),FALSE()),IF($M931="THU","06","07")))))))</f>
        <v/>
      </c>
      <c r="P931" s="117">
        <f>P930+IF(AND($H931&lt;&gt;"",OR(LEFT($F931,LEN(SC_TK))=SC_TK,LEFT($G931,LEN(SC_TK))=SC_TK)),1,0)</f>
        <v/>
      </c>
    </row>
    <row r="932" ht="15" customHeight="1" s="78">
      <c r="A932" s="95">
        <f>IF($H932="","",ROW()-6)</f>
        <v/>
      </c>
      <c r="B932" s="114" t="n"/>
      <c r="C932" s="102" t="n"/>
      <c r="D932" s="114" t="n"/>
      <c r="E932" s="103" t="n"/>
      <c r="F932" s="102" t="n"/>
      <c r="G932" s="102" t="n"/>
      <c r="H932" s="115" t="n"/>
      <c r="I932" s="102" t="n"/>
      <c r="J932" s="102" t="n"/>
      <c r="K932" s="103" t="n"/>
      <c r="L932" s="116">
        <f>IF($H932="","",TRIM(IF(COUNTIF(DMTK!$A$7:$A$250,$F932)=0,"TK Nợ sai! ","")&amp;IF(COUNTIF(DMTK!$A$7:$A$250,$G932)=0,"TK Có sai! ","")&amp;IF(N($H932)&lt;=0,"Tiền phải &gt; 0! ","")&amp;IF($B932="","Thiếu ngày! ","")&amp;IF(AND(OR(LEFT($F932,3)="131",LEFT($G932,3)="131",LEFT($F932,3)="331",LEFT($G932,3)="331"),$I932=""),"Thiếu Mã ĐT! ","")&amp;IF(AND($I932&lt;&gt;"",COUNTIF(DM_DT!$A$7:$A$306,$I932)=0),"Mã ĐT chưa khai báo! ","")))</f>
        <v/>
      </c>
      <c r="M932" s="117">
        <f>IF($H932="","",IF(AND(OR(LEFT($F932,3)="111",LEFT($F932,3)="112",LEFT($F932,3)="113"),OR(LEFT($G932,3)="111",LEFT($G932,3)="112",LEFT($G932,3)="113")),"NB",IF(OR(LEFT($F932,3)="111",LEFT($F932,3)="112",LEFT($F932,3)="113"),"THU",IF(OR(LEFT($G932,3)="111",LEFT($G932,3)="112",LEFT($G932,3)="113"),"CHI",""))))</f>
        <v/>
      </c>
      <c r="N932" s="117">
        <f>IF($M932="THU",$G932,IF($M932="CHI",$F932,""))</f>
        <v/>
      </c>
      <c r="O932" s="117">
        <f>IF(OR($M932="",$M932="NB"),"",IF($J932&lt;&gt;"",TEXT($J932,"00"),IFERROR(VLOOKUP(LEFT($N932,4),LCTT_MAP!$A$7:$C$66,IF($M932="THU",2,3),FALSE()),IFERROR(VLOOKUP(LEFT($N932,3),LCTT_MAP!$A$7:$C$66,IF($M932="THU",2,3),FALSE()),IFERROR(VLOOKUP(LEFT($N932,2),LCTT_MAP!$A$7:$C$66,IF($M932="THU",2,3),FALSE()),IFERROR(VLOOKUP(LEFT($N932,1),LCTT_MAP!$A$7:$C$66,IF($M932="THU",2,3),FALSE()),IF($M932="THU","06","07")))))))</f>
        <v/>
      </c>
      <c r="P932" s="117">
        <f>P931+IF(AND($H932&lt;&gt;"",OR(LEFT($F932,LEN(SC_TK))=SC_TK,LEFT($G932,LEN(SC_TK))=SC_TK)),1,0)</f>
        <v/>
      </c>
    </row>
    <row r="933" ht="15" customHeight="1" s="78">
      <c r="A933" s="95">
        <f>IF($H933="","",ROW()-6)</f>
        <v/>
      </c>
      <c r="B933" s="114" t="n"/>
      <c r="C933" s="102" t="n"/>
      <c r="D933" s="114" t="n"/>
      <c r="E933" s="103" t="n"/>
      <c r="F933" s="102" t="n"/>
      <c r="G933" s="102" t="n"/>
      <c r="H933" s="115" t="n"/>
      <c r="I933" s="102" t="n"/>
      <c r="J933" s="102" t="n"/>
      <c r="K933" s="103" t="n"/>
      <c r="L933" s="116">
        <f>IF($H933="","",TRIM(IF(COUNTIF(DMTK!$A$7:$A$250,$F933)=0,"TK Nợ sai! ","")&amp;IF(COUNTIF(DMTK!$A$7:$A$250,$G933)=0,"TK Có sai! ","")&amp;IF(N($H933)&lt;=0,"Tiền phải &gt; 0! ","")&amp;IF($B933="","Thiếu ngày! ","")&amp;IF(AND(OR(LEFT($F933,3)="131",LEFT($G933,3)="131",LEFT($F933,3)="331",LEFT($G933,3)="331"),$I933=""),"Thiếu Mã ĐT! ","")&amp;IF(AND($I933&lt;&gt;"",COUNTIF(DM_DT!$A$7:$A$306,$I933)=0),"Mã ĐT chưa khai báo! ","")))</f>
        <v/>
      </c>
      <c r="M933" s="117">
        <f>IF($H933="","",IF(AND(OR(LEFT($F933,3)="111",LEFT($F933,3)="112",LEFT($F933,3)="113"),OR(LEFT($G933,3)="111",LEFT($G933,3)="112",LEFT($G933,3)="113")),"NB",IF(OR(LEFT($F933,3)="111",LEFT($F933,3)="112",LEFT($F933,3)="113"),"THU",IF(OR(LEFT($G933,3)="111",LEFT($G933,3)="112",LEFT($G933,3)="113"),"CHI",""))))</f>
        <v/>
      </c>
      <c r="N933" s="117">
        <f>IF($M933="THU",$G933,IF($M933="CHI",$F933,""))</f>
        <v/>
      </c>
      <c r="O933" s="117">
        <f>IF(OR($M933="",$M933="NB"),"",IF($J933&lt;&gt;"",TEXT($J933,"00"),IFERROR(VLOOKUP(LEFT($N933,4),LCTT_MAP!$A$7:$C$66,IF($M933="THU",2,3),FALSE()),IFERROR(VLOOKUP(LEFT($N933,3),LCTT_MAP!$A$7:$C$66,IF($M933="THU",2,3),FALSE()),IFERROR(VLOOKUP(LEFT($N933,2),LCTT_MAP!$A$7:$C$66,IF($M933="THU",2,3),FALSE()),IFERROR(VLOOKUP(LEFT($N933,1),LCTT_MAP!$A$7:$C$66,IF($M933="THU",2,3),FALSE()),IF($M933="THU","06","07")))))))</f>
        <v/>
      </c>
      <c r="P933" s="117">
        <f>P932+IF(AND($H933&lt;&gt;"",OR(LEFT($F933,LEN(SC_TK))=SC_TK,LEFT($G933,LEN(SC_TK))=SC_TK)),1,0)</f>
        <v/>
      </c>
    </row>
    <row r="934" ht="15" customHeight="1" s="78">
      <c r="A934" s="95">
        <f>IF($H934="","",ROW()-6)</f>
        <v/>
      </c>
      <c r="B934" s="114" t="n"/>
      <c r="C934" s="102" t="n"/>
      <c r="D934" s="114" t="n"/>
      <c r="E934" s="103" t="n"/>
      <c r="F934" s="102" t="n"/>
      <c r="G934" s="102" t="n"/>
      <c r="H934" s="115" t="n"/>
      <c r="I934" s="102" t="n"/>
      <c r="J934" s="102" t="n"/>
      <c r="K934" s="103" t="n"/>
      <c r="L934" s="116">
        <f>IF($H934="","",TRIM(IF(COUNTIF(DMTK!$A$7:$A$250,$F934)=0,"TK Nợ sai! ","")&amp;IF(COUNTIF(DMTK!$A$7:$A$250,$G934)=0,"TK Có sai! ","")&amp;IF(N($H934)&lt;=0,"Tiền phải &gt; 0! ","")&amp;IF($B934="","Thiếu ngày! ","")&amp;IF(AND(OR(LEFT($F934,3)="131",LEFT($G934,3)="131",LEFT($F934,3)="331",LEFT($G934,3)="331"),$I934=""),"Thiếu Mã ĐT! ","")&amp;IF(AND($I934&lt;&gt;"",COUNTIF(DM_DT!$A$7:$A$306,$I934)=0),"Mã ĐT chưa khai báo! ","")))</f>
        <v/>
      </c>
      <c r="M934" s="117">
        <f>IF($H934="","",IF(AND(OR(LEFT($F934,3)="111",LEFT($F934,3)="112",LEFT($F934,3)="113"),OR(LEFT($G934,3)="111",LEFT($G934,3)="112",LEFT($G934,3)="113")),"NB",IF(OR(LEFT($F934,3)="111",LEFT($F934,3)="112",LEFT($F934,3)="113"),"THU",IF(OR(LEFT($G934,3)="111",LEFT($G934,3)="112",LEFT($G934,3)="113"),"CHI",""))))</f>
        <v/>
      </c>
      <c r="N934" s="117">
        <f>IF($M934="THU",$G934,IF($M934="CHI",$F934,""))</f>
        <v/>
      </c>
      <c r="O934" s="117">
        <f>IF(OR($M934="",$M934="NB"),"",IF($J934&lt;&gt;"",TEXT($J934,"00"),IFERROR(VLOOKUP(LEFT($N934,4),LCTT_MAP!$A$7:$C$66,IF($M934="THU",2,3),FALSE()),IFERROR(VLOOKUP(LEFT($N934,3),LCTT_MAP!$A$7:$C$66,IF($M934="THU",2,3),FALSE()),IFERROR(VLOOKUP(LEFT($N934,2),LCTT_MAP!$A$7:$C$66,IF($M934="THU",2,3),FALSE()),IFERROR(VLOOKUP(LEFT($N934,1),LCTT_MAP!$A$7:$C$66,IF($M934="THU",2,3),FALSE()),IF($M934="THU","06","07")))))))</f>
        <v/>
      </c>
      <c r="P934" s="117">
        <f>P933+IF(AND($H934&lt;&gt;"",OR(LEFT($F934,LEN(SC_TK))=SC_TK,LEFT($G934,LEN(SC_TK))=SC_TK)),1,0)</f>
        <v/>
      </c>
    </row>
    <row r="935" ht="15" customHeight="1" s="78">
      <c r="A935" s="95">
        <f>IF($H935="","",ROW()-6)</f>
        <v/>
      </c>
      <c r="B935" s="114" t="n"/>
      <c r="C935" s="102" t="n"/>
      <c r="D935" s="114" t="n"/>
      <c r="E935" s="103" t="n"/>
      <c r="F935" s="102" t="n"/>
      <c r="G935" s="102" t="n"/>
      <c r="H935" s="115" t="n"/>
      <c r="I935" s="102" t="n"/>
      <c r="J935" s="102" t="n"/>
      <c r="K935" s="103" t="n"/>
      <c r="L935" s="116">
        <f>IF($H935="","",TRIM(IF(COUNTIF(DMTK!$A$7:$A$250,$F935)=0,"TK Nợ sai! ","")&amp;IF(COUNTIF(DMTK!$A$7:$A$250,$G935)=0,"TK Có sai! ","")&amp;IF(N($H935)&lt;=0,"Tiền phải &gt; 0! ","")&amp;IF($B935="","Thiếu ngày! ","")&amp;IF(AND(OR(LEFT($F935,3)="131",LEFT($G935,3)="131",LEFT($F935,3)="331",LEFT($G935,3)="331"),$I935=""),"Thiếu Mã ĐT! ","")&amp;IF(AND($I935&lt;&gt;"",COUNTIF(DM_DT!$A$7:$A$306,$I935)=0),"Mã ĐT chưa khai báo! ","")))</f>
        <v/>
      </c>
      <c r="M935" s="117">
        <f>IF($H935="","",IF(AND(OR(LEFT($F935,3)="111",LEFT($F935,3)="112",LEFT($F935,3)="113"),OR(LEFT($G935,3)="111",LEFT($G935,3)="112",LEFT($G935,3)="113")),"NB",IF(OR(LEFT($F935,3)="111",LEFT($F935,3)="112",LEFT($F935,3)="113"),"THU",IF(OR(LEFT($G935,3)="111",LEFT($G935,3)="112",LEFT($G935,3)="113"),"CHI",""))))</f>
        <v/>
      </c>
      <c r="N935" s="117">
        <f>IF($M935="THU",$G935,IF($M935="CHI",$F935,""))</f>
        <v/>
      </c>
      <c r="O935" s="117">
        <f>IF(OR($M935="",$M935="NB"),"",IF($J935&lt;&gt;"",TEXT($J935,"00"),IFERROR(VLOOKUP(LEFT($N935,4),LCTT_MAP!$A$7:$C$66,IF($M935="THU",2,3),FALSE()),IFERROR(VLOOKUP(LEFT($N935,3),LCTT_MAP!$A$7:$C$66,IF($M935="THU",2,3),FALSE()),IFERROR(VLOOKUP(LEFT($N935,2),LCTT_MAP!$A$7:$C$66,IF($M935="THU",2,3),FALSE()),IFERROR(VLOOKUP(LEFT($N935,1),LCTT_MAP!$A$7:$C$66,IF($M935="THU",2,3),FALSE()),IF($M935="THU","06","07")))))))</f>
        <v/>
      </c>
      <c r="P935" s="117">
        <f>P934+IF(AND($H935&lt;&gt;"",OR(LEFT($F935,LEN(SC_TK))=SC_TK,LEFT($G935,LEN(SC_TK))=SC_TK)),1,0)</f>
        <v/>
      </c>
    </row>
    <row r="936" ht="15" customHeight="1" s="78">
      <c r="A936" s="95">
        <f>IF($H936="","",ROW()-6)</f>
        <v/>
      </c>
      <c r="B936" s="114" t="n"/>
      <c r="C936" s="102" t="n"/>
      <c r="D936" s="114" t="n"/>
      <c r="E936" s="103" t="n"/>
      <c r="F936" s="102" t="n"/>
      <c r="G936" s="102" t="n"/>
      <c r="H936" s="115" t="n"/>
      <c r="I936" s="102" t="n"/>
      <c r="J936" s="102" t="n"/>
      <c r="K936" s="103" t="n"/>
      <c r="L936" s="116">
        <f>IF($H936="","",TRIM(IF(COUNTIF(DMTK!$A$7:$A$250,$F936)=0,"TK Nợ sai! ","")&amp;IF(COUNTIF(DMTK!$A$7:$A$250,$G936)=0,"TK Có sai! ","")&amp;IF(N($H936)&lt;=0,"Tiền phải &gt; 0! ","")&amp;IF($B936="","Thiếu ngày! ","")&amp;IF(AND(OR(LEFT($F936,3)="131",LEFT($G936,3)="131",LEFT($F936,3)="331",LEFT($G936,3)="331"),$I936=""),"Thiếu Mã ĐT! ","")&amp;IF(AND($I936&lt;&gt;"",COUNTIF(DM_DT!$A$7:$A$306,$I936)=0),"Mã ĐT chưa khai báo! ","")))</f>
        <v/>
      </c>
      <c r="M936" s="117">
        <f>IF($H936="","",IF(AND(OR(LEFT($F936,3)="111",LEFT($F936,3)="112",LEFT($F936,3)="113"),OR(LEFT($G936,3)="111",LEFT($G936,3)="112",LEFT($G936,3)="113")),"NB",IF(OR(LEFT($F936,3)="111",LEFT($F936,3)="112",LEFT($F936,3)="113"),"THU",IF(OR(LEFT($G936,3)="111",LEFT($G936,3)="112",LEFT($G936,3)="113"),"CHI",""))))</f>
        <v/>
      </c>
      <c r="N936" s="117">
        <f>IF($M936="THU",$G936,IF($M936="CHI",$F936,""))</f>
        <v/>
      </c>
      <c r="O936" s="117">
        <f>IF(OR($M936="",$M936="NB"),"",IF($J936&lt;&gt;"",TEXT($J936,"00"),IFERROR(VLOOKUP(LEFT($N936,4),LCTT_MAP!$A$7:$C$66,IF($M936="THU",2,3),FALSE()),IFERROR(VLOOKUP(LEFT($N936,3),LCTT_MAP!$A$7:$C$66,IF($M936="THU",2,3),FALSE()),IFERROR(VLOOKUP(LEFT($N936,2),LCTT_MAP!$A$7:$C$66,IF($M936="THU",2,3),FALSE()),IFERROR(VLOOKUP(LEFT($N936,1),LCTT_MAP!$A$7:$C$66,IF($M936="THU",2,3),FALSE()),IF($M936="THU","06","07")))))))</f>
        <v/>
      </c>
      <c r="P936" s="117">
        <f>P935+IF(AND($H936&lt;&gt;"",OR(LEFT($F936,LEN(SC_TK))=SC_TK,LEFT($G936,LEN(SC_TK))=SC_TK)),1,0)</f>
        <v/>
      </c>
    </row>
    <row r="937" ht="15" customHeight="1" s="78">
      <c r="A937" s="95">
        <f>IF($H937="","",ROW()-6)</f>
        <v/>
      </c>
      <c r="B937" s="114" t="n"/>
      <c r="C937" s="102" t="n"/>
      <c r="D937" s="114" t="n"/>
      <c r="E937" s="103" t="n"/>
      <c r="F937" s="102" t="n"/>
      <c r="G937" s="102" t="n"/>
      <c r="H937" s="115" t="n"/>
      <c r="I937" s="102" t="n"/>
      <c r="J937" s="102" t="n"/>
      <c r="K937" s="103" t="n"/>
      <c r="L937" s="116">
        <f>IF($H937="","",TRIM(IF(COUNTIF(DMTK!$A$7:$A$250,$F937)=0,"TK Nợ sai! ","")&amp;IF(COUNTIF(DMTK!$A$7:$A$250,$G937)=0,"TK Có sai! ","")&amp;IF(N($H937)&lt;=0,"Tiền phải &gt; 0! ","")&amp;IF($B937="","Thiếu ngày! ","")&amp;IF(AND(OR(LEFT($F937,3)="131",LEFT($G937,3)="131",LEFT($F937,3)="331",LEFT($G937,3)="331"),$I937=""),"Thiếu Mã ĐT! ","")&amp;IF(AND($I937&lt;&gt;"",COUNTIF(DM_DT!$A$7:$A$306,$I937)=0),"Mã ĐT chưa khai báo! ","")))</f>
        <v/>
      </c>
      <c r="M937" s="117">
        <f>IF($H937="","",IF(AND(OR(LEFT($F937,3)="111",LEFT($F937,3)="112",LEFT($F937,3)="113"),OR(LEFT($G937,3)="111",LEFT($G937,3)="112",LEFT($G937,3)="113")),"NB",IF(OR(LEFT($F937,3)="111",LEFT($F937,3)="112",LEFT($F937,3)="113"),"THU",IF(OR(LEFT($G937,3)="111",LEFT($G937,3)="112",LEFT($G937,3)="113"),"CHI",""))))</f>
        <v/>
      </c>
      <c r="N937" s="117">
        <f>IF($M937="THU",$G937,IF($M937="CHI",$F937,""))</f>
        <v/>
      </c>
      <c r="O937" s="117">
        <f>IF(OR($M937="",$M937="NB"),"",IF($J937&lt;&gt;"",TEXT($J937,"00"),IFERROR(VLOOKUP(LEFT($N937,4),LCTT_MAP!$A$7:$C$66,IF($M937="THU",2,3),FALSE()),IFERROR(VLOOKUP(LEFT($N937,3),LCTT_MAP!$A$7:$C$66,IF($M937="THU",2,3),FALSE()),IFERROR(VLOOKUP(LEFT($N937,2),LCTT_MAP!$A$7:$C$66,IF($M937="THU",2,3),FALSE()),IFERROR(VLOOKUP(LEFT($N937,1),LCTT_MAP!$A$7:$C$66,IF($M937="THU",2,3),FALSE()),IF($M937="THU","06","07")))))))</f>
        <v/>
      </c>
      <c r="P937" s="117">
        <f>P936+IF(AND($H937&lt;&gt;"",OR(LEFT($F937,LEN(SC_TK))=SC_TK,LEFT($G937,LEN(SC_TK))=SC_TK)),1,0)</f>
        <v/>
      </c>
    </row>
    <row r="938" ht="15" customHeight="1" s="78">
      <c r="A938" s="95">
        <f>IF($H938="","",ROW()-6)</f>
        <v/>
      </c>
      <c r="B938" s="114" t="n"/>
      <c r="C938" s="102" t="n"/>
      <c r="D938" s="114" t="n"/>
      <c r="E938" s="103" t="n"/>
      <c r="F938" s="102" t="n"/>
      <c r="G938" s="102" t="n"/>
      <c r="H938" s="115" t="n"/>
      <c r="I938" s="102" t="n"/>
      <c r="J938" s="102" t="n"/>
      <c r="K938" s="103" t="n"/>
      <c r="L938" s="116">
        <f>IF($H938="","",TRIM(IF(COUNTIF(DMTK!$A$7:$A$250,$F938)=0,"TK Nợ sai! ","")&amp;IF(COUNTIF(DMTK!$A$7:$A$250,$G938)=0,"TK Có sai! ","")&amp;IF(N($H938)&lt;=0,"Tiền phải &gt; 0! ","")&amp;IF($B938="","Thiếu ngày! ","")&amp;IF(AND(OR(LEFT($F938,3)="131",LEFT($G938,3)="131",LEFT($F938,3)="331",LEFT($G938,3)="331"),$I938=""),"Thiếu Mã ĐT! ","")&amp;IF(AND($I938&lt;&gt;"",COUNTIF(DM_DT!$A$7:$A$306,$I938)=0),"Mã ĐT chưa khai báo! ","")))</f>
        <v/>
      </c>
      <c r="M938" s="117">
        <f>IF($H938="","",IF(AND(OR(LEFT($F938,3)="111",LEFT($F938,3)="112",LEFT($F938,3)="113"),OR(LEFT($G938,3)="111",LEFT($G938,3)="112",LEFT($G938,3)="113")),"NB",IF(OR(LEFT($F938,3)="111",LEFT($F938,3)="112",LEFT($F938,3)="113"),"THU",IF(OR(LEFT($G938,3)="111",LEFT($G938,3)="112",LEFT($G938,3)="113"),"CHI",""))))</f>
        <v/>
      </c>
      <c r="N938" s="117">
        <f>IF($M938="THU",$G938,IF($M938="CHI",$F938,""))</f>
        <v/>
      </c>
      <c r="O938" s="117">
        <f>IF(OR($M938="",$M938="NB"),"",IF($J938&lt;&gt;"",TEXT($J938,"00"),IFERROR(VLOOKUP(LEFT($N938,4),LCTT_MAP!$A$7:$C$66,IF($M938="THU",2,3),FALSE()),IFERROR(VLOOKUP(LEFT($N938,3),LCTT_MAP!$A$7:$C$66,IF($M938="THU",2,3),FALSE()),IFERROR(VLOOKUP(LEFT($N938,2),LCTT_MAP!$A$7:$C$66,IF($M938="THU",2,3),FALSE()),IFERROR(VLOOKUP(LEFT($N938,1),LCTT_MAP!$A$7:$C$66,IF($M938="THU",2,3),FALSE()),IF($M938="THU","06","07")))))))</f>
        <v/>
      </c>
      <c r="P938" s="117">
        <f>P937+IF(AND($H938&lt;&gt;"",OR(LEFT($F938,LEN(SC_TK))=SC_TK,LEFT($G938,LEN(SC_TK))=SC_TK)),1,0)</f>
        <v/>
      </c>
    </row>
    <row r="939" ht="15" customHeight="1" s="78">
      <c r="A939" s="95">
        <f>IF($H939="","",ROW()-6)</f>
        <v/>
      </c>
      <c r="B939" s="114" t="n"/>
      <c r="C939" s="102" t="n"/>
      <c r="D939" s="114" t="n"/>
      <c r="E939" s="103" t="n"/>
      <c r="F939" s="102" t="n"/>
      <c r="G939" s="102" t="n"/>
      <c r="H939" s="115" t="n"/>
      <c r="I939" s="102" t="n"/>
      <c r="J939" s="102" t="n"/>
      <c r="K939" s="103" t="n"/>
      <c r="L939" s="116">
        <f>IF($H939="","",TRIM(IF(COUNTIF(DMTK!$A$7:$A$250,$F939)=0,"TK Nợ sai! ","")&amp;IF(COUNTIF(DMTK!$A$7:$A$250,$G939)=0,"TK Có sai! ","")&amp;IF(N($H939)&lt;=0,"Tiền phải &gt; 0! ","")&amp;IF($B939="","Thiếu ngày! ","")&amp;IF(AND(OR(LEFT($F939,3)="131",LEFT($G939,3)="131",LEFT($F939,3)="331",LEFT($G939,3)="331"),$I939=""),"Thiếu Mã ĐT! ","")&amp;IF(AND($I939&lt;&gt;"",COUNTIF(DM_DT!$A$7:$A$306,$I939)=0),"Mã ĐT chưa khai báo! ","")))</f>
        <v/>
      </c>
      <c r="M939" s="117">
        <f>IF($H939="","",IF(AND(OR(LEFT($F939,3)="111",LEFT($F939,3)="112",LEFT($F939,3)="113"),OR(LEFT($G939,3)="111",LEFT($G939,3)="112",LEFT($G939,3)="113")),"NB",IF(OR(LEFT($F939,3)="111",LEFT($F939,3)="112",LEFT($F939,3)="113"),"THU",IF(OR(LEFT($G939,3)="111",LEFT($G939,3)="112",LEFT($G939,3)="113"),"CHI",""))))</f>
        <v/>
      </c>
      <c r="N939" s="117">
        <f>IF($M939="THU",$G939,IF($M939="CHI",$F939,""))</f>
        <v/>
      </c>
      <c r="O939" s="117">
        <f>IF(OR($M939="",$M939="NB"),"",IF($J939&lt;&gt;"",TEXT($J939,"00"),IFERROR(VLOOKUP(LEFT($N939,4),LCTT_MAP!$A$7:$C$66,IF($M939="THU",2,3),FALSE()),IFERROR(VLOOKUP(LEFT($N939,3),LCTT_MAP!$A$7:$C$66,IF($M939="THU",2,3),FALSE()),IFERROR(VLOOKUP(LEFT($N939,2),LCTT_MAP!$A$7:$C$66,IF($M939="THU",2,3),FALSE()),IFERROR(VLOOKUP(LEFT($N939,1),LCTT_MAP!$A$7:$C$66,IF($M939="THU",2,3),FALSE()),IF($M939="THU","06","07")))))))</f>
        <v/>
      </c>
      <c r="P939" s="117">
        <f>P938+IF(AND($H939&lt;&gt;"",OR(LEFT($F939,LEN(SC_TK))=SC_TK,LEFT($G939,LEN(SC_TK))=SC_TK)),1,0)</f>
        <v/>
      </c>
    </row>
    <row r="940" ht="15" customHeight="1" s="78">
      <c r="A940" s="95">
        <f>IF($H940="","",ROW()-6)</f>
        <v/>
      </c>
      <c r="B940" s="114" t="n"/>
      <c r="C940" s="102" t="n"/>
      <c r="D940" s="114" t="n"/>
      <c r="E940" s="103" t="n"/>
      <c r="F940" s="102" t="n"/>
      <c r="G940" s="102" t="n"/>
      <c r="H940" s="115" t="n"/>
      <c r="I940" s="102" t="n"/>
      <c r="J940" s="102" t="n"/>
      <c r="K940" s="103" t="n"/>
      <c r="L940" s="116">
        <f>IF($H940="","",TRIM(IF(COUNTIF(DMTK!$A$7:$A$250,$F940)=0,"TK Nợ sai! ","")&amp;IF(COUNTIF(DMTK!$A$7:$A$250,$G940)=0,"TK Có sai! ","")&amp;IF(N($H940)&lt;=0,"Tiền phải &gt; 0! ","")&amp;IF($B940="","Thiếu ngày! ","")&amp;IF(AND(OR(LEFT($F940,3)="131",LEFT($G940,3)="131",LEFT($F940,3)="331",LEFT($G940,3)="331"),$I940=""),"Thiếu Mã ĐT! ","")&amp;IF(AND($I940&lt;&gt;"",COUNTIF(DM_DT!$A$7:$A$306,$I940)=0),"Mã ĐT chưa khai báo! ","")))</f>
        <v/>
      </c>
      <c r="M940" s="117">
        <f>IF($H940="","",IF(AND(OR(LEFT($F940,3)="111",LEFT($F940,3)="112",LEFT($F940,3)="113"),OR(LEFT($G940,3)="111",LEFT($G940,3)="112",LEFT($G940,3)="113")),"NB",IF(OR(LEFT($F940,3)="111",LEFT($F940,3)="112",LEFT($F940,3)="113"),"THU",IF(OR(LEFT($G940,3)="111",LEFT($G940,3)="112",LEFT($G940,3)="113"),"CHI",""))))</f>
        <v/>
      </c>
      <c r="N940" s="117">
        <f>IF($M940="THU",$G940,IF($M940="CHI",$F940,""))</f>
        <v/>
      </c>
      <c r="O940" s="117">
        <f>IF(OR($M940="",$M940="NB"),"",IF($J940&lt;&gt;"",TEXT($J940,"00"),IFERROR(VLOOKUP(LEFT($N940,4),LCTT_MAP!$A$7:$C$66,IF($M940="THU",2,3),FALSE()),IFERROR(VLOOKUP(LEFT($N940,3),LCTT_MAP!$A$7:$C$66,IF($M940="THU",2,3),FALSE()),IFERROR(VLOOKUP(LEFT($N940,2),LCTT_MAP!$A$7:$C$66,IF($M940="THU",2,3),FALSE()),IFERROR(VLOOKUP(LEFT($N940,1),LCTT_MAP!$A$7:$C$66,IF($M940="THU",2,3),FALSE()),IF($M940="THU","06","07")))))))</f>
        <v/>
      </c>
      <c r="P940" s="117">
        <f>P939+IF(AND($H940&lt;&gt;"",OR(LEFT($F940,LEN(SC_TK))=SC_TK,LEFT($G940,LEN(SC_TK))=SC_TK)),1,0)</f>
        <v/>
      </c>
    </row>
    <row r="941" ht="15" customHeight="1" s="78">
      <c r="A941" s="95">
        <f>IF($H941="","",ROW()-6)</f>
        <v/>
      </c>
      <c r="B941" s="114" t="n"/>
      <c r="C941" s="102" t="n"/>
      <c r="D941" s="114" t="n"/>
      <c r="E941" s="103" t="n"/>
      <c r="F941" s="102" t="n"/>
      <c r="G941" s="102" t="n"/>
      <c r="H941" s="115" t="n"/>
      <c r="I941" s="102" t="n"/>
      <c r="J941" s="102" t="n"/>
      <c r="K941" s="103" t="n"/>
      <c r="L941" s="116">
        <f>IF($H941="","",TRIM(IF(COUNTIF(DMTK!$A$7:$A$250,$F941)=0,"TK Nợ sai! ","")&amp;IF(COUNTIF(DMTK!$A$7:$A$250,$G941)=0,"TK Có sai! ","")&amp;IF(N($H941)&lt;=0,"Tiền phải &gt; 0! ","")&amp;IF($B941="","Thiếu ngày! ","")&amp;IF(AND(OR(LEFT($F941,3)="131",LEFT($G941,3)="131",LEFT($F941,3)="331",LEFT($G941,3)="331"),$I941=""),"Thiếu Mã ĐT! ","")&amp;IF(AND($I941&lt;&gt;"",COUNTIF(DM_DT!$A$7:$A$306,$I941)=0),"Mã ĐT chưa khai báo! ","")))</f>
        <v/>
      </c>
      <c r="M941" s="117">
        <f>IF($H941="","",IF(AND(OR(LEFT($F941,3)="111",LEFT($F941,3)="112",LEFT($F941,3)="113"),OR(LEFT($G941,3)="111",LEFT($G941,3)="112",LEFT($G941,3)="113")),"NB",IF(OR(LEFT($F941,3)="111",LEFT($F941,3)="112",LEFT($F941,3)="113"),"THU",IF(OR(LEFT($G941,3)="111",LEFT($G941,3)="112",LEFT($G941,3)="113"),"CHI",""))))</f>
        <v/>
      </c>
      <c r="N941" s="117">
        <f>IF($M941="THU",$G941,IF($M941="CHI",$F941,""))</f>
        <v/>
      </c>
      <c r="O941" s="117">
        <f>IF(OR($M941="",$M941="NB"),"",IF($J941&lt;&gt;"",TEXT($J941,"00"),IFERROR(VLOOKUP(LEFT($N941,4),LCTT_MAP!$A$7:$C$66,IF($M941="THU",2,3),FALSE()),IFERROR(VLOOKUP(LEFT($N941,3),LCTT_MAP!$A$7:$C$66,IF($M941="THU",2,3),FALSE()),IFERROR(VLOOKUP(LEFT($N941,2),LCTT_MAP!$A$7:$C$66,IF($M941="THU",2,3),FALSE()),IFERROR(VLOOKUP(LEFT($N941,1),LCTT_MAP!$A$7:$C$66,IF($M941="THU",2,3),FALSE()),IF($M941="THU","06","07")))))))</f>
        <v/>
      </c>
      <c r="P941" s="117">
        <f>P940+IF(AND($H941&lt;&gt;"",OR(LEFT($F941,LEN(SC_TK))=SC_TK,LEFT($G941,LEN(SC_TK))=SC_TK)),1,0)</f>
        <v/>
      </c>
    </row>
    <row r="942" ht="15" customHeight="1" s="78">
      <c r="A942" s="95">
        <f>IF($H942="","",ROW()-6)</f>
        <v/>
      </c>
      <c r="B942" s="114" t="n"/>
      <c r="C942" s="102" t="n"/>
      <c r="D942" s="114" t="n"/>
      <c r="E942" s="103" t="n"/>
      <c r="F942" s="102" t="n"/>
      <c r="G942" s="102" t="n"/>
      <c r="H942" s="115" t="n"/>
      <c r="I942" s="102" t="n"/>
      <c r="J942" s="102" t="n"/>
      <c r="K942" s="103" t="n"/>
      <c r="L942" s="116">
        <f>IF($H942="","",TRIM(IF(COUNTIF(DMTK!$A$7:$A$250,$F942)=0,"TK Nợ sai! ","")&amp;IF(COUNTIF(DMTK!$A$7:$A$250,$G942)=0,"TK Có sai! ","")&amp;IF(N($H942)&lt;=0,"Tiền phải &gt; 0! ","")&amp;IF($B942="","Thiếu ngày! ","")&amp;IF(AND(OR(LEFT($F942,3)="131",LEFT($G942,3)="131",LEFT($F942,3)="331",LEFT($G942,3)="331"),$I942=""),"Thiếu Mã ĐT! ","")&amp;IF(AND($I942&lt;&gt;"",COUNTIF(DM_DT!$A$7:$A$306,$I942)=0),"Mã ĐT chưa khai báo! ","")))</f>
        <v/>
      </c>
      <c r="M942" s="117">
        <f>IF($H942="","",IF(AND(OR(LEFT($F942,3)="111",LEFT($F942,3)="112",LEFT($F942,3)="113"),OR(LEFT($G942,3)="111",LEFT($G942,3)="112",LEFT($G942,3)="113")),"NB",IF(OR(LEFT($F942,3)="111",LEFT($F942,3)="112",LEFT($F942,3)="113"),"THU",IF(OR(LEFT($G942,3)="111",LEFT($G942,3)="112",LEFT($G942,3)="113"),"CHI",""))))</f>
        <v/>
      </c>
      <c r="N942" s="117">
        <f>IF($M942="THU",$G942,IF($M942="CHI",$F942,""))</f>
        <v/>
      </c>
      <c r="O942" s="117">
        <f>IF(OR($M942="",$M942="NB"),"",IF($J942&lt;&gt;"",TEXT($J942,"00"),IFERROR(VLOOKUP(LEFT($N942,4),LCTT_MAP!$A$7:$C$66,IF($M942="THU",2,3),FALSE()),IFERROR(VLOOKUP(LEFT($N942,3),LCTT_MAP!$A$7:$C$66,IF($M942="THU",2,3),FALSE()),IFERROR(VLOOKUP(LEFT($N942,2),LCTT_MAP!$A$7:$C$66,IF($M942="THU",2,3),FALSE()),IFERROR(VLOOKUP(LEFT($N942,1),LCTT_MAP!$A$7:$C$66,IF($M942="THU",2,3),FALSE()),IF($M942="THU","06","07")))))))</f>
        <v/>
      </c>
      <c r="P942" s="117">
        <f>P941+IF(AND($H942&lt;&gt;"",OR(LEFT($F942,LEN(SC_TK))=SC_TK,LEFT($G942,LEN(SC_TK))=SC_TK)),1,0)</f>
        <v/>
      </c>
    </row>
    <row r="943" ht="15" customHeight="1" s="78">
      <c r="A943" s="95">
        <f>IF($H943="","",ROW()-6)</f>
        <v/>
      </c>
      <c r="B943" s="114" t="n"/>
      <c r="C943" s="102" t="n"/>
      <c r="D943" s="114" t="n"/>
      <c r="E943" s="103" t="n"/>
      <c r="F943" s="102" t="n"/>
      <c r="G943" s="102" t="n"/>
      <c r="H943" s="115" t="n"/>
      <c r="I943" s="102" t="n"/>
      <c r="J943" s="102" t="n"/>
      <c r="K943" s="103" t="n"/>
      <c r="L943" s="116">
        <f>IF($H943="","",TRIM(IF(COUNTIF(DMTK!$A$7:$A$250,$F943)=0,"TK Nợ sai! ","")&amp;IF(COUNTIF(DMTK!$A$7:$A$250,$G943)=0,"TK Có sai! ","")&amp;IF(N($H943)&lt;=0,"Tiền phải &gt; 0! ","")&amp;IF($B943="","Thiếu ngày! ","")&amp;IF(AND(OR(LEFT($F943,3)="131",LEFT($G943,3)="131",LEFT($F943,3)="331",LEFT($G943,3)="331"),$I943=""),"Thiếu Mã ĐT! ","")&amp;IF(AND($I943&lt;&gt;"",COUNTIF(DM_DT!$A$7:$A$306,$I943)=0),"Mã ĐT chưa khai báo! ","")))</f>
        <v/>
      </c>
      <c r="M943" s="117">
        <f>IF($H943="","",IF(AND(OR(LEFT($F943,3)="111",LEFT($F943,3)="112",LEFT($F943,3)="113"),OR(LEFT($G943,3)="111",LEFT($G943,3)="112",LEFT($G943,3)="113")),"NB",IF(OR(LEFT($F943,3)="111",LEFT($F943,3)="112",LEFT($F943,3)="113"),"THU",IF(OR(LEFT($G943,3)="111",LEFT($G943,3)="112",LEFT($G943,3)="113"),"CHI",""))))</f>
        <v/>
      </c>
      <c r="N943" s="117">
        <f>IF($M943="THU",$G943,IF($M943="CHI",$F943,""))</f>
        <v/>
      </c>
      <c r="O943" s="117">
        <f>IF(OR($M943="",$M943="NB"),"",IF($J943&lt;&gt;"",TEXT($J943,"00"),IFERROR(VLOOKUP(LEFT($N943,4),LCTT_MAP!$A$7:$C$66,IF($M943="THU",2,3),FALSE()),IFERROR(VLOOKUP(LEFT($N943,3),LCTT_MAP!$A$7:$C$66,IF($M943="THU",2,3),FALSE()),IFERROR(VLOOKUP(LEFT($N943,2),LCTT_MAP!$A$7:$C$66,IF($M943="THU",2,3),FALSE()),IFERROR(VLOOKUP(LEFT($N943,1),LCTT_MAP!$A$7:$C$66,IF($M943="THU",2,3),FALSE()),IF($M943="THU","06","07")))))))</f>
        <v/>
      </c>
      <c r="P943" s="117">
        <f>P942+IF(AND($H943&lt;&gt;"",OR(LEFT($F943,LEN(SC_TK))=SC_TK,LEFT($G943,LEN(SC_TK))=SC_TK)),1,0)</f>
        <v/>
      </c>
    </row>
    <row r="944" ht="15" customHeight="1" s="78">
      <c r="A944" s="95">
        <f>IF($H944="","",ROW()-6)</f>
        <v/>
      </c>
      <c r="B944" s="114" t="n"/>
      <c r="C944" s="102" t="n"/>
      <c r="D944" s="114" t="n"/>
      <c r="E944" s="103" t="n"/>
      <c r="F944" s="102" t="n"/>
      <c r="G944" s="102" t="n"/>
      <c r="H944" s="115" t="n"/>
      <c r="I944" s="102" t="n"/>
      <c r="J944" s="102" t="n"/>
      <c r="K944" s="103" t="n"/>
      <c r="L944" s="116">
        <f>IF($H944="","",TRIM(IF(COUNTIF(DMTK!$A$7:$A$250,$F944)=0,"TK Nợ sai! ","")&amp;IF(COUNTIF(DMTK!$A$7:$A$250,$G944)=0,"TK Có sai! ","")&amp;IF(N($H944)&lt;=0,"Tiền phải &gt; 0! ","")&amp;IF($B944="","Thiếu ngày! ","")&amp;IF(AND(OR(LEFT($F944,3)="131",LEFT($G944,3)="131",LEFT($F944,3)="331",LEFT($G944,3)="331"),$I944=""),"Thiếu Mã ĐT! ","")&amp;IF(AND($I944&lt;&gt;"",COUNTIF(DM_DT!$A$7:$A$306,$I944)=0),"Mã ĐT chưa khai báo! ","")))</f>
        <v/>
      </c>
      <c r="M944" s="117">
        <f>IF($H944="","",IF(AND(OR(LEFT($F944,3)="111",LEFT($F944,3)="112",LEFT($F944,3)="113"),OR(LEFT($G944,3)="111",LEFT($G944,3)="112",LEFT($G944,3)="113")),"NB",IF(OR(LEFT($F944,3)="111",LEFT($F944,3)="112",LEFT($F944,3)="113"),"THU",IF(OR(LEFT($G944,3)="111",LEFT($G944,3)="112",LEFT($G944,3)="113"),"CHI",""))))</f>
        <v/>
      </c>
      <c r="N944" s="117">
        <f>IF($M944="THU",$G944,IF($M944="CHI",$F944,""))</f>
        <v/>
      </c>
      <c r="O944" s="117">
        <f>IF(OR($M944="",$M944="NB"),"",IF($J944&lt;&gt;"",TEXT($J944,"00"),IFERROR(VLOOKUP(LEFT($N944,4),LCTT_MAP!$A$7:$C$66,IF($M944="THU",2,3),FALSE()),IFERROR(VLOOKUP(LEFT($N944,3),LCTT_MAP!$A$7:$C$66,IF($M944="THU",2,3),FALSE()),IFERROR(VLOOKUP(LEFT($N944,2),LCTT_MAP!$A$7:$C$66,IF($M944="THU",2,3),FALSE()),IFERROR(VLOOKUP(LEFT($N944,1),LCTT_MAP!$A$7:$C$66,IF($M944="THU",2,3),FALSE()),IF($M944="THU","06","07")))))))</f>
        <v/>
      </c>
      <c r="P944" s="117">
        <f>P943+IF(AND($H944&lt;&gt;"",OR(LEFT($F944,LEN(SC_TK))=SC_TK,LEFT($G944,LEN(SC_TK))=SC_TK)),1,0)</f>
        <v/>
      </c>
    </row>
    <row r="945" ht="15" customHeight="1" s="78">
      <c r="A945" s="95">
        <f>IF($H945="","",ROW()-6)</f>
        <v/>
      </c>
      <c r="B945" s="114" t="n"/>
      <c r="C945" s="102" t="n"/>
      <c r="D945" s="114" t="n"/>
      <c r="E945" s="103" t="n"/>
      <c r="F945" s="102" t="n"/>
      <c r="G945" s="102" t="n"/>
      <c r="H945" s="115" t="n"/>
      <c r="I945" s="102" t="n"/>
      <c r="J945" s="102" t="n"/>
      <c r="K945" s="103" t="n"/>
      <c r="L945" s="116">
        <f>IF($H945="","",TRIM(IF(COUNTIF(DMTK!$A$7:$A$250,$F945)=0,"TK Nợ sai! ","")&amp;IF(COUNTIF(DMTK!$A$7:$A$250,$G945)=0,"TK Có sai! ","")&amp;IF(N($H945)&lt;=0,"Tiền phải &gt; 0! ","")&amp;IF($B945="","Thiếu ngày! ","")&amp;IF(AND(OR(LEFT($F945,3)="131",LEFT($G945,3)="131",LEFT($F945,3)="331",LEFT($G945,3)="331"),$I945=""),"Thiếu Mã ĐT! ","")&amp;IF(AND($I945&lt;&gt;"",COUNTIF(DM_DT!$A$7:$A$306,$I945)=0),"Mã ĐT chưa khai báo! ","")))</f>
        <v/>
      </c>
      <c r="M945" s="117">
        <f>IF($H945="","",IF(AND(OR(LEFT($F945,3)="111",LEFT($F945,3)="112",LEFT($F945,3)="113"),OR(LEFT($G945,3)="111",LEFT($G945,3)="112",LEFT($G945,3)="113")),"NB",IF(OR(LEFT($F945,3)="111",LEFT($F945,3)="112",LEFT($F945,3)="113"),"THU",IF(OR(LEFT($G945,3)="111",LEFT($G945,3)="112",LEFT($G945,3)="113"),"CHI",""))))</f>
        <v/>
      </c>
      <c r="N945" s="117">
        <f>IF($M945="THU",$G945,IF($M945="CHI",$F945,""))</f>
        <v/>
      </c>
      <c r="O945" s="117">
        <f>IF(OR($M945="",$M945="NB"),"",IF($J945&lt;&gt;"",TEXT($J945,"00"),IFERROR(VLOOKUP(LEFT($N945,4),LCTT_MAP!$A$7:$C$66,IF($M945="THU",2,3),FALSE()),IFERROR(VLOOKUP(LEFT($N945,3),LCTT_MAP!$A$7:$C$66,IF($M945="THU",2,3),FALSE()),IFERROR(VLOOKUP(LEFT($N945,2),LCTT_MAP!$A$7:$C$66,IF($M945="THU",2,3),FALSE()),IFERROR(VLOOKUP(LEFT($N945,1),LCTT_MAP!$A$7:$C$66,IF($M945="THU",2,3),FALSE()),IF($M945="THU","06","07")))))))</f>
        <v/>
      </c>
      <c r="P945" s="117">
        <f>P944+IF(AND($H945&lt;&gt;"",OR(LEFT($F945,LEN(SC_TK))=SC_TK,LEFT($G945,LEN(SC_TK))=SC_TK)),1,0)</f>
        <v/>
      </c>
    </row>
    <row r="946" ht="15" customHeight="1" s="78">
      <c r="A946" s="95">
        <f>IF($H946="","",ROW()-6)</f>
        <v/>
      </c>
      <c r="B946" s="114" t="n"/>
      <c r="C946" s="102" t="n"/>
      <c r="D946" s="114" t="n"/>
      <c r="E946" s="103" t="n"/>
      <c r="F946" s="102" t="n"/>
      <c r="G946" s="102" t="n"/>
      <c r="H946" s="115" t="n"/>
      <c r="I946" s="102" t="n"/>
      <c r="J946" s="102" t="n"/>
      <c r="K946" s="103" t="n"/>
      <c r="L946" s="116">
        <f>IF($H946="","",TRIM(IF(COUNTIF(DMTK!$A$7:$A$250,$F946)=0,"TK Nợ sai! ","")&amp;IF(COUNTIF(DMTK!$A$7:$A$250,$G946)=0,"TK Có sai! ","")&amp;IF(N($H946)&lt;=0,"Tiền phải &gt; 0! ","")&amp;IF($B946="","Thiếu ngày! ","")&amp;IF(AND(OR(LEFT($F946,3)="131",LEFT($G946,3)="131",LEFT($F946,3)="331",LEFT($G946,3)="331"),$I946=""),"Thiếu Mã ĐT! ","")&amp;IF(AND($I946&lt;&gt;"",COUNTIF(DM_DT!$A$7:$A$306,$I946)=0),"Mã ĐT chưa khai báo! ","")))</f>
        <v/>
      </c>
      <c r="M946" s="117">
        <f>IF($H946="","",IF(AND(OR(LEFT($F946,3)="111",LEFT($F946,3)="112",LEFT($F946,3)="113"),OR(LEFT($G946,3)="111",LEFT($G946,3)="112",LEFT($G946,3)="113")),"NB",IF(OR(LEFT($F946,3)="111",LEFT($F946,3)="112",LEFT($F946,3)="113"),"THU",IF(OR(LEFT($G946,3)="111",LEFT($G946,3)="112",LEFT($G946,3)="113"),"CHI",""))))</f>
        <v/>
      </c>
      <c r="N946" s="117">
        <f>IF($M946="THU",$G946,IF($M946="CHI",$F946,""))</f>
        <v/>
      </c>
      <c r="O946" s="117">
        <f>IF(OR($M946="",$M946="NB"),"",IF($J946&lt;&gt;"",TEXT($J946,"00"),IFERROR(VLOOKUP(LEFT($N946,4),LCTT_MAP!$A$7:$C$66,IF($M946="THU",2,3),FALSE()),IFERROR(VLOOKUP(LEFT($N946,3),LCTT_MAP!$A$7:$C$66,IF($M946="THU",2,3),FALSE()),IFERROR(VLOOKUP(LEFT($N946,2),LCTT_MAP!$A$7:$C$66,IF($M946="THU",2,3),FALSE()),IFERROR(VLOOKUP(LEFT($N946,1),LCTT_MAP!$A$7:$C$66,IF($M946="THU",2,3),FALSE()),IF($M946="THU","06","07")))))))</f>
        <v/>
      </c>
      <c r="P946" s="117">
        <f>P945+IF(AND($H946&lt;&gt;"",OR(LEFT($F946,LEN(SC_TK))=SC_TK,LEFT($G946,LEN(SC_TK))=SC_TK)),1,0)</f>
        <v/>
      </c>
    </row>
    <row r="947" ht="15" customHeight="1" s="78">
      <c r="A947" s="95">
        <f>IF($H947="","",ROW()-6)</f>
        <v/>
      </c>
      <c r="B947" s="114" t="n"/>
      <c r="C947" s="102" t="n"/>
      <c r="D947" s="114" t="n"/>
      <c r="E947" s="103" t="n"/>
      <c r="F947" s="102" t="n"/>
      <c r="G947" s="102" t="n"/>
      <c r="H947" s="115" t="n"/>
      <c r="I947" s="102" t="n"/>
      <c r="J947" s="102" t="n"/>
      <c r="K947" s="103" t="n"/>
      <c r="L947" s="116">
        <f>IF($H947="","",TRIM(IF(COUNTIF(DMTK!$A$7:$A$250,$F947)=0,"TK Nợ sai! ","")&amp;IF(COUNTIF(DMTK!$A$7:$A$250,$G947)=0,"TK Có sai! ","")&amp;IF(N($H947)&lt;=0,"Tiền phải &gt; 0! ","")&amp;IF($B947="","Thiếu ngày! ","")&amp;IF(AND(OR(LEFT($F947,3)="131",LEFT($G947,3)="131",LEFT($F947,3)="331",LEFT($G947,3)="331"),$I947=""),"Thiếu Mã ĐT! ","")&amp;IF(AND($I947&lt;&gt;"",COUNTIF(DM_DT!$A$7:$A$306,$I947)=0),"Mã ĐT chưa khai báo! ","")))</f>
        <v/>
      </c>
      <c r="M947" s="117">
        <f>IF($H947="","",IF(AND(OR(LEFT($F947,3)="111",LEFT($F947,3)="112",LEFT($F947,3)="113"),OR(LEFT($G947,3)="111",LEFT($G947,3)="112",LEFT($G947,3)="113")),"NB",IF(OR(LEFT($F947,3)="111",LEFT($F947,3)="112",LEFT($F947,3)="113"),"THU",IF(OR(LEFT($G947,3)="111",LEFT($G947,3)="112",LEFT($G947,3)="113"),"CHI",""))))</f>
        <v/>
      </c>
      <c r="N947" s="117">
        <f>IF($M947="THU",$G947,IF($M947="CHI",$F947,""))</f>
        <v/>
      </c>
      <c r="O947" s="117">
        <f>IF(OR($M947="",$M947="NB"),"",IF($J947&lt;&gt;"",TEXT($J947,"00"),IFERROR(VLOOKUP(LEFT($N947,4),LCTT_MAP!$A$7:$C$66,IF($M947="THU",2,3),FALSE()),IFERROR(VLOOKUP(LEFT($N947,3),LCTT_MAP!$A$7:$C$66,IF($M947="THU",2,3),FALSE()),IFERROR(VLOOKUP(LEFT($N947,2),LCTT_MAP!$A$7:$C$66,IF($M947="THU",2,3),FALSE()),IFERROR(VLOOKUP(LEFT($N947,1),LCTT_MAP!$A$7:$C$66,IF($M947="THU",2,3),FALSE()),IF($M947="THU","06","07")))))))</f>
        <v/>
      </c>
      <c r="P947" s="117">
        <f>P946+IF(AND($H947&lt;&gt;"",OR(LEFT($F947,LEN(SC_TK))=SC_TK,LEFT($G947,LEN(SC_TK))=SC_TK)),1,0)</f>
        <v/>
      </c>
    </row>
    <row r="948" ht="15" customHeight="1" s="78">
      <c r="A948" s="95">
        <f>IF($H948="","",ROW()-6)</f>
        <v/>
      </c>
      <c r="B948" s="114" t="n"/>
      <c r="C948" s="102" t="n"/>
      <c r="D948" s="114" t="n"/>
      <c r="E948" s="103" t="n"/>
      <c r="F948" s="102" t="n"/>
      <c r="G948" s="102" t="n"/>
      <c r="H948" s="115" t="n"/>
      <c r="I948" s="102" t="n"/>
      <c r="J948" s="102" t="n"/>
      <c r="K948" s="103" t="n"/>
      <c r="L948" s="116">
        <f>IF($H948="","",TRIM(IF(COUNTIF(DMTK!$A$7:$A$250,$F948)=0,"TK Nợ sai! ","")&amp;IF(COUNTIF(DMTK!$A$7:$A$250,$G948)=0,"TK Có sai! ","")&amp;IF(N($H948)&lt;=0,"Tiền phải &gt; 0! ","")&amp;IF($B948="","Thiếu ngày! ","")&amp;IF(AND(OR(LEFT($F948,3)="131",LEFT($G948,3)="131",LEFT($F948,3)="331",LEFT($G948,3)="331"),$I948=""),"Thiếu Mã ĐT! ","")&amp;IF(AND($I948&lt;&gt;"",COUNTIF(DM_DT!$A$7:$A$306,$I948)=0),"Mã ĐT chưa khai báo! ","")))</f>
        <v/>
      </c>
      <c r="M948" s="117">
        <f>IF($H948="","",IF(AND(OR(LEFT($F948,3)="111",LEFT($F948,3)="112",LEFT($F948,3)="113"),OR(LEFT($G948,3)="111",LEFT($G948,3)="112",LEFT($G948,3)="113")),"NB",IF(OR(LEFT($F948,3)="111",LEFT($F948,3)="112",LEFT($F948,3)="113"),"THU",IF(OR(LEFT($G948,3)="111",LEFT($G948,3)="112",LEFT($G948,3)="113"),"CHI",""))))</f>
        <v/>
      </c>
      <c r="N948" s="117">
        <f>IF($M948="THU",$G948,IF($M948="CHI",$F948,""))</f>
        <v/>
      </c>
      <c r="O948" s="117">
        <f>IF(OR($M948="",$M948="NB"),"",IF($J948&lt;&gt;"",TEXT($J948,"00"),IFERROR(VLOOKUP(LEFT($N948,4),LCTT_MAP!$A$7:$C$66,IF($M948="THU",2,3),FALSE()),IFERROR(VLOOKUP(LEFT($N948,3),LCTT_MAP!$A$7:$C$66,IF($M948="THU",2,3),FALSE()),IFERROR(VLOOKUP(LEFT($N948,2),LCTT_MAP!$A$7:$C$66,IF($M948="THU",2,3),FALSE()),IFERROR(VLOOKUP(LEFT($N948,1),LCTT_MAP!$A$7:$C$66,IF($M948="THU",2,3),FALSE()),IF($M948="THU","06","07")))))))</f>
        <v/>
      </c>
      <c r="P948" s="117">
        <f>P947+IF(AND($H948&lt;&gt;"",OR(LEFT($F948,LEN(SC_TK))=SC_TK,LEFT($G948,LEN(SC_TK))=SC_TK)),1,0)</f>
        <v/>
      </c>
    </row>
    <row r="949" ht="15" customHeight="1" s="78">
      <c r="A949" s="95">
        <f>IF($H949="","",ROW()-6)</f>
        <v/>
      </c>
      <c r="B949" s="114" t="n"/>
      <c r="C949" s="102" t="n"/>
      <c r="D949" s="114" t="n"/>
      <c r="E949" s="103" t="n"/>
      <c r="F949" s="102" t="n"/>
      <c r="G949" s="102" t="n"/>
      <c r="H949" s="115" t="n"/>
      <c r="I949" s="102" t="n"/>
      <c r="J949" s="102" t="n"/>
      <c r="K949" s="103" t="n"/>
      <c r="L949" s="116">
        <f>IF($H949="","",TRIM(IF(COUNTIF(DMTK!$A$7:$A$250,$F949)=0,"TK Nợ sai! ","")&amp;IF(COUNTIF(DMTK!$A$7:$A$250,$G949)=0,"TK Có sai! ","")&amp;IF(N($H949)&lt;=0,"Tiền phải &gt; 0! ","")&amp;IF($B949="","Thiếu ngày! ","")&amp;IF(AND(OR(LEFT($F949,3)="131",LEFT($G949,3)="131",LEFT($F949,3)="331",LEFT($G949,3)="331"),$I949=""),"Thiếu Mã ĐT! ","")&amp;IF(AND($I949&lt;&gt;"",COUNTIF(DM_DT!$A$7:$A$306,$I949)=0),"Mã ĐT chưa khai báo! ","")))</f>
        <v/>
      </c>
      <c r="M949" s="117">
        <f>IF($H949="","",IF(AND(OR(LEFT($F949,3)="111",LEFT($F949,3)="112",LEFT($F949,3)="113"),OR(LEFT($G949,3)="111",LEFT($G949,3)="112",LEFT($G949,3)="113")),"NB",IF(OR(LEFT($F949,3)="111",LEFT($F949,3)="112",LEFT($F949,3)="113"),"THU",IF(OR(LEFT($G949,3)="111",LEFT($G949,3)="112",LEFT($G949,3)="113"),"CHI",""))))</f>
        <v/>
      </c>
      <c r="N949" s="117">
        <f>IF($M949="THU",$G949,IF($M949="CHI",$F949,""))</f>
        <v/>
      </c>
      <c r="O949" s="117">
        <f>IF(OR($M949="",$M949="NB"),"",IF($J949&lt;&gt;"",TEXT($J949,"00"),IFERROR(VLOOKUP(LEFT($N949,4),LCTT_MAP!$A$7:$C$66,IF($M949="THU",2,3),FALSE()),IFERROR(VLOOKUP(LEFT($N949,3),LCTT_MAP!$A$7:$C$66,IF($M949="THU",2,3),FALSE()),IFERROR(VLOOKUP(LEFT($N949,2),LCTT_MAP!$A$7:$C$66,IF($M949="THU",2,3),FALSE()),IFERROR(VLOOKUP(LEFT($N949,1),LCTT_MAP!$A$7:$C$66,IF($M949="THU",2,3),FALSE()),IF($M949="THU","06","07")))))))</f>
        <v/>
      </c>
      <c r="P949" s="117">
        <f>P948+IF(AND($H949&lt;&gt;"",OR(LEFT($F949,LEN(SC_TK))=SC_TK,LEFT($G949,LEN(SC_TK))=SC_TK)),1,0)</f>
        <v/>
      </c>
    </row>
    <row r="950" ht="15" customHeight="1" s="78">
      <c r="A950" s="95">
        <f>IF($H950="","",ROW()-6)</f>
        <v/>
      </c>
      <c r="B950" s="114" t="n"/>
      <c r="C950" s="102" t="n"/>
      <c r="D950" s="114" t="n"/>
      <c r="E950" s="103" t="n"/>
      <c r="F950" s="102" t="n"/>
      <c r="G950" s="102" t="n"/>
      <c r="H950" s="115" t="n"/>
      <c r="I950" s="102" t="n"/>
      <c r="J950" s="102" t="n"/>
      <c r="K950" s="103" t="n"/>
      <c r="L950" s="116">
        <f>IF($H950="","",TRIM(IF(COUNTIF(DMTK!$A$7:$A$250,$F950)=0,"TK Nợ sai! ","")&amp;IF(COUNTIF(DMTK!$A$7:$A$250,$G950)=0,"TK Có sai! ","")&amp;IF(N($H950)&lt;=0,"Tiền phải &gt; 0! ","")&amp;IF($B950="","Thiếu ngày! ","")&amp;IF(AND(OR(LEFT($F950,3)="131",LEFT($G950,3)="131",LEFT($F950,3)="331",LEFT($G950,3)="331"),$I950=""),"Thiếu Mã ĐT! ","")&amp;IF(AND($I950&lt;&gt;"",COUNTIF(DM_DT!$A$7:$A$306,$I950)=0),"Mã ĐT chưa khai báo! ","")))</f>
        <v/>
      </c>
      <c r="M950" s="117">
        <f>IF($H950="","",IF(AND(OR(LEFT($F950,3)="111",LEFT($F950,3)="112",LEFT($F950,3)="113"),OR(LEFT($G950,3)="111",LEFT($G950,3)="112",LEFT($G950,3)="113")),"NB",IF(OR(LEFT($F950,3)="111",LEFT($F950,3)="112",LEFT($F950,3)="113"),"THU",IF(OR(LEFT($G950,3)="111",LEFT($G950,3)="112",LEFT($G950,3)="113"),"CHI",""))))</f>
        <v/>
      </c>
      <c r="N950" s="117">
        <f>IF($M950="THU",$G950,IF($M950="CHI",$F950,""))</f>
        <v/>
      </c>
      <c r="O950" s="117">
        <f>IF(OR($M950="",$M950="NB"),"",IF($J950&lt;&gt;"",TEXT($J950,"00"),IFERROR(VLOOKUP(LEFT($N950,4),LCTT_MAP!$A$7:$C$66,IF($M950="THU",2,3),FALSE()),IFERROR(VLOOKUP(LEFT($N950,3),LCTT_MAP!$A$7:$C$66,IF($M950="THU",2,3),FALSE()),IFERROR(VLOOKUP(LEFT($N950,2),LCTT_MAP!$A$7:$C$66,IF($M950="THU",2,3),FALSE()),IFERROR(VLOOKUP(LEFT($N950,1),LCTT_MAP!$A$7:$C$66,IF($M950="THU",2,3),FALSE()),IF($M950="THU","06","07")))))))</f>
        <v/>
      </c>
      <c r="P950" s="117">
        <f>P949+IF(AND($H950&lt;&gt;"",OR(LEFT($F950,LEN(SC_TK))=SC_TK,LEFT($G950,LEN(SC_TK))=SC_TK)),1,0)</f>
        <v/>
      </c>
    </row>
    <row r="951" ht="15" customHeight="1" s="78">
      <c r="A951" s="95">
        <f>IF($H951="","",ROW()-6)</f>
        <v/>
      </c>
      <c r="B951" s="114" t="n"/>
      <c r="C951" s="102" t="n"/>
      <c r="D951" s="114" t="n"/>
      <c r="E951" s="103" t="n"/>
      <c r="F951" s="102" t="n"/>
      <c r="G951" s="102" t="n"/>
      <c r="H951" s="115" t="n"/>
      <c r="I951" s="102" t="n"/>
      <c r="J951" s="102" t="n"/>
      <c r="K951" s="103" t="n"/>
      <c r="L951" s="116">
        <f>IF($H951="","",TRIM(IF(COUNTIF(DMTK!$A$7:$A$250,$F951)=0,"TK Nợ sai! ","")&amp;IF(COUNTIF(DMTK!$A$7:$A$250,$G951)=0,"TK Có sai! ","")&amp;IF(N($H951)&lt;=0,"Tiền phải &gt; 0! ","")&amp;IF($B951="","Thiếu ngày! ","")&amp;IF(AND(OR(LEFT($F951,3)="131",LEFT($G951,3)="131",LEFT($F951,3)="331",LEFT($G951,3)="331"),$I951=""),"Thiếu Mã ĐT! ","")&amp;IF(AND($I951&lt;&gt;"",COUNTIF(DM_DT!$A$7:$A$306,$I951)=0),"Mã ĐT chưa khai báo! ","")))</f>
        <v/>
      </c>
      <c r="M951" s="117">
        <f>IF($H951="","",IF(AND(OR(LEFT($F951,3)="111",LEFT($F951,3)="112",LEFT($F951,3)="113"),OR(LEFT($G951,3)="111",LEFT($G951,3)="112",LEFT($G951,3)="113")),"NB",IF(OR(LEFT($F951,3)="111",LEFT($F951,3)="112",LEFT($F951,3)="113"),"THU",IF(OR(LEFT($G951,3)="111",LEFT($G951,3)="112",LEFT($G951,3)="113"),"CHI",""))))</f>
        <v/>
      </c>
      <c r="N951" s="117">
        <f>IF($M951="THU",$G951,IF($M951="CHI",$F951,""))</f>
        <v/>
      </c>
      <c r="O951" s="117">
        <f>IF(OR($M951="",$M951="NB"),"",IF($J951&lt;&gt;"",TEXT($J951,"00"),IFERROR(VLOOKUP(LEFT($N951,4),LCTT_MAP!$A$7:$C$66,IF($M951="THU",2,3),FALSE()),IFERROR(VLOOKUP(LEFT($N951,3),LCTT_MAP!$A$7:$C$66,IF($M951="THU",2,3),FALSE()),IFERROR(VLOOKUP(LEFT($N951,2),LCTT_MAP!$A$7:$C$66,IF($M951="THU",2,3),FALSE()),IFERROR(VLOOKUP(LEFT($N951,1),LCTT_MAP!$A$7:$C$66,IF($M951="THU",2,3),FALSE()),IF($M951="THU","06","07")))))))</f>
        <v/>
      </c>
      <c r="P951" s="117">
        <f>P950+IF(AND($H951&lt;&gt;"",OR(LEFT($F951,LEN(SC_TK))=SC_TK,LEFT($G951,LEN(SC_TK))=SC_TK)),1,0)</f>
        <v/>
      </c>
    </row>
    <row r="952" ht="15" customHeight="1" s="78">
      <c r="A952" s="95">
        <f>IF($H952="","",ROW()-6)</f>
        <v/>
      </c>
      <c r="B952" s="114" t="n"/>
      <c r="C952" s="102" t="n"/>
      <c r="D952" s="114" t="n"/>
      <c r="E952" s="103" t="n"/>
      <c r="F952" s="102" t="n"/>
      <c r="G952" s="102" t="n"/>
      <c r="H952" s="115" t="n"/>
      <c r="I952" s="102" t="n"/>
      <c r="J952" s="102" t="n"/>
      <c r="K952" s="103" t="n"/>
      <c r="L952" s="116">
        <f>IF($H952="","",TRIM(IF(COUNTIF(DMTK!$A$7:$A$250,$F952)=0,"TK Nợ sai! ","")&amp;IF(COUNTIF(DMTK!$A$7:$A$250,$G952)=0,"TK Có sai! ","")&amp;IF(N($H952)&lt;=0,"Tiền phải &gt; 0! ","")&amp;IF($B952="","Thiếu ngày! ","")&amp;IF(AND(OR(LEFT($F952,3)="131",LEFT($G952,3)="131",LEFT($F952,3)="331",LEFT($G952,3)="331"),$I952=""),"Thiếu Mã ĐT! ","")&amp;IF(AND($I952&lt;&gt;"",COUNTIF(DM_DT!$A$7:$A$306,$I952)=0),"Mã ĐT chưa khai báo! ","")))</f>
        <v/>
      </c>
      <c r="M952" s="117">
        <f>IF($H952="","",IF(AND(OR(LEFT($F952,3)="111",LEFT($F952,3)="112",LEFT($F952,3)="113"),OR(LEFT($G952,3)="111",LEFT($G952,3)="112",LEFT($G952,3)="113")),"NB",IF(OR(LEFT($F952,3)="111",LEFT($F952,3)="112",LEFT($F952,3)="113"),"THU",IF(OR(LEFT($G952,3)="111",LEFT($G952,3)="112",LEFT($G952,3)="113"),"CHI",""))))</f>
        <v/>
      </c>
      <c r="N952" s="117">
        <f>IF($M952="THU",$G952,IF($M952="CHI",$F952,""))</f>
        <v/>
      </c>
      <c r="O952" s="117">
        <f>IF(OR($M952="",$M952="NB"),"",IF($J952&lt;&gt;"",TEXT($J952,"00"),IFERROR(VLOOKUP(LEFT($N952,4),LCTT_MAP!$A$7:$C$66,IF($M952="THU",2,3),FALSE()),IFERROR(VLOOKUP(LEFT($N952,3),LCTT_MAP!$A$7:$C$66,IF($M952="THU",2,3),FALSE()),IFERROR(VLOOKUP(LEFT($N952,2),LCTT_MAP!$A$7:$C$66,IF($M952="THU",2,3),FALSE()),IFERROR(VLOOKUP(LEFT($N952,1),LCTT_MAP!$A$7:$C$66,IF($M952="THU",2,3),FALSE()),IF($M952="THU","06","07")))))))</f>
        <v/>
      </c>
      <c r="P952" s="117">
        <f>P951+IF(AND($H952&lt;&gt;"",OR(LEFT($F952,LEN(SC_TK))=SC_TK,LEFT($G952,LEN(SC_TK))=SC_TK)),1,0)</f>
        <v/>
      </c>
    </row>
    <row r="953" ht="15" customHeight="1" s="78">
      <c r="A953" s="95">
        <f>IF($H953="","",ROW()-6)</f>
        <v/>
      </c>
      <c r="B953" s="114" t="n"/>
      <c r="C953" s="102" t="n"/>
      <c r="D953" s="114" t="n"/>
      <c r="E953" s="103" t="n"/>
      <c r="F953" s="102" t="n"/>
      <c r="G953" s="102" t="n"/>
      <c r="H953" s="115" t="n"/>
      <c r="I953" s="102" t="n"/>
      <c r="J953" s="102" t="n"/>
      <c r="K953" s="103" t="n"/>
      <c r="L953" s="116">
        <f>IF($H953="","",TRIM(IF(COUNTIF(DMTK!$A$7:$A$250,$F953)=0,"TK Nợ sai! ","")&amp;IF(COUNTIF(DMTK!$A$7:$A$250,$G953)=0,"TK Có sai! ","")&amp;IF(N($H953)&lt;=0,"Tiền phải &gt; 0! ","")&amp;IF($B953="","Thiếu ngày! ","")&amp;IF(AND(OR(LEFT($F953,3)="131",LEFT($G953,3)="131",LEFT($F953,3)="331",LEFT($G953,3)="331"),$I953=""),"Thiếu Mã ĐT! ","")&amp;IF(AND($I953&lt;&gt;"",COUNTIF(DM_DT!$A$7:$A$306,$I953)=0),"Mã ĐT chưa khai báo! ","")))</f>
        <v/>
      </c>
      <c r="M953" s="117">
        <f>IF($H953="","",IF(AND(OR(LEFT($F953,3)="111",LEFT($F953,3)="112",LEFT($F953,3)="113"),OR(LEFT($G953,3)="111",LEFT($G953,3)="112",LEFT($G953,3)="113")),"NB",IF(OR(LEFT($F953,3)="111",LEFT($F953,3)="112",LEFT($F953,3)="113"),"THU",IF(OR(LEFT($G953,3)="111",LEFT($G953,3)="112",LEFT($G953,3)="113"),"CHI",""))))</f>
        <v/>
      </c>
      <c r="N953" s="117">
        <f>IF($M953="THU",$G953,IF($M953="CHI",$F953,""))</f>
        <v/>
      </c>
      <c r="O953" s="117">
        <f>IF(OR($M953="",$M953="NB"),"",IF($J953&lt;&gt;"",TEXT($J953,"00"),IFERROR(VLOOKUP(LEFT($N953,4),LCTT_MAP!$A$7:$C$66,IF($M953="THU",2,3),FALSE()),IFERROR(VLOOKUP(LEFT($N953,3),LCTT_MAP!$A$7:$C$66,IF($M953="THU",2,3),FALSE()),IFERROR(VLOOKUP(LEFT($N953,2),LCTT_MAP!$A$7:$C$66,IF($M953="THU",2,3),FALSE()),IFERROR(VLOOKUP(LEFT($N953,1),LCTT_MAP!$A$7:$C$66,IF($M953="THU",2,3),FALSE()),IF($M953="THU","06","07")))))))</f>
        <v/>
      </c>
      <c r="P953" s="117">
        <f>P952+IF(AND($H953&lt;&gt;"",OR(LEFT($F953,LEN(SC_TK))=SC_TK,LEFT($G953,LEN(SC_TK))=SC_TK)),1,0)</f>
        <v/>
      </c>
    </row>
    <row r="954" ht="15" customHeight="1" s="78">
      <c r="A954" s="95">
        <f>IF($H954="","",ROW()-6)</f>
        <v/>
      </c>
      <c r="B954" s="114" t="n"/>
      <c r="C954" s="102" t="n"/>
      <c r="D954" s="114" t="n"/>
      <c r="E954" s="103" t="n"/>
      <c r="F954" s="102" t="n"/>
      <c r="G954" s="102" t="n"/>
      <c r="H954" s="115" t="n"/>
      <c r="I954" s="102" t="n"/>
      <c r="J954" s="102" t="n"/>
      <c r="K954" s="103" t="n"/>
      <c r="L954" s="116">
        <f>IF($H954="","",TRIM(IF(COUNTIF(DMTK!$A$7:$A$250,$F954)=0,"TK Nợ sai! ","")&amp;IF(COUNTIF(DMTK!$A$7:$A$250,$G954)=0,"TK Có sai! ","")&amp;IF(N($H954)&lt;=0,"Tiền phải &gt; 0! ","")&amp;IF($B954="","Thiếu ngày! ","")&amp;IF(AND(OR(LEFT($F954,3)="131",LEFT($G954,3)="131",LEFT($F954,3)="331",LEFT($G954,3)="331"),$I954=""),"Thiếu Mã ĐT! ","")&amp;IF(AND($I954&lt;&gt;"",COUNTIF(DM_DT!$A$7:$A$306,$I954)=0),"Mã ĐT chưa khai báo! ","")))</f>
        <v/>
      </c>
      <c r="M954" s="117">
        <f>IF($H954="","",IF(AND(OR(LEFT($F954,3)="111",LEFT($F954,3)="112",LEFT($F954,3)="113"),OR(LEFT($G954,3)="111",LEFT($G954,3)="112",LEFT($G954,3)="113")),"NB",IF(OR(LEFT($F954,3)="111",LEFT($F954,3)="112",LEFT($F954,3)="113"),"THU",IF(OR(LEFT($G954,3)="111",LEFT($G954,3)="112",LEFT($G954,3)="113"),"CHI",""))))</f>
        <v/>
      </c>
      <c r="N954" s="117">
        <f>IF($M954="THU",$G954,IF($M954="CHI",$F954,""))</f>
        <v/>
      </c>
      <c r="O954" s="117">
        <f>IF(OR($M954="",$M954="NB"),"",IF($J954&lt;&gt;"",TEXT($J954,"00"),IFERROR(VLOOKUP(LEFT($N954,4),LCTT_MAP!$A$7:$C$66,IF($M954="THU",2,3),FALSE()),IFERROR(VLOOKUP(LEFT($N954,3),LCTT_MAP!$A$7:$C$66,IF($M954="THU",2,3),FALSE()),IFERROR(VLOOKUP(LEFT($N954,2),LCTT_MAP!$A$7:$C$66,IF($M954="THU",2,3),FALSE()),IFERROR(VLOOKUP(LEFT($N954,1),LCTT_MAP!$A$7:$C$66,IF($M954="THU",2,3),FALSE()),IF($M954="THU","06","07")))))))</f>
        <v/>
      </c>
      <c r="P954" s="117">
        <f>P953+IF(AND($H954&lt;&gt;"",OR(LEFT($F954,LEN(SC_TK))=SC_TK,LEFT($G954,LEN(SC_TK))=SC_TK)),1,0)</f>
        <v/>
      </c>
    </row>
    <row r="955" ht="15" customHeight="1" s="78">
      <c r="A955" s="95">
        <f>IF($H955="","",ROW()-6)</f>
        <v/>
      </c>
      <c r="B955" s="114" t="n"/>
      <c r="C955" s="102" t="n"/>
      <c r="D955" s="114" t="n"/>
      <c r="E955" s="103" t="n"/>
      <c r="F955" s="102" t="n"/>
      <c r="G955" s="102" t="n"/>
      <c r="H955" s="115" t="n"/>
      <c r="I955" s="102" t="n"/>
      <c r="J955" s="102" t="n"/>
      <c r="K955" s="103" t="n"/>
      <c r="L955" s="116">
        <f>IF($H955="","",TRIM(IF(COUNTIF(DMTK!$A$7:$A$250,$F955)=0,"TK Nợ sai! ","")&amp;IF(COUNTIF(DMTK!$A$7:$A$250,$G955)=0,"TK Có sai! ","")&amp;IF(N($H955)&lt;=0,"Tiền phải &gt; 0! ","")&amp;IF($B955="","Thiếu ngày! ","")&amp;IF(AND(OR(LEFT($F955,3)="131",LEFT($G955,3)="131",LEFT($F955,3)="331",LEFT($G955,3)="331"),$I955=""),"Thiếu Mã ĐT! ","")&amp;IF(AND($I955&lt;&gt;"",COUNTIF(DM_DT!$A$7:$A$306,$I955)=0),"Mã ĐT chưa khai báo! ","")))</f>
        <v/>
      </c>
      <c r="M955" s="117">
        <f>IF($H955="","",IF(AND(OR(LEFT($F955,3)="111",LEFT($F955,3)="112",LEFT($F955,3)="113"),OR(LEFT($G955,3)="111",LEFT($G955,3)="112",LEFT($G955,3)="113")),"NB",IF(OR(LEFT($F955,3)="111",LEFT($F955,3)="112",LEFT($F955,3)="113"),"THU",IF(OR(LEFT($G955,3)="111",LEFT($G955,3)="112",LEFT($G955,3)="113"),"CHI",""))))</f>
        <v/>
      </c>
      <c r="N955" s="117">
        <f>IF($M955="THU",$G955,IF($M955="CHI",$F955,""))</f>
        <v/>
      </c>
      <c r="O955" s="117">
        <f>IF(OR($M955="",$M955="NB"),"",IF($J955&lt;&gt;"",TEXT($J955,"00"),IFERROR(VLOOKUP(LEFT($N955,4),LCTT_MAP!$A$7:$C$66,IF($M955="THU",2,3),FALSE()),IFERROR(VLOOKUP(LEFT($N955,3),LCTT_MAP!$A$7:$C$66,IF($M955="THU",2,3),FALSE()),IFERROR(VLOOKUP(LEFT($N955,2),LCTT_MAP!$A$7:$C$66,IF($M955="THU",2,3),FALSE()),IFERROR(VLOOKUP(LEFT($N955,1),LCTT_MAP!$A$7:$C$66,IF($M955="THU",2,3),FALSE()),IF($M955="THU","06","07")))))))</f>
        <v/>
      </c>
      <c r="P955" s="117">
        <f>P954+IF(AND($H955&lt;&gt;"",OR(LEFT($F955,LEN(SC_TK))=SC_TK,LEFT($G955,LEN(SC_TK))=SC_TK)),1,0)</f>
        <v/>
      </c>
    </row>
    <row r="956" ht="15" customHeight="1" s="78">
      <c r="A956" s="95">
        <f>IF($H956="","",ROW()-6)</f>
        <v/>
      </c>
      <c r="B956" s="114" t="n"/>
      <c r="C956" s="102" t="n"/>
      <c r="D956" s="114" t="n"/>
      <c r="E956" s="103" t="n"/>
      <c r="F956" s="102" t="n"/>
      <c r="G956" s="102" t="n"/>
      <c r="H956" s="115" t="n"/>
      <c r="I956" s="102" t="n"/>
      <c r="J956" s="102" t="n"/>
      <c r="K956" s="103" t="n"/>
      <c r="L956" s="116">
        <f>IF($H956="","",TRIM(IF(COUNTIF(DMTK!$A$7:$A$250,$F956)=0,"TK Nợ sai! ","")&amp;IF(COUNTIF(DMTK!$A$7:$A$250,$G956)=0,"TK Có sai! ","")&amp;IF(N($H956)&lt;=0,"Tiền phải &gt; 0! ","")&amp;IF($B956="","Thiếu ngày! ","")&amp;IF(AND(OR(LEFT($F956,3)="131",LEFT($G956,3)="131",LEFT($F956,3)="331",LEFT($G956,3)="331"),$I956=""),"Thiếu Mã ĐT! ","")&amp;IF(AND($I956&lt;&gt;"",COUNTIF(DM_DT!$A$7:$A$306,$I956)=0),"Mã ĐT chưa khai báo! ","")))</f>
        <v/>
      </c>
      <c r="M956" s="117">
        <f>IF($H956="","",IF(AND(OR(LEFT($F956,3)="111",LEFT($F956,3)="112",LEFT($F956,3)="113"),OR(LEFT($G956,3)="111",LEFT($G956,3)="112",LEFT($G956,3)="113")),"NB",IF(OR(LEFT($F956,3)="111",LEFT($F956,3)="112",LEFT($F956,3)="113"),"THU",IF(OR(LEFT($G956,3)="111",LEFT($G956,3)="112",LEFT($G956,3)="113"),"CHI",""))))</f>
        <v/>
      </c>
      <c r="N956" s="117">
        <f>IF($M956="THU",$G956,IF($M956="CHI",$F956,""))</f>
        <v/>
      </c>
      <c r="O956" s="117">
        <f>IF(OR($M956="",$M956="NB"),"",IF($J956&lt;&gt;"",TEXT($J956,"00"),IFERROR(VLOOKUP(LEFT($N956,4),LCTT_MAP!$A$7:$C$66,IF($M956="THU",2,3),FALSE()),IFERROR(VLOOKUP(LEFT($N956,3),LCTT_MAP!$A$7:$C$66,IF($M956="THU",2,3),FALSE()),IFERROR(VLOOKUP(LEFT($N956,2),LCTT_MAP!$A$7:$C$66,IF($M956="THU",2,3),FALSE()),IFERROR(VLOOKUP(LEFT($N956,1),LCTT_MAP!$A$7:$C$66,IF($M956="THU",2,3),FALSE()),IF($M956="THU","06","07")))))))</f>
        <v/>
      </c>
      <c r="P956" s="117">
        <f>P955+IF(AND($H956&lt;&gt;"",OR(LEFT($F956,LEN(SC_TK))=SC_TK,LEFT($G956,LEN(SC_TK))=SC_TK)),1,0)</f>
        <v/>
      </c>
    </row>
    <row r="957" ht="15" customHeight="1" s="78">
      <c r="A957" s="95">
        <f>IF($H957="","",ROW()-6)</f>
        <v/>
      </c>
      <c r="B957" s="114" t="n"/>
      <c r="C957" s="102" t="n"/>
      <c r="D957" s="114" t="n"/>
      <c r="E957" s="103" t="n"/>
      <c r="F957" s="102" t="n"/>
      <c r="G957" s="102" t="n"/>
      <c r="H957" s="115" t="n"/>
      <c r="I957" s="102" t="n"/>
      <c r="J957" s="102" t="n"/>
      <c r="K957" s="103" t="n"/>
      <c r="L957" s="116">
        <f>IF($H957="","",TRIM(IF(COUNTIF(DMTK!$A$7:$A$250,$F957)=0,"TK Nợ sai! ","")&amp;IF(COUNTIF(DMTK!$A$7:$A$250,$G957)=0,"TK Có sai! ","")&amp;IF(N($H957)&lt;=0,"Tiền phải &gt; 0! ","")&amp;IF($B957="","Thiếu ngày! ","")&amp;IF(AND(OR(LEFT($F957,3)="131",LEFT($G957,3)="131",LEFT($F957,3)="331",LEFT($G957,3)="331"),$I957=""),"Thiếu Mã ĐT! ","")&amp;IF(AND($I957&lt;&gt;"",COUNTIF(DM_DT!$A$7:$A$306,$I957)=0),"Mã ĐT chưa khai báo! ","")))</f>
        <v/>
      </c>
      <c r="M957" s="117">
        <f>IF($H957="","",IF(AND(OR(LEFT($F957,3)="111",LEFT($F957,3)="112",LEFT($F957,3)="113"),OR(LEFT($G957,3)="111",LEFT($G957,3)="112",LEFT($G957,3)="113")),"NB",IF(OR(LEFT($F957,3)="111",LEFT($F957,3)="112",LEFT($F957,3)="113"),"THU",IF(OR(LEFT($G957,3)="111",LEFT($G957,3)="112",LEFT($G957,3)="113"),"CHI",""))))</f>
        <v/>
      </c>
      <c r="N957" s="117">
        <f>IF($M957="THU",$G957,IF($M957="CHI",$F957,""))</f>
        <v/>
      </c>
      <c r="O957" s="117">
        <f>IF(OR($M957="",$M957="NB"),"",IF($J957&lt;&gt;"",TEXT($J957,"00"),IFERROR(VLOOKUP(LEFT($N957,4),LCTT_MAP!$A$7:$C$66,IF($M957="THU",2,3),FALSE()),IFERROR(VLOOKUP(LEFT($N957,3),LCTT_MAP!$A$7:$C$66,IF($M957="THU",2,3),FALSE()),IFERROR(VLOOKUP(LEFT($N957,2),LCTT_MAP!$A$7:$C$66,IF($M957="THU",2,3),FALSE()),IFERROR(VLOOKUP(LEFT($N957,1),LCTT_MAP!$A$7:$C$66,IF($M957="THU",2,3),FALSE()),IF($M957="THU","06","07")))))))</f>
        <v/>
      </c>
      <c r="P957" s="117">
        <f>P956+IF(AND($H957&lt;&gt;"",OR(LEFT($F957,LEN(SC_TK))=SC_TK,LEFT($G957,LEN(SC_TK))=SC_TK)),1,0)</f>
        <v/>
      </c>
    </row>
    <row r="958" ht="15" customHeight="1" s="78">
      <c r="A958" s="95">
        <f>IF($H958="","",ROW()-6)</f>
        <v/>
      </c>
      <c r="B958" s="114" t="n"/>
      <c r="C958" s="102" t="n"/>
      <c r="D958" s="114" t="n"/>
      <c r="E958" s="103" t="n"/>
      <c r="F958" s="102" t="n"/>
      <c r="G958" s="102" t="n"/>
      <c r="H958" s="115" t="n"/>
      <c r="I958" s="102" t="n"/>
      <c r="J958" s="102" t="n"/>
      <c r="K958" s="103" t="n"/>
      <c r="L958" s="116">
        <f>IF($H958="","",TRIM(IF(COUNTIF(DMTK!$A$7:$A$250,$F958)=0,"TK Nợ sai! ","")&amp;IF(COUNTIF(DMTK!$A$7:$A$250,$G958)=0,"TK Có sai! ","")&amp;IF(N($H958)&lt;=0,"Tiền phải &gt; 0! ","")&amp;IF($B958="","Thiếu ngày! ","")&amp;IF(AND(OR(LEFT($F958,3)="131",LEFT($G958,3)="131",LEFT($F958,3)="331",LEFT($G958,3)="331"),$I958=""),"Thiếu Mã ĐT! ","")&amp;IF(AND($I958&lt;&gt;"",COUNTIF(DM_DT!$A$7:$A$306,$I958)=0),"Mã ĐT chưa khai báo! ","")))</f>
        <v/>
      </c>
      <c r="M958" s="117">
        <f>IF($H958="","",IF(AND(OR(LEFT($F958,3)="111",LEFT($F958,3)="112",LEFT($F958,3)="113"),OR(LEFT($G958,3)="111",LEFT($G958,3)="112",LEFT($G958,3)="113")),"NB",IF(OR(LEFT($F958,3)="111",LEFT($F958,3)="112",LEFT($F958,3)="113"),"THU",IF(OR(LEFT($G958,3)="111",LEFT($G958,3)="112",LEFT($G958,3)="113"),"CHI",""))))</f>
        <v/>
      </c>
      <c r="N958" s="117">
        <f>IF($M958="THU",$G958,IF($M958="CHI",$F958,""))</f>
        <v/>
      </c>
      <c r="O958" s="117">
        <f>IF(OR($M958="",$M958="NB"),"",IF($J958&lt;&gt;"",TEXT($J958,"00"),IFERROR(VLOOKUP(LEFT($N958,4),LCTT_MAP!$A$7:$C$66,IF($M958="THU",2,3),FALSE()),IFERROR(VLOOKUP(LEFT($N958,3),LCTT_MAP!$A$7:$C$66,IF($M958="THU",2,3),FALSE()),IFERROR(VLOOKUP(LEFT($N958,2),LCTT_MAP!$A$7:$C$66,IF($M958="THU",2,3),FALSE()),IFERROR(VLOOKUP(LEFT($N958,1),LCTT_MAP!$A$7:$C$66,IF($M958="THU",2,3),FALSE()),IF($M958="THU","06","07")))))))</f>
        <v/>
      </c>
      <c r="P958" s="117">
        <f>P957+IF(AND($H958&lt;&gt;"",OR(LEFT($F958,LEN(SC_TK))=SC_TK,LEFT($G958,LEN(SC_TK))=SC_TK)),1,0)</f>
        <v/>
      </c>
    </row>
    <row r="959" ht="15" customHeight="1" s="78">
      <c r="A959" s="95">
        <f>IF($H959="","",ROW()-6)</f>
        <v/>
      </c>
      <c r="B959" s="114" t="n"/>
      <c r="C959" s="102" t="n"/>
      <c r="D959" s="114" t="n"/>
      <c r="E959" s="103" t="n"/>
      <c r="F959" s="102" t="n"/>
      <c r="G959" s="102" t="n"/>
      <c r="H959" s="115" t="n"/>
      <c r="I959" s="102" t="n"/>
      <c r="J959" s="102" t="n"/>
      <c r="K959" s="103" t="n"/>
      <c r="L959" s="116">
        <f>IF($H959="","",TRIM(IF(COUNTIF(DMTK!$A$7:$A$250,$F959)=0,"TK Nợ sai! ","")&amp;IF(COUNTIF(DMTK!$A$7:$A$250,$G959)=0,"TK Có sai! ","")&amp;IF(N($H959)&lt;=0,"Tiền phải &gt; 0! ","")&amp;IF($B959="","Thiếu ngày! ","")&amp;IF(AND(OR(LEFT($F959,3)="131",LEFT($G959,3)="131",LEFT($F959,3)="331",LEFT($G959,3)="331"),$I959=""),"Thiếu Mã ĐT! ","")&amp;IF(AND($I959&lt;&gt;"",COUNTIF(DM_DT!$A$7:$A$306,$I959)=0),"Mã ĐT chưa khai báo! ","")))</f>
        <v/>
      </c>
      <c r="M959" s="117">
        <f>IF($H959="","",IF(AND(OR(LEFT($F959,3)="111",LEFT($F959,3)="112",LEFT($F959,3)="113"),OR(LEFT($G959,3)="111",LEFT($G959,3)="112",LEFT($G959,3)="113")),"NB",IF(OR(LEFT($F959,3)="111",LEFT($F959,3)="112",LEFT($F959,3)="113"),"THU",IF(OR(LEFT($G959,3)="111",LEFT($G959,3)="112",LEFT($G959,3)="113"),"CHI",""))))</f>
        <v/>
      </c>
      <c r="N959" s="117">
        <f>IF($M959="THU",$G959,IF($M959="CHI",$F959,""))</f>
        <v/>
      </c>
      <c r="O959" s="117">
        <f>IF(OR($M959="",$M959="NB"),"",IF($J959&lt;&gt;"",TEXT($J959,"00"),IFERROR(VLOOKUP(LEFT($N959,4),LCTT_MAP!$A$7:$C$66,IF($M959="THU",2,3),FALSE()),IFERROR(VLOOKUP(LEFT($N959,3),LCTT_MAP!$A$7:$C$66,IF($M959="THU",2,3),FALSE()),IFERROR(VLOOKUP(LEFT($N959,2),LCTT_MAP!$A$7:$C$66,IF($M959="THU",2,3),FALSE()),IFERROR(VLOOKUP(LEFT($N959,1),LCTT_MAP!$A$7:$C$66,IF($M959="THU",2,3),FALSE()),IF($M959="THU","06","07")))))))</f>
        <v/>
      </c>
      <c r="P959" s="117">
        <f>P958+IF(AND($H959&lt;&gt;"",OR(LEFT($F959,LEN(SC_TK))=SC_TK,LEFT($G959,LEN(SC_TK))=SC_TK)),1,0)</f>
        <v/>
      </c>
    </row>
    <row r="960" ht="15" customHeight="1" s="78">
      <c r="A960" s="95">
        <f>IF($H960="","",ROW()-6)</f>
        <v/>
      </c>
      <c r="B960" s="114" t="n"/>
      <c r="C960" s="102" t="n"/>
      <c r="D960" s="114" t="n"/>
      <c r="E960" s="103" t="n"/>
      <c r="F960" s="102" t="n"/>
      <c r="G960" s="102" t="n"/>
      <c r="H960" s="115" t="n"/>
      <c r="I960" s="102" t="n"/>
      <c r="J960" s="102" t="n"/>
      <c r="K960" s="103" t="n"/>
      <c r="L960" s="116">
        <f>IF($H960="","",TRIM(IF(COUNTIF(DMTK!$A$7:$A$250,$F960)=0,"TK Nợ sai! ","")&amp;IF(COUNTIF(DMTK!$A$7:$A$250,$G960)=0,"TK Có sai! ","")&amp;IF(N($H960)&lt;=0,"Tiền phải &gt; 0! ","")&amp;IF($B960="","Thiếu ngày! ","")&amp;IF(AND(OR(LEFT($F960,3)="131",LEFT($G960,3)="131",LEFT($F960,3)="331",LEFT($G960,3)="331"),$I960=""),"Thiếu Mã ĐT! ","")&amp;IF(AND($I960&lt;&gt;"",COUNTIF(DM_DT!$A$7:$A$306,$I960)=0),"Mã ĐT chưa khai báo! ","")))</f>
        <v/>
      </c>
      <c r="M960" s="117">
        <f>IF($H960="","",IF(AND(OR(LEFT($F960,3)="111",LEFT($F960,3)="112",LEFT($F960,3)="113"),OR(LEFT($G960,3)="111",LEFT($G960,3)="112",LEFT($G960,3)="113")),"NB",IF(OR(LEFT($F960,3)="111",LEFT($F960,3)="112",LEFT($F960,3)="113"),"THU",IF(OR(LEFT($G960,3)="111",LEFT($G960,3)="112",LEFT($G960,3)="113"),"CHI",""))))</f>
        <v/>
      </c>
      <c r="N960" s="117">
        <f>IF($M960="THU",$G960,IF($M960="CHI",$F960,""))</f>
        <v/>
      </c>
      <c r="O960" s="117">
        <f>IF(OR($M960="",$M960="NB"),"",IF($J960&lt;&gt;"",TEXT($J960,"00"),IFERROR(VLOOKUP(LEFT($N960,4),LCTT_MAP!$A$7:$C$66,IF($M960="THU",2,3),FALSE()),IFERROR(VLOOKUP(LEFT($N960,3),LCTT_MAP!$A$7:$C$66,IF($M960="THU",2,3),FALSE()),IFERROR(VLOOKUP(LEFT($N960,2),LCTT_MAP!$A$7:$C$66,IF($M960="THU",2,3),FALSE()),IFERROR(VLOOKUP(LEFT($N960,1),LCTT_MAP!$A$7:$C$66,IF($M960="THU",2,3),FALSE()),IF($M960="THU","06","07")))))))</f>
        <v/>
      </c>
      <c r="P960" s="117">
        <f>P959+IF(AND($H960&lt;&gt;"",OR(LEFT($F960,LEN(SC_TK))=SC_TK,LEFT($G960,LEN(SC_TK))=SC_TK)),1,0)</f>
        <v/>
      </c>
    </row>
    <row r="961" ht="15" customHeight="1" s="78">
      <c r="A961" s="95">
        <f>IF($H961="","",ROW()-6)</f>
        <v/>
      </c>
      <c r="B961" s="114" t="n"/>
      <c r="C961" s="102" t="n"/>
      <c r="D961" s="114" t="n"/>
      <c r="E961" s="103" t="n"/>
      <c r="F961" s="102" t="n"/>
      <c r="G961" s="102" t="n"/>
      <c r="H961" s="115" t="n"/>
      <c r="I961" s="102" t="n"/>
      <c r="J961" s="102" t="n"/>
      <c r="K961" s="103" t="n"/>
      <c r="L961" s="116">
        <f>IF($H961="","",TRIM(IF(COUNTIF(DMTK!$A$7:$A$250,$F961)=0,"TK Nợ sai! ","")&amp;IF(COUNTIF(DMTK!$A$7:$A$250,$G961)=0,"TK Có sai! ","")&amp;IF(N($H961)&lt;=0,"Tiền phải &gt; 0! ","")&amp;IF($B961="","Thiếu ngày! ","")&amp;IF(AND(OR(LEFT($F961,3)="131",LEFT($G961,3)="131",LEFT($F961,3)="331",LEFT($G961,3)="331"),$I961=""),"Thiếu Mã ĐT! ","")&amp;IF(AND($I961&lt;&gt;"",COUNTIF(DM_DT!$A$7:$A$306,$I961)=0),"Mã ĐT chưa khai báo! ","")))</f>
        <v/>
      </c>
      <c r="M961" s="117">
        <f>IF($H961="","",IF(AND(OR(LEFT($F961,3)="111",LEFT($F961,3)="112",LEFT($F961,3)="113"),OR(LEFT($G961,3)="111",LEFT($G961,3)="112",LEFT($G961,3)="113")),"NB",IF(OR(LEFT($F961,3)="111",LEFT($F961,3)="112",LEFT($F961,3)="113"),"THU",IF(OR(LEFT($G961,3)="111",LEFT($G961,3)="112",LEFT($G961,3)="113"),"CHI",""))))</f>
        <v/>
      </c>
      <c r="N961" s="117">
        <f>IF($M961="THU",$G961,IF($M961="CHI",$F961,""))</f>
        <v/>
      </c>
      <c r="O961" s="117">
        <f>IF(OR($M961="",$M961="NB"),"",IF($J961&lt;&gt;"",TEXT($J961,"00"),IFERROR(VLOOKUP(LEFT($N961,4),LCTT_MAP!$A$7:$C$66,IF($M961="THU",2,3),FALSE()),IFERROR(VLOOKUP(LEFT($N961,3),LCTT_MAP!$A$7:$C$66,IF($M961="THU",2,3),FALSE()),IFERROR(VLOOKUP(LEFT($N961,2),LCTT_MAP!$A$7:$C$66,IF($M961="THU",2,3),FALSE()),IFERROR(VLOOKUP(LEFT($N961,1),LCTT_MAP!$A$7:$C$66,IF($M961="THU",2,3),FALSE()),IF($M961="THU","06","07")))))))</f>
        <v/>
      </c>
      <c r="P961" s="117">
        <f>P960+IF(AND($H961&lt;&gt;"",OR(LEFT($F961,LEN(SC_TK))=SC_TK,LEFT($G961,LEN(SC_TK))=SC_TK)),1,0)</f>
        <v/>
      </c>
    </row>
    <row r="962" ht="15" customHeight="1" s="78">
      <c r="A962" s="95">
        <f>IF($H962="","",ROW()-6)</f>
        <v/>
      </c>
      <c r="B962" s="114" t="n"/>
      <c r="C962" s="102" t="n"/>
      <c r="D962" s="114" t="n"/>
      <c r="E962" s="103" t="n"/>
      <c r="F962" s="102" t="n"/>
      <c r="G962" s="102" t="n"/>
      <c r="H962" s="115" t="n"/>
      <c r="I962" s="102" t="n"/>
      <c r="J962" s="102" t="n"/>
      <c r="K962" s="103" t="n"/>
      <c r="L962" s="116">
        <f>IF($H962="","",TRIM(IF(COUNTIF(DMTK!$A$7:$A$250,$F962)=0,"TK Nợ sai! ","")&amp;IF(COUNTIF(DMTK!$A$7:$A$250,$G962)=0,"TK Có sai! ","")&amp;IF(N($H962)&lt;=0,"Tiền phải &gt; 0! ","")&amp;IF($B962="","Thiếu ngày! ","")&amp;IF(AND(OR(LEFT($F962,3)="131",LEFT($G962,3)="131",LEFT($F962,3)="331",LEFT($G962,3)="331"),$I962=""),"Thiếu Mã ĐT! ","")&amp;IF(AND($I962&lt;&gt;"",COUNTIF(DM_DT!$A$7:$A$306,$I962)=0),"Mã ĐT chưa khai báo! ","")))</f>
        <v/>
      </c>
      <c r="M962" s="117">
        <f>IF($H962="","",IF(AND(OR(LEFT($F962,3)="111",LEFT($F962,3)="112",LEFT($F962,3)="113"),OR(LEFT($G962,3)="111",LEFT($G962,3)="112",LEFT($G962,3)="113")),"NB",IF(OR(LEFT($F962,3)="111",LEFT($F962,3)="112",LEFT($F962,3)="113"),"THU",IF(OR(LEFT($G962,3)="111",LEFT($G962,3)="112",LEFT($G962,3)="113"),"CHI",""))))</f>
        <v/>
      </c>
      <c r="N962" s="117">
        <f>IF($M962="THU",$G962,IF($M962="CHI",$F962,""))</f>
        <v/>
      </c>
      <c r="O962" s="117">
        <f>IF(OR($M962="",$M962="NB"),"",IF($J962&lt;&gt;"",TEXT($J962,"00"),IFERROR(VLOOKUP(LEFT($N962,4),LCTT_MAP!$A$7:$C$66,IF($M962="THU",2,3),FALSE()),IFERROR(VLOOKUP(LEFT($N962,3),LCTT_MAP!$A$7:$C$66,IF($M962="THU",2,3),FALSE()),IFERROR(VLOOKUP(LEFT($N962,2),LCTT_MAP!$A$7:$C$66,IF($M962="THU",2,3),FALSE()),IFERROR(VLOOKUP(LEFT($N962,1),LCTT_MAP!$A$7:$C$66,IF($M962="THU",2,3),FALSE()),IF($M962="THU","06","07")))))))</f>
        <v/>
      </c>
      <c r="P962" s="117">
        <f>P961+IF(AND($H962&lt;&gt;"",OR(LEFT($F962,LEN(SC_TK))=SC_TK,LEFT($G962,LEN(SC_TK))=SC_TK)),1,0)</f>
        <v/>
      </c>
    </row>
    <row r="963" ht="15" customHeight="1" s="78">
      <c r="A963" s="95">
        <f>IF($H963="","",ROW()-6)</f>
        <v/>
      </c>
      <c r="B963" s="114" t="n"/>
      <c r="C963" s="102" t="n"/>
      <c r="D963" s="114" t="n"/>
      <c r="E963" s="103" t="n"/>
      <c r="F963" s="102" t="n"/>
      <c r="G963" s="102" t="n"/>
      <c r="H963" s="115" t="n"/>
      <c r="I963" s="102" t="n"/>
      <c r="J963" s="102" t="n"/>
      <c r="K963" s="103" t="n"/>
      <c r="L963" s="116">
        <f>IF($H963="","",TRIM(IF(COUNTIF(DMTK!$A$7:$A$250,$F963)=0,"TK Nợ sai! ","")&amp;IF(COUNTIF(DMTK!$A$7:$A$250,$G963)=0,"TK Có sai! ","")&amp;IF(N($H963)&lt;=0,"Tiền phải &gt; 0! ","")&amp;IF($B963="","Thiếu ngày! ","")&amp;IF(AND(OR(LEFT($F963,3)="131",LEFT($G963,3)="131",LEFT($F963,3)="331",LEFT($G963,3)="331"),$I963=""),"Thiếu Mã ĐT! ","")&amp;IF(AND($I963&lt;&gt;"",COUNTIF(DM_DT!$A$7:$A$306,$I963)=0),"Mã ĐT chưa khai báo! ","")))</f>
        <v/>
      </c>
      <c r="M963" s="117">
        <f>IF($H963="","",IF(AND(OR(LEFT($F963,3)="111",LEFT($F963,3)="112",LEFT($F963,3)="113"),OR(LEFT($G963,3)="111",LEFT($G963,3)="112",LEFT($G963,3)="113")),"NB",IF(OR(LEFT($F963,3)="111",LEFT($F963,3)="112",LEFT($F963,3)="113"),"THU",IF(OR(LEFT($G963,3)="111",LEFT($G963,3)="112",LEFT($G963,3)="113"),"CHI",""))))</f>
        <v/>
      </c>
      <c r="N963" s="117">
        <f>IF($M963="THU",$G963,IF($M963="CHI",$F963,""))</f>
        <v/>
      </c>
      <c r="O963" s="117">
        <f>IF(OR($M963="",$M963="NB"),"",IF($J963&lt;&gt;"",TEXT($J963,"00"),IFERROR(VLOOKUP(LEFT($N963,4),LCTT_MAP!$A$7:$C$66,IF($M963="THU",2,3),FALSE()),IFERROR(VLOOKUP(LEFT($N963,3),LCTT_MAP!$A$7:$C$66,IF($M963="THU",2,3),FALSE()),IFERROR(VLOOKUP(LEFT($N963,2),LCTT_MAP!$A$7:$C$66,IF($M963="THU",2,3),FALSE()),IFERROR(VLOOKUP(LEFT($N963,1),LCTT_MAP!$A$7:$C$66,IF($M963="THU",2,3),FALSE()),IF($M963="THU","06","07")))))))</f>
        <v/>
      </c>
      <c r="P963" s="117">
        <f>P962+IF(AND($H963&lt;&gt;"",OR(LEFT($F963,LEN(SC_TK))=SC_TK,LEFT($G963,LEN(SC_TK))=SC_TK)),1,0)</f>
        <v/>
      </c>
    </row>
    <row r="964" ht="15" customHeight="1" s="78">
      <c r="A964" s="95">
        <f>IF($H964="","",ROW()-6)</f>
        <v/>
      </c>
      <c r="B964" s="114" t="n"/>
      <c r="C964" s="102" t="n"/>
      <c r="D964" s="114" t="n"/>
      <c r="E964" s="103" t="n"/>
      <c r="F964" s="102" t="n"/>
      <c r="G964" s="102" t="n"/>
      <c r="H964" s="115" t="n"/>
      <c r="I964" s="102" t="n"/>
      <c r="J964" s="102" t="n"/>
      <c r="K964" s="103" t="n"/>
      <c r="L964" s="116">
        <f>IF($H964="","",TRIM(IF(COUNTIF(DMTK!$A$7:$A$250,$F964)=0,"TK Nợ sai! ","")&amp;IF(COUNTIF(DMTK!$A$7:$A$250,$G964)=0,"TK Có sai! ","")&amp;IF(N($H964)&lt;=0,"Tiền phải &gt; 0! ","")&amp;IF($B964="","Thiếu ngày! ","")&amp;IF(AND(OR(LEFT($F964,3)="131",LEFT($G964,3)="131",LEFT($F964,3)="331",LEFT($G964,3)="331"),$I964=""),"Thiếu Mã ĐT! ","")&amp;IF(AND($I964&lt;&gt;"",COUNTIF(DM_DT!$A$7:$A$306,$I964)=0),"Mã ĐT chưa khai báo! ","")))</f>
        <v/>
      </c>
      <c r="M964" s="117">
        <f>IF($H964="","",IF(AND(OR(LEFT($F964,3)="111",LEFT($F964,3)="112",LEFT($F964,3)="113"),OR(LEFT($G964,3)="111",LEFT($G964,3)="112",LEFT($G964,3)="113")),"NB",IF(OR(LEFT($F964,3)="111",LEFT($F964,3)="112",LEFT($F964,3)="113"),"THU",IF(OR(LEFT($G964,3)="111",LEFT($G964,3)="112",LEFT($G964,3)="113"),"CHI",""))))</f>
        <v/>
      </c>
      <c r="N964" s="117">
        <f>IF($M964="THU",$G964,IF($M964="CHI",$F964,""))</f>
        <v/>
      </c>
      <c r="O964" s="117">
        <f>IF(OR($M964="",$M964="NB"),"",IF($J964&lt;&gt;"",TEXT($J964,"00"),IFERROR(VLOOKUP(LEFT($N964,4),LCTT_MAP!$A$7:$C$66,IF($M964="THU",2,3),FALSE()),IFERROR(VLOOKUP(LEFT($N964,3),LCTT_MAP!$A$7:$C$66,IF($M964="THU",2,3),FALSE()),IFERROR(VLOOKUP(LEFT($N964,2),LCTT_MAP!$A$7:$C$66,IF($M964="THU",2,3),FALSE()),IFERROR(VLOOKUP(LEFT($N964,1),LCTT_MAP!$A$7:$C$66,IF($M964="THU",2,3),FALSE()),IF($M964="THU","06","07")))))))</f>
        <v/>
      </c>
      <c r="P964" s="117">
        <f>P963+IF(AND($H964&lt;&gt;"",OR(LEFT($F964,LEN(SC_TK))=SC_TK,LEFT($G964,LEN(SC_TK))=SC_TK)),1,0)</f>
        <v/>
      </c>
    </row>
    <row r="965" ht="15" customHeight="1" s="78">
      <c r="A965" s="95">
        <f>IF($H965="","",ROW()-6)</f>
        <v/>
      </c>
      <c r="B965" s="114" t="n"/>
      <c r="C965" s="102" t="n"/>
      <c r="D965" s="114" t="n"/>
      <c r="E965" s="103" t="n"/>
      <c r="F965" s="102" t="n"/>
      <c r="G965" s="102" t="n"/>
      <c r="H965" s="115" t="n"/>
      <c r="I965" s="102" t="n"/>
      <c r="J965" s="102" t="n"/>
      <c r="K965" s="103" t="n"/>
      <c r="L965" s="116">
        <f>IF($H965="","",TRIM(IF(COUNTIF(DMTK!$A$7:$A$250,$F965)=0,"TK Nợ sai! ","")&amp;IF(COUNTIF(DMTK!$A$7:$A$250,$G965)=0,"TK Có sai! ","")&amp;IF(N($H965)&lt;=0,"Tiền phải &gt; 0! ","")&amp;IF($B965="","Thiếu ngày! ","")&amp;IF(AND(OR(LEFT($F965,3)="131",LEFT($G965,3)="131",LEFT($F965,3)="331",LEFT($G965,3)="331"),$I965=""),"Thiếu Mã ĐT! ","")&amp;IF(AND($I965&lt;&gt;"",COUNTIF(DM_DT!$A$7:$A$306,$I965)=0),"Mã ĐT chưa khai báo! ","")))</f>
        <v/>
      </c>
      <c r="M965" s="117">
        <f>IF($H965="","",IF(AND(OR(LEFT($F965,3)="111",LEFT($F965,3)="112",LEFT($F965,3)="113"),OR(LEFT($G965,3)="111",LEFT($G965,3)="112",LEFT($G965,3)="113")),"NB",IF(OR(LEFT($F965,3)="111",LEFT($F965,3)="112",LEFT($F965,3)="113"),"THU",IF(OR(LEFT($G965,3)="111",LEFT($G965,3)="112",LEFT($G965,3)="113"),"CHI",""))))</f>
        <v/>
      </c>
      <c r="N965" s="117">
        <f>IF($M965="THU",$G965,IF($M965="CHI",$F965,""))</f>
        <v/>
      </c>
      <c r="O965" s="117">
        <f>IF(OR($M965="",$M965="NB"),"",IF($J965&lt;&gt;"",TEXT($J965,"00"),IFERROR(VLOOKUP(LEFT($N965,4),LCTT_MAP!$A$7:$C$66,IF($M965="THU",2,3),FALSE()),IFERROR(VLOOKUP(LEFT($N965,3),LCTT_MAP!$A$7:$C$66,IF($M965="THU",2,3),FALSE()),IFERROR(VLOOKUP(LEFT($N965,2),LCTT_MAP!$A$7:$C$66,IF($M965="THU",2,3),FALSE()),IFERROR(VLOOKUP(LEFT($N965,1),LCTT_MAP!$A$7:$C$66,IF($M965="THU",2,3),FALSE()),IF($M965="THU","06","07")))))))</f>
        <v/>
      </c>
      <c r="P965" s="117">
        <f>P964+IF(AND($H965&lt;&gt;"",OR(LEFT($F965,LEN(SC_TK))=SC_TK,LEFT($G965,LEN(SC_TK))=SC_TK)),1,0)</f>
        <v/>
      </c>
    </row>
    <row r="966" ht="15" customHeight="1" s="78">
      <c r="A966" s="95">
        <f>IF($H966="","",ROW()-6)</f>
        <v/>
      </c>
      <c r="B966" s="114" t="n"/>
      <c r="C966" s="102" t="n"/>
      <c r="D966" s="114" t="n"/>
      <c r="E966" s="103" t="n"/>
      <c r="F966" s="102" t="n"/>
      <c r="G966" s="102" t="n"/>
      <c r="H966" s="115" t="n"/>
      <c r="I966" s="102" t="n"/>
      <c r="J966" s="102" t="n"/>
      <c r="K966" s="103" t="n"/>
      <c r="L966" s="116">
        <f>IF($H966="","",TRIM(IF(COUNTIF(DMTK!$A$7:$A$250,$F966)=0,"TK Nợ sai! ","")&amp;IF(COUNTIF(DMTK!$A$7:$A$250,$G966)=0,"TK Có sai! ","")&amp;IF(N($H966)&lt;=0,"Tiền phải &gt; 0! ","")&amp;IF($B966="","Thiếu ngày! ","")&amp;IF(AND(OR(LEFT($F966,3)="131",LEFT($G966,3)="131",LEFT($F966,3)="331",LEFT($G966,3)="331"),$I966=""),"Thiếu Mã ĐT! ","")&amp;IF(AND($I966&lt;&gt;"",COUNTIF(DM_DT!$A$7:$A$306,$I966)=0),"Mã ĐT chưa khai báo! ","")))</f>
        <v/>
      </c>
      <c r="M966" s="117">
        <f>IF($H966="","",IF(AND(OR(LEFT($F966,3)="111",LEFT($F966,3)="112",LEFT($F966,3)="113"),OR(LEFT($G966,3)="111",LEFT($G966,3)="112",LEFT($G966,3)="113")),"NB",IF(OR(LEFT($F966,3)="111",LEFT($F966,3)="112",LEFT($F966,3)="113"),"THU",IF(OR(LEFT($G966,3)="111",LEFT($G966,3)="112",LEFT($G966,3)="113"),"CHI",""))))</f>
        <v/>
      </c>
      <c r="N966" s="117">
        <f>IF($M966="THU",$G966,IF($M966="CHI",$F966,""))</f>
        <v/>
      </c>
      <c r="O966" s="117">
        <f>IF(OR($M966="",$M966="NB"),"",IF($J966&lt;&gt;"",TEXT($J966,"00"),IFERROR(VLOOKUP(LEFT($N966,4),LCTT_MAP!$A$7:$C$66,IF($M966="THU",2,3),FALSE()),IFERROR(VLOOKUP(LEFT($N966,3),LCTT_MAP!$A$7:$C$66,IF($M966="THU",2,3),FALSE()),IFERROR(VLOOKUP(LEFT($N966,2),LCTT_MAP!$A$7:$C$66,IF($M966="THU",2,3),FALSE()),IFERROR(VLOOKUP(LEFT($N966,1),LCTT_MAP!$A$7:$C$66,IF($M966="THU",2,3),FALSE()),IF($M966="THU","06","07")))))))</f>
        <v/>
      </c>
      <c r="P966" s="117">
        <f>P965+IF(AND($H966&lt;&gt;"",OR(LEFT($F966,LEN(SC_TK))=SC_TK,LEFT($G966,LEN(SC_TK))=SC_TK)),1,0)</f>
        <v/>
      </c>
    </row>
    <row r="967" ht="15" customHeight="1" s="78">
      <c r="A967" s="95">
        <f>IF($H967="","",ROW()-6)</f>
        <v/>
      </c>
      <c r="B967" s="114" t="n"/>
      <c r="C967" s="102" t="n"/>
      <c r="D967" s="114" t="n"/>
      <c r="E967" s="103" t="n"/>
      <c r="F967" s="102" t="n"/>
      <c r="G967" s="102" t="n"/>
      <c r="H967" s="115" t="n"/>
      <c r="I967" s="102" t="n"/>
      <c r="J967" s="102" t="n"/>
      <c r="K967" s="103" t="n"/>
      <c r="L967" s="116">
        <f>IF($H967="","",TRIM(IF(COUNTIF(DMTK!$A$7:$A$250,$F967)=0,"TK Nợ sai! ","")&amp;IF(COUNTIF(DMTK!$A$7:$A$250,$G967)=0,"TK Có sai! ","")&amp;IF(N($H967)&lt;=0,"Tiền phải &gt; 0! ","")&amp;IF($B967="","Thiếu ngày! ","")&amp;IF(AND(OR(LEFT($F967,3)="131",LEFT($G967,3)="131",LEFT($F967,3)="331",LEFT($G967,3)="331"),$I967=""),"Thiếu Mã ĐT! ","")&amp;IF(AND($I967&lt;&gt;"",COUNTIF(DM_DT!$A$7:$A$306,$I967)=0),"Mã ĐT chưa khai báo! ","")))</f>
        <v/>
      </c>
      <c r="M967" s="117">
        <f>IF($H967="","",IF(AND(OR(LEFT($F967,3)="111",LEFT($F967,3)="112",LEFT($F967,3)="113"),OR(LEFT($G967,3)="111",LEFT($G967,3)="112",LEFT($G967,3)="113")),"NB",IF(OR(LEFT($F967,3)="111",LEFT($F967,3)="112",LEFT($F967,3)="113"),"THU",IF(OR(LEFT($G967,3)="111",LEFT($G967,3)="112",LEFT($G967,3)="113"),"CHI",""))))</f>
        <v/>
      </c>
      <c r="N967" s="117">
        <f>IF($M967="THU",$G967,IF($M967="CHI",$F967,""))</f>
        <v/>
      </c>
      <c r="O967" s="117">
        <f>IF(OR($M967="",$M967="NB"),"",IF($J967&lt;&gt;"",TEXT($J967,"00"),IFERROR(VLOOKUP(LEFT($N967,4),LCTT_MAP!$A$7:$C$66,IF($M967="THU",2,3),FALSE()),IFERROR(VLOOKUP(LEFT($N967,3),LCTT_MAP!$A$7:$C$66,IF($M967="THU",2,3),FALSE()),IFERROR(VLOOKUP(LEFT($N967,2),LCTT_MAP!$A$7:$C$66,IF($M967="THU",2,3),FALSE()),IFERROR(VLOOKUP(LEFT($N967,1),LCTT_MAP!$A$7:$C$66,IF($M967="THU",2,3),FALSE()),IF($M967="THU","06","07")))))))</f>
        <v/>
      </c>
      <c r="P967" s="117">
        <f>P966+IF(AND($H967&lt;&gt;"",OR(LEFT($F967,LEN(SC_TK))=SC_TK,LEFT($G967,LEN(SC_TK))=SC_TK)),1,0)</f>
        <v/>
      </c>
    </row>
    <row r="968" ht="15" customHeight="1" s="78">
      <c r="A968" s="95">
        <f>IF($H968="","",ROW()-6)</f>
        <v/>
      </c>
      <c r="B968" s="114" t="n"/>
      <c r="C968" s="102" t="n"/>
      <c r="D968" s="114" t="n"/>
      <c r="E968" s="103" t="n"/>
      <c r="F968" s="102" t="n"/>
      <c r="G968" s="102" t="n"/>
      <c r="H968" s="115" t="n"/>
      <c r="I968" s="102" t="n"/>
      <c r="J968" s="102" t="n"/>
      <c r="K968" s="103" t="n"/>
      <c r="L968" s="116">
        <f>IF($H968="","",TRIM(IF(COUNTIF(DMTK!$A$7:$A$250,$F968)=0,"TK Nợ sai! ","")&amp;IF(COUNTIF(DMTK!$A$7:$A$250,$G968)=0,"TK Có sai! ","")&amp;IF(N($H968)&lt;=0,"Tiền phải &gt; 0! ","")&amp;IF($B968="","Thiếu ngày! ","")&amp;IF(AND(OR(LEFT($F968,3)="131",LEFT($G968,3)="131",LEFT($F968,3)="331",LEFT($G968,3)="331"),$I968=""),"Thiếu Mã ĐT! ","")&amp;IF(AND($I968&lt;&gt;"",COUNTIF(DM_DT!$A$7:$A$306,$I968)=0),"Mã ĐT chưa khai báo! ","")))</f>
        <v/>
      </c>
      <c r="M968" s="117">
        <f>IF($H968="","",IF(AND(OR(LEFT($F968,3)="111",LEFT($F968,3)="112",LEFT($F968,3)="113"),OR(LEFT($G968,3)="111",LEFT($G968,3)="112",LEFT($G968,3)="113")),"NB",IF(OR(LEFT($F968,3)="111",LEFT($F968,3)="112",LEFT($F968,3)="113"),"THU",IF(OR(LEFT($G968,3)="111",LEFT($G968,3)="112",LEFT($G968,3)="113"),"CHI",""))))</f>
        <v/>
      </c>
      <c r="N968" s="117">
        <f>IF($M968="THU",$G968,IF($M968="CHI",$F968,""))</f>
        <v/>
      </c>
      <c r="O968" s="117">
        <f>IF(OR($M968="",$M968="NB"),"",IF($J968&lt;&gt;"",TEXT($J968,"00"),IFERROR(VLOOKUP(LEFT($N968,4),LCTT_MAP!$A$7:$C$66,IF($M968="THU",2,3),FALSE()),IFERROR(VLOOKUP(LEFT($N968,3),LCTT_MAP!$A$7:$C$66,IF($M968="THU",2,3),FALSE()),IFERROR(VLOOKUP(LEFT($N968,2),LCTT_MAP!$A$7:$C$66,IF($M968="THU",2,3),FALSE()),IFERROR(VLOOKUP(LEFT($N968,1),LCTT_MAP!$A$7:$C$66,IF($M968="THU",2,3),FALSE()),IF($M968="THU","06","07")))))))</f>
        <v/>
      </c>
      <c r="P968" s="117">
        <f>P967+IF(AND($H968&lt;&gt;"",OR(LEFT($F968,LEN(SC_TK))=SC_TK,LEFT($G968,LEN(SC_TK))=SC_TK)),1,0)</f>
        <v/>
      </c>
    </row>
    <row r="969" ht="15" customHeight="1" s="78">
      <c r="A969" s="95">
        <f>IF($H969="","",ROW()-6)</f>
        <v/>
      </c>
      <c r="B969" s="114" t="n"/>
      <c r="C969" s="102" t="n"/>
      <c r="D969" s="114" t="n"/>
      <c r="E969" s="103" t="n"/>
      <c r="F969" s="102" t="n"/>
      <c r="G969" s="102" t="n"/>
      <c r="H969" s="115" t="n"/>
      <c r="I969" s="102" t="n"/>
      <c r="J969" s="102" t="n"/>
      <c r="K969" s="103" t="n"/>
      <c r="L969" s="116">
        <f>IF($H969="","",TRIM(IF(COUNTIF(DMTK!$A$7:$A$250,$F969)=0,"TK Nợ sai! ","")&amp;IF(COUNTIF(DMTK!$A$7:$A$250,$G969)=0,"TK Có sai! ","")&amp;IF(N($H969)&lt;=0,"Tiền phải &gt; 0! ","")&amp;IF($B969="","Thiếu ngày! ","")&amp;IF(AND(OR(LEFT($F969,3)="131",LEFT($G969,3)="131",LEFT($F969,3)="331",LEFT($G969,3)="331"),$I969=""),"Thiếu Mã ĐT! ","")&amp;IF(AND($I969&lt;&gt;"",COUNTIF(DM_DT!$A$7:$A$306,$I969)=0),"Mã ĐT chưa khai báo! ","")))</f>
        <v/>
      </c>
      <c r="M969" s="117">
        <f>IF($H969="","",IF(AND(OR(LEFT($F969,3)="111",LEFT($F969,3)="112",LEFT($F969,3)="113"),OR(LEFT($G969,3)="111",LEFT($G969,3)="112",LEFT($G969,3)="113")),"NB",IF(OR(LEFT($F969,3)="111",LEFT($F969,3)="112",LEFT($F969,3)="113"),"THU",IF(OR(LEFT($G969,3)="111",LEFT($G969,3)="112",LEFT($G969,3)="113"),"CHI",""))))</f>
        <v/>
      </c>
      <c r="N969" s="117">
        <f>IF($M969="THU",$G969,IF($M969="CHI",$F969,""))</f>
        <v/>
      </c>
      <c r="O969" s="117">
        <f>IF(OR($M969="",$M969="NB"),"",IF($J969&lt;&gt;"",TEXT($J969,"00"),IFERROR(VLOOKUP(LEFT($N969,4),LCTT_MAP!$A$7:$C$66,IF($M969="THU",2,3),FALSE()),IFERROR(VLOOKUP(LEFT($N969,3),LCTT_MAP!$A$7:$C$66,IF($M969="THU",2,3),FALSE()),IFERROR(VLOOKUP(LEFT($N969,2),LCTT_MAP!$A$7:$C$66,IF($M969="THU",2,3),FALSE()),IFERROR(VLOOKUP(LEFT($N969,1),LCTT_MAP!$A$7:$C$66,IF($M969="THU",2,3),FALSE()),IF($M969="THU","06","07")))))))</f>
        <v/>
      </c>
      <c r="P969" s="117">
        <f>P968+IF(AND($H969&lt;&gt;"",OR(LEFT($F969,LEN(SC_TK))=SC_TK,LEFT($G969,LEN(SC_TK))=SC_TK)),1,0)</f>
        <v/>
      </c>
    </row>
    <row r="970" ht="15" customHeight="1" s="78">
      <c r="A970" s="95">
        <f>IF($H970="","",ROW()-6)</f>
        <v/>
      </c>
      <c r="B970" s="114" t="n"/>
      <c r="C970" s="102" t="n"/>
      <c r="D970" s="114" t="n"/>
      <c r="E970" s="103" t="n"/>
      <c r="F970" s="102" t="n"/>
      <c r="G970" s="102" t="n"/>
      <c r="H970" s="115" t="n"/>
      <c r="I970" s="102" t="n"/>
      <c r="J970" s="102" t="n"/>
      <c r="K970" s="103" t="n"/>
      <c r="L970" s="116">
        <f>IF($H970="","",TRIM(IF(COUNTIF(DMTK!$A$7:$A$250,$F970)=0,"TK Nợ sai! ","")&amp;IF(COUNTIF(DMTK!$A$7:$A$250,$G970)=0,"TK Có sai! ","")&amp;IF(N($H970)&lt;=0,"Tiền phải &gt; 0! ","")&amp;IF($B970="","Thiếu ngày! ","")&amp;IF(AND(OR(LEFT($F970,3)="131",LEFT($G970,3)="131",LEFT($F970,3)="331",LEFT($G970,3)="331"),$I970=""),"Thiếu Mã ĐT! ","")&amp;IF(AND($I970&lt;&gt;"",COUNTIF(DM_DT!$A$7:$A$306,$I970)=0),"Mã ĐT chưa khai báo! ","")))</f>
        <v/>
      </c>
      <c r="M970" s="117">
        <f>IF($H970="","",IF(AND(OR(LEFT($F970,3)="111",LEFT($F970,3)="112",LEFT($F970,3)="113"),OR(LEFT($G970,3)="111",LEFT($G970,3)="112",LEFT($G970,3)="113")),"NB",IF(OR(LEFT($F970,3)="111",LEFT($F970,3)="112",LEFT($F970,3)="113"),"THU",IF(OR(LEFT($G970,3)="111",LEFT($G970,3)="112",LEFT($G970,3)="113"),"CHI",""))))</f>
        <v/>
      </c>
      <c r="N970" s="117">
        <f>IF($M970="THU",$G970,IF($M970="CHI",$F970,""))</f>
        <v/>
      </c>
      <c r="O970" s="117">
        <f>IF(OR($M970="",$M970="NB"),"",IF($J970&lt;&gt;"",TEXT($J970,"00"),IFERROR(VLOOKUP(LEFT($N970,4),LCTT_MAP!$A$7:$C$66,IF($M970="THU",2,3),FALSE()),IFERROR(VLOOKUP(LEFT($N970,3),LCTT_MAP!$A$7:$C$66,IF($M970="THU",2,3),FALSE()),IFERROR(VLOOKUP(LEFT($N970,2),LCTT_MAP!$A$7:$C$66,IF($M970="THU",2,3),FALSE()),IFERROR(VLOOKUP(LEFT($N970,1),LCTT_MAP!$A$7:$C$66,IF($M970="THU",2,3),FALSE()),IF($M970="THU","06","07")))))))</f>
        <v/>
      </c>
      <c r="P970" s="117">
        <f>P969+IF(AND($H970&lt;&gt;"",OR(LEFT($F970,LEN(SC_TK))=SC_TK,LEFT($G970,LEN(SC_TK))=SC_TK)),1,0)</f>
        <v/>
      </c>
    </row>
    <row r="971" ht="15" customHeight="1" s="78">
      <c r="A971" s="95">
        <f>IF($H971="","",ROW()-6)</f>
        <v/>
      </c>
      <c r="B971" s="114" t="n"/>
      <c r="C971" s="102" t="n"/>
      <c r="D971" s="114" t="n"/>
      <c r="E971" s="103" t="n"/>
      <c r="F971" s="102" t="n"/>
      <c r="G971" s="102" t="n"/>
      <c r="H971" s="115" t="n"/>
      <c r="I971" s="102" t="n"/>
      <c r="J971" s="102" t="n"/>
      <c r="K971" s="103" t="n"/>
      <c r="L971" s="116">
        <f>IF($H971="","",TRIM(IF(COUNTIF(DMTK!$A$7:$A$250,$F971)=0,"TK Nợ sai! ","")&amp;IF(COUNTIF(DMTK!$A$7:$A$250,$G971)=0,"TK Có sai! ","")&amp;IF(N($H971)&lt;=0,"Tiền phải &gt; 0! ","")&amp;IF($B971="","Thiếu ngày! ","")&amp;IF(AND(OR(LEFT($F971,3)="131",LEFT($G971,3)="131",LEFT($F971,3)="331",LEFT($G971,3)="331"),$I971=""),"Thiếu Mã ĐT! ","")&amp;IF(AND($I971&lt;&gt;"",COUNTIF(DM_DT!$A$7:$A$306,$I971)=0),"Mã ĐT chưa khai báo! ","")))</f>
        <v/>
      </c>
      <c r="M971" s="117">
        <f>IF($H971="","",IF(AND(OR(LEFT($F971,3)="111",LEFT($F971,3)="112",LEFT($F971,3)="113"),OR(LEFT($G971,3)="111",LEFT($G971,3)="112",LEFT($G971,3)="113")),"NB",IF(OR(LEFT($F971,3)="111",LEFT($F971,3)="112",LEFT($F971,3)="113"),"THU",IF(OR(LEFT($G971,3)="111",LEFT($G971,3)="112",LEFT($G971,3)="113"),"CHI",""))))</f>
        <v/>
      </c>
      <c r="N971" s="117">
        <f>IF($M971="THU",$G971,IF($M971="CHI",$F971,""))</f>
        <v/>
      </c>
      <c r="O971" s="117">
        <f>IF(OR($M971="",$M971="NB"),"",IF($J971&lt;&gt;"",TEXT($J971,"00"),IFERROR(VLOOKUP(LEFT($N971,4),LCTT_MAP!$A$7:$C$66,IF($M971="THU",2,3),FALSE()),IFERROR(VLOOKUP(LEFT($N971,3),LCTT_MAP!$A$7:$C$66,IF($M971="THU",2,3),FALSE()),IFERROR(VLOOKUP(LEFT($N971,2),LCTT_MAP!$A$7:$C$66,IF($M971="THU",2,3),FALSE()),IFERROR(VLOOKUP(LEFT($N971,1),LCTT_MAP!$A$7:$C$66,IF($M971="THU",2,3),FALSE()),IF($M971="THU","06","07")))))))</f>
        <v/>
      </c>
      <c r="P971" s="117">
        <f>P970+IF(AND($H971&lt;&gt;"",OR(LEFT($F971,LEN(SC_TK))=SC_TK,LEFT($G971,LEN(SC_TK))=SC_TK)),1,0)</f>
        <v/>
      </c>
    </row>
    <row r="972" ht="15" customHeight="1" s="78">
      <c r="A972" s="95">
        <f>IF($H972="","",ROW()-6)</f>
        <v/>
      </c>
      <c r="B972" s="114" t="n"/>
      <c r="C972" s="102" t="n"/>
      <c r="D972" s="114" t="n"/>
      <c r="E972" s="103" t="n"/>
      <c r="F972" s="102" t="n"/>
      <c r="G972" s="102" t="n"/>
      <c r="H972" s="115" t="n"/>
      <c r="I972" s="102" t="n"/>
      <c r="J972" s="102" t="n"/>
      <c r="K972" s="103" t="n"/>
      <c r="L972" s="116">
        <f>IF($H972="","",TRIM(IF(COUNTIF(DMTK!$A$7:$A$250,$F972)=0,"TK Nợ sai! ","")&amp;IF(COUNTIF(DMTK!$A$7:$A$250,$G972)=0,"TK Có sai! ","")&amp;IF(N($H972)&lt;=0,"Tiền phải &gt; 0! ","")&amp;IF($B972="","Thiếu ngày! ","")&amp;IF(AND(OR(LEFT($F972,3)="131",LEFT($G972,3)="131",LEFT($F972,3)="331",LEFT($G972,3)="331"),$I972=""),"Thiếu Mã ĐT! ","")&amp;IF(AND($I972&lt;&gt;"",COUNTIF(DM_DT!$A$7:$A$306,$I972)=0),"Mã ĐT chưa khai báo! ","")))</f>
        <v/>
      </c>
      <c r="M972" s="117">
        <f>IF($H972="","",IF(AND(OR(LEFT($F972,3)="111",LEFT($F972,3)="112",LEFT($F972,3)="113"),OR(LEFT($G972,3)="111",LEFT($G972,3)="112",LEFT($G972,3)="113")),"NB",IF(OR(LEFT($F972,3)="111",LEFT($F972,3)="112",LEFT($F972,3)="113"),"THU",IF(OR(LEFT($G972,3)="111",LEFT($G972,3)="112",LEFT($G972,3)="113"),"CHI",""))))</f>
        <v/>
      </c>
      <c r="N972" s="117">
        <f>IF($M972="THU",$G972,IF($M972="CHI",$F972,""))</f>
        <v/>
      </c>
      <c r="O972" s="117">
        <f>IF(OR($M972="",$M972="NB"),"",IF($J972&lt;&gt;"",TEXT($J972,"00"),IFERROR(VLOOKUP(LEFT($N972,4),LCTT_MAP!$A$7:$C$66,IF($M972="THU",2,3),FALSE()),IFERROR(VLOOKUP(LEFT($N972,3),LCTT_MAP!$A$7:$C$66,IF($M972="THU",2,3),FALSE()),IFERROR(VLOOKUP(LEFT($N972,2),LCTT_MAP!$A$7:$C$66,IF($M972="THU",2,3),FALSE()),IFERROR(VLOOKUP(LEFT($N972,1),LCTT_MAP!$A$7:$C$66,IF($M972="THU",2,3),FALSE()),IF($M972="THU","06","07")))))))</f>
        <v/>
      </c>
      <c r="P972" s="117">
        <f>P971+IF(AND($H972&lt;&gt;"",OR(LEFT($F972,LEN(SC_TK))=SC_TK,LEFT($G972,LEN(SC_TK))=SC_TK)),1,0)</f>
        <v/>
      </c>
    </row>
    <row r="973" ht="15" customHeight="1" s="78">
      <c r="A973" s="95">
        <f>IF($H973="","",ROW()-6)</f>
        <v/>
      </c>
      <c r="B973" s="114" t="n"/>
      <c r="C973" s="102" t="n"/>
      <c r="D973" s="114" t="n"/>
      <c r="E973" s="103" t="n"/>
      <c r="F973" s="102" t="n"/>
      <c r="G973" s="102" t="n"/>
      <c r="H973" s="115" t="n"/>
      <c r="I973" s="102" t="n"/>
      <c r="J973" s="102" t="n"/>
      <c r="K973" s="103" t="n"/>
      <c r="L973" s="116">
        <f>IF($H973="","",TRIM(IF(COUNTIF(DMTK!$A$7:$A$250,$F973)=0,"TK Nợ sai! ","")&amp;IF(COUNTIF(DMTK!$A$7:$A$250,$G973)=0,"TK Có sai! ","")&amp;IF(N($H973)&lt;=0,"Tiền phải &gt; 0! ","")&amp;IF($B973="","Thiếu ngày! ","")&amp;IF(AND(OR(LEFT($F973,3)="131",LEFT($G973,3)="131",LEFT($F973,3)="331",LEFT($G973,3)="331"),$I973=""),"Thiếu Mã ĐT! ","")&amp;IF(AND($I973&lt;&gt;"",COUNTIF(DM_DT!$A$7:$A$306,$I973)=0),"Mã ĐT chưa khai báo! ","")))</f>
        <v/>
      </c>
      <c r="M973" s="117">
        <f>IF($H973="","",IF(AND(OR(LEFT($F973,3)="111",LEFT($F973,3)="112",LEFT($F973,3)="113"),OR(LEFT($G973,3)="111",LEFT($G973,3)="112",LEFT($G973,3)="113")),"NB",IF(OR(LEFT($F973,3)="111",LEFT($F973,3)="112",LEFT($F973,3)="113"),"THU",IF(OR(LEFT($G973,3)="111",LEFT($G973,3)="112",LEFT($G973,3)="113"),"CHI",""))))</f>
        <v/>
      </c>
      <c r="N973" s="117">
        <f>IF($M973="THU",$G973,IF($M973="CHI",$F973,""))</f>
        <v/>
      </c>
      <c r="O973" s="117">
        <f>IF(OR($M973="",$M973="NB"),"",IF($J973&lt;&gt;"",TEXT($J973,"00"),IFERROR(VLOOKUP(LEFT($N973,4),LCTT_MAP!$A$7:$C$66,IF($M973="THU",2,3),FALSE()),IFERROR(VLOOKUP(LEFT($N973,3),LCTT_MAP!$A$7:$C$66,IF($M973="THU",2,3),FALSE()),IFERROR(VLOOKUP(LEFT($N973,2),LCTT_MAP!$A$7:$C$66,IF($M973="THU",2,3),FALSE()),IFERROR(VLOOKUP(LEFT($N973,1),LCTT_MAP!$A$7:$C$66,IF($M973="THU",2,3),FALSE()),IF($M973="THU","06","07")))))))</f>
        <v/>
      </c>
      <c r="P973" s="117">
        <f>P972+IF(AND($H973&lt;&gt;"",OR(LEFT($F973,LEN(SC_TK))=SC_TK,LEFT($G973,LEN(SC_TK))=SC_TK)),1,0)</f>
        <v/>
      </c>
    </row>
    <row r="974" ht="15" customHeight="1" s="78">
      <c r="A974" s="95">
        <f>IF($H974="","",ROW()-6)</f>
        <v/>
      </c>
      <c r="B974" s="114" t="n"/>
      <c r="C974" s="102" t="n"/>
      <c r="D974" s="114" t="n"/>
      <c r="E974" s="103" t="n"/>
      <c r="F974" s="102" t="n"/>
      <c r="G974" s="102" t="n"/>
      <c r="H974" s="115" t="n"/>
      <c r="I974" s="102" t="n"/>
      <c r="J974" s="102" t="n"/>
      <c r="K974" s="103" t="n"/>
      <c r="L974" s="116">
        <f>IF($H974="","",TRIM(IF(COUNTIF(DMTK!$A$7:$A$250,$F974)=0,"TK Nợ sai! ","")&amp;IF(COUNTIF(DMTK!$A$7:$A$250,$G974)=0,"TK Có sai! ","")&amp;IF(N($H974)&lt;=0,"Tiền phải &gt; 0! ","")&amp;IF($B974="","Thiếu ngày! ","")&amp;IF(AND(OR(LEFT($F974,3)="131",LEFT($G974,3)="131",LEFT($F974,3)="331",LEFT($G974,3)="331"),$I974=""),"Thiếu Mã ĐT! ","")&amp;IF(AND($I974&lt;&gt;"",COUNTIF(DM_DT!$A$7:$A$306,$I974)=0),"Mã ĐT chưa khai báo! ","")))</f>
        <v/>
      </c>
      <c r="M974" s="117">
        <f>IF($H974="","",IF(AND(OR(LEFT($F974,3)="111",LEFT($F974,3)="112",LEFT($F974,3)="113"),OR(LEFT($G974,3)="111",LEFT($G974,3)="112",LEFT($G974,3)="113")),"NB",IF(OR(LEFT($F974,3)="111",LEFT($F974,3)="112",LEFT($F974,3)="113"),"THU",IF(OR(LEFT($G974,3)="111",LEFT($G974,3)="112",LEFT($G974,3)="113"),"CHI",""))))</f>
        <v/>
      </c>
      <c r="N974" s="117">
        <f>IF($M974="THU",$G974,IF($M974="CHI",$F974,""))</f>
        <v/>
      </c>
      <c r="O974" s="117">
        <f>IF(OR($M974="",$M974="NB"),"",IF($J974&lt;&gt;"",TEXT($J974,"00"),IFERROR(VLOOKUP(LEFT($N974,4),LCTT_MAP!$A$7:$C$66,IF($M974="THU",2,3),FALSE()),IFERROR(VLOOKUP(LEFT($N974,3),LCTT_MAP!$A$7:$C$66,IF($M974="THU",2,3),FALSE()),IFERROR(VLOOKUP(LEFT($N974,2),LCTT_MAP!$A$7:$C$66,IF($M974="THU",2,3),FALSE()),IFERROR(VLOOKUP(LEFT($N974,1),LCTT_MAP!$A$7:$C$66,IF($M974="THU",2,3),FALSE()),IF($M974="THU","06","07")))))))</f>
        <v/>
      </c>
      <c r="P974" s="117">
        <f>P973+IF(AND($H974&lt;&gt;"",OR(LEFT($F974,LEN(SC_TK))=SC_TK,LEFT($G974,LEN(SC_TK))=SC_TK)),1,0)</f>
        <v/>
      </c>
    </row>
    <row r="975" ht="15" customHeight="1" s="78">
      <c r="A975" s="95">
        <f>IF($H975="","",ROW()-6)</f>
        <v/>
      </c>
      <c r="B975" s="114" t="n"/>
      <c r="C975" s="102" t="n"/>
      <c r="D975" s="114" t="n"/>
      <c r="E975" s="103" t="n"/>
      <c r="F975" s="102" t="n"/>
      <c r="G975" s="102" t="n"/>
      <c r="H975" s="115" t="n"/>
      <c r="I975" s="102" t="n"/>
      <c r="J975" s="102" t="n"/>
      <c r="K975" s="103" t="n"/>
      <c r="L975" s="116">
        <f>IF($H975="","",TRIM(IF(COUNTIF(DMTK!$A$7:$A$250,$F975)=0,"TK Nợ sai! ","")&amp;IF(COUNTIF(DMTK!$A$7:$A$250,$G975)=0,"TK Có sai! ","")&amp;IF(N($H975)&lt;=0,"Tiền phải &gt; 0! ","")&amp;IF($B975="","Thiếu ngày! ","")&amp;IF(AND(OR(LEFT($F975,3)="131",LEFT($G975,3)="131",LEFT($F975,3)="331",LEFT($G975,3)="331"),$I975=""),"Thiếu Mã ĐT! ","")&amp;IF(AND($I975&lt;&gt;"",COUNTIF(DM_DT!$A$7:$A$306,$I975)=0),"Mã ĐT chưa khai báo! ","")))</f>
        <v/>
      </c>
      <c r="M975" s="117">
        <f>IF($H975="","",IF(AND(OR(LEFT($F975,3)="111",LEFT($F975,3)="112",LEFT($F975,3)="113"),OR(LEFT($G975,3)="111",LEFT($G975,3)="112",LEFT($G975,3)="113")),"NB",IF(OR(LEFT($F975,3)="111",LEFT($F975,3)="112",LEFT($F975,3)="113"),"THU",IF(OR(LEFT($G975,3)="111",LEFT($G975,3)="112",LEFT($G975,3)="113"),"CHI",""))))</f>
        <v/>
      </c>
      <c r="N975" s="117">
        <f>IF($M975="THU",$G975,IF($M975="CHI",$F975,""))</f>
        <v/>
      </c>
      <c r="O975" s="117">
        <f>IF(OR($M975="",$M975="NB"),"",IF($J975&lt;&gt;"",TEXT($J975,"00"),IFERROR(VLOOKUP(LEFT($N975,4),LCTT_MAP!$A$7:$C$66,IF($M975="THU",2,3),FALSE()),IFERROR(VLOOKUP(LEFT($N975,3),LCTT_MAP!$A$7:$C$66,IF($M975="THU",2,3),FALSE()),IFERROR(VLOOKUP(LEFT($N975,2),LCTT_MAP!$A$7:$C$66,IF($M975="THU",2,3),FALSE()),IFERROR(VLOOKUP(LEFT($N975,1),LCTT_MAP!$A$7:$C$66,IF($M975="THU",2,3),FALSE()),IF($M975="THU","06","07")))))))</f>
        <v/>
      </c>
      <c r="P975" s="117">
        <f>P974+IF(AND($H975&lt;&gt;"",OR(LEFT($F975,LEN(SC_TK))=SC_TK,LEFT($G975,LEN(SC_TK))=SC_TK)),1,0)</f>
        <v/>
      </c>
    </row>
    <row r="976" ht="15" customHeight="1" s="78">
      <c r="A976" s="95">
        <f>IF($H976="","",ROW()-6)</f>
        <v/>
      </c>
      <c r="B976" s="114" t="n"/>
      <c r="C976" s="102" t="n"/>
      <c r="D976" s="114" t="n"/>
      <c r="E976" s="103" t="n"/>
      <c r="F976" s="102" t="n"/>
      <c r="G976" s="102" t="n"/>
      <c r="H976" s="115" t="n"/>
      <c r="I976" s="102" t="n"/>
      <c r="J976" s="102" t="n"/>
      <c r="K976" s="103" t="n"/>
      <c r="L976" s="116">
        <f>IF($H976="","",TRIM(IF(COUNTIF(DMTK!$A$7:$A$250,$F976)=0,"TK Nợ sai! ","")&amp;IF(COUNTIF(DMTK!$A$7:$A$250,$G976)=0,"TK Có sai! ","")&amp;IF(N($H976)&lt;=0,"Tiền phải &gt; 0! ","")&amp;IF($B976="","Thiếu ngày! ","")&amp;IF(AND(OR(LEFT($F976,3)="131",LEFT($G976,3)="131",LEFT($F976,3)="331",LEFT($G976,3)="331"),$I976=""),"Thiếu Mã ĐT! ","")&amp;IF(AND($I976&lt;&gt;"",COUNTIF(DM_DT!$A$7:$A$306,$I976)=0),"Mã ĐT chưa khai báo! ","")))</f>
        <v/>
      </c>
      <c r="M976" s="117">
        <f>IF($H976="","",IF(AND(OR(LEFT($F976,3)="111",LEFT($F976,3)="112",LEFT($F976,3)="113"),OR(LEFT($G976,3)="111",LEFT($G976,3)="112",LEFT($G976,3)="113")),"NB",IF(OR(LEFT($F976,3)="111",LEFT($F976,3)="112",LEFT($F976,3)="113"),"THU",IF(OR(LEFT($G976,3)="111",LEFT($G976,3)="112",LEFT($G976,3)="113"),"CHI",""))))</f>
        <v/>
      </c>
      <c r="N976" s="117">
        <f>IF($M976="THU",$G976,IF($M976="CHI",$F976,""))</f>
        <v/>
      </c>
      <c r="O976" s="117">
        <f>IF(OR($M976="",$M976="NB"),"",IF($J976&lt;&gt;"",TEXT($J976,"00"),IFERROR(VLOOKUP(LEFT($N976,4),LCTT_MAP!$A$7:$C$66,IF($M976="THU",2,3),FALSE()),IFERROR(VLOOKUP(LEFT($N976,3),LCTT_MAP!$A$7:$C$66,IF($M976="THU",2,3),FALSE()),IFERROR(VLOOKUP(LEFT($N976,2),LCTT_MAP!$A$7:$C$66,IF($M976="THU",2,3),FALSE()),IFERROR(VLOOKUP(LEFT($N976,1),LCTT_MAP!$A$7:$C$66,IF($M976="THU",2,3),FALSE()),IF($M976="THU","06","07")))))))</f>
        <v/>
      </c>
      <c r="P976" s="117">
        <f>P975+IF(AND($H976&lt;&gt;"",OR(LEFT($F976,LEN(SC_TK))=SC_TK,LEFT($G976,LEN(SC_TK))=SC_TK)),1,0)</f>
        <v/>
      </c>
    </row>
    <row r="977" ht="15" customHeight="1" s="78">
      <c r="A977" s="95">
        <f>IF($H977="","",ROW()-6)</f>
        <v/>
      </c>
      <c r="B977" s="114" t="n"/>
      <c r="C977" s="102" t="n"/>
      <c r="D977" s="114" t="n"/>
      <c r="E977" s="103" t="n"/>
      <c r="F977" s="102" t="n"/>
      <c r="G977" s="102" t="n"/>
      <c r="H977" s="115" t="n"/>
      <c r="I977" s="102" t="n"/>
      <c r="J977" s="102" t="n"/>
      <c r="K977" s="103" t="n"/>
      <c r="L977" s="116">
        <f>IF($H977="","",TRIM(IF(COUNTIF(DMTK!$A$7:$A$250,$F977)=0,"TK Nợ sai! ","")&amp;IF(COUNTIF(DMTK!$A$7:$A$250,$G977)=0,"TK Có sai! ","")&amp;IF(N($H977)&lt;=0,"Tiền phải &gt; 0! ","")&amp;IF($B977="","Thiếu ngày! ","")&amp;IF(AND(OR(LEFT($F977,3)="131",LEFT($G977,3)="131",LEFT($F977,3)="331",LEFT($G977,3)="331"),$I977=""),"Thiếu Mã ĐT! ","")&amp;IF(AND($I977&lt;&gt;"",COUNTIF(DM_DT!$A$7:$A$306,$I977)=0),"Mã ĐT chưa khai báo! ","")))</f>
        <v/>
      </c>
      <c r="M977" s="117">
        <f>IF($H977="","",IF(AND(OR(LEFT($F977,3)="111",LEFT($F977,3)="112",LEFT($F977,3)="113"),OR(LEFT($G977,3)="111",LEFT($G977,3)="112",LEFT($G977,3)="113")),"NB",IF(OR(LEFT($F977,3)="111",LEFT($F977,3)="112",LEFT($F977,3)="113"),"THU",IF(OR(LEFT($G977,3)="111",LEFT($G977,3)="112",LEFT($G977,3)="113"),"CHI",""))))</f>
        <v/>
      </c>
      <c r="N977" s="117">
        <f>IF($M977="THU",$G977,IF($M977="CHI",$F977,""))</f>
        <v/>
      </c>
      <c r="O977" s="117">
        <f>IF(OR($M977="",$M977="NB"),"",IF($J977&lt;&gt;"",TEXT($J977,"00"),IFERROR(VLOOKUP(LEFT($N977,4),LCTT_MAP!$A$7:$C$66,IF($M977="THU",2,3),FALSE()),IFERROR(VLOOKUP(LEFT($N977,3),LCTT_MAP!$A$7:$C$66,IF($M977="THU",2,3),FALSE()),IFERROR(VLOOKUP(LEFT($N977,2),LCTT_MAP!$A$7:$C$66,IF($M977="THU",2,3),FALSE()),IFERROR(VLOOKUP(LEFT($N977,1),LCTT_MAP!$A$7:$C$66,IF($M977="THU",2,3),FALSE()),IF($M977="THU","06","07")))))))</f>
        <v/>
      </c>
      <c r="P977" s="117">
        <f>P976+IF(AND($H977&lt;&gt;"",OR(LEFT($F977,LEN(SC_TK))=SC_TK,LEFT($G977,LEN(SC_TK))=SC_TK)),1,0)</f>
        <v/>
      </c>
    </row>
    <row r="978" ht="15" customHeight="1" s="78">
      <c r="A978" s="95">
        <f>IF($H978="","",ROW()-6)</f>
        <v/>
      </c>
      <c r="B978" s="114" t="n"/>
      <c r="C978" s="102" t="n"/>
      <c r="D978" s="114" t="n"/>
      <c r="E978" s="103" t="n"/>
      <c r="F978" s="102" t="n"/>
      <c r="G978" s="102" t="n"/>
      <c r="H978" s="115" t="n"/>
      <c r="I978" s="102" t="n"/>
      <c r="J978" s="102" t="n"/>
      <c r="K978" s="103" t="n"/>
      <c r="L978" s="116">
        <f>IF($H978="","",TRIM(IF(COUNTIF(DMTK!$A$7:$A$250,$F978)=0,"TK Nợ sai! ","")&amp;IF(COUNTIF(DMTK!$A$7:$A$250,$G978)=0,"TK Có sai! ","")&amp;IF(N($H978)&lt;=0,"Tiền phải &gt; 0! ","")&amp;IF($B978="","Thiếu ngày! ","")&amp;IF(AND(OR(LEFT($F978,3)="131",LEFT($G978,3)="131",LEFT($F978,3)="331",LEFT($G978,3)="331"),$I978=""),"Thiếu Mã ĐT! ","")&amp;IF(AND($I978&lt;&gt;"",COUNTIF(DM_DT!$A$7:$A$306,$I978)=0),"Mã ĐT chưa khai báo! ","")))</f>
        <v/>
      </c>
      <c r="M978" s="117">
        <f>IF($H978="","",IF(AND(OR(LEFT($F978,3)="111",LEFT($F978,3)="112",LEFT($F978,3)="113"),OR(LEFT($G978,3)="111",LEFT($G978,3)="112",LEFT($G978,3)="113")),"NB",IF(OR(LEFT($F978,3)="111",LEFT($F978,3)="112",LEFT($F978,3)="113"),"THU",IF(OR(LEFT($G978,3)="111",LEFT($G978,3)="112",LEFT($G978,3)="113"),"CHI",""))))</f>
        <v/>
      </c>
      <c r="N978" s="117">
        <f>IF($M978="THU",$G978,IF($M978="CHI",$F978,""))</f>
        <v/>
      </c>
      <c r="O978" s="117">
        <f>IF(OR($M978="",$M978="NB"),"",IF($J978&lt;&gt;"",TEXT($J978,"00"),IFERROR(VLOOKUP(LEFT($N978,4),LCTT_MAP!$A$7:$C$66,IF($M978="THU",2,3),FALSE()),IFERROR(VLOOKUP(LEFT($N978,3),LCTT_MAP!$A$7:$C$66,IF($M978="THU",2,3),FALSE()),IFERROR(VLOOKUP(LEFT($N978,2),LCTT_MAP!$A$7:$C$66,IF($M978="THU",2,3),FALSE()),IFERROR(VLOOKUP(LEFT($N978,1),LCTT_MAP!$A$7:$C$66,IF($M978="THU",2,3),FALSE()),IF($M978="THU","06","07")))))))</f>
        <v/>
      </c>
      <c r="P978" s="117">
        <f>P977+IF(AND($H978&lt;&gt;"",OR(LEFT($F978,LEN(SC_TK))=SC_TK,LEFT($G978,LEN(SC_TK))=SC_TK)),1,0)</f>
        <v/>
      </c>
    </row>
    <row r="979" ht="15" customHeight="1" s="78">
      <c r="A979" s="95">
        <f>IF($H979="","",ROW()-6)</f>
        <v/>
      </c>
      <c r="B979" s="114" t="n"/>
      <c r="C979" s="102" t="n"/>
      <c r="D979" s="114" t="n"/>
      <c r="E979" s="103" t="n"/>
      <c r="F979" s="102" t="n"/>
      <c r="G979" s="102" t="n"/>
      <c r="H979" s="115" t="n"/>
      <c r="I979" s="102" t="n"/>
      <c r="J979" s="102" t="n"/>
      <c r="K979" s="103" t="n"/>
      <c r="L979" s="116">
        <f>IF($H979="","",TRIM(IF(COUNTIF(DMTK!$A$7:$A$250,$F979)=0,"TK Nợ sai! ","")&amp;IF(COUNTIF(DMTK!$A$7:$A$250,$G979)=0,"TK Có sai! ","")&amp;IF(N($H979)&lt;=0,"Tiền phải &gt; 0! ","")&amp;IF($B979="","Thiếu ngày! ","")&amp;IF(AND(OR(LEFT($F979,3)="131",LEFT($G979,3)="131",LEFT($F979,3)="331",LEFT($G979,3)="331"),$I979=""),"Thiếu Mã ĐT! ","")&amp;IF(AND($I979&lt;&gt;"",COUNTIF(DM_DT!$A$7:$A$306,$I979)=0),"Mã ĐT chưa khai báo! ","")))</f>
        <v/>
      </c>
      <c r="M979" s="117">
        <f>IF($H979="","",IF(AND(OR(LEFT($F979,3)="111",LEFT($F979,3)="112",LEFT($F979,3)="113"),OR(LEFT($G979,3)="111",LEFT($G979,3)="112",LEFT($G979,3)="113")),"NB",IF(OR(LEFT($F979,3)="111",LEFT($F979,3)="112",LEFT($F979,3)="113"),"THU",IF(OR(LEFT($G979,3)="111",LEFT($G979,3)="112",LEFT($G979,3)="113"),"CHI",""))))</f>
        <v/>
      </c>
      <c r="N979" s="117">
        <f>IF($M979="THU",$G979,IF($M979="CHI",$F979,""))</f>
        <v/>
      </c>
      <c r="O979" s="117">
        <f>IF(OR($M979="",$M979="NB"),"",IF($J979&lt;&gt;"",TEXT($J979,"00"),IFERROR(VLOOKUP(LEFT($N979,4),LCTT_MAP!$A$7:$C$66,IF($M979="THU",2,3),FALSE()),IFERROR(VLOOKUP(LEFT($N979,3),LCTT_MAP!$A$7:$C$66,IF($M979="THU",2,3),FALSE()),IFERROR(VLOOKUP(LEFT($N979,2),LCTT_MAP!$A$7:$C$66,IF($M979="THU",2,3),FALSE()),IFERROR(VLOOKUP(LEFT($N979,1),LCTT_MAP!$A$7:$C$66,IF($M979="THU",2,3),FALSE()),IF($M979="THU","06","07")))))))</f>
        <v/>
      </c>
      <c r="P979" s="117">
        <f>P978+IF(AND($H979&lt;&gt;"",OR(LEFT($F979,LEN(SC_TK))=SC_TK,LEFT($G979,LEN(SC_TK))=SC_TK)),1,0)</f>
        <v/>
      </c>
    </row>
    <row r="980" ht="15" customHeight="1" s="78">
      <c r="A980" s="95">
        <f>IF($H980="","",ROW()-6)</f>
        <v/>
      </c>
      <c r="B980" s="114" t="n"/>
      <c r="C980" s="102" t="n"/>
      <c r="D980" s="114" t="n"/>
      <c r="E980" s="103" t="n"/>
      <c r="F980" s="102" t="n"/>
      <c r="G980" s="102" t="n"/>
      <c r="H980" s="115" t="n"/>
      <c r="I980" s="102" t="n"/>
      <c r="J980" s="102" t="n"/>
      <c r="K980" s="103" t="n"/>
      <c r="L980" s="116">
        <f>IF($H980="","",TRIM(IF(COUNTIF(DMTK!$A$7:$A$250,$F980)=0,"TK Nợ sai! ","")&amp;IF(COUNTIF(DMTK!$A$7:$A$250,$G980)=0,"TK Có sai! ","")&amp;IF(N($H980)&lt;=0,"Tiền phải &gt; 0! ","")&amp;IF($B980="","Thiếu ngày! ","")&amp;IF(AND(OR(LEFT($F980,3)="131",LEFT($G980,3)="131",LEFT($F980,3)="331",LEFT($G980,3)="331"),$I980=""),"Thiếu Mã ĐT! ","")&amp;IF(AND($I980&lt;&gt;"",COUNTIF(DM_DT!$A$7:$A$306,$I980)=0),"Mã ĐT chưa khai báo! ","")))</f>
        <v/>
      </c>
      <c r="M980" s="117">
        <f>IF($H980="","",IF(AND(OR(LEFT($F980,3)="111",LEFT($F980,3)="112",LEFT($F980,3)="113"),OR(LEFT($G980,3)="111",LEFT($G980,3)="112",LEFT($G980,3)="113")),"NB",IF(OR(LEFT($F980,3)="111",LEFT($F980,3)="112",LEFT($F980,3)="113"),"THU",IF(OR(LEFT($G980,3)="111",LEFT($G980,3)="112",LEFT($G980,3)="113"),"CHI",""))))</f>
        <v/>
      </c>
      <c r="N980" s="117">
        <f>IF($M980="THU",$G980,IF($M980="CHI",$F980,""))</f>
        <v/>
      </c>
      <c r="O980" s="117">
        <f>IF(OR($M980="",$M980="NB"),"",IF($J980&lt;&gt;"",TEXT($J980,"00"),IFERROR(VLOOKUP(LEFT($N980,4),LCTT_MAP!$A$7:$C$66,IF($M980="THU",2,3),FALSE()),IFERROR(VLOOKUP(LEFT($N980,3),LCTT_MAP!$A$7:$C$66,IF($M980="THU",2,3),FALSE()),IFERROR(VLOOKUP(LEFT($N980,2),LCTT_MAP!$A$7:$C$66,IF($M980="THU",2,3),FALSE()),IFERROR(VLOOKUP(LEFT($N980,1),LCTT_MAP!$A$7:$C$66,IF($M980="THU",2,3),FALSE()),IF($M980="THU","06","07")))))))</f>
        <v/>
      </c>
      <c r="P980" s="117">
        <f>P979+IF(AND($H980&lt;&gt;"",OR(LEFT($F980,LEN(SC_TK))=SC_TK,LEFT($G980,LEN(SC_TK))=SC_TK)),1,0)</f>
        <v/>
      </c>
    </row>
    <row r="981" ht="15" customHeight="1" s="78">
      <c r="A981" s="95">
        <f>IF($H981="","",ROW()-6)</f>
        <v/>
      </c>
      <c r="B981" s="114" t="n"/>
      <c r="C981" s="102" t="n"/>
      <c r="D981" s="114" t="n"/>
      <c r="E981" s="103" t="n"/>
      <c r="F981" s="102" t="n"/>
      <c r="G981" s="102" t="n"/>
      <c r="H981" s="115" t="n"/>
      <c r="I981" s="102" t="n"/>
      <c r="J981" s="102" t="n"/>
      <c r="K981" s="103" t="n"/>
      <c r="L981" s="116">
        <f>IF($H981="","",TRIM(IF(COUNTIF(DMTK!$A$7:$A$250,$F981)=0,"TK Nợ sai! ","")&amp;IF(COUNTIF(DMTK!$A$7:$A$250,$G981)=0,"TK Có sai! ","")&amp;IF(N($H981)&lt;=0,"Tiền phải &gt; 0! ","")&amp;IF($B981="","Thiếu ngày! ","")&amp;IF(AND(OR(LEFT($F981,3)="131",LEFT($G981,3)="131",LEFT($F981,3)="331",LEFT($G981,3)="331"),$I981=""),"Thiếu Mã ĐT! ","")&amp;IF(AND($I981&lt;&gt;"",COUNTIF(DM_DT!$A$7:$A$306,$I981)=0),"Mã ĐT chưa khai báo! ","")))</f>
        <v/>
      </c>
      <c r="M981" s="117">
        <f>IF($H981="","",IF(AND(OR(LEFT($F981,3)="111",LEFT($F981,3)="112",LEFT($F981,3)="113"),OR(LEFT($G981,3)="111",LEFT($G981,3)="112",LEFT($G981,3)="113")),"NB",IF(OR(LEFT($F981,3)="111",LEFT($F981,3)="112",LEFT($F981,3)="113"),"THU",IF(OR(LEFT($G981,3)="111",LEFT($G981,3)="112",LEFT($G981,3)="113"),"CHI",""))))</f>
        <v/>
      </c>
      <c r="N981" s="117">
        <f>IF($M981="THU",$G981,IF($M981="CHI",$F981,""))</f>
        <v/>
      </c>
      <c r="O981" s="117">
        <f>IF(OR($M981="",$M981="NB"),"",IF($J981&lt;&gt;"",TEXT($J981,"00"),IFERROR(VLOOKUP(LEFT($N981,4),LCTT_MAP!$A$7:$C$66,IF($M981="THU",2,3),FALSE()),IFERROR(VLOOKUP(LEFT($N981,3),LCTT_MAP!$A$7:$C$66,IF($M981="THU",2,3),FALSE()),IFERROR(VLOOKUP(LEFT($N981,2),LCTT_MAP!$A$7:$C$66,IF($M981="THU",2,3),FALSE()),IFERROR(VLOOKUP(LEFT($N981,1),LCTT_MAP!$A$7:$C$66,IF($M981="THU",2,3),FALSE()),IF($M981="THU","06","07")))))))</f>
        <v/>
      </c>
      <c r="P981" s="117">
        <f>P980+IF(AND($H981&lt;&gt;"",OR(LEFT($F981,LEN(SC_TK))=SC_TK,LEFT($G981,LEN(SC_TK))=SC_TK)),1,0)</f>
        <v/>
      </c>
    </row>
    <row r="982" ht="15" customHeight="1" s="78">
      <c r="A982" s="95">
        <f>IF($H982="","",ROW()-6)</f>
        <v/>
      </c>
      <c r="B982" s="114" t="n"/>
      <c r="C982" s="102" t="n"/>
      <c r="D982" s="114" t="n"/>
      <c r="E982" s="103" t="n"/>
      <c r="F982" s="102" t="n"/>
      <c r="G982" s="102" t="n"/>
      <c r="H982" s="115" t="n"/>
      <c r="I982" s="102" t="n"/>
      <c r="J982" s="102" t="n"/>
      <c r="K982" s="103" t="n"/>
      <c r="L982" s="116">
        <f>IF($H982="","",TRIM(IF(COUNTIF(DMTK!$A$7:$A$250,$F982)=0,"TK Nợ sai! ","")&amp;IF(COUNTIF(DMTK!$A$7:$A$250,$G982)=0,"TK Có sai! ","")&amp;IF(N($H982)&lt;=0,"Tiền phải &gt; 0! ","")&amp;IF($B982="","Thiếu ngày! ","")&amp;IF(AND(OR(LEFT($F982,3)="131",LEFT($G982,3)="131",LEFT($F982,3)="331",LEFT($G982,3)="331"),$I982=""),"Thiếu Mã ĐT! ","")&amp;IF(AND($I982&lt;&gt;"",COUNTIF(DM_DT!$A$7:$A$306,$I982)=0),"Mã ĐT chưa khai báo! ","")))</f>
        <v/>
      </c>
      <c r="M982" s="117">
        <f>IF($H982="","",IF(AND(OR(LEFT($F982,3)="111",LEFT($F982,3)="112",LEFT($F982,3)="113"),OR(LEFT($G982,3)="111",LEFT($G982,3)="112",LEFT($G982,3)="113")),"NB",IF(OR(LEFT($F982,3)="111",LEFT($F982,3)="112",LEFT($F982,3)="113"),"THU",IF(OR(LEFT($G982,3)="111",LEFT($G982,3)="112",LEFT($G982,3)="113"),"CHI",""))))</f>
        <v/>
      </c>
      <c r="N982" s="117">
        <f>IF($M982="THU",$G982,IF($M982="CHI",$F982,""))</f>
        <v/>
      </c>
      <c r="O982" s="117">
        <f>IF(OR($M982="",$M982="NB"),"",IF($J982&lt;&gt;"",TEXT($J982,"00"),IFERROR(VLOOKUP(LEFT($N982,4),LCTT_MAP!$A$7:$C$66,IF($M982="THU",2,3),FALSE()),IFERROR(VLOOKUP(LEFT($N982,3),LCTT_MAP!$A$7:$C$66,IF($M982="THU",2,3),FALSE()),IFERROR(VLOOKUP(LEFT($N982,2),LCTT_MAP!$A$7:$C$66,IF($M982="THU",2,3),FALSE()),IFERROR(VLOOKUP(LEFT($N982,1),LCTT_MAP!$A$7:$C$66,IF($M982="THU",2,3),FALSE()),IF($M982="THU","06","07")))))))</f>
        <v/>
      </c>
      <c r="P982" s="117">
        <f>P981+IF(AND($H982&lt;&gt;"",OR(LEFT($F982,LEN(SC_TK))=SC_TK,LEFT($G982,LEN(SC_TK))=SC_TK)),1,0)</f>
        <v/>
      </c>
    </row>
    <row r="983" ht="15" customHeight="1" s="78">
      <c r="A983" s="95">
        <f>IF($H983="","",ROW()-6)</f>
        <v/>
      </c>
      <c r="B983" s="114" t="n"/>
      <c r="C983" s="102" t="n"/>
      <c r="D983" s="114" t="n"/>
      <c r="E983" s="103" t="n"/>
      <c r="F983" s="102" t="n"/>
      <c r="G983" s="102" t="n"/>
      <c r="H983" s="115" t="n"/>
      <c r="I983" s="102" t="n"/>
      <c r="J983" s="102" t="n"/>
      <c r="K983" s="103" t="n"/>
      <c r="L983" s="116">
        <f>IF($H983="","",TRIM(IF(COUNTIF(DMTK!$A$7:$A$250,$F983)=0,"TK Nợ sai! ","")&amp;IF(COUNTIF(DMTK!$A$7:$A$250,$G983)=0,"TK Có sai! ","")&amp;IF(N($H983)&lt;=0,"Tiền phải &gt; 0! ","")&amp;IF($B983="","Thiếu ngày! ","")&amp;IF(AND(OR(LEFT($F983,3)="131",LEFT($G983,3)="131",LEFT($F983,3)="331",LEFT($G983,3)="331"),$I983=""),"Thiếu Mã ĐT! ","")&amp;IF(AND($I983&lt;&gt;"",COUNTIF(DM_DT!$A$7:$A$306,$I983)=0),"Mã ĐT chưa khai báo! ","")))</f>
        <v/>
      </c>
      <c r="M983" s="117">
        <f>IF($H983="","",IF(AND(OR(LEFT($F983,3)="111",LEFT($F983,3)="112",LEFT($F983,3)="113"),OR(LEFT($G983,3)="111",LEFT($G983,3)="112",LEFT($G983,3)="113")),"NB",IF(OR(LEFT($F983,3)="111",LEFT($F983,3)="112",LEFT($F983,3)="113"),"THU",IF(OR(LEFT($G983,3)="111",LEFT($G983,3)="112",LEFT($G983,3)="113"),"CHI",""))))</f>
        <v/>
      </c>
      <c r="N983" s="117">
        <f>IF($M983="THU",$G983,IF($M983="CHI",$F983,""))</f>
        <v/>
      </c>
      <c r="O983" s="117">
        <f>IF(OR($M983="",$M983="NB"),"",IF($J983&lt;&gt;"",TEXT($J983,"00"),IFERROR(VLOOKUP(LEFT($N983,4),LCTT_MAP!$A$7:$C$66,IF($M983="THU",2,3),FALSE()),IFERROR(VLOOKUP(LEFT($N983,3),LCTT_MAP!$A$7:$C$66,IF($M983="THU",2,3),FALSE()),IFERROR(VLOOKUP(LEFT($N983,2),LCTT_MAP!$A$7:$C$66,IF($M983="THU",2,3),FALSE()),IFERROR(VLOOKUP(LEFT($N983,1),LCTT_MAP!$A$7:$C$66,IF($M983="THU",2,3),FALSE()),IF($M983="THU","06","07")))))))</f>
        <v/>
      </c>
      <c r="P983" s="117">
        <f>P982+IF(AND($H983&lt;&gt;"",OR(LEFT($F983,LEN(SC_TK))=SC_TK,LEFT($G983,LEN(SC_TK))=SC_TK)),1,0)</f>
        <v/>
      </c>
    </row>
    <row r="984" ht="15" customHeight="1" s="78">
      <c r="A984" s="95">
        <f>IF($H984="","",ROW()-6)</f>
        <v/>
      </c>
      <c r="B984" s="114" t="n"/>
      <c r="C984" s="102" t="n"/>
      <c r="D984" s="114" t="n"/>
      <c r="E984" s="103" t="n"/>
      <c r="F984" s="102" t="n"/>
      <c r="G984" s="102" t="n"/>
      <c r="H984" s="115" t="n"/>
      <c r="I984" s="102" t="n"/>
      <c r="J984" s="102" t="n"/>
      <c r="K984" s="103" t="n"/>
      <c r="L984" s="116">
        <f>IF($H984="","",TRIM(IF(COUNTIF(DMTK!$A$7:$A$250,$F984)=0,"TK Nợ sai! ","")&amp;IF(COUNTIF(DMTK!$A$7:$A$250,$G984)=0,"TK Có sai! ","")&amp;IF(N($H984)&lt;=0,"Tiền phải &gt; 0! ","")&amp;IF($B984="","Thiếu ngày! ","")&amp;IF(AND(OR(LEFT($F984,3)="131",LEFT($G984,3)="131",LEFT($F984,3)="331",LEFT($G984,3)="331"),$I984=""),"Thiếu Mã ĐT! ","")&amp;IF(AND($I984&lt;&gt;"",COUNTIF(DM_DT!$A$7:$A$306,$I984)=0),"Mã ĐT chưa khai báo! ","")))</f>
        <v/>
      </c>
      <c r="M984" s="117">
        <f>IF($H984="","",IF(AND(OR(LEFT($F984,3)="111",LEFT($F984,3)="112",LEFT($F984,3)="113"),OR(LEFT($G984,3)="111",LEFT($G984,3)="112",LEFT($G984,3)="113")),"NB",IF(OR(LEFT($F984,3)="111",LEFT($F984,3)="112",LEFT($F984,3)="113"),"THU",IF(OR(LEFT($G984,3)="111",LEFT($G984,3)="112",LEFT($G984,3)="113"),"CHI",""))))</f>
        <v/>
      </c>
      <c r="N984" s="117">
        <f>IF($M984="THU",$G984,IF($M984="CHI",$F984,""))</f>
        <v/>
      </c>
      <c r="O984" s="117">
        <f>IF(OR($M984="",$M984="NB"),"",IF($J984&lt;&gt;"",TEXT($J984,"00"),IFERROR(VLOOKUP(LEFT($N984,4),LCTT_MAP!$A$7:$C$66,IF($M984="THU",2,3),FALSE()),IFERROR(VLOOKUP(LEFT($N984,3),LCTT_MAP!$A$7:$C$66,IF($M984="THU",2,3),FALSE()),IFERROR(VLOOKUP(LEFT($N984,2),LCTT_MAP!$A$7:$C$66,IF($M984="THU",2,3),FALSE()),IFERROR(VLOOKUP(LEFT($N984,1),LCTT_MAP!$A$7:$C$66,IF($M984="THU",2,3),FALSE()),IF($M984="THU","06","07")))))))</f>
        <v/>
      </c>
      <c r="P984" s="117">
        <f>P983+IF(AND($H984&lt;&gt;"",OR(LEFT($F984,LEN(SC_TK))=SC_TK,LEFT($G984,LEN(SC_TK))=SC_TK)),1,0)</f>
        <v/>
      </c>
    </row>
    <row r="985" ht="15" customHeight="1" s="78">
      <c r="A985" s="95">
        <f>IF($H985="","",ROW()-6)</f>
        <v/>
      </c>
      <c r="B985" s="114" t="n"/>
      <c r="C985" s="102" t="n"/>
      <c r="D985" s="114" t="n"/>
      <c r="E985" s="103" t="n"/>
      <c r="F985" s="102" t="n"/>
      <c r="G985" s="102" t="n"/>
      <c r="H985" s="115" t="n"/>
      <c r="I985" s="102" t="n"/>
      <c r="J985" s="102" t="n"/>
      <c r="K985" s="103" t="n"/>
      <c r="L985" s="116">
        <f>IF($H985="","",TRIM(IF(COUNTIF(DMTK!$A$7:$A$250,$F985)=0,"TK Nợ sai! ","")&amp;IF(COUNTIF(DMTK!$A$7:$A$250,$G985)=0,"TK Có sai! ","")&amp;IF(N($H985)&lt;=0,"Tiền phải &gt; 0! ","")&amp;IF($B985="","Thiếu ngày! ","")&amp;IF(AND(OR(LEFT($F985,3)="131",LEFT($G985,3)="131",LEFT($F985,3)="331",LEFT($G985,3)="331"),$I985=""),"Thiếu Mã ĐT! ","")&amp;IF(AND($I985&lt;&gt;"",COUNTIF(DM_DT!$A$7:$A$306,$I985)=0),"Mã ĐT chưa khai báo! ","")))</f>
        <v/>
      </c>
      <c r="M985" s="117">
        <f>IF($H985="","",IF(AND(OR(LEFT($F985,3)="111",LEFT($F985,3)="112",LEFT($F985,3)="113"),OR(LEFT($G985,3)="111",LEFT($G985,3)="112",LEFT($G985,3)="113")),"NB",IF(OR(LEFT($F985,3)="111",LEFT($F985,3)="112",LEFT($F985,3)="113"),"THU",IF(OR(LEFT($G985,3)="111",LEFT($G985,3)="112",LEFT($G985,3)="113"),"CHI",""))))</f>
        <v/>
      </c>
      <c r="N985" s="117">
        <f>IF($M985="THU",$G985,IF($M985="CHI",$F985,""))</f>
        <v/>
      </c>
      <c r="O985" s="117">
        <f>IF(OR($M985="",$M985="NB"),"",IF($J985&lt;&gt;"",TEXT($J985,"00"),IFERROR(VLOOKUP(LEFT($N985,4),LCTT_MAP!$A$7:$C$66,IF($M985="THU",2,3),FALSE()),IFERROR(VLOOKUP(LEFT($N985,3),LCTT_MAP!$A$7:$C$66,IF($M985="THU",2,3),FALSE()),IFERROR(VLOOKUP(LEFT($N985,2),LCTT_MAP!$A$7:$C$66,IF($M985="THU",2,3),FALSE()),IFERROR(VLOOKUP(LEFT($N985,1),LCTT_MAP!$A$7:$C$66,IF($M985="THU",2,3),FALSE()),IF($M985="THU","06","07")))))))</f>
        <v/>
      </c>
      <c r="P985" s="117">
        <f>P984+IF(AND($H985&lt;&gt;"",OR(LEFT($F985,LEN(SC_TK))=SC_TK,LEFT($G985,LEN(SC_TK))=SC_TK)),1,0)</f>
        <v/>
      </c>
    </row>
    <row r="986" ht="15" customHeight="1" s="78">
      <c r="A986" s="95">
        <f>IF($H986="","",ROW()-6)</f>
        <v/>
      </c>
      <c r="B986" s="114" t="n"/>
      <c r="C986" s="102" t="n"/>
      <c r="D986" s="114" t="n"/>
      <c r="E986" s="103" t="n"/>
      <c r="F986" s="102" t="n"/>
      <c r="G986" s="102" t="n"/>
      <c r="H986" s="115" t="n"/>
      <c r="I986" s="102" t="n"/>
      <c r="J986" s="102" t="n"/>
      <c r="K986" s="103" t="n"/>
      <c r="L986" s="116">
        <f>IF($H986="","",TRIM(IF(COUNTIF(DMTK!$A$7:$A$250,$F986)=0,"TK Nợ sai! ","")&amp;IF(COUNTIF(DMTK!$A$7:$A$250,$G986)=0,"TK Có sai! ","")&amp;IF(N($H986)&lt;=0,"Tiền phải &gt; 0! ","")&amp;IF($B986="","Thiếu ngày! ","")&amp;IF(AND(OR(LEFT($F986,3)="131",LEFT($G986,3)="131",LEFT($F986,3)="331",LEFT($G986,3)="331"),$I986=""),"Thiếu Mã ĐT! ","")&amp;IF(AND($I986&lt;&gt;"",COUNTIF(DM_DT!$A$7:$A$306,$I986)=0),"Mã ĐT chưa khai báo! ","")))</f>
        <v/>
      </c>
      <c r="M986" s="117">
        <f>IF($H986="","",IF(AND(OR(LEFT($F986,3)="111",LEFT($F986,3)="112",LEFT($F986,3)="113"),OR(LEFT($G986,3)="111",LEFT($G986,3)="112",LEFT($G986,3)="113")),"NB",IF(OR(LEFT($F986,3)="111",LEFT($F986,3)="112",LEFT($F986,3)="113"),"THU",IF(OR(LEFT($G986,3)="111",LEFT($G986,3)="112",LEFT($G986,3)="113"),"CHI",""))))</f>
        <v/>
      </c>
      <c r="N986" s="117">
        <f>IF($M986="THU",$G986,IF($M986="CHI",$F986,""))</f>
        <v/>
      </c>
      <c r="O986" s="117">
        <f>IF(OR($M986="",$M986="NB"),"",IF($J986&lt;&gt;"",TEXT($J986,"00"),IFERROR(VLOOKUP(LEFT($N986,4),LCTT_MAP!$A$7:$C$66,IF($M986="THU",2,3),FALSE()),IFERROR(VLOOKUP(LEFT($N986,3),LCTT_MAP!$A$7:$C$66,IF($M986="THU",2,3),FALSE()),IFERROR(VLOOKUP(LEFT($N986,2),LCTT_MAP!$A$7:$C$66,IF($M986="THU",2,3),FALSE()),IFERROR(VLOOKUP(LEFT($N986,1),LCTT_MAP!$A$7:$C$66,IF($M986="THU",2,3),FALSE()),IF($M986="THU","06","07")))))))</f>
        <v/>
      </c>
      <c r="P986" s="117">
        <f>P985+IF(AND($H986&lt;&gt;"",OR(LEFT($F986,LEN(SC_TK))=SC_TK,LEFT($G986,LEN(SC_TK))=SC_TK)),1,0)</f>
        <v/>
      </c>
    </row>
    <row r="987" ht="15" customHeight="1" s="78">
      <c r="A987" s="95">
        <f>IF($H987="","",ROW()-6)</f>
        <v/>
      </c>
      <c r="B987" s="114" t="n"/>
      <c r="C987" s="102" t="n"/>
      <c r="D987" s="114" t="n"/>
      <c r="E987" s="103" t="n"/>
      <c r="F987" s="102" t="n"/>
      <c r="G987" s="102" t="n"/>
      <c r="H987" s="115" t="n"/>
      <c r="I987" s="102" t="n"/>
      <c r="J987" s="102" t="n"/>
      <c r="K987" s="103" t="n"/>
      <c r="L987" s="116">
        <f>IF($H987="","",TRIM(IF(COUNTIF(DMTK!$A$7:$A$250,$F987)=0,"TK Nợ sai! ","")&amp;IF(COUNTIF(DMTK!$A$7:$A$250,$G987)=0,"TK Có sai! ","")&amp;IF(N($H987)&lt;=0,"Tiền phải &gt; 0! ","")&amp;IF($B987="","Thiếu ngày! ","")&amp;IF(AND(OR(LEFT($F987,3)="131",LEFT($G987,3)="131",LEFT($F987,3)="331",LEFT($G987,3)="331"),$I987=""),"Thiếu Mã ĐT! ","")&amp;IF(AND($I987&lt;&gt;"",COUNTIF(DM_DT!$A$7:$A$306,$I987)=0),"Mã ĐT chưa khai báo! ","")))</f>
        <v/>
      </c>
      <c r="M987" s="117">
        <f>IF($H987="","",IF(AND(OR(LEFT($F987,3)="111",LEFT($F987,3)="112",LEFT($F987,3)="113"),OR(LEFT($G987,3)="111",LEFT($G987,3)="112",LEFT($G987,3)="113")),"NB",IF(OR(LEFT($F987,3)="111",LEFT($F987,3)="112",LEFT($F987,3)="113"),"THU",IF(OR(LEFT($G987,3)="111",LEFT($G987,3)="112",LEFT($G987,3)="113"),"CHI",""))))</f>
        <v/>
      </c>
      <c r="N987" s="117">
        <f>IF($M987="THU",$G987,IF($M987="CHI",$F987,""))</f>
        <v/>
      </c>
      <c r="O987" s="117">
        <f>IF(OR($M987="",$M987="NB"),"",IF($J987&lt;&gt;"",TEXT($J987,"00"),IFERROR(VLOOKUP(LEFT($N987,4),LCTT_MAP!$A$7:$C$66,IF($M987="THU",2,3),FALSE()),IFERROR(VLOOKUP(LEFT($N987,3),LCTT_MAP!$A$7:$C$66,IF($M987="THU",2,3),FALSE()),IFERROR(VLOOKUP(LEFT($N987,2),LCTT_MAP!$A$7:$C$66,IF($M987="THU",2,3),FALSE()),IFERROR(VLOOKUP(LEFT($N987,1),LCTT_MAP!$A$7:$C$66,IF($M987="THU",2,3),FALSE()),IF($M987="THU","06","07")))))))</f>
        <v/>
      </c>
      <c r="P987" s="117">
        <f>P986+IF(AND($H987&lt;&gt;"",OR(LEFT($F987,LEN(SC_TK))=SC_TK,LEFT($G987,LEN(SC_TK))=SC_TK)),1,0)</f>
        <v/>
      </c>
    </row>
    <row r="988" ht="15" customHeight="1" s="78">
      <c r="A988" s="95">
        <f>IF($H988="","",ROW()-6)</f>
        <v/>
      </c>
      <c r="B988" s="114" t="n"/>
      <c r="C988" s="102" t="n"/>
      <c r="D988" s="114" t="n"/>
      <c r="E988" s="103" t="n"/>
      <c r="F988" s="102" t="n"/>
      <c r="G988" s="102" t="n"/>
      <c r="H988" s="115" t="n"/>
      <c r="I988" s="102" t="n"/>
      <c r="J988" s="102" t="n"/>
      <c r="K988" s="103" t="n"/>
      <c r="L988" s="116">
        <f>IF($H988="","",TRIM(IF(COUNTIF(DMTK!$A$7:$A$250,$F988)=0,"TK Nợ sai! ","")&amp;IF(COUNTIF(DMTK!$A$7:$A$250,$G988)=0,"TK Có sai! ","")&amp;IF(N($H988)&lt;=0,"Tiền phải &gt; 0! ","")&amp;IF($B988="","Thiếu ngày! ","")&amp;IF(AND(OR(LEFT($F988,3)="131",LEFT($G988,3)="131",LEFT($F988,3)="331",LEFT($G988,3)="331"),$I988=""),"Thiếu Mã ĐT! ","")&amp;IF(AND($I988&lt;&gt;"",COUNTIF(DM_DT!$A$7:$A$306,$I988)=0),"Mã ĐT chưa khai báo! ","")))</f>
        <v/>
      </c>
      <c r="M988" s="117">
        <f>IF($H988="","",IF(AND(OR(LEFT($F988,3)="111",LEFT($F988,3)="112",LEFT($F988,3)="113"),OR(LEFT($G988,3)="111",LEFT($G988,3)="112",LEFT($G988,3)="113")),"NB",IF(OR(LEFT($F988,3)="111",LEFT($F988,3)="112",LEFT($F988,3)="113"),"THU",IF(OR(LEFT($G988,3)="111",LEFT($G988,3)="112",LEFT($G988,3)="113"),"CHI",""))))</f>
        <v/>
      </c>
      <c r="N988" s="117">
        <f>IF($M988="THU",$G988,IF($M988="CHI",$F988,""))</f>
        <v/>
      </c>
      <c r="O988" s="117">
        <f>IF(OR($M988="",$M988="NB"),"",IF($J988&lt;&gt;"",TEXT($J988,"00"),IFERROR(VLOOKUP(LEFT($N988,4),LCTT_MAP!$A$7:$C$66,IF($M988="THU",2,3),FALSE()),IFERROR(VLOOKUP(LEFT($N988,3),LCTT_MAP!$A$7:$C$66,IF($M988="THU",2,3),FALSE()),IFERROR(VLOOKUP(LEFT($N988,2),LCTT_MAP!$A$7:$C$66,IF($M988="THU",2,3),FALSE()),IFERROR(VLOOKUP(LEFT($N988,1),LCTT_MAP!$A$7:$C$66,IF($M988="THU",2,3),FALSE()),IF($M988="THU","06","07")))))))</f>
        <v/>
      </c>
      <c r="P988" s="117">
        <f>P987+IF(AND($H988&lt;&gt;"",OR(LEFT($F988,LEN(SC_TK))=SC_TK,LEFT($G988,LEN(SC_TK))=SC_TK)),1,0)</f>
        <v/>
      </c>
    </row>
    <row r="989" ht="15" customHeight="1" s="78">
      <c r="A989" s="95">
        <f>IF($H989="","",ROW()-6)</f>
        <v/>
      </c>
      <c r="B989" s="114" t="n"/>
      <c r="C989" s="102" t="n"/>
      <c r="D989" s="114" t="n"/>
      <c r="E989" s="103" t="n"/>
      <c r="F989" s="102" t="n"/>
      <c r="G989" s="102" t="n"/>
      <c r="H989" s="115" t="n"/>
      <c r="I989" s="102" t="n"/>
      <c r="J989" s="102" t="n"/>
      <c r="K989" s="103" t="n"/>
      <c r="L989" s="116">
        <f>IF($H989="","",TRIM(IF(COUNTIF(DMTK!$A$7:$A$250,$F989)=0,"TK Nợ sai! ","")&amp;IF(COUNTIF(DMTK!$A$7:$A$250,$G989)=0,"TK Có sai! ","")&amp;IF(N($H989)&lt;=0,"Tiền phải &gt; 0! ","")&amp;IF($B989="","Thiếu ngày! ","")&amp;IF(AND(OR(LEFT($F989,3)="131",LEFT($G989,3)="131",LEFT($F989,3)="331",LEFT($G989,3)="331"),$I989=""),"Thiếu Mã ĐT! ","")&amp;IF(AND($I989&lt;&gt;"",COUNTIF(DM_DT!$A$7:$A$306,$I989)=0),"Mã ĐT chưa khai báo! ","")))</f>
        <v/>
      </c>
      <c r="M989" s="117">
        <f>IF($H989="","",IF(AND(OR(LEFT($F989,3)="111",LEFT($F989,3)="112",LEFT($F989,3)="113"),OR(LEFT($G989,3)="111",LEFT($G989,3)="112",LEFT($G989,3)="113")),"NB",IF(OR(LEFT($F989,3)="111",LEFT($F989,3)="112",LEFT($F989,3)="113"),"THU",IF(OR(LEFT($G989,3)="111",LEFT($G989,3)="112",LEFT($G989,3)="113"),"CHI",""))))</f>
        <v/>
      </c>
      <c r="N989" s="117">
        <f>IF($M989="THU",$G989,IF($M989="CHI",$F989,""))</f>
        <v/>
      </c>
      <c r="O989" s="117">
        <f>IF(OR($M989="",$M989="NB"),"",IF($J989&lt;&gt;"",TEXT($J989,"00"),IFERROR(VLOOKUP(LEFT($N989,4),LCTT_MAP!$A$7:$C$66,IF($M989="THU",2,3),FALSE()),IFERROR(VLOOKUP(LEFT($N989,3),LCTT_MAP!$A$7:$C$66,IF($M989="THU",2,3),FALSE()),IFERROR(VLOOKUP(LEFT($N989,2),LCTT_MAP!$A$7:$C$66,IF($M989="THU",2,3),FALSE()),IFERROR(VLOOKUP(LEFT($N989,1),LCTT_MAP!$A$7:$C$66,IF($M989="THU",2,3),FALSE()),IF($M989="THU","06","07")))))))</f>
        <v/>
      </c>
      <c r="P989" s="117">
        <f>P988+IF(AND($H989&lt;&gt;"",OR(LEFT($F989,LEN(SC_TK))=SC_TK,LEFT($G989,LEN(SC_TK))=SC_TK)),1,0)</f>
        <v/>
      </c>
    </row>
    <row r="990" ht="15" customHeight="1" s="78">
      <c r="A990" s="95">
        <f>IF($H990="","",ROW()-6)</f>
        <v/>
      </c>
      <c r="B990" s="114" t="n"/>
      <c r="C990" s="102" t="n"/>
      <c r="D990" s="114" t="n"/>
      <c r="E990" s="103" t="n"/>
      <c r="F990" s="102" t="n"/>
      <c r="G990" s="102" t="n"/>
      <c r="H990" s="115" t="n"/>
      <c r="I990" s="102" t="n"/>
      <c r="J990" s="102" t="n"/>
      <c r="K990" s="103" t="n"/>
      <c r="L990" s="116">
        <f>IF($H990="","",TRIM(IF(COUNTIF(DMTK!$A$7:$A$250,$F990)=0,"TK Nợ sai! ","")&amp;IF(COUNTIF(DMTK!$A$7:$A$250,$G990)=0,"TK Có sai! ","")&amp;IF(N($H990)&lt;=0,"Tiền phải &gt; 0! ","")&amp;IF($B990="","Thiếu ngày! ","")&amp;IF(AND(OR(LEFT($F990,3)="131",LEFT($G990,3)="131",LEFT($F990,3)="331",LEFT($G990,3)="331"),$I990=""),"Thiếu Mã ĐT! ","")&amp;IF(AND($I990&lt;&gt;"",COUNTIF(DM_DT!$A$7:$A$306,$I990)=0),"Mã ĐT chưa khai báo! ","")))</f>
        <v/>
      </c>
      <c r="M990" s="117">
        <f>IF($H990="","",IF(AND(OR(LEFT($F990,3)="111",LEFT($F990,3)="112",LEFT($F990,3)="113"),OR(LEFT($G990,3)="111",LEFT($G990,3)="112",LEFT($G990,3)="113")),"NB",IF(OR(LEFT($F990,3)="111",LEFT($F990,3)="112",LEFT($F990,3)="113"),"THU",IF(OR(LEFT($G990,3)="111",LEFT($G990,3)="112",LEFT($G990,3)="113"),"CHI",""))))</f>
        <v/>
      </c>
      <c r="N990" s="117">
        <f>IF($M990="THU",$G990,IF($M990="CHI",$F990,""))</f>
        <v/>
      </c>
      <c r="O990" s="117">
        <f>IF(OR($M990="",$M990="NB"),"",IF($J990&lt;&gt;"",TEXT($J990,"00"),IFERROR(VLOOKUP(LEFT($N990,4),LCTT_MAP!$A$7:$C$66,IF($M990="THU",2,3),FALSE()),IFERROR(VLOOKUP(LEFT($N990,3),LCTT_MAP!$A$7:$C$66,IF($M990="THU",2,3),FALSE()),IFERROR(VLOOKUP(LEFT($N990,2),LCTT_MAP!$A$7:$C$66,IF($M990="THU",2,3),FALSE()),IFERROR(VLOOKUP(LEFT($N990,1),LCTT_MAP!$A$7:$C$66,IF($M990="THU",2,3),FALSE()),IF($M990="THU","06","07")))))))</f>
        <v/>
      </c>
      <c r="P990" s="117">
        <f>P989+IF(AND($H990&lt;&gt;"",OR(LEFT($F990,LEN(SC_TK))=SC_TK,LEFT($G990,LEN(SC_TK))=SC_TK)),1,0)</f>
        <v/>
      </c>
    </row>
    <row r="991" ht="15" customHeight="1" s="78">
      <c r="A991" s="95">
        <f>IF($H991="","",ROW()-6)</f>
        <v/>
      </c>
      <c r="B991" s="114" t="n"/>
      <c r="C991" s="102" t="n"/>
      <c r="D991" s="114" t="n"/>
      <c r="E991" s="103" t="n"/>
      <c r="F991" s="102" t="n"/>
      <c r="G991" s="102" t="n"/>
      <c r="H991" s="115" t="n"/>
      <c r="I991" s="102" t="n"/>
      <c r="J991" s="102" t="n"/>
      <c r="K991" s="103" t="n"/>
      <c r="L991" s="116">
        <f>IF($H991="","",TRIM(IF(COUNTIF(DMTK!$A$7:$A$250,$F991)=0,"TK Nợ sai! ","")&amp;IF(COUNTIF(DMTK!$A$7:$A$250,$G991)=0,"TK Có sai! ","")&amp;IF(N($H991)&lt;=0,"Tiền phải &gt; 0! ","")&amp;IF($B991="","Thiếu ngày! ","")&amp;IF(AND(OR(LEFT($F991,3)="131",LEFT($G991,3)="131",LEFT($F991,3)="331",LEFT($G991,3)="331"),$I991=""),"Thiếu Mã ĐT! ","")&amp;IF(AND($I991&lt;&gt;"",COUNTIF(DM_DT!$A$7:$A$306,$I991)=0),"Mã ĐT chưa khai báo! ","")))</f>
        <v/>
      </c>
      <c r="M991" s="117">
        <f>IF($H991="","",IF(AND(OR(LEFT($F991,3)="111",LEFT($F991,3)="112",LEFT($F991,3)="113"),OR(LEFT($G991,3)="111",LEFT($G991,3)="112",LEFT($G991,3)="113")),"NB",IF(OR(LEFT($F991,3)="111",LEFT($F991,3)="112",LEFT($F991,3)="113"),"THU",IF(OR(LEFT($G991,3)="111",LEFT($G991,3)="112",LEFT($G991,3)="113"),"CHI",""))))</f>
        <v/>
      </c>
      <c r="N991" s="117">
        <f>IF($M991="THU",$G991,IF($M991="CHI",$F991,""))</f>
        <v/>
      </c>
      <c r="O991" s="117">
        <f>IF(OR($M991="",$M991="NB"),"",IF($J991&lt;&gt;"",TEXT($J991,"00"),IFERROR(VLOOKUP(LEFT($N991,4),LCTT_MAP!$A$7:$C$66,IF($M991="THU",2,3),FALSE()),IFERROR(VLOOKUP(LEFT($N991,3),LCTT_MAP!$A$7:$C$66,IF($M991="THU",2,3),FALSE()),IFERROR(VLOOKUP(LEFT($N991,2),LCTT_MAP!$A$7:$C$66,IF($M991="THU",2,3),FALSE()),IFERROR(VLOOKUP(LEFT($N991,1),LCTT_MAP!$A$7:$C$66,IF($M991="THU",2,3),FALSE()),IF($M991="THU","06","07")))))))</f>
        <v/>
      </c>
      <c r="P991" s="117">
        <f>P990+IF(AND($H991&lt;&gt;"",OR(LEFT($F991,LEN(SC_TK))=SC_TK,LEFT($G991,LEN(SC_TK))=SC_TK)),1,0)</f>
        <v/>
      </c>
    </row>
    <row r="992" ht="15" customHeight="1" s="78">
      <c r="A992" s="95">
        <f>IF($H992="","",ROW()-6)</f>
        <v/>
      </c>
      <c r="B992" s="114" t="n"/>
      <c r="C992" s="102" t="n"/>
      <c r="D992" s="114" t="n"/>
      <c r="E992" s="103" t="n"/>
      <c r="F992" s="102" t="n"/>
      <c r="G992" s="102" t="n"/>
      <c r="H992" s="115" t="n"/>
      <c r="I992" s="102" t="n"/>
      <c r="J992" s="102" t="n"/>
      <c r="K992" s="103" t="n"/>
      <c r="L992" s="116">
        <f>IF($H992="","",TRIM(IF(COUNTIF(DMTK!$A$7:$A$250,$F992)=0,"TK Nợ sai! ","")&amp;IF(COUNTIF(DMTK!$A$7:$A$250,$G992)=0,"TK Có sai! ","")&amp;IF(N($H992)&lt;=0,"Tiền phải &gt; 0! ","")&amp;IF($B992="","Thiếu ngày! ","")&amp;IF(AND(OR(LEFT($F992,3)="131",LEFT($G992,3)="131",LEFT($F992,3)="331",LEFT($G992,3)="331"),$I992=""),"Thiếu Mã ĐT! ","")&amp;IF(AND($I992&lt;&gt;"",COUNTIF(DM_DT!$A$7:$A$306,$I992)=0),"Mã ĐT chưa khai báo! ","")))</f>
        <v/>
      </c>
      <c r="M992" s="117">
        <f>IF($H992="","",IF(AND(OR(LEFT($F992,3)="111",LEFT($F992,3)="112",LEFT($F992,3)="113"),OR(LEFT($G992,3)="111",LEFT($G992,3)="112",LEFT($G992,3)="113")),"NB",IF(OR(LEFT($F992,3)="111",LEFT($F992,3)="112",LEFT($F992,3)="113"),"THU",IF(OR(LEFT($G992,3)="111",LEFT($G992,3)="112",LEFT($G992,3)="113"),"CHI",""))))</f>
        <v/>
      </c>
      <c r="N992" s="117">
        <f>IF($M992="THU",$G992,IF($M992="CHI",$F992,""))</f>
        <v/>
      </c>
      <c r="O992" s="117">
        <f>IF(OR($M992="",$M992="NB"),"",IF($J992&lt;&gt;"",TEXT($J992,"00"),IFERROR(VLOOKUP(LEFT($N992,4),LCTT_MAP!$A$7:$C$66,IF($M992="THU",2,3),FALSE()),IFERROR(VLOOKUP(LEFT($N992,3),LCTT_MAP!$A$7:$C$66,IF($M992="THU",2,3),FALSE()),IFERROR(VLOOKUP(LEFT($N992,2),LCTT_MAP!$A$7:$C$66,IF($M992="THU",2,3),FALSE()),IFERROR(VLOOKUP(LEFT($N992,1),LCTT_MAP!$A$7:$C$66,IF($M992="THU",2,3),FALSE()),IF($M992="THU","06","07")))))))</f>
        <v/>
      </c>
      <c r="P992" s="117">
        <f>P991+IF(AND($H992&lt;&gt;"",OR(LEFT($F992,LEN(SC_TK))=SC_TK,LEFT($G992,LEN(SC_TK))=SC_TK)),1,0)</f>
        <v/>
      </c>
    </row>
    <row r="993" ht="15" customHeight="1" s="78">
      <c r="A993" s="95">
        <f>IF($H993="","",ROW()-6)</f>
        <v/>
      </c>
      <c r="B993" s="114" t="n"/>
      <c r="C993" s="102" t="n"/>
      <c r="D993" s="114" t="n"/>
      <c r="E993" s="103" t="n"/>
      <c r="F993" s="102" t="n"/>
      <c r="G993" s="102" t="n"/>
      <c r="H993" s="115" t="n"/>
      <c r="I993" s="102" t="n"/>
      <c r="J993" s="102" t="n"/>
      <c r="K993" s="103" t="n"/>
      <c r="L993" s="116">
        <f>IF($H993="","",TRIM(IF(COUNTIF(DMTK!$A$7:$A$250,$F993)=0,"TK Nợ sai! ","")&amp;IF(COUNTIF(DMTK!$A$7:$A$250,$G993)=0,"TK Có sai! ","")&amp;IF(N($H993)&lt;=0,"Tiền phải &gt; 0! ","")&amp;IF($B993="","Thiếu ngày! ","")&amp;IF(AND(OR(LEFT($F993,3)="131",LEFT($G993,3)="131",LEFT($F993,3)="331",LEFT($G993,3)="331"),$I993=""),"Thiếu Mã ĐT! ","")&amp;IF(AND($I993&lt;&gt;"",COUNTIF(DM_DT!$A$7:$A$306,$I993)=0),"Mã ĐT chưa khai báo! ","")))</f>
        <v/>
      </c>
      <c r="M993" s="117">
        <f>IF($H993="","",IF(AND(OR(LEFT($F993,3)="111",LEFT($F993,3)="112",LEFT($F993,3)="113"),OR(LEFT($G993,3)="111",LEFT($G993,3)="112",LEFT($G993,3)="113")),"NB",IF(OR(LEFT($F993,3)="111",LEFT($F993,3)="112",LEFT($F993,3)="113"),"THU",IF(OR(LEFT($G993,3)="111",LEFT($G993,3)="112",LEFT($G993,3)="113"),"CHI",""))))</f>
        <v/>
      </c>
      <c r="N993" s="117">
        <f>IF($M993="THU",$G993,IF($M993="CHI",$F993,""))</f>
        <v/>
      </c>
      <c r="O993" s="117">
        <f>IF(OR($M993="",$M993="NB"),"",IF($J993&lt;&gt;"",TEXT($J993,"00"),IFERROR(VLOOKUP(LEFT($N993,4),LCTT_MAP!$A$7:$C$66,IF($M993="THU",2,3),FALSE()),IFERROR(VLOOKUP(LEFT($N993,3),LCTT_MAP!$A$7:$C$66,IF($M993="THU",2,3),FALSE()),IFERROR(VLOOKUP(LEFT($N993,2),LCTT_MAP!$A$7:$C$66,IF($M993="THU",2,3),FALSE()),IFERROR(VLOOKUP(LEFT($N993,1),LCTT_MAP!$A$7:$C$66,IF($M993="THU",2,3),FALSE()),IF($M993="THU","06","07")))))))</f>
        <v/>
      </c>
      <c r="P993" s="117">
        <f>P992+IF(AND($H993&lt;&gt;"",OR(LEFT($F993,LEN(SC_TK))=SC_TK,LEFT($G993,LEN(SC_TK))=SC_TK)),1,0)</f>
        <v/>
      </c>
    </row>
    <row r="994" ht="15" customHeight="1" s="78">
      <c r="A994" s="95">
        <f>IF($H994="","",ROW()-6)</f>
        <v/>
      </c>
      <c r="B994" s="114" t="n"/>
      <c r="C994" s="102" t="n"/>
      <c r="D994" s="114" t="n"/>
      <c r="E994" s="103" t="n"/>
      <c r="F994" s="102" t="n"/>
      <c r="G994" s="102" t="n"/>
      <c r="H994" s="115" t="n"/>
      <c r="I994" s="102" t="n"/>
      <c r="J994" s="102" t="n"/>
      <c r="K994" s="103" t="n"/>
      <c r="L994" s="116">
        <f>IF($H994="","",TRIM(IF(COUNTIF(DMTK!$A$7:$A$250,$F994)=0,"TK Nợ sai! ","")&amp;IF(COUNTIF(DMTK!$A$7:$A$250,$G994)=0,"TK Có sai! ","")&amp;IF(N($H994)&lt;=0,"Tiền phải &gt; 0! ","")&amp;IF($B994="","Thiếu ngày! ","")&amp;IF(AND(OR(LEFT($F994,3)="131",LEFT($G994,3)="131",LEFT($F994,3)="331",LEFT($G994,3)="331"),$I994=""),"Thiếu Mã ĐT! ","")&amp;IF(AND($I994&lt;&gt;"",COUNTIF(DM_DT!$A$7:$A$306,$I994)=0),"Mã ĐT chưa khai báo! ","")))</f>
        <v/>
      </c>
      <c r="M994" s="117">
        <f>IF($H994="","",IF(AND(OR(LEFT($F994,3)="111",LEFT($F994,3)="112",LEFT($F994,3)="113"),OR(LEFT($G994,3)="111",LEFT($G994,3)="112",LEFT($G994,3)="113")),"NB",IF(OR(LEFT($F994,3)="111",LEFT($F994,3)="112",LEFT($F994,3)="113"),"THU",IF(OR(LEFT($G994,3)="111",LEFT($G994,3)="112",LEFT($G994,3)="113"),"CHI",""))))</f>
        <v/>
      </c>
      <c r="N994" s="117">
        <f>IF($M994="THU",$G994,IF($M994="CHI",$F994,""))</f>
        <v/>
      </c>
      <c r="O994" s="117">
        <f>IF(OR($M994="",$M994="NB"),"",IF($J994&lt;&gt;"",TEXT($J994,"00"),IFERROR(VLOOKUP(LEFT($N994,4),LCTT_MAP!$A$7:$C$66,IF($M994="THU",2,3),FALSE()),IFERROR(VLOOKUP(LEFT($N994,3),LCTT_MAP!$A$7:$C$66,IF($M994="THU",2,3),FALSE()),IFERROR(VLOOKUP(LEFT($N994,2),LCTT_MAP!$A$7:$C$66,IF($M994="THU",2,3),FALSE()),IFERROR(VLOOKUP(LEFT($N994,1),LCTT_MAP!$A$7:$C$66,IF($M994="THU",2,3),FALSE()),IF($M994="THU","06","07")))))))</f>
        <v/>
      </c>
      <c r="P994" s="117">
        <f>P993+IF(AND($H994&lt;&gt;"",OR(LEFT($F994,LEN(SC_TK))=SC_TK,LEFT($G994,LEN(SC_TK))=SC_TK)),1,0)</f>
        <v/>
      </c>
    </row>
    <row r="995" ht="15" customHeight="1" s="78">
      <c r="A995" s="95">
        <f>IF($H995="","",ROW()-6)</f>
        <v/>
      </c>
      <c r="B995" s="114" t="n"/>
      <c r="C995" s="102" t="n"/>
      <c r="D995" s="114" t="n"/>
      <c r="E995" s="103" t="n"/>
      <c r="F995" s="102" t="n"/>
      <c r="G995" s="102" t="n"/>
      <c r="H995" s="115" t="n"/>
      <c r="I995" s="102" t="n"/>
      <c r="J995" s="102" t="n"/>
      <c r="K995" s="103" t="n"/>
      <c r="L995" s="116">
        <f>IF($H995="","",TRIM(IF(COUNTIF(DMTK!$A$7:$A$250,$F995)=0,"TK Nợ sai! ","")&amp;IF(COUNTIF(DMTK!$A$7:$A$250,$G995)=0,"TK Có sai! ","")&amp;IF(N($H995)&lt;=0,"Tiền phải &gt; 0! ","")&amp;IF($B995="","Thiếu ngày! ","")&amp;IF(AND(OR(LEFT($F995,3)="131",LEFT($G995,3)="131",LEFT($F995,3)="331",LEFT($G995,3)="331"),$I995=""),"Thiếu Mã ĐT! ","")&amp;IF(AND($I995&lt;&gt;"",COUNTIF(DM_DT!$A$7:$A$306,$I995)=0),"Mã ĐT chưa khai báo! ","")))</f>
        <v/>
      </c>
      <c r="M995" s="117">
        <f>IF($H995="","",IF(AND(OR(LEFT($F995,3)="111",LEFT($F995,3)="112",LEFT($F995,3)="113"),OR(LEFT($G995,3)="111",LEFT($G995,3)="112",LEFT($G995,3)="113")),"NB",IF(OR(LEFT($F995,3)="111",LEFT($F995,3)="112",LEFT($F995,3)="113"),"THU",IF(OR(LEFT($G995,3)="111",LEFT($G995,3)="112",LEFT($G995,3)="113"),"CHI",""))))</f>
        <v/>
      </c>
      <c r="N995" s="117">
        <f>IF($M995="THU",$G995,IF($M995="CHI",$F995,""))</f>
        <v/>
      </c>
      <c r="O995" s="117">
        <f>IF(OR($M995="",$M995="NB"),"",IF($J995&lt;&gt;"",TEXT($J995,"00"),IFERROR(VLOOKUP(LEFT($N995,4),LCTT_MAP!$A$7:$C$66,IF($M995="THU",2,3),FALSE()),IFERROR(VLOOKUP(LEFT($N995,3),LCTT_MAP!$A$7:$C$66,IF($M995="THU",2,3),FALSE()),IFERROR(VLOOKUP(LEFT($N995,2),LCTT_MAP!$A$7:$C$66,IF($M995="THU",2,3),FALSE()),IFERROR(VLOOKUP(LEFT($N995,1),LCTT_MAP!$A$7:$C$66,IF($M995="THU",2,3),FALSE()),IF($M995="THU","06","07")))))))</f>
        <v/>
      </c>
      <c r="P995" s="117">
        <f>P994+IF(AND($H995&lt;&gt;"",OR(LEFT($F995,LEN(SC_TK))=SC_TK,LEFT($G995,LEN(SC_TK))=SC_TK)),1,0)</f>
        <v/>
      </c>
    </row>
    <row r="996" ht="15" customHeight="1" s="78">
      <c r="A996" s="95">
        <f>IF($H996="","",ROW()-6)</f>
        <v/>
      </c>
      <c r="B996" s="114" t="n"/>
      <c r="C996" s="102" t="n"/>
      <c r="D996" s="114" t="n"/>
      <c r="E996" s="103" t="n"/>
      <c r="F996" s="102" t="n"/>
      <c r="G996" s="102" t="n"/>
      <c r="H996" s="115" t="n"/>
      <c r="I996" s="102" t="n"/>
      <c r="J996" s="102" t="n"/>
      <c r="K996" s="103" t="n"/>
      <c r="L996" s="116">
        <f>IF($H996="","",TRIM(IF(COUNTIF(DMTK!$A$7:$A$250,$F996)=0,"TK Nợ sai! ","")&amp;IF(COUNTIF(DMTK!$A$7:$A$250,$G996)=0,"TK Có sai! ","")&amp;IF(N($H996)&lt;=0,"Tiền phải &gt; 0! ","")&amp;IF($B996="","Thiếu ngày! ","")&amp;IF(AND(OR(LEFT($F996,3)="131",LEFT($G996,3)="131",LEFT($F996,3)="331",LEFT($G996,3)="331"),$I996=""),"Thiếu Mã ĐT! ","")&amp;IF(AND($I996&lt;&gt;"",COUNTIF(DM_DT!$A$7:$A$306,$I996)=0),"Mã ĐT chưa khai báo! ","")))</f>
        <v/>
      </c>
      <c r="M996" s="117">
        <f>IF($H996="","",IF(AND(OR(LEFT($F996,3)="111",LEFT($F996,3)="112",LEFT($F996,3)="113"),OR(LEFT($G996,3)="111",LEFT($G996,3)="112",LEFT($G996,3)="113")),"NB",IF(OR(LEFT($F996,3)="111",LEFT($F996,3)="112",LEFT($F996,3)="113"),"THU",IF(OR(LEFT($G996,3)="111",LEFT($G996,3)="112",LEFT($G996,3)="113"),"CHI",""))))</f>
        <v/>
      </c>
      <c r="N996" s="117">
        <f>IF($M996="THU",$G996,IF($M996="CHI",$F996,""))</f>
        <v/>
      </c>
      <c r="O996" s="117">
        <f>IF(OR($M996="",$M996="NB"),"",IF($J996&lt;&gt;"",TEXT($J996,"00"),IFERROR(VLOOKUP(LEFT($N996,4),LCTT_MAP!$A$7:$C$66,IF($M996="THU",2,3),FALSE()),IFERROR(VLOOKUP(LEFT($N996,3),LCTT_MAP!$A$7:$C$66,IF($M996="THU",2,3),FALSE()),IFERROR(VLOOKUP(LEFT($N996,2),LCTT_MAP!$A$7:$C$66,IF($M996="THU",2,3),FALSE()),IFERROR(VLOOKUP(LEFT($N996,1),LCTT_MAP!$A$7:$C$66,IF($M996="THU",2,3),FALSE()),IF($M996="THU","06","07")))))))</f>
        <v/>
      </c>
      <c r="P996" s="117">
        <f>P995+IF(AND($H996&lt;&gt;"",OR(LEFT($F996,LEN(SC_TK))=SC_TK,LEFT($G996,LEN(SC_TK))=SC_TK)),1,0)</f>
        <v/>
      </c>
    </row>
    <row r="997" ht="15" customHeight="1" s="78">
      <c r="A997" s="95">
        <f>IF($H997="","",ROW()-6)</f>
        <v/>
      </c>
      <c r="B997" s="114" t="n"/>
      <c r="C997" s="102" t="n"/>
      <c r="D997" s="114" t="n"/>
      <c r="E997" s="103" t="n"/>
      <c r="F997" s="102" t="n"/>
      <c r="G997" s="102" t="n"/>
      <c r="H997" s="115" t="n"/>
      <c r="I997" s="102" t="n"/>
      <c r="J997" s="102" t="n"/>
      <c r="K997" s="103" t="n"/>
      <c r="L997" s="116">
        <f>IF($H997="","",TRIM(IF(COUNTIF(DMTK!$A$7:$A$250,$F997)=0,"TK Nợ sai! ","")&amp;IF(COUNTIF(DMTK!$A$7:$A$250,$G997)=0,"TK Có sai! ","")&amp;IF(N($H997)&lt;=0,"Tiền phải &gt; 0! ","")&amp;IF($B997="","Thiếu ngày! ","")&amp;IF(AND(OR(LEFT($F997,3)="131",LEFT($G997,3)="131",LEFT($F997,3)="331",LEFT($G997,3)="331"),$I997=""),"Thiếu Mã ĐT! ","")&amp;IF(AND($I997&lt;&gt;"",COUNTIF(DM_DT!$A$7:$A$306,$I997)=0),"Mã ĐT chưa khai báo! ","")))</f>
        <v/>
      </c>
      <c r="M997" s="117">
        <f>IF($H997="","",IF(AND(OR(LEFT($F997,3)="111",LEFT($F997,3)="112",LEFT($F997,3)="113"),OR(LEFT($G997,3)="111",LEFT($G997,3)="112",LEFT($G997,3)="113")),"NB",IF(OR(LEFT($F997,3)="111",LEFT($F997,3)="112",LEFT($F997,3)="113"),"THU",IF(OR(LEFT($G997,3)="111",LEFT($G997,3)="112",LEFT($G997,3)="113"),"CHI",""))))</f>
        <v/>
      </c>
      <c r="N997" s="117">
        <f>IF($M997="THU",$G997,IF($M997="CHI",$F997,""))</f>
        <v/>
      </c>
      <c r="O997" s="117">
        <f>IF(OR($M997="",$M997="NB"),"",IF($J997&lt;&gt;"",TEXT($J997,"00"),IFERROR(VLOOKUP(LEFT($N997,4),LCTT_MAP!$A$7:$C$66,IF($M997="THU",2,3),FALSE()),IFERROR(VLOOKUP(LEFT($N997,3),LCTT_MAP!$A$7:$C$66,IF($M997="THU",2,3),FALSE()),IFERROR(VLOOKUP(LEFT($N997,2),LCTT_MAP!$A$7:$C$66,IF($M997="THU",2,3),FALSE()),IFERROR(VLOOKUP(LEFT($N997,1),LCTT_MAP!$A$7:$C$66,IF($M997="THU",2,3),FALSE()),IF($M997="THU","06","07")))))))</f>
        <v/>
      </c>
      <c r="P997" s="117">
        <f>P996+IF(AND($H997&lt;&gt;"",OR(LEFT($F997,LEN(SC_TK))=SC_TK,LEFT($G997,LEN(SC_TK))=SC_TK)),1,0)</f>
        <v/>
      </c>
    </row>
    <row r="998" ht="15" customHeight="1" s="78">
      <c r="A998" s="95">
        <f>IF($H998="","",ROW()-6)</f>
        <v/>
      </c>
      <c r="B998" s="114" t="n"/>
      <c r="C998" s="102" t="n"/>
      <c r="D998" s="114" t="n"/>
      <c r="E998" s="103" t="n"/>
      <c r="F998" s="102" t="n"/>
      <c r="G998" s="102" t="n"/>
      <c r="H998" s="115" t="n"/>
      <c r="I998" s="102" t="n"/>
      <c r="J998" s="102" t="n"/>
      <c r="K998" s="103" t="n"/>
      <c r="L998" s="116">
        <f>IF($H998="","",TRIM(IF(COUNTIF(DMTK!$A$7:$A$250,$F998)=0,"TK Nợ sai! ","")&amp;IF(COUNTIF(DMTK!$A$7:$A$250,$G998)=0,"TK Có sai! ","")&amp;IF(N($H998)&lt;=0,"Tiền phải &gt; 0! ","")&amp;IF($B998="","Thiếu ngày! ","")&amp;IF(AND(OR(LEFT($F998,3)="131",LEFT($G998,3)="131",LEFT($F998,3)="331",LEFT($G998,3)="331"),$I998=""),"Thiếu Mã ĐT! ","")&amp;IF(AND($I998&lt;&gt;"",COUNTIF(DM_DT!$A$7:$A$306,$I998)=0),"Mã ĐT chưa khai báo! ","")))</f>
        <v/>
      </c>
      <c r="M998" s="117">
        <f>IF($H998="","",IF(AND(OR(LEFT($F998,3)="111",LEFT($F998,3)="112",LEFT($F998,3)="113"),OR(LEFT($G998,3)="111",LEFT($G998,3)="112",LEFT($G998,3)="113")),"NB",IF(OR(LEFT($F998,3)="111",LEFT($F998,3)="112",LEFT($F998,3)="113"),"THU",IF(OR(LEFT($G998,3)="111",LEFT($G998,3)="112",LEFT($G998,3)="113"),"CHI",""))))</f>
        <v/>
      </c>
      <c r="N998" s="117">
        <f>IF($M998="THU",$G998,IF($M998="CHI",$F998,""))</f>
        <v/>
      </c>
      <c r="O998" s="117">
        <f>IF(OR($M998="",$M998="NB"),"",IF($J998&lt;&gt;"",TEXT($J998,"00"),IFERROR(VLOOKUP(LEFT($N998,4),LCTT_MAP!$A$7:$C$66,IF($M998="THU",2,3),FALSE()),IFERROR(VLOOKUP(LEFT($N998,3),LCTT_MAP!$A$7:$C$66,IF($M998="THU",2,3),FALSE()),IFERROR(VLOOKUP(LEFT($N998,2),LCTT_MAP!$A$7:$C$66,IF($M998="THU",2,3),FALSE()),IFERROR(VLOOKUP(LEFT($N998,1),LCTT_MAP!$A$7:$C$66,IF($M998="THU",2,3),FALSE()),IF($M998="THU","06","07")))))))</f>
        <v/>
      </c>
      <c r="P998" s="117">
        <f>P997+IF(AND($H998&lt;&gt;"",OR(LEFT($F998,LEN(SC_TK))=SC_TK,LEFT($G998,LEN(SC_TK))=SC_TK)),1,0)</f>
        <v/>
      </c>
    </row>
    <row r="999" ht="15" customHeight="1" s="78">
      <c r="A999" s="95">
        <f>IF($H999="","",ROW()-6)</f>
        <v/>
      </c>
      <c r="B999" s="114" t="n"/>
      <c r="C999" s="102" t="n"/>
      <c r="D999" s="114" t="n"/>
      <c r="E999" s="103" t="n"/>
      <c r="F999" s="102" t="n"/>
      <c r="G999" s="102" t="n"/>
      <c r="H999" s="115" t="n"/>
      <c r="I999" s="102" t="n"/>
      <c r="J999" s="102" t="n"/>
      <c r="K999" s="103" t="n"/>
      <c r="L999" s="116">
        <f>IF($H999="","",TRIM(IF(COUNTIF(DMTK!$A$7:$A$250,$F999)=0,"TK Nợ sai! ","")&amp;IF(COUNTIF(DMTK!$A$7:$A$250,$G999)=0,"TK Có sai! ","")&amp;IF(N($H999)&lt;=0,"Tiền phải &gt; 0! ","")&amp;IF($B999="","Thiếu ngày! ","")&amp;IF(AND(OR(LEFT($F999,3)="131",LEFT($G999,3)="131",LEFT($F999,3)="331",LEFT($G999,3)="331"),$I999=""),"Thiếu Mã ĐT! ","")&amp;IF(AND($I999&lt;&gt;"",COUNTIF(DM_DT!$A$7:$A$306,$I999)=0),"Mã ĐT chưa khai báo! ","")))</f>
        <v/>
      </c>
      <c r="M999" s="117">
        <f>IF($H999="","",IF(AND(OR(LEFT($F999,3)="111",LEFT($F999,3)="112",LEFT($F999,3)="113"),OR(LEFT($G999,3)="111",LEFT($G999,3)="112",LEFT($G999,3)="113")),"NB",IF(OR(LEFT($F999,3)="111",LEFT($F999,3)="112",LEFT($F999,3)="113"),"THU",IF(OR(LEFT($G999,3)="111",LEFT($G999,3)="112",LEFT($G999,3)="113"),"CHI",""))))</f>
        <v/>
      </c>
      <c r="N999" s="117">
        <f>IF($M999="THU",$G999,IF($M999="CHI",$F999,""))</f>
        <v/>
      </c>
      <c r="O999" s="117">
        <f>IF(OR($M999="",$M999="NB"),"",IF($J999&lt;&gt;"",TEXT($J999,"00"),IFERROR(VLOOKUP(LEFT($N999,4),LCTT_MAP!$A$7:$C$66,IF($M999="THU",2,3),FALSE()),IFERROR(VLOOKUP(LEFT($N999,3),LCTT_MAP!$A$7:$C$66,IF($M999="THU",2,3),FALSE()),IFERROR(VLOOKUP(LEFT($N999,2),LCTT_MAP!$A$7:$C$66,IF($M999="THU",2,3),FALSE()),IFERROR(VLOOKUP(LEFT($N999,1),LCTT_MAP!$A$7:$C$66,IF($M999="THU",2,3),FALSE()),IF($M999="THU","06","07")))))))</f>
        <v/>
      </c>
      <c r="P999" s="117">
        <f>P998+IF(AND($H999&lt;&gt;"",OR(LEFT($F999,LEN(SC_TK))=SC_TK,LEFT($G999,LEN(SC_TK))=SC_TK)),1,0)</f>
        <v/>
      </c>
    </row>
    <row r="1000" ht="15" customHeight="1" s="78">
      <c r="A1000" s="95">
        <f>IF($H1000="","",ROW()-6)</f>
        <v/>
      </c>
      <c r="B1000" s="114" t="n"/>
      <c r="C1000" s="102" t="n"/>
      <c r="D1000" s="114" t="n"/>
      <c r="E1000" s="103" t="n"/>
      <c r="F1000" s="102" t="n"/>
      <c r="G1000" s="102" t="n"/>
      <c r="H1000" s="115" t="n"/>
      <c r="I1000" s="102" t="n"/>
      <c r="J1000" s="102" t="n"/>
      <c r="K1000" s="103" t="n"/>
      <c r="L1000" s="116">
        <f>IF($H1000="","",TRIM(IF(COUNTIF(DMTK!$A$7:$A$250,$F1000)=0,"TK Nợ sai! ","")&amp;IF(COUNTIF(DMTK!$A$7:$A$250,$G1000)=0,"TK Có sai! ","")&amp;IF(N($H1000)&lt;=0,"Tiền phải &gt; 0! ","")&amp;IF($B1000="","Thiếu ngày! ","")&amp;IF(AND(OR(LEFT($F1000,3)="131",LEFT($G1000,3)="131",LEFT($F1000,3)="331",LEFT($G1000,3)="331"),$I1000=""),"Thiếu Mã ĐT! ","")&amp;IF(AND($I1000&lt;&gt;"",COUNTIF(DM_DT!$A$7:$A$306,$I1000)=0),"Mã ĐT chưa khai báo! ","")))</f>
        <v/>
      </c>
      <c r="M1000" s="117">
        <f>IF($H1000="","",IF(AND(OR(LEFT($F1000,3)="111",LEFT($F1000,3)="112",LEFT($F1000,3)="113"),OR(LEFT($G1000,3)="111",LEFT($G1000,3)="112",LEFT($G1000,3)="113")),"NB",IF(OR(LEFT($F1000,3)="111",LEFT($F1000,3)="112",LEFT($F1000,3)="113"),"THU",IF(OR(LEFT($G1000,3)="111",LEFT($G1000,3)="112",LEFT($G1000,3)="113"),"CHI",""))))</f>
        <v/>
      </c>
      <c r="N1000" s="117">
        <f>IF($M1000="THU",$G1000,IF($M1000="CHI",$F1000,""))</f>
        <v/>
      </c>
      <c r="O1000" s="117">
        <f>IF(OR($M1000="",$M1000="NB"),"",IF($J1000&lt;&gt;"",TEXT($J1000,"00"),IFERROR(VLOOKUP(LEFT($N1000,4),LCTT_MAP!$A$7:$C$66,IF($M1000="THU",2,3),FALSE()),IFERROR(VLOOKUP(LEFT($N1000,3),LCTT_MAP!$A$7:$C$66,IF($M1000="THU",2,3),FALSE()),IFERROR(VLOOKUP(LEFT($N1000,2),LCTT_MAP!$A$7:$C$66,IF($M1000="THU",2,3),FALSE()),IFERROR(VLOOKUP(LEFT($N1000,1),LCTT_MAP!$A$7:$C$66,IF($M1000="THU",2,3),FALSE()),IF($M1000="THU","06","07")))))))</f>
        <v/>
      </c>
      <c r="P1000" s="117">
        <f>P999+IF(AND($H1000&lt;&gt;"",OR(LEFT($F1000,LEN(SC_TK))=SC_TK,LEFT($G1000,LEN(SC_TK))=SC_TK)),1,0)</f>
        <v/>
      </c>
    </row>
    <row r="1001" ht="15" customHeight="1" s="78">
      <c r="A1001" s="95">
        <f>IF($H1001="","",ROW()-6)</f>
        <v/>
      </c>
      <c r="B1001" s="114" t="n"/>
      <c r="C1001" s="102" t="n"/>
      <c r="D1001" s="114" t="n"/>
      <c r="E1001" s="103" t="n"/>
      <c r="F1001" s="102" t="n"/>
      <c r="G1001" s="102" t="n"/>
      <c r="H1001" s="115" t="n"/>
      <c r="I1001" s="102" t="n"/>
      <c r="J1001" s="102" t="n"/>
      <c r="K1001" s="103" t="n"/>
      <c r="L1001" s="116">
        <f>IF($H1001="","",TRIM(IF(COUNTIF(DMTK!$A$7:$A$250,$F1001)=0,"TK Nợ sai! ","")&amp;IF(COUNTIF(DMTK!$A$7:$A$250,$G1001)=0,"TK Có sai! ","")&amp;IF(N($H1001)&lt;=0,"Tiền phải &gt; 0! ","")&amp;IF($B1001="","Thiếu ngày! ","")&amp;IF(AND(OR(LEFT($F1001,3)="131",LEFT($G1001,3)="131",LEFT($F1001,3)="331",LEFT($G1001,3)="331"),$I1001=""),"Thiếu Mã ĐT! ","")&amp;IF(AND($I1001&lt;&gt;"",COUNTIF(DM_DT!$A$7:$A$306,$I1001)=0),"Mã ĐT chưa khai báo! ","")))</f>
        <v/>
      </c>
      <c r="M1001" s="117">
        <f>IF($H1001="","",IF(AND(OR(LEFT($F1001,3)="111",LEFT($F1001,3)="112",LEFT($F1001,3)="113"),OR(LEFT($G1001,3)="111",LEFT($G1001,3)="112",LEFT($G1001,3)="113")),"NB",IF(OR(LEFT($F1001,3)="111",LEFT($F1001,3)="112",LEFT($F1001,3)="113"),"THU",IF(OR(LEFT($G1001,3)="111",LEFT($G1001,3)="112",LEFT($G1001,3)="113"),"CHI",""))))</f>
        <v/>
      </c>
      <c r="N1001" s="117">
        <f>IF($M1001="THU",$G1001,IF($M1001="CHI",$F1001,""))</f>
        <v/>
      </c>
      <c r="O1001" s="117">
        <f>IF(OR($M1001="",$M1001="NB"),"",IF($J1001&lt;&gt;"",TEXT($J1001,"00"),IFERROR(VLOOKUP(LEFT($N1001,4),LCTT_MAP!$A$7:$C$66,IF($M1001="THU",2,3),FALSE()),IFERROR(VLOOKUP(LEFT($N1001,3),LCTT_MAP!$A$7:$C$66,IF($M1001="THU",2,3),FALSE()),IFERROR(VLOOKUP(LEFT($N1001,2),LCTT_MAP!$A$7:$C$66,IF($M1001="THU",2,3),FALSE()),IFERROR(VLOOKUP(LEFT($N1001,1),LCTT_MAP!$A$7:$C$66,IF($M1001="THU",2,3),FALSE()),IF($M1001="THU","06","07")))))))</f>
        <v/>
      </c>
      <c r="P1001" s="117">
        <f>P1000+IF(AND($H1001&lt;&gt;"",OR(LEFT($F1001,LEN(SC_TK))=SC_TK,LEFT($G1001,LEN(SC_TK))=SC_TK)),1,0)</f>
        <v/>
      </c>
    </row>
    <row r="1002" ht="15" customHeight="1" s="78">
      <c r="A1002" s="95">
        <f>IF($H1002="","",ROW()-6)</f>
        <v/>
      </c>
      <c r="B1002" s="114" t="n"/>
      <c r="C1002" s="102" t="n"/>
      <c r="D1002" s="114" t="n"/>
      <c r="E1002" s="103" t="n"/>
      <c r="F1002" s="102" t="n"/>
      <c r="G1002" s="102" t="n"/>
      <c r="H1002" s="115" t="n"/>
      <c r="I1002" s="102" t="n"/>
      <c r="J1002" s="102" t="n"/>
      <c r="K1002" s="103" t="n"/>
      <c r="L1002" s="116">
        <f>IF($H1002="","",TRIM(IF(COUNTIF(DMTK!$A$7:$A$250,$F1002)=0,"TK Nợ sai! ","")&amp;IF(COUNTIF(DMTK!$A$7:$A$250,$G1002)=0,"TK Có sai! ","")&amp;IF(N($H1002)&lt;=0,"Tiền phải &gt; 0! ","")&amp;IF($B1002="","Thiếu ngày! ","")&amp;IF(AND(OR(LEFT($F1002,3)="131",LEFT($G1002,3)="131",LEFT($F1002,3)="331",LEFT($G1002,3)="331"),$I1002=""),"Thiếu Mã ĐT! ","")&amp;IF(AND($I1002&lt;&gt;"",COUNTIF(DM_DT!$A$7:$A$306,$I1002)=0),"Mã ĐT chưa khai báo! ","")))</f>
        <v/>
      </c>
      <c r="M1002" s="117">
        <f>IF($H1002="","",IF(AND(OR(LEFT($F1002,3)="111",LEFT($F1002,3)="112",LEFT($F1002,3)="113"),OR(LEFT($G1002,3)="111",LEFT($G1002,3)="112",LEFT($G1002,3)="113")),"NB",IF(OR(LEFT($F1002,3)="111",LEFT($F1002,3)="112",LEFT($F1002,3)="113"),"THU",IF(OR(LEFT($G1002,3)="111",LEFT($G1002,3)="112",LEFT($G1002,3)="113"),"CHI",""))))</f>
        <v/>
      </c>
      <c r="N1002" s="117">
        <f>IF($M1002="THU",$G1002,IF($M1002="CHI",$F1002,""))</f>
        <v/>
      </c>
      <c r="O1002" s="117">
        <f>IF(OR($M1002="",$M1002="NB"),"",IF($J1002&lt;&gt;"",TEXT($J1002,"00"),IFERROR(VLOOKUP(LEFT($N1002,4),LCTT_MAP!$A$7:$C$66,IF($M1002="THU",2,3),FALSE()),IFERROR(VLOOKUP(LEFT($N1002,3),LCTT_MAP!$A$7:$C$66,IF($M1002="THU",2,3),FALSE()),IFERROR(VLOOKUP(LEFT($N1002,2),LCTT_MAP!$A$7:$C$66,IF($M1002="THU",2,3),FALSE()),IFERROR(VLOOKUP(LEFT($N1002,1),LCTT_MAP!$A$7:$C$66,IF($M1002="THU",2,3),FALSE()),IF($M1002="THU","06","07")))))))</f>
        <v/>
      </c>
      <c r="P1002" s="117">
        <f>P1001+IF(AND($H1002&lt;&gt;"",OR(LEFT($F1002,LEN(SC_TK))=SC_TK,LEFT($G1002,LEN(SC_TK))=SC_TK)),1,0)</f>
        <v/>
      </c>
    </row>
    <row r="1003" ht="15" customHeight="1" s="78">
      <c r="A1003" s="95">
        <f>IF($H1003="","",ROW()-6)</f>
        <v/>
      </c>
      <c r="B1003" s="114" t="n"/>
      <c r="C1003" s="102" t="n"/>
      <c r="D1003" s="114" t="n"/>
      <c r="E1003" s="103" t="n"/>
      <c r="F1003" s="102" t="n"/>
      <c r="G1003" s="102" t="n"/>
      <c r="H1003" s="115" t="n"/>
      <c r="I1003" s="102" t="n"/>
      <c r="J1003" s="102" t="n"/>
      <c r="K1003" s="103" t="n"/>
      <c r="L1003" s="116">
        <f>IF($H1003="","",TRIM(IF(COUNTIF(DMTK!$A$7:$A$250,$F1003)=0,"TK Nợ sai! ","")&amp;IF(COUNTIF(DMTK!$A$7:$A$250,$G1003)=0,"TK Có sai! ","")&amp;IF(N($H1003)&lt;=0,"Tiền phải &gt; 0! ","")&amp;IF($B1003="","Thiếu ngày! ","")&amp;IF(AND(OR(LEFT($F1003,3)="131",LEFT($G1003,3)="131",LEFT($F1003,3)="331",LEFT($G1003,3)="331"),$I1003=""),"Thiếu Mã ĐT! ","")&amp;IF(AND($I1003&lt;&gt;"",COUNTIF(DM_DT!$A$7:$A$306,$I1003)=0),"Mã ĐT chưa khai báo! ","")))</f>
        <v/>
      </c>
      <c r="M1003" s="117">
        <f>IF($H1003="","",IF(AND(OR(LEFT($F1003,3)="111",LEFT($F1003,3)="112",LEFT($F1003,3)="113"),OR(LEFT($G1003,3)="111",LEFT($G1003,3)="112",LEFT($G1003,3)="113")),"NB",IF(OR(LEFT($F1003,3)="111",LEFT($F1003,3)="112",LEFT($F1003,3)="113"),"THU",IF(OR(LEFT($G1003,3)="111",LEFT($G1003,3)="112",LEFT($G1003,3)="113"),"CHI",""))))</f>
        <v/>
      </c>
      <c r="N1003" s="117">
        <f>IF($M1003="THU",$G1003,IF($M1003="CHI",$F1003,""))</f>
        <v/>
      </c>
      <c r="O1003" s="117">
        <f>IF(OR($M1003="",$M1003="NB"),"",IF($J1003&lt;&gt;"",TEXT($J1003,"00"),IFERROR(VLOOKUP(LEFT($N1003,4),LCTT_MAP!$A$7:$C$66,IF($M1003="THU",2,3),FALSE()),IFERROR(VLOOKUP(LEFT($N1003,3),LCTT_MAP!$A$7:$C$66,IF($M1003="THU",2,3),FALSE()),IFERROR(VLOOKUP(LEFT($N1003,2),LCTT_MAP!$A$7:$C$66,IF($M1003="THU",2,3),FALSE()),IFERROR(VLOOKUP(LEFT($N1003,1),LCTT_MAP!$A$7:$C$66,IF($M1003="THU",2,3),FALSE()),IF($M1003="THU","06","07")))))))</f>
        <v/>
      </c>
      <c r="P1003" s="117">
        <f>P1002+IF(AND($H1003&lt;&gt;"",OR(LEFT($F1003,LEN(SC_TK))=SC_TK,LEFT($G1003,LEN(SC_TK))=SC_TK)),1,0)</f>
        <v/>
      </c>
    </row>
    <row r="1004" ht="15" customHeight="1" s="78">
      <c r="A1004" s="95">
        <f>IF($H1004="","",ROW()-6)</f>
        <v/>
      </c>
      <c r="B1004" s="114" t="n"/>
      <c r="C1004" s="102" t="n"/>
      <c r="D1004" s="114" t="n"/>
      <c r="E1004" s="103" t="n"/>
      <c r="F1004" s="102" t="n"/>
      <c r="G1004" s="102" t="n"/>
      <c r="H1004" s="115" t="n"/>
      <c r="I1004" s="102" t="n"/>
      <c r="J1004" s="102" t="n"/>
      <c r="K1004" s="103" t="n"/>
      <c r="L1004" s="116">
        <f>IF($H1004="","",TRIM(IF(COUNTIF(DMTK!$A$7:$A$250,$F1004)=0,"TK Nợ sai! ","")&amp;IF(COUNTIF(DMTK!$A$7:$A$250,$G1004)=0,"TK Có sai! ","")&amp;IF(N($H1004)&lt;=0,"Tiền phải &gt; 0! ","")&amp;IF($B1004="","Thiếu ngày! ","")&amp;IF(AND(OR(LEFT($F1004,3)="131",LEFT($G1004,3)="131",LEFT($F1004,3)="331",LEFT($G1004,3)="331"),$I1004=""),"Thiếu Mã ĐT! ","")&amp;IF(AND($I1004&lt;&gt;"",COUNTIF(DM_DT!$A$7:$A$306,$I1004)=0),"Mã ĐT chưa khai báo! ","")))</f>
        <v/>
      </c>
      <c r="M1004" s="117">
        <f>IF($H1004="","",IF(AND(OR(LEFT($F1004,3)="111",LEFT($F1004,3)="112",LEFT($F1004,3)="113"),OR(LEFT($G1004,3)="111",LEFT($G1004,3)="112",LEFT($G1004,3)="113")),"NB",IF(OR(LEFT($F1004,3)="111",LEFT($F1004,3)="112",LEFT($F1004,3)="113"),"THU",IF(OR(LEFT($G1004,3)="111",LEFT($G1004,3)="112",LEFT($G1004,3)="113"),"CHI",""))))</f>
        <v/>
      </c>
      <c r="N1004" s="117">
        <f>IF($M1004="THU",$G1004,IF($M1004="CHI",$F1004,""))</f>
        <v/>
      </c>
      <c r="O1004" s="117">
        <f>IF(OR($M1004="",$M1004="NB"),"",IF($J1004&lt;&gt;"",TEXT($J1004,"00"),IFERROR(VLOOKUP(LEFT($N1004,4),LCTT_MAP!$A$7:$C$66,IF($M1004="THU",2,3),FALSE()),IFERROR(VLOOKUP(LEFT($N1004,3),LCTT_MAP!$A$7:$C$66,IF($M1004="THU",2,3),FALSE()),IFERROR(VLOOKUP(LEFT($N1004,2),LCTT_MAP!$A$7:$C$66,IF($M1004="THU",2,3),FALSE()),IFERROR(VLOOKUP(LEFT($N1004,1),LCTT_MAP!$A$7:$C$66,IF($M1004="THU",2,3),FALSE()),IF($M1004="THU","06","07")))))))</f>
        <v/>
      </c>
      <c r="P1004" s="117">
        <f>P1003+IF(AND($H1004&lt;&gt;"",OR(LEFT($F1004,LEN(SC_TK))=SC_TK,LEFT($G1004,LEN(SC_TK))=SC_TK)),1,0)</f>
        <v/>
      </c>
    </row>
    <row r="1005" ht="15" customHeight="1" s="78">
      <c r="A1005" s="95">
        <f>IF($H1005="","",ROW()-6)</f>
        <v/>
      </c>
      <c r="B1005" s="114" t="n"/>
      <c r="C1005" s="102" t="n"/>
      <c r="D1005" s="114" t="n"/>
      <c r="E1005" s="103" t="n"/>
      <c r="F1005" s="102" t="n"/>
      <c r="G1005" s="102" t="n"/>
      <c r="H1005" s="115" t="n"/>
      <c r="I1005" s="102" t="n"/>
      <c r="J1005" s="102" t="n"/>
      <c r="K1005" s="103" t="n"/>
      <c r="L1005" s="116">
        <f>IF($H1005="","",TRIM(IF(COUNTIF(DMTK!$A$7:$A$250,$F1005)=0,"TK Nợ sai! ","")&amp;IF(COUNTIF(DMTK!$A$7:$A$250,$G1005)=0,"TK Có sai! ","")&amp;IF(N($H1005)&lt;=0,"Tiền phải &gt; 0! ","")&amp;IF($B1005="","Thiếu ngày! ","")&amp;IF(AND(OR(LEFT($F1005,3)="131",LEFT($G1005,3)="131",LEFT($F1005,3)="331",LEFT($G1005,3)="331"),$I1005=""),"Thiếu Mã ĐT! ","")&amp;IF(AND($I1005&lt;&gt;"",COUNTIF(DM_DT!$A$7:$A$306,$I1005)=0),"Mã ĐT chưa khai báo! ","")))</f>
        <v/>
      </c>
      <c r="M1005" s="117">
        <f>IF($H1005="","",IF(AND(OR(LEFT($F1005,3)="111",LEFT($F1005,3)="112",LEFT($F1005,3)="113"),OR(LEFT($G1005,3)="111",LEFT($G1005,3)="112",LEFT($G1005,3)="113")),"NB",IF(OR(LEFT($F1005,3)="111",LEFT($F1005,3)="112",LEFT($F1005,3)="113"),"THU",IF(OR(LEFT($G1005,3)="111",LEFT($G1005,3)="112",LEFT($G1005,3)="113"),"CHI",""))))</f>
        <v/>
      </c>
      <c r="N1005" s="117">
        <f>IF($M1005="THU",$G1005,IF($M1005="CHI",$F1005,""))</f>
        <v/>
      </c>
      <c r="O1005" s="117">
        <f>IF(OR($M1005="",$M1005="NB"),"",IF($J1005&lt;&gt;"",TEXT($J1005,"00"),IFERROR(VLOOKUP(LEFT($N1005,4),LCTT_MAP!$A$7:$C$66,IF($M1005="THU",2,3),FALSE()),IFERROR(VLOOKUP(LEFT($N1005,3),LCTT_MAP!$A$7:$C$66,IF($M1005="THU",2,3),FALSE()),IFERROR(VLOOKUP(LEFT($N1005,2),LCTT_MAP!$A$7:$C$66,IF($M1005="THU",2,3),FALSE()),IFERROR(VLOOKUP(LEFT($N1005,1),LCTT_MAP!$A$7:$C$66,IF($M1005="THU",2,3),FALSE()),IF($M1005="THU","06","07")))))))</f>
        <v/>
      </c>
      <c r="P1005" s="117">
        <f>P1004+IF(AND($H1005&lt;&gt;"",OR(LEFT($F1005,LEN(SC_TK))=SC_TK,LEFT($G1005,LEN(SC_TK))=SC_TK)),1,0)</f>
        <v/>
      </c>
    </row>
    <row r="1006" ht="15" customHeight="1" s="78">
      <c r="A1006" s="95">
        <f>IF($H1006="","",ROW()-6)</f>
        <v/>
      </c>
      <c r="B1006" s="114" t="n"/>
      <c r="C1006" s="102" t="n"/>
      <c r="D1006" s="114" t="n"/>
      <c r="E1006" s="103" t="n"/>
      <c r="F1006" s="102" t="n"/>
      <c r="G1006" s="102" t="n"/>
      <c r="H1006" s="115" t="n"/>
      <c r="I1006" s="102" t="n"/>
      <c r="J1006" s="102" t="n"/>
      <c r="K1006" s="103" t="n"/>
      <c r="L1006" s="116">
        <f>IF($H1006="","",TRIM(IF(COUNTIF(DMTK!$A$7:$A$250,$F1006)=0,"TK Nợ sai! ","")&amp;IF(COUNTIF(DMTK!$A$7:$A$250,$G1006)=0,"TK Có sai! ","")&amp;IF(N($H1006)&lt;=0,"Tiền phải &gt; 0! ","")&amp;IF($B1006="","Thiếu ngày! ","")&amp;IF(AND(OR(LEFT($F1006,3)="131",LEFT($G1006,3)="131",LEFT($F1006,3)="331",LEFT($G1006,3)="331"),$I1006=""),"Thiếu Mã ĐT! ","")&amp;IF(AND($I1006&lt;&gt;"",COUNTIF(DM_DT!$A$7:$A$306,$I1006)=0),"Mã ĐT chưa khai báo! ","")))</f>
        <v/>
      </c>
      <c r="M1006" s="117">
        <f>IF($H1006="","",IF(AND(OR(LEFT($F1006,3)="111",LEFT($F1006,3)="112",LEFT($F1006,3)="113"),OR(LEFT($G1006,3)="111",LEFT($G1006,3)="112",LEFT($G1006,3)="113")),"NB",IF(OR(LEFT($F1006,3)="111",LEFT($F1006,3)="112",LEFT($F1006,3)="113"),"THU",IF(OR(LEFT($G1006,3)="111",LEFT($G1006,3)="112",LEFT($G1006,3)="113"),"CHI",""))))</f>
        <v/>
      </c>
      <c r="N1006" s="117">
        <f>IF($M1006="THU",$G1006,IF($M1006="CHI",$F1006,""))</f>
        <v/>
      </c>
      <c r="O1006" s="117">
        <f>IF(OR($M1006="",$M1006="NB"),"",IF($J1006&lt;&gt;"",TEXT($J1006,"00"),IFERROR(VLOOKUP(LEFT($N1006,4),LCTT_MAP!$A$7:$C$66,IF($M1006="THU",2,3),FALSE()),IFERROR(VLOOKUP(LEFT($N1006,3),LCTT_MAP!$A$7:$C$66,IF($M1006="THU",2,3),FALSE()),IFERROR(VLOOKUP(LEFT($N1006,2),LCTT_MAP!$A$7:$C$66,IF($M1006="THU",2,3),FALSE()),IFERROR(VLOOKUP(LEFT($N1006,1),LCTT_MAP!$A$7:$C$66,IF($M1006="THU",2,3),FALSE()),IF($M1006="THU","06","07")))))))</f>
        <v/>
      </c>
      <c r="P1006" s="117">
        <f>P1005+IF(AND($H1006&lt;&gt;"",OR(LEFT($F1006,LEN(SC_TK))=SC_TK,LEFT($G1006,LEN(SC_TK))=SC_TK)),1,0)</f>
        <v/>
      </c>
    </row>
    <row r="1007" ht="15" customHeight="1" s="78">
      <c r="A1007" s="95">
        <f>IF($H1007="","",ROW()-6)</f>
        <v/>
      </c>
      <c r="B1007" s="114" t="n"/>
      <c r="C1007" s="102" t="n"/>
      <c r="D1007" s="114" t="n"/>
      <c r="E1007" s="103" t="n"/>
      <c r="F1007" s="102" t="n"/>
      <c r="G1007" s="102" t="n"/>
      <c r="H1007" s="115" t="n"/>
      <c r="I1007" s="102" t="n"/>
      <c r="J1007" s="102" t="n"/>
      <c r="K1007" s="103" t="n"/>
      <c r="L1007" s="116">
        <f>IF($H1007="","",TRIM(IF(COUNTIF(DMTK!$A$7:$A$250,$F1007)=0,"TK Nợ sai! ","")&amp;IF(COUNTIF(DMTK!$A$7:$A$250,$G1007)=0,"TK Có sai! ","")&amp;IF(N($H1007)&lt;=0,"Tiền phải &gt; 0! ","")&amp;IF($B1007="","Thiếu ngày! ","")&amp;IF(AND(OR(LEFT($F1007,3)="131",LEFT($G1007,3)="131",LEFT($F1007,3)="331",LEFT($G1007,3)="331"),$I1007=""),"Thiếu Mã ĐT! ","")&amp;IF(AND($I1007&lt;&gt;"",COUNTIF(DM_DT!$A$7:$A$306,$I1007)=0),"Mã ĐT chưa khai báo! ","")))</f>
        <v/>
      </c>
      <c r="M1007" s="117">
        <f>IF($H1007="","",IF(AND(OR(LEFT($F1007,3)="111",LEFT($F1007,3)="112",LEFT($F1007,3)="113"),OR(LEFT($G1007,3)="111",LEFT($G1007,3)="112",LEFT($G1007,3)="113")),"NB",IF(OR(LEFT($F1007,3)="111",LEFT($F1007,3)="112",LEFT($F1007,3)="113"),"THU",IF(OR(LEFT($G1007,3)="111",LEFT($G1007,3)="112",LEFT($G1007,3)="113"),"CHI",""))))</f>
        <v/>
      </c>
      <c r="N1007" s="117">
        <f>IF($M1007="THU",$G1007,IF($M1007="CHI",$F1007,""))</f>
        <v/>
      </c>
      <c r="O1007" s="117">
        <f>IF(OR($M1007="",$M1007="NB"),"",IF($J1007&lt;&gt;"",TEXT($J1007,"00"),IFERROR(VLOOKUP(LEFT($N1007,4),LCTT_MAP!$A$7:$C$66,IF($M1007="THU",2,3),FALSE()),IFERROR(VLOOKUP(LEFT($N1007,3),LCTT_MAP!$A$7:$C$66,IF($M1007="THU",2,3),FALSE()),IFERROR(VLOOKUP(LEFT($N1007,2),LCTT_MAP!$A$7:$C$66,IF($M1007="THU",2,3),FALSE()),IFERROR(VLOOKUP(LEFT($N1007,1),LCTT_MAP!$A$7:$C$66,IF($M1007="THU",2,3),FALSE()),IF($M1007="THU","06","07")))))))</f>
        <v/>
      </c>
      <c r="P1007" s="117">
        <f>P1006+IF(AND($H1007&lt;&gt;"",OR(LEFT($F1007,LEN(SC_TK))=SC_TK,LEFT($G1007,LEN(SC_TK))=SC_TK)),1,0)</f>
        <v/>
      </c>
    </row>
    <row r="1008" ht="15" customHeight="1" s="78">
      <c r="A1008" s="95">
        <f>IF($H1008="","",ROW()-6)</f>
        <v/>
      </c>
      <c r="B1008" s="114" t="n"/>
      <c r="C1008" s="102" t="n"/>
      <c r="D1008" s="114" t="n"/>
      <c r="E1008" s="103" t="n"/>
      <c r="F1008" s="102" t="n"/>
      <c r="G1008" s="102" t="n"/>
      <c r="H1008" s="115" t="n"/>
      <c r="I1008" s="102" t="n"/>
      <c r="J1008" s="102" t="n"/>
      <c r="K1008" s="103" t="n"/>
      <c r="L1008" s="116">
        <f>IF($H1008="","",TRIM(IF(COUNTIF(DMTK!$A$7:$A$250,$F1008)=0,"TK Nợ sai! ","")&amp;IF(COUNTIF(DMTK!$A$7:$A$250,$G1008)=0,"TK Có sai! ","")&amp;IF(N($H1008)&lt;=0,"Tiền phải &gt; 0! ","")&amp;IF($B1008="","Thiếu ngày! ","")&amp;IF(AND(OR(LEFT($F1008,3)="131",LEFT($G1008,3)="131",LEFT($F1008,3)="331",LEFT($G1008,3)="331"),$I1008=""),"Thiếu Mã ĐT! ","")&amp;IF(AND($I1008&lt;&gt;"",COUNTIF(DM_DT!$A$7:$A$306,$I1008)=0),"Mã ĐT chưa khai báo! ","")))</f>
        <v/>
      </c>
      <c r="M1008" s="117">
        <f>IF($H1008="","",IF(AND(OR(LEFT($F1008,3)="111",LEFT($F1008,3)="112",LEFT($F1008,3)="113"),OR(LEFT($G1008,3)="111",LEFT($G1008,3)="112",LEFT($G1008,3)="113")),"NB",IF(OR(LEFT($F1008,3)="111",LEFT($F1008,3)="112",LEFT($F1008,3)="113"),"THU",IF(OR(LEFT($G1008,3)="111",LEFT($G1008,3)="112",LEFT($G1008,3)="113"),"CHI",""))))</f>
        <v/>
      </c>
      <c r="N1008" s="117">
        <f>IF($M1008="THU",$G1008,IF($M1008="CHI",$F1008,""))</f>
        <v/>
      </c>
      <c r="O1008" s="117">
        <f>IF(OR($M1008="",$M1008="NB"),"",IF($J1008&lt;&gt;"",TEXT($J1008,"00"),IFERROR(VLOOKUP(LEFT($N1008,4),LCTT_MAP!$A$7:$C$66,IF($M1008="THU",2,3),FALSE()),IFERROR(VLOOKUP(LEFT($N1008,3),LCTT_MAP!$A$7:$C$66,IF($M1008="THU",2,3),FALSE()),IFERROR(VLOOKUP(LEFT($N1008,2),LCTT_MAP!$A$7:$C$66,IF($M1008="THU",2,3),FALSE()),IFERROR(VLOOKUP(LEFT($N1008,1),LCTT_MAP!$A$7:$C$66,IF($M1008="THU",2,3),FALSE()),IF($M1008="THU","06","07")))))))</f>
        <v/>
      </c>
      <c r="P1008" s="117">
        <f>P1007+IF(AND($H1008&lt;&gt;"",OR(LEFT($F1008,LEN(SC_TK))=SC_TK,LEFT($G1008,LEN(SC_TK))=SC_TK)),1,0)</f>
        <v/>
      </c>
    </row>
    <row r="1009" ht="15" customHeight="1" s="78">
      <c r="A1009" s="95">
        <f>IF($H1009="","",ROW()-6)</f>
        <v/>
      </c>
      <c r="B1009" s="114" t="n"/>
      <c r="C1009" s="102" t="n"/>
      <c r="D1009" s="114" t="n"/>
      <c r="E1009" s="103" t="n"/>
      <c r="F1009" s="102" t="n"/>
      <c r="G1009" s="102" t="n"/>
      <c r="H1009" s="115" t="n"/>
      <c r="I1009" s="102" t="n"/>
      <c r="J1009" s="102" t="n"/>
      <c r="K1009" s="103" t="n"/>
      <c r="L1009" s="116">
        <f>IF($H1009="","",TRIM(IF(COUNTIF(DMTK!$A$7:$A$250,$F1009)=0,"TK Nợ sai! ","")&amp;IF(COUNTIF(DMTK!$A$7:$A$250,$G1009)=0,"TK Có sai! ","")&amp;IF(N($H1009)&lt;=0,"Tiền phải &gt; 0! ","")&amp;IF($B1009="","Thiếu ngày! ","")&amp;IF(AND(OR(LEFT($F1009,3)="131",LEFT($G1009,3)="131",LEFT($F1009,3)="331",LEFT($G1009,3)="331"),$I1009=""),"Thiếu Mã ĐT! ","")&amp;IF(AND($I1009&lt;&gt;"",COUNTIF(DM_DT!$A$7:$A$306,$I1009)=0),"Mã ĐT chưa khai báo! ","")))</f>
        <v/>
      </c>
      <c r="M1009" s="117">
        <f>IF($H1009="","",IF(AND(OR(LEFT($F1009,3)="111",LEFT($F1009,3)="112",LEFT($F1009,3)="113"),OR(LEFT($G1009,3)="111",LEFT($G1009,3)="112",LEFT($G1009,3)="113")),"NB",IF(OR(LEFT($F1009,3)="111",LEFT($F1009,3)="112",LEFT($F1009,3)="113"),"THU",IF(OR(LEFT($G1009,3)="111",LEFT($G1009,3)="112",LEFT($G1009,3)="113"),"CHI",""))))</f>
        <v/>
      </c>
      <c r="N1009" s="117">
        <f>IF($M1009="THU",$G1009,IF($M1009="CHI",$F1009,""))</f>
        <v/>
      </c>
      <c r="O1009" s="117">
        <f>IF(OR($M1009="",$M1009="NB"),"",IF($J1009&lt;&gt;"",TEXT($J1009,"00"),IFERROR(VLOOKUP(LEFT($N1009,4),LCTT_MAP!$A$7:$C$66,IF($M1009="THU",2,3),FALSE()),IFERROR(VLOOKUP(LEFT($N1009,3),LCTT_MAP!$A$7:$C$66,IF($M1009="THU",2,3),FALSE()),IFERROR(VLOOKUP(LEFT($N1009,2),LCTT_MAP!$A$7:$C$66,IF($M1009="THU",2,3),FALSE()),IFERROR(VLOOKUP(LEFT($N1009,1),LCTT_MAP!$A$7:$C$66,IF($M1009="THU",2,3),FALSE()),IF($M1009="THU","06","07")))))))</f>
        <v/>
      </c>
      <c r="P1009" s="117">
        <f>P1008+IF(AND($H1009&lt;&gt;"",OR(LEFT($F1009,LEN(SC_TK))=SC_TK,LEFT($G1009,LEN(SC_TK))=SC_TK)),1,0)</f>
        <v/>
      </c>
    </row>
    <row r="1010" ht="15" customHeight="1" s="78">
      <c r="A1010" s="95">
        <f>IF($H1010="","",ROW()-6)</f>
        <v/>
      </c>
      <c r="B1010" s="114" t="n"/>
      <c r="C1010" s="102" t="n"/>
      <c r="D1010" s="114" t="n"/>
      <c r="E1010" s="103" t="n"/>
      <c r="F1010" s="102" t="n"/>
      <c r="G1010" s="102" t="n"/>
      <c r="H1010" s="115" t="n"/>
      <c r="I1010" s="102" t="n"/>
      <c r="J1010" s="102" t="n"/>
      <c r="K1010" s="103" t="n"/>
      <c r="L1010" s="116">
        <f>IF($H1010="","",TRIM(IF(COUNTIF(DMTK!$A$7:$A$250,$F1010)=0,"TK Nợ sai! ","")&amp;IF(COUNTIF(DMTK!$A$7:$A$250,$G1010)=0,"TK Có sai! ","")&amp;IF(N($H1010)&lt;=0,"Tiền phải &gt; 0! ","")&amp;IF($B1010="","Thiếu ngày! ","")&amp;IF(AND(OR(LEFT($F1010,3)="131",LEFT($G1010,3)="131",LEFT($F1010,3)="331",LEFT($G1010,3)="331"),$I1010=""),"Thiếu Mã ĐT! ","")&amp;IF(AND($I1010&lt;&gt;"",COUNTIF(DM_DT!$A$7:$A$306,$I1010)=0),"Mã ĐT chưa khai báo! ","")))</f>
        <v/>
      </c>
      <c r="M1010" s="117">
        <f>IF($H1010="","",IF(AND(OR(LEFT($F1010,3)="111",LEFT($F1010,3)="112",LEFT($F1010,3)="113"),OR(LEFT($G1010,3)="111",LEFT($G1010,3)="112",LEFT($G1010,3)="113")),"NB",IF(OR(LEFT($F1010,3)="111",LEFT($F1010,3)="112",LEFT($F1010,3)="113"),"THU",IF(OR(LEFT($G1010,3)="111",LEFT($G1010,3)="112",LEFT($G1010,3)="113"),"CHI",""))))</f>
        <v/>
      </c>
      <c r="N1010" s="117">
        <f>IF($M1010="THU",$G1010,IF($M1010="CHI",$F1010,""))</f>
        <v/>
      </c>
      <c r="O1010" s="117">
        <f>IF(OR($M1010="",$M1010="NB"),"",IF($J1010&lt;&gt;"",TEXT($J1010,"00"),IFERROR(VLOOKUP(LEFT($N1010,4),LCTT_MAP!$A$7:$C$66,IF($M1010="THU",2,3),FALSE()),IFERROR(VLOOKUP(LEFT($N1010,3),LCTT_MAP!$A$7:$C$66,IF($M1010="THU",2,3),FALSE()),IFERROR(VLOOKUP(LEFT($N1010,2),LCTT_MAP!$A$7:$C$66,IF($M1010="THU",2,3),FALSE()),IFERROR(VLOOKUP(LEFT($N1010,1),LCTT_MAP!$A$7:$C$66,IF($M1010="THU",2,3),FALSE()),IF($M1010="THU","06","07")))))))</f>
        <v/>
      </c>
      <c r="P1010" s="117">
        <f>P1009+IF(AND($H1010&lt;&gt;"",OR(LEFT($F1010,LEN(SC_TK))=SC_TK,LEFT($G1010,LEN(SC_TK))=SC_TK)),1,0)</f>
        <v/>
      </c>
    </row>
    <row r="1011" ht="15" customHeight="1" s="78">
      <c r="A1011" s="95">
        <f>IF($H1011="","",ROW()-6)</f>
        <v/>
      </c>
      <c r="B1011" s="114" t="n"/>
      <c r="C1011" s="102" t="n"/>
      <c r="D1011" s="114" t="n"/>
      <c r="E1011" s="103" t="n"/>
      <c r="F1011" s="102" t="n"/>
      <c r="G1011" s="102" t="n"/>
      <c r="H1011" s="115" t="n"/>
      <c r="I1011" s="102" t="n"/>
      <c r="J1011" s="102" t="n"/>
      <c r="K1011" s="103" t="n"/>
      <c r="L1011" s="116">
        <f>IF($H1011="","",TRIM(IF(COUNTIF(DMTK!$A$7:$A$250,$F1011)=0,"TK Nợ sai! ","")&amp;IF(COUNTIF(DMTK!$A$7:$A$250,$G1011)=0,"TK Có sai! ","")&amp;IF(N($H1011)&lt;=0,"Tiền phải &gt; 0! ","")&amp;IF($B1011="","Thiếu ngày! ","")&amp;IF(AND(OR(LEFT($F1011,3)="131",LEFT($G1011,3)="131",LEFT($F1011,3)="331",LEFT($G1011,3)="331"),$I1011=""),"Thiếu Mã ĐT! ","")&amp;IF(AND($I1011&lt;&gt;"",COUNTIF(DM_DT!$A$7:$A$306,$I1011)=0),"Mã ĐT chưa khai báo! ","")))</f>
        <v/>
      </c>
      <c r="M1011" s="117">
        <f>IF($H1011="","",IF(AND(OR(LEFT($F1011,3)="111",LEFT($F1011,3)="112",LEFT($F1011,3)="113"),OR(LEFT($G1011,3)="111",LEFT($G1011,3)="112",LEFT($G1011,3)="113")),"NB",IF(OR(LEFT($F1011,3)="111",LEFT($F1011,3)="112",LEFT($F1011,3)="113"),"THU",IF(OR(LEFT($G1011,3)="111",LEFT($G1011,3)="112",LEFT($G1011,3)="113"),"CHI",""))))</f>
        <v/>
      </c>
      <c r="N1011" s="117">
        <f>IF($M1011="THU",$G1011,IF($M1011="CHI",$F1011,""))</f>
        <v/>
      </c>
      <c r="O1011" s="117">
        <f>IF(OR($M1011="",$M1011="NB"),"",IF($J1011&lt;&gt;"",TEXT($J1011,"00"),IFERROR(VLOOKUP(LEFT($N1011,4),LCTT_MAP!$A$7:$C$66,IF($M1011="THU",2,3),FALSE()),IFERROR(VLOOKUP(LEFT($N1011,3),LCTT_MAP!$A$7:$C$66,IF($M1011="THU",2,3),FALSE()),IFERROR(VLOOKUP(LEFT($N1011,2),LCTT_MAP!$A$7:$C$66,IF($M1011="THU",2,3),FALSE()),IFERROR(VLOOKUP(LEFT($N1011,1),LCTT_MAP!$A$7:$C$66,IF($M1011="THU",2,3),FALSE()),IF($M1011="THU","06","07")))))))</f>
        <v/>
      </c>
      <c r="P1011" s="117">
        <f>P1010+IF(AND($H1011&lt;&gt;"",OR(LEFT($F1011,LEN(SC_TK))=SC_TK,LEFT($G1011,LEN(SC_TK))=SC_TK)),1,0)</f>
        <v/>
      </c>
    </row>
    <row r="1012" ht="15" customHeight="1" s="78">
      <c r="A1012" s="95">
        <f>IF($H1012="","",ROW()-6)</f>
        <v/>
      </c>
      <c r="B1012" s="114" t="n"/>
      <c r="C1012" s="102" t="n"/>
      <c r="D1012" s="114" t="n"/>
      <c r="E1012" s="103" t="n"/>
      <c r="F1012" s="102" t="n"/>
      <c r="G1012" s="102" t="n"/>
      <c r="H1012" s="115" t="n"/>
      <c r="I1012" s="102" t="n"/>
      <c r="J1012" s="102" t="n"/>
      <c r="K1012" s="103" t="n"/>
      <c r="L1012" s="116">
        <f>IF($H1012="","",TRIM(IF(COUNTIF(DMTK!$A$7:$A$250,$F1012)=0,"TK Nợ sai! ","")&amp;IF(COUNTIF(DMTK!$A$7:$A$250,$G1012)=0,"TK Có sai! ","")&amp;IF(N($H1012)&lt;=0,"Tiền phải &gt; 0! ","")&amp;IF($B1012="","Thiếu ngày! ","")&amp;IF(AND(OR(LEFT($F1012,3)="131",LEFT($G1012,3)="131",LEFT($F1012,3)="331",LEFT($G1012,3)="331"),$I1012=""),"Thiếu Mã ĐT! ","")&amp;IF(AND($I1012&lt;&gt;"",COUNTIF(DM_DT!$A$7:$A$306,$I1012)=0),"Mã ĐT chưa khai báo! ","")))</f>
        <v/>
      </c>
      <c r="M1012" s="117">
        <f>IF($H1012="","",IF(AND(OR(LEFT($F1012,3)="111",LEFT($F1012,3)="112",LEFT($F1012,3)="113"),OR(LEFT($G1012,3)="111",LEFT($G1012,3)="112",LEFT($G1012,3)="113")),"NB",IF(OR(LEFT($F1012,3)="111",LEFT($F1012,3)="112",LEFT($F1012,3)="113"),"THU",IF(OR(LEFT($G1012,3)="111",LEFT($G1012,3)="112",LEFT($G1012,3)="113"),"CHI",""))))</f>
        <v/>
      </c>
      <c r="N1012" s="117">
        <f>IF($M1012="THU",$G1012,IF($M1012="CHI",$F1012,""))</f>
        <v/>
      </c>
      <c r="O1012" s="117">
        <f>IF(OR($M1012="",$M1012="NB"),"",IF($J1012&lt;&gt;"",TEXT($J1012,"00"),IFERROR(VLOOKUP(LEFT($N1012,4),LCTT_MAP!$A$7:$C$66,IF($M1012="THU",2,3),FALSE()),IFERROR(VLOOKUP(LEFT($N1012,3),LCTT_MAP!$A$7:$C$66,IF($M1012="THU",2,3),FALSE()),IFERROR(VLOOKUP(LEFT($N1012,2),LCTT_MAP!$A$7:$C$66,IF($M1012="THU",2,3),FALSE()),IFERROR(VLOOKUP(LEFT($N1012,1),LCTT_MAP!$A$7:$C$66,IF($M1012="THU",2,3),FALSE()),IF($M1012="THU","06","07")))))))</f>
        <v/>
      </c>
      <c r="P1012" s="117">
        <f>P1011+IF(AND($H1012&lt;&gt;"",OR(LEFT($F1012,LEN(SC_TK))=SC_TK,LEFT($G1012,LEN(SC_TK))=SC_TK)),1,0)</f>
        <v/>
      </c>
    </row>
    <row r="1013" ht="15" customHeight="1" s="78">
      <c r="A1013" s="95">
        <f>IF($H1013="","",ROW()-6)</f>
        <v/>
      </c>
      <c r="B1013" s="114" t="n"/>
      <c r="C1013" s="102" t="n"/>
      <c r="D1013" s="114" t="n"/>
      <c r="E1013" s="103" t="n"/>
      <c r="F1013" s="102" t="n"/>
      <c r="G1013" s="102" t="n"/>
      <c r="H1013" s="115" t="n"/>
      <c r="I1013" s="102" t="n"/>
      <c r="J1013" s="102" t="n"/>
      <c r="K1013" s="103" t="n"/>
      <c r="L1013" s="116">
        <f>IF($H1013="","",TRIM(IF(COUNTIF(DMTK!$A$7:$A$250,$F1013)=0,"TK Nợ sai! ","")&amp;IF(COUNTIF(DMTK!$A$7:$A$250,$G1013)=0,"TK Có sai! ","")&amp;IF(N($H1013)&lt;=0,"Tiền phải &gt; 0! ","")&amp;IF($B1013="","Thiếu ngày! ","")&amp;IF(AND(OR(LEFT($F1013,3)="131",LEFT($G1013,3)="131",LEFT($F1013,3)="331",LEFT($G1013,3)="331"),$I1013=""),"Thiếu Mã ĐT! ","")&amp;IF(AND($I1013&lt;&gt;"",COUNTIF(DM_DT!$A$7:$A$306,$I1013)=0),"Mã ĐT chưa khai báo! ","")))</f>
        <v/>
      </c>
      <c r="M1013" s="117">
        <f>IF($H1013="","",IF(AND(OR(LEFT($F1013,3)="111",LEFT($F1013,3)="112",LEFT($F1013,3)="113"),OR(LEFT($G1013,3)="111",LEFT($G1013,3)="112",LEFT($G1013,3)="113")),"NB",IF(OR(LEFT($F1013,3)="111",LEFT($F1013,3)="112",LEFT($F1013,3)="113"),"THU",IF(OR(LEFT($G1013,3)="111",LEFT($G1013,3)="112",LEFT($G1013,3)="113"),"CHI",""))))</f>
        <v/>
      </c>
      <c r="N1013" s="117">
        <f>IF($M1013="THU",$G1013,IF($M1013="CHI",$F1013,""))</f>
        <v/>
      </c>
      <c r="O1013" s="117">
        <f>IF(OR($M1013="",$M1013="NB"),"",IF($J1013&lt;&gt;"",TEXT($J1013,"00"),IFERROR(VLOOKUP(LEFT($N1013,4),LCTT_MAP!$A$7:$C$66,IF($M1013="THU",2,3),FALSE()),IFERROR(VLOOKUP(LEFT($N1013,3),LCTT_MAP!$A$7:$C$66,IF($M1013="THU",2,3),FALSE()),IFERROR(VLOOKUP(LEFT($N1013,2),LCTT_MAP!$A$7:$C$66,IF($M1013="THU",2,3),FALSE()),IFERROR(VLOOKUP(LEFT($N1013,1),LCTT_MAP!$A$7:$C$66,IF($M1013="THU",2,3),FALSE()),IF($M1013="THU","06","07")))))))</f>
        <v/>
      </c>
      <c r="P1013" s="117">
        <f>P1012+IF(AND($H1013&lt;&gt;"",OR(LEFT($F1013,LEN(SC_TK))=SC_TK,LEFT($G1013,LEN(SC_TK))=SC_TK)),1,0)</f>
        <v/>
      </c>
    </row>
    <row r="1014" ht="15" customHeight="1" s="78">
      <c r="A1014" s="95">
        <f>IF($H1014="","",ROW()-6)</f>
        <v/>
      </c>
      <c r="B1014" s="114" t="n"/>
      <c r="C1014" s="102" t="n"/>
      <c r="D1014" s="114" t="n"/>
      <c r="E1014" s="103" t="n"/>
      <c r="F1014" s="102" t="n"/>
      <c r="G1014" s="102" t="n"/>
      <c r="H1014" s="115" t="n"/>
      <c r="I1014" s="102" t="n"/>
      <c r="J1014" s="102" t="n"/>
      <c r="K1014" s="103" t="n"/>
      <c r="L1014" s="116">
        <f>IF($H1014="","",TRIM(IF(COUNTIF(DMTK!$A$7:$A$250,$F1014)=0,"TK Nợ sai! ","")&amp;IF(COUNTIF(DMTK!$A$7:$A$250,$G1014)=0,"TK Có sai! ","")&amp;IF(N($H1014)&lt;=0,"Tiền phải &gt; 0! ","")&amp;IF($B1014="","Thiếu ngày! ","")&amp;IF(AND(OR(LEFT($F1014,3)="131",LEFT($G1014,3)="131",LEFT($F1014,3)="331",LEFT($G1014,3)="331"),$I1014=""),"Thiếu Mã ĐT! ","")&amp;IF(AND($I1014&lt;&gt;"",COUNTIF(DM_DT!$A$7:$A$306,$I1014)=0),"Mã ĐT chưa khai báo! ","")))</f>
        <v/>
      </c>
      <c r="M1014" s="117">
        <f>IF($H1014="","",IF(AND(OR(LEFT($F1014,3)="111",LEFT($F1014,3)="112",LEFT($F1014,3)="113"),OR(LEFT($G1014,3)="111",LEFT($G1014,3)="112",LEFT($G1014,3)="113")),"NB",IF(OR(LEFT($F1014,3)="111",LEFT($F1014,3)="112",LEFT($F1014,3)="113"),"THU",IF(OR(LEFT($G1014,3)="111",LEFT($G1014,3)="112",LEFT($G1014,3)="113"),"CHI",""))))</f>
        <v/>
      </c>
      <c r="N1014" s="117">
        <f>IF($M1014="THU",$G1014,IF($M1014="CHI",$F1014,""))</f>
        <v/>
      </c>
      <c r="O1014" s="117">
        <f>IF(OR($M1014="",$M1014="NB"),"",IF($J1014&lt;&gt;"",TEXT($J1014,"00"),IFERROR(VLOOKUP(LEFT($N1014,4),LCTT_MAP!$A$7:$C$66,IF($M1014="THU",2,3),FALSE()),IFERROR(VLOOKUP(LEFT($N1014,3),LCTT_MAP!$A$7:$C$66,IF($M1014="THU",2,3),FALSE()),IFERROR(VLOOKUP(LEFT($N1014,2),LCTT_MAP!$A$7:$C$66,IF($M1014="THU",2,3),FALSE()),IFERROR(VLOOKUP(LEFT($N1014,1),LCTT_MAP!$A$7:$C$66,IF($M1014="THU",2,3),FALSE()),IF($M1014="THU","06","07")))))))</f>
        <v/>
      </c>
      <c r="P1014" s="117">
        <f>P1013+IF(AND($H1014&lt;&gt;"",OR(LEFT($F1014,LEN(SC_TK))=SC_TK,LEFT($G1014,LEN(SC_TK))=SC_TK)),1,0)</f>
        <v/>
      </c>
    </row>
    <row r="1015" ht="15" customHeight="1" s="78">
      <c r="A1015" s="95">
        <f>IF($H1015="","",ROW()-6)</f>
        <v/>
      </c>
      <c r="B1015" s="114" t="n"/>
      <c r="C1015" s="102" t="n"/>
      <c r="D1015" s="114" t="n"/>
      <c r="E1015" s="103" t="n"/>
      <c r="F1015" s="102" t="n"/>
      <c r="G1015" s="102" t="n"/>
      <c r="H1015" s="115" t="n"/>
      <c r="I1015" s="102" t="n"/>
      <c r="J1015" s="102" t="n"/>
      <c r="K1015" s="103" t="n"/>
      <c r="L1015" s="116">
        <f>IF($H1015="","",TRIM(IF(COUNTIF(DMTK!$A$7:$A$250,$F1015)=0,"TK Nợ sai! ","")&amp;IF(COUNTIF(DMTK!$A$7:$A$250,$G1015)=0,"TK Có sai! ","")&amp;IF(N($H1015)&lt;=0,"Tiền phải &gt; 0! ","")&amp;IF($B1015="","Thiếu ngày! ","")&amp;IF(AND(OR(LEFT($F1015,3)="131",LEFT($G1015,3)="131",LEFT($F1015,3)="331",LEFT($G1015,3)="331"),$I1015=""),"Thiếu Mã ĐT! ","")&amp;IF(AND($I1015&lt;&gt;"",COUNTIF(DM_DT!$A$7:$A$306,$I1015)=0),"Mã ĐT chưa khai báo! ","")))</f>
        <v/>
      </c>
      <c r="M1015" s="117">
        <f>IF($H1015="","",IF(AND(OR(LEFT($F1015,3)="111",LEFT($F1015,3)="112",LEFT($F1015,3)="113"),OR(LEFT($G1015,3)="111",LEFT($G1015,3)="112",LEFT($G1015,3)="113")),"NB",IF(OR(LEFT($F1015,3)="111",LEFT($F1015,3)="112",LEFT($F1015,3)="113"),"THU",IF(OR(LEFT($G1015,3)="111",LEFT($G1015,3)="112",LEFT($G1015,3)="113"),"CHI",""))))</f>
        <v/>
      </c>
      <c r="N1015" s="117">
        <f>IF($M1015="THU",$G1015,IF($M1015="CHI",$F1015,""))</f>
        <v/>
      </c>
      <c r="O1015" s="117">
        <f>IF(OR($M1015="",$M1015="NB"),"",IF($J1015&lt;&gt;"",TEXT($J1015,"00"),IFERROR(VLOOKUP(LEFT($N1015,4),LCTT_MAP!$A$7:$C$66,IF($M1015="THU",2,3),FALSE()),IFERROR(VLOOKUP(LEFT($N1015,3),LCTT_MAP!$A$7:$C$66,IF($M1015="THU",2,3),FALSE()),IFERROR(VLOOKUP(LEFT($N1015,2),LCTT_MAP!$A$7:$C$66,IF($M1015="THU",2,3),FALSE()),IFERROR(VLOOKUP(LEFT($N1015,1),LCTT_MAP!$A$7:$C$66,IF($M1015="THU",2,3),FALSE()),IF($M1015="THU","06","07")))))))</f>
        <v/>
      </c>
      <c r="P1015" s="117">
        <f>P1014+IF(AND($H1015&lt;&gt;"",OR(LEFT($F1015,LEN(SC_TK))=SC_TK,LEFT($G1015,LEN(SC_TK))=SC_TK)),1,0)</f>
        <v/>
      </c>
    </row>
    <row r="1016" ht="15" customHeight="1" s="78">
      <c r="A1016" s="95">
        <f>IF($H1016="","",ROW()-6)</f>
        <v/>
      </c>
      <c r="B1016" s="114" t="n"/>
      <c r="C1016" s="102" t="n"/>
      <c r="D1016" s="114" t="n"/>
      <c r="E1016" s="103" t="n"/>
      <c r="F1016" s="102" t="n"/>
      <c r="G1016" s="102" t="n"/>
      <c r="H1016" s="115" t="n"/>
      <c r="I1016" s="102" t="n"/>
      <c r="J1016" s="102" t="n"/>
      <c r="K1016" s="103" t="n"/>
      <c r="L1016" s="116">
        <f>IF($H1016="","",TRIM(IF(COUNTIF(DMTK!$A$7:$A$250,$F1016)=0,"TK Nợ sai! ","")&amp;IF(COUNTIF(DMTK!$A$7:$A$250,$G1016)=0,"TK Có sai! ","")&amp;IF(N($H1016)&lt;=0,"Tiền phải &gt; 0! ","")&amp;IF($B1016="","Thiếu ngày! ","")&amp;IF(AND(OR(LEFT($F1016,3)="131",LEFT($G1016,3)="131",LEFT($F1016,3)="331",LEFT($G1016,3)="331"),$I1016=""),"Thiếu Mã ĐT! ","")&amp;IF(AND($I1016&lt;&gt;"",COUNTIF(DM_DT!$A$7:$A$306,$I1016)=0),"Mã ĐT chưa khai báo! ","")))</f>
        <v/>
      </c>
      <c r="M1016" s="117">
        <f>IF($H1016="","",IF(AND(OR(LEFT($F1016,3)="111",LEFT($F1016,3)="112",LEFT($F1016,3)="113"),OR(LEFT($G1016,3)="111",LEFT($G1016,3)="112",LEFT($G1016,3)="113")),"NB",IF(OR(LEFT($F1016,3)="111",LEFT($F1016,3)="112",LEFT($F1016,3)="113"),"THU",IF(OR(LEFT($G1016,3)="111",LEFT($G1016,3)="112",LEFT($G1016,3)="113"),"CHI",""))))</f>
        <v/>
      </c>
      <c r="N1016" s="117">
        <f>IF($M1016="THU",$G1016,IF($M1016="CHI",$F1016,""))</f>
        <v/>
      </c>
      <c r="O1016" s="117">
        <f>IF(OR($M1016="",$M1016="NB"),"",IF($J1016&lt;&gt;"",TEXT($J1016,"00"),IFERROR(VLOOKUP(LEFT($N1016,4),LCTT_MAP!$A$7:$C$66,IF($M1016="THU",2,3),FALSE()),IFERROR(VLOOKUP(LEFT($N1016,3),LCTT_MAP!$A$7:$C$66,IF($M1016="THU",2,3),FALSE()),IFERROR(VLOOKUP(LEFT($N1016,2),LCTT_MAP!$A$7:$C$66,IF($M1016="THU",2,3),FALSE()),IFERROR(VLOOKUP(LEFT($N1016,1),LCTT_MAP!$A$7:$C$66,IF($M1016="THU",2,3),FALSE()),IF($M1016="THU","06","07")))))))</f>
        <v/>
      </c>
      <c r="P1016" s="117">
        <f>P1015+IF(AND($H1016&lt;&gt;"",OR(LEFT($F1016,LEN(SC_TK))=SC_TK,LEFT($G1016,LEN(SC_TK))=SC_TK)),1,0)</f>
        <v/>
      </c>
    </row>
    <row r="1017" ht="15" customHeight="1" s="78">
      <c r="A1017" s="95">
        <f>IF($H1017="","",ROW()-6)</f>
        <v/>
      </c>
      <c r="B1017" s="114" t="n"/>
      <c r="C1017" s="102" t="n"/>
      <c r="D1017" s="114" t="n"/>
      <c r="E1017" s="103" t="n"/>
      <c r="F1017" s="102" t="n"/>
      <c r="G1017" s="102" t="n"/>
      <c r="H1017" s="115" t="n"/>
      <c r="I1017" s="102" t="n"/>
      <c r="J1017" s="102" t="n"/>
      <c r="K1017" s="103" t="n"/>
      <c r="L1017" s="116">
        <f>IF($H1017="","",TRIM(IF(COUNTIF(DMTK!$A$7:$A$250,$F1017)=0,"TK Nợ sai! ","")&amp;IF(COUNTIF(DMTK!$A$7:$A$250,$G1017)=0,"TK Có sai! ","")&amp;IF(N($H1017)&lt;=0,"Tiền phải &gt; 0! ","")&amp;IF($B1017="","Thiếu ngày! ","")&amp;IF(AND(OR(LEFT($F1017,3)="131",LEFT($G1017,3)="131",LEFT($F1017,3)="331",LEFT($G1017,3)="331"),$I1017=""),"Thiếu Mã ĐT! ","")&amp;IF(AND($I1017&lt;&gt;"",COUNTIF(DM_DT!$A$7:$A$306,$I1017)=0),"Mã ĐT chưa khai báo! ","")))</f>
        <v/>
      </c>
      <c r="M1017" s="117">
        <f>IF($H1017="","",IF(AND(OR(LEFT($F1017,3)="111",LEFT($F1017,3)="112",LEFT($F1017,3)="113"),OR(LEFT($G1017,3)="111",LEFT($G1017,3)="112",LEFT($G1017,3)="113")),"NB",IF(OR(LEFT($F1017,3)="111",LEFT($F1017,3)="112",LEFT($F1017,3)="113"),"THU",IF(OR(LEFT($G1017,3)="111",LEFT($G1017,3)="112",LEFT($G1017,3)="113"),"CHI",""))))</f>
        <v/>
      </c>
      <c r="N1017" s="117">
        <f>IF($M1017="THU",$G1017,IF($M1017="CHI",$F1017,""))</f>
        <v/>
      </c>
      <c r="O1017" s="117">
        <f>IF(OR($M1017="",$M1017="NB"),"",IF($J1017&lt;&gt;"",TEXT($J1017,"00"),IFERROR(VLOOKUP(LEFT($N1017,4),LCTT_MAP!$A$7:$C$66,IF($M1017="THU",2,3),FALSE()),IFERROR(VLOOKUP(LEFT($N1017,3),LCTT_MAP!$A$7:$C$66,IF($M1017="THU",2,3),FALSE()),IFERROR(VLOOKUP(LEFT($N1017,2),LCTT_MAP!$A$7:$C$66,IF($M1017="THU",2,3),FALSE()),IFERROR(VLOOKUP(LEFT($N1017,1),LCTT_MAP!$A$7:$C$66,IF($M1017="THU",2,3),FALSE()),IF($M1017="THU","06","07")))))))</f>
        <v/>
      </c>
      <c r="P1017" s="117">
        <f>P1016+IF(AND($H1017&lt;&gt;"",OR(LEFT($F1017,LEN(SC_TK))=SC_TK,LEFT($G1017,LEN(SC_TK))=SC_TK)),1,0)</f>
        <v/>
      </c>
    </row>
    <row r="1018" ht="15" customHeight="1" s="78">
      <c r="A1018" s="95">
        <f>IF($H1018="","",ROW()-6)</f>
        <v/>
      </c>
      <c r="B1018" s="114" t="n"/>
      <c r="C1018" s="102" t="n"/>
      <c r="D1018" s="114" t="n"/>
      <c r="E1018" s="103" t="n"/>
      <c r="F1018" s="102" t="n"/>
      <c r="G1018" s="102" t="n"/>
      <c r="H1018" s="115" t="n"/>
      <c r="I1018" s="102" t="n"/>
      <c r="J1018" s="102" t="n"/>
      <c r="K1018" s="103" t="n"/>
      <c r="L1018" s="116">
        <f>IF($H1018="","",TRIM(IF(COUNTIF(DMTK!$A$7:$A$250,$F1018)=0,"TK Nợ sai! ","")&amp;IF(COUNTIF(DMTK!$A$7:$A$250,$G1018)=0,"TK Có sai! ","")&amp;IF(N($H1018)&lt;=0,"Tiền phải &gt; 0! ","")&amp;IF($B1018="","Thiếu ngày! ","")&amp;IF(AND(OR(LEFT($F1018,3)="131",LEFT($G1018,3)="131",LEFT($F1018,3)="331",LEFT($G1018,3)="331"),$I1018=""),"Thiếu Mã ĐT! ","")&amp;IF(AND($I1018&lt;&gt;"",COUNTIF(DM_DT!$A$7:$A$306,$I1018)=0),"Mã ĐT chưa khai báo! ","")))</f>
        <v/>
      </c>
      <c r="M1018" s="117">
        <f>IF($H1018="","",IF(AND(OR(LEFT($F1018,3)="111",LEFT($F1018,3)="112",LEFT($F1018,3)="113"),OR(LEFT($G1018,3)="111",LEFT($G1018,3)="112",LEFT($G1018,3)="113")),"NB",IF(OR(LEFT($F1018,3)="111",LEFT($F1018,3)="112",LEFT($F1018,3)="113"),"THU",IF(OR(LEFT($G1018,3)="111",LEFT($G1018,3)="112",LEFT($G1018,3)="113"),"CHI",""))))</f>
        <v/>
      </c>
      <c r="N1018" s="117">
        <f>IF($M1018="THU",$G1018,IF($M1018="CHI",$F1018,""))</f>
        <v/>
      </c>
      <c r="O1018" s="117">
        <f>IF(OR($M1018="",$M1018="NB"),"",IF($J1018&lt;&gt;"",TEXT($J1018,"00"),IFERROR(VLOOKUP(LEFT($N1018,4),LCTT_MAP!$A$7:$C$66,IF($M1018="THU",2,3),FALSE()),IFERROR(VLOOKUP(LEFT($N1018,3),LCTT_MAP!$A$7:$C$66,IF($M1018="THU",2,3),FALSE()),IFERROR(VLOOKUP(LEFT($N1018,2),LCTT_MAP!$A$7:$C$66,IF($M1018="THU",2,3),FALSE()),IFERROR(VLOOKUP(LEFT($N1018,1),LCTT_MAP!$A$7:$C$66,IF($M1018="THU",2,3),FALSE()),IF($M1018="THU","06","07")))))))</f>
        <v/>
      </c>
      <c r="P1018" s="117">
        <f>P1017+IF(AND($H1018&lt;&gt;"",OR(LEFT($F1018,LEN(SC_TK))=SC_TK,LEFT($G1018,LEN(SC_TK))=SC_TK)),1,0)</f>
        <v/>
      </c>
    </row>
    <row r="1019" ht="15" customHeight="1" s="78">
      <c r="A1019" s="95">
        <f>IF($H1019="","",ROW()-6)</f>
        <v/>
      </c>
      <c r="B1019" s="114" t="n"/>
      <c r="C1019" s="102" t="n"/>
      <c r="D1019" s="114" t="n"/>
      <c r="E1019" s="103" t="n"/>
      <c r="F1019" s="102" t="n"/>
      <c r="G1019" s="102" t="n"/>
      <c r="H1019" s="115" t="n"/>
      <c r="I1019" s="102" t="n"/>
      <c r="J1019" s="102" t="n"/>
      <c r="K1019" s="103" t="n"/>
      <c r="L1019" s="116">
        <f>IF($H1019="","",TRIM(IF(COUNTIF(DMTK!$A$7:$A$250,$F1019)=0,"TK Nợ sai! ","")&amp;IF(COUNTIF(DMTK!$A$7:$A$250,$G1019)=0,"TK Có sai! ","")&amp;IF(N($H1019)&lt;=0,"Tiền phải &gt; 0! ","")&amp;IF($B1019="","Thiếu ngày! ","")&amp;IF(AND(OR(LEFT($F1019,3)="131",LEFT($G1019,3)="131",LEFT($F1019,3)="331",LEFT($G1019,3)="331"),$I1019=""),"Thiếu Mã ĐT! ","")&amp;IF(AND($I1019&lt;&gt;"",COUNTIF(DM_DT!$A$7:$A$306,$I1019)=0),"Mã ĐT chưa khai báo! ","")))</f>
        <v/>
      </c>
      <c r="M1019" s="117">
        <f>IF($H1019="","",IF(AND(OR(LEFT($F1019,3)="111",LEFT($F1019,3)="112",LEFT($F1019,3)="113"),OR(LEFT($G1019,3)="111",LEFT($G1019,3)="112",LEFT($G1019,3)="113")),"NB",IF(OR(LEFT($F1019,3)="111",LEFT($F1019,3)="112",LEFT($F1019,3)="113"),"THU",IF(OR(LEFT($G1019,3)="111",LEFT($G1019,3)="112",LEFT($G1019,3)="113"),"CHI",""))))</f>
        <v/>
      </c>
      <c r="N1019" s="117">
        <f>IF($M1019="THU",$G1019,IF($M1019="CHI",$F1019,""))</f>
        <v/>
      </c>
      <c r="O1019" s="117">
        <f>IF(OR($M1019="",$M1019="NB"),"",IF($J1019&lt;&gt;"",TEXT($J1019,"00"),IFERROR(VLOOKUP(LEFT($N1019,4),LCTT_MAP!$A$7:$C$66,IF($M1019="THU",2,3),FALSE()),IFERROR(VLOOKUP(LEFT($N1019,3),LCTT_MAP!$A$7:$C$66,IF($M1019="THU",2,3),FALSE()),IFERROR(VLOOKUP(LEFT($N1019,2),LCTT_MAP!$A$7:$C$66,IF($M1019="THU",2,3),FALSE()),IFERROR(VLOOKUP(LEFT($N1019,1),LCTT_MAP!$A$7:$C$66,IF($M1019="THU",2,3),FALSE()),IF($M1019="THU","06","07")))))))</f>
        <v/>
      </c>
      <c r="P1019" s="117">
        <f>P1018+IF(AND($H1019&lt;&gt;"",OR(LEFT($F1019,LEN(SC_TK))=SC_TK,LEFT($G1019,LEN(SC_TK))=SC_TK)),1,0)</f>
        <v/>
      </c>
    </row>
    <row r="1020" ht="15" customHeight="1" s="78">
      <c r="A1020" s="95">
        <f>IF($H1020="","",ROW()-6)</f>
        <v/>
      </c>
      <c r="B1020" s="114" t="n"/>
      <c r="C1020" s="102" t="n"/>
      <c r="D1020" s="114" t="n"/>
      <c r="E1020" s="103" t="n"/>
      <c r="F1020" s="102" t="n"/>
      <c r="G1020" s="102" t="n"/>
      <c r="H1020" s="115" t="n"/>
      <c r="I1020" s="102" t="n"/>
      <c r="J1020" s="102" t="n"/>
      <c r="K1020" s="103" t="n"/>
      <c r="L1020" s="116">
        <f>IF($H1020="","",TRIM(IF(COUNTIF(DMTK!$A$7:$A$250,$F1020)=0,"TK Nợ sai! ","")&amp;IF(COUNTIF(DMTK!$A$7:$A$250,$G1020)=0,"TK Có sai! ","")&amp;IF(N($H1020)&lt;=0,"Tiền phải &gt; 0! ","")&amp;IF($B1020="","Thiếu ngày! ","")&amp;IF(AND(OR(LEFT($F1020,3)="131",LEFT($G1020,3)="131",LEFT($F1020,3)="331",LEFT($G1020,3)="331"),$I1020=""),"Thiếu Mã ĐT! ","")&amp;IF(AND($I1020&lt;&gt;"",COUNTIF(DM_DT!$A$7:$A$306,$I1020)=0),"Mã ĐT chưa khai báo! ","")))</f>
        <v/>
      </c>
      <c r="M1020" s="117">
        <f>IF($H1020="","",IF(AND(OR(LEFT($F1020,3)="111",LEFT($F1020,3)="112",LEFT($F1020,3)="113"),OR(LEFT($G1020,3)="111",LEFT($G1020,3)="112",LEFT($G1020,3)="113")),"NB",IF(OR(LEFT($F1020,3)="111",LEFT($F1020,3)="112",LEFT($F1020,3)="113"),"THU",IF(OR(LEFT($G1020,3)="111",LEFT($G1020,3)="112",LEFT($G1020,3)="113"),"CHI",""))))</f>
        <v/>
      </c>
      <c r="N1020" s="117">
        <f>IF($M1020="THU",$G1020,IF($M1020="CHI",$F1020,""))</f>
        <v/>
      </c>
      <c r="O1020" s="117">
        <f>IF(OR($M1020="",$M1020="NB"),"",IF($J1020&lt;&gt;"",TEXT($J1020,"00"),IFERROR(VLOOKUP(LEFT($N1020,4),LCTT_MAP!$A$7:$C$66,IF($M1020="THU",2,3),FALSE()),IFERROR(VLOOKUP(LEFT($N1020,3),LCTT_MAP!$A$7:$C$66,IF($M1020="THU",2,3),FALSE()),IFERROR(VLOOKUP(LEFT($N1020,2),LCTT_MAP!$A$7:$C$66,IF($M1020="THU",2,3),FALSE()),IFERROR(VLOOKUP(LEFT($N1020,1),LCTT_MAP!$A$7:$C$66,IF($M1020="THU",2,3),FALSE()),IF($M1020="THU","06","07")))))))</f>
        <v/>
      </c>
      <c r="P1020" s="117">
        <f>P1019+IF(AND($H1020&lt;&gt;"",OR(LEFT($F1020,LEN(SC_TK))=SC_TK,LEFT($G1020,LEN(SC_TK))=SC_TK)),1,0)</f>
        <v/>
      </c>
    </row>
    <row r="1021" ht="15" customHeight="1" s="78">
      <c r="A1021" s="95">
        <f>IF($H1021="","",ROW()-6)</f>
        <v/>
      </c>
      <c r="B1021" s="114" t="n"/>
      <c r="C1021" s="102" t="n"/>
      <c r="D1021" s="114" t="n"/>
      <c r="E1021" s="103" t="n"/>
      <c r="F1021" s="102" t="n"/>
      <c r="G1021" s="102" t="n"/>
      <c r="H1021" s="115" t="n"/>
      <c r="I1021" s="102" t="n"/>
      <c r="J1021" s="102" t="n"/>
      <c r="K1021" s="103" t="n"/>
      <c r="L1021" s="116">
        <f>IF($H1021="","",TRIM(IF(COUNTIF(DMTK!$A$7:$A$250,$F1021)=0,"TK Nợ sai! ","")&amp;IF(COUNTIF(DMTK!$A$7:$A$250,$G1021)=0,"TK Có sai! ","")&amp;IF(N($H1021)&lt;=0,"Tiền phải &gt; 0! ","")&amp;IF($B1021="","Thiếu ngày! ","")&amp;IF(AND(OR(LEFT($F1021,3)="131",LEFT($G1021,3)="131",LEFT($F1021,3)="331",LEFT($G1021,3)="331"),$I1021=""),"Thiếu Mã ĐT! ","")&amp;IF(AND($I1021&lt;&gt;"",COUNTIF(DM_DT!$A$7:$A$306,$I1021)=0),"Mã ĐT chưa khai báo! ","")))</f>
        <v/>
      </c>
      <c r="M1021" s="117">
        <f>IF($H1021="","",IF(AND(OR(LEFT($F1021,3)="111",LEFT($F1021,3)="112",LEFT($F1021,3)="113"),OR(LEFT($G1021,3)="111",LEFT($G1021,3)="112",LEFT($G1021,3)="113")),"NB",IF(OR(LEFT($F1021,3)="111",LEFT($F1021,3)="112",LEFT($F1021,3)="113"),"THU",IF(OR(LEFT($G1021,3)="111",LEFT($G1021,3)="112",LEFT($G1021,3)="113"),"CHI",""))))</f>
        <v/>
      </c>
      <c r="N1021" s="117">
        <f>IF($M1021="THU",$G1021,IF($M1021="CHI",$F1021,""))</f>
        <v/>
      </c>
      <c r="O1021" s="117">
        <f>IF(OR($M1021="",$M1021="NB"),"",IF($J1021&lt;&gt;"",TEXT($J1021,"00"),IFERROR(VLOOKUP(LEFT($N1021,4),LCTT_MAP!$A$7:$C$66,IF($M1021="THU",2,3),FALSE()),IFERROR(VLOOKUP(LEFT($N1021,3),LCTT_MAP!$A$7:$C$66,IF($M1021="THU",2,3),FALSE()),IFERROR(VLOOKUP(LEFT($N1021,2),LCTT_MAP!$A$7:$C$66,IF($M1021="THU",2,3),FALSE()),IFERROR(VLOOKUP(LEFT($N1021,1),LCTT_MAP!$A$7:$C$66,IF($M1021="THU",2,3),FALSE()),IF($M1021="THU","06","07")))))))</f>
        <v/>
      </c>
      <c r="P1021" s="117">
        <f>P1020+IF(AND($H1021&lt;&gt;"",OR(LEFT($F1021,LEN(SC_TK))=SC_TK,LEFT($G1021,LEN(SC_TK))=SC_TK)),1,0)</f>
        <v/>
      </c>
    </row>
    <row r="1022" ht="15" customHeight="1" s="78">
      <c r="A1022" s="95">
        <f>IF($H1022="","",ROW()-6)</f>
        <v/>
      </c>
      <c r="B1022" s="114" t="n"/>
      <c r="C1022" s="102" t="n"/>
      <c r="D1022" s="114" t="n"/>
      <c r="E1022" s="103" t="n"/>
      <c r="F1022" s="102" t="n"/>
      <c r="G1022" s="102" t="n"/>
      <c r="H1022" s="115" t="n"/>
      <c r="I1022" s="102" t="n"/>
      <c r="J1022" s="102" t="n"/>
      <c r="K1022" s="103" t="n"/>
      <c r="L1022" s="116">
        <f>IF($H1022="","",TRIM(IF(COUNTIF(DMTK!$A$7:$A$250,$F1022)=0,"TK Nợ sai! ","")&amp;IF(COUNTIF(DMTK!$A$7:$A$250,$G1022)=0,"TK Có sai! ","")&amp;IF(N($H1022)&lt;=0,"Tiền phải &gt; 0! ","")&amp;IF($B1022="","Thiếu ngày! ","")&amp;IF(AND(OR(LEFT($F1022,3)="131",LEFT($G1022,3)="131",LEFT($F1022,3)="331",LEFT($G1022,3)="331"),$I1022=""),"Thiếu Mã ĐT! ","")&amp;IF(AND($I1022&lt;&gt;"",COUNTIF(DM_DT!$A$7:$A$306,$I1022)=0),"Mã ĐT chưa khai báo! ","")))</f>
        <v/>
      </c>
      <c r="M1022" s="117">
        <f>IF($H1022="","",IF(AND(OR(LEFT($F1022,3)="111",LEFT($F1022,3)="112",LEFT($F1022,3)="113"),OR(LEFT($G1022,3)="111",LEFT($G1022,3)="112",LEFT($G1022,3)="113")),"NB",IF(OR(LEFT($F1022,3)="111",LEFT($F1022,3)="112",LEFT($F1022,3)="113"),"THU",IF(OR(LEFT($G1022,3)="111",LEFT($G1022,3)="112",LEFT($G1022,3)="113"),"CHI",""))))</f>
        <v/>
      </c>
      <c r="N1022" s="117">
        <f>IF($M1022="THU",$G1022,IF($M1022="CHI",$F1022,""))</f>
        <v/>
      </c>
      <c r="O1022" s="117">
        <f>IF(OR($M1022="",$M1022="NB"),"",IF($J1022&lt;&gt;"",TEXT($J1022,"00"),IFERROR(VLOOKUP(LEFT($N1022,4),LCTT_MAP!$A$7:$C$66,IF($M1022="THU",2,3),FALSE()),IFERROR(VLOOKUP(LEFT($N1022,3),LCTT_MAP!$A$7:$C$66,IF($M1022="THU",2,3),FALSE()),IFERROR(VLOOKUP(LEFT($N1022,2),LCTT_MAP!$A$7:$C$66,IF($M1022="THU",2,3),FALSE()),IFERROR(VLOOKUP(LEFT($N1022,1),LCTT_MAP!$A$7:$C$66,IF($M1022="THU",2,3),FALSE()),IF($M1022="THU","06","07")))))))</f>
        <v/>
      </c>
      <c r="P1022" s="117">
        <f>P1021+IF(AND($H1022&lt;&gt;"",OR(LEFT($F1022,LEN(SC_TK))=SC_TK,LEFT($G1022,LEN(SC_TK))=SC_TK)),1,0)</f>
        <v/>
      </c>
    </row>
    <row r="1023" ht="15" customHeight="1" s="78">
      <c r="A1023" s="95">
        <f>IF($H1023="","",ROW()-6)</f>
        <v/>
      </c>
      <c r="B1023" s="114" t="n"/>
      <c r="C1023" s="102" t="n"/>
      <c r="D1023" s="114" t="n"/>
      <c r="E1023" s="103" t="n"/>
      <c r="F1023" s="102" t="n"/>
      <c r="G1023" s="102" t="n"/>
      <c r="H1023" s="115" t="n"/>
      <c r="I1023" s="102" t="n"/>
      <c r="J1023" s="102" t="n"/>
      <c r="K1023" s="103" t="n"/>
      <c r="L1023" s="116">
        <f>IF($H1023="","",TRIM(IF(COUNTIF(DMTK!$A$7:$A$250,$F1023)=0,"TK Nợ sai! ","")&amp;IF(COUNTIF(DMTK!$A$7:$A$250,$G1023)=0,"TK Có sai! ","")&amp;IF(N($H1023)&lt;=0,"Tiền phải &gt; 0! ","")&amp;IF($B1023="","Thiếu ngày! ","")&amp;IF(AND(OR(LEFT($F1023,3)="131",LEFT($G1023,3)="131",LEFT($F1023,3)="331",LEFT($G1023,3)="331"),$I1023=""),"Thiếu Mã ĐT! ","")&amp;IF(AND($I1023&lt;&gt;"",COUNTIF(DM_DT!$A$7:$A$306,$I1023)=0),"Mã ĐT chưa khai báo! ","")))</f>
        <v/>
      </c>
      <c r="M1023" s="117">
        <f>IF($H1023="","",IF(AND(OR(LEFT($F1023,3)="111",LEFT($F1023,3)="112",LEFT($F1023,3)="113"),OR(LEFT($G1023,3)="111",LEFT($G1023,3)="112",LEFT($G1023,3)="113")),"NB",IF(OR(LEFT($F1023,3)="111",LEFT($F1023,3)="112",LEFT($F1023,3)="113"),"THU",IF(OR(LEFT($G1023,3)="111",LEFT($G1023,3)="112",LEFT($G1023,3)="113"),"CHI",""))))</f>
        <v/>
      </c>
      <c r="N1023" s="117">
        <f>IF($M1023="THU",$G1023,IF($M1023="CHI",$F1023,""))</f>
        <v/>
      </c>
      <c r="O1023" s="117">
        <f>IF(OR($M1023="",$M1023="NB"),"",IF($J1023&lt;&gt;"",TEXT($J1023,"00"),IFERROR(VLOOKUP(LEFT($N1023,4),LCTT_MAP!$A$7:$C$66,IF($M1023="THU",2,3),FALSE()),IFERROR(VLOOKUP(LEFT($N1023,3),LCTT_MAP!$A$7:$C$66,IF($M1023="THU",2,3),FALSE()),IFERROR(VLOOKUP(LEFT($N1023,2),LCTT_MAP!$A$7:$C$66,IF($M1023="THU",2,3),FALSE()),IFERROR(VLOOKUP(LEFT($N1023,1),LCTT_MAP!$A$7:$C$66,IF($M1023="THU",2,3),FALSE()),IF($M1023="THU","06","07")))))))</f>
        <v/>
      </c>
      <c r="P1023" s="117">
        <f>P1022+IF(AND($H1023&lt;&gt;"",OR(LEFT($F1023,LEN(SC_TK))=SC_TK,LEFT($G1023,LEN(SC_TK))=SC_TK)),1,0)</f>
        <v/>
      </c>
    </row>
    <row r="1024" ht="15" customHeight="1" s="78">
      <c r="A1024" s="95">
        <f>IF($H1024="","",ROW()-6)</f>
        <v/>
      </c>
      <c r="B1024" s="114" t="n"/>
      <c r="C1024" s="102" t="n"/>
      <c r="D1024" s="114" t="n"/>
      <c r="E1024" s="103" t="n"/>
      <c r="F1024" s="102" t="n"/>
      <c r="G1024" s="102" t="n"/>
      <c r="H1024" s="115" t="n"/>
      <c r="I1024" s="102" t="n"/>
      <c r="J1024" s="102" t="n"/>
      <c r="K1024" s="103" t="n"/>
      <c r="L1024" s="116">
        <f>IF($H1024="","",TRIM(IF(COUNTIF(DMTK!$A$7:$A$250,$F1024)=0,"TK Nợ sai! ","")&amp;IF(COUNTIF(DMTK!$A$7:$A$250,$G1024)=0,"TK Có sai! ","")&amp;IF(N($H1024)&lt;=0,"Tiền phải &gt; 0! ","")&amp;IF($B1024="","Thiếu ngày! ","")&amp;IF(AND(OR(LEFT($F1024,3)="131",LEFT($G1024,3)="131",LEFT($F1024,3)="331",LEFT($G1024,3)="331"),$I1024=""),"Thiếu Mã ĐT! ","")&amp;IF(AND($I1024&lt;&gt;"",COUNTIF(DM_DT!$A$7:$A$306,$I1024)=0),"Mã ĐT chưa khai báo! ","")))</f>
        <v/>
      </c>
      <c r="M1024" s="117">
        <f>IF($H1024="","",IF(AND(OR(LEFT($F1024,3)="111",LEFT($F1024,3)="112",LEFT($F1024,3)="113"),OR(LEFT($G1024,3)="111",LEFT($G1024,3)="112",LEFT($G1024,3)="113")),"NB",IF(OR(LEFT($F1024,3)="111",LEFT($F1024,3)="112",LEFT($F1024,3)="113"),"THU",IF(OR(LEFT($G1024,3)="111",LEFT($G1024,3)="112",LEFT($G1024,3)="113"),"CHI",""))))</f>
        <v/>
      </c>
      <c r="N1024" s="117">
        <f>IF($M1024="THU",$G1024,IF($M1024="CHI",$F1024,""))</f>
        <v/>
      </c>
      <c r="O1024" s="117">
        <f>IF(OR($M1024="",$M1024="NB"),"",IF($J1024&lt;&gt;"",TEXT($J1024,"00"),IFERROR(VLOOKUP(LEFT($N1024,4),LCTT_MAP!$A$7:$C$66,IF($M1024="THU",2,3),FALSE()),IFERROR(VLOOKUP(LEFT($N1024,3),LCTT_MAP!$A$7:$C$66,IF($M1024="THU",2,3),FALSE()),IFERROR(VLOOKUP(LEFT($N1024,2),LCTT_MAP!$A$7:$C$66,IF($M1024="THU",2,3),FALSE()),IFERROR(VLOOKUP(LEFT($N1024,1),LCTT_MAP!$A$7:$C$66,IF($M1024="THU",2,3),FALSE()),IF($M1024="THU","06","07")))))))</f>
        <v/>
      </c>
      <c r="P1024" s="117">
        <f>P1023+IF(AND($H1024&lt;&gt;"",OR(LEFT($F1024,LEN(SC_TK))=SC_TK,LEFT($G1024,LEN(SC_TK))=SC_TK)),1,0)</f>
        <v/>
      </c>
    </row>
    <row r="1025" ht="15" customHeight="1" s="78">
      <c r="A1025" s="95">
        <f>IF($H1025="","",ROW()-6)</f>
        <v/>
      </c>
      <c r="B1025" s="114" t="n"/>
      <c r="C1025" s="102" t="n"/>
      <c r="D1025" s="114" t="n"/>
      <c r="E1025" s="103" t="n"/>
      <c r="F1025" s="102" t="n"/>
      <c r="G1025" s="102" t="n"/>
      <c r="H1025" s="115" t="n"/>
      <c r="I1025" s="102" t="n"/>
      <c r="J1025" s="102" t="n"/>
      <c r="K1025" s="103" t="n"/>
      <c r="L1025" s="116">
        <f>IF($H1025="","",TRIM(IF(COUNTIF(DMTK!$A$7:$A$250,$F1025)=0,"TK Nợ sai! ","")&amp;IF(COUNTIF(DMTK!$A$7:$A$250,$G1025)=0,"TK Có sai! ","")&amp;IF(N($H1025)&lt;=0,"Tiền phải &gt; 0! ","")&amp;IF($B1025="","Thiếu ngày! ","")&amp;IF(AND(OR(LEFT($F1025,3)="131",LEFT($G1025,3)="131",LEFT($F1025,3)="331",LEFT($G1025,3)="331"),$I1025=""),"Thiếu Mã ĐT! ","")&amp;IF(AND($I1025&lt;&gt;"",COUNTIF(DM_DT!$A$7:$A$306,$I1025)=0),"Mã ĐT chưa khai báo! ","")))</f>
        <v/>
      </c>
      <c r="M1025" s="117">
        <f>IF($H1025="","",IF(AND(OR(LEFT($F1025,3)="111",LEFT($F1025,3)="112",LEFT($F1025,3)="113"),OR(LEFT($G1025,3)="111",LEFT($G1025,3)="112",LEFT($G1025,3)="113")),"NB",IF(OR(LEFT($F1025,3)="111",LEFT($F1025,3)="112",LEFT($F1025,3)="113"),"THU",IF(OR(LEFT($G1025,3)="111",LEFT($G1025,3)="112",LEFT($G1025,3)="113"),"CHI",""))))</f>
        <v/>
      </c>
      <c r="N1025" s="117">
        <f>IF($M1025="THU",$G1025,IF($M1025="CHI",$F1025,""))</f>
        <v/>
      </c>
      <c r="O1025" s="117">
        <f>IF(OR($M1025="",$M1025="NB"),"",IF($J1025&lt;&gt;"",TEXT($J1025,"00"),IFERROR(VLOOKUP(LEFT($N1025,4),LCTT_MAP!$A$7:$C$66,IF($M1025="THU",2,3),FALSE()),IFERROR(VLOOKUP(LEFT($N1025,3),LCTT_MAP!$A$7:$C$66,IF($M1025="THU",2,3),FALSE()),IFERROR(VLOOKUP(LEFT($N1025,2),LCTT_MAP!$A$7:$C$66,IF($M1025="THU",2,3),FALSE()),IFERROR(VLOOKUP(LEFT($N1025,1),LCTT_MAP!$A$7:$C$66,IF($M1025="THU",2,3),FALSE()),IF($M1025="THU","06","07")))))))</f>
        <v/>
      </c>
      <c r="P1025" s="117">
        <f>P1024+IF(AND($H1025&lt;&gt;"",OR(LEFT($F1025,LEN(SC_TK))=SC_TK,LEFT($G1025,LEN(SC_TK))=SC_TK)),1,0)</f>
        <v/>
      </c>
    </row>
    <row r="1026" ht="15" customHeight="1" s="78">
      <c r="A1026" s="95">
        <f>IF($H1026="","",ROW()-6)</f>
        <v/>
      </c>
      <c r="B1026" s="114" t="n"/>
      <c r="C1026" s="102" t="n"/>
      <c r="D1026" s="114" t="n"/>
      <c r="E1026" s="103" t="n"/>
      <c r="F1026" s="102" t="n"/>
      <c r="G1026" s="102" t="n"/>
      <c r="H1026" s="115" t="n"/>
      <c r="I1026" s="102" t="n"/>
      <c r="J1026" s="102" t="n"/>
      <c r="K1026" s="103" t="n"/>
      <c r="L1026" s="116">
        <f>IF($H1026="","",TRIM(IF(COUNTIF(DMTK!$A$7:$A$250,$F1026)=0,"TK Nợ sai! ","")&amp;IF(COUNTIF(DMTK!$A$7:$A$250,$G1026)=0,"TK Có sai! ","")&amp;IF(N($H1026)&lt;=0,"Tiền phải &gt; 0! ","")&amp;IF($B1026="","Thiếu ngày! ","")&amp;IF(AND(OR(LEFT($F1026,3)="131",LEFT($G1026,3)="131",LEFT($F1026,3)="331",LEFT($G1026,3)="331"),$I1026=""),"Thiếu Mã ĐT! ","")&amp;IF(AND($I1026&lt;&gt;"",COUNTIF(DM_DT!$A$7:$A$306,$I1026)=0),"Mã ĐT chưa khai báo! ","")))</f>
        <v/>
      </c>
      <c r="M1026" s="117">
        <f>IF($H1026="","",IF(AND(OR(LEFT($F1026,3)="111",LEFT($F1026,3)="112",LEFT($F1026,3)="113"),OR(LEFT($G1026,3)="111",LEFT($G1026,3)="112",LEFT($G1026,3)="113")),"NB",IF(OR(LEFT($F1026,3)="111",LEFT($F1026,3)="112",LEFT($F1026,3)="113"),"THU",IF(OR(LEFT($G1026,3)="111",LEFT($G1026,3)="112",LEFT($G1026,3)="113"),"CHI",""))))</f>
        <v/>
      </c>
      <c r="N1026" s="117">
        <f>IF($M1026="THU",$G1026,IF($M1026="CHI",$F1026,""))</f>
        <v/>
      </c>
      <c r="O1026" s="117">
        <f>IF(OR($M1026="",$M1026="NB"),"",IF($J1026&lt;&gt;"",TEXT($J1026,"00"),IFERROR(VLOOKUP(LEFT($N1026,4),LCTT_MAP!$A$7:$C$66,IF($M1026="THU",2,3),FALSE()),IFERROR(VLOOKUP(LEFT($N1026,3),LCTT_MAP!$A$7:$C$66,IF($M1026="THU",2,3),FALSE()),IFERROR(VLOOKUP(LEFT($N1026,2),LCTT_MAP!$A$7:$C$66,IF($M1026="THU",2,3),FALSE()),IFERROR(VLOOKUP(LEFT($N1026,1),LCTT_MAP!$A$7:$C$66,IF($M1026="THU",2,3),FALSE()),IF($M1026="THU","06","07")))))))</f>
        <v/>
      </c>
      <c r="P1026" s="117">
        <f>P1025+IF(AND($H1026&lt;&gt;"",OR(LEFT($F1026,LEN(SC_TK))=SC_TK,LEFT($G1026,LEN(SC_TK))=SC_TK)),1,0)</f>
        <v/>
      </c>
    </row>
    <row r="1027" ht="15" customHeight="1" s="78">
      <c r="A1027" s="95">
        <f>IF($H1027="","",ROW()-6)</f>
        <v/>
      </c>
      <c r="B1027" s="114" t="n"/>
      <c r="C1027" s="102" t="n"/>
      <c r="D1027" s="114" t="n"/>
      <c r="E1027" s="103" t="n"/>
      <c r="F1027" s="102" t="n"/>
      <c r="G1027" s="102" t="n"/>
      <c r="H1027" s="115" t="n"/>
      <c r="I1027" s="102" t="n"/>
      <c r="J1027" s="102" t="n"/>
      <c r="K1027" s="103" t="n"/>
      <c r="L1027" s="116">
        <f>IF($H1027="","",TRIM(IF(COUNTIF(DMTK!$A$7:$A$250,$F1027)=0,"TK Nợ sai! ","")&amp;IF(COUNTIF(DMTK!$A$7:$A$250,$G1027)=0,"TK Có sai! ","")&amp;IF(N($H1027)&lt;=0,"Tiền phải &gt; 0! ","")&amp;IF($B1027="","Thiếu ngày! ","")&amp;IF(AND(OR(LEFT($F1027,3)="131",LEFT($G1027,3)="131",LEFT($F1027,3)="331",LEFT($G1027,3)="331"),$I1027=""),"Thiếu Mã ĐT! ","")&amp;IF(AND($I1027&lt;&gt;"",COUNTIF(DM_DT!$A$7:$A$306,$I1027)=0),"Mã ĐT chưa khai báo! ","")))</f>
        <v/>
      </c>
      <c r="M1027" s="117">
        <f>IF($H1027="","",IF(AND(OR(LEFT($F1027,3)="111",LEFT($F1027,3)="112",LEFT($F1027,3)="113"),OR(LEFT($G1027,3)="111",LEFT($G1027,3)="112",LEFT($G1027,3)="113")),"NB",IF(OR(LEFT($F1027,3)="111",LEFT($F1027,3)="112",LEFT($F1027,3)="113"),"THU",IF(OR(LEFT($G1027,3)="111",LEFT($G1027,3)="112",LEFT($G1027,3)="113"),"CHI",""))))</f>
        <v/>
      </c>
      <c r="N1027" s="117">
        <f>IF($M1027="THU",$G1027,IF($M1027="CHI",$F1027,""))</f>
        <v/>
      </c>
      <c r="O1027" s="117">
        <f>IF(OR($M1027="",$M1027="NB"),"",IF($J1027&lt;&gt;"",TEXT($J1027,"00"),IFERROR(VLOOKUP(LEFT($N1027,4),LCTT_MAP!$A$7:$C$66,IF($M1027="THU",2,3),FALSE()),IFERROR(VLOOKUP(LEFT($N1027,3),LCTT_MAP!$A$7:$C$66,IF($M1027="THU",2,3),FALSE()),IFERROR(VLOOKUP(LEFT($N1027,2),LCTT_MAP!$A$7:$C$66,IF($M1027="THU",2,3),FALSE()),IFERROR(VLOOKUP(LEFT($N1027,1),LCTT_MAP!$A$7:$C$66,IF($M1027="THU",2,3),FALSE()),IF($M1027="THU","06","07")))))))</f>
        <v/>
      </c>
      <c r="P1027" s="117">
        <f>P1026+IF(AND($H1027&lt;&gt;"",OR(LEFT($F1027,LEN(SC_TK))=SC_TK,LEFT($G1027,LEN(SC_TK))=SC_TK)),1,0)</f>
        <v/>
      </c>
    </row>
    <row r="1028" ht="15" customHeight="1" s="78">
      <c r="A1028" s="95">
        <f>IF($H1028="","",ROW()-6)</f>
        <v/>
      </c>
      <c r="B1028" s="114" t="n"/>
      <c r="C1028" s="102" t="n"/>
      <c r="D1028" s="114" t="n"/>
      <c r="E1028" s="103" t="n"/>
      <c r="F1028" s="102" t="n"/>
      <c r="G1028" s="102" t="n"/>
      <c r="H1028" s="115" t="n"/>
      <c r="I1028" s="102" t="n"/>
      <c r="J1028" s="102" t="n"/>
      <c r="K1028" s="103" t="n"/>
      <c r="L1028" s="116">
        <f>IF($H1028="","",TRIM(IF(COUNTIF(DMTK!$A$7:$A$250,$F1028)=0,"TK Nợ sai! ","")&amp;IF(COUNTIF(DMTK!$A$7:$A$250,$G1028)=0,"TK Có sai! ","")&amp;IF(N($H1028)&lt;=0,"Tiền phải &gt; 0! ","")&amp;IF($B1028="","Thiếu ngày! ","")&amp;IF(AND(OR(LEFT($F1028,3)="131",LEFT($G1028,3)="131",LEFT($F1028,3)="331",LEFT($G1028,3)="331"),$I1028=""),"Thiếu Mã ĐT! ","")&amp;IF(AND($I1028&lt;&gt;"",COUNTIF(DM_DT!$A$7:$A$306,$I1028)=0),"Mã ĐT chưa khai báo! ","")))</f>
        <v/>
      </c>
      <c r="M1028" s="117">
        <f>IF($H1028="","",IF(AND(OR(LEFT($F1028,3)="111",LEFT($F1028,3)="112",LEFT($F1028,3)="113"),OR(LEFT($G1028,3)="111",LEFT($G1028,3)="112",LEFT($G1028,3)="113")),"NB",IF(OR(LEFT($F1028,3)="111",LEFT($F1028,3)="112",LEFT($F1028,3)="113"),"THU",IF(OR(LEFT($G1028,3)="111",LEFT($G1028,3)="112",LEFT($G1028,3)="113"),"CHI",""))))</f>
        <v/>
      </c>
      <c r="N1028" s="117">
        <f>IF($M1028="THU",$G1028,IF($M1028="CHI",$F1028,""))</f>
        <v/>
      </c>
      <c r="O1028" s="117">
        <f>IF(OR($M1028="",$M1028="NB"),"",IF($J1028&lt;&gt;"",TEXT($J1028,"00"),IFERROR(VLOOKUP(LEFT($N1028,4),LCTT_MAP!$A$7:$C$66,IF($M1028="THU",2,3),FALSE()),IFERROR(VLOOKUP(LEFT($N1028,3),LCTT_MAP!$A$7:$C$66,IF($M1028="THU",2,3),FALSE()),IFERROR(VLOOKUP(LEFT($N1028,2),LCTT_MAP!$A$7:$C$66,IF($M1028="THU",2,3),FALSE()),IFERROR(VLOOKUP(LEFT($N1028,1),LCTT_MAP!$A$7:$C$66,IF($M1028="THU",2,3),FALSE()),IF($M1028="THU","06","07")))))))</f>
        <v/>
      </c>
      <c r="P1028" s="117">
        <f>P1027+IF(AND($H1028&lt;&gt;"",OR(LEFT($F1028,LEN(SC_TK))=SC_TK,LEFT($G1028,LEN(SC_TK))=SC_TK)),1,0)</f>
        <v/>
      </c>
    </row>
    <row r="1029" ht="15" customHeight="1" s="78">
      <c r="A1029" s="95">
        <f>IF($H1029="","",ROW()-6)</f>
        <v/>
      </c>
      <c r="B1029" s="114" t="n"/>
      <c r="C1029" s="102" t="n"/>
      <c r="D1029" s="114" t="n"/>
      <c r="E1029" s="103" t="n"/>
      <c r="F1029" s="102" t="n"/>
      <c r="G1029" s="102" t="n"/>
      <c r="H1029" s="115" t="n"/>
      <c r="I1029" s="102" t="n"/>
      <c r="J1029" s="102" t="n"/>
      <c r="K1029" s="103" t="n"/>
      <c r="L1029" s="116">
        <f>IF($H1029="","",TRIM(IF(COUNTIF(DMTK!$A$7:$A$250,$F1029)=0,"TK Nợ sai! ","")&amp;IF(COUNTIF(DMTK!$A$7:$A$250,$G1029)=0,"TK Có sai! ","")&amp;IF(N($H1029)&lt;=0,"Tiền phải &gt; 0! ","")&amp;IF($B1029="","Thiếu ngày! ","")&amp;IF(AND(OR(LEFT($F1029,3)="131",LEFT($G1029,3)="131",LEFT($F1029,3)="331",LEFT($G1029,3)="331"),$I1029=""),"Thiếu Mã ĐT! ","")&amp;IF(AND($I1029&lt;&gt;"",COUNTIF(DM_DT!$A$7:$A$306,$I1029)=0),"Mã ĐT chưa khai báo! ","")))</f>
        <v/>
      </c>
      <c r="M1029" s="117">
        <f>IF($H1029="","",IF(AND(OR(LEFT($F1029,3)="111",LEFT($F1029,3)="112",LEFT($F1029,3)="113"),OR(LEFT($G1029,3)="111",LEFT($G1029,3)="112",LEFT($G1029,3)="113")),"NB",IF(OR(LEFT($F1029,3)="111",LEFT($F1029,3)="112",LEFT($F1029,3)="113"),"THU",IF(OR(LEFT($G1029,3)="111",LEFT($G1029,3)="112",LEFT($G1029,3)="113"),"CHI",""))))</f>
        <v/>
      </c>
      <c r="N1029" s="117">
        <f>IF($M1029="THU",$G1029,IF($M1029="CHI",$F1029,""))</f>
        <v/>
      </c>
      <c r="O1029" s="117">
        <f>IF(OR($M1029="",$M1029="NB"),"",IF($J1029&lt;&gt;"",TEXT($J1029,"00"),IFERROR(VLOOKUP(LEFT($N1029,4),LCTT_MAP!$A$7:$C$66,IF($M1029="THU",2,3),FALSE()),IFERROR(VLOOKUP(LEFT($N1029,3),LCTT_MAP!$A$7:$C$66,IF($M1029="THU",2,3),FALSE()),IFERROR(VLOOKUP(LEFT($N1029,2),LCTT_MAP!$A$7:$C$66,IF($M1029="THU",2,3),FALSE()),IFERROR(VLOOKUP(LEFT($N1029,1),LCTT_MAP!$A$7:$C$66,IF($M1029="THU",2,3),FALSE()),IF($M1029="THU","06","07")))))))</f>
        <v/>
      </c>
      <c r="P1029" s="117">
        <f>P1028+IF(AND($H1029&lt;&gt;"",OR(LEFT($F1029,LEN(SC_TK))=SC_TK,LEFT($G1029,LEN(SC_TK))=SC_TK)),1,0)</f>
        <v/>
      </c>
    </row>
    <row r="1030" ht="15" customHeight="1" s="78">
      <c r="A1030" s="95">
        <f>IF($H1030="","",ROW()-6)</f>
        <v/>
      </c>
      <c r="B1030" s="114" t="n"/>
      <c r="C1030" s="102" t="n"/>
      <c r="D1030" s="114" t="n"/>
      <c r="E1030" s="103" t="n"/>
      <c r="F1030" s="102" t="n"/>
      <c r="G1030" s="102" t="n"/>
      <c r="H1030" s="115" t="n"/>
      <c r="I1030" s="102" t="n"/>
      <c r="J1030" s="102" t="n"/>
      <c r="K1030" s="103" t="n"/>
      <c r="L1030" s="116">
        <f>IF($H1030="","",TRIM(IF(COUNTIF(DMTK!$A$7:$A$250,$F1030)=0,"TK Nợ sai! ","")&amp;IF(COUNTIF(DMTK!$A$7:$A$250,$G1030)=0,"TK Có sai! ","")&amp;IF(N($H1030)&lt;=0,"Tiền phải &gt; 0! ","")&amp;IF($B1030="","Thiếu ngày! ","")&amp;IF(AND(OR(LEFT($F1030,3)="131",LEFT($G1030,3)="131",LEFT($F1030,3)="331",LEFT($G1030,3)="331"),$I1030=""),"Thiếu Mã ĐT! ","")&amp;IF(AND($I1030&lt;&gt;"",COUNTIF(DM_DT!$A$7:$A$306,$I1030)=0),"Mã ĐT chưa khai báo! ","")))</f>
        <v/>
      </c>
      <c r="M1030" s="117">
        <f>IF($H1030="","",IF(AND(OR(LEFT($F1030,3)="111",LEFT($F1030,3)="112",LEFT($F1030,3)="113"),OR(LEFT($G1030,3)="111",LEFT($G1030,3)="112",LEFT($G1030,3)="113")),"NB",IF(OR(LEFT($F1030,3)="111",LEFT($F1030,3)="112",LEFT($F1030,3)="113"),"THU",IF(OR(LEFT($G1030,3)="111",LEFT($G1030,3)="112",LEFT($G1030,3)="113"),"CHI",""))))</f>
        <v/>
      </c>
      <c r="N1030" s="117">
        <f>IF($M1030="THU",$G1030,IF($M1030="CHI",$F1030,""))</f>
        <v/>
      </c>
      <c r="O1030" s="117">
        <f>IF(OR($M1030="",$M1030="NB"),"",IF($J1030&lt;&gt;"",TEXT($J1030,"00"),IFERROR(VLOOKUP(LEFT($N1030,4),LCTT_MAP!$A$7:$C$66,IF($M1030="THU",2,3),FALSE()),IFERROR(VLOOKUP(LEFT($N1030,3),LCTT_MAP!$A$7:$C$66,IF($M1030="THU",2,3),FALSE()),IFERROR(VLOOKUP(LEFT($N1030,2),LCTT_MAP!$A$7:$C$66,IF($M1030="THU",2,3),FALSE()),IFERROR(VLOOKUP(LEFT($N1030,1),LCTT_MAP!$A$7:$C$66,IF($M1030="THU",2,3),FALSE()),IF($M1030="THU","06","07")))))))</f>
        <v/>
      </c>
      <c r="P1030" s="117">
        <f>P1029+IF(AND($H1030&lt;&gt;"",OR(LEFT($F1030,LEN(SC_TK))=SC_TK,LEFT($G1030,LEN(SC_TK))=SC_TK)),1,0)</f>
        <v/>
      </c>
    </row>
    <row r="1031" ht="15" customHeight="1" s="78">
      <c r="A1031" s="95">
        <f>IF($H1031="","",ROW()-6)</f>
        <v/>
      </c>
      <c r="B1031" s="114" t="n"/>
      <c r="C1031" s="102" t="n"/>
      <c r="D1031" s="114" t="n"/>
      <c r="E1031" s="103" t="n"/>
      <c r="F1031" s="102" t="n"/>
      <c r="G1031" s="102" t="n"/>
      <c r="H1031" s="115" t="n"/>
      <c r="I1031" s="102" t="n"/>
      <c r="J1031" s="102" t="n"/>
      <c r="K1031" s="103" t="n"/>
      <c r="L1031" s="116">
        <f>IF($H1031="","",TRIM(IF(COUNTIF(DMTK!$A$7:$A$250,$F1031)=0,"TK Nợ sai! ","")&amp;IF(COUNTIF(DMTK!$A$7:$A$250,$G1031)=0,"TK Có sai! ","")&amp;IF(N($H1031)&lt;=0,"Tiền phải &gt; 0! ","")&amp;IF($B1031="","Thiếu ngày! ","")&amp;IF(AND(OR(LEFT($F1031,3)="131",LEFT($G1031,3)="131",LEFT($F1031,3)="331",LEFT($G1031,3)="331"),$I1031=""),"Thiếu Mã ĐT! ","")&amp;IF(AND($I1031&lt;&gt;"",COUNTIF(DM_DT!$A$7:$A$306,$I1031)=0),"Mã ĐT chưa khai báo! ","")))</f>
        <v/>
      </c>
      <c r="M1031" s="117">
        <f>IF($H1031="","",IF(AND(OR(LEFT($F1031,3)="111",LEFT($F1031,3)="112",LEFT($F1031,3)="113"),OR(LEFT($G1031,3)="111",LEFT($G1031,3)="112",LEFT($G1031,3)="113")),"NB",IF(OR(LEFT($F1031,3)="111",LEFT($F1031,3)="112",LEFT($F1031,3)="113"),"THU",IF(OR(LEFT($G1031,3)="111",LEFT($G1031,3)="112",LEFT($G1031,3)="113"),"CHI",""))))</f>
        <v/>
      </c>
      <c r="N1031" s="117">
        <f>IF($M1031="THU",$G1031,IF($M1031="CHI",$F1031,""))</f>
        <v/>
      </c>
      <c r="O1031" s="117">
        <f>IF(OR($M1031="",$M1031="NB"),"",IF($J1031&lt;&gt;"",TEXT($J1031,"00"),IFERROR(VLOOKUP(LEFT($N1031,4),LCTT_MAP!$A$7:$C$66,IF($M1031="THU",2,3),FALSE()),IFERROR(VLOOKUP(LEFT($N1031,3),LCTT_MAP!$A$7:$C$66,IF($M1031="THU",2,3),FALSE()),IFERROR(VLOOKUP(LEFT($N1031,2),LCTT_MAP!$A$7:$C$66,IF($M1031="THU",2,3),FALSE()),IFERROR(VLOOKUP(LEFT($N1031,1),LCTT_MAP!$A$7:$C$66,IF($M1031="THU",2,3),FALSE()),IF($M1031="THU","06","07")))))))</f>
        <v/>
      </c>
      <c r="P1031" s="117">
        <f>P1030+IF(AND($H1031&lt;&gt;"",OR(LEFT($F1031,LEN(SC_TK))=SC_TK,LEFT($G1031,LEN(SC_TK))=SC_TK)),1,0)</f>
        <v/>
      </c>
    </row>
    <row r="1032" ht="15" customHeight="1" s="78">
      <c r="A1032" s="95">
        <f>IF($H1032="","",ROW()-6)</f>
        <v/>
      </c>
      <c r="B1032" s="114" t="n"/>
      <c r="C1032" s="102" t="n"/>
      <c r="D1032" s="114" t="n"/>
      <c r="E1032" s="103" t="n"/>
      <c r="F1032" s="102" t="n"/>
      <c r="G1032" s="102" t="n"/>
      <c r="H1032" s="115" t="n"/>
      <c r="I1032" s="102" t="n"/>
      <c r="J1032" s="102" t="n"/>
      <c r="K1032" s="103" t="n"/>
      <c r="L1032" s="116">
        <f>IF($H1032="","",TRIM(IF(COUNTIF(DMTK!$A$7:$A$250,$F1032)=0,"TK Nợ sai! ","")&amp;IF(COUNTIF(DMTK!$A$7:$A$250,$G1032)=0,"TK Có sai! ","")&amp;IF(N($H1032)&lt;=0,"Tiền phải &gt; 0! ","")&amp;IF($B1032="","Thiếu ngày! ","")&amp;IF(AND(OR(LEFT($F1032,3)="131",LEFT($G1032,3)="131",LEFT($F1032,3)="331",LEFT($G1032,3)="331"),$I1032=""),"Thiếu Mã ĐT! ","")&amp;IF(AND($I1032&lt;&gt;"",COUNTIF(DM_DT!$A$7:$A$306,$I1032)=0),"Mã ĐT chưa khai báo! ","")))</f>
        <v/>
      </c>
      <c r="M1032" s="117">
        <f>IF($H1032="","",IF(AND(OR(LEFT($F1032,3)="111",LEFT($F1032,3)="112",LEFT($F1032,3)="113"),OR(LEFT($G1032,3)="111",LEFT($G1032,3)="112",LEFT($G1032,3)="113")),"NB",IF(OR(LEFT($F1032,3)="111",LEFT($F1032,3)="112",LEFT($F1032,3)="113"),"THU",IF(OR(LEFT($G1032,3)="111",LEFT($G1032,3)="112",LEFT($G1032,3)="113"),"CHI",""))))</f>
        <v/>
      </c>
      <c r="N1032" s="117">
        <f>IF($M1032="THU",$G1032,IF($M1032="CHI",$F1032,""))</f>
        <v/>
      </c>
      <c r="O1032" s="117">
        <f>IF(OR($M1032="",$M1032="NB"),"",IF($J1032&lt;&gt;"",TEXT($J1032,"00"),IFERROR(VLOOKUP(LEFT($N1032,4),LCTT_MAP!$A$7:$C$66,IF($M1032="THU",2,3),FALSE()),IFERROR(VLOOKUP(LEFT($N1032,3),LCTT_MAP!$A$7:$C$66,IF($M1032="THU",2,3),FALSE()),IFERROR(VLOOKUP(LEFT($N1032,2),LCTT_MAP!$A$7:$C$66,IF($M1032="THU",2,3),FALSE()),IFERROR(VLOOKUP(LEFT($N1032,1),LCTT_MAP!$A$7:$C$66,IF($M1032="THU",2,3),FALSE()),IF($M1032="THU","06","07")))))))</f>
        <v/>
      </c>
      <c r="P1032" s="117">
        <f>P1031+IF(AND($H1032&lt;&gt;"",OR(LEFT($F1032,LEN(SC_TK))=SC_TK,LEFT($G1032,LEN(SC_TK))=SC_TK)),1,0)</f>
        <v/>
      </c>
    </row>
    <row r="1033" ht="15" customHeight="1" s="78">
      <c r="A1033" s="95">
        <f>IF($H1033="","",ROW()-6)</f>
        <v/>
      </c>
      <c r="B1033" s="114" t="n"/>
      <c r="C1033" s="102" t="n"/>
      <c r="D1033" s="114" t="n"/>
      <c r="E1033" s="103" t="n"/>
      <c r="F1033" s="102" t="n"/>
      <c r="G1033" s="102" t="n"/>
      <c r="H1033" s="115" t="n"/>
      <c r="I1033" s="102" t="n"/>
      <c r="J1033" s="102" t="n"/>
      <c r="K1033" s="103" t="n"/>
      <c r="L1033" s="116">
        <f>IF($H1033="","",TRIM(IF(COUNTIF(DMTK!$A$7:$A$250,$F1033)=0,"TK Nợ sai! ","")&amp;IF(COUNTIF(DMTK!$A$7:$A$250,$G1033)=0,"TK Có sai! ","")&amp;IF(N($H1033)&lt;=0,"Tiền phải &gt; 0! ","")&amp;IF($B1033="","Thiếu ngày! ","")&amp;IF(AND(OR(LEFT($F1033,3)="131",LEFT($G1033,3)="131",LEFT($F1033,3)="331",LEFT($G1033,3)="331"),$I1033=""),"Thiếu Mã ĐT! ","")&amp;IF(AND($I1033&lt;&gt;"",COUNTIF(DM_DT!$A$7:$A$306,$I1033)=0),"Mã ĐT chưa khai báo! ","")))</f>
        <v/>
      </c>
      <c r="M1033" s="117">
        <f>IF($H1033="","",IF(AND(OR(LEFT($F1033,3)="111",LEFT($F1033,3)="112",LEFT($F1033,3)="113"),OR(LEFT($G1033,3)="111",LEFT($G1033,3)="112",LEFT($G1033,3)="113")),"NB",IF(OR(LEFT($F1033,3)="111",LEFT($F1033,3)="112",LEFT($F1033,3)="113"),"THU",IF(OR(LEFT($G1033,3)="111",LEFT($G1033,3)="112",LEFT($G1033,3)="113"),"CHI",""))))</f>
        <v/>
      </c>
      <c r="N1033" s="117">
        <f>IF($M1033="THU",$G1033,IF($M1033="CHI",$F1033,""))</f>
        <v/>
      </c>
      <c r="O1033" s="117">
        <f>IF(OR($M1033="",$M1033="NB"),"",IF($J1033&lt;&gt;"",TEXT($J1033,"00"),IFERROR(VLOOKUP(LEFT($N1033,4),LCTT_MAP!$A$7:$C$66,IF($M1033="THU",2,3),FALSE()),IFERROR(VLOOKUP(LEFT($N1033,3),LCTT_MAP!$A$7:$C$66,IF($M1033="THU",2,3),FALSE()),IFERROR(VLOOKUP(LEFT($N1033,2),LCTT_MAP!$A$7:$C$66,IF($M1033="THU",2,3),FALSE()),IFERROR(VLOOKUP(LEFT($N1033,1),LCTT_MAP!$A$7:$C$66,IF($M1033="THU",2,3),FALSE()),IF($M1033="THU","06","07")))))))</f>
        <v/>
      </c>
      <c r="P1033" s="117">
        <f>P1032+IF(AND($H1033&lt;&gt;"",OR(LEFT($F1033,LEN(SC_TK))=SC_TK,LEFT($G1033,LEN(SC_TK))=SC_TK)),1,0)</f>
        <v/>
      </c>
    </row>
    <row r="1034" ht="15" customHeight="1" s="78">
      <c r="A1034" s="95">
        <f>IF($H1034="","",ROW()-6)</f>
        <v/>
      </c>
      <c r="B1034" s="114" t="n"/>
      <c r="C1034" s="102" t="n"/>
      <c r="D1034" s="114" t="n"/>
      <c r="E1034" s="103" t="n"/>
      <c r="F1034" s="102" t="n"/>
      <c r="G1034" s="102" t="n"/>
      <c r="H1034" s="115" t="n"/>
      <c r="I1034" s="102" t="n"/>
      <c r="J1034" s="102" t="n"/>
      <c r="K1034" s="103" t="n"/>
      <c r="L1034" s="116">
        <f>IF($H1034="","",TRIM(IF(COUNTIF(DMTK!$A$7:$A$250,$F1034)=0,"TK Nợ sai! ","")&amp;IF(COUNTIF(DMTK!$A$7:$A$250,$G1034)=0,"TK Có sai! ","")&amp;IF(N($H1034)&lt;=0,"Tiền phải &gt; 0! ","")&amp;IF($B1034="","Thiếu ngày! ","")&amp;IF(AND(OR(LEFT($F1034,3)="131",LEFT($G1034,3)="131",LEFT($F1034,3)="331",LEFT($G1034,3)="331"),$I1034=""),"Thiếu Mã ĐT! ","")&amp;IF(AND($I1034&lt;&gt;"",COUNTIF(DM_DT!$A$7:$A$306,$I1034)=0),"Mã ĐT chưa khai báo! ","")))</f>
        <v/>
      </c>
      <c r="M1034" s="117">
        <f>IF($H1034="","",IF(AND(OR(LEFT($F1034,3)="111",LEFT($F1034,3)="112",LEFT($F1034,3)="113"),OR(LEFT($G1034,3)="111",LEFT($G1034,3)="112",LEFT($G1034,3)="113")),"NB",IF(OR(LEFT($F1034,3)="111",LEFT($F1034,3)="112",LEFT($F1034,3)="113"),"THU",IF(OR(LEFT($G1034,3)="111",LEFT($G1034,3)="112",LEFT($G1034,3)="113"),"CHI",""))))</f>
        <v/>
      </c>
      <c r="N1034" s="117">
        <f>IF($M1034="THU",$G1034,IF($M1034="CHI",$F1034,""))</f>
        <v/>
      </c>
      <c r="O1034" s="117">
        <f>IF(OR($M1034="",$M1034="NB"),"",IF($J1034&lt;&gt;"",TEXT($J1034,"00"),IFERROR(VLOOKUP(LEFT($N1034,4),LCTT_MAP!$A$7:$C$66,IF($M1034="THU",2,3),FALSE()),IFERROR(VLOOKUP(LEFT($N1034,3),LCTT_MAP!$A$7:$C$66,IF($M1034="THU",2,3),FALSE()),IFERROR(VLOOKUP(LEFT($N1034,2),LCTT_MAP!$A$7:$C$66,IF($M1034="THU",2,3),FALSE()),IFERROR(VLOOKUP(LEFT($N1034,1),LCTT_MAP!$A$7:$C$66,IF($M1034="THU",2,3),FALSE()),IF($M1034="THU","06","07")))))))</f>
        <v/>
      </c>
      <c r="P1034" s="117">
        <f>P1033+IF(AND($H1034&lt;&gt;"",OR(LEFT($F1034,LEN(SC_TK))=SC_TK,LEFT($G1034,LEN(SC_TK))=SC_TK)),1,0)</f>
        <v/>
      </c>
    </row>
    <row r="1035" ht="15" customHeight="1" s="78">
      <c r="A1035" s="95">
        <f>IF($H1035="","",ROW()-6)</f>
        <v/>
      </c>
      <c r="B1035" s="114" t="n"/>
      <c r="C1035" s="102" t="n"/>
      <c r="D1035" s="114" t="n"/>
      <c r="E1035" s="103" t="n"/>
      <c r="F1035" s="102" t="n"/>
      <c r="G1035" s="102" t="n"/>
      <c r="H1035" s="115" t="n"/>
      <c r="I1035" s="102" t="n"/>
      <c r="J1035" s="102" t="n"/>
      <c r="K1035" s="103" t="n"/>
      <c r="L1035" s="116">
        <f>IF($H1035="","",TRIM(IF(COUNTIF(DMTK!$A$7:$A$250,$F1035)=0,"TK Nợ sai! ","")&amp;IF(COUNTIF(DMTK!$A$7:$A$250,$G1035)=0,"TK Có sai! ","")&amp;IF(N($H1035)&lt;=0,"Tiền phải &gt; 0! ","")&amp;IF($B1035="","Thiếu ngày! ","")&amp;IF(AND(OR(LEFT($F1035,3)="131",LEFT($G1035,3)="131",LEFT($F1035,3)="331",LEFT($G1035,3)="331"),$I1035=""),"Thiếu Mã ĐT! ","")&amp;IF(AND($I1035&lt;&gt;"",COUNTIF(DM_DT!$A$7:$A$306,$I1035)=0),"Mã ĐT chưa khai báo! ","")))</f>
        <v/>
      </c>
      <c r="M1035" s="117">
        <f>IF($H1035="","",IF(AND(OR(LEFT($F1035,3)="111",LEFT($F1035,3)="112",LEFT($F1035,3)="113"),OR(LEFT($G1035,3)="111",LEFT($G1035,3)="112",LEFT($G1035,3)="113")),"NB",IF(OR(LEFT($F1035,3)="111",LEFT($F1035,3)="112",LEFT($F1035,3)="113"),"THU",IF(OR(LEFT($G1035,3)="111",LEFT($G1035,3)="112",LEFT($G1035,3)="113"),"CHI",""))))</f>
        <v/>
      </c>
      <c r="N1035" s="117">
        <f>IF($M1035="THU",$G1035,IF($M1035="CHI",$F1035,""))</f>
        <v/>
      </c>
      <c r="O1035" s="117">
        <f>IF(OR($M1035="",$M1035="NB"),"",IF($J1035&lt;&gt;"",TEXT($J1035,"00"),IFERROR(VLOOKUP(LEFT($N1035,4),LCTT_MAP!$A$7:$C$66,IF($M1035="THU",2,3),FALSE()),IFERROR(VLOOKUP(LEFT($N1035,3),LCTT_MAP!$A$7:$C$66,IF($M1035="THU",2,3),FALSE()),IFERROR(VLOOKUP(LEFT($N1035,2),LCTT_MAP!$A$7:$C$66,IF($M1035="THU",2,3),FALSE()),IFERROR(VLOOKUP(LEFT($N1035,1),LCTT_MAP!$A$7:$C$66,IF($M1035="THU",2,3),FALSE()),IF($M1035="THU","06","07")))))))</f>
        <v/>
      </c>
      <c r="P1035" s="117">
        <f>P1034+IF(AND($H1035&lt;&gt;"",OR(LEFT($F1035,LEN(SC_TK))=SC_TK,LEFT($G1035,LEN(SC_TK))=SC_TK)),1,0)</f>
        <v/>
      </c>
    </row>
    <row r="1036" ht="15" customHeight="1" s="78">
      <c r="A1036" s="95">
        <f>IF($H1036="","",ROW()-6)</f>
        <v/>
      </c>
      <c r="B1036" s="114" t="n"/>
      <c r="C1036" s="102" t="n"/>
      <c r="D1036" s="114" t="n"/>
      <c r="E1036" s="103" t="n"/>
      <c r="F1036" s="102" t="n"/>
      <c r="G1036" s="102" t="n"/>
      <c r="H1036" s="115" t="n"/>
      <c r="I1036" s="102" t="n"/>
      <c r="J1036" s="102" t="n"/>
      <c r="K1036" s="103" t="n"/>
      <c r="L1036" s="116">
        <f>IF($H1036="","",TRIM(IF(COUNTIF(DMTK!$A$7:$A$250,$F1036)=0,"TK Nợ sai! ","")&amp;IF(COUNTIF(DMTK!$A$7:$A$250,$G1036)=0,"TK Có sai! ","")&amp;IF(N($H1036)&lt;=0,"Tiền phải &gt; 0! ","")&amp;IF($B1036="","Thiếu ngày! ","")&amp;IF(AND(OR(LEFT($F1036,3)="131",LEFT($G1036,3)="131",LEFT($F1036,3)="331",LEFT($G1036,3)="331"),$I1036=""),"Thiếu Mã ĐT! ","")&amp;IF(AND($I1036&lt;&gt;"",COUNTIF(DM_DT!$A$7:$A$306,$I1036)=0),"Mã ĐT chưa khai báo! ","")))</f>
        <v/>
      </c>
      <c r="M1036" s="117">
        <f>IF($H1036="","",IF(AND(OR(LEFT($F1036,3)="111",LEFT($F1036,3)="112",LEFT($F1036,3)="113"),OR(LEFT($G1036,3)="111",LEFT($G1036,3)="112",LEFT($G1036,3)="113")),"NB",IF(OR(LEFT($F1036,3)="111",LEFT($F1036,3)="112",LEFT($F1036,3)="113"),"THU",IF(OR(LEFT($G1036,3)="111",LEFT($G1036,3)="112",LEFT($G1036,3)="113"),"CHI",""))))</f>
        <v/>
      </c>
      <c r="N1036" s="117">
        <f>IF($M1036="THU",$G1036,IF($M1036="CHI",$F1036,""))</f>
        <v/>
      </c>
      <c r="O1036" s="117">
        <f>IF(OR($M1036="",$M1036="NB"),"",IF($J1036&lt;&gt;"",TEXT($J1036,"00"),IFERROR(VLOOKUP(LEFT($N1036,4),LCTT_MAP!$A$7:$C$66,IF($M1036="THU",2,3),FALSE()),IFERROR(VLOOKUP(LEFT($N1036,3),LCTT_MAP!$A$7:$C$66,IF($M1036="THU",2,3),FALSE()),IFERROR(VLOOKUP(LEFT($N1036,2),LCTT_MAP!$A$7:$C$66,IF($M1036="THU",2,3),FALSE()),IFERROR(VLOOKUP(LEFT($N1036,1),LCTT_MAP!$A$7:$C$66,IF($M1036="THU",2,3),FALSE()),IF($M1036="THU","06","07")))))))</f>
        <v/>
      </c>
      <c r="P1036" s="117">
        <f>P1035+IF(AND($H1036&lt;&gt;"",OR(LEFT($F1036,LEN(SC_TK))=SC_TK,LEFT($G1036,LEN(SC_TK))=SC_TK)),1,0)</f>
        <v/>
      </c>
    </row>
    <row r="1037" ht="15" customHeight="1" s="78">
      <c r="A1037" s="95">
        <f>IF($H1037="","",ROW()-6)</f>
        <v/>
      </c>
      <c r="B1037" s="114" t="n"/>
      <c r="C1037" s="102" t="n"/>
      <c r="D1037" s="114" t="n"/>
      <c r="E1037" s="103" t="n"/>
      <c r="F1037" s="102" t="n"/>
      <c r="G1037" s="102" t="n"/>
      <c r="H1037" s="115" t="n"/>
      <c r="I1037" s="102" t="n"/>
      <c r="J1037" s="102" t="n"/>
      <c r="K1037" s="103" t="n"/>
      <c r="L1037" s="116">
        <f>IF($H1037="","",TRIM(IF(COUNTIF(DMTK!$A$7:$A$250,$F1037)=0,"TK Nợ sai! ","")&amp;IF(COUNTIF(DMTK!$A$7:$A$250,$G1037)=0,"TK Có sai! ","")&amp;IF(N($H1037)&lt;=0,"Tiền phải &gt; 0! ","")&amp;IF($B1037="","Thiếu ngày! ","")&amp;IF(AND(OR(LEFT($F1037,3)="131",LEFT($G1037,3)="131",LEFT($F1037,3)="331",LEFT($G1037,3)="331"),$I1037=""),"Thiếu Mã ĐT! ","")&amp;IF(AND($I1037&lt;&gt;"",COUNTIF(DM_DT!$A$7:$A$306,$I1037)=0),"Mã ĐT chưa khai báo! ","")))</f>
        <v/>
      </c>
      <c r="M1037" s="117">
        <f>IF($H1037="","",IF(AND(OR(LEFT($F1037,3)="111",LEFT($F1037,3)="112",LEFT($F1037,3)="113"),OR(LEFT($G1037,3)="111",LEFT($G1037,3)="112",LEFT($G1037,3)="113")),"NB",IF(OR(LEFT($F1037,3)="111",LEFT($F1037,3)="112",LEFT($F1037,3)="113"),"THU",IF(OR(LEFT($G1037,3)="111",LEFT($G1037,3)="112",LEFT($G1037,3)="113"),"CHI",""))))</f>
        <v/>
      </c>
      <c r="N1037" s="117">
        <f>IF($M1037="THU",$G1037,IF($M1037="CHI",$F1037,""))</f>
        <v/>
      </c>
      <c r="O1037" s="117">
        <f>IF(OR($M1037="",$M1037="NB"),"",IF($J1037&lt;&gt;"",TEXT($J1037,"00"),IFERROR(VLOOKUP(LEFT($N1037,4),LCTT_MAP!$A$7:$C$66,IF($M1037="THU",2,3),FALSE()),IFERROR(VLOOKUP(LEFT($N1037,3),LCTT_MAP!$A$7:$C$66,IF($M1037="THU",2,3),FALSE()),IFERROR(VLOOKUP(LEFT($N1037,2),LCTT_MAP!$A$7:$C$66,IF($M1037="THU",2,3),FALSE()),IFERROR(VLOOKUP(LEFT($N1037,1),LCTT_MAP!$A$7:$C$66,IF($M1037="THU",2,3),FALSE()),IF($M1037="THU","06","07")))))))</f>
        <v/>
      </c>
      <c r="P1037" s="117">
        <f>P1036+IF(AND($H1037&lt;&gt;"",OR(LEFT($F1037,LEN(SC_TK))=SC_TK,LEFT($G1037,LEN(SC_TK))=SC_TK)),1,0)</f>
        <v/>
      </c>
    </row>
    <row r="1038" ht="15" customHeight="1" s="78">
      <c r="A1038" s="95">
        <f>IF($H1038="","",ROW()-6)</f>
        <v/>
      </c>
      <c r="B1038" s="114" t="n"/>
      <c r="C1038" s="102" t="n"/>
      <c r="D1038" s="114" t="n"/>
      <c r="E1038" s="103" t="n"/>
      <c r="F1038" s="102" t="n"/>
      <c r="G1038" s="102" t="n"/>
      <c r="H1038" s="115" t="n"/>
      <c r="I1038" s="102" t="n"/>
      <c r="J1038" s="102" t="n"/>
      <c r="K1038" s="103" t="n"/>
      <c r="L1038" s="116">
        <f>IF($H1038="","",TRIM(IF(COUNTIF(DMTK!$A$7:$A$250,$F1038)=0,"TK Nợ sai! ","")&amp;IF(COUNTIF(DMTK!$A$7:$A$250,$G1038)=0,"TK Có sai! ","")&amp;IF(N($H1038)&lt;=0,"Tiền phải &gt; 0! ","")&amp;IF($B1038="","Thiếu ngày! ","")&amp;IF(AND(OR(LEFT($F1038,3)="131",LEFT($G1038,3)="131",LEFT($F1038,3)="331",LEFT($G1038,3)="331"),$I1038=""),"Thiếu Mã ĐT! ","")&amp;IF(AND($I1038&lt;&gt;"",COUNTIF(DM_DT!$A$7:$A$306,$I1038)=0),"Mã ĐT chưa khai báo! ","")))</f>
        <v/>
      </c>
      <c r="M1038" s="117">
        <f>IF($H1038="","",IF(AND(OR(LEFT($F1038,3)="111",LEFT($F1038,3)="112",LEFT($F1038,3)="113"),OR(LEFT($G1038,3)="111",LEFT($G1038,3)="112",LEFT($G1038,3)="113")),"NB",IF(OR(LEFT($F1038,3)="111",LEFT($F1038,3)="112",LEFT($F1038,3)="113"),"THU",IF(OR(LEFT($G1038,3)="111",LEFT($G1038,3)="112",LEFT($G1038,3)="113"),"CHI",""))))</f>
        <v/>
      </c>
      <c r="N1038" s="117">
        <f>IF($M1038="THU",$G1038,IF($M1038="CHI",$F1038,""))</f>
        <v/>
      </c>
      <c r="O1038" s="117">
        <f>IF(OR($M1038="",$M1038="NB"),"",IF($J1038&lt;&gt;"",TEXT($J1038,"00"),IFERROR(VLOOKUP(LEFT($N1038,4),LCTT_MAP!$A$7:$C$66,IF($M1038="THU",2,3),FALSE()),IFERROR(VLOOKUP(LEFT($N1038,3),LCTT_MAP!$A$7:$C$66,IF($M1038="THU",2,3),FALSE()),IFERROR(VLOOKUP(LEFT($N1038,2),LCTT_MAP!$A$7:$C$66,IF($M1038="THU",2,3),FALSE()),IFERROR(VLOOKUP(LEFT($N1038,1),LCTT_MAP!$A$7:$C$66,IF($M1038="THU",2,3),FALSE()),IF($M1038="THU","06","07")))))))</f>
        <v/>
      </c>
      <c r="P1038" s="117">
        <f>P1037+IF(AND($H1038&lt;&gt;"",OR(LEFT($F1038,LEN(SC_TK))=SC_TK,LEFT($G1038,LEN(SC_TK))=SC_TK)),1,0)</f>
        <v/>
      </c>
    </row>
    <row r="1039" ht="15" customHeight="1" s="78">
      <c r="A1039" s="95">
        <f>IF($H1039="","",ROW()-6)</f>
        <v/>
      </c>
      <c r="B1039" s="114" t="n"/>
      <c r="C1039" s="102" t="n"/>
      <c r="D1039" s="114" t="n"/>
      <c r="E1039" s="103" t="n"/>
      <c r="F1039" s="102" t="n"/>
      <c r="G1039" s="102" t="n"/>
      <c r="H1039" s="115" t="n"/>
      <c r="I1039" s="102" t="n"/>
      <c r="J1039" s="102" t="n"/>
      <c r="K1039" s="103" t="n"/>
      <c r="L1039" s="116">
        <f>IF($H1039="","",TRIM(IF(COUNTIF(DMTK!$A$7:$A$250,$F1039)=0,"TK Nợ sai! ","")&amp;IF(COUNTIF(DMTK!$A$7:$A$250,$G1039)=0,"TK Có sai! ","")&amp;IF(N($H1039)&lt;=0,"Tiền phải &gt; 0! ","")&amp;IF($B1039="","Thiếu ngày! ","")&amp;IF(AND(OR(LEFT($F1039,3)="131",LEFT($G1039,3)="131",LEFT($F1039,3)="331",LEFT($G1039,3)="331"),$I1039=""),"Thiếu Mã ĐT! ","")&amp;IF(AND($I1039&lt;&gt;"",COUNTIF(DM_DT!$A$7:$A$306,$I1039)=0),"Mã ĐT chưa khai báo! ","")))</f>
        <v/>
      </c>
      <c r="M1039" s="117">
        <f>IF($H1039="","",IF(AND(OR(LEFT($F1039,3)="111",LEFT($F1039,3)="112",LEFT($F1039,3)="113"),OR(LEFT($G1039,3)="111",LEFT($G1039,3)="112",LEFT($G1039,3)="113")),"NB",IF(OR(LEFT($F1039,3)="111",LEFT($F1039,3)="112",LEFT($F1039,3)="113"),"THU",IF(OR(LEFT($G1039,3)="111",LEFT($G1039,3)="112",LEFT($G1039,3)="113"),"CHI",""))))</f>
        <v/>
      </c>
      <c r="N1039" s="117">
        <f>IF($M1039="THU",$G1039,IF($M1039="CHI",$F1039,""))</f>
        <v/>
      </c>
      <c r="O1039" s="117">
        <f>IF(OR($M1039="",$M1039="NB"),"",IF($J1039&lt;&gt;"",TEXT($J1039,"00"),IFERROR(VLOOKUP(LEFT($N1039,4),LCTT_MAP!$A$7:$C$66,IF($M1039="THU",2,3),FALSE()),IFERROR(VLOOKUP(LEFT($N1039,3),LCTT_MAP!$A$7:$C$66,IF($M1039="THU",2,3),FALSE()),IFERROR(VLOOKUP(LEFT($N1039,2),LCTT_MAP!$A$7:$C$66,IF($M1039="THU",2,3),FALSE()),IFERROR(VLOOKUP(LEFT($N1039,1),LCTT_MAP!$A$7:$C$66,IF($M1039="THU",2,3),FALSE()),IF($M1039="THU","06","07")))))))</f>
        <v/>
      </c>
      <c r="P1039" s="117">
        <f>P1038+IF(AND($H1039&lt;&gt;"",OR(LEFT($F1039,LEN(SC_TK))=SC_TK,LEFT($G1039,LEN(SC_TK))=SC_TK)),1,0)</f>
        <v/>
      </c>
    </row>
    <row r="1040" ht="15" customHeight="1" s="78">
      <c r="A1040" s="95">
        <f>IF($H1040="","",ROW()-6)</f>
        <v/>
      </c>
      <c r="B1040" s="114" t="n"/>
      <c r="C1040" s="102" t="n"/>
      <c r="D1040" s="114" t="n"/>
      <c r="E1040" s="103" t="n"/>
      <c r="F1040" s="102" t="n"/>
      <c r="G1040" s="102" t="n"/>
      <c r="H1040" s="115" t="n"/>
      <c r="I1040" s="102" t="n"/>
      <c r="J1040" s="102" t="n"/>
      <c r="K1040" s="103" t="n"/>
      <c r="L1040" s="116">
        <f>IF($H1040="","",TRIM(IF(COUNTIF(DMTK!$A$7:$A$250,$F1040)=0,"TK Nợ sai! ","")&amp;IF(COUNTIF(DMTK!$A$7:$A$250,$G1040)=0,"TK Có sai! ","")&amp;IF(N($H1040)&lt;=0,"Tiền phải &gt; 0! ","")&amp;IF($B1040="","Thiếu ngày! ","")&amp;IF(AND(OR(LEFT($F1040,3)="131",LEFT($G1040,3)="131",LEFT($F1040,3)="331",LEFT($G1040,3)="331"),$I1040=""),"Thiếu Mã ĐT! ","")&amp;IF(AND($I1040&lt;&gt;"",COUNTIF(DM_DT!$A$7:$A$306,$I1040)=0),"Mã ĐT chưa khai báo! ","")))</f>
        <v/>
      </c>
      <c r="M1040" s="117">
        <f>IF($H1040="","",IF(AND(OR(LEFT($F1040,3)="111",LEFT($F1040,3)="112",LEFT($F1040,3)="113"),OR(LEFT($G1040,3)="111",LEFT($G1040,3)="112",LEFT($G1040,3)="113")),"NB",IF(OR(LEFT($F1040,3)="111",LEFT($F1040,3)="112",LEFT($F1040,3)="113"),"THU",IF(OR(LEFT($G1040,3)="111",LEFT($G1040,3)="112",LEFT($G1040,3)="113"),"CHI",""))))</f>
        <v/>
      </c>
      <c r="N1040" s="117">
        <f>IF($M1040="THU",$G1040,IF($M1040="CHI",$F1040,""))</f>
        <v/>
      </c>
      <c r="O1040" s="117">
        <f>IF(OR($M1040="",$M1040="NB"),"",IF($J1040&lt;&gt;"",TEXT($J1040,"00"),IFERROR(VLOOKUP(LEFT($N1040,4),LCTT_MAP!$A$7:$C$66,IF($M1040="THU",2,3),FALSE()),IFERROR(VLOOKUP(LEFT($N1040,3),LCTT_MAP!$A$7:$C$66,IF($M1040="THU",2,3),FALSE()),IFERROR(VLOOKUP(LEFT($N1040,2),LCTT_MAP!$A$7:$C$66,IF($M1040="THU",2,3),FALSE()),IFERROR(VLOOKUP(LEFT($N1040,1),LCTT_MAP!$A$7:$C$66,IF($M1040="THU",2,3),FALSE()),IF($M1040="THU","06","07")))))))</f>
        <v/>
      </c>
      <c r="P1040" s="117">
        <f>P1039+IF(AND($H1040&lt;&gt;"",OR(LEFT($F1040,LEN(SC_TK))=SC_TK,LEFT($G1040,LEN(SC_TK))=SC_TK)),1,0)</f>
        <v/>
      </c>
    </row>
    <row r="1041" ht="15" customHeight="1" s="78">
      <c r="A1041" s="95">
        <f>IF($H1041="","",ROW()-6)</f>
        <v/>
      </c>
      <c r="B1041" s="114" t="n"/>
      <c r="C1041" s="102" t="n"/>
      <c r="D1041" s="114" t="n"/>
      <c r="E1041" s="103" t="n"/>
      <c r="F1041" s="102" t="n"/>
      <c r="G1041" s="102" t="n"/>
      <c r="H1041" s="115" t="n"/>
      <c r="I1041" s="102" t="n"/>
      <c r="J1041" s="102" t="n"/>
      <c r="K1041" s="103" t="n"/>
      <c r="L1041" s="116">
        <f>IF($H1041="","",TRIM(IF(COUNTIF(DMTK!$A$7:$A$250,$F1041)=0,"TK Nợ sai! ","")&amp;IF(COUNTIF(DMTK!$A$7:$A$250,$G1041)=0,"TK Có sai! ","")&amp;IF(N($H1041)&lt;=0,"Tiền phải &gt; 0! ","")&amp;IF($B1041="","Thiếu ngày! ","")&amp;IF(AND(OR(LEFT($F1041,3)="131",LEFT($G1041,3)="131",LEFT($F1041,3)="331",LEFT($G1041,3)="331"),$I1041=""),"Thiếu Mã ĐT! ","")&amp;IF(AND($I1041&lt;&gt;"",COUNTIF(DM_DT!$A$7:$A$306,$I1041)=0),"Mã ĐT chưa khai báo! ","")))</f>
        <v/>
      </c>
      <c r="M1041" s="117">
        <f>IF($H1041="","",IF(AND(OR(LEFT($F1041,3)="111",LEFT($F1041,3)="112",LEFT($F1041,3)="113"),OR(LEFT($G1041,3)="111",LEFT($G1041,3)="112",LEFT($G1041,3)="113")),"NB",IF(OR(LEFT($F1041,3)="111",LEFT($F1041,3)="112",LEFT($F1041,3)="113"),"THU",IF(OR(LEFT($G1041,3)="111",LEFT($G1041,3)="112",LEFT($G1041,3)="113"),"CHI",""))))</f>
        <v/>
      </c>
      <c r="N1041" s="117">
        <f>IF($M1041="THU",$G1041,IF($M1041="CHI",$F1041,""))</f>
        <v/>
      </c>
      <c r="O1041" s="117">
        <f>IF(OR($M1041="",$M1041="NB"),"",IF($J1041&lt;&gt;"",TEXT($J1041,"00"),IFERROR(VLOOKUP(LEFT($N1041,4),LCTT_MAP!$A$7:$C$66,IF($M1041="THU",2,3),FALSE()),IFERROR(VLOOKUP(LEFT($N1041,3),LCTT_MAP!$A$7:$C$66,IF($M1041="THU",2,3),FALSE()),IFERROR(VLOOKUP(LEFT($N1041,2),LCTT_MAP!$A$7:$C$66,IF($M1041="THU",2,3),FALSE()),IFERROR(VLOOKUP(LEFT($N1041,1),LCTT_MAP!$A$7:$C$66,IF($M1041="THU",2,3),FALSE()),IF($M1041="THU","06","07")))))))</f>
        <v/>
      </c>
      <c r="P1041" s="117">
        <f>P1040+IF(AND($H1041&lt;&gt;"",OR(LEFT($F1041,LEN(SC_TK))=SC_TK,LEFT($G1041,LEN(SC_TK))=SC_TK)),1,0)</f>
        <v/>
      </c>
    </row>
    <row r="1042" ht="15" customHeight="1" s="78">
      <c r="A1042" s="95">
        <f>IF($H1042="","",ROW()-6)</f>
        <v/>
      </c>
      <c r="B1042" s="114" t="n"/>
      <c r="C1042" s="102" t="n"/>
      <c r="D1042" s="114" t="n"/>
      <c r="E1042" s="103" t="n"/>
      <c r="F1042" s="102" t="n"/>
      <c r="G1042" s="102" t="n"/>
      <c r="H1042" s="115" t="n"/>
      <c r="I1042" s="102" t="n"/>
      <c r="J1042" s="102" t="n"/>
      <c r="K1042" s="103" t="n"/>
      <c r="L1042" s="116">
        <f>IF($H1042="","",TRIM(IF(COUNTIF(DMTK!$A$7:$A$250,$F1042)=0,"TK Nợ sai! ","")&amp;IF(COUNTIF(DMTK!$A$7:$A$250,$G1042)=0,"TK Có sai! ","")&amp;IF(N($H1042)&lt;=0,"Tiền phải &gt; 0! ","")&amp;IF($B1042="","Thiếu ngày! ","")&amp;IF(AND(OR(LEFT($F1042,3)="131",LEFT($G1042,3)="131",LEFT($F1042,3)="331",LEFT($G1042,3)="331"),$I1042=""),"Thiếu Mã ĐT! ","")&amp;IF(AND($I1042&lt;&gt;"",COUNTIF(DM_DT!$A$7:$A$306,$I1042)=0),"Mã ĐT chưa khai báo! ","")))</f>
        <v/>
      </c>
      <c r="M1042" s="117">
        <f>IF($H1042="","",IF(AND(OR(LEFT($F1042,3)="111",LEFT($F1042,3)="112",LEFT($F1042,3)="113"),OR(LEFT($G1042,3)="111",LEFT($G1042,3)="112",LEFT($G1042,3)="113")),"NB",IF(OR(LEFT($F1042,3)="111",LEFT($F1042,3)="112",LEFT($F1042,3)="113"),"THU",IF(OR(LEFT($G1042,3)="111",LEFT($G1042,3)="112",LEFT($G1042,3)="113"),"CHI",""))))</f>
        <v/>
      </c>
      <c r="N1042" s="117">
        <f>IF($M1042="THU",$G1042,IF($M1042="CHI",$F1042,""))</f>
        <v/>
      </c>
      <c r="O1042" s="117">
        <f>IF(OR($M1042="",$M1042="NB"),"",IF($J1042&lt;&gt;"",TEXT($J1042,"00"),IFERROR(VLOOKUP(LEFT($N1042,4),LCTT_MAP!$A$7:$C$66,IF($M1042="THU",2,3),FALSE()),IFERROR(VLOOKUP(LEFT($N1042,3),LCTT_MAP!$A$7:$C$66,IF($M1042="THU",2,3),FALSE()),IFERROR(VLOOKUP(LEFT($N1042,2),LCTT_MAP!$A$7:$C$66,IF($M1042="THU",2,3),FALSE()),IFERROR(VLOOKUP(LEFT($N1042,1),LCTT_MAP!$A$7:$C$66,IF($M1042="THU",2,3),FALSE()),IF($M1042="THU","06","07")))))))</f>
        <v/>
      </c>
      <c r="P1042" s="117">
        <f>P1041+IF(AND($H1042&lt;&gt;"",OR(LEFT($F1042,LEN(SC_TK))=SC_TK,LEFT($G1042,LEN(SC_TK))=SC_TK)),1,0)</f>
        <v/>
      </c>
    </row>
    <row r="1043" ht="15" customHeight="1" s="78">
      <c r="A1043" s="95">
        <f>IF($H1043="","",ROW()-6)</f>
        <v/>
      </c>
      <c r="B1043" s="114" t="n"/>
      <c r="C1043" s="102" t="n"/>
      <c r="D1043" s="114" t="n"/>
      <c r="E1043" s="103" t="n"/>
      <c r="F1043" s="102" t="n"/>
      <c r="G1043" s="102" t="n"/>
      <c r="H1043" s="115" t="n"/>
      <c r="I1043" s="102" t="n"/>
      <c r="J1043" s="102" t="n"/>
      <c r="K1043" s="103" t="n"/>
      <c r="L1043" s="116">
        <f>IF($H1043="","",TRIM(IF(COUNTIF(DMTK!$A$7:$A$250,$F1043)=0,"TK Nợ sai! ","")&amp;IF(COUNTIF(DMTK!$A$7:$A$250,$G1043)=0,"TK Có sai! ","")&amp;IF(N($H1043)&lt;=0,"Tiền phải &gt; 0! ","")&amp;IF($B1043="","Thiếu ngày! ","")&amp;IF(AND(OR(LEFT($F1043,3)="131",LEFT($G1043,3)="131",LEFT($F1043,3)="331",LEFT($G1043,3)="331"),$I1043=""),"Thiếu Mã ĐT! ","")&amp;IF(AND($I1043&lt;&gt;"",COUNTIF(DM_DT!$A$7:$A$306,$I1043)=0),"Mã ĐT chưa khai báo! ","")))</f>
        <v/>
      </c>
      <c r="M1043" s="117">
        <f>IF($H1043="","",IF(AND(OR(LEFT($F1043,3)="111",LEFT($F1043,3)="112",LEFT($F1043,3)="113"),OR(LEFT($G1043,3)="111",LEFT($G1043,3)="112",LEFT($G1043,3)="113")),"NB",IF(OR(LEFT($F1043,3)="111",LEFT($F1043,3)="112",LEFT($F1043,3)="113"),"THU",IF(OR(LEFT($G1043,3)="111",LEFT($G1043,3)="112",LEFT($G1043,3)="113"),"CHI",""))))</f>
        <v/>
      </c>
      <c r="N1043" s="117">
        <f>IF($M1043="THU",$G1043,IF($M1043="CHI",$F1043,""))</f>
        <v/>
      </c>
      <c r="O1043" s="117">
        <f>IF(OR($M1043="",$M1043="NB"),"",IF($J1043&lt;&gt;"",TEXT($J1043,"00"),IFERROR(VLOOKUP(LEFT($N1043,4),LCTT_MAP!$A$7:$C$66,IF($M1043="THU",2,3),FALSE()),IFERROR(VLOOKUP(LEFT($N1043,3),LCTT_MAP!$A$7:$C$66,IF($M1043="THU",2,3),FALSE()),IFERROR(VLOOKUP(LEFT($N1043,2),LCTT_MAP!$A$7:$C$66,IF($M1043="THU",2,3),FALSE()),IFERROR(VLOOKUP(LEFT($N1043,1),LCTT_MAP!$A$7:$C$66,IF($M1043="THU",2,3),FALSE()),IF($M1043="THU","06","07")))))))</f>
        <v/>
      </c>
      <c r="P1043" s="117">
        <f>P1042+IF(AND($H1043&lt;&gt;"",OR(LEFT($F1043,LEN(SC_TK))=SC_TK,LEFT($G1043,LEN(SC_TK))=SC_TK)),1,0)</f>
        <v/>
      </c>
    </row>
    <row r="1044" ht="15" customHeight="1" s="78">
      <c r="A1044" s="95">
        <f>IF($H1044="","",ROW()-6)</f>
        <v/>
      </c>
      <c r="B1044" s="114" t="n"/>
      <c r="C1044" s="102" t="n"/>
      <c r="D1044" s="114" t="n"/>
      <c r="E1044" s="103" t="n"/>
      <c r="F1044" s="102" t="n"/>
      <c r="G1044" s="102" t="n"/>
      <c r="H1044" s="115" t="n"/>
      <c r="I1044" s="102" t="n"/>
      <c r="J1044" s="102" t="n"/>
      <c r="K1044" s="103" t="n"/>
      <c r="L1044" s="116">
        <f>IF($H1044="","",TRIM(IF(COUNTIF(DMTK!$A$7:$A$250,$F1044)=0,"TK Nợ sai! ","")&amp;IF(COUNTIF(DMTK!$A$7:$A$250,$G1044)=0,"TK Có sai! ","")&amp;IF(N($H1044)&lt;=0,"Tiền phải &gt; 0! ","")&amp;IF($B1044="","Thiếu ngày! ","")&amp;IF(AND(OR(LEFT($F1044,3)="131",LEFT($G1044,3)="131",LEFT($F1044,3)="331",LEFT($G1044,3)="331"),$I1044=""),"Thiếu Mã ĐT! ","")&amp;IF(AND($I1044&lt;&gt;"",COUNTIF(DM_DT!$A$7:$A$306,$I1044)=0),"Mã ĐT chưa khai báo! ","")))</f>
        <v/>
      </c>
      <c r="M1044" s="117">
        <f>IF($H1044="","",IF(AND(OR(LEFT($F1044,3)="111",LEFT($F1044,3)="112",LEFT($F1044,3)="113"),OR(LEFT($G1044,3)="111",LEFT($G1044,3)="112",LEFT($G1044,3)="113")),"NB",IF(OR(LEFT($F1044,3)="111",LEFT($F1044,3)="112",LEFT($F1044,3)="113"),"THU",IF(OR(LEFT($G1044,3)="111",LEFT($G1044,3)="112",LEFT($G1044,3)="113"),"CHI",""))))</f>
        <v/>
      </c>
      <c r="N1044" s="117">
        <f>IF($M1044="THU",$G1044,IF($M1044="CHI",$F1044,""))</f>
        <v/>
      </c>
      <c r="O1044" s="117">
        <f>IF(OR($M1044="",$M1044="NB"),"",IF($J1044&lt;&gt;"",TEXT($J1044,"00"),IFERROR(VLOOKUP(LEFT($N1044,4),LCTT_MAP!$A$7:$C$66,IF($M1044="THU",2,3),FALSE()),IFERROR(VLOOKUP(LEFT($N1044,3),LCTT_MAP!$A$7:$C$66,IF($M1044="THU",2,3),FALSE()),IFERROR(VLOOKUP(LEFT($N1044,2),LCTT_MAP!$A$7:$C$66,IF($M1044="THU",2,3),FALSE()),IFERROR(VLOOKUP(LEFT($N1044,1),LCTT_MAP!$A$7:$C$66,IF($M1044="THU",2,3),FALSE()),IF($M1044="THU","06","07")))))))</f>
        <v/>
      </c>
      <c r="P1044" s="117">
        <f>P1043+IF(AND($H1044&lt;&gt;"",OR(LEFT($F1044,LEN(SC_TK))=SC_TK,LEFT($G1044,LEN(SC_TK))=SC_TK)),1,0)</f>
        <v/>
      </c>
    </row>
    <row r="1045" ht="15" customHeight="1" s="78">
      <c r="A1045" s="95">
        <f>IF($H1045="","",ROW()-6)</f>
        <v/>
      </c>
      <c r="B1045" s="114" t="n"/>
      <c r="C1045" s="102" t="n"/>
      <c r="D1045" s="114" t="n"/>
      <c r="E1045" s="103" t="n"/>
      <c r="F1045" s="102" t="n"/>
      <c r="G1045" s="102" t="n"/>
      <c r="H1045" s="115" t="n"/>
      <c r="I1045" s="102" t="n"/>
      <c r="J1045" s="102" t="n"/>
      <c r="K1045" s="103" t="n"/>
      <c r="L1045" s="116">
        <f>IF($H1045="","",TRIM(IF(COUNTIF(DMTK!$A$7:$A$250,$F1045)=0,"TK Nợ sai! ","")&amp;IF(COUNTIF(DMTK!$A$7:$A$250,$G1045)=0,"TK Có sai! ","")&amp;IF(N($H1045)&lt;=0,"Tiền phải &gt; 0! ","")&amp;IF($B1045="","Thiếu ngày! ","")&amp;IF(AND(OR(LEFT($F1045,3)="131",LEFT($G1045,3)="131",LEFT($F1045,3)="331",LEFT($G1045,3)="331"),$I1045=""),"Thiếu Mã ĐT! ","")&amp;IF(AND($I1045&lt;&gt;"",COUNTIF(DM_DT!$A$7:$A$306,$I1045)=0),"Mã ĐT chưa khai báo! ","")))</f>
        <v/>
      </c>
      <c r="M1045" s="117">
        <f>IF($H1045="","",IF(AND(OR(LEFT($F1045,3)="111",LEFT($F1045,3)="112",LEFT($F1045,3)="113"),OR(LEFT($G1045,3)="111",LEFT($G1045,3)="112",LEFT($G1045,3)="113")),"NB",IF(OR(LEFT($F1045,3)="111",LEFT($F1045,3)="112",LEFT($F1045,3)="113"),"THU",IF(OR(LEFT($G1045,3)="111",LEFT($G1045,3)="112",LEFT($G1045,3)="113"),"CHI",""))))</f>
        <v/>
      </c>
      <c r="N1045" s="117">
        <f>IF($M1045="THU",$G1045,IF($M1045="CHI",$F1045,""))</f>
        <v/>
      </c>
      <c r="O1045" s="117">
        <f>IF(OR($M1045="",$M1045="NB"),"",IF($J1045&lt;&gt;"",TEXT($J1045,"00"),IFERROR(VLOOKUP(LEFT($N1045,4),LCTT_MAP!$A$7:$C$66,IF($M1045="THU",2,3),FALSE()),IFERROR(VLOOKUP(LEFT($N1045,3),LCTT_MAP!$A$7:$C$66,IF($M1045="THU",2,3),FALSE()),IFERROR(VLOOKUP(LEFT($N1045,2),LCTT_MAP!$A$7:$C$66,IF($M1045="THU",2,3),FALSE()),IFERROR(VLOOKUP(LEFT($N1045,1),LCTT_MAP!$A$7:$C$66,IF($M1045="THU",2,3),FALSE()),IF($M1045="THU","06","07")))))))</f>
        <v/>
      </c>
      <c r="P1045" s="117">
        <f>P1044+IF(AND($H1045&lt;&gt;"",OR(LEFT($F1045,LEN(SC_TK))=SC_TK,LEFT($G1045,LEN(SC_TK))=SC_TK)),1,0)</f>
        <v/>
      </c>
    </row>
    <row r="1046" ht="15" customHeight="1" s="78">
      <c r="A1046" s="95">
        <f>IF($H1046="","",ROW()-6)</f>
        <v/>
      </c>
      <c r="B1046" s="114" t="n"/>
      <c r="C1046" s="102" t="n"/>
      <c r="D1046" s="114" t="n"/>
      <c r="E1046" s="103" t="n"/>
      <c r="F1046" s="102" t="n"/>
      <c r="G1046" s="102" t="n"/>
      <c r="H1046" s="115" t="n"/>
      <c r="I1046" s="102" t="n"/>
      <c r="J1046" s="102" t="n"/>
      <c r="K1046" s="103" t="n"/>
      <c r="L1046" s="116">
        <f>IF($H1046="","",TRIM(IF(COUNTIF(DMTK!$A$7:$A$250,$F1046)=0,"TK Nợ sai! ","")&amp;IF(COUNTIF(DMTK!$A$7:$A$250,$G1046)=0,"TK Có sai! ","")&amp;IF(N($H1046)&lt;=0,"Tiền phải &gt; 0! ","")&amp;IF($B1046="","Thiếu ngày! ","")&amp;IF(AND(OR(LEFT($F1046,3)="131",LEFT($G1046,3)="131",LEFT($F1046,3)="331",LEFT($G1046,3)="331"),$I1046=""),"Thiếu Mã ĐT! ","")&amp;IF(AND($I1046&lt;&gt;"",COUNTIF(DM_DT!$A$7:$A$306,$I1046)=0),"Mã ĐT chưa khai báo! ","")))</f>
        <v/>
      </c>
      <c r="M1046" s="117">
        <f>IF($H1046="","",IF(AND(OR(LEFT($F1046,3)="111",LEFT($F1046,3)="112",LEFT($F1046,3)="113"),OR(LEFT($G1046,3)="111",LEFT($G1046,3)="112",LEFT($G1046,3)="113")),"NB",IF(OR(LEFT($F1046,3)="111",LEFT($F1046,3)="112",LEFT($F1046,3)="113"),"THU",IF(OR(LEFT($G1046,3)="111",LEFT($G1046,3)="112",LEFT($G1046,3)="113"),"CHI",""))))</f>
        <v/>
      </c>
      <c r="N1046" s="117">
        <f>IF($M1046="THU",$G1046,IF($M1046="CHI",$F1046,""))</f>
        <v/>
      </c>
      <c r="O1046" s="117">
        <f>IF(OR($M1046="",$M1046="NB"),"",IF($J1046&lt;&gt;"",TEXT($J1046,"00"),IFERROR(VLOOKUP(LEFT($N1046,4),LCTT_MAP!$A$7:$C$66,IF($M1046="THU",2,3),FALSE()),IFERROR(VLOOKUP(LEFT($N1046,3),LCTT_MAP!$A$7:$C$66,IF($M1046="THU",2,3),FALSE()),IFERROR(VLOOKUP(LEFT($N1046,2),LCTT_MAP!$A$7:$C$66,IF($M1046="THU",2,3),FALSE()),IFERROR(VLOOKUP(LEFT($N1046,1),LCTT_MAP!$A$7:$C$66,IF($M1046="THU",2,3),FALSE()),IF($M1046="THU","06","07")))))))</f>
        <v/>
      </c>
      <c r="P1046" s="117">
        <f>P1045+IF(AND($H1046&lt;&gt;"",OR(LEFT($F1046,LEN(SC_TK))=SC_TK,LEFT($G1046,LEN(SC_TK))=SC_TK)),1,0)</f>
        <v/>
      </c>
    </row>
    <row r="1047" ht="15" customHeight="1" s="78">
      <c r="A1047" s="95">
        <f>IF($H1047="","",ROW()-6)</f>
        <v/>
      </c>
      <c r="B1047" s="114" t="n"/>
      <c r="C1047" s="102" t="n"/>
      <c r="D1047" s="114" t="n"/>
      <c r="E1047" s="103" t="n"/>
      <c r="F1047" s="102" t="n"/>
      <c r="G1047" s="102" t="n"/>
      <c r="H1047" s="115" t="n"/>
      <c r="I1047" s="102" t="n"/>
      <c r="J1047" s="102" t="n"/>
      <c r="K1047" s="103" t="n"/>
      <c r="L1047" s="116">
        <f>IF($H1047="","",TRIM(IF(COUNTIF(DMTK!$A$7:$A$250,$F1047)=0,"TK Nợ sai! ","")&amp;IF(COUNTIF(DMTK!$A$7:$A$250,$G1047)=0,"TK Có sai! ","")&amp;IF(N($H1047)&lt;=0,"Tiền phải &gt; 0! ","")&amp;IF($B1047="","Thiếu ngày! ","")&amp;IF(AND(OR(LEFT($F1047,3)="131",LEFT($G1047,3)="131",LEFT($F1047,3)="331",LEFT($G1047,3)="331"),$I1047=""),"Thiếu Mã ĐT! ","")&amp;IF(AND($I1047&lt;&gt;"",COUNTIF(DM_DT!$A$7:$A$306,$I1047)=0),"Mã ĐT chưa khai báo! ","")))</f>
        <v/>
      </c>
      <c r="M1047" s="117">
        <f>IF($H1047="","",IF(AND(OR(LEFT($F1047,3)="111",LEFT($F1047,3)="112",LEFT($F1047,3)="113"),OR(LEFT($G1047,3)="111",LEFT($G1047,3)="112",LEFT($G1047,3)="113")),"NB",IF(OR(LEFT($F1047,3)="111",LEFT($F1047,3)="112",LEFT($F1047,3)="113"),"THU",IF(OR(LEFT($G1047,3)="111",LEFT($G1047,3)="112",LEFT($G1047,3)="113"),"CHI",""))))</f>
        <v/>
      </c>
      <c r="N1047" s="117">
        <f>IF($M1047="THU",$G1047,IF($M1047="CHI",$F1047,""))</f>
        <v/>
      </c>
      <c r="O1047" s="117">
        <f>IF(OR($M1047="",$M1047="NB"),"",IF($J1047&lt;&gt;"",TEXT($J1047,"00"),IFERROR(VLOOKUP(LEFT($N1047,4),LCTT_MAP!$A$7:$C$66,IF($M1047="THU",2,3),FALSE()),IFERROR(VLOOKUP(LEFT($N1047,3),LCTT_MAP!$A$7:$C$66,IF($M1047="THU",2,3),FALSE()),IFERROR(VLOOKUP(LEFT($N1047,2),LCTT_MAP!$A$7:$C$66,IF($M1047="THU",2,3),FALSE()),IFERROR(VLOOKUP(LEFT($N1047,1),LCTT_MAP!$A$7:$C$66,IF($M1047="THU",2,3),FALSE()),IF($M1047="THU","06","07")))))))</f>
        <v/>
      </c>
      <c r="P1047" s="117">
        <f>P1046+IF(AND($H1047&lt;&gt;"",OR(LEFT($F1047,LEN(SC_TK))=SC_TK,LEFT($G1047,LEN(SC_TK))=SC_TK)),1,0)</f>
        <v/>
      </c>
    </row>
    <row r="1048" ht="15" customHeight="1" s="78">
      <c r="A1048" s="95">
        <f>IF($H1048="","",ROW()-6)</f>
        <v/>
      </c>
      <c r="B1048" s="114" t="n"/>
      <c r="C1048" s="102" t="n"/>
      <c r="D1048" s="114" t="n"/>
      <c r="E1048" s="103" t="n"/>
      <c r="F1048" s="102" t="n"/>
      <c r="G1048" s="102" t="n"/>
      <c r="H1048" s="115" t="n"/>
      <c r="I1048" s="102" t="n"/>
      <c r="J1048" s="102" t="n"/>
      <c r="K1048" s="103" t="n"/>
      <c r="L1048" s="116">
        <f>IF($H1048="","",TRIM(IF(COUNTIF(DMTK!$A$7:$A$250,$F1048)=0,"TK Nợ sai! ","")&amp;IF(COUNTIF(DMTK!$A$7:$A$250,$G1048)=0,"TK Có sai! ","")&amp;IF(N($H1048)&lt;=0,"Tiền phải &gt; 0! ","")&amp;IF($B1048="","Thiếu ngày! ","")&amp;IF(AND(OR(LEFT($F1048,3)="131",LEFT($G1048,3)="131",LEFT($F1048,3)="331",LEFT($G1048,3)="331"),$I1048=""),"Thiếu Mã ĐT! ","")&amp;IF(AND($I1048&lt;&gt;"",COUNTIF(DM_DT!$A$7:$A$306,$I1048)=0),"Mã ĐT chưa khai báo! ","")))</f>
        <v/>
      </c>
      <c r="M1048" s="117">
        <f>IF($H1048="","",IF(AND(OR(LEFT($F1048,3)="111",LEFT($F1048,3)="112",LEFT($F1048,3)="113"),OR(LEFT($G1048,3)="111",LEFT($G1048,3)="112",LEFT($G1048,3)="113")),"NB",IF(OR(LEFT($F1048,3)="111",LEFT($F1048,3)="112",LEFT($F1048,3)="113"),"THU",IF(OR(LEFT($G1048,3)="111",LEFT($G1048,3)="112",LEFT($G1048,3)="113"),"CHI",""))))</f>
        <v/>
      </c>
      <c r="N1048" s="117">
        <f>IF($M1048="THU",$G1048,IF($M1048="CHI",$F1048,""))</f>
        <v/>
      </c>
      <c r="O1048" s="117">
        <f>IF(OR($M1048="",$M1048="NB"),"",IF($J1048&lt;&gt;"",TEXT($J1048,"00"),IFERROR(VLOOKUP(LEFT($N1048,4),LCTT_MAP!$A$7:$C$66,IF($M1048="THU",2,3),FALSE()),IFERROR(VLOOKUP(LEFT($N1048,3),LCTT_MAP!$A$7:$C$66,IF($M1048="THU",2,3),FALSE()),IFERROR(VLOOKUP(LEFT($N1048,2),LCTT_MAP!$A$7:$C$66,IF($M1048="THU",2,3),FALSE()),IFERROR(VLOOKUP(LEFT($N1048,1),LCTT_MAP!$A$7:$C$66,IF($M1048="THU",2,3),FALSE()),IF($M1048="THU","06","07")))))))</f>
        <v/>
      </c>
      <c r="P1048" s="117">
        <f>P1047+IF(AND($H1048&lt;&gt;"",OR(LEFT($F1048,LEN(SC_TK))=SC_TK,LEFT($G1048,LEN(SC_TK))=SC_TK)),1,0)</f>
        <v/>
      </c>
    </row>
    <row r="1049" ht="15" customHeight="1" s="78">
      <c r="A1049" s="95">
        <f>IF($H1049="","",ROW()-6)</f>
        <v/>
      </c>
      <c r="B1049" s="114" t="n"/>
      <c r="C1049" s="102" t="n"/>
      <c r="D1049" s="114" t="n"/>
      <c r="E1049" s="103" t="n"/>
      <c r="F1049" s="102" t="n"/>
      <c r="G1049" s="102" t="n"/>
      <c r="H1049" s="115" t="n"/>
      <c r="I1049" s="102" t="n"/>
      <c r="J1049" s="102" t="n"/>
      <c r="K1049" s="103" t="n"/>
      <c r="L1049" s="116">
        <f>IF($H1049="","",TRIM(IF(COUNTIF(DMTK!$A$7:$A$250,$F1049)=0,"TK Nợ sai! ","")&amp;IF(COUNTIF(DMTK!$A$7:$A$250,$G1049)=0,"TK Có sai! ","")&amp;IF(N($H1049)&lt;=0,"Tiền phải &gt; 0! ","")&amp;IF($B1049="","Thiếu ngày! ","")&amp;IF(AND(OR(LEFT($F1049,3)="131",LEFT($G1049,3)="131",LEFT($F1049,3)="331",LEFT($G1049,3)="331"),$I1049=""),"Thiếu Mã ĐT! ","")&amp;IF(AND($I1049&lt;&gt;"",COUNTIF(DM_DT!$A$7:$A$306,$I1049)=0),"Mã ĐT chưa khai báo! ","")))</f>
        <v/>
      </c>
      <c r="M1049" s="117">
        <f>IF($H1049="","",IF(AND(OR(LEFT($F1049,3)="111",LEFT($F1049,3)="112",LEFT($F1049,3)="113"),OR(LEFT($G1049,3)="111",LEFT($G1049,3)="112",LEFT($G1049,3)="113")),"NB",IF(OR(LEFT($F1049,3)="111",LEFT($F1049,3)="112",LEFT($F1049,3)="113"),"THU",IF(OR(LEFT($G1049,3)="111",LEFT($G1049,3)="112",LEFT($G1049,3)="113"),"CHI",""))))</f>
        <v/>
      </c>
      <c r="N1049" s="117">
        <f>IF($M1049="THU",$G1049,IF($M1049="CHI",$F1049,""))</f>
        <v/>
      </c>
      <c r="O1049" s="117">
        <f>IF(OR($M1049="",$M1049="NB"),"",IF($J1049&lt;&gt;"",TEXT($J1049,"00"),IFERROR(VLOOKUP(LEFT($N1049,4),LCTT_MAP!$A$7:$C$66,IF($M1049="THU",2,3),FALSE()),IFERROR(VLOOKUP(LEFT($N1049,3),LCTT_MAP!$A$7:$C$66,IF($M1049="THU",2,3),FALSE()),IFERROR(VLOOKUP(LEFT($N1049,2),LCTT_MAP!$A$7:$C$66,IF($M1049="THU",2,3),FALSE()),IFERROR(VLOOKUP(LEFT($N1049,1),LCTT_MAP!$A$7:$C$66,IF($M1049="THU",2,3),FALSE()),IF($M1049="THU","06","07")))))))</f>
        <v/>
      </c>
      <c r="P1049" s="117">
        <f>P1048+IF(AND($H1049&lt;&gt;"",OR(LEFT($F1049,LEN(SC_TK))=SC_TK,LEFT($G1049,LEN(SC_TK))=SC_TK)),1,0)</f>
        <v/>
      </c>
    </row>
    <row r="1050" ht="15" customHeight="1" s="78">
      <c r="A1050" s="95">
        <f>IF($H1050="","",ROW()-6)</f>
        <v/>
      </c>
      <c r="B1050" s="114" t="n"/>
      <c r="C1050" s="102" t="n"/>
      <c r="D1050" s="114" t="n"/>
      <c r="E1050" s="103" t="n"/>
      <c r="F1050" s="102" t="n"/>
      <c r="G1050" s="102" t="n"/>
      <c r="H1050" s="115" t="n"/>
      <c r="I1050" s="102" t="n"/>
      <c r="J1050" s="102" t="n"/>
      <c r="K1050" s="103" t="n"/>
      <c r="L1050" s="116">
        <f>IF($H1050="","",TRIM(IF(COUNTIF(DMTK!$A$7:$A$250,$F1050)=0,"TK Nợ sai! ","")&amp;IF(COUNTIF(DMTK!$A$7:$A$250,$G1050)=0,"TK Có sai! ","")&amp;IF(N($H1050)&lt;=0,"Tiền phải &gt; 0! ","")&amp;IF($B1050="","Thiếu ngày! ","")&amp;IF(AND(OR(LEFT($F1050,3)="131",LEFT($G1050,3)="131",LEFT($F1050,3)="331",LEFT($G1050,3)="331"),$I1050=""),"Thiếu Mã ĐT! ","")&amp;IF(AND($I1050&lt;&gt;"",COUNTIF(DM_DT!$A$7:$A$306,$I1050)=0),"Mã ĐT chưa khai báo! ","")))</f>
        <v/>
      </c>
      <c r="M1050" s="117">
        <f>IF($H1050="","",IF(AND(OR(LEFT($F1050,3)="111",LEFT($F1050,3)="112",LEFT($F1050,3)="113"),OR(LEFT($G1050,3)="111",LEFT($G1050,3)="112",LEFT($G1050,3)="113")),"NB",IF(OR(LEFT($F1050,3)="111",LEFT($F1050,3)="112",LEFT($F1050,3)="113"),"THU",IF(OR(LEFT($G1050,3)="111",LEFT($G1050,3)="112",LEFT($G1050,3)="113"),"CHI",""))))</f>
        <v/>
      </c>
      <c r="N1050" s="117">
        <f>IF($M1050="THU",$G1050,IF($M1050="CHI",$F1050,""))</f>
        <v/>
      </c>
      <c r="O1050" s="117">
        <f>IF(OR($M1050="",$M1050="NB"),"",IF($J1050&lt;&gt;"",TEXT($J1050,"00"),IFERROR(VLOOKUP(LEFT($N1050,4),LCTT_MAP!$A$7:$C$66,IF($M1050="THU",2,3),FALSE()),IFERROR(VLOOKUP(LEFT($N1050,3),LCTT_MAP!$A$7:$C$66,IF($M1050="THU",2,3),FALSE()),IFERROR(VLOOKUP(LEFT($N1050,2),LCTT_MAP!$A$7:$C$66,IF($M1050="THU",2,3),FALSE()),IFERROR(VLOOKUP(LEFT($N1050,1),LCTT_MAP!$A$7:$C$66,IF($M1050="THU",2,3),FALSE()),IF($M1050="THU","06","07")))))))</f>
        <v/>
      </c>
      <c r="P1050" s="117">
        <f>P1049+IF(AND($H1050&lt;&gt;"",OR(LEFT($F1050,LEN(SC_TK))=SC_TK,LEFT($G1050,LEN(SC_TK))=SC_TK)),1,0)</f>
        <v/>
      </c>
    </row>
    <row r="1051" ht="15" customHeight="1" s="78">
      <c r="A1051" s="95">
        <f>IF($H1051="","",ROW()-6)</f>
        <v/>
      </c>
      <c r="B1051" s="114" t="n"/>
      <c r="C1051" s="102" t="n"/>
      <c r="D1051" s="114" t="n"/>
      <c r="E1051" s="103" t="n"/>
      <c r="F1051" s="102" t="n"/>
      <c r="G1051" s="102" t="n"/>
      <c r="H1051" s="115" t="n"/>
      <c r="I1051" s="102" t="n"/>
      <c r="J1051" s="102" t="n"/>
      <c r="K1051" s="103" t="n"/>
      <c r="L1051" s="116">
        <f>IF($H1051="","",TRIM(IF(COUNTIF(DMTK!$A$7:$A$250,$F1051)=0,"TK Nợ sai! ","")&amp;IF(COUNTIF(DMTK!$A$7:$A$250,$G1051)=0,"TK Có sai! ","")&amp;IF(N($H1051)&lt;=0,"Tiền phải &gt; 0! ","")&amp;IF($B1051="","Thiếu ngày! ","")&amp;IF(AND(OR(LEFT($F1051,3)="131",LEFT($G1051,3)="131",LEFT($F1051,3)="331",LEFT($G1051,3)="331"),$I1051=""),"Thiếu Mã ĐT! ","")&amp;IF(AND($I1051&lt;&gt;"",COUNTIF(DM_DT!$A$7:$A$306,$I1051)=0),"Mã ĐT chưa khai báo! ","")))</f>
        <v/>
      </c>
      <c r="M1051" s="117">
        <f>IF($H1051="","",IF(AND(OR(LEFT($F1051,3)="111",LEFT($F1051,3)="112",LEFT($F1051,3)="113"),OR(LEFT($G1051,3)="111",LEFT($G1051,3)="112",LEFT($G1051,3)="113")),"NB",IF(OR(LEFT($F1051,3)="111",LEFT($F1051,3)="112",LEFT($F1051,3)="113"),"THU",IF(OR(LEFT($G1051,3)="111",LEFT($G1051,3)="112",LEFT($G1051,3)="113"),"CHI",""))))</f>
        <v/>
      </c>
      <c r="N1051" s="117">
        <f>IF($M1051="THU",$G1051,IF($M1051="CHI",$F1051,""))</f>
        <v/>
      </c>
      <c r="O1051" s="117">
        <f>IF(OR($M1051="",$M1051="NB"),"",IF($J1051&lt;&gt;"",TEXT($J1051,"00"),IFERROR(VLOOKUP(LEFT($N1051,4),LCTT_MAP!$A$7:$C$66,IF($M1051="THU",2,3),FALSE()),IFERROR(VLOOKUP(LEFT($N1051,3),LCTT_MAP!$A$7:$C$66,IF($M1051="THU",2,3),FALSE()),IFERROR(VLOOKUP(LEFT($N1051,2),LCTT_MAP!$A$7:$C$66,IF($M1051="THU",2,3),FALSE()),IFERROR(VLOOKUP(LEFT($N1051,1),LCTT_MAP!$A$7:$C$66,IF($M1051="THU",2,3),FALSE()),IF($M1051="THU","06","07")))))))</f>
        <v/>
      </c>
      <c r="P1051" s="117">
        <f>P1050+IF(AND($H1051&lt;&gt;"",OR(LEFT($F1051,LEN(SC_TK))=SC_TK,LEFT($G1051,LEN(SC_TK))=SC_TK)),1,0)</f>
        <v/>
      </c>
    </row>
    <row r="1052" ht="15" customHeight="1" s="78">
      <c r="A1052" s="95">
        <f>IF($H1052="","",ROW()-6)</f>
        <v/>
      </c>
      <c r="B1052" s="114" t="n"/>
      <c r="C1052" s="102" t="n"/>
      <c r="D1052" s="114" t="n"/>
      <c r="E1052" s="103" t="n"/>
      <c r="F1052" s="102" t="n"/>
      <c r="G1052" s="102" t="n"/>
      <c r="H1052" s="115" t="n"/>
      <c r="I1052" s="102" t="n"/>
      <c r="J1052" s="102" t="n"/>
      <c r="K1052" s="103" t="n"/>
      <c r="L1052" s="116">
        <f>IF($H1052="","",TRIM(IF(COUNTIF(DMTK!$A$7:$A$250,$F1052)=0,"TK Nợ sai! ","")&amp;IF(COUNTIF(DMTK!$A$7:$A$250,$G1052)=0,"TK Có sai! ","")&amp;IF(N($H1052)&lt;=0,"Tiền phải &gt; 0! ","")&amp;IF($B1052="","Thiếu ngày! ","")&amp;IF(AND(OR(LEFT($F1052,3)="131",LEFT($G1052,3)="131",LEFT($F1052,3)="331",LEFT($G1052,3)="331"),$I1052=""),"Thiếu Mã ĐT! ","")&amp;IF(AND($I1052&lt;&gt;"",COUNTIF(DM_DT!$A$7:$A$306,$I1052)=0),"Mã ĐT chưa khai báo! ","")))</f>
        <v/>
      </c>
      <c r="M1052" s="117">
        <f>IF($H1052="","",IF(AND(OR(LEFT($F1052,3)="111",LEFT($F1052,3)="112",LEFT($F1052,3)="113"),OR(LEFT($G1052,3)="111",LEFT($G1052,3)="112",LEFT($G1052,3)="113")),"NB",IF(OR(LEFT($F1052,3)="111",LEFT($F1052,3)="112",LEFT($F1052,3)="113"),"THU",IF(OR(LEFT($G1052,3)="111",LEFT($G1052,3)="112",LEFT($G1052,3)="113"),"CHI",""))))</f>
        <v/>
      </c>
      <c r="N1052" s="117">
        <f>IF($M1052="THU",$G1052,IF($M1052="CHI",$F1052,""))</f>
        <v/>
      </c>
      <c r="O1052" s="117">
        <f>IF(OR($M1052="",$M1052="NB"),"",IF($J1052&lt;&gt;"",TEXT($J1052,"00"),IFERROR(VLOOKUP(LEFT($N1052,4),LCTT_MAP!$A$7:$C$66,IF($M1052="THU",2,3),FALSE()),IFERROR(VLOOKUP(LEFT($N1052,3),LCTT_MAP!$A$7:$C$66,IF($M1052="THU",2,3),FALSE()),IFERROR(VLOOKUP(LEFT($N1052,2),LCTT_MAP!$A$7:$C$66,IF($M1052="THU",2,3),FALSE()),IFERROR(VLOOKUP(LEFT($N1052,1),LCTT_MAP!$A$7:$C$66,IF($M1052="THU",2,3),FALSE()),IF($M1052="THU","06","07")))))))</f>
        <v/>
      </c>
      <c r="P1052" s="117">
        <f>P1051+IF(AND($H1052&lt;&gt;"",OR(LEFT($F1052,LEN(SC_TK))=SC_TK,LEFT($G1052,LEN(SC_TK))=SC_TK)),1,0)</f>
        <v/>
      </c>
    </row>
    <row r="1053" ht="15" customHeight="1" s="78">
      <c r="A1053" s="95">
        <f>IF($H1053="","",ROW()-6)</f>
        <v/>
      </c>
      <c r="B1053" s="114" t="n"/>
      <c r="C1053" s="102" t="n"/>
      <c r="D1053" s="114" t="n"/>
      <c r="E1053" s="103" t="n"/>
      <c r="F1053" s="102" t="n"/>
      <c r="G1053" s="102" t="n"/>
      <c r="H1053" s="115" t="n"/>
      <c r="I1053" s="102" t="n"/>
      <c r="J1053" s="102" t="n"/>
      <c r="K1053" s="103" t="n"/>
      <c r="L1053" s="116">
        <f>IF($H1053="","",TRIM(IF(COUNTIF(DMTK!$A$7:$A$250,$F1053)=0,"TK Nợ sai! ","")&amp;IF(COUNTIF(DMTK!$A$7:$A$250,$G1053)=0,"TK Có sai! ","")&amp;IF(N($H1053)&lt;=0,"Tiền phải &gt; 0! ","")&amp;IF($B1053="","Thiếu ngày! ","")&amp;IF(AND(OR(LEFT($F1053,3)="131",LEFT($G1053,3)="131",LEFT($F1053,3)="331",LEFT($G1053,3)="331"),$I1053=""),"Thiếu Mã ĐT! ","")&amp;IF(AND($I1053&lt;&gt;"",COUNTIF(DM_DT!$A$7:$A$306,$I1053)=0),"Mã ĐT chưa khai báo! ","")))</f>
        <v/>
      </c>
      <c r="M1053" s="117">
        <f>IF($H1053="","",IF(AND(OR(LEFT($F1053,3)="111",LEFT($F1053,3)="112",LEFT($F1053,3)="113"),OR(LEFT($G1053,3)="111",LEFT($G1053,3)="112",LEFT($G1053,3)="113")),"NB",IF(OR(LEFT($F1053,3)="111",LEFT($F1053,3)="112",LEFT($F1053,3)="113"),"THU",IF(OR(LEFT($G1053,3)="111",LEFT($G1053,3)="112",LEFT($G1053,3)="113"),"CHI",""))))</f>
        <v/>
      </c>
      <c r="N1053" s="117">
        <f>IF($M1053="THU",$G1053,IF($M1053="CHI",$F1053,""))</f>
        <v/>
      </c>
      <c r="O1053" s="117">
        <f>IF(OR($M1053="",$M1053="NB"),"",IF($J1053&lt;&gt;"",TEXT($J1053,"00"),IFERROR(VLOOKUP(LEFT($N1053,4),LCTT_MAP!$A$7:$C$66,IF($M1053="THU",2,3),FALSE()),IFERROR(VLOOKUP(LEFT($N1053,3),LCTT_MAP!$A$7:$C$66,IF($M1053="THU",2,3),FALSE()),IFERROR(VLOOKUP(LEFT($N1053,2),LCTT_MAP!$A$7:$C$66,IF($M1053="THU",2,3),FALSE()),IFERROR(VLOOKUP(LEFT($N1053,1),LCTT_MAP!$A$7:$C$66,IF($M1053="THU",2,3),FALSE()),IF($M1053="THU","06","07")))))))</f>
        <v/>
      </c>
      <c r="P1053" s="117">
        <f>P1052+IF(AND($H1053&lt;&gt;"",OR(LEFT($F1053,LEN(SC_TK))=SC_TK,LEFT($G1053,LEN(SC_TK))=SC_TK)),1,0)</f>
        <v/>
      </c>
    </row>
    <row r="1054" ht="15" customHeight="1" s="78">
      <c r="A1054" s="95">
        <f>IF($H1054="","",ROW()-6)</f>
        <v/>
      </c>
      <c r="B1054" s="114" t="n"/>
      <c r="C1054" s="102" t="n"/>
      <c r="D1054" s="114" t="n"/>
      <c r="E1054" s="103" t="n"/>
      <c r="F1054" s="102" t="n"/>
      <c r="G1054" s="102" t="n"/>
      <c r="H1054" s="115" t="n"/>
      <c r="I1054" s="102" t="n"/>
      <c r="J1054" s="102" t="n"/>
      <c r="K1054" s="103" t="n"/>
      <c r="L1054" s="116">
        <f>IF($H1054="","",TRIM(IF(COUNTIF(DMTK!$A$7:$A$250,$F1054)=0,"TK Nợ sai! ","")&amp;IF(COUNTIF(DMTK!$A$7:$A$250,$G1054)=0,"TK Có sai! ","")&amp;IF(N($H1054)&lt;=0,"Tiền phải &gt; 0! ","")&amp;IF($B1054="","Thiếu ngày! ","")&amp;IF(AND(OR(LEFT($F1054,3)="131",LEFT($G1054,3)="131",LEFT($F1054,3)="331",LEFT($G1054,3)="331"),$I1054=""),"Thiếu Mã ĐT! ","")&amp;IF(AND($I1054&lt;&gt;"",COUNTIF(DM_DT!$A$7:$A$306,$I1054)=0),"Mã ĐT chưa khai báo! ","")))</f>
        <v/>
      </c>
      <c r="M1054" s="117">
        <f>IF($H1054="","",IF(AND(OR(LEFT($F1054,3)="111",LEFT($F1054,3)="112",LEFT($F1054,3)="113"),OR(LEFT($G1054,3)="111",LEFT($G1054,3)="112",LEFT($G1054,3)="113")),"NB",IF(OR(LEFT($F1054,3)="111",LEFT($F1054,3)="112",LEFT($F1054,3)="113"),"THU",IF(OR(LEFT($G1054,3)="111",LEFT($G1054,3)="112",LEFT($G1054,3)="113"),"CHI",""))))</f>
        <v/>
      </c>
      <c r="N1054" s="117">
        <f>IF($M1054="THU",$G1054,IF($M1054="CHI",$F1054,""))</f>
        <v/>
      </c>
      <c r="O1054" s="117">
        <f>IF(OR($M1054="",$M1054="NB"),"",IF($J1054&lt;&gt;"",TEXT($J1054,"00"),IFERROR(VLOOKUP(LEFT($N1054,4),LCTT_MAP!$A$7:$C$66,IF($M1054="THU",2,3),FALSE()),IFERROR(VLOOKUP(LEFT($N1054,3),LCTT_MAP!$A$7:$C$66,IF($M1054="THU",2,3),FALSE()),IFERROR(VLOOKUP(LEFT($N1054,2),LCTT_MAP!$A$7:$C$66,IF($M1054="THU",2,3),FALSE()),IFERROR(VLOOKUP(LEFT($N1054,1),LCTT_MAP!$A$7:$C$66,IF($M1054="THU",2,3),FALSE()),IF($M1054="THU","06","07")))))))</f>
        <v/>
      </c>
      <c r="P1054" s="117">
        <f>P1053+IF(AND($H1054&lt;&gt;"",OR(LEFT($F1054,LEN(SC_TK))=SC_TK,LEFT($G1054,LEN(SC_TK))=SC_TK)),1,0)</f>
        <v/>
      </c>
    </row>
    <row r="1055" ht="15" customHeight="1" s="78">
      <c r="A1055" s="95">
        <f>IF($H1055="","",ROW()-6)</f>
        <v/>
      </c>
      <c r="B1055" s="114" t="n"/>
      <c r="C1055" s="102" t="n"/>
      <c r="D1055" s="114" t="n"/>
      <c r="E1055" s="103" t="n"/>
      <c r="F1055" s="102" t="n"/>
      <c r="G1055" s="102" t="n"/>
      <c r="H1055" s="115" t="n"/>
      <c r="I1055" s="102" t="n"/>
      <c r="J1055" s="102" t="n"/>
      <c r="K1055" s="103" t="n"/>
      <c r="L1055" s="116">
        <f>IF($H1055="","",TRIM(IF(COUNTIF(DMTK!$A$7:$A$250,$F1055)=0,"TK Nợ sai! ","")&amp;IF(COUNTIF(DMTK!$A$7:$A$250,$G1055)=0,"TK Có sai! ","")&amp;IF(N($H1055)&lt;=0,"Tiền phải &gt; 0! ","")&amp;IF($B1055="","Thiếu ngày! ","")&amp;IF(AND(OR(LEFT($F1055,3)="131",LEFT($G1055,3)="131",LEFT($F1055,3)="331",LEFT($G1055,3)="331"),$I1055=""),"Thiếu Mã ĐT! ","")&amp;IF(AND($I1055&lt;&gt;"",COUNTIF(DM_DT!$A$7:$A$306,$I1055)=0),"Mã ĐT chưa khai báo! ","")))</f>
        <v/>
      </c>
      <c r="M1055" s="117">
        <f>IF($H1055="","",IF(AND(OR(LEFT($F1055,3)="111",LEFT($F1055,3)="112",LEFT($F1055,3)="113"),OR(LEFT($G1055,3)="111",LEFT($G1055,3)="112",LEFT($G1055,3)="113")),"NB",IF(OR(LEFT($F1055,3)="111",LEFT($F1055,3)="112",LEFT($F1055,3)="113"),"THU",IF(OR(LEFT($G1055,3)="111",LEFT($G1055,3)="112",LEFT($G1055,3)="113"),"CHI",""))))</f>
        <v/>
      </c>
      <c r="N1055" s="117">
        <f>IF($M1055="THU",$G1055,IF($M1055="CHI",$F1055,""))</f>
        <v/>
      </c>
      <c r="O1055" s="117">
        <f>IF(OR($M1055="",$M1055="NB"),"",IF($J1055&lt;&gt;"",TEXT($J1055,"00"),IFERROR(VLOOKUP(LEFT($N1055,4),LCTT_MAP!$A$7:$C$66,IF($M1055="THU",2,3),FALSE()),IFERROR(VLOOKUP(LEFT($N1055,3),LCTT_MAP!$A$7:$C$66,IF($M1055="THU",2,3),FALSE()),IFERROR(VLOOKUP(LEFT($N1055,2),LCTT_MAP!$A$7:$C$66,IF($M1055="THU",2,3),FALSE()),IFERROR(VLOOKUP(LEFT($N1055,1),LCTT_MAP!$A$7:$C$66,IF($M1055="THU",2,3),FALSE()),IF($M1055="THU","06","07")))))))</f>
        <v/>
      </c>
      <c r="P1055" s="117">
        <f>P1054+IF(AND($H1055&lt;&gt;"",OR(LEFT($F1055,LEN(SC_TK))=SC_TK,LEFT($G1055,LEN(SC_TK))=SC_TK)),1,0)</f>
        <v/>
      </c>
    </row>
    <row r="1056" ht="15" customHeight="1" s="78">
      <c r="A1056" s="95">
        <f>IF($H1056="","",ROW()-6)</f>
        <v/>
      </c>
      <c r="B1056" s="114" t="n"/>
      <c r="C1056" s="102" t="n"/>
      <c r="D1056" s="114" t="n"/>
      <c r="E1056" s="103" t="n"/>
      <c r="F1056" s="102" t="n"/>
      <c r="G1056" s="102" t="n"/>
      <c r="H1056" s="115" t="n"/>
      <c r="I1056" s="102" t="n"/>
      <c r="J1056" s="102" t="n"/>
      <c r="K1056" s="103" t="n"/>
      <c r="L1056" s="116">
        <f>IF($H1056="","",TRIM(IF(COUNTIF(DMTK!$A$7:$A$250,$F1056)=0,"TK Nợ sai! ","")&amp;IF(COUNTIF(DMTK!$A$7:$A$250,$G1056)=0,"TK Có sai! ","")&amp;IF(N($H1056)&lt;=0,"Tiền phải &gt; 0! ","")&amp;IF($B1056="","Thiếu ngày! ","")&amp;IF(AND(OR(LEFT($F1056,3)="131",LEFT($G1056,3)="131",LEFT($F1056,3)="331",LEFT($G1056,3)="331"),$I1056=""),"Thiếu Mã ĐT! ","")&amp;IF(AND($I1056&lt;&gt;"",COUNTIF(DM_DT!$A$7:$A$306,$I1056)=0),"Mã ĐT chưa khai báo! ","")))</f>
        <v/>
      </c>
      <c r="M1056" s="117">
        <f>IF($H1056="","",IF(AND(OR(LEFT($F1056,3)="111",LEFT($F1056,3)="112",LEFT($F1056,3)="113"),OR(LEFT($G1056,3)="111",LEFT($G1056,3)="112",LEFT($G1056,3)="113")),"NB",IF(OR(LEFT($F1056,3)="111",LEFT($F1056,3)="112",LEFT($F1056,3)="113"),"THU",IF(OR(LEFT($G1056,3)="111",LEFT($G1056,3)="112",LEFT($G1056,3)="113"),"CHI",""))))</f>
        <v/>
      </c>
      <c r="N1056" s="117">
        <f>IF($M1056="THU",$G1056,IF($M1056="CHI",$F1056,""))</f>
        <v/>
      </c>
      <c r="O1056" s="117">
        <f>IF(OR($M1056="",$M1056="NB"),"",IF($J1056&lt;&gt;"",TEXT($J1056,"00"),IFERROR(VLOOKUP(LEFT($N1056,4),LCTT_MAP!$A$7:$C$66,IF($M1056="THU",2,3),FALSE()),IFERROR(VLOOKUP(LEFT($N1056,3),LCTT_MAP!$A$7:$C$66,IF($M1056="THU",2,3),FALSE()),IFERROR(VLOOKUP(LEFT($N1056,2),LCTT_MAP!$A$7:$C$66,IF($M1056="THU",2,3),FALSE()),IFERROR(VLOOKUP(LEFT($N1056,1),LCTT_MAP!$A$7:$C$66,IF($M1056="THU",2,3),FALSE()),IF($M1056="THU","06","07")))))))</f>
        <v/>
      </c>
      <c r="P1056" s="117">
        <f>P1055+IF(AND($H1056&lt;&gt;"",OR(LEFT($F1056,LEN(SC_TK))=SC_TK,LEFT($G1056,LEN(SC_TK))=SC_TK)),1,0)</f>
        <v/>
      </c>
    </row>
    <row r="1057" ht="15" customHeight="1" s="78">
      <c r="A1057" s="95">
        <f>IF($H1057="","",ROW()-6)</f>
        <v/>
      </c>
      <c r="B1057" s="114" t="n"/>
      <c r="C1057" s="102" t="n"/>
      <c r="D1057" s="114" t="n"/>
      <c r="E1057" s="103" t="n"/>
      <c r="F1057" s="102" t="n"/>
      <c r="G1057" s="102" t="n"/>
      <c r="H1057" s="115" t="n"/>
      <c r="I1057" s="102" t="n"/>
      <c r="J1057" s="102" t="n"/>
      <c r="K1057" s="103" t="n"/>
      <c r="L1057" s="116">
        <f>IF($H1057="","",TRIM(IF(COUNTIF(DMTK!$A$7:$A$250,$F1057)=0,"TK Nợ sai! ","")&amp;IF(COUNTIF(DMTK!$A$7:$A$250,$G1057)=0,"TK Có sai! ","")&amp;IF(N($H1057)&lt;=0,"Tiền phải &gt; 0! ","")&amp;IF($B1057="","Thiếu ngày! ","")&amp;IF(AND(OR(LEFT($F1057,3)="131",LEFT($G1057,3)="131",LEFT($F1057,3)="331",LEFT($G1057,3)="331"),$I1057=""),"Thiếu Mã ĐT! ","")&amp;IF(AND($I1057&lt;&gt;"",COUNTIF(DM_DT!$A$7:$A$306,$I1057)=0),"Mã ĐT chưa khai báo! ","")))</f>
        <v/>
      </c>
      <c r="M1057" s="117">
        <f>IF($H1057="","",IF(AND(OR(LEFT($F1057,3)="111",LEFT($F1057,3)="112",LEFT($F1057,3)="113"),OR(LEFT($G1057,3)="111",LEFT($G1057,3)="112",LEFT($G1057,3)="113")),"NB",IF(OR(LEFT($F1057,3)="111",LEFT($F1057,3)="112",LEFT($F1057,3)="113"),"THU",IF(OR(LEFT($G1057,3)="111",LEFT($G1057,3)="112",LEFT($G1057,3)="113"),"CHI",""))))</f>
        <v/>
      </c>
      <c r="N1057" s="117">
        <f>IF($M1057="THU",$G1057,IF($M1057="CHI",$F1057,""))</f>
        <v/>
      </c>
      <c r="O1057" s="117">
        <f>IF(OR($M1057="",$M1057="NB"),"",IF($J1057&lt;&gt;"",TEXT($J1057,"00"),IFERROR(VLOOKUP(LEFT($N1057,4),LCTT_MAP!$A$7:$C$66,IF($M1057="THU",2,3),FALSE()),IFERROR(VLOOKUP(LEFT($N1057,3),LCTT_MAP!$A$7:$C$66,IF($M1057="THU",2,3),FALSE()),IFERROR(VLOOKUP(LEFT($N1057,2),LCTT_MAP!$A$7:$C$66,IF($M1057="THU",2,3),FALSE()),IFERROR(VLOOKUP(LEFT($N1057,1),LCTT_MAP!$A$7:$C$66,IF($M1057="THU",2,3),FALSE()),IF($M1057="THU","06","07")))))))</f>
        <v/>
      </c>
      <c r="P1057" s="117">
        <f>P1056+IF(AND($H1057&lt;&gt;"",OR(LEFT($F1057,LEN(SC_TK))=SC_TK,LEFT($G1057,LEN(SC_TK))=SC_TK)),1,0)</f>
        <v/>
      </c>
    </row>
    <row r="1058" ht="15" customHeight="1" s="78">
      <c r="A1058" s="95">
        <f>IF($H1058="","",ROW()-6)</f>
        <v/>
      </c>
      <c r="B1058" s="114" t="n"/>
      <c r="C1058" s="102" t="n"/>
      <c r="D1058" s="114" t="n"/>
      <c r="E1058" s="103" t="n"/>
      <c r="F1058" s="102" t="n"/>
      <c r="G1058" s="102" t="n"/>
      <c r="H1058" s="115" t="n"/>
      <c r="I1058" s="102" t="n"/>
      <c r="J1058" s="102" t="n"/>
      <c r="K1058" s="103" t="n"/>
      <c r="L1058" s="116">
        <f>IF($H1058="","",TRIM(IF(COUNTIF(DMTK!$A$7:$A$250,$F1058)=0,"TK Nợ sai! ","")&amp;IF(COUNTIF(DMTK!$A$7:$A$250,$G1058)=0,"TK Có sai! ","")&amp;IF(N($H1058)&lt;=0,"Tiền phải &gt; 0! ","")&amp;IF($B1058="","Thiếu ngày! ","")&amp;IF(AND(OR(LEFT($F1058,3)="131",LEFT($G1058,3)="131",LEFT($F1058,3)="331",LEFT($G1058,3)="331"),$I1058=""),"Thiếu Mã ĐT! ","")&amp;IF(AND($I1058&lt;&gt;"",COUNTIF(DM_DT!$A$7:$A$306,$I1058)=0),"Mã ĐT chưa khai báo! ","")))</f>
        <v/>
      </c>
      <c r="M1058" s="117">
        <f>IF($H1058="","",IF(AND(OR(LEFT($F1058,3)="111",LEFT($F1058,3)="112",LEFT($F1058,3)="113"),OR(LEFT($G1058,3)="111",LEFT($G1058,3)="112",LEFT($G1058,3)="113")),"NB",IF(OR(LEFT($F1058,3)="111",LEFT($F1058,3)="112",LEFT($F1058,3)="113"),"THU",IF(OR(LEFT($G1058,3)="111",LEFT($G1058,3)="112",LEFT($G1058,3)="113"),"CHI",""))))</f>
        <v/>
      </c>
      <c r="N1058" s="117">
        <f>IF($M1058="THU",$G1058,IF($M1058="CHI",$F1058,""))</f>
        <v/>
      </c>
      <c r="O1058" s="117">
        <f>IF(OR($M1058="",$M1058="NB"),"",IF($J1058&lt;&gt;"",TEXT($J1058,"00"),IFERROR(VLOOKUP(LEFT($N1058,4),LCTT_MAP!$A$7:$C$66,IF($M1058="THU",2,3),FALSE()),IFERROR(VLOOKUP(LEFT($N1058,3),LCTT_MAP!$A$7:$C$66,IF($M1058="THU",2,3),FALSE()),IFERROR(VLOOKUP(LEFT($N1058,2),LCTT_MAP!$A$7:$C$66,IF($M1058="THU",2,3),FALSE()),IFERROR(VLOOKUP(LEFT($N1058,1),LCTT_MAP!$A$7:$C$66,IF($M1058="THU",2,3),FALSE()),IF($M1058="THU","06","07")))))))</f>
        <v/>
      </c>
      <c r="P1058" s="117">
        <f>P1057+IF(AND($H1058&lt;&gt;"",OR(LEFT($F1058,LEN(SC_TK))=SC_TK,LEFT($G1058,LEN(SC_TK))=SC_TK)),1,0)</f>
        <v/>
      </c>
    </row>
    <row r="1059" ht="15" customHeight="1" s="78">
      <c r="A1059" s="95">
        <f>IF($H1059="","",ROW()-6)</f>
        <v/>
      </c>
      <c r="B1059" s="114" t="n"/>
      <c r="C1059" s="102" t="n"/>
      <c r="D1059" s="114" t="n"/>
      <c r="E1059" s="103" t="n"/>
      <c r="F1059" s="102" t="n"/>
      <c r="G1059" s="102" t="n"/>
      <c r="H1059" s="115" t="n"/>
      <c r="I1059" s="102" t="n"/>
      <c r="J1059" s="102" t="n"/>
      <c r="K1059" s="103" t="n"/>
      <c r="L1059" s="116">
        <f>IF($H1059="","",TRIM(IF(COUNTIF(DMTK!$A$7:$A$250,$F1059)=0,"TK Nợ sai! ","")&amp;IF(COUNTIF(DMTK!$A$7:$A$250,$G1059)=0,"TK Có sai! ","")&amp;IF(N($H1059)&lt;=0,"Tiền phải &gt; 0! ","")&amp;IF($B1059="","Thiếu ngày! ","")&amp;IF(AND(OR(LEFT($F1059,3)="131",LEFT($G1059,3)="131",LEFT($F1059,3)="331",LEFT($G1059,3)="331"),$I1059=""),"Thiếu Mã ĐT! ","")&amp;IF(AND($I1059&lt;&gt;"",COUNTIF(DM_DT!$A$7:$A$306,$I1059)=0),"Mã ĐT chưa khai báo! ","")))</f>
        <v/>
      </c>
      <c r="M1059" s="117">
        <f>IF($H1059="","",IF(AND(OR(LEFT($F1059,3)="111",LEFT($F1059,3)="112",LEFT($F1059,3)="113"),OR(LEFT($G1059,3)="111",LEFT($G1059,3)="112",LEFT($G1059,3)="113")),"NB",IF(OR(LEFT($F1059,3)="111",LEFT($F1059,3)="112",LEFT($F1059,3)="113"),"THU",IF(OR(LEFT($G1059,3)="111",LEFT($G1059,3)="112",LEFT($G1059,3)="113"),"CHI",""))))</f>
        <v/>
      </c>
      <c r="N1059" s="117">
        <f>IF($M1059="THU",$G1059,IF($M1059="CHI",$F1059,""))</f>
        <v/>
      </c>
      <c r="O1059" s="117">
        <f>IF(OR($M1059="",$M1059="NB"),"",IF($J1059&lt;&gt;"",TEXT($J1059,"00"),IFERROR(VLOOKUP(LEFT($N1059,4),LCTT_MAP!$A$7:$C$66,IF($M1059="THU",2,3),FALSE()),IFERROR(VLOOKUP(LEFT($N1059,3),LCTT_MAP!$A$7:$C$66,IF($M1059="THU",2,3),FALSE()),IFERROR(VLOOKUP(LEFT($N1059,2),LCTT_MAP!$A$7:$C$66,IF($M1059="THU",2,3),FALSE()),IFERROR(VLOOKUP(LEFT($N1059,1),LCTT_MAP!$A$7:$C$66,IF($M1059="THU",2,3),FALSE()),IF($M1059="THU","06","07")))))))</f>
        <v/>
      </c>
      <c r="P1059" s="117">
        <f>P1058+IF(AND($H1059&lt;&gt;"",OR(LEFT($F1059,LEN(SC_TK))=SC_TK,LEFT($G1059,LEN(SC_TK))=SC_TK)),1,0)</f>
        <v/>
      </c>
    </row>
    <row r="1060" ht="15" customHeight="1" s="78">
      <c r="A1060" s="95">
        <f>IF($H1060="","",ROW()-6)</f>
        <v/>
      </c>
      <c r="B1060" s="114" t="n"/>
      <c r="C1060" s="102" t="n"/>
      <c r="D1060" s="114" t="n"/>
      <c r="E1060" s="103" t="n"/>
      <c r="F1060" s="102" t="n"/>
      <c r="G1060" s="102" t="n"/>
      <c r="H1060" s="115" t="n"/>
      <c r="I1060" s="102" t="n"/>
      <c r="J1060" s="102" t="n"/>
      <c r="K1060" s="103" t="n"/>
      <c r="L1060" s="116">
        <f>IF($H1060="","",TRIM(IF(COUNTIF(DMTK!$A$7:$A$250,$F1060)=0,"TK Nợ sai! ","")&amp;IF(COUNTIF(DMTK!$A$7:$A$250,$G1060)=0,"TK Có sai! ","")&amp;IF(N($H1060)&lt;=0,"Tiền phải &gt; 0! ","")&amp;IF($B1060="","Thiếu ngày! ","")&amp;IF(AND(OR(LEFT($F1060,3)="131",LEFT($G1060,3)="131",LEFT($F1060,3)="331",LEFT($G1060,3)="331"),$I1060=""),"Thiếu Mã ĐT! ","")&amp;IF(AND($I1060&lt;&gt;"",COUNTIF(DM_DT!$A$7:$A$306,$I1060)=0),"Mã ĐT chưa khai báo! ","")))</f>
        <v/>
      </c>
      <c r="M1060" s="117">
        <f>IF($H1060="","",IF(AND(OR(LEFT($F1060,3)="111",LEFT($F1060,3)="112",LEFT($F1060,3)="113"),OR(LEFT($G1060,3)="111",LEFT($G1060,3)="112",LEFT($G1060,3)="113")),"NB",IF(OR(LEFT($F1060,3)="111",LEFT($F1060,3)="112",LEFT($F1060,3)="113"),"THU",IF(OR(LEFT($G1060,3)="111",LEFT($G1060,3)="112",LEFT($G1060,3)="113"),"CHI",""))))</f>
        <v/>
      </c>
      <c r="N1060" s="117">
        <f>IF($M1060="THU",$G1060,IF($M1060="CHI",$F1060,""))</f>
        <v/>
      </c>
      <c r="O1060" s="117">
        <f>IF(OR($M1060="",$M1060="NB"),"",IF($J1060&lt;&gt;"",TEXT($J1060,"00"),IFERROR(VLOOKUP(LEFT($N1060,4),LCTT_MAP!$A$7:$C$66,IF($M1060="THU",2,3),FALSE()),IFERROR(VLOOKUP(LEFT($N1060,3),LCTT_MAP!$A$7:$C$66,IF($M1060="THU",2,3),FALSE()),IFERROR(VLOOKUP(LEFT($N1060,2),LCTT_MAP!$A$7:$C$66,IF($M1060="THU",2,3),FALSE()),IFERROR(VLOOKUP(LEFT($N1060,1),LCTT_MAP!$A$7:$C$66,IF($M1060="THU",2,3),FALSE()),IF($M1060="THU","06","07")))))))</f>
        <v/>
      </c>
      <c r="P1060" s="117">
        <f>P1059+IF(AND($H1060&lt;&gt;"",OR(LEFT($F1060,LEN(SC_TK))=SC_TK,LEFT($G1060,LEN(SC_TK))=SC_TK)),1,0)</f>
        <v/>
      </c>
    </row>
    <row r="1061" ht="15" customHeight="1" s="78">
      <c r="A1061" s="95">
        <f>IF($H1061="","",ROW()-6)</f>
        <v/>
      </c>
      <c r="B1061" s="114" t="n"/>
      <c r="C1061" s="102" t="n"/>
      <c r="D1061" s="114" t="n"/>
      <c r="E1061" s="103" t="n"/>
      <c r="F1061" s="102" t="n"/>
      <c r="G1061" s="102" t="n"/>
      <c r="H1061" s="115" t="n"/>
      <c r="I1061" s="102" t="n"/>
      <c r="J1061" s="102" t="n"/>
      <c r="K1061" s="103" t="n"/>
      <c r="L1061" s="116">
        <f>IF($H1061="","",TRIM(IF(COUNTIF(DMTK!$A$7:$A$250,$F1061)=0,"TK Nợ sai! ","")&amp;IF(COUNTIF(DMTK!$A$7:$A$250,$G1061)=0,"TK Có sai! ","")&amp;IF(N($H1061)&lt;=0,"Tiền phải &gt; 0! ","")&amp;IF($B1061="","Thiếu ngày! ","")&amp;IF(AND(OR(LEFT($F1061,3)="131",LEFT($G1061,3)="131",LEFT($F1061,3)="331",LEFT($G1061,3)="331"),$I1061=""),"Thiếu Mã ĐT! ","")&amp;IF(AND($I1061&lt;&gt;"",COUNTIF(DM_DT!$A$7:$A$306,$I1061)=0),"Mã ĐT chưa khai báo! ","")))</f>
        <v/>
      </c>
      <c r="M1061" s="117">
        <f>IF($H1061="","",IF(AND(OR(LEFT($F1061,3)="111",LEFT($F1061,3)="112",LEFT($F1061,3)="113"),OR(LEFT($G1061,3)="111",LEFT($G1061,3)="112",LEFT($G1061,3)="113")),"NB",IF(OR(LEFT($F1061,3)="111",LEFT($F1061,3)="112",LEFT($F1061,3)="113"),"THU",IF(OR(LEFT($G1061,3)="111",LEFT($G1061,3)="112",LEFT($G1061,3)="113"),"CHI",""))))</f>
        <v/>
      </c>
      <c r="N1061" s="117">
        <f>IF($M1061="THU",$G1061,IF($M1061="CHI",$F1061,""))</f>
        <v/>
      </c>
      <c r="O1061" s="117">
        <f>IF(OR($M1061="",$M1061="NB"),"",IF($J1061&lt;&gt;"",TEXT($J1061,"00"),IFERROR(VLOOKUP(LEFT($N1061,4),LCTT_MAP!$A$7:$C$66,IF($M1061="THU",2,3),FALSE()),IFERROR(VLOOKUP(LEFT($N1061,3),LCTT_MAP!$A$7:$C$66,IF($M1061="THU",2,3),FALSE()),IFERROR(VLOOKUP(LEFT($N1061,2),LCTT_MAP!$A$7:$C$66,IF($M1061="THU",2,3),FALSE()),IFERROR(VLOOKUP(LEFT($N1061,1),LCTT_MAP!$A$7:$C$66,IF($M1061="THU",2,3),FALSE()),IF($M1061="THU","06","07")))))))</f>
        <v/>
      </c>
      <c r="P1061" s="117">
        <f>P1060+IF(AND($H1061&lt;&gt;"",OR(LEFT($F1061,LEN(SC_TK))=SC_TK,LEFT($G1061,LEN(SC_TK))=SC_TK)),1,0)</f>
        <v/>
      </c>
    </row>
    <row r="1062" ht="15" customHeight="1" s="78">
      <c r="A1062" s="95">
        <f>IF($H1062="","",ROW()-6)</f>
        <v/>
      </c>
      <c r="B1062" s="114" t="n"/>
      <c r="C1062" s="102" t="n"/>
      <c r="D1062" s="114" t="n"/>
      <c r="E1062" s="103" t="n"/>
      <c r="F1062" s="102" t="n"/>
      <c r="G1062" s="102" t="n"/>
      <c r="H1062" s="115" t="n"/>
      <c r="I1062" s="102" t="n"/>
      <c r="J1062" s="102" t="n"/>
      <c r="K1062" s="103" t="n"/>
      <c r="L1062" s="116">
        <f>IF($H1062="","",TRIM(IF(COUNTIF(DMTK!$A$7:$A$250,$F1062)=0,"TK Nợ sai! ","")&amp;IF(COUNTIF(DMTK!$A$7:$A$250,$G1062)=0,"TK Có sai! ","")&amp;IF(N($H1062)&lt;=0,"Tiền phải &gt; 0! ","")&amp;IF($B1062="","Thiếu ngày! ","")&amp;IF(AND(OR(LEFT($F1062,3)="131",LEFT($G1062,3)="131",LEFT($F1062,3)="331",LEFT($G1062,3)="331"),$I1062=""),"Thiếu Mã ĐT! ","")&amp;IF(AND($I1062&lt;&gt;"",COUNTIF(DM_DT!$A$7:$A$306,$I1062)=0),"Mã ĐT chưa khai báo! ","")))</f>
        <v/>
      </c>
      <c r="M1062" s="117">
        <f>IF($H1062="","",IF(AND(OR(LEFT($F1062,3)="111",LEFT($F1062,3)="112",LEFT($F1062,3)="113"),OR(LEFT($G1062,3)="111",LEFT($G1062,3)="112",LEFT($G1062,3)="113")),"NB",IF(OR(LEFT($F1062,3)="111",LEFT($F1062,3)="112",LEFT($F1062,3)="113"),"THU",IF(OR(LEFT($G1062,3)="111",LEFT($G1062,3)="112",LEFT($G1062,3)="113"),"CHI",""))))</f>
        <v/>
      </c>
      <c r="N1062" s="117">
        <f>IF($M1062="THU",$G1062,IF($M1062="CHI",$F1062,""))</f>
        <v/>
      </c>
      <c r="O1062" s="117">
        <f>IF(OR($M1062="",$M1062="NB"),"",IF($J1062&lt;&gt;"",TEXT($J1062,"00"),IFERROR(VLOOKUP(LEFT($N1062,4),LCTT_MAP!$A$7:$C$66,IF($M1062="THU",2,3),FALSE()),IFERROR(VLOOKUP(LEFT($N1062,3),LCTT_MAP!$A$7:$C$66,IF($M1062="THU",2,3),FALSE()),IFERROR(VLOOKUP(LEFT($N1062,2),LCTT_MAP!$A$7:$C$66,IF($M1062="THU",2,3),FALSE()),IFERROR(VLOOKUP(LEFT($N1062,1),LCTT_MAP!$A$7:$C$66,IF($M1062="THU",2,3),FALSE()),IF($M1062="THU","06","07")))))))</f>
        <v/>
      </c>
      <c r="P1062" s="117">
        <f>P1061+IF(AND($H1062&lt;&gt;"",OR(LEFT($F1062,LEN(SC_TK))=SC_TK,LEFT($G1062,LEN(SC_TK))=SC_TK)),1,0)</f>
        <v/>
      </c>
    </row>
    <row r="1063" ht="15" customHeight="1" s="78">
      <c r="A1063" s="95">
        <f>IF($H1063="","",ROW()-6)</f>
        <v/>
      </c>
      <c r="B1063" s="114" t="n"/>
      <c r="C1063" s="102" t="n"/>
      <c r="D1063" s="114" t="n"/>
      <c r="E1063" s="103" t="n"/>
      <c r="F1063" s="102" t="n"/>
      <c r="G1063" s="102" t="n"/>
      <c r="H1063" s="115" t="n"/>
      <c r="I1063" s="102" t="n"/>
      <c r="J1063" s="102" t="n"/>
      <c r="K1063" s="103" t="n"/>
      <c r="L1063" s="116">
        <f>IF($H1063="","",TRIM(IF(COUNTIF(DMTK!$A$7:$A$250,$F1063)=0,"TK Nợ sai! ","")&amp;IF(COUNTIF(DMTK!$A$7:$A$250,$G1063)=0,"TK Có sai! ","")&amp;IF(N($H1063)&lt;=0,"Tiền phải &gt; 0! ","")&amp;IF($B1063="","Thiếu ngày! ","")&amp;IF(AND(OR(LEFT($F1063,3)="131",LEFT($G1063,3)="131",LEFT($F1063,3)="331",LEFT($G1063,3)="331"),$I1063=""),"Thiếu Mã ĐT! ","")&amp;IF(AND($I1063&lt;&gt;"",COUNTIF(DM_DT!$A$7:$A$306,$I1063)=0),"Mã ĐT chưa khai báo! ","")))</f>
        <v/>
      </c>
      <c r="M1063" s="117">
        <f>IF($H1063="","",IF(AND(OR(LEFT($F1063,3)="111",LEFT($F1063,3)="112",LEFT($F1063,3)="113"),OR(LEFT($G1063,3)="111",LEFT($G1063,3)="112",LEFT($G1063,3)="113")),"NB",IF(OR(LEFT($F1063,3)="111",LEFT($F1063,3)="112",LEFT($F1063,3)="113"),"THU",IF(OR(LEFT($G1063,3)="111",LEFT($G1063,3)="112",LEFT($G1063,3)="113"),"CHI",""))))</f>
        <v/>
      </c>
      <c r="N1063" s="117">
        <f>IF($M1063="THU",$G1063,IF($M1063="CHI",$F1063,""))</f>
        <v/>
      </c>
      <c r="O1063" s="117">
        <f>IF(OR($M1063="",$M1063="NB"),"",IF($J1063&lt;&gt;"",TEXT($J1063,"00"),IFERROR(VLOOKUP(LEFT($N1063,4),LCTT_MAP!$A$7:$C$66,IF($M1063="THU",2,3),FALSE()),IFERROR(VLOOKUP(LEFT($N1063,3),LCTT_MAP!$A$7:$C$66,IF($M1063="THU",2,3),FALSE()),IFERROR(VLOOKUP(LEFT($N1063,2),LCTT_MAP!$A$7:$C$66,IF($M1063="THU",2,3),FALSE()),IFERROR(VLOOKUP(LEFT($N1063,1),LCTT_MAP!$A$7:$C$66,IF($M1063="THU",2,3),FALSE()),IF($M1063="THU","06","07")))))))</f>
        <v/>
      </c>
      <c r="P1063" s="117">
        <f>P1062+IF(AND($H1063&lt;&gt;"",OR(LEFT($F1063,LEN(SC_TK))=SC_TK,LEFT($G1063,LEN(SC_TK))=SC_TK)),1,0)</f>
        <v/>
      </c>
    </row>
    <row r="1064" ht="15" customHeight="1" s="78">
      <c r="A1064" s="95">
        <f>IF($H1064="","",ROW()-6)</f>
        <v/>
      </c>
      <c r="B1064" s="114" t="n"/>
      <c r="C1064" s="102" t="n"/>
      <c r="D1064" s="114" t="n"/>
      <c r="E1064" s="103" t="n"/>
      <c r="F1064" s="102" t="n"/>
      <c r="G1064" s="102" t="n"/>
      <c r="H1064" s="115" t="n"/>
      <c r="I1064" s="102" t="n"/>
      <c r="J1064" s="102" t="n"/>
      <c r="K1064" s="103" t="n"/>
      <c r="L1064" s="116">
        <f>IF($H1064="","",TRIM(IF(COUNTIF(DMTK!$A$7:$A$250,$F1064)=0,"TK Nợ sai! ","")&amp;IF(COUNTIF(DMTK!$A$7:$A$250,$G1064)=0,"TK Có sai! ","")&amp;IF(N($H1064)&lt;=0,"Tiền phải &gt; 0! ","")&amp;IF($B1064="","Thiếu ngày! ","")&amp;IF(AND(OR(LEFT($F1064,3)="131",LEFT($G1064,3)="131",LEFT($F1064,3)="331",LEFT($G1064,3)="331"),$I1064=""),"Thiếu Mã ĐT! ","")&amp;IF(AND($I1064&lt;&gt;"",COUNTIF(DM_DT!$A$7:$A$306,$I1064)=0),"Mã ĐT chưa khai báo! ","")))</f>
        <v/>
      </c>
      <c r="M1064" s="117">
        <f>IF($H1064="","",IF(AND(OR(LEFT($F1064,3)="111",LEFT($F1064,3)="112",LEFT($F1064,3)="113"),OR(LEFT($G1064,3)="111",LEFT($G1064,3)="112",LEFT($G1064,3)="113")),"NB",IF(OR(LEFT($F1064,3)="111",LEFT($F1064,3)="112",LEFT($F1064,3)="113"),"THU",IF(OR(LEFT($G1064,3)="111",LEFT($G1064,3)="112",LEFT($G1064,3)="113"),"CHI",""))))</f>
        <v/>
      </c>
      <c r="N1064" s="117">
        <f>IF($M1064="THU",$G1064,IF($M1064="CHI",$F1064,""))</f>
        <v/>
      </c>
      <c r="O1064" s="117">
        <f>IF(OR($M1064="",$M1064="NB"),"",IF($J1064&lt;&gt;"",TEXT($J1064,"00"),IFERROR(VLOOKUP(LEFT($N1064,4),LCTT_MAP!$A$7:$C$66,IF($M1064="THU",2,3),FALSE()),IFERROR(VLOOKUP(LEFT($N1064,3),LCTT_MAP!$A$7:$C$66,IF($M1064="THU",2,3),FALSE()),IFERROR(VLOOKUP(LEFT($N1064,2),LCTT_MAP!$A$7:$C$66,IF($M1064="THU",2,3),FALSE()),IFERROR(VLOOKUP(LEFT($N1064,1),LCTT_MAP!$A$7:$C$66,IF($M1064="THU",2,3),FALSE()),IF($M1064="THU","06","07")))))))</f>
        <v/>
      </c>
      <c r="P1064" s="117">
        <f>P1063+IF(AND($H1064&lt;&gt;"",OR(LEFT($F1064,LEN(SC_TK))=SC_TK,LEFT($G1064,LEN(SC_TK))=SC_TK)),1,0)</f>
        <v/>
      </c>
    </row>
    <row r="1065" ht="15" customHeight="1" s="78">
      <c r="A1065" s="95">
        <f>IF($H1065="","",ROW()-6)</f>
        <v/>
      </c>
      <c r="B1065" s="114" t="n"/>
      <c r="C1065" s="102" t="n"/>
      <c r="D1065" s="114" t="n"/>
      <c r="E1065" s="103" t="n"/>
      <c r="F1065" s="102" t="n"/>
      <c r="G1065" s="102" t="n"/>
      <c r="H1065" s="115" t="n"/>
      <c r="I1065" s="102" t="n"/>
      <c r="J1065" s="102" t="n"/>
      <c r="K1065" s="103" t="n"/>
      <c r="L1065" s="116">
        <f>IF($H1065="","",TRIM(IF(COUNTIF(DMTK!$A$7:$A$250,$F1065)=0,"TK Nợ sai! ","")&amp;IF(COUNTIF(DMTK!$A$7:$A$250,$G1065)=0,"TK Có sai! ","")&amp;IF(N($H1065)&lt;=0,"Tiền phải &gt; 0! ","")&amp;IF($B1065="","Thiếu ngày! ","")&amp;IF(AND(OR(LEFT($F1065,3)="131",LEFT($G1065,3)="131",LEFT($F1065,3)="331",LEFT($G1065,3)="331"),$I1065=""),"Thiếu Mã ĐT! ","")&amp;IF(AND($I1065&lt;&gt;"",COUNTIF(DM_DT!$A$7:$A$306,$I1065)=0),"Mã ĐT chưa khai báo! ","")))</f>
        <v/>
      </c>
      <c r="M1065" s="117">
        <f>IF($H1065="","",IF(AND(OR(LEFT($F1065,3)="111",LEFT($F1065,3)="112",LEFT($F1065,3)="113"),OR(LEFT($G1065,3)="111",LEFT($G1065,3)="112",LEFT($G1065,3)="113")),"NB",IF(OR(LEFT($F1065,3)="111",LEFT($F1065,3)="112",LEFT($F1065,3)="113"),"THU",IF(OR(LEFT($G1065,3)="111",LEFT($G1065,3)="112",LEFT($G1065,3)="113"),"CHI",""))))</f>
        <v/>
      </c>
      <c r="N1065" s="117">
        <f>IF($M1065="THU",$G1065,IF($M1065="CHI",$F1065,""))</f>
        <v/>
      </c>
      <c r="O1065" s="117">
        <f>IF(OR($M1065="",$M1065="NB"),"",IF($J1065&lt;&gt;"",TEXT($J1065,"00"),IFERROR(VLOOKUP(LEFT($N1065,4),LCTT_MAP!$A$7:$C$66,IF($M1065="THU",2,3),FALSE()),IFERROR(VLOOKUP(LEFT($N1065,3),LCTT_MAP!$A$7:$C$66,IF($M1065="THU",2,3),FALSE()),IFERROR(VLOOKUP(LEFT($N1065,2),LCTT_MAP!$A$7:$C$66,IF($M1065="THU",2,3),FALSE()),IFERROR(VLOOKUP(LEFT($N1065,1),LCTT_MAP!$A$7:$C$66,IF($M1065="THU",2,3),FALSE()),IF($M1065="THU","06","07")))))))</f>
        <v/>
      </c>
      <c r="P1065" s="117">
        <f>P1064+IF(AND($H1065&lt;&gt;"",OR(LEFT($F1065,LEN(SC_TK))=SC_TK,LEFT($G1065,LEN(SC_TK))=SC_TK)),1,0)</f>
        <v/>
      </c>
    </row>
    <row r="1066" ht="15" customHeight="1" s="78">
      <c r="A1066" s="95">
        <f>IF($H1066="","",ROW()-6)</f>
        <v/>
      </c>
      <c r="B1066" s="114" t="n"/>
      <c r="C1066" s="102" t="n"/>
      <c r="D1066" s="114" t="n"/>
      <c r="E1066" s="103" t="n"/>
      <c r="F1066" s="102" t="n"/>
      <c r="G1066" s="102" t="n"/>
      <c r="H1066" s="115" t="n"/>
      <c r="I1066" s="102" t="n"/>
      <c r="J1066" s="102" t="n"/>
      <c r="K1066" s="103" t="n"/>
      <c r="L1066" s="116">
        <f>IF($H1066="","",TRIM(IF(COUNTIF(DMTK!$A$7:$A$250,$F1066)=0,"TK Nợ sai! ","")&amp;IF(COUNTIF(DMTK!$A$7:$A$250,$G1066)=0,"TK Có sai! ","")&amp;IF(N($H1066)&lt;=0,"Tiền phải &gt; 0! ","")&amp;IF($B1066="","Thiếu ngày! ","")&amp;IF(AND(OR(LEFT($F1066,3)="131",LEFT($G1066,3)="131",LEFT($F1066,3)="331",LEFT($G1066,3)="331"),$I1066=""),"Thiếu Mã ĐT! ","")&amp;IF(AND($I1066&lt;&gt;"",COUNTIF(DM_DT!$A$7:$A$306,$I1066)=0),"Mã ĐT chưa khai báo! ","")))</f>
        <v/>
      </c>
      <c r="M1066" s="117">
        <f>IF($H1066="","",IF(AND(OR(LEFT($F1066,3)="111",LEFT($F1066,3)="112",LEFT($F1066,3)="113"),OR(LEFT($G1066,3)="111",LEFT($G1066,3)="112",LEFT($G1066,3)="113")),"NB",IF(OR(LEFT($F1066,3)="111",LEFT($F1066,3)="112",LEFT($F1066,3)="113"),"THU",IF(OR(LEFT($G1066,3)="111",LEFT($G1066,3)="112",LEFT($G1066,3)="113"),"CHI",""))))</f>
        <v/>
      </c>
      <c r="N1066" s="117">
        <f>IF($M1066="THU",$G1066,IF($M1066="CHI",$F1066,""))</f>
        <v/>
      </c>
      <c r="O1066" s="117">
        <f>IF(OR($M1066="",$M1066="NB"),"",IF($J1066&lt;&gt;"",TEXT($J1066,"00"),IFERROR(VLOOKUP(LEFT($N1066,4),LCTT_MAP!$A$7:$C$66,IF($M1066="THU",2,3),FALSE()),IFERROR(VLOOKUP(LEFT($N1066,3),LCTT_MAP!$A$7:$C$66,IF($M1066="THU",2,3),FALSE()),IFERROR(VLOOKUP(LEFT($N1066,2),LCTT_MAP!$A$7:$C$66,IF($M1066="THU",2,3),FALSE()),IFERROR(VLOOKUP(LEFT($N1066,1),LCTT_MAP!$A$7:$C$66,IF($M1066="THU",2,3),FALSE()),IF($M1066="THU","06","07")))))))</f>
        <v/>
      </c>
      <c r="P1066" s="117">
        <f>P1065+IF(AND($H1066&lt;&gt;"",OR(LEFT($F1066,LEN(SC_TK))=SC_TK,LEFT($G1066,LEN(SC_TK))=SC_TK)),1,0)</f>
        <v/>
      </c>
    </row>
    <row r="1067" ht="15" customHeight="1" s="78">
      <c r="A1067" s="95">
        <f>IF($H1067="","",ROW()-6)</f>
        <v/>
      </c>
      <c r="B1067" s="114" t="n"/>
      <c r="C1067" s="102" t="n"/>
      <c r="D1067" s="114" t="n"/>
      <c r="E1067" s="103" t="n"/>
      <c r="F1067" s="102" t="n"/>
      <c r="G1067" s="102" t="n"/>
      <c r="H1067" s="115" t="n"/>
      <c r="I1067" s="102" t="n"/>
      <c r="J1067" s="102" t="n"/>
      <c r="K1067" s="103" t="n"/>
      <c r="L1067" s="116">
        <f>IF($H1067="","",TRIM(IF(COUNTIF(DMTK!$A$7:$A$250,$F1067)=0,"TK Nợ sai! ","")&amp;IF(COUNTIF(DMTK!$A$7:$A$250,$G1067)=0,"TK Có sai! ","")&amp;IF(N($H1067)&lt;=0,"Tiền phải &gt; 0! ","")&amp;IF($B1067="","Thiếu ngày! ","")&amp;IF(AND(OR(LEFT($F1067,3)="131",LEFT($G1067,3)="131",LEFT($F1067,3)="331",LEFT($G1067,3)="331"),$I1067=""),"Thiếu Mã ĐT! ","")&amp;IF(AND($I1067&lt;&gt;"",COUNTIF(DM_DT!$A$7:$A$306,$I1067)=0),"Mã ĐT chưa khai báo! ","")))</f>
        <v/>
      </c>
      <c r="M1067" s="117">
        <f>IF($H1067="","",IF(AND(OR(LEFT($F1067,3)="111",LEFT($F1067,3)="112",LEFT($F1067,3)="113"),OR(LEFT($G1067,3)="111",LEFT($G1067,3)="112",LEFT($G1067,3)="113")),"NB",IF(OR(LEFT($F1067,3)="111",LEFT($F1067,3)="112",LEFT($F1067,3)="113"),"THU",IF(OR(LEFT($G1067,3)="111",LEFT($G1067,3)="112",LEFT($G1067,3)="113"),"CHI",""))))</f>
        <v/>
      </c>
      <c r="N1067" s="117">
        <f>IF($M1067="THU",$G1067,IF($M1067="CHI",$F1067,""))</f>
        <v/>
      </c>
      <c r="O1067" s="117">
        <f>IF(OR($M1067="",$M1067="NB"),"",IF($J1067&lt;&gt;"",TEXT($J1067,"00"),IFERROR(VLOOKUP(LEFT($N1067,4),LCTT_MAP!$A$7:$C$66,IF($M1067="THU",2,3),FALSE()),IFERROR(VLOOKUP(LEFT($N1067,3),LCTT_MAP!$A$7:$C$66,IF($M1067="THU",2,3),FALSE()),IFERROR(VLOOKUP(LEFT($N1067,2),LCTT_MAP!$A$7:$C$66,IF($M1067="THU",2,3),FALSE()),IFERROR(VLOOKUP(LEFT($N1067,1),LCTT_MAP!$A$7:$C$66,IF($M1067="THU",2,3),FALSE()),IF($M1067="THU","06","07")))))))</f>
        <v/>
      </c>
      <c r="P1067" s="117">
        <f>P1066+IF(AND($H1067&lt;&gt;"",OR(LEFT($F1067,LEN(SC_TK))=SC_TK,LEFT($G1067,LEN(SC_TK))=SC_TK)),1,0)</f>
        <v/>
      </c>
    </row>
    <row r="1068" ht="15" customHeight="1" s="78">
      <c r="A1068" s="95">
        <f>IF($H1068="","",ROW()-6)</f>
        <v/>
      </c>
      <c r="B1068" s="114" t="n"/>
      <c r="C1068" s="102" t="n"/>
      <c r="D1068" s="114" t="n"/>
      <c r="E1068" s="103" t="n"/>
      <c r="F1068" s="102" t="n"/>
      <c r="G1068" s="102" t="n"/>
      <c r="H1068" s="115" t="n"/>
      <c r="I1068" s="102" t="n"/>
      <c r="J1068" s="102" t="n"/>
      <c r="K1068" s="103" t="n"/>
      <c r="L1068" s="116">
        <f>IF($H1068="","",TRIM(IF(COUNTIF(DMTK!$A$7:$A$250,$F1068)=0,"TK Nợ sai! ","")&amp;IF(COUNTIF(DMTK!$A$7:$A$250,$G1068)=0,"TK Có sai! ","")&amp;IF(N($H1068)&lt;=0,"Tiền phải &gt; 0! ","")&amp;IF($B1068="","Thiếu ngày! ","")&amp;IF(AND(OR(LEFT($F1068,3)="131",LEFT($G1068,3)="131",LEFT($F1068,3)="331",LEFT($G1068,3)="331"),$I1068=""),"Thiếu Mã ĐT! ","")&amp;IF(AND($I1068&lt;&gt;"",COUNTIF(DM_DT!$A$7:$A$306,$I1068)=0),"Mã ĐT chưa khai báo! ","")))</f>
        <v/>
      </c>
      <c r="M1068" s="117">
        <f>IF($H1068="","",IF(AND(OR(LEFT($F1068,3)="111",LEFT($F1068,3)="112",LEFT($F1068,3)="113"),OR(LEFT($G1068,3)="111",LEFT($G1068,3)="112",LEFT($G1068,3)="113")),"NB",IF(OR(LEFT($F1068,3)="111",LEFT($F1068,3)="112",LEFT($F1068,3)="113"),"THU",IF(OR(LEFT($G1068,3)="111",LEFT($G1068,3)="112",LEFT($G1068,3)="113"),"CHI",""))))</f>
        <v/>
      </c>
      <c r="N1068" s="117">
        <f>IF($M1068="THU",$G1068,IF($M1068="CHI",$F1068,""))</f>
        <v/>
      </c>
      <c r="O1068" s="117">
        <f>IF(OR($M1068="",$M1068="NB"),"",IF($J1068&lt;&gt;"",TEXT($J1068,"00"),IFERROR(VLOOKUP(LEFT($N1068,4),LCTT_MAP!$A$7:$C$66,IF($M1068="THU",2,3),FALSE()),IFERROR(VLOOKUP(LEFT($N1068,3),LCTT_MAP!$A$7:$C$66,IF($M1068="THU",2,3),FALSE()),IFERROR(VLOOKUP(LEFT($N1068,2),LCTT_MAP!$A$7:$C$66,IF($M1068="THU",2,3),FALSE()),IFERROR(VLOOKUP(LEFT($N1068,1),LCTT_MAP!$A$7:$C$66,IF($M1068="THU",2,3),FALSE()),IF($M1068="THU","06","07")))))))</f>
        <v/>
      </c>
      <c r="P1068" s="117">
        <f>P1067+IF(AND($H1068&lt;&gt;"",OR(LEFT($F1068,LEN(SC_TK))=SC_TK,LEFT($G1068,LEN(SC_TK))=SC_TK)),1,0)</f>
        <v/>
      </c>
    </row>
    <row r="1069" ht="15" customHeight="1" s="78">
      <c r="A1069" s="95">
        <f>IF($H1069="","",ROW()-6)</f>
        <v/>
      </c>
      <c r="B1069" s="114" t="n"/>
      <c r="C1069" s="102" t="n"/>
      <c r="D1069" s="114" t="n"/>
      <c r="E1069" s="103" t="n"/>
      <c r="F1069" s="102" t="n"/>
      <c r="G1069" s="102" t="n"/>
      <c r="H1069" s="115" t="n"/>
      <c r="I1069" s="102" t="n"/>
      <c r="J1069" s="102" t="n"/>
      <c r="K1069" s="103" t="n"/>
      <c r="L1069" s="116">
        <f>IF($H1069="","",TRIM(IF(COUNTIF(DMTK!$A$7:$A$250,$F1069)=0,"TK Nợ sai! ","")&amp;IF(COUNTIF(DMTK!$A$7:$A$250,$G1069)=0,"TK Có sai! ","")&amp;IF(N($H1069)&lt;=0,"Tiền phải &gt; 0! ","")&amp;IF($B1069="","Thiếu ngày! ","")&amp;IF(AND(OR(LEFT($F1069,3)="131",LEFT($G1069,3)="131",LEFT($F1069,3)="331",LEFT($G1069,3)="331"),$I1069=""),"Thiếu Mã ĐT! ","")&amp;IF(AND($I1069&lt;&gt;"",COUNTIF(DM_DT!$A$7:$A$306,$I1069)=0),"Mã ĐT chưa khai báo! ","")))</f>
        <v/>
      </c>
      <c r="M1069" s="117">
        <f>IF($H1069="","",IF(AND(OR(LEFT($F1069,3)="111",LEFT($F1069,3)="112",LEFT($F1069,3)="113"),OR(LEFT($G1069,3)="111",LEFT($G1069,3)="112",LEFT($G1069,3)="113")),"NB",IF(OR(LEFT($F1069,3)="111",LEFT($F1069,3)="112",LEFT($F1069,3)="113"),"THU",IF(OR(LEFT($G1069,3)="111",LEFT($G1069,3)="112",LEFT($G1069,3)="113"),"CHI",""))))</f>
        <v/>
      </c>
      <c r="N1069" s="117">
        <f>IF($M1069="THU",$G1069,IF($M1069="CHI",$F1069,""))</f>
        <v/>
      </c>
      <c r="O1069" s="117">
        <f>IF(OR($M1069="",$M1069="NB"),"",IF($J1069&lt;&gt;"",TEXT($J1069,"00"),IFERROR(VLOOKUP(LEFT($N1069,4),LCTT_MAP!$A$7:$C$66,IF($M1069="THU",2,3),FALSE()),IFERROR(VLOOKUP(LEFT($N1069,3),LCTT_MAP!$A$7:$C$66,IF($M1069="THU",2,3),FALSE()),IFERROR(VLOOKUP(LEFT($N1069,2),LCTT_MAP!$A$7:$C$66,IF($M1069="THU",2,3),FALSE()),IFERROR(VLOOKUP(LEFT($N1069,1),LCTT_MAP!$A$7:$C$66,IF($M1069="THU",2,3),FALSE()),IF($M1069="THU","06","07")))))))</f>
        <v/>
      </c>
      <c r="P1069" s="117">
        <f>P1068+IF(AND($H1069&lt;&gt;"",OR(LEFT($F1069,LEN(SC_TK))=SC_TK,LEFT($G1069,LEN(SC_TK))=SC_TK)),1,0)</f>
        <v/>
      </c>
    </row>
    <row r="1070" ht="15" customHeight="1" s="78">
      <c r="A1070" s="95">
        <f>IF($H1070="","",ROW()-6)</f>
        <v/>
      </c>
      <c r="B1070" s="114" t="n"/>
      <c r="C1070" s="102" t="n"/>
      <c r="D1070" s="114" t="n"/>
      <c r="E1070" s="103" t="n"/>
      <c r="F1070" s="102" t="n"/>
      <c r="G1070" s="102" t="n"/>
      <c r="H1070" s="115" t="n"/>
      <c r="I1070" s="102" t="n"/>
      <c r="J1070" s="102" t="n"/>
      <c r="K1070" s="103" t="n"/>
      <c r="L1070" s="116">
        <f>IF($H1070="","",TRIM(IF(COUNTIF(DMTK!$A$7:$A$250,$F1070)=0,"TK Nợ sai! ","")&amp;IF(COUNTIF(DMTK!$A$7:$A$250,$G1070)=0,"TK Có sai! ","")&amp;IF(N($H1070)&lt;=0,"Tiền phải &gt; 0! ","")&amp;IF($B1070="","Thiếu ngày! ","")&amp;IF(AND(OR(LEFT($F1070,3)="131",LEFT($G1070,3)="131",LEFT($F1070,3)="331",LEFT($G1070,3)="331"),$I1070=""),"Thiếu Mã ĐT! ","")&amp;IF(AND($I1070&lt;&gt;"",COUNTIF(DM_DT!$A$7:$A$306,$I1070)=0),"Mã ĐT chưa khai báo! ","")))</f>
        <v/>
      </c>
      <c r="M1070" s="117">
        <f>IF($H1070="","",IF(AND(OR(LEFT($F1070,3)="111",LEFT($F1070,3)="112",LEFT($F1070,3)="113"),OR(LEFT($G1070,3)="111",LEFT($G1070,3)="112",LEFT($G1070,3)="113")),"NB",IF(OR(LEFT($F1070,3)="111",LEFT($F1070,3)="112",LEFT($F1070,3)="113"),"THU",IF(OR(LEFT($G1070,3)="111",LEFT($G1070,3)="112",LEFT($G1070,3)="113"),"CHI",""))))</f>
        <v/>
      </c>
      <c r="N1070" s="117">
        <f>IF($M1070="THU",$G1070,IF($M1070="CHI",$F1070,""))</f>
        <v/>
      </c>
      <c r="O1070" s="117">
        <f>IF(OR($M1070="",$M1070="NB"),"",IF($J1070&lt;&gt;"",TEXT($J1070,"00"),IFERROR(VLOOKUP(LEFT($N1070,4),LCTT_MAP!$A$7:$C$66,IF($M1070="THU",2,3),FALSE()),IFERROR(VLOOKUP(LEFT($N1070,3),LCTT_MAP!$A$7:$C$66,IF($M1070="THU",2,3),FALSE()),IFERROR(VLOOKUP(LEFT($N1070,2),LCTT_MAP!$A$7:$C$66,IF($M1070="THU",2,3),FALSE()),IFERROR(VLOOKUP(LEFT($N1070,1),LCTT_MAP!$A$7:$C$66,IF($M1070="THU",2,3),FALSE()),IF($M1070="THU","06","07")))))))</f>
        <v/>
      </c>
      <c r="P1070" s="117">
        <f>P1069+IF(AND($H1070&lt;&gt;"",OR(LEFT($F1070,LEN(SC_TK))=SC_TK,LEFT($G1070,LEN(SC_TK))=SC_TK)),1,0)</f>
        <v/>
      </c>
    </row>
    <row r="1071" ht="15" customHeight="1" s="78">
      <c r="A1071" s="95">
        <f>IF($H1071="","",ROW()-6)</f>
        <v/>
      </c>
      <c r="B1071" s="114" t="n"/>
      <c r="C1071" s="102" t="n"/>
      <c r="D1071" s="114" t="n"/>
      <c r="E1071" s="103" t="n"/>
      <c r="F1071" s="102" t="n"/>
      <c r="G1071" s="102" t="n"/>
      <c r="H1071" s="115" t="n"/>
      <c r="I1071" s="102" t="n"/>
      <c r="J1071" s="102" t="n"/>
      <c r="K1071" s="103" t="n"/>
      <c r="L1071" s="116">
        <f>IF($H1071="","",TRIM(IF(COUNTIF(DMTK!$A$7:$A$250,$F1071)=0,"TK Nợ sai! ","")&amp;IF(COUNTIF(DMTK!$A$7:$A$250,$G1071)=0,"TK Có sai! ","")&amp;IF(N($H1071)&lt;=0,"Tiền phải &gt; 0! ","")&amp;IF($B1071="","Thiếu ngày! ","")&amp;IF(AND(OR(LEFT($F1071,3)="131",LEFT($G1071,3)="131",LEFT($F1071,3)="331",LEFT($G1071,3)="331"),$I1071=""),"Thiếu Mã ĐT! ","")&amp;IF(AND($I1071&lt;&gt;"",COUNTIF(DM_DT!$A$7:$A$306,$I1071)=0),"Mã ĐT chưa khai báo! ","")))</f>
        <v/>
      </c>
      <c r="M1071" s="117">
        <f>IF($H1071="","",IF(AND(OR(LEFT($F1071,3)="111",LEFT($F1071,3)="112",LEFT($F1071,3)="113"),OR(LEFT($G1071,3)="111",LEFT($G1071,3)="112",LEFT($G1071,3)="113")),"NB",IF(OR(LEFT($F1071,3)="111",LEFT($F1071,3)="112",LEFT($F1071,3)="113"),"THU",IF(OR(LEFT($G1071,3)="111",LEFT($G1071,3)="112",LEFT($G1071,3)="113"),"CHI",""))))</f>
        <v/>
      </c>
      <c r="N1071" s="117">
        <f>IF($M1071="THU",$G1071,IF($M1071="CHI",$F1071,""))</f>
        <v/>
      </c>
      <c r="O1071" s="117">
        <f>IF(OR($M1071="",$M1071="NB"),"",IF($J1071&lt;&gt;"",TEXT($J1071,"00"),IFERROR(VLOOKUP(LEFT($N1071,4),LCTT_MAP!$A$7:$C$66,IF($M1071="THU",2,3),FALSE()),IFERROR(VLOOKUP(LEFT($N1071,3),LCTT_MAP!$A$7:$C$66,IF($M1071="THU",2,3),FALSE()),IFERROR(VLOOKUP(LEFT($N1071,2),LCTT_MAP!$A$7:$C$66,IF($M1071="THU",2,3),FALSE()),IFERROR(VLOOKUP(LEFT($N1071,1),LCTT_MAP!$A$7:$C$66,IF($M1071="THU",2,3),FALSE()),IF($M1071="THU","06","07")))))))</f>
        <v/>
      </c>
      <c r="P1071" s="117">
        <f>P1070+IF(AND($H1071&lt;&gt;"",OR(LEFT($F1071,LEN(SC_TK))=SC_TK,LEFT($G1071,LEN(SC_TK))=SC_TK)),1,0)</f>
        <v/>
      </c>
    </row>
    <row r="1072" ht="15" customHeight="1" s="78">
      <c r="A1072" s="95">
        <f>IF($H1072="","",ROW()-6)</f>
        <v/>
      </c>
      <c r="B1072" s="114" t="n"/>
      <c r="C1072" s="102" t="n"/>
      <c r="D1072" s="114" t="n"/>
      <c r="E1072" s="103" t="n"/>
      <c r="F1072" s="102" t="n"/>
      <c r="G1072" s="102" t="n"/>
      <c r="H1072" s="115" t="n"/>
      <c r="I1072" s="102" t="n"/>
      <c r="J1072" s="102" t="n"/>
      <c r="K1072" s="103" t="n"/>
      <c r="L1072" s="116">
        <f>IF($H1072="","",TRIM(IF(COUNTIF(DMTK!$A$7:$A$250,$F1072)=0,"TK Nợ sai! ","")&amp;IF(COUNTIF(DMTK!$A$7:$A$250,$G1072)=0,"TK Có sai! ","")&amp;IF(N($H1072)&lt;=0,"Tiền phải &gt; 0! ","")&amp;IF($B1072="","Thiếu ngày! ","")&amp;IF(AND(OR(LEFT($F1072,3)="131",LEFT($G1072,3)="131",LEFT($F1072,3)="331",LEFT($G1072,3)="331"),$I1072=""),"Thiếu Mã ĐT! ","")&amp;IF(AND($I1072&lt;&gt;"",COUNTIF(DM_DT!$A$7:$A$306,$I1072)=0),"Mã ĐT chưa khai báo! ","")))</f>
        <v/>
      </c>
      <c r="M1072" s="117">
        <f>IF($H1072="","",IF(AND(OR(LEFT($F1072,3)="111",LEFT($F1072,3)="112",LEFT($F1072,3)="113"),OR(LEFT($G1072,3)="111",LEFT($G1072,3)="112",LEFT($G1072,3)="113")),"NB",IF(OR(LEFT($F1072,3)="111",LEFT($F1072,3)="112",LEFT($F1072,3)="113"),"THU",IF(OR(LEFT($G1072,3)="111",LEFT($G1072,3)="112",LEFT($G1072,3)="113"),"CHI",""))))</f>
        <v/>
      </c>
      <c r="N1072" s="117">
        <f>IF($M1072="THU",$G1072,IF($M1072="CHI",$F1072,""))</f>
        <v/>
      </c>
      <c r="O1072" s="117">
        <f>IF(OR($M1072="",$M1072="NB"),"",IF($J1072&lt;&gt;"",TEXT($J1072,"00"),IFERROR(VLOOKUP(LEFT($N1072,4),LCTT_MAP!$A$7:$C$66,IF($M1072="THU",2,3),FALSE()),IFERROR(VLOOKUP(LEFT($N1072,3),LCTT_MAP!$A$7:$C$66,IF($M1072="THU",2,3),FALSE()),IFERROR(VLOOKUP(LEFT($N1072,2),LCTT_MAP!$A$7:$C$66,IF($M1072="THU",2,3),FALSE()),IFERROR(VLOOKUP(LEFT($N1072,1),LCTT_MAP!$A$7:$C$66,IF($M1072="THU",2,3),FALSE()),IF($M1072="THU","06","07")))))))</f>
        <v/>
      </c>
      <c r="P1072" s="117">
        <f>P1071+IF(AND($H1072&lt;&gt;"",OR(LEFT($F1072,LEN(SC_TK))=SC_TK,LEFT($G1072,LEN(SC_TK))=SC_TK)),1,0)</f>
        <v/>
      </c>
    </row>
    <row r="1073" ht="15" customHeight="1" s="78">
      <c r="A1073" s="95">
        <f>IF($H1073="","",ROW()-6)</f>
        <v/>
      </c>
      <c r="B1073" s="114" t="n"/>
      <c r="C1073" s="102" t="n"/>
      <c r="D1073" s="114" t="n"/>
      <c r="E1073" s="103" t="n"/>
      <c r="F1073" s="102" t="n"/>
      <c r="G1073" s="102" t="n"/>
      <c r="H1073" s="115" t="n"/>
      <c r="I1073" s="102" t="n"/>
      <c r="J1073" s="102" t="n"/>
      <c r="K1073" s="103" t="n"/>
      <c r="L1073" s="116">
        <f>IF($H1073="","",TRIM(IF(COUNTIF(DMTK!$A$7:$A$250,$F1073)=0,"TK Nợ sai! ","")&amp;IF(COUNTIF(DMTK!$A$7:$A$250,$G1073)=0,"TK Có sai! ","")&amp;IF(N($H1073)&lt;=0,"Tiền phải &gt; 0! ","")&amp;IF($B1073="","Thiếu ngày! ","")&amp;IF(AND(OR(LEFT($F1073,3)="131",LEFT($G1073,3)="131",LEFT($F1073,3)="331",LEFT($G1073,3)="331"),$I1073=""),"Thiếu Mã ĐT! ","")&amp;IF(AND($I1073&lt;&gt;"",COUNTIF(DM_DT!$A$7:$A$306,$I1073)=0),"Mã ĐT chưa khai báo! ","")))</f>
        <v/>
      </c>
      <c r="M1073" s="117">
        <f>IF($H1073="","",IF(AND(OR(LEFT($F1073,3)="111",LEFT($F1073,3)="112",LEFT($F1073,3)="113"),OR(LEFT($G1073,3)="111",LEFT($G1073,3)="112",LEFT($G1073,3)="113")),"NB",IF(OR(LEFT($F1073,3)="111",LEFT($F1073,3)="112",LEFT($F1073,3)="113"),"THU",IF(OR(LEFT($G1073,3)="111",LEFT($G1073,3)="112",LEFT($G1073,3)="113"),"CHI",""))))</f>
        <v/>
      </c>
      <c r="N1073" s="117">
        <f>IF($M1073="THU",$G1073,IF($M1073="CHI",$F1073,""))</f>
        <v/>
      </c>
      <c r="O1073" s="117">
        <f>IF(OR($M1073="",$M1073="NB"),"",IF($J1073&lt;&gt;"",TEXT($J1073,"00"),IFERROR(VLOOKUP(LEFT($N1073,4),LCTT_MAP!$A$7:$C$66,IF($M1073="THU",2,3),FALSE()),IFERROR(VLOOKUP(LEFT($N1073,3),LCTT_MAP!$A$7:$C$66,IF($M1073="THU",2,3),FALSE()),IFERROR(VLOOKUP(LEFT($N1073,2),LCTT_MAP!$A$7:$C$66,IF($M1073="THU",2,3),FALSE()),IFERROR(VLOOKUP(LEFT($N1073,1),LCTT_MAP!$A$7:$C$66,IF($M1073="THU",2,3),FALSE()),IF($M1073="THU","06","07")))))))</f>
        <v/>
      </c>
      <c r="P1073" s="117">
        <f>P1072+IF(AND($H1073&lt;&gt;"",OR(LEFT($F1073,LEN(SC_TK))=SC_TK,LEFT($G1073,LEN(SC_TK))=SC_TK)),1,0)</f>
        <v/>
      </c>
    </row>
    <row r="1074" ht="15" customHeight="1" s="78">
      <c r="A1074" s="95">
        <f>IF($H1074="","",ROW()-6)</f>
        <v/>
      </c>
      <c r="B1074" s="114" t="n"/>
      <c r="C1074" s="102" t="n"/>
      <c r="D1074" s="114" t="n"/>
      <c r="E1074" s="103" t="n"/>
      <c r="F1074" s="102" t="n"/>
      <c r="G1074" s="102" t="n"/>
      <c r="H1074" s="115" t="n"/>
      <c r="I1074" s="102" t="n"/>
      <c r="J1074" s="102" t="n"/>
      <c r="K1074" s="103" t="n"/>
      <c r="L1074" s="116">
        <f>IF($H1074="","",TRIM(IF(COUNTIF(DMTK!$A$7:$A$250,$F1074)=0,"TK Nợ sai! ","")&amp;IF(COUNTIF(DMTK!$A$7:$A$250,$G1074)=0,"TK Có sai! ","")&amp;IF(N($H1074)&lt;=0,"Tiền phải &gt; 0! ","")&amp;IF($B1074="","Thiếu ngày! ","")&amp;IF(AND(OR(LEFT($F1074,3)="131",LEFT($G1074,3)="131",LEFT($F1074,3)="331",LEFT($G1074,3)="331"),$I1074=""),"Thiếu Mã ĐT! ","")&amp;IF(AND($I1074&lt;&gt;"",COUNTIF(DM_DT!$A$7:$A$306,$I1074)=0),"Mã ĐT chưa khai báo! ","")))</f>
        <v/>
      </c>
      <c r="M1074" s="117">
        <f>IF($H1074="","",IF(AND(OR(LEFT($F1074,3)="111",LEFT($F1074,3)="112",LEFT($F1074,3)="113"),OR(LEFT($G1074,3)="111",LEFT($G1074,3)="112",LEFT($G1074,3)="113")),"NB",IF(OR(LEFT($F1074,3)="111",LEFT($F1074,3)="112",LEFT($F1074,3)="113"),"THU",IF(OR(LEFT($G1074,3)="111",LEFT($G1074,3)="112",LEFT($G1074,3)="113"),"CHI",""))))</f>
        <v/>
      </c>
      <c r="N1074" s="117">
        <f>IF($M1074="THU",$G1074,IF($M1074="CHI",$F1074,""))</f>
        <v/>
      </c>
      <c r="O1074" s="117">
        <f>IF(OR($M1074="",$M1074="NB"),"",IF($J1074&lt;&gt;"",TEXT($J1074,"00"),IFERROR(VLOOKUP(LEFT($N1074,4),LCTT_MAP!$A$7:$C$66,IF($M1074="THU",2,3),FALSE()),IFERROR(VLOOKUP(LEFT($N1074,3),LCTT_MAP!$A$7:$C$66,IF($M1074="THU",2,3),FALSE()),IFERROR(VLOOKUP(LEFT($N1074,2),LCTT_MAP!$A$7:$C$66,IF($M1074="THU",2,3),FALSE()),IFERROR(VLOOKUP(LEFT($N1074,1),LCTT_MAP!$A$7:$C$66,IF($M1074="THU",2,3),FALSE()),IF($M1074="THU","06","07")))))))</f>
        <v/>
      </c>
      <c r="P1074" s="117">
        <f>P1073+IF(AND($H1074&lt;&gt;"",OR(LEFT($F1074,LEN(SC_TK))=SC_TK,LEFT($G1074,LEN(SC_TK))=SC_TK)),1,0)</f>
        <v/>
      </c>
    </row>
    <row r="1075" ht="15" customHeight="1" s="78">
      <c r="A1075" s="95">
        <f>IF($H1075="","",ROW()-6)</f>
        <v/>
      </c>
      <c r="B1075" s="114" t="n"/>
      <c r="C1075" s="102" t="n"/>
      <c r="D1075" s="114" t="n"/>
      <c r="E1075" s="103" t="n"/>
      <c r="F1075" s="102" t="n"/>
      <c r="G1075" s="102" t="n"/>
      <c r="H1075" s="115" t="n"/>
      <c r="I1075" s="102" t="n"/>
      <c r="J1075" s="102" t="n"/>
      <c r="K1075" s="103" t="n"/>
      <c r="L1075" s="116">
        <f>IF($H1075="","",TRIM(IF(COUNTIF(DMTK!$A$7:$A$250,$F1075)=0,"TK Nợ sai! ","")&amp;IF(COUNTIF(DMTK!$A$7:$A$250,$G1075)=0,"TK Có sai! ","")&amp;IF(N($H1075)&lt;=0,"Tiền phải &gt; 0! ","")&amp;IF($B1075="","Thiếu ngày! ","")&amp;IF(AND(OR(LEFT($F1075,3)="131",LEFT($G1075,3)="131",LEFT($F1075,3)="331",LEFT($G1075,3)="331"),$I1075=""),"Thiếu Mã ĐT! ","")&amp;IF(AND($I1075&lt;&gt;"",COUNTIF(DM_DT!$A$7:$A$306,$I1075)=0),"Mã ĐT chưa khai báo! ","")))</f>
        <v/>
      </c>
      <c r="M1075" s="117">
        <f>IF($H1075="","",IF(AND(OR(LEFT($F1075,3)="111",LEFT($F1075,3)="112",LEFT($F1075,3)="113"),OR(LEFT($G1075,3)="111",LEFT($G1075,3)="112",LEFT($G1075,3)="113")),"NB",IF(OR(LEFT($F1075,3)="111",LEFT($F1075,3)="112",LEFT($F1075,3)="113"),"THU",IF(OR(LEFT($G1075,3)="111",LEFT($G1075,3)="112",LEFT($G1075,3)="113"),"CHI",""))))</f>
        <v/>
      </c>
      <c r="N1075" s="117">
        <f>IF($M1075="THU",$G1075,IF($M1075="CHI",$F1075,""))</f>
        <v/>
      </c>
      <c r="O1075" s="117">
        <f>IF(OR($M1075="",$M1075="NB"),"",IF($J1075&lt;&gt;"",TEXT($J1075,"00"),IFERROR(VLOOKUP(LEFT($N1075,4),LCTT_MAP!$A$7:$C$66,IF($M1075="THU",2,3),FALSE()),IFERROR(VLOOKUP(LEFT($N1075,3),LCTT_MAP!$A$7:$C$66,IF($M1075="THU",2,3),FALSE()),IFERROR(VLOOKUP(LEFT($N1075,2),LCTT_MAP!$A$7:$C$66,IF($M1075="THU",2,3),FALSE()),IFERROR(VLOOKUP(LEFT($N1075,1),LCTT_MAP!$A$7:$C$66,IF($M1075="THU",2,3),FALSE()),IF($M1075="THU","06","07")))))))</f>
        <v/>
      </c>
      <c r="P1075" s="117">
        <f>P1074+IF(AND($H1075&lt;&gt;"",OR(LEFT($F1075,LEN(SC_TK))=SC_TK,LEFT($G1075,LEN(SC_TK))=SC_TK)),1,0)</f>
        <v/>
      </c>
    </row>
    <row r="1076" ht="15" customHeight="1" s="78">
      <c r="A1076" s="95">
        <f>IF($H1076="","",ROW()-6)</f>
        <v/>
      </c>
      <c r="B1076" s="114" t="n"/>
      <c r="C1076" s="102" t="n"/>
      <c r="D1076" s="114" t="n"/>
      <c r="E1076" s="103" t="n"/>
      <c r="F1076" s="102" t="n"/>
      <c r="G1076" s="102" t="n"/>
      <c r="H1076" s="115" t="n"/>
      <c r="I1076" s="102" t="n"/>
      <c r="J1076" s="102" t="n"/>
      <c r="K1076" s="103" t="n"/>
      <c r="L1076" s="116">
        <f>IF($H1076="","",TRIM(IF(COUNTIF(DMTK!$A$7:$A$250,$F1076)=0,"TK Nợ sai! ","")&amp;IF(COUNTIF(DMTK!$A$7:$A$250,$G1076)=0,"TK Có sai! ","")&amp;IF(N($H1076)&lt;=0,"Tiền phải &gt; 0! ","")&amp;IF($B1076="","Thiếu ngày! ","")&amp;IF(AND(OR(LEFT($F1076,3)="131",LEFT($G1076,3)="131",LEFT($F1076,3)="331",LEFT($G1076,3)="331"),$I1076=""),"Thiếu Mã ĐT! ","")&amp;IF(AND($I1076&lt;&gt;"",COUNTIF(DM_DT!$A$7:$A$306,$I1076)=0),"Mã ĐT chưa khai báo! ","")))</f>
        <v/>
      </c>
      <c r="M1076" s="117">
        <f>IF($H1076="","",IF(AND(OR(LEFT($F1076,3)="111",LEFT($F1076,3)="112",LEFT($F1076,3)="113"),OR(LEFT($G1076,3)="111",LEFT($G1076,3)="112",LEFT($G1076,3)="113")),"NB",IF(OR(LEFT($F1076,3)="111",LEFT($F1076,3)="112",LEFT($F1076,3)="113"),"THU",IF(OR(LEFT($G1076,3)="111",LEFT($G1076,3)="112",LEFT($G1076,3)="113"),"CHI",""))))</f>
        <v/>
      </c>
      <c r="N1076" s="117">
        <f>IF($M1076="THU",$G1076,IF($M1076="CHI",$F1076,""))</f>
        <v/>
      </c>
      <c r="O1076" s="117">
        <f>IF(OR($M1076="",$M1076="NB"),"",IF($J1076&lt;&gt;"",TEXT($J1076,"00"),IFERROR(VLOOKUP(LEFT($N1076,4),LCTT_MAP!$A$7:$C$66,IF($M1076="THU",2,3),FALSE()),IFERROR(VLOOKUP(LEFT($N1076,3),LCTT_MAP!$A$7:$C$66,IF($M1076="THU",2,3),FALSE()),IFERROR(VLOOKUP(LEFT($N1076,2),LCTT_MAP!$A$7:$C$66,IF($M1076="THU",2,3),FALSE()),IFERROR(VLOOKUP(LEFT($N1076,1),LCTT_MAP!$A$7:$C$66,IF($M1076="THU",2,3),FALSE()),IF($M1076="THU","06","07")))))))</f>
        <v/>
      </c>
      <c r="P1076" s="117">
        <f>P1075+IF(AND($H1076&lt;&gt;"",OR(LEFT($F1076,LEN(SC_TK))=SC_TK,LEFT($G1076,LEN(SC_TK))=SC_TK)),1,0)</f>
        <v/>
      </c>
    </row>
    <row r="1077" ht="15" customHeight="1" s="78">
      <c r="A1077" s="95">
        <f>IF($H1077="","",ROW()-6)</f>
        <v/>
      </c>
      <c r="B1077" s="114" t="n"/>
      <c r="C1077" s="102" t="n"/>
      <c r="D1077" s="114" t="n"/>
      <c r="E1077" s="103" t="n"/>
      <c r="F1077" s="102" t="n"/>
      <c r="G1077" s="102" t="n"/>
      <c r="H1077" s="115" t="n"/>
      <c r="I1077" s="102" t="n"/>
      <c r="J1077" s="102" t="n"/>
      <c r="K1077" s="103" t="n"/>
      <c r="L1077" s="116">
        <f>IF($H1077="","",TRIM(IF(COUNTIF(DMTK!$A$7:$A$250,$F1077)=0,"TK Nợ sai! ","")&amp;IF(COUNTIF(DMTK!$A$7:$A$250,$G1077)=0,"TK Có sai! ","")&amp;IF(N($H1077)&lt;=0,"Tiền phải &gt; 0! ","")&amp;IF($B1077="","Thiếu ngày! ","")&amp;IF(AND(OR(LEFT($F1077,3)="131",LEFT($G1077,3)="131",LEFT($F1077,3)="331",LEFT($G1077,3)="331"),$I1077=""),"Thiếu Mã ĐT! ","")&amp;IF(AND($I1077&lt;&gt;"",COUNTIF(DM_DT!$A$7:$A$306,$I1077)=0),"Mã ĐT chưa khai báo! ","")))</f>
        <v/>
      </c>
      <c r="M1077" s="117">
        <f>IF($H1077="","",IF(AND(OR(LEFT($F1077,3)="111",LEFT($F1077,3)="112",LEFT($F1077,3)="113"),OR(LEFT($G1077,3)="111",LEFT($G1077,3)="112",LEFT($G1077,3)="113")),"NB",IF(OR(LEFT($F1077,3)="111",LEFT($F1077,3)="112",LEFT($F1077,3)="113"),"THU",IF(OR(LEFT($G1077,3)="111",LEFT($G1077,3)="112",LEFT($G1077,3)="113"),"CHI",""))))</f>
        <v/>
      </c>
      <c r="N1077" s="117">
        <f>IF($M1077="THU",$G1077,IF($M1077="CHI",$F1077,""))</f>
        <v/>
      </c>
      <c r="O1077" s="117">
        <f>IF(OR($M1077="",$M1077="NB"),"",IF($J1077&lt;&gt;"",TEXT($J1077,"00"),IFERROR(VLOOKUP(LEFT($N1077,4),LCTT_MAP!$A$7:$C$66,IF($M1077="THU",2,3),FALSE()),IFERROR(VLOOKUP(LEFT($N1077,3),LCTT_MAP!$A$7:$C$66,IF($M1077="THU",2,3),FALSE()),IFERROR(VLOOKUP(LEFT($N1077,2),LCTT_MAP!$A$7:$C$66,IF($M1077="THU",2,3),FALSE()),IFERROR(VLOOKUP(LEFT($N1077,1),LCTT_MAP!$A$7:$C$66,IF($M1077="THU",2,3),FALSE()),IF($M1077="THU","06","07")))))))</f>
        <v/>
      </c>
      <c r="P1077" s="117">
        <f>P1076+IF(AND($H1077&lt;&gt;"",OR(LEFT($F1077,LEN(SC_TK))=SC_TK,LEFT($G1077,LEN(SC_TK))=SC_TK)),1,0)</f>
        <v/>
      </c>
    </row>
    <row r="1078" ht="15" customHeight="1" s="78">
      <c r="A1078" s="95">
        <f>IF($H1078="","",ROW()-6)</f>
        <v/>
      </c>
      <c r="B1078" s="114" t="n"/>
      <c r="C1078" s="102" t="n"/>
      <c r="D1078" s="114" t="n"/>
      <c r="E1078" s="103" t="n"/>
      <c r="F1078" s="102" t="n"/>
      <c r="G1078" s="102" t="n"/>
      <c r="H1078" s="115" t="n"/>
      <c r="I1078" s="102" t="n"/>
      <c r="J1078" s="102" t="n"/>
      <c r="K1078" s="103" t="n"/>
      <c r="L1078" s="116">
        <f>IF($H1078="","",TRIM(IF(COUNTIF(DMTK!$A$7:$A$250,$F1078)=0,"TK Nợ sai! ","")&amp;IF(COUNTIF(DMTK!$A$7:$A$250,$G1078)=0,"TK Có sai! ","")&amp;IF(N($H1078)&lt;=0,"Tiền phải &gt; 0! ","")&amp;IF($B1078="","Thiếu ngày! ","")&amp;IF(AND(OR(LEFT($F1078,3)="131",LEFT($G1078,3)="131",LEFT($F1078,3)="331",LEFT($G1078,3)="331"),$I1078=""),"Thiếu Mã ĐT! ","")&amp;IF(AND($I1078&lt;&gt;"",COUNTIF(DM_DT!$A$7:$A$306,$I1078)=0),"Mã ĐT chưa khai báo! ","")))</f>
        <v/>
      </c>
      <c r="M1078" s="117">
        <f>IF($H1078="","",IF(AND(OR(LEFT($F1078,3)="111",LEFT($F1078,3)="112",LEFT($F1078,3)="113"),OR(LEFT($G1078,3)="111",LEFT($G1078,3)="112",LEFT($G1078,3)="113")),"NB",IF(OR(LEFT($F1078,3)="111",LEFT($F1078,3)="112",LEFT($F1078,3)="113"),"THU",IF(OR(LEFT($G1078,3)="111",LEFT($G1078,3)="112",LEFT($G1078,3)="113"),"CHI",""))))</f>
        <v/>
      </c>
      <c r="N1078" s="117">
        <f>IF($M1078="THU",$G1078,IF($M1078="CHI",$F1078,""))</f>
        <v/>
      </c>
      <c r="O1078" s="117">
        <f>IF(OR($M1078="",$M1078="NB"),"",IF($J1078&lt;&gt;"",TEXT($J1078,"00"),IFERROR(VLOOKUP(LEFT($N1078,4),LCTT_MAP!$A$7:$C$66,IF($M1078="THU",2,3),FALSE()),IFERROR(VLOOKUP(LEFT($N1078,3),LCTT_MAP!$A$7:$C$66,IF($M1078="THU",2,3),FALSE()),IFERROR(VLOOKUP(LEFT($N1078,2),LCTT_MAP!$A$7:$C$66,IF($M1078="THU",2,3),FALSE()),IFERROR(VLOOKUP(LEFT($N1078,1),LCTT_MAP!$A$7:$C$66,IF($M1078="THU",2,3),FALSE()),IF($M1078="THU","06","07")))))))</f>
        <v/>
      </c>
      <c r="P1078" s="117">
        <f>P1077+IF(AND($H1078&lt;&gt;"",OR(LEFT($F1078,LEN(SC_TK))=SC_TK,LEFT($G1078,LEN(SC_TK))=SC_TK)),1,0)</f>
        <v/>
      </c>
    </row>
    <row r="1079" ht="15" customHeight="1" s="78">
      <c r="A1079" s="95">
        <f>IF($H1079="","",ROW()-6)</f>
        <v/>
      </c>
      <c r="B1079" s="114" t="n"/>
      <c r="C1079" s="102" t="n"/>
      <c r="D1079" s="114" t="n"/>
      <c r="E1079" s="103" t="n"/>
      <c r="F1079" s="102" t="n"/>
      <c r="G1079" s="102" t="n"/>
      <c r="H1079" s="115" t="n"/>
      <c r="I1079" s="102" t="n"/>
      <c r="J1079" s="102" t="n"/>
      <c r="K1079" s="103" t="n"/>
      <c r="L1079" s="116">
        <f>IF($H1079="","",TRIM(IF(COUNTIF(DMTK!$A$7:$A$250,$F1079)=0,"TK Nợ sai! ","")&amp;IF(COUNTIF(DMTK!$A$7:$A$250,$G1079)=0,"TK Có sai! ","")&amp;IF(N($H1079)&lt;=0,"Tiền phải &gt; 0! ","")&amp;IF($B1079="","Thiếu ngày! ","")&amp;IF(AND(OR(LEFT($F1079,3)="131",LEFT($G1079,3)="131",LEFT($F1079,3)="331",LEFT($G1079,3)="331"),$I1079=""),"Thiếu Mã ĐT! ","")&amp;IF(AND($I1079&lt;&gt;"",COUNTIF(DM_DT!$A$7:$A$306,$I1079)=0),"Mã ĐT chưa khai báo! ","")))</f>
        <v/>
      </c>
      <c r="M1079" s="117">
        <f>IF($H1079="","",IF(AND(OR(LEFT($F1079,3)="111",LEFT($F1079,3)="112",LEFT($F1079,3)="113"),OR(LEFT($G1079,3)="111",LEFT($G1079,3)="112",LEFT($G1079,3)="113")),"NB",IF(OR(LEFT($F1079,3)="111",LEFT($F1079,3)="112",LEFT($F1079,3)="113"),"THU",IF(OR(LEFT($G1079,3)="111",LEFT($G1079,3)="112",LEFT($G1079,3)="113"),"CHI",""))))</f>
        <v/>
      </c>
      <c r="N1079" s="117">
        <f>IF($M1079="THU",$G1079,IF($M1079="CHI",$F1079,""))</f>
        <v/>
      </c>
      <c r="O1079" s="117">
        <f>IF(OR($M1079="",$M1079="NB"),"",IF($J1079&lt;&gt;"",TEXT($J1079,"00"),IFERROR(VLOOKUP(LEFT($N1079,4),LCTT_MAP!$A$7:$C$66,IF($M1079="THU",2,3),FALSE()),IFERROR(VLOOKUP(LEFT($N1079,3),LCTT_MAP!$A$7:$C$66,IF($M1079="THU",2,3),FALSE()),IFERROR(VLOOKUP(LEFT($N1079,2),LCTT_MAP!$A$7:$C$66,IF($M1079="THU",2,3),FALSE()),IFERROR(VLOOKUP(LEFT($N1079,1),LCTT_MAP!$A$7:$C$66,IF($M1079="THU",2,3),FALSE()),IF($M1079="THU","06","07")))))))</f>
        <v/>
      </c>
      <c r="P1079" s="117">
        <f>P1078+IF(AND($H1079&lt;&gt;"",OR(LEFT($F1079,LEN(SC_TK))=SC_TK,LEFT($G1079,LEN(SC_TK))=SC_TK)),1,0)</f>
        <v/>
      </c>
    </row>
    <row r="1080" ht="15" customHeight="1" s="78">
      <c r="A1080" s="95">
        <f>IF($H1080="","",ROW()-6)</f>
        <v/>
      </c>
      <c r="B1080" s="114" t="n"/>
      <c r="C1080" s="102" t="n"/>
      <c r="D1080" s="114" t="n"/>
      <c r="E1080" s="103" t="n"/>
      <c r="F1080" s="102" t="n"/>
      <c r="G1080" s="102" t="n"/>
      <c r="H1080" s="115" t="n"/>
      <c r="I1080" s="102" t="n"/>
      <c r="J1080" s="102" t="n"/>
      <c r="K1080" s="103" t="n"/>
      <c r="L1080" s="116">
        <f>IF($H1080="","",TRIM(IF(COUNTIF(DMTK!$A$7:$A$250,$F1080)=0,"TK Nợ sai! ","")&amp;IF(COUNTIF(DMTK!$A$7:$A$250,$G1080)=0,"TK Có sai! ","")&amp;IF(N($H1080)&lt;=0,"Tiền phải &gt; 0! ","")&amp;IF($B1080="","Thiếu ngày! ","")&amp;IF(AND(OR(LEFT($F1080,3)="131",LEFT($G1080,3)="131",LEFT($F1080,3)="331",LEFT($G1080,3)="331"),$I1080=""),"Thiếu Mã ĐT! ","")&amp;IF(AND($I1080&lt;&gt;"",COUNTIF(DM_DT!$A$7:$A$306,$I1080)=0),"Mã ĐT chưa khai báo! ","")))</f>
        <v/>
      </c>
      <c r="M1080" s="117">
        <f>IF($H1080="","",IF(AND(OR(LEFT($F1080,3)="111",LEFT($F1080,3)="112",LEFT($F1080,3)="113"),OR(LEFT($G1080,3)="111",LEFT($G1080,3)="112",LEFT($G1080,3)="113")),"NB",IF(OR(LEFT($F1080,3)="111",LEFT($F1080,3)="112",LEFT($F1080,3)="113"),"THU",IF(OR(LEFT($G1080,3)="111",LEFT($G1080,3)="112",LEFT($G1080,3)="113"),"CHI",""))))</f>
        <v/>
      </c>
      <c r="N1080" s="117">
        <f>IF($M1080="THU",$G1080,IF($M1080="CHI",$F1080,""))</f>
        <v/>
      </c>
      <c r="O1080" s="117">
        <f>IF(OR($M1080="",$M1080="NB"),"",IF($J1080&lt;&gt;"",TEXT($J1080,"00"),IFERROR(VLOOKUP(LEFT($N1080,4),LCTT_MAP!$A$7:$C$66,IF($M1080="THU",2,3),FALSE()),IFERROR(VLOOKUP(LEFT($N1080,3),LCTT_MAP!$A$7:$C$66,IF($M1080="THU",2,3),FALSE()),IFERROR(VLOOKUP(LEFT($N1080,2),LCTT_MAP!$A$7:$C$66,IF($M1080="THU",2,3),FALSE()),IFERROR(VLOOKUP(LEFT($N1080,1),LCTT_MAP!$A$7:$C$66,IF($M1080="THU",2,3),FALSE()),IF($M1080="THU","06","07")))))))</f>
        <v/>
      </c>
      <c r="P1080" s="117">
        <f>P1079+IF(AND($H1080&lt;&gt;"",OR(LEFT($F1080,LEN(SC_TK))=SC_TK,LEFT($G1080,LEN(SC_TK))=SC_TK)),1,0)</f>
        <v/>
      </c>
    </row>
    <row r="1081" ht="15" customHeight="1" s="78">
      <c r="A1081" s="95">
        <f>IF($H1081="","",ROW()-6)</f>
        <v/>
      </c>
      <c r="B1081" s="114" t="n"/>
      <c r="C1081" s="102" t="n"/>
      <c r="D1081" s="114" t="n"/>
      <c r="E1081" s="103" t="n"/>
      <c r="F1081" s="102" t="n"/>
      <c r="G1081" s="102" t="n"/>
      <c r="H1081" s="115" t="n"/>
      <c r="I1081" s="102" t="n"/>
      <c r="J1081" s="102" t="n"/>
      <c r="K1081" s="103" t="n"/>
      <c r="L1081" s="116">
        <f>IF($H1081="","",TRIM(IF(COUNTIF(DMTK!$A$7:$A$250,$F1081)=0,"TK Nợ sai! ","")&amp;IF(COUNTIF(DMTK!$A$7:$A$250,$G1081)=0,"TK Có sai! ","")&amp;IF(N($H1081)&lt;=0,"Tiền phải &gt; 0! ","")&amp;IF($B1081="","Thiếu ngày! ","")&amp;IF(AND(OR(LEFT($F1081,3)="131",LEFT($G1081,3)="131",LEFT($F1081,3)="331",LEFT($G1081,3)="331"),$I1081=""),"Thiếu Mã ĐT! ","")&amp;IF(AND($I1081&lt;&gt;"",COUNTIF(DM_DT!$A$7:$A$306,$I1081)=0),"Mã ĐT chưa khai báo! ","")))</f>
        <v/>
      </c>
      <c r="M1081" s="117">
        <f>IF($H1081="","",IF(AND(OR(LEFT($F1081,3)="111",LEFT($F1081,3)="112",LEFT($F1081,3)="113"),OR(LEFT($G1081,3)="111",LEFT($G1081,3)="112",LEFT($G1081,3)="113")),"NB",IF(OR(LEFT($F1081,3)="111",LEFT($F1081,3)="112",LEFT($F1081,3)="113"),"THU",IF(OR(LEFT($G1081,3)="111",LEFT($G1081,3)="112",LEFT($G1081,3)="113"),"CHI",""))))</f>
        <v/>
      </c>
      <c r="N1081" s="117">
        <f>IF($M1081="THU",$G1081,IF($M1081="CHI",$F1081,""))</f>
        <v/>
      </c>
      <c r="O1081" s="117">
        <f>IF(OR($M1081="",$M1081="NB"),"",IF($J1081&lt;&gt;"",TEXT($J1081,"00"),IFERROR(VLOOKUP(LEFT($N1081,4),LCTT_MAP!$A$7:$C$66,IF($M1081="THU",2,3),FALSE()),IFERROR(VLOOKUP(LEFT($N1081,3),LCTT_MAP!$A$7:$C$66,IF($M1081="THU",2,3),FALSE()),IFERROR(VLOOKUP(LEFT($N1081,2),LCTT_MAP!$A$7:$C$66,IF($M1081="THU",2,3),FALSE()),IFERROR(VLOOKUP(LEFT($N1081,1),LCTT_MAP!$A$7:$C$66,IF($M1081="THU",2,3),FALSE()),IF($M1081="THU","06","07")))))))</f>
        <v/>
      </c>
      <c r="P1081" s="117">
        <f>P1080+IF(AND($H1081&lt;&gt;"",OR(LEFT($F1081,LEN(SC_TK))=SC_TK,LEFT($G1081,LEN(SC_TK))=SC_TK)),1,0)</f>
        <v/>
      </c>
    </row>
    <row r="1082" ht="15" customHeight="1" s="78">
      <c r="A1082" s="95">
        <f>IF($H1082="","",ROW()-6)</f>
        <v/>
      </c>
      <c r="B1082" s="114" t="n"/>
      <c r="C1082" s="102" t="n"/>
      <c r="D1082" s="114" t="n"/>
      <c r="E1082" s="103" t="n"/>
      <c r="F1082" s="102" t="n"/>
      <c r="G1082" s="102" t="n"/>
      <c r="H1082" s="115" t="n"/>
      <c r="I1082" s="102" t="n"/>
      <c r="J1082" s="102" t="n"/>
      <c r="K1082" s="103" t="n"/>
      <c r="L1082" s="116">
        <f>IF($H1082="","",TRIM(IF(COUNTIF(DMTK!$A$7:$A$250,$F1082)=0,"TK Nợ sai! ","")&amp;IF(COUNTIF(DMTK!$A$7:$A$250,$G1082)=0,"TK Có sai! ","")&amp;IF(N($H1082)&lt;=0,"Tiền phải &gt; 0! ","")&amp;IF($B1082="","Thiếu ngày! ","")&amp;IF(AND(OR(LEFT($F1082,3)="131",LEFT($G1082,3)="131",LEFT($F1082,3)="331",LEFT($G1082,3)="331"),$I1082=""),"Thiếu Mã ĐT! ","")&amp;IF(AND($I1082&lt;&gt;"",COUNTIF(DM_DT!$A$7:$A$306,$I1082)=0),"Mã ĐT chưa khai báo! ","")))</f>
        <v/>
      </c>
      <c r="M1082" s="117">
        <f>IF($H1082="","",IF(AND(OR(LEFT($F1082,3)="111",LEFT($F1082,3)="112",LEFT($F1082,3)="113"),OR(LEFT($G1082,3)="111",LEFT($G1082,3)="112",LEFT($G1082,3)="113")),"NB",IF(OR(LEFT($F1082,3)="111",LEFT($F1082,3)="112",LEFT($F1082,3)="113"),"THU",IF(OR(LEFT($G1082,3)="111",LEFT($G1082,3)="112",LEFT($G1082,3)="113"),"CHI",""))))</f>
        <v/>
      </c>
      <c r="N1082" s="117">
        <f>IF($M1082="THU",$G1082,IF($M1082="CHI",$F1082,""))</f>
        <v/>
      </c>
      <c r="O1082" s="117">
        <f>IF(OR($M1082="",$M1082="NB"),"",IF($J1082&lt;&gt;"",TEXT($J1082,"00"),IFERROR(VLOOKUP(LEFT($N1082,4),LCTT_MAP!$A$7:$C$66,IF($M1082="THU",2,3),FALSE()),IFERROR(VLOOKUP(LEFT($N1082,3),LCTT_MAP!$A$7:$C$66,IF($M1082="THU",2,3),FALSE()),IFERROR(VLOOKUP(LEFT($N1082,2),LCTT_MAP!$A$7:$C$66,IF($M1082="THU",2,3),FALSE()),IFERROR(VLOOKUP(LEFT($N1082,1),LCTT_MAP!$A$7:$C$66,IF($M1082="THU",2,3),FALSE()),IF($M1082="THU","06","07")))))))</f>
        <v/>
      </c>
      <c r="P1082" s="117">
        <f>P1081+IF(AND($H1082&lt;&gt;"",OR(LEFT($F1082,LEN(SC_TK))=SC_TK,LEFT($G1082,LEN(SC_TK))=SC_TK)),1,0)</f>
        <v/>
      </c>
    </row>
    <row r="1083" ht="15" customHeight="1" s="78">
      <c r="A1083" s="95">
        <f>IF($H1083="","",ROW()-6)</f>
        <v/>
      </c>
      <c r="B1083" s="114" t="n"/>
      <c r="C1083" s="102" t="n"/>
      <c r="D1083" s="114" t="n"/>
      <c r="E1083" s="103" t="n"/>
      <c r="F1083" s="102" t="n"/>
      <c r="G1083" s="102" t="n"/>
      <c r="H1083" s="115" t="n"/>
      <c r="I1083" s="102" t="n"/>
      <c r="J1083" s="102" t="n"/>
      <c r="K1083" s="103" t="n"/>
      <c r="L1083" s="116">
        <f>IF($H1083="","",TRIM(IF(COUNTIF(DMTK!$A$7:$A$250,$F1083)=0,"TK Nợ sai! ","")&amp;IF(COUNTIF(DMTK!$A$7:$A$250,$G1083)=0,"TK Có sai! ","")&amp;IF(N($H1083)&lt;=0,"Tiền phải &gt; 0! ","")&amp;IF($B1083="","Thiếu ngày! ","")&amp;IF(AND(OR(LEFT($F1083,3)="131",LEFT($G1083,3)="131",LEFT($F1083,3)="331",LEFT($G1083,3)="331"),$I1083=""),"Thiếu Mã ĐT! ","")&amp;IF(AND($I1083&lt;&gt;"",COUNTIF(DM_DT!$A$7:$A$306,$I1083)=0),"Mã ĐT chưa khai báo! ","")))</f>
        <v/>
      </c>
      <c r="M1083" s="117">
        <f>IF($H1083="","",IF(AND(OR(LEFT($F1083,3)="111",LEFT($F1083,3)="112",LEFT($F1083,3)="113"),OR(LEFT($G1083,3)="111",LEFT($G1083,3)="112",LEFT($G1083,3)="113")),"NB",IF(OR(LEFT($F1083,3)="111",LEFT($F1083,3)="112",LEFT($F1083,3)="113"),"THU",IF(OR(LEFT($G1083,3)="111",LEFT($G1083,3)="112",LEFT($G1083,3)="113"),"CHI",""))))</f>
        <v/>
      </c>
      <c r="N1083" s="117">
        <f>IF($M1083="THU",$G1083,IF($M1083="CHI",$F1083,""))</f>
        <v/>
      </c>
      <c r="O1083" s="117">
        <f>IF(OR($M1083="",$M1083="NB"),"",IF($J1083&lt;&gt;"",TEXT($J1083,"00"),IFERROR(VLOOKUP(LEFT($N1083,4),LCTT_MAP!$A$7:$C$66,IF($M1083="THU",2,3),FALSE()),IFERROR(VLOOKUP(LEFT($N1083,3),LCTT_MAP!$A$7:$C$66,IF($M1083="THU",2,3),FALSE()),IFERROR(VLOOKUP(LEFT($N1083,2),LCTT_MAP!$A$7:$C$66,IF($M1083="THU",2,3),FALSE()),IFERROR(VLOOKUP(LEFT($N1083,1),LCTT_MAP!$A$7:$C$66,IF($M1083="THU",2,3),FALSE()),IF($M1083="THU","06","07")))))))</f>
        <v/>
      </c>
      <c r="P1083" s="117">
        <f>P1082+IF(AND($H1083&lt;&gt;"",OR(LEFT($F1083,LEN(SC_TK))=SC_TK,LEFT($G1083,LEN(SC_TK))=SC_TK)),1,0)</f>
        <v/>
      </c>
    </row>
    <row r="1084" ht="15" customHeight="1" s="78">
      <c r="A1084" s="95">
        <f>IF($H1084="","",ROW()-6)</f>
        <v/>
      </c>
      <c r="B1084" s="114" t="n"/>
      <c r="C1084" s="102" t="n"/>
      <c r="D1084" s="114" t="n"/>
      <c r="E1084" s="103" t="n"/>
      <c r="F1084" s="102" t="n"/>
      <c r="G1084" s="102" t="n"/>
      <c r="H1084" s="115" t="n"/>
      <c r="I1084" s="102" t="n"/>
      <c r="J1084" s="102" t="n"/>
      <c r="K1084" s="103" t="n"/>
      <c r="L1084" s="116">
        <f>IF($H1084="","",TRIM(IF(COUNTIF(DMTK!$A$7:$A$250,$F1084)=0,"TK Nợ sai! ","")&amp;IF(COUNTIF(DMTK!$A$7:$A$250,$G1084)=0,"TK Có sai! ","")&amp;IF(N($H1084)&lt;=0,"Tiền phải &gt; 0! ","")&amp;IF($B1084="","Thiếu ngày! ","")&amp;IF(AND(OR(LEFT($F1084,3)="131",LEFT($G1084,3)="131",LEFT($F1084,3)="331",LEFT($G1084,3)="331"),$I1084=""),"Thiếu Mã ĐT! ","")&amp;IF(AND($I1084&lt;&gt;"",COUNTIF(DM_DT!$A$7:$A$306,$I1084)=0),"Mã ĐT chưa khai báo! ","")))</f>
        <v/>
      </c>
      <c r="M1084" s="117">
        <f>IF($H1084="","",IF(AND(OR(LEFT($F1084,3)="111",LEFT($F1084,3)="112",LEFT($F1084,3)="113"),OR(LEFT($G1084,3)="111",LEFT($G1084,3)="112",LEFT($G1084,3)="113")),"NB",IF(OR(LEFT($F1084,3)="111",LEFT($F1084,3)="112",LEFT($F1084,3)="113"),"THU",IF(OR(LEFT($G1084,3)="111",LEFT($G1084,3)="112",LEFT($G1084,3)="113"),"CHI",""))))</f>
        <v/>
      </c>
      <c r="N1084" s="117">
        <f>IF($M1084="THU",$G1084,IF($M1084="CHI",$F1084,""))</f>
        <v/>
      </c>
      <c r="O1084" s="117">
        <f>IF(OR($M1084="",$M1084="NB"),"",IF($J1084&lt;&gt;"",TEXT($J1084,"00"),IFERROR(VLOOKUP(LEFT($N1084,4),LCTT_MAP!$A$7:$C$66,IF($M1084="THU",2,3),FALSE()),IFERROR(VLOOKUP(LEFT($N1084,3),LCTT_MAP!$A$7:$C$66,IF($M1084="THU",2,3),FALSE()),IFERROR(VLOOKUP(LEFT($N1084,2),LCTT_MAP!$A$7:$C$66,IF($M1084="THU",2,3),FALSE()),IFERROR(VLOOKUP(LEFT($N1084,1),LCTT_MAP!$A$7:$C$66,IF($M1084="THU",2,3),FALSE()),IF($M1084="THU","06","07")))))))</f>
        <v/>
      </c>
      <c r="P1084" s="117">
        <f>P1083+IF(AND($H1084&lt;&gt;"",OR(LEFT($F1084,LEN(SC_TK))=SC_TK,LEFT($G1084,LEN(SC_TK))=SC_TK)),1,0)</f>
        <v/>
      </c>
    </row>
    <row r="1085" ht="15" customHeight="1" s="78">
      <c r="A1085" s="95">
        <f>IF($H1085="","",ROW()-6)</f>
        <v/>
      </c>
      <c r="B1085" s="114" t="n"/>
      <c r="C1085" s="102" t="n"/>
      <c r="D1085" s="114" t="n"/>
      <c r="E1085" s="103" t="n"/>
      <c r="F1085" s="102" t="n"/>
      <c r="G1085" s="102" t="n"/>
      <c r="H1085" s="115" t="n"/>
      <c r="I1085" s="102" t="n"/>
      <c r="J1085" s="102" t="n"/>
      <c r="K1085" s="103" t="n"/>
      <c r="L1085" s="116">
        <f>IF($H1085="","",TRIM(IF(COUNTIF(DMTK!$A$7:$A$250,$F1085)=0,"TK Nợ sai! ","")&amp;IF(COUNTIF(DMTK!$A$7:$A$250,$G1085)=0,"TK Có sai! ","")&amp;IF(N($H1085)&lt;=0,"Tiền phải &gt; 0! ","")&amp;IF($B1085="","Thiếu ngày! ","")&amp;IF(AND(OR(LEFT($F1085,3)="131",LEFT($G1085,3)="131",LEFT($F1085,3)="331",LEFT($G1085,3)="331"),$I1085=""),"Thiếu Mã ĐT! ","")&amp;IF(AND($I1085&lt;&gt;"",COUNTIF(DM_DT!$A$7:$A$306,$I1085)=0),"Mã ĐT chưa khai báo! ","")))</f>
        <v/>
      </c>
      <c r="M1085" s="117">
        <f>IF($H1085="","",IF(AND(OR(LEFT($F1085,3)="111",LEFT($F1085,3)="112",LEFT($F1085,3)="113"),OR(LEFT($G1085,3)="111",LEFT($G1085,3)="112",LEFT($G1085,3)="113")),"NB",IF(OR(LEFT($F1085,3)="111",LEFT($F1085,3)="112",LEFT($F1085,3)="113"),"THU",IF(OR(LEFT($G1085,3)="111",LEFT($G1085,3)="112",LEFT($G1085,3)="113"),"CHI",""))))</f>
        <v/>
      </c>
      <c r="N1085" s="117">
        <f>IF($M1085="THU",$G1085,IF($M1085="CHI",$F1085,""))</f>
        <v/>
      </c>
      <c r="O1085" s="117">
        <f>IF(OR($M1085="",$M1085="NB"),"",IF($J1085&lt;&gt;"",TEXT($J1085,"00"),IFERROR(VLOOKUP(LEFT($N1085,4),LCTT_MAP!$A$7:$C$66,IF($M1085="THU",2,3),FALSE()),IFERROR(VLOOKUP(LEFT($N1085,3),LCTT_MAP!$A$7:$C$66,IF($M1085="THU",2,3),FALSE()),IFERROR(VLOOKUP(LEFT($N1085,2),LCTT_MAP!$A$7:$C$66,IF($M1085="THU",2,3),FALSE()),IFERROR(VLOOKUP(LEFT($N1085,1),LCTT_MAP!$A$7:$C$66,IF($M1085="THU",2,3),FALSE()),IF($M1085="THU","06","07")))))))</f>
        <v/>
      </c>
      <c r="P1085" s="117">
        <f>P1084+IF(AND($H1085&lt;&gt;"",OR(LEFT($F1085,LEN(SC_TK))=SC_TK,LEFT($G1085,LEN(SC_TK))=SC_TK)),1,0)</f>
        <v/>
      </c>
    </row>
    <row r="1086" ht="15" customHeight="1" s="78">
      <c r="A1086" s="95">
        <f>IF($H1086="","",ROW()-6)</f>
        <v/>
      </c>
      <c r="B1086" s="114" t="n"/>
      <c r="C1086" s="102" t="n"/>
      <c r="D1086" s="114" t="n"/>
      <c r="E1086" s="103" t="n"/>
      <c r="F1086" s="102" t="n"/>
      <c r="G1086" s="102" t="n"/>
      <c r="H1086" s="115" t="n"/>
      <c r="I1086" s="102" t="n"/>
      <c r="J1086" s="102" t="n"/>
      <c r="K1086" s="103" t="n"/>
      <c r="L1086" s="116">
        <f>IF($H1086="","",TRIM(IF(COUNTIF(DMTK!$A$7:$A$250,$F1086)=0,"TK Nợ sai! ","")&amp;IF(COUNTIF(DMTK!$A$7:$A$250,$G1086)=0,"TK Có sai! ","")&amp;IF(N($H1086)&lt;=0,"Tiền phải &gt; 0! ","")&amp;IF($B1086="","Thiếu ngày! ","")&amp;IF(AND(OR(LEFT($F1086,3)="131",LEFT($G1086,3)="131",LEFT($F1086,3)="331",LEFT($G1086,3)="331"),$I1086=""),"Thiếu Mã ĐT! ","")&amp;IF(AND($I1086&lt;&gt;"",COUNTIF(DM_DT!$A$7:$A$306,$I1086)=0),"Mã ĐT chưa khai báo! ","")))</f>
        <v/>
      </c>
      <c r="M1086" s="117">
        <f>IF($H1086="","",IF(AND(OR(LEFT($F1086,3)="111",LEFT($F1086,3)="112",LEFT($F1086,3)="113"),OR(LEFT($G1086,3)="111",LEFT($G1086,3)="112",LEFT($G1086,3)="113")),"NB",IF(OR(LEFT($F1086,3)="111",LEFT($F1086,3)="112",LEFT($F1086,3)="113"),"THU",IF(OR(LEFT($G1086,3)="111",LEFT($G1086,3)="112",LEFT($G1086,3)="113"),"CHI",""))))</f>
        <v/>
      </c>
      <c r="N1086" s="117">
        <f>IF($M1086="THU",$G1086,IF($M1086="CHI",$F1086,""))</f>
        <v/>
      </c>
      <c r="O1086" s="117">
        <f>IF(OR($M1086="",$M1086="NB"),"",IF($J1086&lt;&gt;"",TEXT($J1086,"00"),IFERROR(VLOOKUP(LEFT($N1086,4),LCTT_MAP!$A$7:$C$66,IF($M1086="THU",2,3),FALSE()),IFERROR(VLOOKUP(LEFT($N1086,3),LCTT_MAP!$A$7:$C$66,IF($M1086="THU",2,3),FALSE()),IFERROR(VLOOKUP(LEFT($N1086,2),LCTT_MAP!$A$7:$C$66,IF($M1086="THU",2,3),FALSE()),IFERROR(VLOOKUP(LEFT($N1086,1),LCTT_MAP!$A$7:$C$66,IF($M1086="THU",2,3),FALSE()),IF($M1086="THU","06","07")))))))</f>
        <v/>
      </c>
      <c r="P1086" s="117">
        <f>P1085+IF(AND($H1086&lt;&gt;"",OR(LEFT($F1086,LEN(SC_TK))=SC_TK,LEFT($G1086,LEN(SC_TK))=SC_TK)),1,0)</f>
        <v/>
      </c>
    </row>
    <row r="1087" ht="15" customHeight="1" s="78">
      <c r="A1087" s="95">
        <f>IF($H1087="","",ROW()-6)</f>
        <v/>
      </c>
      <c r="B1087" s="114" t="n"/>
      <c r="C1087" s="102" t="n"/>
      <c r="D1087" s="114" t="n"/>
      <c r="E1087" s="103" t="n"/>
      <c r="F1087" s="102" t="n"/>
      <c r="G1087" s="102" t="n"/>
      <c r="H1087" s="115" t="n"/>
      <c r="I1087" s="102" t="n"/>
      <c r="J1087" s="102" t="n"/>
      <c r="K1087" s="103" t="n"/>
      <c r="L1087" s="116">
        <f>IF($H1087="","",TRIM(IF(COUNTIF(DMTK!$A$7:$A$250,$F1087)=0,"TK Nợ sai! ","")&amp;IF(COUNTIF(DMTK!$A$7:$A$250,$G1087)=0,"TK Có sai! ","")&amp;IF(N($H1087)&lt;=0,"Tiền phải &gt; 0! ","")&amp;IF($B1087="","Thiếu ngày! ","")&amp;IF(AND(OR(LEFT($F1087,3)="131",LEFT($G1087,3)="131",LEFT($F1087,3)="331",LEFT($G1087,3)="331"),$I1087=""),"Thiếu Mã ĐT! ","")&amp;IF(AND($I1087&lt;&gt;"",COUNTIF(DM_DT!$A$7:$A$306,$I1087)=0),"Mã ĐT chưa khai báo! ","")))</f>
        <v/>
      </c>
      <c r="M1087" s="117">
        <f>IF($H1087="","",IF(AND(OR(LEFT($F1087,3)="111",LEFT($F1087,3)="112",LEFT($F1087,3)="113"),OR(LEFT($G1087,3)="111",LEFT($G1087,3)="112",LEFT($G1087,3)="113")),"NB",IF(OR(LEFT($F1087,3)="111",LEFT($F1087,3)="112",LEFT($F1087,3)="113"),"THU",IF(OR(LEFT($G1087,3)="111",LEFT($G1087,3)="112",LEFT($G1087,3)="113"),"CHI",""))))</f>
        <v/>
      </c>
      <c r="N1087" s="117">
        <f>IF($M1087="THU",$G1087,IF($M1087="CHI",$F1087,""))</f>
        <v/>
      </c>
      <c r="O1087" s="117">
        <f>IF(OR($M1087="",$M1087="NB"),"",IF($J1087&lt;&gt;"",TEXT($J1087,"00"),IFERROR(VLOOKUP(LEFT($N1087,4),LCTT_MAP!$A$7:$C$66,IF($M1087="THU",2,3),FALSE()),IFERROR(VLOOKUP(LEFT($N1087,3),LCTT_MAP!$A$7:$C$66,IF($M1087="THU",2,3),FALSE()),IFERROR(VLOOKUP(LEFT($N1087,2),LCTT_MAP!$A$7:$C$66,IF($M1087="THU",2,3),FALSE()),IFERROR(VLOOKUP(LEFT($N1087,1),LCTT_MAP!$A$7:$C$66,IF($M1087="THU",2,3),FALSE()),IF($M1087="THU","06","07")))))))</f>
        <v/>
      </c>
      <c r="P1087" s="117">
        <f>P1086+IF(AND($H1087&lt;&gt;"",OR(LEFT($F1087,LEN(SC_TK))=SC_TK,LEFT($G1087,LEN(SC_TK))=SC_TK)),1,0)</f>
        <v/>
      </c>
    </row>
    <row r="1088" ht="15" customHeight="1" s="78">
      <c r="A1088" s="95">
        <f>IF($H1088="","",ROW()-6)</f>
        <v/>
      </c>
      <c r="B1088" s="114" t="n"/>
      <c r="C1088" s="102" t="n"/>
      <c r="D1088" s="114" t="n"/>
      <c r="E1088" s="103" t="n"/>
      <c r="F1088" s="102" t="n"/>
      <c r="G1088" s="102" t="n"/>
      <c r="H1088" s="115" t="n"/>
      <c r="I1088" s="102" t="n"/>
      <c r="J1088" s="102" t="n"/>
      <c r="K1088" s="103" t="n"/>
      <c r="L1088" s="116">
        <f>IF($H1088="","",TRIM(IF(COUNTIF(DMTK!$A$7:$A$250,$F1088)=0,"TK Nợ sai! ","")&amp;IF(COUNTIF(DMTK!$A$7:$A$250,$G1088)=0,"TK Có sai! ","")&amp;IF(N($H1088)&lt;=0,"Tiền phải &gt; 0! ","")&amp;IF($B1088="","Thiếu ngày! ","")&amp;IF(AND(OR(LEFT($F1088,3)="131",LEFT($G1088,3)="131",LEFT($F1088,3)="331",LEFT($G1088,3)="331"),$I1088=""),"Thiếu Mã ĐT! ","")&amp;IF(AND($I1088&lt;&gt;"",COUNTIF(DM_DT!$A$7:$A$306,$I1088)=0),"Mã ĐT chưa khai báo! ","")))</f>
        <v/>
      </c>
      <c r="M1088" s="117">
        <f>IF($H1088="","",IF(AND(OR(LEFT($F1088,3)="111",LEFT($F1088,3)="112",LEFT($F1088,3)="113"),OR(LEFT($G1088,3)="111",LEFT($G1088,3)="112",LEFT($G1088,3)="113")),"NB",IF(OR(LEFT($F1088,3)="111",LEFT($F1088,3)="112",LEFT($F1088,3)="113"),"THU",IF(OR(LEFT($G1088,3)="111",LEFT($G1088,3)="112",LEFT($G1088,3)="113"),"CHI",""))))</f>
        <v/>
      </c>
      <c r="N1088" s="117">
        <f>IF($M1088="THU",$G1088,IF($M1088="CHI",$F1088,""))</f>
        <v/>
      </c>
      <c r="O1088" s="117">
        <f>IF(OR($M1088="",$M1088="NB"),"",IF($J1088&lt;&gt;"",TEXT($J1088,"00"),IFERROR(VLOOKUP(LEFT($N1088,4),LCTT_MAP!$A$7:$C$66,IF($M1088="THU",2,3),FALSE()),IFERROR(VLOOKUP(LEFT($N1088,3),LCTT_MAP!$A$7:$C$66,IF($M1088="THU",2,3),FALSE()),IFERROR(VLOOKUP(LEFT($N1088,2),LCTT_MAP!$A$7:$C$66,IF($M1088="THU",2,3),FALSE()),IFERROR(VLOOKUP(LEFT($N1088,1),LCTT_MAP!$A$7:$C$66,IF($M1088="THU",2,3),FALSE()),IF($M1088="THU","06","07")))))))</f>
        <v/>
      </c>
      <c r="P1088" s="117">
        <f>P1087+IF(AND($H1088&lt;&gt;"",OR(LEFT($F1088,LEN(SC_TK))=SC_TK,LEFT($G1088,LEN(SC_TK))=SC_TK)),1,0)</f>
        <v/>
      </c>
    </row>
    <row r="1089" ht="15" customHeight="1" s="78">
      <c r="A1089" s="95">
        <f>IF($H1089="","",ROW()-6)</f>
        <v/>
      </c>
      <c r="B1089" s="114" t="n"/>
      <c r="C1089" s="102" t="n"/>
      <c r="D1089" s="114" t="n"/>
      <c r="E1089" s="103" t="n"/>
      <c r="F1089" s="102" t="n"/>
      <c r="G1089" s="102" t="n"/>
      <c r="H1089" s="115" t="n"/>
      <c r="I1089" s="102" t="n"/>
      <c r="J1089" s="102" t="n"/>
      <c r="K1089" s="103" t="n"/>
      <c r="L1089" s="116">
        <f>IF($H1089="","",TRIM(IF(COUNTIF(DMTK!$A$7:$A$250,$F1089)=0,"TK Nợ sai! ","")&amp;IF(COUNTIF(DMTK!$A$7:$A$250,$G1089)=0,"TK Có sai! ","")&amp;IF(N($H1089)&lt;=0,"Tiền phải &gt; 0! ","")&amp;IF($B1089="","Thiếu ngày! ","")&amp;IF(AND(OR(LEFT($F1089,3)="131",LEFT($G1089,3)="131",LEFT($F1089,3)="331",LEFT($G1089,3)="331"),$I1089=""),"Thiếu Mã ĐT! ","")&amp;IF(AND($I1089&lt;&gt;"",COUNTIF(DM_DT!$A$7:$A$306,$I1089)=0),"Mã ĐT chưa khai báo! ","")))</f>
        <v/>
      </c>
      <c r="M1089" s="117">
        <f>IF($H1089="","",IF(AND(OR(LEFT($F1089,3)="111",LEFT($F1089,3)="112",LEFT($F1089,3)="113"),OR(LEFT($G1089,3)="111",LEFT($G1089,3)="112",LEFT($G1089,3)="113")),"NB",IF(OR(LEFT($F1089,3)="111",LEFT($F1089,3)="112",LEFT($F1089,3)="113"),"THU",IF(OR(LEFT($G1089,3)="111",LEFT($G1089,3)="112",LEFT($G1089,3)="113"),"CHI",""))))</f>
        <v/>
      </c>
      <c r="N1089" s="117">
        <f>IF($M1089="THU",$G1089,IF($M1089="CHI",$F1089,""))</f>
        <v/>
      </c>
      <c r="O1089" s="117">
        <f>IF(OR($M1089="",$M1089="NB"),"",IF($J1089&lt;&gt;"",TEXT($J1089,"00"),IFERROR(VLOOKUP(LEFT($N1089,4),LCTT_MAP!$A$7:$C$66,IF($M1089="THU",2,3),FALSE()),IFERROR(VLOOKUP(LEFT($N1089,3),LCTT_MAP!$A$7:$C$66,IF($M1089="THU",2,3),FALSE()),IFERROR(VLOOKUP(LEFT($N1089,2),LCTT_MAP!$A$7:$C$66,IF($M1089="THU",2,3),FALSE()),IFERROR(VLOOKUP(LEFT($N1089,1),LCTT_MAP!$A$7:$C$66,IF($M1089="THU",2,3),FALSE()),IF($M1089="THU","06","07")))))))</f>
        <v/>
      </c>
      <c r="P1089" s="117">
        <f>P1088+IF(AND($H1089&lt;&gt;"",OR(LEFT($F1089,LEN(SC_TK))=SC_TK,LEFT($G1089,LEN(SC_TK))=SC_TK)),1,0)</f>
        <v/>
      </c>
    </row>
    <row r="1090" ht="15" customHeight="1" s="78">
      <c r="A1090" s="95">
        <f>IF($H1090="","",ROW()-6)</f>
        <v/>
      </c>
      <c r="B1090" s="114" t="n"/>
      <c r="C1090" s="102" t="n"/>
      <c r="D1090" s="114" t="n"/>
      <c r="E1090" s="103" t="n"/>
      <c r="F1090" s="102" t="n"/>
      <c r="G1090" s="102" t="n"/>
      <c r="H1090" s="115" t="n"/>
      <c r="I1090" s="102" t="n"/>
      <c r="J1090" s="102" t="n"/>
      <c r="K1090" s="103" t="n"/>
      <c r="L1090" s="116">
        <f>IF($H1090="","",TRIM(IF(COUNTIF(DMTK!$A$7:$A$250,$F1090)=0,"TK Nợ sai! ","")&amp;IF(COUNTIF(DMTK!$A$7:$A$250,$G1090)=0,"TK Có sai! ","")&amp;IF(N($H1090)&lt;=0,"Tiền phải &gt; 0! ","")&amp;IF($B1090="","Thiếu ngày! ","")&amp;IF(AND(OR(LEFT($F1090,3)="131",LEFT($G1090,3)="131",LEFT($F1090,3)="331",LEFT($G1090,3)="331"),$I1090=""),"Thiếu Mã ĐT! ","")&amp;IF(AND($I1090&lt;&gt;"",COUNTIF(DM_DT!$A$7:$A$306,$I1090)=0),"Mã ĐT chưa khai báo! ","")))</f>
        <v/>
      </c>
      <c r="M1090" s="117">
        <f>IF($H1090="","",IF(AND(OR(LEFT($F1090,3)="111",LEFT($F1090,3)="112",LEFT($F1090,3)="113"),OR(LEFT($G1090,3)="111",LEFT($G1090,3)="112",LEFT($G1090,3)="113")),"NB",IF(OR(LEFT($F1090,3)="111",LEFT($F1090,3)="112",LEFT($F1090,3)="113"),"THU",IF(OR(LEFT($G1090,3)="111",LEFT($G1090,3)="112",LEFT($G1090,3)="113"),"CHI",""))))</f>
        <v/>
      </c>
      <c r="N1090" s="117">
        <f>IF($M1090="THU",$G1090,IF($M1090="CHI",$F1090,""))</f>
        <v/>
      </c>
      <c r="O1090" s="117">
        <f>IF(OR($M1090="",$M1090="NB"),"",IF($J1090&lt;&gt;"",TEXT($J1090,"00"),IFERROR(VLOOKUP(LEFT($N1090,4),LCTT_MAP!$A$7:$C$66,IF($M1090="THU",2,3),FALSE()),IFERROR(VLOOKUP(LEFT($N1090,3),LCTT_MAP!$A$7:$C$66,IF($M1090="THU",2,3),FALSE()),IFERROR(VLOOKUP(LEFT($N1090,2),LCTT_MAP!$A$7:$C$66,IF($M1090="THU",2,3),FALSE()),IFERROR(VLOOKUP(LEFT($N1090,1),LCTT_MAP!$A$7:$C$66,IF($M1090="THU",2,3),FALSE()),IF($M1090="THU","06","07")))))))</f>
        <v/>
      </c>
      <c r="P1090" s="117">
        <f>P1089+IF(AND($H1090&lt;&gt;"",OR(LEFT($F1090,LEN(SC_TK))=SC_TK,LEFT($G1090,LEN(SC_TK))=SC_TK)),1,0)</f>
        <v/>
      </c>
    </row>
    <row r="1091" ht="15" customHeight="1" s="78">
      <c r="A1091" s="95">
        <f>IF($H1091="","",ROW()-6)</f>
        <v/>
      </c>
      <c r="B1091" s="114" t="n"/>
      <c r="C1091" s="102" t="n"/>
      <c r="D1091" s="114" t="n"/>
      <c r="E1091" s="103" t="n"/>
      <c r="F1091" s="102" t="n"/>
      <c r="G1091" s="102" t="n"/>
      <c r="H1091" s="115" t="n"/>
      <c r="I1091" s="102" t="n"/>
      <c r="J1091" s="102" t="n"/>
      <c r="K1091" s="103" t="n"/>
      <c r="L1091" s="116">
        <f>IF($H1091="","",TRIM(IF(COUNTIF(DMTK!$A$7:$A$250,$F1091)=0,"TK Nợ sai! ","")&amp;IF(COUNTIF(DMTK!$A$7:$A$250,$G1091)=0,"TK Có sai! ","")&amp;IF(N($H1091)&lt;=0,"Tiền phải &gt; 0! ","")&amp;IF($B1091="","Thiếu ngày! ","")&amp;IF(AND(OR(LEFT($F1091,3)="131",LEFT($G1091,3)="131",LEFT($F1091,3)="331",LEFT($G1091,3)="331"),$I1091=""),"Thiếu Mã ĐT! ","")&amp;IF(AND($I1091&lt;&gt;"",COUNTIF(DM_DT!$A$7:$A$306,$I1091)=0),"Mã ĐT chưa khai báo! ","")))</f>
        <v/>
      </c>
      <c r="M1091" s="117">
        <f>IF($H1091="","",IF(AND(OR(LEFT($F1091,3)="111",LEFT($F1091,3)="112",LEFT($F1091,3)="113"),OR(LEFT($G1091,3)="111",LEFT($G1091,3)="112",LEFT($G1091,3)="113")),"NB",IF(OR(LEFT($F1091,3)="111",LEFT($F1091,3)="112",LEFT($F1091,3)="113"),"THU",IF(OR(LEFT($G1091,3)="111",LEFT($G1091,3)="112",LEFT($G1091,3)="113"),"CHI",""))))</f>
        <v/>
      </c>
      <c r="N1091" s="117">
        <f>IF($M1091="THU",$G1091,IF($M1091="CHI",$F1091,""))</f>
        <v/>
      </c>
      <c r="O1091" s="117">
        <f>IF(OR($M1091="",$M1091="NB"),"",IF($J1091&lt;&gt;"",TEXT($J1091,"00"),IFERROR(VLOOKUP(LEFT($N1091,4),LCTT_MAP!$A$7:$C$66,IF($M1091="THU",2,3),FALSE()),IFERROR(VLOOKUP(LEFT($N1091,3),LCTT_MAP!$A$7:$C$66,IF($M1091="THU",2,3),FALSE()),IFERROR(VLOOKUP(LEFT($N1091,2),LCTT_MAP!$A$7:$C$66,IF($M1091="THU",2,3),FALSE()),IFERROR(VLOOKUP(LEFT($N1091,1),LCTT_MAP!$A$7:$C$66,IF($M1091="THU",2,3),FALSE()),IF($M1091="THU","06","07")))))))</f>
        <v/>
      </c>
      <c r="P1091" s="117">
        <f>P1090+IF(AND($H1091&lt;&gt;"",OR(LEFT($F1091,LEN(SC_TK))=SC_TK,LEFT($G1091,LEN(SC_TK))=SC_TK)),1,0)</f>
        <v/>
      </c>
    </row>
    <row r="1092" ht="15" customHeight="1" s="78">
      <c r="A1092" s="95">
        <f>IF($H1092="","",ROW()-6)</f>
        <v/>
      </c>
      <c r="B1092" s="114" t="n"/>
      <c r="C1092" s="102" t="n"/>
      <c r="D1092" s="114" t="n"/>
      <c r="E1092" s="103" t="n"/>
      <c r="F1092" s="102" t="n"/>
      <c r="G1092" s="102" t="n"/>
      <c r="H1092" s="115" t="n"/>
      <c r="I1092" s="102" t="n"/>
      <c r="J1092" s="102" t="n"/>
      <c r="K1092" s="103" t="n"/>
      <c r="L1092" s="116">
        <f>IF($H1092="","",TRIM(IF(COUNTIF(DMTK!$A$7:$A$250,$F1092)=0,"TK Nợ sai! ","")&amp;IF(COUNTIF(DMTK!$A$7:$A$250,$G1092)=0,"TK Có sai! ","")&amp;IF(N($H1092)&lt;=0,"Tiền phải &gt; 0! ","")&amp;IF($B1092="","Thiếu ngày! ","")&amp;IF(AND(OR(LEFT($F1092,3)="131",LEFT($G1092,3)="131",LEFT($F1092,3)="331",LEFT($G1092,3)="331"),$I1092=""),"Thiếu Mã ĐT! ","")&amp;IF(AND($I1092&lt;&gt;"",COUNTIF(DM_DT!$A$7:$A$306,$I1092)=0),"Mã ĐT chưa khai báo! ","")))</f>
        <v/>
      </c>
      <c r="M1092" s="117">
        <f>IF($H1092="","",IF(AND(OR(LEFT($F1092,3)="111",LEFT($F1092,3)="112",LEFT($F1092,3)="113"),OR(LEFT($G1092,3)="111",LEFT($G1092,3)="112",LEFT($G1092,3)="113")),"NB",IF(OR(LEFT($F1092,3)="111",LEFT($F1092,3)="112",LEFT($F1092,3)="113"),"THU",IF(OR(LEFT($G1092,3)="111",LEFT($G1092,3)="112",LEFT($G1092,3)="113"),"CHI",""))))</f>
        <v/>
      </c>
      <c r="N1092" s="117">
        <f>IF($M1092="THU",$G1092,IF($M1092="CHI",$F1092,""))</f>
        <v/>
      </c>
      <c r="O1092" s="117">
        <f>IF(OR($M1092="",$M1092="NB"),"",IF($J1092&lt;&gt;"",TEXT($J1092,"00"),IFERROR(VLOOKUP(LEFT($N1092,4),LCTT_MAP!$A$7:$C$66,IF($M1092="THU",2,3),FALSE()),IFERROR(VLOOKUP(LEFT($N1092,3),LCTT_MAP!$A$7:$C$66,IF($M1092="THU",2,3),FALSE()),IFERROR(VLOOKUP(LEFT($N1092,2),LCTT_MAP!$A$7:$C$66,IF($M1092="THU",2,3),FALSE()),IFERROR(VLOOKUP(LEFT($N1092,1),LCTT_MAP!$A$7:$C$66,IF($M1092="THU",2,3),FALSE()),IF($M1092="THU","06","07")))))))</f>
        <v/>
      </c>
      <c r="P1092" s="117">
        <f>P1091+IF(AND($H1092&lt;&gt;"",OR(LEFT($F1092,LEN(SC_TK))=SC_TK,LEFT($G1092,LEN(SC_TK))=SC_TK)),1,0)</f>
        <v/>
      </c>
    </row>
    <row r="1093" ht="15" customHeight="1" s="78">
      <c r="A1093" s="95">
        <f>IF($H1093="","",ROW()-6)</f>
        <v/>
      </c>
      <c r="B1093" s="114" t="n"/>
      <c r="C1093" s="102" t="n"/>
      <c r="D1093" s="114" t="n"/>
      <c r="E1093" s="103" t="n"/>
      <c r="F1093" s="102" t="n"/>
      <c r="G1093" s="102" t="n"/>
      <c r="H1093" s="115" t="n"/>
      <c r="I1093" s="102" t="n"/>
      <c r="J1093" s="102" t="n"/>
      <c r="K1093" s="103" t="n"/>
      <c r="L1093" s="116">
        <f>IF($H1093="","",TRIM(IF(COUNTIF(DMTK!$A$7:$A$250,$F1093)=0,"TK Nợ sai! ","")&amp;IF(COUNTIF(DMTK!$A$7:$A$250,$G1093)=0,"TK Có sai! ","")&amp;IF(N($H1093)&lt;=0,"Tiền phải &gt; 0! ","")&amp;IF($B1093="","Thiếu ngày! ","")&amp;IF(AND(OR(LEFT($F1093,3)="131",LEFT($G1093,3)="131",LEFT($F1093,3)="331",LEFT($G1093,3)="331"),$I1093=""),"Thiếu Mã ĐT! ","")&amp;IF(AND($I1093&lt;&gt;"",COUNTIF(DM_DT!$A$7:$A$306,$I1093)=0),"Mã ĐT chưa khai báo! ","")))</f>
        <v/>
      </c>
      <c r="M1093" s="117">
        <f>IF($H1093="","",IF(AND(OR(LEFT($F1093,3)="111",LEFT($F1093,3)="112",LEFT($F1093,3)="113"),OR(LEFT($G1093,3)="111",LEFT($G1093,3)="112",LEFT($G1093,3)="113")),"NB",IF(OR(LEFT($F1093,3)="111",LEFT($F1093,3)="112",LEFT($F1093,3)="113"),"THU",IF(OR(LEFT($G1093,3)="111",LEFT($G1093,3)="112",LEFT($G1093,3)="113"),"CHI",""))))</f>
        <v/>
      </c>
      <c r="N1093" s="117">
        <f>IF($M1093="THU",$G1093,IF($M1093="CHI",$F1093,""))</f>
        <v/>
      </c>
      <c r="O1093" s="117">
        <f>IF(OR($M1093="",$M1093="NB"),"",IF($J1093&lt;&gt;"",TEXT($J1093,"00"),IFERROR(VLOOKUP(LEFT($N1093,4),LCTT_MAP!$A$7:$C$66,IF($M1093="THU",2,3),FALSE()),IFERROR(VLOOKUP(LEFT($N1093,3),LCTT_MAP!$A$7:$C$66,IF($M1093="THU",2,3),FALSE()),IFERROR(VLOOKUP(LEFT($N1093,2),LCTT_MAP!$A$7:$C$66,IF($M1093="THU",2,3),FALSE()),IFERROR(VLOOKUP(LEFT($N1093,1),LCTT_MAP!$A$7:$C$66,IF($M1093="THU",2,3),FALSE()),IF($M1093="THU","06","07")))))))</f>
        <v/>
      </c>
      <c r="P1093" s="117">
        <f>P1092+IF(AND($H1093&lt;&gt;"",OR(LEFT($F1093,LEN(SC_TK))=SC_TK,LEFT($G1093,LEN(SC_TK))=SC_TK)),1,0)</f>
        <v/>
      </c>
    </row>
    <row r="1094" ht="15" customHeight="1" s="78">
      <c r="A1094" s="95">
        <f>IF($H1094="","",ROW()-6)</f>
        <v/>
      </c>
      <c r="B1094" s="114" t="n"/>
      <c r="C1094" s="102" t="n"/>
      <c r="D1094" s="114" t="n"/>
      <c r="E1094" s="103" t="n"/>
      <c r="F1094" s="102" t="n"/>
      <c r="G1094" s="102" t="n"/>
      <c r="H1094" s="115" t="n"/>
      <c r="I1094" s="102" t="n"/>
      <c r="J1094" s="102" t="n"/>
      <c r="K1094" s="103" t="n"/>
      <c r="L1094" s="116">
        <f>IF($H1094="","",TRIM(IF(COUNTIF(DMTK!$A$7:$A$250,$F1094)=0,"TK Nợ sai! ","")&amp;IF(COUNTIF(DMTK!$A$7:$A$250,$G1094)=0,"TK Có sai! ","")&amp;IF(N($H1094)&lt;=0,"Tiền phải &gt; 0! ","")&amp;IF($B1094="","Thiếu ngày! ","")&amp;IF(AND(OR(LEFT($F1094,3)="131",LEFT($G1094,3)="131",LEFT($F1094,3)="331",LEFT($G1094,3)="331"),$I1094=""),"Thiếu Mã ĐT! ","")&amp;IF(AND($I1094&lt;&gt;"",COUNTIF(DM_DT!$A$7:$A$306,$I1094)=0),"Mã ĐT chưa khai báo! ","")))</f>
        <v/>
      </c>
      <c r="M1094" s="117">
        <f>IF($H1094="","",IF(AND(OR(LEFT($F1094,3)="111",LEFT($F1094,3)="112",LEFT($F1094,3)="113"),OR(LEFT($G1094,3)="111",LEFT($G1094,3)="112",LEFT($G1094,3)="113")),"NB",IF(OR(LEFT($F1094,3)="111",LEFT($F1094,3)="112",LEFT($F1094,3)="113"),"THU",IF(OR(LEFT($G1094,3)="111",LEFT($G1094,3)="112",LEFT($G1094,3)="113"),"CHI",""))))</f>
        <v/>
      </c>
      <c r="N1094" s="117">
        <f>IF($M1094="THU",$G1094,IF($M1094="CHI",$F1094,""))</f>
        <v/>
      </c>
      <c r="O1094" s="117">
        <f>IF(OR($M1094="",$M1094="NB"),"",IF($J1094&lt;&gt;"",TEXT($J1094,"00"),IFERROR(VLOOKUP(LEFT($N1094,4),LCTT_MAP!$A$7:$C$66,IF($M1094="THU",2,3),FALSE()),IFERROR(VLOOKUP(LEFT($N1094,3),LCTT_MAP!$A$7:$C$66,IF($M1094="THU",2,3),FALSE()),IFERROR(VLOOKUP(LEFT($N1094,2),LCTT_MAP!$A$7:$C$66,IF($M1094="THU",2,3),FALSE()),IFERROR(VLOOKUP(LEFT($N1094,1),LCTT_MAP!$A$7:$C$66,IF($M1094="THU",2,3),FALSE()),IF($M1094="THU","06","07")))))))</f>
        <v/>
      </c>
      <c r="P1094" s="117">
        <f>P1093+IF(AND($H1094&lt;&gt;"",OR(LEFT($F1094,LEN(SC_TK))=SC_TK,LEFT($G1094,LEN(SC_TK))=SC_TK)),1,0)</f>
        <v/>
      </c>
    </row>
    <row r="1095" ht="15" customHeight="1" s="78">
      <c r="A1095" s="95">
        <f>IF($H1095="","",ROW()-6)</f>
        <v/>
      </c>
      <c r="B1095" s="114" t="n"/>
      <c r="C1095" s="102" t="n"/>
      <c r="D1095" s="114" t="n"/>
      <c r="E1095" s="103" t="n"/>
      <c r="F1095" s="102" t="n"/>
      <c r="G1095" s="102" t="n"/>
      <c r="H1095" s="115" t="n"/>
      <c r="I1095" s="102" t="n"/>
      <c r="J1095" s="102" t="n"/>
      <c r="K1095" s="103" t="n"/>
      <c r="L1095" s="116">
        <f>IF($H1095="","",TRIM(IF(COUNTIF(DMTK!$A$7:$A$250,$F1095)=0,"TK Nợ sai! ","")&amp;IF(COUNTIF(DMTK!$A$7:$A$250,$G1095)=0,"TK Có sai! ","")&amp;IF(N($H1095)&lt;=0,"Tiền phải &gt; 0! ","")&amp;IF($B1095="","Thiếu ngày! ","")&amp;IF(AND(OR(LEFT($F1095,3)="131",LEFT($G1095,3)="131",LEFT($F1095,3)="331",LEFT($G1095,3)="331"),$I1095=""),"Thiếu Mã ĐT! ","")&amp;IF(AND($I1095&lt;&gt;"",COUNTIF(DM_DT!$A$7:$A$306,$I1095)=0),"Mã ĐT chưa khai báo! ","")))</f>
        <v/>
      </c>
      <c r="M1095" s="117">
        <f>IF($H1095="","",IF(AND(OR(LEFT($F1095,3)="111",LEFT($F1095,3)="112",LEFT($F1095,3)="113"),OR(LEFT($G1095,3)="111",LEFT($G1095,3)="112",LEFT($G1095,3)="113")),"NB",IF(OR(LEFT($F1095,3)="111",LEFT($F1095,3)="112",LEFT($F1095,3)="113"),"THU",IF(OR(LEFT($G1095,3)="111",LEFT($G1095,3)="112",LEFT($G1095,3)="113"),"CHI",""))))</f>
        <v/>
      </c>
      <c r="N1095" s="117">
        <f>IF($M1095="THU",$G1095,IF($M1095="CHI",$F1095,""))</f>
        <v/>
      </c>
      <c r="O1095" s="117">
        <f>IF(OR($M1095="",$M1095="NB"),"",IF($J1095&lt;&gt;"",TEXT($J1095,"00"),IFERROR(VLOOKUP(LEFT($N1095,4),LCTT_MAP!$A$7:$C$66,IF($M1095="THU",2,3),FALSE()),IFERROR(VLOOKUP(LEFT($N1095,3),LCTT_MAP!$A$7:$C$66,IF($M1095="THU",2,3),FALSE()),IFERROR(VLOOKUP(LEFT($N1095,2),LCTT_MAP!$A$7:$C$66,IF($M1095="THU",2,3),FALSE()),IFERROR(VLOOKUP(LEFT($N1095,1),LCTT_MAP!$A$7:$C$66,IF($M1095="THU",2,3),FALSE()),IF($M1095="THU","06","07")))))))</f>
        <v/>
      </c>
      <c r="P1095" s="117">
        <f>P1094+IF(AND($H1095&lt;&gt;"",OR(LEFT($F1095,LEN(SC_TK))=SC_TK,LEFT($G1095,LEN(SC_TK))=SC_TK)),1,0)</f>
        <v/>
      </c>
    </row>
    <row r="1096" ht="15" customHeight="1" s="78">
      <c r="A1096" s="95">
        <f>IF($H1096="","",ROW()-6)</f>
        <v/>
      </c>
      <c r="B1096" s="114" t="n"/>
      <c r="C1096" s="102" t="n"/>
      <c r="D1096" s="114" t="n"/>
      <c r="E1096" s="103" t="n"/>
      <c r="F1096" s="102" t="n"/>
      <c r="G1096" s="102" t="n"/>
      <c r="H1096" s="115" t="n"/>
      <c r="I1096" s="102" t="n"/>
      <c r="J1096" s="102" t="n"/>
      <c r="K1096" s="103" t="n"/>
      <c r="L1096" s="116">
        <f>IF($H1096="","",TRIM(IF(COUNTIF(DMTK!$A$7:$A$250,$F1096)=0,"TK Nợ sai! ","")&amp;IF(COUNTIF(DMTK!$A$7:$A$250,$G1096)=0,"TK Có sai! ","")&amp;IF(N($H1096)&lt;=0,"Tiền phải &gt; 0! ","")&amp;IF($B1096="","Thiếu ngày! ","")&amp;IF(AND(OR(LEFT($F1096,3)="131",LEFT($G1096,3)="131",LEFT($F1096,3)="331",LEFT($G1096,3)="331"),$I1096=""),"Thiếu Mã ĐT! ","")&amp;IF(AND($I1096&lt;&gt;"",COUNTIF(DM_DT!$A$7:$A$306,$I1096)=0),"Mã ĐT chưa khai báo! ","")))</f>
        <v/>
      </c>
      <c r="M1096" s="117">
        <f>IF($H1096="","",IF(AND(OR(LEFT($F1096,3)="111",LEFT($F1096,3)="112",LEFT($F1096,3)="113"),OR(LEFT($G1096,3)="111",LEFT($G1096,3)="112",LEFT($G1096,3)="113")),"NB",IF(OR(LEFT($F1096,3)="111",LEFT($F1096,3)="112",LEFT($F1096,3)="113"),"THU",IF(OR(LEFT($G1096,3)="111",LEFT($G1096,3)="112",LEFT($G1096,3)="113"),"CHI",""))))</f>
        <v/>
      </c>
      <c r="N1096" s="117">
        <f>IF($M1096="THU",$G1096,IF($M1096="CHI",$F1096,""))</f>
        <v/>
      </c>
      <c r="O1096" s="117">
        <f>IF(OR($M1096="",$M1096="NB"),"",IF($J1096&lt;&gt;"",TEXT($J1096,"00"),IFERROR(VLOOKUP(LEFT($N1096,4),LCTT_MAP!$A$7:$C$66,IF($M1096="THU",2,3),FALSE()),IFERROR(VLOOKUP(LEFT($N1096,3),LCTT_MAP!$A$7:$C$66,IF($M1096="THU",2,3),FALSE()),IFERROR(VLOOKUP(LEFT($N1096,2),LCTT_MAP!$A$7:$C$66,IF($M1096="THU",2,3),FALSE()),IFERROR(VLOOKUP(LEFT($N1096,1),LCTT_MAP!$A$7:$C$66,IF($M1096="THU",2,3),FALSE()),IF($M1096="THU","06","07")))))))</f>
        <v/>
      </c>
      <c r="P1096" s="117">
        <f>P1095+IF(AND($H1096&lt;&gt;"",OR(LEFT($F1096,LEN(SC_TK))=SC_TK,LEFT($G1096,LEN(SC_TK))=SC_TK)),1,0)</f>
        <v/>
      </c>
    </row>
    <row r="1097" ht="15" customHeight="1" s="78">
      <c r="A1097" s="95">
        <f>IF($H1097="","",ROW()-6)</f>
        <v/>
      </c>
      <c r="B1097" s="114" t="n"/>
      <c r="C1097" s="102" t="n"/>
      <c r="D1097" s="114" t="n"/>
      <c r="E1097" s="103" t="n"/>
      <c r="F1097" s="102" t="n"/>
      <c r="G1097" s="102" t="n"/>
      <c r="H1097" s="115" t="n"/>
      <c r="I1097" s="102" t="n"/>
      <c r="J1097" s="102" t="n"/>
      <c r="K1097" s="103" t="n"/>
      <c r="L1097" s="116">
        <f>IF($H1097="","",TRIM(IF(COUNTIF(DMTK!$A$7:$A$250,$F1097)=0,"TK Nợ sai! ","")&amp;IF(COUNTIF(DMTK!$A$7:$A$250,$G1097)=0,"TK Có sai! ","")&amp;IF(N($H1097)&lt;=0,"Tiền phải &gt; 0! ","")&amp;IF($B1097="","Thiếu ngày! ","")&amp;IF(AND(OR(LEFT($F1097,3)="131",LEFT($G1097,3)="131",LEFT($F1097,3)="331",LEFT($G1097,3)="331"),$I1097=""),"Thiếu Mã ĐT! ","")&amp;IF(AND($I1097&lt;&gt;"",COUNTIF(DM_DT!$A$7:$A$306,$I1097)=0),"Mã ĐT chưa khai báo! ","")))</f>
        <v/>
      </c>
      <c r="M1097" s="117">
        <f>IF($H1097="","",IF(AND(OR(LEFT($F1097,3)="111",LEFT($F1097,3)="112",LEFT($F1097,3)="113"),OR(LEFT($G1097,3)="111",LEFT($G1097,3)="112",LEFT($G1097,3)="113")),"NB",IF(OR(LEFT($F1097,3)="111",LEFT($F1097,3)="112",LEFT($F1097,3)="113"),"THU",IF(OR(LEFT($G1097,3)="111",LEFT($G1097,3)="112",LEFT($G1097,3)="113"),"CHI",""))))</f>
        <v/>
      </c>
      <c r="N1097" s="117">
        <f>IF($M1097="THU",$G1097,IF($M1097="CHI",$F1097,""))</f>
        <v/>
      </c>
      <c r="O1097" s="117">
        <f>IF(OR($M1097="",$M1097="NB"),"",IF($J1097&lt;&gt;"",TEXT($J1097,"00"),IFERROR(VLOOKUP(LEFT($N1097,4),LCTT_MAP!$A$7:$C$66,IF($M1097="THU",2,3),FALSE()),IFERROR(VLOOKUP(LEFT($N1097,3),LCTT_MAP!$A$7:$C$66,IF($M1097="THU",2,3),FALSE()),IFERROR(VLOOKUP(LEFT($N1097,2),LCTT_MAP!$A$7:$C$66,IF($M1097="THU",2,3),FALSE()),IFERROR(VLOOKUP(LEFT($N1097,1),LCTT_MAP!$A$7:$C$66,IF($M1097="THU",2,3),FALSE()),IF($M1097="THU","06","07")))))))</f>
        <v/>
      </c>
      <c r="P1097" s="117">
        <f>P1096+IF(AND($H1097&lt;&gt;"",OR(LEFT($F1097,LEN(SC_TK))=SC_TK,LEFT($G1097,LEN(SC_TK))=SC_TK)),1,0)</f>
        <v/>
      </c>
    </row>
    <row r="1098" ht="15" customHeight="1" s="78">
      <c r="A1098" s="95">
        <f>IF($H1098="","",ROW()-6)</f>
        <v/>
      </c>
      <c r="B1098" s="114" t="n"/>
      <c r="C1098" s="102" t="n"/>
      <c r="D1098" s="114" t="n"/>
      <c r="E1098" s="103" t="n"/>
      <c r="F1098" s="102" t="n"/>
      <c r="G1098" s="102" t="n"/>
      <c r="H1098" s="115" t="n"/>
      <c r="I1098" s="102" t="n"/>
      <c r="J1098" s="102" t="n"/>
      <c r="K1098" s="103" t="n"/>
      <c r="L1098" s="116">
        <f>IF($H1098="","",TRIM(IF(COUNTIF(DMTK!$A$7:$A$250,$F1098)=0,"TK Nợ sai! ","")&amp;IF(COUNTIF(DMTK!$A$7:$A$250,$G1098)=0,"TK Có sai! ","")&amp;IF(N($H1098)&lt;=0,"Tiền phải &gt; 0! ","")&amp;IF($B1098="","Thiếu ngày! ","")&amp;IF(AND(OR(LEFT($F1098,3)="131",LEFT($G1098,3)="131",LEFT($F1098,3)="331",LEFT($G1098,3)="331"),$I1098=""),"Thiếu Mã ĐT! ","")&amp;IF(AND($I1098&lt;&gt;"",COUNTIF(DM_DT!$A$7:$A$306,$I1098)=0),"Mã ĐT chưa khai báo! ","")))</f>
        <v/>
      </c>
      <c r="M1098" s="117">
        <f>IF($H1098="","",IF(AND(OR(LEFT($F1098,3)="111",LEFT($F1098,3)="112",LEFT($F1098,3)="113"),OR(LEFT($G1098,3)="111",LEFT($G1098,3)="112",LEFT($G1098,3)="113")),"NB",IF(OR(LEFT($F1098,3)="111",LEFT($F1098,3)="112",LEFT($F1098,3)="113"),"THU",IF(OR(LEFT($G1098,3)="111",LEFT($G1098,3)="112",LEFT($G1098,3)="113"),"CHI",""))))</f>
        <v/>
      </c>
      <c r="N1098" s="117">
        <f>IF($M1098="THU",$G1098,IF($M1098="CHI",$F1098,""))</f>
        <v/>
      </c>
      <c r="O1098" s="117">
        <f>IF(OR($M1098="",$M1098="NB"),"",IF($J1098&lt;&gt;"",TEXT($J1098,"00"),IFERROR(VLOOKUP(LEFT($N1098,4),LCTT_MAP!$A$7:$C$66,IF($M1098="THU",2,3),FALSE()),IFERROR(VLOOKUP(LEFT($N1098,3),LCTT_MAP!$A$7:$C$66,IF($M1098="THU",2,3),FALSE()),IFERROR(VLOOKUP(LEFT($N1098,2),LCTT_MAP!$A$7:$C$66,IF($M1098="THU",2,3),FALSE()),IFERROR(VLOOKUP(LEFT($N1098,1),LCTT_MAP!$A$7:$C$66,IF($M1098="THU",2,3),FALSE()),IF($M1098="THU","06","07")))))))</f>
        <v/>
      </c>
      <c r="P1098" s="117">
        <f>P1097+IF(AND($H1098&lt;&gt;"",OR(LEFT($F1098,LEN(SC_TK))=SC_TK,LEFT($G1098,LEN(SC_TK))=SC_TK)),1,0)</f>
        <v/>
      </c>
    </row>
    <row r="1099" ht="15" customHeight="1" s="78">
      <c r="A1099" s="95">
        <f>IF($H1099="","",ROW()-6)</f>
        <v/>
      </c>
      <c r="B1099" s="114" t="n"/>
      <c r="C1099" s="102" t="n"/>
      <c r="D1099" s="114" t="n"/>
      <c r="E1099" s="103" t="n"/>
      <c r="F1099" s="102" t="n"/>
      <c r="G1099" s="102" t="n"/>
      <c r="H1099" s="115" t="n"/>
      <c r="I1099" s="102" t="n"/>
      <c r="J1099" s="102" t="n"/>
      <c r="K1099" s="103" t="n"/>
      <c r="L1099" s="116">
        <f>IF($H1099="","",TRIM(IF(COUNTIF(DMTK!$A$7:$A$250,$F1099)=0,"TK Nợ sai! ","")&amp;IF(COUNTIF(DMTK!$A$7:$A$250,$G1099)=0,"TK Có sai! ","")&amp;IF(N($H1099)&lt;=0,"Tiền phải &gt; 0! ","")&amp;IF($B1099="","Thiếu ngày! ","")&amp;IF(AND(OR(LEFT($F1099,3)="131",LEFT($G1099,3)="131",LEFT($F1099,3)="331",LEFT($G1099,3)="331"),$I1099=""),"Thiếu Mã ĐT! ","")&amp;IF(AND($I1099&lt;&gt;"",COUNTIF(DM_DT!$A$7:$A$306,$I1099)=0),"Mã ĐT chưa khai báo! ","")))</f>
        <v/>
      </c>
      <c r="M1099" s="117">
        <f>IF($H1099="","",IF(AND(OR(LEFT($F1099,3)="111",LEFT($F1099,3)="112",LEFT($F1099,3)="113"),OR(LEFT($G1099,3)="111",LEFT($G1099,3)="112",LEFT($G1099,3)="113")),"NB",IF(OR(LEFT($F1099,3)="111",LEFT($F1099,3)="112",LEFT($F1099,3)="113"),"THU",IF(OR(LEFT($G1099,3)="111",LEFT($G1099,3)="112",LEFT($G1099,3)="113"),"CHI",""))))</f>
        <v/>
      </c>
      <c r="N1099" s="117">
        <f>IF($M1099="THU",$G1099,IF($M1099="CHI",$F1099,""))</f>
        <v/>
      </c>
      <c r="O1099" s="117">
        <f>IF(OR($M1099="",$M1099="NB"),"",IF($J1099&lt;&gt;"",TEXT($J1099,"00"),IFERROR(VLOOKUP(LEFT($N1099,4),LCTT_MAP!$A$7:$C$66,IF($M1099="THU",2,3),FALSE()),IFERROR(VLOOKUP(LEFT($N1099,3),LCTT_MAP!$A$7:$C$66,IF($M1099="THU",2,3),FALSE()),IFERROR(VLOOKUP(LEFT($N1099,2),LCTT_MAP!$A$7:$C$66,IF($M1099="THU",2,3),FALSE()),IFERROR(VLOOKUP(LEFT($N1099,1),LCTT_MAP!$A$7:$C$66,IF($M1099="THU",2,3),FALSE()),IF($M1099="THU","06","07")))))))</f>
        <v/>
      </c>
      <c r="P1099" s="117">
        <f>P1098+IF(AND($H1099&lt;&gt;"",OR(LEFT($F1099,LEN(SC_TK))=SC_TK,LEFT($G1099,LEN(SC_TK))=SC_TK)),1,0)</f>
        <v/>
      </c>
    </row>
    <row r="1100" ht="15" customHeight="1" s="78">
      <c r="A1100" s="95">
        <f>IF($H1100="","",ROW()-6)</f>
        <v/>
      </c>
      <c r="B1100" s="114" t="n"/>
      <c r="C1100" s="102" t="n"/>
      <c r="D1100" s="114" t="n"/>
      <c r="E1100" s="103" t="n"/>
      <c r="F1100" s="102" t="n"/>
      <c r="G1100" s="102" t="n"/>
      <c r="H1100" s="115" t="n"/>
      <c r="I1100" s="102" t="n"/>
      <c r="J1100" s="102" t="n"/>
      <c r="K1100" s="103" t="n"/>
      <c r="L1100" s="116">
        <f>IF($H1100="","",TRIM(IF(COUNTIF(DMTK!$A$7:$A$250,$F1100)=0,"TK Nợ sai! ","")&amp;IF(COUNTIF(DMTK!$A$7:$A$250,$G1100)=0,"TK Có sai! ","")&amp;IF(N($H1100)&lt;=0,"Tiền phải &gt; 0! ","")&amp;IF($B1100="","Thiếu ngày! ","")&amp;IF(AND(OR(LEFT($F1100,3)="131",LEFT($G1100,3)="131",LEFT($F1100,3)="331",LEFT($G1100,3)="331"),$I1100=""),"Thiếu Mã ĐT! ","")&amp;IF(AND($I1100&lt;&gt;"",COUNTIF(DM_DT!$A$7:$A$306,$I1100)=0),"Mã ĐT chưa khai báo! ","")))</f>
        <v/>
      </c>
      <c r="M1100" s="117">
        <f>IF($H1100="","",IF(AND(OR(LEFT($F1100,3)="111",LEFT($F1100,3)="112",LEFT($F1100,3)="113"),OR(LEFT($G1100,3)="111",LEFT($G1100,3)="112",LEFT($G1100,3)="113")),"NB",IF(OR(LEFT($F1100,3)="111",LEFT($F1100,3)="112",LEFT($F1100,3)="113"),"THU",IF(OR(LEFT($G1100,3)="111",LEFT($G1100,3)="112",LEFT($G1100,3)="113"),"CHI",""))))</f>
        <v/>
      </c>
      <c r="N1100" s="117">
        <f>IF($M1100="THU",$G1100,IF($M1100="CHI",$F1100,""))</f>
        <v/>
      </c>
      <c r="O1100" s="117">
        <f>IF(OR($M1100="",$M1100="NB"),"",IF($J1100&lt;&gt;"",TEXT($J1100,"00"),IFERROR(VLOOKUP(LEFT($N1100,4),LCTT_MAP!$A$7:$C$66,IF($M1100="THU",2,3),FALSE()),IFERROR(VLOOKUP(LEFT($N1100,3),LCTT_MAP!$A$7:$C$66,IF($M1100="THU",2,3),FALSE()),IFERROR(VLOOKUP(LEFT($N1100,2),LCTT_MAP!$A$7:$C$66,IF($M1100="THU",2,3),FALSE()),IFERROR(VLOOKUP(LEFT($N1100,1),LCTT_MAP!$A$7:$C$66,IF($M1100="THU",2,3),FALSE()),IF($M1100="THU","06","07")))))))</f>
        <v/>
      </c>
      <c r="P1100" s="117">
        <f>P1099+IF(AND($H1100&lt;&gt;"",OR(LEFT($F1100,LEN(SC_TK))=SC_TK,LEFT($G1100,LEN(SC_TK))=SC_TK)),1,0)</f>
        <v/>
      </c>
    </row>
    <row r="1101" ht="15" customHeight="1" s="78">
      <c r="A1101" s="95">
        <f>IF($H1101="","",ROW()-6)</f>
        <v/>
      </c>
      <c r="B1101" s="114" t="n"/>
      <c r="C1101" s="102" t="n"/>
      <c r="D1101" s="114" t="n"/>
      <c r="E1101" s="103" t="n"/>
      <c r="F1101" s="102" t="n"/>
      <c r="G1101" s="102" t="n"/>
      <c r="H1101" s="115" t="n"/>
      <c r="I1101" s="102" t="n"/>
      <c r="J1101" s="102" t="n"/>
      <c r="K1101" s="103" t="n"/>
      <c r="L1101" s="116">
        <f>IF($H1101="","",TRIM(IF(COUNTIF(DMTK!$A$7:$A$250,$F1101)=0,"TK Nợ sai! ","")&amp;IF(COUNTIF(DMTK!$A$7:$A$250,$G1101)=0,"TK Có sai! ","")&amp;IF(N($H1101)&lt;=0,"Tiền phải &gt; 0! ","")&amp;IF($B1101="","Thiếu ngày! ","")&amp;IF(AND(OR(LEFT($F1101,3)="131",LEFT($G1101,3)="131",LEFT($F1101,3)="331",LEFT($G1101,3)="331"),$I1101=""),"Thiếu Mã ĐT! ","")&amp;IF(AND($I1101&lt;&gt;"",COUNTIF(DM_DT!$A$7:$A$306,$I1101)=0),"Mã ĐT chưa khai báo! ","")))</f>
        <v/>
      </c>
      <c r="M1101" s="117">
        <f>IF($H1101="","",IF(AND(OR(LEFT($F1101,3)="111",LEFT($F1101,3)="112",LEFT($F1101,3)="113"),OR(LEFT($G1101,3)="111",LEFT($G1101,3)="112",LEFT($G1101,3)="113")),"NB",IF(OR(LEFT($F1101,3)="111",LEFT($F1101,3)="112",LEFT($F1101,3)="113"),"THU",IF(OR(LEFT($G1101,3)="111",LEFT($G1101,3)="112",LEFT($G1101,3)="113"),"CHI",""))))</f>
        <v/>
      </c>
      <c r="N1101" s="117">
        <f>IF($M1101="THU",$G1101,IF($M1101="CHI",$F1101,""))</f>
        <v/>
      </c>
      <c r="O1101" s="117">
        <f>IF(OR($M1101="",$M1101="NB"),"",IF($J1101&lt;&gt;"",TEXT($J1101,"00"),IFERROR(VLOOKUP(LEFT($N1101,4),LCTT_MAP!$A$7:$C$66,IF($M1101="THU",2,3),FALSE()),IFERROR(VLOOKUP(LEFT($N1101,3),LCTT_MAP!$A$7:$C$66,IF($M1101="THU",2,3),FALSE()),IFERROR(VLOOKUP(LEFT($N1101,2),LCTT_MAP!$A$7:$C$66,IF($M1101="THU",2,3),FALSE()),IFERROR(VLOOKUP(LEFT($N1101,1),LCTT_MAP!$A$7:$C$66,IF($M1101="THU",2,3),FALSE()),IF($M1101="THU","06","07")))))))</f>
        <v/>
      </c>
      <c r="P1101" s="117">
        <f>P1100+IF(AND($H1101&lt;&gt;"",OR(LEFT($F1101,LEN(SC_TK))=SC_TK,LEFT($G1101,LEN(SC_TK))=SC_TK)),1,0)</f>
        <v/>
      </c>
    </row>
    <row r="1102" ht="15" customHeight="1" s="78">
      <c r="A1102" s="95">
        <f>IF($H1102="","",ROW()-6)</f>
        <v/>
      </c>
      <c r="B1102" s="114" t="n"/>
      <c r="C1102" s="102" t="n"/>
      <c r="D1102" s="114" t="n"/>
      <c r="E1102" s="103" t="n"/>
      <c r="F1102" s="102" t="n"/>
      <c r="G1102" s="102" t="n"/>
      <c r="H1102" s="115" t="n"/>
      <c r="I1102" s="102" t="n"/>
      <c r="J1102" s="102" t="n"/>
      <c r="K1102" s="103" t="n"/>
      <c r="L1102" s="116">
        <f>IF($H1102="","",TRIM(IF(COUNTIF(DMTK!$A$7:$A$250,$F1102)=0,"TK Nợ sai! ","")&amp;IF(COUNTIF(DMTK!$A$7:$A$250,$G1102)=0,"TK Có sai! ","")&amp;IF(N($H1102)&lt;=0,"Tiền phải &gt; 0! ","")&amp;IF($B1102="","Thiếu ngày! ","")&amp;IF(AND(OR(LEFT($F1102,3)="131",LEFT($G1102,3)="131",LEFT($F1102,3)="331",LEFT($G1102,3)="331"),$I1102=""),"Thiếu Mã ĐT! ","")&amp;IF(AND($I1102&lt;&gt;"",COUNTIF(DM_DT!$A$7:$A$306,$I1102)=0),"Mã ĐT chưa khai báo! ","")))</f>
        <v/>
      </c>
      <c r="M1102" s="117">
        <f>IF($H1102="","",IF(AND(OR(LEFT($F1102,3)="111",LEFT($F1102,3)="112",LEFT($F1102,3)="113"),OR(LEFT($G1102,3)="111",LEFT($G1102,3)="112",LEFT($G1102,3)="113")),"NB",IF(OR(LEFT($F1102,3)="111",LEFT($F1102,3)="112",LEFT($F1102,3)="113"),"THU",IF(OR(LEFT($G1102,3)="111",LEFT($G1102,3)="112",LEFT($G1102,3)="113"),"CHI",""))))</f>
        <v/>
      </c>
      <c r="N1102" s="117">
        <f>IF($M1102="THU",$G1102,IF($M1102="CHI",$F1102,""))</f>
        <v/>
      </c>
      <c r="O1102" s="117">
        <f>IF(OR($M1102="",$M1102="NB"),"",IF($J1102&lt;&gt;"",TEXT($J1102,"00"),IFERROR(VLOOKUP(LEFT($N1102,4),LCTT_MAP!$A$7:$C$66,IF($M1102="THU",2,3),FALSE()),IFERROR(VLOOKUP(LEFT($N1102,3),LCTT_MAP!$A$7:$C$66,IF($M1102="THU",2,3),FALSE()),IFERROR(VLOOKUP(LEFT($N1102,2),LCTT_MAP!$A$7:$C$66,IF($M1102="THU",2,3),FALSE()),IFERROR(VLOOKUP(LEFT($N1102,1),LCTT_MAP!$A$7:$C$66,IF($M1102="THU",2,3),FALSE()),IF($M1102="THU","06","07")))))))</f>
        <v/>
      </c>
      <c r="P1102" s="117">
        <f>P1101+IF(AND($H1102&lt;&gt;"",OR(LEFT($F1102,LEN(SC_TK))=SC_TK,LEFT($G1102,LEN(SC_TK))=SC_TK)),1,0)</f>
        <v/>
      </c>
    </row>
    <row r="1103" ht="15" customHeight="1" s="78">
      <c r="A1103" s="95">
        <f>IF($H1103="","",ROW()-6)</f>
        <v/>
      </c>
      <c r="B1103" s="114" t="n"/>
      <c r="C1103" s="102" t="n"/>
      <c r="D1103" s="114" t="n"/>
      <c r="E1103" s="103" t="n"/>
      <c r="F1103" s="102" t="n"/>
      <c r="G1103" s="102" t="n"/>
      <c r="H1103" s="115" t="n"/>
      <c r="I1103" s="102" t="n"/>
      <c r="J1103" s="102" t="n"/>
      <c r="K1103" s="103" t="n"/>
      <c r="L1103" s="116">
        <f>IF($H1103="","",TRIM(IF(COUNTIF(DMTK!$A$7:$A$250,$F1103)=0,"TK Nợ sai! ","")&amp;IF(COUNTIF(DMTK!$A$7:$A$250,$G1103)=0,"TK Có sai! ","")&amp;IF(N($H1103)&lt;=0,"Tiền phải &gt; 0! ","")&amp;IF($B1103="","Thiếu ngày! ","")&amp;IF(AND(OR(LEFT($F1103,3)="131",LEFT($G1103,3)="131",LEFT($F1103,3)="331",LEFT($G1103,3)="331"),$I1103=""),"Thiếu Mã ĐT! ","")&amp;IF(AND($I1103&lt;&gt;"",COUNTIF(DM_DT!$A$7:$A$306,$I1103)=0),"Mã ĐT chưa khai báo! ","")))</f>
        <v/>
      </c>
      <c r="M1103" s="117">
        <f>IF($H1103="","",IF(AND(OR(LEFT($F1103,3)="111",LEFT($F1103,3)="112",LEFT($F1103,3)="113"),OR(LEFT($G1103,3)="111",LEFT($G1103,3)="112",LEFT($G1103,3)="113")),"NB",IF(OR(LEFT($F1103,3)="111",LEFT($F1103,3)="112",LEFT($F1103,3)="113"),"THU",IF(OR(LEFT($G1103,3)="111",LEFT($G1103,3)="112",LEFT($G1103,3)="113"),"CHI",""))))</f>
        <v/>
      </c>
      <c r="N1103" s="117">
        <f>IF($M1103="THU",$G1103,IF($M1103="CHI",$F1103,""))</f>
        <v/>
      </c>
      <c r="O1103" s="117">
        <f>IF(OR($M1103="",$M1103="NB"),"",IF($J1103&lt;&gt;"",TEXT($J1103,"00"),IFERROR(VLOOKUP(LEFT($N1103,4),LCTT_MAP!$A$7:$C$66,IF($M1103="THU",2,3),FALSE()),IFERROR(VLOOKUP(LEFT($N1103,3),LCTT_MAP!$A$7:$C$66,IF($M1103="THU",2,3),FALSE()),IFERROR(VLOOKUP(LEFT($N1103,2),LCTT_MAP!$A$7:$C$66,IF($M1103="THU",2,3),FALSE()),IFERROR(VLOOKUP(LEFT($N1103,1),LCTT_MAP!$A$7:$C$66,IF($M1103="THU",2,3),FALSE()),IF($M1103="THU","06","07")))))))</f>
        <v/>
      </c>
      <c r="P1103" s="117">
        <f>P1102+IF(AND($H1103&lt;&gt;"",OR(LEFT($F1103,LEN(SC_TK))=SC_TK,LEFT($G1103,LEN(SC_TK))=SC_TK)),1,0)</f>
        <v/>
      </c>
    </row>
    <row r="1104" ht="15" customHeight="1" s="78">
      <c r="A1104" s="95">
        <f>IF($H1104="","",ROW()-6)</f>
        <v/>
      </c>
      <c r="B1104" s="114" t="n"/>
      <c r="C1104" s="102" t="n"/>
      <c r="D1104" s="114" t="n"/>
      <c r="E1104" s="103" t="n"/>
      <c r="F1104" s="102" t="n"/>
      <c r="G1104" s="102" t="n"/>
      <c r="H1104" s="115" t="n"/>
      <c r="I1104" s="102" t="n"/>
      <c r="J1104" s="102" t="n"/>
      <c r="K1104" s="103" t="n"/>
      <c r="L1104" s="116">
        <f>IF($H1104="","",TRIM(IF(COUNTIF(DMTK!$A$7:$A$250,$F1104)=0,"TK Nợ sai! ","")&amp;IF(COUNTIF(DMTK!$A$7:$A$250,$G1104)=0,"TK Có sai! ","")&amp;IF(N($H1104)&lt;=0,"Tiền phải &gt; 0! ","")&amp;IF($B1104="","Thiếu ngày! ","")&amp;IF(AND(OR(LEFT($F1104,3)="131",LEFT($G1104,3)="131",LEFT($F1104,3)="331",LEFT($G1104,3)="331"),$I1104=""),"Thiếu Mã ĐT! ","")&amp;IF(AND($I1104&lt;&gt;"",COUNTIF(DM_DT!$A$7:$A$306,$I1104)=0),"Mã ĐT chưa khai báo! ","")))</f>
        <v/>
      </c>
      <c r="M1104" s="117">
        <f>IF($H1104="","",IF(AND(OR(LEFT($F1104,3)="111",LEFT($F1104,3)="112",LEFT($F1104,3)="113"),OR(LEFT($G1104,3)="111",LEFT($G1104,3)="112",LEFT($G1104,3)="113")),"NB",IF(OR(LEFT($F1104,3)="111",LEFT($F1104,3)="112",LEFT($F1104,3)="113"),"THU",IF(OR(LEFT($G1104,3)="111",LEFT($G1104,3)="112",LEFT($G1104,3)="113"),"CHI",""))))</f>
        <v/>
      </c>
      <c r="N1104" s="117">
        <f>IF($M1104="THU",$G1104,IF($M1104="CHI",$F1104,""))</f>
        <v/>
      </c>
      <c r="O1104" s="117">
        <f>IF(OR($M1104="",$M1104="NB"),"",IF($J1104&lt;&gt;"",TEXT($J1104,"00"),IFERROR(VLOOKUP(LEFT($N1104,4),LCTT_MAP!$A$7:$C$66,IF($M1104="THU",2,3),FALSE()),IFERROR(VLOOKUP(LEFT($N1104,3),LCTT_MAP!$A$7:$C$66,IF($M1104="THU",2,3),FALSE()),IFERROR(VLOOKUP(LEFT($N1104,2),LCTT_MAP!$A$7:$C$66,IF($M1104="THU",2,3),FALSE()),IFERROR(VLOOKUP(LEFT($N1104,1),LCTT_MAP!$A$7:$C$66,IF($M1104="THU",2,3),FALSE()),IF($M1104="THU","06","07")))))))</f>
        <v/>
      </c>
      <c r="P1104" s="117">
        <f>P1103+IF(AND($H1104&lt;&gt;"",OR(LEFT($F1104,LEN(SC_TK))=SC_TK,LEFT($G1104,LEN(SC_TK))=SC_TK)),1,0)</f>
        <v/>
      </c>
    </row>
    <row r="1105" ht="15" customHeight="1" s="78">
      <c r="A1105" s="95">
        <f>IF($H1105="","",ROW()-6)</f>
        <v/>
      </c>
      <c r="B1105" s="114" t="n"/>
      <c r="C1105" s="102" t="n"/>
      <c r="D1105" s="114" t="n"/>
      <c r="E1105" s="103" t="n"/>
      <c r="F1105" s="102" t="n"/>
      <c r="G1105" s="102" t="n"/>
      <c r="H1105" s="115" t="n"/>
      <c r="I1105" s="102" t="n"/>
      <c r="J1105" s="102" t="n"/>
      <c r="K1105" s="103" t="n"/>
      <c r="L1105" s="116">
        <f>IF($H1105="","",TRIM(IF(COUNTIF(DMTK!$A$7:$A$250,$F1105)=0,"TK Nợ sai! ","")&amp;IF(COUNTIF(DMTK!$A$7:$A$250,$G1105)=0,"TK Có sai! ","")&amp;IF(N($H1105)&lt;=0,"Tiền phải &gt; 0! ","")&amp;IF($B1105="","Thiếu ngày! ","")&amp;IF(AND(OR(LEFT($F1105,3)="131",LEFT($G1105,3)="131",LEFT($F1105,3)="331",LEFT($G1105,3)="331"),$I1105=""),"Thiếu Mã ĐT! ","")&amp;IF(AND($I1105&lt;&gt;"",COUNTIF(DM_DT!$A$7:$A$306,$I1105)=0),"Mã ĐT chưa khai báo! ","")))</f>
        <v/>
      </c>
      <c r="M1105" s="117">
        <f>IF($H1105="","",IF(AND(OR(LEFT($F1105,3)="111",LEFT($F1105,3)="112",LEFT($F1105,3)="113"),OR(LEFT($G1105,3)="111",LEFT($G1105,3)="112",LEFT($G1105,3)="113")),"NB",IF(OR(LEFT($F1105,3)="111",LEFT($F1105,3)="112",LEFT($F1105,3)="113"),"THU",IF(OR(LEFT($G1105,3)="111",LEFT($G1105,3)="112",LEFT($G1105,3)="113"),"CHI",""))))</f>
        <v/>
      </c>
      <c r="N1105" s="117">
        <f>IF($M1105="THU",$G1105,IF($M1105="CHI",$F1105,""))</f>
        <v/>
      </c>
      <c r="O1105" s="117">
        <f>IF(OR($M1105="",$M1105="NB"),"",IF($J1105&lt;&gt;"",TEXT($J1105,"00"),IFERROR(VLOOKUP(LEFT($N1105,4),LCTT_MAP!$A$7:$C$66,IF($M1105="THU",2,3),FALSE()),IFERROR(VLOOKUP(LEFT($N1105,3),LCTT_MAP!$A$7:$C$66,IF($M1105="THU",2,3),FALSE()),IFERROR(VLOOKUP(LEFT($N1105,2),LCTT_MAP!$A$7:$C$66,IF($M1105="THU",2,3),FALSE()),IFERROR(VLOOKUP(LEFT($N1105,1),LCTT_MAP!$A$7:$C$66,IF($M1105="THU",2,3),FALSE()),IF($M1105="THU","06","07")))))))</f>
        <v/>
      </c>
      <c r="P1105" s="117">
        <f>P1104+IF(AND($H1105&lt;&gt;"",OR(LEFT($F1105,LEN(SC_TK))=SC_TK,LEFT($G1105,LEN(SC_TK))=SC_TK)),1,0)</f>
        <v/>
      </c>
    </row>
    <row r="1106" ht="15" customHeight="1" s="78">
      <c r="A1106" s="95">
        <f>IF($H1106="","",ROW()-6)</f>
        <v/>
      </c>
      <c r="B1106" s="114" t="n"/>
      <c r="C1106" s="102" t="n"/>
      <c r="D1106" s="114" t="n"/>
      <c r="E1106" s="103" t="n"/>
      <c r="F1106" s="102" t="n"/>
      <c r="G1106" s="102" t="n"/>
      <c r="H1106" s="115" t="n"/>
      <c r="I1106" s="102" t="n"/>
      <c r="J1106" s="102" t="n"/>
      <c r="K1106" s="103" t="n"/>
      <c r="L1106" s="116">
        <f>IF($H1106="","",TRIM(IF(COUNTIF(DMTK!$A$7:$A$250,$F1106)=0,"TK Nợ sai! ","")&amp;IF(COUNTIF(DMTK!$A$7:$A$250,$G1106)=0,"TK Có sai! ","")&amp;IF(N($H1106)&lt;=0,"Tiền phải &gt; 0! ","")&amp;IF($B1106="","Thiếu ngày! ","")&amp;IF(AND(OR(LEFT($F1106,3)="131",LEFT($G1106,3)="131",LEFT($F1106,3)="331",LEFT($G1106,3)="331"),$I1106=""),"Thiếu Mã ĐT! ","")&amp;IF(AND($I1106&lt;&gt;"",COUNTIF(DM_DT!$A$7:$A$306,$I1106)=0),"Mã ĐT chưa khai báo! ","")))</f>
        <v/>
      </c>
      <c r="M1106" s="117">
        <f>IF($H1106="","",IF(AND(OR(LEFT($F1106,3)="111",LEFT($F1106,3)="112",LEFT($F1106,3)="113"),OR(LEFT($G1106,3)="111",LEFT($G1106,3)="112",LEFT($G1106,3)="113")),"NB",IF(OR(LEFT($F1106,3)="111",LEFT($F1106,3)="112",LEFT($F1106,3)="113"),"THU",IF(OR(LEFT($G1106,3)="111",LEFT($G1106,3)="112",LEFT($G1106,3)="113"),"CHI",""))))</f>
        <v/>
      </c>
      <c r="N1106" s="117">
        <f>IF($M1106="THU",$G1106,IF($M1106="CHI",$F1106,""))</f>
        <v/>
      </c>
      <c r="O1106" s="117">
        <f>IF(OR($M1106="",$M1106="NB"),"",IF($J1106&lt;&gt;"",TEXT($J1106,"00"),IFERROR(VLOOKUP(LEFT($N1106,4),LCTT_MAP!$A$7:$C$66,IF($M1106="THU",2,3),FALSE()),IFERROR(VLOOKUP(LEFT($N1106,3),LCTT_MAP!$A$7:$C$66,IF($M1106="THU",2,3),FALSE()),IFERROR(VLOOKUP(LEFT($N1106,2),LCTT_MAP!$A$7:$C$66,IF($M1106="THU",2,3),FALSE()),IFERROR(VLOOKUP(LEFT($N1106,1),LCTT_MAP!$A$7:$C$66,IF($M1106="THU",2,3),FALSE()),IF($M1106="THU","06","07")))))))</f>
        <v/>
      </c>
      <c r="P1106" s="117">
        <f>P1105+IF(AND($H1106&lt;&gt;"",OR(LEFT($F1106,LEN(SC_TK))=SC_TK,LEFT($G1106,LEN(SC_TK))=SC_TK)),1,0)</f>
        <v/>
      </c>
    </row>
    <row r="1107" ht="15" customHeight="1" s="78">
      <c r="A1107" s="95">
        <f>IF($H1107="","",ROW()-6)</f>
        <v/>
      </c>
      <c r="B1107" s="114" t="n"/>
      <c r="C1107" s="102" t="n"/>
      <c r="D1107" s="114" t="n"/>
      <c r="E1107" s="103" t="n"/>
      <c r="F1107" s="102" t="n"/>
      <c r="G1107" s="102" t="n"/>
      <c r="H1107" s="115" t="n"/>
      <c r="I1107" s="102" t="n"/>
      <c r="J1107" s="102" t="n"/>
      <c r="K1107" s="103" t="n"/>
      <c r="L1107" s="116">
        <f>IF($H1107="","",TRIM(IF(COUNTIF(DMTK!$A$7:$A$250,$F1107)=0,"TK Nợ sai! ","")&amp;IF(COUNTIF(DMTK!$A$7:$A$250,$G1107)=0,"TK Có sai! ","")&amp;IF(N($H1107)&lt;=0,"Tiền phải &gt; 0! ","")&amp;IF($B1107="","Thiếu ngày! ","")&amp;IF(AND(OR(LEFT($F1107,3)="131",LEFT($G1107,3)="131",LEFT($F1107,3)="331",LEFT($G1107,3)="331"),$I1107=""),"Thiếu Mã ĐT! ","")&amp;IF(AND($I1107&lt;&gt;"",COUNTIF(DM_DT!$A$7:$A$306,$I1107)=0),"Mã ĐT chưa khai báo! ","")))</f>
        <v/>
      </c>
      <c r="M1107" s="117">
        <f>IF($H1107="","",IF(AND(OR(LEFT($F1107,3)="111",LEFT($F1107,3)="112",LEFT($F1107,3)="113"),OR(LEFT($G1107,3)="111",LEFT($G1107,3)="112",LEFT($G1107,3)="113")),"NB",IF(OR(LEFT($F1107,3)="111",LEFT($F1107,3)="112",LEFT($F1107,3)="113"),"THU",IF(OR(LEFT($G1107,3)="111",LEFT($G1107,3)="112",LEFT($G1107,3)="113"),"CHI",""))))</f>
        <v/>
      </c>
      <c r="N1107" s="117">
        <f>IF($M1107="THU",$G1107,IF($M1107="CHI",$F1107,""))</f>
        <v/>
      </c>
      <c r="O1107" s="117">
        <f>IF(OR($M1107="",$M1107="NB"),"",IF($J1107&lt;&gt;"",TEXT($J1107,"00"),IFERROR(VLOOKUP(LEFT($N1107,4),LCTT_MAP!$A$7:$C$66,IF($M1107="THU",2,3),FALSE()),IFERROR(VLOOKUP(LEFT($N1107,3),LCTT_MAP!$A$7:$C$66,IF($M1107="THU",2,3),FALSE()),IFERROR(VLOOKUP(LEFT($N1107,2),LCTT_MAP!$A$7:$C$66,IF($M1107="THU",2,3),FALSE()),IFERROR(VLOOKUP(LEFT($N1107,1),LCTT_MAP!$A$7:$C$66,IF($M1107="THU",2,3),FALSE()),IF($M1107="THU","06","07")))))))</f>
        <v/>
      </c>
      <c r="P1107" s="117">
        <f>P1106+IF(AND($H1107&lt;&gt;"",OR(LEFT($F1107,LEN(SC_TK))=SC_TK,LEFT($G1107,LEN(SC_TK))=SC_TK)),1,0)</f>
        <v/>
      </c>
    </row>
    <row r="1108" ht="15" customHeight="1" s="78">
      <c r="A1108" s="95">
        <f>IF($H1108="","",ROW()-6)</f>
        <v/>
      </c>
      <c r="B1108" s="114" t="n"/>
      <c r="C1108" s="102" t="n"/>
      <c r="D1108" s="114" t="n"/>
      <c r="E1108" s="103" t="n"/>
      <c r="F1108" s="102" t="n"/>
      <c r="G1108" s="102" t="n"/>
      <c r="H1108" s="115" t="n"/>
      <c r="I1108" s="102" t="n"/>
      <c r="J1108" s="102" t="n"/>
      <c r="K1108" s="103" t="n"/>
      <c r="L1108" s="116">
        <f>IF($H1108="","",TRIM(IF(COUNTIF(DMTK!$A$7:$A$250,$F1108)=0,"TK Nợ sai! ","")&amp;IF(COUNTIF(DMTK!$A$7:$A$250,$G1108)=0,"TK Có sai! ","")&amp;IF(N($H1108)&lt;=0,"Tiền phải &gt; 0! ","")&amp;IF($B1108="","Thiếu ngày! ","")&amp;IF(AND(OR(LEFT($F1108,3)="131",LEFT($G1108,3)="131",LEFT($F1108,3)="331",LEFT($G1108,3)="331"),$I1108=""),"Thiếu Mã ĐT! ","")&amp;IF(AND($I1108&lt;&gt;"",COUNTIF(DM_DT!$A$7:$A$306,$I1108)=0),"Mã ĐT chưa khai báo! ","")))</f>
        <v/>
      </c>
      <c r="M1108" s="117">
        <f>IF($H1108="","",IF(AND(OR(LEFT($F1108,3)="111",LEFT($F1108,3)="112",LEFT($F1108,3)="113"),OR(LEFT($G1108,3)="111",LEFT($G1108,3)="112",LEFT($G1108,3)="113")),"NB",IF(OR(LEFT($F1108,3)="111",LEFT($F1108,3)="112",LEFT($F1108,3)="113"),"THU",IF(OR(LEFT($G1108,3)="111",LEFT($G1108,3)="112",LEFT($G1108,3)="113"),"CHI",""))))</f>
        <v/>
      </c>
      <c r="N1108" s="117">
        <f>IF($M1108="THU",$G1108,IF($M1108="CHI",$F1108,""))</f>
        <v/>
      </c>
      <c r="O1108" s="117">
        <f>IF(OR($M1108="",$M1108="NB"),"",IF($J1108&lt;&gt;"",TEXT($J1108,"00"),IFERROR(VLOOKUP(LEFT($N1108,4),LCTT_MAP!$A$7:$C$66,IF($M1108="THU",2,3),FALSE()),IFERROR(VLOOKUP(LEFT($N1108,3),LCTT_MAP!$A$7:$C$66,IF($M1108="THU",2,3),FALSE()),IFERROR(VLOOKUP(LEFT($N1108,2),LCTT_MAP!$A$7:$C$66,IF($M1108="THU",2,3),FALSE()),IFERROR(VLOOKUP(LEFT($N1108,1),LCTT_MAP!$A$7:$C$66,IF($M1108="THU",2,3),FALSE()),IF($M1108="THU","06","07")))))))</f>
        <v/>
      </c>
      <c r="P1108" s="117">
        <f>P1107+IF(AND($H1108&lt;&gt;"",OR(LEFT($F1108,LEN(SC_TK))=SC_TK,LEFT($G1108,LEN(SC_TK))=SC_TK)),1,0)</f>
        <v/>
      </c>
    </row>
    <row r="1109" ht="15" customHeight="1" s="78">
      <c r="A1109" s="95">
        <f>IF($H1109="","",ROW()-6)</f>
        <v/>
      </c>
      <c r="B1109" s="114" t="n"/>
      <c r="C1109" s="102" t="n"/>
      <c r="D1109" s="114" t="n"/>
      <c r="E1109" s="103" t="n"/>
      <c r="F1109" s="102" t="n"/>
      <c r="G1109" s="102" t="n"/>
      <c r="H1109" s="115" t="n"/>
      <c r="I1109" s="102" t="n"/>
      <c r="J1109" s="102" t="n"/>
      <c r="K1109" s="103" t="n"/>
      <c r="L1109" s="116">
        <f>IF($H1109="","",TRIM(IF(COUNTIF(DMTK!$A$7:$A$250,$F1109)=0,"TK Nợ sai! ","")&amp;IF(COUNTIF(DMTK!$A$7:$A$250,$G1109)=0,"TK Có sai! ","")&amp;IF(N($H1109)&lt;=0,"Tiền phải &gt; 0! ","")&amp;IF($B1109="","Thiếu ngày! ","")&amp;IF(AND(OR(LEFT($F1109,3)="131",LEFT($G1109,3)="131",LEFT($F1109,3)="331",LEFT($G1109,3)="331"),$I1109=""),"Thiếu Mã ĐT! ","")&amp;IF(AND($I1109&lt;&gt;"",COUNTIF(DM_DT!$A$7:$A$306,$I1109)=0),"Mã ĐT chưa khai báo! ","")))</f>
        <v/>
      </c>
      <c r="M1109" s="117">
        <f>IF($H1109="","",IF(AND(OR(LEFT($F1109,3)="111",LEFT($F1109,3)="112",LEFT($F1109,3)="113"),OR(LEFT($G1109,3)="111",LEFT($G1109,3)="112",LEFT($G1109,3)="113")),"NB",IF(OR(LEFT($F1109,3)="111",LEFT($F1109,3)="112",LEFT($F1109,3)="113"),"THU",IF(OR(LEFT($G1109,3)="111",LEFT($G1109,3)="112",LEFT($G1109,3)="113"),"CHI",""))))</f>
        <v/>
      </c>
      <c r="N1109" s="117">
        <f>IF($M1109="THU",$G1109,IF($M1109="CHI",$F1109,""))</f>
        <v/>
      </c>
      <c r="O1109" s="117">
        <f>IF(OR($M1109="",$M1109="NB"),"",IF($J1109&lt;&gt;"",TEXT($J1109,"00"),IFERROR(VLOOKUP(LEFT($N1109,4),LCTT_MAP!$A$7:$C$66,IF($M1109="THU",2,3),FALSE()),IFERROR(VLOOKUP(LEFT($N1109,3),LCTT_MAP!$A$7:$C$66,IF($M1109="THU",2,3),FALSE()),IFERROR(VLOOKUP(LEFT($N1109,2),LCTT_MAP!$A$7:$C$66,IF($M1109="THU",2,3),FALSE()),IFERROR(VLOOKUP(LEFT($N1109,1),LCTT_MAP!$A$7:$C$66,IF($M1109="THU",2,3),FALSE()),IF($M1109="THU","06","07")))))))</f>
        <v/>
      </c>
      <c r="P1109" s="117">
        <f>P1108+IF(AND($H1109&lt;&gt;"",OR(LEFT($F1109,LEN(SC_TK))=SC_TK,LEFT($G1109,LEN(SC_TK))=SC_TK)),1,0)</f>
        <v/>
      </c>
    </row>
    <row r="1110" ht="15" customHeight="1" s="78">
      <c r="A1110" s="95">
        <f>IF($H1110="","",ROW()-6)</f>
        <v/>
      </c>
      <c r="B1110" s="114" t="n"/>
      <c r="C1110" s="102" t="n"/>
      <c r="D1110" s="114" t="n"/>
      <c r="E1110" s="103" t="n"/>
      <c r="F1110" s="102" t="n"/>
      <c r="G1110" s="102" t="n"/>
      <c r="H1110" s="115" t="n"/>
      <c r="I1110" s="102" t="n"/>
      <c r="J1110" s="102" t="n"/>
      <c r="K1110" s="103" t="n"/>
      <c r="L1110" s="116">
        <f>IF($H1110="","",TRIM(IF(COUNTIF(DMTK!$A$7:$A$250,$F1110)=0,"TK Nợ sai! ","")&amp;IF(COUNTIF(DMTK!$A$7:$A$250,$G1110)=0,"TK Có sai! ","")&amp;IF(N($H1110)&lt;=0,"Tiền phải &gt; 0! ","")&amp;IF($B1110="","Thiếu ngày! ","")&amp;IF(AND(OR(LEFT($F1110,3)="131",LEFT($G1110,3)="131",LEFT($F1110,3)="331",LEFT($G1110,3)="331"),$I1110=""),"Thiếu Mã ĐT! ","")&amp;IF(AND($I1110&lt;&gt;"",COUNTIF(DM_DT!$A$7:$A$306,$I1110)=0),"Mã ĐT chưa khai báo! ","")))</f>
        <v/>
      </c>
      <c r="M1110" s="117">
        <f>IF($H1110="","",IF(AND(OR(LEFT($F1110,3)="111",LEFT($F1110,3)="112",LEFT($F1110,3)="113"),OR(LEFT($G1110,3)="111",LEFT($G1110,3)="112",LEFT($G1110,3)="113")),"NB",IF(OR(LEFT($F1110,3)="111",LEFT($F1110,3)="112",LEFT($F1110,3)="113"),"THU",IF(OR(LEFT($G1110,3)="111",LEFT($G1110,3)="112",LEFT($G1110,3)="113"),"CHI",""))))</f>
        <v/>
      </c>
      <c r="N1110" s="117">
        <f>IF($M1110="THU",$G1110,IF($M1110="CHI",$F1110,""))</f>
        <v/>
      </c>
      <c r="O1110" s="117">
        <f>IF(OR($M1110="",$M1110="NB"),"",IF($J1110&lt;&gt;"",TEXT($J1110,"00"),IFERROR(VLOOKUP(LEFT($N1110,4),LCTT_MAP!$A$7:$C$66,IF($M1110="THU",2,3),FALSE()),IFERROR(VLOOKUP(LEFT($N1110,3),LCTT_MAP!$A$7:$C$66,IF($M1110="THU",2,3),FALSE()),IFERROR(VLOOKUP(LEFT($N1110,2),LCTT_MAP!$A$7:$C$66,IF($M1110="THU",2,3),FALSE()),IFERROR(VLOOKUP(LEFT($N1110,1),LCTT_MAP!$A$7:$C$66,IF($M1110="THU",2,3),FALSE()),IF($M1110="THU","06","07")))))))</f>
        <v/>
      </c>
      <c r="P1110" s="117">
        <f>P1109+IF(AND($H1110&lt;&gt;"",OR(LEFT($F1110,LEN(SC_TK))=SC_TK,LEFT($G1110,LEN(SC_TK))=SC_TK)),1,0)</f>
        <v/>
      </c>
    </row>
    <row r="1111" ht="15" customHeight="1" s="78">
      <c r="A1111" s="95">
        <f>IF($H1111="","",ROW()-6)</f>
        <v/>
      </c>
      <c r="B1111" s="114" t="n"/>
      <c r="C1111" s="102" t="n"/>
      <c r="D1111" s="114" t="n"/>
      <c r="E1111" s="103" t="n"/>
      <c r="F1111" s="102" t="n"/>
      <c r="G1111" s="102" t="n"/>
      <c r="H1111" s="115" t="n"/>
      <c r="I1111" s="102" t="n"/>
      <c r="J1111" s="102" t="n"/>
      <c r="K1111" s="103" t="n"/>
      <c r="L1111" s="116">
        <f>IF($H1111="","",TRIM(IF(COUNTIF(DMTK!$A$7:$A$250,$F1111)=0,"TK Nợ sai! ","")&amp;IF(COUNTIF(DMTK!$A$7:$A$250,$G1111)=0,"TK Có sai! ","")&amp;IF(N($H1111)&lt;=0,"Tiền phải &gt; 0! ","")&amp;IF($B1111="","Thiếu ngày! ","")&amp;IF(AND(OR(LEFT($F1111,3)="131",LEFT($G1111,3)="131",LEFT($F1111,3)="331",LEFT($G1111,3)="331"),$I1111=""),"Thiếu Mã ĐT! ","")&amp;IF(AND($I1111&lt;&gt;"",COUNTIF(DM_DT!$A$7:$A$306,$I1111)=0),"Mã ĐT chưa khai báo! ","")))</f>
        <v/>
      </c>
      <c r="M1111" s="117">
        <f>IF($H1111="","",IF(AND(OR(LEFT($F1111,3)="111",LEFT($F1111,3)="112",LEFT($F1111,3)="113"),OR(LEFT($G1111,3)="111",LEFT($G1111,3)="112",LEFT($G1111,3)="113")),"NB",IF(OR(LEFT($F1111,3)="111",LEFT($F1111,3)="112",LEFT($F1111,3)="113"),"THU",IF(OR(LEFT($G1111,3)="111",LEFT($G1111,3)="112",LEFT($G1111,3)="113"),"CHI",""))))</f>
        <v/>
      </c>
      <c r="N1111" s="117">
        <f>IF($M1111="THU",$G1111,IF($M1111="CHI",$F1111,""))</f>
        <v/>
      </c>
      <c r="O1111" s="117">
        <f>IF(OR($M1111="",$M1111="NB"),"",IF($J1111&lt;&gt;"",TEXT($J1111,"00"),IFERROR(VLOOKUP(LEFT($N1111,4),LCTT_MAP!$A$7:$C$66,IF($M1111="THU",2,3),FALSE()),IFERROR(VLOOKUP(LEFT($N1111,3),LCTT_MAP!$A$7:$C$66,IF($M1111="THU",2,3),FALSE()),IFERROR(VLOOKUP(LEFT($N1111,2),LCTT_MAP!$A$7:$C$66,IF($M1111="THU",2,3),FALSE()),IFERROR(VLOOKUP(LEFT($N1111,1),LCTT_MAP!$A$7:$C$66,IF($M1111="THU",2,3),FALSE()),IF($M1111="THU","06","07")))))))</f>
        <v/>
      </c>
      <c r="P1111" s="117">
        <f>P1110+IF(AND($H1111&lt;&gt;"",OR(LEFT($F1111,LEN(SC_TK))=SC_TK,LEFT($G1111,LEN(SC_TK))=SC_TK)),1,0)</f>
        <v/>
      </c>
    </row>
    <row r="1112" ht="15" customHeight="1" s="78">
      <c r="A1112" s="95">
        <f>IF($H1112="","",ROW()-6)</f>
        <v/>
      </c>
      <c r="B1112" s="114" t="n"/>
      <c r="C1112" s="102" t="n"/>
      <c r="D1112" s="114" t="n"/>
      <c r="E1112" s="103" t="n"/>
      <c r="F1112" s="102" t="n"/>
      <c r="G1112" s="102" t="n"/>
      <c r="H1112" s="115" t="n"/>
      <c r="I1112" s="102" t="n"/>
      <c r="J1112" s="102" t="n"/>
      <c r="K1112" s="103" t="n"/>
      <c r="L1112" s="116">
        <f>IF($H1112="","",TRIM(IF(COUNTIF(DMTK!$A$7:$A$250,$F1112)=0,"TK Nợ sai! ","")&amp;IF(COUNTIF(DMTK!$A$7:$A$250,$G1112)=0,"TK Có sai! ","")&amp;IF(N($H1112)&lt;=0,"Tiền phải &gt; 0! ","")&amp;IF($B1112="","Thiếu ngày! ","")&amp;IF(AND(OR(LEFT($F1112,3)="131",LEFT($G1112,3)="131",LEFT($F1112,3)="331",LEFT($G1112,3)="331"),$I1112=""),"Thiếu Mã ĐT! ","")&amp;IF(AND($I1112&lt;&gt;"",COUNTIF(DM_DT!$A$7:$A$306,$I1112)=0),"Mã ĐT chưa khai báo! ","")))</f>
        <v/>
      </c>
      <c r="M1112" s="117">
        <f>IF($H1112="","",IF(AND(OR(LEFT($F1112,3)="111",LEFT($F1112,3)="112",LEFT($F1112,3)="113"),OR(LEFT($G1112,3)="111",LEFT($G1112,3)="112",LEFT($G1112,3)="113")),"NB",IF(OR(LEFT($F1112,3)="111",LEFT($F1112,3)="112",LEFT($F1112,3)="113"),"THU",IF(OR(LEFT($G1112,3)="111",LEFT($G1112,3)="112",LEFT($G1112,3)="113"),"CHI",""))))</f>
        <v/>
      </c>
      <c r="N1112" s="117">
        <f>IF($M1112="THU",$G1112,IF($M1112="CHI",$F1112,""))</f>
        <v/>
      </c>
      <c r="O1112" s="117">
        <f>IF(OR($M1112="",$M1112="NB"),"",IF($J1112&lt;&gt;"",TEXT($J1112,"00"),IFERROR(VLOOKUP(LEFT($N1112,4),LCTT_MAP!$A$7:$C$66,IF($M1112="THU",2,3),FALSE()),IFERROR(VLOOKUP(LEFT($N1112,3),LCTT_MAP!$A$7:$C$66,IF($M1112="THU",2,3),FALSE()),IFERROR(VLOOKUP(LEFT($N1112,2),LCTT_MAP!$A$7:$C$66,IF($M1112="THU",2,3),FALSE()),IFERROR(VLOOKUP(LEFT($N1112,1),LCTT_MAP!$A$7:$C$66,IF($M1112="THU",2,3),FALSE()),IF($M1112="THU","06","07")))))))</f>
        <v/>
      </c>
      <c r="P1112" s="117">
        <f>P1111+IF(AND($H1112&lt;&gt;"",OR(LEFT($F1112,LEN(SC_TK))=SC_TK,LEFT($G1112,LEN(SC_TK))=SC_TK)),1,0)</f>
        <v/>
      </c>
    </row>
    <row r="1113" ht="15" customHeight="1" s="78">
      <c r="A1113" s="95">
        <f>IF($H1113="","",ROW()-6)</f>
        <v/>
      </c>
      <c r="B1113" s="114" t="n"/>
      <c r="C1113" s="102" t="n"/>
      <c r="D1113" s="114" t="n"/>
      <c r="E1113" s="103" t="n"/>
      <c r="F1113" s="102" t="n"/>
      <c r="G1113" s="102" t="n"/>
      <c r="H1113" s="115" t="n"/>
      <c r="I1113" s="102" t="n"/>
      <c r="J1113" s="102" t="n"/>
      <c r="K1113" s="103" t="n"/>
      <c r="L1113" s="116">
        <f>IF($H1113="","",TRIM(IF(COUNTIF(DMTK!$A$7:$A$250,$F1113)=0,"TK Nợ sai! ","")&amp;IF(COUNTIF(DMTK!$A$7:$A$250,$G1113)=0,"TK Có sai! ","")&amp;IF(N($H1113)&lt;=0,"Tiền phải &gt; 0! ","")&amp;IF($B1113="","Thiếu ngày! ","")&amp;IF(AND(OR(LEFT($F1113,3)="131",LEFT($G1113,3)="131",LEFT($F1113,3)="331",LEFT($G1113,3)="331"),$I1113=""),"Thiếu Mã ĐT! ","")&amp;IF(AND($I1113&lt;&gt;"",COUNTIF(DM_DT!$A$7:$A$306,$I1113)=0),"Mã ĐT chưa khai báo! ","")))</f>
        <v/>
      </c>
      <c r="M1113" s="117">
        <f>IF($H1113="","",IF(AND(OR(LEFT($F1113,3)="111",LEFT($F1113,3)="112",LEFT($F1113,3)="113"),OR(LEFT($G1113,3)="111",LEFT($G1113,3)="112",LEFT($G1113,3)="113")),"NB",IF(OR(LEFT($F1113,3)="111",LEFT($F1113,3)="112",LEFT($F1113,3)="113"),"THU",IF(OR(LEFT($G1113,3)="111",LEFT($G1113,3)="112",LEFT($G1113,3)="113"),"CHI",""))))</f>
        <v/>
      </c>
      <c r="N1113" s="117">
        <f>IF($M1113="THU",$G1113,IF($M1113="CHI",$F1113,""))</f>
        <v/>
      </c>
      <c r="O1113" s="117">
        <f>IF(OR($M1113="",$M1113="NB"),"",IF($J1113&lt;&gt;"",TEXT($J1113,"00"),IFERROR(VLOOKUP(LEFT($N1113,4),LCTT_MAP!$A$7:$C$66,IF($M1113="THU",2,3),FALSE()),IFERROR(VLOOKUP(LEFT($N1113,3),LCTT_MAP!$A$7:$C$66,IF($M1113="THU",2,3),FALSE()),IFERROR(VLOOKUP(LEFT($N1113,2),LCTT_MAP!$A$7:$C$66,IF($M1113="THU",2,3),FALSE()),IFERROR(VLOOKUP(LEFT($N1113,1),LCTT_MAP!$A$7:$C$66,IF($M1113="THU",2,3),FALSE()),IF($M1113="THU","06","07")))))))</f>
        <v/>
      </c>
      <c r="P1113" s="117">
        <f>P1112+IF(AND($H1113&lt;&gt;"",OR(LEFT($F1113,LEN(SC_TK))=SC_TK,LEFT($G1113,LEN(SC_TK))=SC_TK)),1,0)</f>
        <v/>
      </c>
    </row>
    <row r="1114" ht="15" customHeight="1" s="78">
      <c r="A1114" s="95">
        <f>IF($H1114="","",ROW()-6)</f>
        <v/>
      </c>
      <c r="B1114" s="114" t="n"/>
      <c r="C1114" s="102" t="n"/>
      <c r="D1114" s="114" t="n"/>
      <c r="E1114" s="103" t="n"/>
      <c r="F1114" s="102" t="n"/>
      <c r="G1114" s="102" t="n"/>
      <c r="H1114" s="115" t="n"/>
      <c r="I1114" s="102" t="n"/>
      <c r="J1114" s="102" t="n"/>
      <c r="K1114" s="103" t="n"/>
      <c r="L1114" s="116">
        <f>IF($H1114="","",TRIM(IF(COUNTIF(DMTK!$A$7:$A$250,$F1114)=0,"TK Nợ sai! ","")&amp;IF(COUNTIF(DMTK!$A$7:$A$250,$G1114)=0,"TK Có sai! ","")&amp;IF(N($H1114)&lt;=0,"Tiền phải &gt; 0! ","")&amp;IF($B1114="","Thiếu ngày! ","")&amp;IF(AND(OR(LEFT($F1114,3)="131",LEFT($G1114,3)="131",LEFT($F1114,3)="331",LEFT($G1114,3)="331"),$I1114=""),"Thiếu Mã ĐT! ","")&amp;IF(AND($I1114&lt;&gt;"",COUNTIF(DM_DT!$A$7:$A$306,$I1114)=0),"Mã ĐT chưa khai báo! ","")))</f>
        <v/>
      </c>
      <c r="M1114" s="117">
        <f>IF($H1114="","",IF(AND(OR(LEFT($F1114,3)="111",LEFT($F1114,3)="112",LEFT($F1114,3)="113"),OR(LEFT($G1114,3)="111",LEFT($G1114,3)="112",LEFT($G1114,3)="113")),"NB",IF(OR(LEFT($F1114,3)="111",LEFT($F1114,3)="112",LEFT($F1114,3)="113"),"THU",IF(OR(LEFT($G1114,3)="111",LEFT($G1114,3)="112",LEFT($G1114,3)="113"),"CHI",""))))</f>
        <v/>
      </c>
      <c r="N1114" s="117">
        <f>IF($M1114="THU",$G1114,IF($M1114="CHI",$F1114,""))</f>
        <v/>
      </c>
      <c r="O1114" s="117">
        <f>IF(OR($M1114="",$M1114="NB"),"",IF($J1114&lt;&gt;"",TEXT($J1114,"00"),IFERROR(VLOOKUP(LEFT($N1114,4),LCTT_MAP!$A$7:$C$66,IF($M1114="THU",2,3),FALSE()),IFERROR(VLOOKUP(LEFT($N1114,3),LCTT_MAP!$A$7:$C$66,IF($M1114="THU",2,3),FALSE()),IFERROR(VLOOKUP(LEFT($N1114,2),LCTT_MAP!$A$7:$C$66,IF($M1114="THU",2,3),FALSE()),IFERROR(VLOOKUP(LEFT($N1114,1),LCTT_MAP!$A$7:$C$66,IF($M1114="THU",2,3),FALSE()),IF($M1114="THU","06","07")))))))</f>
        <v/>
      </c>
      <c r="P1114" s="117">
        <f>P1113+IF(AND($H1114&lt;&gt;"",OR(LEFT($F1114,LEN(SC_TK))=SC_TK,LEFT($G1114,LEN(SC_TK))=SC_TK)),1,0)</f>
        <v/>
      </c>
    </row>
    <row r="1115" ht="15" customHeight="1" s="78">
      <c r="A1115" s="95">
        <f>IF($H1115="","",ROW()-6)</f>
        <v/>
      </c>
      <c r="B1115" s="114" t="n"/>
      <c r="C1115" s="102" t="n"/>
      <c r="D1115" s="114" t="n"/>
      <c r="E1115" s="103" t="n"/>
      <c r="F1115" s="102" t="n"/>
      <c r="G1115" s="102" t="n"/>
      <c r="H1115" s="115" t="n"/>
      <c r="I1115" s="102" t="n"/>
      <c r="J1115" s="102" t="n"/>
      <c r="K1115" s="103" t="n"/>
      <c r="L1115" s="116">
        <f>IF($H1115="","",TRIM(IF(COUNTIF(DMTK!$A$7:$A$250,$F1115)=0,"TK Nợ sai! ","")&amp;IF(COUNTIF(DMTK!$A$7:$A$250,$G1115)=0,"TK Có sai! ","")&amp;IF(N($H1115)&lt;=0,"Tiền phải &gt; 0! ","")&amp;IF($B1115="","Thiếu ngày! ","")&amp;IF(AND(OR(LEFT($F1115,3)="131",LEFT($G1115,3)="131",LEFT($F1115,3)="331",LEFT($G1115,3)="331"),$I1115=""),"Thiếu Mã ĐT! ","")&amp;IF(AND($I1115&lt;&gt;"",COUNTIF(DM_DT!$A$7:$A$306,$I1115)=0),"Mã ĐT chưa khai báo! ","")))</f>
        <v/>
      </c>
      <c r="M1115" s="117">
        <f>IF($H1115="","",IF(AND(OR(LEFT($F1115,3)="111",LEFT($F1115,3)="112",LEFT($F1115,3)="113"),OR(LEFT($G1115,3)="111",LEFT($G1115,3)="112",LEFT($G1115,3)="113")),"NB",IF(OR(LEFT($F1115,3)="111",LEFT($F1115,3)="112",LEFT($F1115,3)="113"),"THU",IF(OR(LEFT($G1115,3)="111",LEFT($G1115,3)="112",LEFT($G1115,3)="113"),"CHI",""))))</f>
        <v/>
      </c>
      <c r="N1115" s="117">
        <f>IF($M1115="THU",$G1115,IF($M1115="CHI",$F1115,""))</f>
        <v/>
      </c>
      <c r="O1115" s="117">
        <f>IF(OR($M1115="",$M1115="NB"),"",IF($J1115&lt;&gt;"",TEXT($J1115,"00"),IFERROR(VLOOKUP(LEFT($N1115,4),LCTT_MAP!$A$7:$C$66,IF($M1115="THU",2,3),FALSE()),IFERROR(VLOOKUP(LEFT($N1115,3),LCTT_MAP!$A$7:$C$66,IF($M1115="THU",2,3),FALSE()),IFERROR(VLOOKUP(LEFT($N1115,2),LCTT_MAP!$A$7:$C$66,IF($M1115="THU",2,3),FALSE()),IFERROR(VLOOKUP(LEFT($N1115,1),LCTT_MAP!$A$7:$C$66,IF($M1115="THU",2,3),FALSE()),IF($M1115="THU","06","07")))))))</f>
        <v/>
      </c>
      <c r="P1115" s="117">
        <f>P1114+IF(AND($H1115&lt;&gt;"",OR(LEFT($F1115,LEN(SC_TK))=SC_TK,LEFT($G1115,LEN(SC_TK))=SC_TK)),1,0)</f>
        <v/>
      </c>
    </row>
    <row r="1116" ht="15" customHeight="1" s="78">
      <c r="A1116" s="95">
        <f>IF($H1116="","",ROW()-6)</f>
        <v/>
      </c>
      <c r="B1116" s="114" t="n"/>
      <c r="C1116" s="102" t="n"/>
      <c r="D1116" s="114" t="n"/>
      <c r="E1116" s="103" t="n"/>
      <c r="F1116" s="102" t="n"/>
      <c r="G1116" s="102" t="n"/>
      <c r="H1116" s="115" t="n"/>
      <c r="I1116" s="102" t="n"/>
      <c r="J1116" s="102" t="n"/>
      <c r="K1116" s="103" t="n"/>
      <c r="L1116" s="116">
        <f>IF($H1116="","",TRIM(IF(COUNTIF(DMTK!$A$7:$A$250,$F1116)=0,"TK Nợ sai! ","")&amp;IF(COUNTIF(DMTK!$A$7:$A$250,$G1116)=0,"TK Có sai! ","")&amp;IF(N($H1116)&lt;=0,"Tiền phải &gt; 0! ","")&amp;IF($B1116="","Thiếu ngày! ","")&amp;IF(AND(OR(LEFT($F1116,3)="131",LEFT($G1116,3)="131",LEFT($F1116,3)="331",LEFT($G1116,3)="331"),$I1116=""),"Thiếu Mã ĐT! ","")&amp;IF(AND($I1116&lt;&gt;"",COUNTIF(DM_DT!$A$7:$A$306,$I1116)=0),"Mã ĐT chưa khai báo! ","")))</f>
        <v/>
      </c>
      <c r="M1116" s="117">
        <f>IF($H1116="","",IF(AND(OR(LEFT($F1116,3)="111",LEFT($F1116,3)="112",LEFT($F1116,3)="113"),OR(LEFT($G1116,3)="111",LEFT($G1116,3)="112",LEFT($G1116,3)="113")),"NB",IF(OR(LEFT($F1116,3)="111",LEFT($F1116,3)="112",LEFT($F1116,3)="113"),"THU",IF(OR(LEFT($G1116,3)="111",LEFT($G1116,3)="112",LEFT($G1116,3)="113"),"CHI",""))))</f>
        <v/>
      </c>
      <c r="N1116" s="117">
        <f>IF($M1116="THU",$G1116,IF($M1116="CHI",$F1116,""))</f>
        <v/>
      </c>
      <c r="O1116" s="117">
        <f>IF(OR($M1116="",$M1116="NB"),"",IF($J1116&lt;&gt;"",TEXT($J1116,"00"),IFERROR(VLOOKUP(LEFT($N1116,4),LCTT_MAP!$A$7:$C$66,IF($M1116="THU",2,3),FALSE()),IFERROR(VLOOKUP(LEFT($N1116,3),LCTT_MAP!$A$7:$C$66,IF($M1116="THU",2,3),FALSE()),IFERROR(VLOOKUP(LEFT($N1116,2),LCTT_MAP!$A$7:$C$66,IF($M1116="THU",2,3),FALSE()),IFERROR(VLOOKUP(LEFT($N1116,1),LCTT_MAP!$A$7:$C$66,IF($M1116="THU",2,3),FALSE()),IF($M1116="THU","06","07")))))))</f>
        <v/>
      </c>
      <c r="P1116" s="117">
        <f>P1115+IF(AND($H1116&lt;&gt;"",OR(LEFT($F1116,LEN(SC_TK))=SC_TK,LEFT($G1116,LEN(SC_TK))=SC_TK)),1,0)</f>
        <v/>
      </c>
    </row>
    <row r="1117" ht="15" customHeight="1" s="78">
      <c r="A1117" s="95">
        <f>IF($H1117="","",ROW()-6)</f>
        <v/>
      </c>
      <c r="B1117" s="114" t="n"/>
      <c r="C1117" s="102" t="n"/>
      <c r="D1117" s="114" t="n"/>
      <c r="E1117" s="103" t="n"/>
      <c r="F1117" s="102" t="n"/>
      <c r="G1117" s="102" t="n"/>
      <c r="H1117" s="115" t="n"/>
      <c r="I1117" s="102" t="n"/>
      <c r="J1117" s="102" t="n"/>
      <c r="K1117" s="103" t="n"/>
      <c r="L1117" s="116">
        <f>IF($H1117="","",TRIM(IF(COUNTIF(DMTK!$A$7:$A$250,$F1117)=0,"TK Nợ sai! ","")&amp;IF(COUNTIF(DMTK!$A$7:$A$250,$G1117)=0,"TK Có sai! ","")&amp;IF(N($H1117)&lt;=0,"Tiền phải &gt; 0! ","")&amp;IF($B1117="","Thiếu ngày! ","")&amp;IF(AND(OR(LEFT($F1117,3)="131",LEFT($G1117,3)="131",LEFT($F1117,3)="331",LEFT($G1117,3)="331"),$I1117=""),"Thiếu Mã ĐT! ","")&amp;IF(AND($I1117&lt;&gt;"",COUNTIF(DM_DT!$A$7:$A$306,$I1117)=0),"Mã ĐT chưa khai báo! ","")))</f>
        <v/>
      </c>
      <c r="M1117" s="117">
        <f>IF($H1117="","",IF(AND(OR(LEFT($F1117,3)="111",LEFT($F1117,3)="112",LEFT($F1117,3)="113"),OR(LEFT($G1117,3)="111",LEFT($G1117,3)="112",LEFT($G1117,3)="113")),"NB",IF(OR(LEFT($F1117,3)="111",LEFT($F1117,3)="112",LEFT($F1117,3)="113"),"THU",IF(OR(LEFT($G1117,3)="111",LEFT($G1117,3)="112",LEFT($G1117,3)="113"),"CHI",""))))</f>
        <v/>
      </c>
      <c r="N1117" s="117">
        <f>IF($M1117="THU",$G1117,IF($M1117="CHI",$F1117,""))</f>
        <v/>
      </c>
      <c r="O1117" s="117">
        <f>IF(OR($M1117="",$M1117="NB"),"",IF($J1117&lt;&gt;"",TEXT($J1117,"00"),IFERROR(VLOOKUP(LEFT($N1117,4),LCTT_MAP!$A$7:$C$66,IF($M1117="THU",2,3),FALSE()),IFERROR(VLOOKUP(LEFT($N1117,3),LCTT_MAP!$A$7:$C$66,IF($M1117="THU",2,3),FALSE()),IFERROR(VLOOKUP(LEFT($N1117,2),LCTT_MAP!$A$7:$C$66,IF($M1117="THU",2,3),FALSE()),IFERROR(VLOOKUP(LEFT($N1117,1),LCTT_MAP!$A$7:$C$66,IF($M1117="THU",2,3),FALSE()),IF($M1117="THU","06","07")))))))</f>
        <v/>
      </c>
      <c r="P1117" s="117">
        <f>P1116+IF(AND($H1117&lt;&gt;"",OR(LEFT($F1117,LEN(SC_TK))=SC_TK,LEFT($G1117,LEN(SC_TK))=SC_TK)),1,0)</f>
        <v/>
      </c>
    </row>
    <row r="1118" ht="15" customHeight="1" s="78">
      <c r="A1118" s="95">
        <f>IF($H1118="","",ROW()-6)</f>
        <v/>
      </c>
      <c r="B1118" s="114" t="n"/>
      <c r="C1118" s="102" t="n"/>
      <c r="D1118" s="114" t="n"/>
      <c r="E1118" s="103" t="n"/>
      <c r="F1118" s="102" t="n"/>
      <c r="G1118" s="102" t="n"/>
      <c r="H1118" s="115" t="n"/>
      <c r="I1118" s="102" t="n"/>
      <c r="J1118" s="102" t="n"/>
      <c r="K1118" s="103" t="n"/>
      <c r="L1118" s="116">
        <f>IF($H1118="","",TRIM(IF(COUNTIF(DMTK!$A$7:$A$250,$F1118)=0,"TK Nợ sai! ","")&amp;IF(COUNTIF(DMTK!$A$7:$A$250,$G1118)=0,"TK Có sai! ","")&amp;IF(N($H1118)&lt;=0,"Tiền phải &gt; 0! ","")&amp;IF($B1118="","Thiếu ngày! ","")&amp;IF(AND(OR(LEFT($F1118,3)="131",LEFT($G1118,3)="131",LEFT($F1118,3)="331",LEFT($G1118,3)="331"),$I1118=""),"Thiếu Mã ĐT! ","")&amp;IF(AND($I1118&lt;&gt;"",COUNTIF(DM_DT!$A$7:$A$306,$I1118)=0),"Mã ĐT chưa khai báo! ","")))</f>
        <v/>
      </c>
      <c r="M1118" s="117">
        <f>IF($H1118="","",IF(AND(OR(LEFT($F1118,3)="111",LEFT($F1118,3)="112",LEFT($F1118,3)="113"),OR(LEFT($G1118,3)="111",LEFT($G1118,3)="112",LEFT($G1118,3)="113")),"NB",IF(OR(LEFT($F1118,3)="111",LEFT($F1118,3)="112",LEFT($F1118,3)="113"),"THU",IF(OR(LEFT($G1118,3)="111",LEFT($G1118,3)="112",LEFT($G1118,3)="113"),"CHI",""))))</f>
        <v/>
      </c>
      <c r="N1118" s="117">
        <f>IF($M1118="THU",$G1118,IF($M1118="CHI",$F1118,""))</f>
        <v/>
      </c>
      <c r="O1118" s="117">
        <f>IF(OR($M1118="",$M1118="NB"),"",IF($J1118&lt;&gt;"",TEXT($J1118,"00"),IFERROR(VLOOKUP(LEFT($N1118,4),LCTT_MAP!$A$7:$C$66,IF($M1118="THU",2,3),FALSE()),IFERROR(VLOOKUP(LEFT($N1118,3),LCTT_MAP!$A$7:$C$66,IF($M1118="THU",2,3),FALSE()),IFERROR(VLOOKUP(LEFT($N1118,2),LCTT_MAP!$A$7:$C$66,IF($M1118="THU",2,3),FALSE()),IFERROR(VLOOKUP(LEFT($N1118,1),LCTT_MAP!$A$7:$C$66,IF($M1118="THU",2,3),FALSE()),IF($M1118="THU","06","07")))))))</f>
        <v/>
      </c>
      <c r="P1118" s="117">
        <f>P1117+IF(AND($H1118&lt;&gt;"",OR(LEFT($F1118,LEN(SC_TK))=SC_TK,LEFT($G1118,LEN(SC_TK))=SC_TK)),1,0)</f>
        <v/>
      </c>
    </row>
    <row r="1119" ht="15" customHeight="1" s="78">
      <c r="A1119" s="95">
        <f>IF($H1119="","",ROW()-6)</f>
        <v/>
      </c>
      <c r="B1119" s="114" t="n"/>
      <c r="C1119" s="102" t="n"/>
      <c r="D1119" s="114" t="n"/>
      <c r="E1119" s="103" t="n"/>
      <c r="F1119" s="102" t="n"/>
      <c r="G1119" s="102" t="n"/>
      <c r="H1119" s="115" t="n"/>
      <c r="I1119" s="102" t="n"/>
      <c r="J1119" s="102" t="n"/>
      <c r="K1119" s="103" t="n"/>
      <c r="L1119" s="116">
        <f>IF($H1119="","",TRIM(IF(COUNTIF(DMTK!$A$7:$A$250,$F1119)=0,"TK Nợ sai! ","")&amp;IF(COUNTIF(DMTK!$A$7:$A$250,$G1119)=0,"TK Có sai! ","")&amp;IF(N($H1119)&lt;=0,"Tiền phải &gt; 0! ","")&amp;IF($B1119="","Thiếu ngày! ","")&amp;IF(AND(OR(LEFT($F1119,3)="131",LEFT($G1119,3)="131",LEFT($F1119,3)="331",LEFT($G1119,3)="331"),$I1119=""),"Thiếu Mã ĐT! ","")&amp;IF(AND($I1119&lt;&gt;"",COUNTIF(DM_DT!$A$7:$A$306,$I1119)=0),"Mã ĐT chưa khai báo! ","")))</f>
        <v/>
      </c>
      <c r="M1119" s="117">
        <f>IF($H1119="","",IF(AND(OR(LEFT($F1119,3)="111",LEFT($F1119,3)="112",LEFT($F1119,3)="113"),OR(LEFT($G1119,3)="111",LEFT($G1119,3)="112",LEFT($G1119,3)="113")),"NB",IF(OR(LEFT($F1119,3)="111",LEFT($F1119,3)="112",LEFT($F1119,3)="113"),"THU",IF(OR(LEFT($G1119,3)="111",LEFT($G1119,3)="112",LEFT($G1119,3)="113"),"CHI",""))))</f>
        <v/>
      </c>
      <c r="N1119" s="117">
        <f>IF($M1119="THU",$G1119,IF($M1119="CHI",$F1119,""))</f>
        <v/>
      </c>
      <c r="O1119" s="117">
        <f>IF(OR($M1119="",$M1119="NB"),"",IF($J1119&lt;&gt;"",TEXT($J1119,"00"),IFERROR(VLOOKUP(LEFT($N1119,4),LCTT_MAP!$A$7:$C$66,IF($M1119="THU",2,3),FALSE()),IFERROR(VLOOKUP(LEFT($N1119,3),LCTT_MAP!$A$7:$C$66,IF($M1119="THU",2,3),FALSE()),IFERROR(VLOOKUP(LEFT($N1119,2),LCTT_MAP!$A$7:$C$66,IF($M1119="THU",2,3),FALSE()),IFERROR(VLOOKUP(LEFT($N1119,1),LCTT_MAP!$A$7:$C$66,IF($M1119="THU",2,3),FALSE()),IF($M1119="THU","06","07")))))))</f>
        <v/>
      </c>
      <c r="P1119" s="117">
        <f>P1118+IF(AND($H1119&lt;&gt;"",OR(LEFT($F1119,LEN(SC_TK))=SC_TK,LEFT($G1119,LEN(SC_TK))=SC_TK)),1,0)</f>
        <v/>
      </c>
    </row>
    <row r="1120" ht="15" customHeight="1" s="78">
      <c r="A1120" s="95">
        <f>IF($H1120="","",ROW()-6)</f>
        <v/>
      </c>
      <c r="B1120" s="114" t="n"/>
      <c r="C1120" s="102" t="n"/>
      <c r="D1120" s="114" t="n"/>
      <c r="E1120" s="103" t="n"/>
      <c r="F1120" s="102" t="n"/>
      <c r="G1120" s="102" t="n"/>
      <c r="H1120" s="115" t="n"/>
      <c r="I1120" s="102" t="n"/>
      <c r="J1120" s="102" t="n"/>
      <c r="K1120" s="103" t="n"/>
      <c r="L1120" s="116">
        <f>IF($H1120="","",TRIM(IF(COUNTIF(DMTK!$A$7:$A$250,$F1120)=0,"TK Nợ sai! ","")&amp;IF(COUNTIF(DMTK!$A$7:$A$250,$G1120)=0,"TK Có sai! ","")&amp;IF(N($H1120)&lt;=0,"Tiền phải &gt; 0! ","")&amp;IF($B1120="","Thiếu ngày! ","")&amp;IF(AND(OR(LEFT($F1120,3)="131",LEFT($G1120,3)="131",LEFT($F1120,3)="331",LEFT($G1120,3)="331"),$I1120=""),"Thiếu Mã ĐT! ","")&amp;IF(AND($I1120&lt;&gt;"",COUNTIF(DM_DT!$A$7:$A$306,$I1120)=0),"Mã ĐT chưa khai báo! ","")))</f>
        <v/>
      </c>
      <c r="M1120" s="117">
        <f>IF($H1120="","",IF(AND(OR(LEFT($F1120,3)="111",LEFT($F1120,3)="112",LEFT($F1120,3)="113"),OR(LEFT($G1120,3)="111",LEFT($G1120,3)="112",LEFT($G1120,3)="113")),"NB",IF(OR(LEFT($F1120,3)="111",LEFT($F1120,3)="112",LEFT($F1120,3)="113"),"THU",IF(OR(LEFT($G1120,3)="111",LEFT($G1120,3)="112",LEFT($G1120,3)="113"),"CHI",""))))</f>
        <v/>
      </c>
      <c r="N1120" s="117">
        <f>IF($M1120="THU",$G1120,IF($M1120="CHI",$F1120,""))</f>
        <v/>
      </c>
      <c r="O1120" s="117">
        <f>IF(OR($M1120="",$M1120="NB"),"",IF($J1120&lt;&gt;"",TEXT($J1120,"00"),IFERROR(VLOOKUP(LEFT($N1120,4),LCTT_MAP!$A$7:$C$66,IF($M1120="THU",2,3),FALSE()),IFERROR(VLOOKUP(LEFT($N1120,3),LCTT_MAP!$A$7:$C$66,IF($M1120="THU",2,3),FALSE()),IFERROR(VLOOKUP(LEFT($N1120,2),LCTT_MAP!$A$7:$C$66,IF($M1120="THU",2,3),FALSE()),IFERROR(VLOOKUP(LEFT($N1120,1),LCTT_MAP!$A$7:$C$66,IF($M1120="THU",2,3),FALSE()),IF($M1120="THU","06","07")))))))</f>
        <v/>
      </c>
      <c r="P1120" s="117">
        <f>P1119+IF(AND($H1120&lt;&gt;"",OR(LEFT($F1120,LEN(SC_TK))=SC_TK,LEFT($G1120,LEN(SC_TK))=SC_TK)),1,0)</f>
        <v/>
      </c>
    </row>
    <row r="1121" ht="15" customHeight="1" s="78">
      <c r="A1121" s="95">
        <f>IF($H1121="","",ROW()-6)</f>
        <v/>
      </c>
      <c r="B1121" s="114" t="n"/>
      <c r="C1121" s="102" t="n"/>
      <c r="D1121" s="114" t="n"/>
      <c r="E1121" s="103" t="n"/>
      <c r="F1121" s="102" t="n"/>
      <c r="G1121" s="102" t="n"/>
      <c r="H1121" s="115" t="n"/>
      <c r="I1121" s="102" t="n"/>
      <c r="J1121" s="102" t="n"/>
      <c r="K1121" s="103" t="n"/>
      <c r="L1121" s="116">
        <f>IF($H1121="","",TRIM(IF(COUNTIF(DMTK!$A$7:$A$250,$F1121)=0,"TK Nợ sai! ","")&amp;IF(COUNTIF(DMTK!$A$7:$A$250,$G1121)=0,"TK Có sai! ","")&amp;IF(N($H1121)&lt;=0,"Tiền phải &gt; 0! ","")&amp;IF($B1121="","Thiếu ngày! ","")&amp;IF(AND(OR(LEFT($F1121,3)="131",LEFT($G1121,3)="131",LEFT($F1121,3)="331",LEFT($G1121,3)="331"),$I1121=""),"Thiếu Mã ĐT! ","")&amp;IF(AND($I1121&lt;&gt;"",COUNTIF(DM_DT!$A$7:$A$306,$I1121)=0),"Mã ĐT chưa khai báo! ","")))</f>
        <v/>
      </c>
      <c r="M1121" s="117">
        <f>IF($H1121="","",IF(AND(OR(LEFT($F1121,3)="111",LEFT($F1121,3)="112",LEFT($F1121,3)="113"),OR(LEFT($G1121,3)="111",LEFT($G1121,3)="112",LEFT($G1121,3)="113")),"NB",IF(OR(LEFT($F1121,3)="111",LEFT($F1121,3)="112",LEFT($F1121,3)="113"),"THU",IF(OR(LEFT($G1121,3)="111",LEFT($G1121,3)="112",LEFT($G1121,3)="113"),"CHI",""))))</f>
        <v/>
      </c>
      <c r="N1121" s="117">
        <f>IF($M1121="THU",$G1121,IF($M1121="CHI",$F1121,""))</f>
        <v/>
      </c>
      <c r="O1121" s="117">
        <f>IF(OR($M1121="",$M1121="NB"),"",IF($J1121&lt;&gt;"",TEXT($J1121,"00"),IFERROR(VLOOKUP(LEFT($N1121,4),LCTT_MAP!$A$7:$C$66,IF($M1121="THU",2,3),FALSE()),IFERROR(VLOOKUP(LEFT($N1121,3),LCTT_MAP!$A$7:$C$66,IF($M1121="THU",2,3),FALSE()),IFERROR(VLOOKUP(LEFT($N1121,2),LCTT_MAP!$A$7:$C$66,IF($M1121="THU",2,3),FALSE()),IFERROR(VLOOKUP(LEFT($N1121,1),LCTT_MAP!$A$7:$C$66,IF($M1121="THU",2,3),FALSE()),IF($M1121="THU","06","07")))))))</f>
        <v/>
      </c>
      <c r="P1121" s="117">
        <f>P1120+IF(AND($H1121&lt;&gt;"",OR(LEFT($F1121,LEN(SC_TK))=SC_TK,LEFT($G1121,LEN(SC_TK))=SC_TK)),1,0)</f>
        <v/>
      </c>
    </row>
    <row r="1122" ht="15" customHeight="1" s="78">
      <c r="A1122" s="95">
        <f>IF($H1122="","",ROW()-6)</f>
        <v/>
      </c>
      <c r="B1122" s="114" t="n"/>
      <c r="C1122" s="102" t="n"/>
      <c r="D1122" s="114" t="n"/>
      <c r="E1122" s="103" t="n"/>
      <c r="F1122" s="102" t="n"/>
      <c r="G1122" s="102" t="n"/>
      <c r="H1122" s="115" t="n"/>
      <c r="I1122" s="102" t="n"/>
      <c r="J1122" s="102" t="n"/>
      <c r="K1122" s="103" t="n"/>
      <c r="L1122" s="116">
        <f>IF($H1122="","",TRIM(IF(COUNTIF(DMTK!$A$7:$A$250,$F1122)=0,"TK Nợ sai! ","")&amp;IF(COUNTIF(DMTK!$A$7:$A$250,$G1122)=0,"TK Có sai! ","")&amp;IF(N($H1122)&lt;=0,"Tiền phải &gt; 0! ","")&amp;IF($B1122="","Thiếu ngày! ","")&amp;IF(AND(OR(LEFT($F1122,3)="131",LEFT($G1122,3)="131",LEFT($F1122,3)="331",LEFT($G1122,3)="331"),$I1122=""),"Thiếu Mã ĐT! ","")&amp;IF(AND($I1122&lt;&gt;"",COUNTIF(DM_DT!$A$7:$A$306,$I1122)=0),"Mã ĐT chưa khai báo! ","")))</f>
        <v/>
      </c>
      <c r="M1122" s="117">
        <f>IF($H1122="","",IF(AND(OR(LEFT($F1122,3)="111",LEFT($F1122,3)="112",LEFT($F1122,3)="113"),OR(LEFT($G1122,3)="111",LEFT($G1122,3)="112",LEFT($G1122,3)="113")),"NB",IF(OR(LEFT($F1122,3)="111",LEFT($F1122,3)="112",LEFT($F1122,3)="113"),"THU",IF(OR(LEFT($G1122,3)="111",LEFT($G1122,3)="112",LEFT($G1122,3)="113"),"CHI",""))))</f>
        <v/>
      </c>
      <c r="N1122" s="117">
        <f>IF($M1122="THU",$G1122,IF($M1122="CHI",$F1122,""))</f>
        <v/>
      </c>
      <c r="O1122" s="117">
        <f>IF(OR($M1122="",$M1122="NB"),"",IF($J1122&lt;&gt;"",TEXT($J1122,"00"),IFERROR(VLOOKUP(LEFT($N1122,4),LCTT_MAP!$A$7:$C$66,IF($M1122="THU",2,3),FALSE()),IFERROR(VLOOKUP(LEFT($N1122,3),LCTT_MAP!$A$7:$C$66,IF($M1122="THU",2,3),FALSE()),IFERROR(VLOOKUP(LEFT($N1122,2),LCTT_MAP!$A$7:$C$66,IF($M1122="THU",2,3),FALSE()),IFERROR(VLOOKUP(LEFT($N1122,1),LCTT_MAP!$A$7:$C$66,IF($M1122="THU",2,3),FALSE()),IF($M1122="THU","06","07")))))))</f>
        <v/>
      </c>
      <c r="P1122" s="117">
        <f>P1121+IF(AND($H1122&lt;&gt;"",OR(LEFT($F1122,LEN(SC_TK))=SC_TK,LEFT($G1122,LEN(SC_TK))=SC_TK)),1,0)</f>
        <v/>
      </c>
    </row>
    <row r="1123" ht="15" customHeight="1" s="78">
      <c r="A1123" s="95">
        <f>IF($H1123="","",ROW()-6)</f>
        <v/>
      </c>
      <c r="B1123" s="114" t="n"/>
      <c r="C1123" s="102" t="n"/>
      <c r="D1123" s="114" t="n"/>
      <c r="E1123" s="103" t="n"/>
      <c r="F1123" s="102" t="n"/>
      <c r="G1123" s="102" t="n"/>
      <c r="H1123" s="115" t="n"/>
      <c r="I1123" s="102" t="n"/>
      <c r="J1123" s="102" t="n"/>
      <c r="K1123" s="103" t="n"/>
      <c r="L1123" s="116">
        <f>IF($H1123="","",TRIM(IF(COUNTIF(DMTK!$A$7:$A$250,$F1123)=0,"TK Nợ sai! ","")&amp;IF(COUNTIF(DMTK!$A$7:$A$250,$G1123)=0,"TK Có sai! ","")&amp;IF(N($H1123)&lt;=0,"Tiền phải &gt; 0! ","")&amp;IF($B1123="","Thiếu ngày! ","")&amp;IF(AND(OR(LEFT($F1123,3)="131",LEFT($G1123,3)="131",LEFT($F1123,3)="331",LEFT($G1123,3)="331"),$I1123=""),"Thiếu Mã ĐT! ","")&amp;IF(AND($I1123&lt;&gt;"",COUNTIF(DM_DT!$A$7:$A$306,$I1123)=0),"Mã ĐT chưa khai báo! ","")))</f>
        <v/>
      </c>
      <c r="M1123" s="117">
        <f>IF($H1123="","",IF(AND(OR(LEFT($F1123,3)="111",LEFT($F1123,3)="112",LEFT($F1123,3)="113"),OR(LEFT($G1123,3)="111",LEFT($G1123,3)="112",LEFT($G1123,3)="113")),"NB",IF(OR(LEFT($F1123,3)="111",LEFT($F1123,3)="112",LEFT($F1123,3)="113"),"THU",IF(OR(LEFT($G1123,3)="111",LEFT($G1123,3)="112",LEFT($G1123,3)="113"),"CHI",""))))</f>
        <v/>
      </c>
      <c r="N1123" s="117">
        <f>IF($M1123="THU",$G1123,IF($M1123="CHI",$F1123,""))</f>
        <v/>
      </c>
      <c r="O1123" s="117">
        <f>IF(OR($M1123="",$M1123="NB"),"",IF($J1123&lt;&gt;"",TEXT($J1123,"00"),IFERROR(VLOOKUP(LEFT($N1123,4),LCTT_MAP!$A$7:$C$66,IF($M1123="THU",2,3),FALSE()),IFERROR(VLOOKUP(LEFT($N1123,3),LCTT_MAP!$A$7:$C$66,IF($M1123="THU",2,3),FALSE()),IFERROR(VLOOKUP(LEFT($N1123,2),LCTT_MAP!$A$7:$C$66,IF($M1123="THU",2,3),FALSE()),IFERROR(VLOOKUP(LEFT($N1123,1),LCTT_MAP!$A$7:$C$66,IF($M1123="THU",2,3),FALSE()),IF($M1123="THU","06","07")))))))</f>
        <v/>
      </c>
      <c r="P1123" s="117">
        <f>P1122+IF(AND($H1123&lt;&gt;"",OR(LEFT($F1123,LEN(SC_TK))=SC_TK,LEFT($G1123,LEN(SC_TK))=SC_TK)),1,0)</f>
        <v/>
      </c>
    </row>
    <row r="1124" ht="15" customHeight="1" s="78">
      <c r="A1124" s="95">
        <f>IF($H1124="","",ROW()-6)</f>
        <v/>
      </c>
      <c r="B1124" s="114" t="n"/>
      <c r="C1124" s="102" t="n"/>
      <c r="D1124" s="114" t="n"/>
      <c r="E1124" s="103" t="n"/>
      <c r="F1124" s="102" t="n"/>
      <c r="G1124" s="102" t="n"/>
      <c r="H1124" s="115" t="n"/>
      <c r="I1124" s="102" t="n"/>
      <c r="J1124" s="102" t="n"/>
      <c r="K1124" s="103" t="n"/>
      <c r="L1124" s="116">
        <f>IF($H1124="","",TRIM(IF(COUNTIF(DMTK!$A$7:$A$250,$F1124)=0,"TK Nợ sai! ","")&amp;IF(COUNTIF(DMTK!$A$7:$A$250,$G1124)=0,"TK Có sai! ","")&amp;IF(N($H1124)&lt;=0,"Tiền phải &gt; 0! ","")&amp;IF($B1124="","Thiếu ngày! ","")&amp;IF(AND(OR(LEFT($F1124,3)="131",LEFT($G1124,3)="131",LEFT($F1124,3)="331",LEFT($G1124,3)="331"),$I1124=""),"Thiếu Mã ĐT! ","")&amp;IF(AND($I1124&lt;&gt;"",COUNTIF(DM_DT!$A$7:$A$306,$I1124)=0),"Mã ĐT chưa khai báo! ","")))</f>
        <v/>
      </c>
      <c r="M1124" s="117">
        <f>IF($H1124="","",IF(AND(OR(LEFT($F1124,3)="111",LEFT($F1124,3)="112",LEFT($F1124,3)="113"),OR(LEFT($G1124,3)="111",LEFT($G1124,3)="112",LEFT($G1124,3)="113")),"NB",IF(OR(LEFT($F1124,3)="111",LEFT($F1124,3)="112",LEFT($F1124,3)="113"),"THU",IF(OR(LEFT($G1124,3)="111",LEFT($G1124,3)="112",LEFT($G1124,3)="113"),"CHI",""))))</f>
        <v/>
      </c>
      <c r="N1124" s="117">
        <f>IF($M1124="THU",$G1124,IF($M1124="CHI",$F1124,""))</f>
        <v/>
      </c>
      <c r="O1124" s="117">
        <f>IF(OR($M1124="",$M1124="NB"),"",IF($J1124&lt;&gt;"",TEXT($J1124,"00"),IFERROR(VLOOKUP(LEFT($N1124,4),LCTT_MAP!$A$7:$C$66,IF($M1124="THU",2,3),FALSE()),IFERROR(VLOOKUP(LEFT($N1124,3),LCTT_MAP!$A$7:$C$66,IF($M1124="THU",2,3),FALSE()),IFERROR(VLOOKUP(LEFT($N1124,2),LCTT_MAP!$A$7:$C$66,IF($M1124="THU",2,3),FALSE()),IFERROR(VLOOKUP(LEFT($N1124,1),LCTT_MAP!$A$7:$C$66,IF($M1124="THU",2,3),FALSE()),IF($M1124="THU","06","07")))))))</f>
        <v/>
      </c>
      <c r="P1124" s="117">
        <f>P1123+IF(AND($H1124&lt;&gt;"",OR(LEFT($F1124,LEN(SC_TK))=SC_TK,LEFT($G1124,LEN(SC_TK))=SC_TK)),1,0)</f>
        <v/>
      </c>
    </row>
    <row r="1125" ht="15" customHeight="1" s="78">
      <c r="A1125" s="95">
        <f>IF($H1125="","",ROW()-6)</f>
        <v/>
      </c>
      <c r="B1125" s="114" t="n"/>
      <c r="C1125" s="102" t="n"/>
      <c r="D1125" s="114" t="n"/>
      <c r="E1125" s="103" t="n"/>
      <c r="F1125" s="102" t="n"/>
      <c r="G1125" s="102" t="n"/>
      <c r="H1125" s="115" t="n"/>
      <c r="I1125" s="102" t="n"/>
      <c r="J1125" s="102" t="n"/>
      <c r="K1125" s="103" t="n"/>
      <c r="L1125" s="116">
        <f>IF($H1125="","",TRIM(IF(COUNTIF(DMTK!$A$7:$A$250,$F1125)=0,"TK Nợ sai! ","")&amp;IF(COUNTIF(DMTK!$A$7:$A$250,$G1125)=0,"TK Có sai! ","")&amp;IF(N($H1125)&lt;=0,"Tiền phải &gt; 0! ","")&amp;IF($B1125="","Thiếu ngày! ","")&amp;IF(AND(OR(LEFT($F1125,3)="131",LEFT($G1125,3)="131",LEFT($F1125,3)="331",LEFT($G1125,3)="331"),$I1125=""),"Thiếu Mã ĐT! ","")&amp;IF(AND($I1125&lt;&gt;"",COUNTIF(DM_DT!$A$7:$A$306,$I1125)=0),"Mã ĐT chưa khai báo! ","")))</f>
        <v/>
      </c>
      <c r="M1125" s="117">
        <f>IF($H1125="","",IF(AND(OR(LEFT($F1125,3)="111",LEFT($F1125,3)="112",LEFT($F1125,3)="113"),OR(LEFT($G1125,3)="111",LEFT($G1125,3)="112",LEFT($G1125,3)="113")),"NB",IF(OR(LEFT($F1125,3)="111",LEFT($F1125,3)="112",LEFT($F1125,3)="113"),"THU",IF(OR(LEFT($G1125,3)="111",LEFT($G1125,3)="112",LEFT($G1125,3)="113"),"CHI",""))))</f>
        <v/>
      </c>
      <c r="N1125" s="117">
        <f>IF($M1125="THU",$G1125,IF($M1125="CHI",$F1125,""))</f>
        <v/>
      </c>
      <c r="O1125" s="117">
        <f>IF(OR($M1125="",$M1125="NB"),"",IF($J1125&lt;&gt;"",TEXT($J1125,"00"),IFERROR(VLOOKUP(LEFT($N1125,4),LCTT_MAP!$A$7:$C$66,IF($M1125="THU",2,3),FALSE()),IFERROR(VLOOKUP(LEFT($N1125,3),LCTT_MAP!$A$7:$C$66,IF($M1125="THU",2,3),FALSE()),IFERROR(VLOOKUP(LEFT($N1125,2),LCTT_MAP!$A$7:$C$66,IF($M1125="THU",2,3),FALSE()),IFERROR(VLOOKUP(LEFT($N1125,1),LCTT_MAP!$A$7:$C$66,IF($M1125="THU",2,3),FALSE()),IF($M1125="THU","06","07")))))))</f>
        <v/>
      </c>
      <c r="P1125" s="117">
        <f>P1124+IF(AND($H1125&lt;&gt;"",OR(LEFT($F1125,LEN(SC_TK))=SC_TK,LEFT($G1125,LEN(SC_TK))=SC_TK)),1,0)</f>
        <v/>
      </c>
    </row>
    <row r="1126" ht="15" customHeight="1" s="78">
      <c r="A1126" s="95">
        <f>IF($H1126="","",ROW()-6)</f>
        <v/>
      </c>
      <c r="B1126" s="114" t="n"/>
      <c r="C1126" s="102" t="n"/>
      <c r="D1126" s="114" t="n"/>
      <c r="E1126" s="103" t="n"/>
      <c r="F1126" s="102" t="n"/>
      <c r="G1126" s="102" t="n"/>
      <c r="H1126" s="115" t="n"/>
      <c r="I1126" s="102" t="n"/>
      <c r="J1126" s="102" t="n"/>
      <c r="K1126" s="103" t="n"/>
      <c r="L1126" s="116">
        <f>IF($H1126="","",TRIM(IF(COUNTIF(DMTK!$A$7:$A$250,$F1126)=0,"TK Nợ sai! ","")&amp;IF(COUNTIF(DMTK!$A$7:$A$250,$G1126)=0,"TK Có sai! ","")&amp;IF(N($H1126)&lt;=0,"Tiền phải &gt; 0! ","")&amp;IF($B1126="","Thiếu ngày! ","")&amp;IF(AND(OR(LEFT($F1126,3)="131",LEFT($G1126,3)="131",LEFT($F1126,3)="331",LEFT($G1126,3)="331"),$I1126=""),"Thiếu Mã ĐT! ","")&amp;IF(AND($I1126&lt;&gt;"",COUNTIF(DM_DT!$A$7:$A$306,$I1126)=0),"Mã ĐT chưa khai báo! ","")))</f>
        <v/>
      </c>
      <c r="M1126" s="117">
        <f>IF($H1126="","",IF(AND(OR(LEFT($F1126,3)="111",LEFT($F1126,3)="112",LEFT($F1126,3)="113"),OR(LEFT($G1126,3)="111",LEFT($G1126,3)="112",LEFT($G1126,3)="113")),"NB",IF(OR(LEFT($F1126,3)="111",LEFT($F1126,3)="112",LEFT($F1126,3)="113"),"THU",IF(OR(LEFT($G1126,3)="111",LEFT($G1126,3)="112",LEFT($G1126,3)="113"),"CHI",""))))</f>
        <v/>
      </c>
      <c r="N1126" s="117">
        <f>IF($M1126="THU",$G1126,IF($M1126="CHI",$F1126,""))</f>
        <v/>
      </c>
      <c r="O1126" s="117">
        <f>IF(OR($M1126="",$M1126="NB"),"",IF($J1126&lt;&gt;"",TEXT($J1126,"00"),IFERROR(VLOOKUP(LEFT($N1126,4),LCTT_MAP!$A$7:$C$66,IF($M1126="THU",2,3),FALSE()),IFERROR(VLOOKUP(LEFT($N1126,3),LCTT_MAP!$A$7:$C$66,IF($M1126="THU",2,3),FALSE()),IFERROR(VLOOKUP(LEFT($N1126,2),LCTT_MAP!$A$7:$C$66,IF($M1126="THU",2,3),FALSE()),IFERROR(VLOOKUP(LEFT($N1126,1),LCTT_MAP!$A$7:$C$66,IF($M1126="THU",2,3),FALSE()),IF($M1126="THU","06","07")))))))</f>
        <v/>
      </c>
      <c r="P1126" s="117">
        <f>P1125+IF(AND($H1126&lt;&gt;"",OR(LEFT($F1126,LEN(SC_TK))=SC_TK,LEFT($G1126,LEN(SC_TK))=SC_TK)),1,0)</f>
        <v/>
      </c>
    </row>
    <row r="1127" ht="15" customHeight="1" s="78">
      <c r="A1127" s="95">
        <f>IF($H1127="","",ROW()-6)</f>
        <v/>
      </c>
      <c r="B1127" s="114" t="n"/>
      <c r="C1127" s="102" t="n"/>
      <c r="D1127" s="114" t="n"/>
      <c r="E1127" s="103" t="n"/>
      <c r="F1127" s="102" t="n"/>
      <c r="G1127" s="102" t="n"/>
      <c r="H1127" s="115" t="n"/>
      <c r="I1127" s="102" t="n"/>
      <c r="J1127" s="102" t="n"/>
      <c r="K1127" s="103" t="n"/>
      <c r="L1127" s="116">
        <f>IF($H1127="","",TRIM(IF(COUNTIF(DMTK!$A$7:$A$250,$F1127)=0,"TK Nợ sai! ","")&amp;IF(COUNTIF(DMTK!$A$7:$A$250,$G1127)=0,"TK Có sai! ","")&amp;IF(N($H1127)&lt;=0,"Tiền phải &gt; 0! ","")&amp;IF($B1127="","Thiếu ngày! ","")&amp;IF(AND(OR(LEFT($F1127,3)="131",LEFT($G1127,3)="131",LEFT($F1127,3)="331",LEFT($G1127,3)="331"),$I1127=""),"Thiếu Mã ĐT! ","")&amp;IF(AND($I1127&lt;&gt;"",COUNTIF(DM_DT!$A$7:$A$306,$I1127)=0),"Mã ĐT chưa khai báo! ","")))</f>
        <v/>
      </c>
      <c r="M1127" s="117">
        <f>IF($H1127="","",IF(AND(OR(LEFT($F1127,3)="111",LEFT($F1127,3)="112",LEFT($F1127,3)="113"),OR(LEFT($G1127,3)="111",LEFT($G1127,3)="112",LEFT($G1127,3)="113")),"NB",IF(OR(LEFT($F1127,3)="111",LEFT($F1127,3)="112",LEFT($F1127,3)="113"),"THU",IF(OR(LEFT($G1127,3)="111",LEFT($G1127,3)="112",LEFT($G1127,3)="113"),"CHI",""))))</f>
        <v/>
      </c>
      <c r="N1127" s="117">
        <f>IF($M1127="THU",$G1127,IF($M1127="CHI",$F1127,""))</f>
        <v/>
      </c>
      <c r="O1127" s="117">
        <f>IF(OR($M1127="",$M1127="NB"),"",IF($J1127&lt;&gt;"",TEXT($J1127,"00"),IFERROR(VLOOKUP(LEFT($N1127,4),LCTT_MAP!$A$7:$C$66,IF($M1127="THU",2,3),FALSE()),IFERROR(VLOOKUP(LEFT($N1127,3),LCTT_MAP!$A$7:$C$66,IF($M1127="THU",2,3),FALSE()),IFERROR(VLOOKUP(LEFT($N1127,2),LCTT_MAP!$A$7:$C$66,IF($M1127="THU",2,3),FALSE()),IFERROR(VLOOKUP(LEFT($N1127,1),LCTT_MAP!$A$7:$C$66,IF($M1127="THU",2,3),FALSE()),IF($M1127="THU","06","07")))))))</f>
        <v/>
      </c>
      <c r="P1127" s="117">
        <f>P1126+IF(AND($H1127&lt;&gt;"",OR(LEFT($F1127,LEN(SC_TK))=SC_TK,LEFT($G1127,LEN(SC_TK))=SC_TK)),1,0)</f>
        <v/>
      </c>
    </row>
    <row r="1128" ht="15" customHeight="1" s="78">
      <c r="A1128" s="95">
        <f>IF($H1128="","",ROW()-6)</f>
        <v/>
      </c>
      <c r="B1128" s="114" t="n"/>
      <c r="C1128" s="102" t="n"/>
      <c r="D1128" s="114" t="n"/>
      <c r="E1128" s="103" t="n"/>
      <c r="F1128" s="102" t="n"/>
      <c r="G1128" s="102" t="n"/>
      <c r="H1128" s="115" t="n"/>
      <c r="I1128" s="102" t="n"/>
      <c r="J1128" s="102" t="n"/>
      <c r="K1128" s="103" t="n"/>
      <c r="L1128" s="116">
        <f>IF($H1128="","",TRIM(IF(COUNTIF(DMTK!$A$7:$A$250,$F1128)=0,"TK Nợ sai! ","")&amp;IF(COUNTIF(DMTK!$A$7:$A$250,$G1128)=0,"TK Có sai! ","")&amp;IF(N($H1128)&lt;=0,"Tiền phải &gt; 0! ","")&amp;IF($B1128="","Thiếu ngày! ","")&amp;IF(AND(OR(LEFT($F1128,3)="131",LEFT($G1128,3)="131",LEFT($F1128,3)="331",LEFT($G1128,3)="331"),$I1128=""),"Thiếu Mã ĐT! ","")&amp;IF(AND($I1128&lt;&gt;"",COUNTIF(DM_DT!$A$7:$A$306,$I1128)=0),"Mã ĐT chưa khai báo! ","")))</f>
        <v/>
      </c>
      <c r="M1128" s="117">
        <f>IF($H1128="","",IF(AND(OR(LEFT($F1128,3)="111",LEFT($F1128,3)="112",LEFT($F1128,3)="113"),OR(LEFT($G1128,3)="111",LEFT($G1128,3)="112",LEFT($G1128,3)="113")),"NB",IF(OR(LEFT($F1128,3)="111",LEFT($F1128,3)="112",LEFT($F1128,3)="113"),"THU",IF(OR(LEFT($G1128,3)="111",LEFT($G1128,3)="112",LEFT($G1128,3)="113"),"CHI",""))))</f>
        <v/>
      </c>
      <c r="N1128" s="117">
        <f>IF($M1128="THU",$G1128,IF($M1128="CHI",$F1128,""))</f>
        <v/>
      </c>
      <c r="O1128" s="117">
        <f>IF(OR($M1128="",$M1128="NB"),"",IF($J1128&lt;&gt;"",TEXT($J1128,"00"),IFERROR(VLOOKUP(LEFT($N1128,4),LCTT_MAP!$A$7:$C$66,IF($M1128="THU",2,3),FALSE()),IFERROR(VLOOKUP(LEFT($N1128,3),LCTT_MAP!$A$7:$C$66,IF($M1128="THU",2,3),FALSE()),IFERROR(VLOOKUP(LEFT($N1128,2),LCTT_MAP!$A$7:$C$66,IF($M1128="THU",2,3),FALSE()),IFERROR(VLOOKUP(LEFT($N1128,1),LCTT_MAP!$A$7:$C$66,IF($M1128="THU",2,3),FALSE()),IF($M1128="THU","06","07")))))))</f>
        <v/>
      </c>
      <c r="P1128" s="117">
        <f>P1127+IF(AND($H1128&lt;&gt;"",OR(LEFT($F1128,LEN(SC_TK))=SC_TK,LEFT($G1128,LEN(SC_TK))=SC_TK)),1,0)</f>
        <v/>
      </c>
    </row>
    <row r="1129" ht="15" customHeight="1" s="78">
      <c r="A1129" s="95">
        <f>IF($H1129="","",ROW()-6)</f>
        <v/>
      </c>
      <c r="B1129" s="114" t="n"/>
      <c r="C1129" s="102" t="n"/>
      <c r="D1129" s="114" t="n"/>
      <c r="E1129" s="103" t="n"/>
      <c r="F1129" s="102" t="n"/>
      <c r="G1129" s="102" t="n"/>
      <c r="H1129" s="115" t="n"/>
      <c r="I1129" s="102" t="n"/>
      <c r="J1129" s="102" t="n"/>
      <c r="K1129" s="103" t="n"/>
      <c r="L1129" s="116">
        <f>IF($H1129="","",TRIM(IF(COUNTIF(DMTK!$A$7:$A$250,$F1129)=0,"TK Nợ sai! ","")&amp;IF(COUNTIF(DMTK!$A$7:$A$250,$G1129)=0,"TK Có sai! ","")&amp;IF(N($H1129)&lt;=0,"Tiền phải &gt; 0! ","")&amp;IF($B1129="","Thiếu ngày! ","")&amp;IF(AND(OR(LEFT($F1129,3)="131",LEFT($G1129,3)="131",LEFT($F1129,3)="331",LEFT($G1129,3)="331"),$I1129=""),"Thiếu Mã ĐT! ","")&amp;IF(AND($I1129&lt;&gt;"",COUNTIF(DM_DT!$A$7:$A$306,$I1129)=0),"Mã ĐT chưa khai báo! ","")))</f>
        <v/>
      </c>
      <c r="M1129" s="117">
        <f>IF($H1129="","",IF(AND(OR(LEFT($F1129,3)="111",LEFT($F1129,3)="112",LEFT($F1129,3)="113"),OR(LEFT($G1129,3)="111",LEFT($G1129,3)="112",LEFT($G1129,3)="113")),"NB",IF(OR(LEFT($F1129,3)="111",LEFT($F1129,3)="112",LEFT($F1129,3)="113"),"THU",IF(OR(LEFT($G1129,3)="111",LEFT($G1129,3)="112",LEFT($G1129,3)="113"),"CHI",""))))</f>
        <v/>
      </c>
      <c r="N1129" s="117">
        <f>IF($M1129="THU",$G1129,IF($M1129="CHI",$F1129,""))</f>
        <v/>
      </c>
      <c r="O1129" s="117">
        <f>IF(OR($M1129="",$M1129="NB"),"",IF($J1129&lt;&gt;"",TEXT($J1129,"00"),IFERROR(VLOOKUP(LEFT($N1129,4),LCTT_MAP!$A$7:$C$66,IF($M1129="THU",2,3),FALSE()),IFERROR(VLOOKUP(LEFT($N1129,3),LCTT_MAP!$A$7:$C$66,IF($M1129="THU",2,3),FALSE()),IFERROR(VLOOKUP(LEFT($N1129,2),LCTT_MAP!$A$7:$C$66,IF($M1129="THU",2,3),FALSE()),IFERROR(VLOOKUP(LEFT($N1129,1),LCTT_MAP!$A$7:$C$66,IF($M1129="THU",2,3),FALSE()),IF($M1129="THU","06","07")))))))</f>
        <v/>
      </c>
      <c r="P1129" s="117">
        <f>P1128+IF(AND($H1129&lt;&gt;"",OR(LEFT($F1129,LEN(SC_TK))=SC_TK,LEFT($G1129,LEN(SC_TK))=SC_TK)),1,0)</f>
        <v/>
      </c>
    </row>
    <row r="1130" ht="15" customHeight="1" s="78">
      <c r="A1130" s="95">
        <f>IF($H1130="","",ROW()-6)</f>
        <v/>
      </c>
      <c r="B1130" s="114" t="n"/>
      <c r="C1130" s="102" t="n"/>
      <c r="D1130" s="114" t="n"/>
      <c r="E1130" s="103" t="n"/>
      <c r="F1130" s="102" t="n"/>
      <c r="G1130" s="102" t="n"/>
      <c r="H1130" s="115" t="n"/>
      <c r="I1130" s="102" t="n"/>
      <c r="J1130" s="102" t="n"/>
      <c r="K1130" s="103" t="n"/>
      <c r="L1130" s="116">
        <f>IF($H1130="","",TRIM(IF(COUNTIF(DMTK!$A$7:$A$250,$F1130)=0,"TK Nợ sai! ","")&amp;IF(COUNTIF(DMTK!$A$7:$A$250,$G1130)=0,"TK Có sai! ","")&amp;IF(N($H1130)&lt;=0,"Tiền phải &gt; 0! ","")&amp;IF($B1130="","Thiếu ngày! ","")&amp;IF(AND(OR(LEFT($F1130,3)="131",LEFT($G1130,3)="131",LEFT($F1130,3)="331",LEFT($G1130,3)="331"),$I1130=""),"Thiếu Mã ĐT! ","")&amp;IF(AND($I1130&lt;&gt;"",COUNTIF(DM_DT!$A$7:$A$306,$I1130)=0),"Mã ĐT chưa khai báo! ","")))</f>
        <v/>
      </c>
      <c r="M1130" s="117">
        <f>IF($H1130="","",IF(AND(OR(LEFT($F1130,3)="111",LEFT($F1130,3)="112",LEFT($F1130,3)="113"),OR(LEFT($G1130,3)="111",LEFT($G1130,3)="112",LEFT($G1130,3)="113")),"NB",IF(OR(LEFT($F1130,3)="111",LEFT($F1130,3)="112",LEFT($F1130,3)="113"),"THU",IF(OR(LEFT($G1130,3)="111",LEFT($G1130,3)="112",LEFT($G1130,3)="113"),"CHI",""))))</f>
        <v/>
      </c>
      <c r="N1130" s="117">
        <f>IF($M1130="THU",$G1130,IF($M1130="CHI",$F1130,""))</f>
        <v/>
      </c>
      <c r="O1130" s="117">
        <f>IF(OR($M1130="",$M1130="NB"),"",IF($J1130&lt;&gt;"",TEXT($J1130,"00"),IFERROR(VLOOKUP(LEFT($N1130,4),LCTT_MAP!$A$7:$C$66,IF($M1130="THU",2,3),FALSE()),IFERROR(VLOOKUP(LEFT($N1130,3),LCTT_MAP!$A$7:$C$66,IF($M1130="THU",2,3),FALSE()),IFERROR(VLOOKUP(LEFT($N1130,2),LCTT_MAP!$A$7:$C$66,IF($M1130="THU",2,3),FALSE()),IFERROR(VLOOKUP(LEFT($N1130,1),LCTT_MAP!$A$7:$C$66,IF($M1130="THU",2,3),FALSE()),IF($M1130="THU","06","07")))))))</f>
        <v/>
      </c>
      <c r="P1130" s="117">
        <f>P1129+IF(AND($H1130&lt;&gt;"",OR(LEFT($F1130,LEN(SC_TK))=SC_TK,LEFT($G1130,LEN(SC_TK))=SC_TK)),1,0)</f>
        <v/>
      </c>
    </row>
    <row r="1131" ht="15" customHeight="1" s="78">
      <c r="A1131" s="95">
        <f>IF($H1131="","",ROW()-6)</f>
        <v/>
      </c>
      <c r="B1131" s="114" t="n"/>
      <c r="C1131" s="102" t="n"/>
      <c r="D1131" s="114" t="n"/>
      <c r="E1131" s="103" t="n"/>
      <c r="F1131" s="102" t="n"/>
      <c r="G1131" s="102" t="n"/>
      <c r="H1131" s="115" t="n"/>
      <c r="I1131" s="102" t="n"/>
      <c r="J1131" s="102" t="n"/>
      <c r="K1131" s="103" t="n"/>
      <c r="L1131" s="116">
        <f>IF($H1131="","",TRIM(IF(COUNTIF(DMTK!$A$7:$A$250,$F1131)=0,"TK Nợ sai! ","")&amp;IF(COUNTIF(DMTK!$A$7:$A$250,$G1131)=0,"TK Có sai! ","")&amp;IF(N($H1131)&lt;=0,"Tiền phải &gt; 0! ","")&amp;IF($B1131="","Thiếu ngày! ","")&amp;IF(AND(OR(LEFT($F1131,3)="131",LEFT($G1131,3)="131",LEFT($F1131,3)="331",LEFT($G1131,3)="331"),$I1131=""),"Thiếu Mã ĐT! ","")&amp;IF(AND($I1131&lt;&gt;"",COUNTIF(DM_DT!$A$7:$A$306,$I1131)=0),"Mã ĐT chưa khai báo! ","")))</f>
        <v/>
      </c>
      <c r="M1131" s="117">
        <f>IF($H1131="","",IF(AND(OR(LEFT($F1131,3)="111",LEFT($F1131,3)="112",LEFT($F1131,3)="113"),OR(LEFT($G1131,3)="111",LEFT($G1131,3)="112",LEFT($G1131,3)="113")),"NB",IF(OR(LEFT($F1131,3)="111",LEFT($F1131,3)="112",LEFT($F1131,3)="113"),"THU",IF(OR(LEFT($G1131,3)="111",LEFT($G1131,3)="112",LEFT($G1131,3)="113"),"CHI",""))))</f>
        <v/>
      </c>
      <c r="N1131" s="117">
        <f>IF($M1131="THU",$G1131,IF($M1131="CHI",$F1131,""))</f>
        <v/>
      </c>
      <c r="O1131" s="117">
        <f>IF(OR($M1131="",$M1131="NB"),"",IF($J1131&lt;&gt;"",TEXT($J1131,"00"),IFERROR(VLOOKUP(LEFT($N1131,4),LCTT_MAP!$A$7:$C$66,IF($M1131="THU",2,3),FALSE()),IFERROR(VLOOKUP(LEFT($N1131,3),LCTT_MAP!$A$7:$C$66,IF($M1131="THU",2,3),FALSE()),IFERROR(VLOOKUP(LEFT($N1131,2),LCTT_MAP!$A$7:$C$66,IF($M1131="THU",2,3),FALSE()),IFERROR(VLOOKUP(LEFT($N1131,1),LCTT_MAP!$A$7:$C$66,IF($M1131="THU",2,3),FALSE()),IF($M1131="THU","06","07")))))))</f>
        <v/>
      </c>
      <c r="P1131" s="117">
        <f>P1130+IF(AND($H1131&lt;&gt;"",OR(LEFT($F1131,LEN(SC_TK))=SC_TK,LEFT($G1131,LEN(SC_TK))=SC_TK)),1,0)</f>
        <v/>
      </c>
    </row>
    <row r="1132" ht="15" customHeight="1" s="78">
      <c r="A1132" s="95">
        <f>IF($H1132="","",ROW()-6)</f>
        <v/>
      </c>
      <c r="B1132" s="114" t="n"/>
      <c r="C1132" s="102" t="n"/>
      <c r="D1132" s="114" t="n"/>
      <c r="E1132" s="103" t="n"/>
      <c r="F1132" s="102" t="n"/>
      <c r="G1132" s="102" t="n"/>
      <c r="H1132" s="115" t="n"/>
      <c r="I1132" s="102" t="n"/>
      <c r="J1132" s="102" t="n"/>
      <c r="K1132" s="103" t="n"/>
      <c r="L1132" s="116">
        <f>IF($H1132="","",TRIM(IF(COUNTIF(DMTK!$A$7:$A$250,$F1132)=0,"TK Nợ sai! ","")&amp;IF(COUNTIF(DMTK!$A$7:$A$250,$G1132)=0,"TK Có sai! ","")&amp;IF(N($H1132)&lt;=0,"Tiền phải &gt; 0! ","")&amp;IF($B1132="","Thiếu ngày! ","")&amp;IF(AND(OR(LEFT($F1132,3)="131",LEFT($G1132,3)="131",LEFT($F1132,3)="331",LEFT($G1132,3)="331"),$I1132=""),"Thiếu Mã ĐT! ","")&amp;IF(AND($I1132&lt;&gt;"",COUNTIF(DM_DT!$A$7:$A$306,$I1132)=0),"Mã ĐT chưa khai báo! ","")))</f>
        <v/>
      </c>
      <c r="M1132" s="117">
        <f>IF($H1132="","",IF(AND(OR(LEFT($F1132,3)="111",LEFT($F1132,3)="112",LEFT($F1132,3)="113"),OR(LEFT($G1132,3)="111",LEFT($G1132,3)="112",LEFT($G1132,3)="113")),"NB",IF(OR(LEFT($F1132,3)="111",LEFT($F1132,3)="112",LEFT($F1132,3)="113"),"THU",IF(OR(LEFT($G1132,3)="111",LEFT($G1132,3)="112",LEFT($G1132,3)="113"),"CHI",""))))</f>
        <v/>
      </c>
      <c r="N1132" s="117">
        <f>IF($M1132="THU",$G1132,IF($M1132="CHI",$F1132,""))</f>
        <v/>
      </c>
      <c r="O1132" s="117">
        <f>IF(OR($M1132="",$M1132="NB"),"",IF($J1132&lt;&gt;"",TEXT($J1132,"00"),IFERROR(VLOOKUP(LEFT($N1132,4),LCTT_MAP!$A$7:$C$66,IF($M1132="THU",2,3),FALSE()),IFERROR(VLOOKUP(LEFT($N1132,3),LCTT_MAP!$A$7:$C$66,IF($M1132="THU",2,3),FALSE()),IFERROR(VLOOKUP(LEFT($N1132,2),LCTT_MAP!$A$7:$C$66,IF($M1132="THU",2,3),FALSE()),IFERROR(VLOOKUP(LEFT($N1132,1),LCTT_MAP!$A$7:$C$66,IF($M1132="THU",2,3),FALSE()),IF($M1132="THU","06","07")))))))</f>
        <v/>
      </c>
      <c r="P1132" s="117">
        <f>P1131+IF(AND($H1132&lt;&gt;"",OR(LEFT($F1132,LEN(SC_TK))=SC_TK,LEFT($G1132,LEN(SC_TK))=SC_TK)),1,0)</f>
        <v/>
      </c>
    </row>
    <row r="1133" ht="15" customHeight="1" s="78">
      <c r="A1133" s="95">
        <f>IF($H1133="","",ROW()-6)</f>
        <v/>
      </c>
      <c r="B1133" s="114" t="n"/>
      <c r="C1133" s="102" t="n"/>
      <c r="D1133" s="114" t="n"/>
      <c r="E1133" s="103" t="n"/>
      <c r="F1133" s="102" t="n"/>
      <c r="G1133" s="102" t="n"/>
      <c r="H1133" s="115" t="n"/>
      <c r="I1133" s="102" t="n"/>
      <c r="J1133" s="102" t="n"/>
      <c r="K1133" s="103" t="n"/>
      <c r="L1133" s="116">
        <f>IF($H1133="","",TRIM(IF(COUNTIF(DMTK!$A$7:$A$250,$F1133)=0,"TK Nợ sai! ","")&amp;IF(COUNTIF(DMTK!$A$7:$A$250,$G1133)=0,"TK Có sai! ","")&amp;IF(N($H1133)&lt;=0,"Tiền phải &gt; 0! ","")&amp;IF($B1133="","Thiếu ngày! ","")&amp;IF(AND(OR(LEFT($F1133,3)="131",LEFT($G1133,3)="131",LEFT($F1133,3)="331",LEFT($G1133,3)="331"),$I1133=""),"Thiếu Mã ĐT! ","")&amp;IF(AND($I1133&lt;&gt;"",COUNTIF(DM_DT!$A$7:$A$306,$I1133)=0),"Mã ĐT chưa khai báo! ","")))</f>
        <v/>
      </c>
      <c r="M1133" s="117">
        <f>IF($H1133="","",IF(AND(OR(LEFT($F1133,3)="111",LEFT($F1133,3)="112",LEFT($F1133,3)="113"),OR(LEFT($G1133,3)="111",LEFT($G1133,3)="112",LEFT($G1133,3)="113")),"NB",IF(OR(LEFT($F1133,3)="111",LEFT($F1133,3)="112",LEFT($F1133,3)="113"),"THU",IF(OR(LEFT($G1133,3)="111",LEFT($G1133,3)="112",LEFT($G1133,3)="113"),"CHI",""))))</f>
        <v/>
      </c>
      <c r="N1133" s="117">
        <f>IF($M1133="THU",$G1133,IF($M1133="CHI",$F1133,""))</f>
        <v/>
      </c>
      <c r="O1133" s="117">
        <f>IF(OR($M1133="",$M1133="NB"),"",IF($J1133&lt;&gt;"",TEXT($J1133,"00"),IFERROR(VLOOKUP(LEFT($N1133,4),LCTT_MAP!$A$7:$C$66,IF($M1133="THU",2,3),FALSE()),IFERROR(VLOOKUP(LEFT($N1133,3),LCTT_MAP!$A$7:$C$66,IF($M1133="THU",2,3),FALSE()),IFERROR(VLOOKUP(LEFT($N1133,2),LCTT_MAP!$A$7:$C$66,IF($M1133="THU",2,3),FALSE()),IFERROR(VLOOKUP(LEFT($N1133,1),LCTT_MAP!$A$7:$C$66,IF($M1133="THU",2,3),FALSE()),IF($M1133="THU","06","07")))))))</f>
        <v/>
      </c>
      <c r="P1133" s="117">
        <f>P1132+IF(AND($H1133&lt;&gt;"",OR(LEFT($F1133,LEN(SC_TK))=SC_TK,LEFT($G1133,LEN(SC_TK))=SC_TK)),1,0)</f>
        <v/>
      </c>
    </row>
    <row r="1134" ht="15" customHeight="1" s="78">
      <c r="A1134" s="95">
        <f>IF($H1134="","",ROW()-6)</f>
        <v/>
      </c>
      <c r="B1134" s="114" t="n"/>
      <c r="C1134" s="102" t="n"/>
      <c r="D1134" s="114" t="n"/>
      <c r="E1134" s="103" t="n"/>
      <c r="F1134" s="102" t="n"/>
      <c r="G1134" s="102" t="n"/>
      <c r="H1134" s="115" t="n"/>
      <c r="I1134" s="102" t="n"/>
      <c r="J1134" s="102" t="n"/>
      <c r="K1134" s="103" t="n"/>
      <c r="L1134" s="116">
        <f>IF($H1134="","",TRIM(IF(COUNTIF(DMTK!$A$7:$A$250,$F1134)=0,"TK Nợ sai! ","")&amp;IF(COUNTIF(DMTK!$A$7:$A$250,$G1134)=0,"TK Có sai! ","")&amp;IF(N($H1134)&lt;=0,"Tiền phải &gt; 0! ","")&amp;IF($B1134="","Thiếu ngày! ","")&amp;IF(AND(OR(LEFT($F1134,3)="131",LEFT($G1134,3)="131",LEFT($F1134,3)="331",LEFT($G1134,3)="331"),$I1134=""),"Thiếu Mã ĐT! ","")&amp;IF(AND($I1134&lt;&gt;"",COUNTIF(DM_DT!$A$7:$A$306,$I1134)=0),"Mã ĐT chưa khai báo! ","")))</f>
        <v/>
      </c>
      <c r="M1134" s="117">
        <f>IF($H1134="","",IF(AND(OR(LEFT($F1134,3)="111",LEFT($F1134,3)="112",LEFT($F1134,3)="113"),OR(LEFT($G1134,3)="111",LEFT($G1134,3)="112",LEFT($G1134,3)="113")),"NB",IF(OR(LEFT($F1134,3)="111",LEFT($F1134,3)="112",LEFT($F1134,3)="113"),"THU",IF(OR(LEFT($G1134,3)="111",LEFT($G1134,3)="112",LEFT($G1134,3)="113"),"CHI",""))))</f>
        <v/>
      </c>
      <c r="N1134" s="117">
        <f>IF($M1134="THU",$G1134,IF($M1134="CHI",$F1134,""))</f>
        <v/>
      </c>
      <c r="O1134" s="117">
        <f>IF(OR($M1134="",$M1134="NB"),"",IF($J1134&lt;&gt;"",TEXT($J1134,"00"),IFERROR(VLOOKUP(LEFT($N1134,4),LCTT_MAP!$A$7:$C$66,IF($M1134="THU",2,3),FALSE()),IFERROR(VLOOKUP(LEFT($N1134,3),LCTT_MAP!$A$7:$C$66,IF($M1134="THU",2,3),FALSE()),IFERROR(VLOOKUP(LEFT($N1134,2),LCTT_MAP!$A$7:$C$66,IF($M1134="THU",2,3),FALSE()),IFERROR(VLOOKUP(LEFT($N1134,1),LCTT_MAP!$A$7:$C$66,IF($M1134="THU",2,3),FALSE()),IF($M1134="THU","06","07")))))))</f>
        <v/>
      </c>
      <c r="P1134" s="117">
        <f>P1133+IF(AND($H1134&lt;&gt;"",OR(LEFT($F1134,LEN(SC_TK))=SC_TK,LEFT($G1134,LEN(SC_TK))=SC_TK)),1,0)</f>
        <v/>
      </c>
    </row>
    <row r="1135" ht="15" customHeight="1" s="78">
      <c r="A1135" s="95">
        <f>IF($H1135="","",ROW()-6)</f>
        <v/>
      </c>
      <c r="B1135" s="114" t="n"/>
      <c r="C1135" s="102" t="n"/>
      <c r="D1135" s="114" t="n"/>
      <c r="E1135" s="103" t="n"/>
      <c r="F1135" s="102" t="n"/>
      <c r="G1135" s="102" t="n"/>
      <c r="H1135" s="115" t="n"/>
      <c r="I1135" s="102" t="n"/>
      <c r="J1135" s="102" t="n"/>
      <c r="K1135" s="103" t="n"/>
      <c r="L1135" s="116">
        <f>IF($H1135="","",TRIM(IF(COUNTIF(DMTK!$A$7:$A$250,$F1135)=0,"TK Nợ sai! ","")&amp;IF(COUNTIF(DMTK!$A$7:$A$250,$G1135)=0,"TK Có sai! ","")&amp;IF(N($H1135)&lt;=0,"Tiền phải &gt; 0! ","")&amp;IF($B1135="","Thiếu ngày! ","")&amp;IF(AND(OR(LEFT($F1135,3)="131",LEFT($G1135,3)="131",LEFT($F1135,3)="331",LEFT($G1135,3)="331"),$I1135=""),"Thiếu Mã ĐT! ","")&amp;IF(AND($I1135&lt;&gt;"",COUNTIF(DM_DT!$A$7:$A$306,$I1135)=0),"Mã ĐT chưa khai báo! ","")))</f>
        <v/>
      </c>
      <c r="M1135" s="117">
        <f>IF($H1135="","",IF(AND(OR(LEFT($F1135,3)="111",LEFT($F1135,3)="112",LEFT($F1135,3)="113"),OR(LEFT($G1135,3)="111",LEFT($G1135,3)="112",LEFT($G1135,3)="113")),"NB",IF(OR(LEFT($F1135,3)="111",LEFT($F1135,3)="112",LEFT($F1135,3)="113"),"THU",IF(OR(LEFT($G1135,3)="111",LEFT($G1135,3)="112",LEFT($G1135,3)="113"),"CHI",""))))</f>
        <v/>
      </c>
      <c r="N1135" s="117">
        <f>IF($M1135="THU",$G1135,IF($M1135="CHI",$F1135,""))</f>
        <v/>
      </c>
      <c r="O1135" s="117">
        <f>IF(OR($M1135="",$M1135="NB"),"",IF($J1135&lt;&gt;"",TEXT($J1135,"00"),IFERROR(VLOOKUP(LEFT($N1135,4),LCTT_MAP!$A$7:$C$66,IF($M1135="THU",2,3),FALSE()),IFERROR(VLOOKUP(LEFT($N1135,3),LCTT_MAP!$A$7:$C$66,IF($M1135="THU",2,3),FALSE()),IFERROR(VLOOKUP(LEFT($N1135,2),LCTT_MAP!$A$7:$C$66,IF($M1135="THU",2,3),FALSE()),IFERROR(VLOOKUP(LEFT($N1135,1),LCTT_MAP!$A$7:$C$66,IF($M1135="THU",2,3),FALSE()),IF($M1135="THU","06","07")))))))</f>
        <v/>
      </c>
      <c r="P1135" s="117">
        <f>P1134+IF(AND($H1135&lt;&gt;"",OR(LEFT($F1135,LEN(SC_TK))=SC_TK,LEFT($G1135,LEN(SC_TK))=SC_TK)),1,0)</f>
        <v/>
      </c>
    </row>
    <row r="1136" ht="15" customHeight="1" s="78">
      <c r="A1136" s="95">
        <f>IF($H1136="","",ROW()-6)</f>
        <v/>
      </c>
      <c r="B1136" s="114" t="n"/>
      <c r="C1136" s="102" t="n"/>
      <c r="D1136" s="114" t="n"/>
      <c r="E1136" s="103" t="n"/>
      <c r="F1136" s="102" t="n"/>
      <c r="G1136" s="102" t="n"/>
      <c r="H1136" s="115" t="n"/>
      <c r="I1136" s="102" t="n"/>
      <c r="J1136" s="102" t="n"/>
      <c r="K1136" s="103" t="n"/>
      <c r="L1136" s="116">
        <f>IF($H1136="","",TRIM(IF(COUNTIF(DMTK!$A$7:$A$250,$F1136)=0,"TK Nợ sai! ","")&amp;IF(COUNTIF(DMTK!$A$7:$A$250,$G1136)=0,"TK Có sai! ","")&amp;IF(N($H1136)&lt;=0,"Tiền phải &gt; 0! ","")&amp;IF($B1136="","Thiếu ngày! ","")&amp;IF(AND(OR(LEFT($F1136,3)="131",LEFT($G1136,3)="131",LEFT($F1136,3)="331",LEFT($G1136,3)="331"),$I1136=""),"Thiếu Mã ĐT! ","")&amp;IF(AND($I1136&lt;&gt;"",COUNTIF(DM_DT!$A$7:$A$306,$I1136)=0),"Mã ĐT chưa khai báo! ","")))</f>
        <v/>
      </c>
      <c r="M1136" s="117">
        <f>IF($H1136="","",IF(AND(OR(LEFT($F1136,3)="111",LEFT($F1136,3)="112",LEFT($F1136,3)="113"),OR(LEFT($G1136,3)="111",LEFT($G1136,3)="112",LEFT($G1136,3)="113")),"NB",IF(OR(LEFT($F1136,3)="111",LEFT($F1136,3)="112",LEFT($F1136,3)="113"),"THU",IF(OR(LEFT($G1136,3)="111",LEFT($G1136,3)="112",LEFT($G1136,3)="113"),"CHI",""))))</f>
        <v/>
      </c>
      <c r="N1136" s="117">
        <f>IF($M1136="THU",$G1136,IF($M1136="CHI",$F1136,""))</f>
        <v/>
      </c>
      <c r="O1136" s="117">
        <f>IF(OR($M1136="",$M1136="NB"),"",IF($J1136&lt;&gt;"",TEXT($J1136,"00"),IFERROR(VLOOKUP(LEFT($N1136,4),LCTT_MAP!$A$7:$C$66,IF($M1136="THU",2,3),FALSE()),IFERROR(VLOOKUP(LEFT($N1136,3),LCTT_MAP!$A$7:$C$66,IF($M1136="THU",2,3),FALSE()),IFERROR(VLOOKUP(LEFT($N1136,2),LCTT_MAP!$A$7:$C$66,IF($M1136="THU",2,3),FALSE()),IFERROR(VLOOKUP(LEFT($N1136,1),LCTT_MAP!$A$7:$C$66,IF($M1136="THU",2,3),FALSE()),IF($M1136="THU","06","07")))))))</f>
        <v/>
      </c>
      <c r="P1136" s="117">
        <f>P1135+IF(AND($H1136&lt;&gt;"",OR(LEFT($F1136,LEN(SC_TK))=SC_TK,LEFT($G1136,LEN(SC_TK))=SC_TK)),1,0)</f>
        <v/>
      </c>
    </row>
    <row r="1137" ht="15" customHeight="1" s="78">
      <c r="A1137" s="95">
        <f>IF($H1137="","",ROW()-6)</f>
        <v/>
      </c>
      <c r="B1137" s="114" t="n"/>
      <c r="C1137" s="102" t="n"/>
      <c r="D1137" s="114" t="n"/>
      <c r="E1137" s="103" t="n"/>
      <c r="F1137" s="102" t="n"/>
      <c r="G1137" s="102" t="n"/>
      <c r="H1137" s="115" t="n"/>
      <c r="I1137" s="102" t="n"/>
      <c r="J1137" s="102" t="n"/>
      <c r="K1137" s="103" t="n"/>
      <c r="L1137" s="116">
        <f>IF($H1137="","",TRIM(IF(COUNTIF(DMTK!$A$7:$A$250,$F1137)=0,"TK Nợ sai! ","")&amp;IF(COUNTIF(DMTK!$A$7:$A$250,$G1137)=0,"TK Có sai! ","")&amp;IF(N($H1137)&lt;=0,"Tiền phải &gt; 0! ","")&amp;IF($B1137="","Thiếu ngày! ","")&amp;IF(AND(OR(LEFT($F1137,3)="131",LEFT($G1137,3)="131",LEFT($F1137,3)="331",LEFT($G1137,3)="331"),$I1137=""),"Thiếu Mã ĐT! ","")&amp;IF(AND($I1137&lt;&gt;"",COUNTIF(DM_DT!$A$7:$A$306,$I1137)=0),"Mã ĐT chưa khai báo! ","")))</f>
        <v/>
      </c>
      <c r="M1137" s="117">
        <f>IF($H1137="","",IF(AND(OR(LEFT($F1137,3)="111",LEFT($F1137,3)="112",LEFT($F1137,3)="113"),OR(LEFT($G1137,3)="111",LEFT($G1137,3)="112",LEFT($G1137,3)="113")),"NB",IF(OR(LEFT($F1137,3)="111",LEFT($F1137,3)="112",LEFT($F1137,3)="113"),"THU",IF(OR(LEFT($G1137,3)="111",LEFT($G1137,3)="112",LEFT($G1137,3)="113"),"CHI",""))))</f>
        <v/>
      </c>
      <c r="N1137" s="117">
        <f>IF($M1137="THU",$G1137,IF($M1137="CHI",$F1137,""))</f>
        <v/>
      </c>
      <c r="O1137" s="117">
        <f>IF(OR($M1137="",$M1137="NB"),"",IF($J1137&lt;&gt;"",TEXT($J1137,"00"),IFERROR(VLOOKUP(LEFT($N1137,4),LCTT_MAP!$A$7:$C$66,IF($M1137="THU",2,3),FALSE()),IFERROR(VLOOKUP(LEFT($N1137,3),LCTT_MAP!$A$7:$C$66,IF($M1137="THU",2,3),FALSE()),IFERROR(VLOOKUP(LEFT($N1137,2),LCTT_MAP!$A$7:$C$66,IF($M1137="THU",2,3),FALSE()),IFERROR(VLOOKUP(LEFT($N1137,1),LCTT_MAP!$A$7:$C$66,IF($M1137="THU",2,3),FALSE()),IF($M1137="THU","06","07")))))))</f>
        <v/>
      </c>
      <c r="P1137" s="117">
        <f>P1136+IF(AND($H1137&lt;&gt;"",OR(LEFT($F1137,LEN(SC_TK))=SC_TK,LEFT($G1137,LEN(SC_TK))=SC_TK)),1,0)</f>
        <v/>
      </c>
    </row>
    <row r="1138" ht="15" customHeight="1" s="78">
      <c r="A1138" s="95">
        <f>IF($H1138="","",ROW()-6)</f>
        <v/>
      </c>
      <c r="B1138" s="114" t="n"/>
      <c r="C1138" s="102" t="n"/>
      <c r="D1138" s="114" t="n"/>
      <c r="E1138" s="103" t="n"/>
      <c r="F1138" s="102" t="n"/>
      <c r="G1138" s="102" t="n"/>
      <c r="H1138" s="115" t="n"/>
      <c r="I1138" s="102" t="n"/>
      <c r="J1138" s="102" t="n"/>
      <c r="K1138" s="103" t="n"/>
      <c r="L1138" s="116">
        <f>IF($H1138="","",TRIM(IF(COUNTIF(DMTK!$A$7:$A$250,$F1138)=0,"TK Nợ sai! ","")&amp;IF(COUNTIF(DMTK!$A$7:$A$250,$G1138)=0,"TK Có sai! ","")&amp;IF(N($H1138)&lt;=0,"Tiền phải &gt; 0! ","")&amp;IF($B1138="","Thiếu ngày! ","")&amp;IF(AND(OR(LEFT($F1138,3)="131",LEFT($G1138,3)="131",LEFT($F1138,3)="331",LEFT($G1138,3)="331"),$I1138=""),"Thiếu Mã ĐT! ","")&amp;IF(AND($I1138&lt;&gt;"",COUNTIF(DM_DT!$A$7:$A$306,$I1138)=0),"Mã ĐT chưa khai báo! ","")))</f>
        <v/>
      </c>
      <c r="M1138" s="117">
        <f>IF($H1138="","",IF(AND(OR(LEFT($F1138,3)="111",LEFT($F1138,3)="112",LEFT($F1138,3)="113"),OR(LEFT($G1138,3)="111",LEFT($G1138,3)="112",LEFT($G1138,3)="113")),"NB",IF(OR(LEFT($F1138,3)="111",LEFT($F1138,3)="112",LEFT($F1138,3)="113"),"THU",IF(OR(LEFT($G1138,3)="111",LEFT($G1138,3)="112",LEFT($G1138,3)="113"),"CHI",""))))</f>
        <v/>
      </c>
      <c r="N1138" s="117">
        <f>IF($M1138="THU",$G1138,IF($M1138="CHI",$F1138,""))</f>
        <v/>
      </c>
      <c r="O1138" s="117">
        <f>IF(OR($M1138="",$M1138="NB"),"",IF($J1138&lt;&gt;"",TEXT($J1138,"00"),IFERROR(VLOOKUP(LEFT($N1138,4),LCTT_MAP!$A$7:$C$66,IF($M1138="THU",2,3),FALSE()),IFERROR(VLOOKUP(LEFT($N1138,3),LCTT_MAP!$A$7:$C$66,IF($M1138="THU",2,3),FALSE()),IFERROR(VLOOKUP(LEFT($N1138,2),LCTT_MAP!$A$7:$C$66,IF($M1138="THU",2,3),FALSE()),IFERROR(VLOOKUP(LEFT($N1138,1),LCTT_MAP!$A$7:$C$66,IF($M1138="THU",2,3),FALSE()),IF($M1138="THU","06","07")))))))</f>
        <v/>
      </c>
      <c r="P1138" s="117">
        <f>P1137+IF(AND($H1138&lt;&gt;"",OR(LEFT($F1138,LEN(SC_TK))=SC_TK,LEFT($G1138,LEN(SC_TK))=SC_TK)),1,0)</f>
        <v/>
      </c>
    </row>
    <row r="1139" ht="15" customHeight="1" s="78">
      <c r="A1139" s="95">
        <f>IF($H1139="","",ROW()-6)</f>
        <v/>
      </c>
      <c r="B1139" s="114" t="n"/>
      <c r="C1139" s="102" t="n"/>
      <c r="D1139" s="114" t="n"/>
      <c r="E1139" s="103" t="n"/>
      <c r="F1139" s="102" t="n"/>
      <c r="G1139" s="102" t="n"/>
      <c r="H1139" s="115" t="n"/>
      <c r="I1139" s="102" t="n"/>
      <c r="J1139" s="102" t="n"/>
      <c r="K1139" s="103" t="n"/>
      <c r="L1139" s="116">
        <f>IF($H1139="","",TRIM(IF(COUNTIF(DMTK!$A$7:$A$250,$F1139)=0,"TK Nợ sai! ","")&amp;IF(COUNTIF(DMTK!$A$7:$A$250,$G1139)=0,"TK Có sai! ","")&amp;IF(N($H1139)&lt;=0,"Tiền phải &gt; 0! ","")&amp;IF($B1139="","Thiếu ngày! ","")&amp;IF(AND(OR(LEFT($F1139,3)="131",LEFT($G1139,3)="131",LEFT($F1139,3)="331",LEFT($G1139,3)="331"),$I1139=""),"Thiếu Mã ĐT! ","")&amp;IF(AND($I1139&lt;&gt;"",COUNTIF(DM_DT!$A$7:$A$306,$I1139)=0),"Mã ĐT chưa khai báo! ","")))</f>
        <v/>
      </c>
      <c r="M1139" s="117">
        <f>IF($H1139="","",IF(AND(OR(LEFT($F1139,3)="111",LEFT($F1139,3)="112",LEFT($F1139,3)="113"),OR(LEFT($G1139,3)="111",LEFT($G1139,3)="112",LEFT($G1139,3)="113")),"NB",IF(OR(LEFT($F1139,3)="111",LEFT($F1139,3)="112",LEFT($F1139,3)="113"),"THU",IF(OR(LEFT($G1139,3)="111",LEFT($G1139,3)="112",LEFT($G1139,3)="113"),"CHI",""))))</f>
        <v/>
      </c>
      <c r="N1139" s="117">
        <f>IF($M1139="THU",$G1139,IF($M1139="CHI",$F1139,""))</f>
        <v/>
      </c>
      <c r="O1139" s="117">
        <f>IF(OR($M1139="",$M1139="NB"),"",IF($J1139&lt;&gt;"",TEXT($J1139,"00"),IFERROR(VLOOKUP(LEFT($N1139,4),LCTT_MAP!$A$7:$C$66,IF($M1139="THU",2,3),FALSE()),IFERROR(VLOOKUP(LEFT($N1139,3),LCTT_MAP!$A$7:$C$66,IF($M1139="THU",2,3),FALSE()),IFERROR(VLOOKUP(LEFT($N1139,2),LCTT_MAP!$A$7:$C$66,IF($M1139="THU",2,3),FALSE()),IFERROR(VLOOKUP(LEFT($N1139,1),LCTT_MAP!$A$7:$C$66,IF($M1139="THU",2,3),FALSE()),IF($M1139="THU","06","07")))))))</f>
        <v/>
      </c>
      <c r="P1139" s="117">
        <f>P1138+IF(AND($H1139&lt;&gt;"",OR(LEFT($F1139,LEN(SC_TK))=SC_TK,LEFT($G1139,LEN(SC_TK))=SC_TK)),1,0)</f>
        <v/>
      </c>
    </row>
    <row r="1140" ht="15" customHeight="1" s="78">
      <c r="A1140" s="95">
        <f>IF($H1140="","",ROW()-6)</f>
        <v/>
      </c>
      <c r="B1140" s="114" t="n"/>
      <c r="C1140" s="102" t="n"/>
      <c r="D1140" s="114" t="n"/>
      <c r="E1140" s="103" t="n"/>
      <c r="F1140" s="102" t="n"/>
      <c r="G1140" s="102" t="n"/>
      <c r="H1140" s="115" t="n"/>
      <c r="I1140" s="102" t="n"/>
      <c r="J1140" s="102" t="n"/>
      <c r="K1140" s="103" t="n"/>
      <c r="L1140" s="116">
        <f>IF($H1140="","",TRIM(IF(COUNTIF(DMTK!$A$7:$A$250,$F1140)=0,"TK Nợ sai! ","")&amp;IF(COUNTIF(DMTK!$A$7:$A$250,$G1140)=0,"TK Có sai! ","")&amp;IF(N($H1140)&lt;=0,"Tiền phải &gt; 0! ","")&amp;IF($B1140="","Thiếu ngày! ","")&amp;IF(AND(OR(LEFT($F1140,3)="131",LEFT($G1140,3)="131",LEFT($F1140,3)="331",LEFT($G1140,3)="331"),$I1140=""),"Thiếu Mã ĐT! ","")&amp;IF(AND($I1140&lt;&gt;"",COUNTIF(DM_DT!$A$7:$A$306,$I1140)=0),"Mã ĐT chưa khai báo! ","")))</f>
        <v/>
      </c>
      <c r="M1140" s="117">
        <f>IF($H1140="","",IF(AND(OR(LEFT($F1140,3)="111",LEFT($F1140,3)="112",LEFT($F1140,3)="113"),OR(LEFT($G1140,3)="111",LEFT($G1140,3)="112",LEFT($G1140,3)="113")),"NB",IF(OR(LEFT($F1140,3)="111",LEFT($F1140,3)="112",LEFT($F1140,3)="113"),"THU",IF(OR(LEFT($G1140,3)="111",LEFT($G1140,3)="112",LEFT($G1140,3)="113"),"CHI",""))))</f>
        <v/>
      </c>
      <c r="N1140" s="117">
        <f>IF($M1140="THU",$G1140,IF($M1140="CHI",$F1140,""))</f>
        <v/>
      </c>
      <c r="O1140" s="117">
        <f>IF(OR($M1140="",$M1140="NB"),"",IF($J1140&lt;&gt;"",TEXT($J1140,"00"),IFERROR(VLOOKUP(LEFT($N1140,4),LCTT_MAP!$A$7:$C$66,IF($M1140="THU",2,3),FALSE()),IFERROR(VLOOKUP(LEFT($N1140,3),LCTT_MAP!$A$7:$C$66,IF($M1140="THU",2,3),FALSE()),IFERROR(VLOOKUP(LEFT($N1140,2),LCTT_MAP!$A$7:$C$66,IF($M1140="THU",2,3),FALSE()),IFERROR(VLOOKUP(LEFT($N1140,1),LCTT_MAP!$A$7:$C$66,IF($M1140="THU",2,3),FALSE()),IF($M1140="THU","06","07")))))))</f>
        <v/>
      </c>
      <c r="P1140" s="117">
        <f>P1139+IF(AND($H1140&lt;&gt;"",OR(LEFT($F1140,LEN(SC_TK))=SC_TK,LEFT($G1140,LEN(SC_TK))=SC_TK)),1,0)</f>
        <v/>
      </c>
    </row>
    <row r="1141" ht="15" customHeight="1" s="78">
      <c r="A1141" s="95">
        <f>IF($H1141="","",ROW()-6)</f>
        <v/>
      </c>
      <c r="B1141" s="114" t="n"/>
      <c r="C1141" s="102" t="n"/>
      <c r="D1141" s="114" t="n"/>
      <c r="E1141" s="103" t="n"/>
      <c r="F1141" s="102" t="n"/>
      <c r="G1141" s="102" t="n"/>
      <c r="H1141" s="115" t="n"/>
      <c r="I1141" s="102" t="n"/>
      <c r="J1141" s="102" t="n"/>
      <c r="K1141" s="103" t="n"/>
      <c r="L1141" s="116">
        <f>IF($H1141="","",TRIM(IF(COUNTIF(DMTK!$A$7:$A$250,$F1141)=0,"TK Nợ sai! ","")&amp;IF(COUNTIF(DMTK!$A$7:$A$250,$G1141)=0,"TK Có sai! ","")&amp;IF(N($H1141)&lt;=0,"Tiền phải &gt; 0! ","")&amp;IF($B1141="","Thiếu ngày! ","")&amp;IF(AND(OR(LEFT($F1141,3)="131",LEFT($G1141,3)="131",LEFT($F1141,3)="331",LEFT($G1141,3)="331"),$I1141=""),"Thiếu Mã ĐT! ","")&amp;IF(AND($I1141&lt;&gt;"",COUNTIF(DM_DT!$A$7:$A$306,$I1141)=0),"Mã ĐT chưa khai báo! ","")))</f>
        <v/>
      </c>
      <c r="M1141" s="117">
        <f>IF($H1141="","",IF(AND(OR(LEFT($F1141,3)="111",LEFT($F1141,3)="112",LEFT($F1141,3)="113"),OR(LEFT($G1141,3)="111",LEFT($G1141,3)="112",LEFT($G1141,3)="113")),"NB",IF(OR(LEFT($F1141,3)="111",LEFT($F1141,3)="112",LEFT($F1141,3)="113"),"THU",IF(OR(LEFT($G1141,3)="111",LEFT($G1141,3)="112",LEFT($G1141,3)="113"),"CHI",""))))</f>
        <v/>
      </c>
      <c r="N1141" s="117">
        <f>IF($M1141="THU",$G1141,IF($M1141="CHI",$F1141,""))</f>
        <v/>
      </c>
      <c r="O1141" s="117">
        <f>IF(OR($M1141="",$M1141="NB"),"",IF($J1141&lt;&gt;"",TEXT($J1141,"00"),IFERROR(VLOOKUP(LEFT($N1141,4),LCTT_MAP!$A$7:$C$66,IF($M1141="THU",2,3),FALSE()),IFERROR(VLOOKUP(LEFT($N1141,3),LCTT_MAP!$A$7:$C$66,IF($M1141="THU",2,3),FALSE()),IFERROR(VLOOKUP(LEFT($N1141,2),LCTT_MAP!$A$7:$C$66,IF($M1141="THU",2,3),FALSE()),IFERROR(VLOOKUP(LEFT($N1141,1),LCTT_MAP!$A$7:$C$66,IF($M1141="THU",2,3),FALSE()),IF($M1141="THU","06","07")))))))</f>
        <v/>
      </c>
      <c r="P1141" s="117">
        <f>P1140+IF(AND($H1141&lt;&gt;"",OR(LEFT($F1141,LEN(SC_TK))=SC_TK,LEFT($G1141,LEN(SC_TK))=SC_TK)),1,0)</f>
        <v/>
      </c>
    </row>
    <row r="1142" ht="15" customHeight="1" s="78">
      <c r="A1142" s="95">
        <f>IF($H1142="","",ROW()-6)</f>
        <v/>
      </c>
      <c r="B1142" s="114" t="n"/>
      <c r="C1142" s="102" t="n"/>
      <c r="D1142" s="114" t="n"/>
      <c r="E1142" s="103" t="n"/>
      <c r="F1142" s="102" t="n"/>
      <c r="G1142" s="102" t="n"/>
      <c r="H1142" s="115" t="n"/>
      <c r="I1142" s="102" t="n"/>
      <c r="J1142" s="102" t="n"/>
      <c r="K1142" s="103" t="n"/>
      <c r="L1142" s="116">
        <f>IF($H1142="","",TRIM(IF(COUNTIF(DMTK!$A$7:$A$250,$F1142)=0,"TK Nợ sai! ","")&amp;IF(COUNTIF(DMTK!$A$7:$A$250,$G1142)=0,"TK Có sai! ","")&amp;IF(N($H1142)&lt;=0,"Tiền phải &gt; 0! ","")&amp;IF($B1142="","Thiếu ngày! ","")&amp;IF(AND(OR(LEFT($F1142,3)="131",LEFT($G1142,3)="131",LEFT($F1142,3)="331",LEFT($G1142,3)="331"),$I1142=""),"Thiếu Mã ĐT! ","")&amp;IF(AND($I1142&lt;&gt;"",COUNTIF(DM_DT!$A$7:$A$306,$I1142)=0),"Mã ĐT chưa khai báo! ","")))</f>
        <v/>
      </c>
      <c r="M1142" s="117">
        <f>IF($H1142="","",IF(AND(OR(LEFT($F1142,3)="111",LEFT($F1142,3)="112",LEFT($F1142,3)="113"),OR(LEFT($G1142,3)="111",LEFT($G1142,3)="112",LEFT($G1142,3)="113")),"NB",IF(OR(LEFT($F1142,3)="111",LEFT($F1142,3)="112",LEFT($F1142,3)="113"),"THU",IF(OR(LEFT($G1142,3)="111",LEFT($G1142,3)="112",LEFT($G1142,3)="113"),"CHI",""))))</f>
        <v/>
      </c>
      <c r="N1142" s="117">
        <f>IF($M1142="THU",$G1142,IF($M1142="CHI",$F1142,""))</f>
        <v/>
      </c>
      <c r="O1142" s="117">
        <f>IF(OR($M1142="",$M1142="NB"),"",IF($J1142&lt;&gt;"",TEXT($J1142,"00"),IFERROR(VLOOKUP(LEFT($N1142,4),LCTT_MAP!$A$7:$C$66,IF($M1142="THU",2,3),FALSE()),IFERROR(VLOOKUP(LEFT($N1142,3),LCTT_MAP!$A$7:$C$66,IF($M1142="THU",2,3),FALSE()),IFERROR(VLOOKUP(LEFT($N1142,2),LCTT_MAP!$A$7:$C$66,IF($M1142="THU",2,3),FALSE()),IFERROR(VLOOKUP(LEFT($N1142,1),LCTT_MAP!$A$7:$C$66,IF($M1142="THU",2,3),FALSE()),IF($M1142="THU","06","07")))))))</f>
        <v/>
      </c>
      <c r="P1142" s="117">
        <f>P1141+IF(AND($H1142&lt;&gt;"",OR(LEFT($F1142,LEN(SC_TK))=SC_TK,LEFT($G1142,LEN(SC_TK))=SC_TK)),1,0)</f>
        <v/>
      </c>
    </row>
    <row r="1143" ht="15" customHeight="1" s="78">
      <c r="A1143" s="95">
        <f>IF($H1143="","",ROW()-6)</f>
        <v/>
      </c>
      <c r="B1143" s="114" t="n"/>
      <c r="C1143" s="102" t="n"/>
      <c r="D1143" s="114" t="n"/>
      <c r="E1143" s="103" t="n"/>
      <c r="F1143" s="102" t="n"/>
      <c r="G1143" s="102" t="n"/>
      <c r="H1143" s="115" t="n"/>
      <c r="I1143" s="102" t="n"/>
      <c r="J1143" s="102" t="n"/>
      <c r="K1143" s="103" t="n"/>
      <c r="L1143" s="116">
        <f>IF($H1143="","",TRIM(IF(COUNTIF(DMTK!$A$7:$A$250,$F1143)=0,"TK Nợ sai! ","")&amp;IF(COUNTIF(DMTK!$A$7:$A$250,$G1143)=0,"TK Có sai! ","")&amp;IF(N($H1143)&lt;=0,"Tiền phải &gt; 0! ","")&amp;IF($B1143="","Thiếu ngày! ","")&amp;IF(AND(OR(LEFT($F1143,3)="131",LEFT($G1143,3)="131",LEFT($F1143,3)="331",LEFT($G1143,3)="331"),$I1143=""),"Thiếu Mã ĐT! ","")&amp;IF(AND($I1143&lt;&gt;"",COUNTIF(DM_DT!$A$7:$A$306,$I1143)=0),"Mã ĐT chưa khai báo! ","")))</f>
        <v/>
      </c>
      <c r="M1143" s="117">
        <f>IF($H1143="","",IF(AND(OR(LEFT($F1143,3)="111",LEFT($F1143,3)="112",LEFT($F1143,3)="113"),OR(LEFT($G1143,3)="111",LEFT($G1143,3)="112",LEFT($G1143,3)="113")),"NB",IF(OR(LEFT($F1143,3)="111",LEFT($F1143,3)="112",LEFT($F1143,3)="113"),"THU",IF(OR(LEFT($G1143,3)="111",LEFT($G1143,3)="112",LEFT($G1143,3)="113"),"CHI",""))))</f>
        <v/>
      </c>
      <c r="N1143" s="117">
        <f>IF($M1143="THU",$G1143,IF($M1143="CHI",$F1143,""))</f>
        <v/>
      </c>
      <c r="O1143" s="117">
        <f>IF(OR($M1143="",$M1143="NB"),"",IF($J1143&lt;&gt;"",TEXT($J1143,"00"),IFERROR(VLOOKUP(LEFT($N1143,4),LCTT_MAP!$A$7:$C$66,IF($M1143="THU",2,3),FALSE()),IFERROR(VLOOKUP(LEFT($N1143,3),LCTT_MAP!$A$7:$C$66,IF($M1143="THU",2,3),FALSE()),IFERROR(VLOOKUP(LEFT($N1143,2),LCTT_MAP!$A$7:$C$66,IF($M1143="THU",2,3),FALSE()),IFERROR(VLOOKUP(LEFT($N1143,1),LCTT_MAP!$A$7:$C$66,IF($M1143="THU",2,3),FALSE()),IF($M1143="THU","06","07")))))))</f>
        <v/>
      </c>
      <c r="P1143" s="117">
        <f>P1142+IF(AND($H1143&lt;&gt;"",OR(LEFT($F1143,LEN(SC_TK))=SC_TK,LEFT($G1143,LEN(SC_TK))=SC_TK)),1,0)</f>
        <v/>
      </c>
    </row>
    <row r="1144" ht="15" customHeight="1" s="78">
      <c r="A1144" s="95">
        <f>IF($H1144="","",ROW()-6)</f>
        <v/>
      </c>
      <c r="B1144" s="114" t="n"/>
      <c r="C1144" s="102" t="n"/>
      <c r="D1144" s="114" t="n"/>
      <c r="E1144" s="103" t="n"/>
      <c r="F1144" s="102" t="n"/>
      <c r="G1144" s="102" t="n"/>
      <c r="H1144" s="115" t="n"/>
      <c r="I1144" s="102" t="n"/>
      <c r="J1144" s="102" t="n"/>
      <c r="K1144" s="103" t="n"/>
      <c r="L1144" s="116">
        <f>IF($H1144="","",TRIM(IF(COUNTIF(DMTK!$A$7:$A$250,$F1144)=0,"TK Nợ sai! ","")&amp;IF(COUNTIF(DMTK!$A$7:$A$250,$G1144)=0,"TK Có sai! ","")&amp;IF(N($H1144)&lt;=0,"Tiền phải &gt; 0! ","")&amp;IF($B1144="","Thiếu ngày! ","")&amp;IF(AND(OR(LEFT($F1144,3)="131",LEFT($G1144,3)="131",LEFT($F1144,3)="331",LEFT($G1144,3)="331"),$I1144=""),"Thiếu Mã ĐT! ","")&amp;IF(AND($I1144&lt;&gt;"",COUNTIF(DM_DT!$A$7:$A$306,$I1144)=0),"Mã ĐT chưa khai báo! ","")))</f>
        <v/>
      </c>
      <c r="M1144" s="117">
        <f>IF($H1144="","",IF(AND(OR(LEFT($F1144,3)="111",LEFT($F1144,3)="112",LEFT($F1144,3)="113"),OR(LEFT($G1144,3)="111",LEFT($G1144,3)="112",LEFT($G1144,3)="113")),"NB",IF(OR(LEFT($F1144,3)="111",LEFT($F1144,3)="112",LEFT($F1144,3)="113"),"THU",IF(OR(LEFT($G1144,3)="111",LEFT($G1144,3)="112",LEFT($G1144,3)="113"),"CHI",""))))</f>
        <v/>
      </c>
      <c r="N1144" s="117">
        <f>IF($M1144="THU",$G1144,IF($M1144="CHI",$F1144,""))</f>
        <v/>
      </c>
      <c r="O1144" s="117">
        <f>IF(OR($M1144="",$M1144="NB"),"",IF($J1144&lt;&gt;"",TEXT($J1144,"00"),IFERROR(VLOOKUP(LEFT($N1144,4),LCTT_MAP!$A$7:$C$66,IF($M1144="THU",2,3),FALSE()),IFERROR(VLOOKUP(LEFT($N1144,3),LCTT_MAP!$A$7:$C$66,IF($M1144="THU",2,3),FALSE()),IFERROR(VLOOKUP(LEFT($N1144,2),LCTT_MAP!$A$7:$C$66,IF($M1144="THU",2,3),FALSE()),IFERROR(VLOOKUP(LEFT($N1144,1),LCTT_MAP!$A$7:$C$66,IF($M1144="THU",2,3),FALSE()),IF($M1144="THU","06","07")))))))</f>
        <v/>
      </c>
      <c r="P1144" s="117">
        <f>P1143+IF(AND($H1144&lt;&gt;"",OR(LEFT($F1144,LEN(SC_TK))=SC_TK,LEFT($G1144,LEN(SC_TK))=SC_TK)),1,0)</f>
        <v/>
      </c>
    </row>
    <row r="1145" ht="15" customHeight="1" s="78">
      <c r="A1145" s="95">
        <f>IF($H1145="","",ROW()-6)</f>
        <v/>
      </c>
      <c r="B1145" s="114" t="n"/>
      <c r="C1145" s="102" t="n"/>
      <c r="D1145" s="114" t="n"/>
      <c r="E1145" s="103" t="n"/>
      <c r="F1145" s="102" t="n"/>
      <c r="G1145" s="102" t="n"/>
      <c r="H1145" s="115" t="n"/>
      <c r="I1145" s="102" t="n"/>
      <c r="J1145" s="102" t="n"/>
      <c r="K1145" s="103" t="n"/>
      <c r="L1145" s="116">
        <f>IF($H1145="","",TRIM(IF(COUNTIF(DMTK!$A$7:$A$250,$F1145)=0,"TK Nợ sai! ","")&amp;IF(COUNTIF(DMTK!$A$7:$A$250,$G1145)=0,"TK Có sai! ","")&amp;IF(N($H1145)&lt;=0,"Tiền phải &gt; 0! ","")&amp;IF($B1145="","Thiếu ngày! ","")&amp;IF(AND(OR(LEFT($F1145,3)="131",LEFT($G1145,3)="131",LEFT($F1145,3)="331",LEFT($G1145,3)="331"),$I1145=""),"Thiếu Mã ĐT! ","")&amp;IF(AND($I1145&lt;&gt;"",COUNTIF(DM_DT!$A$7:$A$306,$I1145)=0),"Mã ĐT chưa khai báo! ","")))</f>
        <v/>
      </c>
      <c r="M1145" s="117">
        <f>IF($H1145="","",IF(AND(OR(LEFT($F1145,3)="111",LEFT($F1145,3)="112",LEFT($F1145,3)="113"),OR(LEFT($G1145,3)="111",LEFT($G1145,3)="112",LEFT($G1145,3)="113")),"NB",IF(OR(LEFT($F1145,3)="111",LEFT($F1145,3)="112",LEFT($F1145,3)="113"),"THU",IF(OR(LEFT($G1145,3)="111",LEFT($G1145,3)="112",LEFT($G1145,3)="113"),"CHI",""))))</f>
        <v/>
      </c>
      <c r="N1145" s="117">
        <f>IF($M1145="THU",$G1145,IF($M1145="CHI",$F1145,""))</f>
        <v/>
      </c>
      <c r="O1145" s="117">
        <f>IF(OR($M1145="",$M1145="NB"),"",IF($J1145&lt;&gt;"",TEXT($J1145,"00"),IFERROR(VLOOKUP(LEFT($N1145,4),LCTT_MAP!$A$7:$C$66,IF($M1145="THU",2,3),FALSE()),IFERROR(VLOOKUP(LEFT($N1145,3),LCTT_MAP!$A$7:$C$66,IF($M1145="THU",2,3),FALSE()),IFERROR(VLOOKUP(LEFT($N1145,2),LCTT_MAP!$A$7:$C$66,IF($M1145="THU",2,3),FALSE()),IFERROR(VLOOKUP(LEFT($N1145,1),LCTT_MAP!$A$7:$C$66,IF($M1145="THU",2,3),FALSE()),IF($M1145="THU","06","07")))))))</f>
        <v/>
      </c>
      <c r="P1145" s="117">
        <f>P1144+IF(AND($H1145&lt;&gt;"",OR(LEFT($F1145,LEN(SC_TK))=SC_TK,LEFT($G1145,LEN(SC_TK))=SC_TK)),1,0)</f>
        <v/>
      </c>
    </row>
    <row r="1146" ht="15" customHeight="1" s="78">
      <c r="A1146" s="95">
        <f>IF($H1146="","",ROW()-6)</f>
        <v/>
      </c>
      <c r="B1146" s="114" t="n"/>
      <c r="C1146" s="102" t="n"/>
      <c r="D1146" s="114" t="n"/>
      <c r="E1146" s="103" t="n"/>
      <c r="F1146" s="102" t="n"/>
      <c r="G1146" s="102" t="n"/>
      <c r="H1146" s="115" t="n"/>
      <c r="I1146" s="102" t="n"/>
      <c r="J1146" s="102" t="n"/>
      <c r="K1146" s="103" t="n"/>
      <c r="L1146" s="116">
        <f>IF($H1146="","",TRIM(IF(COUNTIF(DMTK!$A$7:$A$250,$F1146)=0,"TK Nợ sai! ","")&amp;IF(COUNTIF(DMTK!$A$7:$A$250,$G1146)=0,"TK Có sai! ","")&amp;IF(N($H1146)&lt;=0,"Tiền phải &gt; 0! ","")&amp;IF($B1146="","Thiếu ngày! ","")&amp;IF(AND(OR(LEFT($F1146,3)="131",LEFT($G1146,3)="131",LEFT($F1146,3)="331",LEFT($G1146,3)="331"),$I1146=""),"Thiếu Mã ĐT! ","")&amp;IF(AND($I1146&lt;&gt;"",COUNTIF(DM_DT!$A$7:$A$306,$I1146)=0),"Mã ĐT chưa khai báo! ","")))</f>
        <v/>
      </c>
      <c r="M1146" s="117">
        <f>IF($H1146="","",IF(AND(OR(LEFT($F1146,3)="111",LEFT($F1146,3)="112",LEFT($F1146,3)="113"),OR(LEFT($G1146,3)="111",LEFT($G1146,3)="112",LEFT($G1146,3)="113")),"NB",IF(OR(LEFT($F1146,3)="111",LEFT($F1146,3)="112",LEFT($F1146,3)="113"),"THU",IF(OR(LEFT($G1146,3)="111",LEFT($G1146,3)="112",LEFT($G1146,3)="113"),"CHI",""))))</f>
        <v/>
      </c>
      <c r="N1146" s="117">
        <f>IF($M1146="THU",$G1146,IF($M1146="CHI",$F1146,""))</f>
        <v/>
      </c>
      <c r="O1146" s="117">
        <f>IF(OR($M1146="",$M1146="NB"),"",IF($J1146&lt;&gt;"",TEXT($J1146,"00"),IFERROR(VLOOKUP(LEFT($N1146,4),LCTT_MAP!$A$7:$C$66,IF($M1146="THU",2,3),FALSE()),IFERROR(VLOOKUP(LEFT($N1146,3),LCTT_MAP!$A$7:$C$66,IF($M1146="THU",2,3),FALSE()),IFERROR(VLOOKUP(LEFT($N1146,2),LCTT_MAP!$A$7:$C$66,IF($M1146="THU",2,3),FALSE()),IFERROR(VLOOKUP(LEFT($N1146,1),LCTT_MAP!$A$7:$C$66,IF($M1146="THU",2,3),FALSE()),IF($M1146="THU","06","07")))))))</f>
        <v/>
      </c>
      <c r="P1146" s="117">
        <f>P1145+IF(AND($H1146&lt;&gt;"",OR(LEFT($F1146,LEN(SC_TK))=SC_TK,LEFT($G1146,LEN(SC_TK))=SC_TK)),1,0)</f>
        <v/>
      </c>
    </row>
    <row r="1147" ht="15" customHeight="1" s="78">
      <c r="A1147" s="95">
        <f>IF($H1147="","",ROW()-6)</f>
        <v/>
      </c>
      <c r="B1147" s="114" t="n"/>
      <c r="C1147" s="102" t="n"/>
      <c r="D1147" s="114" t="n"/>
      <c r="E1147" s="103" t="n"/>
      <c r="F1147" s="102" t="n"/>
      <c r="G1147" s="102" t="n"/>
      <c r="H1147" s="115" t="n"/>
      <c r="I1147" s="102" t="n"/>
      <c r="J1147" s="102" t="n"/>
      <c r="K1147" s="103" t="n"/>
      <c r="L1147" s="116">
        <f>IF($H1147="","",TRIM(IF(COUNTIF(DMTK!$A$7:$A$250,$F1147)=0,"TK Nợ sai! ","")&amp;IF(COUNTIF(DMTK!$A$7:$A$250,$G1147)=0,"TK Có sai! ","")&amp;IF(N($H1147)&lt;=0,"Tiền phải &gt; 0! ","")&amp;IF($B1147="","Thiếu ngày! ","")&amp;IF(AND(OR(LEFT($F1147,3)="131",LEFT($G1147,3)="131",LEFT($F1147,3)="331",LEFT($G1147,3)="331"),$I1147=""),"Thiếu Mã ĐT! ","")&amp;IF(AND($I1147&lt;&gt;"",COUNTIF(DM_DT!$A$7:$A$306,$I1147)=0),"Mã ĐT chưa khai báo! ","")))</f>
        <v/>
      </c>
      <c r="M1147" s="117">
        <f>IF($H1147="","",IF(AND(OR(LEFT($F1147,3)="111",LEFT($F1147,3)="112",LEFT($F1147,3)="113"),OR(LEFT($G1147,3)="111",LEFT($G1147,3)="112",LEFT($G1147,3)="113")),"NB",IF(OR(LEFT($F1147,3)="111",LEFT($F1147,3)="112",LEFT($F1147,3)="113"),"THU",IF(OR(LEFT($G1147,3)="111",LEFT($G1147,3)="112",LEFT($G1147,3)="113"),"CHI",""))))</f>
        <v/>
      </c>
      <c r="N1147" s="117">
        <f>IF($M1147="THU",$G1147,IF($M1147="CHI",$F1147,""))</f>
        <v/>
      </c>
      <c r="O1147" s="117">
        <f>IF(OR($M1147="",$M1147="NB"),"",IF($J1147&lt;&gt;"",TEXT($J1147,"00"),IFERROR(VLOOKUP(LEFT($N1147,4),LCTT_MAP!$A$7:$C$66,IF($M1147="THU",2,3),FALSE()),IFERROR(VLOOKUP(LEFT($N1147,3),LCTT_MAP!$A$7:$C$66,IF($M1147="THU",2,3),FALSE()),IFERROR(VLOOKUP(LEFT($N1147,2),LCTT_MAP!$A$7:$C$66,IF($M1147="THU",2,3),FALSE()),IFERROR(VLOOKUP(LEFT($N1147,1),LCTT_MAP!$A$7:$C$66,IF($M1147="THU",2,3),FALSE()),IF($M1147="THU","06","07")))))))</f>
        <v/>
      </c>
      <c r="P1147" s="117">
        <f>P1146+IF(AND($H1147&lt;&gt;"",OR(LEFT($F1147,LEN(SC_TK))=SC_TK,LEFT($G1147,LEN(SC_TK))=SC_TK)),1,0)</f>
        <v/>
      </c>
    </row>
    <row r="1148" ht="15" customHeight="1" s="78">
      <c r="A1148" s="95">
        <f>IF($H1148="","",ROW()-6)</f>
        <v/>
      </c>
      <c r="B1148" s="114" t="n"/>
      <c r="C1148" s="102" t="n"/>
      <c r="D1148" s="114" t="n"/>
      <c r="E1148" s="103" t="n"/>
      <c r="F1148" s="102" t="n"/>
      <c r="G1148" s="102" t="n"/>
      <c r="H1148" s="115" t="n"/>
      <c r="I1148" s="102" t="n"/>
      <c r="J1148" s="102" t="n"/>
      <c r="K1148" s="103" t="n"/>
      <c r="L1148" s="116">
        <f>IF($H1148="","",TRIM(IF(COUNTIF(DMTK!$A$7:$A$250,$F1148)=0,"TK Nợ sai! ","")&amp;IF(COUNTIF(DMTK!$A$7:$A$250,$G1148)=0,"TK Có sai! ","")&amp;IF(N($H1148)&lt;=0,"Tiền phải &gt; 0! ","")&amp;IF($B1148="","Thiếu ngày! ","")&amp;IF(AND(OR(LEFT($F1148,3)="131",LEFT($G1148,3)="131",LEFT($F1148,3)="331",LEFT($G1148,3)="331"),$I1148=""),"Thiếu Mã ĐT! ","")&amp;IF(AND($I1148&lt;&gt;"",COUNTIF(DM_DT!$A$7:$A$306,$I1148)=0),"Mã ĐT chưa khai báo! ","")))</f>
        <v/>
      </c>
      <c r="M1148" s="117">
        <f>IF($H1148="","",IF(AND(OR(LEFT($F1148,3)="111",LEFT($F1148,3)="112",LEFT($F1148,3)="113"),OR(LEFT($G1148,3)="111",LEFT($G1148,3)="112",LEFT($G1148,3)="113")),"NB",IF(OR(LEFT($F1148,3)="111",LEFT($F1148,3)="112",LEFT($F1148,3)="113"),"THU",IF(OR(LEFT($G1148,3)="111",LEFT($G1148,3)="112",LEFT($G1148,3)="113"),"CHI",""))))</f>
        <v/>
      </c>
      <c r="N1148" s="117">
        <f>IF($M1148="THU",$G1148,IF($M1148="CHI",$F1148,""))</f>
        <v/>
      </c>
      <c r="O1148" s="117">
        <f>IF(OR($M1148="",$M1148="NB"),"",IF($J1148&lt;&gt;"",TEXT($J1148,"00"),IFERROR(VLOOKUP(LEFT($N1148,4),LCTT_MAP!$A$7:$C$66,IF($M1148="THU",2,3),FALSE()),IFERROR(VLOOKUP(LEFT($N1148,3),LCTT_MAP!$A$7:$C$66,IF($M1148="THU",2,3),FALSE()),IFERROR(VLOOKUP(LEFT($N1148,2),LCTT_MAP!$A$7:$C$66,IF($M1148="THU",2,3),FALSE()),IFERROR(VLOOKUP(LEFT($N1148,1),LCTT_MAP!$A$7:$C$66,IF($M1148="THU",2,3),FALSE()),IF($M1148="THU","06","07")))))))</f>
        <v/>
      </c>
      <c r="P1148" s="117">
        <f>P1147+IF(AND($H1148&lt;&gt;"",OR(LEFT($F1148,LEN(SC_TK))=SC_TK,LEFT($G1148,LEN(SC_TK))=SC_TK)),1,0)</f>
        <v/>
      </c>
    </row>
    <row r="1149" ht="15" customHeight="1" s="78">
      <c r="A1149" s="95">
        <f>IF($H1149="","",ROW()-6)</f>
        <v/>
      </c>
      <c r="B1149" s="114" t="n"/>
      <c r="C1149" s="102" t="n"/>
      <c r="D1149" s="114" t="n"/>
      <c r="E1149" s="103" t="n"/>
      <c r="F1149" s="102" t="n"/>
      <c r="G1149" s="102" t="n"/>
      <c r="H1149" s="115" t="n"/>
      <c r="I1149" s="102" t="n"/>
      <c r="J1149" s="102" t="n"/>
      <c r="K1149" s="103" t="n"/>
      <c r="L1149" s="116">
        <f>IF($H1149="","",TRIM(IF(COUNTIF(DMTK!$A$7:$A$250,$F1149)=0,"TK Nợ sai! ","")&amp;IF(COUNTIF(DMTK!$A$7:$A$250,$G1149)=0,"TK Có sai! ","")&amp;IF(N($H1149)&lt;=0,"Tiền phải &gt; 0! ","")&amp;IF($B1149="","Thiếu ngày! ","")&amp;IF(AND(OR(LEFT($F1149,3)="131",LEFT($G1149,3)="131",LEFT($F1149,3)="331",LEFT($G1149,3)="331"),$I1149=""),"Thiếu Mã ĐT! ","")&amp;IF(AND($I1149&lt;&gt;"",COUNTIF(DM_DT!$A$7:$A$306,$I1149)=0),"Mã ĐT chưa khai báo! ","")))</f>
        <v/>
      </c>
      <c r="M1149" s="117">
        <f>IF($H1149="","",IF(AND(OR(LEFT($F1149,3)="111",LEFT($F1149,3)="112",LEFT($F1149,3)="113"),OR(LEFT($G1149,3)="111",LEFT($G1149,3)="112",LEFT($G1149,3)="113")),"NB",IF(OR(LEFT($F1149,3)="111",LEFT($F1149,3)="112",LEFT($F1149,3)="113"),"THU",IF(OR(LEFT($G1149,3)="111",LEFT($G1149,3)="112",LEFT($G1149,3)="113"),"CHI",""))))</f>
        <v/>
      </c>
      <c r="N1149" s="117">
        <f>IF($M1149="THU",$G1149,IF($M1149="CHI",$F1149,""))</f>
        <v/>
      </c>
      <c r="O1149" s="117">
        <f>IF(OR($M1149="",$M1149="NB"),"",IF($J1149&lt;&gt;"",TEXT($J1149,"00"),IFERROR(VLOOKUP(LEFT($N1149,4),LCTT_MAP!$A$7:$C$66,IF($M1149="THU",2,3),FALSE()),IFERROR(VLOOKUP(LEFT($N1149,3),LCTT_MAP!$A$7:$C$66,IF($M1149="THU",2,3),FALSE()),IFERROR(VLOOKUP(LEFT($N1149,2),LCTT_MAP!$A$7:$C$66,IF($M1149="THU",2,3),FALSE()),IFERROR(VLOOKUP(LEFT($N1149,1),LCTT_MAP!$A$7:$C$66,IF($M1149="THU",2,3),FALSE()),IF($M1149="THU","06","07")))))))</f>
        <v/>
      </c>
      <c r="P1149" s="117">
        <f>P1148+IF(AND($H1149&lt;&gt;"",OR(LEFT($F1149,LEN(SC_TK))=SC_TK,LEFT($G1149,LEN(SC_TK))=SC_TK)),1,0)</f>
        <v/>
      </c>
    </row>
    <row r="1150" ht="15" customHeight="1" s="78">
      <c r="A1150" s="95">
        <f>IF($H1150="","",ROW()-6)</f>
        <v/>
      </c>
      <c r="B1150" s="114" t="n"/>
      <c r="C1150" s="102" t="n"/>
      <c r="D1150" s="114" t="n"/>
      <c r="E1150" s="103" t="n"/>
      <c r="F1150" s="102" t="n"/>
      <c r="G1150" s="102" t="n"/>
      <c r="H1150" s="115" t="n"/>
      <c r="I1150" s="102" t="n"/>
      <c r="J1150" s="102" t="n"/>
      <c r="K1150" s="103" t="n"/>
      <c r="L1150" s="116">
        <f>IF($H1150="","",TRIM(IF(COUNTIF(DMTK!$A$7:$A$250,$F1150)=0,"TK Nợ sai! ","")&amp;IF(COUNTIF(DMTK!$A$7:$A$250,$G1150)=0,"TK Có sai! ","")&amp;IF(N($H1150)&lt;=0,"Tiền phải &gt; 0! ","")&amp;IF($B1150="","Thiếu ngày! ","")&amp;IF(AND(OR(LEFT($F1150,3)="131",LEFT($G1150,3)="131",LEFT($F1150,3)="331",LEFT($G1150,3)="331"),$I1150=""),"Thiếu Mã ĐT! ","")&amp;IF(AND($I1150&lt;&gt;"",COUNTIF(DM_DT!$A$7:$A$306,$I1150)=0),"Mã ĐT chưa khai báo! ","")))</f>
        <v/>
      </c>
      <c r="M1150" s="117">
        <f>IF($H1150="","",IF(AND(OR(LEFT($F1150,3)="111",LEFT($F1150,3)="112",LEFT($F1150,3)="113"),OR(LEFT($G1150,3)="111",LEFT($G1150,3)="112",LEFT($G1150,3)="113")),"NB",IF(OR(LEFT($F1150,3)="111",LEFT($F1150,3)="112",LEFT($F1150,3)="113"),"THU",IF(OR(LEFT($G1150,3)="111",LEFT($G1150,3)="112",LEFT($G1150,3)="113"),"CHI",""))))</f>
        <v/>
      </c>
      <c r="N1150" s="117">
        <f>IF($M1150="THU",$G1150,IF($M1150="CHI",$F1150,""))</f>
        <v/>
      </c>
      <c r="O1150" s="117">
        <f>IF(OR($M1150="",$M1150="NB"),"",IF($J1150&lt;&gt;"",TEXT($J1150,"00"),IFERROR(VLOOKUP(LEFT($N1150,4),LCTT_MAP!$A$7:$C$66,IF($M1150="THU",2,3),FALSE()),IFERROR(VLOOKUP(LEFT($N1150,3),LCTT_MAP!$A$7:$C$66,IF($M1150="THU",2,3),FALSE()),IFERROR(VLOOKUP(LEFT($N1150,2),LCTT_MAP!$A$7:$C$66,IF($M1150="THU",2,3),FALSE()),IFERROR(VLOOKUP(LEFT($N1150,1),LCTT_MAP!$A$7:$C$66,IF($M1150="THU",2,3),FALSE()),IF($M1150="THU","06","07")))))))</f>
        <v/>
      </c>
      <c r="P1150" s="117">
        <f>P1149+IF(AND($H1150&lt;&gt;"",OR(LEFT($F1150,LEN(SC_TK))=SC_TK,LEFT($G1150,LEN(SC_TK))=SC_TK)),1,0)</f>
        <v/>
      </c>
    </row>
    <row r="1151" ht="15" customHeight="1" s="78">
      <c r="A1151" s="95">
        <f>IF($H1151="","",ROW()-6)</f>
        <v/>
      </c>
      <c r="B1151" s="114" t="n"/>
      <c r="C1151" s="102" t="n"/>
      <c r="D1151" s="114" t="n"/>
      <c r="E1151" s="103" t="n"/>
      <c r="F1151" s="102" t="n"/>
      <c r="G1151" s="102" t="n"/>
      <c r="H1151" s="115" t="n"/>
      <c r="I1151" s="102" t="n"/>
      <c r="J1151" s="102" t="n"/>
      <c r="K1151" s="103" t="n"/>
      <c r="L1151" s="116">
        <f>IF($H1151="","",TRIM(IF(COUNTIF(DMTK!$A$7:$A$250,$F1151)=0,"TK Nợ sai! ","")&amp;IF(COUNTIF(DMTK!$A$7:$A$250,$G1151)=0,"TK Có sai! ","")&amp;IF(N($H1151)&lt;=0,"Tiền phải &gt; 0! ","")&amp;IF($B1151="","Thiếu ngày! ","")&amp;IF(AND(OR(LEFT($F1151,3)="131",LEFT($G1151,3)="131",LEFT($F1151,3)="331",LEFT($G1151,3)="331"),$I1151=""),"Thiếu Mã ĐT! ","")&amp;IF(AND($I1151&lt;&gt;"",COUNTIF(DM_DT!$A$7:$A$306,$I1151)=0),"Mã ĐT chưa khai báo! ","")))</f>
        <v/>
      </c>
      <c r="M1151" s="117">
        <f>IF($H1151="","",IF(AND(OR(LEFT($F1151,3)="111",LEFT($F1151,3)="112",LEFT($F1151,3)="113"),OR(LEFT($G1151,3)="111",LEFT($G1151,3)="112",LEFT($G1151,3)="113")),"NB",IF(OR(LEFT($F1151,3)="111",LEFT($F1151,3)="112",LEFT($F1151,3)="113"),"THU",IF(OR(LEFT($G1151,3)="111",LEFT($G1151,3)="112",LEFT($G1151,3)="113"),"CHI",""))))</f>
        <v/>
      </c>
      <c r="N1151" s="117">
        <f>IF($M1151="THU",$G1151,IF($M1151="CHI",$F1151,""))</f>
        <v/>
      </c>
      <c r="O1151" s="117">
        <f>IF(OR($M1151="",$M1151="NB"),"",IF($J1151&lt;&gt;"",TEXT($J1151,"00"),IFERROR(VLOOKUP(LEFT($N1151,4),LCTT_MAP!$A$7:$C$66,IF($M1151="THU",2,3),FALSE()),IFERROR(VLOOKUP(LEFT($N1151,3),LCTT_MAP!$A$7:$C$66,IF($M1151="THU",2,3),FALSE()),IFERROR(VLOOKUP(LEFT($N1151,2),LCTT_MAP!$A$7:$C$66,IF($M1151="THU",2,3),FALSE()),IFERROR(VLOOKUP(LEFT($N1151,1),LCTT_MAP!$A$7:$C$66,IF($M1151="THU",2,3),FALSE()),IF($M1151="THU","06","07")))))))</f>
        <v/>
      </c>
      <c r="P1151" s="117">
        <f>P1150+IF(AND($H1151&lt;&gt;"",OR(LEFT($F1151,LEN(SC_TK))=SC_TK,LEFT($G1151,LEN(SC_TK))=SC_TK)),1,0)</f>
        <v/>
      </c>
    </row>
    <row r="1152" ht="15" customHeight="1" s="78">
      <c r="A1152" s="95">
        <f>IF($H1152="","",ROW()-6)</f>
        <v/>
      </c>
      <c r="B1152" s="114" t="n"/>
      <c r="C1152" s="102" t="n"/>
      <c r="D1152" s="114" t="n"/>
      <c r="E1152" s="103" t="n"/>
      <c r="F1152" s="102" t="n"/>
      <c r="G1152" s="102" t="n"/>
      <c r="H1152" s="115" t="n"/>
      <c r="I1152" s="102" t="n"/>
      <c r="J1152" s="102" t="n"/>
      <c r="K1152" s="103" t="n"/>
      <c r="L1152" s="116">
        <f>IF($H1152="","",TRIM(IF(COUNTIF(DMTK!$A$7:$A$250,$F1152)=0,"TK Nợ sai! ","")&amp;IF(COUNTIF(DMTK!$A$7:$A$250,$G1152)=0,"TK Có sai! ","")&amp;IF(N($H1152)&lt;=0,"Tiền phải &gt; 0! ","")&amp;IF($B1152="","Thiếu ngày! ","")&amp;IF(AND(OR(LEFT($F1152,3)="131",LEFT($G1152,3)="131",LEFT($F1152,3)="331",LEFT($G1152,3)="331"),$I1152=""),"Thiếu Mã ĐT! ","")&amp;IF(AND($I1152&lt;&gt;"",COUNTIF(DM_DT!$A$7:$A$306,$I1152)=0),"Mã ĐT chưa khai báo! ","")))</f>
        <v/>
      </c>
      <c r="M1152" s="117">
        <f>IF($H1152="","",IF(AND(OR(LEFT($F1152,3)="111",LEFT($F1152,3)="112",LEFT($F1152,3)="113"),OR(LEFT($G1152,3)="111",LEFT($G1152,3)="112",LEFT($G1152,3)="113")),"NB",IF(OR(LEFT($F1152,3)="111",LEFT($F1152,3)="112",LEFT($F1152,3)="113"),"THU",IF(OR(LEFT($G1152,3)="111",LEFT($G1152,3)="112",LEFT($G1152,3)="113"),"CHI",""))))</f>
        <v/>
      </c>
      <c r="N1152" s="117">
        <f>IF($M1152="THU",$G1152,IF($M1152="CHI",$F1152,""))</f>
        <v/>
      </c>
      <c r="O1152" s="117">
        <f>IF(OR($M1152="",$M1152="NB"),"",IF($J1152&lt;&gt;"",TEXT($J1152,"00"),IFERROR(VLOOKUP(LEFT($N1152,4),LCTT_MAP!$A$7:$C$66,IF($M1152="THU",2,3),FALSE()),IFERROR(VLOOKUP(LEFT($N1152,3),LCTT_MAP!$A$7:$C$66,IF($M1152="THU",2,3),FALSE()),IFERROR(VLOOKUP(LEFT($N1152,2),LCTT_MAP!$A$7:$C$66,IF($M1152="THU",2,3),FALSE()),IFERROR(VLOOKUP(LEFT($N1152,1),LCTT_MAP!$A$7:$C$66,IF($M1152="THU",2,3),FALSE()),IF($M1152="THU","06","07")))))))</f>
        <v/>
      </c>
      <c r="P1152" s="117">
        <f>P1151+IF(AND($H1152&lt;&gt;"",OR(LEFT($F1152,LEN(SC_TK))=SC_TK,LEFT($G1152,LEN(SC_TK))=SC_TK)),1,0)</f>
        <v/>
      </c>
    </row>
    <row r="1153" ht="15" customHeight="1" s="78">
      <c r="A1153" s="95">
        <f>IF($H1153="","",ROW()-6)</f>
        <v/>
      </c>
      <c r="B1153" s="114" t="n"/>
      <c r="C1153" s="102" t="n"/>
      <c r="D1153" s="114" t="n"/>
      <c r="E1153" s="103" t="n"/>
      <c r="F1153" s="102" t="n"/>
      <c r="G1153" s="102" t="n"/>
      <c r="H1153" s="115" t="n"/>
      <c r="I1153" s="102" t="n"/>
      <c r="J1153" s="102" t="n"/>
      <c r="K1153" s="103" t="n"/>
      <c r="L1153" s="116">
        <f>IF($H1153="","",TRIM(IF(COUNTIF(DMTK!$A$7:$A$250,$F1153)=0,"TK Nợ sai! ","")&amp;IF(COUNTIF(DMTK!$A$7:$A$250,$G1153)=0,"TK Có sai! ","")&amp;IF(N($H1153)&lt;=0,"Tiền phải &gt; 0! ","")&amp;IF($B1153="","Thiếu ngày! ","")&amp;IF(AND(OR(LEFT($F1153,3)="131",LEFT($G1153,3)="131",LEFT($F1153,3)="331",LEFT($G1153,3)="331"),$I1153=""),"Thiếu Mã ĐT! ","")&amp;IF(AND($I1153&lt;&gt;"",COUNTIF(DM_DT!$A$7:$A$306,$I1153)=0),"Mã ĐT chưa khai báo! ","")))</f>
        <v/>
      </c>
      <c r="M1153" s="117">
        <f>IF($H1153="","",IF(AND(OR(LEFT($F1153,3)="111",LEFT($F1153,3)="112",LEFT($F1153,3)="113"),OR(LEFT($G1153,3)="111",LEFT($G1153,3)="112",LEFT($G1153,3)="113")),"NB",IF(OR(LEFT($F1153,3)="111",LEFT($F1153,3)="112",LEFT($F1153,3)="113"),"THU",IF(OR(LEFT($G1153,3)="111",LEFT($G1153,3)="112",LEFT($G1153,3)="113"),"CHI",""))))</f>
        <v/>
      </c>
      <c r="N1153" s="117">
        <f>IF($M1153="THU",$G1153,IF($M1153="CHI",$F1153,""))</f>
        <v/>
      </c>
      <c r="O1153" s="117">
        <f>IF(OR($M1153="",$M1153="NB"),"",IF($J1153&lt;&gt;"",TEXT($J1153,"00"),IFERROR(VLOOKUP(LEFT($N1153,4),LCTT_MAP!$A$7:$C$66,IF($M1153="THU",2,3),FALSE()),IFERROR(VLOOKUP(LEFT($N1153,3),LCTT_MAP!$A$7:$C$66,IF($M1153="THU",2,3),FALSE()),IFERROR(VLOOKUP(LEFT($N1153,2),LCTT_MAP!$A$7:$C$66,IF($M1153="THU",2,3),FALSE()),IFERROR(VLOOKUP(LEFT($N1153,1),LCTT_MAP!$A$7:$C$66,IF($M1153="THU",2,3),FALSE()),IF($M1153="THU","06","07")))))))</f>
        <v/>
      </c>
      <c r="P1153" s="117">
        <f>P1152+IF(AND($H1153&lt;&gt;"",OR(LEFT($F1153,LEN(SC_TK))=SC_TK,LEFT($G1153,LEN(SC_TK))=SC_TK)),1,0)</f>
        <v/>
      </c>
    </row>
    <row r="1154" ht="15" customHeight="1" s="78">
      <c r="A1154" s="95">
        <f>IF($H1154="","",ROW()-6)</f>
        <v/>
      </c>
      <c r="B1154" s="114" t="n"/>
      <c r="C1154" s="102" t="n"/>
      <c r="D1154" s="114" t="n"/>
      <c r="E1154" s="103" t="n"/>
      <c r="F1154" s="102" t="n"/>
      <c r="G1154" s="102" t="n"/>
      <c r="H1154" s="115" t="n"/>
      <c r="I1154" s="102" t="n"/>
      <c r="J1154" s="102" t="n"/>
      <c r="K1154" s="103" t="n"/>
      <c r="L1154" s="116">
        <f>IF($H1154="","",TRIM(IF(COUNTIF(DMTK!$A$7:$A$250,$F1154)=0,"TK Nợ sai! ","")&amp;IF(COUNTIF(DMTK!$A$7:$A$250,$G1154)=0,"TK Có sai! ","")&amp;IF(N($H1154)&lt;=0,"Tiền phải &gt; 0! ","")&amp;IF($B1154="","Thiếu ngày! ","")&amp;IF(AND(OR(LEFT($F1154,3)="131",LEFT($G1154,3)="131",LEFT($F1154,3)="331",LEFT($G1154,3)="331"),$I1154=""),"Thiếu Mã ĐT! ","")&amp;IF(AND($I1154&lt;&gt;"",COUNTIF(DM_DT!$A$7:$A$306,$I1154)=0),"Mã ĐT chưa khai báo! ","")))</f>
        <v/>
      </c>
      <c r="M1154" s="117">
        <f>IF($H1154="","",IF(AND(OR(LEFT($F1154,3)="111",LEFT($F1154,3)="112",LEFT($F1154,3)="113"),OR(LEFT($G1154,3)="111",LEFT($G1154,3)="112",LEFT($G1154,3)="113")),"NB",IF(OR(LEFT($F1154,3)="111",LEFT($F1154,3)="112",LEFT($F1154,3)="113"),"THU",IF(OR(LEFT($G1154,3)="111",LEFT($G1154,3)="112",LEFT($G1154,3)="113"),"CHI",""))))</f>
        <v/>
      </c>
      <c r="N1154" s="117">
        <f>IF($M1154="THU",$G1154,IF($M1154="CHI",$F1154,""))</f>
        <v/>
      </c>
      <c r="O1154" s="117">
        <f>IF(OR($M1154="",$M1154="NB"),"",IF($J1154&lt;&gt;"",TEXT($J1154,"00"),IFERROR(VLOOKUP(LEFT($N1154,4),LCTT_MAP!$A$7:$C$66,IF($M1154="THU",2,3),FALSE()),IFERROR(VLOOKUP(LEFT($N1154,3),LCTT_MAP!$A$7:$C$66,IF($M1154="THU",2,3),FALSE()),IFERROR(VLOOKUP(LEFT($N1154,2),LCTT_MAP!$A$7:$C$66,IF($M1154="THU",2,3),FALSE()),IFERROR(VLOOKUP(LEFT($N1154,1),LCTT_MAP!$A$7:$C$66,IF($M1154="THU",2,3),FALSE()),IF($M1154="THU","06","07")))))))</f>
        <v/>
      </c>
      <c r="P1154" s="117">
        <f>P1153+IF(AND($H1154&lt;&gt;"",OR(LEFT($F1154,LEN(SC_TK))=SC_TK,LEFT($G1154,LEN(SC_TK))=SC_TK)),1,0)</f>
        <v/>
      </c>
    </row>
    <row r="1155" ht="15" customHeight="1" s="78">
      <c r="A1155" s="95">
        <f>IF($H1155="","",ROW()-6)</f>
        <v/>
      </c>
      <c r="B1155" s="114" t="n"/>
      <c r="C1155" s="102" t="n"/>
      <c r="D1155" s="114" t="n"/>
      <c r="E1155" s="103" t="n"/>
      <c r="F1155" s="102" t="n"/>
      <c r="G1155" s="102" t="n"/>
      <c r="H1155" s="115" t="n"/>
      <c r="I1155" s="102" t="n"/>
      <c r="J1155" s="102" t="n"/>
      <c r="K1155" s="103" t="n"/>
      <c r="L1155" s="116">
        <f>IF($H1155="","",TRIM(IF(COUNTIF(DMTK!$A$7:$A$250,$F1155)=0,"TK Nợ sai! ","")&amp;IF(COUNTIF(DMTK!$A$7:$A$250,$G1155)=0,"TK Có sai! ","")&amp;IF(N($H1155)&lt;=0,"Tiền phải &gt; 0! ","")&amp;IF($B1155="","Thiếu ngày! ","")&amp;IF(AND(OR(LEFT($F1155,3)="131",LEFT($G1155,3)="131",LEFT($F1155,3)="331",LEFT($G1155,3)="331"),$I1155=""),"Thiếu Mã ĐT! ","")&amp;IF(AND($I1155&lt;&gt;"",COUNTIF(DM_DT!$A$7:$A$306,$I1155)=0),"Mã ĐT chưa khai báo! ","")))</f>
        <v/>
      </c>
      <c r="M1155" s="117">
        <f>IF($H1155="","",IF(AND(OR(LEFT($F1155,3)="111",LEFT($F1155,3)="112",LEFT($F1155,3)="113"),OR(LEFT($G1155,3)="111",LEFT($G1155,3)="112",LEFT($G1155,3)="113")),"NB",IF(OR(LEFT($F1155,3)="111",LEFT($F1155,3)="112",LEFT($F1155,3)="113"),"THU",IF(OR(LEFT($G1155,3)="111",LEFT($G1155,3)="112",LEFT($G1155,3)="113"),"CHI",""))))</f>
        <v/>
      </c>
      <c r="N1155" s="117">
        <f>IF($M1155="THU",$G1155,IF($M1155="CHI",$F1155,""))</f>
        <v/>
      </c>
      <c r="O1155" s="117">
        <f>IF(OR($M1155="",$M1155="NB"),"",IF($J1155&lt;&gt;"",TEXT($J1155,"00"),IFERROR(VLOOKUP(LEFT($N1155,4),LCTT_MAP!$A$7:$C$66,IF($M1155="THU",2,3),FALSE()),IFERROR(VLOOKUP(LEFT($N1155,3),LCTT_MAP!$A$7:$C$66,IF($M1155="THU",2,3),FALSE()),IFERROR(VLOOKUP(LEFT($N1155,2),LCTT_MAP!$A$7:$C$66,IF($M1155="THU",2,3),FALSE()),IFERROR(VLOOKUP(LEFT($N1155,1),LCTT_MAP!$A$7:$C$66,IF($M1155="THU",2,3),FALSE()),IF($M1155="THU","06","07")))))))</f>
        <v/>
      </c>
      <c r="P1155" s="117">
        <f>P1154+IF(AND($H1155&lt;&gt;"",OR(LEFT($F1155,LEN(SC_TK))=SC_TK,LEFT($G1155,LEN(SC_TK))=SC_TK)),1,0)</f>
        <v/>
      </c>
    </row>
    <row r="1156" ht="15" customHeight="1" s="78">
      <c r="A1156" s="95">
        <f>IF($H1156="","",ROW()-6)</f>
        <v/>
      </c>
      <c r="B1156" s="114" t="n"/>
      <c r="C1156" s="102" t="n"/>
      <c r="D1156" s="114" t="n"/>
      <c r="E1156" s="103" t="n"/>
      <c r="F1156" s="102" t="n"/>
      <c r="G1156" s="102" t="n"/>
      <c r="H1156" s="115" t="n"/>
      <c r="I1156" s="102" t="n"/>
      <c r="J1156" s="102" t="n"/>
      <c r="K1156" s="103" t="n"/>
      <c r="L1156" s="116">
        <f>IF($H1156="","",TRIM(IF(COUNTIF(DMTK!$A$7:$A$250,$F1156)=0,"TK Nợ sai! ","")&amp;IF(COUNTIF(DMTK!$A$7:$A$250,$G1156)=0,"TK Có sai! ","")&amp;IF(N($H1156)&lt;=0,"Tiền phải &gt; 0! ","")&amp;IF($B1156="","Thiếu ngày! ","")&amp;IF(AND(OR(LEFT($F1156,3)="131",LEFT($G1156,3)="131",LEFT($F1156,3)="331",LEFT($G1156,3)="331"),$I1156=""),"Thiếu Mã ĐT! ","")&amp;IF(AND($I1156&lt;&gt;"",COUNTIF(DM_DT!$A$7:$A$306,$I1156)=0),"Mã ĐT chưa khai báo! ","")))</f>
        <v/>
      </c>
      <c r="M1156" s="117">
        <f>IF($H1156="","",IF(AND(OR(LEFT($F1156,3)="111",LEFT($F1156,3)="112",LEFT($F1156,3)="113"),OR(LEFT($G1156,3)="111",LEFT($G1156,3)="112",LEFT($G1156,3)="113")),"NB",IF(OR(LEFT($F1156,3)="111",LEFT($F1156,3)="112",LEFT($F1156,3)="113"),"THU",IF(OR(LEFT($G1156,3)="111",LEFT($G1156,3)="112",LEFT($G1156,3)="113"),"CHI",""))))</f>
        <v/>
      </c>
      <c r="N1156" s="117">
        <f>IF($M1156="THU",$G1156,IF($M1156="CHI",$F1156,""))</f>
        <v/>
      </c>
      <c r="O1156" s="117">
        <f>IF(OR($M1156="",$M1156="NB"),"",IF($J1156&lt;&gt;"",TEXT($J1156,"00"),IFERROR(VLOOKUP(LEFT($N1156,4),LCTT_MAP!$A$7:$C$66,IF($M1156="THU",2,3),FALSE()),IFERROR(VLOOKUP(LEFT($N1156,3),LCTT_MAP!$A$7:$C$66,IF($M1156="THU",2,3),FALSE()),IFERROR(VLOOKUP(LEFT($N1156,2),LCTT_MAP!$A$7:$C$66,IF($M1156="THU",2,3),FALSE()),IFERROR(VLOOKUP(LEFT($N1156,1),LCTT_MAP!$A$7:$C$66,IF($M1156="THU",2,3),FALSE()),IF($M1156="THU","06","07")))))))</f>
        <v/>
      </c>
      <c r="P1156" s="117">
        <f>P1155+IF(AND($H1156&lt;&gt;"",OR(LEFT($F1156,LEN(SC_TK))=SC_TK,LEFT($G1156,LEN(SC_TK))=SC_TK)),1,0)</f>
        <v/>
      </c>
    </row>
    <row r="1157" ht="15" customHeight="1" s="78">
      <c r="A1157" s="95">
        <f>IF($H1157="","",ROW()-6)</f>
        <v/>
      </c>
      <c r="B1157" s="114" t="n"/>
      <c r="C1157" s="102" t="n"/>
      <c r="D1157" s="114" t="n"/>
      <c r="E1157" s="103" t="n"/>
      <c r="F1157" s="102" t="n"/>
      <c r="G1157" s="102" t="n"/>
      <c r="H1157" s="115" t="n"/>
      <c r="I1157" s="102" t="n"/>
      <c r="J1157" s="102" t="n"/>
      <c r="K1157" s="103" t="n"/>
      <c r="L1157" s="116">
        <f>IF($H1157="","",TRIM(IF(COUNTIF(DMTK!$A$7:$A$250,$F1157)=0,"TK Nợ sai! ","")&amp;IF(COUNTIF(DMTK!$A$7:$A$250,$G1157)=0,"TK Có sai! ","")&amp;IF(N($H1157)&lt;=0,"Tiền phải &gt; 0! ","")&amp;IF($B1157="","Thiếu ngày! ","")&amp;IF(AND(OR(LEFT($F1157,3)="131",LEFT($G1157,3)="131",LEFT($F1157,3)="331",LEFT($G1157,3)="331"),$I1157=""),"Thiếu Mã ĐT! ","")&amp;IF(AND($I1157&lt;&gt;"",COUNTIF(DM_DT!$A$7:$A$306,$I1157)=0),"Mã ĐT chưa khai báo! ","")))</f>
        <v/>
      </c>
      <c r="M1157" s="117">
        <f>IF($H1157="","",IF(AND(OR(LEFT($F1157,3)="111",LEFT($F1157,3)="112",LEFT($F1157,3)="113"),OR(LEFT($G1157,3)="111",LEFT($G1157,3)="112",LEFT($G1157,3)="113")),"NB",IF(OR(LEFT($F1157,3)="111",LEFT($F1157,3)="112",LEFT($F1157,3)="113"),"THU",IF(OR(LEFT($G1157,3)="111",LEFT($G1157,3)="112",LEFT($G1157,3)="113"),"CHI",""))))</f>
        <v/>
      </c>
      <c r="N1157" s="117">
        <f>IF($M1157="THU",$G1157,IF($M1157="CHI",$F1157,""))</f>
        <v/>
      </c>
      <c r="O1157" s="117">
        <f>IF(OR($M1157="",$M1157="NB"),"",IF($J1157&lt;&gt;"",TEXT($J1157,"00"),IFERROR(VLOOKUP(LEFT($N1157,4),LCTT_MAP!$A$7:$C$66,IF($M1157="THU",2,3),FALSE()),IFERROR(VLOOKUP(LEFT($N1157,3),LCTT_MAP!$A$7:$C$66,IF($M1157="THU",2,3),FALSE()),IFERROR(VLOOKUP(LEFT($N1157,2),LCTT_MAP!$A$7:$C$66,IF($M1157="THU",2,3),FALSE()),IFERROR(VLOOKUP(LEFT($N1157,1),LCTT_MAP!$A$7:$C$66,IF($M1157="THU",2,3),FALSE()),IF($M1157="THU","06","07")))))))</f>
        <v/>
      </c>
      <c r="P1157" s="117">
        <f>P1156+IF(AND($H1157&lt;&gt;"",OR(LEFT($F1157,LEN(SC_TK))=SC_TK,LEFT($G1157,LEN(SC_TK))=SC_TK)),1,0)</f>
        <v/>
      </c>
    </row>
    <row r="1158" ht="15" customHeight="1" s="78">
      <c r="A1158" s="95">
        <f>IF($H1158="","",ROW()-6)</f>
        <v/>
      </c>
      <c r="B1158" s="114" t="n"/>
      <c r="C1158" s="102" t="n"/>
      <c r="D1158" s="114" t="n"/>
      <c r="E1158" s="103" t="n"/>
      <c r="F1158" s="102" t="n"/>
      <c r="G1158" s="102" t="n"/>
      <c r="H1158" s="115" t="n"/>
      <c r="I1158" s="102" t="n"/>
      <c r="J1158" s="102" t="n"/>
      <c r="K1158" s="103" t="n"/>
      <c r="L1158" s="116">
        <f>IF($H1158="","",TRIM(IF(COUNTIF(DMTK!$A$7:$A$250,$F1158)=0,"TK Nợ sai! ","")&amp;IF(COUNTIF(DMTK!$A$7:$A$250,$G1158)=0,"TK Có sai! ","")&amp;IF(N($H1158)&lt;=0,"Tiền phải &gt; 0! ","")&amp;IF($B1158="","Thiếu ngày! ","")&amp;IF(AND(OR(LEFT($F1158,3)="131",LEFT($G1158,3)="131",LEFT($F1158,3)="331",LEFT($G1158,3)="331"),$I1158=""),"Thiếu Mã ĐT! ","")&amp;IF(AND($I1158&lt;&gt;"",COUNTIF(DM_DT!$A$7:$A$306,$I1158)=0),"Mã ĐT chưa khai báo! ","")))</f>
        <v/>
      </c>
      <c r="M1158" s="117">
        <f>IF($H1158="","",IF(AND(OR(LEFT($F1158,3)="111",LEFT($F1158,3)="112",LEFT($F1158,3)="113"),OR(LEFT($G1158,3)="111",LEFT($G1158,3)="112",LEFT($G1158,3)="113")),"NB",IF(OR(LEFT($F1158,3)="111",LEFT($F1158,3)="112",LEFT($F1158,3)="113"),"THU",IF(OR(LEFT($G1158,3)="111",LEFT($G1158,3)="112",LEFT($G1158,3)="113"),"CHI",""))))</f>
        <v/>
      </c>
      <c r="N1158" s="117">
        <f>IF($M1158="THU",$G1158,IF($M1158="CHI",$F1158,""))</f>
        <v/>
      </c>
      <c r="O1158" s="117">
        <f>IF(OR($M1158="",$M1158="NB"),"",IF($J1158&lt;&gt;"",TEXT($J1158,"00"),IFERROR(VLOOKUP(LEFT($N1158,4),LCTT_MAP!$A$7:$C$66,IF($M1158="THU",2,3),FALSE()),IFERROR(VLOOKUP(LEFT($N1158,3),LCTT_MAP!$A$7:$C$66,IF($M1158="THU",2,3),FALSE()),IFERROR(VLOOKUP(LEFT($N1158,2),LCTT_MAP!$A$7:$C$66,IF($M1158="THU",2,3),FALSE()),IFERROR(VLOOKUP(LEFT($N1158,1),LCTT_MAP!$A$7:$C$66,IF($M1158="THU",2,3),FALSE()),IF($M1158="THU","06","07")))))))</f>
        <v/>
      </c>
      <c r="P1158" s="117">
        <f>P1157+IF(AND($H1158&lt;&gt;"",OR(LEFT($F1158,LEN(SC_TK))=SC_TK,LEFT($G1158,LEN(SC_TK))=SC_TK)),1,0)</f>
        <v/>
      </c>
    </row>
    <row r="1159" ht="15" customHeight="1" s="78">
      <c r="A1159" s="95">
        <f>IF($H1159="","",ROW()-6)</f>
        <v/>
      </c>
      <c r="B1159" s="114" t="n"/>
      <c r="C1159" s="102" t="n"/>
      <c r="D1159" s="114" t="n"/>
      <c r="E1159" s="103" t="n"/>
      <c r="F1159" s="102" t="n"/>
      <c r="G1159" s="102" t="n"/>
      <c r="H1159" s="115" t="n"/>
      <c r="I1159" s="102" t="n"/>
      <c r="J1159" s="102" t="n"/>
      <c r="K1159" s="103" t="n"/>
      <c r="L1159" s="116">
        <f>IF($H1159="","",TRIM(IF(COUNTIF(DMTK!$A$7:$A$250,$F1159)=0,"TK Nợ sai! ","")&amp;IF(COUNTIF(DMTK!$A$7:$A$250,$G1159)=0,"TK Có sai! ","")&amp;IF(N($H1159)&lt;=0,"Tiền phải &gt; 0! ","")&amp;IF($B1159="","Thiếu ngày! ","")&amp;IF(AND(OR(LEFT($F1159,3)="131",LEFT($G1159,3)="131",LEFT($F1159,3)="331",LEFT($G1159,3)="331"),$I1159=""),"Thiếu Mã ĐT! ","")&amp;IF(AND($I1159&lt;&gt;"",COUNTIF(DM_DT!$A$7:$A$306,$I1159)=0),"Mã ĐT chưa khai báo! ","")))</f>
        <v/>
      </c>
      <c r="M1159" s="117">
        <f>IF($H1159="","",IF(AND(OR(LEFT($F1159,3)="111",LEFT($F1159,3)="112",LEFT($F1159,3)="113"),OR(LEFT($G1159,3)="111",LEFT($G1159,3)="112",LEFT($G1159,3)="113")),"NB",IF(OR(LEFT($F1159,3)="111",LEFT($F1159,3)="112",LEFT($F1159,3)="113"),"THU",IF(OR(LEFT($G1159,3)="111",LEFT($G1159,3)="112",LEFT($G1159,3)="113"),"CHI",""))))</f>
        <v/>
      </c>
      <c r="N1159" s="117">
        <f>IF($M1159="THU",$G1159,IF($M1159="CHI",$F1159,""))</f>
        <v/>
      </c>
      <c r="O1159" s="117">
        <f>IF(OR($M1159="",$M1159="NB"),"",IF($J1159&lt;&gt;"",TEXT($J1159,"00"),IFERROR(VLOOKUP(LEFT($N1159,4),LCTT_MAP!$A$7:$C$66,IF($M1159="THU",2,3),FALSE()),IFERROR(VLOOKUP(LEFT($N1159,3),LCTT_MAP!$A$7:$C$66,IF($M1159="THU",2,3),FALSE()),IFERROR(VLOOKUP(LEFT($N1159,2),LCTT_MAP!$A$7:$C$66,IF($M1159="THU",2,3),FALSE()),IFERROR(VLOOKUP(LEFT($N1159,1),LCTT_MAP!$A$7:$C$66,IF($M1159="THU",2,3),FALSE()),IF($M1159="THU","06","07")))))))</f>
        <v/>
      </c>
      <c r="P1159" s="117">
        <f>P1158+IF(AND($H1159&lt;&gt;"",OR(LEFT($F1159,LEN(SC_TK))=SC_TK,LEFT($G1159,LEN(SC_TK))=SC_TK)),1,0)</f>
        <v/>
      </c>
    </row>
    <row r="1160" ht="15" customHeight="1" s="78">
      <c r="A1160" s="95">
        <f>IF($H1160="","",ROW()-6)</f>
        <v/>
      </c>
      <c r="B1160" s="114" t="n"/>
      <c r="C1160" s="102" t="n"/>
      <c r="D1160" s="114" t="n"/>
      <c r="E1160" s="103" t="n"/>
      <c r="F1160" s="102" t="n"/>
      <c r="G1160" s="102" t="n"/>
      <c r="H1160" s="115" t="n"/>
      <c r="I1160" s="102" t="n"/>
      <c r="J1160" s="102" t="n"/>
      <c r="K1160" s="103" t="n"/>
      <c r="L1160" s="116">
        <f>IF($H1160="","",TRIM(IF(COUNTIF(DMTK!$A$7:$A$250,$F1160)=0,"TK Nợ sai! ","")&amp;IF(COUNTIF(DMTK!$A$7:$A$250,$G1160)=0,"TK Có sai! ","")&amp;IF(N($H1160)&lt;=0,"Tiền phải &gt; 0! ","")&amp;IF($B1160="","Thiếu ngày! ","")&amp;IF(AND(OR(LEFT($F1160,3)="131",LEFT($G1160,3)="131",LEFT($F1160,3)="331",LEFT($G1160,3)="331"),$I1160=""),"Thiếu Mã ĐT! ","")&amp;IF(AND($I1160&lt;&gt;"",COUNTIF(DM_DT!$A$7:$A$306,$I1160)=0),"Mã ĐT chưa khai báo! ","")))</f>
        <v/>
      </c>
      <c r="M1160" s="117">
        <f>IF($H1160="","",IF(AND(OR(LEFT($F1160,3)="111",LEFT($F1160,3)="112",LEFT($F1160,3)="113"),OR(LEFT($G1160,3)="111",LEFT($G1160,3)="112",LEFT($G1160,3)="113")),"NB",IF(OR(LEFT($F1160,3)="111",LEFT($F1160,3)="112",LEFT($F1160,3)="113"),"THU",IF(OR(LEFT($G1160,3)="111",LEFT($G1160,3)="112",LEFT($G1160,3)="113"),"CHI",""))))</f>
        <v/>
      </c>
      <c r="N1160" s="117">
        <f>IF($M1160="THU",$G1160,IF($M1160="CHI",$F1160,""))</f>
        <v/>
      </c>
      <c r="O1160" s="117">
        <f>IF(OR($M1160="",$M1160="NB"),"",IF($J1160&lt;&gt;"",TEXT($J1160,"00"),IFERROR(VLOOKUP(LEFT($N1160,4),LCTT_MAP!$A$7:$C$66,IF($M1160="THU",2,3),FALSE()),IFERROR(VLOOKUP(LEFT($N1160,3),LCTT_MAP!$A$7:$C$66,IF($M1160="THU",2,3),FALSE()),IFERROR(VLOOKUP(LEFT($N1160,2),LCTT_MAP!$A$7:$C$66,IF($M1160="THU",2,3),FALSE()),IFERROR(VLOOKUP(LEFT($N1160,1),LCTT_MAP!$A$7:$C$66,IF($M1160="THU",2,3),FALSE()),IF($M1160="THU","06","07")))))))</f>
        <v/>
      </c>
      <c r="P1160" s="117">
        <f>P1159+IF(AND($H1160&lt;&gt;"",OR(LEFT($F1160,LEN(SC_TK))=SC_TK,LEFT($G1160,LEN(SC_TK))=SC_TK)),1,0)</f>
        <v/>
      </c>
    </row>
    <row r="1161" ht="15" customHeight="1" s="78">
      <c r="A1161" s="95">
        <f>IF($H1161="","",ROW()-6)</f>
        <v/>
      </c>
      <c r="B1161" s="114" t="n"/>
      <c r="C1161" s="102" t="n"/>
      <c r="D1161" s="114" t="n"/>
      <c r="E1161" s="103" t="n"/>
      <c r="F1161" s="102" t="n"/>
      <c r="G1161" s="102" t="n"/>
      <c r="H1161" s="115" t="n"/>
      <c r="I1161" s="102" t="n"/>
      <c r="J1161" s="102" t="n"/>
      <c r="K1161" s="103" t="n"/>
      <c r="L1161" s="116">
        <f>IF($H1161="","",TRIM(IF(COUNTIF(DMTK!$A$7:$A$250,$F1161)=0,"TK Nợ sai! ","")&amp;IF(COUNTIF(DMTK!$A$7:$A$250,$G1161)=0,"TK Có sai! ","")&amp;IF(N($H1161)&lt;=0,"Tiền phải &gt; 0! ","")&amp;IF($B1161="","Thiếu ngày! ","")&amp;IF(AND(OR(LEFT($F1161,3)="131",LEFT($G1161,3)="131",LEFT($F1161,3)="331",LEFT($G1161,3)="331"),$I1161=""),"Thiếu Mã ĐT! ","")&amp;IF(AND($I1161&lt;&gt;"",COUNTIF(DM_DT!$A$7:$A$306,$I1161)=0),"Mã ĐT chưa khai báo! ","")))</f>
        <v/>
      </c>
      <c r="M1161" s="117">
        <f>IF($H1161="","",IF(AND(OR(LEFT($F1161,3)="111",LEFT($F1161,3)="112",LEFT($F1161,3)="113"),OR(LEFT($G1161,3)="111",LEFT($G1161,3)="112",LEFT($G1161,3)="113")),"NB",IF(OR(LEFT($F1161,3)="111",LEFT($F1161,3)="112",LEFT($F1161,3)="113"),"THU",IF(OR(LEFT($G1161,3)="111",LEFT($G1161,3)="112",LEFT($G1161,3)="113"),"CHI",""))))</f>
        <v/>
      </c>
      <c r="N1161" s="117">
        <f>IF($M1161="THU",$G1161,IF($M1161="CHI",$F1161,""))</f>
        <v/>
      </c>
      <c r="O1161" s="117">
        <f>IF(OR($M1161="",$M1161="NB"),"",IF($J1161&lt;&gt;"",TEXT($J1161,"00"),IFERROR(VLOOKUP(LEFT($N1161,4),LCTT_MAP!$A$7:$C$66,IF($M1161="THU",2,3),FALSE()),IFERROR(VLOOKUP(LEFT($N1161,3),LCTT_MAP!$A$7:$C$66,IF($M1161="THU",2,3),FALSE()),IFERROR(VLOOKUP(LEFT($N1161,2),LCTT_MAP!$A$7:$C$66,IF($M1161="THU",2,3),FALSE()),IFERROR(VLOOKUP(LEFT($N1161,1),LCTT_MAP!$A$7:$C$66,IF($M1161="THU",2,3),FALSE()),IF($M1161="THU","06","07")))))))</f>
        <v/>
      </c>
      <c r="P1161" s="117">
        <f>P1160+IF(AND($H1161&lt;&gt;"",OR(LEFT($F1161,LEN(SC_TK))=SC_TK,LEFT($G1161,LEN(SC_TK))=SC_TK)),1,0)</f>
        <v/>
      </c>
    </row>
    <row r="1162" ht="15" customHeight="1" s="78">
      <c r="A1162" s="95">
        <f>IF($H1162="","",ROW()-6)</f>
        <v/>
      </c>
      <c r="B1162" s="114" t="n"/>
      <c r="C1162" s="102" t="n"/>
      <c r="D1162" s="114" t="n"/>
      <c r="E1162" s="103" t="n"/>
      <c r="F1162" s="102" t="n"/>
      <c r="G1162" s="102" t="n"/>
      <c r="H1162" s="115" t="n"/>
      <c r="I1162" s="102" t="n"/>
      <c r="J1162" s="102" t="n"/>
      <c r="K1162" s="103" t="n"/>
      <c r="L1162" s="116">
        <f>IF($H1162="","",TRIM(IF(COUNTIF(DMTK!$A$7:$A$250,$F1162)=0,"TK Nợ sai! ","")&amp;IF(COUNTIF(DMTK!$A$7:$A$250,$G1162)=0,"TK Có sai! ","")&amp;IF(N($H1162)&lt;=0,"Tiền phải &gt; 0! ","")&amp;IF($B1162="","Thiếu ngày! ","")&amp;IF(AND(OR(LEFT($F1162,3)="131",LEFT($G1162,3)="131",LEFT($F1162,3)="331",LEFT($G1162,3)="331"),$I1162=""),"Thiếu Mã ĐT! ","")&amp;IF(AND($I1162&lt;&gt;"",COUNTIF(DM_DT!$A$7:$A$306,$I1162)=0),"Mã ĐT chưa khai báo! ","")))</f>
        <v/>
      </c>
      <c r="M1162" s="117">
        <f>IF($H1162="","",IF(AND(OR(LEFT($F1162,3)="111",LEFT($F1162,3)="112",LEFT($F1162,3)="113"),OR(LEFT($G1162,3)="111",LEFT($G1162,3)="112",LEFT($G1162,3)="113")),"NB",IF(OR(LEFT($F1162,3)="111",LEFT($F1162,3)="112",LEFT($F1162,3)="113"),"THU",IF(OR(LEFT($G1162,3)="111",LEFT($G1162,3)="112",LEFT($G1162,3)="113"),"CHI",""))))</f>
        <v/>
      </c>
      <c r="N1162" s="117">
        <f>IF($M1162="THU",$G1162,IF($M1162="CHI",$F1162,""))</f>
        <v/>
      </c>
      <c r="O1162" s="117">
        <f>IF(OR($M1162="",$M1162="NB"),"",IF($J1162&lt;&gt;"",TEXT($J1162,"00"),IFERROR(VLOOKUP(LEFT($N1162,4),LCTT_MAP!$A$7:$C$66,IF($M1162="THU",2,3),FALSE()),IFERROR(VLOOKUP(LEFT($N1162,3),LCTT_MAP!$A$7:$C$66,IF($M1162="THU",2,3),FALSE()),IFERROR(VLOOKUP(LEFT($N1162,2),LCTT_MAP!$A$7:$C$66,IF($M1162="THU",2,3),FALSE()),IFERROR(VLOOKUP(LEFT($N1162,1),LCTT_MAP!$A$7:$C$66,IF($M1162="THU",2,3),FALSE()),IF($M1162="THU","06","07")))))))</f>
        <v/>
      </c>
      <c r="P1162" s="117">
        <f>P1161+IF(AND($H1162&lt;&gt;"",OR(LEFT($F1162,LEN(SC_TK))=SC_TK,LEFT($G1162,LEN(SC_TK))=SC_TK)),1,0)</f>
        <v/>
      </c>
    </row>
    <row r="1163" ht="15" customHeight="1" s="78">
      <c r="A1163" s="95">
        <f>IF($H1163="","",ROW()-6)</f>
        <v/>
      </c>
      <c r="B1163" s="114" t="n"/>
      <c r="C1163" s="102" t="n"/>
      <c r="D1163" s="114" t="n"/>
      <c r="E1163" s="103" t="n"/>
      <c r="F1163" s="102" t="n"/>
      <c r="G1163" s="102" t="n"/>
      <c r="H1163" s="115" t="n"/>
      <c r="I1163" s="102" t="n"/>
      <c r="J1163" s="102" t="n"/>
      <c r="K1163" s="103" t="n"/>
      <c r="L1163" s="116">
        <f>IF($H1163="","",TRIM(IF(COUNTIF(DMTK!$A$7:$A$250,$F1163)=0,"TK Nợ sai! ","")&amp;IF(COUNTIF(DMTK!$A$7:$A$250,$G1163)=0,"TK Có sai! ","")&amp;IF(N($H1163)&lt;=0,"Tiền phải &gt; 0! ","")&amp;IF($B1163="","Thiếu ngày! ","")&amp;IF(AND(OR(LEFT($F1163,3)="131",LEFT($G1163,3)="131",LEFT($F1163,3)="331",LEFT($G1163,3)="331"),$I1163=""),"Thiếu Mã ĐT! ","")&amp;IF(AND($I1163&lt;&gt;"",COUNTIF(DM_DT!$A$7:$A$306,$I1163)=0),"Mã ĐT chưa khai báo! ","")))</f>
        <v/>
      </c>
      <c r="M1163" s="117">
        <f>IF($H1163="","",IF(AND(OR(LEFT($F1163,3)="111",LEFT($F1163,3)="112",LEFT($F1163,3)="113"),OR(LEFT($G1163,3)="111",LEFT($G1163,3)="112",LEFT($G1163,3)="113")),"NB",IF(OR(LEFT($F1163,3)="111",LEFT($F1163,3)="112",LEFT($F1163,3)="113"),"THU",IF(OR(LEFT($G1163,3)="111",LEFT($G1163,3)="112",LEFT($G1163,3)="113"),"CHI",""))))</f>
        <v/>
      </c>
      <c r="N1163" s="117">
        <f>IF($M1163="THU",$G1163,IF($M1163="CHI",$F1163,""))</f>
        <v/>
      </c>
      <c r="O1163" s="117">
        <f>IF(OR($M1163="",$M1163="NB"),"",IF($J1163&lt;&gt;"",TEXT($J1163,"00"),IFERROR(VLOOKUP(LEFT($N1163,4),LCTT_MAP!$A$7:$C$66,IF($M1163="THU",2,3),FALSE()),IFERROR(VLOOKUP(LEFT($N1163,3),LCTT_MAP!$A$7:$C$66,IF($M1163="THU",2,3),FALSE()),IFERROR(VLOOKUP(LEFT($N1163,2),LCTT_MAP!$A$7:$C$66,IF($M1163="THU",2,3),FALSE()),IFERROR(VLOOKUP(LEFT($N1163,1),LCTT_MAP!$A$7:$C$66,IF($M1163="THU",2,3),FALSE()),IF($M1163="THU","06","07")))))))</f>
        <v/>
      </c>
      <c r="P1163" s="117">
        <f>P1162+IF(AND($H1163&lt;&gt;"",OR(LEFT($F1163,LEN(SC_TK))=SC_TK,LEFT($G1163,LEN(SC_TK))=SC_TK)),1,0)</f>
        <v/>
      </c>
    </row>
    <row r="1164" ht="15" customHeight="1" s="78">
      <c r="A1164" s="95">
        <f>IF($H1164="","",ROW()-6)</f>
        <v/>
      </c>
      <c r="B1164" s="114" t="n"/>
      <c r="C1164" s="102" t="n"/>
      <c r="D1164" s="114" t="n"/>
      <c r="E1164" s="103" t="n"/>
      <c r="F1164" s="102" t="n"/>
      <c r="G1164" s="102" t="n"/>
      <c r="H1164" s="115" t="n"/>
      <c r="I1164" s="102" t="n"/>
      <c r="J1164" s="102" t="n"/>
      <c r="K1164" s="103" t="n"/>
      <c r="L1164" s="116">
        <f>IF($H1164="","",TRIM(IF(COUNTIF(DMTK!$A$7:$A$250,$F1164)=0,"TK Nợ sai! ","")&amp;IF(COUNTIF(DMTK!$A$7:$A$250,$G1164)=0,"TK Có sai! ","")&amp;IF(N($H1164)&lt;=0,"Tiền phải &gt; 0! ","")&amp;IF($B1164="","Thiếu ngày! ","")&amp;IF(AND(OR(LEFT($F1164,3)="131",LEFT($G1164,3)="131",LEFT($F1164,3)="331",LEFT($G1164,3)="331"),$I1164=""),"Thiếu Mã ĐT! ","")&amp;IF(AND($I1164&lt;&gt;"",COUNTIF(DM_DT!$A$7:$A$306,$I1164)=0),"Mã ĐT chưa khai báo! ","")))</f>
        <v/>
      </c>
      <c r="M1164" s="117">
        <f>IF($H1164="","",IF(AND(OR(LEFT($F1164,3)="111",LEFT($F1164,3)="112",LEFT($F1164,3)="113"),OR(LEFT($G1164,3)="111",LEFT($G1164,3)="112",LEFT($G1164,3)="113")),"NB",IF(OR(LEFT($F1164,3)="111",LEFT($F1164,3)="112",LEFT($F1164,3)="113"),"THU",IF(OR(LEFT($G1164,3)="111",LEFT($G1164,3)="112",LEFT($G1164,3)="113"),"CHI",""))))</f>
        <v/>
      </c>
      <c r="N1164" s="117">
        <f>IF($M1164="THU",$G1164,IF($M1164="CHI",$F1164,""))</f>
        <v/>
      </c>
      <c r="O1164" s="117">
        <f>IF(OR($M1164="",$M1164="NB"),"",IF($J1164&lt;&gt;"",TEXT($J1164,"00"),IFERROR(VLOOKUP(LEFT($N1164,4),LCTT_MAP!$A$7:$C$66,IF($M1164="THU",2,3),FALSE()),IFERROR(VLOOKUP(LEFT($N1164,3),LCTT_MAP!$A$7:$C$66,IF($M1164="THU",2,3),FALSE()),IFERROR(VLOOKUP(LEFT($N1164,2),LCTT_MAP!$A$7:$C$66,IF($M1164="THU",2,3),FALSE()),IFERROR(VLOOKUP(LEFT($N1164,1),LCTT_MAP!$A$7:$C$66,IF($M1164="THU",2,3),FALSE()),IF($M1164="THU","06","07")))))))</f>
        <v/>
      </c>
      <c r="P1164" s="117">
        <f>P1163+IF(AND($H1164&lt;&gt;"",OR(LEFT($F1164,LEN(SC_TK))=SC_TK,LEFT($G1164,LEN(SC_TK))=SC_TK)),1,0)</f>
        <v/>
      </c>
    </row>
    <row r="1165" ht="15" customHeight="1" s="78">
      <c r="A1165" s="95">
        <f>IF($H1165="","",ROW()-6)</f>
        <v/>
      </c>
      <c r="B1165" s="114" t="n"/>
      <c r="C1165" s="102" t="n"/>
      <c r="D1165" s="114" t="n"/>
      <c r="E1165" s="103" t="n"/>
      <c r="F1165" s="102" t="n"/>
      <c r="G1165" s="102" t="n"/>
      <c r="H1165" s="115" t="n"/>
      <c r="I1165" s="102" t="n"/>
      <c r="J1165" s="102" t="n"/>
      <c r="K1165" s="103" t="n"/>
      <c r="L1165" s="116">
        <f>IF($H1165="","",TRIM(IF(COUNTIF(DMTK!$A$7:$A$250,$F1165)=0,"TK Nợ sai! ","")&amp;IF(COUNTIF(DMTK!$A$7:$A$250,$G1165)=0,"TK Có sai! ","")&amp;IF(N($H1165)&lt;=0,"Tiền phải &gt; 0! ","")&amp;IF($B1165="","Thiếu ngày! ","")&amp;IF(AND(OR(LEFT($F1165,3)="131",LEFT($G1165,3)="131",LEFT($F1165,3)="331",LEFT($G1165,3)="331"),$I1165=""),"Thiếu Mã ĐT! ","")&amp;IF(AND($I1165&lt;&gt;"",COUNTIF(DM_DT!$A$7:$A$306,$I1165)=0),"Mã ĐT chưa khai báo! ","")))</f>
        <v/>
      </c>
      <c r="M1165" s="117">
        <f>IF($H1165="","",IF(AND(OR(LEFT($F1165,3)="111",LEFT($F1165,3)="112",LEFT($F1165,3)="113"),OR(LEFT($G1165,3)="111",LEFT($G1165,3)="112",LEFT($G1165,3)="113")),"NB",IF(OR(LEFT($F1165,3)="111",LEFT($F1165,3)="112",LEFT($F1165,3)="113"),"THU",IF(OR(LEFT($G1165,3)="111",LEFT($G1165,3)="112",LEFT($G1165,3)="113"),"CHI",""))))</f>
        <v/>
      </c>
      <c r="N1165" s="117">
        <f>IF($M1165="THU",$G1165,IF($M1165="CHI",$F1165,""))</f>
        <v/>
      </c>
      <c r="O1165" s="117">
        <f>IF(OR($M1165="",$M1165="NB"),"",IF($J1165&lt;&gt;"",TEXT($J1165,"00"),IFERROR(VLOOKUP(LEFT($N1165,4),LCTT_MAP!$A$7:$C$66,IF($M1165="THU",2,3),FALSE()),IFERROR(VLOOKUP(LEFT($N1165,3),LCTT_MAP!$A$7:$C$66,IF($M1165="THU",2,3),FALSE()),IFERROR(VLOOKUP(LEFT($N1165,2),LCTT_MAP!$A$7:$C$66,IF($M1165="THU",2,3),FALSE()),IFERROR(VLOOKUP(LEFT($N1165,1),LCTT_MAP!$A$7:$C$66,IF($M1165="THU",2,3),FALSE()),IF($M1165="THU","06","07")))))))</f>
        <v/>
      </c>
      <c r="P1165" s="117">
        <f>P1164+IF(AND($H1165&lt;&gt;"",OR(LEFT($F1165,LEN(SC_TK))=SC_TK,LEFT($G1165,LEN(SC_TK))=SC_TK)),1,0)</f>
        <v/>
      </c>
    </row>
    <row r="1166" ht="15" customHeight="1" s="78">
      <c r="A1166" s="95">
        <f>IF($H1166="","",ROW()-6)</f>
        <v/>
      </c>
      <c r="B1166" s="114" t="n"/>
      <c r="C1166" s="102" t="n"/>
      <c r="D1166" s="114" t="n"/>
      <c r="E1166" s="103" t="n"/>
      <c r="F1166" s="102" t="n"/>
      <c r="G1166" s="102" t="n"/>
      <c r="H1166" s="115" t="n"/>
      <c r="I1166" s="102" t="n"/>
      <c r="J1166" s="102" t="n"/>
      <c r="K1166" s="103" t="n"/>
      <c r="L1166" s="116">
        <f>IF($H1166="","",TRIM(IF(COUNTIF(DMTK!$A$7:$A$250,$F1166)=0,"TK Nợ sai! ","")&amp;IF(COUNTIF(DMTK!$A$7:$A$250,$G1166)=0,"TK Có sai! ","")&amp;IF(N($H1166)&lt;=0,"Tiền phải &gt; 0! ","")&amp;IF($B1166="","Thiếu ngày! ","")&amp;IF(AND(OR(LEFT($F1166,3)="131",LEFT($G1166,3)="131",LEFT($F1166,3)="331",LEFT($G1166,3)="331"),$I1166=""),"Thiếu Mã ĐT! ","")&amp;IF(AND($I1166&lt;&gt;"",COUNTIF(DM_DT!$A$7:$A$306,$I1166)=0),"Mã ĐT chưa khai báo! ","")))</f>
        <v/>
      </c>
      <c r="M1166" s="117">
        <f>IF($H1166="","",IF(AND(OR(LEFT($F1166,3)="111",LEFT($F1166,3)="112",LEFT($F1166,3)="113"),OR(LEFT($G1166,3)="111",LEFT($G1166,3)="112",LEFT($G1166,3)="113")),"NB",IF(OR(LEFT($F1166,3)="111",LEFT($F1166,3)="112",LEFT($F1166,3)="113"),"THU",IF(OR(LEFT($G1166,3)="111",LEFT($G1166,3)="112",LEFT($G1166,3)="113"),"CHI",""))))</f>
        <v/>
      </c>
      <c r="N1166" s="117">
        <f>IF($M1166="THU",$G1166,IF($M1166="CHI",$F1166,""))</f>
        <v/>
      </c>
      <c r="O1166" s="117">
        <f>IF(OR($M1166="",$M1166="NB"),"",IF($J1166&lt;&gt;"",TEXT($J1166,"00"),IFERROR(VLOOKUP(LEFT($N1166,4),LCTT_MAP!$A$7:$C$66,IF($M1166="THU",2,3),FALSE()),IFERROR(VLOOKUP(LEFT($N1166,3),LCTT_MAP!$A$7:$C$66,IF($M1166="THU",2,3),FALSE()),IFERROR(VLOOKUP(LEFT($N1166,2),LCTT_MAP!$A$7:$C$66,IF($M1166="THU",2,3),FALSE()),IFERROR(VLOOKUP(LEFT($N1166,1),LCTT_MAP!$A$7:$C$66,IF($M1166="THU",2,3),FALSE()),IF($M1166="THU","06","07")))))))</f>
        <v/>
      </c>
      <c r="P1166" s="117">
        <f>P1165+IF(AND($H1166&lt;&gt;"",OR(LEFT($F1166,LEN(SC_TK))=SC_TK,LEFT($G1166,LEN(SC_TK))=SC_TK)),1,0)</f>
        <v/>
      </c>
    </row>
    <row r="1167" ht="15" customHeight="1" s="78">
      <c r="A1167" s="95">
        <f>IF($H1167="","",ROW()-6)</f>
        <v/>
      </c>
      <c r="B1167" s="114" t="n"/>
      <c r="C1167" s="102" t="n"/>
      <c r="D1167" s="114" t="n"/>
      <c r="E1167" s="103" t="n"/>
      <c r="F1167" s="102" t="n"/>
      <c r="G1167" s="102" t="n"/>
      <c r="H1167" s="115" t="n"/>
      <c r="I1167" s="102" t="n"/>
      <c r="J1167" s="102" t="n"/>
      <c r="K1167" s="103" t="n"/>
      <c r="L1167" s="116">
        <f>IF($H1167="","",TRIM(IF(COUNTIF(DMTK!$A$7:$A$250,$F1167)=0,"TK Nợ sai! ","")&amp;IF(COUNTIF(DMTK!$A$7:$A$250,$G1167)=0,"TK Có sai! ","")&amp;IF(N($H1167)&lt;=0,"Tiền phải &gt; 0! ","")&amp;IF($B1167="","Thiếu ngày! ","")&amp;IF(AND(OR(LEFT($F1167,3)="131",LEFT($G1167,3)="131",LEFT($F1167,3)="331",LEFT($G1167,3)="331"),$I1167=""),"Thiếu Mã ĐT! ","")&amp;IF(AND($I1167&lt;&gt;"",COUNTIF(DM_DT!$A$7:$A$306,$I1167)=0),"Mã ĐT chưa khai báo! ","")))</f>
        <v/>
      </c>
      <c r="M1167" s="117">
        <f>IF($H1167="","",IF(AND(OR(LEFT($F1167,3)="111",LEFT($F1167,3)="112",LEFT($F1167,3)="113"),OR(LEFT($G1167,3)="111",LEFT($G1167,3)="112",LEFT($G1167,3)="113")),"NB",IF(OR(LEFT($F1167,3)="111",LEFT($F1167,3)="112",LEFT($F1167,3)="113"),"THU",IF(OR(LEFT($G1167,3)="111",LEFT($G1167,3)="112",LEFT($G1167,3)="113"),"CHI",""))))</f>
        <v/>
      </c>
      <c r="N1167" s="117">
        <f>IF($M1167="THU",$G1167,IF($M1167="CHI",$F1167,""))</f>
        <v/>
      </c>
      <c r="O1167" s="117">
        <f>IF(OR($M1167="",$M1167="NB"),"",IF($J1167&lt;&gt;"",TEXT($J1167,"00"),IFERROR(VLOOKUP(LEFT($N1167,4),LCTT_MAP!$A$7:$C$66,IF($M1167="THU",2,3),FALSE()),IFERROR(VLOOKUP(LEFT($N1167,3),LCTT_MAP!$A$7:$C$66,IF($M1167="THU",2,3),FALSE()),IFERROR(VLOOKUP(LEFT($N1167,2),LCTT_MAP!$A$7:$C$66,IF($M1167="THU",2,3),FALSE()),IFERROR(VLOOKUP(LEFT($N1167,1),LCTT_MAP!$A$7:$C$66,IF($M1167="THU",2,3),FALSE()),IF($M1167="THU","06","07")))))))</f>
        <v/>
      </c>
      <c r="P1167" s="117">
        <f>P1166+IF(AND($H1167&lt;&gt;"",OR(LEFT($F1167,LEN(SC_TK))=SC_TK,LEFT($G1167,LEN(SC_TK))=SC_TK)),1,0)</f>
        <v/>
      </c>
    </row>
    <row r="1168" ht="15" customHeight="1" s="78">
      <c r="A1168" s="95">
        <f>IF($H1168="","",ROW()-6)</f>
        <v/>
      </c>
      <c r="B1168" s="114" t="n"/>
      <c r="C1168" s="102" t="n"/>
      <c r="D1168" s="114" t="n"/>
      <c r="E1168" s="103" t="n"/>
      <c r="F1168" s="102" t="n"/>
      <c r="G1168" s="102" t="n"/>
      <c r="H1168" s="115" t="n"/>
      <c r="I1168" s="102" t="n"/>
      <c r="J1168" s="102" t="n"/>
      <c r="K1168" s="103" t="n"/>
      <c r="L1168" s="116">
        <f>IF($H1168="","",TRIM(IF(COUNTIF(DMTK!$A$7:$A$250,$F1168)=0,"TK Nợ sai! ","")&amp;IF(COUNTIF(DMTK!$A$7:$A$250,$G1168)=0,"TK Có sai! ","")&amp;IF(N($H1168)&lt;=0,"Tiền phải &gt; 0! ","")&amp;IF($B1168="","Thiếu ngày! ","")&amp;IF(AND(OR(LEFT($F1168,3)="131",LEFT($G1168,3)="131",LEFT($F1168,3)="331",LEFT($G1168,3)="331"),$I1168=""),"Thiếu Mã ĐT! ","")&amp;IF(AND($I1168&lt;&gt;"",COUNTIF(DM_DT!$A$7:$A$306,$I1168)=0),"Mã ĐT chưa khai báo! ","")))</f>
        <v/>
      </c>
      <c r="M1168" s="117">
        <f>IF($H1168="","",IF(AND(OR(LEFT($F1168,3)="111",LEFT($F1168,3)="112",LEFT($F1168,3)="113"),OR(LEFT($G1168,3)="111",LEFT($G1168,3)="112",LEFT($G1168,3)="113")),"NB",IF(OR(LEFT($F1168,3)="111",LEFT($F1168,3)="112",LEFT($F1168,3)="113"),"THU",IF(OR(LEFT($G1168,3)="111",LEFT($G1168,3)="112",LEFT($G1168,3)="113"),"CHI",""))))</f>
        <v/>
      </c>
      <c r="N1168" s="117">
        <f>IF($M1168="THU",$G1168,IF($M1168="CHI",$F1168,""))</f>
        <v/>
      </c>
      <c r="O1168" s="117">
        <f>IF(OR($M1168="",$M1168="NB"),"",IF($J1168&lt;&gt;"",TEXT($J1168,"00"),IFERROR(VLOOKUP(LEFT($N1168,4),LCTT_MAP!$A$7:$C$66,IF($M1168="THU",2,3),FALSE()),IFERROR(VLOOKUP(LEFT($N1168,3),LCTT_MAP!$A$7:$C$66,IF($M1168="THU",2,3),FALSE()),IFERROR(VLOOKUP(LEFT($N1168,2),LCTT_MAP!$A$7:$C$66,IF($M1168="THU",2,3),FALSE()),IFERROR(VLOOKUP(LEFT($N1168,1),LCTT_MAP!$A$7:$C$66,IF($M1168="THU",2,3),FALSE()),IF($M1168="THU","06","07")))))))</f>
        <v/>
      </c>
      <c r="P1168" s="117">
        <f>P1167+IF(AND($H1168&lt;&gt;"",OR(LEFT($F1168,LEN(SC_TK))=SC_TK,LEFT($G1168,LEN(SC_TK))=SC_TK)),1,0)</f>
        <v/>
      </c>
    </row>
    <row r="1169" ht="15" customHeight="1" s="78">
      <c r="A1169" s="95">
        <f>IF($H1169="","",ROW()-6)</f>
        <v/>
      </c>
      <c r="B1169" s="114" t="n"/>
      <c r="C1169" s="102" t="n"/>
      <c r="D1169" s="114" t="n"/>
      <c r="E1169" s="103" t="n"/>
      <c r="F1169" s="102" t="n"/>
      <c r="G1169" s="102" t="n"/>
      <c r="H1169" s="115" t="n"/>
      <c r="I1169" s="102" t="n"/>
      <c r="J1169" s="102" t="n"/>
      <c r="K1169" s="103" t="n"/>
      <c r="L1169" s="116">
        <f>IF($H1169="","",TRIM(IF(COUNTIF(DMTK!$A$7:$A$250,$F1169)=0,"TK Nợ sai! ","")&amp;IF(COUNTIF(DMTK!$A$7:$A$250,$G1169)=0,"TK Có sai! ","")&amp;IF(N($H1169)&lt;=0,"Tiền phải &gt; 0! ","")&amp;IF($B1169="","Thiếu ngày! ","")&amp;IF(AND(OR(LEFT($F1169,3)="131",LEFT($G1169,3)="131",LEFT($F1169,3)="331",LEFT($G1169,3)="331"),$I1169=""),"Thiếu Mã ĐT! ","")&amp;IF(AND($I1169&lt;&gt;"",COUNTIF(DM_DT!$A$7:$A$306,$I1169)=0),"Mã ĐT chưa khai báo! ","")))</f>
        <v/>
      </c>
      <c r="M1169" s="117">
        <f>IF($H1169="","",IF(AND(OR(LEFT($F1169,3)="111",LEFT($F1169,3)="112",LEFT($F1169,3)="113"),OR(LEFT($G1169,3)="111",LEFT($G1169,3)="112",LEFT($G1169,3)="113")),"NB",IF(OR(LEFT($F1169,3)="111",LEFT($F1169,3)="112",LEFT($F1169,3)="113"),"THU",IF(OR(LEFT($G1169,3)="111",LEFT($G1169,3)="112",LEFT($G1169,3)="113"),"CHI",""))))</f>
        <v/>
      </c>
      <c r="N1169" s="117">
        <f>IF($M1169="THU",$G1169,IF($M1169="CHI",$F1169,""))</f>
        <v/>
      </c>
      <c r="O1169" s="117">
        <f>IF(OR($M1169="",$M1169="NB"),"",IF($J1169&lt;&gt;"",TEXT($J1169,"00"),IFERROR(VLOOKUP(LEFT($N1169,4),LCTT_MAP!$A$7:$C$66,IF($M1169="THU",2,3),FALSE()),IFERROR(VLOOKUP(LEFT($N1169,3),LCTT_MAP!$A$7:$C$66,IF($M1169="THU",2,3),FALSE()),IFERROR(VLOOKUP(LEFT($N1169,2),LCTT_MAP!$A$7:$C$66,IF($M1169="THU",2,3),FALSE()),IFERROR(VLOOKUP(LEFT($N1169,1),LCTT_MAP!$A$7:$C$66,IF($M1169="THU",2,3),FALSE()),IF($M1169="THU","06","07")))))))</f>
        <v/>
      </c>
      <c r="P1169" s="117">
        <f>P1168+IF(AND($H1169&lt;&gt;"",OR(LEFT($F1169,LEN(SC_TK))=SC_TK,LEFT($G1169,LEN(SC_TK))=SC_TK)),1,0)</f>
        <v/>
      </c>
    </row>
    <row r="1170" ht="15" customHeight="1" s="78">
      <c r="A1170" s="95">
        <f>IF($H1170="","",ROW()-6)</f>
        <v/>
      </c>
      <c r="B1170" s="114" t="n"/>
      <c r="C1170" s="102" t="n"/>
      <c r="D1170" s="114" t="n"/>
      <c r="E1170" s="103" t="n"/>
      <c r="F1170" s="102" t="n"/>
      <c r="G1170" s="102" t="n"/>
      <c r="H1170" s="115" t="n"/>
      <c r="I1170" s="102" t="n"/>
      <c r="J1170" s="102" t="n"/>
      <c r="K1170" s="103" t="n"/>
      <c r="L1170" s="116">
        <f>IF($H1170="","",TRIM(IF(COUNTIF(DMTK!$A$7:$A$250,$F1170)=0,"TK Nợ sai! ","")&amp;IF(COUNTIF(DMTK!$A$7:$A$250,$G1170)=0,"TK Có sai! ","")&amp;IF(N($H1170)&lt;=0,"Tiền phải &gt; 0! ","")&amp;IF($B1170="","Thiếu ngày! ","")&amp;IF(AND(OR(LEFT($F1170,3)="131",LEFT($G1170,3)="131",LEFT($F1170,3)="331",LEFT($G1170,3)="331"),$I1170=""),"Thiếu Mã ĐT! ","")&amp;IF(AND($I1170&lt;&gt;"",COUNTIF(DM_DT!$A$7:$A$306,$I1170)=0),"Mã ĐT chưa khai báo! ","")))</f>
        <v/>
      </c>
      <c r="M1170" s="117">
        <f>IF($H1170="","",IF(AND(OR(LEFT($F1170,3)="111",LEFT($F1170,3)="112",LEFT($F1170,3)="113"),OR(LEFT($G1170,3)="111",LEFT($G1170,3)="112",LEFT($G1170,3)="113")),"NB",IF(OR(LEFT($F1170,3)="111",LEFT($F1170,3)="112",LEFT($F1170,3)="113"),"THU",IF(OR(LEFT($G1170,3)="111",LEFT($G1170,3)="112",LEFT($G1170,3)="113"),"CHI",""))))</f>
        <v/>
      </c>
      <c r="N1170" s="117">
        <f>IF($M1170="THU",$G1170,IF($M1170="CHI",$F1170,""))</f>
        <v/>
      </c>
      <c r="O1170" s="117">
        <f>IF(OR($M1170="",$M1170="NB"),"",IF($J1170&lt;&gt;"",TEXT($J1170,"00"),IFERROR(VLOOKUP(LEFT($N1170,4),LCTT_MAP!$A$7:$C$66,IF($M1170="THU",2,3),FALSE()),IFERROR(VLOOKUP(LEFT($N1170,3),LCTT_MAP!$A$7:$C$66,IF($M1170="THU",2,3),FALSE()),IFERROR(VLOOKUP(LEFT($N1170,2),LCTT_MAP!$A$7:$C$66,IF($M1170="THU",2,3),FALSE()),IFERROR(VLOOKUP(LEFT($N1170,1),LCTT_MAP!$A$7:$C$66,IF($M1170="THU",2,3),FALSE()),IF($M1170="THU","06","07")))))))</f>
        <v/>
      </c>
      <c r="P1170" s="117">
        <f>P1169+IF(AND($H1170&lt;&gt;"",OR(LEFT($F1170,LEN(SC_TK))=SC_TK,LEFT($G1170,LEN(SC_TK))=SC_TK)),1,0)</f>
        <v/>
      </c>
    </row>
    <row r="1171" ht="15" customHeight="1" s="78">
      <c r="A1171" s="95">
        <f>IF($H1171="","",ROW()-6)</f>
        <v/>
      </c>
      <c r="B1171" s="114" t="n"/>
      <c r="C1171" s="102" t="n"/>
      <c r="D1171" s="114" t="n"/>
      <c r="E1171" s="103" t="n"/>
      <c r="F1171" s="102" t="n"/>
      <c r="G1171" s="102" t="n"/>
      <c r="H1171" s="115" t="n"/>
      <c r="I1171" s="102" t="n"/>
      <c r="J1171" s="102" t="n"/>
      <c r="K1171" s="103" t="n"/>
      <c r="L1171" s="116">
        <f>IF($H1171="","",TRIM(IF(COUNTIF(DMTK!$A$7:$A$250,$F1171)=0,"TK Nợ sai! ","")&amp;IF(COUNTIF(DMTK!$A$7:$A$250,$G1171)=0,"TK Có sai! ","")&amp;IF(N($H1171)&lt;=0,"Tiền phải &gt; 0! ","")&amp;IF($B1171="","Thiếu ngày! ","")&amp;IF(AND(OR(LEFT($F1171,3)="131",LEFT($G1171,3)="131",LEFT($F1171,3)="331",LEFT($G1171,3)="331"),$I1171=""),"Thiếu Mã ĐT! ","")&amp;IF(AND($I1171&lt;&gt;"",COUNTIF(DM_DT!$A$7:$A$306,$I1171)=0),"Mã ĐT chưa khai báo! ","")))</f>
        <v/>
      </c>
      <c r="M1171" s="117">
        <f>IF($H1171="","",IF(AND(OR(LEFT($F1171,3)="111",LEFT($F1171,3)="112",LEFT($F1171,3)="113"),OR(LEFT($G1171,3)="111",LEFT($G1171,3)="112",LEFT($G1171,3)="113")),"NB",IF(OR(LEFT($F1171,3)="111",LEFT($F1171,3)="112",LEFT($F1171,3)="113"),"THU",IF(OR(LEFT($G1171,3)="111",LEFT($G1171,3)="112",LEFT($G1171,3)="113"),"CHI",""))))</f>
        <v/>
      </c>
      <c r="N1171" s="117">
        <f>IF($M1171="THU",$G1171,IF($M1171="CHI",$F1171,""))</f>
        <v/>
      </c>
      <c r="O1171" s="117">
        <f>IF(OR($M1171="",$M1171="NB"),"",IF($J1171&lt;&gt;"",TEXT($J1171,"00"),IFERROR(VLOOKUP(LEFT($N1171,4),LCTT_MAP!$A$7:$C$66,IF($M1171="THU",2,3),FALSE()),IFERROR(VLOOKUP(LEFT($N1171,3),LCTT_MAP!$A$7:$C$66,IF($M1171="THU",2,3),FALSE()),IFERROR(VLOOKUP(LEFT($N1171,2),LCTT_MAP!$A$7:$C$66,IF($M1171="THU",2,3),FALSE()),IFERROR(VLOOKUP(LEFT($N1171,1),LCTT_MAP!$A$7:$C$66,IF($M1171="THU",2,3),FALSE()),IF($M1171="THU","06","07")))))))</f>
        <v/>
      </c>
      <c r="P1171" s="117">
        <f>P1170+IF(AND($H1171&lt;&gt;"",OR(LEFT($F1171,LEN(SC_TK))=SC_TK,LEFT($G1171,LEN(SC_TK))=SC_TK)),1,0)</f>
        <v/>
      </c>
    </row>
    <row r="1172" ht="15" customHeight="1" s="78">
      <c r="A1172" s="95">
        <f>IF($H1172="","",ROW()-6)</f>
        <v/>
      </c>
      <c r="B1172" s="114" t="n"/>
      <c r="C1172" s="102" t="n"/>
      <c r="D1172" s="114" t="n"/>
      <c r="E1172" s="103" t="n"/>
      <c r="F1172" s="102" t="n"/>
      <c r="G1172" s="102" t="n"/>
      <c r="H1172" s="115" t="n"/>
      <c r="I1172" s="102" t="n"/>
      <c r="J1172" s="102" t="n"/>
      <c r="K1172" s="103" t="n"/>
      <c r="L1172" s="116">
        <f>IF($H1172="","",TRIM(IF(COUNTIF(DMTK!$A$7:$A$250,$F1172)=0,"TK Nợ sai! ","")&amp;IF(COUNTIF(DMTK!$A$7:$A$250,$G1172)=0,"TK Có sai! ","")&amp;IF(N($H1172)&lt;=0,"Tiền phải &gt; 0! ","")&amp;IF($B1172="","Thiếu ngày! ","")&amp;IF(AND(OR(LEFT($F1172,3)="131",LEFT($G1172,3)="131",LEFT($F1172,3)="331",LEFT($G1172,3)="331"),$I1172=""),"Thiếu Mã ĐT! ","")&amp;IF(AND($I1172&lt;&gt;"",COUNTIF(DM_DT!$A$7:$A$306,$I1172)=0),"Mã ĐT chưa khai báo! ","")))</f>
        <v/>
      </c>
      <c r="M1172" s="117">
        <f>IF($H1172="","",IF(AND(OR(LEFT($F1172,3)="111",LEFT($F1172,3)="112",LEFT($F1172,3)="113"),OR(LEFT($G1172,3)="111",LEFT($G1172,3)="112",LEFT($G1172,3)="113")),"NB",IF(OR(LEFT($F1172,3)="111",LEFT($F1172,3)="112",LEFT($F1172,3)="113"),"THU",IF(OR(LEFT($G1172,3)="111",LEFT($G1172,3)="112",LEFT($G1172,3)="113"),"CHI",""))))</f>
        <v/>
      </c>
      <c r="N1172" s="117">
        <f>IF($M1172="THU",$G1172,IF($M1172="CHI",$F1172,""))</f>
        <v/>
      </c>
      <c r="O1172" s="117">
        <f>IF(OR($M1172="",$M1172="NB"),"",IF($J1172&lt;&gt;"",TEXT($J1172,"00"),IFERROR(VLOOKUP(LEFT($N1172,4),LCTT_MAP!$A$7:$C$66,IF($M1172="THU",2,3),FALSE()),IFERROR(VLOOKUP(LEFT($N1172,3),LCTT_MAP!$A$7:$C$66,IF($M1172="THU",2,3),FALSE()),IFERROR(VLOOKUP(LEFT($N1172,2),LCTT_MAP!$A$7:$C$66,IF($M1172="THU",2,3),FALSE()),IFERROR(VLOOKUP(LEFT($N1172,1),LCTT_MAP!$A$7:$C$66,IF($M1172="THU",2,3),FALSE()),IF($M1172="THU","06","07")))))))</f>
        <v/>
      </c>
      <c r="P1172" s="117">
        <f>P1171+IF(AND($H1172&lt;&gt;"",OR(LEFT($F1172,LEN(SC_TK))=SC_TK,LEFT($G1172,LEN(SC_TK))=SC_TK)),1,0)</f>
        <v/>
      </c>
    </row>
    <row r="1173" ht="15" customHeight="1" s="78">
      <c r="A1173" s="95">
        <f>IF($H1173="","",ROW()-6)</f>
        <v/>
      </c>
      <c r="B1173" s="114" t="n"/>
      <c r="C1173" s="102" t="n"/>
      <c r="D1173" s="114" t="n"/>
      <c r="E1173" s="103" t="n"/>
      <c r="F1173" s="102" t="n"/>
      <c r="G1173" s="102" t="n"/>
      <c r="H1173" s="115" t="n"/>
      <c r="I1173" s="102" t="n"/>
      <c r="J1173" s="102" t="n"/>
      <c r="K1173" s="103" t="n"/>
      <c r="L1173" s="116">
        <f>IF($H1173="","",TRIM(IF(COUNTIF(DMTK!$A$7:$A$250,$F1173)=0,"TK Nợ sai! ","")&amp;IF(COUNTIF(DMTK!$A$7:$A$250,$G1173)=0,"TK Có sai! ","")&amp;IF(N($H1173)&lt;=0,"Tiền phải &gt; 0! ","")&amp;IF($B1173="","Thiếu ngày! ","")&amp;IF(AND(OR(LEFT($F1173,3)="131",LEFT($G1173,3)="131",LEFT($F1173,3)="331",LEFT($G1173,3)="331"),$I1173=""),"Thiếu Mã ĐT! ","")&amp;IF(AND($I1173&lt;&gt;"",COUNTIF(DM_DT!$A$7:$A$306,$I1173)=0),"Mã ĐT chưa khai báo! ","")))</f>
        <v/>
      </c>
      <c r="M1173" s="117">
        <f>IF($H1173="","",IF(AND(OR(LEFT($F1173,3)="111",LEFT($F1173,3)="112",LEFT($F1173,3)="113"),OR(LEFT($G1173,3)="111",LEFT($G1173,3)="112",LEFT($G1173,3)="113")),"NB",IF(OR(LEFT($F1173,3)="111",LEFT($F1173,3)="112",LEFT($F1173,3)="113"),"THU",IF(OR(LEFT($G1173,3)="111",LEFT($G1173,3)="112",LEFT($G1173,3)="113"),"CHI",""))))</f>
        <v/>
      </c>
      <c r="N1173" s="117">
        <f>IF($M1173="THU",$G1173,IF($M1173="CHI",$F1173,""))</f>
        <v/>
      </c>
      <c r="O1173" s="117">
        <f>IF(OR($M1173="",$M1173="NB"),"",IF($J1173&lt;&gt;"",TEXT($J1173,"00"),IFERROR(VLOOKUP(LEFT($N1173,4),LCTT_MAP!$A$7:$C$66,IF($M1173="THU",2,3),FALSE()),IFERROR(VLOOKUP(LEFT($N1173,3),LCTT_MAP!$A$7:$C$66,IF($M1173="THU",2,3),FALSE()),IFERROR(VLOOKUP(LEFT($N1173,2),LCTT_MAP!$A$7:$C$66,IF($M1173="THU",2,3),FALSE()),IFERROR(VLOOKUP(LEFT($N1173,1),LCTT_MAP!$A$7:$C$66,IF($M1173="THU",2,3),FALSE()),IF($M1173="THU","06","07")))))))</f>
        <v/>
      </c>
      <c r="P1173" s="117">
        <f>P1172+IF(AND($H1173&lt;&gt;"",OR(LEFT($F1173,LEN(SC_TK))=SC_TK,LEFT($G1173,LEN(SC_TK))=SC_TK)),1,0)</f>
        <v/>
      </c>
    </row>
    <row r="1174" ht="15" customHeight="1" s="78">
      <c r="A1174" s="95">
        <f>IF($H1174="","",ROW()-6)</f>
        <v/>
      </c>
      <c r="B1174" s="114" t="n"/>
      <c r="C1174" s="102" t="n"/>
      <c r="D1174" s="114" t="n"/>
      <c r="E1174" s="103" t="n"/>
      <c r="F1174" s="102" t="n"/>
      <c r="G1174" s="102" t="n"/>
      <c r="H1174" s="115" t="n"/>
      <c r="I1174" s="102" t="n"/>
      <c r="J1174" s="102" t="n"/>
      <c r="K1174" s="103" t="n"/>
      <c r="L1174" s="116">
        <f>IF($H1174="","",TRIM(IF(COUNTIF(DMTK!$A$7:$A$250,$F1174)=0,"TK Nợ sai! ","")&amp;IF(COUNTIF(DMTK!$A$7:$A$250,$G1174)=0,"TK Có sai! ","")&amp;IF(N($H1174)&lt;=0,"Tiền phải &gt; 0! ","")&amp;IF($B1174="","Thiếu ngày! ","")&amp;IF(AND(OR(LEFT($F1174,3)="131",LEFT($G1174,3)="131",LEFT($F1174,3)="331",LEFT($G1174,3)="331"),$I1174=""),"Thiếu Mã ĐT! ","")&amp;IF(AND($I1174&lt;&gt;"",COUNTIF(DM_DT!$A$7:$A$306,$I1174)=0),"Mã ĐT chưa khai báo! ","")))</f>
        <v/>
      </c>
      <c r="M1174" s="117">
        <f>IF($H1174="","",IF(AND(OR(LEFT($F1174,3)="111",LEFT($F1174,3)="112",LEFT($F1174,3)="113"),OR(LEFT($G1174,3)="111",LEFT($G1174,3)="112",LEFT($G1174,3)="113")),"NB",IF(OR(LEFT($F1174,3)="111",LEFT($F1174,3)="112",LEFT($F1174,3)="113"),"THU",IF(OR(LEFT($G1174,3)="111",LEFT($G1174,3)="112",LEFT($G1174,3)="113"),"CHI",""))))</f>
        <v/>
      </c>
      <c r="N1174" s="117">
        <f>IF($M1174="THU",$G1174,IF($M1174="CHI",$F1174,""))</f>
        <v/>
      </c>
      <c r="O1174" s="117">
        <f>IF(OR($M1174="",$M1174="NB"),"",IF($J1174&lt;&gt;"",TEXT($J1174,"00"),IFERROR(VLOOKUP(LEFT($N1174,4),LCTT_MAP!$A$7:$C$66,IF($M1174="THU",2,3),FALSE()),IFERROR(VLOOKUP(LEFT($N1174,3),LCTT_MAP!$A$7:$C$66,IF($M1174="THU",2,3),FALSE()),IFERROR(VLOOKUP(LEFT($N1174,2),LCTT_MAP!$A$7:$C$66,IF($M1174="THU",2,3),FALSE()),IFERROR(VLOOKUP(LEFT($N1174,1),LCTT_MAP!$A$7:$C$66,IF($M1174="THU",2,3),FALSE()),IF($M1174="THU","06","07")))))))</f>
        <v/>
      </c>
      <c r="P1174" s="117">
        <f>P1173+IF(AND($H1174&lt;&gt;"",OR(LEFT($F1174,LEN(SC_TK))=SC_TK,LEFT($G1174,LEN(SC_TK))=SC_TK)),1,0)</f>
        <v/>
      </c>
    </row>
    <row r="1175" ht="15" customHeight="1" s="78">
      <c r="A1175" s="95">
        <f>IF($H1175="","",ROW()-6)</f>
        <v/>
      </c>
      <c r="B1175" s="114" t="n"/>
      <c r="C1175" s="102" t="n"/>
      <c r="D1175" s="114" t="n"/>
      <c r="E1175" s="103" t="n"/>
      <c r="F1175" s="102" t="n"/>
      <c r="G1175" s="102" t="n"/>
      <c r="H1175" s="115" t="n"/>
      <c r="I1175" s="102" t="n"/>
      <c r="J1175" s="102" t="n"/>
      <c r="K1175" s="103" t="n"/>
      <c r="L1175" s="116">
        <f>IF($H1175="","",TRIM(IF(COUNTIF(DMTK!$A$7:$A$250,$F1175)=0,"TK Nợ sai! ","")&amp;IF(COUNTIF(DMTK!$A$7:$A$250,$G1175)=0,"TK Có sai! ","")&amp;IF(N($H1175)&lt;=0,"Tiền phải &gt; 0! ","")&amp;IF($B1175="","Thiếu ngày! ","")&amp;IF(AND(OR(LEFT($F1175,3)="131",LEFT($G1175,3)="131",LEFT($F1175,3)="331",LEFT($G1175,3)="331"),$I1175=""),"Thiếu Mã ĐT! ","")&amp;IF(AND($I1175&lt;&gt;"",COUNTIF(DM_DT!$A$7:$A$306,$I1175)=0),"Mã ĐT chưa khai báo! ","")))</f>
        <v/>
      </c>
      <c r="M1175" s="117">
        <f>IF($H1175="","",IF(AND(OR(LEFT($F1175,3)="111",LEFT($F1175,3)="112",LEFT($F1175,3)="113"),OR(LEFT($G1175,3)="111",LEFT($G1175,3)="112",LEFT($G1175,3)="113")),"NB",IF(OR(LEFT($F1175,3)="111",LEFT($F1175,3)="112",LEFT($F1175,3)="113"),"THU",IF(OR(LEFT($G1175,3)="111",LEFT($G1175,3)="112",LEFT($G1175,3)="113"),"CHI",""))))</f>
        <v/>
      </c>
      <c r="N1175" s="117">
        <f>IF($M1175="THU",$G1175,IF($M1175="CHI",$F1175,""))</f>
        <v/>
      </c>
      <c r="O1175" s="117">
        <f>IF(OR($M1175="",$M1175="NB"),"",IF($J1175&lt;&gt;"",TEXT($J1175,"00"),IFERROR(VLOOKUP(LEFT($N1175,4),LCTT_MAP!$A$7:$C$66,IF($M1175="THU",2,3),FALSE()),IFERROR(VLOOKUP(LEFT($N1175,3),LCTT_MAP!$A$7:$C$66,IF($M1175="THU",2,3),FALSE()),IFERROR(VLOOKUP(LEFT($N1175,2),LCTT_MAP!$A$7:$C$66,IF($M1175="THU",2,3),FALSE()),IFERROR(VLOOKUP(LEFT($N1175,1),LCTT_MAP!$A$7:$C$66,IF($M1175="THU",2,3),FALSE()),IF($M1175="THU","06","07")))))))</f>
        <v/>
      </c>
      <c r="P1175" s="117">
        <f>P1174+IF(AND($H1175&lt;&gt;"",OR(LEFT($F1175,LEN(SC_TK))=SC_TK,LEFT($G1175,LEN(SC_TK))=SC_TK)),1,0)</f>
        <v/>
      </c>
    </row>
    <row r="1176" ht="15" customHeight="1" s="78">
      <c r="A1176" s="95">
        <f>IF($H1176="","",ROW()-6)</f>
        <v/>
      </c>
      <c r="B1176" s="114" t="n"/>
      <c r="C1176" s="102" t="n"/>
      <c r="D1176" s="114" t="n"/>
      <c r="E1176" s="103" t="n"/>
      <c r="F1176" s="102" t="n"/>
      <c r="G1176" s="102" t="n"/>
      <c r="H1176" s="115" t="n"/>
      <c r="I1176" s="102" t="n"/>
      <c r="J1176" s="102" t="n"/>
      <c r="K1176" s="103" t="n"/>
      <c r="L1176" s="116">
        <f>IF($H1176="","",TRIM(IF(COUNTIF(DMTK!$A$7:$A$250,$F1176)=0,"TK Nợ sai! ","")&amp;IF(COUNTIF(DMTK!$A$7:$A$250,$G1176)=0,"TK Có sai! ","")&amp;IF(N($H1176)&lt;=0,"Tiền phải &gt; 0! ","")&amp;IF($B1176="","Thiếu ngày! ","")&amp;IF(AND(OR(LEFT($F1176,3)="131",LEFT($G1176,3)="131",LEFT($F1176,3)="331",LEFT($G1176,3)="331"),$I1176=""),"Thiếu Mã ĐT! ","")&amp;IF(AND($I1176&lt;&gt;"",COUNTIF(DM_DT!$A$7:$A$306,$I1176)=0),"Mã ĐT chưa khai báo! ","")))</f>
        <v/>
      </c>
      <c r="M1176" s="117">
        <f>IF($H1176="","",IF(AND(OR(LEFT($F1176,3)="111",LEFT($F1176,3)="112",LEFT($F1176,3)="113"),OR(LEFT($G1176,3)="111",LEFT($G1176,3)="112",LEFT($G1176,3)="113")),"NB",IF(OR(LEFT($F1176,3)="111",LEFT($F1176,3)="112",LEFT($F1176,3)="113"),"THU",IF(OR(LEFT($G1176,3)="111",LEFT($G1176,3)="112",LEFT($G1176,3)="113"),"CHI",""))))</f>
        <v/>
      </c>
      <c r="N1176" s="117">
        <f>IF($M1176="THU",$G1176,IF($M1176="CHI",$F1176,""))</f>
        <v/>
      </c>
      <c r="O1176" s="117">
        <f>IF(OR($M1176="",$M1176="NB"),"",IF($J1176&lt;&gt;"",TEXT($J1176,"00"),IFERROR(VLOOKUP(LEFT($N1176,4),LCTT_MAP!$A$7:$C$66,IF($M1176="THU",2,3),FALSE()),IFERROR(VLOOKUP(LEFT($N1176,3),LCTT_MAP!$A$7:$C$66,IF($M1176="THU",2,3),FALSE()),IFERROR(VLOOKUP(LEFT($N1176,2),LCTT_MAP!$A$7:$C$66,IF($M1176="THU",2,3),FALSE()),IFERROR(VLOOKUP(LEFT($N1176,1),LCTT_MAP!$A$7:$C$66,IF($M1176="THU",2,3),FALSE()),IF($M1176="THU","06","07")))))))</f>
        <v/>
      </c>
      <c r="P1176" s="117">
        <f>P1175+IF(AND($H1176&lt;&gt;"",OR(LEFT($F1176,LEN(SC_TK))=SC_TK,LEFT($G1176,LEN(SC_TK))=SC_TK)),1,0)</f>
        <v/>
      </c>
    </row>
    <row r="1177" ht="15" customHeight="1" s="78">
      <c r="A1177" s="95">
        <f>IF($H1177="","",ROW()-6)</f>
        <v/>
      </c>
      <c r="B1177" s="114" t="n"/>
      <c r="C1177" s="102" t="n"/>
      <c r="D1177" s="114" t="n"/>
      <c r="E1177" s="103" t="n"/>
      <c r="F1177" s="102" t="n"/>
      <c r="G1177" s="102" t="n"/>
      <c r="H1177" s="115" t="n"/>
      <c r="I1177" s="102" t="n"/>
      <c r="J1177" s="102" t="n"/>
      <c r="K1177" s="103" t="n"/>
      <c r="L1177" s="116">
        <f>IF($H1177="","",TRIM(IF(COUNTIF(DMTK!$A$7:$A$250,$F1177)=0,"TK Nợ sai! ","")&amp;IF(COUNTIF(DMTK!$A$7:$A$250,$G1177)=0,"TK Có sai! ","")&amp;IF(N($H1177)&lt;=0,"Tiền phải &gt; 0! ","")&amp;IF($B1177="","Thiếu ngày! ","")&amp;IF(AND(OR(LEFT($F1177,3)="131",LEFT($G1177,3)="131",LEFT($F1177,3)="331",LEFT($G1177,3)="331"),$I1177=""),"Thiếu Mã ĐT! ","")&amp;IF(AND($I1177&lt;&gt;"",COUNTIF(DM_DT!$A$7:$A$306,$I1177)=0),"Mã ĐT chưa khai báo! ","")))</f>
        <v/>
      </c>
      <c r="M1177" s="117">
        <f>IF($H1177="","",IF(AND(OR(LEFT($F1177,3)="111",LEFT($F1177,3)="112",LEFT($F1177,3)="113"),OR(LEFT($G1177,3)="111",LEFT($G1177,3)="112",LEFT($G1177,3)="113")),"NB",IF(OR(LEFT($F1177,3)="111",LEFT($F1177,3)="112",LEFT($F1177,3)="113"),"THU",IF(OR(LEFT($G1177,3)="111",LEFT($G1177,3)="112",LEFT($G1177,3)="113"),"CHI",""))))</f>
        <v/>
      </c>
      <c r="N1177" s="117">
        <f>IF($M1177="THU",$G1177,IF($M1177="CHI",$F1177,""))</f>
        <v/>
      </c>
      <c r="O1177" s="117">
        <f>IF(OR($M1177="",$M1177="NB"),"",IF($J1177&lt;&gt;"",TEXT($J1177,"00"),IFERROR(VLOOKUP(LEFT($N1177,4),LCTT_MAP!$A$7:$C$66,IF($M1177="THU",2,3),FALSE()),IFERROR(VLOOKUP(LEFT($N1177,3),LCTT_MAP!$A$7:$C$66,IF($M1177="THU",2,3),FALSE()),IFERROR(VLOOKUP(LEFT($N1177,2),LCTT_MAP!$A$7:$C$66,IF($M1177="THU",2,3),FALSE()),IFERROR(VLOOKUP(LEFT($N1177,1),LCTT_MAP!$A$7:$C$66,IF($M1177="THU",2,3),FALSE()),IF($M1177="THU","06","07")))))))</f>
        <v/>
      </c>
      <c r="P1177" s="117">
        <f>P1176+IF(AND($H1177&lt;&gt;"",OR(LEFT($F1177,LEN(SC_TK))=SC_TK,LEFT($G1177,LEN(SC_TK))=SC_TK)),1,0)</f>
        <v/>
      </c>
    </row>
    <row r="1178" ht="15" customHeight="1" s="78">
      <c r="A1178" s="95">
        <f>IF($H1178="","",ROW()-6)</f>
        <v/>
      </c>
      <c r="B1178" s="114" t="n"/>
      <c r="C1178" s="102" t="n"/>
      <c r="D1178" s="114" t="n"/>
      <c r="E1178" s="103" t="n"/>
      <c r="F1178" s="102" t="n"/>
      <c r="G1178" s="102" t="n"/>
      <c r="H1178" s="115" t="n"/>
      <c r="I1178" s="102" t="n"/>
      <c r="J1178" s="102" t="n"/>
      <c r="K1178" s="103" t="n"/>
      <c r="L1178" s="116">
        <f>IF($H1178="","",TRIM(IF(COUNTIF(DMTK!$A$7:$A$250,$F1178)=0,"TK Nợ sai! ","")&amp;IF(COUNTIF(DMTK!$A$7:$A$250,$G1178)=0,"TK Có sai! ","")&amp;IF(N($H1178)&lt;=0,"Tiền phải &gt; 0! ","")&amp;IF($B1178="","Thiếu ngày! ","")&amp;IF(AND(OR(LEFT($F1178,3)="131",LEFT($G1178,3)="131",LEFT($F1178,3)="331",LEFT($G1178,3)="331"),$I1178=""),"Thiếu Mã ĐT! ","")&amp;IF(AND($I1178&lt;&gt;"",COUNTIF(DM_DT!$A$7:$A$306,$I1178)=0),"Mã ĐT chưa khai báo! ","")))</f>
        <v/>
      </c>
      <c r="M1178" s="117">
        <f>IF($H1178="","",IF(AND(OR(LEFT($F1178,3)="111",LEFT($F1178,3)="112",LEFT($F1178,3)="113"),OR(LEFT($G1178,3)="111",LEFT($G1178,3)="112",LEFT($G1178,3)="113")),"NB",IF(OR(LEFT($F1178,3)="111",LEFT($F1178,3)="112",LEFT($F1178,3)="113"),"THU",IF(OR(LEFT($G1178,3)="111",LEFT($G1178,3)="112",LEFT($G1178,3)="113"),"CHI",""))))</f>
        <v/>
      </c>
      <c r="N1178" s="117">
        <f>IF($M1178="THU",$G1178,IF($M1178="CHI",$F1178,""))</f>
        <v/>
      </c>
      <c r="O1178" s="117">
        <f>IF(OR($M1178="",$M1178="NB"),"",IF($J1178&lt;&gt;"",TEXT($J1178,"00"),IFERROR(VLOOKUP(LEFT($N1178,4),LCTT_MAP!$A$7:$C$66,IF($M1178="THU",2,3),FALSE()),IFERROR(VLOOKUP(LEFT($N1178,3),LCTT_MAP!$A$7:$C$66,IF($M1178="THU",2,3),FALSE()),IFERROR(VLOOKUP(LEFT($N1178,2),LCTT_MAP!$A$7:$C$66,IF($M1178="THU",2,3),FALSE()),IFERROR(VLOOKUP(LEFT($N1178,1),LCTT_MAP!$A$7:$C$66,IF($M1178="THU",2,3),FALSE()),IF($M1178="THU","06","07")))))))</f>
        <v/>
      </c>
      <c r="P1178" s="117">
        <f>P1177+IF(AND($H1178&lt;&gt;"",OR(LEFT($F1178,LEN(SC_TK))=SC_TK,LEFT($G1178,LEN(SC_TK))=SC_TK)),1,0)</f>
        <v/>
      </c>
    </row>
    <row r="1179" ht="15" customHeight="1" s="78">
      <c r="A1179" s="95">
        <f>IF($H1179="","",ROW()-6)</f>
        <v/>
      </c>
      <c r="B1179" s="114" t="n"/>
      <c r="C1179" s="102" t="n"/>
      <c r="D1179" s="114" t="n"/>
      <c r="E1179" s="103" t="n"/>
      <c r="F1179" s="102" t="n"/>
      <c r="G1179" s="102" t="n"/>
      <c r="H1179" s="115" t="n"/>
      <c r="I1179" s="102" t="n"/>
      <c r="J1179" s="102" t="n"/>
      <c r="K1179" s="103" t="n"/>
      <c r="L1179" s="116">
        <f>IF($H1179="","",TRIM(IF(COUNTIF(DMTK!$A$7:$A$250,$F1179)=0,"TK Nợ sai! ","")&amp;IF(COUNTIF(DMTK!$A$7:$A$250,$G1179)=0,"TK Có sai! ","")&amp;IF(N($H1179)&lt;=0,"Tiền phải &gt; 0! ","")&amp;IF($B1179="","Thiếu ngày! ","")&amp;IF(AND(OR(LEFT($F1179,3)="131",LEFT($G1179,3)="131",LEFT($F1179,3)="331",LEFT($G1179,3)="331"),$I1179=""),"Thiếu Mã ĐT! ","")&amp;IF(AND($I1179&lt;&gt;"",COUNTIF(DM_DT!$A$7:$A$306,$I1179)=0),"Mã ĐT chưa khai báo! ","")))</f>
        <v/>
      </c>
      <c r="M1179" s="117">
        <f>IF($H1179="","",IF(AND(OR(LEFT($F1179,3)="111",LEFT($F1179,3)="112",LEFT($F1179,3)="113"),OR(LEFT($G1179,3)="111",LEFT($G1179,3)="112",LEFT($G1179,3)="113")),"NB",IF(OR(LEFT($F1179,3)="111",LEFT($F1179,3)="112",LEFT($F1179,3)="113"),"THU",IF(OR(LEFT($G1179,3)="111",LEFT($G1179,3)="112",LEFT($G1179,3)="113"),"CHI",""))))</f>
        <v/>
      </c>
      <c r="N1179" s="117">
        <f>IF($M1179="THU",$G1179,IF($M1179="CHI",$F1179,""))</f>
        <v/>
      </c>
      <c r="O1179" s="117">
        <f>IF(OR($M1179="",$M1179="NB"),"",IF($J1179&lt;&gt;"",TEXT($J1179,"00"),IFERROR(VLOOKUP(LEFT($N1179,4),LCTT_MAP!$A$7:$C$66,IF($M1179="THU",2,3),FALSE()),IFERROR(VLOOKUP(LEFT($N1179,3),LCTT_MAP!$A$7:$C$66,IF($M1179="THU",2,3),FALSE()),IFERROR(VLOOKUP(LEFT($N1179,2),LCTT_MAP!$A$7:$C$66,IF($M1179="THU",2,3),FALSE()),IFERROR(VLOOKUP(LEFT($N1179,1),LCTT_MAP!$A$7:$C$66,IF($M1179="THU",2,3),FALSE()),IF($M1179="THU","06","07")))))))</f>
        <v/>
      </c>
      <c r="P1179" s="117">
        <f>P1178+IF(AND($H1179&lt;&gt;"",OR(LEFT($F1179,LEN(SC_TK))=SC_TK,LEFT($G1179,LEN(SC_TK))=SC_TK)),1,0)</f>
        <v/>
      </c>
    </row>
    <row r="1180" ht="15" customHeight="1" s="78">
      <c r="A1180" s="95">
        <f>IF($H1180="","",ROW()-6)</f>
        <v/>
      </c>
      <c r="B1180" s="114" t="n"/>
      <c r="C1180" s="102" t="n"/>
      <c r="D1180" s="114" t="n"/>
      <c r="E1180" s="103" t="n"/>
      <c r="F1180" s="102" t="n"/>
      <c r="G1180" s="102" t="n"/>
      <c r="H1180" s="115" t="n"/>
      <c r="I1180" s="102" t="n"/>
      <c r="J1180" s="102" t="n"/>
      <c r="K1180" s="103" t="n"/>
      <c r="L1180" s="116">
        <f>IF($H1180="","",TRIM(IF(COUNTIF(DMTK!$A$7:$A$250,$F1180)=0,"TK Nợ sai! ","")&amp;IF(COUNTIF(DMTK!$A$7:$A$250,$G1180)=0,"TK Có sai! ","")&amp;IF(N($H1180)&lt;=0,"Tiền phải &gt; 0! ","")&amp;IF($B1180="","Thiếu ngày! ","")&amp;IF(AND(OR(LEFT($F1180,3)="131",LEFT($G1180,3)="131",LEFT($F1180,3)="331",LEFT($G1180,3)="331"),$I1180=""),"Thiếu Mã ĐT! ","")&amp;IF(AND($I1180&lt;&gt;"",COUNTIF(DM_DT!$A$7:$A$306,$I1180)=0),"Mã ĐT chưa khai báo! ","")))</f>
        <v/>
      </c>
      <c r="M1180" s="117">
        <f>IF($H1180="","",IF(AND(OR(LEFT($F1180,3)="111",LEFT($F1180,3)="112",LEFT($F1180,3)="113"),OR(LEFT($G1180,3)="111",LEFT($G1180,3)="112",LEFT($G1180,3)="113")),"NB",IF(OR(LEFT($F1180,3)="111",LEFT($F1180,3)="112",LEFT($F1180,3)="113"),"THU",IF(OR(LEFT($G1180,3)="111",LEFT($G1180,3)="112",LEFT($G1180,3)="113"),"CHI",""))))</f>
        <v/>
      </c>
      <c r="N1180" s="117">
        <f>IF($M1180="THU",$G1180,IF($M1180="CHI",$F1180,""))</f>
        <v/>
      </c>
      <c r="O1180" s="117">
        <f>IF(OR($M1180="",$M1180="NB"),"",IF($J1180&lt;&gt;"",TEXT($J1180,"00"),IFERROR(VLOOKUP(LEFT($N1180,4),LCTT_MAP!$A$7:$C$66,IF($M1180="THU",2,3),FALSE()),IFERROR(VLOOKUP(LEFT($N1180,3),LCTT_MAP!$A$7:$C$66,IF($M1180="THU",2,3),FALSE()),IFERROR(VLOOKUP(LEFT($N1180,2),LCTT_MAP!$A$7:$C$66,IF($M1180="THU",2,3),FALSE()),IFERROR(VLOOKUP(LEFT($N1180,1),LCTT_MAP!$A$7:$C$66,IF($M1180="THU",2,3),FALSE()),IF($M1180="THU","06","07")))))))</f>
        <v/>
      </c>
      <c r="P1180" s="117">
        <f>P1179+IF(AND($H1180&lt;&gt;"",OR(LEFT($F1180,LEN(SC_TK))=SC_TK,LEFT($G1180,LEN(SC_TK))=SC_TK)),1,0)</f>
        <v/>
      </c>
    </row>
    <row r="1181" ht="15" customHeight="1" s="78">
      <c r="A1181" s="95">
        <f>IF($H1181="","",ROW()-6)</f>
        <v/>
      </c>
      <c r="B1181" s="114" t="n"/>
      <c r="C1181" s="102" t="n"/>
      <c r="D1181" s="114" t="n"/>
      <c r="E1181" s="103" t="n"/>
      <c r="F1181" s="102" t="n"/>
      <c r="G1181" s="102" t="n"/>
      <c r="H1181" s="115" t="n"/>
      <c r="I1181" s="102" t="n"/>
      <c r="J1181" s="102" t="n"/>
      <c r="K1181" s="103" t="n"/>
      <c r="L1181" s="116">
        <f>IF($H1181="","",TRIM(IF(COUNTIF(DMTK!$A$7:$A$250,$F1181)=0,"TK Nợ sai! ","")&amp;IF(COUNTIF(DMTK!$A$7:$A$250,$G1181)=0,"TK Có sai! ","")&amp;IF(N($H1181)&lt;=0,"Tiền phải &gt; 0! ","")&amp;IF($B1181="","Thiếu ngày! ","")&amp;IF(AND(OR(LEFT($F1181,3)="131",LEFT($G1181,3)="131",LEFT($F1181,3)="331",LEFT($G1181,3)="331"),$I1181=""),"Thiếu Mã ĐT! ","")&amp;IF(AND($I1181&lt;&gt;"",COUNTIF(DM_DT!$A$7:$A$306,$I1181)=0),"Mã ĐT chưa khai báo! ","")))</f>
        <v/>
      </c>
      <c r="M1181" s="117">
        <f>IF($H1181="","",IF(AND(OR(LEFT($F1181,3)="111",LEFT($F1181,3)="112",LEFT($F1181,3)="113"),OR(LEFT($G1181,3)="111",LEFT($G1181,3)="112",LEFT($G1181,3)="113")),"NB",IF(OR(LEFT($F1181,3)="111",LEFT($F1181,3)="112",LEFT($F1181,3)="113"),"THU",IF(OR(LEFT($G1181,3)="111",LEFT($G1181,3)="112",LEFT($G1181,3)="113"),"CHI",""))))</f>
        <v/>
      </c>
      <c r="N1181" s="117">
        <f>IF($M1181="THU",$G1181,IF($M1181="CHI",$F1181,""))</f>
        <v/>
      </c>
      <c r="O1181" s="117">
        <f>IF(OR($M1181="",$M1181="NB"),"",IF($J1181&lt;&gt;"",TEXT($J1181,"00"),IFERROR(VLOOKUP(LEFT($N1181,4),LCTT_MAP!$A$7:$C$66,IF($M1181="THU",2,3),FALSE()),IFERROR(VLOOKUP(LEFT($N1181,3),LCTT_MAP!$A$7:$C$66,IF($M1181="THU",2,3),FALSE()),IFERROR(VLOOKUP(LEFT($N1181,2),LCTT_MAP!$A$7:$C$66,IF($M1181="THU",2,3),FALSE()),IFERROR(VLOOKUP(LEFT($N1181,1),LCTT_MAP!$A$7:$C$66,IF($M1181="THU",2,3),FALSE()),IF($M1181="THU","06","07")))))))</f>
        <v/>
      </c>
      <c r="P1181" s="117">
        <f>P1180+IF(AND($H1181&lt;&gt;"",OR(LEFT($F1181,LEN(SC_TK))=SC_TK,LEFT($G1181,LEN(SC_TK))=SC_TK)),1,0)</f>
        <v/>
      </c>
    </row>
    <row r="1182" ht="15" customHeight="1" s="78">
      <c r="A1182" s="95">
        <f>IF($H1182="","",ROW()-6)</f>
        <v/>
      </c>
      <c r="B1182" s="114" t="n"/>
      <c r="C1182" s="102" t="n"/>
      <c r="D1182" s="114" t="n"/>
      <c r="E1182" s="103" t="n"/>
      <c r="F1182" s="102" t="n"/>
      <c r="G1182" s="102" t="n"/>
      <c r="H1182" s="115" t="n"/>
      <c r="I1182" s="102" t="n"/>
      <c r="J1182" s="102" t="n"/>
      <c r="K1182" s="103" t="n"/>
      <c r="L1182" s="116">
        <f>IF($H1182="","",TRIM(IF(COUNTIF(DMTK!$A$7:$A$250,$F1182)=0,"TK Nợ sai! ","")&amp;IF(COUNTIF(DMTK!$A$7:$A$250,$G1182)=0,"TK Có sai! ","")&amp;IF(N($H1182)&lt;=0,"Tiền phải &gt; 0! ","")&amp;IF($B1182="","Thiếu ngày! ","")&amp;IF(AND(OR(LEFT($F1182,3)="131",LEFT($G1182,3)="131",LEFT($F1182,3)="331",LEFT($G1182,3)="331"),$I1182=""),"Thiếu Mã ĐT! ","")&amp;IF(AND($I1182&lt;&gt;"",COUNTIF(DM_DT!$A$7:$A$306,$I1182)=0),"Mã ĐT chưa khai báo! ","")))</f>
        <v/>
      </c>
      <c r="M1182" s="117">
        <f>IF($H1182="","",IF(AND(OR(LEFT($F1182,3)="111",LEFT($F1182,3)="112",LEFT($F1182,3)="113"),OR(LEFT($G1182,3)="111",LEFT($G1182,3)="112",LEFT($G1182,3)="113")),"NB",IF(OR(LEFT($F1182,3)="111",LEFT($F1182,3)="112",LEFT($F1182,3)="113"),"THU",IF(OR(LEFT($G1182,3)="111",LEFT($G1182,3)="112",LEFT($G1182,3)="113"),"CHI",""))))</f>
        <v/>
      </c>
      <c r="N1182" s="117">
        <f>IF($M1182="THU",$G1182,IF($M1182="CHI",$F1182,""))</f>
        <v/>
      </c>
      <c r="O1182" s="117">
        <f>IF(OR($M1182="",$M1182="NB"),"",IF($J1182&lt;&gt;"",TEXT($J1182,"00"),IFERROR(VLOOKUP(LEFT($N1182,4),LCTT_MAP!$A$7:$C$66,IF($M1182="THU",2,3),FALSE()),IFERROR(VLOOKUP(LEFT($N1182,3),LCTT_MAP!$A$7:$C$66,IF($M1182="THU",2,3),FALSE()),IFERROR(VLOOKUP(LEFT($N1182,2),LCTT_MAP!$A$7:$C$66,IF($M1182="THU",2,3),FALSE()),IFERROR(VLOOKUP(LEFT($N1182,1),LCTT_MAP!$A$7:$C$66,IF($M1182="THU",2,3),FALSE()),IF($M1182="THU","06","07")))))))</f>
        <v/>
      </c>
      <c r="P1182" s="117">
        <f>P1181+IF(AND($H1182&lt;&gt;"",OR(LEFT($F1182,LEN(SC_TK))=SC_TK,LEFT($G1182,LEN(SC_TK))=SC_TK)),1,0)</f>
        <v/>
      </c>
    </row>
    <row r="1183" ht="15" customHeight="1" s="78">
      <c r="A1183" s="95">
        <f>IF($H1183="","",ROW()-6)</f>
        <v/>
      </c>
      <c r="B1183" s="114" t="n"/>
      <c r="C1183" s="102" t="n"/>
      <c r="D1183" s="114" t="n"/>
      <c r="E1183" s="103" t="n"/>
      <c r="F1183" s="102" t="n"/>
      <c r="G1183" s="102" t="n"/>
      <c r="H1183" s="115" t="n"/>
      <c r="I1183" s="102" t="n"/>
      <c r="J1183" s="102" t="n"/>
      <c r="K1183" s="103" t="n"/>
      <c r="L1183" s="116">
        <f>IF($H1183="","",TRIM(IF(COUNTIF(DMTK!$A$7:$A$250,$F1183)=0,"TK Nợ sai! ","")&amp;IF(COUNTIF(DMTK!$A$7:$A$250,$G1183)=0,"TK Có sai! ","")&amp;IF(N($H1183)&lt;=0,"Tiền phải &gt; 0! ","")&amp;IF($B1183="","Thiếu ngày! ","")&amp;IF(AND(OR(LEFT($F1183,3)="131",LEFT($G1183,3)="131",LEFT($F1183,3)="331",LEFT($G1183,3)="331"),$I1183=""),"Thiếu Mã ĐT! ","")&amp;IF(AND($I1183&lt;&gt;"",COUNTIF(DM_DT!$A$7:$A$306,$I1183)=0),"Mã ĐT chưa khai báo! ","")))</f>
        <v/>
      </c>
      <c r="M1183" s="117">
        <f>IF($H1183="","",IF(AND(OR(LEFT($F1183,3)="111",LEFT($F1183,3)="112",LEFT($F1183,3)="113"),OR(LEFT($G1183,3)="111",LEFT($G1183,3)="112",LEFT($G1183,3)="113")),"NB",IF(OR(LEFT($F1183,3)="111",LEFT($F1183,3)="112",LEFT($F1183,3)="113"),"THU",IF(OR(LEFT($G1183,3)="111",LEFT($G1183,3)="112",LEFT($G1183,3)="113"),"CHI",""))))</f>
        <v/>
      </c>
      <c r="N1183" s="117">
        <f>IF($M1183="THU",$G1183,IF($M1183="CHI",$F1183,""))</f>
        <v/>
      </c>
      <c r="O1183" s="117">
        <f>IF(OR($M1183="",$M1183="NB"),"",IF($J1183&lt;&gt;"",TEXT($J1183,"00"),IFERROR(VLOOKUP(LEFT($N1183,4),LCTT_MAP!$A$7:$C$66,IF($M1183="THU",2,3),FALSE()),IFERROR(VLOOKUP(LEFT($N1183,3),LCTT_MAP!$A$7:$C$66,IF($M1183="THU",2,3),FALSE()),IFERROR(VLOOKUP(LEFT($N1183,2),LCTT_MAP!$A$7:$C$66,IF($M1183="THU",2,3),FALSE()),IFERROR(VLOOKUP(LEFT($N1183,1),LCTT_MAP!$A$7:$C$66,IF($M1183="THU",2,3),FALSE()),IF($M1183="THU","06","07")))))))</f>
        <v/>
      </c>
      <c r="P1183" s="117">
        <f>P1182+IF(AND($H1183&lt;&gt;"",OR(LEFT($F1183,LEN(SC_TK))=SC_TK,LEFT($G1183,LEN(SC_TK))=SC_TK)),1,0)</f>
        <v/>
      </c>
    </row>
    <row r="1184" ht="15" customHeight="1" s="78">
      <c r="A1184" s="95">
        <f>IF($H1184="","",ROW()-6)</f>
        <v/>
      </c>
      <c r="B1184" s="114" t="n"/>
      <c r="C1184" s="102" t="n"/>
      <c r="D1184" s="114" t="n"/>
      <c r="E1184" s="103" t="n"/>
      <c r="F1184" s="102" t="n"/>
      <c r="G1184" s="102" t="n"/>
      <c r="H1184" s="115" t="n"/>
      <c r="I1184" s="102" t="n"/>
      <c r="J1184" s="102" t="n"/>
      <c r="K1184" s="103" t="n"/>
      <c r="L1184" s="116">
        <f>IF($H1184="","",TRIM(IF(COUNTIF(DMTK!$A$7:$A$250,$F1184)=0,"TK Nợ sai! ","")&amp;IF(COUNTIF(DMTK!$A$7:$A$250,$G1184)=0,"TK Có sai! ","")&amp;IF(N($H1184)&lt;=0,"Tiền phải &gt; 0! ","")&amp;IF($B1184="","Thiếu ngày! ","")&amp;IF(AND(OR(LEFT($F1184,3)="131",LEFT($G1184,3)="131",LEFT($F1184,3)="331",LEFT($G1184,3)="331"),$I1184=""),"Thiếu Mã ĐT! ","")&amp;IF(AND($I1184&lt;&gt;"",COUNTIF(DM_DT!$A$7:$A$306,$I1184)=0),"Mã ĐT chưa khai báo! ","")))</f>
        <v/>
      </c>
      <c r="M1184" s="117">
        <f>IF($H1184="","",IF(AND(OR(LEFT($F1184,3)="111",LEFT($F1184,3)="112",LEFT($F1184,3)="113"),OR(LEFT($G1184,3)="111",LEFT($G1184,3)="112",LEFT($G1184,3)="113")),"NB",IF(OR(LEFT($F1184,3)="111",LEFT($F1184,3)="112",LEFT($F1184,3)="113"),"THU",IF(OR(LEFT($G1184,3)="111",LEFT($G1184,3)="112",LEFT($G1184,3)="113"),"CHI",""))))</f>
        <v/>
      </c>
      <c r="N1184" s="117">
        <f>IF($M1184="THU",$G1184,IF($M1184="CHI",$F1184,""))</f>
        <v/>
      </c>
      <c r="O1184" s="117">
        <f>IF(OR($M1184="",$M1184="NB"),"",IF($J1184&lt;&gt;"",TEXT($J1184,"00"),IFERROR(VLOOKUP(LEFT($N1184,4),LCTT_MAP!$A$7:$C$66,IF($M1184="THU",2,3),FALSE()),IFERROR(VLOOKUP(LEFT($N1184,3),LCTT_MAP!$A$7:$C$66,IF($M1184="THU",2,3),FALSE()),IFERROR(VLOOKUP(LEFT($N1184,2),LCTT_MAP!$A$7:$C$66,IF($M1184="THU",2,3),FALSE()),IFERROR(VLOOKUP(LEFT($N1184,1),LCTT_MAP!$A$7:$C$66,IF($M1184="THU",2,3),FALSE()),IF($M1184="THU","06","07")))))))</f>
        <v/>
      </c>
      <c r="P1184" s="117">
        <f>P1183+IF(AND($H1184&lt;&gt;"",OR(LEFT($F1184,LEN(SC_TK))=SC_TK,LEFT($G1184,LEN(SC_TK))=SC_TK)),1,0)</f>
        <v/>
      </c>
    </row>
    <row r="1185" ht="15" customHeight="1" s="78">
      <c r="A1185" s="95">
        <f>IF($H1185="","",ROW()-6)</f>
        <v/>
      </c>
      <c r="B1185" s="114" t="n"/>
      <c r="C1185" s="102" t="n"/>
      <c r="D1185" s="114" t="n"/>
      <c r="E1185" s="103" t="n"/>
      <c r="F1185" s="102" t="n"/>
      <c r="G1185" s="102" t="n"/>
      <c r="H1185" s="115" t="n"/>
      <c r="I1185" s="102" t="n"/>
      <c r="J1185" s="102" t="n"/>
      <c r="K1185" s="103" t="n"/>
      <c r="L1185" s="116">
        <f>IF($H1185="","",TRIM(IF(COUNTIF(DMTK!$A$7:$A$250,$F1185)=0,"TK Nợ sai! ","")&amp;IF(COUNTIF(DMTK!$A$7:$A$250,$G1185)=0,"TK Có sai! ","")&amp;IF(N($H1185)&lt;=0,"Tiền phải &gt; 0! ","")&amp;IF($B1185="","Thiếu ngày! ","")&amp;IF(AND(OR(LEFT($F1185,3)="131",LEFT($G1185,3)="131",LEFT($F1185,3)="331",LEFT($G1185,3)="331"),$I1185=""),"Thiếu Mã ĐT! ","")&amp;IF(AND($I1185&lt;&gt;"",COUNTIF(DM_DT!$A$7:$A$306,$I1185)=0),"Mã ĐT chưa khai báo! ","")))</f>
        <v/>
      </c>
      <c r="M1185" s="117">
        <f>IF($H1185="","",IF(AND(OR(LEFT($F1185,3)="111",LEFT($F1185,3)="112",LEFT($F1185,3)="113"),OR(LEFT($G1185,3)="111",LEFT($G1185,3)="112",LEFT($G1185,3)="113")),"NB",IF(OR(LEFT($F1185,3)="111",LEFT($F1185,3)="112",LEFT($F1185,3)="113"),"THU",IF(OR(LEFT($G1185,3)="111",LEFT($G1185,3)="112",LEFT($G1185,3)="113"),"CHI",""))))</f>
        <v/>
      </c>
      <c r="N1185" s="117">
        <f>IF($M1185="THU",$G1185,IF($M1185="CHI",$F1185,""))</f>
        <v/>
      </c>
      <c r="O1185" s="117">
        <f>IF(OR($M1185="",$M1185="NB"),"",IF($J1185&lt;&gt;"",TEXT($J1185,"00"),IFERROR(VLOOKUP(LEFT($N1185,4),LCTT_MAP!$A$7:$C$66,IF($M1185="THU",2,3),FALSE()),IFERROR(VLOOKUP(LEFT($N1185,3),LCTT_MAP!$A$7:$C$66,IF($M1185="THU",2,3),FALSE()),IFERROR(VLOOKUP(LEFT($N1185,2),LCTT_MAP!$A$7:$C$66,IF($M1185="THU",2,3),FALSE()),IFERROR(VLOOKUP(LEFT($N1185,1),LCTT_MAP!$A$7:$C$66,IF($M1185="THU",2,3),FALSE()),IF($M1185="THU","06","07")))))))</f>
        <v/>
      </c>
      <c r="P1185" s="117">
        <f>P1184+IF(AND($H1185&lt;&gt;"",OR(LEFT($F1185,LEN(SC_TK))=SC_TK,LEFT($G1185,LEN(SC_TK))=SC_TK)),1,0)</f>
        <v/>
      </c>
    </row>
    <row r="1186" ht="15" customHeight="1" s="78">
      <c r="A1186" s="95">
        <f>IF($H1186="","",ROW()-6)</f>
        <v/>
      </c>
      <c r="B1186" s="114" t="n"/>
      <c r="C1186" s="102" t="n"/>
      <c r="D1186" s="114" t="n"/>
      <c r="E1186" s="103" t="n"/>
      <c r="F1186" s="102" t="n"/>
      <c r="G1186" s="102" t="n"/>
      <c r="H1186" s="115" t="n"/>
      <c r="I1186" s="102" t="n"/>
      <c r="J1186" s="102" t="n"/>
      <c r="K1186" s="103" t="n"/>
      <c r="L1186" s="116">
        <f>IF($H1186="","",TRIM(IF(COUNTIF(DMTK!$A$7:$A$250,$F1186)=0,"TK Nợ sai! ","")&amp;IF(COUNTIF(DMTK!$A$7:$A$250,$G1186)=0,"TK Có sai! ","")&amp;IF(N($H1186)&lt;=0,"Tiền phải &gt; 0! ","")&amp;IF($B1186="","Thiếu ngày! ","")&amp;IF(AND(OR(LEFT($F1186,3)="131",LEFT($G1186,3)="131",LEFT($F1186,3)="331",LEFT($G1186,3)="331"),$I1186=""),"Thiếu Mã ĐT! ","")&amp;IF(AND($I1186&lt;&gt;"",COUNTIF(DM_DT!$A$7:$A$306,$I1186)=0),"Mã ĐT chưa khai báo! ","")))</f>
        <v/>
      </c>
      <c r="M1186" s="117">
        <f>IF($H1186="","",IF(AND(OR(LEFT($F1186,3)="111",LEFT($F1186,3)="112",LEFT($F1186,3)="113"),OR(LEFT($G1186,3)="111",LEFT($G1186,3)="112",LEFT($G1186,3)="113")),"NB",IF(OR(LEFT($F1186,3)="111",LEFT($F1186,3)="112",LEFT($F1186,3)="113"),"THU",IF(OR(LEFT($G1186,3)="111",LEFT($G1186,3)="112",LEFT($G1186,3)="113"),"CHI",""))))</f>
        <v/>
      </c>
      <c r="N1186" s="117">
        <f>IF($M1186="THU",$G1186,IF($M1186="CHI",$F1186,""))</f>
        <v/>
      </c>
      <c r="O1186" s="117">
        <f>IF(OR($M1186="",$M1186="NB"),"",IF($J1186&lt;&gt;"",TEXT($J1186,"00"),IFERROR(VLOOKUP(LEFT($N1186,4),LCTT_MAP!$A$7:$C$66,IF($M1186="THU",2,3),FALSE()),IFERROR(VLOOKUP(LEFT($N1186,3),LCTT_MAP!$A$7:$C$66,IF($M1186="THU",2,3),FALSE()),IFERROR(VLOOKUP(LEFT($N1186,2),LCTT_MAP!$A$7:$C$66,IF($M1186="THU",2,3),FALSE()),IFERROR(VLOOKUP(LEFT($N1186,1),LCTT_MAP!$A$7:$C$66,IF($M1186="THU",2,3),FALSE()),IF($M1186="THU","06","07")))))))</f>
        <v/>
      </c>
      <c r="P1186" s="117">
        <f>P1185+IF(AND($H1186&lt;&gt;"",OR(LEFT($F1186,LEN(SC_TK))=SC_TK,LEFT($G1186,LEN(SC_TK))=SC_TK)),1,0)</f>
        <v/>
      </c>
    </row>
    <row r="1187" ht="15" customHeight="1" s="78">
      <c r="A1187" s="95">
        <f>IF($H1187="","",ROW()-6)</f>
        <v/>
      </c>
      <c r="B1187" s="114" t="n"/>
      <c r="C1187" s="102" t="n"/>
      <c r="D1187" s="114" t="n"/>
      <c r="E1187" s="103" t="n"/>
      <c r="F1187" s="102" t="n"/>
      <c r="G1187" s="102" t="n"/>
      <c r="H1187" s="115" t="n"/>
      <c r="I1187" s="102" t="n"/>
      <c r="J1187" s="102" t="n"/>
      <c r="K1187" s="103" t="n"/>
      <c r="L1187" s="116">
        <f>IF($H1187="","",TRIM(IF(COUNTIF(DMTK!$A$7:$A$250,$F1187)=0,"TK Nợ sai! ","")&amp;IF(COUNTIF(DMTK!$A$7:$A$250,$G1187)=0,"TK Có sai! ","")&amp;IF(N($H1187)&lt;=0,"Tiền phải &gt; 0! ","")&amp;IF($B1187="","Thiếu ngày! ","")&amp;IF(AND(OR(LEFT($F1187,3)="131",LEFT($G1187,3)="131",LEFT($F1187,3)="331",LEFT($G1187,3)="331"),$I1187=""),"Thiếu Mã ĐT! ","")&amp;IF(AND($I1187&lt;&gt;"",COUNTIF(DM_DT!$A$7:$A$306,$I1187)=0),"Mã ĐT chưa khai báo! ","")))</f>
        <v/>
      </c>
      <c r="M1187" s="117">
        <f>IF($H1187="","",IF(AND(OR(LEFT($F1187,3)="111",LEFT($F1187,3)="112",LEFT($F1187,3)="113"),OR(LEFT($G1187,3)="111",LEFT($G1187,3)="112",LEFT($G1187,3)="113")),"NB",IF(OR(LEFT($F1187,3)="111",LEFT($F1187,3)="112",LEFT($F1187,3)="113"),"THU",IF(OR(LEFT($G1187,3)="111",LEFT($G1187,3)="112",LEFT($G1187,3)="113"),"CHI",""))))</f>
        <v/>
      </c>
      <c r="N1187" s="117">
        <f>IF($M1187="THU",$G1187,IF($M1187="CHI",$F1187,""))</f>
        <v/>
      </c>
      <c r="O1187" s="117">
        <f>IF(OR($M1187="",$M1187="NB"),"",IF($J1187&lt;&gt;"",TEXT($J1187,"00"),IFERROR(VLOOKUP(LEFT($N1187,4),LCTT_MAP!$A$7:$C$66,IF($M1187="THU",2,3),FALSE()),IFERROR(VLOOKUP(LEFT($N1187,3),LCTT_MAP!$A$7:$C$66,IF($M1187="THU",2,3),FALSE()),IFERROR(VLOOKUP(LEFT($N1187,2),LCTT_MAP!$A$7:$C$66,IF($M1187="THU",2,3),FALSE()),IFERROR(VLOOKUP(LEFT($N1187,1),LCTT_MAP!$A$7:$C$66,IF($M1187="THU",2,3),FALSE()),IF($M1187="THU","06","07")))))))</f>
        <v/>
      </c>
      <c r="P1187" s="117">
        <f>P1186+IF(AND($H1187&lt;&gt;"",OR(LEFT($F1187,LEN(SC_TK))=SC_TK,LEFT($G1187,LEN(SC_TK))=SC_TK)),1,0)</f>
        <v/>
      </c>
    </row>
    <row r="1188" ht="15" customHeight="1" s="78">
      <c r="A1188" s="95">
        <f>IF($H1188="","",ROW()-6)</f>
        <v/>
      </c>
      <c r="B1188" s="114" t="n"/>
      <c r="C1188" s="102" t="n"/>
      <c r="D1188" s="114" t="n"/>
      <c r="E1188" s="103" t="n"/>
      <c r="F1188" s="102" t="n"/>
      <c r="G1188" s="102" t="n"/>
      <c r="H1188" s="115" t="n"/>
      <c r="I1188" s="102" t="n"/>
      <c r="J1188" s="102" t="n"/>
      <c r="K1188" s="103" t="n"/>
      <c r="L1188" s="116">
        <f>IF($H1188="","",TRIM(IF(COUNTIF(DMTK!$A$7:$A$250,$F1188)=0,"TK Nợ sai! ","")&amp;IF(COUNTIF(DMTK!$A$7:$A$250,$G1188)=0,"TK Có sai! ","")&amp;IF(N($H1188)&lt;=0,"Tiền phải &gt; 0! ","")&amp;IF($B1188="","Thiếu ngày! ","")&amp;IF(AND(OR(LEFT($F1188,3)="131",LEFT($G1188,3)="131",LEFT($F1188,3)="331",LEFT($G1188,3)="331"),$I1188=""),"Thiếu Mã ĐT! ","")&amp;IF(AND($I1188&lt;&gt;"",COUNTIF(DM_DT!$A$7:$A$306,$I1188)=0),"Mã ĐT chưa khai báo! ","")))</f>
        <v/>
      </c>
      <c r="M1188" s="117">
        <f>IF($H1188="","",IF(AND(OR(LEFT($F1188,3)="111",LEFT($F1188,3)="112",LEFT($F1188,3)="113"),OR(LEFT($G1188,3)="111",LEFT($G1188,3)="112",LEFT($G1188,3)="113")),"NB",IF(OR(LEFT($F1188,3)="111",LEFT($F1188,3)="112",LEFT($F1188,3)="113"),"THU",IF(OR(LEFT($G1188,3)="111",LEFT($G1188,3)="112",LEFT($G1188,3)="113"),"CHI",""))))</f>
        <v/>
      </c>
      <c r="N1188" s="117">
        <f>IF($M1188="THU",$G1188,IF($M1188="CHI",$F1188,""))</f>
        <v/>
      </c>
      <c r="O1188" s="117">
        <f>IF(OR($M1188="",$M1188="NB"),"",IF($J1188&lt;&gt;"",TEXT($J1188,"00"),IFERROR(VLOOKUP(LEFT($N1188,4),LCTT_MAP!$A$7:$C$66,IF($M1188="THU",2,3),FALSE()),IFERROR(VLOOKUP(LEFT($N1188,3),LCTT_MAP!$A$7:$C$66,IF($M1188="THU",2,3),FALSE()),IFERROR(VLOOKUP(LEFT($N1188,2),LCTT_MAP!$A$7:$C$66,IF($M1188="THU",2,3),FALSE()),IFERROR(VLOOKUP(LEFT($N1188,1),LCTT_MAP!$A$7:$C$66,IF($M1188="THU",2,3),FALSE()),IF($M1188="THU","06","07")))))))</f>
        <v/>
      </c>
      <c r="P1188" s="117">
        <f>P1187+IF(AND($H1188&lt;&gt;"",OR(LEFT($F1188,LEN(SC_TK))=SC_TK,LEFT($G1188,LEN(SC_TK))=SC_TK)),1,0)</f>
        <v/>
      </c>
    </row>
    <row r="1189" ht="15" customHeight="1" s="78">
      <c r="A1189" s="95">
        <f>IF($H1189="","",ROW()-6)</f>
        <v/>
      </c>
      <c r="B1189" s="114" t="n"/>
      <c r="C1189" s="102" t="n"/>
      <c r="D1189" s="114" t="n"/>
      <c r="E1189" s="103" t="n"/>
      <c r="F1189" s="102" t="n"/>
      <c r="G1189" s="102" t="n"/>
      <c r="H1189" s="115" t="n"/>
      <c r="I1189" s="102" t="n"/>
      <c r="J1189" s="102" t="n"/>
      <c r="K1189" s="103" t="n"/>
      <c r="L1189" s="116">
        <f>IF($H1189="","",TRIM(IF(COUNTIF(DMTK!$A$7:$A$250,$F1189)=0,"TK Nợ sai! ","")&amp;IF(COUNTIF(DMTK!$A$7:$A$250,$G1189)=0,"TK Có sai! ","")&amp;IF(N($H1189)&lt;=0,"Tiền phải &gt; 0! ","")&amp;IF($B1189="","Thiếu ngày! ","")&amp;IF(AND(OR(LEFT($F1189,3)="131",LEFT($G1189,3)="131",LEFT($F1189,3)="331",LEFT($G1189,3)="331"),$I1189=""),"Thiếu Mã ĐT! ","")&amp;IF(AND($I1189&lt;&gt;"",COUNTIF(DM_DT!$A$7:$A$306,$I1189)=0),"Mã ĐT chưa khai báo! ","")))</f>
        <v/>
      </c>
      <c r="M1189" s="117">
        <f>IF($H1189="","",IF(AND(OR(LEFT($F1189,3)="111",LEFT($F1189,3)="112",LEFT($F1189,3)="113"),OR(LEFT($G1189,3)="111",LEFT($G1189,3)="112",LEFT($G1189,3)="113")),"NB",IF(OR(LEFT($F1189,3)="111",LEFT($F1189,3)="112",LEFT($F1189,3)="113"),"THU",IF(OR(LEFT($G1189,3)="111",LEFT($G1189,3)="112",LEFT($G1189,3)="113"),"CHI",""))))</f>
        <v/>
      </c>
      <c r="N1189" s="117">
        <f>IF($M1189="THU",$G1189,IF($M1189="CHI",$F1189,""))</f>
        <v/>
      </c>
      <c r="O1189" s="117">
        <f>IF(OR($M1189="",$M1189="NB"),"",IF($J1189&lt;&gt;"",TEXT($J1189,"00"),IFERROR(VLOOKUP(LEFT($N1189,4),LCTT_MAP!$A$7:$C$66,IF($M1189="THU",2,3),FALSE()),IFERROR(VLOOKUP(LEFT($N1189,3),LCTT_MAP!$A$7:$C$66,IF($M1189="THU",2,3),FALSE()),IFERROR(VLOOKUP(LEFT($N1189,2),LCTT_MAP!$A$7:$C$66,IF($M1189="THU",2,3),FALSE()),IFERROR(VLOOKUP(LEFT($N1189,1),LCTT_MAP!$A$7:$C$66,IF($M1189="THU",2,3),FALSE()),IF($M1189="THU","06","07")))))))</f>
        <v/>
      </c>
      <c r="P1189" s="117">
        <f>P1188+IF(AND($H1189&lt;&gt;"",OR(LEFT($F1189,LEN(SC_TK))=SC_TK,LEFT($G1189,LEN(SC_TK))=SC_TK)),1,0)</f>
        <v/>
      </c>
    </row>
    <row r="1190" ht="15" customHeight="1" s="78">
      <c r="A1190" s="95">
        <f>IF($H1190="","",ROW()-6)</f>
        <v/>
      </c>
      <c r="B1190" s="114" t="n"/>
      <c r="C1190" s="102" t="n"/>
      <c r="D1190" s="114" t="n"/>
      <c r="E1190" s="103" t="n"/>
      <c r="F1190" s="102" t="n"/>
      <c r="G1190" s="102" t="n"/>
      <c r="H1190" s="115" t="n"/>
      <c r="I1190" s="102" t="n"/>
      <c r="J1190" s="102" t="n"/>
      <c r="K1190" s="103" t="n"/>
      <c r="L1190" s="116">
        <f>IF($H1190="","",TRIM(IF(COUNTIF(DMTK!$A$7:$A$250,$F1190)=0,"TK Nợ sai! ","")&amp;IF(COUNTIF(DMTK!$A$7:$A$250,$G1190)=0,"TK Có sai! ","")&amp;IF(N($H1190)&lt;=0,"Tiền phải &gt; 0! ","")&amp;IF($B1190="","Thiếu ngày! ","")&amp;IF(AND(OR(LEFT($F1190,3)="131",LEFT($G1190,3)="131",LEFT($F1190,3)="331",LEFT($G1190,3)="331"),$I1190=""),"Thiếu Mã ĐT! ","")&amp;IF(AND($I1190&lt;&gt;"",COUNTIF(DM_DT!$A$7:$A$306,$I1190)=0),"Mã ĐT chưa khai báo! ","")))</f>
        <v/>
      </c>
      <c r="M1190" s="117">
        <f>IF($H1190="","",IF(AND(OR(LEFT($F1190,3)="111",LEFT($F1190,3)="112",LEFT($F1190,3)="113"),OR(LEFT($G1190,3)="111",LEFT($G1190,3)="112",LEFT($G1190,3)="113")),"NB",IF(OR(LEFT($F1190,3)="111",LEFT($F1190,3)="112",LEFT($F1190,3)="113"),"THU",IF(OR(LEFT($G1190,3)="111",LEFT($G1190,3)="112",LEFT($G1190,3)="113"),"CHI",""))))</f>
        <v/>
      </c>
      <c r="N1190" s="117">
        <f>IF($M1190="THU",$G1190,IF($M1190="CHI",$F1190,""))</f>
        <v/>
      </c>
      <c r="O1190" s="117">
        <f>IF(OR($M1190="",$M1190="NB"),"",IF($J1190&lt;&gt;"",TEXT($J1190,"00"),IFERROR(VLOOKUP(LEFT($N1190,4),LCTT_MAP!$A$7:$C$66,IF($M1190="THU",2,3),FALSE()),IFERROR(VLOOKUP(LEFT($N1190,3),LCTT_MAP!$A$7:$C$66,IF($M1190="THU",2,3),FALSE()),IFERROR(VLOOKUP(LEFT($N1190,2),LCTT_MAP!$A$7:$C$66,IF($M1190="THU",2,3),FALSE()),IFERROR(VLOOKUP(LEFT($N1190,1),LCTT_MAP!$A$7:$C$66,IF($M1190="THU",2,3),FALSE()),IF($M1190="THU","06","07")))))))</f>
        <v/>
      </c>
      <c r="P1190" s="117">
        <f>P1189+IF(AND($H1190&lt;&gt;"",OR(LEFT($F1190,LEN(SC_TK))=SC_TK,LEFT($G1190,LEN(SC_TK))=SC_TK)),1,0)</f>
        <v/>
      </c>
    </row>
    <row r="1191" ht="15" customHeight="1" s="78">
      <c r="A1191" s="95">
        <f>IF($H1191="","",ROW()-6)</f>
        <v/>
      </c>
      <c r="B1191" s="114" t="n"/>
      <c r="C1191" s="102" t="n"/>
      <c r="D1191" s="114" t="n"/>
      <c r="E1191" s="103" t="n"/>
      <c r="F1191" s="102" t="n"/>
      <c r="G1191" s="102" t="n"/>
      <c r="H1191" s="115" t="n"/>
      <c r="I1191" s="102" t="n"/>
      <c r="J1191" s="102" t="n"/>
      <c r="K1191" s="103" t="n"/>
      <c r="L1191" s="116">
        <f>IF($H1191="","",TRIM(IF(COUNTIF(DMTK!$A$7:$A$250,$F1191)=0,"TK Nợ sai! ","")&amp;IF(COUNTIF(DMTK!$A$7:$A$250,$G1191)=0,"TK Có sai! ","")&amp;IF(N($H1191)&lt;=0,"Tiền phải &gt; 0! ","")&amp;IF($B1191="","Thiếu ngày! ","")&amp;IF(AND(OR(LEFT($F1191,3)="131",LEFT($G1191,3)="131",LEFT($F1191,3)="331",LEFT($G1191,3)="331"),$I1191=""),"Thiếu Mã ĐT! ","")&amp;IF(AND($I1191&lt;&gt;"",COUNTIF(DM_DT!$A$7:$A$306,$I1191)=0),"Mã ĐT chưa khai báo! ","")))</f>
        <v/>
      </c>
      <c r="M1191" s="117">
        <f>IF($H1191="","",IF(AND(OR(LEFT($F1191,3)="111",LEFT($F1191,3)="112",LEFT($F1191,3)="113"),OR(LEFT($G1191,3)="111",LEFT($G1191,3)="112",LEFT($G1191,3)="113")),"NB",IF(OR(LEFT($F1191,3)="111",LEFT($F1191,3)="112",LEFT($F1191,3)="113"),"THU",IF(OR(LEFT($G1191,3)="111",LEFT($G1191,3)="112",LEFT($G1191,3)="113"),"CHI",""))))</f>
        <v/>
      </c>
      <c r="N1191" s="117">
        <f>IF($M1191="THU",$G1191,IF($M1191="CHI",$F1191,""))</f>
        <v/>
      </c>
      <c r="O1191" s="117">
        <f>IF(OR($M1191="",$M1191="NB"),"",IF($J1191&lt;&gt;"",TEXT($J1191,"00"),IFERROR(VLOOKUP(LEFT($N1191,4),LCTT_MAP!$A$7:$C$66,IF($M1191="THU",2,3),FALSE()),IFERROR(VLOOKUP(LEFT($N1191,3),LCTT_MAP!$A$7:$C$66,IF($M1191="THU",2,3),FALSE()),IFERROR(VLOOKUP(LEFT($N1191,2),LCTT_MAP!$A$7:$C$66,IF($M1191="THU",2,3),FALSE()),IFERROR(VLOOKUP(LEFT($N1191,1),LCTT_MAP!$A$7:$C$66,IF($M1191="THU",2,3),FALSE()),IF($M1191="THU","06","07")))))))</f>
        <v/>
      </c>
      <c r="P1191" s="117">
        <f>P1190+IF(AND($H1191&lt;&gt;"",OR(LEFT($F1191,LEN(SC_TK))=SC_TK,LEFT($G1191,LEN(SC_TK))=SC_TK)),1,0)</f>
        <v/>
      </c>
    </row>
    <row r="1192" ht="15" customHeight="1" s="78">
      <c r="A1192" s="95">
        <f>IF($H1192="","",ROW()-6)</f>
        <v/>
      </c>
      <c r="B1192" s="114" t="n"/>
      <c r="C1192" s="102" t="n"/>
      <c r="D1192" s="114" t="n"/>
      <c r="E1192" s="103" t="n"/>
      <c r="F1192" s="102" t="n"/>
      <c r="G1192" s="102" t="n"/>
      <c r="H1192" s="115" t="n"/>
      <c r="I1192" s="102" t="n"/>
      <c r="J1192" s="102" t="n"/>
      <c r="K1192" s="103" t="n"/>
      <c r="L1192" s="116">
        <f>IF($H1192="","",TRIM(IF(COUNTIF(DMTK!$A$7:$A$250,$F1192)=0,"TK Nợ sai! ","")&amp;IF(COUNTIF(DMTK!$A$7:$A$250,$G1192)=0,"TK Có sai! ","")&amp;IF(N($H1192)&lt;=0,"Tiền phải &gt; 0! ","")&amp;IF($B1192="","Thiếu ngày! ","")&amp;IF(AND(OR(LEFT($F1192,3)="131",LEFT($G1192,3)="131",LEFT($F1192,3)="331",LEFT($G1192,3)="331"),$I1192=""),"Thiếu Mã ĐT! ","")&amp;IF(AND($I1192&lt;&gt;"",COUNTIF(DM_DT!$A$7:$A$306,$I1192)=0),"Mã ĐT chưa khai báo! ","")))</f>
        <v/>
      </c>
      <c r="M1192" s="117">
        <f>IF($H1192="","",IF(AND(OR(LEFT($F1192,3)="111",LEFT($F1192,3)="112",LEFT($F1192,3)="113"),OR(LEFT($G1192,3)="111",LEFT($G1192,3)="112",LEFT($G1192,3)="113")),"NB",IF(OR(LEFT($F1192,3)="111",LEFT($F1192,3)="112",LEFT($F1192,3)="113"),"THU",IF(OR(LEFT($G1192,3)="111",LEFT($G1192,3)="112",LEFT($G1192,3)="113"),"CHI",""))))</f>
        <v/>
      </c>
      <c r="N1192" s="117">
        <f>IF($M1192="THU",$G1192,IF($M1192="CHI",$F1192,""))</f>
        <v/>
      </c>
      <c r="O1192" s="117">
        <f>IF(OR($M1192="",$M1192="NB"),"",IF($J1192&lt;&gt;"",TEXT($J1192,"00"),IFERROR(VLOOKUP(LEFT($N1192,4),LCTT_MAP!$A$7:$C$66,IF($M1192="THU",2,3),FALSE()),IFERROR(VLOOKUP(LEFT($N1192,3),LCTT_MAP!$A$7:$C$66,IF($M1192="THU",2,3),FALSE()),IFERROR(VLOOKUP(LEFT($N1192,2),LCTT_MAP!$A$7:$C$66,IF($M1192="THU",2,3),FALSE()),IFERROR(VLOOKUP(LEFT($N1192,1),LCTT_MAP!$A$7:$C$66,IF($M1192="THU",2,3),FALSE()),IF($M1192="THU","06","07")))))))</f>
        <v/>
      </c>
      <c r="P1192" s="117">
        <f>P1191+IF(AND($H1192&lt;&gt;"",OR(LEFT($F1192,LEN(SC_TK))=SC_TK,LEFT($G1192,LEN(SC_TK))=SC_TK)),1,0)</f>
        <v/>
      </c>
    </row>
    <row r="1193" ht="15" customHeight="1" s="78">
      <c r="A1193" s="95">
        <f>IF($H1193="","",ROW()-6)</f>
        <v/>
      </c>
      <c r="B1193" s="114" t="n"/>
      <c r="C1193" s="102" t="n"/>
      <c r="D1193" s="114" t="n"/>
      <c r="E1193" s="103" t="n"/>
      <c r="F1193" s="102" t="n"/>
      <c r="G1193" s="102" t="n"/>
      <c r="H1193" s="115" t="n"/>
      <c r="I1193" s="102" t="n"/>
      <c r="J1193" s="102" t="n"/>
      <c r="K1193" s="103" t="n"/>
      <c r="L1193" s="116">
        <f>IF($H1193="","",TRIM(IF(COUNTIF(DMTK!$A$7:$A$250,$F1193)=0,"TK Nợ sai! ","")&amp;IF(COUNTIF(DMTK!$A$7:$A$250,$G1193)=0,"TK Có sai! ","")&amp;IF(N($H1193)&lt;=0,"Tiền phải &gt; 0! ","")&amp;IF($B1193="","Thiếu ngày! ","")&amp;IF(AND(OR(LEFT($F1193,3)="131",LEFT($G1193,3)="131",LEFT($F1193,3)="331",LEFT($G1193,3)="331"),$I1193=""),"Thiếu Mã ĐT! ","")&amp;IF(AND($I1193&lt;&gt;"",COUNTIF(DM_DT!$A$7:$A$306,$I1193)=0),"Mã ĐT chưa khai báo! ","")))</f>
        <v/>
      </c>
      <c r="M1193" s="117">
        <f>IF($H1193="","",IF(AND(OR(LEFT($F1193,3)="111",LEFT($F1193,3)="112",LEFT($F1193,3)="113"),OR(LEFT($G1193,3)="111",LEFT($G1193,3)="112",LEFT($G1193,3)="113")),"NB",IF(OR(LEFT($F1193,3)="111",LEFT($F1193,3)="112",LEFT($F1193,3)="113"),"THU",IF(OR(LEFT($G1193,3)="111",LEFT($G1193,3)="112",LEFT($G1193,3)="113"),"CHI",""))))</f>
        <v/>
      </c>
      <c r="N1193" s="117">
        <f>IF($M1193="THU",$G1193,IF($M1193="CHI",$F1193,""))</f>
        <v/>
      </c>
      <c r="O1193" s="117">
        <f>IF(OR($M1193="",$M1193="NB"),"",IF($J1193&lt;&gt;"",TEXT($J1193,"00"),IFERROR(VLOOKUP(LEFT($N1193,4),LCTT_MAP!$A$7:$C$66,IF($M1193="THU",2,3),FALSE()),IFERROR(VLOOKUP(LEFT($N1193,3),LCTT_MAP!$A$7:$C$66,IF($M1193="THU",2,3),FALSE()),IFERROR(VLOOKUP(LEFT($N1193,2),LCTT_MAP!$A$7:$C$66,IF($M1193="THU",2,3),FALSE()),IFERROR(VLOOKUP(LEFT($N1193,1),LCTT_MAP!$A$7:$C$66,IF($M1193="THU",2,3),FALSE()),IF($M1193="THU","06","07")))))))</f>
        <v/>
      </c>
      <c r="P1193" s="117">
        <f>P1192+IF(AND($H1193&lt;&gt;"",OR(LEFT($F1193,LEN(SC_TK))=SC_TK,LEFT($G1193,LEN(SC_TK))=SC_TK)),1,0)</f>
        <v/>
      </c>
    </row>
    <row r="1194" ht="15" customHeight="1" s="78">
      <c r="A1194" s="95">
        <f>IF($H1194="","",ROW()-6)</f>
        <v/>
      </c>
      <c r="B1194" s="114" t="n"/>
      <c r="C1194" s="102" t="n"/>
      <c r="D1194" s="114" t="n"/>
      <c r="E1194" s="103" t="n"/>
      <c r="F1194" s="102" t="n"/>
      <c r="G1194" s="102" t="n"/>
      <c r="H1194" s="115" t="n"/>
      <c r="I1194" s="102" t="n"/>
      <c r="J1194" s="102" t="n"/>
      <c r="K1194" s="103" t="n"/>
      <c r="L1194" s="116">
        <f>IF($H1194="","",TRIM(IF(COUNTIF(DMTK!$A$7:$A$250,$F1194)=0,"TK Nợ sai! ","")&amp;IF(COUNTIF(DMTK!$A$7:$A$250,$G1194)=0,"TK Có sai! ","")&amp;IF(N($H1194)&lt;=0,"Tiền phải &gt; 0! ","")&amp;IF($B1194="","Thiếu ngày! ","")&amp;IF(AND(OR(LEFT($F1194,3)="131",LEFT($G1194,3)="131",LEFT($F1194,3)="331",LEFT($G1194,3)="331"),$I1194=""),"Thiếu Mã ĐT! ","")&amp;IF(AND($I1194&lt;&gt;"",COUNTIF(DM_DT!$A$7:$A$306,$I1194)=0),"Mã ĐT chưa khai báo! ","")))</f>
        <v/>
      </c>
      <c r="M1194" s="117">
        <f>IF($H1194="","",IF(AND(OR(LEFT($F1194,3)="111",LEFT($F1194,3)="112",LEFT($F1194,3)="113"),OR(LEFT($G1194,3)="111",LEFT($G1194,3)="112",LEFT($G1194,3)="113")),"NB",IF(OR(LEFT($F1194,3)="111",LEFT($F1194,3)="112",LEFT($F1194,3)="113"),"THU",IF(OR(LEFT($G1194,3)="111",LEFT($G1194,3)="112",LEFT($G1194,3)="113"),"CHI",""))))</f>
        <v/>
      </c>
      <c r="N1194" s="117">
        <f>IF($M1194="THU",$G1194,IF($M1194="CHI",$F1194,""))</f>
        <v/>
      </c>
      <c r="O1194" s="117">
        <f>IF(OR($M1194="",$M1194="NB"),"",IF($J1194&lt;&gt;"",TEXT($J1194,"00"),IFERROR(VLOOKUP(LEFT($N1194,4),LCTT_MAP!$A$7:$C$66,IF($M1194="THU",2,3),FALSE()),IFERROR(VLOOKUP(LEFT($N1194,3),LCTT_MAP!$A$7:$C$66,IF($M1194="THU",2,3),FALSE()),IFERROR(VLOOKUP(LEFT($N1194,2),LCTT_MAP!$A$7:$C$66,IF($M1194="THU",2,3),FALSE()),IFERROR(VLOOKUP(LEFT($N1194,1),LCTT_MAP!$A$7:$C$66,IF($M1194="THU",2,3),FALSE()),IF($M1194="THU","06","07")))))))</f>
        <v/>
      </c>
      <c r="P1194" s="117">
        <f>P1193+IF(AND($H1194&lt;&gt;"",OR(LEFT($F1194,LEN(SC_TK))=SC_TK,LEFT($G1194,LEN(SC_TK))=SC_TK)),1,0)</f>
        <v/>
      </c>
    </row>
    <row r="1195" ht="15" customHeight="1" s="78">
      <c r="A1195" s="95">
        <f>IF($H1195="","",ROW()-6)</f>
        <v/>
      </c>
      <c r="B1195" s="114" t="n"/>
      <c r="C1195" s="102" t="n"/>
      <c r="D1195" s="114" t="n"/>
      <c r="E1195" s="103" t="n"/>
      <c r="F1195" s="102" t="n"/>
      <c r="G1195" s="102" t="n"/>
      <c r="H1195" s="115" t="n"/>
      <c r="I1195" s="102" t="n"/>
      <c r="J1195" s="102" t="n"/>
      <c r="K1195" s="103" t="n"/>
      <c r="L1195" s="116">
        <f>IF($H1195="","",TRIM(IF(COUNTIF(DMTK!$A$7:$A$250,$F1195)=0,"TK Nợ sai! ","")&amp;IF(COUNTIF(DMTK!$A$7:$A$250,$G1195)=0,"TK Có sai! ","")&amp;IF(N($H1195)&lt;=0,"Tiền phải &gt; 0! ","")&amp;IF($B1195="","Thiếu ngày! ","")&amp;IF(AND(OR(LEFT($F1195,3)="131",LEFT($G1195,3)="131",LEFT($F1195,3)="331",LEFT($G1195,3)="331"),$I1195=""),"Thiếu Mã ĐT! ","")&amp;IF(AND($I1195&lt;&gt;"",COUNTIF(DM_DT!$A$7:$A$306,$I1195)=0),"Mã ĐT chưa khai báo! ","")))</f>
        <v/>
      </c>
      <c r="M1195" s="117">
        <f>IF($H1195="","",IF(AND(OR(LEFT($F1195,3)="111",LEFT($F1195,3)="112",LEFT($F1195,3)="113"),OR(LEFT($G1195,3)="111",LEFT($G1195,3)="112",LEFT($G1195,3)="113")),"NB",IF(OR(LEFT($F1195,3)="111",LEFT($F1195,3)="112",LEFT($F1195,3)="113"),"THU",IF(OR(LEFT($G1195,3)="111",LEFT($G1195,3)="112",LEFT($G1195,3)="113"),"CHI",""))))</f>
        <v/>
      </c>
      <c r="N1195" s="117">
        <f>IF($M1195="THU",$G1195,IF($M1195="CHI",$F1195,""))</f>
        <v/>
      </c>
      <c r="O1195" s="117">
        <f>IF(OR($M1195="",$M1195="NB"),"",IF($J1195&lt;&gt;"",TEXT($J1195,"00"),IFERROR(VLOOKUP(LEFT($N1195,4),LCTT_MAP!$A$7:$C$66,IF($M1195="THU",2,3),FALSE()),IFERROR(VLOOKUP(LEFT($N1195,3),LCTT_MAP!$A$7:$C$66,IF($M1195="THU",2,3),FALSE()),IFERROR(VLOOKUP(LEFT($N1195,2),LCTT_MAP!$A$7:$C$66,IF($M1195="THU",2,3),FALSE()),IFERROR(VLOOKUP(LEFT($N1195,1),LCTT_MAP!$A$7:$C$66,IF($M1195="THU",2,3),FALSE()),IF($M1195="THU","06","07")))))))</f>
        <v/>
      </c>
      <c r="P1195" s="117">
        <f>P1194+IF(AND($H1195&lt;&gt;"",OR(LEFT($F1195,LEN(SC_TK))=SC_TK,LEFT($G1195,LEN(SC_TK))=SC_TK)),1,0)</f>
        <v/>
      </c>
    </row>
    <row r="1196" ht="15" customHeight="1" s="78">
      <c r="A1196" s="95">
        <f>IF($H1196="","",ROW()-6)</f>
        <v/>
      </c>
      <c r="B1196" s="114" t="n"/>
      <c r="C1196" s="102" t="n"/>
      <c r="D1196" s="114" t="n"/>
      <c r="E1196" s="103" t="n"/>
      <c r="F1196" s="102" t="n"/>
      <c r="G1196" s="102" t="n"/>
      <c r="H1196" s="115" t="n"/>
      <c r="I1196" s="102" t="n"/>
      <c r="J1196" s="102" t="n"/>
      <c r="K1196" s="103" t="n"/>
      <c r="L1196" s="116">
        <f>IF($H1196="","",TRIM(IF(COUNTIF(DMTK!$A$7:$A$250,$F1196)=0,"TK Nợ sai! ","")&amp;IF(COUNTIF(DMTK!$A$7:$A$250,$G1196)=0,"TK Có sai! ","")&amp;IF(N($H1196)&lt;=0,"Tiền phải &gt; 0! ","")&amp;IF($B1196="","Thiếu ngày! ","")&amp;IF(AND(OR(LEFT($F1196,3)="131",LEFT($G1196,3)="131",LEFT($F1196,3)="331",LEFT($G1196,3)="331"),$I1196=""),"Thiếu Mã ĐT! ","")&amp;IF(AND($I1196&lt;&gt;"",COUNTIF(DM_DT!$A$7:$A$306,$I1196)=0),"Mã ĐT chưa khai báo! ","")))</f>
        <v/>
      </c>
      <c r="M1196" s="117">
        <f>IF($H1196="","",IF(AND(OR(LEFT($F1196,3)="111",LEFT($F1196,3)="112",LEFT($F1196,3)="113"),OR(LEFT($G1196,3)="111",LEFT($G1196,3)="112",LEFT($G1196,3)="113")),"NB",IF(OR(LEFT($F1196,3)="111",LEFT($F1196,3)="112",LEFT($F1196,3)="113"),"THU",IF(OR(LEFT($G1196,3)="111",LEFT($G1196,3)="112",LEFT($G1196,3)="113"),"CHI",""))))</f>
        <v/>
      </c>
      <c r="N1196" s="117">
        <f>IF($M1196="THU",$G1196,IF($M1196="CHI",$F1196,""))</f>
        <v/>
      </c>
      <c r="O1196" s="117">
        <f>IF(OR($M1196="",$M1196="NB"),"",IF($J1196&lt;&gt;"",TEXT($J1196,"00"),IFERROR(VLOOKUP(LEFT($N1196,4),LCTT_MAP!$A$7:$C$66,IF($M1196="THU",2,3),FALSE()),IFERROR(VLOOKUP(LEFT($N1196,3),LCTT_MAP!$A$7:$C$66,IF($M1196="THU",2,3),FALSE()),IFERROR(VLOOKUP(LEFT($N1196,2),LCTT_MAP!$A$7:$C$66,IF($M1196="THU",2,3),FALSE()),IFERROR(VLOOKUP(LEFT($N1196,1),LCTT_MAP!$A$7:$C$66,IF($M1196="THU",2,3),FALSE()),IF($M1196="THU","06","07")))))))</f>
        <v/>
      </c>
      <c r="P1196" s="117">
        <f>P1195+IF(AND($H1196&lt;&gt;"",OR(LEFT($F1196,LEN(SC_TK))=SC_TK,LEFT($G1196,LEN(SC_TK))=SC_TK)),1,0)</f>
        <v/>
      </c>
    </row>
    <row r="1197" ht="15" customHeight="1" s="78">
      <c r="A1197" s="95">
        <f>IF($H1197="","",ROW()-6)</f>
        <v/>
      </c>
      <c r="B1197" s="114" t="n"/>
      <c r="C1197" s="102" t="n"/>
      <c r="D1197" s="114" t="n"/>
      <c r="E1197" s="103" t="n"/>
      <c r="F1197" s="102" t="n"/>
      <c r="G1197" s="102" t="n"/>
      <c r="H1197" s="115" t="n"/>
      <c r="I1197" s="102" t="n"/>
      <c r="J1197" s="102" t="n"/>
      <c r="K1197" s="103" t="n"/>
      <c r="L1197" s="116">
        <f>IF($H1197="","",TRIM(IF(COUNTIF(DMTK!$A$7:$A$250,$F1197)=0,"TK Nợ sai! ","")&amp;IF(COUNTIF(DMTK!$A$7:$A$250,$G1197)=0,"TK Có sai! ","")&amp;IF(N($H1197)&lt;=0,"Tiền phải &gt; 0! ","")&amp;IF($B1197="","Thiếu ngày! ","")&amp;IF(AND(OR(LEFT($F1197,3)="131",LEFT($G1197,3)="131",LEFT($F1197,3)="331",LEFT($G1197,3)="331"),$I1197=""),"Thiếu Mã ĐT! ","")&amp;IF(AND($I1197&lt;&gt;"",COUNTIF(DM_DT!$A$7:$A$306,$I1197)=0),"Mã ĐT chưa khai báo! ","")))</f>
        <v/>
      </c>
      <c r="M1197" s="117">
        <f>IF($H1197="","",IF(AND(OR(LEFT($F1197,3)="111",LEFT($F1197,3)="112",LEFT($F1197,3)="113"),OR(LEFT($G1197,3)="111",LEFT($G1197,3)="112",LEFT($G1197,3)="113")),"NB",IF(OR(LEFT($F1197,3)="111",LEFT($F1197,3)="112",LEFT($F1197,3)="113"),"THU",IF(OR(LEFT($G1197,3)="111",LEFT($G1197,3)="112",LEFT($G1197,3)="113"),"CHI",""))))</f>
        <v/>
      </c>
      <c r="N1197" s="117">
        <f>IF($M1197="THU",$G1197,IF($M1197="CHI",$F1197,""))</f>
        <v/>
      </c>
      <c r="O1197" s="117">
        <f>IF(OR($M1197="",$M1197="NB"),"",IF($J1197&lt;&gt;"",TEXT($J1197,"00"),IFERROR(VLOOKUP(LEFT($N1197,4),LCTT_MAP!$A$7:$C$66,IF($M1197="THU",2,3),FALSE()),IFERROR(VLOOKUP(LEFT($N1197,3),LCTT_MAP!$A$7:$C$66,IF($M1197="THU",2,3),FALSE()),IFERROR(VLOOKUP(LEFT($N1197,2),LCTT_MAP!$A$7:$C$66,IF($M1197="THU",2,3),FALSE()),IFERROR(VLOOKUP(LEFT($N1197,1),LCTT_MAP!$A$7:$C$66,IF($M1197="THU",2,3),FALSE()),IF($M1197="THU","06","07")))))))</f>
        <v/>
      </c>
      <c r="P1197" s="117">
        <f>P1196+IF(AND($H1197&lt;&gt;"",OR(LEFT($F1197,LEN(SC_TK))=SC_TK,LEFT($G1197,LEN(SC_TK))=SC_TK)),1,0)</f>
        <v/>
      </c>
    </row>
    <row r="1198" ht="15" customHeight="1" s="78">
      <c r="A1198" s="95">
        <f>IF($H1198="","",ROW()-6)</f>
        <v/>
      </c>
      <c r="B1198" s="114" t="n"/>
      <c r="C1198" s="102" t="n"/>
      <c r="D1198" s="114" t="n"/>
      <c r="E1198" s="103" t="n"/>
      <c r="F1198" s="102" t="n"/>
      <c r="G1198" s="102" t="n"/>
      <c r="H1198" s="115" t="n"/>
      <c r="I1198" s="102" t="n"/>
      <c r="J1198" s="102" t="n"/>
      <c r="K1198" s="103" t="n"/>
      <c r="L1198" s="116">
        <f>IF($H1198="","",TRIM(IF(COUNTIF(DMTK!$A$7:$A$250,$F1198)=0,"TK Nợ sai! ","")&amp;IF(COUNTIF(DMTK!$A$7:$A$250,$G1198)=0,"TK Có sai! ","")&amp;IF(N($H1198)&lt;=0,"Tiền phải &gt; 0! ","")&amp;IF($B1198="","Thiếu ngày! ","")&amp;IF(AND(OR(LEFT($F1198,3)="131",LEFT($G1198,3)="131",LEFT($F1198,3)="331",LEFT($G1198,3)="331"),$I1198=""),"Thiếu Mã ĐT! ","")&amp;IF(AND($I1198&lt;&gt;"",COUNTIF(DM_DT!$A$7:$A$306,$I1198)=0),"Mã ĐT chưa khai báo! ","")))</f>
        <v/>
      </c>
      <c r="M1198" s="117">
        <f>IF($H1198="","",IF(AND(OR(LEFT($F1198,3)="111",LEFT($F1198,3)="112",LEFT($F1198,3)="113"),OR(LEFT($G1198,3)="111",LEFT($G1198,3)="112",LEFT($G1198,3)="113")),"NB",IF(OR(LEFT($F1198,3)="111",LEFT($F1198,3)="112",LEFT($F1198,3)="113"),"THU",IF(OR(LEFT($G1198,3)="111",LEFT($G1198,3)="112",LEFT($G1198,3)="113"),"CHI",""))))</f>
        <v/>
      </c>
      <c r="N1198" s="117">
        <f>IF($M1198="THU",$G1198,IF($M1198="CHI",$F1198,""))</f>
        <v/>
      </c>
      <c r="O1198" s="117">
        <f>IF(OR($M1198="",$M1198="NB"),"",IF($J1198&lt;&gt;"",TEXT($J1198,"00"),IFERROR(VLOOKUP(LEFT($N1198,4),LCTT_MAP!$A$7:$C$66,IF($M1198="THU",2,3),FALSE()),IFERROR(VLOOKUP(LEFT($N1198,3),LCTT_MAP!$A$7:$C$66,IF($M1198="THU",2,3),FALSE()),IFERROR(VLOOKUP(LEFT($N1198,2),LCTT_MAP!$A$7:$C$66,IF($M1198="THU",2,3),FALSE()),IFERROR(VLOOKUP(LEFT($N1198,1),LCTT_MAP!$A$7:$C$66,IF($M1198="THU",2,3),FALSE()),IF($M1198="THU","06","07")))))))</f>
        <v/>
      </c>
      <c r="P1198" s="117">
        <f>P1197+IF(AND($H1198&lt;&gt;"",OR(LEFT($F1198,LEN(SC_TK))=SC_TK,LEFT($G1198,LEN(SC_TK))=SC_TK)),1,0)</f>
        <v/>
      </c>
    </row>
    <row r="1199" ht="15" customHeight="1" s="78">
      <c r="A1199" s="95">
        <f>IF($H1199="","",ROW()-6)</f>
        <v/>
      </c>
      <c r="B1199" s="114" t="n"/>
      <c r="C1199" s="102" t="n"/>
      <c r="D1199" s="114" t="n"/>
      <c r="E1199" s="103" t="n"/>
      <c r="F1199" s="102" t="n"/>
      <c r="G1199" s="102" t="n"/>
      <c r="H1199" s="115" t="n"/>
      <c r="I1199" s="102" t="n"/>
      <c r="J1199" s="102" t="n"/>
      <c r="K1199" s="103" t="n"/>
      <c r="L1199" s="116">
        <f>IF($H1199="","",TRIM(IF(COUNTIF(DMTK!$A$7:$A$250,$F1199)=0,"TK Nợ sai! ","")&amp;IF(COUNTIF(DMTK!$A$7:$A$250,$G1199)=0,"TK Có sai! ","")&amp;IF(N($H1199)&lt;=0,"Tiền phải &gt; 0! ","")&amp;IF($B1199="","Thiếu ngày! ","")&amp;IF(AND(OR(LEFT($F1199,3)="131",LEFT($G1199,3)="131",LEFT($F1199,3)="331",LEFT($G1199,3)="331"),$I1199=""),"Thiếu Mã ĐT! ","")&amp;IF(AND($I1199&lt;&gt;"",COUNTIF(DM_DT!$A$7:$A$306,$I1199)=0),"Mã ĐT chưa khai báo! ","")))</f>
        <v/>
      </c>
      <c r="M1199" s="117">
        <f>IF($H1199="","",IF(AND(OR(LEFT($F1199,3)="111",LEFT($F1199,3)="112",LEFT($F1199,3)="113"),OR(LEFT($G1199,3)="111",LEFT($G1199,3)="112",LEFT($G1199,3)="113")),"NB",IF(OR(LEFT($F1199,3)="111",LEFT($F1199,3)="112",LEFT($F1199,3)="113"),"THU",IF(OR(LEFT($G1199,3)="111",LEFT($G1199,3)="112",LEFT($G1199,3)="113"),"CHI",""))))</f>
        <v/>
      </c>
      <c r="N1199" s="117">
        <f>IF($M1199="THU",$G1199,IF($M1199="CHI",$F1199,""))</f>
        <v/>
      </c>
      <c r="O1199" s="117">
        <f>IF(OR($M1199="",$M1199="NB"),"",IF($J1199&lt;&gt;"",TEXT($J1199,"00"),IFERROR(VLOOKUP(LEFT($N1199,4),LCTT_MAP!$A$7:$C$66,IF($M1199="THU",2,3),FALSE()),IFERROR(VLOOKUP(LEFT($N1199,3),LCTT_MAP!$A$7:$C$66,IF($M1199="THU",2,3),FALSE()),IFERROR(VLOOKUP(LEFT($N1199,2),LCTT_MAP!$A$7:$C$66,IF($M1199="THU",2,3),FALSE()),IFERROR(VLOOKUP(LEFT($N1199,1),LCTT_MAP!$A$7:$C$66,IF($M1199="THU",2,3),FALSE()),IF($M1199="THU","06","07")))))))</f>
        <v/>
      </c>
      <c r="P1199" s="117">
        <f>P1198+IF(AND($H1199&lt;&gt;"",OR(LEFT($F1199,LEN(SC_TK))=SC_TK,LEFT($G1199,LEN(SC_TK))=SC_TK)),1,0)</f>
        <v/>
      </c>
    </row>
    <row r="1200" ht="15" customHeight="1" s="78">
      <c r="A1200" s="95">
        <f>IF($H1200="","",ROW()-6)</f>
        <v/>
      </c>
      <c r="B1200" s="114" t="n"/>
      <c r="C1200" s="102" t="n"/>
      <c r="D1200" s="114" t="n"/>
      <c r="E1200" s="103" t="n"/>
      <c r="F1200" s="102" t="n"/>
      <c r="G1200" s="102" t="n"/>
      <c r="H1200" s="115" t="n"/>
      <c r="I1200" s="102" t="n"/>
      <c r="J1200" s="102" t="n"/>
      <c r="K1200" s="103" t="n"/>
      <c r="L1200" s="116">
        <f>IF($H1200="","",TRIM(IF(COUNTIF(DMTK!$A$7:$A$250,$F1200)=0,"TK Nợ sai! ","")&amp;IF(COUNTIF(DMTK!$A$7:$A$250,$G1200)=0,"TK Có sai! ","")&amp;IF(N($H1200)&lt;=0,"Tiền phải &gt; 0! ","")&amp;IF($B1200="","Thiếu ngày! ","")&amp;IF(AND(OR(LEFT($F1200,3)="131",LEFT($G1200,3)="131",LEFT($F1200,3)="331",LEFT($G1200,3)="331"),$I1200=""),"Thiếu Mã ĐT! ","")&amp;IF(AND($I1200&lt;&gt;"",COUNTIF(DM_DT!$A$7:$A$306,$I1200)=0),"Mã ĐT chưa khai báo! ","")))</f>
        <v/>
      </c>
      <c r="M1200" s="117">
        <f>IF($H1200="","",IF(AND(OR(LEFT($F1200,3)="111",LEFT($F1200,3)="112",LEFT($F1200,3)="113"),OR(LEFT($G1200,3)="111",LEFT($G1200,3)="112",LEFT($G1200,3)="113")),"NB",IF(OR(LEFT($F1200,3)="111",LEFT($F1200,3)="112",LEFT($F1200,3)="113"),"THU",IF(OR(LEFT($G1200,3)="111",LEFT($G1200,3)="112",LEFT($G1200,3)="113"),"CHI",""))))</f>
        <v/>
      </c>
      <c r="N1200" s="117">
        <f>IF($M1200="THU",$G1200,IF($M1200="CHI",$F1200,""))</f>
        <v/>
      </c>
      <c r="O1200" s="117">
        <f>IF(OR($M1200="",$M1200="NB"),"",IF($J1200&lt;&gt;"",TEXT($J1200,"00"),IFERROR(VLOOKUP(LEFT($N1200,4),LCTT_MAP!$A$7:$C$66,IF($M1200="THU",2,3),FALSE()),IFERROR(VLOOKUP(LEFT($N1200,3),LCTT_MAP!$A$7:$C$66,IF($M1200="THU",2,3),FALSE()),IFERROR(VLOOKUP(LEFT($N1200,2),LCTT_MAP!$A$7:$C$66,IF($M1200="THU",2,3),FALSE()),IFERROR(VLOOKUP(LEFT($N1200,1),LCTT_MAP!$A$7:$C$66,IF($M1200="THU",2,3),FALSE()),IF($M1200="THU","06","07")))))))</f>
        <v/>
      </c>
      <c r="P1200" s="117">
        <f>P1199+IF(AND($H1200&lt;&gt;"",OR(LEFT($F1200,LEN(SC_TK))=SC_TK,LEFT($G1200,LEN(SC_TK))=SC_TK)),1,0)</f>
        <v/>
      </c>
    </row>
    <row r="1201" ht="15" customHeight="1" s="78">
      <c r="A1201" s="95">
        <f>IF($H1201="","",ROW()-6)</f>
        <v/>
      </c>
      <c r="B1201" s="114" t="n"/>
      <c r="C1201" s="102" t="n"/>
      <c r="D1201" s="114" t="n"/>
      <c r="E1201" s="103" t="n"/>
      <c r="F1201" s="102" t="n"/>
      <c r="G1201" s="102" t="n"/>
      <c r="H1201" s="115" t="n"/>
      <c r="I1201" s="102" t="n"/>
      <c r="J1201" s="102" t="n"/>
      <c r="K1201" s="103" t="n"/>
      <c r="L1201" s="116">
        <f>IF($H1201="","",TRIM(IF(COUNTIF(DMTK!$A$7:$A$250,$F1201)=0,"TK Nợ sai! ","")&amp;IF(COUNTIF(DMTK!$A$7:$A$250,$G1201)=0,"TK Có sai! ","")&amp;IF(N($H1201)&lt;=0,"Tiền phải &gt; 0! ","")&amp;IF($B1201="","Thiếu ngày! ","")&amp;IF(AND(OR(LEFT($F1201,3)="131",LEFT($G1201,3)="131",LEFT($F1201,3)="331",LEFT($G1201,3)="331"),$I1201=""),"Thiếu Mã ĐT! ","")&amp;IF(AND($I1201&lt;&gt;"",COUNTIF(DM_DT!$A$7:$A$306,$I1201)=0),"Mã ĐT chưa khai báo! ","")))</f>
        <v/>
      </c>
      <c r="M1201" s="117">
        <f>IF($H1201="","",IF(AND(OR(LEFT($F1201,3)="111",LEFT($F1201,3)="112",LEFT($F1201,3)="113"),OR(LEFT($G1201,3)="111",LEFT($G1201,3)="112",LEFT($G1201,3)="113")),"NB",IF(OR(LEFT($F1201,3)="111",LEFT($F1201,3)="112",LEFT($F1201,3)="113"),"THU",IF(OR(LEFT($G1201,3)="111",LEFT($G1201,3)="112",LEFT($G1201,3)="113"),"CHI",""))))</f>
        <v/>
      </c>
      <c r="N1201" s="117">
        <f>IF($M1201="THU",$G1201,IF($M1201="CHI",$F1201,""))</f>
        <v/>
      </c>
      <c r="O1201" s="117">
        <f>IF(OR($M1201="",$M1201="NB"),"",IF($J1201&lt;&gt;"",TEXT($J1201,"00"),IFERROR(VLOOKUP(LEFT($N1201,4),LCTT_MAP!$A$7:$C$66,IF($M1201="THU",2,3),FALSE()),IFERROR(VLOOKUP(LEFT($N1201,3),LCTT_MAP!$A$7:$C$66,IF($M1201="THU",2,3),FALSE()),IFERROR(VLOOKUP(LEFT($N1201,2),LCTT_MAP!$A$7:$C$66,IF($M1201="THU",2,3),FALSE()),IFERROR(VLOOKUP(LEFT($N1201,1),LCTT_MAP!$A$7:$C$66,IF($M1201="THU",2,3),FALSE()),IF($M1201="THU","06","07")))))))</f>
        <v/>
      </c>
      <c r="P1201" s="117">
        <f>P1200+IF(AND($H1201&lt;&gt;"",OR(LEFT($F1201,LEN(SC_TK))=SC_TK,LEFT($G1201,LEN(SC_TK))=SC_TK)),1,0)</f>
        <v/>
      </c>
    </row>
    <row r="1202" ht="15" customHeight="1" s="78">
      <c r="A1202" s="95">
        <f>IF($H1202="","",ROW()-6)</f>
        <v/>
      </c>
      <c r="B1202" s="114" t="n"/>
      <c r="C1202" s="102" t="n"/>
      <c r="D1202" s="114" t="n"/>
      <c r="E1202" s="103" t="n"/>
      <c r="F1202" s="102" t="n"/>
      <c r="G1202" s="102" t="n"/>
      <c r="H1202" s="115" t="n"/>
      <c r="I1202" s="102" t="n"/>
      <c r="J1202" s="102" t="n"/>
      <c r="K1202" s="103" t="n"/>
      <c r="L1202" s="116">
        <f>IF($H1202="","",TRIM(IF(COUNTIF(DMTK!$A$7:$A$250,$F1202)=0,"TK Nợ sai! ","")&amp;IF(COUNTIF(DMTK!$A$7:$A$250,$G1202)=0,"TK Có sai! ","")&amp;IF(N($H1202)&lt;=0,"Tiền phải &gt; 0! ","")&amp;IF($B1202="","Thiếu ngày! ","")&amp;IF(AND(OR(LEFT($F1202,3)="131",LEFT($G1202,3)="131",LEFT($F1202,3)="331",LEFT($G1202,3)="331"),$I1202=""),"Thiếu Mã ĐT! ","")&amp;IF(AND($I1202&lt;&gt;"",COUNTIF(DM_DT!$A$7:$A$306,$I1202)=0),"Mã ĐT chưa khai báo! ","")))</f>
        <v/>
      </c>
      <c r="M1202" s="117">
        <f>IF($H1202="","",IF(AND(OR(LEFT($F1202,3)="111",LEFT($F1202,3)="112",LEFT($F1202,3)="113"),OR(LEFT($G1202,3)="111",LEFT($G1202,3)="112",LEFT($G1202,3)="113")),"NB",IF(OR(LEFT($F1202,3)="111",LEFT($F1202,3)="112",LEFT($F1202,3)="113"),"THU",IF(OR(LEFT($G1202,3)="111",LEFT($G1202,3)="112",LEFT($G1202,3)="113"),"CHI",""))))</f>
        <v/>
      </c>
      <c r="N1202" s="117">
        <f>IF($M1202="THU",$G1202,IF($M1202="CHI",$F1202,""))</f>
        <v/>
      </c>
      <c r="O1202" s="117">
        <f>IF(OR($M1202="",$M1202="NB"),"",IF($J1202&lt;&gt;"",TEXT($J1202,"00"),IFERROR(VLOOKUP(LEFT($N1202,4),LCTT_MAP!$A$7:$C$66,IF($M1202="THU",2,3),FALSE()),IFERROR(VLOOKUP(LEFT($N1202,3),LCTT_MAP!$A$7:$C$66,IF($M1202="THU",2,3),FALSE()),IFERROR(VLOOKUP(LEFT($N1202,2),LCTT_MAP!$A$7:$C$66,IF($M1202="THU",2,3),FALSE()),IFERROR(VLOOKUP(LEFT($N1202,1),LCTT_MAP!$A$7:$C$66,IF($M1202="THU",2,3),FALSE()),IF($M1202="THU","06","07")))))))</f>
        <v/>
      </c>
      <c r="P1202" s="117">
        <f>P1201+IF(AND($H1202&lt;&gt;"",OR(LEFT($F1202,LEN(SC_TK))=SC_TK,LEFT($G1202,LEN(SC_TK))=SC_TK)),1,0)</f>
        <v/>
      </c>
    </row>
    <row r="1203" ht="15" customHeight="1" s="78">
      <c r="A1203" s="95">
        <f>IF($H1203="","",ROW()-6)</f>
        <v/>
      </c>
      <c r="B1203" s="114" t="n"/>
      <c r="C1203" s="102" t="n"/>
      <c r="D1203" s="114" t="n"/>
      <c r="E1203" s="103" t="n"/>
      <c r="F1203" s="102" t="n"/>
      <c r="G1203" s="102" t="n"/>
      <c r="H1203" s="115" t="n"/>
      <c r="I1203" s="102" t="n"/>
      <c r="J1203" s="102" t="n"/>
      <c r="K1203" s="103" t="n"/>
      <c r="L1203" s="116">
        <f>IF($H1203="","",TRIM(IF(COUNTIF(DMTK!$A$7:$A$250,$F1203)=0,"TK Nợ sai! ","")&amp;IF(COUNTIF(DMTK!$A$7:$A$250,$G1203)=0,"TK Có sai! ","")&amp;IF(N($H1203)&lt;=0,"Tiền phải &gt; 0! ","")&amp;IF($B1203="","Thiếu ngày! ","")&amp;IF(AND(OR(LEFT($F1203,3)="131",LEFT($G1203,3)="131",LEFT($F1203,3)="331",LEFT($G1203,3)="331"),$I1203=""),"Thiếu Mã ĐT! ","")&amp;IF(AND($I1203&lt;&gt;"",COUNTIF(DM_DT!$A$7:$A$306,$I1203)=0),"Mã ĐT chưa khai báo! ","")))</f>
        <v/>
      </c>
      <c r="M1203" s="117">
        <f>IF($H1203="","",IF(AND(OR(LEFT($F1203,3)="111",LEFT($F1203,3)="112",LEFT($F1203,3)="113"),OR(LEFT($G1203,3)="111",LEFT($G1203,3)="112",LEFT($G1203,3)="113")),"NB",IF(OR(LEFT($F1203,3)="111",LEFT($F1203,3)="112",LEFT($F1203,3)="113"),"THU",IF(OR(LEFT($G1203,3)="111",LEFT($G1203,3)="112",LEFT($G1203,3)="113"),"CHI",""))))</f>
        <v/>
      </c>
      <c r="N1203" s="117">
        <f>IF($M1203="THU",$G1203,IF($M1203="CHI",$F1203,""))</f>
        <v/>
      </c>
      <c r="O1203" s="117">
        <f>IF(OR($M1203="",$M1203="NB"),"",IF($J1203&lt;&gt;"",TEXT($J1203,"00"),IFERROR(VLOOKUP(LEFT($N1203,4),LCTT_MAP!$A$7:$C$66,IF($M1203="THU",2,3),FALSE()),IFERROR(VLOOKUP(LEFT($N1203,3),LCTT_MAP!$A$7:$C$66,IF($M1203="THU",2,3),FALSE()),IFERROR(VLOOKUP(LEFT($N1203,2),LCTT_MAP!$A$7:$C$66,IF($M1203="THU",2,3),FALSE()),IFERROR(VLOOKUP(LEFT($N1203,1),LCTT_MAP!$A$7:$C$66,IF($M1203="THU",2,3),FALSE()),IF($M1203="THU","06","07")))))))</f>
        <v/>
      </c>
      <c r="P1203" s="117">
        <f>P1202+IF(AND($H1203&lt;&gt;"",OR(LEFT($F1203,LEN(SC_TK))=SC_TK,LEFT($G1203,LEN(SC_TK))=SC_TK)),1,0)</f>
        <v/>
      </c>
    </row>
    <row r="1204" ht="15" customHeight="1" s="78">
      <c r="A1204" s="95">
        <f>IF($H1204="","",ROW()-6)</f>
        <v/>
      </c>
      <c r="B1204" s="114" t="n"/>
      <c r="C1204" s="102" t="n"/>
      <c r="D1204" s="114" t="n"/>
      <c r="E1204" s="103" t="n"/>
      <c r="F1204" s="102" t="n"/>
      <c r="G1204" s="102" t="n"/>
      <c r="H1204" s="115" t="n"/>
      <c r="I1204" s="102" t="n"/>
      <c r="J1204" s="102" t="n"/>
      <c r="K1204" s="103" t="n"/>
      <c r="L1204" s="116">
        <f>IF($H1204="","",TRIM(IF(COUNTIF(DMTK!$A$7:$A$250,$F1204)=0,"TK Nợ sai! ","")&amp;IF(COUNTIF(DMTK!$A$7:$A$250,$G1204)=0,"TK Có sai! ","")&amp;IF(N($H1204)&lt;=0,"Tiền phải &gt; 0! ","")&amp;IF($B1204="","Thiếu ngày! ","")&amp;IF(AND(OR(LEFT($F1204,3)="131",LEFT($G1204,3)="131",LEFT($F1204,3)="331",LEFT($G1204,3)="331"),$I1204=""),"Thiếu Mã ĐT! ","")&amp;IF(AND($I1204&lt;&gt;"",COUNTIF(DM_DT!$A$7:$A$306,$I1204)=0),"Mã ĐT chưa khai báo! ","")))</f>
        <v/>
      </c>
      <c r="M1204" s="117">
        <f>IF($H1204="","",IF(AND(OR(LEFT($F1204,3)="111",LEFT($F1204,3)="112",LEFT($F1204,3)="113"),OR(LEFT($G1204,3)="111",LEFT($G1204,3)="112",LEFT($G1204,3)="113")),"NB",IF(OR(LEFT($F1204,3)="111",LEFT($F1204,3)="112",LEFT($F1204,3)="113"),"THU",IF(OR(LEFT($G1204,3)="111",LEFT($G1204,3)="112",LEFT($G1204,3)="113"),"CHI",""))))</f>
        <v/>
      </c>
      <c r="N1204" s="117">
        <f>IF($M1204="THU",$G1204,IF($M1204="CHI",$F1204,""))</f>
        <v/>
      </c>
      <c r="O1204" s="117">
        <f>IF(OR($M1204="",$M1204="NB"),"",IF($J1204&lt;&gt;"",TEXT($J1204,"00"),IFERROR(VLOOKUP(LEFT($N1204,4),LCTT_MAP!$A$7:$C$66,IF($M1204="THU",2,3),FALSE()),IFERROR(VLOOKUP(LEFT($N1204,3),LCTT_MAP!$A$7:$C$66,IF($M1204="THU",2,3),FALSE()),IFERROR(VLOOKUP(LEFT($N1204,2),LCTT_MAP!$A$7:$C$66,IF($M1204="THU",2,3),FALSE()),IFERROR(VLOOKUP(LEFT($N1204,1),LCTT_MAP!$A$7:$C$66,IF($M1204="THU",2,3),FALSE()),IF($M1204="THU","06","07")))))))</f>
        <v/>
      </c>
      <c r="P1204" s="117">
        <f>P1203+IF(AND($H1204&lt;&gt;"",OR(LEFT($F1204,LEN(SC_TK))=SC_TK,LEFT($G1204,LEN(SC_TK))=SC_TK)),1,0)</f>
        <v/>
      </c>
    </row>
    <row r="1205" ht="15" customHeight="1" s="78">
      <c r="A1205" s="95">
        <f>IF($H1205="","",ROW()-6)</f>
        <v/>
      </c>
      <c r="B1205" s="114" t="n"/>
      <c r="C1205" s="102" t="n"/>
      <c r="D1205" s="114" t="n"/>
      <c r="E1205" s="103" t="n"/>
      <c r="F1205" s="102" t="n"/>
      <c r="G1205" s="102" t="n"/>
      <c r="H1205" s="115" t="n"/>
      <c r="I1205" s="102" t="n"/>
      <c r="J1205" s="102" t="n"/>
      <c r="K1205" s="103" t="n"/>
      <c r="L1205" s="116">
        <f>IF($H1205="","",TRIM(IF(COUNTIF(DMTK!$A$7:$A$250,$F1205)=0,"TK Nợ sai! ","")&amp;IF(COUNTIF(DMTK!$A$7:$A$250,$G1205)=0,"TK Có sai! ","")&amp;IF(N($H1205)&lt;=0,"Tiền phải &gt; 0! ","")&amp;IF($B1205="","Thiếu ngày! ","")&amp;IF(AND(OR(LEFT($F1205,3)="131",LEFT($G1205,3)="131",LEFT($F1205,3)="331",LEFT($G1205,3)="331"),$I1205=""),"Thiếu Mã ĐT! ","")&amp;IF(AND($I1205&lt;&gt;"",COUNTIF(DM_DT!$A$7:$A$306,$I1205)=0),"Mã ĐT chưa khai báo! ","")))</f>
        <v/>
      </c>
      <c r="M1205" s="117">
        <f>IF($H1205="","",IF(AND(OR(LEFT($F1205,3)="111",LEFT($F1205,3)="112",LEFT($F1205,3)="113"),OR(LEFT($G1205,3)="111",LEFT($G1205,3)="112",LEFT($G1205,3)="113")),"NB",IF(OR(LEFT($F1205,3)="111",LEFT($F1205,3)="112",LEFT($F1205,3)="113"),"THU",IF(OR(LEFT($G1205,3)="111",LEFT($G1205,3)="112",LEFT($G1205,3)="113"),"CHI",""))))</f>
        <v/>
      </c>
      <c r="N1205" s="117">
        <f>IF($M1205="THU",$G1205,IF($M1205="CHI",$F1205,""))</f>
        <v/>
      </c>
      <c r="O1205" s="117">
        <f>IF(OR($M1205="",$M1205="NB"),"",IF($J1205&lt;&gt;"",TEXT($J1205,"00"),IFERROR(VLOOKUP(LEFT($N1205,4),LCTT_MAP!$A$7:$C$66,IF($M1205="THU",2,3),FALSE()),IFERROR(VLOOKUP(LEFT($N1205,3),LCTT_MAP!$A$7:$C$66,IF($M1205="THU",2,3),FALSE()),IFERROR(VLOOKUP(LEFT($N1205,2),LCTT_MAP!$A$7:$C$66,IF($M1205="THU",2,3),FALSE()),IFERROR(VLOOKUP(LEFT($N1205,1),LCTT_MAP!$A$7:$C$66,IF($M1205="THU",2,3),FALSE()),IF($M1205="THU","06","07")))))))</f>
        <v/>
      </c>
      <c r="P1205" s="117">
        <f>P1204+IF(AND($H1205&lt;&gt;"",OR(LEFT($F1205,LEN(SC_TK))=SC_TK,LEFT($G1205,LEN(SC_TK))=SC_TK)),1,0)</f>
        <v/>
      </c>
    </row>
    <row r="1206" ht="15" customHeight="1" s="78">
      <c r="A1206" s="95">
        <f>IF($H1206="","",ROW()-6)</f>
        <v/>
      </c>
      <c r="B1206" s="114" t="n"/>
      <c r="C1206" s="102" t="n"/>
      <c r="D1206" s="114" t="n"/>
      <c r="E1206" s="103" t="n"/>
      <c r="F1206" s="102" t="n"/>
      <c r="G1206" s="102" t="n"/>
      <c r="H1206" s="115" t="n"/>
      <c r="I1206" s="102" t="n"/>
      <c r="J1206" s="102" t="n"/>
      <c r="K1206" s="103" t="n"/>
      <c r="L1206" s="116">
        <f>IF($H1206="","",TRIM(IF(COUNTIF(DMTK!$A$7:$A$250,$F1206)=0,"TK Nợ sai! ","")&amp;IF(COUNTIF(DMTK!$A$7:$A$250,$G1206)=0,"TK Có sai! ","")&amp;IF(N($H1206)&lt;=0,"Tiền phải &gt; 0! ","")&amp;IF($B1206="","Thiếu ngày! ","")&amp;IF(AND(OR(LEFT($F1206,3)="131",LEFT($G1206,3)="131",LEFT($F1206,3)="331",LEFT($G1206,3)="331"),$I1206=""),"Thiếu Mã ĐT! ","")&amp;IF(AND($I1206&lt;&gt;"",COUNTIF(DM_DT!$A$7:$A$306,$I1206)=0),"Mã ĐT chưa khai báo! ","")))</f>
        <v/>
      </c>
      <c r="M1206" s="117">
        <f>IF($H1206="","",IF(AND(OR(LEFT($F1206,3)="111",LEFT($F1206,3)="112",LEFT($F1206,3)="113"),OR(LEFT($G1206,3)="111",LEFT($G1206,3)="112",LEFT($G1206,3)="113")),"NB",IF(OR(LEFT($F1206,3)="111",LEFT($F1206,3)="112",LEFT($F1206,3)="113"),"THU",IF(OR(LEFT($G1206,3)="111",LEFT($G1206,3)="112",LEFT($G1206,3)="113"),"CHI",""))))</f>
        <v/>
      </c>
      <c r="N1206" s="117">
        <f>IF($M1206="THU",$G1206,IF($M1206="CHI",$F1206,""))</f>
        <v/>
      </c>
      <c r="O1206" s="117">
        <f>IF(OR($M1206="",$M1206="NB"),"",IF($J1206&lt;&gt;"",TEXT($J1206,"00"),IFERROR(VLOOKUP(LEFT($N1206,4),LCTT_MAP!$A$7:$C$66,IF($M1206="THU",2,3),FALSE()),IFERROR(VLOOKUP(LEFT($N1206,3),LCTT_MAP!$A$7:$C$66,IF($M1206="THU",2,3),FALSE()),IFERROR(VLOOKUP(LEFT($N1206,2),LCTT_MAP!$A$7:$C$66,IF($M1206="THU",2,3),FALSE()),IFERROR(VLOOKUP(LEFT($N1206,1),LCTT_MAP!$A$7:$C$66,IF($M1206="THU",2,3),FALSE()),IF($M1206="THU","06","07")))))))</f>
        <v/>
      </c>
      <c r="P1206" s="117">
        <f>P1205+IF(AND($H1206&lt;&gt;"",OR(LEFT($F1206,LEN(SC_TK))=SC_TK,LEFT($G1206,LEN(SC_TK))=SC_TK)),1,0)</f>
        <v/>
      </c>
    </row>
    <row r="1207" ht="15" customHeight="1" s="78">
      <c r="A1207" s="95">
        <f>IF($H1207="","",ROW()-6)</f>
        <v/>
      </c>
      <c r="B1207" s="114" t="n"/>
      <c r="C1207" s="102" t="n"/>
      <c r="D1207" s="114" t="n"/>
      <c r="E1207" s="103" t="n"/>
      <c r="F1207" s="102" t="n"/>
      <c r="G1207" s="102" t="n"/>
      <c r="H1207" s="115" t="n"/>
      <c r="I1207" s="102" t="n"/>
      <c r="J1207" s="102" t="n"/>
      <c r="K1207" s="103" t="n"/>
      <c r="L1207" s="116">
        <f>IF($H1207="","",TRIM(IF(COUNTIF(DMTK!$A$7:$A$250,$F1207)=0,"TK Nợ sai! ","")&amp;IF(COUNTIF(DMTK!$A$7:$A$250,$G1207)=0,"TK Có sai! ","")&amp;IF(N($H1207)&lt;=0,"Tiền phải &gt; 0! ","")&amp;IF($B1207="","Thiếu ngày! ","")&amp;IF(AND(OR(LEFT($F1207,3)="131",LEFT($G1207,3)="131",LEFT($F1207,3)="331",LEFT($G1207,3)="331"),$I1207=""),"Thiếu Mã ĐT! ","")&amp;IF(AND($I1207&lt;&gt;"",COUNTIF(DM_DT!$A$7:$A$306,$I1207)=0),"Mã ĐT chưa khai báo! ","")))</f>
        <v/>
      </c>
      <c r="M1207" s="117">
        <f>IF($H1207="","",IF(AND(OR(LEFT($F1207,3)="111",LEFT($F1207,3)="112",LEFT($F1207,3)="113"),OR(LEFT($G1207,3)="111",LEFT($G1207,3)="112",LEFT($G1207,3)="113")),"NB",IF(OR(LEFT($F1207,3)="111",LEFT($F1207,3)="112",LEFT($F1207,3)="113"),"THU",IF(OR(LEFT($G1207,3)="111",LEFT($G1207,3)="112",LEFT($G1207,3)="113"),"CHI",""))))</f>
        <v/>
      </c>
      <c r="N1207" s="117">
        <f>IF($M1207="THU",$G1207,IF($M1207="CHI",$F1207,""))</f>
        <v/>
      </c>
      <c r="O1207" s="117">
        <f>IF(OR($M1207="",$M1207="NB"),"",IF($J1207&lt;&gt;"",TEXT($J1207,"00"),IFERROR(VLOOKUP(LEFT($N1207,4),LCTT_MAP!$A$7:$C$66,IF($M1207="THU",2,3),FALSE()),IFERROR(VLOOKUP(LEFT($N1207,3),LCTT_MAP!$A$7:$C$66,IF($M1207="THU",2,3),FALSE()),IFERROR(VLOOKUP(LEFT($N1207,2),LCTT_MAP!$A$7:$C$66,IF($M1207="THU",2,3),FALSE()),IFERROR(VLOOKUP(LEFT($N1207,1),LCTT_MAP!$A$7:$C$66,IF($M1207="THU",2,3),FALSE()),IF($M1207="THU","06","07")))))))</f>
        <v/>
      </c>
      <c r="P1207" s="117">
        <f>P1206+IF(AND($H1207&lt;&gt;"",OR(LEFT($F1207,LEN(SC_TK))=SC_TK,LEFT($G1207,LEN(SC_TK))=SC_TK)),1,0)</f>
        <v/>
      </c>
    </row>
    <row r="1208" ht="15" customHeight="1" s="78">
      <c r="A1208" s="95">
        <f>IF($H1208="","",ROW()-6)</f>
        <v/>
      </c>
      <c r="B1208" s="114" t="n"/>
      <c r="C1208" s="102" t="n"/>
      <c r="D1208" s="114" t="n"/>
      <c r="E1208" s="103" t="n"/>
      <c r="F1208" s="102" t="n"/>
      <c r="G1208" s="102" t="n"/>
      <c r="H1208" s="115" t="n"/>
      <c r="I1208" s="102" t="n"/>
      <c r="J1208" s="102" t="n"/>
      <c r="K1208" s="103" t="n"/>
      <c r="L1208" s="116">
        <f>IF($H1208="","",TRIM(IF(COUNTIF(DMTK!$A$7:$A$250,$F1208)=0,"TK Nợ sai! ","")&amp;IF(COUNTIF(DMTK!$A$7:$A$250,$G1208)=0,"TK Có sai! ","")&amp;IF(N($H1208)&lt;=0,"Tiền phải &gt; 0! ","")&amp;IF($B1208="","Thiếu ngày! ","")&amp;IF(AND(OR(LEFT($F1208,3)="131",LEFT($G1208,3)="131",LEFT($F1208,3)="331",LEFT($G1208,3)="331"),$I1208=""),"Thiếu Mã ĐT! ","")&amp;IF(AND($I1208&lt;&gt;"",COUNTIF(DM_DT!$A$7:$A$306,$I1208)=0),"Mã ĐT chưa khai báo! ","")))</f>
        <v/>
      </c>
      <c r="M1208" s="117">
        <f>IF($H1208="","",IF(AND(OR(LEFT($F1208,3)="111",LEFT($F1208,3)="112",LEFT($F1208,3)="113"),OR(LEFT($G1208,3)="111",LEFT($G1208,3)="112",LEFT($G1208,3)="113")),"NB",IF(OR(LEFT($F1208,3)="111",LEFT($F1208,3)="112",LEFT($F1208,3)="113"),"THU",IF(OR(LEFT($G1208,3)="111",LEFT($G1208,3)="112",LEFT($G1208,3)="113"),"CHI",""))))</f>
        <v/>
      </c>
      <c r="N1208" s="117">
        <f>IF($M1208="THU",$G1208,IF($M1208="CHI",$F1208,""))</f>
        <v/>
      </c>
      <c r="O1208" s="117">
        <f>IF(OR($M1208="",$M1208="NB"),"",IF($J1208&lt;&gt;"",TEXT($J1208,"00"),IFERROR(VLOOKUP(LEFT($N1208,4),LCTT_MAP!$A$7:$C$66,IF($M1208="THU",2,3),FALSE()),IFERROR(VLOOKUP(LEFT($N1208,3),LCTT_MAP!$A$7:$C$66,IF($M1208="THU",2,3),FALSE()),IFERROR(VLOOKUP(LEFT($N1208,2),LCTT_MAP!$A$7:$C$66,IF($M1208="THU",2,3),FALSE()),IFERROR(VLOOKUP(LEFT($N1208,1),LCTT_MAP!$A$7:$C$66,IF($M1208="THU",2,3),FALSE()),IF($M1208="THU","06","07")))))))</f>
        <v/>
      </c>
      <c r="P1208" s="117">
        <f>P1207+IF(AND($H1208&lt;&gt;"",OR(LEFT($F1208,LEN(SC_TK))=SC_TK,LEFT($G1208,LEN(SC_TK))=SC_TK)),1,0)</f>
        <v/>
      </c>
    </row>
    <row r="1209" ht="15" customHeight="1" s="78">
      <c r="A1209" s="95">
        <f>IF($H1209="","",ROW()-6)</f>
        <v/>
      </c>
      <c r="B1209" s="114" t="n"/>
      <c r="C1209" s="102" t="n"/>
      <c r="D1209" s="114" t="n"/>
      <c r="E1209" s="103" t="n"/>
      <c r="F1209" s="102" t="n"/>
      <c r="G1209" s="102" t="n"/>
      <c r="H1209" s="115" t="n"/>
      <c r="I1209" s="102" t="n"/>
      <c r="J1209" s="102" t="n"/>
      <c r="K1209" s="103" t="n"/>
      <c r="L1209" s="116">
        <f>IF($H1209="","",TRIM(IF(COUNTIF(DMTK!$A$7:$A$250,$F1209)=0,"TK Nợ sai! ","")&amp;IF(COUNTIF(DMTK!$A$7:$A$250,$G1209)=0,"TK Có sai! ","")&amp;IF(N($H1209)&lt;=0,"Tiền phải &gt; 0! ","")&amp;IF($B1209="","Thiếu ngày! ","")&amp;IF(AND(OR(LEFT($F1209,3)="131",LEFT($G1209,3)="131",LEFT($F1209,3)="331",LEFT($G1209,3)="331"),$I1209=""),"Thiếu Mã ĐT! ","")&amp;IF(AND($I1209&lt;&gt;"",COUNTIF(DM_DT!$A$7:$A$306,$I1209)=0),"Mã ĐT chưa khai báo! ","")))</f>
        <v/>
      </c>
      <c r="M1209" s="117">
        <f>IF($H1209="","",IF(AND(OR(LEFT($F1209,3)="111",LEFT($F1209,3)="112",LEFT($F1209,3)="113"),OR(LEFT($G1209,3)="111",LEFT($G1209,3)="112",LEFT($G1209,3)="113")),"NB",IF(OR(LEFT($F1209,3)="111",LEFT($F1209,3)="112",LEFT($F1209,3)="113"),"THU",IF(OR(LEFT($G1209,3)="111",LEFT($G1209,3)="112",LEFT($G1209,3)="113"),"CHI",""))))</f>
        <v/>
      </c>
      <c r="N1209" s="117">
        <f>IF($M1209="THU",$G1209,IF($M1209="CHI",$F1209,""))</f>
        <v/>
      </c>
      <c r="O1209" s="117">
        <f>IF(OR($M1209="",$M1209="NB"),"",IF($J1209&lt;&gt;"",TEXT($J1209,"00"),IFERROR(VLOOKUP(LEFT($N1209,4),LCTT_MAP!$A$7:$C$66,IF($M1209="THU",2,3),FALSE()),IFERROR(VLOOKUP(LEFT($N1209,3),LCTT_MAP!$A$7:$C$66,IF($M1209="THU",2,3),FALSE()),IFERROR(VLOOKUP(LEFT($N1209,2),LCTT_MAP!$A$7:$C$66,IF($M1209="THU",2,3),FALSE()),IFERROR(VLOOKUP(LEFT($N1209,1),LCTT_MAP!$A$7:$C$66,IF($M1209="THU",2,3),FALSE()),IF($M1209="THU","06","07")))))))</f>
        <v/>
      </c>
      <c r="P1209" s="117">
        <f>P1208+IF(AND($H1209&lt;&gt;"",OR(LEFT($F1209,LEN(SC_TK))=SC_TK,LEFT($G1209,LEN(SC_TK))=SC_TK)),1,0)</f>
        <v/>
      </c>
    </row>
    <row r="1210" ht="15" customHeight="1" s="78">
      <c r="A1210" s="95">
        <f>IF($H1210="","",ROW()-6)</f>
        <v/>
      </c>
      <c r="B1210" s="114" t="n"/>
      <c r="C1210" s="102" t="n"/>
      <c r="D1210" s="114" t="n"/>
      <c r="E1210" s="103" t="n"/>
      <c r="F1210" s="102" t="n"/>
      <c r="G1210" s="102" t="n"/>
      <c r="H1210" s="115" t="n"/>
      <c r="I1210" s="102" t="n"/>
      <c r="J1210" s="102" t="n"/>
      <c r="K1210" s="103" t="n"/>
      <c r="L1210" s="116">
        <f>IF($H1210="","",TRIM(IF(COUNTIF(DMTK!$A$7:$A$250,$F1210)=0,"TK Nợ sai! ","")&amp;IF(COUNTIF(DMTK!$A$7:$A$250,$G1210)=0,"TK Có sai! ","")&amp;IF(N($H1210)&lt;=0,"Tiền phải &gt; 0! ","")&amp;IF($B1210="","Thiếu ngày! ","")&amp;IF(AND(OR(LEFT($F1210,3)="131",LEFT($G1210,3)="131",LEFT($F1210,3)="331",LEFT($G1210,3)="331"),$I1210=""),"Thiếu Mã ĐT! ","")&amp;IF(AND($I1210&lt;&gt;"",COUNTIF(DM_DT!$A$7:$A$306,$I1210)=0),"Mã ĐT chưa khai báo! ","")))</f>
        <v/>
      </c>
      <c r="M1210" s="117">
        <f>IF($H1210="","",IF(AND(OR(LEFT($F1210,3)="111",LEFT($F1210,3)="112",LEFT($F1210,3)="113"),OR(LEFT($G1210,3)="111",LEFT($G1210,3)="112",LEFT($G1210,3)="113")),"NB",IF(OR(LEFT($F1210,3)="111",LEFT($F1210,3)="112",LEFT($F1210,3)="113"),"THU",IF(OR(LEFT($G1210,3)="111",LEFT($G1210,3)="112",LEFT($G1210,3)="113"),"CHI",""))))</f>
        <v/>
      </c>
      <c r="N1210" s="117">
        <f>IF($M1210="THU",$G1210,IF($M1210="CHI",$F1210,""))</f>
        <v/>
      </c>
      <c r="O1210" s="117">
        <f>IF(OR($M1210="",$M1210="NB"),"",IF($J1210&lt;&gt;"",TEXT($J1210,"00"),IFERROR(VLOOKUP(LEFT($N1210,4),LCTT_MAP!$A$7:$C$66,IF($M1210="THU",2,3),FALSE()),IFERROR(VLOOKUP(LEFT($N1210,3),LCTT_MAP!$A$7:$C$66,IF($M1210="THU",2,3),FALSE()),IFERROR(VLOOKUP(LEFT($N1210,2),LCTT_MAP!$A$7:$C$66,IF($M1210="THU",2,3),FALSE()),IFERROR(VLOOKUP(LEFT($N1210,1),LCTT_MAP!$A$7:$C$66,IF($M1210="THU",2,3),FALSE()),IF($M1210="THU","06","07")))))))</f>
        <v/>
      </c>
      <c r="P1210" s="117">
        <f>P1209+IF(AND($H1210&lt;&gt;"",OR(LEFT($F1210,LEN(SC_TK))=SC_TK,LEFT($G1210,LEN(SC_TK))=SC_TK)),1,0)</f>
        <v/>
      </c>
    </row>
    <row r="1211" ht="15" customHeight="1" s="78">
      <c r="A1211" s="95">
        <f>IF($H1211="","",ROW()-6)</f>
        <v/>
      </c>
      <c r="B1211" s="114" t="n"/>
      <c r="C1211" s="102" t="n"/>
      <c r="D1211" s="114" t="n"/>
      <c r="E1211" s="103" t="n"/>
      <c r="F1211" s="102" t="n"/>
      <c r="G1211" s="102" t="n"/>
      <c r="H1211" s="115" t="n"/>
      <c r="I1211" s="102" t="n"/>
      <c r="J1211" s="102" t="n"/>
      <c r="K1211" s="103" t="n"/>
      <c r="L1211" s="116">
        <f>IF($H1211="","",TRIM(IF(COUNTIF(DMTK!$A$7:$A$250,$F1211)=0,"TK Nợ sai! ","")&amp;IF(COUNTIF(DMTK!$A$7:$A$250,$G1211)=0,"TK Có sai! ","")&amp;IF(N($H1211)&lt;=0,"Tiền phải &gt; 0! ","")&amp;IF($B1211="","Thiếu ngày! ","")&amp;IF(AND(OR(LEFT($F1211,3)="131",LEFT($G1211,3)="131",LEFT($F1211,3)="331",LEFT($G1211,3)="331"),$I1211=""),"Thiếu Mã ĐT! ","")&amp;IF(AND($I1211&lt;&gt;"",COUNTIF(DM_DT!$A$7:$A$306,$I1211)=0),"Mã ĐT chưa khai báo! ","")))</f>
        <v/>
      </c>
      <c r="M1211" s="117">
        <f>IF($H1211="","",IF(AND(OR(LEFT($F1211,3)="111",LEFT($F1211,3)="112",LEFT($F1211,3)="113"),OR(LEFT($G1211,3)="111",LEFT($G1211,3)="112",LEFT($G1211,3)="113")),"NB",IF(OR(LEFT($F1211,3)="111",LEFT($F1211,3)="112",LEFT($F1211,3)="113"),"THU",IF(OR(LEFT($G1211,3)="111",LEFT($G1211,3)="112",LEFT($G1211,3)="113"),"CHI",""))))</f>
        <v/>
      </c>
      <c r="N1211" s="117">
        <f>IF($M1211="THU",$G1211,IF($M1211="CHI",$F1211,""))</f>
        <v/>
      </c>
      <c r="O1211" s="117">
        <f>IF(OR($M1211="",$M1211="NB"),"",IF($J1211&lt;&gt;"",TEXT($J1211,"00"),IFERROR(VLOOKUP(LEFT($N1211,4),LCTT_MAP!$A$7:$C$66,IF($M1211="THU",2,3),FALSE()),IFERROR(VLOOKUP(LEFT($N1211,3),LCTT_MAP!$A$7:$C$66,IF($M1211="THU",2,3),FALSE()),IFERROR(VLOOKUP(LEFT($N1211,2),LCTT_MAP!$A$7:$C$66,IF($M1211="THU",2,3),FALSE()),IFERROR(VLOOKUP(LEFT($N1211,1),LCTT_MAP!$A$7:$C$66,IF($M1211="THU",2,3),FALSE()),IF($M1211="THU","06","07")))))))</f>
        <v/>
      </c>
      <c r="P1211" s="117">
        <f>P1210+IF(AND($H1211&lt;&gt;"",OR(LEFT($F1211,LEN(SC_TK))=SC_TK,LEFT($G1211,LEN(SC_TK))=SC_TK)),1,0)</f>
        <v/>
      </c>
    </row>
    <row r="1212" ht="15" customHeight="1" s="78">
      <c r="A1212" s="95">
        <f>IF($H1212="","",ROW()-6)</f>
        <v/>
      </c>
      <c r="B1212" s="114" t="n"/>
      <c r="C1212" s="102" t="n"/>
      <c r="D1212" s="114" t="n"/>
      <c r="E1212" s="103" t="n"/>
      <c r="F1212" s="102" t="n"/>
      <c r="G1212" s="102" t="n"/>
      <c r="H1212" s="115" t="n"/>
      <c r="I1212" s="102" t="n"/>
      <c r="J1212" s="102" t="n"/>
      <c r="K1212" s="103" t="n"/>
      <c r="L1212" s="116">
        <f>IF($H1212="","",TRIM(IF(COUNTIF(DMTK!$A$7:$A$250,$F1212)=0,"TK Nợ sai! ","")&amp;IF(COUNTIF(DMTK!$A$7:$A$250,$G1212)=0,"TK Có sai! ","")&amp;IF(N($H1212)&lt;=0,"Tiền phải &gt; 0! ","")&amp;IF($B1212="","Thiếu ngày! ","")&amp;IF(AND(OR(LEFT($F1212,3)="131",LEFT($G1212,3)="131",LEFT($F1212,3)="331",LEFT($G1212,3)="331"),$I1212=""),"Thiếu Mã ĐT! ","")&amp;IF(AND($I1212&lt;&gt;"",COUNTIF(DM_DT!$A$7:$A$306,$I1212)=0),"Mã ĐT chưa khai báo! ","")))</f>
        <v/>
      </c>
      <c r="M1212" s="117">
        <f>IF($H1212="","",IF(AND(OR(LEFT($F1212,3)="111",LEFT($F1212,3)="112",LEFT($F1212,3)="113"),OR(LEFT($G1212,3)="111",LEFT($G1212,3)="112",LEFT($G1212,3)="113")),"NB",IF(OR(LEFT($F1212,3)="111",LEFT($F1212,3)="112",LEFT($F1212,3)="113"),"THU",IF(OR(LEFT($G1212,3)="111",LEFT($G1212,3)="112",LEFT($G1212,3)="113"),"CHI",""))))</f>
        <v/>
      </c>
      <c r="N1212" s="117">
        <f>IF($M1212="THU",$G1212,IF($M1212="CHI",$F1212,""))</f>
        <v/>
      </c>
      <c r="O1212" s="117">
        <f>IF(OR($M1212="",$M1212="NB"),"",IF($J1212&lt;&gt;"",TEXT($J1212,"00"),IFERROR(VLOOKUP(LEFT($N1212,4),LCTT_MAP!$A$7:$C$66,IF($M1212="THU",2,3),FALSE()),IFERROR(VLOOKUP(LEFT($N1212,3),LCTT_MAP!$A$7:$C$66,IF($M1212="THU",2,3),FALSE()),IFERROR(VLOOKUP(LEFT($N1212,2),LCTT_MAP!$A$7:$C$66,IF($M1212="THU",2,3),FALSE()),IFERROR(VLOOKUP(LEFT($N1212,1),LCTT_MAP!$A$7:$C$66,IF($M1212="THU",2,3),FALSE()),IF($M1212="THU","06","07")))))))</f>
        <v/>
      </c>
      <c r="P1212" s="117">
        <f>P1211+IF(AND($H1212&lt;&gt;"",OR(LEFT($F1212,LEN(SC_TK))=SC_TK,LEFT($G1212,LEN(SC_TK))=SC_TK)),1,0)</f>
        <v/>
      </c>
    </row>
    <row r="1213" ht="15" customHeight="1" s="78">
      <c r="A1213" s="95">
        <f>IF($H1213="","",ROW()-6)</f>
        <v/>
      </c>
      <c r="B1213" s="114" t="n"/>
      <c r="C1213" s="102" t="n"/>
      <c r="D1213" s="114" t="n"/>
      <c r="E1213" s="103" t="n"/>
      <c r="F1213" s="102" t="n"/>
      <c r="G1213" s="102" t="n"/>
      <c r="H1213" s="115" t="n"/>
      <c r="I1213" s="102" t="n"/>
      <c r="J1213" s="102" t="n"/>
      <c r="K1213" s="103" t="n"/>
      <c r="L1213" s="116">
        <f>IF($H1213="","",TRIM(IF(COUNTIF(DMTK!$A$7:$A$250,$F1213)=0,"TK Nợ sai! ","")&amp;IF(COUNTIF(DMTK!$A$7:$A$250,$G1213)=0,"TK Có sai! ","")&amp;IF(N($H1213)&lt;=0,"Tiền phải &gt; 0! ","")&amp;IF($B1213="","Thiếu ngày! ","")&amp;IF(AND(OR(LEFT($F1213,3)="131",LEFT($G1213,3)="131",LEFT($F1213,3)="331",LEFT($G1213,3)="331"),$I1213=""),"Thiếu Mã ĐT! ","")&amp;IF(AND($I1213&lt;&gt;"",COUNTIF(DM_DT!$A$7:$A$306,$I1213)=0),"Mã ĐT chưa khai báo! ","")))</f>
        <v/>
      </c>
      <c r="M1213" s="117">
        <f>IF($H1213="","",IF(AND(OR(LEFT($F1213,3)="111",LEFT($F1213,3)="112",LEFT($F1213,3)="113"),OR(LEFT($G1213,3)="111",LEFT($G1213,3)="112",LEFT($G1213,3)="113")),"NB",IF(OR(LEFT($F1213,3)="111",LEFT($F1213,3)="112",LEFT($F1213,3)="113"),"THU",IF(OR(LEFT($G1213,3)="111",LEFT($G1213,3)="112",LEFT($G1213,3)="113"),"CHI",""))))</f>
        <v/>
      </c>
      <c r="N1213" s="117">
        <f>IF($M1213="THU",$G1213,IF($M1213="CHI",$F1213,""))</f>
        <v/>
      </c>
      <c r="O1213" s="117">
        <f>IF(OR($M1213="",$M1213="NB"),"",IF($J1213&lt;&gt;"",TEXT($J1213,"00"),IFERROR(VLOOKUP(LEFT($N1213,4),LCTT_MAP!$A$7:$C$66,IF($M1213="THU",2,3),FALSE()),IFERROR(VLOOKUP(LEFT($N1213,3),LCTT_MAP!$A$7:$C$66,IF($M1213="THU",2,3),FALSE()),IFERROR(VLOOKUP(LEFT($N1213,2),LCTT_MAP!$A$7:$C$66,IF($M1213="THU",2,3),FALSE()),IFERROR(VLOOKUP(LEFT($N1213,1),LCTT_MAP!$A$7:$C$66,IF($M1213="THU",2,3),FALSE()),IF($M1213="THU","06","07")))))))</f>
        <v/>
      </c>
      <c r="P1213" s="117">
        <f>P1212+IF(AND($H1213&lt;&gt;"",OR(LEFT($F1213,LEN(SC_TK))=SC_TK,LEFT($G1213,LEN(SC_TK))=SC_TK)),1,0)</f>
        <v/>
      </c>
    </row>
    <row r="1214" ht="15" customHeight="1" s="78">
      <c r="A1214" s="95">
        <f>IF($H1214="","",ROW()-6)</f>
        <v/>
      </c>
      <c r="B1214" s="114" t="n"/>
      <c r="C1214" s="102" t="n"/>
      <c r="D1214" s="114" t="n"/>
      <c r="E1214" s="103" t="n"/>
      <c r="F1214" s="102" t="n"/>
      <c r="G1214" s="102" t="n"/>
      <c r="H1214" s="115" t="n"/>
      <c r="I1214" s="102" t="n"/>
      <c r="J1214" s="102" t="n"/>
      <c r="K1214" s="103" t="n"/>
      <c r="L1214" s="116">
        <f>IF($H1214="","",TRIM(IF(COUNTIF(DMTK!$A$7:$A$250,$F1214)=0,"TK Nợ sai! ","")&amp;IF(COUNTIF(DMTK!$A$7:$A$250,$G1214)=0,"TK Có sai! ","")&amp;IF(N($H1214)&lt;=0,"Tiền phải &gt; 0! ","")&amp;IF($B1214="","Thiếu ngày! ","")&amp;IF(AND(OR(LEFT($F1214,3)="131",LEFT($G1214,3)="131",LEFT($F1214,3)="331",LEFT($G1214,3)="331"),$I1214=""),"Thiếu Mã ĐT! ","")&amp;IF(AND($I1214&lt;&gt;"",COUNTIF(DM_DT!$A$7:$A$306,$I1214)=0),"Mã ĐT chưa khai báo! ","")))</f>
        <v/>
      </c>
      <c r="M1214" s="117">
        <f>IF($H1214="","",IF(AND(OR(LEFT($F1214,3)="111",LEFT($F1214,3)="112",LEFT($F1214,3)="113"),OR(LEFT($G1214,3)="111",LEFT($G1214,3)="112",LEFT($G1214,3)="113")),"NB",IF(OR(LEFT($F1214,3)="111",LEFT($F1214,3)="112",LEFT($F1214,3)="113"),"THU",IF(OR(LEFT($G1214,3)="111",LEFT($G1214,3)="112",LEFT($G1214,3)="113"),"CHI",""))))</f>
        <v/>
      </c>
      <c r="N1214" s="117">
        <f>IF($M1214="THU",$G1214,IF($M1214="CHI",$F1214,""))</f>
        <v/>
      </c>
      <c r="O1214" s="117">
        <f>IF(OR($M1214="",$M1214="NB"),"",IF($J1214&lt;&gt;"",TEXT($J1214,"00"),IFERROR(VLOOKUP(LEFT($N1214,4),LCTT_MAP!$A$7:$C$66,IF($M1214="THU",2,3),FALSE()),IFERROR(VLOOKUP(LEFT($N1214,3),LCTT_MAP!$A$7:$C$66,IF($M1214="THU",2,3),FALSE()),IFERROR(VLOOKUP(LEFT($N1214,2),LCTT_MAP!$A$7:$C$66,IF($M1214="THU",2,3),FALSE()),IFERROR(VLOOKUP(LEFT($N1214,1),LCTT_MAP!$A$7:$C$66,IF($M1214="THU",2,3),FALSE()),IF($M1214="THU","06","07")))))))</f>
        <v/>
      </c>
      <c r="P1214" s="117">
        <f>P1213+IF(AND($H1214&lt;&gt;"",OR(LEFT($F1214,LEN(SC_TK))=SC_TK,LEFT($G1214,LEN(SC_TK))=SC_TK)),1,0)</f>
        <v/>
      </c>
    </row>
    <row r="1215" ht="15" customHeight="1" s="78">
      <c r="A1215" s="95">
        <f>IF($H1215="","",ROW()-6)</f>
        <v/>
      </c>
      <c r="B1215" s="114" t="n"/>
      <c r="C1215" s="102" t="n"/>
      <c r="D1215" s="114" t="n"/>
      <c r="E1215" s="103" t="n"/>
      <c r="F1215" s="102" t="n"/>
      <c r="G1215" s="102" t="n"/>
      <c r="H1215" s="115" t="n"/>
      <c r="I1215" s="102" t="n"/>
      <c r="J1215" s="102" t="n"/>
      <c r="K1215" s="103" t="n"/>
      <c r="L1215" s="116">
        <f>IF($H1215="","",TRIM(IF(COUNTIF(DMTK!$A$7:$A$250,$F1215)=0,"TK Nợ sai! ","")&amp;IF(COUNTIF(DMTK!$A$7:$A$250,$G1215)=0,"TK Có sai! ","")&amp;IF(N($H1215)&lt;=0,"Tiền phải &gt; 0! ","")&amp;IF($B1215="","Thiếu ngày! ","")&amp;IF(AND(OR(LEFT($F1215,3)="131",LEFT($G1215,3)="131",LEFT($F1215,3)="331",LEFT($G1215,3)="331"),$I1215=""),"Thiếu Mã ĐT! ","")&amp;IF(AND($I1215&lt;&gt;"",COUNTIF(DM_DT!$A$7:$A$306,$I1215)=0),"Mã ĐT chưa khai báo! ","")))</f>
        <v/>
      </c>
      <c r="M1215" s="117">
        <f>IF($H1215="","",IF(AND(OR(LEFT($F1215,3)="111",LEFT($F1215,3)="112",LEFT($F1215,3)="113"),OR(LEFT($G1215,3)="111",LEFT($G1215,3)="112",LEFT($G1215,3)="113")),"NB",IF(OR(LEFT($F1215,3)="111",LEFT($F1215,3)="112",LEFT($F1215,3)="113"),"THU",IF(OR(LEFT($G1215,3)="111",LEFT($G1215,3)="112",LEFT($G1215,3)="113"),"CHI",""))))</f>
        <v/>
      </c>
      <c r="N1215" s="117">
        <f>IF($M1215="THU",$G1215,IF($M1215="CHI",$F1215,""))</f>
        <v/>
      </c>
      <c r="O1215" s="117">
        <f>IF(OR($M1215="",$M1215="NB"),"",IF($J1215&lt;&gt;"",TEXT($J1215,"00"),IFERROR(VLOOKUP(LEFT($N1215,4),LCTT_MAP!$A$7:$C$66,IF($M1215="THU",2,3),FALSE()),IFERROR(VLOOKUP(LEFT($N1215,3),LCTT_MAP!$A$7:$C$66,IF($M1215="THU",2,3),FALSE()),IFERROR(VLOOKUP(LEFT($N1215,2),LCTT_MAP!$A$7:$C$66,IF($M1215="THU",2,3),FALSE()),IFERROR(VLOOKUP(LEFT($N1215,1),LCTT_MAP!$A$7:$C$66,IF($M1215="THU",2,3),FALSE()),IF($M1215="THU","06","07")))))))</f>
        <v/>
      </c>
      <c r="P1215" s="117">
        <f>P1214+IF(AND($H1215&lt;&gt;"",OR(LEFT($F1215,LEN(SC_TK))=SC_TK,LEFT($G1215,LEN(SC_TK))=SC_TK)),1,0)</f>
        <v/>
      </c>
    </row>
    <row r="1216" ht="15" customHeight="1" s="78">
      <c r="A1216" s="95">
        <f>IF($H1216="","",ROW()-6)</f>
        <v/>
      </c>
      <c r="B1216" s="114" t="n"/>
      <c r="C1216" s="102" t="n"/>
      <c r="D1216" s="114" t="n"/>
      <c r="E1216" s="103" t="n"/>
      <c r="F1216" s="102" t="n"/>
      <c r="G1216" s="102" t="n"/>
      <c r="H1216" s="115" t="n"/>
      <c r="I1216" s="102" t="n"/>
      <c r="J1216" s="102" t="n"/>
      <c r="K1216" s="103" t="n"/>
      <c r="L1216" s="116">
        <f>IF($H1216="","",TRIM(IF(COUNTIF(DMTK!$A$7:$A$250,$F1216)=0,"TK Nợ sai! ","")&amp;IF(COUNTIF(DMTK!$A$7:$A$250,$G1216)=0,"TK Có sai! ","")&amp;IF(N($H1216)&lt;=0,"Tiền phải &gt; 0! ","")&amp;IF($B1216="","Thiếu ngày! ","")&amp;IF(AND(OR(LEFT($F1216,3)="131",LEFT($G1216,3)="131",LEFT($F1216,3)="331",LEFT($G1216,3)="331"),$I1216=""),"Thiếu Mã ĐT! ","")&amp;IF(AND($I1216&lt;&gt;"",COUNTIF(DM_DT!$A$7:$A$306,$I1216)=0),"Mã ĐT chưa khai báo! ","")))</f>
        <v/>
      </c>
      <c r="M1216" s="117">
        <f>IF($H1216="","",IF(AND(OR(LEFT($F1216,3)="111",LEFT($F1216,3)="112",LEFT($F1216,3)="113"),OR(LEFT($G1216,3)="111",LEFT($G1216,3)="112",LEFT($G1216,3)="113")),"NB",IF(OR(LEFT($F1216,3)="111",LEFT($F1216,3)="112",LEFT($F1216,3)="113"),"THU",IF(OR(LEFT($G1216,3)="111",LEFT($G1216,3)="112",LEFT($G1216,3)="113"),"CHI",""))))</f>
        <v/>
      </c>
      <c r="N1216" s="117">
        <f>IF($M1216="THU",$G1216,IF($M1216="CHI",$F1216,""))</f>
        <v/>
      </c>
      <c r="O1216" s="117">
        <f>IF(OR($M1216="",$M1216="NB"),"",IF($J1216&lt;&gt;"",TEXT($J1216,"00"),IFERROR(VLOOKUP(LEFT($N1216,4),LCTT_MAP!$A$7:$C$66,IF($M1216="THU",2,3),FALSE()),IFERROR(VLOOKUP(LEFT($N1216,3),LCTT_MAP!$A$7:$C$66,IF($M1216="THU",2,3),FALSE()),IFERROR(VLOOKUP(LEFT($N1216,2),LCTT_MAP!$A$7:$C$66,IF($M1216="THU",2,3),FALSE()),IFERROR(VLOOKUP(LEFT($N1216,1),LCTT_MAP!$A$7:$C$66,IF($M1216="THU",2,3),FALSE()),IF($M1216="THU","06","07")))))))</f>
        <v/>
      </c>
      <c r="P1216" s="117">
        <f>P1215+IF(AND($H1216&lt;&gt;"",OR(LEFT($F1216,LEN(SC_TK))=SC_TK,LEFT($G1216,LEN(SC_TK))=SC_TK)),1,0)</f>
        <v/>
      </c>
    </row>
    <row r="1217" ht="15" customHeight="1" s="78">
      <c r="A1217" s="95">
        <f>IF($H1217="","",ROW()-6)</f>
        <v/>
      </c>
      <c r="B1217" s="114" t="n"/>
      <c r="C1217" s="102" t="n"/>
      <c r="D1217" s="114" t="n"/>
      <c r="E1217" s="103" t="n"/>
      <c r="F1217" s="102" t="n"/>
      <c r="G1217" s="102" t="n"/>
      <c r="H1217" s="115" t="n"/>
      <c r="I1217" s="102" t="n"/>
      <c r="J1217" s="102" t="n"/>
      <c r="K1217" s="103" t="n"/>
      <c r="L1217" s="116">
        <f>IF($H1217="","",TRIM(IF(COUNTIF(DMTK!$A$7:$A$250,$F1217)=0,"TK Nợ sai! ","")&amp;IF(COUNTIF(DMTK!$A$7:$A$250,$G1217)=0,"TK Có sai! ","")&amp;IF(N($H1217)&lt;=0,"Tiền phải &gt; 0! ","")&amp;IF($B1217="","Thiếu ngày! ","")&amp;IF(AND(OR(LEFT($F1217,3)="131",LEFT($G1217,3)="131",LEFT($F1217,3)="331",LEFT($G1217,3)="331"),$I1217=""),"Thiếu Mã ĐT! ","")&amp;IF(AND($I1217&lt;&gt;"",COUNTIF(DM_DT!$A$7:$A$306,$I1217)=0),"Mã ĐT chưa khai báo! ","")))</f>
        <v/>
      </c>
      <c r="M1217" s="117">
        <f>IF($H1217="","",IF(AND(OR(LEFT($F1217,3)="111",LEFT($F1217,3)="112",LEFT($F1217,3)="113"),OR(LEFT($G1217,3)="111",LEFT($G1217,3)="112",LEFT($G1217,3)="113")),"NB",IF(OR(LEFT($F1217,3)="111",LEFT($F1217,3)="112",LEFT($F1217,3)="113"),"THU",IF(OR(LEFT($G1217,3)="111",LEFT($G1217,3)="112",LEFT($G1217,3)="113"),"CHI",""))))</f>
        <v/>
      </c>
      <c r="N1217" s="117">
        <f>IF($M1217="THU",$G1217,IF($M1217="CHI",$F1217,""))</f>
        <v/>
      </c>
      <c r="O1217" s="117">
        <f>IF(OR($M1217="",$M1217="NB"),"",IF($J1217&lt;&gt;"",TEXT($J1217,"00"),IFERROR(VLOOKUP(LEFT($N1217,4),LCTT_MAP!$A$7:$C$66,IF($M1217="THU",2,3),FALSE()),IFERROR(VLOOKUP(LEFT($N1217,3),LCTT_MAP!$A$7:$C$66,IF($M1217="THU",2,3),FALSE()),IFERROR(VLOOKUP(LEFT($N1217,2),LCTT_MAP!$A$7:$C$66,IF($M1217="THU",2,3),FALSE()),IFERROR(VLOOKUP(LEFT($N1217,1),LCTT_MAP!$A$7:$C$66,IF($M1217="THU",2,3),FALSE()),IF($M1217="THU","06","07")))))))</f>
        <v/>
      </c>
      <c r="P1217" s="117">
        <f>P1216+IF(AND($H1217&lt;&gt;"",OR(LEFT($F1217,LEN(SC_TK))=SC_TK,LEFT($G1217,LEN(SC_TK))=SC_TK)),1,0)</f>
        <v/>
      </c>
    </row>
    <row r="1218" ht="15" customHeight="1" s="78">
      <c r="A1218" s="95">
        <f>IF($H1218="","",ROW()-6)</f>
        <v/>
      </c>
      <c r="B1218" s="114" t="n"/>
      <c r="C1218" s="102" t="n"/>
      <c r="D1218" s="114" t="n"/>
      <c r="E1218" s="103" t="n"/>
      <c r="F1218" s="102" t="n"/>
      <c r="G1218" s="102" t="n"/>
      <c r="H1218" s="115" t="n"/>
      <c r="I1218" s="102" t="n"/>
      <c r="J1218" s="102" t="n"/>
      <c r="K1218" s="103" t="n"/>
      <c r="L1218" s="116">
        <f>IF($H1218="","",TRIM(IF(COUNTIF(DMTK!$A$7:$A$250,$F1218)=0,"TK Nợ sai! ","")&amp;IF(COUNTIF(DMTK!$A$7:$A$250,$G1218)=0,"TK Có sai! ","")&amp;IF(N($H1218)&lt;=0,"Tiền phải &gt; 0! ","")&amp;IF($B1218="","Thiếu ngày! ","")&amp;IF(AND(OR(LEFT($F1218,3)="131",LEFT($G1218,3)="131",LEFT($F1218,3)="331",LEFT($G1218,3)="331"),$I1218=""),"Thiếu Mã ĐT! ","")&amp;IF(AND($I1218&lt;&gt;"",COUNTIF(DM_DT!$A$7:$A$306,$I1218)=0),"Mã ĐT chưa khai báo! ","")))</f>
        <v/>
      </c>
      <c r="M1218" s="117">
        <f>IF($H1218="","",IF(AND(OR(LEFT($F1218,3)="111",LEFT($F1218,3)="112",LEFT($F1218,3)="113"),OR(LEFT($G1218,3)="111",LEFT($G1218,3)="112",LEFT($G1218,3)="113")),"NB",IF(OR(LEFT($F1218,3)="111",LEFT($F1218,3)="112",LEFT($F1218,3)="113"),"THU",IF(OR(LEFT($G1218,3)="111",LEFT($G1218,3)="112",LEFT($G1218,3)="113"),"CHI",""))))</f>
        <v/>
      </c>
      <c r="N1218" s="117">
        <f>IF($M1218="THU",$G1218,IF($M1218="CHI",$F1218,""))</f>
        <v/>
      </c>
      <c r="O1218" s="117">
        <f>IF(OR($M1218="",$M1218="NB"),"",IF($J1218&lt;&gt;"",TEXT($J1218,"00"),IFERROR(VLOOKUP(LEFT($N1218,4),LCTT_MAP!$A$7:$C$66,IF($M1218="THU",2,3),FALSE()),IFERROR(VLOOKUP(LEFT($N1218,3),LCTT_MAP!$A$7:$C$66,IF($M1218="THU",2,3),FALSE()),IFERROR(VLOOKUP(LEFT($N1218,2),LCTT_MAP!$A$7:$C$66,IF($M1218="THU",2,3),FALSE()),IFERROR(VLOOKUP(LEFT($N1218,1),LCTT_MAP!$A$7:$C$66,IF($M1218="THU",2,3),FALSE()),IF($M1218="THU","06","07")))))))</f>
        <v/>
      </c>
      <c r="P1218" s="117">
        <f>P1217+IF(AND($H1218&lt;&gt;"",OR(LEFT($F1218,LEN(SC_TK))=SC_TK,LEFT($G1218,LEN(SC_TK))=SC_TK)),1,0)</f>
        <v/>
      </c>
    </row>
    <row r="1219" ht="15" customHeight="1" s="78">
      <c r="A1219" s="95">
        <f>IF($H1219="","",ROW()-6)</f>
        <v/>
      </c>
      <c r="B1219" s="114" t="n"/>
      <c r="C1219" s="102" t="n"/>
      <c r="D1219" s="114" t="n"/>
      <c r="E1219" s="103" t="n"/>
      <c r="F1219" s="102" t="n"/>
      <c r="G1219" s="102" t="n"/>
      <c r="H1219" s="115" t="n"/>
      <c r="I1219" s="102" t="n"/>
      <c r="J1219" s="102" t="n"/>
      <c r="K1219" s="103" t="n"/>
      <c r="L1219" s="116">
        <f>IF($H1219="","",TRIM(IF(COUNTIF(DMTK!$A$7:$A$250,$F1219)=0,"TK Nợ sai! ","")&amp;IF(COUNTIF(DMTK!$A$7:$A$250,$G1219)=0,"TK Có sai! ","")&amp;IF(N($H1219)&lt;=0,"Tiền phải &gt; 0! ","")&amp;IF($B1219="","Thiếu ngày! ","")&amp;IF(AND(OR(LEFT($F1219,3)="131",LEFT($G1219,3)="131",LEFT($F1219,3)="331",LEFT($G1219,3)="331"),$I1219=""),"Thiếu Mã ĐT! ","")&amp;IF(AND($I1219&lt;&gt;"",COUNTIF(DM_DT!$A$7:$A$306,$I1219)=0),"Mã ĐT chưa khai báo! ","")))</f>
        <v/>
      </c>
      <c r="M1219" s="117">
        <f>IF($H1219="","",IF(AND(OR(LEFT($F1219,3)="111",LEFT($F1219,3)="112",LEFT($F1219,3)="113"),OR(LEFT($G1219,3)="111",LEFT($G1219,3)="112",LEFT($G1219,3)="113")),"NB",IF(OR(LEFT($F1219,3)="111",LEFT($F1219,3)="112",LEFT($F1219,3)="113"),"THU",IF(OR(LEFT($G1219,3)="111",LEFT($G1219,3)="112",LEFT($G1219,3)="113"),"CHI",""))))</f>
        <v/>
      </c>
      <c r="N1219" s="117">
        <f>IF($M1219="THU",$G1219,IF($M1219="CHI",$F1219,""))</f>
        <v/>
      </c>
      <c r="O1219" s="117">
        <f>IF(OR($M1219="",$M1219="NB"),"",IF($J1219&lt;&gt;"",TEXT($J1219,"00"),IFERROR(VLOOKUP(LEFT($N1219,4),LCTT_MAP!$A$7:$C$66,IF($M1219="THU",2,3),FALSE()),IFERROR(VLOOKUP(LEFT($N1219,3),LCTT_MAP!$A$7:$C$66,IF($M1219="THU",2,3),FALSE()),IFERROR(VLOOKUP(LEFT($N1219,2),LCTT_MAP!$A$7:$C$66,IF($M1219="THU",2,3),FALSE()),IFERROR(VLOOKUP(LEFT($N1219,1),LCTT_MAP!$A$7:$C$66,IF($M1219="THU",2,3),FALSE()),IF($M1219="THU","06","07")))))))</f>
        <v/>
      </c>
      <c r="P1219" s="117">
        <f>P1218+IF(AND($H1219&lt;&gt;"",OR(LEFT($F1219,LEN(SC_TK))=SC_TK,LEFT($G1219,LEN(SC_TK))=SC_TK)),1,0)</f>
        <v/>
      </c>
    </row>
    <row r="1220" ht="15" customHeight="1" s="78">
      <c r="A1220" s="95">
        <f>IF($H1220="","",ROW()-6)</f>
        <v/>
      </c>
      <c r="B1220" s="114" t="n"/>
      <c r="C1220" s="102" t="n"/>
      <c r="D1220" s="114" t="n"/>
      <c r="E1220" s="103" t="n"/>
      <c r="F1220" s="102" t="n"/>
      <c r="G1220" s="102" t="n"/>
      <c r="H1220" s="115" t="n"/>
      <c r="I1220" s="102" t="n"/>
      <c r="J1220" s="102" t="n"/>
      <c r="K1220" s="103" t="n"/>
      <c r="L1220" s="116">
        <f>IF($H1220="","",TRIM(IF(COUNTIF(DMTK!$A$7:$A$250,$F1220)=0,"TK Nợ sai! ","")&amp;IF(COUNTIF(DMTK!$A$7:$A$250,$G1220)=0,"TK Có sai! ","")&amp;IF(N($H1220)&lt;=0,"Tiền phải &gt; 0! ","")&amp;IF($B1220="","Thiếu ngày! ","")&amp;IF(AND(OR(LEFT($F1220,3)="131",LEFT($G1220,3)="131",LEFT($F1220,3)="331",LEFT($G1220,3)="331"),$I1220=""),"Thiếu Mã ĐT! ","")&amp;IF(AND($I1220&lt;&gt;"",COUNTIF(DM_DT!$A$7:$A$306,$I1220)=0),"Mã ĐT chưa khai báo! ","")))</f>
        <v/>
      </c>
      <c r="M1220" s="117">
        <f>IF($H1220="","",IF(AND(OR(LEFT($F1220,3)="111",LEFT($F1220,3)="112",LEFT($F1220,3)="113"),OR(LEFT($G1220,3)="111",LEFT($G1220,3)="112",LEFT($G1220,3)="113")),"NB",IF(OR(LEFT($F1220,3)="111",LEFT($F1220,3)="112",LEFT($F1220,3)="113"),"THU",IF(OR(LEFT($G1220,3)="111",LEFT($G1220,3)="112",LEFT($G1220,3)="113"),"CHI",""))))</f>
        <v/>
      </c>
      <c r="N1220" s="117">
        <f>IF($M1220="THU",$G1220,IF($M1220="CHI",$F1220,""))</f>
        <v/>
      </c>
      <c r="O1220" s="117">
        <f>IF(OR($M1220="",$M1220="NB"),"",IF($J1220&lt;&gt;"",TEXT($J1220,"00"),IFERROR(VLOOKUP(LEFT($N1220,4),LCTT_MAP!$A$7:$C$66,IF($M1220="THU",2,3),FALSE()),IFERROR(VLOOKUP(LEFT($N1220,3),LCTT_MAP!$A$7:$C$66,IF($M1220="THU",2,3),FALSE()),IFERROR(VLOOKUP(LEFT($N1220,2),LCTT_MAP!$A$7:$C$66,IF($M1220="THU",2,3),FALSE()),IFERROR(VLOOKUP(LEFT($N1220,1),LCTT_MAP!$A$7:$C$66,IF($M1220="THU",2,3),FALSE()),IF($M1220="THU","06","07")))))))</f>
        <v/>
      </c>
      <c r="P1220" s="117">
        <f>P1219+IF(AND($H1220&lt;&gt;"",OR(LEFT($F1220,LEN(SC_TK))=SC_TK,LEFT($G1220,LEN(SC_TK))=SC_TK)),1,0)</f>
        <v/>
      </c>
    </row>
    <row r="1221" ht="15" customHeight="1" s="78">
      <c r="A1221" s="95">
        <f>IF($H1221="","",ROW()-6)</f>
        <v/>
      </c>
      <c r="B1221" s="114" t="n"/>
      <c r="C1221" s="102" t="n"/>
      <c r="D1221" s="114" t="n"/>
      <c r="E1221" s="103" t="n"/>
      <c r="F1221" s="102" t="n"/>
      <c r="G1221" s="102" t="n"/>
      <c r="H1221" s="115" t="n"/>
      <c r="I1221" s="102" t="n"/>
      <c r="J1221" s="102" t="n"/>
      <c r="K1221" s="103" t="n"/>
      <c r="L1221" s="116">
        <f>IF($H1221="","",TRIM(IF(COUNTIF(DMTK!$A$7:$A$250,$F1221)=0,"TK Nợ sai! ","")&amp;IF(COUNTIF(DMTK!$A$7:$A$250,$G1221)=0,"TK Có sai! ","")&amp;IF(N($H1221)&lt;=0,"Tiền phải &gt; 0! ","")&amp;IF($B1221="","Thiếu ngày! ","")&amp;IF(AND(OR(LEFT($F1221,3)="131",LEFT($G1221,3)="131",LEFT($F1221,3)="331",LEFT($G1221,3)="331"),$I1221=""),"Thiếu Mã ĐT! ","")&amp;IF(AND($I1221&lt;&gt;"",COUNTIF(DM_DT!$A$7:$A$306,$I1221)=0),"Mã ĐT chưa khai báo! ","")))</f>
        <v/>
      </c>
      <c r="M1221" s="117">
        <f>IF($H1221="","",IF(AND(OR(LEFT($F1221,3)="111",LEFT($F1221,3)="112",LEFT($F1221,3)="113"),OR(LEFT($G1221,3)="111",LEFT($G1221,3)="112",LEFT($G1221,3)="113")),"NB",IF(OR(LEFT($F1221,3)="111",LEFT($F1221,3)="112",LEFT($F1221,3)="113"),"THU",IF(OR(LEFT($G1221,3)="111",LEFT($G1221,3)="112",LEFT($G1221,3)="113"),"CHI",""))))</f>
        <v/>
      </c>
      <c r="N1221" s="117">
        <f>IF($M1221="THU",$G1221,IF($M1221="CHI",$F1221,""))</f>
        <v/>
      </c>
      <c r="O1221" s="117">
        <f>IF(OR($M1221="",$M1221="NB"),"",IF($J1221&lt;&gt;"",TEXT($J1221,"00"),IFERROR(VLOOKUP(LEFT($N1221,4),LCTT_MAP!$A$7:$C$66,IF($M1221="THU",2,3),FALSE()),IFERROR(VLOOKUP(LEFT($N1221,3),LCTT_MAP!$A$7:$C$66,IF($M1221="THU",2,3),FALSE()),IFERROR(VLOOKUP(LEFT($N1221,2),LCTT_MAP!$A$7:$C$66,IF($M1221="THU",2,3),FALSE()),IFERROR(VLOOKUP(LEFT($N1221,1),LCTT_MAP!$A$7:$C$66,IF($M1221="THU",2,3),FALSE()),IF($M1221="THU","06","07")))))))</f>
        <v/>
      </c>
      <c r="P1221" s="117">
        <f>P1220+IF(AND($H1221&lt;&gt;"",OR(LEFT($F1221,LEN(SC_TK))=SC_TK,LEFT($G1221,LEN(SC_TK))=SC_TK)),1,0)</f>
        <v/>
      </c>
    </row>
    <row r="1222" ht="15" customHeight="1" s="78">
      <c r="A1222" s="95">
        <f>IF($H1222="","",ROW()-6)</f>
        <v/>
      </c>
      <c r="B1222" s="114" t="n"/>
      <c r="C1222" s="102" t="n"/>
      <c r="D1222" s="114" t="n"/>
      <c r="E1222" s="103" t="n"/>
      <c r="F1222" s="102" t="n"/>
      <c r="G1222" s="102" t="n"/>
      <c r="H1222" s="115" t="n"/>
      <c r="I1222" s="102" t="n"/>
      <c r="J1222" s="102" t="n"/>
      <c r="K1222" s="103" t="n"/>
      <c r="L1222" s="116">
        <f>IF($H1222="","",TRIM(IF(COUNTIF(DMTK!$A$7:$A$250,$F1222)=0,"TK Nợ sai! ","")&amp;IF(COUNTIF(DMTK!$A$7:$A$250,$G1222)=0,"TK Có sai! ","")&amp;IF(N($H1222)&lt;=0,"Tiền phải &gt; 0! ","")&amp;IF($B1222="","Thiếu ngày! ","")&amp;IF(AND(OR(LEFT($F1222,3)="131",LEFT($G1222,3)="131",LEFT($F1222,3)="331",LEFT($G1222,3)="331"),$I1222=""),"Thiếu Mã ĐT! ","")&amp;IF(AND($I1222&lt;&gt;"",COUNTIF(DM_DT!$A$7:$A$306,$I1222)=0),"Mã ĐT chưa khai báo! ","")))</f>
        <v/>
      </c>
      <c r="M1222" s="117">
        <f>IF($H1222="","",IF(AND(OR(LEFT($F1222,3)="111",LEFT($F1222,3)="112",LEFT($F1222,3)="113"),OR(LEFT($G1222,3)="111",LEFT($G1222,3)="112",LEFT($G1222,3)="113")),"NB",IF(OR(LEFT($F1222,3)="111",LEFT($F1222,3)="112",LEFT($F1222,3)="113"),"THU",IF(OR(LEFT($G1222,3)="111",LEFT($G1222,3)="112",LEFT($G1222,3)="113"),"CHI",""))))</f>
        <v/>
      </c>
      <c r="N1222" s="117">
        <f>IF($M1222="THU",$G1222,IF($M1222="CHI",$F1222,""))</f>
        <v/>
      </c>
      <c r="O1222" s="117">
        <f>IF(OR($M1222="",$M1222="NB"),"",IF($J1222&lt;&gt;"",TEXT($J1222,"00"),IFERROR(VLOOKUP(LEFT($N1222,4),LCTT_MAP!$A$7:$C$66,IF($M1222="THU",2,3),FALSE()),IFERROR(VLOOKUP(LEFT($N1222,3),LCTT_MAP!$A$7:$C$66,IF($M1222="THU",2,3),FALSE()),IFERROR(VLOOKUP(LEFT($N1222,2),LCTT_MAP!$A$7:$C$66,IF($M1222="THU",2,3),FALSE()),IFERROR(VLOOKUP(LEFT($N1222,1),LCTT_MAP!$A$7:$C$66,IF($M1222="THU",2,3),FALSE()),IF($M1222="THU","06","07")))))))</f>
        <v/>
      </c>
      <c r="P1222" s="117">
        <f>P1221+IF(AND($H1222&lt;&gt;"",OR(LEFT($F1222,LEN(SC_TK))=SC_TK,LEFT($G1222,LEN(SC_TK))=SC_TK)),1,0)</f>
        <v/>
      </c>
    </row>
    <row r="1223" ht="15" customHeight="1" s="78">
      <c r="A1223" s="95">
        <f>IF($H1223="","",ROW()-6)</f>
        <v/>
      </c>
      <c r="B1223" s="114" t="n"/>
      <c r="C1223" s="102" t="n"/>
      <c r="D1223" s="114" t="n"/>
      <c r="E1223" s="103" t="n"/>
      <c r="F1223" s="102" t="n"/>
      <c r="G1223" s="102" t="n"/>
      <c r="H1223" s="115" t="n"/>
      <c r="I1223" s="102" t="n"/>
      <c r="J1223" s="102" t="n"/>
      <c r="K1223" s="103" t="n"/>
      <c r="L1223" s="116">
        <f>IF($H1223="","",TRIM(IF(COUNTIF(DMTK!$A$7:$A$250,$F1223)=0,"TK Nợ sai! ","")&amp;IF(COUNTIF(DMTK!$A$7:$A$250,$G1223)=0,"TK Có sai! ","")&amp;IF(N($H1223)&lt;=0,"Tiền phải &gt; 0! ","")&amp;IF($B1223="","Thiếu ngày! ","")&amp;IF(AND(OR(LEFT($F1223,3)="131",LEFT($G1223,3)="131",LEFT($F1223,3)="331",LEFT($G1223,3)="331"),$I1223=""),"Thiếu Mã ĐT! ","")&amp;IF(AND($I1223&lt;&gt;"",COUNTIF(DM_DT!$A$7:$A$306,$I1223)=0),"Mã ĐT chưa khai báo! ","")))</f>
        <v/>
      </c>
      <c r="M1223" s="117">
        <f>IF($H1223="","",IF(AND(OR(LEFT($F1223,3)="111",LEFT($F1223,3)="112",LEFT($F1223,3)="113"),OR(LEFT($G1223,3)="111",LEFT($G1223,3)="112",LEFT($G1223,3)="113")),"NB",IF(OR(LEFT($F1223,3)="111",LEFT($F1223,3)="112",LEFT($F1223,3)="113"),"THU",IF(OR(LEFT($G1223,3)="111",LEFT($G1223,3)="112",LEFT($G1223,3)="113"),"CHI",""))))</f>
        <v/>
      </c>
      <c r="N1223" s="117">
        <f>IF($M1223="THU",$G1223,IF($M1223="CHI",$F1223,""))</f>
        <v/>
      </c>
      <c r="O1223" s="117">
        <f>IF(OR($M1223="",$M1223="NB"),"",IF($J1223&lt;&gt;"",TEXT($J1223,"00"),IFERROR(VLOOKUP(LEFT($N1223,4),LCTT_MAP!$A$7:$C$66,IF($M1223="THU",2,3),FALSE()),IFERROR(VLOOKUP(LEFT($N1223,3),LCTT_MAP!$A$7:$C$66,IF($M1223="THU",2,3),FALSE()),IFERROR(VLOOKUP(LEFT($N1223,2),LCTT_MAP!$A$7:$C$66,IF($M1223="THU",2,3),FALSE()),IFERROR(VLOOKUP(LEFT($N1223,1),LCTT_MAP!$A$7:$C$66,IF($M1223="THU",2,3),FALSE()),IF($M1223="THU","06","07")))))))</f>
        <v/>
      </c>
      <c r="P1223" s="117">
        <f>P1222+IF(AND($H1223&lt;&gt;"",OR(LEFT($F1223,LEN(SC_TK))=SC_TK,LEFT($G1223,LEN(SC_TK))=SC_TK)),1,0)</f>
        <v/>
      </c>
    </row>
    <row r="1224" ht="15" customHeight="1" s="78">
      <c r="A1224" s="95">
        <f>IF($H1224="","",ROW()-6)</f>
        <v/>
      </c>
      <c r="B1224" s="114" t="n"/>
      <c r="C1224" s="102" t="n"/>
      <c r="D1224" s="114" t="n"/>
      <c r="E1224" s="103" t="n"/>
      <c r="F1224" s="102" t="n"/>
      <c r="G1224" s="102" t="n"/>
      <c r="H1224" s="115" t="n"/>
      <c r="I1224" s="102" t="n"/>
      <c r="J1224" s="102" t="n"/>
      <c r="K1224" s="103" t="n"/>
      <c r="L1224" s="116">
        <f>IF($H1224="","",TRIM(IF(COUNTIF(DMTK!$A$7:$A$250,$F1224)=0,"TK Nợ sai! ","")&amp;IF(COUNTIF(DMTK!$A$7:$A$250,$G1224)=0,"TK Có sai! ","")&amp;IF(N($H1224)&lt;=0,"Tiền phải &gt; 0! ","")&amp;IF($B1224="","Thiếu ngày! ","")&amp;IF(AND(OR(LEFT($F1224,3)="131",LEFT($G1224,3)="131",LEFT($F1224,3)="331",LEFT($G1224,3)="331"),$I1224=""),"Thiếu Mã ĐT! ","")&amp;IF(AND($I1224&lt;&gt;"",COUNTIF(DM_DT!$A$7:$A$306,$I1224)=0),"Mã ĐT chưa khai báo! ","")))</f>
        <v/>
      </c>
      <c r="M1224" s="117">
        <f>IF($H1224="","",IF(AND(OR(LEFT($F1224,3)="111",LEFT($F1224,3)="112",LEFT($F1224,3)="113"),OR(LEFT($G1224,3)="111",LEFT($G1224,3)="112",LEFT($G1224,3)="113")),"NB",IF(OR(LEFT($F1224,3)="111",LEFT($F1224,3)="112",LEFT($F1224,3)="113"),"THU",IF(OR(LEFT($G1224,3)="111",LEFT($G1224,3)="112",LEFT($G1224,3)="113"),"CHI",""))))</f>
        <v/>
      </c>
      <c r="N1224" s="117">
        <f>IF($M1224="THU",$G1224,IF($M1224="CHI",$F1224,""))</f>
        <v/>
      </c>
      <c r="O1224" s="117">
        <f>IF(OR($M1224="",$M1224="NB"),"",IF($J1224&lt;&gt;"",TEXT($J1224,"00"),IFERROR(VLOOKUP(LEFT($N1224,4),LCTT_MAP!$A$7:$C$66,IF($M1224="THU",2,3),FALSE()),IFERROR(VLOOKUP(LEFT($N1224,3),LCTT_MAP!$A$7:$C$66,IF($M1224="THU",2,3),FALSE()),IFERROR(VLOOKUP(LEFT($N1224,2),LCTT_MAP!$A$7:$C$66,IF($M1224="THU",2,3),FALSE()),IFERROR(VLOOKUP(LEFT($N1224,1),LCTT_MAP!$A$7:$C$66,IF($M1224="THU",2,3),FALSE()),IF($M1224="THU","06","07")))))))</f>
        <v/>
      </c>
      <c r="P1224" s="117">
        <f>P1223+IF(AND($H1224&lt;&gt;"",OR(LEFT($F1224,LEN(SC_TK))=SC_TK,LEFT($G1224,LEN(SC_TK))=SC_TK)),1,0)</f>
        <v/>
      </c>
    </row>
    <row r="1225" ht="15" customHeight="1" s="78">
      <c r="A1225" s="95">
        <f>IF($H1225="","",ROW()-6)</f>
        <v/>
      </c>
      <c r="B1225" s="114" t="n"/>
      <c r="C1225" s="102" t="n"/>
      <c r="D1225" s="114" t="n"/>
      <c r="E1225" s="103" t="n"/>
      <c r="F1225" s="102" t="n"/>
      <c r="G1225" s="102" t="n"/>
      <c r="H1225" s="115" t="n"/>
      <c r="I1225" s="102" t="n"/>
      <c r="J1225" s="102" t="n"/>
      <c r="K1225" s="103" t="n"/>
      <c r="L1225" s="116">
        <f>IF($H1225="","",TRIM(IF(COUNTIF(DMTK!$A$7:$A$250,$F1225)=0,"TK Nợ sai! ","")&amp;IF(COUNTIF(DMTK!$A$7:$A$250,$G1225)=0,"TK Có sai! ","")&amp;IF(N($H1225)&lt;=0,"Tiền phải &gt; 0! ","")&amp;IF($B1225="","Thiếu ngày! ","")&amp;IF(AND(OR(LEFT($F1225,3)="131",LEFT($G1225,3)="131",LEFT($F1225,3)="331",LEFT($G1225,3)="331"),$I1225=""),"Thiếu Mã ĐT! ","")&amp;IF(AND($I1225&lt;&gt;"",COUNTIF(DM_DT!$A$7:$A$306,$I1225)=0),"Mã ĐT chưa khai báo! ","")))</f>
        <v/>
      </c>
      <c r="M1225" s="117">
        <f>IF($H1225="","",IF(AND(OR(LEFT($F1225,3)="111",LEFT($F1225,3)="112",LEFT($F1225,3)="113"),OR(LEFT($G1225,3)="111",LEFT($G1225,3)="112",LEFT($G1225,3)="113")),"NB",IF(OR(LEFT($F1225,3)="111",LEFT($F1225,3)="112",LEFT($F1225,3)="113"),"THU",IF(OR(LEFT($G1225,3)="111",LEFT($G1225,3)="112",LEFT($G1225,3)="113"),"CHI",""))))</f>
        <v/>
      </c>
      <c r="N1225" s="117">
        <f>IF($M1225="THU",$G1225,IF($M1225="CHI",$F1225,""))</f>
        <v/>
      </c>
      <c r="O1225" s="117">
        <f>IF(OR($M1225="",$M1225="NB"),"",IF($J1225&lt;&gt;"",TEXT($J1225,"00"),IFERROR(VLOOKUP(LEFT($N1225,4),LCTT_MAP!$A$7:$C$66,IF($M1225="THU",2,3),FALSE()),IFERROR(VLOOKUP(LEFT($N1225,3),LCTT_MAP!$A$7:$C$66,IF($M1225="THU",2,3),FALSE()),IFERROR(VLOOKUP(LEFT($N1225,2),LCTT_MAP!$A$7:$C$66,IF($M1225="THU",2,3),FALSE()),IFERROR(VLOOKUP(LEFT($N1225,1),LCTT_MAP!$A$7:$C$66,IF($M1225="THU",2,3),FALSE()),IF($M1225="THU","06","07")))))))</f>
        <v/>
      </c>
      <c r="P1225" s="117">
        <f>P1224+IF(AND($H1225&lt;&gt;"",OR(LEFT($F1225,LEN(SC_TK))=SC_TK,LEFT($G1225,LEN(SC_TK))=SC_TK)),1,0)</f>
        <v/>
      </c>
    </row>
    <row r="1226" ht="15" customHeight="1" s="78">
      <c r="A1226" s="95">
        <f>IF($H1226="","",ROW()-6)</f>
        <v/>
      </c>
      <c r="B1226" s="114" t="n"/>
      <c r="C1226" s="102" t="n"/>
      <c r="D1226" s="114" t="n"/>
      <c r="E1226" s="103" t="n"/>
      <c r="F1226" s="102" t="n"/>
      <c r="G1226" s="102" t="n"/>
      <c r="H1226" s="115" t="n"/>
      <c r="I1226" s="102" t="n"/>
      <c r="J1226" s="102" t="n"/>
      <c r="K1226" s="103" t="n"/>
      <c r="L1226" s="116">
        <f>IF($H1226="","",TRIM(IF(COUNTIF(DMTK!$A$7:$A$250,$F1226)=0,"TK Nợ sai! ","")&amp;IF(COUNTIF(DMTK!$A$7:$A$250,$G1226)=0,"TK Có sai! ","")&amp;IF(N($H1226)&lt;=0,"Tiền phải &gt; 0! ","")&amp;IF($B1226="","Thiếu ngày! ","")&amp;IF(AND(OR(LEFT($F1226,3)="131",LEFT($G1226,3)="131",LEFT($F1226,3)="331",LEFT($G1226,3)="331"),$I1226=""),"Thiếu Mã ĐT! ","")&amp;IF(AND($I1226&lt;&gt;"",COUNTIF(DM_DT!$A$7:$A$306,$I1226)=0),"Mã ĐT chưa khai báo! ","")))</f>
        <v/>
      </c>
      <c r="M1226" s="117">
        <f>IF($H1226="","",IF(AND(OR(LEFT($F1226,3)="111",LEFT($F1226,3)="112",LEFT($F1226,3)="113"),OR(LEFT($G1226,3)="111",LEFT($G1226,3)="112",LEFT($G1226,3)="113")),"NB",IF(OR(LEFT($F1226,3)="111",LEFT($F1226,3)="112",LEFT($F1226,3)="113"),"THU",IF(OR(LEFT($G1226,3)="111",LEFT($G1226,3)="112",LEFT($G1226,3)="113"),"CHI",""))))</f>
        <v/>
      </c>
      <c r="N1226" s="117">
        <f>IF($M1226="THU",$G1226,IF($M1226="CHI",$F1226,""))</f>
        <v/>
      </c>
      <c r="O1226" s="117">
        <f>IF(OR($M1226="",$M1226="NB"),"",IF($J1226&lt;&gt;"",TEXT($J1226,"00"),IFERROR(VLOOKUP(LEFT($N1226,4),LCTT_MAP!$A$7:$C$66,IF($M1226="THU",2,3),FALSE()),IFERROR(VLOOKUP(LEFT($N1226,3),LCTT_MAP!$A$7:$C$66,IF($M1226="THU",2,3),FALSE()),IFERROR(VLOOKUP(LEFT($N1226,2),LCTT_MAP!$A$7:$C$66,IF($M1226="THU",2,3),FALSE()),IFERROR(VLOOKUP(LEFT($N1226,1),LCTT_MAP!$A$7:$C$66,IF($M1226="THU",2,3),FALSE()),IF($M1226="THU","06","07")))))))</f>
        <v/>
      </c>
      <c r="P1226" s="117">
        <f>P1225+IF(AND($H1226&lt;&gt;"",OR(LEFT($F1226,LEN(SC_TK))=SC_TK,LEFT($G1226,LEN(SC_TK))=SC_TK)),1,0)</f>
        <v/>
      </c>
    </row>
    <row r="1227" ht="15" customHeight="1" s="78">
      <c r="A1227" s="95">
        <f>IF($H1227="","",ROW()-6)</f>
        <v/>
      </c>
      <c r="B1227" s="114" t="n"/>
      <c r="C1227" s="102" t="n"/>
      <c r="D1227" s="114" t="n"/>
      <c r="E1227" s="103" t="n"/>
      <c r="F1227" s="102" t="n"/>
      <c r="G1227" s="102" t="n"/>
      <c r="H1227" s="115" t="n"/>
      <c r="I1227" s="102" t="n"/>
      <c r="J1227" s="102" t="n"/>
      <c r="K1227" s="103" t="n"/>
      <c r="L1227" s="116">
        <f>IF($H1227="","",TRIM(IF(COUNTIF(DMTK!$A$7:$A$250,$F1227)=0,"TK Nợ sai! ","")&amp;IF(COUNTIF(DMTK!$A$7:$A$250,$G1227)=0,"TK Có sai! ","")&amp;IF(N($H1227)&lt;=0,"Tiền phải &gt; 0! ","")&amp;IF($B1227="","Thiếu ngày! ","")&amp;IF(AND(OR(LEFT($F1227,3)="131",LEFT($G1227,3)="131",LEFT($F1227,3)="331",LEFT($G1227,3)="331"),$I1227=""),"Thiếu Mã ĐT! ","")&amp;IF(AND($I1227&lt;&gt;"",COUNTIF(DM_DT!$A$7:$A$306,$I1227)=0),"Mã ĐT chưa khai báo! ","")))</f>
        <v/>
      </c>
      <c r="M1227" s="117">
        <f>IF($H1227="","",IF(AND(OR(LEFT($F1227,3)="111",LEFT($F1227,3)="112",LEFT($F1227,3)="113"),OR(LEFT($G1227,3)="111",LEFT($G1227,3)="112",LEFT($G1227,3)="113")),"NB",IF(OR(LEFT($F1227,3)="111",LEFT($F1227,3)="112",LEFT($F1227,3)="113"),"THU",IF(OR(LEFT($G1227,3)="111",LEFT($G1227,3)="112",LEFT($G1227,3)="113"),"CHI",""))))</f>
        <v/>
      </c>
      <c r="N1227" s="117">
        <f>IF($M1227="THU",$G1227,IF($M1227="CHI",$F1227,""))</f>
        <v/>
      </c>
      <c r="O1227" s="117">
        <f>IF(OR($M1227="",$M1227="NB"),"",IF($J1227&lt;&gt;"",TEXT($J1227,"00"),IFERROR(VLOOKUP(LEFT($N1227,4),LCTT_MAP!$A$7:$C$66,IF($M1227="THU",2,3),FALSE()),IFERROR(VLOOKUP(LEFT($N1227,3),LCTT_MAP!$A$7:$C$66,IF($M1227="THU",2,3),FALSE()),IFERROR(VLOOKUP(LEFT($N1227,2),LCTT_MAP!$A$7:$C$66,IF($M1227="THU",2,3),FALSE()),IFERROR(VLOOKUP(LEFT($N1227,1),LCTT_MAP!$A$7:$C$66,IF($M1227="THU",2,3),FALSE()),IF($M1227="THU","06","07")))))))</f>
        <v/>
      </c>
      <c r="P1227" s="117">
        <f>P1226+IF(AND($H1227&lt;&gt;"",OR(LEFT($F1227,LEN(SC_TK))=SC_TK,LEFT($G1227,LEN(SC_TK))=SC_TK)),1,0)</f>
        <v/>
      </c>
    </row>
    <row r="1228" ht="15" customHeight="1" s="78">
      <c r="A1228" s="95">
        <f>IF($H1228="","",ROW()-6)</f>
        <v/>
      </c>
      <c r="B1228" s="114" t="n"/>
      <c r="C1228" s="102" t="n"/>
      <c r="D1228" s="114" t="n"/>
      <c r="E1228" s="103" t="n"/>
      <c r="F1228" s="102" t="n"/>
      <c r="G1228" s="102" t="n"/>
      <c r="H1228" s="115" t="n"/>
      <c r="I1228" s="102" t="n"/>
      <c r="J1228" s="102" t="n"/>
      <c r="K1228" s="103" t="n"/>
      <c r="L1228" s="116">
        <f>IF($H1228="","",TRIM(IF(COUNTIF(DMTK!$A$7:$A$250,$F1228)=0,"TK Nợ sai! ","")&amp;IF(COUNTIF(DMTK!$A$7:$A$250,$G1228)=0,"TK Có sai! ","")&amp;IF(N($H1228)&lt;=0,"Tiền phải &gt; 0! ","")&amp;IF($B1228="","Thiếu ngày! ","")&amp;IF(AND(OR(LEFT($F1228,3)="131",LEFT($G1228,3)="131",LEFT($F1228,3)="331",LEFT($G1228,3)="331"),$I1228=""),"Thiếu Mã ĐT! ","")&amp;IF(AND($I1228&lt;&gt;"",COUNTIF(DM_DT!$A$7:$A$306,$I1228)=0),"Mã ĐT chưa khai báo! ","")))</f>
        <v/>
      </c>
      <c r="M1228" s="117">
        <f>IF($H1228="","",IF(AND(OR(LEFT($F1228,3)="111",LEFT($F1228,3)="112",LEFT($F1228,3)="113"),OR(LEFT($G1228,3)="111",LEFT($G1228,3)="112",LEFT($G1228,3)="113")),"NB",IF(OR(LEFT($F1228,3)="111",LEFT($F1228,3)="112",LEFT($F1228,3)="113"),"THU",IF(OR(LEFT($G1228,3)="111",LEFT($G1228,3)="112",LEFT($G1228,3)="113"),"CHI",""))))</f>
        <v/>
      </c>
      <c r="N1228" s="117">
        <f>IF($M1228="THU",$G1228,IF($M1228="CHI",$F1228,""))</f>
        <v/>
      </c>
      <c r="O1228" s="117">
        <f>IF(OR($M1228="",$M1228="NB"),"",IF($J1228&lt;&gt;"",TEXT($J1228,"00"),IFERROR(VLOOKUP(LEFT($N1228,4),LCTT_MAP!$A$7:$C$66,IF($M1228="THU",2,3),FALSE()),IFERROR(VLOOKUP(LEFT($N1228,3),LCTT_MAP!$A$7:$C$66,IF($M1228="THU",2,3),FALSE()),IFERROR(VLOOKUP(LEFT($N1228,2),LCTT_MAP!$A$7:$C$66,IF($M1228="THU",2,3),FALSE()),IFERROR(VLOOKUP(LEFT($N1228,1),LCTT_MAP!$A$7:$C$66,IF($M1228="THU",2,3),FALSE()),IF($M1228="THU","06","07")))))))</f>
        <v/>
      </c>
      <c r="P1228" s="117">
        <f>P1227+IF(AND($H1228&lt;&gt;"",OR(LEFT($F1228,LEN(SC_TK))=SC_TK,LEFT($G1228,LEN(SC_TK))=SC_TK)),1,0)</f>
        <v/>
      </c>
    </row>
    <row r="1229" ht="15" customHeight="1" s="78">
      <c r="A1229" s="95">
        <f>IF($H1229="","",ROW()-6)</f>
        <v/>
      </c>
      <c r="B1229" s="114" t="n"/>
      <c r="C1229" s="102" t="n"/>
      <c r="D1229" s="114" t="n"/>
      <c r="E1229" s="103" t="n"/>
      <c r="F1229" s="102" t="n"/>
      <c r="G1229" s="102" t="n"/>
      <c r="H1229" s="115" t="n"/>
      <c r="I1229" s="102" t="n"/>
      <c r="J1229" s="102" t="n"/>
      <c r="K1229" s="103" t="n"/>
      <c r="L1229" s="116">
        <f>IF($H1229="","",TRIM(IF(COUNTIF(DMTK!$A$7:$A$250,$F1229)=0,"TK Nợ sai! ","")&amp;IF(COUNTIF(DMTK!$A$7:$A$250,$G1229)=0,"TK Có sai! ","")&amp;IF(N($H1229)&lt;=0,"Tiền phải &gt; 0! ","")&amp;IF($B1229="","Thiếu ngày! ","")&amp;IF(AND(OR(LEFT($F1229,3)="131",LEFT($G1229,3)="131",LEFT($F1229,3)="331",LEFT($G1229,3)="331"),$I1229=""),"Thiếu Mã ĐT! ","")&amp;IF(AND($I1229&lt;&gt;"",COUNTIF(DM_DT!$A$7:$A$306,$I1229)=0),"Mã ĐT chưa khai báo! ","")))</f>
        <v/>
      </c>
      <c r="M1229" s="117">
        <f>IF($H1229="","",IF(AND(OR(LEFT($F1229,3)="111",LEFT($F1229,3)="112",LEFT($F1229,3)="113"),OR(LEFT($G1229,3)="111",LEFT($G1229,3)="112",LEFT($G1229,3)="113")),"NB",IF(OR(LEFT($F1229,3)="111",LEFT($F1229,3)="112",LEFT($F1229,3)="113"),"THU",IF(OR(LEFT($G1229,3)="111",LEFT($G1229,3)="112",LEFT($G1229,3)="113"),"CHI",""))))</f>
        <v/>
      </c>
      <c r="N1229" s="117">
        <f>IF($M1229="THU",$G1229,IF($M1229="CHI",$F1229,""))</f>
        <v/>
      </c>
      <c r="O1229" s="117">
        <f>IF(OR($M1229="",$M1229="NB"),"",IF($J1229&lt;&gt;"",TEXT($J1229,"00"),IFERROR(VLOOKUP(LEFT($N1229,4),LCTT_MAP!$A$7:$C$66,IF($M1229="THU",2,3),FALSE()),IFERROR(VLOOKUP(LEFT($N1229,3),LCTT_MAP!$A$7:$C$66,IF($M1229="THU",2,3),FALSE()),IFERROR(VLOOKUP(LEFT($N1229,2),LCTT_MAP!$A$7:$C$66,IF($M1229="THU",2,3),FALSE()),IFERROR(VLOOKUP(LEFT($N1229,1),LCTT_MAP!$A$7:$C$66,IF($M1229="THU",2,3),FALSE()),IF($M1229="THU","06","07")))))))</f>
        <v/>
      </c>
      <c r="P1229" s="117">
        <f>P1228+IF(AND($H1229&lt;&gt;"",OR(LEFT($F1229,LEN(SC_TK))=SC_TK,LEFT($G1229,LEN(SC_TK))=SC_TK)),1,0)</f>
        <v/>
      </c>
    </row>
    <row r="1230" ht="15" customHeight="1" s="78">
      <c r="A1230" s="95">
        <f>IF($H1230="","",ROW()-6)</f>
        <v/>
      </c>
      <c r="B1230" s="114" t="n"/>
      <c r="C1230" s="102" t="n"/>
      <c r="D1230" s="114" t="n"/>
      <c r="E1230" s="103" t="n"/>
      <c r="F1230" s="102" t="n"/>
      <c r="G1230" s="102" t="n"/>
      <c r="H1230" s="115" t="n"/>
      <c r="I1230" s="102" t="n"/>
      <c r="J1230" s="102" t="n"/>
      <c r="K1230" s="103" t="n"/>
      <c r="L1230" s="116">
        <f>IF($H1230="","",TRIM(IF(COUNTIF(DMTK!$A$7:$A$250,$F1230)=0,"TK Nợ sai! ","")&amp;IF(COUNTIF(DMTK!$A$7:$A$250,$G1230)=0,"TK Có sai! ","")&amp;IF(N($H1230)&lt;=0,"Tiền phải &gt; 0! ","")&amp;IF($B1230="","Thiếu ngày! ","")&amp;IF(AND(OR(LEFT($F1230,3)="131",LEFT($G1230,3)="131",LEFT($F1230,3)="331",LEFT($G1230,3)="331"),$I1230=""),"Thiếu Mã ĐT! ","")&amp;IF(AND($I1230&lt;&gt;"",COUNTIF(DM_DT!$A$7:$A$306,$I1230)=0),"Mã ĐT chưa khai báo! ","")))</f>
        <v/>
      </c>
      <c r="M1230" s="117">
        <f>IF($H1230="","",IF(AND(OR(LEFT($F1230,3)="111",LEFT($F1230,3)="112",LEFT($F1230,3)="113"),OR(LEFT($G1230,3)="111",LEFT($G1230,3)="112",LEFT($G1230,3)="113")),"NB",IF(OR(LEFT($F1230,3)="111",LEFT($F1230,3)="112",LEFT($F1230,3)="113"),"THU",IF(OR(LEFT($G1230,3)="111",LEFT($G1230,3)="112",LEFT($G1230,3)="113"),"CHI",""))))</f>
        <v/>
      </c>
      <c r="N1230" s="117">
        <f>IF($M1230="THU",$G1230,IF($M1230="CHI",$F1230,""))</f>
        <v/>
      </c>
      <c r="O1230" s="117">
        <f>IF(OR($M1230="",$M1230="NB"),"",IF($J1230&lt;&gt;"",TEXT($J1230,"00"),IFERROR(VLOOKUP(LEFT($N1230,4),LCTT_MAP!$A$7:$C$66,IF($M1230="THU",2,3),FALSE()),IFERROR(VLOOKUP(LEFT($N1230,3),LCTT_MAP!$A$7:$C$66,IF($M1230="THU",2,3),FALSE()),IFERROR(VLOOKUP(LEFT($N1230,2),LCTT_MAP!$A$7:$C$66,IF($M1230="THU",2,3),FALSE()),IFERROR(VLOOKUP(LEFT($N1230,1),LCTT_MAP!$A$7:$C$66,IF($M1230="THU",2,3),FALSE()),IF($M1230="THU","06","07")))))))</f>
        <v/>
      </c>
      <c r="P1230" s="117">
        <f>P1229+IF(AND($H1230&lt;&gt;"",OR(LEFT($F1230,LEN(SC_TK))=SC_TK,LEFT($G1230,LEN(SC_TK))=SC_TK)),1,0)</f>
        <v/>
      </c>
    </row>
    <row r="1231" ht="15" customHeight="1" s="78">
      <c r="A1231" s="95">
        <f>IF($H1231="","",ROW()-6)</f>
        <v/>
      </c>
      <c r="B1231" s="114" t="n"/>
      <c r="C1231" s="102" t="n"/>
      <c r="D1231" s="114" t="n"/>
      <c r="E1231" s="103" t="n"/>
      <c r="F1231" s="102" t="n"/>
      <c r="G1231" s="102" t="n"/>
      <c r="H1231" s="115" t="n"/>
      <c r="I1231" s="102" t="n"/>
      <c r="J1231" s="102" t="n"/>
      <c r="K1231" s="103" t="n"/>
      <c r="L1231" s="116">
        <f>IF($H1231="","",TRIM(IF(COUNTIF(DMTK!$A$7:$A$250,$F1231)=0,"TK Nợ sai! ","")&amp;IF(COUNTIF(DMTK!$A$7:$A$250,$G1231)=0,"TK Có sai! ","")&amp;IF(N($H1231)&lt;=0,"Tiền phải &gt; 0! ","")&amp;IF($B1231="","Thiếu ngày! ","")&amp;IF(AND(OR(LEFT($F1231,3)="131",LEFT($G1231,3)="131",LEFT($F1231,3)="331",LEFT($G1231,3)="331"),$I1231=""),"Thiếu Mã ĐT! ","")&amp;IF(AND($I1231&lt;&gt;"",COUNTIF(DM_DT!$A$7:$A$306,$I1231)=0),"Mã ĐT chưa khai báo! ","")))</f>
        <v/>
      </c>
      <c r="M1231" s="117">
        <f>IF($H1231="","",IF(AND(OR(LEFT($F1231,3)="111",LEFT($F1231,3)="112",LEFT($F1231,3)="113"),OR(LEFT($G1231,3)="111",LEFT($G1231,3)="112",LEFT($G1231,3)="113")),"NB",IF(OR(LEFT($F1231,3)="111",LEFT($F1231,3)="112",LEFT($F1231,3)="113"),"THU",IF(OR(LEFT($G1231,3)="111",LEFT($G1231,3)="112",LEFT($G1231,3)="113"),"CHI",""))))</f>
        <v/>
      </c>
      <c r="N1231" s="117">
        <f>IF($M1231="THU",$G1231,IF($M1231="CHI",$F1231,""))</f>
        <v/>
      </c>
      <c r="O1231" s="117">
        <f>IF(OR($M1231="",$M1231="NB"),"",IF($J1231&lt;&gt;"",TEXT($J1231,"00"),IFERROR(VLOOKUP(LEFT($N1231,4),LCTT_MAP!$A$7:$C$66,IF($M1231="THU",2,3),FALSE()),IFERROR(VLOOKUP(LEFT($N1231,3),LCTT_MAP!$A$7:$C$66,IF($M1231="THU",2,3),FALSE()),IFERROR(VLOOKUP(LEFT($N1231,2),LCTT_MAP!$A$7:$C$66,IF($M1231="THU",2,3),FALSE()),IFERROR(VLOOKUP(LEFT($N1231,1),LCTT_MAP!$A$7:$C$66,IF($M1231="THU",2,3),FALSE()),IF($M1231="THU","06","07")))))))</f>
        <v/>
      </c>
      <c r="P1231" s="117">
        <f>P1230+IF(AND($H1231&lt;&gt;"",OR(LEFT($F1231,LEN(SC_TK))=SC_TK,LEFT($G1231,LEN(SC_TK))=SC_TK)),1,0)</f>
        <v/>
      </c>
    </row>
    <row r="1232" ht="15" customHeight="1" s="78">
      <c r="A1232" s="95">
        <f>IF($H1232="","",ROW()-6)</f>
        <v/>
      </c>
      <c r="B1232" s="114" t="n"/>
      <c r="C1232" s="102" t="n"/>
      <c r="D1232" s="114" t="n"/>
      <c r="E1232" s="103" t="n"/>
      <c r="F1232" s="102" t="n"/>
      <c r="G1232" s="102" t="n"/>
      <c r="H1232" s="115" t="n"/>
      <c r="I1232" s="102" t="n"/>
      <c r="J1232" s="102" t="n"/>
      <c r="K1232" s="103" t="n"/>
      <c r="L1232" s="116">
        <f>IF($H1232="","",TRIM(IF(COUNTIF(DMTK!$A$7:$A$250,$F1232)=0,"TK Nợ sai! ","")&amp;IF(COUNTIF(DMTK!$A$7:$A$250,$G1232)=0,"TK Có sai! ","")&amp;IF(N($H1232)&lt;=0,"Tiền phải &gt; 0! ","")&amp;IF($B1232="","Thiếu ngày! ","")&amp;IF(AND(OR(LEFT($F1232,3)="131",LEFT($G1232,3)="131",LEFT($F1232,3)="331",LEFT($G1232,3)="331"),$I1232=""),"Thiếu Mã ĐT! ","")&amp;IF(AND($I1232&lt;&gt;"",COUNTIF(DM_DT!$A$7:$A$306,$I1232)=0),"Mã ĐT chưa khai báo! ","")))</f>
        <v/>
      </c>
      <c r="M1232" s="117">
        <f>IF($H1232="","",IF(AND(OR(LEFT($F1232,3)="111",LEFT($F1232,3)="112",LEFT($F1232,3)="113"),OR(LEFT($G1232,3)="111",LEFT($G1232,3)="112",LEFT($G1232,3)="113")),"NB",IF(OR(LEFT($F1232,3)="111",LEFT($F1232,3)="112",LEFT($F1232,3)="113"),"THU",IF(OR(LEFT($G1232,3)="111",LEFT($G1232,3)="112",LEFT($G1232,3)="113"),"CHI",""))))</f>
        <v/>
      </c>
      <c r="N1232" s="117">
        <f>IF($M1232="THU",$G1232,IF($M1232="CHI",$F1232,""))</f>
        <v/>
      </c>
      <c r="O1232" s="117">
        <f>IF(OR($M1232="",$M1232="NB"),"",IF($J1232&lt;&gt;"",TEXT($J1232,"00"),IFERROR(VLOOKUP(LEFT($N1232,4),LCTT_MAP!$A$7:$C$66,IF($M1232="THU",2,3),FALSE()),IFERROR(VLOOKUP(LEFT($N1232,3),LCTT_MAP!$A$7:$C$66,IF($M1232="THU",2,3),FALSE()),IFERROR(VLOOKUP(LEFT($N1232,2),LCTT_MAP!$A$7:$C$66,IF($M1232="THU",2,3),FALSE()),IFERROR(VLOOKUP(LEFT($N1232,1),LCTT_MAP!$A$7:$C$66,IF($M1232="THU",2,3),FALSE()),IF($M1232="THU","06","07")))))))</f>
        <v/>
      </c>
      <c r="P1232" s="117">
        <f>P1231+IF(AND($H1232&lt;&gt;"",OR(LEFT($F1232,LEN(SC_TK))=SC_TK,LEFT($G1232,LEN(SC_TK))=SC_TK)),1,0)</f>
        <v/>
      </c>
    </row>
    <row r="1233" ht="15" customHeight="1" s="78">
      <c r="A1233" s="95">
        <f>IF($H1233="","",ROW()-6)</f>
        <v/>
      </c>
      <c r="B1233" s="114" t="n"/>
      <c r="C1233" s="102" t="n"/>
      <c r="D1233" s="114" t="n"/>
      <c r="E1233" s="103" t="n"/>
      <c r="F1233" s="102" t="n"/>
      <c r="G1233" s="102" t="n"/>
      <c r="H1233" s="115" t="n"/>
      <c r="I1233" s="102" t="n"/>
      <c r="J1233" s="102" t="n"/>
      <c r="K1233" s="103" t="n"/>
      <c r="L1233" s="116">
        <f>IF($H1233="","",TRIM(IF(COUNTIF(DMTK!$A$7:$A$250,$F1233)=0,"TK Nợ sai! ","")&amp;IF(COUNTIF(DMTK!$A$7:$A$250,$G1233)=0,"TK Có sai! ","")&amp;IF(N($H1233)&lt;=0,"Tiền phải &gt; 0! ","")&amp;IF($B1233="","Thiếu ngày! ","")&amp;IF(AND(OR(LEFT($F1233,3)="131",LEFT($G1233,3)="131",LEFT($F1233,3)="331",LEFT($G1233,3)="331"),$I1233=""),"Thiếu Mã ĐT! ","")&amp;IF(AND($I1233&lt;&gt;"",COUNTIF(DM_DT!$A$7:$A$306,$I1233)=0),"Mã ĐT chưa khai báo! ","")))</f>
        <v/>
      </c>
      <c r="M1233" s="117">
        <f>IF($H1233="","",IF(AND(OR(LEFT($F1233,3)="111",LEFT($F1233,3)="112",LEFT($F1233,3)="113"),OR(LEFT($G1233,3)="111",LEFT($G1233,3)="112",LEFT($G1233,3)="113")),"NB",IF(OR(LEFT($F1233,3)="111",LEFT($F1233,3)="112",LEFT($F1233,3)="113"),"THU",IF(OR(LEFT($G1233,3)="111",LEFT($G1233,3)="112",LEFT($G1233,3)="113"),"CHI",""))))</f>
        <v/>
      </c>
      <c r="N1233" s="117">
        <f>IF($M1233="THU",$G1233,IF($M1233="CHI",$F1233,""))</f>
        <v/>
      </c>
      <c r="O1233" s="117">
        <f>IF(OR($M1233="",$M1233="NB"),"",IF($J1233&lt;&gt;"",TEXT($J1233,"00"),IFERROR(VLOOKUP(LEFT($N1233,4),LCTT_MAP!$A$7:$C$66,IF($M1233="THU",2,3),FALSE()),IFERROR(VLOOKUP(LEFT($N1233,3),LCTT_MAP!$A$7:$C$66,IF($M1233="THU",2,3),FALSE()),IFERROR(VLOOKUP(LEFT($N1233,2),LCTT_MAP!$A$7:$C$66,IF($M1233="THU",2,3),FALSE()),IFERROR(VLOOKUP(LEFT($N1233,1),LCTT_MAP!$A$7:$C$66,IF($M1233="THU",2,3),FALSE()),IF($M1233="THU","06","07")))))))</f>
        <v/>
      </c>
      <c r="P1233" s="117">
        <f>P1232+IF(AND($H1233&lt;&gt;"",OR(LEFT($F1233,LEN(SC_TK))=SC_TK,LEFT($G1233,LEN(SC_TK))=SC_TK)),1,0)</f>
        <v/>
      </c>
    </row>
    <row r="1234" ht="15" customHeight="1" s="78">
      <c r="A1234" s="95">
        <f>IF($H1234="","",ROW()-6)</f>
        <v/>
      </c>
      <c r="B1234" s="114" t="n"/>
      <c r="C1234" s="102" t="n"/>
      <c r="D1234" s="114" t="n"/>
      <c r="E1234" s="103" t="n"/>
      <c r="F1234" s="102" t="n"/>
      <c r="G1234" s="102" t="n"/>
      <c r="H1234" s="115" t="n"/>
      <c r="I1234" s="102" t="n"/>
      <c r="J1234" s="102" t="n"/>
      <c r="K1234" s="103" t="n"/>
      <c r="L1234" s="116">
        <f>IF($H1234="","",TRIM(IF(COUNTIF(DMTK!$A$7:$A$250,$F1234)=0,"TK Nợ sai! ","")&amp;IF(COUNTIF(DMTK!$A$7:$A$250,$G1234)=0,"TK Có sai! ","")&amp;IF(N($H1234)&lt;=0,"Tiền phải &gt; 0! ","")&amp;IF($B1234="","Thiếu ngày! ","")&amp;IF(AND(OR(LEFT($F1234,3)="131",LEFT($G1234,3)="131",LEFT($F1234,3)="331",LEFT($G1234,3)="331"),$I1234=""),"Thiếu Mã ĐT! ","")&amp;IF(AND($I1234&lt;&gt;"",COUNTIF(DM_DT!$A$7:$A$306,$I1234)=0),"Mã ĐT chưa khai báo! ","")))</f>
        <v/>
      </c>
      <c r="M1234" s="117">
        <f>IF($H1234="","",IF(AND(OR(LEFT($F1234,3)="111",LEFT($F1234,3)="112",LEFT($F1234,3)="113"),OR(LEFT($G1234,3)="111",LEFT($G1234,3)="112",LEFT($G1234,3)="113")),"NB",IF(OR(LEFT($F1234,3)="111",LEFT($F1234,3)="112",LEFT($F1234,3)="113"),"THU",IF(OR(LEFT($G1234,3)="111",LEFT($G1234,3)="112",LEFT($G1234,3)="113"),"CHI",""))))</f>
        <v/>
      </c>
      <c r="N1234" s="117">
        <f>IF($M1234="THU",$G1234,IF($M1234="CHI",$F1234,""))</f>
        <v/>
      </c>
      <c r="O1234" s="117">
        <f>IF(OR($M1234="",$M1234="NB"),"",IF($J1234&lt;&gt;"",TEXT($J1234,"00"),IFERROR(VLOOKUP(LEFT($N1234,4),LCTT_MAP!$A$7:$C$66,IF($M1234="THU",2,3),FALSE()),IFERROR(VLOOKUP(LEFT($N1234,3),LCTT_MAP!$A$7:$C$66,IF($M1234="THU",2,3),FALSE()),IFERROR(VLOOKUP(LEFT($N1234,2),LCTT_MAP!$A$7:$C$66,IF($M1234="THU",2,3),FALSE()),IFERROR(VLOOKUP(LEFT($N1234,1),LCTT_MAP!$A$7:$C$66,IF($M1234="THU",2,3),FALSE()),IF($M1234="THU","06","07")))))))</f>
        <v/>
      </c>
      <c r="P1234" s="117">
        <f>P1233+IF(AND($H1234&lt;&gt;"",OR(LEFT($F1234,LEN(SC_TK))=SC_TK,LEFT($G1234,LEN(SC_TK))=SC_TK)),1,0)</f>
        <v/>
      </c>
    </row>
    <row r="1235" ht="15" customHeight="1" s="78">
      <c r="A1235" s="95">
        <f>IF($H1235="","",ROW()-6)</f>
        <v/>
      </c>
      <c r="B1235" s="114" t="n"/>
      <c r="C1235" s="102" t="n"/>
      <c r="D1235" s="114" t="n"/>
      <c r="E1235" s="103" t="n"/>
      <c r="F1235" s="102" t="n"/>
      <c r="G1235" s="102" t="n"/>
      <c r="H1235" s="115" t="n"/>
      <c r="I1235" s="102" t="n"/>
      <c r="J1235" s="102" t="n"/>
      <c r="K1235" s="103" t="n"/>
      <c r="L1235" s="116">
        <f>IF($H1235="","",TRIM(IF(COUNTIF(DMTK!$A$7:$A$250,$F1235)=0,"TK Nợ sai! ","")&amp;IF(COUNTIF(DMTK!$A$7:$A$250,$G1235)=0,"TK Có sai! ","")&amp;IF(N($H1235)&lt;=0,"Tiền phải &gt; 0! ","")&amp;IF($B1235="","Thiếu ngày! ","")&amp;IF(AND(OR(LEFT($F1235,3)="131",LEFT($G1235,3)="131",LEFT($F1235,3)="331",LEFT($G1235,3)="331"),$I1235=""),"Thiếu Mã ĐT! ","")&amp;IF(AND($I1235&lt;&gt;"",COUNTIF(DM_DT!$A$7:$A$306,$I1235)=0),"Mã ĐT chưa khai báo! ","")))</f>
        <v/>
      </c>
      <c r="M1235" s="117">
        <f>IF($H1235="","",IF(AND(OR(LEFT($F1235,3)="111",LEFT($F1235,3)="112",LEFT($F1235,3)="113"),OR(LEFT($G1235,3)="111",LEFT($G1235,3)="112",LEFT($G1235,3)="113")),"NB",IF(OR(LEFT($F1235,3)="111",LEFT($F1235,3)="112",LEFT($F1235,3)="113"),"THU",IF(OR(LEFT($G1235,3)="111",LEFT($G1235,3)="112",LEFT($G1235,3)="113"),"CHI",""))))</f>
        <v/>
      </c>
      <c r="N1235" s="117">
        <f>IF($M1235="THU",$G1235,IF($M1235="CHI",$F1235,""))</f>
        <v/>
      </c>
      <c r="O1235" s="117">
        <f>IF(OR($M1235="",$M1235="NB"),"",IF($J1235&lt;&gt;"",TEXT($J1235,"00"),IFERROR(VLOOKUP(LEFT($N1235,4),LCTT_MAP!$A$7:$C$66,IF($M1235="THU",2,3),FALSE()),IFERROR(VLOOKUP(LEFT($N1235,3),LCTT_MAP!$A$7:$C$66,IF($M1235="THU",2,3),FALSE()),IFERROR(VLOOKUP(LEFT($N1235,2),LCTT_MAP!$A$7:$C$66,IF($M1235="THU",2,3),FALSE()),IFERROR(VLOOKUP(LEFT($N1235,1),LCTT_MAP!$A$7:$C$66,IF($M1235="THU",2,3),FALSE()),IF($M1235="THU","06","07")))))))</f>
        <v/>
      </c>
      <c r="P1235" s="117">
        <f>P1234+IF(AND($H1235&lt;&gt;"",OR(LEFT($F1235,LEN(SC_TK))=SC_TK,LEFT($G1235,LEN(SC_TK))=SC_TK)),1,0)</f>
        <v/>
      </c>
    </row>
    <row r="1236" ht="15" customHeight="1" s="78">
      <c r="A1236" s="95">
        <f>IF($H1236="","",ROW()-6)</f>
        <v/>
      </c>
      <c r="B1236" s="114" t="n"/>
      <c r="C1236" s="102" t="n"/>
      <c r="D1236" s="114" t="n"/>
      <c r="E1236" s="103" t="n"/>
      <c r="F1236" s="102" t="n"/>
      <c r="G1236" s="102" t="n"/>
      <c r="H1236" s="115" t="n"/>
      <c r="I1236" s="102" t="n"/>
      <c r="J1236" s="102" t="n"/>
      <c r="K1236" s="103" t="n"/>
      <c r="L1236" s="116">
        <f>IF($H1236="","",TRIM(IF(COUNTIF(DMTK!$A$7:$A$250,$F1236)=0,"TK Nợ sai! ","")&amp;IF(COUNTIF(DMTK!$A$7:$A$250,$G1236)=0,"TK Có sai! ","")&amp;IF(N($H1236)&lt;=0,"Tiền phải &gt; 0! ","")&amp;IF($B1236="","Thiếu ngày! ","")&amp;IF(AND(OR(LEFT($F1236,3)="131",LEFT($G1236,3)="131",LEFT($F1236,3)="331",LEFT($G1236,3)="331"),$I1236=""),"Thiếu Mã ĐT! ","")&amp;IF(AND($I1236&lt;&gt;"",COUNTIF(DM_DT!$A$7:$A$306,$I1236)=0),"Mã ĐT chưa khai báo! ","")))</f>
        <v/>
      </c>
      <c r="M1236" s="117">
        <f>IF($H1236="","",IF(AND(OR(LEFT($F1236,3)="111",LEFT($F1236,3)="112",LEFT($F1236,3)="113"),OR(LEFT($G1236,3)="111",LEFT($G1236,3)="112",LEFT($G1236,3)="113")),"NB",IF(OR(LEFT($F1236,3)="111",LEFT($F1236,3)="112",LEFT($F1236,3)="113"),"THU",IF(OR(LEFT($G1236,3)="111",LEFT($G1236,3)="112",LEFT($G1236,3)="113"),"CHI",""))))</f>
        <v/>
      </c>
      <c r="N1236" s="117">
        <f>IF($M1236="THU",$G1236,IF($M1236="CHI",$F1236,""))</f>
        <v/>
      </c>
      <c r="O1236" s="117">
        <f>IF(OR($M1236="",$M1236="NB"),"",IF($J1236&lt;&gt;"",TEXT($J1236,"00"),IFERROR(VLOOKUP(LEFT($N1236,4),LCTT_MAP!$A$7:$C$66,IF($M1236="THU",2,3),FALSE()),IFERROR(VLOOKUP(LEFT($N1236,3),LCTT_MAP!$A$7:$C$66,IF($M1236="THU",2,3),FALSE()),IFERROR(VLOOKUP(LEFT($N1236,2),LCTT_MAP!$A$7:$C$66,IF($M1236="THU",2,3),FALSE()),IFERROR(VLOOKUP(LEFT($N1236,1),LCTT_MAP!$A$7:$C$66,IF($M1236="THU",2,3),FALSE()),IF($M1236="THU","06","07")))))))</f>
        <v/>
      </c>
      <c r="P1236" s="117">
        <f>P1235+IF(AND($H1236&lt;&gt;"",OR(LEFT($F1236,LEN(SC_TK))=SC_TK,LEFT($G1236,LEN(SC_TK))=SC_TK)),1,0)</f>
        <v/>
      </c>
    </row>
    <row r="1237" ht="15" customHeight="1" s="78">
      <c r="A1237" s="95">
        <f>IF($H1237="","",ROW()-6)</f>
        <v/>
      </c>
      <c r="B1237" s="114" t="n"/>
      <c r="C1237" s="102" t="n"/>
      <c r="D1237" s="114" t="n"/>
      <c r="E1237" s="103" t="n"/>
      <c r="F1237" s="102" t="n"/>
      <c r="G1237" s="102" t="n"/>
      <c r="H1237" s="115" t="n"/>
      <c r="I1237" s="102" t="n"/>
      <c r="J1237" s="102" t="n"/>
      <c r="K1237" s="103" t="n"/>
      <c r="L1237" s="116">
        <f>IF($H1237="","",TRIM(IF(COUNTIF(DMTK!$A$7:$A$250,$F1237)=0,"TK Nợ sai! ","")&amp;IF(COUNTIF(DMTK!$A$7:$A$250,$G1237)=0,"TK Có sai! ","")&amp;IF(N($H1237)&lt;=0,"Tiền phải &gt; 0! ","")&amp;IF($B1237="","Thiếu ngày! ","")&amp;IF(AND(OR(LEFT($F1237,3)="131",LEFT($G1237,3)="131",LEFT($F1237,3)="331",LEFT($G1237,3)="331"),$I1237=""),"Thiếu Mã ĐT! ","")&amp;IF(AND($I1237&lt;&gt;"",COUNTIF(DM_DT!$A$7:$A$306,$I1237)=0),"Mã ĐT chưa khai báo! ","")))</f>
        <v/>
      </c>
      <c r="M1237" s="117">
        <f>IF($H1237="","",IF(AND(OR(LEFT($F1237,3)="111",LEFT($F1237,3)="112",LEFT($F1237,3)="113"),OR(LEFT($G1237,3)="111",LEFT($G1237,3)="112",LEFT($G1237,3)="113")),"NB",IF(OR(LEFT($F1237,3)="111",LEFT($F1237,3)="112",LEFT($F1237,3)="113"),"THU",IF(OR(LEFT($G1237,3)="111",LEFT($G1237,3)="112",LEFT($G1237,3)="113"),"CHI",""))))</f>
        <v/>
      </c>
      <c r="N1237" s="117">
        <f>IF($M1237="THU",$G1237,IF($M1237="CHI",$F1237,""))</f>
        <v/>
      </c>
      <c r="O1237" s="117">
        <f>IF(OR($M1237="",$M1237="NB"),"",IF($J1237&lt;&gt;"",TEXT($J1237,"00"),IFERROR(VLOOKUP(LEFT($N1237,4),LCTT_MAP!$A$7:$C$66,IF($M1237="THU",2,3),FALSE()),IFERROR(VLOOKUP(LEFT($N1237,3),LCTT_MAP!$A$7:$C$66,IF($M1237="THU",2,3),FALSE()),IFERROR(VLOOKUP(LEFT($N1237,2),LCTT_MAP!$A$7:$C$66,IF($M1237="THU",2,3),FALSE()),IFERROR(VLOOKUP(LEFT($N1237,1),LCTT_MAP!$A$7:$C$66,IF($M1237="THU",2,3),FALSE()),IF($M1237="THU","06","07")))))))</f>
        <v/>
      </c>
      <c r="P1237" s="117">
        <f>P1236+IF(AND($H1237&lt;&gt;"",OR(LEFT($F1237,LEN(SC_TK))=SC_TK,LEFT($G1237,LEN(SC_TK))=SC_TK)),1,0)</f>
        <v/>
      </c>
    </row>
    <row r="1238" ht="15" customHeight="1" s="78">
      <c r="A1238" s="95">
        <f>IF($H1238="","",ROW()-6)</f>
        <v/>
      </c>
      <c r="B1238" s="114" t="n"/>
      <c r="C1238" s="102" t="n"/>
      <c r="D1238" s="114" t="n"/>
      <c r="E1238" s="103" t="n"/>
      <c r="F1238" s="102" t="n"/>
      <c r="G1238" s="102" t="n"/>
      <c r="H1238" s="115" t="n"/>
      <c r="I1238" s="102" t="n"/>
      <c r="J1238" s="102" t="n"/>
      <c r="K1238" s="103" t="n"/>
      <c r="L1238" s="116">
        <f>IF($H1238="","",TRIM(IF(COUNTIF(DMTK!$A$7:$A$250,$F1238)=0,"TK Nợ sai! ","")&amp;IF(COUNTIF(DMTK!$A$7:$A$250,$G1238)=0,"TK Có sai! ","")&amp;IF(N($H1238)&lt;=0,"Tiền phải &gt; 0! ","")&amp;IF($B1238="","Thiếu ngày! ","")&amp;IF(AND(OR(LEFT($F1238,3)="131",LEFT($G1238,3)="131",LEFT($F1238,3)="331",LEFT($G1238,3)="331"),$I1238=""),"Thiếu Mã ĐT! ","")&amp;IF(AND($I1238&lt;&gt;"",COUNTIF(DM_DT!$A$7:$A$306,$I1238)=0),"Mã ĐT chưa khai báo! ","")))</f>
        <v/>
      </c>
      <c r="M1238" s="117">
        <f>IF($H1238="","",IF(AND(OR(LEFT($F1238,3)="111",LEFT($F1238,3)="112",LEFT($F1238,3)="113"),OR(LEFT($G1238,3)="111",LEFT($G1238,3)="112",LEFT($G1238,3)="113")),"NB",IF(OR(LEFT($F1238,3)="111",LEFT($F1238,3)="112",LEFT($F1238,3)="113"),"THU",IF(OR(LEFT($G1238,3)="111",LEFT($G1238,3)="112",LEFT($G1238,3)="113"),"CHI",""))))</f>
        <v/>
      </c>
      <c r="N1238" s="117">
        <f>IF($M1238="THU",$G1238,IF($M1238="CHI",$F1238,""))</f>
        <v/>
      </c>
      <c r="O1238" s="117">
        <f>IF(OR($M1238="",$M1238="NB"),"",IF($J1238&lt;&gt;"",TEXT($J1238,"00"),IFERROR(VLOOKUP(LEFT($N1238,4),LCTT_MAP!$A$7:$C$66,IF($M1238="THU",2,3),FALSE()),IFERROR(VLOOKUP(LEFT($N1238,3),LCTT_MAP!$A$7:$C$66,IF($M1238="THU",2,3),FALSE()),IFERROR(VLOOKUP(LEFT($N1238,2),LCTT_MAP!$A$7:$C$66,IF($M1238="THU",2,3),FALSE()),IFERROR(VLOOKUP(LEFT($N1238,1),LCTT_MAP!$A$7:$C$66,IF($M1238="THU",2,3),FALSE()),IF($M1238="THU","06","07")))))))</f>
        <v/>
      </c>
      <c r="P1238" s="117">
        <f>P1237+IF(AND($H1238&lt;&gt;"",OR(LEFT($F1238,LEN(SC_TK))=SC_TK,LEFT($G1238,LEN(SC_TK))=SC_TK)),1,0)</f>
        <v/>
      </c>
    </row>
    <row r="1239" ht="15" customHeight="1" s="78">
      <c r="A1239" s="95">
        <f>IF($H1239="","",ROW()-6)</f>
        <v/>
      </c>
      <c r="B1239" s="114" t="n"/>
      <c r="C1239" s="102" t="n"/>
      <c r="D1239" s="114" t="n"/>
      <c r="E1239" s="103" t="n"/>
      <c r="F1239" s="102" t="n"/>
      <c r="G1239" s="102" t="n"/>
      <c r="H1239" s="115" t="n"/>
      <c r="I1239" s="102" t="n"/>
      <c r="J1239" s="102" t="n"/>
      <c r="K1239" s="103" t="n"/>
      <c r="L1239" s="116">
        <f>IF($H1239="","",TRIM(IF(COUNTIF(DMTK!$A$7:$A$250,$F1239)=0,"TK Nợ sai! ","")&amp;IF(COUNTIF(DMTK!$A$7:$A$250,$G1239)=0,"TK Có sai! ","")&amp;IF(N($H1239)&lt;=0,"Tiền phải &gt; 0! ","")&amp;IF($B1239="","Thiếu ngày! ","")&amp;IF(AND(OR(LEFT($F1239,3)="131",LEFT($G1239,3)="131",LEFT($F1239,3)="331",LEFT($G1239,3)="331"),$I1239=""),"Thiếu Mã ĐT! ","")&amp;IF(AND($I1239&lt;&gt;"",COUNTIF(DM_DT!$A$7:$A$306,$I1239)=0),"Mã ĐT chưa khai báo! ","")))</f>
        <v/>
      </c>
      <c r="M1239" s="117">
        <f>IF($H1239="","",IF(AND(OR(LEFT($F1239,3)="111",LEFT($F1239,3)="112",LEFT($F1239,3)="113"),OR(LEFT($G1239,3)="111",LEFT($G1239,3)="112",LEFT($G1239,3)="113")),"NB",IF(OR(LEFT($F1239,3)="111",LEFT($F1239,3)="112",LEFT($F1239,3)="113"),"THU",IF(OR(LEFT($G1239,3)="111",LEFT($G1239,3)="112",LEFT($G1239,3)="113"),"CHI",""))))</f>
        <v/>
      </c>
      <c r="N1239" s="117">
        <f>IF($M1239="THU",$G1239,IF($M1239="CHI",$F1239,""))</f>
        <v/>
      </c>
      <c r="O1239" s="117">
        <f>IF(OR($M1239="",$M1239="NB"),"",IF($J1239&lt;&gt;"",TEXT($J1239,"00"),IFERROR(VLOOKUP(LEFT($N1239,4),LCTT_MAP!$A$7:$C$66,IF($M1239="THU",2,3),FALSE()),IFERROR(VLOOKUP(LEFT($N1239,3),LCTT_MAP!$A$7:$C$66,IF($M1239="THU",2,3),FALSE()),IFERROR(VLOOKUP(LEFT($N1239,2),LCTT_MAP!$A$7:$C$66,IF($M1239="THU",2,3),FALSE()),IFERROR(VLOOKUP(LEFT($N1239,1),LCTT_MAP!$A$7:$C$66,IF($M1239="THU",2,3),FALSE()),IF($M1239="THU","06","07")))))))</f>
        <v/>
      </c>
      <c r="P1239" s="117">
        <f>P1238+IF(AND($H1239&lt;&gt;"",OR(LEFT($F1239,LEN(SC_TK))=SC_TK,LEFT($G1239,LEN(SC_TK))=SC_TK)),1,0)</f>
        <v/>
      </c>
    </row>
    <row r="1240" ht="15" customHeight="1" s="78">
      <c r="A1240" s="95">
        <f>IF($H1240="","",ROW()-6)</f>
        <v/>
      </c>
      <c r="B1240" s="114" t="n"/>
      <c r="C1240" s="102" t="n"/>
      <c r="D1240" s="114" t="n"/>
      <c r="E1240" s="103" t="n"/>
      <c r="F1240" s="102" t="n"/>
      <c r="G1240" s="102" t="n"/>
      <c r="H1240" s="115" t="n"/>
      <c r="I1240" s="102" t="n"/>
      <c r="J1240" s="102" t="n"/>
      <c r="K1240" s="103" t="n"/>
      <c r="L1240" s="116">
        <f>IF($H1240="","",TRIM(IF(COUNTIF(DMTK!$A$7:$A$250,$F1240)=0,"TK Nợ sai! ","")&amp;IF(COUNTIF(DMTK!$A$7:$A$250,$G1240)=0,"TK Có sai! ","")&amp;IF(N($H1240)&lt;=0,"Tiền phải &gt; 0! ","")&amp;IF($B1240="","Thiếu ngày! ","")&amp;IF(AND(OR(LEFT($F1240,3)="131",LEFT($G1240,3)="131",LEFT($F1240,3)="331",LEFT($G1240,3)="331"),$I1240=""),"Thiếu Mã ĐT! ","")&amp;IF(AND($I1240&lt;&gt;"",COUNTIF(DM_DT!$A$7:$A$306,$I1240)=0),"Mã ĐT chưa khai báo! ","")))</f>
        <v/>
      </c>
      <c r="M1240" s="117">
        <f>IF($H1240="","",IF(AND(OR(LEFT($F1240,3)="111",LEFT($F1240,3)="112",LEFT($F1240,3)="113"),OR(LEFT($G1240,3)="111",LEFT($G1240,3)="112",LEFT($G1240,3)="113")),"NB",IF(OR(LEFT($F1240,3)="111",LEFT($F1240,3)="112",LEFT($F1240,3)="113"),"THU",IF(OR(LEFT($G1240,3)="111",LEFT($G1240,3)="112",LEFT($G1240,3)="113"),"CHI",""))))</f>
        <v/>
      </c>
      <c r="N1240" s="117">
        <f>IF($M1240="THU",$G1240,IF($M1240="CHI",$F1240,""))</f>
        <v/>
      </c>
      <c r="O1240" s="117">
        <f>IF(OR($M1240="",$M1240="NB"),"",IF($J1240&lt;&gt;"",TEXT($J1240,"00"),IFERROR(VLOOKUP(LEFT($N1240,4),LCTT_MAP!$A$7:$C$66,IF($M1240="THU",2,3),FALSE()),IFERROR(VLOOKUP(LEFT($N1240,3),LCTT_MAP!$A$7:$C$66,IF($M1240="THU",2,3),FALSE()),IFERROR(VLOOKUP(LEFT($N1240,2),LCTT_MAP!$A$7:$C$66,IF($M1240="THU",2,3),FALSE()),IFERROR(VLOOKUP(LEFT($N1240,1),LCTT_MAP!$A$7:$C$66,IF($M1240="THU",2,3),FALSE()),IF($M1240="THU","06","07")))))))</f>
        <v/>
      </c>
      <c r="P1240" s="117">
        <f>P1239+IF(AND($H1240&lt;&gt;"",OR(LEFT($F1240,LEN(SC_TK))=SC_TK,LEFT($G1240,LEN(SC_TK))=SC_TK)),1,0)</f>
        <v/>
      </c>
    </row>
    <row r="1241" ht="15" customHeight="1" s="78">
      <c r="A1241" s="95">
        <f>IF($H1241="","",ROW()-6)</f>
        <v/>
      </c>
      <c r="B1241" s="114" t="n"/>
      <c r="C1241" s="102" t="n"/>
      <c r="D1241" s="114" t="n"/>
      <c r="E1241" s="103" t="n"/>
      <c r="F1241" s="102" t="n"/>
      <c r="G1241" s="102" t="n"/>
      <c r="H1241" s="115" t="n"/>
      <c r="I1241" s="102" t="n"/>
      <c r="J1241" s="102" t="n"/>
      <c r="K1241" s="103" t="n"/>
      <c r="L1241" s="116">
        <f>IF($H1241="","",TRIM(IF(COUNTIF(DMTK!$A$7:$A$250,$F1241)=0,"TK Nợ sai! ","")&amp;IF(COUNTIF(DMTK!$A$7:$A$250,$G1241)=0,"TK Có sai! ","")&amp;IF(N($H1241)&lt;=0,"Tiền phải &gt; 0! ","")&amp;IF($B1241="","Thiếu ngày! ","")&amp;IF(AND(OR(LEFT($F1241,3)="131",LEFT($G1241,3)="131",LEFT($F1241,3)="331",LEFT($G1241,3)="331"),$I1241=""),"Thiếu Mã ĐT! ","")&amp;IF(AND($I1241&lt;&gt;"",COUNTIF(DM_DT!$A$7:$A$306,$I1241)=0),"Mã ĐT chưa khai báo! ","")))</f>
        <v/>
      </c>
      <c r="M1241" s="117">
        <f>IF($H1241="","",IF(AND(OR(LEFT($F1241,3)="111",LEFT($F1241,3)="112",LEFT($F1241,3)="113"),OR(LEFT($G1241,3)="111",LEFT($G1241,3)="112",LEFT($G1241,3)="113")),"NB",IF(OR(LEFT($F1241,3)="111",LEFT($F1241,3)="112",LEFT($F1241,3)="113"),"THU",IF(OR(LEFT($G1241,3)="111",LEFT($G1241,3)="112",LEFT($G1241,3)="113"),"CHI",""))))</f>
        <v/>
      </c>
      <c r="N1241" s="117">
        <f>IF($M1241="THU",$G1241,IF($M1241="CHI",$F1241,""))</f>
        <v/>
      </c>
      <c r="O1241" s="117">
        <f>IF(OR($M1241="",$M1241="NB"),"",IF($J1241&lt;&gt;"",TEXT($J1241,"00"),IFERROR(VLOOKUP(LEFT($N1241,4),LCTT_MAP!$A$7:$C$66,IF($M1241="THU",2,3),FALSE()),IFERROR(VLOOKUP(LEFT($N1241,3),LCTT_MAP!$A$7:$C$66,IF($M1241="THU",2,3),FALSE()),IFERROR(VLOOKUP(LEFT($N1241,2),LCTT_MAP!$A$7:$C$66,IF($M1241="THU",2,3),FALSE()),IFERROR(VLOOKUP(LEFT($N1241,1),LCTT_MAP!$A$7:$C$66,IF($M1241="THU",2,3),FALSE()),IF($M1241="THU","06","07")))))))</f>
        <v/>
      </c>
      <c r="P1241" s="117">
        <f>P1240+IF(AND($H1241&lt;&gt;"",OR(LEFT($F1241,LEN(SC_TK))=SC_TK,LEFT($G1241,LEN(SC_TK))=SC_TK)),1,0)</f>
        <v/>
      </c>
    </row>
    <row r="1242" ht="15" customHeight="1" s="78">
      <c r="A1242" s="95">
        <f>IF($H1242="","",ROW()-6)</f>
        <v/>
      </c>
      <c r="B1242" s="114" t="n"/>
      <c r="C1242" s="102" t="n"/>
      <c r="D1242" s="114" t="n"/>
      <c r="E1242" s="103" t="n"/>
      <c r="F1242" s="102" t="n"/>
      <c r="G1242" s="102" t="n"/>
      <c r="H1242" s="115" t="n"/>
      <c r="I1242" s="102" t="n"/>
      <c r="J1242" s="102" t="n"/>
      <c r="K1242" s="103" t="n"/>
      <c r="L1242" s="116">
        <f>IF($H1242="","",TRIM(IF(COUNTIF(DMTK!$A$7:$A$250,$F1242)=0,"TK Nợ sai! ","")&amp;IF(COUNTIF(DMTK!$A$7:$A$250,$G1242)=0,"TK Có sai! ","")&amp;IF(N($H1242)&lt;=0,"Tiền phải &gt; 0! ","")&amp;IF($B1242="","Thiếu ngày! ","")&amp;IF(AND(OR(LEFT($F1242,3)="131",LEFT($G1242,3)="131",LEFT($F1242,3)="331",LEFT($G1242,3)="331"),$I1242=""),"Thiếu Mã ĐT! ","")&amp;IF(AND($I1242&lt;&gt;"",COUNTIF(DM_DT!$A$7:$A$306,$I1242)=0),"Mã ĐT chưa khai báo! ","")))</f>
        <v/>
      </c>
      <c r="M1242" s="117">
        <f>IF($H1242="","",IF(AND(OR(LEFT($F1242,3)="111",LEFT($F1242,3)="112",LEFT($F1242,3)="113"),OR(LEFT($G1242,3)="111",LEFT($G1242,3)="112",LEFT($G1242,3)="113")),"NB",IF(OR(LEFT($F1242,3)="111",LEFT($F1242,3)="112",LEFT($F1242,3)="113"),"THU",IF(OR(LEFT($G1242,3)="111",LEFT($G1242,3)="112",LEFT($G1242,3)="113"),"CHI",""))))</f>
        <v/>
      </c>
      <c r="N1242" s="117">
        <f>IF($M1242="THU",$G1242,IF($M1242="CHI",$F1242,""))</f>
        <v/>
      </c>
      <c r="O1242" s="117">
        <f>IF(OR($M1242="",$M1242="NB"),"",IF($J1242&lt;&gt;"",TEXT($J1242,"00"),IFERROR(VLOOKUP(LEFT($N1242,4),LCTT_MAP!$A$7:$C$66,IF($M1242="THU",2,3),FALSE()),IFERROR(VLOOKUP(LEFT($N1242,3),LCTT_MAP!$A$7:$C$66,IF($M1242="THU",2,3),FALSE()),IFERROR(VLOOKUP(LEFT($N1242,2),LCTT_MAP!$A$7:$C$66,IF($M1242="THU",2,3),FALSE()),IFERROR(VLOOKUP(LEFT($N1242,1),LCTT_MAP!$A$7:$C$66,IF($M1242="THU",2,3),FALSE()),IF($M1242="THU","06","07")))))))</f>
        <v/>
      </c>
      <c r="P1242" s="117">
        <f>P1241+IF(AND($H1242&lt;&gt;"",OR(LEFT($F1242,LEN(SC_TK))=SC_TK,LEFT($G1242,LEN(SC_TK))=SC_TK)),1,0)</f>
        <v/>
      </c>
    </row>
    <row r="1243" ht="15" customHeight="1" s="78">
      <c r="A1243" s="95">
        <f>IF($H1243="","",ROW()-6)</f>
        <v/>
      </c>
      <c r="B1243" s="114" t="n"/>
      <c r="C1243" s="102" t="n"/>
      <c r="D1243" s="114" t="n"/>
      <c r="E1243" s="103" t="n"/>
      <c r="F1243" s="102" t="n"/>
      <c r="G1243" s="102" t="n"/>
      <c r="H1243" s="115" t="n"/>
      <c r="I1243" s="102" t="n"/>
      <c r="J1243" s="102" t="n"/>
      <c r="K1243" s="103" t="n"/>
      <c r="L1243" s="116">
        <f>IF($H1243="","",TRIM(IF(COUNTIF(DMTK!$A$7:$A$250,$F1243)=0,"TK Nợ sai! ","")&amp;IF(COUNTIF(DMTK!$A$7:$A$250,$G1243)=0,"TK Có sai! ","")&amp;IF(N($H1243)&lt;=0,"Tiền phải &gt; 0! ","")&amp;IF($B1243="","Thiếu ngày! ","")&amp;IF(AND(OR(LEFT($F1243,3)="131",LEFT($G1243,3)="131",LEFT($F1243,3)="331",LEFT($G1243,3)="331"),$I1243=""),"Thiếu Mã ĐT! ","")&amp;IF(AND($I1243&lt;&gt;"",COUNTIF(DM_DT!$A$7:$A$306,$I1243)=0),"Mã ĐT chưa khai báo! ","")))</f>
        <v/>
      </c>
      <c r="M1243" s="117">
        <f>IF($H1243="","",IF(AND(OR(LEFT($F1243,3)="111",LEFT($F1243,3)="112",LEFT($F1243,3)="113"),OR(LEFT($G1243,3)="111",LEFT($G1243,3)="112",LEFT($G1243,3)="113")),"NB",IF(OR(LEFT($F1243,3)="111",LEFT($F1243,3)="112",LEFT($F1243,3)="113"),"THU",IF(OR(LEFT($G1243,3)="111",LEFT($G1243,3)="112",LEFT($G1243,3)="113"),"CHI",""))))</f>
        <v/>
      </c>
      <c r="N1243" s="117">
        <f>IF($M1243="THU",$G1243,IF($M1243="CHI",$F1243,""))</f>
        <v/>
      </c>
      <c r="O1243" s="117">
        <f>IF(OR($M1243="",$M1243="NB"),"",IF($J1243&lt;&gt;"",TEXT($J1243,"00"),IFERROR(VLOOKUP(LEFT($N1243,4),LCTT_MAP!$A$7:$C$66,IF($M1243="THU",2,3),FALSE()),IFERROR(VLOOKUP(LEFT($N1243,3),LCTT_MAP!$A$7:$C$66,IF($M1243="THU",2,3),FALSE()),IFERROR(VLOOKUP(LEFT($N1243,2),LCTT_MAP!$A$7:$C$66,IF($M1243="THU",2,3),FALSE()),IFERROR(VLOOKUP(LEFT($N1243,1),LCTT_MAP!$A$7:$C$66,IF($M1243="THU",2,3),FALSE()),IF($M1243="THU","06","07")))))))</f>
        <v/>
      </c>
      <c r="P1243" s="117">
        <f>P1242+IF(AND($H1243&lt;&gt;"",OR(LEFT($F1243,LEN(SC_TK))=SC_TK,LEFT($G1243,LEN(SC_TK))=SC_TK)),1,0)</f>
        <v/>
      </c>
    </row>
    <row r="1244" ht="15" customHeight="1" s="78">
      <c r="A1244" s="95">
        <f>IF($H1244="","",ROW()-6)</f>
        <v/>
      </c>
      <c r="B1244" s="114" t="n"/>
      <c r="C1244" s="102" t="n"/>
      <c r="D1244" s="114" t="n"/>
      <c r="E1244" s="103" t="n"/>
      <c r="F1244" s="102" t="n"/>
      <c r="G1244" s="102" t="n"/>
      <c r="H1244" s="115" t="n"/>
      <c r="I1244" s="102" t="n"/>
      <c r="J1244" s="102" t="n"/>
      <c r="K1244" s="103" t="n"/>
      <c r="L1244" s="116">
        <f>IF($H1244="","",TRIM(IF(COUNTIF(DMTK!$A$7:$A$250,$F1244)=0,"TK Nợ sai! ","")&amp;IF(COUNTIF(DMTK!$A$7:$A$250,$G1244)=0,"TK Có sai! ","")&amp;IF(N($H1244)&lt;=0,"Tiền phải &gt; 0! ","")&amp;IF($B1244="","Thiếu ngày! ","")&amp;IF(AND(OR(LEFT($F1244,3)="131",LEFT($G1244,3)="131",LEFT($F1244,3)="331",LEFT($G1244,3)="331"),$I1244=""),"Thiếu Mã ĐT! ","")&amp;IF(AND($I1244&lt;&gt;"",COUNTIF(DM_DT!$A$7:$A$306,$I1244)=0),"Mã ĐT chưa khai báo! ","")))</f>
        <v/>
      </c>
      <c r="M1244" s="117">
        <f>IF($H1244="","",IF(AND(OR(LEFT($F1244,3)="111",LEFT($F1244,3)="112",LEFT($F1244,3)="113"),OR(LEFT($G1244,3)="111",LEFT($G1244,3)="112",LEFT($G1244,3)="113")),"NB",IF(OR(LEFT($F1244,3)="111",LEFT($F1244,3)="112",LEFT($F1244,3)="113"),"THU",IF(OR(LEFT($G1244,3)="111",LEFT($G1244,3)="112",LEFT($G1244,3)="113"),"CHI",""))))</f>
        <v/>
      </c>
      <c r="N1244" s="117">
        <f>IF($M1244="THU",$G1244,IF($M1244="CHI",$F1244,""))</f>
        <v/>
      </c>
      <c r="O1244" s="117">
        <f>IF(OR($M1244="",$M1244="NB"),"",IF($J1244&lt;&gt;"",TEXT($J1244,"00"),IFERROR(VLOOKUP(LEFT($N1244,4),LCTT_MAP!$A$7:$C$66,IF($M1244="THU",2,3),FALSE()),IFERROR(VLOOKUP(LEFT($N1244,3),LCTT_MAP!$A$7:$C$66,IF($M1244="THU",2,3),FALSE()),IFERROR(VLOOKUP(LEFT($N1244,2),LCTT_MAP!$A$7:$C$66,IF($M1244="THU",2,3),FALSE()),IFERROR(VLOOKUP(LEFT($N1244,1),LCTT_MAP!$A$7:$C$66,IF($M1244="THU",2,3),FALSE()),IF($M1244="THU","06","07")))))))</f>
        <v/>
      </c>
      <c r="P1244" s="117">
        <f>P1243+IF(AND($H1244&lt;&gt;"",OR(LEFT($F1244,LEN(SC_TK))=SC_TK,LEFT($G1244,LEN(SC_TK))=SC_TK)),1,0)</f>
        <v/>
      </c>
    </row>
    <row r="1245" ht="15" customHeight="1" s="78">
      <c r="A1245" s="95">
        <f>IF($H1245="","",ROW()-6)</f>
        <v/>
      </c>
      <c r="B1245" s="114" t="n"/>
      <c r="C1245" s="102" t="n"/>
      <c r="D1245" s="114" t="n"/>
      <c r="E1245" s="103" t="n"/>
      <c r="F1245" s="102" t="n"/>
      <c r="G1245" s="102" t="n"/>
      <c r="H1245" s="115" t="n"/>
      <c r="I1245" s="102" t="n"/>
      <c r="J1245" s="102" t="n"/>
      <c r="K1245" s="103" t="n"/>
      <c r="L1245" s="116">
        <f>IF($H1245="","",TRIM(IF(COUNTIF(DMTK!$A$7:$A$250,$F1245)=0,"TK Nợ sai! ","")&amp;IF(COUNTIF(DMTK!$A$7:$A$250,$G1245)=0,"TK Có sai! ","")&amp;IF(N($H1245)&lt;=0,"Tiền phải &gt; 0! ","")&amp;IF($B1245="","Thiếu ngày! ","")&amp;IF(AND(OR(LEFT($F1245,3)="131",LEFT($G1245,3)="131",LEFT($F1245,3)="331",LEFT($G1245,3)="331"),$I1245=""),"Thiếu Mã ĐT! ","")&amp;IF(AND($I1245&lt;&gt;"",COUNTIF(DM_DT!$A$7:$A$306,$I1245)=0),"Mã ĐT chưa khai báo! ","")))</f>
        <v/>
      </c>
      <c r="M1245" s="117">
        <f>IF($H1245="","",IF(AND(OR(LEFT($F1245,3)="111",LEFT($F1245,3)="112",LEFT($F1245,3)="113"),OR(LEFT($G1245,3)="111",LEFT($G1245,3)="112",LEFT($G1245,3)="113")),"NB",IF(OR(LEFT($F1245,3)="111",LEFT($F1245,3)="112",LEFT($F1245,3)="113"),"THU",IF(OR(LEFT($G1245,3)="111",LEFT($G1245,3)="112",LEFT($G1245,3)="113"),"CHI",""))))</f>
        <v/>
      </c>
      <c r="N1245" s="117">
        <f>IF($M1245="THU",$G1245,IF($M1245="CHI",$F1245,""))</f>
        <v/>
      </c>
      <c r="O1245" s="117">
        <f>IF(OR($M1245="",$M1245="NB"),"",IF($J1245&lt;&gt;"",TEXT($J1245,"00"),IFERROR(VLOOKUP(LEFT($N1245,4),LCTT_MAP!$A$7:$C$66,IF($M1245="THU",2,3),FALSE()),IFERROR(VLOOKUP(LEFT($N1245,3),LCTT_MAP!$A$7:$C$66,IF($M1245="THU",2,3),FALSE()),IFERROR(VLOOKUP(LEFT($N1245,2),LCTT_MAP!$A$7:$C$66,IF($M1245="THU",2,3),FALSE()),IFERROR(VLOOKUP(LEFT($N1245,1),LCTT_MAP!$A$7:$C$66,IF($M1245="THU",2,3),FALSE()),IF($M1245="THU","06","07")))))))</f>
        <v/>
      </c>
      <c r="P1245" s="117">
        <f>P1244+IF(AND($H1245&lt;&gt;"",OR(LEFT($F1245,LEN(SC_TK))=SC_TK,LEFT($G1245,LEN(SC_TK))=SC_TK)),1,0)</f>
        <v/>
      </c>
    </row>
    <row r="1246" ht="15" customHeight="1" s="78">
      <c r="A1246" s="95">
        <f>IF($H1246="","",ROW()-6)</f>
        <v/>
      </c>
      <c r="B1246" s="114" t="n"/>
      <c r="C1246" s="102" t="n"/>
      <c r="D1246" s="114" t="n"/>
      <c r="E1246" s="103" t="n"/>
      <c r="F1246" s="102" t="n"/>
      <c r="G1246" s="102" t="n"/>
      <c r="H1246" s="115" t="n"/>
      <c r="I1246" s="102" t="n"/>
      <c r="J1246" s="102" t="n"/>
      <c r="K1246" s="103" t="n"/>
      <c r="L1246" s="116">
        <f>IF($H1246="","",TRIM(IF(COUNTIF(DMTK!$A$7:$A$250,$F1246)=0,"TK Nợ sai! ","")&amp;IF(COUNTIF(DMTK!$A$7:$A$250,$G1246)=0,"TK Có sai! ","")&amp;IF(N($H1246)&lt;=0,"Tiền phải &gt; 0! ","")&amp;IF($B1246="","Thiếu ngày! ","")&amp;IF(AND(OR(LEFT($F1246,3)="131",LEFT($G1246,3)="131",LEFT($F1246,3)="331",LEFT($G1246,3)="331"),$I1246=""),"Thiếu Mã ĐT! ","")&amp;IF(AND($I1246&lt;&gt;"",COUNTIF(DM_DT!$A$7:$A$306,$I1246)=0),"Mã ĐT chưa khai báo! ","")))</f>
        <v/>
      </c>
      <c r="M1246" s="117">
        <f>IF($H1246="","",IF(AND(OR(LEFT($F1246,3)="111",LEFT($F1246,3)="112",LEFT($F1246,3)="113"),OR(LEFT($G1246,3)="111",LEFT($G1246,3)="112",LEFT($G1246,3)="113")),"NB",IF(OR(LEFT($F1246,3)="111",LEFT($F1246,3)="112",LEFT($F1246,3)="113"),"THU",IF(OR(LEFT($G1246,3)="111",LEFT($G1246,3)="112",LEFT($G1246,3)="113"),"CHI",""))))</f>
        <v/>
      </c>
      <c r="N1246" s="117">
        <f>IF($M1246="THU",$G1246,IF($M1246="CHI",$F1246,""))</f>
        <v/>
      </c>
      <c r="O1246" s="117">
        <f>IF(OR($M1246="",$M1246="NB"),"",IF($J1246&lt;&gt;"",TEXT($J1246,"00"),IFERROR(VLOOKUP(LEFT($N1246,4),LCTT_MAP!$A$7:$C$66,IF($M1246="THU",2,3),FALSE()),IFERROR(VLOOKUP(LEFT($N1246,3),LCTT_MAP!$A$7:$C$66,IF($M1246="THU",2,3),FALSE()),IFERROR(VLOOKUP(LEFT($N1246,2),LCTT_MAP!$A$7:$C$66,IF($M1246="THU",2,3),FALSE()),IFERROR(VLOOKUP(LEFT($N1246,1),LCTT_MAP!$A$7:$C$66,IF($M1246="THU",2,3),FALSE()),IF($M1246="THU","06","07")))))))</f>
        <v/>
      </c>
      <c r="P1246" s="117">
        <f>P1245+IF(AND($H1246&lt;&gt;"",OR(LEFT($F1246,LEN(SC_TK))=SC_TK,LEFT($G1246,LEN(SC_TK))=SC_TK)),1,0)</f>
        <v/>
      </c>
    </row>
    <row r="1247" ht="15" customHeight="1" s="78">
      <c r="A1247" s="95">
        <f>IF($H1247="","",ROW()-6)</f>
        <v/>
      </c>
      <c r="B1247" s="114" t="n"/>
      <c r="C1247" s="102" t="n"/>
      <c r="D1247" s="114" t="n"/>
      <c r="E1247" s="103" t="n"/>
      <c r="F1247" s="102" t="n"/>
      <c r="G1247" s="102" t="n"/>
      <c r="H1247" s="115" t="n"/>
      <c r="I1247" s="102" t="n"/>
      <c r="J1247" s="102" t="n"/>
      <c r="K1247" s="103" t="n"/>
      <c r="L1247" s="116">
        <f>IF($H1247="","",TRIM(IF(COUNTIF(DMTK!$A$7:$A$250,$F1247)=0,"TK Nợ sai! ","")&amp;IF(COUNTIF(DMTK!$A$7:$A$250,$G1247)=0,"TK Có sai! ","")&amp;IF(N($H1247)&lt;=0,"Tiền phải &gt; 0! ","")&amp;IF($B1247="","Thiếu ngày! ","")&amp;IF(AND(OR(LEFT($F1247,3)="131",LEFT($G1247,3)="131",LEFT($F1247,3)="331",LEFT($G1247,3)="331"),$I1247=""),"Thiếu Mã ĐT! ","")&amp;IF(AND($I1247&lt;&gt;"",COUNTIF(DM_DT!$A$7:$A$306,$I1247)=0),"Mã ĐT chưa khai báo! ","")))</f>
        <v/>
      </c>
      <c r="M1247" s="117">
        <f>IF($H1247="","",IF(AND(OR(LEFT($F1247,3)="111",LEFT($F1247,3)="112",LEFT($F1247,3)="113"),OR(LEFT($G1247,3)="111",LEFT($G1247,3)="112",LEFT($G1247,3)="113")),"NB",IF(OR(LEFT($F1247,3)="111",LEFT($F1247,3)="112",LEFT($F1247,3)="113"),"THU",IF(OR(LEFT($G1247,3)="111",LEFT($G1247,3)="112",LEFT($G1247,3)="113"),"CHI",""))))</f>
        <v/>
      </c>
      <c r="N1247" s="117">
        <f>IF($M1247="THU",$G1247,IF($M1247="CHI",$F1247,""))</f>
        <v/>
      </c>
      <c r="O1247" s="117">
        <f>IF(OR($M1247="",$M1247="NB"),"",IF($J1247&lt;&gt;"",TEXT($J1247,"00"),IFERROR(VLOOKUP(LEFT($N1247,4),LCTT_MAP!$A$7:$C$66,IF($M1247="THU",2,3),FALSE()),IFERROR(VLOOKUP(LEFT($N1247,3),LCTT_MAP!$A$7:$C$66,IF($M1247="THU",2,3),FALSE()),IFERROR(VLOOKUP(LEFT($N1247,2),LCTT_MAP!$A$7:$C$66,IF($M1247="THU",2,3),FALSE()),IFERROR(VLOOKUP(LEFT($N1247,1),LCTT_MAP!$A$7:$C$66,IF($M1247="THU",2,3),FALSE()),IF($M1247="THU","06","07")))))))</f>
        <v/>
      </c>
      <c r="P1247" s="117">
        <f>P1246+IF(AND($H1247&lt;&gt;"",OR(LEFT($F1247,LEN(SC_TK))=SC_TK,LEFT($G1247,LEN(SC_TK))=SC_TK)),1,0)</f>
        <v/>
      </c>
    </row>
    <row r="1248" ht="15" customHeight="1" s="78">
      <c r="A1248" s="95">
        <f>IF($H1248="","",ROW()-6)</f>
        <v/>
      </c>
      <c r="B1248" s="114" t="n"/>
      <c r="C1248" s="102" t="n"/>
      <c r="D1248" s="114" t="n"/>
      <c r="E1248" s="103" t="n"/>
      <c r="F1248" s="102" t="n"/>
      <c r="G1248" s="102" t="n"/>
      <c r="H1248" s="115" t="n"/>
      <c r="I1248" s="102" t="n"/>
      <c r="J1248" s="102" t="n"/>
      <c r="K1248" s="103" t="n"/>
      <c r="L1248" s="116">
        <f>IF($H1248="","",TRIM(IF(COUNTIF(DMTK!$A$7:$A$250,$F1248)=0,"TK Nợ sai! ","")&amp;IF(COUNTIF(DMTK!$A$7:$A$250,$G1248)=0,"TK Có sai! ","")&amp;IF(N($H1248)&lt;=0,"Tiền phải &gt; 0! ","")&amp;IF($B1248="","Thiếu ngày! ","")&amp;IF(AND(OR(LEFT($F1248,3)="131",LEFT($G1248,3)="131",LEFT($F1248,3)="331",LEFT($G1248,3)="331"),$I1248=""),"Thiếu Mã ĐT! ","")&amp;IF(AND($I1248&lt;&gt;"",COUNTIF(DM_DT!$A$7:$A$306,$I1248)=0),"Mã ĐT chưa khai báo! ","")))</f>
        <v/>
      </c>
      <c r="M1248" s="117">
        <f>IF($H1248="","",IF(AND(OR(LEFT($F1248,3)="111",LEFT($F1248,3)="112",LEFT($F1248,3)="113"),OR(LEFT($G1248,3)="111",LEFT($G1248,3)="112",LEFT($G1248,3)="113")),"NB",IF(OR(LEFT($F1248,3)="111",LEFT($F1248,3)="112",LEFT($F1248,3)="113"),"THU",IF(OR(LEFT($G1248,3)="111",LEFT($G1248,3)="112",LEFT($G1248,3)="113"),"CHI",""))))</f>
        <v/>
      </c>
      <c r="N1248" s="117">
        <f>IF($M1248="THU",$G1248,IF($M1248="CHI",$F1248,""))</f>
        <v/>
      </c>
      <c r="O1248" s="117">
        <f>IF(OR($M1248="",$M1248="NB"),"",IF($J1248&lt;&gt;"",TEXT($J1248,"00"),IFERROR(VLOOKUP(LEFT($N1248,4),LCTT_MAP!$A$7:$C$66,IF($M1248="THU",2,3),FALSE()),IFERROR(VLOOKUP(LEFT($N1248,3),LCTT_MAP!$A$7:$C$66,IF($M1248="THU",2,3),FALSE()),IFERROR(VLOOKUP(LEFT($N1248,2),LCTT_MAP!$A$7:$C$66,IF($M1248="THU",2,3),FALSE()),IFERROR(VLOOKUP(LEFT($N1248,1),LCTT_MAP!$A$7:$C$66,IF($M1248="THU",2,3),FALSE()),IF($M1248="THU","06","07")))))))</f>
        <v/>
      </c>
      <c r="P1248" s="117">
        <f>P1247+IF(AND($H1248&lt;&gt;"",OR(LEFT($F1248,LEN(SC_TK))=SC_TK,LEFT($G1248,LEN(SC_TK))=SC_TK)),1,0)</f>
        <v/>
      </c>
    </row>
    <row r="1249" ht="15" customHeight="1" s="78">
      <c r="A1249" s="95">
        <f>IF($H1249="","",ROW()-6)</f>
        <v/>
      </c>
      <c r="B1249" s="114" t="n"/>
      <c r="C1249" s="102" t="n"/>
      <c r="D1249" s="114" t="n"/>
      <c r="E1249" s="103" t="n"/>
      <c r="F1249" s="102" t="n"/>
      <c r="G1249" s="102" t="n"/>
      <c r="H1249" s="115" t="n"/>
      <c r="I1249" s="102" t="n"/>
      <c r="J1249" s="102" t="n"/>
      <c r="K1249" s="103" t="n"/>
      <c r="L1249" s="116">
        <f>IF($H1249="","",TRIM(IF(COUNTIF(DMTK!$A$7:$A$250,$F1249)=0,"TK Nợ sai! ","")&amp;IF(COUNTIF(DMTK!$A$7:$A$250,$G1249)=0,"TK Có sai! ","")&amp;IF(N($H1249)&lt;=0,"Tiền phải &gt; 0! ","")&amp;IF($B1249="","Thiếu ngày! ","")&amp;IF(AND(OR(LEFT($F1249,3)="131",LEFT($G1249,3)="131",LEFT($F1249,3)="331",LEFT($G1249,3)="331"),$I1249=""),"Thiếu Mã ĐT! ","")&amp;IF(AND($I1249&lt;&gt;"",COUNTIF(DM_DT!$A$7:$A$306,$I1249)=0),"Mã ĐT chưa khai báo! ","")))</f>
        <v/>
      </c>
      <c r="M1249" s="117">
        <f>IF($H1249="","",IF(AND(OR(LEFT($F1249,3)="111",LEFT($F1249,3)="112",LEFT($F1249,3)="113"),OR(LEFT($G1249,3)="111",LEFT($G1249,3)="112",LEFT($G1249,3)="113")),"NB",IF(OR(LEFT($F1249,3)="111",LEFT($F1249,3)="112",LEFT($F1249,3)="113"),"THU",IF(OR(LEFT($G1249,3)="111",LEFT($G1249,3)="112",LEFT($G1249,3)="113"),"CHI",""))))</f>
        <v/>
      </c>
      <c r="N1249" s="117">
        <f>IF($M1249="THU",$G1249,IF($M1249="CHI",$F1249,""))</f>
        <v/>
      </c>
      <c r="O1249" s="117">
        <f>IF(OR($M1249="",$M1249="NB"),"",IF($J1249&lt;&gt;"",TEXT($J1249,"00"),IFERROR(VLOOKUP(LEFT($N1249,4),LCTT_MAP!$A$7:$C$66,IF($M1249="THU",2,3),FALSE()),IFERROR(VLOOKUP(LEFT($N1249,3),LCTT_MAP!$A$7:$C$66,IF($M1249="THU",2,3),FALSE()),IFERROR(VLOOKUP(LEFT($N1249,2),LCTT_MAP!$A$7:$C$66,IF($M1249="THU",2,3),FALSE()),IFERROR(VLOOKUP(LEFT($N1249,1),LCTT_MAP!$A$7:$C$66,IF($M1249="THU",2,3),FALSE()),IF($M1249="THU","06","07")))))))</f>
        <v/>
      </c>
      <c r="P1249" s="117">
        <f>P1248+IF(AND($H1249&lt;&gt;"",OR(LEFT($F1249,LEN(SC_TK))=SC_TK,LEFT($G1249,LEN(SC_TK))=SC_TK)),1,0)</f>
        <v/>
      </c>
    </row>
    <row r="1250" ht="15" customHeight="1" s="78">
      <c r="A1250" s="95">
        <f>IF($H1250="","",ROW()-6)</f>
        <v/>
      </c>
      <c r="B1250" s="114" t="n"/>
      <c r="C1250" s="102" t="n"/>
      <c r="D1250" s="114" t="n"/>
      <c r="E1250" s="103" t="n"/>
      <c r="F1250" s="102" t="n"/>
      <c r="G1250" s="102" t="n"/>
      <c r="H1250" s="115" t="n"/>
      <c r="I1250" s="102" t="n"/>
      <c r="J1250" s="102" t="n"/>
      <c r="K1250" s="103" t="n"/>
      <c r="L1250" s="116">
        <f>IF($H1250="","",TRIM(IF(COUNTIF(DMTK!$A$7:$A$250,$F1250)=0,"TK Nợ sai! ","")&amp;IF(COUNTIF(DMTK!$A$7:$A$250,$G1250)=0,"TK Có sai! ","")&amp;IF(N($H1250)&lt;=0,"Tiền phải &gt; 0! ","")&amp;IF($B1250="","Thiếu ngày! ","")&amp;IF(AND(OR(LEFT($F1250,3)="131",LEFT($G1250,3)="131",LEFT($F1250,3)="331",LEFT($G1250,3)="331"),$I1250=""),"Thiếu Mã ĐT! ","")&amp;IF(AND($I1250&lt;&gt;"",COUNTIF(DM_DT!$A$7:$A$306,$I1250)=0),"Mã ĐT chưa khai báo! ","")))</f>
        <v/>
      </c>
      <c r="M1250" s="117">
        <f>IF($H1250="","",IF(AND(OR(LEFT($F1250,3)="111",LEFT($F1250,3)="112",LEFT($F1250,3)="113"),OR(LEFT($G1250,3)="111",LEFT($G1250,3)="112",LEFT($G1250,3)="113")),"NB",IF(OR(LEFT($F1250,3)="111",LEFT($F1250,3)="112",LEFT($F1250,3)="113"),"THU",IF(OR(LEFT($G1250,3)="111",LEFT($G1250,3)="112",LEFT($G1250,3)="113"),"CHI",""))))</f>
        <v/>
      </c>
      <c r="N1250" s="117">
        <f>IF($M1250="THU",$G1250,IF($M1250="CHI",$F1250,""))</f>
        <v/>
      </c>
      <c r="O1250" s="117">
        <f>IF(OR($M1250="",$M1250="NB"),"",IF($J1250&lt;&gt;"",TEXT($J1250,"00"),IFERROR(VLOOKUP(LEFT($N1250,4),LCTT_MAP!$A$7:$C$66,IF($M1250="THU",2,3),FALSE()),IFERROR(VLOOKUP(LEFT($N1250,3),LCTT_MAP!$A$7:$C$66,IF($M1250="THU",2,3),FALSE()),IFERROR(VLOOKUP(LEFT($N1250,2),LCTT_MAP!$A$7:$C$66,IF($M1250="THU",2,3),FALSE()),IFERROR(VLOOKUP(LEFT($N1250,1),LCTT_MAP!$A$7:$C$66,IF($M1250="THU",2,3),FALSE()),IF($M1250="THU","06","07")))))))</f>
        <v/>
      </c>
      <c r="P1250" s="117">
        <f>P1249+IF(AND($H1250&lt;&gt;"",OR(LEFT($F1250,LEN(SC_TK))=SC_TK,LEFT($G1250,LEN(SC_TK))=SC_TK)),1,0)</f>
        <v/>
      </c>
    </row>
    <row r="1251" ht="15" customHeight="1" s="78">
      <c r="A1251" s="95">
        <f>IF($H1251="","",ROW()-6)</f>
        <v/>
      </c>
      <c r="B1251" s="114" t="n"/>
      <c r="C1251" s="102" t="n"/>
      <c r="D1251" s="114" t="n"/>
      <c r="E1251" s="103" t="n"/>
      <c r="F1251" s="102" t="n"/>
      <c r="G1251" s="102" t="n"/>
      <c r="H1251" s="115" t="n"/>
      <c r="I1251" s="102" t="n"/>
      <c r="J1251" s="102" t="n"/>
      <c r="K1251" s="103" t="n"/>
      <c r="L1251" s="116">
        <f>IF($H1251="","",TRIM(IF(COUNTIF(DMTK!$A$7:$A$250,$F1251)=0,"TK Nợ sai! ","")&amp;IF(COUNTIF(DMTK!$A$7:$A$250,$G1251)=0,"TK Có sai! ","")&amp;IF(N($H1251)&lt;=0,"Tiền phải &gt; 0! ","")&amp;IF($B1251="","Thiếu ngày! ","")&amp;IF(AND(OR(LEFT($F1251,3)="131",LEFT($G1251,3)="131",LEFT($F1251,3)="331",LEFT($G1251,3)="331"),$I1251=""),"Thiếu Mã ĐT! ","")&amp;IF(AND($I1251&lt;&gt;"",COUNTIF(DM_DT!$A$7:$A$306,$I1251)=0),"Mã ĐT chưa khai báo! ","")))</f>
        <v/>
      </c>
      <c r="M1251" s="117">
        <f>IF($H1251="","",IF(AND(OR(LEFT($F1251,3)="111",LEFT($F1251,3)="112",LEFT($F1251,3)="113"),OR(LEFT($G1251,3)="111",LEFT($G1251,3)="112",LEFT($G1251,3)="113")),"NB",IF(OR(LEFT($F1251,3)="111",LEFT($F1251,3)="112",LEFT($F1251,3)="113"),"THU",IF(OR(LEFT($G1251,3)="111",LEFT($G1251,3)="112",LEFT($G1251,3)="113"),"CHI",""))))</f>
        <v/>
      </c>
      <c r="N1251" s="117">
        <f>IF($M1251="THU",$G1251,IF($M1251="CHI",$F1251,""))</f>
        <v/>
      </c>
      <c r="O1251" s="117">
        <f>IF(OR($M1251="",$M1251="NB"),"",IF($J1251&lt;&gt;"",TEXT($J1251,"00"),IFERROR(VLOOKUP(LEFT($N1251,4),LCTT_MAP!$A$7:$C$66,IF($M1251="THU",2,3),FALSE()),IFERROR(VLOOKUP(LEFT($N1251,3),LCTT_MAP!$A$7:$C$66,IF($M1251="THU",2,3),FALSE()),IFERROR(VLOOKUP(LEFT($N1251,2),LCTT_MAP!$A$7:$C$66,IF($M1251="THU",2,3),FALSE()),IFERROR(VLOOKUP(LEFT($N1251,1),LCTT_MAP!$A$7:$C$66,IF($M1251="THU",2,3),FALSE()),IF($M1251="THU","06","07")))))))</f>
        <v/>
      </c>
      <c r="P1251" s="117">
        <f>P1250+IF(AND($H1251&lt;&gt;"",OR(LEFT($F1251,LEN(SC_TK))=SC_TK,LEFT($G1251,LEN(SC_TK))=SC_TK)),1,0)</f>
        <v/>
      </c>
    </row>
    <row r="1252" ht="15" customHeight="1" s="78">
      <c r="A1252" s="95">
        <f>IF($H1252="","",ROW()-6)</f>
        <v/>
      </c>
      <c r="B1252" s="114" t="n"/>
      <c r="C1252" s="102" t="n"/>
      <c r="D1252" s="114" t="n"/>
      <c r="E1252" s="103" t="n"/>
      <c r="F1252" s="102" t="n"/>
      <c r="G1252" s="102" t="n"/>
      <c r="H1252" s="115" t="n"/>
      <c r="I1252" s="102" t="n"/>
      <c r="J1252" s="102" t="n"/>
      <c r="K1252" s="103" t="n"/>
      <c r="L1252" s="116">
        <f>IF($H1252="","",TRIM(IF(COUNTIF(DMTK!$A$7:$A$250,$F1252)=0,"TK Nợ sai! ","")&amp;IF(COUNTIF(DMTK!$A$7:$A$250,$G1252)=0,"TK Có sai! ","")&amp;IF(N($H1252)&lt;=0,"Tiền phải &gt; 0! ","")&amp;IF($B1252="","Thiếu ngày! ","")&amp;IF(AND(OR(LEFT($F1252,3)="131",LEFT($G1252,3)="131",LEFT($F1252,3)="331",LEFT($G1252,3)="331"),$I1252=""),"Thiếu Mã ĐT! ","")&amp;IF(AND($I1252&lt;&gt;"",COUNTIF(DM_DT!$A$7:$A$306,$I1252)=0),"Mã ĐT chưa khai báo! ","")))</f>
        <v/>
      </c>
      <c r="M1252" s="117">
        <f>IF($H1252="","",IF(AND(OR(LEFT($F1252,3)="111",LEFT($F1252,3)="112",LEFT($F1252,3)="113"),OR(LEFT($G1252,3)="111",LEFT($G1252,3)="112",LEFT($G1252,3)="113")),"NB",IF(OR(LEFT($F1252,3)="111",LEFT($F1252,3)="112",LEFT($F1252,3)="113"),"THU",IF(OR(LEFT($G1252,3)="111",LEFT($G1252,3)="112",LEFT($G1252,3)="113"),"CHI",""))))</f>
        <v/>
      </c>
      <c r="N1252" s="117">
        <f>IF($M1252="THU",$G1252,IF($M1252="CHI",$F1252,""))</f>
        <v/>
      </c>
      <c r="O1252" s="117">
        <f>IF(OR($M1252="",$M1252="NB"),"",IF($J1252&lt;&gt;"",TEXT($J1252,"00"),IFERROR(VLOOKUP(LEFT($N1252,4),LCTT_MAP!$A$7:$C$66,IF($M1252="THU",2,3),FALSE()),IFERROR(VLOOKUP(LEFT($N1252,3),LCTT_MAP!$A$7:$C$66,IF($M1252="THU",2,3),FALSE()),IFERROR(VLOOKUP(LEFT($N1252,2),LCTT_MAP!$A$7:$C$66,IF($M1252="THU",2,3),FALSE()),IFERROR(VLOOKUP(LEFT($N1252,1),LCTT_MAP!$A$7:$C$66,IF($M1252="THU",2,3),FALSE()),IF($M1252="THU","06","07")))))))</f>
        <v/>
      </c>
      <c r="P1252" s="117">
        <f>P1251+IF(AND($H1252&lt;&gt;"",OR(LEFT($F1252,LEN(SC_TK))=SC_TK,LEFT($G1252,LEN(SC_TK))=SC_TK)),1,0)</f>
        <v/>
      </c>
    </row>
    <row r="1253" ht="15" customHeight="1" s="78">
      <c r="A1253" s="95">
        <f>IF($H1253="","",ROW()-6)</f>
        <v/>
      </c>
      <c r="B1253" s="114" t="n"/>
      <c r="C1253" s="102" t="n"/>
      <c r="D1253" s="114" t="n"/>
      <c r="E1253" s="103" t="n"/>
      <c r="F1253" s="102" t="n"/>
      <c r="G1253" s="102" t="n"/>
      <c r="H1253" s="115" t="n"/>
      <c r="I1253" s="102" t="n"/>
      <c r="J1253" s="102" t="n"/>
      <c r="K1253" s="103" t="n"/>
      <c r="L1253" s="116">
        <f>IF($H1253="","",TRIM(IF(COUNTIF(DMTK!$A$7:$A$250,$F1253)=0,"TK Nợ sai! ","")&amp;IF(COUNTIF(DMTK!$A$7:$A$250,$G1253)=0,"TK Có sai! ","")&amp;IF(N($H1253)&lt;=0,"Tiền phải &gt; 0! ","")&amp;IF($B1253="","Thiếu ngày! ","")&amp;IF(AND(OR(LEFT($F1253,3)="131",LEFT($G1253,3)="131",LEFT($F1253,3)="331",LEFT($G1253,3)="331"),$I1253=""),"Thiếu Mã ĐT! ","")&amp;IF(AND($I1253&lt;&gt;"",COUNTIF(DM_DT!$A$7:$A$306,$I1253)=0),"Mã ĐT chưa khai báo! ","")))</f>
        <v/>
      </c>
      <c r="M1253" s="117">
        <f>IF($H1253="","",IF(AND(OR(LEFT($F1253,3)="111",LEFT($F1253,3)="112",LEFT($F1253,3)="113"),OR(LEFT($G1253,3)="111",LEFT($G1253,3)="112",LEFT($G1253,3)="113")),"NB",IF(OR(LEFT($F1253,3)="111",LEFT($F1253,3)="112",LEFT($F1253,3)="113"),"THU",IF(OR(LEFT($G1253,3)="111",LEFT($G1253,3)="112",LEFT($G1253,3)="113"),"CHI",""))))</f>
        <v/>
      </c>
      <c r="N1253" s="117">
        <f>IF($M1253="THU",$G1253,IF($M1253="CHI",$F1253,""))</f>
        <v/>
      </c>
      <c r="O1253" s="117">
        <f>IF(OR($M1253="",$M1253="NB"),"",IF($J1253&lt;&gt;"",TEXT($J1253,"00"),IFERROR(VLOOKUP(LEFT($N1253,4),LCTT_MAP!$A$7:$C$66,IF($M1253="THU",2,3),FALSE()),IFERROR(VLOOKUP(LEFT($N1253,3),LCTT_MAP!$A$7:$C$66,IF($M1253="THU",2,3),FALSE()),IFERROR(VLOOKUP(LEFT($N1253,2),LCTT_MAP!$A$7:$C$66,IF($M1253="THU",2,3),FALSE()),IFERROR(VLOOKUP(LEFT($N1253,1),LCTT_MAP!$A$7:$C$66,IF($M1253="THU",2,3),FALSE()),IF($M1253="THU","06","07")))))))</f>
        <v/>
      </c>
      <c r="P1253" s="117">
        <f>P1252+IF(AND($H1253&lt;&gt;"",OR(LEFT($F1253,LEN(SC_TK))=SC_TK,LEFT($G1253,LEN(SC_TK))=SC_TK)),1,0)</f>
        <v/>
      </c>
    </row>
    <row r="1254" ht="15" customHeight="1" s="78">
      <c r="A1254" s="95">
        <f>IF($H1254="","",ROW()-6)</f>
        <v/>
      </c>
      <c r="B1254" s="114" t="n"/>
      <c r="C1254" s="102" t="n"/>
      <c r="D1254" s="114" t="n"/>
      <c r="E1254" s="103" t="n"/>
      <c r="F1254" s="102" t="n"/>
      <c r="G1254" s="102" t="n"/>
      <c r="H1254" s="115" t="n"/>
      <c r="I1254" s="102" t="n"/>
      <c r="J1254" s="102" t="n"/>
      <c r="K1254" s="103" t="n"/>
      <c r="L1254" s="116">
        <f>IF($H1254="","",TRIM(IF(COUNTIF(DMTK!$A$7:$A$250,$F1254)=0,"TK Nợ sai! ","")&amp;IF(COUNTIF(DMTK!$A$7:$A$250,$G1254)=0,"TK Có sai! ","")&amp;IF(N($H1254)&lt;=0,"Tiền phải &gt; 0! ","")&amp;IF($B1254="","Thiếu ngày! ","")&amp;IF(AND(OR(LEFT($F1254,3)="131",LEFT($G1254,3)="131",LEFT($F1254,3)="331",LEFT($G1254,3)="331"),$I1254=""),"Thiếu Mã ĐT! ","")&amp;IF(AND($I1254&lt;&gt;"",COUNTIF(DM_DT!$A$7:$A$306,$I1254)=0),"Mã ĐT chưa khai báo! ","")))</f>
        <v/>
      </c>
      <c r="M1254" s="117">
        <f>IF($H1254="","",IF(AND(OR(LEFT($F1254,3)="111",LEFT($F1254,3)="112",LEFT($F1254,3)="113"),OR(LEFT($G1254,3)="111",LEFT($G1254,3)="112",LEFT($G1254,3)="113")),"NB",IF(OR(LEFT($F1254,3)="111",LEFT($F1254,3)="112",LEFT($F1254,3)="113"),"THU",IF(OR(LEFT($G1254,3)="111",LEFT($G1254,3)="112",LEFT($G1254,3)="113"),"CHI",""))))</f>
        <v/>
      </c>
      <c r="N1254" s="117">
        <f>IF($M1254="THU",$G1254,IF($M1254="CHI",$F1254,""))</f>
        <v/>
      </c>
      <c r="O1254" s="117">
        <f>IF(OR($M1254="",$M1254="NB"),"",IF($J1254&lt;&gt;"",TEXT($J1254,"00"),IFERROR(VLOOKUP(LEFT($N1254,4),LCTT_MAP!$A$7:$C$66,IF($M1254="THU",2,3),FALSE()),IFERROR(VLOOKUP(LEFT($N1254,3),LCTT_MAP!$A$7:$C$66,IF($M1254="THU",2,3),FALSE()),IFERROR(VLOOKUP(LEFT($N1254,2),LCTT_MAP!$A$7:$C$66,IF($M1254="THU",2,3),FALSE()),IFERROR(VLOOKUP(LEFT($N1254,1),LCTT_MAP!$A$7:$C$66,IF($M1254="THU",2,3),FALSE()),IF($M1254="THU","06","07")))))))</f>
        <v/>
      </c>
      <c r="P1254" s="117">
        <f>P1253+IF(AND($H1254&lt;&gt;"",OR(LEFT($F1254,LEN(SC_TK))=SC_TK,LEFT($G1254,LEN(SC_TK))=SC_TK)),1,0)</f>
        <v/>
      </c>
    </row>
    <row r="1255" ht="15" customHeight="1" s="78">
      <c r="A1255" s="95">
        <f>IF($H1255="","",ROW()-6)</f>
        <v/>
      </c>
      <c r="B1255" s="114" t="n"/>
      <c r="C1255" s="102" t="n"/>
      <c r="D1255" s="114" t="n"/>
      <c r="E1255" s="103" t="n"/>
      <c r="F1255" s="102" t="n"/>
      <c r="G1255" s="102" t="n"/>
      <c r="H1255" s="115" t="n"/>
      <c r="I1255" s="102" t="n"/>
      <c r="J1255" s="102" t="n"/>
      <c r="K1255" s="103" t="n"/>
      <c r="L1255" s="116">
        <f>IF($H1255="","",TRIM(IF(COUNTIF(DMTK!$A$7:$A$250,$F1255)=0,"TK Nợ sai! ","")&amp;IF(COUNTIF(DMTK!$A$7:$A$250,$G1255)=0,"TK Có sai! ","")&amp;IF(N($H1255)&lt;=0,"Tiền phải &gt; 0! ","")&amp;IF($B1255="","Thiếu ngày! ","")&amp;IF(AND(OR(LEFT($F1255,3)="131",LEFT($G1255,3)="131",LEFT($F1255,3)="331",LEFT($G1255,3)="331"),$I1255=""),"Thiếu Mã ĐT! ","")&amp;IF(AND($I1255&lt;&gt;"",COUNTIF(DM_DT!$A$7:$A$306,$I1255)=0),"Mã ĐT chưa khai báo! ","")))</f>
        <v/>
      </c>
      <c r="M1255" s="117">
        <f>IF($H1255="","",IF(AND(OR(LEFT($F1255,3)="111",LEFT($F1255,3)="112",LEFT($F1255,3)="113"),OR(LEFT($G1255,3)="111",LEFT($G1255,3)="112",LEFT($G1255,3)="113")),"NB",IF(OR(LEFT($F1255,3)="111",LEFT($F1255,3)="112",LEFT($F1255,3)="113"),"THU",IF(OR(LEFT($G1255,3)="111",LEFT($G1255,3)="112",LEFT($G1255,3)="113"),"CHI",""))))</f>
        <v/>
      </c>
      <c r="N1255" s="117">
        <f>IF($M1255="THU",$G1255,IF($M1255="CHI",$F1255,""))</f>
        <v/>
      </c>
      <c r="O1255" s="117">
        <f>IF(OR($M1255="",$M1255="NB"),"",IF($J1255&lt;&gt;"",TEXT($J1255,"00"),IFERROR(VLOOKUP(LEFT($N1255,4),LCTT_MAP!$A$7:$C$66,IF($M1255="THU",2,3),FALSE()),IFERROR(VLOOKUP(LEFT($N1255,3),LCTT_MAP!$A$7:$C$66,IF($M1255="THU",2,3),FALSE()),IFERROR(VLOOKUP(LEFT($N1255,2),LCTT_MAP!$A$7:$C$66,IF($M1255="THU",2,3),FALSE()),IFERROR(VLOOKUP(LEFT($N1255,1),LCTT_MAP!$A$7:$C$66,IF($M1255="THU",2,3),FALSE()),IF($M1255="THU","06","07")))))))</f>
        <v/>
      </c>
      <c r="P1255" s="117">
        <f>P1254+IF(AND($H1255&lt;&gt;"",OR(LEFT($F1255,LEN(SC_TK))=SC_TK,LEFT($G1255,LEN(SC_TK))=SC_TK)),1,0)</f>
        <v/>
      </c>
    </row>
    <row r="1256" ht="15" customHeight="1" s="78">
      <c r="A1256" s="95">
        <f>IF($H1256="","",ROW()-6)</f>
        <v/>
      </c>
      <c r="B1256" s="114" t="n"/>
      <c r="C1256" s="102" t="n"/>
      <c r="D1256" s="114" t="n"/>
      <c r="E1256" s="103" t="n"/>
      <c r="F1256" s="102" t="n"/>
      <c r="G1256" s="102" t="n"/>
      <c r="H1256" s="115" t="n"/>
      <c r="I1256" s="102" t="n"/>
      <c r="J1256" s="102" t="n"/>
      <c r="K1256" s="103" t="n"/>
      <c r="L1256" s="116">
        <f>IF($H1256="","",TRIM(IF(COUNTIF(DMTK!$A$7:$A$250,$F1256)=0,"TK Nợ sai! ","")&amp;IF(COUNTIF(DMTK!$A$7:$A$250,$G1256)=0,"TK Có sai! ","")&amp;IF(N($H1256)&lt;=0,"Tiền phải &gt; 0! ","")&amp;IF($B1256="","Thiếu ngày! ","")&amp;IF(AND(OR(LEFT($F1256,3)="131",LEFT($G1256,3)="131",LEFT($F1256,3)="331",LEFT($G1256,3)="331"),$I1256=""),"Thiếu Mã ĐT! ","")&amp;IF(AND($I1256&lt;&gt;"",COUNTIF(DM_DT!$A$7:$A$306,$I1256)=0),"Mã ĐT chưa khai báo! ","")))</f>
        <v/>
      </c>
      <c r="M1256" s="117">
        <f>IF($H1256="","",IF(AND(OR(LEFT($F1256,3)="111",LEFT($F1256,3)="112",LEFT($F1256,3)="113"),OR(LEFT($G1256,3)="111",LEFT($G1256,3)="112",LEFT($G1256,3)="113")),"NB",IF(OR(LEFT($F1256,3)="111",LEFT($F1256,3)="112",LEFT($F1256,3)="113"),"THU",IF(OR(LEFT($G1256,3)="111",LEFT($G1256,3)="112",LEFT($G1256,3)="113"),"CHI",""))))</f>
        <v/>
      </c>
      <c r="N1256" s="117">
        <f>IF($M1256="THU",$G1256,IF($M1256="CHI",$F1256,""))</f>
        <v/>
      </c>
      <c r="O1256" s="117">
        <f>IF(OR($M1256="",$M1256="NB"),"",IF($J1256&lt;&gt;"",TEXT($J1256,"00"),IFERROR(VLOOKUP(LEFT($N1256,4),LCTT_MAP!$A$7:$C$66,IF($M1256="THU",2,3),FALSE()),IFERROR(VLOOKUP(LEFT($N1256,3),LCTT_MAP!$A$7:$C$66,IF($M1256="THU",2,3),FALSE()),IFERROR(VLOOKUP(LEFT($N1256,2),LCTT_MAP!$A$7:$C$66,IF($M1256="THU",2,3),FALSE()),IFERROR(VLOOKUP(LEFT($N1256,1),LCTT_MAP!$A$7:$C$66,IF($M1256="THU",2,3),FALSE()),IF($M1256="THU","06","07")))))))</f>
        <v/>
      </c>
      <c r="P1256" s="117">
        <f>P1255+IF(AND($H1256&lt;&gt;"",OR(LEFT($F1256,LEN(SC_TK))=SC_TK,LEFT($G1256,LEN(SC_TK))=SC_TK)),1,0)</f>
        <v/>
      </c>
    </row>
    <row r="1257" ht="15" customHeight="1" s="78">
      <c r="A1257" s="95">
        <f>IF($H1257="","",ROW()-6)</f>
        <v/>
      </c>
      <c r="B1257" s="114" t="n"/>
      <c r="C1257" s="102" t="n"/>
      <c r="D1257" s="114" t="n"/>
      <c r="E1257" s="103" t="n"/>
      <c r="F1257" s="102" t="n"/>
      <c r="G1257" s="102" t="n"/>
      <c r="H1257" s="115" t="n"/>
      <c r="I1257" s="102" t="n"/>
      <c r="J1257" s="102" t="n"/>
      <c r="K1257" s="103" t="n"/>
      <c r="L1257" s="116">
        <f>IF($H1257="","",TRIM(IF(COUNTIF(DMTK!$A$7:$A$250,$F1257)=0,"TK Nợ sai! ","")&amp;IF(COUNTIF(DMTK!$A$7:$A$250,$G1257)=0,"TK Có sai! ","")&amp;IF(N($H1257)&lt;=0,"Tiền phải &gt; 0! ","")&amp;IF($B1257="","Thiếu ngày! ","")&amp;IF(AND(OR(LEFT($F1257,3)="131",LEFT($G1257,3)="131",LEFT($F1257,3)="331",LEFT($G1257,3)="331"),$I1257=""),"Thiếu Mã ĐT! ","")&amp;IF(AND($I1257&lt;&gt;"",COUNTIF(DM_DT!$A$7:$A$306,$I1257)=0),"Mã ĐT chưa khai báo! ","")))</f>
        <v/>
      </c>
      <c r="M1257" s="117">
        <f>IF($H1257="","",IF(AND(OR(LEFT($F1257,3)="111",LEFT($F1257,3)="112",LEFT($F1257,3)="113"),OR(LEFT($G1257,3)="111",LEFT($G1257,3)="112",LEFT($G1257,3)="113")),"NB",IF(OR(LEFT($F1257,3)="111",LEFT($F1257,3)="112",LEFT($F1257,3)="113"),"THU",IF(OR(LEFT($G1257,3)="111",LEFT($G1257,3)="112",LEFT($G1257,3)="113"),"CHI",""))))</f>
        <v/>
      </c>
      <c r="N1257" s="117">
        <f>IF($M1257="THU",$G1257,IF($M1257="CHI",$F1257,""))</f>
        <v/>
      </c>
      <c r="O1257" s="117">
        <f>IF(OR($M1257="",$M1257="NB"),"",IF($J1257&lt;&gt;"",TEXT($J1257,"00"),IFERROR(VLOOKUP(LEFT($N1257,4),LCTT_MAP!$A$7:$C$66,IF($M1257="THU",2,3),FALSE()),IFERROR(VLOOKUP(LEFT($N1257,3),LCTT_MAP!$A$7:$C$66,IF($M1257="THU",2,3),FALSE()),IFERROR(VLOOKUP(LEFT($N1257,2),LCTT_MAP!$A$7:$C$66,IF($M1257="THU",2,3),FALSE()),IFERROR(VLOOKUP(LEFT($N1257,1),LCTT_MAP!$A$7:$C$66,IF($M1257="THU",2,3),FALSE()),IF($M1257="THU","06","07")))))))</f>
        <v/>
      </c>
      <c r="P1257" s="117">
        <f>P1256+IF(AND($H1257&lt;&gt;"",OR(LEFT($F1257,LEN(SC_TK))=SC_TK,LEFT($G1257,LEN(SC_TK))=SC_TK)),1,0)</f>
        <v/>
      </c>
    </row>
    <row r="1258" ht="15" customHeight="1" s="78">
      <c r="A1258" s="95">
        <f>IF($H1258="","",ROW()-6)</f>
        <v/>
      </c>
      <c r="B1258" s="114" t="n"/>
      <c r="C1258" s="102" t="n"/>
      <c r="D1258" s="114" t="n"/>
      <c r="E1258" s="103" t="n"/>
      <c r="F1258" s="102" t="n"/>
      <c r="G1258" s="102" t="n"/>
      <c r="H1258" s="115" t="n"/>
      <c r="I1258" s="102" t="n"/>
      <c r="J1258" s="102" t="n"/>
      <c r="K1258" s="103" t="n"/>
      <c r="L1258" s="116">
        <f>IF($H1258="","",TRIM(IF(COUNTIF(DMTK!$A$7:$A$250,$F1258)=0,"TK Nợ sai! ","")&amp;IF(COUNTIF(DMTK!$A$7:$A$250,$G1258)=0,"TK Có sai! ","")&amp;IF(N($H1258)&lt;=0,"Tiền phải &gt; 0! ","")&amp;IF($B1258="","Thiếu ngày! ","")&amp;IF(AND(OR(LEFT($F1258,3)="131",LEFT($G1258,3)="131",LEFT($F1258,3)="331",LEFT($G1258,3)="331"),$I1258=""),"Thiếu Mã ĐT! ","")&amp;IF(AND($I1258&lt;&gt;"",COUNTIF(DM_DT!$A$7:$A$306,$I1258)=0),"Mã ĐT chưa khai báo! ","")))</f>
        <v/>
      </c>
      <c r="M1258" s="117">
        <f>IF($H1258="","",IF(AND(OR(LEFT($F1258,3)="111",LEFT($F1258,3)="112",LEFT($F1258,3)="113"),OR(LEFT($G1258,3)="111",LEFT($G1258,3)="112",LEFT($G1258,3)="113")),"NB",IF(OR(LEFT($F1258,3)="111",LEFT($F1258,3)="112",LEFT($F1258,3)="113"),"THU",IF(OR(LEFT($G1258,3)="111",LEFT($G1258,3)="112",LEFT($G1258,3)="113"),"CHI",""))))</f>
        <v/>
      </c>
      <c r="N1258" s="117">
        <f>IF($M1258="THU",$G1258,IF($M1258="CHI",$F1258,""))</f>
        <v/>
      </c>
      <c r="O1258" s="117">
        <f>IF(OR($M1258="",$M1258="NB"),"",IF($J1258&lt;&gt;"",TEXT($J1258,"00"),IFERROR(VLOOKUP(LEFT($N1258,4),LCTT_MAP!$A$7:$C$66,IF($M1258="THU",2,3),FALSE()),IFERROR(VLOOKUP(LEFT($N1258,3),LCTT_MAP!$A$7:$C$66,IF($M1258="THU",2,3),FALSE()),IFERROR(VLOOKUP(LEFT($N1258,2),LCTT_MAP!$A$7:$C$66,IF($M1258="THU",2,3),FALSE()),IFERROR(VLOOKUP(LEFT($N1258,1),LCTT_MAP!$A$7:$C$66,IF($M1258="THU",2,3),FALSE()),IF($M1258="THU","06","07")))))))</f>
        <v/>
      </c>
      <c r="P1258" s="117">
        <f>P1257+IF(AND($H1258&lt;&gt;"",OR(LEFT($F1258,LEN(SC_TK))=SC_TK,LEFT($G1258,LEN(SC_TK))=SC_TK)),1,0)</f>
        <v/>
      </c>
    </row>
    <row r="1259" ht="15" customHeight="1" s="78">
      <c r="A1259" s="95">
        <f>IF($H1259="","",ROW()-6)</f>
        <v/>
      </c>
      <c r="B1259" s="114" t="n"/>
      <c r="C1259" s="102" t="n"/>
      <c r="D1259" s="114" t="n"/>
      <c r="E1259" s="103" t="n"/>
      <c r="F1259" s="102" t="n"/>
      <c r="G1259" s="102" t="n"/>
      <c r="H1259" s="115" t="n"/>
      <c r="I1259" s="102" t="n"/>
      <c r="J1259" s="102" t="n"/>
      <c r="K1259" s="103" t="n"/>
      <c r="L1259" s="116">
        <f>IF($H1259="","",TRIM(IF(COUNTIF(DMTK!$A$7:$A$250,$F1259)=0,"TK Nợ sai! ","")&amp;IF(COUNTIF(DMTK!$A$7:$A$250,$G1259)=0,"TK Có sai! ","")&amp;IF(N($H1259)&lt;=0,"Tiền phải &gt; 0! ","")&amp;IF($B1259="","Thiếu ngày! ","")&amp;IF(AND(OR(LEFT($F1259,3)="131",LEFT($G1259,3)="131",LEFT($F1259,3)="331",LEFT($G1259,3)="331"),$I1259=""),"Thiếu Mã ĐT! ","")&amp;IF(AND($I1259&lt;&gt;"",COUNTIF(DM_DT!$A$7:$A$306,$I1259)=0),"Mã ĐT chưa khai báo! ","")))</f>
        <v/>
      </c>
      <c r="M1259" s="117">
        <f>IF($H1259="","",IF(AND(OR(LEFT($F1259,3)="111",LEFT($F1259,3)="112",LEFT($F1259,3)="113"),OR(LEFT($G1259,3)="111",LEFT($G1259,3)="112",LEFT($G1259,3)="113")),"NB",IF(OR(LEFT($F1259,3)="111",LEFT($F1259,3)="112",LEFT($F1259,3)="113"),"THU",IF(OR(LEFT($G1259,3)="111",LEFT($G1259,3)="112",LEFT($G1259,3)="113"),"CHI",""))))</f>
        <v/>
      </c>
      <c r="N1259" s="117">
        <f>IF($M1259="THU",$G1259,IF($M1259="CHI",$F1259,""))</f>
        <v/>
      </c>
      <c r="O1259" s="117">
        <f>IF(OR($M1259="",$M1259="NB"),"",IF($J1259&lt;&gt;"",TEXT($J1259,"00"),IFERROR(VLOOKUP(LEFT($N1259,4),LCTT_MAP!$A$7:$C$66,IF($M1259="THU",2,3),FALSE()),IFERROR(VLOOKUP(LEFT($N1259,3),LCTT_MAP!$A$7:$C$66,IF($M1259="THU",2,3),FALSE()),IFERROR(VLOOKUP(LEFT($N1259,2),LCTT_MAP!$A$7:$C$66,IF($M1259="THU",2,3),FALSE()),IFERROR(VLOOKUP(LEFT($N1259,1),LCTT_MAP!$A$7:$C$66,IF($M1259="THU",2,3),FALSE()),IF($M1259="THU","06","07")))))))</f>
        <v/>
      </c>
      <c r="P1259" s="117">
        <f>P1258+IF(AND($H1259&lt;&gt;"",OR(LEFT($F1259,LEN(SC_TK))=SC_TK,LEFT($G1259,LEN(SC_TK))=SC_TK)),1,0)</f>
        <v/>
      </c>
    </row>
    <row r="1260" ht="15" customHeight="1" s="78">
      <c r="A1260" s="95">
        <f>IF($H1260="","",ROW()-6)</f>
        <v/>
      </c>
      <c r="B1260" s="114" t="n"/>
      <c r="C1260" s="102" t="n"/>
      <c r="D1260" s="114" t="n"/>
      <c r="E1260" s="103" t="n"/>
      <c r="F1260" s="102" t="n"/>
      <c r="G1260" s="102" t="n"/>
      <c r="H1260" s="115" t="n"/>
      <c r="I1260" s="102" t="n"/>
      <c r="J1260" s="102" t="n"/>
      <c r="K1260" s="103" t="n"/>
      <c r="L1260" s="116">
        <f>IF($H1260="","",TRIM(IF(COUNTIF(DMTK!$A$7:$A$250,$F1260)=0,"TK Nợ sai! ","")&amp;IF(COUNTIF(DMTK!$A$7:$A$250,$G1260)=0,"TK Có sai! ","")&amp;IF(N($H1260)&lt;=0,"Tiền phải &gt; 0! ","")&amp;IF($B1260="","Thiếu ngày! ","")&amp;IF(AND(OR(LEFT($F1260,3)="131",LEFT($G1260,3)="131",LEFT($F1260,3)="331",LEFT($G1260,3)="331"),$I1260=""),"Thiếu Mã ĐT! ","")&amp;IF(AND($I1260&lt;&gt;"",COUNTIF(DM_DT!$A$7:$A$306,$I1260)=0),"Mã ĐT chưa khai báo! ","")))</f>
        <v/>
      </c>
      <c r="M1260" s="117">
        <f>IF($H1260="","",IF(AND(OR(LEFT($F1260,3)="111",LEFT($F1260,3)="112",LEFT($F1260,3)="113"),OR(LEFT($G1260,3)="111",LEFT($G1260,3)="112",LEFT($G1260,3)="113")),"NB",IF(OR(LEFT($F1260,3)="111",LEFT($F1260,3)="112",LEFT($F1260,3)="113"),"THU",IF(OR(LEFT($G1260,3)="111",LEFT($G1260,3)="112",LEFT($G1260,3)="113"),"CHI",""))))</f>
        <v/>
      </c>
      <c r="N1260" s="117">
        <f>IF($M1260="THU",$G1260,IF($M1260="CHI",$F1260,""))</f>
        <v/>
      </c>
      <c r="O1260" s="117">
        <f>IF(OR($M1260="",$M1260="NB"),"",IF($J1260&lt;&gt;"",TEXT($J1260,"00"),IFERROR(VLOOKUP(LEFT($N1260,4),LCTT_MAP!$A$7:$C$66,IF($M1260="THU",2,3),FALSE()),IFERROR(VLOOKUP(LEFT($N1260,3),LCTT_MAP!$A$7:$C$66,IF($M1260="THU",2,3),FALSE()),IFERROR(VLOOKUP(LEFT($N1260,2),LCTT_MAP!$A$7:$C$66,IF($M1260="THU",2,3),FALSE()),IFERROR(VLOOKUP(LEFT($N1260,1),LCTT_MAP!$A$7:$C$66,IF($M1260="THU",2,3),FALSE()),IF($M1260="THU","06","07")))))))</f>
        <v/>
      </c>
      <c r="P1260" s="117">
        <f>P1259+IF(AND($H1260&lt;&gt;"",OR(LEFT($F1260,LEN(SC_TK))=SC_TK,LEFT($G1260,LEN(SC_TK))=SC_TK)),1,0)</f>
        <v/>
      </c>
    </row>
    <row r="1261" ht="15" customHeight="1" s="78">
      <c r="A1261" s="95">
        <f>IF($H1261="","",ROW()-6)</f>
        <v/>
      </c>
      <c r="B1261" s="114" t="n"/>
      <c r="C1261" s="102" t="n"/>
      <c r="D1261" s="114" t="n"/>
      <c r="E1261" s="103" t="n"/>
      <c r="F1261" s="102" t="n"/>
      <c r="G1261" s="102" t="n"/>
      <c r="H1261" s="115" t="n"/>
      <c r="I1261" s="102" t="n"/>
      <c r="J1261" s="102" t="n"/>
      <c r="K1261" s="103" t="n"/>
      <c r="L1261" s="116">
        <f>IF($H1261="","",TRIM(IF(COUNTIF(DMTK!$A$7:$A$250,$F1261)=0,"TK Nợ sai! ","")&amp;IF(COUNTIF(DMTK!$A$7:$A$250,$G1261)=0,"TK Có sai! ","")&amp;IF(N($H1261)&lt;=0,"Tiền phải &gt; 0! ","")&amp;IF($B1261="","Thiếu ngày! ","")&amp;IF(AND(OR(LEFT($F1261,3)="131",LEFT($G1261,3)="131",LEFT($F1261,3)="331",LEFT($G1261,3)="331"),$I1261=""),"Thiếu Mã ĐT! ","")&amp;IF(AND($I1261&lt;&gt;"",COUNTIF(DM_DT!$A$7:$A$306,$I1261)=0),"Mã ĐT chưa khai báo! ","")))</f>
        <v/>
      </c>
      <c r="M1261" s="117">
        <f>IF($H1261="","",IF(AND(OR(LEFT($F1261,3)="111",LEFT($F1261,3)="112",LEFT($F1261,3)="113"),OR(LEFT($G1261,3)="111",LEFT($G1261,3)="112",LEFT($G1261,3)="113")),"NB",IF(OR(LEFT($F1261,3)="111",LEFT($F1261,3)="112",LEFT($F1261,3)="113"),"THU",IF(OR(LEFT($G1261,3)="111",LEFT($G1261,3)="112",LEFT($G1261,3)="113"),"CHI",""))))</f>
        <v/>
      </c>
      <c r="N1261" s="117">
        <f>IF($M1261="THU",$G1261,IF($M1261="CHI",$F1261,""))</f>
        <v/>
      </c>
      <c r="O1261" s="117">
        <f>IF(OR($M1261="",$M1261="NB"),"",IF($J1261&lt;&gt;"",TEXT($J1261,"00"),IFERROR(VLOOKUP(LEFT($N1261,4),LCTT_MAP!$A$7:$C$66,IF($M1261="THU",2,3),FALSE()),IFERROR(VLOOKUP(LEFT($N1261,3),LCTT_MAP!$A$7:$C$66,IF($M1261="THU",2,3),FALSE()),IFERROR(VLOOKUP(LEFT($N1261,2),LCTT_MAP!$A$7:$C$66,IF($M1261="THU",2,3),FALSE()),IFERROR(VLOOKUP(LEFT($N1261,1),LCTT_MAP!$A$7:$C$66,IF($M1261="THU",2,3),FALSE()),IF($M1261="THU","06","07")))))))</f>
        <v/>
      </c>
      <c r="P1261" s="117">
        <f>P1260+IF(AND($H1261&lt;&gt;"",OR(LEFT($F1261,LEN(SC_TK))=SC_TK,LEFT($G1261,LEN(SC_TK))=SC_TK)),1,0)</f>
        <v/>
      </c>
    </row>
    <row r="1262" ht="15" customHeight="1" s="78">
      <c r="A1262" s="95">
        <f>IF($H1262="","",ROW()-6)</f>
        <v/>
      </c>
      <c r="B1262" s="114" t="n"/>
      <c r="C1262" s="102" t="n"/>
      <c r="D1262" s="114" t="n"/>
      <c r="E1262" s="103" t="n"/>
      <c r="F1262" s="102" t="n"/>
      <c r="G1262" s="102" t="n"/>
      <c r="H1262" s="115" t="n"/>
      <c r="I1262" s="102" t="n"/>
      <c r="J1262" s="102" t="n"/>
      <c r="K1262" s="103" t="n"/>
      <c r="L1262" s="116">
        <f>IF($H1262="","",TRIM(IF(COUNTIF(DMTK!$A$7:$A$250,$F1262)=0,"TK Nợ sai! ","")&amp;IF(COUNTIF(DMTK!$A$7:$A$250,$G1262)=0,"TK Có sai! ","")&amp;IF(N($H1262)&lt;=0,"Tiền phải &gt; 0! ","")&amp;IF($B1262="","Thiếu ngày! ","")&amp;IF(AND(OR(LEFT($F1262,3)="131",LEFT($G1262,3)="131",LEFT($F1262,3)="331",LEFT($G1262,3)="331"),$I1262=""),"Thiếu Mã ĐT! ","")&amp;IF(AND($I1262&lt;&gt;"",COUNTIF(DM_DT!$A$7:$A$306,$I1262)=0),"Mã ĐT chưa khai báo! ","")))</f>
        <v/>
      </c>
      <c r="M1262" s="117">
        <f>IF($H1262="","",IF(AND(OR(LEFT($F1262,3)="111",LEFT($F1262,3)="112",LEFT($F1262,3)="113"),OR(LEFT($G1262,3)="111",LEFT($G1262,3)="112",LEFT($G1262,3)="113")),"NB",IF(OR(LEFT($F1262,3)="111",LEFT($F1262,3)="112",LEFT($F1262,3)="113"),"THU",IF(OR(LEFT($G1262,3)="111",LEFT($G1262,3)="112",LEFT($G1262,3)="113"),"CHI",""))))</f>
        <v/>
      </c>
      <c r="N1262" s="117">
        <f>IF($M1262="THU",$G1262,IF($M1262="CHI",$F1262,""))</f>
        <v/>
      </c>
      <c r="O1262" s="117">
        <f>IF(OR($M1262="",$M1262="NB"),"",IF($J1262&lt;&gt;"",TEXT($J1262,"00"),IFERROR(VLOOKUP(LEFT($N1262,4),LCTT_MAP!$A$7:$C$66,IF($M1262="THU",2,3),FALSE()),IFERROR(VLOOKUP(LEFT($N1262,3),LCTT_MAP!$A$7:$C$66,IF($M1262="THU",2,3),FALSE()),IFERROR(VLOOKUP(LEFT($N1262,2),LCTT_MAP!$A$7:$C$66,IF($M1262="THU",2,3),FALSE()),IFERROR(VLOOKUP(LEFT($N1262,1),LCTT_MAP!$A$7:$C$66,IF($M1262="THU",2,3),FALSE()),IF($M1262="THU","06","07")))))))</f>
        <v/>
      </c>
      <c r="P1262" s="117">
        <f>P1261+IF(AND($H1262&lt;&gt;"",OR(LEFT($F1262,LEN(SC_TK))=SC_TK,LEFT($G1262,LEN(SC_TK))=SC_TK)),1,0)</f>
        <v/>
      </c>
    </row>
    <row r="1263" ht="15" customHeight="1" s="78">
      <c r="A1263" s="95">
        <f>IF($H1263="","",ROW()-6)</f>
        <v/>
      </c>
      <c r="B1263" s="114" t="n"/>
      <c r="C1263" s="102" t="n"/>
      <c r="D1263" s="114" t="n"/>
      <c r="E1263" s="103" t="n"/>
      <c r="F1263" s="102" t="n"/>
      <c r="G1263" s="102" t="n"/>
      <c r="H1263" s="115" t="n"/>
      <c r="I1263" s="102" t="n"/>
      <c r="J1263" s="102" t="n"/>
      <c r="K1263" s="103" t="n"/>
      <c r="L1263" s="116">
        <f>IF($H1263="","",TRIM(IF(COUNTIF(DMTK!$A$7:$A$250,$F1263)=0,"TK Nợ sai! ","")&amp;IF(COUNTIF(DMTK!$A$7:$A$250,$G1263)=0,"TK Có sai! ","")&amp;IF(N($H1263)&lt;=0,"Tiền phải &gt; 0! ","")&amp;IF($B1263="","Thiếu ngày! ","")&amp;IF(AND(OR(LEFT($F1263,3)="131",LEFT($G1263,3)="131",LEFT($F1263,3)="331",LEFT($G1263,3)="331"),$I1263=""),"Thiếu Mã ĐT! ","")&amp;IF(AND($I1263&lt;&gt;"",COUNTIF(DM_DT!$A$7:$A$306,$I1263)=0),"Mã ĐT chưa khai báo! ","")))</f>
        <v/>
      </c>
      <c r="M1263" s="117">
        <f>IF($H1263="","",IF(AND(OR(LEFT($F1263,3)="111",LEFT($F1263,3)="112",LEFT($F1263,3)="113"),OR(LEFT($G1263,3)="111",LEFT($G1263,3)="112",LEFT($G1263,3)="113")),"NB",IF(OR(LEFT($F1263,3)="111",LEFT($F1263,3)="112",LEFT($F1263,3)="113"),"THU",IF(OR(LEFT($G1263,3)="111",LEFT($G1263,3)="112",LEFT($G1263,3)="113"),"CHI",""))))</f>
        <v/>
      </c>
      <c r="N1263" s="117">
        <f>IF($M1263="THU",$G1263,IF($M1263="CHI",$F1263,""))</f>
        <v/>
      </c>
      <c r="O1263" s="117">
        <f>IF(OR($M1263="",$M1263="NB"),"",IF($J1263&lt;&gt;"",TEXT($J1263,"00"),IFERROR(VLOOKUP(LEFT($N1263,4),LCTT_MAP!$A$7:$C$66,IF($M1263="THU",2,3),FALSE()),IFERROR(VLOOKUP(LEFT($N1263,3),LCTT_MAP!$A$7:$C$66,IF($M1263="THU",2,3),FALSE()),IFERROR(VLOOKUP(LEFT($N1263,2),LCTT_MAP!$A$7:$C$66,IF($M1263="THU",2,3),FALSE()),IFERROR(VLOOKUP(LEFT($N1263,1),LCTT_MAP!$A$7:$C$66,IF($M1263="THU",2,3),FALSE()),IF($M1263="THU","06","07")))))))</f>
        <v/>
      </c>
      <c r="P1263" s="117">
        <f>P1262+IF(AND($H1263&lt;&gt;"",OR(LEFT($F1263,LEN(SC_TK))=SC_TK,LEFT($G1263,LEN(SC_TK))=SC_TK)),1,0)</f>
        <v/>
      </c>
    </row>
    <row r="1264" ht="15" customHeight="1" s="78">
      <c r="A1264" s="95">
        <f>IF($H1264="","",ROW()-6)</f>
        <v/>
      </c>
      <c r="B1264" s="114" t="n"/>
      <c r="C1264" s="102" t="n"/>
      <c r="D1264" s="114" t="n"/>
      <c r="E1264" s="103" t="n"/>
      <c r="F1264" s="102" t="n"/>
      <c r="G1264" s="102" t="n"/>
      <c r="H1264" s="115" t="n"/>
      <c r="I1264" s="102" t="n"/>
      <c r="J1264" s="102" t="n"/>
      <c r="K1264" s="103" t="n"/>
      <c r="L1264" s="116">
        <f>IF($H1264="","",TRIM(IF(COUNTIF(DMTK!$A$7:$A$250,$F1264)=0,"TK Nợ sai! ","")&amp;IF(COUNTIF(DMTK!$A$7:$A$250,$G1264)=0,"TK Có sai! ","")&amp;IF(N($H1264)&lt;=0,"Tiền phải &gt; 0! ","")&amp;IF($B1264="","Thiếu ngày! ","")&amp;IF(AND(OR(LEFT($F1264,3)="131",LEFT($G1264,3)="131",LEFT($F1264,3)="331",LEFT($G1264,3)="331"),$I1264=""),"Thiếu Mã ĐT! ","")&amp;IF(AND($I1264&lt;&gt;"",COUNTIF(DM_DT!$A$7:$A$306,$I1264)=0),"Mã ĐT chưa khai báo! ","")))</f>
        <v/>
      </c>
      <c r="M1264" s="117">
        <f>IF($H1264="","",IF(AND(OR(LEFT($F1264,3)="111",LEFT($F1264,3)="112",LEFT($F1264,3)="113"),OR(LEFT($G1264,3)="111",LEFT($G1264,3)="112",LEFT($G1264,3)="113")),"NB",IF(OR(LEFT($F1264,3)="111",LEFT($F1264,3)="112",LEFT($F1264,3)="113"),"THU",IF(OR(LEFT($G1264,3)="111",LEFT($G1264,3)="112",LEFT($G1264,3)="113"),"CHI",""))))</f>
        <v/>
      </c>
      <c r="N1264" s="117">
        <f>IF($M1264="THU",$G1264,IF($M1264="CHI",$F1264,""))</f>
        <v/>
      </c>
      <c r="O1264" s="117">
        <f>IF(OR($M1264="",$M1264="NB"),"",IF($J1264&lt;&gt;"",TEXT($J1264,"00"),IFERROR(VLOOKUP(LEFT($N1264,4),LCTT_MAP!$A$7:$C$66,IF($M1264="THU",2,3),FALSE()),IFERROR(VLOOKUP(LEFT($N1264,3),LCTT_MAP!$A$7:$C$66,IF($M1264="THU",2,3),FALSE()),IFERROR(VLOOKUP(LEFT($N1264,2),LCTT_MAP!$A$7:$C$66,IF($M1264="THU",2,3),FALSE()),IFERROR(VLOOKUP(LEFT($N1264,1),LCTT_MAP!$A$7:$C$66,IF($M1264="THU",2,3),FALSE()),IF($M1264="THU","06","07")))))))</f>
        <v/>
      </c>
      <c r="P1264" s="117">
        <f>P1263+IF(AND($H1264&lt;&gt;"",OR(LEFT($F1264,LEN(SC_TK))=SC_TK,LEFT($G1264,LEN(SC_TK))=SC_TK)),1,0)</f>
        <v/>
      </c>
    </row>
    <row r="1265" ht="15" customHeight="1" s="78">
      <c r="A1265" s="95">
        <f>IF($H1265="","",ROW()-6)</f>
        <v/>
      </c>
      <c r="B1265" s="114" t="n"/>
      <c r="C1265" s="102" t="n"/>
      <c r="D1265" s="114" t="n"/>
      <c r="E1265" s="103" t="n"/>
      <c r="F1265" s="102" t="n"/>
      <c r="G1265" s="102" t="n"/>
      <c r="H1265" s="115" t="n"/>
      <c r="I1265" s="102" t="n"/>
      <c r="J1265" s="102" t="n"/>
      <c r="K1265" s="103" t="n"/>
      <c r="L1265" s="116">
        <f>IF($H1265="","",TRIM(IF(COUNTIF(DMTK!$A$7:$A$250,$F1265)=0,"TK Nợ sai! ","")&amp;IF(COUNTIF(DMTK!$A$7:$A$250,$G1265)=0,"TK Có sai! ","")&amp;IF(N($H1265)&lt;=0,"Tiền phải &gt; 0! ","")&amp;IF($B1265="","Thiếu ngày! ","")&amp;IF(AND(OR(LEFT($F1265,3)="131",LEFT($G1265,3)="131",LEFT($F1265,3)="331",LEFT($G1265,3)="331"),$I1265=""),"Thiếu Mã ĐT! ","")&amp;IF(AND($I1265&lt;&gt;"",COUNTIF(DM_DT!$A$7:$A$306,$I1265)=0),"Mã ĐT chưa khai báo! ","")))</f>
        <v/>
      </c>
      <c r="M1265" s="117">
        <f>IF($H1265="","",IF(AND(OR(LEFT($F1265,3)="111",LEFT($F1265,3)="112",LEFT($F1265,3)="113"),OR(LEFT($G1265,3)="111",LEFT($G1265,3)="112",LEFT($G1265,3)="113")),"NB",IF(OR(LEFT($F1265,3)="111",LEFT($F1265,3)="112",LEFT($F1265,3)="113"),"THU",IF(OR(LEFT($G1265,3)="111",LEFT($G1265,3)="112",LEFT($G1265,3)="113"),"CHI",""))))</f>
        <v/>
      </c>
      <c r="N1265" s="117">
        <f>IF($M1265="THU",$G1265,IF($M1265="CHI",$F1265,""))</f>
        <v/>
      </c>
      <c r="O1265" s="117">
        <f>IF(OR($M1265="",$M1265="NB"),"",IF($J1265&lt;&gt;"",TEXT($J1265,"00"),IFERROR(VLOOKUP(LEFT($N1265,4),LCTT_MAP!$A$7:$C$66,IF($M1265="THU",2,3),FALSE()),IFERROR(VLOOKUP(LEFT($N1265,3),LCTT_MAP!$A$7:$C$66,IF($M1265="THU",2,3),FALSE()),IFERROR(VLOOKUP(LEFT($N1265,2),LCTT_MAP!$A$7:$C$66,IF($M1265="THU",2,3),FALSE()),IFERROR(VLOOKUP(LEFT($N1265,1),LCTT_MAP!$A$7:$C$66,IF($M1265="THU",2,3),FALSE()),IF($M1265="THU","06","07")))))))</f>
        <v/>
      </c>
      <c r="P1265" s="117">
        <f>P1264+IF(AND($H1265&lt;&gt;"",OR(LEFT($F1265,LEN(SC_TK))=SC_TK,LEFT($G1265,LEN(SC_TK))=SC_TK)),1,0)</f>
        <v/>
      </c>
    </row>
    <row r="1266" ht="15" customHeight="1" s="78">
      <c r="A1266" s="95">
        <f>IF($H1266="","",ROW()-6)</f>
        <v/>
      </c>
      <c r="B1266" s="114" t="n"/>
      <c r="C1266" s="102" t="n"/>
      <c r="D1266" s="114" t="n"/>
      <c r="E1266" s="103" t="n"/>
      <c r="F1266" s="102" t="n"/>
      <c r="G1266" s="102" t="n"/>
      <c r="H1266" s="115" t="n"/>
      <c r="I1266" s="102" t="n"/>
      <c r="J1266" s="102" t="n"/>
      <c r="K1266" s="103" t="n"/>
      <c r="L1266" s="116">
        <f>IF($H1266="","",TRIM(IF(COUNTIF(DMTK!$A$7:$A$250,$F1266)=0,"TK Nợ sai! ","")&amp;IF(COUNTIF(DMTK!$A$7:$A$250,$G1266)=0,"TK Có sai! ","")&amp;IF(N($H1266)&lt;=0,"Tiền phải &gt; 0! ","")&amp;IF($B1266="","Thiếu ngày! ","")&amp;IF(AND(OR(LEFT($F1266,3)="131",LEFT($G1266,3)="131",LEFT($F1266,3)="331",LEFT($G1266,3)="331"),$I1266=""),"Thiếu Mã ĐT! ","")&amp;IF(AND($I1266&lt;&gt;"",COUNTIF(DM_DT!$A$7:$A$306,$I1266)=0),"Mã ĐT chưa khai báo! ","")))</f>
        <v/>
      </c>
      <c r="M1266" s="117">
        <f>IF($H1266="","",IF(AND(OR(LEFT($F1266,3)="111",LEFT($F1266,3)="112",LEFT($F1266,3)="113"),OR(LEFT($G1266,3)="111",LEFT($G1266,3)="112",LEFT($G1266,3)="113")),"NB",IF(OR(LEFT($F1266,3)="111",LEFT($F1266,3)="112",LEFT($F1266,3)="113"),"THU",IF(OR(LEFT($G1266,3)="111",LEFT($G1266,3)="112",LEFT($G1266,3)="113"),"CHI",""))))</f>
        <v/>
      </c>
      <c r="N1266" s="117">
        <f>IF($M1266="THU",$G1266,IF($M1266="CHI",$F1266,""))</f>
        <v/>
      </c>
      <c r="O1266" s="117">
        <f>IF(OR($M1266="",$M1266="NB"),"",IF($J1266&lt;&gt;"",TEXT($J1266,"00"),IFERROR(VLOOKUP(LEFT($N1266,4),LCTT_MAP!$A$7:$C$66,IF($M1266="THU",2,3),FALSE()),IFERROR(VLOOKUP(LEFT($N1266,3),LCTT_MAP!$A$7:$C$66,IF($M1266="THU",2,3),FALSE()),IFERROR(VLOOKUP(LEFT($N1266,2),LCTT_MAP!$A$7:$C$66,IF($M1266="THU",2,3),FALSE()),IFERROR(VLOOKUP(LEFT($N1266,1),LCTT_MAP!$A$7:$C$66,IF($M1266="THU",2,3),FALSE()),IF($M1266="THU","06","07")))))))</f>
        <v/>
      </c>
      <c r="P1266" s="117">
        <f>P1265+IF(AND($H1266&lt;&gt;"",OR(LEFT($F1266,LEN(SC_TK))=SC_TK,LEFT($G1266,LEN(SC_TK))=SC_TK)),1,0)</f>
        <v/>
      </c>
    </row>
    <row r="1267" ht="15" customHeight="1" s="78">
      <c r="A1267" s="95">
        <f>IF($H1267="","",ROW()-6)</f>
        <v/>
      </c>
      <c r="B1267" s="114" t="n"/>
      <c r="C1267" s="102" t="n"/>
      <c r="D1267" s="114" t="n"/>
      <c r="E1267" s="103" t="n"/>
      <c r="F1267" s="102" t="n"/>
      <c r="G1267" s="102" t="n"/>
      <c r="H1267" s="115" t="n"/>
      <c r="I1267" s="102" t="n"/>
      <c r="J1267" s="102" t="n"/>
      <c r="K1267" s="103" t="n"/>
      <c r="L1267" s="116">
        <f>IF($H1267="","",TRIM(IF(COUNTIF(DMTK!$A$7:$A$250,$F1267)=0,"TK Nợ sai! ","")&amp;IF(COUNTIF(DMTK!$A$7:$A$250,$G1267)=0,"TK Có sai! ","")&amp;IF(N($H1267)&lt;=0,"Tiền phải &gt; 0! ","")&amp;IF($B1267="","Thiếu ngày! ","")&amp;IF(AND(OR(LEFT($F1267,3)="131",LEFT($G1267,3)="131",LEFT($F1267,3)="331",LEFT($G1267,3)="331"),$I1267=""),"Thiếu Mã ĐT! ","")&amp;IF(AND($I1267&lt;&gt;"",COUNTIF(DM_DT!$A$7:$A$306,$I1267)=0),"Mã ĐT chưa khai báo! ","")))</f>
        <v/>
      </c>
      <c r="M1267" s="117">
        <f>IF($H1267="","",IF(AND(OR(LEFT($F1267,3)="111",LEFT($F1267,3)="112",LEFT($F1267,3)="113"),OR(LEFT($G1267,3)="111",LEFT($G1267,3)="112",LEFT($G1267,3)="113")),"NB",IF(OR(LEFT($F1267,3)="111",LEFT($F1267,3)="112",LEFT($F1267,3)="113"),"THU",IF(OR(LEFT($G1267,3)="111",LEFT($G1267,3)="112",LEFT($G1267,3)="113"),"CHI",""))))</f>
        <v/>
      </c>
      <c r="N1267" s="117">
        <f>IF($M1267="THU",$G1267,IF($M1267="CHI",$F1267,""))</f>
        <v/>
      </c>
      <c r="O1267" s="117">
        <f>IF(OR($M1267="",$M1267="NB"),"",IF($J1267&lt;&gt;"",TEXT($J1267,"00"),IFERROR(VLOOKUP(LEFT($N1267,4),LCTT_MAP!$A$7:$C$66,IF($M1267="THU",2,3),FALSE()),IFERROR(VLOOKUP(LEFT($N1267,3),LCTT_MAP!$A$7:$C$66,IF($M1267="THU",2,3),FALSE()),IFERROR(VLOOKUP(LEFT($N1267,2),LCTT_MAP!$A$7:$C$66,IF($M1267="THU",2,3),FALSE()),IFERROR(VLOOKUP(LEFT($N1267,1),LCTT_MAP!$A$7:$C$66,IF($M1267="THU",2,3),FALSE()),IF($M1267="THU","06","07")))))))</f>
        <v/>
      </c>
      <c r="P1267" s="117">
        <f>P1266+IF(AND($H1267&lt;&gt;"",OR(LEFT($F1267,LEN(SC_TK))=SC_TK,LEFT($G1267,LEN(SC_TK))=SC_TK)),1,0)</f>
        <v/>
      </c>
    </row>
    <row r="1268" ht="15" customHeight="1" s="78">
      <c r="A1268" s="95">
        <f>IF($H1268="","",ROW()-6)</f>
        <v/>
      </c>
      <c r="B1268" s="114" t="n"/>
      <c r="C1268" s="102" t="n"/>
      <c r="D1268" s="114" t="n"/>
      <c r="E1268" s="103" t="n"/>
      <c r="F1268" s="102" t="n"/>
      <c r="G1268" s="102" t="n"/>
      <c r="H1268" s="115" t="n"/>
      <c r="I1268" s="102" t="n"/>
      <c r="J1268" s="102" t="n"/>
      <c r="K1268" s="103" t="n"/>
      <c r="L1268" s="116">
        <f>IF($H1268="","",TRIM(IF(COUNTIF(DMTK!$A$7:$A$250,$F1268)=0,"TK Nợ sai! ","")&amp;IF(COUNTIF(DMTK!$A$7:$A$250,$G1268)=0,"TK Có sai! ","")&amp;IF(N($H1268)&lt;=0,"Tiền phải &gt; 0! ","")&amp;IF($B1268="","Thiếu ngày! ","")&amp;IF(AND(OR(LEFT($F1268,3)="131",LEFT($G1268,3)="131",LEFT($F1268,3)="331",LEFT($G1268,3)="331"),$I1268=""),"Thiếu Mã ĐT! ","")&amp;IF(AND($I1268&lt;&gt;"",COUNTIF(DM_DT!$A$7:$A$306,$I1268)=0),"Mã ĐT chưa khai báo! ","")))</f>
        <v/>
      </c>
      <c r="M1268" s="117">
        <f>IF($H1268="","",IF(AND(OR(LEFT($F1268,3)="111",LEFT($F1268,3)="112",LEFT($F1268,3)="113"),OR(LEFT($G1268,3)="111",LEFT($G1268,3)="112",LEFT($G1268,3)="113")),"NB",IF(OR(LEFT($F1268,3)="111",LEFT($F1268,3)="112",LEFT($F1268,3)="113"),"THU",IF(OR(LEFT($G1268,3)="111",LEFT($G1268,3)="112",LEFT($G1268,3)="113"),"CHI",""))))</f>
        <v/>
      </c>
      <c r="N1268" s="117">
        <f>IF($M1268="THU",$G1268,IF($M1268="CHI",$F1268,""))</f>
        <v/>
      </c>
      <c r="O1268" s="117">
        <f>IF(OR($M1268="",$M1268="NB"),"",IF($J1268&lt;&gt;"",TEXT($J1268,"00"),IFERROR(VLOOKUP(LEFT($N1268,4),LCTT_MAP!$A$7:$C$66,IF($M1268="THU",2,3),FALSE()),IFERROR(VLOOKUP(LEFT($N1268,3),LCTT_MAP!$A$7:$C$66,IF($M1268="THU",2,3),FALSE()),IFERROR(VLOOKUP(LEFT($N1268,2),LCTT_MAP!$A$7:$C$66,IF($M1268="THU",2,3),FALSE()),IFERROR(VLOOKUP(LEFT($N1268,1),LCTT_MAP!$A$7:$C$66,IF($M1268="THU",2,3),FALSE()),IF($M1268="THU","06","07")))))))</f>
        <v/>
      </c>
      <c r="P1268" s="117">
        <f>P1267+IF(AND($H1268&lt;&gt;"",OR(LEFT($F1268,LEN(SC_TK))=SC_TK,LEFT($G1268,LEN(SC_TK))=SC_TK)),1,0)</f>
        <v/>
      </c>
    </row>
    <row r="1269" ht="15" customHeight="1" s="78">
      <c r="A1269" s="95">
        <f>IF($H1269="","",ROW()-6)</f>
        <v/>
      </c>
      <c r="B1269" s="114" t="n"/>
      <c r="C1269" s="102" t="n"/>
      <c r="D1269" s="114" t="n"/>
      <c r="E1269" s="103" t="n"/>
      <c r="F1269" s="102" t="n"/>
      <c r="G1269" s="102" t="n"/>
      <c r="H1269" s="115" t="n"/>
      <c r="I1269" s="102" t="n"/>
      <c r="J1269" s="102" t="n"/>
      <c r="K1269" s="103" t="n"/>
      <c r="L1269" s="116">
        <f>IF($H1269="","",TRIM(IF(COUNTIF(DMTK!$A$7:$A$250,$F1269)=0,"TK Nợ sai! ","")&amp;IF(COUNTIF(DMTK!$A$7:$A$250,$G1269)=0,"TK Có sai! ","")&amp;IF(N($H1269)&lt;=0,"Tiền phải &gt; 0! ","")&amp;IF($B1269="","Thiếu ngày! ","")&amp;IF(AND(OR(LEFT($F1269,3)="131",LEFT($G1269,3)="131",LEFT($F1269,3)="331",LEFT($G1269,3)="331"),$I1269=""),"Thiếu Mã ĐT! ","")&amp;IF(AND($I1269&lt;&gt;"",COUNTIF(DM_DT!$A$7:$A$306,$I1269)=0),"Mã ĐT chưa khai báo! ","")))</f>
        <v/>
      </c>
      <c r="M1269" s="117">
        <f>IF($H1269="","",IF(AND(OR(LEFT($F1269,3)="111",LEFT($F1269,3)="112",LEFT($F1269,3)="113"),OR(LEFT($G1269,3)="111",LEFT($G1269,3)="112",LEFT($G1269,3)="113")),"NB",IF(OR(LEFT($F1269,3)="111",LEFT($F1269,3)="112",LEFT($F1269,3)="113"),"THU",IF(OR(LEFT($G1269,3)="111",LEFT($G1269,3)="112",LEFT($G1269,3)="113"),"CHI",""))))</f>
        <v/>
      </c>
      <c r="N1269" s="117">
        <f>IF($M1269="THU",$G1269,IF($M1269="CHI",$F1269,""))</f>
        <v/>
      </c>
      <c r="O1269" s="117">
        <f>IF(OR($M1269="",$M1269="NB"),"",IF($J1269&lt;&gt;"",TEXT($J1269,"00"),IFERROR(VLOOKUP(LEFT($N1269,4),LCTT_MAP!$A$7:$C$66,IF($M1269="THU",2,3),FALSE()),IFERROR(VLOOKUP(LEFT($N1269,3),LCTT_MAP!$A$7:$C$66,IF($M1269="THU",2,3),FALSE()),IFERROR(VLOOKUP(LEFT($N1269,2),LCTT_MAP!$A$7:$C$66,IF($M1269="THU",2,3),FALSE()),IFERROR(VLOOKUP(LEFT($N1269,1),LCTT_MAP!$A$7:$C$66,IF($M1269="THU",2,3),FALSE()),IF($M1269="THU","06","07")))))))</f>
        <v/>
      </c>
      <c r="P1269" s="117">
        <f>P1268+IF(AND($H1269&lt;&gt;"",OR(LEFT($F1269,LEN(SC_TK))=SC_TK,LEFT($G1269,LEN(SC_TK))=SC_TK)),1,0)</f>
        <v/>
      </c>
    </row>
    <row r="1270" ht="15" customHeight="1" s="78">
      <c r="A1270" s="95">
        <f>IF($H1270="","",ROW()-6)</f>
        <v/>
      </c>
      <c r="B1270" s="114" t="n"/>
      <c r="C1270" s="102" t="n"/>
      <c r="D1270" s="114" t="n"/>
      <c r="E1270" s="103" t="n"/>
      <c r="F1270" s="102" t="n"/>
      <c r="G1270" s="102" t="n"/>
      <c r="H1270" s="115" t="n"/>
      <c r="I1270" s="102" t="n"/>
      <c r="J1270" s="102" t="n"/>
      <c r="K1270" s="103" t="n"/>
      <c r="L1270" s="116">
        <f>IF($H1270="","",TRIM(IF(COUNTIF(DMTK!$A$7:$A$250,$F1270)=0,"TK Nợ sai! ","")&amp;IF(COUNTIF(DMTK!$A$7:$A$250,$G1270)=0,"TK Có sai! ","")&amp;IF(N($H1270)&lt;=0,"Tiền phải &gt; 0! ","")&amp;IF($B1270="","Thiếu ngày! ","")&amp;IF(AND(OR(LEFT($F1270,3)="131",LEFT($G1270,3)="131",LEFT($F1270,3)="331",LEFT($G1270,3)="331"),$I1270=""),"Thiếu Mã ĐT! ","")&amp;IF(AND($I1270&lt;&gt;"",COUNTIF(DM_DT!$A$7:$A$306,$I1270)=0),"Mã ĐT chưa khai báo! ","")))</f>
        <v/>
      </c>
      <c r="M1270" s="117">
        <f>IF($H1270="","",IF(AND(OR(LEFT($F1270,3)="111",LEFT($F1270,3)="112",LEFT($F1270,3)="113"),OR(LEFT($G1270,3)="111",LEFT($G1270,3)="112",LEFT($G1270,3)="113")),"NB",IF(OR(LEFT($F1270,3)="111",LEFT($F1270,3)="112",LEFT($F1270,3)="113"),"THU",IF(OR(LEFT($G1270,3)="111",LEFT($G1270,3)="112",LEFT($G1270,3)="113"),"CHI",""))))</f>
        <v/>
      </c>
      <c r="N1270" s="117">
        <f>IF($M1270="THU",$G1270,IF($M1270="CHI",$F1270,""))</f>
        <v/>
      </c>
      <c r="O1270" s="117">
        <f>IF(OR($M1270="",$M1270="NB"),"",IF($J1270&lt;&gt;"",TEXT($J1270,"00"),IFERROR(VLOOKUP(LEFT($N1270,4),LCTT_MAP!$A$7:$C$66,IF($M1270="THU",2,3),FALSE()),IFERROR(VLOOKUP(LEFT($N1270,3),LCTT_MAP!$A$7:$C$66,IF($M1270="THU",2,3),FALSE()),IFERROR(VLOOKUP(LEFT($N1270,2),LCTT_MAP!$A$7:$C$66,IF($M1270="THU",2,3),FALSE()),IFERROR(VLOOKUP(LEFT($N1270,1),LCTT_MAP!$A$7:$C$66,IF($M1270="THU",2,3),FALSE()),IF($M1270="THU","06","07")))))))</f>
        <v/>
      </c>
      <c r="P1270" s="117">
        <f>P1269+IF(AND($H1270&lt;&gt;"",OR(LEFT($F1270,LEN(SC_TK))=SC_TK,LEFT($G1270,LEN(SC_TK))=SC_TK)),1,0)</f>
        <v/>
      </c>
    </row>
    <row r="1271" ht="15" customHeight="1" s="78">
      <c r="A1271" s="95">
        <f>IF($H1271="","",ROW()-6)</f>
        <v/>
      </c>
      <c r="B1271" s="114" t="n"/>
      <c r="C1271" s="102" t="n"/>
      <c r="D1271" s="114" t="n"/>
      <c r="E1271" s="103" t="n"/>
      <c r="F1271" s="102" t="n"/>
      <c r="G1271" s="102" t="n"/>
      <c r="H1271" s="115" t="n"/>
      <c r="I1271" s="102" t="n"/>
      <c r="J1271" s="102" t="n"/>
      <c r="K1271" s="103" t="n"/>
      <c r="L1271" s="116">
        <f>IF($H1271="","",TRIM(IF(COUNTIF(DMTK!$A$7:$A$250,$F1271)=0,"TK Nợ sai! ","")&amp;IF(COUNTIF(DMTK!$A$7:$A$250,$G1271)=0,"TK Có sai! ","")&amp;IF(N($H1271)&lt;=0,"Tiền phải &gt; 0! ","")&amp;IF($B1271="","Thiếu ngày! ","")&amp;IF(AND(OR(LEFT($F1271,3)="131",LEFT($G1271,3)="131",LEFT($F1271,3)="331",LEFT($G1271,3)="331"),$I1271=""),"Thiếu Mã ĐT! ","")&amp;IF(AND($I1271&lt;&gt;"",COUNTIF(DM_DT!$A$7:$A$306,$I1271)=0),"Mã ĐT chưa khai báo! ","")))</f>
        <v/>
      </c>
      <c r="M1271" s="117">
        <f>IF($H1271="","",IF(AND(OR(LEFT($F1271,3)="111",LEFT($F1271,3)="112",LEFT($F1271,3)="113"),OR(LEFT($G1271,3)="111",LEFT($G1271,3)="112",LEFT($G1271,3)="113")),"NB",IF(OR(LEFT($F1271,3)="111",LEFT($F1271,3)="112",LEFT($F1271,3)="113"),"THU",IF(OR(LEFT($G1271,3)="111",LEFT($G1271,3)="112",LEFT($G1271,3)="113"),"CHI",""))))</f>
        <v/>
      </c>
      <c r="N1271" s="117">
        <f>IF($M1271="THU",$G1271,IF($M1271="CHI",$F1271,""))</f>
        <v/>
      </c>
      <c r="O1271" s="117">
        <f>IF(OR($M1271="",$M1271="NB"),"",IF($J1271&lt;&gt;"",TEXT($J1271,"00"),IFERROR(VLOOKUP(LEFT($N1271,4),LCTT_MAP!$A$7:$C$66,IF($M1271="THU",2,3),FALSE()),IFERROR(VLOOKUP(LEFT($N1271,3),LCTT_MAP!$A$7:$C$66,IF($M1271="THU",2,3),FALSE()),IFERROR(VLOOKUP(LEFT($N1271,2),LCTT_MAP!$A$7:$C$66,IF($M1271="THU",2,3),FALSE()),IFERROR(VLOOKUP(LEFT($N1271,1),LCTT_MAP!$A$7:$C$66,IF($M1271="THU",2,3),FALSE()),IF($M1271="THU","06","07")))))))</f>
        <v/>
      </c>
      <c r="P1271" s="117">
        <f>P1270+IF(AND($H1271&lt;&gt;"",OR(LEFT($F1271,LEN(SC_TK))=SC_TK,LEFT($G1271,LEN(SC_TK))=SC_TK)),1,0)</f>
        <v/>
      </c>
    </row>
    <row r="1272" ht="15" customHeight="1" s="78">
      <c r="A1272" s="95">
        <f>IF($H1272="","",ROW()-6)</f>
        <v/>
      </c>
      <c r="B1272" s="114" t="n"/>
      <c r="C1272" s="102" t="n"/>
      <c r="D1272" s="114" t="n"/>
      <c r="E1272" s="103" t="n"/>
      <c r="F1272" s="102" t="n"/>
      <c r="G1272" s="102" t="n"/>
      <c r="H1272" s="115" t="n"/>
      <c r="I1272" s="102" t="n"/>
      <c r="J1272" s="102" t="n"/>
      <c r="K1272" s="103" t="n"/>
      <c r="L1272" s="116">
        <f>IF($H1272="","",TRIM(IF(COUNTIF(DMTK!$A$7:$A$250,$F1272)=0,"TK Nợ sai! ","")&amp;IF(COUNTIF(DMTK!$A$7:$A$250,$G1272)=0,"TK Có sai! ","")&amp;IF(N($H1272)&lt;=0,"Tiền phải &gt; 0! ","")&amp;IF($B1272="","Thiếu ngày! ","")&amp;IF(AND(OR(LEFT($F1272,3)="131",LEFT($G1272,3)="131",LEFT($F1272,3)="331",LEFT($G1272,3)="331"),$I1272=""),"Thiếu Mã ĐT! ","")&amp;IF(AND($I1272&lt;&gt;"",COUNTIF(DM_DT!$A$7:$A$306,$I1272)=0),"Mã ĐT chưa khai báo! ","")))</f>
        <v/>
      </c>
      <c r="M1272" s="117">
        <f>IF($H1272="","",IF(AND(OR(LEFT($F1272,3)="111",LEFT($F1272,3)="112",LEFT($F1272,3)="113"),OR(LEFT($G1272,3)="111",LEFT($G1272,3)="112",LEFT($G1272,3)="113")),"NB",IF(OR(LEFT($F1272,3)="111",LEFT($F1272,3)="112",LEFT($F1272,3)="113"),"THU",IF(OR(LEFT($G1272,3)="111",LEFT($G1272,3)="112",LEFT($G1272,3)="113"),"CHI",""))))</f>
        <v/>
      </c>
      <c r="N1272" s="117">
        <f>IF($M1272="THU",$G1272,IF($M1272="CHI",$F1272,""))</f>
        <v/>
      </c>
      <c r="O1272" s="117">
        <f>IF(OR($M1272="",$M1272="NB"),"",IF($J1272&lt;&gt;"",TEXT($J1272,"00"),IFERROR(VLOOKUP(LEFT($N1272,4),LCTT_MAP!$A$7:$C$66,IF($M1272="THU",2,3),FALSE()),IFERROR(VLOOKUP(LEFT($N1272,3),LCTT_MAP!$A$7:$C$66,IF($M1272="THU",2,3),FALSE()),IFERROR(VLOOKUP(LEFT($N1272,2),LCTT_MAP!$A$7:$C$66,IF($M1272="THU",2,3),FALSE()),IFERROR(VLOOKUP(LEFT($N1272,1),LCTT_MAP!$A$7:$C$66,IF($M1272="THU",2,3),FALSE()),IF($M1272="THU","06","07")))))))</f>
        <v/>
      </c>
      <c r="P1272" s="117">
        <f>P1271+IF(AND($H1272&lt;&gt;"",OR(LEFT($F1272,LEN(SC_TK))=SC_TK,LEFT($G1272,LEN(SC_TK))=SC_TK)),1,0)</f>
        <v/>
      </c>
    </row>
    <row r="1273" ht="15" customHeight="1" s="78">
      <c r="A1273" s="95">
        <f>IF($H1273="","",ROW()-6)</f>
        <v/>
      </c>
      <c r="B1273" s="114" t="n"/>
      <c r="C1273" s="102" t="n"/>
      <c r="D1273" s="114" t="n"/>
      <c r="E1273" s="103" t="n"/>
      <c r="F1273" s="102" t="n"/>
      <c r="G1273" s="102" t="n"/>
      <c r="H1273" s="115" t="n"/>
      <c r="I1273" s="102" t="n"/>
      <c r="J1273" s="102" t="n"/>
      <c r="K1273" s="103" t="n"/>
      <c r="L1273" s="116">
        <f>IF($H1273="","",TRIM(IF(COUNTIF(DMTK!$A$7:$A$250,$F1273)=0,"TK Nợ sai! ","")&amp;IF(COUNTIF(DMTK!$A$7:$A$250,$G1273)=0,"TK Có sai! ","")&amp;IF(N($H1273)&lt;=0,"Tiền phải &gt; 0! ","")&amp;IF($B1273="","Thiếu ngày! ","")&amp;IF(AND(OR(LEFT($F1273,3)="131",LEFT($G1273,3)="131",LEFT($F1273,3)="331",LEFT($G1273,3)="331"),$I1273=""),"Thiếu Mã ĐT! ","")&amp;IF(AND($I1273&lt;&gt;"",COUNTIF(DM_DT!$A$7:$A$306,$I1273)=0),"Mã ĐT chưa khai báo! ","")))</f>
        <v/>
      </c>
      <c r="M1273" s="117">
        <f>IF($H1273="","",IF(AND(OR(LEFT($F1273,3)="111",LEFT($F1273,3)="112",LEFT($F1273,3)="113"),OR(LEFT($G1273,3)="111",LEFT($G1273,3)="112",LEFT($G1273,3)="113")),"NB",IF(OR(LEFT($F1273,3)="111",LEFT($F1273,3)="112",LEFT($F1273,3)="113"),"THU",IF(OR(LEFT($G1273,3)="111",LEFT($G1273,3)="112",LEFT($G1273,3)="113"),"CHI",""))))</f>
        <v/>
      </c>
      <c r="N1273" s="117">
        <f>IF($M1273="THU",$G1273,IF($M1273="CHI",$F1273,""))</f>
        <v/>
      </c>
      <c r="O1273" s="117">
        <f>IF(OR($M1273="",$M1273="NB"),"",IF($J1273&lt;&gt;"",TEXT($J1273,"00"),IFERROR(VLOOKUP(LEFT($N1273,4),LCTT_MAP!$A$7:$C$66,IF($M1273="THU",2,3),FALSE()),IFERROR(VLOOKUP(LEFT($N1273,3),LCTT_MAP!$A$7:$C$66,IF($M1273="THU",2,3),FALSE()),IFERROR(VLOOKUP(LEFT($N1273,2),LCTT_MAP!$A$7:$C$66,IF($M1273="THU",2,3),FALSE()),IFERROR(VLOOKUP(LEFT($N1273,1),LCTT_MAP!$A$7:$C$66,IF($M1273="THU",2,3),FALSE()),IF($M1273="THU","06","07")))))))</f>
        <v/>
      </c>
      <c r="P1273" s="117">
        <f>P1272+IF(AND($H1273&lt;&gt;"",OR(LEFT($F1273,LEN(SC_TK))=SC_TK,LEFT($G1273,LEN(SC_TK))=SC_TK)),1,0)</f>
        <v/>
      </c>
    </row>
    <row r="1274" ht="15" customHeight="1" s="78">
      <c r="A1274" s="95">
        <f>IF($H1274="","",ROW()-6)</f>
        <v/>
      </c>
      <c r="B1274" s="114" t="n"/>
      <c r="C1274" s="102" t="n"/>
      <c r="D1274" s="114" t="n"/>
      <c r="E1274" s="103" t="n"/>
      <c r="F1274" s="102" t="n"/>
      <c r="G1274" s="102" t="n"/>
      <c r="H1274" s="115" t="n"/>
      <c r="I1274" s="102" t="n"/>
      <c r="J1274" s="102" t="n"/>
      <c r="K1274" s="103" t="n"/>
      <c r="L1274" s="116">
        <f>IF($H1274="","",TRIM(IF(COUNTIF(DMTK!$A$7:$A$250,$F1274)=0,"TK Nợ sai! ","")&amp;IF(COUNTIF(DMTK!$A$7:$A$250,$G1274)=0,"TK Có sai! ","")&amp;IF(N($H1274)&lt;=0,"Tiền phải &gt; 0! ","")&amp;IF($B1274="","Thiếu ngày! ","")&amp;IF(AND(OR(LEFT($F1274,3)="131",LEFT($G1274,3)="131",LEFT($F1274,3)="331",LEFT($G1274,3)="331"),$I1274=""),"Thiếu Mã ĐT! ","")&amp;IF(AND($I1274&lt;&gt;"",COUNTIF(DM_DT!$A$7:$A$306,$I1274)=0),"Mã ĐT chưa khai báo! ","")))</f>
        <v/>
      </c>
      <c r="M1274" s="117">
        <f>IF($H1274="","",IF(AND(OR(LEFT($F1274,3)="111",LEFT($F1274,3)="112",LEFT($F1274,3)="113"),OR(LEFT($G1274,3)="111",LEFT($G1274,3)="112",LEFT($G1274,3)="113")),"NB",IF(OR(LEFT($F1274,3)="111",LEFT($F1274,3)="112",LEFT($F1274,3)="113"),"THU",IF(OR(LEFT($G1274,3)="111",LEFT($G1274,3)="112",LEFT($G1274,3)="113"),"CHI",""))))</f>
        <v/>
      </c>
      <c r="N1274" s="117">
        <f>IF($M1274="THU",$G1274,IF($M1274="CHI",$F1274,""))</f>
        <v/>
      </c>
      <c r="O1274" s="117">
        <f>IF(OR($M1274="",$M1274="NB"),"",IF($J1274&lt;&gt;"",TEXT($J1274,"00"),IFERROR(VLOOKUP(LEFT($N1274,4),LCTT_MAP!$A$7:$C$66,IF($M1274="THU",2,3),FALSE()),IFERROR(VLOOKUP(LEFT($N1274,3),LCTT_MAP!$A$7:$C$66,IF($M1274="THU",2,3),FALSE()),IFERROR(VLOOKUP(LEFT($N1274,2),LCTT_MAP!$A$7:$C$66,IF($M1274="THU",2,3),FALSE()),IFERROR(VLOOKUP(LEFT($N1274,1),LCTT_MAP!$A$7:$C$66,IF($M1274="THU",2,3),FALSE()),IF($M1274="THU","06","07")))))))</f>
        <v/>
      </c>
      <c r="P1274" s="117">
        <f>P1273+IF(AND($H1274&lt;&gt;"",OR(LEFT($F1274,LEN(SC_TK))=SC_TK,LEFT($G1274,LEN(SC_TK))=SC_TK)),1,0)</f>
        <v/>
      </c>
    </row>
    <row r="1275" ht="15" customHeight="1" s="78">
      <c r="A1275" s="95">
        <f>IF($H1275="","",ROW()-6)</f>
        <v/>
      </c>
      <c r="B1275" s="114" t="n"/>
      <c r="C1275" s="102" t="n"/>
      <c r="D1275" s="114" t="n"/>
      <c r="E1275" s="103" t="n"/>
      <c r="F1275" s="102" t="n"/>
      <c r="G1275" s="102" t="n"/>
      <c r="H1275" s="115" t="n"/>
      <c r="I1275" s="102" t="n"/>
      <c r="J1275" s="102" t="n"/>
      <c r="K1275" s="103" t="n"/>
      <c r="L1275" s="116">
        <f>IF($H1275="","",TRIM(IF(COUNTIF(DMTK!$A$7:$A$250,$F1275)=0,"TK Nợ sai! ","")&amp;IF(COUNTIF(DMTK!$A$7:$A$250,$G1275)=0,"TK Có sai! ","")&amp;IF(N($H1275)&lt;=0,"Tiền phải &gt; 0! ","")&amp;IF($B1275="","Thiếu ngày! ","")&amp;IF(AND(OR(LEFT($F1275,3)="131",LEFT($G1275,3)="131",LEFT($F1275,3)="331",LEFT($G1275,3)="331"),$I1275=""),"Thiếu Mã ĐT! ","")&amp;IF(AND($I1275&lt;&gt;"",COUNTIF(DM_DT!$A$7:$A$306,$I1275)=0),"Mã ĐT chưa khai báo! ","")))</f>
        <v/>
      </c>
      <c r="M1275" s="117">
        <f>IF($H1275="","",IF(AND(OR(LEFT($F1275,3)="111",LEFT($F1275,3)="112",LEFT($F1275,3)="113"),OR(LEFT($G1275,3)="111",LEFT($G1275,3)="112",LEFT($G1275,3)="113")),"NB",IF(OR(LEFT($F1275,3)="111",LEFT($F1275,3)="112",LEFT($F1275,3)="113"),"THU",IF(OR(LEFT($G1275,3)="111",LEFT($G1275,3)="112",LEFT($G1275,3)="113"),"CHI",""))))</f>
        <v/>
      </c>
      <c r="N1275" s="117">
        <f>IF($M1275="THU",$G1275,IF($M1275="CHI",$F1275,""))</f>
        <v/>
      </c>
      <c r="O1275" s="117">
        <f>IF(OR($M1275="",$M1275="NB"),"",IF($J1275&lt;&gt;"",TEXT($J1275,"00"),IFERROR(VLOOKUP(LEFT($N1275,4),LCTT_MAP!$A$7:$C$66,IF($M1275="THU",2,3),FALSE()),IFERROR(VLOOKUP(LEFT($N1275,3),LCTT_MAP!$A$7:$C$66,IF($M1275="THU",2,3),FALSE()),IFERROR(VLOOKUP(LEFT($N1275,2),LCTT_MAP!$A$7:$C$66,IF($M1275="THU",2,3),FALSE()),IFERROR(VLOOKUP(LEFT($N1275,1),LCTT_MAP!$A$7:$C$66,IF($M1275="THU",2,3),FALSE()),IF($M1275="THU","06","07")))))))</f>
        <v/>
      </c>
      <c r="P1275" s="117">
        <f>P1274+IF(AND($H1275&lt;&gt;"",OR(LEFT($F1275,LEN(SC_TK))=SC_TK,LEFT($G1275,LEN(SC_TK))=SC_TK)),1,0)</f>
        <v/>
      </c>
    </row>
    <row r="1276" ht="15" customHeight="1" s="78">
      <c r="A1276" s="95">
        <f>IF($H1276="","",ROW()-6)</f>
        <v/>
      </c>
      <c r="B1276" s="114" t="n"/>
      <c r="C1276" s="102" t="n"/>
      <c r="D1276" s="114" t="n"/>
      <c r="E1276" s="103" t="n"/>
      <c r="F1276" s="102" t="n"/>
      <c r="G1276" s="102" t="n"/>
      <c r="H1276" s="115" t="n"/>
      <c r="I1276" s="102" t="n"/>
      <c r="J1276" s="102" t="n"/>
      <c r="K1276" s="103" t="n"/>
      <c r="L1276" s="116">
        <f>IF($H1276="","",TRIM(IF(COUNTIF(DMTK!$A$7:$A$250,$F1276)=0,"TK Nợ sai! ","")&amp;IF(COUNTIF(DMTK!$A$7:$A$250,$G1276)=0,"TK Có sai! ","")&amp;IF(N($H1276)&lt;=0,"Tiền phải &gt; 0! ","")&amp;IF($B1276="","Thiếu ngày! ","")&amp;IF(AND(OR(LEFT($F1276,3)="131",LEFT($G1276,3)="131",LEFT($F1276,3)="331",LEFT($G1276,3)="331"),$I1276=""),"Thiếu Mã ĐT! ","")&amp;IF(AND($I1276&lt;&gt;"",COUNTIF(DM_DT!$A$7:$A$306,$I1276)=0),"Mã ĐT chưa khai báo! ","")))</f>
        <v/>
      </c>
      <c r="M1276" s="117">
        <f>IF($H1276="","",IF(AND(OR(LEFT($F1276,3)="111",LEFT($F1276,3)="112",LEFT($F1276,3)="113"),OR(LEFT($G1276,3)="111",LEFT($G1276,3)="112",LEFT($G1276,3)="113")),"NB",IF(OR(LEFT($F1276,3)="111",LEFT($F1276,3)="112",LEFT($F1276,3)="113"),"THU",IF(OR(LEFT($G1276,3)="111",LEFT($G1276,3)="112",LEFT($G1276,3)="113"),"CHI",""))))</f>
        <v/>
      </c>
      <c r="N1276" s="117">
        <f>IF($M1276="THU",$G1276,IF($M1276="CHI",$F1276,""))</f>
        <v/>
      </c>
      <c r="O1276" s="117">
        <f>IF(OR($M1276="",$M1276="NB"),"",IF($J1276&lt;&gt;"",TEXT($J1276,"00"),IFERROR(VLOOKUP(LEFT($N1276,4),LCTT_MAP!$A$7:$C$66,IF($M1276="THU",2,3),FALSE()),IFERROR(VLOOKUP(LEFT($N1276,3),LCTT_MAP!$A$7:$C$66,IF($M1276="THU",2,3),FALSE()),IFERROR(VLOOKUP(LEFT($N1276,2),LCTT_MAP!$A$7:$C$66,IF($M1276="THU",2,3),FALSE()),IFERROR(VLOOKUP(LEFT($N1276,1),LCTT_MAP!$A$7:$C$66,IF($M1276="THU",2,3),FALSE()),IF($M1276="THU","06","07")))))))</f>
        <v/>
      </c>
      <c r="P1276" s="117">
        <f>P1275+IF(AND($H1276&lt;&gt;"",OR(LEFT($F1276,LEN(SC_TK))=SC_TK,LEFT($G1276,LEN(SC_TK))=SC_TK)),1,0)</f>
        <v/>
      </c>
    </row>
    <row r="1277" ht="15" customHeight="1" s="78">
      <c r="A1277" s="95">
        <f>IF($H1277="","",ROW()-6)</f>
        <v/>
      </c>
      <c r="B1277" s="114" t="n"/>
      <c r="C1277" s="102" t="n"/>
      <c r="D1277" s="114" t="n"/>
      <c r="E1277" s="103" t="n"/>
      <c r="F1277" s="102" t="n"/>
      <c r="G1277" s="102" t="n"/>
      <c r="H1277" s="115" t="n"/>
      <c r="I1277" s="102" t="n"/>
      <c r="J1277" s="102" t="n"/>
      <c r="K1277" s="103" t="n"/>
      <c r="L1277" s="116">
        <f>IF($H1277="","",TRIM(IF(COUNTIF(DMTK!$A$7:$A$250,$F1277)=0,"TK Nợ sai! ","")&amp;IF(COUNTIF(DMTK!$A$7:$A$250,$G1277)=0,"TK Có sai! ","")&amp;IF(N($H1277)&lt;=0,"Tiền phải &gt; 0! ","")&amp;IF($B1277="","Thiếu ngày! ","")&amp;IF(AND(OR(LEFT($F1277,3)="131",LEFT($G1277,3)="131",LEFT($F1277,3)="331",LEFT($G1277,3)="331"),$I1277=""),"Thiếu Mã ĐT! ","")&amp;IF(AND($I1277&lt;&gt;"",COUNTIF(DM_DT!$A$7:$A$306,$I1277)=0),"Mã ĐT chưa khai báo! ","")))</f>
        <v/>
      </c>
      <c r="M1277" s="117">
        <f>IF($H1277="","",IF(AND(OR(LEFT($F1277,3)="111",LEFT($F1277,3)="112",LEFT($F1277,3)="113"),OR(LEFT($G1277,3)="111",LEFT($G1277,3)="112",LEFT($G1277,3)="113")),"NB",IF(OR(LEFT($F1277,3)="111",LEFT($F1277,3)="112",LEFT($F1277,3)="113"),"THU",IF(OR(LEFT($G1277,3)="111",LEFT($G1277,3)="112",LEFT($G1277,3)="113"),"CHI",""))))</f>
        <v/>
      </c>
      <c r="N1277" s="117">
        <f>IF($M1277="THU",$G1277,IF($M1277="CHI",$F1277,""))</f>
        <v/>
      </c>
      <c r="O1277" s="117">
        <f>IF(OR($M1277="",$M1277="NB"),"",IF($J1277&lt;&gt;"",TEXT($J1277,"00"),IFERROR(VLOOKUP(LEFT($N1277,4),LCTT_MAP!$A$7:$C$66,IF($M1277="THU",2,3),FALSE()),IFERROR(VLOOKUP(LEFT($N1277,3),LCTT_MAP!$A$7:$C$66,IF($M1277="THU",2,3),FALSE()),IFERROR(VLOOKUP(LEFT($N1277,2),LCTT_MAP!$A$7:$C$66,IF($M1277="THU",2,3),FALSE()),IFERROR(VLOOKUP(LEFT($N1277,1),LCTT_MAP!$A$7:$C$66,IF($M1277="THU",2,3),FALSE()),IF($M1277="THU","06","07")))))))</f>
        <v/>
      </c>
      <c r="P1277" s="117">
        <f>P1276+IF(AND($H1277&lt;&gt;"",OR(LEFT($F1277,LEN(SC_TK))=SC_TK,LEFT($G1277,LEN(SC_TK))=SC_TK)),1,0)</f>
        <v/>
      </c>
    </row>
    <row r="1278" ht="15" customHeight="1" s="78">
      <c r="A1278" s="95">
        <f>IF($H1278="","",ROW()-6)</f>
        <v/>
      </c>
      <c r="B1278" s="114" t="n"/>
      <c r="C1278" s="102" t="n"/>
      <c r="D1278" s="114" t="n"/>
      <c r="E1278" s="103" t="n"/>
      <c r="F1278" s="102" t="n"/>
      <c r="G1278" s="102" t="n"/>
      <c r="H1278" s="115" t="n"/>
      <c r="I1278" s="102" t="n"/>
      <c r="J1278" s="102" t="n"/>
      <c r="K1278" s="103" t="n"/>
      <c r="L1278" s="116">
        <f>IF($H1278="","",TRIM(IF(COUNTIF(DMTK!$A$7:$A$250,$F1278)=0,"TK Nợ sai! ","")&amp;IF(COUNTIF(DMTK!$A$7:$A$250,$G1278)=0,"TK Có sai! ","")&amp;IF(N($H1278)&lt;=0,"Tiền phải &gt; 0! ","")&amp;IF($B1278="","Thiếu ngày! ","")&amp;IF(AND(OR(LEFT($F1278,3)="131",LEFT($G1278,3)="131",LEFT($F1278,3)="331",LEFT($G1278,3)="331"),$I1278=""),"Thiếu Mã ĐT! ","")&amp;IF(AND($I1278&lt;&gt;"",COUNTIF(DM_DT!$A$7:$A$306,$I1278)=0),"Mã ĐT chưa khai báo! ","")))</f>
        <v/>
      </c>
      <c r="M1278" s="117">
        <f>IF($H1278="","",IF(AND(OR(LEFT($F1278,3)="111",LEFT($F1278,3)="112",LEFT($F1278,3)="113"),OR(LEFT($G1278,3)="111",LEFT($G1278,3)="112",LEFT($G1278,3)="113")),"NB",IF(OR(LEFT($F1278,3)="111",LEFT($F1278,3)="112",LEFT($F1278,3)="113"),"THU",IF(OR(LEFT($G1278,3)="111",LEFT($G1278,3)="112",LEFT($G1278,3)="113"),"CHI",""))))</f>
        <v/>
      </c>
      <c r="N1278" s="117">
        <f>IF($M1278="THU",$G1278,IF($M1278="CHI",$F1278,""))</f>
        <v/>
      </c>
      <c r="O1278" s="117">
        <f>IF(OR($M1278="",$M1278="NB"),"",IF($J1278&lt;&gt;"",TEXT($J1278,"00"),IFERROR(VLOOKUP(LEFT($N1278,4),LCTT_MAP!$A$7:$C$66,IF($M1278="THU",2,3),FALSE()),IFERROR(VLOOKUP(LEFT($N1278,3),LCTT_MAP!$A$7:$C$66,IF($M1278="THU",2,3),FALSE()),IFERROR(VLOOKUP(LEFT($N1278,2),LCTT_MAP!$A$7:$C$66,IF($M1278="THU",2,3),FALSE()),IFERROR(VLOOKUP(LEFT($N1278,1),LCTT_MAP!$A$7:$C$66,IF($M1278="THU",2,3),FALSE()),IF($M1278="THU","06","07")))))))</f>
        <v/>
      </c>
      <c r="P1278" s="117">
        <f>P1277+IF(AND($H1278&lt;&gt;"",OR(LEFT($F1278,LEN(SC_TK))=SC_TK,LEFT($G1278,LEN(SC_TK))=SC_TK)),1,0)</f>
        <v/>
      </c>
    </row>
    <row r="1279" ht="15" customHeight="1" s="78">
      <c r="A1279" s="95">
        <f>IF($H1279="","",ROW()-6)</f>
        <v/>
      </c>
      <c r="B1279" s="114" t="n"/>
      <c r="C1279" s="102" t="n"/>
      <c r="D1279" s="114" t="n"/>
      <c r="E1279" s="103" t="n"/>
      <c r="F1279" s="102" t="n"/>
      <c r="G1279" s="102" t="n"/>
      <c r="H1279" s="115" t="n"/>
      <c r="I1279" s="102" t="n"/>
      <c r="J1279" s="102" t="n"/>
      <c r="K1279" s="103" t="n"/>
      <c r="L1279" s="116">
        <f>IF($H1279="","",TRIM(IF(COUNTIF(DMTK!$A$7:$A$250,$F1279)=0,"TK Nợ sai! ","")&amp;IF(COUNTIF(DMTK!$A$7:$A$250,$G1279)=0,"TK Có sai! ","")&amp;IF(N($H1279)&lt;=0,"Tiền phải &gt; 0! ","")&amp;IF($B1279="","Thiếu ngày! ","")&amp;IF(AND(OR(LEFT($F1279,3)="131",LEFT($G1279,3)="131",LEFT($F1279,3)="331",LEFT($G1279,3)="331"),$I1279=""),"Thiếu Mã ĐT! ","")&amp;IF(AND($I1279&lt;&gt;"",COUNTIF(DM_DT!$A$7:$A$306,$I1279)=0),"Mã ĐT chưa khai báo! ","")))</f>
        <v/>
      </c>
      <c r="M1279" s="117">
        <f>IF($H1279="","",IF(AND(OR(LEFT($F1279,3)="111",LEFT($F1279,3)="112",LEFT($F1279,3)="113"),OR(LEFT($G1279,3)="111",LEFT($G1279,3)="112",LEFT($G1279,3)="113")),"NB",IF(OR(LEFT($F1279,3)="111",LEFT($F1279,3)="112",LEFT($F1279,3)="113"),"THU",IF(OR(LEFT($G1279,3)="111",LEFT($G1279,3)="112",LEFT($G1279,3)="113"),"CHI",""))))</f>
        <v/>
      </c>
      <c r="N1279" s="117">
        <f>IF($M1279="THU",$G1279,IF($M1279="CHI",$F1279,""))</f>
        <v/>
      </c>
      <c r="O1279" s="117">
        <f>IF(OR($M1279="",$M1279="NB"),"",IF($J1279&lt;&gt;"",TEXT($J1279,"00"),IFERROR(VLOOKUP(LEFT($N1279,4),LCTT_MAP!$A$7:$C$66,IF($M1279="THU",2,3),FALSE()),IFERROR(VLOOKUP(LEFT($N1279,3),LCTT_MAP!$A$7:$C$66,IF($M1279="THU",2,3),FALSE()),IFERROR(VLOOKUP(LEFT($N1279,2),LCTT_MAP!$A$7:$C$66,IF($M1279="THU",2,3),FALSE()),IFERROR(VLOOKUP(LEFT($N1279,1),LCTT_MAP!$A$7:$C$66,IF($M1279="THU",2,3),FALSE()),IF($M1279="THU","06","07")))))))</f>
        <v/>
      </c>
      <c r="P1279" s="117">
        <f>P1278+IF(AND($H1279&lt;&gt;"",OR(LEFT($F1279,LEN(SC_TK))=SC_TK,LEFT($G1279,LEN(SC_TK))=SC_TK)),1,0)</f>
        <v/>
      </c>
    </row>
    <row r="1280" ht="15" customHeight="1" s="78">
      <c r="A1280" s="95">
        <f>IF($H1280="","",ROW()-6)</f>
        <v/>
      </c>
      <c r="B1280" s="114" t="n"/>
      <c r="C1280" s="102" t="n"/>
      <c r="D1280" s="114" t="n"/>
      <c r="E1280" s="103" t="n"/>
      <c r="F1280" s="102" t="n"/>
      <c r="G1280" s="102" t="n"/>
      <c r="H1280" s="115" t="n"/>
      <c r="I1280" s="102" t="n"/>
      <c r="J1280" s="102" t="n"/>
      <c r="K1280" s="103" t="n"/>
      <c r="L1280" s="116">
        <f>IF($H1280="","",TRIM(IF(COUNTIF(DMTK!$A$7:$A$250,$F1280)=0,"TK Nợ sai! ","")&amp;IF(COUNTIF(DMTK!$A$7:$A$250,$G1280)=0,"TK Có sai! ","")&amp;IF(N($H1280)&lt;=0,"Tiền phải &gt; 0! ","")&amp;IF($B1280="","Thiếu ngày! ","")&amp;IF(AND(OR(LEFT($F1280,3)="131",LEFT($G1280,3)="131",LEFT($F1280,3)="331",LEFT($G1280,3)="331"),$I1280=""),"Thiếu Mã ĐT! ","")&amp;IF(AND($I1280&lt;&gt;"",COUNTIF(DM_DT!$A$7:$A$306,$I1280)=0),"Mã ĐT chưa khai báo! ","")))</f>
        <v/>
      </c>
      <c r="M1280" s="117">
        <f>IF($H1280="","",IF(AND(OR(LEFT($F1280,3)="111",LEFT($F1280,3)="112",LEFT($F1280,3)="113"),OR(LEFT($G1280,3)="111",LEFT($G1280,3)="112",LEFT($G1280,3)="113")),"NB",IF(OR(LEFT($F1280,3)="111",LEFT($F1280,3)="112",LEFT($F1280,3)="113"),"THU",IF(OR(LEFT($G1280,3)="111",LEFT($G1280,3)="112",LEFT($G1280,3)="113"),"CHI",""))))</f>
        <v/>
      </c>
      <c r="N1280" s="117">
        <f>IF($M1280="THU",$G1280,IF($M1280="CHI",$F1280,""))</f>
        <v/>
      </c>
      <c r="O1280" s="117">
        <f>IF(OR($M1280="",$M1280="NB"),"",IF($J1280&lt;&gt;"",TEXT($J1280,"00"),IFERROR(VLOOKUP(LEFT($N1280,4),LCTT_MAP!$A$7:$C$66,IF($M1280="THU",2,3),FALSE()),IFERROR(VLOOKUP(LEFT($N1280,3),LCTT_MAP!$A$7:$C$66,IF($M1280="THU",2,3),FALSE()),IFERROR(VLOOKUP(LEFT($N1280,2),LCTT_MAP!$A$7:$C$66,IF($M1280="THU",2,3),FALSE()),IFERROR(VLOOKUP(LEFT($N1280,1),LCTT_MAP!$A$7:$C$66,IF($M1280="THU",2,3),FALSE()),IF($M1280="THU","06","07")))))))</f>
        <v/>
      </c>
      <c r="P1280" s="117">
        <f>P1279+IF(AND($H1280&lt;&gt;"",OR(LEFT($F1280,LEN(SC_TK))=SC_TK,LEFT($G1280,LEN(SC_TK))=SC_TK)),1,0)</f>
        <v/>
      </c>
    </row>
    <row r="1281" ht="15" customHeight="1" s="78">
      <c r="A1281" s="95">
        <f>IF($H1281="","",ROW()-6)</f>
        <v/>
      </c>
      <c r="B1281" s="114" t="n"/>
      <c r="C1281" s="102" t="n"/>
      <c r="D1281" s="114" t="n"/>
      <c r="E1281" s="103" t="n"/>
      <c r="F1281" s="102" t="n"/>
      <c r="G1281" s="102" t="n"/>
      <c r="H1281" s="115" t="n"/>
      <c r="I1281" s="102" t="n"/>
      <c r="J1281" s="102" t="n"/>
      <c r="K1281" s="103" t="n"/>
      <c r="L1281" s="116">
        <f>IF($H1281="","",TRIM(IF(COUNTIF(DMTK!$A$7:$A$250,$F1281)=0,"TK Nợ sai! ","")&amp;IF(COUNTIF(DMTK!$A$7:$A$250,$G1281)=0,"TK Có sai! ","")&amp;IF(N($H1281)&lt;=0,"Tiền phải &gt; 0! ","")&amp;IF($B1281="","Thiếu ngày! ","")&amp;IF(AND(OR(LEFT($F1281,3)="131",LEFT($G1281,3)="131",LEFT($F1281,3)="331",LEFT($G1281,3)="331"),$I1281=""),"Thiếu Mã ĐT! ","")&amp;IF(AND($I1281&lt;&gt;"",COUNTIF(DM_DT!$A$7:$A$306,$I1281)=0),"Mã ĐT chưa khai báo! ","")))</f>
        <v/>
      </c>
      <c r="M1281" s="117">
        <f>IF($H1281="","",IF(AND(OR(LEFT($F1281,3)="111",LEFT($F1281,3)="112",LEFT($F1281,3)="113"),OR(LEFT($G1281,3)="111",LEFT($G1281,3)="112",LEFT($G1281,3)="113")),"NB",IF(OR(LEFT($F1281,3)="111",LEFT($F1281,3)="112",LEFT($F1281,3)="113"),"THU",IF(OR(LEFT($G1281,3)="111",LEFT($G1281,3)="112",LEFT($G1281,3)="113"),"CHI",""))))</f>
        <v/>
      </c>
      <c r="N1281" s="117">
        <f>IF($M1281="THU",$G1281,IF($M1281="CHI",$F1281,""))</f>
        <v/>
      </c>
      <c r="O1281" s="117">
        <f>IF(OR($M1281="",$M1281="NB"),"",IF($J1281&lt;&gt;"",TEXT($J1281,"00"),IFERROR(VLOOKUP(LEFT($N1281,4),LCTT_MAP!$A$7:$C$66,IF($M1281="THU",2,3),FALSE()),IFERROR(VLOOKUP(LEFT($N1281,3),LCTT_MAP!$A$7:$C$66,IF($M1281="THU",2,3),FALSE()),IFERROR(VLOOKUP(LEFT($N1281,2),LCTT_MAP!$A$7:$C$66,IF($M1281="THU",2,3),FALSE()),IFERROR(VLOOKUP(LEFT($N1281,1),LCTT_MAP!$A$7:$C$66,IF($M1281="THU",2,3),FALSE()),IF($M1281="THU","06","07")))))))</f>
        <v/>
      </c>
      <c r="P1281" s="117">
        <f>P1280+IF(AND($H1281&lt;&gt;"",OR(LEFT($F1281,LEN(SC_TK))=SC_TK,LEFT($G1281,LEN(SC_TK))=SC_TK)),1,0)</f>
        <v/>
      </c>
    </row>
    <row r="1282" ht="15" customHeight="1" s="78">
      <c r="A1282" s="95">
        <f>IF($H1282="","",ROW()-6)</f>
        <v/>
      </c>
      <c r="B1282" s="114" t="n"/>
      <c r="C1282" s="102" t="n"/>
      <c r="D1282" s="114" t="n"/>
      <c r="E1282" s="103" t="n"/>
      <c r="F1282" s="102" t="n"/>
      <c r="G1282" s="102" t="n"/>
      <c r="H1282" s="115" t="n"/>
      <c r="I1282" s="102" t="n"/>
      <c r="J1282" s="102" t="n"/>
      <c r="K1282" s="103" t="n"/>
      <c r="L1282" s="116">
        <f>IF($H1282="","",TRIM(IF(COUNTIF(DMTK!$A$7:$A$250,$F1282)=0,"TK Nợ sai! ","")&amp;IF(COUNTIF(DMTK!$A$7:$A$250,$G1282)=0,"TK Có sai! ","")&amp;IF(N($H1282)&lt;=0,"Tiền phải &gt; 0! ","")&amp;IF($B1282="","Thiếu ngày! ","")&amp;IF(AND(OR(LEFT($F1282,3)="131",LEFT($G1282,3)="131",LEFT($F1282,3)="331",LEFT($G1282,3)="331"),$I1282=""),"Thiếu Mã ĐT! ","")&amp;IF(AND($I1282&lt;&gt;"",COUNTIF(DM_DT!$A$7:$A$306,$I1282)=0),"Mã ĐT chưa khai báo! ","")))</f>
        <v/>
      </c>
      <c r="M1282" s="117">
        <f>IF($H1282="","",IF(AND(OR(LEFT($F1282,3)="111",LEFT($F1282,3)="112",LEFT($F1282,3)="113"),OR(LEFT($G1282,3)="111",LEFT($G1282,3)="112",LEFT($G1282,3)="113")),"NB",IF(OR(LEFT($F1282,3)="111",LEFT($F1282,3)="112",LEFT($F1282,3)="113"),"THU",IF(OR(LEFT($G1282,3)="111",LEFT($G1282,3)="112",LEFT($G1282,3)="113"),"CHI",""))))</f>
        <v/>
      </c>
      <c r="N1282" s="117">
        <f>IF($M1282="THU",$G1282,IF($M1282="CHI",$F1282,""))</f>
        <v/>
      </c>
      <c r="O1282" s="117">
        <f>IF(OR($M1282="",$M1282="NB"),"",IF($J1282&lt;&gt;"",TEXT($J1282,"00"),IFERROR(VLOOKUP(LEFT($N1282,4),LCTT_MAP!$A$7:$C$66,IF($M1282="THU",2,3),FALSE()),IFERROR(VLOOKUP(LEFT($N1282,3),LCTT_MAP!$A$7:$C$66,IF($M1282="THU",2,3),FALSE()),IFERROR(VLOOKUP(LEFT($N1282,2),LCTT_MAP!$A$7:$C$66,IF($M1282="THU",2,3),FALSE()),IFERROR(VLOOKUP(LEFT($N1282,1),LCTT_MAP!$A$7:$C$66,IF($M1282="THU",2,3),FALSE()),IF($M1282="THU","06","07")))))))</f>
        <v/>
      </c>
      <c r="P1282" s="117">
        <f>P1281+IF(AND($H1282&lt;&gt;"",OR(LEFT($F1282,LEN(SC_TK))=SC_TK,LEFT($G1282,LEN(SC_TK))=SC_TK)),1,0)</f>
        <v/>
      </c>
    </row>
    <row r="1283" ht="15" customHeight="1" s="78">
      <c r="A1283" s="95">
        <f>IF($H1283="","",ROW()-6)</f>
        <v/>
      </c>
      <c r="B1283" s="114" t="n"/>
      <c r="C1283" s="102" t="n"/>
      <c r="D1283" s="114" t="n"/>
      <c r="E1283" s="103" t="n"/>
      <c r="F1283" s="102" t="n"/>
      <c r="G1283" s="102" t="n"/>
      <c r="H1283" s="115" t="n"/>
      <c r="I1283" s="102" t="n"/>
      <c r="J1283" s="102" t="n"/>
      <c r="K1283" s="103" t="n"/>
      <c r="L1283" s="116">
        <f>IF($H1283="","",TRIM(IF(COUNTIF(DMTK!$A$7:$A$250,$F1283)=0,"TK Nợ sai! ","")&amp;IF(COUNTIF(DMTK!$A$7:$A$250,$G1283)=0,"TK Có sai! ","")&amp;IF(N($H1283)&lt;=0,"Tiền phải &gt; 0! ","")&amp;IF($B1283="","Thiếu ngày! ","")&amp;IF(AND(OR(LEFT($F1283,3)="131",LEFT($G1283,3)="131",LEFT($F1283,3)="331",LEFT($G1283,3)="331"),$I1283=""),"Thiếu Mã ĐT! ","")&amp;IF(AND($I1283&lt;&gt;"",COUNTIF(DM_DT!$A$7:$A$306,$I1283)=0),"Mã ĐT chưa khai báo! ","")))</f>
        <v/>
      </c>
      <c r="M1283" s="117">
        <f>IF($H1283="","",IF(AND(OR(LEFT($F1283,3)="111",LEFT($F1283,3)="112",LEFT($F1283,3)="113"),OR(LEFT($G1283,3)="111",LEFT($G1283,3)="112",LEFT($G1283,3)="113")),"NB",IF(OR(LEFT($F1283,3)="111",LEFT($F1283,3)="112",LEFT($F1283,3)="113"),"THU",IF(OR(LEFT($G1283,3)="111",LEFT($G1283,3)="112",LEFT($G1283,3)="113"),"CHI",""))))</f>
        <v/>
      </c>
      <c r="N1283" s="117">
        <f>IF($M1283="THU",$G1283,IF($M1283="CHI",$F1283,""))</f>
        <v/>
      </c>
      <c r="O1283" s="117">
        <f>IF(OR($M1283="",$M1283="NB"),"",IF($J1283&lt;&gt;"",TEXT($J1283,"00"),IFERROR(VLOOKUP(LEFT($N1283,4),LCTT_MAP!$A$7:$C$66,IF($M1283="THU",2,3),FALSE()),IFERROR(VLOOKUP(LEFT($N1283,3),LCTT_MAP!$A$7:$C$66,IF($M1283="THU",2,3),FALSE()),IFERROR(VLOOKUP(LEFT($N1283,2),LCTT_MAP!$A$7:$C$66,IF($M1283="THU",2,3),FALSE()),IFERROR(VLOOKUP(LEFT($N1283,1),LCTT_MAP!$A$7:$C$66,IF($M1283="THU",2,3),FALSE()),IF($M1283="THU","06","07")))))))</f>
        <v/>
      </c>
      <c r="P1283" s="117">
        <f>P1282+IF(AND($H1283&lt;&gt;"",OR(LEFT($F1283,LEN(SC_TK))=SC_TK,LEFT($G1283,LEN(SC_TK))=SC_TK)),1,0)</f>
        <v/>
      </c>
    </row>
    <row r="1284" ht="15" customHeight="1" s="78">
      <c r="A1284" s="95">
        <f>IF($H1284="","",ROW()-6)</f>
        <v/>
      </c>
      <c r="B1284" s="114" t="n"/>
      <c r="C1284" s="102" t="n"/>
      <c r="D1284" s="114" t="n"/>
      <c r="E1284" s="103" t="n"/>
      <c r="F1284" s="102" t="n"/>
      <c r="G1284" s="102" t="n"/>
      <c r="H1284" s="115" t="n"/>
      <c r="I1284" s="102" t="n"/>
      <c r="J1284" s="102" t="n"/>
      <c r="K1284" s="103" t="n"/>
      <c r="L1284" s="116">
        <f>IF($H1284="","",TRIM(IF(COUNTIF(DMTK!$A$7:$A$250,$F1284)=0,"TK Nợ sai! ","")&amp;IF(COUNTIF(DMTK!$A$7:$A$250,$G1284)=0,"TK Có sai! ","")&amp;IF(N($H1284)&lt;=0,"Tiền phải &gt; 0! ","")&amp;IF($B1284="","Thiếu ngày! ","")&amp;IF(AND(OR(LEFT($F1284,3)="131",LEFT($G1284,3)="131",LEFT($F1284,3)="331",LEFT($G1284,3)="331"),$I1284=""),"Thiếu Mã ĐT! ","")&amp;IF(AND($I1284&lt;&gt;"",COUNTIF(DM_DT!$A$7:$A$306,$I1284)=0),"Mã ĐT chưa khai báo! ","")))</f>
        <v/>
      </c>
      <c r="M1284" s="117">
        <f>IF($H1284="","",IF(AND(OR(LEFT($F1284,3)="111",LEFT($F1284,3)="112",LEFT($F1284,3)="113"),OR(LEFT($G1284,3)="111",LEFT($G1284,3)="112",LEFT($G1284,3)="113")),"NB",IF(OR(LEFT($F1284,3)="111",LEFT($F1284,3)="112",LEFT($F1284,3)="113"),"THU",IF(OR(LEFT($G1284,3)="111",LEFT($G1284,3)="112",LEFT($G1284,3)="113"),"CHI",""))))</f>
        <v/>
      </c>
      <c r="N1284" s="117">
        <f>IF($M1284="THU",$G1284,IF($M1284="CHI",$F1284,""))</f>
        <v/>
      </c>
      <c r="O1284" s="117">
        <f>IF(OR($M1284="",$M1284="NB"),"",IF($J1284&lt;&gt;"",TEXT($J1284,"00"),IFERROR(VLOOKUP(LEFT($N1284,4),LCTT_MAP!$A$7:$C$66,IF($M1284="THU",2,3),FALSE()),IFERROR(VLOOKUP(LEFT($N1284,3),LCTT_MAP!$A$7:$C$66,IF($M1284="THU",2,3),FALSE()),IFERROR(VLOOKUP(LEFT($N1284,2),LCTT_MAP!$A$7:$C$66,IF($M1284="THU",2,3),FALSE()),IFERROR(VLOOKUP(LEFT($N1284,1),LCTT_MAP!$A$7:$C$66,IF($M1284="THU",2,3),FALSE()),IF($M1284="THU","06","07")))))))</f>
        <v/>
      </c>
      <c r="P1284" s="117">
        <f>P1283+IF(AND($H1284&lt;&gt;"",OR(LEFT($F1284,LEN(SC_TK))=SC_TK,LEFT($G1284,LEN(SC_TK))=SC_TK)),1,0)</f>
        <v/>
      </c>
    </row>
    <row r="1285" ht="15" customHeight="1" s="78">
      <c r="A1285" s="95">
        <f>IF($H1285="","",ROW()-6)</f>
        <v/>
      </c>
      <c r="B1285" s="114" t="n"/>
      <c r="C1285" s="102" t="n"/>
      <c r="D1285" s="114" t="n"/>
      <c r="E1285" s="103" t="n"/>
      <c r="F1285" s="102" t="n"/>
      <c r="G1285" s="102" t="n"/>
      <c r="H1285" s="115" t="n"/>
      <c r="I1285" s="102" t="n"/>
      <c r="J1285" s="102" t="n"/>
      <c r="K1285" s="103" t="n"/>
      <c r="L1285" s="116">
        <f>IF($H1285="","",TRIM(IF(COUNTIF(DMTK!$A$7:$A$250,$F1285)=0,"TK Nợ sai! ","")&amp;IF(COUNTIF(DMTK!$A$7:$A$250,$G1285)=0,"TK Có sai! ","")&amp;IF(N($H1285)&lt;=0,"Tiền phải &gt; 0! ","")&amp;IF($B1285="","Thiếu ngày! ","")&amp;IF(AND(OR(LEFT($F1285,3)="131",LEFT($G1285,3)="131",LEFT($F1285,3)="331",LEFT($G1285,3)="331"),$I1285=""),"Thiếu Mã ĐT! ","")&amp;IF(AND($I1285&lt;&gt;"",COUNTIF(DM_DT!$A$7:$A$306,$I1285)=0),"Mã ĐT chưa khai báo! ","")))</f>
        <v/>
      </c>
      <c r="M1285" s="117">
        <f>IF($H1285="","",IF(AND(OR(LEFT($F1285,3)="111",LEFT($F1285,3)="112",LEFT($F1285,3)="113"),OR(LEFT($G1285,3)="111",LEFT($G1285,3)="112",LEFT($G1285,3)="113")),"NB",IF(OR(LEFT($F1285,3)="111",LEFT($F1285,3)="112",LEFT($F1285,3)="113"),"THU",IF(OR(LEFT($G1285,3)="111",LEFT($G1285,3)="112",LEFT($G1285,3)="113"),"CHI",""))))</f>
        <v/>
      </c>
      <c r="N1285" s="117">
        <f>IF($M1285="THU",$G1285,IF($M1285="CHI",$F1285,""))</f>
        <v/>
      </c>
      <c r="O1285" s="117">
        <f>IF(OR($M1285="",$M1285="NB"),"",IF($J1285&lt;&gt;"",TEXT($J1285,"00"),IFERROR(VLOOKUP(LEFT($N1285,4),LCTT_MAP!$A$7:$C$66,IF($M1285="THU",2,3),FALSE()),IFERROR(VLOOKUP(LEFT($N1285,3),LCTT_MAP!$A$7:$C$66,IF($M1285="THU",2,3),FALSE()),IFERROR(VLOOKUP(LEFT($N1285,2),LCTT_MAP!$A$7:$C$66,IF($M1285="THU",2,3),FALSE()),IFERROR(VLOOKUP(LEFT($N1285,1),LCTT_MAP!$A$7:$C$66,IF($M1285="THU",2,3),FALSE()),IF($M1285="THU","06","07")))))))</f>
        <v/>
      </c>
      <c r="P1285" s="117">
        <f>P1284+IF(AND($H1285&lt;&gt;"",OR(LEFT($F1285,LEN(SC_TK))=SC_TK,LEFT($G1285,LEN(SC_TK))=SC_TK)),1,0)</f>
        <v/>
      </c>
    </row>
    <row r="1286" ht="15" customHeight="1" s="78">
      <c r="A1286" s="95">
        <f>IF($H1286="","",ROW()-6)</f>
        <v/>
      </c>
      <c r="B1286" s="114" t="n"/>
      <c r="C1286" s="102" t="n"/>
      <c r="D1286" s="114" t="n"/>
      <c r="E1286" s="103" t="n"/>
      <c r="F1286" s="102" t="n"/>
      <c r="G1286" s="102" t="n"/>
      <c r="H1286" s="115" t="n"/>
      <c r="I1286" s="102" t="n"/>
      <c r="J1286" s="102" t="n"/>
      <c r="K1286" s="103" t="n"/>
      <c r="L1286" s="116">
        <f>IF($H1286="","",TRIM(IF(COUNTIF(DMTK!$A$7:$A$250,$F1286)=0,"TK Nợ sai! ","")&amp;IF(COUNTIF(DMTK!$A$7:$A$250,$G1286)=0,"TK Có sai! ","")&amp;IF(N($H1286)&lt;=0,"Tiền phải &gt; 0! ","")&amp;IF($B1286="","Thiếu ngày! ","")&amp;IF(AND(OR(LEFT($F1286,3)="131",LEFT($G1286,3)="131",LEFT($F1286,3)="331",LEFT($G1286,3)="331"),$I1286=""),"Thiếu Mã ĐT! ","")&amp;IF(AND($I1286&lt;&gt;"",COUNTIF(DM_DT!$A$7:$A$306,$I1286)=0),"Mã ĐT chưa khai báo! ","")))</f>
        <v/>
      </c>
      <c r="M1286" s="117">
        <f>IF($H1286="","",IF(AND(OR(LEFT($F1286,3)="111",LEFT($F1286,3)="112",LEFT($F1286,3)="113"),OR(LEFT($G1286,3)="111",LEFT($G1286,3)="112",LEFT($G1286,3)="113")),"NB",IF(OR(LEFT($F1286,3)="111",LEFT($F1286,3)="112",LEFT($F1286,3)="113"),"THU",IF(OR(LEFT($G1286,3)="111",LEFT($G1286,3)="112",LEFT($G1286,3)="113"),"CHI",""))))</f>
        <v/>
      </c>
      <c r="N1286" s="117">
        <f>IF($M1286="THU",$G1286,IF($M1286="CHI",$F1286,""))</f>
        <v/>
      </c>
      <c r="O1286" s="117">
        <f>IF(OR($M1286="",$M1286="NB"),"",IF($J1286&lt;&gt;"",TEXT($J1286,"00"),IFERROR(VLOOKUP(LEFT($N1286,4),LCTT_MAP!$A$7:$C$66,IF($M1286="THU",2,3),FALSE()),IFERROR(VLOOKUP(LEFT($N1286,3),LCTT_MAP!$A$7:$C$66,IF($M1286="THU",2,3),FALSE()),IFERROR(VLOOKUP(LEFT($N1286,2),LCTT_MAP!$A$7:$C$66,IF($M1286="THU",2,3),FALSE()),IFERROR(VLOOKUP(LEFT($N1286,1),LCTT_MAP!$A$7:$C$66,IF($M1286="THU",2,3),FALSE()),IF($M1286="THU","06","07")))))))</f>
        <v/>
      </c>
      <c r="P1286" s="117">
        <f>P1285+IF(AND($H1286&lt;&gt;"",OR(LEFT($F1286,LEN(SC_TK))=SC_TK,LEFT($G1286,LEN(SC_TK))=SC_TK)),1,0)</f>
        <v/>
      </c>
    </row>
    <row r="1287" ht="15" customHeight="1" s="78">
      <c r="A1287" s="95">
        <f>IF($H1287="","",ROW()-6)</f>
        <v/>
      </c>
      <c r="B1287" s="114" t="n"/>
      <c r="C1287" s="102" t="n"/>
      <c r="D1287" s="114" t="n"/>
      <c r="E1287" s="103" t="n"/>
      <c r="F1287" s="102" t="n"/>
      <c r="G1287" s="102" t="n"/>
      <c r="H1287" s="115" t="n"/>
      <c r="I1287" s="102" t="n"/>
      <c r="J1287" s="102" t="n"/>
      <c r="K1287" s="103" t="n"/>
      <c r="L1287" s="116">
        <f>IF($H1287="","",TRIM(IF(COUNTIF(DMTK!$A$7:$A$250,$F1287)=0,"TK Nợ sai! ","")&amp;IF(COUNTIF(DMTK!$A$7:$A$250,$G1287)=0,"TK Có sai! ","")&amp;IF(N($H1287)&lt;=0,"Tiền phải &gt; 0! ","")&amp;IF($B1287="","Thiếu ngày! ","")&amp;IF(AND(OR(LEFT($F1287,3)="131",LEFT($G1287,3)="131",LEFT($F1287,3)="331",LEFT($G1287,3)="331"),$I1287=""),"Thiếu Mã ĐT! ","")&amp;IF(AND($I1287&lt;&gt;"",COUNTIF(DM_DT!$A$7:$A$306,$I1287)=0),"Mã ĐT chưa khai báo! ","")))</f>
        <v/>
      </c>
      <c r="M1287" s="117">
        <f>IF($H1287="","",IF(AND(OR(LEFT($F1287,3)="111",LEFT($F1287,3)="112",LEFT($F1287,3)="113"),OR(LEFT($G1287,3)="111",LEFT($G1287,3)="112",LEFT($G1287,3)="113")),"NB",IF(OR(LEFT($F1287,3)="111",LEFT($F1287,3)="112",LEFT($F1287,3)="113"),"THU",IF(OR(LEFT($G1287,3)="111",LEFT($G1287,3)="112",LEFT($G1287,3)="113"),"CHI",""))))</f>
        <v/>
      </c>
      <c r="N1287" s="117">
        <f>IF($M1287="THU",$G1287,IF($M1287="CHI",$F1287,""))</f>
        <v/>
      </c>
      <c r="O1287" s="117">
        <f>IF(OR($M1287="",$M1287="NB"),"",IF($J1287&lt;&gt;"",TEXT($J1287,"00"),IFERROR(VLOOKUP(LEFT($N1287,4),LCTT_MAP!$A$7:$C$66,IF($M1287="THU",2,3),FALSE()),IFERROR(VLOOKUP(LEFT($N1287,3),LCTT_MAP!$A$7:$C$66,IF($M1287="THU",2,3),FALSE()),IFERROR(VLOOKUP(LEFT($N1287,2),LCTT_MAP!$A$7:$C$66,IF($M1287="THU",2,3),FALSE()),IFERROR(VLOOKUP(LEFT($N1287,1),LCTT_MAP!$A$7:$C$66,IF($M1287="THU",2,3),FALSE()),IF($M1287="THU","06","07")))))))</f>
        <v/>
      </c>
      <c r="P1287" s="117">
        <f>P1286+IF(AND($H1287&lt;&gt;"",OR(LEFT($F1287,LEN(SC_TK))=SC_TK,LEFT($G1287,LEN(SC_TK))=SC_TK)),1,0)</f>
        <v/>
      </c>
    </row>
    <row r="1288" ht="15" customHeight="1" s="78">
      <c r="A1288" s="95">
        <f>IF($H1288="","",ROW()-6)</f>
        <v/>
      </c>
      <c r="B1288" s="114" t="n"/>
      <c r="C1288" s="102" t="n"/>
      <c r="D1288" s="114" t="n"/>
      <c r="E1288" s="103" t="n"/>
      <c r="F1288" s="102" t="n"/>
      <c r="G1288" s="102" t="n"/>
      <c r="H1288" s="115" t="n"/>
      <c r="I1288" s="102" t="n"/>
      <c r="J1288" s="102" t="n"/>
      <c r="K1288" s="103" t="n"/>
      <c r="L1288" s="116">
        <f>IF($H1288="","",TRIM(IF(COUNTIF(DMTK!$A$7:$A$250,$F1288)=0,"TK Nợ sai! ","")&amp;IF(COUNTIF(DMTK!$A$7:$A$250,$G1288)=0,"TK Có sai! ","")&amp;IF(N($H1288)&lt;=0,"Tiền phải &gt; 0! ","")&amp;IF($B1288="","Thiếu ngày! ","")&amp;IF(AND(OR(LEFT($F1288,3)="131",LEFT($G1288,3)="131",LEFT($F1288,3)="331",LEFT($G1288,3)="331"),$I1288=""),"Thiếu Mã ĐT! ","")&amp;IF(AND($I1288&lt;&gt;"",COUNTIF(DM_DT!$A$7:$A$306,$I1288)=0),"Mã ĐT chưa khai báo! ","")))</f>
        <v/>
      </c>
      <c r="M1288" s="117">
        <f>IF($H1288="","",IF(AND(OR(LEFT($F1288,3)="111",LEFT($F1288,3)="112",LEFT($F1288,3)="113"),OR(LEFT($G1288,3)="111",LEFT($G1288,3)="112",LEFT($G1288,3)="113")),"NB",IF(OR(LEFT($F1288,3)="111",LEFT($F1288,3)="112",LEFT($F1288,3)="113"),"THU",IF(OR(LEFT($G1288,3)="111",LEFT($G1288,3)="112",LEFT($G1288,3)="113"),"CHI",""))))</f>
        <v/>
      </c>
      <c r="N1288" s="117">
        <f>IF($M1288="THU",$G1288,IF($M1288="CHI",$F1288,""))</f>
        <v/>
      </c>
      <c r="O1288" s="117">
        <f>IF(OR($M1288="",$M1288="NB"),"",IF($J1288&lt;&gt;"",TEXT($J1288,"00"),IFERROR(VLOOKUP(LEFT($N1288,4),LCTT_MAP!$A$7:$C$66,IF($M1288="THU",2,3),FALSE()),IFERROR(VLOOKUP(LEFT($N1288,3),LCTT_MAP!$A$7:$C$66,IF($M1288="THU",2,3),FALSE()),IFERROR(VLOOKUP(LEFT($N1288,2),LCTT_MAP!$A$7:$C$66,IF($M1288="THU",2,3),FALSE()),IFERROR(VLOOKUP(LEFT($N1288,1),LCTT_MAP!$A$7:$C$66,IF($M1288="THU",2,3),FALSE()),IF($M1288="THU","06","07")))))))</f>
        <v/>
      </c>
      <c r="P1288" s="117">
        <f>P1287+IF(AND($H1288&lt;&gt;"",OR(LEFT($F1288,LEN(SC_TK))=SC_TK,LEFT($G1288,LEN(SC_TK))=SC_TK)),1,0)</f>
        <v/>
      </c>
    </row>
    <row r="1289" ht="15" customHeight="1" s="78">
      <c r="A1289" s="95">
        <f>IF($H1289="","",ROW()-6)</f>
        <v/>
      </c>
      <c r="B1289" s="114" t="n"/>
      <c r="C1289" s="102" t="n"/>
      <c r="D1289" s="114" t="n"/>
      <c r="E1289" s="103" t="n"/>
      <c r="F1289" s="102" t="n"/>
      <c r="G1289" s="102" t="n"/>
      <c r="H1289" s="115" t="n"/>
      <c r="I1289" s="102" t="n"/>
      <c r="J1289" s="102" t="n"/>
      <c r="K1289" s="103" t="n"/>
      <c r="L1289" s="116">
        <f>IF($H1289="","",TRIM(IF(COUNTIF(DMTK!$A$7:$A$250,$F1289)=0,"TK Nợ sai! ","")&amp;IF(COUNTIF(DMTK!$A$7:$A$250,$G1289)=0,"TK Có sai! ","")&amp;IF(N($H1289)&lt;=0,"Tiền phải &gt; 0! ","")&amp;IF($B1289="","Thiếu ngày! ","")&amp;IF(AND(OR(LEFT($F1289,3)="131",LEFT($G1289,3)="131",LEFT($F1289,3)="331",LEFT($G1289,3)="331"),$I1289=""),"Thiếu Mã ĐT! ","")&amp;IF(AND($I1289&lt;&gt;"",COUNTIF(DM_DT!$A$7:$A$306,$I1289)=0),"Mã ĐT chưa khai báo! ","")))</f>
        <v/>
      </c>
      <c r="M1289" s="117">
        <f>IF($H1289="","",IF(AND(OR(LEFT($F1289,3)="111",LEFT($F1289,3)="112",LEFT($F1289,3)="113"),OR(LEFT($G1289,3)="111",LEFT($G1289,3)="112",LEFT($G1289,3)="113")),"NB",IF(OR(LEFT($F1289,3)="111",LEFT($F1289,3)="112",LEFT($F1289,3)="113"),"THU",IF(OR(LEFT($G1289,3)="111",LEFT($G1289,3)="112",LEFT($G1289,3)="113"),"CHI",""))))</f>
        <v/>
      </c>
      <c r="N1289" s="117">
        <f>IF($M1289="THU",$G1289,IF($M1289="CHI",$F1289,""))</f>
        <v/>
      </c>
      <c r="O1289" s="117">
        <f>IF(OR($M1289="",$M1289="NB"),"",IF($J1289&lt;&gt;"",TEXT($J1289,"00"),IFERROR(VLOOKUP(LEFT($N1289,4),LCTT_MAP!$A$7:$C$66,IF($M1289="THU",2,3),FALSE()),IFERROR(VLOOKUP(LEFT($N1289,3),LCTT_MAP!$A$7:$C$66,IF($M1289="THU",2,3),FALSE()),IFERROR(VLOOKUP(LEFT($N1289,2),LCTT_MAP!$A$7:$C$66,IF($M1289="THU",2,3),FALSE()),IFERROR(VLOOKUP(LEFT($N1289,1),LCTT_MAP!$A$7:$C$66,IF($M1289="THU",2,3),FALSE()),IF($M1289="THU","06","07")))))))</f>
        <v/>
      </c>
      <c r="P1289" s="117">
        <f>P1288+IF(AND($H1289&lt;&gt;"",OR(LEFT($F1289,LEN(SC_TK))=SC_TK,LEFT($G1289,LEN(SC_TK))=SC_TK)),1,0)</f>
        <v/>
      </c>
    </row>
    <row r="1290" ht="15" customHeight="1" s="78">
      <c r="A1290" s="95">
        <f>IF($H1290="","",ROW()-6)</f>
        <v/>
      </c>
      <c r="B1290" s="114" t="n"/>
      <c r="C1290" s="102" t="n"/>
      <c r="D1290" s="114" t="n"/>
      <c r="E1290" s="103" t="n"/>
      <c r="F1290" s="102" t="n"/>
      <c r="G1290" s="102" t="n"/>
      <c r="H1290" s="115" t="n"/>
      <c r="I1290" s="102" t="n"/>
      <c r="J1290" s="102" t="n"/>
      <c r="K1290" s="103" t="n"/>
      <c r="L1290" s="116">
        <f>IF($H1290="","",TRIM(IF(COUNTIF(DMTK!$A$7:$A$250,$F1290)=0,"TK Nợ sai! ","")&amp;IF(COUNTIF(DMTK!$A$7:$A$250,$G1290)=0,"TK Có sai! ","")&amp;IF(N($H1290)&lt;=0,"Tiền phải &gt; 0! ","")&amp;IF($B1290="","Thiếu ngày! ","")&amp;IF(AND(OR(LEFT($F1290,3)="131",LEFT($G1290,3)="131",LEFT($F1290,3)="331",LEFT($G1290,3)="331"),$I1290=""),"Thiếu Mã ĐT! ","")&amp;IF(AND($I1290&lt;&gt;"",COUNTIF(DM_DT!$A$7:$A$306,$I1290)=0),"Mã ĐT chưa khai báo! ","")))</f>
        <v/>
      </c>
      <c r="M1290" s="117">
        <f>IF($H1290="","",IF(AND(OR(LEFT($F1290,3)="111",LEFT($F1290,3)="112",LEFT($F1290,3)="113"),OR(LEFT($G1290,3)="111",LEFT($G1290,3)="112",LEFT($G1290,3)="113")),"NB",IF(OR(LEFT($F1290,3)="111",LEFT($F1290,3)="112",LEFT($F1290,3)="113"),"THU",IF(OR(LEFT($G1290,3)="111",LEFT($G1290,3)="112",LEFT($G1290,3)="113"),"CHI",""))))</f>
        <v/>
      </c>
      <c r="N1290" s="117">
        <f>IF($M1290="THU",$G1290,IF($M1290="CHI",$F1290,""))</f>
        <v/>
      </c>
      <c r="O1290" s="117">
        <f>IF(OR($M1290="",$M1290="NB"),"",IF($J1290&lt;&gt;"",TEXT($J1290,"00"),IFERROR(VLOOKUP(LEFT($N1290,4),LCTT_MAP!$A$7:$C$66,IF($M1290="THU",2,3),FALSE()),IFERROR(VLOOKUP(LEFT($N1290,3),LCTT_MAP!$A$7:$C$66,IF($M1290="THU",2,3),FALSE()),IFERROR(VLOOKUP(LEFT($N1290,2),LCTT_MAP!$A$7:$C$66,IF($M1290="THU",2,3),FALSE()),IFERROR(VLOOKUP(LEFT($N1290,1),LCTT_MAP!$A$7:$C$66,IF($M1290="THU",2,3),FALSE()),IF($M1290="THU","06","07")))))))</f>
        <v/>
      </c>
      <c r="P1290" s="117">
        <f>P1289+IF(AND($H1290&lt;&gt;"",OR(LEFT($F1290,LEN(SC_TK))=SC_TK,LEFT($G1290,LEN(SC_TK))=SC_TK)),1,0)</f>
        <v/>
      </c>
    </row>
    <row r="1291" ht="15" customHeight="1" s="78">
      <c r="A1291" s="95">
        <f>IF($H1291="","",ROW()-6)</f>
        <v/>
      </c>
      <c r="B1291" s="114" t="n"/>
      <c r="C1291" s="102" t="n"/>
      <c r="D1291" s="114" t="n"/>
      <c r="E1291" s="103" t="n"/>
      <c r="F1291" s="102" t="n"/>
      <c r="G1291" s="102" t="n"/>
      <c r="H1291" s="115" t="n"/>
      <c r="I1291" s="102" t="n"/>
      <c r="J1291" s="102" t="n"/>
      <c r="K1291" s="103" t="n"/>
      <c r="L1291" s="116">
        <f>IF($H1291="","",TRIM(IF(COUNTIF(DMTK!$A$7:$A$250,$F1291)=0,"TK Nợ sai! ","")&amp;IF(COUNTIF(DMTK!$A$7:$A$250,$G1291)=0,"TK Có sai! ","")&amp;IF(N($H1291)&lt;=0,"Tiền phải &gt; 0! ","")&amp;IF($B1291="","Thiếu ngày! ","")&amp;IF(AND(OR(LEFT($F1291,3)="131",LEFT($G1291,3)="131",LEFT($F1291,3)="331",LEFT($G1291,3)="331"),$I1291=""),"Thiếu Mã ĐT! ","")&amp;IF(AND($I1291&lt;&gt;"",COUNTIF(DM_DT!$A$7:$A$306,$I1291)=0),"Mã ĐT chưa khai báo! ","")))</f>
        <v/>
      </c>
      <c r="M1291" s="117">
        <f>IF($H1291="","",IF(AND(OR(LEFT($F1291,3)="111",LEFT($F1291,3)="112",LEFT($F1291,3)="113"),OR(LEFT($G1291,3)="111",LEFT($G1291,3)="112",LEFT($G1291,3)="113")),"NB",IF(OR(LEFT($F1291,3)="111",LEFT($F1291,3)="112",LEFT($F1291,3)="113"),"THU",IF(OR(LEFT($G1291,3)="111",LEFT($G1291,3)="112",LEFT($G1291,3)="113"),"CHI",""))))</f>
        <v/>
      </c>
      <c r="N1291" s="117">
        <f>IF($M1291="THU",$G1291,IF($M1291="CHI",$F1291,""))</f>
        <v/>
      </c>
      <c r="O1291" s="117">
        <f>IF(OR($M1291="",$M1291="NB"),"",IF($J1291&lt;&gt;"",TEXT($J1291,"00"),IFERROR(VLOOKUP(LEFT($N1291,4),LCTT_MAP!$A$7:$C$66,IF($M1291="THU",2,3),FALSE()),IFERROR(VLOOKUP(LEFT($N1291,3),LCTT_MAP!$A$7:$C$66,IF($M1291="THU",2,3),FALSE()),IFERROR(VLOOKUP(LEFT($N1291,2),LCTT_MAP!$A$7:$C$66,IF($M1291="THU",2,3),FALSE()),IFERROR(VLOOKUP(LEFT($N1291,1),LCTT_MAP!$A$7:$C$66,IF($M1291="THU",2,3),FALSE()),IF($M1291="THU","06","07")))))))</f>
        <v/>
      </c>
      <c r="P1291" s="117">
        <f>P1290+IF(AND($H1291&lt;&gt;"",OR(LEFT($F1291,LEN(SC_TK))=SC_TK,LEFT($G1291,LEN(SC_TK))=SC_TK)),1,0)</f>
        <v/>
      </c>
    </row>
    <row r="1292" ht="15" customHeight="1" s="78">
      <c r="A1292" s="95">
        <f>IF($H1292="","",ROW()-6)</f>
        <v/>
      </c>
      <c r="B1292" s="114" t="n"/>
      <c r="C1292" s="102" t="n"/>
      <c r="D1292" s="114" t="n"/>
      <c r="E1292" s="103" t="n"/>
      <c r="F1292" s="102" t="n"/>
      <c r="G1292" s="102" t="n"/>
      <c r="H1292" s="115" t="n"/>
      <c r="I1292" s="102" t="n"/>
      <c r="J1292" s="102" t="n"/>
      <c r="K1292" s="103" t="n"/>
      <c r="L1292" s="116">
        <f>IF($H1292="","",TRIM(IF(COUNTIF(DMTK!$A$7:$A$250,$F1292)=0,"TK Nợ sai! ","")&amp;IF(COUNTIF(DMTK!$A$7:$A$250,$G1292)=0,"TK Có sai! ","")&amp;IF(N($H1292)&lt;=0,"Tiền phải &gt; 0! ","")&amp;IF($B1292="","Thiếu ngày! ","")&amp;IF(AND(OR(LEFT($F1292,3)="131",LEFT($G1292,3)="131",LEFT($F1292,3)="331",LEFT($G1292,3)="331"),$I1292=""),"Thiếu Mã ĐT! ","")&amp;IF(AND($I1292&lt;&gt;"",COUNTIF(DM_DT!$A$7:$A$306,$I1292)=0),"Mã ĐT chưa khai báo! ","")))</f>
        <v/>
      </c>
      <c r="M1292" s="117">
        <f>IF($H1292="","",IF(AND(OR(LEFT($F1292,3)="111",LEFT($F1292,3)="112",LEFT($F1292,3)="113"),OR(LEFT($G1292,3)="111",LEFT($G1292,3)="112",LEFT($G1292,3)="113")),"NB",IF(OR(LEFT($F1292,3)="111",LEFT($F1292,3)="112",LEFT($F1292,3)="113"),"THU",IF(OR(LEFT($G1292,3)="111",LEFT($G1292,3)="112",LEFT($G1292,3)="113"),"CHI",""))))</f>
        <v/>
      </c>
      <c r="N1292" s="117">
        <f>IF($M1292="THU",$G1292,IF($M1292="CHI",$F1292,""))</f>
        <v/>
      </c>
      <c r="O1292" s="117">
        <f>IF(OR($M1292="",$M1292="NB"),"",IF($J1292&lt;&gt;"",TEXT($J1292,"00"),IFERROR(VLOOKUP(LEFT($N1292,4),LCTT_MAP!$A$7:$C$66,IF($M1292="THU",2,3),FALSE()),IFERROR(VLOOKUP(LEFT($N1292,3),LCTT_MAP!$A$7:$C$66,IF($M1292="THU",2,3),FALSE()),IFERROR(VLOOKUP(LEFT($N1292,2),LCTT_MAP!$A$7:$C$66,IF($M1292="THU",2,3),FALSE()),IFERROR(VLOOKUP(LEFT($N1292,1),LCTT_MAP!$A$7:$C$66,IF($M1292="THU",2,3),FALSE()),IF($M1292="THU","06","07")))))))</f>
        <v/>
      </c>
      <c r="P1292" s="117">
        <f>P1291+IF(AND($H1292&lt;&gt;"",OR(LEFT($F1292,LEN(SC_TK))=SC_TK,LEFT($G1292,LEN(SC_TK))=SC_TK)),1,0)</f>
        <v/>
      </c>
    </row>
    <row r="1293" ht="15" customHeight="1" s="78">
      <c r="A1293" s="95">
        <f>IF($H1293="","",ROW()-6)</f>
        <v/>
      </c>
      <c r="B1293" s="114" t="n"/>
      <c r="C1293" s="102" t="n"/>
      <c r="D1293" s="114" t="n"/>
      <c r="E1293" s="103" t="n"/>
      <c r="F1293" s="102" t="n"/>
      <c r="G1293" s="102" t="n"/>
      <c r="H1293" s="115" t="n"/>
      <c r="I1293" s="102" t="n"/>
      <c r="J1293" s="102" t="n"/>
      <c r="K1293" s="103" t="n"/>
      <c r="L1293" s="116">
        <f>IF($H1293="","",TRIM(IF(COUNTIF(DMTK!$A$7:$A$250,$F1293)=0,"TK Nợ sai! ","")&amp;IF(COUNTIF(DMTK!$A$7:$A$250,$G1293)=0,"TK Có sai! ","")&amp;IF(N($H1293)&lt;=0,"Tiền phải &gt; 0! ","")&amp;IF($B1293="","Thiếu ngày! ","")&amp;IF(AND(OR(LEFT($F1293,3)="131",LEFT($G1293,3)="131",LEFT($F1293,3)="331",LEFT($G1293,3)="331"),$I1293=""),"Thiếu Mã ĐT! ","")&amp;IF(AND($I1293&lt;&gt;"",COUNTIF(DM_DT!$A$7:$A$306,$I1293)=0),"Mã ĐT chưa khai báo! ","")))</f>
        <v/>
      </c>
      <c r="M1293" s="117">
        <f>IF($H1293="","",IF(AND(OR(LEFT($F1293,3)="111",LEFT($F1293,3)="112",LEFT($F1293,3)="113"),OR(LEFT($G1293,3)="111",LEFT($G1293,3)="112",LEFT($G1293,3)="113")),"NB",IF(OR(LEFT($F1293,3)="111",LEFT($F1293,3)="112",LEFT($F1293,3)="113"),"THU",IF(OR(LEFT($G1293,3)="111",LEFT($G1293,3)="112",LEFT($G1293,3)="113"),"CHI",""))))</f>
        <v/>
      </c>
      <c r="N1293" s="117">
        <f>IF($M1293="THU",$G1293,IF($M1293="CHI",$F1293,""))</f>
        <v/>
      </c>
      <c r="O1293" s="117">
        <f>IF(OR($M1293="",$M1293="NB"),"",IF($J1293&lt;&gt;"",TEXT($J1293,"00"),IFERROR(VLOOKUP(LEFT($N1293,4),LCTT_MAP!$A$7:$C$66,IF($M1293="THU",2,3),FALSE()),IFERROR(VLOOKUP(LEFT($N1293,3),LCTT_MAP!$A$7:$C$66,IF($M1293="THU",2,3),FALSE()),IFERROR(VLOOKUP(LEFT($N1293,2),LCTT_MAP!$A$7:$C$66,IF($M1293="THU",2,3),FALSE()),IFERROR(VLOOKUP(LEFT($N1293,1),LCTT_MAP!$A$7:$C$66,IF($M1293="THU",2,3),FALSE()),IF($M1293="THU","06","07")))))))</f>
        <v/>
      </c>
      <c r="P1293" s="117">
        <f>P1292+IF(AND($H1293&lt;&gt;"",OR(LEFT($F1293,LEN(SC_TK))=SC_TK,LEFT($G1293,LEN(SC_TK))=SC_TK)),1,0)</f>
        <v/>
      </c>
    </row>
    <row r="1294" ht="15" customHeight="1" s="78">
      <c r="A1294" s="95">
        <f>IF($H1294="","",ROW()-6)</f>
        <v/>
      </c>
      <c r="B1294" s="114" t="n"/>
      <c r="C1294" s="102" t="n"/>
      <c r="D1294" s="114" t="n"/>
      <c r="E1294" s="103" t="n"/>
      <c r="F1294" s="102" t="n"/>
      <c r="G1294" s="102" t="n"/>
      <c r="H1294" s="115" t="n"/>
      <c r="I1294" s="102" t="n"/>
      <c r="J1294" s="102" t="n"/>
      <c r="K1294" s="103" t="n"/>
      <c r="L1294" s="116">
        <f>IF($H1294="","",TRIM(IF(COUNTIF(DMTK!$A$7:$A$250,$F1294)=0,"TK Nợ sai! ","")&amp;IF(COUNTIF(DMTK!$A$7:$A$250,$G1294)=0,"TK Có sai! ","")&amp;IF(N($H1294)&lt;=0,"Tiền phải &gt; 0! ","")&amp;IF($B1294="","Thiếu ngày! ","")&amp;IF(AND(OR(LEFT($F1294,3)="131",LEFT($G1294,3)="131",LEFT($F1294,3)="331",LEFT($G1294,3)="331"),$I1294=""),"Thiếu Mã ĐT! ","")&amp;IF(AND($I1294&lt;&gt;"",COUNTIF(DM_DT!$A$7:$A$306,$I1294)=0),"Mã ĐT chưa khai báo! ","")))</f>
        <v/>
      </c>
      <c r="M1294" s="117">
        <f>IF($H1294="","",IF(AND(OR(LEFT($F1294,3)="111",LEFT($F1294,3)="112",LEFT($F1294,3)="113"),OR(LEFT($G1294,3)="111",LEFT($G1294,3)="112",LEFT($G1294,3)="113")),"NB",IF(OR(LEFT($F1294,3)="111",LEFT($F1294,3)="112",LEFT($F1294,3)="113"),"THU",IF(OR(LEFT($G1294,3)="111",LEFT($G1294,3)="112",LEFT($G1294,3)="113"),"CHI",""))))</f>
        <v/>
      </c>
      <c r="N1294" s="117">
        <f>IF($M1294="THU",$G1294,IF($M1294="CHI",$F1294,""))</f>
        <v/>
      </c>
      <c r="O1294" s="117">
        <f>IF(OR($M1294="",$M1294="NB"),"",IF($J1294&lt;&gt;"",TEXT($J1294,"00"),IFERROR(VLOOKUP(LEFT($N1294,4),LCTT_MAP!$A$7:$C$66,IF($M1294="THU",2,3),FALSE()),IFERROR(VLOOKUP(LEFT($N1294,3),LCTT_MAP!$A$7:$C$66,IF($M1294="THU",2,3),FALSE()),IFERROR(VLOOKUP(LEFT($N1294,2),LCTT_MAP!$A$7:$C$66,IF($M1294="THU",2,3),FALSE()),IFERROR(VLOOKUP(LEFT($N1294,1),LCTT_MAP!$A$7:$C$66,IF($M1294="THU",2,3),FALSE()),IF($M1294="THU","06","07")))))))</f>
        <v/>
      </c>
      <c r="P1294" s="117">
        <f>P1293+IF(AND($H1294&lt;&gt;"",OR(LEFT($F1294,LEN(SC_TK))=SC_TK,LEFT($G1294,LEN(SC_TK))=SC_TK)),1,0)</f>
        <v/>
      </c>
    </row>
    <row r="1295" ht="15" customHeight="1" s="78">
      <c r="A1295" s="95">
        <f>IF($H1295="","",ROW()-6)</f>
        <v/>
      </c>
      <c r="B1295" s="114" t="n"/>
      <c r="C1295" s="102" t="n"/>
      <c r="D1295" s="114" t="n"/>
      <c r="E1295" s="103" t="n"/>
      <c r="F1295" s="102" t="n"/>
      <c r="G1295" s="102" t="n"/>
      <c r="H1295" s="115" t="n"/>
      <c r="I1295" s="102" t="n"/>
      <c r="J1295" s="102" t="n"/>
      <c r="K1295" s="103" t="n"/>
      <c r="L1295" s="116">
        <f>IF($H1295="","",TRIM(IF(COUNTIF(DMTK!$A$7:$A$250,$F1295)=0,"TK Nợ sai! ","")&amp;IF(COUNTIF(DMTK!$A$7:$A$250,$G1295)=0,"TK Có sai! ","")&amp;IF(N($H1295)&lt;=0,"Tiền phải &gt; 0! ","")&amp;IF($B1295="","Thiếu ngày! ","")&amp;IF(AND(OR(LEFT($F1295,3)="131",LEFT($G1295,3)="131",LEFT($F1295,3)="331",LEFT($G1295,3)="331"),$I1295=""),"Thiếu Mã ĐT! ","")&amp;IF(AND($I1295&lt;&gt;"",COUNTIF(DM_DT!$A$7:$A$306,$I1295)=0),"Mã ĐT chưa khai báo! ","")))</f>
        <v/>
      </c>
      <c r="M1295" s="117">
        <f>IF($H1295="","",IF(AND(OR(LEFT($F1295,3)="111",LEFT($F1295,3)="112",LEFT($F1295,3)="113"),OR(LEFT($G1295,3)="111",LEFT($G1295,3)="112",LEFT($G1295,3)="113")),"NB",IF(OR(LEFT($F1295,3)="111",LEFT($F1295,3)="112",LEFT($F1295,3)="113"),"THU",IF(OR(LEFT($G1295,3)="111",LEFT($G1295,3)="112",LEFT($G1295,3)="113"),"CHI",""))))</f>
        <v/>
      </c>
      <c r="N1295" s="117">
        <f>IF($M1295="THU",$G1295,IF($M1295="CHI",$F1295,""))</f>
        <v/>
      </c>
      <c r="O1295" s="117">
        <f>IF(OR($M1295="",$M1295="NB"),"",IF($J1295&lt;&gt;"",TEXT($J1295,"00"),IFERROR(VLOOKUP(LEFT($N1295,4),LCTT_MAP!$A$7:$C$66,IF($M1295="THU",2,3),FALSE()),IFERROR(VLOOKUP(LEFT($N1295,3),LCTT_MAP!$A$7:$C$66,IF($M1295="THU",2,3),FALSE()),IFERROR(VLOOKUP(LEFT($N1295,2),LCTT_MAP!$A$7:$C$66,IF($M1295="THU",2,3),FALSE()),IFERROR(VLOOKUP(LEFT($N1295,1),LCTT_MAP!$A$7:$C$66,IF($M1295="THU",2,3),FALSE()),IF($M1295="THU","06","07")))))))</f>
        <v/>
      </c>
      <c r="P1295" s="117">
        <f>P1294+IF(AND($H1295&lt;&gt;"",OR(LEFT($F1295,LEN(SC_TK))=SC_TK,LEFT($G1295,LEN(SC_TK))=SC_TK)),1,0)</f>
        <v/>
      </c>
    </row>
    <row r="1296" ht="15" customHeight="1" s="78">
      <c r="A1296" s="95">
        <f>IF($H1296="","",ROW()-6)</f>
        <v/>
      </c>
      <c r="B1296" s="114" t="n"/>
      <c r="C1296" s="102" t="n"/>
      <c r="D1296" s="114" t="n"/>
      <c r="E1296" s="103" t="n"/>
      <c r="F1296" s="102" t="n"/>
      <c r="G1296" s="102" t="n"/>
      <c r="H1296" s="115" t="n"/>
      <c r="I1296" s="102" t="n"/>
      <c r="J1296" s="102" t="n"/>
      <c r="K1296" s="103" t="n"/>
      <c r="L1296" s="116">
        <f>IF($H1296="","",TRIM(IF(COUNTIF(DMTK!$A$7:$A$250,$F1296)=0,"TK Nợ sai! ","")&amp;IF(COUNTIF(DMTK!$A$7:$A$250,$G1296)=0,"TK Có sai! ","")&amp;IF(N($H1296)&lt;=0,"Tiền phải &gt; 0! ","")&amp;IF($B1296="","Thiếu ngày! ","")&amp;IF(AND(OR(LEFT($F1296,3)="131",LEFT($G1296,3)="131",LEFT($F1296,3)="331",LEFT($G1296,3)="331"),$I1296=""),"Thiếu Mã ĐT! ","")&amp;IF(AND($I1296&lt;&gt;"",COUNTIF(DM_DT!$A$7:$A$306,$I1296)=0),"Mã ĐT chưa khai báo! ","")))</f>
        <v/>
      </c>
      <c r="M1296" s="117">
        <f>IF($H1296="","",IF(AND(OR(LEFT($F1296,3)="111",LEFT($F1296,3)="112",LEFT($F1296,3)="113"),OR(LEFT($G1296,3)="111",LEFT($G1296,3)="112",LEFT($G1296,3)="113")),"NB",IF(OR(LEFT($F1296,3)="111",LEFT($F1296,3)="112",LEFT($F1296,3)="113"),"THU",IF(OR(LEFT($G1296,3)="111",LEFT($G1296,3)="112",LEFT($G1296,3)="113"),"CHI",""))))</f>
        <v/>
      </c>
      <c r="N1296" s="117">
        <f>IF($M1296="THU",$G1296,IF($M1296="CHI",$F1296,""))</f>
        <v/>
      </c>
      <c r="O1296" s="117">
        <f>IF(OR($M1296="",$M1296="NB"),"",IF($J1296&lt;&gt;"",TEXT($J1296,"00"),IFERROR(VLOOKUP(LEFT($N1296,4),LCTT_MAP!$A$7:$C$66,IF($M1296="THU",2,3),FALSE()),IFERROR(VLOOKUP(LEFT($N1296,3),LCTT_MAP!$A$7:$C$66,IF($M1296="THU",2,3),FALSE()),IFERROR(VLOOKUP(LEFT($N1296,2),LCTT_MAP!$A$7:$C$66,IF($M1296="THU",2,3),FALSE()),IFERROR(VLOOKUP(LEFT($N1296,1),LCTT_MAP!$A$7:$C$66,IF($M1296="THU",2,3),FALSE()),IF($M1296="THU","06","07")))))))</f>
        <v/>
      </c>
      <c r="P1296" s="117">
        <f>P1295+IF(AND($H1296&lt;&gt;"",OR(LEFT($F1296,LEN(SC_TK))=SC_TK,LEFT($G1296,LEN(SC_TK))=SC_TK)),1,0)</f>
        <v/>
      </c>
    </row>
    <row r="1297" ht="15" customHeight="1" s="78">
      <c r="A1297" s="95">
        <f>IF($H1297="","",ROW()-6)</f>
        <v/>
      </c>
      <c r="B1297" s="114" t="n"/>
      <c r="C1297" s="102" t="n"/>
      <c r="D1297" s="114" t="n"/>
      <c r="E1297" s="103" t="n"/>
      <c r="F1297" s="102" t="n"/>
      <c r="G1297" s="102" t="n"/>
      <c r="H1297" s="115" t="n"/>
      <c r="I1297" s="102" t="n"/>
      <c r="J1297" s="102" t="n"/>
      <c r="K1297" s="103" t="n"/>
      <c r="L1297" s="116">
        <f>IF($H1297="","",TRIM(IF(COUNTIF(DMTK!$A$7:$A$250,$F1297)=0,"TK Nợ sai! ","")&amp;IF(COUNTIF(DMTK!$A$7:$A$250,$G1297)=0,"TK Có sai! ","")&amp;IF(N($H1297)&lt;=0,"Tiền phải &gt; 0! ","")&amp;IF($B1297="","Thiếu ngày! ","")&amp;IF(AND(OR(LEFT($F1297,3)="131",LEFT($G1297,3)="131",LEFT($F1297,3)="331",LEFT($G1297,3)="331"),$I1297=""),"Thiếu Mã ĐT! ","")&amp;IF(AND($I1297&lt;&gt;"",COUNTIF(DM_DT!$A$7:$A$306,$I1297)=0),"Mã ĐT chưa khai báo! ","")))</f>
        <v/>
      </c>
      <c r="M1297" s="117">
        <f>IF($H1297="","",IF(AND(OR(LEFT($F1297,3)="111",LEFT($F1297,3)="112",LEFT($F1297,3)="113"),OR(LEFT($G1297,3)="111",LEFT($G1297,3)="112",LEFT($G1297,3)="113")),"NB",IF(OR(LEFT($F1297,3)="111",LEFT($F1297,3)="112",LEFT($F1297,3)="113"),"THU",IF(OR(LEFT($G1297,3)="111",LEFT($G1297,3)="112",LEFT($G1297,3)="113"),"CHI",""))))</f>
        <v/>
      </c>
      <c r="N1297" s="117">
        <f>IF($M1297="THU",$G1297,IF($M1297="CHI",$F1297,""))</f>
        <v/>
      </c>
      <c r="O1297" s="117">
        <f>IF(OR($M1297="",$M1297="NB"),"",IF($J1297&lt;&gt;"",TEXT($J1297,"00"),IFERROR(VLOOKUP(LEFT($N1297,4),LCTT_MAP!$A$7:$C$66,IF($M1297="THU",2,3),FALSE()),IFERROR(VLOOKUP(LEFT($N1297,3),LCTT_MAP!$A$7:$C$66,IF($M1297="THU",2,3),FALSE()),IFERROR(VLOOKUP(LEFT($N1297,2),LCTT_MAP!$A$7:$C$66,IF($M1297="THU",2,3),FALSE()),IFERROR(VLOOKUP(LEFT($N1297,1),LCTT_MAP!$A$7:$C$66,IF($M1297="THU",2,3),FALSE()),IF($M1297="THU","06","07")))))))</f>
        <v/>
      </c>
      <c r="P1297" s="117">
        <f>P1296+IF(AND($H1297&lt;&gt;"",OR(LEFT($F1297,LEN(SC_TK))=SC_TK,LEFT($G1297,LEN(SC_TK))=SC_TK)),1,0)</f>
        <v/>
      </c>
    </row>
    <row r="1298" ht="15" customHeight="1" s="78">
      <c r="A1298" s="95">
        <f>IF($H1298="","",ROW()-6)</f>
        <v/>
      </c>
      <c r="B1298" s="114" t="n"/>
      <c r="C1298" s="102" t="n"/>
      <c r="D1298" s="114" t="n"/>
      <c r="E1298" s="103" t="n"/>
      <c r="F1298" s="102" t="n"/>
      <c r="G1298" s="102" t="n"/>
      <c r="H1298" s="115" t="n"/>
      <c r="I1298" s="102" t="n"/>
      <c r="J1298" s="102" t="n"/>
      <c r="K1298" s="103" t="n"/>
      <c r="L1298" s="116">
        <f>IF($H1298="","",TRIM(IF(COUNTIF(DMTK!$A$7:$A$250,$F1298)=0,"TK Nợ sai! ","")&amp;IF(COUNTIF(DMTK!$A$7:$A$250,$G1298)=0,"TK Có sai! ","")&amp;IF(N($H1298)&lt;=0,"Tiền phải &gt; 0! ","")&amp;IF($B1298="","Thiếu ngày! ","")&amp;IF(AND(OR(LEFT($F1298,3)="131",LEFT($G1298,3)="131",LEFT($F1298,3)="331",LEFT($G1298,3)="331"),$I1298=""),"Thiếu Mã ĐT! ","")&amp;IF(AND($I1298&lt;&gt;"",COUNTIF(DM_DT!$A$7:$A$306,$I1298)=0),"Mã ĐT chưa khai báo! ","")))</f>
        <v/>
      </c>
      <c r="M1298" s="117">
        <f>IF($H1298="","",IF(AND(OR(LEFT($F1298,3)="111",LEFT($F1298,3)="112",LEFT($F1298,3)="113"),OR(LEFT($G1298,3)="111",LEFT($G1298,3)="112",LEFT($G1298,3)="113")),"NB",IF(OR(LEFT($F1298,3)="111",LEFT($F1298,3)="112",LEFT($F1298,3)="113"),"THU",IF(OR(LEFT($G1298,3)="111",LEFT($G1298,3)="112",LEFT($G1298,3)="113"),"CHI",""))))</f>
        <v/>
      </c>
      <c r="N1298" s="117">
        <f>IF($M1298="THU",$G1298,IF($M1298="CHI",$F1298,""))</f>
        <v/>
      </c>
      <c r="O1298" s="117">
        <f>IF(OR($M1298="",$M1298="NB"),"",IF($J1298&lt;&gt;"",TEXT($J1298,"00"),IFERROR(VLOOKUP(LEFT($N1298,4),LCTT_MAP!$A$7:$C$66,IF($M1298="THU",2,3),FALSE()),IFERROR(VLOOKUP(LEFT($N1298,3),LCTT_MAP!$A$7:$C$66,IF($M1298="THU",2,3),FALSE()),IFERROR(VLOOKUP(LEFT($N1298,2),LCTT_MAP!$A$7:$C$66,IF($M1298="THU",2,3),FALSE()),IFERROR(VLOOKUP(LEFT($N1298,1),LCTT_MAP!$A$7:$C$66,IF($M1298="THU",2,3),FALSE()),IF($M1298="THU","06","07")))))))</f>
        <v/>
      </c>
      <c r="P1298" s="117">
        <f>P1297+IF(AND($H1298&lt;&gt;"",OR(LEFT($F1298,LEN(SC_TK))=SC_TK,LEFT($G1298,LEN(SC_TK))=SC_TK)),1,0)</f>
        <v/>
      </c>
    </row>
    <row r="1299" ht="15" customHeight="1" s="78">
      <c r="A1299" s="95">
        <f>IF($H1299="","",ROW()-6)</f>
        <v/>
      </c>
      <c r="B1299" s="114" t="n"/>
      <c r="C1299" s="102" t="n"/>
      <c r="D1299" s="114" t="n"/>
      <c r="E1299" s="103" t="n"/>
      <c r="F1299" s="102" t="n"/>
      <c r="G1299" s="102" t="n"/>
      <c r="H1299" s="115" t="n"/>
      <c r="I1299" s="102" t="n"/>
      <c r="J1299" s="102" t="n"/>
      <c r="K1299" s="103" t="n"/>
      <c r="L1299" s="116">
        <f>IF($H1299="","",TRIM(IF(COUNTIF(DMTK!$A$7:$A$250,$F1299)=0,"TK Nợ sai! ","")&amp;IF(COUNTIF(DMTK!$A$7:$A$250,$G1299)=0,"TK Có sai! ","")&amp;IF(N($H1299)&lt;=0,"Tiền phải &gt; 0! ","")&amp;IF($B1299="","Thiếu ngày! ","")&amp;IF(AND(OR(LEFT($F1299,3)="131",LEFT($G1299,3)="131",LEFT($F1299,3)="331",LEFT($G1299,3)="331"),$I1299=""),"Thiếu Mã ĐT! ","")&amp;IF(AND($I1299&lt;&gt;"",COUNTIF(DM_DT!$A$7:$A$306,$I1299)=0),"Mã ĐT chưa khai báo! ","")))</f>
        <v/>
      </c>
      <c r="M1299" s="117">
        <f>IF($H1299="","",IF(AND(OR(LEFT($F1299,3)="111",LEFT($F1299,3)="112",LEFT($F1299,3)="113"),OR(LEFT($G1299,3)="111",LEFT($G1299,3)="112",LEFT($G1299,3)="113")),"NB",IF(OR(LEFT($F1299,3)="111",LEFT($F1299,3)="112",LEFT($F1299,3)="113"),"THU",IF(OR(LEFT($G1299,3)="111",LEFT($G1299,3)="112",LEFT($G1299,3)="113"),"CHI",""))))</f>
        <v/>
      </c>
      <c r="N1299" s="117">
        <f>IF($M1299="THU",$G1299,IF($M1299="CHI",$F1299,""))</f>
        <v/>
      </c>
      <c r="O1299" s="117">
        <f>IF(OR($M1299="",$M1299="NB"),"",IF($J1299&lt;&gt;"",TEXT($J1299,"00"),IFERROR(VLOOKUP(LEFT($N1299,4),LCTT_MAP!$A$7:$C$66,IF($M1299="THU",2,3),FALSE()),IFERROR(VLOOKUP(LEFT($N1299,3),LCTT_MAP!$A$7:$C$66,IF($M1299="THU",2,3),FALSE()),IFERROR(VLOOKUP(LEFT($N1299,2),LCTT_MAP!$A$7:$C$66,IF($M1299="THU",2,3),FALSE()),IFERROR(VLOOKUP(LEFT($N1299,1),LCTT_MAP!$A$7:$C$66,IF($M1299="THU",2,3),FALSE()),IF($M1299="THU","06","07")))))))</f>
        <v/>
      </c>
      <c r="P1299" s="117">
        <f>P1298+IF(AND($H1299&lt;&gt;"",OR(LEFT($F1299,LEN(SC_TK))=SC_TK,LEFT($G1299,LEN(SC_TK))=SC_TK)),1,0)</f>
        <v/>
      </c>
    </row>
    <row r="1300" ht="15" customHeight="1" s="78">
      <c r="A1300" s="95">
        <f>IF($H1300="","",ROW()-6)</f>
        <v/>
      </c>
      <c r="B1300" s="114" t="n"/>
      <c r="C1300" s="102" t="n"/>
      <c r="D1300" s="114" t="n"/>
      <c r="E1300" s="103" t="n"/>
      <c r="F1300" s="102" t="n"/>
      <c r="G1300" s="102" t="n"/>
      <c r="H1300" s="115" t="n"/>
      <c r="I1300" s="102" t="n"/>
      <c r="J1300" s="102" t="n"/>
      <c r="K1300" s="103" t="n"/>
      <c r="L1300" s="116">
        <f>IF($H1300="","",TRIM(IF(COUNTIF(DMTK!$A$7:$A$250,$F1300)=0,"TK Nợ sai! ","")&amp;IF(COUNTIF(DMTK!$A$7:$A$250,$G1300)=0,"TK Có sai! ","")&amp;IF(N($H1300)&lt;=0,"Tiền phải &gt; 0! ","")&amp;IF($B1300="","Thiếu ngày! ","")&amp;IF(AND(OR(LEFT($F1300,3)="131",LEFT($G1300,3)="131",LEFT($F1300,3)="331",LEFT($G1300,3)="331"),$I1300=""),"Thiếu Mã ĐT! ","")&amp;IF(AND($I1300&lt;&gt;"",COUNTIF(DM_DT!$A$7:$A$306,$I1300)=0),"Mã ĐT chưa khai báo! ","")))</f>
        <v/>
      </c>
      <c r="M1300" s="117">
        <f>IF($H1300="","",IF(AND(OR(LEFT($F1300,3)="111",LEFT($F1300,3)="112",LEFT($F1300,3)="113"),OR(LEFT($G1300,3)="111",LEFT($G1300,3)="112",LEFT($G1300,3)="113")),"NB",IF(OR(LEFT($F1300,3)="111",LEFT($F1300,3)="112",LEFT($F1300,3)="113"),"THU",IF(OR(LEFT($G1300,3)="111",LEFT($G1300,3)="112",LEFT($G1300,3)="113"),"CHI",""))))</f>
        <v/>
      </c>
      <c r="N1300" s="117">
        <f>IF($M1300="THU",$G1300,IF($M1300="CHI",$F1300,""))</f>
        <v/>
      </c>
      <c r="O1300" s="117">
        <f>IF(OR($M1300="",$M1300="NB"),"",IF($J1300&lt;&gt;"",TEXT($J1300,"00"),IFERROR(VLOOKUP(LEFT($N1300,4),LCTT_MAP!$A$7:$C$66,IF($M1300="THU",2,3),FALSE()),IFERROR(VLOOKUP(LEFT($N1300,3),LCTT_MAP!$A$7:$C$66,IF($M1300="THU",2,3),FALSE()),IFERROR(VLOOKUP(LEFT($N1300,2),LCTT_MAP!$A$7:$C$66,IF($M1300="THU",2,3),FALSE()),IFERROR(VLOOKUP(LEFT($N1300,1),LCTT_MAP!$A$7:$C$66,IF($M1300="THU",2,3),FALSE()),IF($M1300="THU","06","07")))))))</f>
        <v/>
      </c>
      <c r="P1300" s="117">
        <f>P1299+IF(AND($H1300&lt;&gt;"",OR(LEFT($F1300,LEN(SC_TK))=SC_TK,LEFT($G1300,LEN(SC_TK))=SC_TK)),1,0)</f>
        <v/>
      </c>
    </row>
    <row r="1301" ht="15" customHeight="1" s="78">
      <c r="A1301" s="95">
        <f>IF($H1301="","",ROW()-6)</f>
        <v/>
      </c>
      <c r="B1301" s="114" t="n"/>
      <c r="C1301" s="102" t="n"/>
      <c r="D1301" s="114" t="n"/>
      <c r="E1301" s="103" t="n"/>
      <c r="F1301" s="102" t="n"/>
      <c r="G1301" s="102" t="n"/>
      <c r="H1301" s="115" t="n"/>
      <c r="I1301" s="102" t="n"/>
      <c r="J1301" s="102" t="n"/>
      <c r="K1301" s="103" t="n"/>
      <c r="L1301" s="116">
        <f>IF($H1301="","",TRIM(IF(COUNTIF(DMTK!$A$7:$A$250,$F1301)=0,"TK Nợ sai! ","")&amp;IF(COUNTIF(DMTK!$A$7:$A$250,$G1301)=0,"TK Có sai! ","")&amp;IF(N($H1301)&lt;=0,"Tiền phải &gt; 0! ","")&amp;IF($B1301="","Thiếu ngày! ","")&amp;IF(AND(OR(LEFT($F1301,3)="131",LEFT($G1301,3)="131",LEFT($F1301,3)="331",LEFT($G1301,3)="331"),$I1301=""),"Thiếu Mã ĐT! ","")&amp;IF(AND($I1301&lt;&gt;"",COUNTIF(DM_DT!$A$7:$A$306,$I1301)=0),"Mã ĐT chưa khai báo! ","")))</f>
        <v/>
      </c>
      <c r="M1301" s="117">
        <f>IF($H1301="","",IF(AND(OR(LEFT($F1301,3)="111",LEFT($F1301,3)="112",LEFT($F1301,3)="113"),OR(LEFT($G1301,3)="111",LEFT($G1301,3)="112",LEFT($G1301,3)="113")),"NB",IF(OR(LEFT($F1301,3)="111",LEFT($F1301,3)="112",LEFT($F1301,3)="113"),"THU",IF(OR(LEFT($G1301,3)="111",LEFT($G1301,3)="112",LEFT($G1301,3)="113"),"CHI",""))))</f>
        <v/>
      </c>
      <c r="N1301" s="117">
        <f>IF($M1301="THU",$G1301,IF($M1301="CHI",$F1301,""))</f>
        <v/>
      </c>
      <c r="O1301" s="117">
        <f>IF(OR($M1301="",$M1301="NB"),"",IF($J1301&lt;&gt;"",TEXT($J1301,"00"),IFERROR(VLOOKUP(LEFT($N1301,4),LCTT_MAP!$A$7:$C$66,IF($M1301="THU",2,3),FALSE()),IFERROR(VLOOKUP(LEFT($N1301,3),LCTT_MAP!$A$7:$C$66,IF($M1301="THU",2,3),FALSE()),IFERROR(VLOOKUP(LEFT($N1301,2),LCTT_MAP!$A$7:$C$66,IF($M1301="THU",2,3),FALSE()),IFERROR(VLOOKUP(LEFT($N1301,1),LCTT_MAP!$A$7:$C$66,IF($M1301="THU",2,3),FALSE()),IF($M1301="THU","06","07")))))))</f>
        <v/>
      </c>
      <c r="P1301" s="117">
        <f>P1300+IF(AND($H1301&lt;&gt;"",OR(LEFT($F1301,LEN(SC_TK))=SC_TK,LEFT($G1301,LEN(SC_TK))=SC_TK)),1,0)</f>
        <v/>
      </c>
    </row>
    <row r="1302" ht="15" customHeight="1" s="78">
      <c r="A1302" s="95">
        <f>IF($H1302="","",ROW()-6)</f>
        <v/>
      </c>
      <c r="B1302" s="114" t="n"/>
      <c r="C1302" s="102" t="n"/>
      <c r="D1302" s="114" t="n"/>
      <c r="E1302" s="103" t="n"/>
      <c r="F1302" s="102" t="n"/>
      <c r="G1302" s="102" t="n"/>
      <c r="H1302" s="115" t="n"/>
      <c r="I1302" s="102" t="n"/>
      <c r="J1302" s="102" t="n"/>
      <c r="K1302" s="103" t="n"/>
      <c r="L1302" s="116">
        <f>IF($H1302="","",TRIM(IF(COUNTIF(DMTK!$A$7:$A$250,$F1302)=0,"TK Nợ sai! ","")&amp;IF(COUNTIF(DMTK!$A$7:$A$250,$G1302)=0,"TK Có sai! ","")&amp;IF(N($H1302)&lt;=0,"Tiền phải &gt; 0! ","")&amp;IF($B1302="","Thiếu ngày! ","")&amp;IF(AND(OR(LEFT($F1302,3)="131",LEFT($G1302,3)="131",LEFT($F1302,3)="331",LEFT($G1302,3)="331"),$I1302=""),"Thiếu Mã ĐT! ","")&amp;IF(AND($I1302&lt;&gt;"",COUNTIF(DM_DT!$A$7:$A$306,$I1302)=0),"Mã ĐT chưa khai báo! ","")))</f>
        <v/>
      </c>
      <c r="M1302" s="117">
        <f>IF($H1302="","",IF(AND(OR(LEFT($F1302,3)="111",LEFT($F1302,3)="112",LEFT($F1302,3)="113"),OR(LEFT($G1302,3)="111",LEFT($G1302,3)="112",LEFT($G1302,3)="113")),"NB",IF(OR(LEFT($F1302,3)="111",LEFT($F1302,3)="112",LEFT($F1302,3)="113"),"THU",IF(OR(LEFT($G1302,3)="111",LEFT($G1302,3)="112",LEFT($G1302,3)="113"),"CHI",""))))</f>
        <v/>
      </c>
      <c r="N1302" s="117">
        <f>IF($M1302="THU",$G1302,IF($M1302="CHI",$F1302,""))</f>
        <v/>
      </c>
      <c r="O1302" s="117">
        <f>IF(OR($M1302="",$M1302="NB"),"",IF($J1302&lt;&gt;"",TEXT($J1302,"00"),IFERROR(VLOOKUP(LEFT($N1302,4),LCTT_MAP!$A$7:$C$66,IF($M1302="THU",2,3),FALSE()),IFERROR(VLOOKUP(LEFT($N1302,3),LCTT_MAP!$A$7:$C$66,IF($M1302="THU",2,3),FALSE()),IFERROR(VLOOKUP(LEFT($N1302,2),LCTT_MAP!$A$7:$C$66,IF($M1302="THU",2,3),FALSE()),IFERROR(VLOOKUP(LEFT($N1302,1),LCTT_MAP!$A$7:$C$66,IF($M1302="THU",2,3),FALSE()),IF($M1302="THU","06","07")))))))</f>
        <v/>
      </c>
      <c r="P1302" s="117">
        <f>P1301+IF(AND($H1302&lt;&gt;"",OR(LEFT($F1302,LEN(SC_TK))=SC_TK,LEFT($G1302,LEN(SC_TK))=SC_TK)),1,0)</f>
        <v/>
      </c>
    </row>
    <row r="1303" ht="15" customHeight="1" s="78">
      <c r="A1303" s="95">
        <f>IF($H1303="","",ROW()-6)</f>
        <v/>
      </c>
      <c r="B1303" s="114" t="n"/>
      <c r="C1303" s="102" t="n"/>
      <c r="D1303" s="114" t="n"/>
      <c r="E1303" s="103" t="n"/>
      <c r="F1303" s="102" t="n"/>
      <c r="G1303" s="102" t="n"/>
      <c r="H1303" s="115" t="n"/>
      <c r="I1303" s="102" t="n"/>
      <c r="J1303" s="102" t="n"/>
      <c r="K1303" s="103" t="n"/>
      <c r="L1303" s="116">
        <f>IF($H1303="","",TRIM(IF(COUNTIF(DMTK!$A$7:$A$250,$F1303)=0,"TK Nợ sai! ","")&amp;IF(COUNTIF(DMTK!$A$7:$A$250,$G1303)=0,"TK Có sai! ","")&amp;IF(N($H1303)&lt;=0,"Tiền phải &gt; 0! ","")&amp;IF($B1303="","Thiếu ngày! ","")&amp;IF(AND(OR(LEFT($F1303,3)="131",LEFT($G1303,3)="131",LEFT($F1303,3)="331",LEFT($G1303,3)="331"),$I1303=""),"Thiếu Mã ĐT! ","")&amp;IF(AND($I1303&lt;&gt;"",COUNTIF(DM_DT!$A$7:$A$306,$I1303)=0),"Mã ĐT chưa khai báo! ","")))</f>
        <v/>
      </c>
      <c r="M1303" s="117">
        <f>IF($H1303="","",IF(AND(OR(LEFT($F1303,3)="111",LEFT($F1303,3)="112",LEFT($F1303,3)="113"),OR(LEFT($G1303,3)="111",LEFT($G1303,3)="112",LEFT($G1303,3)="113")),"NB",IF(OR(LEFT($F1303,3)="111",LEFT($F1303,3)="112",LEFT($F1303,3)="113"),"THU",IF(OR(LEFT($G1303,3)="111",LEFT($G1303,3)="112",LEFT($G1303,3)="113"),"CHI",""))))</f>
        <v/>
      </c>
      <c r="N1303" s="117">
        <f>IF($M1303="THU",$G1303,IF($M1303="CHI",$F1303,""))</f>
        <v/>
      </c>
      <c r="O1303" s="117">
        <f>IF(OR($M1303="",$M1303="NB"),"",IF($J1303&lt;&gt;"",TEXT($J1303,"00"),IFERROR(VLOOKUP(LEFT($N1303,4),LCTT_MAP!$A$7:$C$66,IF($M1303="THU",2,3),FALSE()),IFERROR(VLOOKUP(LEFT($N1303,3),LCTT_MAP!$A$7:$C$66,IF($M1303="THU",2,3),FALSE()),IFERROR(VLOOKUP(LEFT($N1303,2),LCTT_MAP!$A$7:$C$66,IF($M1303="THU",2,3),FALSE()),IFERROR(VLOOKUP(LEFT($N1303,1),LCTT_MAP!$A$7:$C$66,IF($M1303="THU",2,3),FALSE()),IF($M1303="THU","06","07")))))))</f>
        <v/>
      </c>
      <c r="P1303" s="117">
        <f>P1302+IF(AND($H1303&lt;&gt;"",OR(LEFT($F1303,LEN(SC_TK))=SC_TK,LEFT($G1303,LEN(SC_TK))=SC_TK)),1,0)</f>
        <v/>
      </c>
    </row>
    <row r="1304" ht="15" customHeight="1" s="78">
      <c r="A1304" s="95">
        <f>IF($H1304="","",ROW()-6)</f>
        <v/>
      </c>
      <c r="B1304" s="114" t="n"/>
      <c r="C1304" s="102" t="n"/>
      <c r="D1304" s="114" t="n"/>
      <c r="E1304" s="103" t="n"/>
      <c r="F1304" s="102" t="n"/>
      <c r="G1304" s="102" t="n"/>
      <c r="H1304" s="115" t="n"/>
      <c r="I1304" s="102" t="n"/>
      <c r="J1304" s="102" t="n"/>
      <c r="K1304" s="103" t="n"/>
      <c r="L1304" s="116">
        <f>IF($H1304="","",TRIM(IF(COUNTIF(DMTK!$A$7:$A$250,$F1304)=0,"TK Nợ sai! ","")&amp;IF(COUNTIF(DMTK!$A$7:$A$250,$G1304)=0,"TK Có sai! ","")&amp;IF(N($H1304)&lt;=0,"Tiền phải &gt; 0! ","")&amp;IF($B1304="","Thiếu ngày! ","")&amp;IF(AND(OR(LEFT($F1304,3)="131",LEFT($G1304,3)="131",LEFT($F1304,3)="331",LEFT($G1304,3)="331"),$I1304=""),"Thiếu Mã ĐT! ","")&amp;IF(AND($I1304&lt;&gt;"",COUNTIF(DM_DT!$A$7:$A$306,$I1304)=0),"Mã ĐT chưa khai báo! ","")))</f>
        <v/>
      </c>
      <c r="M1304" s="117">
        <f>IF($H1304="","",IF(AND(OR(LEFT($F1304,3)="111",LEFT($F1304,3)="112",LEFT($F1304,3)="113"),OR(LEFT($G1304,3)="111",LEFT($G1304,3)="112",LEFT($G1304,3)="113")),"NB",IF(OR(LEFT($F1304,3)="111",LEFT($F1304,3)="112",LEFT($F1304,3)="113"),"THU",IF(OR(LEFT($G1304,3)="111",LEFT($G1304,3)="112",LEFT($G1304,3)="113"),"CHI",""))))</f>
        <v/>
      </c>
      <c r="N1304" s="117">
        <f>IF($M1304="THU",$G1304,IF($M1304="CHI",$F1304,""))</f>
        <v/>
      </c>
      <c r="O1304" s="117">
        <f>IF(OR($M1304="",$M1304="NB"),"",IF($J1304&lt;&gt;"",TEXT($J1304,"00"),IFERROR(VLOOKUP(LEFT($N1304,4),LCTT_MAP!$A$7:$C$66,IF($M1304="THU",2,3),FALSE()),IFERROR(VLOOKUP(LEFT($N1304,3),LCTT_MAP!$A$7:$C$66,IF($M1304="THU",2,3),FALSE()),IFERROR(VLOOKUP(LEFT($N1304,2),LCTT_MAP!$A$7:$C$66,IF($M1304="THU",2,3),FALSE()),IFERROR(VLOOKUP(LEFT($N1304,1),LCTT_MAP!$A$7:$C$66,IF($M1304="THU",2,3),FALSE()),IF($M1304="THU","06","07")))))))</f>
        <v/>
      </c>
      <c r="P1304" s="117">
        <f>P1303+IF(AND($H1304&lt;&gt;"",OR(LEFT($F1304,LEN(SC_TK))=SC_TK,LEFT($G1304,LEN(SC_TK))=SC_TK)),1,0)</f>
        <v/>
      </c>
    </row>
    <row r="1305" ht="15" customHeight="1" s="78">
      <c r="A1305" s="95">
        <f>IF($H1305="","",ROW()-6)</f>
        <v/>
      </c>
      <c r="B1305" s="114" t="n"/>
      <c r="C1305" s="102" t="n"/>
      <c r="D1305" s="114" t="n"/>
      <c r="E1305" s="103" t="n"/>
      <c r="F1305" s="102" t="n"/>
      <c r="G1305" s="102" t="n"/>
      <c r="H1305" s="115" t="n"/>
      <c r="I1305" s="102" t="n"/>
      <c r="J1305" s="102" t="n"/>
      <c r="K1305" s="103" t="n"/>
      <c r="L1305" s="116">
        <f>IF($H1305="","",TRIM(IF(COUNTIF(DMTK!$A$7:$A$250,$F1305)=0,"TK Nợ sai! ","")&amp;IF(COUNTIF(DMTK!$A$7:$A$250,$G1305)=0,"TK Có sai! ","")&amp;IF(N($H1305)&lt;=0,"Tiền phải &gt; 0! ","")&amp;IF($B1305="","Thiếu ngày! ","")&amp;IF(AND(OR(LEFT($F1305,3)="131",LEFT($G1305,3)="131",LEFT($F1305,3)="331",LEFT($G1305,3)="331"),$I1305=""),"Thiếu Mã ĐT! ","")&amp;IF(AND($I1305&lt;&gt;"",COUNTIF(DM_DT!$A$7:$A$306,$I1305)=0),"Mã ĐT chưa khai báo! ","")))</f>
        <v/>
      </c>
      <c r="M1305" s="117">
        <f>IF($H1305="","",IF(AND(OR(LEFT($F1305,3)="111",LEFT($F1305,3)="112",LEFT($F1305,3)="113"),OR(LEFT($G1305,3)="111",LEFT($G1305,3)="112",LEFT($G1305,3)="113")),"NB",IF(OR(LEFT($F1305,3)="111",LEFT($F1305,3)="112",LEFT($F1305,3)="113"),"THU",IF(OR(LEFT($G1305,3)="111",LEFT($G1305,3)="112",LEFT($G1305,3)="113"),"CHI",""))))</f>
        <v/>
      </c>
      <c r="N1305" s="117">
        <f>IF($M1305="THU",$G1305,IF($M1305="CHI",$F1305,""))</f>
        <v/>
      </c>
      <c r="O1305" s="117">
        <f>IF(OR($M1305="",$M1305="NB"),"",IF($J1305&lt;&gt;"",TEXT($J1305,"00"),IFERROR(VLOOKUP(LEFT($N1305,4),LCTT_MAP!$A$7:$C$66,IF($M1305="THU",2,3),FALSE()),IFERROR(VLOOKUP(LEFT($N1305,3),LCTT_MAP!$A$7:$C$66,IF($M1305="THU",2,3),FALSE()),IFERROR(VLOOKUP(LEFT($N1305,2),LCTT_MAP!$A$7:$C$66,IF($M1305="THU",2,3),FALSE()),IFERROR(VLOOKUP(LEFT($N1305,1),LCTT_MAP!$A$7:$C$66,IF($M1305="THU",2,3),FALSE()),IF($M1305="THU","06","07")))))))</f>
        <v/>
      </c>
      <c r="P1305" s="117">
        <f>P1304+IF(AND($H1305&lt;&gt;"",OR(LEFT($F1305,LEN(SC_TK))=SC_TK,LEFT($G1305,LEN(SC_TK))=SC_TK)),1,0)</f>
        <v/>
      </c>
    </row>
    <row r="1306" ht="15" customHeight="1" s="78">
      <c r="A1306" s="95">
        <f>IF($H1306="","",ROW()-6)</f>
        <v/>
      </c>
      <c r="B1306" s="114" t="n"/>
      <c r="C1306" s="102" t="n"/>
      <c r="D1306" s="114" t="n"/>
      <c r="E1306" s="103" t="n"/>
      <c r="F1306" s="102" t="n"/>
      <c r="G1306" s="102" t="n"/>
      <c r="H1306" s="115" t="n"/>
      <c r="I1306" s="102" t="n"/>
      <c r="J1306" s="102" t="n"/>
      <c r="K1306" s="103" t="n"/>
      <c r="L1306" s="116">
        <f>IF($H1306="","",TRIM(IF(COUNTIF(DMTK!$A$7:$A$250,$F1306)=0,"TK Nợ sai! ","")&amp;IF(COUNTIF(DMTK!$A$7:$A$250,$G1306)=0,"TK Có sai! ","")&amp;IF(N($H1306)&lt;=0,"Tiền phải &gt; 0! ","")&amp;IF($B1306="","Thiếu ngày! ","")&amp;IF(AND(OR(LEFT($F1306,3)="131",LEFT($G1306,3)="131",LEFT($F1306,3)="331",LEFT($G1306,3)="331"),$I1306=""),"Thiếu Mã ĐT! ","")&amp;IF(AND($I1306&lt;&gt;"",COUNTIF(DM_DT!$A$7:$A$306,$I1306)=0),"Mã ĐT chưa khai báo! ","")))</f>
        <v/>
      </c>
      <c r="M1306" s="117">
        <f>IF($H1306="","",IF(AND(OR(LEFT($F1306,3)="111",LEFT($F1306,3)="112",LEFT($F1306,3)="113"),OR(LEFT($G1306,3)="111",LEFT($G1306,3)="112",LEFT($G1306,3)="113")),"NB",IF(OR(LEFT($F1306,3)="111",LEFT($F1306,3)="112",LEFT($F1306,3)="113"),"THU",IF(OR(LEFT($G1306,3)="111",LEFT($G1306,3)="112",LEFT($G1306,3)="113"),"CHI",""))))</f>
        <v/>
      </c>
      <c r="N1306" s="117">
        <f>IF($M1306="THU",$G1306,IF($M1306="CHI",$F1306,""))</f>
        <v/>
      </c>
      <c r="O1306" s="117">
        <f>IF(OR($M1306="",$M1306="NB"),"",IF($J1306&lt;&gt;"",TEXT($J1306,"00"),IFERROR(VLOOKUP(LEFT($N1306,4),LCTT_MAP!$A$7:$C$66,IF($M1306="THU",2,3),FALSE()),IFERROR(VLOOKUP(LEFT($N1306,3),LCTT_MAP!$A$7:$C$66,IF($M1306="THU",2,3),FALSE()),IFERROR(VLOOKUP(LEFT($N1306,2),LCTT_MAP!$A$7:$C$66,IF($M1306="THU",2,3),FALSE()),IFERROR(VLOOKUP(LEFT($N1306,1),LCTT_MAP!$A$7:$C$66,IF($M1306="THU",2,3),FALSE()),IF($M1306="THU","06","07")))))))</f>
        <v/>
      </c>
      <c r="P1306" s="117">
        <f>P1305+IF(AND($H1306&lt;&gt;"",OR(LEFT($F1306,LEN(SC_TK))=SC_TK,LEFT($G1306,LEN(SC_TK))=SC_TK)),1,0)</f>
        <v/>
      </c>
    </row>
    <row r="1307" ht="15" customHeight="1" s="78">
      <c r="A1307" s="95">
        <f>IF($H1307="","",ROW()-6)</f>
        <v/>
      </c>
      <c r="B1307" s="114" t="n"/>
      <c r="C1307" s="102" t="n"/>
      <c r="D1307" s="114" t="n"/>
      <c r="E1307" s="103" t="n"/>
      <c r="F1307" s="102" t="n"/>
      <c r="G1307" s="102" t="n"/>
      <c r="H1307" s="115" t="n"/>
      <c r="I1307" s="102" t="n"/>
      <c r="J1307" s="102" t="n"/>
      <c r="K1307" s="103" t="n"/>
      <c r="L1307" s="116">
        <f>IF($H1307="","",TRIM(IF(COUNTIF(DMTK!$A$7:$A$250,$F1307)=0,"TK Nợ sai! ","")&amp;IF(COUNTIF(DMTK!$A$7:$A$250,$G1307)=0,"TK Có sai! ","")&amp;IF(N($H1307)&lt;=0,"Tiền phải &gt; 0! ","")&amp;IF($B1307="","Thiếu ngày! ","")&amp;IF(AND(OR(LEFT($F1307,3)="131",LEFT($G1307,3)="131",LEFT($F1307,3)="331",LEFT($G1307,3)="331"),$I1307=""),"Thiếu Mã ĐT! ","")&amp;IF(AND($I1307&lt;&gt;"",COUNTIF(DM_DT!$A$7:$A$306,$I1307)=0),"Mã ĐT chưa khai báo! ","")))</f>
        <v/>
      </c>
      <c r="M1307" s="117">
        <f>IF($H1307="","",IF(AND(OR(LEFT($F1307,3)="111",LEFT($F1307,3)="112",LEFT($F1307,3)="113"),OR(LEFT($G1307,3)="111",LEFT($G1307,3)="112",LEFT($G1307,3)="113")),"NB",IF(OR(LEFT($F1307,3)="111",LEFT($F1307,3)="112",LEFT($F1307,3)="113"),"THU",IF(OR(LEFT($G1307,3)="111",LEFT($G1307,3)="112",LEFT($G1307,3)="113"),"CHI",""))))</f>
        <v/>
      </c>
      <c r="N1307" s="117">
        <f>IF($M1307="THU",$G1307,IF($M1307="CHI",$F1307,""))</f>
        <v/>
      </c>
      <c r="O1307" s="117">
        <f>IF(OR($M1307="",$M1307="NB"),"",IF($J1307&lt;&gt;"",TEXT($J1307,"00"),IFERROR(VLOOKUP(LEFT($N1307,4),LCTT_MAP!$A$7:$C$66,IF($M1307="THU",2,3),FALSE()),IFERROR(VLOOKUP(LEFT($N1307,3),LCTT_MAP!$A$7:$C$66,IF($M1307="THU",2,3),FALSE()),IFERROR(VLOOKUP(LEFT($N1307,2),LCTT_MAP!$A$7:$C$66,IF($M1307="THU",2,3),FALSE()),IFERROR(VLOOKUP(LEFT($N1307,1),LCTT_MAP!$A$7:$C$66,IF($M1307="THU",2,3),FALSE()),IF($M1307="THU","06","07")))))))</f>
        <v/>
      </c>
      <c r="P1307" s="117">
        <f>P1306+IF(AND($H1307&lt;&gt;"",OR(LEFT($F1307,LEN(SC_TK))=SC_TK,LEFT($G1307,LEN(SC_TK))=SC_TK)),1,0)</f>
        <v/>
      </c>
    </row>
    <row r="1308" ht="15" customHeight="1" s="78">
      <c r="A1308" s="95">
        <f>IF($H1308="","",ROW()-6)</f>
        <v/>
      </c>
      <c r="B1308" s="114" t="n"/>
      <c r="C1308" s="102" t="n"/>
      <c r="D1308" s="114" t="n"/>
      <c r="E1308" s="103" t="n"/>
      <c r="F1308" s="102" t="n"/>
      <c r="G1308" s="102" t="n"/>
      <c r="H1308" s="115" t="n"/>
      <c r="I1308" s="102" t="n"/>
      <c r="J1308" s="102" t="n"/>
      <c r="K1308" s="103" t="n"/>
      <c r="L1308" s="116">
        <f>IF($H1308="","",TRIM(IF(COUNTIF(DMTK!$A$7:$A$250,$F1308)=0,"TK Nợ sai! ","")&amp;IF(COUNTIF(DMTK!$A$7:$A$250,$G1308)=0,"TK Có sai! ","")&amp;IF(N($H1308)&lt;=0,"Tiền phải &gt; 0! ","")&amp;IF($B1308="","Thiếu ngày! ","")&amp;IF(AND(OR(LEFT($F1308,3)="131",LEFT($G1308,3)="131",LEFT($F1308,3)="331",LEFT($G1308,3)="331"),$I1308=""),"Thiếu Mã ĐT! ","")&amp;IF(AND($I1308&lt;&gt;"",COUNTIF(DM_DT!$A$7:$A$306,$I1308)=0),"Mã ĐT chưa khai báo! ","")))</f>
        <v/>
      </c>
      <c r="M1308" s="117">
        <f>IF($H1308="","",IF(AND(OR(LEFT($F1308,3)="111",LEFT($F1308,3)="112",LEFT($F1308,3)="113"),OR(LEFT($G1308,3)="111",LEFT($G1308,3)="112",LEFT($G1308,3)="113")),"NB",IF(OR(LEFT($F1308,3)="111",LEFT($F1308,3)="112",LEFT($F1308,3)="113"),"THU",IF(OR(LEFT($G1308,3)="111",LEFT($G1308,3)="112",LEFT($G1308,3)="113"),"CHI",""))))</f>
        <v/>
      </c>
      <c r="N1308" s="117">
        <f>IF($M1308="THU",$G1308,IF($M1308="CHI",$F1308,""))</f>
        <v/>
      </c>
      <c r="O1308" s="117">
        <f>IF(OR($M1308="",$M1308="NB"),"",IF($J1308&lt;&gt;"",TEXT($J1308,"00"),IFERROR(VLOOKUP(LEFT($N1308,4),LCTT_MAP!$A$7:$C$66,IF($M1308="THU",2,3),FALSE()),IFERROR(VLOOKUP(LEFT($N1308,3),LCTT_MAP!$A$7:$C$66,IF($M1308="THU",2,3),FALSE()),IFERROR(VLOOKUP(LEFT($N1308,2),LCTT_MAP!$A$7:$C$66,IF($M1308="THU",2,3),FALSE()),IFERROR(VLOOKUP(LEFT($N1308,1),LCTT_MAP!$A$7:$C$66,IF($M1308="THU",2,3),FALSE()),IF($M1308="THU","06","07")))))))</f>
        <v/>
      </c>
      <c r="P1308" s="117">
        <f>P1307+IF(AND($H1308&lt;&gt;"",OR(LEFT($F1308,LEN(SC_TK))=SC_TK,LEFT($G1308,LEN(SC_TK))=SC_TK)),1,0)</f>
        <v/>
      </c>
    </row>
    <row r="1309" ht="15" customHeight="1" s="78">
      <c r="A1309" s="95">
        <f>IF($H1309="","",ROW()-6)</f>
        <v/>
      </c>
      <c r="B1309" s="114" t="n"/>
      <c r="C1309" s="102" t="n"/>
      <c r="D1309" s="114" t="n"/>
      <c r="E1309" s="103" t="n"/>
      <c r="F1309" s="102" t="n"/>
      <c r="G1309" s="102" t="n"/>
      <c r="H1309" s="115" t="n"/>
      <c r="I1309" s="102" t="n"/>
      <c r="J1309" s="102" t="n"/>
      <c r="K1309" s="103" t="n"/>
      <c r="L1309" s="116">
        <f>IF($H1309="","",TRIM(IF(COUNTIF(DMTK!$A$7:$A$250,$F1309)=0,"TK Nợ sai! ","")&amp;IF(COUNTIF(DMTK!$A$7:$A$250,$G1309)=0,"TK Có sai! ","")&amp;IF(N($H1309)&lt;=0,"Tiền phải &gt; 0! ","")&amp;IF($B1309="","Thiếu ngày! ","")&amp;IF(AND(OR(LEFT($F1309,3)="131",LEFT($G1309,3)="131",LEFT($F1309,3)="331",LEFT($G1309,3)="331"),$I1309=""),"Thiếu Mã ĐT! ","")&amp;IF(AND($I1309&lt;&gt;"",COUNTIF(DM_DT!$A$7:$A$306,$I1309)=0),"Mã ĐT chưa khai báo! ","")))</f>
        <v/>
      </c>
      <c r="M1309" s="117">
        <f>IF($H1309="","",IF(AND(OR(LEFT($F1309,3)="111",LEFT($F1309,3)="112",LEFT($F1309,3)="113"),OR(LEFT($G1309,3)="111",LEFT($G1309,3)="112",LEFT($G1309,3)="113")),"NB",IF(OR(LEFT($F1309,3)="111",LEFT($F1309,3)="112",LEFT($F1309,3)="113"),"THU",IF(OR(LEFT($G1309,3)="111",LEFT($G1309,3)="112",LEFT($G1309,3)="113"),"CHI",""))))</f>
        <v/>
      </c>
      <c r="N1309" s="117">
        <f>IF($M1309="THU",$G1309,IF($M1309="CHI",$F1309,""))</f>
        <v/>
      </c>
      <c r="O1309" s="117">
        <f>IF(OR($M1309="",$M1309="NB"),"",IF($J1309&lt;&gt;"",TEXT($J1309,"00"),IFERROR(VLOOKUP(LEFT($N1309,4),LCTT_MAP!$A$7:$C$66,IF($M1309="THU",2,3),FALSE()),IFERROR(VLOOKUP(LEFT($N1309,3),LCTT_MAP!$A$7:$C$66,IF($M1309="THU",2,3),FALSE()),IFERROR(VLOOKUP(LEFT($N1309,2),LCTT_MAP!$A$7:$C$66,IF($M1309="THU",2,3),FALSE()),IFERROR(VLOOKUP(LEFT($N1309,1),LCTT_MAP!$A$7:$C$66,IF($M1309="THU",2,3),FALSE()),IF($M1309="THU","06","07")))))))</f>
        <v/>
      </c>
      <c r="P1309" s="117">
        <f>P1308+IF(AND($H1309&lt;&gt;"",OR(LEFT($F1309,LEN(SC_TK))=SC_TK,LEFT($G1309,LEN(SC_TK))=SC_TK)),1,0)</f>
        <v/>
      </c>
    </row>
    <row r="1310" ht="15" customHeight="1" s="78">
      <c r="A1310" s="95">
        <f>IF($H1310="","",ROW()-6)</f>
        <v/>
      </c>
      <c r="B1310" s="114" t="n"/>
      <c r="C1310" s="102" t="n"/>
      <c r="D1310" s="114" t="n"/>
      <c r="E1310" s="103" t="n"/>
      <c r="F1310" s="102" t="n"/>
      <c r="G1310" s="102" t="n"/>
      <c r="H1310" s="115" t="n"/>
      <c r="I1310" s="102" t="n"/>
      <c r="J1310" s="102" t="n"/>
      <c r="K1310" s="103" t="n"/>
      <c r="L1310" s="116">
        <f>IF($H1310="","",TRIM(IF(COUNTIF(DMTK!$A$7:$A$250,$F1310)=0,"TK Nợ sai! ","")&amp;IF(COUNTIF(DMTK!$A$7:$A$250,$G1310)=0,"TK Có sai! ","")&amp;IF(N($H1310)&lt;=0,"Tiền phải &gt; 0! ","")&amp;IF($B1310="","Thiếu ngày! ","")&amp;IF(AND(OR(LEFT($F1310,3)="131",LEFT($G1310,3)="131",LEFT($F1310,3)="331",LEFT($G1310,3)="331"),$I1310=""),"Thiếu Mã ĐT! ","")&amp;IF(AND($I1310&lt;&gt;"",COUNTIF(DM_DT!$A$7:$A$306,$I1310)=0),"Mã ĐT chưa khai báo! ","")))</f>
        <v/>
      </c>
      <c r="M1310" s="117">
        <f>IF($H1310="","",IF(AND(OR(LEFT($F1310,3)="111",LEFT($F1310,3)="112",LEFT($F1310,3)="113"),OR(LEFT($G1310,3)="111",LEFT($G1310,3)="112",LEFT($G1310,3)="113")),"NB",IF(OR(LEFT($F1310,3)="111",LEFT($F1310,3)="112",LEFT($F1310,3)="113"),"THU",IF(OR(LEFT($G1310,3)="111",LEFT($G1310,3)="112",LEFT($G1310,3)="113"),"CHI",""))))</f>
        <v/>
      </c>
      <c r="N1310" s="117">
        <f>IF($M1310="THU",$G1310,IF($M1310="CHI",$F1310,""))</f>
        <v/>
      </c>
      <c r="O1310" s="117">
        <f>IF(OR($M1310="",$M1310="NB"),"",IF($J1310&lt;&gt;"",TEXT($J1310,"00"),IFERROR(VLOOKUP(LEFT($N1310,4),LCTT_MAP!$A$7:$C$66,IF($M1310="THU",2,3),FALSE()),IFERROR(VLOOKUP(LEFT($N1310,3),LCTT_MAP!$A$7:$C$66,IF($M1310="THU",2,3),FALSE()),IFERROR(VLOOKUP(LEFT($N1310,2),LCTT_MAP!$A$7:$C$66,IF($M1310="THU",2,3),FALSE()),IFERROR(VLOOKUP(LEFT($N1310,1),LCTT_MAP!$A$7:$C$66,IF($M1310="THU",2,3),FALSE()),IF($M1310="THU","06","07")))))))</f>
        <v/>
      </c>
      <c r="P1310" s="117">
        <f>P1309+IF(AND($H1310&lt;&gt;"",OR(LEFT($F1310,LEN(SC_TK))=SC_TK,LEFT($G1310,LEN(SC_TK))=SC_TK)),1,0)</f>
        <v/>
      </c>
    </row>
    <row r="1311" ht="15" customHeight="1" s="78">
      <c r="A1311" s="95">
        <f>IF($H1311="","",ROW()-6)</f>
        <v/>
      </c>
      <c r="B1311" s="114" t="n"/>
      <c r="C1311" s="102" t="n"/>
      <c r="D1311" s="114" t="n"/>
      <c r="E1311" s="103" t="n"/>
      <c r="F1311" s="102" t="n"/>
      <c r="G1311" s="102" t="n"/>
      <c r="H1311" s="115" t="n"/>
      <c r="I1311" s="102" t="n"/>
      <c r="J1311" s="102" t="n"/>
      <c r="K1311" s="103" t="n"/>
      <c r="L1311" s="116">
        <f>IF($H1311="","",TRIM(IF(COUNTIF(DMTK!$A$7:$A$250,$F1311)=0,"TK Nợ sai! ","")&amp;IF(COUNTIF(DMTK!$A$7:$A$250,$G1311)=0,"TK Có sai! ","")&amp;IF(N($H1311)&lt;=0,"Tiền phải &gt; 0! ","")&amp;IF($B1311="","Thiếu ngày! ","")&amp;IF(AND(OR(LEFT($F1311,3)="131",LEFT($G1311,3)="131",LEFT($F1311,3)="331",LEFT($G1311,3)="331"),$I1311=""),"Thiếu Mã ĐT! ","")&amp;IF(AND($I1311&lt;&gt;"",COUNTIF(DM_DT!$A$7:$A$306,$I1311)=0),"Mã ĐT chưa khai báo! ","")))</f>
        <v/>
      </c>
      <c r="M1311" s="117">
        <f>IF($H1311="","",IF(AND(OR(LEFT($F1311,3)="111",LEFT($F1311,3)="112",LEFT($F1311,3)="113"),OR(LEFT($G1311,3)="111",LEFT($G1311,3)="112",LEFT($G1311,3)="113")),"NB",IF(OR(LEFT($F1311,3)="111",LEFT($F1311,3)="112",LEFT($F1311,3)="113"),"THU",IF(OR(LEFT($G1311,3)="111",LEFT($G1311,3)="112",LEFT($G1311,3)="113"),"CHI",""))))</f>
        <v/>
      </c>
      <c r="N1311" s="117">
        <f>IF($M1311="THU",$G1311,IF($M1311="CHI",$F1311,""))</f>
        <v/>
      </c>
      <c r="O1311" s="117">
        <f>IF(OR($M1311="",$M1311="NB"),"",IF($J1311&lt;&gt;"",TEXT($J1311,"00"),IFERROR(VLOOKUP(LEFT($N1311,4),LCTT_MAP!$A$7:$C$66,IF($M1311="THU",2,3),FALSE()),IFERROR(VLOOKUP(LEFT($N1311,3),LCTT_MAP!$A$7:$C$66,IF($M1311="THU",2,3),FALSE()),IFERROR(VLOOKUP(LEFT($N1311,2),LCTT_MAP!$A$7:$C$66,IF($M1311="THU",2,3),FALSE()),IFERROR(VLOOKUP(LEFT($N1311,1),LCTT_MAP!$A$7:$C$66,IF($M1311="THU",2,3),FALSE()),IF($M1311="THU","06","07")))))))</f>
        <v/>
      </c>
      <c r="P1311" s="117">
        <f>P1310+IF(AND($H1311&lt;&gt;"",OR(LEFT($F1311,LEN(SC_TK))=SC_TK,LEFT($G1311,LEN(SC_TK))=SC_TK)),1,0)</f>
        <v/>
      </c>
    </row>
    <row r="1312" ht="15" customHeight="1" s="78">
      <c r="A1312" s="95">
        <f>IF($H1312="","",ROW()-6)</f>
        <v/>
      </c>
      <c r="B1312" s="114" t="n"/>
      <c r="C1312" s="102" t="n"/>
      <c r="D1312" s="114" t="n"/>
      <c r="E1312" s="103" t="n"/>
      <c r="F1312" s="102" t="n"/>
      <c r="G1312" s="102" t="n"/>
      <c r="H1312" s="115" t="n"/>
      <c r="I1312" s="102" t="n"/>
      <c r="J1312" s="102" t="n"/>
      <c r="K1312" s="103" t="n"/>
      <c r="L1312" s="116">
        <f>IF($H1312="","",TRIM(IF(COUNTIF(DMTK!$A$7:$A$250,$F1312)=0,"TK Nợ sai! ","")&amp;IF(COUNTIF(DMTK!$A$7:$A$250,$G1312)=0,"TK Có sai! ","")&amp;IF(N($H1312)&lt;=0,"Tiền phải &gt; 0! ","")&amp;IF($B1312="","Thiếu ngày! ","")&amp;IF(AND(OR(LEFT($F1312,3)="131",LEFT($G1312,3)="131",LEFT($F1312,3)="331",LEFT($G1312,3)="331"),$I1312=""),"Thiếu Mã ĐT! ","")&amp;IF(AND($I1312&lt;&gt;"",COUNTIF(DM_DT!$A$7:$A$306,$I1312)=0),"Mã ĐT chưa khai báo! ","")))</f>
        <v/>
      </c>
      <c r="M1312" s="117">
        <f>IF($H1312="","",IF(AND(OR(LEFT($F1312,3)="111",LEFT($F1312,3)="112",LEFT($F1312,3)="113"),OR(LEFT($G1312,3)="111",LEFT($G1312,3)="112",LEFT($G1312,3)="113")),"NB",IF(OR(LEFT($F1312,3)="111",LEFT($F1312,3)="112",LEFT($F1312,3)="113"),"THU",IF(OR(LEFT($G1312,3)="111",LEFT($G1312,3)="112",LEFT($G1312,3)="113"),"CHI",""))))</f>
        <v/>
      </c>
      <c r="N1312" s="117">
        <f>IF($M1312="THU",$G1312,IF($M1312="CHI",$F1312,""))</f>
        <v/>
      </c>
      <c r="O1312" s="117">
        <f>IF(OR($M1312="",$M1312="NB"),"",IF($J1312&lt;&gt;"",TEXT($J1312,"00"),IFERROR(VLOOKUP(LEFT($N1312,4),LCTT_MAP!$A$7:$C$66,IF($M1312="THU",2,3),FALSE()),IFERROR(VLOOKUP(LEFT($N1312,3),LCTT_MAP!$A$7:$C$66,IF($M1312="THU",2,3),FALSE()),IFERROR(VLOOKUP(LEFT($N1312,2),LCTT_MAP!$A$7:$C$66,IF($M1312="THU",2,3),FALSE()),IFERROR(VLOOKUP(LEFT($N1312,1),LCTT_MAP!$A$7:$C$66,IF($M1312="THU",2,3),FALSE()),IF($M1312="THU","06","07")))))))</f>
        <v/>
      </c>
      <c r="P1312" s="117">
        <f>P1311+IF(AND($H1312&lt;&gt;"",OR(LEFT($F1312,LEN(SC_TK))=SC_TK,LEFT($G1312,LEN(SC_TK))=SC_TK)),1,0)</f>
        <v/>
      </c>
    </row>
    <row r="1313" ht="15" customHeight="1" s="78">
      <c r="A1313" s="95">
        <f>IF($H1313="","",ROW()-6)</f>
        <v/>
      </c>
      <c r="B1313" s="114" t="n"/>
      <c r="C1313" s="102" t="n"/>
      <c r="D1313" s="114" t="n"/>
      <c r="E1313" s="103" t="n"/>
      <c r="F1313" s="102" t="n"/>
      <c r="G1313" s="102" t="n"/>
      <c r="H1313" s="115" t="n"/>
      <c r="I1313" s="102" t="n"/>
      <c r="J1313" s="102" t="n"/>
      <c r="K1313" s="103" t="n"/>
      <c r="L1313" s="116">
        <f>IF($H1313="","",TRIM(IF(COUNTIF(DMTK!$A$7:$A$250,$F1313)=0,"TK Nợ sai! ","")&amp;IF(COUNTIF(DMTK!$A$7:$A$250,$G1313)=0,"TK Có sai! ","")&amp;IF(N($H1313)&lt;=0,"Tiền phải &gt; 0! ","")&amp;IF($B1313="","Thiếu ngày! ","")&amp;IF(AND(OR(LEFT($F1313,3)="131",LEFT($G1313,3)="131",LEFT($F1313,3)="331",LEFT($G1313,3)="331"),$I1313=""),"Thiếu Mã ĐT! ","")&amp;IF(AND($I1313&lt;&gt;"",COUNTIF(DM_DT!$A$7:$A$306,$I1313)=0),"Mã ĐT chưa khai báo! ","")))</f>
        <v/>
      </c>
      <c r="M1313" s="117">
        <f>IF($H1313="","",IF(AND(OR(LEFT($F1313,3)="111",LEFT($F1313,3)="112",LEFT($F1313,3)="113"),OR(LEFT($G1313,3)="111",LEFT($G1313,3)="112",LEFT($G1313,3)="113")),"NB",IF(OR(LEFT($F1313,3)="111",LEFT($F1313,3)="112",LEFT($F1313,3)="113"),"THU",IF(OR(LEFT($G1313,3)="111",LEFT($G1313,3)="112",LEFT($G1313,3)="113"),"CHI",""))))</f>
        <v/>
      </c>
      <c r="N1313" s="117">
        <f>IF($M1313="THU",$G1313,IF($M1313="CHI",$F1313,""))</f>
        <v/>
      </c>
      <c r="O1313" s="117">
        <f>IF(OR($M1313="",$M1313="NB"),"",IF($J1313&lt;&gt;"",TEXT($J1313,"00"),IFERROR(VLOOKUP(LEFT($N1313,4),LCTT_MAP!$A$7:$C$66,IF($M1313="THU",2,3),FALSE()),IFERROR(VLOOKUP(LEFT($N1313,3),LCTT_MAP!$A$7:$C$66,IF($M1313="THU",2,3),FALSE()),IFERROR(VLOOKUP(LEFT($N1313,2),LCTT_MAP!$A$7:$C$66,IF($M1313="THU",2,3),FALSE()),IFERROR(VLOOKUP(LEFT($N1313,1),LCTT_MAP!$A$7:$C$66,IF($M1313="THU",2,3),FALSE()),IF($M1313="THU","06","07")))))))</f>
        <v/>
      </c>
      <c r="P1313" s="117">
        <f>P1312+IF(AND($H1313&lt;&gt;"",OR(LEFT($F1313,LEN(SC_TK))=SC_TK,LEFT($G1313,LEN(SC_TK))=SC_TK)),1,0)</f>
        <v/>
      </c>
    </row>
    <row r="1314" ht="15" customHeight="1" s="78">
      <c r="A1314" s="95">
        <f>IF($H1314="","",ROW()-6)</f>
        <v/>
      </c>
      <c r="B1314" s="114" t="n"/>
      <c r="C1314" s="102" t="n"/>
      <c r="D1314" s="114" t="n"/>
      <c r="E1314" s="103" t="n"/>
      <c r="F1314" s="102" t="n"/>
      <c r="G1314" s="102" t="n"/>
      <c r="H1314" s="115" t="n"/>
      <c r="I1314" s="102" t="n"/>
      <c r="J1314" s="102" t="n"/>
      <c r="K1314" s="103" t="n"/>
      <c r="L1314" s="116">
        <f>IF($H1314="","",TRIM(IF(COUNTIF(DMTK!$A$7:$A$250,$F1314)=0,"TK Nợ sai! ","")&amp;IF(COUNTIF(DMTK!$A$7:$A$250,$G1314)=0,"TK Có sai! ","")&amp;IF(N($H1314)&lt;=0,"Tiền phải &gt; 0! ","")&amp;IF($B1314="","Thiếu ngày! ","")&amp;IF(AND(OR(LEFT($F1314,3)="131",LEFT($G1314,3)="131",LEFT($F1314,3)="331",LEFT($G1314,3)="331"),$I1314=""),"Thiếu Mã ĐT! ","")&amp;IF(AND($I1314&lt;&gt;"",COUNTIF(DM_DT!$A$7:$A$306,$I1314)=0),"Mã ĐT chưa khai báo! ","")))</f>
        <v/>
      </c>
      <c r="M1314" s="117">
        <f>IF($H1314="","",IF(AND(OR(LEFT($F1314,3)="111",LEFT($F1314,3)="112",LEFT($F1314,3)="113"),OR(LEFT($G1314,3)="111",LEFT($G1314,3)="112",LEFT($G1314,3)="113")),"NB",IF(OR(LEFT($F1314,3)="111",LEFT($F1314,3)="112",LEFT($F1314,3)="113"),"THU",IF(OR(LEFT($G1314,3)="111",LEFT($G1314,3)="112",LEFT($G1314,3)="113"),"CHI",""))))</f>
        <v/>
      </c>
      <c r="N1314" s="117">
        <f>IF($M1314="THU",$G1314,IF($M1314="CHI",$F1314,""))</f>
        <v/>
      </c>
      <c r="O1314" s="117">
        <f>IF(OR($M1314="",$M1314="NB"),"",IF($J1314&lt;&gt;"",TEXT($J1314,"00"),IFERROR(VLOOKUP(LEFT($N1314,4),LCTT_MAP!$A$7:$C$66,IF($M1314="THU",2,3),FALSE()),IFERROR(VLOOKUP(LEFT($N1314,3),LCTT_MAP!$A$7:$C$66,IF($M1314="THU",2,3),FALSE()),IFERROR(VLOOKUP(LEFT($N1314,2),LCTT_MAP!$A$7:$C$66,IF($M1314="THU",2,3),FALSE()),IFERROR(VLOOKUP(LEFT($N1314,1),LCTT_MAP!$A$7:$C$66,IF($M1314="THU",2,3),FALSE()),IF($M1314="THU","06","07")))))))</f>
        <v/>
      </c>
      <c r="P1314" s="117">
        <f>P1313+IF(AND($H1314&lt;&gt;"",OR(LEFT($F1314,LEN(SC_TK))=SC_TK,LEFT($G1314,LEN(SC_TK))=SC_TK)),1,0)</f>
        <v/>
      </c>
    </row>
    <row r="1315" ht="15" customHeight="1" s="78">
      <c r="A1315" s="95">
        <f>IF($H1315="","",ROW()-6)</f>
        <v/>
      </c>
      <c r="B1315" s="114" t="n"/>
      <c r="C1315" s="102" t="n"/>
      <c r="D1315" s="114" t="n"/>
      <c r="E1315" s="103" t="n"/>
      <c r="F1315" s="102" t="n"/>
      <c r="G1315" s="102" t="n"/>
      <c r="H1315" s="115" t="n"/>
      <c r="I1315" s="102" t="n"/>
      <c r="J1315" s="102" t="n"/>
      <c r="K1315" s="103" t="n"/>
      <c r="L1315" s="116">
        <f>IF($H1315="","",TRIM(IF(COUNTIF(DMTK!$A$7:$A$250,$F1315)=0,"TK Nợ sai! ","")&amp;IF(COUNTIF(DMTK!$A$7:$A$250,$G1315)=0,"TK Có sai! ","")&amp;IF(N($H1315)&lt;=0,"Tiền phải &gt; 0! ","")&amp;IF($B1315="","Thiếu ngày! ","")&amp;IF(AND(OR(LEFT($F1315,3)="131",LEFT($G1315,3)="131",LEFT($F1315,3)="331",LEFT($G1315,3)="331"),$I1315=""),"Thiếu Mã ĐT! ","")&amp;IF(AND($I1315&lt;&gt;"",COUNTIF(DM_DT!$A$7:$A$306,$I1315)=0),"Mã ĐT chưa khai báo! ","")))</f>
        <v/>
      </c>
      <c r="M1315" s="117">
        <f>IF($H1315="","",IF(AND(OR(LEFT($F1315,3)="111",LEFT($F1315,3)="112",LEFT($F1315,3)="113"),OR(LEFT($G1315,3)="111",LEFT($G1315,3)="112",LEFT($G1315,3)="113")),"NB",IF(OR(LEFT($F1315,3)="111",LEFT($F1315,3)="112",LEFT($F1315,3)="113"),"THU",IF(OR(LEFT($G1315,3)="111",LEFT($G1315,3)="112",LEFT($G1315,3)="113"),"CHI",""))))</f>
        <v/>
      </c>
      <c r="N1315" s="117">
        <f>IF($M1315="THU",$G1315,IF($M1315="CHI",$F1315,""))</f>
        <v/>
      </c>
      <c r="O1315" s="117">
        <f>IF(OR($M1315="",$M1315="NB"),"",IF($J1315&lt;&gt;"",TEXT($J1315,"00"),IFERROR(VLOOKUP(LEFT($N1315,4),LCTT_MAP!$A$7:$C$66,IF($M1315="THU",2,3),FALSE()),IFERROR(VLOOKUP(LEFT($N1315,3),LCTT_MAP!$A$7:$C$66,IF($M1315="THU",2,3),FALSE()),IFERROR(VLOOKUP(LEFT($N1315,2),LCTT_MAP!$A$7:$C$66,IF($M1315="THU",2,3),FALSE()),IFERROR(VLOOKUP(LEFT($N1315,1),LCTT_MAP!$A$7:$C$66,IF($M1315="THU",2,3),FALSE()),IF($M1315="THU","06","07")))))))</f>
        <v/>
      </c>
      <c r="P1315" s="117">
        <f>P1314+IF(AND($H1315&lt;&gt;"",OR(LEFT($F1315,LEN(SC_TK))=SC_TK,LEFT($G1315,LEN(SC_TK))=SC_TK)),1,0)</f>
        <v/>
      </c>
    </row>
    <row r="1316" ht="15" customHeight="1" s="78">
      <c r="A1316" s="95">
        <f>IF($H1316="","",ROW()-6)</f>
        <v/>
      </c>
      <c r="B1316" s="114" t="n"/>
      <c r="C1316" s="102" t="n"/>
      <c r="D1316" s="114" t="n"/>
      <c r="E1316" s="103" t="n"/>
      <c r="F1316" s="102" t="n"/>
      <c r="G1316" s="102" t="n"/>
      <c r="H1316" s="115" t="n"/>
      <c r="I1316" s="102" t="n"/>
      <c r="J1316" s="102" t="n"/>
      <c r="K1316" s="103" t="n"/>
      <c r="L1316" s="116">
        <f>IF($H1316="","",TRIM(IF(COUNTIF(DMTK!$A$7:$A$250,$F1316)=0,"TK Nợ sai! ","")&amp;IF(COUNTIF(DMTK!$A$7:$A$250,$G1316)=0,"TK Có sai! ","")&amp;IF(N($H1316)&lt;=0,"Tiền phải &gt; 0! ","")&amp;IF($B1316="","Thiếu ngày! ","")&amp;IF(AND(OR(LEFT($F1316,3)="131",LEFT($G1316,3)="131",LEFT($F1316,3)="331",LEFT($G1316,3)="331"),$I1316=""),"Thiếu Mã ĐT! ","")&amp;IF(AND($I1316&lt;&gt;"",COUNTIF(DM_DT!$A$7:$A$306,$I1316)=0),"Mã ĐT chưa khai báo! ","")))</f>
        <v/>
      </c>
      <c r="M1316" s="117">
        <f>IF($H1316="","",IF(AND(OR(LEFT($F1316,3)="111",LEFT($F1316,3)="112",LEFT($F1316,3)="113"),OR(LEFT($G1316,3)="111",LEFT($G1316,3)="112",LEFT($G1316,3)="113")),"NB",IF(OR(LEFT($F1316,3)="111",LEFT($F1316,3)="112",LEFT($F1316,3)="113"),"THU",IF(OR(LEFT($G1316,3)="111",LEFT($G1316,3)="112",LEFT($G1316,3)="113"),"CHI",""))))</f>
        <v/>
      </c>
      <c r="N1316" s="117">
        <f>IF($M1316="THU",$G1316,IF($M1316="CHI",$F1316,""))</f>
        <v/>
      </c>
      <c r="O1316" s="117">
        <f>IF(OR($M1316="",$M1316="NB"),"",IF($J1316&lt;&gt;"",TEXT($J1316,"00"),IFERROR(VLOOKUP(LEFT($N1316,4),LCTT_MAP!$A$7:$C$66,IF($M1316="THU",2,3),FALSE()),IFERROR(VLOOKUP(LEFT($N1316,3),LCTT_MAP!$A$7:$C$66,IF($M1316="THU",2,3),FALSE()),IFERROR(VLOOKUP(LEFT($N1316,2),LCTT_MAP!$A$7:$C$66,IF($M1316="THU",2,3),FALSE()),IFERROR(VLOOKUP(LEFT($N1316,1),LCTT_MAP!$A$7:$C$66,IF($M1316="THU",2,3),FALSE()),IF($M1316="THU","06","07")))))))</f>
        <v/>
      </c>
      <c r="P1316" s="117">
        <f>P1315+IF(AND($H1316&lt;&gt;"",OR(LEFT($F1316,LEN(SC_TK))=SC_TK,LEFT($G1316,LEN(SC_TK))=SC_TK)),1,0)</f>
        <v/>
      </c>
    </row>
    <row r="1317" ht="15" customHeight="1" s="78">
      <c r="A1317" s="95">
        <f>IF($H1317="","",ROW()-6)</f>
        <v/>
      </c>
      <c r="B1317" s="114" t="n"/>
      <c r="C1317" s="102" t="n"/>
      <c r="D1317" s="114" t="n"/>
      <c r="E1317" s="103" t="n"/>
      <c r="F1317" s="102" t="n"/>
      <c r="G1317" s="102" t="n"/>
      <c r="H1317" s="115" t="n"/>
      <c r="I1317" s="102" t="n"/>
      <c r="J1317" s="102" t="n"/>
      <c r="K1317" s="103" t="n"/>
      <c r="L1317" s="116">
        <f>IF($H1317="","",TRIM(IF(COUNTIF(DMTK!$A$7:$A$250,$F1317)=0,"TK Nợ sai! ","")&amp;IF(COUNTIF(DMTK!$A$7:$A$250,$G1317)=0,"TK Có sai! ","")&amp;IF(N($H1317)&lt;=0,"Tiền phải &gt; 0! ","")&amp;IF($B1317="","Thiếu ngày! ","")&amp;IF(AND(OR(LEFT($F1317,3)="131",LEFT($G1317,3)="131",LEFT($F1317,3)="331",LEFT($G1317,3)="331"),$I1317=""),"Thiếu Mã ĐT! ","")&amp;IF(AND($I1317&lt;&gt;"",COUNTIF(DM_DT!$A$7:$A$306,$I1317)=0),"Mã ĐT chưa khai báo! ","")))</f>
        <v/>
      </c>
      <c r="M1317" s="117">
        <f>IF($H1317="","",IF(AND(OR(LEFT($F1317,3)="111",LEFT($F1317,3)="112",LEFT($F1317,3)="113"),OR(LEFT($G1317,3)="111",LEFT($G1317,3)="112",LEFT($G1317,3)="113")),"NB",IF(OR(LEFT($F1317,3)="111",LEFT($F1317,3)="112",LEFT($F1317,3)="113"),"THU",IF(OR(LEFT($G1317,3)="111",LEFT($G1317,3)="112",LEFT($G1317,3)="113"),"CHI",""))))</f>
        <v/>
      </c>
      <c r="N1317" s="117">
        <f>IF($M1317="THU",$G1317,IF($M1317="CHI",$F1317,""))</f>
        <v/>
      </c>
      <c r="O1317" s="117">
        <f>IF(OR($M1317="",$M1317="NB"),"",IF($J1317&lt;&gt;"",TEXT($J1317,"00"),IFERROR(VLOOKUP(LEFT($N1317,4),LCTT_MAP!$A$7:$C$66,IF($M1317="THU",2,3),FALSE()),IFERROR(VLOOKUP(LEFT($N1317,3),LCTT_MAP!$A$7:$C$66,IF($M1317="THU",2,3),FALSE()),IFERROR(VLOOKUP(LEFT($N1317,2),LCTT_MAP!$A$7:$C$66,IF($M1317="THU",2,3),FALSE()),IFERROR(VLOOKUP(LEFT($N1317,1),LCTT_MAP!$A$7:$C$66,IF($M1317="THU",2,3),FALSE()),IF($M1317="THU","06","07")))))))</f>
        <v/>
      </c>
      <c r="P1317" s="117">
        <f>P1316+IF(AND($H1317&lt;&gt;"",OR(LEFT($F1317,LEN(SC_TK))=SC_TK,LEFT($G1317,LEN(SC_TK))=SC_TK)),1,0)</f>
        <v/>
      </c>
    </row>
    <row r="1318" ht="15" customHeight="1" s="78">
      <c r="A1318" s="95">
        <f>IF($H1318="","",ROW()-6)</f>
        <v/>
      </c>
      <c r="B1318" s="114" t="n"/>
      <c r="C1318" s="102" t="n"/>
      <c r="D1318" s="114" t="n"/>
      <c r="E1318" s="103" t="n"/>
      <c r="F1318" s="102" t="n"/>
      <c r="G1318" s="102" t="n"/>
      <c r="H1318" s="115" t="n"/>
      <c r="I1318" s="102" t="n"/>
      <c r="J1318" s="102" t="n"/>
      <c r="K1318" s="103" t="n"/>
      <c r="L1318" s="116">
        <f>IF($H1318="","",TRIM(IF(COUNTIF(DMTK!$A$7:$A$250,$F1318)=0,"TK Nợ sai! ","")&amp;IF(COUNTIF(DMTK!$A$7:$A$250,$G1318)=0,"TK Có sai! ","")&amp;IF(N($H1318)&lt;=0,"Tiền phải &gt; 0! ","")&amp;IF($B1318="","Thiếu ngày! ","")&amp;IF(AND(OR(LEFT($F1318,3)="131",LEFT($G1318,3)="131",LEFT($F1318,3)="331",LEFT($G1318,3)="331"),$I1318=""),"Thiếu Mã ĐT! ","")&amp;IF(AND($I1318&lt;&gt;"",COUNTIF(DM_DT!$A$7:$A$306,$I1318)=0),"Mã ĐT chưa khai báo! ","")))</f>
        <v/>
      </c>
      <c r="M1318" s="117">
        <f>IF($H1318="","",IF(AND(OR(LEFT($F1318,3)="111",LEFT($F1318,3)="112",LEFT($F1318,3)="113"),OR(LEFT($G1318,3)="111",LEFT($G1318,3)="112",LEFT($G1318,3)="113")),"NB",IF(OR(LEFT($F1318,3)="111",LEFT($F1318,3)="112",LEFT($F1318,3)="113"),"THU",IF(OR(LEFT($G1318,3)="111",LEFT($G1318,3)="112",LEFT($G1318,3)="113"),"CHI",""))))</f>
        <v/>
      </c>
      <c r="N1318" s="117">
        <f>IF($M1318="THU",$G1318,IF($M1318="CHI",$F1318,""))</f>
        <v/>
      </c>
      <c r="O1318" s="117">
        <f>IF(OR($M1318="",$M1318="NB"),"",IF($J1318&lt;&gt;"",TEXT($J1318,"00"),IFERROR(VLOOKUP(LEFT($N1318,4),LCTT_MAP!$A$7:$C$66,IF($M1318="THU",2,3),FALSE()),IFERROR(VLOOKUP(LEFT($N1318,3),LCTT_MAP!$A$7:$C$66,IF($M1318="THU",2,3),FALSE()),IFERROR(VLOOKUP(LEFT($N1318,2),LCTT_MAP!$A$7:$C$66,IF($M1318="THU",2,3),FALSE()),IFERROR(VLOOKUP(LEFT($N1318,1),LCTT_MAP!$A$7:$C$66,IF($M1318="THU",2,3),FALSE()),IF($M1318="THU","06","07")))))))</f>
        <v/>
      </c>
      <c r="P1318" s="117">
        <f>P1317+IF(AND($H1318&lt;&gt;"",OR(LEFT($F1318,LEN(SC_TK))=SC_TK,LEFT($G1318,LEN(SC_TK))=SC_TK)),1,0)</f>
        <v/>
      </c>
    </row>
    <row r="1319" ht="15" customHeight="1" s="78">
      <c r="A1319" s="95">
        <f>IF($H1319="","",ROW()-6)</f>
        <v/>
      </c>
      <c r="B1319" s="114" t="n"/>
      <c r="C1319" s="102" t="n"/>
      <c r="D1319" s="114" t="n"/>
      <c r="E1319" s="103" t="n"/>
      <c r="F1319" s="102" t="n"/>
      <c r="G1319" s="102" t="n"/>
      <c r="H1319" s="115" t="n"/>
      <c r="I1319" s="102" t="n"/>
      <c r="J1319" s="102" t="n"/>
      <c r="K1319" s="103" t="n"/>
      <c r="L1319" s="116">
        <f>IF($H1319="","",TRIM(IF(COUNTIF(DMTK!$A$7:$A$250,$F1319)=0,"TK Nợ sai! ","")&amp;IF(COUNTIF(DMTK!$A$7:$A$250,$G1319)=0,"TK Có sai! ","")&amp;IF(N($H1319)&lt;=0,"Tiền phải &gt; 0! ","")&amp;IF($B1319="","Thiếu ngày! ","")&amp;IF(AND(OR(LEFT($F1319,3)="131",LEFT($G1319,3)="131",LEFT($F1319,3)="331",LEFT($G1319,3)="331"),$I1319=""),"Thiếu Mã ĐT! ","")&amp;IF(AND($I1319&lt;&gt;"",COUNTIF(DM_DT!$A$7:$A$306,$I1319)=0),"Mã ĐT chưa khai báo! ","")))</f>
        <v/>
      </c>
      <c r="M1319" s="117">
        <f>IF($H1319="","",IF(AND(OR(LEFT($F1319,3)="111",LEFT($F1319,3)="112",LEFT($F1319,3)="113"),OR(LEFT($G1319,3)="111",LEFT($G1319,3)="112",LEFT($G1319,3)="113")),"NB",IF(OR(LEFT($F1319,3)="111",LEFT($F1319,3)="112",LEFT($F1319,3)="113"),"THU",IF(OR(LEFT($G1319,3)="111",LEFT($G1319,3)="112",LEFT($G1319,3)="113"),"CHI",""))))</f>
        <v/>
      </c>
      <c r="N1319" s="117">
        <f>IF($M1319="THU",$G1319,IF($M1319="CHI",$F1319,""))</f>
        <v/>
      </c>
      <c r="O1319" s="117">
        <f>IF(OR($M1319="",$M1319="NB"),"",IF($J1319&lt;&gt;"",TEXT($J1319,"00"),IFERROR(VLOOKUP(LEFT($N1319,4),LCTT_MAP!$A$7:$C$66,IF($M1319="THU",2,3),FALSE()),IFERROR(VLOOKUP(LEFT($N1319,3),LCTT_MAP!$A$7:$C$66,IF($M1319="THU",2,3),FALSE()),IFERROR(VLOOKUP(LEFT($N1319,2),LCTT_MAP!$A$7:$C$66,IF($M1319="THU",2,3),FALSE()),IFERROR(VLOOKUP(LEFT($N1319,1),LCTT_MAP!$A$7:$C$66,IF($M1319="THU",2,3),FALSE()),IF($M1319="THU","06","07")))))))</f>
        <v/>
      </c>
      <c r="P1319" s="117">
        <f>P1318+IF(AND($H1319&lt;&gt;"",OR(LEFT($F1319,LEN(SC_TK))=SC_TK,LEFT($G1319,LEN(SC_TK))=SC_TK)),1,0)</f>
        <v/>
      </c>
    </row>
    <row r="1320" ht="15" customHeight="1" s="78">
      <c r="A1320" s="95">
        <f>IF($H1320="","",ROW()-6)</f>
        <v/>
      </c>
      <c r="B1320" s="114" t="n"/>
      <c r="C1320" s="102" t="n"/>
      <c r="D1320" s="114" t="n"/>
      <c r="E1320" s="103" t="n"/>
      <c r="F1320" s="102" t="n"/>
      <c r="G1320" s="102" t="n"/>
      <c r="H1320" s="115" t="n"/>
      <c r="I1320" s="102" t="n"/>
      <c r="J1320" s="102" t="n"/>
      <c r="K1320" s="103" t="n"/>
      <c r="L1320" s="116">
        <f>IF($H1320="","",TRIM(IF(COUNTIF(DMTK!$A$7:$A$250,$F1320)=0,"TK Nợ sai! ","")&amp;IF(COUNTIF(DMTK!$A$7:$A$250,$G1320)=0,"TK Có sai! ","")&amp;IF(N($H1320)&lt;=0,"Tiền phải &gt; 0! ","")&amp;IF($B1320="","Thiếu ngày! ","")&amp;IF(AND(OR(LEFT($F1320,3)="131",LEFT($G1320,3)="131",LEFT($F1320,3)="331",LEFT($G1320,3)="331"),$I1320=""),"Thiếu Mã ĐT! ","")&amp;IF(AND($I1320&lt;&gt;"",COUNTIF(DM_DT!$A$7:$A$306,$I1320)=0),"Mã ĐT chưa khai báo! ","")))</f>
        <v/>
      </c>
      <c r="M1320" s="117">
        <f>IF($H1320="","",IF(AND(OR(LEFT($F1320,3)="111",LEFT($F1320,3)="112",LEFT($F1320,3)="113"),OR(LEFT($G1320,3)="111",LEFT($G1320,3)="112",LEFT($G1320,3)="113")),"NB",IF(OR(LEFT($F1320,3)="111",LEFT($F1320,3)="112",LEFT($F1320,3)="113"),"THU",IF(OR(LEFT($G1320,3)="111",LEFT($G1320,3)="112",LEFT($G1320,3)="113"),"CHI",""))))</f>
        <v/>
      </c>
      <c r="N1320" s="117">
        <f>IF($M1320="THU",$G1320,IF($M1320="CHI",$F1320,""))</f>
        <v/>
      </c>
      <c r="O1320" s="117">
        <f>IF(OR($M1320="",$M1320="NB"),"",IF($J1320&lt;&gt;"",TEXT($J1320,"00"),IFERROR(VLOOKUP(LEFT($N1320,4),LCTT_MAP!$A$7:$C$66,IF($M1320="THU",2,3),FALSE()),IFERROR(VLOOKUP(LEFT($N1320,3),LCTT_MAP!$A$7:$C$66,IF($M1320="THU",2,3),FALSE()),IFERROR(VLOOKUP(LEFT($N1320,2),LCTT_MAP!$A$7:$C$66,IF($M1320="THU",2,3),FALSE()),IFERROR(VLOOKUP(LEFT($N1320,1),LCTT_MAP!$A$7:$C$66,IF($M1320="THU",2,3),FALSE()),IF($M1320="THU","06","07")))))))</f>
        <v/>
      </c>
      <c r="P1320" s="117">
        <f>P1319+IF(AND($H1320&lt;&gt;"",OR(LEFT($F1320,LEN(SC_TK))=SC_TK,LEFT($G1320,LEN(SC_TK))=SC_TK)),1,0)</f>
        <v/>
      </c>
    </row>
    <row r="1321" ht="15" customHeight="1" s="78">
      <c r="A1321" s="95">
        <f>IF($H1321="","",ROW()-6)</f>
        <v/>
      </c>
      <c r="B1321" s="114" t="n"/>
      <c r="C1321" s="102" t="n"/>
      <c r="D1321" s="114" t="n"/>
      <c r="E1321" s="103" t="n"/>
      <c r="F1321" s="102" t="n"/>
      <c r="G1321" s="102" t="n"/>
      <c r="H1321" s="115" t="n"/>
      <c r="I1321" s="102" t="n"/>
      <c r="J1321" s="102" t="n"/>
      <c r="K1321" s="103" t="n"/>
      <c r="L1321" s="116">
        <f>IF($H1321="","",TRIM(IF(COUNTIF(DMTK!$A$7:$A$250,$F1321)=0,"TK Nợ sai! ","")&amp;IF(COUNTIF(DMTK!$A$7:$A$250,$G1321)=0,"TK Có sai! ","")&amp;IF(N($H1321)&lt;=0,"Tiền phải &gt; 0! ","")&amp;IF($B1321="","Thiếu ngày! ","")&amp;IF(AND(OR(LEFT($F1321,3)="131",LEFT($G1321,3)="131",LEFT($F1321,3)="331",LEFT($G1321,3)="331"),$I1321=""),"Thiếu Mã ĐT! ","")&amp;IF(AND($I1321&lt;&gt;"",COUNTIF(DM_DT!$A$7:$A$306,$I1321)=0),"Mã ĐT chưa khai báo! ","")))</f>
        <v/>
      </c>
      <c r="M1321" s="117">
        <f>IF($H1321="","",IF(AND(OR(LEFT($F1321,3)="111",LEFT($F1321,3)="112",LEFT($F1321,3)="113"),OR(LEFT($G1321,3)="111",LEFT($G1321,3)="112",LEFT($G1321,3)="113")),"NB",IF(OR(LEFT($F1321,3)="111",LEFT($F1321,3)="112",LEFT($F1321,3)="113"),"THU",IF(OR(LEFT($G1321,3)="111",LEFT($G1321,3)="112",LEFT($G1321,3)="113"),"CHI",""))))</f>
        <v/>
      </c>
      <c r="N1321" s="117">
        <f>IF($M1321="THU",$G1321,IF($M1321="CHI",$F1321,""))</f>
        <v/>
      </c>
      <c r="O1321" s="117">
        <f>IF(OR($M1321="",$M1321="NB"),"",IF($J1321&lt;&gt;"",TEXT($J1321,"00"),IFERROR(VLOOKUP(LEFT($N1321,4),LCTT_MAP!$A$7:$C$66,IF($M1321="THU",2,3),FALSE()),IFERROR(VLOOKUP(LEFT($N1321,3),LCTT_MAP!$A$7:$C$66,IF($M1321="THU",2,3),FALSE()),IFERROR(VLOOKUP(LEFT($N1321,2),LCTT_MAP!$A$7:$C$66,IF($M1321="THU",2,3),FALSE()),IFERROR(VLOOKUP(LEFT($N1321,1),LCTT_MAP!$A$7:$C$66,IF($M1321="THU",2,3),FALSE()),IF($M1321="THU","06","07")))))))</f>
        <v/>
      </c>
      <c r="P1321" s="117">
        <f>P1320+IF(AND($H1321&lt;&gt;"",OR(LEFT($F1321,LEN(SC_TK))=SC_TK,LEFT($G1321,LEN(SC_TK))=SC_TK)),1,0)</f>
        <v/>
      </c>
    </row>
    <row r="1322" ht="15" customHeight="1" s="78">
      <c r="A1322" s="95">
        <f>IF($H1322="","",ROW()-6)</f>
        <v/>
      </c>
      <c r="B1322" s="114" t="n"/>
      <c r="C1322" s="102" t="n"/>
      <c r="D1322" s="114" t="n"/>
      <c r="E1322" s="103" t="n"/>
      <c r="F1322" s="102" t="n"/>
      <c r="G1322" s="102" t="n"/>
      <c r="H1322" s="115" t="n"/>
      <c r="I1322" s="102" t="n"/>
      <c r="J1322" s="102" t="n"/>
      <c r="K1322" s="103" t="n"/>
      <c r="L1322" s="116">
        <f>IF($H1322="","",TRIM(IF(COUNTIF(DMTK!$A$7:$A$250,$F1322)=0,"TK Nợ sai! ","")&amp;IF(COUNTIF(DMTK!$A$7:$A$250,$G1322)=0,"TK Có sai! ","")&amp;IF(N($H1322)&lt;=0,"Tiền phải &gt; 0! ","")&amp;IF($B1322="","Thiếu ngày! ","")&amp;IF(AND(OR(LEFT($F1322,3)="131",LEFT($G1322,3)="131",LEFT($F1322,3)="331",LEFT($G1322,3)="331"),$I1322=""),"Thiếu Mã ĐT! ","")&amp;IF(AND($I1322&lt;&gt;"",COUNTIF(DM_DT!$A$7:$A$306,$I1322)=0),"Mã ĐT chưa khai báo! ","")))</f>
        <v/>
      </c>
      <c r="M1322" s="117">
        <f>IF($H1322="","",IF(AND(OR(LEFT($F1322,3)="111",LEFT($F1322,3)="112",LEFT($F1322,3)="113"),OR(LEFT($G1322,3)="111",LEFT($G1322,3)="112",LEFT($G1322,3)="113")),"NB",IF(OR(LEFT($F1322,3)="111",LEFT($F1322,3)="112",LEFT($F1322,3)="113"),"THU",IF(OR(LEFT($G1322,3)="111",LEFT($G1322,3)="112",LEFT($G1322,3)="113"),"CHI",""))))</f>
        <v/>
      </c>
      <c r="N1322" s="117">
        <f>IF($M1322="THU",$G1322,IF($M1322="CHI",$F1322,""))</f>
        <v/>
      </c>
      <c r="O1322" s="117">
        <f>IF(OR($M1322="",$M1322="NB"),"",IF($J1322&lt;&gt;"",TEXT($J1322,"00"),IFERROR(VLOOKUP(LEFT($N1322,4),LCTT_MAP!$A$7:$C$66,IF($M1322="THU",2,3),FALSE()),IFERROR(VLOOKUP(LEFT($N1322,3),LCTT_MAP!$A$7:$C$66,IF($M1322="THU",2,3),FALSE()),IFERROR(VLOOKUP(LEFT($N1322,2),LCTT_MAP!$A$7:$C$66,IF($M1322="THU",2,3),FALSE()),IFERROR(VLOOKUP(LEFT($N1322,1),LCTT_MAP!$A$7:$C$66,IF($M1322="THU",2,3),FALSE()),IF($M1322="THU","06","07")))))))</f>
        <v/>
      </c>
      <c r="P1322" s="117">
        <f>P1321+IF(AND($H1322&lt;&gt;"",OR(LEFT($F1322,LEN(SC_TK))=SC_TK,LEFT($G1322,LEN(SC_TK))=SC_TK)),1,0)</f>
        <v/>
      </c>
    </row>
    <row r="1323" ht="15" customHeight="1" s="78">
      <c r="A1323" s="95">
        <f>IF($H1323="","",ROW()-6)</f>
        <v/>
      </c>
      <c r="B1323" s="114" t="n"/>
      <c r="C1323" s="102" t="n"/>
      <c r="D1323" s="114" t="n"/>
      <c r="E1323" s="103" t="n"/>
      <c r="F1323" s="102" t="n"/>
      <c r="G1323" s="102" t="n"/>
      <c r="H1323" s="115" t="n"/>
      <c r="I1323" s="102" t="n"/>
      <c r="J1323" s="102" t="n"/>
      <c r="K1323" s="103" t="n"/>
      <c r="L1323" s="116">
        <f>IF($H1323="","",TRIM(IF(COUNTIF(DMTK!$A$7:$A$250,$F1323)=0,"TK Nợ sai! ","")&amp;IF(COUNTIF(DMTK!$A$7:$A$250,$G1323)=0,"TK Có sai! ","")&amp;IF(N($H1323)&lt;=0,"Tiền phải &gt; 0! ","")&amp;IF($B1323="","Thiếu ngày! ","")&amp;IF(AND(OR(LEFT($F1323,3)="131",LEFT($G1323,3)="131",LEFT($F1323,3)="331",LEFT($G1323,3)="331"),$I1323=""),"Thiếu Mã ĐT! ","")&amp;IF(AND($I1323&lt;&gt;"",COUNTIF(DM_DT!$A$7:$A$306,$I1323)=0),"Mã ĐT chưa khai báo! ","")))</f>
        <v/>
      </c>
      <c r="M1323" s="117">
        <f>IF($H1323="","",IF(AND(OR(LEFT($F1323,3)="111",LEFT($F1323,3)="112",LEFT($F1323,3)="113"),OR(LEFT($G1323,3)="111",LEFT($G1323,3)="112",LEFT($G1323,3)="113")),"NB",IF(OR(LEFT($F1323,3)="111",LEFT($F1323,3)="112",LEFT($F1323,3)="113"),"THU",IF(OR(LEFT($G1323,3)="111",LEFT($G1323,3)="112",LEFT($G1323,3)="113"),"CHI",""))))</f>
        <v/>
      </c>
      <c r="N1323" s="117">
        <f>IF($M1323="THU",$G1323,IF($M1323="CHI",$F1323,""))</f>
        <v/>
      </c>
      <c r="O1323" s="117">
        <f>IF(OR($M1323="",$M1323="NB"),"",IF($J1323&lt;&gt;"",TEXT($J1323,"00"),IFERROR(VLOOKUP(LEFT($N1323,4),LCTT_MAP!$A$7:$C$66,IF($M1323="THU",2,3),FALSE()),IFERROR(VLOOKUP(LEFT($N1323,3),LCTT_MAP!$A$7:$C$66,IF($M1323="THU",2,3),FALSE()),IFERROR(VLOOKUP(LEFT($N1323,2),LCTT_MAP!$A$7:$C$66,IF($M1323="THU",2,3),FALSE()),IFERROR(VLOOKUP(LEFT($N1323,1),LCTT_MAP!$A$7:$C$66,IF($M1323="THU",2,3),FALSE()),IF($M1323="THU","06","07")))))))</f>
        <v/>
      </c>
      <c r="P1323" s="117">
        <f>P1322+IF(AND($H1323&lt;&gt;"",OR(LEFT($F1323,LEN(SC_TK))=SC_TK,LEFT($G1323,LEN(SC_TK))=SC_TK)),1,0)</f>
        <v/>
      </c>
    </row>
    <row r="1324" ht="15" customHeight="1" s="78">
      <c r="A1324" s="95">
        <f>IF($H1324="","",ROW()-6)</f>
        <v/>
      </c>
      <c r="B1324" s="114" t="n"/>
      <c r="C1324" s="102" t="n"/>
      <c r="D1324" s="114" t="n"/>
      <c r="E1324" s="103" t="n"/>
      <c r="F1324" s="102" t="n"/>
      <c r="G1324" s="102" t="n"/>
      <c r="H1324" s="115" t="n"/>
      <c r="I1324" s="102" t="n"/>
      <c r="J1324" s="102" t="n"/>
      <c r="K1324" s="103" t="n"/>
      <c r="L1324" s="116">
        <f>IF($H1324="","",TRIM(IF(COUNTIF(DMTK!$A$7:$A$250,$F1324)=0,"TK Nợ sai! ","")&amp;IF(COUNTIF(DMTK!$A$7:$A$250,$G1324)=0,"TK Có sai! ","")&amp;IF(N($H1324)&lt;=0,"Tiền phải &gt; 0! ","")&amp;IF($B1324="","Thiếu ngày! ","")&amp;IF(AND(OR(LEFT($F1324,3)="131",LEFT($G1324,3)="131",LEFT($F1324,3)="331",LEFT($G1324,3)="331"),$I1324=""),"Thiếu Mã ĐT! ","")&amp;IF(AND($I1324&lt;&gt;"",COUNTIF(DM_DT!$A$7:$A$306,$I1324)=0),"Mã ĐT chưa khai báo! ","")))</f>
        <v/>
      </c>
      <c r="M1324" s="117">
        <f>IF($H1324="","",IF(AND(OR(LEFT($F1324,3)="111",LEFT($F1324,3)="112",LEFT($F1324,3)="113"),OR(LEFT($G1324,3)="111",LEFT($G1324,3)="112",LEFT($G1324,3)="113")),"NB",IF(OR(LEFT($F1324,3)="111",LEFT($F1324,3)="112",LEFT($F1324,3)="113"),"THU",IF(OR(LEFT($G1324,3)="111",LEFT($G1324,3)="112",LEFT($G1324,3)="113"),"CHI",""))))</f>
        <v/>
      </c>
      <c r="N1324" s="117">
        <f>IF($M1324="THU",$G1324,IF($M1324="CHI",$F1324,""))</f>
        <v/>
      </c>
      <c r="O1324" s="117">
        <f>IF(OR($M1324="",$M1324="NB"),"",IF($J1324&lt;&gt;"",TEXT($J1324,"00"),IFERROR(VLOOKUP(LEFT($N1324,4),LCTT_MAP!$A$7:$C$66,IF($M1324="THU",2,3),FALSE()),IFERROR(VLOOKUP(LEFT($N1324,3),LCTT_MAP!$A$7:$C$66,IF($M1324="THU",2,3),FALSE()),IFERROR(VLOOKUP(LEFT($N1324,2),LCTT_MAP!$A$7:$C$66,IF($M1324="THU",2,3),FALSE()),IFERROR(VLOOKUP(LEFT($N1324,1),LCTT_MAP!$A$7:$C$66,IF($M1324="THU",2,3),FALSE()),IF($M1324="THU","06","07")))))))</f>
        <v/>
      </c>
      <c r="P1324" s="117">
        <f>P1323+IF(AND($H1324&lt;&gt;"",OR(LEFT($F1324,LEN(SC_TK))=SC_TK,LEFT($G1324,LEN(SC_TK))=SC_TK)),1,0)</f>
        <v/>
      </c>
    </row>
    <row r="1325" ht="15" customHeight="1" s="78">
      <c r="A1325" s="95">
        <f>IF($H1325="","",ROW()-6)</f>
        <v/>
      </c>
      <c r="B1325" s="114" t="n"/>
      <c r="C1325" s="102" t="n"/>
      <c r="D1325" s="114" t="n"/>
      <c r="E1325" s="103" t="n"/>
      <c r="F1325" s="102" t="n"/>
      <c r="G1325" s="102" t="n"/>
      <c r="H1325" s="115" t="n"/>
      <c r="I1325" s="102" t="n"/>
      <c r="J1325" s="102" t="n"/>
      <c r="K1325" s="103" t="n"/>
      <c r="L1325" s="116">
        <f>IF($H1325="","",TRIM(IF(COUNTIF(DMTK!$A$7:$A$250,$F1325)=0,"TK Nợ sai! ","")&amp;IF(COUNTIF(DMTK!$A$7:$A$250,$G1325)=0,"TK Có sai! ","")&amp;IF(N($H1325)&lt;=0,"Tiền phải &gt; 0! ","")&amp;IF($B1325="","Thiếu ngày! ","")&amp;IF(AND(OR(LEFT($F1325,3)="131",LEFT($G1325,3)="131",LEFT($F1325,3)="331",LEFT($G1325,3)="331"),$I1325=""),"Thiếu Mã ĐT! ","")&amp;IF(AND($I1325&lt;&gt;"",COUNTIF(DM_DT!$A$7:$A$306,$I1325)=0),"Mã ĐT chưa khai báo! ","")))</f>
        <v/>
      </c>
      <c r="M1325" s="117">
        <f>IF($H1325="","",IF(AND(OR(LEFT($F1325,3)="111",LEFT($F1325,3)="112",LEFT($F1325,3)="113"),OR(LEFT($G1325,3)="111",LEFT($G1325,3)="112",LEFT($G1325,3)="113")),"NB",IF(OR(LEFT($F1325,3)="111",LEFT($F1325,3)="112",LEFT($F1325,3)="113"),"THU",IF(OR(LEFT($G1325,3)="111",LEFT($G1325,3)="112",LEFT($G1325,3)="113"),"CHI",""))))</f>
        <v/>
      </c>
      <c r="N1325" s="117">
        <f>IF($M1325="THU",$G1325,IF($M1325="CHI",$F1325,""))</f>
        <v/>
      </c>
      <c r="O1325" s="117">
        <f>IF(OR($M1325="",$M1325="NB"),"",IF($J1325&lt;&gt;"",TEXT($J1325,"00"),IFERROR(VLOOKUP(LEFT($N1325,4),LCTT_MAP!$A$7:$C$66,IF($M1325="THU",2,3),FALSE()),IFERROR(VLOOKUP(LEFT($N1325,3),LCTT_MAP!$A$7:$C$66,IF($M1325="THU",2,3),FALSE()),IFERROR(VLOOKUP(LEFT($N1325,2),LCTT_MAP!$A$7:$C$66,IF($M1325="THU",2,3),FALSE()),IFERROR(VLOOKUP(LEFT($N1325,1),LCTT_MAP!$A$7:$C$66,IF($M1325="THU",2,3),FALSE()),IF($M1325="THU","06","07")))))))</f>
        <v/>
      </c>
      <c r="P1325" s="117">
        <f>P1324+IF(AND($H1325&lt;&gt;"",OR(LEFT($F1325,LEN(SC_TK))=SC_TK,LEFT($G1325,LEN(SC_TK))=SC_TK)),1,0)</f>
        <v/>
      </c>
    </row>
    <row r="1326" ht="15" customHeight="1" s="78">
      <c r="A1326" s="95">
        <f>IF($H1326="","",ROW()-6)</f>
        <v/>
      </c>
      <c r="B1326" s="114" t="n"/>
      <c r="C1326" s="102" t="n"/>
      <c r="D1326" s="114" t="n"/>
      <c r="E1326" s="103" t="n"/>
      <c r="F1326" s="102" t="n"/>
      <c r="G1326" s="102" t="n"/>
      <c r="H1326" s="115" t="n"/>
      <c r="I1326" s="102" t="n"/>
      <c r="J1326" s="102" t="n"/>
      <c r="K1326" s="103" t="n"/>
      <c r="L1326" s="116">
        <f>IF($H1326="","",TRIM(IF(COUNTIF(DMTK!$A$7:$A$250,$F1326)=0,"TK Nợ sai! ","")&amp;IF(COUNTIF(DMTK!$A$7:$A$250,$G1326)=0,"TK Có sai! ","")&amp;IF(N($H1326)&lt;=0,"Tiền phải &gt; 0! ","")&amp;IF($B1326="","Thiếu ngày! ","")&amp;IF(AND(OR(LEFT($F1326,3)="131",LEFT($G1326,3)="131",LEFT($F1326,3)="331",LEFT($G1326,3)="331"),$I1326=""),"Thiếu Mã ĐT! ","")&amp;IF(AND($I1326&lt;&gt;"",COUNTIF(DM_DT!$A$7:$A$306,$I1326)=0),"Mã ĐT chưa khai báo! ","")))</f>
        <v/>
      </c>
      <c r="M1326" s="117">
        <f>IF($H1326="","",IF(AND(OR(LEFT($F1326,3)="111",LEFT($F1326,3)="112",LEFT($F1326,3)="113"),OR(LEFT($G1326,3)="111",LEFT($G1326,3)="112",LEFT($G1326,3)="113")),"NB",IF(OR(LEFT($F1326,3)="111",LEFT($F1326,3)="112",LEFT($F1326,3)="113"),"THU",IF(OR(LEFT($G1326,3)="111",LEFT($G1326,3)="112",LEFT($G1326,3)="113"),"CHI",""))))</f>
        <v/>
      </c>
      <c r="N1326" s="117">
        <f>IF($M1326="THU",$G1326,IF($M1326="CHI",$F1326,""))</f>
        <v/>
      </c>
      <c r="O1326" s="117">
        <f>IF(OR($M1326="",$M1326="NB"),"",IF($J1326&lt;&gt;"",TEXT($J1326,"00"),IFERROR(VLOOKUP(LEFT($N1326,4),LCTT_MAP!$A$7:$C$66,IF($M1326="THU",2,3),FALSE()),IFERROR(VLOOKUP(LEFT($N1326,3),LCTT_MAP!$A$7:$C$66,IF($M1326="THU",2,3),FALSE()),IFERROR(VLOOKUP(LEFT($N1326,2),LCTT_MAP!$A$7:$C$66,IF($M1326="THU",2,3),FALSE()),IFERROR(VLOOKUP(LEFT($N1326,1),LCTT_MAP!$A$7:$C$66,IF($M1326="THU",2,3),FALSE()),IF($M1326="THU","06","07")))))))</f>
        <v/>
      </c>
      <c r="P1326" s="117">
        <f>P1325+IF(AND($H1326&lt;&gt;"",OR(LEFT($F1326,LEN(SC_TK))=SC_TK,LEFT($G1326,LEN(SC_TK))=SC_TK)),1,0)</f>
        <v/>
      </c>
    </row>
    <row r="1327" ht="15" customHeight="1" s="78">
      <c r="A1327" s="95">
        <f>IF($H1327="","",ROW()-6)</f>
        <v/>
      </c>
      <c r="B1327" s="114" t="n"/>
      <c r="C1327" s="102" t="n"/>
      <c r="D1327" s="114" t="n"/>
      <c r="E1327" s="103" t="n"/>
      <c r="F1327" s="102" t="n"/>
      <c r="G1327" s="102" t="n"/>
      <c r="H1327" s="115" t="n"/>
      <c r="I1327" s="102" t="n"/>
      <c r="J1327" s="102" t="n"/>
      <c r="K1327" s="103" t="n"/>
      <c r="L1327" s="116">
        <f>IF($H1327="","",TRIM(IF(COUNTIF(DMTK!$A$7:$A$250,$F1327)=0,"TK Nợ sai! ","")&amp;IF(COUNTIF(DMTK!$A$7:$A$250,$G1327)=0,"TK Có sai! ","")&amp;IF(N($H1327)&lt;=0,"Tiền phải &gt; 0! ","")&amp;IF($B1327="","Thiếu ngày! ","")&amp;IF(AND(OR(LEFT($F1327,3)="131",LEFT($G1327,3)="131",LEFT($F1327,3)="331",LEFT($G1327,3)="331"),$I1327=""),"Thiếu Mã ĐT! ","")&amp;IF(AND($I1327&lt;&gt;"",COUNTIF(DM_DT!$A$7:$A$306,$I1327)=0),"Mã ĐT chưa khai báo! ","")))</f>
        <v/>
      </c>
      <c r="M1327" s="117">
        <f>IF($H1327="","",IF(AND(OR(LEFT($F1327,3)="111",LEFT($F1327,3)="112",LEFT($F1327,3)="113"),OR(LEFT($G1327,3)="111",LEFT($G1327,3)="112",LEFT($G1327,3)="113")),"NB",IF(OR(LEFT($F1327,3)="111",LEFT($F1327,3)="112",LEFT($F1327,3)="113"),"THU",IF(OR(LEFT($G1327,3)="111",LEFT($G1327,3)="112",LEFT($G1327,3)="113"),"CHI",""))))</f>
        <v/>
      </c>
      <c r="N1327" s="117">
        <f>IF($M1327="THU",$G1327,IF($M1327="CHI",$F1327,""))</f>
        <v/>
      </c>
      <c r="O1327" s="117">
        <f>IF(OR($M1327="",$M1327="NB"),"",IF($J1327&lt;&gt;"",TEXT($J1327,"00"),IFERROR(VLOOKUP(LEFT($N1327,4),LCTT_MAP!$A$7:$C$66,IF($M1327="THU",2,3),FALSE()),IFERROR(VLOOKUP(LEFT($N1327,3),LCTT_MAP!$A$7:$C$66,IF($M1327="THU",2,3),FALSE()),IFERROR(VLOOKUP(LEFT($N1327,2),LCTT_MAP!$A$7:$C$66,IF($M1327="THU",2,3),FALSE()),IFERROR(VLOOKUP(LEFT($N1327,1),LCTT_MAP!$A$7:$C$66,IF($M1327="THU",2,3),FALSE()),IF($M1327="THU","06","07")))))))</f>
        <v/>
      </c>
      <c r="P1327" s="117">
        <f>P1326+IF(AND($H1327&lt;&gt;"",OR(LEFT($F1327,LEN(SC_TK))=SC_TK,LEFT($G1327,LEN(SC_TK))=SC_TK)),1,0)</f>
        <v/>
      </c>
    </row>
    <row r="1328" ht="15" customHeight="1" s="78">
      <c r="A1328" s="95">
        <f>IF($H1328="","",ROW()-6)</f>
        <v/>
      </c>
      <c r="B1328" s="114" t="n"/>
      <c r="C1328" s="102" t="n"/>
      <c r="D1328" s="114" t="n"/>
      <c r="E1328" s="103" t="n"/>
      <c r="F1328" s="102" t="n"/>
      <c r="G1328" s="102" t="n"/>
      <c r="H1328" s="115" t="n"/>
      <c r="I1328" s="102" t="n"/>
      <c r="J1328" s="102" t="n"/>
      <c r="K1328" s="103" t="n"/>
      <c r="L1328" s="116">
        <f>IF($H1328="","",TRIM(IF(COUNTIF(DMTK!$A$7:$A$250,$F1328)=0,"TK Nợ sai! ","")&amp;IF(COUNTIF(DMTK!$A$7:$A$250,$G1328)=0,"TK Có sai! ","")&amp;IF(N($H1328)&lt;=0,"Tiền phải &gt; 0! ","")&amp;IF($B1328="","Thiếu ngày! ","")&amp;IF(AND(OR(LEFT($F1328,3)="131",LEFT($G1328,3)="131",LEFT($F1328,3)="331",LEFT($G1328,3)="331"),$I1328=""),"Thiếu Mã ĐT! ","")&amp;IF(AND($I1328&lt;&gt;"",COUNTIF(DM_DT!$A$7:$A$306,$I1328)=0),"Mã ĐT chưa khai báo! ","")))</f>
        <v/>
      </c>
      <c r="M1328" s="117">
        <f>IF($H1328="","",IF(AND(OR(LEFT($F1328,3)="111",LEFT($F1328,3)="112",LEFT($F1328,3)="113"),OR(LEFT($G1328,3)="111",LEFT($G1328,3)="112",LEFT($G1328,3)="113")),"NB",IF(OR(LEFT($F1328,3)="111",LEFT($F1328,3)="112",LEFT($F1328,3)="113"),"THU",IF(OR(LEFT($G1328,3)="111",LEFT($G1328,3)="112",LEFT($G1328,3)="113"),"CHI",""))))</f>
        <v/>
      </c>
      <c r="N1328" s="117">
        <f>IF($M1328="THU",$G1328,IF($M1328="CHI",$F1328,""))</f>
        <v/>
      </c>
      <c r="O1328" s="117">
        <f>IF(OR($M1328="",$M1328="NB"),"",IF($J1328&lt;&gt;"",TEXT($J1328,"00"),IFERROR(VLOOKUP(LEFT($N1328,4),LCTT_MAP!$A$7:$C$66,IF($M1328="THU",2,3),FALSE()),IFERROR(VLOOKUP(LEFT($N1328,3),LCTT_MAP!$A$7:$C$66,IF($M1328="THU",2,3),FALSE()),IFERROR(VLOOKUP(LEFT($N1328,2),LCTT_MAP!$A$7:$C$66,IF($M1328="THU",2,3),FALSE()),IFERROR(VLOOKUP(LEFT($N1328,1),LCTT_MAP!$A$7:$C$66,IF($M1328="THU",2,3),FALSE()),IF($M1328="THU","06","07")))))))</f>
        <v/>
      </c>
      <c r="P1328" s="117">
        <f>P1327+IF(AND($H1328&lt;&gt;"",OR(LEFT($F1328,LEN(SC_TK))=SC_TK,LEFT($G1328,LEN(SC_TK))=SC_TK)),1,0)</f>
        <v/>
      </c>
    </row>
    <row r="1329" ht="15" customHeight="1" s="78">
      <c r="A1329" s="95">
        <f>IF($H1329="","",ROW()-6)</f>
        <v/>
      </c>
      <c r="B1329" s="114" t="n"/>
      <c r="C1329" s="102" t="n"/>
      <c r="D1329" s="114" t="n"/>
      <c r="E1329" s="103" t="n"/>
      <c r="F1329" s="102" t="n"/>
      <c r="G1329" s="102" t="n"/>
      <c r="H1329" s="115" t="n"/>
      <c r="I1329" s="102" t="n"/>
      <c r="J1329" s="102" t="n"/>
      <c r="K1329" s="103" t="n"/>
      <c r="L1329" s="116">
        <f>IF($H1329="","",TRIM(IF(COUNTIF(DMTK!$A$7:$A$250,$F1329)=0,"TK Nợ sai! ","")&amp;IF(COUNTIF(DMTK!$A$7:$A$250,$G1329)=0,"TK Có sai! ","")&amp;IF(N($H1329)&lt;=0,"Tiền phải &gt; 0! ","")&amp;IF($B1329="","Thiếu ngày! ","")&amp;IF(AND(OR(LEFT($F1329,3)="131",LEFT($G1329,3)="131",LEFT($F1329,3)="331",LEFT($G1329,3)="331"),$I1329=""),"Thiếu Mã ĐT! ","")&amp;IF(AND($I1329&lt;&gt;"",COUNTIF(DM_DT!$A$7:$A$306,$I1329)=0),"Mã ĐT chưa khai báo! ","")))</f>
        <v/>
      </c>
      <c r="M1329" s="117">
        <f>IF($H1329="","",IF(AND(OR(LEFT($F1329,3)="111",LEFT($F1329,3)="112",LEFT($F1329,3)="113"),OR(LEFT($G1329,3)="111",LEFT($G1329,3)="112",LEFT($G1329,3)="113")),"NB",IF(OR(LEFT($F1329,3)="111",LEFT($F1329,3)="112",LEFT($F1329,3)="113"),"THU",IF(OR(LEFT($G1329,3)="111",LEFT($G1329,3)="112",LEFT($G1329,3)="113"),"CHI",""))))</f>
        <v/>
      </c>
      <c r="N1329" s="117">
        <f>IF($M1329="THU",$G1329,IF($M1329="CHI",$F1329,""))</f>
        <v/>
      </c>
      <c r="O1329" s="117">
        <f>IF(OR($M1329="",$M1329="NB"),"",IF($J1329&lt;&gt;"",TEXT($J1329,"00"),IFERROR(VLOOKUP(LEFT($N1329,4),LCTT_MAP!$A$7:$C$66,IF($M1329="THU",2,3),FALSE()),IFERROR(VLOOKUP(LEFT($N1329,3),LCTT_MAP!$A$7:$C$66,IF($M1329="THU",2,3),FALSE()),IFERROR(VLOOKUP(LEFT($N1329,2),LCTT_MAP!$A$7:$C$66,IF($M1329="THU",2,3),FALSE()),IFERROR(VLOOKUP(LEFT($N1329,1),LCTT_MAP!$A$7:$C$66,IF($M1329="THU",2,3),FALSE()),IF($M1329="THU","06","07")))))))</f>
        <v/>
      </c>
      <c r="P1329" s="117">
        <f>P1328+IF(AND($H1329&lt;&gt;"",OR(LEFT($F1329,LEN(SC_TK))=SC_TK,LEFT($G1329,LEN(SC_TK))=SC_TK)),1,0)</f>
        <v/>
      </c>
    </row>
    <row r="1330" ht="15" customHeight="1" s="78">
      <c r="A1330" s="95">
        <f>IF($H1330="","",ROW()-6)</f>
        <v/>
      </c>
      <c r="B1330" s="114" t="n"/>
      <c r="C1330" s="102" t="n"/>
      <c r="D1330" s="114" t="n"/>
      <c r="E1330" s="103" t="n"/>
      <c r="F1330" s="102" t="n"/>
      <c r="G1330" s="102" t="n"/>
      <c r="H1330" s="115" t="n"/>
      <c r="I1330" s="102" t="n"/>
      <c r="J1330" s="102" t="n"/>
      <c r="K1330" s="103" t="n"/>
      <c r="L1330" s="116">
        <f>IF($H1330="","",TRIM(IF(COUNTIF(DMTK!$A$7:$A$250,$F1330)=0,"TK Nợ sai! ","")&amp;IF(COUNTIF(DMTK!$A$7:$A$250,$G1330)=0,"TK Có sai! ","")&amp;IF(N($H1330)&lt;=0,"Tiền phải &gt; 0! ","")&amp;IF($B1330="","Thiếu ngày! ","")&amp;IF(AND(OR(LEFT($F1330,3)="131",LEFT($G1330,3)="131",LEFT($F1330,3)="331",LEFT($G1330,3)="331"),$I1330=""),"Thiếu Mã ĐT! ","")&amp;IF(AND($I1330&lt;&gt;"",COUNTIF(DM_DT!$A$7:$A$306,$I1330)=0),"Mã ĐT chưa khai báo! ","")))</f>
        <v/>
      </c>
      <c r="M1330" s="117">
        <f>IF($H1330="","",IF(AND(OR(LEFT($F1330,3)="111",LEFT($F1330,3)="112",LEFT($F1330,3)="113"),OR(LEFT($G1330,3)="111",LEFT($G1330,3)="112",LEFT($G1330,3)="113")),"NB",IF(OR(LEFT($F1330,3)="111",LEFT($F1330,3)="112",LEFT($F1330,3)="113"),"THU",IF(OR(LEFT($G1330,3)="111",LEFT($G1330,3)="112",LEFT($G1330,3)="113"),"CHI",""))))</f>
        <v/>
      </c>
      <c r="N1330" s="117">
        <f>IF($M1330="THU",$G1330,IF($M1330="CHI",$F1330,""))</f>
        <v/>
      </c>
      <c r="O1330" s="117">
        <f>IF(OR($M1330="",$M1330="NB"),"",IF($J1330&lt;&gt;"",TEXT($J1330,"00"),IFERROR(VLOOKUP(LEFT($N1330,4),LCTT_MAP!$A$7:$C$66,IF($M1330="THU",2,3),FALSE()),IFERROR(VLOOKUP(LEFT($N1330,3),LCTT_MAP!$A$7:$C$66,IF($M1330="THU",2,3),FALSE()),IFERROR(VLOOKUP(LEFT($N1330,2),LCTT_MAP!$A$7:$C$66,IF($M1330="THU",2,3),FALSE()),IFERROR(VLOOKUP(LEFT($N1330,1),LCTT_MAP!$A$7:$C$66,IF($M1330="THU",2,3),FALSE()),IF($M1330="THU","06","07")))))))</f>
        <v/>
      </c>
      <c r="P1330" s="117">
        <f>P1329+IF(AND($H1330&lt;&gt;"",OR(LEFT($F1330,LEN(SC_TK))=SC_TK,LEFT($G1330,LEN(SC_TK))=SC_TK)),1,0)</f>
        <v/>
      </c>
    </row>
    <row r="1331" ht="15" customHeight="1" s="78">
      <c r="A1331" s="95">
        <f>IF($H1331="","",ROW()-6)</f>
        <v/>
      </c>
      <c r="B1331" s="114" t="n"/>
      <c r="C1331" s="102" t="n"/>
      <c r="D1331" s="114" t="n"/>
      <c r="E1331" s="103" t="n"/>
      <c r="F1331" s="102" t="n"/>
      <c r="G1331" s="102" t="n"/>
      <c r="H1331" s="115" t="n"/>
      <c r="I1331" s="102" t="n"/>
      <c r="J1331" s="102" t="n"/>
      <c r="K1331" s="103" t="n"/>
      <c r="L1331" s="116">
        <f>IF($H1331="","",TRIM(IF(COUNTIF(DMTK!$A$7:$A$250,$F1331)=0,"TK Nợ sai! ","")&amp;IF(COUNTIF(DMTK!$A$7:$A$250,$G1331)=0,"TK Có sai! ","")&amp;IF(N($H1331)&lt;=0,"Tiền phải &gt; 0! ","")&amp;IF($B1331="","Thiếu ngày! ","")&amp;IF(AND(OR(LEFT($F1331,3)="131",LEFT($G1331,3)="131",LEFT($F1331,3)="331",LEFT($G1331,3)="331"),$I1331=""),"Thiếu Mã ĐT! ","")&amp;IF(AND($I1331&lt;&gt;"",COUNTIF(DM_DT!$A$7:$A$306,$I1331)=0),"Mã ĐT chưa khai báo! ","")))</f>
        <v/>
      </c>
      <c r="M1331" s="117">
        <f>IF($H1331="","",IF(AND(OR(LEFT($F1331,3)="111",LEFT($F1331,3)="112",LEFT($F1331,3)="113"),OR(LEFT($G1331,3)="111",LEFT($G1331,3)="112",LEFT($G1331,3)="113")),"NB",IF(OR(LEFT($F1331,3)="111",LEFT($F1331,3)="112",LEFT($F1331,3)="113"),"THU",IF(OR(LEFT($G1331,3)="111",LEFT($G1331,3)="112",LEFT($G1331,3)="113"),"CHI",""))))</f>
        <v/>
      </c>
      <c r="N1331" s="117">
        <f>IF($M1331="THU",$G1331,IF($M1331="CHI",$F1331,""))</f>
        <v/>
      </c>
      <c r="O1331" s="117">
        <f>IF(OR($M1331="",$M1331="NB"),"",IF($J1331&lt;&gt;"",TEXT($J1331,"00"),IFERROR(VLOOKUP(LEFT($N1331,4),LCTT_MAP!$A$7:$C$66,IF($M1331="THU",2,3),FALSE()),IFERROR(VLOOKUP(LEFT($N1331,3),LCTT_MAP!$A$7:$C$66,IF($M1331="THU",2,3),FALSE()),IFERROR(VLOOKUP(LEFT($N1331,2),LCTT_MAP!$A$7:$C$66,IF($M1331="THU",2,3),FALSE()),IFERROR(VLOOKUP(LEFT($N1331,1),LCTT_MAP!$A$7:$C$66,IF($M1331="THU",2,3),FALSE()),IF($M1331="THU","06","07")))))))</f>
        <v/>
      </c>
      <c r="P1331" s="117">
        <f>P1330+IF(AND($H1331&lt;&gt;"",OR(LEFT($F1331,LEN(SC_TK))=SC_TK,LEFT($G1331,LEN(SC_TK))=SC_TK)),1,0)</f>
        <v/>
      </c>
    </row>
    <row r="1332" ht="15" customHeight="1" s="78">
      <c r="A1332" s="95">
        <f>IF($H1332="","",ROW()-6)</f>
        <v/>
      </c>
      <c r="B1332" s="114" t="n"/>
      <c r="C1332" s="102" t="n"/>
      <c r="D1332" s="114" t="n"/>
      <c r="E1332" s="103" t="n"/>
      <c r="F1332" s="102" t="n"/>
      <c r="G1332" s="102" t="n"/>
      <c r="H1332" s="115" t="n"/>
      <c r="I1332" s="102" t="n"/>
      <c r="J1332" s="102" t="n"/>
      <c r="K1332" s="103" t="n"/>
      <c r="L1332" s="116">
        <f>IF($H1332="","",TRIM(IF(COUNTIF(DMTK!$A$7:$A$250,$F1332)=0,"TK Nợ sai! ","")&amp;IF(COUNTIF(DMTK!$A$7:$A$250,$G1332)=0,"TK Có sai! ","")&amp;IF(N($H1332)&lt;=0,"Tiền phải &gt; 0! ","")&amp;IF($B1332="","Thiếu ngày! ","")&amp;IF(AND(OR(LEFT($F1332,3)="131",LEFT($G1332,3)="131",LEFT($F1332,3)="331",LEFT($G1332,3)="331"),$I1332=""),"Thiếu Mã ĐT! ","")&amp;IF(AND($I1332&lt;&gt;"",COUNTIF(DM_DT!$A$7:$A$306,$I1332)=0),"Mã ĐT chưa khai báo! ","")))</f>
        <v/>
      </c>
      <c r="M1332" s="117">
        <f>IF($H1332="","",IF(AND(OR(LEFT($F1332,3)="111",LEFT($F1332,3)="112",LEFT($F1332,3)="113"),OR(LEFT($G1332,3)="111",LEFT($G1332,3)="112",LEFT($G1332,3)="113")),"NB",IF(OR(LEFT($F1332,3)="111",LEFT($F1332,3)="112",LEFT($F1332,3)="113"),"THU",IF(OR(LEFT($G1332,3)="111",LEFT($G1332,3)="112",LEFT($G1332,3)="113"),"CHI",""))))</f>
        <v/>
      </c>
      <c r="N1332" s="117">
        <f>IF($M1332="THU",$G1332,IF($M1332="CHI",$F1332,""))</f>
        <v/>
      </c>
      <c r="O1332" s="117">
        <f>IF(OR($M1332="",$M1332="NB"),"",IF($J1332&lt;&gt;"",TEXT($J1332,"00"),IFERROR(VLOOKUP(LEFT($N1332,4),LCTT_MAP!$A$7:$C$66,IF($M1332="THU",2,3),FALSE()),IFERROR(VLOOKUP(LEFT($N1332,3),LCTT_MAP!$A$7:$C$66,IF($M1332="THU",2,3),FALSE()),IFERROR(VLOOKUP(LEFT($N1332,2),LCTT_MAP!$A$7:$C$66,IF($M1332="THU",2,3),FALSE()),IFERROR(VLOOKUP(LEFT($N1332,1),LCTT_MAP!$A$7:$C$66,IF($M1332="THU",2,3),FALSE()),IF($M1332="THU","06","07")))))))</f>
        <v/>
      </c>
      <c r="P1332" s="117">
        <f>P1331+IF(AND($H1332&lt;&gt;"",OR(LEFT($F1332,LEN(SC_TK))=SC_TK,LEFT($G1332,LEN(SC_TK))=SC_TK)),1,0)</f>
        <v/>
      </c>
    </row>
    <row r="1333" ht="15" customHeight="1" s="78">
      <c r="A1333" s="95">
        <f>IF($H1333="","",ROW()-6)</f>
        <v/>
      </c>
      <c r="B1333" s="114" t="n"/>
      <c r="C1333" s="102" t="n"/>
      <c r="D1333" s="114" t="n"/>
      <c r="E1333" s="103" t="n"/>
      <c r="F1333" s="102" t="n"/>
      <c r="G1333" s="102" t="n"/>
      <c r="H1333" s="115" t="n"/>
      <c r="I1333" s="102" t="n"/>
      <c r="J1333" s="102" t="n"/>
      <c r="K1333" s="103" t="n"/>
      <c r="L1333" s="116">
        <f>IF($H1333="","",TRIM(IF(COUNTIF(DMTK!$A$7:$A$250,$F1333)=0,"TK Nợ sai! ","")&amp;IF(COUNTIF(DMTK!$A$7:$A$250,$G1333)=0,"TK Có sai! ","")&amp;IF(N($H1333)&lt;=0,"Tiền phải &gt; 0! ","")&amp;IF($B1333="","Thiếu ngày! ","")&amp;IF(AND(OR(LEFT($F1333,3)="131",LEFT($G1333,3)="131",LEFT($F1333,3)="331",LEFT($G1333,3)="331"),$I1333=""),"Thiếu Mã ĐT! ","")&amp;IF(AND($I1333&lt;&gt;"",COUNTIF(DM_DT!$A$7:$A$306,$I1333)=0),"Mã ĐT chưa khai báo! ","")))</f>
        <v/>
      </c>
      <c r="M1333" s="117">
        <f>IF($H1333="","",IF(AND(OR(LEFT($F1333,3)="111",LEFT($F1333,3)="112",LEFT($F1333,3)="113"),OR(LEFT($G1333,3)="111",LEFT($G1333,3)="112",LEFT($G1333,3)="113")),"NB",IF(OR(LEFT($F1333,3)="111",LEFT($F1333,3)="112",LEFT($F1333,3)="113"),"THU",IF(OR(LEFT($G1333,3)="111",LEFT($G1333,3)="112",LEFT($G1333,3)="113"),"CHI",""))))</f>
        <v/>
      </c>
      <c r="N1333" s="117">
        <f>IF($M1333="THU",$G1333,IF($M1333="CHI",$F1333,""))</f>
        <v/>
      </c>
      <c r="O1333" s="117">
        <f>IF(OR($M1333="",$M1333="NB"),"",IF($J1333&lt;&gt;"",TEXT($J1333,"00"),IFERROR(VLOOKUP(LEFT($N1333,4),LCTT_MAP!$A$7:$C$66,IF($M1333="THU",2,3),FALSE()),IFERROR(VLOOKUP(LEFT($N1333,3),LCTT_MAP!$A$7:$C$66,IF($M1333="THU",2,3),FALSE()),IFERROR(VLOOKUP(LEFT($N1333,2),LCTT_MAP!$A$7:$C$66,IF($M1333="THU",2,3),FALSE()),IFERROR(VLOOKUP(LEFT($N1333,1),LCTT_MAP!$A$7:$C$66,IF($M1333="THU",2,3),FALSE()),IF($M1333="THU","06","07")))))))</f>
        <v/>
      </c>
      <c r="P1333" s="117">
        <f>P1332+IF(AND($H1333&lt;&gt;"",OR(LEFT($F1333,LEN(SC_TK))=SC_TK,LEFT($G1333,LEN(SC_TK))=SC_TK)),1,0)</f>
        <v/>
      </c>
    </row>
    <row r="1334" ht="15" customHeight="1" s="78">
      <c r="A1334" s="95">
        <f>IF($H1334="","",ROW()-6)</f>
        <v/>
      </c>
      <c r="B1334" s="114" t="n"/>
      <c r="C1334" s="102" t="n"/>
      <c r="D1334" s="114" t="n"/>
      <c r="E1334" s="103" t="n"/>
      <c r="F1334" s="102" t="n"/>
      <c r="G1334" s="102" t="n"/>
      <c r="H1334" s="115" t="n"/>
      <c r="I1334" s="102" t="n"/>
      <c r="J1334" s="102" t="n"/>
      <c r="K1334" s="103" t="n"/>
      <c r="L1334" s="116">
        <f>IF($H1334="","",TRIM(IF(COUNTIF(DMTK!$A$7:$A$250,$F1334)=0,"TK Nợ sai! ","")&amp;IF(COUNTIF(DMTK!$A$7:$A$250,$G1334)=0,"TK Có sai! ","")&amp;IF(N($H1334)&lt;=0,"Tiền phải &gt; 0! ","")&amp;IF($B1334="","Thiếu ngày! ","")&amp;IF(AND(OR(LEFT($F1334,3)="131",LEFT($G1334,3)="131",LEFT($F1334,3)="331",LEFT($G1334,3)="331"),$I1334=""),"Thiếu Mã ĐT! ","")&amp;IF(AND($I1334&lt;&gt;"",COUNTIF(DM_DT!$A$7:$A$306,$I1334)=0),"Mã ĐT chưa khai báo! ","")))</f>
        <v/>
      </c>
      <c r="M1334" s="117">
        <f>IF($H1334="","",IF(AND(OR(LEFT($F1334,3)="111",LEFT($F1334,3)="112",LEFT($F1334,3)="113"),OR(LEFT($G1334,3)="111",LEFT($G1334,3)="112",LEFT($G1334,3)="113")),"NB",IF(OR(LEFT($F1334,3)="111",LEFT($F1334,3)="112",LEFT($F1334,3)="113"),"THU",IF(OR(LEFT($G1334,3)="111",LEFT($G1334,3)="112",LEFT($G1334,3)="113"),"CHI",""))))</f>
        <v/>
      </c>
      <c r="N1334" s="117">
        <f>IF($M1334="THU",$G1334,IF($M1334="CHI",$F1334,""))</f>
        <v/>
      </c>
      <c r="O1334" s="117">
        <f>IF(OR($M1334="",$M1334="NB"),"",IF($J1334&lt;&gt;"",TEXT($J1334,"00"),IFERROR(VLOOKUP(LEFT($N1334,4),LCTT_MAP!$A$7:$C$66,IF($M1334="THU",2,3),FALSE()),IFERROR(VLOOKUP(LEFT($N1334,3),LCTT_MAP!$A$7:$C$66,IF($M1334="THU",2,3),FALSE()),IFERROR(VLOOKUP(LEFT($N1334,2),LCTT_MAP!$A$7:$C$66,IF($M1334="THU",2,3),FALSE()),IFERROR(VLOOKUP(LEFT($N1334,1),LCTT_MAP!$A$7:$C$66,IF($M1334="THU",2,3),FALSE()),IF($M1334="THU","06","07")))))))</f>
        <v/>
      </c>
      <c r="P1334" s="117">
        <f>P1333+IF(AND($H1334&lt;&gt;"",OR(LEFT($F1334,LEN(SC_TK))=SC_TK,LEFT($G1334,LEN(SC_TK))=SC_TK)),1,0)</f>
        <v/>
      </c>
    </row>
    <row r="1335" ht="15" customHeight="1" s="78">
      <c r="A1335" s="95">
        <f>IF($H1335="","",ROW()-6)</f>
        <v/>
      </c>
      <c r="B1335" s="114" t="n"/>
      <c r="C1335" s="102" t="n"/>
      <c r="D1335" s="114" t="n"/>
      <c r="E1335" s="103" t="n"/>
      <c r="F1335" s="102" t="n"/>
      <c r="G1335" s="102" t="n"/>
      <c r="H1335" s="115" t="n"/>
      <c r="I1335" s="102" t="n"/>
      <c r="J1335" s="102" t="n"/>
      <c r="K1335" s="103" t="n"/>
      <c r="L1335" s="116">
        <f>IF($H1335="","",TRIM(IF(COUNTIF(DMTK!$A$7:$A$250,$F1335)=0,"TK Nợ sai! ","")&amp;IF(COUNTIF(DMTK!$A$7:$A$250,$G1335)=0,"TK Có sai! ","")&amp;IF(N($H1335)&lt;=0,"Tiền phải &gt; 0! ","")&amp;IF($B1335="","Thiếu ngày! ","")&amp;IF(AND(OR(LEFT($F1335,3)="131",LEFT($G1335,3)="131",LEFT($F1335,3)="331",LEFT($G1335,3)="331"),$I1335=""),"Thiếu Mã ĐT! ","")&amp;IF(AND($I1335&lt;&gt;"",COUNTIF(DM_DT!$A$7:$A$306,$I1335)=0),"Mã ĐT chưa khai báo! ","")))</f>
        <v/>
      </c>
      <c r="M1335" s="117">
        <f>IF($H1335="","",IF(AND(OR(LEFT($F1335,3)="111",LEFT($F1335,3)="112",LEFT($F1335,3)="113"),OR(LEFT($G1335,3)="111",LEFT($G1335,3)="112",LEFT($G1335,3)="113")),"NB",IF(OR(LEFT($F1335,3)="111",LEFT($F1335,3)="112",LEFT($F1335,3)="113"),"THU",IF(OR(LEFT($G1335,3)="111",LEFT($G1335,3)="112",LEFT($G1335,3)="113"),"CHI",""))))</f>
        <v/>
      </c>
      <c r="N1335" s="117">
        <f>IF($M1335="THU",$G1335,IF($M1335="CHI",$F1335,""))</f>
        <v/>
      </c>
      <c r="O1335" s="117">
        <f>IF(OR($M1335="",$M1335="NB"),"",IF($J1335&lt;&gt;"",TEXT($J1335,"00"),IFERROR(VLOOKUP(LEFT($N1335,4),LCTT_MAP!$A$7:$C$66,IF($M1335="THU",2,3),FALSE()),IFERROR(VLOOKUP(LEFT($N1335,3),LCTT_MAP!$A$7:$C$66,IF($M1335="THU",2,3),FALSE()),IFERROR(VLOOKUP(LEFT($N1335,2),LCTT_MAP!$A$7:$C$66,IF($M1335="THU",2,3),FALSE()),IFERROR(VLOOKUP(LEFT($N1335,1),LCTT_MAP!$A$7:$C$66,IF($M1335="THU",2,3),FALSE()),IF($M1335="THU","06","07")))))))</f>
        <v/>
      </c>
      <c r="P1335" s="117">
        <f>P1334+IF(AND($H1335&lt;&gt;"",OR(LEFT($F1335,LEN(SC_TK))=SC_TK,LEFT($G1335,LEN(SC_TK))=SC_TK)),1,0)</f>
        <v/>
      </c>
    </row>
    <row r="1336" ht="15" customHeight="1" s="78">
      <c r="A1336" s="95">
        <f>IF($H1336="","",ROW()-6)</f>
        <v/>
      </c>
      <c r="B1336" s="114" t="n"/>
      <c r="C1336" s="102" t="n"/>
      <c r="D1336" s="114" t="n"/>
      <c r="E1336" s="103" t="n"/>
      <c r="F1336" s="102" t="n"/>
      <c r="G1336" s="102" t="n"/>
      <c r="H1336" s="115" t="n"/>
      <c r="I1336" s="102" t="n"/>
      <c r="J1336" s="102" t="n"/>
      <c r="K1336" s="103" t="n"/>
      <c r="L1336" s="116">
        <f>IF($H1336="","",TRIM(IF(COUNTIF(DMTK!$A$7:$A$250,$F1336)=0,"TK Nợ sai! ","")&amp;IF(COUNTIF(DMTK!$A$7:$A$250,$G1336)=0,"TK Có sai! ","")&amp;IF(N($H1336)&lt;=0,"Tiền phải &gt; 0! ","")&amp;IF($B1336="","Thiếu ngày! ","")&amp;IF(AND(OR(LEFT($F1336,3)="131",LEFT($G1336,3)="131",LEFT($F1336,3)="331",LEFT($G1336,3)="331"),$I1336=""),"Thiếu Mã ĐT! ","")&amp;IF(AND($I1336&lt;&gt;"",COUNTIF(DM_DT!$A$7:$A$306,$I1336)=0),"Mã ĐT chưa khai báo! ","")))</f>
        <v/>
      </c>
      <c r="M1336" s="117">
        <f>IF($H1336="","",IF(AND(OR(LEFT($F1336,3)="111",LEFT($F1336,3)="112",LEFT($F1336,3)="113"),OR(LEFT($G1336,3)="111",LEFT($G1336,3)="112",LEFT($G1336,3)="113")),"NB",IF(OR(LEFT($F1336,3)="111",LEFT($F1336,3)="112",LEFT($F1336,3)="113"),"THU",IF(OR(LEFT($G1336,3)="111",LEFT($G1336,3)="112",LEFT($G1336,3)="113"),"CHI",""))))</f>
        <v/>
      </c>
      <c r="N1336" s="117">
        <f>IF($M1336="THU",$G1336,IF($M1336="CHI",$F1336,""))</f>
        <v/>
      </c>
      <c r="O1336" s="117">
        <f>IF(OR($M1336="",$M1336="NB"),"",IF($J1336&lt;&gt;"",TEXT($J1336,"00"),IFERROR(VLOOKUP(LEFT($N1336,4),LCTT_MAP!$A$7:$C$66,IF($M1336="THU",2,3),FALSE()),IFERROR(VLOOKUP(LEFT($N1336,3),LCTT_MAP!$A$7:$C$66,IF($M1336="THU",2,3),FALSE()),IFERROR(VLOOKUP(LEFT($N1336,2),LCTT_MAP!$A$7:$C$66,IF($M1336="THU",2,3),FALSE()),IFERROR(VLOOKUP(LEFT($N1336,1),LCTT_MAP!$A$7:$C$66,IF($M1336="THU",2,3),FALSE()),IF($M1336="THU","06","07")))))))</f>
        <v/>
      </c>
      <c r="P1336" s="117">
        <f>P1335+IF(AND($H1336&lt;&gt;"",OR(LEFT($F1336,LEN(SC_TK))=SC_TK,LEFT($G1336,LEN(SC_TK))=SC_TK)),1,0)</f>
        <v/>
      </c>
    </row>
    <row r="1337" ht="15" customHeight="1" s="78">
      <c r="A1337" s="95">
        <f>IF($H1337="","",ROW()-6)</f>
        <v/>
      </c>
      <c r="B1337" s="114" t="n"/>
      <c r="C1337" s="102" t="n"/>
      <c r="D1337" s="114" t="n"/>
      <c r="E1337" s="103" t="n"/>
      <c r="F1337" s="102" t="n"/>
      <c r="G1337" s="102" t="n"/>
      <c r="H1337" s="115" t="n"/>
      <c r="I1337" s="102" t="n"/>
      <c r="J1337" s="102" t="n"/>
      <c r="K1337" s="103" t="n"/>
      <c r="L1337" s="116">
        <f>IF($H1337="","",TRIM(IF(COUNTIF(DMTK!$A$7:$A$250,$F1337)=0,"TK Nợ sai! ","")&amp;IF(COUNTIF(DMTK!$A$7:$A$250,$G1337)=0,"TK Có sai! ","")&amp;IF(N($H1337)&lt;=0,"Tiền phải &gt; 0! ","")&amp;IF($B1337="","Thiếu ngày! ","")&amp;IF(AND(OR(LEFT($F1337,3)="131",LEFT($G1337,3)="131",LEFT($F1337,3)="331",LEFT($G1337,3)="331"),$I1337=""),"Thiếu Mã ĐT! ","")&amp;IF(AND($I1337&lt;&gt;"",COUNTIF(DM_DT!$A$7:$A$306,$I1337)=0),"Mã ĐT chưa khai báo! ","")))</f>
        <v/>
      </c>
      <c r="M1337" s="117">
        <f>IF($H1337="","",IF(AND(OR(LEFT($F1337,3)="111",LEFT($F1337,3)="112",LEFT($F1337,3)="113"),OR(LEFT($G1337,3)="111",LEFT($G1337,3)="112",LEFT($G1337,3)="113")),"NB",IF(OR(LEFT($F1337,3)="111",LEFT($F1337,3)="112",LEFT($F1337,3)="113"),"THU",IF(OR(LEFT($G1337,3)="111",LEFT($G1337,3)="112",LEFT($G1337,3)="113"),"CHI",""))))</f>
        <v/>
      </c>
      <c r="N1337" s="117">
        <f>IF($M1337="THU",$G1337,IF($M1337="CHI",$F1337,""))</f>
        <v/>
      </c>
      <c r="O1337" s="117">
        <f>IF(OR($M1337="",$M1337="NB"),"",IF($J1337&lt;&gt;"",TEXT($J1337,"00"),IFERROR(VLOOKUP(LEFT($N1337,4),LCTT_MAP!$A$7:$C$66,IF($M1337="THU",2,3),FALSE()),IFERROR(VLOOKUP(LEFT($N1337,3),LCTT_MAP!$A$7:$C$66,IF($M1337="THU",2,3),FALSE()),IFERROR(VLOOKUP(LEFT($N1337,2),LCTT_MAP!$A$7:$C$66,IF($M1337="THU",2,3),FALSE()),IFERROR(VLOOKUP(LEFT($N1337,1),LCTT_MAP!$A$7:$C$66,IF($M1337="THU",2,3),FALSE()),IF($M1337="THU","06","07")))))))</f>
        <v/>
      </c>
      <c r="P1337" s="117">
        <f>P1336+IF(AND($H1337&lt;&gt;"",OR(LEFT($F1337,LEN(SC_TK))=SC_TK,LEFT($G1337,LEN(SC_TK))=SC_TK)),1,0)</f>
        <v/>
      </c>
    </row>
    <row r="1338" ht="15" customHeight="1" s="78">
      <c r="A1338" s="95">
        <f>IF($H1338="","",ROW()-6)</f>
        <v/>
      </c>
      <c r="B1338" s="114" t="n"/>
      <c r="C1338" s="102" t="n"/>
      <c r="D1338" s="114" t="n"/>
      <c r="E1338" s="103" t="n"/>
      <c r="F1338" s="102" t="n"/>
      <c r="G1338" s="102" t="n"/>
      <c r="H1338" s="115" t="n"/>
      <c r="I1338" s="102" t="n"/>
      <c r="J1338" s="102" t="n"/>
      <c r="K1338" s="103" t="n"/>
      <c r="L1338" s="116">
        <f>IF($H1338="","",TRIM(IF(COUNTIF(DMTK!$A$7:$A$250,$F1338)=0,"TK Nợ sai! ","")&amp;IF(COUNTIF(DMTK!$A$7:$A$250,$G1338)=0,"TK Có sai! ","")&amp;IF(N($H1338)&lt;=0,"Tiền phải &gt; 0! ","")&amp;IF($B1338="","Thiếu ngày! ","")&amp;IF(AND(OR(LEFT($F1338,3)="131",LEFT($G1338,3)="131",LEFT($F1338,3)="331",LEFT($G1338,3)="331"),$I1338=""),"Thiếu Mã ĐT! ","")&amp;IF(AND($I1338&lt;&gt;"",COUNTIF(DM_DT!$A$7:$A$306,$I1338)=0),"Mã ĐT chưa khai báo! ","")))</f>
        <v/>
      </c>
      <c r="M1338" s="117">
        <f>IF($H1338="","",IF(AND(OR(LEFT($F1338,3)="111",LEFT($F1338,3)="112",LEFT($F1338,3)="113"),OR(LEFT($G1338,3)="111",LEFT($G1338,3)="112",LEFT($G1338,3)="113")),"NB",IF(OR(LEFT($F1338,3)="111",LEFT($F1338,3)="112",LEFT($F1338,3)="113"),"THU",IF(OR(LEFT($G1338,3)="111",LEFT($G1338,3)="112",LEFT($G1338,3)="113"),"CHI",""))))</f>
        <v/>
      </c>
      <c r="N1338" s="117">
        <f>IF($M1338="THU",$G1338,IF($M1338="CHI",$F1338,""))</f>
        <v/>
      </c>
      <c r="O1338" s="117">
        <f>IF(OR($M1338="",$M1338="NB"),"",IF($J1338&lt;&gt;"",TEXT($J1338,"00"),IFERROR(VLOOKUP(LEFT($N1338,4),LCTT_MAP!$A$7:$C$66,IF($M1338="THU",2,3),FALSE()),IFERROR(VLOOKUP(LEFT($N1338,3),LCTT_MAP!$A$7:$C$66,IF($M1338="THU",2,3),FALSE()),IFERROR(VLOOKUP(LEFT($N1338,2),LCTT_MAP!$A$7:$C$66,IF($M1338="THU",2,3),FALSE()),IFERROR(VLOOKUP(LEFT($N1338,1),LCTT_MAP!$A$7:$C$66,IF($M1338="THU",2,3),FALSE()),IF($M1338="THU","06","07")))))))</f>
        <v/>
      </c>
      <c r="P1338" s="117">
        <f>P1337+IF(AND($H1338&lt;&gt;"",OR(LEFT($F1338,LEN(SC_TK))=SC_TK,LEFT($G1338,LEN(SC_TK))=SC_TK)),1,0)</f>
        <v/>
      </c>
    </row>
    <row r="1339" ht="15" customHeight="1" s="78">
      <c r="A1339" s="95">
        <f>IF($H1339="","",ROW()-6)</f>
        <v/>
      </c>
      <c r="B1339" s="114" t="n"/>
      <c r="C1339" s="102" t="n"/>
      <c r="D1339" s="114" t="n"/>
      <c r="E1339" s="103" t="n"/>
      <c r="F1339" s="102" t="n"/>
      <c r="G1339" s="102" t="n"/>
      <c r="H1339" s="115" t="n"/>
      <c r="I1339" s="102" t="n"/>
      <c r="J1339" s="102" t="n"/>
      <c r="K1339" s="103" t="n"/>
      <c r="L1339" s="116">
        <f>IF($H1339="","",TRIM(IF(COUNTIF(DMTK!$A$7:$A$250,$F1339)=0,"TK Nợ sai! ","")&amp;IF(COUNTIF(DMTK!$A$7:$A$250,$G1339)=0,"TK Có sai! ","")&amp;IF(N($H1339)&lt;=0,"Tiền phải &gt; 0! ","")&amp;IF($B1339="","Thiếu ngày! ","")&amp;IF(AND(OR(LEFT($F1339,3)="131",LEFT($G1339,3)="131",LEFT($F1339,3)="331",LEFT($G1339,3)="331"),$I1339=""),"Thiếu Mã ĐT! ","")&amp;IF(AND($I1339&lt;&gt;"",COUNTIF(DM_DT!$A$7:$A$306,$I1339)=0),"Mã ĐT chưa khai báo! ","")))</f>
        <v/>
      </c>
      <c r="M1339" s="117">
        <f>IF($H1339="","",IF(AND(OR(LEFT($F1339,3)="111",LEFT($F1339,3)="112",LEFT($F1339,3)="113"),OR(LEFT($G1339,3)="111",LEFT($G1339,3)="112",LEFT($G1339,3)="113")),"NB",IF(OR(LEFT($F1339,3)="111",LEFT($F1339,3)="112",LEFT($F1339,3)="113"),"THU",IF(OR(LEFT($G1339,3)="111",LEFT($G1339,3)="112",LEFT($G1339,3)="113"),"CHI",""))))</f>
        <v/>
      </c>
      <c r="N1339" s="117">
        <f>IF($M1339="THU",$G1339,IF($M1339="CHI",$F1339,""))</f>
        <v/>
      </c>
      <c r="O1339" s="117">
        <f>IF(OR($M1339="",$M1339="NB"),"",IF($J1339&lt;&gt;"",TEXT($J1339,"00"),IFERROR(VLOOKUP(LEFT($N1339,4),LCTT_MAP!$A$7:$C$66,IF($M1339="THU",2,3),FALSE()),IFERROR(VLOOKUP(LEFT($N1339,3),LCTT_MAP!$A$7:$C$66,IF($M1339="THU",2,3),FALSE()),IFERROR(VLOOKUP(LEFT($N1339,2),LCTT_MAP!$A$7:$C$66,IF($M1339="THU",2,3),FALSE()),IFERROR(VLOOKUP(LEFT($N1339,1),LCTT_MAP!$A$7:$C$66,IF($M1339="THU",2,3),FALSE()),IF($M1339="THU","06","07")))))))</f>
        <v/>
      </c>
      <c r="P1339" s="117">
        <f>P1338+IF(AND($H1339&lt;&gt;"",OR(LEFT($F1339,LEN(SC_TK))=SC_TK,LEFT($G1339,LEN(SC_TK))=SC_TK)),1,0)</f>
        <v/>
      </c>
    </row>
    <row r="1340" ht="15" customHeight="1" s="78">
      <c r="A1340" s="95">
        <f>IF($H1340="","",ROW()-6)</f>
        <v/>
      </c>
      <c r="B1340" s="114" t="n"/>
      <c r="C1340" s="102" t="n"/>
      <c r="D1340" s="114" t="n"/>
      <c r="E1340" s="103" t="n"/>
      <c r="F1340" s="102" t="n"/>
      <c r="G1340" s="102" t="n"/>
      <c r="H1340" s="115" t="n"/>
      <c r="I1340" s="102" t="n"/>
      <c r="J1340" s="102" t="n"/>
      <c r="K1340" s="103" t="n"/>
      <c r="L1340" s="116">
        <f>IF($H1340="","",TRIM(IF(COUNTIF(DMTK!$A$7:$A$250,$F1340)=0,"TK Nợ sai! ","")&amp;IF(COUNTIF(DMTK!$A$7:$A$250,$G1340)=0,"TK Có sai! ","")&amp;IF(N($H1340)&lt;=0,"Tiền phải &gt; 0! ","")&amp;IF($B1340="","Thiếu ngày! ","")&amp;IF(AND(OR(LEFT($F1340,3)="131",LEFT($G1340,3)="131",LEFT($F1340,3)="331",LEFT($G1340,3)="331"),$I1340=""),"Thiếu Mã ĐT! ","")&amp;IF(AND($I1340&lt;&gt;"",COUNTIF(DM_DT!$A$7:$A$306,$I1340)=0),"Mã ĐT chưa khai báo! ","")))</f>
        <v/>
      </c>
      <c r="M1340" s="117">
        <f>IF($H1340="","",IF(AND(OR(LEFT($F1340,3)="111",LEFT($F1340,3)="112",LEFT($F1340,3)="113"),OR(LEFT($G1340,3)="111",LEFT($G1340,3)="112",LEFT($G1340,3)="113")),"NB",IF(OR(LEFT($F1340,3)="111",LEFT($F1340,3)="112",LEFT($F1340,3)="113"),"THU",IF(OR(LEFT($G1340,3)="111",LEFT($G1340,3)="112",LEFT($G1340,3)="113"),"CHI",""))))</f>
        <v/>
      </c>
      <c r="N1340" s="117">
        <f>IF($M1340="THU",$G1340,IF($M1340="CHI",$F1340,""))</f>
        <v/>
      </c>
      <c r="O1340" s="117">
        <f>IF(OR($M1340="",$M1340="NB"),"",IF($J1340&lt;&gt;"",TEXT($J1340,"00"),IFERROR(VLOOKUP(LEFT($N1340,4),LCTT_MAP!$A$7:$C$66,IF($M1340="THU",2,3),FALSE()),IFERROR(VLOOKUP(LEFT($N1340,3),LCTT_MAP!$A$7:$C$66,IF($M1340="THU",2,3),FALSE()),IFERROR(VLOOKUP(LEFT($N1340,2),LCTT_MAP!$A$7:$C$66,IF($M1340="THU",2,3),FALSE()),IFERROR(VLOOKUP(LEFT($N1340,1),LCTT_MAP!$A$7:$C$66,IF($M1340="THU",2,3),FALSE()),IF($M1340="THU","06","07")))))))</f>
        <v/>
      </c>
      <c r="P1340" s="117">
        <f>P1339+IF(AND($H1340&lt;&gt;"",OR(LEFT($F1340,LEN(SC_TK))=SC_TK,LEFT($G1340,LEN(SC_TK))=SC_TK)),1,0)</f>
        <v/>
      </c>
    </row>
    <row r="1341" ht="15" customHeight="1" s="78">
      <c r="A1341" s="95">
        <f>IF($H1341="","",ROW()-6)</f>
        <v/>
      </c>
      <c r="B1341" s="114" t="n"/>
      <c r="C1341" s="102" t="n"/>
      <c r="D1341" s="114" t="n"/>
      <c r="E1341" s="103" t="n"/>
      <c r="F1341" s="102" t="n"/>
      <c r="G1341" s="102" t="n"/>
      <c r="H1341" s="115" t="n"/>
      <c r="I1341" s="102" t="n"/>
      <c r="J1341" s="102" t="n"/>
      <c r="K1341" s="103" t="n"/>
      <c r="L1341" s="116">
        <f>IF($H1341="","",TRIM(IF(COUNTIF(DMTK!$A$7:$A$250,$F1341)=0,"TK Nợ sai! ","")&amp;IF(COUNTIF(DMTK!$A$7:$A$250,$G1341)=0,"TK Có sai! ","")&amp;IF(N($H1341)&lt;=0,"Tiền phải &gt; 0! ","")&amp;IF($B1341="","Thiếu ngày! ","")&amp;IF(AND(OR(LEFT($F1341,3)="131",LEFT($G1341,3)="131",LEFT($F1341,3)="331",LEFT($G1341,3)="331"),$I1341=""),"Thiếu Mã ĐT! ","")&amp;IF(AND($I1341&lt;&gt;"",COUNTIF(DM_DT!$A$7:$A$306,$I1341)=0),"Mã ĐT chưa khai báo! ","")))</f>
        <v/>
      </c>
      <c r="M1341" s="117">
        <f>IF($H1341="","",IF(AND(OR(LEFT($F1341,3)="111",LEFT($F1341,3)="112",LEFT($F1341,3)="113"),OR(LEFT($G1341,3)="111",LEFT($G1341,3)="112",LEFT($G1341,3)="113")),"NB",IF(OR(LEFT($F1341,3)="111",LEFT($F1341,3)="112",LEFT($F1341,3)="113"),"THU",IF(OR(LEFT($G1341,3)="111",LEFT($G1341,3)="112",LEFT($G1341,3)="113"),"CHI",""))))</f>
        <v/>
      </c>
      <c r="N1341" s="117">
        <f>IF($M1341="THU",$G1341,IF($M1341="CHI",$F1341,""))</f>
        <v/>
      </c>
      <c r="O1341" s="117">
        <f>IF(OR($M1341="",$M1341="NB"),"",IF($J1341&lt;&gt;"",TEXT($J1341,"00"),IFERROR(VLOOKUP(LEFT($N1341,4),LCTT_MAP!$A$7:$C$66,IF($M1341="THU",2,3),FALSE()),IFERROR(VLOOKUP(LEFT($N1341,3),LCTT_MAP!$A$7:$C$66,IF($M1341="THU",2,3),FALSE()),IFERROR(VLOOKUP(LEFT($N1341,2),LCTT_MAP!$A$7:$C$66,IF($M1341="THU",2,3),FALSE()),IFERROR(VLOOKUP(LEFT($N1341,1),LCTT_MAP!$A$7:$C$66,IF($M1341="THU",2,3),FALSE()),IF($M1341="THU","06","07")))))))</f>
        <v/>
      </c>
      <c r="P1341" s="117">
        <f>P1340+IF(AND($H1341&lt;&gt;"",OR(LEFT($F1341,LEN(SC_TK))=SC_TK,LEFT($G1341,LEN(SC_TK))=SC_TK)),1,0)</f>
        <v/>
      </c>
    </row>
    <row r="1342" ht="15" customHeight="1" s="78">
      <c r="A1342" s="95">
        <f>IF($H1342="","",ROW()-6)</f>
        <v/>
      </c>
      <c r="B1342" s="114" t="n"/>
      <c r="C1342" s="102" t="n"/>
      <c r="D1342" s="114" t="n"/>
      <c r="E1342" s="103" t="n"/>
      <c r="F1342" s="102" t="n"/>
      <c r="G1342" s="102" t="n"/>
      <c r="H1342" s="115" t="n"/>
      <c r="I1342" s="102" t="n"/>
      <c r="J1342" s="102" t="n"/>
      <c r="K1342" s="103" t="n"/>
      <c r="L1342" s="116">
        <f>IF($H1342="","",TRIM(IF(COUNTIF(DMTK!$A$7:$A$250,$F1342)=0,"TK Nợ sai! ","")&amp;IF(COUNTIF(DMTK!$A$7:$A$250,$G1342)=0,"TK Có sai! ","")&amp;IF(N($H1342)&lt;=0,"Tiền phải &gt; 0! ","")&amp;IF($B1342="","Thiếu ngày! ","")&amp;IF(AND(OR(LEFT($F1342,3)="131",LEFT($G1342,3)="131",LEFT($F1342,3)="331",LEFT($G1342,3)="331"),$I1342=""),"Thiếu Mã ĐT! ","")&amp;IF(AND($I1342&lt;&gt;"",COUNTIF(DM_DT!$A$7:$A$306,$I1342)=0),"Mã ĐT chưa khai báo! ","")))</f>
        <v/>
      </c>
      <c r="M1342" s="117">
        <f>IF($H1342="","",IF(AND(OR(LEFT($F1342,3)="111",LEFT($F1342,3)="112",LEFT($F1342,3)="113"),OR(LEFT($G1342,3)="111",LEFT($G1342,3)="112",LEFT($G1342,3)="113")),"NB",IF(OR(LEFT($F1342,3)="111",LEFT($F1342,3)="112",LEFT($F1342,3)="113"),"THU",IF(OR(LEFT($G1342,3)="111",LEFT($G1342,3)="112",LEFT($G1342,3)="113"),"CHI",""))))</f>
        <v/>
      </c>
      <c r="N1342" s="117">
        <f>IF($M1342="THU",$G1342,IF($M1342="CHI",$F1342,""))</f>
        <v/>
      </c>
      <c r="O1342" s="117">
        <f>IF(OR($M1342="",$M1342="NB"),"",IF($J1342&lt;&gt;"",TEXT($J1342,"00"),IFERROR(VLOOKUP(LEFT($N1342,4),LCTT_MAP!$A$7:$C$66,IF($M1342="THU",2,3),FALSE()),IFERROR(VLOOKUP(LEFT($N1342,3),LCTT_MAP!$A$7:$C$66,IF($M1342="THU",2,3),FALSE()),IFERROR(VLOOKUP(LEFT($N1342,2),LCTT_MAP!$A$7:$C$66,IF($M1342="THU",2,3),FALSE()),IFERROR(VLOOKUP(LEFT($N1342,1),LCTT_MAP!$A$7:$C$66,IF($M1342="THU",2,3),FALSE()),IF($M1342="THU","06","07")))))))</f>
        <v/>
      </c>
      <c r="P1342" s="117">
        <f>P1341+IF(AND($H1342&lt;&gt;"",OR(LEFT($F1342,LEN(SC_TK))=SC_TK,LEFT($G1342,LEN(SC_TK))=SC_TK)),1,0)</f>
        <v/>
      </c>
    </row>
    <row r="1343" ht="15" customHeight="1" s="78">
      <c r="A1343" s="95">
        <f>IF($H1343="","",ROW()-6)</f>
        <v/>
      </c>
      <c r="B1343" s="114" t="n"/>
      <c r="C1343" s="102" t="n"/>
      <c r="D1343" s="114" t="n"/>
      <c r="E1343" s="103" t="n"/>
      <c r="F1343" s="102" t="n"/>
      <c r="G1343" s="102" t="n"/>
      <c r="H1343" s="115" t="n"/>
      <c r="I1343" s="102" t="n"/>
      <c r="J1343" s="102" t="n"/>
      <c r="K1343" s="103" t="n"/>
      <c r="L1343" s="116">
        <f>IF($H1343="","",TRIM(IF(COUNTIF(DMTK!$A$7:$A$250,$F1343)=0,"TK Nợ sai! ","")&amp;IF(COUNTIF(DMTK!$A$7:$A$250,$G1343)=0,"TK Có sai! ","")&amp;IF(N($H1343)&lt;=0,"Tiền phải &gt; 0! ","")&amp;IF($B1343="","Thiếu ngày! ","")&amp;IF(AND(OR(LEFT($F1343,3)="131",LEFT($G1343,3)="131",LEFT($F1343,3)="331",LEFT($G1343,3)="331"),$I1343=""),"Thiếu Mã ĐT! ","")&amp;IF(AND($I1343&lt;&gt;"",COUNTIF(DM_DT!$A$7:$A$306,$I1343)=0),"Mã ĐT chưa khai báo! ","")))</f>
        <v/>
      </c>
      <c r="M1343" s="117">
        <f>IF($H1343="","",IF(AND(OR(LEFT($F1343,3)="111",LEFT($F1343,3)="112",LEFT($F1343,3)="113"),OR(LEFT($G1343,3)="111",LEFT($G1343,3)="112",LEFT($G1343,3)="113")),"NB",IF(OR(LEFT($F1343,3)="111",LEFT($F1343,3)="112",LEFT($F1343,3)="113"),"THU",IF(OR(LEFT($G1343,3)="111",LEFT($G1343,3)="112",LEFT($G1343,3)="113"),"CHI",""))))</f>
        <v/>
      </c>
      <c r="N1343" s="117">
        <f>IF($M1343="THU",$G1343,IF($M1343="CHI",$F1343,""))</f>
        <v/>
      </c>
      <c r="O1343" s="117">
        <f>IF(OR($M1343="",$M1343="NB"),"",IF($J1343&lt;&gt;"",TEXT($J1343,"00"),IFERROR(VLOOKUP(LEFT($N1343,4),LCTT_MAP!$A$7:$C$66,IF($M1343="THU",2,3),FALSE()),IFERROR(VLOOKUP(LEFT($N1343,3),LCTT_MAP!$A$7:$C$66,IF($M1343="THU",2,3),FALSE()),IFERROR(VLOOKUP(LEFT($N1343,2),LCTT_MAP!$A$7:$C$66,IF($M1343="THU",2,3),FALSE()),IFERROR(VLOOKUP(LEFT($N1343,1),LCTT_MAP!$A$7:$C$66,IF($M1343="THU",2,3),FALSE()),IF($M1343="THU","06","07")))))))</f>
        <v/>
      </c>
      <c r="P1343" s="117">
        <f>P1342+IF(AND($H1343&lt;&gt;"",OR(LEFT($F1343,LEN(SC_TK))=SC_TK,LEFT($G1343,LEN(SC_TK))=SC_TK)),1,0)</f>
        <v/>
      </c>
    </row>
    <row r="1344" ht="15" customHeight="1" s="78">
      <c r="A1344" s="95">
        <f>IF($H1344="","",ROW()-6)</f>
        <v/>
      </c>
      <c r="B1344" s="114" t="n"/>
      <c r="C1344" s="102" t="n"/>
      <c r="D1344" s="114" t="n"/>
      <c r="E1344" s="103" t="n"/>
      <c r="F1344" s="102" t="n"/>
      <c r="G1344" s="102" t="n"/>
      <c r="H1344" s="115" t="n"/>
      <c r="I1344" s="102" t="n"/>
      <c r="J1344" s="102" t="n"/>
      <c r="K1344" s="103" t="n"/>
      <c r="L1344" s="116">
        <f>IF($H1344="","",TRIM(IF(COUNTIF(DMTK!$A$7:$A$250,$F1344)=0,"TK Nợ sai! ","")&amp;IF(COUNTIF(DMTK!$A$7:$A$250,$G1344)=0,"TK Có sai! ","")&amp;IF(N($H1344)&lt;=0,"Tiền phải &gt; 0! ","")&amp;IF($B1344="","Thiếu ngày! ","")&amp;IF(AND(OR(LEFT($F1344,3)="131",LEFT($G1344,3)="131",LEFT($F1344,3)="331",LEFT($G1344,3)="331"),$I1344=""),"Thiếu Mã ĐT! ","")&amp;IF(AND($I1344&lt;&gt;"",COUNTIF(DM_DT!$A$7:$A$306,$I1344)=0),"Mã ĐT chưa khai báo! ","")))</f>
        <v/>
      </c>
      <c r="M1344" s="117">
        <f>IF($H1344="","",IF(AND(OR(LEFT($F1344,3)="111",LEFT($F1344,3)="112",LEFT($F1344,3)="113"),OR(LEFT($G1344,3)="111",LEFT($G1344,3)="112",LEFT($G1344,3)="113")),"NB",IF(OR(LEFT($F1344,3)="111",LEFT($F1344,3)="112",LEFT($F1344,3)="113"),"THU",IF(OR(LEFT($G1344,3)="111",LEFT($G1344,3)="112",LEFT($G1344,3)="113"),"CHI",""))))</f>
        <v/>
      </c>
      <c r="N1344" s="117">
        <f>IF($M1344="THU",$G1344,IF($M1344="CHI",$F1344,""))</f>
        <v/>
      </c>
      <c r="O1344" s="117">
        <f>IF(OR($M1344="",$M1344="NB"),"",IF($J1344&lt;&gt;"",TEXT($J1344,"00"),IFERROR(VLOOKUP(LEFT($N1344,4),LCTT_MAP!$A$7:$C$66,IF($M1344="THU",2,3),FALSE()),IFERROR(VLOOKUP(LEFT($N1344,3),LCTT_MAP!$A$7:$C$66,IF($M1344="THU",2,3),FALSE()),IFERROR(VLOOKUP(LEFT($N1344,2),LCTT_MAP!$A$7:$C$66,IF($M1344="THU",2,3),FALSE()),IFERROR(VLOOKUP(LEFT($N1344,1),LCTT_MAP!$A$7:$C$66,IF($M1344="THU",2,3),FALSE()),IF($M1344="THU","06","07")))))))</f>
        <v/>
      </c>
      <c r="P1344" s="117">
        <f>P1343+IF(AND($H1344&lt;&gt;"",OR(LEFT($F1344,LEN(SC_TK))=SC_TK,LEFT($G1344,LEN(SC_TK))=SC_TK)),1,0)</f>
        <v/>
      </c>
    </row>
    <row r="1345" ht="15" customHeight="1" s="78">
      <c r="A1345" s="95">
        <f>IF($H1345="","",ROW()-6)</f>
        <v/>
      </c>
      <c r="B1345" s="114" t="n"/>
      <c r="C1345" s="102" t="n"/>
      <c r="D1345" s="114" t="n"/>
      <c r="E1345" s="103" t="n"/>
      <c r="F1345" s="102" t="n"/>
      <c r="G1345" s="102" t="n"/>
      <c r="H1345" s="115" t="n"/>
      <c r="I1345" s="102" t="n"/>
      <c r="J1345" s="102" t="n"/>
      <c r="K1345" s="103" t="n"/>
      <c r="L1345" s="116">
        <f>IF($H1345="","",TRIM(IF(COUNTIF(DMTK!$A$7:$A$250,$F1345)=0,"TK Nợ sai! ","")&amp;IF(COUNTIF(DMTK!$A$7:$A$250,$G1345)=0,"TK Có sai! ","")&amp;IF(N($H1345)&lt;=0,"Tiền phải &gt; 0! ","")&amp;IF($B1345="","Thiếu ngày! ","")&amp;IF(AND(OR(LEFT($F1345,3)="131",LEFT($G1345,3)="131",LEFT($F1345,3)="331",LEFT($G1345,3)="331"),$I1345=""),"Thiếu Mã ĐT! ","")&amp;IF(AND($I1345&lt;&gt;"",COUNTIF(DM_DT!$A$7:$A$306,$I1345)=0),"Mã ĐT chưa khai báo! ","")))</f>
        <v/>
      </c>
      <c r="M1345" s="117">
        <f>IF($H1345="","",IF(AND(OR(LEFT($F1345,3)="111",LEFT($F1345,3)="112",LEFT($F1345,3)="113"),OR(LEFT($G1345,3)="111",LEFT($G1345,3)="112",LEFT($G1345,3)="113")),"NB",IF(OR(LEFT($F1345,3)="111",LEFT($F1345,3)="112",LEFT($F1345,3)="113"),"THU",IF(OR(LEFT($G1345,3)="111",LEFT($G1345,3)="112",LEFT($G1345,3)="113"),"CHI",""))))</f>
        <v/>
      </c>
      <c r="N1345" s="117">
        <f>IF($M1345="THU",$G1345,IF($M1345="CHI",$F1345,""))</f>
        <v/>
      </c>
      <c r="O1345" s="117">
        <f>IF(OR($M1345="",$M1345="NB"),"",IF($J1345&lt;&gt;"",TEXT($J1345,"00"),IFERROR(VLOOKUP(LEFT($N1345,4),LCTT_MAP!$A$7:$C$66,IF($M1345="THU",2,3),FALSE()),IFERROR(VLOOKUP(LEFT($N1345,3),LCTT_MAP!$A$7:$C$66,IF($M1345="THU",2,3),FALSE()),IFERROR(VLOOKUP(LEFT($N1345,2),LCTT_MAP!$A$7:$C$66,IF($M1345="THU",2,3),FALSE()),IFERROR(VLOOKUP(LEFT($N1345,1),LCTT_MAP!$A$7:$C$66,IF($M1345="THU",2,3),FALSE()),IF($M1345="THU","06","07")))))))</f>
        <v/>
      </c>
      <c r="P1345" s="117">
        <f>P1344+IF(AND($H1345&lt;&gt;"",OR(LEFT($F1345,LEN(SC_TK))=SC_TK,LEFT($G1345,LEN(SC_TK))=SC_TK)),1,0)</f>
        <v/>
      </c>
    </row>
    <row r="1346" ht="15" customHeight="1" s="78">
      <c r="A1346" s="95">
        <f>IF($H1346="","",ROW()-6)</f>
        <v/>
      </c>
      <c r="B1346" s="114" t="n"/>
      <c r="C1346" s="102" t="n"/>
      <c r="D1346" s="114" t="n"/>
      <c r="E1346" s="103" t="n"/>
      <c r="F1346" s="102" t="n"/>
      <c r="G1346" s="102" t="n"/>
      <c r="H1346" s="115" t="n"/>
      <c r="I1346" s="102" t="n"/>
      <c r="J1346" s="102" t="n"/>
      <c r="K1346" s="103" t="n"/>
      <c r="L1346" s="116">
        <f>IF($H1346="","",TRIM(IF(COUNTIF(DMTK!$A$7:$A$250,$F1346)=0,"TK Nợ sai! ","")&amp;IF(COUNTIF(DMTK!$A$7:$A$250,$G1346)=0,"TK Có sai! ","")&amp;IF(N($H1346)&lt;=0,"Tiền phải &gt; 0! ","")&amp;IF($B1346="","Thiếu ngày! ","")&amp;IF(AND(OR(LEFT($F1346,3)="131",LEFT($G1346,3)="131",LEFT($F1346,3)="331",LEFT($G1346,3)="331"),$I1346=""),"Thiếu Mã ĐT! ","")&amp;IF(AND($I1346&lt;&gt;"",COUNTIF(DM_DT!$A$7:$A$306,$I1346)=0),"Mã ĐT chưa khai báo! ","")))</f>
        <v/>
      </c>
      <c r="M1346" s="117">
        <f>IF($H1346="","",IF(AND(OR(LEFT($F1346,3)="111",LEFT($F1346,3)="112",LEFT($F1346,3)="113"),OR(LEFT($G1346,3)="111",LEFT($G1346,3)="112",LEFT($G1346,3)="113")),"NB",IF(OR(LEFT($F1346,3)="111",LEFT($F1346,3)="112",LEFT($F1346,3)="113"),"THU",IF(OR(LEFT($G1346,3)="111",LEFT($G1346,3)="112",LEFT($G1346,3)="113"),"CHI",""))))</f>
        <v/>
      </c>
      <c r="N1346" s="117">
        <f>IF($M1346="THU",$G1346,IF($M1346="CHI",$F1346,""))</f>
        <v/>
      </c>
      <c r="O1346" s="117">
        <f>IF(OR($M1346="",$M1346="NB"),"",IF($J1346&lt;&gt;"",TEXT($J1346,"00"),IFERROR(VLOOKUP(LEFT($N1346,4),LCTT_MAP!$A$7:$C$66,IF($M1346="THU",2,3),FALSE()),IFERROR(VLOOKUP(LEFT($N1346,3),LCTT_MAP!$A$7:$C$66,IF($M1346="THU",2,3),FALSE()),IFERROR(VLOOKUP(LEFT($N1346,2),LCTT_MAP!$A$7:$C$66,IF($M1346="THU",2,3),FALSE()),IFERROR(VLOOKUP(LEFT($N1346,1),LCTT_MAP!$A$7:$C$66,IF($M1346="THU",2,3),FALSE()),IF($M1346="THU","06","07")))))))</f>
        <v/>
      </c>
      <c r="P1346" s="117">
        <f>P1345+IF(AND($H1346&lt;&gt;"",OR(LEFT($F1346,LEN(SC_TK))=SC_TK,LEFT($G1346,LEN(SC_TK))=SC_TK)),1,0)</f>
        <v/>
      </c>
    </row>
    <row r="1347" ht="15" customHeight="1" s="78">
      <c r="A1347" s="95">
        <f>IF($H1347="","",ROW()-6)</f>
        <v/>
      </c>
      <c r="B1347" s="114" t="n"/>
      <c r="C1347" s="102" t="n"/>
      <c r="D1347" s="114" t="n"/>
      <c r="E1347" s="103" t="n"/>
      <c r="F1347" s="102" t="n"/>
      <c r="G1347" s="102" t="n"/>
      <c r="H1347" s="115" t="n"/>
      <c r="I1347" s="102" t="n"/>
      <c r="J1347" s="102" t="n"/>
      <c r="K1347" s="103" t="n"/>
      <c r="L1347" s="116">
        <f>IF($H1347="","",TRIM(IF(COUNTIF(DMTK!$A$7:$A$250,$F1347)=0,"TK Nợ sai! ","")&amp;IF(COUNTIF(DMTK!$A$7:$A$250,$G1347)=0,"TK Có sai! ","")&amp;IF(N($H1347)&lt;=0,"Tiền phải &gt; 0! ","")&amp;IF($B1347="","Thiếu ngày! ","")&amp;IF(AND(OR(LEFT($F1347,3)="131",LEFT($G1347,3)="131",LEFT($F1347,3)="331",LEFT($G1347,3)="331"),$I1347=""),"Thiếu Mã ĐT! ","")&amp;IF(AND($I1347&lt;&gt;"",COUNTIF(DM_DT!$A$7:$A$306,$I1347)=0),"Mã ĐT chưa khai báo! ","")))</f>
        <v/>
      </c>
      <c r="M1347" s="117">
        <f>IF($H1347="","",IF(AND(OR(LEFT($F1347,3)="111",LEFT($F1347,3)="112",LEFT($F1347,3)="113"),OR(LEFT($G1347,3)="111",LEFT($G1347,3)="112",LEFT($G1347,3)="113")),"NB",IF(OR(LEFT($F1347,3)="111",LEFT($F1347,3)="112",LEFT($F1347,3)="113"),"THU",IF(OR(LEFT($G1347,3)="111",LEFT($G1347,3)="112",LEFT($G1347,3)="113"),"CHI",""))))</f>
        <v/>
      </c>
      <c r="N1347" s="117">
        <f>IF($M1347="THU",$G1347,IF($M1347="CHI",$F1347,""))</f>
        <v/>
      </c>
      <c r="O1347" s="117">
        <f>IF(OR($M1347="",$M1347="NB"),"",IF($J1347&lt;&gt;"",TEXT($J1347,"00"),IFERROR(VLOOKUP(LEFT($N1347,4),LCTT_MAP!$A$7:$C$66,IF($M1347="THU",2,3),FALSE()),IFERROR(VLOOKUP(LEFT($N1347,3),LCTT_MAP!$A$7:$C$66,IF($M1347="THU",2,3),FALSE()),IFERROR(VLOOKUP(LEFT($N1347,2),LCTT_MAP!$A$7:$C$66,IF($M1347="THU",2,3),FALSE()),IFERROR(VLOOKUP(LEFT($N1347,1),LCTT_MAP!$A$7:$C$66,IF($M1347="THU",2,3),FALSE()),IF($M1347="THU","06","07")))))))</f>
        <v/>
      </c>
      <c r="P1347" s="117">
        <f>P1346+IF(AND($H1347&lt;&gt;"",OR(LEFT($F1347,LEN(SC_TK))=SC_TK,LEFT($G1347,LEN(SC_TK))=SC_TK)),1,0)</f>
        <v/>
      </c>
    </row>
    <row r="1348" ht="15" customHeight="1" s="78">
      <c r="A1348" s="95">
        <f>IF($H1348="","",ROW()-6)</f>
        <v/>
      </c>
      <c r="B1348" s="114" t="n"/>
      <c r="C1348" s="102" t="n"/>
      <c r="D1348" s="114" t="n"/>
      <c r="E1348" s="103" t="n"/>
      <c r="F1348" s="102" t="n"/>
      <c r="G1348" s="102" t="n"/>
      <c r="H1348" s="115" t="n"/>
      <c r="I1348" s="102" t="n"/>
      <c r="J1348" s="102" t="n"/>
      <c r="K1348" s="103" t="n"/>
      <c r="L1348" s="116">
        <f>IF($H1348="","",TRIM(IF(COUNTIF(DMTK!$A$7:$A$250,$F1348)=0,"TK Nợ sai! ","")&amp;IF(COUNTIF(DMTK!$A$7:$A$250,$G1348)=0,"TK Có sai! ","")&amp;IF(N($H1348)&lt;=0,"Tiền phải &gt; 0! ","")&amp;IF($B1348="","Thiếu ngày! ","")&amp;IF(AND(OR(LEFT($F1348,3)="131",LEFT($G1348,3)="131",LEFT($F1348,3)="331",LEFT($G1348,3)="331"),$I1348=""),"Thiếu Mã ĐT! ","")&amp;IF(AND($I1348&lt;&gt;"",COUNTIF(DM_DT!$A$7:$A$306,$I1348)=0),"Mã ĐT chưa khai báo! ","")))</f>
        <v/>
      </c>
      <c r="M1348" s="117">
        <f>IF($H1348="","",IF(AND(OR(LEFT($F1348,3)="111",LEFT($F1348,3)="112",LEFT($F1348,3)="113"),OR(LEFT($G1348,3)="111",LEFT($G1348,3)="112",LEFT($G1348,3)="113")),"NB",IF(OR(LEFT($F1348,3)="111",LEFT($F1348,3)="112",LEFT($F1348,3)="113"),"THU",IF(OR(LEFT($G1348,3)="111",LEFT($G1348,3)="112",LEFT($G1348,3)="113"),"CHI",""))))</f>
        <v/>
      </c>
      <c r="N1348" s="117">
        <f>IF($M1348="THU",$G1348,IF($M1348="CHI",$F1348,""))</f>
        <v/>
      </c>
      <c r="O1348" s="117">
        <f>IF(OR($M1348="",$M1348="NB"),"",IF($J1348&lt;&gt;"",TEXT($J1348,"00"),IFERROR(VLOOKUP(LEFT($N1348,4),LCTT_MAP!$A$7:$C$66,IF($M1348="THU",2,3),FALSE()),IFERROR(VLOOKUP(LEFT($N1348,3),LCTT_MAP!$A$7:$C$66,IF($M1348="THU",2,3),FALSE()),IFERROR(VLOOKUP(LEFT($N1348,2),LCTT_MAP!$A$7:$C$66,IF($M1348="THU",2,3),FALSE()),IFERROR(VLOOKUP(LEFT($N1348,1),LCTT_MAP!$A$7:$C$66,IF($M1348="THU",2,3),FALSE()),IF($M1348="THU","06","07")))))))</f>
        <v/>
      </c>
      <c r="P1348" s="117">
        <f>P1347+IF(AND($H1348&lt;&gt;"",OR(LEFT($F1348,LEN(SC_TK))=SC_TK,LEFT($G1348,LEN(SC_TK))=SC_TK)),1,0)</f>
        <v/>
      </c>
    </row>
    <row r="1349" ht="15" customHeight="1" s="78">
      <c r="A1349" s="95">
        <f>IF($H1349="","",ROW()-6)</f>
        <v/>
      </c>
      <c r="B1349" s="114" t="n"/>
      <c r="C1349" s="102" t="n"/>
      <c r="D1349" s="114" t="n"/>
      <c r="E1349" s="103" t="n"/>
      <c r="F1349" s="102" t="n"/>
      <c r="G1349" s="102" t="n"/>
      <c r="H1349" s="115" t="n"/>
      <c r="I1349" s="102" t="n"/>
      <c r="J1349" s="102" t="n"/>
      <c r="K1349" s="103" t="n"/>
      <c r="L1349" s="116">
        <f>IF($H1349="","",TRIM(IF(COUNTIF(DMTK!$A$7:$A$250,$F1349)=0,"TK Nợ sai! ","")&amp;IF(COUNTIF(DMTK!$A$7:$A$250,$G1349)=0,"TK Có sai! ","")&amp;IF(N($H1349)&lt;=0,"Tiền phải &gt; 0! ","")&amp;IF($B1349="","Thiếu ngày! ","")&amp;IF(AND(OR(LEFT($F1349,3)="131",LEFT($G1349,3)="131",LEFT($F1349,3)="331",LEFT($G1349,3)="331"),$I1349=""),"Thiếu Mã ĐT! ","")&amp;IF(AND($I1349&lt;&gt;"",COUNTIF(DM_DT!$A$7:$A$306,$I1349)=0),"Mã ĐT chưa khai báo! ","")))</f>
        <v/>
      </c>
      <c r="M1349" s="117">
        <f>IF($H1349="","",IF(AND(OR(LEFT($F1349,3)="111",LEFT($F1349,3)="112",LEFT($F1349,3)="113"),OR(LEFT($G1349,3)="111",LEFT($G1349,3)="112",LEFT($G1349,3)="113")),"NB",IF(OR(LEFT($F1349,3)="111",LEFT($F1349,3)="112",LEFT($F1349,3)="113"),"THU",IF(OR(LEFT($G1349,3)="111",LEFT($G1349,3)="112",LEFT($G1349,3)="113"),"CHI",""))))</f>
        <v/>
      </c>
      <c r="N1349" s="117">
        <f>IF($M1349="THU",$G1349,IF($M1349="CHI",$F1349,""))</f>
        <v/>
      </c>
      <c r="O1349" s="117">
        <f>IF(OR($M1349="",$M1349="NB"),"",IF($J1349&lt;&gt;"",TEXT($J1349,"00"),IFERROR(VLOOKUP(LEFT($N1349,4),LCTT_MAP!$A$7:$C$66,IF($M1349="THU",2,3),FALSE()),IFERROR(VLOOKUP(LEFT($N1349,3),LCTT_MAP!$A$7:$C$66,IF($M1349="THU",2,3),FALSE()),IFERROR(VLOOKUP(LEFT($N1349,2),LCTT_MAP!$A$7:$C$66,IF($M1349="THU",2,3),FALSE()),IFERROR(VLOOKUP(LEFT($N1349,1),LCTT_MAP!$A$7:$C$66,IF($M1349="THU",2,3),FALSE()),IF($M1349="THU","06","07")))))))</f>
        <v/>
      </c>
      <c r="P1349" s="117">
        <f>P1348+IF(AND($H1349&lt;&gt;"",OR(LEFT($F1349,LEN(SC_TK))=SC_TK,LEFT($G1349,LEN(SC_TK))=SC_TK)),1,0)</f>
        <v/>
      </c>
    </row>
    <row r="1350" ht="15" customHeight="1" s="78">
      <c r="A1350" s="95">
        <f>IF($H1350="","",ROW()-6)</f>
        <v/>
      </c>
      <c r="B1350" s="114" t="n"/>
      <c r="C1350" s="102" t="n"/>
      <c r="D1350" s="114" t="n"/>
      <c r="E1350" s="103" t="n"/>
      <c r="F1350" s="102" t="n"/>
      <c r="G1350" s="102" t="n"/>
      <c r="H1350" s="115" t="n"/>
      <c r="I1350" s="102" t="n"/>
      <c r="J1350" s="102" t="n"/>
      <c r="K1350" s="103" t="n"/>
      <c r="L1350" s="116">
        <f>IF($H1350="","",TRIM(IF(COUNTIF(DMTK!$A$7:$A$250,$F1350)=0,"TK Nợ sai! ","")&amp;IF(COUNTIF(DMTK!$A$7:$A$250,$G1350)=0,"TK Có sai! ","")&amp;IF(N($H1350)&lt;=0,"Tiền phải &gt; 0! ","")&amp;IF($B1350="","Thiếu ngày! ","")&amp;IF(AND(OR(LEFT($F1350,3)="131",LEFT($G1350,3)="131",LEFT($F1350,3)="331",LEFT($G1350,3)="331"),$I1350=""),"Thiếu Mã ĐT! ","")&amp;IF(AND($I1350&lt;&gt;"",COUNTIF(DM_DT!$A$7:$A$306,$I1350)=0),"Mã ĐT chưa khai báo! ","")))</f>
        <v/>
      </c>
      <c r="M1350" s="117">
        <f>IF($H1350="","",IF(AND(OR(LEFT($F1350,3)="111",LEFT($F1350,3)="112",LEFT($F1350,3)="113"),OR(LEFT($G1350,3)="111",LEFT($G1350,3)="112",LEFT($G1350,3)="113")),"NB",IF(OR(LEFT($F1350,3)="111",LEFT($F1350,3)="112",LEFT($F1350,3)="113"),"THU",IF(OR(LEFT($G1350,3)="111",LEFT($G1350,3)="112",LEFT($G1350,3)="113"),"CHI",""))))</f>
        <v/>
      </c>
      <c r="N1350" s="117">
        <f>IF($M1350="THU",$G1350,IF($M1350="CHI",$F1350,""))</f>
        <v/>
      </c>
      <c r="O1350" s="117">
        <f>IF(OR($M1350="",$M1350="NB"),"",IF($J1350&lt;&gt;"",TEXT($J1350,"00"),IFERROR(VLOOKUP(LEFT($N1350,4),LCTT_MAP!$A$7:$C$66,IF($M1350="THU",2,3),FALSE()),IFERROR(VLOOKUP(LEFT($N1350,3),LCTT_MAP!$A$7:$C$66,IF($M1350="THU",2,3),FALSE()),IFERROR(VLOOKUP(LEFT($N1350,2),LCTT_MAP!$A$7:$C$66,IF($M1350="THU",2,3),FALSE()),IFERROR(VLOOKUP(LEFT($N1350,1),LCTT_MAP!$A$7:$C$66,IF($M1350="THU",2,3),FALSE()),IF($M1350="THU","06","07")))))))</f>
        <v/>
      </c>
      <c r="P1350" s="117">
        <f>P1349+IF(AND($H1350&lt;&gt;"",OR(LEFT($F1350,LEN(SC_TK))=SC_TK,LEFT($G1350,LEN(SC_TK))=SC_TK)),1,0)</f>
        <v/>
      </c>
    </row>
    <row r="1351" ht="15" customHeight="1" s="78">
      <c r="A1351" s="95">
        <f>IF($H1351="","",ROW()-6)</f>
        <v/>
      </c>
      <c r="B1351" s="114" t="n"/>
      <c r="C1351" s="102" t="n"/>
      <c r="D1351" s="114" t="n"/>
      <c r="E1351" s="103" t="n"/>
      <c r="F1351" s="102" t="n"/>
      <c r="G1351" s="102" t="n"/>
      <c r="H1351" s="115" t="n"/>
      <c r="I1351" s="102" t="n"/>
      <c r="J1351" s="102" t="n"/>
      <c r="K1351" s="103" t="n"/>
      <c r="L1351" s="116">
        <f>IF($H1351="","",TRIM(IF(COUNTIF(DMTK!$A$7:$A$250,$F1351)=0,"TK Nợ sai! ","")&amp;IF(COUNTIF(DMTK!$A$7:$A$250,$G1351)=0,"TK Có sai! ","")&amp;IF(N($H1351)&lt;=0,"Tiền phải &gt; 0! ","")&amp;IF($B1351="","Thiếu ngày! ","")&amp;IF(AND(OR(LEFT($F1351,3)="131",LEFT($G1351,3)="131",LEFT($F1351,3)="331",LEFT($G1351,3)="331"),$I1351=""),"Thiếu Mã ĐT! ","")&amp;IF(AND($I1351&lt;&gt;"",COUNTIF(DM_DT!$A$7:$A$306,$I1351)=0),"Mã ĐT chưa khai báo! ","")))</f>
        <v/>
      </c>
      <c r="M1351" s="117">
        <f>IF($H1351="","",IF(AND(OR(LEFT($F1351,3)="111",LEFT($F1351,3)="112",LEFT($F1351,3)="113"),OR(LEFT($G1351,3)="111",LEFT($G1351,3)="112",LEFT($G1351,3)="113")),"NB",IF(OR(LEFT($F1351,3)="111",LEFT($F1351,3)="112",LEFT($F1351,3)="113"),"THU",IF(OR(LEFT($G1351,3)="111",LEFT($G1351,3)="112",LEFT($G1351,3)="113"),"CHI",""))))</f>
        <v/>
      </c>
      <c r="N1351" s="117">
        <f>IF($M1351="THU",$G1351,IF($M1351="CHI",$F1351,""))</f>
        <v/>
      </c>
      <c r="O1351" s="117">
        <f>IF(OR($M1351="",$M1351="NB"),"",IF($J1351&lt;&gt;"",TEXT($J1351,"00"),IFERROR(VLOOKUP(LEFT($N1351,4),LCTT_MAP!$A$7:$C$66,IF($M1351="THU",2,3),FALSE()),IFERROR(VLOOKUP(LEFT($N1351,3),LCTT_MAP!$A$7:$C$66,IF($M1351="THU",2,3),FALSE()),IFERROR(VLOOKUP(LEFT($N1351,2),LCTT_MAP!$A$7:$C$66,IF($M1351="THU",2,3),FALSE()),IFERROR(VLOOKUP(LEFT($N1351,1),LCTT_MAP!$A$7:$C$66,IF($M1351="THU",2,3),FALSE()),IF($M1351="THU","06","07")))))))</f>
        <v/>
      </c>
      <c r="P1351" s="117">
        <f>P1350+IF(AND($H1351&lt;&gt;"",OR(LEFT($F1351,LEN(SC_TK))=SC_TK,LEFT($G1351,LEN(SC_TK))=SC_TK)),1,0)</f>
        <v/>
      </c>
    </row>
    <row r="1352" ht="15" customHeight="1" s="78">
      <c r="A1352" s="95">
        <f>IF($H1352="","",ROW()-6)</f>
        <v/>
      </c>
      <c r="B1352" s="114" t="n"/>
      <c r="C1352" s="102" t="n"/>
      <c r="D1352" s="114" t="n"/>
      <c r="E1352" s="103" t="n"/>
      <c r="F1352" s="102" t="n"/>
      <c r="G1352" s="102" t="n"/>
      <c r="H1352" s="115" t="n"/>
      <c r="I1352" s="102" t="n"/>
      <c r="J1352" s="102" t="n"/>
      <c r="K1352" s="103" t="n"/>
      <c r="L1352" s="116">
        <f>IF($H1352="","",TRIM(IF(COUNTIF(DMTK!$A$7:$A$250,$F1352)=0,"TK Nợ sai! ","")&amp;IF(COUNTIF(DMTK!$A$7:$A$250,$G1352)=0,"TK Có sai! ","")&amp;IF(N($H1352)&lt;=0,"Tiền phải &gt; 0! ","")&amp;IF($B1352="","Thiếu ngày! ","")&amp;IF(AND(OR(LEFT($F1352,3)="131",LEFT($G1352,3)="131",LEFT($F1352,3)="331",LEFT($G1352,3)="331"),$I1352=""),"Thiếu Mã ĐT! ","")&amp;IF(AND($I1352&lt;&gt;"",COUNTIF(DM_DT!$A$7:$A$306,$I1352)=0),"Mã ĐT chưa khai báo! ","")))</f>
        <v/>
      </c>
      <c r="M1352" s="117">
        <f>IF($H1352="","",IF(AND(OR(LEFT($F1352,3)="111",LEFT($F1352,3)="112",LEFT($F1352,3)="113"),OR(LEFT($G1352,3)="111",LEFT($G1352,3)="112",LEFT($G1352,3)="113")),"NB",IF(OR(LEFT($F1352,3)="111",LEFT($F1352,3)="112",LEFT($F1352,3)="113"),"THU",IF(OR(LEFT($G1352,3)="111",LEFT($G1352,3)="112",LEFT($G1352,3)="113"),"CHI",""))))</f>
        <v/>
      </c>
      <c r="N1352" s="117">
        <f>IF($M1352="THU",$G1352,IF($M1352="CHI",$F1352,""))</f>
        <v/>
      </c>
      <c r="O1352" s="117">
        <f>IF(OR($M1352="",$M1352="NB"),"",IF($J1352&lt;&gt;"",TEXT($J1352,"00"),IFERROR(VLOOKUP(LEFT($N1352,4),LCTT_MAP!$A$7:$C$66,IF($M1352="THU",2,3),FALSE()),IFERROR(VLOOKUP(LEFT($N1352,3),LCTT_MAP!$A$7:$C$66,IF($M1352="THU",2,3),FALSE()),IFERROR(VLOOKUP(LEFT($N1352,2),LCTT_MAP!$A$7:$C$66,IF($M1352="THU",2,3),FALSE()),IFERROR(VLOOKUP(LEFT($N1352,1),LCTT_MAP!$A$7:$C$66,IF($M1352="THU",2,3),FALSE()),IF($M1352="THU","06","07")))))))</f>
        <v/>
      </c>
      <c r="P1352" s="117">
        <f>P1351+IF(AND($H1352&lt;&gt;"",OR(LEFT($F1352,LEN(SC_TK))=SC_TK,LEFT($G1352,LEN(SC_TK))=SC_TK)),1,0)</f>
        <v/>
      </c>
    </row>
    <row r="1353" ht="15" customHeight="1" s="78">
      <c r="A1353" s="95">
        <f>IF($H1353="","",ROW()-6)</f>
        <v/>
      </c>
      <c r="B1353" s="114" t="n"/>
      <c r="C1353" s="102" t="n"/>
      <c r="D1353" s="114" t="n"/>
      <c r="E1353" s="103" t="n"/>
      <c r="F1353" s="102" t="n"/>
      <c r="G1353" s="102" t="n"/>
      <c r="H1353" s="115" t="n"/>
      <c r="I1353" s="102" t="n"/>
      <c r="J1353" s="102" t="n"/>
      <c r="K1353" s="103" t="n"/>
      <c r="L1353" s="116">
        <f>IF($H1353="","",TRIM(IF(COUNTIF(DMTK!$A$7:$A$250,$F1353)=0,"TK Nợ sai! ","")&amp;IF(COUNTIF(DMTK!$A$7:$A$250,$G1353)=0,"TK Có sai! ","")&amp;IF(N($H1353)&lt;=0,"Tiền phải &gt; 0! ","")&amp;IF($B1353="","Thiếu ngày! ","")&amp;IF(AND(OR(LEFT($F1353,3)="131",LEFT($G1353,3)="131",LEFT($F1353,3)="331",LEFT($G1353,3)="331"),$I1353=""),"Thiếu Mã ĐT! ","")&amp;IF(AND($I1353&lt;&gt;"",COUNTIF(DM_DT!$A$7:$A$306,$I1353)=0),"Mã ĐT chưa khai báo! ","")))</f>
        <v/>
      </c>
      <c r="M1353" s="117">
        <f>IF($H1353="","",IF(AND(OR(LEFT($F1353,3)="111",LEFT($F1353,3)="112",LEFT($F1353,3)="113"),OR(LEFT($G1353,3)="111",LEFT($G1353,3)="112",LEFT($G1353,3)="113")),"NB",IF(OR(LEFT($F1353,3)="111",LEFT($F1353,3)="112",LEFT($F1353,3)="113"),"THU",IF(OR(LEFT($G1353,3)="111",LEFT($G1353,3)="112",LEFT($G1353,3)="113"),"CHI",""))))</f>
        <v/>
      </c>
      <c r="N1353" s="117">
        <f>IF($M1353="THU",$G1353,IF($M1353="CHI",$F1353,""))</f>
        <v/>
      </c>
      <c r="O1353" s="117">
        <f>IF(OR($M1353="",$M1353="NB"),"",IF($J1353&lt;&gt;"",TEXT($J1353,"00"),IFERROR(VLOOKUP(LEFT($N1353,4),LCTT_MAP!$A$7:$C$66,IF($M1353="THU",2,3),FALSE()),IFERROR(VLOOKUP(LEFT($N1353,3),LCTT_MAP!$A$7:$C$66,IF($M1353="THU",2,3),FALSE()),IFERROR(VLOOKUP(LEFT($N1353,2),LCTT_MAP!$A$7:$C$66,IF($M1353="THU",2,3),FALSE()),IFERROR(VLOOKUP(LEFT($N1353,1),LCTT_MAP!$A$7:$C$66,IF($M1353="THU",2,3),FALSE()),IF($M1353="THU","06","07")))))))</f>
        <v/>
      </c>
      <c r="P1353" s="117">
        <f>P1352+IF(AND($H1353&lt;&gt;"",OR(LEFT($F1353,LEN(SC_TK))=SC_TK,LEFT($G1353,LEN(SC_TK))=SC_TK)),1,0)</f>
        <v/>
      </c>
    </row>
    <row r="1354" ht="15" customHeight="1" s="78">
      <c r="A1354" s="95">
        <f>IF($H1354="","",ROW()-6)</f>
        <v/>
      </c>
      <c r="B1354" s="114" t="n"/>
      <c r="C1354" s="102" t="n"/>
      <c r="D1354" s="114" t="n"/>
      <c r="E1354" s="103" t="n"/>
      <c r="F1354" s="102" t="n"/>
      <c r="G1354" s="102" t="n"/>
      <c r="H1354" s="115" t="n"/>
      <c r="I1354" s="102" t="n"/>
      <c r="J1354" s="102" t="n"/>
      <c r="K1354" s="103" t="n"/>
      <c r="L1354" s="116">
        <f>IF($H1354="","",TRIM(IF(COUNTIF(DMTK!$A$7:$A$250,$F1354)=0,"TK Nợ sai! ","")&amp;IF(COUNTIF(DMTK!$A$7:$A$250,$G1354)=0,"TK Có sai! ","")&amp;IF(N($H1354)&lt;=0,"Tiền phải &gt; 0! ","")&amp;IF($B1354="","Thiếu ngày! ","")&amp;IF(AND(OR(LEFT($F1354,3)="131",LEFT($G1354,3)="131",LEFT($F1354,3)="331",LEFT($G1354,3)="331"),$I1354=""),"Thiếu Mã ĐT! ","")&amp;IF(AND($I1354&lt;&gt;"",COUNTIF(DM_DT!$A$7:$A$306,$I1354)=0),"Mã ĐT chưa khai báo! ","")))</f>
        <v/>
      </c>
      <c r="M1354" s="117">
        <f>IF($H1354="","",IF(AND(OR(LEFT($F1354,3)="111",LEFT($F1354,3)="112",LEFT($F1354,3)="113"),OR(LEFT($G1354,3)="111",LEFT($G1354,3)="112",LEFT($G1354,3)="113")),"NB",IF(OR(LEFT($F1354,3)="111",LEFT($F1354,3)="112",LEFT($F1354,3)="113"),"THU",IF(OR(LEFT($G1354,3)="111",LEFT($G1354,3)="112",LEFT($G1354,3)="113"),"CHI",""))))</f>
        <v/>
      </c>
      <c r="N1354" s="117">
        <f>IF($M1354="THU",$G1354,IF($M1354="CHI",$F1354,""))</f>
        <v/>
      </c>
      <c r="O1354" s="117">
        <f>IF(OR($M1354="",$M1354="NB"),"",IF($J1354&lt;&gt;"",TEXT($J1354,"00"),IFERROR(VLOOKUP(LEFT($N1354,4),LCTT_MAP!$A$7:$C$66,IF($M1354="THU",2,3),FALSE()),IFERROR(VLOOKUP(LEFT($N1354,3),LCTT_MAP!$A$7:$C$66,IF($M1354="THU",2,3),FALSE()),IFERROR(VLOOKUP(LEFT($N1354,2),LCTT_MAP!$A$7:$C$66,IF($M1354="THU",2,3),FALSE()),IFERROR(VLOOKUP(LEFT($N1354,1),LCTT_MAP!$A$7:$C$66,IF($M1354="THU",2,3),FALSE()),IF($M1354="THU","06","07")))))))</f>
        <v/>
      </c>
      <c r="P1354" s="117">
        <f>P1353+IF(AND($H1354&lt;&gt;"",OR(LEFT($F1354,LEN(SC_TK))=SC_TK,LEFT($G1354,LEN(SC_TK))=SC_TK)),1,0)</f>
        <v/>
      </c>
    </row>
    <row r="1355" ht="15" customHeight="1" s="78">
      <c r="A1355" s="95">
        <f>IF($H1355="","",ROW()-6)</f>
        <v/>
      </c>
      <c r="B1355" s="114" t="n"/>
      <c r="C1355" s="102" t="n"/>
      <c r="D1355" s="114" t="n"/>
      <c r="E1355" s="103" t="n"/>
      <c r="F1355" s="102" t="n"/>
      <c r="G1355" s="102" t="n"/>
      <c r="H1355" s="115" t="n"/>
      <c r="I1355" s="102" t="n"/>
      <c r="J1355" s="102" t="n"/>
      <c r="K1355" s="103" t="n"/>
      <c r="L1355" s="116">
        <f>IF($H1355="","",TRIM(IF(COUNTIF(DMTK!$A$7:$A$250,$F1355)=0,"TK Nợ sai! ","")&amp;IF(COUNTIF(DMTK!$A$7:$A$250,$G1355)=0,"TK Có sai! ","")&amp;IF(N($H1355)&lt;=0,"Tiền phải &gt; 0! ","")&amp;IF($B1355="","Thiếu ngày! ","")&amp;IF(AND(OR(LEFT($F1355,3)="131",LEFT($G1355,3)="131",LEFT($F1355,3)="331",LEFT($G1355,3)="331"),$I1355=""),"Thiếu Mã ĐT! ","")&amp;IF(AND($I1355&lt;&gt;"",COUNTIF(DM_DT!$A$7:$A$306,$I1355)=0),"Mã ĐT chưa khai báo! ","")))</f>
        <v/>
      </c>
      <c r="M1355" s="117">
        <f>IF($H1355="","",IF(AND(OR(LEFT($F1355,3)="111",LEFT($F1355,3)="112",LEFT($F1355,3)="113"),OR(LEFT($G1355,3)="111",LEFT($G1355,3)="112",LEFT($G1355,3)="113")),"NB",IF(OR(LEFT($F1355,3)="111",LEFT($F1355,3)="112",LEFT($F1355,3)="113"),"THU",IF(OR(LEFT($G1355,3)="111",LEFT($G1355,3)="112",LEFT($G1355,3)="113"),"CHI",""))))</f>
        <v/>
      </c>
      <c r="N1355" s="117">
        <f>IF($M1355="THU",$G1355,IF($M1355="CHI",$F1355,""))</f>
        <v/>
      </c>
      <c r="O1355" s="117">
        <f>IF(OR($M1355="",$M1355="NB"),"",IF($J1355&lt;&gt;"",TEXT($J1355,"00"),IFERROR(VLOOKUP(LEFT($N1355,4),LCTT_MAP!$A$7:$C$66,IF($M1355="THU",2,3),FALSE()),IFERROR(VLOOKUP(LEFT($N1355,3),LCTT_MAP!$A$7:$C$66,IF($M1355="THU",2,3),FALSE()),IFERROR(VLOOKUP(LEFT($N1355,2),LCTT_MAP!$A$7:$C$66,IF($M1355="THU",2,3),FALSE()),IFERROR(VLOOKUP(LEFT($N1355,1),LCTT_MAP!$A$7:$C$66,IF($M1355="THU",2,3),FALSE()),IF($M1355="THU","06","07")))))))</f>
        <v/>
      </c>
      <c r="P1355" s="117">
        <f>P1354+IF(AND($H1355&lt;&gt;"",OR(LEFT($F1355,LEN(SC_TK))=SC_TK,LEFT($G1355,LEN(SC_TK))=SC_TK)),1,0)</f>
        <v/>
      </c>
    </row>
    <row r="1356" ht="15" customHeight="1" s="78">
      <c r="A1356" s="95">
        <f>IF($H1356="","",ROW()-6)</f>
        <v/>
      </c>
      <c r="B1356" s="114" t="n"/>
      <c r="C1356" s="102" t="n"/>
      <c r="D1356" s="114" t="n"/>
      <c r="E1356" s="103" t="n"/>
      <c r="F1356" s="102" t="n"/>
      <c r="G1356" s="102" t="n"/>
      <c r="H1356" s="115" t="n"/>
      <c r="I1356" s="102" t="n"/>
      <c r="J1356" s="102" t="n"/>
      <c r="K1356" s="103" t="n"/>
      <c r="L1356" s="116">
        <f>IF($H1356="","",TRIM(IF(COUNTIF(DMTK!$A$7:$A$250,$F1356)=0,"TK Nợ sai! ","")&amp;IF(COUNTIF(DMTK!$A$7:$A$250,$G1356)=0,"TK Có sai! ","")&amp;IF(N($H1356)&lt;=0,"Tiền phải &gt; 0! ","")&amp;IF($B1356="","Thiếu ngày! ","")&amp;IF(AND(OR(LEFT($F1356,3)="131",LEFT($G1356,3)="131",LEFT($F1356,3)="331",LEFT($G1356,3)="331"),$I1356=""),"Thiếu Mã ĐT! ","")&amp;IF(AND($I1356&lt;&gt;"",COUNTIF(DM_DT!$A$7:$A$306,$I1356)=0),"Mã ĐT chưa khai báo! ","")))</f>
        <v/>
      </c>
      <c r="M1356" s="117">
        <f>IF($H1356="","",IF(AND(OR(LEFT($F1356,3)="111",LEFT($F1356,3)="112",LEFT($F1356,3)="113"),OR(LEFT($G1356,3)="111",LEFT($G1356,3)="112",LEFT($G1356,3)="113")),"NB",IF(OR(LEFT($F1356,3)="111",LEFT($F1356,3)="112",LEFT($F1356,3)="113"),"THU",IF(OR(LEFT($G1356,3)="111",LEFT($G1356,3)="112",LEFT($G1356,3)="113"),"CHI",""))))</f>
        <v/>
      </c>
      <c r="N1356" s="117">
        <f>IF($M1356="THU",$G1356,IF($M1356="CHI",$F1356,""))</f>
        <v/>
      </c>
      <c r="O1356" s="117">
        <f>IF(OR($M1356="",$M1356="NB"),"",IF($J1356&lt;&gt;"",TEXT($J1356,"00"),IFERROR(VLOOKUP(LEFT($N1356,4),LCTT_MAP!$A$7:$C$66,IF($M1356="THU",2,3),FALSE()),IFERROR(VLOOKUP(LEFT($N1356,3),LCTT_MAP!$A$7:$C$66,IF($M1356="THU",2,3),FALSE()),IFERROR(VLOOKUP(LEFT($N1356,2),LCTT_MAP!$A$7:$C$66,IF($M1356="THU",2,3),FALSE()),IFERROR(VLOOKUP(LEFT($N1356,1),LCTT_MAP!$A$7:$C$66,IF($M1356="THU",2,3),FALSE()),IF($M1356="THU","06","07")))))))</f>
        <v/>
      </c>
      <c r="P1356" s="117">
        <f>P1355+IF(AND($H1356&lt;&gt;"",OR(LEFT($F1356,LEN(SC_TK))=SC_TK,LEFT($G1356,LEN(SC_TK))=SC_TK)),1,0)</f>
        <v/>
      </c>
    </row>
    <row r="1357" ht="15" customHeight="1" s="78">
      <c r="A1357" s="95">
        <f>IF($H1357="","",ROW()-6)</f>
        <v/>
      </c>
      <c r="B1357" s="114" t="n"/>
      <c r="C1357" s="102" t="n"/>
      <c r="D1357" s="114" t="n"/>
      <c r="E1357" s="103" t="n"/>
      <c r="F1357" s="102" t="n"/>
      <c r="G1357" s="102" t="n"/>
      <c r="H1357" s="115" t="n"/>
      <c r="I1357" s="102" t="n"/>
      <c r="J1357" s="102" t="n"/>
      <c r="K1357" s="103" t="n"/>
      <c r="L1357" s="116">
        <f>IF($H1357="","",TRIM(IF(COUNTIF(DMTK!$A$7:$A$250,$F1357)=0,"TK Nợ sai! ","")&amp;IF(COUNTIF(DMTK!$A$7:$A$250,$G1357)=0,"TK Có sai! ","")&amp;IF(N($H1357)&lt;=0,"Tiền phải &gt; 0! ","")&amp;IF($B1357="","Thiếu ngày! ","")&amp;IF(AND(OR(LEFT($F1357,3)="131",LEFT($G1357,3)="131",LEFT($F1357,3)="331",LEFT($G1357,3)="331"),$I1357=""),"Thiếu Mã ĐT! ","")&amp;IF(AND($I1357&lt;&gt;"",COUNTIF(DM_DT!$A$7:$A$306,$I1357)=0),"Mã ĐT chưa khai báo! ","")))</f>
        <v/>
      </c>
      <c r="M1357" s="117">
        <f>IF($H1357="","",IF(AND(OR(LEFT($F1357,3)="111",LEFT($F1357,3)="112",LEFT($F1357,3)="113"),OR(LEFT($G1357,3)="111",LEFT($G1357,3)="112",LEFT($G1357,3)="113")),"NB",IF(OR(LEFT($F1357,3)="111",LEFT($F1357,3)="112",LEFT($F1357,3)="113"),"THU",IF(OR(LEFT($G1357,3)="111",LEFT($G1357,3)="112",LEFT($G1357,3)="113"),"CHI",""))))</f>
        <v/>
      </c>
      <c r="N1357" s="117">
        <f>IF($M1357="THU",$G1357,IF($M1357="CHI",$F1357,""))</f>
        <v/>
      </c>
      <c r="O1357" s="117">
        <f>IF(OR($M1357="",$M1357="NB"),"",IF($J1357&lt;&gt;"",TEXT($J1357,"00"),IFERROR(VLOOKUP(LEFT($N1357,4),LCTT_MAP!$A$7:$C$66,IF($M1357="THU",2,3),FALSE()),IFERROR(VLOOKUP(LEFT($N1357,3),LCTT_MAP!$A$7:$C$66,IF($M1357="THU",2,3),FALSE()),IFERROR(VLOOKUP(LEFT($N1357,2),LCTT_MAP!$A$7:$C$66,IF($M1357="THU",2,3),FALSE()),IFERROR(VLOOKUP(LEFT($N1357,1),LCTT_MAP!$A$7:$C$66,IF($M1357="THU",2,3),FALSE()),IF($M1357="THU","06","07")))))))</f>
        <v/>
      </c>
      <c r="P1357" s="117">
        <f>P1356+IF(AND($H1357&lt;&gt;"",OR(LEFT($F1357,LEN(SC_TK))=SC_TK,LEFT($G1357,LEN(SC_TK))=SC_TK)),1,0)</f>
        <v/>
      </c>
    </row>
    <row r="1358" ht="15" customHeight="1" s="78">
      <c r="A1358" s="95">
        <f>IF($H1358="","",ROW()-6)</f>
        <v/>
      </c>
      <c r="B1358" s="114" t="n"/>
      <c r="C1358" s="102" t="n"/>
      <c r="D1358" s="114" t="n"/>
      <c r="E1358" s="103" t="n"/>
      <c r="F1358" s="102" t="n"/>
      <c r="G1358" s="102" t="n"/>
      <c r="H1358" s="115" t="n"/>
      <c r="I1358" s="102" t="n"/>
      <c r="J1358" s="102" t="n"/>
      <c r="K1358" s="103" t="n"/>
      <c r="L1358" s="116">
        <f>IF($H1358="","",TRIM(IF(COUNTIF(DMTK!$A$7:$A$250,$F1358)=0,"TK Nợ sai! ","")&amp;IF(COUNTIF(DMTK!$A$7:$A$250,$G1358)=0,"TK Có sai! ","")&amp;IF(N($H1358)&lt;=0,"Tiền phải &gt; 0! ","")&amp;IF($B1358="","Thiếu ngày! ","")&amp;IF(AND(OR(LEFT($F1358,3)="131",LEFT($G1358,3)="131",LEFT($F1358,3)="331",LEFT($G1358,3)="331"),$I1358=""),"Thiếu Mã ĐT! ","")&amp;IF(AND($I1358&lt;&gt;"",COUNTIF(DM_DT!$A$7:$A$306,$I1358)=0),"Mã ĐT chưa khai báo! ","")))</f>
        <v/>
      </c>
      <c r="M1358" s="117">
        <f>IF($H1358="","",IF(AND(OR(LEFT($F1358,3)="111",LEFT($F1358,3)="112",LEFT($F1358,3)="113"),OR(LEFT($G1358,3)="111",LEFT($G1358,3)="112",LEFT($G1358,3)="113")),"NB",IF(OR(LEFT($F1358,3)="111",LEFT($F1358,3)="112",LEFT($F1358,3)="113"),"THU",IF(OR(LEFT($G1358,3)="111",LEFT($G1358,3)="112",LEFT($G1358,3)="113"),"CHI",""))))</f>
        <v/>
      </c>
      <c r="N1358" s="117">
        <f>IF($M1358="THU",$G1358,IF($M1358="CHI",$F1358,""))</f>
        <v/>
      </c>
      <c r="O1358" s="117">
        <f>IF(OR($M1358="",$M1358="NB"),"",IF($J1358&lt;&gt;"",TEXT($J1358,"00"),IFERROR(VLOOKUP(LEFT($N1358,4),LCTT_MAP!$A$7:$C$66,IF($M1358="THU",2,3),FALSE()),IFERROR(VLOOKUP(LEFT($N1358,3),LCTT_MAP!$A$7:$C$66,IF($M1358="THU",2,3),FALSE()),IFERROR(VLOOKUP(LEFT($N1358,2),LCTT_MAP!$A$7:$C$66,IF($M1358="THU",2,3),FALSE()),IFERROR(VLOOKUP(LEFT($N1358,1),LCTT_MAP!$A$7:$C$66,IF($M1358="THU",2,3),FALSE()),IF($M1358="THU","06","07")))))))</f>
        <v/>
      </c>
      <c r="P1358" s="117">
        <f>P1357+IF(AND($H1358&lt;&gt;"",OR(LEFT($F1358,LEN(SC_TK))=SC_TK,LEFT($G1358,LEN(SC_TK))=SC_TK)),1,0)</f>
        <v/>
      </c>
    </row>
    <row r="1359" ht="15" customHeight="1" s="78">
      <c r="A1359" s="95">
        <f>IF($H1359="","",ROW()-6)</f>
        <v/>
      </c>
      <c r="B1359" s="114" t="n"/>
      <c r="C1359" s="102" t="n"/>
      <c r="D1359" s="114" t="n"/>
      <c r="E1359" s="103" t="n"/>
      <c r="F1359" s="102" t="n"/>
      <c r="G1359" s="102" t="n"/>
      <c r="H1359" s="115" t="n"/>
      <c r="I1359" s="102" t="n"/>
      <c r="J1359" s="102" t="n"/>
      <c r="K1359" s="103" t="n"/>
      <c r="L1359" s="116">
        <f>IF($H1359="","",TRIM(IF(COUNTIF(DMTK!$A$7:$A$250,$F1359)=0,"TK Nợ sai! ","")&amp;IF(COUNTIF(DMTK!$A$7:$A$250,$G1359)=0,"TK Có sai! ","")&amp;IF(N($H1359)&lt;=0,"Tiền phải &gt; 0! ","")&amp;IF($B1359="","Thiếu ngày! ","")&amp;IF(AND(OR(LEFT($F1359,3)="131",LEFT($G1359,3)="131",LEFT($F1359,3)="331",LEFT($G1359,3)="331"),$I1359=""),"Thiếu Mã ĐT! ","")&amp;IF(AND($I1359&lt;&gt;"",COUNTIF(DM_DT!$A$7:$A$306,$I1359)=0),"Mã ĐT chưa khai báo! ","")))</f>
        <v/>
      </c>
      <c r="M1359" s="117">
        <f>IF($H1359="","",IF(AND(OR(LEFT($F1359,3)="111",LEFT($F1359,3)="112",LEFT($F1359,3)="113"),OR(LEFT($G1359,3)="111",LEFT($G1359,3)="112",LEFT($G1359,3)="113")),"NB",IF(OR(LEFT($F1359,3)="111",LEFT($F1359,3)="112",LEFT($F1359,3)="113"),"THU",IF(OR(LEFT($G1359,3)="111",LEFT($G1359,3)="112",LEFT($G1359,3)="113"),"CHI",""))))</f>
        <v/>
      </c>
      <c r="N1359" s="117">
        <f>IF($M1359="THU",$G1359,IF($M1359="CHI",$F1359,""))</f>
        <v/>
      </c>
      <c r="O1359" s="117">
        <f>IF(OR($M1359="",$M1359="NB"),"",IF($J1359&lt;&gt;"",TEXT($J1359,"00"),IFERROR(VLOOKUP(LEFT($N1359,4),LCTT_MAP!$A$7:$C$66,IF($M1359="THU",2,3),FALSE()),IFERROR(VLOOKUP(LEFT($N1359,3),LCTT_MAP!$A$7:$C$66,IF($M1359="THU",2,3),FALSE()),IFERROR(VLOOKUP(LEFT($N1359,2),LCTT_MAP!$A$7:$C$66,IF($M1359="THU",2,3),FALSE()),IFERROR(VLOOKUP(LEFT($N1359,1),LCTT_MAP!$A$7:$C$66,IF($M1359="THU",2,3),FALSE()),IF($M1359="THU","06","07")))))))</f>
        <v/>
      </c>
      <c r="P1359" s="117">
        <f>P1358+IF(AND($H1359&lt;&gt;"",OR(LEFT($F1359,LEN(SC_TK))=SC_TK,LEFT($G1359,LEN(SC_TK))=SC_TK)),1,0)</f>
        <v/>
      </c>
    </row>
    <row r="1360" ht="15" customHeight="1" s="78">
      <c r="A1360" s="95">
        <f>IF($H1360="","",ROW()-6)</f>
        <v/>
      </c>
      <c r="B1360" s="114" t="n"/>
      <c r="C1360" s="102" t="n"/>
      <c r="D1360" s="114" t="n"/>
      <c r="E1360" s="103" t="n"/>
      <c r="F1360" s="102" t="n"/>
      <c r="G1360" s="102" t="n"/>
      <c r="H1360" s="115" t="n"/>
      <c r="I1360" s="102" t="n"/>
      <c r="J1360" s="102" t="n"/>
      <c r="K1360" s="103" t="n"/>
      <c r="L1360" s="116">
        <f>IF($H1360="","",TRIM(IF(COUNTIF(DMTK!$A$7:$A$250,$F1360)=0,"TK Nợ sai! ","")&amp;IF(COUNTIF(DMTK!$A$7:$A$250,$G1360)=0,"TK Có sai! ","")&amp;IF(N($H1360)&lt;=0,"Tiền phải &gt; 0! ","")&amp;IF($B1360="","Thiếu ngày! ","")&amp;IF(AND(OR(LEFT($F1360,3)="131",LEFT($G1360,3)="131",LEFT($F1360,3)="331",LEFT($G1360,3)="331"),$I1360=""),"Thiếu Mã ĐT! ","")&amp;IF(AND($I1360&lt;&gt;"",COUNTIF(DM_DT!$A$7:$A$306,$I1360)=0),"Mã ĐT chưa khai báo! ","")))</f>
        <v/>
      </c>
      <c r="M1360" s="117">
        <f>IF($H1360="","",IF(AND(OR(LEFT($F1360,3)="111",LEFT($F1360,3)="112",LEFT($F1360,3)="113"),OR(LEFT($G1360,3)="111",LEFT($G1360,3)="112",LEFT($G1360,3)="113")),"NB",IF(OR(LEFT($F1360,3)="111",LEFT($F1360,3)="112",LEFT($F1360,3)="113"),"THU",IF(OR(LEFT($G1360,3)="111",LEFT($G1360,3)="112",LEFT($G1360,3)="113"),"CHI",""))))</f>
        <v/>
      </c>
      <c r="N1360" s="117">
        <f>IF($M1360="THU",$G1360,IF($M1360="CHI",$F1360,""))</f>
        <v/>
      </c>
      <c r="O1360" s="117">
        <f>IF(OR($M1360="",$M1360="NB"),"",IF($J1360&lt;&gt;"",TEXT($J1360,"00"),IFERROR(VLOOKUP(LEFT($N1360,4),LCTT_MAP!$A$7:$C$66,IF($M1360="THU",2,3),FALSE()),IFERROR(VLOOKUP(LEFT($N1360,3),LCTT_MAP!$A$7:$C$66,IF($M1360="THU",2,3),FALSE()),IFERROR(VLOOKUP(LEFT($N1360,2),LCTT_MAP!$A$7:$C$66,IF($M1360="THU",2,3),FALSE()),IFERROR(VLOOKUP(LEFT($N1360,1),LCTT_MAP!$A$7:$C$66,IF($M1360="THU",2,3),FALSE()),IF($M1360="THU","06","07")))))))</f>
        <v/>
      </c>
      <c r="P1360" s="117">
        <f>P1359+IF(AND($H1360&lt;&gt;"",OR(LEFT($F1360,LEN(SC_TK))=SC_TK,LEFT($G1360,LEN(SC_TK))=SC_TK)),1,0)</f>
        <v/>
      </c>
    </row>
    <row r="1361" ht="15" customHeight="1" s="78">
      <c r="A1361" s="95">
        <f>IF($H1361="","",ROW()-6)</f>
        <v/>
      </c>
      <c r="B1361" s="114" t="n"/>
      <c r="C1361" s="102" t="n"/>
      <c r="D1361" s="114" t="n"/>
      <c r="E1361" s="103" t="n"/>
      <c r="F1361" s="102" t="n"/>
      <c r="G1361" s="102" t="n"/>
      <c r="H1361" s="115" t="n"/>
      <c r="I1361" s="102" t="n"/>
      <c r="J1361" s="102" t="n"/>
      <c r="K1361" s="103" t="n"/>
      <c r="L1361" s="116">
        <f>IF($H1361="","",TRIM(IF(COUNTIF(DMTK!$A$7:$A$250,$F1361)=0,"TK Nợ sai! ","")&amp;IF(COUNTIF(DMTK!$A$7:$A$250,$G1361)=0,"TK Có sai! ","")&amp;IF(N($H1361)&lt;=0,"Tiền phải &gt; 0! ","")&amp;IF($B1361="","Thiếu ngày! ","")&amp;IF(AND(OR(LEFT($F1361,3)="131",LEFT($G1361,3)="131",LEFT($F1361,3)="331",LEFT($G1361,3)="331"),$I1361=""),"Thiếu Mã ĐT! ","")&amp;IF(AND($I1361&lt;&gt;"",COUNTIF(DM_DT!$A$7:$A$306,$I1361)=0),"Mã ĐT chưa khai báo! ","")))</f>
        <v/>
      </c>
      <c r="M1361" s="117">
        <f>IF($H1361="","",IF(AND(OR(LEFT($F1361,3)="111",LEFT($F1361,3)="112",LEFT($F1361,3)="113"),OR(LEFT($G1361,3)="111",LEFT($G1361,3)="112",LEFT($G1361,3)="113")),"NB",IF(OR(LEFT($F1361,3)="111",LEFT($F1361,3)="112",LEFT($F1361,3)="113"),"THU",IF(OR(LEFT($G1361,3)="111",LEFT($G1361,3)="112",LEFT($G1361,3)="113"),"CHI",""))))</f>
        <v/>
      </c>
      <c r="N1361" s="117">
        <f>IF($M1361="THU",$G1361,IF($M1361="CHI",$F1361,""))</f>
        <v/>
      </c>
      <c r="O1361" s="117">
        <f>IF(OR($M1361="",$M1361="NB"),"",IF($J1361&lt;&gt;"",TEXT($J1361,"00"),IFERROR(VLOOKUP(LEFT($N1361,4),LCTT_MAP!$A$7:$C$66,IF($M1361="THU",2,3),FALSE()),IFERROR(VLOOKUP(LEFT($N1361,3),LCTT_MAP!$A$7:$C$66,IF($M1361="THU",2,3),FALSE()),IFERROR(VLOOKUP(LEFT($N1361,2),LCTT_MAP!$A$7:$C$66,IF($M1361="THU",2,3),FALSE()),IFERROR(VLOOKUP(LEFT($N1361,1),LCTT_MAP!$A$7:$C$66,IF($M1361="THU",2,3),FALSE()),IF($M1361="THU","06","07")))))))</f>
        <v/>
      </c>
      <c r="P1361" s="117">
        <f>P1360+IF(AND($H1361&lt;&gt;"",OR(LEFT($F1361,LEN(SC_TK))=SC_TK,LEFT($G1361,LEN(SC_TK))=SC_TK)),1,0)</f>
        <v/>
      </c>
    </row>
    <row r="1362" ht="15" customHeight="1" s="78">
      <c r="A1362" s="95">
        <f>IF($H1362="","",ROW()-6)</f>
        <v/>
      </c>
      <c r="B1362" s="114" t="n"/>
      <c r="C1362" s="102" t="n"/>
      <c r="D1362" s="114" t="n"/>
      <c r="E1362" s="103" t="n"/>
      <c r="F1362" s="102" t="n"/>
      <c r="G1362" s="102" t="n"/>
      <c r="H1362" s="115" t="n"/>
      <c r="I1362" s="102" t="n"/>
      <c r="J1362" s="102" t="n"/>
      <c r="K1362" s="103" t="n"/>
      <c r="L1362" s="116">
        <f>IF($H1362="","",TRIM(IF(COUNTIF(DMTK!$A$7:$A$250,$F1362)=0,"TK Nợ sai! ","")&amp;IF(COUNTIF(DMTK!$A$7:$A$250,$G1362)=0,"TK Có sai! ","")&amp;IF(N($H1362)&lt;=0,"Tiền phải &gt; 0! ","")&amp;IF($B1362="","Thiếu ngày! ","")&amp;IF(AND(OR(LEFT($F1362,3)="131",LEFT($G1362,3)="131",LEFT($F1362,3)="331",LEFT($G1362,3)="331"),$I1362=""),"Thiếu Mã ĐT! ","")&amp;IF(AND($I1362&lt;&gt;"",COUNTIF(DM_DT!$A$7:$A$306,$I1362)=0),"Mã ĐT chưa khai báo! ","")))</f>
        <v/>
      </c>
      <c r="M1362" s="117">
        <f>IF($H1362="","",IF(AND(OR(LEFT($F1362,3)="111",LEFT($F1362,3)="112",LEFT($F1362,3)="113"),OR(LEFT($G1362,3)="111",LEFT($G1362,3)="112",LEFT($G1362,3)="113")),"NB",IF(OR(LEFT($F1362,3)="111",LEFT($F1362,3)="112",LEFT($F1362,3)="113"),"THU",IF(OR(LEFT($G1362,3)="111",LEFT($G1362,3)="112",LEFT($G1362,3)="113"),"CHI",""))))</f>
        <v/>
      </c>
      <c r="N1362" s="117">
        <f>IF($M1362="THU",$G1362,IF($M1362="CHI",$F1362,""))</f>
        <v/>
      </c>
      <c r="O1362" s="117">
        <f>IF(OR($M1362="",$M1362="NB"),"",IF($J1362&lt;&gt;"",TEXT($J1362,"00"),IFERROR(VLOOKUP(LEFT($N1362,4),LCTT_MAP!$A$7:$C$66,IF($M1362="THU",2,3),FALSE()),IFERROR(VLOOKUP(LEFT($N1362,3),LCTT_MAP!$A$7:$C$66,IF($M1362="THU",2,3),FALSE()),IFERROR(VLOOKUP(LEFT($N1362,2),LCTT_MAP!$A$7:$C$66,IF($M1362="THU",2,3),FALSE()),IFERROR(VLOOKUP(LEFT($N1362,1),LCTT_MAP!$A$7:$C$66,IF($M1362="THU",2,3),FALSE()),IF($M1362="THU","06","07")))))))</f>
        <v/>
      </c>
      <c r="P1362" s="117">
        <f>P1361+IF(AND($H1362&lt;&gt;"",OR(LEFT($F1362,LEN(SC_TK))=SC_TK,LEFT($G1362,LEN(SC_TK))=SC_TK)),1,0)</f>
        <v/>
      </c>
    </row>
    <row r="1363" ht="15" customHeight="1" s="78">
      <c r="A1363" s="95">
        <f>IF($H1363="","",ROW()-6)</f>
        <v/>
      </c>
      <c r="B1363" s="114" t="n"/>
      <c r="C1363" s="102" t="n"/>
      <c r="D1363" s="114" t="n"/>
      <c r="E1363" s="103" t="n"/>
      <c r="F1363" s="102" t="n"/>
      <c r="G1363" s="102" t="n"/>
      <c r="H1363" s="115" t="n"/>
      <c r="I1363" s="102" t="n"/>
      <c r="J1363" s="102" t="n"/>
      <c r="K1363" s="103" t="n"/>
      <c r="L1363" s="116">
        <f>IF($H1363="","",TRIM(IF(COUNTIF(DMTK!$A$7:$A$250,$F1363)=0,"TK Nợ sai! ","")&amp;IF(COUNTIF(DMTK!$A$7:$A$250,$G1363)=0,"TK Có sai! ","")&amp;IF(N($H1363)&lt;=0,"Tiền phải &gt; 0! ","")&amp;IF($B1363="","Thiếu ngày! ","")&amp;IF(AND(OR(LEFT($F1363,3)="131",LEFT($G1363,3)="131",LEFT($F1363,3)="331",LEFT($G1363,3)="331"),$I1363=""),"Thiếu Mã ĐT! ","")&amp;IF(AND($I1363&lt;&gt;"",COUNTIF(DM_DT!$A$7:$A$306,$I1363)=0),"Mã ĐT chưa khai báo! ","")))</f>
        <v/>
      </c>
      <c r="M1363" s="117">
        <f>IF($H1363="","",IF(AND(OR(LEFT($F1363,3)="111",LEFT($F1363,3)="112",LEFT($F1363,3)="113"),OR(LEFT($G1363,3)="111",LEFT($G1363,3)="112",LEFT($G1363,3)="113")),"NB",IF(OR(LEFT($F1363,3)="111",LEFT($F1363,3)="112",LEFT($F1363,3)="113"),"THU",IF(OR(LEFT($G1363,3)="111",LEFT($G1363,3)="112",LEFT($G1363,3)="113"),"CHI",""))))</f>
        <v/>
      </c>
      <c r="N1363" s="117">
        <f>IF($M1363="THU",$G1363,IF($M1363="CHI",$F1363,""))</f>
        <v/>
      </c>
      <c r="O1363" s="117">
        <f>IF(OR($M1363="",$M1363="NB"),"",IF($J1363&lt;&gt;"",TEXT($J1363,"00"),IFERROR(VLOOKUP(LEFT($N1363,4),LCTT_MAP!$A$7:$C$66,IF($M1363="THU",2,3),FALSE()),IFERROR(VLOOKUP(LEFT($N1363,3),LCTT_MAP!$A$7:$C$66,IF($M1363="THU",2,3),FALSE()),IFERROR(VLOOKUP(LEFT($N1363,2),LCTT_MAP!$A$7:$C$66,IF($M1363="THU",2,3),FALSE()),IFERROR(VLOOKUP(LEFT($N1363,1),LCTT_MAP!$A$7:$C$66,IF($M1363="THU",2,3),FALSE()),IF($M1363="THU","06","07")))))))</f>
        <v/>
      </c>
      <c r="P1363" s="117">
        <f>P1362+IF(AND($H1363&lt;&gt;"",OR(LEFT($F1363,LEN(SC_TK))=SC_TK,LEFT($G1363,LEN(SC_TK))=SC_TK)),1,0)</f>
        <v/>
      </c>
    </row>
    <row r="1364" ht="15" customHeight="1" s="78">
      <c r="A1364" s="95">
        <f>IF($H1364="","",ROW()-6)</f>
        <v/>
      </c>
      <c r="B1364" s="114" t="n"/>
      <c r="C1364" s="102" t="n"/>
      <c r="D1364" s="114" t="n"/>
      <c r="E1364" s="103" t="n"/>
      <c r="F1364" s="102" t="n"/>
      <c r="G1364" s="102" t="n"/>
      <c r="H1364" s="115" t="n"/>
      <c r="I1364" s="102" t="n"/>
      <c r="J1364" s="102" t="n"/>
      <c r="K1364" s="103" t="n"/>
      <c r="L1364" s="116">
        <f>IF($H1364="","",TRIM(IF(COUNTIF(DMTK!$A$7:$A$250,$F1364)=0,"TK Nợ sai! ","")&amp;IF(COUNTIF(DMTK!$A$7:$A$250,$G1364)=0,"TK Có sai! ","")&amp;IF(N($H1364)&lt;=0,"Tiền phải &gt; 0! ","")&amp;IF($B1364="","Thiếu ngày! ","")&amp;IF(AND(OR(LEFT($F1364,3)="131",LEFT($G1364,3)="131",LEFT($F1364,3)="331",LEFT($G1364,3)="331"),$I1364=""),"Thiếu Mã ĐT! ","")&amp;IF(AND($I1364&lt;&gt;"",COUNTIF(DM_DT!$A$7:$A$306,$I1364)=0),"Mã ĐT chưa khai báo! ","")))</f>
        <v/>
      </c>
      <c r="M1364" s="117">
        <f>IF($H1364="","",IF(AND(OR(LEFT($F1364,3)="111",LEFT($F1364,3)="112",LEFT($F1364,3)="113"),OR(LEFT($G1364,3)="111",LEFT($G1364,3)="112",LEFT($G1364,3)="113")),"NB",IF(OR(LEFT($F1364,3)="111",LEFT($F1364,3)="112",LEFT($F1364,3)="113"),"THU",IF(OR(LEFT($G1364,3)="111",LEFT($G1364,3)="112",LEFT($G1364,3)="113"),"CHI",""))))</f>
        <v/>
      </c>
      <c r="N1364" s="117">
        <f>IF($M1364="THU",$G1364,IF($M1364="CHI",$F1364,""))</f>
        <v/>
      </c>
      <c r="O1364" s="117">
        <f>IF(OR($M1364="",$M1364="NB"),"",IF($J1364&lt;&gt;"",TEXT($J1364,"00"),IFERROR(VLOOKUP(LEFT($N1364,4),LCTT_MAP!$A$7:$C$66,IF($M1364="THU",2,3),FALSE()),IFERROR(VLOOKUP(LEFT($N1364,3),LCTT_MAP!$A$7:$C$66,IF($M1364="THU",2,3),FALSE()),IFERROR(VLOOKUP(LEFT($N1364,2),LCTT_MAP!$A$7:$C$66,IF($M1364="THU",2,3),FALSE()),IFERROR(VLOOKUP(LEFT($N1364,1),LCTT_MAP!$A$7:$C$66,IF($M1364="THU",2,3),FALSE()),IF($M1364="THU","06","07")))))))</f>
        <v/>
      </c>
      <c r="P1364" s="117">
        <f>P1363+IF(AND($H1364&lt;&gt;"",OR(LEFT($F1364,LEN(SC_TK))=SC_TK,LEFT($G1364,LEN(SC_TK))=SC_TK)),1,0)</f>
        <v/>
      </c>
    </row>
    <row r="1365" ht="15" customHeight="1" s="78">
      <c r="A1365" s="95">
        <f>IF($H1365="","",ROW()-6)</f>
        <v/>
      </c>
      <c r="B1365" s="114" t="n"/>
      <c r="C1365" s="102" t="n"/>
      <c r="D1365" s="114" t="n"/>
      <c r="E1365" s="103" t="n"/>
      <c r="F1365" s="102" t="n"/>
      <c r="G1365" s="102" t="n"/>
      <c r="H1365" s="115" t="n"/>
      <c r="I1365" s="102" t="n"/>
      <c r="J1365" s="102" t="n"/>
      <c r="K1365" s="103" t="n"/>
      <c r="L1365" s="116">
        <f>IF($H1365="","",TRIM(IF(COUNTIF(DMTK!$A$7:$A$250,$F1365)=0,"TK Nợ sai! ","")&amp;IF(COUNTIF(DMTK!$A$7:$A$250,$G1365)=0,"TK Có sai! ","")&amp;IF(N($H1365)&lt;=0,"Tiền phải &gt; 0! ","")&amp;IF($B1365="","Thiếu ngày! ","")&amp;IF(AND(OR(LEFT($F1365,3)="131",LEFT($G1365,3)="131",LEFT($F1365,3)="331",LEFT($G1365,3)="331"),$I1365=""),"Thiếu Mã ĐT! ","")&amp;IF(AND($I1365&lt;&gt;"",COUNTIF(DM_DT!$A$7:$A$306,$I1365)=0),"Mã ĐT chưa khai báo! ","")))</f>
        <v/>
      </c>
      <c r="M1365" s="117">
        <f>IF($H1365="","",IF(AND(OR(LEFT($F1365,3)="111",LEFT($F1365,3)="112",LEFT($F1365,3)="113"),OR(LEFT($G1365,3)="111",LEFT($G1365,3)="112",LEFT($G1365,3)="113")),"NB",IF(OR(LEFT($F1365,3)="111",LEFT($F1365,3)="112",LEFT($F1365,3)="113"),"THU",IF(OR(LEFT($G1365,3)="111",LEFT($G1365,3)="112",LEFT($G1365,3)="113"),"CHI",""))))</f>
        <v/>
      </c>
      <c r="N1365" s="117">
        <f>IF($M1365="THU",$G1365,IF($M1365="CHI",$F1365,""))</f>
        <v/>
      </c>
      <c r="O1365" s="117">
        <f>IF(OR($M1365="",$M1365="NB"),"",IF($J1365&lt;&gt;"",TEXT($J1365,"00"),IFERROR(VLOOKUP(LEFT($N1365,4),LCTT_MAP!$A$7:$C$66,IF($M1365="THU",2,3),FALSE()),IFERROR(VLOOKUP(LEFT($N1365,3),LCTT_MAP!$A$7:$C$66,IF($M1365="THU",2,3),FALSE()),IFERROR(VLOOKUP(LEFT($N1365,2),LCTT_MAP!$A$7:$C$66,IF($M1365="THU",2,3),FALSE()),IFERROR(VLOOKUP(LEFT($N1365,1),LCTT_MAP!$A$7:$C$66,IF($M1365="THU",2,3),FALSE()),IF($M1365="THU","06","07")))))))</f>
        <v/>
      </c>
      <c r="P1365" s="117">
        <f>P1364+IF(AND($H1365&lt;&gt;"",OR(LEFT($F1365,LEN(SC_TK))=SC_TK,LEFT($G1365,LEN(SC_TK))=SC_TK)),1,0)</f>
        <v/>
      </c>
    </row>
    <row r="1366" ht="15" customHeight="1" s="78">
      <c r="A1366" s="95">
        <f>IF($H1366="","",ROW()-6)</f>
        <v/>
      </c>
      <c r="B1366" s="114" t="n"/>
      <c r="C1366" s="102" t="n"/>
      <c r="D1366" s="114" t="n"/>
      <c r="E1366" s="103" t="n"/>
      <c r="F1366" s="102" t="n"/>
      <c r="G1366" s="102" t="n"/>
      <c r="H1366" s="115" t="n"/>
      <c r="I1366" s="102" t="n"/>
      <c r="J1366" s="102" t="n"/>
      <c r="K1366" s="103" t="n"/>
      <c r="L1366" s="116">
        <f>IF($H1366="","",TRIM(IF(COUNTIF(DMTK!$A$7:$A$250,$F1366)=0,"TK Nợ sai! ","")&amp;IF(COUNTIF(DMTK!$A$7:$A$250,$G1366)=0,"TK Có sai! ","")&amp;IF(N($H1366)&lt;=0,"Tiền phải &gt; 0! ","")&amp;IF($B1366="","Thiếu ngày! ","")&amp;IF(AND(OR(LEFT($F1366,3)="131",LEFT($G1366,3)="131",LEFT($F1366,3)="331",LEFT($G1366,3)="331"),$I1366=""),"Thiếu Mã ĐT! ","")&amp;IF(AND($I1366&lt;&gt;"",COUNTIF(DM_DT!$A$7:$A$306,$I1366)=0),"Mã ĐT chưa khai báo! ","")))</f>
        <v/>
      </c>
      <c r="M1366" s="117">
        <f>IF($H1366="","",IF(AND(OR(LEFT($F1366,3)="111",LEFT($F1366,3)="112",LEFT($F1366,3)="113"),OR(LEFT($G1366,3)="111",LEFT($G1366,3)="112",LEFT($G1366,3)="113")),"NB",IF(OR(LEFT($F1366,3)="111",LEFT($F1366,3)="112",LEFT($F1366,3)="113"),"THU",IF(OR(LEFT($G1366,3)="111",LEFT($G1366,3)="112",LEFT($G1366,3)="113"),"CHI",""))))</f>
        <v/>
      </c>
      <c r="N1366" s="117">
        <f>IF($M1366="THU",$G1366,IF($M1366="CHI",$F1366,""))</f>
        <v/>
      </c>
      <c r="O1366" s="117">
        <f>IF(OR($M1366="",$M1366="NB"),"",IF($J1366&lt;&gt;"",TEXT($J1366,"00"),IFERROR(VLOOKUP(LEFT($N1366,4),LCTT_MAP!$A$7:$C$66,IF($M1366="THU",2,3),FALSE()),IFERROR(VLOOKUP(LEFT($N1366,3),LCTT_MAP!$A$7:$C$66,IF($M1366="THU",2,3),FALSE()),IFERROR(VLOOKUP(LEFT($N1366,2),LCTT_MAP!$A$7:$C$66,IF($M1366="THU",2,3),FALSE()),IFERROR(VLOOKUP(LEFT($N1366,1),LCTT_MAP!$A$7:$C$66,IF($M1366="THU",2,3),FALSE()),IF($M1366="THU","06","07")))))))</f>
        <v/>
      </c>
      <c r="P1366" s="117">
        <f>P1365+IF(AND($H1366&lt;&gt;"",OR(LEFT($F1366,LEN(SC_TK))=SC_TK,LEFT($G1366,LEN(SC_TK))=SC_TK)),1,0)</f>
        <v/>
      </c>
    </row>
    <row r="1367" ht="15" customHeight="1" s="78">
      <c r="A1367" s="95">
        <f>IF($H1367="","",ROW()-6)</f>
        <v/>
      </c>
      <c r="B1367" s="114" t="n"/>
      <c r="C1367" s="102" t="n"/>
      <c r="D1367" s="114" t="n"/>
      <c r="E1367" s="103" t="n"/>
      <c r="F1367" s="102" t="n"/>
      <c r="G1367" s="102" t="n"/>
      <c r="H1367" s="115" t="n"/>
      <c r="I1367" s="102" t="n"/>
      <c r="J1367" s="102" t="n"/>
      <c r="K1367" s="103" t="n"/>
      <c r="L1367" s="116">
        <f>IF($H1367="","",TRIM(IF(COUNTIF(DMTK!$A$7:$A$250,$F1367)=0,"TK Nợ sai! ","")&amp;IF(COUNTIF(DMTK!$A$7:$A$250,$G1367)=0,"TK Có sai! ","")&amp;IF(N($H1367)&lt;=0,"Tiền phải &gt; 0! ","")&amp;IF($B1367="","Thiếu ngày! ","")&amp;IF(AND(OR(LEFT($F1367,3)="131",LEFT($G1367,3)="131",LEFT($F1367,3)="331",LEFT($G1367,3)="331"),$I1367=""),"Thiếu Mã ĐT! ","")&amp;IF(AND($I1367&lt;&gt;"",COUNTIF(DM_DT!$A$7:$A$306,$I1367)=0),"Mã ĐT chưa khai báo! ","")))</f>
        <v/>
      </c>
      <c r="M1367" s="117">
        <f>IF($H1367="","",IF(AND(OR(LEFT($F1367,3)="111",LEFT($F1367,3)="112",LEFT($F1367,3)="113"),OR(LEFT($G1367,3)="111",LEFT($G1367,3)="112",LEFT($G1367,3)="113")),"NB",IF(OR(LEFT($F1367,3)="111",LEFT($F1367,3)="112",LEFT($F1367,3)="113"),"THU",IF(OR(LEFT($G1367,3)="111",LEFT($G1367,3)="112",LEFT($G1367,3)="113"),"CHI",""))))</f>
        <v/>
      </c>
      <c r="N1367" s="117">
        <f>IF($M1367="THU",$G1367,IF($M1367="CHI",$F1367,""))</f>
        <v/>
      </c>
      <c r="O1367" s="117">
        <f>IF(OR($M1367="",$M1367="NB"),"",IF($J1367&lt;&gt;"",TEXT($J1367,"00"),IFERROR(VLOOKUP(LEFT($N1367,4),LCTT_MAP!$A$7:$C$66,IF($M1367="THU",2,3),FALSE()),IFERROR(VLOOKUP(LEFT($N1367,3),LCTT_MAP!$A$7:$C$66,IF($M1367="THU",2,3),FALSE()),IFERROR(VLOOKUP(LEFT($N1367,2),LCTT_MAP!$A$7:$C$66,IF($M1367="THU",2,3),FALSE()),IFERROR(VLOOKUP(LEFT($N1367,1),LCTT_MAP!$A$7:$C$66,IF($M1367="THU",2,3),FALSE()),IF($M1367="THU","06","07")))))))</f>
        <v/>
      </c>
      <c r="P1367" s="117">
        <f>P1366+IF(AND($H1367&lt;&gt;"",OR(LEFT($F1367,LEN(SC_TK))=SC_TK,LEFT($G1367,LEN(SC_TK))=SC_TK)),1,0)</f>
        <v/>
      </c>
    </row>
    <row r="1368" ht="15" customHeight="1" s="78">
      <c r="A1368" s="95">
        <f>IF($H1368="","",ROW()-6)</f>
        <v/>
      </c>
      <c r="B1368" s="114" t="n"/>
      <c r="C1368" s="102" t="n"/>
      <c r="D1368" s="114" t="n"/>
      <c r="E1368" s="103" t="n"/>
      <c r="F1368" s="102" t="n"/>
      <c r="G1368" s="102" t="n"/>
      <c r="H1368" s="115" t="n"/>
      <c r="I1368" s="102" t="n"/>
      <c r="J1368" s="102" t="n"/>
      <c r="K1368" s="103" t="n"/>
      <c r="L1368" s="116">
        <f>IF($H1368="","",TRIM(IF(COUNTIF(DMTK!$A$7:$A$250,$F1368)=0,"TK Nợ sai! ","")&amp;IF(COUNTIF(DMTK!$A$7:$A$250,$G1368)=0,"TK Có sai! ","")&amp;IF(N($H1368)&lt;=0,"Tiền phải &gt; 0! ","")&amp;IF($B1368="","Thiếu ngày! ","")&amp;IF(AND(OR(LEFT($F1368,3)="131",LEFT($G1368,3)="131",LEFT($F1368,3)="331",LEFT($G1368,3)="331"),$I1368=""),"Thiếu Mã ĐT! ","")&amp;IF(AND($I1368&lt;&gt;"",COUNTIF(DM_DT!$A$7:$A$306,$I1368)=0),"Mã ĐT chưa khai báo! ","")))</f>
        <v/>
      </c>
      <c r="M1368" s="117">
        <f>IF($H1368="","",IF(AND(OR(LEFT($F1368,3)="111",LEFT($F1368,3)="112",LEFT($F1368,3)="113"),OR(LEFT($G1368,3)="111",LEFT($G1368,3)="112",LEFT($G1368,3)="113")),"NB",IF(OR(LEFT($F1368,3)="111",LEFT($F1368,3)="112",LEFT($F1368,3)="113"),"THU",IF(OR(LEFT($G1368,3)="111",LEFT($G1368,3)="112",LEFT($G1368,3)="113"),"CHI",""))))</f>
        <v/>
      </c>
      <c r="N1368" s="117">
        <f>IF($M1368="THU",$G1368,IF($M1368="CHI",$F1368,""))</f>
        <v/>
      </c>
      <c r="O1368" s="117">
        <f>IF(OR($M1368="",$M1368="NB"),"",IF($J1368&lt;&gt;"",TEXT($J1368,"00"),IFERROR(VLOOKUP(LEFT($N1368,4),LCTT_MAP!$A$7:$C$66,IF($M1368="THU",2,3),FALSE()),IFERROR(VLOOKUP(LEFT($N1368,3),LCTT_MAP!$A$7:$C$66,IF($M1368="THU",2,3),FALSE()),IFERROR(VLOOKUP(LEFT($N1368,2),LCTT_MAP!$A$7:$C$66,IF($M1368="THU",2,3),FALSE()),IFERROR(VLOOKUP(LEFT($N1368,1),LCTT_MAP!$A$7:$C$66,IF($M1368="THU",2,3),FALSE()),IF($M1368="THU","06","07")))))))</f>
        <v/>
      </c>
      <c r="P1368" s="117">
        <f>P1367+IF(AND($H1368&lt;&gt;"",OR(LEFT($F1368,LEN(SC_TK))=SC_TK,LEFT($G1368,LEN(SC_TK))=SC_TK)),1,0)</f>
        <v/>
      </c>
    </row>
    <row r="1369" ht="15" customHeight="1" s="78">
      <c r="A1369" s="95">
        <f>IF($H1369="","",ROW()-6)</f>
        <v/>
      </c>
      <c r="B1369" s="114" t="n"/>
      <c r="C1369" s="102" t="n"/>
      <c r="D1369" s="114" t="n"/>
      <c r="E1369" s="103" t="n"/>
      <c r="F1369" s="102" t="n"/>
      <c r="G1369" s="102" t="n"/>
      <c r="H1369" s="115" t="n"/>
      <c r="I1369" s="102" t="n"/>
      <c r="J1369" s="102" t="n"/>
      <c r="K1369" s="103" t="n"/>
      <c r="L1369" s="116">
        <f>IF($H1369="","",TRIM(IF(COUNTIF(DMTK!$A$7:$A$250,$F1369)=0,"TK Nợ sai! ","")&amp;IF(COUNTIF(DMTK!$A$7:$A$250,$G1369)=0,"TK Có sai! ","")&amp;IF(N($H1369)&lt;=0,"Tiền phải &gt; 0! ","")&amp;IF($B1369="","Thiếu ngày! ","")&amp;IF(AND(OR(LEFT($F1369,3)="131",LEFT($G1369,3)="131",LEFT($F1369,3)="331",LEFT($G1369,3)="331"),$I1369=""),"Thiếu Mã ĐT! ","")&amp;IF(AND($I1369&lt;&gt;"",COUNTIF(DM_DT!$A$7:$A$306,$I1369)=0),"Mã ĐT chưa khai báo! ","")))</f>
        <v/>
      </c>
      <c r="M1369" s="117">
        <f>IF($H1369="","",IF(AND(OR(LEFT($F1369,3)="111",LEFT($F1369,3)="112",LEFT($F1369,3)="113"),OR(LEFT($G1369,3)="111",LEFT($G1369,3)="112",LEFT($G1369,3)="113")),"NB",IF(OR(LEFT($F1369,3)="111",LEFT($F1369,3)="112",LEFT($F1369,3)="113"),"THU",IF(OR(LEFT($G1369,3)="111",LEFT($G1369,3)="112",LEFT($G1369,3)="113"),"CHI",""))))</f>
        <v/>
      </c>
      <c r="N1369" s="117">
        <f>IF($M1369="THU",$G1369,IF($M1369="CHI",$F1369,""))</f>
        <v/>
      </c>
      <c r="O1369" s="117">
        <f>IF(OR($M1369="",$M1369="NB"),"",IF($J1369&lt;&gt;"",TEXT($J1369,"00"),IFERROR(VLOOKUP(LEFT($N1369,4),LCTT_MAP!$A$7:$C$66,IF($M1369="THU",2,3),FALSE()),IFERROR(VLOOKUP(LEFT($N1369,3),LCTT_MAP!$A$7:$C$66,IF($M1369="THU",2,3),FALSE()),IFERROR(VLOOKUP(LEFT($N1369,2),LCTT_MAP!$A$7:$C$66,IF($M1369="THU",2,3),FALSE()),IFERROR(VLOOKUP(LEFT($N1369,1),LCTT_MAP!$A$7:$C$66,IF($M1369="THU",2,3),FALSE()),IF($M1369="THU","06","07")))))))</f>
        <v/>
      </c>
      <c r="P1369" s="117">
        <f>P1368+IF(AND($H1369&lt;&gt;"",OR(LEFT($F1369,LEN(SC_TK))=SC_TK,LEFT($G1369,LEN(SC_TK))=SC_TK)),1,0)</f>
        <v/>
      </c>
    </row>
    <row r="1370" ht="15" customHeight="1" s="78">
      <c r="A1370" s="95">
        <f>IF($H1370="","",ROW()-6)</f>
        <v/>
      </c>
      <c r="B1370" s="114" t="n"/>
      <c r="C1370" s="102" t="n"/>
      <c r="D1370" s="114" t="n"/>
      <c r="E1370" s="103" t="n"/>
      <c r="F1370" s="102" t="n"/>
      <c r="G1370" s="102" t="n"/>
      <c r="H1370" s="115" t="n"/>
      <c r="I1370" s="102" t="n"/>
      <c r="J1370" s="102" t="n"/>
      <c r="K1370" s="103" t="n"/>
      <c r="L1370" s="116">
        <f>IF($H1370="","",TRIM(IF(COUNTIF(DMTK!$A$7:$A$250,$F1370)=0,"TK Nợ sai! ","")&amp;IF(COUNTIF(DMTK!$A$7:$A$250,$G1370)=0,"TK Có sai! ","")&amp;IF(N($H1370)&lt;=0,"Tiền phải &gt; 0! ","")&amp;IF($B1370="","Thiếu ngày! ","")&amp;IF(AND(OR(LEFT($F1370,3)="131",LEFT($G1370,3)="131",LEFT($F1370,3)="331",LEFT($G1370,3)="331"),$I1370=""),"Thiếu Mã ĐT! ","")&amp;IF(AND($I1370&lt;&gt;"",COUNTIF(DM_DT!$A$7:$A$306,$I1370)=0),"Mã ĐT chưa khai báo! ","")))</f>
        <v/>
      </c>
      <c r="M1370" s="117">
        <f>IF($H1370="","",IF(AND(OR(LEFT($F1370,3)="111",LEFT($F1370,3)="112",LEFT($F1370,3)="113"),OR(LEFT($G1370,3)="111",LEFT($G1370,3)="112",LEFT($G1370,3)="113")),"NB",IF(OR(LEFT($F1370,3)="111",LEFT($F1370,3)="112",LEFT($F1370,3)="113"),"THU",IF(OR(LEFT($G1370,3)="111",LEFT($G1370,3)="112",LEFT($G1370,3)="113"),"CHI",""))))</f>
        <v/>
      </c>
      <c r="N1370" s="117">
        <f>IF($M1370="THU",$G1370,IF($M1370="CHI",$F1370,""))</f>
        <v/>
      </c>
      <c r="O1370" s="117">
        <f>IF(OR($M1370="",$M1370="NB"),"",IF($J1370&lt;&gt;"",TEXT($J1370,"00"),IFERROR(VLOOKUP(LEFT($N1370,4),LCTT_MAP!$A$7:$C$66,IF($M1370="THU",2,3),FALSE()),IFERROR(VLOOKUP(LEFT($N1370,3),LCTT_MAP!$A$7:$C$66,IF($M1370="THU",2,3),FALSE()),IFERROR(VLOOKUP(LEFT($N1370,2),LCTT_MAP!$A$7:$C$66,IF($M1370="THU",2,3),FALSE()),IFERROR(VLOOKUP(LEFT($N1370,1),LCTT_MAP!$A$7:$C$66,IF($M1370="THU",2,3),FALSE()),IF($M1370="THU","06","07")))))))</f>
        <v/>
      </c>
      <c r="P1370" s="117">
        <f>P1369+IF(AND($H1370&lt;&gt;"",OR(LEFT($F1370,LEN(SC_TK))=SC_TK,LEFT($G1370,LEN(SC_TK))=SC_TK)),1,0)</f>
        <v/>
      </c>
    </row>
    <row r="1371" ht="15" customHeight="1" s="78">
      <c r="A1371" s="95">
        <f>IF($H1371="","",ROW()-6)</f>
        <v/>
      </c>
      <c r="B1371" s="114" t="n"/>
      <c r="C1371" s="102" t="n"/>
      <c r="D1371" s="114" t="n"/>
      <c r="E1371" s="103" t="n"/>
      <c r="F1371" s="102" t="n"/>
      <c r="G1371" s="102" t="n"/>
      <c r="H1371" s="115" t="n"/>
      <c r="I1371" s="102" t="n"/>
      <c r="J1371" s="102" t="n"/>
      <c r="K1371" s="103" t="n"/>
      <c r="L1371" s="116">
        <f>IF($H1371="","",TRIM(IF(COUNTIF(DMTK!$A$7:$A$250,$F1371)=0,"TK Nợ sai! ","")&amp;IF(COUNTIF(DMTK!$A$7:$A$250,$G1371)=0,"TK Có sai! ","")&amp;IF(N($H1371)&lt;=0,"Tiền phải &gt; 0! ","")&amp;IF($B1371="","Thiếu ngày! ","")&amp;IF(AND(OR(LEFT($F1371,3)="131",LEFT($G1371,3)="131",LEFT($F1371,3)="331",LEFT($G1371,3)="331"),$I1371=""),"Thiếu Mã ĐT! ","")&amp;IF(AND($I1371&lt;&gt;"",COUNTIF(DM_DT!$A$7:$A$306,$I1371)=0),"Mã ĐT chưa khai báo! ","")))</f>
        <v/>
      </c>
      <c r="M1371" s="117">
        <f>IF($H1371="","",IF(AND(OR(LEFT($F1371,3)="111",LEFT($F1371,3)="112",LEFT($F1371,3)="113"),OR(LEFT($G1371,3)="111",LEFT($G1371,3)="112",LEFT($G1371,3)="113")),"NB",IF(OR(LEFT($F1371,3)="111",LEFT($F1371,3)="112",LEFT($F1371,3)="113"),"THU",IF(OR(LEFT($G1371,3)="111",LEFT($G1371,3)="112",LEFT($G1371,3)="113"),"CHI",""))))</f>
        <v/>
      </c>
      <c r="N1371" s="117">
        <f>IF($M1371="THU",$G1371,IF($M1371="CHI",$F1371,""))</f>
        <v/>
      </c>
      <c r="O1371" s="117">
        <f>IF(OR($M1371="",$M1371="NB"),"",IF($J1371&lt;&gt;"",TEXT($J1371,"00"),IFERROR(VLOOKUP(LEFT($N1371,4),LCTT_MAP!$A$7:$C$66,IF($M1371="THU",2,3),FALSE()),IFERROR(VLOOKUP(LEFT($N1371,3),LCTT_MAP!$A$7:$C$66,IF($M1371="THU",2,3),FALSE()),IFERROR(VLOOKUP(LEFT($N1371,2),LCTT_MAP!$A$7:$C$66,IF($M1371="THU",2,3),FALSE()),IFERROR(VLOOKUP(LEFT($N1371,1),LCTT_MAP!$A$7:$C$66,IF($M1371="THU",2,3),FALSE()),IF($M1371="THU","06","07")))))))</f>
        <v/>
      </c>
      <c r="P1371" s="117">
        <f>P1370+IF(AND($H1371&lt;&gt;"",OR(LEFT($F1371,LEN(SC_TK))=SC_TK,LEFT($G1371,LEN(SC_TK))=SC_TK)),1,0)</f>
        <v/>
      </c>
    </row>
    <row r="1372" ht="15" customHeight="1" s="78">
      <c r="A1372" s="95">
        <f>IF($H1372="","",ROW()-6)</f>
        <v/>
      </c>
      <c r="B1372" s="114" t="n"/>
      <c r="C1372" s="102" t="n"/>
      <c r="D1372" s="114" t="n"/>
      <c r="E1372" s="103" t="n"/>
      <c r="F1372" s="102" t="n"/>
      <c r="G1372" s="102" t="n"/>
      <c r="H1372" s="115" t="n"/>
      <c r="I1372" s="102" t="n"/>
      <c r="J1372" s="102" t="n"/>
      <c r="K1372" s="103" t="n"/>
      <c r="L1372" s="116">
        <f>IF($H1372="","",TRIM(IF(COUNTIF(DMTK!$A$7:$A$250,$F1372)=0,"TK Nợ sai! ","")&amp;IF(COUNTIF(DMTK!$A$7:$A$250,$G1372)=0,"TK Có sai! ","")&amp;IF(N($H1372)&lt;=0,"Tiền phải &gt; 0! ","")&amp;IF($B1372="","Thiếu ngày! ","")&amp;IF(AND(OR(LEFT($F1372,3)="131",LEFT($G1372,3)="131",LEFT($F1372,3)="331",LEFT($G1372,3)="331"),$I1372=""),"Thiếu Mã ĐT! ","")&amp;IF(AND($I1372&lt;&gt;"",COUNTIF(DM_DT!$A$7:$A$306,$I1372)=0),"Mã ĐT chưa khai báo! ","")))</f>
        <v/>
      </c>
      <c r="M1372" s="117">
        <f>IF($H1372="","",IF(AND(OR(LEFT($F1372,3)="111",LEFT($F1372,3)="112",LEFT($F1372,3)="113"),OR(LEFT($G1372,3)="111",LEFT($G1372,3)="112",LEFT($G1372,3)="113")),"NB",IF(OR(LEFT($F1372,3)="111",LEFT($F1372,3)="112",LEFT($F1372,3)="113"),"THU",IF(OR(LEFT($G1372,3)="111",LEFT($G1372,3)="112",LEFT($G1372,3)="113"),"CHI",""))))</f>
        <v/>
      </c>
      <c r="N1372" s="117">
        <f>IF($M1372="THU",$G1372,IF($M1372="CHI",$F1372,""))</f>
        <v/>
      </c>
      <c r="O1372" s="117">
        <f>IF(OR($M1372="",$M1372="NB"),"",IF($J1372&lt;&gt;"",TEXT($J1372,"00"),IFERROR(VLOOKUP(LEFT($N1372,4),LCTT_MAP!$A$7:$C$66,IF($M1372="THU",2,3),FALSE()),IFERROR(VLOOKUP(LEFT($N1372,3),LCTT_MAP!$A$7:$C$66,IF($M1372="THU",2,3),FALSE()),IFERROR(VLOOKUP(LEFT($N1372,2),LCTT_MAP!$A$7:$C$66,IF($M1372="THU",2,3),FALSE()),IFERROR(VLOOKUP(LEFT($N1372,1),LCTT_MAP!$A$7:$C$66,IF($M1372="THU",2,3),FALSE()),IF($M1372="THU","06","07")))))))</f>
        <v/>
      </c>
      <c r="P1372" s="117">
        <f>P1371+IF(AND($H1372&lt;&gt;"",OR(LEFT($F1372,LEN(SC_TK))=SC_TK,LEFT($G1372,LEN(SC_TK))=SC_TK)),1,0)</f>
        <v/>
      </c>
    </row>
    <row r="1373" ht="15" customHeight="1" s="78">
      <c r="A1373" s="95">
        <f>IF($H1373="","",ROW()-6)</f>
        <v/>
      </c>
      <c r="B1373" s="114" t="n"/>
      <c r="C1373" s="102" t="n"/>
      <c r="D1373" s="114" t="n"/>
      <c r="E1373" s="103" t="n"/>
      <c r="F1373" s="102" t="n"/>
      <c r="G1373" s="102" t="n"/>
      <c r="H1373" s="115" t="n"/>
      <c r="I1373" s="102" t="n"/>
      <c r="J1373" s="102" t="n"/>
      <c r="K1373" s="103" t="n"/>
      <c r="L1373" s="116">
        <f>IF($H1373="","",TRIM(IF(COUNTIF(DMTK!$A$7:$A$250,$F1373)=0,"TK Nợ sai! ","")&amp;IF(COUNTIF(DMTK!$A$7:$A$250,$G1373)=0,"TK Có sai! ","")&amp;IF(N($H1373)&lt;=0,"Tiền phải &gt; 0! ","")&amp;IF($B1373="","Thiếu ngày! ","")&amp;IF(AND(OR(LEFT($F1373,3)="131",LEFT($G1373,3)="131",LEFT($F1373,3)="331",LEFT($G1373,3)="331"),$I1373=""),"Thiếu Mã ĐT! ","")&amp;IF(AND($I1373&lt;&gt;"",COUNTIF(DM_DT!$A$7:$A$306,$I1373)=0),"Mã ĐT chưa khai báo! ","")))</f>
        <v/>
      </c>
      <c r="M1373" s="117">
        <f>IF($H1373="","",IF(AND(OR(LEFT($F1373,3)="111",LEFT($F1373,3)="112",LEFT($F1373,3)="113"),OR(LEFT($G1373,3)="111",LEFT($G1373,3)="112",LEFT($G1373,3)="113")),"NB",IF(OR(LEFT($F1373,3)="111",LEFT($F1373,3)="112",LEFT($F1373,3)="113"),"THU",IF(OR(LEFT($G1373,3)="111",LEFT($G1373,3)="112",LEFT($G1373,3)="113"),"CHI",""))))</f>
        <v/>
      </c>
      <c r="N1373" s="117">
        <f>IF($M1373="THU",$G1373,IF($M1373="CHI",$F1373,""))</f>
        <v/>
      </c>
      <c r="O1373" s="117">
        <f>IF(OR($M1373="",$M1373="NB"),"",IF($J1373&lt;&gt;"",TEXT($J1373,"00"),IFERROR(VLOOKUP(LEFT($N1373,4),LCTT_MAP!$A$7:$C$66,IF($M1373="THU",2,3),FALSE()),IFERROR(VLOOKUP(LEFT($N1373,3),LCTT_MAP!$A$7:$C$66,IF($M1373="THU",2,3),FALSE()),IFERROR(VLOOKUP(LEFT($N1373,2),LCTT_MAP!$A$7:$C$66,IF($M1373="THU",2,3),FALSE()),IFERROR(VLOOKUP(LEFT($N1373,1),LCTT_MAP!$A$7:$C$66,IF($M1373="THU",2,3),FALSE()),IF($M1373="THU","06","07")))))))</f>
        <v/>
      </c>
      <c r="P1373" s="117">
        <f>P1372+IF(AND($H1373&lt;&gt;"",OR(LEFT($F1373,LEN(SC_TK))=SC_TK,LEFT($G1373,LEN(SC_TK))=SC_TK)),1,0)</f>
        <v/>
      </c>
    </row>
    <row r="1374" ht="15" customHeight="1" s="78">
      <c r="A1374" s="95">
        <f>IF($H1374="","",ROW()-6)</f>
        <v/>
      </c>
      <c r="B1374" s="114" t="n"/>
      <c r="C1374" s="102" t="n"/>
      <c r="D1374" s="114" t="n"/>
      <c r="E1374" s="103" t="n"/>
      <c r="F1374" s="102" t="n"/>
      <c r="G1374" s="102" t="n"/>
      <c r="H1374" s="115" t="n"/>
      <c r="I1374" s="102" t="n"/>
      <c r="J1374" s="102" t="n"/>
      <c r="K1374" s="103" t="n"/>
      <c r="L1374" s="116">
        <f>IF($H1374="","",TRIM(IF(COUNTIF(DMTK!$A$7:$A$250,$F1374)=0,"TK Nợ sai! ","")&amp;IF(COUNTIF(DMTK!$A$7:$A$250,$G1374)=0,"TK Có sai! ","")&amp;IF(N($H1374)&lt;=0,"Tiền phải &gt; 0! ","")&amp;IF($B1374="","Thiếu ngày! ","")&amp;IF(AND(OR(LEFT($F1374,3)="131",LEFT($G1374,3)="131",LEFT($F1374,3)="331",LEFT($G1374,3)="331"),$I1374=""),"Thiếu Mã ĐT! ","")&amp;IF(AND($I1374&lt;&gt;"",COUNTIF(DM_DT!$A$7:$A$306,$I1374)=0),"Mã ĐT chưa khai báo! ","")))</f>
        <v/>
      </c>
      <c r="M1374" s="117">
        <f>IF($H1374="","",IF(AND(OR(LEFT($F1374,3)="111",LEFT($F1374,3)="112",LEFT($F1374,3)="113"),OR(LEFT($G1374,3)="111",LEFT($G1374,3)="112",LEFT($G1374,3)="113")),"NB",IF(OR(LEFT($F1374,3)="111",LEFT($F1374,3)="112",LEFT($F1374,3)="113"),"THU",IF(OR(LEFT($G1374,3)="111",LEFT($G1374,3)="112",LEFT($G1374,3)="113"),"CHI",""))))</f>
        <v/>
      </c>
      <c r="N1374" s="117">
        <f>IF($M1374="THU",$G1374,IF($M1374="CHI",$F1374,""))</f>
        <v/>
      </c>
      <c r="O1374" s="117">
        <f>IF(OR($M1374="",$M1374="NB"),"",IF($J1374&lt;&gt;"",TEXT($J1374,"00"),IFERROR(VLOOKUP(LEFT($N1374,4),LCTT_MAP!$A$7:$C$66,IF($M1374="THU",2,3),FALSE()),IFERROR(VLOOKUP(LEFT($N1374,3),LCTT_MAP!$A$7:$C$66,IF($M1374="THU",2,3),FALSE()),IFERROR(VLOOKUP(LEFT($N1374,2),LCTT_MAP!$A$7:$C$66,IF($M1374="THU",2,3),FALSE()),IFERROR(VLOOKUP(LEFT($N1374,1),LCTT_MAP!$A$7:$C$66,IF($M1374="THU",2,3),FALSE()),IF($M1374="THU","06","07")))))))</f>
        <v/>
      </c>
      <c r="P1374" s="117">
        <f>P1373+IF(AND($H1374&lt;&gt;"",OR(LEFT($F1374,LEN(SC_TK))=SC_TK,LEFT($G1374,LEN(SC_TK))=SC_TK)),1,0)</f>
        <v/>
      </c>
    </row>
    <row r="1375" ht="15" customHeight="1" s="78">
      <c r="A1375" s="95">
        <f>IF($H1375="","",ROW()-6)</f>
        <v/>
      </c>
      <c r="B1375" s="114" t="n"/>
      <c r="C1375" s="102" t="n"/>
      <c r="D1375" s="114" t="n"/>
      <c r="E1375" s="103" t="n"/>
      <c r="F1375" s="102" t="n"/>
      <c r="G1375" s="102" t="n"/>
      <c r="H1375" s="115" t="n"/>
      <c r="I1375" s="102" t="n"/>
      <c r="J1375" s="102" t="n"/>
      <c r="K1375" s="103" t="n"/>
      <c r="L1375" s="116">
        <f>IF($H1375="","",TRIM(IF(COUNTIF(DMTK!$A$7:$A$250,$F1375)=0,"TK Nợ sai! ","")&amp;IF(COUNTIF(DMTK!$A$7:$A$250,$G1375)=0,"TK Có sai! ","")&amp;IF(N($H1375)&lt;=0,"Tiền phải &gt; 0! ","")&amp;IF($B1375="","Thiếu ngày! ","")&amp;IF(AND(OR(LEFT($F1375,3)="131",LEFT($G1375,3)="131",LEFT($F1375,3)="331",LEFT($G1375,3)="331"),$I1375=""),"Thiếu Mã ĐT! ","")&amp;IF(AND($I1375&lt;&gt;"",COUNTIF(DM_DT!$A$7:$A$306,$I1375)=0),"Mã ĐT chưa khai báo! ","")))</f>
        <v/>
      </c>
      <c r="M1375" s="117">
        <f>IF($H1375="","",IF(AND(OR(LEFT($F1375,3)="111",LEFT($F1375,3)="112",LEFT($F1375,3)="113"),OR(LEFT($G1375,3)="111",LEFT($G1375,3)="112",LEFT($G1375,3)="113")),"NB",IF(OR(LEFT($F1375,3)="111",LEFT($F1375,3)="112",LEFT($F1375,3)="113"),"THU",IF(OR(LEFT($G1375,3)="111",LEFT($G1375,3)="112",LEFT($G1375,3)="113"),"CHI",""))))</f>
        <v/>
      </c>
      <c r="N1375" s="117">
        <f>IF($M1375="THU",$G1375,IF($M1375="CHI",$F1375,""))</f>
        <v/>
      </c>
      <c r="O1375" s="117">
        <f>IF(OR($M1375="",$M1375="NB"),"",IF($J1375&lt;&gt;"",TEXT($J1375,"00"),IFERROR(VLOOKUP(LEFT($N1375,4),LCTT_MAP!$A$7:$C$66,IF($M1375="THU",2,3),FALSE()),IFERROR(VLOOKUP(LEFT($N1375,3),LCTT_MAP!$A$7:$C$66,IF($M1375="THU",2,3),FALSE()),IFERROR(VLOOKUP(LEFT($N1375,2),LCTT_MAP!$A$7:$C$66,IF($M1375="THU",2,3),FALSE()),IFERROR(VLOOKUP(LEFT($N1375,1),LCTT_MAP!$A$7:$C$66,IF($M1375="THU",2,3),FALSE()),IF($M1375="THU","06","07")))))))</f>
        <v/>
      </c>
      <c r="P1375" s="117">
        <f>P1374+IF(AND($H1375&lt;&gt;"",OR(LEFT($F1375,LEN(SC_TK))=SC_TK,LEFT($G1375,LEN(SC_TK))=SC_TK)),1,0)</f>
        <v/>
      </c>
    </row>
    <row r="1376" ht="15" customHeight="1" s="78">
      <c r="A1376" s="95">
        <f>IF($H1376="","",ROW()-6)</f>
        <v/>
      </c>
      <c r="B1376" s="114" t="n"/>
      <c r="C1376" s="102" t="n"/>
      <c r="D1376" s="114" t="n"/>
      <c r="E1376" s="103" t="n"/>
      <c r="F1376" s="102" t="n"/>
      <c r="G1376" s="102" t="n"/>
      <c r="H1376" s="115" t="n"/>
      <c r="I1376" s="102" t="n"/>
      <c r="J1376" s="102" t="n"/>
      <c r="K1376" s="103" t="n"/>
      <c r="L1376" s="116">
        <f>IF($H1376="","",TRIM(IF(COUNTIF(DMTK!$A$7:$A$250,$F1376)=0,"TK Nợ sai! ","")&amp;IF(COUNTIF(DMTK!$A$7:$A$250,$G1376)=0,"TK Có sai! ","")&amp;IF(N($H1376)&lt;=0,"Tiền phải &gt; 0! ","")&amp;IF($B1376="","Thiếu ngày! ","")&amp;IF(AND(OR(LEFT($F1376,3)="131",LEFT($G1376,3)="131",LEFT($F1376,3)="331",LEFT($G1376,3)="331"),$I1376=""),"Thiếu Mã ĐT! ","")&amp;IF(AND($I1376&lt;&gt;"",COUNTIF(DM_DT!$A$7:$A$306,$I1376)=0),"Mã ĐT chưa khai báo! ","")))</f>
        <v/>
      </c>
      <c r="M1376" s="117">
        <f>IF($H1376="","",IF(AND(OR(LEFT($F1376,3)="111",LEFT($F1376,3)="112",LEFT($F1376,3)="113"),OR(LEFT($G1376,3)="111",LEFT($G1376,3)="112",LEFT($G1376,3)="113")),"NB",IF(OR(LEFT($F1376,3)="111",LEFT($F1376,3)="112",LEFT($F1376,3)="113"),"THU",IF(OR(LEFT($G1376,3)="111",LEFT($G1376,3)="112",LEFT($G1376,3)="113"),"CHI",""))))</f>
        <v/>
      </c>
      <c r="N1376" s="117">
        <f>IF($M1376="THU",$G1376,IF($M1376="CHI",$F1376,""))</f>
        <v/>
      </c>
      <c r="O1376" s="117">
        <f>IF(OR($M1376="",$M1376="NB"),"",IF($J1376&lt;&gt;"",TEXT($J1376,"00"),IFERROR(VLOOKUP(LEFT($N1376,4),LCTT_MAP!$A$7:$C$66,IF($M1376="THU",2,3),FALSE()),IFERROR(VLOOKUP(LEFT($N1376,3),LCTT_MAP!$A$7:$C$66,IF($M1376="THU",2,3),FALSE()),IFERROR(VLOOKUP(LEFT($N1376,2),LCTT_MAP!$A$7:$C$66,IF($M1376="THU",2,3),FALSE()),IFERROR(VLOOKUP(LEFT($N1376,1),LCTT_MAP!$A$7:$C$66,IF($M1376="THU",2,3),FALSE()),IF($M1376="THU","06","07")))))))</f>
        <v/>
      </c>
      <c r="P1376" s="117">
        <f>P1375+IF(AND($H1376&lt;&gt;"",OR(LEFT($F1376,LEN(SC_TK))=SC_TK,LEFT($G1376,LEN(SC_TK))=SC_TK)),1,0)</f>
        <v/>
      </c>
    </row>
    <row r="1377" ht="15" customHeight="1" s="78">
      <c r="A1377" s="95">
        <f>IF($H1377="","",ROW()-6)</f>
        <v/>
      </c>
      <c r="B1377" s="114" t="n"/>
      <c r="C1377" s="102" t="n"/>
      <c r="D1377" s="114" t="n"/>
      <c r="E1377" s="103" t="n"/>
      <c r="F1377" s="102" t="n"/>
      <c r="G1377" s="102" t="n"/>
      <c r="H1377" s="115" t="n"/>
      <c r="I1377" s="102" t="n"/>
      <c r="J1377" s="102" t="n"/>
      <c r="K1377" s="103" t="n"/>
      <c r="L1377" s="116">
        <f>IF($H1377="","",TRIM(IF(COUNTIF(DMTK!$A$7:$A$250,$F1377)=0,"TK Nợ sai! ","")&amp;IF(COUNTIF(DMTK!$A$7:$A$250,$G1377)=0,"TK Có sai! ","")&amp;IF(N($H1377)&lt;=0,"Tiền phải &gt; 0! ","")&amp;IF($B1377="","Thiếu ngày! ","")&amp;IF(AND(OR(LEFT($F1377,3)="131",LEFT($G1377,3)="131",LEFT($F1377,3)="331",LEFT($G1377,3)="331"),$I1377=""),"Thiếu Mã ĐT! ","")&amp;IF(AND($I1377&lt;&gt;"",COUNTIF(DM_DT!$A$7:$A$306,$I1377)=0),"Mã ĐT chưa khai báo! ","")))</f>
        <v/>
      </c>
      <c r="M1377" s="117">
        <f>IF($H1377="","",IF(AND(OR(LEFT($F1377,3)="111",LEFT($F1377,3)="112",LEFT($F1377,3)="113"),OR(LEFT($G1377,3)="111",LEFT($G1377,3)="112",LEFT($G1377,3)="113")),"NB",IF(OR(LEFT($F1377,3)="111",LEFT($F1377,3)="112",LEFT($F1377,3)="113"),"THU",IF(OR(LEFT($G1377,3)="111",LEFT($G1377,3)="112",LEFT($G1377,3)="113"),"CHI",""))))</f>
        <v/>
      </c>
      <c r="N1377" s="117">
        <f>IF($M1377="THU",$G1377,IF($M1377="CHI",$F1377,""))</f>
        <v/>
      </c>
      <c r="O1377" s="117">
        <f>IF(OR($M1377="",$M1377="NB"),"",IF($J1377&lt;&gt;"",TEXT($J1377,"00"),IFERROR(VLOOKUP(LEFT($N1377,4),LCTT_MAP!$A$7:$C$66,IF($M1377="THU",2,3),FALSE()),IFERROR(VLOOKUP(LEFT($N1377,3),LCTT_MAP!$A$7:$C$66,IF($M1377="THU",2,3),FALSE()),IFERROR(VLOOKUP(LEFT($N1377,2),LCTT_MAP!$A$7:$C$66,IF($M1377="THU",2,3),FALSE()),IFERROR(VLOOKUP(LEFT($N1377,1),LCTT_MAP!$A$7:$C$66,IF($M1377="THU",2,3),FALSE()),IF($M1377="THU","06","07")))))))</f>
        <v/>
      </c>
      <c r="P1377" s="117">
        <f>P1376+IF(AND($H1377&lt;&gt;"",OR(LEFT($F1377,LEN(SC_TK))=SC_TK,LEFT($G1377,LEN(SC_TK))=SC_TK)),1,0)</f>
        <v/>
      </c>
    </row>
    <row r="1378" ht="15" customHeight="1" s="78">
      <c r="A1378" s="95">
        <f>IF($H1378="","",ROW()-6)</f>
        <v/>
      </c>
      <c r="B1378" s="114" t="n"/>
      <c r="C1378" s="102" t="n"/>
      <c r="D1378" s="114" t="n"/>
      <c r="E1378" s="103" t="n"/>
      <c r="F1378" s="102" t="n"/>
      <c r="G1378" s="102" t="n"/>
      <c r="H1378" s="115" t="n"/>
      <c r="I1378" s="102" t="n"/>
      <c r="J1378" s="102" t="n"/>
      <c r="K1378" s="103" t="n"/>
      <c r="L1378" s="116">
        <f>IF($H1378="","",TRIM(IF(COUNTIF(DMTK!$A$7:$A$250,$F1378)=0,"TK Nợ sai! ","")&amp;IF(COUNTIF(DMTK!$A$7:$A$250,$G1378)=0,"TK Có sai! ","")&amp;IF(N($H1378)&lt;=0,"Tiền phải &gt; 0! ","")&amp;IF($B1378="","Thiếu ngày! ","")&amp;IF(AND(OR(LEFT($F1378,3)="131",LEFT($G1378,3)="131",LEFT($F1378,3)="331",LEFT($G1378,3)="331"),$I1378=""),"Thiếu Mã ĐT! ","")&amp;IF(AND($I1378&lt;&gt;"",COUNTIF(DM_DT!$A$7:$A$306,$I1378)=0),"Mã ĐT chưa khai báo! ","")))</f>
        <v/>
      </c>
      <c r="M1378" s="117">
        <f>IF($H1378="","",IF(AND(OR(LEFT($F1378,3)="111",LEFT($F1378,3)="112",LEFT($F1378,3)="113"),OR(LEFT($G1378,3)="111",LEFT($G1378,3)="112",LEFT($G1378,3)="113")),"NB",IF(OR(LEFT($F1378,3)="111",LEFT($F1378,3)="112",LEFT($F1378,3)="113"),"THU",IF(OR(LEFT($G1378,3)="111",LEFT($G1378,3)="112",LEFT($G1378,3)="113"),"CHI",""))))</f>
        <v/>
      </c>
      <c r="N1378" s="117">
        <f>IF($M1378="THU",$G1378,IF($M1378="CHI",$F1378,""))</f>
        <v/>
      </c>
      <c r="O1378" s="117">
        <f>IF(OR($M1378="",$M1378="NB"),"",IF($J1378&lt;&gt;"",TEXT($J1378,"00"),IFERROR(VLOOKUP(LEFT($N1378,4),LCTT_MAP!$A$7:$C$66,IF($M1378="THU",2,3),FALSE()),IFERROR(VLOOKUP(LEFT($N1378,3),LCTT_MAP!$A$7:$C$66,IF($M1378="THU",2,3),FALSE()),IFERROR(VLOOKUP(LEFT($N1378,2),LCTT_MAP!$A$7:$C$66,IF($M1378="THU",2,3),FALSE()),IFERROR(VLOOKUP(LEFT($N1378,1),LCTT_MAP!$A$7:$C$66,IF($M1378="THU",2,3),FALSE()),IF($M1378="THU","06","07")))))))</f>
        <v/>
      </c>
      <c r="P1378" s="117">
        <f>P1377+IF(AND($H1378&lt;&gt;"",OR(LEFT($F1378,LEN(SC_TK))=SC_TK,LEFT($G1378,LEN(SC_TK))=SC_TK)),1,0)</f>
        <v/>
      </c>
    </row>
    <row r="1379" ht="15" customHeight="1" s="78">
      <c r="A1379" s="95">
        <f>IF($H1379="","",ROW()-6)</f>
        <v/>
      </c>
      <c r="B1379" s="114" t="n"/>
      <c r="C1379" s="102" t="n"/>
      <c r="D1379" s="114" t="n"/>
      <c r="E1379" s="103" t="n"/>
      <c r="F1379" s="102" t="n"/>
      <c r="G1379" s="102" t="n"/>
      <c r="H1379" s="115" t="n"/>
      <c r="I1379" s="102" t="n"/>
      <c r="J1379" s="102" t="n"/>
      <c r="K1379" s="103" t="n"/>
      <c r="L1379" s="116">
        <f>IF($H1379="","",TRIM(IF(COUNTIF(DMTK!$A$7:$A$250,$F1379)=0,"TK Nợ sai! ","")&amp;IF(COUNTIF(DMTK!$A$7:$A$250,$G1379)=0,"TK Có sai! ","")&amp;IF(N($H1379)&lt;=0,"Tiền phải &gt; 0! ","")&amp;IF($B1379="","Thiếu ngày! ","")&amp;IF(AND(OR(LEFT($F1379,3)="131",LEFT($G1379,3)="131",LEFT($F1379,3)="331",LEFT($G1379,3)="331"),$I1379=""),"Thiếu Mã ĐT! ","")&amp;IF(AND($I1379&lt;&gt;"",COUNTIF(DM_DT!$A$7:$A$306,$I1379)=0),"Mã ĐT chưa khai báo! ","")))</f>
        <v/>
      </c>
      <c r="M1379" s="117">
        <f>IF($H1379="","",IF(AND(OR(LEFT($F1379,3)="111",LEFT($F1379,3)="112",LEFT($F1379,3)="113"),OR(LEFT($G1379,3)="111",LEFT($G1379,3)="112",LEFT($G1379,3)="113")),"NB",IF(OR(LEFT($F1379,3)="111",LEFT($F1379,3)="112",LEFT($F1379,3)="113"),"THU",IF(OR(LEFT($G1379,3)="111",LEFT($G1379,3)="112",LEFT($G1379,3)="113"),"CHI",""))))</f>
        <v/>
      </c>
      <c r="N1379" s="117">
        <f>IF($M1379="THU",$G1379,IF($M1379="CHI",$F1379,""))</f>
        <v/>
      </c>
      <c r="O1379" s="117">
        <f>IF(OR($M1379="",$M1379="NB"),"",IF($J1379&lt;&gt;"",TEXT($J1379,"00"),IFERROR(VLOOKUP(LEFT($N1379,4),LCTT_MAP!$A$7:$C$66,IF($M1379="THU",2,3),FALSE()),IFERROR(VLOOKUP(LEFT($N1379,3),LCTT_MAP!$A$7:$C$66,IF($M1379="THU",2,3),FALSE()),IFERROR(VLOOKUP(LEFT($N1379,2),LCTT_MAP!$A$7:$C$66,IF($M1379="THU",2,3),FALSE()),IFERROR(VLOOKUP(LEFT($N1379,1),LCTT_MAP!$A$7:$C$66,IF($M1379="THU",2,3),FALSE()),IF($M1379="THU","06","07")))))))</f>
        <v/>
      </c>
      <c r="P1379" s="117">
        <f>P1378+IF(AND($H1379&lt;&gt;"",OR(LEFT($F1379,LEN(SC_TK))=SC_TK,LEFT($G1379,LEN(SC_TK))=SC_TK)),1,0)</f>
        <v/>
      </c>
    </row>
    <row r="1380" ht="15" customHeight="1" s="78">
      <c r="A1380" s="95">
        <f>IF($H1380="","",ROW()-6)</f>
        <v/>
      </c>
      <c r="B1380" s="114" t="n"/>
      <c r="C1380" s="102" t="n"/>
      <c r="D1380" s="114" t="n"/>
      <c r="E1380" s="103" t="n"/>
      <c r="F1380" s="102" t="n"/>
      <c r="G1380" s="102" t="n"/>
      <c r="H1380" s="115" t="n"/>
      <c r="I1380" s="102" t="n"/>
      <c r="J1380" s="102" t="n"/>
      <c r="K1380" s="103" t="n"/>
      <c r="L1380" s="116">
        <f>IF($H1380="","",TRIM(IF(COUNTIF(DMTK!$A$7:$A$250,$F1380)=0,"TK Nợ sai! ","")&amp;IF(COUNTIF(DMTK!$A$7:$A$250,$G1380)=0,"TK Có sai! ","")&amp;IF(N($H1380)&lt;=0,"Tiền phải &gt; 0! ","")&amp;IF($B1380="","Thiếu ngày! ","")&amp;IF(AND(OR(LEFT($F1380,3)="131",LEFT($G1380,3)="131",LEFT($F1380,3)="331",LEFT($G1380,3)="331"),$I1380=""),"Thiếu Mã ĐT! ","")&amp;IF(AND($I1380&lt;&gt;"",COUNTIF(DM_DT!$A$7:$A$306,$I1380)=0),"Mã ĐT chưa khai báo! ","")))</f>
        <v/>
      </c>
      <c r="M1380" s="117">
        <f>IF($H1380="","",IF(AND(OR(LEFT($F1380,3)="111",LEFT($F1380,3)="112",LEFT($F1380,3)="113"),OR(LEFT($G1380,3)="111",LEFT($G1380,3)="112",LEFT($G1380,3)="113")),"NB",IF(OR(LEFT($F1380,3)="111",LEFT($F1380,3)="112",LEFT($F1380,3)="113"),"THU",IF(OR(LEFT($G1380,3)="111",LEFT($G1380,3)="112",LEFT($G1380,3)="113"),"CHI",""))))</f>
        <v/>
      </c>
      <c r="N1380" s="117">
        <f>IF($M1380="THU",$G1380,IF($M1380="CHI",$F1380,""))</f>
        <v/>
      </c>
      <c r="O1380" s="117">
        <f>IF(OR($M1380="",$M1380="NB"),"",IF($J1380&lt;&gt;"",TEXT($J1380,"00"),IFERROR(VLOOKUP(LEFT($N1380,4),LCTT_MAP!$A$7:$C$66,IF($M1380="THU",2,3),FALSE()),IFERROR(VLOOKUP(LEFT($N1380,3),LCTT_MAP!$A$7:$C$66,IF($M1380="THU",2,3),FALSE()),IFERROR(VLOOKUP(LEFT($N1380,2),LCTT_MAP!$A$7:$C$66,IF($M1380="THU",2,3),FALSE()),IFERROR(VLOOKUP(LEFT($N1380,1),LCTT_MAP!$A$7:$C$66,IF($M1380="THU",2,3),FALSE()),IF($M1380="THU","06","07")))))))</f>
        <v/>
      </c>
      <c r="P1380" s="117">
        <f>P1379+IF(AND($H1380&lt;&gt;"",OR(LEFT($F1380,LEN(SC_TK))=SC_TK,LEFT($G1380,LEN(SC_TK))=SC_TK)),1,0)</f>
        <v/>
      </c>
    </row>
    <row r="1381" ht="15" customHeight="1" s="78">
      <c r="A1381" s="95">
        <f>IF($H1381="","",ROW()-6)</f>
        <v/>
      </c>
      <c r="B1381" s="114" t="n"/>
      <c r="C1381" s="102" t="n"/>
      <c r="D1381" s="114" t="n"/>
      <c r="E1381" s="103" t="n"/>
      <c r="F1381" s="102" t="n"/>
      <c r="G1381" s="102" t="n"/>
      <c r="H1381" s="115" t="n"/>
      <c r="I1381" s="102" t="n"/>
      <c r="J1381" s="102" t="n"/>
      <c r="K1381" s="103" t="n"/>
      <c r="L1381" s="116">
        <f>IF($H1381="","",TRIM(IF(COUNTIF(DMTK!$A$7:$A$250,$F1381)=0,"TK Nợ sai! ","")&amp;IF(COUNTIF(DMTK!$A$7:$A$250,$G1381)=0,"TK Có sai! ","")&amp;IF(N($H1381)&lt;=0,"Tiền phải &gt; 0! ","")&amp;IF($B1381="","Thiếu ngày! ","")&amp;IF(AND(OR(LEFT($F1381,3)="131",LEFT($G1381,3)="131",LEFT($F1381,3)="331",LEFT($G1381,3)="331"),$I1381=""),"Thiếu Mã ĐT! ","")&amp;IF(AND($I1381&lt;&gt;"",COUNTIF(DM_DT!$A$7:$A$306,$I1381)=0),"Mã ĐT chưa khai báo! ","")))</f>
        <v/>
      </c>
      <c r="M1381" s="117">
        <f>IF($H1381="","",IF(AND(OR(LEFT($F1381,3)="111",LEFT($F1381,3)="112",LEFT($F1381,3)="113"),OR(LEFT($G1381,3)="111",LEFT($G1381,3)="112",LEFT($G1381,3)="113")),"NB",IF(OR(LEFT($F1381,3)="111",LEFT($F1381,3)="112",LEFT($F1381,3)="113"),"THU",IF(OR(LEFT($G1381,3)="111",LEFT($G1381,3)="112",LEFT($G1381,3)="113"),"CHI",""))))</f>
        <v/>
      </c>
      <c r="N1381" s="117">
        <f>IF($M1381="THU",$G1381,IF($M1381="CHI",$F1381,""))</f>
        <v/>
      </c>
      <c r="O1381" s="117">
        <f>IF(OR($M1381="",$M1381="NB"),"",IF($J1381&lt;&gt;"",TEXT($J1381,"00"),IFERROR(VLOOKUP(LEFT($N1381,4),LCTT_MAP!$A$7:$C$66,IF($M1381="THU",2,3),FALSE()),IFERROR(VLOOKUP(LEFT($N1381,3),LCTT_MAP!$A$7:$C$66,IF($M1381="THU",2,3),FALSE()),IFERROR(VLOOKUP(LEFT($N1381,2),LCTT_MAP!$A$7:$C$66,IF($M1381="THU",2,3),FALSE()),IFERROR(VLOOKUP(LEFT($N1381,1),LCTT_MAP!$A$7:$C$66,IF($M1381="THU",2,3),FALSE()),IF($M1381="THU","06","07")))))))</f>
        <v/>
      </c>
      <c r="P1381" s="117">
        <f>P1380+IF(AND($H1381&lt;&gt;"",OR(LEFT($F1381,LEN(SC_TK))=SC_TK,LEFT($G1381,LEN(SC_TK))=SC_TK)),1,0)</f>
        <v/>
      </c>
    </row>
    <row r="1382" ht="15" customHeight="1" s="78">
      <c r="A1382" s="95">
        <f>IF($H1382="","",ROW()-6)</f>
        <v/>
      </c>
      <c r="B1382" s="114" t="n"/>
      <c r="C1382" s="102" t="n"/>
      <c r="D1382" s="114" t="n"/>
      <c r="E1382" s="103" t="n"/>
      <c r="F1382" s="102" t="n"/>
      <c r="G1382" s="102" t="n"/>
      <c r="H1382" s="115" t="n"/>
      <c r="I1382" s="102" t="n"/>
      <c r="J1382" s="102" t="n"/>
      <c r="K1382" s="103" t="n"/>
      <c r="L1382" s="116">
        <f>IF($H1382="","",TRIM(IF(COUNTIF(DMTK!$A$7:$A$250,$F1382)=0,"TK Nợ sai! ","")&amp;IF(COUNTIF(DMTK!$A$7:$A$250,$G1382)=0,"TK Có sai! ","")&amp;IF(N($H1382)&lt;=0,"Tiền phải &gt; 0! ","")&amp;IF($B1382="","Thiếu ngày! ","")&amp;IF(AND(OR(LEFT($F1382,3)="131",LEFT($G1382,3)="131",LEFT($F1382,3)="331",LEFT($G1382,3)="331"),$I1382=""),"Thiếu Mã ĐT! ","")&amp;IF(AND($I1382&lt;&gt;"",COUNTIF(DM_DT!$A$7:$A$306,$I1382)=0),"Mã ĐT chưa khai báo! ","")))</f>
        <v/>
      </c>
      <c r="M1382" s="117">
        <f>IF($H1382="","",IF(AND(OR(LEFT($F1382,3)="111",LEFT($F1382,3)="112",LEFT($F1382,3)="113"),OR(LEFT($G1382,3)="111",LEFT($G1382,3)="112",LEFT($G1382,3)="113")),"NB",IF(OR(LEFT($F1382,3)="111",LEFT($F1382,3)="112",LEFT($F1382,3)="113"),"THU",IF(OR(LEFT($G1382,3)="111",LEFT($G1382,3)="112",LEFT($G1382,3)="113"),"CHI",""))))</f>
        <v/>
      </c>
      <c r="N1382" s="117">
        <f>IF($M1382="THU",$G1382,IF($M1382="CHI",$F1382,""))</f>
        <v/>
      </c>
      <c r="O1382" s="117">
        <f>IF(OR($M1382="",$M1382="NB"),"",IF($J1382&lt;&gt;"",TEXT($J1382,"00"),IFERROR(VLOOKUP(LEFT($N1382,4),LCTT_MAP!$A$7:$C$66,IF($M1382="THU",2,3),FALSE()),IFERROR(VLOOKUP(LEFT($N1382,3),LCTT_MAP!$A$7:$C$66,IF($M1382="THU",2,3),FALSE()),IFERROR(VLOOKUP(LEFT($N1382,2),LCTT_MAP!$A$7:$C$66,IF($M1382="THU",2,3),FALSE()),IFERROR(VLOOKUP(LEFT($N1382,1),LCTT_MAP!$A$7:$C$66,IF($M1382="THU",2,3),FALSE()),IF($M1382="THU","06","07")))))))</f>
        <v/>
      </c>
      <c r="P1382" s="117">
        <f>P1381+IF(AND($H1382&lt;&gt;"",OR(LEFT($F1382,LEN(SC_TK))=SC_TK,LEFT($G1382,LEN(SC_TK))=SC_TK)),1,0)</f>
        <v/>
      </c>
    </row>
    <row r="1383" ht="15" customHeight="1" s="78">
      <c r="A1383" s="95">
        <f>IF($H1383="","",ROW()-6)</f>
        <v/>
      </c>
      <c r="B1383" s="114" t="n"/>
      <c r="C1383" s="102" t="n"/>
      <c r="D1383" s="114" t="n"/>
      <c r="E1383" s="103" t="n"/>
      <c r="F1383" s="102" t="n"/>
      <c r="G1383" s="102" t="n"/>
      <c r="H1383" s="115" t="n"/>
      <c r="I1383" s="102" t="n"/>
      <c r="J1383" s="102" t="n"/>
      <c r="K1383" s="103" t="n"/>
      <c r="L1383" s="116">
        <f>IF($H1383="","",TRIM(IF(COUNTIF(DMTK!$A$7:$A$250,$F1383)=0,"TK Nợ sai! ","")&amp;IF(COUNTIF(DMTK!$A$7:$A$250,$G1383)=0,"TK Có sai! ","")&amp;IF(N($H1383)&lt;=0,"Tiền phải &gt; 0! ","")&amp;IF($B1383="","Thiếu ngày! ","")&amp;IF(AND(OR(LEFT($F1383,3)="131",LEFT($G1383,3)="131",LEFT($F1383,3)="331",LEFT($G1383,3)="331"),$I1383=""),"Thiếu Mã ĐT! ","")&amp;IF(AND($I1383&lt;&gt;"",COUNTIF(DM_DT!$A$7:$A$306,$I1383)=0),"Mã ĐT chưa khai báo! ","")))</f>
        <v/>
      </c>
      <c r="M1383" s="117">
        <f>IF($H1383="","",IF(AND(OR(LEFT($F1383,3)="111",LEFT($F1383,3)="112",LEFT($F1383,3)="113"),OR(LEFT($G1383,3)="111",LEFT($G1383,3)="112",LEFT($G1383,3)="113")),"NB",IF(OR(LEFT($F1383,3)="111",LEFT($F1383,3)="112",LEFT($F1383,3)="113"),"THU",IF(OR(LEFT($G1383,3)="111",LEFT($G1383,3)="112",LEFT($G1383,3)="113"),"CHI",""))))</f>
        <v/>
      </c>
      <c r="N1383" s="117">
        <f>IF($M1383="THU",$G1383,IF($M1383="CHI",$F1383,""))</f>
        <v/>
      </c>
      <c r="O1383" s="117">
        <f>IF(OR($M1383="",$M1383="NB"),"",IF($J1383&lt;&gt;"",TEXT($J1383,"00"),IFERROR(VLOOKUP(LEFT($N1383,4),LCTT_MAP!$A$7:$C$66,IF($M1383="THU",2,3),FALSE()),IFERROR(VLOOKUP(LEFT($N1383,3),LCTT_MAP!$A$7:$C$66,IF($M1383="THU",2,3),FALSE()),IFERROR(VLOOKUP(LEFT($N1383,2),LCTT_MAP!$A$7:$C$66,IF($M1383="THU",2,3),FALSE()),IFERROR(VLOOKUP(LEFT($N1383,1),LCTT_MAP!$A$7:$C$66,IF($M1383="THU",2,3),FALSE()),IF($M1383="THU","06","07")))))))</f>
        <v/>
      </c>
      <c r="P1383" s="117">
        <f>P1382+IF(AND($H1383&lt;&gt;"",OR(LEFT($F1383,LEN(SC_TK))=SC_TK,LEFT($G1383,LEN(SC_TK))=SC_TK)),1,0)</f>
        <v/>
      </c>
    </row>
    <row r="1384" ht="15" customHeight="1" s="78">
      <c r="A1384" s="95">
        <f>IF($H1384="","",ROW()-6)</f>
        <v/>
      </c>
      <c r="B1384" s="114" t="n"/>
      <c r="C1384" s="102" t="n"/>
      <c r="D1384" s="114" t="n"/>
      <c r="E1384" s="103" t="n"/>
      <c r="F1384" s="102" t="n"/>
      <c r="G1384" s="102" t="n"/>
      <c r="H1384" s="115" t="n"/>
      <c r="I1384" s="102" t="n"/>
      <c r="J1384" s="102" t="n"/>
      <c r="K1384" s="103" t="n"/>
      <c r="L1384" s="116">
        <f>IF($H1384="","",TRIM(IF(COUNTIF(DMTK!$A$7:$A$250,$F1384)=0,"TK Nợ sai! ","")&amp;IF(COUNTIF(DMTK!$A$7:$A$250,$G1384)=0,"TK Có sai! ","")&amp;IF(N($H1384)&lt;=0,"Tiền phải &gt; 0! ","")&amp;IF($B1384="","Thiếu ngày! ","")&amp;IF(AND(OR(LEFT($F1384,3)="131",LEFT($G1384,3)="131",LEFT($F1384,3)="331",LEFT($G1384,3)="331"),$I1384=""),"Thiếu Mã ĐT! ","")&amp;IF(AND($I1384&lt;&gt;"",COUNTIF(DM_DT!$A$7:$A$306,$I1384)=0),"Mã ĐT chưa khai báo! ","")))</f>
        <v/>
      </c>
      <c r="M1384" s="117">
        <f>IF($H1384="","",IF(AND(OR(LEFT($F1384,3)="111",LEFT($F1384,3)="112",LEFT($F1384,3)="113"),OR(LEFT($G1384,3)="111",LEFT($G1384,3)="112",LEFT($G1384,3)="113")),"NB",IF(OR(LEFT($F1384,3)="111",LEFT($F1384,3)="112",LEFT($F1384,3)="113"),"THU",IF(OR(LEFT($G1384,3)="111",LEFT($G1384,3)="112",LEFT($G1384,3)="113"),"CHI",""))))</f>
        <v/>
      </c>
      <c r="N1384" s="117">
        <f>IF($M1384="THU",$G1384,IF($M1384="CHI",$F1384,""))</f>
        <v/>
      </c>
      <c r="O1384" s="117">
        <f>IF(OR($M1384="",$M1384="NB"),"",IF($J1384&lt;&gt;"",TEXT($J1384,"00"),IFERROR(VLOOKUP(LEFT($N1384,4),LCTT_MAP!$A$7:$C$66,IF($M1384="THU",2,3),FALSE()),IFERROR(VLOOKUP(LEFT($N1384,3),LCTT_MAP!$A$7:$C$66,IF($M1384="THU",2,3),FALSE()),IFERROR(VLOOKUP(LEFT($N1384,2),LCTT_MAP!$A$7:$C$66,IF($M1384="THU",2,3),FALSE()),IFERROR(VLOOKUP(LEFT($N1384,1),LCTT_MAP!$A$7:$C$66,IF($M1384="THU",2,3),FALSE()),IF($M1384="THU","06","07")))))))</f>
        <v/>
      </c>
      <c r="P1384" s="117">
        <f>P1383+IF(AND($H1384&lt;&gt;"",OR(LEFT($F1384,LEN(SC_TK))=SC_TK,LEFT($G1384,LEN(SC_TK))=SC_TK)),1,0)</f>
        <v/>
      </c>
    </row>
    <row r="1385" ht="15" customHeight="1" s="78">
      <c r="A1385" s="95">
        <f>IF($H1385="","",ROW()-6)</f>
        <v/>
      </c>
      <c r="B1385" s="114" t="n"/>
      <c r="C1385" s="102" t="n"/>
      <c r="D1385" s="114" t="n"/>
      <c r="E1385" s="103" t="n"/>
      <c r="F1385" s="102" t="n"/>
      <c r="G1385" s="102" t="n"/>
      <c r="H1385" s="115" t="n"/>
      <c r="I1385" s="102" t="n"/>
      <c r="J1385" s="102" t="n"/>
      <c r="K1385" s="103" t="n"/>
      <c r="L1385" s="116">
        <f>IF($H1385="","",TRIM(IF(COUNTIF(DMTK!$A$7:$A$250,$F1385)=0,"TK Nợ sai! ","")&amp;IF(COUNTIF(DMTK!$A$7:$A$250,$G1385)=0,"TK Có sai! ","")&amp;IF(N($H1385)&lt;=0,"Tiền phải &gt; 0! ","")&amp;IF($B1385="","Thiếu ngày! ","")&amp;IF(AND(OR(LEFT($F1385,3)="131",LEFT($G1385,3)="131",LEFT($F1385,3)="331",LEFT($G1385,3)="331"),$I1385=""),"Thiếu Mã ĐT! ","")&amp;IF(AND($I1385&lt;&gt;"",COUNTIF(DM_DT!$A$7:$A$306,$I1385)=0),"Mã ĐT chưa khai báo! ","")))</f>
        <v/>
      </c>
      <c r="M1385" s="117">
        <f>IF($H1385="","",IF(AND(OR(LEFT($F1385,3)="111",LEFT($F1385,3)="112",LEFT($F1385,3)="113"),OR(LEFT($G1385,3)="111",LEFT($G1385,3)="112",LEFT($G1385,3)="113")),"NB",IF(OR(LEFT($F1385,3)="111",LEFT($F1385,3)="112",LEFT($F1385,3)="113"),"THU",IF(OR(LEFT($G1385,3)="111",LEFT($G1385,3)="112",LEFT($G1385,3)="113"),"CHI",""))))</f>
        <v/>
      </c>
      <c r="N1385" s="117">
        <f>IF($M1385="THU",$G1385,IF($M1385="CHI",$F1385,""))</f>
        <v/>
      </c>
      <c r="O1385" s="117">
        <f>IF(OR($M1385="",$M1385="NB"),"",IF($J1385&lt;&gt;"",TEXT($J1385,"00"),IFERROR(VLOOKUP(LEFT($N1385,4),LCTT_MAP!$A$7:$C$66,IF($M1385="THU",2,3),FALSE()),IFERROR(VLOOKUP(LEFT($N1385,3),LCTT_MAP!$A$7:$C$66,IF($M1385="THU",2,3),FALSE()),IFERROR(VLOOKUP(LEFT($N1385,2),LCTT_MAP!$A$7:$C$66,IF($M1385="THU",2,3),FALSE()),IFERROR(VLOOKUP(LEFT($N1385,1),LCTT_MAP!$A$7:$C$66,IF($M1385="THU",2,3),FALSE()),IF($M1385="THU","06","07")))))))</f>
        <v/>
      </c>
      <c r="P1385" s="117">
        <f>P1384+IF(AND($H1385&lt;&gt;"",OR(LEFT($F1385,LEN(SC_TK))=SC_TK,LEFT($G1385,LEN(SC_TK))=SC_TK)),1,0)</f>
        <v/>
      </c>
    </row>
    <row r="1386" ht="15" customHeight="1" s="78">
      <c r="A1386" s="95">
        <f>IF($H1386="","",ROW()-6)</f>
        <v/>
      </c>
      <c r="B1386" s="114" t="n"/>
      <c r="C1386" s="102" t="n"/>
      <c r="D1386" s="114" t="n"/>
      <c r="E1386" s="103" t="n"/>
      <c r="F1386" s="102" t="n"/>
      <c r="G1386" s="102" t="n"/>
      <c r="H1386" s="115" t="n"/>
      <c r="I1386" s="102" t="n"/>
      <c r="J1386" s="102" t="n"/>
      <c r="K1386" s="103" t="n"/>
      <c r="L1386" s="116">
        <f>IF($H1386="","",TRIM(IF(COUNTIF(DMTK!$A$7:$A$250,$F1386)=0,"TK Nợ sai! ","")&amp;IF(COUNTIF(DMTK!$A$7:$A$250,$G1386)=0,"TK Có sai! ","")&amp;IF(N($H1386)&lt;=0,"Tiền phải &gt; 0! ","")&amp;IF($B1386="","Thiếu ngày! ","")&amp;IF(AND(OR(LEFT($F1386,3)="131",LEFT($G1386,3)="131",LEFT($F1386,3)="331",LEFT($G1386,3)="331"),$I1386=""),"Thiếu Mã ĐT! ","")&amp;IF(AND($I1386&lt;&gt;"",COUNTIF(DM_DT!$A$7:$A$306,$I1386)=0),"Mã ĐT chưa khai báo! ","")))</f>
        <v/>
      </c>
      <c r="M1386" s="117">
        <f>IF($H1386="","",IF(AND(OR(LEFT($F1386,3)="111",LEFT($F1386,3)="112",LEFT($F1386,3)="113"),OR(LEFT($G1386,3)="111",LEFT($G1386,3)="112",LEFT($G1386,3)="113")),"NB",IF(OR(LEFT($F1386,3)="111",LEFT($F1386,3)="112",LEFT($F1386,3)="113"),"THU",IF(OR(LEFT($G1386,3)="111",LEFT($G1386,3)="112",LEFT($G1386,3)="113"),"CHI",""))))</f>
        <v/>
      </c>
      <c r="N1386" s="117">
        <f>IF($M1386="THU",$G1386,IF($M1386="CHI",$F1386,""))</f>
        <v/>
      </c>
      <c r="O1386" s="117">
        <f>IF(OR($M1386="",$M1386="NB"),"",IF($J1386&lt;&gt;"",TEXT($J1386,"00"),IFERROR(VLOOKUP(LEFT($N1386,4),LCTT_MAP!$A$7:$C$66,IF($M1386="THU",2,3),FALSE()),IFERROR(VLOOKUP(LEFT($N1386,3),LCTT_MAP!$A$7:$C$66,IF($M1386="THU",2,3),FALSE()),IFERROR(VLOOKUP(LEFT($N1386,2),LCTT_MAP!$A$7:$C$66,IF($M1386="THU",2,3),FALSE()),IFERROR(VLOOKUP(LEFT($N1386,1),LCTT_MAP!$A$7:$C$66,IF($M1386="THU",2,3),FALSE()),IF($M1386="THU","06","07")))))))</f>
        <v/>
      </c>
      <c r="P1386" s="117">
        <f>P1385+IF(AND($H1386&lt;&gt;"",OR(LEFT($F1386,LEN(SC_TK))=SC_TK,LEFT($G1386,LEN(SC_TK))=SC_TK)),1,0)</f>
        <v/>
      </c>
    </row>
    <row r="1387" ht="15" customHeight="1" s="78">
      <c r="A1387" s="95">
        <f>IF($H1387="","",ROW()-6)</f>
        <v/>
      </c>
      <c r="B1387" s="114" t="n"/>
      <c r="C1387" s="102" t="n"/>
      <c r="D1387" s="114" t="n"/>
      <c r="E1387" s="103" t="n"/>
      <c r="F1387" s="102" t="n"/>
      <c r="G1387" s="102" t="n"/>
      <c r="H1387" s="115" t="n"/>
      <c r="I1387" s="102" t="n"/>
      <c r="J1387" s="102" t="n"/>
      <c r="K1387" s="103" t="n"/>
      <c r="L1387" s="116">
        <f>IF($H1387="","",TRIM(IF(COUNTIF(DMTK!$A$7:$A$250,$F1387)=0,"TK Nợ sai! ","")&amp;IF(COUNTIF(DMTK!$A$7:$A$250,$G1387)=0,"TK Có sai! ","")&amp;IF(N($H1387)&lt;=0,"Tiền phải &gt; 0! ","")&amp;IF($B1387="","Thiếu ngày! ","")&amp;IF(AND(OR(LEFT($F1387,3)="131",LEFT($G1387,3)="131",LEFT($F1387,3)="331",LEFT($G1387,3)="331"),$I1387=""),"Thiếu Mã ĐT! ","")&amp;IF(AND($I1387&lt;&gt;"",COUNTIF(DM_DT!$A$7:$A$306,$I1387)=0),"Mã ĐT chưa khai báo! ","")))</f>
        <v/>
      </c>
      <c r="M1387" s="117">
        <f>IF($H1387="","",IF(AND(OR(LEFT($F1387,3)="111",LEFT($F1387,3)="112",LEFT($F1387,3)="113"),OR(LEFT($G1387,3)="111",LEFT($G1387,3)="112",LEFT($G1387,3)="113")),"NB",IF(OR(LEFT($F1387,3)="111",LEFT($F1387,3)="112",LEFT($F1387,3)="113"),"THU",IF(OR(LEFT($G1387,3)="111",LEFT($G1387,3)="112",LEFT($G1387,3)="113"),"CHI",""))))</f>
        <v/>
      </c>
      <c r="N1387" s="117">
        <f>IF($M1387="THU",$G1387,IF($M1387="CHI",$F1387,""))</f>
        <v/>
      </c>
      <c r="O1387" s="117">
        <f>IF(OR($M1387="",$M1387="NB"),"",IF($J1387&lt;&gt;"",TEXT($J1387,"00"),IFERROR(VLOOKUP(LEFT($N1387,4),LCTT_MAP!$A$7:$C$66,IF($M1387="THU",2,3),FALSE()),IFERROR(VLOOKUP(LEFT($N1387,3),LCTT_MAP!$A$7:$C$66,IF($M1387="THU",2,3),FALSE()),IFERROR(VLOOKUP(LEFT($N1387,2),LCTT_MAP!$A$7:$C$66,IF($M1387="THU",2,3),FALSE()),IFERROR(VLOOKUP(LEFT($N1387,1),LCTT_MAP!$A$7:$C$66,IF($M1387="THU",2,3),FALSE()),IF($M1387="THU","06","07")))))))</f>
        <v/>
      </c>
      <c r="P1387" s="117">
        <f>P1386+IF(AND($H1387&lt;&gt;"",OR(LEFT($F1387,LEN(SC_TK))=SC_TK,LEFT($G1387,LEN(SC_TK))=SC_TK)),1,0)</f>
        <v/>
      </c>
    </row>
    <row r="1388" ht="15" customHeight="1" s="78">
      <c r="A1388" s="95">
        <f>IF($H1388="","",ROW()-6)</f>
        <v/>
      </c>
      <c r="B1388" s="114" t="n"/>
      <c r="C1388" s="102" t="n"/>
      <c r="D1388" s="114" t="n"/>
      <c r="E1388" s="103" t="n"/>
      <c r="F1388" s="102" t="n"/>
      <c r="G1388" s="102" t="n"/>
      <c r="H1388" s="115" t="n"/>
      <c r="I1388" s="102" t="n"/>
      <c r="J1388" s="102" t="n"/>
      <c r="K1388" s="103" t="n"/>
      <c r="L1388" s="116">
        <f>IF($H1388="","",TRIM(IF(COUNTIF(DMTK!$A$7:$A$250,$F1388)=0,"TK Nợ sai! ","")&amp;IF(COUNTIF(DMTK!$A$7:$A$250,$G1388)=0,"TK Có sai! ","")&amp;IF(N($H1388)&lt;=0,"Tiền phải &gt; 0! ","")&amp;IF($B1388="","Thiếu ngày! ","")&amp;IF(AND(OR(LEFT($F1388,3)="131",LEFT($G1388,3)="131",LEFT($F1388,3)="331",LEFT($G1388,3)="331"),$I1388=""),"Thiếu Mã ĐT! ","")&amp;IF(AND($I1388&lt;&gt;"",COUNTIF(DM_DT!$A$7:$A$306,$I1388)=0),"Mã ĐT chưa khai báo! ","")))</f>
        <v/>
      </c>
      <c r="M1388" s="117">
        <f>IF($H1388="","",IF(AND(OR(LEFT($F1388,3)="111",LEFT($F1388,3)="112",LEFT($F1388,3)="113"),OR(LEFT($G1388,3)="111",LEFT($G1388,3)="112",LEFT($G1388,3)="113")),"NB",IF(OR(LEFT($F1388,3)="111",LEFT($F1388,3)="112",LEFT($F1388,3)="113"),"THU",IF(OR(LEFT($G1388,3)="111",LEFT($G1388,3)="112",LEFT($G1388,3)="113"),"CHI",""))))</f>
        <v/>
      </c>
      <c r="N1388" s="117">
        <f>IF($M1388="THU",$G1388,IF($M1388="CHI",$F1388,""))</f>
        <v/>
      </c>
      <c r="O1388" s="117">
        <f>IF(OR($M1388="",$M1388="NB"),"",IF($J1388&lt;&gt;"",TEXT($J1388,"00"),IFERROR(VLOOKUP(LEFT($N1388,4),LCTT_MAP!$A$7:$C$66,IF($M1388="THU",2,3),FALSE()),IFERROR(VLOOKUP(LEFT($N1388,3),LCTT_MAP!$A$7:$C$66,IF($M1388="THU",2,3),FALSE()),IFERROR(VLOOKUP(LEFT($N1388,2),LCTT_MAP!$A$7:$C$66,IF($M1388="THU",2,3),FALSE()),IFERROR(VLOOKUP(LEFT($N1388,1),LCTT_MAP!$A$7:$C$66,IF($M1388="THU",2,3),FALSE()),IF($M1388="THU","06","07")))))))</f>
        <v/>
      </c>
      <c r="P1388" s="117">
        <f>P1387+IF(AND($H1388&lt;&gt;"",OR(LEFT($F1388,LEN(SC_TK))=SC_TK,LEFT($G1388,LEN(SC_TK))=SC_TK)),1,0)</f>
        <v/>
      </c>
    </row>
    <row r="1389" ht="15" customHeight="1" s="78">
      <c r="A1389" s="95">
        <f>IF($H1389="","",ROW()-6)</f>
        <v/>
      </c>
      <c r="B1389" s="114" t="n"/>
      <c r="C1389" s="102" t="n"/>
      <c r="D1389" s="114" t="n"/>
      <c r="E1389" s="103" t="n"/>
      <c r="F1389" s="102" t="n"/>
      <c r="G1389" s="102" t="n"/>
      <c r="H1389" s="115" t="n"/>
      <c r="I1389" s="102" t="n"/>
      <c r="J1389" s="102" t="n"/>
      <c r="K1389" s="103" t="n"/>
      <c r="L1389" s="116">
        <f>IF($H1389="","",TRIM(IF(COUNTIF(DMTK!$A$7:$A$250,$F1389)=0,"TK Nợ sai! ","")&amp;IF(COUNTIF(DMTK!$A$7:$A$250,$G1389)=0,"TK Có sai! ","")&amp;IF(N($H1389)&lt;=0,"Tiền phải &gt; 0! ","")&amp;IF($B1389="","Thiếu ngày! ","")&amp;IF(AND(OR(LEFT($F1389,3)="131",LEFT($G1389,3)="131",LEFT($F1389,3)="331",LEFT($G1389,3)="331"),$I1389=""),"Thiếu Mã ĐT! ","")&amp;IF(AND($I1389&lt;&gt;"",COUNTIF(DM_DT!$A$7:$A$306,$I1389)=0),"Mã ĐT chưa khai báo! ","")))</f>
        <v/>
      </c>
      <c r="M1389" s="117">
        <f>IF($H1389="","",IF(AND(OR(LEFT($F1389,3)="111",LEFT($F1389,3)="112",LEFT($F1389,3)="113"),OR(LEFT($G1389,3)="111",LEFT($G1389,3)="112",LEFT($G1389,3)="113")),"NB",IF(OR(LEFT($F1389,3)="111",LEFT($F1389,3)="112",LEFT($F1389,3)="113"),"THU",IF(OR(LEFT($G1389,3)="111",LEFT($G1389,3)="112",LEFT($G1389,3)="113"),"CHI",""))))</f>
        <v/>
      </c>
      <c r="N1389" s="117">
        <f>IF($M1389="THU",$G1389,IF($M1389="CHI",$F1389,""))</f>
        <v/>
      </c>
      <c r="O1389" s="117">
        <f>IF(OR($M1389="",$M1389="NB"),"",IF($J1389&lt;&gt;"",TEXT($J1389,"00"),IFERROR(VLOOKUP(LEFT($N1389,4),LCTT_MAP!$A$7:$C$66,IF($M1389="THU",2,3),FALSE()),IFERROR(VLOOKUP(LEFT($N1389,3),LCTT_MAP!$A$7:$C$66,IF($M1389="THU",2,3),FALSE()),IFERROR(VLOOKUP(LEFT($N1389,2),LCTT_MAP!$A$7:$C$66,IF($M1389="THU",2,3),FALSE()),IFERROR(VLOOKUP(LEFT($N1389,1),LCTT_MAP!$A$7:$C$66,IF($M1389="THU",2,3),FALSE()),IF($M1389="THU","06","07")))))))</f>
        <v/>
      </c>
      <c r="P1389" s="117">
        <f>P1388+IF(AND($H1389&lt;&gt;"",OR(LEFT($F1389,LEN(SC_TK))=SC_TK,LEFT($G1389,LEN(SC_TK))=SC_TK)),1,0)</f>
        <v/>
      </c>
    </row>
    <row r="1390" ht="15" customHeight="1" s="78">
      <c r="A1390" s="95">
        <f>IF($H1390="","",ROW()-6)</f>
        <v/>
      </c>
      <c r="B1390" s="114" t="n"/>
      <c r="C1390" s="102" t="n"/>
      <c r="D1390" s="114" t="n"/>
      <c r="E1390" s="103" t="n"/>
      <c r="F1390" s="102" t="n"/>
      <c r="G1390" s="102" t="n"/>
      <c r="H1390" s="115" t="n"/>
      <c r="I1390" s="102" t="n"/>
      <c r="J1390" s="102" t="n"/>
      <c r="K1390" s="103" t="n"/>
      <c r="L1390" s="116">
        <f>IF($H1390="","",TRIM(IF(COUNTIF(DMTK!$A$7:$A$250,$F1390)=0,"TK Nợ sai! ","")&amp;IF(COUNTIF(DMTK!$A$7:$A$250,$G1390)=0,"TK Có sai! ","")&amp;IF(N($H1390)&lt;=0,"Tiền phải &gt; 0! ","")&amp;IF($B1390="","Thiếu ngày! ","")&amp;IF(AND(OR(LEFT($F1390,3)="131",LEFT($G1390,3)="131",LEFT($F1390,3)="331",LEFT($G1390,3)="331"),$I1390=""),"Thiếu Mã ĐT! ","")&amp;IF(AND($I1390&lt;&gt;"",COUNTIF(DM_DT!$A$7:$A$306,$I1390)=0),"Mã ĐT chưa khai báo! ","")))</f>
        <v/>
      </c>
      <c r="M1390" s="117">
        <f>IF($H1390="","",IF(AND(OR(LEFT($F1390,3)="111",LEFT($F1390,3)="112",LEFT($F1390,3)="113"),OR(LEFT($G1390,3)="111",LEFT($G1390,3)="112",LEFT($G1390,3)="113")),"NB",IF(OR(LEFT($F1390,3)="111",LEFT($F1390,3)="112",LEFT($F1390,3)="113"),"THU",IF(OR(LEFT($G1390,3)="111",LEFT($G1390,3)="112",LEFT($G1390,3)="113"),"CHI",""))))</f>
        <v/>
      </c>
      <c r="N1390" s="117">
        <f>IF($M1390="THU",$G1390,IF($M1390="CHI",$F1390,""))</f>
        <v/>
      </c>
      <c r="O1390" s="117">
        <f>IF(OR($M1390="",$M1390="NB"),"",IF($J1390&lt;&gt;"",TEXT($J1390,"00"),IFERROR(VLOOKUP(LEFT($N1390,4),LCTT_MAP!$A$7:$C$66,IF($M1390="THU",2,3),FALSE()),IFERROR(VLOOKUP(LEFT($N1390,3),LCTT_MAP!$A$7:$C$66,IF($M1390="THU",2,3),FALSE()),IFERROR(VLOOKUP(LEFT($N1390,2),LCTT_MAP!$A$7:$C$66,IF($M1390="THU",2,3),FALSE()),IFERROR(VLOOKUP(LEFT($N1390,1),LCTT_MAP!$A$7:$C$66,IF($M1390="THU",2,3),FALSE()),IF($M1390="THU","06","07")))))))</f>
        <v/>
      </c>
      <c r="P1390" s="117">
        <f>P1389+IF(AND($H1390&lt;&gt;"",OR(LEFT($F1390,LEN(SC_TK))=SC_TK,LEFT($G1390,LEN(SC_TK))=SC_TK)),1,0)</f>
        <v/>
      </c>
    </row>
    <row r="1391" ht="15" customHeight="1" s="78">
      <c r="A1391" s="95">
        <f>IF($H1391="","",ROW()-6)</f>
        <v/>
      </c>
      <c r="B1391" s="114" t="n"/>
      <c r="C1391" s="102" t="n"/>
      <c r="D1391" s="114" t="n"/>
      <c r="E1391" s="103" t="n"/>
      <c r="F1391" s="102" t="n"/>
      <c r="G1391" s="102" t="n"/>
      <c r="H1391" s="115" t="n"/>
      <c r="I1391" s="102" t="n"/>
      <c r="J1391" s="102" t="n"/>
      <c r="K1391" s="103" t="n"/>
      <c r="L1391" s="116">
        <f>IF($H1391="","",TRIM(IF(COUNTIF(DMTK!$A$7:$A$250,$F1391)=0,"TK Nợ sai! ","")&amp;IF(COUNTIF(DMTK!$A$7:$A$250,$G1391)=0,"TK Có sai! ","")&amp;IF(N($H1391)&lt;=0,"Tiền phải &gt; 0! ","")&amp;IF($B1391="","Thiếu ngày! ","")&amp;IF(AND(OR(LEFT($F1391,3)="131",LEFT($G1391,3)="131",LEFT($F1391,3)="331",LEFT($G1391,3)="331"),$I1391=""),"Thiếu Mã ĐT! ","")&amp;IF(AND($I1391&lt;&gt;"",COUNTIF(DM_DT!$A$7:$A$306,$I1391)=0),"Mã ĐT chưa khai báo! ","")))</f>
        <v/>
      </c>
      <c r="M1391" s="117">
        <f>IF($H1391="","",IF(AND(OR(LEFT($F1391,3)="111",LEFT($F1391,3)="112",LEFT($F1391,3)="113"),OR(LEFT($G1391,3)="111",LEFT($G1391,3)="112",LEFT($G1391,3)="113")),"NB",IF(OR(LEFT($F1391,3)="111",LEFT($F1391,3)="112",LEFT($F1391,3)="113"),"THU",IF(OR(LEFT($G1391,3)="111",LEFT($G1391,3)="112",LEFT($G1391,3)="113"),"CHI",""))))</f>
        <v/>
      </c>
      <c r="N1391" s="117">
        <f>IF($M1391="THU",$G1391,IF($M1391="CHI",$F1391,""))</f>
        <v/>
      </c>
      <c r="O1391" s="117">
        <f>IF(OR($M1391="",$M1391="NB"),"",IF($J1391&lt;&gt;"",TEXT($J1391,"00"),IFERROR(VLOOKUP(LEFT($N1391,4),LCTT_MAP!$A$7:$C$66,IF($M1391="THU",2,3),FALSE()),IFERROR(VLOOKUP(LEFT($N1391,3),LCTT_MAP!$A$7:$C$66,IF($M1391="THU",2,3),FALSE()),IFERROR(VLOOKUP(LEFT($N1391,2),LCTT_MAP!$A$7:$C$66,IF($M1391="THU",2,3),FALSE()),IFERROR(VLOOKUP(LEFT($N1391,1),LCTT_MAP!$A$7:$C$66,IF($M1391="THU",2,3),FALSE()),IF($M1391="THU","06","07")))))))</f>
        <v/>
      </c>
      <c r="P1391" s="117">
        <f>P1390+IF(AND($H1391&lt;&gt;"",OR(LEFT($F1391,LEN(SC_TK))=SC_TK,LEFT($G1391,LEN(SC_TK))=SC_TK)),1,0)</f>
        <v/>
      </c>
    </row>
    <row r="1392" ht="15" customHeight="1" s="78">
      <c r="A1392" s="95">
        <f>IF($H1392="","",ROW()-6)</f>
        <v/>
      </c>
      <c r="B1392" s="114" t="n"/>
      <c r="C1392" s="102" t="n"/>
      <c r="D1392" s="114" t="n"/>
      <c r="E1392" s="103" t="n"/>
      <c r="F1392" s="102" t="n"/>
      <c r="G1392" s="102" t="n"/>
      <c r="H1392" s="115" t="n"/>
      <c r="I1392" s="102" t="n"/>
      <c r="J1392" s="102" t="n"/>
      <c r="K1392" s="103" t="n"/>
      <c r="L1392" s="116">
        <f>IF($H1392="","",TRIM(IF(COUNTIF(DMTK!$A$7:$A$250,$F1392)=0,"TK Nợ sai! ","")&amp;IF(COUNTIF(DMTK!$A$7:$A$250,$G1392)=0,"TK Có sai! ","")&amp;IF(N($H1392)&lt;=0,"Tiền phải &gt; 0! ","")&amp;IF($B1392="","Thiếu ngày! ","")&amp;IF(AND(OR(LEFT($F1392,3)="131",LEFT($G1392,3)="131",LEFT($F1392,3)="331",LEFT($G1392,3)="331"),$I1392=""),"Thiếu Mã ĐT! ","")&amp;IF(AND($I1392&lt;&gt;"",COUNTIF(DM_DT!$A$7:$A$306,$I1392)=0),"Mã ĐT chưa khai báo! ","")))</f>
        <v/>
      </c>
      <c r="M1392" s="117">
        <f>IF($H1392="","",IF(AND(OR(LEFT($F1392,3)="111",LEFT($F1392,3)="112",LEFT($F1392,3)="113"),OR(LEFT($G1392,3)="111",LEFT($G1392,3)="112",LEFT($G1392,3)="113")),"NB",IF(OR(LEFT($F1392,3)="111",LEFT($F1392,3)="112",LEFT($F1392,3)="113"),"THU",IF(OR(LEFT($G1392,3)="111",LEFT($G1392,3)="112",LEFT($G1392,3)="113"),"CHI",""))))</f>
        <v/>
      </c>
      <c r="N1392" s="117">
        <f>IF($M1392="THU",$G1392,IF($M1392="CHI",$F1392,""))</f>
        <v/>
      </c>
      <c r="O1392" s="117">
        <f>IF(OR($M1392="",$M1392="NB"),"",IF($J1392&lt;&gt;"",TEXT($J1392,"00"),IFERROR(VLOOKUP(LEFT($N1392,4),LCTT_MAP!$A$7:$C$66,IF($M1392="THU",2,3),FALSE()),IFERROR(VLOOKUP(LEFT($N1392,3),LCTT_MAP!$A$7:$C$66,IF($M1392="THU",2,3),FALSE()),IFERROR(VLOOKUP(LEFT($N1392,2),LCTT_MAP!$A$7:$C$66,IF($M1392="THU",2,3),FALSE()),IFERROR(VLOOKUP(LEFT($N1392,1),LCTT_MAP!$A$7:$C$66,IF($M1392="THU",2,3),FALSE()),IF($M1392="THU","06","07")))))))</f>
        <v/>
      </c>
      <c r="P1392" s="117">
        <f>P1391+IF(AND($H1392&lt;&gt;"",OR(LEFT($F1392,LEN(SC_TK))=SC_TK,LEFT($G1392,LEN(SC_TK))=SC_TK)),1,0)</f>
        <v/>
      </c>
    </row>
    <row r="1393" ht="15" customHeight="1" s="78">
      <c r="A1393" s="95">
        <f>IF($H1393="","",ROW()-6)</f>
        <v/>
      </c>
      <c r="B1393" s="114" t="n"/>
      <c r="C1393" s="102" t="n"/>
      <c r="D1393" s="114" t="n"/>
      <c r="E1393" s="103" t="n"/>
      <c r="F1393" s="102" t="n"/>
      <c r="G1393" s="102" t="n"/>
      <c r="H1393" s="115" t="n"/>
      <c r="I1393" s="102" t="n"/>
      <c r="J1393" s="102" t="n"/>
      <c r="K1393" s="103" t="n"/>
      <c r="L1393" s="116">
        <f>IF($H1393="","",TRIM(IF(COUNTIF(DMTK!$A$7:$A$250,$F1393)=0,"TK Nợ sai! ","")&amp;IF(COUNTIF(DMTK!$A$7:$A$250,$G1393)=0,"TK Có sai! ","")&amp;IF(N($H1393)&lt;=0,"Tiền phải &gt; 0! ","")&amp;IF($B1393="","Thiếu ngày! ","")&amp;IF(AND(OR(LEFT($F1393,3)="131",LEFT($G1393,3)="131",LEFT($F1393,3)="331",LEFT($G1393,3)="331"),$I1393=""),"Thiếu Mã ĐT! ","")&amp;IF(AND($I1393&lt;&gt;"",COUNTIF(DM_DT!$A$7:$A$306,$I1393)=0),"Mã ĐT chưa khai báo! ","")))</f>
        <v/>
      </c>
      <c r="M1393" s="117">
        <f>IF($H1393="","",IF(AND(OR(LEFT($F1393,3)="111",LEFT($F1393,3)="112",LEFT($F1393,3)="113"),OR(LEFT($G1393,3)="111",LEFT($G1393,3)="112",LEFT($G1393,3)="113")),"NB",IF(OR(LEFT($F1393,3)="111",LEFT($F1393,3)="112",LEFT($F1393,3)="113"),"THU",IF(OR(LEFT($G1393,3)="111",LEFT($G1393,3)="112",LEFT($G1393,3)="113"),"CHI",""))))</f>
        <v/>
      </c>
      <c r="N1393" s="117">
        <f>IF($M1393="THU",$G1393,IF($M1393="CHI",$F1393,""))</f>
        <v/>
      </c>
      <c r="O1393" s="117">
        <f>IF(OR($M1393="",$M1393="NB"),"",IF($J1393&lt;&gt;"",TEXT($J1393,"00"),IFERROR(VLOOKUP(LEFT($N1393,4),LCTT_MAP!$A$7:$C$66,IF($M1393="THU",2,3),FALSE()),IFERROR(VLOOKUP(LEFT($N1393,3),LCTT_MAP!$A$7:$C$66,IF($M1393="THU",2,3),FALSE()),IFERROR(VLOOKUP(LEFT($N1393,2),LCTT_MAP!$A$7:$C$66,IF($M1393="THU",2,3),FALSE()),IFERROR(VLOOKUP(LEFT($N1393,1),LCTT_MAP!$A$7:$C$66,IF($M1393="THU",2,3),FALSE()),IF($M1393="THU","06","07")))))))</f>
        <v/>
      </c>
      <c r="P1393" s="117">
        <f>P1392+IF(AND($H1393&lt;&gt;"",OR(LEFT($F1393,LEN(SC_TK))=SC_TK,LEFT($G1393,LEN(SC_TK))=SC_TK)),1,0)</f>
        <v/>
      </c>
    </row>
    <row r="1394" ht="15" customHeight="1" s="78">
      <c r="A1394" s="95">
        <f>IF($H1394="","",ROW()-6)</f>
        <v/>
      </c>
      <c r="B1394" s="114" t="n"/>
      <c r="C1394" s="102" t="n"/>
      <c r="D1394" s="114" t="n"/>
      <c r="E1394" s="103" t="n"/>
      <c r="F1394" s="102" t="n"/>
      <c r="G1394" s="102" t="n"/>
      <c r="H1394" s="115" t="n"/>
      <c r="I1394" s="102" t="n"/>
      <c r="J1394" s="102" t="n"/>
      <c r="K1394" s="103" t="n"/>
      <c r="L1394" s="116">
        <f>IF($H1394="","",TRIM(IF(COUNTIF(DMTK!$A$7:$A$250,$F1394)=0,"TK Nợ sai! ","")&amp;IF(COUNTIF(DMTK!$A$7:$A$250,$G1394)=0,"TK Có sai! ","")&amp;IF(N($H1394)&lt;=0,"Tiền phải &gt; 0! ","")&amp;IF($B1394="","Thiếu ngày! ","")&amp;IF(AND(OR(LEFT($F1394,3)="131",LEFT($G1394,3)="131",LEFT($F1394,3)="331",LEFT($G1394,3)="331"),$I1394=""),"Thiếu Mã ĐT! ","")&amp;IF(AND($I1394&lt;&gt;"",COUNTIF(DM_DT!$A$7:$A$306,$I1394)=0),"Mã ĐT chưa khai báo! ","")))</f>
        <v/>
      </c>
      <c r="M1394" s="117">
        <f>IF($H1394="","",IF(AND(OR(LEFT($F1394,3)="111",LEFT($F1394,3)="112",LEFT($F1394,3)="113"),OR(LEFT($G1394,3)="111",LEFT($G1394,3)="112",LEFT($G1394,3)="113")),"NB",IF(OR(LEFT($F1394,3)="111",LEFT($F1394,3)="112",LEFT($F1394,3)="113"),"THU",IF(OR(LEFT($G1394,3)="111",LEFT($G1394,3)="112",LEFT($G1394,3)="113"),"CHI",""))))</f>
        <v/>
      </c>
      <c r="N1394" s="117">
        <f>IF($M1394="THU",$G1394,IF($M1394="CHI",$F1394,""))</f>
        <v/>
      </c>
      <c r="O1394" s="117">
        <f>IF(OR($M1394="",$M1394="NB"),"",IF($J1394&lt;&gt;"",TEXT($J1394,"00"),IFERROR(VLOOKUP(LEFT($N1394,4),LCTT_MAP!$A$7:$C$66,IF($M1394="THU",2,3),FALSE()),IFERROR(VLOOKUP(LEFT($N1394,3),LCTT_MAP!$A$7:$C$66,IF($M1394="THU",2,3),FALSE()),IFERROR(VLOOKUP(LEFT($N1394,2),LCTT_MAP!$A$7:$C$66,IF($M1394="THU",2,3),FALSE()),IFERROR(VLOOKUP(LEFT($N1394,1),LCTT_MAP!$A$7:$C$66,IF($M1394="THU",2,3),FALSE()),IF($M1394="THU","06","07")))))))</f>
        <v/>
      </c>
      <c r="P1394" s="117">
        <f>P1393+IF(AND($H1394&lt;&gt;"",OR(LEFT($F1394,LEN(SC_TK))=SC_TK,LEFT($G1394,LEN(SC_TK))=SC_TK)),1,0)</f>
        <v/>
      </c>
    </row>
    <row r="1395" ht="15" customHeight="1" s="78">
      <c r="A1395" s="95">
        <f>IF($H1395="","",ROW()-6)</f>
        <v/>
      </c>
      <c r="B1395" s="114" t="n"/>
      <c r="C1395" s="102" t="n"/>
      <c r="D1395" s="114" t="n"/>
      <c r="E1395" s="103" t="n"/>
      <c r="F1395" s="102" t="n"/>
      <c r="G1395" s="102" t="n"/>
      <c r="H1395" s="115" t="n"/>
      <c r="I1395" s="102" t="n"/>
      <c r="J1395" s="102" t="n"/>
      <c r="K1395" s="103" t="n"/>
      <c r="L1395" s="116">
        <f>IF($H1395="","",TRIM(IF(COUNTIF(DMTK!$A$7:$A$250,$F1395)=0,"TK Nợ sai! ","")&amp;IF(COUNTIF(DMTK!$A$7:$A$250,$G1395)=0,"TK Có sai! ","")&amp;IF(N($H1395)&lt;=0,"Tiền phải &gt; 0! ","")&amp;IF($B1395="","Thiếu ngày! ","")&amp;IF(AND(OR(LEFT($F1395,3)="131",LEFT($G1395,3)="131",LEFT($F1395,3)="331",LEFT($G1395,3)="331"),$I1395=""),"Thiếu Mã ĐT! ","")&amp;IF(AND($I1395&lt;&gt;"",COUNTIF(DM_DT!$A$7:$A$306,$I1395)=0),"Mã ĐT chưa khai báo! ","")))</f>
        <v/>
      </c>
      <c r="M1395" s="117">
        <f>IF($H1395="","",IF(AND(OR(LEFT($F1395,3)="111",LEFT($F1395,3)="112",LEFT($F1395,3)="113"),OR(LEFT($G1395,3)="111",LEFT($G1395,3)="112",LEFT($G1395,3)="113")),"NB",IF(OR(LEFT($F1395,3)="111",LEFT($F1395,3)="112",LEFT($F1395,3)="113"),"THU",IF(OR(LEFT($G1395,3)="111",LEFT($G1395,3)="112",LEFT($G1395,3)="113"),"CHI",""))))</f>
        <v/>
      </c>
      <c r="N1395" s="117">
        <f>IF($M1395="THU",$G1395,IF($M1395="CHI",$F1395,""))</f>
        <v/>
      </c>
      <c r="O1395" s="117">
        <f>IF(OR($M1395="",$M1395="NB"),"",IF($J1395&lt;&gt;"",TEXT($J1395,"00"),IFERROR(VLOOKUP(LEFT($N1395,4),LCTT_MAP!$A$7:$C$66,IF($M1395="THU",2,3),FALSE()),IFERROR(VLOOKUP(LEFT($N1395,3),LCTT_MAP!$A$7:$C$66,IF($M1395="THU",2,3),FALSE()),IFERROR(VLOOKUP(LEFT($N1395,2),LCTT_MAP!$A$7:$C$66,IF($M1395="THU",2,3),FALSE()),IFERROR(VLOOKUP(LEFT($N1395,1),LCTT_MAP!$A$7:$C$66,IF($M1395="THU",2,3),FALSE()),IF($M1395="THU","06","07")))))))</f>
        <v/>
      </c>
      <c r="P1395" s="117">
        <f>P1394+IF(AND($H1395&lt;&gt;"",OR(LEFT($F1395,LEN(SC_TK))=SC_TK,LEFT($G1395,LEN(SC_TK))=SC_TK)),1,0)</f>
        <v/>
      </c>
    </row>
    <row r="1396" ht="15" customHeight="1" s="78">
      <c r="A1396" s="95">
        <f>IF($H1396="","",ROW()-6)</f>
        <v/>
      </c>
      <c r="B1396" s="114" t="n"/>
      <c r="C1396" s="102" t="n"/>
      <c r="D1396" s="114" t="n"/>
      <c r="E1396" s="103" t="n"/>
      <c r="F1396" s="102" t="n"/>
      <c r="G1396" s="102" t="n"/>
      <c r="H1396" s="115" t="n"/>
      <c r="I1396" s="102" t="n"/>
      <c r="J1396" s="102" t="n"/>
      <c r="K1396" s="103" t="n"/>
      <c r="L1396" s="116">
        <f>IF($H1396="","",TRIM(IF(COUNTIF(DMTK!$A$7:$A$250,$F1396)=0,"TK Nợ sai! ","")&amp;IF(COUNTIF(DMTK!$A$7:$A$250,$G1396)=0,"TK Có sai! ","")&amp;IF(N($H1396)&lt;=0,"Tiền phải &gt; 0! ","")&amp;IF($B1396="","Thiếu ngày! ","")&amp;IF(AND(OR(LEFT($F1396,3)="131",LEFT($G1396,3)="131",LEFT($F1396,3)="331",LEFT($G1396,3)="331"),$I1396=""),"Thiếu Mã ĐT! ","")&amp;IF(AND($I1396&lt;&gt;"",COUNTIF(DM_DT!$A$7:$A$306,$I1396)=0),"Mã ĐT chưa khai báo! ","")))</f>
        <v/>
      </c>
      <c r="M1396" s="117">
        <f>IF($H1396="","",IF(AND(OR(LEFT($F1396,3)="111",LEFT($F1396,3)="112",LEFT($F1396,3)="113"),OR(LEFT($G1396,3)="111",LEFT($G1396,3)="112",LEFT($G1396,3)="113")),"NB",IF(OR(LEFT($F1396,3)="111",LEFT($F1396,3)="112",LEFT($F1396,3)="113"),"THU",IF(OR(LEFT($G1396,3)="111",LEFT($G1396,3)="112",LEFT($G1396,3)="113"),"CHI",""))))</f>
        <v/>
      </c>
      <c r="N1396" s="117">
        <f>IF($M1396="THU",$G1396,IF($M1396="CHI",$F1396,""))</f>
        <v/>
      </c>
      <c r="O1396" s="117">
        <f>IF(OR($M1396="",$M1396="NB"),"",IF($J1396&lt;&gt;"",TEXT($J1396,"00"),IFERROR(VLOOKUP(LEFT($N1396,4),LCTT_MAP!$A$7:$C$66,IF($M1396="THU",2,3),FALSE()),IFERROR(VLOOKUP(LEFT($N1396,3),LCTT_MAP!$A$7:$C$66,IF($M1396="THU",2,3),FALSE()),IFERROR(VLOOKUP(LEFT($N1396,2),LCTT_MAP!$A$7:$C$66,IF($M1396="THU",2,3),FALSE()),IFERROR(VLOOKUP(LEFT($N1396,1),LCTT_MAP!$A$7:$C$66,IF($M1396="THU",2,3),FALSE()),IF($M1396="THU","06","07")))))))</f>
        <v/>
      </c>
      <c r="P1396" s="117">
        <f>P1395+IF(AND($H1396&lt;&gt;"",OR(LEFT($F1396,LEN(SC_TK))=SC_TK,LEFT($G1396,LEN(SC_TK))=SC_TK)),1,0)</f>
        <v/>
      </c>
    </row>
    <row r="1397" ht="15" customHeight="1" s="78">
      <c r="A1397" s="95">
        <f>IF($H1397="","",ROW()-6)</f>
        <v/>
      </c>
      <c r="B1397" s="114" t="n"/>
      <c r="C1397" s="102" t="n"/>
      <c r="D1397" s="114" t="n"/>
      <c r="E1397" s="103" t="n"/>
      <c r="F1397" s="102" t="n"/>
      <c r="G1397" s="102" t="n"/>
      <c r="H1397" s="115" t="n"/>
      <c r="I1397" s="102" t="n"/>
      <c r="J1397" s="102" t="n"/>
      <c r="K1397" s="103" t="n"/>
      <c r="L1397" s="116">
        <f>IF($H1397="","",TRIM(IF(COUNTIF(DMTK!$A$7:$A$250,$F1397)=0,"TK Nợ sai! ","")&amp;IF(COUNTIF(DMTK!$A$7:$A$250,$G1397)=0,"TK Có sai! ","")&amp;IF(N($H1397)&lt;=0,"Tiền phải &gt; 0! ","")&amp;IF($B1397="","Thiếu ngày! ","")&amp;IF(AND(OR(LEFT($F1397,3)="131",LEFT($G1397,3)="131",LEFT($F1397,3)="331",LEFT($G1397,3)="331"),$I1397=""),"Thiếu Mã ĐT! ","")&amp;IF(AND($I1397&lt;&gt;"",COUNTIF(DM_DT!$A$7:$A$306,$I1397)=0),"Mã ĐT chưa khai báo! ","")))</f>
        <v/>
      </c>
      <c r="M1397" s="117">
        <f>IF($H1397="","",IF(AND(OR(LEFT($F1397,3)="111",LEFT($F1397,3)="112",LEFT($F1397,3)="113"),OR(LEFT($G1397,3)="111",LEFT($G1397,3)="112",LEFT($G1397,3)="113")),"NB",IF(OR(LEFT($F1397,3)="111",LEFT($F1397,3)="112",LEFT($F1397,3)="113"),"THU",IF(OR(LEFT($G1397,3)="111",LEFT($G1397,3)="112",LEFT($G1397,3)="113"),"CHI",""))))</f>
        <v/>
      </c>
      <c r="N1397" s="117">
        <f>IF($M1397="THU",$G1397,IF($M1397="CHI",$F1397,""))</f>
        <v/>
      </c>
      <c r="O1397" s="117">
        <f>IF(OR($M1397="",$M1397="NB"),"",IF($J1397&lt;&gt;"",TEXT($J1397,"00"),IFERROR(VLOOKUP(LEFT($N1397,4),LCTT_MAP!$A$7:$C$66,IF($M1397="THU",2,3),FALSE()),IFERROR(VLOOKUP(LEFT($N1397,3),LCTT_MAP!$A$7:$C$66,IF($M1397="THU",2,3),FALSE()),IFERROR(VLOOKUP(LEFT($N1397,2),LCTT_MAP!$A$7:$C$66,IF($M1397="THU",2,3),FALSE()),IFERROR(VLOOKUP(LEFT($N1397,1),LCTT_MAP!$A$7:$C$66,IF($M1397="THU",2,3),FALSE()),IF($M1397="THU","06","07")))))))</f>
        <v/>
      </c>
      <c r="P1397" s="117">
        <f>P1396+IF(AND($H1397&lt;&gt;"",OR(LEFT($F1397,LEN(SC_TK))=SC_TK,LEFT($G1397,LEN(SC_TK))=SC_TK)),1,0)</f>
        <v/>
      </c>
    </row>
    <row r="1398" ht="15" customHeight="1" s="78">
      <c r="A1398" s="95">
        <f>IF($H1398="","",ROW()-6)</f>
        <v/>
      </c>
      <c r="B1398" s="114" t="n"/>
      <c r="C1398" s="102" t="n"/>
      <c r="D1398" s="114" t="n"/>
      <c r="E1398" s="103" t="n"/>
      <c r="F1398" s="102" t="n"/>
      <c r="G1398" s="102" t="n"/>
      <c r="H1398" s="115" t="n"/>
      <c r="I1398" s="102" t="n"/>
      <c r="J1398" s="102" t="n"/>
      <c r="K1398" s="103" t="n"/>
      <c r="L1398" s="116">
        <f>IF($H1398="","",TRIM(IF(COUNTIF(DMTK!$A$7:$A$250,$F1398)=0,"TK Nợ sai! ","")&amp;IF(COUNTIF(DMTK!$A$7:$A$250,$G1398)=0,"TK Có sai! ","")&amp;IF(N($H1398)&lt;=0,"Tiền phải &gt; 0! ","")&amp;IF($B1398="","Thiếu ngày! ","")&amp;IF(AND(OR(LEFT($F1398,3)="131",LEFT($G1398,3)="131",LEFT($F1398,3)="331",LEFT($G1398,3)="331"),$I1398=""),"Thiếu Mã ĐT! ","")&amp;IF(AND($I1398&lt;&gt;"",COUNTIF(DM_DT!$A$7:$A$306,$I1398)=0),"Mã ĐT chưa khai báo! ","")))</f>
        <v/>
      </c>
      <c r="M1398" s="117">
        <f>IF($H1398="","",IF(AND(OR(LEFT($F1398,3)="111",LEFT($F1398,3)="112",LEFT($F1398,3)="113"),OR(LEFT($G1398,3)="111",LEFT($G1398,3)="112",LEFT($G1398,3)="113")),"NB",IF(OR(LEFT($F1398,3)="111",LEFT($F1398,3)="112",LEFT($F1398,3)="113"),"THU",IF(OR(LEFT($G1398,3)="111",LEFT($G1398,3)="112",LEFT($G1398,3)="113"),"CHI",""))))</f>
        <v/>
      </c>
      <c r="N1398" s="117">
        <f>IF($M1398="THU",$G1398,IF($M1398="CHI",$F1398,""))</f>
        <v/>
      </c>
      <c r="O1398" s="117">
        <f>IF(OR($M1398="",$M1398="NB"),"",IF($J1398&lt;&gt;"",TEXT($J1398,"00"),IFERROR(VLOOKUP(LEFT($N1398,4),LCTT_MAP!$A$7:$C$66,IF($M1398="THU",2,3),FALSE()),IFERROR(VLOOKUP(LEFT($N1398,3),LCTT_MAP!$A$7:$C$66,IF($M1398="THU",2,3),FALSE()),IFERROR(VLOOKUP(LEFT($N1398,2),LCTT_MAP!$A$7:$C$66,IF($M1398="THU",2,3),FALSE()),IFERROR(VLOOKUP(LEFT($N1398,1),LCTT_MAP!$A$7:$C$66,IF($M1398="THU",2,3),FALSE()),IF($M1398="THU","06","07")))))))</f>
        <v/>
      </c>
      <c r="P1398" s="117">
        <f>P1397+IF(AND($H1398&lt;&gt;"",OR(LEFT($F1398,LEN(SC_TK))=SC_TK,LEFT($G1398,LEN(SC_TK))=SC_TK)),1,0)</f>
        <v/>
      </c>
    </row>
    <row r="1399" ht="15" customHeight="1" s="78">
      <c r="A1399" s="95">
        <f>IF($H1399="","",ROW()-6)</f>
        <v/>
      </c>
      <c r="B1399" s="114" t="n"/>
      <c r="C1399" s="102" t="n"/>
      <c r="D1399" s="114" t="n"/>
      <c r="E1399" s="103" t="n"/>
      <c r="F1399" s="102" t="n"/>
      <c r="G1399" s="102" t="n"/>
      <c r="H1399" s="115" t="n"/>
      <c r="I1399" s="102" t="n"/>
      <c r="J1399" s="102" t="n"/>
      <c r="K1399" s="103" t="n"/>
      <c r="L1399" s="116">
        <f>IF($H1399="","",TRIM(IF(COUNTIF(DMTK!$A$7:$A$250,$F1399)=0,"TK Nợ sai! ","")&amp;IF(COUNTIF(DMTK!$A$7:$A$250,$G1399)=0,"TK Có sai! ","")&amp;IF(N($H1399)&lt;=0,"Tiền phải &gt; 0! ","")&amp;IF($B1399="","Thiếu ngày! ","")&amp;IF(AND(OR(LEFT($F1399,3)="131",LEFT($G1399,3)="131",LEFT($F1399,3)="331",LEFT($G1399,3)="331"),$I1399=""),"Thiếu Mã ĐT! ","")&amp;IF(AND($I1399&lt;&gt;"",COUNTIF(DM_DT!$A$7:$A$306,$I1399)=0),"Mã ĐT chưa khai báo! ","")))</f>
        <v/>
      </c>
      <c r="M1399" s="117">
        <f>IF($H1399="","",IF(AND(OR(LEFT($F1399,3)="111",LEFT($F1399,3)="112",LEFT($F1399,3)="113"),OR(LEFT($G1399,3)="111",LEFT($G1399,3)="112",LEFT($G1399,3)="113")),"NB",IF(OR(LEFT($F1399,3)="111",LEFT($F1399,3)="112",LEFT($F1399,3)="113"),"THU",IF(OR(LEFT($G1399,3)="111",LEFT($G1399,3)="112",LEFT($G1399,3)="113"),"CHI",""))))</f>
        <v/>
      </c>
      <c r="N1399" s="117">
        <f>IF($M1399="THU",$G1399,IF($M1399="CHI",$F1399,""))</f>
        <v/>
      </c>
      <c r="O1399" s="117">
        <f>IF(OR($M1399="",$M1399="NB"),"",IF($J1399&lt;&gt;"",TEXT($J1399,"00"),IFERROR(VLOOKUP(LEFT($N1399,4),LCTT_MAP!$A$7:$C$66,IF($M1399="THU",2,3),FALSE()),IFERROR(VLOOKUP(LEFT($N1399,3),LCTT_MAP!$A$7:$C$66,IF($M1399="THU",2,3),FALSE()),IFERROR(VLOOKUP(LEFT($N1399,2),LCTT_MAP!$A$7:$C$66,IF($M1399="THU",2,3),FALSE()),IFERROR(VLOOKUP(LEFT($N1399,1),LCTT_MAP!$A$7:$C$66,IF($M1399="THU",2,3),FALSE()),IF($M1399="THU","06","07")))))))</f>
        <v/>
      </c>
      <c r="P1399" s="117">
        <f>P1398+IF(AND($H1399&lt;&gt;"",OR(LEFT($F1399,LEN(SC_TK))=SC_TK,LEFT($G1399,LEN(SC_TK))=SC_TK)),1,0)</f>
        <v/>
      </c>
    </row>
    <row r="1400" ht="15" customHeight="1" s="78">
      <c r="A1400" s="95">
        <f>IF($H1400="","",ROW()-6)</f>
        <v/>
      </c>
      <c r="B1400" s="114" t="n"/>
      <c r="C1400" s="102" t="n"/>
      <c r="D1400" s="114" t="n"/>
      <c r="E1400" s="103" t="n"/>
      <c r="F1400" s="102" t="n"/>
      <c r="G1400" s="102" t="n"/>
      <c r="H1400" s="115" t="n"/>
      <c r="I1400" s="102" t="n"/>
      <c r="J1400" s="102" t="n"/>
      <c r="K1400" s="103" t="n"/>
      <c r="L1400" s="116">
        <f>IF($H1400="","",TRIM(IF(COUNTIF(DMTK!$A$7:$A$250,$F1400)=0,"TK Nợ sai! ","")&amp;IF(COUNTIF(DMTK!$A$7:$A$250,$G1400)=0,"TK Có sai! ","")&amp;IF(N($H1400)&lt;=0,"Tiền phải &gt; 0! ","")&amp;IF($B1400="","Thiếu ngày! ","")&amp;IF(AND(OR(LEFT($F1400,3)="131",LEFT($G1400,3)="131",LEFT($F1400,3)="331",LEFT($G1400,3)="331"),$I1400=""),"Thiếu Mã ĐT! ","")&amp;IF(AND($I1400&lt;&gt;"",COUNTIF(DM_DT!$A$7:$A$306,$I1400)=0),"Mã ĐT chưa khai báo! ","")))</f>
        <v/>
      </c>
      <c r="M1400" s="117">
        <f>IF($H1400="","",IF(AND(OR(LEFT($F1400,3)="111",LEFT($F1400,3)="112",LEFT($F1400,3)="113"),OR(LEFT($G1400,3)="111",LEFT($G1400,3)="112",LEFT($G1400,3)="113")),"NB",IF(OR(LEFT($F1400,3)="111",LEFT($F1400,3)="112",LEFT($F1400,3)="113"),"THU",IF(OR(LEFT($G1400,3)="111",LEFT($G1400,3)="112",LEFT($G1400,3)="113"),"CHI",""))))</f>
        <v/>
      </c>
      <c r="N1400" s="117">
        <f>IF($M1400="THU",$G1400,IF($M1400="CHI",$F1400,""))</f>
        <v/>
      </c>
      <c r="O1400" s="117">
        <f>IF(OR($M1400="",$M1400="NB"),"",IF($J1400&lt;&gt;"",TEXT($J1400,"00"),IFERROR(VLOOKUP(LEFT($N1400,4),LCTT_MAP!$A$7:$C$66,IF($M1400="THU",2,3),FALSE()),IFERROR(VLOOKUP(LEFT($N1400,3),LCTT_MAP!$A$7:$C$66,IF($M1400="THU",2,3),FALSE()),IFERROR(VLOOKUP(LEFT($N1400,2),LCTT_MAP!$A$7:$C$66,IF($M1400="THU",2,3),FALSE()),IFERROR(VLOOKUP(LEFT($N1400,1),LCTT_MAP!$A$7:$C$66,IF($M1400="THU",2,3),FALSE()),IF($M1400="THU","06","07")))))))</f>
        <v/>
      </c>
      <c r="P1400" s="117">
        <f>P1399+IF(AND($H1400&lt;&gt;"",OR(LEFT($F1400,LEN(SC_TK))=SC_TK,LEFT($G1400,LEN(SC_TK))=SC_TK)),1,0)</f>
        <v/>
      </c>
    </row>
    <row r="1401" ht="15" customHeight="1" s="78">
      <c r="A1401" s="95">
        <f>IF($H1401="","",ROW()-6)</f>
        <v/>
      </c>
      <c r="B1401" s="114" t="n"/>
      <c r="C1401" s="102" t="n"/>
      <c r="D1401" s="114" t="n"/>
      <c r="E1401" s="103" t="n"/>
      <c r="F1401" s="102" t="n"/>
      <c r="G1401" s="102" t="n"/>
      <c r="H1401" s="115" t="n"/>
      <c r="I1401" s="102" t="n"/>
      <c r="J1401" s="102" t="n"/>
      <c r="K1401" s="103" t="n"/>
      <c r="L1401" s="116">
        <f>IF($H1401="","",TRIM(IF(COUNTIF(DMTK!$A$7:$A$250,$F1401)=0,"TK Nợ sai! ","")&amp;IF(COUNTIF(DMTK!$A$7:$A$250,$G1401)=0,"TK Có sai! ","")&amp;IF(N($H1401)&lt;=0,"Tiền phải &gt; 0! ","")&amp;IF($B1401="","Thiếu ngày! ","")&amp;IF(AND(OR(LEFT($F1401,3)="131",LEFT($G1401,3)="131",LEFT($F1401,3)="331",LEFT($G1401,3)="331"),$I1401=""),"Thiếu Mã ĐT! ","")&amp;IF(AND($I1401&lt;&gt;"",COUNTIF(DM_DT!$A$7:$A$306,$I1401)=0),"Mã ĐT chưa khai báo! ","")))</f>
        <v/>
      </c>
      <c r="M1401" s="117">
        <f>IF($H1401="","",IF(AND(OR(LEFT($F1401,3)="111",LEFT($F1401,3)="112",LEFT($F1401,3)="113"),OR(LEFT($G1401,3)="111",LEFT($G1401,3)="112",LEFT($G1401,3)="113")),"NB",IF(OR(LEFT($F1401,3)="111",LEFT($F1401,3)="112",LEFT($F1401,3)="113"),"THU",IF(OR(LEFT($G1401,3)="111",LEFT($G1401,3)="112",LEFT($G1401,3)="113"),"CHI",""))))</f>
        <v/>
      </c>
      <c r="N1401" s="117">
        <f>IF($M1401="THU",$G1401,IF($M1401="CHI",$F1401,""))</f>
        <v/>
      </c>
      <c r="O1401" s="117">
        <f>IF(OR($M1401="",$M1401="NB"),"",IF($J1401&lt;&gt;"",TEXT($J1401,"00"),IFERROR(VLOOKUP(LEFT($N1401,4),LCTT_MAP!$A$7:$C$66,IF($M1401="THU",2,3),FALSE()),IFERROR(VLOOKUP(LEFT($N1401,3),LCTT_MAP!$A$7:$C$66,IF($M1401="THU",2,3),FALSE()),IFERROR(VLOOKUP(LEFT($N1401,2),LCTT_MAP!$A$7:$C$66,IF($M1401="THU",2,3),FALSE()),IFERROR(VLOOKUP(LEFT($N1401,1),LCTT_MAP!$A$7:$C$66,IF($M1401="THU",2,3),FALSE()),IF($M1401="THU","06","07")))))))</f>
        <v/>
      </c>
      <c r="P1401" s="117">
        <f>P1400+IF(AND($H1401&lt;&gt;"",OR(LEFT($F1401,LEN(SC_TK))=SC_TK,LEFT($G1401,LEN(SC_TK))=SC_TK)),1,0)</f>
        <v/>
      </c>
    </row>
    <row r="1402" ht="15" customHeight="1" s="78">
      <c r="A1402" s="95">
        <f>IF($H1402="","",ROW()-6)</f>
        <v/>
      </c>
      <c r="B1402" s="114" t="n"/>
      <c r="C1402" s="102" t="n"/>
      <c r="D1402" s="114" t="n"/>
      <c r="E1402" s="103" t="n"/>
      <c r="F1402" s="102" t="n"/>
      <c r="G1402" s="102" t="n"/>
      <c r="H1402" s="115" t="n"/>
      <c r="I1402" s="102" t="n"/>
      <c r="J1402" s="102" t="n"/>
      <c r="K1402" s="103" t="n"/>
      <c r="L1402" s="116">
        <f>IF($H1402="","",TRIM(IF(COUNTIF(DMTK!$A$7:$A$250,$F1402)=0,"TK Nợ sai! ","")&amp;IF(COUNTIF(DMTK!$A$7:$A$250,$G1402)=0,"TK Có sai! ","")&amp;IF(N($H1402)&lt;=0,"Tiền phải &gt; 0! ","")&amp;IF($B1402="","Thiếu ngày! ","")&amp;IF(AND(OR(LEFT($F1402,3)="131",LEFT($G1402,3)="131",LEFT($F1402,3)="331",LEFT($G1402,3)="331"),$I1402=""),"Thiếu Mã ĐT! ","")&amp;IF(AND($I1402&lt;&gt;"",COUNTIF(DM_DT!$A$7:$A$306,$I1402)=0),"Mã ĐT chưa khai báo! ","")))</f>
        <v/>
      </c>
      <c r="M1402" s="117">
        <f>IF($H1402="","",IF(AND(OR(LEFT($F1402,3)="111",LEFT($F1402,3)="112",LEFT($F1402,3)="113"),OR(LEFT($G1402,3)="111",LEFT($G1402,3)="112",LEFT($G1402,3)="113")),"NB",IF(OR(LEFT($F1402,3)="111",LEFT($F1402,3)="112",LEFT($F1402,3)="113"),"THU",IF(OR(LEFT($G1402,3)="111",LEFT($G1402,3)="112",LEFT($G1402,3)="113"),"CHI",""))))</f>
        <v/>
      </c>
      <c r="N1402" s="117">
        <f>IF($M1402="THU",$G1402,IF($M1402="CHI",$F1402,""))</f>
        <v/>
      </c>
      <c r="O1402" s="117">
        <f>IF(OR($M1402="",$M1402="NB"),"",IF($J1402&lt;&gt;"",TEXT($J1402,"00"),IFERROR(VLOOKUP(LEFT($N1402,4),LCTT_MAP!$A$7:$C$66,IF($M1402="THU",2,3),FALSE()),IFERROR(VLOOKUP(LEFT($N1402,3),LCTT_MAP!$A$7:$C$66,IF($M1402="THU",2,3),FALSE()),IFERROR(VLOOKUP(LEFT($N1402,2),LCTT_MAP!$A$7:$C$66,IF($M1402="THU",2,3),FALSE()),IFERROR(VLOOKUP(LEFT($N1402,1),LCTT_MAP!$A$7:$C$66,IF($M1402="THU",2,3),FALSE()),IF($M1402="THU","06","07")))))))</f>
        <v/>
      </c>
      <c r="P1402" s="117">
        <f>P1401+IF(AND($H1402&lt;&gt;"",OR(LEFT($F1402,LEN(SC_TK))=SC_TK,LEFT($G1402,LEN(SC_TK))=SC_TK)),1,0)</f>
        <v/>
      </c>
    </row>
    <row r="1403" ht="15" customHeight="1" s="78">
      <c r="A1403" s="95">
        <f>IF($H1403="","",ROW()-6)</f>
        <v/>
      </c>
      <c r="B1403" s="114" t="n"/>
      <c r="C1403" s="102" t="n"/>
      <c r="D1403" s="114" t="n"/>
      <c r="E1403" s="103" t="n"/>
      <c r="F1403" s="102" t="n"/>
      <c r="G1403" s="102" t="n"/>
      <c r="H1403" s="115" t="n"/>
      <c r="I1403" s="102" t="n"/>
      <c r="J1403" s="102" t="n"/>
      <c r="K1403" s="103" t="n"/>
      <c r="L1403" s="116">
        <f>IF($H1403="","",TRIM(IF(COUNTIF(DMTK!$A$7:$A$250,$F1403)=0,"TK Nợ sai! ","")&amp;IF(COUNTIF(DMTK!$A$7:$A$250,$G1403)=0,"TK Có sai! ","")&amp;IF(N($H1403)&lt;=0,"Tiền phải &gt; 0! ","")&amp;IF($B1403="","Thiếu ngày! ","")&amp;IF(AND(OR(LEFT($F1403,3)="131",LEFT($G1403,3)="131",LEFT($F1403,3)="331",LEFT($G1403,3)="331"),$I1403=""),"Thiếu Mã ĐT! ","")&amp;IF(AND($I1403&lt;&gt;"",COUNTIF(DM_DT!$A$7:$A$306,$I1403)=0),"Mã ĐT chưa khai báo! ","")))</f>
        <v/>
      </c>
      <c r="M1403" s="117">
        <f>IF($H1403="","",IF(AND(OR(LEFT($F1403,3)="111",LEFT($F1403,3)="112",LEFT($F1403,3)="113"),OR(LEFT($G1403,3)="111",LEFT($G1403,3)="112",LEFT($G1403,3)="113")),"NB",IF(OR(LEFT($F1403,3)="111",LEFT($F1403,3)="112",LEFT($F1403,3)="113"),"THU",IF(OR(LEFT($G1403,3)="111",LEFT($G1403,3)="112",LEFT($G1403,3)="113"),"CHI",""))))</f>
        <v/>
      </c>
      <c r="N1403" s="117">
        <f>IF($M1403="THU",$G1403,IF($M1403="CHI",$F1403,""))</f>
        <v/>
      </c>
      <c r="O1403" s="117">
        <f>IF(OR($M1403="",$M1403="NB"),"",IF($J1403&lt;&gt;"",TEXT($J1403,"00"),IFERROR(VLOOKUP(LEFT($N1403,4),LCTT_MAP!$A$7:$C$66,IF($M1403="THU",2,3),FALSE()),IFERROR(VLOOKUP(LEFT($N1403,3),LCTT_MAP!$A$7:$C$66,IF($M1403="THU",2,3),FALSE()),IFERROR(VLOOKUP(LEFT($N1403,2),LCTT_MAP!$A$7:$C$66,IF($M1403="THU",2,3),FALSE()),IFERROR(VLOOKUP(LEFT($N1403,1),LCTT_MAP!$A$7:$C$66,IF($M1403="THU",2,3),FALSE()),IF($M1403="THU","06","07")))))))</f>
        <v/>
      </c>
      <c r="P1403" s="117">
        <f>P1402+IF(AND($H1403&lt;&gt;"",OR(LEFT($F1403,LEN(SC_TK))=SC_TK,LEFT($G1403,LEN(SC_TK))=SC_TK)),1,0)</f>
        <v/>
      </c>
    </row>
    <row r="1404" ht="15" customHeight="1" s="78">
      <c r="A1404" s="95">
        <f>IF($H1404="","",ROW()-6)</f>
        <v/>
      </c>
      <c r="B1404" s="114" t="n"/>
      <c r="C1404" s="102" t="n"/>
      <c r="D1404" s="114" t="n"/>
      <c r="E1404" s="103" t="n"/>
      <c r="F1404" s="102" t="n"/>
      <c r="G1404" s="102" t="n"/>
      <c r="H1404" s="115" t="n"/>
      <c r="I1404" s="102" t="n"/>
      <c r="J1404" s="102" t="n"/>
      <c r="K1404" s="103" t="n"/>
      <c r="L1404" s="116">
        <f>IF($H1404="","",TRIM(IF(COUNTIF(DMTK!$A$7:$A$250,$F1404)=0,"TK Nợ sai! ","")&amp;IF(COUNTIF(DMTK!$A$7:$A$250,$G1404)=0,"TK Có sai! ","")&amp;IF(N($H1404)&lt;=0,"Tiền phải &gt; 0! ","")&amp;IF($B1404="","Thiếu ngày! ","")&amp;IF(AND(OR(LEFT($F1404,3)="131",LEFT($G1404,3)="131",LEFT($F1404,3)="331",LEFT($G1404,3)="331"),$I1404=""),"Thiếu Mã ĐT! ","")&amp;IF(AND($I1404&lt;&gt;"",COUNTIF(DM_DT!$A$7:$A$306,$I1404)=0),"Mã ĐT chưa khai báo! ","")))</f>
        <v/>
      </c>
      <c r="M1404" s="117">
        <f>IF($H1404="","",IF(AND(OR(LEFT($F1404,3)="111",LEFT($F1404,3)="112",LEFT($F1404,3)="113"),OR(LEFT($G1404,3)="111",LEFT($G1404,3)="112",LEFT($G1404,3)="113")),"NB",IF(OR(LEFT($F1404,3)="111",LEFT($F1404,3)="112",LEFT($F1404,3)="113"),"THU",IF(OR(LEFT($G1404,3)="111",LEFT($G1404,3)="112",LEFT($G1404,3)="113"),"CHI",""))))</f>
        <v/>
      </c>
      <c r="N1404" s="117">
        <f>IF($M1404="THU",$G1404,IF($M1404="CHI",$F1404,""))</f>
        <v/>
      </c>
      <c r="O1404" s="117">
        <f>IF(OR($M1404="",$M1404="NB"),"",IF($J1404&lt;&gt;"",TEXT($J1404,"00"),IFERROR(VLOOKUP(LEFT($N1404,4),LCTT_MAP!$A$7:$C$66,IF($M1404="THU",2,3),FALSE()),IFERROR(VLOOKUP(LEFT($N1404,3),LCTT_MAP!$A$7:$C$66,IF($M1404="THU",2,3),FALSE()),IFERROR(VLOOKUP(LEFT($N1404,2),LCTT_MAP!$A$7:$C$66,IF($M1404="THU",2,3),FALSE()),IFERROR(VLOOKUP(LEFT($N1404,1),LCTT_MAP!$A$7:$C$66,IF($M1404="THU",2,3),FALSE()),IF($M1404="THU","06","07")))))))</f>
        <v/>
      </c>
      <c r="P1404" s="117">
        <f>P1403+IF(AND($H1404&lt;&gt;"",OR(LEFT($F1404,LEN(SC_TK))=SC_TK,LEFT($G1404,LEN(SC_TK))=SC_TK)),1,0)</f>
        <v/>
      </c>
    </row>
    <row r="1405" ht="15" customHeight="1" s="78">
      <c r="A1405" s="95">
        <f>IF($H1405="","",ROW()-6)</f>
        <v/>
      </c>
      <c r="B1405" s="114" t="n"/>
      <c r="C1405" s="102" t="n"/>
      <c r="D1405" s="114" t="n"/>
      <c r="E1405" s="103" t="n"/>
      <c r="F1405" s="102" t="n"/>
      <c r="G1405" s="102" t="n"/>
      <c r="H1405" s="115" t="n"/>
      <c r="I1405" s="102" t="n"/>
      <c r="J1405" s="102" t="n"/>
      <c r="K1405" s="103" t="n"/>
      <c r="L1405" s="116">
        <f>IF($H1405="","",TRIM(IF(COUNTIF(DMTK!$A$7:$A$250,$F1405)=0,"TK Nợ sai! ","")&amp;IF(COUNTIF(DMTK!$A$7:$A$250,$G1405)=0,"TK Có sai! ","")&amp;IF(N($H1405)&lt;=0,"Tiền phải &gt; 0! ","")&amp;IF($B1405="","Thiếu ngày! ","")&amp;IF(AND(OR(LEFT($F1405,3)="131",LEFT($G1405,3)="131",LEFT($F1405,3)="331",LEFT($G1405,3)="331"),$I1405=""),"Thiếu Mã ĐT! ","")&amp;IF(AND($I1405&lt;&gt;"",COUNTIF(DM_DT!$A$7:$A$306,$I1405)=0),"Mã ĐT chưa khai báo! ","")))</f>
        <v/>
      </c>
      <c r="M1405" s="117">
        <f>IF($H1405="","",IF(AND(OR(LEFT($F1405,3)="111",LEFT($F1405,3)="112",LEFT($F1405,3)="113"),OR(LEFT($G1405,3)="111",LEFT($G1405,3)="112",LEFT($G1405,3)="113")),"NB",IF(OR(LEFT($F1405,3)="111",LEFT($F1405,3)="112",LEFT($F1405,3)="113"),"THU",IF(OR(LEFT($G1405,3)="111",LEFT($G1405,3)="112",LEFT($G1405,3)="113"),"CHI",""))))</f>
        <v/>
      </c>
      <c r="N1405" s="117">
        <f>IF($M1405="THU",$G1405,IF($M1405="CHI",$F1405,""))</f>
        <v/>
      </c>
      <c r="O1405" s="117">
        <f>IF(OR($M1405="",$M1405="NB"),"",IF($J1405&lt;&gt;"",TEXT($J1405,"00"),IFERROR(VLOOKUP(LEFT($N1405,4),LCTT_MAP!$A$7:$C$66,IF($M1405="THU",2,3),FALSE()),IFERROR(VLOOKUP(LEFT($N1405,3),LCTT_MAP!$A$7:$C$66,IF($M1405="THU",2,3),FALSE()),IFERROR(VLOOKUP(LEFT($N1405,2),LCTT_MAP!$A$7:$C$66,IF($M1405="THU",2,3),FALSE()),IFERROR(VLOOKUP(LEFT($N1405,1),LCTT_MAP!$A$7:$C$66,IF($M1405="THU",2,3),FALSE()),IF($M1405="THU","06","07")))))))</f>
        <v/>
      </c>
      <c r="P1405" s="117">
        <f>P1404+IF(AND($H1405&lt;&gt;"",OR(LEFT($F1405,LEN(SC_TK))=SC_TK,LEFT($G1405,LEN(SC_TK))=SC_TK)),1,0)</f>
        <v/>
      </c>
    </row>
    <row r="1406" ht="15" customHeight="1" s="78">
      <c r="A1406" s="95">
        <f>IF($H1406="","",ROW()-6)</f>
        <v/>
      </c>
      <c r="B1406" s="114" t="n"/>
      <c r="C1406" s="102" t="n"/>
      <c r="D1406" s="114" t="n"/>
      <c r="E1406" s="103" t="n"/>
      <c r="F1406" s="102" t="n"/>
      <c r="G1406" s="102" t="n"/>
      <c r="H1406" s="115" t="n"/>
      <c r="I1406" s="102" t="n"/>
      <c r="J1406" s="102" t="n"/>
      <c r="K1406" s="103" t="n"/>
      <c r="L1406" s="116">
        <f>IF($H1406="","",TRIM(IF(COUNTIF(DMTK!$A$7:$A$250,$F1406)=0,"TK Nợ sai! ","")&amp;IF(COUNTIF(DMTK!$A$7:$A$250,$G1406)=0,"TK Có sai! ","")&amp;IF(N($H1406)&lt;=0,"Tiền phải &gt; 0! ","")&amp;IF($B1406="","Thiếu ngày! ","")&amp;IF(AND(OR(LEFT($F1406,3)="131",LEFT($G1406,3)="131",LEFT($F1406,3)="331",LEFT($G1406,3)="331"),$I1406=""),"Thiếu Mã ĐT! ","")&amp;IF(AND($I1406&lt;&gt;"",COUNTIF(DM_DT!$A$7:$A$306,$I1406)=0),"Mã ĐT chưa khai báo! ","")))</f>
        <v/>
      </c>
      <c r="M1406" s="117">
        <f>IF($H1406="","",IF(AND(OR(LEFT($F1406,3)="111",LEFT($F1406,3)="112",LEFT($F1406,3)="113"),OR(LEFT($G1406,3)="111",LEFT($G1406,3)="112",LEFT($G1406,3)="113")),"NB",IF(OR(LEFT($F1406,3)="111",LEFT($F1406,3)="112",LEFT($F1406,3)="113"),"THU",IF(OR(LEFT($G1406,3)="111",LEFT($G1406,3)="112",LEFT($G1406,3)="113"),"CHI",""))))</f>
        <v/>
      </c>
      <c r="N1406" s="117">
        <f>IF($M1406="THU",$G1406,IF($M1406="CHI",$F1406,""))</f>
        <v/>
      </c>
      <c r="O1406" s="117">
        <f>IF(OR($M1406="",$M1406="NB"),"",IF($J1406&lt;&gt;"",TEXT($J1406,"00"),IFERROR(VLOOKUP(LEFT($N1406,4),LCTT_MAP!$A$7:$C$66,IF($M1406="THU",2,3),FALSE()),IFERROR(VLOOKUP(LEFT($N1406,3),LCTT_MAP!$A$7:$C$66,IF($M1406="THU",2,3),FALSE()),IFERROR(VLOOKUP(LEFT($N1406,2),LCTT_MAP!$A$7:$C$66,IF($M1406="THU",2,3),FALSE()),IFERROR(VLOOKUP(LEFT($N1406,1),LCTT_MAP!$A$7:$C$66,IF($M1406="THU",2,3),FALSE()),IF($M1406="THU","06","07")))))))</f>
        <v/>
      </c>
      <c r="P1406" s="117">
        <f>P1405+IF(AND($H1406&lt;&gt;"",OR(LEFT($F1406,LEN(SC_TK))=SC_TK,LEFT($G1406,LEN(SC_TK))=SC_TK)),1,0)</f>
        <v/>
      </c>
    </row>
    <row r="1407" ht="15" customHeight="1" s="78">
      <c r="A1407" s="95">
        <f>IF($H1407="","",ROW()-6)</f>
        <v/>
      </c>
      <c r="B1407" s="114" t="n"/>
      <c r="C1407" s="102" t="n"/>
      <c r="D1407" s="114" t="n"/>
      <c r="E1407" s="103" t="n"/>
      <c r="F1407" s="102" t="n"/>
      <c r="G1407" s="102" t="n"/>
      <c r="H1407" s="115" t="n"/>
      <c r="I1407" s="102" t="n"/>
      <c r="J1407" s="102" t="n"/>
      <c r="K1407" s="103" t="n"/>
      <c r="L1407" s="116">
        <f>IF($H1407="","",TRIM(IF(COUNTIF(DMTK!$A$7:$A$250,$F1407)=0,"TK Nợ sai! ","")&amp;IF(COUNTIF(DMTK!$A$7:$A$250,$G1407)=0,"TK Có sai! ","")&amp;IF(N($H1407)&lt;=0,"Tiền phải &gt; 0! ","")&amp;IF($B1407="","Thiếu ngày! ","")&amp;IF(AND(OR(LEFT($F1407,3)="131",LEFT($G1407,3)="131",LEFT($F1407,3)="331",LEFT($G1407,3)="331"),$I1407=""),"Thiếu Mã ĐT! ","")&amp;IF(AND($I1407&lt;&gt;"",COUNTIF(DM_DT!$A$7:$A$306,$I1407)=0),"Mã ĐT chưa khai báo! ","")))</f>
        <v/>
      </c>
      <c r="M1407" s="117">
        <f>IF($H1407="","",IF(AND(OR(LEFT($F1407,3)="111",LEFT($F1407,3)="112",LEFT($F1407,3)="113"),OR(LEFT($G1407,3)="111",LEFT($G1407,3)="112",LEFT($G1407,3)="113")),"NB",IF(OR(LEFT($F1407,3)="111",LEFT($F1407,3)="112",LEFT($F1407,3)="113"),"THU",IF(OR(LEFT($G1407,3)="111",LEFT($G1407,3)="112",LEFT($G1407,3)="113"),"CHI",""))))</f>
        <v/>
      </c>
      <c r="N1407" s="117">
        <f>IF($M1407="THU",$G1407,IF($M1407="CHI",$F1407,""))</f>
        <v/>
      </c>
      <c r="O1407" s="117">
        <f>IF(OR($M1407="",$M1407="NB"),"",IF($J1407&lt;&gt;"",TEXT($J1407,"00"),IFERROR(VLOOKUP(LEFT($N1407,4),LCTT_MAP!$A$7:$C$66,IF($M1407="THU",2,3),FALSE()),IFERROR(VLOOKUP(LEFT($N1407,3),LCTT_MAP!$A$7:$C$66,IF($M1407="THU",2,3),FALSE()),IFERROR(VLOOKUP(LEFT($N1407,2),LCTT_MAP!$A$7:$C$66,IF($M1407="THU",2,3),FALSE()),IFERROR(VLOOKUP(LEFT($N1407,1),LCTT_MAP!$A$7:$C$66,IF($M1407="THU",2,3),FALSE()),IF($M1407="THU","06","07")))))))</f>
        <v/>
      </c>
      <c r="P1407" s="117">
        <f>P1406+IF(AND($H1407&lt;&gt;"",OR(LEFT($F1407,LEN(SC_TK))=SC_TK,LEFT($G1407,LEN(SC_TK))=SC_TK)),1,0)</f>
        <v/>
      </c>
    </row>
    <row r="1408" ht="15" customHeight="1" s="78">
      <c r="A1408" s="95">
        <f>IF($H1408="","",ROW()-6)</f>
        <v/>
      </c>
      <c r="B1408" s="114" t="n"/>
      <c r="C1408" s="102" t="n"/>
      <c r="D1408" s="114" t="n"/>
      <c r="E1408" s="103" t="n"/>
      <c r="F1408" s="102" t="n"/>
      <c r="G1408" s="102" t="n"/>
      <c r="H1408" s="115" t="n"/>
      <c r="I1408" s="102" t="n"/>
      <c r="J1408" s="102" t="n"/>
      <c r="K1408" s="103" t="n"/>
      <c r="L1408" s="116">
        <f>IF($H1408="","",TRIM(IF(COUNTIF(DMTK!$A$7:$A$250,$F1408)=0,"TK Nợ sai! ","")&amp;IF(COUNTIF(DMTK!$A$7:$A$250,$G1408)=0,"TK Có sai! ","")&amp;IF(N($H1408)&lt;=0,"Tiền phải &gt; 0! ","")&amp;IF($B1408="","Thiếu ngày! ","")&amp;IF(AND(OR(LEFT($F1408,3)="131",LEFT($G1408,3)="131",LEFT($F1408,3)="331",LEFT($G1408,3)="331"),$I1408=""),"Thiếu Mã ĐT! ","")&amp;IF(AND($I1408&lt;&gt;"",COUNTIF(DM_DT!$A$7:$A$306,$I1408)=0),"Mã ĐT chưa khai báo! ","")))</f>
        <v/>
      </c>
      <c r="M1408" s="117">
        <f>IF($H1408="","",IF(AND(OR(LEFT($F1408,3)="111",LEFT($F1408,3)="112",LEFT($F1408,3)="113"),OR(LEFT($G1408,3)="111",LEFT($G1408,3)="112",LEFT($G1408,3)="113")),"NB",IF(OR(LEFT($F1408,3)="111",LEFT($F1408,3)="112",LEFT($F1408,3)="113"),"THU",IF(OR(LEFT($G1408,3)="111",LEFT($G1408,3)="112",LEFT($G1408,3)="113"),"CHI",""))))</f>
        <v/>
      </c>
      <c r="N1408" s="117">
        <f>IF($M1408="THU",$G1408,IF($M1408="CHI",$F1408,""))</f>
        <v/>
      </c>
      <c r="O1408" s="117">
        <f>IF(OR($M1408="",$M1408="NB"),"",IF($J1408&lt;&gt;"",TEXT($J1408,"00"),IFERROR(VLOOKUP(LEFT($N1408,4),LCTT_MAP!$A$7:$C$66,IF($M1408="THU",2,3),FALSE()),IFERROR(VLOOKUP(LEFT($N1408,3),LCTT_MAP!$A$7:$C$66,IF($M1408="THU",2,3),FALSE()),IFERROR(VLOOKUP(LEFT($N1408,2),LCTT_MAP!$A$7:$C$66,IF($M1408="THU",2,3),FALSE()),IFERROR(VLOOKUP(LEFT($N1408,1),LCTT_MAP!$A$7:$C$66,IF($M1408="THU",2,3),FALSE()),IF($M1408="THU","06","07")))))))</f>
        <v/>
      </c>
      <c r="P1408" s="117">
        <f>P1407+IF(AND($H1408&lt;&gt;"",OR(LEFT($F1408,LEN(SC_TK))=SC_TK,LEFT($G1408,LEN(SC_TK))=SC_TK)),1,0)</f>
        <v/>
      </c>
    </row>
    <row r="1409" ht="15" customHeight="1" s="78">
      <c r="A1409" s="95">
        <f>IF($H1409="","",ROW()-6)</f>
        <v/>
      </c>
      <c r="B1409" s="114" t="n"/>
      <c r="C1409" s="102" t="n"/>
      <c r="D1409" s="114" t="n"/>
      <c r="E1409" s="103" t="n"/>
      <c r="F1409" s="102" t="n"/>
      <c r="G1409" s="102" t="n"/>
      <c r="H1409" s="115" t="n"/>
      <c r="I1409" s="102" t="n"/>
      <c r="J1409" s="102" t="n"/>
      <c r="K1409" s="103" t="n"/>
      <c r="L1409" s="116">
        <f>IF($H1409="","",TRIM(IF(COUNTIF(DMTK!$A$7:$A$250,$F1409)=0,"TK Nợ sai! ","")&amp;IF(COUNTIF(DMTK!$A$7:$A$250,$G1409)=0,"TK Có sai! ","")&amp;IF(N($H1409)&lt;=0,"Tiền phải &gt; 0! ","")&amp;IF($B1409="","Thiếu ngày! ","")&amp;IF(AND(OR(LEFT($F1409,3)="131",LEFT($G1409,3)="131",LEFT($F1409,3)="331",LEFT($G1409,3)="331"),$I1409=""),"Thiếu Mã ĐT! ","")&amp;IF(AND($I1409&lt;&gt;"",COUNTIF(DM_DT!$A$7:$A$306,$I1409)=0),"Mã ĐT chưa khai báo! ","")))</f>
        <v/>
      </c>
      <c r="M1409" s="117">
        <f>IF($H1409="","",IF(AND(OR(LEFT($F1409,3)="111",LEFT($F1409,3)="112",LEFT($F1409,3)="113"),OR(LEFT($G1409,3)="111",LEFT($G1409,3)="112",LEFT($G1409,3)="113")),"NB",IF(OR(LEFT($F1409,3)="111",LEFT($F1409,3)="112",LEFT($F1409,3)="113"),"THU",IF(OR(LEFT($G1409,3)="111",LEFT($G1409,3)="112",LEFT($G1409,3)="113"),"CHI",""))))</f>
        <v/>
      </c>
      <c r="N1409" s="117">
        <f>IF($M1409="THU",$G1409,IF($M1409="CHI",$F1409,""))</f>
        <v/>
      </c>
      <c r="O1409" s="117">
        <f>IF(OR($M1409="",$M1409="NB"),"",IF($J1409&lt;&gt;"",TEXT($J1409,"00"),IFERROR(VLOOKUP(LEFT($N1409,4),LCTT_MAP!$A$7:$C$66,IF($M1409="THU",2,3),FALSE()),IFERROR(VLOOKUP(LEFT($N1409,3),LCTT_MAP!$A$7:$C$66,IF($M1409="THU",2,3),FALSE()),IFERROR(VLOOKUP(LEFT($N1409,2),LCTT_MAP!$A$7:$C$66,IF($M1409="THU",2,3),FALSE()),IFERROR(VLOOKUP(LEFT($N1409,1),LCTT_MAP!$A$7:$C$66,IF($M1409="THU",2,3),FALSE()),IF($M1409="THU","06","07")))))))</f>
        <v/>
      </c>
      <c r="P1409" s="117">
        <f>P1408+IF(AND($H1409&lt;&gt;"",OR(LEFT($F1409,LEN(SC_TK))=SC_TK,LEFT($G1409,LEN(SC_TK))=SC_TK)),1,0)</f>
        <v/>
      </c>
    </row>
    <row r="1410" ht="15" customHeight="1" s="78">
      <c r="A1410" s="95">
        <f>IF($H1410="","",ROW()-6)</f>
        <v/>
      </c>
      <c r="B1410" s="114" t="n"/>
      <c r="C1410" s="102" t="n"/>
      <c r="D1410" s="114" t="n"/>
      <c r="E1410" s="103" t="n"/>
      <c r="F1410" s="102" t="n"/>
      <c r="G1410" s="102" t="n"/>
      <c r="H1410" s="115" t="n"/>
      <c r="I1410" s="102" t="n"/>
      <c r="J1410" s="102" t="n"/>
      <c r="K1410" s="103" t="n"/>
      <c r="L1410" s="116">
        <f>IF($H1410="","",TRIM(IF(COUNTIF(DMTK!$A$7:$A$250,$F1410)=0,"TK Nợ sai! ","")&amp;IF(COUNTIF(DMTK!$A$7:$A$250,$G1410)=0,"TK Có sai! ","")&amp;IF(N($H1410)&lt;=0,"Tiền phải &gt; 0! ","")&amp;IF($B1410="","Thiếu ngày! ","")&amp;IF(AND(OR(LEFT($F1410,3)="131",LEFT($G1410,3)="131",LEFT($F1410,3)="331",LEFT($G1410,3)="331"),$I1410=""),"Thiếu Mã ĐT! ","")&amp;IF(AND($I1410&lt;&gt;"",COUNTIF(DM_DT!$A$7:$A$306,$I1410)=0),"Mã ĐT chưa khai báo! ","")))</f>
        <v/>
      </c>
      <c r="M1410" s="117">
        <f>IF($H1410="","",IF(AND(OR(LEFT($F1410,3)="111",LEFT($F1410,3)="112",LEFT($F1410,3)="113"),OR(LEFT($G1410,3)="111",LEFT($G1410,3)="112",LEFT($G1410,3)="113")),"NB",IF(OR(LEFT($F1410,3)="111",LEFT($F1410,3)="112",LEFT($F1410,3)="113"),"THU",IF(OR(LEFT($G1410,3)="111",LEFT($G1410,3)="112",LEFT($G1410,3)="113"),"CHI",""))))</f>
        <v/>
      </c>
      <c r="N1410" s="117">
        <f>IF($M1410="THU",$G1410,IF($M1410="CHI",$F1410,""))</f>
        <v/>
      </c>
      <c r="O1410" s="117">
        <f>IF(OR($M1410="",$M1410="NB"),"",IF($J1410&lt;&gt;"",TEXT($J1410,"00"),IFERROR(VLOOKUP(LEFT($N1410,4),LCTT_MAP!$A$7:$C$66,IF($M1410="THU",2,3),FALSE()),IFERROR(VLOOKUP(LEFT($N1410,3),LCTT_MAP!$A$7:$C$66,IF($M1410="THU",2,3),FALSE()),IFERROR(VLOOKUP(LEFT($N1410,2),LCTT_MAP!$A$7:$C$66,IF($M1410="THU",2,3),FALSE()),IFERROR(VLOOKUP(LEFT($N1410,1),LCTT_MAP!$A$7:$C$66,IF($M1410="THU",2,3),FALSE()),IF($M1410="THU","06","07")))))))</f>
        <v/>
      </c>
      <c r="P1410" s="117">
        <f>P1409+IF(AND($H1410&lt;&gt;"",OR(LEFT($F1410,LEN(SC_TK))=SC_TK,LEFT($G1410,LEN(SC_TK))=SC_TK)),1,0)</f>
        <v/>
      </c>
    </row>
    <row r="1411" ht="15" customHeight="1" s="78">
      <c r="A1411" s="95">
        <f>IF($H1411="","",ROW()-6)</f>
        <v/>
      </c>
      <c r="B1411" s="114" t="n"/>
      <c r="C1411" s="102" t="n"/>
      <c r="D1411" s="114" t="n"/>
      <c r="E1411" s="103" t="n"/>
      <c r="F1411" s="102" t="n"/>
      <c r="G1411" s="102" t="n"/>
      <c r="H1411" s="115" t="n"/>
      <c r="I1411" s="102" t="n"/>
      <c r="J1411" s="102" t="n"/>
      <c r="K1411" s="103" t="n"/>
      <c r="L1411" s="116">
        <f>IF($H1411="","",TRIM(IF(COUNTIF(DMTK!$A$7:$A$250,$F1411)=0,"TK Nợ sai! ","")&amp;IF(COUNTIF(DMTK!$A$7:$A$250,$G1411)=0,"TK Có sai! ","")&amp;IF(N($H1411)&lt;=0,"Tiền phải &gt; 0! ","")&amp;IF($B1411="","Thiếu ngày! ","")&amp;IF(AND(OR(LEFT($F1411,3)="131",LEFT($G1411,3)="131",LEFT($F1411,3)="331",LEFT($G1411,3)="331"),$I1411=""),"Thiếu Mã ĐT! ","")&amp;IF(AND($I1411&lt;&gt;"",COUNTIF(DM_DT!$A$7:$A$306,$I1411)=0),"Mã ĐT chưa khai báo! ","")))</f>
        <v/>
      </c>
      <c r="M1411" s="117">
        <f>IF($H1411="","",IF(AND(OR(LEFT($F1411,3)="111",LEFT($F1411,3)="112",LEFT($F1411,3)="113"),OR(LEFT($G1411,3)="111",LEFT($G1411,3)="112",LEFT($G1411,3)="113")),"NB",IF(OR(LEFT($F1411,3)="111",LEFT($F1411,3)="112",LEFT($F1411,3)="113"),"THU",IF(OR(LEFT($G1411,3)="111",LEFT($G1411,3)="112",LEFT($G1411,3)="113"),"CHI",""))))</f>
        <v/>
      </c>
      <c r="N1411" s="117">
        <f>IF($M1411="THU",$G1411,IF($M1411="CHI",$F1411,""))</f>
        <v/>
      </c>
      <c r="O1411" s="117">
        <f>IF(OR($M1411="",$M1411="NB"),"",IF($J1411&lt;&gt;"",TEXT($J1411,"00"),IFERROR(VLOOKUP(LEFT($N1411,4),LCTT_MAP!$A$7:$C$66,IF($M1411="THU",2,3),FALSE()),IFERROR(VLOOKUP(LEFT($N1411,3),LCTT_MAP!$A$7:$C$66,IF($M1411="THU",2,3),FALSE()),IFERROR(VLOOKUP(LEFT($N1411,2),LCTT_MAP!$A$7:$C$66,IF($M1411="THU",2,3),FALSE()),IFERROR(VLOOKUP(LEFT($N1411,1),LCTT_MAP!$A$7:$C$66,IF($M1411="THU",2,3),FALSE()),IF($M1411="THU","06","07")))))))</f>
        <v/>
      </c>
      <c r="P1411" s="117">
        <f>P1410+IF(AND($H1411&lt;&gt;"",OR(LEFT($F1411,LEN(SC_TK))=SC_TK,LEFT($G1411,LEN(SC_TK))=SC_TK)),1,0)</f>
        <v/>
      </c>
    </row>
    <row r="1412" ht="15" customHeight="1" s="78">
      <c r="A1412" s="95">
        <f>IF($H1412="","",ROW()-6)</f>
        <v/>
      </c>
      <c r="B1412" s="114" t="n"/>
      <c r="C1412" s="102" t="n"/>
      <c r="D1412" s="114" t="n"/>
      <c r="E1412" s="103" t="n"/>
      <c r="F1412" s="102" t="n"/>
      <c r="G1412" s="102" t="n"/>
      <c r="H1412" s="115" t="n"/>
      <c r="I1412" s="102" t="n"/>
      <c r="J1412" s="102" t="n"/>
      <c r="K1412" s="103" t="n"/>
      <c r="L1412" s="116">
        <f>IF($H1412="","",TRIM(IF(COUNTIF(DMTK!$A$7:$A$250,$F1412)=0,"TK Nợ sai! ","")&amp;IF(COUNTIF(DMTK!$A$7:$A$250,$G1412)=0,"TK Có sai! ","")&amp;IF(N($H1412)&lt;=0,"Tiền phải &gt; 0! ","")&amp;IF($B1412="","Thiếu ngày! ","")&amp;IF(AND(OR(LEFT($F1412,3)="131",LEFT($G1412,3)="131",LEFT($F1412,3)="331",LEFT($G1412,3)="331"),$I1412=""),"Thiếu Mã ĐT! ","")&amp;IF(AND($I1412&lt;&gt;"",COUNTIF(DM_DT!$A$7:$A$306,$I1412)=0),"Mã ĐT chưa khai báo! ","")))</f>
        <v/>
      </c>
      <c r="M1412" s="117">
        <f>IF($H1412="","",IF(AND(OR(LEFT($F1412,3)="111",LEFT($F1412,3)="112",LEFT($F1412,3)="113"),OR(LEFT($G1412,3)="111",LEFT($G1412,3)="112",LEFT($G1412,3)="113")),"NB",IF(OR(LEFT($F1412,3)="111",LEFT($F1412,3)="112",LEFT($F1412,3)="113"),"THU",IF(OR(LEFT($G1412,3)="111",LEFT($G1412,3)="112",LEFT($G1412,3)="113"),"CHI",""))))</f>
        <v/>
      </c>
      <c r="N1412" s="117">
        <f>IF($M1412="THU",$G1412,IF($M1412="CHI",$F1412,""))</f>
        <v/>
      </c>
      <c r="O1412" s="117">
        <f>IF(OR($M1412="",$M1412="NB"),"",IF($J1412&lt;&gt;"",TEXT($J1412,"00"),IFERROR(VLOOKUP(LEFT($N1412,4),LCTT_MAP!$A$7:$C$66,IF($M1412="THU",2,3),FALSE()),IFERROR(VLOOKUP(LEFT($N1412,3),LCTT_MAP!$A$7:$C$66,IF($M1412="THU",2,3),FALSE()),IFERROR(VLOOKUP(LEFT($N1412,2),LCTT_MAP!$A$7:$C$66,IF($M1412="THU",2,3),FALSE()),IFERROR(VLOOKUP(LEFT($N1412,1),LCTT_MAP!$A$7:$C$66,IF($M1412="THU",2,3),FALSE()),IF($M1412="THU","06","07")))))))</f>
        <v/>
      </c>
      <c r="P1412" s="117">
        <f>P1411+IF(AND($H1412&lt;&gt;"",OR(LEFT($F1412,LEN(SC_TK))=SC_TK,LEFT($G1412,LEN(SC_TK))=SC_TK)),1,0)</f>
        <v/>
      </c>
    </row>
    <row r="1413" ht="15" customHeight="1" s="78">
      <c r="A1413" s="95">
        <f>IF($H1413="","",ROW()-6)</f>
        <v/>
      </c>
      <c r="B1413" s="114" t="n"/>
      <c r="C1413" s="102" t="n"/>
      <c r="D1413" s="114" t="n"/>
      <c r="E1413" s="103" t="n"/>
      <c r="F1413" s="102" t="n"/>
      <c r="G1413" s="102" t="n"/>
      <c r="H1413" s="115" t="n"/>
      <c r="I1413" s="102" t="n"/>
      <c r="J1413" s="102" t="n"/>
      <c r="K1413" s="103" t="n"/>
      <c r="L1413" s="116">
        <f>IF($H1413="","",TRIM(IF(COUNTIF(DMTK!$A$7:$A$250,$F1413)=0,"TK Nợ sai! ","")&amp;IF(COUNTIF(DMTK!$A$7:$A$250,$G1413)=0,"TK Có sai! ","")&amp;IF(N($H1413)&lt;=0,"Tiền phải &gt; 0! ","")&amp;IF($B1413="","Thiếu ngày! ","")&amp;IF(AND(OR(LEFT($F1413,3)="131",LEFT($G1413,3)="131",LEFT($F1413,3)="331",LEFT($G1413,3)="331"),$I1413=""),"Thiếu Mã ĐT! ","")&amp;IF(AND($I1413&lt;&gt;"",COUNTIF(DM_DT!$A$7:$A$306,$I1413)=0),"Mã ĐT chưa khai báo! ","")))</f>
        <v/>
      </c>
      <c r="M1413" s="117">
        <f>IF($H1413="","",IF(AND(OR(LEFT($F1413,3)="111",LEFT($F1413,3)="112",LEFT($F1413,3)="113"),OR(LEFT($G1413,3)="111",LEFT($G1413,3)="112",LEFT($G1413,3)="113")),"NB",IF(OR(LEFT($F1413,3)="111",LEFT($F1413,3)="112",LEFT($F1413,3)="113"),"THU",IF(OR(LEFT($G1413,3)="111",LEFT($G1413,3)="112",LEFT($G1413,3)="113"),"CHI",""))))</f>
        <v/>
      </c>
      <c r="N1413" s="117">
        <f>IF($M1413="THU",$G1413,IF($M1413="CHI",$F1413,""))</f>
        <v/>
      </c>
      <c r="O1413" s="117">
        <f>IF(OR($M1413="",$M1413="NB"),"",IF($J1413&lt;&gt;"",TEXT($J1413,"00"),IFERROR(VLOOKUP(LEFT($N1413,4),LCTT_MAP!$A$7:$C$66,IF($M1413="THU",2,3),FALSE()),IFERROR(VLOOKUP(LEFT($N1413,3),LCTT_MAP!$A$7:$C$66,IF($M1413="THU",2,3),FALSE()),IFERROR(VLOOKUP(LEFT($N1413,2),LCTT_MAP!$A$7:$C$66,IF($M1413="THU",2,3),FALSE()),IFERROR(VLOOKUP(LEFT($N1413,1),LCTT_MAP!$A$7:$C$66,IF($M1413="THU",2,3),FALSE()),IF($M1413="THU","06","07")))))))</f>
        <v/>
      </c>
      <c r="P1413" s="117">
        <f>P1412+IF(AND($H1413&lt;&gt;"",OR(LEFT($F1413,LEN(SC_TK))=SC_TK,LEFT($G1413,LEN(SC_TK))=SC_TK)),1,0)</f>
        <v/>
      </c>
    </row>
    <row r="1414" ht="15" customHeight="1" s="78">
      <c r="A1414" s="95">
        <f>IF($H1414="","",ROW()-6)</f>
        <v/>
      </c>
      <c r="B1414" s="114" t="n"/>
      <c r="C1414" s="102" t="n"/>
      <c r="D1414" s="114" t="n"/>
      <c r="E1414" s="103" t="n"/>
      <c r="F1414" s="102" t="n"/>
      <c r="G1414" s="102" t="n"/>
      <c r="H1414" s="115" t="n"/>
      <c r="I1414" s="102" t="n"/>
      <c r="J1414" s="102" t="n"/>
      <c r="K1414" s="103" t="n"/>
      <c r="L1414" s="116">
        <f>IF($H1414="","",TRIM(IF(COUNTIF(DMTK!$A$7:$A$250,$F1414)=0,"TK Nợ sai! ","")&amp;IF(COUNTIF(DMTK!$A$7:$A$250,$G1414)=0,"TK Có sai! ","")&amp;IF(N($H1414)&lt;=0,"Tiền phải &gt; 0! ","")&amp;IF($B1414="","Thiếu ngày! ","")&amp;IF(AND(OR(LEFT($F1414,3)="131",LEFT($G1414,3)="131",LEFT($F1414,3)="331",LEFT($G1414,3)="331"),$I1414=""),"Thiếu Mã ĐT! ","")&amp;IF(AND($I1414&lt;&gt;"",COUNTIF(DM_DT!$A$7:$A$306,$I1414)=0),"Mã ĐT chưa khai báo! ","")))</f>
        <v/>
      </c>
      <c r="M1414" s="117">
        <f>IF($H1414="","",IF(AND(OR(LEFT($F1414,3)="111",LEFT($F1414,3)="112",LEFT($F1414,3)="113"),OR(LEFT($G1414,3)="111",LEFT($G1414,3)="112",LEFT($G1414,3)="113")),"NB",IF(OR(LEFT($F1414,3)="111",LEFT($F1414,3)="112",LEFT($F1414,3)="113"),"THU",IF(OR(LEFT($G1414,3)="111",LEFT($G1414,3)="112",LEFT($G1414,3)="113"),"CHI",""))))</f>
        <v/>
      </c>
      <c r="N1414" s="117">
        <f>IF($M1414="THU",$G1414,IF($M1414="CHI",$F1414,""))</f>
        <v/>
      </c>
      <c r="O1414" s="117">
        <f>IF(OR($M1414="",$M1414="NB"),"",IF($J1414&lt;&gt;"",TEXT($J1414,"00"),IFERROR(VLOOKUP(LEFT($N1414,4),LCTT_MAP!$A$7:$C$66,IF($M1414="THU",2,3),FALSE()),IFERROR(VLOOKUP(LEFT($N1414,3),LCTT_MAP!$A$7:$C$66,IF($M1414="THU",2,3),FALSE()),IFERROR(VLOOKUP(LEFT($N1414,2),LCTT_MAP!$A$7:$C$66,IF($M1414="THU",2,3),FALSE()),IFERROR(VLOOKUP(LEFT($N1414,1),LCTT_MAP!$A$7:$C$66,IF($M1414="THU",2,3),FALSE()),IF($M1414="THU","06","07")))))))</f>
        <v/>
      </c>
      <c r="P1414" s="117">
        <f>P1413+IF(AND($H1414&lt;&gt;"",OR(LEFT($F1414,LEN(SC_TK))=SC_TK,LEFT($G1414,LEN(SC_TK))=SC_TK)),1,0)</f>
        <v/>
      </c>
    </row>
    <row r="1415" ht="15" customHeight="1" s="78">
      <c r="A1415" s="95">
        <f>IF($H1415="","",ROW()-6)</f>
        <v/>
      </c>
      <c r="B1415" s="114" t="n"/>
      <c r="C1415" s="102" t="n"/>
      <c r="D1415" s="114" t="n"/>
      <c r="E1415" s="103" t="n"/>
      <c r="F1415" s="102" t="n"/>
      <c r="G1415" s="102" t="n"/>
      <c r="H1415" s="115" t="n"/>
      <c r="I1415" s="102" t="n"/>
      <c r="J1415" s="102" t="n"/>
      <c r="K1415" s="103" t="n"/>
      <c r="L1415" s="116">
        <f>IF($H1415="","",TRIM(IF(COUNTIF(DMTK!$A$7:$A$250,$F1415)=0,"TK Nợ sai! ","")&amp;IF(COUNTIF(DMTK!$A$7:$A$250,$G1415)=0,"TK Có sai! ","")&amp;IF(N($H1415)&lt;=0,"Tiền phải &gt; 0! ","")&amp;IF($B1415="","Thiếu ngày! ","")&amp;IF(AND(OR(LEFT($F1415,3)="131",LEFT($G1415,3)="131",LEFT($F1415,3)="331",LEFT($G1415,3)="331"),$I1415=""),"Thiếu Mã ĐT! ","")&amp;IF(AND($I1415&lt;&gt;"",COUNTIF(DM_DT!$A$7:$A$306,$I1415)=0),"Mã ĐT chưa khai báo! ","")))</f>
        <v/>
      </c>
      <c r="M1415" s="117">
        <f>IF($H1415="","",IF(AND(OR(LEFT($F1415,3)="111",LEFT($F1415,3)="112",LEFT($F1415,3)="113"),OR(LEFT($G1415,3)="111",LEFT($G1415,3)="112",LEFT($G1415,3)="113")),"NB",IF(OR(LEFT($F1415,3)="111",LEFT($F1415,3)="112",LEFT($F1415,3)="113"),"THU",IF(OR(LEFT($G1415,3)="111",LEFT($G1415,3)="112",LEFT($G1415,3)="113"),"CHI",""))))</f>
        <v/>
      </c>
      <c r="N1415" s="117">
        <f>IF($M1415="THU",$G1415,IF($M1415="CHI",$F1415,""))</f>
        <v/>
      </c>
      <c r="O1415" s="117">
        <f>IF(OR($M1415="",$M1415="NB"),"",IF($J1415&lt;&gt;"",TEXT($J1415,"00"),IFERROR(VLOOKUP(LEFT($N1415,4),LCTT_MAP!$A$7:$C$66,IF($M1415="THU",2,3),FALSE()),IFERROR(VLOOKUP(LEFT($N1415,3),LCTT_MAP!$A$7:$C$66,IF($M1415="THU",2,3),FALSE()),IFERROR(VLOOKUP(LEFT($N1415,2),LCTT_MAP!$A$7:$C$66,IF($M1415="THU",2,3),FALSE()),IFERROR(VLOOKUP(LEFT($N1415,1),LCTT_MAP!$A$7:$C$66,IF($M1415="THU",2,3),FALSE()),IF($M1415="THU","06","07")))))))</f>
        <v/>
      </c>
      <c r="P1415" s="117">
        <f>P1414+IF(AND($H1415&lt;&gt;"",OR(LEFT($F1415,LEN(SC_TK))=SC_TK,LEFT($G1415,LEN(SC_TK))=SC_TK)),1,0)</f>
        <v/>
      </c>
    </row>
    <row r="1416" ht="15" customHeight="1" s="78">
      <c r="A1416" s="95">
        <f>IF($H1416="","",ROW()-6)</f>
        <v/>
      </c>
      <c r="B1416" s="114" t="n"/>
      <c r="C1416" s="102" t="n"/>
      <c r="D1416" s="114" t="n"/>
      <c r="E1416" s="103" t="n"/>
      <c r="F1416" s="102" t="n"/>
      <c r="G1416" s="102" t="n"/>
      <c r="H1416" s="115" t="n"/>
      <c r="I1416" s="102" t="n"/>
      <c r="J1416" s="102" t="n"/>
      <c r="K1416" s="103" t="n"/>
      <c r="L1416" s="116">
        <f>IF($H1416="","",TRIM(IF(COUNTIF(DMTK!$A$7:$A$250,$F1416)=0,"TK Nợ sai! ","")&amp;IF(COUNTIF(DMTK!$A$7:$A$250,$G1416)=0,"TK Có sai! ","")&amp;IF(N($H1416)&lt;=0,"Tiền phải &gt; 0! ","")&amp;IF($B1416="","Thiếu ngày! ","")&amp;IF(AND(OR(LEFT($F1416,3)="131",LEFT($G1416,3)="131",LEFT($F1416,3)="331",LEFT($G1416,3)="331"),$I1416=""),"Thiếu Mã ĐT! ","")&amp;IF(AND($I1416&lt;&gt;"",COUNTIF(DM_DT!$A$7:$A$306,$I1416)=0),"Mã ĐT chưa khai báo! ","")))</f>
        <v/>
      </c>
      <c r="M1416" s="117">
        <f>IF($H1416="","",IF(AND(OR(LEFT($F1416,3)="111",LEFT($F1416,3)="112",LEFT($F1416,3)="113"),OR(LEFT($G1416,3)="111",LEFT($G1416,3)="112",LEFT($G1416,3)="113")),"NB",IF(OR(LEFT($F1416,3)="111",LEFT($F1416,3)="112",LEFT($F1416,3)="113"),"THU",IF(OR(LEFT($G1416,3)="111",LEFT($G1416,3)="112",LEFT($G1416,3)="113"),"CHI",""))))</f>
        <v/>
      </c>
      <c r="N1416" s="117">
        <f>IF($M1416="THU",$G1416,IF($M1416="CHI",$F1416,""))</f>
        <v/>
      </c>
      <c r="O1416" s="117">
        <f>IF(OR($M1416="",$M1416="NB"),"",IF($J1416&lt;&gt;"",TEXT($J1416,"00"),IFERROR(VLOOKUP(LEFT($N1416,4),LCTT_MAP!$A$7:$C$66,IF($M1416="THU",2,3),FALSE()),IFERROR(VLOOKUP(LEFT($N1416,3),LCTT_MAP!$A$7:$C$66,IF($M1416="THU",2,3),FALSE()),IFERROR(VLOOKUP(LEFT($N1416,2),LCTT_MAP!$A$7:$C$66,IF($M1416="THU",2,3),FALSE()),IFERROR(VLOOKUP(LEFT($N1416,1),LCTT_MAP!$A$7:$C$66,IF($M1416="THU",2,3),FALSE()),IF($M1416="THU","06","07")))))))</f>
        <v/>
      </c>
      <c r="P1416" s="117">
        <f>P1415+IF(AND($H1416&lt;&gt;"",OR(LEFT($F1416,LEN(SC_TK))=SC_TK,LEFT($G1416,LEN(SC_TK))=SC_TK)),1,0)</f>
        <v/>
      </c>
    </row>
    <row r="1417" ht="15" customHeight="1" s="78">
      <c r="A1417" s="95">
        <f>IF($H1417="","",ROW()-6)</f>
        <v/>
      </c>
      <c r="B1417" s="114" t="n"/>
      <c r="C1417" s="102" t="n"/>
      <c r="D1417" s="114" t="n"/>
      <c r="E1417" s="103" t="n"/>
      <c r="F1417" s="102" t="n"/>
      <c r="G1417" s="102" t="n"/>
      <c r="H1417" s="115" t="n"/>
      <c r="I1417" s="102" t="n"/>
      <c r="J1417" s="102" t="n"/>
      <c r="K1417" s="103" t="n"/>
      <c r="L1417" s="116">
        <f>IF($H1417="","",TRIM(IF(COUNTIF(DMTK!$A$7:$A$250,$F1417)=0,"TK Nợ sai! ","")&amp;IF(COUNTIF(DMTK!$A$7:$A$250,$G1417)=0,"TK Có sai! ","")&amp;IF(N($H1417)&lt;=0,"Tiền phải &gt; 0! ","")&amp;IF($B1417="","Thiếu ngày! ","")&amp;IF(AND(OR(LEFT($F1417,3)="131",LEFT($G1417,3)="131",LEFT($F1417,3)="331",LEFT($G1417,3)="331"),$I1417=""),"Thiếu Mã ĐT! ","")&amp;IF(AND($I1417&lt;&gt;"",COUNTIF(DM_DT!$A$7:$A$306,$I1417)=0),"Mã ĐT chưa khai báo! ","")))</f>
        <v/>
      </c>
      <c r="M1417" s="117">
        <f>IF($H1417="","",IF(AND(OR(LEFT($F1417,3)="111",LEFT($F1417,3)="112",LEFT($F1417,3)="113"),OR(LEFT($G1417,3)="111",LEFT($G1417,3)="112",LEFT($G1417,3)="113")),"NB",IF(OR(LEFT($F1417,3)="111",LEFT($F1417,3)="112",LEFT($F1417,3)="113"),"THU",IF(OR(LEFT($G1417,3)="111",LEFT($G1417,3)="112",LEFT($G1417,3)="113"),"CHI",""))))</f>
        <v/>
      </c>
      <c r="N1417" s="117">
        <f>IF($M1417="THU",$G1417,IF($M1417="CHI",$F1417,""))</f>
        <v/>
      </c>
      <c r="O1417" s="117">
        <f>IF(OR($M1417="",$M1417="NB"),"",IF($J1417&lt;&gt;"",TEXT($J1417,"00"),IFERROR(VLOOKUP(LEFT($N1417,4),LCTT_MAP!$A$7:$C$66,IF($M1417="THU",2,3),FALSE()),IFERROR(VLOOKUP(LEFT($N1417,3),LCTT_MAP!$A$7:$C$66,IF($M1417="THU",2,3),FALSE()),IFERROR(VLOOKUP(LEFT($N1417,2),LCTT_MAP!$A$7:$C$66,IF($M1417="THU",2,3),FALSE()),IFERROR(VLOOKUP(LEFT($N1417,1),LCTT_MAP!$A$7:$C$66,IF($M1417="THU",2,3),FALSE()),IF($M1417="THU","06","07")))))))</f>
        <v/>
      </c>
      <c r="P1417" s="117">
        <f>P1416+IF(AND($H1417&lt;&gt;"",OR(LEFT($F1417,LEN(SC_TK))=SC_TK,LEFT($G1417,LEN(SC_TK))=SC_TK)),1,0)</f>
        <v/>
      </c>
    </row>
    <row r="1418" ht="15" customHeight="1" s="78">
      <c r="A1418" s="95">
        <f>IF($H1418="","",ROW()-6)</f>
        <v/>
      </c>
      <c r="B1418" s="114" t="n"/>
      <c r="C1418" s="102" t="n"/>
      <c r="D1418" s="114" t="n"/>
      <c r="E1418" s="103" t="n"/>
      <c r="F1418" s="102" t="n"/>
      <c r="G1418" s="102" t="n"/>
      <c r="H1418" s="115" t="n"/>
      <c r="I1418" s="102" t="n"/>
      <c r="J1418" s="102" t="n"/>
      <c r="K1418" s="103" t="n"/>
      <c r="L1418" s="116">
        <f>IF($H1418="","",TRIM(IF(COUNTIF(DMTK!$A$7:$A$250,$F1418)=0,"TK Nợ sai! ","")&amp;IF(COUNTIF(DMTK!$A$7:$A$250,$G1418)=0,"TK Có sai! ","")&amp;IF(N($H1418)&lt;=0,"Tiền phải &gt; 0! ","")&amp;IF($B1418="","Thiếu ngày! ","")&amp;IF(AND(OR(LEFT($F1418,3)="131",LEFT($G1418,3)="131",LEFT($F1418,3)="331",LEFT($G1418,3)="331"),$I1418=""),"Thiếu Mã ĐT! ","")&amp;IF(AND($I1418&lt;&gt;"",COUNTIF(DM_DT!$A$7:$A$306,$I1418)=0),"Mã ĐT chưa khai báo! ","")))</f>
        <v/>
      </c>
      <c r="M1418" s="117">
        <f>IF($H1418="","",IF(AND(OR(LEFT($F1418,3)="111",LEFT($F1418,3)="112",LEFT($F1418,3)="113"),OR(LEFT($G1418,3)="111",LEFT($G1418,3)="112",LEFT($G1418,3)="113")),"NB",IF(OR(LEFT($F1418,3)="111",LEFT($F1418,3)="112",LEFT($F1418,3)="113"),"THU",IF(OR(LEFT($G1418,3)="111",LEFT($G1418,3)="112",LEFT($G1418,3)="113"),"CHI",""))))</f>
        <v/>
      </c>
      <c r="N1418" s="117">
        <f>IF($M1418="THU",$G1418,IF($M1418="CHI",$F1418,""))</f>
        <v/>
      </c>
      <c r="O1418" s="117">
        <f>IF(OR($M1418="",$M1418="NB"),"",IF($J1418&lt;&gt;"",TEXT($J1418,"00"),IFERROR(VLOOKUP(LEFT($N1418,4),LCTT_MAP!$A$7:$C$66,IF($M1418="THU",2,3),FALSE()),IFERROR(VLOOKUP(LEFT($N1418,3),LCTT_MAP!$A$7:$C$66,IF($M1418="THU",2,3),FALSE()),IFERROR(VLOOKUP(LEFT($N1418,2),LCTT_MAP!$A$7:$C$66,IF($M1418="THU",2,3),FALSE()),IFERROR(VLOOKUP(LEFT($N1418,1),LCTT_MAP!$A$7:$C$66,IF($M1418="THU",2,3),FALSE()),IF($M1418="THU","06","07")))))))</f>
        <v/>
      </c>
      <c r="P1418" s="117">
        <f>P1417+IF(AND($H1418&lt;&gt;"",OR(LEFT($F1418,LEN(SC_TK))=SC_TK,LEFT($G1418,LEN(SC_TK))=SC_TK)),1,0)</f>
        <v/>
      </c>
    </row>
    <row r="1419" ht="15" customHeight="1" s="78">
      <c r="A1419" s="95">
        <f>IF($H1419="","",ROW()-6)</f>
        <v/>
      </c>
      <c r="B1419" s="114" t="n"/>
      <c r="C1419" s="102" t="n"/>
      <c r="D1419" s="114" t="n"/>
      <c r="E1419" s="103" t="n"/>
      <c r="F1419" s="102" t="n"/>
      <c r="G1419" s="102" t="n"/>
      <c r="H1419" s="115" t="n"/>
      <c r="I1419" s="102" t="n"/>
      <c r="J1419" s="102" t="n"/>
      <c r="K1419" s="103" t="n"/>
      <c r="L1419" s="116">
        <f>IF($H1419="","",TRIM(IF(COUNTIF(DMTK!$A$7:$A$250,$F1419)=0,"TK Nợ sai! ","")&amp;IF(COUNTIF(DMTK!$A$7:$A$250,$G1419)=0,"TK Có sai! ","")&amp;IF(N($H1419)&lt;=0,"Tiền phải &gt; 0! ","")&amp;IF($B1419="","Thiếu ngày! ","")&amp;IF(AND(OR(LEFT($F1419,3)="131",LEFT($G1419,3)="131",LEFT($F1419,3)="331",LEFT($G1419,3)="331"),$I1419=""),"Thiếu Mã ĐT! ","")&amp;IF(AND($I1419&lt;&gt;"",COUNTIF(DM_DT!$A$7:$A$306,$I1419)=0),"Mã ĐT chưa khai báo! ","")))</f>
        <v/>
      </c>
      <c r="M1419" s="117">
        <f>IF($H1419="","",IF(AND(OR(LEFT($F1419,3)="111",LEFT($F1419,3)="112",LEFT($F1419,3)="113"),OR(LEFT($G1419,3)="111",LEFT($G1419,3)="112",LEFT($G1419,3)="113")),"NB",IF(OR(LEFT($F1419,3)="111",LEFT($F1419,3)="112",LEFT($F1419,3)="113"),"THU",IF(OR(LEFT($G1419,3)="111",LEFT($G1419,3)="112",LEFT($G1419,3)="113"),"CHI",""))))</f>
        <v/>
      </c>
      <c r="N1419" s="117">
        <f>IF($M1419="THU",$G1419,IF($M1419="CHI",$F1419,""))</f>
        <v/>
      </c>
      <c r="O1419" s="117">
        <f>IF(OR($M1419="",$M1419="NB"),"",IF($J1419&lt;&gt;"",TEXT($J1419,"00"),IFERROR(VLOOKUP(LEFT($N1419,4),LCTT_MAP!$A$7:$C$66,IF($M1419="THU",2,3),FALSE()),IFERROR(VLOOKUP(LEFT($N1419,3),LCTT_MAP!$A$7:$C$66,IF($M1419="THU",2,3),FALSE()),IFERROR(VLOOKUP(LEFT($N1419,2),LCTT_MAP!$A$7:$C$66,IF($M1419="THU",2,3),FALSE()),IFERROR(VLOOKUP(LEFT($N1419,1),LCTT_MAP!$A$7:$C$66,IF($M1419="THU",2,3),FALSE()),IF($M1419="THU","06","07")))))))</f>
        <v/>
      </c>
      <c r="P1419" s="117">
        <f>P1418+IF(AND($H1419&lt;&gt;"",OR(LEFT($F1419,LEN(SC_TK))=SC_TK,LEFT($G1419,LEN(SC_TK))=SC_TK)),1,0)</f>
        <v/>
      </c>
    </row>
    <row r="1420" ht="15" customHeight="1" s="78">
      <c r="A1420" s="95">
        <f>IF($H1420="","",ROW()-6)</f>
        <v/>
      </c>
      <c r="B1420" s="114" t="n"/>
      <c r="C1420" s="102" t="n"/>
      <c r="D1420" s="114" t="n"/>
      <c r="E1420" s="103" t="n"/>
      <c r="F1420" s="102" t="n"/>
      <c r="G1420" s="102" t="n"/>
      <c r="H1420" s="115" t="n"/>
      <c r="I1420" s="102" t="n"/>
      <c r="J1420" s="102" t="n"/>
      <c r="K1420" s="103" t="n"/>
      <c r="L1420" s="116">
        <f>IF($H1420="","",TRIM(IF(COUNTIF(DMTK!$A$7:$A$250,$F1420)=0,"TK Nợ sai! ","")&amp;IF(COUNTIF(DMTK!$A$7:$A$250,$G1420)=0,"TK Có sai! ","")&amp;IF(N($H1420)&lt;=0,"Tiền phải &gt; 0! ","")&amp;IF($B1420="","Thiếu ngày! ","")&amp;IF(AND(OR(LEFT($F1420,3)="131",LEFT($G1420,3)="131",LEFT($F1420,3)="331",LEFT($G1420,3)="331"),$I1420=""),"Thiếu Mã ĐT! ","")&amp;IF(AND($I1420&lt;&gt;"",COUNTIF(DM_DT!$A$7:$A$306,$I1420)=0),"Mã ĐT chưa khai báo! ","")))</f>
        <v/>
      </c>
      <c r="M1420" s="117">
        <f>IF($H1420="","",IF(AND(OR(LEFT($F1420,3)="111",LEFT($F1420,3)="112",LEFT($F1420,3)="113"),OR(LEFT($G1420,3)="111",LEFT($G1420,3)="112",LEFT($G1420,3)="113")),"NB",IF(OR(LEFT($F1420,3)="111",LEFT($F1420,3)="112",LEFT($F1420,3)="113"),"THU",IF(OR(LEFT($G1420,3)="111",LEFT($G1420,3)="112",LEFT($G1420,3)="113"),"CHI",""))))</f>
        <v/>
      </c>
      <c r="N1420" s="117">
        <f>IF($M1420="THU",$G1420,IF($M1420="CHI",$F1420,""))</f>
        <v/>
      </c>
      <c r="O1420" s="117">
        <f>IF(OR($M1420="",$M1420="NB"),"",IF($J1420&lt;&gt;"",TEXT($J1420,"00"),IFERROR(VLOOKUP(LEFT($N1420,4),LCTT_MAP!$A$7:$C$66,IF($M1420="THU",2,3),FALSE()),IFERROR(VLOOKUP(LEFT($N1420,3),LCTT_MAP!$A$7:$C$66,IF($M1420="THU",2,3),FALSE()),IFERROR(VLOOKUP(LEFT($N1420,2),LCTT_MAP!$A$7:$C$66,IF($M1420="THU",2,3),FALSE()),IFERROR(VLOOKUP(LEFT($N1420,1),LCTT_MAP!$A$7:$C$66,IF($M1420="THU",2,3),FALSE()),IF($M1420="THU","06","07")))))))</f>
        <v/>
      </c>
      <c r="P1420" s="117">
        <f>P1419+IF(AND($H1420&lt;&gt;"",OR(LEFT($F1420,LEN(SC_TK))=SC_TK,LEFT($G1420,LEN(SC_TK))=SC_TK)),1,0)</f>
        <v/>
      </c>
    </row>
    <row r="1421" ht="15" customHeight="1" s="78">
      <c r="A1421" s="95">
        <f>IF($H1421="","",ROW()-6)</f>
        <v/>
      </c>
      <c r="B1421" s="114" t="n"/>
      <c r="C1421" s="102" t="n"/>
      <c r="D1421" s="114" t="n"/>
      <c r="E1421" s="103" t="n"/>
      <c r="F1421" s="102" t="n"/>
      <c r="G1421" s="102" t="n"/>
      <c r="H1421" s="115" t="n"/>
      <c r="I1421" s="102" t="n"/>
      <c r="J1421" s="102" t="n"/>
      <c r="K1421" s="103" t="n"/>
      <c r="L1421" s="116">
        <f>IF($H1421="","",TRIM(IF(COUNTIF(DMTK!$A$7:$A$250,$F1421)=0,"TK Nợ sai! ","")&amp;IF(COUNTIF(DMTK!$A$7:$A$250,$G1421)=0,"TK Có sai! ","")&amp;IF(N($H1421)&lt;=0,"Tiền phải &gt; 0! ","")&amp;IF($B1421="","Thiếu ngày! ","")&amp;IF(AND(OR(LEFT($F1421,3)="131",LEFT($G1421,3)="131",LEFT($F1421,3)="331",LEFT($G1421,3)="331"),$I1421=""),"Thiếu Mã ĐT! ","")&amp;IF(AND($I1421&lt;&gt;"",COUNTIF(DM_DT!$A$7:$A$306,$I1421)=0),"Mã ĐT chưa khai báo! ","")))</f>
        <v/>
      </c>
      <c r="M1421" s="117">
        <f>IF($H1421="","",IF(AND(OR(LEFT($F1421,3)="111",LEFT($F1421,3)="112",LEFT($F1421,3)="113"),OR(LEFT($G1421,3)="111",LEFT($G1421,3)="112",LEFT($G1421,3)="113")),"NB",IF(OR(LEFT($F1421,3)="111",LEFT($F1421,3)="112",LEFT($F1421,3)="113"),"THU",IF(OR(LEFT($G1421,3)="111",LEFT($G1421,3)="112",LEFT($G1421,3)="113"),"CHI",""))))</f>
        <v/>
      </c>
      <c r="N1421" s="117">
        <f>IF($M1421="THU",$G1421,IF($M1421="CHI",$F1421,""))</f>
        <v/>
      </c>
      <c r="O1421" s="117">
        <f>IF(OR($M1421="",$M1421="NB"),"",IF($J1421&lt;&gt;"",TEXT($J1421,"00"),IFERROR(VLOOKUP(LEFT($N1421,4),LCTT_MAP!$A$7:$C$66,IF($M1421="THU",2,3),FALSE()),IFERROR(VLOOKUP(LEFT($N1421,3),LCTT_MAP!$A$7:$C$66,IF($M1421="THU",2,3),FALSE()),IFERROR(VLOOKUP(LEFT($N1421,2),LCTT_MAP!$A$7:$C$66,IF($M1421="THU",2,3),FALSE()),IFERROR(VLOOKUP(LEFT($N1421,1),LCTT_MAP!$A$7:$C$66,IF($M1421="THU",2,3),FALSE()),IF($M1421="THU","06","07")))))))</f>
        <v/>
      </c>
      <c r="P1421" s="117">
        <f>P1420+IF(AND($H1421&lt;&gt;"",OR(LEFT($F1421,LEN(SC_TK))=SC_TK,LEFT($G1421,LEN(SC_TK))=SC_TK)),1,0)</f>
        <v/>
      </c>
    </row>
    <row r="1422" ht="15" customHeight="1" s="78">
      <c r="A1422" s="95">
        <f>IF($H1422="","",ROW()-6)</f>
        <v/>
      </c>
      <c r="B1422" s="114" t="n"/>
      <c r="C1422" s="102" t="n"/>
      <c r="D1422" s="114" t="n"/>
      <c r="E1422" s="103" t="n"/>
      <c r="F1422" s="102" t="n"/>
      <c r="G1422" s="102" t="n"/>
      <c r="H1422" s="115" t="n"/>
      <c r="I1422" s="102" t="n"/>
      <c r="J1422" s="102" t="n"/>
      <c r="K1422" s="103" t="n"/>
      <c r="L1422" s="116">
        <f>IF($H1422="","",TRIM(IF(COUNTIF(DMTK!$A$7:$A$250,$F1422)=0,"TK Nợ sai! ","")&amp;IF(COUNTIF(DMTK!$A$7:$A$250,$G1422)=0,"TK Có sai! ","")&amp;IF(N($H1422)&lt;=0,"Tiền phải &gt; 0! ","")&amp;IF($B1422="","Thiếu ngày! ","")&amp;IF(AND(OR(LEFT($F1422,3)="131",LEFT($G1422,3)="131",LEFT($F1422,3)="331",LEFT($G1422,3)="331"),$I1422=""),"Thiếu Mã ĐT! ","")&amp;IF(AND($I1422&lt;&gt;"",COUNTIF(DM_DT!$A$7:$A$306,$I1422)=0),"Mã ĐT chưa khai báo! ","")))</f>
        <v/>
      </c>
      <c r="M1422" s="117">
        <f>IF($H1422="","",IF(AND(OR(LEFT($F1422,3)="111",LEFT($F1422,3)="112",LEFT($F1422,3)="113"),OR(LEFT($G1422,3)="111",LEFT($G1422,3)="112",LEFT($G1422,3)="113")),"NB",IF(OR(LEFT($F1422,3)="111",LEFT($F1422,3)="112",LEFT($F1422,3)="113"),"THU",IF(OR(LEFT($G1422,3)="111",LEFT($G1422,3)="112",LEFT($G1422,3)="113"),"CHI",""))))</f>
        <v/>
      </c>
      <c r="N1422" s="117">
        <f>IF($M1422="THU",$G1422,IF($M1422="CHI",$F1422,""))</f>
        <v/>
      </c>
      <c r="O1422" s="117">
        <f>IF(OR($M1422="",$M1422="NB"),"",IF($J1422&lt;&gt;"",TEXT($J1422,"00"),IFERROR(VLOOKUP(LEFT($N1422,4),LCTT_MAP!$A$7:$C$66,IF($M1422="THU",2,3),FALSE()),IFERROR(VLOOKUP(LEFT($N1422,3),LCTT_MAP!$A$7:$C$66,IF($M1422="THU",2,3),FALSE()),IFERROR(VLOOKUP(LEFT($N1422,2),LCTT_MAP!$A$7:$C$66,IF($M1422="THU",2,3),FALSE()),IFERROR(VLOOKUP(LEFT($N1422,1),LCTT_MAP!$A$7:$C$66,IF($M1422="THU",2,3),FALSE()),IF($M1422="THU","06","07")))))))</f>
        <v/>
      </c>
      <c r="P1422" s="117">
        <f>P1421+IF(AND($H1422&lt;&gt;"",OR(LEFT($F1422,LEN(SC_TK))=SC_TK,LEFT($G1422,LEN(SC_TK))=SC_TK)),1,0)</f>
        <v/>
      </c>
    </row>
    <row r="1423" ht="15" customHeight="1" s="78">
      <c r="A1423" s="95">
        <f>IF($H1423="","",ROW()-6)</f>
        <v/>
      </c>
      <c r="B1423" s="114" t="n"/>
      <c r="C1423" s="102" t="n"/>
      <c r="D1423" s="114" t="n"/>
      <c r="E1423" s="103" t="n"/>
      <c r="F1423" s="102" t="n"/>
      <c r="G1423" s="102" t="n"/>
      <c r="H1423" s="115" t="n"/>
      <c r="I1423" s="102" t="n"/>
      <c r="J1423" s="102" t="n"/>
      <c r="K1423" s="103" t="n"/>
      <c r="L1423" s="116">
        <f>IF($H1423="","",TRIM(IF(COUNTIF(DMTK!$A$7:$A$250,$F1423)=0,"TK Nợ sai! ","")&amp;IF(COUNTIF(DMTK!$A$7:$A$250,$G1423)=0,"TK Có sai! ","")&amp;IF(N($H1423)&lt;=0,"Tiền phải &gt; 0! ","")&amp;IF($B1423="","Thiếu ngày! ","")&amp;IF(AND(OR(LEFT($F1423,3)="131",LEFT($G1423,3)="131",LEFT($F1423,3)="331",LEFT($G1423,3)="331"),$I1423=""),"Thiếu Mã ĐT! ","")&amp;IF(AND($I1423&lt;&gt;"",COUNTIF(DM_DT!$A$7:$A$306,$I1423)=0),"Mã ĐT chưa khai báo! ","")))</f>
        <v/>
      </c>
      <c r="M1423" s="117">
        <f>IF($H1423="","",IF(AND(OR(LEFT($F1423,3)="111",LEFT($F1423,3)="112",LEFT($F1423,3)="113"),OR(LEFT($G1423,3)="111",LEFT($G1423,3)="112",LEFT($G1423,3)="113")),"NB",IF(OR(LEFT($F1423,3)="111",LEFT($F1423,3)="112",LEFT($F1423,3)="113"),"THU",IF(OR(LEFT($G1423,3)="111",LEFT($G1423,3)="112",LEFT($G1423,3)="113"),"CHI",""))))</f>
        <v/>
      </c>
      <c r="N1423" s="117">
        <f>IF($M1423="THU",$G1423,IF($M1423="CHI",$F1423,""))</f>
        <v/>
      </c>
      <c r="O1423" s="117">
        <f>IF(OR($M1423="",$M1423="NB"),"",IF($J1423&lt;&gt;"",TEXT($J1423,"00"),IFERROR(VLOOKUP(LEFT($N1423,4),LCTT_MAP!$A$7:$C$66,IF($M1423="THU",2,3),FALSE()),IFERROR(VLOOKUP(LEFT($N1423,3),LCTT_MAP!$A$7:$C$66,IF($M1423="THU",2,3),FALSE()),IFERROR(VLOOKUP(LEFT($N1423,2),LCTT_MAP!$A$7:$C$66,IF($M1423="THU",2,3),FALSE()),IFERROR(VLOOKUP(LEFT($N1423,1),LCTT_MAP!$A$7:$C$66,IF($M1423="THU",2,3),FALSE()),IF($M1423="THU","06","07")))))))</f>
        <v/>
      </c>
      <c r="P1423" s="117">
        <f>P1422+IF(AND($H1423&lt;&gt;"",OR(LEFT($F1423,LEN(SC_TK))=SC_TK,LEFT($G1423,LEN(SC_TK))=SC_TK)),1,0)</f>
        <v/>
      </c>
    </row>
    <row r="1424" ht="15" customHeight="1" s="78">
      <c r="A1424" s="95">
        <f>IF($H1424="","",ROW()-6)</f>
        <v/>
      </c>
      <c r="B1424" s="114" t="n"/>
      <c r="C1424" s="102" t="n"/>
      <c r="D1424" s="114" t="n"/>
      <c r="E1424" s="103" t="n"/>
      <c r="F1424" s="102" t="n"/>
      <c r="G1424" s="102" t="n"/>
      <c r="H1424" s="115" t="n"/>
      <c r="I1424" s="102" t="n"/>
      <c r="J1424" s="102" t="n"/>
      <c r="K1424" s="103" t="n"/>
      <c r="L1424" s="116">
        <f>IF($H1424="","",TRIM(IF(COUNTIF(DMTK!$A$7:$A$250,$F1424)=0,"TK Nợ sai! ","")&amp;IF(COUNTIF(DMTK!$A$7:$A$250,$G1424)=0,"TK Có sai! ","")&amp;IF(N($H1424)&lt;=0,"Tiền phải &gt; 0! ","")&amp;IF($B1424="","Thiếu ngày! ","")&amp;IF(AND(OR(LEFT($F1424,3)="131",LEFT($G1424,3)="131",LEFT($F1424,3)="331",LEFT($G1424,3)="331"),$I1424=""),"Thiếu Mã ĐT! ","")&amp;IF(AND($I1424&lt;&gt;"",COUNTIF(DM_DT!$A$7:$A$306,$I1424)=0),"Mã ĐT chưa khai báo! ","")))</f>
        <v/>
      </c>
      <c r="M1424" s="117">
        <f>IF($H1424="","",IF(AND(OR(LEFT($F1424,3)="111",LEFT($F1424,3)="112",LEFT($F1424,3)="113"),OR(LEFT($G1424,3)="111",LEFT($G1424,3)="112",LEFT($G1424,3)="113")),"NB",IF(OR(LEFT($F1424,3)="111",LEFT($F1424,3)="112",LEFT($F1424,3)="113"),"THU",IF(OR(LEFT($G1424,3)="111",LEFT($G1424,3)="112",LEFT($G1424,3)="113"),"CHI",""))))</f>
        <v/>
      </c>
      <c r="N1424" s="117">
        <f>IF($M1424="THU",$G1424,IF($M1424="CHI",$F1424,""))</f>
        <v/>
      </c>
      <c r="O1424" s="117">
        <f>IF(OR($M1424="",$M1424="NB"),"",IF($J1424&lt;&gt;"",TEXT($J1424,"00"),IFERROR(VLOOKUP(LEFT($N1424,4),LCTT_MAP!$A$7:$C$66,IF($M1424="THU",2,3),FALSE()),IFERROR(VLOOKUP(LEFT($N1424,3),LCTT_MAP!$A$7:$C$66,IF($M1424="THU",2,3),FALSE()),IFERROR(VLOOKUP(LEFT($N1424,2),LCTT_MAP!$A$7:$C$66,IF($M1424="THU",2,3),FALSE()),IFERROR(VLOOKUP(LEFT($N1424,1),LCTT_MAP!$A$7:$C$66,IF($M1424="THU",2,3),FALSE()),IF($M1424="THU","06","07")))))))</f>
        <v/>
      </c>
      <c r="P1424" s="117">
        <f>P1423+IF(AND($H1424&lt;&gt;"",OR(LEFT($F1424,LEN(SC_TK))=SC_TK,LEFT($G1424,LEN(SC_TK))=SC_TK)),1,0)</f>
        <v/>
      </c>
    </row>
    <row r="1425" ht="15" customHeight="1" s="78">
      <c r="A1425" s="95">
        <f>IF($H1425="","",ROW()-6)</f>
        <v/>
      </c>
      <c r="B1425" s="114" t="n"/>
      <c r="C1425" s="102" t="n"/>
      <c r="D1425" s="114" t="n"/>
      <c r="E1425" s="103" t="n"/>
      <c r="F1425" s="102" t="n"/>
      <c r="G1425" s="102" t="n"/>
      <c r="H1425" s="115" t="n"/>
      <c r="I1425" s="102" t="n"/>
      <c r="J1425" s="102" t="n"/>
      <c r="K1425" s="103" t="n"/>
      <c r="L1425" s="116">
        <f>IF($H1425="","",TRIM(IF(COUNTIF(DMTK!$A$7:$A$250,$F1425)=0,"TK Nợ sai! ","")&amp;IF(COUNTIF(DMTK!$A$7:$A$250,$G1425)=0,"TK Có sai! ","")&amp;IF(N($H1425)&lt;=0,"Tiền phải &gt; 0! ","")&amp;IF($B1425="","Thiếu ngày! ","")&amp;IF(AND(OR(LEFT($F1425,3)="131",LEFT($G1425,3)="131",LEFT($F1425,3)="331",LEFT($G1425,3)="331"),$I1425=""),"Thiếu Mã ĐT! ","")&amp;IF(AND($I1425&lt;&gt;"",COUNTIF(DM_DT!$A$7:$A$306,$I1425)=0),"Mã ĐT chưa khai báo! ","")))</f>
        <v/>
      </c>
      <c r="M1425" s="117">
        <f>IF($H1425="","",IF(AND(OR(LEFT($F1425,3)="111",LEFT($F1425,3)="112",LEFT($F1425,3)="113"),OR(LEFT($G1425,3)="111",LEFT($G1425,3)="112",LEFT($G1425,3)="113")),"NB",IF(OR(LEFT($F1425,3)="111",LEFT($F1425,3)="112",LEFT($F1425,3)="113"),"THU",IF(OR(LEFT($G1425,3)="111",LEFT($G1425,3)="112",LEFT($G1425,3)="113"),"CHI",""))))</f>
        <v/>
      </c>
      <c r="N1425" s="117">
        <f>IF($M1425="THU",$G1425,IF($M1425="CHI",$F1425,""))</f>
        <v/>
      </c>
      <c r="O1425" s="117">
        <f>IF(OR($M1425="",$M1425="NB"),"",IF($J1425&lt;&gt;"",TEXT($J1425,"00"),IFERROR(VLOOKUP(LEFT($N1425,4),LCTT_MAP!$A$7:$C$66,IF($M1425="THU",2,3),FALSE()),IFERROR(VLOOKUP(LEFT($N1425,3),LCTT_MAP!$A$7:$C$66,IF($M1425="THU",2,3),FALSE()),IFERROR(VLOOKUP(LEFT($N1425,2),LCTT_MAP!$A$7:$C$66,IF($M1425="THU",2,3),FALSE()),IFERROR(VLOOKUP(LEFT($N1425,1),LCTT_MAP!$A$7:$C$66,IF($M1425="THU",2,3),FALSE()),IF($M1425="THU","06","07")))))))</f>
        <v/>
      </c>
      <c r="P1425" s="117">
        <f>P1424+IF(AND($H1425&lt;&gt;"",OR(LEFT($F1425,LEN(SC_TK))=SC_TK,LEFT($G1425,LEN(SC_TK))=SC_TK)),1,0)</f>
        <v/>
      </c>
    </row>
    <row r="1426" ht="15" customHeight="1" s="78">
      <c r="A1426" s="95">
        <f>IF($H1426="","",ROW()-6)</f>
        <v/>
      </c>
      <c r="B1426" s="114" t="n"/>
      <c r="C1426" s="102" t="n"/>
      <c r="D1426" s="114" t="n"/>
      <c r="E1426" s="103" t="n"/>
      <c r="F1426" s="102" t="n"/>
      <c r="G1426" s="102" t="n"/>
      <c r="H1426" s="115" t="n"/>
      <c r="I1426" s="102" t="n"/>
      <c r="J1426" s="102" t="n"/>
      <c r="K1426" s="103" t="n"/>
      <c r="L1426" s="116">
        <f>IF($H1426="","",TRIM(IF(COUNTIF(DMTK!$A$7:$A$250,$F1426)=0,"TK Nợ sai! ","")&amp;IF(COUNTIF(DMTK!$A$7:$A$250,$G1426)=0,"TK Có sai! ","")&amp;IF(N($H1426)&lt;=0,"Tiền phải &gt; 0! ","")&amp;IF($B1426="","Thiếu ngày! ","")&amp;IF(AND(OR(LEFT($F1426,3)="131",LEFT($G1426,3)="131",LEFT($F1426,3)="331",LEFT($G1426,3)="331"),$I1426=""),"Thiếu Mã ĐT! ","")&amp;IF(AND($I1426&lt;&gt;"",COUNTIF(DM_DT!$A$7:$A$306,$I1426)=0),"Mã ĐT chưa khai báo! ","")))</f>
        <v/>
      </c>
      <c r="M1426" s="117">
        <f>IF($H1426="","",IF(AND(OR(LEFT($F1426,3)="111",LEFT($F1426,3)="112",LEFT($F1426,3)="113"),OR(LEFT($G1426,3)="111",LEFT($G1426,3)="112",LEFT($G1426,3)="113")),"NB",IF(OR(LEFT($F1426,3)="111",LEFT($F1426,3)="112",LEFT($F1426,3)="113"),"THU",IF(OR(LEFT($G1426,3)="111",LEFT($G1426,3)="112",LEFT($G1426,3)="113"),"CHI",""))))</f>
        <v/>
      </c>
      <c r="N1426" s="117">
        <f>IF($M1426="THU",$G1426,IF($M1426="CHI",$F1426,""))</f>
        <v/>
      </c>
      <c r="O1426" s="117">
        <f>IF(OR($M1426="",$M1426="NB"),"",IF($J1426&lt;&gt;"",TEXT($J1426,"00"),IFERROR(VLOOKUP(LEFT($N1426,4),LCTT_MAP!$A$7:$C$66,IF($M1426="THU",2,3),FALSE()),IFERROR(VLOOKUP(LEFT($N1426,3),LCTT_MAP!$A$7:$C$66,IF($M1426="THU",2,3),FALSE()),IFERROR(VLOOKUP(LEFT($N1426,2),LCTT_MAP!$A$7:$C$66,IF($M1426="THU",2,3),FALSE()),IFERROR(VLOOKUP(LEFT($N1426,1),LCTT_MAP!$A$7:$C$66,IF($M1426="THU",2,3),FALSE()),IF($M1426="THU","06","07")))))))</f>
        <v/>
      </c>
      <c r="P1426" s="117">
        <f>P1425+IF(AND($H1426&lt;&gt;"",OR(LEFT($F1426,LEN(SC_TK))=SC_TK,LEFT($G1426,LEN(SC_TK))=SC_TK)),1,0)</f>
        <v/>
      </c>
    </row>
    <row r="1427" ht="15" customHeight="1" s="78">
      <c r="A1427" s="95">
        <f>IF($H1427="","",ROW()-6)</f>
        <v/>
      </c>
      <c r="B1427" s="114" t="n"/>
      <c r="C1427" s="102" t="n"/>
      <c r="D1427" s="114" t="n"/>
      <c r="E1427" s="103" t="n"/>
      <c r="F1427" s="102" t="n"/>
      <c r="G1427" s="102" t="n"/>
      <c r="H1427" s="115" t="n"/>
      <c r="I1427" s="102" t="n"/>
      <c r="J1427" s="102" t="n"/>
      <c r="K1427" s="103" t="n"/>
      <c r="L1427" s="116">
        <f>IF($H1427="","",TRIM(IF(COUNTIF(DMTK!$A$7:$A$250,$F1427)=0,"TK Nợ sai! ","")&amp;IF(COUNTIF(DMTK!$A$7:$A$250,$G1427)=0,"TK Có sai! ","")&amp;IF(N($H1427)&lt;=0,"Tiền phải &gt; 0! ","")&amp;IF($B1427="","Thiếu ngày! ","")&amp;IF(AND(OR(LEFT($F1427,3)="131",LEFT($G1427,3)="131",LEFT($F1427,3)="331",LEFT($G1427,3)="331"),$I1427=""),"Thiếu Mã ĐT! ","")&amp;IF(AND($I1427&lt;&gt;"",COUNTIF(DM_DT!$A$7:$A$306,$I1427)=0),"Mã ĐT chưa khai báo! ","")))</f>
        <v/>
      </c>
      <c r="M1427" s="117">
        <f>IF($H1427="","",IF(AND(OR(LEFT($F1427,3)="111",LEFT($F1427,3)="112",LEFT($F1427,3)="113"),OR(LEFT($G1427,3)="111",LEFT($G1427,3)="112",LEFT($G1427,3)="113")),"NB",IF(OR(LEFT($F1427,3)="111",LEFT($F1427,3)="112",LEFT($F1427,3)="113"),"THU",IF(OR(LEFT($G1427,3)="111",LEFT($G1427,3)="112",LEFT($G1427,3)="113"),"CHI",""))))</f>
        <v/>
      </c>
      <c r="N1427" s="117">
        <f>IF($M1427="THU",$G1427,IF($M1427="CHI",$F1427,""))</f>
        <v/>
      </c>
      <c r="O1427" s="117">
        <f>IF(OR($M1427="",$M1427="NB"),"",IF($J1427&lt;&gt;"",TEXT($J1427,"00"),IFERROR(VLOOKUP(LEFT($N1427,4),LCTT_MAP!$A$7:$C$66,IF($M1427="THU",2,3),FALSE()),IFERROR(VLOOKUP(LEFT($N1427,3),LCTT_MAP!$A$7:$C$66,IF($M1427="THU",2,3),FALSE()),IFERROR(VLOOKUP(LEFT($N1427,2),LCTT_MAP!$A$7:$C$66,IF($M1427="THU",2,3),FALSE()),IFERROR(VLOOKUP(LEFT($N1427,1),LCTT_MAP!$A$7:$C$66,IF($M1427="THU",2,3),FALSE()),IF($M1427="THU","06","07")))))))</f>
        <v/>
      </c>
      <c r="P1427" s="117">
        <f>P1426+IF(AND($H1427&lt;&gt;"",OR(LEFT($F1427,LEN(SC_TK))=SC_TK,LEFT($G1427,LEN(SC_TK))=SC_TK)),1,0)</f>
        <v/>
      </c>
    </row>
    <row r="1428" ht="15" customHeight="1" s="78">
      <c r="A1428" s="95">
        <f>IF($H1428="","",ROW()-6)</f>
        <v/>
      </c>
      <c r="B1428" s="114" t="n"/>
      <c r="C1428" s="102" t="n"/>
      <c r="D1428" s="114" t="n"/>
      <c r="E1428" s="103" t="n"/>
      <c r="F1428" s="102" t="n"/>
      <c r="G1428" s="102" t="n"/>
      <c r="H1428" s="115" t="n"/>
      <c r="I1428" s="102" t="n"/>
      <c r="J1428" s="102" t="n"/>
      <c r="K1428" s="103" t="n"/>
      <c r="L1428" s="116">
        <f>IF($H1428="","",TRIM(IF(COUNTIF(DMTK!$A$7:$A$250,$F1428)=0,"TK Nợ sai! ","")&amp;IF(COUNTIF(DMTK!$A$7:$A$250,$G1428)=0,"TK Có sai! ","")&amp;IF(N($H1428)&lt;=0,"Tiền phải &gt; 0! ","")&amp;IF($B1428="","Thiếu ngày! ","")&amp;IF(AND(OR(LEFT($F1428,3)="131",LEFT($G1428,3)="131",LEFT($F1428,3)="331",LEFT($G1428,3)="331"),$I1428=""),"Thiếu Mã ĐT! ","")&amp;IF(AND($I1428&lt;&gt;"",COUNTIF(DM_DT!$A$7:$A$306,$I1428)=0),"Mã ĐT chưa khai báo! ","")))</f>
        <v/>
      </c>
      <c r="M1428" s="117">
        <f>IF($H1428="","",IF(AND(OR(LEFT($F1428,3)="111",LEFT($F1428,3)="112",LEFT($F1428,3)="113"),OR(LEFT($G1428,3)="111",LEFT($G1428,3)="112",LEFT($G1428,3)="113")),"NB",IF(OR(LEFT($F1428,3)="111",LEFT($F1428,3)="112",LEFT($F1428,3)="113"),"THU",IF(OR(LEFT($G1428,3)="111",LEFT($G1428,3)="112",LEFT($G1428,3)="113"),"CHI",""))))</f>
        <v/>
      </c>
      <c r="N1428" s="117">
        <f>IF($M1428="THU",$G1428,IF($M1428="CHI",$F1428,""))</f>
        <v/>
      </c>
      <c r="O1428" s="117">
        <f>IF(OR($M1428="",$M1428="NB"),"",IF($J1428&lt;&gt;"",TEXT($J1428,"00"),IFERROR(VLOOKUP(LEFT($N1428,4),LCTT_MAP!$A$7:$C$66,IF($M1428="THU",2,3),FALSE()),IFERROR(VLOOKUP(LEFT($N1428,3),LCTT_MAP!$A$7:$C$66,IF($M1428="THU",2,3),FALSE()),IFERROR(VLOOKUP(LEFT($N1428,2),LCTT_MAP!$A$7:$C$66,IF($M1428="THU",2,3),FALSE()),IFERROR(VLOOKUP(LEFT($N1428,1),LCTT_MAP!$A$7:$C$66,IF($M1428="THU",2,3),FALSE()),IF($M1428="THU","06","07")))))))</f>
        <v/>
      </c>
      <c r="P1428" s="117">
        <f>P1427+IF(AND($H1428&lt;&gt;"",OR(LEFT($F1428,LEN(SC_TK))=SC_TK,LEFT($G1428,LEN(SC_TK))=SC_TK)),1,0)</f>
        <v/>
      </c>
    </row>
    <row r="1429" ht="15" customHeight="1" s="78">
      <c r="A1429" s="95">
        <f>IF($H1429="","",ROW()-6)</f>
        <v/>
      </c>
      <c r="B1429" s="114" t="n"/>
      <c r="C1429" s="102" t="n"/>
      <c r="D1429" s="114" t="n"/>
      <c r="E1429" s="103" t="n"/>
      <c r="F1429" s="102" t="n"/>
      <c r="G1429" s="102" t="n"/>
      <c r="H1429" s="115" t="n"/>
      <c r="I1429" s="102" t="n"/>
      <c r="J1429" s="102" t="n"/>
      <c r="K1429" s="103" t="n"/>
      <c r="L1429" s="116">
        <f>IF($H1429="","",TRIM(IF(COUNTIF(DMTK!$A$7:$A$250,$F1429)=0,"TK Nợ sai! ","")&amp;IF(COUNTIF(DMTK!$A$7:$A$250,$G1429)=0,"TK Có sai! ","")&amp;IF(N($H1429)&lt;=0,"Tiền phải &gt; 0! ","")&amp;IF($B1429="","Thiếu ngày! ","")&amp;IF(AND(OR(LEFT($F1429,3)="131",LEFT($G1429,3)="131",LEFT($F1429,3)="331",LEFT($G1429,3)="331"),$I1429=""),"Thiếu Mã ĐT! ","")&amp;IF(AND($I1429&lt;&gt;"",COUNTIF(DM_DT!$A$7:$A$306,$I1429)=0),"Mã ĐT chưa khai báo! ","")))</f>
        <v/>
      </c>
      <c r="M1429" s="117">
        <f>IF($H1429="","",IF(AND(OR(LEFT($F1429,3)="111",LEFT($F1429,3)="112",LEFT($F1429,3)="113"),OR(LEFT($G1429,3)="111",LEFT($G1429,3)="112",LEFT($G1429,3)="113")),"NB",IF(OR(LEFT($F1429,3)="111",LEFT($F1429,3)="112",LEFT($F1429,3)="113"),"THU",IF(OR(LEFT($G1429,3)="111",LEFT($G1429,3)="112",LEFT($G1429,3)="113"),"CHI",""))))</f>
        <v/>
      </c>
      <c r="N1429" s="117">
        <f>IF($M1429="THU",$G1429,IF($M1429="CHI",$F1429,""))</f>
        <v/>
      </c>
      <c r="O1429" s="117">
        <f>IF(OR($M1429="",$M1429="NB"),"",IF($J1429&lt;&gt;"",TEXT($J1429,"00"),IFERROR(VLOOKUP(LEFT($N1429,4),LCTT_MAP!$A$7:$C$66,IF($M1429="THU",2,3),FALSE()),IFERROR(VLOOKUP(LEFT($N1429,3),LCTT_MAP!$A$7:$C$66,IF($M1429="THU",2,3),FALSE()),IFERROR(VLOOKUP(LEFT($N1429,2),LCTT_MAP!$A$7:$C$66,IF($M1429="THU",2,3),FALSE()),IFERROR(VLOOKUP(LEFT($N1429,1),LCTT_MAP!$A$7:$C$66,IF($M1429="THU",2,3),FALSE()),IF($M1429="THU","06","07")))))))</f>
        <v/>
      </c>
      <c r="P1429" s="117">
        <f>P1428+IF(AND($H1429&lt;&gt;"",OR(LEFT($F1429,LEN(SC_TK))=SC_TK,LEFT($G1429,LEN(SC_TK))=SC_TK)),1,0)</f>
        <v/>
      </c>
    </row>
    <row r="1430" ht="15" customHeight="1" s="78">
      <c r="A1430" s="95">
        <f>IF($H1430="","",ROW()-6)</f>
        <v/>
      </c>
      <c r="B1430" s="114" t="n"/>
      <c r="C1430" s="102" t="n"/>
      <c r="D1430" s="114" t="n"/>
      <c r="E1430" s="103" t="n"/>
      <c r="F1430" s="102" t="n"/>
      <c r="G1430" s="102" t="n"/>
      <c r="H1430" s="115" t="n"/>
      <c r="I1430" s="102" t="n"/>
      <c r="J1430" s="102" t="n"/>
      <c r="K1430" s="103" t="n"/>
      <c r="L1430" s="116">
        <f>IF($H1430="","",TRIM(IF(COUNTIF(DMTK!$A$7:$A$250,$F1430)=0,"TK Nợ sai! ","")&amp;IF(COUNTIF(DMTK!$A$7:$A$250,$G1430)=0,"TK Có sai! ","")&amp;IF(N($H1430)&lt;=0,"Tiền phải &gt; 0! ","")&amp;IF($B1430="","Thiếu ngày! ","")&amp;IF(AND(OR(LEFT($F1430,3)="131",LEFT($G1430,3)="131",LEFT($F1430,3)="331",LEFT($G1430,3)="331"),$I1430=""),"Thiếu Mã ĐT! ","")&amp;IF(AND($I1430&lt;&gt;"",COUNTIF(DM_DT!$A$7:$A$306,$I1430)=0),"Mã ĐT chưa khai báo! ","")))</f>
        <v/>
      </c>
      <c r="M1430" s="117">
        <f>IF($H1430="","",IF(AND(OR(LEFT($F1430,3)="111",LEFT($F1430,3)="112",LEFT($F1430,3)="113"),OR(LEFT($G1430,3)="111",LEFT($G1430,3)="112",LEFT($G1430,3)="113")),"NB",IF(OR(LEFT($F1430,3)="111",LEFT($F1430,3)="112",LEFT($F1430,3)="113"),"THU",IF(OR(LEFT($G1430,3)="111",LEFT($G1430,3)="112",LEFT($G1430,3)="113"),"CHI",""))))</f>
        <v/>
      </c>
      <c r="N1430" s="117">
        <f>IF($M1430="THU",$G1430,IF($M1430="CHI",$F1430,""))</f>
        <v/>
      </c>
      <c r="O1430" s="117">
        <f>IF(OR($M1430="",$M1430="NB"),"",IF($J1430&lt;&gt;"",TEXT($J1430,"00"),IFERROR(VLOOKUP(LEFT($N1430,4),LCTT_MAP!$A$7:$C$66,IF($M1430="THU",2,3),FALSE()),IFERROR(VLOOKUP(LEFT($N1430,3),LCTT_MAP!$A$7:$C$66,IF($M1430="THU",2,3),FALSE()),IFERROR(VLOOKUP(LEFT($N1430,2),LCTT_MAP!$A$7:$C$66,IF($M1430="THU",2,3),FALSE()),IFERROR(VLOOKUP(LEFT($N1430,1),LCTT_MAP!$A$7:$C$66,IF($M1430="THU",2,3),FALSE()),IF($M1430="THU","06","07")))))))</f>
        <v/>
      </c>
      <c r="P1430" s="117">
        <f>P1429+IF(AND($H1430&lt;&gt;"",OR(LEFT($F1430,LEN(SC_TK))=SC_TK,LEFT($G1430,LEN(SC_TK))=SC_TK)),1,0)</f>
        <v/>
      </c>
    </row>
    <row r="1431" ht="15" customHeight="1" s="78">
      <c r="A1431" s="95">
        <f>IF($H1431="","",ROW()-6)</f>
        <v/>
      </c>
      <c r="B1431" s="114" t="n"/>
      <c r="C1431" s="102" t="n"/>
      <c r="D1431" s="114" t="n"/>
      <c r="E1431" s="103" t="n"/>
      <c r="F1431" s="102" t="n"/>
      <c r="G1431" s="102" t="n"/>
      <c r="H1431" s="115" t="n"/>
      <c r="I1431" s="102" t="n"/>
      <c r="J1431" s="102" t="n"/>
      <c r="K1431" s="103" t="n"/>
      <c r="L1431" s="116">
        <f>IF($H1431="","",TRIM(IF(COUNTIF(DMTK!$A$7:$A$250,$F1431)=0,"TK Nợ sai! ","")&amp;IF(COUNTIF(DMTK!$A$7:$A$250,$G1431)=0,"TK Có sai! ","")&amp;IF(N($H1431)&lt;=0,"Tiền phải &gt; 0! ","")&amp;IF($B1431="","Thiếu ngày! ","")&amp;IF(AND(OR(LEFT($F1431,3)="131",LEFT($G1431,3)="131",LEFT($F1431,3)="331",LEFT($G1431,3)="331"),$I1431=""),"Thiếu Mã ĐT! ","")&amp;IF(AND($I1431&lt;&gt;"",COUNTIF(DM_DT!$A$7:$A$306,$I1431)=0),"Mã ĐT chưa khai báo! ","")))</f>
        <v/>
      </c>
      <c r="M1431" s="117">
        <f>IF($H1431="","",IF(AND(OR(LEFT($F1431,3)="111",LEFT($F1431,3)="112",LEFT($F1431,3)="113"),OR(LEFT($G1431,3)="111",LEFT($G1431,3)="112",LEFT($G1431,3)="113")),"NB",IF(OR(LEFT($F1431,3)="111",LEFT($F1431,3)="112",LEFT($F1431,3)="113"),"THU",IF(OR(LEFT($G1431,3)="111",LEFT($G1431,3)="112",LEFT($G1431,3)="113"),"CHI",""))))</f>
        <v/>
      </c>
      <c r="N1431" s="117">
        <f>IF($M1431="THU",$G1431,IF($M1431="CHI",$F1431,""))</f>
        <v/>
      </c>
      <c r="O1431" s="117">
        <f>IF(OR($M1431="",$M1431="NB"),"",IF($J1431&lt;&gt;"",TEXT($J1431,"00"),IFERROR(VLOOKUP(LEFT($N1431,4),LCTT_MAP!$A$7:$C$66,IF($M1431="THU",2,3),FALSE()),IFERROR(VLOOKUP(LEFT($N1431,3),LCTT_MAP!$A$7:$C$66,IF($M1431="THU",2,3),FALSE()),IFERROR(VLOOKUP(LEFT($N1431,2),LCTT_MAP!$A$7:$C$66,IF($M1431="THU",2,3),FALSE()),IFERROR(VLOOKUP(LEFT($N1431,1),LCTT_MAP!$A$7:$C$66,IF($M1431="THU",2,3),FALSE()),IF($M1431="THU","06","07")))))))</f>
        <v/>
      </c>
      <c r="P1431" s="117">
        <f>P1430+IF(AND($H1431&lt;&gt;"",OR(LEFT($F1431,LEN(SC_TK))=SC_TK,LEFT($G1431,LEN(SC_TK))=SC_TK)),1,0)</f>
        <v/>
      </c>
    </row>
    <row r="1432" ht="15" customHeight="1" s="78">
      <c r="A1432" s="95">
        <f>IF($H1432="","",ROW()-6)</f>
        <v/>
      </c>
      <c r="B1432" s="114" t="n"/>
      <c r="C1432" s="102" t="n"/>
      <c r="D1432" s="114" t="n"/>
      <c r="E1432" s="103" t="n"/>
      <c r="F1432" s="102" t="n"/>
      <c r="G1432" s="102" t="n"/>
      <c r="H1432" s="115" t="n"/>
      <c r="I1432" s="102" t="n"/>
      <c r="J1432" s="102" t="n"/>
      <c r="K1432" s="103" t="n"/>
      <c r="L1432" s="116">
        <f>IF($H1432="","",TRIM(IF(COUNTIF(DMTK!$A$7:$A$250,$F1432)=0,"TK Nợ sai! ","")&amp;IF(COUNTIF(DMTK!$A$7:$A$250,$G1432)=0,"TK Có sai! ","")&amp;IF(N($H1432)&lt;=0,"Tiền phải &gt; 0! ","")&amp;IF($B1432="","Thiếu ngày! ","")&amp;IF(AND(OR(LEFT($F1432,3)="131",LEFT($G1432,3)="131",LEFT($F1432,3)="331",LEFT($G1432,3)="331"),$I1432=""),"Thiếu Mã ĐT! ","")&amp;IF(AND($I1432&lt;&gt;"",COUNTIF(DM_DT!$A$7:$A$306,$I1432)=0),"Mã ĐT chưa khai báo! ","")))</f>
        <v/>
      </c>
      <c r="M1432" s="117">
        <f>IF($H1432="","",IF(AND(OR(LEFT($F1432,3)="111",LEFT($F1432,3)="112",LEFT($F1432,3)="113"),OR(LEFT($G1432,3)="111",LEFT($G1432,3)="112",LEFT($G1432,3)="113")),"NB",IF(OR(LEFT($F1432,3)="111",LEFT($F1432,3)="112",LEFT($F1432,3)="113"),"THU",IF(OR(LEFT($G1432,3)="111",LEFT($G1432,3)="112",LEFT($G1432,3)="113"),"CHI",""))))</f>
        <v/>
      </c>
      <c r="N1432" s="117">
        <f>IF($M1432="THU",$G1432,IF($M1432="CHI",$F1432,""))</f>
        <v/>
      </c>
      <c r="O1432" s="117">
        <f>IF(OR($M1432="",$M1432="NB"),"",IF($J1432&lt;&gt;"",TEXT($J1432,"00"),IFERROR(VLOOKUP(LEFT($N1432,4),LCTT_MAP!$A$7:$C$66,IF($M1432="THU",2,3),FALSE()),IFERROR(VLOOKUP(LEFT($N1432,3),LCTT_MAP!$A$7:$C$66,IF($M1432="THU",2,3),FALSE()),IFERROR(VLOOKUP(LEFT($N1432,2),LCTT_MAP!$A$7:$C$66,IF($M1432="THU",2,3),FALSE()),IFERROR(VLOOKUP(LEFT($N1432,1),LCTT_MAP!$A$7:$C$66,IF($M1432="THU",2,3),FALSE()),IF($M1432="THU","06","07")))))))</f>
        <v/>
      </c>
      <c r="P1432" s="117">
        <f>P1431+IF(AND($H1432&lt;&gt;"",OR(LEFT($F1432,LEN(SC_TK))=SC_TK,LEFT($G1432,LEN(SC_TK))=SC_TK)),1,0)</f>
        <v/>
      </c>
    </row>
    <row r="1433" ht="15" customHeight="1" s="78">
      <c r="A1433" s="95">
        <f>IF($H1433="","",ROW()-6)</f>
        <v/>
      </c>
      <c r="B1433" s="114" t="n"/>
      <c r="C1433" s="102" t="n"/>
      <c r="D1433" s="114" t="n"/>
      <c r="E1433" s="103" t="n"/>
      <c r="F1433" s="102" t="n"/>
      <c r="G1433" s="102" t="n"/>
      <c r="H1433" s="115" t="n"/>
      <c r="I1433" s="102" t="n"/>
      <c r="J1433" s="102" t="n"/>
      <c r="K1433" s="103" t="n"/>
      <c r="L1433" s="116">
        <f>IF($H1433="","",TRIM(IF(COUNTIF(DMTK!$A$7:$A$250,$F1433)=0,"TK Nợ sai! ","")&amp;IF(COUNTIF(DMTK!$A$7:$A$250,$G1433)=0,"TK Có sai! ","")&amp;IF(N($H1433)&lt;=0,"Tiền phải &gt; 0! ","")&amp;IF($B1433="","Thiếu ngày! ","")&amp;IF(AND(OR(LEFT($F1433,3)="131",LEFT($G1433,3)="131",LEFT($F1433,3)="331",LEFT($G1433,3)="331"),$I1433=""),"Thiếu Mã ĐT! ","")&amp;IF(AND($I1433&lt;&gt;"",COUNTIF(DM_DT!$A$7:$A$306,$I1433)=0),"Mã ĐT chưa khai báo! ","")))</f>
        <v/>
      </c>
      <c r="M1433" s="117">
        <f>IF($H1433="","",IF(AND(OR(LEFT($F1433,3)="111",LEFT($F1433,3)="112",LEFT($F1433,3)="113"),OR(LEFT($G1433,3)="111",LEFT($G1433,3)="112",LEFT($G1433,3)="113")),"NB",IF(OR(LEFT($F1433,3)="111",LEFT($F1433,3)="112",LEFT($F1433,3)="113"),"THU",IF(OR(LEFT($G1433,3)="111",LEFT($G1433,3)="112",LEFT($G1433,3)="113"),"CHI",""))))</f>
        <v/>
      </c>
      <c r="N1433" s="117">
        <f>IF($M1433="THU",$G1433,IF($M1433="CHI",$F1433,""))</f>
        <v/>
      </c>
      <c r="O1433" s="117">
        <f>IF(OR($M1433="",$M1433="NB"),"",IF($J1433&lt;&gt;"",TEXT($J1433,"00"),IFERROR(VLOOKUP(LEFT($N1433,4),LCTT_MAP!$A$7:$C$66,IF($M1433="THU",2,3),FALSE()),IFERROR(VLOOKUP(LEFT($N1433,3),LCTT_MAP!$A$7:$C$66,IF($M1433="THU",2,3),FALSE()),IFERROR(VLOOKUP(LEFT($N1433,2),LCTT_MAP!$A$7:$C$66,IF($M1433="THU",2,3),FALSE()),IFERROR(VLOOKUP(LEFT($N1433,1),LCTT_MAP!$A$7:$C$66,IF($M1433="THU",2,3),FALSE()),IF($M1433="THU","06","07")))))))</f>
        <v/>
      </c>
      <c r="P1433" s="117">
        <f>P1432+IF(AND($H1433&lt;&gt;"",OR(LEFT($F1433,LEN(SC_TK))=SC_TK,LEFT($G1433,LEN(SC_TK))=SC_TK)),1,0)</f>
        <v/>
      </c>
    </row>
    <row r="1434" ht="15" customHeight="1" s="78">
      <c r="A1434" s="95">
        <f>IF($H1434="","",ROW()-6)</f>
        <v/>
      </c>
      <c r="B1434" s="114" t="n"/>
      <c r="C1434" s="102" t="n"/>
      <c r="D1434" s="114" t="n"/>
      <c r="E1434" s="103" t="n"/>
      <c r="F1434" s="102" t="n"/>
      <c r="G1434" s="102" t="n"/>
      <c r="H1434" s="115" t="n"/>
      <c r="I1434" s="102" t="n"/>
      <c r="J1434" s="102" t="n"/>
      <c r="K1434" s="103" t="n"/>
      <c r="L1434" s="116">
        <f>IF($H1434="","",TRIM(IF(COUNTIF(DMTK!$A$7:$A$250,$F1434)=0,"TK Nợ sai! ","")&amp;IF(COUNTIF(DMTK!$A$7:$A$250,$G1434)=0,"TK Có sai! ","")&amp;IF(N($H1434)&lt;=0,"Tiền phải &gt; 0! ","")&amp;IF($B1434="","Thiếu ngày! ","")&amp;IF(AND(OR(LEFT($F1434,3)="131",LEFT($G1434,3)="131",LEFT($F1434,3)="331",LEFT($G1434,3)="331"),$I1434=""),"Thiếu Mã ĐT! ","")&amp;IF(AND($I1434&lt;&gt;"",COUNTIF(DM_DT!$A$7:$A$306,$I1434)=0),"Mã ĐT chưa khai báo! ","")))</f>
        <v/>
      </c>
      <c r="M1434" s="117">
        <f>IF($H1434="","",IF(AND(OR(LEFT($F1434,3)="111",LEFT($F1434,3)="112",LEFT($F1434,3)="113"),OR(LEFT($G1434,3)="111",LEFT($G1434,3)="112",LEFT($G1434,3)="113")),"NB",IF(OR(LEFT($F1434,3)="111",LEFT($F1434,3)="112",LEFT($F1434,3)="113"),"THU",IF(OR(LEFT($G1434,3)="111",LEFT($G1434,3)="112",LEFT($G1434,3)="113"),"CHI",""))))</f>
        <v/>
      </c>
      <c r="N1434" s="117">
        <f>IF($M1434="THU",$G1434,IF($M1434="CHI",$F1434,""))</f>
        <v/>
      </c>
      <c r="O1434" s="117">
        <f>IF(OR($M1434="",$M1434="NB"),"",IF($J1434&lt;&gt;"",TEXT($J1434,"00"),IFERROR(VLOOKUP(LEFT($N1434,4),LCTT_MAP!$A$7:$C$66,IF($M1434="THU",2,3),FALSE()),IFERROR(VLOOKUP(LEFT($N1434,3),LCTT_MAP!$A$7:$C$66,IF($M1434="THU",2,3),FALSE()),IFERROR(VLOOKUP(LEFT($N1434,2),LCTT_MAP!$A$7:$C$66,IF($M1434="THU",2,3),FALSE()),IFERROR(VLOOKUP(LEFT($N1434,1),LCTT_MAP!$A$7:$C$66,IF($M1434="THU",2,3),FALSE()),IF($M1434="THU","06","07")))))))</f>
        <v/>
      </c>
      <c r="P1434" s="117">
        <f>P1433+IF(AND($H1434&lt;&gt;"",OR(LEFT($F1434,LEN(SC_TK))=SC_TK,LEFT($G1434,LEN(SC_TK))=SC_TK)),1,0)</f>
        <v/>
      </c>
    </row>
    <row r="1435" ht="15" customHeight="1" s="78">
      <c r="A1435" s="95">
        <f>IF($H1435="","",ROW()-6)</f>
        <v/>
      </c>
      <c r="B1435" s="114" t="n"/>
      <c r="C1435" s="102" t="n"/>
      <c r="D1435" s="114" t="n"/>
      <c r="E1435" s="103" t="n"/>
      <c r="F1435" s="102" t="n"/>
      <c r="G1435" s="102" t="n"/>
      <c r="H1435" s="115" t="n"/>
      <c r="I1435" s="102" t="n"/>
      <c r="J1435" s="102" t="n"/>
      <c r="K1435" s="103" t="n"/>
      <c r="L1435" s="116">
        <f>IF($H1435="","",TRIM(IF(COUNTIF(DMTK!$A$7:$A$250,$F1435)=0,"TK Nợ sai! ","")&amp;IF(COUNTIF(DMTK!$A$7:$A$250,$G1435)=0,"TK Có sai! ","")&amp;IF(N($H1435)&lt;=0,"Tiền phải &gt; 0! ","")&amp;IF($B1435="","Thiếu ngày! ","")&amp;IF(AND(OR(LEFT($F1435,3)="131",LEFT($G1435,3)="131",LEFT($F1435,3)="331",LEFT($G1435,3)="331"),$I1435=""),"Thiếu Mã ĐT! ","")&amp;IF(AND($I1435&lt;&gt;"",COUNTIF(DM_DT!$A$7:$A$306,$I1435)=0),"Mã ĐT chưa khai báo! ","")))</f>
        <v/>
      </c>
      <c r="M1435" s="117">
        <f>IF($H1435="","",IF(AND(OR(LEFT($F1435,3)="111",LEFT($F1435,3)="112",LEFT($F1435,3)="113"),OR(LEFT($G1435,3)="111",LEFT($G1435,3)="112",LEFT($G1435,3)="113")),"NB",IF(OR(LEFT($F1435,3)="111",LEFT($F1435,3)="112",LEFT($F1435,3)="113"),"THU",IF(OR(LEFT($G1435,3)="111",LEFT($G1435,3)="112",LEFT($G1435,3)="113"),"CHI",""))))</f>
        <v/>
      </c>
      <c r="N1435" s="117">
        <f>IF($M1435="THU",$G1435,IF($M1435="CHI",$F1435,""))</f>
        <v/>
      </c>
      <c r="O1435" s="117">
        <f>IF(OR($M1435="",$M1435="NB"),"",IF($J1435&lt;&gt;"",TEXT($J1435,"00"),IFERROR(VLOOKUP(LEFT($N1435,4),LCTT_MAP!$A$7:$C$66,IF($M1435="THU",2,3),FALSE()),IFERROR(VLOOKUP(LEFT($N1435,3),LCTT_MAP!$A$7:$C$66,IF($M1435="THU",2,3),FALSE()),IFERROR(VLOOKUP(LEFT($N1435,2),LCTT_MAP!$A$7:$C$66,IF($M1435="THU",2,3),FALSE()),IFERROR(VLOOKUP(LEFT($N1435,1),LCTT_MAP!$A$7:$C$66,IF($M1435="THU",2,3),FALSE()),IF($M1435="THU","06","07")))))))</f>
        <v/>
      </c>
      <c r="P1435" s="117">
        <f>P1434+IF(AND($H1435&lt;&gt;"",OR(LEFT($F1435,LEN(SC_TK))=SC_TK,LEFT($G1435,LEN(SC_TK))=SC_TK)),1,0)</f>
        <v/>
      </c>
    </row>
    <row r="1436" ht="15" customHeight="1" s="78">
      <c r="A1436" s="95">
        <f>IF($H1436="","",ROW()-6)</f>
        <v/>
      </c>
      <c r="B1436" s="114" t="n"/>
      <c r="C1436" s="102" t="n"/>
      <c r="D1436" s="114" t="n"/>
      <c r="E1436" s="103" t="n"/>
      <c r="F1436" s="102" t="n"/>
      <c r="G1436" s="102" t="n"/>
      <c r="H1436" s="115" t="n"/>
      <c r="I1436" s="102" t="n"/>
      <c r="J1436" s="102" t="n"/>
      <c r="K1436" s="103" t="n"/>
      <c r="L1436" s="116">
        <f>IF($H1436="","",TRIM(IF(COUNTIF(DMTK!$A$7:$A$250,$F1436)=0,"TK Nợ sai! ","")&amp;IF(COUNTIF(DMTK!$A$7:$A$250,$G1436)=0,"TK Có sai! ","")&amp;IF(N($H1436)&lt;=0,"Tiền phải &gt; 0! ","")&amp;IF($B1436="","Thiếu ngày! ","")&amp;IF(AND(OR(LEFT($F1436,3)="131",LEFT($G1436,3)="131",LEFT($F1436,3)="331",LEFT($G1436,3)="331"),$I1436=""),"Thiếu Mã ĐT! ","")&amp;IF(AND($I1436&lt;&gt;"",COUNTIF(DM_DT!$A$7:$A$306,$I1436)=0),"Mã ĐT chưa khai báo! ","")))</f>
        <v/>
      </c>
      <c r="M1436" s="117">
        <f>IF($H1436="","",IF(AND(OR(LEFT($F1436,3)="111",LEFT($F1436,3)="112",LEFT($F1436,3)="113"),OR(LEFT($G1436,3)="111",LEFT($G1436,3)="112",LEFT($G1436,3)="113")),"NB",IF(OR(LEFT($F1436,3)="111",LEFT($F1436,3)="112",LEFT($F1436,3)="113"),"THU",IF(OR(LEFT($G1436,3)="111",LEFT($G1436,3)="112",LEFT($G1436,3)="113"),"CHI",""))))</f>
        <v/>
      </c>
      <c r="N1436" s="117">
        <f>IF($M1436="THU",$G1436,IF($M1436="CHI",$F1436,""))</f>
        <v/>
      </c>
      <c r="O1436" s="117">
        <f>IF(OR($M1436="",$M1436="NB"),"",IF($J1436&lt;&gt;"",TEXT($J1436,"00"),IFERROR(VLOOKUP(LEFT($N1436,4),LCTT_MAP!$A$7:$C$66,IF($M1436="THU",2,3),FALSE()),IFERROR(VLOOKUP(LEFT($N1436,3),LCTT_MAP!$A$7:$C$66,IF($M1436="THU",2,3),FALSE()),IFERROR(VLOOKUP(LEFT($N1436,2),LCTT_MAP!$A$7:$C$66,IF($M1436="THU",2,3),FALSE()),IFERROR(VLOOKUP(LEFT($N1436,1),LCTT_MAP!$A$7:$C$66,IF($M1436="THU",2,3),FALSE()),IF($M1436="THU","06","07")))))))</f>
        <v/>
      </c>
      <c r="P1436" s="117">
        <f>P1435+IF(AND($H1436&lt;&gt;"",OR(LEFT($F1436,LEN(SC_TK))=SC_TK,LEFT($G1436,LEN(SC_TK))=SC_TK)),1,0)</f>
        <v/>
      </c>
    </row>
    <row r="1437" ht="15" customHeight="1" s="78">
      <c r="A1437" s="95">
        <f>IF($H1437="","",ROW()-6)</f>
        <v/>
      </c>
      <c r="B1437" s="114" t="n"/>
      <c r="C1437" s="102" t="n"/>
      <c r="D1437" s="114" t="n"/>
      <c r="E1437" s="103" t="n"/>
      <c r="F1437" s="102" t="n"/>
      <c r="G1437" s="102" t="n"/>
      <c r="H1437" s="115" t="n"/>
      <c r="I1437" s="102" t="n"/>
      <c r="J1437" s="102" t="n"/>
      <c r="K1437" s="103" t="n"/>
      <c r="L1437" s="116">
        <f>IF($H1437="","",TRIM(IF(COUNTIF(DMTK!$A$7:$A$250,$F1437)=0,"TK Nợ sai! ","")&amp;IF(COUNTIF(DMTK!$A$7:$A$250,$G1437)=0,"TK Có sai! ","")&amp;IF(N($H1437)&lt;=0,"Tiền phải &gt; 0! ","")&amp;IF($B1437="","Thiếu ngày! ","")&amp;IF(AND(OR(LEFT($F1437,3)="131",LEFT($G1437,3)="131",LEFT($F1437,3)="331",LEFT($G1437,3)="331"),$I1437=""),"Thiếu Mã ĐT! ","")&amp;IF(AND($I1437&lt;&gt;"",COUNTIF(DM_DT!$A$7:$A$306,$I1437)=0),"Mã ĐT chưa khai báo! ","")))</f>
        <v/>
      </c>
      <c r="M1437" s="117">
        <f>IF($H1437="","",IF(AND(OR(LEFT($F1437,3)="111",LEFT($F1437,3)="112",LEFT($F1437,3)="113"),OR(LEFT($G1437,3)="111",LEFT($G1437,3)="112",LEFT($G1437,3)="113")),"NB",IF(OR(LEFT($F1437,3)="111",LEFT($F1437,3)="112",LEFT($F1437,3)="113"),"THU",IF(OR(LEFT($G1437,3)="111",LEFT($G1437,3)="112",LEFT($G1437,3)="113"),"CHI",""))))</f>
        <v/>
      </c>
      <c r="N1437" s="117">
        <f>IF($M1437="THU",$G1437,IF($M1437="CHI",$F1437,""))</f>
        <v/>
      </c>
      <c r="O1437" s="117">
        <f>IF(OR($M1437="",$M1437="NB"),"",IF($J1437&lt;&gt;"",TEXT($J1437,"00"),IFERROR(VLOOKUP(LEFT($N1437,4),LCTT_MAP!$A$7:$C$66,IF($M1437="THU",2,3),FALSE()),IFERROR(VLOOKUP(LEFT($N1437,3),LCTT_MAP!$A$7:$C$66,IF($M1437="THU",2,3),FALSE()),IFERROR(VLOOKUP(LEFT($N1437,2),LCTT_MAP!$A$7:$C$66,IF($M1437="THU",2,3),FALSE()),IFERROR(VLOOKUP(LEFT($N1437,1),LCTT_MAP!$A$7:$C$66,IF($M1437="THU",2,3),FALSE()),IF($M1437="THU","06","07")))))))</f>
        <v/>
      </c>
      <c r="P1437" s="117">
        <f>P1436+IF(AND($H1437&lt;&gt;"",OR(LEFT($F1437,LEN(SC_TK))=SC_TK,LEFT($G1437,LEN(SC_TK))=SC_TK)),1,0)</f>
        <v/>
      </c>
    </row>
    <row r="1438" ht="15" customHeight="1" s="78">
      <c r="A1438" s="95">
        <f>IF($H1438="","",ROW()-6)</f>
        <v/>
      </c>
      <c r="B1438" s="114" t="n"/>
      <c r="C1438" s="102" t="n"/>
      <c r="D1438" s="114" t="n"/>
      <c r="E1438" s="103" t="n"/>
      <c r="F1438" s="102" t="n"/>
      <c r="G1438" s="102" t="n"/>
      <c r="H1438" s="115" t="n"/>
      <c r="I1438" s="102" t="n"/>
      <c r="J1438" s="102" t="n"/>
      <c r="K1438" s="103" t="n"/>
      <c r="L1438" s="116">
        <f>IF($H1438="","",TRIM(IF(COUNTIF(DMTK!$A$7:$A$250,$F1438)=0,"TK Nợ sai! ","")&amp;IF(COUNTIF(DMTK!$A$7:$A$250,$G1438)=0,"TK Có sai! ","")&amp;IF(N($H1438)&lt;=0,"Tiền phải &gt; 0! ","")&amp;IF($B1438="","Thiếu ngày! ","")&amp;IF(AND(OR(LEFT($F1438,3)="131",LEFT($G1438,3)="131",LEFT($F1438,3)="331",LEFT($G1438,3)="331"),$I1438=""),"Thiếu Mã ĐT! ","")&amp;IF(AND($I1438&lt;&gt;"",COUNTIF(DM_DT!$A$7:$A$306,$I1438)=0),"Mã ĐT chưa khai báo! ","")))</f>
        <v/>
      </c>
      <c r="M1438" s="117">
        <f>IF($H1438="","",IF(AND(OR(LEFT($F1438,3)="111",LEFT($F1438,3)="112",LEFT($F1438,3)="113"),OR(LEFT($G1438,3)="111",LEFT($G1438,3)="112",LEFT($G1438,3)="113")),"NB",IF(OR(LEFT($F1438,3)="111",LEFT($F1438,3)="112",LEFT($F1438,3)="113"),"THU",IF(OR(LEFT($G1438,3)="111",LEFT($G1438,3)="112",LEFT($G1438,3)="113"),"CHI",""))))</f>
        <v/>
      </c>
      <c r="N1438" s="117">
        <f>IF($M1438="THU",$G1438,IF($M1438="CHI",$F1438,""))</f>
        <v/>
      </c>
      <c r="O1438" s="117">
        <f>IF(OR($M1438="",$M1438="NB"),"",IF($J1438&lt;&gt;"",TEXT($J1438,"00"),IFERROR(VLOOKUP(LEFT($N1438,4),LCTT_MAP!$A$7:$C$66,IF($M1438="THU",2,3),FALSE()),IFERROR(VLOOKUP(LEFT($N1438,3),LCTT_MAP!$A$7:$C$66,IF($M1438="THU",2,3),FALSE()),IFERROR(VLOOKUP(LEFT($N1438,2),LCTT_MAP!$A$7:$C$66,IF($M1438="THU",2,3),FALSE()),IFERROR(VLOOKUP(LEFT($N1438,1),LCTT_MAP!$A$7:$C$66,IF($M1438="THU",2,3),FALSE()),IF($M1438="THU","06","07")))))))</f>
        <v/>
      </c>
      <c r="P1438" s="117">
        <f>P1437+IF(AND($H1438&lt;&gt;"",OR(LEFT($F1438,LEN(SC_TK))=SC_TK,LEFT($G1438,LEN(SC_TK))=SC_TK)),1,0)</f>
        <v/>
      </c>
    </row>
    <row r="1439" ht="15" customHeight="1" s="78">
      <c r="A1439" s="95">
        <f>IF($H1439="","",ROW()-6)</f>
        <v/>
      </c>
      <c r="B1439" s="114" t="n"/>
      <c r="C1439" s="102" t="n"/>
      <c r="D1439" s="114" t="n"/>
      <c r="E1439" s="103" t="n"/>
      <c r="F1439" s="102" t="n"/>
      <c r="G1439" s="102" t="n"/>
      <c r="H1439" s="115" t="n"/>
      <c r="I1439" s="102" t="n"/>
      <c r="J1439" s="102" t="n"/>
      <c r="K1439" s="103" t="n"/>
      <c r="L1439" s="116">
        <f>IF($H1439="","",TRIM(IF(COUNTIF(DMTK!$A$7:$A$250,$F1439)=0,"TK Nợ sai! ","")&amp;IF(COUNTIF(DMTK!$A$7:$A$250,$G1439)=0,"TK Có sai! ","")&amp;IF(N($H1439)&lt;=0,"Tiền phải &gt; 0! ","")&amp;IF($B1439="","Thiếu ngày! ","")&amp;IF(AND(OR(LEFT($F1439,3)="131",LEFT($G1439,3)="131",LEFT($F1439,3)="331",LEFT($G1439,3)="331"),$I1439=""),"Thiếu Mã ĐT! ","")&amp;IF(AND($I1439&lt;&gt;"",COUNTIF(DM_DT!$A$7:$A$306,$I1439)=0),"Mã ĐT chưa khai báo! ","")))</f>
        <v/>
      </c>
      <c r="M1439" s="117">
        <f>IF($H1439="","",IF(AND(OR(LEFT($F1439,3)="111",LEFT($F1439,3)="112",LEFT($F1439,3)="113"),OR(LEFT($G1439,3)="111",LEFT($G1439,3)="112",LEFT($G1439,3)="113")),"NB",IF(OR(LEFT($F1439,3)="111",LEFT($F1439,3)="112",LEFT($F1439,3)="113"),"THU",IF(OR(LEFT($G1439,3)="111",LEFT($G1439,3)="112",LEFT($G1439,3)="113"),"CHI",""))))</f>
        <v/>
      </c>
      <c r="N1439" s="117">
        <f>IF($M1439="THU",$G1439,IF($M1439="CHI",$F1439,""))</f>
        <v/>
      </c>
      <c r="O1439" s="117">
        <f>IF(OR($M1439="",$M1439="NB"),"",IF($J1439&lt;&gt;"",TEXT($J1439,"00"),IFERROR(VLOOKUP(LEFT($N1439,4),LCTT_MAP!$A$7:$C$66,IF($M1439="THU",2,3),FALSE()),IFERROR(VLOOKUP(LEFT($N1439,3),LCTT_MAP!$A$7:$C$66,IF($M1439="THU",2,3),FALSE()),IFERROR(VLOOKUP(LEFT($N1439,2),LCTT_MAP!$A$7:$C$66,IF($M1439="THU",2,3),FALSE()),IFERROR(VLOOKUP(LEFT($N1439,1),LCTT_MAP!$A$7:$C$66,IF($M1439="THU",2,3),FALSE()),IF($M1439="THU","06","07")))))))</f>
        <v/>
      </c>
      <c r="P1439" s="117">
        <f>P1438+IF(AND($H1439&lt;&gt;"",OR(LEFT($F1439,LEN(SC_TK))=SC_TK,LEFT($G1439,LEN(SC_TK))=SC_TK)),1,0)</f>
        <v/>
      </c>
    </row>
    <row r="1440" ht="15" customHeight="1" s="78">
      <c r="A1440" s="95">
        <f>IF($H1440="","",ROW()-6)</f>
        <v/>
      </c>
      <c r="B1440" s="114" t="n"/>
      <c r="C1440" s="102" t="n"/>
      <c r="D1440" s="114" t="n"/>
      <c r="E1440" s="103" t="n"/>
      <c r="F1440" s="102" t="n"/>
      <c r="G1440" s="102" t="n"/>
      <c r="H1440" s="115" t="n"/>
      <c r="I1440" s="102" t="n"/>
      <c r="J1440" s="102" t="n"/>
      <c r="K1440" s="103" t="n"/>
      <c r="L1440" s="116">
        <f>IF($H1440="","",TRIM(IF(COUNTIF(DMTK!$A$7:$A$250,$F1440)=0,"TK Nợ sai! ","")&amp;IF(COUNTIF(DMTK!$A$7:$A$250,$G1440)=0,"TK Có sai! ","")&amp;IF(N($H1440)&lt;=0,"Tiền phải &gt; 0! ","")&amp;IF($B1440="","Thiếu ngày! ","")&amp;IF(AND(OR(LEFT($F1440,3)="131",LEFT($G1440,3)="131",LEFT($F1440,3)="331",LEFT($G1440,3)="331"),$I1440=""),"Thiếu Mã ĐT! ","")&amp;IF(AND($I1440&lt;&gt;"",COUNTIF(DM_DT!$A$7:$A$306,$I1440)=0),"Mã ĐT chưa khai báo! ","")))</f>
        <v/>
      </c>
      <c r="M1440" s="117">
        <f>IF($H1440="","",IF(AND(OR(LEFT($F1440,3)="111",LEFT($F1440,3)="112",LEFT($F1440,3)="113"),OR(LEFT($G1440,3)="111",LEFT($G1440,3)="112",LEFT($G1440,3)="113")),"NB",IF(OR(LEFT($F1440,3)="111",LEFT($F1440,3)="112",LEFT($F1440,3)="113"),"THU",IF(OR(LEFT($G1440,3)="111",LEFT($G1440,3)="112",LEFT($G1440,3)="113"),"CHI",""))))</f>
        <v/>
      </c>
      <c r="N1440" s="117">
        <f>IF($M1440="THU",$G1440,IF($M1440="CHI",$F1440,""))</f>
        <v/>
      </c>
      <c r="O1440" s="117">
        <f>IF(OR($M1440="",$M1440="NB"),"",IF($J1440&lt;&gt;"",TEXT($J1440,"00"),IFERROR(VLOOKUP(LEFT($N1440,4),LCTT_MAP!$A$7:$C$66,IF($M1440="THU",2,3),FALSE()),IFERROR(VLOOKUP(LEFT($N1440,3),LCTT_MAP!$A$7:$C$66,IF($M1440="THU",2,3),FALSE()),IFERROR(VLOOKUP(LEFT($N1440,2),LCTT_MAP!$A$7:$C$66,IF($M1440="THU",2,3),FALSE()),IFERROR(VLOOKUP(LEFT($N1440,1),LCTT_MAP!$A$7:$C$66,IF($M1440="THU",2,3),FALSE()),IF($M1440="THU","06","07")))))))</f>
        <v/>
      </c>
      <c r="P1440" s="117">
        <f>P1439+IF(AND($H1440&lt;&gt;"",OR(LEFT($F1440,LEN(SC_TK))=SC_TK,LEFT($G1440,LEN(SC_TK))=SC_TK)),1,0)</f>
        <v/>
      </c>
    </row>
    <row r="1441" ht="15" customHeight="1" s="78">
      <c r="A1441" s="95">
        <f>IF($H1441="","",ROW()-6)</f>
        <v/>
      </c>
      <c r="B1441" s="114" t="n"/>
      <c r="C1441" s="102" t="n"/>
      <c r="D1441" s="114" t="n"/>
      <c r="E1441" s="103" t="n"/>
      <c r="F1441" s="102" t="n"/>
      <c r="G1441" s="102" t="n"/>
      <c r="H1441" s="115" t="n"/>
      <c r="I1441" s="102" t="n"/>
      <c r="J1441" s="102" t="n"/>
      <c r="K1441" s="103" t="n"/>
      <c r="L1441" s="116">
        <f>IF($H1441="","",TRIM(IF(COUNTIF(DMTK!$A$7:$A$250,$F1441)=0,"TK Nợ sai! ","")&amp;IF(COUNTIF(DMTK!$A$7:$A$250,$G1441)=0,"TK Có sai! ","")&amp;IF(N($H1441)&lt;=0,"Tiền phải &gt; 0! ","")&amp;IF($B1441="","Thiếu ngày! ","")&amp;IF(AND(OR(LEFT($F1441,3)="131",LEFT($G1441,3)="131",LEFT($F1441,3)="331",LEFT($G1441,3)="331"),$I1441=""),"Thiếu Mã ĐT! ","")&amp;IF(AND($I1441&lt;&gt;"",COUNTIF(DM_DT!$A$7:$A$306,$I1441)=0),"Mã ĐT chưa khai báo! ","")))</f>
        <v/>
      </c>
      <c r="M1441" s="117">
        <f>IF($H1441="","",IF(AND(OR(LEFT($F1441,3)="111",LEFT($F1441,3)="112",LEFT($F1441,3)="113"),OR(LEFT($G1441,3)="111",LEFT($G1441,3)="112",LEFT($G1441,3)="113")),"NB",IF(OR(LEFT($F1441,3)="111",LEFT($F1441,3)="112",LEFT($F1441,3)="113"),"THU",IF(OR(LEFT($G1441,3)="111",LEFT($G1441,3)="112",LEFT($G1441,3)="113"),"CHI",""))))</f>
        <v/>
      </c>
      <c r="N1441" s="117">
        <f>IF($M1441="THU",$G1441,IF($M1441="CHI",$F1441,""))</f>
        <v/>
      </c>
      <c r="O1441" s="117">
        <f>IF(OR($M1441="",$M1441="NB"),"",IF($J1441&lt;&gt;"",TEXT($J1441,"00"),IFERROR(VLOOKUP(LEFT($N1441,4),LCTT_MAP!$A$7:$C$66,IF($M1441="THU",2,3),FALSE()),IFERROR(VLOOKUP(LEFT($N1441,3),LCTT_MAP!$A$7:$C$66,IF($M1441="THU",2,3),FALSE()),IFERROR(VLOOKUP(LEFT($N1441,2),LCTT_MAP!$A$7:$C$66,IF($M1441="THU",2,3),FALSE()),IFERROR(VLOOKUP(LEFT($N1441,1),LCTT_MAP!$A$7:$C$66,IF($M1441="THU",2,3),FALSE()),IF($M1441="THU","06","07")))))))</f>
        <v/>
      </c>
      <c r="P1441" s="117">
        <f>P1440+IF(AND($H1441&lt;&gt;"",OR(LEFT($F1441,LEN(SC_TK))=SC_TK,LEFT($G1441,LEN(SC_TK))=SC_TK)),1,0)</f>
        <v/>
      </c>
    </row>
    <row r="1442" ht="15" customHeight="1" s="78">
      <c r="A1442" s="95">
        <f>IF($H1442="","",ROW()-6)</f>
        <v/>
      </c>
      <c r="B1442" s="114" t="n"/>
      <c r="C1442" s="102" t="n"/>
      <c r="D1442" s="114" t="n"/>
      <c r="E1442" s="103" t="n"/>
      <c r="F1442" s="102" t="n"/>
      <c r="G1442" s="102" t="n"/>
      <c r="H1442" s="115" t="n"/>
      <c r="I1442" s="102" t="n"/>
      <c r="J1442" s="102" t="n"/>
      <c r="K1442" s="103" t="n"/>
      <c r="L1442" s="116">
        <f>IF($H1442="","",TRIM(IF(COUNTIF(DMTK!$A$7:$A$250,$F1442)=0,"TK Nợ sai! ","")&amp;IF(COUNTIF(DMTK!$A$7:$A$250,$G1442)=0,"TK Có sai! ","")&amp;IF(N($H1442)&lt;=0,"Tiền phải &gt; 0! ","")&amp;IF($B1442="","Thiếu ngày! ","")&amp;IF(AND(OR(LEFT($F1442,3)="131",LEFT($G1442,3)="131",LEFT($F1442,3)="331",LEFT($G1442,3)="331"),$I1442=""),"Thiếu Mã ĐT! ","")&amp;IF(AND($I1442&lt;&gt;"",COUNTIF(DM_DT!$A$7:$A$306,$I1442)=0),"Mã ĐT chưa khai báo! ","")))</f>
        <v/>
      </c>
      <c r="M1442" s="117">
        <f>IF($H1442="","",IF(AND(OR(LEFT($F1442,3)="111",LEFT($F1442,3)="112",LEFT($F1442,3)="113"),OR(LEFT($G1442,3)="111",LEFT($G1442,3)="112",LEFT($G1442,3)="113")),"NB",IF(OR(LEFT($F1442,3)="111",LEFT($F1442,3)="112",LEFT($F1442,3)="113"),"THU",IF(OR(LEFT($G1442,3)="111",LEFT($G1442,3)="112",LEFT($G1442,3)="113"),"CHI",""))))</f>
        <v/>
      </c>
      <c r="N1442" s="117">
        <f>IF($M1442="THU",$G1442,IF($M1442="CHI",$F1442,""))</f>
        <v/>
      </c>
      <c r="O1442" s="117">
        <f>IF(OR($M1442="",$M1442="NB"),"",IF($J1442&lt;&gt;"",TEXT($J1442,"00"),IFERROR(VLOOKUP(LEFT($N1442,4),LCTT_MAP!$A$7:$C$66,IF($M1442="THU",2,3),FALSE()),IFERROR(VLOOKUP(LEFT($N1442,3),LCTT_MAP!$A$7:$C$66,IF($M1442="THU",2,3),FALSE()),IFERROR(VLOOKUP(LEFT($N1442,2),LCTT_MAP!$A$7:$C$66,IF($M1442="THU",2,3),FALSE()),IFERROR(VLOOKUP(LEFT($N1442,1),LCTT_MAP!$A$7:$C$66,IF($M1442="THU",2,3),FALSE()),IF($M1442="THU","06","07")))))))</f>
        <v/>
      </c>
      <c r="P1442" s="117">
        <f>P1441+IF(AND($H1442&lt;&gt;"",OR(LEFT($F1442,LEN(SC_TK))=SC_TK,LEFT($G1442,LEN(SC_TK))=SC_TK)),1,0)</f>
        <v/>
      </c>
    </row>
    <row r="1443" ht="15" customHeight="1" s="78">
      <c r="A1443" s="95">
        <f>IF($H1443="","",ROW()-6)</f>
        <v/>
      </c>
      <c r="B1443" s="114" t="n"/>
      <c r="C1443" s="102" t="n"/>
      <c r="D1443" s="114" t="n"/>
      <c r="E1443" s="103" t="n"/>
      <c r="F1443" s="102" t="n"/>
      <c r="G1443" s="102" t="n"/>
      <c r="H1443" s="115" t="n"/>
      <c r="I1443" s="102" t="n"/>
      <c r="J1443" s="102" t="n"/>
      <c r="K1443" s="103" t="n"/>
      <c r="L1443" s="116">
        <f>IF($H1443="","",TRIM(IF(COUNTIF(DMTK!$A$7:$A$250,$F1443)=0,"TK Nợ sai! ","")&amp;IF(COUNTIF(DMTK!$A$7:$A$250,$G1443)=0,"TK Có sai! ","")&amp;IF(N($H1443)&lt;=0,"Tiền phải &gt; 0! ","")&amp;IF($B1443="","Thiếu ngày! ","")&amp;IF(AND(OR(LEFT($F1443,3)="131",LEFT($G1443,3)="131",LEFT($F1443,3)="331",LEFT($G1443,3)="331"),$I1443=""),"Thiếu Mã ĐT! ","")&amp;IF(AND($I1443&lt;&gt;"",COUNTIF(DM_DT!$A$7:$A$306,$I1443)=0),"Mã ĐT chưa khai báo! ","")))</f>
        <v/>
      </c>
      <c r="M1443" s="117">
        <f>IF($H1443="","",IF(AND(OR(LEFT($F1443,3)="111",LEFT($F1443,3)="112",LEFT($F1443,3)="113"),OR(LEFT($G1443,3)="111",LEFT($G1443,3)="112",LEFT($G1443,3)="113")),"NB",IF(OR(LEFT($F1443,3)="111",LEFT($F1443,3)="112",LEFT($F1443,3)="113"),"THU",IF(OR(LEFT($G1443,3)="111",LEFT($G1443,3)="112",LEFT($G1443,3)="113"),"CHI",""))))</f>
        <v/>
      </c>
      <c r="N1443" s="117">
        <f>IF($M1443="THU",$G1443,IF($M1443="CHI",$F1443,""))</f>
        <v/>
      </c>
      <c r="O1443" s="117">
        <f>IF(OR($M1443="",$M1443="NB"),"",IF($J1443&lt;&gt;"",TEXT($J1443,"00"),IFERROR(VLOOKUP(LEFT($N1443,4),LCTT_MAP!$A$7:$C$66,IF($M1443="THU",2,3),FALSE()),IFERROR(VLOOKUP(LEFT($N1443,3),LCTT_MAP!$A$7:$C$66,IF($M1443="THU",2,3),FALSE()),IFERROR(VLOOKUP(LEFT($N1443,2),LCTT_MAP!$A$7:$C$66,IF($M1443="THU",2,3),FALSE()),IFERROR(VLOOKUP(LEFT($N1443,1),LCTT_MAP!$A$7:$C$66,IF($M1443="THU",2,3),FALSE()),IF($M1443="THU","06","07")))))))</f>
        <v/>
      </c>
      <c r="P1443" s="117">
        <f>P1442+IF(AND($H1443&lt;&gt;"",OR(LEFT($F1443,LEN(SC_TK))=SC_TK,LEFT($G1443,LEN(SC_TK))=SC_TK)),1,0)</f>
        <v/>
      </c>
    </row>
    <row r="1444" ht="15" customHeight="1" s="78">
      <c r="A1444" s="95">
        <f>IF($H1444="","",ROW()-6)</f>
        <v/>
      </c>
      <c r="B1444" s="114" t="n"/>
      <c r="C1444" s="102" t="n"/>
      <c r="D1444" s="114" t="n"/>
      <c r="E1444" s="103" t="n"/>
      <c r="F1444" s="102" t="n"/>
      <c r="G1444" s="102" t="n"/>
      <c r="H1444" s="115" t="n"/>
      <c r="I1444" s="102" t="n"/>
      <c r="J1444" s="102" t="n"/>
      <c r="K1444" s="103" t="n"/>
      <c r="L1444" s="116">
        <f>IF($H1444="","",TRIM(IF(COUNTIF(DMTK!$A$7:$A$250,$F1444)=0,"TK Nợ sai! ","")&amp;IF(COUNTIF(DMTK!$A$7:$A$250,$G1444)=0,"TK Có sai! ","")&amp;IF(N($H1444)&lt;=0,"Tiền phải &gt; 0! ","")&amp;IF($B1444="","Thiếu ngày! ","")&amp;IF(AND(OR(LEFT($F1444,3)="131",LEFT($G1444,3)="131",LEFT($F1444,3)="331",LEFT($G1444,3)="331"),$I1444=""),"Thiếu Mã ĐT! ","")&amp;IF(AND($I1444&lt;&gt;"",COUNTIF(DM_DT!$A$7:$A$306,$I1444)=0),"Mã ĐT chưa khai báo! ","")))</f>
        <v/>
      </c>
      <c r="M1444" s="117">
        <f>IF($H1444="","",IF(AND(OR(LEFT($F1444,3)="111",LEFT($F1444,3)="112",LEFT($F1444,3)="113"),OR(LEFT($G1444,3)="111",LEFT($G1444,3)="112",LEFT($G1444,3)="113")),"NB",IF(OR(LEFT($F1444,3)="111",LEFT($F1444,3)="112",LEFT($F1444,3)="113"),"THU",IF(OR(LEFT($G1444,3)="111",LEFT($G1444,3)="112",LEFT($G1444,3)="113"),"CHI",""))))</f>
        <v/>
      </c>
      <c r="N1444" s="117">
        <f>IF($M1444="THU",$G1444,IF($M1444="CHI",$F1444,""))</f>
        <v/>
      </c>
      <c r="O1444" s="117">
        <f>IF(OR($M1444="",$M1444="NB"),"",IF($J1444&lt;&gt;"",TEXT($J1444,"00"),IFERROR(VLOOKUP(LEFT($N1444,4),LCTT_MAP!$A$7:$C$66,IF($M1444="THU",2,3),FALSE()),IFERROR(VLOOKUP(LEFT($N1444,3),LCTT_MAP!$A$7:$C$66,IF($M1444="THU",2,3),FALSE()),IFERROR(VLOOKUP(LEFT($N1444,2),LCTT_MAP!$A$7:$C$66,IF($M1444="THU",2,3),FALSE()),IFERROR(VLOOKUP(LEFT($N1444,1),LCTT_MAP!$A$7:$C$66,IF($M1444="THU",2,3),FALSE()),IF($M1444="THU","06","07")))))))</f>
        <v/>
      </c>
      <c r="P1444" s="117">
        <f>P1443+IF(AND($H1444&lt;&gt;"",OR(LEFT($F1444,LEN(SC_TK))=SC_TK,LEFT($G1444,LEN(SC_TK))=SC_TK)),1,0)</f>
        <v/>
      </c>
    </row>
    <row r="1445" ht="15" customHeight="1" s="78">
      <c r="A1445" s="95">
        <f>IF($H1445="","",ROW()-6)</f>
        <v/>
      </c>
      <c r="B1445" s="114" t="n"/>
      <c r="C1445" s="102" t="n"/>
      <c r="D1445" s="114" t="n"/>
      <c r="E1445" s="103" t="n"/>
      <c r="F1445" s="102" t="n"/>
      <c r="G1445" s="102" t="n"/>
      <c r="H1445" s="115" t="n"/>
      <c r="I1445" s="102" t="n"/>
      <c r="J1445" s="102" t="n"/>
      <c r="K1445" s="103" t="n"/>
      <c r="L1445" s="116">
        <f>IF($H1445="","",TRIM(IF(COUNTIF(DMTK!$A$7:$A$250,$F1445)=0,"TK Nợ sai! ","")&amp;IF(COUNTIF(DMTK!$A$7:$A$250,$G1445)=0,"TK Có sai! ","")&amp;IF(N($H1445)&lt;=0,"Tiền phải &gt; 0! ","")&amp;IF($B1445="","Thiếu ngày! ","")&amp;IF(AND(OR(LEFT($F1445,3)="131",LEFT($G1445,3)="131",LEFT($F1445,3)="331",LEFT($G1445,3)="331"),$I1445=""),"Thiếu Mã ĐT! ","")&amp;IF(AND($I1445&lt;&gt;"",COUNTIF(DM_DT!$A$7:$A$306,$I1445)=0),"Mã ĐT chưa khai báo! ","")))</f>
        <v/>
      </c>
      <c r="M1445" s="117">
        <f>IF($H1445="","",IF(AND(OR(LEFT($F1445,3)="111",LEFT($F1445,3)="112",LEFT($F1445,3)="113"),OR(LEFT($G1445,3)="111",LEFT($G1445,3)="112",LEFT($G1445,3)="113")),"NB",IF(OR(LEFT($F1445,3)="111",LEFT($F1445,3)="112",LEFT($F1445,3)="113"),"THU",IF(OR(LEFT($G1445,3)="111",LEFT($G1445,3)="112",LEFT($G1445,3)="113"),"CHI",""))))</f>
        <v/>
      </c>
      <c r="N1445" s="117">
        <f>IF($M1445="THU",$G1445,IF($M1445="CHI",$F1445,""))</f>
        <v/>
      </c>
      <c r="O1445" s="117">
        <f>IF(OR($M1445="",$M1445="NB"),"",IF($J1445&lt;&gt;"",TEXT($J1445,"00"),IFERROR(VLOOKUP(LEFT($N1445,4),LCTT_MAP!$A$7:$C$66,IF($M1445="THU",2,3),FALSE()),IFERROR(VLOOKUP(LEFT($N1445,3),LCTT_MAP!$A$7:$C$66,IF($M1445="THU",2,3),FALSE()),IFERROR(VLOOKUP(LEFT($N1445,2),LCTT_MAP!$A$7:$C$66,IF($M1445="THU",2,3),FALSE()),IFERROR(VLOOKUP(LEFT($N1445,1),LCTT_MAP!$A$7:$C$66,IF($M1445="THU",2,3),FALSE()),IF($M1445="THU","06","07")))))))</f>
        <v/>
      </c>
      <c r="P1445" s="117">
        <f>P1444+IF(AND($H1445&lt;&gt;"",OR(LEFT($F1445,LEN(SC_TK))=SC_TK,LEFT($G1445,LEN(SC_TK))=SC_TK)),1,0)</f>
        <v/>
      </c>
    </row>
    <row r="1446" ht="15" customHeight="1" s="78">
      <c r="A1446" s="95">
        <f>IF($H1446="","",ROW()-6)</f>
        <v/>
      </c>
      <c r="B1446" s="114" t="n"/>
      <c r="C1446" s="102" t="n"/>
      <c r="D1446" s="114" t="n"/>
      <c r="E1446" s="103" t="n"/>
      <c r="F1446" s="102" t="n"/>
      <c r="G1446" s="102" t="n"/>
      <c r="H1446" s="115" t="n"/>
      <c r="I1446" s="102" t="n"/>
      <c r="J1446" s="102" t="n"/>
      <c r="K1446" s="103" t="n"/>
      <c r="L1446" s="116">
        <f>IF($H1446="","",TRIM(IF(COUNTIF(DMTK!$A$7:$A$250,$F1446)=0,"TK Nợ sai! ","")&amp;IF(COUNTIF(DMTK!$A$7:$A$250,$G1446)=0,"TK Có sai! ","")&amp;IF(N($H1446)&lt;=0,"Tiền phải &gt; 0! ","")&amp;IF($B1446="","Thiếu ngày! ","")&amp;IF(AND(OR(LEFT($F1446,3)="131",LEFT($G1446,3)="131",LEFT($F1446,3)="331",LEFT($G1446,3)="331"),$I1446=""),"Thiếu Mã ĐT! ","")&amp;IF(AND($I1446&lt;&gt;"",COUNTIF(DM_DT!$A$7:$A$306,$I1446)=0),"Mã ĐT chưa khai báo! ","")))</f>
        <v/>
      </c>
      <c r="M1446" s="117">
        <f>IF($H1446="","",IF(AND(OR(LEFT($F1446,3)="111",LEFT($F1446,3)="112",LEFT($F1446,3)="113"),OR(LEFT($G1446,3)="111",LEFT($G1446,3)="112",LEFT($G1446,3)="113")),"NB",IF(OR(LEFT($F1446,3)="111",LEFT($F1446,3)="112",LEFT($F1446,3)="113"),"THU",IF(OR(LEFT($G1446,3)="111",LEFT($G1446,3)="112",LEFT($G1446,3)="113"),"CHI",""))))</f>
        <v/>
      </c>
      <c r="N1446" s="117">
        <f>IF($M1446="THU",$G1446,IF($M1446="CHI",$F1446,""))</f>
        <v/>
      </c>
      <c r="O1446" s="117">
        <f>IF(OR($M1446="",$M1446="NB"),"",IF($J1446&lt;&gt;"",TEXT($J1446,"00"),IFERROR(VLOOKUP(LEFT($N1446,4),LCTT_MAP!$A$7:$C$66,IF($M1446="THU",2,3),FALSE()),IFERROR(VLOOKUP(LEFT($N1446,3),LCTT_MAP!$A$7:$C$66,IF($M1446="THU",2,3),FALSE()),IFERROR(VLOOKUP(LEFT($N1446,2),LCTT_MAP!$A$7:$C$66,IF($M1446="THU",2,3),FALSE()),IFERROR(VLOOKUP(LEFT($N1446,1),LCTT_MAP!$A$7:$C$66,IF($M1446="THU",2,3),FALSE()),IF($M1446="THU","06","07")))))))</f>
        <v/>
      </c>
      <c r="P1446" s="117">
        <f>P1445+IF(AND($H1446&lt;&gt;"",OR(LEFT($F1446,LEN(SC_TK))=SC_TK,LEFT($G1446,LEN(SC_TK))=SC_TK)),1,0)</f>
        <v/>
      </c>
    </row>
    <row r="1447" ht="15" customHeight="1" s="78">
      <c r="A1447" s="95">
        <f>IF($H1447="","",ROW()-6)</f>
        <v/>
      </c>
      <c r="B1447" s="114" t="n"/>
      <c r="C1447" s="102" t="n"/>
      <c r="D1447" s="114" t="n"/>
      <c r="E1447" s="103" t="n"/>
      <c r="F1447" s="102" t="n"/>
      <c r="G1447" s="102" t="n"/>
      <c r="H1447" s="115" t="n"/>
      <c r="I1447" s="102" t="n"/>
      <c r="J1447" s="102" t="n"/>
      <c r="K1447" s="103" t="n"/>
      <c r="L1447" s="116">
        <f>IF($H1447="","",TRIM(IF(COUNTIF(DMTK!$A$7:$A$250,$F1447)=0,"TK Nợ sai! ","")&amp;IF(COUNTIF(DMTK!$A$7:$A$250,$G1447)=0,"TK Có sai! ","")&amp;IF(N($H1447)&lt;=0,"Tiền phải &gt; 0! ","")&amp;IF($B1447="","Thiếu ngày! ","")&amp;IF(AND(OR(LEFT($F1447,3)="131",LEFT($G1447,3)="131",LEFT($F1447,3)="331",LEFT($G1447,3)="331"),$I1447=""),"Thiếu Mã ĐT! ","")&amp;IF(AND($I1447&lt;&gt;"",COUNTIF(DM_DT!$A$7:$A$306,$I1447)=0),"Mã ĐT chưa khai báo! ","")))</f>
        <v/>
      </c>
      <c r="M1447" s="117">
        <f>IF($H1447="","",IF(AND(OR(LEFT($F1447,3)="111",LEFT($F1447,3)="112",LEFT($F1447,3)="113"),OR(LEFT($G1447,3)="111",LEFT($G1447,3)="112",LEFT($G1447,3)="113")),"NB",IF(OR(LEFT($F1447,3)="111",LEFT($F1447,3)="112",LEFT($F1447,3)="113"),"THU",IF(OR(LEFT($G1447,3)="111",LEFT($G1447,3)="112",LEFT($G1447,3)="113"),"CHI",""))))</f>
        <v/>
      </c>
      <c r="N1447" s="117">
        <f>IF($M1447="THU",$G1447,IF($M1447="CHI",$F1447,""))</f>
        <v/>
      </c>
      <c r="O1447" s="117">
        <f>IF(OR($M1447="",$M1447="NB"),"",IF($J1447&lt;&gt;"",TEXT($J1447,"00"),IFERROR(VLOOKUP(LEFT($N1447,4),LCTT_MAP!$A$7:$C$66,IF($M1447="THU",2,3),FALSE()),IFERROR(VLOOKUP(LEFT($N1447,3),LCTT_MAP!$A$7:$C$66,IF($M1447="THU",2,3),FALSE()),IFERROR(VLOOKUP(LEFT($N1447,2),LCTT_MAP!$A$7:$C$66,IF($M1447="THU",2,3),FALSE()),IFERROR(VLOOKUP(LEFT($N1447,1),LCTT_MAP!$A$7:$C$66,IF($M1447="THU",2,3),FALSE()),IF($M1447="THU","06","07")))))))</f>
        <v/>
      </c>
      <c r="P1447" s="117">
        <f>P1446+IF(AND($H1447&lt;&gt;"",OR(LEFT($F1447,LEN(SC_TK))=SC_TK,LEFT($G1447,LEN(SC_TK))=SC_TK)),1,0)</f>
        <v/>
      </c>
    </row>
    <row r="1448" ht="15" customHeight="1" s="78">
      <c r="A1448" s="95">
        <f>IF($H1448="","",ROW()-6)</f>
        <v/>
      </c>
      <c r="B1448" s="114" t="n"/>
      <c r="C1448" s="102" t="n"/>
      <c r="D1448" s="114" t="n"/>
      <c r="E1448" s="103" t="n"/>
      <c r="F1448" s="102" t="n"/>
      <c r="G1448" s="102" t="n"/>
      <c r="H1448" s="115" t="n"/>
      <c r="I1448" s="102" t="n"/>
      <c r="J1448" s="102" t="n"/>
      <c r="K1448" s="103" t="n"/>
      <c r="L1448" s="116">
        <f>IF($H1448="","",TRIM(IF(COUNTIF(DMTK!$A$7:$A$250,$F1448)=0,"TK Nợ sai! ","")&amp;IF(COUNTIF(DMTK!$A$7:$A$250,$G1448)=0,"TK Có sai! ","")&amp;IF(N($H1448)&lt;=0,"Tiền phải &gt; 0! ","")&amp;IF($B1448="","Thiếu ngày! ","")&amp;IF(AND(OR(LEFT($F1448,3)="131",LEFT($G1448,3)="131",LEFT($F1448,3)="331",LEFT($G1448,3)="331"),$I1448=""),"Thiếu Mã ĐT! ","")&amp;IF(AND($I1448&lt;&gt;"",COUNTIF(DM_DT!$A$7:$A$306,$I1448)=0),"Mã ĐT chưa khai báo! ","")))</f>
        <v/>
      </c>
      <c r="M1448" s="117">
        <f>IF($H1448="","",IF(AND(OR(LEFT($F1448,3)="111",LEFT($F1448,3)="112",LEFT($F1448,3)="113"),OR(LEFT($G1448,3)="111",LEFT($G1448,3)="112",LEFT($G1448,3)="113")),"NB",IF(OR(LEFT($F1448,3)="111",LEFT($F1448,3)="112",LEFT($F1448,3)="113"),"THU",IF(OR(LEFT($G1448,3)="111",LEFT($G1448,3)="112",LEFT($G1448,3)="113"),"CHI",""))))</f>
        <v/>
      </c>
      <c r="N1448" s="117">
        <f>IF($M1448="THU",$G1448,IF($M1448="CHI",$F1448,""))</f>
        <v/>
      </c>
      <c r="O1448" s="117">
        <f>IF(OR($M1448="",$M1448="NB"),"",IF($J1448&lt;&gt;"",TEXT($J1448,"00"),IFERROR(VLOOKUP(LEFT($N1448,4),LCTT_MAP!$A$7:$C$66,IF($M1448="THU",2,3),FALSE()),IFERROR(VLOOKUP(LEFT($N1448,3),LCTT_MAP!$A$7:$C$66,IF($M1448="THU",2,3),FALSE()),IFERROR(VLOOKUP(LEFT($N1448,2),LCTT_MAP!$A$7:$C$66,IF($M1448="THU",2,3),FALSE()),IFERROR(VLOOKUP(LEFT($N1448,1),LCTT_MAP!$A$7:$C$66,IF($M1448="THU",2,3),FALSE()),IF($M1448="THU","06","07")))))))</f>
        <v/>
      </c>
      <c r="P1448" s="117">
        <f>P1447+IF(AND($H1448&lt;&gt;"",OR(LEFT($F1448,LEN(SC_TK))=SC_TK,LEFT($G1448,LEN(SC_TK))=SC_TK)),1,0)</f>
        <v/>
      </c>
    </row>
    <row r="1449" ht="15" customHeight="1" s="78">
      <c r="A1449" s="95">
        <f>IF($H1449="","",ROW()-6)</f>
        <v/>
      </c>
      <c r="B1449" s="114" t="n"/>
      <c r="C1449" s="102" t="n"/>
      <c r="D1449" s="114" t="n"/>
      <c r="E1449" s="103" t="n"/>
      <c r="F1449" s="102" t="n"/>
      <c r="G1449" s="102" t="n"/>
      <c r="H1449" s="115" t="n"/>
      <c r="I1449" s="102" t="n"/>
      <c r="J1449" s="102" t="n"/>
      <c r="K1449" s="103" t="n"/>
      <c r="L1449" s="116">
        <f>IF($H1449="","",TRIM(IF(COUNTIF(DMTK!$A$7:$A$250,$F1449)=0,"TK Nợ sai! ","")&amp;IF(COUNTIF(DMTK!$A$7:$A$250,$G1449)=0,"TK Có sai! ","")&amp;IF(N($H1449)&lt;=0,"Tiền phải &gt; 0! ","")&amp;IF($B1449="","Thiếu ngày! ","")&amp;IF(AND(OR(LEFT($F1449,3)="131",LEFT($G1449,3)="131",LEFT($F1449,3)="331",LEFT($G1449,3)="331"),$I1449=""),"Thiếu Mã ĐT! ","")&amp;IF(AND($I1449&lt;&gt;"",COUNTIF(DM_DT!$A$7:$A$306,$I1449)=0),"Mã ĐT chưa khai báo! ","")))</f>
        <v/>
      </c>
      <c r="M1449" s="117">
        <f>IF($H1449="","",IF(AND(OR(LEFT($F1449,3)="111",LEFT($F1449,3)="112",LEFT($F1449,3)="113"),OR(LEFT($G1449,3)="111",LEFT($G1449,3)="112",LEFT($G1449,3)="113")),"NB",IF(OR(LEFT($F1449,3)="111",LEFT($F1449,3)="112",LEFT($F1449,3)="113"),"THU",IF(OR(LEFT($G1449,3)="111",LEFT($G1449,3)="112",LEFT($G1449,3)="113"),"CHI",""))))</f>
        <v/>
      </c>
      <c r="N1449" s="117">
        <f>IF($M1449="THU",$G1449,IF($M1449="CHI",$F1449,""))</f>
        <v/>
      </c>
      <c r="O1449" s="117">
        <f>IF(OR($M1449="",$M1449="NB"),"",IF($J1449&lt;&gt;"",TEXT($J1449,"00"),IFERROR(VLOOKUP(LEFT($N1449,4),LCTT_MAP!$A$7:$C$66,IF($M1449="THU",2,3),FALSE()),IFERROR(VLOOKUP(LEFT($N1449,3),LCTT_MAP!$A$7:$C$66,IF($M1449="THU",2,3),FALSE()),IFERROR(VLOOKUP(LEFT($N1449,2),LCTT_MAP!$A$7:$C$66,IF($M1449="THU",2,3),FALSE()),IFERROR(VLOOKUP(LEFT($N1449,1),LCTT_MAP!$A$7:$C$66,IF($M1449="THU",2,3),FALSE()),IF($M1449="THU","06","07")))))))</f>
        <v/>
      </c>
      <c r="P1449" s="117">
        <f>P1448+IF(AND($H1449&lt;&gt;"",OR(LEFT($F1449,LEN(SC_TK))=SC_TK,LEFT($G1449,LEN(SC_TK))=SC_TK)),1,0)</f>
        <v/>
      </c>
    </row>
    <row r="1450" ht="15" customHeight="1" s="78">
      <c r="A1450" s="95">
        <f>IF($H1450="","",ROW()-6)</f>
        <v/>
      </c>
      <c r="B1450" s="114" t="n"/>
      <c r="C1450" s="102" t="n"/>
      <c r="D1450" s="114" t="n"/>
      <c r="E1450" s="103" t="n"/>
      <c r="F1450" s="102" t="n"/>
      <c r="G1450" s="102" t="n"/>
      <c r="H1450" s="115" t="n"/>
      <c r="I1450" s="102" t="n"/>
      <c r="J1450" s="102" t="n"/>
      <c r="K1450" s="103" t="n"/>
      <c r="L1450" s="116">
        <f>IF($H1450="","",TRIM(IF(COUNTIF(DMTK!$A$7:$A$250,$F1450)=0,"TK Nợ sai! ","")&amp;IF(COUNTIF(DMTK!$A$7:$A$250,$G1450)=0,"TK Có sai! ","")&amp;IF(N($H1450)&lt;=0,"Tiền phải &gt; 0! ","")&amp;IF($B1450="","Thiếu ngày! ","")&amp;IF(AND(OR(LEFT($F1450,3)="131",LEFT($G1450,3)="131",LEFT($F1450,3)="331",LEFT($G1450,3)="331"),$I1450=""),"Thiếu Mã ĐT! ","")&amp;IF(AND($I1450&lt;&gt;"",COUNTIF(DM_DT!$A$7:$A$306,$I1450)=0),"Mã ĐT chưa khai báo! ","")))</f>
        <v/>
      </c>
      <c r="M1450" s="117">
        <f>IF($H1450="","",IF(AND(OR(LEFT($F1450,3)="111",LEFT($F1450,3)="112",LEFT($F1450,3)="113"),OR(LEFT($G1450,3)="111",LEFT($G1450,3)="112",LEFT($G1450,3)="113")),"NB",IF(OR(LEFT($F1450,3)="111",LEFT($F1450,3)="112",LEFT($F1450,3)="113"),"THU",IF(OR(LEFT($G1450,3)="111",LEFT($G1450,3)="112",LEFT($G1450,3)="113"),"CHI",""))))</f>
        <v/>
      </c>
      <c r="N1450" s="117">
        <f>IF($M1450="THU",$G1450,IF($M1450="CHI",$F1450,""))</f>
        <v/>
      </c>
      <c r="O1450" s="117">
        <f>IF(OR($M1450="",$M1450="NB"),"",IF($J1450&lt;&gt;"",TEXT($J1450,"00"),IFERROR(VLOOKUP(LEFT($N1450,4),LCTT_MAP!$A$7:$C$66,IF($M1450="THU",2,3),FALSE()),IFERROR(VLOOKUP(LEFT($N1450,3),LCTT_MAP!$A$7:$C$66,IF($M1450="THU",2,3),FALSE()),IFERROR(VLOOKUP(LEFT($N1450,2),LCTT_MAP!$A$7:$C$66,IF($M1450="THU",2,3),FALSE()),IFERROR(VLOOKUP(LEFT($N1450,1),LCTT_MAP!$A$7:$C$66,IF($M1450="THU",2,3),FALSE()),IF($M1450="THU","06","07")))))))</f>
        <v/>
      </c>
      <c r="P1450" s="117">
        <f>P1449+IF(AND($H1450&lt;&gt;"",OR(LEFT($F1450,LEN(SC_TK))=SC_TK,LEFT($G1450,LEN(SC_TK))=SC_TK)),1,0)</f>
        <v/>
      </c>
    </row>
    <row r="1451" ht="15" customHeight="1" s="78">
      <c r="A1451" s="95">
        <f>IF($H1451="","",ROW()-6)</f>
        <v/>
      </c>
      <c r="B1451" s="114" t="n"/>
      <c r="C1451" s="102" t="n"/>
      <c r="D1451" s="114" t="n"/>
      <c r="E1451" s="103" t="n"/>
      <c r="F1451" s="102" t="n"/>
      <c r="G1451" s="102" t="n"/>
      <c r="H1451" s="115" t="n"/>
      <c r="I1451" s="102" t="n"/>
      <c r="J1451" s="102" t="n"/>
      <c r="K1451" s="103" t="n"/>
      <c r="L1451" s="116">
        <f>IF($H1451="","",TRIM(IF(COUNTIF(DMTK!$A$7:$A$250,$F1451)=0,"TK Nợ sai! ","")&amp;IF(COUNTIF(DMTK!$A$7:$A$250,$G1451)=0,"TK Có sai! ","")&amp;IF(N($H1451)&lt;=0,"Tiền phải &gt; 0! ","")&amp;IF($B1451="","Thiếu ngày! ","")&amp;IF(AND(OR(LEFT($F1451,3)="131",LEFT($G1451,3)="131",LEFT($F1451,3)="331",LEFT($G1451,3)="331"),$I1451=""),"Thiếu Mã ĐT! ","")&amp;IF(AND($I1451&lt;&gt;"",COUNTIF(DM_DT!$A$7:$A$306,$I1451)=0),"Mã ĐT chưa khai báo! ","")))</f>
        <v/>
      </c>
      <c r="M1451" s="117">
        <f>IF($H1451="","",IF(AND(OR(LEFT($F1451,3)="111",LEFT($F1451,3)="112",LEFT($F1451,3)="113"),OR(LEFT($G1451,3)="111",LEFT($G1451,3)="112",LEFT($G1451,3)="113")),"NB",IF(OR(LEFT($F1451,3)="111",LEFT($F1451,3)="112",LEFT($F1451,3)="113"),"THU",IF(OR(LEFT($G1451,3)="111",LEFT($G1451,3)="112",LEFT($G1451,3)="113"),"CHI",""))))</f>
        <v/>
      </c>
      <c r="N1451" s="117">
        <f>IF($M1451="THU",$G1451,IF($M1451="CHI",$F1451,""))</f>
        <v/>
      </c>
      <c r="O1451" s="117">
        <f>IF(OR($M1451="",$M1451="NB"),"",IF($J1451&lt;&gt;"",TEXT($J1451,"00"),IFERROR(VLOOKUP(LEFT($N1451,4),LCTT_MAP!$A$7:$C$66,IF($M1451="THU",2,3),FALSE()),IFERROR(VLOOKUP(LEFT($N1451,3),LCTT_MAP!$A$7:$C$66,IF($M1451="THU",2,3),FALSE()),IFERROR(VLOOKUP(LEFT($N1451,2),LCTT_MAP!$A$7:$C$66,IF($M1451="THU",2,3),FALSE()),IFERROR(VLOOKUP(LEFT($N1451,1),LCTT_MAP!$A$7:$C$66,IF($M1451="THU",2,3),FALSE()),IF($M1451="THU","06","07")))))))</f>
        <v/>
      </c>
      <c r="P1451" s="117">
        <f>P1450+IF(AND($H1451&lt;&gt;"",OR(LEFT($F1451,LEN(SC_TK))=SC_TK,LEFT($G1451,LEN(SC_TK))=SC_TK)),1,0)</f>
        <v/>
      </c>
    </row>
    <row r="1452" ht="15" customHeight="1" s="78">
      <c r="A1452" s="95">
        <f>IF($H1452="","",ROW()-6)</f>
        <v/>
      </c>
      <c r="B1452" s="114" t="n"/>
      <c r="C1452" s="102" t="n"/>
      <c r="D1452" s="114" t="n"/>
      <c r="E1452" s="103" t="n"/>
      <c r="F1452" s="102" t="n"/>
      <c r="G1452" s="102" t="n"/>
      <c r="H1452" s="115" t="n"/>
      <c r="I1452" s="102" t="n"/>
      <c r="J1452" s="102" t="n"/>
      <c r="K1452" s="103" t="n"/>
      <c r="L1452" s="116">
        <f>IF($H1452="","",TRIM(IF(COUNTIF(DMTK!$A$7:$A$250,$F1452)=0,"TK Nợ sai! ","")&amp;IF(COUNTIF(DMTK!$A$7:$A$250,$G1452)=0,"TK Có sai! ","")&amp;IF(N($H1452)&lt;=0,"Tiền phải &gt; 0! ","")&amp;IF($B1452="","Thiếu ngày! ","")&amp;IF(AND(OR(LEFT($F1452,3)="131",LEFT($G1452,3)="131",LEFT($F1452,3)="331",LEFT($G1452,3)="331"),$I1452=""),"Thiếu Mã ĐT! ","")&amp;IF(AND($I1452&lt;&gt;"",COUNTIF(DM_DT!$A$7:$A$306,$I1452)=0),"Mã ĐT chưa khai báo! ","")))</f>
        <v/>
      </c>
      <c r="M1452" s="117">
        <f>IF($H1452="","",IF(AND(OR(LEFT($F1452,3)="111",LEFT($F1452,3)="112",LEFT($F1452,3)="113"),OR(LEFT($G1452,3)="111",LEFT($G1452,3)="112",LEFT($G1452,3)="113")),"NB",IF(OR(LEFT($F1452,3)="111",LEFT($F1452,3)="112",LEFT($F1452,3)="113"),"THU",IF(OR(LEFT($G1452,3)="111",LEFT($G1452,3)="112",LEFT($G1452,3)="113"),"CHI",""))))</f>
        <v/>
      </c>
      <c r="N1452" s="117">
        <f>IF($M1452="THU",$G1452,IF($M1452="CHI",$F1452,""))</f>
        <v/>
      </c>
      <c r="O1452" s="117">
        <f>IF(OR($M1452="",$M1452="NB"),"",IF($J1452&lt;&gt;"",TEXT($J1452,"00"),IFERROR(VLOOKUP(LEFT($N1452,4),LCTT_MAP!$A$7:$C$66,IF($M1452="THU",2,3),FALSE()),IFERROR(VLOOKUP(LEFT($N1452,3),LCTT_MAP!$A$7:$C$66,IF($M1452="THU",2,3),FALSE()),IFERROR(VLOOKUP(LEFT($N1452,2),LCTT_MAP!$A$7:$C$66,IF($M1452="THU",2,3),FALSE()),IFERROR(VLOOKUP(LEFT($N1452,1),LCTT_MAP!$A$7:$C$66,IF($M1452="THU",2,3),FALSE()),IF($M1452="THU","06","07")))))))</f>
        <v/>
      </c>
      <c r="P1452" s="117">
        <f>P1451+IF(AND($H1452&lt;&gt;"",OR(LEFT($F1452,LEN(SC_TK))=SC_TK,LEFT($G1452,LEN(SC_TK))=SC_TK)),1,0)</f>
        <v/>
      </c>
    </row>
    <row r="1453" ht="15" customHeight="1" s="78">
      <c r="A1453" s="95">
        <f>IF($H1453="","",ROW()-6)</f>
        <v/>
      </c>
      <c r="B1453" s="114" t="n"/>
      <c r="C1453" s="102" t="n"/>
      <c r="D1453" s="114" t="n"/>
      <c r="E1453" s="103" t="n"/>
      <c r="F1453" s="102" t="n"/>
      <c r="G1453" s="102" t="n"/>
      <c r="H1453" s="115" t="n"/>
      <c r="I1453" s="102" t="n"/>
      <c r="J1453" s="102" t="n"/>
      <c r="K1453" s="103" t="n"/>
      <c r="L1453" s="116">
        <f>IF($H1453="","",TRIM(IF(COUNTIF(DMTK!$A$7:$A$250,$F1453)=0,"TK Nợ sai! ","")&amp;IF(COUNTIF(DMTK!$A$7:$A$250,$G1453)=0,"TK Có sai! ","")&amp;IF(N($H1453)&lt;=0,"Tiền phải &gt; 0! ","")&amp;IF($B1453="","Thiếu ngày! ","")&amp;IF(AND(OR(LEFT($F1453,3)="131",LEFT($G1453,3)="131",LEFT($F1453,3)="331",LEFT($G1453,3)="331"),$I1453=""),"Thiếu Mã ĐT! ","")&amp;IF(AND($I1453&lt;&gt;"",COUNTIF(DM_DT!$A$7:$A$306,$I1453)=0),"Mã ĐT chưa khai báo! ","")))</f>
        <v/>
      </c>
      <c r="M1453" s="117">
        <f>IF($H1453="","",IF(AND(OR(LEFT($F1453,3)="111",LEFT($F1453,3)="112",LEFT($F1453,3)="113"),OR(LEFT($G1453,3)="111",LEFT($G1453,3)="112",LEFT($G1453,3)="113")),"NB",IF(OR(LEFT($F1453,3)="111",LEFT($F1453,3)="112",LEFT($F1453,3)="113"),"THU",IF(OR(LEFT($G1453,3)="111",LEFT($G1453,3)="112",LEFT($G1453,3)="113"),"CHI",""))))</f>
        <v/>
      </c>
      <c r="N1453" s="117">
        <f>IF($M1453="THU",$G1453,IF($M1453="CHI",$F1453,""))</f>
        <v/>
      </c>
      <c r="O1453" s="117">
        <f>IF(OR($M1453="",$M1453="NB"),"",IF($J1453&lt;&gt;"",TEXT($J1453,"00"),IFERROR(VLOOKUP(LEFT($N1453,4),LCTT_MAP!$A$7:$C$66,IF($M1453="THU",2,3),FALSE()),IFERROR(VLOOKUP(LEFT($N1453,3),LCTT_MAP!$A$7:$C$66,IF($M1453="THU",2,3),FALSE()),IFERROR(VLOOKUP(LEFT($N1453,2),LCTT_MAP!$A$7:$C$66,IF($M1453="THU",2,3),FALSE()),IFERROR(VLOOKUP(LEFT($N1453,1),LCTT_MAP!$A$7:$C$66,IF($M1453="THU",2,3),FALSE()),IF($M1453="THU","06","07")))))))</f>
        <v/>
      </c>
      <c r="P1453" s="117">
        <f>P1452+IF(AND($H1453&lt;&gt;"",OR(LEFT($F1453,LEN(SC_TK))=SC_TK,LEFT($G1453,LEN(SC_TK))=SC_TK)),1,0)</f>
        <v/>
      </c>
    </row>
    <row r="1454" ht="15" customHeight="1" s="78">
      <c r="A1454" s="95">
        <f>IF($H1454="","",ROW()-6)</f>
        <v/>
      </c>
      <c r="B1454" s="114" t="n"/>
      <c r="C1454" s="102" t="n"/>
      <c r="D1454" s="114" t="n"/>
      <c r="E1454" s="103" t="n"/>
      <c r="F1454" s="102" t="n"/>
      <c r="G1454" s="102" t="n"/>
      <c r="H1454" s="115" t="n"/>
      <c r="I1454" s="102" t="n"/>
      <c r="J1454" s="102" t="n"/>
      <c r="K1454" s="103" t="n"/>
      <c r="L1454" s="116">
        <f>IF($H1454="","",TRIM(IF(COUNTIF(DMTK!$A$7:$A$250,$F1454)=0,"TK Nợ sai! ","")&amp;IF(COUNTIF(DMTK!$A$7:$A$250,$G1454)=0,"TK Có sai! ","")&amp;IF(N($H1454)&lt;=0,"Tiền phải &gt; 0! ","")&amp;IF($B1454="","Thiếu ngày! ","")&amp;IF(AND(OR(LEFT($F1454,3)="131",LEFT($G1454,3)="131",LEFT($F1454,3)="331",LEFT($G1454,3)="331"),$I1454=""),"Thiếu Mã ĐT! ","")&amp;IF(AND($I1454&lt;&gt;"",COUNTIF(DM_DT!$A$7:$A$306,$I1454)=0),"Mã ĐT chưa khai báo! ","")))</f>
        <v/>
      </c>
      <c r="M1454" s="117">
        <f>IF($H1454="","",IF(AND(OR(LEFT($F1454,3)="111",LEFT($F1454,3)="112",LEFT($F1454,3)="113"),OR(LEFT($G1454,3)="111",LEFT($G1454,3)="112",LEFT($G1454,3)="113")),"NB",IF(OR(LEFT($F1454,3)="111",LEFT($F1454,3)="112",LEFT($F1454,3)="113"),"THU",IF(OR(LEFT($G1454,3)="111",LEFT($G1454,3)="112",LEFT($G1454,3)="113"),"CHI",""))))</f>
        <v/>
      </c>
      <c r="N1454" s="117">
        <f>IF($M1454="THU",$G1454,IF($M1454="CHI",$F1454,""))</f>
        <v/>
      </c>
      <c r="O1454" s="117">
        <f>IF(OR($M1454="",$M1454="NB"),"",IF($J1454&lt;&gt;"",TEXT($J1454,"00"),IFERROR(VLOOKUP(LEFT($N1454,4),LCTT_MAP!$A$7:$C$66,IF($M1454="THU",2,3),FALSE()),IFERROR(VLOOKUP(LEFT($N1454,3),LCTT_MAP!$A$7:$C$66,IF($M1454="THU",2,3),FALSE()),IFERROR(VLOOKUP(LEFT($N1454,2),LCTT_MAP!$A$7:$C$66,IF($M1454="THU",2,3),FALSE()),IFERROR(VLOOKUP(LEFT($N1454,1),LCTT_MAP!$A$7:$C$66,IF($M1454="THU",2,3),FALSE()),IF($M1454="THU","06","07")))))))</f>
        <v/>
      </c>
      <c r="P1454" s="117">
        <f>P1453+IF(AND($H1454&lt;&gt;"",OR(LEFT($F1454,LEN(SC_TK))=SC_TK,LEFT($G1454,LEN(SC_TK))=SC_TK)),1,0)</f>
        <v/>
      </c>
    </row>
    <row r="1455" ht="15" customHeight="1" s="78">
      <c r="A1455" s="95">
        <f>IF($H1455="","",ROW()-6)</f>
        <v/>
      </c>
      <c r="B1455" s="114" t="n"/>
      <c r="C1455" s="102" t="n"/>
      <c r="D1455" s="114" t="n"/>
      <c r="E1455" s="103" t="n"/>
      <c r="F1455" s="102" t="n"/>
      <c r="G1455" s="102" t="n"/>
      <c r="H1455" s="115" t="n"/>
      <c r="I1455" s="102" t="n"/>
      <c r="J1455" s="102" t="n"/>
      <c r="K1455" s="103" t="n"/>
      <c r="L1455" s="116">
        <f>IF($H1455="","",TRIM(IF(COUNTIF(DMTK!$A$7:$A$250,$F1455)=0,"TK Nợ sai! ","")&amp;IF(COUNTIF(DMTK!$A$7:$A$250,$G1455)=0,"TK Có sai! ","")&amp;IF(N($H1455)&lt;=0,"Tiền phải &gt; 0! ","")&amp;IF($B1455="","Thiếu ngày! ","")&amp;IF(AND(OR(LEFT($F1455,3)="131",LEFT($G1455,3)="131",LEFT($F1455,3)="331",LEFT($G1455,3)="331"),$I1455=""),"Thiếu Mã ĐT! ","")&amp;IF(AND($I1455&lt;&gt;"",COUNTIF(DM_DT!$A$7:$A$306,$I1455)=0),"Mã ĐT chưa khai báo! ","")))</f>
        <v/>
      </c>
      <c r="M1455" s="117">
        <f>IF($H1455="","",IF(AND(OR(LEFT($F1455,3)="111",LEFT($F1455,3)="112",LEFT($F1455,3)="113"),OR(LEFT($G1455,3)="111",LEFT($G1455,3)="112",LEFT($G1455,3)="113")),"NB",IF(OR(LEFT($F1455,3)="111",LEFT($F1455,3)="112",LEFT($F1455,3)="113"),"THU",IF(OR(LEFT($G1455,3)="111",LEFT($G1455,3)="112",LEFT($G1455,3)="113"),"CHI",""))))</f>
        <v/>
      </c>
      <c r="N1455" s="117">
        <f>IF($M1455="THU",$G1455,IF($M1455="CHI",$F1455,""))</f>
        <v/>
      </c>
      <c r="O1455" s="117">
        <f>IF(OR($M1455="",$M1455="NB"),"",IF($J1455&lt;&gt;"",TEXT($J1455,"00"),IFERROR(VLOOKUP(LEFT($N1455,4),LCTT_MAP!$A$7:$C$66,IF($M1455="THU",2,3),FALSE()),IFERROR(VLOOKUP(LEFT($N1455,3),LCTT_MAP!$A$7:$C$66,IF($M1455="THU",2,3),FALSE()),IFERROR(VLOOKUP(LEFT($N1455,2),LCTT_MAP!$A$7:$C$66,IF($M1455="THU",2,3),FALSE()),IFERROR(VLOOKUP(LEFT($N1455,1),LCTT_MAP!$A$7:$C$66,IF($M1455="THU",2,3),FALSE()),IF($M1455="THU","06","07")))))))</f>
        <v/>
      </c>
      <c r="P1455" s="117">
        <f>P1454+IF(AND($H1455&lt;&gt;"",OR(LEFT($F1455,LEN(SC_TK))=SC_TK,LEFT($G1455,LEN(SC_TK))=SC_TK)),1,0)</f>
        <v/>
      </c>
    </row>
    <row r="1456" ht="15" customHeight="1" s="78">
      <c r="A1456" s="95">
        <f>IF($H1456="","",ROW()-6)</f>
        <v/>
      </c>
      <c r="B1456" s="114" t="n"/>
      <c r="C1456" s="102" t="n"/>
      <c r="D1456" s="114" t="n"/>
      <c r="E1456" s="103" t="n"/>
      <c r="F1456" s="102" t="n"/>
      <c r="G1456" s="102" t="n"/>
      <c r="H1456" s="115" t="n"/>
      <c r="I1456" s="102" t="n"/>
      <c r="J1456" s="102" t="n"/>
      <c r="K1456" s="103" t="n"/>
      <c r="L1456" s="116">
        <f>IF($H1456="","",TRIM(IF(COUNTIF(DMTK!$A$7:$A$250,$F1456)=0,"TK Nợ sai! ","")&amp;IF(COUNTIF(DMTK!$A$7:$A$250,$G1456)=0,"TK Có sai! ","")&amp;IF(N($H1456)&lt;=0,"Tiền phải &gt; 0! ","")&amp;IF($B1456="","Thiếu ngày! ","")&amp;IF(AND(OR(LEFT($F1456,3)="131",LEFT($G1456,3)="131",LEFT($F1456,3)="331",LEFT($G1456,3)="331"),$I1456=""),"Thiếu Mã ĐT! ","")&amp;IF(AND($I1456&lt;&gt;"",COUNTIF(DM_DT!$A$7:$A$306,$I1456)=0),"Mã ĐT chưa khai báo! ","")))</f>
        <v/>
      </c>
      <c r="M1456" s="117">
        <f>IF($H1456="","",IF(AND(OR(LEFT($F1456,3)="111",LEFT($F1456,3)="112",LEFT($F1456,3)="113"),OR(LEFT($G1456,3)="111",LEFT($G1456,3)="112",LEFT($G1456,3)="113")),"NB",IF(OR(LEFT($F1456,3)="111",LEFT($F1456,3)="112",LEFT($F1456,3)="113"),"THU",IF(OR(LEFT($G1456,3)="111",LEFT($G1456,3)="112",LEFT($G1456,3)="113"),"CHI",""))))</f>
        <v/>
      </c>
      <c r="N1456" s="117">
        <f>IF($M1456="THU",$G1456,IF($M1456="CHI",$F1456,""))</f>
        <v/>
      </c>
      <c r="O1456" s="117">
        <f>IF(OR($M1456="",$M1456="NB"),"",IF($J1456&lt;&gt;"",TEXT($J1456,"00"),IFERROR(VLOOKUP(LEFT($N1456,4),LCTT_MAP!$A$7:$C$66,IF($M1456="THU",2,3),FALSE()),IFERROR(VLOOKUP(LEFT($N1456,3),LCTT_MAP!$A$7:$C$66,IF($M1456="THU",2,3),FALSE()),IFERROR(VLOOKUP(LEFT($N1456,2),LCTT_MAP!$A$7:$C$66,IF($M1456="THU",2,3),FALSE()),IFERROR(VLOOKUP(LEFT($N1456,1),LCTT_MAP!$A$7:$C$66,IF($M1456="THU",2,3),FALSE()),IF($M1456="THU","06","07")))))))</f>
        <v/>
      </c>
      <c r="P1456" s="117">
        <f>P1455+IF(AND($H1456&lt;&gt;"",OR(LEFT($F1456,LEN(SC_TK))=SC_TK,LEFT($G1456,LEN(SC_TK))=SC_TK)),1,0)</f>
        <v/>
      </c>
    </row>
    <row r="1457" ht="15" customHeight="1" s="78">
      <c r="A1457" s="95">
        <f>IF($H1457="","",ROW()-6)</f>
        <v/>
      </c>
      <c r="B1457" s="114" t="n"/>
      <c r="C1457" s="102" t="n"/>
      <c r="D1457" s="114" t="n"/>
      <c r="E1457" s="103" t="n"/>
      <c r="F1457" s="102" t="n"/>
      <c r="G1457" s="102" t="n"/>
      <c r="H1457" s="115" t="n"/>
      <c r="I1457" s="102" t="n"/>
      <c r="J1457" s="102" t="n"/>
      <c r="K1457" s="103" t="n"/>
      <c r="L1457" s="116">
        <f>IF($H1457="","",TRIM(IF(COUNTIF(DMTK!$A$7:$A$250,$F1457)=0,"TK Nợ sai! ","")&amp;IF(COUNTIF(DMTK!$A$7:$A$250,$G1457)=0,"TK Có sai! ","")&amp;IF(N($H1457)&lt;=0,"Tiền phải &gt; 0! ","")&amp;IF($B1457="","Thiếu ngày! ","")&amp;IF(AND(OR(LEFT($F1457,3)="131",LEFT($G1457,3)="131",LEFT($F1457,3)="331",LEFT($G1457,3)="331"),$I1457=""),"Thiếu Mã ĐT! ","")&amp;IF(AND($I1457&lt;&gt;"",COUNTIF(DM_DT!$A$7:$A$306,$I1457)=0),"Mã ĐT chưa khai báo! ","")))</f>
        <v/>
      </c>
      <c r="M1457" s="117">
        <f>IF($H1457="","",IF(AND(OR(LEFT($F1457,3)="111",LEFT($F1457,3)="112",LEFT($F1457,3)="113"),OR(LEFT($G1457,3)="111",LEFT($G1457,3)="112",LEFT($G1457,3)="113")),"NB",IF(OR(LEFT($F1457,3)="111",LEFT($F1457,3)="112",LEFT($F1457,3)="113"),"THU",IF(OR(LEFT($G1457,3)="111",LEFT($G1457,3)="112",LEFT($G1457,3)="113"),"CHI",""))))</f>
        <v/>
      </c>
      <c r="N1457" s="117">
        <f>IF($M1457="THU",$G1457,IF($M1457="CHI",$F1457,""))</f>
        <v/>
      </c>
      <c r="O1457" s="117">
        <f>IF(OR($M1457="",$M1457="NB"),"",IF($J1457&lt;&gt;"",TEXT($J1457,"00"),IFERROR(VLOOKUP(LEFT($N1457,4),LCTT_MAP!$A$7:$C$66,IF($M1457="THU",2,3),FALSE()),IFERROR(VLOOKUP(LEFT($N1457,3),LCTT_MAP!$A$7:$C$66,IF($M1457="THU",2,3),FALSE()),IFERROR(VLOOKUP(LEFT($N1457,2),LCTT_MAP!$A$7:$C$66,IF($M1457="THU",2,3),FALSE()),IFERROR(VLOOKUP(LEFT($N1457,1),LCTT_MAP!$A$7:$C$66,IF($M1457="THU",2,3),FALSE()),IF($M1457="THU","06","07")))))))</f>
        <v/>
      </c>
      <c r="P1457" s="117">
        <f>P1456+IF(AND($H1457&lt;&gt;"",OR(LEFT($F1457,LEN(SC_TK))=SC_TK,LEFT($G1457,LEN(SC_TK))=SC_TK)),1,0)</f>
        <v/>
      </c>
    </row>
    <row r="1458" ht="15" customHeight="1" s="78">
      <c r="A1458" s="95">
        <f>IF($H1458="","",ROW()-6)</f>
        <v/>
      </c>
      <c r="B1458" s="114" t="n"/>
      <c r="C1458" s="102" t="n"/>
      <c r="D1458" s="114" t="n"/>
      <c r="E1458" s="103" t="n"/>
      <c r="F1458" s="102" t="n"/>
      <c r="G1458" s="102" t="n"/>
      <c r="H1458" s="115" t="n"/>
      <c r="I1458" s="102" t="n"/>
      <c r="J1458" s="102" t="n"/>
      <c r="K1458" s="103" t="n"/>
      <c r="L1458" s="116">
        <f>IF($H1458="","",TRIM(IF(COUNTIF(DMTK!$A$7:$A$250,$F1458)=0,"TK Nợ sai! ","")&amp;IF(COUNTIF(DMTK!$A$7:$A$250,$G1458)=0,"TK Có sai! ","")&amp;IF(N($H1458)&lt;=0,"Tiền phải &gt; 0! ","")&amp;IF($B1458="","Thiếu ngày! ","")&amp;IF(AND(OR(LEFT($F1458,3)="131",LEFT($G1458,3)="131",LEFT($F1458,3)="331",LEFT($G1458,3)="331"),$I1458=""),"Thiếu Mã ĐT! ","")&amp;IF(AND($I1458&lt;&gt;"",COUNTIF(DM_DT!$A$7:$A$306,$I1458)=0),"Mã ĐT chưa khai báo! ","")))</f>
        <v/>
      </c>
      <c r="M1458" s="117">
        <f>IF($H1458="","",IF(AND(OR(LEFT($F1458,3)="111",LEFT($F1458,3)="112",LEFT($F1458,3)="113"),OR(LEFT($G1458,3)="111",LEFT($G1458,3)="112",LEFT($G1458,3)="113")),"NB",IF(OR(LEFT($F1458,3)="111",LEFT($F1458,3)="112",LEFT($F1458,3)="113"),"THU",IF(OR(LEFT($G1458,3)="111",LEFT($G1458,3)="112",LEFT($G1458,3)="113"),"CHI",""))))</f>
        <v/>
      </c>
      <c r="N1458" s="117">
        <f>IF($M1458="THU",$G1458,IF($M1458="CHI",$F1458,""))</f>
        <v/>
      </c>
      <c r="O1458" s="117">
        <f>IF(OR($M1458="",$M1458="NB"),"",IF($J1458&lt;&gt;"",TEXT($J1458,"00"),IFERROR(VLOOKUP(LEFT($N1458,4),LCTT_MAP!$A$7:$C$66,IF($M1458="THU",2,3),FALSE()),IFERROR(VLOOKUP(LEFT($N1458,3),LCTT_MAP!$A$7:$C$66,IF($M1458="THU",2,3),FALSE()),IFERROR(VLOOKUP(LEFT($N1458,2),LCTT_MAP!$A$7:$C$66,IF($M1458="THU",2,3),FALSE()),IFERROR(VLOOKUP(LEFT($N1458,1),LCTT_MAP!$A$7:$C$66,IF($M1458="THU",2,3),FALSE()),IF($M1458="THU","06","07")))))))</f>
        <v/>
      </c>
      <c r="P1458" s="117">
        <f>P1457+IF(AND($H1458&lt;&gt;"",OR(LEFT($F1458,LEN(SC_TK))=SC_TK,LEFT($G1458,LEN(SC_TK))=SC_TK)),1,0)</f>
        <v/>
      </c>
    </row>
    <row r="1459" ht="15" customHeight="1" s="78">
      <c r="A1459" s="95">
        <f>IF($H1459="","",ROW()-6)</f>
        <v/>
      </c>
      <c r="B1459" s="114" t="n"/>
      <c r="C1459" s="102" t="n"/>
      <c r="D1459" s="114" t="n"/>
      <c r="E1459" s="103" t="n"/>
      <c r="F1459" s="102" t="n"/>
      <c r="G1459" s="102" t="n"/>
      <c r="H1459" s="115" t="n"/>
      <c r="I1459" s="102" t="n"/>
      <c r="J1459" s="102" t="n"/>
      <c r="K1459" s="103" t="n"/>
      <c r="L1459" s="116">
        <f>IF($H1459="","",TRIM(IF(COUNTIF(DMTK!$A$7:$A$250,$F1459)=0,"TK Nợ sai! ","")&amp;IF(COUNTIF(DMTK!$A$7:$A$250,$G1459)=0,"TK Có sai! ","")&amp;IF(N($H1459)&lt;=0,"Tiền phải &gt; 0! ","")&amp;IF($B1459="","Thiếu ngày! ","")&amp;IF(AND(OR(LEFT($F1459,3)="131",LEFT($G1459,3)="131",LEFT($F1459,3)="331",LEFT($G1459,3)="331"),$I1459=""),"Thiếu Mã ĐT! ","")&amp;IF(AND($I1459&lt;&gt;"",COUNTIF(DM_DT!$A$7:$A$306,$I1459)=0),"Mã ĐT chưa khai báo! ","")))</f>
        <v/>
      </c>
      <c r="M1459" s="117">
        <f>IF($H1459="","",IF(AND(OR(LEFT($F1459,3)="111",LEFT($F1459,3)="112",LEFT($F1459,3)="113"),OR(LEFT($G1459,3)="111",LEFT($G1459,3)="112",LEFT($G1459,3)="113")),"NB",IF(OR(LEFT($F1459,3)="111",LEFT($F1459,3)="112",LEFT($F1459,3)="113"),"THU",IF(OR(LEFT($G1459,3)="111",LEFT($G1459,3)="112",LEFT($G1459,3)="113"),"CHI",""))))</f>
        <v/>
      </c>
      <c r="N1459" s="117">
        <f>IF($M1459="THU",$G1459,IF($M1459="CHI",$F1459,""))</f>
        <v/>
      </c>
      <c r="O1459" s="117">
        <f>IF(OR($M1459="",$M1459="NB"),"",IF($J1459&lt;&gt;"",TEXT($J1459,"00"),IFERROR(VLOOKUP(LEFT($N1459,4),LCTT_MAP!$A$7:$C$66,IF($M1459="THU",2,3),FALSE()),IFERROR(VLOOKUP(LEFT($N1459,3),LCTT_MAP!$A$7:$C$66,IF($M1459="THU",2,3),FALSE()),IFERROR(VLOOKUP(LEFT($N1459,2),LCTT_MAP!$A$7:$C$66,IF($M1459="THU",2,3),FALSE()),IFERROR(VLOOKUP(LEFT($N1459,1),LCTT_MAP!$A$7:$C$66,IF($M1459="THU",2,3),FALSE()),IF($M1459="THU","06","07")))))))</f>
        <v/>
      </c>
      <c r="P1459" s="117">
        <f>P1458+IF(AND($H1459&lt;&gt;"",OR(LEFT($F1459,LEN(SC_TK))=SC_TK,LEFT($G1459,LEN(SC_TK))=SC_TK)),1,0)</f>
        <v/>
      </c>
    </row>
    <row r="1460" ht="15" customHeight="1" s="78">
      <c r="A1460" s="95">
        <f>IF($H1460="","",ROW()-6)</f>
        <v/>
      </c>
      <c r="B1460" s="114" t="n"/>
      <c r="C1460" s="102" t="n"/>
      <c r="D1460" s="114" t="n"/>
      <c r="E1460" s="103" t="n"/>
      <c r="F1460" s="102" t="n"/>
      <c r="G1460" s="102" t="n"/>
      <c r="H1460" s="115" t="n"/>
      <c r="I1460" s="102" t="n"/>
      <c r="J1460" s="102" t="n"/>
      <c r="K1460" s="103" t="n"/>
      <c r="L1460" s="116">
        <f>IF($H1460="","",TRIM(IF(COUNTIF(DMTK!$A$7:$A$250,$F1460)=0,"TK Nợ sai! ","")&amp;IF(COUNTIF(DMTK!$A$7:$A$250,$G1460)=0,"TK Có sai! ","")&amp;IF(N($H1460)&lt;=0,"Tiền phải &gt; 0! ","")&amp;IF($B1460="","Thiếu ngày! ","")&amp;IF(AND(OR(LEFT($F1460,3)="131",LEFT($G1460,3)="131",LEFT($F1460,3)="331",LEFT($G1460,3)="331"),$I1460=""),"Thiếu Mã ĐT! ","")&amp;IF(AND($I1460&lt;&gt;"",COUNTIF(DM_DT!$A$7:$A$306,$I1460)=0),"Mã ĐT chưa khai báo! ","")))</f>
        <v/>
      </c>
      <c r="M1460" s="117">
        <f>IF($H1460="","",IF(AND(OR(LEFT($F1460,3)="111",LEFT($F1460,3)="112",LEFT($F1460,3)="113"),OR(LEFT($G1460,3)="111",LEFT($G1460,3)="112",LEFT($G1460,3)="113")),"NB",IF(OR(LEFT($F1460,3)="111",LEFT($F1460,3)="112",LEFT($F1460,3)="113"),"THU",IF(OR(LEFT($G1460,3)="111",LEFT($G1460,3)="112",LEFT($G1460,3)="113"),"CHI",""))))</f>
        <v/>
      </c>
      <c r="N1460" s="117">
        <f>IF($M1460="THU",$G1460,IF($M1460="CHI",$F1460,""))</f>
        <v/>
      </c>
      <c r="O1460" s="117">
        <f>IF(OR($M1460="",$M1460="NB"),"",IF($J1460&lt;&gt;"",TEXT($J1460,"00"),IFERROR(VLOOKUP(LEFT($N1460,4),LCTT_MAP!$A$7:$C$66,IF($M1460="THU",2,3),FALSE()),IFERROR(VLOOKUP(LEFT($N1460,3),LCTT_MAP!$A$7:$C$66,IF($M1460="THU",2,3),FALSE()),IFERROR(VLOOKUP(LEFT($N1460,2),LCTT_MAP!$A$7:$C$66,IF($M1460="THU",2,3),FALSE()),IFERROR(VLOOKUP(LEFT($N1460,1),LCTT_MAP!$A$7:$C$66,IF($M1460="THU",2,3),FALSE()),IF($M1460="THU","06","07")))))))</f>
        <v/>
      </c>
      <c r="P1460" s="117">
        <f>P1459+IF(AND($H1460&lt;&gt;"",OR(LEFT($F1460,LEN(SC_TK))=SC_TK,LEFT($G1460,LEN(SC_TK))=SC_TK)),1,0)</f>
        <v/>
      </c>
    </row>
    <row r="1461" ht="15" customHeight="1" s="78">
      <c r="A1461" s="95">
        <f>IF($H1461="","",ROW()-6)</f>
        <v/>
      </c>
      <c r="B1461" s="114" t="n"/>
      <c r="C1461" s="102" t="n"/>
      <c r="D1461" s="114" t="n"/>
      <c r="E1461" s="103" t="n"/>
      <c r="F1461" s="102" t="n"/>
      <c r="G1461" s="102" t="n"/>
      <c r="H1461" s="115" t="n"/>
      <c r="I1461" s="102" t="n"/>
      <c r="J1461" s="102" t="n"/>
      <c r="K1461" s="103" t="n"/>
      <c r="L1461" s="116">
        <f>IF($H1461="","",TRIM(IF(COUNTIF(DMTK!$A$7:$A$250,$F1461)=0,"TK Nợ sai! ","")&amp;IF(COUNTIF(DMTK!$A$7:$A$250,$G1461)=0,"TK Có sai! ","")&amp;IF(N($H1461)&lt;=0,"Tiền phải &gt; 0! ","")&amp;IF($B1461="","Thiếu ngày! ","")&amp;IF(AND(OR(LEFT($F1461,3)="131",LEFT($G1461,3)="131",LEFT($F1461,3)="331",LEFT($G1461,3)="331"),$I1461=""),"Thiếu Mã ĐT! ","")&amp;IF(AND($I1461&lt;&gt;"",COUNTIF(DM_DT!$A$7:$A$306,$I1461)=0),"Mã ĐT chưa khai báo! ","")))</f>
        <v/>
      </c>
      <c r="M1461" s="117">
        <f>IF($H1461="","",IF(AND(OR(LEFT($F1461,3)="111",LEFT($F1461,3)="112",LEFT($F1461,3)="113"),OR(LEFT($G1461,3)="111",LEFT($G1461,3)="112",LEFT($G1461,3)="113")),"NB",IF(OR(LEFT($F1461,3)="111",LEFT($F1461,3)="112",LEFT($F1461,3)="113"),"THU",IF(OR(LEFT($G1461,3)="111",LEFT($G1461,3)="112",LEFT($G1461,3)="113"),"CHI",""))))</f>
        <v/>
      </c>
      <c r="N1461" s="117">
        <f>IF($M1461="THU",$G1461,IF($M1461="CHI",$F1461,""))</f>
        <v/>
      </c>
      <c r="O1461" s="117">
        <f>IF(OR($M1461="",$M1461="NB"),"",IF($J1461&lt;&gt;"",TEXT($J1461,"00"),IFERROR(VLOOKUP(LEFT($N1461,4),LCTT_MAP!$A$7:$C$66,IF($M1461="THU",2,3),FALSE()),IFERROR(VLOOKUP(LEFT($N1461,3),LCTT_MAP!$A$7:$C$66,IF($M1461="THU",2,3),FALSE()),IFERROR(VLOOKUP(LEFT($N1461,2),LCTT_MAP!$A$7:$C$66,IF($M1461="THU",2,3),FALSE()),IFERROR(VLOOKUP(LEFT($N1461,1),LCTT_MAP!$A$7:$C$66,IF($M1461="THU",2,3),FALSE()),IF($M1461="THU","06","07")))))))</f>
        <v/>
      </c>
      <c r="P1461" s="117">
        <f>P1460+IF(AND($H1461&lt;&gt;"",OR(LEFT($F1461,LEN(SC_TK))=SC_TK,LEFT($G1461,LEN(SC_TK))=SC_TK)),1,0)</f>
        <v/>
      </c>
    </row>
    <row r="1462" ht="15" customHeight="1" s="78">
      <c r="A1462" s="95">
        <f>IF($H1462="","",ROW()-6)</f>
        <v/>
      </c>
      <c r="B1462" s="114" t="n"/>
      <c r="C1462" s="102" t="n"/>
      <c r="D1462" s="114" t="n"/>
      <c r="E1462" s="103" t="n"/>
      <c r="F1462" s="102" t="n"/>
      <c r="G1462" s="102" t="n"/>
      <c r="H1462" s="115" t="n"/>
      <c r="I1462" s="102" t="n"/>
      <c r="J1462" s="102" t="n"/>
      <c r="K1462" s="103" t="n"/>
      <c r="L1462" s="116">
        <f>IF($H1462="","",TRIM(IF(COUNTIF(DMTK!$A$7:$A$250,$F1462)=0,"TK Nợ sai! ","")&amp;IF(COUNTIF(DMTK!$A$7:$A$250,$G1462)=0,"TK Có sai! ","")&amp;IF(N($H1462)&lt;=0,"Tiền phải &gt; 0! ","")&amp;IF($B1462="","Thiếu ngày! ","")&amp;IF(AND(OR(LEFT($F1462,3)="131",LEFT($G1462,3)="131",LEFT($F1462,3)="331",LEFT($G1462,3)="331"),$I1462=""),"Thiếu Mã ĐT! ","")&amp;IF(AND($I1462&lt;&gt;"",COUNTIF(DM_DT!$A$7:$A$306,$I1462)=0),"Mã ĐT chưa khai báo! ","")))</f>
        <v/>
      </c>
      <c r="M1462" s="117">
        <f>IF($H1462="","",IF(AND(OR(LEFT($F1462,3)="111",LEFT($F1462,3)="112",LEFT($F1462,3)="113"),OR(LEFT($G1462,3)="111",LEFT($G1462,3)="112",LEFT($G1462,3)="113")),"NB",IF(OR(LEFT($F1462,3)="111",LEFT($F1462,3)="112",LEFT($F1462,3)="113"),"THU",IF(OR(LEFT($G1462,3)="111",LEFT($G1462,3)="112",LEFT($G1462,3)="113"),"CHI",""))))</f>
        <v/>
      </c>
      <c r="N1462" s="117">
        <f>IF($M1462="THU",$G1462,IF($M1462="CHI",$F1462,""))</f>
        <v/>
      </c>
      <c r="O1462" s="117">
        <f>IF(OR($M1462="",$M1462="NB"),"",IF($J1462&lt;&gt;"",TEXT($J1462,"00"),IFERROR(VLOOKUP(LEFT($N1462,4),LCTT_MAP!$A$7:$C$66,IF($M1462="THU",2,3),FALSE()),IFERROR(VLOOKUP(LEFT($N1462,3),LCTT_MAP!$A$7:$C$66,IF($M1462="THU",2,3),FALSE()),IFERROR(VLOOKUP(LEFT($N1462,2),LCTT_MAP!$A$7:$C$66,IF($M1462="THU",2,3),FALSE()),IFERROR(VLOOKUP(LEFT($N1462,1),LCTT_MAP!$A$7:$C$66,IF($M1462="THU",2,3),FALSE()),IF($M1462="THU","06","07")))))))</f>
        <v/>
      </c>
      <c r="P1462" s="117">
        <f>P1461+IF(AND($H1462&lt;&gt;"",OR(LEFT($F1462,LEN(SC_TK))=SC_TK,LEFT($G1462,LEN(SC_TK))=SC_TK)),1,0)</f>
        <v/>
      </c>
    </row>
    <row r="1463" ht="15" customHeight="1" s="78">
      <c r="A1463" s="95">
        <f>IF($H1463="","",ROW()-6)</f>
        <v/>
      </c>
      <c r="B1463" s="114" t="n"/>
      <c r="C1463" s="102" t="n"/>
      <c r="D1463" s="114" t="n"/>
      <c r="E1463" s="103" t="n"/>
      <c r="F1463" s="102" t="n"/>
      <c r="G1463" s="102" t="n"/>
      <c r="H1463" s="115" t="n"/>
      <c r="I1463" s="102" t="n"/>
      <c r="J1463" s="102" t="n"/>
      <c r="K1463" s="103" t="n"/>
      <c r="L1463" s="116">
        <f>IF($H1463="","",TRIM(IF(COUNTIF(DMTK!$A$7:$A$250,$F1463)=0,"TK Nợ sai! ","")&amp;IF(COUNTIF(DMTK!$A$7:$A$250,$G1463)=0,"TK Có sai! ","")&amp;IF(N($H1463)&lt;=0,"Tiền phải &gt; 0! ","")&amp;IF($B1463="","Thiếu ngày! ","")&amp;IF(AND(OR(LEFT($F1463,3)="131",LEFT($G1463,3)="131",LEFT($F1463,3)="331",LEFT($G1463,3)="331"),$I1463=""),"Thiếu Mã ĐT! ","")&amp;IF(AND($I1463&lt;&gt;"",COUNTIF(DM_DT!$A$7:$A$306,$I1463)=0),"Mã ĐT chưa khai báo! ","")))</f>
        <v/>
      </c>
      <c r="M1463" s="117">
        <f>IF($H1463="","",IF(AND(OR(LEFT($F1463,3)="111",LEFT($F1463,3)="112",LEFT($F1463,3)="113"),OR(LEFT($G1463,3)="111",LEFT($G1463,3)="112",LEFT($G1463,3)="113")),"NB",IF(OR(LEFT($F1463,3)="111",LEFT($F1463,3)="112",LEFT($F1463,3)="113"),"THU",IF(OR(LEFT($G1463,3)="111",LEFT($G1463,3)="112",LEFT($G1463,3)="113"),"CHI",""))))</f>
        <v/>
      </c>
      <c r="N1463" s="117">
        <f>IF($M1463="THU",$G1463,IF($M1463="CHI",$F1463,""))</f>
        <v/>
      </c>
      <c r="O1463" s="117">
        <f>IF(OR($M1463="",$M1463="NB"),"",IF($J1463&lt;&gt;"",TEXT($J1463,"00"),IFERROR(VLOOKUP(LEFT($N1463,4),LCTT_MAP!$A$7:$C$66,IF($M1463="THU",2,3),FALSE()),IFERROR(VLOOKUP(LEFT($N1463,3),LCTT_MAP!$A$7:$C$66,IF($M1463="THU",2,3),FALSE()),IFERROR(VLOOKUP(LEFT($N1463,2),LCTT_MAP!$A$7:$C$66,IF($M1463="THU",2,3),FALSE()),IFERROR(VLOOKUP(LEFT($N1463,1),LCTT_MAP!$A$7:$C$66,IF($M1463="THU",2,3),FALSE()),IF($M1463="THU","06","07")))))))</f>
        <v/>
      </c>
      <c r="P1463" s="117">
        <f>P1462+IF(AND($H1463&lt;&gt;"",OR(LEFT($F1463,LEN(SC_TK))=SC_TK,LEFT($G1463,LEN(SC_TK))=SC_TK)),1,0)</f>
        <v/>
      </c>
    </row>
    <row r="1464" ht="15" customHeight="1" s="78">
      <c r="A1464" s="95">
        <f>IF($H1464="","",ROW()-6)</f>
        <v/>
      </c>
      <c r="B1464" s="114" t="n"/>
      <c r="C1464" s="102" t="n"/>
      <c r="D1464" s="114" t="n"/>
      <c r="E1464" s="103" t="n"/>
      <c r="F1464" s="102" t="n"/>
      <c r="G1464" s="102" t="n"/>
      <c r="H1464" s="115" t="n"/>
      <c r="I1464" s="102" t="n"/>
      <c r="J1464" s="102" t="n"/>
      <c r="K1464" s="103" t="n"/>
      <c r="L1464" s="116">
        <f>IF($H1464="","",TRIM(IF(COUNTIF(DMTK!$A$7:$A$250,$F1464)=0,"TK Nợ sai! ","")&amp;IF(COUNTIF(DMTK!$A$7:$A$250,$G1464)=0,"TK Có sai! ","")&amp;IF(N($H1464)&lt;=0,"Tiền phải &gt; 0! ","")&amp;IF($B1464="","Thiếu ngày! ","")&amp;IF(AND(OR(LEFT($F1464,3)="131",LEFT($G1464,3)="131",LEFT($F1464,3)="331",LEFT($G1464,3)="331"),$I1464=""),"Thiếu Mã ĐT! ","")&amp;IF(AND($I1464&lt;&gt;"",COUNTIF(DM_DT!$A$7:$A$306,$I1464)=0),"Mã ĐT chưa khai báo! ","")))</f>
        <v/>
      </c>
      <c r="M1464" s="117">
        <f>IF($H1464="","",IF(AND(OR(LEFT($F1464,3)="111",LEFT($F1464,3)="112",LEFT($F1464,3)="113"),OR(LEFT($G1464,3)="111",LEFT($G1464,3)="112",LEFT($G1464,3)="113")),"NB",IF(OR(LEFT($F1464,3)="111",LEFT($F1464,3)="112",LEFT($F1464,3)="113"),"THU",IF(OR(LEFT($G1464,3)="111",LEFT($G1464,3)="112",LEFT($G1464,3)="113"),"CHI",""))))</f>
        <v/>
      </c>
      <c r="N1464" s="117">
        <f>IF($M1464="THU",$G1464,IF($M1464="CHI",$F1464,""))</f>
        <v/>
      </c>
      <c r="O1464" s="117">
        <f>IF(OR($M1464="",$M1464="NB"),"",IF($J1464&lt;&gt;"",TEXT($J1464,"00"),IFERROR(VLOOKUP(LEFT($N1464,4),LCTT_MAP!$A$7:$C$66,IF($M1464="THU",2,3),FALSE()),IFERROR(VLOOKUP(LEFT($N1464,3),LCTT_MAP!$A$7:$C$66,IF($M1464="THU",2,3),FALSE()),IFERROR(VLOOKUP(LEFT($N1464,2),LCTT_MAP!$A$7:$C$66,IF($M1464="THU",2,3),FALSE()),IFERROR(VLOOKUP(LEFT($N1464,1),LCTT_MAP!$A$7:$C$66,IF($M1464="THU",2,3),FALSE()),IF($M1464="THU","06","07")))))))</f>
        <v/>
      </c>
      <c r="P1464" s="117">
        <f>P1463+IF(AND($H1464&lt;&gt;"",OR(LEFT($F1464,LEN(SC_TK))=SC_TK,LEFT($G1464,LEN(SC_TK))=SC_TK)),1,0)</f>
        <v/>
      </c>
    </row>
    <row r="1465" ht="15" customHeight="1" s="78">
      <c r="A1465" s="95">
        <f>IF($H1465="","",ROW()-6)</f>
        <v/>
      </c>
      <c r="B1465" s="114" t="n"/>
      <c r="C1465" s="102" t="n"/>
      <c r="D1465" s="114" t="n"/>
      <c r="E1465" s="103" t="n"/>
      <c r="F1465" s="102" t="n"/>
      <c r="G1465" s="102" t="n"/>
      <c r="H1465" s="115" t="n"/>
      <c r="I1465" s="102" t="n"/>
      <c r="J1465" s="102" t="n"/>
      <c r="K1465" s="103" t="n"/>
      <c r="L1465" s="116">
        <f>IF($H1465="","",TRIM(IF(COUNTIF(DMTK!$A$7:$A$250,$F1465)=0,"TK Nợ sai! ","")&amp;IF(COUNTIF(DMTK!$A$7:$A$250,$G1465)=0,"TK Có sai! ","")&amp;IF(N($H1465)&lt;=0,"Tiền phải &gt; 0! ","")&amp;IF($B1465="","Thiếu ngày! ","")&amp;IF(AND(OR(LEFT($F1465,3)="131",LEFT($G1465,3)="131",LEFT($F1465,3)="331",LEFT($G1465,3)="331"),$I1465=""),"Thiếu Mã ĐT! ","")&amp;IF(AND($I1465&lt;&gt;"",COUNTIF(DM_DT!$A$7:$A$306,$I1465)=0),"Mã ĐT chưa khai báo! ","")))</f>
        <v/>
      </c>
      <c r="M1465" s="117">
        <f>IF($H1465="","",IF(AND(OR(LEFT($F1465,3)="111",LEFT($F1465,3)="112",LEFT($F1465,3)="113"),OR(LEFT($G1465,3)="111",LEFT($G1465,3)="112",LEFT($G1465,3)="113")),"NB",IF(OR(LEFT($F1465,3)="111",LEFT($F1465,3)="112",LEFT($F1465,3)="113"),"THU",IF(OR(LEFT($G1465,3)="111",LEFT($G1465,3)="112",LEFT($G1465,3)="113"),"CHI",""))))</f>
        <v/>
      </c>
      <c r="N1465" s="117">
        <f>IF($M1465="THU",$G1465,IF($M1465="CHI",$F1465,""))</f>
        <v/>
      </c>
      <c r="O1465" s="117">
        <f>IF(OR($M1465="",$M1465="NB"),"",IF($J1465&lt;&gt;"",TEXT($J1465,"00"),IFERROR(VLOOKUP(LEFT($N1465,4),LCTT_MAP!$A$7:$C$66,IF($M1465="THU",2,3),FALSE()),IFERROR(VLOOKUP(LEFT($N1465,3),LCTT_MAP!$A$7:$C$66,IF($M1465="THU",2,3),FALSE()),IFERROR(VLOOKUP(LEFT($N1465,2),LCTT_MAP!$A$7:$C$66,IF($M1465="THU",2,3),FALSE()),IFERROR(VLOOKUP(LEFT($N1465,1),LCTT_MAP!$A$7:$C$66,IF($M1465="THU",2,3),FALSE()),IF($M1465="THU","06","07")))))))</f>
        <v/>
      </c>
      <c r="P1465" s="117">
        <f>P1464+IF(AND($H1465&lt;&gt;"",OR(LEFT($F1465,LEN(SC_TK))=SC_TK,LEFT($G1465,LEN(SC_TK))=SC_TK)),1,0)</f>
        <v/>
      </c>
    </row>
    <row r="1466" ht="15" customHeight="1" s="78">
      <c r="A1466" s="95">
        <f>IF($H1466="","",ROW()-6)</f>
        <v/>
      </c>
      <c r="B1466" s="114" t="n"/>
      <c r="C1466" s="102" t="n"/>
      <c r="D1466" s="114" t="n"/>
      <c r="E1466" s="103" t="n"/>
      <c r="F1466" s="102" t="n"/>
      <c r="G1466" s="102" t="n"/>
      <c r="H1466" s="115" t="n"/>
      <c r="I1466" s="102" t="n"/>
      <c r="J1466" s="102" t="n"/>
      <c r="K1466" s="103" t="n"/>
      <c r="L1466" s="116">
        <f>IF($H1466="","",TRIM(IF(COUNTIF(DMTK!$A$7:$A$250,$F1466)=0,"TK Nợ sai! ","")&amp;IF(COUNTIF(DMTK!$A$7:$A$250,$G1466)=0,"TK Có sai! ","")&amp;IF(N($H1466)&lt;=0,"Tiền phải &gt; 0! ","")&amp;IF($B1466="","Thiếu ngày! ","")&amp;IF(AND(OR(LEFT($F1466,3)="131",LEFT($G1466,3)="131",LEFT($F1466,3)="331",LEFT($G1466,3)="331"),$I1466=""),"Thiếu Mã ĐT! ","")&amp;IF(AND($I1466&lt;&gt;"",COUNTIF(DM_DT!$A$7:$A$306,$I1466)=0),"Mã ĐT chưa khai báo! ","")))</f>
        <v/>
      </c>
      <c r="M1466" s="117">
        <f>IF($H1466="","",IF(AND(OR(LEFT($F1466,3)="111",LEFT($F1466,3)="112",LEFT($F1466,3)="113"),OR(LEFT($G1466,3)="111",LEFT($G1466,3)="112",LEFT($G1466,3)="113")),"NB",IF(OR(LEFT($F1466,3)="111",LEFT($F1466,3)="112",LEFT($F1466,3)="113"),"THU",IF(OR(LEFT($G1466,3)="111",LEFT($G1466,3)="112",LEFT($G1466,3)="113"),"CHI",""))))</f>
        <v/>
      </c>
      <c r="N1466" s="117">
        <f>IF($M1466="THU",$G1466,IF($M1466="CHI",$F1466,""))</f>
        <v/>
      </c>
      <c r="O1466" s="117">
        <f>IF(OR($M1466="",$M1466="NB"),"",IF($J1466&lt;&gt;"",TEXT($J1466,"00"),IFERROR(VLOOKUP(LEFT($N1466,4),LCTT_MAP!$A$7:$C$66,IF($M1466="THU",2,3),FALSE()),IFERROR(VLOOKUP(LEFT($N1466,3),LCTT_MAP!$A$7:$C$66,IF($M1466="THU",2,3),FALSE()),IFERROR(VLOOKUP(LEFT($N1466,2),LCTT_MAP!$A$7:$C$66,IF($M1466="THU",2,3),FALSE()),IFERROR(VLOOKUP(LEFT($N1466,1),LCTT_MAP!$A$7:$C$66,IF($M1466="THU",2,3),FALSE()),IF($M1466="THU","06","07")))))))</f>
        <v/>
      </c>
      <c r="P1466" s="117">
        <f>P1465+IF(AND($H1466&lt;&gt;"",OR(LEFT($F1466,LEN(SC_TK))=SC_TK,LEFT($G1466,LEN(SC_TK))=SC_TK)),1,0)</f>
        <v/>
      </c>
    </row>
    <row r="1467" ht="15" customHeight="1" s="78">
      <c r="A1467" s="95">
        <f>IF($H1467="","",ROW()-6)</f>
        <v/>
      </c>
      <c r="B1467" s="114" t="n"/>
      <c r="C1467" s="102" t="n"/>
      <c r="D1467" s="114" t="n"/>
      <c r="E1467" s="103" t="n"/>
      <c r="F1467" s="102" t="n"/>
      <c r="G1467" s="102" t="n"/>
      <c r="H1467" s="115" t="n"/>
      <c r="I1467" s="102" t="n"/>
      <c r="J1467" s="102" t="n"/>
      <c r="K1467" s="103" t="n"/>
      <c r="L1467" s="116">
        <f>IF($H1467="","",TRIM(IF(COUNTIF(DMTK!$A$7:$A$250,$F1467)=0,"TK Nợ sai! ","")&amp;IF(COUNTIF(DMTK!$A$7:$A$250,$G1467)=0,"TK Có sai! ","")&amp;IF(N($H1467)&lt;=0,"Tiền phải &gt; 0! ","")&amp;IF($B1467="","Thiếu ngày! ","")&amp;IF(AND(OR(LEFT($F1467,3)="131",LEFT($G1467,3)="131",LEFT($F1467,3)="331",LEFT($G1467,3)="331"),$I1467=""),"Thiếu Mã ĐT! ","")&amp;IF(AND($I1467&lt;&gt;"",COUNTIF(DM_DT!$A$7:$A$306,$I1467)=0),"Mã ĐT chưa khai báo! ","")))</f>
        <v/>
      </c>
      <c r="M1467" s="117">
        <f>IF($H1467="","",IF(AND(OR(LEFT($F1467,3)="111",LEFT($F1467,3)="112",LEFT($F1467,3)="113"),OR(LEFT($G1467,3)="111",LEFT($G1467,3)="112",LEFT($G1467,3)="113")),"NB",IF(OR(LEFT($F1467,3)="111",LEFT($F1467,3)="112",LEFT($F1467,3)="113"),"THU",IF(OR(LEFT($G1467,3)="111",LEFT($G1467,3)="112",LEFT($G1467,3)="113"),"CHI",""))))</f>
        <v/>
      </c>
      <c r="N1467" s="117">
        <f>IF($M1467="THU",$G1467,IF($M1467="CHI",$F1467,""))</f>
        <v/>
      </c>
      <c r="O1467" s="117">
        <f>IF(OR($M1467="",$M1467="NB"),"",IF($J1467&lt;&gt;"",TEXT($J1467,"00"),IFERROR(VLOOKUP(LEFT($N1467,4),LCTT_MAP!$A$7:$C$66,IF($M1467="THU",2,3),FALSE()),IFERROR(VLOOKUP(LEFT($N1467,3),LCTT_MAP!$A$7:$C$66,IF($M1467="THU",2,3),FALSE()),IFERROR(VLOOKUP(LEFT($N1467,2),LCTT_MAP!$A$7:$C$66,IF($M1467="THU",2,3),FALSE()),IFERROR(VLOOKUP(LEFT($N1467,1),LCTT_MAP!$A$7:$C$66,IF($M1467="THU",2,3),FALSE()),IF($M1467="THU","06","07")))))))</f>
        <v/>
      </c>
      <c r="P1467" s="117">
        <f>P1466+IF(AND($H1467&lt;&gt;"",OR(LEFT($F1467,LEN(SC_TK))=SC_TK,LEFT($G1467,LEN(SC_TK))=SC_TK)),1,0)</f>
        <v/>
      </c>
    </row>
    <row r="1468" ht="15" customHeight="1" s="78">
      <c r="A1468" s="95">
        <f>IF($H1468="","",ROW()-6)</f>
        <v/>
      </c>
      <c r="B1468" s="114" t="n"/>
      <c r="C1468" s="102" t="n"/>
      <c r="D1468" s="114" t="n"/>
      <c r="E1468" s="103" t="n"/>
      <c r="F1468" s="102" t="n"/>
      <c r="G1468" s="102" t="n"/>
      <c r="H1468" s="115" t="n"/>
      <c r="I1468" s="102" t="n"/>
      <c r="J1468" s="102" t="n"/>
      <c r="K1468" s="103" t="n"/>
      <c r="L1468" s="116">
        <f>IF($H1468="","",TRIM(IF(COUNTIF(DMTK!$A$7:$A$250,$F1468)=0,"TK Nợ sai! ","")&amp;IF(COUNTIF(DMTK!$A$7:$A$250,$G1468)=0,"TK Có sai! ","")&amp;IF(N($H1468)&lt;=0,"Tiền phải &gt; 0! ","")&amp;IF($B1468="","Thiếu ngày! ","")&amp;IF(AND(OR(LEFT($F1468,3)="131",LEFT($G1468,3)="131",LEFT($F1468,3)="331",LEFT($G1468,3)="331"),$I1468=""),"Thiếu Mã ĐT! ","")&amp;IF(AND($I1468&lt;&gt;"",COUNTIF(DM_DT!$A$7:$A$306,$I1468)=0),"Mã ĐT chưa khai báo! ","")))</f>
        <v/>
      </c>
      <c r="M1468" s="117">
        <f>IF($H1468="","",IF(AND(OR(LEFT($F1468,3)="111",LEFT($F1468,3)="112",LEFT($F1468,3)="113"),OR(LEFT($G1468,3)="111",LEFT($G1468,3)="112",LEFT($G1468,3)="113")),"NB",IF(OR(LEFT($F1468,3)="111",LEFT($F1468,3)="112",LEFT($F1468,3)="113"),"THU",IF(OR(LEFT($G1468,3)="111",LEFT($G1468,3)="112",LEFT($G1468,3)="113"),"CHI",""))))</f>
        <v/>
      </c>
      <c r="N1468" s="117">
        <f>IF($M1468="THU",$G1468,IF($M1468="CHI",$F1468,""))</f>
        <v/>
      </c>
      <c r="O1468" s="117">
        <f>IF(OR($M1468="",$M1468="NB"),"",IF($J1468&lt;&gt;"",TEXT($J1468,"00"),IFERROR(VLOOKUP(LEFT($N1468,4),LCTT_MAP!$A$7:$C$66,IF($M1468="THU",2,3),FALSE()),IFERROR(VLOOKUP(LEFT($N1468,3),LCTT_MAP!$A$7:$C$66,IF($M1468="THU",2,3),FALSE()),IFERROR(VLOOKUP(LEFT($N1468,2),LCTT_MAP!$A$7:$C$66,IF($M1468="THU",2,3),FALSE()),IFERROR(VLOOKUP(LEFT($N1468,1),LCTT_MAP!$A$7:$C$66,IF($M1468="THU",2,3),FALSE()),IF($M1468="THU","06","07")))))))</f>
        <v/>
      </c>
      <c r="P1468" s="117">
        <f>P1467+IF(AND($H1468&lt;&gt;"",OR(LEFT($F1468,LEN(SC_TK))=SC_TK,LEFT($G1468,LEN(SC_TK))=SC_TK)),1,0)</f>
        <v/>
      </c>
    </row>
    <row r="1469" ht="15" customHeight="1" s="78">
      <c r="A1469" s="95">
        <f>IF($H1469="","",ROW()-6)</f>
        <v/>
      </c>
      <c r="B1469" s="114" t="n"/>
      <c r="C1469" s="102" t="n"/>
      <c r="D1469" s="114" t="n"/>
      <c r="E1469" s="103" t="n"/>
      <c r="F1469" s="102" t="n"/>
      <c r="G1469" s="102" t="n"/>
      <c r="H1469" s="115" t="n"/>
      <c r="I1469" s="102" t="n"/>
      <c r="J1469" s="102" t="n"/>
      <c r="K1469" s="103" t="n"/>
      <c r="L1469" s="116">
        <f>IF($H1469="","",TRIM(IF(COUNTIF(DMTK!$A$7:$A$250,$F1469)=0,"TK Nợ sai! ","")&amp;IF(COUNTIF(DMTK!$A$7:$A$250,$G1469)=0,"TK Có sai! ","")&amp;IF(N($H1469)&lt;=0,"Tiền phải &gt; 0! ","")&amp;IF($B1469="","Thiếu ngày! ","")&amp;IF(AND(OR(LEFT($F1469,3)="131",LEFT($G1469,3)="131",LEFT($F1469,3)="331",LEFT($G1469,3)="331"),$I1469=""),"Thiếu Mã ĐT! ","")&amp;IF(AND($I1469&lt;&gt;"",COUNTIF(DM_DT!$A$7:$A$306,$I1469)=0),"Mã ĐT chưa khai báo! ","")))</f>
        <v/>
      </c>
      <c r="M1469" s="117">
        <f>IF($H1469="","",IF(AND(OR(LEFT($F1469,3)="111",LEFT($F1469,3)="112",LEFT($F1469,3)="113"),OR(LEFT($G1469,3)="111",LEFT($G1469,3)="112",LEFT($G1469,3)="113")),"NB",IF(OR(LEFT($F1469,3)="111",LEFT($F1469,3)="112",LEFT($F1469,3)="113"),"THU",IF(OR(LEFT($G1469,3)="111",LEFT($G1469,3)="112",LEFT($G1469,3)="113"),"CHI",""))))</f>
        <v/>
      </c>
      <c r="N1469" s="117">
        <f>IF($M1469="THU",$G1469,IF($M1469="CHI",$F1469,""))</f>
        <v/>
      </c>
      <c r="O1469" s="117">
        <f>IF(OR($M1469="",$M1469="NB"),"",IF($J1469&lt;&gt;"",TEXT($J1469,"00"),IFERROR(VLOOKUP(LEFT($N1469,4),LCTT_MAP!$A$7:$C$66,IF($M1469="THU",2,3),FALSE()),IFERROR(VLOOKUP(LEFT($N1469,3),LCTT_MAP!$A$7:$C$66,IF($M1469="THU",2,3),FALSE()),IFERROR(VLOOKUP(LEFT($N1469,2),LCTT_MAP!$A$7:$C$66,IF($M1469="THU",2,3),FALSE()),IFERROR(VLOOKUP(LEFT($N1469,1),LCTT_MAP!$A$7:$C$66,IF($M1469="THU",2,3),FALSE()),IF($M1469="THU","06","07")))))))</f>
        <v/>
      </c>
      <c r="P1469" s="117">
        <f>P1468+IF(AND($H1469&lt;&gt;"",OR(LEFT($F1469,LEN(SC_TK))=SC_TK,LEFT($G1469,LEN(SC_TK))=SC_TK)),1,0)</f>
        <v/>
      </c>
    </row>
    <row r="1470" ht="15" customHeight="1" s="78">
      <c r="A1470" s="95">
        <f>IF($H1470="","",ROW()-6)</f>
        <v/>
      </c>
      <c r="B1470" s="114" t="n"/>
      <c r="C1470" s="102" t="n"/>
      <c r="D1470" s="114" t="n"/>
      <c r="E1470" s="103" t="n"/>
      <c r="F1470" s="102" t="n"/>
      <c r="G1470" s="102" t="n"/>
      <c r="H1470" s="115" t="n"/>
      <c r="I1470" s="102" t="n"/>
      <c r="J1470" s="102" t="n"/>
      <c r="K1470" s="103" t="n"/>
      <c r="L1470" s="116">
        <f>IF($H1470="","",TRIM(IF(COUNTIF(DMTK!$A$7:$A$250,$F1470)=0,"TK Nợ sai! ","")&amp;IF(COUNTIF(DMTK!$A$7:$A$250,$G1470)=0,"TK Có sai! ","")&amp;IF(N($H1470)&lt;=0,"Tiền phải &gt; 0! ","")&amp;IF($B1470="","Thiếu ngày! ","")&amp;IF(AND(OR(LEFT($F1470,3)="131",LEFT($G1470,3)="131",LEFT($F1470,3)="331",LEFT($G1470,3)="331"),$I1470=""),"Thiếu Mã ĐT! ","")&amp;IF(AND($I1470&lt;&gt;"",COUNTIF(DM_DT!$A$7:$A$306,$I1470)=0),"Mã ĐT chưa khai báo! ","")))</f>
        <v/>
      </c>
      <c r="M1470" s="117">
        <f>IF($H1470="","",IF(AND(OR(LEFT($F1470,3)="111",LEFT($F1470,3)="112",LEFT($F1470,3)="113"),OR(LEFT($G1470,3)="111",LEFT($G1470,3)="112",LEFT($G1470,3)="113")),"NB",IF(OR(LEFT($F1470,3)="111",LEFT($F1470,3)="112",LEFT($F1470,3)="113"),"THU",IF(OR(LEFT($G1470,3)="111",LEFT($G1470,3)="112",LEFT($G1470,3)="113"),"CHI",""))))</f>
        <v/>
      </c>
      <c r="N1470" s="117">
        <f>IF($M1470="THU",$G1470,IF($M1470="CHI",$F1470,""))</f>
        <v/>
      </c>
      <c r="O1470" s="117">
        <f>IF(OR($M1470="",$M1470="NB"),"",IF($J1470&lt;&gt;"",TEXT($J1470,"00"),IFERROR(VLOOKUP(LEFT($N1470,4),LCTT_MAP!$A$7:$C$66,IF($M1470="THU",2,3),FALSE()),IFERROR(VLOOKUP(LEFT($N1470,3),LCTT_MAP!$A$7:$C$66,IF($M1470="THU",2,3),FALSE()),IFERROR(VLOOKUP(LEFT($N1470,2),LCTT_MAP!$A$7:$C$66,IF($M1470="THU",2,3),FALSE()),IFERROR(VLOOKUP(LEFT($N1470,1),LCTT_MAP!$A$7:$C$66,IF($M1470="THU",2,3),FALSE()),IF($M1470="THU","06","07")))))))</f>
        <v/>
      </c>
      <c r="P1470" s="117">
        <f>P1469+IF(AND($H1470&lt;&gt;"",OR(LEFT($F1470,LEN(SC_TK))=SC_TK,LEFT($G1470,LEN(SC_TK))=SC_TK)),1,0)</f>
        <v/>
      </c>
    </row>
    <row r="1471" ht="15" customHeight="1" s="78">
      <c r="A1471" s="95">
        <f>IF($H1471="","",ROW()-6)</f>
        <v/>
      </c>
      <c r="B1471" s="114" t="n"/>
      <c r="C1471" s="102" t="n"/>
      <c r="D1471" s="114" t="n"/>
      <c r="E1471" s="103" t="n"/>
      <c r="F1471" s="102" t="n"/>
      <c r="G1471" s="102" t="n"/>
      <c r="H1471" s="115" t="n"/>
      <c r="I1471" s="102" t="n"/>
      <c r="J1471" s="102" t="n"/>
      <c r="K1471" s="103" t="n"/>
      <c r="L1471" s="116">
        <f>IF($H1471="","",TRIM(IF(COUNTIF(DMTK!$A$7:$A$250,$F1471)=0,"TK Nợ sai! ","")&amp;IF(COUNTIF(DMTK!$A$7:$A$250,$G1471)=0,"TK Có sai! ","")&amp;IF(N($H1471)&lt;=0,"Tiền phải &gt; 0! ","")&amp;IF($B1471="","Thiếu ngày! ","")&amp;IF(AND(OR(LEFT($F1471,3)="131",LEFT($G1471,3)="131",LEFT($F1471,3)="331",LEFT($G1471,3)="331"),$I1471=""),"Thiếu Mã ĐT! ","")&amp;IF(AND($I1471&lt;&gt;"",COUNTIF(DM_DT!$A$7:$A$306,$I1471)=0),"Mã ĐT chưa khai báo! ","")))</f>
        <v/>
      </c>
      <c r="M1471" s="117">
        <f>IF($H1471="","",IF(AND(OR(LEFT($F1471,3)="111",LEFT($F1471,3)="112",LEFT($F1471,3)="113"),OR(LEFT($G1471,3)="111",LEFT($G1471,3)="112",LEFT($G1471,3)="113")),"NB",IF(OR(LEFT($F1471,3)="111",LEFT($F1471,3)="112",LEFT($F1471,3)="113"),"THU",IF(OR(LEFT($G1471,3)="111",LEFT($G1471,3)="112",LEFT($G1471,3)="113"),"CHI",""))))</f>
        <v/>
      </c>
      <c r="N1471" s="117">
        <f>IF($M1471="THU",$G1471,IF($M1471="CHI",$F1471,""))</f>
        <v/>
      </c>
      <c r="O1471" s="117">
        <f>IF(OR($M1471="",$M1471="NB"),"",IF($J1471&lt;&gt;"",TEXT($J1471,"00"),IFERROR(VLOOKUP(LEFT($N1471,4),LCTT_MAP!$A$7:$C$66,IF($M1471="THU",2,3),FALSE()),IFERROR(VLOOKUP(LEFT($N1471,3),LCTT_MAP!$A$7:$C$66,IF($M1471="THU",2,3),FALSE()),IFERROR(VLOOKUP(LEFT($N1471,2),LCTT_MAP!$A$7:$C$66,IF($M1471="THU",2,3),FALSE()),IFERROR(VLOOKUP(LEFT($N1471,1),LCTT_MAP!$A$7:$C$66,IF($M1471="THU",2,3),FALSE()),IF($M1471="THU","06","07")))))))</f>
        <v/>
      </c>
      <c r="P1471" s="117">
        <f>P1470+IF(AND($H1471&lt;&gt;"",OR(LEFT($F1471,LEN(SC_TK))=SC_TK,LEFT($G1471,LEN(SC_TK))=SC_TK)),1,0)</f>
        <v/>
      </c>
    </row>
    <row r="1472" ht="15" customHeight="1" s="78">
      <c r="A1472" s="95">
        <f>IF($H1472="","",ROW()-6)</f>
        <v/>
      </c>
      <c r="B1472" s="114" t="n"/>
      <c r="C1472" s="102" t="n"/>
      <c r="D1472" s="114" t="n"/>
      <c r="E1472" s="103" t="n"/>
      <c r="F1472" s="102" t="n"/>
      <c r="G1472" s="102" t="n"/>
      <c r="H1472" s="115" t="n"/>
      <c r="I1472" s="102" t="n"/>
      <c r="J1472" s="102" t="n"/>
      <c r="K1472" s="103" t="n"/>
      <c r="L1472" s="116">
        <f>IF($H1472="","",TRIM(IF(COUNTIF(DMTK!$A$7:$A$250,$F1472)=0,"TK Nợ sai! ","")&amp;IF(COUNTIF(DMTK!$A$7:$A$250,$G1472)=0,"TK Có sai! ","")&amp;IF(N($H1472)&lt;=0,"Tiền phải &gt; 0! ","")&amp;IF($B1472="","Thiếu ngày! ","")&amp;IF(AND(OR(LEFT($F1472,3)="131",LEFT($G1472,3)="131",LEFT($F1472,3)="331",LEFT($G1472,3)="331"),$I1472=""),"Thiếu Mã ĐT! ","")&amp;IF(AND($I1472&lt;&gt;"",COUNTIF(DM_DT!$A$7:$A$306,$I1472)=0),"Mã ĐT chưa khai báo! ","")))</f>
        <v/>
      </c>
      <c r="M1472" s="117">
        <f>IF($H1472="","",IF(AND(OR(LEFT($F1472,3)="111",LEFT($F1472,3)="112",LEFT($F1472,3)="113"),OR(LEFT($G1472,3)="111",LEFT($G1472,3)="112",LEFT($G1472,3)="113")),"NB",IF(OR(LEFT($F1472,3)="111",LEFT($F1472,3)="112",LEFT($F1472,3)="113"),"THU",IF(OR(LEFT($G1472,3)="111",LEFT($G1472,3)="112",LEFT($G1472,3)="113"),"CHI",""))))</f>
        <v/>
      </c>
      <c r="N1472" s="117">
        <f>IF($M1472="THU",$G1472,IF($M1472="CHI",$F1472,""))</f>
        <v/>
      </c>
      <c r="O1472" s="117">
        <f>IF(OR($M1472="",$M1472="NB"),"",IF($J1472&lt;&gt;"",TEXT($J1472,"00"),IFERROR(VLOOKUP(LEFT($N1472,4),LCTT_MAP!$A$7:$C$66,IF($M1472="THU",2,3),FALSE()),IFERROR(VLOOKUP(LEFT($N1472,3),LCTT_MAP!$A$7:$C$66,IF($M1472="THU",2,3),FALSE()),IFERROR(VLOOKUP(LEFT($N1472,2),LCTT_MAP!$A$7:$C$66,IF($M1472="THU",2,3),FALSE()),IFERROR(VLOOKUP(LEFT($N1472,1),LCTT_MAP!$A$7:$C$66,IF($M1472="THU",2,3),FALSE()),IF($M1472="THU","06","07")))))))</f>
        <v/>
      </c>
      <c r="P1472" s="117">
        <f>P1471+IF(AND($H1472&lt;&gt;"",OR(LEFT($F1472,LEN(SC_TK))=SC_TK,LEFT($G1472,LEN(SC_TK))=SC_TK)),1,0)</f>
        <v/>
      </c>
    </row>
    <row r="1473" ht="15" customHeight="1" s="78">
      <c r="A1473" s="95">
        <f>IF($H1473="","",ROW()-6)</f>
        <v/>
      </c>
      <c r="B1473" s="114" t="n"/>
      <c r="C1473" s="102" t="n"/>
      <c r="D1473" s="114" t="n"/>
      <c r="E1473" s="103" t="n"/>
      <c r="F1473" s="102" t="n"/>
      <c r="G1473" s="102" t="n"/>
      <c r="H1473" s="115" t="n"/>
      <c r="I1473" s="102" t="n"/>
      <c r="J1473" s="102" t="n"/>
      <c r="K1473" s="103" t="n"/>
      <c r="L1473" s="116">
        <f>IF($H1473="","",TRIM(IF(COUNTIF(DMTK!$A$7:$A$250,$F1473)=0,"TK Nợ sai! ","")&amp;IF(COUNTIF(DMTK!$A$7:$A$250,$G1473)=0,"TK Có sai! ","")&amp;IF(N($H1473)&lt;=0,"Tiền phải &gt; 0! ","")&amp;IF($B1473="","Thiếu ngày! ","")&amp;IF(AND(OR(LEFT($F1473,3)="131",LEFT($G1473,3)="131",LEFT($F1473,3)="331",LEFT($G1473,3)="331"),$I1473=""),"Thiếu Mã ĐT! ","")&amp;IF(AND($I1473&lt;&gt;"",COUNTIF(DM_DT!$A$7:$A$306,$I1473)=0),"Mã ĐT chưa khai báo! ","")))</f>
        <v/>
      </c>
      <c r="M1473" s="117">
        <f>IF($H1473="","",IF(AND(OR(LEFT($F1473,3)="111",LEFT($F1473,3)="112",LEFT($F1473,3)="113"),OR(LEFT($G1473,3)="111",LEFT($G1473,3)="112",LEFT($G1473,3)="113")),"NB",IF(OR(LEFT($F1473,3)="111",LEFT($F1473,3)="112",LEFT($F1473,3)="113"),"THU",IF(OR(LEFT($G1473,3)="111",LEFT($G1473,3)="112",LEFT($G1473,3)="113"),"CHI",""))))</f>
        <v/>
      </c>
      <c r="N1473" s="117">
        <f>IF($M1473="THU",$G1473,IF($M1473="CHI",$F1473,""))</f>
        <v/>
      </c>
      <c r="O1473" s="117">
        <f>IF(OR($M1473="",$M1473="NB"),"",IF($J1473&lt;&gt;"",TEXT($J1473,"00"),IFERROR(VLOOKUP(LEFT($N1473,4),LCTT_MAP!$A$7:$C$66,IF($M1473="THU",2,3),FALSE()),IFERROR(VLOOKUP(LEFT($N1473,3),LCTT_MAP!$A$7:$C$66,IF($M1473="THU",2,3),FALSE()),IFERROR(VLOOKUP(LEFT($N1473,2),LCTT_MAP!$A$7:$C$66,IF($M1473="THU",2,3),FALSE()),IFERROR(VLOOKUP(LEFT($N1473,1),LCTT_MAP!$A$7:$C$66,IF($M1473="THU",2,3),FALSE()),IF($M1473="THU","06","07")))))))</f>
        <v/>
      </c>
      <c r="P1473" s="117">
        <f>P1472+IF(AND($H1473&lt;&gt;"",OR(LEFT($F1473,LEN(SC_TK))=SC_TK,LEFT($G1473,LEN(SC_TK))=SC_TK)),1,0)</f>
        <v/>
      </c>
    </row>
    <row r="1474" ht="15" customHeight="1" s="78">
      <c r="A1474" s="95">
        <f>IF($H1474="","",ROW()-6)</f>
        <v/>
      </c>
      <c r="B1474" s="114" t="n"/>
      <c r="C1474" s="102" t="n"/>
      <c r="D1474" s="114" t="n"/>
      <c r="E1474" s="103" t="n"/>
      <c r="F1474" s="102" t="n"/>
      <c r="G1474" s="102" t="n"/>
      <c r="H1474" s="115" t="n"/>
      <c r="I1474" s="102" t="n"/>
      <c r="J1474" s="102" t="n"/>
      <c r="K1474" s="103" t="n"/>
      <c r="L1474" s="116">
        <f>IF($H1474="","",TRIM(IF(COUNTIF(DMTK!$A$7:$A$250,$F1474)=0,"TK Nợ sai! ","")&amp;IF(COUNTIF(DMTK!$A$7:$A$250,$G1474)=0,"TK Có sai! ","")&amp;IF(N($H1474)&lt;=0,"Tiền phải &gt; 0! ","")&amp;IF($B1474="","Thiếu ngày! ","")&amp;IF(AND(OR(LEFT($F1474,3)="131",LEFT($G1474,3)="131",LEFT($F1474,3)="331",LEFT($G1474,3)="331"),$I1474=""),"Thiếu Mã ĐT! ","")&amp;IF(AND($I1474&lt;&gt;"",COUNTIF(DM_DT!$A$7:$A$306,$I1474)=0),"Mã ĐT chưa khai báo! ","")))</f>
        <v/>
      </c>
      <c r="M1474" s="117">
        <f>IF($H1474="","",IF(AND(OR(LEFT($F1474,3)="111",LEFT($F1474,3)="112",LEFT($F1474,3)="113"),OR(LEFT($G1474,3)="111",LEFT($G1474,3)="112",LEFT($G1474,3)="113")),"NB",IF(OR(LEFT($F1474,3)="111",LEFT($F1474,3)="112",LEFT($F1474,3)="113"),"THU",IF(OR(LEFT($G1474,3)="111",LEFT($G1474,3)="112",LEFT($G1474,3)="113"),"CHI",""))))</f>
        <v/>
      </c>
      <c r="N1474" s="117">
        <f>IF($M1474="THU",$G1474,IF($M1474="CHI",$F1474,""))</f>
        <v/>
      </c>
      <c r="O1474" s="117">
        <f>IF(OR($M1474="",$M1474="NB"),"",IF($J1474&lt;&gt;"",TEXT($J1474,"00"),IFERROR(VLOOKUP(LEFT($N1474,4),LCTT_MAP!$A$7:$C$66,IF($M1474="THU",2,3),FALSE()),IFERROR(VLOOKUP(LEFT($N1474,3),LCTT_MAP!$A$7:$C$66,IF($M1474="THU",2,3),FALSE()),IFERROR(VLOOKUP(LEFT($N1474,2),LCTT_MAP!$A$7:$C$66,IF($M1474="THU",2,3),FALSE()),IFERROR(VLOOKUP(LEFT($N1474,1),LCTT_MAP!$A$7:$C$66,IF($M1474="THU",2,3),FALSE()),IF($M1474="THU","06","07")))))))</f>
        <v/>
      </c>
      <c r="P1474" s="117">
        <f>P1473+IF(AND($H1474&lt;&gt;"",OR(LEFT($F1474,LEN(SC_TK))=SC_TK,LEFT($G1474,LEN(SC_TK))=SC_TK)),1,0)</f>
        <v/>
      </c>
    </row>
    <row r="1475" ht="15" customHeight="1" s="78">
      <c r="A1475" s="95">
        <f>IF($H1475="","",ROW()-6)</f>
        <v/>
      </c>
      <c r="B1475" s="114" t="n"/>
      <c r="C1475" s="102" t="n"/>
      <c r="D1475" s="114" t="n"/>
      <c r="E1475" s="103" t="n"/>
      <c r="F1475" s="102" t="n"/>
      <c r="G1475" s="102" t="n"/>
      <c r="H1475" s="115" t="n"/>
      <c r="I1475" s="102" t="n"/>
      <c r="J1475" s="102" t="n"/>
      <c r="K1475" s="103" t="n"/>
      <c r="L1475" s="116">
        <f>IF($H1475="","",TRIM(IF(COUNTIF(DMTK!$A$7:$A$250,$F1475)=0,"TK Nợ sai! ","")&amp;IF(COUNTIF(DMTK!$A$7:$A$250,$G1475)=0,"TK Có sai! ","")&amp;IF(N($H1475)&lt;=0,"Tiền phải &gt; 0! ","")&amp;IF($B1475="","Thiếu ngày! ","")&amp;IF(AND(OR(LEFT($F1475,3)="131",LEFT($G1475,3)="131",LEFT($F1475,3)="331",LEFT($G1475,3)="331"),$I1475=""),"Thiếu Mã ĐT! ","")&amp;IF(AND($I1475&lt;&gt;"",COUNTIF(DM_DT!$A$7:$A$306,$I1475)=0),"Mã ĐT chưa khai báo! ","")))</f>
        <v/>
      </c>
      <c r="M1475" s="117">
        <f>IF($H1475="","",IF(AND(OR(LEFT($F1475,3)="111",LEFT($F1475,3)="112",LEFT($F1475,3)="113"),OR(LEFT($G1475,3)="111",LEFT($G1475,3)="112",LEFT($G1475,3)="113")),"NB",IF(OR(LEFT($F1475,3)="111",LEFT($F1475,3)="112",LEFT($F1475,3)="113"),"THU",IF(OR(LEFT($G1475,3)="111",LEFT($G1475,3)="112",LEFT($G1475,3)="113"),"CHI",""))))</f>
        <v/>
      </c>
      <c r="N1475" s="117">
        <f>IF($M1475="THU",$G1475,IF($M1475="CHI",$F1475,""))</f>
        <v/>
      </c>
      <c r="O1475" s="117">
        <f>IF(OR($M1475="",$M1475="NB"),"",IF($J1475&lt;&gt;"",TEXT($J1475,"00"),IFERROR(VLOOKUP(LEFT($N1475,4),LCTT_MAP!$A$7:$C$66,IF($M1475="THU",2,3),FALSE()),IFERROR(VLOOKUP(LEFT($N1475,3),LCTT_MAP!$A$7:$C$66,IF($M1475="THU",2,3),FALSE()),IFERROR(VLOOKUP(LEFT($N1475,2),LCTT_MAP!$A$7:$C$66,IF($M1475="THU",2,3),FALSE()),IFERROR(VLOOKUP(LEFT($N1475,1),LCTT_MAP!$A$7:$C$66,IF($M1475="THU",2,3),FALSE()),IF($M1475="THU","06","07")))))))</f>
        <v/>
      </c>
      <c r="P1475" s="117">
        <f>P1474+IF(AND($H1475&lt;&gt;"",OR(LEFT($F1475,LEN(SC_TK))=SC_TK,LEFT($G1475,LEN(SC_TK))=SC_TK)),1,0)</f>
        <v/>
      </c>
    </row>
    <row r="1476" ht="15" customHeight="1" s="78">
      <c r="A1476" s="95">
        <f>IF($H1476="","",ROW()-6)</f>
        <v/>
      </c>
      <c r="B1476" s="114" t="n"/>
      <c r="C1476" s="102" t="n"/>
      <c r="D1476" s="114" t="n"/>
      <c r="E1476" s="103" t="n"/>
      <c r="F1476" s="102" t="n"/>
      <c r="G1476" s="102" t="n"/>
      <c r="H1476" s="115" t="n"/>
      <c r="I1476" s="102" t="n"/>
      <c r="J1476" s="102" t="n"/>
      <c r="K1476" s="103" t="n"/>
      <c r="L1476" s="116">
        <f>IF($H1476="","",TRIM(IF(COUNTIF(DMTK!$A$7:$A$250,$F1476)=0,"TK Nợ sai! ","")&amp;IF(COUNTIF(DMTK!$A$7:$A$250,$G1476)=0,"TK Có sai! ","")&amp;IF(N($H1476)&lt;=0,"Tiền phải &gt; 0! ","")&amp;IF($B1476="","Thiếu ngày! ","")&amp;IF(AND(OR(LEFT($F1476,3)="131",LEFT($G1476,3)="131",LEFT($F1476,3)="331",LEFT($G1476,3)="331"),$I1476=""),"Thiếu Mã ĐT! ","")&amp;IF(AND($I1476&lt;&gt;"",COUNTIF(DM_DT!$A$7:$A$306,$I1476)=0),"Mã ĐT chưa khai báo! ","")))</f>
        <v/>
      </c>
      <c r="M1476" s="117">
        <f>IF($H1476="","",IF(AND(OR(LEFT($F1476,3)="111",LEFT($F1476,3)="112",LEFT($F1476,3)="113"),OR(LEFT($G1476,3)="111",LEFT($G1476,3)="112",LEFT($G1476,3)="113")),"NB",IF(OR(LEFT($F1476,3)="111",LEFT($F1476,3)="112",LEFT($F1476,3)="113"),"THU",IF(OR(LEFT($G1476,3)="111",LEFT($G1476,3)="112",LEFT($G1476,3)="113"),"CHI",""))))</f>
        <v/>
      </c>
      <c r="N1476" s="117">
        <f>IF($M1476="THU",$G1476,IF($M1476="CHI",$F1476,""))</f>
        <v/>
      </c>
      <c r="O1476" s="117">
        <f>IF(OR($M1476="",$M1476="NB"),"",IF($J1476&lt;&gt;"",TEXT($J1476,"00"),IFERROR(VLOOKUP(LEFT($N1476,4),LCTT_MAP!$A$7:$C$66,IF($M1476="THU",2,3),FALSE()),IFERROR(VLOOKUP(LEFT($N1476,3),LCTT_MAP!$A$7:$C$66,IF($M1476="THU",2,3),FALSE()),IFERROR(VLOOKUP(LEFT($N1476,2),LCTT_MAP!$A$7:$C$66,IF($M1476="THU",2,3),FALSE()),IFERROR(VLOOKUP(LEFT($N1476,1),LCTT_MAP!$A$7:$C$66,IF($M1476="THU",2,3),FALSE()),IF($M1476="THU","06","07")))))))</f>
        <v/>
      </c>
      <c r="P1476" s="117">
        <f>P1475+IF(AND($H1476&lt;&gt;"",OR(LEFT($F1476,LEN(SC_TK))=SC_TK,LEFT($G1476,LEN(SC_TK))=SC_TK)),1,0)</f>
        <v/>
      </c>
    </row>
    <row r="1477" ht="15" customHeight="1" s="78">
      <c r="A1477" s="95">
        <f>IF($H1477="","",ROW()-6)</f>
        <v/>
      </c>
      <c r="B1477" s="114" t="n"/>
      <c r="C1477" s="102" t="n"/>
      <c r="D1477" s="114" t="n"/>
      <c r="E1477" s="103" t="n"/>
      <c r="F1477" s="102" t="n"/>
      <c r="G1477" s="102" t="n"/>
      <c r="H1477" s="115" t="n"/>
      <c r="I1477" s="102" t="n"/>
      <c r="J1477" s="102" t="n"/>
      <c r="K1477" s="103" t="n"/>
      <c r="L1477" s="116">
        <f>IF($H1477="","",TRIM(IF(COUNTIF(DMTK!$A$7:$A$250,$F1477)=0,"TK Nợ sai! ","")&amp;IF(COUNTIF(DMTK!$A$7:$A$250,$G1477)=0,"TK Có sai! ","")&amp;IF(N($H1477)&lt;=0,"Tiền phải &gt; 0! ","")&amp;IF($B1477="","Thiếu ngày! ","")&amp;IF(AND(OR(LEFT($F1477,3)="131",LEFT($G1477,3)="131",LEFT($F1477,3)="331",LEFT($G1477,3)="331"),$I1477=""),"Thiếu Mã ĐT! ","")&amp;IF(AND($I1477&lt;&gt;"",COUNTIF(DM_DT!$A$7:$A$306,$I1477)=0),"Mã ĐT chưa khai báo! ","")))</f>
        <v/>
      </c>
      <c r="M1477" s="117">
        <f>IF($H1477="","",IF(AND(OR(LEFT($F1477,3)="111",LEFT($F1477,3)="112",LEFT($F1477,3)="113"),OR(LEFT($G1477,3)="111",LEFT($G1477,3)="112",LEFT($G1477,3)="113")),"NB",IF(OR(LEFT($F1477,3)="111",LEFT($F1477,3)="112",LEFT($F1477,3)="113"),"THU",IF(OR(LEFT($G1477,3)="111",LEFT($G1477,3)="112",LEFT($G1477,3)="113"),"CHI",""))))</f>
        <v/>
      </c>
      <c r="N1477" s="117">
        <f>IF($M1477="THU",$G1477,IF($M1477="CHI",$F1477,""))</f>
        <v/>
      </c>
      <c r="O1477" s="117">
        <f>IF(OR($M1477="",$M1477="NB"),"",IF($J1477&lt;&gt;"",TEXT($J1477,"00"),IFERROR(VLOOKUP(LEFT($N1477,4),LCTT_MAP!$A$7:$C$66,IF($M1477="THU",2,3),FALSE()),IFERROR(VLOOKUP(LEFT($N1477,3),LCTT_MAP!$A$7:$C$66,IF($M1477="THU",2,3),FALSE()),IFERROR(VLOOKUP(LEFT($N1477,2),LCTT_MAP!$A$7:$C$66,IF($M1477="THU",2,3),FALSE()),IFERROR(VLOOKUP(LEFT($N1477,1),LCTT_MAP!$A$7:$C$66,IF($M1477="THU",2,3),FALSE()),IF($M1477="THU","06","07")))))))</f>
        <v/>
      </c>
      <c r="P1477" s="117">
        <f>P1476+IF(AND($H1477&lt;&gt;"",OR(LEFT($F1477,LEN(SC_TK))=SC_TK,LEFT($G1477,LEN(SC_TK))=SC_TK)),1,0)</f>
        <v/>
      </c>
    </row>
    <row r="1478" ht="15" customHeight="1" s="78">
      <c r="A1478" s="95">
        <f>IF($H1478="","",ROW()-6)</f>
        <v/>
      </c>
      <c r="B1478" s="114" t="n"/>
      <c r="C1478" s="102" t="n"/>
      <c r="D1478" s="114" t="n"/>
      <c r="E1478" s="103" t="n"/>
      <c r="F1478" s="102" t="n"/>
      <c r="G1478" s="102" t="n"/>
      <c r="H1478" s="115" t="n"/>
      <c r="I1478" s="102" t="n"/>
      <c r="J1478" s="102" t="n"/>
      <c r="K1478" s="103" t="n"/>
      <c r="L1478" s="116">
        <f>IF($H1478="","",TRIM(IF(COUNTIF(DMTK!$A$7:$A$250,$F1478)=0,"TK Nợ sai! ","")&amp;IF(COUNTIF(DMTK!$A$7:$A$250,$G1478)=0,"TK Có sai! ","")&amp;IF(N($H1478)&lt;=0,"Tiền phải &gt; 0! ","")&amp;IF($B1478="","Thiếu ngày! ","")&amp;IF(AND(OR(LEFT($F1478,3)="131",LEFT($G1478,3)="131",LEFT($F1478,3)="331",LEFT($G1478,3)="331"),$I1478=""),"Thiếu Mã ĐT! ","")&amp;IF(AND($I1478&lt;&gt;"",COUNTIF(DM_DT!$A$7:$A$306,$I1478)=0),"Mã ĐT chưa khai báo! ","")))</f>
        <v/>
      </c>
      <c r="M1478" s="117">
        <f>IF($H1478="","",IF(AND(OR(LEFT($F1478,3)="111",LEFT($F1478,3)="112",LEFT($F1478,3)="113"),OR(LEFT($G1478,3)="111",LEFT($G1478,3)="112",LEFT($G1478,3)="113")),"NB",IF(OR(LEFT($F1478,3)="111",LEFT($F1478,3)="112",LEFT($F1478,3)="113"),"THU",IF(OR(LEFT($G1478,3)="111",LEFT($G1478,3)="112",LEFT($G1478,3)="113"),"CHI",""))))</f>
        <v/>
      </c>
      <c r="N1478" s="117">
        <f>IF($M1478="THU",$G1478,IF($M1478="CHI",$F1478,""))</f>
        <v/>
      </c>
      <c r="O1478" s="117">
        <f>IF(OR($M1478="",$M1478="NB"),"",IF($J1478&lt;&gt;"",TEXT($J1478,"00"),IFERROR(VLOOKUP(LEFT($N1478,4),LCTT_MAP!$A$7:$C$66,IF($M1478="THU",2,3),FALSE()),IFERROR(VLOOKUP(LEFT($N1478,3),LCTT_MAP!$A$7:$C$66,IF($M1478="THU",2,3),FALSE()),IFERROR(VLOOKUP(LEFT($N1478,2),LCTT_MAP!$A$7:$C$66,IF($M1478="THU",2,3),FALSE()),IFERROR(VLOOKUP(LEFT($N1478,1),LCTT_MAP!$A$7:$C$66,IF($M1478="THU",2,3),FALSE()),IF($M1478="THU","06","07")))))))</f>
        <v/>
      </c>
      <c r="P1478" s="117">
        <f>P1477+IF(AND($H1478&lt;&gt;"",OR(LEFT($F1478,LEN(SC_TK))=SC_TK,LEFT($G1478,LEN(SC_TK))=SC_TK)),1,0)</f>
        <v/>
      </c>
    </row>
    <row r="1479" ht="15" customHeight="1" s="78">
      <c r="A1479" s="95">
        <f>IF($H1479="","",ROW()-6)</f>
        <v/>
      </c>
      <c r="B1479" s="114" t="n"/>
      <c r="C1479" s="102" t="n"/>
      <c r="D1479" s="114" t="n"/>
      <c r="E1479" s="103" t="n"/>
      <c r="F1479" s="102" t="n"/>
      <c r="G1479" s="102" t="n"/>
      <c r="H1479" s="115" t="n"/>
      <c r="I1479" s="102" t="n"/>
      <c r="J1479" s="102" t="n"/>
      <c r="K1479" s="103" t="n"/>
      <c r="L1479" s="116">
        <f>IF($H1479="","",TRIM(IF(COUNTIF(DMTK!$A$7:$A$250,$F1479)=0,"TK Nợ sai! ","")&amp;IF(COUNTIF(DMTK!$A$7:$A$250,$G1479)=0,"TK Có sai! ","")&amp;IF(N($H1479)&lt;=0,"Tiền phải &gt; 0! ","")&amp;IF($B1479="","Thiếu ngày! ","")&amp;IF(AND(OR(LEFT($F1479,3)="131",LEFT($G1479,3)="131",LEFT($F1479,3)="331",LEFT($G1479,3)="331"),$I1479=""),"Thiếu Mã ĐT! ","")&amp;IF(AND($I1479&lt;&gt;"",COUNTIF(DM_DT!$A$7:$A$306,$I1479)=0),"Mã ĐT chưa khai báo! ","")))</f>
        <v/>
      </c>
      <c r="M1479" s="117">
        <f>IF($H1479="","",IF(AND(OR(LEFT($F1479,3)="111",LEFT($F1479,3)="112",LEFT($F1479,3)="113"),OR(LEFT($G1479,3)="111",LEFT($G1479,3)="112",LEFT($G1479,3)="113")),"NB",IF(OR(LEFT($F1479,3)="111",LEFT($F1479,3)="112",LEFT($F1479,3)="113"),"THU",IF(OR(LEFT($G1479,3)="111",LEFT($G1479,3)="112",LEFT($G1479,3)="113"),"CHI",""))))</f>
        <v/>
      </c>
      <c r="N1479" s="117">
        <f>IF($M1479="THU",$G1479,IF($M1479="CHI",$F1479,""))</f>
        <v/>
      </c>
      <c r="O1479" s="117">
        <f>IF(OR($M1479="",$M1479="NB"),"",IF($J1479&lt;&gt;"",TEXT($J1479,"00"),IFERROR(VLOOKUP(LEFT($N1479,4),LCTT_MAP!$A$7:$C$66,IF($M1479="THU",2,3),FALSE()),IFERROR(VLOOKUP(LEFT($N1479,3),LCTT_MAP!$A$7:$C$66,IF($M1479="THU",2,3),FALSE()),IFERROR(VLOOKUP(LEFT($N1479,2),LCTT_MAP!$A$7:$C$66,IF($M1479="THU",2,3),FALSE()),IFERROR(VLOOKUP(LEFT($N1479,1),LCTT_MAP!$A$7:$C$66,IF($M1479="THU",2,3),FALSE()),IF($M1479="THU","06","07")))))))</f>
        <v/>
      </c>
      <c r="P1479" s="117">
        <f>P1478+IF(AND($H1479&lt;&gt;"",OR(LEFT($F1479,LEN(SC_TK))=SC_TK,LEFT($G1479,LEN(SC_TK))=SC_TK)),1,0)</f>
        <v/>
      </c>
    </row>
    <row r="1480" ht="15" customHeight="1" s="78">
      <c r="A1480" s="95">
        <f>IF($H1480="","",ROW()-6)</f>
        <v/>
      </c>
      <c r="B1480" s="114" t="n"/>
      <c r="C1480" s="102" t="n"/>
      <c r="D1480" s="114" t="n"/>
      <c r="E1480" s="103" t="n"/>
      <c r="F1480" s="102" t="n"/>
      <c r="G1480" s="102" t="n"/>
      <c r="H1480" s="115" t="n"/>
      <c r="I1480" s="102" t="n"/>
      <c r="J1480" s="102" t="n"/>
      <c r="K1480" s="103" t="n"/>
      <c r="L1480" s="116">
        <f>IF($H1480="","",TRIM(IF(COUNTIF(DMTK!$A$7:$A$250,$F1480)=0,"TK Nợ sai! ","")&amp;IF(COUNTIF(DMTK!$A$7:$A$250,$G1480)=0,"TK Có sai! ","")&amp;IF(N($H1480)&lt;=0,"Tiền phải &gt; 0! ","")&amp;IF($B1480="","Thiếu ngày! ","")&amp;IF(AND(OR(LEFT($F1480,3)="131",LEFT($G1480,3)="131",LEFT($F1480,3)="331",LEFT($G1480,3)="331"),$I1480=""),"Thiếu Mã ĐT! ","")&amp;IF(AND($I1480&lt;&gt;"",COUNTIF(DM_DT!$A$7:$A$306,$I1480)=0),"Mã ĐT chưa khai báo! ","")))</f>
        <v/>
      </c>
      <c r="M1480" s="117">
        <f>IF($H1480="","",IF(AND(OR(LEFT($F1480,3)="111",LEFT($F1480,3)="112",LEFT($F1480,3)="113"),OR(LEFT($G1480,3)="111",LEFT($G1480,3)="112",LEFT($G1480,3)="113")),"NB",IF(OR(LEFT($F1480,3)="111",LEFT($F1480,3)="112",LEFT($F1480,3)="113"),"THU",IF(OR(LEFT($G1480,3)="111",LEFT($G1480,3)="112",LEFT($G1480,3)="113"),"CHI",""))))</f>
        <v/>
      </c>
      <c r="N1480" s="117">
        <f>IF($M1480="THU",$G1480,IF($M1480="CHI",$F1480,""))</f>
        <v/>
      </c>
      <c r="O1480" s="117">
        <f>IF(OR($M1480="",$M1480="NB"),"",IF($J1480&lt;&gt;"",TEXT($J1480,"00"),IFERROR(VLOOKUP(LEFT($N1480,4),LCTT_MAP!$A$7:$C$66,IF($M1480="THU",2,3),FALSE()),IFERROR(VLOOKUP(LEFT($N1480,3),LCTT_MAP!$A$7:$C$66,IF($M1480="THU",2,3),FALSE()),IFERROR(VLOOKUP(LEFT($N1480,2),LCTT_MAP!$A$7:$C$66,IF($M1480="THU",2,3),FALSE()),IFERROR(VLOOKUP(LEFT($N1480,1),LCTT_MAP!$A$7:$C$66,IF($M1480="THU",2,3),FALSE()),IF($M1480="THU","06","07")))))))</f>
        <v/>
      </c>
      <c r="P1480" s="117">
        <f>P1479+IF(AND($H1480&lt;&gt;"",OR(LEFT($F1480,LEN(SC_TK))=SC_TK,LEFT($G1480,LEN(SC_TK))=SC_TK)),1,0)</f>
        <v/>
      </c>
    </row>
    <row r="1481" ht="15" customHeight="1" s="78">
      <c r="A1481" s="95">
        <f>IF($H1481="","",ROW()-6)</f>
        <v/>
      </c>
      <c r="B1481" s="114" t="n"/>
      <c r="C1481" s="102" t="n"/>
      <c r="D1481" s="114" t="n"/>
      <c r="E1481" s="103" t="n"/>
      <c r="F1481" s="102" t="n"/>
      <c r="G1481" s="102" t="n"/>
      <c r="H1481" s="115" t="n"/>
      <c r="I1481" s="102" t="n"/>
      <c r="J1481" s="102" t="n"/>
      <c r="K1481" s="103" t="n"/>
      <c r="L1481" s="116">
        <f>IF($H1481="","",TRIM(IF(COUNTIF(DMTK!$A$7:$A$250,$F1481)=0,"TK Nợ sai! ","")&amp;IF(COUNTIF(DMTK!$A$7:$A$250,$G1481)=0,"TK Có sai! ","")&amp;IF(N($H1481)&lt;=0,"Tiền phải &gt; 0! ","")&amp;IF($B1481="","Thiếu ngày! ","")&amp;IF(AND(OR(LEFT($F1481,3)="131",LEFT($G1481,3)="131",LEFT($F1481,3)="331",LEFT($G1481,3)="331"),$I1481=""),"Thiếu Mã ĐT! ","")&amp;IF(AND($I1481&lt;&gt;"",COUNTIF(DM_DT!$A$7:$A$306,$I1481)=0),"Mã ĐT chưa khai báo! ","")))</f>
        <v/>
      </c>
      <c r="M1481" s="117">
        <f>IF($H1481="","",IF(AND(OR(LEFT($F1481,3)="111",LEFT($F1481,3)="112",LEFT($F1481,3)="113"),OR(LEFT($G1481,3)="111",LEFT($G1481,3)="112",LEFT($G1481,3)="113")),"NB",IF(OR(LEFT($F1481,3)="111",LEFT($F1481,3)="112",LEFT($F1481,3)="113"),"THU",IF(OR(LEFT($G1481,3)="111",LEFT($G1481,3)="112",LEFT($G1481,3)="113"),"CHI",""))))</f>
        <v/>
      </c>
      <c r="N1481" s="117">
        <f>IF($M1481="THU",$G1481,IF($M1481="CHI",$F1481,""))</f>
        <v/>
      </c>
      <c r="O1481" s="117">
        <f>IF(OR($M1481="",$M1481="NB"),"",IF($J1481&lt;&gt;"",TEXT($J1481,"00"),IFERROR(VLOOKUP(LEFT($N1481,4),LCTT_MAP!$A$7:$C$66,IF($M1481="THU",2,3),FALSE()),IFERROR(VLOOKUP(LEFT($N1481,3),LCTT_MAP!$A$7:$C$66,IF($M1481="THU",2,3),FALSE()),IFERROR(VLOOKUP(LEFT($N1481,2),LCTT_MAP!$A$7:$C$66,IF($M1481="THU",2,3),FALSE()),IFERROR(VLOOKUP(LEFT($N1481,1),LCTT_MAP!$A$7:$C$66,IF($M1481="THU",2,3),FALSE()),IF($M1481="THU","06","07")))))))</f>
        <v/>
      </c>
      <c r="P1481" s="117">
        <f>P1480+IF(AND($H1481&lt;&gt;"",OR(LEFT($F1481,LEN(SC_TK))=SC_TK,LEFT($G1481,LEN(SC_TK))=SC_TK)),1,0)</f>
        <v/>
      </c>
    </row>
    <row r="1482" ht="15" customHeight="1" s="78">
      <c r="A1482" s="95">
        <f>IF($H1482="","",ROW()-6)</f>
        <v/>
      </c>
      <c r="B1482" s="114" t="n"/>
      <c r="C1482" s="102" t="n"/>
      <c r="D1482" s="114" t="n"/>
      <c r="E1482" s="103" t="n"/>
      <c r="F1482" s="102" t="n"/>
      <c r="G1482" s="102" t="n"/>
      <c r="H1482" s="115" t="n"/>
      <c r="I1482" s="102" t="n"/>
      <c r="J1482" s="102" t="n"/>
      <c r="K1482" s="103" t="n"/>
      <c r="L1482" s="116">
        <f>IF($H1482="","",TRIM(IF(COUNTIF(DMTK!$A$7:$A$250,$F1482)=0,"TK Nợ sai! ","")&amp;IF(COUNTIF(DMTK!$A$7:$A$250,$G1482)=0,"TK Có sai! ","")&amp;IF(N($H1482)&lt;=0,"Tiền phải &gt; 0! ","")&amp;IF($B1482="","Thiếu ngày! ","")&amp;IF(AND(OR(LEFT($F1482,3)="131",LEFT($G1482,3)="131",LEFT($F1482,3)="331",LEFT($G1482,3)="331"),$I1482=""),"Thiếu Mã ĐT! ","")&amp;IF(AND($I1482&lt;&gt;"",COUNTIF(DM_DT!$A$7:$A$306,$I1482)=0),"Mã ĐT chưa khai báo! ","")))</f>
        <v/>
      </c>
      <c r="M1482" s="117">
        <f>IF($H1482="","",IF(AND(OR(LEFT($F1482,3)="111",LEFT($F1482,3)="112",LEFT($F1482,3)="113"),OR(LEFT($G1482,3)="111",LEFT($G1482,3)="112",LEFT($G1482,3)="113")),"NB",IF(OR(LEFT($F1482,3)="111",LEFT($F1482,3)="112",LEFT($F1482,3)="113"),"THU",IF(OR(LEFT($G1482,3)="111",LEFT($G1482,3)="112",LEFT($G1482,3)="113"),"CHI",""))))</f>
        <v/>
      </c>
      <c r="N1482" s="117">
        <f>IF($M1482="THU",$G1482,IF($M1482="CHI",$F1482,""))</f>
        <v/>
      </c>
      <c r="O1482" s="117">
        <f>IF(OR($M1482="",$M1482="NB"),"",IF($J1482&lt;&gt;"",TEXT($J1482,"00"),IFERROR(VLOOKUP(LEFT($N1482,4),LCTT_MAP!$A$7:$C$66,IF($M1482="THU",2,3),FALSE()),IFERROR(VLOOKUP(LEFT($N1482,3),LCTT_MAP!$A$7:$C$66,IF($M1482="THU",2,3),FALSE()),IFERROR(VLOOKUP(LEFT($N1482,2),LCTT_MAP!$A$7:$C$66,IF($M1482="THU",2,3),FALSE()),IFERROR(VLOOKUP(LEFT($N1482,1),LCTT_MAP!$A$7:$C$66,IF($M1482="THU",2,3),FALSE()),IF($M1482="THU","06","07")))))))</f>
        <v/>
      </c>
      <c r="P1482" s="117">
        <f>P1481+IF(AND($H1482&lt;&gt;"",OR(LEFT($F1482,LEN(SC_TK))=SC_TK,LEFT($G1482,LEN(SC_TK))=SC_TK)),1,0)</f>
        <v/>
      </c>
    </row>
    <row r="1483" ht="15" customHeight="1" s="78">
      <c r="A1483" s="95">
        <f>IF($H1483="","",ROW()-6)</f>
        <v/>
      </c>
      <c r="B1483" s="114" t="n"/>
      <c r="C1483" s="102" t="n"/>
      <c r="D1483" s="114" t="n"/>
      <c r="E1483" s="103" t="n"/>
      <c r="F1483" s="102" t="n"/>
      <c r="G1483" s="102" t="n"/>
      <c r="H1483" s="115" t="n"/>
      <c r="I1483" s="102" t="n"/>
      <c r="J1483" s="102" t="n"/>
      <c r="K1483" s="103" t="n"/>
      <c r="L1483" s="116">
        <f>IF($H1483="","",TRIM(IF(COUNTIF(DMTK!$A$7:$A$250,$F1483)=0,"TK Nợ sai! ","")&amp;IF(COUNTIF(DMTK!$A$7:$A$250,$G1483)=0,"TK Có sai! ","")&amp;IF(N($H1483)&lt;=0,"Tiền phải &gt; 0! ","")&amp;IF($B1483="","Thiếu ngày! ","")&amp;IF(AND(OR(LEFT($F1483,3)="131",LEFT($G1483,3)="131",LEFT($F1483,3)="331",LEFT($G1483,3)="331"),$I1483=""),"Thiếu Mã ĐT! ","")&amp;IF(AND($I1483&lt;&gt;"",COUNTIF(DM_DT!$A$7:$A$306,$I1483)=0),"Mã ĐT chưa khai báo! ","")))</f>
        <v/>
      </c>
      <c r="M1483" s="117">
        <f>IF($H1483="","",IF(AND(OR(LEFT($F1483,3)="111",LEFT($F1483,3)="112",LEFT($F1483,3)="113"),OR(LEFT($G1483,3)="111",LEFT($G1483,3)="112",LEFT($G1483,3)="113")),"NB",IF(OR(LEFT($F1483,3)="111",LEFT($F1483,3)="112",LEFT($F1483,3)="113"),"THU",IF(OR(LEFT($G1483,3)="111",LEFT($G1483,3)="112",LEFT($G1483,3)="113"),"CHI",""))))</f>
        <v/>
      </c>
      <c r="N1483" s="117">
        <f>IF($M1483="THU",$G1483,IF($M1483="CHI",$F1483,""))</f>
        <v/>
      </c>
      <c r="O1483" s="117">
        <f>IF(OR($M1483="",$M1483="NB"),"",IF($J1483&lt;&gt;"",TEXT($J1483,"00"),IFERROR(VLOOKUP(LEFT($N1483,4),LCTT_MAP!$A$7:$C$66,IF($M1483="THU",2,3),FALSE()),IFERROR(VLOOKUP(LEFT($N1483,3),LCTT_MAP!$A$7:$C$66,IF($M1483="THU",2,3),FALSE()),IFERROR(VLOOKUP(LEFT($N1483,2),LCTT_MAP!$A$7:$C$66,IF($M1483="THU",2,3),FALSE()),IFERROR(VLOOKUP(LEFT($N1483,1),LCTT_MAP!$A$7:$C$66,IF($M1483="THU",2,3),FALSE()),IF($M1483="THU","06","07")))))))</f>
        <v/>
      </c>
      <c r="P1483" s="117">
        <f>P1482+IF(AND($H1483&lt;&gt;"",OR(LEFT($F1483,LEN(SC_TK))=SC_TK,LEFT($G1483,LEN(SC_TK))=SC_TK)),1,0)</f>
        <v/>
      </c>
    </row>
    <row r="1484" ht="15" customHeight="1" s="78">
      <c r="A1484" s="95">
        <f>IF($H1484="","",ROW()-6)</f>
        <v/>
      </c>
      <c r="B1484" s="114" t="n"/>
      <c r="C1484" s="102" t="n"/>
      <c r="D1484" s="114" t="n"/>
      <c r="E1484" s="103" t="n"/>
      <c r="F1484" s="102" t="n"/>
      <c r="G1484" s="102" t="n"/>
      <c r="H1484" s="115" t="n"/>
      <c r="I1484" s="102" t="n"/>
      <c r="J1484" s="102" t="n"/>
      <c r="K1484" s="103" t="n"/>
      <c r="L1484" s="116">
        <f>IF($H1484="","",TRIM(IF(COUNTIF(DMTK!$A$7:$A$250,$F1484)=0,"TK Nợ sai! ","")&amp;IF(COUNTIF(DMTK!$A$7:$A$250,$G1484)=0,"TK Có sai! ","")&amp;IF(N($H1484)&lt;=0,"Tiền phải &gt; 0! ","")&amp;IF($B1484="","Thiếu ngày! ","")&amp;IF(AND(OR(LEFT($F1484,3)="131",LEFT($G1484,3)="131",LEFT($F1484,3)="331",LEFT($G1484,3)="331"),$I1484=""),"Thiếu Mã ĐT! ","")&amp;IF(AND($I1484&lt;&gt;"",COUNTIF(DM_DT!$A$7:$A$306,$I1484)=0),"Mã ĐT chưa khai báo! ","")))</f>
        <v/>
      </c>
      <c r="M1484" s="117">
        <f>IF($H1484="","",IF(AND(OR(LEFT($F1484,3)="111",LEFT($F1484,3)="112",LEFT($F1484,3)="113"),OR(LEFT($G1484,3)="111",LEFT($G1484,3)="112",LEFT($G1484,3)="113")),"NB",IF(OR(LEFT($F1484,3)="111",LEFT($F1484,3)="112",LEFT($F1484,3)="113"),"THU",IF(OR(LEFT($G1484,3)="111",LEFT($G1484,3)="112",LEFT($G1484,3)="113"),"CHI",""))))</f>
        <v/>
      </c>
      <c r="N1484" s="117">
        <f>IF($M1484="THU",$G1484,IF($M1484="CHI",$F1484,""))</f>
        <v/>
      </c>
      <c r="O1484" s="117">
        <f>IF(OR($M1484="",$M1484="NB"),"",IF($J1484&lt;&gt;"",TEXT($J1484,"00"),IFERROR(VLOOKUP(LEFT($N1484,4),LCTT_MAP!$A$7:$C$66,IF($M1484="THU",2,3),FALSE()),IFERROR(VLOOKUP(LEFT($N1484,3),LCTT_MAP!$A$7:$C$66,IF($M1484="THU",2,3),FALSE()),IFERROR(VLOOKUP(LEFT($N1484,2),LCTT_MAP!$A$7:$C$66,IF($M1484="THU",2,3),FALSE()),IFERROR(VLOOKUP(LEFT($N1484,1),LCTT_MAP!$A$7:$C$66,IF($M1484="THU",2,3),FALSE()),IF($M1484="THU","06","07")))))))</f>
        <v/>
      </c>
      <c r="P1484" s="117">
        <f>P1483+IF(AND($H1484&lt;&gt;"",OR(LEFT($F1484,LEN(SC_TK))=SC_TK,LEFT($G1484,LEN(SC_TK))=SC_TK)),1,0)</f>
        <v/>
      </c>
    </row>
    <row r="1485" ht="15" customHeight="1" s="78">
      <c r="A1485" s="95">
        <f>IF($H1485="","",ROW()-6)</f>
        <v/>
      </c>
      <c r="B1485" s="114" t="n"/>
      <c r="C1485" s="102" t="n"/>
      <c r="D1485" s="114" t="n"/>
      <c r="E1485" s="103" t="n"/>
      <c r="F1485" s="102" t="n"/>
      <c r="G1485" s="102" t="n"/>
      <c r="H1485" s="115" t="n"/>
      <c r="I1485" s="102" t="n"/>
      <c r="J1485" s="102" t="n"/>
      <c r="K1485" s="103" t="n"/>
      <c r="L1485" s="116">
        <f>IF($H1485="","",TRIM(IF(COUNTIF(DMTK!$A$7:$A$250,$F1485)=0,"TK Nợ sai! ","")&amp;IF(COUNTIF(DMTK!$A$7:$A$250,$G1485)=0,"TK Có sai! ","")&amp;IF(N($H1485)&lt;=0,"Tiền phải &gt; 0! ","")&amp;IF($B1485="","Thiếu ngày! ","")&amp;IF(AND(OR(LEFT($F1485,3)="131",LEFT($G1485,3)="131",LEFT($F1485,3)="331",LEFT($G1485,3)="331"),$I1485=""),"Thiếu Mã ĐT! ","")&amp;IF(AND($I1485&lt;&gt;"",COUNTIF(DM_DT!$A$7:$A$306,$I1485)=0),"Mã ĐT chưa khai báo! ","")))</f>
        <v/>
      </c>
      <c r="M1485" s="117">
        <f>IF($H1485="","",IF(AND(OR(LEFT($F1485,3)="111",LEFT($F1485,3)="112",LEFT($F1485,3)="113"),OR(LEFT($G1485,3)="111",LEFT($G1485,3)="112",LEFT($G1485,3)="113")),"NB",IF(OR(LEFT($F1485,3)="111",LEFT($F1485,3)="112",LEFT($F1485,3)="113"),"THU",IF(OR(LEFT($G1485,3)="111",LEFT($G1485,3)="112",LEFT($G1485,3)="113"),"CHI",""))))</f>
        <v/>
      </c>
      <c r="N1485" s="117">
        <f>IF($M1485="THU",$G1485,IF($M1485="CHI",$F1485,""))</f>
        <v/>
      </c>
      <c r="O1485" s="117">
        <f>IF(OR($M1485="",$M1485="NB"),"",IF($J1485&lt;&gt;"",TEXT($J1485,"00"),IFERROR(VLOOKUP(LEFT($N1485,4),LCTT_MAP!$A$7:$C$66,IF($M1485="THU",2,3),FALSE()),IFERROR(VLOOKUP(LEFT($N1485,3),LCTT_MAP!$A$7:$C$66,IF($M1485="THU",2,3),FALSE()),IFERROR(VLOOKUP(LEFT($N1485,2),LCTT_MAP!$A$7:$C$66,IF($M1485="THU",2,3),FALSE()),IFERROR(VLOOKUP(LEFT($N1485,1),LCTT_MAP!$A$7:$C$66,IF($M1485="THU",2,3),FALSE()),IF($M1485="THU","06","07")))))))</f>
        <v/>
      </c>
      <c r="P1485" s="117">
        <f>P1484+IF(AND($H1485&lt;&gt;"",OR(LEFT($F1485,LEN(SC_TK))=SC_TK,LEFT($G1485,LEN(SC_TK))=SC_TK)),1,0)</f>
        <v/>
      </c>
    </row>
    <row r="1486" ht="15" customHeight="1" s="78">
      <c r="A1486" s="95">
        <f>IF($H1486="","",ROW()-6)</f>
        <v/>
      </c>
      <c r="B1486" s="114" t="n"/>
      <c r="C1486" s="102" t="n"/>
      <c r="D1486" s="114" t="n"/>
      <c r="E1486" s="103" t="n"/>
      <c r="F1486" s="102" t="n"/>
      <c r="G1486" s="102" t="n"/>
      <c r="H1486" s="115" t="n"/>
      <c r="I1486" s="102" t="n"/>
      <c r="J1486" s="102" t="n"/>
      <c r="K1486" s="103" t="n"/>
      <c r="L1486" s="116">
        <f>IF($H1486="","",TRIM(IF(COUNTIF(DMTK!$A$7:$A$250,$F1486)=0,"TK Nợ sai! ","")&amp;IF(COUNTIF(DMTK!$A$7:$A$250,$G1486)=0,"TK Có sai! ","")&amp;IF(N($H1486)&lt;=0,"Tiền phải &gt; 0! ","")&amp;IF($B1486="","Thiếu ngày! ","")&amp;IF(AND(OR(LEFT($F1486,3)="131",LEFT($G1486,3)="131",LEFT($F1486,3)="331",LEFT($G1486,3)="331"),$I1486=""),"Thiếu Mã ĐT! ","")&amp;IF(AND($I1486&lt;&gt;"",COUNTIF(DM_DT!$A$7:$A$306,$I1486)=0),"Mã ĐT chưa khai báo! ","")))</f>
        <v/>
      </c>
      <c r="M1486" s="117">
        <f>IF($H1486="","",IF(AND(OR(LEFT($F1486,3)="111",LEFT($F1486,3)="112",LEFT($F1486,3)="113"),OR(LEFT($G1486,3)="111",LEFT($G1486,3)="112",LEFT($G1486,3)="113")),"NB",IF(OR(LEFT($F1486,3)="111",LEFT($F1486,3)="112",LEFT($F1486,3)="113"),"THU",IF(OR(LEFT($G1486,3)="111",LEFT($G1486,3)="112",LEFT($G1486,3)="113"),"CHI",""))))</f>
        <v/>
      </c>
      <c r="N1486" s="117">
        <f>IF($M1486="THU",$G1486,IF($M1486="CHI",$F1486,""))</f>
        <v/>
      </c>
      <c r="O1486" s="117">
        <f>IF(OR($M1486="",$M1486="NB"),"",IF($J1486&lt;&gt;"",TEXT($J1486,"00"),IFERROR(VLOOKUP(LEFT($N1486,4),LCTT_MAP!$A$7:$C$66,IF($M1486="THU",2,3),FALSE()),IFERROR(VLOOKUP(LEFT($N1486,3),LCTT_MAP!$A$7:$C$66,IF($M1486="THU",2,3),FALSE()),IFERROR(VLOOKUP(LEFT($N1486,2),LCTT_MAP!$A$7:$C$66,IF($M1486="THU",2,3),FALSE()),IFERROR(VLOOKUP(LEFT($N1486,1),LCTT_MAP!$A$7:$C$66,IF($M1486="THU",2,3),FALSE()),IF($M1486="THU","06","07")))))))</f>
        <v/>
      </c>
      <c r="P1486" s="117">
        <f>P1485+IF(AND($H1486&lt;&gt;"",OR(LEFT($F1486,LEN(SC_TK))=SC_TK,LEFT($G1486,LEN(SC_TK))=SC_TK)),1,0)</f>
        <v/>
      </c>
    </row>
    <row r="1487" ht="15" customHeight="1" s="78">
      <c r="A1487" s="95">
        <f>IF($H1487="","",ROW()-6)</f>
        <v/>
      </c>
      <c r="B1487" s="114" t="n"/>
      <c r="C1487" s="102" t="n"/>
      <c r="D1487" s="114" t="n"/>
      <c r="E1487" s="103" t="n"/>
      <c r="F1487" s="102" t="n"/>
      <c r="G1487" s="102" t="n"/>
      <c r="H1487" s="115" t="n"/>
      <c r="I1487" s="102" t="n"/>
      <c r="J1487" s="102" t="n"/>
      <c r="K1487" s="103" t="n"/>
      <c r="L1487" s="116">
        <f>IF($H1487="","",TRIM(IF(COUNTIF(DMTK!$A$7:$A$250,$F1487)=0,"TK Nợ sai! ","")&amp;IF(COUNTIF(DMTK!$A$7:$A$250,$G1487)=0,"TK Có sai! ","")&amp;IF(N($H1487)&lt;=0,"Tiền phải &gt; 0! ","")&amp;IF($B1487="","Thiếu ngày! ","")&amp;IF(AND(OR(LEFT($F1487,3)="131",LEFT($G1487,3)="131",LEFT($F1487,3)="331",LEFT($G1487,3)="331"),$I1487=""),"Thiếu Mã ĐT! ","")&amp;IF(AND($I1487&lt;&gt;"",COUNTIF(DM_DT!$A$7:$A$306,$I1487)=0),"Mã ĐT chưa khai báo! ","")))</f>
        <v/>
      </c>
      <c r="M1487" s="117">
        <f>IF($H1487="","",IF(AND(OR(LEFT($F1487,3)="111",LEFT($F1487,3)="112",LEFT($F1487,3)="113"),OR(LEFT($G1487,3)="111",LEFT($G1487,3)="112",LEFT($G1487,3)="113")),"NB",IF(OR(LEFT($F1487,3)="111",LEFT($F1487,3)="112",LEFT($F1487,3)="113"),"THU",IF(OR(LEFT($G1487,3)="111",LEFT($G1487,3)="112",LEFT($G1487,3)="113"),"CHI",""))))</f>
        <v/>
      </c>
      <c r="N1487" s="117">
        <f>IF($M1487="THU",$G1487,IF($M1487="CHI",$F1487,""))</f>
        <v/>
      </c>
      <c r="O1487" s="117">
        <f>IF(OR($M1487="",$M1487="NB"),"",IF($J1487&lt;&gt;"",TEXT($J1487,"00"),IFERROR(VLOOKUP(LEFT($N1487,4),LCTT_MAP!$A$7:$C$66,IF($M1487="THU",2,3),FALSE()),IFERROR(VLOOKUP(LEFT($N1487,3),LCTT_MAP!$A$7:$C$66,IF($M1487="THU",2,3),FALSE()),IFERROR(VLOOKUP(LEFT($N1487,2),LCTT_MAP!$A$7:$C$66,IF($M1487="THU",2,3),FALSE()),IFERROR(VLOOKUP(LEFT($N1487,1),LCTT_MAP!$A$7:$C$66,IF($M1487="THU",2,3),FALSE()),IF($M1487="THU","06","07")))))))</f>
        <v/>
      </c>
      <c r="P1487" s="117">
        <f>P1486+IF(AND($H1487&lt;&gt;"",OR(LEFT($F1487,LEN(SC_TK))=SC_TK,LEFT($G1487,LEN(SC_TK))=SC_TK)),1,0)</f>
        <v/>
      </c>
    </row>
    <row r="1488" ht="15" customHeight="1" s="78">
      <c r="A1488" s="95">
        <f>IF($H1488="","",ROW()-6)</f>
        <v/>
      </c>
      <c r="B1488" s="114" t="n"/>
      <c r="C1488" s="102" t="n"/>
      <c r="D1488" s="114" t="n"/>
      <c r="E1488" s="103" t="n"/>
      <c r="F1488" s="102" t="n"/>
      <c r="G1488" s="102" t="n"/>
      <c r="H1488" s="115" t="n"/>
      <c r="I1488" s="102" t="n"/>
      <c r="J1488" s="102" t="n"/>
      <c r="K1488" s="103" t="n"/>
      <c r="L1488" s="116">
        <f>IF($H1488="","",TRIM(IF(COUNTIF(DMTK!$A$7:$A$250,$F1488)=0,"TK Nợ sai! ","")&amp;IF(COUNTIF(DMTK!$A$7:$A$250,$G1488)=0,"TK Có sai! ","")&amp;IF(N($H1488)&lt;=0,"Tiền phải &gt; 0! ","")&amp;IF($B1488="","Thiếu ngày! ","")&amp;IF(AND(OR(LEFT($F1488,3)="131",LEFT($G1488,3)="131",LEFT($F1488,3)="331",LEFT($G1488,3)="331"),$I1488=""),"Thiếu Mã ĐT! ","")&amp;IF(AND($I1488&lt;&gt;"",COUNTIF(DM_DT!$A$7:$A$306,$I1488)=0),"Mã ĐT chưa khai báo! ","")))</f>
        <v/>
      </c>
      <c r="M1488" s="117">
        <f>IF($H1488="","",IF(AND(OR(LEFT($F1488,3)="111",LEFT($F1488,3)="112",LEFT($F1488,3)="113"),OR(LEFT($G1488,3)="111",LEFT($G1488,3)="112",LEFT($G1488,3)="113")),"NB",IF(OR(LEFT($F1488,3)="111",LEFT($F1488,3)="112",LEFT($F1488,3)="113"),"THU",IF(OR(LEFT($G1488,3)="111",LEFT($G1488,3)="112",LEFT($G1488,3)="113"),"CHI",""))))</f>
        <v/>
      </c>
      <c r="N1488" s="117">
        <f>IF($M1488="THU",$G1488,IF($M1488="CHI",$F1488,""))</f>
        <v/>
      </c>
      <c r="O1488" s="117">
        <f>IF(OR($M1488="",$M1488="NB"),"",IF($J1488&lt;&gt;"",TEXT($J1488,"00"),IFERROR(VLOOKUP(LEFT($N1488,4),LCTT_MAP!$A$7:$C$66,IF($M1488="THU",2,3),FALSE()),IFERROR(VLOOKUP(LEFT($N1488,3),LCTT_MAP!$A$7:$C$66,IF($M1488="THU",2,3),FALSE()),IFERROR(VLOOKUP(LEFT($N1488,2),LCTT_MAP!$A$7:$C$66,IF($M1488="THU",2,3),FALSE()),IFERROR(VLOOKUP(LEFT($N1488,1),LCTT_MAP!$A$7:$C$66,IF($M1488="THU",2,3),FALSE()),IF($M1488="THU","06","07")))))))</f>
        <v/>
      </c>
      <c r="P1488" s="117">
        <f>P1487+IF(AND($H1488&lt;&gt;"",OR(LEFT($F1488,LEN(SC_TK))=SC_TK,LEFT($G1488,LEN(SC_TK))=SC_TK)),1,0)</f>
        <v/>
      </c>
    </row>
    <row r="1489" ht="15" customHeight="1" s="78">
      <c r="A1489" s="95">
        <f>IF($H1489="","",ROW()-6)</f>
        <v/>
      </c>
      <c r="B1489" s="114" t="n"/>
      <c r="C1489" s="102" t="n"/>
      <c r="D1489" s="114" t="n"/>
      <c r="E1489" s="103" t="n"/>
      <c r="F1489" s="102" t="n"/>
      <c r="G1489" s="102" t="n"/>
      <c r="H1489" s="115" t="n"/>
      <c r="I1489" s="102" t="n"/>
      <c r="J1489" s="102" t="n"/>
      <c r="K1489" s="103" t="n"/>
      <c r="L1489" s="116">
        <f>IF($H1489="","",TRIM(IF(COUNTIF(DMTK!$A$7:$A$250,$F1489)=0,"TK Nợ sai! ","")&amp;IF(COUNTIF(DMTK!$A$7:$A$250,$G1489)=0,"TK Có sai! ","")&amp;IF(N($H1489)&lt;=0,"Tiền phải &gt; 0! ","")&amp;IF($B1489="","Thiếu ngày! ","")&amp;IF(AND(OR(LEFT($F1489,3)="131",LEFT($G1489,3)="131",LEFT($F1489,3)="331",LEFT($G1489,3)="331"),$I1489=""),"Thiếu Mã ĐT! ","")&amp;IF(AND($I1489&lt;&gt;"",COUNTIF(DM_DT!$A$7:$A$306,$I1489)=0),"Mã ĐT chưa khai báo! ","")))</f>
        <v/>
      </c>
      <c r="M1489" s="117">
        <f>IF($H1489="","",IF(AND(OR(LEFT($F1489,3)="111",LEFT($F1489,3)="112",LEFT($F1489,3)="113"),OR(LEFT($G1489,3)="111",LEFT($G1489,3)="112",LEFT($G1489,3)="113")),"NB",IF(OR(LEFT($F1489,3)="111",LEFT($F1489,3)="112",LEFT($F1489,3)="113"),"THU",IF(OR(LEFT($G1489,3)="111",LEFT($G1489,3)="112",LEFT($G1489,3)="113"),"CHI",""))))</f>
        <v/>
      </c>
      <c r="N1489" s="117">
        <f>IF($M1489="THU",$G1489,IF($M1489="CHI",$F1489,""))</f>
        <v/>
      </c>
      <c r="O1489" s="117">
        <f>IF(OR($M1489="",$M1489="NB"),"",IF($J1489&lt;&gt;"",TEXT($J1489,"00"),IFERROR(VLOOKUP(LEFT($N1489,4),LCTT_MAP!$A$7:$C$66,IF($M1489="THU",2,3),FALSE()),IFERROR(VLOOKUP(LEFT($N1489,3),LCTT_MAP!$A$7:$C$66,IF($M1489="THU",2,3),FALSE()),IFERROR(VLOOKUP(LEFT($N1489,2),LCTT_MAP!$A$7:$C$66,IF($M1489="THU",2,3),FALSE()),IFERROR(VLOOKUP(LEFT($N1489,1),LCTT_MAP!$A$7:$C$66,IF($M1489="THU",2,3),FALSE()),IF($M1489="THU","06","07")))))))</f>
        <v/>
      </c>
      <c r="P1489" s="117">
        <f>P1488+IF(AND($H1489&lt;&gt;"",OR(LEFT($F1489,LEN(SC_TK))=SC_TK,LEFT($G1489,LEN(SC_TK))=SC_TK)),1,0)</f>
        <v/>
      </c>
    </row>
    <row r="1490" ht="15" customHeight="1" s="78">
      <c r="A1490" s="95">
        <f>IF($H1490="","",ROW()-6)</f>
        <v/>
      </c>
      <c r="B1490" s="114" t="n"/>
      <c r="C1490" s="102" t="n"/>
      <c r="D1490" s="114" t="n"/>
      <c r="E1490" s="103" t="n"/>
      <c r="F1490" s="102" t="n"/>
      <c r="G1490" s="102" t="n"/>
      <c r="H1490" s="115" t="n"/>
      <c r="I1490" s="102" t="n"/>
      <c r="J1490" s="102" t="n"/>
      <c r="K1490" s="103" t="n"/>
      <c r="L1490" s="116">
        <f>IF($H1490="","",TRIM(IF(COUNTIF(DMTK!$A$7:$A$250,$F1490)=0,"TK Nợ sai! ","")&amp;IF(COUNTIF(DMTK!$A$7:$A$250,$G1490)=0,"TK Có sai! ","")&amp;IF(N($H1490)&lt;=0,"Tiền phải &gt; 0! ","")&amp;IF($B1490="","Thiếu ngày! ","")&amp;IF(AND(OR(LEFT($F1490,3)="131",LEFT($G1490,3)="131",LEFT($F1490,3)="331",LEFT($G1490,3)="331"),$I1490=""),"Thiếu Mã ĐT! ","")&amp;IF(AND($I1490&lt;&gt;"",COUNTIF(DM_DT!$A$7:$A$306,$I1490)=0),"Mã ĐT chưa khai báo! ","")))</f>
        <v/>
      </c>
      <c r="M1490" s="117">
        <f>IF($H1490="","",IF(AND(OR(LEFT($F1490,3)="111",LEFT($F1490,3)="112",LEFT($F1490,3)="113"),OR(LEFT($G1490,3)="111",LEFT($G1490,3)="112",LEFT($G1490,3)="113")),"NB",IF(OR(LEFT($F1490,3)="111",LEFT($F1490,3)="112",LEFT($F1490,3)="113"),"THU",IF(OR(LEFT($G1490,3)="111",LEFT($G1490,3)="112",LEFT($G1490,3)="113"),"CHI",""))))</f>
        <v/>
      </c>
      <c r="N1490" s="117">
        <f>IF($M1490="THU",$G1490,IF($M1490="CHI",$F1490,""))</f>
        <v/>
      </c>
      <c r="O1490" s="117">
        <f>IF(OR($M1490="",$M1490="NB"),"",IF($J1490&lt;&gt;"",TEXT($J1490,"00"),IFERROR(VLOOKUP(LEFT($N1490,4),LCTT_MAP!$A$7:$C$66,IF($M1490="THU",2,3),FALSE()),IFERROR(VLOOKUP(LEFT($N1490,3),LCTT_MAP!$A$7:$C$66,IF($M1490="THU",2,3),FALSE()),IFERROR(VLOOKUP(LEFT($N1490,2),LCTT_MAP!$A$7:$C$66,IF($M1490="THU",2,3),FALSE()),IFERROR(VLOOKUP(LEFT($N1490,1),LCTT_MAP!$A$7:$C$66,IF($M1490="THU",2,3),FALSE()),IF($M1490="THU","06","07")))))))</f>
        <v/>
      </c>
      <c r="P1490" s="117">
        <f>P1489+IF(AND($H1490&lt;&gt;"",OR(LEFT($F1490,LEN(SC_TK))=SC_TK,LEFT($G1490,LEN(SC_TK))=SC_TK)),1,0)</f>
        <v/>
      </c>
    </row>
    <row r="1491" ht="15" customHeight="1" s="78">
      <c r="A1491" s="95">
        <f>IF($H1491="","",ROW()-6)</f>
        <v/>
      </c>
      <c r="B1491" s="114" t="n"/>
      <c r="C1491" s="102" t="n"/>
      <c r="D1491" s="114" t="n"/>
      <c r="E1491" s="103" t="n"/>
      <c r="F1491" s="102" t="n"/>
      <c r="G1491" s="102" t="n"/>
      <c r="H1491" s="115" t="n"/>
      <c r="I1491" s="102" t="n"/>
      <c r="J1491" s="102" t="n"/>
      <c r="K1491" s="103" t="n"/>
      <c r="L1491" s="116">
        <f>IF($H1491="","",TRIM(IF(COUNTIF(DMTK!$A$7:$A$250,$F1491)=0,"TK Nợ sai! ","")&amp;IF(COUNTIF(DMTK!$A$7:$A$250,$G1491)=0,"TK Có sai! ","")&amp;IF(N($H1491)&lt;=0,"Tiền phải &gt; 0! ","")&amp;IF($B1491="","Thiếu ngày! ","")&amp;IF(AND(OR(LEFT($F1491,3)="131",LEFT($G1491,3)="131",LEFT($F1491,3)="331",LEFT($G1491,3)="331"),$I1491=""),"Thiếu Mã ĐT! ","")&amp;IF(AND($I1491&lt;&gt;"",COUNTIF(DM_DT!$A$7:$A$306,$I1491)=0),"Mã ĐT chưa khai báo! ","")))</f>
        <v/>
      </c>
      <c r="M1491" s="117">
        <f>IF($H1491="","",IF(AND(OR(LEFT($F1491,3)="111",LEFT($F1491,3)="112",LEFT($F1491,3)="113"),OR(LEFT($G1491,3)="111",LEFT($G1491,3)="112",LEFT($G1491,3)="113")),"NB",IF(OR(LEFT($F1491,3)="111",LEFT($F1491,3)="112",LEFT($F1491,3)="113"),"THU",IF(OR(LEFT($G1491,3)="111",LEFT($G1491,3)="112",LEFT($G1491,3)="113"),"CHI",""))))</f>
        <v/>
      </c>
      <c r="N1491" s="117">
        <f>IF($M1491="THU",$G1491,IF($M1491="CHI",$F1491,""))</f>
        <v/>
      </c>
      <c r="O1491" s="117">
        <f>IF(OR($M1491="",$M1491="NB"),"",IF($J1491&lt;&gt;"",TEXT($J1491,"00"),IFERROR(VLOOKUP(LEFT($N1491,4),LCTT_MAP!$A$7:$C$66,IF($M1491="THU",2,3),FALSE()),IFERROR(VLOOKUP(LEFT($N1491,3),LCTT_MAP!$A$7:$C$66,IF($M1491="THU",2,3),FALSE()),IFERROR(VLOOKUP(LEFT($N1491,2),LCTT_MAP!$A$7:$C$66,IF($M1491="THU",2,3),FALSE()),IFERROR(VLOOKUP(LEFT($N1491,1),LCTT_MAP!$A$7:$C$66,IF($M1491="THU",2,3),FALSE()),IF($M1491="THU","06","07")))))))</f>
        <v/>
      </c>
      <c r="P1491" s="117">
        <f>P1490+IF(AND($H1491&lt;&gt;"",OR(LEFT($F1491,LEN(SC_TK))=SC_TK,LEFT($G1491,LEN(SC_TK))=SC_TK)),1,0)</f>
        <v/>
      </c>
    </row>
    <row r="1492" ht="15" customHeight="1" s="78">
      <c r="A1492" s="95">
        <f>IF($H1492="","",ROW()-6)</f>
        <v/>
      </c>
      <c r="B1492" s="114" t="n"/>
      <c r="C1492" s="102" t="n"/>
      <c r="D1492" s="114" t="n"/>
      <c r="E1492" s="103" t="n"/>
      <c r="F1492" s="102" t="n"/>
      <c r="G1492" s="102" t="n"/>
      <c r="H1492" s="115" t="n"/>
      <c r="I1492" s="102" t="n"/>
      <c r="J1492" s="102" t="n"/>
      <c r="K1492" s="103" t="n"/>
      <c r="L1492" s="116">
        <f>IF($H1492="","",TRIM(IF(COUNTIF(DMTK!$A$7:$A$250,$F1492)=0,"TK Nợ sai! ","")&amp;IF(COUNTIF(DMTK!$A$7:$A$250,$G1492)=0,"TK Có sai! ","")&amp;IF(N($H1492)&lt;=0,"Tiền phải &gt; 0! ","")&amp;IF($B1492="","Thiếu ngày! ","")&amp;IF(AND(OR(LEFT($F1492,3)="131",LEFT($G1492,3)="131",LEFT($F1492,3)="331",LEFT($G1492,3)="331"),$I1492=""),"Thiếu Mã ĐT! ","")&amp;IF(AND($I1492&lt;&gt;"",COUNTIF(DM_DT!$A$7:$A$306,$I1492)=0),"Mã ĐT chưa khai báo! ","")))</f>
        <v/>
      </c>
      <c r="M1492" s="117">
        <f>IF($H1492="","",IF(AND(OR(LEFT($F1492,3)="111",LEFT($F1492,3)="112",LEFT($F1492,3)="113"),OR(LEFT($G1492,3)="111",LEFT($G1492,3)="112",LEFT($G1492,3)="113")),"NB",IF(OR(LEFT($F1492,3)="111",LEFT($F1492,3)="112",LEFT($F1492,3)="113"),"THU",IF(OR(LEFT($G1492,3)="111",LEFT($G1492,3)="112",LEFT($G1492,3)="113"),"CHI",""))))</f>
        <v/>
      </c>
      <c r="N1492" s="117">
        <f>IF($M1492="THU",$G1492,IF($M1492="CHI",$F1492,""))</f>
        <v/>
      </c>
      <c r="O1492" s="117">
        <f>IF(OR($M1492="",$M1492="NB"),"",IF($J1492&lt;&gt;"",TEXT($J1492,"00"),IFERROR(VLOOKUP(LEFT($N1492,4),LCTT_MAP!$A$7:$C$66,IF($M1492="THU",2,3),FALSE()),IFERROR(VLOOKUP(LEFT($N1492,3),LCTT_MAP!$A$7:$C$66,IF($M1492="THU",2,3),FALSE()),IFERROR(VLOOKUP(LEFT($N1492,2),LCTT_MAP!$A$7:$C$66,IF($M1492="THU",2,3),FALSE()),IFERROR(VLOOKUP(LEFT($N1492,1),LCTT_MAP!$A$7:$C$66,IF($M1492="THU",2,3),FALSE()),IF($M1492="THU","06","07")))))))</f>
        <v/>
      </c>
      <c r="P1492" s="117">
        <f>P1491+IF(AND($H1492&lt;&gt;"",OR(LEFT($F1492,LEN(SC_TK))=SC_TK,LEFT($G1492,LEN(SC_TK))=SC_TK)),1,0)</f>
        <v/>
      </c>
    </row>
    <row r="1493" ht="15" customHeight="1" s="78">
      <c r="A1493" s="95">
        <f>IF($H1493="","",ROW()-6)</f>
        <v/>
      </c>
      <c r="B1493" s="114" t="n"/>
      <c r="C1493" s="102" t="n"/>
      <c r="D1493" s="114" t="n"/>
      <c r="E1493" s="103" t="n"/>
      <c r="F1493" s="102" t="n"/>
      <c r="G1493" s="102" t="n"/>
      <c r="H1493" s="115" t="n"/>
      <c r="I1493" s="102" t="n"/>
      <c r="J1493" s="102" t="n"/>
      <c r="K1493" s="103" t="n"/>
      <c r="L1493" s="116">
        <f>IF($H1493="","",TRIM(IF(COUNTIF(DMTK!$A$7:$A$250,$F1493)=0,"TK Nợ sai! ","")&amp;IF(COUNTIF(DMTK!$A$7:$A$250,$G1493)=0,"TK Có sai! ","")&amp;IF(N($H1493)&lt;=0,"Tiền phải &gt; 0! ","")&amp;IF($B1493="","Thiếu ngày! ","")&amp;IF(AND(OR(LEFT($F1493,3)="131",LEFT($G1493,3)="131",LEFT($F1493,3)="331",LEFT($G1493,3)="331"),$I1493=""),"Thiếu Mã ĐT! ","")&amp;IF(AND($I1493&lt;&gt;"",COUNTIF(DM_DT!$A$7:$A$306,$I1493)=0),"Mã ĐT chưa khai báo! ","")))</f>
        <v/>
      </c>
      <c r="M1493" s="117">
        <f>IF($H1493="","",IF(AND(OR(LEFT($F1493,3)="111",LEFT($F1493,3)="112",LEFT($F1493,3)="113"),OR(LEFT($G1493,3)="111",LEFT($G1493,3)="112",LEFT($G1493,3)="113")),"NB",IF(OR(LEFT($F1493,3)="111",LEFT($F1493,3)="112",LEFT($F1493,3)="113"),"THU",IF(OR(LEFT($G1493,3)="111",LEFT($G1493,3)="112",LEFT($G1493,3)="113"),"CHI",""))))</f>
        <v/>
      </c>
      <c r="N1493" s="117">
        <f>IF($M1493="THU",$G1493,IF($M1493="CHI",$F1493,""))</f>
        <v/>
      </c>
      <c r="O1493" s="117">
        <f>IF(OR($M1493="",$M1493="NB"),"",IF($J1493&lt;&gt;"",TEXT($J1493,"00"),IFERROR(VLOOKUP(LEFT($N1493,4),LCTT_MAP!$A$7:$C$66,IF($M1493="THU",2,3),FALSE()),IFERROR(VLOOKUP(LEFT($N1493,3),LCTT_MAP!$A$7:$C$66,IF($M1493="THU",2,3),FALSE()),IFERROR(VLOOKUP(LEFT($N1493,2),LCTT_MAP!$A$7:$C$66,IF($M1493="THU",2,3),FALSE()),IFERROR(VLOOKUP(LEFT($N1493,1),LCTT_MAP!$A$7:$C$66,IF($M1493="THU",2,3),FALSE()),IF($M1493="THU","06","07")))))))</f>
        <v/>
      </c>
      <c r="P1493" s="117">
        <f>P1492+IF(AND($H1493&lt;&gt;"",OR(LEFT($F1493,LEN(SC_TK))=SC_TK,LEFT($G1493,LEN(SC_TK))=SC_TK)),1,0)</f>
        <v/>
      </c>
    </row>
    <row r="1494" ht="15" customHeight="1" s="78">
      <c r="A1494" s="95">
        <f>IF($H1494="","",ROW()-6)</f>
        <v/>
      </c>
      <c r="B1494" s="114" t="n"/>
      <c r="C1494" s="102" t="n"/>
      <c r="D1494" s="114" t="n"/>
      <c r="E1494" s="103" t="n"/>
      <c r="F1494" s="102" t="n"/>
      <c r="G1494" s="102" t="n"/>
      <c r="H1494" s="115" t="n"/>
      <c r="I1494" s="102" t="n"/>
      <c r="J1494" s="102" t="n"/>
      <c r="K1494" s="103" t="n"/>
      <c r="L1494" s="116">
        <f>IF($H1494="","",TRIM(IF(COUNTIF(DMTK!$A$7:$A$250,$F1494)=0,"TK Nợ sai! ","")&amp;IF(COUNTIF(DMTK!$A$7:$A$250,$G1494)=0,"TK Có sai! ","")&amp;IF(N($H1494)&lt;=0,"Tiền phải &gt; 0! ","")&amp;IF($B1494="","Thiếu ngày! ","")&amp;IF(AND(OR(LEFT($F1494,3)="131",LEFT($G1494,3)="131",LEFT($F1494,3)="331",LEFT($G1494,3)="331"),$I1494=""),"Thiếu Mã ĐT! ","")&amp;IF(AND($I1494&lt;&gt;"",COUNTIF(DM_DT!$A$7:$A$306,$I1494)=0),"Mã ĐT chưa khai báo! ","")))</f>
        <v/>
      </c>
      <c r="M1494" s="117">
        <f>IF($H1494="","",IF(AND(OR(LEFT($F1494,3)="111",LEFT($F1494,3)="112",LEFT($F1494,3)="113"),OR(LEFT($G1494,3)="111",LEFT($G1494,3)="112",LEFT($G1494,3)="113")),"NB",IF(OR(LEFT($F1494,3)="111",LEFT($F1494,3)="112",LEFT($F1494,3)="113"),"THU",IF(OR(LEFT($G1494,3)="111",LEFT($G1494,3)="112",LEFT($G1494,3)="113"),"CHI",""))))</f>
        <v/>
      </c>
      <c r="N1494" s="117">
        <f>IF($M1494="THU",$G1494,IF($M1494="CHI",$F1494,""))</f>
        <v/>
      </c>
      <c r="O1494" s="117">
        <f>IF(OR($M1494="",$M1494="NB"),"",IF($J1494&lt;&gt;"",TEXT($J1494,"00"),IFERROR(VLOOKUP(LEFT($N1494,4),LCTT_MAP!$A$7:$C$66,IF($M1494="THU",2,3),FALSE()),IFERROR(VLOOKUP(LEFT($N1494,3),LCTT_MAP!$A$7:$C$66,IF($M1494="THU",2,3),FALSE()),IFERROR(VLOOKUP(LEFT($N1494,2),LCTT_MAP!$A$7:$C$66,IF($M1494="THU",2,3),FALSE()),IFERROR(VLOOKUP(LEFT($N1494,1),LCTT_MAP!$A$7:$C$66,IF($M1494="THU",2,3),FALSE()),IF($M1494="THU","06","07")))))))</f>
        <v/>
      </c>
      <c r="P1494" s="117">
        <f>P1493+IF(AND($H1494&lt;&gt;"",OR(LEFT($F1494,LEN(SC_TK))=SC_TK,LEFT($G1494,LEN(SC_TK))=SC_TK)),1,0)</f>
        <v/>
      </c>
    </row>
    <row r="1495" ht="15" customHeight="1" s="78">
      <c r="A1495" s="95">
        <f>IF($H1495="","",ROW()-6)</f>
        <v/>
      </c>
      <c r="B1495" s="114" t="n"/>
      <c r="C1495" s="102" t="n"/>
      <c r="D1495" s="114" t="n"/>
      <c r="E1495" s="103" t="n"/>
      <c r="F1495" s="102" t="n"/>
      <c r="G1495" s="102" t="n"/>
      <c r="H1495" s="115" t="n"/>
      <c r="I1495" s="102" t="n"/>
      <c r="J1495" s="102" t="n"/>
      <c r="K1495" s="103" t="n"/>
      <c r="L1495" s="116">
        <f>IF($H1495="","",TRIM(IF(COUNTIF(DMTK!$A$7:$A$250,$F1495)=0,"TK Nợ sai! ","")&amp;IF(COUNTIF(DMTK!$A$7:$A$250,$G1495)=0,"TK Có sai! ","")&amp;IF(N($H1495)&lt;=0,"Tiền phải &gt; 0! ","")&amp;IF($B1495="","Thiếu ngày! ","")&amp;IF(AND(OR(LEFT($F1495,3)="131",LEFT($G1495,3)="131",LEFT($F1495,3)="331",LEFT($G1495,3)="331"),$I1495=""),"Thiếu Mã ĐT! ","")&amp;IF(AND($I1495&lt;&gt;"",COUNTIF(DM_DT!$A$7:$A$306,$I1495)=0),"Mã ĐT chưa khai báo! ","")))</f>
        <v/>
      </c>
      <c r="M1495" s="117">
        <f>IF($H1495="","",IF(AND(OR(LEFT($F1495,3)="111",LEFT($F1495,3)="112",LEFT($F1495,3)="113"),OR(LEFT($G1495,3)="111",LEFT($G1495,3)="112",LEFT($G1495,3)="113")),"NB",IF(OR(LEFT($F1495,3)="111",LEFT($F1495,3)="112",LEFT($F1495,3)="113"),"THU",IF(OR(LEFT($G1495,3)="111",LEFT($G1495,3)="112",LEFT($G1495,3)="113"),"CHI",""))))</f>
        <v/>
      </c>
      <c r="N1495" s="117">
        <f>IF($M1495="THU",$G1495,IF($M1495="CHI",$F1495,""))</f>
        <v/>
      </c>
      <c r="O1495" s="117">
        <f>IF(OR($M1495="",$M1495="NB"),"",IF($J1495&lt;&gt;"",TEXT($J1495,"00"),IFERROR(VLOOKUP(LEFT($N1495,4),LCTT_MAP!$A$7:$C$66,IF($M1495="THU",2,3),FALSE()),IFERROR(VLOOKUP(LEFT($N1495,3),LCTT_MAP!$A$7:$C$66,IF($M1495="THU",2,3),FALSE()),IFERROR(VLOOKUP(LEFT($N1495,2),LCTT_MAP!$A$7:$C$66,IF($M1495="THU",2,3),FALSE()),IFERROR(VLOOKUP(LEFT($N1495,1),LCTT_MAP!$A$7:$C$66,IF($M1495="THU",2,3),FALSE()),IF($M1495="THU","06","07")))))))</f>
        <v/>
      </c>
      <c r="P1495" s="117">
        <f>P1494+IF(AND($H1495&lt;&gt;"",OR(LEFT($F1495,LEN(SC_TK))=SC_TK,LEFT($G1495,LEN(SC_TK))=SC_TK)),1,0)</f>
        <v/>
      </c>
    </row>
    <row r="1496" ht="15" customHeight="1" s="78">
      <c r="A1496" s="95">
        <f>IF($H1496="","",ROW()-6)</f>
        <v/>
      </c>
      <c r="B1496" s="114" t="n"/>
      <c r="C1496" s="102" t="n"/>
      <c r="D1496" s="114" t="n"/>
      <c r="E1496" s="103" t="n"/>
      <c r="F1496" s="102" t="n"/>
      <c r="G1496" s="102" t="n"/>
      <c r="H1496" s="115" t="n"/>
      <c r="I1496" s="102" t="n"/>
      <c r="J1496" s="102" t="n"/>
      <c r="K1496" s="103" t="n"/>
      <c r="L1496" s="116">
        <f>IF($H1496="","",TRIM(IF(COUNTIF(DMTK!$A$7:$A$250,$F1496)=0,"TK Nợ sai! ","")&amp;IF(COUNTIF(DMTK!$A$7:$A$250,$G1496)=0,"TK Có sai! ","")&amp;IF(N($H1496)&lt;=0,"Tiền phải &gt; 0! ","")&amp;IF($B1496="","Thiếu ngày! ","")&amp;IF(AND(OR(LEFT($F1496,3)="131",LEFT($G1496,3)="131",LEFT($F1496,3)="331",LEFT($G1496,3)="331"),$I1496=""),"Thiếu Mã ĐT! ","")&amp;IF(AND($I1496&lt;&gt;"",COUNTIF(DM_DT!$A$7:$A$306,$I1496)=0),"Mã ĐT chưa khai báo! ","")))</f>
        <v/>
      </c>
      <c r="M1496" s="117">
        <f>IF($H1496="","",IF(AND(OR(LEFT($F1496,3)="111",LEFT($F1496,3)="112",LEFT($F1496,3)="113"),OR(LEFT($G1496,3)="111",LEFT($G1496,3)="112",LEFT($G1496,3)="113")),"NB",IF(OR(LEFT($F1496,3)="111",LEFT($F1496,3)="112",LEFT($F1496,3)="113"),"THU",IF(OR(LEFT($G1496,3)="111",LEFT($G1496,3)="112",LEFT($G1496,3)="113"),"CHI",""))))</f>
        <v/>
      </c>
      <c r="N1496" s="117">
        <f>IF($M1496="THU",$G1496,IF($M1496="CHI",$F1496,""))</f>
        <v/>
      </c>
      <c r="O1496" s="117">
        <f>IF(OR($M1496="",$M1496="NB"),"",IF($J1496&lt;&gt;"",TEXT($J1496,"00"),IFERROR(VLOOKUP(LEFT($N1496,4),LCTT_MAP!$A$7:$C$66,IF($M1496="THU",2,3),FALSE()),IFERROR(VLOOKUP(LEFT($N1496,3),LCTT_MAP!$A$7:$C$66,IF($M1496="THU",2,3),FALSE()),IFERROR(VLOOKUP(LEFT($N1496,2),LCTT_MAP!$A$7:$C$66,IF($M1496="THU",2,3),FALSE()),IFERROR(VLOOKUP(LEFT($N1496,1),LCTT_MAP!$A$7:$C$66,IF($M1496="THU",2,3),FALSE()),IF($M1496="THU","06","07")))))))</f>
        <v/>
      </c>
      <c r="P1496" s="117">
        <f>P1495+IF(AND($H1496&lt;&gt;"",OR(LEFT($F1496,LEN(SC_TK))=SC_TK,LEFT($G1496,LEN(SC_TK))=SC_TK)),1,0)</f>
        <v/>
      </c>
    </row>
    <row r="1497" ht="15" customHeight="1" s="78">
      <c r="A1497" s="95">
        <f>IF($H1497="","",ROW()-6)</f>
        <v/>
      </c>
      <c r="B1497" s="114" t="n"/>
      <c r="C1497" s="102" t="n"/>
      <c r="D1497" s="114" t="n"/>
      <c r="E1497" s="103" t="n"/>
      <c r="F1497" s="102" t="n"/>
      <c r="G1497" s="102" t="n"/>
      <c r="H1497" s="115" t="n"/>
      <c r="I1497" s="102" t="n"/>
      <c r="J1497" s="102" t="n"/>
      <c r="K1497" s="103" t="n"/>
      <c r="L1497" s="116">
        <f>IF($H1497="","",TRIM(IF(COUNTIF(DMTK!$A$7:$A$250,$F1497)=0,"TK Nợ sai! ","")&amp;IF(COUNTIF(DMTK!$A$7:$A$250,$G1497)=0,"TK Có sai! ","")&amp;IF(N($H1497)&lt;=0,"Tiền phải &gt; 0! ","")&amp;IF($B1497="","Thiếu ngày! ","")&amp;IF(AND(OR(LEFT($F1497,3)="131",LEFT($G1497,3)="131",LEFT($F1497,3)="331",LEFT($G1497,3)="331"),$I1497=""),"Thiếu Mã ĐT! ","")&amp;IF(AND($I1497&lt;&gt;"",COUNTIF(DM_DT!$A$7:$A$306,$I1497)=0),"Mã ĐT chưa khai báo! ","")))</f>
        <v/>
      </c>
      <c r="M1497" s="117">
        <f>IF($H1497="","",IF(AND(OR(LEFT($F1497,3)="111",LEFT($F1497,3)="112",LEFT($F1497,3)="113"),OR(LEFT($G1497,3)="111",LEFT($G1497,3)="112",LEFT($G1497,3)="113")),"NB",IF(OR(LEFT($F1497,3)="111",LEFT($F1497,3)="112",LEFT($F1497,3)="113"),"THU",IF(OR(LEFT($G1497,3)="111",LEFT($G1497,3)="112",LEFT($G1497,3)="113"),"CHI",""))))</f>
        <v/>
      </c>
      <c r="N1497" s="117">
        <f>IF($M1497="THU",$G1497,IF($M1497="CHI",$F1497,""))</f>
        <v/>
      </c>
      <c r="O1497" s="117">
        <f>IF(OR($M1497="",$M1497="NB"),"",IF($J1497&lt;&gt;"",TEXT($J1497,"00"),IFERROR(VLOOKUP(LEFT($N1497,4),LCTT_MAP!$A$7:$C$66,IF($M1497="THU",2,3),FALSE()),IFERROR(VLOOKUP(LEFT($N1497,3),LCTT_MAP!$A$7:$C$66,IF($M1497="THU",2,3),FALSE()),IFERROR(VLOOKUP(LEFT($N1497,2),LCTT_MAP!$A$7:$C$66,IF($M1497="THU",2,3),FALSE()),IFERROR(VLOOKUP(LEFT($N1497,1),LCTT_MAP!$A$7:$C$66,IF($M1497="THU",2,3),FALSE()),IF($M1497="THU","06","07")))))))</f>
        <v/>
      </c>
      <c r="P1497" s="117">
        <f>P1496+IF(AND($H1497&lt;&gt;"",OR(LEFT($F1497,LEN(SC_TK))=SC_TK,LEFT($G1497,LEN(SC_TK))=SC_TK)),1,0)</f>
        <v/>
      </c>
    </row>
    <row r="1498" ht="15" customHeight="1" s="78">
      <c r="A1498" s="95">
        <f>IF($H1498="","",ROW()-6)</f>
        <v/>
      </c>
      <c r="B1498" s="114" t="n"/>
      <c r="C1498" s="102" t="n"/>
      <c r="D1498" s="114" t="n"/>
      <c r="E1498" s="103" t="n"/>
      <c r="F1498" s="102" t="n"/>
      <c r="G1498" s="102" t="n"/>
      <c r="H1498" s="115" t="n"/>
      <c r="I1498" s="102" t="n"/>
      <c r="J1498" s="102" t="n"/>
      <c r="K1498" s="103" t="n"/>
      <c r="L1498" s="116">
        <f>IF($H1498="","",TRIM(IF(COUNTIF(DMTK!$A$7:$A$250,$F1498)=0,"TK Nợ sai! ","")&amp;IF(COUNTIF(DMTK!$A$7:$A$250,$G1498)=0,"TK Có sai! ","")&amp;IF(N($H1498)&lt;=0,"Tiền phải &gt; 0! ","")&amp;IF($B1498="","Thiếu ngày! ","")&amp;IF(AND(OR(LEFT($F1498,3)="131",LEFT($G1498,3)="131",LEFT($F1498,3)="331",LEFT($G1498,3)="331"),$I1498=""),"Thiếu Mã ĐT! ","")&amp;IF(AND($I1498&lt;&gt;"",COUNTIF(DM_DT!$A$7:$A$306,$I1498)=0),"Mã ĐT chưa khai báo! ","")))</f>
        <v/>
      </c>
      <c r="M1498" s="117">
        <f>IF($H1498="","",IF(AND(OR(LEFT($F1498,3)="111",LEFT($F1498,3)="112",LEFT($F1498,3)="113"),OR(LEFT($G1498,3)="111",LEFT($G1498,3)="112",LEFT($G1498,3)="113")),"NB",IF(OR(LEFT($F1498,3)="111",LEFT($F1498,3)="112",LEFT($F1498,3)="113"),"THU",IF(OR(LEFT($G1498,3)="111",LEFT($G1498,3)="112",LEFT($G1498,3)="113"),"CHI",""))))</f>
        <v/>
      </c>
      <c r="N1498" s="117">
        <f>IF($M1498="THU",$G1498,IF($M1498="CHI",$F1498,""))</f>
        <v/>
      </c>
      <c r="O1498" s="117">
        <f>IF(OR($M1498="",$M1498="NB"),"",IF($J1498&lt;&gt;"",TEXT($J1498,"00"),IFERROR(VLOOKUP(LEFT($N1498,4),LCTT_MAP!$A$7:$C$66,IF($M1498="THU",2,3),FALSE()),IFERROR(VLOOKUP(LEFT($N1498,3),LCTT_MAP!$A$7:$C$66,IF($M1498="THU",2,3),FALSE()),IFERROR(VLOOKUP(LEFT($N1498,2),LCTT_MAP!$A$7:$C$66,IF($M1498="THU",2,3),FALSE()),IFERROR(VLOOKUP(LEFT($N1498,1),LCTT_MAP!$A$7:$C$66,IF($M1498="THU",2,3),FALSE()),IF($M1498="THU","06","07")))))))</f>
        <v/>
      </c>
      <c r="P1498" s="117">
        <f>P1497+IF(AND($H1498&lt;&gt;"",OR(LEFT($F1498,LEN(SC_TK))=SC_TK,LEFT($G1498,LEN(SC_TK))=SC_TK)),1,0)</f>
        <v/>
      </c>
    </row>
    <row r="1499" ht="15" customHeight="1" s="78">
      <c r="A1499" s="95">
        <f>IF($H1499="","",ROW()-6)</f>
        <v/>
      </c>
      <c r="B1499" s="114" t="n"/>
      <c r="C1499" s="102" t="n"/>
      <c r="D1499" s="114" t="n"/>
      <c r="E1499" s="103" t="n"/>
      <c r="F1499" s="102" t="n"/>
      <c r="G1499" s="102" t="n"/>
      <c r="H1499" s="115" t="n"/>
      <c r="I1499" s="102" t="n"/>
      <c r="J1499" s="102" t="n"/>
      <c r="K1499" s="103" t="n"/>
      <c r="L1499" s="116">
        <f>IF($H1499="","",TRIM(IF(COUNTIF(DMTK!$A$7:$A$250,$F1499)=0,"TK Nợ sai! ","")&amp;IF(COUNTIF(DMTK!$A$7:$A$250,$G1499)=0,"TK Có sai! ","")&amp;IF(N($H1499)&lt;=0,"Tiền phải &gt; 0! ","")&amp;IF($B1499="","Thiếu ngày! ","")&amp;IF(AND(OR(LEFT($F1499,3)="131",LEFT($G1499,3)="131",LEFT($F1499,3)="331",LEFT($G1499,3)="331"),$I1499=""),"Thiếu Mã ĐT! ","")&amp;IF(AND($I1499&lt;&gt;"",COUNTIF(DM_DT!$A$7:$A$306,$I1499)=0),"Mã ĐT chưa khai báo! ","")))</f>
        <v/>
      </c>
      <c r="M1499" s="117">
        <f>IF($H1499="","",IF(AND(OR(LEFT($F1499,3)="111",LEFT($F1499,3)="112",LEFT($F1499,3)="113"),OR(LEFT($G1499,3)="111",LEFT($G1499,3)="112",LEFT($G1499,3)="113")),"NB",IF(OR(LEFT($F1499,3)="111",LEFT($F1499,3)="112",LEFT($F1499,3)="113"),"THU",IF(OR(LEFT($G1499,3)="111",LEFT($G1499,3)="112",LEFT($G1499,3)="113"),"CHI",""))))</f>
        <v/>
      </c>
      <c r="N1499" s="117">
        <f>IF($M1499="THU",$G1499,IF($M1499="CHI",$F1499,""))</f>
        <v/>
      </c>
      <c r="O1499" s="117">
        <f>IF(OR($M1499="",$M1499="NB"),"",IF($J1499&lt;&gt;"",TEXT($J1499,"00"),IFERROR(VLOOKUP(LEFT($N1499,4),LCTT_MAP!$A$7:$C$66,IF($M1499="THU",2,3),FALSE()),IFERROR(VLOOKUP(LEFT($N1499,3),LCTT_MAP!$A$7:$C$66,IF($M1499="THU",2,3),FALSE()),IFERROR(VLOOKUP(LEFT($N1499,2),LCTT_MAP!$A$7:$C$66,IF($M1499="THU",2,3),FALSE()),IFERROR(VLOOKUP(LEFT($N1499,1),LCTT_MAP!$A$7:$C$66,IF($M1499="THU",2,3),FALSE()),IF($M1499="THU","06","07")))))))</f>
        <v/>
      </c>
      <c r="P1499" s="117">
        <f>P1498+IF(AND($H1499&lt;&gt;"",OR(LEFT($F1499,LEN(SC_TK))=SC_TK,LEFT($G1499,LEN(SC_TK))=SC_TK)),1,0)</f>
        <v/>
      </c>
    </row>
    <row r="1500" ht="15" customHeight="1" s="78">
      <c r="A1500" s="95">
        <f>IF($H1500="","",ROW()-6)</f>
        <v/>
      </c>
      <c r="B1500" s="114" t="n"/>
      <c r="C1500" s="102" t="n"/>
      <c r="D1500" s="114" t="n"/>
      <c r="E1500" s="103" t="n"/>
      <c r="F1500" s="102" t="n"/>
      <c r="G1500" s="102" t="n"/>
      <c r="H1500" s="115" t="n"/>
      <c r="I1500" s="102" t="n"/>
      <c r="J1500" s="102" t="n"/>
      <c r="K1500" s="103" t="n"/>
      <c r="L1500" s="116">
        <f>IF($H1500="","",TRIM(IF(COUNTIF(DMTK!$A$7:$A$250,$F1500)=0,"TK Nợ sai! ","")&amp;IF(COUNTIF(DMTK!$A$7:$A$250,$G1500)=0,"TK Có sai! ","")&amp;IF(N($H1500)&lt;=0,"Tiền phải &gt; 0! ","")&amp;IF($B1500="","Thiếu ngày! ","")&amp;IF(AND(OR(LEFT($F1500,3)="131",LEFT($G1500,3)="131",LEFT($F1500,3)="331",LEFT($G1500,3)="331"),$I1500=""),"Thiếu Mã ĐT! ","")&amp;IF(AND($I1500&lt;&gt;"",COUNTIF(DM_DT!$A$7:$A$306,$I1500)=0),"Mã ĐT chưa khai báo! ","")))</f>
        <v/>
      </c>
      <c r="M1500" s="117">
        <f>IF($H1500="","",IF(AND(OR(LEFT($F1500,3)="111",LEFT($F1500,3)="112",LEFT($F1500,3)="113"),OR(LEFT($G1500,3)="111",LEFT($G1500,3)="112",LEFT($G1500,3)="113")),"NB",IF(OR(LEFT($F1500,3)="111",LEFT($F1500,3)="112",LEFT($F1500,3)="113"),"THU",IF(OR(LEFT($G1500,3)="111",LEFT($G1500,3)="112",LEFT($G1500,3)="113"),"CHI",""))))</f>
        <v/>
      </c>
      <c r="N1500" s="117">
        <f>IF($M1500="THU",$G1500,IF($M1500="CHI",$F1500,""))</f>
        <v/>
      </c>
      <c r="O1500" s="117">
        <f>IF(OR($M1500="",$M1500="NB"),"",IF($J1500&lt;&gt;"",TEXT($J1500,"00"),IFERROR(VLOOKUP(LEFT($N1500,4),LCTT_MAP!$A$7:$C$66,IF($M1500="THU",2,3),FALSE()),IFERROR(VLOOKUP(LEFT($N1500,3),LCTT_MAP!$A$7:$C$66,IF($M1500="THU",2,3),FALSE()),IFERROR(VLOOKUP(LEFT($N1500,2),LCTT_MAP!$A$7:$C$66,IF($M1500="THU",2,3),FALSE()),IFERROR(VLOOKUP(LEFT($N1500,1),LCTT_MAP!$A$7:$C$66,IF($M1500="THU",2,3),FALSE()),IF($M1500="THU","06","07")))))))</f>
        <v/>
      </c>
      <c r="P1500" s="117">
        <f>P1499+IF(AND($H1500&lt;&gt;"",OR(LEFT($F1500,LEN(SC_TK))=SC_TK,LEFT($G1500,LEN(SC_TK))=SC_TK)),1,0)</f>
        <v/>
      </c>
    </row>
    <row r="1501" ht="15" customHeight="1" s="78">
      <c r="A1501" s="95">
        <f>IF($H1501="","",ROW()-6)</f>
        <v/>
      </c>
      <c r="B1501" s="114" t="n"/>
      <c r="C1501" s="102" t="n"/>
      <c r="D1501" s="114" t="n"/>
      <c r="E1501" s="103" t="n"/>
      <c r="F1501" s="102" t="n"/>
      <c r="G1501" s="102" t="n"/>
      <c r="H1501" s="115" t="n"/>
      <c r="I1501" s="102" t="n"/>
      <c r="J1501" s="102" t="n"/>
      <c r="K1501" s="103" t="n"/>
      <c r="L1501" s="116">
        <f>IF($H1501="","",TRIM(IF(COUNTIF(DMTK!$A$7:$A$250,$F1501)=0,"TK Nợ sai! ","")&amp;IF(COUNTIF(DMTK!$A$7:$A$250,$G1501)=0,"TK Có sai! ","")&amp;IF(N($H1501)&lt;=0,"Tiền phải &gt; 0! ","")&amp;IF($B1501="","Thiếu ngày! ","")&amp;IF(AND(OR(LEFT($F1501,3)="131",LEFT($G1501,3)="131",LEFT($F1501,3)="331",LEFT($G1501,3)="331"),$I1501=""),"Thiếu Mã ĐT! ","")&amp;IF(AND($I1501&lt;&gt;"",COUNTIF(DM_DT!$A$7:$A$306,$I1501)=0),"Mã ĐT chưa khai báo! ","")))</f>
        <v/>
      </c>
      <c r="M1501" s="117">
        <f>IF($H1501="","",IF(AND(OR(LEFT($F1501,3)="111",LEFT($F1501,3)="112",LEFT($F1501,3)="113"),OR(LEFT($G1501,3)="111",LEFT($G1501,3)="112",LEFT($G1501,3)="113")),"NB",IF(OR(LEFT($F1501,3)="111",LEFT($F1501,3)="112",LEFT($F1501,3)="113"),"THU",IF(OR(LEFT($G1501,3)="111",LEFT($G1501,3)="112",LEFT($G1501,3)="113"),"CHI",""))))</f>
        <v/>
      </c>
      <c r="N1501" s="117">
        <f>IF($M1501="THU",$G1501,IF($M1501="CHI",$F1501,""))</f>
        <v/>
      </c>
      <c r="O1501" s="117">
        <f>IF(OR($M1501="",$M1501="NB"),"",IF($J1501&lt;&gt;"",TEXT($J1501,"00"),IFERROR(VLOOKUP(LEFT($N1501,4),LCTT_MAP!$A$7:$C$66,IF($M1501="THU",2,3),FALSE()),IFERROR(VLOOKUP(LEFT($N1501,3),LCTT_MAP!$A$7:$C$66,IF($M1501="THU",2,3),FALSE()),IFERROR(VLOOKUP(LEFT($N1501,2),LCTT_MAP!$A$7:$C$66,IF($M1501="THU",2,3),FALSE()),IFERROR(VLOOKUP(LEFT($N1501,1),LCTT_MAP!$A$7:$C$66,IF($M1501="THU",2,3),FALSE()),IF($M1501="THU","06","07")))))))</f>
        <v/>
      </c>
      <c r="P1501" s="117">
        <f>P1500+IF(AND($H1501&lt;&gt;"",OR(LEFT($F1501,LEN(SC_TK))=SC_TK,LEFT($G1501,LEN(SC_TK))=SC_TK)),1,0)</f>
        <v/>
      </c>
    </row>
    <row r="1502" ht="15" customHeight="1" s="78">
      <c r="A1502" s="95">
        <f>IF($H1502="","",ROW()-6)</f>
        <v/>
      </c>
      <c r="B1502" s="114" t="n"/>
      <c r="C1502" s="102" t="n"/>
      <c r="D1502" s="114" t="n"/>
      <c r="E1502" s="103" t="n"/>
      <c r="F1502" s="102" t="n"/>
      <c r="G1502" s="102" t="n"/>
      <c r="H1502" s="115" t="n"/>
      <c r="I1502" s="102" t="n"/>
      <c r="J1502" s="102" t="n"/>
      <c r="K1502" s="103" t="n"/>
      <c r="L1502" s="116">
        <f>IF($H1502="","",TRIM(IF(COUNTIF(DMTK!$A$7:$A$250,$F1502)=0,"TK Nợ sai! ","")&amp;IF(COUNTIF(DMTK!$A$7:$A$250,$G1502)=0,"TK Có sai! ","")&amp;IF(N($H1502)&lt;=0,"Tiền phải &gt; 0! ","")&amp;IF($B1502="","Thiếu ngày! ","")&amp;IF(AND(OR(LEFT($F1502,3)="131",LEFT($G1502,3)="131",LEFT($F1502,3)="331",LEFT($G1502,3)="331"),$I1502=""),"Thiếu Mã ĐT! ","")&amp;IF(AND($I1502&lt;&gt;"",COUNTIF(DM_DT!$A$7:$A$306,$I1502)=0),"Mã ĐT chưa khai báo! ","")))</f>
        <v/>
      </c>
      <c r="M1502" s="117">
        <f>IF($H1502="","",IF(AND(OR(LEFT($F1502,3)="111",LEFT($F1502,3)="112",LEFT($F1502,3)="113"),OR(LEFT($G1502,3)="111",LEFT($G1502,3)="112",LEFT($G1502,3)="113")),"NB",IF(OR(LEFT($F1502,3)="111",LEFT($F1502,3)="112",LEFT($F1502,3)="113"),"THU",IF(OR(LEFT($G1502,3)="111",LEFT($G1502,3)="112",LEFT($G1502,3)="113"),"CHI",""))))</f>
        <v/>
      </c>
      <c r="N1502" s="117">
        <f>IF($M1502="THU",$G1502,IF($M1502="CHI",$F1502,""))</f>
        <v/>
      </c>
      <c r="O1502" s="117">
        <f>IF(OR($M1502="",$M1502="NB"),"",IF($J1502&lt;&gt;"",TEXT($J1502,"00"),IFERROR(VLOOKUP(LEFT($N1502,4),LCTT_MAP!$A$7:$C$66,IF($M1502="THU",2,3),FALSE()),IFERROR(VLOOKUP(LEFT($N1502,3),LCTT_MAP!$A$7:$C$66,IF($M1502="THU",2,3),FALSE()),IFERROR(VLOOKUP(LEFT($N1502,2),LCTT_MAP!$A$7:$C$66,IF($M1502="THU",2,3),FALSE()),IFERROR(VLOOKUP(LEFT($N1502,1),LCTT_MAP!$A$7:$C$66,IF($M1502="THU",2,3),FALSE()),IF($M1502="THU","06","07")))))))</f>
        <v/>
      </c>
      <c r="P1502" s="117">
        <f>P1501+IF(AND($H1502&lt;&gt;"",OR(LEFT($F1502,LEN(SC_TK))=SC_TK,LEFT($G1502,LEN(SC_TK))=SC_TK)),1,0)</f>
        <v/>
      </c>
    </row>
    <row r="1503" ht="15" customHeight="1" s="78">
      <c r="A1503" s="95">
        <f>IF($H1503="","",ROW()-6)</f>
        <v/>
      </c>
      <c r="B1503" s="114" t="n"/>
      <c r="C1503" s="102" t="n"/>
      <c r="D1503" s="114" t="n"/>
      <c r="E1503" s="103" t="n"/>
      <c r="F1503" s="102" t="n"/>
      <c r="G1503" s="102" t="n"/>
      <c r="H1503" s="115" t="n"/>
      <c r="I1503" s="102" t="n"/>
      <c r="J1503" s="102" t="n"/>
      <c r="K1503" s="103" t="n"/>
      <c r="L1503" s="116">
        <f>IF($H1503="","",TRIM(IF(COUNTIF(DMTK!$A$7:$A$250,$F1503)=0,"TK Nợ sai! ","")&amp;IF(COUNTIF(DMTK!$A$7:$A$250,$G1503)=0,"TK Có sai! ","")&amp;IF(N($H1503)&lt;=0,"Tiền phải &gt; 0! ","")&amp;IF($B1503="","Thiếu ngày! ","")&amp;IF(AND(OR(LEFT($F1503,3)="131",LEFT($G1503,3)="131",LEFT($F1503,3)="331",LEFT($G1503,3)="331"),$I1503=""),"Thiếu Mã ĐT! ","")&amp;IF(AND($I1503&lt;&gt;"",COUNTIF(DM_DT!$A$7:$A$306,$I1503)=0),"Mã ĐT chưa khai báo! ","")))</f>
        <v/>
      </c>
      <c r="M1503" s="117">
        <f>IF($H1503="","",IF(AND(OR(LEFT($F1503,3)="111",LEFT($F1503,3)="112",LEFT($F1503,3)="113"),OR(LEFT($G1503,3)="111",LEFT($G1503,3)="112",LEFT($G1503,3)="113")),"NB",IF(OR(LEFT($F1503,3)="111",LEFT($F1503,3)="112",LEFT($F1503,3)="113"),"THU",IF(OR(LEFT($G1503,3)="111",LEFT($G1503,3)="112",LEFT($G1503,3)="113"),"CHI",""))))</f>
        <v/>
      </c>
      <c r="N1503" s="117">
        <f>IF($M1503="THU",$G1503,IF($M1503="CHI",$F1503,""))</f>
        <v/>
      </c>
      <c r="O1503" s="117">
        <f>IF(OR($M1503="",$M1503="NB"),"",IF($J1503&lt;&gt;"",TEXT($J1503,"00"),IFERROR(VLOOKUP(LEFT($N1503,4),LCTT_MAP!$A$7:$C$66,IF($M1503="THU",2,3),FALSE()),IFERROR(VLOOKUP(LEFT($N1503,3),LCTT_MAP!$A$7:$C$66,IF($M1503="THU",2,3),FALSE()),IFERROR(VLOOKUP(LEFT($N1503,2),LCTT_MAP!$A$7:$C$66,IF($M1503="THU",2,3),FALSE()),IFERROR(VLOOKUP(LEFT($N1503,1),LCTT_MAP!$A$7:$C$66,IF($M1503="THU",2,3),FALSE()),IF($M1503="THU","06","07")))))))</f>
        <v/>
      </c>
      <c r="P1503" s="117">
        <f>P1502+IF(AND($H1503&lt;&gt;"",OR(LEFT($F1503,LEN(SC_TK))=SC_TK,LEFT($G1503,LEN(SC_TK))=SC_TK)),1,0)</f>
        <v/>
      </c>
    </row>
    <row r="1504" ht="15" customHeight="1" s="78">
      <c r="A1504" s="95">
        <f>IF($H1504="","",ROW()-6)</f>
        <v/>
      </c>
      <c r="B1504" s="114" t="n"/>
      <c r="C1504" s="102" t="n"/>
      <c r="D1504" s="114" t="n"/>
      <c r="E1504" s="103" t="n"/>
      <c r="F1504" s="102" t="n"/>
      <c r="G1504" s="102" t="n"/>
      <c r="H1504" s="115" t="n"/>
      <c r="I1504" s="102" t="n"/>
      <c r="J1504" s="102" t="n"/>
      <c r="K1504" s="103" t="n"/>
      <c r="L1504" s="116">
        <f>IF($H1504="","",TRIM(IF(COUNTIF(DMTK!$A$7:$A$250,$F1504)=0,"TK Nợ sai! ","")&amp;IF(COUNTIF(DMTK!$A$7:$A$250,$G1504)=0,"TK Có sai! ","")&amp;IF(N($H1504)&lt;=0,"Tiền phải &gt; 0! ","")&amp;IF($B1504="","Thiếu ngày! ","")&amp;IF(AND(OR(LEFT($F1504,3)="131",LEFT($G1504,3)="131",LEFT($F1504,3)="331",LEFT($G1504,3)="331"),$I1504=""),"Thiếu Mã ĐT! ","")&amp;IF(AND($I1504&lt;&gt;"",COUNTIF(DM_DT!$A$7:$A$306,$I1504)=0),"Mã ĐT chưa khai báo! ","")))</f>
        <v/>
      </c>
      <c r="M1504" s="117">
        <f>IF($H1504="","",IF(AND(OR(LEFT($F1504,3)="111",LEFT($F1504,3)="112",LEFT($F1504,3)="113"),OR(LEFT($G1504,3)="111",LEFT($G1504,3)="112",LEFT($G1504,3)="113")),"NB",IF(OR(LEFT($F1504,3)="111",LEFT($F1504,3)="112",LEFT($F1504,3)="113"),"THU",IF(OR(LEFT($G1504,3)="111",LEFT($G1504,3)="112",LEFT($G1504,3)="113"),"CHI",""))))</f>
        <v/>
      </c>
      <c r="N1504" s="117">
        <f>IF($M1504="THU",$G1504,IF($M1504="CHI",$F1504,""))</f>
        <v/>
      </c>
      <c r="O1504" s="117">
        <f>IF(OR($M1504="",$M1504="NB"),"",IF($J1504&lt;&gt;"",TEXT($J1504,"00"),IFERROR(VLOOKUP(LEFT($N1504,4),LCTT_MAP!$A$7:$C$66,IF($M1504="THU",2,3),FALSE()),IFERROR(VLOOKUP(LEFT($N1504,3),LCTT_MAP!$A$7:$C$66,IF($M1504="THU",2,3),FALSE()),IFERROR(VLOOKUP(LEFT($N1504,2),LCTT_MAP!$A$7:$C$66,IF($M1504="THU",2,3),FALSE()),IFERROR(VLOOKUP(LEFT($N1504,1),LCTT_MAP!$A$7:$C$66,IF($M1504="THU",2,3),FALSE()),IF($M1504="THU","06","07")))))))</f>
        <v/>
      </c>
      <c r="P1504" s="117">
        <f>P1503+IF(AND($H1504&lt;&gt;"",OR(LEFT($F1504,LEN(SC_TK))=SC_TK,LEFT($G1504,LEN(SC_TK))=SC_TK)),1,0)</f>
        <v/>
      </c>
    </row>
    <row r="1505" ht="15" customHeight="1" s="78">
      <c r="A1505" s="95">
        <f>IF($H1505="","",ROW()-6)</f>
        <v/>
      </c>
      <c r="B1505" s="114" t="n"/>
      <c r="C1505" s="102" t="n"/>
      <c r="D1505" s="114" t="n"/>
      <c r="E1505" s="103" t="n"/>
      <c r="F1505" s="102" t="n"/>
      <c r="G1505" s="102" t="n"/>
      <c r="H1505" s="115" t="n"/>
      <c r="I1505" s="102" t="n"/>
      <c r="J1505" s="102" t="n"/>
      <c r="K1505" s="103" t="n"/>
      <c r="L1505" s="116">
        <f>IF($H1505="","",TRIM(IF(COUNTIF(DMTK!$A$7:$A$250,$F1505)=0,"TK Nợ sai! ","")&amp;IF(COUNTIF(DMTK!$A$7:$A$250,$G1505)=0,"TK Có sai! ","")&amp;IF(N($H1505)&lt;=0,"Tiền phải &gt; 0! ","")&amp;IF($B1505="","Thiếu ngày! ","")&amp;IF(AND(OR(LEFT($F1505,3)="131",LEFT($G1505,3)="131",LEFT($F1505,3)="331",LEFT($G1505,3)="331"),$I1505=""),"Thiếu Mã ĐT! ","")&amp;IF(AND($I1505&lt;&gt;"",COUNTIF(DM_DT!$A$7:$A$306,$I1505)=0),"Mã ĐT chưa khai báo! ","")))</f>
        <v/>
      </c>
      <c r="M1505" s="117">
        <f>IF($H1505="","",IF(AND(OR(LEFT($F1505,3)="111",LEFT($F1505,3)="112",LEFT($F1505,3)="113"),OR(LEFT($G1505,3)="111",LEFT($G1505,3)="112",LEFT($G1505,3)="113")),"NB",IF(OR(LEFT($F1505,3)="111",LEFT($F1505,3)="112",LEFT($F1505,3)="113"),"THU",IF(OR(LEFT($G1505,3)="111",LEFT($G1505,3)="112",LEFT($G1505,3)="113"),"CHI",""))))</f>
        <v/>
      </c>
      <c r="N1505" s="117">
        <f>IF($M1505="THU",$G1505,IF($M1505="CHI",$F1505,""))</f>
        <v/>
      </c>
      <c r="O1505" s="117">
        <f>IF(OR($M1505="",$M1505="NB"),"",IF($J1505&lt;&gt;"",TEXT($J1505,"00"),IFERROR(VLOOKUP(LEFT($N1505,4),LCTT_MAP!$A$7:$C$66,IF($M1505="THU",2,3),FALSE()),IFERROR(VLOOKUP(LEFT($N1505,3),LCTT_MAP!$A$7:$C$66,IF($M1505="THU",2,3),FALSE()),IFERROR(VLOOKUP(LEFT($N1505,2),LCTT_MAP!$A$7:$C$66,IF($M1505="THU",2,3),FALSE()),IFERROR(VLOOKUP(LEFT($N1505,1),LCTT_MAP!$A$7:$C$66,IF($M1505="THU",2,3),FALSE()),IF($M1505="THU","06","07")))))))</f>
        <v/>
      </c>
      <c r="P1505" s="117">
        <f>P1504+IF(AND($H1505&lt;&gt;"",OR(LEFT($F1505,LEN(SC_TK))=SC_TK,LEFT($G1505,LEN(SC_TK))=SC_TK)),1,0)</f>
        <v/>
      </c>
    </row>
    <row r="1506" ht="15" customHeight="1" s="78">
      <c r="A1506" s="95">
        <f>IF($H1506="","",ROW()-6)</f>
        <v/>
      </c>
      <c r="B1506" s="114" t="n"/>
      <c r="C1506" s="102" t="n"/>
      <c r="D1506" s="114" t="n"/>
      <c r="E1506" s="103" t="n"/>
      <c r="F1506" s="102" t="n"/>
      <c r="G1506" s="102" t="n"/>
      <c r="H1506" s="115" t="n"/>
      <c r="I1506" s="102" t="n"/>
      <c r="J1506" s="102" t="n"/>
      <c r="K1506" s="103" t="n"/>
      <c r="L1506" s="116">
        <f>IF($H1506="","",TRIM(IF(COUNTIF(DMTK!$A$7:$A$250,$F1506)=0,"TK Nợ sai! ","")&amp;IF(COUNTIF(DMTK!$A$7:$A$250,$G1506)=0,"TK Có sai! ","")&amp;IF(N($H1506)&lt;=0,"Tiền phải &gt; 0! ","")&amp;IF($B1506="","Thiếu ngày! ","")&amp;IF(AND(OR(LEFT($F1506,3)="131",LEFT($G1506,3)="131",LEFT($F1506,3)="331",LEFT($G1506,3)="331"),$I1506=""),"Thiếu Mã ĐT! ","")&amp;IF(AND($I1506&lt;&gt;"",COUNTIF(DM_DT!$A$7:$A$306,$I1506)=0),"Mã ĐT chưa khai báo! ","")))</f>
        <v/>
      </c>
      <c r="M1506" s="117">
        <f>IF($H1506="","",IF(AND(OR(LEFT($F1506,3)="111",LEFT($F1506,3)="112",LEFT($F1506,3)="113"),OR(LEFT($G1506,3)="111",LEFT($G1506,3)="112",LEFT($G1506,3)="113")),"NB",IF(OR(LEFT($F1506,3)="111",LEFT($F1506,3)="112",LEFT($F1506,3)="113"),"THU",IF(OR(LEFT($G1506,3)="111",LEFT($G1506,3)="112",LEFT($G1506,3)="113"),"CHI",""))))</f>
        <v/>
      </c>
      <c r="N1506" s="117">
        <f>IF($M1506="THU",$G1506,IF($M1506="CHI",$F1506,""))</f>
        <v/>
      </c>
      <c r="O1506" s="117">
        <f>IF(OR($M1506="",$M1506="NB"),"",IF($J1506&lt;&gt;"",TEXT($J1506,"00"),IFERROR(VLOOKUP(LEFT($N1506,4),LCTT_MAP!$A$7:$C$66,IF($M1506="THU",2,3),FALSE()),IFERROR(VLOOKUP(LEFT($N1506,3),LCTT_MAP!$A$7:$C$66,IF($M1506="THU",2,3),FALSE()),IFERROR(VLOOKUP(LEFT($N1506,2),LCTT_MAP!$A$7:$C$66,IF($M1506="THU",2,3),FALSE()),IFERROR(VLOOKUP(LEFT($N1506,1),LCTT_MAP!$A$7:$C$66,IF($M1506="THU",2,3),FALSE()),IF($M1506="THU","06","07")))))))</f>
        <v/>
      </c>
      <c r="P1506" s="117">
        <f>P1505+IF(AND($H1506&lt;&gt;"",OR(LEFT($F1506,LEN(SC_TK))=SC_TK,LEFT($G1506,LEN(SC_TK))=SC_TK)),1,0)</f>
        <v/>
      </c>
    </row>
    <row r="1507" ht="15" customHeight="1" s="78">
      <c r="A1507" s="95">
        <f>IF($H1507="","",ROW()-6)</f>
        <v/>
      </c>
      <c r="B1507" s="114" t="n"/>
      <c r="C1507" s="102" t="n"/>
      <c r="D1507" s="114" t="n"/>
      <c r="E1507" s="103" t="n"/>
      <c r="F1507" s="102" t="n"/>
      <c r="G1507" s="102" t="n"/>
      <c r="H1507" s="115" t="n"/>
      <c r="I1507" s="102" t="n"/>
      <c r="J1507" s="102" t="n"/>
      <c r="K1507" s="103" t="n"/>
      <c r="L1507" s="116">
        <f>IF($H1507="","",TRIM(IF(COUNTIF(DMTK!$A$7:$A$250,$F1507)=0,"TK Nợ sai! ","")&amp;IF(COUNTIF(DMTK!$A$7:$A$250,$G1507)=0,"TK Có sai! ","")&amp;IF(N($H1507)&lt;=0,"Tiền phải &gt; 0! ","")&amp;IF($B1507="","Thiếu ngày! ","")&amp;IF(AND(OR(LEFT($F1507,3)="131",LEFT($G1507,3)="131",LEFT($F1507,3)="331",LEFT($G1507,3)="331"),$I1507=""),"Thiếu Mã ĐT! ","")&amp;IF(AND($I1507&lt;&gt;"",COUNTIF(DM_DT!$A$7:$A$306,$I1507)=0),"Mã ĐT chưa khai báo! ","")))</f>
        <v/>
      </c>
      <c r="M1507" s="117">
        <f>IF($H1507="","",IF(AND(OR(LEFT($F1507,3)="111",LEFT($F1507,3)="112",LEFT($F1507,3)="113"),OR(LEFT($G1507,3)="111",LEFT($G1507,3)="112",LEFT($G1507,3)="113")),"NB",IF(OR(LEFT($F1507,3)="111",LEFT($F1507,3)="112",LEFT($F1507,3)="113"),"THU",IF(OR(LEFT($G1507,3)="111",LEFT($G1507,3)="112",LEFT($G1507,3)="113"),"CHI",""))))</f>
        <v/>
      </c>
      <c r="N1507" s="117">
        <f>IF($M1507="THU",$G1507,IF($M1507="CHI",$F1507,""))</f>
        <v/>
      </c>
      <c r="O1507" s="117">
        <f>IF(OR($M1507="",$M1507="NB"),"",IF($J1507&lt;&gt;"",TEXT($J1507,"00"),IFERROR(VLOOKUP(LEFT($N1507,4),LCTT_MAP!$A$7:$C$66,IF($M1507="THU",2,3),FALSE()),IFERROR(VLOOKUP(LEFT($N1507,3),LCTT_MAP!$A$7:$C$66,IF($M1507="THU",2,3),FALSE()),IFERROR(VLOOKUP(LEFT($N1507,2),LCTT_MAP!$A$7:$C$66,IF($M1507="THU",2,3),FALSE()),IFERROR(VLOOKUP(LEFT($N1507,1),LCTT_MAP!$A$7:$C$66,IF($M1507="THU",2,3),FALSE()),IF($M1507="THU","06","07")))))))</f>
        <v/>
      </c>
      <c r="P1507" s="117">
        <f>P1506+IF(AND($H1507&lt;&gt;"",OR(LEFT($F1507,LEN(SC_TK))=SC_TK,LEFT($G1507,LEN(SC_TK))=SC_TK)),1,0)</f>
        <v/>
      </c>
    </row>
    <row r="1508" ht="15" customHeight="1" s="78">
      <c r="A1508" s="95">
        <f>IF($H1508="","",ROW()-6)</f>
        <v/>
      </c>
      <c r="B1508" s="114" t="n"/>
      <c r="C1508" s="102" t="n"/>
      <c r="D1508" s="114" t="n"/>
      <c r="E1508" s="103" t="n"/>
      <c r="F1508" s="102" t="n"/>
      <c r="G1508" s="102" t="n"/>
      <c r="H1508" s="115" t="n"/>
      <c r="I1508" s="102" t="n"/>
      <c r="J1508" s="102" t="n"/>
      <c r="K1508" s="103" t="n"/>
      <c r="L1508" s="116">
        <f>IF($H1508="","",TRIM(IF(COUNTIF(DMTK!$A$7:$A$250,$F1508)=0,"TK Nợ sai! ","")&amp;IF(COUNTIF(DMTK!$A$7:$A$250,$G1508)=0,"TK Có sai! ","")&amp;IF(N($H1508)&lt;=0,"Tiền phải &gt; 0! ","")&amp;IF($B1508="","Thiếu ngày! ","")&amp;IF(AND(OR(LEFT($F1508,3)="131",LEFT($G1508,3)="131",LEFT($F1508,3)="331",LEFT($G1508,3)="331"),$I1508=""),"Thiếu Mã ĐT! ","")&amp;IF(AND($I1508&lt;&gt;"",COUNTIF(DM_DT!$A$7:$A$306,$I1508)=0),"Mã ĐT chưa khai báo! ","")))</f>
        <v/>
      </c>
      <c r="M1508" s="117">
        <f>IF($H1508="","",IF(AND(OR(LEFT($F1508,3)="111",LEFT($F1508,3)="112",LEFT($F1508,3)="113"),OR(LEFT($G1508,3)="111",LEFT($G1508,3)="112",LEFT($G1508,3)="113")),"NB",IF(OR(LEFT($F1508,3)="111",LEFT($F1508,3)="112",LEFT($F1508,3)="113"),"THU",IF(OR(LEFT($G1508,3)="111",LEFT($G1508,3)="112",LEFT($G1508,3)="113"),"CHI",""))))</f>
        <v/>
      </c>
      <c r="N1508" s="117">
        <f>IF($M1508="THU",$G1508,IF($M1508="CHI",$F1508,""))</f>
        <v/>
      </c>
      <c r="O1508" s="117">
        <f>IF(OR($M1508="",$M1508="NB"),"",IF($J1508&lt;&gt;"",TEXT($J1508,"00"),IFERROR(VLOOKUP(LEFT($N1508,4),LCTT_MAP!$A$7:$C$66,IF($M1508="THU",2,3),FALSE()),IFERROR(VLOOKUP(LEFT($N1508,3),LCTT_MAP!$A$7:$C$66,IF($M1508="THU",2,3),FALSE()),IFERROR(VLOOKUP(LEFT($N1508,2),LCTT_MAP!$A$7:$C$66,IF($M1508="THU",2,3),FALSE()),IFERROR(VLOOKUP(LEFT($N1508,1),LCTT_MAP!$A$7:$C$66,IF($M1508="THU",2,3),FALSE()),IF($M1508="THU","06","07")))))))</f>
        <v/>
      </c>
      <c r="P1508" s="117">
        <f>P1507+IF(AND($H1508&lt;&gt;"",OR(LEFT($F1508,LEN(SC_TK))=SC_TK,LEFT($G1508,LEN(SC_TK))=SC_TK)),1,0)</f>
        <v/>
      </c>
    </row>
    <row r="1509" ht="15" customHeight="1" s="78">
      <c r="A1509" s="95">
        <f>IF($H1509="","",ROW()-6)</f>
        <v/>
      </c>
      <c r="B1509" s="114" t="n"/>
      <c r="C1509" s="102" t="n"/>
      <c r="D1509" s="114" t="n"/>
      <c r="E1509" s="103" t="n"/>
      <c r="F1509" s="102" t="n"/>
      <c r="G1509" s="102" t="n"/>
      <c r="H1509" s="115" t="n"/>
      <c r="I1509" s="102" t="n"/>
      <c r="J1509" s="102" t="n"/>
      <c r="K1509" s="103" t="n"/>
      <c r="L1509" s="116">
        <f>IF($H1509="","",TRIM(IF(COUNTIF(DMTK!$A$7:$A$250,$F1509)=0,"TK Nợ sai! ","")&amp;IF(COUNTIF(DMTK!$A$7:$A$250,$G1509)=0,"TK Có sai! ","")&amp;IF(N($H1509)&lt;=0,"Tiền phải &gt; 0! ","")&amp;IF($B1509="","Thiếu ngày! ","")&amp;IF(AND(OR(LEFT($F1509,3)="131",LEFT($G1509,3)="131",LEFT($F1509,3)="331",LEFT($G1509,3)="331"),$I1509=""),"Thiếu Mã ĐT! ","")&amp;IF(AND($I1509&lt;&gt;"",COUNTIF(DM_DT!$A$7:$A$306,$I1509)=0),"Mã ĐT chưa khai báo! ","")))</f>
        <v/>
      </c>
      <c r="M1509" s="117">
        <f>IF($H1509="","",IF(AND(OR(LEFT($F1509,3)="111",LEFT($F1509,3)="112",LEFT($F1509,3)="113"),OR(LEFT($G1509,3)="111",LEFT($G1509,3)="112",LEFT($G1509,3)="113")),"NB",IF(OR(LEFT($F1509,3)="111",LEFT($F1509,3)="112",LEFT($F1509,3)="113"),"THU",IF(OR(LEFT($G1509,3)="111",LEFT($G1509,3)="112",LEFT($G1509,3)="113"),"CHI",""))))</f>
        <v/>
      </c>
      <c r="N1509" s="117">
        <f>IF($M1509="THU",$G1509,IF($M1509="CHI",$F1509,""))</f>
        <v/>
      </c>
      <c r="O1509" s="117">
        <f>IF(OR($M1509="",$M1509="NB"),"",IF($J1509&lt;&gt;"",TEXT($J1509,"00"),IFERROR(VLOOKUP(LEFT($N1509,4),LCTT_MAP!$A$7:$C$66,IF($M1509="THU",2,3),FALSE()),IFERROR(VLOOKUP(LEFT($N1509,3),LCTT_MAP!$A$7:$C$66,IF($M1509="THU",2,3),FALSE()),IFERROR(VLOOKUP(LEFT($N1509,2),LCTT_MAP!$A$7:$C$66,IF($M1509="THU",2,3),FALSE()),IFERROR(VLOOKUP(LEFT($N1509,1),LCTT_MAP!$A$7:$C$66,IF($M1509="THU",2,3),FALSE()),IF($M1509="THU","06","07")))))))</f>
        <v/>
      </c>
      <c r="P1509" s="117">
        <f>P1508+IF(AND($H1509&lt;&gt;"",OR(LEFT($F1509,LEN(SC_TK))=SC_TK,LEFT($G1509,LEN(SC_TK))=SC_TK)),1,0)</f>
        <v/>
      </c>
    </row>
    <row r="1510" ht="15" customHeight="1" s="78">
      <c r="A1510" s="95">
        <f>IF($H1510="","",ROW()-6)</f>
        <v/>
      </c>
      <c r="B1510" s="114" t="n"/>
      <c r="C1510" s="102" t="n"/>
      <c r="D1510" s="114" t="n"/>
      <c r="E1510" s="103" t="n"/>
      <c r="F1510" s="102" t="n"/>
      <c r="G1510" s="102" t="n"/>
      <c r="H1510" s="115" t="n"/>
      <c r="I1510" s="102" t="n"/>
      <c r="J1510" s="102" t="n"/>
      <c r="K1510" s="103" t="n"/>
      <c r="L1510" s="116">
        <f>IF($H1510="","",TRIM(IF(COUNTIF(DMTK!$A$7:$A$250,$F1510)=0,"TK Nợ sai! ","")&amp;IF(COUNTIF(DMTK!$A$7:$A$250,$G1510)=0,"TK Có sai! ","")&amp;IF(N($H1510)&lt;=0,"Tiền phải &gt; 0! ","")&amp;IF($B1510="","Thiếu ngày! ","")&amp;IF(AND(OR(LEFT($F1510,3)="131",LEFT($G1510,3)="131",LEFT($F1510,3)="331",LEFT($G1510,3)="331"),$I1510=""),"Thiếu Mã ĐT! ","")&amp;IF(AND($I1510&lt;&gt;"",COUNTIF(DM_DT!$A$7:$A$306,$I1510)=0),"Mã ĐT chưa khai báo! ","")))</f>
        <v/>
      </c>
      <c r="M1510" s="117">
        <f>IF($H1510="","",IF(AND(OR(LEFT($F1510,3)="111",LEFT($F1510,3)="112",LEFT($F1510,3)="113"),OR(LEFT($G1510,3)="111",LEFT($G1510,3)="112",LEFT($G1510,3)="113")),"NB",IF(OR(LEFT($F1510,3)="111",LEFT($F1510,3)="112",LEFT($F1510,3)="113"),"THU",IF(OR(LEFT($G1510,3)="111",LEFT($G1510,3)="112",LEFT($G1510,3)="113"),"CHI",""))))</f>
        <v/>
      </c>
      <c r="N1510" s="117">
        <f>IF($M1510="THU",$G1510,IF($M1510="CHI",$F1510,""))</f>
        <v/>
      </c>
      <c r="O1510" s="117">
        <f>IF(OR($M1510="",$M1510="NB"),"",IF($J1510&lt;&gt;"",TEXT($J1510,"00"),IFERROR(VLOOKUP(LEFT($N1510,4),LCTT_MAP!$A$7:$C$66,IF($M1510="THU",2,3),FALSE()),IFERROR(VLOOKUP(LEFT($N1510,3),LCTT_MAP!$A$7:$C$66,IF($M1510="THU",2,3),FALSE()),IFERROR(VLOOKUP(LEFT($N1510,2),LCTT_MAP!$A$7:$C$66,IF($M1510="THU",2,3),FALSE()),IFERROR(VLOOKUP(LEFT($N1510,1),LCTT_MAP!$A$7:$C$66,IF($M1510="THU",2,3),FALSE()),IF($M1510="THU","06","07")))))))</f>
        <v/>
      </c>
      <c r="P1510" s="117">
        <f>P1509+IF(AND($H1510&lt;&gt;"",OR(LEFT($F1510,LEN(SC_TK))=SC_TK,LEFT($G1510,LEN(SC_TK))=SC_TK)),1,0)</f>
        <v/>
      </c>
    </row>
    <row r="1511" ht="15" customHeight="1" s="78">
      <c r="A1511" s="95">
        <f>IF($H1511="","",ROW()-6)</f>
        <v/>
      </c>
      <c r="B1511" s="114" t="n"/>
      <c r="C1511" s="102" t="n"/>
      <c r="D1511" s="114" t="n"/>
      <c r="E1511" s="103" t="n"/>
      <c r="F1511" s="102" t="n"/>
      <c r="G1511" s="102" t="n"/>
      <c r="H1511" s="115" t="n"/>
      <c r="I1511" s="102" t="n"/>
      <c r="J1511" s="102" t="n"/>
      <c r="K1511" s="103" t="n"/>
      <c r="L1511" s="116">
        <f>IF($H1511="","",TRIM(IF(COUNTIF(DMTK!$A$7:$A$250,$F1511)=0,"TK Nợ sai! ","")&amp;IF(COUNTIF(DMTK!$A$7:$A$250,$G1511)=0,"TK Có sai! ","")&amp;IF(N($H1511)&lt;=0,"Tiền phải &gt; 0! ","")&amp;IF($B1511="","Thiếu ngày! ","")&amp;IF(AND(OR(LEFT($F1511,3)="131",LEFT($G1511,3)="131",LEFT($F1511,3)="331",LEFT($G1511,3)="331"),$I1511=""),"Thiếu Mã ĐT! ","")&amp;IF(AND($I1511&lt;&gt;"",COUNTIF(DM_DT!$A$7:$A$306,$I1511)=0),"Mã ĐT chưa khai báo! ","")))</f>
        <v/>
      </c>
      <c r="M1511" s="117">
        <f>IF($H1511="","",IF(AND(OR(LEFT($F1511,3)="111",LEFT($F1511,3)="112",LEFT($F1511,3)="113"),OR(LEFT($G1511,3)="111",LEFT($G1511,3)="112",LEFT($G1511,3)="113")),"NB",IF(OR(LEFT($F1511,3)="111",LEFT($F1511,3)="112",LEFT($F1511,3)="113"),"THU",IF(OR(LEFT($G1511,3)="111",LEFT($G1511,3)="112",LEFT($G1511,3)="113"),"CHI",""))))</f>
        <v/>
      </c>
      <c r="N1511" s="117">
        <f>IF($M1511="THU",$G1511,IF($M1511="CHI",$F1511,""))</f>
        <v/>
      </c>
      <c r="O1511" s="117">
        <f>IF(OR($M1511="",$M1511="NB"),"",IF($J1511&lt;&gt;"",TEXT($J1511,"00"),IFERROR(VLOOKUP(LEFT($N1511,4),LCTT_MAP!$A$7:$C$66,IF($M1511="THU",2,3),FALSE()),IFERROR(VLOOKUP(LEFT($N1511,3),LCTT_MAP!$A$7:$C$66,IF($M1511="THU",2,3),FALSE()),IFERROR(VLOOKUP(LEFT($N1511,2),LCTT_MAP!$A$7:$C$66,IF($M1511="THU",2,3),FALSE()),IFERROR(VLOOKUP(LEFT($N1511,1),LCTT_MAP!$A$7:$C$66,IF($M1511="THU",2,3),FALSE()),IF($M1511="THU","06","07")))))))</f>
        <v/>
      </c>
      <c r="P1511" s="117">
        <f>P1510+IF(AND($H1511&lt;&gt;"",OR(LEFT($F1511,LEN(SC_TK))=SC_TK,LEFT($G1511,LEN(SC_TK))=SC_TK)),1,0)</f>
        <v/>
      </c>
    </row>
    <row r="1512" ht="15" customHeight="1" s="78">
      <c r="A1512" s="95">
        <f>IF($H1512="","",ROW()-6)</f>
        <v/>
      </c>
      <c r="B1512" s="114" t="n"/>
      <c r="C1512" s="102" t="n"/>
      <c r="D1512" s="114" t="n"/>
      <c r="E1512" s="103" t="n"/>
      <c r="F1512" s="102" t="n"/>
      <c r="G1512" s="102" t="n"/>
      <c r="H1512" s="115" t="n"/>
      <c r="I1512" s="102" t="n"/>
      <c r="J1512" s="102" t="n"/>
      <c r="K1512" s="103" t="n"/>
      <c r="L1512" s="116">
        <f>IF($H1512="","",TRIM(IF(COUNTIF(DMTK!$A$7:$A$250,$F1512)=0,"TK Nợ sai! ","")&amp;IF(COUNTIF(DMTK!$A$7:$A$250,$G1512)=0,"TK Có sai! ","")&amp;IF(N($H1512)&lt;=0,"Tiền phải &gt; 0! ","")&amp;IF($B1512="","Thiếu ngày! ","")&amp;IF(AND(OR(LEFT($F1512,3)="131",LEFT($G1512,3)="131",LEFT($F1512,3)="331",LEFT($G1512,3)="331"),$I1512=""),"Thiếu Mã ĐT! ","")&amp;IF(AND($I1512&lt;&gt;"",COUNTIF(DM_DT!$A$7:$A$306,$I1512)=0),"Mã ĐT chưa khai báo! ","")))</f>
        <v/>
      </c>
      <c r="M1512" s="117">
        <f>IF($H1512="","",IF(AND(OR(LEFT($F1512,3)="111",LEFT($F1512,3)="112",LEFT($F1512,3)="113"),OR(LEFT($G1512,3)="111",LEFT($G1512,3)="112",LEFT($G1512,3)="113")),"NB",IF(OR(LEFT($F1512,3)="111",LEFT($F1512,3)="112",LEFT($F1512,3)="113"),"THU",IF(OR(LEFT($G1512,3)="111",LEFT($G1512,3)="112",LEFT($G1512,3)="113"),"CHI",""))))</f>
        <v/>
      </c>
      <c r="N1512" s="117">
        <f>IF($M1512="THU",$G1512,IF($M1512="CHI",$F1512,""))</f>
        <v/>
      </c>
      <c r="O1512" s="117">
        <f>IF(OR($M1512="",$M1512="NB"),"",IF($J1512&lt;&gt;"",TEXT($J1512,"00"),IFERROR(VLOOKUP(LEFT($N1512,4),LCTT_MAP!$A$7:$C$66,IF($M1512="THU",2,3),FALSE()),IFERROR(VLOOKUP(LEFT($N1512,3),LCTT_MAP!$A$7:$C$66,IF($M1512="THU",2,3),FALSE()),IFERROR(VLOOKUP(LEFT($N1512,2),LCTT_MAP!$A$7:$C$66,IF($M1512="THU",2,3),FALSE()),IFERROR(VLOOKUP(LEFT($N1512,1),LCTT_MAP!$A$7:$C$66,IF($M1512="THU",2,3),FALSE()),IF($M1512="THU","06","07")))))))</f>
        <v/>
      </c>
      <c r="P1512" s="117">
        <f>P1511+IF(AND($H1512&lt;&gt;"",OR(LEFT($F1512,LEN(SC_TK))=SC_TK,LEFT($G1512,LEN(SC_TK))=SC_TK)),1,0)</f>
        <v/>
      </c>
    </row>
    <row r="1513" ht="15" customHeight="1" s="78">
      <c r="A1513" s="95">
        <f>IF($H1513="","",ROW()-6)</f>
        <v/>
      </c>
      <c r="B1513" s="114" t="n"/>
      <c r="C1513" s="102" t="n"/>
      <c r="D1513" s="114" t="n"/>
      <c r="E1513" s="103" t="n"/>
      <c r="F1513" s="102" t="n"/>
      <c r="G1513" s="102" t="n"/>
      <c r="H1513" s="115" t="n"/>
      <c r="I1513" s="102" t="n"/>
      <c r="J1513" s="102" t="n"/>
      <c r="K1513" s="103" t="n"/>
      <c r="L1513" s="116">
        <f>IF($H1513="","",TRIM(IF(COUNTIF(DMTK!$A$7:$A$250,$F1513)=0,"TK Nợ sai! ","")&amp;IF(COUNTIF(DMTK!$A$7:$A$250,$G1513)=0,"TK Có sai! ","")&amp;IF(N($H1513)&lt;=0,"Tiền phải &gt; 0! ","")&amp;IF($B1513="","Thiếu ngày! ","")&amp;IF(AND(OR(LEFT($F1513,3)="131",LEFT($G1513,3)="131",LEFT($F1513,3)="331",LEFT($G1513,3)="331"),$I1513=""),"Thiếu Mã ĐT! ","")&amp;IF(AND($I1513&lt;&gt;"",COUNTIF(DM_DT!$A$7:$A$306,$I1513)=0),"Mã ĐT chưa khai báo! ","")))</f>
        <v/>
      </c>
      <c r="M1513" s="117">
        <f>IF($H1513="","",IF(AND(OR(LEFT($F1513,3)="111",LEFT($F1513,3)="112",LEFT($F1513,3)="113"),OR(LEFT($G1513,3)="111",LEFT($G1513,3)="112",LEFT($G1513,3)="113")),"NB",IF(OR(LEFT($F1513,3)="111",LEFT($F1513,3)="112",LEFT($F1513,3)="113"),"THU",IF(OR(LEFT($G1513,3)="111",LEFT($G1513,3)="112",LEFT($G1513,3)="113"),"CHI",""))))</f>
        <v/>
      </c>
      <c r="N1513" s="117">
        <f>IF($M1513="THU",$G1513,IF($M1513="CHI",$F1513,""))</f>
        <v/>
      </c>
      <c r="O1513" s="117">
        <f>IF(OR($M1513="",$M1513="NB"),"",IF($J1513&lt;&gt;"",TEXT($J1513,"00"),IFERROR(VLOOKUP(LEFT($N1513,4),LCTT_MAP!$A$7:$C$66,IF($M1513="THU",2,3),FALSE()),IFERROR(VLOOKUP(LEFT($N1513,3),LCTT_MAP!$A$7:$C$66,IF($M1513="THU",2,3),FALSE()),IFERROR(VLOOKUP(LEFT($N1513,2),LCTT_MAP!$A$7:$C$66,IF($M1513="THU",2,3),FALSE()),IFERROR(VLOOKUP(LEFT($N1513,1),LCTT_MAP!$A$7:$C$66,IF($M1513="THU",2,3),FALSE()),IF($M1513="THU","06","07")))))))</f>
        <v/>
      </c>
      <c r="P1513" s="117">
        <f>P1512+IF(AND($H1513&lt;&gt;"",OR(LEFT($F1513,LEN(SC_TK))=SC_TK,LEFT($G1513,LEN(SC_TK))=SC_TK)),1,0)</f>
        <v/>
      </c>
    </row>
    <row r="1514" ht="15" customHeight="1" s="78">
      <c r="A1514" s="95">
        <f>IF($H1514="","",ROW()-6)</f>
        <v/>
      </c>
      <c r="B1514" s="114" t="n"/>
      <c r="C1514" s="102" t="n"/>
      <c r="D1514" s="114" t="n"/>
      <c r="E1514" s="103" t="n"/>
      <c r="F1514" s="102" t="n"/>
      <c r="G1514" s="102" t="n"/>
      <c r="H1514" s="115" t="n"/>
      <c r="I1514" s="102" t="n"/>
      <c r="J1514" s="102" t="n"/>
      <c r="K1514" s="103" t="n"/>
      <c r="L1514" s="116">
        <f>IF($H1514="","",TRIM(IF(COUNTIF(DMTK!$A$7:$A$250,$F1514)=0,"TK Nợ sai! ","")&amp;IF(COUNTIF(DMTK!$A$7:$A$250,$G1514)=0,"TK Có sai! ","")&amp;IF(N($H1514)&lt;=0,"Tiền phải &gt; 0! ","")&amp;IF($B1514="","Thiếu ngày! ","")&amp;IF(AND(OR(LEFT($F1514,3)="131",LEFT($G1514,3)="131",LEFT($F1514,3)="331",LEFT($G1514,3)="331"),$I1514=""),"Thiếu Mã ĐT! ","")&amp;IF(AND($I1514&lt;&gt;"",COUNTIF(DM_DT!$A$7:$A$306,$I1514)=0),"Mã ĐT chưa khai báo! ","")))</f>
        <v/>
      </c>
      <c r="M1514" s="117">
        <f>IF($H1514="","",IF(AND(OR(LEFT($F1514,3)="111",LEFT($F1514,3)="112",LEFT($F1514,3)="113"),OR(LEFT($G1514,3)="111",LEFT($G1514,3)="112",LEFT($G1514,3)="113")),"NB",IF(OR(LEFT($F1514,3)="111",LEFT($F1514,3)="112",LEFT($F1514,3)="113"),"THU",IF(OR(LEFT($G1514,3)="111",LEFT($G1514,3)="112",LEFT($G1514,3)="113"),"CHI",""))))</f>
        <v/>
      </c>
      <c r="N1514" s="117">
        <f>IF($M1514="THU",$G1514,IF($M1514="CHI",$F1514,""))</f>
        <v/>
      </c>
      <c r="O1514" s="117">
        <f>IF(OR($M1514="",$M1514="NB"),"",IF($J1514&lt;&gt;"",TEXT($J1514,"00"),IFERROR(VLOOKUP(LEFT($N1514,4),LCTT_MAP!$A$7:$C$66,IF($M1514="THU",2,3),FALSE()),IFERROR(VLOOKUP(LEFT($N1514,3),LCTT_MAP!$A$7:$C$66,IF($M1514="THU",2,3),FALSE()),IFERROR(VLOOKUP(LEFT($N1514,2),LCTT_MAP!$A$7:$C$66,IF($M1514="THU",2,3),FALSE()),IFERROR(VLOOKUP(LEFT($N1514,1),LCTT_MAP!$A$7:$C$66,IF($M1514="THU",2,3),FALSE()),IF($M1514="THU","06","07")))))))</f>
        <v/>
      </c>
      <c r="P1514" s="117">
        <f>P1513+IF(AND($H1514&lt;&gt;"",OR(LEFT($F1514,LEN(SC_TK))=SC_TK,LEFT($G1514,LEN(SC_TK))=SC_TK)),1,0)</f>
        <v/>
      </c>
    </row>
    <row r="1515" ht="15" customHeight="1" s="78">
      <c r="A1515" s="95">
        <f>IF($H1515="","",ROW()-6)</f>
        <v/>
      </c>
      <c r="B1515" s="114" t="n"/>
      <c r="C1515" s="102" t="n"/>
      <c r="D1515" s="114" t="n"/>
      <c r="E1515" s="103" t="n"/>
      <c r="F1515" s="102" t="n"/>
      <c r="G1515" s="102" t="n"/>
      <c r="H1515" s="115" t="n"/>
      <c r="I1515" s="102" t="n"/>
      <c r="J1515" s="102" t="n"/>
      <c r="K1515" s="103" t="n"/>
      <c r="L1515" s="116">
        <f>IF($H1515="","",TRIM(IF(COUNTIF(DMTK!$A$7:$A$250,$F1515)=0,"TK Nợ sai! ","")&amp;IF(COUNTIF(DMTK!$A$7:$A$250,$G1515)=0,"TK Có sai! ","")&amp;IF(N($H1515)&lt;=0,"Tiền phải &gt; 0! ","")&amp;IF($B1515="","Thiếu ngày! ","")&amp;IF(AND(OR(LEFT($F1515,3)="131",LEFT($G1515,3)="131",LEFT($F1515,3)="331",LEFT($G1515,3)="331"),$I1515=""),"Thiếu Mã ĐT! ","")&amp;IF(AND($I1515&lt;&gt;"",COUNTIF(DM_DT!$A$7:$A$306,$I1515)=0),"Mã ĐT chưa khai báo! ","")))</f>
        <v/>
      </c>
      <c r="M1515" s="117">
        <f>IF($H1515="","",IF(AND(OR(LEFT($F1515,3)="111",LEFT($F1515,3)="112",LEFT($F1515,3)="113"),OR(LEFT($G1515,3)="111",LEFT($G1515,3)="112",LEFT($G1515,3)="113")),"NB",IF(OR(LEFT($F1515,3)="111",LEFT($F1515,3)="112",LEFT($F1515,3)="113"),"THU",IF(OR(LEFT($G1515,3)="111",LEFT($G1515,3)="112",LEFT($G1515,3)="113"),"CHI",""))))</f>
        <v/>
      </c>
      <c r="N1515" s="117">
        <f>IF($M1515="THU",$G1515,IF($M1515="CHI",$F1515,""))</f>
        <v/>
      </c>
      <c r="O1515" s="117">
        <f>IF(OR($M1515="",$M1515="NB"),"",IF($J1515&lt;&gt;"",TEXT($J1515,"00"),IFERROR(VLOOKUP(LEFT($N1515,4),LCTT_MAP!$A$7:$C$66,IF($M1515="THU",2,3),FALSE()),IFERROR(VLOOKUP(LEFT($N1515,3),LCTT_MAP!$A$7:$C$66,IF($M1515="THU",2,3),FALSE()),IFERROR(VLOOKUP(LEFT($N1515,2),LCTT_MAP!$A$7:$C$66,IF($M1515="THU",2,3),FALSE()),IFERROR(VLOOKUP(LEFT($N1515,1),LCTT_MAP!$A$7:$C$66,IF($M1515="THU",2,3),FALSE()),IF($M1515="THU","06","07")))))))</f>
        <v/>
      </c>
      <c r="P1515" s="117">
        <f>P1514+IF(AND($H1515&lt;&gt;"",OR(LEFT($F1515,LEN(SC_TK))=SC_TK,LEFT($G1515,LEN(SC_TK))=SC_TK)),1,0)</f>
        <v/>
      </c>
    </row>
    <row r="1516" ht="15" customHeight="1" s="78">
      <c r="A1516" s="95">
        <f>IF($H1516="","",ROW()-6)</f>
        <v/>
      </c>
      <c r="B1516" s="114" t="n"/>
      <c r="C1516" s="102" t="n"/>
      <c r="D1516" s="114" t="n"/>
      <c r="E1516" s="103" t="n"/>
      <c r="F1516" s="102" t="n"/>
      <c r="G1516" s="102" t="n"/>
      <c r="H1516" s="115" t="n"/>
      <c r="I1516" s="102" t="n"/>
      <c r="J1516" s="102" t="n"/>
      <c r="K1516" s="103" t="n"/>
      <c r="L1516" s="116">
        <f>IF($H1516="","",TRIM(IF(COUNTIF(DMTK!$A$7:$A$250,$F1516)=0,"TK Nợ sai! ","")&amp;IF(COUNTIF(DMTK!$A$7:$A$250,$G1516)=0,"TK Có sai! ","")&amp;IF(N($H1516)&lt;=0,"Tiền phải &gt; 0! ","")&amp;IF($B1516="","Thiếu ngày! ","")&amp;IF(AND(OR(LEFT($F1516,3)="131",LEFT($G1516,3)="131",LEFT($F1516,3)="331",LEFT($G1516,3)="331"),$I1516=""),"Thiếu Mã ĐT! ","")&amp;IF(AND($I1516&lt;&gt;"",COUNTIF(DM_DT!$A$7:$A$306,$I1516)=0),"Mã ĐT chưa khai báo! ","")))</f>
        <v/>
      </c>
      <c r="M1516" s="117">
        <f>IF($H1516="","",IF(AND(OR(LEFT($F1516,3)="111",LEFT($F1516,3)="112",LEFT($F1516,3)="113"),OR(LEFT($G1516,3)="111",LEFT($G1516,3)="112",LEFT($G1516,3)="113")),"NB",IF(OR(LEFT($F1516,3)="111",LEFT($F1516,3)="112",LEFT($F1516,3)="113"),"THU",IF(OR(LEFT($G1516,3)="111",LEFT($G1516,3)="112",LEFT($G1516,3)="113"),"CHI",""))))</f>
        <v/>
      </c>
      <c r="N1516" s="117">
        <f>IF($M1516="THU",$G1516,IF($M1516="CHI",$F1516,""))</f>
        <v/>
      </c>
      <c r="O1516" s="117">
        <f>IF(OR($M1516="",$M1516="NB"),"",IF($J1516&lt;&gt;"",TEXT($J1516,"00"),IFERROR(VLOOKUP(LEFT($N1516,4),LCTT_MAP!$A$7:$C$66,IF($M1516="THU",2,3),FALSE()),IFERROR(VLOOKUP(LEFT($N1516,3),LCTT_MAP!$A$7:$C$66,IF($M1516="THU",2,3),FALSE()),IFERROR(VLOOKUP(LEFT($N1516,2),LCTT_MAP!$A$7:$C$66,IF($M1516="THU",2,3),FALSE()),IFERROR(VLOOKUP(LEFT($N1516,1),LCTT_MAP!$A$7:$C$66,IF($M1516="THU",2,3),FALSE()),IF($M1516="THU","06","07")))))))</f>
        <v/>
      </c>
      <c r="P1516" s="117">
        <f>P1515+IF(AND($H1516&lt;&gt;"",OR(LEFT($F1516,LEN(SC_TK))=SC_TK,LEFT($G1516,LEN(SC_TK))=SC_TK)),1,0)</f>
        <v/>
      </c>
    </row>
    <row r="1517" ht="15" customHeight="1" s="78">
      <c r="A1517" s="95">
        <f>IF($H1517="","",ROW()-6)</f>
        <v/>
      </c>
      <c r="B1517" s="114" t="n"/>
      <c r="C1517" s="102" t="n"/>
      <c r="D1517" s="114" t="n"/>
      <c r="E1517" s="103" t="n"/>
      <c r="F1517" s="102" t="n"/>
      <c r="G1517" s="102" t="n"/>
      <c r="H1517" s="115" t="n"/>
      <c r="I1517" s="102" t="n"/>
      <c r="J1517" s="102" t="n"/>
      <c r="K1517" s="103" t="n"/>
      <c r="L1517" s="116">
        <f>IF($H1517="","",TRIM(IF(COUNTIF(DMTK!$A$7:$A$250,$F1517)=0,"TK Nợ sai! ","")&amp;IF(COUNTIF(DMTK!$A$7:$A$250,$G1517)=0,"TK Có sai! ","")&amp;IF(N($H1517)&lt;=0,"Tiền phải &gt; 0! ","")&amp;IF($B1517="","Thiếu ngày! ","")&amp;IF(AND(OR(LEFT($F1517,3)="131",LEFT($G1517,3)="131",LEFT($F1517,3)="331",LEFT($G1517,3)="331"),$I1517=""),"Thiếu Mã ĐT! ","")&amp;IF(AND($I1517&lt;&gt;"",COUNTIF(DM_DT!$A$7:$A$306,$I1517)=0),"Mã ĐT chưa khai báo! ","")))</f>
        <v/>
      </c>
      <c r="M1517" s="117">
        <f>IF($H1517="","",IF(AND(OR(LEFT($F1517,3)="111",LEFT($F1517,3)="112",LEFT($F1517,3)="113"),OR(LEFT($G1517,3)="111",LEFT($G1517,3)="112",LEFT($G1517,3)="113")),"NB",IF(OR(LEFT($F1517,3)="111",LEFT($F1517,3)="112",LEFT($F1517,3)="113"),"THU",IF(OR(LEFT($G1517,3)="111",LEFT($G1517,3)="112",LEFT($G1517,3)="113"),"CHI",""))))</f>
        <v/>
      </c>
      <c r="N1517" s="117">
        <f>IF($M1517="THU",$G1517,IF($M1517="CHI",$F1517,""))</f>
        <v/>
      </c>
      <c r="O1517" s="117">
        <f>IF(OR($M1517="",$M1517="NB"),"",IF($J1517&lt;&gt;"",TEXT($J1517,"00"),IFERROR(VLOOKUP(LEFT($N1517,4),LCTT_MAP!$A$7:$C$66,IF($M1517="THU",2,3),FALSE()),IFERROR(VLOOKUP(LEFT($N1517,3),LCTT_MAP!$A$7:$C$66,IF($M1517="THU",2,3),FALSE()),IFERROR(VLOOKUP(LEFT($N1517,2),LCTT_MAP!$A$7:$C$66,IF($M1517="THU",2,3),FALSE()),IFERROR(VLOOKUP(LEFT($N1517,1),LCTT_MAP!$A$7:$C$66,IF($M1517="THU",2,3),FALSE()),IF($M1517="THU","06","07")))))))</f>
        <v/>
      </c>
      <c r="P1517" s="117">
        <f>P1516+IF(AND($H1517&lt;&gt;"",OR(LEFT($F1517,LEN(SC_TK))=SC_TK,LEFT($G1517,LEN(SC_TK))=SC_TK)),1,0)</f>
        <v/>
      </c>
    </row>
    <row r="1518" ht="15" customHeight="1" s="78">
      <c r="A1518" s="95">
        <f>IF($H1518="","",ROW()-6)</f>
        <v/>
      </c>
      <c r="B1518" s="114" t="n"/>
      <c r="C1518" s="102" t="n"/>
      <c r="D1518" s="114" t="n"/>
      <c r="E1518" s="103" t="n"/>
      <c r="F1518" s="102" t="n"/>
      <c r="G1518" s="102" t="n"/>
      <c r="H1518" s="115" t="n"/>
      <c r="I1518" s="102" t="n"/>
      <c r="J1518" s="102" t="n"/>
      <c r="K1518" s="103" t="n"/>
      <c r="L1518" s="116">
        <f>IF($H1518="","",TRIM(IF(COUNTIF(DMTK!$A$7:$A$250,$F1518)=0,"TK Nợ sai! ","")&amp;IF(COUNTIF(DMTK!$A$7:$A$250,$G1518)=0,"TK Có sai! ","")&amp;IF(N($H1518)&lt;=0,"Tiền phải &gt; 0! ","")&amp;IF($B1518="","Thiếu ngày! ","")&amp;IF(AND(OR(LEFT($F1518,3)="131",LEFT($G1518,3)="131",LEFT($F1518,3)="331",LEFT($G1518,3)="331"),$I1518=""),"Thiếu Mã ĐT! ","")&amp;IF(AND($I1518&lt;&gt;"",COUNTIF(DM_DT!$A$7:$A$306,$I1518)=0),"Mã ĐT chưa khai báo! ","")))</f>
        <v/>
      </c>
      <c r="M1518" s="117">
        <f>IF($H1518="","",IF(AND(OR(LEFT($F1518,3)="111",LEFT($F1518,3)="112",LEFT($F1518,3)="113"),OR(LEFT($G1518,3)="111",LEFT($G1518,3)="112",LEFT($G1518,3)="113")),"NB",IF(OR(LEFT($F1518,3)="111",LEFT($F1518,3)="112",LEFT($F1518,3)="113"),"THU",IF(OR(LEFT($G1518,3)="111",LEFT($G1518,3)="112",LEFT($G1518,3)="113"),"CHI",""))))</f>
        <v/>
      </c>
      <c r="N1518" s="117">
        <f>IF($M1518="THU",$G1518,IF($M1518="CHI",$F1518,""))</f>
        <v/>
      </c>
      <c r="O1518" s="117">
        <f>IF(OR($M1518="",$M1518="NB"),"",IF($J1518&lt;&gt;"",TEXT($J1518,"00"),IFERROR(VLOOKUP(LEFT($N1518,4),LCTT_MAP!$A$7:$C$66,IF($M1518="THU",2,3),FALSE()),IFERROR(VLOOKUP(LEFT($N1518,3),LCTT_MAP!$A$7:$C$66,IF($M1518="THU",2,3),FALSE()),IFERROR(VLOOKUP(LEFT($N1518,2),LCTT_MAP!$A$7:$C$66,IF($M1518="THU",2,3),FALSE()),IFERROR(VLOOKUP(LEFT($N1518,1),LCTT_MAP!$A$7:$C$66,IF($M1518="THU",2,3),FALSE()),IF($M1518="THU","06","07")))))))</f>
        <v/>
      </c>
      <c r="P1518" s="117">
        <f>P1517+IF(AND($H1518&lt;&gt;"",OR(LEFT($F1518,LEN(SC_TK))=SC_TK,LEFT($G1518,LEN(SC_TK))=SC_TK)),1,0)</f>
        <v/>
      </c>
    </row>
    <row r="1519" ht="15" customHeight="1" s="78">
      <c r="A1519" s="95">
        <f>IF($H1519="","",ROW()-6)</f>
        <v/>
      </c>
      <c r="B1519" s="114" t="n"/>
      <c r="C1519" s="102" t="n"/>
      <c r="D1519" s="114" t="n"/>
      <c r="E1519" s="103" t="n"/>
      <c r="F1519" s="102" t="n"/>
      <c r="G1519" s="102" t="n"/>
      <c r="H1519" s="115" t="n"/>
      <c r="I1519" s="102" t="n"/>
      <c r="J1519" s="102" t="n"/>
      <c r="K1519" s="103" t="n"/>
      <c r="L1519" s="116">
        <f>IF($H1519="","",TRIM(IF(COUNTIF(DMTK!$A$7:$A$250,$F1519)=0,"TK Nợ sai! ","")&amp;IF(COUNTIF(DMTK!$A$7:$A$250,$G1519)=0,"TK Có sai! ","")&amp;IF(N($H1519)&lt;=0,"Tiền phải &gt; 0! ","")&amp;IF($B1519="","Thiếu ngày! ","")&amp;IF(AND(OR(LEFT($F1519,3)="131",LEFT($G1519,3)="131",LEFT($F1519,3)="331",LEFT($G1519,3)="331"),$I1519=""),"Thiếu Mã ĐT! ","")&amp;IF(AND($I1519&lt;&gt;"",COUNTIF(DM_DT!$A$7:$A$306,$I1519)=0),"Mã ĐT chưa khai báo! ","")))</f>
        <v/>
      </c>
      <c r="M1519" s="117">
        <f>IF($H1519="","",IF(AND(OR(LEFT($F1519,3)="111",LEFT($F1519,3)="112",LEFT($F1519,3)="113"),OR(LEFT($G1519,3)="111",LEFT($G1519,3)="112",LEFT($G1519,3)="113")),"NB",IF(OR(LEFT($F1519,3)="111",LEFT($F1519,3)="112",LEFT($F1519,3)="113"),"THU",IF(OR(LEFT($G1519,3)="111",LEFT($G1519,3)="112",LEFT($G1519,3)="113"),"CHI",""))))</f>
        <v/>
      </c>
      <c r="N1519" s="117">
        <f>IF($M1519="THU",$G1519,IF($M1519="CHI",$F1519,""))</f>
        <v/>
      </c>
      <c r="O1519" s="117">
        <f>IF(OR($M1519="",$M1519="NB"),"",IF($J1519&lt;&gt;"",TEXT($J1519,"00"),IFERROR(VLOOKUP(LEFT($N1519,4),LCTT_MAP!$A$7:$C$66,IF($M1519="THU",2,3),FALSE()),IFERROR(VLOOKUP(LEFT($N1519,3),LCTT_MAP!$A$7:$C$66,IF($M1519="THU",2,3),FALSE()),IFERROR(VLOOKUP(LEFT($N1519,2),LCTT_MAP!$A$7:$C$66,IF($M1519="THU",2,3),FALSE()),IFERROR(VLOOKUP(LEFT($N1519,1),LCTT_MAP!$A$7:$C$66,IF($M1519="THU",2,3),FALSE()),IF($M1519="THU","06","07")))))))</f>
        <v/>
      </c>
      <c r="P1519" s="117">
        <f>P1518+IF(AND($H1519&lt;&gt;"",OR(LEFT($F1519,LEN(SC_TK))=SC_TK,LEFT($G1519,LEN(SC_TK))=SC_TK)),1,0)</f>
        <v/>
      </c>
    </row>
    <row r="1520" ht="15" customHeight="1" s="78">
      <c r="A1520" s="95">
        <f>IF($H1520="","",ROW()-6)</f>
        <v/>
      </c>
      <c r="B1520" s="114" t="n"/>
      <c r="C1520" s="102" t="n"/>
      <c r="D1520" s="114" t="n"/>
      <c r="E1520" s="103" t="n"/>
      <c r="F1520" s="102" t="n"/>
      <c r="G1520" s="102" t="n"/>
      <c r="H1520" s="115" t="n"/>
      <c r="I1520" s="102" t="n"/>
      <c r="J1520" s="102" t="n"/>
      <c r="K1520" s="103" t="n"/>
      <c r="L1520" s="116">
        <f>IF($H1520="","",TRIM(IF(COUNTIF(DMTK!$A$7:$A$250,$F1520)=0,"TK Nợ sai! ","")&amp;IF(COUNTIF(DMTK!$A$7:$A$250,$G1520)=0,"TK Có sai! ","")&amp;IF(N($H1520)&lt;=0,"Tiền phải &gt; 0! ","")&amp;IF($B1520="","Thiếu ngày! ","")&amp;IF(AND(OR(LEFT($F1520,3)="131",LEFT($G1520,3)="131",LEFT($F1520,3)="331",LEFT($G1520,3)="331"),$I1520=""),"Thiếu Mã ĐT! ","")&amp;IF(AND($I1520&lt;&gt;"",COUNTIF(DM_DT!$A$7:$A$306,$I1520)=0),"Mã ĐT chưa khai báo! ","")))</f>
        <v/>
      </c>
      <c r="M1520" s="117">
        <f>IF($H1520="","",IF(AND(OR(LEFT($F1520,3)="111",LEFT($F1520,3)="112",LEFT($F1520,3)="113"),OR(LEFT($G1520,3)="111",LEFT($G1520,3)="112",LEFT($G1520,3)="113")),"NB",IF(OR(LEFT($F1520,3)="111",LEFT($F1520,3)="112",LEFT($F1520,3)="113"),"THU",IF(OR(LEFT($G1520,3)="111",LEFT($G1520,3)="112",LEFT($G1520,3)="113"),"CHI",""))))</f>
        <v/>
      </c>
      <c r="N1520" s="117">
        <f>IF($M1520="THU",$G1520,IF($M1520="CHI",$F1520,""))</f>
        <v/>
      </c>
      <c r="O1520" s="117">
        <f>IF(OR($M1520="",$M1520="NB"),"",IF($J1520&lt;&gt;"",TEXT($J1520,"00"),IFERROR(VLOOKUP(LEFT($N1520,4),LCTT_MAP!$A$7:$C$66,IF($M1520="THU",2,3),FALSE()),IFERROR(VLOOKUP(LEFT($N1520,3),LCTT_MAP!$A$7:$C$66,IF($M1520="THU",2,3),FALSE()),IFERROR(VLOOKUP(LEFT($N1520,2),LCTT_MAP!$A$7:$C$66,IF($M1520="THU",2,3),FALSE()),IFERROR(VLOOKUP(LEFT($N1520,1),LCTT_MAP!$A$7:$C$66,IF($M1520="THU",2,3),FALSE()),IF($M1520="THU","06","07")))))))</f>
        <v/>
      </c>
      <c r="P1520" s="117">
        <f>P1519+IF(AND($H1520&lt;&gt;"",OR(LEFT($F1520,LEN(SC_TK))=SC_TK,LEFT($G1520,LEN(SC_TK))=SC_TK)),1,0)</f>
        <v/>
      </c>
    </row>
    <row r="1521" ht="15" customHeight="1" s="78">
      <c r="A1521" s="95">
        <f>IF($H1521="","",ROW()-6)</f>
        <v/>
      </c>
      <c r="B1521" s="114" t="n"/>
      <c r="C1521" s="102" t="n"/>
      <c r="D1521" s="114" t="n"/>
      <c r="E1521" s="103" t="n"/>
      <c r="F1521" s="102" t="n"/>
      <c r="G1521" s="102" t="n"/>
      <c r="H1521" s="115" t="n"/>
      <c r="I1521" s="102" t="n"/>
      <c r="J1521" s="102" t="n"/>
      <c r="K1521" s="103" t="n"/>
      <c r="L1521" s="116">
        <f>IF($H1521="","",TRIM(IF(COUNTIF(DMTK!$A$7:$A$250,$F1521)=0,"TK Nợ sai! ","")&amp;IF(COUNTIF(DMTK!$A$7:$A$250,$G1521)=0,"TK Có sai! ","")&amp;IF(N($H1521)&lt;=0,"Tiền phải &gt; 0! ","")&amp;IF($B1521="","Thiếu ngày! ","")&amp;IF(AND(OR(LEFT($F1521,3)="131",LEFT($G1521,3)="131",LEFT($F1521,3)="331",LEFT($G1521,3)="331"),$I1521=""),"Thiếu Mã ĐT! ","")&amp;IF(AND($I1521&lt;&gt;"",COUNTIF(DM_DT!$A$7:$A$306,$I1521)=0),"Mã ĐT chưa khai báo! ","")))</f>
        <v/>
      </c>
      <c r="M1521" s="117">
        <f>IF($H1521="","",IF(AND(OR(LEFT($F1521,3)="111",LEFT($F1521,3)="112",LEFT($F1521,3)="113"),OR(LEFT($G1521,3)="111",LEFT($G1521,3)="112",LEFT($G1521,3)="113")),"NB",IF(OR(LEFT($F1521,3)="111",LEFT($F1521,3)="112",LEFT($F1521,3)="113"),"THU",IF(OR(LEFT($G1521,3)="111",LEFT($G1521,3)="112",LEFT($G1521,3)="113"),"CHI",""))))</f>
        <v/>
      </c>
      <c r="N1521" s="117">
        <f>IF($M1521="THU",$G1521,IF($M1521="CHI",$F1521,""))</f>
        <v/>
      </c>
      <c r="O1521" s="117">
        <f>IF(OR($M1521="",$M1521="NB"),"",IF($J1521&lt;&gt;"",TEXT($J1521,"00"),IFERROR(VLOOKUP(LEFT($N1521,4),LCTT_MAP!$A$7:$C$66,IF($M1521="THU",2,3),FALSE()),IFERROR(VLOOKUP(LEFT($N1521,3),LCTT_MAP!$A$7:$C$66,IF($M1521="THU",2,3),FALSE()),IFERROR(VLOOKUP(LEFT($N1521,2),LCTT_MAP!$A$7:$C$66,IF($M1521="THU",2,3),FALSE()),IFERROR(VLOOKUP(LEFT($N1521,1),LCTT_MAP!$A$7:$C$66,IF($M1521="THU",2,3),FALSE()),IF($M1521="THU","06","07")))))))</f>
        <v/>
      </c>
      <c r="P1521" s="117">
        <f>P1520+IF(AND($H1521&lt;&gt;"",OR(LEFT($F1521,LEN(SC_TK))=SC_TK,LEFT($G1521,LEN(SC_TK))=SC_TK)),1,0)</f>
        <v/>
      </c>
    </row>
    <row r="1522" ht="15" customHeight="1" s="78">
      <c r="A1522" s="95">
        <f>IF($H1522="","",ROW()-6)</f>
        <v/>
      </c>
      <c r="B1522" s="114" t="n"/>
      <c r="C1522" s="102" t="n"/>
      <c r="D1522" s="114" t="n"/>
      <c r="E1522" s="103" t="n"/>
      <c r="F1522" s="102" t="n"/>
      <c r="G1522" s="102" t="n"/>
      <c r="H1522" s="115" t="n"/>
      <c r="I1522" s="102" t="n"/>
      <c r="J1522" s="102" t="n"/>
      <c r="K1522" s="103" t="n"/>
      <c r="L1522" s="116">
        <f>IF($H1522="","",TRIM(IF(COUNTIF(DMTK!$A$7:$A$250,$F1522)=0,"TK Nợ sai! ","")&amp;IF(COUNTIF(DMTK!$A$7:$A$250,$G1522)=0,"TK Có sai! ","")&amp;IF(N($H1522)&lt;=0,"Tiền phải &gt; 0! ","")&amp;IF($B1522="","Thiếu ngày! ","")&amp;IF(AND(OR(LEFT($F1522,3)="131",LEFT($G1522,3)="131",LEFT($F1522,3)="331",LEFT($G1522,3)="331"),$I1522=""),"Thiếu Mã ĐT! ","")&amp;IF(AND($I1522&lt;&gt;"",COUNTIF(DM_DT!$A$7:$A$306,$I1522)=0),"Mã ĐT chưa khai báo! ","")))</f>
        <v/>
      </c>
      <c r="M1522" s="117">
        <f>IF($H1522="","",IF(AND(OR(LEFT($F1522,3)="111",LEFT($F1522,3)="112",LEFT($F1522,3)="113"),OR(LEFT($G1522,3)="111",LEFT($G1522,3)="112",LEFT($G1522,3)="113")),"NB",IF(OR(LEFT($F1522,3)="111",LEFT($F1522,3)="112",LEFT($F1522,3)="113"),"THU",IF(OR(LEFT($G1522,3)="111",LEFT($G1522,3)="112",LEFT($G1522,3)="113"),"CHI",""))))</f>
        <v/>
      </c>
      <c r="N1522" s="117">
        <f>IF($M1522="THU",$G1522,IF($M1522="CHI",$F1522,""))</f>
        <v/>
      </c>
      <c r="O1522" s="117">
        <f>IF(OR($M1522="",$M1522="NB"),"",IF($J1522&lt;&gt;"",TEXT($J1522,"00"),IFERROR(VLOOKUP(LEFT($N1522,4),LCTT_MAP!$A$7:$C$66,IF($M1522="THU",2,3),FALSE()),IFERROR(VLOOKUP(LEFT($N1522,3),LCTT_MAP!$A$7:$C$66,IF($M1522="THU",2,3),FALSE()),IFERROR(VLOOKUP(LEFT($N1522,2),LCTT_MAP!$A$7:$C$66,IF($M1522="THU",2,3),FALSE()),IFERROR(VLOOKUP(LEFT($N1522,1),LCTT_MAP!$A$7:$C$66,IF($M1522="THU",2,3),FALSE()),IF($M1522="THU","06","07")))))))</f>
        <v/>
      </c>
      <c r="P1522" s="117">
        <f>P1521+IF(AND($H1522&lt;&gt;"",OR(LEFT($F1522,LEN(SC_TK))=SC_TK,LEFT($G1522,LEN(SC_TK))=SC_TK)),1,0)</f>
        <v/>
      </c>
    </row>
    <row r="1523" ht="15" customHeight="1" s="78">
      <c r="A1523" s="95">
        <f>IF($H1523="","",ROW()-6)</f>
        <v/>
      </c>
      <c r="B1523" s="114" t="n"/>
      <c r="C1523" s="102" t="n"/>
      <c r="D1523" s="114" t="n"/>
      <c r="E1523" s="103" t="n"/>
      <c r="F1523" s="102" t="n"/>
      <c r="G1523" s="102" t="n"/>
      <c r="H1523" s="115" t="n"/>
      <c r="I1523" s="102" t="n"/>
      <c r="J1523" s="102" t="n"/>
      <c r="K1523" s="103" t="n"/>
      <c r="L1523" s="116">
        <f>IF($H1523="","",TRIM(IF(COUNTIF(DMTK!$A$7:$A$250,$F1523)=0,"TK Nợ sai! ","")&amp;IF(COUNTIF(DMTK!$A$7:$A$250,$G1523)=0,"TK Có sai! ","")&amp;IF(N($H1523)&lt;=0,"Tiền phải &gt; 0! ","")&amp;IF($B1523="","Thiếu ngày! ","")&amp;IF(AND(OR(LEFT($F1523,3)="131",LEFT($G1523,3)="131",LEFT($F1523,3)="331",LEFT($G1523,3)="331"),$I1523=""),"Thiếu Mã ĐT! ","")&amp;IF(AND($I1523&lt;&gt;"",COUNTIF(DM_DT!$A$7:$A$306,$I1523)=0),"Mã ĐT chưa khai báo! ","")))</f>
        <v/>
      </c>
      <c r="M1523" s="117">
        <f>IF($H1523="","",IF(AND(OR(LEFT($F1523,3)="111",LEFT($F1523,3)="112",LEFT($F1523,3)="113"),OR(LEFT($G1523,3)="111",LEFT($G1523,3)="112",LEFT($G1523,3)="113")),"NB",IF(OR(LEFT($F1523,3)="111",LEFT($F1523,3)="112",LEFT($F1523,3)="113"),"THU",IF(OR(LEFT($G1523,3)="111",LEFT($G1523,3)="112",LEFT($G1523,3)="113"),"CHI",""))))</f>
        <v/>
      </c>
      <c r="N1523" s="117">
        <f>IF($M1523="THU",$G1523,IF($M1523="CHI",$F1523,""))</f>
        <v/>
      </c>
      <c r="O1523" s="117">
        <f>IF(OR($M1523="",$M1523="NB"),"",IF($J1523&lt;&gt;"",TEXT($J1523,"00"),IFERROR(VLOOKUP(LEFT($N1523,4),LCTT_MAP!$A$7:$C$66,IF($M1523="THU",2,3),FALSE()),IFERROR(VLOOKUP(LEFT($N1523,3),LCTT_MAP!$A$7:$C$66,IF($M1523="THU",2,3),FALSE()),IFERROR(VLOOKUP(LEFT($N1523,2),LCTT_MAP!$A$7:$C$66,IF($M1523="THU",2,3),FALSE()),IFERROR(VLOOKUP(LEFT($N1523,1),LCTT_MAP!$A$7:$C$66,IF($M1523="THU",2,3),FALSE()),IF($M1523="THU","06","07")))))))</f>
        <v/>
      </c>
      <c r="P1523" s="117">
        <f>P1522+IF(AND($H1523&lt;&gt;"",OR(LEFT($F1523,LEN(SC_TK))=SC_TK,LEFT($G1523,LEN(SC_TK))=SC_TK)),1,0)</f>
        <v/>
      </c>
    </row>
    <row r="1524" ht="15" customHeight="1" s="78">
      <c r="A1524" s="95">
        <f>IF($H1524="","",ROW()-6)</f>
        <v/>
      </c>
      <c r="B1524" s="114" t="n"/>
      <c r="C1524" s="102" t="n"/>
      <c r="D1524" s="114" t="n"/>
      <c r="E1524" s="103" t="n"/>
      <c r="F1524" s="102" t="n"/>
      <c r="G1524" s="102" t="n"/>
      <c r="H1524" s="115" t="n"/>
      <c r="I1524" s="102" t="n"/>
      <c r="J1524" s="102" t="n"/>
      <c r="K1524" s="103" t="n"/>
      <c r="L1524" s="116">
        <f>IF($H1524="","",TRIM(IF(COUNTIF(DMTK!$A$7:$A$250,$F1524)=0,"TK Nợ sai! ","")&amp;IF(COUNTIF(DMTK!$A$7:$A$250,$G1524)=0,"TK Có sai! ","")&amp;IF(N($H1524)&lt;=0,"Tiền phải &gt; 0! ","")&amp;IF($B1524="","Thiếu ngày! ","")&amp;IF(AND(OR(LEFT($F1524,3)="131",LEFT($G1524,3)="131",LEFT($F1524,3)="331",LEFT($G1524,3)="331"),$I1524=""),"Thiếu Mã ĐT! ","")&amp;IF(AND($I1524&lt;&gt;"",COUNTIF(DM_DT!$A$7:$A$306,$I1524)=0),"Mã ĐT chưa khai báo! ","")))</f>
        <v/>
      </c>
      <c r="M1524" s="117">
        <f>IF($H1524="","",IF(AND(OR(LEFT($F1524,3)="111",LEFT($F1524,3)="112",LEFT($F1524,3)="113"),OR(LEFT($G1524,3)="111",LEFT($G1524,3)="112",LEFT($G1524,3)="113")),"NB",IF(OR(LEFT($F1524,3)="111",LEFT($F1524,3)="112",LEFT($F1524,3)="113"),"THU",IF(OR(LEFT($G1524,3)="111",LEFT($G1524,3)="112",LEFT($G1524,3)="113"),"CHI",""))))</f>
        <v/>
      </c>
      <c r="N1524" s="117">
        <f>IF($M1524="THU",$G1524,IF($M1524="CHI",$F1524,""))</f>
        <v/>
      </c>
      <c r="O1524" s="117">
        <f>IF(OR($M1524="",$M1524="NB"),"",IF($J1524&lt;&gt;"",TEXT($J1524,"00"),IFERROR(VLOOKUP(LEFT($N1524,4),LCTT_MAP!$A$7:$C$66,IF($M1524="THU",2,3),FALSE()),IFERROR(VLOOKUP(LEFT($N1524,3),LCTT_MAP!$A$7:$C$66,IF($M1524="THU",2,3),FALSE()),IFERROR(VLOOKUP(LEFT($N1524,2),LCTT_MAP!$A$7:$C$66,IF($M1524="THU",2,3),FALSE()),IFERROR(VLOOKUP(LEFT($N1524,1),LCTT_MAP!$A$7:$C$66,IF($M1524="THU",2,3),FALSE()),IF($M1524="THU","06","07")))))))</f>
        <v/>
      </c>
      <c r="P1524" s="117">
        <f>P1523+IF(AND($H1524&lt;&gt;"",OR(LEFT($F1524,LEN(SC_TK))=SC_TK,LEFT($G1524,LEN(SC_TK))=SC_TK)),1,0)</f>
        <v/>
      </c>
    </row>
    <row r="1525" ht="15" customHeight="1" s="78">
      <c r="A1525" s="95">
        <f>IF($H1525="","",ROW()-6)</f>
        <v/>
      </c>
      <c r="B1525" s="114" t="n"/>
      <c r="C1525" s="102" t="n"/>
      <c r="D1525" s="114" t="n"/>
      <c r="E1525" s="103" t="n"/>
      <c r="F1525" s="102" t="n"/>
      <c r="G1525" s="102" t="n"/>
      <c r="H1525" s="115" t="n"/>
      <c r="I1525" s="102" t="n"/>
      <c r="J1525" s="102" t="n"/>
      <c r="K1525" s="103" t="n"/>
      <c r="L1525" s="116">
        <f>IF($H1525="","",TRIM(IF(COUNTIF(DMTK!$A$7:$A$250,$F1525)=0,"TK Nợ sai! ","")&amp;IF(COUNTIF(DMTK!$A$7:$A$250,$G1525)=0,"TK Có sai! ","")&amp;IF(N($H1525)&lt;=0,"Tiền phải &gt; 0! ","")&amp;IF($B1525="","Thiếu ngày! ","")&amp;IF(AND(OR(LEFT($F1525,3)="131",LEFT($G1525,3)="131",LEFT($F1525,3)="331",LEFT($G1525,3)="331"),$I1525=""),"Thiếu Mã ĐT! ","")&amp;IF(AND($I1525&lt;&gt;"",COUNTIF(DM_DT!$A$7:$A$306,$I1525)=0),"Mã ĐT chưa khai báo! ","")))</f>
        <v/>
      </c>
      <c r="M1525" s="117">
        <f>IF($H1525="","",IF(AND(OR(LEFT($F1525,3)="111",LEFT($F1525,3)="112",LEFT($F1525,3)="113"),OR(LEFT($G1525,3)="111",LEFT($G1525,3)="112",LEFT($G1525,3)="113")),"NB",IF(OR(LEFT($F1525,3)="111",LEFT($F1525,3)="112",LEFT($F1525,3)="113"),"THU",IF(OR(LEFT($G1525,3)="111",LEFT($G1525,3)="112",LEFT($G1525,3)="113"),"CHI",""))))</f>
        <v/>
      </c>
      <c r="N1525" s="117">
        <f>IF($M1525="THU",$G1525,IF($M1525="CHI",$F1525,""))</f>
        <v/>
      </c>
      <c r="O1525" s="117">
        <f>IF(OR($M1525="",$M1525="NB"),"",IF($J1525&lt;&gt;"",TEXT($J1525,"00"),IFERROR(VLOOKUP(LEFT($N1525,4),LCTT_MAP!$A$7:$C$66,IF($M1525="THU",2,3),FALSE()),IFERROR(VLOOKUP(LEFT($N1525,3),LCTT_MAP!$A$7:$C$66,IF($M1525="THU",2,3),FALSE()),IFERROR(VLOOKUP(LEFT($N1525,2),LCTT_MAP!$A$7:$C$66,IF($M1525="THU",2,3),FALSE()),IFERROR(VLOOKUP(LEFT($N1525,1),LCTT_MAP!$A$7:$C$66,IF($M1525="THU",2,3),FALSE()),IF($M1525="THU","06","07")))))))</f>
        <v/>
      </c>
      <c r="P1525" s="117">
        <f>P1524+IF(AND($H1525&lt;&gt;"",OR(LEFT($F1525,LEN(SC_TK))=SC_TK,LEFT($G1525,LEN(SC_TK))=SC_TK)),1,0)</f>
        <v/>
      </c>
    </row>
    <row r="1526" ht="15" customHeight="1" s="78">
      <c r="A1526" s="95">
        <f>IF($H1526="","",ROW()-6)</f>
        <v/>
      </c>
      <c r="B1526" s="114" t="n"/>
      <c r="C1526" s="102" t="n"/>
      <c r="D1526" s="114" t="n"/>
      <c r="E1526" s="103" t="n"/>
      <c r="F1526" s="102" t="n"/>
      <c r="G1526" s="102" t="n"/>
      <c r="H1526" s="115" t="n"/>
      <c r="I1526" s="102" t="n"/>
      <c r="J1526" s="102" t="n"/>
      <c r="K1526" s="103" t="n"/>
      <c r="L1526" s="116">
        <f>IF($H1526="","",TRIM(IF(COUNTIF(DMTK!$A$7:$A$250,$F1526)=0,"TK Nợ sai! ","")&amp;IF(COUNTIF(DMTK!$A$7:$A$250,$G1526)=0,"TK Có sai! ","")&amp;IF(N($H1526)&lt;=0,"Tiền phải &gt; 0! ","")&amp;IF($B1526="","Thiếu ngày! ","")&amp;IF(AND(OR(LEFT($F1526,3)="131",LEFT($G1526,3)="131",LEFT($F1526,3)="331",LEFT($G1526,3)="331"),$I1526=""),"Thiếu Mã ĐT! ","")&amp;IF(AND($I1526&lt;&gt;"",COUNTIF(DM_DT!$A$7:$A$306,$I1526)=0),"Mã ĐT chưa khai báo! ","")))</f>
        <v/>
      </c>
      <c r="M1526" s="117">
        <f>IF($H1526="","",IF(AND(OR(LEFT($F1526,3)="111",LEFT($F1526,3)="112",LEFT($F1526,3)="113"),OR(LEFT($G1526,3)="111",LEFT($G1526,3)="112",LEFT($G1526,3)="113")),"NB",IF(OR(LEFT($F1526,3)="111",LEFT($F1526,3)="112",LEFT($F1526,3)="113"),"THU",IF(OR(LEFT($G1526,3)="111",LEFT($G1526,3)="112",LEFT($G1526,3)="113"),"CHI",""))))</f>
        <v/>
      </c>
      <c r="N1526" s="117">
        <f>IF($M1526="THU",$G1526,IF($M1526="CHI",$F1526,""))</f>
        <v/>
      </c>
      <c r="O1526" s="117">
        <f>IF(OR($M1526="",$M1526="NB"),"",IF($J1526&lt;&gt;"",TEXT($J1526,"00"),IFERROR(VLOOKUP(LEFT($N1526,4),LCTT_MAP!$A$7:$C$66,IF($M1526="THU",2,3),FALSE()),IFERROR(VLOOKUP(LEFT($N1526,3),LCTT_MAP!$A$7:$C$66,IF($M1526="THU",2,3),FALSE()),IFERROR(VLOOKUP(LEFT($N1526,2),LCTT_MAP!$A$7:$C$66,IF($M1526="THU",2,3),FALSE()),IFERROR(VLOOKUP(LEFT($N1526,1),LCTT_MAP!$A$7:$C$66,IF($M1526="THU",2,3),FALSE()),IF($M1526="THU","06","07")))))))</f>
        <v/>
      </c>
      <c r="P1526" s="117">
        <f>P1525+IF(AND($H1526&lt;&gt;"",OR(LEFT($F1526,LEN(SC_TK))=SC_TK,LEFT($G1526,LEN(SC_TK))=SC_TK)),1,0)</f>
        <v/>
      </c>
    </row>
    <row r="1527" ht="15" customHeight="1" s="78">
      <c r="A1527" s="95">
        <f>IF($H1527="","",ROW()-6)</f>
        <v/>
      </c>
      <c r="B1527" s="114" t="n"/>
      <c r="C1527" s="102" t="n"/>
      <c r="D1527" s="114" t="n"/>
      <c r="E1527" s="103" t="n"/>
      <c r="F1527" s="102" t="n"/>
      <c r="G1527" s="102" t="n"/>
      <c r="H1527" s="115" t="n"/>
      <c r="I1527" s="102" t="n"/>
      <c r="J1527" s="102" t="n"/>
      <c r="K1527" s="103" t="n"/>
      <c r="L1527" s="116">
        <f>IF($H1527="","",TRIM(IF(COUNTIF(DMTK!$A$7:$A$250,$F1527)=0,"TK Nợ sai! ","")&amp;IF(COUNTIF(DMTK!$A$7:$A$250,$G1527)=0,"TK Có sai! ","")&amp;IF(N($H1527)&lt;=0,"Tiền phải &gt; 0! ","")&amp;IF($B1527="","Thiếu ngày! ","")&amp;IF(AND(OR(LEFT($F1527,3)="131",LEFT($G1527,3)="131",LEFT($F1527,3)="331",LEFT($G1527,3)="331"),$I1527=""),"Thiếu Mã ĐT! ","")&amp;IF(AND($I1527&lt;&gt;"",COUNTIF(DM_DT!$A$7:$A$306,$I1527)=0),"Mã ĐT chưa khai báo! ","")))</f>
        <v/>
      </c>
      <c r="M1527" s="117">
        <f>IF($H1527="","",IF(AND(OR(LEFT($F1527,3)="111",LEFT($F1527,3)="112",LEFT($F1527,3)="113"),OR(LEFT($G1527,3)="111",LEFT($G1527,3)="112",LEFT($G1527,3)="113")),"NB",IF(OR(LEFT($F1527,3)="111",LEFT($F1527,3)="112",LEFT($F1527,3)="113"),"THU",IF(OR(LEFT($G1527,3)="111",LEFT($G1527,3)="112",LEFT($G1527,3)="113"),"CHI",""))))</f>
        <v/>
      </c>
      <c r="N1527" s="117">
        <f>IF($M1527="THU",$G1527,IF($M1527="CHI",$F1527,""))</f>
        <v/>
      </c>
      <c r="O1527" s="117">
        <f>IF(OR($M1527="",$M1527="NB"),"",IF($J1527&lt;&gt;"",TEXT($J1527,"00"),IFERROR(VLOOKUP(LEFT($N1527,4),LCTT_MAP!$A$7:$C$66,IF($M1527="THU",2,3),FALSE()),IFERROR(VLOOKUP(LEFT($N1527,3),LCTT_MAP!$A$7:$C$66,IF($M1527="THU",2,3),FALSE()),IFERROR(VLOOKUP(LEFT($N1527,2),LCTT_MAP!$A$7:$C$66,IF($M1527="THU",2,3),FALSE()),IFERROR(VLOOKUP(LEFT($N1527,1),LCTT_MAP!$A$7:$C$66,IF($M1527="THU",2,3),FALSE()),IF($M1527="THU","06","07")))))))</f>
        <v/>
      </c>
      <c r="P1527" s="117">
        <f>P1526+IF(AND($H1527&lt;&gt;"",OR(LEFT($F1527,LEN(SC_TK))=SC_TK,LEFT($G1527,LEN(SC_TK))=SC_TK)),1,0)</f>
        <v/>
      </c>
    </row>
    <row r="1528" ht="15" customHeight="1" s="78">
      <c r="A1528" s="95">
        <f>IF($H1528="","",ROW()-6)</f>
        <v/>
      </c>
      <c r="B1528" s="114" t="n"/>
      <c r="C1528" s="102" t="n"/>
      <c r="D1528" s="114" t="n"/>
      <c r="E1528" s="103" t="n"/>
      <c r="F1528" s="102" t="n"/>
      <c r="G1528" s="102" t="n"/>
      <c r="H1528" s="115" t="n"/>
      <c r="I1528" s="102" t="n"/>
      <c r="J1528" s="102" t="n"/>
      <c r="K1528" s="103" t="n"/>
      <c r="L1528" s="116">
        <f>IF($H1528="","",TRIM(IF(COUNTIF(DMTK!$A$7:$A$250,$F1528)=0,"TK Nợ sai! ","")&amp;IF(COUNTIF(DMTK!$A$7:$A$250,$G1528)=0,"TK Có sai! ","")&amp;IF(N($H1528)&lt;=0,"Tiền phải &gt; 0! ","")&amp;IF($B1528="","Thiếu ngày! ","")&amp;IF(AND(OR(LEFT($F1528,3)="131",LEFT($G1528,3)="131",LEFT($F1528,3)="331",LEFT($G1528,3)="331"),$I1528=""),"Thiếu Mã ĐT! ","")&amp;IF(AND($I1528&lt;&gt;"",COUNTIF(DM_DT!$A$7:$A$306,$I1528)=0),"Mã ĐT chưa khai báo! ","")))</f>
        <v/>
      </c>
      <c r="M1528" s="117">
        <f>IF($H1528="","",IF(AND(OR(LEFT($F1528,3)="111",LEFT($F1528,3)="112",LEFT($F1528,3)="113"),OR(LEFT($G1528,3)="111",LEFT($G1528,3)="112",LEFT($G1528,3)="113")),"NB",IF(OR(LEFT($F1528,3)="111",LEFT($F1528,3)="112",LEFT($F1528,3)="113"),"THU",IF(OR(LEFT($G1528,3)="111",LEFT($G1528,3)="112",LEFT($G1528,3)="113"),"CHI",""))))</f>
        <v/>
      </c>
      <c r="N1528" s="117">
        <f>IF($M1528="THU",$G1528,IF($M1528="CHI",$F1528,""))</f>
        <v/>
      </c>
      <c r="O1528" s="117">
        <f>IF(OR($M1528="",$M1528="NB"),"",IF($J1528&lt;&gt;"",TEXT($J1528,"00"),IFERROR(VLOOKUP(LEFT($N1528,4),LCTT_MAP!$A$7:$C$66,IF($M1528="THU",2,3),FALSE()),IFERROR(VLOOKUP(LEFT($N1528,3),LCTT_MAP!$A$7:$C$66,IF($M1528="THU",2,3),FALSE()),IFERROR(VLOOKUP(LEFT($N1528,2),LCTT_MAP!$A$7:$C$66,IF($M1528="THU",2,3),FALSE()),IFERROR(VLOOKUP(LEFT($N1528,1),LCTT_MAP!$A$7:$C$66,IF($M1528="THU",2,3),FALSE()),IF($M1528="THU","06","07")))))))</f>
        <v/>
      </c>
      <c r="P1528" s="117">
        <f>P1527+IF(AND($H1528&lt;&gt;"",OR(LEFT($F1528,LEN(SC_TK))=SC_TK,LEFT($G1528,LEN(SC_TK))=SC_TK)),1,0)</f>
        <v/>
      </c>
    </row>
    <row r="1529" ht="15" customHeight="1" s="78">
      <c r="A1529" s="95">
        <f>IF($H1529="","",ROW()-6)</f>
        <v/>
      </c>
      <c r="B1529" s="114" t="n"/>
      <c r="C1529" s="102" t="n"/>
      <c r="D1529" s="114" t="n"/>
      <c r="E1529" s="103" t="n"/>
      <c r="F1529" s="102" t="n"/>
      <c r="G1529" s="102" t="n"/>
      <c r="H1529" s="115" t="n"/>
      <c r="I1529" s="102" t="n"/>
      <c r="J1529" s="102" t="n"/>
      <c r="K1529" s="103" t="n"/>
      <c r="L1529" s="116">
        <f>IF($H1529="","",TRIM(IF(COUNTIF(DMTK!$A$7:$A$250,$F1529)=0,"TK Nợ sai! ","")&amp;IF(COUNTIF(DMTK!$A$7:$A$250,$G1529)=0,"TK Có sai! ","")&amp;IF(N($H1529)&lt;=0,"Tiền phải &gt; 0! ","")&amp;IF($B1529="","Thiếu ngày! ","")&amp;IF(AND(OR(LEFT($F1529,3)="131",LEFT($G1529,3)="131",LEFT($F1529,3)="331",LEFT($G1529,3)="331"),$I1529=""),"Thiếu Mã ĐT! ","")&amp;IF(AND($I1529&lt;&gt;"",COUNTIF(DM_DT!$A$7:$A$306,$I1529)=0),"Mã ĐT chưa khai báo! ","")))</f>
        <v/>
      </c>
      <c r="M1529" s="117">
        <f>IF($H1529="","",IF(AND(OR(LEFT($F1529,3)="111",LEFT($F1529,3)="112",LEFT($F1529,3)="113"),OR(LEFT($G1529,3)="111",LEFT($G1529,3)="112",LEFT($G1529,3)="113")),"NB",IF(OR(LEFT($F1529,3)="111",LEFT($F1529,3)="112",LEFT($F1529,3)="113"),"THU",IF(OR(LEFT($G1529,3)="111",LEFT($G1529,3)="112",LEFT($G1529,3)="113"),"CHI",""))))</f>
        <v/>
      </c>
      <c r="N1529" s="117">
        <f>IF($M1529="THU",$G1529,IF($M1529="CHI",$F1529,""))</f>
        <v/>
      </c>
      <c r="O1529" s="117">
        <f>IF(OR($M1529="",$M1529="NB"),"",IF($J1529&lt;&gt;"",TEXT($J1529,"00"),IFERROR(VLOOKUP(LEFT($N1529,4),LCTT_MAP!$A$7:$C$66,IF($M1529="THU",2,3),FALSE()),IFERROR(VLOOKUP(LEFT($N1529,3),LCTT_MAP!$A$7:$C$66,IF($M1529="THU",2,3),FALSE()),IFERROR(VLOOKUP(LEFT($N1529,2),LCTT_MAP!$A$7:$C$66,IF($M1529="THU",2,3),FALSE()),IFERROR(VLOOKUP(LEFT($N1529,1),LCTT_MAP!$A$7:$C$66,IF($M1529="THU",2,3),FALSE()),IF($M1529="THU","06","07")))))))</f>
        <v/>
      </c>
      <c r="P1529" s="117">
        <f>P1528+IF(AND($H1529&lt;&gt;"",OR(LEFT($F1529,LEN(SC_TK))=SC_TK,LEFT($G1529,LEN(SC_TK))=SC_TK)),1,0)</f>
        <v/>
      </c>
    </row>
    <row r="1530" ht="15" customHeight="1" s="78">
      <c r="A1530" s="95">
        <f>IF($H1530="","",ROW()-6)</f>
        <v/>
      </c>
      <c r="B1530" s="114" t="n"/>
      <c r="C1530" s="102" t="n"/>
      <c r="D1530" s="114" t="n"/>
      <c r="E1530" s="103" t="n"/>
      <c r="F1530" s="102" t="n"/>
      <c r="G1530" s="102" t="n"/>
      <c r="H1530" s="115" t="n"/>
      <c r="I1530" s="102" t="n"/>
      <c r="J1530" s="102" t="n"/>
      <c r="K1530" s="103" t="n"/>
      <c r="L1530" s="116">
        <f>IF($H1530="","",TRIM(IF(COUNTIF(DMTK!$A$7:$A$250,$F1530)=0,"TK Nợ sai! ","")&amp;IF(COUNTIF(DMTK!$A$7:$A$250,$G1530)=0,"TK Có sai! ","")&amp;IF(N($H1530)&lt;=0,"Tiền phải &gt; 0! ","")&amp;IF($B1530="","Thiếu ngày! ","")&amp;IF(AND(OR(LEFT($F1530,3)="131",LEFT($G1530,3)="131",LEFT($F1530,3)="331",LEFT($G1530,3)="331"),$I1530=""),"Thiếu Mã ĐT! ","")&amp;IF(AND($I1530&lt;&gt;"",COUNTIF(DM_DT!$A$7:$A$306,$I1530)=0),"Mã ĐT chưa khai báo! ","")))</f>
        <v/>
      </c>
      <c r="M1530" s="117">
        <f>IF($H1530="","",IF(AND(OR(LEFT($F1530,3)="111",LEFT($F1530,3)="112",LEFT($F1530,3)="113"),OR(LEFT($G1530,3)="111",LEFT($G1530,3)="112",LEFT($G1530,3)="113")),"NB",IF(OR(LEFT($F1530,3)="111",LEFT($F1530,3)="112",LEFT($F1530,3)="113"),"THU",IF(OR(LEFT($G1530,3)="111",LEFT($G1530,3)="112",LEFT($G1530,3)="113"),"CHI",""))))</f>
        <v/>
      </c>
      <c r="N1530" s="117">
        <f>IF($M1530="THU",$G1530,IF($M1530="CHI",$F1530,""))</f>
        <v/>
      </c>
      <c r="O1530" s="117">
        <f>IF(OR($M1530="",$M1530="NB"),"",IF($J1530&lt;&gt;"",TEXT($J1530,"00"),IFERROR(VLOOKUP(LEFT($N1530,4),LCTT_MAP!$A$7:$C$66,IF($M1530="THU",2,3),FALSE()),IFERROR(VLOOKUP(LEFT($N1530,3),LCTT_MAP!$A$7:$C$66,IF($M1530="THU",2,3),FALSE()),IFERROR(VLOOKUP(LEFT($N1530,2),LCTT_MAP!$A$7:$C$66,IF($M1530="THU",2,3),FALSE()),IFERROR(VLOOKUP(LEFT($N1530,1),LCTT_MAP!$A$7:$C$66,IF($M1530="THU",2,3),FALSE()),IF($M1530="THU","06","07")))))))</f>
        <v/>
      </c>
      <c r="P1530" s="117">
        <f>P1529+IF(AND($H1530&lt;&gt;"",OR(LEFT($F1530,LEN(SC_TK))=SC_TK,LEFT($G1530,LEN(SC_TK))=SC_TK)),1,0)</f>
        <v/>
      </c>
    </row>
    <row r="1531" ht="15" customHeight="1" s="78">
      <c r="A1531" s="95">
        <f>IF($H1531="","",ROW()-6)</f>
        <v/>
      </c>
      <c r="B1531" s="114" t="n"/>
      <c r="C1531" s="102" t="n"/>
      <c r="D1531" s="114" t="n"/>
      <c r="E1531" s="103" t="n"/>
      <c r="F1531" s="102" t="n"/>
      <c r="G1531" s="102" t="n"/>
      <c r="H1531" s="115" t="n"/>
      <c r="I1531" s="102" t="n"/>
      <c r="J1531" s="102" t="n"/>
      <c r="K1531" s="103" t="n"/>
      <c r="L1531" s="116">
        <f>IF($H1531="","",TRIM(IF(COUNTIF(DMTK!$A$7:$A$250,$F1531)=0,"TK Nợ sai! ","")&amp;IF(COUNTIF(DMTK!$A$7:$A$250,$G1531)=0,"TK Có sai! ","")&amp;IF(N($H1531)&lt;=0,"Tiền phải &gt; 0! ","")&amp;IF($B1531="","Thiếu ngày! ","")&amp;IF(AND(OR(LEFT($F1531,3)="131",LEFT($G1531,3)="131",LEFT($F1531,3)="331",LEFT($G1531,3)="331"),$I1531=""),"Thiếu Mã ĐT! ","")&amp;IF(AND($I1531&lt;&gt;"",COUNTIF(DM_DT!$A$7:$A$306,$I1531)=0),"Mã ĐT chưa khai báo! ","")))</f>
        <v/>
      </c>
      <c r="M1531" s="117">
        <f>IF($H1531="","",IF(AND(OR(LEFT($F1531,3)="111",LEFT($F1531,3)="112",LEFT($F1531,3)="113"),OR(LEFT($G1531,3)="111",LEFT($G1531,3)="112",LEFT($G1531,3)="113")),"NB",IF(OR(LEFT($F1531,3)="111",LEFT($F1531,3)="112",LEFT($F1531,3)="113"),"THU",IF(OR(LEFT($G1531,3)="111",LEFT($G1531,3)="112",LEFT($G1531,3)="113"),"CHI",""))))</f>
        <v/>
      </c>
      <c r="N1531" s="117">
        <f>IF($M1531="THU",$G1531,IF($M1531="CHI",$F1531,""))</f>
        <v/>
      </c>
      <c r="O1531" s="117">
        <f>IF(OR($M1531="",$M1531="NB"),"",IF($J1531&lt;&gt;"",TEXT($J1531,"00"),IFERROR(VLOOKUP(LEFT($N1531,4),LCTT_MAP!$A$7:$C$66,IF($M1531="THU",2,3),FALSE()),IFERROR(VLOOKUP(LEFT($N1531,3),LCTT_MAP!$A$7:$C$66,IF($M1531="THU",2,3),FALSE()),IFERROR(VLOOKUP(LEFT($N1531,2),LCTT_MAP!$A$7:$C$66,IF($M1531="THU",2,3),FALSE()),IFERROR(VLOOKUP(LEFT($N1531,1),LCTT_MAP!$A$7:$C$66,IF($M1531="THU",2,3),FALSE()),IF($M1531="THU","06","07")))))))</f>
        <v/>
      </c>
      <c r="P1531" s="117">
        <f>P1530+IF(AND($H1531&lt;&gt;"",OR(LEFT($F1531,LEN(SC_TK))=SC_TK,LEFT($G1531,LEN(SC_TK))=SC_TK)),1,0)</f>
        <v/>
      </c>
    </row>
    <row r="1532" ht="15" customHeight="1" s="78">
      <c r="A1532" s="95">
        <f>IF($H1532="","",ROW()-6)</f>
        <v/>
      </c>
      <c r="B1532" s="114" t="n"/>
      <c r="C1532" s="102" t="n"/>
      <c r="D1532" s="114" t="n"/>
      <c r="E1532" s="103" t="n"/>
      <c r="F1532" s="102" t="n"/>
      <c r="G1532" s="102" t="n"/>
      <c r="H1532" s="115" t="n"/>
      <c r="I1532" s="102" t="n"/>
      <c r="J1532" s="102" t="n"/>
      <c r="K1532" s="103" t="n"/>
      <c r="L1532" s="116">
        <f>IF($H1532="","",TRIM(IF(COUNTIF(DMTK!$A$7:$A$250,$F1532)=0,"TK Nợ sai! ","")&amp;IF(COUNTIF(DMTK!$A$7:$A$250,$G1532)=0,"TK Có sai! ","")&amp;IF(N($H1532)&lt;=0,"Tiền phải &gt; 0! ","")&amp;IF($B1532="","Thiếu ngày! ","")&amp;IF(AND(OR(LEFT($F1532,3)="131",LEFT($G1532,3)="131",LEFT($F1532,3)="331",LEFT($G1532,3)="331"),$I1532=""),"Thiếu Mã ĐT! ","")&amp;IF(AND($I1532&lt;&gt;"",COUNTIF(DM_DT!$A$7:$A$306,$I1532)=0),"Mã ĐT chưa khai báo! ","")))</f>
        <v/>
      </c>
      <c r="M1532" s="117">
        <f>IF($H1532="","",IF(AND(OR(LEFT($F1532,3)="111",LEFT($F1532,3)="112",LEFT($F1532,3)="113"),OR(LEFT($G1532,3)="111",LEFT($G1532,3)="112",LEFT($G1532,3)="113")),"NB",IF(OR(LEFT($F1532,3)="111",LEFT($F1532,3)="112",LEFT($F1532,3)="113"),"THU",IF(OR(LEFT($G1532,3)="111",LEFT($G1532,3)="112",LEFT($G1532,3)="113"),"CHI",""))))</f>
        <v/>
      </c>
      <c r="N1532" s="117">
        <f>IF($M1532="THU",$G1532,IF($M1532="CHI",$F1532,""))</f>
        <v/>
      </c>
      <c r="O1532" s="117">
        <f>IF(OR($M1532="",$M1532="NB"),"",IF($J1532&lt;&gt;"",TEXT($J1532,"00"),IFERROR(VLOOKUP(LEFT($N1532,4),LCTT_MAP!$A$7:$C$66,IF($M1532="THU",2,3),FALSE()),IFERROR(VLOOKUP(LEFT($N1532,3),LCTT_MAP!$A$7:$C$66,IF($M1532="THU",2,3),FALSE()),IFERROR(VLOOKUP(LEFT($N1532,2),LCTT_MAP!$A$7:$C$66,IF($M1532="THU",2,3),FALSE()),IFERROR(VLOOKUP(LEFT($N1532,1),LCTT_MAP!$A$7:$C$66,IF($M1532="THU",2,3),FALSE()),IF($M1532="THU","06","07")))))))</f>
        <v/>
      </c>
      <c r="P1532" s="117">
        <f>P1531+IF(AND($H1532&lt;&gt;"",OR(LEFT($F1532,LEN(SC_TK))=SC_TK,LEFT($G1532,LEN(SC_TK))=SC_TK)),1,0)</f>
        <v/>
      </c>
    </row>
    <row r="1533" ht="15" customHeight="1" s="78">
      <c r="A1533" s="95">
        <f>IF($H1533="","",ROW()-6)</f>
        <v/>
      </c>
      <c r="B1533" s="114" t="n"/>
      <c r="C1533" s="102" t="n"/>
      <c r="D1533" s="114" t="n"/>
      <c r="E1533" s="103" t="n"/>
      <c r="F1533" s="102" t="n"/>
      <c r="G1533" s="102" t="n"/>
      <c r="H1533" s="115" t="n"/>
      <c r="I1533" s="102" t="n"/>
      <c r="J1533" s="102" t="n"/>
      <c r="K1533" s="103" t="n"/>
      <c r="L1533" s="116">
        <f>IF($H1533="","",TRIM(IF(COUNTIF(DMTK!$A$7:$A$250,$F1533)=0,"TK Nợ sai! ","")&amp;IF(COUNTIF(DMTK!$A$7:$A$250,$G1533)=0,"TK Có sai! ","")&amp;IF(N($H1533)&lt;=0,"Tiền phải &gt; 0! ","")&amp;IF($B1533="","Thiếu ngày! ","")&amp;IF(AND(OR(LEFT($F1533,3)="131",LEFT($G1533,3)="131",LEFT($F1533,3)="331",LEFT($G1533,3)="331"),$I1533=""),"Thiếu Mã ĐT! ","")&amp;IF(AND($I1533&lt;&gt;"",COUNTIF(DM_DT!$A$7:$A$306,$I1533)=0),"Mã ĐT chưa khai báo! ","")))</f>
        <v/>
      </c>
      <c r="M1533" s="117">
        <f>IF($H1533="","",IF(AND(OR(LEFT($F1533,3)="111",LEFT($F1533,3)="112",LEFT($F1533,3)="113"),OR(LEFT($G1533,3)="111",LEFT($G1533,3)="112",LEFT($G1533,3)="113")),"NB",IF(OR(LEFT($F1533,3)="111",LEFT($F1533,3)="112",LEFT($F1533,3)="113"),"THU",IF(OR(LEFT($G1533,3)="111",LEFT($G1533,3)="112",LEFT($G1533,3)="113"),"CHI",""))))</f>
        <v/>
      </c>
      <c r="N1533" s="117">
        <f>IF($M1533="THU",$G1533,IF($M1533="CHI",$F1533,""))</f>
        <v/>
      </c>
      <c r="O1533" s="117">
        <f>IF(OR($M1533="",$M1533="NB"),"",IF($J1533&lt;&gt;"",TEXT($J1533,"00"),IFERROR(VLOOKUP(LEFT($N1533,4),LCTT_MAP!$A$7:$C$66,IF($M1533="THU",2,3),FALSE()),IFERROR(VLOOKUP(LEFT($N1533,3),LCTT_MAP!$A$7:$C$66,IF($M1533="THU",2,3),FALSE()),IFERROR(VLOOKUP(LEFT($N1533,2),LCTT_MAP!$A$7:$C$66,IF($M1533="THU",2,3),FALSE()),IFERROR(VLOOKUP(LEFT($N1533,1),LCTT_MAP!$A$7:$C$66,IF($M1533="THU",2,3),FALSE()),IF($M1533="THU","06","07")))))))</f>
        <v/>
      </c>
      <c r="P1533" s="117">
        <f>P1532+IF(AND($H1533&lt;&gt;"",OR(LEFT($F1533,LEN(SC_TK))=SC_TK,LEFT($G1533,LEN(SC_TK))=SC_TK)),1,0)</f>
        <v/>
      </c>
    </row>
    <row r="1534" ht="15" customHeight="1" s="78">
      <c r="A1534" s="95">
        <f>IF($H1534="","",ROW()-6)</f>
        <v/>
      </c>
      <c r="B1534" s="114" t="n"/>
      <c r="C1534" s="102" t="n"/>
      <c r="D1534" s="114" t="n"/>
      <c r="E1534" s="103" t="n"/>
      <c r="F1534" s="102" t="n"/>
      <c r="G1534" s="102" t="n"/>
      <c r="H1534" s="115" t="n"/>
      <c r="I1534" s="102" t="n"/>
      <c r="J1534" s="102" t="n"/>
      <c r="K1534" s="103" t="n"/>
      <c r="L1534" s="116">
        <f>IF($H1534="","",TRIM(IF(COUNTIF(DMTK!$A$7:$A$250,$F1534)=0,"TK Nợ sai! ","")&amp;IF(COUNTIF(DMTK!$A$7:$A$250,$G1534)=0,"TK Có sai! ","")&amp;IF(N($H1534)&lt;=0,"Tiền phải &gt; 0! ","")&amp;IF($B1534="","Thiếu ngày! ","")&amp;IF(AND(OR(LEFT($F1534,3)="131",LEFT($G1534,3)="131",LEFT($F1534,3)="331",LEFT($G1534,3)="331"),$I1534=""),"Thiếu Mã ĐT! ","")&amp;IF(AND($I1534&lt;&gt;"",COUNTIF(DM_DT!$A$7:$A$306,$I1534)=0),"Mã ĐT chưa khai báo! ","")))</f>
        <v/>
      </c>
      <c r="M1534" s="117">
        <f>IF($H1534="","",IF(AND(OR(LEFT($F1534,3)="111",LEFT($F1534,3)="112",LEFT($F1534,3)="113"),OR(LEFT($G1534,3)="111",LEFT($G1534,3)="112",LEFT($G1534,3)="113")),"NB",IF(OR(LEFT($F1534,3)="111",LEFT($F1534,3)="112",LEFT($F1534,3)="113"),"THU",IF(OR(LEFT($G1534,3)="111",LEFT($G1534,3)="112",LEFT($G1534,3)="113"),"CHI",""))))</f>
        <v/>
      </c>
      <c r="N1534" s="117">
        <f>IF($M1534="THU",$G1534,IF($M1534="CHI",$F1534,""))</f>
        <v/>
      </c>
      <c r="O1534" s="117">
        <f>IF(OR($M1534="",$M1534="NB"),"",IF($J1534&lt;&gt;"",TEXT($J1534,"00"),IFERROR(VLOOKUP(LEFT($N1534,4),LCTT_MAP!$A$7:$C$66,IF($M1534="THU",2,3),FALSE()),IFERROR(VLOOKUP(LEFT($N1534,3),LCTT_MAP!$A$7:$C$66,IF($M1534="THU",2,3),FALSE()),IFERROR(VLOOKUP(LEFT($N1534,2),LCTT_MAP!$A$7:$C$66,IF($M1534="THU",2,3),FALSE()),IFERROR(VLOOKUP(LEFT($N1534,1),LCTT_MAP!$A$7:$C$66,IF($M1534="THU",2,3),FALSE()),IF($M1534="THU","06","07")))))))</f>
        <v/>
      </c>
      <c r="P1534" s="117">
        <f>P1533+IF(AND($H1534&lt;&gt;"",OR(LEFT($F1534,LEN(SC_TK))=SC_TK,LEFT($G1534,LEN(SC_TK))=SC_TK)),1,0)</f>
        <v/>
      </c>
    </row>
    <row r="1535" ht="15" customHeight="1" s="78">
      <c r="A1535" s="95">
        <f>IF($H1535="","",ROW()-6)</f>
        <v/>
      </c>
      <c r="B1535" s="114" t="n"/>
      <c r="C1535" s="102" t="n"/>
      <c r="D1535" s="114" t="n"/>
      <c r="E1535" s="103" t="n"/>
      <c r="F1535" s="102" t="n"/>
      <c r="G1535" s="102" t="n"/>
      <c r="H1535" s="115" t="n"/>
      <c r="I1535" s="102" t="n"/>
      <c r="J1535" s="102" t="n"/>
      <c r="K1535" s="103" t="n"/>
      <c r="L1535" s="116">
        <f>IF($H1535="","",TRIM(IF(COUNTIF(DMTK!$A$7:$A$250,$F1535)=0,"TK Nợ sai! ","")&amp;IF(COUNTIF(DMTK!$A$7:$A$250,$G1535)=0,"TK Có sai! ","")&amp;IF(N($H1535)&lt;=0,"Tiền phải &gt; 0! ","")&amp;IF($B1535="","Thiếu ngày! ","")&amp;IF(AND(OR(LEFT($F1535,3)="131",LEFT($G1535,3)="131",LEFT($F1535,3)="331",LEFT($G1535,3)="331"),$I1535=""),"Thiếu Mã ĐT! ","")&amp;IF(AND($I1535&lt;&gt;"",COUNTIF(DM_DT!$A$7:$A$306,$I1535)=0),"Mã ĐT chưa khai báo! ","")))</f>
        <v/>
      </c>
      <c r="M1535" s="117">
        <f>IF($H1535="","",IF(AND(OR(LEFT($F1535,3)="111",LEFT($F1535,3)="112",LEFT($F1535,3)="113"),OR(LEFT($G1535,3)="111",LEFT($G1535,3)="112",LEFT($G1535,3)="113")),"NB",IF(OR(LEFT($F1535,3)="111",LEFT($F1535,3)="112",LEFT($F1535,3)="113"),"THU",IF(OR(LEFT($G1535,3)="111",LEFT($G1535,3)="112",LEFT($G1535,3)="113"),"CHI",""))))</f>
        <v/>
      </c>
      <c r="N1535" s="117">
        <f>IF($M1535="THU",$G1535,IF($M1535="CHI",$F1535,""))</f>
        <v/>
      </c>
      <c r="O1535" s="117">
        <f>IF(OR($M1535="",$M1535="NB"),"",IF($J1535&lt;&gt;"",TEXT($J1535,"00"),IFERROR(VLOOKUP(LEFT($N1535,4),LCTT_MAP!$A$7:$C$66,IF($M1535="THU",2,3),FALSE()),IFERROR(VLOOKUP(LEFT($N1535,3),LCTT_MAP!$A$7:$C$66,IF($M1535="THU",2,3),FALSE()),IFERROR(VLOOKUP(LEFT($N1535,2),LCTT_MAP!$A$7:$C$66,IF($M1535="THU",2,3),FALSE()),IFERROR(VLOOKUP(LEFT($N1535,1),LCTT_MAP!$A$7:$C$66,IF($M1535="THU",2,3),FALSE()),IF($M1535="THU","06","07")))))))</f>
        <v/>
      </c>
      <c r="P1535" s="117">
        <f>P1534+IF(AND($H1535&lt;&gt;"",OR(LEFT($F1535,LEN(SC_TK))=SC_TK,LEFT($G1535,LEN(SC_TK))=SC_TK)),1,0)</f>
        <v/>
      </c>
    </row>
    <row r="1536" ht="15" customHeight="1" s="78">
      <c r="A1536" s="95">
        <f>IF($H1536="","",ROW()-6)</f>
        <v/>
      </c>
      <c r="B1536" s="114" t="n"/>
      <c r="C1536" s="102" t="n"/>
      <c r="D1536" s="114" t="n"/>
      <c r="E1536" s="103" t="n"/>
      <c r="F1536" s="102" t="n"/>
      <c r="G1536" s="102" t="n"/>
      <c r="H1536" s="115" t="n"/>
      <c r="I1536" s="102" t="n"/>
      <c r="J1536" s="102" t="n"/>
      <c r="K1536" s="103" t="n"/>
      <c r="L1536" s="116">
        <f>IF($H1536="","",TRIM(IF(COUNTIF(DMTK!$A$7:$A$250,$F1536)=0,"TK Nợ sai! ","")&amp;IF(COUNTIF(DMTK!$A$7:$A$250,$G1536)=0,"TK Có sai! ","")&amp;IF(N($H1536)&lt;=0,"Tiền phải &gt; 0! ","")&amp;IF($B1536="","Thiếu ngày! ","")&amp;IF(AND(OR(LEFT($F1536,3)="131",LEFT($G1536,3)="131",LEFT($F1536,3)="331",LEFT($G1536,3)="331"),$I1536=""),"Thiếu Mã ĐT! ","")&amp;IF(AND($I1536&lt;&gt;"",COUNTIF(DM_DT!$A$7:$A$306,$I1536)=0),"Mã ĐT chưa khai báo! ","")))</f>
        <v/>
      </c>
      <c r="M1536" s="117">
        <f>IF($H1536="","",IF(AND(OR(LEFT($F1536,3)="111",LEFT($F1536,3)="112",LEFT($F1536,3)="113"),OR(LEFT($G1536,3)="111",LEFT($G1536,3)="112",LEFT($G1536,3)="113")),"NB",IF(OR(LEFT($F1536,3)="111",LEFT($F1536,3)="112",LEFT($F1536,3)="113"),"THU",IF(OR(LEFT($G1536,3)="111",LEFT($G1536,3)="112",LEFT($G1536,3)="113"),"CHI",""))))</f>
        <v/>
      </c>
      <c r="N1536" s="117">
        <f>IF($M1536="THU",$G1536,IF($M1536="CHI",$F1536,""))</f>
        <v/>
      </c>
      <c r="O1536" s="117">
        <f>IF(OR($M1536="",$M1536="NB"),"",IF($J1536&lt;&gt;"",TEXT($J1536,"00"),IFERROR(VLOOKUP(LEFT($N1536,4),LCTT_MAP!$A$7:$C$66,IF($M1536="THU",2,3),FALSE()),IFERROR(VLOOKUP(LEFT($N1536,3),LCTT_MAP!$A$7:$C$66,IF($M1536="THU",2,3),FALSE()),IFERROR(VLOOKUP(LEFT($N1536,2),LCTT_MAP!$A$7:$C$66,IF($M1536="THU",2,3),FALSE()),IFERROR(VLOOKUP(LEFT($N1536,1),LCTT_MAP!$A$7:$C$66,IF($M1536="THU",2,3),FALSE()),IF($M1536="THU","06","07")))))))</f>
        <v/>
      </c>
      <c r="P1536" s="117">
        <f>P1535+IF(AND($H1536&lt;&gt;"",OR(LEFT($F1536,LEN(SC_TK))=SC_TK,LEFT($G1536,LEN(SC_TK))=SC_TK)),1,0)</f>
        <v/>
      </c>
    </row>
    <row r="1537" ht="15" customHeight="1" s="78">
      <c r="A1537" s="95">
        <f>IF($H1537="","",ROW()-6)</f>
        <v/>
      </c>
      <c r="B1537" s="114" t="n"/>
      <c r="C1537" s="102" t="n"/>
      <c r="D1537" s="114" t="n"/>
      <c r="E1537" s="103" t="n"/>
      <c r="F1537" s="102" t="n"/>
      <c r="G1537" s="102" t="n"/>
      <c r="H1537" s="115" t="n"/>
      <c r="I1537" s="102" t="n"/>
      <c r="J1537" s="102" t="n"/>
      <c r="K1537" s="103" t="n"/>
      <c r="L1537" s="116">
        <f>IF($H1537="","",TRIM(IF(COUNTIF(DMTK!$A$7:$A$250,$F1537)=0,"TK Nợ sai! ","")&amp;IF(COUNTIF(DMTK!$A$7:$A$250,$G1537)=0,"TK Có sai! ","")&amp;IF(N($H1537)&lt;=0,"Tiền phải &gt; 0! ","")&amp;IF($B1537="","Thiếu ngày! ","")&amp;IF(AND(OR(LEFT($F1537,3)="131",LEFT($G1537,3)="131",LEFT($F1537,3)="331",LEFT($G1537,3)="331"),$I1537=""),"Thiếu Mã ĐT! ","")&amp;IF(AND($I1537&lt;&gt;"",COUNTIF(DM_DT!$A$7:$A$306,$I1537)=0),"Mã ĐT chưa khai báo! ","")))</f>
        <v/>
      </c>
      <c r="M1537" s="117">
        <f>IF($H1537="","",IF(AND(OR(LEFT($F1537,3)="111",LEFT($F1537,3)="112",LEFT($F1537,3)="113"),OR(LEFT($G1537,3)="111",LEFT($G1537,3)="112",LEFT($G1537,3)="113")),"NB",IF(OR(LEFT($F1537,3)="111",LEFT($F1537,3)="112",LEFT($F1537,3)="113"),"THU",IF(OR(LEFT($G1537,3)="111",LEFT($G1537,3)="112",LEFT($G1537,3)="113"),"CHI",""))))</f>
        <v/>
      </c>
      <c r="N1537" s="117">
        <f>IF($M1537="THU",$G1537,IF($M1537="CHI",$F1537,""))</f>
        <v/>
      </c>
      <c r="O1537" s="117">
        <f>IF(OR($M1537="",$M1537="NB"),"",IF($J1537&lt;&gt;"",TEXT($J1537,"00"),IFERROR(VLOOKUP(LEFT($N1537,4),LCTT_MAP!$A$7:$C$66,IF($M1537="THU",2,3),FALSE()),IFERROR(VLOOKUP(LEFT($N1537,3),LCTT_MAP!$A$7:$C$66,IF($M1537="THU",2,3),FALSE()),IFERROR(VLOOKUP(LEFT($N1537,2),LCTT_MAP!$A$7:$C$66,IF($M1537="THU",2,3),FALSE()),IFERROR(VLOOKUP(LEFT($N1537,1),LCTT_MAP!$A$7:$C$66,IF($M1537="THU",2,3),FALSE()),IF($M1537="THU","06","07")))))))</f>
        <v/>
      </c>
      <c r="P1537" s="117">
        <f>P1536+IF(AND($H1537&lt;&gt;"",OR(LEFT($F1537,LEN(SC_TK))=SC_TK,LEFT($G1537,LEN(SC_TK))=SC_TK)),1,0)</f>
        <v/>
      </c>
    </row>
    <row r="1538" ht="15" customHeight="1" s="78">
      <c r="A1538" s="95">
        <f>IF($H1538="","",ROW()-6)</f>
        <v/>
      </c>
      <c r="B1538" s="114" t="n"/>
      <c r="C1538" s="102" t="n"/>
      <c r="D1538" s="114" t="n"/>
      <c r="E1538" s="103" t="n"/>
      <c r="F1538" s="102" t="n"/>
      <c r="G1538" s="102" t="n"/>
      <c r="H1538" s="115" t="n"/>
      <c r="I1538" s="102" t="n"/>
      <c r="J1538" s="102" t="n"/>
      <c r="K1538" s="103" t="n"/>
      <c r="L1538" s="116">
        <f>IF($H1538="","",TRIM(IF(COUNTIF(DMTK!$A$7:$A$250,$F1538)=0,"TK Nợ sai! ","")&amp;IF(COUNTIF(DMTK!$A$7:$A$250,$G1538)=0,"TK Có sai! ","")&amp;IF(N($H1538)&lt;=0,"Tiền phải &gt; 0! ","")&amp;IF($B1538="","Thiếu ngày! ","")&amp;IF(AND(OR(LEFT($F1538,3)="131",LEFT($G1538,3)="131",LEFT($F1538,3)="331",LEFT($G1538,3)="331"),$I1538=""),"Thiếu Mã ĐT! ","")&amp;IF(AND($I1538&lt;&gt;"",COUNTIF(DM_DT!$A$7:$A$306,$I1538)=0),"Mã ĐT chưa khai báo! ","")))</f>
        <v/>
      </c>
      <c r="M1538" s="117">
        <f>IF($H1538="","",IF(AND(OR(LEFT($F1538,3)="111",LEFT($F1538,3)="112",LEFT($F1538,3)="113"),OR(LEFT($G1538,3)="111",LEFT($G1538,3)="112",LEFT($G1538,3)="113")),"NB",IF(OR(LEFT($F1538,3)="111",LEFT($F1538,3)="112",LEFT($F1538,3)="113"),"THU",IF(OR(LEFT($G1538,3)="111",LEFT($G1538,3)="112",LEFT($G1538,3)="113"),"CHI",""))))</f>
        <v/>
      </c>
      <c r="N1538" s="117">
        <f>IF($M1538="THU",$G1538,IF($M1538="CHI",$F1538,""))</f>
        <v/>
      </c>
      <c r="O1538" s="117">
        <f>IF(OR($M1538="",$M1538="NB"),"",IF($J1538&lt;&gt;"",TEXT($J1538,"00"),IFERROR(VLOOKUP(LEFT($N1538,4),LCTT_MAP!$A$7:$C$66,IF($M1538="THU",2,3),FALSE()),IFERROR(VLOOKUP(LEFT($N1538,3),LCTT_MAP!$A$7:$C$66,IF($M1538="THU",2,3),FALSE()),IFERROR(VLOOKUP(LEFT($N1538,2),LCTT_MAP!$A$7:$C$66,IF($M1538="THU",2,3),FALSE()),IFERROR(VLOOKUP(LEFT($N1538,1),LCTT_MAP!$A$7:$C$66,IF($M1538="THU",2,3),FALSE()),IF($M1538="THU","06","07")))))))</f>
        <v/>
      </c>
      <c r="P1538" s="117">
        <f>P1537+IF(AND($H1538&lt;&gt;"",OR(LEFT($F1538,LEN(SC_TK))=SC_TK,LEFT($G1538,LEN(SC_TK))=SC_TK)),1,0)</f>
        <v/>
      </c>
    </row>
    <row r="1539" ht="15" customHeight="1" s="78">
      <c r="A1539" s="95">
        <f>IF($H1539="","",ROW()-6)</f>
        <v/>
      </c>
      <c r="B1539" s="114" t="n"/>
      <c r="C1539" s="102" t="n"/>
      <c r="D1539" s="114" t="n"/>
      <c r="E1539" s="103" t="n"/>
      <c r="F1539" s="102" t="n"/>
      <c r="G1539" s="102" t="n"/>
      <c r="H1539" s="115" t="n"/>
      <c r="I1539" s="102" t="n"/>
      <c r="J1539" s="102" t="n"/>
      <c r="K1539" s="103" t="n"/>
      <c r="L1539" s="116">
        <f>IF($H1539="","",TRIM(IF(COUNTIF(DMTK!$A$7:$A$250,$F1539)=0,"TK Nợ sai! ","")&amp;IF(COUNTIF(DMTK!$A$7:$A$250,$G1539)=0,"TK Có sai! ","")&amp;IF(N($H1539)&lt;=0,"Tiền phải &gt; 0! ","")&amp;IF($B1539="","Thiếu ngày! ","")&amp;IF(AND(OR(LEFT($F1539,3)="131",LEFT($G1539,3)="131",LEFT($F1539,3)="331",LEFT($G1539,3)="331"),$I1539=""),"Thiếu Mã ĐT! ","")&amp;IF(AND($I1539&lt;&gt;"",COUNTIF(DM_DT!$A$7:$A$306,$I1539)=0),"Mã ĐT chưa khai báo! ","")))</f>
        <v/>
      </c>
      <c r="M1539" s="117">
        <f>IF($H1539="","",IF(AND(OR(LEFT($F1539,3)="111",LEFT($F1539,3)="112",LEFT($F1539,3)="113"),OR(LEFT($G1539,3)="111",LEFT($G1539,3)="112",LEFT($G1539,3)="113")),"NB",IF(OR(LEFT($F1539,3)="111",LEFT($F1539,3)="112",LEFT($F1539,3)="113"),"THU",IF(OR(LEFT($G1539,3)="111",LEFT($G1539,3)="112",LEFT($G1539,3)="113"),"CHI",""))))</f>
        <v/>
      </c>
      <c r="N1539" s="117">
        <f>IF($M1539="THU",$G1539,IF($M1539="CHI",$F1539,""))</f>
        <v/>
      </c>
      <c r="O1539" s="117">
        <f>IF(OR($M1539="",$M1539="NB"),"",IF($J1539&lt;&gt;"",TEXT($J1539,"00"),IFERROR(VLOOKUP(LEFT($N1539,4),LCTT_MAP!$A$7:$C$66,IF($M1539="THU",2,3),FALSE()),IFERROR(VLOOKUP(LEFT($N1539,3),LCTT_MAP!$A$7:$C$66,IF($M1539="THU",2,3),FALSE()),IFERROR(VLOOKUP(LEFT($N1539,2),LCTT_MAP!$A$7:$C$66,IF($M1539="THU",2,3),FALSE()),IFERROR(VLOOKUP(LEFT($N1539,1),LCTT_MAP!$A$7:$C$66,IF($M1539="THU",2,3),FALSE()),IF($M1539="THU","06","07")))))))</f>
        <v/>
      </c>
      <c r="P1539" s="117">
        <f>P1538+IF(AND($H1539&lt;&gt;"",OR(LEFT($F1539,LEN(SC_TK))=SC_TK,LEFT($G1539,LEN(SC_TK))=SC_TK)),1,0)</f>
        <v/>
      </c>
    </row>
    <row r="1540" ht="15" customHeight="1" s="78">
      <c r="A1540" s="95">
        <f>IF($H1540="","",ROW()-6)</f>
        <v/>
      </c>
      <c r="B1540" s="114" t="n"/>
      <c r="C1540" s="102" t="n"/>
      <c r="D1540" s="114" t="n"/>
      <c r="E1540" s="103" t="n"/>
      <c r="F1540" s="102" t="n"/>
      <c r="G1540" s="102" t="n"/>
      <c r="H1540" s="115" t="n"/>
      <c r="I1540" s="102" t="n"/>
      <c r="J1540" s="102" t="n"/>
      <c r="K1540" s="103" t="n"/>
      <c r="L1540" s="116">
        <f>IF($H1540="","",TRIM(IF(COUNTIF(DMTK!$A$7:$A$250,$F1540)=0,"TK Nợ sai! ","")&amp;IF(COUNTIF(DMTK!$A$7:$A$250,$G1540)=0,"TK Có sai! ","")&amp;IF(N($H1540)&lt;=0,"Tiền phải &gt; 0! ","")&amp;IF($B1540="","Thiếu ngày! ","")&amp;IF(AND(OR(LEFT($F1540,3)="131",LEFT($G1540,3)="131",LEFT($F1540,3)="331",LEFT($G1540,3)="331"),$I1540=""),"Thiếu Mã ĐT! ","")&amp;IF(AND($I1540&lt;&gt;"",COUNTIF(DM_DT!$A$7:$A$306,$I1540)=0),"Mã ĐT chưa khai báo! ","")))</f>
        <v/>
      </c>
      <c r="M1540" s="117">
        <f>IF($H1540="","",IF(AND(OR(LEFT($F1540,3)="111",LEFT($F1540,3)="112",LEFT($F1540,3)="113"),OR(LEFT($G1540,3)="111",LEFT($G1540,3)="112",LEFT($G1540,3)="113")),"NB",IF(OR(LEFT($F1540,3)="111",LEFT($F1540,3)="112",LEFT($F1540,3)="113"),"THU",IF(OR(LEFT($G1540,3)="111",LEFT($G1540,3)="112",LEFT($G1540,3)="113"),"CHI",""))))</f>
        <v/>
      </c>
      <c r="N1540" s="117">
        <f>IF($M1540="THU",$G1540,IF($M1540="CHI",$F1540,""))</f>
        <v/>
      </c>
      <c r="O1540" s="117">
        <f>IF(OR($M1540="",$M1540="NB"),"",IF($J1540&lt;&gt;"",TEXT($J1540,"00"),IFERROR(VLOOKUP(LEFT($N1540,4),LCTT_MAP!$A$7:$C$66,IF($M1540="THU",2,3),FALSE()),IFERROR(VLOOKUP(LEFT($N1540,3),LCTT_MAP!$A$7:$C$66,IF($M1540="THU",2,3),FALSE()),IFERROR(VLOOKUP(LEFT($N1540,2),LCTT_MAP!$A$7:$C$66,IF($M1540="THU",2,3),FALSE()),IFERROR(VLOOKUP(LEFT($N1540,1),LCTT_MAP!$A$7:$C$66,IF($M1540="THU",2,3),FALSE()),IF($M1540="THU","06","07")))))))</f>
        <v/>
      </c>
      <c r="P1540" s="117">
        <f>P1539+IF(AND($H1540&lt;&gt;"",OR(LEFT($F1540,LEN(SC_TK))=SC_TK,LEFT($G1540,LEN(SC_TK))=SC_TK)),1,0)</f>
        <v/>
      </c>
    </row>
    <row r="1541" ht="15" customHeight="1" s="78">
      <c r="A1541" s="95">
        <f>IF($H1541="","",ROW()-6)</f>
        <v/>
      </c>
      <c r="B1541" s="114" t="n"/>
      <c r="C1541" s="102" t="n"/>
      <c r="D1541" s="114" t="n"/>
      <c r="E1541" s="103" t="n"/>
      <c r="F1541" s="102" t="n"/>
      <c r="G1541" s="102" t="n"/>
      <c r="H1541" s="115" t="n"/>
      <c r="I1541" s="102" t="n"/>
      <c r="J1541" s="102" t="n"/>
      <c r="K1541" s="103" t="n"/>
      <c r="L1541" s="116">
        <f>IF($H1541="","",TRIM(IF(COUNTIF(DMTK!$A$7:$A$250,$F1541)=0,"TK Nợ sai! ","")&amp;IF(COUNTIF(DMTK!$A$7:$A$250,$G1541)=0,"TK Có sai! ","")&amp;IF(N($H1541)&lt;=0,"Tiền phải &gt; 0! ","")&amp;IF($B1541="","Thiếu ngày! ","")&amp;IF(AND(OR(LEFT($F1541,3)="131",LEFT($G1541,3)="131",LEFT($F1541,3)="331",LEFT($G1541,3)="331"),$I1541=""),"Thiếu Mã ĐT! ","")&amp;IF(AND($I1541&lt;&gt;"",COUNTIF(DM_DT!$A$7:$A$306,$I1541)=0),"Mã ĐT chưa khai báo! ","")))</f>
        <v/>
      </c>
      <c r="M1541" s="117">
        <f>IF($H1541="","",IF(AND(OR(LEFT($F1541,3)="111",LEFT($F1541,3)="112",LEFT($F1541,3)="113"),OR(LEFT($G1541,3)="111",LEFT($G1541,3)="112",LEFT($G1541,3)="113")),"NB",IF(OR(LEFT($F1541,3)="111",LEFT($F1541,3)="112",LEFT($F1541,3)="113"),"THU",IF(OR(LEFT($G1541,3)="111",LEFT($G1541,3)="112",LEFT($G1541,3)="113"),"CHI",""))))</f>
        <v/>
      </c>
      <c r="N1541" s="117">
        <f>IF($M1541="THU",$G1541,IF($M1541="CHI",$F1541,""))</f>
        <v/>
      </c>
      <c r="O1541" s="117">
        <f>IF(OR($M1541="",$M1541="NB"),"",IF($J1541&lt;&gt;"",TEXT($J1541,"00"),IFERROR(VLOOKUP(LEFT($N1541,4),LCTT_MAP!$A$7:$C$66,IF($M1541="THU",2,3),FALSE()),IFERROR(VLOOKUP(LEFT($N1541,3),LCTT_MAP!$A$7:$C$66,IF($M1541="THU",2,3),FALSE()),IFERROR(VLOOKUP(LEFT($N1541,2),LCTT_MAP!$A$7:$C$66,IF($M1541="THU",2,3),FALSE()),IFERROR(VLOOKUP(LEFT($N1541,1),LCTT_MAP!$A$7:$C$66,IF($M1541="THU",2,3),FALSE()),IF($M1541="THU","06","07")))))))</f>
        <v/>
      </c>
      <c r="P1541" s="117">
        <f>P1540+IF(AND($H1541&lt;&gt;"",OR(LEFT($F1541,LEN(SC_TK))=SC_TK,LEFT($G1541,LEN(SC_TK))=SC_TK)),1,0)</f>
        <v/>
      </c>
    </row>
    <row r="1542" ht="15" customHeight="1" s="78">
      <c r="A1542" s="95">
        <f>IF($H1542="","",ROW()-6)</f>
        <v/>
      </c>
      <c r="B1542" s="114" t="n"/>
      <c r="C1542" s="102" t="n"/>
      <c r="D1542" s="114" t="n"/>
      <c r="E1542" s="103" t="n"/>
      <c r="F1542" s="102" t="n"/>
      <c r="G1542" s="102" t="n"/>
      <c r="H1542" s="115" t="n"/>
      <c r="I1542" s="102" t="n"/>
      <c r="J1542" s="102" t="n"/>
      <c r="K1542" s="103" t="n"/>
      <c r="L1542" s="116">
        <f>IF($H1542="","",TRIM(IF(COUNTIF(DMTK!$A$7:$A$250,$F1542)=0,"TK Nợ sai! ","")&amp;IF(COUNTIF(DMTK!$A$7:$A$250,$G1542)=0,"TK Có sai! ","")&amp;IF(N($H1542)&lt;=0,"Tiền phải &gt; 0! ","")&amp;IF($B1542="","Thiếu ngày! ","")&amp;IF(AND(OR(LEFT($F1542,3)="131",LEFT($G1542,3)="131",LEFT($F1542,3)="331",LEFT($G1542,3)="331"),$I1542=""),"Thiếu Mã ĐT! ","")&amp;IF(AND($I1542&lt;&gt;"",COUNTIF(DM_DT!$A$7:$A$306,$I1542)=0),"Mã ĐT chưa khai báo! ","")))</f>
        <v/>
      </c>
      <c r="M1542" s="117">
        <f>IF($H1542="","",IF(AND(OR(LEFT($F1542,3)="111",LEFT($F1542,3)="112",LEFT($F1542,3)="113"),OR(LEFT($G1542,3)="111",LEFT($G1542,3)="112",LEFT($G1542,3)="113")),"NB",IF(OR(LEFT($F1542,3)="111",LEFT($F1542,3)="112",LEFT($F1542,3)="113"),"THU",IF(OR(LEFT($G1542,3)="111",LEFT($G1542,3)="112",LEFT($G1542,3)="113"),"CHI",""))))</f>
        <v/>
      </c>
      <c r="N1542" s="117">
        <f>IF($M1542="THU",$G1542,IF($M1542="CHI",$F1542,""))</f>
        <v/>
      </c>
      <c r="O1542" s="117">
        <f>IF(OR($M1542="",$M1542="NB"),"",IF($J1542&lt;&gt;"",TEXT($J1542,"00"),IFERROR(VLOOKUP(LEFT($N1542,4),LCTT_MAP!$A$7:$C$66,IF($M1542="THU",2,3),FALSE()),IFERROR(VLOOKUP(LEFT($N1542,3),LCTT_MAP!$A$7:$C$66,IF($M1542="THU",2,3),FALSE()),IFERROR(VLOOKUP(LEFT($N1542,2),LCTT_MAP!$A$7:$C$66,IF($M1542="THU",2,3),FALSE()),IFERROR(VLOOKUP(LEFT($N1542,1),LCTT_MAP!$A$7:$C$66,IF($M1542="THU",2,3),FALSE()),IF($M1542="THU","06","07")))))))</f>
        <v/>
      </c>
      <c r="P1542" s="117">
        <f>P1541+IF(AND($H1542&lt;&gt;"",OR(LEFT($F1542,LEN(SC_TK))=SC_TK,LEFT($G1542,LEN(SC_TK))=SC_TK)),1,0)</f>
        <v/>
      </c>
    </row>
    <row r="1543" ht="15" customHeight="1" s="78">
      <c r="A1543" s="95">
        <f>IF($H1543="","",ROW()-6)</f>
        <v/>
      </c>
      <c r="B1543" s="114" t="n"/>
      <c r="C1543" s="102" t="n"/>
      <c r="D1543" s="114" t="n"/>
      <c r="E1543" s="103" t="n"/>
      <c r="F1543" s="102" t="n"/>
      <c r="G1543" s="102" t="n"/>
      <c r="H1543" s="115" t="n"/>
      <c r="I1543" s="102" t="n"/>
      <c r="J1543" s="102" t="n"/>
      <c r="K1543" s="103" t="n"/>
      <c r="L1543" s="116">
        <f>IF($H1543="","",TRIM(IF(COUNTIF(DMTK!$A$7:$A$250,$F1543)=0,"TK Nợ sai! ","")&amp;IF(COUNTIF(DMTK!$A$7:$A$250,$G1543)=0,"TK Có sai! ","")&amp;IF(N($H1543)&lt;=0,"Tiền phải &gt; 0! ","")&amp;IF($B1543="","Thiếu ngày! ","")&amp;IF(AND(OR(LEFT($F1543,3)="131",LEFT($G1543,3)="131",LEFT($F1543,3)="331",LEFT($G1543,3)="331"),$I1543=""),"Thiếu Mã ĐT! ","")&amp;IF(AND($I1543&lt;&gt;"",COUNTIF(DM_DT!$A$7:$A$306,$I1543)=0),"Mã ĐT chưa khai báo! ","")))</f>
        <v/>
      </c>
      <c r="M1543" s="117">
        <f>IF($H1543="","",IF(AND(OR(LEFT($F1543,3)="111",LEFT($F1543,3)="112",LEFT($F1543,3)="113"),OR(LEFT($G1543,3)="111",LEFT($G1543,3)="112",LEFT($G1543,3)="113")),"NB",IF(OR(LEFT($F1543,3)="111",LEFT($F1543,3)="112",LEFT($F1543,3)="113"),"THU",IF(OR(LEFT($G1543,3)="111",LEFT($G1543,3)="112",LEFT($G1543,3)="113"),"CHI",""))))</f>
        <v/>
      </c>
      <c r="N1543" s="117">
        <f>IF($M1543="THU",$G1543,IF($M1543="CHI",$F1543,""))</f>
        <v/>
      </c>
      <c r="O1543" s="117">
        <f>IF(OR($M1543="",$M1543="NB"),"",IF($J1543&lt;&gt;"",TEXT($J1543,"00"),IFERROR(VLOOKUP(LEFT($N1543,4),LCTT_MAP!$A$7:$C$66,IF($M1543="THU",2,3),FALSE()),IFERROR(VLOOKUP(LEFT($N1543,3),LCTT_MAP!$A$7:$C$66,IF($M1543="THU",2,3),FALSE()),IFERROR(VLOOKUP(LEFT($N1543,2),LCTT_MAP!$A$7:$C$66,IF($M1543="THU",2,3),FALSE()),IFERROR(VLOOKUP(LEFT($N1543,1),LCTT_MAP!$A$7:$C$66,IF($M1543="THU",2,3),FALSE()),IF($M1543="THU","06","07")))))))</f>
        <v/>
      </c>
      <c r="P1543" s="117">
        <f>P1542+IF(AND($H1543&lt;&gt;"",OR(LEFT($F1543,LEN(SC_TK))=SC_TK,LEFT($G1543,LEN(SC_TK))=SC_TK)),1,0)</f>
        <v/>
      </c>
    </row>
    <row r="1544" ht="15" customHeight="1" s="78">
      <c r="A1544" s="95">
        <f>IF($H1544="","",ROW()-6)</f>
        <v/>
      </c>
      <c r="B1544" s="114" t="n"/>
      <c r="C1544" s="102" t="n"/>
      <c r="D1544" s="114" t="n"/>
      <c r="E1544" s="103" t="n"/>
      <c r="F1544" s="102" t="n"/>
      <c r="G1544" s="102" t="n"/>
      <c r="H1544" s="115" t="n"/>
      <c r="I1544" s="102" t="n"/>
      <c r="J1544" s="102" t="n"/>
      <c r="K1544" s="103" t="n"/>
      <c r="L1544" s="116">
        <f>IF($H1544="","",TRIM(IF(COUNTIF(DMTK!$A$7:$A$250,$F1544)=0,"TK Nợ sai! ","")&amp;IF(COUNTIF(DMTK!$A$7:$A$250,$G1544)=0,"TK Có sai! ","")&amp;IF(N($H1544)&lt;=0,"Tiền phải &gt; 0! ","")&amp;IF($B1544="","Thiếu ngày! ","")&amp;IF(AND(OR(LEFT($F1544,3)="131",LEFT($G1544,3)="131",LEFT($F1544,3)="331",LEFT($G1544,3)="331"),$I1544=""),"Thiếu Mã ĐT! ","")&amp;IF(AND($I1544&lt;&gt;"",COUNTIF(DM_DT!$A$7:$A$306,$I1544)=0),"Mã ĐT chưa khai báo! ","")))</f>
        <v/>
      </c>
      <c r="M1544" s="117">
        <f>IF($H1544="","",IF(AND(OR(LEFT($F1544,3)="111",LEFT($F1544,3)="112",LEFT($F1544,3)="113"),OR(LEFT($G1544,3)="111",LEFT($G1544,3)="112",LEFT($G1544,3)="113")),"NB",IF(OR(LEFT($F1544,3)="111",LEFT($F1544,3)="112",LEFT($F1544,3)="113"),"THU",IF(OR(LEFT($G1544,3)="111",LEFT($G1544,3)="112",LEFT($G1544,3)="113"),"CHI",""))))</f>
        <v/>
      </c>
      <c r="N1544" s="117">
        <f>IF($M1544="THU",$G1544,IF($M1544="CHI",$F1544,""))</f>
        <v/>
      </c>
      <c r="O1544" s="117">
        <f>IF(OR($M1544="",$M1544="NB"),"",IF($J1544&lt;&gt;"",TEXT($J1544,"00"),IFERROR(VLOOKUP(LEFT($N1544,4),LCTT_MAP!$A$7:$C$66,IF($M1544="THU",2,3),FALSE()),IFERROR(VLOOKUP(LEFT($N1544,3),LCTT_MAP!$A$7:$C$66,IF($M1544="THU",2,3),FALSE()),IFERROR(VLOOKUP(LEFT($N1544,2),LCTT_MAP!$A$7:$C$66,IF($M1544="THU",2,3),FALSE()),IFERROR(VLOOKUP(LEFT($N1544,1),LCTT_MAP!$A$7:$C$66,IF($M1544="THU",2,3),FALSE()),IF($M1544="THU","06","07")))))))</f>
        <v/>
      </c>
      <c r="P1544" s="117">
        <f>P1543+IF(AND($H1544&lt;&gt;"",OR(LEFT($F1544,LEN(SC_TK))=SC_TK,LEFT($G1544,LEN(SC_TK))=SC_TK)),1,0)</f>
        <v/>
      </c>
    </row>
    <row r="1545" ht="15" customHeight="1" s="78">
      <c r="A1545" s="95">
        <f>IF($H1545="","",ROW()-6)</f>
        <v/>
      </c>
      <c r="B1545" s="114" t="n"/>
      <c r="C1545" s="102" t="n"/>
      <c r="D1545" s="114" t="n"/>
      <c r="E1545" s="103" t="n"/>
      <c r="F1545" s="102" t="n"/>
      <c r="G1545" s="102" t="n"/>
      <c r="H1545" s="115" t="n"/>
      <c r="I1545" s="102" t="n"/>
      <c r="J1545" s="102" t="n"/>
      <c r="K1545" s="103" t="n"/>
      <c r="L1545" s="116">
        <f>IF($H1545="","",TRIM(IF(COUNTIF(DMTK!$A$7:$A$250,$F1545)=0,"TK Nợ sai! ","")&amp;IF(COUNTIF(DMTK!$A$7:$A$250,$G1545)=0,"TK Có sai! ","")&amp;IF(N($H1545)&lt;=0,"Tiền phải &gt; 0! ","")&amp;IF($B1545="","Thiếu ngày! ","")&amp;IF(AND(OR(LEFT($F1545,3)="131",LEFT($G1545,3)="131",LEFT($F1545,3)="331",LEFT($G1545,3)="331"),$I1545=""),"Thiếu Mã ĐT! ","")&amp;IF(AND($I1545&lt;&gt;"",COUNTIF(DM_DT!$A$7:$A$306,$I1545)=0),"Mã ĐT chưa khai báo! ","")))</f>
        <v/>
      </c>
      <c r="M1545" s="117">
        <f>IF($H1545="","",IF(AND(OR(LEFT($F1545,3)="111",LEFT($F1545,3)="112",LEFT($F1545,3)="113"),OR(LEFT($G1545,3)="111",LEFT($G1545,3)="112",LEFT($G1545,3)="113")),"NB",IF(OR(LEFT($F1545,3)="111",LEFT($F1545,3)="112",LEFT($F1545,3)="113"),"THU",IF(OR(LEFT($G1545,3)="111",LEFT($G1545,3)="112",LEFT($G1545,3)="113"),"CHI",""))))</f>
        <v/>
      </c>
      <c r="N1545" s="117">
        <f>IF($M1545="THU",$G1545,IF($M1545="CHI",$F1545,""))</f>
        <v/>
      </c>
      <c r="O1545" s="117">
        <f>IF(OR($M1545="",$M1545="NB"),"",IF($J1545&lt;&gt;"",TEXT($J1545,"00"),IFERROR(VLOOKUP(LEFT($N1545,4),LCTT_MAP!$A$7:$C$66,IF($M1545="THU",2,3),FALSE()),IFERROR(VLOOKUP(LEFT($N1545,3),LCTT_MAP!$A$7:$C$66,IF($M1545="THU",2,3),FALSE()),IFERROR(VLOOKUP(LEFT($N1545,2),LCTT_MAP!$A$7:$C$66,IF($M1545="THU",2,3),FALSE()),IFERROR(VLOOKUP(LEFT($N1545,1),LCTT_MAP!$A$7:$C$66,IF($M1545="THU",2,3),FALSE()),IF($M1545="THU","06","07")))))))</f>
        <v/>
      </c>
      <c r="P1545" s="117">
        <f>P1544+IF(AND($H1545&lt;&gt;"",OR(LEFT($F1545,LEN(SC_TK))=SC_TK,LEFT($G1545,LEN(SC_TK))=SC_TK)),1,0)</f>
        <v/>
      </c>
    </row>
    <row r="1546" ht="15" customHeight="1" s="78">
      <c r="A1546" s="95">
        <f>IF($H1546="","",ROW()-6)</f>
        <v/>
      </c>
      <c r="B1546" s="114" t="n"/>
      <c r="C1546" s="102" t="n"/>
      <c r="D1546" s="114" t="n"/>
      <c r="E1546" s="103" t="n"/>
      <c r="F1546" s="102" t="n"/>
      <c r="G1546" s="102" t="n"/>
      <c r="H1546" s="115" t="n"/>
      <c r="I1546" s="102" t="n"/>
      <c r="J1546" s="102" t="n"/>
      <c r="K1546" s="103" t="n"/>
      <c r="L1546" s="116">
        <f>IF($H1546="","",TRIM(IF(COUNTIF(DMTK!$A$7:$A$250,$F1546)=0,"TK Nợ sai! ","")&amp;IF(COUNTIF(DMTK!$A$7:$A$250,$G1546)=0,"TK Có sai! ","")&amp;IF(N($H1546)&lt;=0,"Tiền phải &gt; 0! ","")&amp;IF($B1546="","Thiếu ngày! ","")&amp;IF(AND(OR(LEFT($F1546,3)="131",LEFT($G1546,3)="131",LEFT($F1546,3)="331",LEFT($G1546,3)="331"),$I1546=""),"Thiếu Mã ĐT! ","")&amp;IF(AND($I1546&lt;&gt;"",COUNTIF(DM_DT!$A$7:$A$306,$I1546)=0),"Mã ĐT chưa khai báo! ","")))</f>
        <v/>
      </c>
      <c r="M1546" s="117">
        <f>IF($H1546="","",IF(AND(OR(LEFT($F1546,3)="111",LEFT($F1546,3)="112",LEFT($F1546,3)="113"),OR(LEFT($G1546,3)="111",LEFT($G1546,3)="112",LEFT($G1546,3)="113")),"NB",IF(OR(LEFT($F1546,3)="111",LEFT($F1546,3)="112",LEFT($F1546,3)="113"),"THU",IF(OR(LEFT($G1546,3)="111",LEFT($G1546,3)="112",LEFT($G1546,3)="113"),"CHI",""))))</f>
        <v/>
      </c>
      <c r="N1546" s="117">
        <f>IF($M1546="THU",$G1546,IF($M1546="CHI",$F1546,""))</f>
        <v/>
      </c>
      <c r="O1546" s="117">
        <f>IF(OR($M1546="",$M1546="NB"),"",IF($J1546&lt;&gt;"",TEXT($J1546,"00"),IFERROR(VLOOKUP(LEFT($N1546,4),LCTT_MAP!$A$7:$C$66,IF($M1546="THU",2,3),FALSE()),IFERROR(VLOOKUP(LEFT($N1546,3),LCTT_MAP!$A$7:$C$66,IF($M1546="THU",2,3),FALSE()),IFERROR(VLOOKUP(LEFT($N1546,2),LCTT_MAP!$A$7:$C$66,IF($M1546="THU",2,3),FALSE()),IFERROR(VLOOKUP(LEFT($N1546,1),LCTT_MAP!$A$7:$C$66,IF($M1546="THU",2,3),FALSE()),IF($M1546="THU","06","07")))))))</f>
        <v/>
      </c>
      <c r="P1546" s="117">
        <f>P1545+IF(AND($H1546&lt;&gt;"",OR(LEFT($F1546,LEN(SC_TK))=SC_TK,LEFT($G1546,LEN(SC_TK))=SC_TK)),1,0)</f>
        <v/>
      </c>
    </row>
    <row r="1547" ht="15" customHeight="1" s="78">
      <c r="A1547" s="95">
        <f>IF($H1547="","",ROW()-6)</f>
        <v/>
      </c>
      <c r="B1547" s="114" t="n"/>
      <c r="C1547" s="102" t="n"/>
      <c r="D1547" s="114" t="n"/>
      <c r="E1547" s="103" t="n"/>
      <c r="F1547" s="102" t="n"/>
      <c r="G1547" s="102" t="n"/>
      <c r="H1547" s="115" t="n"/>
      <c r="I1547" s="102" t="n"/>
      <c r="J1547" s="102" t="n"/>
      <c r="K1547" s="103" t="n"/>
      <c r="L1547" s="116">
        <f>IF($H1547="","",TRIM(IF(COUNTIF(DMTK!$A$7:$A$250,$F1547)=0,"TK Nợ sai! ","")&amp;IF(COUNTIF(DMTK!$A$7:$A$250,$G1547)=0,"TK Có sai! ","")&amp;IF(N($H1547)&lt;=0,"Tiền phải &gt; 0! ","")&amp;IF($B1547="","Thiếu ngày! ","")&amp;IF(AND(OR(LEFT($F1547,3)="131",LEFT($G1547,3)="131",LEFT($F1547,3)="331",LEFT($G1547,3)="331"),$I1547=""),"Thiếu Mã ĐT! ","")&amp;IF(AND($I1547&lt;&gt;"",COUNTIF(DM_DT!$A$7:$A$306,$I1547)=0),"Mã ĐT chưa khai báo! ","")))</f>
        <v/>
      </c>
      <c r="M1547" s="117">
        <f>IF($H1547="","",IF(AND(OR(LEFT($F1547,3)="111",LEFT($F1547,3)="112",LEFT($F1547,3)="113"),OR(LEFT($G1547,3)="111",LEFT($G1547,3)="112",LEFT($G1547,3)="113")),"NB",IF(OR(LEFT($F1547,3)="111",LEFT($F1547,3)="112",LEFT($F1547,3)="113"),"THU",IF(OR(LEFT($G1547,3)="111",LEFT($G1547,3)="112",LEFT($G1547,3)="113"),"CHI",""))))</f>
        <v/>
      </c>
      <c r="N1547" s="117">
        <f>IF($M1547="THU",$G1547,IF($M1547="CHI",$F1547,""))</f>
        <v/>
      </c>
      <c r="O1547" s="117">
        <f>IF(OR($M1547="",$M1547="NB"),"",IF($J1547&lt;&gt;"",TEXT($J1547,"00"),IFERROR(VLOOKUP(LEFT($N1547,4),LCTT_MAP!$A$7:$C$66,IF($M1547="THU",2,3),FALSE()),IFERROR(VLOOKUP(LEFT($N1547,3),LCTT_MAP!$A$7:$C$66,IF($M1547="THU",2,3),FALSE()),IFERROR(VLOOKUP(LEFT($N1547,2),LCTT_MAP!$A$7:$C$66,IF($M1547="THU",2,3),FALSE()),IFERROR(VLOOKUP(LEFT($N1547,1),LCTT_MAP!$A$7:$C$66,IF($M1547="THU",2,3),FALSE()),IF($M1547="THU","06","07")))))))</f>
        <v/>
      </c>
      <c r="P1547" s="117">
        <f>P1546+IF(AND($H1547&lt;&gt;"",OR(LEFT($F1547,LEN(SC_TK))=SC_TK,LEFT($G1547,LEN(SC_TK))=SC_TK)),1,0)</f>
        <v/>
      </c>
    </row>
    <row r="1548" ht="15" customHeight="1" s="78">
      <c r="A1548" s="95">
        <f>IF($H1548="","",ROW()-6)</f>
        <v/>
      </c>
      <c r="B1548" s="114" t="n"/>
      <c r="C1548" s="102" t="n"/>
      <c r="D1548" s="114" t="n"/>
      <c r="E1548" s="103" t="n"/>
      <c r="F1548" s="102" t="n"/>
      <c r="G1548" s="102" t="n"/>
      <c r="H1548" s="115" t="n"/>
      <c r="I1548" s="102" t="n"/>
      <c r="J1548" s="102" t="n"/>
      <c r="K1548" s="103" t="n"/>
      <c r="L1548" s="116">
        <f>IF($H1548="","",TRIM(IF(COUNTIF(DMTK!$A$7:$A$250,$F1548)=0,"TK Nợ sai! ","")&amp;IF(COUNTIF(DMTK!$A$7:$A$250,$G1548)=0,"TK Có sai! ","")&amp;IF(N($H1548)&lt;=0,"Tiền phải &gt; 0! ","")&amp;IF($B1548="","Thiếu ngày! ","")&amp;IF(AND(OR(LEFT($F1548,3)="131",LEFT($G1548,3)="131",LEFT($F1548,3)="331",LEFT($G1548,3)="331"),$I1548=""),"Thiếu Mã ĐT! ","")&amp;IF(AND($I1548&lt;&gt;"",COUNTIF(DM_DT!$A$7:$A$306,$I1548)=0),"Mã ĐT chưa khai báo! ","")))</f>
        <v/>
      </c>
      <c r="M1548" s="117">
        <f>IF($H1548="","",IF(AND(OR(LEFT($F1548,3)="111",LEFT($F1548,3)="112",LEFT($F1548,3)="113"),OR(LEFT($G1548,3)="111",LEFT($G1548,3)="112",LEFT($G1548,3)="113")),"NB",IF(OR(LEFT($F1548,3)="111",LEFT($F1548,3)="112",LEFT($F1548,3)="113"),"THU",IF(OR(LEFT($G1548,3)="111",LEFT($G1548,3)="112",LEFT($G1548,3)="113"),"CHI",""))))</f>
        <v/>
      </c>
      <c r="N1548" s="117">
        <f>IF($M1548="THU",$G1548,IF($M1548="CHI",$F1548,""))</f>
        <v/>
      </c>
      <c r="O1548" s="117">
        <f>IF(OR($M1548="",$M1548="NB"),"",IF($J1548&lt;&gt;"",TEXT($J1548,"00"),IFERROR(VLOOKUP(LEFT($N1548,4),LCTT_MAP!$A$7:$C$66,IF($M1548="THU",2,3),FALSE()),IFERROR(VLOOKUP(LEFT($N1548,3),LCTT_MAP!$A$7:$C$66,IF($M1548="THU",2,3),FALSE()),IFERROR(VLOOKUP(LEFT($N1548,2),LCTT_MAP!$A$7:$C$66,IF($M1548="THU",2,3),FALSE()),IFERROR(VLOOKUP(LEFT($N1548,1),LCTT_MAP!$A$7:$C$66,IF($M1548="THU",2,3),FALSE()),IF($M1548="THU","06","07")))))))</f>
        <v/>
      </c>
      <c r="P1548" s="117">
        <f>P1547+IF(AND($H1548&lt;&gt;"",OR(LEFT($F1548,LEN(SC_TK))=SC_TK,LEFT($G1548,LEN(SC_TK))=SC_TK)),1,0)</f>
        <v/>
      </c>
    </row>
    <row r="1549" ht="15" customHeight="1" s="78">
      <c r="A1549" s="95">
        <f>IF($H1549="","",ROW()-6)</f>
        <v/>
      </c>
      <c r="B1549" s="114" t="n"/>
      <c r="C1549" s="102" t="n"/>
      <c r="D1549" s="114" t="n"/>
      <c r="E1549" s="103" t="n"/>
      <c r="F1549" s="102" t="n"/>
      <c r="G1549" s="102" t="n"/>
      <c r="H1549" s="115" t="n"/>
      <c r="I1549" s="102" t="n"/>
      <c r="J1549" s="102" t="n"/>
      <c r="K1549" s="103" t="n"/>
      <c r="L1549" s="116">
        <f>IF($H1549="","",TRIM(IF(COUNTIF(DMTK!$A$7:$A$250,$F1549)=0,"TK Nợ sai! ","")&amp;IF(COUNTIF(DMTK!$A$7:$A$250,$G1549)=0,"TK Có sai! ","")&amp;IF(N($H1549)&lt;=0,"Tiền phải &gt; 0! ","")&amp;IF($B1549="","Thiếu ngày! ","")&amp;IF(AND(OR(LEFT($F1549,3)="131",LEFT($G1549,3)="131",LEFT($F1549,3)="331",LEFT($G1549,3)="331"),$I1549=""),"Thiếu Mã ĐT! ","")&amp;IF(AND($I1549&lt;&gt;"",COUNTIF(DM_DT!$A$7:$A$306,$I1549)=0),"Mã ĐT chưa khai báo! ","")))</f>
        <v/>
      </c>
      <c r="M1549" s="117">
        <f>IF($H1549="","",IF(AND(OR(LEFT($F1549,3)="111",LEFT($F1549,3)="112",LEFT($F1549,3)="113"),OR(LEFT($G1549,3)="111",LEFT($G1549,3)="112",LEFT($G1549,3)="113")),"NB",IF(OR(LEFT($F1549,3)="111",LEFT($F1549,3)="112",LEFT($F1549,3)="113"),"THU",IF(OR(LEFT($G1549,3)="111",LEFT($G1549,3)="112",LEFT($G1549,3)="113"),"CHI",""))))</f>
        <v/>
      </c>
      <c r="N1549" s="117">
        <f>IF($M1549="THU",$G1549,IF($M1549="CHI",$F1549,""))</f>
        <v/>
      </c>
      <c r="O1549" s="117">
        <f>IF(OR($M1549="",$M1549="NB"),"",IF($J1549&lt;&gt;"",TEXT($J1549,"00"),IFERROR(VLOOKUP(LEFT($N1549,4),LCTT_MAP!$A$7:$C$66,IF($M1549="THU",2,3),FALSE()),IFERROR(VLOOKUP(LEFT($N1549,3),LCTT_MAP!$A$7:$C$66,IF($M1549="THU",2,3),FALSE()),IFERROR(VLOOKUP(LEFT($N1549,2),LCTT_MAP!$A$7:$C$66,IF($M1549="THU",2,3),FALSE()),IFERROR(VLOOKUP(LEFT($N1549,1),LCTT_MAP!$A$7:$C$66,IF($M1549="THU",2,3),FALSE()),IF($M1549="THU","06","07")))))))</f>
        <v/>
      </c>
      <c r="P1549" s="117">
        <f>P1548+IF(AND($H1549&lt;&gt;"",OR(LEFT($F1549,LEN(SC_TK))=SC_TK,LEFT($G1549,LEN(SC_TK))=SC_TK)),1,0)</f>
        <v/>
      </c>
    </row>
    <row r="1550" ht="15" customHeight="1" s="78">
      <c r="A1550" s="95">
        <f>IF($H1550="","",ROW()-6)</f>
        <v/>
      </c>
      <c r="B1550" s="114" t="n"/>
      <c r="C1550" s="102" t="n"/>
      <c r="D1550" s="114" t="n"/>
      <c r="E1550" s="103" t="n"/>
      <c r="F1550" s="102" t="n"/>
      <c r="G1550" s="102" t="n"/>
      <c r="H1550" s="115" t="n"/>
      <c r="I1550" s="102" t="n"/>
      <c r="J1550" s="102" t="n"/>
      <c r="K1550" s="103" t="n"/>
      <c r="L1550" s="116">
        <f>IF($H1550="","",TRIM(IF(COUNTIF(DMTK!$A$7:$A$250,$F1550)=0,"TK Nợ sai! ","")&amp;IF(COUNTIF(DMTK!$A$7:$A$250,$G1550)=0,"TK Có sai! ","")&amp;IF(N($H1550)&lt;=0,"Tiền phải &gt; 0! ","")&amp;IF($B1550="","Thiếu ngày! ","")&amp;IF(AND(OR(LEFT($F1550,3)="131",LEFT($G1550,3)="131",LEFT($F1550,3)="331",LEFT($G1550,3)="331"),$I1550=""),"Thiếu Mã ĐT! ","")&amp;IF(AND($I1550&lt;&gt;"",COUNTIF(DM_DT!$A$7:$A$306,$I1550)=0),"Mã ĐT chưa khai báo! ","")))</f>
        <v/>
      </c>
      <c r="M1550" s="117">
        <f>IF($H1550="","",IF(AND(OR(LEFT($F1550,3)="111",LEFT($F1550,3)="112",LEFT($F1550,3)="113"),OR(LEFT($G1550,3)="111",LEFT($G1550,3)="112",LEFT($G1550,3)="113")),"NB",IF(OR(LEFT($F1550,3)="111",LEFT($F1550,3)="112",LEFT($F1550,3)="113"),"THU",IF(OR(LEFT($G1550,3)="111",LEFT($G1550,3)="112",LEFT($G1550,3)="113"),"CHI",""))))</f>
        <v/>
      </c>
      <c r="N1550" s="117">
        <f>IF($M1550="THU",$G1550,IF($M1550="CHI",$F1550,""))</f>
        <v/>
      </c>
      <c r="O1550" s="117">
        <f>IF(OR($M1550="",$M1550="NB"),"",IF($J1550&lt;&gt;"",TEXT($J1550,"00"),IFERROR(VLOOKUP(LEFT($N1550,4),LCTT_MAP!$A$7:$C$66,IF($M1550="THU",2,3),FALSE()),IFERROR(VLOOKUP(LEFT($N1550,3),LCTT_MAP!$A$7:$C$66,IF($M1550="THU",2,3),FALSE()),IFERROR(VLOOKUP(LEFT($N1550,2),LCTT_MAP!$A$7:$C$66,IF($M1550="THU",2,3),FALSE()),IFERROR(VLOOKUP(LEFT($N1550,1),LCTT_MAP!$A$7:$C$66,IF($M1550="THU",2,3),FALSE()),IF($M1550="THU","06","07")))))))</f>
        <v/>
      </c>
      <c r="P1550" s="117">
        <f>P1549+IF(AND($H1550&lt;&gt;"",OR(LEFT($F1550,LEN(SC_TK))=SC_TK,LEFT($G1550,LEN(SC_TK))=SC_TK)),1,0)</f>
        <v/>
      </c>
    </row>
    <row r="1551" ht="15" customHeight="1" s="78">
      <c r="A1551" s="95">
        <f>IF($H1551="","",ROW()-6)</f>
        <v/>
      </c>
      <c r="B1551" s="114" t="n"/>
      <c r="C1551" s="102" t="n"/>
      <c r="D1551" s="114" t="n"/>
      <c r="E1551" s="103" t="n"/>
      <c r="F1551" s="102" t="n"/>
      <c r="G1551" s="102" t="n"/>
      <c r="H1551" s="115" t="n"/>
      <c r="I1551" s="102" t="n"/>
      <c r="J1551" s="102" t="n"/>
      <c r="K1551" s="103" t="n"/>
      <c r="L1551" s="116">
        <f>IF($H1551="","",TRIM(IF(COUNTIF(DMTK!$A$7:$A$250,$F1551)=0,"TK Nợ sai! ","")&amp;IF(COUNTIF(DMTK!$A$7:$A$250,$G1551)=0,"TK Có sai! ","")&amp;IF(N($H1551)&lt;=0,"Tiền phải &gt; 0! ","")&amp;IF($B1551="","Thiếu ngày! ","")&amp;IF(AND(OR(LEFT($F1551,3)="131",LEFT($G1551,3)="131",LEFT($F1551,3)="331",LEFT($G1551,3)="331"),$I1551=""),"Thiếu Mã ĐT! ","")&amp;IF(AND($I1551&lt;&gt;"",COUNTIF(DM_DT!$A$7:$A$306,$I1551)=0),"Mã ĐT chưa khai báo! ","")))</f>
        <v/>
      </c>
      <c r="M1551" s="117">
        <f>IF($H1551="","",IF(AND(OR(LEFT($F1551,3)="111",LEFT($F1551,3)="112",LEFT($F1551,3)="113"),OR(LEFT($G1551,3)="111",LEFT($G1551,3)="112",LEFT($G1551,3)="113")),"NB",IF(OR(LEFT($F1551,3)="111",LEFT($F1551,3)="112",LEFT($F1551,3)="113"),"THU",IF(OR(LEFT($G1551,3)="111",LEFT($G1551,3)="112",LEFT($G1551,3)="113"),"CHI",""))))</f>
        <v/>
      </c>
      <c r="N1551" s="117">
        <f>IF($M1551="THU",$G1551,IF($M1551="CHI",$F1551,""))</f>
        <v/>
      </c>
      <c r="O1551" s="117">
        <f>IF(OR($M1551="",$M1551="NB"),"",IF($J1551&lt;&gt;"",TEXT($J1551,"00"),IFERROR(VLOOKUP(LEFT($N1551,4),LCTT_MAP!$A$7:$C$66,IF($M1551="THU",2,3),FALSE()),IFERROR(VLOOKUP(LEFT($N1551,3),LCTT_MAP!$A$7:$C$66,IF($M1551="THU",2,3),FALSE()),IFERROR(VLOOKUP(LEFT($N1551,2),LCTT_MAP!$A$7:$C$66,IF($M1551="THU",2,3),FALSE()),IFERROR(VLOOKUP(LEFT($N1551,1),LCTT_MAP!$A$7:$C$66,IF($M1551="THU",2,3),FALSE()),IF($M1551="THU","06","07")))))))</f>
        <v/>
      </c>
      <c r="P1551" s="117">
        <f>P1550+IF(AND($H1551&lt;&gt;"",OR(LEFT($F1551,LEN(SC_TK))=SC_TK,LEFT($G1551,LEN(SC_TK))=SC_TK)),1,0)</f>
        <v/>
      </c>
    </row>
    <row r="1552" ht="15" customHeight="1" s="78">
      <c r="A1552" s="95">
        <f>IF($H1552="","",ROW()-6)</f>
        <v/>
      </c>
      <c r="B1552" s="114" t="n"/>
      <c r="C1552" s="102" t="n"/>
      <c r="D1552" s="114" t="n"/>
      <c r="E1552" s="103" t="n"/>
      <c r="F1552" s="102" t="n"/>
      <c r="G1552" s="102" t="n"/>
      <c r="H1552" s="115" t="n"/>
      <c r="I1552" s="102" t="n"/>
      <c r="J1552" s="102" t="n"/>
      <c r="K1552" s="103" t="n"/>
      <c r="L1552" s="116">
        <f>IF($H1552="","",TRIM(IF(COUNTIF(DMTK!$A$7:$A$250,$F1552)=0,"TK Nợ sai! ","")&amp;IF(COUNTIF(DMTK!$A$7:$A$250,$G1552)=0,"TK Có sai! ","")&amp;IF(N($H1552)&lt;=0,"Tiền phải &gt; 0! ","")&amp;IF($B1552="","Thiếu ngày! ","")&amp;IF(AND(OR(LEFT($F1552,3)="131",LEFT($G1552,3)="131",LEFT($F1552,3)="331",LEFT($G1552,3)="331"),$I1552=""),"Thiếu Mã ĐT! ","")&amp;IF(AND($I1552&lt;&gt;"",COUNTIF(DM_DT!$A$7:$A$306,$I1552)=0),"Mã ĐT chưa khai báo! ","")))</f>
        <v/>
      </c>
      <c r="M1552" s="117">
        <f>IF($H1552="","",IF(AND(OR(LEFT($F1552,3)="111",LEFT($F1552,3)="112",LEFT($F1552,3)="113"),OR(LEFT($G1552,3)="111",LEFT($G1552,3)="112",LEFT($G1552,3)="113")),"NB",IF(OR(LEFT($F1552,3)="111",LEFT($F1552,3)="112",LEFT($F1552,3)="113"),"THU",IF(OR(LEFT($G1552,3)="111",LEFT($G1552,3)="112",LEFT($G1552,3)="113"),"CHI",""))))</f>
        <v/>
      </c>
      <c r="N1552" s="117">
        <f>IF($M1552="THU",$G1552,IF($M1552="CHI",$F1552,""))</f>
        <v/>
      </c>
      <c r="O1552" s="117">
        <f>IF(OR($M1552="",$M1552="NB"),"",IF($J1552&lt;&gt;"",TEXT($J1552,"00"),IFERROR(VLOOKUP(LEFT($N1552,4),LCTT_MAP!$A$7:$C$66,IF($M1552="THU",2,3),FALSE()),IFERROR(VLOOKUP(LEFT($N1552,3),LCTT_MAP!$A$7:$C$66,IF($M1552="THU",2,3),FALSE()),IFERROR(VLOOKUP(LEFT($N1552,2),LCTT_MAP!$A$7:$C$66,IF($M1552="THU",2,3),FALSE()),IFERROR(VLOOKUP(LEFT($N1552,1),LCTT_MAP!$A$7:$C$66,IF($M1552="THU",2,3),FALSE()),IF($M1552="THU","06","07")))))))</f>
        <v/>
      </c>
      <c r="P1552" s="117">
        <f>P1551+IF(AND($H1552&lt;&gt;"",OR(LEFT($F1552,LEN(SC_TK))=SC_TK,LEFT($G1552,LEN(SC_TK))=SC_TK)),1,0)</f>
        <v/>
      </c>
    </row>
    <row r="1553" ht="15" customHeight="1" s="78">
      <c r="A1553" s="95">
        <f>IF($H1553="","",ROW()-6)</f>
        <v/>
      </c>
      <c r="B1553" s="114" t="n"/>
      <c r="C1553" s="102" t="n"/>
      <c r="D1553" s="114" t="n"/>
      <c r="E1553" s="103" t="n"/>
      <c r="F1553" s="102" t="n"/>
      <c r="G1553" s="102" t="n"/>
      <c r="H1553" s="115" t="n"/>
      <c r="I1553" s="102" t="n"/>
      <c r="J1553" s="102" t="n"/>
      <c r="K1553" s="103" t="n"/>
      <c r="L1553" s="116">
        <f>IF($H1553="","",TRIM(IF(COUNTIF(DMTK!$A$7:$A$250,$F1553)=0,"TK Nợ sai! ","")&amp;IF(COUNTIF(DMTK!$A$7:$A$250,$G1553)=0,"TK Có sai! ","")&amp;IF(N($H1553)&lt;=0,"Tiền phải &gt; 0! ","")&amp;IF($B1553="","Thiếu ngày! ","")&amp;IF(AND(OR(LEFT($F1553,3)="131",LEFT($G1553,3)="131",LEFT($F1553,3)="331",LEFT($G1553,3)="331"),$I1553=""),"Thiếu Mã ĐT! ","")&amp;IF(AND($I1553&lt;&gt;"",COUNTIF(DM_DT!$A$7:$A$306,$I1553)=0),"Mã ĐT chưa khai báo! ","")))</f>
        <v/>
      </c>
      <c r="M1553" s="117">
        <f>IF($H1553="","",IF(AND(OR(LEFT($F1553,3)="111",LEFT($F1553,3)="112",LEFT($F1553,3)="113"),OR(LEFT($G1553,3)="111",LEFT($G1553,3)="112",LEFT($G1553,3)="113")),"NB",IF(OR(LEFT($F1553,3)="111",LEFT($F1553,3)="112",LEFT($F1553,3)="113"),"THU",IF(OR(LEFT($G1553,3)="111",LEFT($G1553,3)="112",LEFT($G1553,3)="113"),"CHI",""))))</f>
        <v/>
      </c>
      <c r="N1553" s="117">
        <f>IF($M1553="THU",$G1553,IF($M1553="CHI",$F1553,""))</f>
        <v/>
      </c>
      <c r="O1553" s="117">
        <f>IF(OR($M1553="",$M1553="NB"),"",IF($J1553&lt;&gt;"",TEXT($J1553,"00"),IFERROR(VLOOKUP(LEFT($N1553,4),LCTT_MAP!$A$7:$C$66,IF($M1553="THU",2,3),FALSE()),IFERROR(VLOOKUP(LEFT($N1553,3),LCTT_MAP!$A$7:$C$66,IF($M1553="THU",2,3),FALSE()),IFERROR(VLOOKUP(LEFT($N1553,2),LCTT_MAP!$A$7:$C$66,IF($M1553="THU",2,3),FALSE()),IFERROR(VLOOKUP(LEFT($N1553,1),LCTT_MAP!$A$7:$C$66,IF($M1553="THU",2,3),FALSE()),IF($M1553="THU","06","07")))))))</f>
        <v/>
      </c>
      <c r="P1553" s="117">
        <f>P1552+IF(AND($H1553&lt;&gt;"",OR(LEFT($F1553,LEN(SC_TK))=SC_TK,LEFT($G1553,LEN(SC_TK))=SC_TK)),1,0)</f>
        <v/>
      </c>
    </row>
    <row r="1554" ht="15" customHeight="1" s="78">
      <c r="A1554" s="95">
        <f>IF($H1554="","",ROW()-6)</f>
        <v/>
      </c>
      <c r="B1554" s="114" t="n"/>
      <c r="C1554" s="102" t="n"/>
      <c r="D1554" s="114" t="n"/>
      <c r="E1554" s="103" t="n"/>
      <c r="F1554" s="102" t="n"/>
      <c r="G1554" s="102" t="n"/>
      <c r="H1554" s="115" t="n"/>
      <c r="I1554" s="102" t="n"/>
      <c r="J1554" s="102" t="n"/>
      <c r="K1554" s="103" t="n"/>
      <c r="L1554" s="116">
        <f>IF($H1554="","",TRIM(IF(COUNTIF(DMTK!$A$7:$A$250,$F1554)=0,"TK Nợ sai! ","")&amp;IF(COUNTIF(DMTK!$A$7:$A$250,$G1554)=0,"TK Có sai! ","")&amp;IF(N($H1554)&lt;=0,"Tiền phải &gt; 0! ","")&amp;IF($B1554="","Thiếu ngày! ","")&amp;IF(AND(OR(LEFT($F1554,3)="131",LEFT($G1554,3)="131",LEFT($F1554,3)="331",LEFT($G1554,3)="331"),$I1554=""),"Thiếu Mã ĐT! ","")&amp;IF(AND($I1554&lt;&gt;"",COUNTIF(DM_DT!$A$7:$A$306,$I1554)=0),"Mã ĐT chưa khai báo! ","")))</f>
        <v/>
      </c>
      <c r="M1554" s="117">
        <f>IF($H1554="","",IF(AND(OR(LEFT($F1554,3)="111",LEFT($F1554,3)="112",LEFT($F1554,3)="113"),OR(LEFT($G1554,3)="111",LEFT($G1554,3)="112",LEFT($G1554,3)="113")),"NB",IF(OR(LEFT($F1554,3)="111",LEFT($F1554,3)="112",LEFT($F1554,3)="113"),"THU",IF(OR(LEFT($G1554,3)="111",LEFT($G1554,3)="112",LEFT($G1554,3)="113"),"CHI",""))))</f>
        <v/>
      </c>
      <c r="N1554" s="117">
        <f>IF($M1554="THU",$G1554,IF($M1554="CHI",$F1554,""))</f>
        <v/>
      </c>
      <c r="O1554" s="117">
        <f>IF(OR($M1554="",$M1554="NB"),"",IF($J1554&lt;&gt;"",TEXT($J1554,"00"),IFERROR(VLOOKUP(LEFT($N1554,4),LCTT_MAP!$A$7:$C$66,IF($M1554="THU",2,3),FALSE()),IFERROR(VLOOKUP(LEFT($N1554,3),LCTT_MAP!$A$7:$C$66,IF($M1554="THU",2,3),FALSE()),IFERROR(VLOOKUP(LEFT($N1554,2),LCTT_MAP!$A$7:$C$66,IF($M1554="THU",2,3),FALSE()),IFERROR(VLOOKUP(LEFT($N1554,1),LCTT_MAP!$A$7:$C$66,IF($M1554="THU",2,3),FALSE()),IF($M1554="THU","06","07")))))))</f>
        <v/>
      </c>
      <c r="P1554" s="117">
        <f>P1553+IF(AND($H1554&lt;&gt;"",OR(LEFT($F1554,LEN(SC_TK))=SC_TK,LEFT($G1554,LEN(SC_TK))=SC_TK)),1,0)</f>
        <v/>
      </c>
    </row>
    <row r="1555" ht="15" customHeight="1" s="78">
      <c r="A1555" s="95">
        <f>IF($H1555="","",ROW()-6)</f>
        <v/>
      </c>
      <c r="B1555" s="114" t="n"/>
      <c r="C1555" s="102" t="n"/>
      <c r="D1555" s="114" t="n"/>
      <c r="E1555" s="103" t="n"/>
      <c r="F1555" s="102" t="n"/>
      <c r="G1555" s="102" t="n"/>
      <c r="H1555" s="115" t="n"/>
      <c r="I1555" s="102" t="n"/>
      <c r="J1555" s="102" t="n"/>
      <c r="K1555" s="103" t="n"/>
      <c r="L1555" s="116">
        <f>IF($H1555="","",TRIM(IF(COUNTIF(DMTK!$A$7:$A$250,$F1555)=0,"TK Nợ sai! ","")&amp;IF(COUNTIF(DMTK!$A$7:$A$250,$G1555)=0,"TK Có sai! ","")&amp;IF(N($H1555)&lt;=0,"Tiền phải &gt; 0! ","")&amp;IF($B1555="","Thiếu ngày! ","")&amp;IF(AND(OR(LEFT($F1555,3)="131",LEFT($G1555,3)="131",LEFT($F1555,3)="331",LEFT($G1555,3)="331"),$I1555=""),"Thiếu Mã ĐT! ","")&amp;IF(AND($I1555&lt;&gt;"",COUNTIF(DM_DT!$A$7:$A$306,$I1555)=0),"Mã ĐT chưa khai báo! ","")))</f>
        <v/>
      </c>
      <c r="M1555" s="117">
        <f>IF($H1555="","",IF(AND(OR(LEFT($F1555,3)="111",LEFT($F1555,3)="112",LEFT($F1555,3)="113"),OR(LEFT($G1555,3)="111",LEFT($G1555,3)="112",LEFT($G1555,3)="113")),"NB",IF(OR(LEFT($F1555,3)="111",LEFT($F1555,3)="112",LEFT($F1555,3)="113"),"THU",IF(OR(LEFT($G1555,3)="111",LEFT($G1555,3)="112",LEFT($G1555,3)="113"),"CHI",""))))</f>
        <v/>
      </c>
      <c r="N1555" s="117">
        <f>IF($M1555="THU",$G1555,IF($M1555="CHI",$F1555,""))</f>
        <v/>
      </c>
      <c r="O1555" s="117">
        <f>IF(OR($M1555="",$M1555="NB"),"",IF($J1555&lt;&gt;"",TEXT($J1555,"00"),IFERROR(VLOOKUP(LEFT($N1555,4),LCTT_MAP!$A$7:$C$66,IF($M1555="THU",2,3),FALSE()),IFERROR(VLOOKUP(LEFT($N1555,3),LCTT_MAP!$A$7:$C$66,IF($M1555="THU",2,3),FALSE()),IFERROR(VLOOKUP(LEFT($N1555,2),LCTT_MAP!$A$7:$C$66,IF($M1555="THU",2,3),FALSE()),IFERROR(VLOOKUP(LEFT($N1555,1),LCTT_MAP!$A$7:$C$66,IF($M1555="THU",2,3),FALSE()),IF($M1555="THU","06","07")))))))</f>
        <v/>
      </c>
      <c r="P1555" s="117">
        <f>P1554+IF(AND($H1555&lt;&gt;"",OR(LEFT($F1555,LEN(SC_TK))=SC_TK,LEFT($G1555,LEN(SC_TK))=SC_TK)),1,0)</f>
        <v/>
      </c>
    </row>
    <row r="1556" ht="15" customHeight="1" s="78">
      <c r="A1556" s="95">
        <f>IF($H1556="","",ROW()-6)</f>
        <v/>
      </c>
      <c r="B1556" s="114" t="n"/>
      <c r="C1556" s="102" t="n"/>
      <c r="D1556" s="114" t="n"/>
      <c r="E1556" s="103" t="n"/>
      <c r="F1556" s="102" t="n"/>
      <c r="G1556" s="102" t="n"/>
      <c r="H1556" s="115" t="n"/>
      <c r="I1556" s="102" t="n"/>
      <c r="J1556" s="102" t="n"/>
      <c r="K1556" s="103" t="n"/>
      <c r="L1556" s="116">
        <f>IF($H1556="","",TRIM(IF(COUNTIF(DMTK!$A$7:$A$250,$F1556)=0,"TK Nợ sai! ","")&amp;IF(COUNTIF(DMTK!$A$7:$A$250,$G1556)=0,"TK Có sai! ","")&amp;IF(N($H1556)&lt;=0,"Tiền phải &gt; 0! ","")&amp;IF($B1556="","Thiếu ngày! ","")&amp;IF(AND(OR(LEFT($F1556,3)="131",LEFT($G1556,3)="131",LEFT($F1556,3)="331",LEFT($G1556,3)="331"),$I1556=""),"Thiếu Mã ĐT! ","")&amp;IF(AND($I1556&lt;&gt;"",COUNTIF(DM_DT!$A$7:$A$306,$I1556)=0),"Mã ĐT chưa khai báo! ","")))</f>
        <v/>
      </c>
      <c r="M1556" s="117">
        <f>IF($H1556="","",IF(AND(OR(LEFT($F1556,3)="111",LEFT($F1556,3)="112",LEFT($F1556,3)="113"),OR(LEFT($G1556,3)="111",LEFT($G1556,3)="112",LEFT($G1556,3)="113")),"NB",IF(OR(LEFT($F1556,3)="111",LEFT($F1556,3)="112",LEFT($F1556,3)="113"),"THU",IF(OR(LEFT($G1556,3)="111",LEFT($G1556,3)="112",LEFT($G1556,3)="113"),"CHI",""))))</f>
        <v/>
      </c>
      <c r="N1556" s="117">
        <f>IF($M1556="THU",$G1556,IF($M1556="CHI",$F1556,""))</f>
        <v/>
      </c>
      <c r="O1556" s="117">
        <f>IF(OR($M1556="",$M1556="NB"),"",IF($J1556&lt;&gt;"",TEXT($J1556,"00"),IFERROR(VLOOKUP(LEFT($N1556,4),LCTT_MAP!$A$7:$C$66,IF($M1556="THU",2,3),FALSE()),IFERROR(VLOOKUP(LEFT($N1556,3),LCTT_MAP!$A$7:$C$66,IF($M1556="THU",2,3),FALSE()),IFERROR(VLOOKUP(LEFT($N1556,2),LCTT_MAP!$A$7:$C$66,IF($M1556="THU",2,3),FALSE()),IFERROR(VLOOKUP(LEFT($N1556,1),LCTT_MAP!$A$7:$C$66,IF($M1556="THU",2,3),FALSE()),IF($M1556="THU","06","07")))))))</f>
        <v/>
      </c>
      <c r="P1556" s="117">
        <f>P1555+IF(AND($H1556&lt;&gt;"",OR(LEFT($F1556,LEN(SC_TK))=SC_TK,LEFT($G1556,LEN(SC_TK))=SC_TK)),1,0)</f>
        <v/>
      </c>
    </row>
    <row r="1557" ht="15" customHeight="1" s="78">
      <c r="A1557" s="95">
        <f>IF($H1557="","",ROW()-6)</f>
        <v/>
      </c>
      <c r="B1557" s="114" t="n"/>
      <c r="C1557" s="102" t="n"/>
      <c r="D1557" s="114" t="n"/>
      <c r="E1557" s="103" t="n"/>
      <c r="F1557" s="102" t="n"/>
      <c r="G1557" s="102" t="n"/>
      <c r="H1557" s="115" t="n"/>
      <c r="I1557" s="102" t="n"/>
      <c r="J1557" s="102" t="n"/>
      <c r="K1557" s="103" t="n"/>
      <c r="L1557" s="116">
        <f>IF($H1557="","",TRIM(IF(COUNTIF(DMTK!$A$7:$A$250,$F1557)=0,"TK Nợ sai! ","")&amp;IF(COUNTIF(DMTK!$A$7:$A$250,$G1557)=0,"TK Có sai! ","")&amp;IF(N($H1557)&lt;=0,"Tiền phải &gt; 0! ","")&amp;IF($B1557="","Thiếu ngày! ","")&amp;IF(AND(OR(LEFT($F1557,3)="131",LEFT($G1557,3)="131",LEFT($F1557,3)="331",LEFT($G1557,3)="331"),$I1557=""),"Thiếu Mã ĐT! ","")&amp;IF(AND($I1557&lt;&gt;"",COUNTIF(DM_DT!$A$7:$A$306,$I1557)=0),"Mã ĐT chưa khai báo! ","")))</f>
        <v/>
      </c>
      <c r="M1557" s="117">
        <f>IF($H1557="","",IF(AND(OR(LEFT($F1557,3)="111",LEFT($F1557,3)="112",LEFT($F1557,3)="113"),OR(LEFT($G1557,3)="111",LEFT($G1557,3)="112",LEFT($G1557,3)="113")),"NB",IF(OR(LEFT($F1557,3)="111",LEFT($F1557,3)="112",LEFT($F1557,3)="113"),"THU",IF(OR(LEFT($G1557,3)="111",LEFT($G1557,3)="112",LEFT($G1557,3)="113"),"CHI",""))))</f>
        <v/>
      </c>
      <c r="N1557" s="117">
        <f>IF($M1557="THU",$G1557,IF($M1557="CHI",$F1557,""))</f>
        <v/>
      </c>
      <c r="O1557" s="117">
        <f>IF(OR($M1557="",$M1557="NB"),"",IF($J1557&lt;&gt;"",TEXT($J1557,"00"),IFERROR(VLOOKUP(LEFT($N1557,4),LCTT_MAP!$A$7:$C$66,IF($M1557="THU",2,3),FALSE()),IFERROR(VLOOKUP(LEFT($N1557,3),LCTT_MAP!$A$7:$C$66,IF($M1557="THU",2,3),FALSE()),IFERROR(VLOOKUP(LEFT($N1557,2),LCTT_MAP!$A$7:$C$66,IF($M1557="THU",2,3),FALSE()),IFERROR(VLOOKUP(LEFT($N1557,1),LCTT_MAP!$A$7:$C$66,IF($M1557="THU",2,3),FALSE()),IF($M1557="THU","06","07")))))))</f>
        <v/>
      </c>
      <c r="P1557" s="117">
        <f>P1556+IF(AND($H1557&lt;&gt;"",OR(LEFT($F1557,LEN(SC_TK))=SC_TK,LEFT($G1557,LEN(SC_TK))=SC_TK)),1,0)</f>
        <v/>
      </c>
    </row>
    <row r="1558" ht="15" customHeight="1" s="78">
      <c r="A1558" s="95">
        <f>IF($H1558="","",ROW()-6)</f>
        <v/>
      </c>
      <c r="B1558" s="114" t="n"/>
      <c r="C1558" s="102" t="n"/>
      <c r="D1558" s="114" t="n"/>
      <c r="E1558" s="103" t="n"/>
      <c r="F1558" s="102" t="n"/>
      <c r="G1558" s="102" t="n"/>
      <c r="H1558" s="115" t="n"/>
      <c r="I1558" s="102" t="n"/>
      <c r="J1558" s="102" t="n"/>
      <c r="K1558" s="103" t="n"/>
      <c r="L1558" s="116">
        <f>IF($H1558="","",TRIM(IF(COUNTIF(DMTK!$A$7:$A$250,$F1558)=0,"TK Nợ sai! ","")&amp;IF(COUNTIF(DMTK!$A$7:$A$250,$G1558)=0,"TK Có sai! ","")&amp;IF(N($H1558)&lt;=0,"Tiền phải &gt; 0! ","")&amp;IF($B1558="","Thiếu ngày! ","")&amp;IF(AND(OR(LEFT($F1558,3)="131",LEFT($G1558,3)="131",LEFT($F1558,3)="331",LEFT($G1558,3)="331"),$I1558=""),"Thiếu Mã ĐT! ","")&amp;IF(AND($I1558&lt;&gt;"",COUNTIF(DM_DT!$A$7:$A$306,$I1558)=0),"Mã ĐT chưa khai báo! ","")))</f>
        <v/>
      </c>
      <c r="M1558" s="117">
        <f>IF($H1558="","",IF(AND(OR(LEFT($F1558,3)="111",LEFT($F1558,3)="112",LEFT($F1558,3)="113"),OR(LEFT($G1558,3)="111",LEFT($G1558,3)="112",LEFT($G1558,3)="113")),"NB",IF(OR(LEFT($F1558,3)="111",LEFT($F1558,3)="112",LEFT($F1558,3)="113"),"THU",IF(OR(LEFT($G1558,3)="111",LEFT($G1558,3)="112",LEFT($G1558,3)="113"),"CHI",""))))</f>
        <v/>
      </c>
      <c r="N1558" s="117">
        <f>IF($M1558="THU",$G1558,IF($M1558="CHI",$F1558,""))</f>
        <v/>
      </c>
      <c r="O1558" s="117">
        <f>IF(OR($M1558="",$M1558="NB"),"",IF($J1558&lt;&gt;"",TEXT($J1558,"00"),IFERROR(VLOOKUP(LEFT($N1558,4),LCTT_MAP!$A$7:$C$66,IF($M1558="THU",2,3),FALSE()),IFERROR(VLOOKUP(LEFT($N1558,3),LCTT_MAP!$A$7:$C$66,IF($M1558="THU",2,3),FALSE()),IFERROR(VLOOKUP(LEFT($N1558,2),LCTT_MAP!$A$7:$C$66,IF($M1558="THU",2,3),FALSE()),IFERROR(VLOOKUP(LEFT($N1558,1),LCTT_MAP!$A$7:$C$66,IF($M1558="THU",2,3),FALSE()),IF($M1558="THU","06","07")))))))</f>
        <v/>
      </c>
      <c r="P1558" s="117">
        <f>P1557+IF(AND($H1558&lt;&gt;"",OR(LEFT($F1558,LEN(SC_TK))=SC_TK,LEFT($G1558,LEN(SC_TK))=SC_TK)),1,0)</f>
        <v/>
      </c>
    </row>
    <row r="1559" ht="15" customHeight="1" s="78">
      <c r="A1559" s="95">
        <f>IF($H1559="","",ROW()-6)</f>
        <v/>
      </c>
      <c r="B1559" s="114" t="n"/>
      <c r="C1559" s="102" t="n"/>
      <c r="D1559" s="114" t="n"/>
      <c r="E1559" s="103" t="n"/>
      <c r="F1559" s="102" t="n"/>
      <c r="G1559" s="102" t="n"/>
      <c r="H1559" s="115" t="n"/>
      <c r="I1559" s="102" t="n"/>
      <c r="J1559" s="102" t="n"/>
      <c r="K1559" s="103" t="n"/>
      <c r="L1559" s="116">
        <f>IF($H1559="","",TRIM(IF(COUNTIF(DMTK!$A$7:$A$250,$F1559)=0,"TK Nợ sai! ","")&amp;IF(COUNTIF(DMTK!$A$7:$A$250,$G1559)=0,"TK Có sai! ","")&amp;IF(N($H1559)&lt;=0,"Tiền phải &gt; 0! ","")&amp;IF($B1559="","Thiếu ngày! ","")&amp;IF(AND(OR(LEFT($F1559,3)="131",LEFT($G1559,3)="131",LEFT($F1559,3)="331",LEFT($G1559,3)="331"),$I1559=""),"Thiếu Mã ĐT! ","")&amp;IF(AND($I1559&lt;&gt;"",COUNTIF(DM_DT!$A$7:$A$306,$I1559)=0),"Mã ĐT chưa khai báo! ","")))</f>
        <v/>
      </c>
      <c r="M1559" s="117">
        <f>IF($H1559="","",IF(AND(OR(LEFT($F1559,3)="111",LEFT($F1559,3)="112",LEFT($F1559,3)="113"),OR(LEFT($G1559,3)="111",LEFT($G1559,3)="112",LEFT($G1559,3)="113")),"NB",IF(OR(LEFT($F1559,3)="111",LEFT($F1559,3)="112",LEFT($F1559,3)="113"),"THU",IF(OR(LEFT($G1559,3)="111",LEFT($G1559,3)="112",LEFT($G1559,3)="113"),"CHI",""))))</f>
        <v/>
      </c>
      <c r="N1559" s="117">
        <f>IF($M1559="THU",$G1559,IF($M1559="CHI",$F1559,""))</f>
        <v/>
      </c>
      <c r="O1559" s="117">
        <f>IF(OR($M1559="",$M1559="NB"),"",IF($J1559&lt;&gt;"",TEXT($J1559,"00"),IFERROR(VLOOKUP(LEFT($N1559,4),LCTT_MAP!$A$7:$C$66,IF($M1559="THU",2,3),FALSE()),IFERROR(VLOOKUP(LEFT($N1559,3),LCTT_MAP!$A$7:$C$66,IF($M1559="THU",2,3),FALSE()),IFERROR(VLOOKUP(LEFT($N1559,2),LCTT_MAP!$A$7:$C$66,IF($M1559="THU",2,3),FALSE()),IFERROR(VLOOKUP(LEFT($N1559,1),LCTT_MAP!$A$7:$C$66,IF($M1559="THU",2,3),FALSE()),IF($M1559="THU","06","07")))))))</f>
        <v/>
      </c>
      <c r="P1559" s="117">
        <f>P1558+IF(AND($H1559&lt;&gt;"",OR(LEFT($F1559,LEN(SC_TK))=SC_TK,LEFT($G1559,LEN(SC_TK))=SC_TK)),1,0)</f>
        <v/>
      </c>
    </row>
    <row r="1560" ht="15" customHeight="1" s="78">
      <c r="A1560" s="95">
        <f>IF($H1560="","",ROW()-6)</f>
        <v/>
      </c>
      <c r="B1560" s="114" t="n"/>
      <c r="C1560" s="102" t="n"/>
      <c r="D1560" s="114" t="n"/>
      <c r="E1560" s="103" t="n"/>
      <c r="F1560" s="102" t="n"/>
      <c r="G1560" s="102" t="n"/>
      <c r="H1560" s="115" t="n"/>
      <c r="I1560" s="102" t="n"/>
      <c r="J1560" s="102" t="n"/>
      <c r="K1560" s="103" t="n"/>
      <c r="L1560" s="116">
        <f>IF($H1560="","",TRIM(IF(COUNTIF(DMTK!$A$7:$A$250,$F1560)=0,"TK Nợ sai! ","")&amp;IF(COUNTIF(DMTK!$A$7:$A$250,$G1560)=0,"TK Có sai! ","")&amp;IF(N($H1560)&lt;=0,"Tiền phải &gt; 0! ","")&amp;IF($B1560="","Thiếu ngày! ","")&amp;IF(AND(OR(LEFT($F1560,3)="131",LEFT($G1560,3)="131",LEFT($F1560,3)="331",LEFT($G1560,3)="331"),$I1560=""),"Thiếu Mã ĐT! ","")&amp;IF(AND($I1560&lt;&gt;"",COUNTIF(DM_DT!$A$7:$A$306,$I1560)=0),"Mã ĐT chưa khai báo! ","")))</f>
        <v/>
      </c>
      <c r="M1560" s="117">
        <f>IF($H1560="","",IF(AND(OR(LEFT($F1560,3)="111",LEFT($F1560,3)="112",LEFT($F1560,3)="113"),OR(LEFT($G1560,3)="111",LEFT($G1560,3)="112",LEFT($G1560,3)="113")),"NB",IF(OR(LEFT($F1560,3)="111",LEFT($F1560,3)="112",LEFT($F1560,3)="113"),"THU",IF(OR(LEFT($G1560,3)="111",LEFT($G1560,3)="112",LEFT($G1560,3)="113"),"CHI",""))))</f>
        <v/>
      </c>
      <c r="N1560" s="117">
        <f>IF($M1560="THU",$G1560,IF($M1560="CHI",$F1560,""))</f>
        <v/>
      </c>
      <c r="O1560" s="117">
        <f>IF(OR($M1560="",$M1560="NB"),"",IF($J1560&lt;&gt;"",TEXT($J1560,"00"),IFERROR(VLOOKUP(LEFT($N1560,4),LCTT_MAP!$A$7:$C$66,IF($M1560="THU",2,3),FALSE()),IFERROR(VLOOKUP(LEFT($N1560,3),LCTT_MAP!$A$7:$C$66,IF($M1560="THU",2,3),FALSE()),IFERROR(VLOOKUP(LEFT($N1560,2),LCTT_MAP!$A$7:$C$66,IF($M1560="THU",2,3),FALSE()),IFERROR(VLOOKUP(LEFT($N1560,1),LCTT_MAP!$A$7:$C$66,IF($M1560="THU",2,3),FALSE()),IF($M1560="THU","06","07")))))))</f>
        <v/>
      </c>
      <c r="P1560" s="117">
        <f>P1559+IF(AND($H1560&lt;&gt;"",OR(LEFT($F1560,LEN(SC_TK))=SC_TK,LEFT($G1560,LEN(SC_TK))=SC_TK)),1,0)</f>
        <v/>
      </c>
    </row>
    <row r="1561" ht="15" customHeight="1" s="78">
      <c r="A1561" s="95">
        <f>IF($H1561="","",ROW()-6)</f>
        <v/>
      </c>
      <c r="B1561" s="114" t="n"/>
      <c r="C1561" s="102" t="n"/>
      <c r="D1561" s="114" t="n"/>
      <c r="E1561" s="103" t="n"/>
      <c r="F1561" s="102" t="n"/>
      <c r="G1561" s="102" t="n"/>
      <c r="H1561" s="115" t="n"/>
      <c r="I1561" s="102" t="n"/>
      <c r="J1561" s="102" t="n"/>
      <c r="K1561" s="103" t="n"/>
      <c r="L1561" s="116">
        <f>IF($H1561="","",TRIM(IF(COUNTIF(DMTK!$A$7:$A$250,$F1561)=0,"TK Nợ sai! ","")&amp;IF(COUNTIF(DMTK!$A$7:$A$250,$G1561)=0,"TK Có sai! ","")&amp;IF(N($H1561)&lt;=0,"Tiền phải &gt; 0! ","")&amp;IF($B1561="","Thiếu ngày! ","")&amp;IF(AND(OR(LEFT($F1561,3)="131",LEFT($G1561,3)="131",LEFT($F1561,3)="331",LEFT($G1561,3)="331"),$I1561=""),"Thiếu Mã ĐT! ","")&amp;IF(AND($I1561&lt;&gt;"",COUNTIF(DM_DT!$A$7:$A$306,$I1561)=0),"Mã ĐT chưa khai báo! ","")))</f>
        <v/>
      </c>
      <c r="M1561" s="117">
        <f>IF($H1561="","",IF(AND(OR(LEFT($F1561,3)="111",LEFT($F1561,3)="112",LEFT($F1561,3)="113"),OR(LEFT($G1561,3)="111",LEFT($G1561,3)="112",LEFT($G1561,3)="113")),"NB",IF(OR(LEFT($F1561,3)="111",LEFT($F1561,3)="112",LEFT($F1561,3)="113"),"THU",IF(OR(LEFT($G1561,3)="111",LEFT($G1561,3)="112",LEFT($G1561,3)="113"),"CHI",""))))</f>
        <v/>
      </c>
      <c r="N1561" s="117">
        <f>IF($M1561="THU",$G1561,IF($M1561="CHI",$F1561,""))</f>
        <v/>
      </c>
      <c r="O1561" s="117">
        <f>IF(OR($M1561="",$M1561="NB"),"",IF($J1561&lt;&gt;"",TEXT($J1561,"00"),IFERROR(VLOOKUP(LEFT($N1561,4),LCTT_MAP!$A$7:$C$66,IF($M1561="THU",2,3),FALSE()),IFERROR(VLOOKUP(LEFT($N1561,3),LCTT_MAP!$A$7:$C$66,IF($M1561="THU",2,3),FALSE()),IFERROR(VLOOKUP(LEFT($N1561,2),LCTT_MAP!$A$7:$C$66,IF($M1561="THU",2,3),FALSE()),IFERROR(VLOOKUP(LEFT($N1561,1),LCTT_MAP!$A$7:$C$66,IF($M1561="THU",2,3),FALSE()),IF($M1561="THU","06","07")))))))</f>
        <v/>
      </c>
      <c r="P1561" s="117">
        <f>P1560+IF(AND($H1561&lt;&gt;"",OR(LEFT($F1561,LEN(SC_TK))=SC_TK,LEFT($G1561,LEN(SC_TK))=SC_TK)),1,0)</f>
        <v/>
      </c>
    </row>
    <row r="1562" ht="15" customHeight="1" s="78">
      <c r="A1562" s="95">
        <f>IF($H1562="","",ROW()-6)</f>
        <v/>
      </c>
      <c r="B1562" s="114" t="n"/>
      <c r="C1562" s="102" t="n"/>
      <c r="D1562" s="114" t="n"/>
      <c r="E1562" s="103" t="n"/>
      <c r="F1562" s="102" t="n"/>
      <c r="G1562" s="102" t="n"/>
      <c r="H1562" s="115" t="n"/>
      <c r="I1562" s="102" t="n"/>
      <c r="J1562" s="102" t="n"/>
      <c r="K1562" s="103" t="n"/>
      <c r="L1562" s="116">
        <f>IF($H1562="","",TRIM(IF(COUNTIF(DMTK!$A$7:$A$250,$F1562)=0,"TK Nợ sai! ","")&amp;IF(COUNTIF(DMTK!$A$7:$A$250,$G1562)=0,"TK Có sai! ","")&amp;IF(N($H1562)&lt;=0,"Tiền phải &gt; 0! ","")&amp;IF($B1562="","Thiếu ngày! ","")&amp;IF(AND(OR(LEFT($F1562,3)="131",LEFT($G1562,3)="131",LEFT($F1562,3)="331",LEFT($G1562,3)="331"),$I1562=""),"Thiếu Mã ĐT! ","")&amp;IF(AND($I1562&lt;&gt;"",COUNTIF(DM_DT!$A$7:$A$306,$I1562)=0),"Mã ĐT chưa khai báo! ","")))</f>
        <v/>
      </c>
      <c r="M1562" s="117">
        <f>IF($H1562="","",IF(AND(OR(LEFT($F1562,3)="111",LEFT($F1562,3)="112",LEFT($F1562,3)="113"),OR(LEFT($G1562,3)="111",LEFT($G1562,3)="112",LEFT($G1562,3)="113")),"NB",IF(OR(LEFT($F1562,3)="111",LEFT($F1562,3)="112",LEFT($F1562,3)="113"),"THU",IF(OR(LEFT($G1562,3)="111",LEFT($G1562,3)="112",LEFT($G1562,3)="113"),"CHI",""))))</f>
        <v/>
      </c>
      <c r="N1562" s="117">
        <f>IF($M1562="THU",$G1562,IF($M1562="CHI",$F1562,""))</f>
        <v/>
      </c>
      <c r="O1562" s="117">
        <f>IF(OR($M1562="",$M1562="NB"),"",IF($J1562&lt;&gt;"",TEXT($J1562,"00"),IFERROR(VLOOKUP(LEFT($N1562,4),LCTT_MAP!$A$7:$C$66,IF($M1562="THU",2,3),FALSE()),IFERROR(VLOOKUP(LEFT($N1562,3),LCTT_MAP!$A$7:$C$66,IF($M1562="THU",2,3),FALSE()),IFERROR(VLOOKUP(LEFT($N1562,2),LCTT_MAP!$A$7:$C$66,IF($M1562="THU",2,3),FALSE()),IFERROR(VLOOKUP(LEFT($N1562,1),LCTT_MAP!$A$7:$C$66,IF($M1562="THU",2,3),FALSE()),IF($M1562="THU","06","07")))))))</f>
        <v/>
      </c>
      <c r="P1562" s="117">
        <f>P1561+IF(AND($H1562&lt;&gt;"",OR(LEFT($F1562,LEN(SC_TK))=SC_TK,LEFT($G1562,LEN(SC_TK))=SC_TK)),1,0)</f>
        <v/>
      </c>
    </row>
    <row r="1563" ht="15" customHeight="1" s="78">
      <c r="A1563" s="95">
        <f>IF($H1563="","",ROW()-6)</f>
        <v/>
      </c>
      <c r="B1563" s="114" t="n"/>
      <c r="C1563" s="102" t="n"/>
      <c r="D1563" s="114" t="n"/>
      <c r="E1563" s="103" t="n"/>
      <c r="F1563" s="102" t="n"/>
      <c r="G1563" s="102" t="n"/>
      <c r="H1563" s="115" t="n"/>
      <c r="I1563" s="102" t="n"/>
      <c r="J1563" s="102" t="n"/>
      <c r="K1563" s="103" t="n"/>
      <c r="L1563" s="116">
        <f>IF($H1563="","",TRIM(IF(COUNTIF(DMTK!$A$7:$A$250,$F1563)=0,"TK Nợ sai! ","")&amp;IF(COUNTIF(DMTK!$A$7:$A$250,$G1563)=0,"TK Có sai! ","")&amp;IF(N($H1563)&lt;=0,"Tiền phải &gt; 0! ","")&amp;IF($B1563="","Thiếu ngày! ","")&amp;IF(AND(OR(LEFT($F1563,3)="131",LEFT($G1563,3)="131",LEFT($F1563,3)="331",LEFT($G1563,3)="331"),$I1563=""),"Thiếu Mã ĐT! ","")&amp;IF(AND($I1563&lt;&gt;"",COUNTIF(DM_DT!$A$7:$A$306,$I1563)=0),"Mã ĐT chưa khai báo! ","")))</f>
        <v/>
      </c>
      <c r="M1563" s="117">
        <f>IF($H1563="","",IF(AND(OR(LEFT($F1563,3)="111",LEFT($F1563,3)="112",LEFT($F1563,3)="113"),OR(LEFT($G1563,3)="111",LEFT($G1563,3)="112",LEFT($G1563,3)="113")),"NB",IF(OR(LEFT($F1563,3)="111",LEFT($F1563,3)="112",LEFT($F1563,3)="113"),"THU",IF(OR(LEFT($G1563,3)="111",LEFT($G1563,3)="112",LEFT($G1563,3)="113"),"CHI",""))))</f>
        <v/>
      </c>
      <c r="N1563" s="117">
        <f>IF($M1563="THU",$G1563,IF($M1563="CHI",$F1563,""))</f>
        <v/>
      </c>
      <c r="O1563" s="117">
        <f>IF(OR($M1563="",$M1563="NB"),"",IF($J1563&lt;&gt;"",TEXT($J1563,"00"),IFERROR(VLOOKUP(LEFT($N1563,4),LCTT_MAP!$A$7:$C$66,IF($M1563="THU",2,3),FALSE()),IFERROR(VLOOKUP(LEFT($N1563,3),LCTT_MAP!$A$7:$C$66,IF($M1563="THU",2,3),FALSE()),IFERROR(VLOOKUP(LEFT($N1563,2),LCTT_MAP!$A$7:$C$66,IF($M1563="THU",2,3),FALSE()),IFERROR(VLOOKUP(LEFT($N1563,1),LCTT_MAP!$A$7:$C$66,IF($M1563="THU",2,3),FALSE()),IF($M1563="THU","06","07")))))))</f>
        <v/>
      </c>
      <c r="P1563" s="117">
        <f>P1562+IF(AND($H1563&lt;&gt;"",OR(LEFT($F1563,LEN(SC_TK))=SC_TK,LEFT($G1563,LEN(SC_TK))=SC_TK)),1,0)</f>
        <v/>
      </c>
    </row>
    <row r="1564" ht="15" customHeight="1" s="78">
      <c r="A1564" s="95">
        <f>IF($H1564="","",ROW()-6)</f>
        <v/>
      </c>
      <c r="B1564" s="114" t="n"/>
      <c r="C1564" s="102" t="n"/>
      <c r="D1564" s="114" t="n"/>
      <c r="E1564" s="103" t="n"/>
      <c r="F1564" s="102" t="n"/>
      <c r="G1564" s="102" t="n"/>
      <c r="H1564" s="115" t="n"/>
      <c r="I1564" s="102" t="n"/>
      <c r="J1564" s="102" t="n"/>
      <c r="K1564" s="103" t="n"/>
      <c r="L1564" s="116">
        <f>IF($H1564="","",TRIM(IF(COUNTIF(DMTK!$A$7:$A$250,$F1564)=0,"TK Nợ sai! ","")&amp;IF(COUNTIF(DMTK!$A$7:$A$250,$G1564)=0,"TK Có sai! ","")&amp;IF(N($H1564)&lt;=0,"Tiền phải &gt; 0! ","")&amp;IF($B1564="","Thiếu ngày! ","")&amp;IF(AND(OR(LEFT($F1564,3)="131",LEFT($G1564,3)="131",LEFT($F1564,3)="331",LEFT($G1564,3)="331"),$I1564=""),"Thiếu Mã ĐT! ","")&amp;IF(AND($I1564&lt;&gt;"",COUNTIF(DM_DT!$A$7:$A$306,$I1564)=0),"Mã ĐT chưa khai báo! ","")))</f>
        <v/>
      </c>
      <c r="M1564" s="117">
        <f>IF($H1564="","",IF(AND(OR(LEFT($F1564,3)="111",LEFT($F1564,3)="112",LEFT($F1564,3)="113"),OR(LEFT($G1564,3)="111",LEFT($G1564,3)="112",LEFT($G1564,3)="113")),"NB",IF(OR(LEFT($F1564,3)="111",LEFT($F1564,3)="112",LEFT($F1564,3)="113"),"THU",IF(OR(LEFT($G1564,3)="111",LEFT($G1564,3)="112",LEFT($G1564,3)="113"),"CHI",""))))</f>
        <v/>
      </c>
      <c r="N1564" s="117">
        <f>IF($M1564="THU",$G1564,IF($M1564="CHI",$F1564,""))</f>
        <v/>
      </c>
      <c r="O1564" s="117">
        <f>IF(OR($M1564="",$M1564="NB"),"",IF($J1564&lt;&gt;"",TEXT($J1564,"00"),IFERROR(VLOOKUP(LEFT($N1564,4),LCTT_MAP!$A$7:$C$66,IF($M1564="THU",2,3),FALSE()),IFERROR(VLOOKUP(LEFT($N1564,3),LCTT_MAP!$A$7:$C$66,IF($M1564="THU",2,3),FALSE()),IFERROR(VLOOKUP(LEFT($N1564,2),LCTT_MAP!$A$7:$C$66,IF($M1564="THU",2,3),FALSE()),IFERROR(VLOOKUP(LEFT($N1564,1),LCTT_MAP!$A$7:$C$66,IF($M1564="THU",2,3),FALSE()),IF($M1564="THU","06","07")))))))</f>
        <v/>
      </c>
      <c r="P1564" s="117">
        <f>P1563+IF(AND($H1564&lt;&gt;"",OR(LEFT($F1564,LEN(SC_TK))=SC_TK,LEFT($G1564,LEN(SC_TK))=SC_TK)),1,0)</f>
        <v/>
      </c>
    </row>
    <row r="1565" ht="15" customHeight="1" s="78">
      <c r="A1565" s="95">
        <f>IF($H1565="","",ROW()-6)</f>
        <v/>
      </c>
      <c r="B1565" s="114" t="n"/>
      <c r="C1565" s="102" t="n"/>
      <c r="D1565" s="114" t="n"/>
      <c r="E1565" s="103" t="n"/>
      <c r="F1565" s="102" t="n"/>
      <c r="G1565" s="102" t="n"/>
      <c r="H1565" s="115" t="n"/>
      <c r="I1565" s="102" t="n"/>
      <c r="J1565" s="102" t="n"/>
      <c r="K1565" s="103" t="n"/>
      <c r="L1565" s="116">
        <f>IF($H1565="","",TRIM(IF(COUNTIF(DMTK!$A$7:$A$250,$F1565)=0,"TK Nợ sai! ","")&amp;IF(COUNTIF(DMTK!$A$7:$A$250,$G1565)=0,"TK Có sai! ","")&amp;IF(N($H1565)&lt;=0,"Tiền phải &gt; 0! ","")&amp;IF($B1565="","Thiếu ngày! ","")&amp;IF(AND(OR(LEFT($F1565,3)="131",LEFT($G1565,3)="131",LEFT($F1565,3)="331",LEFT($G1565,3)="331"),$I1565=""),"Thiếu Mã ĐT! ","")&amp;IF(AND($I1565&lt;&gt;"",COUNTIF(DM_DT!$A$7:$A$306,$I1565)=0),"Mã ĐT chưa khai báo! ","")))</f>
        <v/>
      </c>
      <c r="M1565" s="117">
        <f>IF($H1565="","",IF(AND(OR(LEFT($F1565,3)="111",LEFT($F1565,3)="112",LEFT($F1565,3)="113"),OR(LEFT($G1565,3)="111",LEFT($G1565,3)="112",LEFT($G1565,3)="113")),"NB",IF(OR(LEFT($F1565,3)="111",LEFT($F1565,3)="112",LEFT($F1565,3)="113"),"THU",IF(OR(LEFT($G1565,3)="111",LEFT($G1565,3)="112",LEFT($G1565,3)="113"),"CHI",""))))</f>
        <v/>
      </c>
      <c r="N1565" s="117">
        <f>IF($M1565="THU",$G1565,IF($M1565="CHI",$F1565,""))</f>
        <v/>
      </c>
      <c r="O1565" s="117">
        <f>IF(OR($M1565="",$M1565="NB"),"",IF($J1565&lt;&gt;"",TEXT($J1565,"00"),IFERROR(VLOOKUP(LEFT($N1565,4),LCTT_MAP!$A$7:$C$66,IF($M1565="THU",2,3),FALSE()),IFERROR(VLOOKUP(LEFT($N1565,3),LCTT_MAP!$A$7:$C$66,IF($M1565="THU",2,3),FALSE()),IFERROR(VLOOKUP(LEFT($N1565,2),LCTT_MAP!$A$7:$C$66,IF($M1565="THU",2,3),FALSE()),IFERROR(VLOOKUP(LEFT($N1565,1),LCTT_MAP!$A$7:$C$66,IF($M1565="THU",2,3),FALSE()),IF($M1565="THU","06","07")))))))</f>
        <v/>
      </c>
      <c r="P1565" s="117">
        <f>P1564+IF(AND($H1565&lt;&gt;"",OR(LEFT($F1565,LEN(SC_TK))=SC_TK,LEFT($G1565,LEN(SC_TK))=SC_TK)),1,0)</f>
        <v/>
      </c>
    </row>
    <row r="1566" ht="15" customHeight="1" s="78">
      <c r="A1566" s="95">
        <f>IF($H1566="","",ROW()-6)</f>
        <v/>
      </c>
      <c r="B1566" s="114" t="n"/>
      <c r="C1566" s="102" t="n"/>
      <c r="D1566" s="114" t="n"/>
      <c r="E1566" s="103" t="n"/>
      <c r="F1566" s="102" t="n"/>
      <c r="G1566" s="102" t="n"/>
      <c r="H1566" s="115" t="n"/>
      <c r="I1566" s="102" t="n"/>
      <c r="J1566" s="102" t="n"/>
      <c r="K1566" s="103" t="n"/>
      <c r="L1566" s="116">
        <f>IF($H1566="","",TRIM(IF(COUNTIF(DMTK!$A$7:$A$250,$F1566)=0,"TK Nợ sai! ","")&amp;IF(COUNTIF(DMTK!$A$7:$A$250,$G1566)=0,"TK Có sai! ","")&amp;IF(N($H1566)&lt;=0,"Tiền phải &gt; 0! ","")&amp;IF($B1566="","Thiếu ngày! ","")&amp;IF(AND(OR(LEFT($F1566,3)="131",LEFT($G1566,3)="131",LEFT($F1566,3)="331",LEFT($G1566,3)="331"),$I1566=""),"Thiếu Mã ĐT! ","")&amp;IF(AND($I1566&lt;&gt;"",COUNTIF(DM_DT!$A$7:$A$306,$I1566)=0),"Mã ĐT chưa khai báo! ","")))</f>
        <v/>
      </c>
      <c r="M1566" s="117">
        <f>IF($H1566="","",IF(AND(OR(LEFT($F1566,3)="111",LEFT($F1566,3)="112",LEFT($F1566,3)="113"),OR(LEFT($G1566,3)="111",LEFT($G1566,3)="112",LEFT($G1566,3)="113")),"NB",IF(OR(LEFT($F1566,3)="111",LEFT($F1566,3)="112",LEFT($F1566,3)="113"),"THU",IF(OR(LEFT($G1566,3)="111",LEFT($G1566,3)="112",LEFT($G1566,3)="113"),"CHI",""))))</f>
        <v/>
      </c>
      <c r="N1566" s="117">
        <f>IF($M1566="THU",$G1566,IF($M1566="CHI",$F1566,""))</f>
        <v/>
      </c>
      <c r="O1566" s="117">
        <f>IF(OR($M1566="",$M1566="NB"),"",IF($J1566&lt;&gt;"",TEXT($J1566,"00"),IFERROR(VLOOKUP(LEFT($N1566,4),LCTT_MAP!$A$7:$C$66,IF($M1566="THU",2,3),FALSE()),IFERROR(VLOOKUP(LEFT($N1566,3),LCTT_MAP!$A$7:$C$66,IF($M1566="THU",2,3),FALSE()),IFERROR(VLOOKUP(LEFT($N1566,2),LCTT_MAP!$A$7:$C$66,IF($M1566="THU",2,3),FALSE()),IFERROR(VLOOKUP(LEFT($N1566,1),LCTT_MAP!$A$7:$C$66,IF($M1566="THU",2,3),FALSE()),IF($M1566="THU","06","07")))))))</f>
        <v/>
      </c>
      <c r="P1566" s="117">
        <f>P1565+IF(AND($H1566&lt;&gt;"",OR(LEFT($F1566,LEN(SC_TK))=SC_TK,LEFT($G1566,LEN(SC_TK))=SC_TK)),1,0)</f>
        <v/>
      </c>
    </row>
    <row r="1567" ht="15" customHeight="1" s="78">
      <c r="A1567" s="95">
        <f>IF($H1567="","",ROW()-6)</f>
        <v/>
      </c>
      <c r="B1567" s="114" t="n"/>
      <c r="C1567" s="102" t="n"/>
      <c r="D1567" s="114" t="n"/>
      <c r="E1567" s="103" t="n"/>
      <c r="F1567" s="102" t="n"/>
      <c r="G1567" s="102" t="n"/>
      <c r="H1567" s="115" t="n"/>
      <c r="I1567" s="102" t="n"/>
      <c r="J1567" s="102" t="n"/>
      <c r="K1567" s="103" t="n"/>
      <c r="L1567" s="116">
        <f>IF($H1567="","",TRIM(IF(COUNTIF(DMTK!$A$7:$A$250,$F1567)=0,"TK Nợ sai! ","")&amp;IF(COUNTIF(DMTK!$A$7:$A$250,$G1567)=0,"TK Có sai! ","")&amp;IF(N($H1567)&lt;=0,"Tiền phải &gt; 0! ","")&amp;IF($B1567="","Thiếu ngày! ","")&amp;IF(AND(OR(LEFT($F1567,3)="131",LEFT($G1567,3)="131",LEFT($F1567,3)="331",LEFT($G1567,3)="331"),$I1567=""),"Thiếu Mã ĐT! ","")&amp;IF(AND($I1567&lt;&gt;"",COUNTIF(DM_DT!$A$7:$A$306,$I1567)=0),"Mã ĐT chưa khai báo! ","")))</f>
        <v/>
      </c>
      <c r="M1567" s="117">
        <f>IF($H1567="","",IF(AND(OR(LEFT($F1567,3)="111",LEFT($F1567,3)="112",LEFT($F1567,3)="113"),OR(LEFT($G1567,3)="111",LEFT($G1567,3)="112",LEFT($G1567,3)="113")),"NB",IF(OR(LEFT($F1567,3)="111",LEFT($F1567,3)="112",LEFT($F1567,3)="113"),"THU",IF(OR(LEFT($G1567,3)="111",LEFT($G1567,3)="112",LEFT($G1567,3)="113"),"CHI",""))))</f>
        <v/>
      </c>
      <c r="N1567" s="117">
        <f>IF($M1567="THU",$G1567,IF($M1567="CHI",$F1567,""))</f>
        <v/>
      </c>
      <c r="O1567" s="117">
        <f>IF(OR($M1567="",$M1567="NB"),"",IF($J1567&lt;&gt;"",TEXT($J1567,"00"),IFERROR(VLOOKUP(LEFT($N1567,4),LCTT_MAP!$A$7:$C$66,IF($M1567="THU",2,3),FALSE()),IFERROR(VLOOKUP(LEFT($N1567,3),LCTT_MAP!$A$7:$C$66,IF($M1567="THU",2,3),FALSE()),IFERROR(VLOOKUP(LEFT($N1567,2),LCTT_MAP!$A$7:$C$66,IF($M1567="THU",2,3),FALSE()),IFERROR(VLOOKUP(LEFT($N1567,1),LCTT_MAP!$A$7:$C$66,IF($M1567="THU",2,3),FALSE()),IF($M1567="THU","06","07")))))))</f>
        <v/>
      </c>
      <c r="P1567" s="117">
        <f>P1566+IF(AND($H1567&lt;&gt;"",OR(LEFT($F1567,LEN(SC_TK))=SC_TK,LEFT($G1567,LEN(SC_TK))=SC_TK)),1,0)</f>
        <v/>
      </c>
    </row>
    <row r="1568" ht="15" customHeight="1" s="78">
      <c r="A1568" s="95">
        <f>IF($H1568="","",ROW()-6)</f>
        <v/>
      </c>
      <c r="B1568" s="114" t="n"/>
      <c r="C1568" s="102" t="n"/>
      <c r="D1568" s="114" t="n"/>
      <c r="E1568" s="103" t="n"/>
      <c r="F1568" s="102" t="n"/>
      <c r="G1568" s="102" t="n"/>
      <c r="H1568" s="115" t="n"/>
      <c r="I1568" s="102" t="n"/>
      <c r="J1568" s="102" t="n"/>
      <c r="K1568" s="103" t="n"/>
      <c r="L1568" s="116">
        <f>IF($H1568="","",TRIM(IF(COUNTIF(DMTK!$A$7:$A$250,$F1568)=0,"TK Nợ sai! ","")&amp;IF(COUNTIF(DMTK!$A$7:$A$250,$G1568)=0,"TK Có sai! ","")&amp;IF(N($H1568)&lt;=0,"Tiền phải &gt; 0! ","")&amp;IF($B1568="","Thiếu ngày! ","")&amp;IF(AND(OR(LEFT($F1568,3)="131",LEFT($G1568,3)="131",LEFT($F1568,3)="331",LEFT($G1568,3)="331"),$I1568=""),"Thiếu Mã ĐT! ","")&amp;IF(AND($I1568&lt;&gt;"",COUNTIF(DM_DT!$A$7:$A$306,$I1568)=0),"Mã ĐT chưa khai báo! ","")))</f>
        <v/>
      </c>
      <c r="M1568" s="117">
        <f>IF($H1568="","",IF(AND(OR(LEFT($F1568,3)="111",LEFT($F1568,3)="112",LEFT($F1568,3)="113"),OR(LEFT($G1568,3)="111",LEFT($G1568,3)="112",LEFT($G1568,3)="113")),"NB",IF(OR(LEFT($F1568,3)="111",LEFT($F1568,3)="112",LEFT($F1568,3)="113"),"THU",IF(OR(LEFT($G1568,3)="111",LEFT($G1568,3)="112",LEFT($G1568,3)="113"),"CHI",""))))</f>
        <v/>
      </c>
      <c r="N1568" s="117">
        <f>IF($M1568="THU",$G1568,IF($M1568="CHI",$F1568,""))</f>
        <v/>
      </c>
      <c r="O1568" s="117">
        <f>IF(OR($M1568="",$M1568="NB"),"",IF($J1568&lt;&gt;"",TEXT($J1568,"00"),IFERROR(VLOOKUP(LEFT($N1568,4),LCTT_MAP!$A$7:$C$66,IF($M1568="THU",2,3),FALSE()),IFERROR(VLOOKUP(LEFT($N1568,3),LCTT_MAP!$A$7:$C$66,IF($M1568="THU",2,3),FALSE()),IFERROR(VLOOKUP(LEFT($N1568,2),LCTT_MAP!$A$7:$C$66,IF($M1568="THU",2,3),FALSE()),IFERROR(VLOOKUP(LEFT($N1568,1),LCTT_MAP!$A$7:$C$66,IF($M1568="THU",2,3),FALSE()),IF($M1568="THU","06","07")))))))</f>
        <v/>
      </c>
      <c r="P1568" s="117">
        <f>P1567+IF(AND($H1568&lt;&gt;"",OR(LEFT($F1568,LEN(SC_TK))=SC_TK,LEFT($G1568,LEN(SC_TK))=SC_TK)),1,0)</f>
        <v/>
      </c>
    </row>
    <row r="1569" ht="15" customHeight="1" s="78">
      <c r="A1569" s="95">
        <f>IF($H1569="","",ROW()-6)</f>
        <v/>
      </c>
      <c r="B1569" s="114" t="n"/>
      <c r="C1569" s="102" t="n"/>
      <c r="D1569" s="114" t="n"/>
      <c r="E1569" s="103" t="n"/>
      <c r="F1569" s="102" t="n"/>
      <c r="G1569" s="102" t="n"/>
      <c r="H1569" s="115" t="n"/>
      <c r="I1569" s="102" t="n"/>
      <c r="J1569" s="102" t="n"/>
      <c r="K1569" s="103" t="n"/>
      <c r="L1569" s="116">
        <f>IF($H1569="","",TRIM(IF(COUNTIF(DMTK!$A$7:$A$250,$F1569)=0,"TK Nợ sai! ","")&amp;IF(COUNTIF(DMTK!$A$7:$A$250,$G1569)=0,"TK Có sai! ","")&amp;IF(N($H1569)&lt;=0,"Tiền phải &gt; 0! ","")&amp;IF($B1569="","Thiếu ngày! ","")&amp;IF(AND(OR(LEFT($F1569,3)="131",LEFT($G1569,3)="131",LEFT($F1569,3)="331",LEFT($G1569,3)="331"),$I1569=""),"Thiếu Mã ĐT! ","")&amp;IF(AND($I1569&lt;&gt;"",COUNTIF(DM_DT!$A$7:$A$306,$I1569)=0),"Mã ĐT chưa khai báo! ","")))</f>
        <v/>
      </c>
      <c r="M1569" s="117">
        <f>IF($H1569="","",IF(AND(OR(LEFT($F1569,3)="111",LEFT($F1569,3)="112",LEFT($F1569,3)="113"),OR(LEFT($G1569,3)="111",LEFT($G1569,3)="112",LEFT($G1569,3)="113")),"NB",IF(OR(LEFT($F1569,3)="111",LEFT($F1569,3)="112",LEFT($F1569,3)="113"),"THU",IF(OR(LEFT($G1569,3)="111",LEFT($G1569,3)="112",LEFT($G1569,3)="113"),"CHI",""))))</f>
        <v/>
      </c>
      <c r="N1569" s="117">
        <f>IF($M1569="THU",$G1569,IF($M1569="CHI",$F1569,""))</f>
        <v/>
      </c>
      <c r="O1569" s="117">
        <f>IF(OR($M1569="",$M1569="NB"),"",IF($J1569&lt;&gt;"",TEXT($J1569,"00"),IFERROR(VLOOKUP(LEFT($N1569,4),LCTT_MAP!$A$7:$C$66,IF($M1569="THU",2,3),FALSE()),IFERROR(VLOOKUP(LEFT($N1569,3),LCTT_MAP!$A$7:$C$66,IF($M1569="THU",2,3),FALSE()),IFERROR(VLOOKUP(LEFT($N1569,2),LCTT_MAP!$A$7:$C$66,IF($M1569="THU",2,3),FALSE()),IFERROR(VLOOKUP(LEFT($N1569,1),LCTT_MAP!$A$7:$C$66,IF($M1569="THU",2,3),FALSE()),IF($M1569="THU","06","07")))))))</f>
        <v/>
      </c>
      <c r="P1569" s="117">
        <f>P1568+IF(AND($H1569&lt;&gt;"",OR(LEFT($F1569,LEN(SC_TK))=SC_TK,LEFT($G1569,LEN(SC_TK))=SC_TK)),1,0)</f>
        <v/>
      </c>
    </row>
    <row r="1570" ht="15" customHeight="1" s="78">
      <c r="A1570" s="95">
        <f>IF($H1570="","",ROW()-6)</f>
        <v/>
      </c>
      <c r="B1570" s="114" t="n"/>
      <c r="C1570" s="102" t="n"/>
      <c r="D1570" s="114" t="n"/>
      <c r="E1570" s="103" t="n"/>
      <c r="F1570" s="102" t="n"/>
      <c r="G1570" s="102" t="n"/>
      <c r="H1570" s="115" t="n"/>
      <c r="I1570" s="102" t="n"/>
      <c r="J1570" s="102" t="n"/>
      <c r="K1570" s="103" t="n"/>
      <c r="L1570" s="116">
        <f>IF($H1570="","",TRIM(IF(COUNTIF(DMTK!$A$7:$A$250,$F1570)=0,"TK Nợ sai! ","")&amp;IF(COUNTIF(DMTK!$A$7:$A$250,$G1570)=0,"TK Có sai! ","")&amp;IF(N($H1570)&lt;=0,"Tiền phải &gt; 0! ","")&amp;IF($B1570="","Thiếu ngày! ","")&amp;IF(AND(OR(LEFT($F1570,3)="131",LEFT($G1570,3)="131",LEFT($F1570,3)="331",LEFT($G1570,3)="331"),$I1570=""),"Thiếu Mã ĐT! ","")&amp;IF(AND($I1570&lt;&gt;"",COUNTIF(DM_DT!$A$7:$A$306,$I1570)=0),"Mã ĐT chưa khai báo! ","")))</f>
        <v/>
      </c>
      <c r="M1570" s="117">
        <f>IF($H1570="","",IF(AND(OR(LEFT($F1570,3)="111",LEFT($F1570,3)="112",LEFT($F1570,3)="113"),OR(LEFT($G1570,3)="111",LEFT($G1570,3)="112",LEFT($G1570,3)="113")),"NB",IF(OR(LEFT($F1570,3)="111",LEFT($F1570,3)="112",LEFT($F1570,3)="113"),"THU",IF(OR(LEFT($G1570,3)="111",LEFT($G1570,3)="112",LEFT($G1570,3)="113"),"CHI",""))))</f>
        <v/>
      </c>
      <c r="N1570" s="117">
        <f>IF($M1570="THU",$G1570,IF($M1570="CHI",$F1570,""))</f>
        <v/>
      </c>
      <c r="O1570" s="117">
        <f>IF(OR($M1570="",$M1570="NB"),"",IF($J1570&lt;&gt;"",TEXT($J1570,"00"),IFERROR(VLOOKUP(LEFT($N1570,4),LCTT_MAP!$A$7:$C$66,IF($M1570="THU",2,3),FALSE()),IFERROR(VLOOKUP(LEFT($N1570,3),LCTT_MAP!$A$7:$C$66,IF($M1570="THU",2,3),FALSE()),IFERROR(VLOOKUP(LEFT($N1570,2),LCTT_MAP!$A$7:$C$66,IF($M1570="THU",2,3),FALSE()),IFERROR(VLOOKUP(LEFT($N1570,1),LCTT_MAP!$A$7:$C$66,IF($M1570="THU",2,3),FALSE()),IF($M1570="THU","06","07")))))))</f>
        <v/>
      </c>
      <c r="P1570" s="117">
        <f>P1569+IF(AND($H1570&lt;&gt;"",OR(LEFT($F1570,LEN(SC_TK))=SC_TK,LEFT($G1570,LEN(SC_TK))=SC_TK)),1,0)</f>
        <v/>
      </c>
    </row>
    <row r="1571" ht="15" customHeight="1" s="78">
      <c r="A1571" s="95">
        <f>IF($H1571="","",ROW()-6)</f>
        <v/>
      </c>
      <c r="B1571" s="114" t="n"/>
      <c r="C1571" s="102" t="n"/>
      <c r="D1571" s="114" t="n"/>
      <c r="E1571" s="103" t="n"/>
      <c r="F1571" s="102" t="n"/>
      <c r="G1571" s="102" t="n"/>
      <c r="H1571" s="115" t="n"/>
      <c r="I1571" s="102" t="n"/>
      <c r="J1571" s="102" t="n"/>
      <c r="K1571" s="103" t="n"/>
      <c r="L1571" s="116">
        <f>IF($H1571="","",TRIM(IF(COUNTIF(DMTK!$A$7:$A$250,$F1571)=0,"TK Nợ sai! ","")&amp;IF(COUNTIF(DMTK!$A$7:$A$250,$G1571)=0,"TK Có sai! ","")&amp;IF(N($H1571)&lt;=0,"Tiền phải &gt; 0! ","")&amp;IF($B1571="","Thiếu ngày! ","")&amp;IF(AND(OR(LEFT($F1571,3)="131",LEFT($G1571,3)="131",LEFT($F1571,3)="331",LEFT($G1571,3)="331"),$I1571=""),"Thiếu Mã ĐT! ","")&amp;IF(AND($I1571&lt;&gt;"",COUNTIF(DM_DT!$A$7:$A$306,$I1571)=0),"Mã ĐT chưa khai báo! ","")))</f>
        <v/>
      </c>
      <c r="M1571" s="117">
        <f>IF($H1571="","",IF(AND(OR(LEFT($F1571,3)="111",LEFT($F1571,3)="112",LEFT($F1571,3)="113"),OR(LEFT($G1571,3)="111",LEFT($G1571,3)="112",LEFT($G1571,3)="113")),"NB",IF(OR(LEFT($F1571,3)="111",LEFT($F1571,3)="112",LEFT($F1571,3)="113"),"THU",IF(OR(LEFT($G1571,3)="111",LEFT($G1571,3)="112",LEFT($G1571,3)="113"),"CHI",""))))</f>
        <v/>
      </c>
      <c r="N1571" s="117">
        <f>IF($M1571="THU",$G1571,IF($M1571="CHI",$F1571,""))</f>
        <v/>
      </c>
      <c r="O1571" s="117">
        <f>IF(OR($M1571="",$M1571="NB"),"",IF($J1571&lt;&gt;"",TEXT($J1571,"00"),IFERROR(VLOOKUP(LEFT($N1571,4),LCTT_MAP!$A$7:$C$66,IF($M1571="THU",2,3),FALSE()),IFERROR(VLOOKUP(LEFT($N1571,3),LCTT_MAP!$A$7:$C$66,IF($M1571="THU",2,3),FALSE()),IFERROR(VLOOKUP(LEFT($N1571,2),LCTT_MAP!$A$7:$C$66,IF($M1571="THU",2,3),FALSE()),IFERROR(VLOOKUP(LEFT($N1571,1),LCTT_MAP!$A$7:$C$66,IF($M1571="THU",2,3),FALSE()),IF($M1571="THU","06","07")))))))</f>
        <v/>
      </c>
      <c r="P1571" s="117">
        <f>P1570+IF(AND($H1571&lt;&gt;"",OR(LEFT($F1571,LEN(SC_TK))=SC_TK,LEFT($G1571,LEN(SC_TK))=SC_TK)),1,0)</f>
        <v/>
      </c>
    </row>
    <row r="1572" ht="15" customHeight="1" s="78">
      <c r="A1572" s="95">
        <f>IF($H1572="","",ROW()-6)</f>
        <v/>
      </c>
      <c r="B1572" s="114" t="n"/>
      <c r="C1572" s="102" t="n"/>
      <c r="D1572" s="114" t="n"/>
      <c r="E1572" s="103" t="n"/>
      <c r="F1572" s="102" t="n"/>
      <c r="G1572" s="102" t="n"/>
      <c r="H1572" s="115" t="n"/>
      <c r="I1572" s="102" t="n"/>
      <c r="J1572" s="102" t="n"/>
      <c r="K1572" s="103" t="n"/>
      <c r="L1572" s="116">
        <f>IF($H1572="","",TRIM(IF(COUNTIF(DMTK!$A$7:$A$250,$F1572)=0,"TK Nợ sai! ","")&amp;IF(COUNTIF(DMTK!$A$7:$A$250,$G1572)=0,"TK Có sai! ","")&amp;IF(N($H1572)&lt;=0,"Tiền phải &gt; 0! ","")&amp;IF($B1572="","Thiếu ngày! ","")&amp;IF(AND(OR(LEFT($F1572,3)="131",LEFT($G1572,3)="131",LEFT($F1572,3)="331",LEFT($G1572,3)="331"),$I1572=""),"Thiếu Mã ĐT! ","")&amp;IF(AND($I1572&lt;&gt;"",COUNTIF(DM_DT!$A$7:$A$306,$I1572)=0),"Mã ĐT chưa khai báo! ","")))</f>
        <v/>
      </c>
      <c r="M1572" s="117">
        <f>IF($H1572="","",IF(AND(OR(LEFT($F1572,3)="111",LEFT($F1572,3)="112",LEFT($F1572,3)="113"),OR(LEFT($G1572,3)="111",LEFT($G1572,3)="112",LEFT($G1572,3)="113")),"NB",IF(OR(LEFT($F1572,3)="111",LEFT($F1572,3)="112",LEFT($F1572,3)="113"),"THU",IF(OR(LEFT($G1572,3)="111",LEFT($G1572,3)="112",LEFT($G1572,3)="113"),"CHI",""))))</f>
        <v/>
      </c>
      <c r="N1572" s="117">
        <f>IF($M1572="THU",$G1572,IF($M1572="CHI",$F1572,""))</f>
        <v/>
      </c>
      <c r="O1572" s="117">
        <f>IF(OR($M1572="",$M1572="NB"),"",IF($J1572&lt;&gt;"",TEXT($J1572,"00"),IFERROR(VLOOKUP(LEFT($N1572,4),LCTT_MAP!$A$7:$C$66,IF($M1572="THU",2,3),FALSE()),IFERROR(VLOOKUP(LEFT($N1572,3),LCTT_MAP!$A$7:$C$66,IF($M1572="THU",2,3),FALSE()),IFERROR(VLOOKUP(LEFT($N1572,2),LCTT_MAP!$A$7:$C$66,IF($M1572="THU",2,3),FALSE()),IFERROR(VLOOKUP(LEFT($N1572,1),LCTT_MAP!$A$7:$C$66,IF($M1572="THU",2,3),FALSE()),IF($M1572="THU","06","07")))))))</f>
        <v/>
      </c>
      <c r="P1572" s="117">
        <f>P1571+IF(AND($H1572&lt;&gt;"",OR(LEFT($F1572,LEN(SC_TK))=SC_TK,LEFT($G1572,LEN(SC_TK))=SC_TK)),1,0)</f>
        <v/>
      </c>
    </row>
    <row r="1573" ht="15" customHeight="1" s="78">
      <c r="A1573" s="95">
        <f>IF($H1573="","",ROW()-6)</f>
        <v/>
      </c>
      <c r="B1573" s="114" t="n"/>
      <c r="C1573" s="102" t="n"/>
      <c r="D1573" s="114" t="n"/>
      <c r="E1573" s="103" t="n"/>
      <c r="F1573" s="102" t="n"/>
      <c r="G1573" s="102" t="n"/>
      <c r="H1573" s="115" t="n"/>
      <c r="I1573" s="102" t="n"/>
      <c r="J1573" s="102" t="n"/>
      <c r="K1573" s="103" t="n"/>
      <c r="L1573" s="116">
        <f>IF($H1573="","",TRIM(IF(COUNTIF(DMTK!$A$7:$A$250,$F1573)=0,"TK Nợ sai! ","")&amp;IF(COUNTIF(DMTK!$A$7:$A$250,$G1573)=0,"TK Có sai! ","")&amp;IF(N($H1573)&lt;=0,"Tiền phải &gt; 0! ","")&amp;IF($B1573="","Thiếu ngày! ","")&amp;IF(AND(OR(LEFT($F1573,3)="131",LEFT($G1573,3)="131",LEFT($F1573,3)="331",LEFT($G1573,3)="331"),$I1573=""),"Thiếu Mã ĐT! ","")&amp;IF(AND($I1573&lt;&gt;"",COUNTIF(DM_DT!$A$7:$A$306,$I1573)=0),"Mã ĐT chưa khai báo! ","")))</f>
        <v/>
      </c>
      <c r="M1573" s="117">
        <f>IF($H1573="","",IF(AND(OR(LEFT($F1573,3)="111",LEFT($F1573,3)="112",LEFT($F1573,3)="113"),OR(LEFT($G1573,3)="111",LEFT($G1573,3)="112",LEFT($G1573,3)="113")),"NB",IF(OR(LEFT($F1573,3)="111",LEFT($F1573,3)="112",LEFT($F1573,3)="113"),"THU",IF(OR(LEFT($G1573,3)="111",LEFT($G1573,3)="112",LEFT($G1573,3)="113"),"CHI",""))))</f>
        <v/>
      </c>
      <c r="N1573" s="117">
        <f>IF($M1573="THU",$G1573,IF($M1573="CHI",$F1573,""))</f>
        <v/>
      </c>
      <c r="O1573" s="117">
        <f>IF(OR($M1573="",$M1573="NB"),"",IF($J1573&lt;&gt;"",TEXT($J1573,"00"),IFERROR(VLOOKUP(LEFT($N1573,4),LCTT_MAP!$A$7:$C$66,IF($M1573="THU",2,3),FALSE()),IFERROR(VLOOKUP(LEFT($N1573,3),LCTT_MAP!$A$7:$C$66,IF($M1573="THU",2,3),FALSE()),IFERROR(VLOOKUP(LEFT($N1573,2),LCTT_MAP!$A$7:$C$66,IF($M1573="THU",2,3),FALSE()),IFERROR(VLOOKUP(LEFT($N1573,1),LCTT_MAP!$A$7:$C$66,IF($M1573="THU",2,3),FALSE()),IF($M1573="THU","06","07")))))))</f>
        <v/>
      </c>
      <c r="P1573" s="117">
        <f>P1572+IF(AND($H1573&lt;&gt;"",OR(LEFT($F1573,LEN(SC_TK))=SC_TK,LEFT($G1573,LEN(SC_TK))=SC_TK)),1,0)</f>
        <v/>
      </c>
    </row>
    <row r="1574" ht="15" customHeight="1" s="78">
      <c r="A1574" s="95">
        <f>IF($H1574="","",ROW()-6)</f>
        <v/>
      </c>
      <c r="B1574" s="114" t="n"/>
      <c r="C1574" s="102" t="n"/>
      <c r="D1574" s="114" t="n"/>
      <c r="E1574" s="103" t="n"/>
      <c r="F1574" s="102" t="n"/>
      <c r="G1574" s="102" t="n"/>
      <c r="H1574" s="115" t="n"/>
      <c r="I1574" s="102" t="n"/>
      <c r="J1574" s="102" t="n"/>
      <c r="K1574" s="103" t="n"/>
      <c r="L1574" s="116">
        <f>IF($H1574="","",TRIM(IF(COUNTIF(DMTK!$A$7:$A$250,$F1574)=0,"TK Nợ sai! ","")&amp;IF(COUNTIF(DMTK!$A$7:$A$250,$G1574)=0,"TK Có sai! ","")&amp;IF(N($H1574)&lt;=0,"Tiền phải &gt; 0! ","")&amp;IF($B1574="","Thiếu ngày! ","")&amp;IF(AND(OR(LEFT($F1574,3)="131",LEFT($G1574,3)="131",LEFT($F1574,3)="331",LEFT($G1574,3)="331"),$I1574=""),"Thiếu Mã ĐT! ","")&amp;IF(AND($I1574&lt;&gt;"",COUNTIF(DM_DT!$A$7:$A$306,$I1574)=0),"Mã ĐT chưa khai báo! ","")))</f>
        <v/>
      </c>
      <c r="M1574" s="117">
        <f>IF($H1574="","",IF(AND(OR(LEFT($F1574,3)="111",LEFT($F1574,3)="112",LEFT($F1574,3)="113"),OR(LEFT($G1574,3)="111",LEFT($G1574,3)="112",LEFT($G1574,3)="113")),"NB",IF(OR(LEFT($F1574,3)="111",LEFT($F1574,3)="112",LEFT($F1574,3)="113"),"THU",IF(OR(LEFT($G1574,3)="111",LEFT($G1574,3)="112",LEFT($G1574,3)="113"),"CHI",""))))</f>
        <v/>
      </c>
      <c r="N1574" s="117">
        <f>IF($M1574="THU",$G1574,IF($M1574="CHI",$F1574,""))</f>
        <v/>
      </c>
      <c r="O1574" s="117">
        <f>IF(OR($M1574="",$M1574="NB"),"",IF($J1574&lt;&gt;"",TEXT($J1574,"00"),IFERROR(VLOOKUP(LEFT($N1574,4),LCTT_MAP!$A$7:$C$66,IF($M1574="THU",2,3),FALSE()),IFERROR(VLOOKUP(LEFT($N1574,3),LCTT_MAP!$A$7:$C$66,IF($M1574="THU",2,3),FALSE()),IFERROR(VLOOKUP(LEFT($N1574,2),LCTT_MAP!$A$7:$C$66,IF($M1574="THU",2,3),FALSE()),IFERROR(VLOOKUP(LEFT($N1574,1),LCTT_MAP!$A$7:$C$66,IF($M1574="THU",2,3),FALSE()),IF($M1574="THU","06","07")))))))</f>
        <v/>
      </c>
      <c r="P1574" s="117">
        <f>P1573+IF(AND($H1574&lt;&gt;"",OR(LEFT($F1574,LEN(SC_TK))=SC_TK,LEFT($G1574,LEN(SC_TK))=SC_TK)),1,0)</f>
        <v/>
      </c>
    </row>
    <row r="1575" ht="15" customHeight="1" s="78">
      <c r="A1575" s="95">
        <f>IF($H1575="","",ROW()-6)</f>
        <v/>
      </c>
      <c r="B1575" s="114" t="n"/>
      <c r="C1575" s="102" t="n"/>
      <c r="D1575" s="114" t="n"/>
      <c r="E1575" s="103" t="n"/>
      <c r="F1575" s="102" t="n"/>
      <c r="G1575" s="102" t="n"/>
      <c r="H1575" s="115" t="n"/>
      <c r="I1575" s="102" t="n"/>
      <c r="J1575" s="102" t="n"/>
      <c r="K1575" s="103" t="n"/>
      <c r="L1575" s="116">
        <f>IF($H1575="","",TRIM(IF(COUNTIF(DMTK!$A$7:$A$250,$F1575)=0,"TK Nợ sai! ","")&amp;IF(COUNTIF(DMTK!$A$7:$A$250,$G1575)=0,"TK Có sai! ","")&amp;IF(N($H1575)&lt;=0,"Tiền phải &gt; 0! ","")&amp;IF($B1575="","Thiếu ngày! ","")&amp;IF(AND(OR(LEFT($F1575,3)="131",LEFT($G1575,3)="131",LEFT($F1575,3)="331",LEFT($G1575,3)="331"),$I1575=""),"Thiếu Mã ĐT! ","")&amp;IF(AND($I1575&lt;&gt;"",COUNTIF(DM_DT!$A$7:$A$306,$I1575)=0),"Mã ĐT chưa khai báo! ","")))</f>
        <v/>
      </c>
      <c r="M1575" s="117">
        <f>IF($H1575="","",IF(AND(OR(LEFT($F1575,3)="111",LEFT($F1575,3)="112",LEFT($F1575,3)="113"),OR(LEFT($G1575,3)="111",LEFT($G1575,3)="112",LEFT($G1575,3)="113")),"NB",IF(OR(LEFT($F1575,3)="111",LEFT($F1575,3)="112",LEFT($F1575,3)="113"),"THU",IF(OR(LEFT($G1575,3)="111",LEFT($G1575,3)="112",LEFT($G1575,3)="113"),"CHI",""))))</f>
        <v/>
      </c>
      <c r="N1575" s="117">
        <f>IF($M1575="THU",$G1575,IF($M1575="CHI",$F1575,""))</f>
        <v/>
      </c>
      <c r="O1575" s="117">
        <f>IF(OR($M1575="",$M1575="NB"),"",IF($J1575&lt;&gt;"",TEXT($J1575,"00"),IFERROR(VLOOKUP(LEFT($N1575,4),LCTT_MAP!$A$7:$C$66,IF($M1575="THU",2,3),FALSE()),IFERROR(VLOOKUP(LEFT($N1575,3),LCTT_MAP!$A$7:$C$66,IF($M1575="THU",2,3),FALSE()),IFERROR(VLOOKUP(LEFT($N1575,2),LCTT_MAP!$A$7:$C$66,IF($M1575="THU",2,3),FALSE()),IFERROR(VLOOKUP(LEFT($N1575,1),LCTT_MAP!$A$7:$C$66,IF($M1575="THU",2,3),FALSE()),IF($M1575="THU","06","07")))))))</f>
        <v/>
      </c>
      <c r="P1575" s="117">
        <f>P1574+IF(AND($H1575&lt;&gt;"",OR(LEFT($F1575,LEN(SC_TK))=SC_TK,LEFT($G1575,LEN(SC_TK))=SC_TK)),1,0)</f>
        <v/>
      </c>
    </row>
    <row r="1576" ht="15" customHeight="1" s="78">
      <c r="A1576" s="95">
        <f>IF($H1576="","",ROW()-6)</f>
        <v/>
      </c>
      <c r="B1576" s="114" t="n"/>
      <c r="C1576" s="102" t="n"/>
      <c r="D1576" s="114" t="n"/>
      <c r="E1576" s="103" t="n"/>
      <c r="F1576" s="102" t="n"/>
      <c r="G1576" s="102" t="n"/>
      <c r="H1576" s="115" t="n"/>
      <c r="I1576" s="102" t="n"/>
      <c r="J1576" s="102" t="n"/>
      <c r="K1576" s="103" t="n"/>
      <c r="L1576" s="116">
        <f>IF($H1576="","",TRIM(IF(COUNTIF(DMTK!$A$7:$A$250,$F1576)=0,"TK Nợ sai! ","")&amp;IF(COUNTIF(DMTK!$A$7:$A$250,$G1576)=0,"TK Có sai! ","")&amp;IF(N($H1576)&lt;=0,"Tiền phải &gt; 0! ","")&amp;IF($B1576="","Thiếu ngày! ","")&amp;IF(AND(OR(LEFT($F1576,3)="131",LEFT($G1576,3)="131",LEFT($F1576,3)="331",LEFT($G1576,3)="331"),$I1576=""),"Thiếu Mã ĐT! ","")&amp;IF(AND($I1576&lt;&gt;"",COUNTIF(DM_DT!$A$7:$A$306,$I1576)=0),"Mã ĐT chưa khai báo! ","")))</f>
        <v/>
      </c>
      <c r="M1576" s="117">
        <f>IF($H1576="","",IF(AND(OR(LEFT($F1576,3)="111",LEFT($F1576,3)="112",LEFT($F1576,3)="113"),OR(LEFT($G1576,3)="111",LEFT($G1576,3)="112",LEFT($G1576,3)="113")),"NB",IF(OR(LEFT($F1576,3)="111",LEFT($F1576,3)="112",LEFT($F1576,3)="113"),"THU",IF(OR(LEFT($G1576,3)="111",LEFT($G1576,3)="112",LEFT($G1576,3)="113"),"CHI",""))))</f>
        <v/>
      </c>
      <c r="N1576" s="117">
        <f>IF($M1576="THU",$G1576,IF($M1576="CHI",$F1576,""))</f>
        <v/>
      </c>
      <c r="O1576" s="117">
        <f>IF(OR($M1576="",$M1576="NB"),"",IF($J1576&lt;&gt;"",TEXT($J1576,"00"),IFERROR(VLOOKUP(LEFT($N1576,4),LCTT_MAP!$A$7:$C$66,IF($M1576="THU",2,3),FALSE()),IFERROR(VLOOKUP(LEFT($N1576,3),LCTT_MAP!$A$7:$C$66,IF($M1576="THU",2,3),FALSE()),IFERROR(VLOOKUP(LEFT($N1576,2),LCTT_MAP!$A$7:$C$66,IF($M1576="THU",2,3),FALSE()),IFERROR(VLOOKUP(LEFT($N1576,1),LCTT_MAP!$A$7:$C$66,IF($M1576="THU",2,3),FALSE()),IF($M1576="THU","06","07")))))))</f>
        <v/>
      </c>
      <c r="P1576" s="117">
        <f>P1575+IF(AND($H1576&lt;&gt;"",OR(LEFT($F1576,LEN(SC_TK))=SC_TK,LEFT($G1576,LEN(SC_TK))=SC_TK)),1,0)</f>
        <v/>
      </c>
    </row>
    <row r="1577" ht="15" customHeight="1" s="78">
      <c r="A1577" s="95">
        <f>IF($H1577="","",ROW()-6)</f>
        <v/>
      </c>
      <c r="B1577" s="114" t="n"/>
      <c r="C1577" s="102" t="n"/>
      <c r="D1577" s="114" t="n"/>
      <c r="E1577" s="103" t="n"/>
      <c r="F1577" s="102" t="n"/>
      <c r="G1577" s="102" t="n"/>
      <c r="H1577" s="115" t="n"/>
      <c r="I1577" s="102" t="n"/>
      <c r="J1577" s="102" t="n"/>
      <c r="K1577" s="103" t="n"/>
      <c r="L1577" s="116">
        <f>IF($H1577="","",TRIM(IF(COUNTIF(DMTK!$A$7:$A$250,$F1577)=0,"TK Nợ sai! ","")&amp;IF(COUNTIF(DMTK!$A$7:$A$250,$G1577)=0,"TK Có sai! ","")&amp;IF(N($H1577)&lt;=0,"Tiền phải &gt; 0! ","")&amp;IF($B1577="","Thiếu ngày! ","")&amp;IF(AND(OR(LEFT($F1577,3)="131",LEFT($G1577,3)="131",LEFT($F1577,3)="331",LEFT($G1577,3)="331"),$I1577=""),"Thiếu Mã ĐT! ","")&amp;IF(AND($I1577&lt;&gt;"",COUNTIF(DM_DT!$A$7:$A$306,$I1577)=0),"Mã ĐT chưa khai báo! ","")))</f>
        <v/>
      </c>
      <c r="M1577" s="117">
        <f>IF($H1577="","",IF(AND(OR(LEFT($F1577,3)="111",LEFT($F1577,3)="112",LEFT($F1577,3)="113"),OR(LEFT($G1577,3)="111",LEFT($G1577,3)="112",LEFT($G1577,3)="113")),"NB",IF(OR(LEFT($F1577,3)="111",LEFT($F1577,3)="112",LEFT($F1577,3)="113"),"THU",IF(OR(LEFT($G1577,3)="111",LEFT($G1577,3)="112",LEFT($G1577,3)="113"),"CHI",""))))</f>
        <v/>
      </c>
      <c r="N1577" s="117">
        <f>IF($M1577="THU",$G1577,IF($M1577="CHI",$F1577,""))</f>
        <v/>
      </c>
      <c r="O1577" s="117">
        <f>IF(OR($M1577="",$M1577="NB"),"",IF($J1577&lt;&gt;"",TEXT($J1577,"00"),IFERROR(VLOOKUP(LEFT($N1577,4),LCTT_MAP!$A$7:$C$66,IF($M1577="THU",2,3),FALSE()),IFERROR(VLOOKUP(LEFT($N1577,3),LCTT_MAP!$A$7:$C$66,IF($M1577="THU",2,3),FALSE()),IFERROR(VLOOKUP(LEFT($N1577,2),LCTT_MAP!$A$7:$C$66,IF($M1577="THU",2,3),FALSE()),IFERROR(VLOOKUP(LEFT($N1577,1),LCTT_MAP!$A$7:$C$66,IF($M1577="THU",2,3),FALSE()),IF($M1577="THU","06","07")))))))</f>
        <v/>
      </c>
      <c r="P1577" s="117">
        <f>P1576+IF(AND($H1577&lt;&gt;"",OR(LEFT($F1577,LEN(SC_TK))=SC_TK,LEFT($G1577,LEN(SC_TK))=SC_TK)),1,0)</f>
        <v/>
      </c>
    </row>
    <row r="1578" ht="15" customHeight="1" s="78">
      <c r="A1578" s="95">
        <f>IF($H1578="","",ROW()-6)</f>
        <v/>
      </c>
      <c r="B1578" s="114" t="n"/>
      <c r="C1578" s="102" t="n"/>
      <c r="D1578" s="114" t="n"/>
      <c r="E1578" s="103" t="n"/>
      <c r="F1578" s="102" t="n"/>
      <c r="G1578" s="102" t="n"/>
      <c r="H1578" s="115" t="n"/>
      <c r="I1578" s="102" t="n"/>
      <c r="J1578" s="102" t="n"/>
      <c r="K1578" s="103" t="n"/>
      <c r="L1578" s="116">
        <f>IF($H1578="","",TRIM(IF(COUNTIF(DMTK!$A$7:$A$250,$F1578)=0,"TK Nợ sai! ","")&amp;IF(COUNTIF(DMTK!$A$7:$A$250,$G1578)=0,"TK Có sai! ","")&amp;IF(N($H1578)&lt;=0,"Tiền phải &gt; 0! ","")&amp;IF($B1578="","Thiếu ngày! ","")&amp;IF(AND(OR(LEFT($F1578,3)="131",LEFT($G1578,3)="131",LEFT($F1578,3)="331",LEFT($G1578,3)="331"),$I1578=""),"Thiếu Mã ĐT! ","")&amp;IF(AND($I1578&lt;&gt;"",COUNTIF(DM_DT!$A$7:$A$306,$I1578)=0),"Mã ĐT chưa khai báo! ","")))</f>
        <v/>
      </c>
      <c r="M1578" s="117">
        <f>IF($H1578="","",IF(AND(OR(LEFT($F1578,3)="111",LEFT($F1578,3)="112",LEFT($F1578,3)="113"),OR(LEFT($G1578,3)="111",LEFT($G1578,3)="112",LEFT($G1578,3)="113")),"NB",IF(OR(LEFT($F1578,3)="111",LEFT($F1578,3)="112",LEFT($F1578,3)="113"),"THU",IF(OR(LEFT($G1578,3)="111",LEFT($G1578,3)="112",LEFT($G1578,3)="113"),"CHI",""))))</f>
        <v/>
      </c>
      <c r="N1578" s="117">
        <f>IF($M1578="THU",$G1578,IF($M1578="CHI",$F1578,""))</f>
        <v/>
      </c>
      <c r="O1578" s="117">
        <f>IF(OR($M1578="",$M1578="NB"),"",IF($J1578&lt;&gt;"",TEXT($J1578,"00"),IFERROR(VLOOKUP(LEFT($N1578,4),LCTT_MAP!$A$7:$C$66,IF($M1578="THU",2,3),FALSE()),IFERROR(VLOOKUP(LEFT($N1578,3),LCTT_MAP!$A$7:$C$66,IF($M1578="THU",2,3),FALSE()),IFERROR(VLOOKUP(LEFT($N1578,2),LCTT_MAP!$A$7:$C$66,IF($M1578="THU",2,3),FALSE()),IFERROR(VLOOKUP(LEFT($N1578,1),LCTT_MAP!$A$7:$C$66,IF($M1578="THU",2,3),FALSE()),IF($M1578="THU","06","07")))))))</f>
        <v/>
      </c>
      <c r="P1578" s="117">
        <f>P1577+IF(AND($H1578&lt;&gt;"",OR(LEFT($F1578,LEN(SC_TK))=SC_TK,LEFT($G1578,LEN(SC_TK))=SC_TK)),1,0)</f>
        <v/>
      </c>
    </row>
    <row r="1579" ht="15" customHeight="1" s="78">
      <c r="A1579" s="95">
        <f>IF($H1579="","",ROW()-6)</f>
        <v/>
      </c>
      <c r="B1579" s="114" t="n"/>
      <c r="C1579" s="102" t="n"/>
      <c r="D1579" s="114" t="n"/>
      <c r="E1579" s="103" t="n"/>
      <c r="F1579" s="102" t="n"/>
      <c r="G1579" s="102" t="n"/>
      <c r="H1579" s="115" t="n"/>
      <c r="I1579" s="102" t="n"/>
      <c r="J1579" s="102" t="n"/>
      <c r="K1579" s="103" t="n"/>
      <c r="L1579" s="116">
        <f>IF($H1579="","",TRIM(IF(COUNTIF(DMTK!$A$7:$A$250,$F1579)=0,"TK Nợ sai! ","")&amp;IF(COUNTIF(DMTK!$A$7:$A$250,$G1579)=0,"TK Có sai! ","")&amp;IF(N($H1579)&lt;=0,"Tiền phải &gt; 0! ","")&amp;IF($B1579="","Thiếu ngày! ","")&amp;IF(AND(OR(LEFT($F1579,3)="131",LEFT($G1579,3)="131",LEFT($F1579,3)="331",LEFT($G1579,3)="331"),$I1579=""),"Thiếu Mã ĐT! ","")&amp;IF(AND($I1579&lt;&gt;"",COUNTIF(DM_DT!$A$7:$A$306,$I1579)=0),"Mã ĐT chưa khai báo! ","")))</f>
        <v/>
      </c>
      <c r="M1579" s="117">
        <f>IF($H1579="","",IF(AND(OR(LEFT($F1579,3)="111",LEFT($F1579,3)="112",LEFT($F1579,3)="113"),OR(LEFT($G1579,3)="111",LEFT($G1579,3)="112",LEFT($G1579,3)="113")),"NB",IF(OR(LEFT($F1579,3)="111",LEFT($F1579,3)="112",LEFT($F1579,3)="113"),"THU",IF(OR(LEFT($G1579,3)="111",LEFT($G1579,3)="112",LEFT($G1579,3)="113"),"CHI",""))))</f>
        <v/>
      </c>
      <c r="N1579" s="117">
        <f>IF($M1579="THU",$G1579,IF($M1579="CHI",$F1579,""))</f>
        <v/>
      </c>
      <c r="O1579" s="117">
        <f>IF(OR($M1579="",$M1579="NB"),"",IF($J1579&lt;&gt;"",TEXT($J1579,"00"),IFERROR(VLOOKUP(LEFT($N1579,4),LCTT_MAP!$A$7:$C$66,IF($M1579="THU",2,3),FALSE()),IFERROR(VLOOKUP(LEFT($N1579,3),LCTT_MAP!$A$7:$C$66,IF($M1579="THU",2,3),FALSE()),IFERROR(VLOOKUP(LEFT($N1579,2),LCTT_MAP!$A$7:$C$66,IF($M1579="THU",2,3),FALSE()),IFERROR(VLOOKUP(LEFT($N1579,1),LCTT_MAP!$A$7:$C$66,IF($M1579="THU",2,3),FALSE()),IF($M1579="THU","06","07")))))))</f>
        <v/>
      </c>
      <c r="P1579" s="117">
        <f>P1578+IF(AND($H1579&lt;&gt;"",OR(LEFT($F1579,LEN(SC_TK))=SC_TK,LEFT($G1579,LEN(SC_TK))=SC_TK)),1,0)</f>
        <v/>
      </c>
    </row>
    <row r="1580" ht="15" customHeight="1" s="78">
      <c r="A1580" s="95">
        <f>IF($H1580="","",ROW()-6)</f>
        <v/>
      </c>
      <c r="B1580" s="114" t="n"/>
      <c r="C1580" s="102" t="n"/>
      <c r="D1580" s="114" t="n"/>
      <c r="E1580" s="103" t="n"/>
      <c r="F1580" s="102" t="n"/>
      <c r="G1580" s="102" t="n"/>
      <c r="H1580" s="115" t="n"/>
      <c r="I1580" s="102" t="n"/>
      <c r="J1580" s="102" t="n"/>
      <c r="K1580" s="103" t="n"/>
      <c r="L1580" s="116">
        <f>IF($H1580="","",TRIM(IF(COUNTIF(DMTK!$A$7:$A$250,$F1580)=0,"TK Nợ sai! ","")&amp;IF(COUNTIF(DMTK!$A$7:$A$250,$G1580)=0,"TK Có sai! ","")&amp;IF(N($H1580)&lt;=0,"Tiền phải &gt; 0! ","")&amp;IF($B1580="","Thiếu ngày! ","")&amp;IF(AND(OR(LEFT($F1580,3)="131",LEFT($G1580,3)="131",LEFT($F1580,3)="331",LEFT($G1580,3)="331"),$I1580=""),"Thiếu Mã ĐT! ","")&amp;IF(AND($I1580&lt;&gt;"",COUNTIF(DM_DT!$A$7:$A$306,$I1580)=0),"Mã ĐT chưa khai báo! ","")))</f>
        <v/>
      </c>
      <c r="M1580" s="117">
        <f>IF($H1580="","",IF(AND(OR(LEFT($F1580,3)="111",LEFT($F1580,3)="112",LEFT($F1580,3)="113"),OR(LEFT($G1580,3)="111",LEFT($G1580,3)="112",LEFT($G1580,3)="113")),"NB",IF(OR(LEFT($F1580,3)="111",LEFT($F1580,3)="112",LEFT($F1580,3)="113"),"THU",IF(OR(LEFT($G1580,3)="111",LEFT($G1580,3)="112",LEFT($G1580,3)="113"),"CHI",""))))</f>
        <v/>
      </c>
      <c r="N1580" s="117">
        <f>IF($M1580="THU",$G1580,IF($M1580="CHI",$F1580,""))</f>
        <v/>
      </c>
      <c r="O1580" s="117">
        <f>IF(OR($M1580="",$M1580="NB"),"",IF($J1580&lt;&gt;"",TEXT($J1580,"00"),IFERROR(VLOOKUP(LEFT($N1580,4),LCTT_MAP!$A$7:$C$66,IF($M1580="THU",2,3),FALSE()),IFERROR(VLOOKUP(LEFT($N1580,3),LCTT_MAP!$A$7:$C$66,IF($M1580="THU",2,3),FALSE()),IFERROR(VLOOKUP(LEFT($N1580,2),LCTT_MAP!$A$7:$C$66,IF($M1580="THU",2,3),FALSE()),IFERROR(VLOOKUP(LEFT($N1580,1),LCTT_MAP!$A$7:$C$66,IF($M1580="THU",2,3),FALSE()),IF($M1580="THU","06","07")))))))</f>
        <v/>
      </c>
      <c r="P1580" s="117">
        <f>P1579+IF(AND($H1580&lt;&gt;"",OR(LEFT($F1580,LEN(SC_TK))=SC_TK,LEFT($G1580,LEN(SC_TK))=SC_TK)),1,0)</f>
        <v/>
      </c>
    </row>
    <row r="1581" ht="15" customHeight="1" s="78">
      <c r="A1581" s="95">
        <f>IF($H1581="","",ROW()-6)</f>
        <v/>
      </c>
      <c r="B1581" s="114" t="n"/>
      <c r="C1581" s="102" t="n"/>
      <c r="D1581" s="114" t="n"/>
      <c r="E1581" s="103" t="n"/>
      <c r="F1581" s="102" t="n"/>
      <c r="G1581" s="102" t="n"/>
      <c r="H1581" s="115" t="n"/>
      <c r="I1581" s="102" t="n"/>
      <c r="J1581" s="102" t="n"/>
      <c r="K1581" s="103" t="n"/>
      <c r="L1581" s="116">
        <f>IF($H1581="","",TRIM(IF(COUNTIF(DMTK!$A$7:$A$250,$F1581)=0,"TK Nợ sai! ","")&amp;IF(COUNTIF(DMTK!$A$7:$A$250,$G1581)=0,"TK Có sai! ","")&amp;IF(N($H1581)&lt;=0,"Tiền phải &gt; 0! ","")&amp;IF($B1581="","Thiếu ngày! ","")&amp;IF(AND(OR(LEFT($F1581,3)="131",LEFT($G1581,3)="131",LEFT($F1581,3)="331",LEFT($G1581,3)="331"),$I1581=""),"Thiếu Mã ĐT! ","")&amp;IF(AND($I1581&lt;&gt;"",COUNTIF(DM_DT!$A$7:$A$306,$I1581)=0),"Mã ĐT chưa khai báo! ","")))</f>
        <v/>
      </c>
      <c r="M1581" s="117">
        <f>IF($H1581="","",IF(AND(OR(LEFT($F1581,3)="111",LEFT($F1581,3)="112",LEFT($F1581,3)="113"),OR(LEFT($G1581,3)="111",LEFT($G1581,3)="112",LEFT($G1581,3)="113")),"NB",IF(OR(LEFT($F1581,3)="111",LEFT($F1581,3)="112",LEFT($F1581,3)="113"),"THU",IF(OR(LEFT($G1581,3)="111",LEFT($G1581,3)="112",LEFT($G1581,3)="113"),"CHI",""))))</f>
        <v/>
      </c>
      <c r="N1581" s="117">
        <f>IF($M1581="THU",$G1581,IF($M1581="CHI",$F1581,""))</f>
        <v/>
      </c>
      <c r="O1581" s="117">
        <f>IF(OR($M1581="",$M1581="NB"),"",IF($J1581&lt;&gt;"",TEXT($J1581,"00"),IFERROR(VLOOKUP(LEFT($N1581,4),LCTT_MAP!$A$7:$C$66,IF($M1581="THU",2,3),FALSE()),IFERROR(VLOOKUP(LEFT($N1581,3),LCTT_MAP!$A$7:$C$66,IF($M1581="THU",2,3),FALSE()),IFERROR(VLOOKUP(LEFT($N1581,2),LCTT_MAP!$A$7:$C$66,IF($M1581="THU",2,3),FALSE()),IFERROR(VLOOKUP(LEFT($N1581,1),LCTT_MAP!$A$7:$C$66,IF($M1581="THU",2,3),FALSE()),IF($M1581="THU","06","07")))))))</f>
        <v/>
      </c>
      <c r="P1581" s="117">
        <f>P1580+IF(AND($H1581&lt;&gt;"",OR(LEFT($F1581,LEN(SC_TK))=SC_TK,LEFT($G1581,LEN(SC_TK))=SC_TK)),1,0)</f>
        <v/>
      </c>
    </row>
    <row r="1582" ht="15" customHeight="1" s="78">
      <c r="A1582" s="95">
        <f>IF($H1582="","",ROW()-6)</f>
        <v/>
      </c>
      <c r="B1582" s="114" t="n"/>
      <c r="C1582" s="102" t="n"/>
      <c r="D1582" s="114" t="n"/>
      <c r="E1582" s="103" t="n"/>
      <c r="F1582" s="102" t="n"/>
      <c r="G1582" s="102" t="n"/>
      <c r="H1582" s="115" t="n"/>
      <c r="I1582" s="102" t="n"/>
      <c r="J1582" s="102" t="n"/>
      <c r="K1582" s="103" t="n"/>
      <c r="L1582" s="116">
        <f>IF($H1582="","",TRIM(IF(COUNTIF(DMTK!$A$7:$A$250,$F1582)=0,"TK Nợ sai! ","")&amp;IF(COUNTIF(DMTK!$A$7:$A$250,$G1582)=0,"TK Có sai! ","")&amp;IF(N($H1582)&lt;=0,"Tiền phải &gt; 0! ","")&amp;IF($B1582="","Thiếu ngày! ","")&amp;IF(AND(OR(LEFT($F1582,3)="131",LEFT($G1582,3)="131",LEFT($F1582,3)="331",LEFT($G1582,3)="331"),$I1582=""),"Thiếu Mã ĐT! ","")&amp;IF(AND($I1582&lt;&gt;"",COUNTIF(DM_DT!$A$7:$A$306,$I1582)=0),"Mã ĐT chưa khai báo! ","")))</f>
        <v/>
      </c>
      <c r="M1582" s="117">
        <f>IF($H1582="","",IF(AND(OR(LEFT($F1582,3)="111",LEFT($F1582,3)="112",LEFT($F1582,3)="113"),OR(LEFT($G1582,3)="111",LEFT($G1582,3)="112",LEFT($G1582,3)="113")),"NB",IF(OR(LEFT($F1582,3)="111",LEFT($F1582,3)="112",LEFT($F1582,3)="113"),"THU",IF(OR(LEFT($G1582,3)="111",LEFT($G1582,3)="112",LEFT($G1582,3)="113"),"CHI",""))))</f>
        <v/>
      </c>
      <c r="N1582" s="117">
        <f>IF($M1582="THU",$G1582,IF($M1582="CHI",$F1582,""))</f>
        <v/>
      </c>
      <c r="O1582" s="117">
        <f>IF(OR($M1582="",$M1582="NB"),"",IF($J1582&lt;&gt;"",TEXT($J1582,"00"),IFERROR(VLOOKUP(LEFT($N1582,4),LCTT_MAP!$A$7:$C$66,IF($M1582="THU",2,3),FALSE()),IFERROR(VLOOKUP(LEFT($N1582,3),LCTT_MAP!$A$7:$C$66,IF($M1582="THU",2,3),FALSE()),IFERROR(VLOOKUP(LEFT($N1582,2),LCTT_MAP!$A$7:$C$66,IF($M1582="THU",2,3),FALSE()),IFERROR(VLOOKUP(LEFT($N1582,1),LCTT_MAP!$A$7:$C$66,IF($M1582="THU",2,3),FALSE()),IF($M1582="THU","06","07")))))))</f>
        <v/>
      </c>
      <c r="P1582" s="117">
        <f>P1581+IF(AND($H1582&lt;&gt;"",OR(LEFT($F1582,LEN(SC_TK))=SC_TK,LEFT($G1582,LEN(SC_TK))=SC_TK)),1,0)</f>
        <v/>
      </c>
    </row>
    <row r="1583" ht="15" customHeight="1" s="78">
      <c r="A1583" s="95">
        <f>IF($H1583="","",ROW()-6)</f>
        <v/>
      </c>
      <c r="B1583" s="114" t="n"/>
      <c r="C1583" s="102" t="n"/>
      <c r="D1583" s="114" t="n"/>
      <c r="E1583" s="103" t="n"/>
      <c r="F1583" s="102" t="n"/>
      <c r="G1583" s="102" t="n"/>
      <c r="H1583" s="115" t="n"/>
      <c r="I1583" s="102" t="n"/>
      <c r="J1583" s="102" t="n"/>
      <c r="K1583" s="103" t="n"/>
      <c r="L1583" s="116">
        <f>IF($H1583="","",TRIM(IF(COUNTIF(DMTK!$A$7:$A$250,$F1583)=0,"TK Nợ sai! ","")&amp;IF(COUNTIF(DMTK!$A$7:$A$250,$G1583)=0,"TK Có sai! ","")&amp;IF(N($H1583)&lt;=0,"Tiền phải &gt; 0! ","")&amp;IF($B1583="","Thiếu ngày! ","")&amp;IF(AND(OR(LEFT($F1583,3)="131",LEFT($G1583,3)="131",LEFT($F1583,3)="331",LEFT($G1583,3)="331"),$I1583=""),"Thiếu Mã ĐT! ","")&amp;IF(AND($I1583&lt;&gt;"",COUNTIF(DM_DT!$A$7:$A$306,$I1583)=0),"Mã ĐT chưa khai báo! ","")))</f>
        <v/>
      </c>
      <c r="M1583" s="117">
        <f>IF($H1583="","",IF(AND(OR(LEFT($F1583,3)="111",LEFT($F1583,3)="112",LEFT($F1583,3)="113"),OR(LEFT($G1583,3)="111",LEFT($G1583,3)="112",LEFT($G1583,3)="113")),"NB",IF(OR(LEFT($F1583,3)="111",LEFT($F1583,3)="112",LEFT($F1583,3)="113"),"THU",IF(OR(LEFT($G1583,3)="111",LEFT($G1583,3)="112",LEFT($G1583,3)="113"),"CHI",""))))</f>
        <v/>
      </c>
      <c r="N1583" s="117">
        <f>IF($M1583="THU",$G1583,IF($M1583="CHI",$F1583,""))</f>
        <v/>
      </c>
      <c r="O1583" s="117">
        <f>IF(OR($M1583="",$M1583="NB"),"",IF($J1583&lt;&gt;"",TEXT($J1583,"00"),IFERROR(VLOOKUP(LEFT($N1583,4),LCTT_MAP!$A$7:$C$66,IF($M1583="THU",2,3),FALSE()),IFERROR(VLOOKUP(LEFT($N1583,3),LCTT_MAP!$A$7:$C$66,IF($M1583="THU",2,3),FALSE()),IFERROR(VLOOKUP(LEFT($N1583,2),LCTT_MAP!$A$7:$C$66,IF($M1583="THU",2,3),FALSE()),IFERROR(VLOOKUP(LEFT($N1583,1),LCTT_MAP!$A$7:$C$66,IF($M1583="THU",2,3),FALSE()),IF($M1583="THU","06","07")))))))</f>
        <v/>
      </c>
      <c r="P1583" s="117">
        <f>P1582+IF(AND($H1583&lt;&gt;"",OR(LEFT($F1583,LEN(SC_TK))=SC_TK,LEFT($G1583,LEN(SC_TK))=SC_TK)),1,0)</f>
        <v/>
      </c>
    </row>
    <row r="1584" ht="15" customHeight="1" s="78">
      <c r="A1584" s="95">
        <f>IF($H1584="","",ROW()-6)</f>
        <v/>
      </c>
      <c r="B1584" s="114" t="n"/>
      <c r="C1584" s="102" t="n"/>
      <c r="D1584" s="114" t="n"/>
      <c r="E1584" s="103" t="n"/>
      <c r="F1584" s="102" t="n"/>
      <c r="G1584" s="102" t="n"/>
      <c r="H1584" s="115" t="n"/>
      <c r="I1584" s="102" t="n"/>
      <c r="J1584" s="102" t="n"/>
      <c r="K1584" s="103" t="n"/>
      <c r="L1584" s="116">
        <f>IF($H1584="","",TRIM(IF(COUNTIF(DMTK!$A$7:$A$250,$F1584)=0,"TK Nợ sai! ","")&amp;IF(COUNTIF(DMTK!$A$7:$A$250,$G1584)=0,"TK Có sai! ","")&amp;IF(N($H1584)&lt;=0,"Tiền phải &gt; 0! ","")&amp;IF($B1584="","Thiếu ngày! ","")&amp;IF(AND(OR(LEFT($F1584,3)="131",LEFT($G1584,3)="131",LEFT($F1584,3)="331",LEFT($G1584,3)="331"),$I1584=""),"Thiếu Mã ĐT! ","")&amp;IF(AND($I1584&lt;&gt;"",COUNTIF(DM_DT!$A$7:$A$306,$I1584)=0),"Mã ĐT chưa khai báo! ","")))</f>
        <v/>
      </c>
      <c r="M1584" s="117">
        <f>IF($H1584="","",IF(AND(OR(LEFT($F1584,3)="111",LEFT($F1584,3)="112",LEFT($F1584,3)="113"),OR(LEFT($G1584,3)="111",LEFT($G1584,3)="112",LEFT($G1584,3)="113")),"NB",IF(OR(LEFT($F1584,3)="111",LEFT($F1584,3)="112",LEFT($F1584,3)="113"),"THU",IF(OR(LEFT($G1584,3)="111",LEFT($G1584,3)="112",LEFT($G1584,3)="113"),"CHI",""))))</f>
        <v/>
      </c>
      <c r="N1584" s="117">
        <f>IF($M1584="THU",$G1584,IF($M1584="CHI",$F1584,""))</f>
        <v/>
      </c>
      <c r="O1584" s="117">
        <f>IF(OR($M1584="",$M1584="NB"),"",IF($J1584&lt;&gt;"",TEXT($J1584,"00"),IFERROR(VLOOKUP(LEFT($N1584,4),LCTT_MAP!$A$7:$C$66,IF($M1584="THU",2,3),FALSE()),IFERROR(VLOOKUP(LEFT($N1584,3),LCTT_MAP!$A$7:$C$66,IF($M1584="THU",2,3),FALSE()),IFERROR(VLOOKUP(LEFT($N1584,2),LCTT_MAP!$A$7:$C$66,IF($M1584="THU",2,3),FALSE()),IFERROR(VLOOKUP(LEFT($N1584,1),LCTT_MAP!$A$7:$C$66,IF($M1584="THU",2,3),FALSE()),IF($M1584="THU","06","07")))))))</f>
        <v/>
      </c>
      <c r="P1584" s="117">
        <f>P1583+IF(AND($H1584&lt;&gt;"",OR(LEFT($F1584,LEN(SC_TK))=SC_TK,LEFT($G1584,LEN(SC_TK))=SC_TK)),1,0)</f>
        <v/>
      </c>
    </row>
    <row r="1585" ht="15" customHeight="1" s="78">
      <c r="A1585" s="95">
        <f>IF($H1585="","",ROW()-6)</f>
        <v/>
      </c>
      <c r="B1585" s="114" t="n"/>
      <c r="C1585" s="102" t="n"/>
      <c r="D1585" s="114" t="n"/>
      <c r="E1585" s="103" t="n"/>
      <c r="F1585" s="102" t="n"/>
      <c r="G1585" s="102" t="n"/>
      <c r="H1585" s="115" t="n"/>
      <c r="I1585" s="102" t="n"/>
      <c r="J1585" s="102" t="n"/>
      <c r="K1585" s="103" t="n"/>
      <c r="L1585" s="116">
        <f>IF($H1585="","",TRIM(IF(COUNTIF(DMTK!$A$7:$A$250,$F1585)=0,"TK Nợ sai! ","")&amp;IF(COUNTIF(DMTK!$A$7:$A$250,$G1585)=0,"TK Có sai! ","")&amp;IF(N($H1585)&lt;=0,"Tiền phải &gt; 0! ","")&amp;IF($B1585="","Thiếu ngày! ","")&amp;IF(AND(OR(LEFT($F1585,3)="131",LEFT($G1585,3)="131",LEFT($F1585,3)="331",LEFT($G1585,3)="331"),$I1585=""),"Thiếu Mã ĐT! ","")&amp;IF(AND($I1585&lt;&gt;"",COUNTIF(DM_DT!$A$7:$A$306,$I1585)=0),"Mã ĐT chưa khai báo! ","")))</f>
        <v/>
      </c>
      <c r="M1585" s="117">
        <f>IF($H1585="","",IF(AND(OR(LEFT($F1585,3)="111",LEFT($F1585,3)="112",LEFT($F1585,3)="113"),OR(LEFT($G1585,3)="111",LEFT($G1585,3)="112",LEFT($G1585,3)="113")),"NB",IF(OR(LEFT($F1585,3)="111",LEFT($F1585,3)="112",LEFT($F1585,3)="113"),"THU",IF(OR(LEFT($G1585,3)="111",LEFT($G1585,3)="112",LEFT($G1585,3)="113"),"CHI",""))))</f>
        <v/>
      </c>
      <c r="N1585" s="117">
        <f>IF($M1585="THU",$G1585,IF($M1585="CHI",$F1585,""))</f>
        <v/>
      </c>
      <c r="O1585" s="117">
        <f>IF(OR($M1585="",$M1585="NB"),"",IF($J1585&lt;&gt;"",TEXT($J1585,"00"),IFERROR(VLOOKUP(LEFT($N1585,4),LCTT_MAP!$A$7:$C$66,IF($M1585="THU",2,3),FALSE()),IFERROR(VLOOKUP(LEFT($N1585,3),LCTT_MAP!$A$7:$C$66,IF($M1585="THU",2,3),FALSE()),IFERROR(VLOOKUP(LEFT($N1585,2),LCTT_MAP!$A$7:$C$66,IF($M1585="THU",2,3),FALSE()),IFERROR(VLOOKUP(LEFT($N1585,1),LCTT_MAP!$A$7:$C$66,IF($M1585="THU",2,3),FALSE()),IF($M1585="THU","06","07")))))))</f>
        <v/>
      </c>
      <c r="P1585" s="117">
        <f>P1584+IF(AND($H1585&lt;&gt;"",OR(LEFT($F1585,LEN(SC_TK))=SC_TK,LEFT($G1585,LEN(SC_TK))=SC_TK)),1,0)</f>
        <v/>
      </c>
    </row>
    <row r="1586" ht="15" customHeight="1" s="78">
      <c r="A1586" s="95">
        <f>IF($H1586="","",ROW()-6)</f>
        <v/>
      </c>
      <c r="B1586" s="114" t="n"/>
      <c r="C1586" s="102" t="n"/>
      <c r="D1586" s="114" t="n"/>
      <c r="E1586" s="103" t="n"/>
      <c r="F1586" s="102" t="n"/>
      <c r="G1586" s="102" t="n"/>
      <c r="H1586" s="115" t="n"/>
      <c r="I1586" s="102" t="n"/>
      <c r="J1586" s="102" t="n"/>
      <c r="K1586" s="103" t="n"/>
      <c r="L1586" s="116">
        <f>IF($H1586="","",TRIM(IF(COUNTIF(DMTK!$A$7:$A$250,$F1586)=0,"TK Nợ sai! ","")&amp;IF(COUNTIF(DMTK!$A$7:$A$250,$G1586)=0,"TK Có sai! ","")&amp;IF(N($H1586)&lt;=0,"Tiền phải &gt; 0! ","")&amp;IF($B1586="","Thiếu ngày! ","")&amp;IF(AND(OR(LEFT($F1586,3)="131",LEFT($G1586,3)="131",LEFT($F1586,3)="331",LEFT($G1586,3)="331"),$I1586=""),"Thiếu Mã ĐT! ","")&amp;IF(AND($I1586&lt;&gt;"",COUNTIF(DM_DT!$A$7:$A$306,$I1586)=0),"Mã ĐT chưa khai báo! ","")))</f>
        <v/>
      </c>
      <c r="M1586" s="117">
        <f>IF($H1586="","",IF(AND(OR(LEFT($F1586,3)="111",LEFT($F1586,3)="112",LEFT($F1586,3)="113"),OR(LEFT($G1586,3)="111",LEFT($G1586,3)="112",LEFT($G1586,3)="113")),"NB",IF(OR(LEFT($F1586,3)="111",LEFT($F1586,3)="112",LEFT($F1586,3)="113"),"THU",IF(OR(LEFT($G1586,3)="111",LEFT($G1586,3)="112",LEFT($G1586,3)="113"),"CHI",""))))</f>
        <v/>
      </c>
      <c r="N1586" s="117">
        <f>IF($M1586="THU",$G1586,IF($M1586="CHI",$F1586,""))</f>
        <v/>
      </c>
      <c r="O1586" s="117">
        <f>IF(OR($M1586="",$M1586="NB"),"",IF($J1586&lt;&gt;"",TEXT($J1586,"00"),IFERROR(VLOOKUP(LEFT($N1586,4),LCTT_MAP!$A$7:$C$66,IF($M1586="THU",2,3),FALSE()),IFERROR(VLOOKUP(LEFT($N1586,3),LCTT_MAP!$A$7:$C$66,IF($M1586="THU",2,3),FALSE()),IFERROR(VLOOKUP(LEFT($N1586,2),LCTT_MAP!$A$7:$C$66,IF($M1586="THU",2,3),FALSE()),IFERROR(VLOOKUP(LEFT($N1586,1),LCTT_MAP!$A$7:$C$66,IF($M1586="THU",2,3),FALSE()),IF($M1586="THU","06","07")))))))</f>
        <v/>
      </c>
      <c r="P1586" s="117">
        <f>P1585+IF(AND($H1586&lt;&gt;"",OR(LEFT($F1586,LEN(SC_TK))=SC_TK,LEFT($G1586,LEN(SC_TK))=SC_TK)),1,0)</f>
        <v/>
      </c>
    </row>
    <row r="1587" ht="15" customHeight="1" s="78">
      <c r="A1587" s="95">
        <f>IF($H1587="","",ROW()-6)</f>
        <v/>
      </c>
      <c r="B1587" s="114" t="n"/>
      <c r="C1587" s="102" t="n"/>
      <c r="D1587" s="114" t="n"/>
      <c r="E1587" s="103" t="n"/>
      <c r="F1587" s="102" t="n"/>
      <c r="G1587" s="102" t="n"/>
      <c r="H1587" s="115" t="n"/>
      <c r="I1587" s="102" t="n"/>
      <c r="J1587" s="102" t="n"/>
      <c r="K1587" s="103" t="n"/>
      <c r="L1587" s="116">
        <f>IF($H1587="","",TRIM(IF(COUNTIF(DMTK!$A$7:$A$250,$F1587)=0,"TK Nợ sai! ","")&amp;IF(COUNTIF(DMTK!$A$7:$A$250,$G1587)=0,"TK Có sai! ","")&amp;IF(N($H1587)&lt;=0,"Tiền phải &gt; 0! ","")&amp;IF($B1587="","Thiếu ngày! ","")&amp;IF(AND(OR(LEFT($F1587,3)="131",LEFT($G1587,3)="131",LEFT($F1587,3)="331",LEFT($G1587,3)="331"),$I1587=""),"Thiếu Mã ĐT! ","")&amp;IF(AND($I1587&lt;&gt;"",COUNTIF(DM_DT!$A$7:$A$306,$I1587)=0),"Mã ĐT chưa khai báo! ","")))</f>
        <v/>
      </c>
      <c r="M1587" s="117">
        <f>IF($H1587="","",IF(AND(OR(LEFT($F1587,3)="111",LEFT($F1587,3)="112",LEFT($F1587,3)="113"),OR(LEFT($G1587,3)="111",LEFT($G1587,3)="112",LEFT($G1587,3)="113")),"NB",IF(OR(LEFT($F1587,3)="111",LEFT($F1587,3)="112",LEFT($F1587,3)="113"),"THU",IF(OR(LEFT($G1587,3)="111",LEFT($G1587,3)="112",LEFT($G1587,3)="113"),"CHI",""))))</f>
        <v/>
      </c>
      <c r="N1587" s="117">
        <f>IF($M1587="THU",$G1587,IF($M1587="CHI",$F1587,""))</f>
        <v/>
      </c>
      <c r="O1587" s="117">
        <f>IF(OR($M1587="",$M1587="NB"),"",IF($J1587&lt;&gt;"",TEXT($J1587,"00"),IFERROR(VLOOKUP(LEFT($N1587,4),LCTT_MAP!$A$7:$C$66,IF($M1587="THU",2,3),FALSE()),IFERROR(VLOOKUP(LEFT($N1587,3),LCTT_MAP!$A$7:$C$66,IF($M1587="THU",2,3),FALSE()),IFERROR(VLOOKUP(LEFT($N1587,2),LCTT_MAP!$A$7:$C$66,IF($M1587="THU",2,3),FALSE()),IFERROR(VLOOKUP(LEFT($N1587,1),LCTT_MAP!$A$7:$C$66,IF($M1587="THU",2,3),FALSE()),IF($M1587="THU","06","07")))))))</f>
        <v/>
      </c>
      <c r="P1587" s="117">
        <f>P1586+IF(AND($H1587&lt;&gt;"",OR(LEFT($F1587,LEN(SC_TK))=SC_TK,LEFT($G1587,LEN(SC_TK))=SC_TK)),1,0)</f>
        <v/>
      </c>
    </row>
    <row r="1588" ht="15" customHeight="1" s="78">
      <c r="A1588" s="95">
        <f>IF($H1588="","",ROW()-6)</f>
        <v/>
      </c>
      <c r="B1588" s="114" t="n"/>
      <c r="C1588" s="102" t="n"/>
      <c r="D1588" s="114" t="n"/>
      <c r="E1588" s="103" t="n"/>
      <c r="F1588" s="102" t="n"/>
      <c r="G1588" s="102" t="n"/>
      <c r="H1588" s="115" t="n"/>
      <c r="I1588" s="102" t="n"/>
      <c r="J1588" s="102" t="n"/>
      <c r="K1588" s="103" t="n"/>
      <c r="L1588" s="116">
        <f>IF($H1588="","",TRIM(IF(COUNTIF(DMTK!$A$7:$A$250,$F1588)=0,"TK Nợ sai! ","")&amp;IF(COUNTIF(DMTK!$A$7:$A$250,$G1588)=0,"TK Có sai! ","")&amp;IF(N($H1588)&lt;=0,"Tiền phải &gt; 0! ","")&amp;IF($B1588="","Thiếu ngày! ","")&amp;IF(AND(OR(LEFT($F1588,3)="131",LEFT($G1588,3)="131",LEFT($F1588,3)="331",LEFT($G1588,3)="331"),$I1588=""),"Thiếu Mã ĐT! ","")&amp;IF(AND($I1588&lt;&gt;"",COUNTIF(DM_DT!$A$7:$A$306,$I1588)=0),"Mã ĐT chưa khai báo! ","")))</f>
        <v/>
      </c>
      <c r="M1588" s="117">
        <f>IF($H1588="","",IF(AND(OR(LEFT($F1588,3)="111",LEFT($F1588,3)="112",LEFT($F1588,3)="113"),OR(LEFT($G1588,3)="111",LEFT($G1588,3)="112",LEFT($G1588,3)="113")),"NB",IF(OR(LEFT($F1588,3)="111",LEFT($F1588,3)="112",LEFT($F1588,3)="113"),"THU",IF(OR(LEFT($G1588,3)="111",LEFT($G1588,3)="112",LEFT($G1588,3)="113"),"CHI",""))))</f>
        <v/>
      </c>
      <c r="N1588" s="117">
        <f>IF($M1588="THU",$G1588,IF($M1588="CHI",$F1588,""))</f>
        <v/>
      </c>
      <c r="O1588" s="117">
        <f>IF(OR($M1588="",$M1588="NB"),"",IF($J1588&lt;&gt;"",TEXT($J1588,"00"),IFERROR(VLOOKUP(LEFT($N1588,4),LCTT_MAP!$A$7:$C$66,IF($M1588="THU",2,3),FALSE()),IFERROR(VLOOKUP(LEFT($N1588,3),LCTT_MAP!$A$7:$C$66,IF($M1588="THU",2,3),FALSE()),IFERROR(VLOOKUP(LEFT($N1588,2),LCTT_MAP!$A$7:$C$66,IF($M1588="THU",2,3),FALSE()),IFERROR(VLOOKUP(LEFT($N1588,1),LCTT_MAP!$A$7:$C$66,IF($M1588="THU",2,3),FALSE()),IF($M1588="THU","06","07")))))))</f>
        <v/>
      </c>
      <c r="P1588" s="117">
        <f>P1587+IF(AND($H1588&lt;&gt;"",OR(LEFT($F1588,LEN(SC_TK))=SC_TK,LEFT($G1588,LEN(SC_TK))=SC_TK)),1,0)</f>
        <v/>
      </c>
    </row>
    <row r="1589" ht="15" customHeight="1" s="78">
      <c r="A1589" s="95">
        <f>IF($H1589="","",ROW()-6)</f>
        <v/>
      </c>
      <c r="B1589" s="114" t="n"/>
      <c r="C1589" s="102" t="n"/>
      <c r="D1589" s="114" t="n"/>
      <c r="E1589" s="103" t="n"/>
      <c r="F1589" s="102" t="n"/>
      <c r="G1589" s="102" t="n"/>
      <c r="H1589" s="115" t="n"/>
      <c r="I1589" s="102" t="n"/>
      <c r="J1589" s="102" t="n"/>
      <c r="K1589" s="103" t="n"/>
      <c r="L1589" s="116">
        <f>IF($H1589="","",TRIM(IF(COUNTIF(DMTK!$A$7:$A$250,$F1589)=0,"TK Nợ sai! ","")&amp;IF(COUNTIF(DMTK!$A$7:$A$250,$G1589)=0,"TK Có sai! ","")&amp;IF(N($H1589)&lt;=0,"Tiền phải &gt; 0! ","")&amp;IF($B1589="","Thiếu ngày! ","")&amp;IF(AND(OR(LEFT($F1589,3)="131",LEFT($G1589,3)="131",LEFT($F1589,3)="331",LEFT($G1589,3)="331"),$I1589=""),"Thiếu Mã ĐT! ","")&amp;IF(AND($I1589&lt;&gt;"",COUNTIF(DM_DT!$A$7:$A$306,$I1589)=0),"Mã ĐT chưa khai báo! ","")))</f>
        <v/>
      </c>
      <c r="M1589" s="117">
        <f>IF($H1589="","",IF(AND(OR(LEFT($F1589,3)="111",LEFT($F1589,3)="112",LEFT($F1589,3)="113"),OR(LEFT($G1589,3)="111",LEFT($G1589,3)="112",LEFT($G1589,3)="113")),"NB",IF(OR(LEFT($F1589,3)="111",LEFT($F1589,3)="112",LEFT($F1589,3)="113"),"THU",IF(OR(LEFT($G1589,3)="111",LEFT($G1589,3)="112",LEFT($G1589,3)="113"),"CHI",""))))</f>
        <v/>
      </c>
      <c r="N1589" s="117">
        <f>IF($M1589="THU",$G1589,IF($M1589="CHI",$F1589,""))</f>
        <v/>
      </c>
      <c r="O1589" s="117">
        <f>IF(OR($M1589="",$M1589="NB"),"",IF($J1589&lt;&gt;"",TEXT($J1589,"00"),IFERROR(VLOOKUP(LEFT($N1589,4),LCTT_MAP!$A$7:$C$66,IF($M1589="THU",2,3),FALSE()),IFERROR(VLOOKUP(LEFT($N1589,3),LCTT_MAP!$A$7:$C$66,IF($M1589="THU",2,3),FALSE()),IFERROR(VLOOKUP(LEFT($N1589,2),LCTT_MAP!$A$7:$C$66,IF($M1589="THU",2,3),FALSE()),IFERROR(VLOOKUP(LEFT($N1589,1),LCTT_MAP!$A$7:$C$66,IF($M1589="THU",2,3),FALSE()),IF($M1589="THU","06","07")))))))</f>
        <v/>
      </c>
      <c r="P1589" s="117">
        <f>P1588+IF(AND($H1589&lt;&gt;"",OR(LEFT($F1589,LEN(SC_TK))=SC_TK,LEFT($G1589,LEN(SC_TK))=SC_TK)),1,0)</f>
        <v/>
      </c>
    </row>
    <row r="1590" ht="15" customHeight="1" s="78">
      <c r="A1590" s="95">
        <f>IF($H1590="","",ROW()-6)</f>
        <v/>
      </c>
      <c r="B1590" s="114" t="n"/>
      <c r="C1590" s="102" t="n"/>
      <c r="D1590" s="114" t="n"/>
      <c r="E1590" s="103" t="n"/>
      <c r="F1590" s="102" t="n"/>
      <c r="G1590" s="102" t="n"/>
      <c r="H1590" s="115" t="n"/>
      <c r="I1590" s="102" t="n"/>
      <c r="J1590" s="102" t="n"/>
      <c r="K1590" s="103" t="n"/>
      <c r="L1590" s="116">
        <f>IF($H1590="","",TRIM(IF(COUNTIF(DMTK!$A$7:$A$250,$F1590)=0,"TK Nợ sai! ","")&amp;IF(COUNTIF(DMTK!$A$7:$A$250,$G1590)=0,"TK Có sai! ","")&amp;IF(N($H1590)&lt;=0,"Tiền phải &gt; 0! ","")&amp;IF($B1590="","Thiếu ngày! ","")&amp;IF(AND(OR(LEFT($F1590,3)="131",LEFT($G1590,3)="131",LEFT($F1590,3)="331",LEFT($G1590,3)="331"),$I1590=""),"Thiếu Mã ĐT! ","")&amp;IF(AND($I1590&lt;&gt;"",COUNTIF(DM_DT!$A$7:$A$306,$I1590)=0),"Mã ĐT chưa khai báo! ","")))</f>
        <v/>
      </c>
      <c r="M1590" s="117">
        <f>IF($H1590="","",IF(AND(OR(LEFT($F1590,3)="111",LEFT($F1590,3)="112",LEFT($F1590,3)="113"),OR(LEFT($G1590,3)="111",LEFT($G1590,3)="112",LEFT($G1590,3)="113")),"NB",IF(OR(LEFT($F1590,3)="111",LEFT($F1590,3)="112",LEFT($F1590,3)="113"),"THU",IF(OR(LEFT($G1590,3)="111",LEFT($G1590,3)="112",LEFT($G1590,3)="113"),"CHI",""))))</f>
        <v/>
      </c>
      <c r="N1590" s="117">
        <f>IF($M1590="THU",$G1590,IF($M1590="CHI",$F1590,""))</f>
        <v/>
      </c>
      <c r="O1590" s="117">
        <f>IF(OR($M1590="",$M1590="NB"),"",IF($J1590&lt;&gt;"",TEXT($J1590,"00"),IFERROR(VLOOKUP(LEFT($N1590,4),LCTT_MAP!$A$7:$C$66,IF($M1590="THU",2,3),FALSE()),IFERROR(VLOOKUP(LEFT($N1590,3),LCTT_MAP!$A$7:$C$66,IF($M1590="THU",2,3),FALSE()),IFERROR(VLOOKUP(LEFT($N1590,2),LCTT_MAP!$A$7:$C$66,IF($M1590="THU",2,3),FALSE()),IFERROR(VLOOKUP(LEFT($N1590,1),LCTT_MAP!$A$7:$C$66,IF($M1590="THU",2,3),FALSE()),IF($M1590="THU","06","07")))))))</f>
        <v/>
      </c>
      <c r="P1590" s="117">
        <f>P1589+IF(AND($H1590&lt;&gt;"",OR(LEFT($F1590,LEN(SC_TK))=SC_TK,LEFT($G1590,LEN(SC_TK))=SC_TK)),1,0)</f>
        <v/>
      </c>
    </row>
    <row r="1591" ht="15" customHeight="1" s="78">
      <c r="A1591" s="95">
        <f>IF($H1591="","",ROW()-6)</f>
        <v/>
      </c>
      <c r="B1591" s="114" t="n"/>
      <c r="C1591" s="102" t="n"/>
      <c r="D1591" s="114" t="n"/>
      <c r="E1591" s="103" t="n"/>
      <c r="F1591" s="102" t="n"/>
      <c r="G1591" s="102" t="n"/>
      <c r="H1591" s="115" t="n"/>
      <c r="I1591" s="102" t="n"/>
      <c r="J1591" s="102" t="n"/>
      <c r="K1591" s="103" t="n"/>
      <c r="L1591" s="116">
        <f>IF($H1591="","",TRIM(IF(COUNTIF(DMTK!$A$7:$A$250,$F1591)=0,"TK Nợ sai! ","")&amp;IF(COUNTIF(DMTK!$A$7:$A$250,$G1591)=0,"TK Có sai! ","")&amp;IF(N($H1591)&lt;=0,"Tiền phải &gt; 0! ","")&amp;IF($B1591="","Thiếu ngày! ","")&amp;IF(AND(OR(LEFT($F1591,3)="131",LEFT($G1591,3)="131",LEFT($F1591,3)="331",LEFT($G1591,3)="331"),$I1591=""),"Thiếu Mã ĐT! ","")&amp;IF(AND($I1591&lt;&gt;"",COUNTIF(DM_DT!$A$7:$A$306,$I1591)=0),"Mã ĐT chưa khai báo! ","")))</f>
        <v/>
      </c>
      <c r="M1591" s="117">
        <f>IF($H1591="","",IF(AND(OR(LEFT($F1591,3)="111",LEFT($F1591,3)="112",LEFT($F1591,3)="113"),OR(LEFT($G1591,3)="111",LEFT($G1591,3)="112",LEFT($G1591,3)="113")),"NB",IF(OR(LEFT($F1591,3)="111",LEFT($F1591,3)="112",LEFT($F1591,3)="113"),"THU",IF(OR(LEFT($G1591,3)="111",LEFT($G1591,3)="112",LEFT($G1591,3)="113"),"CHI",""))))</f>
        <v/>
      </c>
      <c r="N1591" s="117">
        <f>IF($M1591="THU",$G1591,IF($M1591="CHI",$F1591,""))</f>
        <v/>
      </c>
      <c r="O1591" s="117">
        <f>IF(OR($M1591="",$M1591="NB"),"",IF($J1591&lt;&gt;"",TEXT($J1591,"00"),IFERROR(VLOOKUP(LEFT($N1591,4),LCTT_MAP!$A$7:$C$66,IF($M1591="THU",2,3),FALSE()),IFERROR(VLOOKUP(LEFT($N1591,3),LCTT_MAP!$A$7:$C$66,IF($M1591="THU",2,3),FALSE()),IFERROR(VLOOKUP(LEFT($N1591,2),LCTT_MAP!$A$7:$C$66,IF($M1591="THU",2,3),FALSE()),IFERROR(VLOOKUP(LEFT($N1591,1),LCTT_MAP!$A$7:$C$66,IF($M1591="THU",2,3),FALSE()),IF($M1591="THU","06","07")))))))</f>
        <v/>
      </c>
      <c r="P1591" s="117">
        <f>P1590+IF(AND($H1591&lt;&gt;"",OR(LEFT($F1591,LEN(SC_TK))=SC_TK,LEFT($G1591,LEN(SC_TK))=SC_TK)),1,0)</f>
        <v/>
      </c>
    </row>
    <row r="1592" ht="15" customHeight="1" s="78">
      <c r="A1592" s="95">
        <f>IF($H1592="","",ROW()-6)</f>
        <v/>
      </c>
      <c r="B1592" s="114" t="n"/>
      <c r="C1592" s="102" t="n"/>
      <c r="D1592" s="114" t="n"/>
      <c r="E1592" s="103" t="n"/>
      <c r="F1592" s="102" t="n"/>
      <c r="G1592" s="102" t="n"/>
      <c r="H1592" s="115" t="n"/>
      <c r="I1592" s="102" t="n"/>
      <c r="J1592" s="102" t="n"/>
      <c r="K1592" s="103" t="n"/>
      <c r="L1592" s="116">
        <f>IF($H1592="","",TRIM(IF(COUNTIF(DMTK!$A$7:$A$250,$F1592)=0,"TK Nợ sai! ","")&amp;IF(COUNTIF(DMTK!$A$7:$A$250,$G1592)=0,"TK Có sai! ","")&amp;IF(N($H1592)&lt;=0,"Tiền phải &gt; 0! ","")&amp;IF($B1592="","Thiếu ngày! ","")&amp;IF(AND(OR(LEFT($F1592,3)="131",LEFT($G1592,3)="131",LEFT($F1592,3)="331",LEFT($G1592,3)="331"),$I1592=""),"Thiếu Mã ĐT! ","")&amp;IF(AND($I1592&lt;&gt;"",COUNTIF(DM_DT!$A$7:$A$306,$I1592)=0),"Mã ĐT chưa khai báo! ","")))</f>
        <v/>
      </c>
      <c r="M1592" s="117">
        <f>IF($H1592="","",IF(AND(OR(LEFT($F1592,3)="111",LEFT($F1592,3)="112",LEFT($F1592,3)="113"),OR(LEFT($G1592,3)="111",LEFT($G1592,3)="112",LEFT($G1592,3)="113")),"NB",IF(OR(LEFT($F1592,3)="111",LEFT($F1592,3)="112",LEFT($F1592,3)="113"),"THU",IF(OR(LEFT($G1592,3)="111",LEFT($G1592,3)="112",LEFT($G1592,3)="113"),"CHI",""))))</f>
        <v/>
      </c>
      <c r="N1592" s="117">
        <f>IF($M1592="THU",$G1592,IF($M1592="CHI",$F1592,""))</f>
        <v/>
      </c>
      <c r="O1592" s="117">
        <f>IF(OR($M1592="",$M1592="NB"),"",IF($J1592&lt;&gt;"",TEXT($J1592,"00"),IFERROR(VLOOKUP(LEFT($N1592,4),LCTT_MAP!$A$7:$C$66,IF($M1592="THU",2,3),FALSE()),IFERROR(VLOOKUP(LEFT($N1592,3),LCTT_MAP!$A$7:$C$66,IF($M1592="THU",2,3),FALSE()),IFERROR(VLOOKUP(LEFT($N1592,2),LCTT_MAP!$A$7:$C$66,IF($M1592="THU",2,3),FALSE()),IFERROR(VLOOKUP(LEFT($N1592,1),LCTT_MAP!$A$7:$C$66,IF($M1592="THU",2,3),FALSE()),IF($M1592="THU","06","07")))))))</f>
        <v/>
      </c>
      <c r="P1592" s="117">
        <f>P1591+IF(AND($H1592&lt;&gt;"",OR(LEFT($F1592,LEN(SC_TK))=SC_TK,LEFT($G1592,LEN(SC_TK))=SC_TK)),1,0)</f>
        <v/>
      </c>
    </row>
    <row r="1593" ht="15" customHeight="1" s="78">
      <c r="A1593" s="95">
        <f>IF($H1593="","",ROW()-6)</f>
        <v/>
      </c>
      <c r="B1593" s="114" t="n"/>
      <c r="C1593" s="102" t="n"/>
      <c r="D1593" s="114" t="n"/>
      <c r="E1593" s="103" t="n"/>
      <c r="F1593" s="102" t="n"/>
      <c r="G1593" s="102" t="n"/>
      <c r="H1593" s="115" t="n"/>
      <c r="I1593" s="102" t="n"/>
      <c r="J1593" s="102" t="n"/>
      <c r="K1593" s="103" t="n"/>
      <c r="L1593" s="116">
        <f>IF($H1593="","",TRIM(IF(COUNTIF(DMTK!$A$7:$A$250,$F1593)=0,"TK Nợ sai! ","")&amp;IF(COUNTIF(DMTK!$A$7:$A$250,$G1593)=0,"TK Có sai! ","")&amp;IF(N($H1593)&lt;=0,"Tiền phải &gt; 0! ","")&amp;IF($B1593="","Thiếu ngày! ","")&amp;IF(AND(OR(LEFT($F1593,3)="131",LEFT($G1593,3)="131",LEFT($F1593,3)="331",LEFT($G1593,3)="331"),$I1593=""),"Thiếu Mã ĐT! ","")&amp;IF(AND($I1593&lt;&gt;"",COUNTIF(DM_DT!$A$7:$A$306,$I1593)=0),"Mã ĐT chưa khai báo! ","")))</f>
        <v/>
      </c>
      <c r="M1593" s="117">
        <f>IF($H1593="","",IF(AND(OR(LEFT($F1593,3)="111",LEFT($F1593,3)="112",LEFT($F1593,3)="113"),OR(LEFT($G1593,3)="111",LEFT($G1593,3)="112",LEFT($G1593,3)="113")),"NB",IF(OR(LEFT($F1593,3)="111",LEFT($F1593,3)="112",LEFT($F1593,3)="113"),"THU",IF(OR(LEFT($G1593,3)="111",LEFT($G1593,3)="112",LEFT($G1593,3)="113"),"CHI",""))))</f>
        <v/>
      </c>
      <c r="N1593" s="117">
        <f>IF($M1593="THU",$G1593,IF($M1593="CHI",$F1593,""))</f>
        <v/>
      </c>
      <c r="O1593" s="117">
        <f>IF(OR($M1593="",$M1593="NB"),"",IF($J1593&lt;&gt;"",TEXT($J1593,"00"),IFERROR(VLOOKUP(LEFT($N1593,4),LCTT_MAP!$A$7:$C$66,IF($M1593="THU",2,3),FALSE()),IFERROR(VLOOKUP(LEFT($N1593,3),LCTT_MAP!$A$7:$C$66,IF($M1593="THU",2,3),FALSE()),IFERROR(VLOOKUP(LEFT($N1593,2),LCTT_MAP!$A$7:$C$66,IF($M1593="THU",2,3),FALSE()),IFERROR(VLOOKUP(LEFT($N1593,1),LCTT_MAP!$A$7:$C$66,IF($M1593="THU",2,3),FALSE()),IF($M1593="THU","06","07")))))))</f>
        <v/>
      </c>
      <c r="P1593" s="117">
        <f>P1592+IF(AND($H1593&lt;&gt;"",OR(LEFT($F1593,LEN(SC_TK))=SC_TK,LEFT($G1593,LEN(SC_TK))=SC_TK)),1,0)</f>
        <v/>
      </c>
    </row>
    <row r="1594" ht="15" customHeight="1" s="78">
      <c r="A1594" s="95">
        <f>IF($H1594="","",ROW()-6)</f>
        <v/>
      </c>
      <c r="B1594" s="114" t="n"/>
      <c r="C1594" s="102" t="n"/>
      <c r="D1594" s="114" t="n"/>
      <c r="E1594" s="103" t="n"/>
      <c r="F1594" s="102" t="n"/>
      <c r="G1594" s="102" t="n"/>
      <c r="H1594" s="115" t="n"/>
      <c r="I1594" s="102" t="n"/>
      <c r="J1594" s="102" t="n"/>
      <c r="K1594" s="103" t="n"/>
      <c r="L1594" s="116">
        <f>IF($H1594="","",TRIM(IF(COUNTIF(DMTK!$A$7:$A$250,$F1594)=0,"TK Nợ sai! ","")&amp;IF(COUNTIF(DMTK!$A$7:$A$250,$G1594)=0,"TK Có sai! ","")&amp;IF(N($H1594)&lt;=0,"Tiền phải &gt; 0! ","")&amp;IF($B1594="","Thiếu ngày! ","")&amp;IF(AND(OR(LEFT($F1594,3)="131",LEFT($G1594,3)="131",LEFT($F1594,3)="331",LEFT($G1594,3)="331"),$I1594=""),"Thiếu Mã ĐT! ","")&amp;IF(AND($I1594&lt;&gt;"",COUNTIF(DM_DT!$A$7:$A$306,$I1594)=0),"Mã ĐT chưa khai báo! ","")))</f>
        <v/>
      </c>
      <c r="M1594" s="117">
        <f>IF($H1594="","",IF(AND(OR(LEFT($F1594,3)="111",LEFT($F1594,3)="112",LEFT($F1594,3)="113"),OR(LEFT($G1594,3)="111",LEFT($G1594,3)="112",LEFT($G1594,3)="113")),"NB",IF(OR(LEFT($F1594,3)="111",LEFT($F1594,3)="112",LEFT($F1594,3)="113"),"THU",IF(OR(LEFT($G1594,3)="111",LEFT($G1594,3)="112",LEFT($G1594,3)="113"),"CHI",""))))</f>
        <v/>
      </c>
      <c r="N1594" s="117">
        <f>IF($M1594="THU",$G1594,IF($M1594="CHI",$F1594,""))</f>
        <v/>
      </c>
      <c r="O1594" s="117">
        <f>IF(OR($M1594="",$M1594="NB"),"",IF($J1594&lt;&gt;"",TEXT($J1594,"00"),IFERROR(VLOOKUP(LEFT($N1594,4),LCTT_MAP!$A$7:$C$66,IF($M1594="THU",2,3),FALSE()),IFERROR(VLOOKUP(LEFT($N1594,3),LCTT_MAP!$A$7:$C$66,IF($M1594="THU",2,3),FALSE()),IFERROR(VLOOKUP(LEFT($N1594,2),LCTT_MAP!$A$7:$C$66,IF($M1594="THU",2,3),FALSE()),IFERROR(VLOOKUP(LEFT($N1594,1),LCTT_MAP!$A$7:$C$66,IF($M1594="THU",2,3),FALSE()),IF($M1594="THU","06","07")))))))</f>
        <v/>
      </c>
      <c r="P1594" s="117">
        <f>P1593+IF(AND($H1594&lt;&gt;"",OR(LEFT($F1594,LEN(SC_TK))=SC_TK,LEFT($G1594,LEN(SC_TK))=SC_TK)),1,0)</f>
        <v/>
      </c>
    </row>
    <row r="1595" ht="15" customHeight="1" s="78">
      <c r="A1595" s="95">
        <f>IF($H1595="","",ROW()-6)</f>
        <v/>
      </c>
      <c r="B1595" s="114" t="n"/>
      <c r="C1595" s="102" t="n"/>
      <c r="D1595" s="114" t="n"/>
      <c r="E1595" s="103" t="n"/>
      <c r="F1595" s="102" t="n"/>
      <c r="G1595" s="102" t="n"/>
      <c r="H1595" s="115" t="n"/>
      <c r="I1595" s="102" t="n"/>
      <c r="J1595" s="102" t="n"/>
      <c r="K1595" s="103" t="n"/>
      <c r="L1595" s="116">
        <f>IF($H1595="","",TRIM(IF(COUNTIF(DMTK!$A$7:$A$250,$F1595)=0,"TK Nợ sai! ","")&amp;IF(COUNTIF(DMTK!$A$7:$A$250,$G1595)=0,"TK Có sai! ","")&amp;IF(N($H1595)&lt;=0,"Tiền phải &gt; 0! ","")&amp;IF($B1595="","Thiếu ngày! ","")&amp;IF(AND(OR(LEFT($F1595,3)="131",LEFT($G1595,3)="131",LEFT($F1595,3)="331",LEFT($G1595,3)="331"),$I1595=""),"Thiếu Mã ĐT! ","")&amp;IF(AND($I1595&lt;&gt;"",COUNTIF(DM_DT!$A$7:$A$306,$I1595)=0),"Mã ĐT chưa khai báo! ","")))</f>
        <v/>
      </c>
      <c r="M1595" s="117">
        <f>IF($H1595="","",IF(AND(OR(LEFT($F1595,3)="111",LEFT($F1595,3)="112",LEFT($F1595,3)="113"),OR(LEFT($G1595,3)="111",LEFT($G1595,3)="112",LEFT($G1595,3)="113")),"NB",IF(OR(LEFT($F1595,3)="111",LEFT($F1595,3)="112",LEFT($F1595,3)="113"),"THU",IF(OR(LEFT($G1595,3)="111",LEFT($G1595,3)="112",LEFT($G1595,3)="113"),"CHI",""))))</f>
        <v/>
      </c>
      <c r="N1595" s="117">
        <f>IF($M1595="THU",$G1595,IF($M1595="CHI",$F1595,""))</f>
        <v/>
      </c>
      <c r="O1595" s="117">
        <f>IF(OR($M1595="",$M1595="NB"),"",IF($J1595&lt;&gt;"",TEXT($J1595,"00"),IFERROR(VLOOKUP(LEFT($N1595,4),LCTT_MAP!$A$7:$C$66,IF($M1595="THU",2,3),FALSE()),IFERROR(VLOOKUP(LEFT($N1595,3),LCTT_MAP!$A$7:$C$66,IF($M1595="THU",2,3),FALSE()),IFERROR(VLOOKUP(LEFT($N1595,2),LCTT_MAP!$A$7:$C$66,IF($M1595="THU",2,3),FALSE()),IFERROR(VLOOKUP(LEFT($N1595,1),LCTT_MAP!$A$7:$C$66,IF($M1595="THU",2,3),FALSE()),IF($M1595="THU","06","07")))))))</f>
        <v/>
      </c>
      <c r="P1595" s="117">
        <f>P1594+IF(AND($H1595&lt;&gt;"",OR(LEFT($F1595,LEN(SC_TK))=SC_TK,LEFT($G1595,LEN(SC_TK))=SC_TK)),1,0)</f>
        <v/>
      </c>
    </row>
    <row r="1596" ht="15" customHeight="1" s="78">
      <c r="A1596" s="95">
        <f>IF($H1596="","",ROW()-6)</f>
        <v/>
      </c>
      <c r="B1596" s="114" t="n"/>
      <c r="C1596" s="102" t="n"/>
      <c r="D1596" s="114" t="n"/>
      <c r="E1596" s="103" t="n"/>
      <c r="F1596" s="102" t="n"/>
      <c r="G1596" s="102" t="n"/>
      <c r="H1596" s="115" t="n"/>
      <c r="I1596" s="102" t="n"/>
      <c r="J1596" s="102" t="n"/>
      <c r="K1596" s="103" t="n"/>
      <c r="L1596" s="116">
        <f>IF($H1596="","",TRIM(IF(COUNTIF(DMTK!$A$7:$A$250,$F1596)=0,"TK Nợ sai! ","")&amp;IF(COUNTIF(DMTK!$A$7:$A$250,$G1596)=0,"TK Có sai! ","")&amp;IF(N($H1596)&lt;=0,"Tiền phải &gt; 0! ","")&amp;IF($B1596="","Thiếu ngày! ","")&amp;IF(AND(OR(LEFT($F1596,3)="131",LEFT($G1596,3)="131",LEFT($F1596,3)="331",LEFT($G1596,3)="331"),$I1596=""),"Thiếu Mã ĐT! ","")&amp;IF(AND($I1596&lt;&gt;"",COUNTIF(DM_DT!$A$7:$A$306,$I1596)=0),"Mã ĐT chưa khai báo! ","")))</f>
        <v/>
      </c>
      <c r="M1596" s="117">
        <f>IF($H1596="","",IF(AND(OR(LEFT($F1596,3)="111",LEFT($F1596,3)="112",LEFT($F1596,3)="113"),OR(LEFT($G1596,3)="111",LEFT($G1596,3)="112",LEFT($G1596,3)="113")),"NB",IF(OR(LEFT($F1596,3)="111",LEFT($F1596,3)="112",LEFT($F1596,3)="113"),"THU",IF(OR(LEFT($G1596,3)="111",LEFT($G1596,3)="112",LEFT($G1596,3)="113"),"CHI",""))))</f>
        <v/>
      </c>
      <c r="N1596" s="117">
        <f>IF($M1596="THU",$G1596,IF($M1596="CHI",$F1596,""))</f>
        <v/>
      </c>
      <c r="O1596" s="117">
        <f>IF(OR($M1596="",$M1596="NB"),"",IF($J1596&lt;&gt;"",TEXT($J1596,"00"),IFERROR(VLOOKUP(LEFT($N1596,4),LCTT_MAP!$A$7:$C$66,IF($M1596="THU",2,3),FALSE()),IFERROR(VLOOKUP(LEFT($N1596,3),LCTT_MAP!$A$7:$C$66,IF($M1596="THU",2,3),FALSE()),IFERROR(VLOOKUP(LEFT($N1596,2),LCTT_MAP!$A$7:$C$66,IF($M1596="THU",2,3),FALSE()),IFERROR(VLOOKUP(LEFT($N1596,1),LCTT_MAP!$A$7:$C$66,IF($M1596="THU",2,3),FALSE()),IF($M1596="THU","06","07")))))))</f>
        <v/>
      </c>
      <c r="P1596" s="117">
        <f>P1595+IF(AND($H1596&lt;&gt;"",OR(LEFT($F1596,LEN(SC_TK))=SC_TK,LEFT($G1596,LEN(SC_TK))=SC_TK)),1,0)</f>
        <v/>
      </c>
    </row>
    <row r="1597" ht="15" customHeight="1" s="78">
      <c r="A1597" s="95">
        <f>IF($H1597="","",ROW()-6)</f>
        <v/>
      </c>
      <c r="B1597" s="114" t="n"/>
      <c r="C1597" s="102" t="n"/>
      <c r="D1597" s="114" t="n"/>
      <c r="E1597" s="103" t="n"/>
      <c r="F1597" s="102" t="n"/>
      <c r="G1597" s="102" t="n"/>
      <c r="H1597" s="115" t="n"/>
      <c r="I1597" s="102" t="n"/>
      <c r="J1597" s="102" t="n"/>
      <c r="K1597" s="103" t="n"/>
      <c r="L1597" s="116">
        <f>IF($H1597="","",TRIM(IF(COUNTIF(DMTK!$A$7:$A$250,$F1597)=0,"TK Nợ sai! ","")&amp;IF(COUNTIF(DMTK!$A$7:$A$250,$G1597)=0,"TK Có sai! ","")&amp;IF(N($H1597)&lt;=0,"Tiền phải &gt; 0! ","")&amp;IF($B1597="","Thiếu ngày! ","")&amp;IF(AND(OR(LEFT($F1597,3)="131",LEFT($G1597,3)="131",LEFT($F1597,3)="331",LEFT($G1597,3)="331"),$I1597=""),"Thiếu Mã ĐT! ","")&amp;IF(AND($I1597&lt;&gt;"",COUNTIF(DM_DT!$A$7:$A$306,$I1597)=0),"Mã ĐT chưa khai báo! ","")))</f>
        <v/>
      </c>
      <c r="M1597" s="117">
        <f>IF($H1597="","",IF(AND(OR(LEFT($F1597,3)="111",LEFT($F1597,3)="112",LEFT($F1597,3)="113"),OR(LEFT($G1597,3)="111",LEFT($G1597,3)="112",LEFT($G1597,3)="113")),"NB",IF(OR(LEFT($F1597,3)="111",LEFT($F1597,3)="112",LEFT($F1597,3)="113"),"THU",IF(OR(LEFT($G1597,3)="111",LEFT($G1597,3)="112",LEFT($G1597,3)="113"),"CHI",""))))</f>
        <v/>
      </c>
      <c r="N1597" s="117">
        <f>IF($M1597="THU",$G1597,IF($M1597="CHI",$F1597,""))</f>
        <v/>
      </c>
      <c r="O1597" s="117">
        <f>IF(OR($M1597="",$M1597="NB"),"",IF($J1597&lt;&gt;"",TEXT($J1597,"00"),IFERROR(VLOOKUP(LEFT($N1597,4),LCTT_MAP!$A$7:$C$66,IF($M1597="THU",2,3),FALSE()),IFERROR(VLOOKUP(LEFT($N1597,3),LCTT_MAP!$A$7:$C$66,IF($M1597="THU",2,3),FALSE()),IFERROR(VLOOKUP(LEFT($N1597,2),LCTT_MAP!$A$7:$C$66,IF($M1597="THU",2,3),FALSE()),IFERROR(VLOOKUP(LEFT($N1597,1),LCTT_MAP!$A$7:$C$66,IF($M1597="THU",2,3),FALSE()),IF($M1597="THU","06","07")))))))</f>
        <v/>
      </c>
      <c r="P1597" s="117">
        <f>P1596+IF(AND($H1597&lt;&gt;"",OR(LEFT($F1597,LEN(SC_TK))=SC_TK,LEFT($G1597,LEN(SC_TK))=SC_TK)),1,0)</f>
        <v/>
      </c>
    </row>
    <row r="1598" ht="15" customHeight="1" s="78">
      <c r="A1598" s="95">
        <f>IF($H1598="","",ROW()-6)</f>
        <v/>
      </c>
      <c r="B1598" s="114" t="n"/>
      <c r="C1598" s="102" t="n"/>
      <c r="D1598" s="114" t="n"/>
      <c r="E1598" s="103" t="n"/>
      <c r="F1598" s="102" t="n"/>
      <c r="G1598" s="102" t="n"/>
      <c r="H1598" s="115" t="n"/>
      <c r="I1598" s="102" t="n"/>
      <c r="J1598" s="102" t="n"/>
      <c r="K1598" s="103" t="n"/>
      <c r="L1598" s="116">
        <f>IF($H1598="","",TRIM(IF(COUNTIF(DMTK!$A$7:$A$250,$F1598)=0,"TK Nợ sai! ","")&amp;IF(COUNTIF(DMTK!$A$7:$A$250,$G1598)=0,"TK Có sai! ","")&amp;IF(N($H1598)&lt;=0,"Tiền phải &gt; 0! ","")&amp;IF($B1598="","Thiếu ngày! ","")&amp;IF(AND(OR(LEFT($F1598,3)="131",LEFT($G1598,3)="131",LEFT($F1598,3)="331",LEFT($G1598,3)="331"),$I1598=""),"Thiếu Mã ĐT! ","")&amp;IF(AND($I1598&lt;&gt;"",COUNTIF(DM_DT!$A$7:$A$306,$I1598)=0),"Mã ĐT chưa khai báo! ","")))</f>
        <v/>
      </c>
      <c r="M1598" s="117">
        <f>IF($H1598="","",IF(AND(OR(LEFT($F1598,3)="111",LEFT($F1598,3)="112",LEFT($F1598,3)="113"),OR(LEFT($G1598,3)="111",LEFT($G1598,3)="112",LEFT($G1598,3)="113")),"NB",IF(OR(LEFT($F1598,3)="111",LEFT($F1598,3)="112",LEFT($F1598,3)="113"),"THU",IF(OR(LEFT($G1598,3)="111",LEFT($G1598,3)="112",LEFT($G1598,3)="113"),"CHI",""))))</f>
        <v/>
      </c>
      <c r="N1598" s="117">
        <f>IF($M1598="THU",$G1598,IF($M1598="CHI",$F1598,""))</f>
        <v/>
      </c>
      <c r="O1598" s="117">
        <f>IF(OR($M1598="",$M1598="NB"),"",IF($J1598&lt;&gt;"",TEXT($J1598,"00"),IFERROR(VLOOKUP(LEFT($N1598,4),LCTT_MAP!$A$7:$C$66,IF($M1598="THU",2,3),FALSE()),IFERROR(VLOOKUP(LEFT($N1598,3),LCTT_MAP!$A$7:$C$66,IF($M1598="THU",2,3),FALSE()),IFERROR(VLOOKUP(LEFT($N1598,2),LCTT_MAP!$A$7:$C$66,IF($M1598="THU",2,3),FALSE()),IFERROR(VLOOKUP(LEFT($N1598,1),LCTT_MAP!$A$7:$C$66,IF($M1598="THU",2,3),FALSE()),IF($M1598="THU","06","07")))))))</f>
        <v/>
      </c>
      <c r="P1598" s="117">
        <f>P1597+IF(AND($H1598&lt;&gt;"",OR(LEFT($F1598,LEN(SC_TK))=SC_TK,LEFT($G1598,LEN(SC_TK))=SC_TK)),1,0)</f>
        <v/>
      </c>
    </row>
    <row r="1599" ht="15" customHeight="1" s="78">
      <c r="A1599" s="95">
        <f>IF($H1599="","",ROW()-6)</f>
        <v/>
      </c>
      <c r="B1599" s="114" t="n"/>
      <c r="C1599" s="102" t="n"/>
      <c r="D1599" s="114" t="n"/>
      <c r="E1599" s="103" t="n"/>
      <c r="F1599" s="102" t="n"/>
      <c r="G1599" s="102" t="n"/>
      <c r="H1599" s="115" t="n"/>
      <c r="I1599" s="102" t="n"/>
      <c r="J1599" s="102" t="n"/>
      <c r="K1599" s="103" t="n"/>
      <c r="L1599" s="116">
        <f>IF($H1599="","",TRIM(IF(COUNTIF(DMTK!$A$7:$A$250,$F1599)=0,"TK Nợ sai! ","")&amp;IF(COUNTIF(DMTK!$A$7:$A$250,$G1599)=0,"TK Có sai! ","")&amp;IF(N($H1599)&lt;=0,"Tiền phải &gt; 0! ","")&amp;IF($B1599="","Thiếu ngày! ","")&amp;IF(AND(OR(LEFT($F1599,3)="131",LEFT($G1599,3)="131",LEFT($F1599,3)="331",LEFT($G1599,3)="331"),$I1599=""),"Thiếu Mã ĐT! ","")&amp;IF(AND($I1599&lt;&gt;"",COUNTIF(DM_DT!$A$7:$A$306,$I1599)=0),"Mã ĐT chưa khai báo! ","")))</f>
        <v/>
      </c>
      <c r="M1599" s="117">
        <f>IF($H1599="","",IF(AND(OR(LEFT($F1599,3)="111",LEFT($F1599,3)="112",LEFT($F1599,3)="113"),OR(LEFT($G1599,3)="111",LEFT($G1599,3)="112",LEFT($G1599,3)="113")),"NB",IF(OR(LEFT($F1599,3)="111",LEFT($F1599,3)="112",LEFT($F1599,3)="113"),"THU",IF(OR(LEFT($G1599,3)="111",LEFT($G1599,3)="112",LEFT($G1599,3)="113"),"CHI",""))))</f>
        <v/>
      </c>
      <c r="N1599" s="117">
        <f>IF($M1599="THU",$G1599,IF($M1599="CHI",$F1599,""))</f>
        <v/>
      </c>
      <c r="O1599" s="117">
        <f>IF(OR($M1599="",$M1599="NB"),"",IF($J1599&lt;&gt;"",TEXT($J1599,"00"),IFERROR(VLOOKUP(LEFT($N1599,4),LCTT_MAP!$A$7:$C$66,IF($M1599="THU",2,3),FALSE()),IFERROR(VLOOKUP(LEFT($N1599,3),LCTT_MAP!$A$7:$C$66,IF($M1599="THU",2,3),FALSE()),IFERROR(VLOOKUP(LEFT($N1599,2),LCTT_MAP!$A$7:$C$66,IF($M1599="THU",2,3),FALSE()),IFERROR(VLOOKUP(LEFT($N1599,1),LCTT_MAP!$A$7:$C$66,IF($M1599="THU",2,3),FALSE()),IF($M1599="THU","06","07")))))))</f>
        <v/>
      </c>
      <c r="P1599" s="117">
        <f>P1598+IF(AND($H1599&lt;&gt;"",OR(LEFT($F1599,LEN(SC_TK))=SC_TK,LEFT($G1599,LEN(SC_TK))=SC_TK)),1,0)</f>
        <v/>
      </c>
    </row>
    <row r="1600" ht="15" customHeight="1" s="78">
      <c r="A1600" s="95">
        <f>IF($H1600="","",ROW()-6)</f>
        <v/>
      </c>
      <c r="B1600" s="114" t="n"/>
      <c r="C1600" s="102" t="n"/>
      <c r="D1600" s="114" t="n"/>
      <c r="E1600" s="103" t="n"/>
      <c r="F1600" s="102" t="n"/>
      <c r="G1600" s="102" t="n"/>
      <c r="H1600" s="115" t="n"/>
      <c r="I1600" s="102" t="n"/>
      <c r="J1600" s="102" t="n"/>
      <c r="K1600" s="103" t="n"/>
      <c r="L1600" s="116">
        <f>IF($H1600="","",TRIM(IF(COUNTIF(DMTK!$A$7:$A$250,$F1600)=0,"TK Nợ sai! ","")&amp;IF(COUNTIF(DMTK!$A$7:$A$250,$G1600)=0,"TK Có sai! ","")&amp;IF(N($H1600)&lt;=0,"Tiền phải &gt; 0! ","")&amp;IF($B1600="","Thiếu ngày! ","")&amp;IF(AND(OR(LEFT($F1600,3)="131",LEFT($G1600,3)="131",LEFT($F1600,3)="331",LEFT($G1600,3)="331"),$I1600=""),"Thiếu Mã ĐT! ","")&amp;IF(AND($I1600&lt;&gt;"",COUNTIF(DM_DT!$A$7:$A$306,$I1600)=0),"Mã ĐT chưa khai báo! ","")))</f>
        <v/>
      </c>
      <c r="M1600" s="117">
        <f>IF($H1600="","",IF(AND(OR(LEFT($F1600,3)="111",LEFT($F1600,3)="112",LEFT($F1600,3)="113"),OR(LEFT($G1600,3)="111",LEFT($G1600,3)="112",LEFT($G1600,3)="113")),"NB",IF(OR(LEFT($F1600,3)="111",LEFT($F1600,3)="112",LEFT($F1600,3)="113"),"THU",IF(OR(LEFT($G1600,3)="111",LEFT($G1600,3)="112",LEFT($G1600,3)="113"),"CHI",""))))</f>
        <v/>
      </c>
      <c r="N1600" s="117">
        <f>IF($M1600="THU",$G1600,IF($M1600="CHI",$F1600,""))</f>
        <v/>
      </c>
      <c r="O1600" s="117">
        <f>IF(OR($M1600="",$M1600="NB"),"",IF($J1600&lt;&gt;"",TEXT($J1600,"00"),IFERROR(VLOOKUP(LEFT($N1600,4),LCTT_MAP!$A$7:$C$66,IF($M1600="THU",2,3),FALSE()),IFERROR(VLOOKUP(LEFT($N1600,3),LCTT_MAP!$A$7:$C$66,IF($M1600="THU",2,3),FALSE()),IFERROR(VLOOKUP(LEFT($N1600,2),LCTT_MAP!$A$7:$C$66,IF($M1600="THU",2,3),FALSE()),IFERROR(VLOOKUP(LEFT($N1600,1),LCTT_MAP!$A$7:$C$66,IF($M1600="THU",2,3),FALSE()),IF($M1600="THU","06","07")))))))</f>
        <v/>
      </c>
      <c r="P1600" s="117">
        <f>P1599+IF(AND($H1600&lt;&gt;"",OR(LEFT($F1600,LEN(SC_TK))=SC_TK,LEFT($G1600,LEN(SC_TK))=SC_TK)),1,0)</f>
        <v/>
      </c>
    </row>
    <row r="1601" ht="15" customHeight="1" s="78">
      <c r="A1601" s="95">
        <f>IF($H1601="","",ROW()-6)</f>
        <v/>
      </c>
      <c r="B1601" s="114" t="n"/>
      <c r="C1601" s="102" t="n"/>
      <c r="D1601" s="114" t="n"/>
      <c r="E1601" s="103" t="n"/>
      <c r="F1601" s="102" t="n"/>
      <c r="G1601" s="102" t="n"/>
      <c r="H1601" s="115" t="n"/>
      <c r="I1601" s="102" t="n"/>
      <c r="J1601" s="102" t="n"/>
      <c r="K1601" s="103" t="n"/>
      <c r="L1601" s="116">
        <f>IF($H1601="","",TRIM(IF(COUNTIF(DMTK!$A$7:$A$250,$F1601)=0,"TK Nợ sai! ","")&amp;IF(COUNTIF(DMTK!$A$7:$A$250,$G1601)=0,"TK Có sai! ","")&amp;IF(N($H1601)&lt;=0,"Tiền phải &gt; 0! ","")&amp;IF($B1601="","Thiếu ngày! ","")&amp;IF(AND(OR(LEFT($F1601,3)="131",LEFT($G1601,3)="131",LEFT($F1601,3)="331",LEFT($G1601,3)="331"),$I1601=""),"Thiếu Mã ĐT! ","")&amp;IF(AND($I1601&lt;&gt;"",COUNTIF(DM_DT!$A$7:$A$306,$I1601)=0),"Mã ĐT chưa khai báo! ","")))</f>
        <v/>
      </c>
      <c r="M1601" s="117">
        <f>IF($H1601="","",IF(AND(OR(LEFT($F1601,3)="111",LEFT($F1601,3)="112",LEFT($F1601,3)="113"),OR(LEFT($G1601,3)="111",LEFT($G1601,3)="112",LEFT($G1601,3)="113")),"NB",IF(OR(LEFT($F1601,3)="111",LEFT($F1601,3)="112",LEFT($F1601,3)="113"),"THU",IF(OR(LEFT($G1601,3)="111",LEFT($G1601,3)="112",LEFT($G1601,3)="113"),"CHI",""))))</f>
        <v/>
      </c>
      <c r="N1601" s="117">
        <f>IF($M1601="THU",$G1601,IF($M1601="CHI",$F1601,""))</f>
        <v/>
      </c>
      <c r="O1601" s="117">
        <f>IF(OR($M1601="",$M1601="NB"),"",IF($J1601&lt;&gt;"",TEXT($J1601,"00"),IFERROR(VLOOKUP(LEFT($N1601,4),LCTT_MAP!$A$7:$C$66,IF($M1601="THU",2,3),FALSE()),IFERROR(VLOOKUP(LEFT($N1601,3),LCTT_MAP!$A$7:$C$66,IF($M1601="THU",2,3),FALSE()),IFERROR(VLOOKUP(LEFT($N1601,2),LCTT_MAP!$A$7:$C$66,IF($M1601="THU",2,3),FALSE()),IFERROR(VLOOKUP(LEFT($N1601,1),LCTT_MAP!$A$7:$C$66,IF($M1601="THU",2,3),FALSE()),IF($M1601="THU","06","07")))))))</f>
        <v/>
      </c>
      <c r="P1601" s="117">
        <f>P1600+IF(AND($H1601&lt;&gt;"",OR(LEFT($F1601,LEN(SC_TK))=SC_TK,LEFT($G1601,LEN(SC_TK))=SC_TK)),1,0)</f>
        <v/>
      </c>
    </row>
    <row r="1602" ht="15" customHeight="1" s="78">
      <c r="A1602" s="95">
        <f>IF($H1602="","",ROW()-6)</f>
        <v/>
      </c>
      <c r="B1602" s="114" t="n"/>
      <c r="C1602" s="102" t="n"/>
      <c r="D1602" s="114" t="n"/>
      <c r="E1602" s="103" t="n"/>
      <c r="F1602" s="102" t="n"/>
      <c r="G1602" s="102" t="n"/>
      <c r="H1602" s="115" t="n"/>
      <c r="I1602" s="102" t="n"/>
      <c r="J1602" s="102" t="n"/>
      <c r="K1602" s="103" t="n"/>
      <c r="L1602" s="116">
        <f>IF($H1602="","",TRIM(IF(COUNTIF(DMTK!$A$7:$A$250,$F1602)=0,"TK Nợ sai! ","")&amp;IF(COUNTIF(DMTK!$A$7:$A$250,$G1602)=0,"TK Có sai! ","")&amp;IF(N($H1602)&lt;=0,"Tiền phải &gt; 0! ","")&amp;IF($B1602="","Thiếu ngày! ","")&amp;IF(AND(OR(LEFT($F1602,3)="131",LEFT($G1602,3)="131",LEFT($F1602,3)="331",LEFT($G1602,3)="331"),$I1602=""),"Thiếu Mã ĐT! ","")&amp;IF(AND($I1602&lt;&gt;"",COUNTIF(DM_DT!$A$7:$A$306,$I1602)=0),"Mã ĐT chưa khai báo! ","")))</f>
        <v/>
      </c>
      <c r="M1602" s="117">
        <f>IF($H1602="","",IF(AND(OR(LEFT($F1602,3)="111",LEFT($F1602,3)="112",LEFT($F1602,3)="113"),OR(LEFT($G1602,3)="111",LEFT($G1602,3)="112",LEFT($G1602,3)="113")),"NB",IF(OR(LEFT($F1602,3)="111",LEFT($F1602,3)="112",LEFT($F1602,3)="113"),"THU",IF(OR(LEFT($G1602,3)="111",LEFT($G1602,3)="112",LEFT($G1602,3)="113"),"CHI",""))))</f>
        <v/>
      </c>
      <c r="N1602" s="117">
        <f>IF($M1602="THU",$G1602,IF($M1602="CHI",$F1602,""))</f>
        <v/>
      </c>
      <c r="O1602" s="117">
        <f>IF(OR($M1602="",$M1602="NB"),"",IF($J1602&lt;&gt;"",TEXT($J1602,"00"),IFERROR(VLOOKUP(LEFT($N1602,4),LCTT_MAP!$A$7:$C$66,IF($M1602="THU",2,3),FALSE()),IFERROR(VLOOKUP(LEFT($N1602,3),LCTT_MAP!$A$7:$C$66,IF($M1602="THU",2,3),FALSE()),IFERROR(VLOOKUP(LEFT($N1602,2),LCTT_MAP!$A$7:$C$66,IF($M1602="THU",2,3),FALSE()),IFERROR(VLOOKUP(LEFT($N1602,1),LCTT_MAP!$A$7:$C$66,IF($M1602="THU",2,3),FALSE()),IF($M1602="THU","06","07")))))))</f>
        <v/>
      </c>
      <c r="P1602" s="117">
        <f>P1601+IF(AND($H1602&lt;&gt;"",OR(LEFT($F1602,LEN(SC_TK))=SC_TK,LEFT($G1602,LEN(SC_TK))=SC_TK)),1,0)</f>
        <v/>
      </c>
    </row>
    <row r="1603" ht="15" customHeight="1" s="78">
      <c r="A1603" s="95">
        <f>IF($H1603="","",ROW()-6)</f>
        <v/>
      </c>
      <c r="B1603" s="114" t="n"/>
      <c r="C1603" s="102" t="n"/>
      <c r="D1603" s="114" t="n"/>
      <c r="E1603" s="103" t="n"/>
      <c r="F1603" s="102" t="n"/>
      <c r="G1603" s="102" t="n"/>
      <c r="H1603" s="115" t="n"/>
      <c r="I1603" s="102" t="n"/>
      <c r="J1603" s="102" t="n"/>
      <c r="K1603" s="103" t="n"/>
      <c r="L1603" s="116">
        <f>IF($H1603="","",TRIM(IF(COUNTIF(DMTK!$A$7:$A$250,$F1603)=0,"TK Nợ sai! ","")&amp;IF(COUNTIF(DMTK!$A$7:$A$250,$G1603)=0,"TK Có sai! ","")&amp;IF(N($H1603)&lt;=0,"Tiền phải &gt; 0! ","")&amp;IF($B1603="","Thiếu ngày! ","")&amp;IF(AND(OR(LEFT($F1603,3)="131",LEFT($G1603,3)="131",LEFT($F1603,3)="331",LEFT($G1603,3)="331"),$I1603=""),"Thiếu Mã ĐT! ","")&amp;IF(AND($I1603&lt;&gt;"",COUNTIF(DM_DT!$A$7:$A$306,$I1603)=0),"Mã ĐT chưa khai báo! ","")))</f>
        <v/>
      </c>
      <c r="M1603" s="117">
        <f>IF($H1603="","",IF(AND(OR(LEFT($F1603,3)="111",LEFT($F1603,3)="112",LEFT($F1603,3)="113"),OR(LEFT($G1603,3)="111",LEFT($G1603,3)="112",LEFT($G1603,3)="113")),"NB",IF(OR(LEFT($F1603,3)="111",LEFT($F1603,3)="112",LEFT($F1603,3)="113"),"THU",IF(OR(LEFT($G1603,3)="111",LEFT($G1603,3)="112",LEFT($G1603,3)="113"),"CHI",""))))</f>
        <v/>
      </c>
      <c r="N1603" s="117">
        <f>IF($M1603="THU",$G1603,IF($M1603="CHI",$F1603,""))</f>
        <v/>
      </c>
      <c r="O1603" s="117">
        <f>IF(OR($M1603="",$M1603="NB"),"",IF($J1603&lt;&gt;"",TEXT($J1603,"00"),IFERROR(VLOOKUP(LEFT($N1603,4),LCTT_MAP!$A$7:$C$66,IF($M1603="THU",2,3),FALSE()),IFERROR(VLOOKUP(LEFT($N1603,3),LCTT_MAP!$A$7:$C$66,IF($M1603="THU",2,3),FALSE()),IFERROR(VLOOKUP(LEFT($N1603,2),LCTT_MAP!$A$7:$C$66,IF($M1603="THU",2,3),FALSE()),IFERROR(VLOOKUP(LEFT($N1603,1),LCTT_MAP!$A$7:$C$66,IF($M1603="THU",2,3),FALSE()),IF($M1603="THU","06","07")))))))</f>
        <v/>
      </c>
      <c r="P1603" s="117">
        <f>P1602+IF(AND($H1603&lt;&gt;"",OR(LEFT($F1603,LEN(SC_TK))=SC_TK,LEFT($G1603,LEN(SC_TK))=SC_TK)),1,0)</f>
        <v/>
      </c>
    </row>
    <row r="1604" ht="15" customHeight="1" s="78">
      <c r="A1604" s="95">
        <f>IF($H1604="","",ROW()-6)</f>
        <v/>
      </c>
      <c r="B1604" s="114" t="n"/>
      <c r="C1604" s="102" t="n"/>
      <c r="D1604" s="114" t="n"/>
      <c r="E1604" s="103" t="n"/>
      <c r="F1604" s="102" t="n"/>
      <c r="G1604" s="102" t="n"/>
      <c r="H1604" s="115" t="n"/>
      <c r="I1604" s="102" t="n"/>
      <c r="J1604" s="102" t="n"/>
      <c r="K1604" s="103" t="n"/>
      <c r="L1604" s="116">
        <f>IF($H1604="","",TRIM(IF(COUNTIF(DMTK!$A$7:$A$250,$F1604)=0,"TK Nợ sai! ","")&amp;IF(COUNTIF(DMTK!$A$7:$A$250,$G1604)=0,"TK Có sai! ","")&amp;IF(N($H1604)&lt;=0,"Tiền phải &gt; 0! ","")&amp;IF($B1604="","Thiếu ngày! ","")&amp;IF(AND(OR(LEFT($F1604,3)="131",LEFT($G1604,3)="131",LEFT($F1604,3)="331",LEFT($G1604,3)="331"),$I1604=""),"Thiếu Mã ĐT! ","")&amp;IF(AND($I1604&lt;&gt;"",COUNTIF(DM_DT!$A$7:$A$306,$I1604)=0),"Mã ĐT chưa khai báo! ","")))</f>
        <v/>
      </c>
      <c r="M1604" s="117">
        <f>IF($H1604="","",IF(AND(OR(LEFT($F1604,3)="111",LEFT($F1604,3)="112",LEFT($F1604,3)="113"),OR(LEFT($G1604,3)="111",LEFT($G1604,3)="112",LEFT($G1604,3)="113")),"NB",IF(OR(LEFT($F1604,3)="111",LEFT($F1604,3)="112",LEFT($F1604,3)="113"),"THU",IF(OR(LEFT($G1604,3)="111",LEFT($G1604,3)="112",LEFT($G1604,3)="113"),"CHI",""))))</f>
        <v/>
      </c>
      <c r="N1604" s="117">
        <f>IF($M1604="THU",$G1604,IF($M1604="CHI",$F1604,""))</f>
        <v/>
      </c>
      <c r="O1604" s="117">
        <f>IF(OR($M1604="",$M1604="NB"),"",IF($J1604&lt;&gt;"",TEXT($J1604,"00"),IFERROR(VLOOKUP(LEFT($N1604,4),LCTT_MAP!$A$7:$C$66,IF($M1604="THU",2,3),FALSE()),IFERROR(VLOOKUP(LEFT($N1604,3),LCTT_MAP!$A$7:$C$66,IF($M1604="THU",2,3),FALSE()),IFERROR(VLOOKUP(LEFT($N1604,2),LCTT_MAP!$A$7:$C$66,IF($M1604="THU",2,3),FALSE()),IFERROR(VLOOKUP(LEFT($N1604,1),LCTT_MAP!$A$7:$C$66,IF($M1604="THU",2,3),FALSE()),IF($M1604="THU","06","07")))))))</f>
        <v/>
      </c>
      <c r="P1604" s="117">
        <f>P1603+IF(AND($H1604&lt;&gt;"",OR(LEFT($F1604,LEN(SC_TK))=SC_TK,LEFT($G1604,LEN(SC_TK))=SC_TK)),1,0)</f>
        <v/>
      </c>
    </row>
    <row r="1605" ht="15" customHeight="1" s="78">
      <c r="A1605" s="95">
        <f>IF($H1605="","",ROW()-6)</f>
        <v/>
      </c>
      <c r="B1605" s="114" t="n"/>
      <c r="C1605" s="102" t="n"/>
      <c r="D1605" s="114" t="n"/>
      <c r="E1605" s="103" t="n"/>
      <c r="F1605" s="102" t="n"/>
      <c r="G1605" s="102" t="n"/>
      <c r="H1605" s="115" t="n"/>
      <c r="I1605" s="102" t="n"/>
      <c r="J1605" s="102" t="n"/>
      <c r="K1605" s="103" t="n"/>
      <c r="L1605" s="116">
        <f>IF($H1605="","",TRIM(IF(COUNTIF(DMTK!$A$7:$A$250,$F1605)=0,"TK Nợ sai! ","")&amp;IF(COUNTIF(DMTK!$A$7:$A$250,$G1605)=0,"TK Có sai! ","")&amp;IF(N($H1605)&lt;=0,"Tiền phải &gt; 0! ","")&amp;IF($B1605="","Thiếu ngày! ","")&amp;IF(AND(OR(LEFT($F1605,3)="131",LEFT($G1605,3)="131",LEFT($F1605,3)="331",LEFT($G1605,3)="331"),$I1605=""),"Thiếu Mã ĐT! ","")&amp;IF(AND($I1605&lt;&gt;"",COUNTIF(DM_DT!$A$7:$A$306,$I1605)=0),"Mã ĐT chưa khai báo! ","")))</f>
        <v/>
      </c>
      <c r="M1605" s="117">
        <f>IF($H1605="","",IF(AND(OR(LEFT($F1605,3)="111",LEFT($F1605,3)="112",LEFT($F1605,3)="113"),OR(LEFT($G1605,3)="111",LEFT($G1605,3)="112",LEFT($G1605,3)="113")),"NB",IF(OR(LEFT($F1605,3)="111",LEFT($F1605,3)="112",LEFT($F1605,3)="113"),"THU",IF(OR(LEFT($G1605,3)="111",LEFT($G1605,3)="112",LEFT($G1605,3)="113"),"CHI",""))))</f>
        <v/>
      </c>
      <c r="N1605" s="117">
        <f>IF($M1605="THU",$G1605,IF($M1605="CHI",$F1605,""))</f>
        <v/>
      </c>
      <c r="O1605" s="117">
        <f>IF(OR($M1605="",$M1605="NB"),"",IF($J1605&lt;&gt;"",TEXT($J1605,"00"),IFERROR(VLOOKUP(LEFT($N1605,4),LCTT_MAP!$A$7:$C$66,IF($M1605="THU",2,3),FALSE()),IFERROR(VLOOKUP(LEFT($N1605,3),LCTT_MAP!$A$7:$C$66,IF($M1605="THU",2,3),FALSE()),IFERROR(VLOOKUP(LEFT($N1605,2),LCTT_MAP!$A$7:$C$66,IF($M1605="THU",2,3),FALSE()),IFERROR(VLOOKUP(LEFT($N1605,1),LCTT_MAP!$A$7:$C$66,IF($M1605="THU",2,3),FALSE()),IF($M1605="THU","06","07")))))))</f>
        <v/>
      </c>
      <c r="P1605" s="117">
        <f>P1604+IF(AND($H1605&lt;&gt;"",OR(LEFT($F1605,LEN(SC_TK))=SC_TK,LEFT($G1605,LEN(SC_TK))=SC_TK)),1,0)</f>
        <v/>
      </c>
    </row>
    <row r="1606" ht="15" customHeight="1" s="78">
      <c r="A1606" s="95">
        <f>IF($H1606="","",ROW()-6)</f>
        <v/>
      </c>
      <c r="B1606" s="114" t="n"/>
      <c r="C1606" s="102" t="n"/>
      <c r="D1606" s="114" t="n"/>
      <c r="E1606" s="103" t="n"/>
      <c r="F1606" s="102" t="n"/>
      <c r="G1606" s="102" t="n"/>
      <c r="H1606" s="115" t="n"/>
      <c r="I1606" s="102" t="n"/>
      <c r="J1606" s="102" t="n"/>
      <c r="K1606" s="103" t="n"/>
      <c r="L1606" s="116">
        <f>IF($H1606="","",TRIM(IF(COUNTIF(DMTK!$A$7:$A$250,$F1606)=0,"TK Nợ sai! ","")&amp;IF(COUNTIF(DMTK!$A$7:$A$250,$G1606)=0,"TK Có sai! ","")&amp;IF(N($H1606)&lt;=0,"Tiền phải &gt; 0! ","")&amp;IF($B1606="","Thiếu ngày! ","")&amp;IF(AND(OR(LEFT($F1606,3)="131",LEFT($G1606,3)="131",LEFT($F1606,3)="331",LEFT($G1606,3)="331"),$I1606=""),"Thiếu Mã ĐT! ","")&amp;IF(AND($I1606&lt;&gt;"",COUNTIF(DM_DT!$A$7:$A$306,$I1606)=0),"Mã ĐT chưa khai báo! ","")))</f>
        <v/>
      </c>
      <c r="M1606" s="117">
        <f>IF($H1606="","",IF(AND(OR(LEFT($F1606,3)="111",LEFT($F1606,3)="112",LEFT($F1606,3)="113"),OR(LEFT($G1606,3)="111",LEFT($G1606,3)="112",LEFT($G1606,3)="113")),"NB",IF(OR(LEFT($F1606,3)="111",LEFT($F1606,3)="112",LEFT($F1606,3)="113"),"THU",IF(OR(LEFT($G1606,3)="111",LEFT($G1606,3)="112",LEFT($G1606,3)="113"),"CHI",""))))</f>
        <v/>
      </c>
      <c r="N1606" s="117">
        <f>IF($M1606="THU",$G1606,IF($M1606="CHI",$F1606,""))</f>
        <v/>
      </c>
      <c r="O1606" s="117">
        <f>IF(OR($M1606="",$M1606="NB"),"",IF($J1606&lt;&gt;"",TEXT($J1606,"00"),IFERROR(VLOOKUP(LEFT($N1606,4),LCTT_MAP!$A$7:$C$66,IF($M1606="THU",2,3),FALSE()),IFERROR(VLOOKUP(LEFT($N1606,3),LCTT_MAP!$A$7:$C$66,IF($M1606="THU",2,3),FALSE()),IFERROR(VLOOKUP(LEFT($N1606,2),LCTT_MAP!$A$7:$C$66,IF($M1606="THU",2,3),FALSE()),IFERROR(VLOOKUP(LEFT($N1606,1),LCTT_MAP!$A$7:$C$66,IF($M1606="THU",2,3),FALSE()),IF($M1606="THU","06","07")))))))</f>
        <v/>
      </c>
      <c r="P1606" s="117">
        <f>P1605+IF(AND($H1606&lt;&gt;"",OR(LEFT($F1606,LEN(SC_TK))=SC_TK,LEFT($G1606,LEN(SC_TK))=SC_TK)),1,0)</f>
        <v/>
      </c>
    </row>
    <row r="1607" ht="15" customHeight="1" s="78">
      <c r="A1607" s="95">
        <f>IF($H1607="","",ROW()-6)</f>
        <v/>
      </c>
      <c r="B1607" s="114" t="n"/>
      <c r="C1607" s="102" t="n"/>
      <c r="D1607" s="114" t="n"/>
      <c r="E1607" s="103" t="n"/>
      <c r="F1607" s="102" t="n"/>
      <c r="G1607" s="102" t="n"/>
      <c r="H1607" s="115" t="n"/>
      <c r="I1607" s="102" t="n"/>
      <c r="J1607" s="102" t="n"/>
      <c r="K1607" s="103" t="n"/>
      <c r="L1607" s="116">
        <f>IF($H1607="","",TRIM(IF(COUNTIF(DMTK!$A$7:$A$250,$F1607)=0,"TK Nợ sai! ","")&amp;IF(COUNTIF(DMTK!$A$7:$A$250,$G1607)=0,"TK Có sai! ","")&amp;IF(N($H1607)&lt;=0,"Tiền phải &gt; 0! ","")&amp;IF($B1607="","Thiếu ngày! ","")&amp;IF(AND(OR(LEFT($F1607,3)="131",LEFT($G1607,3)="131",LEFT($F1607,3)="331",LEFT($G1607,3)="331"),$I1607=""),"Thiếu Mã ĐT! ","")&amp;IF(AND($I1607&lt;&gt;"",COUNTIF(DM_DT!$A$7:$A$306,$I1607)=0),"Mã ĐT chưa khai báo! ","")))</f>
        <v/>
      </c>
      <c r="M1607" s="117">
        <f>IF($H1607="","",IF(AND(OR(LEFT($F1607,3)="111",LEFT($F1607,3)="112",LEFT($F1607,3)="113"),OR(LEFT($G1607,3)="111",LEFT($G1607,3)="112",LEFT($G1607,3)="113")),"NB",IF(OR(LEFT($F1607,3)="111",LEFT($F1607,3)="112",LEFT($F1607,3)="113"),"THU",IF(OR(LEFT($G1607,3)="111",LEFT($G1607,3)="112",LEFT($G1607,3)="113"),"CHI",""))))</f>
        <v/>
      </c>
      <c r="N1607" s="117">
        <f>IF($M1607="THU",$G1607,IF($M1607="CHI",$F1607,""))</f>
        <v/>
      </c>
      <c r="O1607" s="117">
        <f>IF(OR($M1607="",$M1607="NB"),"",IF($J1607&lt;&gt;"",TEXT($J1607,"00"),IFERROR(VLOOKUP(LEFT($N1607,4),LCTT_MAP!$A$7:$C$66,IF($M1607="THU",2,3),FALSE()),IFERROR(VLOOKUP(LEFT($N1607,3),LCTT_MAP!$A$7:$C$66,IF($M1607="THU",2,3),FALSE()),IFERROR(VLOOKUP(LEFT($N1607,2),LCTT_MAP!$A$7:$C$66,IF($M1607="THU",2,3),FALSE()),IFERROR(VLOOKUP(LEFT($N1607,1),LCTT_MAP!$A$7:$C$66,IF($M1607="THU",2,3),FALSE()),IF($M1607="THU","06","07")))))))</f>
        <v/>
      </c>
      <c r="P1607" s="117">
        <f>P1606+IF(AND($H1607&lt;&gt;"",OR(LEFT($F1607,LEN(SC_TK))=SC_TK,LEFT($G1607,LEN(SC_TK))=SC_TK)),1,0)</f>
        <v/>
      </c>
    </row>
    <row r="1608" ht="15" customHeight="1" s="78">
      <c r="A1608" s="95">
        <f>IF($H1608="","",ROW()-6)</f>
        <v/>
      </c>
      <c r="B1608" s="114" t="n"/>
      <c r="C1608" s="102" t="n"/>
      <c r="D1608" s="114" t="n"/>
      <c r="E1608" s="103" t="n"/>
      <c r="F1608" s="102" t="n"/>
      <c r="G1608" s="102" t="n"/>
      <c r="H1608" s="115" t="n"/>
      <c r="I1608" s="102" t="n"/>
      <c r="J1608" s="102" t="n"/>
      <c r="K1608" s="103" t="n"/>
      <c r="L1608" s="116">
        <f>IF($H1608="","",TRIM(IF(COUNTIF(DMTK!$A$7:$A$250,$F1608)=0,"TK Nợ sai! ","")&amp;IF(COUNTIF(DMTK!$A$7:$A$250,$G1608)=0,"TK Có sai! ","")&amp;IF(N($H1608)&lt;=0,"Tiền phải &gt; 0! ","")&amp;IF($B1608="","Thiếu ngày! ","")&amp;IF(AND(OR(LEFT($F1608,3)="131",LEFT($G1608,3)="131",LEFT($F1608,3)="331",LEFT($G1608,3)="331"),$I1608=""),"Thiếu Mã ĐT! ","")&amp;IF(AND($I1608&lt;&gt;"",COUNTIF(DM_DT!$A$7:$A$306,$I1608)=0),"Mã ĐT chưa khai báo! ","")))</f>
        <v/>
      </c>
      <c r="M1608" s="117">
        <f>IF($H1608="","",IF(AND(OR(LEFT($F1608,3)="111",LEFT($F1608,3)="112",LEFT($F1608,3)="113"),OR(LEFT($G1608,3)="111",LEFT($G1608,3)="112",LEFT($G1608,3)="113")),"NB",IF(OR(LEFT($F1608,3)="111",LEFT($F1608,3)="112",LEFT($F1608,3)="113"),"THU",IF(OR(LEFT($G1608,3)="111",LEFT($G1608,3)="112",LEFT($G1608,3)="113"),"CHI",""))))</f>
        <v/>
      </c>
      <c r="N1608" s="117">
        <f>IF($M1608="THU",$G1608,IF($M1608="CHI",$F1608,""))</f>
        <v/>
      </c>
      <c r="O1608" s="117">
        <f>IF(OR($M1608="",$M1608="NB"),"",IF($J1608&lt;&gt;"",TEXT($J1608,"00"),IFERROR(VLOOKUP(LEFT($N1608,4),LCTT_MAP!$A$7:$C$66,IF($M1608="THU",2,3),FALSE()),IFERROR(VLOOKUP(LEFT($N1608,3),LCTT_MAP!$A$7:$C$66,IF($M1608="THU",2,3),FALSE()),IFERROR(VLOOKUP(LEFT($N1608,2),LCTT_MAP!$A$7:$C$66,IF($M1608="THU",2,3),FALSE()),IFERROR(VLOOKUP(LEFT($N1608,1),LCTT_MAP!$A$7:$C$66,IF($M1608="THU",2,3),FALSE()),IF($M1608="THU","06","07")))))))</f>
        <v/>
      </c>
      <c r="P1608" s="117">
        <f>P1607+IF(AND($H1608&lt;&gt;"",OR(LEFT($F1608,LEN(SC_TK))=SC_TK,LEFT($G1608,LEN(SC_TK))=SC_TK)),1,0)</f>
        <v/>
      </c>
    </row>
    <row r="1609" ht="15" customHeight="1" s="78">
      <c r="A1609" s="95">
        <f>IF($H1609="","",ROW()-6)</f>
        <v/>
      </c>
      <c r="B1609" s="114" t="n"/>
      <c r="C1609" s="102" t="n"/>
      <c r="D1609" s="114" t="n"/>
      <c r="E1609" s="103" t="n"/>
      <c r="F1609" s="102" t="n"/>
      <c r="G1609" s="102" t="n"/>
      <c r="H1609" s="115" t="n"/>
      <c r="I1609" s="102" t="n"/>
      <c r="J1609" s="102" t="n"/>
      <c r="K1609" s="103" t="n"/>
      <c r="L1609" s="116">
        <f>IF($H1609="","",TRIM(IF(COUNTIF(DMTK!$A$7:$A$250,$F1609)=0,"TK Nợ sai! ","")&amp;IF(COUNTIF(DMTK!$A$7:$A$250,$G1609)=0,"TK Có sai! ","")&amp;IF(N($H1609)&lt;=0,"Tiền phải &gt; 0! ","")&amp;IF($B1609="","Thiếu ngày! ","")&amp;IF(AND(OR(LEFT($F1609,3)="131",LEFT($G1609,3)="131",LEFT($F1609,3)="331",LEFT($G1609,3)="331"),$I1609=""),"Thiếu Mã ĐT! ","")&amp;IF(AND($I1609&lt;&gt;"",COUNTIF(DM_DT!$A$7:$A$306,$I1609)=0),"Mã ĐT chưa khai báo! ","")))</f>
        <v/>
      </c>
      <c r="M1609" s="117">
        <f>IF($H1609="","",IF(AND(OR(LEFT($F1609,3)="111",LEFT($F1609,3)="112",LEFT($F1609,3)="113"),OR(LEFT($G1609,3)="111",LEFT($G1609,3)="112",LEFT($G1609,3)="113")),"NB",IF(OR(LEFT($F1609,3)="111",LEFT($F1609,3)="112",LEFT($F1609,3)="113"),"THU",IF(OR(LEFT($G1609,3)="111",LEFT($G1609,3)="112",LEFT($G1609,3)="113"),"CHI",""))))</f>
        <v/>
      </c>
      <c r="N1609" s="117">
        <f>IF($M1609="THU",$G1609,IF($M1609="CHI",$F1609,""))</f>
        <v/>
      </c>
      <c r="O1609" s="117">
        <f>IF(OR($M1609="",$M1609="NB"),"",IF($J1609&lt;&gt;"",TEXT($J1609,"00"),IFERROR(VLOOKUP(LEFT($N1609,4),LCTT_MAP!$A$7:$C$66,IF($M1609="THU",2,3),FALSE()),IFERROR(VLOOKUP(LEFT($N1609,3),LCTT_MAP!$A$7:$C$66,IF($M1609="THU",2,3),FALSE()),IFERROR(VLOOKUP(LEFT($N1609,2),LCTT_MAP!$A$7:$C$66,IF($M1609="THU",2,3),FALSE()),IFERROR(VLOOKUP(LEFT($N1609,1),LCTT_MAP!$A$7:$C$66,IF($M1609="THU",2,3),FALSE()),IF($M1609="THU","06","07")))))))</f>
        <v/>
      </c>
      <c r="P1609" s="117">
        <f>P1608+IF(AND($H1609&lt;&gt;"",OR(LEFT($F1609,LEN(SC_TK))=SC_TK,LEFT($G1609,LEN(SC_TK))=SC_TK)),1,0)</f>
        <v/>
      </c>
    </row>
    <row r="1610" ht="15" customHeight="1" s="78">
      <c r="A1610" s="95">
        <f>IF($H1610="","",ROW()-6)</f>
        <v/>
      </c>
      <c r="B1610" s="114" t="n"/>
      <c r="C1610" s="102" t="n"/>
      <c r="D1610" s="114" t="n"/>
      <c r="E1610" s="103" t="n"/>
      <c r="F1610" s="102" t="n"/>
      <c r="G1610" s="102" t="n"/>
      <c r="H1610" s="115" t="n"/>
      <c r="I1610" s="102" t="n"/>
      <c r="J1610" s="102" t="n"/>
      <c r="K1610" s="103" t="n"/>
      <c r="L1610" s="116">
        <f>IF($H1610="","",TRIM(IF(COUNTIF(DMTK!$A$7:$A$250,$F1610)=0,"TK Nợ sai! ","")&amp;IF(COUNTIF(DMTK!$A$7:$A$250,$G1610)=0,"TK Có sai! ","")&amp;IF(N($H1610)&lt;=0,"Tiền phải &gt; 0! ","")&amp;IF($B1610="","Thiếu ngày! ","")&amp;IF(AND(OR(LEFT($F1610,3)="131",LEFT($G1610,3)="131",LEFT($F1610,3)="331",LEFT($G1610,3)="331"),$I1610=""),"Thiếu Mã ĐT! ","")&amp;IF(AND($I1610&lt;&gt;"",COUNTIF(DM_DT!$A$7:$A$306,$I1610)=0),"Mã ĐT chưa khai báo! ","")))</f>
        <v/>
      </c>
      <c r="M1610" s="117">
        <f>IF($H1610="","",IF(AND(OR(LEFT($F1610,3)="111",LEFT($F1610,3)="112",LEFT($F1610,3)="113"),OR(LEFT($G1610,3)="111",LEFT($G1610,3)="112",LEFT($G1610,3)="113")),"NB",IF(OR(LEFT($F1610,3)="111",LEFT($F1610,3)="112",LEFT($F1610,3)="113"),"THU",IF(OR(LEFT($G1610,3)="111",LEFT($G1610,3)="112",LEFT($G1610,3)="113"),"CHI",""))))</f>
        <v/>
      </c>
      <c r="N1610" s="117">
        <f>IF($M1610="THU",$G1610,IF($M1610="CHI",$F1610,""))</f>
        <v/>
      </c>
      <c r="O1610" s="117">
        <f>IF(OR($M1610="",$M1610="NB"),"",IF($J1610&lt;&gt;"",TEXT($J1610,"00"),IFERROR(VLOOKUP(LEFT($N1610,4),LCTT_MAP!$A$7:$C$66,IF($M1610="THU",2,3),FALSE()),IFERROR(VLOOKUP(LEFT($N1610,3),LCTT_MAP!$A$7:$C$66,IF($M1610="THU",2,3),FALSE()),IFERROR(VLOOKUP(LEFT($N1610,2),LCTT_MAP!$A$7:$C$66,IF($M1610="THU",2,3),FALSE()),IFERROR(VLOOKUP(LEFT($N1610,1),LCTT_MAP!$A$7:$C$66,IF($M1610="THU",2,3),FALSE()),IF($M1610="THU","06","07")))))))</f>
        <v/>
      </c>
      <c r="P1610" s="117">
        <f>P1609+IF(AND($H1610&lt;&gt;"",OR(LEFT($F1610,LEN(SC_TK))=SC_TK,LEFT($G1610,LEN(SC_TK))=SC_TK)),1,0)</f>
        <v/>
      </c>
    </row>
    <row r="1611" ht="15" customHeight="1" s="78">
      <c r="A1611" s="95">
        <f>IF($H1611="","",ROW()-6)</f>
        <v/>
      </c>
      <c r="B1611" s="114" t="n"/>
      <c r="C1611" s="102" t="n"/>
      <c r="D1611" s="114" t="n"/>
      <c r="E1611" s="103" t="n"/>
      <c r="F1611" s="102" t="n"/>
      <c r="G1611" s="102" t="n"/>
      <c r="H1611" s="115" t="n"/>
      <c r="I1611" s="102" t="n"/>
      <c r="J1611" s="102" t="n"/>
      <c r="K1611" s="103" t="n"/>
      <c r="L1611" s="116">
        <f>IF($H1611="","",TRIM(IF(COUNTIF(DMTK!$A$7:$A$250,$F1611)=0,"TK Nợ sai! ","")&amp;IF(COUNTIF(DMTK!$A$7:$A$250,$G1611)=0,"TK Có sai! ","")&amp;IF(N($H1611)&lt;=0,"Tiền phải &gt; 0! ","")&amp;IF($B1611="","Thiếu ngày! ","")&amp;IF(AND(OR(LEFT($F1611,3)="131",LEFT($G1611,3)="131",LEFT($F1611,3)="331",LEFT($G1611,3)="331"),$I1611=""),"Thiếu Mã ĐT! ","")&amp;IF(AND($I1611&lt;&gt;"",COUNTIF(DM_DT!$A$7:$A$306,$I1611)=0),"Mã ĐT chưa khai báo! ","")))</f>
        <v/>
      </c>
      <c r="M1611" s="117">
        <f>IF($H1611="","",IF(AND(OR(LEFT($F1611,3)="111",LEFT($F1611,3)="112",LEFT($F1611,3)="113"),OR(LEFT($G1611,3)="111",LEFT($G1611,3)="112",LEFT($G1611,3)="113")),"NB",IF(OR(LEFT($F1611,3)="111",LEFT($F1611,3)="112",LEFT($F1611,3)="113"),"THU",IF(OR(LEFT($G1611,3)="111",LEFT($G1611,3)="112",LEFT($G1611,3)="113"),"CHI",""))))</f>
        <v/>
      </c>
      <c r="N1611" s="117">
        <f>IF($M1611="THU",$G1611,IF($M1611="CHI",$F1611,""))</f>
        <v/>
      </c>
      <c r="O1611" s="117">
        <f>IF(OR($M1611="",$M1611="NB"),"",IF($J1611&lt;&gt;"",TEXT($J1611,"00"),IFERROR(VLOOKUP(LEFT($N1611,4),LCTT_MAP!$A$7:$C$66,IF($M1611="THU",2,3),FALSE()),IFERROR(VLOOKUP(LEFT($N1611,3),LCTT_MAP!$A$7:$C$66,IF($M1611="THU",2,3),FALSE()),IFERROR(VLOOKUP(LEFT($N1611,2),LCTT_MAP!$A$7:$C$66,IF($M1611="THU",2,3),FALSE()),IFERROR(VLOOKUP(LEFT($N1611,1),LCTT_MAP!$A$7:$C$66,IF($M1611="THU",2,3),FALSE()),IF($M1611="THU","06","07")))))))</f>
        <v/>
      </c>
      <c r="P1611" s="117">
        <f>P1610+IF(AND($H1611&lt;&gt;"",OR(LEFT($F1611,LEN(SC_TK))=SC_TK,LEFT($G1611,LEN(SC_TK))=SC_TK)),1,0)</f>
        <v/>
      </c>
    </row>
    <row r="1612" ht="15" customHeight="1" s="78">
      <c r="A1612" s="95">
        <f>IF($H1612="","",ROW()-6)</f>
        <v/>
      </c>
      <c r="B1612" s="114" t="n"/>
      <c r="C1612" s="102" t="n"/>
      <c r="D1612" s="114" t="n"/>
      <c r="E1612" s="103" t="n"/>
      <c r="F1612" s="102" t="n"/>
      <c r="G1612" s="102" t="n"/>
      <c r="H1612" s="115" t="n"/>
      <c r="I1612" s="102" t="n"/>
      <c r="J1612" s="102" t="n"/>
      <c r="K1612" s="103" t="n"/>
      <c r="L1612" s="116">
        <f>IF($H1612="","",TRIM(IF(COUNTIF(DMTK!$A$7:$A$250,$F1612)=0,"TK Nợ sai! ","")&amp;IF(COUNTIF(DMTK!$A$7:$A$250,$G1612)=0,"TK Có sai! ","")&amp;IF(N($H1612)&lt;=0,"Tiền phải &gt; 0! ","")&amp;IF($B1612="","Thiếu ngày! ","")&amp;IF(AND(OR(LEFT($F1612,3)="131",LEFT($G1612,3)="131",LEFT($F1612,3)="331",LEFT($G1612,3)="331"),$I1612=""),"Thiếu Mã ĐT! ","")&amp;IF(AND($I1612&lt;&gt;"",COUNTIF(DM_DT!$A$7:$A$306,$I1612)=0),"Mã ĐT chưa khai báo! ","")))</f>
        <v/>
      </c>
      <c r="M1612" s="117">
        <f>IF($H1612="","",IF(AND(OR(LEFT($F1612,3)="111",LEFT($F1612,3)="112",LEFT($F1612,3)="113"),OR(LEFT($G1612,3)="111",LEFT($G1612,3)="112",LEFT($G1612,3)="113")),"NB",IF(OR(LEFT($F1612,3)="111",LEFT($F1612,3)="112",LEFT($F1612,3)="113"),"THU",IF(OR(LEFT($G1612,3)="111",LEFT($G1612,3)="112",LEFT($G1612,3)="113"),"CHI",""))))</f>
        <v/>
      </c>
      <c r="N1612" s="117">
        <f>IF($M1612="THU",$G1612,IF($M1612="CHI",$F1612,""))</f>
        <v/>
      </c>
      <c r="O1612" s="117">
        <f>IF(OR($M1612="",$M1612="NB"),"",IF($J1612&lt;&gt;"",TEXT($J1612,"00"),IFERROR(VLOOKUP(LEFT($N1612,4),LCTT_MAP!$A$7:$C$66,IF($M1612="THU",2,3),FALSE()),IFERROR(VLOOKUP(LEFT($N1612,3),LCTT_MAP!$A$7:$C$66,IF($M1612="THU",2,3),FALSE()),IFERROR(VLOOKUP(LEFT($N1612,2),LCTT_MAP!$A$7:$C$66,IF($M1612="THU",2,3),FALSE()),IFERROR(VLOOKUP(LEFT($N1612,1),LCTT_MAP!$A$7:$C$66,IF($M1612="THU",2,3),FALSE()),IF($M1612="THU","06","07")))))))</f>
        <v/>
      </c>
      <c r="P1612" s="117">
        <f>P1611+IF(AND($H1612&lt;&gt;"",OR(LEFT($F1612,LEN(SC_TK))=SC_TK,LEFT($G1612,LEN(SC_TK))=SC_TK)),1,0)</f>
        <v/>
      </c>
    </row>
    <row r="1613" ht="15" customHeight="1" s="78">
      <c r="A1613" s="95">
        <f>IF($H1613="","",ROW()-6)</f>
        <v/>
      </c>
      <c r="B1613" s="114" t="n"/>
      <c r="C1613" s="102" t="n"/>
      <c r="D1613" s="114" t="n"/>
      <c r="E1613" s="103" t="n"/>
      <c r="F1613" s="102" t="n"/>
      <c r="G1613" s="102" t="n"/>
      <c r="H1613" s="115" t="n"/>
      <c r="I1613" s="102" t="n"/>
      <c r="J1613" s="102" t="n"/>
      <c r="K1613" s="103" t="n"/>
      <c r="L1613" s="116">
        <f>IF($H1613="","",TRIM(IF(COUNTIF(DMTK!$A$7:$A$250,$F1613)=0,"TK Nợ sai! ","")&amp;IF(COUNTIF(DMTK!$A$7:$A$250,$G1613)=0,"TK Có sai! ","")&amp;IF(N($H1613)&lt;=0,"Tiền phải &gt; 0! ","")&amp;IF($B1613="","Thiếu ngày! ","")&amp;IF(AND(OR(LEFT($F1613,3)="131",LEFT($G1613,3)="131",LEFT($F1613,3)="331",LEFT($G1613,3)="331"),$I1613=""),"Thiếu Mã ĐT! ","")&amp;IF(AND($I1613&lt;&gt;"",COUNTIF(DM_DT!$A$7:$A$306,$I1613)=0),"Mã ĐT chưa khai báo! ","")))</f>
        <v/>
      </c>
      <c r="M1613" s="117">
        <f>IF($H1613="","",IF(AND(OR(LEFT($F1613,3)="111",LEFT($F1613,3)="112",LEFT($F1613,3)="113"),OR(LEFT($G1613,3)="111",LEFT($G1613,3)="112",LEFT($G1613,3)="113")),"NB",IF(OR(LEFT($F1613,3)="111",LEFT($F1613,3)="112",LEFT($F1613,3)="113"),"THU",IF(OR(LEFT($G1613,3)="111",LEFT($G1613,3)="112",LEFT($G1613,3)="113"),"CHI",""))))</f>
        <v/>
      </c>
      <c r="N1613" s="117">
        <f>IF($M1613="THU",$G1613,IF($M1613="CHI",$F1613,""))</f>
        <v/>
      </c>
      <c r="O1613" s="117">
        <f>IF(OR($M1613="",$M1613="NB"),"",IF($J1613&lt;&gt;"",TEXT($J1613,"00"),IFERROR(VLOOKUP(LEFT($N1613,4),LCTT_MAP!$A$7:$C$66,IF($M1613="THU",2,3),FALSE()),IFERROR(VLOOKUP(LEFT($N1613,3),LCTT_MAP!$A$7:$C$66,IF($M1613="THU",2,3),FALSE()),IFERROR(VLOOKUP(LEFT($N1613,2),LCTT_MAP!$A$7:$C$66,IF($M1613="THU",2,3),FALSE()),IFERROR(VLOOKUP(LEFT($N1613,1),LCTT_MAP!$A$7:$C$66,IF($M1613="THU",2,3),FALSE()),IF($M1613="THU","06","07")))))))</f>
        <v/>
      </c>
      <c r="P1613" s="117">
        <f>P1612+IF(AND($H1613&lt;&gt;"",OR(LEFT($F1613,LEN(SC_TK))=SC_TK,LEFT($G1613,LEN(SC_TK))=SC_TK)),1,0)</f>
        <v/>
      </c>
    </row>
    <row r="1614" ht="15" customHeight="1" s="78">
      <c r="A1614" s="95">
        <f>IF($H1614="","",ROW()-6)</f>
        <v/>
      </c>
      <c r="B1614" s="114" t="n"/>
      <c r="C1614" s="102" t="n"/>
      <c r="D1614" s="114" t="n"/>
      <c r="E1614" s="103" t="n"/>
      <c r="F1614" s="102" t="n"/>
      <c r="G1614" s="102" t="n"/>
      <c r="H1614" s="115" t="n"/>
      <c r="I1614" s="102" t="n"/>
      <c r="J1614" s="102" t="n"/>
      <c r="K1614" s="103" t="n"/>
      <c r="L1614" s="116">
        <f>IF($H1614="","",TRIM(IF(COUNTIF(DMTK!$A$7:$A$250,$F1614)=0,"TK Nợ sai! ","")&amp;IF(COUNTIF(DMTK!$A$7:$A$250,$G1614)=0,"TK Có sai! ","")&amp;IF(N($H1614)&lt;=0,"Tiền phải &gt; 0! ","")&amp;IF($B1614="","Thiếu ngày! ","")&amp;IF(AND(OR(LEFT($F1614,3)="131",LEFT($G1614,3)="131",LEFT($F1614,3)="331",LEFT($G1614,3)="331"),$I1614=""),"Thiếu Mã ĐT! ","")&amp;IF(AND($I1614&lt;&gt;"",COUNTIF(DM_DT!$A$7:$A$306,$I1614)=0),"Mã ĐT chưa khai báo! ","")))</f>
        <v/>
      </c>
      <c r="M1614" s="117">
        <f>IF($H1614="","",IF(AND(OR(LEFT($F1614,3)="111",LEFT($F1614,3)="112",LEFT($F1614,3)="113"),OR(LEFT($G1614,3)="111",LEFT($G1614,3)="112",LEFT($G1614,3)="113")),"NB",IF(OR(LEFT($F1614,3)="111",LEFT($F1614,3)="112",LEFT($F1614,3)="113"),"THU",IF(OR(LEFT($G1614,3)="111",LEFT($G1614,3)="112",LEFT($G1614,3)="113"),"CHI",""))))</f>
        <v/>
      </c>
      <c r="N1614" s="117">
        <f>IF($M1614="THU",$G1614,IF($M1614="CHI",$F1614,""))</f>
        <v/>
      </c>
      <c r="O1614" s="117">
        <f>IF(OR($M1614="",$M1614="NB"),"",IF($J1614&lt;&gt;"",TEXT($J1614,"00"),IFERROR(VLOOKUP(LEFT($N1614,4),LCTT_MAP!$A$7:$C$66,IF($M1614="THU",2,3),FALSE()),IFERROR(VLOOKUP(LEFT($N1614,3),LCTT_MAP!$A$7:$C$66,IF($M1614="THU",2,3),FALSE()),IFERROR(VLOOKUP(LEFT($N1614,2),LCTT_MAP!$A$7:$C$66,IF($M1614="THU",2,3),FALSE()),IFERROR(VLOOKUP(LEFT($N1614,1),LCTT_MAP!$A$7:$C$66,IF($M1614="THU",2,3),FALSE()),IF($M1614="THU","06","07")))))))</f>
        <v/>
      </c>
      <c r="P1614" s="117">
        <f>P1613+IF(AND($H1614&lt;&gt;"",OR(LEFT($F1614,LEN(SC_TK))=SC_TK,LEFT($G1614,LEN(SC_TK))=SC_TK)),1,0)</f>
        <v/>
      </c>
    </row>
    <row r="1615" ht="15" customHeight="1" s="78">
      <c r="A1615" s="95">
        <f>IF($H1615="","",ROW()-6)</f>
        <v/>
      </c>
      <c r="B1615" s="114" t="n"/>
      <c r="C1615" s="102" t="n"/>
      <c r="D1615" s="114" t="n"/>
      <c r="E1615" s="103" t="n"/>
      <c r="F1615" s="102" t="n"/>
      <c r="G1615" s="102" t="n"/>
      <c r="H1615" s="115" t="n"/>
      <c r="I1615" s="102" t="n"/>
      <c r="J1615" s="102" t="n"/>
      <c r="K1615" s="103" t="n"/>
      <c r="L1615" s="116">
        <f>IF($H1615="","",TRIM(IF(COUNTIF(DMTK!$A$7:$A$250,$F1615)=0,"TK Nợ sai! ","")&amp;IF(COUNTIF(DMTK!$A$7:$A$250,$G1615)=0,"TK Có sai! ","")&amp;IF(N($H1615)&lt;=0,"Tiền phải &gt; 0! ","")&amp;IF($B1615="","Thiếu ngày! ","")&amp;IF(AND(OR(LEFT($F1615,3)="131",LEFT($G1615,3)="131",LEFT($F1615,3)="331",LEFT($G1615,3)="331"),$I1615=""),"Thiếu Mã ĐT! ","")&amp;IF(AND($I1615&lt;&gt;"",COUNTIF(DM_DT!$A$7:$A$306,$I1615)=0),"Mã ĐT chưa khai báo! ","")))</f>
        <v/>
      </c>
      <c r="M1615" s="117">
        <f>IF($H1615="","",IF(AND(OR(LEFT($F1615,3)="111",LEFT($F1615,3)="112",LEFT($F1615,3)="113"),OR(LEFT($G1615,3)="111",LEFT($G1615,3)="112",LEFT($G1615,3)="113")),"NB",IF(OR(LEFT($F1615,3)="111",LEFT($F1615,3)="112",LEFT($F1615,3)="113"),"THU",IF(OR(LEFT($G1615,3)="111",LEFT($G1615,3)="112",LEFT($G1615,3)="113"),"CHI",""))))</f>
        <v/>
      </c>
      <c r="N1615" s="117">
        <f>IF($M1615="THU",$G1615,IF($M1615="CHI",$F1615,""))</f>
        <v/>
      </c>
      <c r="O1615" s="117">
        <f>IF(OR($M1615="",$M1615="NB"),"",IF($J1615&lt;&gt;"",TEXT($J1615,"00"),IFERROR(VLOOKUP(LEFT($N1615,4),LCTT_MAP!$A$7:$C$66,IF($M1615="THU",2,3),FALSE()),IFERROR(VLOOKUP(LEFT($N1615,3),LCTT_MAP!$A$7:$C$66,IF($M1615="THU",2,3),FALSE()),IFERROR(VLOOKUP(LEFT($N1615,2),LCTT_MAP!$A$7:$C$66,IF($M1615="THU",2,3),FALSE()),IFERROR(VLOOKUP(LEFT($N1615,1),LCTT_MAP!$A$7:$C$66,IF($M1615="THU",2,3),FALSE()),IF($M1615="THU","06","07")))))))</f>
        <v/>
      </c>
      <c r="P1615" s="117">
        <f>P1614+IF(AND($H1615&lt;&gt;"",OR(LEFT($F1615,LEN(SC_TK))=SC_TK,LEFT($G1615,LEN(SC_TK))=SC_TK)),1,0)</f>
        <v/>
      </c>
    </row>
    <row r="1616" ht="15" customHeight="1" s="78">
      <c r="A1616" s="95">
        <f>IF($H1616="","",ROW()-6)</f>
        <v/>
      </c>
      <c r="B1616" s="114" t="n"/>
      <c r="C1616" s="102" t="n"/>
      <c r="D1616" s="114" t="n"/>
      <c r="E1616" s="103" t="n"/>
      <c r="F1616" s="102" t="n"/>
      <c r="G1616" s="102" t="n"/>
      <c r="H1616" s="115" t="n"/>
      <c r="I1616" s="102" t="n"/>
      <c r="J1616" s="102" t="n"/>
      <c r="K1616" s="103" t="n"/>
      <c r="L1616" s="116">
        <f>IF($H1616="","",TRIM(IF(COUNTIF(DMTK!$A$7:$A$250,$F1616)=0,"TK Nợ sai! ","")&amp;IF(COUNTIF(DMTK!$A$7:$A$250,$G1616)=0,"TK Có sai! ","")&amp;IF(N($H1616)&lt;=0,"Tiền phải &gt; 0! ","")&amp;IF($B1616="","Thiếu ngày! ","")&amp;IF(AND(OR(LEFT($F1616,3)="131",LEFT($G1616,3)="131",LEFT($F1616,3)="331",LEFT($G1616,3)="331"),$I1616=""),"Thiếu Mã ĐT! ","")&amp;IF(AND($I1616&lt;&gt;"",COUNTIF(DM_DT!$A$7:$A$306,$I1616)=0),"Mã ĐT chưa khai báo! ","")))</f>
        <v/>
      </c>
      <c r="M1616" s="117">
        <f>IF($H1616="","",IF(AND(OR(LEFT($F1616,3)="111",LEFT($F1616,3)="112",LEFT($F1616,3)="113"),OR(LEFT($G1616,3)="111",LEFT($G1616,3)="112",LEFT($G1616,3)="113")),"NB",IF(OR(LEFT($F1616,3)="111",LEFT($F1616,3)="112",LEFT($F1616,3)="113"),"THU",IF(OR(LEFT($G1616,3)="111",LEFT($G1616,3)="112",LEFT($G1616,3)="113"),"CHI",""))))</f>
        <v/>
      </c>
      <c r="N1616" s="117">
        <f>IF($M1616="THU",$G1616,IF($M1616="CHI",$F1616,""))</f>
        <v/>
      </c>
      <c r="O1616" s="117">
        <f>IF(OR($M1616="",$M1616="NB"),"",IF($J1616&lt;&gt;"",TEXT($J1616,"00"),IFERROR(VLOOKUP(LEFT($N1616,4),LCTT_MAP!$A$7:$C$66,IF($M1616="THU",2,3),FALSE()),IFERROR(VLOOKUP(LEFT($N1616,3),LCTT_MAP!$A$7:$C$66,IF($M1616="THU",2,3),FALSE()),IFERROR(VLOOKUP(LEFT($N1616,2),LCTT_MAP!$A$7:$C$66,IF($M1616="THU",2,3),FALSE()),IFERROR(VLOOKUP(LEFT($N1616,1),LCTT_MAP!$A$7:$C$66,IF($M1616="THU",2,3),FALSE()),IF($M1616="THU","06","07")))))))</f>
        <v/>
      </c>
      <c r="P1616" s="117">
        <f>P1615+IF(AND($H1616&lt;&gt;"",OR(LEFT($F1616,LEN(SC_TK))=SC_TK,LEFT($G1616,LEN(SC_TK))=SC_TK)),1,0)</f>
        <v/>
      </c>
    </row>
    <row r="1617" ht="15" customHeight="1" s="78">
      <c r="A1617" s="95">
        <f>IF($H1617="","",ROW()-6)</f>
        <v/>
      </c>
      <c r="B1617" s="114" t="n"/>
      <c r="C1617" s="102" t="n"/>
      <c r="D1617" s="114" t="n"/>
      <c r="E1617" s="103" t="n"/>
      <c r="F1617" s="102" t="n"/>
      <c r="G1617" s="102" t="n"/>
      <c r="H1617" s="115" t="n"/>
      <c r="I1617" s="102" t="n"/>
      <c r="J1617" s="102" t="n"/>
      <c r="K1617" s="103" t="n"/>
      <c r="L1617" s="116">
        <f>IF($H1617="","",TRIM(IF(COUNTIF(DMTK!$A$7:$A$250,$F1617)=0,"TK Nợ sai! ","")&amp;IF(COUNTIF(DMTK!$A$7:$A$250,$G1617)=0,"TK Có sai! ","")&amp;IF(N($H1617)&lt;=0,"Tiền phải &gt; 0! ","")&amp;IF($B1617="","Thiếu ngày! ","")&amp;IF(AND(OR(LEFT($F1617,3)="131",LEFT($G1617,3)="131",LEFT($F1617,3)="331",LEFT($G1617,3)="331"),$I1617=""),"Thiếu Mã ĐT! ","")&amp;IF(AND($I1617&lt;&gt;"",COUNTIF(DM_DT!$A$7:$A$306,$I1617)=0),"Mã ĐT chưa khai báo! ","")))</f>
        <v/>
      </c>
      <c r="M1617" s="117">
        <f>IF($H1617="","",IF(AND(OR(LEFT($F1617,3)="111",LEFT($F1617,3)="112",LEFT($F1617,3)="113"),OR(LEFT($G1617,3)="111",LEFT($G1617,3)="112",LEFT($G1617,3)="113")),"NB",IF(OR(LEFT($F1617,3)="111",LEFT($F1617,3)="112",LEFT($F1617,3)="113"),"THU",IF(OR(LEFT($G1617,3)="111",LEFT($G1617,3)="112",LEFT($G1617,3)="113"),"CHI",""))))</f>
        <v/>
      </c>
      <c r="N1617" s="117">
        <f>IF($M1617="THU",$G1617,IF($M1617="CHI",$F1617,""))</f>
        <v/>
      </c>
      <c r="O1617" s="117">
        <f>IF(OR($M1617="",$M1617="NB"),"",IF($J1617&lt;&gt;"",TEXT($J1617,"00"),IFERROR(VLOOKUP(LEFT($N1617,4),LCTT_MAP!$A$7:$C$66,IF($M1617="THU",2,3),FALSE()),IFERROR(VLOOKUP(LEFT($N1617,3),LCTT_MAP!$A$7:$C$66,IF($M1617="THU",2,3),FALSE()),IFERROR(VLOOKUP(LEFT($N1617,2),LCTT_MAP!$A$7:$C$66,IF($M1617="THU",2,3),FALSE()),IFERROR(VLOOKUP(LEFT($N1617,1),LCTT_MAP!$A$7:$C$66,IF($M1617="THU",2,3),FALSE()),IF($M1617="THU","06","07")))))))</f>
        <v/>
      </c>
      <c r="P1617" s="117">
        <f>P1616+IF(AND($H1617&lt;&gt;"",OR(LEFT($F1617,LEN(SC_TK))=SC_TK,LEFT($G1617,LEN(SC_TK))=SC_TK)),1,0)</f>
        <v/>
      </c>
    </row>
    <row r="1618" ht="15" customHeight="1" s="78">
      <c r="A1618" s="95">
        <f>IF($H1618="","",ROW()-6)</f>
        <v/>
      </c>
      <c r="B1618" s="114" t="n"/>
      <c r="C1618" s="102" t="n"/>
      <c r="D1618" s="114" t="n"/>
      <c r="E1618" s="103" t="n"/>
      <c r="F1618" s="102" t="n"/>
      <c r="G1618" s="102" t="n"/>
      <c r="H1618" s="115" t="n"/>
      <c r="I1618" s="102" t="n"/>
      <c r="J1618" s="102" t="n"/>
      <c r="K1618" s="103" t="n"/>
      <c r="L1618" s="116">
        <f>IF($H1618="","",TRIM(IF(COUNTIF(DMTK!$A$7:$A$250,$F1618)=0,"TK Nợ sai! ","")&amp;IF(COUNTIF(DMTK!$A$7:$A$250,$G1618)=0,"TK Có sai! ","")&amp;IF(N($H1618)&lt;=0,"Tiền phải &gt; 0! ","")&amp;IF($B1618="","Thiếu ngày! ","")&amp;IF(AND(OR(LEFT($F1618,3)="131",LEFT($G1618,3)="131",LEFT($F1618,3)="331",LEFT($G1618,3)="331"),$I1618=""),"Thiếu Mã ĐT! ","")&amp;IF(AND($I1618&lt;&gt;"",COUNTIF(DM_DT!$A$7:$A$306,$I1618)=0),"Mã ĐT chưa khai báo! ","")))</f>
        <v/>
      </c>
      <c r="M1618" s="117">
        <f>IF($H1618="","",IF(AND(OR(LEFT($F1618,3)="111",LEFT($F1618,3)="112",LEFT($F1618,3)="113"),OR(LEFT($G1618,3)="111",LEFT($G1618,3)="112",LEFT($G1618,3)="113")),"NB",IF(OR(LEFT($F1618,3)="111",LEFT($F1618,3)="112",LEFT($F1618,3)="113"),"THU",IF(OR(LEFT($G1618,3)="111",LEFT($G1618,3)="112",LEFT($G1618,3)="113"),"CHI",""))))</f>
        <v/>
      </c>
      <c r="N1618" s="117">
        <f>IF($M1618="THU",$G1618,IF($M1618="CHI",$F1618,""))</f>
        <v/>
      </c>
      <c r="O1618" s="117">
        <f>IF(OR($M1618="",$M1618="NB"),"",IF($J1618&lt;&gt;"",TEXT($J1618,"00"),IFERROR(VLOOKUP(LEFT($N1618,4),LCTT_MAP!$A$7:$C$66,IF($M1618="THU",2,3),FALSE()),IFERROR(VLOOKUP(LEFT($N1618,3),LCTT_MAP!$A$7:$C$66,IF($M1618="THU",2,3),FALSE()),IFERROR(VLOOKUP(LEFT($N1618,2),LCTT_MAP!$A$7:$C$66,IF($M1618="THU",2,3),FALSE()),IFERROR(VLOOKUP(LEFT($N1618,1),LCTT_MAP!$A$7:$C$66,IF($M1618="THU",2,3),FALSE()),IF($M1618="THU","06","07")))))))</f>
        <v/>
      </c>
      <c r="P1618" s="117">
        <f>P1617+IF(AND($H1618&lt;&gt;"",OR(LEFT($F1618,LEN(SC_TK))=SC_TK,LEFT($G1618,LEN(SC_TK))=SC_TK)),1,0)</f>
        <v/>
      </c>
    </row>
    <row r="1619" ht="15" customHeight="1" s="78">
      <c r="A1619" s="95">
        <f>IF($H1619="","",ROW()-6)</f>
        <v/>
      </c>
      <c r="B1619" s="114" t="n"/>
      <c r="C1619" s="102" t="n"/>
      <c r="D1619" s="114" t="n"/>
      <c r="E1619" s="103" t="n"/>
      <c r="F1619" s="102" t="n"/>
      <c r="G1619" s="102" t="n"/>
      <c r="H1619" s="115" t="n"/>
      <c r="I1619" s="102" t="n"/>
      <c r="J1619" s="102" t="n"/>
      <c r="K1619" s="103" t="n"/>
      <c r="L1619" s="116">
        <f>IF($H1619="","",TRIM(IF(COUNTIF(DMTK!$A$7:$A$250,$F1619)=0,"TK Nợ sai! ","")&amp;IF(COUNTIF(DMTK!$A$7:$A$250,$G1619)=0,"TK Có sai! ","")&amp;IF(N($H1619)&lt;=0,"Tiền phải &gt; 0! ","")&amp;IF($B1619="","Thiếu ngày! ","")&amp;IF(AND(OR(LEFT($F1619,3)="131",LEFT($G1619,3)="131",LEFT($F1619,3)="331",LEFT($G1619,3)="331"),$I1619=""),"Thiếu Mã ĐT! ","")&amp;IF(AND($I1619&lt;&gt;"",COUNTIF(DM_DT!$A$7:$A$306,$I1619)=0),"Mã ĐT chưa khai báo! ","")))</f>
        <v/>
      </c>
      <c r="M1619" s="117">
        <f>IF($H1619="","",IF(AND(OR(LEFT($F1619,3)="111",LEFT($F1619,3)="112",LEFT($F1619,3)="113"),OR(LEFT($G1619,3)="111",LEFT($G1619,3)="112",LEFT($G1619,3)="113")),"NB",IF(OR(LEFT($F1619,3)="111",LEFT($F1619,3)="112",LEFT($F1619,3)="113"),"THU",IF(OR(LEFT($G1619,3)="111",LEFT($G1619,3)="112",LEFT($G1619,3)="113"),"CHI",""))))</f>
        <v/>
      </c>
      <c r="N1619" s="117">
        <f>IF($M1619="THU",$G1619,IF($M1619="CHI",$F1619,""))</f>
        <v/>
      </c>
      <c r="O1619" s="117">
        <f>IF(OR($M1619="",$M1619="NB"),"",IF($J1619&lt;&gt;"",TEXT($J1619,"00"),IFERROR(VLOOKUP(LEFT($N1619,4),LCTT_MAP!$A$7:$C$66,IF($M1619="THU",2,3),FALSE()),IFERROR(VLOOKUP(LEFT($N1619,3),LCTT_MAP!$A$7:$C$66,IF($M1619="THU",2,3),FALSE()),IFERROR(VLOOKUP(LEFT($N1619,2),LCTT_MAP!$A$7:$C$66,IF($M1619="THU",2,3),FALSE()),IFERROR(VLOOKUP(LEFT($N1619,1),LCTT_MAP!$A$7:$C$66,IF($M1619="THU",2,3),FALSE()),IF($M1619="THU","06","07")))))))</f>
        <v/>
      </c>
      <c r="P1619" s="117">
        <f>P1618+IF(AND($H1619&lt;&gt;"",OR(LEFT($F1619,LEN(SC_TK))=SC_TK,LEFT($G1619,LEN(SC_TK))=SC_TK)),1,0)</f>
        <v/>
      </c>
    </row>
    <row r="1620" ht="15" customHeight="1" s="78">
      <c r="A1620" s="95">
        <f>IF($H1620="","",ROW()-6)</f>
        <v/>
      </c>
      <c r="B1620" s="114" t="n"/>
      <c r="C1620" s="102" t="n"/>
      <c r="D1620" s="114" t="n"/>
      <c r="E1620" s="103" t="n"/>
      <c r="F1620" s="102" t="n"/>
      <c r="G1620" s="102" t="n"/>
      <c r="H1620" s="115" t="n"/>
      <c r="I1620" s="102" t="n"/>
      <c r="J1620" s="102" t="n"/>
      <c r="K1620" s="103" t="n"/>
      <c r="L1620" s="116">
        <f>IF($H1620="","",TRIM(IF(COUNTIF(DMTK!$A$7:$A$250,$F1620)=0,"TK Nợ sai! ","")&amp;IF(COUNTIF(DMTK!$A$7:$A$250,$G1620)=0,"TK Có sai! ","")&amp;IF(N($H1620)&lt;=0,"Tiền phải &gt; 0! ","")&amp;IF($B1620="","Thiếu ngày! ","")&amp;IF(AND(OR(LEFT($F1620,3)="131",LEFT($G1620,3)="131",LEFT($F1620,3)="331",LEFT($G1620,3)="331"),$I1620=""),"Thiếu Mã ĐT! ","")&amp;IF(AND($I1620&lt;&gt;"",COUNTIF(DM_DT!$A$7:$A$306,$I1620)=0),"Mã ĐT chưa khai báo! ","")))</f>
        <v/>
      </c>
      <c r="M1620" s="117">
        <f>IF($H1620="","",IF(AND(OR(LEFT($F1620,3)="111",LEFT($F1620,3)="112",LEFT($F1620,3)="113"),OR(LEFT($G1620,3)="111",LEFT($G1620,3)="112",LEFT($G1620,3)="113")),"NB",IF(OR(LEFT($F1620,3)="111",LEFT($F1620,3)="112",LEFT($F1620,3)="113"),"THU",IF(OR(LEFT($G1620,3)="111",LEFT($G1620,3)="112",LEFT($G1620,3)="113"),"CHI",""))))</f>
        <v/>
      </c>
      <c r="N1620" s="117">
        <f>IF($M1620="THU",$G1620,IF($M1620="CHI",$F1620,""))</f>
        <v/>
      </c>
      <c r="O1620" s="117">
        <f>IF(OR($M1620="",$M1620="NB"),"",IF($J1620&lt;&gt;"",TEXT($J1620,"00"),IFERROR(VLOOKUP(LEFT($N1620,4),LCTT_MAP!$A$7:$C$66,IF($M1620="THU",2,3),FALSE()),IFERROR(VLOOKUP(LEFT($N1620,3),LCTT_MAP!$A$7:$C$66,IF($M1620="THU",2,3),FALSE()),IFERROR(VLOOKUP(LEFT($N1620,2),LCTT_MAP!$A$7:$C$66,IF($M1620="THU",2,3),FALSE()),IFERROR(VLOOKUP(LEFT($N1620,1),LCTT_MAP!$A$7:$C$66,IF($M1620="THU",2,3),FALSE()),IF($M1620="THU","06","07")))))))</f>
        <v/>
      </c>
      <c r="P1620" s="117">
        <f>P1619+IF(AND($H1620&lt;&gt;"",OR(LEFT($F1620,LEN(SC_TK))=SC_TK,LEFT($G1620,LEN(SC_TK))=SC_TK)),1,0)</f>
        <v/>
      </c>
    </row>
    <row r="1621" ht="15" customHeight="1" s="78">
      <c r="A1621" s="95">
        <f>IF($H1621="","",ROW()-6)</f>
        <v/>
      </c>
      <c r="B1621" s="114" t="n"/>
      <c r="C1621" s="102" t="n"/>
      <c r="D1621" s="114" t="n"/>
      <c r="E1621" s="103" t="n"/>
      <c r="F1621" s="102" t="n"/>
      <c r="G1621" s="102" t="n"/>
      <c r="H1621" s="115" t="n"/>
      <c r="I1621" s="102" t="n"/>
      <c r="J1621" s="102" t="n"/>
      <c r="K1621" s="103" t="n"/>
      <c r="L1621" s="116">
        <f>IF($H1621="","",TRIM(IF(COUNTIF(DMTK!$A$7:$A$250,$F1621)=0,"TK Nợ sai! ","")&amp;IF(COUNTIF(DMTK!$A$7:$A$250,$G1621)=0,"TK Có sai! ","")&amp;IF(N($H1621)&lt;=0,"Tiền phải &gt; 0! ","")&amp;IF($B1621="","Thiếu ngày! ","")&amp;IF(AND(OR(LEFT($F1621,3)="131",LEFT($G1621,3)="131",LEFT($F1621,3)="331",LEFT($G1621,3)="331"),$I1621=""),"Thiếu Mã ĐT! ","")&amp;IF(AND($I1621&lt;&gt;"",COUNTIF(DM_DT!$A$7:$A$306,$I1621)=0),"Mã ĐT chưa khai báo! ","")))</f>
        <v/>
      </c>
      <c r="M1621" s="117">
        <f>IF($H1621="","",IF(AND(OR(LEFT($F1621,3)="111",LEFT($F1621,3)="112",LEFT($F1621,3)="113"),OR(LEFT($G1621,3)="111",LEFT($G1621,3)="112",LEFT($G1621,3)="113")),"NB",IF(OR(LEFT($F1621,3)="111",LEFT($F1621,3)="112",LEFT($F1621,3)="113"),"THU",IF(OR(LEFT($G1621,3)="111",LEFT($G1621,3)="112",LEFT($G1621,3)="113"),"CHI",""))))</f>
        <v/>
      </c>
      <c r="N1621" s="117">
        <f>IF($M1621="THU",$G1621,IF($M1621="CHI",$F1621,""))</f>
        <v/>
      </c>
      <c r="O1621" s="117">
        <f>IF(OR($M1621="",$M1621="NB"),"",IF($J1621&lt;&gt;"",TEXT($J1621,"00"),IFERROR(VLOOKUP(LEFT($N1621,4),LCTT_MAP!$A$7:$C$66,IF($M1621="THU",2,3),FALSE()),IFERROR(VLOOKUP(LEFT($N1621,3),LCTT_MAP!$A$7:$C$66,IF($M1621="THU",2,3),FALSE()),IFERROR(VLOOKUP(LEFT($N1621,2),LCTT_MAP!$A$7:$C$66,IF($M1621="THU",2,3),FALSE()),IFERROR(VLOOKUP(LEFT($N1621,1),LCTT_MAP!$A$7:$C$66,IF($M1621="THU",2,3),FALSE()),IF($M1621="THU","06","07")))))))</f>
        <v/>
      </c>
      <c r="P1621" s="117">
        <f>P1620+IF(AND($H1621&lt;&gt;"",OR(LEFT($F1621,LEN(SC_TK))=SC_TK,LEFT($G1621,LEN(SC_TK))=SC_TK)),1,0)</f>
        <v/>
      </c>
    </row>
    <row r="1622" ht="15" customHeight="1" s="78">
      <c r="A1622" s="95">
        <f>IF($H1622="","",ROW()-6)</f>
        <v/>
      </c>
      <c r="B1622" s="114" t="n"/>
      <c r="C1622" s="102" t="n"/>
      <c r="D1622" s="114" t="n"/>
      <c r="E1622" s="103" t="n"/>
      <c r="F1622" s="102" t="n"/>
      <c r="G1622" s="102" t="n"/>
      <c r="H1622" s="115" t="n"/>
      <c r="I1622" s="102" t="n"/>
      <c r="J1622" s="102" t="n"/>
      <c r="K1622" s="103" t="n"/>
      <c r="L1622" s="116">
        <f>IF($H1622="","",TRIM(IF(COUNTIF(DMTK!$A$7:$A$250,$F1622)=0,"TK Nợ sai! ","")&amp;IF(COUNTIF(DMTK!$A$7:$A$250,$G1622)=0,"TK Có sai! ","")&amp;IF(N($H1622)&lt;=0,"Tiền phải &gt; 0! ","")&amp;IF($B1622="","Thiếu ngày! ","")&amp;IF(AND(OR(LEFT($F1622,3)="131",LEFT($G1622,3)="131",LEFT($F1622,3)="331",LEFT($G1622,3)="331"),$I1622=""),"Thiếu Mã ĐT! ","")&amp;IF(AND($I1622&lt;&gt;"",COUNTIF(DM_DT!$A$7:$A$306,$I1622)=0),"Mã ĐT chưa khai báo! ","")))</f>
        <v/>
      </c>
      <c r="M1622" s="117">
        <f>IF($H1622="","",IF(AND(OR(LEFT($F1622,3)="111",LEFT($F1622,3)="112",LEFT($F1622,3)="113"),OR(LEFT($G1622,3)="111",LEFT($G1622,3)="112",LEFT($G1622,3)="113")),"NB",IF(OR(LEFT($F1622,3)="111",LEFT($F1622,3)="112",LEFT($F1622,3)="113"),"THU",IF(OR(LEFT($G1622,3)="111",LEFT($G1622,3)="112",LEFT($G1622,3)="113"),"CHI",""))))</f>
        <v/>
      </c>
      <c r="N1622" s="117">
        <f>IF($M1622="THU",$G1622,IF($M1622="CHI",$F1622,""))</f>
        <v/>
      </c>
      <c r="O1622" s="117">
        <f>IF(OR($M1622="",$M1622="NB"),"",IF($J1622&lt;&gt;"",TEXT($J1622,"00"),IFERROR(VLOOKUP(LEFT($N1622,4),LCTT_MAP!$A$7:$C$66,IF($M1622="THU",2,3),FALSE()),IFERROR(VLOOKUP(LEFT($N1622,3),LCTT_MAP!$A$7:$C$66,IF($M1622="THU",2,3),FALSE()),IFERROR(VLOOKUP(LEFT($N1622,2),LCTT_MAP!$A$7:$C$66,IF($M1622="THU",2,3),FALSE()),IFERROR(VLOOKUP(LEFT($N1622,1),LCTT_MAP!$A$7:$C$66,IF($M1622="THU",2,3),FALSE()),IF($M1622="THU","06","07")))))))</f>
        <v/>
      </c>
      <c r="P1622" s="117">
        <f>P1621+IF(AND($H1622&lt;&gt;"",OR(LEFT($F1622,LEN(SC_TK))=SC_TK,LEFT($G1622,LEN(SC_TK))=SC_TK)),1,0)</f>
        <v/>
      </c>
    </row>
    <row r="1623" ht="15" customHeight="1" s="78">
      <c r="A1623" s="95">
        <f>IF($H1623="","",ROW()-6)</f>
        <v/>
      </c>
      <c r="B1623" s="114" t="n"/>
      <c r="C1623" s="102" t="n"/>
      <c r="D1623" s="114" t="n"/>
      <c r="E1623" s="103" t="n"/>
      <c r="F1623" s="102" t="n"/>
      <c r="G1623" s="102" t="n"/>
      <c r="H1623" s="115" t="n"/>
      <c r="I1623" s="102" t="n"/>
      <c r="J1623" s="102" t="n"/>
      <c r="K1623" s="103" t="n"/>
      <c r="L1623" s="116">
        <f>IF($H1623="","",TRIM(IF(COUNTIF(DMTK!$A$7:$A$250,$F1623)=0,"TK Nợ sai! ","")&amp;IF(COUNTIF(DMTK!$A$7:$A$250,$G1623)=0,"TK Có sai! ","")&amp;IF(N($H1623)&lt;=0,"Tiền phải &gt; 0! ","")&amp;IF($B1623="","Thiếu ngày! ","")&amp;IF(AND(OR(LEFT($F1623,3)="131",LEFT($G1623,3)="131",LEFT($F1623,3)="331",LEFT($G1623,3)="331"),$I1623=""),"Thiếu Mã ĐT! ","")&amp;IF(AND($I1623&lt;&gt;"",COUNTIF(DM_DT!$A$7:$A$306,$I1623)=0),"Mã ĐT chưa khai báo! ","")))</f>
        <v/>
      </c>
      <c r="M1623" s="117">
        <f>IF($H1623="","",IF(AND(OR(LEFT($F1623,3)="111",LEFT($F1623,3)="112",LEFT($F1623,3)="113"),OR(LEFT($G1623,3)="111",LEFT($G1623,3)="112",LEFT($G1623,3)="113")),"NB",IF(OR(LEFT($F1623,3)="111",LEFT($F1623,3)="112",LEFT($F1623,3)="113"),"THU",IF(OR(LEFT($G1623,3)="111",LEFT($G1623,3)="112",LEFT($G1623,3)="113"),"CHI",""))))</f>
        <v/>
      </c>
      <c r="N1623" s="117">
        <f>IF($M1623="THU",$G1623,IF($M1623="CHI",$F1623,""))</f>
        <v/>
      </c>
      <c r="O1623" s="117">
        <f>IF(OR($M1623="",$M1623="NB"),"",IF($J1623&lt;&gt;"",TEXT($J1623,"00"),IFERROR(VLOOKUP(LEFT($N1623,4),LCTT_MAP!$A$7:$C$66,IF($M1623="THU",2,3),FALSE()),IFERROR(VLOOKUP(LEFT($N1623,3),LCTT_MAP!$A$7:$C$66,IF($M1623="THU",2,3),FALSE()),IFERROR(VLOOKUP(LEFT($N1623,2),LCTT_MAP!$A$7:$C$66,IF($M1623="THU",2,3),FALSE()),IFERROR(VLOOKUP(LEFT($N1623,1),LCTT_MAP!$A$7:$C$66,IF($M1623="THU",2,3),FALSE()),IF($M1623="THU","06","07")))))))</f>
        <v/>
      </c>
      <c r="P1623" s="117">
        <f>P1622+IF(AND($H1623&lt;&gt;"",OR(LEFT($F1623,LEN(SC_TK))=SC_TK,LEFT($G1623,LEN(SC_TK))=SC_TK)),1,0)</f>
        <v/>
      </c>
    </row>
    <row r="1624" ht="15" customHeight="1" s="78">
      <c r="A1624" s="95">
        <f>IF($H1624="","",ROW()-6)</f>
        <v/>
      </c>
      <c r="B1624" s="114" t="n"/>
      <c r="C1624" s="102" t="n"/>
      <c r="D1624" s="114" t="n"/>
      <c r="E1624" s="103" t="n"/>
      <c r="F1624" s="102" t="n"/>
      <c r="G1624" s="102" t="n"/>
      <c r="H1624" s="115" t="n"/>
      <c r="I1624" s="102" t="n"/>
      <c r="J1624" s="102" t="n"/>
      <c r="K1624" s="103" t="n"/>
      <c r="L1624" s="116">
        <f>IF($H1624="","",TRIM(IF(COUNTIF(DMTK!$A$7:$A$250,$F1624)=0,"TK Nợ sai! ","")&amp;IF(COUNTIF(DMTK!$A$7:$A$250,$G1624)=0,"TK Có sai! ","")&amp;IF(N($H1624)&lt;=0,"Tiền phải &gt; 0! ","")&amp;IF($B1624="","Thiếu ngày! ","")&amp;IF(AND(OR(LEFT($F1624,3)="131",LEFT($G1624,3)="131",LEFT($F1624,3)="331",LEFT($G1624,3)="331"),$I1624=""),"Thiếu Mã ĐT! ","")&amp;IF(AND($I1624&lt;&gt;"",COUNTIF(DM_DT!$A$7:$A$306,$I1624)=0),"Mã ĐT chưa khai báo! ","")))</f>
        <v/>
      </c>
      <c r="M1624" s="117">
        <f>IF($H1624="","",IF(AND(OR(LEFT($F1624,3)="111",LEFT($F1624,3)="112",LEFT($F1624,3)="113"),OR(LEFT($G1624,3)="111",LEFT($G1624,3)="112",LEFT($G1624,3)="113")),"NB",IF(OR(LEFT($F1624,3)="111",LEFT($F1624,3)="112",LEFT($F1624,3)="113"),"THU",IF(OR(LEFT($G1624,3)="111",LEFT($G1624,3)="112",LEFT($G1624,3)="113"),"CHI",""))))</f>
        <v/>
      </c>
      <c r="N1624" s="117">
        <f>IF($M1624="THU",$G1624,IF($M1624="CHI",$F1624,""))</f>
        <v/>
      </c>
      <c r="O1624" s="117">
        <f>IF(OR($M1624="",$M1624="NB"),"",IF($J1624&lt;&gt;"",TEXT($J1624,"00"),IFERROR(VLOOKUP(LEFT($N1624,4),LCTT_MAP!$A$7:$C$66,IF($M1624="THU",2,3),FALSE()),IFERROR(VLOOKUP(LEFT($N1624,3),LCTT_MAP!$A$7:$C$66,IF($M1624="THU",2,3),FALSE()),IFERROR(VLOOKUP(LEFT($N1624,2),LCTT_MAP!$A$7:$C$66,IF($M1624="THU",2,3),FALSE()),IFERROR(VLOOKUP(LEFT($N1624,1),LCTT_MAP!$A$7:$C$66,IF($M1624="THU",2,3),FALSE()),IF($M1624="THU","06","07")))))))</f>
        <v/>
      </c>
      <c r="P1624" s="117">
        <f>P1623+IF(AND($H1624&lt;&gt;"",OR(LEFT($F1624,LEN(SC_TK))=SC_TK,LEFT($G1624,LEN(SC_TK))=SC_TK)),1,0)</f>
        <v/>
      </c>
    </row>
    <row r="1625" ht="15" customHeight="1" s="78">
      <c r="A1625" s="95">
        <f>IF($H1625="","",ROW()-6)</f>
        <v/>
      </c>
      <c r="B1625" s="114" t="n"/>
      <c r="C1625" s="102" t="n"/>
      <c r="D1625" s="114" t="n"/>
      <c r="E1625" s="103" t="n"/>
      <c r="F1625" s="102" t="n"/>
      <c r="G1625" s="102" t="n"/>
      <c r="H1625" s="115" t="n"/>
      <c r="I1625" s="102" t="n"/>
      <c r="J1625" s="102" t="n"/>
      <c r="K1625" s="103" t="n"/>
      <c r="L1625" s="116">
        <f>IF($H1625="","",TRIM(IF(COUNTIF(DMTK!$A$7:$A$250,$F1625)=0,"TK Nợ sai! ","")&amp;IF(COUNTIF(DMTK!$A$7:$A$250,$G1625)=0,"TK Có sai! ","")&amp;IF(N($H1625)&lt;=0,"Tiền phải &gt; 0! ","")&amp;IF($B1625="","Thiếu ngày! ","")&amp;IF(AND(OR(LEFT($F1625,3)="131",LEFT($G1625,3)="131",LEFT($F1625,3)="331",LEFT($G1625,3)="331"),$I1625=""),"Thiếu Mã ĐT! ","")&amp;IF(AND($I1625&lt;&gt;"",COUNTIF(DM_DT!$A$7:$A$306,$I1625)=0),"Mã ĐT chưa khai báo! ","")))</f>
        <v/>
      </c>
      <c r="M1625" s="117">
        <f>IF($H1625="","",IF(AND(OR(LEFT($F1625,3)="111",LEFT($F1625,3)="112",LEFT($F1625,3)="113"),OR(LEFT($G1625,3)="111",LEFT($G1625,3)="112",LEFT($G1625,3)="113")),"NB",IF(OR(LEFT($F1625,3)="111",LEFT($F1625,3)="112",LEFT($F1625,3)="113"),"THU",IF(OR(LEFT($G1625,3)="111",LEFT($G1625,3)="112",LEFT($G1625,3)="113"),"CHI",""))))</f>
        <v/>
      </c>
      <c r="N1625" s="117">
        <f>IF($M1625="THU",$G1625,IF($M1625="CHI",$F1625,""))</f>
        <v/>
      </c>
      <c r="O1625" s="117">
        <f>IF(OR($M1625="",$M1625="NB"),"",IF($J1625&lt;&gt;"",TEXT($J1625,"00"),IFERROR(VLOOKUP(LEFT($N1625,4),LCTT_MAP!$A$7:$C$66,IF($M1625="THU",2,3),FALSE()),IFERROR(VLOOKUP(LEFT($N1625,3),LCTT_MAP!$A$7:$C$66,IF($M1625="THU",2,3),FALSE()),IFERROR(VLOOKUP(LEFT($N1625,2),LCTT_MAP!$A$7:$C$66,IF($M1625="THU",2,3),FALSE()),IFERROR(VLOOKUP(LEFT($N1625,1),LCTT_MAP!$A$7:$C$66,IF($M1625="THU",2,3),FALSE()),IF($M1625="THU","06","07")))))))</f>
        <v/>
      </c>
      <c r="P1625" s="117">
        <f>P1624+IF(AND($H1625&lt;&gt;"",OR(LEFT($F1625,LEN(SC_TK))=SC_TK,LEFT($G1625,LEN(SC_TK))=SC_TK)),1,0)</f>
        <v/>
      </c>
    </row>
    <row r="1626" ht="15" customHeight="1" s="78">
      <c r="A1626" s="95">
        <f>IF($H1626="","",ROW()-6)</f>
        <v/>
      </c>
      <c r="B1626" s="114" t="n"/>
      <c r="C1626" s="102" t="n"/>
      <c r="D1626" s="114" t="n"/>
      <c r="E1626" s="103" t="n"/>
      <c r="F1626" s="102" t="n"/>
      <c r="G1626" s="102" t="n"/>
      <c r="H1626" s="115" t="n"/>
      <c r="I1626" s="102" t="n"/>
      <c r="J1626" s="102" t="n"/>
      <c r="K1626" s="103" t="n"/>
      <c r="L1626" s="116">
        <f>IF($H1626="","",TRIM(IF(COUNTIF(DMTK!$A$7:$A$250,$F1626)=0,"TK Nợ sai! ","")&amp;IF(COUNTIF(DMTK!$A$7:$A$250,$G1626)=0,"TK Có sai! ","")&amp;IF(N($H1626)&lt;=0,"Tiền phải &gt; 0! ","")&amp;IF($B1626="","Thiếu ngày! ","")&amp;IF(AND(OR(LEFT($F1626,3)="131",LEFT($G1626,3)="131",LEFT($F1626,3)="331",LEFT($G1626,3)="331"),$I1626=""),"Thiếu Mã ĐT! ","")&amp;IF(AND($I1626&lt;&gt;"",COUNTIF(DM_DT!$A$7:$A$306,$I1626)=0),"Mã ĐT chưa khai báo! ","")))</f>
        <v/>
      </c>
      <c r="M1626" s="117">
        <f>IF($H1626="","",IF(AND(OR(LEFT($F1626,3)="111",LEFT($F1626,3)="112",LEFT($F1626,3)="113"),OR(LEFT($G1626,3)="111",LEFT($G1626,3)="112",LEFT($G1626,3)="113")),"NB",IF(OR(LEFT($F1626,3)="111",LEFT($F1626,3)="112",LEFT($F1626,3)="113"),"THU",IF(OR(LEFT($G1626,3)="111",LEFT($G1626,3)="112",LEFT($G1626,3)="113"),"CHI",""))))</f>
        <v/>
      </c>
      <c r="N1626" s="117">
        <f>IF($M1626="THU",$G1626,IF($M1626="CHI",$F1626,""))</f>
        <v/>
      </c>
      <c r="O1626" s="117">
        <f>IF(OR($M1626="",$M1626="NB"),"",IF($J1626&lt;&gt;"",TEXT($J1626,"00"),IFERROR(VLOOKUP(LEFT($N1626,4),LCTT_MAP!$A$7:$C$66,IF($M1626="THU",2,3),FALSE()),IFERROR(VLOOKUP(LEFT($N1626,3),LCTT_MAP!$A$7:$C$66,IF($M1626="THU",2,3),FALSE()),IFERROR(VLOOKUP(LEFT($N1626,2),LCTT_MAP!$A$7:$C$66,IF($M1626="THU",2,3),FALSE()),IFERROR(VLOOKUP(LEFT($N1626,1),LCTT_MAP!$A$7:$C$66,IF($M1626="THU",2,3),FALSE()),IF($M1626="THU","06","07")))))))</f>
        <v/>
      </c>
      <c r="P1626" s="117">
        <f>P1625+IF(AND($H1626&lt;&gt;"",OR(LEFT($F1626,LEN(SC_TK))=SC_TK,LEFT($G1626,LEN(SC_TK))=SC_TK)),1,0)</f>
        <v/>
      </c>
    </row>
    <row r="1627" ht="15" customHeight="1" s="78">
      <c r="A1627" s="95">
        <f>IF($H1627="","",ROW()-6)</f>
        <v/>
      </c>
      <c r="B1627" s="114" t="n"/>
      <c r="C1627" s="102" t="n"/>
      <c r="D1627" s="114" t="n"/>
      <c r="E1627" s="103" t="n"/>
      <c r="F1627" s="102" t="n"/>
      <c r="G1627" s="102" t="n"/>
      <c r="H1627" s="115" t="n"/>
      <c r="I1627" s="102" t="n"/>
      <c r="J1627" s="102" t="n"/>
      <c r="K1627" s="103" t="n"/>
      <c r="L1627" s="116">
        <f>IF($H1627="","",TRIM(IF(COUNTIF(DMTK!$A$7:$A$250,$F1627)=0,"TK Nợ sai! ","")&amp;IF(COUNTIF(DMTK!$A$7:$A$250,$G1627)=0,"TK Có sai! ","")&amp;IF(N($H1627)&lt;=0,"Tiền phải &gt; 0! ","")&amp;IF($B1627="","Thiếu ngày! ","")&amp;IF(AND(OR(LEFT($F1627,3)="131",LEFT($G1627,3)="131",LEFT($F1627,3)="331",LEFT($G1627,3)="331"),$I1627=""),"Thiếu Mã ĐT! ","")&amp;IF(AND($I1627&lt;&gt;"",COUNTIF(DM_DT!$A$7:$A$306,$I1627)=0),"Mã ĐT chưa khai báo! ","")))</f>
        <v/>
      </c>
      <c r="M1627" s="117">
        <f>IF($H1627="","",IF(AND(OR(LEFT($F1627,3)="111",LEFT($F1627,3)="112",LEFT($F1627,3)="113"),OR(LEFT($G1627,3)="111",LEFT($G1627,3)="112",LEFT($G1627,3)="113")),"NB",IF(OR(LEFT($F1627,3)="111",LEFT($F1627,3)="112",LEFT($F1627,3)="113"),"THU",IF(OR(LEFT($G1627,3)="111",LEFT($G1627,3)="112",LEFT($G1627,3)="113"),"CHI",""))))</f>
        <v/>
      </c>
      <c r="N1627" s="117">
        <f>IF($M1627="THU",$G1627,IF($M1627="CHI",$F1627,""))</f>
        <v/>
      </c>
      <c r="O1627" s="117">
        <f>IF(OR($M1627="",$M1627="NB"),"",IF($J1627&lt;&gt;"",TEXT($J1627,"00"),IFERROR(VLOOKUP(LEFT($N1627,4),LCTT_MAP!$A$7:$C$66,IF($M1627="THU",2,3),FALSE()),IFERROR(VLOOKUP(LEFT($N1627,3),LCTT_MAP!$A$7:$C$66,IF($M1627="THU",2,3),FALSE()),IFERROR(VLOOKUP(LEFT($N1627,2),LCTT_MAP!$A$7:$C$66,IF($M1627="THU",2,3),FALSE()),IFERROR(VLOOKUP(LEFT($N1627,1),LCTT_MAP!$A$7:$C$66,IF($M1627="THU",2,3),FALSE()),IF($M1627="THU","06","07")))))))</f>
        <v/>
      </c>
      <c r="P1627" s="117">
        <f>P1626+IF(AND($H1627&lt;&gt;"",OR(LEFT($F1627,LEN(SC_TK))=SC_TK,LEFT($G1627,LEN(SC_TK))=SC_TK)),1,0)</f>
        <v/>
      </c>
    </row>
    <row r="1628" ht="15" customHeight="1" s="78">
      <c r="A1628" s="95">
        <f>IF($H1628="","",ROW()-6)</f>
        <v/>
      </c>
      <c r="B1628" s="114" t="n"/>
      <c r="C1628" s="102" t="n"/>
      <c r="D1628" s="114" t="n"/>
      <c r="E1628" s="103" t="n"/>
      <c r="F1628" s="102" t="n"/>
      <c r="G1628" s="102" t="n"/>
      <c r="H1628" s="115" t="n"/>
      <c r="I1628" s="102" t="n"/>
      <c r="J1628" s="102" t="n"/>
      <c r="K1628" s="103" t="n"/>
      <c r="L1628" s="116">
        <f>IF($H1628="","",TRIM(IF(COUNTIF(DMTK!$A$7:$A$250,$F1628)=0,"TK Nợ sai! ","")&amp;IF(COUNTIF(DMTK!$A$7:$A$250,$G1628)=0,"TK Có sai! ","")&amp;IF(N($H1628)&lt;=0,"Tiền phải &gt; 0! ","")&amp;IF($B1628="","Thiếu ngày! ","")&amp;IF(AND(OR(LEFT($F1628,3)="131",LEFT($G1628,3)="131",LEFT($F1628,3)="331",LEFT($G1628,3)="331"),$I1628=""),"Thiếu Mã ĐT! ","")&amp;IF(AND($I1628&lt;&gt;"",COUNTIF(DM_DT!$A$7:$A$306,$I1628)=0),"Mã ĐT chưa khai báo! ","")))</f>
        <v/>
      </c>
      <c r="M1628" s="117">
        <f>IF($H1628="","",IF(AND(OR(LEFT($F1628,3)="111",LEFT($F1628,3)="112",LEFT($F1628,3)="113"),OR(LEFT($G1628,3)="111",LEFT($G1628,3)="112",LEFT($G1628,3)="113")),"NB",IF(OR(LEFT($F1628,3)="111",LEFT($F1628,3)="112",LEFT($F1628,3)="113"),"THU",IF(OR(LEFT($G1628,3)="111",LEFT($G1628,3)="112",LEFT($G1628,3)="113"),"CHI",""))))</f>
        <v/>
      </c>
      <c r="N1628" s="117">
        <f>IF($M1628="THU",$G1628,IF($M1628="CHI",$F1628,""))</f>
        <v/>
      </c>
      <c r="O1628" s="117">
        <f>IF(OR($M1628="",$M1628="NB"),"",IF($J1628&lt;&gt;"",TEXT($J1628,"00"),IFERROR(VLOOKUP(LEFT($N1628,4),LCTT_MAP!$A$7:$C$66,IF($M1628="THU",2,3),FALSE()),IFERROR(VLOOKUP(LEFT($N1628,3),LCTT_MAP!$A$7:$C$66,IF($M1628="THU",2,3),FALSE()),IFERROR(VLOOKUP(LEFT($N1628,2),LCTT_MAP!$A$7:$C$66,IF($M1628="THU",2,3),FALSE()),IFERROR(VLOOKUP(LEFT($N1628,1),LCTT_MAP!$A$7:$C$66,IF($M1628="THU",2,3),FALSE()),IF($M1628="THU","06","07")))))))</f>
        <v/>
      </c>
      <c r="P1628" s="117">
        <f>P1627+IF(AND($H1628&lt;&gt;"",OR(LEFT($F1628,LEN(SC_TK))=SC_TK,LEFT($G1628,LEN(SC_TK))=SC_TK)),1,0)</f>
        <v/>
      </c>
    </row>
    <row r="1629" ht="15" customHeight="1" s="78">
      <c r="A1629" s="95">
        <f>IF($H1629="","",ROW()-6)</f>
        <v/>
      </c>
      <c r="B1629" s="114" t="n"/>
      <c r="C1629" s="102" t="n"/>
      <c r="D1629" s="114" t="n"/>
      <c r="E1629" s="103" t="n"/>
      <c r="F1629" s="102" t="n"/>
      <c r="G1629" s="102" t="n"/>
      <c r="H1629" s="115" t="n"/>
      <c r="I1629" s="102" t="n"/>
      <c r="J1629" s="102" t="n"/>
      <c r="K1629" s="103" t="n"/>
      <c r="L1629" s="116">
        <f>IF($H1629="","",TRIM(IF(COUNTIF(DMTK!$A$7:$A$250,$F1629)=0,"TK Nợ sai! ","")&amp;IF(COUNTIF(DMTK!$A$7:$A$250,$G1629)=0,"TK Có sai! ","")&amp;IF(N($H1629)&lt;=0,"Tiền phải &gt; 0! ","")&amp;IF($B1629="","Thiếu ngày! ","")&amp;IF(AND(OR(LEFT($F1629,3)="131",LEFT($G1629,3)="131",LEFT($F1629,3)="331",LEFT($G1629,3)="331"),$I1629=""),"Thiếu Mã ĐT! ","")&amp;IF(AND($I1629&lt;&gt;"",COUNTIF(DM_DT!$A$7:$A$306,$I1629)=0),"Mã ĐT chưa khai báo! ","")))</f>
        <v/>
      </c>
      <c r="M1629" s="117">
        <f>IF($H1629="","",IF(AND(OR(LEFT($F1629,3)="111",LEFT($F1629,3)="112",LEFT($F1629,3)="113"),OR(LEFT($G1629,3)="111",LEFT($G1629,3)="112",LEFT($G1629,3)="113")),"NB",IF(OR(LEFT($F1629,3)="111",LEFT($F1629,3)="112",LEFT($F1629,3)="113"),"THU",IF(OR(LEFT($G1629,3)="111",LEFT($G1629,3)="112",LEFT($G1629,3)="113"),"CHI",""))))</f>
        <v/>
      </c>
      <c r="N1629" s="117">
        <f>IF($M1629="THU",$G1629,IF($M1629="CHI",$F1629,""))</f>
        <v/>
      </c>
      <c r="O1629" s="117">
        <f>IF(OR($M1629="",$M1629="NB"),"",IF($J1629&lt;&gt;"",TEXT($J1629,"00"),IFERROR(VLOOKUP(LEFT($N1629,4),LCTT_MAP!$A$7:$C$66,IF($M1629="THU",2,3),FALSE()),IFERROR(VLOOKUP(LEFT($N1629,3),LCTT_MAP!$A$7:$C$66,IF($M1629="THU",2,3),FALSE()),IFERROR(VLOOKUP(LEFT($N1629,2),LCTT_MAP!$A$7:$C$66,IF($M1629="THU",2,3),FALSE()),IFERROR(VLOOKUP(LEFT($N1629,1),LCTT_MAP!$A$7:$C$66,IF($M1629="THU",2,3),FALSE()),IF($M1629="THU","06","07")))))))</f>
        <v/>
      </c>
      <c r="P1629" s="117">
        <f>P1628+IF(AND($H1629&lt;&gt;"",OR(LEFT($F1629,LEN(SC_TK))=SC_TK,LEFT($G1629,LEN(SC_TK))=SC_TK)),1,0)</f>
        <v/>
      </c>
    </row>
    <row r="1630" ht="15" customHeight="1" s="78">
      <c r="A1630" s="95">
        <f>IF($H1630="","",ROW()-6)</f>
        <v/>
      </c>
      <c r="B1630" s="114" t="n"/>
      <c r="C1630" s="102" t="n"/>
      <c r="D1630" s="114" t="n"/>
      <c r="E1630" s="103" t="n"/>
      <c r="F1630" s="102" t="n"/>
      <c r="G1630" s="102" t="n"/>
      <c r="H1630" s="115" t="n"/>
      <c r="I1630" s="102" t="n"/>
      <c r="J1630" s="102" t="n"/>
      <c r="K1630" s="103" t="n"/>
      <c r="L1630" s="116">
        <f>IF($H1630="","",TRIM(IF(COUNTIF(DMTK!$A$7:$A$250,$F1630)=0,"TK Nợ sai! ","")&amp;IF(COUNTIF(DMTK!$A$7:$A$250,$G1630)=0,"TK Có sai! ","")&amp;IF(N($H1630)&lt;=0,"Tiền phải &gt; 0! ","")&amp;IF($B1630="","Thiếu ngày! ","")&amp;IF(AND(OR(LEFT($F1630,3)="131",LEFT($G1630,3)="131",LEFT($F1630,3)="331",LEFT($G1630,3)="331"),$I1630=""),"Thiếu Mã ĐT! ","")&amp;IF(AND($I1630&lt;&gt;"",COUNTIF(DM_DT!$A$7:$A$306,$I1630)=0),"Mã ĐT chưa khai báo! ","")))</f>
        <v/>
      </c>
      <c r="M1630" s="117">
        <f>IF($H1630="","",IF(AND(OR(LEFT($F1630,3)="111",LEFT($F1630,3)="112",LEFT($F1630,3)="113"),OR(LEFT($G1630,3)="111",LEFT($G1630,3)="112",LEFT($G1630,3)="113")),"NB",IF(OR(LEFT($F1630,3)="111",LEFT($F1630,3)="112",LEFT($F1630,3)="113"),"THU",IF(OR(LEFT($G1630,3)="111",LEFT($G1630,3)="112",LEFT($G1630,3)="113"),"CHI",""))))</f>
        <v/>
      </c>
      <c r="N1630" s="117">
        <f>IF($M1630="THU",$G1630,IF($M1630="CHI",$F1630,""))</f>
        <v/>
      </c>
      <c r="O1630" s="117">
        <f>IF(OR($M1630="",$M1630="NB"),"",IF($J1630&lt;&gt;"",TEXT($J1630,"00"),IFERROR(VLOOKUP(LEFT($N1630,4),LCTT_MAP!$A$7:$C$66,IF($M1630="THU",2,3),FALSE()),IFERROR(VLOOKUP(LEFT($N1630,3),LCTT_MAP!$A$7:$C$66,IF($M1630="THU",2,3),FALSE()),IFERROR(VLOOKUP(LEFT($N1630,2),LCTT_MAP!$A$7:$C$66,IF($M1630="THU",2,3),FALSE()),IFERROR(VLOOKUP(LEFT($N1630,1),LCTT_MAP!$A$7:$C$66,IF($M1630="THU",2,3),FALSE()),IF($M1630="THU","06","07")))))))</f>
        <v/>
      </c>
      <c r="P1630" s="117">
        <f>P1629+IF(AND($H1630&lt;&gt;"",OR(LEFT($F1630,LEN(SC_TK))=SC_TK,LEFT($G1630,LEN(SC_TK))=SC_TK)),1,0)</f>
        <v/>
      </c>
    </row>
    <row r="1631" ht="15" customHeight="1" s="78">
      <c r="A1631" s="95">
        <f>IF($H1631="","",ROW()-6)</f>
        <v/>
      </c>
      <c r="B1631" s="114" t="n"/>
      <c r="C1631" s="102" t="n"/>
      <c r="D1631" s="114" t="n"/>
      <c r="E1631" s="103" t="n"/>
      <c r="F1631" s="102" t="n"/>
      <c r="G1631" s="102" t="n"/>
      <c r="H1631" s="115" t="n"/>
      <c r="I1631" s="102" t="n"/>
      <c r="J1631" s="102" t="n"/>
      <c r="K1631" s="103" t="n"/>
      <c r="L1631" s="116">
        <f>IF($H1631="","",TRIM(IF(COUNTIF(DMTK!$A$7:$A$250,$F1631)=0,"TK Nợ sai! ","")&amp;IF(COUNTIF(DMTK!$A$7:$A$250,$G1631)=0,"TK Có sai! ","")&amp;IF(N($H1631)&lt;=0,"Tiền phải &gt; 0! ","")&amp;IF($B1631="","Thiếu ngày! ","")&amp;IF(AND(OR(LEFT($F1631,3)="131",LEFT($G1631,3)="131",LEFT($F1631,3)="331",LEFT($G1631,3)="331"),$I1631=""),"Thiếu Mã ĐT! ","")&amp;IF(AND($I1631&lt;&gt;"",COUNTIF(DM_DT!$A$7:$A$306,$I1631)=0),"Mã ĐT chưa khai báo! ","")))</f>
        <v/>
      </c>
      <c r="M1631" s="117">
        <f>IF($H1631="","",IF(AND(OR(LEFT($F1631,3)="111",LEFT($F1631,3)="112",LEFT($F1631,3)="113"),OR(LEFT($G1631,3)="111",LEFT($G1631,3)="112",LEFT($G1631,3)="113")),"NB",IF(OR(LEFT($F1631,3)="111",LEFT($F1631,3)="112",LEFT($F1631,3)="113"),"THU",IF(OR(LEFT($G1631,3)="111",LEFT($G1631,3)="112",LEFT($G1631,3)="113"),"CHI",""))))</f>
        <v/>
      </c>
      <c r="N1631" s="117">
        <f>IF($M1631="THU",$G1631,IF($M1631="CHI",$F1631,""))</f>
        <v/>
      </c>
      <c r="O1631" s="117">
        <f>IF(OR($M1631="",$M1631="NB"),"",IF($J1631&lt;&gt;"",TEXT($J1631,"00"),IFERROR(VLOOKUP(LEFT($N1631,4),LCTT_MAP!$A$7:$C$66,IF($M1631="THU",2,3),FALSE()),IFERROR(VLOOKUP(LEFT($N1631,3),LCTT_MAP!$A$7:$C$66,IF($M1631="THU",2,3),FALSE()),IFERROR(VLOOKUP(LEFT($N1631,2),LCTT_MAP!$A$7:$C$66,IF($M1631="THU",2,3),FALSE()),IFERROR(VLOOKUP(LEFT($N1631,1),LCTT_MAP!$A$7:$C$66,IF($M1631="THU",2,3),FALSE()),IF($M1631="THU","06","07")))))))</f>
        <v/>
      </c>
      <c r="P1631" s="117">
        <f>P1630+IF(AND($H1631&lt;&gt;"",OR(LEFT($F1631,LEN(SC_TK))=SC_TK,LEFT($G1631,LEN(SC_TK))=SC_TK)),1,0)</f>
        <v/>
      </c>
    </row>
    <row r="1632" ht="15" customHeight="1" s="78">
      <c r="A1632" s="95">
        <f>IF($H1632="","",ROW()-6)</f>
        <v/>
      </c>
      <c r="B1632" s="114" t="n"/>
      <c r="C1632" s="102" t="n"/>
      <c r="D1632" s="114" t="n"/>
      <c r="E1632" s="103" t="n"/>
      <c r="F1632" s="102" t="n"/>
      <c r="G1632" s="102" t="n"/>
      <c r="H1632" s="115" t="n"/>
      <c r="I1632" s="102" t="n"/>
      <c r="J1632" s="102" t="n"/>
      <c r="K1632" s="103" t="n"/>
      <c r="L1632" s="116">
        <f>IF($H1632="","",TRIM(IF(COUNTIF(DMTK!$A$7:$A$250,$F1632)=0,"TK Nợ sai! ","")&amp;IF(COUNTIF(DMTK!$A$7:$A$250,$G1632)=0,"TK Có sai! ","")&amp;IF(N($H1632)&lt;=0,"Tiền phải &gt; 0! ","")&amp;IF($B1632="","Thiếu ngày! ","")&amp;IF(AND(OR(LEFT($F1632,3)="131",LEFT($G1632,3)="131",LEFT($F1632,3)="331",LEFT($G1632,3)="331"),$I1632=""),"Thiếu Mã ĐT! ","")&amp;IF(AND($I1632&lt;&gt;"",COUNTIF(DM_DT!$A$7:$A$306,$I1632)=0),"Mã ĐT chưa khai báo! ","")))</f>
        <v/>
      </c>
      <c r="M1632" s="117">
        <f>IF($H1632="","",IF(AND(OR(LEFT($F1632,3)="111",LEFT($F1632,3)="112",LEFT($F1632,3)="113"),OR(LEFT($G1632,3)="111",LEFT($G1632,3)="112",LEFT($G1632,3)="113")),"NB",IF(OR(LEFT($F1632,3)="111",LEFT($F1632,3)="112",LEFT($F1632,3)="113"),"THU",IF(OR(LEFT($G1632,3)="111",LEFT($G1632,3)="112",LEFT($G1632,3)="113"),"CHI",""))))</f>
        <v/>
      </c>
      <c r="N1632" s="117">
        <f>IF($M1632="THU",$G1632,IF($M1632="CHI",$F1632,""))</f>
        <v/>
      </c>
      <c r="O1632" s="117">
        <f>IF(OR($M1632="",$M1632="NB"),"",IF($J1632&lt;&gt;"",TEXT($J1632,"00"),IFERROR(VLOOKUP(LEFT($N1632,4),LCTT_MAP!$A$7:$C$66,IF($M1632="THU",2,3),FALSE()),IFERROR(VLOOKUP(LEFT($N1632,3),LCTT_MAP!$A$7:$C$66,IF($M1632="THU",2,3),FALSE()),IFERROR(VLOOKUP(LEFT($N1632,2),LCTT_MAP!$A$7:$C$66,IF($M1632="THU",2,3),FALSE()),IFERROR(VLOOKUP(LEFT($N1632,1),LCTT_MAP!$A$7:$C$66,IF($M1632="THU",2,3),FALSE()),IF($M1632="THU","06","07")))))))</f>
        <v/>
      </c>
      <c r="P1632" s="117">
        <f>P1631+IF(AND($H1632&lt;&gt;"",OR(LEFT($F1632,LEN(SC_TK))=SC_TK,LEFT($G1632,LEN(SC_TK))=SC_TK)),1,0)</f>
        <v/>
      </c>
    </row>
    <row r="1633" ht="15" customHeight="1" s="78">
      <c r="A1633" s="95">
        <f>IF($H1633="","",ROW()-6)</f>
        <v/>
      </c>
      <c r="B1633" s="114" t="n"/>
      <c r="C1633" s="102" t="n"/>
      <c r="D1633" s="114" t="n"/>
      <c r="E1633" s="103" t="n"/>
      <c r="F1633" s="102" t="n"/>
      <c r="G1633" s="102" t="n"/>
      <c r="H1633" s="115" t="n"/>
      <c r="I1633" s="102" t="n"/>
      <c r="J1633" s="102" t="n"/>
      <c r="K1633" s="103" t="n"/>
      <c r="L1633" s="116">
        <f>IF($H1633="","",TRIM(IF(COUNTIF(DMTK!$A$7:$A$250,$F1633)=0,"TK Nợ sai! ","")&amp;IF(COUNTIF(DMTK!$A$7:$A$250,$G1633)=0,"TK Có sai! ","")&amp;IF(N($H1633)&lt;=0,"Tiền phải &gt; 0! ","")&amp;IF($B1633="","Thiếu ngày! ","")&amp;IF(AND(OR(LEFT($F1633,3)="131",LEFT($G1633,3)="131",LEFT($F1633,3)="331",LEFT($G1633,3)="331"),$I1633=""),"Thiếu Mã ĐT! ","")&amp;IF(AND($I1633&lt;&gt;"",COUNTIF(DM_DT!$A$7:$A$306,$I1633)=0),"Mã ĐT chưa khai báo! ","")))</f>
        <v/>
      </c>
      <c r="M1633" s="117">
        <f>IF($H1633="","",IF(AND(OR(LEFT($F1633,3)="111",LEFT($F1633,3)="112",LEFT($F1633,3)="113"),OR(LEFT($G1633,3)="111",LEFT($G1633,3)="112",LEFT($G1633,3)="113")),"NB",IF(OR(LEFT($F1633,3)="111",LEFT($F1633,3)="112",LEFT($F1633,3)="113"),"THU",IF(OR(LEFT($G1633,3)="111",LEFT($G1633,3)="112",LEFT($G1633,3)="113"),"CHI",""))))</f>
        <v/>
      </c>
      <c r="N1633" s="117">
        <f>IF($M1633="THU",$G1633,IF($M1633="CHI",$F1633,""))</f>
        <v/>
      </c>
      <c r="O1633" s="117">
        <f>IF(OR($M1633="",$M1633="NB"),"",IF($J1633&lt;&gt;"",TEXT($J1633,"00"),IFERROR(VLOOKUP(LEFT($N1633,4),LCTT_MAP!$A$7:$C$66,IF($M1633="THU",2,3),FALSE()),IFERROR(VLOOKUP(LEFT($N1633,3),LCTT_MAP!$A$7:$C$66,IF($M1633="THU",2,3),FALSE()),IFERROR(VLOOKUP(LEFT($N1633,2),LCTT_MAP!$A$7:$C$66,IF($M1633="THU",2,3),FALSE()),IFERROR(VLOOKUP(LEFT($N1633,1),LCTT_MAP!$A$7:$C$66,IF($M1633="THU",2,3),FALSE()),IF($M1633="THU","06","07")))))))</f>
        <v/>
      </c>
      <c r="P1633" s="117">
        <f>P1632+IF(AND($H1633&lt;&gt;"",OR(LEFT($F1633,LEN(SC_TK))=SC_TK,LEFT($G1633,LEN(SC_TK))=SC_TK)),1,0)</f>
        <v/>
      </c>
    </row>
    <row r="1634" ht="15" customHeight="1" s="78">
      <c r="A1634" s="95">
        <f>IF($H1634="","",ROW()-6)</f>
        <v/>
      </c>
      <c r="B1634" s="114" t="n"/>
      <c r="C1634" s="102" t="n"/>
      <c r="D1634" s="114" t="n"/>
      <c r="E1634" s="103" t="n"/>
      <c r="F1634" s="102" t="n"/>
      <c r="G1634" s="102" t="n"/>
      <c r="H1634" s="115" t="n"/>
      <c r="I1634" s="102" t="n"/>
      <c r="J1634" s="102" t="n"/>
      <c r="K1634" s="103" t="n"/>
      <c r="L1634" s="116">
        <f>IF($H1634="","",TRIM(IF(COUNTIF(DMTK!$A$7:$A$250,$F1634)=0,"TK Nợ sai! ","")&amp;IF(COUNTIF(DMTK!$A$7:$A$250,$G1634)=0,"TK Có sai! ","")&amp;IF(N($H1634)&lt;=0,"Tiền phải &gt; 0! ","")&amp;IF($B1634="","Thiếu ngày! ","")&amp;IF(AND(OR(LEFT($F1634,3)="131",LEFT($G1634,3)="131",LEFT($F1634,3)="331",LEFT($G1634,3)="331"),$I1634=""),"Thiếu Mã ĐT! ","")&amp;IF(AND($I1634&lt;&gt;"",COUNTIF(DM_DT!$A$7:$A$306,$I1634)=0),"Mã ĐT chưa khai báo! ","")))</f>
        <v/>
      </c>
      <c r="M1634" s="117">
        <f>IF($H1634="","",IF(AND(OR(LEFT($F1634,3)="111",LEFT($F1634,3)="112",LEFT($F1634,3)="113"),OR(LEFT($G1634,3)="111",LEFT($G1634,3)="112",LEFT($G1634,3)="113")),"NB",IF(OR(LEFT($F1634,3)="111",LEFT($F1634,3)="112",LEFT($F1634,3)="113"),"THU",IF(OR(LEFT($G1634,3)="111",LEFT($G1634,3)="112",LEFT($G1634,3)="113"),"CHI",""))))</f>
        <v/>
      </c>
      <c r="N1634" s="117">
        <f>IF($M1634="THU",$G1634,IF($M1634="CHI",$F1634,""))</f>
        <v/>
      </c>
      <c r="O1634" s="117">
        <f>IF(OR($M1634="",$M1634="NB"),"",IF($J1634&lt;&gt;"",TEXT($J1634,"00"),IFERROR(VLOOKUP(LEFT($N1634,4),LCTT_MAP!$A$7:$C$66,IF($M1634="THU",2,3),FALSE()),IFERROR(VLOOKUP(LEFT($N1634,3),LCTT_MAP!$A$7:$C$66,IF($M1634="THU",2,3),FALSE()),IFERROR(VLOOKUP(LEFT($N1634,2),LCTT_MAP!$A$7:$C$66,IF($M1634="THU",2,3),FALSE()),IFERROR(VLOOKUP(LEFT($N1634,1),LCTT_MAP!$A$7:$C$66,IF($M1634="THU",2,3),FALSE()),IF($M1634="THU","06","07")))))))</f>
        <v/>
      </c>
      <c r="P1634" s="117">
        <f>P1633+IF(AND($H1634&lt;&gt;"",OR(LEFT($F1634,LEN(SC_TK))=SC_TK,LEFT($G1634,LEN(SC_TK))=SC_TK)),1,0)</f>
        <v/>
      </c>
    </row>
    <row r="1635" ht="15" customHeight="1" s="78">
      <c r="A1635" s="95">
        <f>IF($H1635="","",ROW()-6)</f>
        <v/>
      </c>
      <c r="B1635" s="114" t="n"/>
      <c r="C1635" s="102" t="n"/>
      <c r="D1635" s="114" t="n"/>
      <c r="E1635" s="103" t="n"/>
      <c r="F1635" s="102" t="n"/>
      <c r="G1635" s="102" t="n"/>
      <c r="H1635" s="115" t="n"/>
      <c r="I1635" s="102" t="n"/>
      <c r="J1635" s="102" t="n"/>
      <c r="K1635" s="103" t="n"/>
      <c r="L1635" s="116">
        <f>IF($H1635="","",TRIM(IF(COUNTIF(DMTK!$A$7:$A$250,$F1635)=0,"TK Nợ sai! ","")&amp;IF(COUNTIF(DMTK!$A$7:$A$250,$G1635)=0,"TK Có sai! ","")&amp;IF(N($H1635)&lt;=0,"Tiền phải &gt; 0! ","")&amp;IF($B1635="","Thiếu ngày! ","")&amp;IF(AND(OR(LEFT($F1635,3)="131",LEFT($G1635,3)="131",LEFT($F1635,3)="331",LEFT($G1635,3)="331"),$I1635=""),"Thiếu Mã ĐT! ","")&amp;IF(AND($I1635&lt;&gt;"",COUNTIF(DM_DT!$A$7:$A$306,$I1635)=0),"Mã ĐT chưa khai báo! ","")))</f>
        <v/>
      </c>
      <c r="M1635" s="117">
        <f>IF($H1635="","",IF(AND(OR(LEFT($F1635,3)="111",LEFT($F1635,3)="112",LEFT($F1635,3)="113"),OR(LEFT($G1635,3)="111",LEFT($G1635,3)="112",LEFT($G1635,3)="113")),"NB",IF(OR(LEFT($F1635,3)="111",LEFT($F1635,3)="112",LEFT($F1635,3)="113"),"THU",IF(OR(LEFT($G1635,3)="111",LEFT($G1635,3)="112",LEFT($G1635,3)="113"),"CHI",""))))</f>
        <v/>
      </c>
      <c r="N1635" s="117">
        <f>IF($M1635="THU",$G1635,IF($M1635="CHI",$F1635,""))</f>
        <v/>
      </c>
      <c r="O1635" s="117">
        <f>IF(OR($M1635="",$M1635="NB"),"",IF($J1635&lt;&gt;"",TEXT($J1635,"00"),IFERROR(VLOOKUP(LEFT($N1635,4),LCTT_MAP!$A$7:$C$66,IF($M1635="THU",2,3),FALSE()),IFERROR(VLOOKUP(LEFT($N1635,3),LCTT_MAP!$A$7:$C$66,IF($M1635="THU",2,3),FALSE()),IFERROR(VLOOKUP(LEFT($N1635,2),LCTT_MAP!$A$7:$C$66,IF($M1635="THU",2,3),FALSE()),IFERROR(VLOOKUP(LEFT($N1635,1),LCTT_MAP!$A$7:$C$66,IF($M1635="THU",2,3),FALSE()),IF($M1635="THU","06","07")))))))</f>
        <v/>
      </c>
      <c r="P1635" s="117">
        <f>P1634+IF(AND($H1635&lt;&gt;"",OR(LEFT($F1635,LEN(SC_TK))=SC_TK,LEFT($G1635,LEN(SC_TK))=SC_TK)),1,0)</f>
        <v/>
      </c>
    </row>
    <row r="1636" ht="15" customHeight="1" s="78">
      <c r="A1636" s="95">
        <f>IF($H1636="","",ROW()-6)</f>
        <v/>
      </c>
      <c r="B1636" s="114" t="n"/>
      <c r="C1636" s="102" t="n"/>
      <c r="D1636" s="114" t="n"/>
      <c r="E1636" s="103" t="n"/>
      <c r="F1636" s="102" t="n"/>
      <c r="G1636" s="102" t="n"/>
      <c r="H1636" s="115" t="n"/>
      <c r="I1636" s="102" t="n"/>
      <c r="J1636" s="102" t="n"/>
      <c r="K1636" s="103" t="n"/>
      <c r="L1636" s="116">
        <f>IF($H1636="","",TRIM(IF(COUNTIF(DMTK!$A$7:$A$250,$F1636)=0,"TK Nợ sai! ","")&amp;IF(COUNTIF(DMTK!$A$7:$A$250,$G1636)=0,"TK Có sai! ","")&amp;IF(N($H1636)&lt;=0,"Tiền phải &gt; 0! ","")&amp;IF($B1636="","Thiếu ngày! ","")&amp;IF(AND(OR(LEFT($F1636,3)="131",LEFT($G1636,3)="131",LEFT($F1636,3)="331",LEFT($G1636,3)="331"),$I1636=""),"Thiếu Mã ĐT! ","")&amp;IF(AND($I1636&lt;&gt;"",COUNTIF(DM_DT!$A$7:$A$306,$I1636)=0),"Mã ĐT chưa khai báo! ","")))</f>
        <v/>
      </c>
      <c r="M1636" s="117">
        <f>IF($H1636="","",IF(AND(OR(LEFT($F1636,3)="111",LEFT($F1636,3)="112",LEFT($F1636,3)="113"),OR(LEFT($G1636,3)="111",LEFT($G1636,3)="112",LEFT($G1636,3)="113")),"NB",IF(OR(LEFT($F1636,3)="111",LEFT($F1636,3)="112",LEFT($F1636,3)="113"),"THU",IF(OR(LEFT($G1636,3)="111",LEFT($G1636,3)="112",LEFT($G1636,3)="113"),"CHI",""))))</f>
        <v/>
      </c>
      <c r="N1636" s="117">
        <f>IF($M1636="THU",$G1636,IF($M1636="CHI",$F1636,""))</f>
        <v/>
      </c>
      <c r="O1636" s="117">
        <f>IF(OR($M1636="",$M1636="NB"),"",IF($J1636&lt;&gt;"",TEXT($J1636,"00"),IFERROR(VLOOKUP(LEFT($N1636,4),LCTT_MAP!$A$7:$C$66,IF($M1636="THU",2,3),FALSE()),IFERROR(VLOOKUP(LEFT($N1636,3),LCTT_MAP!$A$7:$C$66,IF($M1636="THU",2,3),FALSE()),IFERROR(VLOOKUP(LEFT($N1636,2),LCTT_MAP!$A$7:$C$66,IF($M1636="THU",2,3),FALSE()),IFERROR(VLOOKUP(LEFT($N1636,1),LCTT_MAP!$A$7:$C$66,IF($M1636="THU",2,3),FALSE()),IF($M1636="THU","06","07")))))))</f>
        <v/>
      </c>
      <c r="P1636" s="117">
        <f>P1635+IF(AND($H1636&lt;&gt;"",OR(LEFT($F1636,LEN(SC_TK))=SC_TK,LEFT($G1636,LEN(SC_TK))=SC_TK)),1,0)</f>
        <v/>
      </c>
    </row>
    <row r="1637" ht="15" customHeight="1" s="78">
      <c r="A1637" s="95">
        <f>IF($H1637="","",ROW()-6)</f>
        <v/>
      </c>
      <c r="B1637" s="114" t="n"/>
      <c r="C1637" s="102" t="n"/>
      <c r="D1637" s="114" t="n"/>
      <c r="E1637" s="103" t="n"/>
      <c r="F1637" s="102" t="n"/>
      <c r="G1637" s="102" t="n"/>
      <c r="H1637" s="115" t="n"/>
      <c r="I1637" s="102" t="n"/>
      <c r="J1637" s="102" t="n"/>
      <c r="K1637" s="103" t="n"/>
      <c r="L1637" s="116">
        <f>IF($H1637="","",TRIM(IF(COUNTIF(DMTK!$A$7:$A$250,$F1637)=0,"TK Nợ sai! ","")&amp;IF(COUNTIF(DMTK!$A$7:$A$250,$G1637)=0,"TK Có sai! ","")&amp;IF(N($H1637)&lt;=0,"Tiền phải &gt; 0! ","")&amp;IF($B1637="","Thiếu ngày! ","")&amp;IF(AND(OR(LEFT($F1637,3)="131",LEFT($G1637,3)="131",LEFT($F1637,3)="331",LEFT($G1637,3)="331"),$I1637=""),"Thiếu Mã ĐT! ","")&amp;IF(AND($I1637&lt;&gt;"",COUNTIF(DM_DT!$A$7:$A$306,$I1637)=0),"Mã ĐT chưa khai báo! ","")))</f>
        <v/>
      </c>
      <c r="M1637" s="117">
        <f>IF($H1637="","",IF(AND(OR(LEFT($F1637,3)="111",LEFT($F1637,3)="112",LEFT($F1637,3)="113"),OR(LEFT($G1637,3)="111",LEFT($G1637,3)="112",LEFT($G1637,3)="113")),"NB",IF(OR(LEFT($F1637,3)="111",LEFT($F1637,3)="112",LEFT($F1637,3)="113"),"THU",IF(OR(LEFT($G1637,3)="111",LEFT($G1637,3)="112",LEFT($G1637,3)="113"),"CHI",""))))</f>
        <v/>
      </c>
      <c r="N1637" s="117">
        <f>IF($M1637="THU",$G1637,IF($M1637="CHI",$F1637,""))</f>
        <v/>
      </c>
      <c r="O1637" s="117">
        <f>IF(OR($M1637="",$M1637="NB"),"",IF($J1637&lt;&gt;"",TEXT($J1637,"00"),IFERROR(VLOOKUP(LEFT($N1637,4),LCTT_MAP!$A$7:$C$66,IF($M1637="THU",2,3),FALSE()),IFERROR(VLOOKUP(LEFT($N1637,3),LCTT_MAP!$A$7:$C$66,IF($M1637="THU",2,3),FALSE()),IFERROR(VLOOKUP(LEFT($N1637,2),LCTT_MAP!$A$7:$C$66,IF($M1637="THU",2,3),FALSE()),IFERROR(VLOOKUP(LEFT($N1637,1),LCTT_MAP!$A$7:$C$66,IF($M1637="THU",2,3),FALSE()),IF($M1637="THU","06","07")))))))</f>
        <v/>
      </c>
      <c r="P1637" s="117">
        <f>P1636+IF(AND($H1637&lt;&gt;"",OR(LEFT($F1637,LEN(SC_TK))=SC_TK,LEFT($G1637,LEN(SC_TK))=SC_TK)),1,0)</f>
        <v/>
      </c>
    </row>
    <row r="1638" ht="15" customHeight="1" s="78">
      <c r="A1638" s="95">
        <f>IF($H1638="","",ROW()-6)</f>
        <v/>
      </c>
      <c r="B1638" s="114" t="n"/>
      <c r="C1638" s="102" t="n"/>
      <c r="D1638" s="114" t="n"/>
      <c r="E1638" s="103" t="n"/>
      <c r="F1638" s="102" t="n"/>
      <c r="G1638" s="102" t="n"/>
      <c r="H1638" s="115" t="n"/>
      <c r="I1638" s="102" t="n"/>
      <c r="J1638" s="102" t="n"/>
      <c r="K1638" s="103" t="n"/>
      <c r="L1638" s="116">
        <f>IF($H1638="","",TRIM(IF(COUNTIF(DMTK!$A$7:$A$250,$F1638)=0,"TK Nợ sai! ","")&amp;IF(COUNTIF(DMTK!$A$7:$A$250,$G1638)=0,"TK Có sai! ","")&amp;IF(N($H1638)&lt;=0,"Tiền phải &gt; 0! ","")&amp;IF($B1638="","Thiếu ngày! ","")&amp;IF(AND(OR(LEFT($F1638,3)="131",LEFT($G1638,3)="131",LEFT($F1638,3)="331",LEFT($G1638,3)="331"),$I1638=""),"Thiếu Mã ĐT! ","")&amp;IF(AND($I1638&lt;&gt;"",COUNTIF(DM_DT!$A$7:$A$306,$I1638)=0),"Mã ĐT chưa khai báo! ","")))</f>
        <v/>
      </c>
      <c r="M1638" s="117">
        <f>IF($H1638="","",IF(AND(OR(LEFT($F1638,3)="111",LEFT($F1638,3)="112",LEFT($F1638,3)="113"),OR(LEFT($G1638,3)="111",LEFT($G1638,3)="112",LEFT($G1638,3)="113")),"NB",IF(OR(LEFT($F1638,3)="111",LEFT($F1638,3)="112",LEFT($F1638,3)="113"),"THU",IF(OR(LEFT($G1638,3)="111",LEFT($G1638,3)="112",LEFT($G1638,3)="113"),"CHI",""))))</f>
        <v/>
      </c>
      <c r="N1638" s="117">
        <f>IF($M1638="THU",$G1638,IF($M1638="CHI",$F1638,""))</f>
        <v/>
      </c>
      <c r="O1638" s="117">
        <f>IF(OR($M1638="",$M1638="NB"),"",IF($J1638&lt;&gt;"",TEXT($J1638,"00"),IFERROR(VLOOKUP(LEFT($N1638,4),LCTT_MAP!$A$7:$C$66,IF($M1638="THU",2,3),FALSE()),IFERROR(VLOOKUP(LEFT($N1638,3),LCTT_MAP!$A$7:$C$66,IF($M1638="THU",2,3),FALSE()),IFERROR(VLOOKUP(LEFT($N1638,2),LCTT_MAP!$A$7:$C$66,IF($M1638="THU",2,3),FALSE()),IFERROR(VLOOKUP(LEFT($N1638,1),LCTT_MAP!$A$7:$C$66,IF($M1638="THU",2,3),FALSE()),IF($M1638="THU","06","07")))))))</f>
        <v/>
      </c>
      <c r="P1638" s="117">
        <f>P1637+IF(AND($H1638&lt;&gt;"",OR(LEFT($F1638,LEN(SC_TK))=SC_TK,LEFT($G1638,LEN(SC_TK))=SC_TK)),1,0)</f>
        <v/>
      </c>
    </row>
    <row r="1639" ht="15" customHeight="1" s="78">
      <c r="A1639" s="95">
        <f>IF($H1639="","",ROW()-6)</f>
        <v/>
      </c>
      <c r="B1639" s="114" t="n"/>
      <c r="C1639" s="102" t="n"/>
      <c r="D1639" s="114" t="n"/>
      <c r="E1639" s="103" t="n"/>
      <c r="F1639" s="102" t="n"/>
      <c r="G1639" s="102" t="n"/>
      <c r="H1639" s="115" t="n"/>
      <c r="I1639" s="102" t="n"/>
      <c r="J1639" s="102" t="n"/>
      <c r="K1639" s="103" t="n"/>
      <c r="L1639" s="116">
        <f>IF($H1639="","",TRIM(IF(COUNTIF(DMTK!$A$7:$A$250,$F1639)=0,"TK Nợ sai! ","")&amp;IF(COUNTIF(DMTK!$A$7:$A$250,$G1639)=0,"TK Có sai! ","")&amp;IF(N($H1639)&lt;=0,"Tiền phải &gt; 0! ","")&amp;IF($B1639="","Thiếu ngày! ","")&amp;IF(AND(OR(LEFT($F1639,3)="131",LEFT($G1639,3)="131",LEFT($F1639,3)="331",LEFT($G1639,3)="331"),$I1639=""),"Thiếu Mã ĐT! ","")&amp;IF(AND($I1639&lt;&gt;"",COUNTIF(DM_DT!$A$7:$A$306,$I1639)=0),"Mã ĐT chưa khai báo! ","")))</f>
        <v/>
      </c>
      <c r="M1639" s="117">
        <f>IF($H1639="","",IF(AND(OR(LEFT($F1639,3)="111",LEFT($F1639,3)="112",LEFT($F1639,3)="113"),OR(LEFT($G1639,3)="111",LEFT($G1639,3)="112",LEFT($G1639,3)="113")),"NB",IF(OR(LEFT($F1639,3)="111",LEFT($F1639,3)="112",LEFT($F1639,3)="113"),"THU",IF(OR(LEFT($G1639,3)="111",LEFT($G1639,3)="112",LEFT($G1639,3)="113"),"CHI",""))))</f>
        <v/>
      </c>
      <c r="N1639" s="117">
        <f>IF($M1639="THU",$G1639,IF($M1639="CHI",$F1639,""))</f>
        <v/>
      </c>
      <c r="O1639" s="117">
        <f>IF(OR($M1639="",$M1639="NB"),"",IF($J1639&lt;&gt;"",TEXT($J1639,"00"),IFERROR(VLOOKUP(LEFT($N1639,4),LCTT_MAP!$A$7:$C$66,IF($M1639="THU",2,3),FALSE()),IFERROR(VLOOKUP(LEFT($N1639,3),LCTT_MAP!$A$7:$C$66,IF($M1639="THU",2,3),FALSE()),IFERROR(VLOOKUP(LEFT($N1639,2),LCTT_MAP!$A$7:$C$66,IF($M1639="THU",2,3),FALSE()),IFERROR(VLOOKUP(LEFT($N1639,1),LCTT_MAP!$A$7:$C$66,IF($M1639="THU",2,3),FALSE()),IF($M1639="THU","06","07")))))))</f>
        <v/>
      </c>
      <c r="P1639" s="117">
        <f>P1638+IF(AND($H1639&lt;&gt;"",OR(LEFT($F1639,LEN(SC_TK))=SC_TK,LEFT($G1639,LEN(SC_TK))=SC_TK)),1,0)</f>
        <v/>
      </c>
    </row>
    <row r="1640" ht="15" customHeight="1" s="78">
      <c r="A1640" s="95">
        <f>IF($H1640="","",ROW()-6)</f>
        <v/>
      </c>
      <c r="B1640" s="114" t="n"/>
      <c r="C1640" s="102" t="n"/>
      <c r="D1640" s="114" t="n"/>
      <c r="E1640" s="103" t="n"/>
      <c r="F1640" s="102" t="n"/>
      <c r="G1640" s="102" t="n"/>
      <c r="H1640" s="115" t="n"/>
      <c r="I1640" s="102" t="n"/>
      <c r="J1640" s="102" t="n"/>
      <c r="K1640" s="103" t="n"/>
      <c r="L1640" s="116">
        <f>IF($H1640="","",TRIM(IF(COUNTIF(DMTK!$A$7:$A$250,$F1640)=0,"TK Nợ sai! ","")&amp;IF(COUNTIF(DMTK!$A$7:$A$250,$G1640)=0,"TK Có sai! ","")&amp;IF(N($H1640)&lt;=0,"Tiền phải &gt; 0! ","")&amp;IF($B1640="","Thiếu ngày! ","")&amp;IF(AND(OR(LEFT($F1640,3)="131",LEFT($G1640,3)="131",LEFT($F1640,3)="331",LEFT($G1640,3)="331"),$I1640=""),"Thiếu Mã ĐT! ","")&amp;IF(AND($I1640&lt;&gt;"",COUNTIF(DM_DT!$A$7:$A$306,$I1640)=0),"Mã ĐT chưa khai báo! ","")))</f>
        <v/>
      </c>
      <c r="M1640" s="117">
        <f>IF($H1640="","",IF(AND(OR(LEFT($F1640,3)="111",LEFT($F1640,3)="112",LEFT($F1640,3)="113"),OR(LEFT($G1640,3)="111",LEFT($G1640,3)="112",LEFT($G1640,3)="113")),"NB",IF(OR(LEFT($F1640,3)="111",LEFT($F1640,3)="112",LEFT($F1640,3)="113"),"THU",IF(OR(LEFT($G1640,3)="111",LEFT($G1640,3)="112",LEFT($G1640,3)="113"),"CHI",""))))</f>
        <v/>
      </c>
      <c r="N1640" s="117">
        <f>IF($M1640="THU",$G1640,IF($M1640="CHI",$F1640,""))</f>
        <v/>
      </c>
      <c r="O1640" s="117">
        <f>IF(OR($M1640="",$M1640="NB"),"",IF($J1640&lt;&gt;"",TEXT($J1640,"00"),IFERROR(VLOOKUP(LEFT($N1640,4),LCTT_MAP!$A$7:$C$66,IF($M1640="THU",2,3),FALSE()),IFERROR(VLOOKUP(LEFT($N1640,3),LCTT_MAP!$A$7:$C$66,IF($M1640="THU",2,3),FALSE()),IFERROR(VLOOKUP(LEFT($N1640,2),LCTT_MAP!$A$7:$C$66,IF($M1640="THU",2,3),FALSE()),IFERROR(VLOOKUP(LEFT($N1640,1),LCTT_MAP!$A$7:$C$66,IF($M1640="THU",2,3),FALSE()),IF($M1640="THU","06","07")))))))</f>
        <v/>
      </c>
      <c r="P1640" s="117">
        <f>P1639+IF(AND($H1640&lt;&gt;"",OR(LEFT($F1640,LEN(SC_TK))=SC_TK,LEFT($G1640,LEN(SC_TK))=SC_TK)),1,0)</f>
        <v/>
      </c>
    </row>
    <row r="1641" ht="15" customHeight="1" s="78">
      <c r="A1641" s="95">
        <f>IF($H1641="","",ROW()-6)</f>
        <v/>
      </c>
      <c r="B1641" s="114" t="n"/>
      <c r="C1641" s="102" t="n"/>
      <c r="D1641" s="114" t="n"/>
      <c r="E1641" s="103" t="n"/>
      <c r="F1641" s="102" t="n"/>
      <c r="G1641" s="102" t="n"/>
      <c r="H1641" s="115" t="n"/>
      <c r="I1641" s="102" t="n"/>
      <c r="J1641" s="102" t="n"/>
      <c r="K1641" s="103" t="n"/>
      <c r="L1641" s="116">
        <f>IF($H1641="","",TRIM(IF(COUNTIF(DMTK!$A$7:$A$250,$F1641)=0,"TK Nợ sai! ","")&amp;IF(COUNTIF(DMTK!$A$7:$A$250,$G1641)=0,"TK Có sai! ","")&amp;IF(N($H1641)&lt;=0,"Tiền phải &gt; 0! ","")&amp;IF($B1641="","Thiếu ngày! ","")&amp;IF(AND(OR(LEFT($F1641,3)="131",LEFT($G1641,3)="131",LEFT($F1641,3)="331",LEFT($G1641,3)="331"),$I1641=""),"Thiếu Mã ĐT! ","")&amp;IF(AND($I1641&lt;&gt;"",COUNTIF(DM_DT!$A$7:$A$306,$I1641)=0),"Mã ĐT chưa khai báo! ","")))</f>
        <v/>
      </c>
      <c r="M1641" s="117">
        <f>IF($H1641="","",IF(AND(OR(LEFT($F1641,3)="111",LEFT($F1641,3)="112",LEFT($F1641,3)="113"),OR(LEFT($G1641,3)="111",LEFT($G1641,3)="112",LEFT($G1641,3)="113")),"NB",IF(OR(LEFT($F1641,3)="111",LEFT($F1641,3)="112",LEFT($F1641,3)="113"),"THU",IF(OR(LEFT($G1641,3)="111",LEFT($G1641,3)="112",LEFT($G1641,3)="113"),"CHI",""))))</f>
        <v/>
      </c>
      <c r="N1641" s="117">
        <f>IF($M1641="THU",$G1641,IF($M1641="CHI",$F1641,""))</f>
        <v/>
      </c>
      <c r="O1641" s="117">
        <f>IF(OR($M1641="",$M1641="NB"),"",IF($J1641&lt;&gt;"",TEXT($J1641,"00"),IFERROR(VLOOKUP(LEFT($N1641,4),LCTT_MAP!$A$7:$C$66,IF($M1641="THU",2,3),FALSE()),IFERROR(VLOOKUP(LEFT($N1641,3),LCTT_MAP!$A$7:$C$66,IF($M1641="THU",2,3),FALSE()),IFERROR(VLOOKUP(LEFT($N1641,2),LCTT_MAP!$A$7:$C$66,IF($M1641="THU",2,3),FALSE()),IFERROR(VLOOKUP(LEFT($N1641,1),LCTT_MAP!$A$7:$C$66,IF($M1641="THU",2,3),FALSE()),IF($M1641="THU","06","07")))))))</f>
        <v/>
      </c>
      <c r="P1641" s="117">
        <f>P1640+IF(AND($H1641&lt;&gt;"",OR(LEFT($F1641,LEN(SC_TK))=SC_TK,LEFT($G1641,LEN(SC_TK))=SC_TK)),1,0)</f>
        <v/>
      </c>
    </row>
    <row r="1642" ht="15" customHeight="1" s="78">
      <c r="A1642" s="95">
        <f>IF($H1642="","",ROW()-6)</f>
        <v/>
      </c>
      <c r="B1642" s="114" t="n"/>
      <c r="C1642" s="102" t="n"/>
      <c r="D1642" s="114" t="n"/>
      <c r="E1642" s="103" t="n"/>
      <c r="F1642" s="102" t="n"/>
      <c r="G1642" s="102" t="n"/>
      <c r="H1642" s="115" t="n"/>
      <c r="I1642" s="102" t="n"/>
      <c r="J1642" s="102" t="n"/>
      <c r="K1642" s="103" t="n"/>
      <c r="L1642" s="116">
        <f>IF($H1642="","",TRIM(IF(COUNTIF(DMTK!$A$7:$A$250,$F1642)=0,"TK Nợ sai! ","")&amp;IF(COUNTIF(DMTK!$A$7:$A$250,$G1642)=0,"TK Có sai! ","")&amp;IF(N($H1642)&lt;=0,"Tiền phải &gt; 0! ","")&amp;IF($B1642="","Thiếu ngày! ","")&amp;IF(AND(OR(LEFT($F1642,3)="131",LEFT($G1642,3)="131",LEFT($F1642,3)="331",LEFT($G1642,3)="331"),$I1642=""),"Thiếu Mã ĐT! ","")&amp;IF(AND($I1642&lt;&gt;"",COUNTIF(DM_DT!$A$7:$A$306,$I1642)=0),"Mã ĐT chưa khai báo! ","")))</f>
        <v/>
      </c>
      <c r="M1642" s="117">
        <f>IF($H1642="","",IF(AND(OR(LEFT($F1642,3)="111",LEFT($F1642,3)="112",LEFT($F1642,3)="113"),OR(LEFT($G1642,3)="111",LEFT($G1642,3)="112",LEFT($G1642,3)="113")),"NB",IF(OR(LEFT($F1642,3)="111",LEFT($F1642,3)="112",LEFT($F1642,3)="113"),"THU",IF(OR(LEFT($G1642,3)="111",LEFT($G1642,3)="112",LEFT($G1642,3)="113"),"CHI",""))))</f>
        <v/>
      </c>
      <c r="N1642" s="117">
        <f>IF($M1642="THU",$G1642,IF($M1642="CHI",$F1642,""))</f>
        <v/>
      </c>
      <c r="O1642" s="117">
        <f>IF(OR($M1642="",$M1642="NB"),"",IF($J1642&lt;&gt;"",TEXT($J1642,"00"),IFERROR(VLOOKUP(LEFT($N1642,4),LCTT_MAP!$A$7:$C$66,IF($M1642="THU",2,3),FALSE()),IFERROR(VLOOKUP(LEFT($N1642,3),LCTT_MAP!$A$7:$C$66,IF($M1642="THU",2,3),FALSE()),IFERROR(VLOOKUP(LEFT($N1642,2),LCTT_MAP!$A$7:$C$66,IF($M1642="THU",2,3),FALSE()),IFERROR(VLOOKUP(LEFT($N1642,1),LCTT_MAP!$A$7:$C$66,IF($M1642="THU",2,3),FALSE()),IF($M1642="THU","06","07")))))))</f>
        <v/>
      </c>
      <c r="P1642" s="117">
        <f>P1641+IF(AND($H1642&lt;&gt;"",OR(LEFT($F1642,LEN(SC_TK))=SC_TK,LEFT($G1642,LEN(SC_TK))=SC_TK)),1,0)</f>
        <v/>
      </c>
    </row>
    <row r="1643" ht="15" customHeight="1" s="78">
      <c r="A1643" s="95">
        <f>IF($H1643="","",ROW()-6)</f>
        <v/>
      </c>
      <c r="B1643" s="114" t="n"/>
      <c r="C1643" s="102" t="n"/>
      <c r="D1643" s="114" t="n"/>
      <c r="E1643" s="103" t="n"/>
      <c r="F1643" s="102" t="n"/>
      <c r="G1643" s="102" t="n"/>
      <c r="H1643" s="115" t="n"/>
      <c r="I1643" s="102" t="n"/>
      <c r="J1643" s="102" t="n"/>
      <c r="K1643" s="103" t="n"/>
      <c r="L1643" s="116">
        <f>IF($H1643="","",TRIM(IF(COUNTIF(DMTK!$A$7:$A$250,$F1643)=0,"TK Nợ sai! ","")&amp;IF(COUNTIF(DMTK!$A$7:$A$250,$G1643)=0,"TK Có sai! ","")&amp;IF(N($H1643)&lt;=0,"Tiền phải &gt; 0! ","")&amp;IF($B1643="","Thiếu ngày! ","")&amp;IF(AND(OR(LEFT($F1643,3)="131",LEFT($G1643,3)="131",LEFT($F1643,3)="331",LEFT($G1643,3)="331"),$I1643=""),"Thiếu Mã ĐT! ","")&amp;IF(AND($I1643&lt;&gt;"",COUNTIF(DM_DT!$A$7:$A$306,$I1643)=0),"Mã ĐT chưa khai báo! ","")))</f>
        <v/>
      </c>
      <c r="M1643" s="117">
        <f>IF($H1643="","",IF(AND(OR(LEFT($F1643,3)="111",LEFT($F1643,3)="112",LEFT($F1643,3)="113"),OR(LEFT($G1643,3)="111",LEFT($G1643,3)="112",LEFT($G1643,3)="113")),"NB",IF(OR(LEFT($F1643,3)="111",LEFT($F1643,3)="112",LEFT($F1643,3)="113"),"THU",IF(OR(LEFT($G1643,3)="111",LEFT($G1643,3)="112",LEFT($G1643,3)="113"),"CHI",""))))</f>
        <v/>
      </c>
      <c r="N1643" s="117">
        <f>IF($M1643="THU",$G1643,IF($M1643="CHI",$F1643,""))</f>
        <v/>
      </c>
      <c r="O1643" s="117">
        <f>IF(OR($M1643="",$M1643="NB"),"",IF($J1643&lt;&gt;"",TEXT($J1643,"00"),IFERROR(VLOOKUP(LEFT($N1643,4),LCTT_MAP!$A$7:$C$66,IF($M1643="THU",2,3),FALSE()),IFERROR(VLOOKUP(LEFT($N1643,3),LCTT_MAP!$A$7:$C$66,IF($M1643="THU",2,3),FALSE()),IFERROR(VLOOKUP(LEFT($N1643,2),LCTT_MAP!$A$7:$C$66,IF($M1643="THU",2,3),FALSE()),IFERROR(VLOOKUP(LEFT($N1643,1),LCTT_MAP!$A$7:$C$66,IF($M1643="THU",2,3),FALSE()),IF($M1643="THU","06","07")))))))</f>
        <v/>
      </c>
      <c r="P1643" s="117">
        <f>P1642+IF(AND($H1643&lt;&gt;"",OR(LEFT($F1643,LEN(SC_TK))=SC_TK,LEFT($G1643,LEN(SC_TK))=SC_TK)),1,0)</f>
        <v/>
      </c>
    </row>
    <row r="1644" ht="15" customHeight="1" s="78">
      <c r="A1644" s="95">
        <f>IF($H1644="","",ROW()-6)</f>
        <v/>
      </c>
      <c r="B1644" s="114" t="n"/>
      <c r="C1644" s="102" t="n"/>
      <c r="D1644" s="114" t="n"/>
      <c r="E1644" s="103" t="n"/>
      <c r="F1644" s="102" t="n"/>
      <c r="G1644" s="102" t="n"/>
      <c r="H1644" s="115" t="n"/>
      <c r="I1644" s="102" t="n"/>
      <c r="J1644" s="102" t="n"/>
      <c r="K1644" s="103" t="n"/>
      <c r="L1644" s="116">
        <f>IF($H1644="","",TRIM(IF(COUNTIF(DMTK!$A$7:$A$250,$F1644)=0,"TK Nợ sai! ","")&amp;IF(COUNTIF(DMTK!$A$7:$A$250,$G1644)=0,"TK Có sai! ","")&amp;IF(N($H1644)&lt;=0,"Tiền phải &gt; 0! ","")&amp;IF($B1644="","Thiếu ngày! ","")&amp;IF(AND(OR(LEFT($F1644,3)="131",LEFT($G1644,3)="131",LEFT($F1644,3)="331",LEFT($G1644,3)="331"),$I1644=""),"Thiếu Mã ĐT! ","")&amp;IF(AND($I1644&lt;&gt;"",COUNTIF(DM_DT!$A$7:$A$306,$I1644)=0),"Mã ĐT chưa khai báo! ","")))</f>
        <v/>
      </c>
      <c r="M1644" s="117">
        <f>IF($H1644="","",IF(AND(OR(LEFT($F1644,3)="111",LEFT($F1644,3)="112",LEFT($F1644,3)="113"),OR(LEFT($G1644,3)="111",LEFT($G1644,3)="112",LEFT($G1644,3)="113")),"NB",IF(OR(LEFT($F1644,3)="111",LEFT($F1644,3)="112",LEFT($F1644,3)="113"),"THU",IF(OR(LEFT($G1644,3)="111",LEFT($G1644,3)="112",LEFT($G1644,3)="113"),"CHI",""))))</f>
        <v/>
      </c>
      <c r="N1644" s="117">
        <f>IF($M1644="THU",$G1644,IF($M1644="CHI",$F1644,""))</f>
        <v/>
      </c>
      <c r="O1644" s="117">
        <f>IF(OR($M1644="",$M1644="NB"),"",IF($J1644&lt;&gt;"",TEXT($J1644,"00"),IFERROR(VLOOKUP(LEFT($N1644,4),LCTT_MAP!$A$7:$C$66,IF($M1644="THU",2,3),FALSE()),IFERROR(VLOOKUP(LEFT($N1644,3),LCTT_MAP!$A$7:$C$66,IF($M1644="THU",2,3),FALSE()),IFERROR(VLOOKUP(LEFT($N1644,2),LCTT_MAP!$A$7:$C$66,IF($M1644="THU",2,3),FALSE()),IFERROR(VLOOKUP(LEFT($N1644,1),LCTT_MAP!$A$7:$C$66,IF($M1644="THU",2,3),FALSE()),IF($M1644="THU","06","07")))))))</f>
        <v/>
      </c>
      <c r="P1644" s="117">
        <f>P1643+IF(AND($H1644&lt;&gt;"",OR(LEFT($F1644,LEN(SC_TK))=SC_TK,LEFT($G1644,LEN(SC_TK))=SC_TK)),1,0)</f>
        <v/>
      </c>
    </row>
    <row r="1645" ht="15" customHeight="1" s="78">
      <c r="A1645" s="95">
        <f>IF($H1645="","",ROW()-6)</f>
        <v/>
      </c>
      <c r="B1645" s="114" t="n"/>
      <c r="C1645" s="102" t="n"/>
      <c r="D1645" s="114" t="n"/>
      <c r="E1645" s="103" t="n"/>
      <c r="F1645" s="102" t="n"/>
      <c r="G1645" s="102" t="n"/>
      <c r="H1645" s="115" t="n"/>
      <c r="I1645" s="102" t="n"/>
      <c r="J1645" s="102" t="n"/>
      <c r="K1645" s="103" t="n"/>
      <c r="L1645" s="116">
        <f>IF($H1645="","",TRIM(IF(COUNTIF(DMTK!$A$7:$A$250,$F1645)=0,"TK Nợ sai! ","")&amp;IF(COUNTIF(DMTK!$A$7:$A$250,$G1645)=0,"TK Có sai! ","")&amp;IF(N($H1645)&lt;=0,"Tiền phải &gt; 0! ","")&amp;IF($B1645="","Thiếu ngày! ","")&amp;IF(AND(OR(LEFT($F1645,3)="131",LEFT($G1645,3)="131",LEFT($F1645,3)="331",LEFT($G1645,3)="331"),$I1645=""),"Thiếu Mã ĐT! ","")&amp;IF(AND($I1645&lt;&gt;"",COUNTIF(DM_DT!$A$7:$A$306,$I1645)=0),"Mã ĐT chưa khai báo! ","")))</f>
        <v/>
      </c>
      <c r="M1645" s="117">
        <f>IF($H1645="","",IF(AND(OR(LEFT($F1645,3)="111",LEFT($F1645,3)="112",LEFT($F1645,3)="113"),OR(LEFT($G1645,3)="111",LEFT($G1645,3)="112",LEFT($G1645,3)="113")),"NB",IF(OR(LEFT($F1645,3)="111",LEFT($F1645,3)="112",LEFT($F1645,3)="113"),"THU",IF(OR(LEFT($G1645,3)="111",LEFT($G1645,3)="112",LEFT($G1645,3)="113"),"CHI",""))))</f>
        <v/>
      </c>
      <c r="N1645" s="117">
        <f>IF($M1645="THU",$G1645,IF($M1645="CHI",$F1645,""))</f>
        <v/>
      </c>
      <c r="O1645" s="117">
        <f>IF(OR($M1645="",$M1645="NB"),"",IF($J1645&lt;&gt;"",TEXT($J1645,"00"),IFERROR(VLOOKUP(LEFT($N1645,4),LCTT_MAP!$A$7:$C$66,IF($M1645="THU",2,3),FALSE()),IFERROR(VLOOKUP(LEFT($N1645,3),LCTT_MAP!$A$7:$C$66,IF($M1645="THU",2,3),FALSE()),IFERROR(VLOOKUP(LEFT($N1645,2),LCTT_MAP!$A$7:$C$66,IF($M1645="THU",2,3),FALSE()),IFERROR(VLOOKUP(LEFT($N1645,1),LCTT_MAP!$A$7:$C$66,IF($M1645="THU",2,3),FALSE()),IF($M1645="THU","06","07")))))))</f>
        <v/>
      </c>
      <c r="P1645" s="117">
        <f>P1644+IF(AND($H1645&lt;&gt;"",OR(LEFT($F1645,LEN(SC_TK))=SC_TK,LEFT($G1645,LEN(SC_TK))=SC_TK)),1,0)</f>
        <v/>
      </c>
    </row>
    <row r="1646" ht="15" customHeight="1" s="78">
      <c r="A1646" s="95">
        <f>IF($H1646="","",ROW()-6)</f>
        <v/>
      </c>
      <c r="B1646" s="114" t="n"/>
      <c r="C1646" s="102" t="n"/>
      <c r="D1646" s="114" t="n"/>
      <c r="E1646" s="103" t="n"/>
      <c r="F1646" s="102" t="n"/>
      <c r="G1646" s="102" t="n"/>
      <c r="H1646" s="115" t="n"/>
      <c r="I1646" s="102" t="n"/>
      <c r="J1646" s="102" t="n"/>
      <c r="K1646" s="103" t="n"/>
      <c r="L1646" s="116">
        <f>IF($H1646="","",TRIM(IF(COUNTIF(DMTK!$A$7:$A$250,$F1646)=0,"TK Nợ sai! ","")&amp;IF(COUNTIF(DMTK!$A$7:$A$250,$G1646)=0,"TK Có sai! ","")&amp;IF(N($H1646)&lt;=0,"Tiền phải &gt; 0! ","")&amp;IF($B1646="","Thiếu ngày! ","")&amp;IF(AND(OR(LEFT($F1646,3)="131",LEFT($G1646,3)="131",LEFT($F1646,3)="331",LEFT($G1646,3)="331"),$I1646=""),"Thiếu Mã ĐT! ","")&amp;IF(AND($I1646&lt;&gt;"",COUNTIF(DM_DT!$A$7:$A$306,$I1646)=0),"Mã ĐT chưa khai báo! ","")))</f>
        <v/>
      </c>
      <c r="M1646" s="117">
        <f>IF($H1646="","",IF(AND(OR(LEFT($F1646,3)="111",LEFT($F1646,3)="112",LEFT($F1646,3)="113"),OR(LEFT($G1646,3)="111",LEFT($G1646,3)="112",LEFT($G1646,3)="113")),"NB",IF(OR(LEFT($F1646,3)="111",LEFT($F1646,3)="112",LEFT($F1646,3)="113"),"THU",IF(OR(LEFT($G1646,3)="111",LEFT($G1646,3)="112",LEFT($G1646,3)="113"),"CHI",""))))</f>
        <v/>
      </c>
      <c r="N1646" s="117">
        <f>IF($M1646="THU",$G1646,IF($M1646="CHI",$F1646,""))</f>
        <v/>
      </c>
      <c r="O1646" s="117">
        <f>IF(OR($M1646="",$M1646="NB"),"",IF($J1646&lt;&gt;"",TEXT($J1646,"00"),IFERROR(VLOOKUP(LEFT($N1646,4),LCTT_MAP!$A$7:$C$66,IF($M1646="THU",2,3),FALSE()),IFERROR(VLOOKUP(LEFT($N1646,3),LCTT_MAP!$A$7:$C$66,IF($M1646="THU",2,3),FALSE()),IFERROR(VLOOKUP(LEFT($N1646,2),LCTT_MAP!$A$7:$C$66,IF($M1646="THU",2,3),FALSE()),IFERROR(VLOOKUP(LEFT($N1646,1),LCTT_MAP!$A$7:$C$66,IF($M1646="THU",2,3),FALSE()),IF($M1646="THU","06","07")))))))</f>
        <v/>
      </c>
      <c r="P1646" s="117">
        <f>P1645+IF(AND($H1646&lt;&gt;"",OR(LEFT($F1646,LEN(SC_TK))=SC_TK,LEFT($G1646,LEN(SC_TK))=SC_TK)),1,0)</f>
        <v/>
      </c>
    </row>
    <row r="1647" ht="15" customHeight="1" s="78">
      <c r="A1647" s="95">
        <f>IF($H1647="","",ROW()-6)</f>
        <v/>
      </c>
      <c r="B1647" s="114" t="n"/>
      <c r="C1647" s="102" t="n"/>
      <c r="D1647" s="114" t="n"/>
      <c r="E1647" s="103" t="n"/>
      <c r="F1647" s="102" t="n"/>
      <c r="G1647" s="102" t="n"/>
      <c r="H1647" s="115" t="n"/>
      <c r="I1647" s="102" t="n"/>
      <c r="J1647" s="102" t="n"/>
      <c r="K1647" s="103" t="n"/>
      <c r="L1647" s="116">
        <f>IF($H1647="","",TRIM(IF(COUNTIF(DMTK!$A$7:$A$250,$F1647)=0,"TK Nợ sai! ","")&amp;IF(COUNTIF(DMTK!$A$7:$A$250,$G1647)=0,"TK Có sai! ","")&amp;IF(N($H1647)&lt;=0,"Tiền phải &gt; 0! ","")&amp;IF($B1647="","Thiếu ngày! ","")&amp;IF(AND(OR(LEFT($F1647,3)="131",LEFT($G1647,3)="131",LEFT($F1647,3)="331",LEFT($G1647,3)="331"),$I1647=""),"Thiếu Mã ĐT! ","")&amp;IF(AND($I1647&lt;&gt;"",COUNTIF(DM_DT!$A$7:$A$306,$I1647)=0),"Mã ĐT chưa khai báo! ","")))</f>
        <v/>
      </c>
      <c r="M1647" s="117">
        <f>IF($H1647="","",IF(AND(OR(LEFT($F1647,3)="111",LEFT($F1647,3)="112",LEFT($F1647,3)="113"),OR(LEFT($G1647,3)="111",LEFT($G1647,3)="112",LEFT($G1647,3)="113")),"NB",IF(OR(LEFT($F1647,3)="111",LEFT($F1647,3)="112",LEFT($F1647,3)="113"),"THU",IF(OR(LEFT($G1647,3)="111",LEFT($G1647,3)="112",LEFT($G1647,3)="113"),"CHI",""))))</f>
        <v/>
      </c>
      <c r="N1647" s="117">
        <f>IF($M1647="THU",$G1647,IF($M1647="CHI",$F1647,""))</f>
        <v/>
      </c>
      <c r="O1647" s="117">
        <f>IF(OR($M1647="",$M1647="NB"),"",IF($J1647&lt;&gt;"",TEXT($J1647,"00"),IFERROR(VLOOKUP(LEFT($N1647,4),LCTT_MAP!$A$7:$C$66,IF($M1647="THU",2,3),FALSE()),IFERROR(VLOOKUP(LEFT($N1647,3),LCTT_MAP!$A$7:$C$66,IF($M1647="THU",2,3),FALSE()),IFERROR(VLOOKUP(LEFT($N1647,2),LCTT_MAP!$A$7:$C$66,IF($M1647="THU",2,3),FALSE()),IFERROR(VLOOKUP(LEFT($N1647,1),LCTT_MAP!$A$7:$C$66,IF($M1647="THU",2,3),FALSE()),IF($M1647="THU","06","07")))))))</f>
        <v/>
      </c>
      <c r="P1647" s="117">
        <f>P1646+IF(AND($H1647&lt;&gt;"",OR(LEFT($F1647,LEN(SC_TK))=SC_TK,LEFT($G1647,LEN(SC_TK))=SC_TK)),1,0)</f>
        <v/>
      </c>
    </row>
    <row r="1648" ht="15" customHeight="1" s="78">
      <c r="A1648" s="95">
        <f>IF($H1648="","",ROW()-6)</f>
        <v/>
      </c>
      <c r="B1648" s="114" t="n"/>
      <c r="C1648" s="102" t="n"/>
      <c r="D1648" s="114" t="n"/>
      <c r="E1648" s="103" t="n"/>
      <c r="F1648" s="102" t="n"/>
      <c r="G1648" s="102" t="n"/>
      <c r="H1648" s="115" t="n"/>
      <c r="I1648" s="102" t="n"/>
      <c r="J1648" s="102" t="n"/>
      <c r="K1648" s="103" t="n"/>
      <c r="L1648" s="116">
        <f>IF($H1648="","",TRIM(IF(COUNTIF(DMTK!$A$7:$A$250,$F1648)=0,"TK Nợ sai! ","")&amp;IF(COUNTIF(DMTK!$A$7:$A$250,$G1648)=0,"TK Có sai! ","")&amp;IF(N($H1648)&lt;=0,"Tiền phải &gt; 0! ","")&amp;IF($B1648="","Thiếu ngày! ","")&amp;IF(AND(OR(LEFT($F1648,3)="131",LEFT($G1648,3)="131",LEFT($F1648,3)="331",LEFT($G1648,3)="331"),$I1648=""),"Thiếu Mã ĐT! ","")&amp;IF(AND($I1648&lt;&gt;"",COUNTIF(DM_DT!$A$7:$A$306,$I1648)=0),"Mã ĐT chưa khai báo! ","")))</f>
        <v/>
      </c>
      <c r="M1648" s="117">
        <f>IF($H1648="","",IF(AND(OR(LEFT($F1648,3)="111",LEFT($F1648,3)="112",LEFT($F1648,3)="113"),OR(LEFT($G1648,3)="111",LEFT($G1648,3)="112",LEFT($G1648,3)="113")),"NB",IF(OR(LEFT($F1648,3)="111",LEFT($F1648,3)="112",LEFT($F1648,3)="113"),"THU",IF(OR(LEFT($G1648,3)="111",LEFT($G1648,3)="112",LEFT($G1648,3)="113"),"CHI",""))))</f>
        <v/>
      </c>
      <c r="N1648" s="117">
        <f>IF($M1648="THU",$G1648,IF($M1648="CHI",$F1648,""))</f>
        <v/>
      </c>
      <c r="O1648" s="117">
        <f>IF(OR($M1648="",$M1648="NB"),"",IF($J1648&lt;&gt;"",TEXT($J1648,"00"),IFERROR(VLOOKUP(LEFT($N1648,4),LCTT_MAP!$A$7:$C$66,IF($M1648="THU",2,3),FALSE()),IFERROR(VLOOKUP(LEFT($N1648,3),LCTT_MAP!$A$7:$C$66,IF($M1648="THU",2,3),FALSE()),IFERROR(VLOOKUP(LEFT($N1648,2),LCTT_MAP!$A$7:$C$66,IF($M1648="THU",2,3),FALSE()),IFERROR(VLOOKUP(LEFT($N1648,1),LCTT_MAP!$A$7:$C$66,IF($M1648="THU",2,3),FALSE()),IF($M1648="THU","06","07")))))))</f>
        <v/>
      </c>
      <c r="P1648" s="117">
        <f>P1647+IF(AND($H1648&lt;&gt;"",OR(LEFT($F1648,LEN(SC_TK))=SC_TK,LEFT($G1648,LEN(SC_TK))=SC_TK)),1,0)</f>
        <v/>
      </c>
    </row>
    <row r="1649" ht="15" customHeight="1" s="78">
      <c r="A1649" s="95">
        <f>IF($H1649="","",ROW()-6)</f>
        <v/>
      </c>
      <c r="B1649" s="114" t="n"/>
      <c r="C1649" s="102" t="n"/>
      <c r="D1649" s="114" t="n"/>
      <c r="E1649" s="103" t="n"/>
      <c r="F1649" s="102" t="n"/>
      <c r="G1649" s="102" t="n"/>
      <c r="H1649" s="115" t="n"/>
      <c r="I1649" s="102" t="n"/>
      <c r="J1649" s="102" t="n"/>
      <c r="K1649" s="103" t="n"/>
      <c r="L1649" s="116">
        <f>IF($H1649="","",TRIM(IF(COUNTIF(DMTK!$A$7:$A$250,$F1649)=0,"TK Nợ sai! ","")&amp;IF(COUNTIF(DMTK!$A$7:$A$250,$G1649)=0,"TK Có sai! ","")&amp;IF(N($H1649)&lt;=0,"Tiền phải &gt; 0! ","")&amp;IF($B1649="","Thiếu ngày! ","")&amp;IF(AND(OR(LEFT($F1649,3)="131",LEFT($G1649,3)="131",LEFT($F1649,3)="331",LEFT($G1649,3)="331"),$I1649=""),"Thiếu Mã ĐT! ","")&amp;IF(AND($I1649&lt;&gt;"",COUNTIF(DM_DT!$A$7:$A$306,$I1649)=0),"Mã ĐT chưa khai báo! ","")))</f>
        <v/>
      </c>
      <c r="M1649" s="117">
        <f>IF($H1649="","",IF(AND(OR(LEFT($F1649,3)="111",LEFT($F1649,3)="112",LEFT($F1649,3)="113"),OR(LEFT($G1649,3)="111",LEFT($G1649,3)="112",LEFT($G1649,3)="113")),"NB",IF(OR(LEFT($F1649,3)="111",LEFT($F1649,3)="112",LEFT($F1649,3)="113"),"THU",IF(OR(LEFT($G1649,3)="111",LEFT($G1649,3)="112",LEFT($G1649,3)="113"),"CHI",""))))</f>
        <v/>
      </c>
      <c r="N1649" s="117">
        <f>IF($M1649="THU",$G1649,IF($M1649="CHI",$F1649,""))</f>
        <v/>
      </c>
      <c r="O1649" s="117">
        <f>IF(OR($M1649="",$M1649="NB"),"",IF($J1649&lt;&gt;"",TEXT($J1649,"00"),IFERROR(VLOOKUP(LEFT($N1649,4),LCTT_MAP!$A$7:$C$66,IF($M1649="THU",2,3),FALSE()),IFERROR(VLOOKUP(LEFT($N1649,3),LCTT_MAP!$A$7:$C$66,IF($M1649="THU",2,3),FALSE()),IFERROR(VLOOKUP(LEFT($N1649,2),LCTT_MAP!$A$7:$C$66,IF($M1649="THU",2,3),FALSE()),IFERROR(VLOOKUP(LEFT($N1649,1),LCTT_MAP!$A$7:$C$66,IF($M1649="THU",2,3),FALSE()),IF($M1649="THU","06","07")))))))</f>
        <v/>
      </c>
      <c r="P1649" s="117">
        <f>P1648+IF(AND($H1649&lt;&gt;"",OR(LEFT($F1649,LEN(SC_TK))=SC_TK,LEFT($G1649,LEN(SC_TK))=SC_TK)),1,0)</f>
        <v/>
      </c>
    </row>
    <row r="1650" ht="15" customHeight="1" s="78">
      <c r="A1650" s="95">
        <f>IF($H1650="","",ROW()-6)</f>
        <v/>
      </c>
      <c r="B1650" s="114" t="n"/>
      <c r="C1650" s="102" t="n"/>
      <c r="D1650" s="114" t="n"/>
      <c r="E1650" s="103" t="n"/>
      <c r="F1650" s="102" t="n"/>
      <c r="G1650" s="102" t="n"/>
      <c r="H1650" s="115" t="n"/>
      <c r="I1650" s="102" t="n"/>
      <c r="J1650" s="102" t="n"/>
      <c r="K1650" s="103" t="n"/>
      <c r="L1650" s="116">
        <f>IF($H1650="","",TRIM(IF(COUNTIF(DMTK!$A$7:$A$250,$F1650)=0,"TK Nợ sai! ","")&amp;IF(COUNTIF(DMTK!$A$7:$A$250,$G1650)=0,"TK Có sai! ","")&amp;IF(N($H1650)&lt;=0,"Tiền phải &gt; 0! ","")&amp;IF($B1650="","Thiếu ngày! ","")&amp;IF(AND(OR(LEFT($F1650,3)="131",LEFT($G1650,3)="131",LEFT($F1650,3)="331",LEFT($G1650,3)="331"),$I1650=""),"Thiếu Mã ĐT! ","")&amp;IF(AND($I1650&lt;&gt;"",COUNTIF(DM_DT!$A$7:$A$306,$I1650)=0),"Mã ĐT chưa khai báo! ","")))</f>
        <v/>
      </c>
      <c r="M1650" s="117">
        <f>IF($H1650="","",IF(AND(OR(LEFT($F1650,3)="111",LEFT($F1650,3)="112",LEFT($F1650,3)="113"),OR(LEFT($G1650,3)="111",LEFT($G1650,3)="112",LEFT($G1650,3)="113")),"NB",IF(OR(LEFT($F1650,3)="111",LEFT($F1650,3)="112",LEFT($F1650,3)="113"),"THU",IF(OR(LEFT($G1650,3)="111",LEFT($G1650,3)="112",LEFT($G1650,3)="113"),"CHI",""))))</f>
        <v/>
      </c>
      <c r="N1650" s="117">
        <f>IF($M1650="THU",$G1650,IF($M1650="CHI",$F1650,""))</f>
        <v/>
      </c>
      <c r="O1650" s="117">
        <f>IF(OR($M1650="",$M1650="NB"),"",IF($J1650&lt;&gt;"",TEXT($J1650,"00"),IFERROR(VLOOKUP(LEFT($N1650,4),LCTT_MAP!$A$7:$C$66,IF($M1650="THU",2,3),FALSE()),IFERROR(VLOOKUP(LEFT($N1650,3),LCTT_MAP!$A$7:$C$66,IF($M1650="THU",2,3),FALSE()),IFERROR(VLOOKUP(LEFT($N1650,2),LCTT_MAP!$A$7:$C$66,IF($M1650="THU",2,3),FALSE()),IFERROR(VLOOKUP(LEFT($N1650,1),LCTT_MAP!$A$7:$C$66,IF($M1650="THU",2,3),FALSE()),IF($M1650="THU","06","07")))))))</f>
        <v/>
      </c>
      <c r="P1650" s="117">
        <f>P1649+IF(AND($H1650&lt;&gt;"",OR(LEFT($F1650,LEN(SC_TK))=SC_TK,LEFT($G1650,LEN(SC_TK))=SC_TK)),1,0)</f>
        <v/>
      </c>
    </row>
    <row r="1651" ht="15" customHeight="1" s="78">
      <c r="A1651" s="95">
        <f>IF($H1651="","",ROW()-6)</f>
        <v/>
      </c>
      <c r="B1651" s="114" t="n"/>
      <c r="C1651" s="102" t="n"/>
      <c r="D1651" s="114" t="n"/>
      <c r="E1651" s="103" t="n"/>
      <c r="F1651" s="102" t="n"/>
      <c r="G1651" s="102" t="n"/>
      <c r="H1651" s="115" t="n"/>
      <c r="I1651" s="102" t="n"/>
      <c r="J1651" s="102" t="n"/>
      <c r="K1651" s="103" t="n"/>
      <c r="L1651" s="116">
        <f>IF($H1651="","",TRIM(IF(COUNTIF(DMTK!$A$7:$A$250,$F1651)=0,"TK Nợ sai! ","")&amp;IF(COUNTIF(DMTK!$A$7:$A$250,$G1651)=0,"TK Có sai! ","")&amp;IF(N($H1651)&lt;=0,"Tiền phải &gt; 0! ","")&amp;IF($B1651="","Thiếu ngày! ","")&amp;IF(AND(OR(LEFT($F1651,3)="131",LEFT($G1651,3)="131",LEFT($F1651,3)="331",LEFT($G1651,3)="331"),$I1651=""),"Thiếu Mã ĐT! ","")&amp;IF(AND($I1651&lt;&gt;"",COUNTIF(DM_DT!$A$7:$A$306,$I1651)=0),"Mã ĐT chưa khai báo! ","")))</f>
        <v/>
      </c>
      <c r="M1651" s="117">
        <f>IF($H1651="","",IF(AND(OR(LEFT($F1651,3)="111",LEFT($F1651,3)="112",LEFT($F1651,3)="113"),OR(LEFT($G1651,3)="111",LEFT($G1651,3)="112",LEFT($G1651,3)="113")),"NB",IF(OR(LEFT($F1651,3)="111",LEFT($F1651,3)="112",LEFT($F1651,3)="113"),"THU",IF(OR(LEFT($G1651,3)="111",LEFT($G1651,3)="112",LEFT($G1651,3)="113"),"CHI",""))))</f>
        <v/>
      </c>
      <c r="N1651" s="117">
        <f>IF($M1651="THU",$G1651,IF($M1651="CHI",$F1651,""))</f>
        <v/>
      </c>
      <c r="O1651" s="117">
        <f>IF(OR($M1651="",$M1651="NB"),"",IF($J1651&lt;&gt;"",TEXT($J1651,"00"),IFERROR(VLOOKUP(LEFT($N1651,4),LCTT_MAP!$A$7:$C$66,IF($M1651="THU",2,3),FALSE()),IFERROR(VLOOKUP(LEFT($N1651,3),LCTT_MAP!$A$7:$C$66,IF($M1651="THU",2,3),FALSE()),IFERROR(VLOOKUP(LEFT($N1651,2),LCTT_MAP!$A$7:$C$66,IF($M1651="THU",2,3),FALSE()),IFERROR(VLOOKUP(LEFT($N1651,1),LCTT_MAP!$A$7:$C$66,IF($M1651="THU",2,3),FALSE()),IF($M1651="THU","06","07")))))))</f>
        <v/>
      </c>
      <c r="P1651" s="117">
        <f>P1650+IF(AND($H1651&lt;&gt;"",OR(LEFT($F1651,LEN(SC_TK))=SC_TK,LEFT($G1651,LEN(SC_TK))=SC_TK)),1,0)</f>
        <v/>
      </c>
    </row>
    <row r="1652" ht="15" customHeight="1" s="78">
      <c r="A1652" s="95">
        <f>IF($H1652="","",ROW()-6)</f>
        <v/>
      </c>
      <c r="B1652" s="114" t="n"/>
      <c r="C1652" s="102" t="n"/>
      <c r="D1652" s="114" t="n"/>
      <c r="E1652" s="103" t="n"/>
      <c r="F1652" s="102" t="n"/>
      <c r="G1652" s="102" t="n"/>
      <c r="H1652" s="115" t="n"/>
      <c r="I1652" s="102" t="n"/>
      <c r="J1652" s="102" t="n"/>
      <c r="K1652" s="103" t="n"/>
      <c r="L1652" s="116">
        <f>IF($H1652="","",TRIM(IF(COUNTIF(DMTK!$A$7:$A$250,$F1652)=0,"TK Nợ sai! ","")&amp;IF(COUNTIF(DMTK!$A$7:$A$250,$G1652)=0,"TK Có sai! ","")&amp;IF(N($H1652)&lt;=0,"Tiền phải &gt; 0! ","")&amp;IF($B1652="","Thiếu ngày! ","")&amp;IF(AND(OR(LEFT($F1652,3)="131",LEFT($G1652,3)="131",LEFT($F1652,3)="331",LEFT($G1652,3)="331"),$I1652=""),"Thiếu Mã ĐT! ","")&amp;IF(AND($I1652&lt;&gt;"",COUNTIF(DM_DT!$A$7:$A$306,$I1652)=0),"Mã ĐT chưa khai báo! ","")))</f>
        <v/>
      </c>
      <c r="M1652" s="117">
        <f>IF($H1652="","",IF(AND(OR(LEFT($F1652,3)="111",LEFT($F1652,3)="112",LEFT($F1652,3)="113"),OR(LEFT($G1652,3)="111",LEFT($G1652,3)="112",LEFT($G1652,3)="113")),"NB",IF(OR(LEFT($F1652,3)="111",LEFT($F1652,3)="112",LEFT($F1652,3)="113"),"THU",IF(OR(LEFT($G1652,3)="111",LEFT($G1652,3)="112",LEFT($G1652,3)="113"),"CHI",""))))</f>
        <v/>
      </c>
      <c r="N1652" s="117">
        <f>IF($M1652="THU",$G1652,IF($M1652="CHI",$F1652,""))</f>
        <v/>
      </c>
      <c r="O1652" s="117">
        <f>IF(OR($M1652="",$M1652="NB"),"",IF($J1652&lt;&gt;"",TEXT($J1652,"00"),IFERROR(VLOOKUP(LEFT($N1652,4),LCTT_MAP!$A$7:$C$66,IF($M1652="THU",2,3),FALSE()),IFERROR(VLOOKUP(LEFT($N1652,3),LCTT_MAP!$A$7:$C$66,IF($M1652="THU",2,3),FALSE()),IFERROR(VLOOKUP(LEFT($N1652,2),LCTT_MAP!$A$7:$C$66,IF($M1652="THU",2,3),FALSE()),IFERROR(VLOOKUP(LEFT($N1652,1),LCTT_MAP!$A$7:$C$66,IF($M1652="THU",2,3),FALSE()),IF($M1652="THU","06","07")))))))</f>
        <v/>
      </c>
      <c r="P1652" s="117">
        <f>P1651+IF(AND($H1652&lt;&gt;"",OR(LEFT($F1652,LEN(SC_TK))=SC_TK,LEFT($G1652,LEN(SC_TK))=SC_TK)),1,0)</f>
        <v/>
      </c>
    </row>
    <row r="1653" ht="15" customHeight="1" s="78">
      <c r="A1653" s="95">
        <f>IF($H1653="","",ROW()-6)</f>
        <v/>
      </c>
      <c r="B1653" s="114" t="n"/>
      <c r="C1653" s="102" t="n"/>
      <c r="D1653" s="114" t="n"/>
      <c r="E1653" s="103" t="n"/>
      <c r="F1653" s="102" t="n"/>
      <c r="G1653" s="102" t="n"/>
      <c r="H1653" s="115" t="n"/>
      <c r="I1653" s="102" t="n"/>
      <c r="J1653" s="102" t="n"/>
      <c r="K1653" s="103" t="n"/>
      <c r="L1653" s="116">
        <f>IF($H1653="","",TRIM(IF(COUNTIF(DMTK!$A$7:$A$250,$F1653)=0,"TK Nợ sai! ","")&amp;IF(COUNTIF(DMTK!$A$7:$A$250,$G1653)=0,"TK Có sai! ","")&amp;IF(N($H1653)&lt;=0,"Tiền phải &gt; 0! ","")&amp;IF($B1653="","Thiếu ngày! ","")&amp;IF(AND(OR(LEFT($F1653,3)="131",LEFT($G1653,3)="131",LEFT($F1653,3)="331",LEFT($G1653,3)="331"),$I1653=""),"Thiếu Mã ĐT! ","")&amp;IF(AND($I1653&lt;&gt;"",COUNTIF(DM_DT!$A$7:$A$306,$I1653)=0),"Mã ĐT chưa khai báo! ","")))</f>
        <v/>
      </c>
      <c r="M1653" s="117">
        <f>IF($H1653="","",IF(AND(OR(LEFT($F1653,3)="111",LEFT($F1653,3)="112",LEFT($F1653,3)="113"),OR(LEFT($G1653,3)="111",LEFT($G1653,3)="112",LEFT($G1653,3)="113")),"NB",IF(OR(LEFT($F1653,3)="111",LEFT($F1653,3)="112",LEFT($F1653,3)="113"),"THU",IF(OR(LEFT($G1653,3)="111",LEFT($G1653,3)="112",LEFT($G1653,3)="113"),"CHI",""))))</f>
        <v/>
      </c>
      <c r="N1653" s="117">
        <f>IF($M1653="THU",$G1653,IF($M1653="CHI",$F1653,""))</f>
        <v/>
      </c>
      <c r="O1653" s="117">
        <f>IF(OR($M1653="",$M1653="NB"),"",IF($J1653&lt;&gt;"",TEXT($J1653,"00"),IFERROR(VLOOKUP(LEFT($N1653,4),LCTT_MAP!$A$7:$C$66,IF($M1653="THU",2,3),FALSE()),IFERROR(VLOOKUP(LEFT($N1653,3),LCTT_MAP!$A$7:$C$66,IF($M1653="THU",2,3),FALSE()),IFERROR(VLOOKUP(LEFT($N1653,2),LCTT_MAP!$A$7:$C$66,IF($M1653="THU",2,3),FALSE()),IFERROR(VLOOKUP(LEFT($N1653,1),LCTT_MAP!$A$7:$C$66,IF($M1653="THU",2,3),FALSE()),IF($M1653="THU","06","07")))))))</f>
        <v/>
      </c>
      <c r="P1653" s="117">
        <f>P1652+IF(AND($H1653&lt;&gt;"",OR(LEFT($F1653,LEN(SC_TK))=SC_TK,LEFT($G1653,LEN(SC_TK))=SC_TK)),1,0)</f>
        <v/>
      </c>
    </row>
    <row r="1654" ht="15" customHeight="1" s="78">
      <c r="A1654" s="95">
        <f>IF($H1654="","",ROW()-6)</f>
        <v/>
      </c>
      <c r="B1654" s="114" t="n"/>
      <c r="C1654" s="102" t="n"/>
      <c r="D1654" s="114" t="n"/>
      <c r="E1654" s="103" t="n"/>
      <c r="F1654" s="102" t="n"/>
      <c r="G1654" s="102" t="n"/>
      <c r="H1654" s="115" t="n"/>
      <c r="I1654" s="102" t="n"/>
      <c r="J1654" s="102" t="n"/>
      <c r="K1654" s="103" t="n"/>
      <c r="L1654" s="116">
        <f>IF($H1654="","",TRIM(IF(COUNTIF(DMTK!$A$7:$A$250,$F1654)=0,"TK Nợ sai! ","")&amp;IF(COUNTIF(DMTK!$A$7:$A$250,$G1654)=0,"TK Có sai! ","")&amp;IF(N($H1654)&lt;=0,"Tiền phải &gt; 0! ","")&amp;IF($B1654="","Thiếu ngày! ","")&amp;IF(AND(OR(LEFT($F1654,3)="131",LEFT($G1654,3)="131",LEFT($F1654,3)="331",LEFT($G1654,3)="331"),$I1654=""),"Thiếu Mã ĐT! ","")&amp;IF(AND($I1654&lt;&gt;"",COUNTIF(DM_DT!$A$7:$A$306,$I1654)=0),"Mã ĐT chưa khai báo! ","")))</f>
        <v/>
      </c>
      <c r="M1654" s="117">
        <f>IF($H1654="","",IF(AND(OR(LEFT($F1654,3)="111",LEFT($F1654,3)="112",LEFT($F1654,3)="113"),OR(LEFT($G1654,3)="111",LEFT($G1654,3)="112",LEFT($G1654,3)="113")),"NB",IF(OR(LEFT($F1654,3)="111",LEFT($F1654,3)="112",LEFT($F1654,3)="113"),"THU",IF(OR(LEFT($G1654,3)="111",LEFT($G1654,3)="112",LEFT($G1654,3)="113"),"CHI",""))))</f>
        <v/>
      </c>
      <c r="N1654" s="117">
        <f>IF($M1654="THU",$G1654,IF($M1654="CHI",$F1654,""))</f>
        <v/>
      </c>
      <c r="O1654" s="117">
        <f>IF(OR($M1654="",$M1654="NB"),"",IF($J1654&lt;&gt;"",TEXT($J1654,"00"),IFERROR(VLOOKUP(LEFT($N1654,4),LCTT_MAP!$A$7:$C$66,IF($M1654="THU",2,3),FALSE()),IFERROR(VLOOKUP(LEFT($N1654,3),LCTT_MAP!$A$7:$C$66,IF($M1654="THU",2,3),FALSE()),IFERROR(VLOOKUP(LEFT($N1654,2),LCTT_MAP!$A$7:$C$66,IF($M1654="THU",2,3),FALSE()),IFERROR(VLOOKUP(LEFT($N1654,1),LCTT_MAP!$A$7:$C$66,IF($M1654="THU",2,3),FALSE()),IF($M1654="THU","06","07")))))))</f>
        <v/>
      </c>
      <c r="P1654" s="117">
        <f>P1653+IF(AND($H1654&lt;&gt;"",OR(LEFT($F1654,LEN(SC_TK))=SC_TK,LEFT($G1654,LEN(SC_TK))=SC_TK)),1,0)</f>
        <v/>
      </c>
    </row>
    <row r="1655" ht="15" customHeight="1" s="78">
      <c r="A1655" s="95">
        <f>IF($H1655="","",ROW()-6)</f>
        <v/>
      </c>
      <c r="B1655" s="114" t="n"/>
      <c r="C1655" s="102" t="n"/>
      <c r="D1655" s="114" t="n"/>
      <c r="E1655" s="103" t="n"/>
      <c r="F1655" s="102" t="n"/>
      <c r="G1655" s="102" t="n"/>
      <c r="H1655" s="115" t="n"/>
      <c r="I1655" s="102" t="n"/>
      <c r="J1655" s="102" t="n"/>
      <c r="K1655" s="103" t="n"/>
      <c r="L1655" s="116">
        <f>IF($H1655="","",TRIM(IF(COUNTIF(DMTK!$A$7:$A$250,$F1655)=0,"TK Nợ sai! ","")&amp;IF(COUNTIF(DMTK!$A$7:$A$250,$G1655)=0,"TK Có sai! ","")&amp;IF(N($H1655)&lt;=0,"Tiền phải &gt; 0! ","")&amp;IF($B1655="","Thiếu ngày! ","")&amp;IF(AND(OR(LEFT($F1655,3)="131",LEFT($G1655,3)="131",LEFT($F1655,3)="331",LEFT($G1655,3)="331"),$I1655=""),"Thiếu Mã ĐT! ","")&amp;IF(AND($I1655&lt;&gt;"",COUNTIF(DM_DT!$A$7:$A$306,$I1655)=0),"Mã ĐT chưa khai báo! ","")))</f>
        <v/>
      </c>
      <c r="M1655" s="117">
        <f>IF($H1655="","",IF(AND(OR(LEFT($F1655,3)="111",LEFT($F1655,3)="112",LEFT($F1655,3)="113"),OR(LEFT($G1655,3)="111",LEFT($G1655,3)="112",LEFT($G1655,3)="113")),"NB",IF(OR(LEFT($F1655,3)="111",LEFT($F1655,3)="112",LEFT($F1655,3)="113"),"THU",IF(OR(LEFT($G1655,3)="111",LEFT($G1655,3)="112",LEFT($G1655,3)="113"),"CHI",""))))</f>
        <v/>
      </c>
      <c r="N1655" s="117">
        <f>IF($M1655="THU",$G1655,IF($M1655="CHI",$F1655,""))</f>
        <v/>
      </c>
      <c r="O1655" s="117">
        <f>IF(OR($M1655="",$M1655="NB"),"",IF($J1655&lt;&gt;"",TEXT($J1655,"00"),IFERROR(VLOOKUP(LEFT($N1655,4),LCTT_MAP!$A$7:$C$66,IF($M1655="THU",2,3),FALSE()),IFERROR(VLOOKUP(LEFT($N1655,3),LCTT_MAP!$A$7:$C$66,IF($M1655="THU",2,3),FALSE()),IFERROR(VLOOKUP(LEFT($N1655,2),LCTT_MAP!$A$7:$C$66,IF($M1655="THU",2,3),FALSE()),IFERROR(VLOOKUP(LEFT($N1655,1),LCTT_MAP!$A$7:$C$66,IF($M1655="THU",2,3),FALSE()),IF($M1655="THU","06","07")))))))</f>
        <v/>
      </c>
      <c r="P1655" s="117">
        <f>P1654+IF(AND($H1655&lt;&gt;"",OR(LEFT($F1655,LEN(SC_TK))=SC_TK,LEFT($G1655,LEN(SC_TK))=SC_TK)),1,0)</f>
        <v/>
      </c>
    </row>
    <row r="1656" ht="15" customHeight="1" s="78">
      <c r="A1656" s="95">
        <f>IF($H1656="","",ROW()-6)</f>
        <v/>
      </c>
      <c r="B1656" s="114" t="n"/>
      <c r="C1656" s="102" t="n"/>
      <c r="D1656" s="114" t="n"/>
      <c r="E1656" s="103" t="n"/>
      <c r="F1656" s="102" t="n"/>
      <c r="G1656" s="102" t="n"/>
      <c r="H1656" s="115" t="n"/>
      <c r="I1656" s="102" t="n"/>
      <c r="J1656" s="102" t="n"/>
      <c r="K1656" s="103" t="n"/>
      <c r="L1656" s="116">
        <f>IF($H1656="","",TRIM(IF(COUNTIF(DMTK!$A$7:$A$250,$F1656)=0,"TK Nợ sai! ","")&amp;IF(COUNTIF(DMTK!$A$7:$A$250,$G1656)=0,"TK Có sai! ","")&amp;IF(N($H1656)&lt;=0,"Tiền phải &gt; 0! ","")&amp;IF($B1656="","Thiếu ngày! ","")&amp;IF(AND(OR(LEFT($F1656,3)="131",LEFT($G1656,3)="131",LEFT($F1656,3)="331",LEFT($G1656,3)="331"),$I1656=""),"Thiếu Mã ĐT! ","")&amp;IF(AND($I1656&lt;&gt;"",COUNTIF(DM_DT!$A$7:$A$306,$I1656)=0),"Mã ĐT chưa khai báo! ","")))</f>
        <v/>
      </c>
      <c r="M1656" s="117">
        <f>IF($H1656="","",IF(AND(OR(LEFT($F1656,3)="111",LEFT($F1656,3)="112",LEFT($F1656,3)="113"),OR(LEFT($G1656,3)="111",LEFT($G1656,3)="112",LEFT($G1656,3)="113")),"NB",IF(OR(LEFT($F1656,3)="111",LEFT($F1656,3)="112",LEFT($F1656,3)="113"),"THU",IF(OR(LEFT($G1656,3)="111",LEFT($G1656,3)="112",LEFT($G1656,3)="113"),"CHI",""))))</f>
        <v/>
      </c>
      <c r="N1656" s="117">
        <f>IF($M1656="THU",$G1656,IF($M1656="CHI",$F1656,""))</f>
        <v/>
      </c>
      <c r="O1656" s="117">
        <f>IF(OR($M1656="",$M1656="NB"),"",IF($J1656&lt;&gt;"",TEXT($J1656,"00"),IFERROR(VLOOKUP(LEFT($N1656,4),LCTT_MAP!$A$7:$C$66,IF($M1656="THU",2,3),FALSE()),IFERROR(VLOOKUP(LEFT($N1656,3),LCTT_MAP!$A$7:$C$66,IF($M1656="THU",2,3),FALSE()),IFERROR(VLOOKUP(LEFT($N1656,2),LCTT_MAP!$A$7:$C$66,IF($M1656="THU",2,3),FALSE()),IFERROR(VLOOKUP(LEFT($N1656,1),LCTT_MAP!$A$7:$C$66,IF($M1656="THU",2,3),FALSE()),IF($M1656="THU","06","07")))))))</f>
        <v/>
      </c>
      <c r="P1656" s="117">
        <f>P1655+IF(AND($H1656&lt;&gt;"",OR(LEFT($F1656,LEN(SC_TK))=SC_TK,LEFT($G1656,LEN(SC_TK))=SC_TK)),1,0)</f>
        <v/>
      </c>
    </row>
    <row r="1657" ht="15" customHeight="1" s="78">
      <c r="A1657" s="95">
        <f>IF($H1657="","",ROW()-6)</f>
        <v/>
      </c>
      <c r="B1657" s="114" t="n"/>
      <c r="C1657" s="102" t="n"/>
      <c r="D1657" s="114" t="n"/>
      <c r="E1657" s="103" t="n"/>
      <c r="F1657" s="102" t="n"/>
      <c r="G1657" s="102" t="n"/>
      <c r="H1657" s="115" t="n"/>
      <c r="I1657" s="102" t="n"/>
      <c r="J1657" s="102" t="n"/>
      <c r="K1657" s="103" t="n"/>
      <c r="L1657" s="116">
        <f>IF($H1657="","",TRIM(IF(COUNTIF(DMTK!$A$7:$A$250,$F1657)=0,"TK Nợ sai! ","")&amp;IF(COUNTIF(DMTK!$A$7:$A$250,$G1657)=0,"TK Có sai! ","")&amp;IF(N($H1657)&lt;=0,"Tiền phải &gt; 0! ","")&amp;IF($B1657="","Thiếu ngày! ","")&amp;IF(AND(OR(LEFT($F1657,3)="131",LEFT($G1657,3)="131",LEFT($F1657,3)="331",LEFT($G1657,3)="331"),$I1657=""),"Thiếu Mã ĐT! ","")&amp;IF(AND($I1657&lt;&gt;"",COUNTIF(DM_DT!$A$7:$A$306,$I1657)=0),"Mã ĐT chưa khai báo! ","")))</f>
        <v/>
      </c>
      <c r="M1657" s="117">
        <f>IF($H1657="","",IF(AND(OR(LEFT($F1657,3)="111",LEFT($F1657,3)="112",LEFT($F1657,3)="113"),OR(LEFT($G1657,3)="111",LEFT($G1657,3)="112",LEFT($G1657,3)="113")),"NB",IF(OR(LEFT($F1657,3)="111",LEFT($F1657,3)="112",LEFT($F1657,3)="113"),"THU",IF(OR(LEFT($G1657,3)="111",LEFT($G1657,3)="112",LEFT($G1657,3)="113"),"CHI",""))))</f>
        <v/>
      </c>
      <c r="N1657" s="117">
        <f>IF($M1657="THU",$G1657,IF($M1657="CHI",$F1657,""))</f>
        <v/>
      </c>
      <c r="O1657" s="117">
        <f>IF(OR($M1657="",$M1657="NB"),"",IF($J1657&lt;&gt;"",TEXT($J1657,"00"),IFERROR(VLOOKUP(LEFT($N1657,4),LCTT_MAP!$A$7:$C$66,IF($M1657="THU",2,3),FALSE()),IFERROR(VLOOKUP(LEFT($N1657,3),LCTT_MAP!$A$7:$C$66,IF($M1657="THU",2,3),FALSE()),IFERROR(VLOOKUP(LEFT($N1657,2),LCTT_MAP!$A$7:$C$66,IF($M1657="THU",2,3),FALSE()),IFERROR(VLOOKUP(LEFT($N1657,1),LCTT_MAP!$A$7:$C$66,IF($M1657="THU",2,3),FALSE()),IF($M1657="THU","06","07")))))))</f>
        <v/>
      </c>
      <c r="P1657" s="117">
        <f>P1656+IF(AND($H1657&lt;&gt;"",OR(LEFT($F1657,LEN(SC_TK))=SC_TK,LEFT($G1657,LEN(SC_TK))=SC_TK)),1,0)</f>
        <v/>
      </c>
    </row>
    <row r="1658" ht="15" customHeight="1" s="78">
      <c r="A1658" s="95">
        <f>IF($H1658="","",ROW()-6)</f>
        <v/>
      </c>
      <c r="B1658" s="114" t="n"/>
      <c r="C1658" s="102" t="n"/>
      <c r="D1658" s="114" t="n"/>
      <c r="E1658" s="103" t="n"/>
      <c r="F1658" s="102" t="n"/>
      <c r="G1658" s="102" t="n"/>
      <c r="H1658" s="115" t="n"/>
      <c r="I1658" s="102" t="n"/>
      <c r="J1658" s="102" t="n"/>
      <c r="K1658" s="103" t="n"/>
      <c r="L1658" s="116">
        <f>IF($H1658="","",TRIM(IF(COUNTIF(DMTK!$A$7:$A$250,$F1658)=0,"TK Nợ sai! ","")&amp;IF(COUNTIF(DMTK!$A$7:$A$250,$G1658)=0,"TK Có sai! ","")&amp;IF(N($H1658)&lt;=0,"Tiền phải &gt; 0! ","")&amp;IF($B1658="","Thiếu ngày! ","")&amp;IF(AND(OR(LEFT($F1658,3)="131",LEFT($G1658,3)="131",LEFT($F1658,3)="331",LEFT($G1658,3)="331"),$I1658=""),"Thiếu Mã ĐT! ","")&amp;IF(AND($I1658&lt;&gt;"",COUNTIF(DM_DT!$A$7:$A$306,$I1658)=0),"Mã ĐT chưa khai báo! ","")))</f>
        <v/>
      </c>
      <c r="M1658" s="117">
        <f>IF($H1658="","",IF(AND(OR(LEFT($F1658,3)="111",LEFT($F1658,3)="112",LEFT($F1658,3)="113"),OR(LEFT($G1658,3)="111",LEFT($G1658,3)="112",LEFT($G1658,3)="113")),"NB",IF(OR(LEFT($F1658,3)="111",LEFT($F1658,3)="112",LEFT($F1658,3)="113"),"THU",IF(OR(LEFT($G1658,3)="111",LEFT($G1658,3)="112",LEFT($G1658,3)="113"),"CHI",""))))</f>
        <v/>
      </c>
      <c r="N1658" s="117">
        <f>IF($M1658="THU",$G1658,IF($M1658="CHI",$F1658,""))</f>
        <v/>
      </c>
      <c r="O1658" s="117">
        <f>IF(OR($M1658="",$M1658="NB"),"",IF($J1658&lt;&gt;"",TEXT($J1658,"00"),IFERROR(VLOOKUP(LEFT($N1658,4),LCTT_MAP!$A$7:$C$66,IF($M1658="THU",2,3),FALSE()),IFERROR(VLOOKUP(LEFT($N1658,3),LCTT_MAP!$A$7:$C$66,IF($M1658="THU",2,3),FALSE()),IFERROR(VLOOKUP(LEFT($N1658,2),LCTT_MAP!$A$7:$C$66,IF($M1658="THU",2,3),FALSE()),IFERROR(VLOOKUP(LEFT($N1658,1),LCTT_MAP!$A$7:$C$66,IF($M1658="THU",2,3),FALSE()),IF($M1658="THU","06","07")))))))</f>
        <v/>
      </c>
      <c r="P1658" s="117">
        <f>P1657+IF(AND($H1658&lt;&gt;"",OR(LEFT($F1658,LEN(SC_TK))=SC_TK,LEFT($G1658,LEN(SC_TK))=SC_TK)),1,0)</f>
        <v/>
      </c>
    </row>
    <row r="1659" ht="15" customHeight="1" s="78">
      <c r="A1659" s="95">
        <f>IF($H1659="","",ROW()-6)</f>
        <v/>
      </c>
      <c r="B1659" s="114" t="n"/>
      <c r="C1659" s="102" t="n"/>
      <c r="D1659" s="114" t="n"/>
      <c r="E1659" s="103" t="n"/>
      <c r="F1659" s="102" t="n"/>
      <c r="G1659" s="102" t="n"/>
      <c r="H1659" s="115" t="n"/>
      <c r="I1659" s="102" t="n"/>
      <c r="J1659" s="102" t="n"/>
      <c r="K1659" s="103" t="n"/>
      <c r="L1659" s="116">
        <f>IF($H1659="","",TRIM(IF(COUNTIF(DMTK!$A$7:$A$250,$F1659)=0,"TK Nợ sai! ","")&amp;IF(COUNTIF(DMTK!$A$7:$A$250,$G1659)=0,"TK Có sai! ","")&amp;IF(N($H1659)&lt;=0,"Tiền phải &gt; 0! ","")&amp;IF($B1659="","Thiếu ngày! ","")&amp;IF(AND(OR(LEFT($F1659,3)="131",LEFT($G1659,3)="131",LEFT($F1659,3)="331",LEFT($G1659,3)="331"),$I1659=""),"Thiếu Mã ĐT! ","")&amp;IF(AND($I1659&lt;&gt;"",COUNTIF(DM_DT!$A$7:$A$306,$I1659)=0),"Mã ĐT chưa khai báo! ","")))</f>
        <v/>
      </c>
      <c r="M1659" s="117">
        <f>IF($H1659="","",IF(AND(OR(LEFT($F1659,3)="111",LEFT($F1659,3)="112",LEFT($F1659,3)="113"),OR(LEFT($G1659,3)="111",LEFT($G1659,3)="112",LEFT($G1659,3)="113")),"NB",IF(OR(LEFT($F1659,3)="111",LEFT($F1659,3)="112",LEFT($F1659,3)="113"),"THU",IF(OR(LEFT($G1659,3)="111",LEFT($G1659,3)="112",LEFT($G1659,3)="113"),"CHI",""))))</f>
        <v/>
      </c>
      <c r="N1659" s="117">
        <f>IF($M1659="THU",$G1659,IF($M1659="CHI",$F1659,""))</f>
        <v/>
      </c>
      <c r="O1659" s="117">
        <f>IF(OR($M1659="",$M1659="NB"),"",IF($J1659&lt;&gt;"",TEXT($J1659,"00"),IFERROR(VLOOKUP(LEFT($N1659,4),LCTT_MAP!$A$7:$C$66,IF($M1659="THU",2,3),FALSE()),IFERROR(VLOOKUP(LEFT($N1659,3),LCTT_MAP!$A$7:$C$66,IF($M1659="THU",2,3),FALSE()),IFERROR(VLOOKUP(LEFT($N1659,2),LCTT_MAP!$A$7:$C$66,IF($M1659="THU",2,3),FALSE()),IFERROR(VLOOKUP(LEFT($N1659,1),LCTT_MAP!$A$7:$C$66,IF($M1659="THU",2,3),FALSE()),IF($M1659="THU","06","07")))))))</f>
        <v/>
      </c>
      <c r="P1659" s="117">
        <f>P1658+IF(AND($H1659&lt;&gt;"",OR(LEFT($F1659,LEN(SC_TK))=SC_TK,LEFT($G1659,LEN(SC_TK))=SC_TK)),1,0)</f>
        <v/>
      </c>
    </row>
    <row r="1660" ht="15" customHeight="1" s="78">
      <c r="A1660" s="95">
        <f>IF($H1660="","",ROW()-6)</f>
        <v/>
      </c>
      <c r="B1660" s="114" t="n"/>
      <c r="C1660" s="102" t="n"/>
      <c r="D1660" s="114" t="n"/>
      <c r="E1660" s="103" t="n"/>
      <c r="F1660" s="102" t="n"/>
      <c r="G1660" s="102" t="n"/>
      <c r="H1660" s="115" t="n"/>
      <c r="I1660" s="102" t="n"/>
      <c r="J1660" s="102" t="n"/>
      <c r="K1660" s="103" t="n"/>
      <c r="L1660" s="116">
        <f>IF($H1660="","",TRIM(IF(COUNTIF(DMTK!$A$7:$A$250,$F1660)=0,"TK Nợ sai! ","")&amp;IF(COUNTIF(DMTK!$A$7:$A$250,$G1660)=0,"TK Có sai! ","")&amp;IF(N($H1660)&lt;=0,"Tiền phải &gt; 0! ","")&amp;IF($B1660="","Thiếu ngày! ","")&amp;IF(AND(OR(LEFT($F1660,3)="131",LEFT($G1660,3)="131",LEFT($F1660,3)="331",LEFT($G1660,3)="331"),$I1660=""),"Thiếu Mã ĐT! ","")&amp;IF(AND($I1660&lt;&gt;"",COUNTIF(DM_DT!$A$7:$A$306,$I1660)=0),"Mã ĐT chưa khai báo! ","")))</f>
        <v/>
      </c>
      <c r="M1660" s="117">
        <f>IF($H1660="","",IF(AND(OR(LEFT($F1660,3)="111",LEFT($F1660,3)="112",LEFT($F1660,3)="113"),OR(LEFT($G1660,3)="111",LEFT($G1660,3)="112",LEFT($G1660,3)="113")),"NB",IF(OR(LEFT($F1660,3)="111",LEFT($F1660,3)="112",LEFT($F1660,3)="113"),"THU",IF(OR(LEFT($G1660,3)="111",LEFT($G1660,3)="112",LEFT($G1660,3)="113"),"CHI",""))))</f>
        <v/>
      </c>
      <c r="N1660" s="117">
        <f>IF($M1660="THU",$G1660,IF($M1660="CHI",$F1660,""))</f>
        <v/>
      </c>
      <c r="O1660" s="117">
        <f>IF(OR($M1660="",$M1660="NB"),"",IF($J1660&lt;&gt;"",TEXT($J1660,"00"),IFERROR(VLOOKUP(LEFT($N1660,4),LCTT_MAP!$A$7:$C$66,IF($M1660="THU",2,3),FALSE()),IFERROR(VLOOKUP(LEFT($N1660,3),LCTT_MAP!$A$7:$C$66,IF($M1660="THU",2,3),FALSE()),IFERROR(VLOOKUP(LEFT($N1660,2),LCTT_MAP!$A$7:$C$66,IF($M1660="THU",2,3),FALSE()),IFERROR(VLOOKUP(LEFT($N1660,1),LCTT_MAP!$A$7:$C$66,IF($M1660="THU",2,3),FALSE()),IF($M1660="THU","06","07")))))))</f>
        <v/>
      </c>
      <c r="P1660" s="117">
        <f>P1659+IF(AND($H1660&lt;&gt;"",OR(LEFT($F1660,LEN(SC_TK))=SC_TK,LEFT($G1660,LEN(SC_TK))=SC_TK)),1,0)</f>
        <v/>
      </c>
    </row>
    <row r="1661" ht="15" customHeight="1" s="78">
      <c r="A1661" s="95">
        <f>IF($H1661="","",ROW()-6)</f>
        <v/>
      </c>
      <c r="B1661" s="114" t="n"/>
      <c r="C1661" s="102" t="n"/>
      <c r="D1661" s="114" t="n"/>
      <c r="E1661" s="103" t="n"/>
      <c r="F1661" s="102" t="n"/>
      <c r="G1661" s="102" t="n"/>
      <c r="H1661" s="115" t="n"/>
      <c r="I1661" s="102" t="n"/>
      <c r="J1661" s="102" t="n"/>
      <c r="K1661" s="103" t="n"/>
      <c r="L1661" s="116">
        <f>IF($H1661="","",TRIM(IF(COUNTIF(DMTK!$A$7:$A$250,$F1661)=0,"TK Nợ sai! ","")&amp;IF(COUNTIF(DMTK!$A$7:$A$250,$G1661)=0,"TK Có sai! ","")&amp;IF(N($H1661)&lt;=0,"Tiền phải &gt; 0! ","")&amp;IF($B1661="","Thiếu ngày! ","")&amp;IF(AND(OR(LEFT($F1661,3)="131",LEFT($G1661,3)="131",LEFT($F1661,3)="331",LEFT($G1661,3)="331"),$I1661=""),"Thiếu Mã ĐT! ","")&amp;IF(AND($I1661&lt;&gt;"",COUNTIF(DM_DT!$A$7:$A$306,$I1661)=0),"Mã ĐT chưa khai báo! ","")))</f>
        <v/>
      </c>
      <c r="M1661" s="117">
        <f>IF($H1661="","",IF(AND(OR(LEFT($F1661,3)="111",LEFT($F1661,3)="112",LEFT($F1661,3)="113"),OR(LEFT($G1661,3)="111",LEFT($G1661,3)="112",LEFT($G1661,3)="113")),"NB",IF(OR(LEFT($F1661,3)="111",LEFT($F1661,3)="112",LEFT($F1661,3)="113"),"THU",IF(OR(LEFT($G1661,3)="111",LEFT($G1661,3)="112",LEFT($G1661,3)="113"),"CHI",""))))</f>
        <v/>
      </c>
      <c r="N1661" s="117">
        <f>IF($M1661="THU",$G1661,IF($M1661="CHI",$F1661,""))</f>
        <v/>
      </c>
      <c r="O1661" s="117">
        <f>IF(OR($M1661="",$M1661="NB"),"",IF($J1661&lt;&gt;"",TEXT($J1661,"00"),IFERROR(VLOOKUP(LEFT($N1661,4),LCTT_MAP!$A$7:$C$66,IF($M1661="THU",2,3),FALSE()),IFERROR(VLOOKUP(LEFT($N1661,3),LCTT_MAP!$A$7:$C$66,IF($M1661="THU",2,3),FALSE()),IFERROR(VLOOKUP(LEFT($N1661,2),LCTT_MAP!$A$7:$C$66,IF($M1661="THU",2,3),FALSE()),IFERROR(VLOOKUP(LEFT($N1661,1),LCTT_MAP!$A$7:$C$66,IF($M1661="THU",2,3),FALSE()),IF($M1661="THU","06","07")))))))</f>
        <v/>
      </c>
      <c r="P1661" s="117">
        <f>P1660+IF(AND($H1661&lt;&gt;"",OR(LEFT($F1661,LEN(SC_TK))=SC_TK,LEFT($G1661,LEN(SC_TK))=SC_TK)),1,0)</f>
        <v/>
      </c>
    </row>
    <row r="1662" ht="15" customHeight="1" s="78">
      <c r="A1662" s="95">
        <f>IF($H1662="","",ROW()-6)</f>
        <v/>
      </c>
      <c r="B1662" s="114" t="n"/>
      <c r="C1662" s="102" t="n"/>
      <c r="D1662" s="114" t="n"/>
      <c r="E1662" s="103" t="n"/>
      <c r="F1662" s="102" t="n"/>
      <c r="G1662" s="102" t="n"/>
      <c r="H1662" s="115" t="n"/>
      <c r="I1662" s="102" t="n"/>
      <c r="J1662" s="102" t="n"/>
      <c r="K1662" s="103" t="n"/>
      <c r="L1662" s="116">
        <f>IF($H1662="","",TRIM(IF(COUNTIF(DMTK!$A$7:$A$250,$F1662)=0,"TK Nợ sai! ","")&amp;IF(COUNTIF(DMTK!$A$7:$A$250,$G1662)=0,"TK Có sai! ","")&amp;IF(N($H1662)&lt;=0,"Tiền phải &gt; 0! ","")&amp;IF($B1662="","Thiếu ngày! ","")&amp;IF(AND(OR(LEFT($F1662,3)="131",LEFT($G1662,3)="131",LEFT($F1662,3)="331",LEFT($G1662,3)="331"),$I1662=""),"Thiếu Mã ĐT! ","")&amp;IF(AND($I1662&lt;&gt;"",COUNTIF(DM_DT!$A$7:$A$306,$I1662)=0),"Mã ĐT chưa khai báo! ","")))</f>
        <v/>
      </c>
      <c r="M1662" s="117">
        <f>IF($H1662="","",IF(AND(OR(LEFT($F1662,3)="111",LEFT($F1662,3)="112",LEFT($F1662,3)="113"),OR(LEFT($G1662,3)="111",LEFT($G1662,3)="112",LEFT($G1662,3)="113")),"NB",IF(OR(LEFT($F1662,3)="111",LEFT($F1662,3)="112",LEFT($F1662,3)="113"),"THU",IF(OR(LEFT($G1662,3)="111",LEFT($G1662,3)="112",LEFT($G1662,3)="113"),"CHI",""))))</f>
        <v/>
      </c>
      <c r="N1662" s="117">
        <f>IF($M1662="THU",$G1662,IF($M1662="CHI",$F1662,""))</f>
        <v/>
      </c>
      <c r="O1662" s="117">
        <f>IF(OR($M1662="",$M1662="NB"),"",IF($J1662&lt;&gt;"",TEXT($J1662,"00"),IFERROR(VLOOKUP(LEFT($N1662,4),LCTT_MAP!$A$7:$C$66,IF($M1662="THU",2,3),FALSE()),IFERROR(VLOOKUP(LEFT($N1662,3),LCTT_MAP!$A$7:$C$66,IF($M1662="THU",2,3),FALSE()),IFERROR(VLOOKUP(LEFT($N1662,2),LCTT_MAP!$A$7:$C$66,IF($M1662="THU",2,3),FALSE()),IFERROR(VLOOKUP(LEFT($N1662,1),LCTT_MAP!$A$7:$C$66,IF($M1662="THU",2,3),FALSE()),IF($M1662="THU","06","07")))))))</f>
        <v/>
      </c>
      <c r="P1662" s="117">
        <f>P1661+IF(AND($H1662&lt;&gt;"",OR(LEFT($F1662,LEN(SC_TK))=SC_TK,LEFT($G1662,LEN(SC_TK))=SC_TK)),1,0)</f>
        <v/>
      </c>
    </row>
    <row r="1663" ht="15" customHeight="1" s="78">
      <c r="A1663" s="95">
        <f>IF($H1663="","",ROW()-6)</f>
        <v/>
      </c>
      <c r="B1663" s="114" t="n"/>
      <c r="C1663" s="102" t="n"/>
      <c r="D1663" s="114" t="n"/>
      <c r="E1663" s="103" t="n"/>
      <c r="F1663" s="102" t="n"/>
      <c r="G1663" s="102" t="n"/>
      <c r="H1663" s="115" t="n"/>
      <c r="I1663" s="102" t="n"/>
      <c r="J1663" s="102" t="n"/>
      <c r="K1663" s="103" t="n"/>
      <c r="L1663" s="116">
        <f>IF($H1663="","",TRIM(IF(COUNTIF(DMTK!$A$7:$A$250,$F1663)=0,"TK Nợ sai! ","")&amp;IF(COUNTIF(DMTK!$A$7:$A$250,$G1663)=0,"TK Có sai! ","")&amp;IF(N($H1663)&lt;=0,"Tiền phải &gt; 0! ","")&amp;IF($B1663="","Thiếu ngày! ","")&amp;IF(AND(OR(LEFT($F1663,3)="131",LEFT($G1663,3)="131",LEFT($F1663,3)="331",LEFT($G1663,3)="331"),$I1663=""),"Thiếu Mã ĐT! ","")&amp;IF(AND($I1663&lt;&gt;"",COUNTIF(DM_DT!$A$7:$A$306,$I1663)=0),"Mã ĐT chưa khai báo! ","")))</f>
        <v/>
      </c>
      <c r="M1663" s="117">
        <f>IF($H1663="","",IF(AND(OR(LEFT($F1663,3)="111",LEFT($F1663,3)="112",LEFT($F1663,3)="113"),OR(LEFT($G1663,3)="111",LEFT($G1663,3)="112",LEFT($G1663,3)="113")),"NB",IF(OR(LEFT($F1663,3)="111",LEFT($F1663,3)="112",LEFT($F1663,3)="113"),"THU",IF(OR(LEFT($G1663,3)="111",LEFT($G1663,3)="112",LEFT($G1663,3)="113"),"CHI",""))))</f>
        <v/>
      </c>
      <c r="N1663" s="117">
        <f>IF($M1663="THU",$G1663,IF($M1663="CHI",$F1663,""))</f>
        <v/>
      </c>
      <c r="O1663" s="117">
        <f>IF(OR($M1663="",$M1663="NB"),"",IF($J1663&lt;&gt;"",TEXT($J1663,"00"),IFERROR(VLOOKUP(LEFT($N1663,4),LCTT_MAP!$A$7:$C$66,IF($M1663="THU",2,3),FALSE()),IFERROR(VLOOKUP(LEFT($N1663,3),LCTT_MAP!$A$7:$C$66,IF($M1663="THU",2,3),FALSE()),IFERROR(VLOOKUP(LEFT($N1663,2),LCTT_MAP!$A$7:$C$66,IF($M1663="THU",2,3),FALSE()),IFERROR(VLOOKUP(LEFT($N1663,1),LCTT_MAP!$A$7:$C$66,IF($M1663="THU",2,3),FALSE()),IF($M1663="THU","06","07")))))))</f>
        <v/>
      </c>
      <c r="P1663" s="117">
        <f>P1662+IF(AND($H1663&lt;&gt;"",OR(LEFT($F1663,LEN(SC_TK))=SC_TK,LEFT($G1663,LEN(SC_TK))=SC_TK)),1,0)</f>
        <v/>
      </c>
    </row>
    <row r="1664" ht="15" customHeight="1" s="78">
      <c r="A1664" s="95">
        <f>IF($H1664="","",ROW()-6)</f>
        <v/>
      </c>
      <c r="B1664" s="114" t="n"/>
      <c r="C1664" s="102" t="n"/>
      <c r="D1664" s="114" t="n"/>
      <c r="E1664" s="103" t="n"/>
      <c r="F1664" s="102" t="n"/>
      <c r="G1664" s="102" t="n"/>
      <c r="H1664" s="115" t="n"/>
      <c r="I1664" s="102" t="n"/>
      <c r="J1664" s="102" t="n"/>
      <c r="K1664" s="103" t="n"/>
      <c r="L1664" s="116">
        <f>IF($H1664="","",TRIM(IF(COUNTIF(DMTK!$A$7:$A$250,$F1664)=0,"TK Nợ sai! ","")&amp;IF(COUNTIF(DMTK!$A$7:$A$250,$G1664)=0,"TK Có sai! ","")&amp;IF(N($H1664)&lt;=0,"Tiền phải &gt; 0! ","")&amp;IF($B1664="","Thiếu ngày! ","")&amp;IF(AND(OR(LEFT($F1664,3)="131",LEFT($G1664,3)="131",LEFT($F1664,3)="331",LEFT($G1664,3)="331"),$I1664=""),"Thiếu Mã ĐT! ","")&amp;IF(AND($I1664&lt;&gt;"",COUNTIF(DM_DT!$A$7:$A$306,$I1664)=0),"Mã ĐT chưa khai báo! ","")))</f>
        <v/>
      </c>
      <c r="M1664" s="117">
        <f>IF($H1664="","",IF(AND(OR(LEFT($F1664,3)="111",LEFT($F1664,3)="112",LEFT($F1664,3)="113"),OR(LEFT($G1664,3)="111",LEFT($G1664,3)="112",LEFT($G1664,3)="113")),"NB",IF(OR(LEFT($F1664,3)="111",LEFT($F1664,3)="112",LEFT($F1664,3)="113"),"THU",IF(OR(LEFT($G1664,3)="111",LEFT($G1664,3)="112",LEFT($G1664,3)="113"),"CHI",""))))</f>
        <v/>
      </c>
      <c r="N1664" s="117">
        <f>IF($M1664="THU",$G1664,IF($M1664="CHI",$F1664,""))</f>
        <v/>
      </c>
      <c r="O1664" s="117">
        <f>IF(OR($M1664="",$M1664="NB"),"",IF($J1664&lt;&gt;"",TEXT($J1664,"00"),IFERROR(VLOOKUP(LEFT($N1664,4),LCTT_MAP!$A$7:$C$66,IF($M1664="THU",2,3),FALSE()),IFERROR(VLOOKUP(LEFT($N1664,3),LCTT_MAP!$A$7:$C$66,IF($M1664="THU",2,3),FALSE()),IFERROR(VLOOKUP(LEFT($N1664,2),LCTT_MAP!$A$7:$C$66,IF($M1664="THU",2,3),FALSE()),IFERROR(VLOOKUP(LEFT($N1664,1),LCTT_MAP!$A$7:$C$66,IF($M1664="THU",2,3),FALSE()),IF($M1664="THU","06","07")))))))</f>
        <v/>
      </c>
      <c r="P1664" s="117">
        <f>P1663+IF(AND($H1664&lt;&gt;"",OR(LEFT($F1664,LEN(SC_TK))=SC_TK,LEFT($G1664,LEN(SC_TK))=SC_TK)),1,0)</f>
        <v/>
      </c>
    </row>
    <row r="1665" ht="15" customHeight="1" s="78">
      <c r="A1665" s="95">
        <f>IF($H1665="","",ROW()-6)</f>
        <v/>
      </c>
      <c r="B1665" s="114" t="n"/>
      <c r="C1665" s="102" t="n"/>
      <c r="D1665" s="114" t="n"/>
      <c r="E1665" s="103" t="n"/>
      <c r="F1665" s="102" t="n"/>
      <c r="G1665" s="102" t="n"/>
      <c r="H1665" s="115" t="n"/>
      <c r="I1665" s="102" t="n"/>
      <c r="J1665" s="102" t="n"/>
      <c r="K1665" s="103" t="n"/>
      <c r="L1665" s="116">
        <f>IF($H1665="","",TRIM(IF(COUNTIF(DMTK!$A$7:$A$250,$F1665)=0,"TK Nợ sai! ","")&amp;IF(COUNTIF(DMTK!$A$7:$A$250,$G1665)=0,"TK Có sai! ","")&amp;IF(N($H1665)&lt;=0,"Tiền phải &gt; 0! ","")&amp;IF($B1665="","Thiếu ngày! ","")&amp;IF(AND(OR(LEFT($F1665,3)="131",LEFT($G1665,3)="131",LEFT($F1665,3)="331",LEFT($G1665,3)="331"),$I1665=""),"Thiếu Mã ĐT! ","")&amp;IF(AND($I1665&lt;&gt;"",COUNTIF(DM_DT!$A$7:$A$306,$I1665)=0),"Mã ĐT chưa khai báo! ","")))</f>
        <v/>
      </c>
      <c r="M1665" s="117">
        <f>IF($H1665="","",IF(AND(OR(LEFT($F1665,3)="111",LEFT($F1665,3)="112",LEFT($F1665,3)="113"),OR(LEFT($G1665,3)="111",LEFT($G1665,3)="112",LEFT($G1665,3)="113")),"NB",IF(OR(LEFT($F1665,3)="111",LEFT($F1665,3)="112",LEFT($F1665,3)="113"),"THU",IF(OR(LEFT($G1665,3)="111",LEFT($G1665,3)="112",LEFT($G1665,3)="113"),"CHI",""))))</f>
        <v/>
      </c>
      <c r="N1665" s="117">
        <f>IF($M1665="THU",$G1665,IF($M1665="CHI",$F1665,""))</f>
        <v/>
      </c>
      <c r="O1665" s="117">
        <f>IF(OR($M1665="",$M1665="NB"),"",IF($J1665&lt;&gt;"",TEXT($J1665,"00"),IFERROR(VLOOKUP(LEFT($N1665,4),LCTT_MAP!$A$7:$C$66,IF($M1665="THU",2,3),FALSE()),IFERROR(VLOOKUP(LEFT($N1665,3),LCTT_MAP!$A$7:$C$66,IF($M1665="THU",2,3),FALSE()),IFERROR(VLOOKUP(LEFT($N1665,2),LCTT_MAP!$A$7:$C$66,IF($M1665="THU",2,3),FALSE()),IFERROR(VLOOKUP(LEFT($N1665,1),LCTT_MAP!$A$7:$C$66,IF($M1665="THU",2,3),FALSE()),IF($M1665="THU","06","07")))))))</f>
        <v/>
      </c>
      <c r="P1665" s="117">
        <f>P1664+IF(AND($H1665&lt;&gt;"",OR(LEFT($F1665,LEN(SC_TK))=SC_TK,LEFT($G1665,LEN(SC_TK))=SC_TK)),1,0)</f>
        <v/>
      </c>
    </row>
    <row r="1666" ht="15" customHeight="1" s="78">
      <c r="A1666" s="95">
        <f>IF($H1666="","",ROW()-6)</f>
        <v/>
      </c>
      <c r="B1666" s="114" t="n"/>
      <c r="C1666" s="102" t="n"/>
      <c r="D1666" s="114" t="n"/>
      <c r="E1666" s="103" t="n"/>
      <c r="F1666" s="102" t="n"/>
      <c r="G1666" s="102" t="n"/>
      <c r="H1666" s="115" t="n"/>
      <c r="I1666" s="102" t="n"/>
      <c r="J1666" s="102" t="n"/>
      <c r="K1666" s="103" t="n"/>
      <c r="L1666" s="116">
        <f>IF($H1666="","",TRIM(IF(COUNTIF(DMTK!$A$7:$A$250,$F1666)=0,"TK Nợ sai! ","")&amp;IF(COUNTIF(DMTK!$A$7:$A$250,$G1666)=0,"TK Có sai! ","")&amp;IF(N($H1666)&lt;=0,"Tiền phải &gt; 0! ","")&amp;IF($B1666="","Thiếu ngày! ","")&amp;IF(AND(OR(LEFT($F1666,3)="131",LEFT($G1666,3)="131",LEFT($F1666,3)="331",LEFT($G1666,3)="331"),$I1666=""),"Thiếu Mã ĐT! ","")&amp;IF(AND($I1666&lt;&gt;"",COUNTIF(DM_DT!$A$7:$A$306,$I1666)=0),"Mã ĐT chưa khai báo! ","")))</f>
        <v/>
      </c>
      <c r="M1666" s="117">
        <f>IF($H1666="","",IF(AND(OR(LEFT($F1666,3)="111",LEFT($F1666,3)="112",LEFT($F1666,3)="113"),OR(LEFT($G1666,3)="111",LEFT($G1666,3)="112",LEFT($G1666,3)="113")),"NB",IF(OR(LEFT($F1666,3)="111",LEFT($F1666,3)="112",LEFT($F1666,3)="113"),"THU",IF(OR(LEFT($G1666,3)="111",LEFT($G1666,3)="112",LEFT($G1666,3)="113"),"CHI",""))))</f>
        <v/>
      </c>
      <c r="N1666" s="117">
        <f>IF($M1666="THU",$G1666,IF($M1666="CHI",$F1666,""))</f>
        <v/>
      </c>
      <c r="O1666" s="117">
        <f>IF(OR($M1666="",$M1666="NB"),"",IF($J1666&lt;&gt;"",TEXT($J1666,"00"),IFERROR(VLOOKUP(LEFT($N1666,4),LCTT_MAP!$A$7:$C$66,IF($M1666="THU",2,3),FALSE()),IFERROR(VLOOKUP(LEFT($N1666,3),LCTT_MAP!$A$7:$C$66,IF($M1666="THU",2,3),FALSE()),IFERROR(VLOOKUP(LEFT($N1666,2),LCTT_MAP!$A$7:$C$66,IF($M1666="THU",2,3),FALSE()),IFERROR(VLOOKUP(LEFT($N1666,1),LCTT_MAP!$A$7:$C$66,IF($M1666="THU",2,3),FALSE()),IF($M1666="THU","06","07")))))))</f>
        <v/>
      </c>
      <c r="P1666" s="117">
        <f>P1665+IF(AND($H1666&lt;&gt;"",OR(LEFT($F1666,LEN(SC_TK))=SC_TK,LEFT($G1666,LEN(SC_TK))=SC_TK)),1,0)</f>
        <v/>
      </c>
    </row>
    <row r="1667" ht="15" customHeight="1" s="78">
      <c r="A1667" s="95">
        <f>IF($H1667="","",ROW()-6)</f>
        <v/>
      </c>
      <c r="B1667" s="114" t="n"/>
      <c r="C1667" s="102" t="n"/>
      <c r="D1667" s="114" t="n"/>
      <c r="E1667" s="103" t="n"/>
      <c r="F1667" s="102" t="n"/>
      <c r="G1667" s="102" t="n"/>
      <c r="H1667" s="115" t="n"/>
      <c r="I1667" s="102" t="n"/>
      <c r="J1667" s="102" t="n"/>
      <c r="K1667" s="103" t="n"/>
      <c r="L1667" s="116">
        <f>IF($H1667="","",TRIM(IF(COUNTIF(DMTK!$A$7:$A$250,$F1667)=0,"TK Nợ sai! ","")&amp;IF(COUNTIF(DMTK!$A$7:$A$250,$G1667)=0,"TK Có sai! ","")&amp;IF(N($H1667)&lt;=0,"Tiền phải &gt; 0! ","")&amp;IF($B1667="","Thiếu ngày! ","")&amp;IF(AND(OR(LEFT($F1667,3)="131",LEFT($G1667,3)="131",LEFT($F1667,3)="331",LEFT($G1667,3)="331"),$I1667=""),"Thiếu Mã ĐT! ","")&amp;IF(AND($I1667&lt;&gt;"",COUNTIF(DM_DT!$A$7:$A$306,$I1667)=0),"Mã ĐT chưa khai báo! ","")))</f>
        <v/>
      </c>
      <c r="M1667" s="117">
        <f>IF($H1667="","",IF(AND(OR(LEFT($F1667,3)="111",LEFT($F1667,3)="112",LEFT($F1667,3)="113"),OR(LEFT($G1667,3)="111",LEFT($G1667,3)="112",LEFT($G1667,3)="113")),"NB",IF(OR(LEFT($F1667,3)="111",LEFT($F1667,3)="112",LEFT($F1667,3)="113"),"THU",IF(OR(LEFT($G1667,3)="111",LEFT($G1667,3)="112",LEFT($G1667,3)="113"),"CHI",""))))</f>
        <v/>
      </c>
      <c r="N1667" s="117">
        <f>IF($M1667="THU",$G1667,IF($M1667="CHI",$F1667,""))</f>
        <v/>
      </c>
      <c r="O1667" s="117">
        <f>IF(OR($M1667="",$M1667="NB"),"",IF($J1667&lt;&gt;"",TEXT($J1667,"00"),IFERROR(VLOOKUP(LEFT($N1667,4),LCTT_MAP!$A$7:$C$66,IF($M1667="THU",2,3),FALSE()),IFERROR(VLOOKUP(LEFT($N1667,3),LCTT_MAP!$A$7:$C$66,IF($M1667="THU",2,3),FALSE()),IFERROR(VLOOKUP(LEFT($N1667,2),LCTT_MAP!$A$7:$C$66,IF($M1667="THU",2,3),FALSE()),IFERROR(VLOOKUP(LEFT($N1667,1),LCTT_MAP!$A$7:$C$66,IF($M1667="THU",2,3),FALSE()),IF($M1667="THU","06","07")))))))</f>
        <v/>
      </c>
      <c r="P1667" s="117">
        <f>P1666+IF(AND($H1667&lt;&gt;"",OR(LEFT($F1667,LEN(SC_TK))=SC_TK,LEFT($G1667,LEN(SC_TK))=SC_TK)),1,0)</f>
        <v/>
      </c>
    </row>
    <row r="1668" ht="15" customHeight="1" s="78">
      <c r="A1668" s="95">
        <f>IF($H1668="","",ROW()-6)</f>
        <v/>
      </c>
      <c r="B1668" s="114" t="n"/>
      <c r="C1668" s="102" t="n"/>
      <c r="D1668" s="114" t="n"/>
      <c r="E1668" s="103" t="n"/>
      <c r="F1668" s="102" t="n"/>
      <c r="G1668" s="102" t="n"/>
      <c r="H1668" s="115" t="n"/>
      <c r="I1668" s="102" t="n"/>
      <c r="J1668" s="102" t="n"/>
      <c r="K1668" s="103" t="n"/>
      <c r="L1668" s="116">
        <f>IF($H1668="","",TRIM(IF(COUNTIF(DMTK!$A$7:$A$250,$F1668)=0,"TK Nợ sai! ","")&amp;IF(COUNTIF(DMTK!$A$7:$A$250,$G1668)=0,"TK Có sai! ","")&amp;IF(N($H1668)&lt;=0,"Tiền phải &gt; 0! ","")&amp;IF($B1668="","Thiếu ngày! ","")&amp;IF(AND(OR(LEFT($F1668,3)="131",LEFT($G1668,3)="131",LEFT($F1668,3)="331",LEFT($G1668,3)="331"),$I1668=""),"Thiếu Mã ĐT! ","")&amp;IF(AND($I1668&lt;&gt;"",COUNTIF(DM_DT!$A$7:$A$306,$I1668)=0),"Mã ĐT chưa khai báo! ","")))</f>
        <v/>
      </c>
      <c r="M1668" s="117">
        <f>IF($H1668="","",IF(AND(OR(LEFT($F1668,3)="111",LEFT($F1668,3)="112",LEFT($F1668,3)="113"),OR(LEFT($G1668,3)="111",LEFT($G1668,3)="112",LEFT($G1668,3)="113")),"NB",IF(OR(LEFT($F1668,3)="111",LEFT($F1668,3)="112",LEFT($F1668,3)="113"),"THU",IF(OR(LEFT($G1668,3)="111",LEFT($G1668,3)="112",LEFT($G1668,3)="113"),"CHI",""))))</f>
        <v/>
      </c>
      <c r="N1668" s="117">
        <f>IF($M1668="THU",$G1668,IF($M1668="CHI",$F1668,""))</f>
        <v/>
      </c>
      <c r="O1668" s="117">
        <f>IF(OR($M1668="",$M1668="NB"),"",IF($J1668&lt;&gt;"",TEXT($J1668,"00"),IFERROR(VLOOKUP(LEFT($N1668,4),LCTT_MAP!$A$7:$C$66,IF($M1668="THU",2,3),FALSE()),IFERROR(VLOOKUP(LEFT($N1668,3),LCTT_MAP!$A$7:$C$66,IF($M1668="THU",2,3),FALSE()),IFERROR(VLOOKUP(LEFT($N1668,2),LCTT_MAP!$A$7:$C$66,IF($M1668="THU",2,3),FALSE()),IFERROR(VLOOKUP(LEFT($N1668,1),LCTT_MAP!$A$7:$C$66,IF($M1668="THU",2,3),FALSE()),IF($M1668="THU","06","07")))))))</f>
        <v/>
      </c>
      <c r="P1668" s="117">
        <f>P1667+IF(AND($H1668&lt;&gt;"",OR(LEFT($F1668,LEN(SC_TK))=SC_TK,LEFT($G1668,LEN(SC_TK))=SC_TK)),1,0)</f>
        <v/>
      </c>
    </row>
    <row r="1669" ht="15" customHeight="1" s="78">
      <c r="A1669" s="95">
        <f>IF($H1669="","",ROW()-6)</f>
        <v/>
      </c>
      <c r="B1669" s="114" t="n"/>
      <c r="C1669" s="102" t="n"/>
      <c r="D1669" s="114" t="n"/>
      <c r="E1669" s="103" t="n"/>
      <c r="F1669" s="102" t="n"/>
      <c r="G1669" s="102" t="n"/>
      <c r="H1669" s="115" t="n"/>
      <c r="I1669" s="102" t="n"/>
      <c r="J1669" s="102" t="n"/>
      <c r="K1669" s="103" t="n"/>
      <c r="L1669" s="116">
        <f>IF($H1669="","",TRIM(IF(COUNTIF(DMTK!$A$7:$A$250,$F1669)=0,"TK Nợ sai! ","")&amp;IF(COUNTIF(DMTK!$A$7:$A$250,$G1669)=0,"TK Có sai! ","")&amp;IF(N($H1669)&lt;=0,"Tiền phải &gt; 0! ","")&amp;IF($B1669="","Thiếu ngày! ","")&amp;IF(AND(OR(LEFT($F1669,3)="131",LEFT($G1669,3)="131",LEFT($F1669,3)="331",LEFT($G1669,3)="331"),$I1669=""),"Thiếu Mã ĐT! ","")&amp;IF(AND($I1669&lt;&gt;"",COUNTIF(DM_DT!$A$7:$A$306,$I1669)=0),"Mã ĐT chưa khai báo! ","")))</f>
        <v/>
      </c>
      <c r="M1669" s="117">
        <f>IF($H1669="","",IF(AND(OR(LEFT($F1669,3)="111",LEFT($F1669,3)="112",LEFT($F1669,3)="113"),OR(LEFT($G1669,3)="111",LEFT($G1669,3)="112",LEFT($G1669,3)="113")),"NB",IF(OR(LEFT($F1669,3)="111",LEFT($F1669,3)="112",LEFT($F1669,3)="113"),"THU",IF(OR(LEFT($G1669,3)="111",LEFT($G1669,3)="112",LEFT($G1669,3)="113"),"CHI",""))))</f>
        <v/>
      </c>
      <c r="N1669" s="117">
        <f>IF($M1669="THU",$G1669,IF($M1669="CHI",$F1669,""))</f>
        <v/>
      </c>
      <c r="O1669" s="117">
        <f>IF(OR($M1669="",$M1669="NB"),"",IF($J1669&lt;&gt;"",TEXT($J1669,"00"),IFERROR(VLOOKUP(LEFT($N1669,4),LCTT_MAP!$A$7:$C$66,IF($M1669="THU",2,3),FALSE()),IFERROR(VLOOKUP(LEFT($N1669,3),LCTT_MAP!$A$7:$C$66,IF($M1669="THU",2,3),FALSE()),IFERROR(VLOOKUP(LEFT($N1669,2),LCTT_MAP!$A$7:$C$66,IF($M1669="THU",2,3),FALSE()),IFERROR(VLOOKUP(LEFT($N1669,1),LCTT_MAP!$A$7:$C$66,IF($M1669="THU",2,3),FALSE()),IF($M1669="THU","06","07")))))))</f>
        <v/>
      </c>
      <c r="P1669" s="117">
        <f>P1668+IF(AND($H1669&lt;&gt;"",OR(LEFT($F1669,LEN(SC_TK))=SC_TK,LEFT($G1669,LEN(SC_TK))=SC_TK)),1,0)</f>
        <v/>
      </c>
    </row>
    <row r="1670" ht="15" customHeight="1" s="78">
      <c r="A1670" s="95">
        <f>IF($H1670="","",ROW()-6)</f>
        <v/>
      </c>
      <c r="B1670" s="114" t="n"/>
      <c r="C1670" s="102" t="n"/>
      <c r="D1670" s="114" t="n"/>
      <c r="E1670" s="103" t="n"/>
      <c r="F1670" s="102" t="n"/>
      <c r="G1670" s="102" t="n"/>
      <c r="H1670" s="115" t="n"/>
      <c r="I1670" s="102" t="n"/>
      <c r="J1670" s="102" t="n"/>
      <c r="K1670" s="103" t="n"/>
      <c r="L1670" s="116">
        <f>IF($H1670="","",TRIM(IF(COUNTIF(DMTK!$A$7:$A$250,$F1670)=0,"TK Nợ sai! ","")&amp;IF(COUNTIF(DMTK!$A$7:$A$250,$G1670)=0,"TK Có sai! ","")&amp;IF(N($H1670)&lt;=0,"Tiền phải &gt; 0! ","")&amp;IF($B1670="","Thiếu ngày! ","")&amp;IF(AND(OR(LEFT($F1670,3)="131",LEFT($G1670,3)="131",LEFT($F1670,3)="331",LEFT($G1670,3)="331"),$I1670=""),"Thiếu Mã ĐT! ","")&amp;IF(AND($I1670&lt;&gt;"",COUNTIF(DM_DT!$A$7:$A$306,$I1670)=0),"Mã ĐT chưa khai báo! ","")))</f>
        <v/>
      </c>
      <c r="M1670" s="117">
        <f>IF($H1670="","",IF(AND(OR(LEFT($F1670,3)="111",LEFT($F1670,3)="112",LEFT($F1670,3)="113"),OR(LEFT($G1670,3)="111",LEFT($G1670,3)="112",LEFT($G1670,3)="113")),"NB",IF(OR(LEFT($F1670,3)="111",LEFT($F1670,3)="112",LEFT($F1670,3)="113"),"THU",IF(OR(LEFT($G1670,3)="111",LEFT($G1670,3)="112",LEFT($G1670,3)="113"),"CHI",""))))</f>
        <v/>
      </c>
      <c r="N1670" s="117">
        <f>IF($M1670="THU",$G1670,IF($M1670="CHI",$F1670,""))</f>
        <v/>
      </c>
      <c r="O1670" s="117">
        <f>IF(OR($M1670="",$M1670="NB"),"",IF($J1670&lt;&gt;"",TEXT($J1670,"00"),IFERROR(VLOOKUP(LEFT($N1670,4),LCTT_MAP!$A$7:$C$66,IF($M1670="THU",2,3),FALSE()),IFERROR(VLOOKUP(LEFT($N1670,3),LCTT_MAP!$A$7:$C$66,IF($M1670="THU",2,3),FALSE()),IFERROR(VLOOKUP(LEFT($N1670,2),LCTT_MAP!$A$7:$C$66,IF($M1670="THU",2,3),FALSE()),IFERROR(VLOOKUP(LEFT($N1670,1),LCTT_MAP!$A$7:$C$66,IF($M1670="THU",2,3),FALSE()),IF($M1670="THU","06","07")))))))</f>
        <v/>
      </c>
      <c r="P1670" s="117">
        <f>P1669+IF(AND($H1670&lt;&gt;"",OR(LEFT($F1670,LEN(SC_TK))=SC_TK,LEFT($G1670,LEN(SC_TK))=SC_TK)),1,0)</f>
        <v/>
      </c>
    </row>
    <row r="1671" ht="15" customHeight="1" s="78">
      <c r="A1671" s="95">
        <f>IF($H1671="","",ROW()-6)</f>
        <v/>
      </c>
      <c r="B1671" s="114" t="n"/>
      <c r="C1671" s="102" t="n"/>
      <c r="D1671" s="114" t="n"/>
      <c r="E1671" s="103" t="n"/>
      <c r="F1671" s="102" t="n"/>
      <c r="G1671" s="102" t="n"/>
      <c r="H1671" s="115" t="n"/>
      <c r="I1671" s="102" t="n"/>
      <c r="J1671" s="102" t="n"/>
      <c r="K1671" s="103" t="n"/>
      <c r="L1671" s="116">
        <f>IF($H1671="","",TRIM(IF(COUNTIF(DMTK!$A$7:$A$250,$F1671)=0,"TK Nợ sai! ","")&amp;IF(COUNTIF(DMTK!$A$7:$A$250,$G1671)=0,"TK Có sai! ","")&amp;IF(N($H1671)&lt;=0,"Tiền phải &gt; 0! ","")&amp;IF($B1671="","Thiếu ngày! ","")&amp;IF(AND(OR(LEFT($F1671,3)="131",LEFT($G1671,3)="131",LEFT($F1671,3)="331",LEFT($G1671,3)="331"),$I1671=""),"Thiếu Mã ĐT! ","")&amp;IF(AND($I1671&lt;&gt;"",COUNTIF(DM_DT!$A$7:$A$306,$I1671)=0),"Mã ĐT chưa khai báo! ","")))</f>
        <v/>
      </c>
      <c r="M1671" s="117">
        <f>IF($H1671="","",IF(AND(OR(LEFT($F1671,3)="111",LEFT($F1671,3)="112",LEFT($F1671,3)="113"),OR(LEFT($G1671,3)="111",LEFT($G1671,3)="112",LEFT($G1671,3)="113")),"NB",IF(OR(LEFT($F1671,3)="111",LEFT($F1671,3)="112",LEFT($F1671,3)="113"),"THU",IF(OR(LEFT($G1671,3)="111",LEFT($G1671,3)="112",LEFT($G1671,3)="113"),"CHI",""))))</f>
        <v/>
      </c>
      <c r="N1671" s="117">
        <f>IF($M1671="THU",$G1671,IF($M1671="CHI",$F1671,""))</f>
        <v/>
      </c>
      <c r="O1671" s="117">
        <f>IF(OR($M1671="",$M1671="NB"),"",IF($J1671&lt;&gt;"",TEXT($J1671,"00"),IFERROR(VLOOKUP(LEFT($N1671,4),LCTT_MAP!$A$7:$C$66,IF($M1671="THU",2,3),FALSE()),IFERROR(VLOOKUP(LEFT($N1671,3),LCTT_MAP!$A$7:$C$66,IF($M1671="THU",2,3),FALSE()),IFERROR(VLOOKUP(LEFT($N1671,2),LCTT_MAP!$A$7:$C$66,IF($M1671="THU",2,3),FALSE()),IFERROR(VLOOKUP(LEFT($N1671,1),LCTT_MAP!$A$7:$C$66,IF($M1671="THU",2,3),FALSE()),IF($M1671="THU","06","07")))))))</f>
        <v/>
      </c>
      <c r="P1671" s="117">
        <f>P1670+IF(AND($H1671&lt;&gt;"",OR(LEFT($F1671,LEN(SC_TK))=SC_TK,LEFT($G1671,LEN(SC_TK))=SC_TK)),1,0)</f>
        <v/>
      </c>
    </row>
    <row r="1672" ht="15" customHeight="1" s="78">
      <c r="A1672" s="95">
        <f>IF($H1672="","",ROW()-6)</f>
        <v/>
      </c>
      <c r="B1672" s="114" t="n"/>
      <c r="C1672" s="102" t="n"/>
      <c r="D1672" s="114" t="n"/>
      <c r="E1672" s="103" t="n"/>
      <c r="F1672" s="102" t="n"/>
      <c r="G1672" s="102" t="n"/>
      <c r="H1672" s="115" t="n"/>
      <c r="I1672" s="102" t="n"/>
      <c r="J1672" s="102" t="n"/>
      <c r="K1672" s="103" t="n"/>
      <c r="L1672" s="116">
        <f>IF($H1672="","",TRIM(IF(COUNTIF(DMTK!$A$7:$A$250,$F1672)=0,"TK Nợ sai! ","")&amp;IF(COUNTIF(DMTK!$A$7:$A$250,$G1672)=0,"TK Có sai! ","")&amp;IF(N($H1672)&lt;=0,"Tiền phải &gt; 0! ","")&amp;IF($B1672="","Thiếu ngày! ","")&amp;IF(AND(OR(LEFT($F1672,3)="131",LEFT($G1672,3)="131",LEFT($F1672,3)="331",LEFT($G1672,3)="331"),$I1672=""),"Thiếu Mã ĐT! ","")&amp;IF(AND($I1672&lt;&gt;"",COUNTIF(DM_DT!$A$7:$A$306,$I1672)=0),"Mã ĐT chưa khai báo! ","")))</f>
        <v/>
      </c>
      <c r="M1672" s="117">
        <f>IF($H1672="","",IF(AND(OR(LEFT($F1672,3)="111",LEFT($F1672,3)="112",LEFT($F1672,3)="113"),OR(LEFT($G1672,3)="111",LEFT($G1672,3)="112",LEFT($G1672,3)="113")),"NB",IF(OR(LEFT($F1672,3)="111",LEFT($F1672,3)="112",LEFT($F1672,3)="113"),"THU",IF(OR(LEFT($G1672,3)="111",LEFT($G1672,3)="112",LEFT($G1672,3)="113"),"CHI",""))))</f>
        <v/>
      </c>
      <c r="N1672" s="117">
        <f>IF($M1672="THU",$G1672,IF($M1672="CHI",$F1672,""))</f>
        <v/>
      </c>
      <c r="O1672" s="117">
        <f>IF(OR($M1672="",$M1672="NB"),"",IF($J1672&lt;&gt;"",TEXT($J1672,"00"),IFERROR(VLOOKUP(LEFT($N1672,4),LCTT_MAP!$A$7:$C$66,IF($M1672="THU",2,3),FALSE()),IFERROR(VLOOKUP(LEFT($N1672,3),LCTT_MAP!$A$7:$C$66,IF($M1672="THU",2,3),FALSE()),IFERROR(VLOOKUP(LEFT($N1672,2),LCTT_MAP!$A$7:$C$66,IF($M1672="THU",2,3),FALSE()),IFERROR(VLOOKUP(LEFT($N1672,1),LCTT_MAP!$A$7:$C$66,IF($M1672="THU",2,3),FALSE()),IF($M1672="THU","06","07")))))))</f>
        <v/>
      </c>
      <c r="P1672" s="117">
        <f>P1671+IF(AND($H1672&lt;&gt;"",OR(LEFT($F1672,LEN(SC_TK))=SC_TK,LEFT($G1672,LEN(SC_TK))=SC_TK)),1,0)</f>
        <v/>
      </c>
    </row>
    <row r="1673" ht="15" customHeight="1" s="78">
      <c r="A1673" s="95">
        <f>IF($H1673="","",ROW()-6)</f>
        <v/>
      </c>
      <c r="B1673" s="114" t="n"/>
      <c r="C1673" s="102" t="n"/>
      <c r="D1673" s="114" t="n"/>
      <c r="E1673" s="103" t="n"/>
      <c r="F1673" s="102" t="n"/>
      <c r="G1673" s="102" t="n"/>
      <c r="H1673" s="115" t="n"/>
      <c r="I1673" s="102" t="n"/>
      <c r="J1673" s="102" t="n"/>
      <c r="K1673" s="103" t="n"/>
      <c r="L1673" s="116">
        <f>IF($H1673="","",TRIM(IF(COUNTIF(DMTK!$A$7:$A$250,$F1673)=0,"TK Nợ sai! ","")&amp;IF(COUNTIF(DMTK!$A$7:$A$250,$G1673)=0,"TK Có sai! ","")&amp;IF(N($H1673)&lt;=0,"Tiền phải &gt; 0! ","")&amp;IF($B1673="","Thiếu ngày! ","")&amp;IF(AND(OR(LEFT($F1673,3)="131",LEFT($G1673,3)="131",LEFT($F1673,3)="331",LEFT($G1673,3)="331"),$I1673=""),"Thiếu Mã ĐT! ","")&amp;IF(AND($I1673&lt;&gt;"",COUNTIF(DM_DT!$A$7:$A$306,$I1673)=0),"Mã ĐT chưa khai báo! ","")))</f>
        <v/>
      </c>
      <c r="M1673" s="117">
        <f>IF($H1673="","",IF(AND(OR(LEFT($F1673,3)="111",LEFT($F1673,3)="112",LEFT($F1673,3)="113"),OR(LEFT($G1673,3)="111",LEFT($G1673,3)="112",LEFT($G1673,3)="113")),"NB",IF(OR(LEFT($F1673,3)="111",LEFT($F1673,3)="112",LEFT($F1673,3)="113"),"THU",IF(OR(LEFT($G1673,3)="111",LEFT($G1673,3)="112",LEFT($G1673,3)="113"),"CHI",""))))</f>
        <v/>
      </c>
      <c r="N1673" s="117">
        <f>IF($M1673="THU",$G1673,IF($M1673="CHI",$F1673,""))</f>
        <v/>
      </c>
      <c r="O1673" s="117">
        <f>IF(OR($M1673="",$M1673="NB"),"",IF($J1673&lt;&gt;"",TEXT($J1673,"00"),IFERROR(VLOOKUP(LEFT($N1673,4),LCTT_MAP!$A$7:$C$66,IF($M1673="THU",2,3),FALSE()),IFERROR(VLOOKUP(LEFT($N1673,3),LCTT_MAP!$A$7:$C$66,IF($M1673="THU",2,3),FALSE()),IFERROR(VLOOKUP(LEFT($N1673,2),LCTT_MAP!$A$7:$C$66,IF($M1673="THU",2,3),FALSE()),IFERROR(VLOOKUP(LEFT($N1673,1),LCTT_MAP!$A$7:$C$66,IF($M1673="THU",2,3),FALSE()),IF($M1673="THU","06","07")))))))</f>
        <v/>
      </c>
      <c r="P1673" s="117">
        <f>P1672+IF(AND($H1673&lt;&gt;"",OR(LEFT($F1673,LEN(SC_TK))=SC_TK,LEFT($G1673,LEN(SC_TK))=SC_TK)),1,0)</f>
        <v/>
      </c>
    </row>
    <row r="1674" ht="15" customHeight="1" s="78">
      <c r="A1674" s="95">
        <f>IF($H1674="","",ROW()-6)</f>
        <v/>
      </c>
      <c r="B1674" s="114" t="n"/>
      <c r="C1674" s="102" t="n"/>
      <c r="D1674" s="114" t="n"/>
      <c r="E1674" s="103" t="n"/>
      <c r="F1674" s="102" t="n"/>
      <c r="G1674" s="102" t="n"/>
      <c r="H1674" s="115" t="n"/>
      <c r="I1674" s="102" t="n"/>
      <c r="J1674" s="102" t="n"/>
      <c r="K1674" s="103" t="n"/>
      <c r="L1674" s="116">
        <f>IF($H1674="","",TRIM(IF(COUNTIF(DMTK!$A$7:$A$250,$F1674)=0,"TK Nợ sai! ","")&amp;IF(COUNTIF(DMTK!$A$7:$A$250,$G1674)=0,"TK Có sai! ","")&amp;IF(N($H1674)&lt;=0,"Tiền phải &gt; 0! ","")&amp;IF($B1674="","Thiếu ngày! ","")&amp;IF(AND(OR(LEFT($F1674,3)="131",LEFT($G1674,3)="131",LEFT($F1674,3)="331",LEFT($G1674,3)="331"),$I1674=""),"Thiếu Mã ĐT! ","")&amp;IF(AND($I1674&lt;&gt;"",COUNTIF(DM_DT!$A$7:$A$306,$I1674)=0),"Mã ĐT chưa khai báo! ","")))</f>
        <v/>
      </c>
      <c r="M1674" s="117">
        <f>IF($H1674="","",IF(AND(OR(LEFT($F1674,3)="111",LEFT($F1674,3)="112",LEFT($F1674,3)="113"),OR(LEFT($G1674,3)="111",LEFT($G1674,3)="112",LEFT($G1674,3)="113")),"NB",IF(OR(LEFT($F1674,3)="111",LEFT($F1674,3)="112",LEFT($F1674,3)="113"),"THU",IF(OR(LEFT($G1674,3)="111",LEFT($G1674,3)="112",LEFT($G1674,3)="113"),"CHI",""))))</f>
        <v/>
      </c>
      <c r="N1674" s="117">
        <f>IF($M1674="THU",$G1674,IF($M1674="CHI",$F1674,""))</f>
        <v/>
      </c>
      <c r="O1674" s="117">
        <f>IF(OR($M1674="",$M1674="NB"),"",IF($J1674&lt;&gt;"",TEXT($J1674,"00"),IFERROR(VLOOKUP(LEFT($N1674,4),LCTT_MAP!$A$7:$C$66,IF($M1674="THU",2,3),FALSE()),IFERROR(VLOOKUP(LEFT($N1674,3),LCTT_MAP!$A$7:$C$66,IF($M1674="THU",2,3),FALSE()),IFERROR(VLOOKUP(LEFT($N1674,2),LCTT_MAP!$A$7:$C$66,IF($M1674="THU",2,3),FALSE()),IFERROR(VLOOKUP(LEFT($N1674,1),LCTT_MAP!$A$7:$C$66,IF($M1674="THU",2,3),FALSE()),IF($M1674="THU","06","07")))))))</f>
        <v/>
      </c>
      <c r="P1674" s="117">
        <f>P1673+IF(AND($H1674&lt;&gt;"",OR(LEFT($F1674,LEN(SC_TK))=SC_TK,LEFT($G1674,LEN(SC_TK))=SC_TK)),1,0)</f>
        <v/>
      </c>
    </row>
    <row r="1675" ht="15" customHeight="1" s="78">
      <c r="A1675" s="95">
        <f>IF($H1675="","",ROW()-6)</f>
        <v/>
      </c>
      <c r="B1675" s="114" t="n"/>
      <c r="C1675" s="102" t="n"/>
      <c r="D1675" s="114" t="n"/>
      <c r="E1675" s="103" t="n"/>
      <c r="F1675" s="102" t="n"/>
      <c r="G1675" s="102" t="n"/>
      <c r="H1675" s="115" t="n"/>
      <c r="I1675" s="102" t="n"/>
      <c r="J1675" s="102" t="n"/>
      <c r="K1675" s="103" t="n"/>
      <c r="L1675" s="116">
        <f>IF($H1675="","",TRIM(IF(COUNTIF(DMTK!$A$7:$A$250,$F1675)=0,"TK Nợ sai! ","")&amp;IF(COUNTIF(DMTK!$A$7:$A$250,$G1675)=0,"TK Có sai! ","")&amp;IF(N($H1675)&lt;=0,"Tiền phải &gt; 0! ","")&amp;IF($B1675="","Thiếu ngày! ","")&amp;IF(AND(OR(LEFT($F1675,3)="131",LEFT($G1675,3)="131",LEFT($F1675,3)="331",LEFT($G1675,3)="331"),$I1675=""),"Thiếu Mã ĐT! ","")&amp;IF(AND($I1675&lt;&gt;"",COUNTIF(DM_DT!$A$7:$A$306,$I1675)=0),"Mã ĐT chưa khai báo! ","")))</f>
        <v/>
      </c>
      <c r="M1675" s="117">
        <f>IF($H1675="","",IF(AND(OR(LEFT($F1675,3)="111",LEFT($F1675,3)="112",LEFT($F1675,3)="113"),OR(LEFT($G1675,3)="111",LEFT($G1675,3)="112",LEFT($G1675,3)="113")),"NB",IF(OR(LEFT($F1675,3)="111",LEFT($F1675,3)="112",LEFT($F1675,3)="113"),"THU",IF(OR(LEFT($G1675,3)="111",LEFT($G1675,3)="112",LEFT($G1675,3)="113"),"CHI",""))))</f>
        <v/>
      </c>
      <c r="N1675" s="117">
        <f>IF($M1675="THU",$G1675,IF($M1675="CHI",$F1675,""))</f>
        <v/>
      </c>
      <c r="O1675" s="117">
        <f>IF(OR($M1675="",$M1675="NB"),"",IF($J1675&lt;&gt;"",TEXT($J1675,"00"),IFERROR(VLOOKUP(LEFT($N1675,4),LCTT_MAP!$A$7:$C$66,IF($M1675="THU",2,3),FALSE()),IFERROR(VLOOKUP(LEFT($N1675,3),LCTT_MAP!$A$7:$C$66,IF($M1675="THU",2,3),FALSE()),IFERROR(VLOOKUP(LEFT($N1675,2),LCTT_MAP!$A$7:$C$66,IF($M1675="THU",2,3),FALSE()),IFERROR(VLOOKUP(LEFT($N1675,1),LCTT_MAP!$A$7:$C$66,IF($M1675="THU",2,3),FALSE()),IF($M1675="THU","06","07")))))))</f>
        <v/>
      </c>
      <c r="P1675" s="117">
        <f>P1674+IF(AND($H1675&lt;&gt;"",OR(LEFT($F1675,LEN(SC_TK))=SC_TK,LEFT($G1675,LEN(SC_TK))=SC_TK)),1,0)</f>
        <v/>
      </c>
    </row>
    <row r="1676" ht="15" customHeight="1" s="78">
      <c r="A1676" s="95">
        <f>IF($H1676="","",ROW()-6)</f>
        <v/>
      </c>
      <c r="B1676" s="114" t="n"/>
      <c r="C1676" s="102" t="n"/>
      <c r="D1676" s="114" t="n"/>
      <c r="E1676" s="103" t="n"/>
      <c r="F1676" s="102" t="n"/>
      <c r="G1676" s="102" t="n"/>
      <c r="H1676" s="115" t="n"/>
      <c r="I1676" s="102" t="n"/>
      <c r="J1676" s="102" t="n"/>
      <c r="K1676" s="103" t="n"/>
      <c r="L1676" s="116">
        <f>IF($H1676="","",TRIM(IF(COUNTIF(DMTK!$A$7:$A$250,$F1676)=0,"TK Nợ sai! ","")&amp;IF(COUNTIF(DMTK!$A$7:$A$250,$G1676)=0,"TK Có sai! ","")&amp;IF(N($H1676)&lt;=0,"Tiền phải &gt; 0! ","")&amp;IF($B1676="","Thiếu ngày! ","")&amp;IF(AND(OR(LEFT($F1676,3)="131",LEFT($G1676,3)="131",LEFT($F1676,3)="331",LEFT($G1676,3)="331"),$I1676=""),"Thiếu Mã ĐT! ","")&amp;IF(AND($I1676&lt;&gt;"",COUNTIF(DM_DT!$A$7:$A$306,$I1676)=0),"Mã ĐT chưa khai báo! ","")))</f>
        <v/>
      </c>
      <c r="M1676" s="117">
        <f>IF($H1676="","",IF(AND(OR(LEFT($F1676,3)="111",LEFT($F1676,3)="112",LEFT($F1676,3)="113"),OR(LEFT($G1676,3)="111",LEFT($G1676,3)="112",LEFT($G1676,3)="113")),"NB",IF(OR(LEFT($F1676,3)="111",LEFT($F1676,3)="112",LEFT($F1676,3)="113"),"THU",IF(OR(LEFT($G1676,3)="111",LEFT($G1676,3)="112",LEFT($G1676,3)="113"),"CHI",""))))</f>
        <v/>
      </c>
      <c r="N1676" s="117">
        <f>IF($M1676="THU",$G1676,IF($M1676="CHI",$F1676,""))</f>
        <v/>
      </c>
      <c r="O1676" s="117">
        <f>IF(OR($M1676="",$M1676="NB"),"",IF($J1676&lt;&gt;"",TEXT($J1676,"00"),IFERROR(VLOOKUP(LEFT($N1676,4),LCTT_MAP!$A$7:$C$66,IF($M1676="THU",2,3),FALSE()),IFERROR(VLOOKUP(LEFT($N1676,3),LCTT_MAP!$A$7:$C$66,IF($M1676="THU",2,3),FALSE()),IFERROR(VLOOKUP(LEFT($N1676,2),LCTT_MAP!$A$7:$C$66,IF($M1676="THU",2,3),FALSE()),IFERROR(VLOOKUP(LEFT($N1676,1),LCTT_MAP!$A$7:$C$66,IF($M1676="THU",2,3),FALSE()),IF($M1676="THU","06","07")))))))</f>
        <v/>
      </c>
      <c r="P1676" s="117">
        <f>P1675+IF(AND($H1676&lt;&gt;"",OR(LEFT($F1676,LEN(SC_TK))=SC_TK,LEFT($G1676,LEN(SC_TK))=SC_TK)),1,0)</f>
        <v/>
      </c>
    </row>
    <row r="1677" ht="15" customHeight="1" s="78">
      <c r="A1677" s="95">
        <f>IF($H1677="","",ROW()-6)</f>
        <v/>
      </c>
      <c r="B1677" s="114" t="n"/>
      <c r="C1677" s="102" t="n"/>
      <c r="D1677" s="114" t="n"/>
      <c r="E1677" s="103" t="n"/>
      <c r="F1677" s="102" t="n"/>
      <c r="G1677" s="102" t="n"/>
      <c r="H1677" s="115" t="n"/>
      <c r="I1677" s="102" t="n"/>
      <c r="J1677" s="102" t="n"/>
      <c r="K1677" s="103" t="n"/>
      <c r="L1677" s="116">
        <f>IF($H1677="","",TRIM(IF(COUNTIF(DMTK!$A$7:$A$250,$F1677)=0,"TK Nợ sai! ","")&amp;IF(COUNTIF(DMTK!$A$7:$A$250,$G1677)=0,"TK Có sai! ","")&amp;IF(N($H1677)&lt;=0,"Tiền phải &gt; 0! ","")&amp;IF($B1677="","Thiếu ngày! ","")&amp;IF(AND(OR(LEFT($F1677,3)="131",LEFT($G1677,3)="131",LEFT($F1677,3)="331",LEFT($G1677,3)="331"),$I1677=""),"Thiếu Mã ĐT! ","")&amp;IF(AND($I1677&lt;&gt;"",COUNTIF(DM_DT!$A$7:$A$306,$I1677)=0),"Mã ĐT chưa khai báo! ","")))</f>
        <v/>
      </c>
      <c r="M1677" s="117">
        <f>IF($H1677="","",IF(AND(OR(LEFT($F1677,3)="111",LEFT($F1677,3)="112",LEFT($F1677,3)="113"),OR(LEFT($G1677,3)="111",LEFT($G1677,3)="112",LEFT($G1677,3)="113")),"NB",IF(OR(LEFT($F1677,3)="111",LEFT($F1677,3)="112",LEFT($F1677,3)="113"),"THU",IF(OR(LEFT($G1677,3)="111",LEFT($G1677,3)="112",LEFT($G1677,3)="113"),"CHI",""))))</f>
        <v/>
      </c>
      <c r="N1677" s="117">
        <f>IF($M1677="THU",$G1677,IF($M1677="CHI",$F1677,""))</f>
        <v/>
      </c>
      <c r="O1677" s="117">
        <f>IF(OR($M1677="",$M1677="NB"),"",IF($J1677&lt;&gt;"",TEXT($J1677,"00"),IFERROR(VLOOKUP(LEFT($N1677,4),LCTT_MAP!$A$7:$C$66,IF($M1677="THU",2,3),FALSE()),IFERROR(VLOOKUP(LEFT($N1677,3),LCTT_MAP!$A$7:$C$66,IF($M1677="THU",2,3),FALSE()),IFERROR(VLOOKUP(LEFT($N1677,2),LCTT_MAP!$A$7:$C$66,IF($M1677="THU",2,3),FALSE()),IFERROR(VLOOKUP(LEFT($N1677,1),LCTT_MAP!$A$7:$C$66,IF($M1677="THU",2,3),FALSE()),IF($M1677="THU","06","07")))))))</f>
        <v/>
      </c>
      <c r="P1677" s="117">
        <f>P1676+IF(AND($H1677&lt;&gt;"",OR(LEFT($F1677,LEN(SC_TK))=SC_TK,LEFT($G1677,LEN(SC_TK))=SC_TK)),1,0)</f>
        <v/>
      </c>
    </row>
    <row r="1678" ht="15" customHeight="1" s="78">
      <c r="A1678" s="95">
        <f>IF($H1678="","",ROW()-6)</f>
        <v/>
      </c>
      <c r="B1678" s="114" t="n"/>
      <c r="C1678" s="102" t="n"/>
      <c r="D1678" s="114" t="n"/>
      <c r="E1678" s="103" t="n"/>
      <c r="F1678" s="102" t="n"/>
      <c r="G1678" s="102" t="n"/>
      <c r="H1678" s="115" t="n"/>
      <c r="I1678" s="102" t="n"/>
      <c r="J1678" s="102" t="n"/>
      <c r="K1678" s="103" t="n"/>
      <c r="L1678" s="116">
        <f>IF($H1678="","",TRIM(IF(COUNTIF(DMTK!$A$7:$A$250,$F1678)=0,"TK Nợ sai! ","")&amp;IF(COUNTIF(DMTK!$A$7:$A$250,$G1678)=0,"TK Có sai! ","")&amp;IF(N($H1678)&lt;=0,"Tiền phải &gt; 0! ","")&amp;IF($B1678="","Thiếu ngày! ","")&amp;IF(AND(OR(LEFT($F1678,3)="131",LEFT($G1678,3)="131",LEFT($F1678,3)="331",LEFT($G1678,3)="331"),$I1678=""),"Thiếu Mã ĐT! ","")&amp;IF(AND($I1678&lt;&gt;"",COUNTIF(DM_DT!$A$7:$A$306,$I1678)=0),"Mã ĐT chưa khai báo! ","")))</f>
        <v/>
      </c>
      <c r="M1678" s="117">
        <f>IF($H1678="","",IF(AND(OR(LEFT($F1678,3)="111",LEFT($F1678,3)="112",LEFT($F1678,3)="113"),OR(LEFT($G1678,3)="111",LEFT($G1678,3)="112",LEFT($G1678,3)="113")),"NB",IF(OR(LEFT($F1678,3)="111",LEFT($F1678,3)="112",LEFT($F1678,3)="113"),"THU",IF(OR(LEFT($G1678,3)="111",LEFT($G1678,3)="112",LEFT($G1678,3)="113"),"CHI",""))))</f>
        <v/>
      </c>
      <c r="N1678" s="117">
        <f>IF($M1678="THU",$G1678,IF($M1678="CHI",$F1678,""))</f>
        <v/>
      </c>
      <c r="O1678" s="117">
        <f>IF(OR($M1678="",$M1678="NB"),"",IF($J1678&lt;&gt;"",TEXT($J1678,"00"),IFERROR(VLOOKUP(LEFT($N1678,4),LCTT_MAP!$A$7:$C$66,IF($M1678="THU",2,3),FALSE()),IFERROR(VLOOKUP(LEFT($N1678,3),LCTT_MAP!$A$7:$C$66,IF($M1678="THU",2,3),FALSE()),IFERROR(VLOOKUP(LEFT($N1678,2),LCTT_MAP!$A$7:$C$66,IF($M1678="THU",2,3),FALSE()),IFERROR(VLOOKUP(LEFT($N1678,1),LCTT_MAP!$A$7:$C$66,IF($M1678="THU",2,3),FALSE()),IF($M1678="THU","06","07")))))))</f>
        <v/>
      </c>
      <c r="P1678" s="117">
        <f>P1677+IF(AND($H1678&lt;&gt;"",OR(LEFT($F1678,LEN(SC_TK))=SC_TK,LEFT($G1678,LEN(SC_TK))=SC_TK)),1,0)</f>
        <v/>
      </c>
    </row>
    <row r="1679" ht="15" customHeight="1" s="78">
      <c r="A1679" s="95">
        <f>IF($H1679="","",ROW()-6)</f>
        <v/>
      </c>
      <c r="B1679" s="114" t="n"/>
      <c r="C1679" s="102" t="n"/>
      <c r="D1679" s="114" t="n"/>
      <c r="E1679" s="103" t="n"/>
      <c r="F1679" s="102" t="n"/>
      <c r="G1679" s="102" t="n"/>
      <c r="H1679" s="115" t="n"/>
      <c r="I1679" s="102" t="n"/>
      <c r="J1679" s="102" t="n"/>
      <c r="K1679" s="103" t="n"/>
      <c r="L1679" s="116">
        <f>IF($H1679="","",TRIM(IF(COUNTIF(DMTK!$A$7:$A$250,$F1679)=0,"TK Nợ sai! ","")&amp;IF(COUNTIF(DMTK!$A$7:$A$250,$G1679)=0,"TK Có sai! ","")&amp;IF(N($H1679)&lt;=0,"Tiền phải &gt; 0! ","")&amp;IF($B1679="","Thiếu ngày! ","")&amp;IF(AND(OR(LEFT($F1679,3)="131",LEFT($G1679,3)="131",LEFT($F1679,3)="331",LEFT($G1679,3)="331"),$I1679=""),"Thiếu Mã ĐT! ","")&amp;IF(AND($I1679&lt;&gt;"",COUNTIF(DM_DT!$A$7:$A$306,$I1679)=0),"Mã ĐT chưa khai báo! ","")))</f>
        <v/>
      </c>
      <c r="M1679" s="117">
        <f>IF($H1679="","",IF(AND(OR(LEFT($F1679,3)="111",LEFT($F1679,3)="112",LEFT($F1679,3)="113"),OR(LEFT($G1679,3)="111",LEFT($G1679,3)="112",LEFT($G1679,3)="113")),"NB",IF(OR(LEFT($F1679,3)="111",LEFT($F1679,3)="112",LEFT($F1679,3)="113"),"THU",IF(OR(LEFT($G1679,3)="111",LEFT($G1679,3)="112",LEFT($G1679,3)="113"),"CHI",""))))</f>
        <v/>
      </c>
      <c r="N1679" s="117">
        <f>IF($M1679="THU",$G1679,IF($M1679="CHI",$F1679,""))</f>
        <v/>
      </c>
      <c r="O1679" s="117">
        <f>IF(OR($M1679="",$M1679="NB"),"",IF($J1679&lt;&gt;"",TEXT($J1679,"00"),IFERROR(VLOOKUP(LEFT($N1679,4),LCTT_MAP!$A$7:$C$66,IF($M1679="THU",2,3),FALSE()),IFERROR(VLOOKUP(LEFT($N1679,3),LCTT_MAP!$A$7:$C$66,IF($M1679="THU",2,3),FALSE()),IFERROR(VLOOKUP(LEFT($N1679,2),LCTT_MAP!$A$7:$C$66,IF($M1679="THU",2,3),FALSE()),IFERROR(VLOOKUP(LEFT($N1679,1),LCTT_MAP!$A$7:$C$66,IF($M1679="THU",2,3),FALSE()),IF($M1679="THU","06","07")))))))</f>
        <v/>
      </c>
      <c r="P1679" s="117">
        <f>P1678+IF(AND($H1679&lt;&gt;"",OR(LEFT($F1679,LEN(SC_TK))=SC_TK,LEFT($G1679,LEN(SC_TK))=SC_TK)),1,0)</f>
        <v/>
      </c>
    </row>
    <row r="1680" ht="15" customHeight="1" s="78">
      <c r="A1680" s="95">
        <f>IF($H1680="","",ROW()-6)</f>
        <v/>
      </c>
      <c r="B1680" s="114" t="n"/>
      <c r="C1680" s="102" t="n"/>
      <c r="D1680" s="114" t="n"/>
      <c r="E1680" s="103" t="n"/>
      <c r="F1680" s="102" t="n"/>
      <c r="G1680" s="102" t="n"/>
      <c r="H1680" s="115" t="n"/>
      <c r="I1680" s="102" t="n"/>
      <c r="J1680" s="102" t="n"/>
      <c r="K1680" s="103" t="n"/>
      <c r="L1680" s="116">
        <f>IF($H1680="","",TRIM(IF(COUNTIF(DMTK!$A$7:$A$250,$F1680)=0,"TK Nợ sai! ","")&amp;IF(COUNTIF(DMTK!$A$7:$A$250,$G1680)=0,"TK Có sai! ","")&amp;IF(N($H1680)&lt;=0,"Tiền phải &gt; 0! ","")&amp;IF($B1680="","Thiếu ngày! ","")&amp;IF(AND(OR(LEFT($F1680,3)="131",LEFT($G1680,3)="131",LEFT($F1680,3)="331",LEFT($G1680,3)="331"),$I1680=""),"Thiếu Mã ĐT! ","")&amp;IF(AND($I1680&lt;&gt;"",COUNTIF(DM_DT!$A$7:$A$306,$I1680)=0),"Mã ĐT chưa khai báo! ","")))</f>
        <v/>
      </c>
      <c r="M1680" s="117">
        <f>IF($H1680="","",IF(AND(OR(LEFT($F1680,3)="111",LEFT($F1680,3)="112",LEFT($F1680,3)="113"),OR(LEFT($G1680,3)="111",LEFT($G1680,3)="112",LEFT($G1680,3)="113")),"NB",IF(OR(LEFT($F1680,3)="111",LEFT($F1680,3)="112",LEFT($F1680,3)="113"),"THU",IF(OR(LEFT($G1680,3)="111",LEFT($G1680,3)="112",LEFT($G1680,3)="113"),"CHI",""))))</f>
        <v/>
      </c>
      <c r="N1680" s="117">
        <f>IF($M1680="THU",$G1680,IF($M1680="CHI",$F1680,""))</f>
        <v/>
      </c>
      <c r="O1680" s="117">
        <f>IF(OR($M1680="",$M1680="NB"),"",IF($J1680&lt;&gt;"",TEXT($J1680,"00"),IFERROR(VLOOKUP(LEFT($N1680,4),LCTT_MAP!$A$7:$C$66,IF($M1680="THU",2,3),FALSE()),IFERROR(VLOOKUP(LEFT($N1680,3),LCTT_MAP!$A$7:$C$66,IF($M1680="THU",2,3),FALSE()),IFERROR(VLOOKUP(LEFT($N1680,2),LCTT_MAP!$A$7:$C$66,IF($M1680="THU",2,3),FALSE()),IFERROR(VLOOKUP(LEFT($N1680,1),LCTT_MAP!$A$7:$C$66,IF($M1680="THU",2,3),FALSE()),IF($M1680="THU","06","07")))))))</f>
        <v/>
      </c>
      <c r="P1680" s="117">
        <f>P1679+IF(AND($H1680&lt;&gt;"",OR(LEFT($F1680,LEN(SC_TK))=SC_TK,LEFT($G1680,LEN(SC_TK))=SC_TK)),1,0)</f>
        <v/>
      </c>
    </row>
    <row r="1681" ht="15" customHeight="1" s="78">
      <c r="A1681" s="95">
        <f>IF($H1681="","",ROW()-6)</f>
        <v/>
      </c>
      <c r="B1681" s="114" t="n"/>
      <c r="C1681" s="102" t="n"/>
      <c r="D1681" s="114" t="n"/>
      <c r="E1681" s="103" t="n"/>
      <c r="F1681" s="102" t="n"/>
      <c r="G1681" s="102" t="n"/>
      <c r="H1681" s="115" t="n"/>
      <c r="I1681" s="102" t="n"/>
      <c r="J1681" s="102" t="n"/>
      <c r="K1681" s="103" t="n"/>
      <c r="L1681" s="116">
        <f>IF($H1681="","",TRIM(IF(COUNTIF(DMTK!$A$7:$A$250,$F1681)=0,"TK Nợ sai! ","")&amp;IF(COUNTIF(DMTK!$A$7:$A$250,$G1681)=0,"TK Có sai! ","")&amp;IF(N($H1681)&lt;=0,"Tiền phải &gt; 0! ","")&amp;IF($B1681="","Thiếu ngày! ","")&amp;IF(AND(OR(LEFT($F1681,3)="131",LEFT($G1681,3)="131",LEFT($F1681,3)="331",LEFT($G1681,3)="331"),$I1681=""),"Thiếu Mã ĐT! ","")&amp;IF(AND($I1681&lt;&gt;"",COUNTIF(DM_DT!$A$7:$A$306,$I1681)=0),"Mã ĐT chưa khai báo! ","")))</f>
        <v/>
      </c>
      <c r="M1681" s="117">
        <f>IF($H1681="","",IF(AND(OR(LEFT($F1681,3)="111",LEFT($F1681,3)="112",LEFT($F1681,3)="113"),OR(LEFT($G1681,3)="111",LEFT($G1681,3)="112",LEFT($G1681,3)="113")),"NB",IF(OR(LEFT($F1681,3)="111",LEFT($F1681,3)="112",LEFT($F1681,3)="113"),"THU",IF(OR(LEFT($G1681,3)="111",LEFT($G1681,3)="112",LEFT($G1681,3)="113"),"CHI",""))))</f>
        <v/>
      </c>
      <c r="N1681" s="117">
        <f>IF($M1681="THU",$G1681,IF($M1681="CHI",$F1681,""))</f>
        <v/>
      </c>
      <c r="O1681" s="117">
        <f>IF(OR($M1681="",$M1681="NB"),"",IF($J1681&lt;&gt;"",TEXT($J1681,"00"),IFERROR(VLOOKUP(LEFT($N1681,4),LCTT_MAP!$A$7:$C$66,IF($M1681="THU",2,3),FALSE()),IFERROR(VLOOKUP(LEFT($N1681,3),LCTT_MAP!$A$7:$C$66,IF($M1681="THU",2,3),FALSE()),IFERROR(VLOOKUP(LEFT($N1681,2),LCTT_MAP!$A$7:$C$66,IF($M1681="THU",2,3),FALSE()),IFERROR(VLOOKUP(LEFT($N1681,1),LCTT_MAP!$A$7:$C$66,IF($M1681="THU",2,3),FALSE()),IF($M1681="THU","06","07")))))))</f>
        <v/>
      </c>
      <c r="P1681" s="117">
        <f>P1680+IF(AND($H1681&lt;&gt;"",OR(LEFT($F1681,LEN(SC_TK))=SC_TK,LEFT($G1681,LEN(SC_TK))=SC_TK)),1,0)</f>
        <v/>
      </c>
    </row>
    <row r="1682" ht="15" customHeight="1" s="78">
      <c r="A1682" s="95">
        <f>IF($H1682="","",ROW()-6)</f>
        <v/>
      </c>
      <c r="B1682" s="114" t="n"/>
      <c r="C1682" s="102" t="n"/>
      <c r="D1682" s="114" t="n"/>
      <c r="E1682" s="103" t="n"/>
      <c r="F1682" s="102" t="n"/>
      <c r="G1682" s="102" t="n"/>
      <c r="H1682" s="115" t="n"/>
      <c r="I1682" s="102" t="n"/>
      <c r="J1682" s="102" t="n"/>
      <c r="K1682" s="103" t="n"/>
      <c r="L1682" s="116">
        <f>IF($H1682="","",TRIM(IF(COUNTIF(DMTK!$A$7:$A$250,$F1682)=0,"TK Nợ sai! ","")&amp;IF(COUNTIF(DMTK!$A$7:$A$250,$G1682)=0,"TK Có sai! ","")&amp;IF(N($H1682)&lt;=0,"Tiền phải &gt; 0! ","")&amp;IF($B1682="","Thiếu ngày! ","")&amp;IF(AND(OR(LEFT($F1682,3)="131",LEFT($G1682,3)="131",LEFT($F1682,3)="331",LEFT($G1682,3)="331"),$I1682=""),"Thiếu Mã ĐT! ","")&amp;IF(AND($I1682&lt;&gt;"",COUNTIF(DM_DT!$A$7:$A$306,$I1682)=0),"Mã ĐT chưa khai báo! ","")))</f>
        <v/>
      </c>
      <c r="M1682" s="117">
        <f>IF($H1682="","",IF(AND(OR(LEFT($F1682,3)="111",LEFT($F1682,3)="112",LEFT($F1682,3)="113"),OR(LEFT($G1682,3)="111",LEFT($G1682,3)="112",LEFT($G1682,3)="113")),"NB",IF(OR(LEFT($F1682,3)="111",LEFT($F1682,3)="112",LEFT($F1682,3)="113"),"THU",IF(OR(LEFT($G1682,3)="111",LEFT($G1682,3)="112",LEFT($G1682,3)="113"),"CHI",""))))</f>
        <v/>
      </c>
      <c r="N1682" s="117">
        <f>IF($M1682="THU",$G1682,IF($M1682="CHI",$F1682,""))</f>
        <v/>
      </c>
      <c r="O1682" s="117">
        <f>IF(OR($M1682="",$M1682="NB"),"",IF($J1682&lt;&gt;"",TEXT($J1682,"00"),IFERROR(VLOOKUP(LEFT($N1682,4),LCTT_MAP!$A$7:$C$66,IF($M1682="THU",2,3),FALSE()),IFERROR(VLOOKUP(LEFT($N1682,3),LCTT_MAP!$A$7:$C$66,IF($M1682="THU",2,3),FALSE()),IFERROR(VLOOKUP(LEFT($N1682,2),LCTT_MAP!$A$7:$C$66,IF($M1682="THU",2,3),FALSE()),IFERROR(VLOOKUP(LEFT($N1682,1),LCTT_MAP!$A$7:$C$66,IF($M1682="THU",2,3),FALSE()),IF($M1682="THU","06","07")))))))</f>
        <v/>
      </c>
      <c r="P1682" s="117">
        <f>P1681+IF(AND($H1682&lt;&gt;"",OR(LEFT($F1682,LEN(SC_TK))=SC_TK,LEFT($G1682,LEN(SC_TK))=SC_TK)),1,0)</f>
        <v/>
      </c>
    </row>
    <row r="1683" ht="15" customHeight="1" s="78">
      <c r="A1683" s="95">
        <f>IF($H1683="","",ROW()-6)</f>
        <v/>
      </c>
      <c r="B1683" s="114" t="n"/>
      <c r="C1683" s="102" t="n"/>
      <c r="D1683" s="114" t="n"/>
      <c r="E1683" s="103" t="n"/>
      <c r="F1683" s="102" t="n"/>
      <c r="G1683" s="102" t="n"/>
      <c r="H1683" s="115" t="n"/>
      <c r="I1683" s="102" t="n"/>
      <c r="J1683" s="102" t="n"/>
      <c r="K1683" s="103" t="n"/>
      <c r="L1683" s="116">
        <f>IF($H1683="","",TRIM(IF(COUNTIF(DMTK!$A$7:$A$250,$F1683)=0,"TK Nợ sai! ","")&amp;IF(COUNTIF(DMTK!$A$7:$A$250,$G1683)=0,"TK Có sai! ","")&amp;IF(N($H1683)&lt;=0,"Tiền phải &gt; 0! ","")&amp;IF($B1683="","Thiếu ngày! ","")&amp;IF(AND(OR(LEFT($F1683,3)="131",LEFT($G1683,3)="131",LEFT($F1683,3)="331",LEFT($G1683,3)="331"),$I1683=""),"Thiếu Mã ĐT! ","")&amp;IF(AND($I1683&lt;&gt;"",COUNTIF(DM_DT!$A$7:$A$306,$I1683)=0),"Mã ĐT chưa khai báo! ","")))</f>
        <v/>
      </c>
      <c r="M1683" s="117">
        <f>IF($H1683="","",IF(AND(OR(LEFT($F1683,3)="111",LEFT($F1683,3)="112",LEFT($F1683,3)="113"),OR(LEFT($G1683,3)="111",LEFT($G1683,3)="112",LEFT($G1683,3)="113")),"NB",IF(OR(LEFT($F1683,3)="111",LEFT($F1683,3)="112",LEFT($F1683,3)="113"),"THU",IF(OR(LEFT($G1683,3)="111",LEFT($G1683,3)="112",LEFT($G1683,3)="113"),"CHI",""))))</f>
        <v/>
      </c>
      <c r="N1683" s="117">
        <f>IF($M1683="THU",$G1683,IF($M1683="CHI",$F1683,""))</f>
        <v/>
      </c>
      <c r="O1683" s="117">
        <f>IF(OR($M1683="",$M1683="NB"),"",IF($J1683&lt;&gt;"",TEXT($J1683,"00"),IFERROR(VLOOKUP(LEFT($N1683,4),LCTT_MAP!$A$7:$C$66,IF($M1683="THU",2,3),FALSE()),IFERROR(VLOOKUP(LEFT($N1683,3),LCTT_MAP!$A$7:$C$66,IF($M1683="THU",2,3),FALSE()),IFERROR(VLOOKUP(LEFT($N1683,2),LCTT_MAP!$A$7:$C$66,IF($M1683="THU",2,3),FALSE()),IFERROR(VLOOKUP(LEFT($N1683,1),LCTT_MAP!$A$7:$C$66,IF($M1683="THU",2,3),FALSE()),IF($M1683="THU","06","07")))))))</f>
        <v/>
      </c>
      <c r="P1683" s="117">
        <f>P1682+IF(AND($H1683&lt;&gt;"",OR(LEFT($F1683,LEN(SC_TK))=SC_TK,LEFT($G1683,LEN(SC_TK))=SC_TK)),1,0)</f>
        <v/>
      </c>
    </row>
    <row r="1684" ht="15" customHeight="1" s="78">
      <c r="A1684" s="95">
        <f>IF($H1684="","",ROW()-6)</f>
        <v/>
      </c>
      <c r="B1684" s="114" t="n"/>
      <c r="C1684" s="102" t="n"/>
      <c r="D1684" s="114" t="n"/>
      <c r="E1684" s="103" t="n"/>
      <c r="F1684" s="102" t="n"/>
      <c r="G1684" s="102" t="n"/>
      <c r="H1684" s="115" t="n"/>
      <c r="I1684" s="102" t="n"/>
      <c r="J1684" s="102" t="n"/>
      <c r="K1684" s="103" t="n"/>
      <c r="L1684" s="116">
        <f>IF($H1684="","",TRIM(IF(COUNTIF(DMTK!$A$7:$A$250,$F1684)=0,"TK Nợ sai! ","")&amp;IF(COUNTIF(DMTK!$A$7:$A$250,$G1684)=0,"TK Có sai! ","")&amp;IF(N($H1684)&lt;=0,"Tiền phải &gt; 0! ","")&amp;IF($B1684="","Thiếu ngày! ","")&amp;IF(AND(OR(LEFT($F1684,3)="131",LEFT($G1684,3)="131",LEFT($F1684,3)="331",LEFT($G1684,3)="331"),$I1684=""),"Thiếu Mã ĐT! ","")&amp;IF(AND($I1684&lt;&gt;"",COUNTIF(DM_DT!$A$7:$A$306,$I1684)=0),"Mã ĐT chưa khai báo! ","")))</f>
        <v/>
      </c>
      <c r="M1684" s="117">
        <f>IF($H1684="","",IF(AND(OR(LEFT($F1684,3)="111",LEFT($F1684,3)="112",LEFT($F1684,3)="113"),OR(LEFT($G1684,3)="111",LEFT($G1684,3)="112",LEFT($G1684,3)="113")),"NB",IF(OR(LEFT($F1684,3)="111",LEFT($F1684,3)="112",LEFT($F1684,3)="113"),"THU",IF(OR(LEFT($G1684,3)="111",LEFT($G1684,3)="112",LEFT($G1684,3)="113"),"CHI",""))))</f>
        <v/>
      </c>
      <c r="N1684" s="117">
        <f>IF($M1684="THU",$G1684,IF($M1684="CHI",$F1684,""))</f>
        <v/>
      </c>
      <c r="O1684" s="117">
        <f>IF(OR($M1684="",$M1684="NB"),"",IF($J1684&lt;&gt;"",TEXT($J1684,"00"),IFERROR(VLOOKUP(LEFT($N1684,4),LCTT_MAP!$A$7:$C$66,IF($M1684="THU",2,3),FALSE()),IFERROR(VLOOKUP(LEFT($N1684,3),LCTT_MAP!$A$7:$C$66,IF($M1684="THU",2,3),FALSE()),IFERROR(VLOOKUP(LEFT($N1684,2),LCTT_MAP!$A$7:$C$66,IF($M1684="THU",2,3),FALSE()),IFERROR(VLOOKUP(LEFT($N1684,1),LCTT_MAP!$A$7:$C$66,IF($M1684="THU",2,3),FALSE()),IF($M1684="THU","06","07")))))))</f>
        <v/>
      </c>
      <c r="P1684" s="117">
        <f>P1683+IF(AND($H1684&lt;&gt;"",OR(LEFT($F1684,LEN(SC_TK))=SC_TK,LEFT($G1684,LEN(SC_TK))=SC_TK)),1,0)</f>
        <v/>
      </c>
    </row>
    <row r="1685" ht="15" customHeight="1" s="78">
      <c r="A1685" s="95">
        <f>IF($H1685="","",ROW()-6)</f>
        <v/>
      </c>
      <c r="B1685" s="114" t="n"/>
      <c r="C1685" s="102" t="n"/>
      <c r="D1685" s="114" t="n"/>
      <c r="E1685" s="103" t="n"/>
      <c r="F1685" s="102" t="n"/>
      <c r="G1685" s="102" t="n"/>
      <c r="H1685" s="115" t="n"/>
      <c r="I1685" s="102" t="n"/>
      <c r="J1685" s="102" t="n"/>
      <c r="K1685" s="103" t="n"/>
      <c r="L1685" s="116">
        <f>IF($H1685="","",TRIM(IF(COUNTIF(DMTK!$A$7:$A$250,$F1685)=0,"TK Nợ sai! ","")&amp;IF(COUNTIF(DMTK!$A$7:$A$250,$G1685)=0,"TK Có sai! ","")&amp;IF(N($H1685)&lt;=0,"Tiền phải &gt; 0! ","")&amp;IF($B1685="","Thiếu ngày! ","")&amp;IF(AND(OR(LEFT($F1685,3)="131",LEFT($G1685,3)="131",LEFT($F1685,3)="331",LEFT($G1685,3)="331"),$I1685=""),"Thiếu Mã ĐT! ","")&amp;IF(AND($I1685&lt;&gt;"",COUNTIF(DM_DT!$A$7:$A$306,$I1685)=0),"Mã ĐT chưa khai báo! ","")))</f>
        <v/>
      </c>
      <c r="M1685" s="117">
        <f>IF($H1685="","",IF(AND(OR(LEFT($F1685,3)="111",LEFT($F1685,3)="112",LEFT($F1685,3)="113"),OR(LEFT($G1685,3)="111",LEFT($G1685,3)="112",LEFT($G1685,3)="113")),"NB",IF(OR(LEFT($F1685,3)="111",LEFT($F1685,3)="112",LEFT($F1685,3)="113"),"THU",IF(OR(LEFT($G1685,3)="111",LEFT($G1685,3)="112",LEFT($G1685,3)="113"),"CHI",""))))</f>
        <v/>
      </c>
      <c r="N1685" s="117">
        <f>IF($M1685="THU",$G1685,IF($M1685="CHI",$F1685,""))</f>
        <v/>
      </c>
      <c r="O1685" s="117">
        <f>IF(OR($M1685="",$M1685="NB"),"",IF($J1685&lt;&gt;"",TEXT($J1685,"00"),IFERROR(VLOOKUP(LEFT($N1685,4),LCTT_MAP!$A$7:$C$66,IF($M1685="THU",2,3),FALSE()),IFERROR(VLOOKUP(LEFT($N1685,3),LCTT_MAP!$A$7:$C$66,IF($M1685="THU",2,3),FALSE()),IFERROR(VLOOKUP(LEFT($N1685,2),LCTT_MAP!$A$7:$C$66,IF($M1685="THU",2,3),FALSE()),IFERROR(VLOOKUP(LEFT($N1685,1),LCTT_MAP!$A$7:$C$66,IF($M1685="THU",2,3),FALSE()),IF($M1685="THU","06","07")))))))</f>
        <v/>
      </c>
      <c r="P1685" s="117">
        <f>P1684+IF(AND($H1685&lt;&gt;"",OR(LEFT($F1685,LEN(SC_TK))=SC_TK,LEFT($G1685,LEN(SC_TK))=SC_TK)),1,0)</f>
        <v/>
      </c>
    </row>
    <row r="1686" ht="15" customHeight="1" s="78">
      <c r="A1686" s="95">
        <f>IF($H1686="","",ROW()-6)</f>
        <v/>
      </c>
      <c r="B1686" s="114" t="n"/>
      <c r="C1686" s="102" t="n"/>
      <c r="D1686" s="114" t="n"/>
      <c r="E1686" s="103" t="n"/>
      <c r="F1686" s="102" t="n"/>
      <c r="G1686" s="102" t="n"/>
      <c r="H1686" s="115" t="n"/>
      <c r="I1686" s="102" t="n"/>
      <c r="J1686" s="102" t="n"/>
      <c r="K1686" s="103" t="n"/>
      <c r="L1686" s="116">
        <f>IF($H1686="","",TRIM(IF(COUNTIF(DMTK!$A$7:$A$250,$F1686)=0,"TK Nợ sai! ","")&amp;IF(COUNTIF(DMTK!$A$7:$A$250,$G1686)=0,"TK Có sai! ","")&amp;IF(N($H1686)&lt;=0,"Tiền phải &gt; 0! ","")&amp;IF($B1686="","Thiếu ngày! ","")&amp;IF(AND(OR(LEFT($F1686,3)="131",LEFT($G1686,3)="131",LEFT($F1686,3)="331",LEFT($G1686,3)="331"),$I1686=""),"Thiếu Mã ĐT! ","")&amp;IF(AND($I1686&lt;&gt;"",COUNTIF(DM_DT!$A$7:$A$306,$I1686)=0),"Mã ĐT chưa khai báo! ","")))</f>
        <v/>
      </c>
      <c r="M1686" s="117">
        <f>IF($H1686="","",IF(AND(OR(LEFT($F1686,3)="111",LEFT($F1686,3)="112",LEFT($F1686,3)="113"),OR(LEFT($G1686,3)="111",LEFT($G1686,3)="112",LEFT($G1686,3)="113")),"NB",IF(OR(LEFT($F1686,3)="111",LEFT($F1686,3)="112",LEFT($F1686,3)="113"),"THU",IF(OR(LEFT($G1686,3)="111",LEFT($G1686,3)="112",LEFT($G1686,3)="113"),"CHI",""))))</f>
        <v/>
      </c>
      <c r="N1686" s="117">
        <f>IF($M1686="THU",$G1686,IF($M1686="CHI",$F1686,""))</f>
        <v/>
      </c>
      <c r="O1686" s="117">
        <f>IF(OR($M1686="",$M1686="NB"),"",IF($J1686&lt;&gt;"",TEXT($J1686,"00"),IFERROR(VLOOKUP(LEFT($N1686,4),LCTT_MAP!$A$7:$C$66,IF($M1686="THU",2,3),FALSE()),IFERROR(VLOOKUP(LEFT($N1686,3),LCTT_MAP!$A$7:$C$66,IF($M1686="THU",2,3),FALSE()),IFERROR(VLOOKUP(LEFT($N1686,2),LCTT_MAP!$A$7:$C$66,IF($M1686="THU",2,3),FALSE()),IFERROR(VLOOKUP(LEFT($N1686,1),LCTT_MAP!$A$7:$C$66,IF($M1686="THU",2,3),FALSE()),IF($M1686="THU","06","07")))))))</f>
        <v/>
      </c>
      <c r="P1686" s="117">
        <f>P1685+IF(AND($H1686&lt;&gt;"",OR(LEFT($F1686,LEN(SC_TK))=SC_TK,LEFT($G1686,LEN(SC_TK))=SC_TK)),1,0)</f>
        <v/>
      </c>
    </row>
    <row r="1687" ht="15" customHeight="1" s="78">
      <c r="A1687" s="95">
        <f>IF($H1687="","",ROW()-6)</f>
        <v/>
      </c>
      <c r="B1687" s="114" t="n"/>
      <c r="C1687" s="102" t="n"/>
      <c r="D1687" s="114" t="n"/>
      <c r="E1687" s="103" t="n"/>
      <c r="F1687" s="102" t="n"/>
      <c r="G1687" s="102" t="n"/>
      <c r="H1687" s="115" t="n"/>
      <c r="I1687" s="102" t="n"/>
      <c r="J1687" s="102" t="n"/>
      <c r="K1687" s="103" t="n"/>
      <c r="L1687" s="116">
        <f>IF($H1687="","",TRIM(IF(COUNTIF(DMTK!$A$7:$A$250,$F1687)=0,"TK Nợ sai! ","")&amp;IF(COUNTIF(DMTK!$A$7:$A$250,$G1687)=0,"TK Có sai! ","")&amp;IF(N($H1687)&lt;=0,"Tiền phải &gt; 0! ","")&amp;IF($B1687="","Thiếu ngày! ","")&amp;IF(AND(OR(LEFT($F1687,3)="131",LEFT($G1687,3)="131",LEFT($F1687,3)="331",LEFT($G1687,3)="331"),$I1687=""),"Thiếu Mã ĐT! ","")&amp;IF(AND($I1687&lt;&gt;"",COUNTIF(DM_DT!$A$7:$A$306,$I1687)=0),"Mã ĐT chưa khai báo! ","")))</f>
        <v/>
      </c>
      <c r="M1687" s="117">
        <f>IF($H1687="","",IF(AND(OR(LEFT($F1687,3)="111",LEFT($F1687,3)="112",LEFT($F1687,3)="113"),OR(LEFT($G1687,3)="111",LEFT($G1687,3)="112",LEFT($G1687,3)="113")),"NB",IF(OR(LEFT($F1687,3)="111",LEFT($F1687,3)="112",LEFT($F1687,3)="113"),"THU",IF(OR(LEFT($G1687,3)="111",LEFT($G1687,3)="112",LEFT($G1687,3)="113"),"CHI",""))))</f>
        <v/>
      </c>
      <c r="N1687" s="117">
        <f>IF($M1687="THU",$G1687,IF($M1687="CHI",$F1687,""))</f>
        <v/>
      </c>
      <c r="O1687" s="117">
        <f>IF(OR($M1687="",$M1687="NB"),"",IF($J1687&lt;&gt;"",TEXT($J1687,"00"),IFERROR(VLOOKUP(LEFT($N1687,4),LCTT_MAP!$A$7:$C$66,IF($M1687="THU",2,3),FALSE()),IFERROR(VLOOKUP(LEFT($N1687,3),LCTT_MAP!$A$7:$C$66,IF($M1687="THU",2,3),FALSE()),IFERROR(VLOOKUP(LEFT($N1687,2),LCTT_MAP!$A$7:$C$66,IF($M1687="THU",2,3),FALSE()),IFERROR(VLOOKUP(LEFT($N1687,1),LCTT_MAP!$A$7:$C$66,IF($M1687="THU",2,3),FALSE()),IF($M1687="THU","06","07")))))))</f>
        <v/>
      </c>
      <c r="P1687" s="117">
        <f>P1686+IF(AND($H1687&lt;&gt;"",OR(LEFT($F1687,LEN(SC_TK))=SC_TK,LEFT($G1687,LEN(SC_TK))=SC_TK)),1,0)</f>
        <v/>
      </c>
    </row>
    <row r="1688" ht="15" customHeight="1" s="78">
      <c r="A1688" s="95">
        <f>IF($H1688="","",ROW()-6)</f>
        <v/>
      </c>
      <c r="B1688" s="114" t="n"/>
      <c r="C1688" s="102" t="n"/>
      <c r="D1688" s="114" t="n"/>
      <c r="E1688" s="103" t="n"/>
      <c r="F1688" s="102" t="n"/>
      <c r="G1688" s="102" t="n"/>
      <c r="H1688" s="115" t="n"/>
      <c r="I1688" s="102" t="n"/>
      <c r="J1688" s="102" t="n"/>
      <c r="K1688" s="103" t="n"/>
      <c r="L1688" s="116">
        <f>IF($H1688="","",TRIM(IF(COUNTIF(DMTK!$A$7:$A$250,$F1688)=0,"TK Nợ sai! ","")&amp;IF(COUNTIF(DMTK!$A$7:$A$250,$G1688)=0,"TK Có sai! ","")&amp;IF(N($H1688)&lt;=0,"Tiền phải &gt; 0! ","")&amp;IF($B1688="","Thiếu ngày! ","")&amp;IF(AND(OR(LEFT($F1688,3)="131",LEFT($G1688,3)="131",LEFT($F1688,3)="331",LEFT($G1688,3)="331"),$I1688=""),"Thiếu Mã ĐT! ","")&amp;IF(AND($I1688&lt;&gt;"",COUNTIF(DM_DT!$A$7:$A$306,$I1688)=0),"Mã ĐT chưa khai báo! ","")))</f>
        <v/>
      </c>
      <c r="M1688" s="117">
        <f>IF($H1688="","",IF(AND(OR(LEFT($F1688,3)="111",LEFT($F1688,3)="112",LEFT($F1688,3)="113"),OR(LEFT($G1688,3)="111",LEFT($G1688,3)="112",LEFT($G1688,3)="113")),"NB",IF(OR(LEFT($F1688,3)="111",LEFT($F1688,3)="112",LEFT($F1688,3)="113"),"THU",IF(OR(LEFT($G1688,3)="111",LEFT($G1688,3)="112",LEFT($G1688,3)="113"),"CHI",""))))</f>
        <v/>
      </c>
      <c r="N1688" s="117">
        <f>IF($M1688="THU",$G1688,IF($M1688="CHI",$F1688,""))</f>
        <v/>
      </c>
      <c r="O1688" s="117">
        <f>IF(OR($M1688="",$M1688="NB"),"",IF($J1688&lt;&gt;"",TEXT($J1688,"00"),IFERROR(VLOOKUP(LEFT($N1688,4),LCTT_MAP!$A$7:$C$66,IF($M1688="THU",2,3),FALSE()),IFERROR(VLOOKUP(LEFT($N1688,3),LCTT_MAP!$A$7:$C$66,IF($M1688="THU",2,3),FALSE()),IFERROR(VLOOKUP(LEFT($N1688,2),LCTT_MAP!$A$7:$C$66,IF($M1688="THU",2,3),FALSE()),IFERROR(VLOOKUP(LEFT($N1688,1),LCTT_MAP!$A$7:$C$66,IF($M1688="THU",2,3),FALSE()),IF($M1688="THU","06","07")))))))</f>
        <v/>
      </c>
      <c r="P1688" s="117">
        <f>P1687+IF(AND($H1688&lt;&gt;"",OR(LEFT($F1688,LEN(SC_TK))=SC_TK,LEFT($G1688,LEN(SC_TK))=SC_TK)),1,0)</f>
        <v/>
      </c>
    </row>
    <row r="1689" ht="15" customHeight="1" s="78">
      <c r="A1689" s="95">
        <f>IF($H1689="","",ROW()-6)</f>
        <v/>
      </c>
      <c r="B1689" s="114" t="n"/>
      <c r="C1689" s="102" t="n"/>
      <c r="D1689" s="114" t="n"/>
      <c r="E1689" s="103" t="n"/>
      <c r="F1689" s="102" t="n"/>
      <c r="G1689" s="102" t="n"/>
      <c r="H1689" s="115" t="n"/>
      <c r="I1689" s="102" t="n"/>
      <c r="J1689" s="102" t="n"/>
      <c r="K1689" s="103" t="n"/>
      <c r="L1689" s="116">
        <f>IF($H1689="","",TRIM(IF(COUNTIF(DMTK!$A$7:$A$250,$F1689)=0,"TK Nợ sai! ","")&amp;IF(COUNTIF(DMTK!$A$7:$A$250,$G1689)=0,"TK Có sai! ","")&amp;IF(N($H1689)&lt;=0,"Tiền phải &gt; 0! ","")&amp;IF($B1689="","Thiếu ngày! ","")&amp;IF(AND(OR(LEFT($F1689,3)="131",LEFT($G1689,3)="131",LEFT($F1689,3)="331",LEFT($G1689,3)="331"),$I1689=""),"Thiếu Mã ĐT! ","")&amp;IF(AND($I1689&lt;&gt;"",COUNTIF(DM_DT!$A$7:$A$306,$I1689)=0),"Mã ĐT chưa khai báo! ","")))</f>
        <v/>
      </c>
      <c r="M1689" s="117">
        <f>IF($H1689="","",IF(AND(OR(LEFT($F1689,3)="111",LEFT($F1689,3)="112",LEFT($F1689,3)="113"),OR(LEFT($G1689,3)="111",LEFT($G1689,3)="112",LEFT($G1689,3)="113")),"NB",IF(OR(LEFT($F1689,3)="111",LEFT($F1689,3)="112",LEFT($F1689,3)="113"),"THU",IF(OR(LEFT($G1689,3)="111",LEFT($G1689,3)="112",LEFT($G1689,3)="113"),"CHI",""))))</f>
        <v/>
      </c>
      <c r="N1689" s="117">
        <f>IF($M1689="THU",$G1689,IF($M1689="CHI",$F1689,""))</f>
        <v/>
      </c>
      <c r="O1689" s="117">
        <f>IF(OR($M1689="",$M1689="NB"),"",IF($J1689&lt;&gt;"",TEXT($J1689,"00"),IFERROR(VLOOKUP(LEFT($N1689,4),LCTT_MAP!$A$7:$C$66,IF($M1689="THU",2,3),FALSE()),IFERROR(VLOOKUP(LEFT($N1689,3),LCTT_MAP!$A$7:$C$66,IF($M1689="THU",2,3),FALSE()),IFERROR(VLOOKUP(LEFT($N1689,2),LCTT_MAP!$A$7:$C$66,IF($M1689="THU",2,3),FALSE()),IFERROR(VLOOKUP(LEFT($N1689,1),LCTT_MAP!$A$7:$C$66,IF($M1689="THU",2,3),FALSE()),IF($M1689="THU","06","07")))))))</f>
        <v/>
      </c>
      <c r="P1689" s="117">
        <f>P1688+IF(AND($H1689&lt;&gt;"",OR(LEFT($F1689,LEN(SC_TK))=SC_TK,LEFT($G1689,LEN(SC_TK))=SC_TK)),1,0)</f>
        <v/>
      </c>
    </row>
    <row r="1690" ht="15" customHeight="1" s="78">
      <c r="A1690" s="95">
        <f>IF($H1690="","",ROW()-6)</f>
        <v/>
      </c>
      <c r="B1690" s="114" t="n"/>
      <c r="C1690" s="102" t="n"/>
      <c r="D1690" s="114" t="n"/>
      <c r="E1690" s="103" t="n"/>
      <c r="F1690" s="102" t="n"/>
      <c r="G1690" s="102" t="n"/>
      <c r="H1690" s="115" t="n"/>
      <c r="I1690" s="102" t="n"/>
      <c r="J1690" s="102" t="n"/>
      <c r="K1690" s="103" t="n"/>
      <c r="L1690" s="116">
        <f>IF($H1690="","",TRIM(IF(COUNTIF(DMTK!$A$7:$A$250,$F1690)=0,"TK Nợ sai! ","")&amp;IF(COUNTIF(DMTK!$A$7:$A$250,$G1690)=0,"TK Có sai! ","")&amp;IF(N($H1690)&lt;=0,"Tiền phải &gt; 0! ","")&amp;IF($B1690="","Thiếu ngày! ","")&amp;IF(AND(OR(LEFT($F1690,3)="131",LEFT($G1690,3)="131",LEFT($F1690,3)="331",LEFT($G1690,3)="331"),$I1690=""),"Thiếu Mã ĐT! ","")&amp;IF(AND($I1690&lt;&gt;"",COUNTIF(DM_DT!$A$7:$A$306,$I1690)=0),"Mã ĐT chưa khai báo! ","")))</f>
        <v/>
      </c>
      <c r="M1690" s="117">
        <f>IF($H1690="","",IF(AND(OR(LEFT($F1690,3)="111",LEFT($F1690,3)="112",LEFT($F1690,3)="113"),OR(LEFT($G1690,3)="111",LEFT($G1690,3)="112",LEFT($G1690,3)="113")),"NB",IF(OR(LEFT($F1690,3)="111",LEFT($F1690,3)="112",LEFT($F1690,3)="113"),"THU",IF(OR(LEFT($G1690,3)="111",LEFT($G1690,3)="112",LEFT($G1690,3)="113"),"CHI",""))))</f>
        <v/>
      </c>
      <c r="N1690" s="117">
        <f>IF($M1690="THU",$G1690,IF($M1690="CHI",$F1690,""))</f>
        <v/>
      </c>
      <c r="O1690" s="117">
        <f>IF(OR($M1690="",$M1690="NB"),"",IF($J1690&lt;&gt;"",TEXT($J1690,"00"),IFERROR(VLOOKUP(LEFT($N1690,4),LCTT_MAP!$A$7:$C$66,IF($M1690="THU",2,3),FALSE()),IFERROR(VLOOKUP(LEFT($N1690,3),LCTT_MAP!$A$7:$C$66,IF($M1690="THU",2,3),FALSE()),IFERROR(VLOOKUP(LEFT($N1690,2),LCTT_MAP!$A$7:$C$66,IF($M1690="THU",2,3),FALSE()),IFERROR(VLOOKUP(LEFT($N1690,1),LCTT_MAP!$A$7:$C$66,IF($M1690="THU",2,3),FALSE()),IF($M1690="THU","06","07")))))))</f>
        <v/>
      </c>
      <c r="P1690" s="117">
        <f>P1689+IF(AND($H1690&lt;&gt;"",OR(LEFT($F1690,LEN(SC_TK))=SC_TK,LEFT($G1690,LEN(SC_TK))=SC_TK)),1,0)</f>
        <v/>
      </c>
    </row>
    <row r="1691" ht="15" customHeight="1" s="78">
      <c r="A1691" s="95">
        <f>IF($H1691="","",ROW()-6)</f>
        <v/>
      </c>
      <c r="B1691" s="114" t="n"/>
      <c r="C1691" s="102" t="n"/>
      <c r="D1691" s="114" t="n"/>
      <c r="E1691" s="103" t="n"/>
      <c r="F1691" s="102" t="n"/>
      <c r="G1691" s="102" t="n"/>
      <c r="H1691" s="115" t="n"/>
      <c r="I1691" s="102" t="n"/>
      <c r="J1691" s="102" t="n"/>
      <c r="K1691" s="103" t="n"/>
      <c r="L1691" s="116">
        <f>IF($H1691="","",TRIM(IF(COUNTIF(DMTK!$A$7:$A$250,$F1691)=0,"TK Nợ sai! ","")&amp;IF(COUNTIF(DMTK!$A$7:$A$250,$G1691)=0,"TK Có sai! ","")&amp;IF(N($H1691)&lt;=0,"Tiền phải &gt; 0! ","")&amp;IF($B1691="","Thiếu ngày! ","")&amp;IF(AND(OR(LEFT($F1691,3)="131",LEFT($G1691,3)="131",LEFT($F1691,3)="331",LEFT($G1691,3)="331"),$I1691=""),"Thiếu Mã ĐT! ","")&amp;IF(AND($I1691&lt;&gt;"",COUNTIF(DM_DT!$A$7:$A$306,$I1691)=0),"Mã ĐT chưa khai báo! ","")))</f>
        <v/>
      </c>
      <c r="M1691" s="117">
        <f>IF($H1691="","",IF(AND(OR(LEFT($F1691,3)="111",LEFT($F1691,3)="112",LEFT($F1691,3)="113"),OR(LEFT($G1691,3)="111",LEFT($G1691,3)="112",LEFT($G1691,3)="113")),"NB",IF(OR(LEFT($F1691,3)="111",LEFT($F1691,3)="112",LEFT($F1691,3)="113"),"THU",IF(OR(LEFT($G1691,3)="111",LEFT($G1691,3)="112",LEFT($G1691,3)="113"),"CHI",""))))</f>
        <v/>
      </c>
      <c r="N1691" s="117">
        <f>IF($M1691="THU",$G1691,IF($M1691="CHI",$F1691,""))</f>
        <v/>
      </c>
      <c r="O1691" s="117">
        <f>IF(OR($M1691="",$M1691="NB"),"",IF($J1691&lt;&gt;"",TEXT($J1691,"00"),IFERROR(VLOOKUP(LEFT($N1691,4),LCTT_MAP!$A$7:$C$66,IF($M1691="THU",2,3),FALSE()),IFERROR(VLOOKUP(LEFT($N1691,3),LCTT_MAP!$A$7:$C$66,IF($M1691="THU",2,3),FALSE()),IFERROR(VLOOKUP(LEFT($N1691,2),LCTT_MAP!$A$7:$C$66,IF($M1691="THU",2,3),FALSE()),IFERROR(VLOOKUP(LEFT($N1691,1),LCTT_MAP!$A$7:$C$66,IF($M1691="THU",2,3),FALSE()),IF($M1691="THU","06","07")))))))</f>
        <v/>
      </c>
      <c r="P1691" s="117">
        <f>P1690+IF(AND($H1691&lt;&gt;"",OR(LEFT($F1691,LEN(SC_TK))=SC_TK,LEFT($G1691,LEN(SC_TK))=SC_TK)),1,0)</f>
        <v/>
      </c>
    </row>
    <row r="1692" ht="15" customHeight="1" s="78">
      <c r="A1692" s="95">
        <f>IF($H1692="","",ROW()-6)</f>
        <v/>
      </c>
      <c r="B1692" s="114" t="n"/>
      <c r="C1692" s="102" t="n"/>
      <c r="D1692" s="114" t="n"/>
      <c r="E1692" s="103" t="n"/>
      <c r="F1692" s="102" t="n"/>
      <c r="G1692" s="102" t="n"/>
      <c r="H1692" s="115" t="n"/>
      <c r="I1692" s="102" t="n"/>
      <c r="J1692" s="102" t="n"/>
      <c r="K1692" s="103" t="n"/>
      <c r="L1692" s="116">
        <f>IF($H1692="","",TRIM(IF(COUNTIF(DMTK!$A$7:$A$250,$F1692)=0,"TK Nợ sai! ","")&amp;IF(COUNTIF(DMTK!$A$7:$A$250,$G1692)=0,"TK Có sai! ","")&amp;IF(N($H1692)&lt;=0,"Tiền phải &gt; 0! ","")&amp;IF($B1692="","Thiếu ngày! ","")&amp;IF(AND(OR(LEFT($F1692,3)="131",LEFT($G1692,3)="131",LEFT($F1692,3)="331",LEFT($G1692,3)="331"),$I1692=""),"Thiếu Mã ĐT! ","")&amp;IF(AND($I1692&lt;&gt;"",COUNTIF(DM_DT!$A$7:$A$306,$I1692)=0),"Mã ĐT chưa khai báo! ","")))</f>
        <v/>
      </c>
      <c r="M1692" s="117">
        <f>IF($H1692="","",IF(AND(OR(LEFT($F1692,3)="111",LEFT($F1692,3)="112",LEFT($F1692,3)="113"),OR(LEFT($G1692,3)="111",LEFT($G1692,3)="112",LEFT($G1692,3)="113")),"NB",IF(OR(LEFT($F1692,3)="111",LEFT($F1692,3)="112",LEFT($F1692,3)="113"),"THU",IF(OR(LEFT($G1692,3)="111",LEFT($G1692,3)="112",LEFT($G1692,3)="113"),"CHI",""))))</f>
        <v/>
      </c>
      <c r="N1692" s="117">
        <f>IF($M1692="THU",$G1692,IF($M1692="CHI",$F1692,""))</f>
        <v/>
      </c>
      <c r="O1692" s="117">
        <f>IF(OR($M1692="",$M1692="NB"),"",IF($J1692&lt;&gt;"",TEXT($J1692,"00"),IFERROR(VLOOKUP(LEFT($N1692,4),LCTT_MAP!$A$7:$C$66,IF($M1692="THU",2,3),FALSE()),IFERROR(VLOOKUP(LEFT($N1692,3),LCTT_MAP!$A$7:$C$66,IF($M1692="THU",2,3),FALSE()),IFERROR(VLOOKUP(LEFT($N1692,2),LCTT_MAP!$A$7:$C$66,IF($M1692="THU",2,3),FALSE()),IFERROR(VLOOKUP(LEFT($N1692,1),LCTT_MAP!$A$7:$C$66,IF($M1692="THU",2,3),FALSE()),IF($M1692="THU","06","07")))))))</f>
        <v/>
      </c>
      <c r="P1692" s="117">
        <f>P1691+IF(AND($H1692&lt;&gt;"",OR(LEFT($F1692,LEN(SC_TK))=SC_TK,LEFT($G1692,LEN(SC_TK))=SC_TK)),1,0)</f>
        <v/>
      </c>
    </row>
    <row r="1693" ht="15" customHeight="1" s="78">
      <c r="A1693" s="95">
        <f>IF($H1693="","",ROW()-6)</f>
        <v/>
      </c>
      <c r="B1693" s="114" t="n"/>
      <c r="C1693" s="102" t="n"/>
      <c r="D1693" s="114" t="n"/>
      <c r="E1693" s="103" t="n"/>
      <c r="F1693" s="102" t="n"/>
      <c r="G1693" s="102" t="n"/>
      <c r="H1693" s="115" t="n"/>
      <c r="I1693" s="102" t="n"/>
      <c r="J1693" s="102" t="n"/>
      <c r="K1693" s="103" t="n"/>
      <c r="L1693" s="116">
        <f>IF($H1693="","",TRIM(IF(COUNTIF(DMTK!$A$7:$A$250,$F1693)=0,"TK Nợ sai! ","")&amp;IF(COUNTIF(DMTK!$A$7:$A$250,$G1693)=0,"TK Có sai! ","")&amp;IF(N($H1693)&lt;=0,"Tiền phải &gt; 0! ","")&amp;IF($B1693="","Thiếu ngày! ","")&amp;IF(AND(OR(LEFT($F1693,3)="131",LEFT($G1693,3)="131",LEFT($F1693,3)="331",LEFT($G1693,3)="331"),$I1693=""),"Thiếu Mã ĐT! ","")&amp;IF(AND($I1693&lt;&gt;"",COUNTIF(DM_DT!$A$7:$A$306,$I1693)=0),"Mã ĐT chưa khai báo! ","")))</f>
        <v/>
      </c>
      <c r="M1693" s="117">
        <f>IF($H1693="","",IF(AND(OR(LEFT($F1693,3)="111",LEFT($F1693,3)="112",LEFT($F1693,3)="113"),OR(LEFT($G1693,3)="111",LEFT($G1693,3)="112",LEFT($G1693,3)="113")),"NB",IF(OR(LEFT($F1693,3)="111",LEFT($F1693,3)="112",LEFT($F1693,3)="113"),"THU",IF(OR(LEFT($G1693,3)="111",LEFT($G1693,3)="112",LEFT($G1693,3)="113"),"CHI",""))))</f>
        <v/>
      </c>
      <c r="N1693" s="117">
        <f>IF($M1693="THU",$G1693,IF($M1693="CHI",$F1693,""))</f>
        <v/>
      </c>
      <c r="O1693" s="117">
        <f>IF(OR($M1693="",$M1693="NB"),"",IF($J1693&lt;&gt;"",TEXT($J1693,"00"),IFERROR(VLOOKUP(LEFT($N1693,4),LCTT_MAP!$A$7:$C$66,IF($M1693="THU",2,3),FALSE()),IFERROR(VLOOKUP(LEFT($N1693,3),LCTT_MAP!$A$7:$C$66,IF($M1693="THU",2,3),FALSE()),IFERROR(VLOOKUP(LEFT($N1693,2),LCTT_MAP!$A$7:$C$66,IF($M1693="THU",2,3),FALSE()),IFERROR(VLOOKUP(LEFT($N1693,1),LCTT_MAP!$A$7:$C$66,IF($M1693="THU",2,3),FALSE()),IF($M1693="THU","06","07")))))))</f>
        <v/>
      </c>
      <c r="P1693" s="117">
        <f>P1692+IF(AND($H1693&lt;&gt;"",OR(LEFT($F1693,LEN(SC_TK))=SC_TK,LEFT($G1693,LEN(SC_TK))=SC_TK)),1,0)</f>
        <v/>
      </c>
    </row>
    <row r="1694" ht="15" customHeight="1" s="78">
      <c r="A1694" s="95">
        <f>IF($H1694="","",ROW()-6)</f>
        <v/>
      </c>
      <c r="B1694" s="114" t="n"/>
      <c r="C1694" s="102" t="n"/>
      <c r="D1694" s="114" t="n"/>
      <c r="E1694" s="103" t="n"/>
      <c r="F1694" s="102" t="n"/>
      <c r="G1694" s="102" t="n"/>
      <c r="H1694" s="115" t="n"/>
      <c r="I1694" s="102" t="n"/>
      <c r="J1694" s="102" t="n"/>
      <c r="K1694" s="103" t="n"/>
      <c r="L1694" s="116">
        <f>IF($H1694="","",TRIM(IF(COUNTIF(DMTK!$A$7:$A$250,$F1694)=0,"TK Nợ sai! ","")&amp;IF(COUNTIF(DMTK!$A$7:$A$250,$G1694)=0,"TK Có sai! ","")&amp;IF(N($H1694)&lt;=0,"Tiền phải &gt; 0! ","")&amp;IF($B1694="","Thiếu ngày! ","")&amp;IF(AND(OR(LEFT($F1694,3)="131",LEFT($G1694,3)="131",LEFT($F1694,3)="331",LEFT($G1694,3)="331"),$I1694=""),"Thiếu Mã ĐT! ","")&amp;IF(AND($I1694&lt;&gt;"",COUNTIF(DM_DT!$A$7:$A$306,$I1694)=0),"Mã ĐT chưa khai báo! ","")))</f>
        <v/>
      </c>
      <c r="M1694" s="117">
        <f>IF($H1694="","",IF(AND(OR(LEFT($F1694,3)="111",LEFT($F1694,3)="112",LEFT($F1694,3)="113"),OR(LEFT($G1694,3)="111",LEFT($G1694,3)="112",LEFT($G1694,3)="113")),"NB",IF(OR(LEFT($F1694,3)="111",LEFT($F1694,3)="112",LEFT($F1694,3)="113"),"THU",IF(OR(LEFT($G1694,3)="111",LEFT($G1694,3)="112",LEFT($G1694,3)="113"),"CHI",""))))</f>
        <v/>
      </c>
      <c r="N1694" s="117">
        <f>IF($M1694="THU",$G1694,IF($M1694="CHI",$F1694,""))</f>
        <v/>
      </c>
      <c r="O1694" s="117">
        <f>IF(OR($M1694="",$M1694="NB"),"",IF($J1694&lt;&gt;"",TEXT($J1694,"00"),IFERROR(VLOOKUP(LEFT($N1694,4),LCTT_MAP!$A$7:$C$66,IF($M1694="THU",2,3),FALSE()),IFERROR(VLOOKUP(LEFT($N1694,3),LCTT_MAP!$A$7:$C$66,IF($M1694="THU",2,3),FALSE()),IFERROR(VLOOKUP(LEFT($N1694,2),LCTT_MAP!$A$7:$C$66,IF($M1694="THU",2,3),FALSE()),IFERROR(VLOOKUP(LEFT($N1694,1),LCTT_MAP!$A$7:$C$66,IF($M1694="THU",2,3),FALSE()),IF($M1694="THU","06","07")))))))</f>
        <v/>
      </c>
      <c r="P1694" s="117">
        <f>P1693+IF(AND($H1694&lt;&gt;"",OR(LEFT($F1694,LEN(SC_TK))=SC_TK,LEFT($G1694,LEN(SC_TK))=SC_TK)),1,0)</f>
        <v/>
      </c>
    </row>
    <row r="1695" ht="15" customHeight="1" s="78">
      <c r="A1695" s="95">
        <f>IF($H1695="","",ROW()-6)</f>
        <v/>
      </c>
      <c r="B1695" s="114" t="n"/>
      <c r="C1695" s="102" t="n"/>
      <c r="D1695" s="114" t="n"/>
      <c r="E1695" s="103" t="n"/>
      <c r="F1695" s="102" t="n"/>
      <c r="G1695" s="102" t="n"/>
      <c r="H1695" s="115" t="n"/>
      <c r="I1695" s="102" t="n"/>
      <c r="J1695" s="102" t="n"/>
      <c r="K1695" s="103" t="n"/>
      <c r="L1695" s="116">
        <f>IF($H1695="","",TRIM(IF(COUNTIF(DMTK!$A$7:$A$250,$F1695)=0,"TK Nợ sai! ","")&amp;IF(COUNTIF(DMTK!$A$7:$A$250,$G1695)=0,"TK Có sai! ","")&amp;IF(N($H1695)&lt;=0,"Tiền phải &gt; 0! ","")&amp;IF($B1695="","Thiếu ngày! ","")&amp;IF(AND(OR(LEFT($F1695,3)="131",LEFT($G1695,3)="131",LEFT($F1695,3)="331",LEFT($G1695,3)="331"),$I1695=""),"Thiếu Mã ĐT! ","")&amp;IF(AND($I1695&lt;&gt;"",COUNTIF(DM_DT!$A$7:$A$306,$I1695)=0),"Mã ĐT chưa khai báo! ","")))</f>
        <v/>
      </c>
      <c r="M1695" s="117">
        <f>IF($H1695="","",IF(AND(OR(LEFT($F1695,3)="111",LEFT($F1695,3)="112",LEFT($F1695,3)="113"),OR(LEFT($G1695,3)="111",LEFT($G1695,3)="112",LEFT($G1695,3)="113")),"NB",IF(OR(LEFT($F1695,3)="111",LEFT($F1695,3)="112",LEFT($F1695,3)="113"),"THU",IF(OR(LEFT($G1695,3)="111",LEFT($G1695,3)="112",LEFT($G1695,3)="113"),"CHI",""))))</f>
        <v/>
      </c>
      <c r="N1695" s="117">
        <f>IF($M1695="THU",$G1695,IF($M1695="CHI",$F1695,""))</f>
        <v/>
      </c>
      <c r="O1695" s="117">
        <f>IF(OR($M1695="",$M1695="NB"),"",IF($J1695&lt;&gt;"",TEXT($J1695,"00"),IFERROR(VLOOKUP(LEFT($N1695,4),LCTT_MAP!$A$7:$C$66,IF($M1695="THU",2,3),FALSE()),IFERROR(VLOOKUP(LEFT($N1695,3),LCTT_MAP!$A$7:$C$66,IF($M1695="THU",2,3),FALSE()),IFERROR(VLOOKUP(LEFT($N1695,2),LCTT_MAP!$A$7:$C$66,IF($M1695="THU",2,3),FALSE()),IFERROR(VLOOKUP(LEFT($N1695,1),LCTT_MAP!$A$7:$C$66,IF($M1695="THU",2,3),FALSE()),IF($M1695="THU","06","07")))))))</f>
        <v/>
      </c>
      <c r="P1695" s="117">
        <f>P1694+IF(AND($H1695&lt;&gt;"",OR(LEFT($F1695,LEN(SC_TK))=SC_TK,LEFT($G1695,LEN(SC_TK))=SC_TK)),1,0)</f>
        <v/>
      </c>
    </row>
    <row r="1696" ht="15" customHeight="1" s="78">
      <c r="A1696" s="95">
        <f>IF($H1696="","",ROW()-6)</f>
        <v/>
      </c>
      <c r="B1696" s="114" t="n"/>
      <c r="C1696" s="102" t="n"/>
      <c r="D1696" s="114" t="n"/>
      <c r="E1696" s="103" t="n"/>
      <c r="F1696" s="102" t="n"/>
      <c r="G1696" s="102" t="n"/>
      <c r="H1696" s="115" t="n"/>
      <c r="I1696" s="102" t="n"/>
      <c r="J1696" s="102" t="n"/>
      <c r="K1696" s="103" t="n"/>
      <c r="L1696" s="116">
        <f>IF($H1696="","",TRIM(IF(COUNTIF(DMTK!$A$7:$A$250,$F1696)=0,"TK Nợ sai! ","")&amp;IF(COUNTIF(DMTK!$A$7:$A$250,$G1696)=0,"TK Có sai! ","")&amp;IF(N($H1696)&lt;=0,"Tiền phải &gt; 0! ","")&amp;IF($B1696="","Thiếu ngày! ","")&amp;IF(AND(OR(LEFT($F1696,3)="131",LEFT($G1696,3)="131",LEFT($F1696,3)="331",LEFT($G1696,3)="331"),$I1696=""),"Thiếu Mã ĐT! ","")&amp;IF(AND($I1696&lt;&gt;"",COUNTIF(DM_DT!$A$7:$A$306,$I1696)=0),"Mã ĐT chưa khai báo! ","")))</f>
        <v/>
      </c>
      <c r="M1696" s="117">
        <f>IF($H1696="","",IF(AND(OR(LEFT($F1696,3)="111",LEFT($F1696,3)="112",LEFT($F1696,3)="113"),OR(LEFT($G1696,3)="111",LEFT($G1696,3)="112",LEFT($G1696,3)="113")),"NB",IF(OR(LEFT($F1696,3)="111",LEFT($F1696,3)="112",LEFT($F1696,3)="113"),"THU",IF(OR(LEFT($G1696,3)="111",LEFT($G1696,3)="112",LEFT($G1696,3)="113"),"CHI",""))))</f>
        <v/>
      </c>
      <c r="N1696" s="117">
        <f>IF($M1696="THU",$G1696,IF($M1696="CHI",$F1696,""))</f>
        <v/>
      </c>
      <c r="O1696" s="117">
        <f>IF(OR($M1696="",$M1696="NB"),"",IF($J1696&lt;&gt;"",TEXT($J1696,"00"),IFERROR(VLOOKUP(LEFT($N1696,4),LCTT_MAP!$A$7:$C$66,IF($M1696="THU",2,3),FALSE()),IFERROR(VLOOKUP(LEFT($N1696,3),LCTT_MAP!$A$7:$C$66,IF($M1696="THU",2,3),FALSE()),IFERROR(VLOOKUP(LEFT($N1696,2),LCTT_MAP!$A$7:$C$66,IF($M1696="THU",2,3),FALSE()),IFERROR(VLOOKUP(LEFT($N1696,1),LCTT_MAP!$A$7:$C$66,IF($M1696="THU",2,3),FALSE()),IF($M1696="THU","06","07")))))))</f>
        <v/>
      </c>
      <c r="P1696" s="117">
        <f>P1695+IF(AND($H1696&lt;&gt;"",OR(LEFT($F1696,LEN(SC_TK))=SC_TK,LEFT($G1696,LEN(SC_TK))=SC_TK)),1,0)</f>
        <v/>
      </c>
    </row>
    <row r="1697" ht="15" customHeight="1" s="78">
      <c r="A1697" s="95">
        <f>IF($H1697="","",ROW()-6)</f>
        <v/>
      </c>
      <c r="B1697" s="114" t="n"/>
      <c r="C1697" s="102" t="n"/>
      <c r="D1697" s="114" t="n"/>
      <c r="E1697" s="103" t="n"/>
      <c r="F1697" s="102" t="n"/>
      <c r="G1697" s="102" t="n"/>
      <c r="H1697" s="115" t="n"/>
      <c r="I1697" s="102" t="n"/>
      <c r="J1697" s="102" t="n"/>
      <c r="K1697" s="103" t="n"/>
      <c r="L1697" s="116">
        <f>IF($H1697="","",TRIM(IF(COUNTIF(DMTK!$A$7:$A$250,$F1697)=0,"TK Nợ sai! ","")&amp;IF(COUNTIF(DMTK!$A$7:$A$250,$G1697)=0,"TK Có sai! ","")&amp;IF(N($H1697)&lt;=0,"Tiền phải &gt; 0! ","")&amp;IF($B1697="","Thiếu ngày! ","")&amp;IF(AND(OR(LEFT($F1697,3)="131",LEFT($G1697,3)="131",LEFT($F1697,3)="331",LEFT($G1697,3)="331"),$I1697=""),"Thiếu Mã ĐT! ","")&amp;IF(AND($I1697&lt;&gt;"",COUNTIF(DM_DT!$A$7:$A$306,$I1697)=0),"Mã ĐT chưa khai báo! ","")))</f>
        <v/>
      </c>
      <c r="M1697" s="117">
        <f>IF($H1697="","",IF(AND(OR(LEFT($F1697,3)="111",LEFT($F1697,3)="112",LEFT($F1697,3)="113"),OR(LEFT($G1697,3)="111",LEFT($G1697,3)="112",LEFT($G1697,3)="113")),"NB",IF(OR(LEFT($F1697,3)="111",LEFT($F1697,3)="112",LEFT($F1697,3)="113"),"THU",IF(OR(LEFT($G1697,3)="111",LEFT($G1697,3)="112",LEFT($G1697,3)="113"),"CHI",""))))</f>
        <v/>
      </c>
      <c r="N1697" s="117">
        <f>IF($M1697="THU",$G1697,IF($M1697="CHI",$F1697,""))</f>
        <v/>
      </c>
      <c r="O1697" s="117">
        <f>IF(OR($M1697="",$M1697="NB"),"",IF($J1697&lt;&gt;"",TEXT($J1697,"00"),IFERROR(VLOOKUP(LEFT($N1697,4),LCTT_MAP!$A$7:$C$66,IF($M1697="THU",2,3),FALSE()),IFERROR(VLOOKUP(LEFT($N1697,3),LCTT_MAP!$A$7:$C$66,IF($M1697="THU",2,3),FALSE()),IFERROR(VLOOKUP(LEFT($N1697,2),LCTT_MAP!$A$7:$C$66,IF($M1697="THU",2,3),FALSE()),IFERROR(VLOOKUP(LEFT($N1697,1),LCTT_MAP!$A$7:$C$66,IF($M1697="THU",2,3),FALSE()),IF($M1697="THU","06","07")))))))</f>
        <v/>
      </c>
      <c r="P1697" s="117">
        <f>P1696+IF(AND($H1697&lt;&gt;"",OR(LEFT($F1697,LEN(SC_TK))=SC_TK,LEFT($G1697,LEN(SC_TK))=SC_TK)),1,0)</f>
        <v/>
      </c>
    </row>
    <row r="1698" ht="15" customHeight="1" s="78">
      <c r="A1698" s="95">
        <f>IF($H1698="","",ROW()-6)</f>
        <v/>
      </c>
      <c r="B1698" s="114" t="n"/>
      <c r="C1698" s="102" t="n"/>
      <c r="D1698" s="114" t="n"/>
      <c r="E1698" s="103" t="n"/>
      <c r="F1698" s="102" t="n"/>
      <c r="G1698" s="102" t="n"/>
      <c r="H1698" s="115" t="n"/>
      <c r="I1698" s="102" t="n"/>
      <c r="J1698" s="102" t="n"/>
      <c r="K1698" s="103" t="n"/>
      <c r="L1698" s="116">
        <f>IF($H1698="","",TRIM(IF(COUNTIF(DMTK!$A$7:$A$250,$F1698)=0,"TK Nợ sai! ","")&amp;IF(COUNTIF(DMTK!$A$7:$A$250,$G1698)=0,"TK Có sai! ","")&amp;IF(N($H1698)&lt;=0,"Tiền phải &gt; 0! ","")&amp;IF($B1698="","Thiếu ngày! ","")&amp;IF(AND(OR(LEFT($F1698,3)="131",LEFT($G1698,3)="131",LEFT($F1698,3)="331",LEFT($G1698,3)="331"),$I1698=""),"Thiếu Mã ĐT! ","")&amp;IF(AND($I1698&lt;&gt;"",COUNTIF(DM_DT!$A$7:$A$306,$I1698)=0),"Mã ĐT chưa khai báo! ","")))</f>
        <v/>
      </c>
      <c r="M1698" s="117">
        <f>IF($H1698="","",IF(AND(OR(LEFT($F1698,3)="111",LEFT($F1698,3)="112",LEFT($F1698,3)="113"),OR(LEFT($G1698,3)="111",LEFT($G1698,3)="112",LEFT($G1698,3)="113")),"NB",IF(OR(LEFT($F1698,3)="111",LEFT($F1698,3)="112",LEFT($F1698,3)="113"),"THU",IF(OR(LEFT($G1698,3)="111",LEFT($G1698,3)="112",LEFT($G1698,3)="113"),"CHI",""))))</f>
        <v/>
      </c>
      <c r="N1698" s="117">
        <f>IF($M1698="THU",$G1698,IF($M1698="CHI",$F1698,""))</f>
        <v/>
      </c>
      <c r="O1698" s="117">
        <f>IF(OR($M1698="",$M1698="NB"),"",IF($J1698&lt;&gt;"",TEXT($J1698,"00"),IFERROR(VLOOKUP(LEFT($N1698,4),LCTT_MAP!$A$7:$C$66,IF($M1698="THU",2,3),FALSE()),IFERROR(VLOOKUP(LEFT($N1698,3),LCTT_MAP!$A$7:$C$66,IF($M1698="THU",2,3),FALSE()),IFERROR(VLOOKUP(LEFT($N1698,2),LCTT_MAP!$A$7:$C$66,IF($M1698="THU",2,3),FALSE()),IFERROR(VLOOKUP(LEFT($N1698,1),LCTT_MAP!$A$7:$C$66,IF($M1698="THU",2,3),FALSE()),IF($M1698="THU","06","07")))))))</f>
        <v/>
      </c>
      <c r="P1698" s="117">
        <f>P1697+IF(AND($H1698&lt;&gt;"",OR(LEFT($F1698,LEN(SC_TK))=SC_TK,LEFT($G1698,LEN(SC_TK))=SC_TK)),1,0)</f>
        <v/>
      </c>
    </row>
    <row r="1699" ht="15" customHeight="1" s="78">
      <c r="A1699" s="95">
        <f>IF($H1699="","",ROW()-6)</f>
        <v/>
      </c>
      <c r="B1699" s="114" t="n"/>
      <c r="C1699" s="102" t="n"/>
      <c r="D1699" s="114" t="n"/>
      <c r="E1699" s="103" t="n"/>
      <c r="F1699" s="102" t="n"/>
      <c r="G1699" s="102" t="n"/>
      <c r="H1699" s="115" t="n"/>
      <c r="I1699" s="102" t="n"/>
      <c r="J1699" s="102" t="n"/>
      <c r="K1699" s="103" t="n"/>
      <c r="L1699" s="116">
        <f>IF($H1699="","",TRIM(IF(COUNTIF(DMTK!$A$7:$A$250,$F1699)=0,"TK Nợ sai! ","")&amp;IF(COUNTIF(DMTK!$A$7:$A$250,$G1699)=0,"TK Có sai! ","")&amp;IF(N($H1699)&lt;=0,"Tiền phải &gt; 0! ","")&amp;IF($B1699="","Thiếu ngày! ","")&amp;IF(AND(OR(LEFT($F1699,3)="131",LEFT($G1699,3)="131",LEFT($F1699,3)="331",LEFT($G1699,3)="331"),$I1699=""),"Thiếu Mã ĐT! ","")&amp;IF(AND($I1699&lt;&gt;"",COUNTIF(DM_DT!$A$7:$A$306,$I1699)=0),"Mã ĐT chưa khai báo! ","")))</f>
        <v/>
      </c>
      <c r="M1699" s="117">
        <f>IF($H1699="","",IF(AND(OR(LEFT($F1699,3)="111",LEFT($F1699,3)="112",LEFT($F1699,3)="113"),OR(LEFT($G1699,3)="111",LEFT($G1699,3)="112",LEFT($G1699,3)="113")),"NB",IF(OR(LEFT($F1699,3)="111",LEFT($F1699,3)="112",LEFT($F1699,3)="113"),"THU",IF(OR(LEFT($G1699,3)="111",LEFT($G1699,3)="112",LEFT($G1699,3)="113"),"CHI",""))))</f>
        <v/>
      </c>
      <c r="N1699" s="117">
        <f>IF($M1699="THU",$G1699,IF($M1699="CHI",$F1699,""))</f>
        <v/>
      </c>
      <c r="O1699" s="117">
        <f>IF(OR($M1699="",$M1699="NB"),"",IF($J1699&lt;&gt;"",TEXT($J1699,"00"),IFERROR(VLOOKUP(LEFT($N1699,4),LCTT_MAP!$A$7:$C$66,IF($M1699="THU",2,3),FALSE()),IFERROR(VLOOKUP(LEFT($N1699,3),LCTT_MAP!$A$7:$C$66,IF($M1699="THU",2,3),FALSE()),IFERROR(VLOOKUP(LEFT($N1699,2),LCTT_MAP!$A$7:$C$66,IF($M1699="THU",2,3),FALSE()),IFERROR(VLOOKUP(LEFT($N1699,1),LCTT_MAP!$A$7:$C$66,IF($M1699="THU",2,3),FALSE()),IF($M1699="THU","06","07")))))))</f>
        <v/>
      </c>
      <c r="P1699" s="117">
        <f>P1698+IF(AND($H1699&lt;&gt;"",OR(LEFT($F1699,LEN(SC_TK))=SC_TK,LEFT($G1699,LEN(SC_TK))=SC_TK)),1,0)</f>
        <v/>
      </c>
    </row>
    <row r="1700" ht="15" customHeight="1" s="78">
      <c r="A1700" s="95">
        <f>IF($H1700="","",ROW()-6)</f>
        <v/>
      </c>
      <c r="B1700" s="114" t="n"/>
      <c r="C1700" s="102" t="n"/>
      <c r="D1700" s="114" t="n"/>
      <c r="E1700" s="103" t="n"/>
      <c r="F1700" s="102" t="n"/>
      <c r="G1700" s="102" t="n"/>
      <c r="H1700" s="115" t="n"/>
      <c r="I1700" s="102" t="n"/>
      <c r="J1700" s="102" t="n"/>
      <c r="K1700" s="103" t="n"/>
      <c r="L1700" s="116">
        <f>IF($H1700="","",TRIM(IF(COUNTIF(DMTK!$A$7:$A$250,$F1700)=0,"TK Nợ sai! ","")&amp;IF(COUNTIF(DMTK!$A$7:$A$250,$G1700)=0,"TK Có sai! ","")&amp;IF(N($H1700)&lt;=0,"Tiền phải &gt; 0! ","")&amp;IF($B1700="","Thiếu ngày! ","")&amp;IF(AND(OR(LEFT($F1700,3)="131",LEFT($G1700,3)="131",LEFT($F1700,3)="331",LEFT($G1700,3)="331"),$I1700=""),"Thiếu Mã ĐT! ","")&amp;IF(AND($I1700&lt;&gt;"",COUNTIF(DM_DT!$A$7:$A$306,$I1700)=0),"Mã ĐT chưa khai báo! ","")))</f>
        <v/>
      </c>
      <c r="M1700" s="117">
        <f>IF($H1700="","",IF(AND(OR(LEFT($F1700,3)="111",LEFT($F1700,3)="112",LEFT($F1700,3)="113"),OR(LEFT($G1700,3)="111",LEFT($G1700,3)="112",LEFT($G1700,3)="113")),"NB",IF(OR(LEFT($F1700,3)="111",LEFT($F1700,3)="112",LEFT($F1700,3)="113"),"THU",IF(OR(LEFT($G1700,3)="111",LEFT($G1700,3)="112",LEFT($G1700,3)="113"),"CHI",""))))</f>
        <v/>
      </c>
      <c r="N1700" s="117">
        <f>IF($M1700="THU",$G1700,IF($M1700="CHI",$F1700,""))</f>
        <v/>
      </c>
      <c r="O1700" s="117">
        <f>IF(OR($M1700="",$M1700="NB"),"",IF($J1700&lt;&gt;"",TEXT($J1700,"00"),IFERROR(VLOOKUP(LEFT($N1700,4),LCTT_MAP!$A$7:$C$66,IF($M1700="THU",2,3),FALSE()),IFERROR(VLOOKUP(LEFT($N1700,3),LCTT_MAP!$A$7:$C$66,IF($M1700="THU",2,3),FALSE()),IFERROR(VLOOKUP(LEFT($N1700,2),LCTT_MAP!$A$7:$C$66,IF($M1700="THU",2,3),FALSE()),IFERROR(VLOOKUP(LEFT($N1700,1),LCTT_MAP!$A$7:$C$66,IF($M1700="THU",2,3),FALSE()),IF($M1700="THU","06","07")))))))</f>
        <v/>
      </c>
      <c r="P1700" s="117">
        <f>P1699+IF(AND($H1700&lt;&gt;"",OR(LEFT($F1700,LEN(SC_TK))=SC_TK,LEFT($G1700,LEN(SC_TK))=SC_TK)),1,0)</f>
        <v/>
      </c>
    </row>
    <row r="1701" ht="15" customHeight="1" s="78">
      <c r="A1701" s="95">
        <f>IF($H1701="","",ROW()-6)</f>
        <v/>
      </c>
      <c r="B1701" s="114" t="n"/>
      <c r="C1701" s="102" t="n"/>
      <c r="D1701" s="114" t="n"/>
      <c r="E1701" s="103" t="n"/>
      <c r="F1701" s="102" t="n"/>
      <c r="G1701" s="102" t="n"/>
      <c r="H1701" s="115" t="n"/>
      <c r="I1701" s="102" t="n"/>
      <c r="J1701" s="102" t="n"/>
      <c r="K1701" s="103" t="n"/>
      <c r="L1701" s="116">
        <f>IF($H1701="","",TRIM(IF(COUNTIF(DMTK!$A$7:$A$250,$F1701)=0,"TK Nợ sai! ","")&amp;IF(COUNTIF(DMTK!$A$7:$A$250,$G1701)=0,"TK Có sai! ","")&amp;IF(N($H1701)&lt;=0,"Tiền phải &gt; 0! ","")&amp;IF($B1701="","Thiếu ngày! ","")&amp;IF(AND(OR(LEFT($F1701,3)="131",LEFT($G1701,3)="131",LEFT($F1701,3)="331",LEFT($G1701,3)="331"),$I1701=""),"Thiếu Mã ĐT! ","")&amp;IF(AND($I1701&lt;&gt;"",COUNTIF(DM_DT!$A$7:$A$306,$I1701)=0),"Mã ĐT chưa khai báo! ","")))</f>
        <v/>
      </c>
      <c r="M1701" s="117">
        <f>IF($H1701="","",IF(AND(OR(LEFT($F1701,3)="111",LEFT($F1701,3)="112",LEFT($F1701,3)="113"),OR(LEFT($G1701,3)="111",LEFT($G1701,3)="112",LEFT($G1701,3)="113")),"NB",IF(OR(LEFT($F1701,3)="111",LEFT($F1701,3)="112",LEFT($F1701,3)="113"),"THU",IF(OR(LEFT($G1701,3)="111",LEFT($G1701,3)="112",LEFT($G1701,3)="113"),"CHI",""))))</f>
        <v/>
      </c>
      <c r="N1701" s="117">
        <f>IF($M1701="THU",$G1701,IF($M1701="CHI",$F1701,""))</f>
        <v/>
      </c>
      <c r="O1701" s="117">
        <f>IF(OR($M1701="",$M1701="NB"),"",IF($J1701&lt;&gt;"",TEXT($J1701,"00"),IFERROR(VLOOKUP(LEFT($N1701,4),LCTT_MAP!$A$7:$C$66,IF($M1701="THU",2,3),FALSE()),IFERROR(VLOOKUP(LEFT($N1701,3),LCTT_MAP!$A$7:$C$66,IF($M1701="THU",2,3),FALSE()),IFERROR(VLOOKUP(LEFT($N1701,2),LCTT_MAP!$A$7:$C$66,IF($M1701="THU",2,3),FALSE()),IFERROR(VLOOKUP(LEFT($N1701,1),LCTT_MAP!$A$7:$C$66,IF($M1701="THU",2,3),FALSE()),IF($M1701="THU","06","07")))))))</f>
        <v/>
      </c>
      <c r="P1701" s="117">
        <f>P1700+IF(AND($H1701&lt;&gt;"",OR(LEFT($F1701,LEN(SC_TK))=SC_TK,LEFT($G1701,LEN(SC_TK))=SC_TK)),1,0)</f>
        <v/>
      </c>
    </row>
    <row r="1702" ht="15" customHeight="1" s="78">
      <c r="A1702" s="95">
        <f>IF($H1702="","",ROW()-6)</f>
        <v/>
      </c>
      <c r="B1702" s="114" t="n"/>
      <c r="C1702" s="102" t="n"/>
      <c r="D1702" s="114" t="n"/>
      <c r="E1702" s="103" t="n"/>
      <c r="F1702" s="102" t="n"/>
      <c r="G1702" s="102" t="n"/>
      <c r="H1702" s="115" t="n"/>
      <c r="I1702" s="102" t="n"/>
      <c r="J1702" s="102" t="n"/>
      <c r="K1702" s="103" t="n"/>
      <c r="L1702" s="116">
        <f>IF($H1702="","",TRIM(IF(COUNTIF(DMTK!$A$7:$A$250,$F1702)=0,"TK Nợ sai! ","")&amp;IF(COUNTIF(DMTK!$A$7:$A$250,$G1702)=0,"TK Có sai! ","")&amp;IF(N($H1702)&lt;=0,"Tiền phải &gt; 0! ","")&amp;IF($B1702="","Thiếu ngày! ","")&amp;IF(AND(OR(LEFT($F1702,3)="131",LEFT($G1702,3)="131",LEFT($F1702,3)="331",LEFT($G1702,3)="331"),$I1702=""),"Thiếu Mã ĐT! ","")&amp;IF(AND($I1702&lt;&gt;"",COUNTIF(DM_DT!$A$7:$A$306,$I1702)=0),"Mã ĐT chưa khai báo! ","")))</f>
        <v/>
      </c>
      <c r="M1702" s="117">
        <f>IF($H1702="","",IF(AND(OR(LEFT($F1702,3)="111",LEFT($F1702,3)="112",LEFT($F1702,3)="113"),OR(LEFT($G1702,3)="111",LEFT($G1702,3)="112",LEFT($G1702,3)="113")),"NB",IF(OR(LEFT($F1702,3)="111",LEFT($F1702,3)="112",LEFT($F1702,3)="113"),"THU",IF(OR(LEFT($G1702,3)="111",LEFT($G1702,3)="112",LEFT($G1702,3)="113"),"CHI",""))))</f>
        <v/>
      </c>
      <c r="N1702" s="117">
        <f>IF($M1702="THU",$G1702,IF($M1702="CHI",$F1702,""))</f>
        <v/>
      </c>
      <c r="O1702" s="117">
        <f>IF(OR($M1702="",$M1702="NB"),"",IF($J1702&lt;&gt;"",TEXT($J1702,"00"),IFERROR(VLOOKUP(LEFT($N1702,4),LCTT_MAP!$A$7:$C$66,IF($M1702="THU",2,3),FALSE()),IFERROR(VLOOKUP(LEFT($N1702,3),LCTT_MAP!$A$7:$C$66,IF($M1702="THU",2,3),FALSE()),IFERROR(VLOOKUP(LEFT($N1702,2),LCTT_MAP!$A$7:$C$66,IF($M1702="THU",2,3),FALSE()),IFERROR(VLOOKUP(LEFT($N1702,1),LCTT_MAP!$A$7:$C$66,IF($M1702="THU",2,3),FALSE()),IF($M1702="THU","06","07")))))))</f>
        <v/>
      </c>
      <c r="P1702" s="117">
        <f>P1701+IF(AND($H1702&lt;&gt;"",OR(LEFT($F1702,LEN(SC_TK))=SC_TK,LEFT($G1702,LEN(SC_TK))=SC_TK)),1,0)</f>
        <v/>
      </c>
    </row>
    <row r="1703" ht="15" customHeight="1" s="78">
      <c r="A1703" s="95">
        <f>IF($H1703="","",ROW()-6)</f>
        <v/>
      </c>
      <c r="B1703" s="114" t="n"/>
      <c r="C1703" s="102" t="n"/>
      <c r="D1703" s="114" t="n"/>
      <c r="E1703" s="103" t="n"/>
      <c r="F1703" s="102" t="n"/>
      <c r="G1703" s="102" t="n"/>
      <c r="H1703" s="115" t="n"/>
      <c r="I1703" s="102" t="n"/>
      <c r="J1703" s="102" t="n"/>
      <c r="K1703" s="103" t="n"/>
      <c r="L1703" s="116">
        <f>IF($H1703="","",TRIM(IF(COUNTIF(DMTK!$A$7:$A$250,$F1703)=0,"TK Nợ sai! ","")&amp;IF(COUNTIF(DMTK!$A$7:$A$250,$G1703)=0,"TK Có sai! ","")&amp;IF(N($H1703)&lt;=0,"Tiền phải &gt; 0! ","")&amp;IF($B1703="","Thiếu ngày! ","")&amp;IF(AND(OR(LEFT($F1703,3)="131",LEFT($G1703,3)="131",LEFT($F1703,3)="331",LEFT($G1703,3)="331"),$I1703=""),"Thiếu Mã ĐT! ","")&amp;IF(AND($I1703&lt;&gt;"",COUNTIF(DM_DT!$A$7:$A$306,$I1703)=0),"Mã ĐT chưa khai báo! ","")))</f>
        <v/>
      </c>
      <c r="M1703" s="117">
        <f>IF($H1703="","",IF(AND(OR(LEFT($F1703,3)="111",LEFT($F1703,3)="112",LEFT($F1703,3)="113"),OR(LEFT($G1703,3)="111",LEFT($G1703,3)="112",LEFT($G1703,3)="113")),"NB",IF(OR(LEFT($F1703,3)="111",LEFT($F1703,3)="112",LEFT($F1703,3)="113"),"THU",IF(OR(LEFT($G1703,3)="111",LEFT($G1703,3)="112",LEFT($G1703,3)="113"),"CHI",""))))</f>
        <v/>
      </c>
      <c r="N1703" s="117">
        <f>IF($M1703="THU",$G1703,IF($M1703="CHI",$F1703,""))</f>
        <v/>
      </c>
      <c r="O1703" s="117">
        <f>IF(OR($M1703="",$M1703="NB"),"",IF($J1703&lt;&gt;"",TEXT($J1703,"00"),IFERROR(VLOOKUP(LEFT($N1703,4),LCTT_MAP!$A$7:$C$66,IF($M1703="THU",2,3),FALSE()),IFERROR(VLOOKUP(LEFT($N1703,3),LCTT_MAP!$A$7:$C$66,IF($M1703="THU",2,3),FALSE()),IFERROR(VLOOKUP(LEFT($N1703,2),LCTT_MAP!$A$7:$C$66,IF($M1703="THU",2,3),FALSE()),IFERROR(VLOOKUP(LEFT($N1703,1),LCTT_MAP!$A$7:$C$66,IF($M1703="THU",2,3),FALSE()),IF($M1703="THU","06","07")))))))</f>
        <v/>
      </c>
      <c r="P1703" s="117">
        <f>P1702+IF(AND($H1703&lt;&gt;"",OR(LEFT($F1703,LEN(SC_TK))=SC_TK,LEFT($G1703,LEN(SC_TK))=SC_TK)),1,0)</f>
        <v/>
      </c>
    </row>
    <row r="1704" ht="15" customHeight="1" s="78">
      <c r="A1704" s="95">
        <f>IF($H1704="","",ROW()-6)</f>
        <v/>
      </c>
      <c r="B1704" s="114" t="n"/>
      <c r="C1704" s="102" t="n"/>
      <c r="D1704" s="114" t="n"/>
      <c r="E1704" s="103" t="n"/>
      <c r="F1704" s="102" t="n"/>
      <c r="G1704" s="102" t="n"/>
      <c r="H1704" s="115" t="n"/>
      <c r="I1704" s="102" t="n"/>
      <c r="J1704" s="102" t="n"/>
      <c r="K1704" s="103" t="n"/>
      <c r="L1704" s="116">
        <f>IF($H1704="","",TRIM(IF(COUNTIF(DMTK!$A$7:$A$250,$F1704)=0,"TK Nợ sai! ","")&amp;IF(COUNTIF(DMTK!$A$7:$A$250,$G1704)=0,"TK Có sai! ","")&amp;IF(N($H1704)&lt;=0,"Tiền phải &gt; 0! ","")&amp;IF($B1704="","Thiếu ngày! ","")&amp;IF(AND(OR(LEFT($F1704,3)="131",LEFT($G1704,3)="131",LEFT($F1704,3)="331",LEFT($G1704,3)="331"),$I1704=""),"Thiếu Mã ĐT! ","")&amp;IF(AND($I1704&lt;&gt;"",COUNTIF(DM_DT!$A$7:$A$306,$I1704)=0),"Mã ĐT chưa khai báo! ","")))</f>
        <v/>
      </c>
      <c r="M1704" s="117">
        <f>IF($H1704="","",IF(AND(OR(LEFT($F1704,3)="111",LEFT($F1704,3)="112",LEFT($F1704,3)="113"),OR(LEFT($G1704,3)="111",LEFT($G1704,3)="112",LEFT($G1704,3)="113")),"NB",IF(OR(LEFT($F1704,3)="111",LEFT($F1704,3)="112",LEFT($F1704,3)="113"),"THU",IF(OR(LEFT($G1704,3)="111",LEFT($G1704,3)="112",LEFT($G1704,3)="113"),"CHI",""))))</f>
        <v/>
      </c>
      <c r="N1704" s="117">
        <f>IF($M1704="THU",$G1704,IF($M1704="CHI",$F1704,""))</f>
        <v/>
      </c>
      <c r="O1704" s="117">
        <f>IF(OR($M1704="",$M1704="NB"),"",IF($J1704&lt;&gt;"",TEXT($J1704,"00"),IFERROR(VLOOKUP(LEFT($N1704,4),LCTT_MAP!$A$7:$C$66,IF($M1704="THU",2,3),FALSE()),IFERROR(VLOOKUP(LEFT($N1704,3),LCTT_MAP!$A$7:$C$66,IF($M1704="THU",2,3),FALSE()),IFERROR(VLOOKUP(LEFT($N1704,2),LCTT_MAP!$A$7:$C$66,IF($M1704="THU",2,3),FALSE()),IFERROR(VLOOKUP(LEFT($N1704,1),LCTT_MAP!$A$7:$C$66,IF($M1704="THU",2,3),FALSE()),IF($M1704="THU","06","07")))))))</f>
        <v/>
      </c>
      <c r="P1704" s="117">
        <f>P1703+IF(AND($H1704&lt;&gt;"",OR(LEFT($F1704,LEN(SC_TK))=SC_TK,LEFT($G1704,LEN(SC_TK))=SC_TK)),1,0)</f>
        <v/>
      </c>
    </row>
    <row r="1705" ht="15" customHeight="1" s="78">
      <c r="A1705" s="95">
        <f>IF($H1705="","",ROW()-6)</f>
        <v/>
      </c>
      <c r="B1705" s="114" t="n"/>
      <c r="C1705" s="102" t="n"/>
      <c r="D1705" s="114" t="n"/>
      <c r="E1705" s="103" t="n"/>
      <c r="F1705" s="102" t="n"/>
      <c r="G1705" s="102" t="n"/>
      <c r="H1705" s="115" t="n"/>
      <c r="I1705" s="102" t="n"/>
      <c r="J1705" s="102" t="n"/>
      <c r="K1705" s="103" t="n"/>
      <c r="L1705" s="116">
        <f>IF($H1705="","",TRIM(IF(COUNTIF(DMTK!$A$7:$A$250,$F1705)=0,"TK Nợ sai! ","")&amp;IF(COUNTIF(DMTK!$A$7:$A$250,$G1705)=0,"TK Có sai! ","")&amp;IF(N($H1705)&lt;=0,"Tiền phải &gt; 0! ","")&amp;IF($B1705="","Thiếu ngày! ","")&amp;IF(AND(OR(LEFT($F1705,3)="131",LEFT($G1705,3)="131",LEFT($F1705,3)="331",LEFT($G1705,3)="331"),$I1705=""),"Thiếu Mã ĐT! ","")&amp;IF(AND($I1705&lt;&gt;"",COUNTIF(DM_DT!$A$7:$A$306,$I1705)=0),"Mã ĐT chưa khai báo! ","")))</f>
        <v/>
      </c>
      <c r="M1705" s="117">
        <f>IF($H1705="","",IF(AND(OR(LEFT($F1705,3)="111",LEFT($F1705,3)="112",LEFT($F1705,3)="113"),OR(LEFT($G1705,3)="111",LEFT($G1705,3)="112",LEFT($G1705,3)="113")),"NB",IF(OR(LEFT($F1705,3)="111",LEFT($F1705,3)="112",LEFT($F1705,3)="113"),"THU",IF(OR(LEFT($G1705,3)="111",LEFT($G1705,3)="112",LEFT($G1705,3)="113"),"CHI",""))))</f>
        <v/>
      </c>
      <c r="N1705" s="117">
        <f>IF($M1705="THU",$G1705,IF($M1705="CHI",$F1705,""))</f>
        <v/>
      </c>
      <c r="O1705" s="117">
        <f>IF(OR($M1705="",$M1705="NB"),"",IF($J1705&lt;&gt;"",TEXT($J1705,"00"),IFERROR(VLOOKUP(LEFT($N1705,4),LCTT_MAP!$A$7:$C$66,IF($M1705="THU",2,3),FALSE()),IFERROR(VLOOKUP(LEFT($N1705,3),LCTT_MAP!$A$7:$C$66,IF($M1705="THU",2,3),FALSE()),IFERROR(VLOOKUP(LEFT($N1705,2),LCTT_MAP!$A$7:$C$66,IF($M1705="THU",2,3),FALSE()),IFERROR(VLOOKUP(LEFT($N1705,1),LCTT_MAP!$A$7:$C$66,IF($M1705="THU",2,3),FALSE()),IF($M1705="THU","06","07")))))))</f>
        <v/>
      </c>
      <c r="P1705" s="117">
        <f>P1704+IF(AND($H1705&lt;&gt;"",OR(LEFT($F1705,LEN(SC_TK))=SC_TK,LEFT($G1705,LEN(SC_TK))=SC_TK)),1,0)</f>
        <v/>
      </c>
    </row>
    <row r="1706" ht="15" customHeight="1" s="78">
      <c r="A1706" s="95">
        <f>IF($H1706="","",ROW()-6)</f>
        <v/>
      </c>
      <c r="B1706" s="114" t="n"/>
      <c r="C1706" s="102" t="n"/>
      <c r="D1706" s="114" t="n"/>
      <c r="E1706" s="103" t="n"/>
      <c r="F1706" s="102" t="n"/>
      <c r="G1706" s="102" t="n"/>
      <c r="H1706" s="115" t="n"/>
      <c r="I1706" s="102" t="n"/>
      <c r="J1706" s="102" t="n"/>
      <c r="K1706" s="103" t="n"/>
      <c r="L1706" s="116">
        <f>IF($H1706="","",TRIM(IF(COUNTIF(DMTK!$A$7:$A$250,$F1706)=0,"TK Nợ sai! ","")&amp;IF(COUNTIF(DMTK!$A$7:$A$250,$G1706)=0,"TK Có sai! ","")&amp;IF(N($H1706)&lt;=0,"Tiền phải &gt; 0! ","")&amp;IF($B1706="","Thiếu ngày! ","")&amp;IF(AND(OR(LEFT($F1706,3)="131",LEFT($G1706,3)="131",LEFT($F1706,3)="331",LEFT($G1706,3)="331"),$I1706=""),"Thiếu Mã ĐT! ","")&amp;IF(AND($I1706&lt;&gt;"",COUNTIF(DM_DT!$A$7:$A$306,$I1706)=0),"Mã ĐT chưa khai báo! ","")))</f>
        <v/>
      </c>
      <c r="M1706" s="117">
        <f>IF($H1706="","",IF(AND(OR(LEFT($F1706,3)="111",LEFT($F1706,3)="112",LEFT($F1706,3)="113"),OR(LEFT($G1706,3)="111",LEFT($G1706,3)="112",LEFT($G1706,3)="113")),"NB",IF(OR(LEFT($F1706,3)="111",LEFT($F1706,3)="112",LEFT($F1706,3)="113"),"THU",IF(OR(LEFT($G1706,3)="111",LEFT($G1706,3)="112",LEFT($G1706,3)="113"),"CHI",""))))</f>
        <v/>
      </c>
      <c r="N1706" s="117">
        <f>IF($M1706="THU",$G1706,IF($M1706="CHI",$F1706,""))</f>
        <v/>
      </c>
      <c r="O1706" s="117">
        <f>IF(OR($M1706="",$M1706="NB"),"",IF($J1706&lt;&gt;"",TEXT($J1706,"00"),IFERROR(VLOOKUP(LEFT($N1706,4),LCTT_MAP!$A$7:$C$66,IF($M1706="THU",2,3),FALSE()),IFERROR(VLOOKUP(LEFT($N1706,3),LCTT_MAP!$A$7:$C$66,IF($M1706="THU",2,3),FALSE()),IFERROR(VLOOKUP(LEFT($N1706,2),LCTT_MAP!$A$7:$C$66,IF($M1706="THU",2,3),FALSE()),IFERROR(VLOOKUP(LEFT($N1706,1),LCTT_MAP!$A$7:$C$66,IF($M1706="THU",2,3),FALSE()),IF($M1706="THU","06","07")))))))</f>
        <v/>
      </c>
      <c r="P1706" s="117">
        <f>P1705+IF(AND($H1706&lt;&gt;"",OR(LEFT($F1706,LEN(SC_TK))=SC_TK,LEFT($G1706,LEN(SC_TK))=SC_TK)),1,0)</f>
        <v/>
      </c>
    </row>
    <row r="1707" ht="15" customHeight="1" s="78">
      <c r="A1707" s="95">
        <f>IF($H1707="","",ROW()-6)</f>
        <v/>
      </c>
      <c r="B1707" s="114" t="n"/>
      <c r="C1707" s="102" t="n"/>
      <c r="D1707" s="114" t="n"/>
      <c r="E1707" s="103" t="n"/>
      <c r="F1707" s="102" t="n"/>
      <c r="G1707" s="102" t="n"/>
      <c r="H1707" s="115" t="n"/>
      <c r="I1707" s="102" t="n"/>
      <c r="J1707" s="102" t="n"/>
      <c r="K1707" s="103" t="n"/>
      <c r="L1707" s="116">
        <f>IF($H1707="","",TRIM(IF(COUNTIF(DMTK!$A$7:$A$250,$F1707)=0,"TK Nợ sai! ","")&amp;IF(COUNTIF(DMTK!$A$7:$A$250,$G1707)=0,"TK Có sai! ","")&amp;IF(N($H1707)&lt;=0,"Tiền phải &gt; 0! ","")&amp;IF($B1707="","Thiếu ngày! ","")&amp;IF(AND(OR(LEFT($F1707,3)="131",LEFT($G1707,3)="131",LEFT($F1707,3)="331",LEFT($G1707,3)="331"),$I1707=""),"Thiếu Mã ĐT! ","")&amp;IF(AND($I1707&lt;&gt;"",COUNTIF(DM_DT!$A$7:$A$306,$I1707)=0),"Mã ĐT chưa khai báo! ","")))</f>
        <v/>
      </c>
      <c r="M1707" s="117">
        <f>IF($H1707="","",IF(AND(OR(LEFT($F1707,3)="111",LEFT($F1707,3)="112",LEFT($F1707,3)="113"),OR(LEFT($G1707,3)="111",LEFT($G1707,3)="112",LEFT($G1707,3)="113")),"NB",IF(OR(LEFT($F1707,3)="111",LEFT($F1707,3)="112",LEFT($F1707,3)="113"),"THU",IF(OR(LEFT($G1707,3)="111",LEFT($G1707,3)="112",LEFT($G1707,3)="113"),"CHI",""))))</f>
        <v/>
      </c>
      <c r="N1707" s="117">
        <f>IF($M1707="THU",$G1707,IF($M1707="CHI",$F1707,""))</f>
        <v/>
      </c>
      <c r="O1707" s="117">
        <f>IF(OR($M1707="",$M1707="NB"),"",IF($J1707&lt;&gt;"",TEXT($J1707,"00"),IFERROR(VLOOKUP(LEFT($N1707,4),LCTT_MAP!$A$7:$C$66,IF($M1707="THU",2,3),FALSE()),IFERROR(VLOOKUP(LEFT($N1707,3),LCTT_MAP!$A$7:$C$66,IF($M1707="THU",2,3),FALSE()),IFERROR(VLOOKUP(LEFT($N1707,2),LCTT_MAP!$A$7:$C$66,IF($M1707="THU",2,3),FALSE()),IFERROR(VLOOKUP(LEFT($N1707,1),LCTT_MAP!$A$7:$C$66,IF($M1707="THU",2,3),FALSE()),IF($M1707="THU","06","07")))))))</f>
        <v/>
      </c>
      <c r="P1707" s="117">
        <f>P1706+IF(AND($H1707&lt;&gt;"",OR(LEFT($F1707,LEN(SC_TK))=SC_TK,LEFT($G1707,LEN(SC_TK))=SC_TK)),1,0)</f>
        <v/>
      </c>
    </row>
    <row r="1708" ht="15" customHeight="1" s="78">
      <c r="A1708" s="95">
        <f>IF($H1708="","",ROW()-6)</f>
        <v/>
      </c>
      <c r="B1708" s="114" t="n"/>
      <c r="C1708" s="102" t="n"/>
      <c r="D1708" s="114" t="n"/>
      <c r="E1708" s="103" t="n"/>
      <c r="F1708" s="102" t="n"/>
      <c r="G1708" s="102" t="n"/>
      <c r="H1708" s="115" t="n"/>
      <c r="I1708" s="102" t="n"/>
      <c r="J1708" s="102" t="n"/>
      <c r="K1708" s="103" t="n"/>
      <c r="L1708" s="116">
        <f>IF($H1708="","",TRIM(IF(COUNTIF(DMTK!$A$7:$A$250,$F1708)=0,"TK Nợ sai! ","")&amp;IF(COUNTIF(DMTK!$A$7:$A$250,$G1708)=0,"TK Có sai! ","")&amp;IF(N($H1708)&lt;=0,"Tiền phải &gt; 0! ","")&amp;IF($B1708="","Thiếu ngày! ","")&amp;IF(AND(OR(LEFT($F1708,3)="131",LEFT($G1708,3)="131",LEFT($F1708,3)="331",LEFT($G1708,3)="331"),$I1708=""),"Thiếu Mã ĐT! ","")&amp;IF(AND($I1708&lt;&gt;"",COUNTIF(DM_DT!$A$7:$A$306,$I1708)=0),"Mã ĐT chưa khai báo! ","")))</f>
        <v/>
      </c>
      <c r="M1708" s="117">
        <f>IF($H1708="","",IF(AND(OR(LEFT($F1708,3)="111",LEFT($F1708,3)="112",LEFT($F1708,3)="113"),OR(LEFT($G1708,3)="111",LEFT($G1708,3)="112",LEFT($G1708,3)="113")),"NB",IF(OR(LEFT($F1708,3)="111",LEFT($F1708,3)="112",LEFT($F1708,3)="113"),"THU",IF(OR(LEFT($G1708,3)="111",LEFT($G1708,3)="112",LEFT($G1708,3)="113"),"CHI",""))))</f>
        <v/>
      </c>
      <c r="N1708" s="117">
        <f>IF($M1708="THU",$G1708,IF($M1708="CHI",$F1708,""))</f>
        <v/>
      </c>
      <c r="O1708" s="117">
        <f>IF(OR($M1708="",$M1708="NB"),"",IF($J1708&lt;&gt;"",TEXT($J1708,"00"),IFERROR(VLOOKUP(LEFT($N1708,4),LCTT_MAP!$A$7:$C$66,IF($M1708="THU",2,3),FALSE()),IFERROR(VLOOKUP(LEFT($N1708,3),LCTT_MAP!$A$7:$C$66,IF($M1708="THU",2,3),FALSE()),IFERROR(VLOOKUP(LEFT($N1708,2),LCTT_MAP!$A$7:$C$66,IF($M1708="THU",2,3),FALSE()),IFERROR(VLOOKUP(LEFT($N1708,1),LCTT_MAP!$A$7:$C$66,IF($M1708="THU",2,3),FALSE()),IF($M1708="THU","06","07")))))))</f>
        <v/>
      </c>
      <c r="P1708" s="117">
        <f>P1707+IF(AND($H1708&lt;&gt;"",OR(LEFT($F1708,LEN(SC_TK))=SC_TK,LEFT($G1708,LEN(SC_TK))=SC_TK)),1,0)</f>
        <v/>
      </c>
    </row>
    <row r="1709" ht="15" customHeight="1" s="78">
      <c r="A1709" s="95">
        <f>IF($H1709="","",ROW()-6)</f>
        <v/>
      </c>
      <c r="B1709" s="114" t="n"/>
      <c r="C1709" s="102" t="n"/>
      <c r="D1709" s="114" t="n"/>
      <c r="E1709" s="103" t="n"/>
      <c r="F1709" s="102" t="n"/>
      <c r="G1709" s="102" t="n"/>
      <c r="H1709" s="115" t="n"/>
      <c r="I1709" s="102" t="n"/>
      <c r="J1709" s="102" t="n"/>
      <c r="K1709" s="103" t="n"/>
      <c r="L1709" s="116">
        <f>IF($H1709="","",TRIM(IF(COUNTIF(DMTK!$A$7:$A$250,$F1709)=0,"TK Nợ sai! ","")&amp;IF(COUNTIF(DMTK!$A$7:$A$250,$G1709)=0,"TK Có sai! ","")&amp;IF(N($H1709)&lt;=0,"Tiền phải &gt; 0! ","")&amp;IF($B1709="","Thiếu ngày! ","")&amp;IF(AND(OR(LEFT($F1709,3)="131",LEFT($G1709,3)="131",LEFT($F1709,3)="331",LEFT($G1709,3)="331"),$I1709=""),"Thiếu Mã ĐT! ","")&amp;IF(AND($I1709&lt;&gt;"",COUNTIF(DM_DT!$A$7:$A$306,$I1709)=0),"Mã ĐT chưa khai báo! ","")))</f>
        <v/>
      </c>
      <c r="M1709" s="117">
        <f>IF($H1709="","",IF(AND(OR(LEFT($F1709,3)="111",LEFT($F1709,3)="112",LEFT($F1709,3)="113"),OR(LEFT($G1709,3)="111",LEFT($G1709,3)="112",LEFT($G1709,3)="113")),"NB",IF(OR(LEFT($F1709,3)="111",LEFT($F1709,3)="112",LEFT($F1709,3)="113"),"THU",IF(OR(LEFT($G1709,3)="111",LEFT($G1709,3)="112",LEFT($G1709,3)="113"),"CHI",""))))</f>
        <v/>
      </c>
      <c r="N1709" s="117">
        <f>IF($M1709="THU",$G1709,IF($M1709="CHI",$F1709,""))</f>
        <v/>
      </c>
      <c r="O1709" s="117">
        <f>IF(OR($M1709="",$M1709="NB"),"",IF($J1709&lt;&gt;"",TEXT($J1709,"00"),IFERROR(VLOOKUP(LEFT($N1709,4),LCTT_MAP!$A$7:$C$66,IF($M1709="THU",2,3),FALSE()),IFERROR(VLOOKUP(LEFT($N1709,3),LCTT_MAP!$A$7:$C$66,IF($M1709="THU",2,3),FALSE()),IFERROR(VLOOKUP(LEFT($N1709,2),LCTT_MAP!$A$7:$C$66,IF($M1709="THU",2,3),FALSE()),IFERROR(VLOOKUP(LEFT($N1709,1),LCTT_MAP!$A$7:$C$66,IF($M1709="THU",2,3),FALSE()),IF($M1709="THU","06","07")))))))</f>
        <v/>
      </c>
      <c r="P1709" s="117">
        <f>P1708+IF(AND($H1709&lt;&gt;"",OR(LEFT($F1709,LEN(SC_TK))=SC_TK,LEFT($G1709,LEN(SC_TK))=SC_TK)),1,0)</f>
        <v/>
      </c>
    </row>
    <row r="1710" ht="15" customHeight="1" s="78">
      <c r="A1710" s="95">
        <f>IF($H1710="","",ROW()-6)</f>
        <v/>
      </c>
      <c r="B1710" s="114" t="n"/>
      <c r="C1710" s="102" t="n"/>
      <c r="D1710" s="114" t="n"/>
      <c r="E1710" s="103" t="n"/>
      <c r="F1710" s="102" t="n"/>
      <c r="G1710" s="102" t="n"/>
      <c r="H1710" s="115" t="n"/>
      <c r="I1710" s="102" t="n"/>
      <c r="J1710" s="102" t="n"/>
      <c r="K1710" s="103" t="n"/>
      <c r="L1710" s="116">
        <f>IF($H1710="","",TRIM(IF(COUNTIF(DMTK!$A$7:$A$250,$F1710)=0,"TK Nợ sai! ","")&amp;IF(COUNTIF(DMTK!$A$7:$A$250,$G1710)=0,"TK Có sai! ","")&amp;IF(N($H1710)&lt;=0,"Tiền phải &gt; 0! ","")&amp;IF($B1710="","Thiếu ngày! ","")&amp;IF(AND(OR(LEFT($F1710,3)="131",LEFT($G1710,3)="131",LEFT($F1710,3)="331",LEFT($G1710,3)="331"),$I1710=""),"Thiếu Mã ĐT! ","")&amp;IF(AND($I1710&lt;&gt;"",COUNTIF(DM_DT!$A$7:$A$306,$I1710)=0),"Mã ĐT chưa khai báo! ","")))</f>
        <v/>
      </c>
      <c r="M1710" s="117">
        <f>IF($H1710="","",IF(AND(OR(LEFT($F1710,3)="111",LEFT($F1710,3)="112",LEFT($F1710,3)="113"),OR(LEFT($G1710,3)="111",LEFT($G1710,3)="112",LEFT($G1710,3)="113")),"NB",IF(OR(LEFT($F1710,3)="111",LEFT($F1710,3)="112",LEFT($F1710,3)="113"),"THU",IF(OR(LEFT($G1710,3)="111",LEFT($G1710,3)="112",LEFT($G1710,3)="113"),"CHI",""))))</f>
        <v/>
      </c>
      <c r="N1710" s="117">
        <f>IF($M1710="THU",$G1710,IF($M1710="CHI",$F1710,""))</f>
        <v/>
      </c>
      <c r="O1710" s="117">
        <f>IF(OR($M1710="",$M1710="NB"),"",IF($J1710&lt;&gt;"",TEXT($J1710,"00"),IFERROR(VLOOKUP(LEFT($N1710,4),LCTT_MAP!$A$7:$C$66,IF($M1710="THU",2,3),FALSE()),IFERROR(VLOOKUP(LEFT($N1710,3),LCTT_MAP!$A$7:$C$66,IF($M1710="THU",2,3),FALSE()),IFERROR(VLOOKUP(LEFT($N1710,2),LCTT_MAP!$A$7:$C$66,IF($M1710="THU",2,3),FALSE()),IFERROR(VLOOKUP(LEFT($N1710,1),LCTT_MAP!$A$7:$C$66,IF($M1710="THU",2,3),FALSE()),IF($M1710="THU","06","07")))))))</f>
        <v/>
      </c>
      <c r="P1710" s="117">
        <f>P1709+IF(AND($H1710&lt;&gt;"",OR(LEFT($F1710,LEN(SC_TK))=SC_TK,LEFT($G1710,LEN(SC_TK))=SC_TK)),1,0)</f>
        <v/>
      </c>
    </row>
    <row r="1711" ht="15" customHeight="1" s="78">
      <c r="A1711" s="95">
        <f>IF($H1711="","",ROW()-6)</f>
        <v/>
      </c>
      <c r="B1711" s="114" t="n"/>
      <c r="C1711" s="102" t="n"/>
      <c r="D1711" s="114" t="n"/>
      <c r="E1711" s="103" t="n"/>
      <c r="F1711" s="102" t="n"/>
      <c r="G1711" s="102" t="n"/>
      <c r="H1711" s="115" t="n"/>
      <c r="I1711" s="102" t="n"/>
      <c r="J1711" s="102" t="n"/>
      <c r="K1711" s="103" t="n"/>
      <c r="L1711" s="116">
        <f>IF($H1711="","",TRIM(IF(COUNTIF(DMTK!$A$7:$A$250,$F1711)=0,"TK Nợ sai! ","")&amp;IF(COUNTIF(DMTK!$A$7:$A$250,$G1711)=0,"TK Có sai! ","")&amp;IF(N($H1711)&lt;=0,"Tiền phải &gt; 0! ","")&amp;IF($B1711="","Thiếu ngày! ","")&amp;IF(AND(OR(LEFT($F1711,3)="131",LEFT($G1711,3)="131",LEFT($F1711,3)="331",LEFT($G1711,3)="331"),$I1711=""),"Thiếu Mã ĐT! ","")&amp;IF(AND($I1711&lt;&gt;"",COUNTIF(DM_DT!$A$7:$A$306,$I1711)=0),"Mã ĐT chưa khai báo! ","")))</f>
        <v/>
      </c>
      <c r="M1711" s="117">
        <f>IF($H1711="","",IF(AND(OR(LEFT($F1711,3)="111",LEFT($F1711,3)="112",LEFT($F1711,3)="113"),OR(LEFT($G1711,3)="111",LEFT($G1711,3)="112",LEFT($G1711,3)="113")),"NB",IF(OR(LEFT($F1711,3)="111",LEFT($F1711,3)="112",LEFT($F1711,3)="113"),"THU",IF(OR(LEFT($G1711,3)="111",LEFT($G1711,3)="112",LEFT($G1711,3)="113"),"CHI",""))))</f>
        <v/>
      </c>
      <c r="N1711" s="117">
        <f>IF($M1711="THU",$G1711,IF($M1711="CHI",$F1711,""))</f>
        <v/>
      </c>
      <c r="O1711" s="117">
        <f>IF(OR($M1711="",$M1711="NB"),"",IF($J1711&lt;&gt;"",TEXT($J1711,"00"),IFERROR(VLOOKUP(LEFT($N1711,4),LCTT_MAP!$A$7:$C$66,IF($M1711="THU",2,3),FALSE()),IFERROR(VLOOKUP(LEFT($N1711,3),LCTT_MAP!$A$7:$C$66,IF($M1711="THU",2,3),FALSE()),IFERROR(VLOOKUP(LEFT($N1711,2),LCTT_MAP!$A$7:$C$66,IF($M1711="THU",2,3),FALSE()),IFERROR(VLOOKUP(LEFT($N1711,1),LCTT_MAP!$A$7:$C$66,IF($M1711="THU",2,3),FALSE()),IF($M1711="THU","06","07")))))))</f>
        <v/>
      </c>
      <c r="P1711" s="117">
        <f>P1710+IF(AND($H1711&lt;&gt;"",OR(LEFT($F1711,LEN(SC_TK))=SC_TK,LEFT($G1711,LEN(SC_TK))=SC_TK)),1,0)</f>
        <v/>
      </c>
    </row>
    <row r="1712" ht="15" customHeight="1" s="78">
      <c r="A1712" s="95">
        <f>IF($H1712="","",ROW()-6)</f>
        <v/>
      </c>
      <c r="B1712" s="114" t="n"/>
      <c r="C1712" s="102" t="n"/>
      <c r="D1712" s="114" t="n"/>
      <c r="E1712" s="103" t="n"/>
      <c r="F1712" s="102" t="n"/>
      <c r="G1712" s="102" t="n"/>
      <c r="H1712" s="115" t="n"/>
      <c r="I1712" s="102" t="n"/>
      <c r="J1712" s="102" t="n"/>
      <c r="K1712" s="103" t="n"/>
      <c r="L1712" s="116">
        <f>IF($H1712="","",TRIM(IF(COUNTIF(DMTK!$A$7:$A$250,$F1712)=0,"TK Nợ sai! ","")&amp;IF(COUNTIF(DMTK!$A$7:$A$250,$G1712)=0,"TK Có sai! ","")&amp;IF(N($H1712)&lt;=0,"Tiền phải &gt; 0! ","")&amp;IF($B1712="","Thiếu ngày! ","")&amp;IF(AND(OR(LEFT($F1712,3)="131",LEFT($G1712,3)="131",LEFT($F1712,3)="331",LEFT($G1712,3)="331"),$I1712=""),"Thiếu Mã ĐT! ","")&amp;IF(AND($I1712&lt;&gt;"",COUNTIF(DM_DT!$A$7:$A$306,$I1712)=0),"Mã ĐT chưa khai báo! ","")))</f>
        <v/>
      </c>
      <c r="M1712" s="117">
        <f>IF($H1712="","",IF(AND(OR(LEFT($F1712,3)="111",LEFT($F1712,3)="112",LEFT($F1712,3)="113"),OR(LEFT($G1712,3)="111",LEFT($G1712,3)="112",LEFT($G1712,3)="113")),"NB",IF(OR(LEFT($F1712,3)="111",LEFT($F1712,3)="112",LEFT($F1712,3)="113"),"THU",IF(OR(LEFT($G1712,3)="111",LEFT($G1712,3)="112",LEFT($G1712,3)="113"),"CHI",""))))</f>
        <v/>
      </c>
      <c r="N1712" s="117">
        <f>IF($M1712="THU",$G1712,IF($M1712="CHI",$F1712,""))</f>
        <v/>
      </c>
      <c r="O1712" s="117">
        <f>IF(OR($M1712="",$M1712="NB"),"",IF($J1712&lt;&gt;"",TEXT($J1712,"00"),IFERROR(VLOOKUP(LEFT($N1712,4),LCTT_MAP!$A$7:$C$66,IF($M1712="THU",2,3),FALSE()),IFERROR(VLOOKUP(LEFT($N1712,3),LCTT_MAP!$A$7:$C$66,IF($M1712="THU",2,3),FALSE()),IFERROR(VLOOKUP(LEFT($N1712,2),LCTT_MAP!$A$7:$C$66,IF($M1712="THU",2,3),FALSE()),IFERROR(VLOOKUP(LEFT($N1712,1),LCTT_MAP!$A$7:$C$66,IF($M1712="THU",2,3),FALSE()),IF($M1712="THU","06","07")))))))</f>
        <v/>
      </c>
      <c r="P1712" s="117">
        <f>P1711+IF(AND($H1712&lt;&gt;"",OR(LEFT($F1712,LEN(SC_TK))=SC_TK,LEFT($G1712,LEN(SC_TK))=SC_TK)),1,0)</f>
        <v/>
      </c>
    </row>
    <row r="1713" ht="15" customHeight="1" s="78">
      <c r="A1713" s="95">
        <f>IF($H1713="","",ROW()-6)</f>
        <v/>
      </c>
      <c r="B1713" s="114" t="n"/>
      <c r="C1713" s="102" t="n"/>
      <c r="D1713" s="114" t="n"/>
      <c r="E1713" s="103" t="n"/>
      <c r="F1713" s="102" t="n"/>
      <c r="G1713" s="102" t="n"/>
      <c r="H1713" s="115" t="n"/>
      <c r="I1713" s="102" t="n"/>
      <c r="J1713" s="102" t="n"/>
      <c r="K1713" s="103" t="n"/>
      <c r="L1713" s="116">
        <f>IF($H1713="","",TRIM(IF(COUNTIF(DMTK!$A$7:$A$250,$F1713)=0,"TK Nợ sai! ","")&amp;IF(COUNTIF(DMTK!$A$7:$A$250,$G1713)=0,"TK Có sai! ","")&amp;IF(N($H1713)&lt;=0,"Tiền phải &gt; 0! ","")&amp;IF($B1713="","Thiếu ngày! ","")&amp;IF(AND(OR(LEFT($F1713,3)="131",LEFT($G1713,3)="131",LEFT($F1713,3)="331",LEFT($G1713,3)="331"),$I1713=""),"Thiếu Mã ĐT! ","")&amp;IF(AND($I1713&lt;&gt;"",COUNTIF(DM_DT!$A$7:$A$306,$I1713)=0),"Mã ĐT chưa khai báo! ","")))</f>
        <v/>
      </c>
      <c r="M1713" s="117">
        <f>IF($H1713="","",IF(AND(OR(LEFT($F1713,3)="111",LEFT($F1713,3)="112",LEFT($F1713,3)="113"),OR(LEFT($G1713,3)="111",LEFT($G1713,3)="112",LEFT($G1713,3)="113")),"NB",IF(OR(LEFT($F1713,3)="111",LEFT($F1713,3)="112",LEFT($F1713,3)="113"),"THU",IF(OR(LEFT($G1713,3)="111",LEFT($G1713,3)="112",LEFT($G1713,3)="113"),"CHI",""))))</f>
        <v/>
      </c>
      <c r="N1713" s="117">
        <f>IF($M1713="THU",$G1713,IF($M1713="CHI",$F1713,""))</f>
        <v/>
      </c>
      <c r="O1713" s="117">
        <f>IF(OR($M1713="",$M1713="NB"),"",IF($J1713&lt;&gt;"",TEXT($J1713,"00"),IFERROR(VLOOKUP(LEFT($N1713,4),LCTT_MAP!$A$7:$C$66,IF($M1713="THU",2,3),FALSE()),IFERROR(VLOOKUP(LEFT($N1713,3),LCTT_MAP!$A$7:$C$66,IF($M1713="THU",2,3),FALSE()),IFERROR(VLOOKUP(LEFT($N1713,2),LCTT_MAP!$A$7:$C$66,IF($M1713="THU",2,3),FALSE()),IFERROR(VLOOKUP(LEFT($N1713,1),LCTT_MAP!$A$7:$C$66,IF($M1713="THU",2,3),FALSE()),IF($M1713="THU","06","07")))))))</f>
        <v/>
      </c>
      <c r="P1713" s="117">
        <f>P1712+IF(AND($H1713&lt;&gt;"",OR(LEFT($F1713,LEN(SC_TK))=SC_TK,LEFT($G1713,LEN(SC_TK))=SC_TK)),1,0)</f>
        <v/>
      </c>
    </row>
    <row r="1714" ht="15" customHeight="1" s="78">
      <c r="A1714" s="95">
        <f>IF($H1714="","",ROW()-6)</f>
        <v/>
      </c>
      <c r="B1714" s="114" t="n"/>
      <c r="C1714" s="102" t="n"/>
      <c r="D1714" s="114" t="n"/>
      <c r="E1714" s="103" t="n"/>
      <c r="F1714" s="102" t="n"/>
      <c r="G1714" s="102" t="n"/>
      <c r="H1714" s="115" t="n"/>
      <c r="I1714" s="102" t="n"/>
      <c r="J1714" s="102" t="n"/>
      <c r="K1714" s="103" t="n"/>
      <c r="L1714" s="116">
        <f>IF($H1714="","",TRIM(IF(COUNTIF(DMTK!$A$7:$A$250,$F1714)=0,"TK Nợ sai! ","")&amp;IF(COUNTIF(DMTK!$A$7:$A$250,$G1714)=0,"TK Có sai! ","")&amp;IF(N($H1714)&lt;=0,"Tiền phải &gt; 0! ","")&amp;IF($B1714="","Thiếu ngày! ","")&amp;IF(AND(OR(LEFT($F1714,3)="131",LEFT($G1714,3)="131",LEFT($F1714,3)="331",LEFT($G1714,3)="331"),$I1714=""),"Thiếu Mã ĐT! ","")&amp;IF(AND($I1714&lt;&gt;"",COUNTIF(DM_DT!$A$7:$A$306,$I1714)=0),"Mã ĐT chưa khai báo! ","")))</f>
        <v/>
      </c>
      <c r="M1714" s="117">
        <f>IF($H1714="","",IF(AND(OR(LEFT($F1714,3)="111",LEFT($F1714,3)="112",LEFT($F1714,3)="113"),OR(LEFT($G1714,3)="111",LEFT($G1714,3)="112",LEFT($G1714,3)="113")),"NB",IF(OR(LEFT($F1714,3)="111",LEFT($F1714,3)="112",LEFT($F1714,3)="113"),"THU",IF(OR(LEFT($G1714,3)="111",LEFT($G1714,3)="112",LEFT($G1714,3)="113"),"CHI",""))))</f>
        <v/>
      </c>
      <c r="N1714" s="117">
        <f>IF($M1714="THU",$G1714,IF($M1714="CHI",$F1714,""))</f>
        <v/>
      </c>
      <c r="O1714" s="117">
        <f>IF(OR($M1714="",$M1714="NB"),"",IF($J1714&lt;&gt;"",TEXT($J1714,"00"),IFERROR(VLOOKUP(LEFT($N1714,4),LCTT_MAP!$A$7:$C$66,IF($M1714="THU",2,3),FALSE()),IFERROR(VLOOKUP(LEFT($N1714,3),LCTT_MAP!$A$7:$C$66,IF($M1714="THU",2,3),FALSE()),IFERROR(VLOOKUP(LEFT($N1714,2),LCTT_MAP!$A$7:$C$66,IF($M1714="THU",2,3),FALSE()),IFERROR(VLOOKUP(LEFT($N1714,1),LCTT_MAP!$A$7:$C$66,IF($M1714="THU",2,3),FALSE()),IF($M1714="THU","06","07")))))))</f>
        <v/>
      </c>
      <c r="P1714" s="117">
        <f>P1713+IF(AND($H1714&lt;&gt;"",OR(LEFT($F1714,LEN(SC_TK))=SC_TK,LEFT($G1714,LEN(SC_TK))=SC_TK)),1,0)</f>
        <v/>
      </c>
    </row>
    <row r="1715" ht="15" customHeight="1" s="78">
      <c r="A1715" s="95">
        <f>IF($H1715="","",ROW()-6)</f>
        <v/>
      </c>
      <c r="B1715" s="114" t="n"/>
      <c r="C1715" s="102" t="n"/>
      <c r="D1715" s="114" t="n"/>
      <c r="E1715" s="103" t="n"/>
      <c r="F1715" s="102" t="n"/>
      <c r="G1715" s="102" t="n"/>
      <c r="H1715" s="115" t="n"/>
      <c r="I1715" s="102" t="n"/>
      <c r="J1715" s="102" t="n"/>
      <c r="K1715" s="103" t="n"/>
      <c r="L1715" s="116">
        <f>IF($H1715="","",TRIM(IF(COUNTIF(DMTK!$A$7:$A$250,$F1715)=0,"TK Nợ sai! ","")&amp;IF(COUNTIF(DMTK!$A$7:$A$250,$G1715)=0,"TK Có sai! ","")&amp;IF(N($H1715)&lt;=0,"Tiền phải &gt; 0! ","")&amp;IF($B1715="","Thiếu ngày! ","")&amp;IF(AND(OR(LEFT($F1715,3)="131",LEFT($G1715,3)="131",LEFT($F1715,3)="331",LEFT($G1715,3)="331"),$I1715=""),"Thiếu Mã ĐT! ","")&amp;IF(AND($I1715&lt;&gt;"",COUNTIF(DM_DT!$A$7:$A$306,$I1715)=0),"Mã ĐT chưa khai báo! ","")))</f>
        <v/>
      </c>
      <c r="M1715" s="117">
        <f>IF($H1715="","",IF(AND(OR(LEFT($F1715,3)="111",LEFT($F1715,3)="112",LEFT($F1715,3)="113"),OR(LEFT($G1715,3)="111",LEFT($G1715,3)="112",LEFT($G1715,3)="113")),"NB",IF(OR(LEFT($F1715,3)="111",LEFT($F1715,3)="112",LEFT($F1715,3)="113"),"THU",IF(OR(LEFT($G1715,3)="111",LEFT($G1715,3)="112",LEFT($G1715,3)="113"),"CHI",""))))</f>
        <v/>
      </c>
      <c r="N1715" s="117">
        <f>IF($M1715="THU",$G1715,IF($M1715="CHI",$F1715,""))</f>
        <v/>
      </c>
      <c r="O1715" s="117">
        <f>IF(OR($M1715="",$M1715="NB"),"",IF($J1715&lt;&gt;"",TEXT($J1715,"00"),IFERROR(VLOOKUP(LEFT($N1715,4),LCTT_MAP!$A$7:$C$66,IF($M1715="THU",2,3),FALSE()),IFERROR(VLOOKUP(LEFT($N1715,3),LCTT_MAP!$A$7:$C$66,IF($M1715="THU",2,3),FALSE()),IFERROR(VLOOKUP(LEFT($N1715,2),LCTT_MAP!$A$7:$C$66,IF($M1715="THU",2,3),FALSE()),IFERROR(VLOOKUP(LEFT($N1715,1),LCTT_MAP!$A$7:$C$66,IF($M1715="THU",2,3),FALSE()),IF($M1715="THU","06","07")))))))</f>
        <v/>
      </c>
      <c r="P1715" s="117">
        <f>P1714+IF(AND($H1715&lt;&gt;"",OR(LEFT($F1715,LEN(SC_TK))=SC_TK,LEFT($G1715,LEN(SC_TK))=SC_TK)),1,0)</f>
        <v/>
      </c>
    </row>
    <row r="1716" ht="15" customHeight="1" s="78">
      <c r="A1716" s="95">
        <f>IF($H1716="","",ROW()-6)</f>
        <v/>
      </c>
      <c r="B1716" s="114" t="n"/>
      <c r="C1716" s="102" t="n"/>
      <c r="D1716" s="114" t="n"/>
      <c r="E1716" s="103" t="n"/>
      <c r="F1716" s="102" t="n"/>
      <c r="G1716" s="102" t="n"/>
      <c r="H1716" s="115" t="n"/>
      <c r="I1716" s="102" t="n"/>
      <c r="J1716" s="102" t="n"/>
      <c r="K1716" s="103" t="n"/>
      <c r="L1716" s="116">
        <f>IF($H1716="","",TRIM(IF(COUNTIF(DMTK!$A$7:$A$250,$F1716)=0,"TK Nợ sai! ","")&amp;IF(COUNTIF(DMTK!$A$7:$A$250,$G1716)=0,"TK Có sai! ","")&amp;IF(N($H1716)&lt;=0,"Tiền phải &gt; 0! ","")&amp;IF($B1716="","Thiếu ngày! ","")&amp;IF(AND(OR(LEFT($F1716,3)="131",LEFT($G1716,3)="131",LEFT($F1716,3)="331",LEFT($G1716,3)="331"),$I1716=""),"Thiếu Mã ĐT! ","")&amp;IF(AND($I1716&lt;&gt;"",COUNTIF(DM_DT!$A$7:$A$306,$I1716)=0),"Mã ĐT chưa khai báo! ","")))</f>
        <v/>
      </c>
      <c r="M1716" s="117">
        <f>IF($H1716="","",IF(AND(OR(LEFT($F1716,3)="111",LEFT($F1716,3)="112",LEFT($F1716,3)="113"),OR(LEFT($G1716,3)="111",LEFT($G1716,3)="112",LEFT($G1716,3)="113")),"NB",IF(OR(LEFT($F1716,3)="111",LEFT($F1716,3)="112",LEFT($F1716,3)="113"),"THU",IF(OR(LEFT($G1716,3)="111",LEFT($G1716,3)="112",LEFT($G1716,3)="113"),"CHI",""))))</f>
        <v/>
      </c>
      <c r="N1716" s="117">
        <f>IF($M1716="THU",$G1716,IF($M1716="CHI",$F1716,""))</f>
        <v/>
      </c>
      <c r="O1716" s="117">
        <f>IF(OR($M1716="",$M1716="NB"),"",IF($J1716&lt;&gt;"",TEXT($J1716,"00"),IFERROR(VLOOKUP(LEFT($N1716,4),LCTT_MAP!$A$7:$C$66,IF($M1716="THU",2,3),FALSE()),IFERROR(VLOOKUP(LEFT($N1716,3),LCTT_MAP!$A$7:$C$66,IF($M1716="THU",2,3),FALSE()),IFERROR(VLOOKUP(LEFT($N1716,2),LCTT_MAP!$A$7:$C$66,IF($M1716="THU",2,3),FALSE()),IFERROR(VLOOKUP(LEFT($N1716,1),LCTT_MAP!$A$7:$C$66,IF($M1716="THU",2,3),FALSE()),IF($M1716="THU","06","07")))))))</f>
        <v/>
      </c>
      <c r="P1716" s="117">
        <f>P1715+IF(AND($H1716&lt;&gt;"",OR(LEFT($F1716,LEN(SC_TK))=SC_TK,LEFT($G1716,LEN(SC_TK))=SC_TK)),1,0)</f>
        <v/>
      </c>
    </row>
    <row r="1717" ht="15" customHeight="1" s="78">
      <c r="A1717" s="95">
        <f>IF($H1717="","",ROW()-6)</f>
        <v/>
      </c>
      <c r="B1717" s="114" t="n"/>
      <c r="C1717" s="102" t="n"/>
      <c r="D1717" s="114" t="n"/>
      <c r="E1717" s="103" t="n"/>
      <c r="F1717" s="102" t="n"/>
      <c r="G1717" s="102" t="n"/>
      <c r="H1717" s="115" t="n"/>
      <c r="I1717" s="102" t="n"/>
      <c r="J1717" s="102" t="n"/>
      <c r="K1717" s="103" t="n"/>
      <c r="L1717" s="116">
        <f>IF($H1717="","",TRIM(IF(COUNTIF(DMTK!$A$7:$A$250,$F1717)=0,"TK Nợ sai! ","")&amp;IF(COUNTIF(DMTK!$A$7:$A$250,$G1717)=0,"TK Có sai! ","")&amp;IF(N($H1717)&lt;=0,"Tiền phải &gt; 0! ","")&amp;IF($B1717="","Thiếu ngày! ","")&amp;IF(AND(OR(LEFT($F1717,3)="131",LEFT($G1717,3)="131",LEFT($F1717,3)="331",LEFT($G1717,3)="331"),$I1717=""),"Thiếu Mã ĐT! ","")&amp;IF(AND($I1717&lt;&gt;"",COUNTIF(DM_DT!$A$7:$A$306,$I1717)=0),"Mã ĐT chưa khai báo! ","")))</f>
        <v/>
      </c>
      <c r="M1717" s="117">
        <f>IF($H1717="","",IF(AND(OR(LEFT($F1717,3)="111",LEFT($F1717,3)="112",LEFT($F1717,3)="113"),OR(LEFT($G1717,3)="111",LEFT($G1717,3)="112",LEFT($G1717,3)="113")),"NB",IF(OR(LEFT($F1717,3)="111",LEFT($F1717,3)="112",LEFT($F1717,3)="113"),"THU",IF(OR(LEFT($G1717,3)="111",LEFT($G1717,3)="112",LEFT($G1717,3)="113"),"CHI",""))))</f>
        <v/>
      </c>
      <c r="N1717" s="117">
        <f>IF($M1717="THU",$G1717,IF($M1717="CHI",$F1717,""))</f>
        <v/>
      </c>
      <c r="O1717" s="117">
        <f>IF(OR($M1717="",$M1717="NB"),"",IF($J1717&lt;&gt;"",TEXT($J1717,"00"),IFERROR(VLOOKUP(LEFT($N1717,4),LCTT_MAP!$A$7:$C$66,IF($M1717="THU",2,3),FALSE()),IFERROR(VLOOKUP(LEFT($N1717,3),LCTT_MAP!$A$7:$C$66,IF($M1717="THU",2,3),FALSE()),IFERROR(VLOOKUP(LEFT($N1717,2),LCTT_MAP!$A$7:$C$66,IF($M1717="THU",2,3),FALSE()),IFERROR(VLOOKUP(LEFT($N1717,1),LCTT_MAP!$A$7:$C$66,IF($M1717="THU",2,3),FALSE()),IF($M1717="THU","06","07")))))))</f>
        <v/>
      </c>
      <c r="P1717" s="117">
        <f>P1716+IF(AND($H1717&lt;&gt;"",OR(LEFT($F1717,LEN(SC_TK))=SC_TK,LEFT($G1717,LEN(SC_TK))=SC_TK)),1,0)</f>
        <v/>
      </c>
    </row>
    <row r="1718" ht="15" customHeight="1" s="78">
      <c r="A1718" s="95">
        <f>IF($H1718="","",ROW()-6)</f>
        <v/>
      </c>
      <c r="B1718" s="114" t="n"/>
      <c r="C1718" s="102" t="n"/>
      <c r="D1718" s="114" t="n"/>
      <c r="E1718" s="103" t="n"/>
      <c r="F1718" s="102" t="n"/>
      <c r="G1718" s="102" t="n"/>
      <c r="H1718" s="115" t="n"/>
      <c r="I1718" s="102" t="n"/>
      <c r="J1718" s="102" t="n"/>
      <c r="K1718" s="103" t="n"/>
      <c r="L1718" s="116">
        <f>IF($H1718="","",TRIM(IF(COUNTIF(DMTK!$A$7:$A$250,$F1718)=0,"TK Nợ sai! ","")&amp;IF(COUNTIF(DMTK!$A$7:$A$250,$G1718)=0,"TK Có sai! ","")&amp;IF(N($H1718)&lt;=0,"Tiền phải &gt; 0! ","")&amp;IF($B1718="","Thiếu ngày! ","")&amp;IF(AND(OR(LEFT($F1718,3)="131",LEFT($G1718,3)="131",LEFT($F1718,3)="331",LEFT($G1718,3)="331"),$I1718=""),"Thiếu Mã ĐT! ","")&amp;IF(AND($I1718&lt;&gt;"",COUNTIF(DM_DT!$A$7:$A$306,$I1718)=0),"Mã ĐT chưa khai báo! ","")))</f>
        <v/>
      </c>
      <c r="M1718" s="117">
        <f>IF($H1718="","",IF(AND(OR(LEFT($F1718,3)="111",LEFT($F1718,3)="112",LEFT($F1718,3)="113"),OR(LEFT($G1718,3)="111",LEFT($G1718,3)="112",LEFT($G1718,3)="113")),"NB",IF(OR(LEFT($F1718,3)="111",LEFT($F1718,3)="112",LEFT($F1718,3)="113"),"THU",IF(OR(LEFT($G1718,3)="111",LEFT($G1718,3)="112",LEFT($G1718,3)="113"),"CHI",""))))</f>
        <v/>
      </c>
      <c r="N1718" s="117">
        <f>IF($M1718="THU",$G1718,IF($M1718="CHI",$F1718,""))</f>
        <v/>
      </c>
      <c r="O1718" s="117">
        <f>IF(OR($M1718="",$M1718="NB"),"",IF($J1718&lt;&gt;"",TEXT($J1718,"00"),IFERROR(VLOOKUP(LEFT($N1718,4),LCTT_MAP!$A$7:$C$66,IF($M1718="THU",2,3),FALSE()),IFERROR(VLOOKUP(LEFT($N1718,3),LCTT_MAP!$A$7:$C$66,IF($M1718="THU",2,3),FALSE()),IFERROR(VLOOKUP(LEFT($N1718,2),LCTT_MAP!$A$7:$C$66,IF($M1718="THU",2,3),FALSE()),IFERROR(VLOOKUP(LEFT($N1718,1),LCTT_MAP!$A$7:$C$66,IF($M1718="THU",2,3),FALSE()),IF($M1718="THU","06","07")))))))</f>
        <v/>
      </c>
      <c r="P1718" s="117">
        <f>P1717+IF(AND($H1718&lt;&gt;"",OR(LEFT($F1718,LEN(SC_TK))=SC_TK,LEFT($G1718,LEN(SC_TK))=SC_TK)),1,0)</f>
        <v/>
      </c>
    </row>
    <row r="1719" ht="15" customHeight="1" s="78">
      <c r="A1719" s="95">
        <f>IF($H1719="","",ROW()-6)</f>
        <v/>
      </c>
      <c r="B1719" s="114" t="n"/>
      <c r="C1719" s="102" t="n"/>
      <c r="D1719" s="114" t="n"/>
      <c r="E1719" s="103" t="n"/>
      <c r="F1719" s="102" t="n"/>
      <c r="G1719" s="102" t="n"/>
      <c r="H1719" s="115" t="n"/>
      <c r="I1719" s="102" t="n"/>
      <c r="J1719" s="102" t="n"/>
      <c r="K1719" s="103" t="n"/>
      <c r="L1719" s="116">
        <f>IF($H1719="","",TRIM(IF(COUNTIF(DMTK!$A$7:$A$250,$F1719)=0,"TK Nợ sai! ","")&amp;IF(COUNTIF(DMTK!$A$7:$A$250,$G1719)=0,"TK Có sai! ","")&amp;IF(N($H1719)&lt;=0,"Tiền phải &gt; 0! ","")&amp;IF($B1719="","Thiếu ngày! ","")&amp;IF(AND(OR(LEFT($F1719,3)="131",LEFT($G1719,3)="131",LEFT($F1719,3)="331",LEFT($G1719,3)="331"),$I1719=""),"Thiếu Mã ĐT! ","")&amp;IF(AND($I1719&lt;&gt;"",COUNTIF(DM_DT!$A$7:$A$306,$I1719)=0),"Mã ĐT chưa khai báo! ","")))</f>
        <v/>
      </c>
      <c r="M1719" s="117">
        <f>IF($H1719="","",IF(AND(OR(LEFT($F1719,3)="111",LEFT($F1719,3)="112",LEFT($F1719,3)="113"),OR(LEFT($G1719,3)="111",LEFT($G1719,3)="112",LEFT($G1719,3)="113")),"NB",IF(OR(LEFT($F1719,3)="111",LEFT($F1719,3)="112",LEFT($F1719,3)="113"),"THU",IF(OR(LEFT($G1719,3)="111",LEFT($G1719,3)="112",LEFT($G1719,3)="113"),"CHI",""))))</f>
        <v/>
      </c>
      <c r="N1719" s="117">
        <f>IF($M1719="THU",$G1719,IF($M1719="CHI",$F1719,""))</f>
        <v/>
      </c>
      <c r="O1719" s="117">
        <f>IF(OR($M1719="",$M1719="NB"),"",IF($J1719&lt;&gt;"",TEXT($J1719,"00"),IFERROR(VLOOKUP(LEFT($N1719,4),LCTT_MAP!$A$7:$C$66,IF($M1719="THU",2,3),FALSE()),IFERROR(VLOOKUP(LEFT($N1719,3),LCTT_MAP!$A$7:$C$66,IF($M1719="THU",2,3),FALSE()),IFERROR(VLOOKUP(LEFT($N1719,2),LCTT_MAP!$A$7:$C$66,IF($M1719="THU",2,3),FALSE()),IFERROR(VLOOKUP(LEFT($N1719,1),LCTT_MAP!$A$7:$C$66,IF($M1719="THU",2,3),FALSE()),IF($M1719="THU","06","07")))))))</f>
        <v/>
      </c>
      <c r="P1719" s="117">
        <f>P1718+IF(AND($H1719&lt;&gt;"",OR(LEFT($F1719,LEN(SC_TK))=SC_TK,LEFT($G1719,LEN(SC_TK))=SC_TK)),1,0)</f>
        <v/>
      </c>
    </row>
    <row r="1720" ht="15" customHeight="1" s="78">
      <c r="A1720" s="95">
        <f>IF($H1720="","",ROW()-6)</f>
        <v/>
      </c>
      <c r="B1720" s="114" t="n"/>
      <c r="C1720" s="102" t="n"/>
      <c r="D1720" s="114" t="n"/>
      <c r="E1720" s="103" t="n"/>
      <c r="F1720" s="102" t="n"/>
      <c r="G1720" s="102" t="n"/>
      <c r="H1720" s="115" t="n"/>
      <c r="I1720" s="102" t="n"/>
      <c r="J1720" s="102" t="n"/>
      <c r="K1720" s="103" t="n"/>
      <c r="L1720" s="116">
        <f>IF($H1720="","",TRIM(IF(COUNTIF(DMTK!$A$7:$A$250,$F1720)=0,"TK Nợ sai! ","")&amp;IF(COUNTIF(DMTK!$A$7:$A$250,$G1720)=0,"TK Có sai! ","")&amp;IF(N($H1720)&lt;=0,"Tiền phải &gt; 0! ","")&amp;IF($B1720="","Thiếu ngày! ","")&amp;IF(AND(OR(LEFT($F1720,3)="131",LEFT($G1720,3)="131",LEFT($F1720,3)="331",LEFT($G1720,3)="331"),$I1720=""),"Thiếu Mã ĐT! ","")&amp;IF(AND($I1720&lt;&gt;"",COUNTIF(DM_DT!$A$7:$A$306,$I1720)=0),"Mã ĐT chưa khai báo! ","")))</f>
        <v/>
      </c>
      <c r="M1720" s="117">
        <f>IF($H1720="","",IF(AND(OR(LEFT($F1720,3)="111",LEFT($F1720,3)="112",LEFT($F1720,3)="113"),OR(LEFT($G1720,3)="111",LEFT($G1720,3)="112",LEFT($G1720,3)="113")),"NB",IF(OR(LEFT($F1720,3)="111",LEFT($F1720,3)="112",LEFT($F1720,3)="113"),"THU",IF(OR(LEFT($G1720,3)="111",LEFT($G1720,3)="112",LEFT($G1720,3)="113"),"CHI",""))))</f>
        <v/>
      </c>
      <c r="N1720" s="117">
        <f>IF($M1720="THU",$G1720,IF($M1720="CHI",$F1720,""))</f>
        <v/>
      </c>
      <c r="O1720" s="117">
        <f>IF(OR($M1720="",$M1720="NB"),"",IF($J1720&lt;&gt;"",TEXT($J1720,"00"),IFERROR(VLOOKUP(LEFT($N1720,4),LCTT_MAP!$A$7:$C$66,IF($M1720="THU",2,3),FALSE()),IFERROR(VLOOKUP(LEFT($N1720,3),LCTT_MAP!$A$7:$C$66,IF($M1720="THU",2,3),FALSE()),IFERROR(VLOOKUP(LEFT($N1720,2),LCTT_MAP!$A$7:$C$66,IF($M1720="THU",2,3),FALSE()),IFERROR(VLOOKUP(LEFT($N1720,1),LCTT_MAP!$A$7:$C$66,IF($M1720="THU",2,3),FALSE()),IF($M1720="THU","06","07")))))))</f>
        <v/>
      </c>
      <c r="P1720" s="117">
        <f>P1719+IF(AND($H1720&lt;&gt;"",OR(LEFT($F1720,LEN(SC_TK))=SC_TK,LEFT($G1720,LEN(SC_TK))=SC_TK)),1,0)</f>
        <v/>
      </c>
    </row>
    <row r="1721" ht="15" customHeight="1" s="78">
      <c r="A1721" s="95">
        <f>IF($H1721="","",ROW()-6)</f>
        <v/>
      </c>
      <c r="B1721" s="114" t="n"/>
      <c r="C1721" s="102" t="n"/>
      <c r="D1721" s="114" t="n"/>
      <c r="E1721" s="103" t="n"/>
      <c r="F1721" s="102" t="n"/>
      <c r="G1721" s="102" t="n"/>
      <c r="H1721" s="115" t="n"/>
      <c r="I1721" s="102" t="n"/>
      <c r="J1721" s="102" t="n"/>
      <c r="K1721" s="103" t="n"/>
      <c r="L1721" s="116">
        <f>IF($H1721="","",TRIM(IF(COUNTIF(DMTK!$A$7:$A$250,$F1721)=0,"TK Nợ sai! ","")&amp;IF(COUNTIF(DMTK!$A$7:$A$250,$G1721)=0,"TK Có sai! ","")&amp;IF(N($H1721)&lt;=0,"Tiền phải &gt; 0! ","")&amp;IF($B1721="","Thiếu ngày! ","")&amp;IF(AND(OR(LEFT($F1721,3)="131",LEFT($G1721,3)="131",LEFT($F1721,3)="331",LEFT($G1721,3)="331"),$I1721=""),"Thiếu Mã ĐT! ","")&amp;IF(AND($I1721&lt;&gt;"",COUNTIF(DM_DT!$A$7:$A$306,$I1721)=0),"Mã ĐT chưa khai báo! ","")))</f>
        <v/>
      </c>
      <c r="M1721" s="117">
        <f>IF($H1721="","",IF(AND(OR(LEFT($F1721,3)="111",LEFT($F1721,3)="112",LEFT($F1721,3)="113"),OR(LEFT($G1721,3)="111",LEFT($G1721,3)="112",LEFT($G1721,3)="113")),"NB",IF(OR(LEFT($F1721,3)="111",LEFT($F1721,3)="112",LEFT($F1721,3)="113"),"THU",IF(OR(LEFT($G1721,3)="111",LEFT($G1721,3)="112",LEFT($G1721,3)="113"),"CHI",""))))</f>
        <v/>
      </c>
      <c r="N1721" s="117">
        <f>IF($M1721="THU",$G1721,IF($M1721="CHI",$F1721,""))</f>
        <v/>
      </c>
      <c r="O1721" s="117">
        <f>IF(OR($M1721="",$M1721="NB"),"",IF($J1721&lt;&gt;"",TEXT($J1721,"00"),IFERROR(VLOOKUP(LEFT($N1721,4),LCTT_MAP!$A$7:$C$66,IF($M1721="THU",2,3),FALSE()),IFERROR(VLOOKUP(LEFT($N1721,3),LCTT_MAP!$A$7:$C$66,IF($M1721="THU",2,3),FALSE()),IFERROR(VLOOKUP(LEFT($N1721,2),LCTT_MAP!$A$7:$C$66,IF($M1721="THU",2,3),FALSE()),IFERROR(VLOOKUP(LEFT($N1721,1),LCTT_MAP!$A$7:$C$66,IF($M1721="THU",2,3),FALSE()),IF($M1721="THU","06","07")))))))</f>
        <v/>
      </c>
      <c r="P1721" s="117">
        <f>P1720+IF(AND($H1721&lt;&gt;"",OR(LEFT($F1721,LEN(SC_TK))=SC_TK,LEFT($G1721,LEN(SC_TK))=SC_TK)),1,0)</f>
        <v/>
      </c>
    </row>
    <row r="1722" ht="15" customHeight="1" s="78">
      <c r="A1722" s="95">
        <f>IF($H1722="","",ROW()-6)</f>
        <v/>
      </c>
      <c r="B1722" s="114" t="n"/>
      <c r="C1722" s="102" t="n"/>
      <c r="D1722" s="114" t="n"/>
      <c r="E1722" s="103" t="n"/>
      <c r="F1722" s="102" t="n"/>
      <c r="G1722" s="102" t="n"/>
      <c r="H1722" s="115" t="n"/>
      <c r="I1722" s="102" t="n"/>
      <c r="J1722" s="102" t="n"/>
      <c r="K1722" s="103" t="n"/>
      <c r="L1722" s="116">
        <f>IF($H1722="","",TRIM(IF(COUNTIF(DMTK!$A$7:$A$250,$F1722)=0,"TK Nợ sai! ","")&amp;IF(COUNTIF(DMTK!$A$7:$A$250,$G1722)=0,"TK Có sai! ","")&amp;IF(N($H1722)&lt;=0,"Tiền phải &gt; 0! ","")&amp;IF($B1722="","Thiếu ngày! ","")&amp;IF(AND(OR(LEFT($F1722,3)="131",LEFT($G1722,3)="131",LEFT($F1722,3)="331",LEFT($G1722,3)="331"),$I1722=""),"Thiếu Mã ĐT! ","")&amp;IF(AND($I1722&lt;&gt;"",COUNTIF(DM_DT!$A$7:$A$306,$I1722)=0),"Mã ĐT chưa khai báo! ","")))</f>
        <v/>
      </c>
      <c r="M1722" s="117">
        <f>IF($H1722="","",IF(AND(OR(LEFT($F1722,3)="111",LEFT($F1722,3)="112",LEFT($F1722,3)="113"),OR(LEFT($G1722,3)="111",LEFT($G1722,3)="112",LEFT($G1722,3)="113")),"NB",IF(OR(LEFT($F1722,3)="111",LEFT($F1722,3)="112",LEFT($F1722,3)="113"),"THU",IF(OR(LEFT($G1722,3)="111",LEFT($G1722,3)="112",LEFT($G1722,3)="113"),"CHI",""))))</f>
        <v/>
      </c>
      <c r="N1722" s="117">
        <f>IF($M1722="THU",$G1722,IF($M1722="CHI",$F1722,""))</f>
        <v/>
      </c>
      <c r="O1722" s="117">
        <f>IF(OR($M1722="",$M1722="NB"),"",IF($J1722&lt;&gt;"",TEXT($J1722,"00"),IFERROR(VLOOKUP(LEFT($N1722,4),LCTT_MAP!$A$7:$C$66,IF($M1722="THU",2,3),FALSE()),IFERROR(VLOOKUP(LEFT($N1722,3),LCTT_MAP!$A$7:$C$66,IF($M1722="THU",2,3),FALSE()),IFERROR(VLOOKUP(LEFT($N1722,2),LCTT_MAP!$A$7:$C$66,IF($M1722="THU",2,3),FALSE()),IFERROR(VLOOKUP(LEFT($N1722,1),LCTT_MAP!$A$7:$C$66,IF($M1722="THU",2,3),FALSE()),IF($M1722="THU","06","07")))))))</f>
        <v/>
      </c>
      <c r="P1722" s="117">
        <f>P1721+IF(AND($H1722&lt;&gt;"",OR(LEFT($F1722,LEN(SC_TK))=SC_TK,LEFT($G1722,LEN(SC_TK))=SC_TK)),1,0)</f>
        <v/>
      </c>
    </row>
    <row r="1723" ht="15" customHeight="1" s="78">
      <c r="A1723" s="95">
        <f>IF($H1723="","",ROW()-6)</f>
        <v/>
      </c>
      <c r="B1723" s="114" t="n"/>
      <c r="C1723" s="102" t="n"/>
      <c r="D1723" s="114" t="n"/>
      <c r="E1723" s="103" t="n"/>
      <c r="F1723" s="102" t="n"/>
      <c r="G1723" s="102" t="n"/>
      <c r="H1723" s="115" t="n"/>
      <c r="I1723" s="102" t="n"/>
      <c r="J1723" s="102" t="n"/>
      <c r="K1723" s="103" t="n"/>
      <c r="L1723" s="116">
        <f>IF($H1723="","",TRIM(IF(COUNTIF(DMTK!$A$7:$A$250,$F1723)=0,"TK Nợ sai! ","")&amp;IF(COUNTIF(DMTK!$A$7:$A$250,$G1723)=0,"TK Có sai! ","")&amp;IF(N($H1723)&lt;=0,"Tiền phải &gt; 0! ","")&amp;IF($B1723="","Thiếu ngày! ","")&amp;IF(AND(OR(LEFT($F1723,3)="131",LEFT($G1723,3)="131",LEFT($F1723,3)="331",LEFT($G1723,3)="331"),$I1723=""),"Thiếu Mã ĐT! ","")&amp;IF(AND($I1723&lt;&gt;"",COUNTIF(DM_DT!$A$7:$A$306,$I1723)=0),"Mã ĐT chưa khai báo! ","")))</f>
        <v/>
      </c>
      <c r="M1723" s="117">
        <f>IF($H1723="","",IF(AND(OR(LEFT($F1723,3)="111",LEFT($F1723,3)="112",LEFT($F1723,3)="113"),OR(LEFT($G1723,3)="111",LEFT($G1723,3)="112",LEFT($G1723,3)="113")),"NB",IF(OR(LEFT($F1723,3)="111",LEFT($F1723,3)="112",LEFT($F1723,3)="113"),"THU",IF(OR(LEFT($G1723,3)="111",LEFT($G1723,3)="112",LEFT($G1723,3)="113"),"CHI",""))))</f>
        <v/>
      </c>
      <c r="N1723" s="117">
        <f>IF($M1723="THU",$G1723,IF($M1723="CHI",$F1723,""))</f>
        <v/>
      </c>
      <c r="O1723" s="117">
        <f>IF(OR($M1723="",$M1723="NB"),"",IF($J1723&lt;&gt;"",TEXT($J1723,"00"),IFERROR(VLOOKUP(LEFT($N1723,4),LCTT_MAP!$A$7:$C$66,IF($M1723="THU",2,3),FALSE()),IFERROR(VLOOKUP(LEFT($N1723,3),LCTT_MAP!$A$7:$C$66,IF($M1723="THU",2,3),FALSE()),IFERROR(VLOOKUP(LEFT($N1723,2),LCTT_MAP!$A$7:$C$66,IF($M1723="THU",2,3),FALSE()),IFERROR(VLOOKUP(LEFT($N1723,1),LCTT_MAP!$A$7:$C$66,IF($M1723="THU",2,3),FALSE()),IF($M1723="THU","06","07")))))))</f>
        <v/>
      </c>
      <c r="P1723" s="117">
        <f>P1722+IF(AND($H1723&lt;&gt;"",OR(LEFT($F1723,LEN(SC_TK))=SC_TK,LEFT($G1723,LEN(SC_TK))=SC_TK)),1,0)</f>
        <v/>
      </c>
    </row>
    <row r="1724" ht="15" customHeight="1" s="78">
      <c r="A1724" s="95">
        <f>IF($H1724="","",ROW()-6)</f>
        <v/>
      </c>
      <c r="B1724" s="114" t="n"/>
      <c r="C1724" s="102" t="n"/>
      <c r="D1724" s="114" t="n"/>
      <c r="E1724" s="103" t="n"/>
      <c r="F1724" s="102" t="n"/>
      <c r="G1724" s="102" t="n"/>
      <c r="H1724" s="115" t="n"/>
      <c r="I1724" s="102" t="n"/>
      <c r="J1724" s="102" t="n"/>
      <c r="K1724" s="103" t="n"/>
      <c r="L1724" s="116">
        <f>IF($H1724="","",TRIM(IF(COUNTIF(DMTK!$A$7:$A$250,$F1724)=0,"TK Nợ sai! ","")&amp;IF(COUNTIF(DMTK!$A$7:$A$250,$G1724)=0,"TK Có sai! ","")&amp;IF(N($H1724)&lt;=0,"Tiền phải &gt; 0! ","")&amp;IF($B1724="","Thiếu ngày! ","")&amp;IF(AND(OR(LEFT($F1724,3)="131",LEFT($G1724,3)="131",LEFT($F1724,3)="331",LEFT($G1724,3)="331"),$I1724=""),"Thiếu Mã ĐT! ","")&amp;IF(AND($I1724&lt;&gt;"",COUNTIF(DM_DT!$A$7:$A$306,$I1724)=0),"Mã ĐT chưa khai báo! ","")))</f>
        <v/>
      </c>
      <c r="M1724" s="117">
        <f>IF($H1724="","",IF(AND(OR(LEFT($F1724,3)="111",LEFT($F1724,3)="112",LEFT($F1724,3)="113"),OR(LEFT($G1724,3)="111",LEFT($G1724,3)="112",LEFT($G1724,3)="113")),"NB",IF(OR(LEFT($F1724,3)="111",LEFT($F1724,3)="112",LEFT($F1724,3)="113"),"THU",IF(OR(LEFT($G1724,3)="111",LEFT($G1724,3)="112",LEFT($G1724,3)="113"),"CHI",""))))</f>
        <v/>
      </c>
      <c r="N1724" s="117">
        <f>IF($M1724="THU",$G1724,IF($M1724="CHI",$F1724,""))</f>
        <v/>
      </c>
      <c r="O1724" s="117">
        <f>IF(OR($M1724="",$M1724="NB"),"",IF($J1724&lt;&gt;"",TEXT($J1724,"00"),IFERROR(VLOOKUP(LEFT($N1724,4),LCTT_MAP!$A$7:$C$66,IF($M1724="THU",2,3),FALSE()),IFERROR(VLOOKUP(LEFT($N1724,3),LCTT_MAP!$A$7:$C$66,IF($M1724="THU",2,3),FALSE()),IFERROR(VLOOKUP(LEFT($N1724,2),LCTT_MAP!$A$7:$C$66,IF($M1724="THU",2,3),FALSE()),IFERROR(VLOOKUP(LEFT($N1724,1),LCTT_MAP!$A$7:$C$66,IF($M1724="THU",2,3),FALSE()),IF($M1724="THU","06","07")))))))</f>
        <v/>
      </c>
      <c r="P1724" s="117">
        <f>P1723+IF(AND($H1724&lt;&gt;"",OR(LEFT($F1724,LEN(SC_TK))=SC_TK,LEFT($G1724,LEN(SC_TK))=SC_TK)),1,0)</f>
        <v/>
      </c>
    </row>
    <row r="1725" ht="15" customHeight="1" s="78">
      <c r="A1725" s="95">
        <f>IF($H1725="","",ROW()-6)</f>
        <v/>
      </c>
      <c r="B1725" s="114" t="n"/>
      <c r="C1725" s="102" t="n"/>
      <c r="D1725" s="114" t="n"/>
      <c r="E1725" s="103" t="n"/>
      <c r="F1725" s="102" t="n"/>
      <c r="G1725" s="102" t="n"/>
      <c r="H1725" s="115" t="n"/>
      <c r="I1725" s="102" t="n"/>
      <c r="J1725" s="102" t="n"/>
      <c r="K1725" s="103" t="n"/>
      <c r="L1725" s="116">
        <f>IF($H1725="","",TRIM(IF(COUNTIF(DMTK!$A$7:$A$250,$F1725)=0,"TK Nợ sai! ","")&amp;IF(COUNTIF(DMTK!$A$7:$A$250,$G1725)=0,"TK Có sai! ","")&amp;IF(N($H1725)&lt;=0,"Tiền phải &gt; 0! ","")&amp;IF($B1725="","Thiếu ngày! ","")&amp;IF(AND(OR(LEFT($F1725,3)="131",LEFT($G1725,3)="131",LEFT($F1725,3)="331",LEFT($G1725,3)="331"),$I1725=""),"Thiếu Mã ĐT! ","")&amp;IF(AND($I1725&lt;&gt;"",COUNTIF(DM_DT!$A$7:$A$306,$I1725)=0),"Mã ĐT chưa khai báo! ","")))</f>
        <v/>
      </c>
      <c r="M1725" s="117">
        <f>IF($H1725="","",IF(AND(OR(LEFT($F1725,3)="111",LEFT($F1725,3)="112",LEFT($F1725,3)="113"),OR(LEFT($G1725,3)="111",LEFT($G1725,3)="112",LEFT($G1725,3)="113")),"NB",IF(OR(LEFT($F1725,3)="111",LEFT($F1725,3)="112",LEFT($F1725,3)="113"),"THU",IF(OR(LEFT($G1725,3)="111",LEFT($G1725,3)="112",LEFT($G1725,3)="113"),"CHI",""))))</f>
        <v/>
      </c>
      <c r="N1725" s="117">
        <f>IF($M1725="THU",$G1725,IF($M1725="CHI",$F1725,""))</f>
        <v/>
      </c>
      <c r="O1725" s="117">
        <f>IF(OR($M1725="",$M1725="NB"),"",IF($J1725&lt;&gt;"",TEXT($J1725,"00"),IFERROR(VLOOKUP(LEFT($N1725,4),LCTT_MAP!$A$7:$C$66,IF($M1725="THU",2,3),FALSE()),IFERROR(VLOOKUP(LEFT($N1725,3),LCTT_MAP!$A$7:$C$66,IF($M1725="THU",2,3),FALSE()),IFERROR(VLOOKUP(LEFT($N1725,2),LCTT_MAP!$A$7:$C$66,IF($M1725="THU",2,3),FALSE()),IFERROR(VLOOKUP(LEFT($N1725,1),LCTT_MAP!$A$7:$C$66,IF($M1725="THU",2,3),FALSE()),IF($M1725="THU","06","07")))))))</f>
        <v/>
      </c>
      <c r="P1725" s="117">
        <f>P1724+IF(AND($H1725&lt;&gt;"",OR(LEFT($F1725,LEN(SC_TK))=SC_TK,LEFT($G1725,LEN(SC_TK))=SC_TK)),1,0)</f>
        <v/>
      </c>
    </row>
    <row r="1726" ht="15" customHeight="1" s="78">
      <c r="A1726" s="95">
        <f>IF($H1726="","",ROW()-6)</f>
        <v/>
      </c>
      <c r="B1726" s="114" t="n"/>
      <c r="C1726" s="102" t="n"/>
      <c r="D1726" s="114" t="n"/>
      <c r="E1726" s="103" t="n"/>
      <c r="F1726" s="102" t="n"/>
      <c r="G1726" s="102" t="n"/>
      <c r="H1726" s="115" t="n"/>
      <c r="I1726" s="102" t="n"/>
      <c r="J1726" s="102" t="n"/>
      <c r="K1726" s="103" t="n"/>
      <c r="L1726" s="116">
        <f>IF($H1726="","",TRIM(IF(COUNTIF(DMTK!$A$7:$A$250,$F1726)=0,"TK Nợ sai! ","")&amp;IF(COUNTIF(DMTK!$A$7:$A$250,$G1726)=0,"TK Có sai! ","")&amp;IF(N($H1726)&lt;=0,"Tiền phải &gt; 0! ","")&amp;IF($B1726="","Thiếu ngày! ","")&amp;IF(AND(OR(LEFT($F1726,3)="131",LEFT($G1726,3)="131",LEFT($F1726,3)="331",LEFT($G1726,3)="331"),$I1726=""),"Thiếu Mã ĐT! ","")&amp;IF(AND($I1726&lt;&gt;"",COUNTIF(DM_DT!$A$7:$A$306,$I1726)=0),"Mã ĐT chưa khai báo! ","")))</f>
        <v/>
      </c>
      <c r="M1726" s="117">
        <f>IF($H1726="","",IF(AND(OR(LEFT($F1726,3)="111",LEFT($F1726,3)="112",LEFT($F1726,3)="113"),OR(LEFT($G1726,3)="111",LEFT($G1726,3)="112",LEFT($G1726,3)="113")),"NB",IF(OR(LEFT($F1726,3)="111",LEFT($F1726,3)="112",LEFT($F1726,3)="113"),"THU",IF(OR(LEFT($G1726,3)="111",LEFT($G1726,3)="112",LEFT($G1726,3)="113"),"CHI",""))))</f>
        <v/>
      </c>
      <c r="N1726" s="117">
        <f>IF($M1726="THU",$G1726,IF($M1726="CHI",$F1726,""))</f>
        <v/>
      </c>
      <c r="O1726" s="117">
        <f>IF(OR($M1726="",$M1726="NB"),"",IF($J1726&lt;&gt;"",TEXT($J1726,"00"),IFERROR(VLOOKUP(LEFT($N1726,4),LCTT_MAP!$A$7:$C$66,IF($M1726="THU",2,3),FALSE()),IFERROR(VLOOKUP(LEFT($N1726,3),LCTT_MAP!$A$7:$C$66,IF($M1726="THU",2,3),FALSE()),IFERROR(VLOOKUP(LEFT($N1726,2),LCTT_MAP!$A$7:$C$66,IF($M1726="THU",2,3),FALSE()),IFERROR(VLOOKUP(LEFT($N1726,1),LCTT_MAP!$A$7:$C$66,IF($M1726="THU",2,3),FALSE()),IF($M1726="THU","06","07")))))))</f>
        <v/>
      </c>
      <c r="P1726" s="117">
        <f>P1725+IF(AND($H1726&lt;&gt;"",OR(LEFT($F1726,LEN(SC_TK))=SC_TK,LEFT($G1726,LEN(SC_TK))=SC_TK)),1,0)</f>
        <v/>
      </c>
    </row>
    <row r="1727" ht="15" customHeight="1" s="78">
      <c r="A1727" s="95">
        <f>IF($H1727="","",ROW()-6)</f>
        <v/>
      </c>
      <c r="B1727" s="114" t="n"/>
      <c r="C1727" s="102" t="n"/>
      <c r="D1727" s="114" t="n"/>
      <c r="E1727" s="103" t="n"/>
      <c r="F1727" s="102" t="n"/>
      <c r="G1727" s="102" t="n"/>
      <c r="H1727" s="115" t="n"/>
      <c r="I1727" s="102" t="n"/>
      <c r="J1727" s="102" t="n"/>
      <c r="K1727" s="103" t="n"/>
      <c r="L1727" s="116">
        <f>IF($H1727="","",TRIM(IF(COUNTIF(DMTK!$A$7:$A$250,$F1727)=0,"TK Nợ sai! ","")&amp;IF(COUNTIF(DMTK!$A$7:$A$250,$G1727)=0,"TK Có sai! ","")&amp;IF(N($H1727)&lt;=0,"Tiền phải &gt; 0! ","")&amp;IF($B1727="","Thiếu ngày! ","")&amp;IF(AND(OR(LEFT($F1727,3)="131",LEFT($G1727,3)="131",LEFT($F1727,3)="331",LEFT($G1727,3)="331"),$I1727=""),"Thiếu Mã ĐT! ","")&amp;IF(AND($I1727&lt;&gt;"",COUNTIF(DM_DT!$A$7:$A$306,$I1727)=0),"Mã ĐT chưa khai báo! ","")))</f>
        <v/>
      </c>
      <c r="M1727" s="117">
        <f>IF($H1727="","",IF(AND(OR(LEFT($F1727,3)="111",LEFT($F1727,3)="112",LEFT($F1727,3)="113"),OR(LEFT($G1727,3)="111",LEFT($G1727,3)="112",LEFT($G1727,3)="113")),"NB",IF(OR(LEFT($F1727,3)="111",LEFT($F1727,3)="112",LEFT($F1727,3)="113"),"THU",IF(OR(LEFT($G1727,3)="111",LEFT($G1727,3)="112",LEFT($G1727,3)="113"),"CHI",""))))</f>
        <v/>
      </c>
      <c r="N1727" s="117">
        <f>IF($M1727="THU",$G1727,IF($M1727="CHI",$F1727,""))</f>
        <v/>
      </c>
      <c r="O1727" s="117">
        <f>IF(OR($M1727="",$M1727="NB"),"",IF($J1727&lt;&gt;"",TEXT($J1727,"00"),IFERROR(VLOOKUP(LEFT($N1727,4),LCTT_MAP!$A$7:$C$66,IF($M1727="THU",2,3),FALSE()),IFERROR(VLOOKUP(LEFT($N1727,3),LCTT_MAP!$A$7:$C$66,IF($M1727="THU",2,3),FALSE()),IFERROR(VLOOKUP(LEFT($N1727,2),LCTT_MAP!$A$7:$C$66,IF($M1727="THU",2,3),FALSE()),IFERROR(VLOOKUP(LEFT($N1727,1),LCTT_MAP!$A$7:$C$66,IF($M1727="THU",2,3),FALSE()),IF($M1727="THU","06","07")))))))</f>
        <v/>
      </c>
      <c r="P1727" s="117">
        <f>P1726+IF(AND($H1727&lt;&gt;"",OR(LEFT($F1727,LEN(SC_TK))=SC_TK,LEFT($G1727,LEN(SC_TK))=SC_TK)),1,0)</f>
        <v/>
      </c>
    </row>
    <row r="1728" ht="15" customHeight="1" s="78">
      <c r="A1728" s="95">
        <f>IF($H1728="","",ROW()-6)</f>
        <v/>
      </c>
      <c r="B1728" s="114" t="n"/>
      <c r="C1728" s="102" t="n"/>
      <c r="D1728" s="114" t="n"/>
      <c r="E1728" s="103" t="n"/>
      <c r="F1728" s="102" t="n"/>
      <c r="G1728" s="102" t="n"/>
      <c r="H1728" s="115" t="n"/>
      <c r="I1728" s="102" t="n"/>
      <c r="J1728" s="102" t="n"/>
      <c r="K1728" s="103" t="n"/>
      <c r="L1728" s="116">
        <f>IF($H1728="","",TRIM(IF(COUNTIF(DMTK!$A$7:$A$250,$F1728)=0,"TK Nợ sai! ","")&amp;IF(COUNTIF(DMTK!$A$7:$A$250,$G1728)=0,"TK Có sai! ","")&amp;IF(N($H1728)&lt;=0,"Tiền phải &gt; 0! ","")&amp;IF($B1728="","Thiếu ngày! ","")&amp;IF(AND(OR(LEFT($F1728,3)="131",LEFT($G1728,3)="131",LEFT($F1728,3)="331",LEFT($G1728,3)="331"),$I1728=""),"Thiếu Mã ĐT! ","")&amp;IF(AND($I1728&lt;&gt;"",COUNTIF(DM_DT!$A$7:$A$306,$I1728)=0),"Mã ĐT chưa khai báo! ","")))</f>
        <v/>
      </c>
      <c r="M1728" s="117">
        <f>IF($H1728="","",IF(AND(OR(LEFT($F1728,3)="111",LEFT($F1728,3)="112",LEFT($F1728,3)="113"),OR(LEFT($G1728,3)="111",LEFT($G1728,3)="112",LEFT($G1728,3)="113")),"NB",IF(OR(LEFT($F1728,3)="111",LEFT($F1728,3)="112",LEFT($F1728,3)="113"),"THU",IF(OR(LEFT($G1728,3)="111",LEFT($G1728,3)="112",LEFT($G1728,3)="113"),"CHI",""))))</f>
        <v/>
      </c>
      <c r="N1728" s="117">
        <f>IF($M1728="THU",$G1728,IF($M1728="CHI",$F1728,""))</f>
        <v/>
      </c>
      <c r="O1728" s="117">
        <f>IF(OR($M1728="",$M1728="NB"),"",IF($J1728&lt;&gt;"",TEXT($J1728,"00"),IFERROR(VLOOKUP(LEFT($N1728,4),LCTT_MAP!$A$7:$C$66,IF($M1728="THU",2,3),FALSE()),IFERROR(VLOOKUP(LEFT($N1728,3),LCTT_MAP!$A$7:$C$66,IF($M1728="THU",2,3),FALSE()),IFERROR(VLOOKUP(LEFT($N1728,2),LCTT_MAP!$A$7:$C$66,IF($M1728="THU",2,3),FALSE()),IFERROR(VLOOKUP(LEFT($N1728,1),LCTT_MAP!$A$7:$C$66,IF($M1728="THU",2,3),FALSE()),IF($M1728="THU","06","07")))))))</f>
        <v/>
      </c>
      <c r="P1728" s="117">
        <f>P1727+IF(AND($H1728&lt;&gt;"",OR(LEFT($F1728,LEN(SC_TK))=SC_TK,LEFT($G1728,LEN(SC_TK))=SC_TK)),1,0)</f>
        <v/>
      </c>
    </row>
    <row r="1729" ht="15" customHeight="1" s="78">
      <c r="A1729" s="95">
        <f>IF($H1729="","",ROW()-6)</f>
        <v/>
      </c>
      <c r="B1729" s="114" t="n"/>
      <c r="C1729" s="102" t="n"/>
      <c r="D1729" s="114" t="n"/>
      <c r="E1729" s="103" t="n"/>
      <c r="F1729" s="102" t="n"/>
      <c r="G1729" s="102" t="n"/>
      <c r="H1729" s="115" t="n"/>
      <c r="I1729" s="102" t="n"/>
      <c r="J1729" s="102" t="n"/>
      <c r="K1729" s="103" t="n"/>
      <c r="L1729" s="116">
        <f>IF($H1729="","",TRIM(IF(COUNTIF(DMTK!$A$7:$A$250,$F1729)=0,"TK Nợ sai! ","")&amp;IF(COUNTIF(DMTK!$A$7:$A$250,$G1729)=0,"TK Có sai! ","")&amp;IF(N($H1729)&lt;=0,"Tiền phải &gt; 0! ","")&amp;IF($B1729="","Thiếu ngày! ","")&amp;IF(AND(OR(LEFT($F1729,3)="131",LEFT($G1729,3)="131",LEFT($F1729,3)="331",LEFT($G1729,3)="331"),$I1729=""),"Thiếu Mã ĐT! ","")&amp;IF(AND($I1729&lt;&gt;"",COUNTIF(DM_DT!$A$7:$A$306,$I1729)=0),"Mã ĐT chưa khai báo! ","")))</f>
        <v/>
      </c>
      <c r="M1729" s="117">
        <f>IF($H1729="","",IF(AND(OR(LEFT($F1729,3)="111",LEFT($F1729,3)="112",LEFT($F1729,3)="113"),OR(LEFT($G1729,3)="111",LEFT($G1729,3)="112",LEFT($G1729,3)="113")),"NB",IF(OR(LEFT($F1729,3)="111",LEFT($F1729,3)="112",LEFT($F1729,3)="113"),"THU",IF(OR(LEFT($G1729,3)="111",LEFT($G1729,3)="112",LEFT($G1729,3)="113"),"CHI",""))))</f>
        <v/>
      </c>
      <c r="N1729" s="117">
        <f>IF($M1729="THU",$G1729,IF($M1729="CHI",$F1729,""))</f>
        <v/>
      </c>
      <c r="O1729" s="117">
        <f>IF(OR($M1729="",$M1729="NB"),"",IF($J1729&lt;&gt;"",TEXT($J1729,"00"),IFERROR(VLOOKUP(LEFT($N1729,4),LCTT_MAP!$A$7:$C$66,IF($M1729="THU",2,3),FALSE()),IFERROR(VLOOKUP(LEFT($N1729,3),LCTT_MAP!$A$7:$C$66,IF($M1729="THU",2,3),FALSE()),IFERROR(VLOOKUP(LEFT($N1729,2),LCTT_MAP!$A$7:$C$66,IF($M1729="THU",2,3),FALSE()),IFERROR(VLOOKUP(LEFT($N1729,1),LCTT_MAP!$A$7:$C$66,IF($M1729="THU",2,3),FALSE()),IF($M1729="THU","06","07")))))))</f>
        <v/>
      </c>
      <c r="P1729" s="117">
        <f>P1728+IF(AND($H1729&lt;&gt;"",OR(LEFT($F1729,LEN(SC_TK))=SC_TK,LEFT($G1729,LEN(SC_TK))=SC_TK)),1,0)</f>
        <v/>
      </c>
    </row>
    <row r="1730" ht="15" customHeight="1" s="78">
      <c r="A1730" s="95">
        <f>IF($H1730="","",ROW()-6)</f>
        <v/>
      </c>
      <c r="B1730" s="114" t="n"/>
      <c r="C1730" s="102" t="n"/>
      <c r="D1730" s="114" t="n"/>
      <c r="E1730" s="103" t="n"/>
      <c r="F1730" s="102" t="n"/>
      <c r="G1730" s="102" t="n"/>
      <c r="H1730" s="115" t="n"/>
      <c r="I1730" s="102" t="n"/>
      <c r="J1730" s="102" t="n"/>
      <c r="K1730" s="103" t="n"/>
      <c r="L1730" s="116">
        <f>IF($H1730="","",TRIM(IF(COUNTIF(DMTK!$A$7:$A$250,$F1730)=0,"TK Nợ sai! ","")&amp;IF(COUNTIF(DMTK!$A$7:$A$250,$G1730)=0,"TK Có sai! ","")&amp;IF(N($H1730)&lt;=0,"Tiền phải &gt; 0! ","")&amp;IF($B1730="","Thiếu ngày! ","")&amp;IF(AND(OR(LEFT($F1730,3)="131",LEFT($G1730,3)="131",LEFT($F1730,3)="331",LEFT($G1730,3)="331"),$I1730=""),"Thiếu Mã ĐT! ","")&amp;IF(AND($I1730&lt;&gt;"",COUNTIF(DM_DT!$A$7:$A$306,$I1730)=0),"Mã ĐT chưa khai báo! ","")))</f>
        <v/>
      </c>
      <c r="M1730" s="117">
        <f>IF($H1730="","",IF(AND(OR(LEFT($F1730,3)="111",LEFT($F1730,3)="112",LEFT($F1730,3)="113"),OR(LEFT($G1730,3)="111",LEFT($G1730,3)="112",LEFT($G1730,3)="113")),"NB",IF(OR(LEFT($F1730,3)="111",LEFT($F1730,3)="112",LEFT($F1730,3)="113"),"THU",IF(OR(LEFT($G1730,3)="111",LEFT($G1730,3)="112",LEFT($G1730,3)="113"),"CHI",""))))</f>
        <v/>
      </c>
      <c r="N1730" s="117">
        <f>IF($M1730="THU",$G1730,IF($M1730="CHI",$F1730,""))</f>
        <v/>
      </c>
      <c r="O1730" s="117">
        <f>IF(OR($M1730="",$M1730="NB"),"",IF($J1730&lt;&gt;"",TEXT($J1730,"00"),IFERROR(VLOOKUP(LEFT($N1730,4),LCTT_MAP!$A$7:$C$66,IF($M1730="THU",2,3),FALSE()),IFERROR(VLOOKUP(LEFT($N1730,3),LCTT_MAP!$A$7:$C$66,IF($M1730="THU",2,3),FALSE()),IFERROR(VLOOKUP(LEFT($N1730,2),LCTT_MAP!$A$7:$C$66,IF($M1730="THU",2,3),FALSE()),IFERROR(VLOOKUP(LEFT($N1730,1),LCTT_MAP!$A$7:$C$66,IF($M1730="THU",2,3),FALSE()),IF($M1730="THU","06","07")))))))</f>
        <v/>
      </c>
      <c r="P1730" s="117">
        <f>P1729+IF(AND($H1730&lt;&gt;"",OR(LEFT($F1730,LEN(SC_TK))=SC_TK,LEFT($G1730,LEN(SC_TK))=SC_TK)),1,0)</f>
        <v/>
      </c>
    </row>
    <row r="1731" ht="15" customHeight="1" s="78">
      <c r="A1731" s="95">
        <f>IF($H1731="","",ROW()-6)</f>
        <v/>
      </c>
      <c r="B1731" s="114" t="n"/>
      <c r="C1731" s="102" t="n"/>
      <c r="D1731" s="114" t="n"/>
      <c r="E1731" s="103" t="n"/>
      <c r="F1731" s="102" t="n"/>
      <c r="G1731" s="102" t="n"/>
      <c r="H1731" s="115" t="n"/>
      <c r="I1731" s="102" t="n"/>
      <c r="J1731" s="102" t="n"/>
      <c r="K1731" s="103" t="n"/>
      <c r="L1731" s="116">
        <f>IF($H1731="","",TRIM(IF(COUNTIF(DMTK!$A$7:$A$250,$F1731)=0,"TK Nợ sai! ","")&amp;IF(COUNTIF(DMTK!$A$7:$A$250,$G1731)=0,"TK Có sai! ","")&amp;IF(N($H1731)&lt;=0,"Tiền phải &gt; 0! ","")&amp;IF($B1731="","Thiếu ngày! ","")&amp;IF(AND(OR(LEFT($F1731,3)="131",LEFT($G1731,3)="131",LEFT($F1731,3)="331",LEFT($G1731,3)="331"),$I1731=""),"Thiếu Mã ĐT! ","")&amp;IF(AND($I1731&lt;&gt;"",COUNTIF(DM_DT!$A$7:$A$306,$I1731)=0),"Mã ĐT chưa khai báo! ","")))</f>
        <v/>
      </c>
      <c r="M1731" s="117">
        <f>IF($H1731="","",IF(AND(OR(LEFT($F1731,3)="111",LEFT($F1731,3)="112",LEFT($F1731,3)="113"),OR(LEFT($G1731,3)="111",LEFT($G1731,3)="112",LEFT($G1731,3)="113")),"NB",IF(OR(LEFT($F1731,3)="111",LEFT($F1731,3)="112",LEFT($F1731,3)="113"),"THU",IF(OR(LEFT($G1731,3)="111",LEFT($G1731,3)="112",LEFT($G1731,3)="113"),"CHI",""))))</f>
        <v/>
      </c>
      <c r="N1731" s="117">
        <f>IF($M1731="THU",$G1731,IF($M1731="CHI",$F1731,""))</f>
        <v/>
      </c>
      <c r="O1731" s="117">
        <f>IF(OR($M1731="",$M1731="NB"),"",IF($J1731&lt;&gt;"",TEXT($J1731,"00"),IFERROR(VLOOKUP(LEFT($N1731,4),LCTT_MAP!$A$7:$C$66,IF($M1731="THU",2,3),FALSE()),IFERROR(VLOOKUP(LEFT($N1731,3),LCTT_MAP!$A$7:$C$66,IF($M1731="THU",2,3),FALSE()),IFERROR(VLOOKUP(LEFT($N1731,2),LCTT_MAP!$A$7:$C$66,IF($M1731="THU",2,3),FALSE()),IFERROR(VLOOKUP(LEFT($N1731,1),LCTT_MAP!$A$7:$C$66,IF($M1731="THU",2,3),FALSE()),IF($M1731="THU","06","07")))))))</f>
        <v/>
      </c>
      <c r="P1731" s="117">
        <f>P1730+IF(AND($H1731&lt;&gt;"",OR(LEFT($F1731,LEN(SC_TK))=SC_TK,LEFT($G1731,LEN(SC_TK))=SC_TK)),1,0)</f>
        <v/>
      </c>
    </row>
    <row r="1732" ht="15" customHeight="1" s="78">
      <c r="A1732" s="95">
        <f>IF($H1732="","",ROW()-6)</f>
        <v/>
      </c>
      <c r="B1732" s="114" t="n"/>
      <c r="C1732" s="102" t="n"/>
      <c r="D1732" s="114" t="n"/>
      <c r="E1732" s="103" t="n"/>
      <c r="F1732" s="102" t="n"/>
      <c r="G1732" s="102" t="n"/>
      <c r="H1732" s="115" t="n"/>
      <c r="I1732" s="102" t="n"/>
      <c r="J1732" s="102" t="n"/>
      <c r="K1732" s="103" t="n"/>
      <c r="L1732" s="116">
        <f>IF($H1732="","",TRIM(IF(COUNTIF(DMTK!$A$7:$A$250,$F1732)=0,"TK Nợ sai! ","")&amp;IF(COUNTIF(DMTK!$A$7:$A$250,$G1732)=0,"TK Có sai! ","")&amp;IF(N($H1732)&lt;=0,"Tiền phải &gt; 0! ","")&amp;IF($B1732="","Thiếu ngày! ","")&amp;IF(AND(OR(LEFT($F1732,3)="131",LEFT($G1732,3)="131",LEFT($F1732,3)="331",LEFT($G1732,3)="331"),$I1732=""),"Thiếu Mã ĐT! ","")&amp;IF(AND($I1732&lt;&gt;"",COUNTIF(DM_DT!$A$7:$A$306,$I1732)=0),"Mã ĐT chưa khai báo! ","")))</f>
        <v/>
      </c>
      <c r="M1732" s="117">
        <f>IF($H1732="","",IF(AND(OR(LEFT($F1732,3)="111",LEFT($F1732,3)="112",LEFT($F1732,3)="113"),OR(LEFT($G1732,3)="111",LEFT($G1732,3)="112",LEFT($G1732,3)="113")),"NB",IF(OR(LEFT($F1732,3)="111",LEFT($F1732,3)="112",LEFT($F1732,3)="113"),"THU",IF(OR(LEFT($G1732,3)="111",LEFT($G1732,3)="112",LEFT($G1732,3)="113"),"CHI",""))))</f>
        <v/>
      </c>
      <c r="N1732" s="117">
        <f>IF($M1732="THU",$G1732,IF($M1732="CHI",$F1732,""))</f>
        <v/>
      </c>
      <c r="O1732" s="117">
        <f>IF(OR($M1732="",$M1732="NB"),"",IF($J1732&lt;&gt;"",TEXT($J1732,"00"),IFERROR(VLOOKUP(LEFT($N1732,4),LCTT_MAP!$A$7:$C$66,IF($M1732="THU",2,3),FALSE()),IFERROR(VLOOKUP(LEFT($N1732,3),LCTT_MAP!$A$7:$C$66,IF($M1732="THU",2,3),FALSE()),IFERROR(VLOOKUP(LEFT($N1732,2),LCTT_MAP!$A$7:$C$66,IF($M1732="THU",2,3),FALSE()),IFERROR(VLOOKUP(LEFT($N1732,1),LCTT_MAP!$A$7:$C$66,IF($M1732="THU",2,3),FALSE()),IF($M1732="THU","06","07")))))))</f>
        <v/>
      </c>
      <c r="P1732" s="117">
        <f>P1731+IF(AND($H1732&lt;&gt;"",OR(LEFT($F1732,LEN(SC_TK))=SC_TK,LEFT($G1732,LEN(SC_TK))=SC_TK)),1,0)</f>
        <v/>
      </c>
    </row>
    <row r="1733" ht="15" customHeight="1" s="78">
      <c r="A1733" s="95">
        <f>IF($H1733="","",ROW()-6)</f>
        <v/>
      </c>
      <c r="B1733" s="114" t="n"/>
      <c r="C1733" s="102" t="n"/>
      <c r="D1733" s="114" t="n"/>
      <c r="E1733" s="103" t="n"/>
      <c r="F1733" s="102" t="n"/>
      <c r="G1733" s="102" t="n"/>
      <c r="H1733" s="115" t="n"/>
      <c r="I1733" s="102" t="n"/>
      <c r="J1733" s="102" t="n"/>
      <c r="K1733" s="103" t="n"/>
      <c r="L1733" s="116">
        <f>IF($H1733="","",TRIM(IF(COUNTIF(DMTK!$A$7:$A$250,$F1733)=0,"TK Nợ sai! ","")&amp;IF(COUNTIF(DMTK!$A$7:$A$250,$G1733)=0,"TK Có sai! ","")&amp;IF(N($H1733)&lt;=0,"Tiền phải &gt; 0! ","")&amp;IF($B1733="","Thiếu ngày! ","")&amp;IF(AND(OR(LEFT($F1733,3)="131",LEFT($G1733,3)="131",LEFT($F1733,3)="331",LEFT($G1733,3)="331"),$I1733=""),"Thiếu Mã ĐT! ","")&amp;IF(AND($I1733&lt;&gt;"",COUNTIF(DM_DT!$A$7:$A$306,$I1733)=0),"Mã ĐT chưa khai báo! ","")))</f>
        <v/>
      </c>
      <c r="M1733" s="117">
        <f>IF($H1733="","",IF(AND(OR(LEFT($F1733,3)="111",LEFT($F1733,3)="112",LEFT($F1733,3)="113"),OR(LEFT($G1733,3)="111",LEFT($G1733,3)="112",LEFT($G1733,3)="113")),"NB",IF(OR(LEFT($F1733,3)="111",LEFT($F1733,3)="112",LEFT($F1733,3)="113"),"THU",IF(OR(LEFT($G1733,3)="111",LEFT($G1733,3)="112",LEFT($G1733,3)="113"),"CHI",""))))</f>
        <v/>
      </c>
      <c r="N1733" s="117">
        <f>IF($M1733="THU",$G1733,IF($M1733="CHI",$F1733,""))</f>
        <v/>
      </c>
      <c r="O1733" s="117">
        <f>IF(OR($M1733="",$M1733="NB"),"",IF($J1733&lt;&gt;"",TEXT($J1733,"00"),IFERROR(VLOOKUP(LEFT($N1733,4),LCTT_MAP!$A$7:$C$66,IF($M1733="THU",2,3),FALSE()),IFERROR(VLOOKUP(LEFT($N1733,3),LCTT_MAP!$A$7:$C$66,IF($M1733="THU",2,3),FALSE()),IFERROR(VLOOKUP(LEFT($N1733,2),LCTT_MAP!$A$7:$C$66,IF($M1733="THU",2,3),FALSE()),IFERROR(VLOOKUP(LEFT($N1733,1),LCTT_MAP!$A$7:$C$66,IF($M1733="THU",2,3),FALSE()),IF($M1733="THU","06","07")))))))</f>
        <v/>
      </c>
      <c r="P1733" s="117">
        <f>P1732+IF(AND($H1733&lt;&gt;"",OR(LEFT($F1733,LEN(SC_TK))=SC_TK,LEFT($G1733,LEN(SC_TK))=SC_TK)),1,0)</f>
        <v/>
      </c>
    </row>
    <row r="1734" ht="15" customHeight="1" s="78">
      <c r="A1734" s="95">
        <f>IF($H1734="","",ROW()-6)</f>
        <v/>
      </c>
      <c r="B1734" s="114" t="n"/>
      <c r="C1734" s="102" t="n"/>
      <c r="D1734" s="114" t="n"/>
      <c r="E1734" s="103" t="n"/>
      <c r="F1734" s="102" t="n"/>
      <c r="G1734" s="102" t="n"/>
      <c r="H1734" s="115" t="n"/>
      <c r="I1734" s="102" t="n"/>
      <c r="J1734" s="102" t="n"/>
      <c r="K1734" s="103" t="n"/>
      <c r="L1734" s="116">
        <f>IF($H1734="","",TRIM(IF(COUNTIF(DMTK!$A$7:$A$250,$F1734)=0,"TK Nợ sai! ","")&amp;IF(COUNTIF(DMTK!$A$7:$A$250,$G1734)=0,"TK Có sai! ","")&amp;IF(N($H1734)&lt;=0,"Tiền phải &gt; 0! ","")&amp;IF($B1734="","Thiếu ngày! ","")&amp;IF(AND(OR(LEFT($F1734,3)="131",LEFT($G1734,3)="131",LEFT($F1734,3)="331",LEFT($G1734,3)="331"),$I1734=""),"Thiếu Mã ĐT! ","")&amp;IF(AND($I1734&lt;&gt;"",COUNTIF(DM_DT!$A$7:$A$306,$I1734)=0),"Mã ĐT chưa khai báo! ","")))</f>
        <v/>
      </c>
      <c r="M1734" s="117">
        <f>IF($H1734="","",IF(AND(OR(LEFT($F1734,3)="111",LEFT($F1734,3)="112",LEFT($F1734,3)="113"),OR(LEFT($G1734,3)="111",LEFT($G1734,3)="112",LEFT($G1734,3)="113")),"NB",IF(OR(LEFT($F1734,3)="111",LEFT($F1734,3)="112",LEFT($F1734,3)="113"),"THU",IF(OR(LEFT($G1734,3)="111",LEFT($G1734,3)="112",LEFT($G1734,3)="113"),"CHI",""))))</f>
        <v/>
      </c>
      <c r="N1734" s="117">
        <f>IF($M1734="THU",$G1734,IF($M1734="CHI",$F1734,""))</f>
        <v/>
      </c>
      <c r="O1734" s="117">
        <f>IF(OR($M1734="",$M1734="NB"),"",IF($J1734&lt;&gt;"",TEXT($J1734,"00"),IFERROR(VLOOKUP(LEFT($N1734,4),LCTT_MAP!$A$7:$C$66,IF($M1734="THU",2,3),FALSE()),IFERROR(VLOOKUP(LEFT($N1734,3),LCTT_MAP!$A$7:$C$66,IF($M1734="THU",2,3),FALSE()),IFERROR(VLOOKUP(LEFT($N1734,2),LCTT_MAP!$A$7:$C$66,IF($M1734="THU",2,3),FALSE()),IFERROR(VLOOKUP(LEFT($N1734,1),LCTT_MAP!$A$7:$C$66,IF($M1734="THU",2,3),FALSE()),IF($M1734="THU","06","07")))))))</f>
        <v/>
      </c>
      <c r="P1734" s="117">
        <f>P1733+IF(AND($H1734&lt;&gt;"",OR(LEFT($F1734,LEN(SC_TK))=SC_TK,LEFT($G1734,LEN(SC_TK))=SC_TK)),1,0)</f>
        <v/>
      </c>
    </row>
    <row r="1735" ht="15" customHeight="1" s="78">
      <c r="A1735" s="95">
        <f>IF($H1735="","",ROW()-6)</f>
        <v/>
      </c>
      <c r="B1735" s="114" t="n"/>
      <c r="C1735" s="102" t="n"/>
      <c r="D1735" s="114" t="n"/>
      <c r="E1735" s="103" t="n"/>
      <c r="F1735" s="102" t="n"/>
      <c r="G1735" s="102" t="n"/>
      <c r="H1735" s="115" t="n"/>
      <c r="I1735" s="102" t="n"/>
      <c r="J1735" s="102" t="n"/>
      <c r="K1735" s="103" t="n"/>
      <c r="L1735" s="116">
        <f>IF($H1735="","",TRIM(IF(COUNTIF(DMTK!$A$7:$A$250,$F1735)=0,"TK Nợ sai! ","")&amp;IF(COUNTIF(DMTK!$A$7:$A$250,$G1735)=0,"TK Có sai! ","")&amp;IF(N($H1735)&lt;=0,"Tiền phải &gt; 0! ","")&amp;IF($B1735="","Thiếu ngày! ","")&amp;IF(AND(OR(LEFT($F1735,3)="131",LEFT($G1735,3)="131",LEFT($F1735,3)="331",LEFT($G1735,3)="331"),$I1735=""),"Thiếu Mã ĐT! ","")&amp;IF(AND($I1735&lt;&gt;"",COUNTIF(DM_DT!$A$7:$A$306,$I1735)=0),"Mã ĐT chưa khai báo! ","")))</f>
        <v/>
      </c>
      <c r="M1735" s="117">
        <f>IF($H1735="","",IF(AND(OR(LEFT($F1735,3)="111",LEFT($F1735,3)="112",LEFT($F1735,3)="113"),OR(LEFT($G1735,3)="111",LEFT($G1735,3)="112",LEFT($G1735,3)="113")),"NB",IF(OR(LEFT($F1735,3)="111",LEFT($F1735,3)="112",LEFT($F1735,3)="113"),"THU",IF(OR(LEFT($G1735,3)="111",LEFT($G1735,3)="112",LEFT($G1735,3)="113"),"CHI",""))))</f>
        <v/>
      </c>
      <c r="N1735" s="117">
        <f>IF($M1735="THU",$G1735,IF($M1735="CHI",$F1735,""))</f>
        <v/>
      </c>
      <c r="O1735" s="117">
        <f>IF(OR($M1735="",$M1735="NB"),"",IF($J1735&lt;&gt;"",TEXT($J1735,"00"),IFERROR(VLOOKUP(LEFT($N1735,4),LCTT_MAP!$A$7:$C$66,IF($M1735="THU",2,3),FALSE()),IFERROR(VLOOKUP(LEFT($N1735,3),LCTT_MAP!$A$7:$C$66,IF($M1735="THU",2,3),FALSE()),IFERROR(VLOOKUP(LEFT($N1735,2),LCTT_MAP!$A$7:$C$66,IF($M1735="THU",2,3),FALSE()),IFERROR(VLOOKUP(LEFT($N1735,1),LCTT_MAP!$A$7:$C$66,IF($M1735="THU",2,3),FALSE()),IF($M1735="THU","06","07")))))))</f>
        <v/>
      </c>
      <c r="P1735" s="117">
        <f>P1734+IF(AND($H1735&lt;&gt;"",OR(LEFT($F1735,LEN(SC_TK))=SC_TK,LEFT($G1735,LEN(SC_TK))=SC_TK)),1,0)</f>
        <v/>
      </c>
    </row>
    <row r="1736" ht="15" customHeight="1" s="78">
      <c r="A1736" s="95">
        <f>IF($H1736="","",ROW()-6)</f>
        <v/>
      </c>
      <c r="B1736" s="114" t="n"/>
      <c r="C1736" s="102" t="n"/>
      <c r="D1736" s="114" t="n"/>
      <c r="E1736" s="103" t="n"/>
      <c r="F1736" s="102" t="n"/>
      <c r="G1736" s="102" t="n"/>
      <c r="H1736" s="115" t="n"/>
      <c r="I1736" s="102" t="n"/>
      <c r="J1736" s="102" t="n"/>
      <c r="K1736" s="103" t="n"/>
      <c r="L1736" s="116">
        <f>IF($H1736="","",TRIM(IF(COUNTIF(DMTK!$A$7:$A$250,$F1736)=0,"TK Nợ sai! ","")&amp;IF(COUNTIF(DMTK!$A$7:$A$250,$G1736)=0,"TK Có sai! ","")&amp;IF(N($H1736)&lt;=0,"Tiền phải &gt; 0! ","")&amp;IF($B1736="","Thiếu ngày! ","")&amp;IF(AND(OR(LEFT($F1736,3)="131",LEFT($G1736,3)="131",LEFT($F1736,3)="331",LEFT($G1736,3)="331"),$I1736=""),"Thiếu Mã ĐT! ","")&amp;IF(AND($I1736&lt;&gt;"",COUNTIF(DM_DT!$A$7:$A$306,$I1736)=0),"Mã ĐT chưa khai báo! ","")))</f>
        <v/>
      </c>
      <c r="M1736" s="117">
        <f>IF($H1736="","",IF(AND(OR(LEFT($F1736,3)="111",LEFT($F1736,3)="112",LEFT($F1736,3)="113"),OR(LEFT($G1736,3)="111",LEFT($G1736,3)="112",LEFT($G1736,3)="113")),"NB",IF(OR(LEFT($F1736,3)="111",LEFT($F1736,3)="112",LEFT($F1736,3)="113"),"THU",IF(OR(LEFT($G1736,3)="111",LEFT($G1736,3)="112",LEFT($G1736,3)="113"),"CHI",""))))</f>
        <v/>
      </c>
      <c r="N1736" s="117">
        <f>IF($M1736="THU",$G1736,IF($M1736="CHI",$F1736,""))</f>
        <v/>
      </c>
      <c r="O1736" s="117">
        <f>IF(OR($M1736="",$M1736="NB"),"",IF($J1736&lt;&gt;"",TEXT($J1736,"00"),IFERROR(VLOOKUP(LEFT($N1736,4),LCTT_MAP!$A$7:$C$66,IF($M1736="THU",2,3),FALSE()),IFERROR(VLOOKUP(LEFT($N1736,3),LCTT_MAP!$A$7:$C$66,IF($M1736="THU",2,3),FALSE()),IFERROR(VLOOKUP(LEFT($N1736,2),LCTT_MAP!$A$7:$C$66,IF($M1736="THU",2,3),FALSE()),IFERROR(VLOOKUP(LEFT($N1736,1),LCTT_MAP!$A$7:$C$66,IF($M1736="THU",2,3),FALSE()),IF($M1736="THU","06","07")))))))</f>
        <v/>
      </c>
      <c r="P1736" s="117">
        <f>P1735+IF(AND($H1736&lt;&gt;"",OR(LEFT($F1736,LEN(SC_TK))=SC_TK,LEFT($G1736,LEN(SC_TK))=SC_TK)),1,0)</f>
        <v/>
      </c>
    </row>
    <row r="1737" ht="15" customHeight="1" s="78">
      <c r="A1737" s="95">
        <f>IF($H1737="","",ROW()-6)</f>
        <v/>
      </c>
      <c r="B1737" s="114" t="n"/>
      <c r="C1737" s="102" t="n"/>
      <c r="D1737" s="114" t="n"/>
      <c r="E1737" s="103" t="n"/>
      <c r="F1737" s="102" t="n"/>
      <c r="G1737" s="102" t="n"/>
      <c r="H1737" s="115" t="n"/>
      <c r="I1737" s="102" t="n"/>
      <c r="J1737" s="102" t="n"/>
      <c r="K1737" s="103" t="n"/>
      <c r="L1737" s="116">
        <f>IF($H1737="","",TRIM(IF(COUNTIF(DMTK!$A$7:$A$250,$F1737)=0,"TK Nợ sai! ","")&amp;IF(COUNTIF(DMTK!$A$7:$A$250,$G1737)=0,"TK Có sai! ","")&amp;IF(N($H1737)&lt;=0,"Tiền phải &gt; 0! ","")&amp;IF($B1737="","Thiếu ngày! ","")&amp;IF(AND(OR(LEFT($F1737,3)="131",LEFT($G1737,3)="131",LEFT($F1737,3)="331",LEFT($G1737,3)="331"),$I1737=""),"Thiếu Mã ĐT! ","")&amp;IF(AND($I1737&lt;&gt;"",COUNTIF(DM_DT!$A$7:$A$306,$I1737)=0),"Mã ĐT chưa khai báo! ","")))</f>
        <v/>
      </c>
      <c r="M1737" s="117">
        <f>IF($H1737="","",IF(AND(OR(LEFT($F1737,3)="111",LEFT($F1737,3)="112",LEFT($F1737,3)="113"),OR(LEFT($G1737,3)="111",LEFT($G1737,3)="112",LEFT($G1737,3)="113")),"NB",IF(OR(LEFT($F1737,3)="111",LEFT($F1737,3)="112",LEFT($F1737,3)="113"),"THU",IF(OR(LEFT($G1737,3)="111",LEFT($G1737,3)="112",LEFT($G1737,3)="113"),"CHI",""))))</f>
        <v/>
      </c>
      <c r="N1737" s="117">
        <f>IF($M1737="THU",$G1737,IF($M1737="CHI",$F1737,""))</f>
        <v/>
      </c>
      <c r="O1737" s="117">
        <f>IF(OR($M1737="",$M1737="NB"),"",IF($J1737&lt;&gt;"",TEXT($J1737,"00"),IFERROR(VLOOKUP(LEFT($N1737,4),LCTT_MAP!$A$7:$C$66,IF($M1737="THU",2,3),FALSE()),IFERROR(VLOOKUP(LEFT($N1737,3),LCTT_MAP!$A$7:$C$66,IF($M1737="THU",2,3),FALSE()),IFERROR(VLOOKUP(LEFT($N1737,2),LCTT_MAP!$A$7:$C$66,IF($M1737="THU",2,3),FALSE()),IFERROR(VLOOKUP(LEFT($N1737,1),LCTT_MAP!$A$7:$C$66,IF($M1737="THU",2,3),FALSE()),IF($M1737="THU","06","07")))))))</f>
        <v/>
      </c>
      <c r="P1737" s="117">
        <f>P1736+IF(AND($H1737&lt;&gt;"",OR(LEFT($F1737,LEN(SC_TK))=SC_TK,LEFT($G1737,LEN(SC_TK))=SC_TK)),1,0)</f>
        <v/>
      </c>
    </row>
    <row r="1738" ht="15" customHeight="1" s="78">
      <c r="A1738" s="95">
        <f>IF($H1738="","",ROW()-6)</f>
        <v/>
      </c>
      <c r="B1738" s="114" t="n"/>
      <c r="C1738" s="102" t="n"/>
      <c r="D1738" s="114" t="n"/>
      <c r="E1738" s="103" t="n"/>
      <c r="F1738" s="102" t="n"/>
      <c r="G1738" s="102" t="n"/>
      <c r="H1738" s="115" t="n"/>
      <c r="I1738" s="102" t="n"/>
      <c r="J1738" s="102" t="n"/>
      <c r="K1738" s="103" t="n"/>
      <c r="L1738" s="116">
        <f>IF($H1738="","",TRIM(IF(COUNTIF(DMTK!$A$7:$A$250,$F1738)=0,"TK Nợ sai! ","")&amp;IF(COUNTIF(DMTK!$A$7:$A$250,$G1738)=0,"TK Có sai! ","")&amp;IF(N($H1738)&lt;=0,"Tiền phải &gt; 0! ","")&amp;IF($B1738="","Thiếu ngày! ","")&amp;IF(AND(OR(LEFT($F1738,3)="131",LEFT($G1738,3)="131",LEFT($F1738,3)="331",LEFT($G1738,3)="331"),$I1738=""),"Thiếu Mã ĐT! ","")&amp;IF(AND($I1738&lt;&gt;"",COUNTIF(DM_DT!$A$7:$A$306,$I1738)=0),"Mã ĐT chưa khai báo! ","")))</f>
        <v/>
      </c>
      <c r="M1738" s="117">
        <f>IF($H1738="","",IF(AND(OR(LEFT($F1738,3)="111",LEFT($F1738,3)="112",LEFT($F1738,3)="113"),OR(LEFT($G1738,3)="111",LEFT($G1738,3)="112",LEFT($G1738,3)="113")),"NB",IF(OR(LEFT($F1738,3)="111",LEFT($F1738,3)="112",LEFT($F1738,3)="113"),"THU",IF(OR(LEFT($G1738,3)="111",LEFT($G1738,3)="112",LEFT($G1738,3)="113"),"CHI",""))))</f>
        <v/>
      </c>
      <c r="N1738" s="117">
        <f>IF($M1738="THU",$G1738,IF($M1738="CHI",$F1738,""))</f>
        <v/>
      </c>
      <c r="O1738" s="117">
        <f>IF(OR($M1738="",$M1738="NB"),"",IF($J1738&lt;&gt;"",TEXT($J1738,"00"),IFERROR(VLOOKUP(LEFT($N1738,4),LCTT_MAP!$A$7:$C$66,IF($M1738="THU",2,3),FALSE()),IFERROR(VLOOKUP(LEFT($N1738,3),LCTT_MAP!$A$7:$C$66,IF($M1738="THU",2,3),FALSE()),IFERROR(VLOOKUP(LEFT($N1738,2),LCTT_MAP!$A$7:$C$66,IF($M1738="THU",2,3),FALSE()),IFERROR(VLOOKUP(LEFT($N1738,1),LCTT_MAP!$A$7:$C$66,IF($M1738="THU",2,3),FALSE()),IF($M1738="THU","06","07")))))))</f>
        <v/>
      </c>
      <c r="P1738" s="117">
        <f>P1737+IF(AND($H1738&lt;&gt;"",OR(LEFT($F1738,LEN(SC_TK))=SC_TK,LEFT($G1738,LEN(SC_TK))=SC_TK)),1,0)</f>
        <v/>
      </c>
    </row>
    <row r="1739" ht="15" customHeight="1" s="78">
      <c r="A1739" s="95">
        <f>IF($H1739="","",ROW()-6)</f>
        <v/>
      </c>
      <c r="B1739" s="114" t="n"/>
      <c r="C1739" s="102" t="n"/>
      <c r="D1739" s="114" t="n"/>
      <c r="E1739" s="103" t="n"/>
      <c r="F1739" s="102" t="n"/>
      <c r="G1739" s="102" t="n"/>
      <c r="H1739" s="115" t="n"/>
      <c r="I1739" s="102" t="n"/>
      <c r="J1739" s="102" t="n"/>
      <c r="K1739" s="103" t="n"/>
      <c r="L1739" s="116">
        <f>IF($H1739="","",TRIM(IF(COUNTIF(DMTK!$A$7:$A$250,$F1739)=0,"TK Nợ sai! ","")&amp;IF(COUNTIF(DMTK!$A$7:$A$250,$G1739)=0,"TK Có sai! ","")&amp;IF(N($H1739)&lt;=0,"Tiền phải &gt; 0! ","")&amp;IF($B1739="","Thiếu ngày! ","")&amp;IF(AND(OR(LEFT($F1739,3)="131",LEFT($G1739,3)="131",LEFT($F1739,3)="331",LEFT($G1739,3)="331"),$I1739=""),"Thiếu Mã ĐT! ","")&amp;IF(AND($I1739&lt;&gt;"",COUNTIF(DM_DT!$A$7:$A$306,$I1739)=0),"Mã ĐT chưa khai báo! ","")))</f>
        <v/>
      </c>
      <c r="M1739" s="117">
        <f>IF($H1739="","",IF(AND(OR(LEFT($F1739,3)="111",LEFT($F1739,3)="112",LEFT($F1739,3)="113"),OR(LEFT($G1739,3)="111",LEFT($G1739,3)="112",LEFT($G1739,3)="113")),"NB",IF(OR(LEFT($F1739,3)="111",LEFT($F1739,3)="112",LEFT($F1739,3)="113"),"THU",IF(OR(LEFT($G1739,3)="111",LEFT($G1739,3)="112",LEFT($G1739,3)="113"),"CHI",""))))</f>
        <v/>
      </c>
      <c r="N1739" s="117">
        <f>IF($M1739="THU",$G1739,IF($M1739="CHI",$F1739,""))</f>
        <v/>
      </c>
      <c r="O1739" s="117">
        <f>IF(OR($M1739="",$M1739="NB"),"",IF($J1739&lt;&gt;"",TEXT($J1739,"00"),IFERROR(VLOOKUP(LEFT($N1739,4),LCTT_MAP!$A$7:$C$66,IF($M1739="THU",2,3),FALSE()),IFERROR(VLOOKUP(LEFT($N1739,3),LCTT_MAP!$A$7:$C$66,IF($M1739="THU",2,3),FALSE()),IFERROR(VLOOKUP(LEFT($N1739,2),LCTT_MAP!$A$7:$C$66,IF($M1739="THU",2,3),FALSE()),IFERROR(VLOOKUP(LEFT($N1739,1),LCTT_MAP!$A$7:$C$66,IF($M1739="THU",2,3),FALSE()),IF($M1739="THU","06","07")))))))</f>
        <v/>
      </c>
      <c r="P1739" s="117">
        <f>P1738+IF(AND($H1739&lt;&gt;"",OR(LEFT($F1739,LEN(SC_TK))=SC_TK,LEFT($G1739,LEN(SC_TK))=SC_TK)),1,0)</f>
        <v/>
      </c>
    </row>
    <row r="1740" ht="15" customHeight="1" s="78">
      <c r="A1740" s="95">
        <f>IF($H1740="","",ROW()-6)</f>
        <v/>
      </c>
      <c r="B1740" s="114" t="n"/>
      <c r="C1740" s="102" t="n"/>
      <c r="D1740" s="114" t="n"/>
      <c r="E1740" s="103" t="n"/>
      <c r="F1740" s="102" t="n"/>
      <c r="G1740" s="102" t="n"/>
      <c r="H1740" s="115" t="n"/>
      <c r="I1740" s="102" t="n"/>
      <c r="J1740" s="102" t="n"/>
      <c r="K1740" s="103" t="n"/>
      <c r="L1740" s="116">
        <f>IF($H1740="","",TRIM(IF(COUNTIF(DMTK!$A$7:$A$250,$F1740)=0,"TK Nợ sai! ","")&amp;IF(COUNTIF(DMTK!$A$7:$A$250,$G1740)=0,"TK Có sai! ","")&amp;IF(N($H1740)&lt;=0,"Tiền phải &gt; 0! ","")&amp;IF($B1740="","Thiếu ngày! ","")&amp;IF(AND(OR(LEFT($F1740,3)="131",LEFT($G1740,3)="131",LEFT($F1740,3)="331",LEFT($G1740,3)="331"),$I1740=""),"Thiếu Mã ĐT! ","")&amp;IF(AND($I1740&lt;&gt;"",COUNTIF(DM_DT!$A$7:$A$306,$I1740)=0),"Mã ĐT chưa khai báo! ","")))</f>
        <v/>
      </c>
      <c r="M1740" s="117">
        <f>IF($H1740="","",IF(AND(OR(LEFT($F1740,3)="111",LEFT($F1740,3)="112",LEFT($F1740,3)="113"),OR(LEFT($G1740,3)="111",LEFT($G1740,3)="112",LEFT($G1740,3)="113")),"NB",IF(OR(LEFT($F1740,3)="111",LEFT($F1740,3)="112",LEFT($F1740,3)="113"),"THU",IF(OR(LEFT($G1740,3)="111",LEFT($G1740,3)="112",LEFT($G1740,3)="113"),"CHI",""))))</f>
        <v/>
      </c>
      <c r="N1740" s="117">
        <f>IF($M1740="THU",$G1740,IF($M1740="CHI",$F1740,""))</f>
        <v/>
      </c>
      <c r="O1740" s="117">
        <f>IF(OR($M1740="",$M1740="NB"),"",IF($J1740&lt;&gt;"",TEXT($J1740,"00"),IFERROR(VLOOKUP(LEFT($N1740,4),LCTT_MAP!$A$7:$C$66,IF($M1740="THU",2,3),FALSE()),IFERROR(VLOOKUP(LEFT($N1740,3),LCTT_MAP!$A$7:$C$66,IF($M1740="THU",2,3),FALSE()),IFERROR(VLOOKUP(LEFT($N1740,2),LCTT_MAP!$A$7:$C$66,IF($M1740="THU",2,3),FALSE()),IFERROR(VLOOKUP(LEFT($N1740,1),LCTT_MAP!$A$7:$C$66,IF($M1740="THU",2,3),FALSE()),IF($M1740="THU","06","07")))))))</f>
        <v/>
      </c>
      <c r="P1740" s="117">
        <f>P1739+IF(AND($H1740&lt;&gt;"",OR(LEFT($F1740,LEN(SC_TK))=SC_TK,LEFT($G1740,LEN(SC_TK))=SC_TK)),1,0)</f>
        <v/>
      </c>
    </row>
    <row r="1741" ht="15" customHeight="1" s="78">
      <c r="A1741" s="95">
        <f>IF($H1741="","",ROW()-6)</f>
        <v/>
      </c>
      <c r="B1741" s="114" t="n"/>
      <c r="C1741" s="102" t="n"/>
      <c r="D1741" s="114" t="n"/>
      <c r="E1741" s="103" t="n"/>
      <c r="F1741" s="102" t="n"/>
      <c r="G1741" s="102" t="n"/>
      <c r="H1741" s="115" t="n"/>
      <c r="I1741" s="102" t="n"/>
      <c r="J1741" s="102" t="n"/>
      <c r="K1741" s="103" t="n"/>
      <c r="L1741" s="116">
        <f>IF($H1741="","",TRIM(IF(COUNTIF(DMTK!$A$7:$A$250,$F1741)=0,"TK Nợ sai! ","")&amp;IF(COUNTIF(DMTK!$A$7:$A$250,$G1741)=0,"TK Có sai! ","")&amp;IF(N($H1741)&lt;=0,"Tiền phải &gt; 0! ","")&amp;IF($B1741="","Thiếu ngày! ","")&amp;IF(AND(OR(LEFT($F1741,3)="131",LEFT($G1741,3)="131",LEFT($F1741,3)="331",LEFT($G1741,3)="331"),$I1741=""),"Thiếu Mã ĐT! ","")&amp;IF(AND($I1741&lt;&gt;"",COUNTIF(DM_DT!$A$7:$A$306,$I1741)=0),"Mã ĐT chưa khai báo! ","")))</f>
        <v/>
      </c>
      <c r="M1741" s="117">
        <f>IF($H1741="","",IF(AND(OR(LEFT($F1741,3)="111",LEFT($F1741,3)="112",LEFT($F1741,3)="113"),OR(LEFT($G1741,3)="111",LEFT($G1741,3)="112",LEFT($G1741,3)="113")),"NB",IF(OR(LEFT($F1741,3)="111",LEFT($F1741,3)="112",LEFT($F1741,3)="113"),"THU",IF(OR(LEFT($G1741,3)="111",LEFT($G1741,3)="112",LEFT($G1741,3)="113"),"CHI",""))))</f>
        <v/>
      </c>
      <c r="N1741" s="117">
        <f>IF($M1741="THU",$G1741,IF($M1741="CHI",$F1741,""))</f>
        <v/>
      </c>
      <c r="O1741" s="117">
        <f>IF(OR($M1741="",$M1741="NB"),"",IF($J1741&lt;&gt;"",TEXT($J1741,"00"),IFERROR(VLOOKUP(LEFT($N1741,4),LCTT_MAP!$A$7:$C$66,IF($M1741="THU",2,3),FALSE()),IFERROR(VLOOKUP(LEFT($N1741,3),LCTT_MAP!$A$7:$C$66,IF($M1741="THU",2,3),FALSE()),IFERROR(VLOOKUP(LEFT($N1741,2),LCTT_MAP!$A$7:$C$66,IF($M1741="THU",2,3),FALSE()),IFERROR(VLOOKUP(LEFT($N1741,1),LCTT_MAP!$A$7:$C$66,IF($M1741="THU",2,3),FALSE()),IF($M1741="THU","06","07")))))))</f>
        <v/>
      </c>
      <c r="P1741" s="117">
        <f>P1740+IF(AND($H1741&lt;&gt;"",OR(LEFT($F1741,LEN(SC_TK))=SC_TK,LEFT($G1741,LEN(SC_TK))=SC_TK)),1,0)</f>
        <v/>
      </c>
    </row>
    <row r="1742" ht="15" customHeight="1" s="78">
      <c r="A1742" s="95">
        <f>IF($H1742="","",ROW()-6)</f>
        <v/>
      </c>
      <c r="B1742" s="114" t="n"/>
      <c r="C1742" s="102" t="n"/>
      <c r="D1742" s="114" t="n"/>
      <c r="E1742" s="103" t="n"/>
      <c r="F1742" s="102" t="n"/>
      <c r="G1742" s="102" t="n"/>
      <c r="H1742" s="115" t="n"/>
      <c r="I1742" s="102" t="n"/>
      <c r="J1742" s="102" t="n"/>
      <c r="K1742" s="103" t="n"/>
      <c r="L1742" s="116">
        <f>IF($H1742="","",TRIM(IF(COUNTIF(DMTK!$A$7:$A$250,$F1742)=0,"TK Nợ sai! ","")&amp;IF(COUNTIF(DMTK!$A$7:$A$250,$G1742)=0,"TK Có sai! ","")&amp;IF(N($H1742)&lt;=0,"Tiền phải &gt; 0! ","")&amp;IF($B1742="","Thiếu ngày! ","")&amp;IF(AND(OR(LEFT($F1742,3)="131",LEFT($G1742,3)="131",LEFT($F1742,3)="331",LEFT($G1742,3)="331"),$I1742=""),"Thiếu Mã ĐT! ","")&amp;IF(AND($I1742&lt;&gt;"",COUNTIF(DM_DT!$A$7:$A$306,$I1742)=0),"Mã ĐT chưa khai báo! ","")))</f>
        <v/>
      </c>
      <c r="M1742" s="117">
        <f>IF($H1742="","",IF(AND(OR(LEFT($F1742,3)="111",LEFT($F1742,3)="112",LEFT($F1742,3)="113"),OR(LEFT($G1742,3)="111",LEFT($G1742,3)="112",LEFT($G1742,3)="113")),"NB",IF(OR(LEFT($F1742,3)="111",LEFT($F1742,3)="112",LEFT($F1742,3)="113"),"THU",IF(OR(LEFT($G1742,3)="111",LEFT($G1742,3)="112",LEFT($G1742,3)="113"),"CHI",""))))</f>
        <v/>
      </c>
      <c r="N1742" s="117">
        <f>IF($M1742="THU",$G1742,IF($M1742="CHI",$F1742,""))</f>
        <v/>
      </c>
      <c r="O1742" s="117">
        <f>IF(OR($M1742="",$M1742="NB"),"",IF($J1742&lt;&gt;"",TEXT($J1742,"00"),IFERROR(VLOOKUP(LEFT($N1742,4),LCTT_MAP!$A$7:$C$66,IF($M1742="THU",2,3),FALSE()),IFERROR(VLOOKUP(LEFT($N1742,3),LCTT_MAP!$A$7:$C$66,IF($M1742="THU",2,3),FALSE()),IFERROR(VLOOKUP(LEFT($N1742,2),LCTT_MAP!$A$7:$C$66,IF($M1742="THU",2,3),FALSE()),IFERROR(VLOOKUP(LEFT($N1742,1),LCTT_MAP!$A$7:$C$66,IF($M1742="THU",2,3),FALSE()),IF($M1742="THU","06","07")))))))</f>
        <v/>
      </c>
      <c r="P1742" s="117">
        <f>P1741+IF(AND($H1742&lt;&gt;"",OR(LEFT($F1742,LEN(SC_TK))=SC_TK,LEFT($G1742,LEN(SC_TK))=SC_TK)),1,0)</f>
        <v/>
      </c>
    </row>
    <row r="1743" ht="15" customHeight="1" s="78">
      <c r="A1743" s="95">
        <f>IF($H1743="","",ROW()-6)</f>
        <v/>
      </c>
      <c r="B1743" s="114" t="n"/>
      <c r="C1743" s="102" t="n"/>
      <c r="D1743" s="114" t="n"/>
      <c r="E1743" s="103" t="n"/>
      <c r="F1743" s="102" t="n"/>
      <c r="G1743" s="102" t="n"/>
      <c r="H1743" s="115" t="n"/>
      <c r="I1743" s="102" t="n"/>
      <c r="J1743" s="102" t="n"/>
      <c r="K1743" s="103" t="n"/>
      <c r="L1743" s="116">
        <f>IF($H1743="","",TRIM(IF(COUNTIF(DMTK!$A$7:$A$250,$F1743)=0,"TK Nợ sai! ","")&amp;IF(COUNTIF(DMTK!$A$7:$A$250,$G1743)=0,"TK Có sai! ","")&amp;IF(N($H1743)&lt;=0,"Tiền phải &gt; 0! ","")&amp;IF($B1743="","Thiếu ngày! ","")&amp;IF(AND(OR(LEFT($F1743,3)="131",LEFT($G1743,3)="131",LEFT($F1743,3)="331",LEFT($G1743,3)="331"),$I1743=""),"Thiếu Mã ĐT! ","")&amp;IF(AND($I1743&lt;&gt;"",COUNTIF(DM_DT!$A$7:$A$306,$I1743)=0),"Mã ĐT chưa khai báo! ","")))</f>
        <v/>
      </c>
      <c r="M1743" s="117">
        <f>IF($H1743="","",IF(AND(OR(LEFT($F1743,3)="111",LEFT($F1743,3)="112",LEFT($F1743,3)="113"),OR(LEFT($G1743,3)="111",LEFT($G1743,3)="112",LEFT($G1743,3)="113")),"NB",IF(OR(LEFT($F1743,3)="111",LEFT($F1743,3)="112",LEFT($F1743,3)="113"),"THU",IF(OR(LEFT($G1743,3)="111",LEFT($G1743,3)="112",LEFT($G1743,3)="113"),"CHI",""))))</f>
        <v/>
      </c>
      <c r="N1743" s="117">
        <f>IF($M1743="THU",$G1743,IF($M1743="CHI",$F1743,""))</f>
        <v/>
      </c>
      <c r="O1743" s="117">
        <f>IF(OR($M1743="",$M1743="NB"),"",IF($J1743&lt;&gt;"",TEXT($J1743,"00"),IFERROR(VLOOKUP(LEFT($N1743,4),LCTT_MAP!$A$7:$C$66,IF($M1743="THU",2,3),FALSE()),IFERROR(VLOOKUP(LEFT($N1743,3),LCTT_MAP!$A$7:$C$66,IF($M1743="THU",2,3),FALSE()),IFERROR(VLOOKUP(LEFT($N1743,2),LCTT_MAP!$A$7:$C$66,IF($M1743="THU",2,3),FALSE()),IFERROR(VLOOKUP(LEFT($N1743,1),LCTT_MAP!$A$7:$C$66,IF($M1743="THU",2,3),FALSE()),IF($M1743="THU","06","07")))))))</f>
        <v/>
      </c>
      <c r="P1743" s="117">
        <f>P1742+IF(AND($H1743&lt;&gt;"",OR(LEFT($F1743,LEN(SC_TK))=SC_TK,LEFT($G1743,LEN(SC_TK))=SC_TK)),1,0)</f>
        <v/>
      </c>
    </row>
    <row r="1744" ht="15" customHeight="1" s="78">
      <c r="A1744" s="95">
        <f>IF($H1744="","",ROW()-6)</f>
        <v/>
      </c>
      <c r="B1744" s="114" t="n"/>
      <c r="C1744" s="102" t="n"/>
      <c r="D1744" s="114" t="n"/>
      <c r="E1744" s="103" t="n"/>
      <c r="F1744" s="102" t="n"/>
      <c r="G1744" s="102" t="n"/>
      <c r="H1744" s="115" t="n"/>
      <c r="I1744" s="102" t="n"/>
      <c r="J1744" s="102" t="n"/>
      <c r="K1744" s="103" t="n"/>
      <c r="L1744" s="116">
        <f>IF($H1744="","",TRIM(IF(COUNTIF(DMTK!$A$7:$A$250,$F1744)=0,"TK Nợ sai! ","")&amp;IF(COUNTIF(DMTK!$A$7:$A$250,$G1744)=0,"TK Có sai! ","")&amp;IF(N($H1744)&lt;=0,"Tiền phải &gt; 0! ","")&amp;IF($B1744="","Thiếu ngày! ","")&amp;IF(AND(OR(LEFT($F1744,3)="131",LEFT($G1744,3)="131",LEFT($F1744,3)="331",LEFT($G1744,3)="331"),$I1744=""),"Thiếu Mã ĐT! ","")&amp;IF(AND($I1744&lt;&gt;"",COUNTIF(DM_DT!$A$7:$A$306,$I1744)=0),"Mã ĐT chưa khai báo! ","")))</f>
        <v/>
      </c>
      <c r="M1744" s="117">
        <f>IF($H1744="","",IF(AND(OR(LEFT($F1744,3)="111",LEFT($F1744,3)="112",LEFT($F1744,3)="113"),OR(LEFT($G1744,3)="111",LEFT($G1744,3)="112",LEFT($G1744,3)="113")),"NB",IF(OR(LEFT($F1744,3)="111",LEFT($F1744,3)="112",LEFT($F1744,3)="113"),"THU",IF(OR(LEFT($G1744,3)="111",LEFT($G1744,3)="112",LEFT($G1744,3)="113"),"CHI",""))))</f>
        <v/>
      </c>
      <c r="N1744" s="117">
        <f>IF($M1744="THU",$G1744,IF($M1744="CHI",$F1744,""))</f>
        <v/>
      </c>
      <c r="O1744" s="117">
        <f>IF(OR($M1744="",$M1744="NB"),"",IF($J1744&lt;&gt;"",TEXT($J1744,"00"),IFERROR(VLOOKUP(LEFT($N1744,4),LCTT_MAP!$A$7:$C$66,IF($M1744="THU",2,3),FALSE()),IFERROR(VLOOKUP(LEFT($N1744,3),LCTT_MAP!$A$7:$C$66,IF($M1744="THU",2,3),FALSE()),IFERROR(VLOOKUP(LEFT($N1744,2),LCTT_MAP!$A$7:$C$66,IF($M1744="THU",2,3),FALSE()),IFERROR(VLOOKUP(LEFT($N1744,1),LCTT_MAP!$A$7:$C$66,IF($M1744="THU",2,3),FALSE()),IF($M1744="THU","06","07")))))))</f>
        <v/>
      </c>
      <c r="P1744" s="117">
        <f>P1743+IF(AND($H1744&lt;&gt;"",OR(LEFT($F1744,LEN(SC_TK))=SC_TK,LEFT($G1744,LEN(SC_TK))=SC_TK)),1,0)</f>
        <v/>
      </c>
    </row>
    <row r="1745" ht="15" customHeight="1" s="78">
      <c r="A1745" s="95">
        <f>IF($H1745="","",ROW()-6)</f>
        <v/>
      </c>
      <c r="B1745" s="114" t="n"/>
      <c r="C1745" s="102" t="n"/>
      <c r="D1745" s="114" t="n"/>
      <c r="E1745" s="103" t="n"/>
      <c r="F1745" s="102" t="n"/>
      <c r="G1745" s="102" t="n"/>
      <c r="H1745" s="115" t="n"/>
      <c r="I1745" s="102" t="n"/>
      <c r="J1745" s="102" t="n"/>
      <c r="K1745" s="103" t="n"/>
      <c r="L1745" s="116">
        <f>IF($H1745="","",TRIM(IF(COUNTIF(DMTK!$A$7:$A$250,$F1745)=0,"TK Nợ sai! ","")&amp;IF(COUNTIF(DMTK!$A$7:$A$250,$G1745)=0,"TK Có sai! ","")&amp;IF(N($H1745)&lt;=0,"Tiền phải &gt; 0! ","")&amp;IF($B1745="","Thiếu ngày! ","")&amp;IF(AND(OR(LEFT($F1745,3)="131",LEFT($G1745,3)="131",LEFT($F1745,3)="331",LEFT($G1745,3)="331"),$I1745=""),"Thiếu Mã ĐT! ","")&amp;IF(AND($I1745&lt;&gt;"",COUNTIF(DM_DT!$A$7:$A$306,$I1745)=0),"Mã ĐT chưa khai báo! ","")))</f>
        <v/>
      </c>
      <c r="M1745" s="117">
        <f>IF($H1745="","",IF(AND(OR(LEFT($F1745,3)="111",LEFT($F1745,3)="112",LEFT($F1745,3)="113"),OR(LEFT($G1745,3)="111",LEFT($G1745,3)="112",LEFT($G1745,3)="113")),"NB",IF(OR(LEFT($F1745,3)="111",LEFT($F1745,3)="112",LEFT($F1745,3)="113"),"THU",IF(OR(LEFT($G1745,3)="111",LEFT($G1745,3)="112",LEFT($G1745,3)="113"),"CHI",""))))</f>
        <v/>
      </c>
      <c r="N1745" s="117">
        <f>IF($M1745="THU",$G1745,IF($M1745="CHI",$F1745,""))</f>
        <v/>
      </c>
      <c r="O1745" s="117">
        <f>IF(OR($M1745="",$M1745="NB"),"",IF($J1745&lt;&gt;"",TEXT($J1745,"00"),IFERROR(VLOOKUP(LEFT($N1745,4),LCTT_MAP!$A$7:$C$66,IF($M1745="THU",2,3),FALSE()),IFERROR(VLOOKUP(LEFT($N1745,3),LCTT_MAP!$A$7:$C$66,IF($M1745="THU",2,3),FALSE()),IFERROR(VLOOKUP(LEFT($N1745,2),LCTT_MAP!$A$7:$C$66,IF($M1745="THU",2,3),FALSE()),IFERROR(VLOOKUP(LEFT($N1745,1),LCTT_MAP!$A$7:$C$66,IF($M1745="THU",2,3),FALSE()),IF($M1745="THU","06","07")))))))</f>
        <v/>
      </c>
      <c r="P1745" s="117">
        <f>P1744+IF(AND($H1745&lt;&gt;"",OR(LEFT($F1745,LEN(SC_TK))=SC_TK,LEFT($G1745,LEN(SC_TK))=SC_TK)),1,0)</f>
        <v/>
      </c>
    </row>
    <row r="1746" ht="15" customHeight="1" s="78">
      <c r="A1746" s="95">
        <f>IF($H1746="","",ROW()-6)</f>
        <v/>
      </c>
      <c r="B1746" s="114" t="n"/>
      <c r="C1746" s="102" t="n"/>
      <c r="D1746" s="114" t="n"/>
      <c r="E1746" s="103" t="n"/>
      <c r="F1746" s="102" t="n"/>
      <c r="G1746" s="102" t="n"/>
      <c r="H1746" s="115" t="n"/>
      <c r="I1746" s="102" t="n"/>
      <c r="J1746" s="102" t="n"/>
      <c r="K1746" s="103" t="n"/>
      <c r="L1746" s="116">
        <f>IF($H1746="","",TRIM(IF(COUNTIF(DMTK!$A$7:$A$250,$F1746)=0,"TK Nợ sai! ","")&amp;IF(COUNTIF(DMTK!$A$7:$A$250,$G1746)=0,"TK Có sai! ","")&amp;IF(N($H1746)&lt;=0,"Tiền phải &gt; 0! ","")&amp;IF($B1746="","Thiếu ngày! ","")&amp;IF(AND(OR(LEFT($F1746,3)="131",LEFT($G1746,3)="131",LEFT($F1746,3)="331",LEFT($G1746,3)="331"),$I1746=""),"Thiếu Mã ĐT! ","")&amp;IF(AND($I1746&lt;&gt;"",COUNTIF(DM_DT!$A$7:$A$306,$I1746)=0),"Mã ĐT chưa khai báo! ","")))</f>
        <v/>
      </c>
      <c r="M1746" s="117">
        <f>IF($H1746="","",IF(AND(OR(LEFT($F1746,3)="111",LEFT($F1746,3)="112",LEFT($F1746,3)="113"),OR(LEFT($G1746,3)="111",LEFT($G1746,3)="112",LEFT($G1746,3)="113")),"NB",IF(OR(LEFT($F1746,3)="111",LEFT($F1746,3)="112",LEFT($F1746,3)="113"),"THU",IF(OR(LEFT($G1746,3)="111",LEFT($G1746,3)="112",LEFT($G1746,3)="113"),"CHI",""))))</f>
        <v/>
      </c>
      <c r="N1746" s="117">
        <f>IF($M1746="THU",$G1746,IF($M1746="CHI",$F1746,""))</f>
        <v/>
      </c>
      <c r="O1746" s="117">
        <f>IF(OR($M1746="",$M1746="NB"),"",IF($J1746&lt;&gt;"",TEXT($J1746,"00"),IFERROR(VLOOKUP(LEFT($N1746,4),LCTT_MAP!$A$7:$C$66,IF($M1746="THU",2,3),FALSE()),IFERROR(VLOOKUP(LEFT($N1746,3),LCTT_MAP!$A$7:$C$66,IF($M1746="THU",2,3),FALSE()),IFERROR(VLOOKUP(LEFT($N1746,2),LCTT_MAP!$A$7:$C$66,IF($M1746="THU",2,3),FALSE()),IFERROR(VLOOKUP(LEFT($N1746,1),LCTT_MAP!$A$7:$C$66,IF($M1746="THU",2,3),FALSE()),IF($M1746="THU","06","07")))))))</f>
        <v/>
      </c>
      <c r="P1746" s="117">
        <f>P1745+IF(AND($H1746&lt;&gt;"",OR(LEFT($F1746,LEN(SC_TK))=SC_TK,LEFT($G1746,LEN(SC_TK))=SC_TK)),1,0)</f>
        <v/>
      </c>
    </row>
    <row r="1747" ht="15" customHeight="1" s="78">
      <c r="A1747" s="95">
        <f>IF($H1747="","",ROW()-6)</f>
        <v/>
      </c>
      <c r="B1747" s="114" t="n"/>
      <c r="C1747" s="102" t="n"/>
      <c r="D1747" s="114" t="n"/>
      <c r="E1747" s="103" t="n"/>
      <c r="F1747" s="102" t="n"/>
      <c r="G1747" s="102" t="n"/>
      <c r="H1747" s="115" t="n"/>
      <c r="I1747" s="102" t="n"/>
      <c r="J1747" s="102" t="n"/>
      <c r="K1747" s="103" t="n"/>
      <c r="L1747" s="116">
        <f>IF($H1747="","",TRIM(IF(COUNTIF(DMTK!$A$7:$A$250,$F1747)=0,"TK Nợ sai! ","")&amp;IF(COUNTIF(DMTK!$A$7:$A$250,$G1747)=0,"TK Có sai! ","")&amp;IF(N($H1747)&lt;=0,"Tiền phải &gt; 0! ","")&amp;IF($B1747="","Thiếu ngày! ","")&amp;IF(AND(OR(LEFT($F1747,3)="131",LEFT($G1747,3)="131",LEFT($F1747,3)="331",LEFT($G1747,3)="331"),$I1747=""),"Thiếu Mã ĐT! ","")&amp;IF(AND($I1747&lt;&gt;"",COUNTIF(DM_DT!$A$7:$A$306,$I1747)=0),"Mã ĐT chưa khai báo! ","")))</f>
        <v/>
      </c>
      <c r="M1747" s="117">
        <f>IF($H1747="","",IF(AND(OR(LEFT($F1747,3)="111",LEFT($F1747,3)="112",LEFT($F1747,3)="113"),OR(LEFT($G1747,3)="111",LEFT($G1747,3)="112",LEFT($G1747,3)="113")),"NB",IF(OR(LEFT($F1747,3)="111",LEFT($F1747,3)="112",LEFT($F1747,3)="113"),"THU",IF(OR(LEFT($G1747,3)="111",LEFT($G1747,3)="112",LEFT($G1747,3)="113"),"CHI",""))))</f>
        <v/>
      </c>
      <c r="N1747" s="117">
        <f>IF($M1747="THU",$G1747,IF($M1747="CHI",$F1747,""))</f>
        <v/>
      </c>
      <c r="O1747" s="117">
        <f>IF(OR($M1747="",$M1747="NB"),"",IF($J1747&lt;&gt;"",TEXT($J1747,"00"),IFERROR(VLOOKUP(LEFT($N1747,4),LCTT_MAP!$A$7:$C$66,IF($M1747="THU",2,3),FALSE()),IFERROR(VLOOKUP(LEFT($N1747,3),LCTT_MAP!$A$7:$C$66,IF($M1747="THU",2,3),FALSE()),IFERROR(VLOOKUP(LEFT($N1747,2),LCTT_MAP!$A$7:$C$66,IF($M1747="THU",2,3),FALSE()),IFERROR(VLOOKUP(LEFT($N1747,1),LCTT_MAP!$A$7:$C$66,IF($M1747="THU",2,3),FALSE()),IF($M1747="THU","06","07")))))))</f>
        <v/>
      </c>
      <c r="P1747" s="117">
        <f>P1746+IF(AND($H1747&lt;&gt;"",OR(LEFT($F1747,LEN(SC_TK))=SC_TK,LEFT($G1747,LEN(SC_TK))=SC_TK)),1,0)</f>
        <v/>
      </c>
    </row>
    <row r="1748" ht="15" customHeight="1" s="78">
      <c r="A1748" s="95">
        <f>IF($H1748="","",ROW()-6)</f>
        <v/>
      </c>
      <c r="B1748" s="114" t="n"/>
      <c r="C1748" s="102" t="n"/>
      <c r="D1748" s="114" t="n"/>
      <c r="E1748" s="103" t="n"/>
      <c r="F1748" s="102" t="n"/>
      <c r="G1748" s="102" t="n"/>
      <c r="H1748" s="115" t="n"/>
      <c r="I1748" s="102" t="n"/>
      <c r="J1748" s="102" t="n"/>
      <c r="K1748" s="103" t="n"/>
      <c r="L1748" s="116">
        <f>IF($H1748="","",TRIM(IF(COUNTIF(DMTK!$A$7:$A$250,$F1748)=0,"TK Nợ sai! ","")&amp;IF(COUNTIF(DMTK!$A$7:$A$250,$G1748)=0,"TK Có sai! ","")&amp;IF(N($H1748)&lt;=0,"Tiền phải &gt; 0! ","")&amp;IF($B1748="","Thiếu ngày! ","")&amp;IF(AND(OR(LEFT($F1748,3)="131",LEFT($G1748,3)="131",LEFT($F1748,3)="331",LEFT($G1748,3)="331"),$I1748=""),"Thiếu Mã ĐT! ","")&amp;IF(AND($I1748&lt;&gt;"",COUNTIF(DM_DT!$A$7:$A$306,$I1748)=0),"Mã ĐT chưa khai báo! ","")))</f>
        <v/>
      </c>
      <c r="M1748" s="117">
        <f>IF($H1748="","",IF(AND(OR(LEFT($F1748,3)="111",LEFT($F1748,3)="112",LEFT($F1748,3)="113"),OR(LEFT($G1748,3)="111",LEFT($G1748,3)="112",LEFT($G1748,3)="113")),"NB",IF(OR(LEFT($F1748,3)="111",LEFT($F1748,3)="112",LEFT($F1748,3)="113"),"THU",IF(OR(LEFT($G1748,3)="111",LEFT($G1748,3)="112",LEFT($G1748,3)="113"),"CHI",""))))</f>
        <v/>
      </c>
      <c r="N1748" s="117">
        <f>IF($M1748="THU",$G1748,IF($M1748="CHI",$F1748,""))</f>
        <v/>
      </c>
      <c r="O1748" s="117">
        <f>IF(OR($M1748="",$M1748="NB"),"",IF($J1748&lt;&gt;"",TEXT($J1748,"00"),IFERROR(VLOOKUP(LEFT($N1748,4),LCTT_MAP!$A$7:$C$66,IF($M1748="THU",2,3),FALSE()),IFERROR(VLOOKUP(LEFT($N1748,3),LCTT_MAP!$A$7:$C$66,IF($M1748="THU",2,3),FALSE()),IFERROR(VLOOKUP(LEFT($N1748,2),LCTT_MAP!$A$7:$C$66,IF($M1748="THU",2,3),FALSE()),IFERROR(VLOOKUP(LEFT($N1748,1),LCTT_MAP!$A$7:$C$66,IF($M1748="THU",2,3),FALSE()),IF($M1748="THU","06","07")))))))</f>
        <v/>
      </c>
      <c r="P1748" s="117">
        <f>P1747+IF(AND($H1748&lt;&gt;"",OR(LEFT($F1748,LEN(SC_TK))=SC_TK,LEFT($G1748,LEN(SC_TK))=SC_TK)),1,0)</f>
        <v/>
      </c>
    </row>
    <row r="1749" ht="15" customHeight="1" s="78">
      <c r="A1749" s="95">
        <f>IF($H1749="","",ROW()-6)</f>
        <v/>
      </c>
      <c r="B1749" s="114" t="n"/>
      <c r="C1749" s="102" t="n"/>
      <c r="D1749" s="114" t="n"/>
      <c r="E1749" s="103" t="n"/>
      <c r="F1749" s="102" t="n"/>
      <c r="G1749" s="102" t="n"/>
      <c r="H1749" s="115" t="n"/>
      <c r="I1749" s="102" t="n"/>
      <c r="J1749" s="102" t="n"/>
      <c r="K1749" s="103" t="n"/>
      <c r="L1749" s="116">
        <f>IF($H1749="","",TRIM(IF(COUNTIF(DMTK!$A$7:$A$250,$F1749)=0,"TK Nợ sai! ","")&amp;IF(COUNTIF(DMTK!$A$7:$A$250,$G1749)=0,"TK Có sai! ","")&amp;IF(N($H1749)&lt;=0,"Tiền phải &gt; 0! ","")&amp;IF($B1749="","Thiếu ngày! ","")&amp;IF(AND(OR(LEFT($F1749,3)="131",LEFT($G1749,3)="131",LEFT($F1749,3)="331",LEFT($G1749,3)="331"),$I1749=""),"Thiếu Mã ĐT! ","")&amp;IF(AND($I1749&lt;&gt;"",COUNTIF(DM_DT!$A$7:$A$306,$I1749)=0),"Mã ĐT chưa khai báo! ","")))</f>
        <v/>
      </c>
      <c r="M1749" s="117">
        <f>IF($H1749="","",IF(AND(OR(LEFT($F1749,3)="111",LEFT($F1749,3)="112",LEFT($F1749,3)="113"),OR(LEFT($G1749,3)="111",LEFT($G1749,3)="112",LEFT($G1749,3)="113")),"NB",IF(OR(LEFT($F1749,3)="111",LEFT($F1749,3)="112",LEFT($F1749,3)="113"),"THU",IF(OR(LEFT($G1749,3)="111",LEFT($G1749,3)="112",LEFT($G1749,3)="113"),"CHI",""))))</f>
        <v/>
      </c>
      <c r="N1749" s="117">
        <f>IF($M1749="THU",$G1749,IF($M1749="CHI",$F1749,""))</f>
        <v/>
      </c>
      <c r="O1749" s="117">
        <f>IF(OR($M1749="",$M1749="NB"),"",IF($J1749&lt;&gt;"",TEXT($J1749,"00"),IFERROR(VLOOKUP(LEFT($N1749,4),LCTT_MAP!$A$7:$C$66,IF($M1749="THU",2,3),FALSE()),IFERROR(VLOOKUP(LEFT($N1749,3),LCTT_MAP!$A$7:$C$66,IF($M1749="THU",2,3),FALSE()),IFERROR(VLOOKUP(LEFT($N1749,2),LCTT_MAP!$A$7:$C$66,IF($M1749="THU",2,3),FALSE()),IFERROR(VLOOKUP(LEFT($N1749,1),LCTT_MAP!$A$7:$C$66,IF($M1749="THU",2,3),FALSE()),IF($M1749="THU","06","07")))))))</f>
        <v/>
      </c>
      <c r="P1749" s="117">
        <f>P1748+IF(AND($H1749&lt;&gt;"",OR(LEFT($F1749,LEN(SC_TK))=SC_TK,LEFT($G1749,LEN(SC_TK))=SC_TK)),1,0)</f>
        <v/>
      </c>
    </row>
    <row r="1750" ht="15" customHeight="1" s="78">
      <c r="A1750" s="95">
        <f>IF($H1750="","",ROW()-6)</f>
        <v/>
      </c>
      <c r="B1750" s="114" t="n"/>
      <c r="C1750" s="102" t="n"/>
      <c r="D1750" s="114" t="n"/>
      <c r="E1750" s="103" t="n"/>
      <c r="F1750" s="102" t="n"/>
      <c r="G1750" s="102" t="n"/>
      <c r="H1750" s="115" t="n"/>
      <c r="I1750" s="102" t="n"/>
      <c r="J1750" s="102" t="n"/>
      <c r="K1750" s="103" t="n"/>
      <c r="L1750" s="116">
        <f>IF($H1750="","",TRIM(IF(COUNTIF(DMTK!$A$7:$A$250,$F1750)=0,"TK Nợ sai! ","")&amp;IF(COUNTIF(DMTK!$A$7:$A$250,$G1750)=0,"TK Có sai! ","")&amp;IF(N($H1750)&lt;=0,"Tiền phải &gt; 0! ","")&amp;IF($B1750="","Thiếu ngày! ","")&amp;IF(AND(OR(LEFT($F1750,3)="131",LEFT($G1750,3)="131",LEFT($F1750,3)="331",LEFT($G1750,3)="331"),$I1750=""),"Thiếu Mã ĐT! ","")&amp;IF(AND($I1750&lt;&gt;"",COUNTIF(DM_DT!$A$7:$A$306,$I1750)=0),"Mã ĐT chưa khai báo! ","")))</f>
        <v/>
      </c>
      <c r="M1750" s="117">
        <f>IF($H1750="","",IF(AND(OR(LEFT($F1750,3)="111",LEFT($F1750,3)="112",LEFT($F1750,3)="113"),OR(LEFT($G1750,3)="111",LEFT($G1750,3)="112",LEFT($G1750,3)="113")),"NB",IF(OR(LEFT($F1750,3)="111",LEFT($F1750,3)="112",LEFT($F1750,3)="113"),"THU",IF(OR(LEFT($G1750,3)="111",LEFT($G1750,3)="112",LEFT($G1750,3)="113"),"CHI",""))))</f>
        <v/>
      </c>
      <c r="N1750" s="117">
        <f>IF($M1750="THU",$G1750,IF($M1750="CHI",$F1750,""))</f>
        <v/>
      </c>
      <c r="O1750" s="117">
        <f>IF(OR($M1750="",$M1750="NB"),"",IF($J1750&lt;&gt;"",TEXT($J1750,"00"),IFERROR(VLOOKUP(LEFT($N1750,4),LCTT_MAP!$A$7:$C$66,IF($M1750="THU",2,3),FALSE()),IFERROR(VLOOKUP(LEFT($N1750,3),LCTT_MAP!$A$7:$C$66,IF($M1750="THU",2,3),FALSE()),IFERROR(VLOOKUP(LEFT($N1750,2),LCTT_MAP!$A$7:$C$66,IF($M1750="THU",2,3),FALSE()),IFERROR(VLOOKUP(LEFT($N1750,1),LCTT_MAP!$A$7:$C$66,IF($M1750="THU",2,3),FALSE()),IF($M1750="THU","06","07")))))))</f>
        <v/>
      </c>
      <c r="P1750" s="117">
        <f>P1749+IF(AND($H1750&lt;&gt;"",OR(LEFT($F1750,LEN(SC_TK))=SC_TK,LEFT($G1750,LEN(SC_TK))=SC_TK)),1,0)</f>
        <v/>
      </c>
    </row>
    <row r="1751" ht="15" customHeight="1" s="78">
      <c r="A1751" s="95">
        <f>IF($H1751="","",ROW()-6)</f>
        <v/>
      </c>
      <c r="B1751" s="114" t="n"/>
      <c r="C1751" s="102" t="n"/>
      <c r="D1751" s="114" t="n"/>
      <c r="E1751" s="103" t="n"/>
      <c r="F1751" s="102" t="n"/>
      <c r="G1751" s="102" t="n"/>
      <c r="H1751" s="115" t="n"/>
      <c r="I1751" s="102" t="n"/>
      <c r="J1751" s="102" t="n"/>
      <c r="K1751" s="103" t="n"/>
      <c r="L1751" s="116">
        <f>IF($H1751="","",TRIM(IF(COUNTIF(DMTK!$A$7:$A$250,$F1751)=0,"TK Nợ sai! ","")&amp;IF(COUNTIF(DMTK!$A$7:$A$250,$G1751)=0,"TK Có sai! ","")&amp;IF(N($H1751)&lt;=0,"Tiền phải &gt; 0! ","")&amp;IF($B1751="","Thiếu ngày! ","")&amp;IF(AND(OR(LEFT($F1751,3)="131",LEFT($G1751,3)="131",LEFT($F1751,3)="331",LEFT($G1751,3)="331"),$I1751=""),"Thiếu Mã ĐT! ","")&amp;IF(AND($I1751&lt;&gt;"",COUNTIF(DM_DT!$A$7:$A$306,$I1751)=0),"Mã ĐT chưa khai báo! ","")))</f>
        <v/>
      </c>
      <c r="M1751" s="117">
        <f>IF($H1751="","",IF(AND(OR(LEFT($F1751,3)="111",LEFT($F1751,3)="112",LEFT($F1751,3)="113"),OR(LEFT($G1751,3)="111",LEFT($G1751,3)="112",LEFT($G1751,3)="113")),"NB",IF(OR(LEFT($F1751,3)="111",LEFT($F1751,3)="112",LEFT($F1751,3)="113"),"THU",IF(OR(LEFT($G1751,3)="111",LEFT($G1751,3)="112",LEFT($G1751,3)="113"),"CHI",""))))</f>
        <v/>
      </c>
      <c r="N1751" s="117">
        <f>IF($M1751="THU",$G1751,IF($M1751="CHI",$F1751,""))</f>
        <v/>
      </c>
      <c r="O1751" s="117">
        <f>IF(OR($M1751="",$M1751="NB"),"",IF($J1751&lt;&gt;"",TEXT($J1751,"00"),IFERROR(VLOOKUP(LEFT($N1751,4),LCTT_MAP!$A$7:$C$66,IF($M1751="THU",2,3),FALSE()),IFERROR(VLOOKUP(LEFT($N1751,3),LCTT_MAP!$A$7:$C$66,IF($M1751="THU",2,3),FALSE()),IFERROR(VLOOKUP(LEFT($N1751,2),LCTT_MAP!$A$7:$C$66,IF($M1751="THU",2,3),FALSE()),IFERROR(VLOOKUP(LEFT($N1751,1),LCTT_MAP!$A$7:$C$66,IF($M1751="THU",2,3),FALSE()),IF($M1751="THU","06","07")))))))</f>
        <v/>
      </c>
      <c r="P1751" s="117">
        <f>P1750+IF(AND($H1751&lt;&gt;"",OR(LEFT($F1751,LEN(SC_TK))=SC_TK,LEFT($G1751,LEN(SC_TK))=SC_TK)),1,0)</f>
        <v/>
      </c>
    </row>
    <row r="1752" ht="15" customHeight="1" s="78">
      <c r="A1752" s="95">
        <f>IF($H1752="","",ROW()-6)</f>
        <v/>
      </c>
      <c r="B1752" s="114" t="n"/>
      <c r="C1752" s="102" t="n"/>
      <c r="D1752" s="114" t="n"/>
      <c r="E1752" s="103" t="n"/>
      <c r="F1752" s="102" t="n"/>
      <c r="G1752" s="102" t="n"/>
      <c r="H1752" s="115" t="n"/>
      <c r="I1752" s="102" t="n"/>
      <c r="J1752" s="102" t="n"/>
      <c r="K1752" s="103" t="n"/>
      <c r="L1752" s="116">
        <f>IF($H1752="","",TRIM(IF(COUNTIF(DMTK!$A$7:$A$250,$F1752)=0,"TK Nợ sai! ","")&amp;IF(COUNTIF(DMTK!$A$7:$A$250,$G1752)=0,"TK Có sai! ","")&amp;IF(N($H1752)&lt;=0,"Tiền phải &gt; 0! ","")&amp;IF($B1752="","Thiếu ngày! ","")&amp;IF(AND(OR(LEFT($F1752,3)="131",LEFT($G1752,3)="131",LEFT($F1752,3)="331",LEFT($G1752,3)="331"),$I1752=""),"Thiếu Mã ĐT! ","")&amp;IF(AND($I1752&lt;&gt;"",COUNTIF(DM_DT!$A$7:$A$306,$I1752)=0),"Mã ĐT chưa khai báo! ","")))</f>
        <v/>
      </c>
      <c r="M1752" s="117">
        <f>IF($H1752="","",IF(AND(OR(LEFT($F1752,3)="111",LEFT($F1752,3)="112",LEFT($F1752,3)="113"),OR(LEFT($G1752,3)="111",LEFT($G1752,3)="112",LEFT($G1752,3)="113")),"NB",IF(OR(LEFT($F1752,3)="111",LEFT($F1752,3)="112",LEFT($F1752,3)="113"),"THU",IF(OR(LEFT($G1752,3)="111",LEFT($G1752,3)="112",LEFT($G1752,3)="113"),"CHI",""))))</f>
        <v/>
      </c>
      <c r="N1752" s="117">
        <f>IF($M1752="THU",$G1752,IF($M1752="CHI",$F1752,""))</f>
        <v/>
      </c>
      <c r="O1752" s="117">
        <f>IF(OR($M1752="",$M1752="NB"),"",IF($J1752&lt;&gt;"",TEXT($J1752,"00"),IFERROR(VLOOKUP(LEFT($N1752,4),LCTT_MAP!$A$7:$C$66,IF($M1752="THU",2,3),FALSE()),IFERROR(VLOOKUP(LEFT($N1752,3),LCTT_MAP!$A$7:$C$66,IF($M1752="THU",2,3),FALSE()),IFERROR(VLOOKUP(LEFT($N1752,2),LCTT_MAP!$A$7:$C$66,IF($M1752="THU",2,3),FALSE()),IFERROR(VLOOKUP(LEFT($N1752,1),LCTT_MAP!$A$7:$C$66,IF($M1752="THU",2,3),FALSE()),IF($M1752="THU","06","07")))))))</f>
        <v/>
      </c>
      <c r="P1752" s="117">
        <f>P1751+IF(AND($H1752&lt;&gt;"",OR(LEFT($F1752,LEN(SC_TK))=SC_TK,LEFT($G1752,LEN(SC_TK))=SC_TK)),1,0)</f>
        <v/>
      </c>
    </row>
    <row r="1753" ht="15" customHeight="1" s="78">
      <c r="A1753" s="95">
        <f>IF($H1753="","",ROW()-6)</f>
        <v/>
      </c>
      <c r="B1753" s="114" t="n"/>
      <c r="C1753" s="102" t="n"/>
      <c r="D1753" s="114" t="n"/>
      <c r="E1753" s="103" t="n"/>
      <c r="F1753" s="102" t="n"/>
      <c r="G1753" s="102" t="n"/>
      <c r="H1753" s="115" t="n"/>
      <c r="I1753" s="102" t="n"/>
      <c r="J1753" s="102" t="n"/>
      <c r="K1753" s="103" t="n"/>
      <c r="L1753" s="116">
        <f>IF($H1753="","",TRIM(IF(COUNTIF(DMTK!$A$7:$A$250,$F1753)=0,"TK Nợ sai! ","")&amp;IF(COUNTIF(DMTK!$A$7:$A$250,$G1753)=0,"TK Có sai! ","")&amp;IF(N($H1753)&lt;=0,"Tiền phải &gt; 0! ","")&amp;IF($B1753="","Thiếu ngày! ","")&amp;IF(AND(OR(LEFT($F1753,3)="131",LEFT($G1753,3)="131",LEFT($F1753,3)="331",LEFT($G1753,3)="331"),$I1753=""),"Thiếu Mã ĐT! ","")&amp;IF(AND($I1753&lt;&gt;"",COUNTIF(DM_DT!$A$7:$A$306,$I1753)=0),"Mã ĐT chưa khai báo! ","")))</f>
        <v/>
      </c>
      <c r="M1753" s="117">
        <f>IF($H1753="","",IF(AND(OR(LEFT($F1753,3)="111",LEFT($F1753,3)="112",LEFT($F1753,3)="113"),OR(LEFT($G1753,3)="111",LEFT($G1753,3)="112",LEFT($G1753,3)="113")),"NB",IF(OR(LEFT($F1753,3)="111",LEFT($F1753,3)="112",LEFT($F1753,3)="113"),"THU",IF(OR(LEFT($G1753,3)="111",LEFT($G1753,3)="112",LEFT($G1753,3)="113"),"CHI",""))))</f>
        <v/>
      </c>
      <c r="N1753" s="117">
        <f>IF($M1753="THU",$G1753,IF($M1753="CHI",$F1753,""))</f>
        <v/>
      </c>
      <c r="O1753" s="117">
        <f>IF(OR($M1753="",$M1753="NB"),"",IF($J1753&lt;&gt;"",TEXT($J1753,"00"),IFERROR(VLOOKUP(LEFT($N1753,4),LCTT_MAP!$A$7:$C$66,IF($M1753="THU",2,3),FALSE()),IFERROR(VLOOKUP(LEFT($N1753,3),LCTT_MAP!$A$7:$C$66,IF($M1753="THU",2,3),FALSE()),IFERROR(VLOOKUP(LEFT($N1753,2),LCTT_MAP!$A$7:$C$66,IF($M1753="THU",2,3),FALSE()),IFERROR(VLOOKUP(LEFT($N1753,1),LCTT_MAP!$A$7:$C$66,IF($M1753="THU",2,3),FALSE()),IF($M1753="THU","06","07")))))))</f>
        <v/>
      </c>
      <c r="P1753" s="117">
        <f>P1752+IF(AND($H1753&lt;&gt;"",OR(LEFT($F1753,LEN(SC_TK))=SC_TK,LEFT($G1753,LEN(SC_TK))=SC_TK)),1,0)</f>
        <v/>
      </c>
    </row>
    <row r="1754" ht="15" customHeight="1" s="78">
      <c r="A1754" s="95">
        <f>IF($H1754="","",ROW()-6)</f>
        <v/>
      </c>
      <c r="B1754" s="114" t="n"/>
      <c r="C1754" s="102" t="n"/>
      <c r="D1754" s="114" t="n"/>
      <c r="E1754" s="103" t="n"/>
      <c r="F1754" s="102" t="n"/>
      <c r="G1754" s="102" t="n"/>
      <c r="H1754" s="115" t="n"/>
      <c r="I1754" s="102" t="n"/>
      <c r="J1754" s="102" t="n"/>
      <c r="K1754" s="103" t="n"/>
      <c r="L1754" s="116">
        <f>IF($H1754="","",TRIM(IF(COUNTIF(DMTK!$A$7:$A$250,$F1754)=0,"TK Nợ sai! ","")&amp;IF(COUNTIF(DMTK!$A$7:$A$250,$G1754)=0,"TK Có sai! ","")&amp;IF(N($H1754)&lt;=0,"Tiền phải &gt; 0! ","")&amp;IF($B1754="","Thiếu ngày! ","")&amp;IF(AND(OR(LEFT($F1754,3)="131",LEFT($G1754,3)="131",LEFT($F1754,3)="331",LEFT($G1754,3)="331"),$I1754=""),"Thiếu Mã ĐT! ","")&amp;IF(AND($I1754&lt;&gt;"",COUNTIF(DM_DT!$A$7:$A$306,$I1754)=0),"Mã ĐT chưa khai báo! ","")))</f>
        <v/>
      </c>
      <c r="M1754" s="117">
        <f>IF($H1754="","",IF(AND(OR(LEFT($F1754,3)="111",LEFT($F1754,3)="112",LEFT($F1754,3)="113"),OR(LEFT($G1754,3)="111",LEFT($G1754,3)="112",LEFT($G1754,3)="113")),"NB",IF(OR(LEFT($F1754,3)="111",LEFT($F1754,3)="112",LEFT($F1754,3)="113"),"THU",IF(OR(LEFT($G1754,3)="111",LEFT($G1754,3)="112",LEFT($G1754,3)="113"),"CHI",""))))</f>
        <v/>
      </c>
      <c r="N1754" s="117">
        <f>IF($M1754="THU",$G1754,IF($M1754="CHI",$F1754,""))</f>
        <v/>
      </c>
      <c r="O1754" s="117">
        <f>IF(OR($M1754="",$M1754="NB"),"",IF($J1754&lt;&gt;"",TEXT($J1754,"00"),IFERROR(VLOOKUP(LEFT($N1754,4),LCTT_MAP!$A$7:$C$66,IF($M1754="THU",2,3),FALSE()),IFERROR(VLOOKUP(LEFT($N1754,3),LCTT_MAP!$A$7:$C$66,IF($M1754="THU",2,3),FALSE()),IFERROR(VLOOKUP(LEFT($N1754,2),LCTT_MAP!$A$7:$C$66,IF($M1754="THU",2,3),FALSE()),IFERROR(VLOOKUP(LEFT($N1754,1),LCTT_MAP!$A$7:$C$66,IF($M1754="THU",2,3),FALSE()),IF($M1754="THU","06","07")))))))</f>
        <v/>
      </c>
      <c r="P1754" s="117">
        <f>P1753+IF(AND($H1754&lt;&gt;"",OR(LEFT($F1754,LEN(SC_TK))=SC_TK,LEFT($G1754,LEN(SC_TK))=SC_TK)),1,0)</f>
        <v/>
      </c>
    </row>
    <row r="1755" ht="15" customHeight="1" s="78">
      <c r="A1755" s="95">
        <f>IF($H1755="","",ROW()-6)</f>
        <v/>
      </c>
      <c r="B1755" s="114" t="n"/>
      <c r="C1755" s="102" t="n"/>
      <c r="D1755" s="114" t="n"/>
      <c r="E1755" s="103" t="n"/>
      <c r="F1755" s="102" t="n"/>
      <c r="G1755" s="102" t="n"/>
      <c r="H1755" s="115" t="n"/>
      <c r="I1755" s="102" t="n"/>
      <c r="J1755" s="102" t="n"/>
      <c r="K1755" s="103" t="n"/>
      <c r="L1755" s="116">
        <f>IF($H1755="","",TRIM(IF(COUNTIF(DMTK!$A$7:$A$250,$F1755)=0,"TK Nợ sai! ","")&amp;IF(COUNTIF(DMTK!$A$7:$A$250,$G1755)=0,"TK Có sai! ","")&amp;IF(N($H1755)&lt;=0,"Tiền phải &gt; 0! ","")&amp;IF($B1755="","Thiếu ngày! ","")&amp;IF(AND(OR(LEFT($F1755,3)="131",LEFT($G1755,3)="131",LEFT($F1755,3)="331",LEFT($G1755,3)="331"),$I1755=""),"Thiếu Mã ĐT! ","")&amp;IF(AND($I1755&lt;&gt;"",COUNTIF(DM_DT!$A$7:$A$306,$I1755)=0),"Mã ĐT chưa khai báo! ","")))</f>
        <v/>
      </c>
      <c r="M1755" s="117">
        <f>IF($H1755="","",IF(AND(OR(LEFT($F1755,3)="111",LEFT($F1755,3)="112",LEFT($F1755,3)="113"),OR(LEFT($G1755,3)="111",LEFT($G1755,3)="112",LEFT($G1755,3)="113")),"NB",IF(OR(LEFT($F1755,3)="111",LEFT($F1755,3)="112",LEFT($F1755,3)="113"),"THU",IF(OR(LEFT($G1755,3)="111",LEFT($G1755,3)="112",LEFT($G1755,3)="113"),"CHI",""))))</f>
        <v/>
      </c>
      <c r="N1755" s="117">
        <f>IF($M1755="THU",$G1755,IF($M1755="CHI",$F1755,""))</f>
        <v/>
      </c>
      <c r="O1755" s="117">
        <f>IF(OR($M1755="",$M1755="NB"),"",IF($J1755&lt;&gt;"",TEXT($J1755,"00"),IFERROR(VLOOKUP(LEFT($N1755,4),LCTT_MAP!$A$7:$C$66,IF($M1755="THU",2,3),FALSE()),IFERROR(VLOOKUP(LEFT($N1755,3),LCTT_MAP!$A$7:$C$66,IF($M1755="THU",2,3),FALSE()),IFERROR(VLOOKUP(LEFT($N1755,2),LCTT_MAP!$A$7:$C$66,IF($M1755="THU",2,3),FALSE()),IFERROR(VLOOKUP(LEFT($N1755,1),LCTT_MAP!$A$7:$C$66,IF($M1755="THU",2,3),FALSE()),IF($M1755="THU","06","07")))))))</f>
        <v/>
      </c>
      <c r="P1755" s="117">
        <f>P1754+IF(AND($H1755&lt;&gt;"",OR(LEFT($F1755,LEN(SC_TK))=SC_TK,LEFT($G1755,LEN(SC_TK))=SC_TK)),1,0)</f>
        <v/>
      </c>
    </row>
    <row r="1756" ht="15" customHeight="1" s="78">
      <c r="A1756" s="95">
        <f>IF($H1756="","",ROW()-6)</f>
        <v/>
      </c>
      <c r="B1756" s="114" t="n"/>
      <c r="C1756" s="102" t="n"/>
      <c r="D1756" s="114" t="n"/>
      <c r="E1756" s="103" t="n"/>
      <c r="F1756" s="102" t="n"/>
      <c r="G1756" s="102" t="n"/>
      <c r="H1756" s="115" t="n"/>
      <c r="I1756" s="102" t="n"/>
      <c r="J1756" s="102" t="n"/>
      <c r="K1756" s="103" t="n"/>
      <c r="L1756" s="116">
        <f>IF($H1756="","",TRIM(IF(COUNTIF(DMTK!$A$7:$A$250,$F1756)=0,"TK Nợ sai! ","")&amp;IF(COUNTIF(DMTK!$A$7:$A$250,$G1756)=0,"TK Có sai! ","")&amp;IF(N($H1756)&lt;=0,"Tiền phải &gt; 0! ","")&amp;IF($B1756="","Thiếu ngày! ","")&amp;IF(AND(OR(LEFT($F1756,3)="131",LEFT($G1756,3)="131",LEFT($F1756,3)="331",LEFT($G1756,3)="331"),$I1756=""),"Thiếu Mã ĐT! ","")&amp;IF(AND($I1756&lt;&gt;"",COUNTIF(DM_DT!$A$7:$A$306,$I1756)=0),"Mã ĐT chưa khai báo! ","")))</f>
        <v/>
      </c>
      <c r="M1756" s="117">
        <f>IF($H1756="","",IF(AND(OR(LEFT($F1756,3)="111",LEFT($F1756,3)="112",LEFT($F1756,3)="113"),OR(LEFT($G1756,3)="111",LEFT($G1756,3)="112",LEFT($G1756,3)="113")),"NB",IF(OR(LEFT($F1756,3)="111",LEFT($F1756,3)="112",LEFT($F1756,3)="113"),"THU",IF(OR(LEFT($G1756,3)="111",LEFT($G1756,3)="112",LEFT($G1756,3)="113"),"CHI",""))))</f>
        <v/>
      </c>
      <c r="N1756" s="117">
        <f>IF($M1756="THU",$G1756,IF($M1756="CHI",$F1756,""))</f>
        <v/>
      </c>
      <c r="O1756" s="117">
        <f>IF(OR($M1756="",$M1756="NB"),"",IF($J1756&lt;&gt;"",TEXT($J1756,"00"),IFERROR(VLOOKUP(LEFT($N1756,4),LCTT_MAP!$A$7:$C$66,IF($M1756="THU",2,3),FALSE()),IFERROR(VLOOKUP(LEFT($N1756,3),LCTT_MAP!$A$7:$C$66,IF($M1756="THU",2,3),FALSE()),IFERROR(VLOOKUP(LEFT($N1756,2),LCTT_MAP!$A$7:$C$66,IF($M1756="THU",2,3),FALSE()),IFERROR(VLOOKUP(LEFT($N1756,1),LCTT_MAP!$A$7:$C$66,IF($M1756="THU",2,3),FALSE()),IF($M1756="THU","06","07")))))))</f>
        <v/>
      </c>
      <c r="P1756" s="117">
        <f>P1755+IF(AND($H1756&lt;&gt;"",OR(LEFT($F1756,LEN(SC_TK))=SC_TK,LEFT($G1756,LEN(SC_TK))=SC_TK)),1,0)</f>
        <v/>
      </c>
    </row>
    <row r="1757" ht="15" customHeight="1" s="78">
      <c r="A1757" s="95">
        <f>IF($H1757="","",ROW()-6)</f>
        <v/>
      </c>
      <c r="B1757" s="114" t="n"/>
      <c r="C1757" s="102" t="n"/>
      <c r="D1757" s="114" t="n"/>
      <c r="E1757" s="103" t="n"/>
      <c r="F1757" s="102" t="n"/>
      <c r="G1757" s="102" t="n"/>
      <c r="H1757" s="115" t="n"/>
      <c r="I1757" s="102" t="n"/>
      <c r="J1757" s="102" t="n"/>
      <c r="K1757" s="103" t="n"/>
      <c r="L1757" s="116">
        <f>IF($H1757="","",TRIM(IF(COUNTIF(DMTK!$A$7:$A$250,$F1757)=0,"TK Nợ sai! ","")&amp;IF(COUNTIF(DMTK!$A$7:$A$250,$G1757)=0,"TK Có sai! ","")&amp;IF(N($H1757)&lt;=0,"Tiền phải &gt; 0! ","")&amp;IF($B1757="","Thiếu ngày! ","")&amp;IF(AND(OR(LEFT($F1757,3)="131",LEFT($G1757,3)="131",LEFT($F1757,3)="331",LEFT($G1757,3)="331"),$I1757=""),"Thiếu Mã ĐT! ","")&amp;IF(AND($I1757&lt;&gt;"",COUNTIF(DM_DT!$A$7:$A$306,$I1757)=0),"Mã ĐT chưa khai báo! ","")))</f>
        <v/>
      </c>
      <c r="M1757" s="117">
        <f>IF($H1757="","",IF(AND(OR(LEFT($F1757,3)="111",LEFT($F1757,3)="112",LEFT($F1757,3)="113"),OR(LEFT($G1757,3)="111",LEFT($G1757,3)="112",LEFT($G1757,3)="113")),"NB",IF(OR(LEFT($F1757,3)="111",LEFT($F1757,3)="112",LEFT($F1757,3)="113"),"THU",IF(OR(LEFT($G1757,3)="111",LEFT($G1757,3)="112",LEFT($G1757,3)="113"),"CHI",""))))</f>
        <v/>
      </c>
      <c r="N1757" s="117">
        <f>IF($M1757="THU",$G1757,IF($M1757="CHI",$F1757,""))</f>
        <v/>
      </c>
      <c r="O1757" s="117">
        <f>IF(OR($M1757="",$M1757="NB"),"",IF($J1757&lt;&gt;"",TEXT($J1757,"00"),IFERROR(VLOOKUP(LEFT($N1757,4),LCTT_MAP!$A$7:$C$66,IF($M1757="THU",2,3),FALSE()),IFERROR(VLOOKUP(LEFT($N1757,3),LCTT_MAP!$A$7:$C$66,IF($M1757="THU",2,3),FALSE()),IFERROR(VLOOKUP(LEFT($N1757,2),LCTT_MAP!$A$7:$C$66,IF($M1757="THU",2,3),FALSE()),IFERROR(VLOOKUP(LEFT($N1757,1),LCTT_MAP!$A$7:$C$66,IF($M1757="THU",2,3),FALSE()),IF($M1757="THU","06","07")))))))</f>
        <v/>
      </c>
      <c r="P1757" s="117">
        <f>P1756+IF(AND($H1757&lt;&gt;"",OR(LEFT($F1757,LEN(SC_TK))=SC_TK,LEFT($G1757,LEN(SC_TK))=SC_TK)),1,0)</f>
        <v/>
      </c>
    </row>
    <row r="1758" ht="15" customHeight="1" s="78">
      <c r="A1758" s="95">
        <f>IF($H1758="","",ROW()-6)</f>
        <v/>
      </c>
      <c r="B1758" s="114" t="n"/>
      <c r="C1758" s="102" t="n"/>
      <c r="D1758" s="114" t="n"/>
      <c r="E1758" s="103" t="n"/>
      <c r="F1758" s="102" t="n"/>
      <c r="G1758" s="102" t="n"/>
      <c r="H1758" s="115" t="n"/>
      <c r="I1758" s="102" t="n"/>
      <c r="J1758" s="102" t="n"/>
      <c r="K1758" s="103" t="n"/>
      <c r="L1758" s="116">
        <f>IF($H1758="","",TRIM(IF(COUNTIF(DMTK!$A$7:$A$250,$F1758)=0,"TK Nợ sai! ","")&amp;IF(COUNTIF(DMTK!$A$7:$A$250,$G1758)=0,"TK Có sai! ","")&amp;IF(N($H1758)&lt;=0,"Tiền phải &gt; 0! ","")&amp;IF($B1758="","Thiếu ngày! ","")&amp;IF(AND(OR(LEFT($F1758,3)="131",LEFT($G1758,3)="131",LEFT($F1758,3)="331",LEFT($G1758,3)="331"),$I1758=""),"Thiếu Mã ĐT! ","")&amp;IF(AND($I1758&lt;&gt;"",COUNTIF(DM_DT!$A$7:$A$306,$I1758)=0),"Mã ĐT chưa khai báo! ","")))</f>
        <v/>
      </c>
      <c r="M1758" s="117">
        <f>IF($H1758="","",IF(AND(OR(LEFT($F1758,3)="111",LEFT($F1758,3)="112",LEFT($F1758,3)="113"),OR(LEFT($G1758,3)="111",LEFT($G1758,3)="112",LEFT($G1758,3)="113")),"NB",IF(OR(LEFT($F1758,3)="111",LEFT($F1758,3)="112",LEFT($F1758,3)="113"),"THU",IF(OR(LEFT($G1758,3)="111",LEFT($G1758,3)="112",LEFT($G1758,3)="113"),"CHI",""))))</f>
        <v/>
      </c>
      <c r="N1758" s="117">
        <f>IF($M1758="THU",$G1758,IF($M1758="CHI",$F1758,""))</f>
        <v/>
      </c>
      <c r="O1758" s="117">
        <f>IF(OR($M1758="",$M1758="NB"),"",IF($J1758&lt;&gt;"",TEXT($J1758,"00"),IFERROR(VLOOKUP(LEFT($N1758,4),LCTT_MAP!$A$7:$C$66,IF($M1758="THU",2,3),FALSE()),IFERROR(VLOOKUP(LEFT($N1758,3),LCTT_MAP!$A$7:$C$66,IF($M1758="THU",2,3),FALSE()),IFERROR(VLOOKUP(LEFT($N1758,2),LCTT_MAP!$A$7:$C$66,IF($M1758="THU",2,3),FALSE()),IFERROR(VLOOKUP(LEFT($N1758,1),LCTT_MAP!$A$7:$C$66,IF($M1758="THU",2,3),FALSE()),IF($M1758="THU","06","07")))))))</f>
        <v/>
      </c>
      <c r="P1758" s="117">
        <f>P1757+IF(AND($H1758&lt;&gt;"",OR(LEFT($F1758,LEN(SC_TK))=SC_TK,LEFT($G1758,LEN(SC_TK))=SC_TK)),1,0)</f>
        <v/>
      </c>
    </row>
    <row r="1759" ht="15" customHeight="1" s="78">
      <c r="A1759" s="95">
        <f>IF($H1759="","",ROW()-6)</f>
        <v/>
      </c>
      <c r="B1759" s="114" t="n"/>
      <c r="C1759" s="102" t="n"/>
      <c r="D1759" s="114" t="n"/>
      <c r="E1759" s="103" t="n"/>
      <c r="F1759" s="102" t="n"/>
      <c r="G1759" s="102" t="n"/>
      <c r="H1759" s="115" t="n"/>
      <c r="I1759" s="102" t="n"/>
      <c r="J1759" s="102" t="n"/>
      <c r="K1759" s="103" t="n"/>
      <c r="L1759" s="116">
        <f>IF($H1759="","",TRIM(IF(COUNTIF(DMTK!$A$7:$A$250,$F1759)=0,"TK Nợ sai! ","")&amp;IF(COUNTIF(DMTK!$A$7:$A$250,$G1759)=0,"TK Có sai! ","")&amp;IF(N($H1759)&lt;=0,"Tiền phải &gt; 0! ","")&amp;IF($B1759="","Thiếu ngày! ","")&amp;IF(AND(OR(LEFT($F1759,3)="131",LEFT($G1759,3)="131",LEFT($F1759,3)="331",LEFT($G1759,3)="331"),$I1759=""),"Thiếu Mã ĐT! ","")&amp;IF(AND($I1759&lt;&gt;"",COUNTIF(DM_DT!$A$7:$A$306,$I1759)=0),"Mã ĐT chưa khai báo! ","")))</f>
        <v/>
      </c>
      <c r="M1759" s="117">
        <f>IF($H1759="","",IF(AND(OR(LEFT($F1759,3)="111",LEFT($F1759,3)="112",LEFT($F1759,3)="113"),OR(LEFT($G1759,3)="111",LEFT($G1759,3)="112",LEFT($G1759,3)="113")),"NB",IF(OR(LEFT($F1759,3)="111",LEFT($F1759,3)="112",LEFT($F1759,3)="113"),"THU",IF(OR(LEFT($G1759,3)="111",LEFT($G1759,3)="112",LEFT($G1759,3)="113"),"CHI",""))))</f>
        <v/>
      </c>
      <c r="N1759" s="117">
        <f>IF($M1759="THU",$G1759,IF($M1759="CHI",$F1759,""))</f>
        <v/>
      </c>
      <c r="O1759" s="117">
        <f>IF(OR($M1759="",$M1759="NB"),"",IF($J1759&lt;&gt;"",TEXT($J1759,"00"),IFERROR(VLOOKUP(LEFT($N1759,4),LCTT_MAP!$A$7:$C$66,IF($M1759="THU",2,3),FALSE()),IFERROR(VLOOKUP(LEFT($N1759,3),LCTT_MAP!$A$7:$C$66,IF($M1759="THU",2,3),FALSE()),IFERROR(VLOOKUP(LEFT($N1759,2),LCTT_MAP!$A$7:$C$66,IF($M1759="THU",2,3),FALSE()),IFERROR(VLOOKUP(LEFT($N1759,1),LCTT_MAP!$A$7:$C$66,IF($M1759="THU",2,3),FALSE()),IF($M1759="THU","06","07")))))))</f>
        <v/>
      </c>
      <c r="P1759" s="117">
        <f>P1758+IF(AND($H1759&lt;&gt;"",OR(LEFT($F1759,LEN(SC_TK))=SC_TK,LEFT($G1759,LEN(SC_TK))=SC_TK)),1,0)</f>
        <v/>
      </c>
    </row>
    <row r="1760" ht="15" customHeight="1" s="78">
      <c r="A1760" s="95">
        <f>IF($H1760="","",ROW()-6)</f>
        <v/>
      </c>
      <c r="B1760" s="114" t="n"/>
      <c r="C1760" s="102" t="n"/>
      <c r="D1760" s="114" t="n"/>
      <c r="E1760" s="103" t="n"/>
      <c r="F1760" s="102" t="n"/>
      <c r="G1760" s="102" t="n"/>
      <c r="H1760" s="115" t="n"/>
      <c r="I1760" s="102" t="n"/>
      <c r="J1760" s="102" t="n"/>
      <c r="K1760" s="103" t="n"/>
      <c r="L1760" s="116">
        <f>IF($H1760="","",TRIM(IF(COUNTIF(DMTK!$A$7:$A$250,$F1760)=0,"TK Nợ sai! ","")&amp;IF(COUNTIF(DMTK!$A$7:$A$250,$G1760)=0,"TK Có sai! ","")&amp;IF(N($H1760)&lt;=0,"Tiền phải &gt; 0! ","")&amp;IF($B1760="","Thiếu ngày! ","")&amp;IF(AND(OR(LEFT($F1760,3)="131",LEFT($G1760,3)="131",LEFT($F1760,3)="331",LEFT($G1760,3)="331"),$I1760=""),"Thiếu Mã ĐT! ","")&amp;IF(AND($I1760&lt;&gt;"",COUNTIF(DM_DT!$A$7:$A$306,$I1760)=0),"Mã ĐT chưa khai báo! ","")))</f>
        <v/>
      </c>
      <c r="M1760" s="117">
        <f>IF($H1760="","",IF(AND(OR(LEFT($F1760,3)="111",LEFT($F1760,3)="112",LEFT($F1760,3)="113"),OR(LEFT($G1760,3)="111",LEFT($G1760,3)="112",LEFT($G1760,3)="113")),"NB",IF(OR(LEFT($F1760,3)="111",LEFT($F1760,3)="112",LEFT($F1760,3)="113"),"THU",IF(OR(LEFT($G1760,3)="111",LEFT($G1760,3)="112",LEFT($G1760,3)="113"),"CHI",""))))</f>
        <v/>
      </c>
      <c r="N1760" s="117">
        <f>IF($M1760="THU",$G1760,IF($M1760="CHI",$F1760,""))</f>
        <v/>
      </c>
      <c r="O1760" s="117">
        <f>IF(OR($M1760="",$M1760="NB"),"",IF($J1760&lt;&gt;"",TEXT($J1760,"00"),IFERROR(VLOOKUP(LEFT($N1760,4),LCTT_MAP!$A$7:$C$66,IF($M1760="THU",2,3),FALSE()),IFERROR(VLOOKUP(LEFT($N1760,3),LCTT_MAP!$A$7:$C$66,IF($M1760="THU",2,3),FALSE()),IFERROR(VLOOKUP(LEFT($N1760,2),LCTT_MAP!$A$7:$C$66,IF($M1760="THU",2,3),FALSE()),IFERROR(VLOOKUP(LEFT($N1760,1),LCTT_MAP!$A$7:$C$66,IF($M1760="THU",2,3),FALSE()),IF($M1760="THU","06","07")))))))</f>
        <v/>
      </c>
      <c r="P1760" s="117">
        <f>P1759+IF(AND($H1760&lt;&gt;"",OR(LEFT($F1760,LEN(SC_TK))=SC_TK,LEFT($G1760,LEN(SC_TK))=SC_TK)),1,0)</f>
        <v/>
      </c>
    </row>
    <row r="1761" ht="15" customHeight="1" s="78">
      <c r="A1761" s="95">
        <f>IF($H1761="","",ROW()-6)</f>
        <v/>
      </c>
      <c r="B1761" s="114" t="n"/>
      <c r="C1761" s="102" t="n"/>
      <c r="D1761" s="114" t="n"/>
      <c r="E1761" s="103" t="n"/>
      <c r="F1761" s="102" t="n"/>
      <c r="G1761" s="102" t="n"/>
      <c r="H1761" s="115" t="n"/>
      <c r="I1761" s="102" t="n"/>
      <c r="J1761" s="102" t="n"/>
      <c r="K1761" s="103" t="n"/>
      <c r="L1761" s="116">
        <f>IF($H1761="","",TRIM(IF(COUNTIF(DMTK!$A$7:$A$250,$F1761)=0,"TK Nợ sai! ","")&amp;IF(COUNTIF(DMTK!$A$7:$A$250,$G1761)=0,"TK Có sai! ","")&amp;IF(N($H1761)&lt;=0,"Tiền phải &gt; 0! ","")&amp;IF($B1761="","Thiếu ngày! ","")&amp;IF(AND(OR(LEFT($F1761,3)="131",LEFT($G1761,3)="131",LEFT($F1761,3)="331",LEFT($G1761,3)="331"),$I1761=""),"Thiếu Mã ĐT! ","")&amp;IF(AND($I1761&lt;&gt;"",COUNTIF(DM_DT!$A$7:$A$306,$I1761)=0),"Mã ĐT chưa khai báo! ","")))</f>
        <v/>
      </c>
      <c r="M1761" s="117">
        <f>IF($H1761="","",IF(AND(OR(LEFT($F1761,3)="111",LEFT($F1761,3)="112",LEFT($F1761,3)="113"),OR(LEFT($G1761,3)="111",LEFT($G1761,3)="112",LEFT($G1761,3)="113")),"NB",IF(OR(LEFT($F1761,3)="111",LEFT($F1761,3)="112",LEFT($F1761,3)="113"),"THU",IF(OR(LEFT($G1761,3)="111",LEFT($G1761,3)="112",LEFT($G1761,3)="113"),"CHI",""))))</f>
        <v/>
      </c>
      <c r="N1761" s="117">
        <f>IF($M1761="THU",$G1761,IF($M1761="CHI",$F1761,""))</f>
        <v/>
      </c>
      <c r="O1761" s="117">
        <f>IF(OR($M1761="",$M1761="NB"),"",IF($J1761&lt;&gt;"",TEXT($J1761,"00"),IFERROR(VLOOKUP(LEFT($N1761,4),LCTT_MAP!$A$7:$C$66,IF($M1761="THU",2,3),FALSE()),IFERROR(VLOOKUP(LEFT($N1761,3),LCTT_MAP!$A$7:$C$66,IF($M1761="THU",2,3),FALSE()),IFERROR(VLOOKUP(LEFT($N1761,2),LCTT_MAP!$A$7:$C$66,IF($M1761="THU",2,3),FALSE()),IFERROR(VLOOKUP(LEFT($N1761,1),LCTT_MAP!$A$7:$C$66,IF($M1761="THU",2,3),FALSE()),IF($M1761="THU","06","07")))))))</f>
        <v/>
      </c>
      <c r="P1761" s="117">
        <f>P1760+IF(AND($H1761&lt;&gt;"",OR(LEFT($F1761,LEN(SC_TK))=SC_TK,LEFT($G1761,LEN(SC_TK))=SC_TK)),1,0)</f>
        <v/>
      </c>
    </row>
    <row r="1762" ht="15" customHeight="1" s="78">
      <c r="A1762" s="95">
        <f>IF($H1762="","",ROW()-6)</f>
        <v/>
      </c>
      <c r="B1762" s="114" t="n"/>
      <c r="C1762" s="102" t="n"/>
      <c r="D1762" s="114" t="n"/>
      <c r="E1762" s="103" t="n"/>
      <c r="F1762" s="102" t="n"/>
      <c r="G1762" s="102" t="n"/>
      <c r="H1762" s="115" t="n"/>
      <c r="I1762" s="102" t="n"/>
      <c r="J1762" s="102" t="n"/>
      <c r="K1762" s="103" t="n"/>
      <c r="L1762" s="116">
        <f>IF($H1762="","",TRIM(IF(COUNTIF(DMTK!$A$7:$A$250,$F1762)=0,"TK Nợ sai! ","")&amp;IF(COUNTIF(DMTK!$A$7:$A$250,$G1762)=0,"TK Có sai! ","")&amp;IF(N($H1762)&lt;=0,"Tiền phải &gt; 0! ","")&amp;IF($B1762="","Thiếu ngày! ","")&amp;IF(AND(OR(LEFT($F1762,3)="131",LEFT($G1762,3)="131",LEFT($F1762,3)="331",LEFT($G1762,3)="331"),$I1762=""),"Thiếu Mã ĐT! ","")&amp;IF(AND($I1762&lt;&gt;"",COUNTIF(DM_DT!$A$7:$A$306,$I1762)=0),"Mã ĐT chưa khai báo! ","")))</f>
        <v/>
      </c>
      <c r="M1762" s="117">
        <f>IF($H1762="","",IF(AND(OR(LEFT($F1762,3)="111",LEFT($F1762,3)="112",LEFT($F1762,3)="113"),OR(LEFT($G1762,3)="111",LEFT($G1762,3)="112",LEFT($G1762,3)="113")),"NB",IF(OR(LEFT($F1762,3)="111",LEFT($F1762,3)="112",LEFT($F1762,3)="113"),"THU",IF(OR(LEFT($G1762,3)="111",LEFT($G1762,3)="112",LEFT($G1762,3)="113"),"CHI",""))))</f>
        <v/>
      </c>
      <c r="N1762" s="117">
        <f>IF($M1762="THU",$G1762,IF($M1762="CHI",$F1762,""))</f>
        <v/>
      </c>
      <c r="O1762" s="117">
        <f>IF(OR($M1762="",$M1762="NB"),"",IF($J1762&lt;&gt;"",TEXT($J1762,"00"),IFERROR(VLOOKUP(LEFT($N1762,4),LCTT_MAP!$A$7:$C$66,IF($M1762="THU",2,3),FALSE()),IFERROR(VLOOKUP(LEFT($N1762,3),LCTT_MAP!$A$7:$C$66,IF($M1762="THU",2,3),FALSE()),IFERROR(VLOOKUP(LEFT($N1762,2),LCTT_MAP!$A$7:$C$66,IF($M1762="THU",2,3),FALSE()),IFERROR(VLOOKUP(LEFT($N1762,1),LCTT_MAP!$A$7:$C$66,IF($M1762="THU",2,3),FALSE()),IF($M1762="THU","06","07")))))))</f>
        <v/>
      </c>
      <c r="P1762" s="117">
        <f>P1761+IF(AND($H1762&lt;&gt;"",OR(LEFT($F1762,LEN(SC_TK))=SC_TK,LEFT($G1762,LEN(SC_TK))=SC_TK)),1,0)</f>
        <v/>
      </c>
    </row>
    <row r="1763" ht="15" customHeight="1" s="78">
      <c r="A1763" s="95">
        <f>IF($H1763="","",ROW()-6)</f>
        <v/>
      </c>
      <c r="B1763" s="114" t="n"/>
      <c r="C1763" s="102" t="n"/>
      <c r="D1763" s="114" t="n"/>
      <c r="E1763" s="103" t="n"/>
      <c r="F1763" s="102" t="n"/>
      <c r="G1763" s="102" t="n"/>
      <c r="H1763" s="115" t="n"/>
      <c r="I1763" s="102" t="n"/>
      <c r="J1763" s="102" t="n"/>
      <c r="K1763" s="103" t="n"/>
      <c r="L1763" s="116">
        <f>IF($H1763="","",TRIM(IF(COUNTIF(DMTK!$A$7:$A$250,$F1763)=0,"TK Nợ sai! ","")&amp;IF(COUNTIF(DMTK!$A$7:$A$250,$G1763)=0,"TK Có sai! ","")&amp;IF(N($H1763)&lt;=0,"Tiền phải &gt; 0! ","")&amp;IF($B1763="","Thiếu ngày! ","")&amp;IF(AND(OR(LEFT($F1763,3)="131",LEFT($G1763,3)="131",LEFT($F1763,3)="331",LEFT($G1763,3)="331"),$I1763=""),"Thiếu Mã ĐT! ","")&amp;IF(AND($I1763&lt;&gt;"",COUNTIF(DM_DT!$A$7:$A$306,$I1763)=0),"Mã ĐT chưa khai báo! ","")))</f>
        <v/>
      </c>
      <c r="M1763" s="117">
        <f>IF($H1763="","",IF(AND(OR(LEFT($F1763,3)="111",LEFT($F1763,3)="112",LEFT($F1763,3)="113"),OR(LEFT($G1763,3)="111",LEFT($G1763,3)="112",LEFT($G1763,3)="113")),"NB",IF(OR(LEFT($F1763,3)="111",LEFT($F1763,3)="112",LEFT($F1763,3)="113"),"THU",IF(OR(LEFT($G1763,3)="111",LEFT($G1763,3)="112",LEFT($G1763,3)="113"),"CHI",""))))</f>
        <v/>
      </c>
      <c r="N1763" s="117">
        <f>IF($M1763="THU",$G1763,IF($M1763="CHI",$F1763,""))</f>
        <v/>
      </c>
      <c r="O1763" s="117">
        <f>IF(OR($M1763="",$M1763="NB"),"",IF($J1763&lt;&gt;"",TEXT($J1763,"00"),IFERROR(VLOOKUP(LEFT($N1763,4),LCTT_MAP!$A$7:$C$66,IF($M1763="THU",2,3),FALSE()),IFERROR(VLOOKUP(LEFT($N1763,3),LCTT_MAP!$A$7:$C$66,IF($M1763="THU",2,3),FALSE()),IFERROR(VLOOKUP(LEFT($N1763,2),LCTT_MAP!$A$7:$C$66,IF($M1763="THU",2,3),FALSE()),IFERROR(VLOOKUP(LEFT($N1763,1),LCTT_MAP!$A$7:$C$66,IF($M1763="THU",2,3),FALSE()),IF($M1763="THU","06","07")))))))</f>
        <v/>
      </c>
      <c r="P1763" s="117">
        <f>P1762+IF(AND($H1763&lt;&gt;"",OR(LEFT($F1763,LEN(SC_TK))=SC_TK,LEFT($G1763,LEN(SC_TK))=SC_TK)),1,0)</f>
        <v/>
      </c>
    </row>
    <row r="1764" ht="15" customHeight="1" s="78">
      <c r="A1764" s="95">
        <f>IF($H1764="","",ROW()-6)</f>
        <v/>
      </c>
      <c r="B1764" s="114" t="n"/>
      <c r="C1764" s="102" t="n"/>
      <c r="D1764" s="114" t="n"/>
      <c r="E1764" s="103" t="n"/>
      <c r="F1764" s="102" t="n"/>
      <c r="G1764" s="102" t="n"/>
      <c r="H1764" s="115" t="n"/>
      <c r="I1764" s="102" t="n"/>
      <c r="J1764" s="102" t="n"/>
      <c r="K1764" s="103" t="n"/>
      <c r="L1764" s="116">
        <f>IF($H1764="","",TRIM(IF(COUNTIF(DMTK!$A$7:$A$250,$F1764)=0,"TK Nợ sai! ","")&amp;IF(COUNTIF(DMTK!$A$7:$A$250,$G1764)=0,"TK Có sai! ","")&amp;IF(N($H1764)&lt;=0,"Tiền phải &gt; 0! ","")&amp;IF($B1764="","Thiếu ngày! ","")&amp;IF(AND(OR(LEFT($F1764,3)="131",LEFT($G1764,3)="131",LEFT($F1764,3)="331",LEFT($G1764,3)="331"),$I1764=""),"Thiếu Mã ĐT! ","")&amp;IF(AND($I1764&lt;&gt;"",COUNTIF(DM_DT!$A$7:$A$306,$I1764)=0),"Mã ĐT chưa khai báo! ","")))</f>
        <v/>
      </c>
      <c r="M1764" s="117">
        <f>IF($H1764="","",IF(AND(OR(LEFT($F1764,3)="111",LEFT($F1764,3)="112",LEFT($F1764,3)="113"),OR(LEFT($G1764,3)="111",LEFT($G1764,3)="112",LEFT($G1764,3)="113")),"NB",IF(OR(LEFT($F1764,3)="111",LEFT($F1764,3)="112",LEFT($F1764,3)="113"),"THU",IF(OR(LEFT($G1764,3)="111",LEFT($G1764,3)="112",LEFT($G1764,3)="113"),"CHI",""))))</f>
        <v/>
      </c>
      <c r="N1764" s="117">
        <f>IF($M1764="THU",$G1764,IF($M1764="CHI",$F1764,""))</f>
        <v/>
      </c>
      <c r="O1764" s="117">
        <f>IF(OR($M1764="",$M1764="NB"),"",IF($J1764&lt;&gt;"",TEXT($J1764,"00"),IFERROR(VLOOKUP(LEFT($N1764,4),LCTT_MAP!$A$7:$C$66,IF($M1764="THU",2,3),FALSE()),IFERROR(VLOOKUP(LEFT($N1764,3),LCTT_MAP!$A$7:$C$66,IF($M1764="THU",2,3),FALSE()),IFERROR(VLOOKUP(LEFT($N1764,2),LCTT_MAP!$A$7:$C$66,IF($M1764="THU",2,3),FALSE()),IFERROR(VLOOKUP(LEFT($N1764,1),LCTT_MAP!$A$7:$C$66,IF($M1764="THU",2,3),FALSE()),IF($M1764="THU","06","07")))))))</f>
        <v/>
      </c>
      <c r="P1764" s="117">
        <f>P1763+IF(AND($H1764&lt;&gt;"",OR(LEFT($F1764,LEN(SC_TK))=SC_TK,LEFT($G1764,LEN(SC_TK))=SC_TK)),1,0)</f>
        <v/>
      </c>
    </row>
    <row r="1765" ht="15" customHeight="1" s="78">
      <c r="A1765" s="95">
        <f>IF($H1765="","",ROW()-6)</f>
        <v/>
      </c>
      <c r="B1765" s="114" t="n"/>
      <c r="C1765" s="102" t="n"/>
      <c r="D1765" s="114" t="n"/>
      <c r="E1765" s="103" t="n"/>
      <c r="F1765" s="102" t="n"/>
      <c r="G1765" s="102" t="n"/>
      <c r="H1765" s="115" t="n"/>
      <c r="I1765" s="102" t="n"/>
      <c r="J1765" s="102" t="n"/>
      <c r="K1765" s="103" t="n"/>
      <c r="L1765" s="116">
        <f>IF($H1765="","",TRIM(IF(COUNTIF(DMTK!$A$7:$A$250,$F1765)=0,"TK Nợ sai! ","")&amp;IF(COUNTIF(DMTK!$A$7:$A$250,$G1765)=0,"TK Có sai! ","")&amp;IF(N($H1765)&lt;=0,"Tiền phải &gt; 0! ","")&amp;IF($B1765="","Thiếu ngày! ","")&amp;IF(AND(OR(LEFT($F1765,3)="131",LEFT($G1765,3)="131",LEFT($F1765,3)="331",LEFT($G1765,3)="331"),$I1765=""),"Thiếu Mã ĐT! ","")&amp;IF(AND($I1765&lt;&gt;"",COUNTIF(DM_DT!$A$7:$A$306,$I1765)=0),"Mã ĐT chưa khai báo! ","")))</f>
        <v/>
      </c>
      <c r="M1765" s="117">
        <f>IF($H1765="","",IF(AND(OR(LEFT($F1765,3)="111",LEFT($F1765,3)="112",LEFT($F1765,3)="113"),OR(LEFT($G1765,3)="111",LEFT($G1765,3)="112",LEFT($G1765,3)="113")),"NB",IF(OR(LEFT($F1765,3)="111",LEFT($F1765,3)="112",LEFT($F1765,3)="113"),"THU",IF(OR(LEFT($G1765,3)="111",LEFT($G1765,3)="112",LEFT($G1765,3)="113"),"CHI",""))))</f>
        <v/>
      </c>
      <c r="N1765" s="117">
        <f>IF($M1765="THU",$G1765,IF($M1765="CHI",$F1765,""))</f>
        <v/>
      </c>
      <c r="O1765" s="117">
        <f>IF(OR($M1765="",$M1765="NB"),"",IF($J1765&lt;&gt;"",TEXT($J1765,"00"),IFERROR(VLOOKUP(LEFT($N1765,4),LCTT_MAP!$A$7:$C$66,IF($M1765="THU",2,3),FALSE()),IFERROR(VLOOKUP(LEFT($N1765,3),LCTT_MAP!$A$7:$C$66,IF($M1765="THU",2,3),FALSE()),IFERROR(VLOOKUP(LEFT($N1765,2),LCTT_MAP!$A$7:$C$66,IF($M1765="THU",2,3),FALSE()),IFERROR(VLOOKUP(LEFT($N1765,1),LCTT_MAP!$A$7:$C$66,IF($M1765="THU",2,3),FALSE()),IF($M1765="THU","06","07")))))))</f>
        <v/>
      </c>
      <c r="P1765" s="117">
        <f>P1764+IF(AND($H1765&lt;&gt;"",OR(LEFT($F1765,LEN(SC_TK))=SC_TK,LEFT($G1765,LEN(SC_TK))=SC_TK)),1,0)</f>
        <v/>
      </c>
    </row>
    <row r="1766" ht="15" customHeight="1" s="78">
      <c r="A1766" s="95">
        <f>IF($H1766="","",ROW()-6)</f>
        <v/>
      </c>
      <c r="B1766" s="114" t="n"/>
      <c r="C1766" s="102" t="n"/>
      <c r="D1766" s="114" t="n"/>
      <c r="E1766" s="103" t="n"/>
      <c r="F1766" s="102" t="n"/>
      <c r="G1766" s="102" t="n"/>
      <c r="H1766" s="115" t="n"/>
      <c r="I1766" s="102" t="n"/>
      <c r="J1766" s="102" t="n"/>
      <c r="K1766" s="103" t="n"/>
      <c r="L1766" s="116">
        <f>IF($H1766="","",TRIM(IF(COUNTIF(DMTK!$A$7:$A$250,$F1766)=0,"TK Nợ sai! ","")&amp;IF(COUNTIF(DMTK!$A$7:$A$250,$G1766)=0,"TK Có sai! ","")&amp;IF(N($H1766)&lt;=0,"Tiền phải &gt; 0! ","")&amp;IF($B1766="","Thiếu ngày! ","")&amp;IF(AND(OR(LEFT($F1766,3)="131",LEFT($G1766,3)="131",LEFT($F1766,3)="331",LEFT($G1766,3)="331"),$I1766=""),"Thiếu Mã ĐT! ","")&amp;IF(AND($I1766&lt;&gt;"",COUNTIF(DM_DT!$A$7:$A$306,$I1766)=0),"Mã ĐT chưa khai báo! ","")))</f>
        <v/>
      </c>
      <c r="M1766" s="117">
        <f>IF($H1766="","",IF(AND(OR(LEFT($F1766,3)="111",LEFT($F1766,3)="112",LEFT($F1766,3)="113"),OR(LEFT($G1766,3)="111",LEFT($G1766,3)="112",LEFT($G1766,3)="113")),"NB",IF(OR(LEFT($F1766,3)="111",LEFT($F1766,3)="112",LEFT($F1766,3)="113"),"THU",IF(OR(LEFT($G1766,3)="111",LEFT($G1766,3)="112",LEFT($G1766,3)="113"),"CHI",""))))</f>
        <v/>
      </c>
      <c r="N1766" s="117">
        <f>IF($M1766="THU",$G1766,IF($M1766="CHI",$F1766,""))</f>
        <v/>
      </c>
      <c r="O1766" s="117">
        <f>IF(OR($M1766="",$M1766="NB"),"",IF($J1766&lt;&gt;"",TEXT($J1766,"00"),IFERROR(VLOOKUP(LEFT($N1766,4),LCTT_MAP!$A$7:$C$66,IF($M1766="THU",2,3),FALSE()),IFERROR(VLOOKUP(LEFT($N1766,3),LCTT_MAP!$A$7:$C$66,IF($M1766="THU",2,3),FALSE()),IFERROR(VLOOKUP(LEFT($N1766,2),LCTT_MAP!$A$7:$C$66,IF($M1766="THU",2,3),FALSE()),IFERROR(VLOOKUP(LEFT($N1766,1),LCTT_MAP!$A$7:$C$66,IF($M1766="THU",2,3),FALSE()),IF($M1766="THU","06","07")))))))</f>
        <v/>
      </c>
      <c r="P1766" s="117">
        <f>P1765+IF(AND($H1766&lt;&gt;"",OR(LEFT($F1766,LEN(SC_TK))=SC_TK,LEFT($G1766,LEN(SC_TK))=SC_TK)),1,0)</f>
        <v/>
      </c>
    </row>
    <row r="1767" ht="15" customHeight="1" s="78">
      <c r="A1767" s="95">
        <f>IF($H1767="","",ROW()-6)</f>
        <v/>
      </c>
      <c r="B1767" s="114" t="n"/>
      <c r="C1767" s="102" t="n"/>
      <c r="D1767" s="114" t="n"/>
      <c r="E1767" s="103" t="n"/>
      <c r="F1767" s="102" t="n"/>
      <c r="G1767" s="102" t="n"/>
      <c r="H1767" s="115" t="n"/>
      <c r="I1767" s="102" t="n"/>
      <c r="J1767" s="102" t="n"/>
      <c r="K1767" s="103" t="n"/>
      <c r="L1767" s="116">
        <f>IF($H1767="","",TRIM(IF(COUNTIF(DMTK!$A$7:$A$250,$F1767)=0,"TK Nợ sai! ","")&amp;IF(COUNTIF(DMTK!$A$7:$A$250,$G1767)=0,"TK Có sai! ","")&amp;IF(N($H1767)&lt;=0,"Tiền phải &gt; 0! ","")&amp;IF($B1767="","Thiếu ngày! ","")&amp;IF(AND(OR(LEFT($F1767,3)="131",LEFT($G1767,3)="131",LEFT($F1767,3)="331",LEFT($G1767,3)="331"),$I1767=""),"Thiếu Mã ĐT! ","")&amp;IF(AND($I1767&lt;&gt;"",COUNTIF(DM_DT!$A$7:$A$306,$I1767)=0),"Mã ĐT chưa khai báo! ","")))</f>
        <v/>
      </c>
      <c r="M1767" s="117">
        <f>IF($H1767="","",IF(AND(OR(LEFT($F1767,3)="111",LEFT($F1767,3)="112",LEFT($F1767,3)="113"),OR(LEFT($G1767,3)="111",LEFT($G1767,3)="112",LEFT($G1767,3)="113")),"NB",IF(OR(LEFT($F1767,3)="111",LEFT($F1767,3)="112",LEFT($F1767,3)="113"),"THU",IF(OR(LEFT($G1767,3)="111",LEFT($G1767,3)="112",LEFT($G1767,3)="113"),"CHI",""))))</f>
        <v/>
      </c>
      <c r="N1767" s="117">
        <f>IF($M1767="THU",$G1767,IF($M1767="CHI",$F1767,""))</f>
        <v/>
      </c>
      <c r="O1767" s="117">
        <f>IF(OR($M1767="",$M1767="NB"),"",IF($J1767&lt;&gt;"",TEXT($J1767,"00"),IFERROR(VLOOKUP(LEFT($N1767,4),LCTT_MAP!$A$7:$C$66,IF($M1767="THU",2,3),FALSE()),IFERROR(VLOOKUP(LEFT($N1767,3),LCTT_MAP!$A$7:$C$66,IF($M1767="THU",2,3),FALSE()),IFERROR(VLOOKUP(LEFT($N1767,2),LCTT_MAP!$A$7:$C$66,IF($M1767="THU",2,3),FALSE()),IFERROR(VLOOKUP(LEFT($N1767,1),LCTT_MAP!$A$7:$C$66,IF($M1767="THU",2,3),FALSE()),IF($M1767="THU","06","07")))))))</f>
        <v/>
      </c>
      <c r="P1767" s="117">
        <f>P1766+IF(AND($H1767&lt;&gt;"",OR(LEFT($F1767,LEN(SC_TK))=SC_TK,LEFT($G1767,LEN(SC_TK))=SC_TK)),1,0)</f>
        <v/>
      </c>
    </row>
    <row r="1768" ht="15" customHeight="1" s="78">
      <c r="A1768" s="95">
        <f>IF($H1768="","",ROW()-6)</f>
        <v/>
      </c>
      <c r="B1768" s="114" t="n"/>
      <c r="C1768" s="102" t="n"/>
      <c r="D1768" s="114" t="n"/>
      <c r="E1768" s="103" t="n"/>
      <c r="F1768" s="102" t="n"/>
      <c r="G1768" s="102" t="n"/>
      <c r="H1768" s="115" t="n"/>
      <c r="I1768" s="102" t="n"/>
      <c r="J1768" s="102" t="n"/>
      <c r="K1768" s="103" t="n"/>
      <c r="L1768" s="116">
        <f>IF($H1768="","",TRIM(IF(COUNTIF(DMTK!$A$7:$A$250,$F1768)=0,"TK Nợ sai! ","")&amp;IF(COUNTIF(DMTK!$A$7:$A$250,$G1768)=0,"TK Có sai! ","")&amp;IF(N($H1768)&lt;=0,"Tiền phải &gt; 0! ","")&amp;IF($B1768="","Thiếu ngày! ","")&amp;IF(AND(OR(LEFT($F1768,3)="131",LEFT($G1768,3)="131",LEFT($F1768,3)="331",LEFT($G1768,3)="331"),$I1768=""),"Thiếu Mã ĐT! ","")&amp;IF(AND($I1768&lt;&gt;"",COUNTIF(DM_DT!$A$7:$A$306,$I1768)=0),"Mã ĐT chưa khai báo! ","")))</f>
        <v/>
      </c>
      <c r="M1768" s="117">
        <f>IF($H1768="","",IF(AND(OR(LEFT($F1768,3)="111",LEFT($F1768,3)="112",LEFT($F1768,3)="113"),OR(LEFT($G1768,3)="111",LEFT($G1768,3)="112",LEFT($G1768,3)="113")),"NB",IF(OR(LEFT($F1768,3)="111",LEFT($F1768,3)="112",LEFT($F1768,3)="113"),"THU",IF(OR(LEFT($G1768,3)="111",LEFT($G1768,3)="112",LEFT($G1768,3)="113"),"CHI",""))))</f>
        <v/>
      </c>
      <c r="N1768" s="117">
        <f>IF($M1768="THU",$G1768,IF($M1768="CHI",$F1768,""))</f>
        <v/>
      </c>
      <c r="O1768" s="117">
        <f>IF(OR($M1768="",$M1768="NB"),"",IF($J1768&lt;&gt;"",TEXT($J1768,"00"),IFERROR(VLOOKUP(LEFT($N1768,4),LCTT_MAP!$A$7:$C$66,IF($M1768="THU",2,3),FALSE()),IFERROR(VLOOKUP(LEFT($N1768,3),LCTT_MAP!$A$7:$C$66,IF($M1768="THU",2,3),FALSE()),IFERROR(VLOOKUP(LEFT($N1768,2),LCTT_MAP!$A$7:$C$66,IF($M1768="THU",2,3),FALSE()),IFERROR(VLOOKUP(LEFT($N1768,1),LCTT_MAP!$A$7:$C$66,IF($M1768="THU",2,3),FALSE()),IF($M1768="THU","06","07")))))))</f>
        <v/>
      </c>
      <c r="P1768" s="117">
        <f>P1767+IF(AND($H1768&lt;&gt;"",OR(LEFT($F1768,LEN(SC_TK))=SC_TK,LEFT($G1768,LEN(SC_TK))=SC_TK)),1,0)</f>
        <v/>
      </c>
    </row>
    <row r="1769" ht="15" customHeight="1" s="78">
      <c r="A1769" s="95">
        <f>IF($H1769="","",ROW()-6)</f>
        <v/>
      </c>
      <c r="B1769" s="114" t="n"/>
      <c r="C1769" s="102" t="n"/>
      <c r="D1769" s="114" t="n"/>
      <c r="E1769" s="103" t="n"/>
      <c r="F1769" s="102" t="n"/>
      <c r="G1769" s="102" t="n"/>
      <c r="H1769" s="115" t="n"/>
      <c r="I1769" s="102" t="n"/>
      <c r="J1769" s="102" t="n"/>
      <c r="K1769" s="103" t="n"/>
      <c r="L1769" s="116">
        <f>IF($H1769="","",TRIM(IF(COUNTIF(DMTK!$A$7:$A$250,$F1769)=0,"TK Nợ sai! ","")&amp;IF(COUNTIF(DMTK!$A$7:$A$250,$G1769)=0,"TK Có sai! ","")&amp;IF(N($H1769)&lt;=0,"Tiền phải &gt; 0! ","")&amp;IF($B1769="","Thiếu ngày! ","")&amp;IF(AND(OR(LEFT($F1769,3)="131",LEFT($G1769,3)="131",LEFT($F1769,3)="331",LEFT($G1769,3)="331"),$I1769=""),"Thiếu Mã ĐT! ","")&amp;IF(AND($I1769&lt;&gt;"",COUNTIF(DM_DT!$A$7:$A$306,$I1769)=0),"Mã ĐT chưa khai báo! ","")))</f>
        <v/>
      </c>
      <c r="M1769" s="117">
        <f>IF($H1769="","",IF(AND(OR(LEFT($F1769,3)="111",LEFT($F1769,3)="112",LEFT($F1769,3)="113"),OR(LEFT($G1769,3)="111",LEFT($G1769,3)="112",LEFT($G1769,3)="113")),"NB",IF(OR(LEFT($F1769,3)="111",LEFT($F1769,3)="112",LEFT($F1769,3)="113"),"THU",IF(OR(LEFT($G1769,3)="111",LEFT($G1769,3)="112",LEFT($G1769,3)="113"),"CHI",""))))</f>
        <v/>
      </c>
      <c r="N1769" s="117">
        <f>IF($M1769="THU",$G1769,IF($M1769="CHI",$F1769,""))</f>
        <v/>
      </c>
      <c r="O1769" s="117">
        <f>IF(OR($M1769="",$M1769="NB"),"",IF($J1769&lt;&gt;"",TEXT($J1769,"00"),IFERROR(VLOOKUP(LEFT($N1769,4),LCTT_MAP!$A$7:$C$66,IF($M1769="THU",2,3),FALSE()),IFERROR(VLOOKUP(LEFT($N1769,3),LCTT_MAP!$A$7:$C$66,IF($M1769="THU",2,3),FALSE()),IFERROR(VLOOKUP(LEFT($N1769,2),LCTT_MAP!$A$7:$C$66,IF($M1769="THU",2,3),FALSE()),IFERROR(VLOOKUP(LEFT($N1769,1),LCTT_MAP!$A$7:$C$66,IF($M1769="THU",2,3),FALSE()),IF($M1769="THU","06","07")))))))</f>
        <v/>
      </c>
      <c r="P1769" s="117">
        <f>P1768+IF(AND($H1769&lt;&gt;"",OR(LEFT($F1769,LEN(SC_TK))=SC_TK,LEFT($G1769,LEN(SC_TK))=SC_TK)),1,0)</f>
        <v/>
      </c>
    </row>
    <row r="1770" ht="15" customHeight="1" s="78">
      <c r="A1770" s="95">
        <f>IF($H1770="","",ROW()-6)</f>
        <v/>
      </c>
      <c r="B1770" s="114" t="n"/>
      <c r="C1770" s="102" t="n"/>
      <c r="D1770" s="114" t="n"/>
      <c r="E1770" s="103" t="n"/>
      <c r="F1770" s="102" t="n"/>
      <c r="G1770" s="102" t="n"/>
      <c r="H1770" s="115" t="n"/>
      <c r="I1770" s="102" t="n"/>
      <c r="J1770" s="102" t="n"/>
      <c r="K1770" s="103" t="n"/>
      <c r="L1770" s="116">
        <f>IF($H1770="","",TRIM(IF(COUNTIF(DMTK!$A$7:$A$250,$F1770)=0,"TK Nợ sai! ","")&amp;IF(COUNTIF(DMTK!$A$7:$A$250,$G1770)=0,"TK Có sai! ","")&amp;IF(N($H1770)&lt;=0,"Tiền phải &gt; 0! ","")&amp;IF($B1770="","Thiếu ngày! ","")&amp;IF(AND(OR(LEFT($F1770,3)="131",LEFT($G1770,3)="131",LEFT($F1770,3)="331",LEFT($G1770,3)="331"),$I1770=""),"Thiếu Mã ĐT! ","")&amp;IF(AND($I1770&lt;&gt;"",COUNTIF(DM_DT!$A$7:$A$306,$I1770)=0),"Mã ĐT chưa khai báo! ","")))</f>
        <v/>
      </c>
      <c r="M1770" s="117">
        <f>IF($H1770="","",IF(AND(OR(LEFT($F1770,3)="111",LEFT($F1770,3)="112",LEFT($F1770,3)="113"),OR(LEFT($G1770,3)="111",LEFT($G1770,3)="112",LEFT($G1770,3)="113")),"NB",IF(OR(LEFT($F1770,3)="111",LEFT($F1770,3)="112",LEFT($F1770,3)="113"),"THU",IF(OR(LEFT($G1770,3)="111",LEFT($G1770,3)="112",LEFT($G1770,3)="113"),"CHI",""))))</f>
        <v/>
      </c>
      <c r="N1770" s="117">
        <f>IF($M1770="THU",$G1770,IF($M1770="CHI",$F1770,""))</f>
        <v/>
      </c>
      <c r="O1770" s="117">
        <f>IF(OR($M1770="",$M1770="NB"),"",IF($J1770&lt;&gt;"",TEXT($J1770,"00"),IFERROR(VLOOKUP(LEFT($N1770,4),LCTT_MAP!$A$7:$C$66,IF($M1770="THU",2,3),FALSE()),IFERROR(VLOOKUP(LEFT($N1770,3),LCTT_MAP!$A$7:$C$66,IF($M1770="THU",2,3),FALSE()),IFERROR(VLOOKUP(LEFT($N1770,2),LCTT_MAP!$A$7:$C$66,IF($M1770="THU",2,3),FALSE()),IFERROR(VLOOKUP(LEFT($N1770,1),LCTT_MAP!$A$7:$C$66,IF($M1770="THU",2,3),FALSE()),IF($M1770="THU","06","07")))))))</f>
        <v/>
      </c>
      <c r="P1770" s="117">
        <f>P1769+IF(AND($H1770&lt;&gt;"",OR(LEFT($F1770,LEN(SC_TK))=SC_TK,LEFT($G1770,LEN(SC_TK))=SC_TK)),1,0)</f>
        <v/>
      </c>
    </row>
    <row r="1771" ht="15" customHeight="1" s="78">
      <c r="A1771" s="95">
        <f>IF($H1771="","",ROW()-6)</f>
        <v/>
      </c>
      <c r="B1771" s="114" t="n"/>
      <c r="C1771" s="102" t="n"/>
      <c r="D1771" s="114" t="n"/>
      <c r="E1771" s="103" t="n"/>
      <c r="F1771" s="102" t="n"/>
      <c r="G1771" s="102" t="n"/>
      <c r="H1771" s="115" t="n"/>
      <c r="I1771" s="102" t="n"/>
      <c r="J1771" s="102" t="n"/>
      <c r="K1771" s="103" t="n"/>
      <c r="L1771" s="116">
        <f>IF($H1771="","",TRIM(IF(COUNTIF(DMTK!$A$7:$A$250,$F1771)=0,"TK Nợ sai! ","")&amp;IF(COUNTIF(DMTK!$A$7:$A$250,$G1771)=0,"TK Có sai! ","")&amp;IF(N($H1771)&lt;=0,"Tiền phải &gt; 0! ","")&amp;IF($B1771="","Thiếu ngày! ","")&amp;IF(AND(OR(LEFT($F1771,3)="131",LEFT($G1771,3)="131",LEFT($F1771,3)="331",LEFT($G1771,3)="331"),$I1771=""),"Thiếu Mã ĐT! ","")&amp;IF(AND($I1771&lt;&gt;"",COUNTIF(DM_DT!$A$7:$A$306,$I1771)=0),"Mã ĐT chưa khai báo! ","")))</f>
        <v/>
      </c>
      <c r="M1771" s="117">
        <f>IF($H1771="","",IF(AND(OR(LEFT($F1771,3)="111",LEFT($F1771,3)="112",LEFT($F1771,3)="113"),OR(LEFT($G1771,3)="111",LEFT($G1771,3)="112",LEFT($G1771,3)="113")),"NB",IF(OR(LEFT($F1771,3)="111",LEFT($F1771,3)="112",LEFT($F1771,3)="113"),"THU",IF(OR(LEFT($G1771,3)="111",LEFT($G1771,3)="112",LEFT($G1771,3)="113"),"CHI",""))))</f>
        <v/>
      </c>
      <c r="N1771" s="117">
        <f>IF($M1771="THU",$G1771,IF($M1771="CHI",$F1771,""))</f>
        <v/>
      </c>
      <c r="O1771" s="117">
        <f>IF(OR($M1771="",$M1771="NB"),"",IF($J1771&lt;&gt;"",TEXT($J1771,"00"),IFERROR(VLOOKUP(LEFT($N1771,4),LCTT_MAP!$A$7:$C$66,IF($M1771="THU",2,3),FALSE()),IFERROR(VLOOKUP(LEFT($N1771,3),LCTT_MAP!$A$7:$C$66,IF($M1771="THU",2,3),FALSE()),IFERROR(VLOOKUP(LEFT($N1771,2),LCTT_MAP!$A$7:$C$66,IF($M1771="THU",2,3),FALSE()),IFERROR(VLOOKUP(LEFT($N1771,1),LCTT_MAP!$A$7:$C$66,IF($M1771="THU",2,3),FALSE()),IF($M1771="THU","06","07")))))))</f>
        <v/>
      </c>
      <c r="P1771" s="117">
        <f>P1770+IF(AND($H1771&lt;&gt;"",OR(LEFT($F1771,LEN(SC_TK))=SC_TK,LEFT($G1771,LEN(SC_TK))=SC_TK)),1,0)</f>
        <v/>
      </c>
    </row>
    <row r="1772" ht="15" customHeight="1" s="78">
      <c r="A1772" s="95">
        <f>IF($H1772="","",ROW()-6)</f>
        <v/>
      </c>
      <c r="B1772" s="114" t="n"/>
      <c r="C1772" s="102" t="n"/>
      <c r="D1772" s="114" t="n"/>
      <c r="E1772" s="103" t="n"/>
      <c r="F1772" s="102" t="n"/>
      <c r="G1772" s="102" t="n"/>
      <c r="H1772" s="115" t="n"/>
      <c r="I1772" s="102" t="n"/>
      <c r="J1772" s="102" t="n"/>
      <c r="K1772" s="103" t="n"/>
      <c r="L1772" s="116">
        <f>IF($H1772="","",TRIM(IF(COUNTIF(DMTK!$A$7:$A$250,$F1772)=0,"TK Nợ sai! ","")&amp;IF(COUNTIF(DMTK!$A$7:$A$250,$G1772)=0,"TK Có sai! ","")&amp;IF(N($H1772)&lt;=0,"Tiền phải &gt; 0! ","")&amp;IF($B1772="","Thiếu ngày! ","")&amp;IF(AND(OR(LEFT($F1772,3)="131",LEFT($G1772,3)="131",LEFT($F1772,3)="331",LEFT($G1772,3)="331"),$I1772=""),"Thiếu Mã ĐT! ","")&amp;IF(AND($I1772&lt;&gt;"",COUNTIF(DM_DT!$A$7:$A$306,$I1772)=0),"Mã ĐT chưa khai báo! ","")))</f>
        <v/>
      </c>
      <c r="M1772" s="117">
        <f>IF($H1772="","",IF(AND(OR(LEFT($F1772,3)="111",LEFT($F1772,3)="112",LEFT($F1772,3)="113"),OR(LEFT($G1772,3)="111",LEFT($G1772,3)="112",LEFT($G1772,3)="113")),"NB",IF(OR(LEFT($F1772,3)="111",LEFT($F1772,3)="112",LEFT($F1772,3)="113"),"THU",IF(OR(LEFT($G1772,3)="111",LEFT($G1772,3)="112",LEFT($G1772,3)="113"),"CHI",""))))</f>
        <v/>
      </c>
      <c r="N1772" s="117">
        <f>IF($M1772="THU",$G1772,IF($M1772="CHI",$F1772,""))</f>
        <v/>
      </c>
      <c r="O1772" s="117">
        <f>IF(OR($M1772="",$M1772="NB"),"",IF($J1772&lt;&gt;"",TEXT($J1772,"00"),IFERROR(VLOOKUP(LEFT($N1772,4),LCTT_MAP!$A$7:$C$66,IF($M1772="THU",2,3),FALSE()),IFERROR(VLOOKUP(LEFT($N1772,3),LCTT_MAP!$A$7:$C$66,IF($M1772="THU",2,3),FALSE()),IFERROR(VLOOKUP(LEFT($N1772,2),LCTT_MAP!$A$7:$C$66,IF($M1772="THU",2,3),FALSE()),IFERROR(VLOOKUP(LEFT($N1772,1),LCTT_MAP!$A$7:$C$66,IF($M1772="THU",2,3),FALSE()),IF($M1772="THU","06","07")))))))</f>
        <v/>
      </c>
      <c r="P1772" s="117">
        <f>P1771+IF(AND($H1772&lt;&gt;"",OR(LEFT($F1772,LEN(SC_TK))=SC_TK,LEFT($G1772,LEN(SC_TK))=SC_TK)),1,0)</f>
        <v/>
      </c>
    </row>
    <row r="1773" ht="15" customHeight="1" s="78">
      <c r="A1773" s="95">
        <f>IF($H1773="","",ROW()-6)</f>
        <v/>
      </c>
      <c r="B1773" s="114" t="n"/>
      <c r="C1773" s="102" t="n"/>
      <c r="D1773" s="114" t="n"/>
      <c r="E1773" s="103" t="n"/>
      <c r="F1773" s="102" t="n"/>
      <c r="G1773" s="102" t="n"/>
      <c r="H1773" s="115" t="n"/>
      <c r="I1773" s="102" t="n"/>
      <c r="J1773" s="102" t="n"/>
      <c r="K1773" s="103" t="n"/>
      <c r="L1773" s="116">
        <f>IF($H1773="","",TRIM(IF(COUNTIF(DMTK!$A$7:$A$250,$F1773)=0,"TK Nợ sai! ","")&amp;IF(COUNTIF(DMTK!$A$7:$A$250,$G1773)=0,"TK Có sai! ","")&amp;IF(N($H1773)&lt;=0,"Tiền phải &gt; 0! ","")&amp;IF($B1773="","Thiếu ngày! ","")&amp;IF(AND(OR(LEFT($F1773,3)="131",LEFT($G1773,3)="131",LEFT($F1773,3)="331",LEFT($G1773,3)="331"),$I1773=""),"Thiếu Mã ĐT! ","")&amp;IF(AND($I1773&lt;&gt;"",COUNTIF(DM_DT!$A$7:$A$306,$I1773)=0),"Mã ĐT chưa khai báo! ","")))</f>
        <v/>
      </c>
      <c r="M1773" s="117">
        <f>IF($H1773="","",IF(AND(OR(LEFT($F1773,3)="111",LEFT($F1773,3)="112",LEFT($F1773,3)="113"),OR(LEFT($G1773,3)="111",LEFT($G1773,3)="112",LEFT($G1773,3)="113")),"NB",IF(OR(LEFT($F1773,3)="111",LEFT($F1773,3)="112",LEFT($F1773,3)="113"),"THU",IF(OR(LEFT($G1773,3)="111",LEFT($G1773,3)="112",LEFT($G1773,3)="113"),"CHI",""))))</f>
        <v/>
      </c>
      <c r="N1773" s="117">
        <f>IF($M1773="THU",$G1773,IF($M1773="CHI",$F1773,""))</f>
        <v/>
      </c>
      <c r="O1773" s="117">
        <f>IF(OR($M1773="",$M1773="NB"),"",IF($J1773&lt;&gt;"",TEXT($J1773,"00"),IFERROR(VLOOKUP(LEFT($N1773,4),LCTT_MAP!$A$7:$C$66,IF($M1773="THU",2,3),FALSE()),IFERROR(VLOOKUP(LEFT($N1773,3),LCTT_MAP!$A$7:$C$66,IF($M1773="THU",2,3),FALSE()),IFERROR(VLOOKUP(LEFT($N1773,2),LCTT_MAP!$A$7:$C$66,IF($M1773="THU",2,3),FALSE()),IFERROR(VLOOKUP(LEFT($N1773,1),LCTT_MAP!$A$7:$C$66,IF($M1773="THU",2,3),FALSE()),IF($M1773="THU","06","07")))))))</f>
        <v/>
      </c>
      <c r="P1773" s="117">
        <f>P1772+IF(AND($H1773&lt;&gt;"",OR(LEFT($F1773,LEN(SC_TK))=SC_TK,LEFT($G1773,LEN(SC_TK))=SC_TK)),1,0)</f>
        <v/>
      </c>
    </row>
    <row r="1774" ht="15" customHeight="1" s="78">
      <c r="A1774" s="95">
        <f>IF($H1774="","",ROW()-6)</f>
        <v/>
      </c>
      <c r="B1774" s="114" t="n"/>
      <c r="C1774" s="102" t="n"/>
      <c r="D1774" s="114" t="n"/>
      <c r="E1774" s="103" t="n"/>
      <c r="F1774" s="102" t="n"/>
      <c r="G1774" s="102" t="n"/>
      <c r="H1774" s="115" t="n"/>
      <c r="I1774" s="102" t="n"/>
      <c r="J1774" s="102" t="n"/>
      <c r="K1774" s="103" t="n"/>
      <c r="L1774" s="116">
        <f>IF($H1774="","",TRIM(IF(COUNTIF(DMTK!$A$7:$A$250,$F1774)=0,"TK Nợ sai! ","")&amp;IF(COUNTIF(DMTK!$A$7:$A$250,$G1774)=0,"TK Có sai! ","")&amp;IF(N($H1774)&lt;=0,"Tiền phải &gt; 0! ","")&amp;IF($B1774="","Thiếu ngày! ","")&amp;IF(AND(OR(LEFT($F1774,3)="131",LEFT($G1774,3)="131",LEFT($F1774,3)="331",LEFT($G1774,3)="331"),$I1774=""),"Thiếu Mã ĐT! ","")&amp;IF(AND($I1774&lt;&gt;"",COUNTIF(DM_DT!$A$7:$A$306,$I1774)=0),"Mã ĐT chưa khai báo! ","")))</f>
        <v/>
      </c>
      <c r="M1774" s="117">
        <f>IF($H1774="","",IF(AND(OR(LEFT($F1774,3)="111",LEFT($F1774,3)="112",LEFT($F1774,3)="113"),OR(LEFT($G1774,3)="111",LEFT($G1774,3)="112",LEFT($G1774,3)="113")),"NB",IF(OR(LEFT($F1774,3)="111",LEFT($F1774,3)="112",LEFT($F1774,3)="113"),"THU",IF(OR(LEFT($G1774,3)="111",LEFT($G1774,3)="112",LEFT($G1774,3)="113"),"CHI",""))))</f>
        <v/>
      </c>
      <c r="N1774" s="117">
        <f>IF($M1774="THU",$G1774,IF($M1774="CHI",$F1774,""))</f>
        <v/>
      </c>
      <c r="O1774" s="117">
        <f>IF(OR($M1774="",$M1774="NB"),"",IF($J1774&lt;&gt;"",TEXT($J1774,"00"),IFERROR(VLOOKUP(LEFT($N1774,4),LCTT_MAP!$A$7:$C$66,IF($M1774="THU",2,3),FALSE()),IFERROR(VLOOKUP(LEFT($N1774,3),LCTT_MAP!$A$7:$C$66,IF($M1774="THU",2,3),FALSE()),IFERROR(VLOOKUP(LEFT($N1774,2),LCTT_MAP!$A$7:$C$66,IF($M1774="THU",2,3),FALSE()),IFERROR(VLOOKUP(LEFT($N1774,1),LCTT_MAP!$A$7:$C$66,IF($M1774="THU",2,3),FALSE()),IF($M1774="THU","06","07")))))))</f>
        <v/>
      </c>
      <c r="P1774" s="117">
        <f>P1773+IF(AND($H1774&lt;&gt;"",OR(LEFT($F1774,LEN(SC_TK))=SC_TK,LEFT($G1774,LEN(SC_TK))=SC_TK)),1,0)</f>
        <v/>
      </c>
    </row>
    <row r="1775" ht="15" customHeight="1" s="78">
      <c r="A1775" s="95">
        <f>IF($H1775="","",ROW()-6)</f>
        <v/>
      </c>
      <c r="B1775" s="114" t="n"/>
      <c r="C1775" s="102" t="n"/>
      <c r="D1775" s="114" t="n"/>
      <c r="E1775" s="103" t="n"/>
      <c r="F1775" s="102" t="n"/>
      <c r="G1775" s="102" t="n"/>
      <c r="H1775" s="115" t="n"/>
      <c r="I1775" s="102" t="n"/>
      <c r="J1775" s="102" t="n"/>
      <c r="K1775" s="103" t="n"/>
      <c r="L1775" s="116">
        <f>IF($H1775="","",TRIM(IF(COUNTIF(DMTK!$A$7:$A$250,$F1775)=0,"TK Nợ sai! ","")&amp;IF(COUNTIF(DMTK!$A$7:$A$250,$G1775)=0,"TK Có sai! ","")&amp;IF(N($H1775)&lt;=0,"Tiền phải &gt; 0! ","")&amp;IF($B1775="","Thiếu ngày! ","")&amp;IF(AND(OR(LEFT($F1775,3)="131",LEFT($G1775,3)="131",LEFT($F1775,3)="331",LEFT($G1775,3)="331"),$I1775=""),"Thiếu Mã ĐT! ","")&amp;IF(AND($I1775&lt;&gt;"",COUNTIF(DM_DT!$A$7:$A$306,$I1775)=0),"Mã ĐT chưa khai báo! ","")))</f>
        <v/>
      </c>
      <c r="M1775" s="117">
        <f>IF($H1775="","",IF(AND(OR(LEFT($F1775,3)="111",LEFT($F1775,3)="112",LEFT($F1775,3)="113"),OR(LEFT($G1775,3)="111",LEFT($G1775,3)="112",LEFT($G1775,3)="113")),"NB",IF(OR(LEFT($F1775,3)="111",LEFT($F1775,3)="112",LEFT($F1775,3)="113"),"THU",IF(OR(LEFT($G1775,3)="111",LEFT($G1775,3)="112",LEFT($G1775,3)="113"),"CHI",""))))</f>
        <v/>
      </c>
      <c r="N1775" s="117">
        <f>IF($M1775="THU",$G1775,IF($M1775="CHI",$F1775,""))</f>
        <v/>
      </c>
      <c r="O1775" s="117">
        <f>IF(OR($M1775="",$M1775="NB"),"",IF($J1775&lt;&gt;"",TEXT($J1775,"00"),IFERROR(VLOOKUP(LEFT($N1775,4),LCTT_MAP!$A$7:$C$66,IF($M1775="THU",2,3),FALSE()),IFERROR(VLOOKUP(LEFT($N1775,3),LCTT_MAP!$A$7:$C$66,IF($M1775="THU",2,3),FALSE()),IFERROR(VLOOKUP(LEFT($N1775,2),LCTT_MAP!$A$7:$C$66,IF($M1775="THU",2,3),FALSE()),IFERROR(VLOOKUP(LEFT($N1775,1),LCTT_MAP!$A$7:$C$66,IF($M1775="THU",2,3),FALSE()),IF($M1775="THU","06","07")))))))</f>
        <v/>
      </c>
      <c r="P1775" s="117">
        <f>P1774+IF(AND($H1775&lt;&gt;"",OR(LEFT($F1775,LEN(SC_TK))=SC_TK,LEFT($G1775,LEN(SC_TK))=SC_TK)),1,0)</f>
        <v/>
      </c>
    </row>
    <row r="1776" ht="15" customHeight="1" s="78">
      <c r="A1776" s="95">
        <f>IF($H1776="","",ROW()-6)</f>
        <v/>
      </c>
      <c r="B1776" s="114" t="n"/>
      <c r="C1776" s="102" t="n"/>
      <c r="D1776" s="114" t="n"/>
      <c r="E1776" s="103" t="n"/>
      <c r="F1776" s="102" t="n"/>
      <c r="G1776" s="102" t="n"/>
      <c r="H1776" s="115" t="n"/>
      <c r="I1776" s="102" t="n"/>
      <c r="J1776" s="102" t="n"/>
      <c r="K1776" s="103" t="n"/>
      <c r="L1776" s="116">
        <f>IF($H1776="","",TRIM(IF(COUNTIF(DMTK!$A$7:$A$250,$F1776)=0,"TK Nợ sai! ","")&amp;IF(COUNTIF(DMTK!$A$7:$A$250,$G1776)=0,"TK Có sai! ","")&amp;IF(N($H1776)&lt;=0,"Tiền phải &gt; 0! ","")&amp;IF($B1776="","Thiếu ngày! ","")&amp;IF(AND(OR(LEFT($F1776,3)="131",LEFT($G1776,3)="131",LEFT($F1776,3)="331",LEFT($G1776,3)="331"),$I1776=""),"Thiếu Mã ĐT! ","")&amp;IF(AND($I1776&lt;&gt;"",COUNTIF(DM_DT!$A$7:$A$306,$I1776)=0),"Mã ĐT chưa khai báo! ","")))</f>
        <v/>
      </c>
      <c r="M1776" s="117">
        <f>IF($H1776="","",IF(AND(OR(LEFT($F1776,3)="111",LEFT($F1776,3)="112",LEFT($F1776,3)="113"),OR(LEFT($G1776,3)="111",LEFT($G1776,3)="112",LEFT($G1776,3)="113")),"NB",IF(OR(LEFT($F1776,3)="111",LEFT($F1776,3)="112",LEFT($F1776,3)="113"),"THU",IF(OR(LEFT($G1776,3)="111",LEFT($G1776,3)="112",LEFT($G1776,3)="113"),"CHI",""))))</f>
        <v/>
      </c>
      <c r="N1776" s="117">
        <f>IF($M1776="THU",$G1776,IF($M1776="CHI",$F1776,""))</f>
        <v/>
      </c>
      <c r="O1776" s="117">
        <f>IF(OR($M1776="",$M1776="NB"),"",IF($J1776&lt;&gt;"",TEXT($J1776,"00"),IFERROR(VLOOKUP(LEFT($N1776,4),LCTT_MAP!$A$7:$C$66,IF($M1776="THU",2,3),FALSE()),IFERROR(VLOOKUP(LEFT($N1776,3),LCTT_MAP!$A$7:$C$66,IF($M1776="THU",2,3),FALSE()),IFERROR(VLOOKUP(LEFT($N1776,2),LCTT_MAP!$A$7:$C$66,IF($M1776="THU",2,3),FALSE()),IFERROR(VLOOKUP(LEFT($N1776,1),LCTT_MAP!$A$7:$C$66,IF($M1776="THU",2,3),FALSE()),IF($M1776="THU","06","07")))))))</f>
        <v/>
      </c>
      <c r="P1776" s="117">
        <f>P1775+IF(AND($H1776&lt;&gt;"",OR(LEFT($F1776,LEN(SC_TK))=SC_TK,LEFT($G1776,LEN(SC_TK))=SC_TK)),1,0)</f>
        <v/>
      </c>
    </row>
    <row r="1777" ht="15" customHeight="1" s="78">
      <c r="A1777" s="95">
        <f>IF($H1777="","",ROW()-6)</f>
        <v/>
      </c>
      <c r="B1777" s="114" t="n"/>
      <c r="C1777" s="102" t="n"/>
      <c r="D1777" s="114" t="n"/>
      <c r="E1777" s="103" t="n"/>
      <c r="F1777" s="102" t="n"/>
      <c r="G1777" s="102" t="n"/>
      <c r="H1777" s="115" t="n"/>
      <c r="I1777" s="102" t="n"/>
      <c r="J1777" s="102" t="n"/>
      <c r="K1777" s="103" t="n"/>
      <c r="L1777" s="116">
        <f>IF($H1777="","",TRIM(IF(COUNTIF(DMTK!$A$7:$A$250,$F1777)=0,"TK Nợ sai! ","")&amp;IF(COUNTIF(DMTK!$A$7:$A$250,$G1777)=0,"TK Có sai! ","")&amp;IF(N($H1777)&lt;=0,"Tiền phải &gt; 0! ","")&amp;IF($B1777="","Thiếu ngày! ","")&amp;IF(AND(OR(LEFT($F1777,3)="131",LEFT($G1777,3)="131",LEFT($F1777,3)="331",LEFT($G1777,3)="331"),$I1777=""),"Thiếu Mã ĐT! ","")&amp;IF(AND($I1777&lt;&gt;"",COUNTIF(DM_DT!$A$7:$A$306,$I1777)=0),"Mã ĐT chưa khai báo! ","")))</f>
        <v/>
      </c>
      <c r="M1777" s="117">
        <f>IF($H1777="","",IF(AND(OR(LEFT($F1777,3)="111",LEFT($F1777,3)="112",LEFT($F1777,3)="113"),OR(LEFT($G1777,3)="111",LEFT($G1777,3)="112",LEFT($G1777,3)="113")),"NB",IF(OR(LEFT($F1777,3)="111",LEFT($F1777,3)="112",LEFT($F1777,3)="113"),"THU",IF(OR(LEFT($G1777,3)="111",LEFT($G1777,3)="112",LEFT($G1777,3)="113"),"CHI",""))))</f>
        <v/>
      </c>
      <c r="N1777" s="117">
        <f>IF($M1777="THU",$G1777,IF($M1777="CHI",$F1777,""))</f>
        <v/>
      </c>
      <c r="O1777" s="117">
        <f>IF(OR($M1777="",$M1777="NB"),"",IF($J1777&lt;&gt;"",TEXT($J1777,"00"),IFERROR(VLOOKUP(LEFT($N1777,4),LCTT_MAP!$A$7:$C$66,IF($M1777="THU",2,3),FALSE()),IFERROR(VLOOKUP(LEFT($N1777,3),LCTT_MAP!$A$7:$C$66,IF($M1777="THU",2,3),FALSE()),IFERROR(VLOOKUP(LEFT($N1777,2),LCTT_MAP!$A$7:$C$66,IF($M1777="THU",2,3),FALSE()),IFERROR(VLOOKUP(LEFT($N1777,1),LCTT_MAP!$A$7:$C$66,IF($M1777="THU",2,3),FALSE()),IF($M1777="THU","06","07")))))))</f>
        <v/>
      </c>
      <c r="P1777" s="117">
        <f>P1776+IF(AND($H1777&lt;&gt;"",OR(LEFT($F1777,LEN(SC_TK))=SC_TK,LEFT($G1777,LEN(SC_TK))=SC_TK)),1,0)</f>
        <v/>
      </c>
    </row>
    <row r="1778" ht="15" customHeight="1" s="78">
      <c r="A1778" s="95">
        <f>IF($H1778="","",ROW()-6)</f>
        <v/>
      </c>
      <c r="B1778" s="114" t="n"/>
      <c r="C1778" s="102" t="n"/>
      <c r="D1778" s="114" t="n"/>
      <c r="E1778" s="103" t="n"/>
      <c r="F1778" s="102" t="n"/>
      <c r="G1778" s="102" t="n"/>
      <c r="H1778" s="115" t="n"/>
      <c r="I1778" s="102" t="n"/>
      <c r="J1778" s="102" t="n"/>
      <c r="K1778" s="103" t="n"/>
      <c r="L1778" s="116">
        <f>IF($H1778="","",TRIM(IF(COUNTIF(DMTK!$A$7:$A$250,$F1778)=0,"TK Nợ sai! ","")&amp;IF(COUNTIF(DMTK!$A$7:$A$250,$G1778)=0,"TK Có sai! ","")&amp;IF(N($H1778)&lt;=0,"Tiền phải &gt; 0! ","")&amp;IF($B1778="","Thiếu ngày! ","")&amp;IF(AND(OR(LEFT($F1778,3)="131",LEFT($G1778,3)="131",LEFT($F1778,3)="331",LEFT($G1778,3)="331"),$I1778=""),"Thiếu Mã ĐT! ","")&amp;IF(AND($I1778&lt;&gt;"",COUNTIF(DM_DT!$A$7:$A$306,$I1778)=0),"Mã ĐT chưa khai báo! ","")))</f>
        <v/>
      </c>
      <c r="M1778" s="117">
        <f>IF($H1778="","",IF(AND(OR(LEFT($F1778,3)="111",LEFT($F1778,3)="112",LEFT($F1778,3)="113"),OR(LEFT($G1778,3)="111",LEFT($G1778,3)="112",LEFT($G1778,3)="113")),"NB",IF(OR(LEFT($F1778,3)="111",LEFT($F1778,3)="112",LEFT($F1778,3)="113"),"THU",IF(OR(LEFT($G1778,3)="111",LEFT($G1778,3)="112",LEFT($G1778,3)="113"),"CHI",""))))</f>
        <v/>
      </c>
      <c r="N1778" s="117">
        <f>IF($M1778="THU",$G1778,IF($M1778="CHI",$F1778,""))</f>
        <v/>
      </c>
      <c r="O1778" s="117">
        <f>IF(OR($M1778="",$M1778="NB"),"",IF($J1778&lt;&gt;"",TEXT($J1778,"00"),IFERROR(VLOOKUP(LEFT($N1778,4),LCTT_MAP!$A$7:$C$66,IF($M1778="THU",2,3),FALSE()),IFERROR(VLOOKUP(LEFT($N1778,3),LCTT_MAP!$A$7:$C$66,IF($M1778="THU",2,3),FALSE()),IFERROR(VLOOKUP(LEFT($N1778,2),LCTT_MAP!$A$7:$C$66,IF($M1778="THU",2,3),FALSE()),IFERROR(VLOOKUP(LEFT($N1778,1),LCTT_MAP!$A$7:$C$66,IF($M1778="THU",2,3),FALSE()),IF($M1778="THU","06","07")))))))</f>
        <v/>
      </c>
      <c r="P1778" s="117">
        <f>P1777+IF(AND($H1778&lt;&gt;"",OR(LEFT($F1778,LEN(SC_TK))=SC_TK,LEFT($G1778,LEN(SC_TK))=SC_TK)),1,0)</f>
        <v/>
      </c>
    </row>
    <row r="1779" ht="15" customHeight="1" s="78">
      <c r="A1779" s="95">
        <f>IF($H1779="","",ROW()-6)</f>
        <v/>
      </c>
      <c r="B1779" s="114" t="n"/>
      <c r="C1779" s="102" t="n"/>
      <c r="D1779" s="114" t="n"/>
      <c r="E1779" s="103" t="n"/>
      <c r="F1779" s="102" t="n"/>
      <c r="G1779" s="102" t="n"/>
      <c r="H1779" s="115" t="n"/>
      <c r="I1779" s="102" t="n"/>
      <c r="J1779" s="102" t="n"/>
      <c r="K1779" s="103" t="n"/>
      <c r="L1779" s="116">
        <f>IF($H1779="","",TRIM(IF(COUNTIF(DMTK!$A$7:$A$250,$F1779)=0,"TK Nợ sai! ","")&amp;IF(COUNTIF(DMTK!$A$7:$A$250,$G1779)=0,"TK Có sai! ","")&amp;IF(N($H1779)&lt;=0,"Tiền phải &gt; 0! ","")&amp;IF($B1779="","Thiếu ngày! ","")&amp;IF(AND(OR(LEFT($F1779,3)="131",LEFT($G1779,3)="131",LEFT($F1779,3)="331",LEFT($G1779,3)="331"),$I1779=""),"Thiếu Mã ĐT! ","")&amp;IF(AND($I1779&lt;&gt;"",COUNTIF(DM_DT!$A$7:$A$306,$I1779)=0),"Mã ĐT chưa khai báo! ","")))</f>
        <v/>
      </c>
      <c r="M1779" s="117">
        <f>IF($H1779="","",IF(AND(OR(LEFT($F1779,3)="111",LEFT($F1779,3)="112",LEFT($F1779,3)="113"),OR(LEFT($G1779,3)="111",LEFT($G1779,3)="112",LEFT($G1779,3)="113")),"NB",IF(OR(LEFT($F1779,3)="111",LEFT($F1779,3)="112",LEFT($F1779,3)="113"),"THU",IF(OR(LEFT($G1779,3)="111",LEFT($G1779,3)="112",LEFT($G1779,3)="113"),"CHI",""))))</f>
        <v/>
      </c>
      <c r="N1779" s="117">
        <f>IF($M1779="THU",$G1779,IF($M1779="CHI",$F1779,""))</f>
        <v/>
      </c>
      <c r="O1779" s="117">
        <f>IF(OR($M1779="",$M1779="NB"),"",IF($J1779&lt;&gt;"",TEXT($J1779,"00"),IFERROR(VLOOKUP(LEFT($N1779,4),LCTT_MAP!$A$7:$C$66,IF($M1779="THU",2,3),FALSE()),IFERROR(VLOOKUP(LEFT($N1779,3),LCTT_MAP!$A$7:$C$66,IF($M1779="THU",2,3),FALSE()),IFERROR(VLOOKUP(LEFT($N1779,2),LCTT_MAP!$A$7:$C$66,IF($M1779="THU",2,3),FALSE()),IFERROR(VLOOKUP(LEFT($N1779,1),LCTT_MAP!$A$7:$C$66,IF($M1779="THU",2,3),FALSE()),IF($M1779="THU","06","07")))))))</f>
        <v/>
      </c>
      <c r="P1779" s="117">
        <f>P1778+IF(AND($H1779&lt;&gt;"",OR(LEFT($F1779,LEN(SC_TK))=SC_TK,LEFT($G1779,LEN(SC_TK))=SC_TK)),1,0)</f>
        <v/>
      </c>
    </row>
    <row r="1780" ht="15" customHeight="1" s="78">
      <c r="A1780" s="95">
        <f>IF($H1780="","",ROW()-6)</f>
        <v/>
      </c>
      <c r="B1780" s="114" t="n"/>
      <c r="C1780" s="102" t="n"/>
      <c r="D1780" s="114" t="n"/>
      <c r="E1780" s="103" t="n"/>
      <c r="F1780" s="102" t="n"/>
      <c r="G1780" s="102" t="n"/>
      <c r="H1780" s="115" t="n"/>
      <c r="I1780" s="102" t="n"/>
      <c r="J1780" s="102" t="n"/>
      <c r="K1780" s="103" t="n"/>
      <c r="L1780" s="116">
        <f>IF($H1780="","",TRIM(IF(COUNTIF(DMTK!$A$7:$A$250,$F1780)=0,"TK Nợ sai! ","")&amp;IF(COUNTIF(DMTK!$A$7:$A$250,$G1780)=0,"TK Có sai! ","")&amp;IF(N($H1780)&lt;=0,"Tiền phải &gt; 0! ","")&amp;IF($B1780="","Thiếu ngày! ","")&amp;IF(AND(OR(LEFT($F1780,3)="131",LEFT($G1780,3)="131",LEFT($F1780,3)="331",LEFT($G1780,3)="331"),$I1780=""),"Thiếu Mã ĐT! ","")&amp;IF(AND($I1780&lt;&gt;"",COUNTIF(DM_DT!$A$7:$A$306,$I1780)=0),"Mã ĐT chưa khai báo! ","")))</f>
        <v/>
      </c>
      <c r="M1780" s="117">
        <f>IF($H1780="","",IF(AND(OR(LEFT($F1780,3)="111",LEFT($F1780,3)="112",LEFT($F1780,3)="113"),OR(LEFT($G1780,3)="111",LEFT($G1780,3)="112",LEFT($G1780,3)="113")),"NB",IF(OR(LEFT($F1780,3)="111",LEFT($F1780,3)="112",LEFT($F1780,3)="113"),"THU",IF(OR(LEFT($G1780,3)="111",LEFT($G1780,3)="112",LEFT($G1780,3)="113"),"CHI",""))))</f>
        <v/>
      </c>
      <c r="N1780" s="117">
        <f>IF($M1780="THU",$G1780,IF($M1780="CHI",$F1780,""))</f>
        <v/>
      </c>
      <c r="O1780" s="117">
        <f>IF(OR($M1780="",$M1780="NB"),"",IF($J1780&lt;&gt;"",TEXT($J1780,"00"),IFERROR(VLOOKUP(LEFT($N1780,4),LCTT_MAP!$A$7:$C$66,IF($M1780="THU",2,3),FALSE()),IFERROR(VLOOKUP(LEFT($N1780,3),LCTT_MAP!$A$7:$C$66,IF($M1780="THU",2,3),FALSE()),IFERROR(VLOOKUP(LEFT($N1780,2),LCTT_MAP!$A$7:$C$66,IF($M1780="THU",2,3),FALSE()),IFERROR(VLOOKUP(LEFT($N1780,1),LCTT_MAP!$A$7:$C$66,IF($M1780="THU",2,3),FALSE()),IF($M1780="THU","06","07")))))))</f>
        <v/>
      </c>
      <c r="P1780" s="117">
        <f>P1779+IF(AND($H1780&lt;&gt;"",OR(LEFT($F1780,LEN(SC_TK))=SC_TK,LEFT($G1780,LEN(SC_TK))=SC_TK)),1,0)</f>
        <v/>
      </c>
    </row>
    <row r="1781" ht="15" customHeight="1" s="78">
      <c r="A1781" s="95">
        <f>IF($H1781="","",ROW()-6)</f>
        <v/>
      </c>
      <c r="B1781" s="114" t="n"/>
      <c r="C1781" s="102" t="n"/>
      <c r="D1781" s="114" t="n"/>
      <c r="E1781" s="103" t="n"/>
      <c r="F1781" s="102" t="n"/>
      <c r="G1781" s="102" t="n"/>
      <c r="H1781" s="115" t="n"/>
      <c r="I1781" s="102" t="n"/>
      <c r="J1781" s="102" t="n"/>
      <c r="K1781" s="103" t="n"/>
      <c r="L1781" s="116">
        <f>IF($H1781="","",TRIM(IF(COUNTIF(DMTK!$A$7:$A$250,$F1781)=0,"TK Nợ sai! ","")&amp;IF(COUNTIF(DMTK!$A$7:$A$250,$G1781)=0,"TK Có sai! ","")&amp;IF(N($H1781)&lt;=0,"Tiền phải &gt; 0! ","")&amp;IF($B1781="","Thiếu ngày! ","")&amp;IF(AND(OR(LEFT($F1781,3)="131",LEFT($G1781,3)="131",LEFT($F1781,3)="331",LEFT($G1781,3)="331"),$I1781=""),"Thiếu Mã ĐT! ","")&amp;IF(AND($I1781&lt;&gt;"",COUNTIF(DM_DT!$A$7:$A$306,$I1781)=0),"Mã ĐT chưa khai báo! ","")))</f>
        <v/>
      </c>
      <c r="M1781" s="117">
        <f>IF($H1781="","",IF(AND(OR(LEFT($F1781,3)="111",LEFT($F1781,3)="112",LEFT($F1781,3)="113"),OR(LEFT($G1781,3)="111",LEFT($G1781,3)="112",LEFT($G1781,3)="113")),"NB",IF(OR(LEFT($F1781,3)="111",LEFT($F1781,3)="112",LEFT($F1781,3)="113"),"THU",IF(OR(LEFT($G1781,3)="111",LEFT($G1781,3)="112",LEFT($G1781,3)="113"),"CHI",""))))</f>
        <v/>
      </c>
      <c r="N1781" s="117">
        <f>IF($M1781="THU",$G1781,IF($M1781="CHI",$F1781,""))</f>
        <v/>
      </c>
      <c r="O1781" s="117">
        <f>IF(OR($M1781="",$M1781="NB"),"",IF($J1781&lt;&gt;"",TEXT($J1781,"00"),IFERROR(VLOOKUP(LEFT($N1781,4),LCTT_MAP!$A$7:$C$66,IF($M1781="THU",2,3),FALSE()),IFERROR(VLOOKUP(LEFT($N1781,3),LCTT_MAP!$A$7:$C$66,IF($M1781="THU",2,3),FALSE()),IFERROR(VLOOKUP(LEFT($N1781,2),LCTT_MAP!$A$7:$C$66,IF($M1781="THU",2,3),FALSE()),IFERROR(VLOOKUP(LEFT($N1781,1),LCTT_MAP!$A$7:$C$66,IF($M1781="THU",2,3),FALSE()),IF($M1781="THU","06","07")))))))</f>
        <v/>
      </c>
      <c r="P1781" s="117">
        <f>P1780+IF(AND($H1781&lt;&gt;"",OR(LEFT($F1781,LEN(SC_TK))=SC_TK,LEFT($G1781,LEN(SC_TK))=SC_TK)),1,0)</f>
        <v/>
      </c>
    </row>
    <row r="1782" ht="15" customHeight="1" s="78">
      <c r="A1782" s="95">
        <f>IF($H1782="","",ROW()-6)</f>
        <v/>
      </c>
      <c r="B1782" s="114" t="n"/>
      <c r="C1782" s="102" t="n"/>
      <c r="D1782" s="114" t="n"/>
      <c r="E1782" s="103" t="n"/>
      <c r="F1782" s="102" t="n"/>
      <c r="G1782" s="102" t="n"/>
      <c r="H1782" s="115" t="n"/>
      <c r="I1782" s="102" t="n"/>
      <c r="J1782" s="102" t="n"/>
      <c r="K1782" s="103" t="n"/>
      <c r="L1782" s="116">
        <f>IF($H1782="","",TRIM(IF(COUNTIF(DMTK!$A$7:$A$250,$F1782)=0,"TK Nợ sai! ","")&amp;IF(COUNTIF(DMTK!$A$7:$A$250,$G1782)=0,"TK Có sai! ","")&amp;IF(N($H1782)&lt;=0,"Tiền phải &gt; 0! ","")&amp;IF($B1782="","Thiếu ngày! ","")&amp;IF(AND(OR(LEFT($F1782,3)="131",LEFT($G1782,3)="131",LEFT($F1782,3)="331",LEFT($G1782,3)="331"),$I1782=""),"Thiếu Mã ĐT! ","")&amp;IF(AND($I1782&lt;&gt;"",COUNTIF(DM_DT!$A$7:$A$306,$I1782)=0),"Mã ĐT chưa khai báo! ","")))</f>
        <v/>
      </c>
      <c r="M1782" s="117">
        <f>IF($H1782="","",IF(AND(OR(LEFT($F1782,3)="111",LEFT($F1782,3)="112",LEFT($F1782,3)="113"),OR(LEFT($G1782,3)="111",LEFT($G1782,3)="112",LEFT($G1782,3)="113")),"NB",IF(OR(LEFT($F1782,3)="111",LEFT($F1782,3)="112",LEFT($F1782,3)="113"),"THU",IF(OR(LEFT($G1782,3)="111",LEFT($G1782,3)="112",LEFT($G1782,3)="113"),"CHI",""))))</f>
        <v/>
      </c>
      <c r="N1782" s="117">
        <f>IF($M1782="THU",$G1782,IF($M1782="CHI",$F1782,""))</f>
        <v/>
      </c>
      <c r="O1782" s="117">
        <f>IF(OR($M1782="",$M1782="NB"),"",IF($J1782&lt;&gt;"",TEXT($J1782,"00"),IFERROR(VLOOKUP(LEFT($N1782,4),LCTT_MAP!$A$7:$C$66,IF($M1782="THU",2,3),FALSE()),IFERROR(VLOOKUP(LEFT($N1782,3),LCTT_MAP!$A$7:$C$66,IF($M1782="THU",2,3),FALSE()),IFERROR(VLOOKUP(LEFT($N1782,2),LCTT_MAP!$A$7:$C$66,IF($M1782="THU",2,3),FALSE()),IFERROR(VLOOKUP(LEFT($N1782,1),LCTT_MAP!$A$7:$C$66,IF($M1782="THU",2,3),FALSE()),IF($M1782="THU","06","07")))))))</f>
        <v/>
      </c>
      <c r="P1782" s="117">
        <f>P1781+IF(AND($H1782&lt;&gt;"",OR(LEFT($F1782,LEN(SC_TK))=SC_TK,LEFT($G1782,LEN(SC_TK))=SC_TK)),1,0)</f>
        <v/>
      </c>
    </row>
    <row r="1783" ht="15" customHeight="1" s="78">
      <c r="A1783" s="95">
        <f>IF($H1783="","",ROW()-6)</f>
        <v/>
      </c>
      <c r="B1783" s="114" t="n"/>
      <c r="C1783" s="102" t="n"/>
      <c r="D1783" s="114" t="n"/>
      <c r="E1783" s="103" t="n"/>
      <c r="F1783" s="102" t="n"/>
      <c r="G1783" s="102" t="n"/>
      <c r="H1783" s="115" t="n"/>
      <c r="I1783" s="102" t="n"/>
      <c r="J1783" s="102" t="n"/>
      <c r="K1783" s="103" t="n"/>
      <c r="L1783" s="116">
        <f>IF($H1783="","",TRIM(IF(COUNTIF(DMTK!$A$7:$A$250,$F1783)=0,"TK Nợ sai! ","")&amp;IF(COUNTIF(DMTK!$A$7:$A$250,$G1783)=0,"TK Có sai! ","")&amp;IF(N($H1783)&lt;=0,"Tiền phải &gt; 0! ","")&amp;IF($B1783="","Thiếu ngày! ","")&amp;IF(AND(OR(LEFT($F1783,3)="131",LEFT($G1783,3)="131",LEFT($F1783,3)="331",LEFT($G1783,3)="331"),$I1783=""),"Thiếu Mã ĐT! ","")&amp;IF(AND($I1783&lt;&gt;"",COUNTIF(DM_DT!$A$7:$A$306,$I1783)=0),"Mã ĐT chưa khai báo! ","")))</f>
        <v/>
      </c>
      <c r="M1783" s="117">
        <f>IF($H1783="","",IF(AND(OR(LEFT($F1783,3)="111",LEFT($F1783,3)="112",LEFT($F1783,3)="113"),OR(LEFT($G1783,3)="111",LEFT($G1783,3)="112",LEFT($G1783,3)="113")),"NB",IF(OR(LEFT($F1783,3)="111",LEFT($F1783,3)="112",LEFT($F1783,3)="113"),"THU",IF(OR(LEFT($G1783,3)="111",LEFT($G1783,3)="112",LEFT($G1783,3)="113"),"CHI",""))))</f>
        <v/>
      </c>
      <c r="N1783" s="117">
        <f>IF($M1783="THU",$G1783,IF($M1783="CHI",$F1783,""))</f>
        <v/>
      </c>
      <c r="O1783" s="117">
        <f>IF(OR($M1783="",$M1783="NB"),"",IF($J1783&lt;&gt;"",TEXT($J1783,"00"),IFERROR(VLOOKUP(LEFT($N1783,4),LCTT_MAP!$A$7:$C$66,IF($M1783="THU",2,3),FALSE()),IFERROR(VLOOKUP(LEFT($N1783,3),LCTT_MAP!$A$7:$C$66,IF($M1783="THU",2,3),FALSE()),IFERROR(VLOOKUP(LEFT($N1783,2),LCTT_MAP!$A$7:$C$66,IF($M1783="THU",2,3),FALSE()),IFERROR(VLOOKUP(LEFT($N1783,1),LCTT_MAP!$A$7:$C$66,IF($M1783="THU",2,3),FALSE()),IF($M1783="THU","06","07")))))))</f>
        <v/>
      </c>
      <c r="P1783" s="117">
        <f>P1782+IF(AND($H1783&lt;&gt;"",OR(LEFT($F1783,LEN(SC_TK))=SC_TK,LEFT($G1783,LEN(SC_TK))=SC_TK)),1,0)</f>
        <v/>
      </c>
    </row>
    <row r="1784" ht="15" customHeight="1" s="78">
      <c r="A1784" s="95">
        <f>IF($H1784="","",ROW()-6)</f>
        <v/>
      </c>
      <c r="B1784" s="114" t="n"/>
      <c r="C1784" s="102" t="n"/>
      <c r="D1784" s="114" t="n"/>
      <c r="E1784" s="103" t="n"/>
      <c r="F1784" s="102" t="n"/>
      <c r="G1784" s="102" t="n"/>
      <c r="H1784" s="115" t="n"/>
      <c r="I1784" s="102" t="n"/>
      <c r="J1784" s="102" t="n"/>
      <c r="K1784" s="103" t="n"/>
      <c r="L1784" s="116">
        <f>IF($H1784="","",TRIM(IF(COUNTIF(DMTK!$A$7:$A$250,$F1784)=0,"TK Nợ sai! ","")&amp;IF(COUNTIF(DMTK!$A$7:$A$250,$G1784)=0,"TK Có sai! ","")&amp;IF(N($H1784)&lt;=0,"Tiền phải &gt; 0! ","")&amp;IF($B1784="","Thiếu ngày! ","")&amp;IF(AND(OR(LEFT($F1784,3)="131",LEFT($G1784,3)="131",LEFT($F1784,3)="331",LEFT($G1784,3)="331"),$I1784=""),"Thiếu Mã ĐT! ","")&amp;IF(AND($I1784&lt;&gt;"",COUNTIF(DM_DT!$A$7:$A$306,$I1784)=0),"Mã ĐT chưa khai báo! ","")))</f>
        <v/>
      </c>
      <c r="M1784" s="117">
        <f>IF($H1784="","",IF(AND(OR(LEFT($F1784,3)="111",LEFT($F1784,3)="112",LEFT($F1784,3)="113"),OR(LEFT($G1784,3)="111",LEFT($G1784,3)="112",LEFT($G1784,3)="113")),"NB",IF(OR(LEFT($F1784,3)="111",LEFT($F1784,3)="112",LEFT($F1784,3)="113"),"THU",IF(OR(LEFT($G1784,3)="111",LEFT($G1784,3)="112",LEFT($G1784,3)="113"),"CHI",""))))</f>
        <v/>
      </c>
      <c r="N1784" s="117">
        <f>IF($M1784="THU",$G1784,IF($M1784="CHI",$F1784,""))</f>
        <v/>
      </c>
      <c r="O1784" s="117">
        <f>IF(OR($M1784="",$M1784="NB"),"",IF($J1784&lt;&gt;"",TEXT($J1784,"00"),IFERROR(VLOOKUP(LEFT($N1784,4),LCTT_MAP!$A$7:$C$66,IF($M1784="THU",2,3),FALSE()),IFERROR(VLOOKUP(LEFT($N1784,3),LCTT_MAP!$A$7:$C$66,IF($M1784="THU",2,3),FALSE()),IFERROR(VLOOKUP(LEFT($N1784,2),LCTT_MAP!$A$7:$C$66,IF($M1784="THU",2,3),FALSE()),IFERROR(VLOOKUP(LEFT($N1784,1),LCTT_MAP!$A$7:$C$66,IF($M1784="THU",2,3),FALSE()),IF($M1784="THU","06","07")))))))</f>
        <v/>
      </c>
      <c r="P1784" s="117">
        <f>P1783+IF(AND($H1784&lt;&gt;"",OR(LEFT($F1784,LEN(SC_TK))=SC_TK,LEFT($G1784,LEN(SC_TK))=SC_TK)),1,0)</f>
        <v/>
      </c>
    </row>
    <row r="1785" ht="15" customHeight="1" s="78">
      <c r="A1785" s="95">
        <f>IF($H1785="","",ROW()-6)</f>
        <v/>
      </c>
      <c r="B1785" s="114" t="n"/>
      <c r="C1785" s="102" t="n"/>
      <c r="D1785" s="114" t="n"/>
      <c r="E1785" s="103" t="n"/>
      <c r="F1785" s="102" t="n"/>
      <c r="G1785" s="102" t="n"/>
      <c r="H1785" s="115" t="n"/>
      <c r="I1785" s="102" t="n"/>
      <c r="J1785" s="102" t="n"/>
      <c r="K1785" s="103" t="n"/>
      <c r="L1785" s="116">
        <f>IF($H1785="","",TRIM(IF(COUNTIF(DMTK!$A$7:$A$250,$F1785)=0,"TK Nợ sai! ","")&amp;IF(COUNTIF(DMTK!$A$7:$A$250,$G1785)=0,"TK Có sai! ","")&amp;IF(N($H1785)&lt;=0,"Tiền phải &gt; 0! ","")&amp;IF($B1785="","Thiếu ngày! ","")&amp;IF(AND(OR(LEFT($F1785,3)="131",LEFT($G1785,3)="131",LEFT($F1785,3)="331",LEFT($G1785,3)="331"),$I1785=""),"Thiếu Mã ĐT! ","")&amp;IF(AND($I1785&lt;&gt;"",COUNTIF(DM_DT!$A$7:$A$306,$I1785)=0),"Mã ĐT chưa khai báo! ","")))</f>
        <v/>
      </c>
      <c r="M1785" s="117">
        <f>IF($H1785="","",IF(AND(OR(LEFT($F1785,3)="111",LEFT($F1785,3)="112",LEFT($F1785,3)="113"),OR(LEFT($G1785,3)="111",LEFT($G1785,3)="112",LEFT($G1785,3)="113")),"NB",IF(OR(LEFT($F1785,3)="111",LEFT($F1785,3)="112",LEFT($F1785,3)="113"),"THU",IF(OR(LEFT($G1785,3)="111",LEFT($G1785,3)="112",LEFT($G1785,3)="113"),"CHI",""))))</f>
        <v/>
      </c>
      <c r="N1785" s="117">
        <f>IF($M1785="THU",$G1785,IF($M1785="CHI",$F1785,""))</f>
        <v/>
      </c>
      <c r="O1785" s="117">
        <f>IF(OR($M1785="",$M1785="NB"),"",IF($J1785&lt;&gt;"",TEXT($J1785,"00"),IFERROR(VLOOKUP(LEFT($N1785,4),LCTT_MAP!$A$7:$C$66,IF($M1785="THU",2,3),FALSE()),IFERROR(VLOOKUP(LEFT($N1785,3),LCTT_MAP!$A$7:$C$66,IF($M1785="THU",2,3),FALSE()),IFERROR(VLOOKUP(LEFT($N1785,2),LCTT_MAP!$A$7:$C$66,IF($M1785="THU",2,3),FALSE()),IFERROR(VLOOKUP(LEFT($N1785,1),LCTT_MAP!$A$7:$C$66,IF($M1785="THU",2,3),FALSE()),IF($M1785="THU","06","07")))))))</f>
        <v/>
      </c>
      <c r="P1785" s="117">
        <f>P1784+IF(AND($H1785&lt;&gt;"",OR(LEFT($F1785,LEN(SC_TK))=SC_TK,LEFT($G1785,LEN(SC_TK))=SC_TK)),1,0)</f>
        <v/>
      </c>
    </row>
    <row r="1786" ht="15" customHeight="1" s="78">
      <c r="A1786" s="95">
        <f>IF($H1786="","",ROW()-6)</f>
        <v/>
      </c>
      <c r="B1786" s="114" t="n"/>
      <c r="C1786" s="102" t="n"/>
      <c r="D1786" s="114" t="n"/>
      <c r="E1786" s="103" t="n"/>
      <c r="F1786" s="102" t="n"/>
      <c r="G1786" s="102" t="n"/>
      <c r="H1786" s="115" t="n"/>
      <c r="I1786" s="102" t="n"/>
      <c r="J1786" s="102" t="n"/>
      <c r="K1786" s="103" t="n"/>
      <c r="L1786" s="116">
        <f>IF($H1786="","",TRIM(IF(COUNTIF(DMTK!$A$7:$A$250,$F1786)=0,"TK Nợ sai! ","")&amp;IF(COUNTIF(DMTK!$A$7:$A$250,$G1786)=0,"TK Có sai! ","")&amp;IF(N($H1786)&lt;=0,"Tiền phải &gt; 0! ","")&amp;IF($B1786="","Thiếu ngày! ","")&amp;IF(AND(OR(LEFT($F1786,3)="131",LEFT($G1786,3)="131",LEFT($F1786,3)="331",LEFT($G1786,3)="331"),$I1786=""),"Thiếu Mã ĐT! ","")&amp;IF(AND($I1786&lt;&gt;"",COUNTIF(DM_DT!$A$7:$A$306,$I1786)=0),"Mã ĐT chưa khai báo! ","")))</f>
        <v/>
      </c>
      <c r="M1786" s="117">
        <f>IF($H1786="","",IF(AND(OR(LEFT($F1786,3)="111",LEFT($F1786,3)="112",LEFT($F1786,3)="113"),OR(LEFT($G1786,3)="111",LEFT($G1786,3)="112",LEFT($G1786,3)="113")),"NB",IF(OR(LEFT($F1786,3)="111",LEFT($F1786,3)="112",LEFT($F1786,3)="113"),"THU",IF(OR(LEFT($G1786,3)="111",LEFT($G1786,3)="112",LEFT($G1786,3)="113"),"CHI",""))))</f>
        <v/>
      </c>
      <c r="N1786" s="117">
        <f>IF($M1786="THU",$G1786,IF($M1786="CHI",$F1786,""))</f>
        <v/>
      </c>
      <c r="O1786" s="117">
        <f>IF(OR($M1786="",$M1786="NB"),"",IF($J1786&lt;&gt;"",TEXT($J1786,"00"),IFERROR(VLOOKUP(LEFT($N1786,4),LCTT_MAP!$A$7:$C$66,IF($M1786="THU",2,3),FALSE()),IFERROR(VLOOKUP(LEFT($N1786,3),LCTT_MAP!$A$7:$C$66,IF($M1786="THU",2,3),FALSE()),IFERROR(VLOOKUP(LEFT($N1786,2),LCTT_MAP!$A$7:$C$66,IF($M1786="THU",2,3),FALSE()),IFERROR(VLOOKUP(LEFT($N1786,1),LCTT_MAP!$A$7:$C$66,IF($M1786="THU",2,3),FALSE()),IF($M1786="THU","06","07")))))))</f>
        <v/>
      </c>
      <c r="P1786" s="117">
        <f>P1785+IF(AND($H1786&lt;&gt;"",OR(LEFT($F1786,LEN(SC_TK))=SC_TK,LEFT($G1786,LEN(SC_TK))=SC_TK)),1,0)</f>
        <v/>
      </c>
    </row>
    <row r="1787" ht="15" customHeight="1" s="78">
      <c r="A1787" s="95">
        <f>IF($H1787="","",ROW()-6)</f>
        <v/>
      </c>
      <c r="B1787" s="114" t="n"/>
      <c r="C1787" s="102" t="n"/>
      <c r="D1787" s="114" t="n"/>
      <c r="E1787" s="103" t="n"/>
      <c r="F1787" s="102" t="n"/>
      <c r="G1787" s="102" t="n"/>
      <c r="H1787" s="115" t="n"/>
      <c r="I1787" s="102" t="n"/>
      <c r="J1787" s="102" t="n"/>
      <c r="K1787" s="103" t="n"/>
      <c r="L1787" s="116">
        <f>IF($H1787="","",TRIM(IF(COUNTIF(DMTK!$A$7:$A$250,$F1787)=0,"TK Nợ sai! ","")&amp;IF(COUNTIF(DMTK!$A$7:$A$250,$G1787)=0,"TK Có sai! ","")&amp;IF(N($H1787)&lt;=0,"Tiền phải &gt; 0! ","")&amp;IF($B1787="","Thiếu ngày! ","")&amp;IF(AND(OR(LEFT($F1787,3)="131",LEFT($G1787,3)="131",LEFT($F1787,3)="331",LEFT($G1787,3)="331"),$I1787=""),"Thiếu Mã ĐT! ","")&amp;IF(AND($I1787&lt;&gt;"",COUNTIF(DM_DT!$A$7:$A$306,$I1787)=0),"Mã ĐT chưa khai báo! ","")))</f>
        <v/>
      </c>
      <c r="M1787" s="117">
        <f>IF($H1787="","",IF(AND(OR(LEFT($F1787,3)="111",LEFT($F1787,3)="112",LEFT($F1787,3)="113"),OR(LEFT($G1787,3)="111",LEFT($G1787,3)="112",LEFT($G1787,3)="113")),"NB",IF(OR(LEFT($F1787,3)="111",LEFT($F1787,3)="112",LEFT($F1787,3)="113"),"THU",IF(OR(LEFT($G1787,3)="111",LEFT($G1787,3)="112",LEFT($G1787,3)="113"),"CHI",""))))</f>
        <v/>
      </c>
      <c r="N1787" s="117">
        <f>IF($M1787="THU",$G1787,IF($M1787="CHI",$F1787,""))</f>
        <v/>
      </c>
      <c r="O1787" s="117">
        <f>IF(OR($M1787="",$M1787="NB"),"",IF($J1787&lt;&gt;"",TEXT($J1787,"00"),IFERROR(VLOOKUP(LEFT($N1787,4),LCTT_MAP!$A$7:$C$66,IF($M1787="THU",2,3),FALSE()),IFERROR(VLOOKUP(LEFT($N1787,3),LCTT_MAP!$A$7:$C$66,IF($M1787="THU",2,3),FALSE()),IFERROR(VLOOKUP(LEFT($N1787,2),LCTT_MAP!$A$7:$C$66,IF($M1787="THU",2,3),FALSE()),IFERROR(VLOOKUP(LEFT($N1787,1),LCTT_MAP!$A$7:$C$66,IF($M1787="THU",2,3),FALSE()),IF($M1787="THU","06","07")))))))</f>
        <v/>
      </c>
      <c r="P1787" s="117">
        <f>P1786+IF(AND($H1787&lt;&gt;"",OR(LEFT($F1787,LEN(SC_TK))=SC_TK,LEFT($G1787,LEN(SC_TK))=SC_TK)),1,0)</f>
        <v/>
      </c>
    </row>
    <row r="1788" ht="15" customHeight="1" s="78">
      <c r="A1788" s="95">
        <f>IF($H1788="","",ROW()-6)</f>
        <v/>
      </c>
      <c r="B1788" s="114" t="n"/>
      <c r="C1788" s="102" t="n"/>
      <c r="D1788" s="114" t="n"/>
      <c r="E1788" s="103" t="n"/>
      <c r="F1788" s="102" t="n"/>
      <c r="G1788" s="102" t="n"/>
      <c r="H1788" s="115" t="n"/>
      <c r="I1788" s="102" t="n"/>
      <c r="J1788" s="102" t="n"/>
      <c r="K1788" s="103" t="n"/>
      <c r="L1788" s="116">
        <f>IF($H1788="","",TRIM(IF(COUNTIF(DMTK!$A$7:$A$250,$F1788)=0,"TK Nợ sai! ","")&amp;IF(COUNTIF(DMTK!$A$7:$A$250,$G1788)=0,"TK Có sai! ","")&amp;IF(N($H1788)&lt;=0,"Tiền phải &gt; 0! ","")&amp;IF($B1788="","Thiếu ngày! ","")&amp;IF(AND(OR(LEFT($F1788,3)="131",LEFT($G1788,3)="131",LEFT($F1788,3)="331",LEFT($G1788,3)="331"),$I1788=""),"Thiếu Mã ĐT! ","")&amp;IF(AND($I1788&lt;&gt;"",COUNTIF(DM_DT!$A$7:$A$306,$I1788)=0),"Mã ĐT chưa khai báo! ","")))</f>
        <v/>
      </c>
      <c r="M1788" s="117">
        <f>IF($H1788="","",IF(AND(OR(LEFT($F1788,3)="111",LEFT($F1788,3)="112",LEFT($F1788,3)="113"),OR(LEFT($G1788,3)="111",LEFT($G1788,3)="112",LEFT($G1788,3)="113")),"NB",IF(OR(LEFT($F1788,3)="111",LEFT($F1788,3)="112",LEFT($F1788,3)="113"),"THU",IF(OR(LEFT($G1788,3)="111",LEFT($G1788,3)="112",LEFT($G1788,3)="113"),"CHI",""))))</f>
        <v/>
      </c>
      <c r="N1788" s="117">
        <f>IF($M1788="THU",$G1788,IF($M1788="CHI",$F1788,""))</f>
        <v/>
      </c>
      <c r="O1788" s="117">
        <f>IF(OR($M1788="",$M1788="NB"),"",IF($J1788&lt;&gt;"",TEXT($J1788,"00"),IFERROR(VLOOKUP(LEFT($N1788,4),LCTT_MAP!$A$7:$C$66,IF($M1788="THU",2,3),FALSE()),IFERROR(VLOOKUP(LEFT($N1788,3),LCTT_MAP!$A$7:$C$66,IF($M1788="THU",2,3),FALSE()),IFERROR(VLOOKUP(LEFT($N1788,2),LCTT_MAP!$A$7:$C$66,IF($M1788="THU",2,3),FALSE()),IFERROR(VLOOKUP(LEFT($N1788,1),LCTT_MAP!$A$7:$C$66,IF($M1788="THU",2,3),FALSE()),IF($M1788="THU","06","07")))))))</f>
        <v/>
      </c>
      <c r="P1788" s="117">
        <f>P1787+IF(AND($H1788&lt;&gt;"",OR(LEFT($F1788,LEN(SC_TK))=SC_TK,LEFT($G1788,LEN(SC_TK))=SC_TK)),1,0)</f>
        <v/>
      </c>
    </row>
    <row r="1789" ht="15" customHeight="1" s="78">
      <c r="A1789" s="95">
        <f>IF($H1789="","",ROW()-6)</f>
        <v/>
      </c>
      <c r="B1789" s="114" t="n"/>
      <c r="C1789" s="102" t="n"/>
      <c r="D1789" s="114" t="n"/>
      <c r="E1789" s="103" t="n"/>
      <c r="F1789" s="102" t="n"/>
      <c r="G1789" s="102" t="n"/>
      <c r="H1789" s="115" t="n"/>
      <c r="I1789" s="102" t="n"/>
      <c r="J1789" s="102" t="n"/>
      <c r="K1789" s="103" t="n"/>
      <c r="L1789" s="116">
        <f>IF($H1789="","",TRIM(IF(COUNTIF(DMTK!$A$7:$A$250,$F1789)=0,"TK Nợ sai! ","")&amp;IF(COUNTIF(DMTK!$A$7:$A$250,$G1789)=0,"TK Có sai! ","")&amp;IF(N($H1789)&lt;=0,"Tiền phải &gt; 0! ","")&amp;IF($B1789="","Thiếu ngày! ","")&amp;IF(AND(OR(LEFT($F1789,3)="131",LEFT($G1789,3)="131",LEFT($F1789,3)="331",LEFT($G1789,3)="331"),$I1789=""),"Thiếu Mã ĐT! ","")&amp;IF(AND($I1789&lt;&gt;"",COUNTIF(DM_DT!$A$7:$A$306,$I1789)=0),"Mã ĐT chưa khai báo! ","")))</f>
        <v/>
      </c>
      <c r="M1789" s="117">
        <f>IF($H1789="","",IF(AND(OR(LEFT($F1789,3)="111",LEFT($F1789,3)="112",LEFT($F1789,3)="113"),OR(LEFT($G1789,3)="111",LEFT($G1789,3)="112",LEFT($G1789,3)="113")),"NB",IF(OR(LEFT($F1789,3)="111",LEFT($F1789,3)="112",LEFT($F1789,3)="113"),"THU",IF(OR(LEFT($G1789,3)="111",LEFT($G1789,3)="112",LEFT($G1789,3)="113"),"CHI",""))))</f>
        <v/>
      </c>
      <c r="N1789" s="117">
        <f>IF($M1789="THU",$G1789,IF($M1789="CHI",$F1789,""))</f>
        <v/>
      </c>
      <c r="O1789" s="117">
        <f>IF(OR($M1789="",$M1789="NB"),"",IF($J1789&lt;&gt;"",TEXT($J1789,"00"),IFERROR(VLOOKUP(LEFT($N1789,4),LCTT_MAP!$A$7:$C$66,IF($M1789="THU",2,3),FALSE()),IFERROR(VLOOKUP(LEFT($N1789,3),LCTT_MAP!$A$7:$C$66,IF($M1789="THU",2,3),FALSE()),IFERROR(VLOOKUP(LEFT($N1789,2),LCTT_MAP!$A$7:$C$66,IF($M1789="THU",2,3),FALSE()),IFERROR(VLOOKUP(LEFT($N1789,1),LCTT_MAP!$A$7:$C$66,IF($M1789="THU",2,3),FALSE()),IF($M1789="THU","06","07")))))))</f>
        <v/>
      </c>
      <c r="P1789" s="117">
        <f>P1788+IF(AND($H1789&lt;&gt;"",OR(LEFT($F1789,LEN(SC_TK))=SC_TK,LEFT($G1789,LEN(SC_TK))=SC_TK)),1,0)</f>
        <v/>
      </c>
    </row>
    <row r="1790" ht="15" customHeight="1" s="78">
      <c r="A1790" s="95">
        <f>IF($H1790="","",ROW()-6)</f>
        <v/>
      </c>
      <c r="B1790" s="114" t="n"/>
      <c r="C1790" s="102" t="n"/>
      <c r="D1790" s="114" t="n"/>
      <c r="E1790" s="103" t="n"/>
      <c r="F1790" s="102" t="n"/>
      <c r="G1790" s="102" t="n"/>
      <c r="H1790" s="115" t="n"/>
      <c r="I1790" s="102" t="n"/>
      <c r="J1790" s="102" t="n"/>
      <c r="K1790" s="103" t="n"/>
      <c r="L1790" s="116">
        <f>IF($H1790="","",TRIM(IF(COUNTIF(DMTK!$A$7:$A$250,$F1790)=0,"TK Nợ sai! ","")&amp;IF(COUNTIF(DMTK!$A$7:$A$250,$G1790)=0,"TK Có sai! ","")&amp;IF(N($H1790)&lt;=0,"Tiền phải &gt; 0! ","")&amp;IF($B1790="","Thiếu ngày! ","")&amp;IF(AND(OR(LEFT($F1790,3)="131",LEFT($G1790,3)="131",LEFT($F1790,3)="331",LEFT($G1790,3)="331"),$I1790=""),"Thiếu Mã ĐT! ","")&amp;IF(AND($I1790&lt;&gt;"",COUNTIF(DM_DT!$A$7:$A$306,$I1790)=0),"Mã ĐT chưa khai báo! ","")))</f>
        <v/>
      </c>
      <c r="M1790" s="117">
        <f>IF($H1790="","",IF(AND(OR(LEFT($F1790,3)="111",LEFT($F1790,3)="112",LEFT($F1790,3)="113"),OR(LEFT($G1790,3)="111",LEFT($G1790,3)="112",LEFT($G1790,3)="113")),"NB",IF(OR(LEFT($F1790,3)="111",LEFT($F1790,3)="112",LEFT($F1790,3)="113"),"THU",IF(OR(LEFT($G1790,3)="111",LEFT($G1790,3)="112",LEFT($G1790,3)="113"),"CHI",""))))</f>
        <v/>
      </c>
      <c r="N1790" s="117">
        <f>IF($M1790="THU",$G1790,IF($M1790="CHI",$F1790,""))</f>
        <v/>
      </c>
      <c r="O1790" s="117">
        <f>IF(OR($M1790="",$M1790="NB"),"",IF($J1790&lt;&gt;"",TEXT($J1790,"00"),IFERROR(VLOOKUP(LEFT($N1790,4),LCTT_MAP!$A$7:$C$66,IF($M1790="THU",2,3),FALSE()),IFERROR(VLOOKUP(LEFT($N1790,3),LCTT_MAP!$A$7:$C$66,IF($M1790="THU",2,3),FALSE()),IFERROR(VLOOKUP(LEFT($N1790,2),LCTT_MAP!$A$7:$C$66,IF($M1790="THU",2,3),FALSE()),IFERROR(VLOOKUP(LEFT($N1790,1),LCTT_MAP!$A$7:$C$66,IF($M1790="THU",2,3),FALSE()),IF($M1790="THU","06","07")))))))</f>
        <v/>
      </c>
      <c r="P1790" s="117">
        <f>P1789+IF(AND($H1790&lt;&gt;"",OR(LEFT($F1790,LEN(SC_TK))=SC_TK,LEFT($G1790,LEN(SC_TK))=SC_TK)),1,0)</f>
        <v/>
      </c>
    </row>
    <row r="1791" ht="15" customHeight="1" s="78">
      <c r="A1791" s="95">
        <f>IF($H1791="","",ROW()-6)</f>
        <v/>
      </c>
      <c r="B1791" s="114" t="n"/>
      <c r="C1791" s="102" t="n"/>
      <c r="D1791" s="114" t="n"/>
      <c r="E1791" s="103" t="n"/>
      <c r="F1791" s="102" t="n"/>
      <c r="G1791" s="102" t="n"/>
      <c r="H1791" s="115" t="n"/>
      <c r="I1791" s="102" t="n"/>
      <c r="J1791" s="102" t="n"/>
      <c r="K1791" s="103" t="n"/>
      <c r="L1791" s="116">
        <f>IF($H1791="","",TRIM(IF(COUNTIF(DMTK!$A$7:$A$250,$F1791)=0,"TK Nợ sai! ","")&amp;IF(COUNTIF(DMTK!$A$7:$A$250,$G1791)=0,"TK Có sai! ","")&amp;IF(N($H1791)&lt;=0,"Tiền phải &gt; 0! ","")&amp;IF($B1791="","Thiếu ngày! ","")&amp;IF(AND(OR(LEFT($F1791,3)="131",LEFT($G1791,3)="131",LEFT($F1791,3)="331",LEFT($G1791,3)="331"),$I1791=""),"Thiếu Mã ĐT! ","")&amp;IF(AND($I1791&lt;&gt;"",COUNTIF(DM_DT!$A$7:$A$306,$I1791)=0),"Mã ĐT chưa khai báo! ","")))</f>
        <v/>
      </c>
      <c r="M1791" s="117">
        <f>IF($H1791="","",IF(AND(OR(LEFT($F1791,3)="111",LEFT($F1791,3)="112",LEFT($F1791,3)="113"),OR(LEFT($G1791,3)="111",LEFT($G1791,3)="112",LEFT($G1791,3)="113")),"NB",IF(OR(LEFT($F1791,3)="111",LEFT($F1791,3)="112",LEFT($F1791,3)="113"),"THU",IF(OR(LEFT($G1791,3)="111",LEFT($G1791,3)="112",LEFT($G1791,3)="113"),"CHI",""))))</f>
        <v/>
      </c>
      <c r="N1791" s="117">
        <f>IF($M1791="THU",$G1791,IF($M1791="CHI",$F1791,""))</f>
        <v/>
      </c>
      <c r="O1791" s="117">
        <f>IF(OR($M1791="",$M1791="NB"),"",IF($J1791&lt;&gt;"",TEXT($J1791,"00"),IFERROR(VLOOKUP(LEFT($N1791,4),LCTT_MAP!$A$7:$C$66,IF($M1791="THU",2,3),FALSE()),IFERROR(VLOOKUP(LEFT($N1791,3),LCTT_MAP!$A$7:$C$66,IF($M1791="THU",2,3),FALSE()),IFERROR(VLOOKUP(LEFT($N1791,2),LCTT_MAP!$A$7:$C$66,IF($M1791="THU",2,3),FALSE()),IFERROR(VLOOKUP(LEFT($N1791,1),LCTT_MAP!$A$7:$C$66,IF($M1791="THU",2,3),FALSE()),IF($M1791="THU","06","07")))))))</f>
        <v/>
      </c>
      <c r="P1791" s="117">
        <f>P1790+IF(AND($H1791&lt;&gt;"",OR(LEFT($F1791,LEN(SC_TK))=SC_TK,LEFT($G1791,LEN(SC_TK))=SC_TK)),1,0)</f>
        <v/>
      </c>
    </row>
    <row r="1792" ht="15" customHeight="1" s="78">
      <c r="A1792" s="95">
        <f>IF($H1792="","",ROW()-6)</f>
        <v/>
      </c>
      <c r="B1792" s="114" t="n"/>
      <c r="C1792" s="102" t="n"/>
      <c r="D1792" s="114" t="n"/>
      <c r="E1792" s="103" t="n"/>
      <c r="F1792" s="102" t="n"/>
      <c r="G1792" s="102" t="n"/>
      <c r="H1792" s="115" t="n"/>
      <c r="I1792" s="102" t="n"/>
      <c r="J1792" s="102" t="n"/>
      <c r="K1792" s="103" t="n"/>
      <c r="L1792" s="116">
        <f>IF($H1792="","",TRIM(IF(COUNTIF(DMTK!$A$7:$A$250,$F1792)=0,"TK Nợ sai! ","")&amp;IF(COUNTIF(DMTK!$A$7:$A$250,$G1792)=0,"TK Có sai! ","")&amp;IF(N($H1792)&lt;=0,"Tiền phải &gt; 0! ","")&amp;IF($B1792="","Thiếu ngày! ","")&amp;IF(AND(OR(LEFT($F1792,3)="131",LEFT($G1792,3)="131",LEFT($F1792,3)="331",LEFT($G1792,3)="331"),$I1792=""),"Thiếu Mã ĐT! ","")&amp;IF(AND($I1792&lt;&gt;"",COUNTIF(DM_DT!$A$7:$A$306,$I1792)=0),"Mã ĐT chưa khai báo! ","")))</f>
        <v/>
      </c>
      <c r="M1792" s="117">
        <f>IF($H1792="","",IF(AND(OR(LEFT($F1792,3)="111",LEFT($F1792,3)="112",LEFT($F1792,3)="113"),OR(LEFT($G1792,3)="111",LEFT($G1792,3)="112",LEFT($G1792,3)="113")),"NB",IF(OR(LEFT($F1792,3)="111",LEFT($F1792,3)="112",LEFT($F1792,3)="113"),"THU",IF(OR(LEFT($G1792,3)="111",LEFT($G1792,3)="112",LEFT($G1792,3)="113"),"CHI",""))))</f>
        <v/>
      </c>
      <c r="N1792" s="117">
        <f>IF($M1792="THU",$G1792,IF($M1792="CHI",$F1792,""))</f>
        <v/>
      </c>
      <c r="O1792" s="117">
        <f>IF(OR($M1792="",$M1792="NB"),"",IF($J1792&lt;&gt;"",TEXT($J1792,"00"),IFERROR(VLOOKUP(LEFT($N1792,4),LCTT_MAP!$A$7:$C$66,IF($M1792="THU",2,3),FALSE()),IFERROR(VLOOKUP(LEFT($N1792,3),LCTT_MAP!$A$7:$C$66,IF($M1792="THU",2,3),FALSE()),IFERROR(VLOOKUP(LEFT($N1792,2),LCTT_MAP!$A$7:$C$66,IF($M1792="THU",2,3),FALSE()),IFERROR(VLOOKUP(LEFT($N1792,1),LCTT_MAP!$A$7:$C$66,IF($M1792="THU",2,3),FALSE()),IF($M1792="THU","06","07")))))))</f>
        <v/>
      </c>
      <c r="P1792" s="117">
        <f>P1791+IF(AND($H1792&lt;&gt;"",OR(LEFT($F1792,LEN(SC_TK))=SC_TK,LEFT($G1792,LEN(SC_TK))=SC_TK)),1,0)</f>
        <v/>
      </c>
    </row>
    <row r="1793" ht="15" customHeight="1" s="78">
      <c r="A1793" s="95">
        <f>IF($H1793="","",ROW()-6)</f>
        <v/>
      </c>
      <c r="B1793" s="114" t="n"/>
      <c r="C1793" s="102" t="n"/>
      <c r="D1793" s="114" t="n"/>
      <c r="E1793" s="103" t="n"/>
      <c r="F1793" s="102" t="n"/>
      <c r="G1793" s="102" t="n"/>
      <c r="H1793" s="115" t="n"/>
      <c r="I1793" s="102" t="n"/>
      <c r="J1793" s="102" t="n"/>
      <c r="K1793" s="103" t="n"/>
      <c r="L1793" s="116">
        <f>IF($H1793="","",TRIM(IF(COUNTIF(DMTK!$A$7:$A$250,$F1793)=0,"TK Nợ sai! ","")&amp;IF(COUNTIF(DMTK!$A$7:$A$250,$G1793)=0,"TK Có sai! ","")&amp;IF(N($H1793)&lt;=0,"Tiền phải &gt; 0! ","")&amp;IF($B1793="","Thiếu ngày! ","")&amp;IF(AND(OR(LEFT($F1793,3)="131",LEFT($G1793,3)="131",LEFT($F1793,3)="331",LEFT($G1793,3)="331"),$I1793=""),"Thiếu Mã ĐT! ","")&amp;IF(AND($I1793&lt;&gt;"",COUNTIF(DM_DT!$A$7:$A$306,$I1793)=0),"Mã ĐT chưa khai báo! ","")))</f>
        <v/>
      </c>
      <c r="M1793" s="117">
        <f>IF($H1793="","",IF(AND(OR(LEFT($F1793,3)="111",LEFT($F1793,3)="112",LEFT($F1793,3)="113"),OR(LEFT($G1793,3)="111",LEFT($G1793,3)="112",LEFT($G1793,3)="113")),"NB",IF(OR(LEFT($F1793,3)="111",LEFT($F1793,3)="112",LEFT($F1793,3)="113"),"THU",IF(OR(LEFT($G1793,3)="111",LEFT($G1793,3)="112",LEFT($G1793,3)="113"),"CHI",""))))</f>
        <v/>
      </c>
      <c r="N1793" s="117">
        <f>IF($M1793="THU",$G1793,IF($M1793="CHI",$F1793,""))</f>
        <v/>
      </c>
      <c r="O1793" s="117">
        <f>IF(OR($M1793="",$M1793="NB"),"",IF($J1793&lt;&gt;"",TEXT($J1793,"00"),IFERROR(VLOOKUP(LEFT($N1793,4),LCTT_MAP!$A$7:$C$66,IF($M1793="THU",2,3),FALSE()),IFERROR(VLOOKUP(LEFT($N1793,3),LCTT_MAP!$A$7:$C$66,IF($M1793="THU",2,3),FALSE()),IFERROR(VLOOKUP(LEFT($N1793,2),LCTT_MAP!$A$7:$C$66,IF($M1793="THU",2,3),FALSE()),IFERROR(VLOOKUP(LEFT($N1793,1),LCTT_MAP!$A$7:$C$66,IF($M1793="THU",2,3),FALSE()),IF($M1793="THU","06","07")))))))</f>
        <v/>
      </c>
      <c r="P1793" s="117">
        <f>P1792+IF(AND($H1793&lt;&gt;"",OR(LEFT($F1793,LEN(SC_TK))=SC_TK,LEFT($G1793,LEN(SC_TK))=SC_TK)),1,0)</f>
        <v/>
      </c>
    </row>
    <row r="1794" ht="15" customHeight="1" s="78">
      <c r="A1794" s="95">
        <f>IF($H1794="","",ROW()-6)</f>
        <v/>
      </c>
      <c r="B1794" s="114" t="n"/>
      <c r="C1794" s="102" t="n"/>
      <c r="D1794" s="114" t="n"/>
      <c r="E1794" s="103" t="n"/>
      <c r="F1794" s="102" t="n"/>
      <c r="G1794" s="102" t="n"/>
      <c r="H1794" s="115" t="n"/>
      <c r="I1794" s="102" t="n"/>
      <c r="J1794" s="102" t="n"/>
      <c r="K1794" s="103" t="n"/>
      <c r="L1794" s="116">
        <f>IF($H1794="","",TRIM(IF(COUNTIF(DMTK!$A$7:$A$250,$F1794)=0,"TK Nợ sai! ","")&amp;IF(COUNTIF(DMTK!$A$7:$A$250,$G1794)=0,"TK Có sai! ","")&amp;IF(N($H1794)&lt;=0,"Tiền phải &gt; 0! ","")&amp;IF($B1794="","Thiếu ngày! ","")&amp;IF(AND(OR(LEFT($F1794,3)="131",LEFT($G1794,3)="131",LEFT($F1794,3)="331",LEFT($G1794,3)="331"),$I1794=""),"Thiếu Mã ĐT! ","")&amp;IF(AND($I1794&lt;&gt;"",COUNTIF(DM_DT!$A$7:$A$306,$I1794)=0),"Mã ĐT chưa khai báo! ","")))</f>
        <v/>
      </c>
      <c r="M1794" s="117">
        <f>IF($H1794="","",IF(AND(OR(LEFT($F1794,3)="111",LEFT($F1794,3)="112",LEFT($F1794,3)="113"),OR(LEFT($G1794,3)="111",LEFT($G1794,3)="112",LEFT($G1794,3)="113")),"NB",IF(OR(LEFT($F1794,3)="111",LEFT($F1794,3)="112",LEFT($F1794,3)="113"),"THU",IF(OR(LEFT($G1794,3)="111",LEFT($G1794,3)="112",LEFT($G1794,3)="113"),"CHI",""))))</f>
        <v/>
      </c>
      <c r="N1794" s="117">
        <f>IF($M1794="THU",$G1794,IF($M1794="CHI",$F1794,""))</f>
        <v/>
      </c>
      <c r="O1794" s="117">
        <f>IF(OR($M1794="",$M1794="NB"),"",IF($J1794&lt;&gt;"",TEXT($J1794,"00"),IFERROR(VLOOKUP(LEFT($N1794,4),LCTT_MAP!$A$7:$C$66,IF($M1794="THU",2,3),FALSE()),IFERROR(VLOOKUP(LEFT($N1794,3),LCTT_MAP!$A$7:$C$66,IF($M1794="THU",2,3),FALSE()),IFERROR(VLOOKUP(LEFT($N1794,2),LCTT_MAP!$A$7:$C$66,IF($M1794="THU",2,3),FALSE()),IFERROR(VLOOKUP(LEFT($N1794,1),LCTT_MAP!$A$7:$C$66,IF($M1794="THU",2,3),FALSE()),IF($M1794="THU","06","07")))))))</f>
        <v/>
      </c>
      <c r="P1794" s="117">
        <f>P1793+IF(AND($H1794&lt;&gt;"",OR(LEFT($F1794,LEN(SC_TK))=SC_TK,LEFT($G1794,LEN(SC_TK))=SC_TK)),1,0)</f>
        <v/>
      </c>
    </row>
    <row r="1795" ht="15" customHeight="1" s="78">
      <c r="A1795" s="95">
        <f>IF($H1795="","",ROW()-6)</f>
        <v/>
      </c>
      <c r="B1795" s="114" t="n"/>
      <c r="C1795" s="102" t="n"/>
      <c r="D1795" s="114" t="n"/>
      <c r="E1795" s="103" t="n"/>
      <c r="F1795" s="102" t="n"/>
      <c r="G1795" s="102" t="n"/>
      <c r="H1795" s="115" t="n"/>
      <c r="I1795" s="102" t="n"/>
      <c r="J1795" s="102" t="n"/>
      <c r="K1795" s="103" t="n"/>
      <c r="L1795" s="116">
        <f>IF($H1795="","",TRIM(IF(COUNTIF(DMTK!$A$7:$A$250,$F1795)=0,"TK Nợ sai! ","")&amp;IF(COUNTIF(DMTK!$A$7:$A$250,$G1795)=0,"TK Có sai! ","")&amp;IF(N($H1795)&lt;=0,"Tiền phải &gt; 0! ","")&amp;IF($B1795="","Thiếu ngày! ","")&amp;IF(AND(OR(LEFT($F1795,3)="131",LEFT($G1795,3)="131",LEFT($F1795,3)="331",LEFT($G1795,3)="331"),$I1795=""),"Thiếu Mã ĐT! ","")&amp;IF(AND($I1795&lt;&gt;"",COUNTIF(DM_DT!$A$7:$A$306,$I1795)=0),"Mã ĐT chưa khai báo! ","")))</f>
        <v/>
      </c>
      <c r="M1795" s="117">
        <f>IF($H1795="","",IF(AND(OR(LEFT($F1795,3)="111",LEFT($F1795,3)="112",LEFT($F1795,3)="113"),OR(LEFT($G1795,3)="111",LEFT($G1795,3)="112",LEFT($G1795,3)="113")),"NB",IF(OR(LEFT($F1795,3)="111",LEFT($F1795,3)="112",LEFT($F1795,3)="113"),"THU",IF(OR(LEFT($G1795,3)="111",LEFT($G1795,3)="112",LEFT($G1795,3)="113"),"CHI",""))))</f>
        <v/>
      </c>
      <c r="N1795" s="117">
        <f>IF($M1795="THU",$G1795,IF($M1795="CHI",$F1795,""))</f>
        <v/>
      </c>
      <c r="O1795" s="117">
        <f>IF(OR($M1795="",$M1795="NB"),"",IF($J1795&lt;&gt;"",TEXT($J1795,"00"),IFERROR(VLOOKUP(LEFT($N1795,4),LCTT_MAP!$A$7:$C$66,IF($M1795="THU",2,3),FALSE()),IFERROR(VLOOKUP(LEFT($N1795,3),LCTT_MAP!$A$7:$C$66,IF($M1795="THU",2,3),FALSE()),IFERROR(VLOOKUP(LEFT($N1795,2),LCTT_MAP!$A$7:$C$66,IF($M1795="THU",2,3),FALSE()),IFERROR(VLOOKUP(LEFT($N1795,1),LCTT_MAP!$A$7:$C$66,IF($M1795="THU",2,3),FALSE()),IF($M1795="THU","06","07")))))))</f>
        <v/>
      </c>
      <c r="P1795" s="117">
        <f>P1794+IF(AND($H1795&lt;&gt;"",OR(LEFT($F1795,LEN(SC_TK))=SC_TK,LEFT($G1795,LEN(SC_TK))=SC_TK)),1,0)</f>
        <v/>
      </c>
    </row>
    <row r="1796" ht="15" customHeight="1" s="78">
      <c r="A1796" s="95">
        <f>IF($H1796="","",ROW()-6)</f>
        <v/>
      </c>
      <c r="B1796" s="114" t="n"/>
      <c r="C1796" s="102" t="n"/>
      <c r="D1796" s="114" t="n"/>
      <c r="E1796" s="103" t="n"/>
      <c r="F1796" s="102" t="n"/>
      <c r="G1796" s="102" t="n"/>
      <c r="H1796" s="115" t="n"/>
      <c r="I1796" s="102" t="n"/>
      <c r="J1796" s="102" t="n"/>
      <c r="K1796" s="103" t="n"/>
      <c r="L1796" s="116">
        <f>IF($H1796="","",TRIM(IF(COUNTIF(DMTK!$A$7:$A$250,$F1796)=0,"TK Nợ sai! ","")&amp;IF(COUNTIF(DMTK!$A$7:$A$250,$G1796)=0,"TK Có sai! ","")&amp;IF(N($H1796)&lt;=0,"Tiền phải &gt; 0! ","")&amp;IF($B1796="","Thiếu ngày! ","")&amp;IF(AND(OR(LEFT($F1796,3)="131",LEFT($G1796,3)="131",LEFT($F1796,3)="331",LEFT($G1796,3)="331"),$I1796=""),"Thiếu Mã ĐT! ","")&amp;IF(AND($I1796&lt;&gt;"",COUNTIF(DM_DT!$A$7:$A$306,$I1796)=0),"Mã ĐT chưa khai báo! ","")))</f>
        <v/>
      </c>
      <c r="M1796" s="117">
        <f>IF($H1796="","",IF(AND(OR(LEFT($F1796,3)="111",LEFT($F1796,3)="112",LEFT($F1796,3)="113"),OR(LEFT($G1796,3)="111",LEFT($G1796,3)="112",LEFT($G1796,3)="113")),"NB",IF(OR(LEFT($F1796,3)="111",LEFT($F1796,3)="112",LEFT($F1796,3)="113"),"THU",IF(OR(LEFT($G1796,3)="111",LEFT($G1796,3)="112",LEFT($G1796,3)="113"),"CHI",""))))</f>
        <v/>
      </c>
      <c r="N1796" s="117">
        <f>IF($M1796="THU",$G1796,IF($M1796="CHI",$F1796,""))</f>
        <v/>
      </c>
      <c r="O1796" s="117">
        <f>IF(OR($M1796="",$M1796="NB"),"",IF($J1796&lt;&gt;"",TEXT($J1796,"00"),IFERROR(VLOOKUP(LEFT($N1796,4),LCTT_MAP!$A$7:$C$66,IF($M1796="THU",2,3),FALSE()),IFERROR(VLOOKUP(LEFT($N1796,3),LCTT_MAP!$A$7:$C$66,IF($M1796="THU",2,3),FALSE()),IFERROR(VLOOKUP(LEFT($N1796,2),LCTT_MAP!$A$7:$C$66,IF($M1796="THU",2,3),FALSE()),IFERROR(VLOOKUP(LEFT($N1796,1),LCTT_MAP!$A$7:$C$66,IF($M1796="THU",2,3),FALSE()),IF($M1796="THU","06","07")))))))</f>
        <v/>
      </c>
      <c r="P1796" s="117">
        <f>P1795+IF(AND($H1796&lt;&gt;"",OR(LEFT($F1796,LEN(SC_TK))=SC_TK,LEFT($G1796,LEN(SC_TK))=SC_TK)),1,0)</f>
        <v/>
      </c>
    </row>
    <row r="1797" ht="15" customHeight="1" s="78">
      <c r="A1797" s="95">
        <f>IF($H1797="","",ROW()-6)</f>
        <v/>
      </c>
      <c r="B1797" s="114" t="n"/>
      <c r="C1797" s="102" t="n"/>
      <c r="D1797" s="114" t="n"/>
      <c r="E1797" s="103" t="n"/>
      <c r="F1797" s="102" t="n"/>
      <c r="G1797" s="102" t="n"/>
      <c r="H1797" s="115" t="n"/>
      <c r="I1797" s="102" t="n"/>
      <c r="J1797" s="102" t="n"/>
      <c r="K1797" s="103" t="n"/>
      <c r="L1797" s="116">
        <f>IF($H1797="","",TRIM(IF(COUNTIF(DMTK!$A$7:$A$250,$F1797)=0,"TK Nợ sai! ","")&amp;IF(COUNTIF(DMTK!$A$7:$A$250,$G1797)=0,"TK Có sai! ","")&amp;IF(N($H1797)&lt;=0,"Tiền phải &gt; 0! ","")&amp;IF($B1797="","Thiếu ngày! ","")&amp;IF(AND(OR(LEFT($F1797,3)="131",LEFT($G1797,3)="131",LEFT($F1797,3)="331",LEFT($G1797,3)="331"),$I1797=""),"Thiếu Mã ĐT! ","")&amp;IF(AND($I1797&lt;&gt;"",COUNTIF(DM_DT!$A$7:$A$306,$I1797)=0),"Mã ĐT chưa khai báo! ","")))</f>
        <v/>
      </c>
      <c r="M1797" s="117">
        <f>IF($H1797="","",IF(AND(OR(LEFT($F1797,3)="111",LEFT($F1797,3)="112",LEFT($F1797,3)="113"),OR(LEFT($G1797,3)="111",LEFT($G1797,3)="112",LEFT($G1797,3)="113")),"NB",IF(OR(LEFT($F1797,3)="111",LEFT($F1797,3)="112",LEFT($F1797,3)="113"),"THU",IF(OR(LEFT($G1797,3)="111",LEFT($G1797,3)="112",LEFT($G1797,3)="113"),"CHI",""))))</f>
        <v/>
      </c>
      <c r="N1797" s="117">
        <f>IF($M1797="THU",$G1797,IF($M1797="CHI",$F1797,""))</f>
        <v/>
      </c>
      <c r="O1797" s="117">
        <f>IF(OR($M1797="",$M1797="NB"),"",IF($J1797&lt;&gt;"",TEXT($J1797,"00"),IFERROR(VLOOKUP(LEFT($N1797,4),LCTT_MAP!$A$7:$C$66,IF($M1797="THU",2,3),FALSE()),IFERROR(VLOOKUP(LEFT($N1797,3),LCTT_MAP!$A$7:$C$66,IF($M1797="THU",2,3),FALSE()),IFERROR(VLOOKUP(LEFT($N1797,2),LCTT_MAP!$A$7:$C$66,IF($M1797="THU",2,3),FALSE()),IFERROR(VLOOKUP(LEFT($N1797,1),LCTT_MAP!$A$7:$C$66,IF($M1797="THU",2,3),FALSE()),IF($M1797="THU","06","07")))))))</f>
        <v/>
      </c>
      <c r="P1797" s="117">
        <f>P1796+IF(AND($H1797&lt;&gt;"",OR(LEFT($F1797,LEN(SC_TK))=SC_TK,LEFT($G1797,LEN(SC_TK))=SC_TK)),1,0)</f>
        <v/>
      </c>
    </row>
    <row r="1798" ht="15" customHeight="1" s="78">
      <c r="A1798" s="95">
        <f>IF($H1798="","",ROW()-6)</f>
        <v/>
      </c>
      <c r="B1798" s="114" t="n"/>
      <c r="C1798" s="102" t="n"/>
      <c r="D1798" s="114" t="n"/>
      <c r="E1798" s="103" t="n"/>
      <c r="F1798" s="102" t="n"/>
      <c r="G1798" s="102" t="n"/>
      <c r="H1798" s="115" t="n"/>
      <c r="I1798" s="102" t="n"/>
      <c r="J1798" s="102" t="n"/>
      <c r="K1798" s="103" t="n"/>
      <c r="L1798" s="116">
        <f>IF($H1798="","",TRIM(IF(COUNTIF(DMTK!$A$7:$A$250,$F1798)=0,"TK Nợ sai! ","")&amp;IF(COUNTIF(DMTK!$A$7:$A$250,$G1798)=0,"TK Có sai! ","")&amp;IF(N($H1798)&lt;=0,"Tiền phải &gt; 0! ","")&amp;IF($B1798="","Thiếu ngày! ","")&amp;IF(AND(OR(LEFT($F1798,3)="131",LEFT($G1798,3)="131",LEFT($F1798,3)="331",LEFT($G1798,3)="331"),$I1798=""),"Thiếu Mã ĐT! ","")&amp;IF(AND($I1798&lt;&gt;"",COUNTIF(DM_DT!$A$7:$A$306,$I1798)=0),"Mã ĐT chưa khai báo! ","")))</f>
        <v/>
      </c>
      <c r="M1798" s="117">
        <f>IF($H1798="","",IF(AND(OR(LEFT($F1798,3)="111",LEFT($F1798,3)="112",LEFT($F1798,3)="113"),OR(LEFT($G1798,3)="111",LEFT($G1798,3)="112",LEFT($G1798,3)="113")),"NB",IF(OR(LEFT($F1798,3)="111",LEFT($F1798,3)="112",LEFT($F1798,3)="113"),"THU",IF(OR(LEFT($G1798,3)="111",LEFT($G1798,3)="112",LEFT($G1798,3)="113"),"CHI",""))))</f>
        <v/>
      </c>
      <c r="N1798" s="117">
        <f>IF($M1798="THU",$G1798,IF($M1798="CHI",$F1798,""))</f>
        <v/>
      </c>
      <c r="O1798" s="117">
        <f>IF(OR($M1798="",$M1798="NB"),"",IF($J1798&lt;&gt;"",TEXT($J1798,"00"),IFERROR(VLOOKUP(LEFT($N1798,4),LCTT_MAP!$A$7:$C$66,IF($M1798="THU",2,3),FALSE()),IFERROR(VLOOKUP(LEFT($N1798,3),LCTT_MAP!$A$7:$C$66,IF($M1798="THU",2,3),FALSE()),IFERROR(VLOOKUP(LEFT($N1798,2),LCTT_MAP!$A$7:$C$66,IF($M1798="THU",2,3),FALSE()),IFERROR(VLOOKUP(LEFT($N1798,1),LCTT_MAP!$A$7:$C$66,IF($M1798="THU",2,3),FALSE()),IF($M1798="THU","06","07")))))))</f>
        <v/>
      </c>
      <c r="P1798" s="117">
        <f>P1797+IF(AND($H1798&lt;&gt;"",OR(LEFT($F1798,LEN(SC_TK))=SC_TK,LEFT($G1798,LEN(SC_TK))=SC_TK)),1,0)</f>
        <v/>
      </c>
    </row>
    <row r="1799" ht="15" customHeight="1" s="78">
      <c r="A1799" s="95">
        <f>IF($H1799="","",ROW()-6)</f>
        <v/>
      </c>
      <c r="B1799" s="114" t="n"/>
      <c r="C1799" s="102" t="n"/>
      <c r="D1799" s="114" t="n"/>
      <c r="E1799" s="103" t="n"/>
      <c r="F1799" s="102" t="n"/>
      <c r="G1799" s="102" t="n"/>
      <c r="H1799" s="115" t="n"/>
      <c r="I1799" s="102" t="n"/>
      <c r="J1799" s="102" t="n"/>
      <c r="K1799" s="103" t="n"/>
      <c r="L1799" s="116">
        <f>IF($H1799="","",TRIM(IF(COUNTIF(DMTK!$A$7:$A$250,$F1799)=0,"TK Nợ sai! ","")&amp;IF(COUNTIF(DMTK!$A$7:$A$250,$G1799)=0,"TK Có sai! ","")&amp;IF(N($H1799)&lt;=0,"Tiền phải &gt; 0! ","")&amp;IF($B1799="","Thiếu ngày! ","")&amp;IF(AND(OR(LEFT($F1799,3)="131",LEFT($G1799,3)="131",LEFT($F1799,3)="331",LEFT($G1799,3)="331"),$I1799=""),"Thiếu Mã ĐT! ","")&amp;IF(AND($I1799&lt;&gt;"",COUNTIF(DM_DT!$A$7:$A$306,$I1799)=0),"Mã ĐT chưa khai báo! ","")))</f>
        <v/>
      </c>
      <c r="M1799" s="117">
        <f>IF($H1799="","",IF(AND(OR(LEFT($F1799,3)="111",LEFT($F1799,3)="112",LEFT($F1799,3)="113"),OR(LEFT($G1799,3)="111",LEFT($G1799,3)="112",LEFT($G1799,3)="113")),"NB",IF(OR(LEFT($F1799,3)="111",LEFT($F1799,3)="112",LEFT($F1799,3)="113"),"THU",IF(OR(LEFT($G1799,3)="111",LEFT($G1799,3)="112",LEFT($G1799,3)="113"),"CHI",""))))</f>
        <v/>
      </c>
      <c r="N1799" s="117">
        <f>IF($M1799="THU",$G1799,IF($M1799="CHI",$F1799,""))</f>
        <v/>
      </c>
      <c r="O1799" s="117">
        <f>IF(OR($M1799="",$M1799="NB"),"",IF($J1799&lt;&gt;"",TEXT($J1799,"00"),IFERROR(VLOOKUP(LEFT($N1799,4),LCTT_MAP!$A$7:$C$66,IF($M1799="THU",2,3),FALSE()),IFERROR(VLOOKUP(LEFT($N1799,3),LCTT_MAP!$A$7:$C$66,IF($M1799="THU",2,3),FALSE()),IFERROR(VLOOKUP(LEFT($N1799,2),LCTT_MAP!$A$7:$C$66,IF($M1799="THU",2,3),FALSE()),IFERROR(VLOOKUP(LEFT($N1799,1),LCTT_MAP!$A$7:$C$66,IF($M1799="THU",2,3),FALSE()),IF($M1799="THU","06","07")))))))</f>
        <v/>
      </c>
      <c r="P1799" s="117">
        <f>P1798+IF(AND($H1799&lt;&gt;"",OR(LEFT($F1799,LEN(SC_TK))=SC_TK,LEFT($G1799,LEN(SC_TK))=SC_TK)),1,0)</f>
        <v/>
      </c>
    </row>
    <row r="1800" ht="15" customHeight="1" s="78">
      <c r="A1800" s="95">
        <f>IF($H1800="","",ROW()-6)</f>
        <v/>
      </c>
      <c r="B1800" s="114" t="n"/>
      <c r="C1800" s="102" t="n"/>
      <c r="D1800" s="114" t="n"/>
      <c r="E1800" s="103" t="n"/>
      <c r="F1800" s="102" t="n"/>
      <c r="G1800" s="102" t="n"/>
      <c r="H1800" s="115" t="n"/>
      <c r="I1800" s="102" t="n"/>
      <c r="J1800" s="102" t="n"/>
      <c r="K1800" s="103" t="n"/>
      <c r="L1800" s="116">
        <f>IF($H1800="","",TRIM(IF(COUNTIF(DMTK!$A$7:$A$250,$F1800)=0,"TK Nợ sai! ","")&amp;IF(COUNTIF(DMTK!$A$7:$A$250,$G1800)=0,"TK Có sai! ","")&amp;IF(N($H1800)&lt;=0,"Tiền phải &gt; 0! ","")&amp;IF($B1800="","Thiếu ngày! ","")&amp;IF(AND(OR(LEFT($F1800,3)="131",LEFT($G1800,3)="131",LEFT($F1800,3)="331",LEFT($G1800,3)="331"),$I1800=""),"Thiếu Mã ĐT! ","")&amp;IF(AND($I1800&lt;&gt;"",COUNTIF(DM_DT!$A$7:$A$306,$I1800)=0),"Mã ĐT chưa khai báo! ","")))</f>
        <v/>
      </c>
      <c r="M1800" s="117">
        <f>IF($H1800="","",IF(AND(OR(LEFT($F1800,3)="111",LEFT($F1800,3)="112",LEFT($F1800,3)="113"),OR(LEFT($G1800,3)="111",LEFT($G1800,3)="112",LEFT($G1800,3)="113")),"NB",IF(OR(LEFT($F1800,3)="111",LEFT($F1800,3)="112",LEFT($F1800,3)="113"),"THU",IF(OR(LEFT($G1800,3)="111",LEFT($G1800,3)="112",LEFT($G1800,3)="113"),"CHI",""))))</f>
        <v/>
      </c>
      <c r="N1800" s="117">
        <f>IF($M1800="THU",$G1800,IF($M1800="CHI",$F1800,""))</f>
        <v/>
      </c>
      <c r="O1800" s="117">
        <f>IF(OR($M1800="",$M1800="NB"),"",IF($J1800&lt;&gt;"",TEXT($J1800,"00"),IFERROR(VLOOKUP(LEFT($N1800,4),LCTT_MAP!$A$7:$C$66,IF($M1800="THU",2,3),FALSE()),IFERROR(VLOOKUP(LEFT($N1800,3),LCTT_MAP!$A$7:$C$66,IF($M1800="THU",2,3),FALSE()),IFERROR(VLOOKUP(LEFT($N1800,2),LCTT_MAP!$A$7:$C$66,IF($M1800="THU",2,3),FALSE()),IFERROR(VLOOKUP(LEFT($N1800,1),LCTT_MAP!$A$7:$C$66,IF($M1800="THU",2,3),FALSE()),IF($M1800="THU","06","07")))))))</f>
        <v/>
      </c>
      <c r="P1800" s="117">
        <f>P1799+IF(AND($H1800&lt;&gt;"",OR(LEFT($F1800,LEN(SC_TK))=SC_TK,LEFT($G1800,LEN(SC_TK))=SC_TK)),1,0)</f>
        <v/>
      </c>
    </row>
    <row r="1801" ht="15" customHeight="1" s="78">
      <c r="A1801" s="95">
        <f>IF($H1801="","",ROW()-6)</f>
        <v/>
      </c>
      <c r="B1801" s="114" t="n"/>
      <c r="C1801" s="102" t="n"/>
      <c r="D1801" s="114" t="n"/>
      <c r="E1801" s="103" t="n"/>
      <c r="F1801" s="102" t="n"/>
      <c r="G1801" s="102" t="n"/>
      <c r="H1801" s="115" t="n"/>
      <c r="I1801" s="102" t="n"/>
      <c r="J1801" s="102" t="n"/>
      <c r="K1801" s="103" t="n"/>
      <c r="L1801" s="116">
        <f>IF($H1801="","",TRIM(IF(COUNTIF(DMTK!$A$7:$A$250,$F1801)=0,"TK Nợ sai! ","")&amp;IF(COUNTIF(DMTK!$A$7:$A$250,$G1801)=0,"TK Có sai! ","")&amp;IF(N($H1801)&lt;=0,"Tiền phải &gt; 0! ","")&amp;IF($B1801="","Thiếu ngày! ","")&amp;IF(AND(OR(LEFT($F1801,3)="131",LEFT($G1801,3)="131",LEFT($F1801,3)="331",LEFT($G1801,3)="331"),$I1801=""),"Thiếu Mã ĐT! ","")&amp;IF(AND($I1801&lt;&gt;"",COUNTIF(DM_DT!$A$7:$A$306,$I1801)=0),"Mã ĐT chưa khai báo! ","")))</f>
        <v/>
      </c>
      <c r="M1801" s="117">
        <f>IF($H1801="","",IF(AND(OR(LEFT($F1801,3)="111",LEFT($F1801,3)="112",LEFT($F1801,3)="113"),OR(LEFT($G1801,3)="111",LEFT($G1801,3)="112",LEFT($G1801,3)="113")),"NB",IF(OR(LEFT($F1801,3)="111",LEFT($F1801,3)="112",LEFT($F1801,3)="113"),"THU",IF(OR(LEFT($G1801,3)="111",LEFT($G1801,3)="112",LEFT($G1801,3)="113"),"CHI",""))))</f>
        <v/>
      </c>
      <c r="N1801" s="117">
        <f>IF($M1801="THU",$G1801,IF($M1801="CHI",$F1801,""))</f>
        <v/>
      </c>
      <c r="O1801" s="117">
        <f>IF(OR($M1801="",$M1801="NB"),"",IF($J1801&lt;&gt;"",TEXT($J1801,"00"),IFERROR(VLOOKUP(LEFT($N1801,4),LCTT_MAP!$A$7:$C$66,IF($M1801="THU",2,3),FALSE()),IFERROR(VLOOKUP(LEFT($N1801,3),LCTT_MAP!$A$7:$C$66,IF($M1801="THU",2,3),FALSE()),IFERROR(VLOOKUP(LEFT($N1801,2),LCTT_MAP!$A$7:$C$66,IF($M1801="THU",2,3),FALSE()),IFERROR(VLOOKUP(LEFT($N1801,1),LCTT_MAP!$A$7:$C$66,IF($M1801="THU",2,3),FALSE()),IF($M1801="THU","06","07")))))))</f>
        <v/>
      </c>
      <c r="P1801" s="117">
        <f>P1800+IF(AND($H1801&lt;&gt;"",OR(LEFT($F1801,LEN(SC_TK))=SC_TK,LEFT($G1801,LEN(SC_TK))=SC_TK)),1,0)</f>
        <v/>
      </c>
    </row>
    <row r="1802" ht="15" customHeight="1" s="78">
      <c r="A1802" s="95">
        <f>IF($H1802="","",ROW()-6)</f>
        <v/>
      </c>
      <c r="B1802" s="114" t="n"/>
      <c r="C1802" s="102" t="n"/>
      <c r="D1802" s="114" t="n"/>
      <c r="E1802" s="103" t="n"/>
      <c r="F1802" s="102" t="n"/>
      <c r="G1802" s="102" t="n"/>
      <c r="H1802" s="115" t="n"/>
      <c r="I1802" s="102" t="n"/>
      <c r="J1802" s="102" t="n"/>
      <c r="K1802" s="103" t="n"/>
      <c r="L1802" s="116">
        <f>IF($H1802="","",TRIM(IF(COUNTIF(DMTK!$A$7:$A$250,$F1802)=0,"TK Nợ sai! ","")&amp;IF(COUNTIF(DMTK!$A$7:$A$250,$G1802)=0,"TK Có sai! ","")&amp;IF(N($H1802)&lt;=0,"Tiền phải &gt; 0! ","")&amp;IF($B1802="","Thiếu ngày! ","")&amp;IF(AND(OR(LEFT($F1802,3)="131",LEFT($G1802,3)="131",LEFT($F1802,3)="331",LEFT($G1802,3)="331"),$I1802=""),"Thiếu Mã ĐT! ","")&amp;IF(AND($I1802&lt;&gt;"",COUNTIF(DM_DT!$A$7:$A$306,$I1802)=0),"Mã ĐT chưa khai báo! ","")))</f>
        <v/>
      </c>
      <c r="M1802" s="117">
        <f>IF($H1802="","",IF(AND(OR(LEFT($F1802,3)="111",LEFT($F1802,3)="112",LEFT($F1802,3)="113"),OR(LEFT($G1802,3)="111",LEFT($G1802,3)="112",LEFT($G1802,3)="113")),"NB",IF(OR(LEFT($F1802,3)="111",LEFT($F1802,3)="112",LEFT($F1802,3)="113"),"THU",IF(OR(LEFT($G1802,3)="111",LEFT($G1802,3)="112",LEFT($G1802,3)="113"),"CHI",""))))</f>
        <v/>
      </c>
      <c r="N1802" s="117">
        <f>IF($M1802="THU",$G1802,IF($M1802="CHI",$F1802,""))</f>
        <v/>
      </c>
      <c r="O1802" s="117">
        <f>IF(OR($M1802="",$M1802="NB"),"",IF($J1802&lt;&gt;"",TEXT($J1802,"00"),IFERROR(VLOOKUP(LEFT($N1802,4),LCTT_MAP!$A$7:$C$66,IF($M1802="THU",2,3),FALSE()),IFERROR(VLOOKUP(LEFT($N1802,3),LCTT_MAP!$A$7:$C$66,IF($M1802="THU",2,3),FALSE()),IFERROR(VLOOKUP(LEFT($N1802,2),LCTT_MAP!$A$7:$C$66,IF($M1802="THU",2,3),FALSE()),IFERROR(VLOOKUP(LEFT($N1802,1),LCTT_MAP!$A$7:$C$66,IF($M1802="THU",2,3),FALSE()),IF($M1802="THU","06","07")))))))</f>
        <v/>
      </c>
      <c r="P1802" s="117">
        <f>P1801+IF(AND($H1802&lt;&gt;"",OR(LEFT($F1802,LEN(SC_TK))=SC_TK,LEFT($G1802,LEN(SC_TK))=SC_TK)),1,0)</f>
        <v/>
      </c>
    </row>
    <row r="1803" ht="15" customHeight="1" s="78">
      <c r="A1803" s="95">
        <f>IF($H1803="","",ROW()-6)</f>
        <v/>
      </c>
      <c r="B1803" s="114" t="n"/>
      <c r="C1803" s="102" t="n"/>
      <c r="D1803" s="114" t="n"/>
      <c r="E1803" s="103" t="n"/>
      <c r="F1803" s="102" t="n"/>
      <c r="G1803" s="102" t="n"/>
      <c r="H1803" s="115" t="n"/>
      <c r="I1803" s="102" t="n"/>
      <c r="J1803" s="102" t="n"/>
      <c r="K1803" s="103" t="n"/>
      <c r="L1803" s="116">
        <f>IF($H1803="","",TRIM(IF(COUNTIF(DMTK!$A$7:$A$250,$F1803)=0,"TK Nợ sai! ","")&amp;IF(COUNTIF(DMTK!$A$7:$A$250,$G1803)=0,"TK Có sai! ","")&amp;IF(N($H1803)&lt;=0,"Tiền phải &gt; 0! ","")&amp;IF($B1803="","Thiếu ngày! ","")&amp;IF(AND(OR(LEFT($F1803,3)="131",LEFT($G1803,3)="131",LEFT($F1803,3)="331",LEFT($G1803,3)="331"),$I1803=""),"Thiếu Mã ĐT! ","")&amp;IF(AND($I1803&lt;&gt;"",COUNTIF(DM_DT!$A$7:$A$306,$I1803)=0),"Mã ĐT chưa khai báo! ","")))</f>
        <v/>
      </c>
      <c r="M1803" s="117">
        <f>IF($H1803="","",IF(AND(OR(LEFT($F1803,3)="111",LEFT($F1803,3)="112",LEFT($F1803,3)="113"),OR(LEFT($G1803,3)="111",LEFT($G1803,3)="112",LEFT($G1803,3)="113")),"NB",IF(OR(LEFT($F1803,3)="111",LEFT($F1803,3)="112",LEFT($F1803,3)="113"),"THU",IF(OR(LEFT($G1803,3)="111",LEFT($G1803,3)="112",LEFT($G1803,3)="113"),"CHI",""))))</f>
        <v/>
      </c>
      <c r="N1803" s="117">
        <f>IF($M1803="THU",$G1803,IF($M1803="CHI",$F1803,""))</f>
        <v/>
      </c>
      <c r="O1803" s="117">
        <f>IF(OR($M1803="",$M1803="NB"),"",IF($J1803&lt;&gt;"",TEXT($J1803,"00"),IFERROR(VLOOKUP(LEFT($N1803,4),LCTT_MAP!$A$7:$C$66,IF($M1803="THU",2,3),FALSE()),IFERROR(VLOOKUP(LEFT($N1803,3),LCTT_MAP!$A$7:$C$66,IF($M1803="THU",2,3),FALSE()),IFERROR(VLOOKUP(LEFT($N1803,2),LCTT_MAP!$A$7:$C$66,IF($M1803="THU",2,3),FALSE()),IFERROR(VLOOKUP(LEFT($N1803,1),LCTT_MAP!$A$7:$C$66,IF($M1803="THU",2,3),FALSE()),IF($M1803="THU","06","07")))))))</f>
        <v/>
      </c>
      <c r="P1803" s="117">
        <f>P1802+IF(AND($H1803&lt;&gt;"",OR(LEFT($F1803,LEN(SC_TK))=SC_TK,LEFT($G1803,LEN(SC_TK))=SC_TK)),1,0)</f>
        <v/>
      </c>
    </row>
    <row r="1804" ht="15" customHeight="1" s="78">
      <c r="A1804" s="95">
        <f>IF($H1804="","",ROW()-6)</f>
        <v/>
      </c>
      <c r="B1804" s="114" t="n"/>
      <c r="C1804" s="102" t="n"/>
      <c r="D1804" s="114" t="n"/>
      <c r="E1804" s="103" t="n"/>
      <c r="F1804" s="102" t="n"/>
      <c r="G1804" s="102" t="n"/>
      <c r="H1804" s="115" t="n"/>
      <c r="I1804" s="102" t="n"/>
      <c r="J1804" s="102" t="n"/>
      <c r="K1804" s="103" t="n"/>
      <c r="L1804" s="116">
        <f>IF($H1804="","",TRIM(IF(COUNTIF(DMTK!$A$7:$A$250,$F1804)=0,"TK Nợ sai! ","")&amp;IF(COUNTIF(DMTK!$A$7:$A$250,$G1804)=0,"TK Có sai! ","")&amp;IF(N($H1804)&lt;=0,"Tiền phải &gt; 0! ","")&amp;IF($B1804="","Thiếu ngày! ","")&amp;IF(AND(OR(LEFT($F1804,3)="131",LEFT($G1804,3)="131",LEFT($F1804,3)="331",LEFT($G1804,3)="331"),$I1804=""),"Thiếu Mã ĐT! ","")&amp;IF(AND($I1804&lt;&gt;"",COUNTIF(DM_DT!$A$7:$A$306,$I1804)=0),"Mã ĐT chưa khai báo! ","")))</f>
        <v/>
      </c>
      <c r="M1804" s="117">
        <f>IF($H1804="","",IF(AND(OR(LEFT($F1804,3)="111",LEFT($F1804,3)="112",LEFT($F1804,3)="113"),OR(LEFT($G1804,3)="111",LEFT($G1804,3)="112",LEFT($G1804,3)="113")),"NB",IF(OR(LEFT($F1804,3)="111",LEFT($F1804,3)="112",LEFT($F1804,3)="113"),"THU",IF(OR(LEFT($G1804,3)="111",LEFT($G1804,3)="112",LEFT($G1804,3)="113"),"CHI",""))))</f>
        <v/>
      </c>
      <c r="N1804" s="117">
        <f>IF($M1804="THU",$G1804,IF($M1804="CHI",$F1804,""))</f>
        <v/>
      </c>
      <c r="O1804" s="117">
        <f>IF(OR($M1804="",$M1804="NB"),"",IF($J1804&lt;&gt;"",TEXT($J1804,"00"),IFERROR(VLOOKUP(LEFT($N1804,4),LCTT_MAP!$A$7:$C$66,IF($M1804="THU",2,3),FALSE()),IFERROR(VLOOKUP(LEFT($N1804,3),LCTT_MAP!$A$7:$C$66,IF($M1804="THU",2,3),FALSE()),IFERROR(VLOOKUP(LEFT($N1804,2),LCTT_MAP!$A$7:$C$66,IF($M1804="THU",2,3),FALSE()),IFERROR(VLOOKUP(LEFT($N1804,1),LCTT_MAP!$A$7:$C$66,IF($M1804="THU",2,3),FALSE()),IF($M1804="THU","06","07")))))))</f>
        <v/>
      </c>
      <c r="P1804" s="117">
        <f>P1803+IF(AND($H1804&lt;&gt;"",OR(LEFT($F1804,LEN(SC_TK))=SC_TK,LEFT($G1804,LEN(SC_TK))=SC_TK)),1,0)</f>
        <v/>
      </c>
    </row>
    <row r="1805" ht="15" customHeight="1" s="78">
      <c r="A1805" s="95">
        <f>IF($H1805="","",ROW()-6)</f>
        <v/>
      </c>
      <c r="B1805" s="114" t="n"/>
      <c r="C1805" s="102" t="n"/>
      <c r="D1805" s="114" t="n"/>
      <c r="E1805" s="103" t="n"/>
      <c r="F1805" s="102" t="n"/>
      <c r="G1805" s="102" t="n"/>
      <c r="H1805" s="115" t="n"/>
      <c r="I1805" s="102" t="n"/>
      <c r="J1805" s="102" t="n"/>
      <c r="K1805" s="103" t="n"/>
      <c r="L1805" s="116">
        <f>IF($H1805="","",TRIM(IF(COUNTIF(DMTK!$A$7:$A$250,$F1805)=0,"TK Nợ sai! ","")&amp;IF(COUNTIF(DMTK!$A$7:$A$250,$G1805)=0,"TK Có sai! ","")&amp;IF(N($H1805)&lt;=0,"Tiền phải &gt; 0! ","")&amp;IF($B1805="","Thiếu ngày! ","")&amp;IF(AND(OR(LEFT($F1805,3)="131",LEFT($G1805,3)="131",LEFT($F1805,3)="331",LEFT($G1805,3)="331"),$I1805=""),"Thiếu Mã ĐT! ","")&amp;IF(AND($I1805&lt;&gt;"",COUNTIF(DM_DT!$A$7:$A$306,$I1805)=0),"Mã ĐT chưa khai báo! ","")))</f>
        <v/>
      </c>
      <c r="M1805" s="117">
        <f>IF($H1805="","",IF(AND(OR(LEFT($F1805,3)="111",LEFT($F1805,3)="112",LEFT($F1805,3)="113"),OR(LEFT($G1805,3)="111",LEFT($G1805,3)="112",LEFT($G1805,3)="113")),"NB",IF(OR(LEFT($F1805,3)="111",LEFT($F1805,3)="112",LEFT($F1805,3)="113"),"THU",IF(OR(LEFT($G1805,3)="111",LEFT($G1805,3)="112",LEFT($G1805,3)="113"),"CHI",""))))</f>
        <v/>
      </c>
      <c r="N1805" s="117">
        <f>IF($M1805="THU",$G1805,IF($M1805="CHI",$F1805,""))</f>
        <v/>
      </c>
      <c r="O1805" s="117">
        <f>IF(OR($M1805="",$M1805="NB"),"",IF($J1805&lt;&gt;"",TEXT($J1805,"00"),IFERROR(VLOOKUP(LEFT($N1805,4),LCTT_MAP!$A$7:$C$66,IF($M1805="THU",2,3),FALSE()),IFERROR(VLOOKUP(LEFT($N1805,3),LCTT_MAP!$A$7:$C$66,IF($M1805="THU",2,3),FALSE()),IFERROR(VLOOKUP(LEFT($N1805,2),LCTT_MAP!$A$7:$C$66,IF($M1805="THU",2,3),FALSE()),IFERROR(VLOOKUP(LEFT($N1805,1),LCTT_MAP!$A$7:$C$66,IF($M1805="THU",2,3),FALSE()),IF($M1805="THU","06","07")))))))</f>
        <v/>
      </c>
      <c r="P1805" s="117">
        <f>P1804+IF(AND($H1805&lt;&gt;"",OR(LEFT($F1805,LEN(SC_TK))=SC_TK,LEFT($G1805,LEN(SC_TK))=SC_TK)),1,0)</f>
        <v/>
      </c>
    </row>
    <row r="1806" ht="15" customHeight="1" s="78">
      <c r="A1806" s="95">
        <f>IF($H1806="","",ROW()-6)</f>
        <v/>
      </c>
      <c r="B1806" s="114" t="n"/>
      <c r="C1806" s="102" t="n"/>
      <c r="D1806" s="114" t="n"/>
      <c r="E1806" s="103" t="n"/>
      <c r="F1806" s="102" t="n"/>
      <c r="G1806" s="102" t="n"/>
      <c r="H1806" s="115" t="n"/>
      <c r="I1806" s="102" t="n"/>
      <c r="J1806" s="102" t="n"/>
      <c r="K1806" s="103" t="n"/>
      <c r="L1806" s="116">
        <f>IF($H1806="","",TRIM(IF(COUNTIF(DMTK!$A$7:$A$250,$F1806)=0,"TK Nợ sai! ","")&amp;IF(COUNTIF(DMTK!$A$7:$A$250,$G1806)=0,"TK Có sai! ","")&amp;IF(N($H1806)&lt;=0,"Tiền phải &gt; 0! ","")&amp;IF($B1806="","Thiếu ngày! ","")&amp;IF(AND(OR(LEFT($F1806,3)="131",LEFT($G1806,3)="131",LEFT($F1806,3)="331",LEFT($G1806,3)="331"),$I1806=""),"Thiếu Mã ĐT! ","")&amp;IF(AND($I1806&lt;&gt;"",COUNTIF(DM_DT!$A$7:$A$306,$I1806)=0),"Mã ĐT chưa khai báo! ","")))</f>
        <v/>
      </c>
      <c r="M1806" s="117">
        <f>IF($H1806="","",IF(AND(OR(LEFT($F1806,3)="111",LEFT($F1806,3)="112",LEFT($F1806,3)="113"),OR(LEFT($G1806,3)="111",LEFT($G1806,3)="112",LEFT($G1806,3)="113")),"NB",IF(OR(LEFT($F1806,3)="111",LEFT($F1806,3)="112",LEFT($F1806,3)="113"),"THU",IF(OR(LEFT($G1806,3)="111",LEFT($G1806,3)="112",LEFT($G1806,3)="113"),"CHI",""))))</f>
        <v/>
      </c>
      <c r="N1806" s="117">
        <f>IF($M1806="THU",$G1806,IF($M1806="CHI",$F1806,""))</f>
        <v/>
      </c>
      <c r="O1806" s="117">
        <f>IF(OR($M1806="",$M1806="NB"),"",IF($J1806&lt;&gt;"",TEXT($J1806,"00"),IFERROR(VLOOKUP(LEFT($N1806,4),LCTT_MAP!$A$7:$C$66,IF($M1806="THU",2,3),FALSE()),IFERROR(VLOOKUP(LEFT($N1806,3),LCTT_MAP!$A$7:$C$66,IF($M1806="THU",2,3),FALSE()),IFERROR(VLOOKUP(LEFT($N1806,2),LCTT_MAP!$A$7:$C$66,IF($M1806="THU",2,3),FALSE()),IFERROR(VLOOKUP(LEFT($N1806,1),LCTT_MAP!$A$7:$C$66,IF($M1806="THU",2,3),FALSE()),IF($M1806="THU","06","07")))))))</f>
        <v/>
      </c>
      <c r="P1806" s="117">
        <f>P1805+IF(AND($H1806&lt;&gt;"",OR(LEFT($F1806,LEN(SC_TK))=SC_TK,LEFT($G1806,LEN(SC_TK))=SC_TK)),1,0)</f>
        <v/>
      </c>
    </row>
    <row r="1807" ht="15" customHeight="1" s="78">
      <c r="A1807" s="95">
        <f>IF($H1807="","",ROW()-6)</f>
        <v/>
      </c>
      <c r="B1807" s="114" t="n"/>
      <c r="C1807" s="102" t="n"/>
      <c r="D1807" s="114" t="n"/>
      <c r="E1807" s="103" t="n"/>
      <c r="F1807" s="102" t="n"/>
      <c r="G1807" s="102" t="n"/>
      <c r="H1807" s="115" t="n"/>
      <c r="I1807" s="102" t="n"/>
      <c r="J1807" s="102" t="n"/>
      <c r="K1807" s="103" t="n"/>
      <c r="L1807" s="116">
        <f>IF($H1807="","",TRIM(IF(COUNTIF(DMTK!$A$7:$A$250,$F1807)=0,"TK Nợ sai! ","")&amp;IF(COUNTIF(DMTK!$A$7:$A$250,$G1807)=0,"TK Có sai! ","")&amp;IF(N($H1807)&lt;=0,"Tiền phải &gt; 0! ","")&amp;IF($B1807="","Thiếu ngày! ","")&amp;IF(AND(OR(LEFT($F1807,3)="131",LEFT($G1807,3)="131",LEFT($F1807,3)="331",LEFT($G1807,3)="331"),$I1807=""),"Thiếu Mã ĐT! ","")&amp;IF(AND($I1807&lt;&gt;"",COUNTIF(DM_DT!$A$7:$A$306,$I1807)=0),"Mã ĐT chưa khai báo! ","")))</f>
        <v/>
      </c>
      <c r="M1807" s="117">
        <f>IF($H1807="","",IF(AND(OR(LEFT($F1807,3)="111",LEFT($F1807,3)="112",LEFT($F1807,3)="113"),OR(LEFT($G1807,3)="111",LEFT($G1807,3)="112",LEFT($G1807,3)="113")),"NB",IF(OR(LEFT($F1807,3)="111",LEFT($F1807,3)="112",LEFT($F1807,3)="113"),"THU",IF(OR(LEFT($G1807,3)="111",LEFT($G1807,3)="112",LEFT($G1807,3)="113"),"CHI",""))))</f>
        <v/>
      </c>
      <c r="N1807" s="117">
        <f>IF($M1807="THU",$G1807,IF($M1807="CHI",$F1807,""))</f>
        <v/>
      </c>
      <c r="O1807" s="117">
        <f>IF(OR($M1807="",$M1807="NB"),"",IF($J1807&lt;&gt;"",TEXT($J1807,"00"),IFERROR(VLOOKUP(LEFT($N1807,4),LCTT_MAP!$A$7:$C$66,IF($M1807="THU",2,3),FALSE()),IFERROR(VLOOKUP(LEFT($N1807,3),LCTT_MAP!$A$7:$C$66,IF($M1807="THU",2,3),FALSE()),IFERROR(VLOOKUP(LEFT($N1807,2),LCTT_MAP!$A$7:$C$66,IF($M1807="THU",2,3),FALSE()),IFERROR(VLOOKUP(LEFT($N1807,1),LCTT_MAP!$A$7:$C$66,IF($M1807="THU",2,3),FALSE()),IF($M1807="THU","06","07")))))))</f>
        <v/>
      </c>
      <c r="P1807" s="117">
        <f>P1806+IF(AND($H1807&lt;&gt;"",OR(LEFT($F1807,LEN(SC_TK))=SC_TK,LEFT($G1807,LEN(SC_TK))=SC_TK)),1,0)</f>
        <v/>
      </c>
    </row>
    <row r="1808" ht="15" customHeight="1" s="78">
      <c r="A1808" s="95">
        <f>IF($H1808="","",ROW()-6)</f>
        <v/>
      </c>
      <c r="B1808" s="114" t="n"/>
      <c r="C1808" s="102" t="n"/>
      <c r="D1808" s="114" t="n"/>
      <c r="E1808" s="103" t="n"/>
      <c r="F1808" s="102" t="n"/>
      <c r="G1808" s="102" t="n"/>
      <c r="H1808" s="115" t="n"/>
      <c r="I1808" s="102" t="n"/>
      <c r="J1808" s="102" t="n"/>
      <c r="K1808" s="103" t="n"/>
      <c r="L1808" s="116">
        <f>IF($H1808="","",TRIM(IF(COUNTIF(DMTK!$A$7:$A$250,$F1808)=0,"TK Nợ sai! ","")&amp;IF(COUNTIF(DMTK!$A$7:$A$250,$G1808)=0,"TK Có sai! ","")&amp;IF(N($H1808)&lt;=0,"Tiền phải &gt; 0! ","")&amp;IF($B1808="","Thiếu ngày! ","")&amp;IF(AND(OR(LEFT($F1808,3)="131",LEFT($G1808,3)="131",LEFT($F1808,3)="331",LEFT($G1808,3)="331"),$I1808=""),"Thiếu Mã ĐT! ","")&amp;IF(AND($I1808&lt;&gt;"",COUNTIF(DM_DT!$A$7:$A$306,$I1808)=0),"Mã ĐT chưa khai báo! ","")))</f>
        <v/>
      </c>
      <c r="M1808" s="117">
        <f>IF($H1808="","",IF(AND(OR(LEFT($F1808,3)="111",LEFT($F1808,3)="112",LEFT($F1808,3)="113"),OR(LEFT($G1808,3)="111",LEFT($G1808,3)="112",LEFT($G1808,3)="113")),"NB",IF(OR(LEFT($F1808,3)="111",LEFT($F1808,3)="112",LEFT($F1808,3)="113"),"THU",IF(OR(LEFT($G1808,3)="111",LEFT($G1808,3)="112",LEFT($G1808,3)="113"),"CHI",""))))</f>
        <v/>
      </c>
      <c r="N1808" s="117">
        <f>IF($M1808="THU",$G1808,IF($M1808="CHI",$F1808,""))</f>
        <v/>
      </c>
      <c r="O1808" s="117">
        <f>IF(OR($M1808="",$M1808="NB"),"",IF($J1808&lt;&gt;"",TEXT($J1808,"00"),IFERROR(VLOOKUP(LEFT($N1808,4),LCTT_MAP!$A$7:$C$66,IF($M1808="THU",2,3),FALSE()),IFERROR(VLOOKUP(LEFT($N1808,3),LCTT_MAP!$A$7:$C$66,IF($M1808="THU",2,3),FALSE()),IFERROR(VLOOKUP(LEFT($N1808,2),LCTT_MAP!$A$7:$C$66,IF($M1808="THU",2,3),FALSE()),IFERROR(VLOOKUP(LEFT($N1808,1),LCTT_MAP!$A$7:$C$66,IF($M1808="THU",2,3),FALSE()),IF($M1808="THU","06","07")))))))</f>
        <v/>
      </c>
      <c r="P1808" s="117">
        <f>P1807+IF(AND($H1808&lt;&gt;"",OR(LEFT($F1808,LEN(SC_TK))=SC_TK,LEFT($G1808,LEN(SC_TK))=SC_TK)),1,0)</f>
        <v/>
      </c>
    </row>
    <row r="1809" ht="15" customHeight="1" s="78">
      <c r="A1809" s="95">
        <f>IF($H1809="","",ROW()-6)</f>
        <v/>
      </c>
      <c r="B1809" s="114" t="n"/>
      <c r="C1809" s="102" t="n"/>
      <c r="D1809" s="114" t="n"/>
      <c r="E1809" s="103" t="n"/>
      <c r="F1809" s="102" t="n"/>
      <c r="G1809" s="102" t="n"/>
      <c r="H1809" s="115" t="n"/>
      <c r="I1809" s="102" t="n"/>
      <c r="J1809" s="102" t="n"/>
      <c r="K1809" s="103" t="n"/>
      <c r="L1809" s="116">
        <f>IF($H1809="","",TRIM(IF(COUNTIF(DMTK!$A$7:$A$250,$F1809)=0,"TK Nợ sai! ","")&amp;IF(COUNTIF(DMTK!$A$7:$A$250,$G1809)=0,"TK Có sai! ","")&amp;IF(N($H1809)&lt;=0,"Tiền phải &gt; 0! ","")&amp;IF($B1809="","Thiếu ngày! ","")&amp;IF(AND(OR(LEFT($F1809,3)="131",LEFT($G1809,3)="131",LEFT($F1809,3)="331",LEFT($G1809,3)="331"),$I1809=""),"Thiếu Mã ĐT! ","")&amp;IF(AND($I1809&lt;&gt;"",COUNTIF(DM_DT!$A$7:$A$306,$I1809)=0),"Mã ĐT chưa khai báo! ","")))</f>
        <v/>
      </c>
      <c r="M1809" s="117">
        <f>IF($H1809="","",IF(AND(OR(LEFT($F1809,3)="111",LEFT($F1809,3)="112",LEFT($F1809,3)="113"),OR(LEFT($G1809,3)="111",LEFT($G1809,3)="112",LEFT($G1809,3)="113")),"NB",IF(OR(LEFT($F1809,3)="111",LEFT($F1809,3)="112",LEFT($F1809,3)="113"),"THU",IF(OR(LEFT($G1809,3)="111",LEFT($G1809,3)="112",LEFT($G1809,3)="113"),"CHI",""))))</f>
        <v/>
      </c>
      <c r="N1809" s="117">
        <f>IF($M1809="THU",$G1809,IF($M1809="CHI",$F1809,""))</f>
        <v/>
      </c>
      <c r="O1809" s="117">
        <f>IF(OR($M1809="",$M1809="NB"),"",IF($J1809&lt;&gt;"",TEXT($J1809,"00"),IFERROR(VLOOKUP(LEFT($N1809,4),LCTT_MAP!$A$7:$C$66,IF($M1809="THU",2,3),FALSE()),IFERROR(VLOOKUP(LEFT($N1809,3),LCTT_MAP!$A$7:$C$66,IF($M1809="THU",2,3),FALSE()),IFERROR(VLOOKUP(LEFT($N1809,2),LCTT_MAP!$A$7:$C$66,IF($M1809="THU",2,3),FALSE()),IFERROR(VLOOKUP(LEFT($N1809,1),LCTT_MAP!$A$7:$C$66,IF($M1809="THU",2,3),FALSE()),IF($M1809="THU","06","07")))))))</f>
        <v/>
      </c>
      <c r="P1809" s="117">
        <f>P1808+IF(AND($H1809&lt;&gt;"",OR(LEFT($F1809,LEN(SC_TK))=SC_TK,LEFT($G1809,LEN(SC_TK))=SC_TK)),1,0)</f>
        <v/>
      </c>
    </row>
    <row r="1810" ht="15" customHeight="1" s="78">
      <c r="A1810" s="95">
        <f>IF($H1810="","",ROW()-6)</f>
        <v/>
      </c>
      <c r="B1810" s="114" t="n"/>
      <c r="C1810" s="102" t="n"/>
      <c r="D1810" s="114" t="n"/>
      <c r="E1810" s="103" t="n"/>
      <c r="F1810" s="102" t="n"/>
      <c r="G1810" s="102" t="n"/>
      <c r="H1810" s="115" t="n"/>
      <c r="I1810" s="102" t="n"/>
      <c r="J1810" s="102" t="n"/>
      <c r="K1810" s="103" t="n"/>
      <c r="L1810" s="116">
        <f>IF($H1810="","",TRIM(IF(COUNTIF(DMTK!$A$7:$A$250,$F1810)=0,"TK Nợ sai! ","")&amp;IF(COUNTIF(DMTK!$A$7:$A$250,$G1810)=0,"TK Có sai! ","")&amp;IF(N($H1810)&lt;=0,"Tiền phải &gt; 0! ","")&amp;IF($B1810="","Thiếu ngày! ","")&amp;IF(AND(OR(LEFT($F1810,3)="131",LEFT($G1810,3)="131",LEFT($F1810,3)="331",LEFT($G1810,3)="331"),$I1810=""),"Thiếu Mã ĐT! ","")&amp;IF(AND($I1810&lt;&gt;"",COUNTIF(DM_DT!$A$7:$A$306,$I1810)=0),"Mã ĐT chưa khai báo! ","")))</f>
        <v/>
      </c>
      <c r="M1810" s="117">
        <f>IF($H1810="","",IF(AND(OR(LEFT($F1810,3)="111",LEFT($F1810,3)="112",LEFT($F1810,3)="113"),OR(LEFT($G1810,3)="111",LEFT($G1810,3)="112",LEFT($G1810,3)="113")),"NB",IF(OR(LEFT($F1810,3)="111",LEFT($F1810,3)="112",LEFT($F1810,3)="113"),"THU",IF(OR(LEFT($G1810,3)="111",LEFT($G1810,3)="112",LEFT($G1810,3)="113"),"CHI",""))))</f>
        <v/>
      </c>
      <c r="N1810" s="117">
        <f>IF($M1810="THU",$G1810,IF($M1810="CHI",$F1810,""))</f>
        <v/>
      </c>
      <c r="O1810" s="117">
        <f>IF(OR($M1810="",$M1810="NB"),"",IF($J1810&lt;&gt;"",TEXT($J1810,"00"),IFERROR(VLOOKUP(LEFT($N1810,4),LCTT_MAP!$A$7:$C$66,IF($M1810="THU",2,3),FALSE()),IFERROR(VLOOKUP(LEFT($N1810,3),LCTT_MAP!$A$7:$C$66,IF($M1810="THU",2,3),FALSE()),IFERROR(VLOOKUP(LEFT($N1810,2),LCTT_MAP!$A$7:$C$66,IF($M1810="THU",2,3),FALSE()),IFERROR(VLOOKUP(LEFT($N1810,1),LCTT_MAP!$A$7:$C$66,IF($M1810="THU",2,3),FALSE()),IF($M1810="THU","06","07")))))))</f>
        <v/>
      </c>
      <c r="P1810" s="117">
        <f>P1809+IF(AND($H1810&lt;&gt;"",OR(LEFT($F1810,LEN(SC_TK))=SC_TK,LEFT($G1810,LEN(SC_TK))=SC_TK)),1,0)</f>
        <v/>
      </c>
    </row>
    <row r="1811" ht="15" customHeight="1" s="78">
      <c r="A1811" s="95">
        <f>IF($H1811="","",ROW()-6)</f>
        <v/>
      </c>
      <c r="B1811" s="114" t="n"/>
      <c r="C1811" s="102" t="n"/>
      <c r="D1811" s="114" t="n"/>
      <c r="E1811" s="103" t="n"/>
      <c r="F1811" s="102" t="n"/>
      <c r="G1811" s="102" t="n"/>
      <c r="H1811" s="115" t="n"/>
      <c r="I1811" s="102" t="n"/>
      <c r="J1811" s="102" t="n"/>
      <c r="K1811" s="103" t="n"/>
      <c r="L1811" s="116">
        <f>IF($H1811="","",TRIM(IF(COUNTIF(DMTK!$A$7:$A$250,$F1811)=0,"TK Nợ sai! ","")&amp;IF(COUNTIF(DMTK!$A$7:$A$250,$G1811)=0,"TK Có sai! ","")&amp;IF(N($H1811)&lt;=0,"Tiền phải &gt; 0! ","")&amp;IF($B1811="","Thiếu ngày! ","")&amp;IF(AND(OR(LEFT($F1811,3)="131",LEFT($G1811,3)="131",LEFT($F1811,3)="331",LEFT($G1811,3)="331"),$I1811=""),"Thiếu Mã ĐT! ","")&amp;IF(AND($I1811&lt;&gt;"",COUNTIF(DM_DT!$A$7:$A$306,$I1811)=0),"Mã ĐT chưa khai báo! ","")))</f>
        <v/>
      </c>
      <c r="M1811" s="117">
        <f>IF($H1811="","",IF(AND(OR(LEFT($F1811,3)="111",LEFT($F1811,3)="112",LEFT($F1811,3)="113"),OR(LEFT($G1811,3)="111",LEFT($G1811,3)="112",LEFT($G1811,3)="113")),"NB",IF(OR(LEFT($F1811,3)="111",LEFT($F1811,3)="112",LEFT($F1811,3)="113"),"THU",IF(OR(LEFT($G1811,3)="111",LEFT($G1811,3)="112",LEFT($G1811,3)="113"),"CHI",""))))</f>
        <v/>
      </c>
      <c r="N1811" s="117">
        <f>IF($M1811="THU",$G1811,IF($M1811="CHI",$F1811,""))</f>
        <v/>
      </c>
      <c r="O1811" s="117">
        <f>IF(OR($M1811="",$M1811="NB"),"",IF($J1811&lt;&gt;"",TEXT($J1811,"00"),IFERROR(VLOOKUP(LEFT($N1811,4),LCTT_MAP!$A$7:$C$66,IF($M1811="THU",2,3),FALSE()),IFERROR(VLOOKUP(LEFT($N1811,3),LCTT_MAP!$A$7:$C$66,IF($M1811="THU",2,3),FALSE()),IFERROR(VLOOKUP(LEFT($N1811,2),LCTT_MAP!$A$7:$C$66,IF($M1811="THU",2,3),FALSE()),IFERROR(VLOOKUP(LEFT($N1811,1),LCTT_MAP!$A$7:$C$66,IF($M1811="THU",2,3),FALSE()),IF($M1811="THU","06","07")))))))</f>
        <v/>
      </c>
      <c r="P1811" s="117">
        <f>P1810+IF(AND($H1811&lt;&gt;"",OR(LEFT($F1811,LEN(SC_TK))=SC_TK,LEFT($G1811,LEN(SC_TK))=SC_TK)),1,0)</f>
        <v/>
      </c>
    </row>
    <row r="1812" ht="15" customHeight="1" s="78">
      <c r="A1812" s="95">
        <f>IF($H1812="","",ROW()-6)</f>
        <v/>
      </c>
      <c r="B1812" s="114" t="n"/>
      <c r="C1812" s="102" t="n"/>
      <c r="D1812" s="114" t="n"/>
      <c r="E1812" s="103" t="n"/>
      <c r="F1812" s="102" t="n"/>
      <c r="G1812" s="102" t="n"/>
      <c r="H1812" s="115" t="n"/>
      <c r="I1812" s="102" t="n"/>
      <c r="J1812" s="102" t="n"/>
      <c r="K1812" s="103" t="n"/>
      <c r="L1812" s="116">
        <f>IF($H1812="","",TRIM(IF(COUNTIF(DMTK!$A$7:$A$250,$F1812)=0,"TK Nợ sai! ","")&amp;IF(COUNTIF(DMTK!$A$7:$A$250,$G1812)=0,"TK Có sai! ","")&amp;IF(N($H1812)&lt;=0,"Tiền phải &gt; 0! ","")&amp;IF($B1812="","Thiếu ngày! ","")&amp;IF(AND(OR(LEFT($F1812,3)="131",LEFT($G1812,3)="131",LEFT($F1812,3)="331",LEFT($G1812,3)="331"),$I1812=""),"Thiếu Mã ĐT! ","")&amp;IF(AND($I1812&lt;&gt;"",COUNTIF(DM_DT!$A$7:$A$306,$I1812)=0),"Mã ĐT chưa khai báo! ","")))</f>
        <v/>
      </c>
      <c r="M1812" s="117">
        <f>IF($H1812="","",IF(AND(OR(LEFT($F1812,3)="111",LEFT($F1812,3)="112",LEFT($F1812,3)="113"),OR(LEFT($G1812,3)="111",LEFT($G1812,3)="112",LEFT($G1812,3)="113")),"NB",IF(OR(LEFT($F1812,3)="111",LEFT($F1812,3)="112",LEFT($F1812,3)="113"),"THU",IF(OR(LEFT($G1812,3)="111",LEFT($G1812,3)="112",LEFT($G1812,3)="113"),"CHI",""))))</f>
        <v/>
      </c>
      <c r="N1812" s="117">
        <f>IF($M1812="THU",$G1812,IF($M1812="CHI",$F1812,""))</f>
        <v/>
      </c>
      <c r="O1812" s="117">
        <f>IF(OR($M1812="",$M1812="NB"),"",IF($J1812&lt;&gt;"",TEXT($J1812,"00"),IFERROR(VLOOKUP(LEFT($N1812,4),LCTT_MAP!$A$7:$C$66,IF($M1812="THU",2,3),FALSE()),IFERROR(VLOOKUP(LEFT($N1812,3),LCTT_MAP!$A$7:$C$66,IF($M1812="THU",2,3),FALSE()),IFERROR(VLOOKUP(LEFT($N1812,2),LCTT_MAP!$A$7:$C$66,IF($M1812="THU",2,3),FALSE()),IFERROR(VLOOKUP(LEFT($N1812,1),LCTT_MAP!$A$7:$C$66,IF($M1812="THU",2,3),FALSE()),IF($M1812="THU","06","07")))))))</f>
        <v/>
      </c>
      <c r="P1812" s="117">
        <f>P1811+IF(AND($H1812&lt;&gt;"",OR(LEFT($F1812,LEN(SC_TK))=SC_TK,LEFT($G1812,LEN(SC_TK))=SC_TK)),1,0)</f>
        <v/>
      </c>
    </row>
    <row r="1813" ht="15" customHeight="1" s="78">
      <c r="A1813" s="95">
        <f>IF($H1813="","",ROW()-6)</f>
        <v/>
      </c>
      <c r="B1813" s="114" t="n"/>
      <c r="C1813" s="102" t="n"/>
      <c r="D1813" s="114" t="n"/>
      <c r="E1813" s="103" t="n"/>
      <c r="F1813" s="102" t="n"/>
      <c r="G1813" s="102" t="n"/>
      <c r="H1813" s="115" t="n"/>
      <c r="I1813" s="102" t="n"/>
      <c r="J1813" s="102" t="n"/>
      <c r="K1813" s="103" t="n"/>
      <c r="L1813" s="116">
        <f>IF($H1813="","",TRIM(IF(COUNTIF(DMTK!$A$7:$A$250,$F1813)=0,"TK Nợ sai! ","")&amp;IF(COUNTIF(DMTK!$A$7:$A$250,$G1813)=0,"TK Có sai! ","")&amp;IF(N($H1813)&lt;=0,"Tiền phải &gt; 0! ","")&amp;IF($B1813="","Thiếu ngày! ","")&amp;IF(AND(OR(LEFT($F1813,3)="131",LEFT($G1813,3)="131",LEFT($F1813,3)="331",LEFT($G1813,3)="331"),$I1813=""),"Thiếu Mã ĐT! ","")&amp;IF(AND($I1813&lt;&gt;"",COUNTIF(DM_DT!$A$7:$A$306,$I1813)=0),"Mã ĐT chưa khai báo! ","")))</f>
        <v/>
      </c>
      <c r="M1813" s="117">
        <f>IF($H1813="","",IF(AND(OR(LEFT($F1813,3)="111",LEFT($F1813,3)="112",LEFT($F1813,3)="113"),OR(LEFT($G1813,3)="111",LEFT($G1813,3)="112",LEFT($G1813,3)="113")),"NB",IF(OR(LEFT($F1813,3)="111",LEFT($F1813,3)="112",LEFT($F1813,3)="113"),"THU",IF(OR(LEFT($G1813,3)="111",LEFT($G1813,3)="112",LEFT($G1813,3)="113"),"CHI",""))))</f>
        <v/>
      </c>
      <c r="N1813" s="117">
        <f>IF($M1813="THU",$G1813,IF($M1813="CHI",$F1813,""))</f>
        <v/>
      </c>
      <c r="O1813" s="117">
        <f>IF(OR($M1813="",$M1813="NB"),"",IF($J1813&lt;&gt;"",TEXT($J1813,"00"),IFERROR(VLOOKUP(LEFT($N1813,4),LCTT_MAP!$A$7:$C$66,IF($M1813="THU",2,3),FALSE()),IFERROR(VLOOKUP(LEFT($N1813,3),LCTT_MAP!$A$7:$C$66,IF($M1813="THU",2,3),FALSE()),IFERROR(VLOOKUP(LEFT($N1813,2),LCTT_MAP!$A$7:$C$66,IF($M1813="THU",2,3),FALSE()),IFERROR(VLOOKUP(LEFT($N1813,1),LCTT_MAP!$A$7:$C$66,IF($M1813="THU",2,3),FALSE()),IF($M1813="THU","06","07")))))))</f>
        <v/>
      </c>
      <c r="P1813" s="117">
        <f>P1812+IF(AND($H1813&lt;&gt;"",OR(LEFT($F1813,LEN(SC_TK))=SC_TK,LEFT($G1813,LEN(SC_TK))=SC_TK)),1,0)</f>
        <v/>
      </c>
    </row>
    <row r="1814" ht="15" customHeight="1" s="78">
      <c r="A1814" s="95">
        <f>IF($H1814="","",ROW()-6)</f>
        <v/>
      </c>
      <c r="B1814" s="114" t="n"/>
      <c r="C1814" s="102" t="n"/>
      <c r="D1814" s="114" t="n"/>
      <c r="E1814" s="103" t="n"/>
      <c r="F1814" s="102" t="n"/>
      <c r="G1814" s="102" t="n"/>
      <c r="H1814" s="115" t="n"/>
      <c r="I1814" s="102" t="n"/>
      <c r="J1814" s="102" t="n"/>
      <c r="K1814" s="103" t="n"/>
      <c r="L1814" s="116">
        <f>IF($H1814="","",TRIM(IF(COUNTIF(DMTK!$A$7:$A$250,$F1814)=0,"TK Nợ sai! ","")&amp;IF(COUNTIF(DMTK!$A$7:$A$250,$G1814)=0,"TK Có sai! ","")&amp;IF(N($H1814)&lt;=0,"Tiền phải &gt; 0! ","")&amp;IF($B1814="","Thiếu ngày! ","")&amp;IF(AND(OR(LEFT($F1814,3)="131",LEFT($G1814,3)="131",LEFT($F1814,3)="331",LEFT($G1814,3)="331"),$I1814=""),"Thiếu Mã ĐT! ","")&amp;IF(AND($I1814&lt;&gt;"",COUNTIF(DM_DT!$A$7:$A$306,$I1814)=0),"Mã ĐT chưa khai báo! ","")))</f>
        <v/>
      </c>
      <c r="M1814" s="117">
        <f>IF($H1814="","",IF(AND(OR(LEFT($F1814,3)="111",LEFT($F1814,3)="112",LEFT($F1814,3)="113"),OR(LEFT($G1814,3)="111",LEFT($G1814,3)="112",LEFT($G1814,3)="113")),"NB",IF(OR(LEFT($F1814,3)="111",LEFT($F1814,3)="112",LEFT($F1814,3)="113"),"THU",IF(OR(LEFT($G1814,3)="111",LEFT($G1814,3)="112",LEFT($G1814,3)="113"),"CHI",""))))</f>
        <v/>
      </c>
      <c r="N1814" s="117">
        <f>IF($M1814="THU",$G1814,IF($M1814="CHI",$F1814,""))</f>
        <v/>
      </c>
      <c r="O1814" s="117">
        <f>IF(OR($M1814="",$M1814="NB"),"",IF($J1814&lt;&gt;"",TEXT($J1814,"00"),IFERROR(VLOOKUP(LEFT($N1814,4),LCTT_MAP!$A$7:$C$66,IF($M1814="THU",2,3),FALSE()),IFERROR(VLOOKUP(LEFT($N1814,3),LCTT_MAP!$A$7:$C$66,IF($M1814="THU",2,3),FALSE()),IFERROR(VLOOKUP(LEFT($N1814,2),LCTT_MAP!$A$7:$C$66,IF($M1814="THU",2,3),FALSE()),IFERROR(VLOOKUP(LEFT($N1814,1),LCTT_MAP!$A$7:$C$66,IF($M1814="THU",2,3),FALSE()),IF($M1814="THU","06","07")))))))</f>
        <v/>
      </c>
      <c r="P1814" s="117">
        <f>P1813+IF(AND($H1814&lt;&gt;"",OR(LEFT($F1814,LEN(SC_TK))=SC_TK,LEFT($G1814,LEN(SC_TK))=SC_TK)),1,0)</f>
        <v/>
      </c>
    </row>
    <row r="1815" ht="15" customHeight="1" s="78">
      <c r="A1815" s="95">
        <f>IF($H1815="","",ROW()-6)</f>
        <v/>
      </c>
      <c r="B1815" s="114" t="n"/>
      <c r="C1815" s="102" t="n"/>
      <c r="D1815" s="114" t="n"/>
      <c r="E1815" s="103" t="n"/>
      <c r="F1815" s="102" t="n"/>
      <c r="G1815" s="102" t="n"/>
      <c r="H1815" s="115" t="n"/>
      <c r="I1815" s="102" t="n"/>
      <c r="J1815" s="102" t="n"/>
      <c r="K1815" s="103" t="n"/>
      <c r="L1815" s="116">
        <f>IF($H1815="","",TRIM(IF(COUNTIF(DMTK!$A$7:$A$250,$F1815)=0,"TK Nợ sai! ","")&amp;IF(COUNTIF(DMTK!$A$7:$A$250,$G1815)=0,"TK Có sai! ","")&amp;IF(N($H1815)&lt;=0,"Tiền phải &gt; 0! ","")&amp;IF($B1815="","Thiếu ngày! ","")&amp;IF(AND(OR(LEFT($F1815,3)="131",LEFT($G1815,3)="131",LEFT($F1815,3)="331",LEFT($G1815,3)="331"),$I1815=""),"Thiếu Mã ĐT! ","")&amp;IF(AND($I1815&lt;&gt;"",COUNTIF(DM_DT!$A$7:$A$306,$I1815)=0),"Mã ĐT chưa khai báo! ","")))</f>
        <v/>
      </c>
      <c r="M1815" s="117">
        <f>IF($H1815="","",IF(AND(OR(LEFT($F1815,3)="111",LEFT($F1815,3)="112",LEFT($F1815,3)="113"),OR(LEFT($G1815,3)="111",LEFT($G1815,3)="112",LEFT($G1815,3)="113")),"NB",IF(OR(LEFT($F1815,3)="111",LEFT($F1815,3)="112",LEFT($F1815,3)="113"),"THU",IF(OR(LEFT($G1815,3)="111",LEFT($G1815,3)="112",LEFT($G1815,3)="113"),"CHI",""))))</f>
        <v/>
      </c>
      <c r="N1815" s="117">
        <f>IF($M1815="THU",$G1815,IF($M1815="CHI",$F1815,""))</f>
        <v/>
      </c>
      <c r="O1815" s="117">
        <f>IF(OR($M1815="",$M1815="NB"),"",IF($J1815&lt;&gt;"",TEXT($J1815,"00"),IFERROR(VLOOKUP(LEFT($N1815,4),LCTT_MAP!$A$7:$C$66,IF($M1815="THU",2,3),FALSE()),IFERROR(VLOOKUP(LEFT($N1815,3),LCTT_MAP!$A$7:$C$66,IF($M1815="THU",2,3),FALSE()),IFERROR(VLOOKUP(LEFT($N1815,2),LCTT_MAP!$A$7:$C$66,IF($M1815="THU",2,3),FALSE()),IFERROR(VLOOKUP(LEFT($N1815,1),LCTT_MAP!$A$7:$C$66,IF($M1815="THU",2,3),FALSE()),IF($M1815="THU","06","07")))))))</f>
        <v/>
      </c>
      <c r="P1815" s="117">
        <f>P1814+IF(AND($H1815&lt;&gt;"",OR(LEFT($F1815,LEN(SC_TK))=SC_TK,LEFT($G1815,LEN(SC_TK))=SC_TK)),1,0)</f>
        <v/>
      </c>
    </row>
    <row r="1816" ht="15" customHeight="1" s="78">
      <c r="A1816" s="95">
        <f>IF($H1816="","",ROW()-6)</f>
        <v/>
      </c>
      <c r="B1816" s="114" t="n"/>
      <c r="C1816" s="102" t="n"/>
      <c r="D1816" s="114" t="n"/>
      <c r="E1816" s="103" t="n"/>
      <c r="F1816" s="102" t="n"/>
      <c r="G1816" s="102" t="n"/>
      <c r="H1816" s="115" t="n"/>
      <c r="I1816" s="102" t="n"/>
      <c r="J1816" s="102" t="n"/>
      <c r="K1816" s="103" t="n"/>
      <c r="L1816" s="116">
        <f>IF($H1816="","",TRIM(IF(COUNTIF(DMTK!$A$7:$A$250,$F1816)=0,"TK Nợ sai! ","")&amp;IF(COUNTIF(DMTK!$A$7:$A$250,$G1816)=0,"TK Có sai! ","")&amp;IF(N($H1816)&lt;=0,"Tiền phải &gt; 0! ","")&amp;IF($B1816="","Thiếu ngày! ","")&amp;IF(AND(OR(LEFT($F1816,3)="131",LEFT($G1816,3)="131",LEFT($F1816,3)="331",LEFT($G1816,3)="331"),$I1816=""),"Thiếu Mã ĐT! ","")&amp;IF(AND($I1816&lt;&gt;"",COUNTIF(DM_DT!$A$7:$A$306,$I1816)=0),"Mã ĐT chưa khai báo! ","")))</f>
        <v/>
      </c>
      <c r="M1816" s="117">
        <f>IF($H1816="","",IF(AND(OR(LEFT($F1816,3)="111",LEFT($F1816,3)="112",LEFT($F1816,3)="113"),OR(LEFT($G1816,3)="111",LEFT($G1816,3)="112",LEFT($G1816,3)="113")),"NB",IF(OR(LEFT($F1816,3)="111",LEFT($F1816,3)="112",LEFT($F1816,3)="113"),"THU",IF(OR(LEFT($G1816,3)="111",LEFT($G1816,3)="112",LEFT($G1816,3)="113"),"CHI",""))))</f>
        <v/>
      </c>
      <c r="N1816" s="117">
        <f>IF($M1816="THU",$G1816,IF($M1816="CHI",$F1816,""))</f>
        <v/>
      </c>
      <c r="O1816" s="117">
        <f>IF(OR($M1816="",$M1816="NB"),"",IF($J1816&lt;&gt;"",TEXT($J1816,"00"),IFERROR(VLOOKUP(LEFT($N1816,4),LCTT_MAP!$A$7:$C$66,IF($M1816="THU",2,3),FALSE()),IFERROR(VLOOKUP(LEFT($N1816,3),LCTT_MAP!$A$7:$C$66,IF($M1816="THU",2,3),FALSE()),IFERROR(VLOOKUP(LEFT($N1816,2),LCTT_MAP!$A$7:$C$66,IF($M1816="THU",2,3),FALSE()),IFERROR(VLOOKUP(LEFT($N1816,1),LCTT_MAP!$A$7:$C$66,IF($M1816="THU",2,3),FALSE()),IF($M1816="THU","06","07")))))))</f>
        <v/>
      </c>
      <c r="P1816" s="117">
        <f>P1815+IF(AND($H1816&lt;&gt;"",OR(LEFT($F1816,LEN(SC_TK))=SC_TK,LEFT($G1816,LEN(SC_TK))=SC_TK)),1,0)</f>
        <v/>
      </c>
    </row>
    <row r="1817" ht="15" customHeight="1" s="78">
      <c r="A1817" s="95">
        <f>IF($H1817="","",ROW()-6)</f>
        <v/>
      </c>
      <c r="B1817" s="114" t="n"/>
      <c r="C1817" s="102" t="n"/>
      <c r="D1817" s="114" t="n"/>
      <c r="E1817" s="103" t="n"/>
      <c r="F1817" s="102" t="n"/>
      <c r="G1817" s="102" t="n"/>
      <c r="H1817" s="115" t="n"/>
      <c r="I1817" s="102" t="n"/>
      <c r="J1817" s="102" t="n"/>
      <c r="K1817" s="103" t="n"/>
      <c r="L1817" s="116">
        <f>IF($H1817="","",TRIM(IF(COUNTIF(DMTK!$A$7:$A$250,$F1817)=0,"TK Nợ sai! ","")&amp;IF(COUNTIF(DMTK!$A$7:$A$250,$G1817)=0,"TK Có sai! ","")&amp;IF(N($H1817)&lt;=0,"Tiền phải &gt; 0! ","")&amp;IF($B1817="","Thiếu ngày! ","")&amp;IF(AND(OR(LEFT($F1817,3)="131",LEFT($G1817,3)="131",LEFT($F1817,3)="331",LEFT($G1817,3)="331"),$I1817=""),"Thiếu Mã ĐT! ","")&amp;IF(AND($I1817&lt;&gt;"",COUNTIF(DM_DT!$A$7:$A$306,$I1817)=0),"Mã ĐT chưa khai báo! ","")))</f>
        <v/>
      </c>
      <c r="M1817" s="117">
        <f>IF($H1817="","",IF(AND(OR(LEFT($F1817,3)="111",LEFT($F1817,3)="112",LEFT($F1817,3)="113"),OR(LEFT($G1817,3)="111",LEFT($G1817,3)="112",LEFT($G1817,3)="113")),"NB",IF(OR(LEFT($F1817,3)="111",LEFT($F1817,3)="112",LEFT($F1817,3)="113"),"THU",IF(OR(LEFT($G1817,3)="111",LEFT($G1817,3)="112",LEFT($G1817,3)="113"),"CHI",""))))</f>
        <v/>
      </c>
      <c r="N1817" s="117">
        <f>IF($M1817="THU",$G1817,IF($M1817="CHI",$F1817,""))</f>
        <v/>
      </c>
      <c r="O1817" s="117">
        <f>IF(OR($M1817="",$M1817="NB"),"",IF($J1817&lt;&gt;"",TEXT($J1817,"00"),IFERROR(VLOOKUP(LEFT($N1817,4),LCTT_MAP!$A$7:$C$66,IF($M1817="THU",2,3),FALSE()),IFERROR(VLOOKUP(LEFT($N1817,3),LCTT_MAP!$A$7:$C$66,IF($M1817="THU",2,3),FALSE()),IFERROR(VLOOKUP(LEFT($N1817,2),LCTT_MAP!$A$7:$C$66,IF($M1817="THU",2,3),FALSE()),IFERROR(VLOOKUP(LEFT($N1817,1),LCTT_MAP!$A$7:$C$66,IF($M1817="THU",2,3),FALSE()),IF($M1817="THU","06","07")))))))</f>
        <v/>
      </c>
      <c r="P1817" s="117">
        <f>P1816+IF(AND($H1817&lt;&gt;"",OR(LEFT($F1817,LEN(SC_TK))=SC_TK,LEFT($G1817,LEN(SC_TK))=SC_TK)),1,0)</f>
        <v/>
      </c>
    </row>
    <row r="1818" ht="15" customHeight="1" s="78">
      <c r="A1818" s="95">
        <f>IF($H1818="","",ROW()-6)</f>
        <v/>
      </c>
      <c r="B1818" s="114" t="n"/>
      <c r="C1818" s="102" t="n"/>
      <c r="D1818" s="114" t="n"/>
      <c r="E1818" s="103" t="n"/>
      <c r="F1818" s="102" t="n"/>
      <c r="G1818" s="102" t="n"/>
      <c r="H1818" s="115" t="n"/>
      <c r="I1818" s="102" t="n"/>
      <c r="J1818" s="102" t="n"/>
      <c r="K1818" s="103" t="n"/>
      <c r="L1818" s="116">
        <f>IF($H1818="","",TRIM(IF(COUNTIF(DMTK!$A$7:$A$250,$F1818)=0,"TK Nợ sai! ","")&amp;IF(COUNTIF(DMTK!$A$7:$A$250,$G1818)=0,"TK Có sai! ","")&amp;IF(N($H1818)&lt;=0,"Tiền phải &gt; 0! ","")&amp;IF($B1818="","Thiếu ngày! ","")&amp;IF(AND(OR(LEFT($F1818,3)="131",LEFT($G1818,3)="131",LEFT($F1818,3)="331",LEFT($G1818,3)="331"),$I1818=""),"Thiếu Mã ĐT! ","")&amp;IF(AND($I1818&lt;&gt;"",COUNTIF(DM_DT!$A$7:$A$306,$I1818)=0),"Mã ĐT chưa khai báo! ","")))</f>
        <v/>
      </c>
      <c r="M1818" s="117">
        <f>IF($H1818="","",IF(AND(OR(LEFT($F1818,3)="111",LEFT($F1818,3)="112",LEFT($F1818,3)="113"),OR(LEFT($G1818,3)="111",LEFT($G1818,3)="112",LEFT($G1818,3)="113")),"NB",IF(OR(LEFT($F1818,3)="111",LEFT($F1818,3)="112",LEFT($F1818,3)="113"),"THU",IF(OR(LEFT($G1818,3)="111",LEFT($G1818,3)="112",LEFT($G1818,3)="113"),"CHI",""))))</f>
        <v/>
      </c>
      <c r="N1818" s="117">
        <f>IF($M1818="THU",$G1818,IF($M1818="CHI",$F1818,""))</f>
        <v/>
      </c>
      <c r="O1818" s="117">
        <f>IF(OR($M1818="",$M1818="NB"),"",IF($J1818&lt;&gt;"",TEXT($J1818,"00"),IFERROR(VLOOKUP(LEFT($N1818,4),LCTT_MAP!$A$7:$C$66,IF($M1818="THU",2,3),FALSE()),IFERROR(VLOOKUP(LEFT($N1818,3),LCTT_MAP!$A$7:$C$66,IF($M1818="THU",2,3),FALSE()),IFERROR(VLOOKUP(LEFT($N1818,2),LCTT_MAP!$A$7:$C$66,IF($M1818="THU",2,3),FALSE()),IFERROR(VLOOKUP(LEFT($N1818,1),LCTT_MAP!$A$7:$C$66,IF($M1818="THU",2,3),FALSE()),IF($M1818="THU","06","07")))))))</f>
        <v/>
      </c>
      <c r="P1818" s="117">
        <f>P1817+IF(AND($H1818&lt;&gt;"",OR(LEFT($F1818,LEN(SC_TK))=SC_TK,LEFT($G1818,LEN(SC_TK))=SC_TK)),1,0)</f>
        <v/>
      </c>
    </row>
    <row r="1819" ht="15" customHeight="1" s="78">
      <c r="A1819" s="95">
        <f>IF($H1819="","",ROW()-6)</f>
        <v/>
      </c>
      <c r="B1819" s="114" t="n"/>
      <c r="C1819" s="102" t="n"/>
      <c r="D1819" s="114" t="n"/>
      <c r="E1819" s="103" t="n"/>
      <c r="F1819" s="102" t="n"/>
      <c r="G1819" s="102" t="n"/>
      <c r="H1819" s="115" t="n"/>
      <c r="I1819" s="102" t="n"/>
      <c r="J1819" s="102" t="n"/>
      <c r="K1819" s="103" t="n"/>
      <c r="L1819" s="116">
        <f>IF($H1819="","",TRIM(IF(COUNTIF(DMTK!$A$7:$A$250,$F1819)=0,"TK Nợ sai! ","")&amp;IF(COUNTIF(DMTK!$A$7:$A$250,$G1819)=0,"TK Có sai! ","")&amp;IF(N($H1819)&lt;=0,"Tiền phải &gt; 0! ","")&amp;IF($B1819="","Thiếu ngày! ","")&amp;IF(AND(OR(LEFT($F1819,3)="131",LEFT($G1819,3)="131",LEFT($F1819,3)="331",LEFT($G1819,3)="331"),$I1819=""),"Thiếu Mã ĐT! ","")&amp;IF(AND($I1819&lt;&gt;"",COUNTIF(DM_DT!$A$7:$A$306,$I1819)=0),"Mã ĐT chưa khai báo! ","")))</f>
        <v/>
      </c>
      <c r="M1819" s="117">
        <f>IF($H1819="","",IF(AND(OR(LEFT($F1819,3)="111",LEFT($F1819,3)="112",LEFT($F1819,3)="113"),OR(LEFT($G1819,3)="111",LEFT($G1819,3)="112",LEFT($G1819,3)="113")),"NB",IF(OR(LEFT($F1819,3)="111",LEFT($F1819,3)="112",LEFT($F1819,3)="113"),"THU",IF(OR(LEFT($G1819,3)="111",LEFT($G1819,3)="112",LEFT($G1819,3)="113"),"CHI",""))))</f>
        <v/>
      </c>
      <c r="N1819" s="117">
        <f>IF($M1819="THU",$G1819,IF($M1819="CHI",$F1819,""))</f>
        <v/>
      </c>
      <c r="O1819" s="117">
        <f>IF(OR($M1819="",$M1819="NB"),"",IF($J1819&lt;&gt;"",TEXT($J1819,"00"),IFERROR(VLOOKUP(LEFT($N1819,4),LCTT_MAP!$A$7:$C$66,IF($M1819="THU",2,3),FALSE()),IFERROR(VLOOKUP(LEFT($N1819,3),LCTT_MAP!$A$7:$C$66,IF($M1819="THU",2,3),FALSE()),IFERROR(VLOOKUP(LEFT($N1819,2),LCTT_MAP!$A$7:$C$66,IF($M1819="THU",2,3),FALSE()),IFERROR(VLOOKUP(LEFT($N1819,1),LCTT_MAP!$A$7:$C$66,IF($M1819="THU",2,3),FALSE()),IF($M1819="THU","06","07")))))))</f>
        <v/>
      </c>
      <c r="P1819" s="117">
        <f>P1818+IF(AND($H1819&lt;&gt;"",OR(LEFT($F1819,LEN(SC_TK))=SC_TK,LEFT($G1819,LEN(SC_TK))=SC_TK)),1,0)</f>
        <v/>
      </c>
    </row>
    <row r="1820" ht="15" customHeight="1" s="78">
      <c r="A1820" s="95">
        <f>IF($H1820="","",ROW()-6)</f>
        <v/>
      </c>
      <c r="B1820" s="114" t="n"/>
      <c r="C1820" s="102" t="n"/>
      <c r="D1820" s="114" t="n"/>
      <c r="E1820" s="103" t="n"/>
      <c r="F1820" s="102" t="n"/>
      <c r="G1820" s="102" t="n"/>
      <c r="H1820" s="115" t="n"/>
      <c r="I1820" s="102" t="n"/>
      <c r="J1820" s="102" t="n"/>
      <c r="K1820" s="103" t="n"/>
      <c r="L1820" s="116">
        <f>IF($H1820="","",TRIM(IF(COUNTIF(DMTK!$A$7:$A$250,$F1820)=0,"TK Nợ sai! ","")&amp;IF(COUNTIF(DMTK!$A$7:$A$250,$G1820)=0,"TK Có sai! ","")&amp;IF(N($H1820)&lt;=0,"Tiền phải &gt; 0! ","")&amp;IF($B1820="","Thiếu ngày! ","")&amp;IF(AND(OR(LEFT($F1820,3)="131",LEFT($G1820,3)="131",LEFT($F1820,3)="331",LEFT($G1820,3)="331"),$I1820=""),"Thiếu Mã ĐT! ","")&amp;IF(AND($I1820&lt;&gt;"",COUNTIF(DM_DT!$A$7:$A$306,$I1820)=0),"Mã ĐT chưa khai báo! ","")))</f>
        <v/>
      </c>
      <c r="M1820" s="117">
        <f>IF($H1820="","",IF(AND(OR(LEFT($F1820,3)="111",LEFT($F1820,3)="112",LEFT($F1820,3)="113"),OR(LEFT($G1820,3)="111",LEFT($G1820,3)="112",LEFT($G1820,3)="113")),"NB",IF(OR(LEFT($F1820,3)="111",LEFT($F1820,3)="112",LEFT($F1820,3)="113"),"THU",IF(OR(LEFT($G1820,3)="111",LEFT($G1820,3)="112",LEFT($G1820,3)="113"),"CHI",""))))</f>
        <v/>
      </c>
      <c r="N1820" s="117">
        <f>IF($M1820="THU",$G1820,IF($M1820="CHI",$F1820,""))</f>
        <v/>
      </c>
      <c r="O1820" s="117">
        <f>IF(OR($M1820="",$M1820="NB"),"",IF($J1820&lt;&gt;"",TEXT($J1820,"00"),IFERROR(VLOOKUP(LEFT($N1820,4),LCTT_MAP!$A$7:$C$66,IF($M1820="THU",2,3),FALSE()),IFERROR(VLOOKUP(LEFT($N1820,3),LCTT_MAP!$A$7:$C$66,IF($M1820="THU",2,3),FALSE()),IFERROR(VLOOKUP(LEFT($N1820,2),LCTT_MAP!$A$7:$C$66,IF($M1820="THU",2,3),FALSE()),IFERROR(VLOOKUP(LEFT($N1820,1),LCTT_MAP!$A$7:$C$66,IF($M1820="THU",2,3),FALSE()),IF($M1820="THU","06","07")))))))</f>
        <v/>
      </c>
      <c r="P1820" s="117">
        <f>P1819+IF(AND($H1820&lt;&gt;"",OR(LEFT($F1820,LEN(SC_TK))=SC_TK,LEFT($G1820,LEN(SC_TK))=SC_TK)),1,0)</f>
        <v/>
      </c>
    </row>
    <row r="1821" ht="15" customHeight="1" s="78">
      <c r="A1821" s="95">
        <f>IF($H1821="","",ROW()-6)</f>
        <v/>
      </c>
      <c r="B1821" s="114" t="n"/>
      <c r="C1821" s="102" t="n"/>
      <c r="D1821" s="114" t="n"/>
      <c r="E1821" s="103" t="n"/>
      <c r="F1821" s="102" t="n"/>
      <c r="G1821" s="102" t="n"/>
      <c r="H1821" s="115" t="n"/>
      <c r="I1821" s="102" t="n"/>
      <c r="J1821" s="102" t="n"/>
      <c r="K1821" s="103" t="n"/>
      <c r="L1821" s="116">
        <f>IF($H1821="","",TRIM(IF(COUNTIF(DMTK!$A$7:$A$250,$F1821)=0,"TK Nợ sai! ","")&amp;IF(COUNTIF(DMTK!$A$7:$A$250,$G1821)=0,"TK Có sai! ","")&amp;IF(N($H1821)&lt;=0,"Tiền phải &gt; 0! ","")&amp;IF($B1821="","Thiếu ngày! ","")&amp;IF(AND(OR(LEFT($F1821,3)="131",LEFT($G1821,3)="131",LEFT($F1821,3)="331",LEFT($G1821,3)="331"),$I1821=""),"Thiếu Mã ĐT! ","")&amp;IF(AND($I1821&lt;&gt;"",COUNTIF(DM_DT!$A$7:$A$306,$I1821)=0),"Mã ĐT chưa khai báo! ","")))</f>
        <v/>
      </c>
      <c r="M1821" s="117">
        <f>IF($H1821="","",IF(AND(OR(LEFT($F1821,3)="111",LEFT($F1821,3)="112",LEFT($F1821,3)="113"),OR(LEFT($G1821,3)="111",LEFT($G1821,3)="112",LEFT($G1821,3)="113")),"NB",IF(OR(LEFT($F1821,3)="111",LEFT($F1821,3)="112",LEFT($F1821,3)="113"),"THU",IF(OR(LEFT($G1821,3)="111",LEFT($G1821,3)="112",LEFT($G1821,3)="113"),"CHI",""))))</f>
        <v/>
      </c>
      <c r="N1821" s="117">
        <f>IF($M1821="THU",$G1821,IF($M1821="CHI",$F1821,""))</f>
        <v/>
      </c>
      <c r="O1821" s="117">
        <f>IF(OR($M1821="",$M1821="NB"),"",IF($J1821&lt;&gt;"",TEXT($J1821,"00"),IFERROR(VLOOKUP(LEFT($N1821,4),LCTT_MAP!$A$7:$C$66,IF($M1821="THU",2,3),FALSE()),IFERROR(VLOOKUP(LEFT($N1821,3),LCTT_MAP!$A$7:$C$66,IF($M1821="THU",2,3),FALSE()),IFERROR(VLOOKUP(LEFT($N1821,2),LCTT_MAP!$A$7:$C$66,IF($M1821="THU",2,3),FALSE()),IFERROR(VLOOKUP(LEFT($N1821,1),LCTT_MAP!$A$7:$C$66,IF($M1821="THU",2,3),FALSE()),IF($M1821="THU","06","07")))))))</f>
        <v/>
      </c>
      <c r="P1821" s="117">
        <f>P1820+IF(AND($H1821&lt;&gt;"",OR(LEFT($F1821,LEN(SC_TK))=SC_TK,LEFT($G1821,LEN(SC_TK))=SC_TK)),1,0)</f>
        <v/>
      </c>
    </row>
    <row r="1822" ht="15" customHeight="1" s="78">
      <c r="A1822" s="95">
        <f>IF($H1822="","",ROW()-6)</f>
        <v/>
      </c>
      <c r="B1822" s="114" t="n"/>
      <c r="C1822" s="102" t="n"/>
      <c r="D1822" s="114" t="n"/>
      <c r="E1822" s="103" t="n"/>
      <c r="F1822" s="102" t="n"/>
      <c r="G1822" s="102" t="n"/>
      <c r="H1822" s="115" t="n"/>
      <c r="I1822" s="102" t="n"/>
      <c r="J1822" s="102" t="n"/>
      <c r="K1822" s="103" t="n"/>
      <c r="L1822" s="116">
        <f>IF($H1822="","",TRIM(IF(COUNTIF(DMTK!$A$7:$A$250,$F1822)=0,"TK Nợ sai! ","")&amp;IF(COUNTIF(DMTK!$A$7:$A$250,$G1822)=0,"TK Có sai! ","")&amp;IF(N($H1822)&lt;=0,"Tiền phải &gt; 0! ","")&amp;IF($B1822="","Thiếu ngày! ","")&amp;IF(AND(OR(LEFT($F1822,3)="131",LEFT($G1822,3)="131",LEFT($F1822,3)="331",LEFT($G1822,3)="331"),$I1822=""),"Thiếu Mã ĐT! ","")&amp;IF(AND($I1822&lt;&gt;"",COUNTIF(DM_DT!$A$7:$A$306,$I1822)=0),"Mã ĐT chưa khai báo! ","")))</f>
        <v/>
      </c>
      <c r="M1822" s="117">
        <f>IF($H1822="","",IF(AND(OR(LEFT($F1822,3)="111",LEFT($F1822,3)="112",LEFT($F1822,3)="113"),OR(LEFT($G1822,3)="111",LEFT($G1822,3)="112",LEFT($G1822,3)="113")),"NB",IF(OR(LEFT($F1822,3)="111",LEFT($F1822,3)="112",LEFT($F1822,3)="113"),"THU",IF(OR(LEFT($G1822,3)="111",LEFT($G1822,3)="112",LEFT($G1822,3)="113"),"CHI",""))))</f>
        <v/>
      </c>
      <c r="N1822" s="117">
        <f>IF($M1822="THU",$G1822,IF($M1822="CHI",$F1822,""))</f>
        <v/>
      </c>
      <c r="O1822" s="117">
        <f>IF(OR($M1822="",$M1822="NB"),"",IF($J1822&lt;&gt;"",TEXT($J1822,"00"),IFERROR(VLOOKUP(LEFT($N1822,4),LCTT_MAP!$A$7:$C$66,IF($M1822="THU",2,3),FALSE()),IFERROR(VLOOKUP(LEFT($N1822,3),LCTT_MAP!$A$7:$C$66,IF($M1822="THU",2,3),FALSE()),IFERROR(VLOOKUP(LEFT($N1822,2),LCTT_MAP!$A$7:$C$66,IF($M1822="THU",2,3),FALSE()),IFERROR(VLOOKUP(LEFT($N1822,1),LCTT_MAP!$A$7:$C$66,IF($M1822="THU",2,3),FALSE()),IF($M1822="THU","06","07")))))))</f>
        <v/>
      </c>
      <c r="P1822" s="117">
        <f>P1821+IF(AND($H1822&lt;&gt;"",OR(LEFT($F1822,LEN(SC_TK))=SC_TK,LEFT($G1822,LEN(SC_TK))=SC_TK)),1,0)</f>
        <v/>
      </c>
    </row>
    <row r="1823" ht="15" customHeight="1" s="78">
      <c r="A1823" s="95">
        <f>IF($H1823="","",ROW()-6)</f>
        <v/>
      </c>
      <c r="B1823" s="114" t="n"/>
      <c r="C1823" s="102" t="n"/>
      <c r="D1823" s="114" t="n"/>
      <c r="E1823" s="103" t="n"/>
      <c r="F1823" s="102" t="n"/>
      <c r="G1823" s="102" t="n"/>
      <c r="H1823" s="115" t="n"/>
      <c r="I1823" s="102" t="n"/>
      <c r="J1823" s="102" t="n"/>
      <c r="K1823" s="103" t="n"/>
      <c r="L1823" s="116">
        <f>IF($H1823="","",TRIM(IF(COUNTIF(DMTK!$A$7:$A$250,$F1823)=0,"TK Nợ sai! ","")&amp;IF(COUNTIF(DMTK!$A$7:$A$250,$G1823)=0,"TK Có sai! ","")&amp;IF(N($H1823)&lt;=0,"Tiền phải &gt; 0! ","")&amp;IF($B1823="","Thiếu ngày! ","")&amp;IF(AND(OR(LEFT($F1823,3)="131",LEFT($G1823,3)="131",LEFT($F1823,3)="331",LEFT($G1823,3)="331"),$I1823=""),"Thiếu Mã ĐT! ","")&amp;IF(AND($I1823&lt;&gt;"",COUNTIF(DM_DT!$A$7:$A$306,$I1823)=0),"Mã ĐT chưa khai báo! ","")))</f>
        <v/>
      </c>
      <c r="M1823" s="117">
        <f>IF($H1823="","",IF(AND(OR(LEFT($F1823,3)="111",LEFT($F1823,3)="112",LEFT($F1823,3)="113"),OR(LEFT($G1823,3)="111",LEFT($G1823,3)="112",LEFT($G1823,3)="113")),"NB",IF(OR(LEFT($F1823,3)="111",LEFT($F1823,3)="112",LEFT($F1823,3)="113"),"THU",IF(OR(LEFT($G1823,3)="111",LEFT($G1823,3)="112",LEFT($G1823,3)="113"),"CHI",""))))</f>
        <v/>
      </c>
      <c r="N1823" s="117">
        <f>IF($M1823="THU",$G1823,IF($M1823="CHI",$F1823,""))</f>
        <v/>
      </c>
      <c r="O1823" s="117">
        <f>IF(OR($M1823="",$M1823="NB"),"",IF($J1823&lt;&gt;"",TEXT($J1823,"00"),IFERROR(VLOOKUP(LEFT($N1823,4),LCTT_MAP!$A$7:$C$66,IF($M1823="THU",2,3),FALSE()),IFERROR(VLOOKUP(LEFT($N1823,3),LCTT_MAP!$A$7:$C$66,IF($M1823="THU",2,3),FALSE()),IFERROR(VLOOKUP(LEFT($N1823,2),LCTT_MAP!$A$7:$C$66,IF($M1823="THU",2,3),FALSE()),IFERROR(VLOOKUP(LEFT($N1823,1),LCTT_MAP!$A$7:$C$66,IF($M1823="THU",2,3),FALSE()),IF($M1823="THU","06","07")))))))</f>
        <v/>
      </c>
      <c r="P1823" s="117">
        <f>P1822+IF(AND($H1823&lt;&gt;"",OR(LEFT($F1823,LEN(SC_TK))=SC_TK,LEFT($G1823,LEN(SC_TK))=SC_TK)),1,0)</f>
        <v/>
      </c>
    </row>
    <row r="1824" ht="15" customHeight="1" s="78">
      <c r="A1824" s="95">
        <f>IF($H1824="","",ROW()-6)</f>
        <v/>
      </c>
      <c r="B1824" s="114" t="n"/>
      <c r="C1824" s="102" t="n"/>
      <c r="D1824" s="114" t="n"/>
      <c r="E1824" s="103" t="n"/>
      <c r="F1824" s="102" t="n"/>
      <c r="G1824" s="102" t="n"/>
      <c r="H1824" s="115" t="n"/>
      <c r="I1824" s="102" t="n"/>
      <c r="J1824" s="102" t="n"/>
      <c r="K1824" s="103" t="n"/>
      <c r="L1824" s="116">
        <f>IF($H1824="","",TRIM(IF(COUNTIF(DMTK!$A$7:$A$250,$F1824)=0,"TK Nợ sai! ","")&amp;IF(COUNTIF(DMTK!$A$7:$A$250,$G1824)=0,"TK Có sai! ","")&amp;IF(N($H1824)&lt;=0,"Tiền phải &gt; 0! ","")&amp;IF($B1824="","Thiếu ngày! ","")&amp;IF(AND(OR(LEFT($F1824,3)="131",LEFT($G1824,3)="131",LEFT($F1824,3)="331",LEFT($G1824,3)="331"),$I1824=""),"Thiếu Mã ĐT! ","")&amp;IF(AND($I1824&lt;&gt;"",COUNTIF(DM_DT!$A$7:$A$306,$I1824)=0),"Mã ĐT chưa khai báo! ","")))</f>
        <v/>
      </c>
      <c r="M1824" s="117">
        <f>IF($H1824="","",IF(AND(OR(LEFT($F1824,3)="111",LEFT($F1824,3)="112",LEFT($F1824,3)="113"),OR(LEFT($G1824,3)="111",LEFT($G1824,3)="112",LEFT($G1824,3)="113")),"NB",IF(OR(LEFT($F1824,3)="111",LEFT($F1824,3)="112",LEFT($F1824,3)="113"),"THU",IF(OR(LEFT($G1824,3)="111",LEFT($G1824,3)="112",LEFT($G1824,3)="113"),"CHI",""))))</f>
        <v/>
      </c>
      <c r="N1824" s="117">
        <f>IF($M1824="THU",$G1824,IF($M1824="CHI",$F1824,""))</f>
        <v/>
      </c>
      <c r="O1824" s="117">
        <f>IF(OR($M1824="",$M1824="NB"),"",IF($J1824&lt;&gt;"",TEXT($J1824,"00"),IFERROR(VLOOKUP(LEFT($N1824,4),LCTT_MAP!$A$7:$C$66,IF($M1824="THU",2,3),FALSE()),IFERROR(VLOOKUP(LEFT($N1824,3),LCTT_MAP!$A$7:$C$66,IF($M1824="THU",2,3),FALSE()),IFERROR(VLOOKUP(LEFT($N1824,2),LCTT_MAP!$A$7:$C$66,IF($M1824="THU",2,3),FALSE()),IFERROR(VLOOKUP(LEFT($N1824,1),LCTT_MAP!$A$7:$C$66,IF($M1824="THU",2,3),FALSE()),IF($M1824="THU","06","07")))))))</f>
        <v/>
      </c>
      <c r="P1824" s="117">
        <f>P1823+IF(AND($H1824&lt;&gt;"",OR(LEFT($F1824,LEN(SC_TK))=SC_TK,LEFT($G1824,LEN(SC_TK))=SC_TK)),1,0)</f>
        <v/>
      </c>
    </row>
    <row r="1825" ht="15" customHeight="1" s="78">
      <c r="A1825" s="95">
        <f>IF($H1825="","",ROW()-6)</f>
        <v/>
      </c>
      <c r="B1825" s="114" t="n"/>
      <c r="C1825" s="102" t="n"/>
      <c r="D1825" s="114" t="n"/>
      <c r="E1825" s="103" t="n"/>
      <c r="F1825" s="102" t="n"/>
      <c r="G1825" s="102" t="n"/>
      <c r="H1825" s="115" t="n"/>
      <c r="I1825" s="102" t="n"/>
      <c r="J1825" s="102" t="n"/>
      <c r="K1825" s="103" t="n"/>
      <c r="L1825" s="116">
        <f>IF($H1825="","",TRIM(IF(COUNTIF(DMTK!$A$7:$A$250,$F1825)=0,"TK Nợ sai! ","")&amp;IF(COUNTIF(DMTK!$A$7:$A$250,$G1825)=0,"TK Có sai! ","")&amp;IF(N($H1825)&lt;=0,"Tiền phải &gt; 0! ","")&amp;IF($B1825="","Thiếu ngày! ","")&amp;IF(AND(OR(LEFT($F1825,3)="131",LEFT($G1825,3)="131",LEFT($F1825,3)="331",LEFT($G1825,3)="331"),$I1825=""),"Thiếu Mã ĐT! ","")&amp;IF(AND($I1825&lt;&gt;"",COUNTIF(DM_DT!$A$7:$A$306,$I1825)=0),"Mã ĐT chưa khai báo! ","")))</f>
        <v/>
      </c>
      <c r="M1825" s="117">
        <f>IF($H1825="","",IF(AND(OR(LEFT($F1825,3)="111",LEFT($F1825,3)="112",LEFT($F1825,3)="113"),OR(LEFT($G1825,3)="111",LEFT($G1825,3)="112",LEFT($G1825,3)="113")),"NB",IF(OR(LEFT($F1825,3)="111",LEFT($F1825,3)="112",LEFT($F1825,3)="113"),"THU",IF(OR(LEFT($G1825,3)="111",LEFT($G1825,3)="112",LEFT($G1825,3)="113"),"CHI",""))))</f>
        <v/>
      </c>
      <c r="N1825" s="117">
        <f>IF($M1825="THU",$G1825,IF($M1825="CHI",$F1825,""))</f>
        <v/>
      </c>
      <c r="O1825" s="117">
        <f>IF(OR($M1825="",$M1825="NB"),"",IF($J1825&lt;&gt;"",TEXT($J1825,"00"),IFERROR(VLOOKUP(LEFT($N1825,4),LCTT_MAP!$A$7:$C$66,IF($M1825="THU",2,3),FALSE()),IFERROR(VLOOKUP(LEFT($N1825,3),LCTT_MAP!$A$7:$C$66,IF($M1825="THU",2,3),FALSE()),IFERROR(VLOOKUP(LEFT($N1825,2),LCTT_MAP!$A$7:$C$66,IF($M1825="THU",2,3),FALSE()),IFERROR(VLOOKUP(LEFT($N1825,1),LCTT_MAP!$A$7:$C$66,IF($M1825="THU",2,3),FALSE()),IF($M1825="THU","06","07")))))))</f>
        <v/>
      </c>
      <c r="P1825" s="117">
        <f>P1824+IF(AND($H1825&lt;&gt;"",OR(LEFT($F1825,LEN(SC_TK))=SC_TK,LEFT($G1825,LEN(SC_TK))=SC_TK)),1,0)</f>
        <v/>
      </c>
    </row>
    <row r="1826" ht="15" customHeight="1" s="78">
      <c r="A1826" s="95">
        <f>IF($H1826="","",ROW()-6)</f>
        <v/>
      </c>
      <c r="B1826" s="114" t="n"/>
      <c r="C1826" s="102" t="n"/>
      <c r="D1826" s="114" t="n"/>
      <c r="E1826" s="103" t="n"/>
      <c r="F1826" s="102" t="n"/>
      <c r="G1826" s="102" t="n"/>
      <c r="H1826" s="115" t="n"/>
      <c r="I1826" s="102" t="n"/>
      <c r="J1826" s="102" t="n"/>
      <c r="K1826" s="103" t="n"/>
      <c r="L1826" s="116">
        <f>IF($H1826="","",TRIM(IF(COUNTIF(DMTK!$A$7:$A$250,$F1826)=0,"TK Nợ sai! ","")&amp;IF(COUNTIF(DMTK!$A$7:$A$250,$G1826)=0,"TK Có sai! ","")&amp;IF(N($H1826)&lt;=0,"Tiền phải &gt; 0! ","")&amp;IF($B1826="","Thiếu ngày! ","")&amp;IF(AND(OR(LEFT($F1826,3)="131",LEFT($G1826,3)="131",LEFT($F1826,3)="331",LEFT($G1826,3)="331"),$I1826=""),"Thiếu Mã ĐT! ","")&amp;IF(AND($I1826&lt;&gt;"",COUNTIF(DM_DT!$A$7:$A$306,$I1826)=0),"Mã ĐT chưa khai báo! ","")))</f>
        <v/>
      </c>
      <c r="M1826" s="117">
        <f>IF($H1826="","",IF(AND(OR(LEFT($F1826,3)="111",LEFT($F1826,3)="112",LEFT($F1826,3)="113"),OR(LEFT($G1826,3)="111",LEFT($G1826,3)="112",LEFT($G1826,3)="113")),"NB",IF(OR(LEFT($F1826,3)="111",LEFT($F1826,3)="112",LEFT($F1826,3)="113"),"THU",IF(OR(LEFT($G1826,3)="111",LEFT($G1826,3)="112",LEFT($G1826,3)="113"),"CHI",""))))</f>
        <v/>
      </c>
      <c r="N1826" s="117">
        <f>IF($M1826="THU",$G1826,IF($M1826="CHI",$F1826,""))</f>
        <v/>
      </c>
      <c r="O1826" s="117">
        <f>IF(OR($M1826="",$M1826="NB"),"",IF($J1826&lt;&gt;"",TEXT($J1826,"00"),IFERROR(VLOOKUP(LEFT($N1826,4),LCTT_MAP!$A$7:$C$66,IF($M1826="THU",2,3),FALSE()),IFERROR(VLOOKUP(LEFT($N1826,3),LCTT_MAP!$A$7:$C$66,IF($M1826="THU",2,3),FALSE()),IFERROR(VLOOKUP(LEFT($N1826,2),LCTT_MAP!$A$7:$C$66,IF($M1826="THU",2,3),FALSE()),IFERROR(VLOOKUP(LEFT($N1826,1),LCTT_MAP!$A$7:$C$66,IF($M1826="THU",2,3),FALSE()),IF($M1826="THU","06","07")))))))</f>
        <v/>
      </c>
      <c r="P1826" s="117">
        <f>P1825+IF(AND($H1826&lt;&gt;"",OR(LEFT($F1826,LEN(SC_TK))=SC_TK,LEFT($G1826,LEN(SC_TK))=SC_TK)),1,0)</f>
        <v/>
      </c>
    </row>
    <row r="1827" ht="15" customHeight="1" s="78">
      <c r="A1827" s="95">
        <f>IF($H1827="","",ROW()-6)</f>
        <v/>
      </c>
      <c r="B1827" s="114" t="n"/>
      <c r="C1827" s="102" t="n"/>
      <c r="D1827" s="114" t="n"/>
      <c r="E1827" s="103" t="n"/>
      <c r="F1827" s="102" t="n"/>
      <c r="G1827" s="102" t="n"/>
      <c r="H1827" s="115" t="n"/>
      <c r="I1827" s="102" t="n"/>
      <c r="J1827" s="102" t="n"/>
      <c r="K1827" s="103" t="n"/>
      <c r="L1827" s="116">
        <f>IF($H1827="","",TRIM(IF(COUNTIF(DMTK!$A$7:$A$250,$F1827)=0,"TK Nợ sai! ","")&amp;IF(COUNTIF(DMTK!$A$7:$A$250,$G1827)=0,"TK Có sai! ","")&amp;IF(N($H1827)&lt;=0,"Tiền phải &gt; 0! ","")&amp;IF($B1827="","Thiếu ngày! ","")&amp;IF(AND(OR(LEFT($F1827,3)="131",LEFT($G1827,3)="131",LEFT($F1827,3)="331",LEFT($G1827,3)="331"),$I1827=""),"Thiếu Mã ĐT! ","")&amp;IF(AND($I1827&lt;&gt;"",COUNTIF(DM_DT!$A$7:$A$306,$I1827)=0),"Mã ĐT chưa khai báo! ","")))</f>
        <v/>
      </c>
      <c r="M1827" s="117">
        <f>IF($H1827="","",IF(AND(OR(LEFT($F1827,3)="111",LEFT($F1827,3)="112",LEFT($F1827,3)="113"),OR(LEFT($G1827,3)="111",LEFT($G1827,3)="112",LEFT($G1827,3)="113")),"NB",IF(OR(LEFT($F1827,3)="111",LEFT($F1827,3)="112",LEFT($F1827,3)="113"),"THU",IF(OR(LEFT($G1827,3)="111",LEFT($G1827,3)="112",LEFT($G1827,3)="113"),"CHI",""))))</f>
        <v/>
      </c>
      <c r="N1827" s="117">
        <f>IF($M1827="THU",$G1827,IF($M1827="CHI",$F1827,""))</f>
        <v/>
      </c>
      <c r="O1827" s="117">
        <f>IF(OR($M1827="",$M1827="NB"),"",IF($J1827&lt;&gt;"",TEXT($J1827,"00"),IFERROR(VLOOKUP(LEFT($N1827,4),LCTT_MAP!$A$7:$C$66,IF($M1827="THU",2,3),FALSE()),IFERROR(VLOOKUP(LEFT($N1827,3),LCTT_MAP!$A$7:$C$66,IF($M1827="THU",2,3),FALSE()),IFERROR(VLOOKUP(LEFT($N1827,2),LCTT_MAP!$A$7:$C$66,IF($M1827="THU",2,3),FALSE()),IFERROR(VLOOKUP(LEFT($N1827,1),LCTT_MAP!$A$7:$C$66,IF($M1827="THU",2,3),FALSE()),IF($M1827="THU","06","07")))))))</f>
        <v/>
      </c>
      <c r="P1827" s="117">
        <f>P1826+IF(AND($H1827&lt;&gt;"",OR(LEFT($F1827,LEN(SC_TK))=SC_TK,LEFT($G1827,LEN(SC_TK))=SC_TK)),1,0)</f>
        <v/>
      </c>
    </row>
    <row r="1828" ht="15" customHeight="1" s="78">
      <c r="A1828" s="95">
        <f>IF($H1828="","",ROW()-6)</f>
        <v/>
      </c>
      <c r="B1828" s="114" t="n"/>
      <c r="C1828" s="102" t="n"/>
      <c r="D1828" s="114" t="n"/>
      <c r="E1828" s="103" t="n"/>
      <c r="F1828" s="102" t="n"/>
      <c r="G1828" s="102" t="n"/>
      <c r="H1828" s="115" t="n"/>
      <c r="I1828" s="102" t="n"/>
      <c r="J1828" s="102" t="n"/>
      <c r="K1828" s="103" t="n"/>
      <c r="L1828" s="116">
        <f>IF($H1828="","",TRIM(IF(COUNTIF(DMTK!$A$7:$A$250,$F1828)=0,"TK Nợ sai! ","")&amp;IF(COUNTIF(DMTK!$A$7:$A$250,$G1828)=0,"TK Có sai! ","")&amp;IF(N($H1828)&lt;=0,"Tiền phải &gt; 0! ","")&amp;IF($B1828="","Thiếu ngày! ","")&amp;IF(AND(OR(LEFT($F1828,3)="131",LEFT($G1828,3)="131",LEFT($F1828,3)="331",LEFT($G1828,3)="331"),$I1828=""),"Thiếu Mã ĐT! ","")&amp;IF(AND($I1828&lt;&gt;"",COUNTIF(DM_DT!$A$7:$A$306,$I1828)=0),"Mã ĐT chưa khai báo! ","")))</f>
        <v/>
      </c>
      <c r="M1828" s="117">
        <f>IF($H1828="","",IF(AND(OR(LEFT($F1828,3)="111",LEFT($F1828,3)="112",LEFT($F1828,3)="113"),OR(LEFT($G1828,3)="111",LEFT($G1828,3)="112",LEFT($G1828,3)="113")),"NB",IF(OR(LEFT($F1828,3)="111",LEFT($F1828,3)="112",LEFT($F1828,3)="113"),"THU",IF(OR(LEFT($G1828,3)="111",LEFT($G1828,3)="112",LEFT($G1828,3)="113"),"CHI",""))))</f>
        <v/>
      </c>
      <c r="N1828" s="117">
        <f>IF($M1828="THU",$G1828,IF($M1828="CHI",$F1828,""))</f>
        <v/>
      </c>
      <c r="O1828" s="117">
        <f>IF(OR($M1828="",$M1828="NB"),"",IF($J1828&lt;&gt;"",TEXT($J1828,"00"),IFERROR(VLOOKUP(LEFT($N1828,4),LCTT_MAP!$A$7:$C$66,IF($M1828="THU",2,3),FALSE()),IFERROR(VLOOKUP(LEFT($N1828,3),LCTT_MAP!$A$7:$C$66,IF($M1828="THU",2,3),FALSE()),IFERROR(VLOOKUP(LEFT($N1828,2),LCTT_MAP!$A$7:$C$66,IF($M1828="THU",2,3),FALSE()),IFERROR(VLOOKUP(LEFT($N1828,1),LCTT_MAP!$A$7:$C$66,IF($M1828="THU",2,3),FALSE()),IF($M1828="THU","06","07")))))))</f>
        <v/>
      </c>
      <c r="P1828" s="117">
        <f>P1827+IF(AND($H1828&lt;&gt;"",OR(LEFT($F1828,LEN(SC_TK))=SC_TK,LEFT($G1828,LEN(SC_TK))=SC_TK)),1,0)</f>
        <v/>
      </c>
    </row>
    <row r="1829" ht="15" customHeight="1" s="78">
      <c r="A1829" s="95">
        <f>IF($H1829="","",ROW()-6)</f>
        <v/>
      </c>
      <c r="B1829" s="114" t="n"/>
      <c r="C1829" s="102" t="n"/>
      <c r="D1829" s="114" t="n"/>
      <c r="E1829" s="103" t="n"/>
      <c r="F1829" s="102" t="n"/>
      <c r="G1829" s="102" t="n"/>
      <c r="H1829" s="115" t="n"/>
      <c r="I1829" s="102" t="n"/>
      <c r="J1829" s="102" t="n"/>
      <c r="K1829" s="103" t="n"/>
      <c r="L1829" s="116">
        <f>IF($H1829="","",TRIM(IF(COUNTIF(DMTK!$A$7:$A$250,$F1829)=0,"TK Nợ sai! ","")&amp;IF(COUNTIF(DMTK!$A$7:$A$250,$G1829)=0,"TK Có sai! ","")&amp;IF(N($H1829)&lt;=0,"Tiền phải &gt; 0! ","")&amp;IF($B1829="","Thiếu ngày! ","")&amp;IF(AND(OR(LEFT($F1829,3)="131",LEFT($G1829,3)="131",LEFT($F1829,3)="331",LEFT($G1829,3)="331"),$I1829=""),"Thiếu Mã ĐT! ","")&amp;IF(AND($I1829&lt;&gt;"",COUNTIF(DM_DT!$A$7:$A$306,$I1829)=0),"Mã ĐT chưa khai báo! ","")))</f>
        <v/>
      </c>
      <c r="M1829" s="117">
        <f>IF($H1829="","",IF(AND(OR(LEFT($F1829,3)="111",LEFT($F1829,3)="112",LEFT($F1829,3)="113"),OR(LEFT($G1829,3)="111",LEFT($G1829,3)="112",LEFT($G1829,3)="113")),"NB",IF(OR(LEFT($F1829,3)="111",LEFT($F1829,3)="112",LEFT($F1829,3)="113"),"THU",IF(OR(LEFT($G1829,3)="111",LEFT($G1829,3)="112",LEFT($G1829,3)="113"),"CHI",""))))</f>
        <v/>
      </c>
      <c r="N1829" s="117">
        <f>IF($M1829="THU",$G1829,IF($M1829="CHI",$F1829,""))</f>
        <v/>
      </c>
      <c r="O1829" s="117">
        <f>IF(OR($M1829="",$M1829="NB"),"",IF($J1829&lt;&gt;"",TEXT($J1829,"00"),IFERROR(VLOOKUP(LEFT($N1829,4),LCTT_MAP!$A$7:$C$66,IF($M1829="THU",2,3),FALSE()),IFERROR(VLOOKUP(LEFT($N1829,3),LCTT_MAP!$A$7:$C$66,IF($M1829="THU",2,3),FALSE()),IFERROR(VLOOKUP(LEFT($N1829,2),LCTT_MAP!$A$7:$C$66,IF($M1829="THU",2,3),FALSE()),IFERROR(VLOOKUP(LEFT($N1829,1),LCTT_MAP!$A$7:$C$66,IF($M1829="THU",2,3),FALSE()),IF($M1829="THU","06","07")))))))</f>
        <v/>
      </c>
      <c r="P1829" s="117">
        <f>P1828+IF(AND($H1829&lt;&gt;"",OR(LEFT($F1829,LEN(SC_TK))=SC_TK,LEFT($G1829,LEN(SC_TK))=SC_TK)),1,0)</f>
        <v/>
      </c>
    </row>
    <row r="1830" ht="15" customHeight="1" s="78">
      <c r="A1830" s="95">
        <f>IF($H1830="","",ROW()-6)</f>
        <v/>
      </c>
      <c r="B1830" s="114" t="n"/>
      <c r="C1830" s="102" t="n"/>
      <c r="D1830" s="114" t="n"/>
      <c r="E1830" s="103" t="n"/>
      <c r="F1830" s="102" t="n"/>
      <c r="G1830" s="102" t="n"/>
      <c r="H1830" s="115" t="n"/>
      <c r="I1830" s="102" t="n"/>
      <c r="J1830" s="102" t="n"/>
      <c r="K1830" s="103" t="n"/>
      <c r="L1830" s="116">
        <f>IF($H1830="","",TRIM(IF(COUNTIF(DMTK!$A$7:$A$250,$F1830)=0,"TK Nợ sai! ","")&amp;IF(COUNTIF(DMTK!$A$7:$A$250,$G1830)=0,"TK Có sai! ","")&amp;IF(N($H1830)&lt;=0,"Tiền phải &gt; 0! ","")&amp;IF($B1830="","Thiếu ngày! ","")&amp;IF(AND(OR(LEFT($F1830,3)="131",LEFT($G1830,3)="131",LEFT($F1830,3)="331",LEFT($G1830,3)="331"),$I1830=""),"Thiếu Mã ĐT! ","")&amp;IF(AND($I1830&lt;&gt;"",COUNTIF(DM_DT!$A$7:$A$306,$I1830)=0),"Mã ĐT chưa khai báo! ","")))</f>
        <v/>
      </c>
      <c r="M1830" s="117">
        <f>IF($H1830="","",IF(AND(OR(LEFT($F1830,3)="111",LEFT($F1830,3)="112",LEFT($F1830,3)="113"),OR(LEFT($G1830,3)="111",LEFT($G1830,3)="112",LEFT($G1830,3)="113")),"NB",IF(OR(LEFT($F1830,3)="111",LEFT($F1830,3)="112",LEFT($F1830,3)="113"),"THU",IF(OR(LEFT($G1830,3)="111",LEFT($G1830,3)="112",LEFT($G1830,3)="113"),"CHI",""))))</f>
        <v/>
      </c>
      <c r="N1830" s="117">
        <f>IF($M1830="THU",$G1830,IF($M1830="CHI",$F1830,""))</f>
        <v/>
      </c>
      <c r="O1830" s="117">
        <f>IF(OR($M1830="",$M1830="NB"),"",IF($J1830&lt;&gt;"",TEXT($J1830,"00"),IFERROR(VLOOKUP(LEFT($N1830,4),LCTT_MAP!$A$7:$C$66,IF($M1830="THU",2,3),FALSE()),IFERROR(VLOOKUP(LEFT($N1830,3),LCTT_MAP!$A$7:$C$66,IF($M1830="THU",2,3),FALSE()),IFERROR(VLOOKUP(LEFT($N1830,2),LCTT_MAP!$A$7:$C$66,IF($M1830="THU",2,3),FALSE()),IFERROR(VLOOKUP(LEFT($N1830,1),LCTT_MAP!$A$7:$C$66,IF($M1830="THU",2,3),FALSE()),IF($M1830="THU","06","07")))))))</f>
        <v/>
      </c>
      <c r="P1830" s="117">
        <f>P1829+IF(AND($H1830&lt;&gt;"",OR(LEFT($F1830,LEN(SC_TK))=SC_TK,LEFT($G1830,LEN(SC_TK))=SC_TK)),1,0)</f>
        <v/>
      </c>
    </row>
    <row r="1831" ht="15" customHeight="1" s="78">
      <c r="A1831" s="95">
        <f>IF($H1831="","",ROW()-6)</f>
        <v/>
      </c>
      <c r="B1831" s="114" t="n"/>
      <c r="C1831" s="102" t="n"/>
      <c r="D1831" s="114" t="n"/>
      <c r="E1831" s="103" t="n"/>
      <c r="F1831" s="102" t="n"/>
      <c r="G1831" s="102" t="n"/>
      <c r="H1831" s="115" t="n"/>
      <c r="I1831" s="102" t="n"/>
      <c r="J1831" s="102" t="n"/>
      <c r="K1831" s="103" t="n"/>
      <c r="L1831" s="116">
        <f>IF($H1831="","",TRIM(IF(COUNTIF(DMTK!$A$7:$A$250,$F1831)=0,"TK Nợ sai! ","")&amp;IF(COUNTIF(DMTK!$A$7:$A$250,$G1831)=0,"TK Có sai! ","")&amp;IF(N($H1831)&lt;=0,"Tiền phải &gt; 0! ","")&amp;IF($B1831="","Thiếu ngày! ","")&amp;IF(AND(OR(LEFT($F1831,3)="131",LEFT($G1831,3)="131",LEFT($F1831,3)="331",LEFT($G1831,3)="331"),$I1831=""),"Thiếu Mã ĐT! ","")&amp;IF(AND($I1831&lt;&gt;"",COUNTIF(DM_DT!$A$7:$A$306,$I1831)=0),"Mã ĐT chưa khai báo! ","")))</f>
        <v/>
      </c>
      <c r="M1831" s="117">
        <f>IF($H1831="","",IF(AND(OR(LEFT($F1831,3)="111",LEFT($F1831,3)="112",LEFT($F1831,3)="113"),OR(LEFT($G1831,3)="111",LEFT($G1831,3)="112",LEFT($G1831,3)="113")),"NB",IF(OR(LEFT($F1831,3)="111",LEFT($F1831,3)="112",LEFT($F1831,3)="113"),"THU",IF(OR(LEFT($G1831,3)="111",LEFT($G1831,3)="112",LEFT($G1831,3)="113"),"CHI",""))))</f>
        <v/>
      </c>
      <c r="N1831" s="117">
        <f>IF($M1831="THU",$G1831,IF($M1831="CHI",$F1831,""))</f>
        <v/>
      </c>
      <c r="O1831" s="117">
        <f>IF(OR($M1831="",$M1831="NB"),"",IF($J1831&lt;&gt;"",TEXT($J1831,"00"),IFERROR(VLOOKUP(LEFT($N1831,4),LCTT_MAP!$A$7:$C$66,IF($M1831="THU",2,3),FALSE()),IFERROR(VLOOKUP(LEFT($N1831,3),LCTT_MAP!$A$7:$C$66,IF($M1831="THU",2,3),FALSE()),IFERROR(VLOOKUP(LEFT($N1831,2),LCTT_MAP!$A$7:$C$66,IF($M1831="THU",2,3),FALSE()),IFERROR(VLOOKUP(LEFT($N1831,1),LCTT_MAP!$A$7:$C$66,IF($M1831="THU",2,3),FALSE()),IF($M1831="THU","06","07")))))))</f>
        <v/>
      </c>
      <c r="P1831" s="117">
        <f>P1830+IF(AND($H1831&lt;&gt;"",OR(LEFT($F1831,LEN(SC_TK))=SC_TK,LEFT($G1831,LEN(SC_TK))=SC_TK)),1,0)</f>
        <v/>
      </c>
    </row>
    <row r="1832" ht="15" customHeight="1" s="78">
      <c r="A1832" s="95">
        <f>IF($H1832="","",ROW()-6)</f>
        <v/>
      </c>
      <c r="B1832" s="114" t="n"/>
      <c r="C1832" s="102" t="n"/>
      <c r="D1832" s="114" t="n"/>
      <c r="E1832" s="103" t="n"/>
      <c r="F1832" s="102" t="n"/>
      <c r="G1832" s="102" t="n"/>
      <c r="H1832" s="115" t="n"/>
      <c r="I1832" s="102" t="n"/>
      <c r="J1832" s="102" t="n"/>
      <c r="K1832" s="103" t="n"/>
      <c r="L1832" s="116">
        <f>IF($H1832="","",TRIM(IF(COUNTIF(DMTK!$A$7:$A$250,$F1832)=0,"TK Nợ sai! ","")&amp;IF(COUNTIF(DMTK!$A$7:$A$250,$G1832)=0,"TK Có sai! ","")&amp;IF(N($H1832)&lt;=0,"Tiền phải &gt; 0! ","")&amp;IF($B1832="","Thiếu ngày! ","")&amp;IF(AND(OR(LEFT($F1832,3)="131",LEFT($G1832,3)="131",LEFT($F1832,3)="331",LEFT($G1832,3)="331"),$I1832=""),"Thiếu Mã ĐT! ","")&amp;IF(AND($I1832&lt;&gt;"",COUNTIF(DM_DT!$A$7:$A$306,$I1832)=0),"Mã ĐT chưa khai báo! ","")))</f>
        <v/>
      </c>
      <c r="M1832" s="117">
        <f>IF($H1832="","",IF(AND(OR(LEFT($F1832,3)="111",LEFT($F1832,3)="112",LEFT($F1832,3)="113"),OR(LEFT($G1832,3)="111",LEFT($G1832,3)="112",LEFT($G1832,3)="113")),"NB",IF(OR(LEFT($F1832,3)="111",LEFT($F1832,3)="112",LEFT($F1832,3)="113"),"THU",IF(OR(LEFT($G1832,3)="111",LEFT($G1832,3)="112",LEFT($G1832,3)="113"),"CHI",""))))</f>
        <v/>
      </c>
      <c r="N1832" s="117">
        <f>IF($M1832="THU",$G1832,IF($M1832="CHI",$F1832,""))</f>
        <v/>
      </c>
      <c r="O1832" s="117">
        <f>IF(OR($M1832="",$M1832="NB"),"",IF($J1832&lt;&gt;"",TEXT($J1832,"00"),IFERROR(VLOOKUP(LEFT($N1832,4),LCTT_MAP!$A$7:$C$66,IF($M1832="THU",2,3),FALSE()),IFERROR(VLOOKUP(LEFT($N1832,3),LCTT_MAP!$A$7:$C$66,IF($M1832="THU",2,3),FALSE()),IFERROR(VLOOKUP(LEFT($N1832,2),LCTT_MAP!$A$7:$C$66,IF($M1832="THU",2,3),FALSE()),IFERROR(VLOOKUP(LEFT($N1832,1),LCTT_MAP!$A$7:$C$66,IF($M1832="THU",2,3),FALSE()),IF($M1832="THU","06","07")))))))</f>
        <v/>
      </c>
      <c r="P1832" s="117">
        <f>P1831+IF(AND($H1832&lt;&gt;"",OR(LEFT($F1832,LEN(SC_TK))=SC_TK,LEFT($G1832,LEN(SC_TK))=SC_TK)),1,0)</f>
        <v/>
      </c>
    </row>
    <row r="1833" ht="15" customHeight="1" s="78">
      <c r="A1833" s="95">
        <f>IF($H1833="","",ROW()-6)</f>
        <v/>
      </c>
      <c r="B1833" s="114" t="n"/>
      <c r="C1833" s="102" t="n"/>
      <c r="D1833" s="114" t="n"/>
      <c r="E1833" s="103" t="n"/>
      <c r="F1833" s="102" t="n"/>
      <c r="G1833" s="102" t="n"/>
      <c r="H1833" s="115" t="n"/>
      <c r="I1833" s="102" t="n"/>
      <c r="J1833" s="102" t="n"/>
      <c r="K1833" s="103" t="n"/>
      <c r="L1833" s="116">
        <f>IF($H1833="","",TRIM(IF(COUNTIF(DMTK!$A$7:$A$250,$F1833)=0,"TK Nợ sai! ","")&amp;IF(COUNTIF(DMTK!$A$7:$A$250,$G1833)=0,"TK Có sai! ","")&amp;IF(N($H1833)&lt;=0,"Tiền phải &gt; 0! ","")&amp;IF($B1833="","Thiếu ngày! ","")&amp;IF(AND(OR(LEFT($F1833,3)="131",LEFT($G1833,3)="131",LEFT($F1833,3)="331",LEFT($G1833,3)="331"),$I1833=""),"Thiếu Mã ĐT! ","")&amp;IF(AND($I1833&lt;&gt;"",COUNTIF(DM_DT!$A$7:$A$306,$I1833)=0),"Mã ĐT chưa khai báo! ","")))</f>
        <v/>
      </c>
      <c r="M1833" s="117">
        <f>IF($H1833="","",IF(AND(OR(LEFT($F1833,3)="111",LEFT($F1833,3)="112",LEFT($F1833,3)="113"),OR(LEFT($G1833,3)="111",LEFT($G1833,3)="112",LEFT($G1833,3)="113")),"NB",IF(OR(LEFT($F1833,3)="111",LEFT($F1833,3)="112",LEFT($F1833,3)="113"),"THU",IF(OR(LEFT($G1833,3)="111",LEFT($G1833,3)="112",LEFT($G1833,3)="113"),"CHI",""))))</f>
        <v/>
      </c>
      <c r="N1833" s="117">
        <f>IF($M1833="THU",$G1833,IF($M1833="CHI",$F1833,""))</f>
        <v/>
      </c>
      <c r="O1833" s="117">
        <f>IF(OR($M1833="",$M1833="NB"),"",IF($J1833&lt;&gt;"",TEXT($J1833,"00"),IFERROR(VLOOKUP(LEFT($N1833,4),LCTT_MAP!$A$7:$C$66,IF($M1833="THU",2,3),FALSE()),IFERROR(VLOOKUP(LEFT($N1833,3),LCTT_MAP!$A$7:$C$66,IF($M1833="THU",2,3),FALSE()),IFERROR(VLOOKUP(LEFT($N1833,2),LCTT_MAP!$A$7:$C$66,IF($M1833="THU",2,3),FALSE()),IFERROR(VLOOKUP(LEFT($N1833,1),LCTT_MAP!$A$7:$C$66,IF($M1833="THU",2,3),FALSE()),IF($M1833="THU","06","07")))))))</f>
        <v/>
      </c>
      <c r="P1833" s="117">
        <f>P1832+IF(AND($H1833&lt;&gt;"",OR(LEFT($F1833,LEN(SC_TK))=SC_TK,LEFT($G1833,LEN(SC_TK))=SC_TK)),1,0)</f>
        <v/>
      </c>
    </row>
    <row r="1834" ht="15" customHeight="1" s="78">
      <c r="A1834" s="95">
        <f>IF($H1834="","",ROW()-6)</f>
        <v/>
      </c>
      <c r="B1834" s="114" t="n"/>
      <c r="C1834" s="102" t="n"/>
      <c r="D1834" s="114" t="n"/>
      <c r="E1834" s="103" t="n"/>
      <c r="F1834" s="102" t="n"/>
      <c r="G1834" s="102" t="n"/>
      <c r="H1834" s="115" t="n"/>
      <c r="I1834" s="102" t="n"/>
      <c r="J1834" s="102" t="n"/>
      <c r="K1834" s="103" t="n"/>
      <c r="L1834" s="116">
        <f>IF($H1834="","",TRIM(IF(COUNTIF(DMTK!$A$7:$A$250,$F1834)=0,"TK Nợ sai! ","")&amp;IF(COUNTIF(DMTK!$A$7:$A$250,$G1834)=0,"TK Có sai! ","")&amp;IF(N($H1834)&lt;=0,"Tiền phải &gt; 0! ","")&amp;IF($B1834="","Thiếu ngày! ","")&amp;IF(AND(OR(LEFT($F1834,3)="131",LEFT($G1834,3)="131",LEFT($F1834,3)="331",LEFT($G1834,3)="331"),$I1834=""),"Thiếu Mã ĐT! ","")&amp;IF(AND($I1834&lt;&gt;"",COUNTIF(DM_DT!$A$7:$A$306,$I1834)=0),"Mã ĐT chưa khai báo! ","")))</f>
        <v/>
      </c>
      <c r="M1834" s="117">
        <f>IF($H1834="","",IF(AND(OR(LEFT($F1834,3)="111",LEFT($F1834,3)="112",LEFT($F1834,3)="113"),OR(LEFT($G1834,3)="111",LEFT($G1834,3)="112",LEFT($G1834,3)="113")),"NB",IF(OR(LEFT($F1834,3)="111",LEFT($F1834,3)="112",LEFT($F1834,3)="113"),"THU",IF(OR(LEFT($G1834,3)="111",LEFT($G1834,3)="112",LEFT($G1834,3)="113"),"CHI",""))))</f>
        <v/>
      </c>
      <c r="N1834" s="117">
        <f>IF($M1834="THU",$G1834,IF($M1834="CHI",$F1834,""))</f>
        <v/>
      </c>
      <c r="O1834" s="117">
        <f>IF(OR($M1834="",$M1834="NB"),"",IF($J1834&lt;&gt;"",TEXT($J1834,"00"),IFERROR(VLOOKUP(LEFT($N1834,4),LCTT_MAP!$A$7:$C$66,IF($M1834="THU",2,3),FALSE()),IFERROR(VLOOKUP(LEFT($N1834,3),LCTT_MAP!$A$7:$C$66,IF($M1834="THU",2,3),FALSE()),IFERROR(VLOOKUP(LEFT($N1834,2),LCTT_MAP!$A$7:$C$66,IF($M1834="THU",2,3),FALSE()),IFERROR(VLOOKUP(LEFT($N1834,1),LCTT_MAP!$A$7:$C$66,IF($M1834="THU",2,3),FALSE()),IF($M1834="THU","06","07")))))))</f>
        <v/>
      </c>
      <c r="P1834" s="117">
        <f>P1833+IF(AND($H1834&lt;&gt;"",OR(LEFT($F1834,LEN(SC_TK))=SC_TK,LEFT($G1834,LEN(SC_TK))=SC_TK)),1,0)</f>
        <v/>
      </c>
    </row>
    <row r="1835" ht="15" customHeight="1" s="78">
      <c r="A1835" s="95">
        <f>IF($H1835="","",ROW()-6)</f>
        <v/>
      </c>
      <c r="B1835" s="114" t="n"/>
      <c r="C1835" s="102" t="n"/>
      <c r="D1835" s="114" t="n"/>
      <c r="E1835" s="103" t="n"/>
      <c r="F1835" s="102" t="n"/>
      <c r="G1835" s="102" t="n"/>
      <c r="H1835" s="115" t="n"/>
      <c r="I1835" s="102" t="n"/>
      <c r="J1835" s="102" t="n"/>
      <c r="K1835" s="103" t="n"/>
      <c r="L1835" s="116">
        <f>IF($H1835="","",TRIM(IF(COUNTIF(DMTK!$A$7:$A$250,$F1835)=0,"TK Nợ sai! ","")&amp;IF(COUNTIF(DMTK!$A$7:$A$250,$G1835)=0,"TK Có sai! ","")&amp;IF(N($H1835)&lt;=0,"Tiền phải &gt; 0! ","")&amp;IF($B1835="","Thiếu ngày! ","")&amp;IF(AND(OR(LEFT($F1835,3)="131",LEFT($G1835,3)="131",LEFT($F1835,3)="331",LEFT($G1835,3)="331"),$I1835=""),"Thiếu Mã ĐT! ","")&amp;IF(AND($I1835&lt;&gt;"",COUNTIF(DM_DT!$A$7:$A$306,$I1835)=0),"Mã ĐT chưa khai báo! ","")))</f>
        <v/>
      </c>
      <c r="M1835" s="117">
        <f>IF($H1835="","",IF(AND(OR(LEFT($F1835,3)="111",LEFT($F1835,3)="112",LEFT($F1835,3)="113"),OR(LEFT($G1835,3)="111",LEFT($G1835,3)="112",LEFT($G1835,3)="113")),"NB",IF(OR(LEFT($F1835,3)="111",LEFT($F1835,3)="112",LEFT($F1835,3)="113"),"THU",IF(OR(LEFT($G1835,3)="111",LEFT($G1835,3)="112",LEFT($G1835,3)="113"),"CHI",""))))</f>
        <v/>
      </c>
      <c r="N1835" s="117">
        <f>IF($M1835="THU",$G1835,IF($M1835="CHI",$F1835,""))</f>
        <v/>
      </c>
      <c r="O1835" s="117">
        <f>IF(OR($M1835="",$M1835="NB"),"",IF($J1835&lt;&gt;"",TEXT($J1835,"00"),IFERROR(VLOOKUP(LEFT($N1835,4),LCTT_MAP!$A$7:$C$66,IF($M1835="THU",2,3),FALSE()),IFERROR(VLOOKUP(LEFT($N1835,3),LCTT_MAP!$A$7:$C$66,IF($M1835="THU",2,3),FALSE()),IFERROR(VLOOKUP(LEFT($N1835,2),LCTT_MAP!$A$7:$C$66,IF($M1835="THU",2,3),FALSE()),IFERROR(VLOOKUP(LEFT($N1835,1),LCTT_MAP!$A$7:$C$66,IF($M1835="THU",2,3),FALSE()),IF($M1835="THU","06","07")))))))</f>
        <v/>
      </c>
      <c r="P1835" s="117">
        <f>P1834+IF(AND($H1835&lt;&gt;"",OR(LEFT($F1835,LEN(SC_TK))=SC_TK,LEFT($G1835,LEN(SC_TK))=SC_TK)),1,0)</f>
        <v/>
      </c>
    </row>
    <row r="1836" ht="15" customHeight="1" s="78">
      <c r="A1836" s="95">
        <f>IF($H1836="","",ROW()-6)</f>
        <v/>
      </c>
      <c r="B1836" s="114" t="n"/>
      <c r="C1836" s="102" t="n"/>
      <c r="D1836" s="114" t="n"/>
      <c r="E1836" s="103" t="n"/>
      <c r="F1836" s="102" t="n"/>
      <c r="G1836" s="102" t="n"/>
      <c r="H1836" s="115" t="n"/>
      <c r="I1836" s="102" t="n"/>
      <c r="J1836" s="102" t="n"/>
      <c r="K1836" s="103" t="n"/>
      <c r="L1836" s="116">
        <f>IF($H1836="","",TRIM(IF(COUNTIF(DMTK!$A$7:$A$250,$F1836)=0,"TK Nợ sai! ","")&amp;IF(COUNTIF(DMTK!$A$7:$A$250,$G1836)=0,"TK Có sai! ","")&amp;IF(N($H1836)&lt;=0,"Tiền phải &gt; 0! ","")&amp;IF($B1836="","Thiếu ngày! ","")&amp;IF(AND(OR(LEFT($F1836,3)="131",LEFT($G1836,3)="131",LEFT($F1836,3)="331",LEFT($G1836,3)="331"),$I1836=""),"Thiếu Mã ĐT! ","")&amp;IF(AND($I1836&lt;&gt;"",COUNTIF(DM_DT!$A$7:$A$306,$I1836)=0),"Mã ĐT chưa khai báo! ","")))</f>
        <v/>
      </c>
      <c r="M1836" s="117">
        <f>IF($H1836="","",IF(AND(OR(LEFT($F1836,3)="111",LEFT($F1836,3)="112",LEFT($F1836,3)="113"),OR(LEFT($G1836,3)="111",LEFT($G1836,3)="112",LEFT($G1836,3)="113")),"NB",IF(OR(LEFT($F1836,3)="111",LEFT($F1836,3)="112",LEFT($F1836,3)="113"),"THU",IF(OR(LEFT($G1836,3)="111",LEFT($G1836,3)="112",LEFT($G1836,3)="113"),"CHI",""))))</f>
        <v/>
      </c>
      <c r="N1836" s="117">
        <f>IF($M1836="THU",$G1836,IF($M1836="CHI",$F1836,""))</f>
        <v/>
      </c>
      <c r="O1836" s="117">
        <f>IF(OR($M1836="",$M1836="NB"),"",IF($J1836&lt;&gt;"",TEXT($J1836,"00"),IFERROR(VLOOKUP(LEFT($N1836,4),LCTT_MAP!$A$7:$C$66,IF($M1836="THU",2,3),FALSE()),IFERROR(VLOOKUP(LEFT($N1836,3),LCTT_MAP!$A$7:$C$66,IF($M1836="THU",2,3),FALSE()),IFERROR(VLOOKUP(LEFT($N1836,2),LCTT_MAP!$A$7:$C$66,IF($M1836="THU",2,3),FALSE()),IFERROR(VLOOKUP(LEFT($N1836,1),LCTT_MAP!$A$7:$C$66,IF($M1836="THU",2,3),FALSE()),IF($M1836="THU","06","07")))))))</f>
        <v/>
      </c>
      <c r="P1836" s="117">
        <f>P1835+IF(AND($H1836&lt;&gt;"",OR(LEFT($F1836,LEN(SC_TK))=SC_TK,LEFT($G1836,LEN(SC_TK))=SC_TK)),1,0)</f>
        <v/>
      </c>
    </row>
    <row r="1837" ht="15" customHeight="1" s="78">
      <c r="A1837" s="95">
        <f>IF($H1837="","",ROW()-6)</f>
        <v/>
      </c>
      <c r="B1837" s="114" t="n"/>
      <c r="C1837" s="102" t="n"/>
      <c r="D1837" s="114" t="n"/>
      <c r="E1837" s="103" t="n"/>
      <c r="F1837" s="102" t="n"/>
      <c r="G1837" s="102" t="n"/>
      <c r="H1837" s="115" t="n"/>
      <c r="I1837" s="102" t="n"/>
      <c r="J1837" s="102" t="n"/>
      <c r="K1837" s="103" t="n"/>
      <c r="L1837" s="116">
        <f>IF($H1837="","",TRIM(IF(COUNTIF(DMTK!$A$7:$A$250,$F1837)=0,"TK Nợ sai! ","")&amp;IF(COUNTIF(DMTK!$A$7:$A$250,$G1837)=0,"TK Có sai! ","")&amp;IF(N($H1837)&lt;=0,"Tiền phải &gt; 0! ","")&amp;IF($B1837="","Thiếu ngày! ","")&amp;IF(AND(OR(LEFT($F1837,3)="131",LEFT($G1837,3)="131",LEFT($F1837,3)="331",LEFT($G1837,3)="331"),$I1837=""),"Thiếu Mã ĐT! ","")&amp;IF(AND($I1837&lt;&gt;"",COUNTIF(DM_DT!$A$7:$A$306,$I1837)=0),"Mã ĐT chưa khai báo! ","")))</f>
        <v/>
      </c>
      <c r="M1837" s="117">
        <f>IF($H1837="","",IF(AND(OR(LEFT($F1837,3)="111",LEFT($F1837,3)="112",LEFT($F1837,3)="113"),OR(LEFT($G1837,3)="111",LEFT($G1837,3)="112",LEFT($G1837,3)="113")),"NB",IF(OR(LEFT($F1837,3)="111",LEFT($F1837,3)="112",LEFT($F1837,3)="113"),"THU",IF(OR(LEFT($G1837,3)="111",LEFT($G1837,3)="112",LEFT($G1837,3)="113"),"CHI",""))))</f>
        <v/>
      </c>
      <c r="N1837" s="117">
        <f>IF($M1837="THU",$G1837,IF($M1837="CHI",$F1837,""))</f>
        <v/>
      </c>
      <c r="O1837" s="117">
        <f>IF(OR($M1837="",$M1837="NB"),"",IF($J1837&lt;&gt;"",TEXT($J1837,"00"),IFERROR(VLOOKUP(LEFT($N1837,4),LCTT_MAP!$A$7:$C$66,IF($M1837="THU",2,3),FALSE()),IFERROR(VLOOKUP(LEFT($N1837,3),LCTT_MAP!$A$7:$C$66,IF($M1837="THU",2,3),FALSE()),IFERROR(VLOOKUP(LEFT($N1837,2),LCTT_MAP!$A$7:$C$66,IF($M1837="THU",2,3),FALSE()),IFERROR(VLOOKUP(LEFT($N1837,1),LCTT_MAP!$A$7:$C$66,IF($M1837="THU",2,3),FALSE()),IF($M1837="THU","06","07")))))))</f>
        <v/>
      </c>
      <c r="P1837" s="117">
        <f>P1836+IF(AND($H1837&lt;&gt;"",OR(LEFT($F1837,LEN(SC_TK))=SC_TK,LEFT($G1837,LEN(SC_TK))=SC_TK)),1,0)</f>
        <v/>
      </c>
    </row>
    <row r="1838" ht="15" customHeight="1" s="78">
      <c r="A1838" s="95">
        <f>IF($H1838="","",ROW()-6)</f>
        <v/>
      </c>
      <c r="B1838" s="114" t="n"/>
      <c r="C1838" s="102" t="n"/>
      <c r="D1838" s="114" t="n"/>
      <c r="E1838" s="103" t="n"/>
      <c r="F1838" s="102" t="n"/>
      <c r="G1838" s="102" t="n"/>
      <c r="H1838" s="115" t="n"/>
      <c r="I1838" s="102" t="n"/>
      <c r="J1838" s="102" t="n"/>
      <c r="K1838" s="103" t="n"/>
      <c r="L1838" s="116">
        <f>IF($H1838="","",TRIM(IF(COUNTIF(DMTK!$A$7:$A$250,$F1838)=0,"TK Nợ sai! ","")&amp;IF(COUNTIF(DMTK!$A$7:$A$250,$G1838)=0,"TK Có sai! ","")&amp;IF(N($H1838)&lt;=0,"Tiền phải &gt; 0! ","")&amp;IF($B1838="","Thiếu ngày! ","")&amp;IF(AND(OR(LEFT($F1838,3)="131",LEFT($G1838,3)="131",LEFT($F1838,3)="331",LEFT($G1838,3)="331"),$I1838=""),"Thiếu Mã ĐT! ","")&amp;IF(AND($I1838&lt;&gt;"",COUNTIF(DM_DT!$A$7:$A$306,$I1838)=0),"Mã ĐT chưa khai báo! ","")))</f>
        <v/>
      </c>
      <c r="M1838" s="117">
        <f>IF($H1838="","",IF(AND(OR(LEFT($F1838,3)="111",LEFT($F1838,3)="112",LEFT($F1838,3)="113"),OR(LEFT($G1838,3)="111",LEFT($G1838,3)="112",LEFT($G1838,3)="113")),"NB",IF(OR(LEFT($F1838,3)="111",LEFT($F1838,3)="112",LEFT($F1838,3)="113"),"THU",IF(OR(LEFT($G1838,3)="111",LEFT($G1838,3)="112",LEFT($G1838,3)="113"),"CHI",""))))</f>
        <v/>
      </c>
      <c r="N1838" s="117">
        <f>IF($M1838="THU",$G1838,IF($M1838="CHI",$F1838,""))</f>
        <v/>
      </c>
      <c r="O1838" s="117">
        <f>IF(OR($M1838="",$M1838="NB"),"",IF($J1838&lt;&gt;"",TEXT($J1838,"00"),IFERROR(VLOOKUP(LEFT($N1838,4),LCTT_MAP!$A$7:$C$66,IF($M1838="THU",2,3),FALSE()),IFERROR(VLOOKUP(LEFT($N1838,3),LCTT_MAP!$A$7:$C$66,IF($M1838="THU",2,3),FALSE()),IFERROR(VLOOKUP(LEFT($N1838,2),LCTT_MAP!$A$7:$C$66,IF($M1838="THU",2,3),FALSE()),IFERROR(VLOOKUP(LEFT($N1838,1),LCTT_MAP!$A$7:$C$66,IF($M1838="THU",2,3),FALSE()),IF($M1838="THU","06","07")))))))</f>
        <v/>
      </c>
      <c r="P1838" s="117">
        <f>P1837+IF(AND($H1838&lt;&gt;"",OR(LEFT($F1838,LEN(SC_TK))=SC_TK,LEFT($G1838,LEN(SC_TK))=SC_TK)),1,0)</f>
        <v/>
      </c>
    </row>
    <row r="1839" ht="15" customHeight="1" s="78">
      <c r="A1839" s="95">
        <f>IF($H1839="","",ROW()-6)</f>
        <v/>
      </c>
      <c r="B1839" s="114" t="n"/>
      <c r="C1839" s="102" t="n"/>
      <c r="D1839" s="114" t="n"/>
      <c r="E1839" s="103" t="n"/>
      <c r="F1839" s="102" t="n"/>
      <c r="G1839" s="102" t="n"/>
      <c r="H1839" s="115" t="n"/>
      <c r="I1839" s="102" t="n"/>
      <c r="J1839" s="102" t="n"/>
      <c r="K1839" s="103" t="n"/>
      <c r="L1839" s="116">
        <f>IF($H1839="","",TRIM(IF(COUNTIF(DMTK!$A$7:$A$250,$F1839)=0,"TK Nợ sai! ","")&amp;IF(COUNTIF(DMTK!$A$7:$A$250,$G1839)=0,"TK Có sai! ","")&amp;IF(N($H1839)&lt;=0,"Tiền phải &gt; 0! ","")&amp;IF($B1839="","Thiếu ngày! ","")&amp;IF(AND(OR(LEFT($F1839,3)="131",LEFT($G1839,3)="131",LEFT($F1839,3)="331",LEFT($G1839,3)="331"),$I1839=""),"Thiếu Mã ĐT! ","")&amp;IF(AND($I1839&lt;&gt;"",COUNTIF(DM_DT!$A$7:$A$306,$I1839)=0),"Mã ĐT chưa khai báo! ","")))</f>
        <v/>
      </c>
      <c r="M1839" s="117">
        <f>IF($H1839="","",IF(AND(OR(LEFT($F1839,3)="111",LEFT($F1839,3)="112",LEFT($F1839,3)="113"),OR(LEFT($G1839,3)="111",LEFT($G1839,3)="112",LEFT($G1839,3)="113")),"NB",IF(OR(LEFT($F1839,3)="111",LEFT($F1839,3)="112",LEFT($F1839,3)="113"),"THU",IF(OR(LEFT($G1839,3)="111",LEFT($G1839,3)="112",LEFT($G1839,3)="113"),"CHI",""))))</f>
        <v/>
      </c>
      <c r="N1839" s="117">
        <f>IF($M1839="THU",$G1839,IF($M1839="CHI",$F1839,""))</f>
        <v/>
      </c>
      <c r="O1839" s="117">
        <f>IF(OR($M1839="",$M1839="NB"),"",IF($J1839&lt;&gt;"",TEXT($J1839,"00"),IFERROR(VLOOKUP(LEFT($N1839,4),LCTT_MAP!$A$7:$C$66,IF($M1839="THU",2,3),FALSE()),IFERROR(VLOOKUP(LEFT($N1839,3),LCTT_MAP!$A$7:$C$66,IF($M1839="THU",2,3),FALSE()),IFERROR(VLOOKUP(LEFT($N1839,2),LCTT_MAP!$A$7:$C$66,IF($M1839="THU",2,3),FALSE()),IFERROR(VLOOKUP(LEFT($N1839,1),LCTT_MAP!$A$7:$C$66,IF($M1839="THU",2,3),FALSE()),IF($M1839="THU","06","07")))))))</f>
        <v/>
      </c>
      <c r="P1839" s="117">
        <f>P1838+IF(AND($H1839&lt;&gt;"",OR(LEFT($F1839,LEN(SC_TK))=SC_TK,LEFT($G1839,LEN(SC_TK))=SC_TK)),1,0)</f>
        <v/>
      </c>
    </row>
    <row r="1840" ht="15" customHeight="1" s="78">
      <c r="A1840" s="95">
        <f>IF($H1840="","",ROW()-6)</f>
        <v/>
      </c>
      <c r="B1840" s="114" t="n"/>
      <c r="C1840" s="102" t="n"/>
      <c r="D1840" s="114" t="n"/>
      <c r="E1840" s="103" t="n"/>
      <c r="F1840" s="102" t="n"/>
      <c r="G1840" s="102" t="n"/>
      <c r="H1840" s="115" t="n"/>
      <c r="I1840" s="102" t="n"/>
      <c r="J1840" s="102" t="n"/>
      <c r="K1840" s="103" t="n"/>
      <c r="L1840" s="116">
        <f>IF($H1840="","",TRIM(IF(COUNTIF(DMTK!$A$7:$A$250,$F1840)=0,"TK Nợ sai! ","")&amp;IF(COUNTIF(DMTK!$A$7:$A$250,$G1840)=0,"TK Có sai! ","")&amp;IF(N($H1840)&lt;=0,"Tiền phải &gt; 0! ","")&amp;IF($B1840="","Thiếu ngày! ","")&amp;IF(AND(OR(LEFT($F1840,3)="131",LEFT($G1840,3)="131",LEFT($F1840,3)="331",LEFT($G1840,3)="331"),$I1840=""),"Thiếu Mã ĐT! ","")&amp;IF(AND($I1840&lt;&gt;"",COUNTIF(DM_DT!$A$7:$A$306,$I1840)=0),"Mã ĐT chưa khai báo! ","")))</f>
        <v/>
      </c>
      <c r="M1840" s="117">
        <f>IF($H1840="","",IF(AND(OR(LEFT($F1840,3)="111",LEFT($F1840,3)="112",LEFT($F1840,3)="113"),OR(LEFT($G1840,3)="111",LEFT($G1840,3)="112",LEFT($G1840,3)="113")),"NB",IF(OR(LEFT($F1840,3)="111",LEFT($F1840,3)="112",LEFT($F1840,3)="113"),"THU",IF(OR(LEFT($G1840,3)="111",LEFT($G1840,3)="112",LEFT($G1840,3)="113"),"CHI",""))))</f>
        <v/>
      </c>
      <c r="N1840" s="117">
        <f>IF($M1840="THU",$G1840,IF($M1840="CHI",$F1840,""))</f>
        <v/>
      </c>
      <c r="O1840" s="117">
        <f>IF(OR($M1840="",$M1840="NB"),"",IF($J1840&lt;&gt;"",TEXT($J1840,"00"),IFERROR(VLOOKUP(LEFT($N1840,4),LCTT_MAP!$A$7:$C$66,IF($M1840="THU",2,3),FALSE()),IFERROR(VLOOKUP(LEFT($N1840,3),LCTT_MAP!$A$7:$C$66,IF($M1840="THU",2,3),FALSE()),IFERROR(VLOOKUP(LEFT($N1840,2),LCTT_MAP!$A$7:$C$66,IF($M1840="THU",2,3),FALSE()),IFERROR(VLOOKUP(LEFT($N1840,1),LCTT_MAP!$A$7:$C$66,IF($M1840="THU",2,3),FALSE()),IF($M1840="THU","06","07")))))))</f>
        <v/>
      </c>
      <c r="P1840" s="117">
        <f>P1839+IF(AND($H1840&lt;&gt;"",OR(LEFT($F1840,LEN(SC_TK))=SC_TK,LEFT($G1840,LEN(SC_TK))=SC_TK)),1,0)</f>
        <v/>
      </c>
    </row>
    <row r="1841" ht="15" customHeight="1" s="78">
      <c r="A1841" s="95">
        <f>IF($H1841="","",ROW()-6)</f>
        <v/>
      </c>
      <c r="B1841" s="114" t="n"/>
      <c r="C1841" s="102" t="n"/>
      <c r="D1841" s="114" t="n"/>
      <c r="E1841" s="103" t="n"/>
      <c r="F1841" s="102" t="n"/>
      <c r="G1841" s="102" t="n"/>
      <c r="H1841" s="115" t="n"/>
      <c r="I1841" s="102" t="n"/>
      <c r="J1841" s="102" t="n"/>
      <c r="K1841" s="103" t="n"/>
      <c r="L1841" s="116">
        <f>IF($H1841="","",TRIM(IF(COUNTIF(DMTK!$A$7:$A$250,$F1841)=0,"TK Nợ sai! ","")&amp;IF(COUNTIF(DMTK!$A$7:$A$250,$G1841)=0,"TK Có sai! ","")&amp;IF(N($H1841)&lt;=0,"Tiền phải &gt; 0! ","")&amp;IF($B1841="","Thiếu ngày! ","")&amp;IF(AND(OR(LEFT($F1841,3)="131",LEFT($G1841,3)="131",LEFT($F1841,3)="331",LEFT($G1841,3)="331"),$I1841=""),"Thiếu Mã ĐT! ","")&amp;IF(AND($I1841&lt;&gt;"",COUNTIF(DM_DT!$A$7:$A$306,$I1841)=0),"Mã ĐT chưa khai báo! ","")))</f>
        <v/>
      </c>
      <c r="M1841" s="117">
        <f>IF($H1841="","",IF(AND(OR(LEFT($F1841,3)="111",LEFT($F1841,3)="112",LEFT($F1841,3)="113"),OR(LEFT($G1841,3)="111",LEFT($G1841,3)="112",LEFT($G1841,3)="113")),"NB",IF(OR(LEFT($F1841,3)="111",LEFT($F1841,3)="112",LEFT($F1841,3)="113"),"THU",IF(OR(LEFT($G1841,3)="111",LEFT($G1841,3)="112",LEFT($G1841,3)="113"),"CHI",""))))</f>
        <v/>
      </c>
      <c r="N1841" s="117">
        <f>IF($M1841="THU",$G1841,IF($M1841="CHI",$F1841,""))</f>
        <v/>
      </c>
      <c r="O1841" s="117">
        <f>IF(OR($M1841="",$M1841="NB"),"",IF($J1841&lt;&gt;"",TEXT($J1841,"00"),IFERROR(VLOOKUP(LEFT($N1841,4),LCTT_MAP!$A$7:$C$66,IF($M1841="THU",2,3),FALSE()),IFERROR(VLOOKUP(LEFT($N1841,3),LCTT_MAP!$A$7:$C$66,IF($M1841="THU",2,3),FALSE()),IFERROR(VLOOKUP(LEFT($N1841,2),LCTT_MAP!$A$7:$C$66,IF($M1841="THU",2,3),FALSE()),IFERROR(VLOOKUP(LEFT($N1841,1),LCTT_MAP!$A$7:$C$66,IF($M1841="THU",2,3),FALSE()),IF($M1841="THU","06","07")))))))</f>
        <v/>
      </c>
      <c r="P1841" s="117">
        <f>P1840+IF(AND($H1841&lt;&gt;"",OR(LEFT($F1841,LEN(SC_TK))=SC_TK,LEFT($G1841,LEN(SC_TK))=SC_TK)),1,0)</f>
        <v/>
      </c>
    </row>
    <row r="1842" ht="15" customHeight="1" s="78">
      <c r="A1842" s="95">
        <f>IF($H1842="","",ROW()-6)</f>
        <v/>
      </c>
      <c r="B1842" s="114" t="n"/>
      <c r="C1842" s="102" t="n"/>
      <c r="D1842" s="114" t="n"/>
      <c r="E1842" s="103" t="n"/>
      <c r="F1842" s="102" t="n"/>
      <c r="G1842" s="102" t="n"/>
      <c r="H1842" s="115" t="n"/>
      <c r="I1842" s="102" t="n"/>
      <c r="J1842" s="102" t="n"/>
      <c r="K1842" s="103" t="n"/>
      <c r="L1842" s="116">
        <f>IF($H1842="","",TRIM(IF(COUNTIF(DMTK!$A$7:$A$250,$F1842)=0,"TK Nợ sai! ","")&amp;IF(COUNTIF(DMTK!$A$7:$A$250,$G1842)=0,"TK Có sai! ","")&amp;IF(N($H1842)&lt;=0,"Tiền phải &gt; 0! ","")&amp;IF($B1842="","Thiếu ngày! ","")&amp;IF(AND(OR(LEFT($F1842,3)="131",LEFT($G1842,3)="131",LEFT($F1842,3)="331",LEFT($G1842,3)="331"),$I1842=""),"Thiếu Mã ĐT! ","")&amp;IF(AND($I1842&lt;&gt;"",COUNTIF(DM_DT!$A$7:$A$306,$I1842)=0),"Mã ĐT chưa khai báo! ","")))</f>
        <v/>
      </c>
      <c r="M1842" s="117">
        <f>IF($H1842="","",IF(AND(OR(LEFT($F1842,3)="111",LEFT($F1842,3)="112",LEFT($F1842,3)="113"),OR(LEFT($G1842,3)="111",LEFT($G1842,3)="112",LEFT($G1842,3)="113")),"NB",IF(OR(LEFT($F1842,3)="111",LEFT($F1842,3)="112",LEFT($F1842,3)="113"),"THU",IF(OR(LEFT($G1842,3)="111",LEFT($G1842,3)="112",LEFT($G1842,3)="113"),"CHI",""))))</f>
        <v/>
      </c>
      <c r="N1842" s="117">
        <f>IF($M1842="THU",$G1842,IF($M1842="CHI",$F1842,""))</f>
        <v/>
      </c>
      <c r="O1842" s="117">
        <f>IF(OR($M1842="",$M1842="NB"),"",IF($J1842&lt;&gt;"",TEXT($J1842,"00"),IFERROR(VLOOKUP(LEFT($N1842,4),LCTT_MAP!$A$7:$C$66,IF($M1842="THU",2,3),FALSE()),IFERROR(VLOOKUP(LEFT($N1842,3),LCTT_MAP!$A$7:$C$66,IF($M1842="THU",2,3),FALSE()),IFERROR(VLOOKUP(LEFT($N1842,2),LCTT_MAP!$A$7:$C$66,IF($M1842="THU",2,3),FALSE()),IFERROR(VLOOKUP(LEFT($N1842,1),LCTT_MAP!$A$7:$C$66,IF($M1842="THU",2,3),FALSE()),IF($M1842="THU","06","07")))))))</f>
        <v/>
      </c>
      <c r="P1842" s="117">
        <f>P1841+IF(AND($H1842&lt;&gt;"",OR(LEFT($F1842,LEN(SC_TK))=SC_TK,LEFT($G1842,LEN(SC_TK))=SC_TK)),1,0)</f>
        <v/>
      </c>
    </row>
    <row r="1843" ht="15" customHeight="1" s="78">
      <c r="A1843" s="95">
        <f>IF($H1843="","",ROW()-6)</f>
        <v/>
      </c>
      <c r="B1843" s="114" t="n"/>
      <c r="C1843" s="102" t="n"/>
      <c r="D1843" s="114" t="n"/>
      <c r="E1843" s="103" t="n"/>
      <c r="F1843" s="102" t="n"/>
      <c r="G1843" s="102" t="n"/>
      <c r="H1843" s="115" t="n"/>
      <c r="I1843" s="102" t="n"/>
      <c r="J1843" s="102" t="n"/>
      <c r="K1843" s="103" t="n"/>
      <c r="L1843" s="116">
        <f>IF($H1843="","",TRIM(IF(COUNTIF(DMTK!$A$7:$A$250,$F1843)=0,"TK Nợ sai! ","")&amp;IF(COUNTIF(DMTK!$A$7:$A$250,$G1843)=0,"TK Có sai! ","")&amp;IF(N($H1843)&lt;=0,"Tiền phải &gt; 0! ","")&amp;IF($B1843="","Thiếu ngày! ","")&amp;IF(AND(OR(LEFT($F1843,3)="131",LEFT($G1843,3)="131",LEFT($F1843,3)="331",LEFT($G1843,3)="331"),$I1843=""),"Thiếu Mã ĐT! ","")&amp;IF(AND($I1843&lt;&gt;"",COUNTIF(DM_DT!$A$7:$A$306,$I1843)=0),"Mã ĐT chưa khai báo! ","")))</f>
        <v/>
      </c>
      <c r="M1843" s="117">
        <f>IF($H1843="","",IF(AND(OR(LEFT($F1843,3)="111",LEFT($F1843,3)="112",LEFT($F1843,3)="113"),OR(LEFT($G1843,3)="111",LEFT($G1843,3)="112",LEFT($G1843,3)="113")),"NB",IF(OR(LEFT($F1843,3)="111",LEFT($F1843,3)="112",LEFT($F1843,3)="113"),"THU",IF(OR(LEFT($G1843,3)="111",LEFT($G1843,3)="112",LEFT($G1843,3)="113"),"CHI",""))))</f>
        <v/>
      </c>
      <c r="N1843" s="117">
        <f>IF($M1843="THU",$G1843,IF($M1843="CHI",$F1843,""))</f>
        <v/>
      </c>
      <c r="O1843" s="117">
        <f>IF(OR($M1843="",$M1843="NB"),"",IF($J1843&lt;&gt;"",TEXT($J1843,"00"),IFERROR(VLOOKUP(LEFT($N1843,4),LCTT_MAP!$A$7:$C$66,IF($M1843="THU",2,3),FALSE()),IFERROR(VLOOKUP(LEFT($N1843,3),LCTT_MAP!$A$7:$C$66,IF($M1843="THU",2,3),FALSE()),IFERROR(VLOOKUP(LEFT($N1843,2),LCTT_MAP!$A$7:$C$66,IF($M1843="THU",2,3),FALSE()),IFERROR(VLOOKUP(LEFT($N1843,1),LCTT_MAP!$A$7:$C$66,IF($M1843="THU",2,3),FALSE()),IF($M1843="THU","06","07")))))))</f>
        <v/>
      </c>
      <c r="P1843" s="117">
        <f>P1842+IF(AND($H1843&lt;&gt;"",OR(LEFT($F1843,LEN(SC_TK))=SC_TK,LEFT($G1843,LEN(SC_TK))=SC_TK)),1,0)</f>
        <v/>
      </c>
    </row>
    <row r="1844" ht="15" customHeight="1" s="78">
      <c r="A1844" s="95">
        <f>IF($H1844="","",ROW()-6)</f>
        <v/>
      </c>
      <c r="B1844" s="114" t="n"/>
      <c r="C1844" s="102" t="n"/>
      <c r="D1844" s="114" t="n"/>
      <c r="E1844" s="103" t="n"/>
      <c r="F1844" s="102" t="n"/>
      <c r="G1844" s="102" t="n"/>
      <c r="H1844" s="115" t="n"/>
      <c r="I1844" s="102" t="n"/>
      <c r="J1844" s="102" t="n"/>
      <c r="K1844" s="103" t="n"/>
      <c r="L1844" s="116">
        <f>IF($H1844="","",TRIM(IF(COUNTIF(DMTK!$A$7:$A$250,$F1844)=0,"TK Nợ sai! ","")&amp;IF(COUNTIF(DMTK!$A$7:$A$250,$G1844)=0,"TK Có sai! ","")&amp;IF(N($H1844)&lt;=0,"Tiền phải &gt; 0! ","")&amp;IF($B1844="","Thiếu ngày! ","")&amp;IF(AND(OR(LEFT($F1844,3)="131",LEFT($G1844,3)="131",LEFT($F1844,3)="331",LEFT($G1844,3)="331"),$I1844=""),"Thiếu Mã ĐT! ","")&amp;IF(AND($I1844&lt;&gt;"",COUNTIF(DM_DT!$A$7:$A$306,$I1844)=0),"Mã ĐT chưa khai báo! ","")))</f>
        <v/>
      </c>
      <c r="M1844" s="117">
        <f>IF($H1844="","",IF(AND(OR(LEFT($F1844,3)="111",LEFT($F1844,3)="112",LEFT($F1844,3)="113"),OR(LEFT($G1844,3)="111",LEFT($G1844,3)="112",LEFT($G1844,3)="113")),"NB",IF(OR(LEFT($F1844,3)="111",LEFT($F1844,3)="112",LEFT($F1844,3)="113"),"THU",IF(OR(LEFT($G1844,3)="111",LEFT($G1844,3)="112",LEFT($G1844,3)="113"),"CHI",""))))</f>
        <v/>
      </c>
      <c r="N1844" s="117">
        <f>IF($M1844="THU",$G1844,IF($M1844="CHI",$F1844,""))</f>
        <v/>
      </c>
      <c r="O1844" s="117">
        <f>IF(OR($M1844="",$M1844="NB"),"",IF($J1844&lt;&gt;"",TEXT($J1844,"00"),IFERROR(VLOOKUP(LEFT($N1844,4),LCTT_MAP!$A$7:$C$66,IF($M1844="THU",2,3),FALSE()),IFERROR(VLOOKUP(LEFT($N1844,3),LCTT_MAP!$A$7:$C$66,IF($M1844="THU",2,3),FALSE()),IFERROR(VLOOKUP(LEFT($N1844,2),LCTT_MAP!$A$7:$C$66,IF($M1844="THU",2,3),FALSE()),IFERROR(VLOOKUP(LEFT($N1844,1),LCTT_MAP!$A$7:$C$66,IF($M1844="THU",2,3),FALSE()),IF($M1844="THU","06","07")))))))</f>
        <v/>
      </c>
      <c r="P1844" s="117">
        <f>P1843+IF(AND($H1844&lt;&gt;"",OR(LEFT($F1844,LEN(SC_TK))=SC_TK,LEFT($G1844,LEN(SC_TK))=SC_TK)),1,0)</f>
        <v/>
      </c>
    </row>
    <row r="1845" ht="15" customHeight="1" s="78">
      <c r="A1845" s="95">
        <f>IF($H1845="","",ROW()-6)</f>
        <v/>
      </c>
      <c r="B1845" s="114" t="n"/>
      <c r="C1845" s="102" t="n"/>
      <c r="D1845" s="114" t="n"/>
      <c r="E1845" s="103" t="n"/>
      <c r="F1845" s="102" t="n"/>
      <c r="G1845" s="102" t="n"/>
      <c r="H1845" s="115" t="n"/>
      <c r="I1845" s="102" t="n"/>
      <c r="J1845" s="102" t="n"/>
      <c r="K1845" s="103" t="n"/>
      <c r="L1845" s="116">
        <f>IF($H1845="","",TRIM(IF(COUNTIF(DMTK!$A$7:$A$250,$F1845)=0,"TK Nợ sai! ","")&amp;IF(COUNTIF(DMTK!$A$7:$A$250,$G1845)=0,"TK Có sai! ","")&amp;IF(N($H1845)&lt;=0,"Tiền phải &gt; 0! ","")&amp;IF($B1845="","Thiếu ngày! ","")&amp;IF(AND(OR(LEFT($F1845,3)="131",LEFT($G1845,3)="131",LEFT($F1845,3)="331",LEFT($G1845,3)="331"),$I1845=""),"Thiếu Mã ĐT! ","")&amp;IF(AND($I1845&lt;&gt;"",COUNTIF(DM_DT!$A$7:$A$306,$I1845)=0),"Mã ĐT chưa khai báo! ","")))</f>
        <v/>
      </c>
      <c r="M1845" s="117">
        <f>IF($H1845="","",IF(AND(OR(LEFT($F1845,3)="111",LEFT($F1845,3)="112",LEFT($F1845,3)="113"),OR(LEFT($G1845,3)="111",LEFT($G1845,3)="112",LEFT($G1845,3)="113")),"NB",IF(OR(LEFT($F1845,3)="111",LEFT($F1845,3)="112",LEFT($F1845,3)="113"),"THU",IF(OR(LEFT($G1845,3)="111",LEFT($G1845,3)="112",LEFT($G1845,3)="113"),"CHI",""))))</f>
        <v/>
      </c>
      <c r="N1845" s="117">
        <f>IF($M1845="THU",$G1845,IF($M1845="CHI",$F1845,""))</f>
        <v/>
      </c>
      <c r="O1845" s="117">
        <f>IF(OR($M1845="",$M1845="NB"),"",IF($J1845&lt;&gt;"",TEXT($J1845,"00"),IFERROR(VLOOKUP(LEFT($N1845,4),LCTT_MAP!$A$7:$C$66,IF($M1845="THU",2,3),FALSE()),IFERROR(VLOOKUP(LEFT($N1845,3),LCTT_MAP!$A$7:$C$66,IF($M1845="THU",2,3),FALSE()),IFERROR(VLOOKUP(LEFT($N1845,2),LCTT_MAP!$A$7:$C$66,IF($M1845="THU",2,3),FALSE()),IFERROR(VLOOKUP(LEFT($N1845,1),LCTT_MAP!$A$7:$C$66,IF($M1845="THU",2,3),FALSE()),IF($M1845="THU","06","07")))))))</f>
        <v/>
      </c>
      <c r="P1845" s="117">
        <f>P1844+IF(AND($H1845&lt;&gt;"",OR(LEFT($F1845,LEN(SC_TK))=SC_TK,LEFT($G1845,LEN(SC_TK))=SC_TK)),1,0)</f>
        <v/>
      </c>
    </row>
    <row r="1846" ht="15" customHeight="1" s="78">
      <c r="A1846" s="95">
        <f>IF($H1846="","",ROW()-6)</f>
        <v/>
      </c>
      <c r="B1846" s="114" t="n"/>
      <c r="C1846" s="102" t="n"/>
      <c r="D1846" s="114" t="n"/>
      <c r="E1846" s="103" t="n"/>
      <c r="F1846" s="102" t="n"/>
      <c r="G1846" s="102" t="n"/>
      <c r="H1846" s="115" t="n"/>
      <c r="I1846" s="102" t="n"/>
      <c r="J1846" s="102" t="n"/>
      <c r="K1846" s="103" t="n"/>
      <c r="L1846" s="116">
        <f>IF($H1846="","",TRIM(IF(COUNTIF(DMTK!$A$7:$A$250,$F1846)=0,"TK Nợ sai! ","")&amp;IF(COUNTIF(DMTK!$A$7:$A$250,$G1846)=0,"TK Có sai! ","")&amp;IF(N($H1846)&lt;=0,"Tiền phải &gt; 0! ","")&amp;IF($B1846="","Thiếu ngày! ","")&amp;IF(AND(OR(LEFT($F1846,3)="131",LEFT($G1846,3)="131",LEFT($F1846,3)="331",LEFT($G1846,3)="331"),$I1846=""),"Thiếu Mã ĐT! ","")&amp;IF(AND($I1846&lt;&gt;"",COUNTIF(DM_DT!$A$7:$A$306,$I1846)=0),"Mã ĐT chưa khai báo! ","")))</f>
        <v/>
      </c>
      <c r="M1846" s="117">
        <f>IF($H1846="","",IF(AND(OR(LEFT($F1846,3)="111",LEFT($F1846,3)="112",LEFT($F1846,3)="113"),OR(LEFT($G1846,3)="111",LEFT($G1846,3)="112",LEFT($G1846,3)="113")),"NB",IF(OR(LEFT($F1846,3)="111",LEFT($F1846,3)="112",LEFT($F1846,3)="113"),"THU",IF(OR(LEFT($G1846,3)="111",LEFT($G1846,3)="112",LEFT($G1846,3)="113"),"CHI",""))))</f>
        <v/>
      </c>
      <c r="N1846" s="117">
        <f>IF($M1846="THU",$G1846,IF($M1846="CHI",$F1846,""))</f>
        <v/>
      </c>
      <c r="O1846" s="117">
        <f>IF(OR($M1846="",$M1846="NB"),"",IF($J1846&lt;&gt;"",TEXT($J1846,"00"),IFERROR(VLOOKUP(LEFT($N1846,4),LCTT_MAP!$A$7:$C$66,IF($M1846="THU",2,3),FALSE()),IFERROR(VLOOKUP(LEFT($N1846,3),LCTT_MAP!$A$7:$C$66,IF($M1846="THU",2,3),FALSE()),IFERROR(VLOOKUP(LEFT($N1846,2),LCTT_MAP!$A$7:$C$66,IF($M1846="THU",2,3),FALSE()),IFERROR(VLOOKUP(LEFT($N1846,1),LCTT_MAP!$A$7:$C$66,IF($M1846="THU",2,3),FALSE()),IF($M1846="THU","06","07")))))))</f>
        <v/>
      </c>
      <c r="P1846" s="117">
        <f>P1845+IF(AND($H1846&lt;&gt;"",OR(LEFT($F1846,LEN(SC_TK))=SC_TK,LEFT($G1846,LEN(SC_TK))=SC_TK)),1,0)</f>
        <v/>
      </c>
    </row>
    <row r="1847" ht="15" customHeight="1" s="78">
      <c r="A1847" s="95">
        <f>IF($H1847="","",ROW()-6)</f>
        <v/>
      </c>
      <c r="B1847" s="114" t="n"/>
      <c r="C1847" s="102" t="n"/>
      <c r="D1847" s="114" t="n"/>
      <c r="E1847" s="103" t="n"/>
      <c r="F1847" s="102" t="n"/>
      <c r="G1847" s="102" t="n"/>
      <c r="H1847" s="115" t="n"/>
      <c r="I1847" s="102" t="n"/>
      <c r="J1847" s="102" t="n"/>
      <c r="K1847" s="103" t="n"/>
      <c r="L1847" s="116">
        <f>IF($H1847="","",TRIM(IF(COUNTIF(DMTK!$A$7:$A$250,$F1847)=0,"TK Nợ sai! ","")&amp;IF(COUNTIF(DMTK!$A$7:$A$250,$G1847)=0,"TK Có sai! ","")&amp;IF(N($H1847)&lt;=0,"Tiền phải &gt; 0! ","")&amp;IF($B1847="","Thiếu ngày! ","")&amp;IF(AND(OR(LEFT($F1847,3)="131",LEFT($G1847,3)="131",LEFT($F1847,3)="331",LEFT($G1847,3)="331"),$I1847=""),"Thiếu Mã ĐT! ","")&amp;IF(AND($I1847&lt;&gt;"",COUNTIF(DM_DT!$A$7:$A$306,$I1847)=0),"Mã ĐT chưa khai báo! ","")))</f>
        <v/>
      </c>
      <c r="M1847" s="117">
        <f>IF($H1847="","",IF(AND(OR(LEFT($F1847,3)="111",LEFT($F1847,3)="112",LEFT($F1847,3)="113"),OR(LEFT($G1847,3)="111",LEFT($G1847,3)="112",LEFT($G1847,3)="113")),"NB",IF(OR(LEFT($F1847,3)="111",LEFT($F1847,3)="112",LEFT($F1847,3)="113"),"THU",IF(OR(LEFT($G1847,3)="111",LEFT($G1847,3)="112",LEFT($G1847,3)="113"),"CHI",""))))</f>
        <v/>
      </c>
      <c r="N1847" s="117">
        <f>IF($M1847="THU",$G1847,IF($M1847="CHI",$F1847,""))</f>
        <v/>
      </c>
      <c r="O1847" s="117">
        <f>IF(OR($M1847="",$M1847="NB"),"",IF($J1847&lt;&gt;"",TEXT($J1847,"00"),IFERROR(VLOOKUP(LEFT($N1847,4),LCTT_MAP!$A$7:$C$66,IF($M1847="THU",2,3),FALSE()),IFERROR(VLOOKUP(LEFT($N1847,3),LCTT_MAP!$A$7:$C$66,IF($M1847="THU",2,3),FALSE()),IFERROR(VLOOKUP(LEFT($N1847,2),LCTT_MAP!$A$7:$C$66,IF($M1847="THU",2,3),FALSE()),IFERROR(VLOOKUP(LEFT($N1847,1),LCTT_MAP!$A$7:$C$66,IF($M1847="THU",2,3),FALSE()),IF($M1847="THU","06","07")))))))</f>
        <v/>
      </c>
      <c r="P1847" s="117">
        <f>P1846+IF(AND($H1847&lt;&gt;"",OR(LEFT($F1847,LEN(SC_TK))=SC_TK,LEFT($G1847,LEN(SC_TK))=SC_TK)),1,0)</f>
        <v/>
      </c>
    </row>
    <row r="1848" ht="15" customHeight="1" s="78">
      <c r="A1848" s="95">
        <f>IF($H1848="","",ROW()-6)</f>
        <v/>
      </c>
      <c r="B1848" s="114" t="n"/>
      <c r="C1848" s="102" t="n"/>
      <c r="D1848" s="114" t="n"/>
      <c r="E1848" s="103" t="n"/>
      <c r="F1848" s="102" t="n"/>
      <c r="G1848" s="102" t="n"/>
      <c r="H1848" s="115" t="n"/>
      <c r="I1848" s="102" t="n"/>
      <c r="J1848" s="102" t="n"/>
      <c r="K1848" s="103" t="n"/>
      <c r="L1848" s="116">
        <f>IF($H1848="","",TRIM(IF(COUNTIF(DMTK!$A$7:$A$250,$F1848)=0,"TK Nợ sai! ","")&amp;IF(COUNTIF(DMTK!$A$7:$A$250,$G1848)=0,"TK Có sai! ","")&amp;IF(N($H1848)&lt;=0,"Tiền phải &gt; 0! ","")&amp;IF($B1848="","Thiếu ngày! ","")&amp;IF(AND(OR(LEFT($F1848,3)="131",LEFT($G1848,3)="131",LEFT($F1848,3)="331",LEFT($G1848,3)="331"),$I1848=""),"Thiếu Mã ĐT! ","")&amp;IF(AND($I1848&lt;&gt;"",COUNTIF(DM_DT!$A$7:$A$306,$I1848)=0),"Mã ĐT chưa khai báo! ","")))</f>
        <v/>
      </c>
      <c r="M1848" s="117">
        <f>IF($H1848="","",IF(AND(OR(LEFT($F1848,3)="111",LEFT($F1848,3)="112",LEFT($F1848,3)="113"),OR(LEFT($G1848,3)="111",LEFT($G1848,3)="112",LEFT($G1848,3)="113")),"NB",IF(OR(LEFT($F1848,3)="111",LEFT($F1848,3)="112",LEFT($F1848,3)="113"),"THU",IF(OR(LEFT($G1848,3)="111",LEFT($G1848,3)="112",LEFT($G1848,3)="113"),"CHI",""))))</f>
        <v/>
      </c>
      <c r="N1848" s="117">
        <f>IF($M1848="THU",$G1848,IF($M1848="CHI",$F1848,""))</f>
        <v/>
      </c>
      <c r="O1848" s="117">
        <f>IF(OR($M1848="",$M1848="NB"),"",IF($J1848&lt;&gt;"",TEXT($J1848,"00"),IFERROR(VLOOKUP(LEFT($N1848,4),LCTT_MAP!$A$7:$C$66,IF($M1848="THU",2,3),FALSE()),IFERROR(VLOOKUP(LEFT($N1848,3),LCTT_MAP!$A$7:$C$66,IF($M1848="THU",2,3),FALSE()),IFERROR(VLOOKUP(LEFT($N1848,2),LCTT_MAP!$A$7:$C$66,IF($M1848="THU",2,3),FALSE()),IFERROR(VLOOKUP(LEFT($N1848,1),LCTT_MAP!$A$7:$C$66,IF($M1848="THU",2,3),FALSE()),IF($M1848="THU","06","07")))))))</f>
        <v/>
      </c>
      <c r="P1848" s="117">
        <f>P1847+IF(AND($H1848&lt;&gt;"",OR(LEFT($F1848,LEN(SC_TK))=SC_TK,LEFT($G1848,LEN(SC_TK))=SC_TK)),1,0)</f>
        <v/>
      </c>
    </row>
    <row r="1849" ht="15" customHeight="1" s="78">
      <c r="A1849" s="95">
        <f>IF($H1849="","",ROW()-6)</f>
        <v/>
      </c>
      <c r="B1849" s="114" t="n"/>
      <c r="C1849" s="102" t="n"/>
      <c r="D1849" s="114" t="n"/>
      <c r="E1849" s="103" t="n"/>
      <c r="F1849" s="102" t="n"/>
      <c r="G1849" s="102" t="n"/>
      <c r="H1849" s="115" t="n"/>
      <c r="I1849" s="102" t="n"/>
      <c r="J1849" s="102" t="n"/>
      <c r="K1849" s="103" t="n"/>
      <c r="L1849" s="116">
        <f>IF($H1849="","",TRIM(IF(COUNTIF(DMTK!$A$7:$A$250,$F1849)=0,"TK Nợ sai! ","")&amp;IF(COUNTIF(DMTK!$A$7:$A$250,$G1849)=0,"TK Có sai! ","")&amp;IF(N($H1849)&lt;=0,"Tiền phải &gt; 0! ","")&amp;IF($B1849="","Thiếu ngày! ","")&amp;IF(AND(OR(LEFT($F1849,3)="131",LEFT($G1849,3)="131",LEFT($F1849,3)="331",LEFT($G1849,3)="331"),$I1849=""),"Thiếu Mã ĐT! ","")&amp;IF(AND($I1849&lt;&gt;"",COUNTIF(DM_DT!$A$7:$A$306,$I1849)=0),"Mã ĐT chưa khai báo! ","")))</f>
        <v/>
      </c>
      <c r="M1849" s="117">
        <f>IF($H1849="","",IF(AND(OR(LEFT($F1849,3)="111",LEFT($F1849,3)="112",LEFT($F1849,3)="113"),OR(LEFT($G1849,3)="111",LEFT($G1849,3)="112",LEFT($G1849,3)="113")),"NB",IF(OR(LEFT($F1849,3)="111",LEFT($F1849,3)="112",LEFT($F1849,3)="113"),"THU",IF(OR(LEFT($G1849,3)="111",LEFT($G1849,3)="112",LEFT($G1849,3)="113"),"CHI",""))))</f>
        <v/>
      </c>
      <c r="N1849" s="117">
        <f>IF($M1849="THU",$G1849,IF($M1849="CHI",$F1849,""))</f>
        <v/>
      </c>
      <c r="O1849" s="117">
        <f>IF(OR($M1849="",$M1849="NB"),"",IF($J1849&lt;&gt;"",TEXT($J1849,"00"),IFERROR(VLOOKUP(LEFT($N1849,4),LCTT_MAP!$A$7:$C$66,IF($M1849="THU",2,3),FALSE()),IFERROR(VLOOKUP(LEFT($N1849,3),LCTT_MAP!$A$7:$C$66,IF($M1849="THU",2,3),FALSE()),IFERROR(VLOOKUP(LEFT($N1849,2),LCTT_MAP!$A$7:$C$66,IF($M1849="THU",2,3),FALSE()),IFERROR(VLOOKUP(LEFT($N1849,1),LCTT_MAP!$A$7:$C$66,IF($M1849="THU",2,3),FALSE()),IF($M1849="THU","06","07")))))))</f>
        <v/>
      </c>
      <c r="P1849" s="117">
        <f>P1848+IF(AND($H1849&lt;&gt;"",OR(LEFT($F1849,LEN(SC_TK))=SC_TK,LEFT($G1849,LEN(SC_TK))=SC_TK)),1,0)</f>
        <v/>
      </c>
    </row>
    <row r="1850" ht="15" customHeight="1" s="78">
      <c r="A1850" s="95">
        <f>IF($H1850="","",ROW()-6)</f>
        <v/>
      </c>
      <c r="B1850" s="114" t="n"/>
      <c r="C1850" s="102" t="n"/>
      <c r="D1850" s="114" t="n"/>
      <c r="E1850" s="103" t="n"/>
      <c r="F1850" s="102" t="n"/>
      <c r="G1850" s="102" t="n"/>
      <c r="H1850" s="115" t="n"/>
      <c r="I1850" s="102" t="n"/>
      <c r="J1850" s="102" t="n"/>
      <c r="K1850" s="103" t="n"/>
      <c r="L1850" s="116">
        <f>IF($H1850="","",TRIM(IF(COUNTIF(DMTK!$A$7:$A$250,$F1850)=0,"TK Nợ sai! ","")&amp;IF(COUNTIF(DMTK!$A$7:$A$250,$G1850)=0,"TK Có sai! ","")&amp;IF(N($H1850)&lt;=0,"Tiền phải &gt; 0! ","")&amp;IF($B1850="","Thiếu ngày! ","")&amp;IF(AND(OR(LEFT($F1850,3)="131",LEFT($G1850,3)="131",LEFT($F1850,3)="331",LEFT($G1850,3)="331"),$I1850=""),"Thiếu Mã ĐT! ","")&amp;IF(AND($I1850&lt;&gt;"",COUNTIF(DM_DT!$A$7:$A$306,$I1850)=0),"Mã ĐT chưa khai báo! ","")))</f>
        <v/>
      </c>
      <c r="M1850" s="117">
        <f>IF($H1850="","",IF(AND(OR(LEFT($F1850,3)="111",LEFT($F1850,3)="112",LEFT($F1850,3)="113"),OR(LEFT($G1850,3)="111",LEFT($G1850,3)="112",LEFT($G1850,3)="113")),"NB",IF(OR(LEFT($F1850,3)="111",LEFT($F1850,3)="112",LEFT($F1850,3)="113"),"THU",IF(OR(LEFT($G1850,3)="111",LEFT($G1850,3)="112",LEFT($G1850,3)="113"),"CHI",""))))</f>
        <v/>
      </c>
      <c r="N1850" s="117">
        <f>IF($M1850="THU",$G1850,IF($M1850="CHI",$F1850,""))</f>
        <v/>
      </c>
      <c r="O1850" s="117">
        <f>IF(OR($M1850="",$M1850="NB"),"",IF($J1850&lt;&gt;"",TEXT($J1850,"00"),IFERROR(VLOOKUP(LEFT($N1850,4),LCTT_MAP!$A$7:$C$66,IF($M1850="THU",2,3),FALSE()),IFERROR(VLOOKUP(LEFT($N1850,3),LCTT_MAP!$A$7:$C$66,IF($M1850="THU",2,3),FALSE()),IFERROR(VLOOKUP(LEFT($N1850,2),LCTT_MAP!$A$7:$C$66,IF($M1850="THU",2,3),FALSE()),IFERROR(VLOOKUP(LEFT($N1850,1),LCTT_MAP!$A$7:$C$66,IF($M1850="THU",2,3),FALSE()),IF($M1850="THU","06","07")))))))</f>
        <v/>
      </c>
      <c r="P1850" s="117">
        <f>P1849+IF(AND($H1850&lt;&gt;"",OR(LEFT($F1850,LEN(SC_TK))=SC_TK,LEFT($G1850,LEN(SC_TK))=SC_TK)),1,0)</f>
        <v/>
      </c>
    </row>
    <row r="1851" ht="15" customHeight="1" s="78">
      <c r="A1851" s="95">
        <f>IF($H1851="","",ROW()-6)</f>
        <v/>
      </c>
      <c r="B1851" s="114" t="n"/>
      <c r="C1851" s="102" t="n"/>
      <c r="D1851" s="114" t="n"/>
      <c r="E1851" s="103" t="n"/>
      <c r="F1851" s="102" t="n"/>
      <c r="G1851" s="102" t="n"/>
      <c r="H1851" s="115" t="n"/>
      <c r="I1851" s="102" t="n"/>
      <c r="J1851" s="102" t="n"/>
      <c r="K1851" s="103" t="n"/>
      <c r="L1851" s="116">
        <f>IF($H1851="","",TRIM(IF(COUNTIF(DMTK!$A$7:$A$250,$F1851)=0,"TK Nợ sai! ","")&amp;IF(COUNTIF(DMTK!$A$7:$A$250,$G1851)=0,"TK Có sai! ","")&amp;IF(N($H1851)&lt;=0,"Tiền phải &gt; 0! ","")&amp;IF($B1851="","Thiếu ngày! ","")&amp;IF(AND(OR(LEFT($F1851,3)="131",LEFT($G1851,3)="131",LEFT($F1851,3)="331",LEFT($G1851,3)="331"),$I1851=""),"Thiếu Mã ĐT! ","")&amp;IF(AND($I1851&lt;&gt;"",COUNTIF(DM_DT!$A$7:$A$306,$I1851)=0),"Mã ĐT chưa khai báo! ","")))</f>
        <v/>
      </c>
      <c r="M1851" s="117">
        <f>IF($H1851="","",IF(AND(OR(LEFT($F1851,3)="111",LEFT($F1851,3)="112",LEFT($F1851,3)="113"),OR(LEFT($G1851,3)="111",LEFT($G1851,3)="112",LEFT($G1851,3)="113")),"NB",IF(OR(LEFT($F1851,3)="111",LEFT($F1851,3)="112",LEFT($F1851,3)="113"),"THU",IF(OR(LEFT($G1851,3)="111",LEFT($G1851,3)="112",LEFT($G1851,3)="113"),"CHI",""))))</f>
        <v/>
      </c>
      <c r="N1851" s="117">
        <f>IF($M1851="THU",$G1851,IF($M1851="CHI",$F1851,""))</f>
        <v/>
      </c>
      <c r="O1851" s="117">
        <f>IF(OR($M1851="",$M1851="NB"),"",IF($J1851&lt;&gt;"",TEXT($J1851,"00"),IFERROR(VLOOKUP(LEFT($N1851,4),LCTT_MAP!$A$7:$C$66,IF($M1851="THU",2,3),FALSE()),IFERROR(VLOOKUP(LEFT($N1851,3),LCTT_MAP!$A$7:$C$66,IF($M1851="THU",2,3),FALSE()),IFERROR(VLOOKUP(LEFT($N1851,2),LCTT_MAP!$A$7:$C$66,IF($M1851="THU",2,3),FALSE()),IFERROR(VLOOKUP(LEFT($N1851,1),LCTT_MAP!$A$7:$C$66,IF($M1851="THU",2,3),FALSE()),IF($M1851="THU","06","07")))))))</f>
        <v/>
      </c>
      <c r="P1851" s="117">
        <f>P1850+IF(AND($H1851&lt;&gt;"",OR(LEFT($F1851,LEN(SC_TK))=SC_TK,LEFT($G1851,LEN(SC_TK))=SC_TK)),1,0)</f>
        <v/>
      </c>
    </row>
    <row r="1852" ht="15" customHeight="1" s="78">
      <c r="A1852" s="95">
        <f>IF($H1852="","",ROW()-6)</f>
        <v/>
      </c>
      <c r="B1852" s="114" t="n"/>
      <c r="C1852" s="102" t="n"/>
      <c r="D1852" s="114" t="n"/>
      <c r="E1852" s="103" t="n"/>
      <c r="F1852" s="102" t="n"/>
      <c r="G1852" s="102" t="n"/>
      <c r="H1852" s="115" t="n"/>
      <c r="I1852" s="102" t="n"/>
      <c r="J1852" s="102" t="n"/>
      <c r="K1852" s="103" t="n"/>
      <c r="L1852" s="116">
        <f>IF($H1852="","",TRIM(IF(COUNTIF(DMTK!$A$7:$A$250,$F1852)=0,"TK Nợ sai! ","")&amp;IF(COUNTIF(DMTK!$A$7:$A$250,$G1852)=0,"TK Có sai! ","")&amp;IF(N($H1852)&lt;=0,"Tiền phải &gt; 0! ","")&amp;IF($B1852="","Thiếu ngày! ","")&amp;IF(AND(OR(LEFT($F1852,3)="131",LEFT($G1852,3)="131",LEFT($F1852,3)="331",LEFT($G1852,3)="331"),$I1852=""),"Thiếu Mã ĐT! ","")&amp;IF(AND($I1852&lt;&gt;"",COUNTIF(DM_DT!$A$7:$A$306,$I1852)=0),"Mã ĐT chưa khai báo! ","")))</f>
        <v/>
      </c>
      <c r="M1852" s="117">
        <f>IF($H1852="","",IF(AND(OR(LEFT($F1852,3)="111",LEFT($F1852,3)="112",LEFT($F1852,3)="113"),OR(LEFT($G1852,3)="111",LEFT($G1852,3)="112",LEFT($G1852,3)="113")),"NB",IF(OR(LEFT($F1852,3)="111",LEFT($F1852,3)="112",LEFT($F1852,3)="113"),"THU",IF(OR(LEFT($G1852,3)="111",LEFT($G1852,3)="112",LEFT($G1852,3)="113"),"CHI",""))))</f>
        <v/>
      </c>
      <c r="N1852" s="117">
        <f>IF($M1852="THU",$G1852,IF($M1852="CHI",$F1852,""))</f>
        <v/>
      </c>
      <c r="O1852" s="117">
        <f>IF(OR($M1852="",$M1852="NB"),"",IF($J1852&lt;&gt;"",TEXT($J1852,"00"),IFERROR(VLOOKUP(LEFT($N1852,4),LCTT_MAP!$A$7:$C$66,IF($M1852="THU",2,3),FALSE()),IFERROR(VLOOKUP(LEFT($N1852,3),LCTT_MAP!$A$7:$C$66,IF($M1852="THU",2,3),FALSE()),IFERROR(VLOOKUP(LEFT($N1852,2),LCTT_MAP!$A$7:$C$66,IF($M1852="THU",2,3),FALSE()),IFERROR(VLOOKUP(LEFT($N1852,1),LCTT_MAP!$A$7:$C$66,IF($M1852="THU",2,3),FALSE()),IF($M1852="THU","06","07")))))))</f>
        <v/>
      </c>
      <c r="P1852" s="117">
        <f>P1851+IF(AND($H1852&lt;&gt;"",OR(LEFT($F1852,LEN(SC_TK))=SC_TK,LEFT($G1852,LEN(SC_TK))=SC_TK)),1,0)</f>
        <v/>
      </c>
    </row>
    <row r="1853" ht="15" customHeight="1" s="78">
      <c r="A1853" s="95">
        <f>IF($H1853="","",ROW()-6)</f>
        <v/>
      </c>
      <c r="B1853" s="114" t="n"/>
      <c r="C1853" s="102" t="n"/>
      <c r="D1853" s="114" t="n"/>
      <c r="E1853" s="103" t="n"/>
      <c r="F1853" s="102" t="n"/>
      <c r="G1853" s="102" t="n"/>
      <c r="H1853" s="115" t="n"/>
      <c r="I1853" s="102" t="n"/>
      <c r="J1853" s="102" t="n"/>
      <c r="K1853" s="103" t="n"/>
      <c r="L1853" s="116">
        <f>IF($H1853="","",TRIM(IF(COUNTIF(DMTK!$A$7:$A$250,$F1853)=0,"TK Nợ sai! ","")&amp;IF(COUNTIF(DMTK!$A$7:$A$250,$G1853)=0,"TK Có sai! ","")&amp;IF(N($H1853)&lt;=0,"Tiền phải &gt; 0! ","")&amp;IF($B1853="","Thiếu ngày! ","")&amp;IF(AND(OR(LEFT($F1853,3)="131",LEFT($G1853,3)="131",LEFT($F1853,3)="331",LEFT($G1853,3)="331"),$I1853=""),"Thiếu Mã ĐT! ","")&amp;IF(AND($I1853&lt;&gt;"",COUNTIF(DM_DT!$A$7:$A$306,$I1853)=0),"Mã ĐT chưa khai báo! ","")))</f>
        <v/>
      </c>
      <c r="M1853" s="117">
        <f>IF($H1853="","",IF(AND(OR(LEFT($F1853,3)="111",LEFT($F1853,3)="112",LEFT($F1853,3)="113"),OR(LEFT($G1853,3)="111",LEFT($G1853,3)="112",LEFT($G1853,3)="113")),"NB",IF(OR(LEFT($F1853,3)="111",LEFT($F1853,3)="112",LEFT($F1853,3)="113"),"THU",IF(OR(LEFT($G1853,3)="111",LEFT($G1853,3)="112",LEFT($G1853,3)="113"),"CHI",""))))</f>
        <v/>
      </c>
      <c r="N1853" s="117">
        <f>IF($M1853="THU",$G1853,IF($M1853="CHI",$F1853,""))</f>
        <v/>
      </c>
      <c r="O1853" s="117">
        <f>IF(OR($M1853="",$M1853="NB"),"",IF($J1853&lt;&gt;"",TEXT($J1853,"00"),IFERROR(VLOOKUP(LEFT($N1853,4),LCTT_MAP!$A$7:$C$66,IF($M1853="THU",2,3),FALSE()),IFERROR(VLOOKUP(LEFT($N1853,3),LCTT_MAP!$A$7:$C$66,IF($M1853="THU",2,3),FALSE()),IFERROR(VLOOKUP(LEFT($N1853,2),LCTT_MAP!$A$7:$C$66,IF($M1853="THU",2,3),FALSE()),IFERROR(VLOOKUP(LEFT($N1853,1),LCTT_MAP!$A$7:$C$66,IF($M1853="THU",2,3),FALSE()),IF($M1853="THU","06","07")))))))</f>
        <v/>
      </c>
      <c r="P1853" s="117">
        <f>P1852+IF(AND($H1853&lt;&gt;"",OR(LEFT($F1853,LEN(SC_TK))=SC_TK,LEFT($G1853,LEN(SC_TK))=SC_TK)),1,0)</f>
        <v/>
      </c>
    </row>
    <row r="1854" ht="15" customHeight="1" s="78">
      <c r="A1854" s="95">
        <f>IF($H1854="","",ROW()-6)</f>
        <v/>
      </c>
      <c r="B1854" s="114" t="n"/>
      <c r="C1854" s="102" t="n"/>
      <c r="D1854" s="114" t="n"/>
      <c r="E1854" s="103" t="n"/>
      <c r="F1854" s="102" t="n"/>
      <c r="G1854" s="102" t="n"/>
      <c r="H1854" s="115" t="n"/>
      <c r="I1854" s="102" t="n"/>
      <c r="J1854" s="102" t="n"/>
      <c r="K1854" s="103" t="n"/>
      <c r="L1854" s="116">
        <f>IF($H1854="","",TRIM(IF(COUNTIF(DMTK!$A$7:$A$250,$F1854)=0,"TK Nợ sai! ","")&amp;IF(COUNTIF(DMTK!$A$7:$A$250,$G1854)=0,"TK Có sai! ","")&amp;IF(N($H1854)&lt;=0,"Tiền phải &gt; 0! ","")&amp;IF($B1854="","Thiếu ngày! ","")&amp;IF(AND(OR(LEFT($F1854,3)="131",LEFT($G1854,3)="131",LEFT($F1854,3)="331",LEFT($G1854,3)="331"),$I1854=""),"Thiếu Mã ĐT! ","")&amp;IF(AND($I1854&lt;&gt;"",COUNTIF(DM_DT!$A$7:$A$306,$I1854)=0),"Mã ĐT chưa khai báo! ","")))</f>
        <v/>
      </c>
      <c r="M1854" s="117">
        <f>IF($H1854="","",IF(AND(OR(LEFT($F1854,3)="111",LEFT($F1854,3)="112",LEFT($F1854,3)="113"),OR(LEFT($G1854,3)="111",LEFT($G1854,3)="112",LEFT($G1854,3)="113")),"NB",IF(OR(LEFT($F1854,3)="111",LEFT($F1854,3)="112",LEFT($F1854,3)="113"),"THU",IF(OR(LEFT($G1854,3)="111",LEFT($G1854,3)="112",LEFT($G1854,3)="113"),"CHI",""))))</f>
        <v/>
      </c>
      <c r="N1854" s="117">
        <f>IF($M1854="THU",$G1854,IF($M1854="CHI",$F1854,""))</f>
        <v/>
      </c>
      <c r="O1854" s="117">
        <f>IF(OR($M1854="",$M1854="NB"),"",IF($J1854&lt;&gt;"",TEXT($J1854,"00"),IFERROR(VLOOKUP(LEFT($N1854,4),LCTT_MAP!$A$7:$C$66,IF($M1854="THU",2,3),FALSE()),IFERROR(VLOOKUP(LEFT($N1854,3),LCTT_MAP!$A$7:$C$66,IF($M1854="THU",2,3),FALSE()),IFERROR(VLOOKUP(LEFT($N1854,2),LCTT_MAP!$A$7:$C$66,IF($M1854="THU",2,3),FALSE()),IFERROR(VLOOKUP(LEFT($N1854,1),LCTT_MAP!$A$7:$C$66,IF($M1854="THU",2,3),FALSE()),IF($M1854="THU","06","07")))))))</f>
        <v/>
      </c>
      <c r="P1854" s="117">
        <f>P1853+IF(AND($H1854&lt;&gt;"",OR(LEFT($F1854,LEN(SC_TK))=SC_TK,LEFT($G1854,LEN(SC_TK))=SC_TK)),1,0)</f>
        <v/>
      </c>
    </row>
    <row r="1855" ht="15" customHeight="1" s="78">
      <c r="A1855" s="95">
        <f>IF($H1855="","",ROW()-6)</f>
        <v/>
      </c>
      <c r="B1855" s="114" t="n"/>
      <c r="C1855" s="102" t="n"/>
      <c r="D1855" s="114" t="n"/>
      <c r="E1855" s="103" t="n"/>
      <c r="F1855" s="102" t="n"/>
      <c r="G1855" s="102" t="n"/>
      <c r="H1855" s="115" t="n"/>
      <c r="I1855" s="102" t="n"/>
      <c r="J1855" s="102" t="n"/>
      <c r="K1855" s="103" t="n"/>
      <c r="L1855" s="116">
        <f>IF($H1855="","",TRIM(IF(COUNTIF(DMTK!$A$7:$A$250,$F1855)=0,"TK Nợ sai! ","")&amp;IF(COUNTIF(DMTK!$A$7:$A$250,$G1855)=0,"TK Có sai! ","")&amp;IF(N($H1855)&lt;=0,"Tiền phải &gt; 0! ","")&amp;IF($B1855="","Thiếu ngày! ","")&amp;IF(AND(OR(LEFT($F1855,3)="131",LEFT($G1855,3)="131",LEFT($F1855,3)="331",LEFT($G1855,3)="331"),$I1855=""),"Thiếu Mã ĐT! ","")&amp;IF(AND($I1855&lt;&gt;"",COUNTIF(DM_DT!$A$7:$A$306,$I1855)=0),"Mã ĐT chưa khai báo! ","")))</f>
        <v/>
      </c>
      <c r="M1855" s="117">
        <f>IF($H1855="","",IF(AND(OR(LEFT($F1855,3)="111",LEFT($F1855,3)="112",LEFT($F1855,3)="113"),OR(LEFT($G1855,3)="111",LEFT($G1855,3)="112",LEFT($G1855,3)="113")),"NB",IF(OR(LEFT($F1855,3)="111",LEFT($F1855,3)="112",LEFT($F1855,3)="113"),"THU",IF(OR(LEFT($G1855,3)="111",LEFT($G1855,3)="112",LEFT($G1855,3)="113"),"CHI",""))))</f>
        <v/>
      </c>
      <c r="N1855" s="117">
        <f>IF($M1855="THU",$G1855,IF($M1855="CHI",$F1855,""))</f>
        <v/>
      </c>
      <c r="O1855" s="117">
        <f>IF(OR($M1855="",$M1855="NB"),"",IF($J1855&lt;&gt;"",TEXT($J1855,"00"),IFERROR(VLOOKUP(LEFT($N1855,4),LCTT_MAP!$A$7:$C$66,IF($M1855="THU",2,3),FALSE()),IFERROR(VLOOKUP(LEFT($N1855,3),LCTT_MAP!$A$7:$C$66,IF($M1855="THU",2,3),FALSE()),IFERROR(VLOOKUP(LEFT($N1855,2),LCTT_MAP!$A$7:$C$66,IF($M1855="THU",2,3),FALSE()),IFERROR(VLOOKUP(LEFT($N1855,1),LCTT_MAP!$A$7:$C$66,IF($M1855="THU",2,3),FALSE()),IF($M1855="THU","06","07")))))))</f>
        <v/>
      </c>
      <c r="P1855" s="117">
        <f>P1854+IF(AND($H1855&lt;&gt;"",OR(LEFT($F1855,LEN(SC_TK))=SC_TK,LEFT($G1855,LEN(SC_TK))=SC_TK)),1,0)</f>
        <v/>
      </c>
    </row>
    <row r="1856" ht="15" customHeight="1" s="78">
      <c r="A1856" s="95">
        <f>IF($H1856="","",ROW()-6)</f>
        <v/>
      </c>
      <c r="B1856" s="114" t="n"/>
      <c r="C1856" s="102" t="n"/>
      <c r="D1856" s="114" t="n"/>
      <c r="E1856" s="103" t="n"/>
      <c r="F1856" s="102" t="n"/>
      <c r="G1856" s="102" t="n"/>
      <c r="H1856" s="115" t="n"/>
      <c r="I1856" s="102" t="n"/>
      <c r="J1856" s="102" t="n"/>
      <c r="K1856" s="103" t="n"/>
      <c r="L1856" s="116">
        <f>IF($H1856="","",TRIM(IF(COUNTIF(DMTK!$A$7:$A$250,$F1856)=0,"TK Nợ sai! ","")&amp;IF(COUNTIF(DMTK!$A$7:$A$250,$G1856)=0,"TK Có sai! ","")&amp;IF(N($H1856)&lt;=0,"Tiền phải &gt; 0! ","")&amp;IF($B1856="","Thiếu ngày! ","")&amp;IF(AND(OR(LEFT($F1856,3)="131",LEFT($G1856,3)="131",LEFT($F1856,3)="331",LEFT($G1856,3)="331"),$I1856=""),"Thiếu Mã ĐT! ","")&amp;IF(AND($I1856&lt;&gt;"",COUNTIF(DM_DT!$A$7:$A$306,$I1856)=0),"Mã ĐT chưa khai báo! ","")))</f>
        <v/>
      </c>
      <c r="M1856" s="117">
        <f>IF($H1856="","",IF(AND(OR(LEFT($F1856,3)="111",LEFT($F1856,3)="112",LEFT($F1856,3)="113"),OR(LEFT($G1856,3)="111",LEFT($G1856,3)="112",LEFT($G1856,3)="113")),"NB",IF(OR(LEFT($F1856,3)="111",LEFT($F1856,3)="112",LEFT($F1856,3)="113"),"THU",IF(OR(LEFT($G1856,3)="111",LEFT($G1856,3)="112",LEFT($G1856,3)="113"),"CHI",""))))</f>
        <v/>
      </c>
      <c r="N1856" s="117">
        <f>IF($M1856="THU",$G1856,IF($M1856="CHI",$F1856,""))</f>
        <v/>
      </c>
      <c r="O1856" s="117">
        <f>IF(OR($M1856="",$M1856="NB"),"",IF($J1856&lt;&gt;"",TEXT($J1856,"00"),IFERROR(VLOOKUP(LEFT($N1856,4),LCTT_MAP!$A$7:$C$66,IF($M1856="THU",2,3),FALSE()),IFERROR(VLOOKUP(LEFT($N1856,3),LCTT_MAP!$A$7:$C$66,IF($M1856="THU",2,3),FALSE()),IFERROR(VLOOKUP(LEFT($N1856,2),LCTT_MAP!$A$7:$C$66,IF($M1856="THU",2,3),FALSE()),IFERROR(VLOOKUP(LEFT($N1856,1),LCTT_MAP!$A$7:$C$66,IF($M1856="THU",2,3),FALSE()),IF($M1856="THU","06","07")))))))</f>
        <v/>
      </c>
      <c r="P1856" s="117">
        <f>P1855+IF(AND($H1856&lt;&gt;"",OR(LEFT($F1856,LEN(SC_TK))=SC_TK,LEFT($G1856,LEN(SC_TK))=SC_TK)),1,0)</f>
        <v/>
      </c>
    </row>
    <row r="1857" ht="15" customHeight="1" s="78">
      <c r="A1857" s="95">
        <f>IF($H1857="","",ROW()-6)</f>
        <v/>
      </c>
      <c r="B1857" s="114" t="n"/>
      <c r="C1857" s="102" t="n"/>
      <c r="D1857" s="114" t="n"/>
      <c r="E1857" s="103" t="n"/>
      <c r="F1857" s="102" t="n"/>
      <c r="G1857" s="102" t="n"/>
      <c r="H1857" s="115" t="n"/>
      <c r="I1857" s="102" t="n"/>
      <c r="J1857" s="102" t="n"/>
      <c r="K1857" s="103" t="n"/>
      <c r="L1857" s="116">
        <f>IF($H1857="","",TRIM(IF(COUNTIF(DMTK!$A$7:$A$250,$F1857)=0,"TK Nợ sai! ","")&amp;IF(COUNTIF(DMTK!$A$7:$A$250,$G1857)=0,"TK Có sai! ","")&amp;IF(N($H1857)&lt;=0,"Tiền phải &gt; 0! ","")&amp;IF($B1857="","Thiếu ngày! ","")&amp;IF(AND(OR(LEFT($F1857,3)="131",LEFT($G1857,3)="131",LEFT($F1857,3)="331",LEFT($G1857,3)="331"),$I1857=""),"Thiếu Mã ĐT! ","")&amp;IF(AND($I1857&lt;&gt;"",COUNTIF(DM_DT!$A$7:$A$306,$I1857)=0),"Mã ĐT chưa khai báo! ","")))</f>
        <v/>
      </c>
      <c r="M1857" s="117">
        <f>IF($H1857="","",IF(AND(OR(LEFT($F1857,3)="111",LEFT($F1857,3)="112",LEFT($F1857,3)="113"),OR(LEFT($G1857,3)="111",LEFT($G1857,3)="112",LEFT($G1857,3)="113")),"NB",IF(OR(LEFT($F1857,3)="111",LEFT($F1857,3)="112",LEFT($F1857,3)="113"),"THU",IF(OR(LEFT($G1857,3)="111",LEFT($G1857,3)="112",LEFT($G1857,3)="113"),"CHI",""))))</f>
        <v/>
      </c>
      <c r="N1857" s="117">
        <f>IF($M1857="THU",$G1857,IF($M1857="CHI",$F1857,""))</f>
        <v/>
      </c>
      <c r="O1857" s="117">
        <f>IF(OR($M1857="",$M1857="NB"),"",IF($J1857&lt;&gt;"",TEXT($J1857,"00"),IFERROR(VLOOKUP(LEFT($N1857,4),LCTT_MAP!$A$7:$C$66,IF($M1857="THU",2,3),FALSE()),IFERROR(VLOOKUP(LEFT($N1857,3),LCTT_MAP!$A$7:$C$66,IF($M1857="THU",2,3),FALSE()),IFERROR(VLOOKUP(LEFT($N1857,2),LCTT_MAP!$A$7:$C$66,IF($M1857="THU",2,3),FALSE()),IFERROR(VLOOKUP(LEFT($N1857,1),LCTT_MAP!$A$7:$C$66,IF($M1857="THU",2,3),FALSE()),IF($M1857="THU","06","07")))))))</f>
        <v/>
      </c>
      <c r="P1857" s="117">
        <f>P1856+IF(AND($H1857&lt;&gt;"",OR(LEFT($F1857,LEN(SC_TK))=SC_TK,LEFT($G1857,LEN(SC_TK))=SC_TK)),1,0)</f>
        <v/>
      </c>
    </row>
    <row r="1858" ht="15" customHeight="1" s="78">
      <c r="A1858" s="95">
        <f>IF($H1858="","",ROW()-6)</f>
        <v/>
      </c>
      <c r="B1858" s="114" t="n"/>
      <c r="C1858" s="102" t="n"/>
      <c r="D1858" s="114" t="n"/>
      <c r="E1858" s="103" t="n"/>
      <c r="F1858" s="102" t="n"/>
      <c r="G1858" s="102" t="n"/>
      <c r="H1858" s="115" t="n"/>
      <c r="I1858" s="102" t="n"/>
      <c r="J1858" s="102" t="n"/>
      <c r="K1858" s="103" t="n"/>
      <c r="L1858" s="116">
        <f>IF($H1858="","",TRIM(IF(COUNTIF(DMTK!$A$7:$A$250,$F1858)=0,"TK Nợ sai! ","")&amp;IF(COUNTIF(DMTK!$A$7:$A$250,$G1858)=0,"TK Có sai! ","")&amp;IF(N($H1858)&lt;=0,"Tiền phải &gt; 0! ","")&amp;IF($B1858="","Thiếu ngày! ","")&amp;IF(AND(OR(LEFT($F1858,3)="131",LEFT($G1858,3)="131",LEFT($F1858,3)="331",LEFT($G1858,3)="331"),$I1858=""),"Thiếu Mã ĐT! ","")&amp;IF(AND($I1858&lt;&gt;"",COUNTIF(DM_DT!$A$7:$A$306,$I1858)=0),"Mã ĐT chưa khai báo! ","")))</f>
        <v/>
      </c>
      <c r="M1858" s="117">
        <f>IF($H1858="","",IF(AND(OR(LEFT($F1858,3)="111",LEFT($F1858,3)="112",LEFT($F1858,3)="113"),OR(LEFT($G1858,3)="111",LEFT($G1858,3)="112",LEFT($G1858,3)="113")),"NB",IF(OR(LEFT($F1858,3)="111",LEFT($F1858,3)="112",LEFT($F1858,3)="113"),"THU",IF(OR(LEFT($G1858,3)="111",LEFT($G1858,3)="112",LEFT($G1858,3)="113"),"CHI",""))))</f>
        <v/>
      </c>
      <c r="N1858" s="117">
        <f>IF($M1858="THU",$G1858,IF($M1858="CHI",$F1858,""))</f>
        <v/>
      </c>
      <c r="O1858" s="117">
        <f>IF(OR($M1858="",$M1858="NB"),"",IF($J1858&lt;&gt;"",TEXT($J1858,"00"),IFERROR(VLOOKUP(LEFT($N1858,4),LCTT_MAP!$A$7:$C$66,IF($M1858="THU",2,3),FALSE()),IFERROR(VLOOKUP(LEFT($N1858,3),LCTT_MAP!$A$7:$C$66,IF($M1858="THU",2,3),FALSE()),IFERROR(VLOOKUP(LEFT($N1858,2),LCTT_MAP!$A$7:$C$66,IF($M1858="THU",2,3),FALSE()),IFERROR(VLOOKUP(LEFT($N1858,1),LCTT_MAP!$A$7:$C$66,IF($M1858="THU",2,3),FALSE()),IF($M1858="THU","06","07")))))))</f>
        <v/>
      </c>
      <c r="P1858" s="117">
        <f>P1857+IF(AND($H1858&lt;&gt;"",OR(LEFT($F1858,LEN(SC_TK))=SC_TK,LEFT($G1858,LEN(SC_TK))=SC_TK)),1,0)</f>
        <v/>
      </c>
    </row>
    <row r="1859" ht="15" customHeight="1" s="78">
      <c r="A1859" s="95">
        <f>IF($H1859="","",ROW()-6)</f>
        <v/>
      </c>
      <c r="B1859" s="114" t="n"/>
      <c r="C1859" s="102" t="n"/>
      <c r="D1859" s="114" t="n"/>
      <c r="E1859" s="103" t="n"/>
      <c r="F1859" s="102" t="n"/>
      <c r="G1859" s="102" t="n"/>
      <c r="H1859" s="115" t="n"/>
      <c r="I1859" s="102" t="n"/>
      <c r="J1859" s="102" t="n"/>
      <c r="K1859" s="103" t="n"/>
      <c r="L1859" s="116">
        <f>IF($H1859="","",TRIM(IF(COUNTIF(DMTK!$A$7:$A$250,$F1859)=0,"TK Nợ sai! ","")&amp;IF(COUNTIF(DMTK!$A$7:$A$250,$G1859)=0,"TK Có sai! ","")&amp;IF(N($H1859)&lt;=0,"Tiền phải &gt; 0! ","")&amp;IF($B1859="","Thiếu ngày! ","")&amp;IF(AND(OR(LEFT($F1859,3)="131",LEFT($G1859,3)="131",LEFT($F1859,3)="331",LEFT($G1859,3)="331"),$I1859=""),"Thiếu Mã ĐT! ","")&amp;IF(AND($I1859&lt;&gt;"",COUNTIF(DM_DT!$A$7:$A$306,$I1859)=0),"Mã ĐT chưa khai báo! ","")))</f>
        <v/>
      </c>
      <c r="M1859" s="117">
        <f>IF($H1859="","",IF(AND(OR(LEFT($F1859,3)="111",LEFT($F1859,3)="112",LEFT($F1859,3)="113"),OR(LEFT($G1859,3)="111",LEFT($G1859,3)="112",LEFT($G1859,3)="113")),"NB",IF(OR(LEFT($F1859,3)="111",LEFT($F1859,3)="112",LEFT($F1859,3)="113"),"THU",IF(OR(LEFT($G1859,3)="111",LEFT($G1859,3)="112",LEFT($G1859,3)="113"),"CHI",""))))</f>
        <v/>
      </c>
      <c r="N1859" s="117">
        <f>IF($M1859="THU",$G1859,IF($M1859="CHI",$F1859,""))</f>
        <v/>
      </c>
      <c r="O1859" s="117">
        <f>IF(OR($M1859="",$M1859="NB"),"",IF($J1859&lt;&gt;"",TEXT($J1859,"00"),IFERROR(VLOOKUP(LEFT($N1859,4),LCTT_MAP!$A$7:$C$66,IF($M1859="THU",2,3),FALSE()),IFERROR(VLOOKUP(LEFT($N1859,3),LCTT_MAP!$A$7:$C$66,IF($M1859="THU",2,3),FALSE()),IFERROR(VLOOKUP(LEFT($N1859,2),LCTT_MAP!$A$7:$C$66,IF($M1859="THU",2,3),FALSE()),IFERROR(VLOOKUP(LEFT($N1859,1),LCTT_MAP!$A$7:$C$66,IF($M1859="THU",2,3),FALSE()),IF($M1859="THU","06","07")))))))</f>
        <v/>
      </c>
      <c r="P1859" s="117">
        <f>P1858+IF(AND($H1859&lt;&gt;"",OR(LEFT($F1859,LEN(SC_TK))=SC_TK,LEFT($G1859,LEN(SC_TK))=SC_TK)),1,0)</f>
        <v/>
      </c>
    </row>
    <row r="1860" ht="15" customHeight="1" s="78">
      <c r="A1860" s="95">
        <f>IF($H1860="","",ROW()-6)</f>
        <v/>
      </c>
      <c r="B1860" s="114" t="n"/>
      <c r="C1860" s="102" t="n"/>
      <c r="D1860" s="114" t="n"/>
      <c r="E1860" s="103" t="n"/>
      <c r="F1860" s="102" t="n"/>
      <c r="G1860" s="102" t="n"/>
      <c r="H1860" s="115" t="n"/>
      <c r="I1860" s="102" t="n"/>
      <c r="J1860" s="102" t="n"/>
      <c r="K1860" s="103" t="n"/>
      <c r="L1860" s="116">
        <f>IF($H1860="","",TRIM(IF(COUNTIF(DMTK!$A$7:$A$250,$F1860)=0,"TK Nợ sai! ","")&amp;IF(COUNTIF(DMTK!$A$7:$A$250,$G1860)=0,"TK Có sai! ","")&amp;IF(N($H1860)&lt;=0,"Tiền phải &gt; 0! ","")&amp;IF($B1860="","Thiếu ngày! ","")&amp;IF(AND(OR(LEFT($F1860,3)="131",LEFT($G1860,3)="131",LEFT($F1860,3)="331",LEFT($G1860,3)="331"),$I1860=""),"Thiếu Mã ĐT! ","")&amp;IF(AND($I1860&lt;&gt;"",COUNTIF(DM_DT!$A$7:$A$306,$I1860)=0),"Mã ĐT chưa khai báo! ","")))</f>
        <v/>
      </c>
      <c r="M1860" s="117">
        <f>IF($H1860="","",IF(AND(OR(LEFT($F1860,3)="111",LEFT($F1860,3)="112",LEFT($F1860,3)="113"),OR(LEFT($G1860,3)="111",LEFT($G1860,3)="112",LEFT($G1860,3)="113")),"NB",IF(OR(LEFT($F1860,3)="111",LEFT($F1860,3)="112",LEFT($F1860,3)="113"),"THU",IF(OR(LEFT($G1860,3)="111",LEFT($G1860,3)="112",LEFT($G1860,3)="113"),"CHI",""))))</f>
        <v/>
      </c>
      <c r="N1860" s="117">
        <f>IF($M1860="THU",$G1860,IF($M1860="CHI",$F1860,""))</f>
        <v/>
      </c>
      <c r="O1860" s="117">
        <f>IF(OR($M1860="",$M1860="NB"),"",IF($J1860&lt;&gt;"",TEXT($J1860,"00"),IFERROR(VLOOKUP(LEFT($N1860,4),LCTT_MAP!$A$7:$C$66,IF($M1860="THU",2,3),FALSE()),IFERROR(VLOOKUP(LEFT($N1860,3),LCTT_MAP!$A$7:$C$66,IF($M1860="THU",2,3),FALSE()),IFERROR(VLOOKUP(LEFT($N1860,2),LCTT_MAP!$A$7:$C$66,IF($M1860="THU",2,3),FALSE()),IFERROR(VLOOKUP(LEFT($N1860,1),LCTT_MAP!$A$7:$C$66,IF($M1860="THU",2,3),FALSE()),IF($M1860="THU","06","07")))))))</f>
        <v/>
      </c>
      <c r="P1860" s="117">
        <f>P1859+IF(AND($H1860&lt;&gt;"",OR(LEFT($F1860,LEN(SC_TK))=SC_TK,LEFT($G1860,LEN(SC_TK))=SC_TK)),1,0)</f>
        <v/>
      </c>
    </row>
    <row r="1861" ht="15" customHeight="1" s="78">
      <c r="A1861" s="95">
        <f>IF($H1861="","",ROW()-6)</f>
        <v/>
      </c>
      <c r="B1861" s="114" t="n"/>
      <c r="C1861" s="102" t="n"/>
      <c r="D1861" s="114" t="n"/>
      <c r="E1861" s="103" t="n"/>
      <c r="F1861" s="102" t="n"/>
      <c r="G1861" s="102" t="n"/>
      <c r="H1861" s="115" t="n"/>
      <c r="I1861" s="102" t="n"/>
      <c r="J1861" s="102" t="n"/>
      <c r="K1861" s="103" t="n"/>
      <c r="L1861" s="116">
        <f>IF($H1861="","",TRIM(IF(COUNTIF(DMTK!$A$7:$A$250,$F1861)=0,"TK Nợ sai! ","")&amp;IF(COUNTIF(DMTK!$A$7:$A$250,$G1861)=0,"TK Có sai! ","")&amp;IF(N($H1861)&lt;=0,"Tiền phải &gt; 0! ","")&amp;IF($B1861="","Thiếu ngày! ","")&amp;IF(AND(OR(LEFT($F1861,3)="131",LEFT($G1861,3)="131",LEFT($F1861,3)="331",LEFT($G1861,3)="331"),$I1861=""),"Thiếu Mã ĐT! ","")&amp;IF(AND($I1861&lt;&gt;"",COUNTIF(DM_DT!$A$7:$A$306,$I1861)=0),"Mã ĐT chưa khai báo! ","")))</f>
        <v/>
      </c>
      <c r="M1861" s="117">
        <f>IF($H1861="","",IF(AND(OR(LEFT($F1861,3)="111",LEFT($F1861,3)="112",LEFT($F1861,3)="113"),OR(LEFT($G1861,3)="111",LEFT($G1861,3)="112",LEFT($G1861,3)="113")),"NB",IF(OR(LEFT($F1861,3)="111",LEFT($F1861,3)="112",LEFT($F1861,3)="113"),"THU",IF(OR(LEFT($G1861,3)="111",LEFT($G1861,3)="112",LEFT($G1861,3)="113"),"CHI",""))))</f>
        <v/>
      </c>
      <c r="N1861" s="117">
        <f>IF($M1861="THU",$G1861,IF($M1861="CHI",$F1861,""))</f>
        <v/>
      </c>
      <c r="O1861" s="117">
        <f>IF(OR($M1861="",$M1861="NB"),"",IF($J1861&lt;&gt;"",TEXT($J1861,"00"),IFERROR(VLOOKUP(LEFT($N1861,4),LCTT_MAP!$A$7:$C$66,IF($M1861="THU",2,3),FALSE()),IFERROR(VLOOKUP(LEFT($N1861,3),LCTT_MAP!$A$7:$C$66,IF($M1861="THU",2,3),FALSE()),IFERROR(VLOOKUP(LEFT($N1861,2),LCTT_MAP!$A$7:$C$66,IF($M1861="THU",2,3),FALSE()),IFERROR(VLOOKUP(LEFT($N1861,1),LCTT_MAP!$A$7:$C$66,IF($M1861="THU",2,3),FALSE()),IF($M1861="THU","06","07")))))))</f>
        <v/>
      </c>
      <c r="P1861" s="117">
        <f>P1860+IF(AND($H1861&lt;&gt;"",OR(LEFT($F1861,LEN(SC_TK))=SC_TK,LEFT($G1861,LEN(SC_TK))=SC_TK)),1,0)</f>
        <v/>
      </c>
    </row>
    <row r="1862" ht="15" customHeight="1" s="78">
      <c r="A1862" s="95">
        <f>IF($H1862="","",ROW()-6)</f>
        <v/>
      </c>
      <c r="B1862" s="114" t="n"/>
      <c r="C1862" s="102" t="n"/>
      <c r="D1862" s="114" t="n"/>
      <c r="E1862" s="103" t="n"/>
      <c r="F1862" s="102" t="n"/>
      <c r="G1862" s="102" t="n"/>
      <c r="H1862" s="115" t="n"/>
      <c r="I1862" s="102" t="n"/>
      <c r="J1862" s="102" t="n"/>
      <c r="K1862" s="103" t="n"/>
      <c r="L1862" s="116">
        <f>IF($H1862="","",TRIM(IF(COUNTIF(DMTK!$A$7:$A$250,$F1862)=0,"TK Nợ sai! ","")&amp;IF(COUNTIF(DMTK!$A$7:$A$250,$G1862)=0,"TK Có sai! ","")&amp;IF(N($H1862)&lt;=0,"Tiền phải &gt; 0! ","")&amp;IF($B1862="","Thiếu ngày! ","")&amp;IF(AND(OR(LEFT($F1862,3)="131",LEFT($G1862,3)="131",LEFT($F1862,3)="331",LEFT($G1862,3)="331"),$I1862=""),"Thiếu Mã ĐT! ","")&amp;IF(AND($I1862&lt;&gt;"",COUNTIF(DM_DT!$A$7:$A$306,$I1862)=0),"Mã ĐT chưa khai báo! ","")))</f>
        <v/>
      </c>
      <c r="M1862" s="117">
        <f>IF($H1862="","",IF(AND(OR(LEFT($F1862,3)="111",LEFT($F1862,3)="112",LEFT($F1862,3)="113"),OR(LEFT($G1862,3)="111",LEFT($G1862,3)="112",LEFT($G1862,3)="113")),"NB",IF(OR(LEFT($F1862,3)="111",LEFT($F1862,3)="112",LEFT($F1862,3)="113"),"THU",IF(OR(LEFT($G1862,3)="111",LEFT($G1862,3)="112",LEFT($G1862,3)="113"),"CHI",""))))</f>
        <v/>
      </c>
      <c r="N1862" s="117">
        <f>IF($M1862="THU",$G1862,IF($M1862="CHI",$F1862,""))</f>
        <v/>
      </c>
      <c r="O1862" s="117">
        <f>IF(OR($M1862="",$M1862="NB"),"",IF($J1862&lt;&gt;"",TEXT($J1862,"00"),IFERROR(VLOOKUP(LEFT($N1862,4),LCTT_MAP!$A$7:$C$66,IF($M1862="THU",2,3),FALSE()),IFERROR(VLOOKUP(LEFT($N1862,3),LCTT_MAP!$A$7:$C$66,IF($M1862="THU",2,3),FALSE()),IFERROR(VLOOKUP(LEFT($N1862,2),LCTT_MAP!$A$7:$C$66,IF($M1862="THU",2,3),FALSE()),IFERROR(VLOOKUP(LEFT($N1862,1),LCTT_MAP!$A$7:$C$66,IF($M1862="THU",2,3),FALSE()),IF($M1862="THU","06","07")))))))</f>
        <v/>
      </c>
      <c r="P1862" s="117">
        <f>P1861+IF(AND($H1862&lt;&gt;"",OR(LEFT($F1862,LEN(SC_TK))=SC_TK,LEFT($G1862,LEN(SC_TK))=SC_TK)),1,0)</f>
        <v/>
      </c>
    </row>
    <row r="1863" ht="15" customHeight="1" s="78">
      <c r="A1863" s="95">
        <f>IF($H1863="","",ROW()-6)</f>
        <v/>
      </c>
      <c r="B1863" s="114" t="n"/>
      <c r="C1863" s="102" t="n"/>
      <c r="D1863" s="114" t="n"/>
      <c r="E1863" s="103" t="n"/>
      <c r="F1863" s="102" t="n"/>
      <c r="G1863" s="102" t="n"/>
      <c r="H1863" s="115" t="n"/>
      <c r="I1863" s="102" t="n"/>
      <c r="J1863" s="102" t="n"/>
      <c r="K1863" s="103" t="n"/>
      <c r="L1863" s="116">
        <f>IF($H1863="","",TRIM(IF(COUNTIF(DMTK!$A$7:$A$250,$F1863)=0,"TK Nợ sai! ","")&amp;IF(COUNTIF(DMTK!$A$7:$A$250,$G1863)=0,"TK Có sai! ","")&amp;IF(N($H1863)&lt;=0,"Tiền phải &gt; 0! ","")&amp;IF($B1863="","Thiếu ngày! ","")&amp;IF(AND(OR(LEFT($F1863,3)="131",LEFT($G1863,3)="131",LEFT($F1863,3)="331",LEFT($G1863,3)="331"),$I1863=""),"Thiếu Mã ĐT! ","")&amp;IF(AND($I1863&lt;&gt;"",COUNTIF(DM_DT!$A$7:$A$306,$I1863)=0),"Mã ĐT chưa khai báo! ","")))</f>
        <v/>
      </c>
      <c r="M1863" s="117">
        <f>IF($H1863="","",IF(AND(OR(LEFT($F1863,3)="111",LEFT($F1863,3)="112",LEFT($F1863,3)="113"),OR(LEFT($G1863,3)="111",LEFT($G1863,3)="112",LEFT($G1863,3)="113")),"NB",IF(OR(LEFT($F1863,3)="111",LEFT($F1863,3)="112",LEFT($F1863,3)="113"),"THU",IF(OR(LEFT($G1863,3)="111",LEFT($G1863,3)="112",LEFT($G1863,3)="113"),"CHI",""))))</f>
        <v/>
      </c>
      <c r="N1863" s="117">
        <f>IF($M1863="THU",$G1863,IF($M1863="CHI",$F1863,""))</f>
        <v/>
      </c>
      <c r="O1863" s="117">
        <f>IF(OR($M1863="",$M1863="NB"),"",IF($J1863&lt;&gt;"",TEXT($J1863,"00"),IFERROR(VLOOKUP(LEFT($N1863,4),LCTT_MAP!$A$7:$C$66,IF($M1863="THU",2,3),FALSE()),IFERROR(VLOOKUP(LEFT($N1863,3),LCTT_MAP!$A$7:$C$66,IF($M1863="THU",2,3),FALSE()),IFERROR(VLOOKUP(LEFT($N1863,2),LCTT_MAP!$A$7:$C$66,IF($M1863="THU",2,3),FALSE()),IFERROR(VLOOKUP(LEFT($N1863,1),LCTT_MAP!$A$7:$C$66,IF($M1863="THU",2,3),FALSE()),IF($M1863="THU","06","07")))))))</f>
        <v/>
      </c>
      <c r="P1863" s="117">
        <f>P1862+IF(AND($H1863&lt;&gt;"",OR(LEFT($F1863,LEN(SC_TK))=SC_TK,LEFT($G1863,LEN(SC_TK))=SC_TK)),1,0)</f>
        <v/>
      </c>
    </row>
    <row r="1864" ht="15" customHeight="1" s="78">
      <c r="A1864" s="95">
        <f>IF($H1864="","",ROW()-6)</f>
        <v/>
      </c>
      <c r="B1864" s="114" t="n"/>
      <c r="C1864" s="102" t="n"/>
      <c r="D1864" s="114" t="n"/>
      <c r="E1864" s="103" t="n"/>
      <c r="F1864" s="102" t="n"/>
      <c r="G1864" s="102" t="n"/>
      <c r="H1864" s="115" t="n"/>
      <c r="I1864" s="102" t="n"/>
      <c r="J1864" s="102" t="n"/>
      <c r="K1864" s="103" t="n"/>
      <c r="L1864" s="116">
        <f>IF($H1864="","",TRIM(IF(COUNTIF(DMTK!$A$7:$A$250,$F1864)=0,"TK Nợ sai! ","")&amp;IF(COUNTIF(DMTK!$A$7:$A$250,$G1864)=0,"TK Có sai! ","")&amp;IF(N($H1864)&lt;=0,"Tiền phải &gt; 0! ","")&amp;IF($B1864="","Thiếu ngày! ","")&amp;IF(AND(OR(LEFT($F1864,3)="131",LEFT($G1864,3)="131",LEFT($F1864,3)="331",LEFT($G1864,3)="331"),$I1864=""),"Thiếu Mã ĐT! ","")&amp;IF(AND($I1864&lt;&gt;"",COUNTIF(DM_DT!$A$7:$A$306,$I1864)=0),"Mã ĐT chưa khai báo! ","")))</f>
        <v/>
      </c>
      <c r="M1864" s="117">
        <f>IF($H1864="","",IF(AND(OR(LEFT($F1864,3)="111",LEFT($F1864,3)="112",LEFT($F1864,3)="113"),OR(LEFT($G1864,3)="111",LEFT($G1864,3)="112",LEFT($G1864,3)="113")),"NB",IF(OR(LEFT($F1864,3)="111",LEFT($F1864,3)="112",LEFT($F1864,3)="113"),"THU",IF(OR(LEFT($G1864,3)="111",LEFT($G1864,3)="112",LEFT($G1864,3)="113"),"CHI",""))))</f>
        <v/>
      </c>
      <c r="N1864" s="117">
        <f>IF($M1864="THU",$G1864,IF($M1864="CHI",$F1864,""))</f>
        <v/>
      </c>
      <c r="O1864" s="117">
        <f>IF(OR($M1864="",$M1864="NB"),"",IF($J1864&lt;&gt;"",TEXT($J1864,"00"),IFERROR(VLOOKUP(LEFT($N1864,4),LCTT_MAP!$A$7:$C$66,IF($M1864="THU",2,3),FALSE()),IFERROR(VLOOKUP(LEFT($N1864,3),LCTT_MAP!$A$7:$C$66,IF($M1864="THU",2,3),FALSE()),IFERROR(VLOOKUP(LEFT($N1864,2),LCTT_MAP!$A$7:$C$66,IF($M1864="THU",2,3),FALSE()),IFERROR(VLOOKUP(LEFT($N1864,1),LCTT_MAP!$A$7:$C$66,IF($M1864="THU",2,3),FALSE()),IF($M1864="THU","06","07")))))))</f>
        <v/>
      </c>
      <c r="P1864" s="117">
        <f>P1863+IF(AND($H1864&lt;&gt;"",OR(LEFT($F1864,LEN(SC_TK))=SC_TK,LEFT($G1864,LEN(SC_TK))=SC_TK)),1,0)</f>
        <v/>
      </c>
    </row>
    <row r="1865" ht="15" customHeight="1" s="78">
      <c r="A1865" s="95">
        <f>IF($H1865="","",ROW()-6)</f>
        <v/>
      </c>
      <c r="B1865" s="114" t="n"/>
      <c r="C1865" s="102" t="n"/>
      <c r="D1865" s="114" t="n"/>
      <c r="E1865" s="103" t="n"/>
      <c r="F1865" s="102" t="n"/>
      <c r="G1865" s="102" t="n"/>
      <c r="H1865" s="115" t="n"/>
      <c r="I1865" s="102" t="n"/>
      <c r="J1865" s="102" t="n"/>
      <c r="K1865" s="103" t="n"/>
      <c r="L1865" s="116">
        <f>IF($H1865="","",TRIM(IF(COUNTIF(DMTK!$A$7:$A$250,$F1865)=0,"TK Nợ sai! ","")&amp;IF(COUNTIF(DMTK!$A$7:$A$250,$G1865)=0,"TK Có sai! ","")&amp;IF(N($H1865)&lt;=0,"Tiền phải &gt; 0! ","")&amp;IF($B1865="","Thiếu ngày! ","")&amp;IF(AND(OR(LEFT($F1865,3)="131",LEFT($G1865,3)="131",LEFT($F1865,3)="331",LEFT($G1865,3)="331"),$I1865=""),"Thiếu Mã ĐT! ","")&amp;IF(AND($I1865&lt;&gt;"",COUNTIF(DM_DT!$A$7:$A$306,$I1865)=0),"Mã ĐT chưa khai báo! ","")))</f>
        <v/>
      </c>
      <c r="M1865" s="117">
        <f>IF($H1865="","",IF(AND(OR(LEFT($F1865,3)="111",LEFT($F1865,3)="112",LEFT($F1865,3)="113"),OR(LEFT($G1865,3)="111",LEFT($G1865,3)="112",LEFT($G1865,3)="113")),"NB",IF(OR(LEFT($F1865,3)="111",LEFT($F1865,3)="112",LEFT($F1865,3)="113"),"THU",IF(OR(LEFT($G1865,3)="111",LEFT($G1865,3)="112",LEFT($G1865,3)="113"),"CHI",""))))</f>
        <v/>
      </c>
      <c r="N1865" s="117">
        <f>IF($M1865="THU",$G1865,IF($M1865="CHI",$F1865,""))</f>
        <v/>
      </c>
      <c r="O1865" s="117">
        <f>IF(OR($M1865="",$M1865="NB"),"",IF($J1865&lt;&gt;"",TEXT($J1865,"00"),IFERROR(VLOOKUP(LEFT($N1865,4),LCTT_MAP!$A$7:$C$66,IF($M1865="THU",2,3),FALSE()),IFERROR(VLOOKUP(LEFT($N1865,3),LCTT_MAP!$A$7:$C$66,IF($M1865="THU",2,3),FALSE()),IFERROR(VLOOKUP(LEFT($N1865,2),LCTT_MAP!$A$7:$C$66,IF($M1865="THU",2,3),FALSE()),IFERROR(VLOOKUP(LEFT($N1865,1),LCTT_MAP!$A$7:$C$66,IF($M1865="THU",2,3),FALSE()),IF($M1865="THU","06","07")))))))</f>
        <v/>
      </c>
      <c r="P1865" s="117">
        <f>P1864+IF(AND($H1865&lt;&gt;"",OR(LEFT($F1865,LEN(SC_TK))=SC_TK,LEFT($G1865,LEN(SC_TK))=SC_TK)),1,0)</f>
        <v/>
      </c>
    </row>
    <row r="1866" ht="15" customHeight="1" s="78">
      <c r="A1866" s="95">
        <f>IF($H1866="","",ROW()-6)</f>
        <v/>
      </c>
      <c r="B1866" s="114" t="n"/>
      <c r="C1866" s="102" t="n"/>
      <c r="D1866" s="114" t="n"/>
      <c r="E1866" s="103" t="n"/>
      <c r="F1866" s="102" t="n"/>
      <c r="G1866" s="102" t="n"/>
      <c r="H1866" s="115" t="n"/>
      <c r="I1866" s="102" t="n"/>
      <c r="J1866" s="102" t="n"/>
      <c r="K1866" s="103" t="n"/>
      <c r="L1866" s="116">
        <f>IF($H1866="","",TRIM(IF(COUNTIF(DMTK!$A$7:$A$250,$F1866)=0,"TK Nợ sai! ","")&amp;IF(COUNTIF(DMTK!$A$7:$A$250,$G1866)=0,"TK Có sai! ","")&amp;IF(N($H1866)&lt;=0,"Tiền phải &gt; 0! ","")&amp;IF($B1866="","Thiếu ngày! ","")&amp;IF(AND(OR(LEFT($F1866,3)="131",LEFT($G1866,3)="131",LEFT($F1866,3)="331",LEFT($G1866,3)="331"),$I1866=""),"Thiếu Mã ĐT! ","")&amp;IF(AND($I1866&lt;&gt;"",COUNTIF(DM_DT!$A$7:$A$306,$I1866)=0),"Mã ĐT chưa khai báo! ","")))</f>
        <v/>
      </c>
      <c r="M1866" s="117">
        <f>IF($H1866="","",IF(AND(OR(LEFT($F1866,3)="111",LEFT($F1866,3)="112",LEFT($F1866,3)="113"),OR(LEFT($G1866,3)="111",LEFT($G1866,3)="112",LEFT($G1866,3)="113")),"NB",IF(OR(LEFT($F1866,3)="111",LEFT($F1866,3)="112",LEFT($F1866,3)="113"),"THU",IF(OR(LEFT($G1866,3)="111",LEFT($G1866,3)="112",LEFT($G1866,3)="113"),"CHI",""))))</f>
        <v/>
      </c>
      <c r="N1866" s="117">
        <f>IF($M1866="THU",$G1866,IF($M1866="CHI",$F1866,""))</f>
        <v/>
      </c>
      <c r="O1866" s="117">
        <f>IF(OR($M1866="",$M1866="NB"),"",IF($J1866&lt;&gt;"",TEXT($J1866,"00"),IFERROR(VLOOKUP(LEFT($N1866,4),LCTT_MAP!$A$7:$C$66,IF($M1866="THU",2,3),FALSE()),IFERROR(VLOOKUP(LEFT($N1866,3),LCTT_MAP!$A$7:$C$66,IF($M1866="THU",2,3),FALSE()),IFERROR(VLOOKUP(LEFT($N1866,2),LCTT_MAP!$A$7:$C$66,IF($M1866="THU",2,3),FALSE()),IFERROR(VLOOKUP(LEFT($N1866,1),LCTT_MAP!$A$7:$C$66,IF($M1866="THU",2,3),FALSE()),IF($M1866="THU","06","07")))))))</f>
        <v/>
      </c>
      <c r="P1866" s="117">
        <f>P1865+IF(AND($H1866&lt;&gt;"",OR(LEFT($F1866,LEN(SC_TK))=SC_TK,LEFT($G1866,LEN(SC_TK))=SC_TK)),1,0)</f>
        <v/>
      </c>
    </row>
    <row r="1867" ht="15" customHeight="1" s="78">
      <c r="A1867" s="95">
        <f>IF($H1867="","",ROW()-6)</f>
        <v/>
      </c>
      <c r="B1867" s="114" t="n"/>
      <c r="C1867" s="102" t="n"/>
      <c r="D1867" s="114" t="n"/>
      <c r="E1867" s="103" t="n"/>
      <c r="F1867" s="102" t="n"/>
      <c r="G1867" s="102" t="n"/>
      <c r="H1867" s="115" t="n"/>
      <c r="I1867" s="102" t="n"/>
      <c r="J1867" s="102" t="n"/>
      <c r="K1867" s="103" t="n"/>
      <c r="L1867" s="116">
        <f>IF($H1867="","",TRIM(IF(COUNTIF(DMTK!$A$7:$A$250,$F1867)=0,"TK Nợ sai! ","")&amp;IF(COUNTIF(DMTK!$A$7:$A$250,$G1867)=0,"TK Có sai! ","")&amp;IF(N($H1867)&lt;=0,"Tiền phải &gt; 0! ","")&amp;IF($B1867="","Thiếu ngày! ","")&amp;IF(AND(OR(LEFT($F1867,3)="131",LEFT($G1867,3)="131",LEFT($F1867,3)="331",LEFT($G1867,3)="331"),$I1867=""),"Thiếu Mã ĐT! ","")&amp;IF(AND($I1867&lt;&gt;"",COUNTIF(DM_DT!$A$7:$A$306,$I1867)=0),"Mã ĐT chưa khai báo! ","")))</f>
        <v/>
      </c>
      <c r="M1867" s="117">
        <f>IF($H1867="","",IF(AND(OR(LEFT($F1867,3)="111",LEFT($F1867,3)="112",LEFT($F1867,3)="113"),OR(LEFT($G1867,3)="111",LEFT($G1867,3)="112",LEFT($G1867,3)="113")),"NB",IF(OR(LEFT($F1867,3)="111",LEFT($F1867,3)="112",LEFT($F1867,3)="113"),"THU",IF(OR(LEFT($G1867,3)="111",LEFT($G1867,3)="112",LEFT($G1867,3)="113"),"CHI",""))))</f>
        <v/>
      </c>
      <c r="N1867" s="117">
        <f>IF($M1867="THU",$G1867,IF($M1867="CHI",$F1867,""))</f>
        <v/>
      </c>
      <c r="O1867" s="117">
        <f>IF(OR($M1867="",$M1867="NB"),"",IF($J1867&lt;&gt;"",TEXT($J1867,"00"),IFERROR(VLOOKUP(LEFT($N1867,4),LCTT_MAP!$A$7:$C$66,IF($M1867="THU",2,3),FALSE()),IFERROR(VLOOKUP(LEFT($N1867,3),LCTT_MAP!$A$7:$C$66,IF($M1867="THU",2,3),FALSE()),IFERROR(VLOOKUP(LEFT($N1867,2),LCTT_MAP!$A$7:$C$66,IF($M1867="THU",2,3),FALSE()),IFERROR(VLOOKUP(LEFT($N1867,1),LCTT_MAP!$A$7:$C$66,IF($M1867="THU",2,3),FALSE()),IF($M1867="THU","06","07")))))))</f>
        <v/>
      </c>
      <c r="P1867" s="117">
        <f>P1866+IF(AND($H1867&lt;&gt;"",OR(LEFT($F1867,LEN(SC_TK))=SC_TK,LEFT($G1867,LEN(SC_TK))=SC_TK)),1,0)</f>
        <v/>
      </c>
    </row>
    <row r="1868" ht="15" customHeight="1" s="78">
      <c r="A1868" s="95">
        <f>IF($H1868="","",ROW()-6)</f>
        <v/>
      </c>
      <c r="B1868" s="114" t="n"/>
      <c r="C1868" s="102" t="n"/>
      <c r="D1868" s="114" t="n"/>
      <c r="E1868" s="103" t="n"/>
      <c r="F1868" s="102" t="n"/>
      <c r="G1868" s="102" t="n"/>
      <c r="H1868" s="115" t="n"/>
      <c r="I1868" s="102" t="n"/>
      <c r="J1868" s="102" t="n"/>
      <c r="K1868" s="103" t="n"/>
      <c r="L1868" s="116">
        <f>IF($H1868="","",TRIM(IF(COUNTIF(DMTK!$A$7:$A$250,$F1868)=0,"TK Nợ sai! ","")&amp;IF(COUNTIF(DMTK!$A$7:$A$250,$G1868)=0,"TK Có sai! ","")&amp;IF(N($H1868)&lt;=0,"Tiền phải &gt; 0! ","")&amp;IF($B1868="","Thiếu ngày! ","")&amp;IF(AND(OR(LEFT($F1868,3)="131",LEFT($G1868,3)="131",LEFT($F1868,3)="331",LEFT($G1868,3)="331"),$I1868=""),"Thiếu Mã ĐT! ","")&amp;IF(AND($I1868&lt;&gt;"",COUNTIF(DM_DT!$A$7:$A$306,$I1868)=0),"Mã ĐT chưa khai báo! ","")))</f>
        <v/>
      </c>
      <c r="M1868" s="117">
        <f>IF($H1868="","",IF(AND(OR(LEFT($F1868,3)="111",LEFT($F1868,3)="112",LEFT($F1868,3)="113"),OR(LEFT($G1868,3)="111",LEFT($G1868,3)="112",LEFT($G1868,3)="113")),"NB",IF(OR(LEFT($F1868,3)="111",LEFT($F1868,3)="112",LEFT($F1868,3)="113"),"THU",IF(OR(LEFT($G1868,3)="111",LEFT($G1868,3)="112",LEFT($G1868,3)="113"),"CHI",""))))</f>
        <v/>
      </c>
      <c r="N1868" s="117">
        <f>IF($M1868="THU",$G1868,IF($M1868="CHI",$F1868,""))</f>
        <v/>
      </c>
      <c r="O1868" s="117">
        <f>IF(OR($M1868="",$M1868="NB"),"",IF($J1868&lt;&gt;"",TEXT($J1868,"00"),IFERROR(VLOOKUP(LEFT($N1868,4),LCTT_MAP!$A$7:$C$66,IF($M1868="THU",2,3),FALSE()),IFERROR(VLOOKUP(LEFT($N1868,3),LCTT_MAP!$A$7:$C$66,IF($M1868="THU",2,3),FALSE()),IFERROR(VLOOKUP(LEFT($N1868,2),LCTT_MAP!$A$7:$C$66,IF($M1868="THU",2,3),FALSE()),IFERROR(VLOOKUP(LEFT($N1868,1),LCTT_MAP!$A$7:$C$66,IF($M1868="THU",2,3),FALSE()),IF($M1868="THU","06","07")))))))</f>
        <v/>
      </c>
      <c r="P1868" s="117">
        <f>P1867+IF(AND($H1868&lt;&gt;"",OR(LEFT($F1868,LEN(SC_TK))=SC_TK,LEFT($G1868,LEN(SC_TK))=SC_TK)),1,0)</f>
        <v/>
      </c>
    </row>
    <row r="1869" ht="15" customHeight="1" s="78">
      <c r="A1869" s="95">
        <f>IF($H1869="","",ROW()-6)</f>
        <v/>
      </c>
      <c r="B1869" s="114" t="n"/>
      <c r="C1869" s="102" t="n"/>
      <c r="D1869" s="114" t="n"/>
      <c r="E1869" s="103" t="n"/>
      <c r="F1869" s="102" t="n"/>
      <c r="G1869" s="102" t="n"/>
      <c r="H1869" s="115" t="n"/>
      <c r="I1869" s="102" t="n"/>
      <c r="J1869" s="102" t="n"/>
      <c r="K1869" s="103" t="n"/>
      <c r="L1869" s="116">
        <f>IF($H1869="","",TRIM(IF(COUNTIF(DMTK!$A$7:$A$250,$F1869)=0,"TK Nợ sai! ","")&amp;IF(COUNTIF(DMTK!$A$7:$A$250,$G1869)=0,"TK Có sai! ","")&amp;IF(N($H1869)&lt;=0,"Tiền phải &gt; 0! ","")&amp;IF($B1869="","Thiếu ngày! ","")&amp;IF(AND(OR(LEFT($F1869,3)="131",LEFT($G1869,3)="131",LEFT($F1869,3)="331",LEFT($G1869,3)="331"),$I1869=""),"Thiếu Mã ĐT! ","")&amp;IF(AND($I1869&lt;&gt;"",COUNTIF(DM_DT!$A$7:$A$306,$I1869)=0),"Mã ĐT chưa khai báo! ","")))</f>
        <v/>
      </c>
      <c r="M1869" s="117">
        <f>IF($H1869="","",IF(AND(OR(LEFT($F1869,3)="111",LEFT($F1869,3)="112",LEFT($F1869,3)="113"),OR(LEFT($G1869,3)="111",LEFT($G1869,3)="112",LEFT($G1869,3)="113")),"NB",IF(OR(LEFT($F1869,3)="111",LEFT($F1869,3)="112",LEFT($F1869,3)="113"),"THU",IF(OR(LEFT($G1869,3)="111",LEFT($G1869,3)="112",LEFT($G1869,3)="113"),"CHI",""))))</f>
        <v/>
      </c>
      <c r="N1869" s="117">
        <f>IF($M1869="THU",$G1869,IF($M1869="CHI",$F1869,""))</f>
        <v/>
      </c>
      <c r="O1869" s="117">
        <f>IF(OR($M1869="",$M1869="NB"),"",IF($J1869&lt;&gt;"",TEXT($J1869,"00"),IFERROR(VLOOKUP(LEFT($N1869,4),LCTT_MAP!$A$7:$C$66,IF($M1869="THU",2,3),FALSE()),IFERROR(VLOOKUP(LEFT($N1869,3),LCTT_MAP!$A$7:$C$66,IF($M1869="THU",2,3),FALSE()),IFERROR(VLOOKUP(LEFT($N1869,2),LCTT_MAP!$A$7:$C$66,IF($M1869="THU",2,3),FALSE()),IFERROR(VLOOKUP(LEFT($N1869,1),LCTT_MAP!$A$7:$C$66,IF($M1869="THU",2,3),FALSE()),IF($M1869="THU","06","07")))))))</f>
        <v/>
      </c>
      <c r="P1869" s="117">
        <f>P1868+IF(AND($H1869&lt;&gt;"",OR(LEFT($F1869,LEN(SC_TK))=SC_TK,LEFT($G1869,LEN(SC_TK))=SC_TK)),1,0)</f>
        <v/>
      </c>
    </row>
    <row r="1870" ht="15" customHeight="1" s="78">
      <c r="A1870" s="95">
        <f>IF($H1870="","",ROW()-6)</f>
        <v/>
      </c>
      <c r="B1870" s="114" t="n"/>
      <c r="C1870" s="102" t="n"/>
      <c r="D1870" s="114" t="n"/>
      <c r="E1870" s="103" t="n"/>
      <c r="F1870" s="102" t="n"/>
      <c r="G1870" s="102" t="n"/>
      <c r="H1870" s="115" t="n"/>
      <c r="I1870" s="102" t="n"/>
      <c r="J1870" s="102" t="n"/>
      <c r="K1870" s="103" t="n"/>
      <c r="L1870" s="116">
        <f>IF($H1870="","",TRIM(IF(COUNTIF(DMTK!$A$7:$A$250,$F1870)=0,"TK Nợ sai! ","")&amp;IF(COUNTIF(DMTK!$A$7:$A$250,$G1870)=0,"TK Có sai! ","")&amp;IF(N($H1870)&lt;=0,"Tiền phải &gt; 0! ","")&amp;IF($B1870="","Thiếu ngày! ","")&amp;IF(AND(OR(LEFT($F1870,3)="131",LEFT($G1870,3)="131",LEFT($F1870,3)="331",LEFT($G1870,3)="331"),$I1870=""),"Thiếu Mã ĐT! ","")&amp;IF(AND($I1870&lt;&gt;"",COUNTIF(DM_DT!$A$7:$A$306,$I1870)=0),"Mã ĐT chưa khai báo! ","")))</f>
        <v/>
      </c>
      <c r="M1870" s="117">
        <f>IF($H1870="","",IF(AND(OR(LEFT($F1870,3)="111",LEFT($F1870,3)="112",LEFT($F1870,3)="113"),OR(LEFT($G1870,3)="111",LEFT($G1870,3)="112",LEFT($G1870,3)="113")),"NB",IF(OR(LEFT($F1870,3)="111",LEFT($F1870,3)="112",LEFT($F1870,3)="113"),"THU",IF(OR(LEFT($G1870,3)="111",LEFT($G1870,3)="112",LEFT($G1870,3)="113"),"CHI",""))))</f>
        <v/>
      </c>
      <c r="N1870" s="117">
        <f>IF($M1870="THU",$G1870,IF($M1870="CHI",$F1870,""))</f>
        <v/>
      </c>
      <c r="O1870" s="117">
        <f>IF(OR($M1870="",$M1870="NB"),"",IF($J1870&lt;&gt;"",TEXT($J1870,"00"),IFERROR(VLOOKUP(LEFT($N1870,4),LCTT_MAP!$A$7:$C$66,IF($M1870="THU",2,3),FALSE()),IFERROR(VLOOKUP(LEFT($N1870,3),LCTT_MAP!$A$7:$C$66,IF($M1870="THU",2,3),FALSE()),IFERROR(VLOOKUP(LEFT($N1870,2),LCTT_MAP!$A$7:$C$66,IF($M1870="THU",2,3),FALSE()),IFERROR(VLOOKUP(LEFT($N1870,1),LCTT_MAP!$A$7:$C$66,IF($M1870="THU",2,3),FALSE()),IF($M1870="THU","06","07")))))))</f>
        <v/>
      </c>
      <c r="P1870" s="117">
        <f>P1869+IF(AND($H1870&lt;&gt;"",OR(LEFT($F1870,LEN(SC_TK))=SC_TK,LEFT($G1870,LEN(SC_TK))=SC_TK)),1,0)</f>
        <v/>
      </c>
    </row>
    <row r="1871" ht="15" customHeight="1" s="78">
      <c r="A1871" s="95">
        <f>IF($H1871="","",ROW()-6)</f>
        <v/>
      </c>
      <c r="B1871" s="114" t="n"/>
      <c r="C1871" s="102" t="n"/>
      <c r="D1871" s="114" t="n"/>
      <c r="E1871" s="103" t="n"/>
      <c r="F1871" s="102" t="n"/>
      <c r="G1871" s="102" t="n"/>
      <c r="H1871" s="115" t="n"/>
      <c r="I1871" s="102" t="n"/>
      <c r="J1871" s="102" t="n"/>
      <c r="K1871" s="103" t="n"/>
      <c r="L1871" s="116">
        <f>IF($H1871="","",TRIM(IF(COUNTIF(DMTK!$A$7:$A$250,$F1871)=0,"TK Nợ sai! ","")&amp;IF(COUNTIF(DMTK!$A$7:$A$250,$G1871)=0,"TK Có sai! ","")&amp;IF(N($H1871)&lt;=0,"Tiền phải &gt; 0! ","")&amp;IF($B1871="","Thiếu ngày! ","")&amp;IF(AND(OR(LEFT($F1871,3)="131",LEFT($G1871,3)="131",LEFT($F1871,3)="331",LEFT($G1871,3)="331"),$I1871=""),"Thiếu Mã ĐT! ","")&amp;IF(AND($I1871&lt;&gt;"",COUNTIF(DM_DT!$A$7:$A$306,$I1871)=0),"Mã ĐT chưa khai báo! ","")))</f>
        <v/>
      </c>
      <c r="M1871" s="117">
        <f>IF($H1871="","",IF(AND(OR(LEFT($F1871,3)="111",LEFT($F1871,3)="112",LEFT($F1871,3)="113"),OR(LEFT($G1871,3)="111",LEFT($G1871,3)="112",LEFT($G1871,3)="113")),"NB",IF(OR(LEFT($F1871,3)="111",LEFT($F1871,3)="112",LEFT($F1871,3)="113"),"THU",IF(OR(LEFT($G1871,3)="111",LEFT($G1871,3)="112",LEFT($G1871,3)="113"),"CHI",""))))</f>
        <v/>
      </c>
      <c r="N1871" s="117">
        <f>IF($M1871="THU",$G1871,IF($M1871="CHI",$F1871,""))</f>
        <v/>
      </c>
      <c r="O1871" s="117">
        <f>IF(OR($M1871="",$M1871="NB"),"",IF($J1871&lt;&gt;"",TEXT($J1871,"00"),IFERROR(VLOOKUP(LEFT($N1871,4),LCTT_MAP!$A$7:$C$66,IF($M1871="THU",2,3),FALSE()),IFERROR(VLOOKUP(LEFT($N1871,3),LCTT_MAP!$A$7:$C$66,IF($M1871="THU",2,3),FALSE()),IFERROR(VLOOKUP(LEFT($N1871,2),LCTT_MAP!$A$7:$C$66,IF($M1871="THU",2,3),FALSE()),IFERROR(VLOOKUP(LEFT($N1871,1),LCTT_MAP!$A$7:$C$66,IF($M1871="THU",2,3),FALSE()),IF($M1871="THU","06","07")))))))</f>
        <v/>
      </c>
      <c r="P1871" s="117">
        <f>P1870+IF(AND($H1871&lt;&gt;"",OR(LEFT($F1871,LEN(SC_TK))=SC_TK,LEFT($G1871,LEN(SC_TK))=SC_TK)),1,0)</f>
        <v/>
      </c>
    </row>
    <row r="1872" ht="15" customHeight="1" s="78">
      <c r="A1872" s="95">
        <f>IF($H1872="","",ROW()-6)</f>
        <v/>
      </c>
      <c r="B1872" s="114" t="n"/>
      <c r="C1872" s="102" t="n"/>
      <c r="D1872" s="114" t="n"/>
      <c r="E1872" s="103" t="n"/>
      <c r="F1872" s="102" t="n"/>
      <c r="G1872" s="102" t="n"/>
      <c r="H1872" s="115" t="n"/>
      <c r="I1872" s="102" t="n"/>
      <c r="J1872" s="102" t="n"/>
      <c r="K1872" s="103" t="n"/>
      <c r="L1872" s="116">
        <f>IF($H1872="","",TRIM(IF(COUNTIF(DMTK!$A$7:$A$250,$F1872)=0,"TK Nợ sai! ","")&amp;IF(COUNTIF(DMTK!$A$7:$A$250,$G1872)=0,"TK Có sai! ","")&amp;IF(N($H1872)&lt;=0,"Tiền phải &gt; 0! ","")&amp;IF($B1872="","Thiếu ngày! ","")&amp;IF(AND(OR(LEFT($F1872,3)="131",LEFT($G1872,3)="131",LEFT($F1872,3)="331",LEFT($G1872,3)="331"),$I1872=""),"Thiếu Mã ĐT! ","")&amp;IF(AND($I1872&lt;&gt;"",COUNTIF(DM_DT!$A$7:$A$306,$I1872)=0),"Mã ĐT chưa khai báo! ","")))</f>
        <v/>
      </c>
      <c r="M1872" s="117">
        <f>IF($H1872="","",IF(AND(OR(LEFT($F1872,3)="111",LEFT($F1872,3)="112",LEFT($F1872,3)="113"),OR(LEFT($G1872,3)="111",LEFT($G1872,3)="112",LEFT($G1872,3)="113")),"NB",IF(OR(LEFT($F1872,3)="111",LEFT($F1872,3)="112",LEFT($F1872,3)="113"),"THU",IF(OR(LEFT($G1872,3)="111",LEFT($G1872,3)="112",LEFT($G1872,3)="113"),"CHI",""))))</f>
        <v/>
      </c>
      <c r="N1872" s="117">
        <f>IF($M1872="THU",$G1872,IF($M1872="CHI",$F1872,""))</f>
        <v/>
      </c>
      <c r="O1872" s="117">
        <f>IF(OR($M1872="",$M1872="NB"),"",IF($J1872&lt;&gt;"",TEXT($J1872,"00"),IFERROR(VLOOKUP(LEFT($N1872,4),LCTT_MAP!$A$7:$C$66,IF($M1872="THU",2,3),FALSE()),IFERROR(VLOOKUP(LEFT($N1872,3),LCTT_MAP!$A$7:$C$66,IF($M1872="THU",2,3),FALSE()),IFERROR(VLOOKUP(LEFT($N1872,2),LCTT_MAP!$A$7:$C$66,IF($M1872="THU",2,3),FALSE()),IFERROR(VLOOKUP(LEFT($N1872,1),LCTT_MAP!$A$7:$C$66,IF($M1872="THU",2,3),FALSE()),IF($M1872="THU","06","07")))))))</f>
        <v/>
      </c>
      <c r="P1872" s="117">
        <f>P1871+IF(AND($H1872&lt;&gt;"",OR(LEFT($F1872,LEN(SC_TK))=SC_TK,LEFT($G1872,LEN(SC_TK))=SC_TK)),1,0)</f>
        <v/>
      </c>
    </row>
    <row r="1873" ht="15" customHeight="1" s="78">
      <c r="A1873" s="95">
        <f>IF($H1873="","",ROW()-6)</f>
        <v/>
      </c>
      <c r="B1873" s="114" t="n"/>
      <c r="C1873" s="102" t="n"/>
      <c r="D1873" s="114" t="n"/>
      <c r="E1873" s="103" t="n"/>
      <c r="F1873" s="102" t="n"/>
      <c r="G1873" s="102" t="n"/>
      <c r="H1873" s="115" t="n"/>
      <c r="I1873" s="102" t="n"/>
      <c r="J1873" s="102" t="n"/>
      <c r="K1873" s="103" t="n"/>
      <c r="L1873" s="116">
        <f>IF($H1873="","",TRIM(IF(COUNTIF(DMTK!$A$7:$A$250,$F1873)=0,"TK Nợ sai! ","")&amp;IF(COUNTIF(DMTK!$A$7:$A$250,$G1873)=0,"TK Có sai! ","")&amp;IF(N($H1873)&lt;=0,"Tiền phải &gt; 0! ","")&amp;IF($B1873="","Thiếu ngày! ","")&amp;IF(AND(OR(LEFT($F1873,3)="131",LEFT($G1873,3)="131",LEFT($F1873,3)="331",LEFT($G1873,3)="331"),$I1873=""),"Thiếu Mã ĐT! ","")&amp;IF(AND($I1873&lt;&gt;"",COUNTIF(DM_DT!$A$7:$A$306,$I1873)=0),"Mã ĐT chưa khai báo! ","")))</f>
        <v/>
      </c>
      <c r="M1873" s="117">
        <f>IF($H1873="","",IF(AND(OR(LEFT($F1873,3)="111",LEFT($F1873,3)="112",LEFT($F1873,3)="113"),OR(LEFT($G1873,3)="111",LEFT($G1873,3)="112",LEFT($G1873,3)="113")),"NB",IF(OR(LEFT($F1873,3)="111",LEFT($F1873,3)="112",LEFT($F1873,3)="113"),"THU",IF(OR(LEFT($G1873,3)="111",LEFT($G1873,3)="112",LEFT($G1873,3)="113"),"CHI",""))))</f>
        <v/>
      </c>
      <c r="N1873" s="117">
        <f>IF($M1873="THU",$G1873,IF($M1873="CHI",$F1873,""))</f>
        <v/>
      </c>
      <c r="O1873" s="117">
        <f>IF(OR($M1873="",$M1873="NB"),"",IF($J1873&lt;&gt;"",TEXT($J1873,"00"),IFERROR(VLOOKUP(LEFT($N1873,4),LCTT_MAP!$A$7:$C$66,IF($M1873="THU",2,3),FALSE()),IFERROR(VLOOKUP(LEFT($N1873,3),LCTT_MAP!$A$7:$C$66,IF($M1873="THU",2,3),FALSE()),IFERROR(VLOOKUP(LEFT($N1873,2),LCTT_MAP!$A$7:$C$66,IF($M1873="THU",2,3),FALSE()),IFERROR(VLOOKUP(LEFT($N1873,1),LCTT_MAP!$A$7:$C$66,IF($M1873="THU",2,3),FALSE()),IF($M1873="THU","06","07")))))))</f>
        <v/>
      </c>
      <c r="P1873" s="117">
        <f>P1872+IF(AND($H1873&lt;&gt;"",OR(LEFT($F1873,LEN(SC_TK))=SC_TK,LEFT($G1873,LEN(SC_TK))=SC_TK)),1,0)</f>
        <v/>
      </c>
    </row>
    <row r="1874" ht="15" customHeight="1" s="78">
      <c r="A1874" s="95">
        <f>IF($H1874="","",ROW()-6)</f>
        <v/>
      </c>
      <c r="B1874" s="114" t="n"/>
      <c r="C1874" s="102" t="n"/>
      <c r="D1874" s="114" t="n"/>
      <c r="E1874" s="103" t="n"/>
      <c r="F1874" s="102" t="n"/>
      <c r="G1874" s="102" t="n"/>
      <c r="H1874" s="115" t="n"/>
      <c r="I1874" s="102" t="n"/>
      <c r="J1874" s="102" t="n"/>
      <c r="K1874" s="103" t="n"/>
      <c r="L1874" s="116">
        <f>IF($H1874="","",TRIM(IF(COUNTIF(DMTK!$A$7:$A$250,$F1874)=0,"TK Nợ sai! ","")&amp;IF(COUNTIF(DMTK!$A$7:$A$250,$G1874)=0,"TK Có sai! ","")&amp;IF(N($H1874)&lt;=0,"Tiền phải &gt; 0! ","")&amp;IF($B1874="","Thiếu ngày! ","")&amp;IF(AND(OR(LEFT($F1874,3)="131",LEFT($G1874,3)="131",LEFT($F1874,3)="331",LEFT($G1874,3)="331"),$I1874=""),"Thiếu Mã ĐT! ","")&amp;IF(AND($I1874&lt;&gt;"",COUNTIF(DM_DT!$A$7:$A$306,$I1874)=0),"Mã ĐT chưa khai báo! ","")))</f>
        <v/>
      </c>
      <c r="M1874" s="117">
        <f>IF($H1874="","",IF(AND(OR(LEFT($F1874,3)="111",LEFT($F1874,3)="112",LEFT($F1874,3)="113"),OR(LEFT($G1874,3)="111",LEFT($G1874,3)="112",LEFT($G1874,3)="113")),"NB",IF(OR(LEFT($F1874,3)="111",LEFT($F1874,3)="112",LEFT($F1874,3)="113"),"THU",IF(OR(LEFT($G1874,3)="111",LEFT($G1874,3)="112",LEFT($G1874,3)="113"),"CHI",""))))</f>
        <v/>
      </c>
      <c r="N1874" s="117">
        <f>IF($M1874="THU",$G1874,IF($M1874="CHI",$F1874,""))</f>
        <v/>
      </c>
      <c r="O1874" s="117">
        <f>IF(OR($M1874="",$M1874="NB"),"",IF($J1874&lt;&gt;"",TEXT($J1874,"00"),IFERROR(VLOOKUP(LEFT($N1874,4),LCTT_MAP!$A$7:$C$66,IF($M1874="THU",2,3),FALSE()),IFERROR(VLOOKUP(LEFT($N1874,3),LCTT_MAP!$A$7:$C$66,IF($M1874="THU",2,3),FALSE()),IFERROR(VLOOKUP(LEFT($N1874,2),LCTT_MAP!$A$7:$C$66,IF($M1874="THU",2,3),FALSE()),IFERROR(VLOOKUP(LEFT($N1874,1),LCTT_MAP!$A$7:$C$66,IF($M1874="THU",2,3),FALSE()),IF($M1874="THU","06","07")))))))</f>
        <v/>
      </c>
      <c r="P1874" s="117">
        <f>P1873+IF(AND($H1874&lt;&gt;"",OR(LEFT($F1874,LEN(SC_TK))=SC_TK,LEFT($G1874,LEN(SC_TK))=SC_TK)),1,0)</f>
        <v/>
      </c>
    </row>
    <row r="1875" ht="15" customHeight="1" s="78">
      <c r="A1875" s="95">
        <f>IF($H1875="","",ROW()-6)</f>
        <v/>
      </c>
      <c r="B1875" s="114" t="n"/>
      <c r="C1875" s="102" t="n"/>
      <c r="D1875" s="114" t="n"/>
      <c r="E1875" s="103" t="n"/>
      <c r="F1875" s="102" t="n"/>
      <c r="G1875" s="102" t="n"/>
      <c r="H1875" s="115" t="n"/>
      <c r="I1875" s="102" t="n"/>
      <c r="J1875" s="102" t="n"/>
      <c r="K1875" s="103" t="n"/>
      <c r="L1875" s="116">
        <f>IF($H1875="","",TRIM(IF(COUNTIF(DMTK!$A$7:$A$250,$F1875)=0,"TK Nợ sai! ","")&amp;IF(COUNTIF(DMTK!$A$7:$A$250,$G1875)=0,"TK Có sai! ","")&amp;IF(N($H1875)&lt;=0,"Tiền phải &gt; 0! ","")&amp;IF($B1875="","Thiếu ngày! ","")&amp;IF(AND(OR(LEFT($F1875,3)="131",LEFT($G1875,3)="131",LEFT($F1875,3)="331",LEFT($G1875,3)="331"),$I1875=""),"Thiếu Mã ĐT! ","")&amp;IF(AND($I1875&lt;&gt;"",COUNTIF(DM_DT!$A$7:$A$306,$I1875)=0),"Mã ĐT chưa khai báo! ","")))</f>
        <v/>
      </c>
      <c r="M1875" s="117">
        <f>IF($H1875="","",IF(AND(OR(LEFT($F1875,3)="111",LEFT($F1875,3)="112",LEFT($F1875,3)="113"),OR(LEFT($G1875,3)="111",LEFT($G1875,3)="112",LEFT($G1875,3)="113")),"NB",IF(OR(LEFT($F1875,3)="111",LEFT($F1875,3)="112",LEFT($F1875,3)="113"),"THU",IF(OR(LEFT($G1875,3)="111",LEFT($G1875,3)="112",LEFT($G1875,3)="113"),"CHI",""))))</f>
        <v/>
      </c>
      <c r="N1875" s="117">
        <f>IF($M1875="THU",$G1875,IF($M1875="CHI",$F1875,""))</f>
        <v/>
      </c>
      <c r="O1875" s="117">
        <f>IF(OR($M1875="",$M1875="NB"),"",IF($J1875&lt;&gt;"",TEXT($J1875,"00"),IFERROR(VLOOKUP(LEFT($N1875,4),LCTT_MAP!$A$7:$C$66,IF($M1875="THU",2,3),FALSE()),IFERROR(VLOOKUP(LEFT($N1875,3),LCTT_MAP!$A$7:$C$66,IF($M1875="THU",2,3),FALSE()),IFERROR(VLOOKUP(LEFT($N1875,2),LCTT_MAP!$A$7:$C$66,IF($M1875="THU",2,3),FALSE()),IFERROR(VLOOKUP(LEFT($N1875,1),LCTT_MAP!$A$7:$C$66,IF($M1875="THU",2,3),FALSE()),IF($M1875="THU","06","07")))))))</f>
        <v/>
      </c>
      <c r="P1875" s="117">
        <f>P1874+IF(AND($H1875&lt;&gt;"",OR(LEFT($F1875,LEN(SC_TK))=SC_TK,LEFT($G1875,LEN(SC_TK))=SC_TK)),1,0)</f>
        <v/>
      </c>
    </row>
    <row r="1876" ht="15" customHeight="1" s="78">
      <c r="A1876" s="95">
        <f>IF($H1876="","",ROW()-6)</f>
        <v/>
      </c>
      <c r="B1876" s="114" t="n"/>
      <c r="C1876" s="102" t="n"/>
      <c r="D1876" s="114" t="n"/>
      <c r="E1876" s="103" t="n"/>
      <c r="F1876" s="102" t="n"/>
      <c r="G1876" s="102" t="n"/>
      <c r="H1876" s="115" t="n"/>
      <c r="I1876" s="102" t="n"/>
      <c r="J1876" s="102" t="n"/>
      <c r="K1876" s="103" t="n"/>
      <c r="L1876" s="116">
        <f>IF($H1876="","",TRIM(IF(COUNTIF(DMTK!$A$7:$A$250,$F1876)=0,"TK Nợ sai! ","")&amp;IF(COUNTIF(DMTK!$A$7:$A$250,$G1876)=0,"TK Có sai! ","")&amp;IF(N($H1876)&lt;=0,"Tiền phải &gt; 0! ","")&amp;IF($B1876="","Thiếu ngày! ","")&amp;IF(AND(OR(LEFT($F1876,3)="131",LEFT($G1876,3)="131",LEFT($F1876,3)="331",LEFT($G1876,3)="331"),$I1876=""),"Thiếu Mã ĐT! ","")&amp;IF(AND($I1876&lt;&gt;"",COUNTIF(DM_DT!$A$7:$A$306,$I1876)=0),"Mã ĐT chưa khai báo! ","")))</f>
        <v/>
      </c>
      <c r="M1876" s="117">
        <f>IF($H1876="","",IF(AND(OR(LEFT($F1876,3)="111",LEFT($F1876,3)="112",LEFT($F1876,3)="113"),OR(LEFT($G1876,3)="111",LEFT($G1876,3)="112",LEFT($G1876,3)="113")),"NB",IF(OR(LEFT($F1876,3)="111",LEFT($F1876,3)="112",LEFT($F1876,3)="113"),"THU",IF(OR(LEFT($G1876,3)="111",LEFT($G1876,3)="112",LEFT($G1876,3)="113"),"CHI",""))))</f>
        <v/>
      </c>
      <c r="N1876" s="117">
        <f>IF($M1876="THU",$G1876,IF($M1876="CHI",$F1876,""))</f>
        <v/>
      </c>
      <c r="O1876" s="117">
        <f>IF(OR($M1876="",$M1876="NB"),"",IF($J1876&lt;&gt;"",TEXT($J1876,"00"),IFERROR(VLOOKUP(LEFT($N1876,4),LCTT_MAP!$A$7:$C$66,IF($M1876="THU",2,3),FALSE()),IFERROR(VLOOKUP(LEFT($N1876,3),LCTT_MAP!$A$7:$C$66,IF($M1876="THU",2,3),FALSE()),IFERROR(VLOOKUP(LEFT($N1876,2),LCTT_MAP!$A$7:$C$66,IF($M1876="THU",2,3),FALSE()),IFERROR(VLOOKUP(LEFT($N1876,1),LCTT_MAP!$A$7:$C$66,IF($M1876="THU",2,3),FALSE()),IF($M1876="THU","06","07")))))))</f>
        <v/>
      </c>
      <c r="P1876" s="117">
        <f>P1875+IF(AND($H1876&lt;&gt;"",OR(LEFT($F1876,LEN(SC_TK))=SC_TK,LEFT($G1876,LEN(SC_TK))=SC_TK)),1,0)</f>
        <v/>
      </c>
    </row>
    <row r="1877" ht="15" customHeight="1" s="78">
      <c r="A1877" s="95">
        <f>IF($H1877="","",ROW()-6)</f>
        <v/>
      </c>
      <c r="B1877" s="114" t="n"/>
      <c r="C1877" s="102" t="n"/>
      <c r="D1877" s="114" t="n"/>
      <c r="E1877" s="103" t="n"/>
      <c r="F1877" s="102" t="n"/>
      <c r="G1877" s="102" t="n"/>
      <c r="H1877" s="115" t="n"/>
      <c r="I1877" s="102" t="n"/>
      <c r="J1877" s="102" t="n"/>
      <c r="K1877" s="103" t="n"/>
      <c r="L1877" s="116">
        <f>IF($H1877="","",TRIM(IF(COUNTIF(DMTK!$A$7:$A$250,$F1877)=0,"TK Nợ sai! ","")&amp;IF(COUNTIF(DMTK!$A$7:$A$250,$G1877)=0,"TK Có sai! ","")&amp;IF(N($H1877)&lt;=0,"Tiền phải &gt; 0! ","")&amp;IF($B1877="","Thiếu ngày! ","")&amp;IF(AND(OR(LEFT($F1877,3)="131",LEFT($G1877,3)="131",LEFT($F1877,3)="331",LEFT($G1877,3)="331"),$I1877=""),"Thiếu Mã ĐT! ","")&amp;IF(AND($I1877&lt;&gt;"",COUNTIF(DM_DT!$A$7:$A$306,$I1877)=0),"Mã ĐT chưa khai báo! ","")))</f>
        <v/>
      </c>
      <c r="M1877" s="117">
        <f>IF($H1877="","",IF(AND(OR(LEFT($F1877,3)="111",LEFT($F1877,3)="112",LEFT($F1877,3)="113"),OR(LEFT($G1877,3)="111",LEFT($G1877,3)="112",LEFT($G1877,3)="113")),"NB",IF(OR(LEFT($F1877,3)="111",LEFT($F1877,3)="112",LEFT($F1877,3)="113"),"THU",IF(OR(LEFT($G1877,3)="111",LEFT($G1877,3)="112",LEFT($G1877,3)="113"),"CHI",""))))</f>
        <v/>
      </c>
      <c r="N1877" s="117">
        <f>IF($M1877="THU",$G1877,IF($M1877="CHI",$F1877,""))</f>
        <v/>
      </c>
      <c r="O1877" s="117">
        <f>IF(OR($M1877="",$M1877="NB"),"",IF($J1877&lt;&gt;"",TEXT($J1877,"00"),IFERROR(VLOOKUP(LEFT($N1877,4),LCTT_MAP!$A$7:$C$66,IF($M1877="THU",2,3),FALSE()),IFERROR(VLOOKUP(LEFT($N1877,3),LCTT_MAP!$A$7:$C$66,IF($M1877="THU",2,3),FALSE()),IFERROR(VLOOKUP(LEFT($N1877,2),LCTT_MAP!$A$7:$C$66,IF($M1877="THU",2,3),FALSE()),IFERROR(VLOOKUP(LEFT($N1877,1),LCTT_MAP!$A$7:$C$66,IF($M1877="THU",2,3),FALSE()),IF($M1877="THU","06","07")))))))</f>
        <v/>
      </c>
      <c r="P1877" s="117">
        <f>P1876+IF(AND($H1877&lt;&gt;"",OR(LEFT($F1877,LEN(SC_TK))=SC_TK,LEFT($G1877,LEN(SC_TK))=SC_TK)),1,0)</f>
        <v/>
      </c>
    </row>
    <row r="1878" ht="15" customHeight="1" s="78">
      <c r="A1878" s="95">
        <f>IF($H1878="","",ROW()-6)</f>
        <v/>
      </c>
      <c r="B1878" s="114" t="n"/>
      <c r="C1878" s="102" t="n"/>
      <c r="D1878" s="114" t="n"/>
      <c r="E1878" s="103" t="n"/>
      <c r="F1878" s="102" t="n"/>
      <c r="G1878" s="102" t="n"/>
      <c r="H1878" s="115" t="n"/>
      <c r="I1878" s="102" t="n"/>
      <c r="J1878" s="102" t="n"/>
      <c r="K1878" s="103" t="n"/>
      <c r="L1878" s="116">
        <f>IF($H1878="","",TRIM(IF(COUNTIF(DMTK!$A$7:$A$250,$F1878)=0,"TK Nợ sai! ","")&amp;IF(COUNTIF(DMTK!$A$7:$A$250,$G1878)=0,"TK Có sai! ","")&amp;IF(N($H1878)&lt;=0,"Tiền phải &gt; 0! ","")&amp;IF($B1878="","Thiếu ngày! ","")&amp;IF(AND(OR(LEFT($F1878,3)="131",LEFT($G1878,3)="131",LEFT($F1878,3)="331",LEFT($G1878,3)="331"),$I1878=""),"Thiếu Mã ĐT! ","")&amp;IF(AND($I1878&lt;&gt;"",COUNTIF(DM_DT!$A$7:$A$306,$I1878)=0),"Mã ĐT chưa khai báo! ","")))</f>
        <v/>
      </c>
      <c r="M1878" s="117">
        <f>IF($H1878="","",IF(AND(OR(LEFT($F1878,3)="111",LEFT($F1878,3)="112",LEFT($F1878,3)="113"),OR(LEFT($G1878,3)="111",LEFT($G1878,3)="112",LEFT($G1878,3)="113")),"NB",IF(OR(LEFT($F1878,3)="111",LEFT($F1878,3)="112",LEFT($F1878,3)="113"),"THU",IF(OR(LEFT($G1878,3)="111",LEFT($G1878,3)="112",LEFT($G1878,3)="113"),"CHI",""))))</f>
        <v/>
      </c>
      <c r="N1878" s="117">
        <f>IF($M1878="THU",$G1878,IF($M1878="CHI",$F1878,""))</f>
        <v/>
      </c>
      <c r="O1878" s="117">
        <f>IF(OR($M1878="",$M1878="NB"),"",IF($J1878&lt;&gt;"",TEXT($J1878,"00"),IFERROR(VLOOKUP(LEFT($N1878,4),LCTT_MAP!$A$7:$C$66,IF($M1878="THU",2,3),FALSE()),IFERROR(VLOOKUP(LEFT($N1878,3),LCTT_MAP!$A$7:$C$66,IF($M1878="THU",2,3),FALSE()),IFERROR(VLOOKUP(LEFT($N1878,2),LCTT_MAP!$A$7:$C$66,IF($M1878="THU",2,3),FALSE()),IFERROR(VLOOKUP(LEFT($N1878,1),LCTT_MAP!$A$7:$C$66,IF($M1878="THU",2,3),FALSE()),IF($M1878="THU","06","07")))))))</f>
        <v/>
      </c>
      <c r="P1878" s="117">
        <f>P1877+IF(AND($H1878&lt;&gt;"",OR(LEFT($F1878,LEN(SC_TK))=SC_TK,LEFT($G1878,LEN(SC_TK))=SC_TK)),1,0)</f>
        <v/>
      </c>
    </row>
    <row r="1879" ht="15" customHeight="1" s="78">
      <c r="A1879" s="95">
        <f>IF($H1879="","",ROW()-6)</f>
        <v/>
      </c>
      <c r="B1879" s="114" t="n"/>
      <c r="C1879" s="102" t="n"/>
      <c r="D1879" s="114" t="n"/>
      <c r="E1879" s="103" t="n"/>
      <c r="F1879" s="102" t="n"/>
      <c r="G1879" s="102" t="n"/>
      <c r="H1879" s="115" t="n"/>
      <c r="I1879" s="102" t="n"/>
      <c r="J1879" s="102" t="n"/>
      <c r="K1879" s="103" t="n"/>
      <c r="L1879" s="116">
        <f>IF($H1879="","",TRIM(IF(COUNTIF(DMTK!$A$7:$A$250,$F1879)=0,"TK Nợ sai! ","")&amp;IF(COUNTIF(DMTK!$A$7:$A$250,$G1879)=0,"TK Có sai! ","")&amp;IF(N($H1879)&lt;=0,"Tiền phải &gt; 0! ","")&amp;IF($B1879="","Thiếu ngày! ","")&amp;IF(AND(OR(LEFT($F1879,3)="131",LEFT($G1879,3)="131",LEFT($F1879,3)="331",LEFT($G1879,3)="331"),$I1879=""),"Thiếu Mã ĐT! ","")&amp;IF(AND($I1879&lt;&gt;"",COUNTIF(DM_DT!$A$7:$A$306,$I1879)=0),"Mã ĐT chưa khai báo! ","")))</f>
        <v/>
      </c>
      <c r="M1879" s="117">
        <f>IF($H1879="","",IF(AND(OR(LEFT($F1879,3)="111",LEFT($F1879,3)="112",LEFT($F1879,3)="113"),OR(LEFT($G1879,3)="111",LEFT($G1879,3)="112",LEFT($G1879,3)="113")),"NB",IF(OR(LEFT($F1879,3)="111",LEFT($F1879,3)="112",LEFT($F1879,3)="113"),"THU",IF(OR(LEFT($G1879,3)="111",LEFT($G1879,3)="112",LEFT($G1879,3)="113"),"CHI",""))))</f>
        <v/>
      </c>
      <c r="N1879" s="117">
        <f>IF($M1879="THU",$G1879,IF($M1879="CHI",$F1879,""))</f>
        <v/>
      </c>
      <c r="O1879" s="117">
        <f>IF(OR($M1879="",$M1879="NB"),"",IF($J1879&lt;&gt;"",TEXT($J1879,"00"),IFERROR(VLOOKUP(LEFT($N1879,4),LCTT_MAP!$A$7:$C$66,IF($M1879="THU",2,3),FALSE()),IFERROR(VLOOKUP(LEFT($N1879,3),LCTT_MAP!$A$7:$C$66,IF($M1879="THU",2,3),FALSE()),IFERROR(VLOOKUP(LEFT($N1879,2),LCTT_MAP!$A$7:$C$66,IF($M1879="THU",2,3),FALSE()),IFERROR(VLOOKUP(LEFT($N1879,1),LCTT_MAP!$A$7:$C$66,IF($M1879="THU",2,3),FALSE()),IF($M1879="THU","06","07")))))))</f>
        <v/>
      </c>
      <c r="P1879" s="117">
        <f>P1878+IF(AND($H1879&lt;&gt;"",OR(LEFT($F1879,LEN(SC_TK))=SC_TK,LEFT($G1879,LEN(SC_TK))=SC_TK)),1,0)</f>
        <v/>
      </c>
    </row>
    <row r="1880" ht="15" customHeight="1" s="78">
      <c r="A1880" s="95">
        <f>IF($H1880="","",ROW()-6)</f>
        <v/>
      </c>
      <c r="B1880" s="114" t="n"/>
      <c r="C1880" s="102" t="n"/>
      <c r="D1880" s="114" t="n"/>
      <c r="E1880" s="103" t="n"/>
      <c r="F1880" s="102" t="n"/>
      <c r="G1880" s="102" t="n"/>
      <c r="H1880" s="115" t="n"/>
      <c r="I1880" s="102" t="n"/>
      <c r="J1880" s="102" t="n"/>
      <c r="K1880" s="103" t="n"/>
      <c r="L1880" s="116">
        <f>IF($H1880="","",TRIM(IF(COUNTIF(DMTK!$A$7:$A$250,$F1880)=0,"TK Nợ sai! ","")&amp;IF(COUNTIF(DMTK!$A$7:$A$250,$G1880)=0,"TK Có sai! ","")&amp;IF(N($H1880)&lt;=0,"Tiền phải &gt; 0! ","")&amp;IF($B1880="","Thiếu ngày! ","")&amp;IF(AND(OR(LEFT($F1880,3)="131",LEFT($G1880,3)="131",LEFT($F1880,3)="331",LEFT($G1880,3)="331"),$I1880=""),"Thiếu Mã ĐT! ","")&amp;IF(AND($I1880&lt;&gt;"",COUNTIF(DM_DT!$A$7:$A$306,$I1880)=0),"Mã ĐT chưa khai báo! ","")))</f>
        <v/>
      </c>
      <c r="M1880" s="117">
        <f>IF($H1880="","",IF(AND(OR(LEFT($F1880,3)="111",LEFT($F1880,3)="112",LEFT($F1880,3)="113"),OR(LEFT($G1880,3)="111",LEFT($G1880,3)="112",LEFT($G1880,3)="113")),"NB",IF(OR(LEFT($F1880,3)="111",LEFT($F1880,3)="112",LEFT($F1880,3)="113"),"THU",IF(OR(LEFT($G1880,3)="111",LEFT($G1880,3)="112",LEFT($G1880,3)="113"),"CHI",""))))</f>
        <v/>
      </c>
      <c r="N1880" s="117">
        <f>IF($M1880="THU",$G1880,IF($M1880="CHI",$F1880,""))</f>
        <v/>
      </c>
      <c r="O1880" s="117">
        <f>IF(OR($M1880="",$M1880="NB"),"",IF($J1880&lt;&gt;"",TEXT($J1880,"00"),IFERROR(VLOOKUP(LEFT($N1880,4),LCTT_MAP!$A$7:$C$66,IF($M1880="THU",2,3),FALSE()),IFERROR(VLOOKUP(LEFT($N1880,3),LCTT_MAP!$A$7:$C$66,IF($M1880="THU",2,3),FALSE()),IFERROR(VLOOKUP(LEFT($N1880,2),LCTT_MAP!$A$7:$C$66,IF($M1880="THU",2,3),FALSE()),IFERROR(VLOOKUP(LEFT($N1880,1),LCTT_MAP!$A$7:$C$66,IF($M1880="THU",2,3),FALSE()),IF($M1880="THU","06","07")))))))</f>
        <v/>
      </c>
      <c r="P1880" s="117">
        <f>P1879+IF(AND($H1880&lt;&gt;"",OR(LEFT($F1880,LEN(SC_TK))=SC_TK,LEFT($G1880,LEN(SC_TK))=SC_TK)),1,0)</f>
        <v/>
      </c>
    </row>
    <row r="1881" ht="15" customHeight="1" s="78">
      <c r="A1881" s="95">
        <f>IF($H1881="","",ROW()-6)</f>
        <v/>
      </c>
      <c r="B1881" s="114" t="n"/>
      <c r="C1881" s="102" t="n"/>
      <c r="D1881" s="114" t="n"/>
      <c r="E1881" s="103" t="n"/>
      <c r="F1881" s="102" t="n"/>
      <c r="G1881" s="102" t="n"/>
      <c r="H1881" s="115" t="n"/>
      <c r="I1881" s="102" t="n"/>
      <c r="J1881" s="102" t="n"/>
      <c r="K1881" s="103" t="n"/>
      <c r="L1881" s="116">
        <f>IF($H1881="","",TRIM(IF(COUNTIF(DMTK!$A$7:$A$250,$F1881)=0,"TK Nợ sai! ","")&amp;IF(COUNTIF(DMTK!$A$7:$A$250,$G1881)=0,"TK Có sai! ","")&amp;IF(N($H1881)&lt;=0,"Tiền phải &gt; 0! ","")&amp;IF($B1881="","Thiếu ngày! ","")&amp;IF(AND(OR(LEFT($F1881,3)="131",LEFT($G1881,3)="131",LEFT($F1881,3)="331",LEFT($G1881,3)="331"),$I1881=""),"Thiếu Mã ĐT! ","")&amp;IF(AND($I1881&lt;&gt;"",COUNTIF(DM_DT!$A$7:$A$306,$I1881)=0),"Mã ĐT chưa khai báo! ","")))</f>
        <v/>
      </c>
      <c r="M1881" s="117">
        <f>IF($H1881="","",IF(AND(OR(LEFT($F1881,3)="111",LEFT($F1881,3)="112",LEFT($F1881,3)="113"),OR(LEFT($G1881,3)="111",LEFT($G1881,3)="112",LEFT($G1881,3)="113")),"NB",IF(OR(LEFT($F1881,3)="111",LEFT($F1881,3)="112",LEFT($F1881,3)="113"),"THU",IF(OR(LEFT($G1881,3)="111",LEFT($G1881,3)="112",LEFT($G1881,3)="113"),"CHI",""))))</f>
        <v/>
      </c>
      <c r="N1881" s="117">
        <f>IF($M1881="THU",$G1881,IF($M1881="CHI",$F1881,""))</f>
        <v/>
      </c>
      <c r="O1881" s="117">
        <f>IF(OR($M1881="",$M1881="NB"),"",IF($J1881&lt;&gt;"",TEXT($J1881,"00"),IFERROR(VLOOKUP(LEFT($N1881,4),LCTT_MAP!$A$7:$C$66,IF($M1881="THU",2,3),FALSE()),IFERROR(VLOOKUP(LEFT($N1881,3),LCTT_MAP!$A$7:$C$66,IF($M1881="THU",2,3),FALSE()),IFERROR(VLOOKUP(LEFT($N1881,2),LCTT_MAP!$A$7:$C$66,IF($M1881="THU",2,3),FALSE()),IFERROR(VLOOKUP(LEFT($N1881,1),LCTT_MAP!$A$7:$C$66,IF($M1881="THU",2,3),FALSE()),IF($M1881="THU","06","07")))))))</f>
        <v/>
      </c>
      <c r="P1881" s="117">
        <f>P1880+IF(AND($H1881&lt;&gt;"",OR(LEFT($F1881,LEN(SC_TK))=SC_TK,LEFT($G1881,LEN(SC_TK))=SC_TK)),1,0)</f>
        <v/>
      </c>
    </row>
    <row r="1882" ht="15" customHeight="1" s="78">
      <c r="A1882" s="95">
        <f>IF($H1882="","",ROW()-6)</f>
        <v/>
      </c>
      <c r="B1882" s="114" t="n"/>
      <c r="C1882" s="102" t="n"/>
      <c r="D1882" s="114" t="n"/>
      <c r="E1882" s="103" t="n"/>
      <c r="F1882" s="102" t="n"/>
      <c r="G1882" s="102" t="n"/>
      <c r="H1882" s="115" t="n"/>
      <c r="I1882" s="102" t="n"/>
      <c r="J1882" s="102" t="n"/>
      <c r="K1882" s="103" t="n"/>
      <c r="L1882" s="116">
        <f>IF($H1882="","",TRIM(IF(COUNTIF(DMTK!$A$7:$A$250,$F1882)=0,"TK Nợ sai! ","")&amp;IF(COUNTIF(DMTK!$A$7:$A$250,$G1882)=0,"TK Có sai! ","")&amp;IF(N($H1882)&lt;=0,"Tiền phải &gt; 0! ","")&amp;IF($B1882="","Thiếu ngày! ","")&amp;IF(AND(OR(LEFT($F1882,3)="131",LEFT($G1882,3)="131",LEFT($F1882,3)="331",LEFT($G1882,3)="331"),$I1882=""),"Thiếu Mã ĐT! ","")&amp;IF(AND($I1882&lt;&gt;"",COUNTIF(DM_DT!$A$7:$A$306,$I1882)=0),"Mã ĐT chưa khai báo! ","")))</f>
        <v/>
      </c>
      <c r="M1882" s="117">
        <f>IF($H1882="","",IF(AND(OR(LEFT($F1882,3)="111",LEFT($F1882,3)="112",LEFT($F1882,3)="113"),OR(LEFT($G1882,3)="111",LEFT($G1882,3)="112",LEFT($G1882,3)="113")),"NB",IF(OR(LEFT($F1882,3)="111",LEFT($F1882,3)="112",LEFT($F1882,3)="113"),"THU",IF(OR(LEFT($G1882,3)="111",LEFT($G1882,3)="112",LEFT($G1882,3)="113"),"CHI",""))))</f>
        <v/>
      </c>
      <c r="N1882" s="117">
        <f>IF($M1882="THU",$G1882,IF($M1882="CHI",$F1882,""))</f>
        <v/>
      </c>
      <c r="O1882" s="117">
        <f>IF(OR($M1882="",$M1882="NB"),"",IF($J1882&lt;&gt;"",TEXT($J1882,"00"),IFERROR(VLOOKUP(LEFT($N1882,4),LCTT_MAP!$A$7:$C$66,IF($M1882="THU",2,3),FALSE()),IFERROR(VLOOKUP(LEFT($N1882,3),LCTT_MAP!$A$7:$C$66,IF($M1882="THU",2,3),FALSE()),IFERROR(VLOOKUP(LEFT($N1882,2),LCTT_MAP!$A$7:$C$66,IF($M1882="THU",2,3),FALSE()),IFERROR(VLOOKUP(LEFT($N1882,1),LCTT_MAP!$A$7:$C$66,IF($M1882="THU",2,3),FALSE()),IF($M1882="THU","06","07")))))))</f>
        <v/>
      </c>
      <c r="P1882" s="117">
        <f>P1881+IF(AND($H1882&lt;&gt;"",OR(LEFT($F1882,LEN(SC_TK))=SC_TK,LEFT($G1882,LEN(SC_TK))=SC_TK)),1,0)</f>
        <v/>
      </c>
    </row>
    <row r="1883" ht="15" customHeight="1" s="78">
      <c r="A1883" s="95">
        <f>IF($H1883="","",ROW()-6)</f>
        <v/>
      </c>
      <c r="B1883" s="114" t="n"/>
      <c r="C1883" s="102" t="n"/>
      <c r="D1883" s="114" t="n"/>
      <c r="E1883" s="103" t="n"/>
      <c r="F1883" s="102" t="n"/>
      <c r="G1883" s="102" t="n"/>
      <c r="H1883" s="115" t="n"/>
      <c r="I1883" s="102" t="n"/>
      <c r="J1883" s="102" t="n"/>
      <c r="K1883" s="103" t="n"/>
      <c r="L1883" s="116">
        <f>IF($H1883="","",TRIM(IF(COUNTIF(DMTK!$A$7:$A$250,$F1883)=0,"TK Nợ sai! ","")&amp;IF(COUNTIF(DMTK!$A$7:$A$250,$G1883)=0,"TK Có sai! ","")&amp;IF(N($H1883)&lt;=0,"Tiền phải &gt; 0! ","")&amp;IF($B1883="","Thiếu ngày! ","")&amp;IF(AND(OR(LEFT($F1883,3)="131",LEFT($G1883,3)="131",LEFT($F1883,3)="331",LEFT($G1883,3)="331"),$I1883=""),"Thiếu Mã ĐT! ","")&amp;IF(AND($I1883&lt;&gt;"",COUNTIF(DM_DT!$A$7:$A$306,$I1883)=0),"Mã ĐT chưa khai báo! ","")))</f>
        <v/>
      </c>
      <c r="M1883" s="117">
        <f>IF($H1883="","",IF(AND(OR(LEFT($F1883,3)="111",LEFT($F1883,3)="112",LEFT($F1883,3)="113"),OR(LEFT($G1883,3)="111",LEFT($G1883,3)="112",LEFT($G1883,3)="113")),"NB",IF(OR(LEFT($F1883,3)="111",LEFT($F1883,3)="112",LEFT($F1883,3)="113"),"THU",IF(OR(LEFT($G1883,3)="111",LEFT($G1883,3)="112",LEFT($G1883,3)="113"),"CHI",""))))</f>
        <v/>
      </c>
      <c r="N1883" s="117">
        <f>IF($M1883="THU",$G1883,IF($M1883="CHI",$F1883,""))</f>
        <v/>
      </c>
      <c r="O1883" s="117">
        <f>IF(OR($M1883="",$M1883="NB"),"",IF($J1883&lt;&gt;"",TEXT($J1883,"00"),IFERROR(VLOOKUP(LEFT($N1883,4),LCTT_MAP!$A$7:$C$66,IF($M1883="THU",2,3),FALSE()),IFERROR(VLOOKUP(LEFT($N1883,3),LCTT_MAP!$A$7:$C$66,IF($M1883="THU",2,3),FALSE()),IFERROR(VLOOKUP(LEFT($N1883,2),LCTT_MAP!$A$7:$C$66,IF($M1883="THU",2,3),FALSE()),IFERROR(VLOOKUP(LEFT($N1883,1),LCTT_MAP!$A$7:$C$66,IF($M1883="THU",2,3),FALSE()),IF($M1883="THU","06","07")))))))</f>
        <v/>
      </c>
      <c r="P1883" s="117">
        <f>P1882+IF(AND($H1883&lt;&gt;"",OR(LEFT($F1883,LEN(SC_TK))=SC_TK,LEFT($G1883,LEN(SC_TK))=SC_TK)),1,0)</f>
        <v/>
      </c>
    </row>
    <row r="1884" ht="15" customHeight="1" s="78">
      <c r="A1884" s="95">
        <f>IF($H1884="","",ROW()-6)</f>
        <v/>
      </c>
      <c r="B1884" s="114" t="n"/>
      <c r="C1884" s="102" t="n"/>
      <c r="D1884" s="114" t="n"/>
      <c r="E1884" s="103" t="n"/>
      <c r="F1884" s="102" t="n"/>
      <c r="G1884" s="102" t="n"/>
      <c r="H1884" s="115" t="n"/>
      <c r="I1884" s="102" t="n"/>
      <c r="J1884" s="102" t="n"/>
      <c r="K1884" s="103" t="n"/>
      <c r="L1884" s="116">
        <f>IF($H1884="","",TRIM(IF(COUNTIF(DMTK!$A$7:$A$250,$F1884)=0,"TK Nợ sai! ","")&amp;IF(COUNTIF(DMTK!$A$7:$A$250,$G1884)=0,"TK Có sai! ","")&amp;IF(N($H1884)&lt;=0,"Tiền phải &gt; 0! ","")&amp;IF($B1884="","Thiếu ngày! ","")&amp;IF(AND(OR(LEFT($F1884,3)="131",LEFT($G1884,3)="131",LEFT($F1884,3)="331",LEFT($G1884,3)="331"),$I1884=""),"Thiếu Mã ĐT! ","")&amp;IF(AND($I1884&lt;&gt;"",COUNTIF(DM_DT!$A$7:$A$306,$I1884)=0),"Mã ĐT chưa khai báo! ","")))</f>
        <v/>
      </c>
      <c r="M1884" s="117">
        <f>IF($H1884="","",IF(AND(OR(LEFT($F1884,3)="111",LEFT($F1884,3)="112",LEFT($F1884,3)="113"),OR(LEFT($G1884,3)="111",LEFT($G1884,3)="112",LEFT($G1884,3)="113")),"NB",IF(OR(LEFT($F1884,3)="111",LEFT($F1884,3)="112",LEFT($F1884,3)="113"),"THU",IF(OR(LEFT($G1884,3)="111",LEFT($G1884,3)="112",LEFT($G1884,3)="113"),"CHI",""))))</f>
        <v/>
      </c>
      <c r="N1884" s="117">
        <f>IF($M1884="THU",$G1884,IF($M1884="CHI",$F1884,""))</f>
        <v/>
      </c>
      <c r="O1884" s="117">
        <f>IF(OR($M1884="",$M1884="NB"),"",IF($J1884&lt;&gt;"",TEXT($J1884,"00"),IFERROR(VLOOKUP(LEFT($N1884,4),LCTT_MAP!$A$7:$C$66,IF($M1884="THU",2,3),FALSE()),IFERROR(VLOOKUP(LEFT($N1884,3),LCTT_MAP!$A$7:$C$66,IF($M1884="THU",2,3),FALSE()),IFERROR(VLOOKUP(LEFT($N1884,2),LCTT_MAP!$A$7:$C$66,IF($M1884="THU",2,3),FALSE()),IFERROR(VLOOKUP(LEFT($N1884,1),LCTT_MAP!$A$7:$C$66,IF($M1884="THU",2,3),FALSE()),IF($M1884="THU","06","07")))))))</f>
        <v/>
      </c>
      <c r="P1884" s="117">
        <f>P1883+IF(AND($H1884&lt;&gt;"",OR(LEFT($F1884,LEN(SC_TK))=SC_TK,LEFT($G1884,LEN(SC_TK))=SC_TK)),1,0)</f>
        <v/>
      </c>
    </row>
    <row r="1885" ht="15" customHeight="1" s="78">
      <c r="A1885" s="95">
        <f>IF($H1885="","",ROW()-6)</f>
        <v/>
      </c>
      <c r="B1885" s="114" t="n"/>
      <c r="C1885" s="102" t="n"/>
      <c r="D1885" s="114" t="n"/>
      <c r="E1885" s="103" t="n"/>
      <c r="F1885" s="102" t="n"/>
      <c r="G1885" s="102" t="n"/>
      <c r="H1885" s="115" t="n"/>
      <c r="I1885" s="102" t="n"/>
      <c r="J1885" s="102" t="n"/>
      <c r="K1885" s="103" t="n"/>
      <c r="L1885" s="116">
        <f>IF($H1885="","",TRIM(IF(COUNTIF(DMTK!$A$7:$A$250,$F1885)=0,"TK Nợ sai! ","")&amp;IF(COUNTIF(DMTK!$A$7:$A$250,$G1885)=0,"TK Có sai! ","")&amp;IF(N($H1885)&lt;=0,"Tiền phải &gt; 0! ","")&amp;IF($B1885="","Thiếu ngày! ","")&amp;IF(AND(OR(LEFT($F1885,3)="131",LEFT($G1885,3)="131",LEFT($F1885,3)="331",LEFT($G1885,3)="331"),$I1885=""),"Thiếu Mã ĐT! ","")&amp;IF(AND($I1885&lt;&gt;"",COUNTIF(DM_DT!$A$7:$A$306,$I1885)=0),"Mã ĐT chưa khai báo! ","")))</f>
        <v/>
      </c>
      <c r="M1885" s="117">
        <f>IF($H1885="","",IF(AND(OR(LEFT($F1885,3)="111",LEFT($F1885,3)="112",LEFT($F1885,3)="113"),OR(LEFT($G1885,3)="111",LEFT($G1885,3)="112",LEFT($G1885,3)="113")),"NB",IF(OR(LEFT($F1885,3)="111",LEFT($F1885,3)="112",LEFT($F1885,3)="113"),"THU",IF(OR(LEFT($G1885,3)="111",LEFT($G1885,3)="112",LEFT($G1885,3)="113"),"CHI",""))))</f>
        <v/>
      </c>
      <c r="N1885" s="117">
        <f>IF($M1885="THU",$G1885,IF($M1885="CHI",$F1885,""))</f>
        <v/>
      </c>
      <c r="O1885" s="117">
        <f>IF(OR($M1885="",$M1885="NB"),"",IF($J1885&lt;&gt;"",TEXT($J1885,"00"),IFERROR(VLOOKUP(LEFT($N1885,4),LCTT_MAP!$A$7:$C$66,IF($M1885="THU",2,3),FALSE()),IFERROR(VLOOKUP(LEFT($N1885,3),LCTT_MAP!$A$7:$C$66,IF($M1885="THU",2,3),FALSE()),IFERROR(VLOOKUP(LEFT($N1885,2),LCTT_MAP!$A$7:$C$66,IF($M1885="THU",2,3),FALSE()),IFERROR(VLOOKUP(LEFT($N1885,1),LCTT_MAP!$A$7:$C$66,IF($M1885="THU",2,3),FALSE()),IF($M1885="THU","06","07")))))))</f>
        <v/>
      </c>
      <c r="P1885" s="117">
        <f>P1884+IF(AND($H1885&lt;&gt;"",OR(LEFT($F1885,LEN(SC_TK))=SC_TK,LEFT($G1885,LEN(SC_TK))=SC_TK)),1,0)</f>
        <v/>
      </c>
    </row>
    <row r="1886" ht="15" customHeight="1" s="78">
      <c r="A1886" s="95">
        <f>IF($H1886="","",ROW()-6)</f>
        <v/>
      </c>
      <c r="B1886" s="114" t="n"/>
      <c r="C1886" s="102" t="n"/>
      <c r="D1886" s="114" t="n"/>
      <c r="E1886" s="103" t="n"/>
      <c r="F1886" s="102" t="n"/>
      <c r="G1886" s="102" t="n"/>
      <c r="H1886" s="115" t="n"/>
      <c r="I1886" s="102" t="n"/>
      <c r="J1886" s="102" t="n"/>
      <c r="K1886" s="103" t="n"/>
      <c r="L1886" s="116">
        <f>IF($H1886="","",TRIM(IF(COUNTIF(DMTK!$A$7:$A$250,$F1886)=0,"TK Nợ sai! ","")&amp;IF(COUNTIF(DMTK!$A$7:$A$250,$G1886)=0,"TK Có sai! ","")&amp;IF(N($H1886)&lt;=0,"Tiền phải &gt; 0! ","")&amp;IF($B1886="","Thiếu ngày! ","")&amp;IF(AND(OR(LEFT($F1886,3)="131",LEFT($G1886,3)="131",LEFT($F1886,3)="331",LEFT($G1886,3)="331"),$I1886=""),"Thiếu Mã ĐT! ","")&amp;IF(AND($I1886&lt;&gt;"",COUNTIF(DM_DT!$A$7:$A$306,$I1886)=0),"Mã ĐT chưa khai báo! ","")))</f>
        <v/>
      </c>
      <c r="M1886" s="117">
        <f>IF($H1886="","",IF(AND(OR(LEFT($F1886,3)="111",LEFT($F1886,3)="112",LEFT($F1886,3)="113"),OR(LEFT($G1886,3)="111",LEFT($G1886,3)="112",LEFT($G1886,3)="113")),"NB",IF(OR(LEFT($F1886,3)="111",LEFT($F1886,3)="112",LEFT($F1886,3)="113"),"THU",IF(OR(LEFT($G1886,3)="111",LEFT($G1886,3)="112",LEFT($G1886,3)="113"),"CHI",""))))</f>
        <v/>
      </c>
      <c r="N1886" s="117">
        <f>IF($M1886="THU",$G1886,IF($M1886="CHI",$F1886,""))</f>
        <v/>
      </c>
      <c r="O1886" s="117">
        <f>IF(OR($M1886="",$M1886="NB"),"",IF($J1886&lt;&gt;"",TEXT($J1886,"00"),IFERROR(VLOOKUP(LEFT($N1886,4),LCTT_MAP!$A$7:$C$66,IF($M1886="THU",2,3),FALSE()),IFERROR(VLOOKUP(LEFT($N1886,3),LCTT_MAP!$A$7:$C$66,IF($M1886="THU",2,3),FALSE()),IFERROR(VLOOKUP(LEFT($N1886,2),LCTT_MAP!$A$7:$C$66,IF($M1886="THU",2,3),FALSE()),IFERROR(VLOOKUP(LEFT($N1886,1),LCTT_MAP!$A$7:$C$66,IF($M1886="THU",2,3),FALSE()),IF($M1886="THU","06","07")))))))</f>
        <v/>
      </c>
      <c r="P1886" s="117">
        <f>P1885+IF(AND($H1886&lt;&gt;"",OR(LEFT($F1886,LEN(SC_TK))=SC_TK,LEFT($G1886,LEN(SC_TK))=SC_TK)),1,0)</f>
        <v/>
      </c>
    </row>
    <row r="1887" ht="15" customHeight="1" s="78">
      <c r="A1887" s="95">
        <f>IF($H1887="","",ROW()-6)</f>
        <v/>
      </c>
      <c r="B1887" s="114" t="n"/>
      <c r="C1887" s="102" t="n"/>
      <c r="D1887" s="114" t="n"/>
      <c r="E1887" s="103" t="n"/>
      <c r="F1887" s="102" t="n"/>
      <c r="G1887" s="102" t="n"/>
      <c r="H1887" s="115" t="n"/>
      <c r="I1887" s="102" t="n"/>
      <c r="J1887" s="102" t="n"/>
      <c r="K1887" s="103" t="n"/>
      <c r="L1887" s="116">
        <f>IF($H1887="","",TRIM(IF(COUNTIF(DMTK!$A$7:$A$250,$F1887)=0,"TK Nợ sai! ","")&amp;IF(COUNTIF(DMTK!$A$7:$A$250,$G1887)=0,"TK Có sai! ","")&amp;IF(N($H1887)&lt;=0,"Tiền phải &gt; 0! ","")&amp;IF($B1887="","Thiếu ngày! ","")&amp;IF(AND(OR(LEFT($F1887,3)="131",LEFT($G1887,3)="131",LEFT($F1887,3)="331",LEFT($G1887,3)="331"),$I1887=""),"Thiếu Mã ĐT! ","")&amp;IF(AND($I1887&lt;&gt;"",COUNTIF(DM_DT!$A$7:$A$306,$I1887)=0),"Mã ĐT chưa khai báo! ","")))</f>
        <v/>
      </c>
      <c r="M1887" s="117">
        <f>IF($H1887="","",IF(AND(OR(LEFT($F1887,3)="111",LEFT($F1887,3)="112",LEFT($F1887,3)="113"),OR(LEFT($G1887,3)="111",LEFT($G1887,3)="112",LEFT($G1887,3)="113")),"NB",IF(OR(LEFT($F1887,3)="111",LEFT($F1887,3)="112",LEFT($F1887,3)="113"),"THU",IF(OR(LEFT($G1887,3)="111",LEFT($G1887,3)="112",LEFT($G1887,3)="113"),"CHI",""))))</f>
        <v/>
      </c>
      <c r="N1887" s="117">
        <f>IF($M1887="THU",$G1887,IF($M1887="CHI",$F1887,""))</f>
        <v/>
      </c>
      <c r="O1887" s="117">
        <f>IF(OR($M1887="",$M1887="NB"),"",IF($J1887&lt;&gt;"",TEXT($J1887,"00"),IFERROR(VLOOKUP(LEFT($N1887,4),LCTT_MAP!$A$7:$C$66,IF($M1887="THU",2,3),FALSE()),IFERROR(VLOOKUP(LEFT($N1887,3),LCTT_MAP!$A$7:$C$66,IF($M1887="THU",2,3),FALSE()),IFERROR(VLOOKUP(LEFT($N1887,2),LCTT_MAP!$A$7:$C$66,IF($M1887="THU",2,3),FALSE()),IFERROR(VLOOKUP(LEFT($N1887,1),LCTT_MAP!$A$7:$C$66,IF($M1887="THU",2,3),FALSE()),IF($M1887="THU","06","07")))))))</f>
        <v/>
      </c>
      <c r="P1887" s="117">
        <f>P1886+IF(AND($H1887&lt;&gt;"",OR(LEFT($F1887,LEN(SC_TK))=SC_TK,LEFT($G1887,LEN(SC_TK))=SC_TK)),1,0)</f>
        <v/>
      </c>
    </row>
    <row r="1888" ht="15" customHeight="1" s="78">
      <c r="A1888" s="95">
        <f>IF($H1888="","",ROW()-6)</f>
        <v/>
      </c>
      <c r="B1888" s="114" t="n"/>
      <c r="C1888" s="102" t="n"/>
      <c r="D1888" s="114" t="n"/>
      <c r="E1888" s="103" t="n"/>
      <c r="F1888" s="102" t="n"/>
      <c r="G1888" s="102" t="n"/>
      <c r="H1888" s="115" t="n"/>
      <c r="I1888" s="102" t="n"/>
      <c r="J1888" s="102" t="n"/>
      <c r="K1888" s="103" t="n"/>
      <c r="L1888" s="116">
        <f>IF($H1888="","",TRIM(IF(COUNTIF(DMTK!$A$7:$A$250,$F1888)=0,"TK Nợ sai! ","")&amp;IF(COUNTIF(DMTK!$A$7:$A$250,$G1888)=0,"TK Có sai! ","")&amp;IF(N($H1888)&lt;=0,"Tiền phải &gt; 0! ","")&amp;IF($B1888="","Thiếu ngày! ","")&amp;IF(AND(OR(LEFT($F1888,3)="131",LEFT($G1888,3)="131",LEFT($F1888,3)="331",LEFT($G1888,3)="331"),$I1888=""),"Thiếu Mã ĐT! ","")&amp;IF(AND($I1888&lt;&gt;"",COUNTIF(DM_DT!$A$7:$A$306,$I1888)=0),"Mã ĐT chưa khai báo! ","")))</f>
        <v/>
      </c>
      <c r="M1888" s="117">
        <f>IF($H1888="","",IF(AND(OR(LEFT($F1888,3)="111",LEFT($F1888,3)="112",LEFT($F1888,3)="113"),OR(LEFT($G1888,3)="111",LEFT($G1888,3)="112",LEFT($G1888,3)="113")),"NB",IF(OR(LEFT($F1888,3)="111",LEFT($F1888,3)="112",LEFT($F1888,3)="113"),"THU",IF(OR(LEFT($G1888,3)="111",LEFT($G1888,3)="112",LEFT($G1888,3)="113"),"CHI",""))))</f>
        <v/>
      </c>
      <c r="N1888" s="117">
        <f>IF($M1888="THU",$G1888,IF($M1888="CHI",$F1888,""))</f>
        <v/>
      </c>
      <c r="O1888" s="117">
        <f>IF(OR($M1888="",$M1888="NB"),"",IF($J1888&lt;&gt;"",TEXT($J1888,"00"),IFERROR(VLOOKUP(LEFT($N1888,4),LCTT_MAP!$A$7:$C$66,IF($M1888="THU",2,3),FALSE()),IFERROR(VLOOKUP(LEFT($N1888,3),LCTT_MAP!$A$7:$C$66,IF($M1888="THU",2,3),FALSE()),IFERROR(VLOOKUP(LEFT($N1888,2),LCTT_MAP!$A$7:$C$66,IF($M1888="THU",2,3),FALSE()),IFERROR(VLOOKUP(LEFT($N1888,1),LCTT_MAP!$A$7:$C$66,IF($M1888="THU",2,3),FALSE()),IF($M1888="THU","06","07")))))))</f>
        <v/>
      </c>
      <c r="P1888" s="117">
        <f>P1887+IF(AND($H1888&lt;&gt;"",OR(LEFT($F1888,LEN(SC_TK))=SC_TK,LEFT($G1888,LEN(SC_TK))=SC_TK)),1,0)</f>
        <v/>
      </c>
    </row>
    <row r="1889" ht="15" customHeight="1" s="78">
      <c r="A1889" s="95">
        <f>IF($H1889="","",ROW()-6)</f>
        <v/>
      </c>
      <c r="B1889" s="114" t="n"/>
      <c r="C1889" s="102" t="n"/>
      <c r="D1889" s="114" t="n"/>
      <c r="E1889" s="103" t="n"/>
      <c r="F1889" s="102" t="n"/>
      <c r="G1889" s="102" t="n"/>
      <c r="H1889" s="115" t="n"/>
      <c r="I1889" s="102" t="n"/>
      <c r="J1889" s="102" t="n"/>
      <c r="K1889" s="103" t="n"/>
      <c r="L1889" s="116">
        <f>IF($H1889="","",TRIM(IF(COUNTIF(DMTK!$A$7:$A$250,$F1889)=0,"TK Nợ sai! ","")&amp;IF(COUNTIF(DMTK!$A$7:$A$250,$G1889)=0,"TK Có sai! ","")&amp;IF(N($H1889)&lt;=0,"Tiền phải &gt; 0! ","")&amp;IF($B1889="","Thiếu ngày! ","")&amp;IF(AND(OR(LEFT($F1889,3)="131",LEFT($G1889,3)="131",LEFT($F1889,3)="331",LEFT($G1889,3)="331"),$I1889=""),"Thiếu Mã ĐT! ","")&amp;IF(AND($I1889&lt;&gt;"",COUNTIF(DM_DT!$A$7:$A$306,$I1889)=0),"Mã ĐT chưa khai báo! ","")))</f>
        <v/>
      </c>
      <c r="M1889" s="117">
        <f>IF($H1889="","",IF(AND(OR(LEFT($F1889,3)="111",LEFT($F1889,3)="112",LEFT($F1889,3)="113"),OR(LEFT($G1889,3)="111",LEFT($G1889,3)="112",LEFT($G1889,3)="113")),"NB",IF(OR(LEFT($F1889,3)="111",LEFT($F1889,3)="112",LEFT($F1889,3)="113"),"THU",IF(OR(LEFT($G1889,3)="111",LEFT($G1889,3)="112",LEFT($G1889,3)="113"),"CHI",""))))</f>
        <v/>
      </c>
      <c r="N1889" s="117">
        <f>IF($M1889="THU",$G1889,IF($M1889="CHI",$F1889,""))</f>
        <v/>
      </c>
      <c r="O1889" s="117">
        <f>IF(OR($M1889="",$M1889="NB"),"",IF($J1889&lt;&gt;"",TEXT($J1889,"00"),IFERROR(VLOOKUP(LEFT($N1889,4),LCTT_MAP!$A$7:$C$66,IF($M1889="THU",2,3),FALSE()),IFERROR(VLOOKUP(LEFT($N1889,3),LCTT_MAP!$A$7:$C$66,IF($M1889="THU",2,3),FALSE()),IFERROR(VLOOKUP(LEFT($N1889,2),LCTT_MAP!$A$7:$C$66,IF($M1889="THU",2,3),FALSE()),IFERROR(VLOOKUP(LEFT($N1889,1),LCTT_MAP!$A$7:$C$66,IF($M1889="THU",2,3),FALSE()),IF($M1889="THU","06","07")))))))</f>
        <v/>
      </c>
      <c r="P1889" s="117">
        <f>P1888+IF(AND($H1889&lt;&gt;"",OR(LEFT($F1889,LEN(SC_TK))=SC_TK,LEFT($G1889,LEN(SC_TK))=SC_TK)),1,0)</f>
        <v/>
      </c>
    </row>
    <row r="1890" ht="15" customHeight="1" s="78">
      <c r="A1890" s="95">
        <f>IF($H1890="","",ROW()-6)</f>
        <v/>
      </c>
      <c r="B1890" s="114" t="n"/>
      <c r="C1890" s="102" t="n"/>
      <c r="D1890" s="114" t="n"/>
      <c r="E1890" s="103" t="n"/>
      <c r="F1890" s="102" t="n"/>
      <c r="G1890" s="102" t="n"/>
      <c r="H1890" s="115" t="n"/>
      <c r="I1890" s="102" t="n"/>
      <c r="J1890" s="102" t="n"/>
      <c r="K1890" s="103" t="n"/>
      <c r="L1890" s="116">
        <f>IF($H1890="","",TRIM(IF(COUNTIF(DMTK!$A$7:$A$250,$F1890)=0,"TK Nợ sai! ","")&amp;IF(COUNTIF(DMTK!$A$7:$A$250,$G1890)=0,"TK Có sai! ","")&amp;IF(N($H1890)&lt;=0,"Tiền phải &gt; 0! ","")&amp;IF($B1890="","Thiếu ngày! ","")&amp;IF(AND(OR(LEFT($F1890,3)="131",LEFT($G1890,3)="131",LEFT($F1890,3)="331",LEFT($G1890,3)="331"),$I1890=""),"Thiếu Mã ĐT! ","")&amp;IF(AND($I1890&lt;&gt;"",COUNTIF(DM_DT!$A$7:$A$306,$I1890)=0),"Mã ĐT chưa khai báo! ","")))</f>
        <v/>
      </c>
      <c r="M1890" s="117">
        <f>IF($H1890="","",IF(AND(OR(LEFT($F1890,3)="111",LEFT($F1890,3)="112",LEFT($F1890,3)="113"),OR(LEFT($G1890,3)="111",LEFT($G1890,3)="112",LEFT($G1890,3)="113")),"NB",IF(OR(LEFT($F1890,3)="111",LEFT($F1890,3)="112",LEFT($F1890,3)="113"),"THU",IF(OR(LEFT($G1890,3)="111",LEFT($G1890,3)="112",LEFT($G1890,3)="113"),"CHI",""))))</f>
        <v/>
      </c>
      <c r="N1890" s="117">
        <f>IF($M1890="THU",$G1890,IF($M1890="CHI",$F1890,""))</f>
        <v/>
      </c>
      <c r="O1890" s="117">
        <f>IF(OR($M1890="",$M1890="NB"),"",IF($J1890&lt;&gt;"",TEXT($J1890,"00"),IFERROR(VLOOKUP(LEFT($N1890,4),LCTT_MAP!$A$7:$C$66,IF($M1890="THU",2,3),FALSE()),IFERROR(VLOOKUP(LEFT($N1890,3),LCTT_MAP!$A$7:$C$66,IF($M1890="THU",2,3),FALSE()),IFERROR(VLOOKUP(LEFT($N1890,2),LCTT_MAP!$A$7:$C$66,IF($M1890="THU",2,3),FALSE()),IFERROR(VLOOKUP(LEFT($N1890,1),LCTT_MAP!$A$7:$C$66,IF($M1890="THU",2,3),FALSE()),IF($M1890="THU","06","07")))))))</f>
        <v/>
      </c>
      <c r="P1890" s="117">
        <f>P1889+IF(AND($H1890&lt;&gt;"",OR(LEFT($F1890,LEN(SC_TK))=SC_TK,LEFT($G1890,LEN(SC_TK))=SC_TK)),1,0)</f>
        <v/>
      </c>
    </row>
    <row r="1891" ht="15" customHeight="1" s="78">
      <c r="A1891" s="95">
        <f>IF($H1891="","",ROW()-6)</f>
        <v/>
      </c>
      <c r="B1891" s="114" t="n"/>
      <c r="C1891" s="102" t="n"/>
      <c r="D1891" s="114" t="n"/>
      <c r="E1891" s="103" t="n"/>
      <c r="F1891" s="102" t="n"/>
      <c r="G1891" s="102" t="n"/>
      <c r="H1891" s="115" t="n"/>
      <c r="I1891" s="102" t="n"/>
      <c r="J1891" s="102" t="n"/>
      <c r="K1891" s="103" t="n"/>
      <c r="L1891" s="116">
        <f>IF($H1891="","",TRIM(IF(COUNTIF(DMTK!$A$7:$A$250,$F1891)=0,"TK Nợ sai! ","")&amp;IF(COUNTIF(DMTK!$A$7:$A$250,$G1891)=0,"TK Có sai! ","")&amp;IF(N($H1891)&lt;=0,"Tiền phải &gt; 0! ","")&amp;IF($B1891="","Thiếu ngày! ","")&amp;IF(AND(OR(LEFT($F1891,3)="131",LEFT($G1891,3)="131",LEFT($F1891,3)="331",LEFT($G1891,3)="331"),$I1891=""),"Thiếu Mã ĐT! ","")&amp;IF(AND($I1891&lt;&gt;"",COUNTIF(DM_DT!$A$7:$A$306,$I1891)=0),"Mã ĐT chưa khai báo! ","")))</f>
        <v/>
      </c>
      <c r="M1891" s="117">
        <f>IF($H1891="","",IF(AND(OR(LEFT($F1891,3)="111",LEFT($F1891,3)="112",LEFT($F1891,3)="113"),OR(LEFT($G1891,3)="111",LEFT($G1891,3)="112",LEFT($G1891,3)="113")),"NB",IF(OR(LEFT($F1891,3)="111",LEFT($F1891,3)="112",LEFT($F1891,3)="113"),"THU",IF(OR(LEFT($G1891,3)="111",LEFT($G1891,3)="112",LEFT($G1891,3)="113"),"CHI",""))))</f>
        <v/>
      </c>
      <c r="N1891" s="117">
        <f>IF($M1891="THU",$G1891,IF($M1891="CHI",$F1891,""))</f>
        <v/>
      </c>
      <c r="O1891" s="117">
        <f>IF(OR($M1891="",$M1891="NB"),"",IF($J1891&lt;&gt;"",TEXT($J1891,"00"),IFERROR(VLOOKUP(LEFT($N1891,4),LCTT_MAP!$A$7:$C$66,IF($M1891="THU",2,3),FALSE()),IFERROR(VLOOKUP(LEFT($N1891,3),LCTT_MAP!$A$7:$C$66,IF($M1891="THU",2,3),FALSE()),IFERROR(VLOOKUP(LEFT($N1891,2),LCTT_MAP!$A$7:$C$66,IF($M1891="THU",2,3),FALSE()),IFERROR(VLOOKUP(LEFT($N1891,1),LCTT_MAP!$A$7:$C$66,IF($M1891="THU",2,3),FALSE()),IF($M1891="THU","06","07")))))))</f>
        <v/>
      </c>
      <c r="P1891" s="117">
        <f>P1890+IF(AND($H1891&lt;&gt;"",OR(LEFT($F1891,LEN(SC_TK))=SC_TK,LEFT($G1891,LEN(SC_TK))=SC_TK)),1,0)</f>
        <v/>
      </c>
    </row>
    <row r="1892" ht="15" customHeight="1" s="78">
      <c r="A1892" s="95">
        <f>IF($H1892="","",ROW()-6)</f>
        <v/>
      </c>
      <c r="B1892" s="114" t="n"/>
      <c r="C1892" s="102" t="n"/>
      <c r="D1892" s="114" t="n"/>
      <c r="E1892" s="103" t="n"/>
      <c r="F1892" s="102" t="n"/>
      <c r="G1892" s="102" t="n"/>
      <c r="H1892" s="115" t="n"/>
      <c r="I1892" s="102" t="n"/>
      <c r="J1892" s="102" t="n"/>
      <c r="K1892" s="103" t="n"/>
      <c r="L1892" s="116">
        <f>IF($H1892="","",TRIM(IF(COUNTIF(DMTK!$A$7:$A$250,$F1892)=0,"TK Nợ sai! ","")&amp;IF(COUNTIF(DMTK!$A$7:$A$250,$G1892)=0,"TK Có sai! ","")&amp;IF(N($H1892)&lt;=0,"Tiền phải &gt; 0! ","")&amp;IF($B1892="","Thiếu ngày! ","")&amp;IF(AND(OR(LEFT($F1892,3)="131",LEFT($G1892,3)="131",LEFT($F1892,3)="331",LEFT($G1892,3)="331"),$I1892=""),"Thiếu Mã ĐT! ","")&amp;IF(AND($I1892&lt;&gt;"",COUNTIF(DM_DT!$A$7:$A$306,$I1892)=0),"Mã ĐT chưa khai báo! ","")))</f>
        <v/>
      </c>
      <c r="M1892" s="117">
        <f>IF($H1892="","",IF(AND(OR(LEFT($F1892,3)="111",LEFT($F1892,3)="112",LEFT($F1892,3)="113"),OR(LEFT($G1892,3)="111",LEFT($G1892,3)="112",LEFT($G1892,3)="113")),"NB",IF(OR(LEFT($F1892,3)="111",LEFT($F1892,3)="112",LEFT($F1892,3)="113"),"THU",IF(OR(LEFT($G1892,3)="111",LEFT($G1892,3)="112",LEFT($G1892,3)="113"),"CHI",""))))</f>
        <v/>
      </c>
      <c r="N1892" s="117">
        <f>IF($M1892="THU",$G1892,IF($M1892="CHI",$F1892,""))</f>
        <v/>
      </c>
      <c r="O1892" s="117">
        <f>IF(OR($M1892="",$M1892="NB"),"",IF($J1892&lt;&gt;"",TEXT($J1892,"00"),IFERROR(VLOOKUP(LEFT($N1892,4),LCTT_MAP!$A$7:$C$66,IF($M1892="THU",2,3),FALSE()),IFERROR(VLOOKUP(LEFT($N1892,3),LCTT_MAP!$A$7:$C$66,IF($M1892="THU",2,3),FALSE()),IFERROR(VLOOKUP(LEFT($N1892,2),LCTT_MAP!$A$7:$C$66,IF($M1892="THU",2,3),FALSE()),IFERROR(VLOOKUP(LEFT($N1892,1),LCTT_MAP!$A$7:$C$66,IF($M1892="THU",2,3),FALSE()),IF($M1892="THU","06","07")))))))</f>
        <v/>
      </c>
      <c r="P1892" s="117">
        <f>P1891+IF(AND($H1892&lt;&gt;"",OR(LEFT($F1892,LEN(SC_TK))=SC_TK,LEFT($G1892,LEN(SC_TK))=SC_TK)),1,0)</f>
        <v/>
      </c>
    </row>
    <row r="1893" ht="15" customHeight="1" s="78">
      <c r="A1893" s="95">
        <f>IF($H1893="","",ROW()-6)</f>
        <v/>
      </c>
      <c r="B1893" s="114" t="n"/>
      <c r="C1893" s="102" t="n"/>
      <c r="D1893" s="114" t="n"/>
      <c r="E1893" s="103" t="n"/>
      <c r="F1893" s="102" t="n"/>
      <c r="G1893" s="102" t="n"/>
      <c r="H1893" s="115" t="n"/>
      <c r="I1893" s="102" t="n"/>
      <c r="J1893" s="102" t="n"/>
      <c r="K1893" s="103" t="n"/>
      <c r="L1893" s="116">
        <f>IF($H1893="","",TRIM(IF(COUNTIF(DMTK!$A$7:$A$250,$F1893)=0,"TK Nợ sai! ","")&amp;IF(COUNTIF(DMTK!$A$7:$A$250,$G1893)=0,"TK Có sai! ","")&amp;IF(N($H1893)&lt;=0,"Tiền phải &gt; 0! ","")&amp;IF($B1893="","Thiếu ngày! ","")&amp;IF(AND(OR(LEFT($F1893,3)="131",LEFT($G1893,3)="131",LEFT($F1893,3)="331",LEFT($G1893,3)="331"),$I1893=""),"Thiếu Mã ĐT! ","")&amp;IF(AND($I1893&lt;&gt;"",COUNTIF(DM_DT!$A$7:$A$306,$I1893)=0),"Mã ĐT chưa khai báo! ","")))</f>
        <v/>
      </c>
      <c r="M1893" s="117">
        <f>IF($H1893="","",IF(AND(OR(LEFT($F1893,3)="111",LEFT($F1893,3)="112",LEFT($F1893,3)="113"),OR(LEFT($G1893,3)="111",LEFT($G1893,3)="112",LEFT($G1893,3)="113")),"NB",IF(OR(LEFT($F1893,3)="111",LEFT($F1893,3)="112",LEFT($F1893,3)="113"),"THU",IF(OR(LEFT($G1893,3)="111",LEFT($G1893,3)="112",LEFT($G1893,3)="113"),"CHI",""))))</f>
        <v/>
      </c>
      <c r="N1893" s="117">
        <f>IF($M1893="THU",$G1893,IF($M1893="CHI",$F1893,""))</f>
        <v/>
      </c>
      <c r="O1893" s="117">
        <f>IF(OR($M1893="",$M1893="NB"),"",IF($J1893&lt;&gt;"",TEXT($J1893,"00"),IFERROR(VLOOKUP(LEFT($N1893,4),LCTT_MAP!$A$7:$C$66,IF($M1893="THU",2,3),FALSE()),IFERROR(VLOOKUP(LEFT($N1893,3),LCTT_MAP!$A$7:$C$66,IF($M1893="THU",2,3),FALSE()),IFERROR(VLOOKUP(LEFT($N1893,2),LCTT_MAP!$A$7:$C$66,IF($M1893="THU",2,3),FALSE()),IFERROR(VLOOKUP(LEFT($N1893,1),LCTT_MAP!$A$7:$C$66,IF($M1893="THU",2,3),FALSE()),IF($M1893="THU","06","07")))))))</f>
        <v/>
      </c>
      <c r="P1893" s="117">
        <f>P1892+IF(AND($H1893&lt;&gt;"",OR(LEFT($F1893,LEN(SC_TK))=SC_TK,LEFT($G1893,LEN(SC_TK))=SC_TK)),1,0)</f>
        <v/>
      </c>
    </row>
    <row r="1894" ht="15" customHeight="1" s="78">
      <c r="A1894" s="95">
        <f>IF($H1894="","",ROW()-6)</f>
        <v/>
      </c>
      <c r="B1894" s="114" t="n"/>
      <c r="C1894" s="102" t="n"/>
      <c r="D1894" s="114" t="n"/>
      <c r="E1894" s="103" t="n"/>
      <c r="F1894" s="102" t="n"/>
      <c r="G1894" s="102" t="n"/>
      <c r="H1894" s="115" t="n"/>
      <c r="I1894" s="102" t="n"/>
      <c r="J1894" s="102" t="n"/>
      <c r="K1894" s="103" t="n"/>
      <c r="L1894" s="116">
        <f>IF($H1894="","",TRIM(IF(COUNTIF(DMTK!$A$7:$A$250,$F1894)=0,"TK Nợ sai! ","")&amp;IF(COUNTIF(DMTK!$A$7:$A$250,$G1894)=0,"TK Có sai! ","")&amp;IF(N($H1894)&lt;=0,"Tiền phải &gt; 0! ","")&amp;IF($B1894="","Thiếu ngày! ","")&amp;IF(AND(OR(LEFT($F1894,3)="131",LEFT($G1894,3)="131",LEFT($F1894,3)="331",LEFT($G1894,3)="331"),$I1894=""),"Thiếu Mã ĐT! ","")&amp;IF(AND($I1894&lt;&gt;"",COUNTIF(DM_DT!$A$7:$A$306,$I1894)=0),"Mã ĐT chưa khai báo! ","")))</f>
        <v/>
      </c>
      <c r="M1894" s="117">
        <f>IF($H1894="","",IF(AND(OR(LEFT($F1894,3)="111",LEFT($F1894,3)="112",LEFT($F1894,3)="113"),OR(LEFT($G1894,3)="111",LEFT($G1894,3)="112",LEFT($G1894,3)="113")),"NB",IF(OR(LEFT($F1894,3)="111",LEFT($F1894,3)="112",LEFT($F1894,3)="113"),"THU",IF(OR(LEFT($G1894,3)="111",LEFT($G1894,3)="112",LEFT($G1894,3)="113"),"CHI",""))))</f>
        <v/>
      </c>
      <c r="N1894" s="117">
        <f>IF($M1894="THU",$G1894,IF($M1894="CHI",$F1894,""))</f>
        <v/>
      </c>
      <c r="O1894" s="117">
        <f>IF(OR($M1894="",$M1894="NB"),"",IF($J1894&lt;&gt;"",TEXT($J1894,"00"),IFERROR(VLOOKUP(LEFT($N1894,4),LCTT_MAP!$A$7:$C$66,IF($M1894="THU",2,3),FALSE()),IFERROR(VLOOKUP(LEFT($N1894,3),LCTT_MAP!$A$7:$C$66,IF($M1894="THU",2,3),FALSE()),IFERROR(VLOOKUP(LEFT($N1894,2),LCTT_MAP!$A$7:$C$66,IF($M1894="THU",2,3),FALSE()),IFERROR(VLOOKUP(LEFT($N1894,1),LCTT_MAP!$A$7:$C$66,IF($M1894="THU",2,3),FALSE()),IF($M1894="THU","06","07")))))))</f>
        <v/>
      </c>
      <c r="P1894" s="117">
        <f>P1893+IF(AND($H1894&lt;&gt;"",OR(LEFT($F1894,LEN(SC_TK))=SC_TK,LEFT($G1894,LEN(SC_TK))=SC_TK)),1,0)</f>
        <v/>
      </c>
    </row>
    <row r="1895" ht="15" customHeight="1" s="78">
      <c r="A1895" s="95">
        <f>IF($H1895="","",ROW()-6)</f>
        <v/>
      </c>
      <c r="B1895" s="114" t="n"/>
      <c r="C1895" s="102" t="n"/>
      <c r="D1895" s="114" t="n"/>
      <c r="E1895" s="103" t="n"/>
      <c r="F1895" s="102" t="n"/>
      <c r="G1895" s="102" t="n"/>
      <c r="H1895" s="115" t="n"/>
      <c r="I1895" s="102" t="n"/>
      <c r="J1895" s="102" t="n"/>
      <c r="K1895" s="103" t="n"/>
      <c r="L1895" s="116">
        <f>IF($H1895="","",TRIM(IF(COUNTIF(DMTK!$A$7:$A$250,$F1895)=0,"TK Nợ sai! ","")&amp;IF(COUNTIF(DMTK!$A$7:$A$250,$G1895)=0,"TK Có sai! ","")&amp;IF(N($H1895)&lt;=0,"Tiền phải &gt; 0! ","")&amp;IF($B1895="","Thiếu ngày! ","")&amp;IF(AND(OR(LEFT($F1895,3)="131",LEFT($G1895,3)="131",LEFT($F1895,3)="331",LEFT($G1895,3)="331"),$I1895=""),"Thiếu Mã ĐT! ","")&amp;IF(AND($I1895&lt;&gt;"",COUNTIF(DM_DT!$A$7:$A$306,$I1895)=0),"Mã ĐT chưa khai báo! ","")))</f>
        <v/>
      </c>
      <c r="M1895" s="117">
        <f>IF($H1895="","",IF(AND(OR(LEFT($F1895,3)="111",LEFT($F1895,3)="112",LEFT($F1895,3)="113"),OR(LEFT($G1895,3)="111",LEFT($G1895,3)="112",LEFT($G1895,3)="113")),"NB",IF(OR(LEFT($F1895,3)="111",LEFT($F1895,3)="112",LEFT($F1895,3)="113"),"THU",IF(OR(LEFT($G1895,3)="111",LEFT($G1895,3)="112",LEFT($G1895,3)="113"),"CHI",""))))</f>
        <v/>
      </c>
      <c r="N1895" s="117">
        <f>IF($M1895="THU",$G1895,IF($M1895="CHI",$F1895,""))</f>
        <v/>
      </c>
      <c r="O1895" s="117">
        <f>IF(OR($M1895="",$M1895="NB"),"",IF($J1895&lt;&gt;"",TEXT($J1895,"00"),IFERROR(VLOOKUP(LEFT($N1895,4),LCTT_MAP!$A$7:$C$66,IF($M1895="THU",2,3),FALSE()),IFERROR(VLOOKUP(LEFT($N1895,3),LCTT_MAP!$A$7:$C$66,IF($M1895="THU",2,3),FALSE()),IFERROR(VLOOKUP(LEFT($N1895,2),LCTT_MAP!$A$7:$C$66,IF($M1895="THU",2,3),FALSE()),IFERROR(VLOOKUP(LEFT($N1895,1),LCTT_MAP!$A$7:$C$66,IF($M1895="THU",2,3),FALSE()),IF($M1895="THU","06","07")))))))</f>
        <v/>
      </c>
      <c r="P1895" s="117">
        <f>P1894+IF(AND($H1895&lt;&gt;"",OR(LEFT($F1895,LEN(SC_TK))=SC_TK,LEFT($G1895,LEN(SC_TK))=SC_TK)),1,0)</f>
        <v/>
      </c>
    </row>
    <row r="1896" ht="15" customHeight="1" s="78">
      <c r="A1896" s="95">
        <f>IF($H1896="","",ROW()-6)</f>
        <v/>
      </c>
      <c r="B1896" s="114" t="n"/>
      <c r="C1896" s="102" t="n"/>
      <c r="D1896" s="114" t="n"/>
      <c r="E1896" s="103" t="n"/>
      <c r="F1896" s="102" t="n"/>
      <c r="G1896" s="102" t="n"/>
      <c r="H1896" s="115" t="n"/>
      <c r="I1896" s="102" t="n"/>
      <c r="J1896" s="102" t="n"/>
      <c r="K1896" s="103" t="n"/>
      <c r="L1896" s="116">
        <f>IF($H1896="","",TRIM(IF(COUNTIF(DMTK!$A$7:$A$250,$F1896)=0,"TK Nợ sai! ","")&amp;IF(COUNTIF(DMTK!$A$7:$A$250,$G1896)=0,"TK Có sai! ","")&amp;IF(N($H1896)&lt;=0,"Tiền phải &gt; 0! ","")&amp;IF($B1896="","Thiếu ngày! ","")&amp;IF(AND(OR(LEFT($F1896,3)="131",LEFT($G1896,3)="131",LEFT($F1896,3)="331",LEFT($G1896,3)="331"),$I1896=""),"Thiếu Mã ĐT! ","")&amp;IF(AND($I1896&lt;&gt;"",COUNTIF(DM_DT!$A$7:$A$306,$I1896)=0),"Mã ĐT chưa khai báo! ","")))</f>
        <v/>
      </c>
      <c r="M1896" s="117">
        <f>IF($H1896="","",IF(AND(OR(LEFT($F1896,3)="111",LEFT($F1896,3)="112",LEFT($F1896,3)="113"),OR(LEFT($G1896,3)="111",LEFT($G1896,3)="112",LEFT($G1896,3)="113")),"NB",IF(OR(LEFT($F1896,3)="111",LEFT($F1896,3)="112",LEFT($F1896,3)="113"),"THU",IF(OR(LEFT($G1896,3)="111",LEFT($G1896,3)="112",LEFT($G1896,3)="113"),"CHI",""))))</f>
        <v/>
      </c>
      <c r="N1896" s="117">
        <f>IF($M1896="THU",$G1896,IF($M1896="CHI",$F1896,""))</f>
        <v/>
      </c>
      <c r="O1896" s="117">
        <f>IF(OR($M1896="",$M1896="NB"),"",IF($J1896&lt;&gt;"",TEXT($J1896,"00"),IFERROR(VLOOKUP(LEFT($N1896,4),LCTT_MAP!$A$7:$C$66,IF($M1896="THU",2,3),FALSE()),IFERROR(VLOOKUP(LEFT($N1896,3),LCTT_MAP!$A$7:$C$66,IF($M1896="THU",2,3),FALSE()),IFERROR(VLOOKUP(LEFT($N1896,2),LCTT_MAP!$A$7:$C$66,IF($M1896="THU",2,3),FALSE()),IFERROR(VLOOKUP(LEFT($N1896,1),LCTT_MAP!$A$7:$C$66,IF($M1896="THU",2,3),FALSE()),IF($M1896="THU","06","07")))))))</f>
        <v/>
      </c>
      <c r="P1896" s="117">
        <f>P1895+IF(AND($H1896&lt;&gt;"",OR(LEFT($F1896,LEN(SC_TK))=SC_TK,LEFT($G1896,LEN(SC_TK))=SC_TK)),1,0)</f>
        <v/>
      </c>
    </row>
    <row r="1897" ht="15" customHeight="1" s="78">
      <c r="A1897" s="95">
        <f>IF($H1897="","",ROW()-6)</f>
        <v/>
      </c>
      <c r="B1897" s="114" t="n"/>
      <c r="C1897" s="102" t="n"/>
      <c r="D1897" s="114" t="n"/>
      <c r="E1897" s="103" t="n"/>
      <c r="F1897" s="102" t="n"/>
      <c r="G1897" s="102" t="n"/>
      <c r="H1897" s="115" t="n"/>
      <c r="I1897" s="102" t="n"/>
      <c r="J1897" s="102" t="n"/>
      <c r="K1897" s="103" t="n"/>
      <c r="L1897" s="116">
        <f>IF($H1897="","",TRIM(IF(COUNTIF(DMTK!$A$7:$A$250,$F1897)=0,"TK Nợ sai! ","")&amp;IF(COUNTIF(DMTK!$A$7:$A$250,$G1897)=0,"TK Có sai! ","")&amp;IF(N($H1897)&lt;=0,"Tiền phải &gt; 0! ","")&amp;IF($B1897="","Thiếu ngày! ","")&amp;IF(AND(OR(LEFT($F1897,3)="131",LEFT($G1897,3)="131",LEFT($F1897,3)="331",LEFT($G1897,3)="331"),$I1897=""),"Thiếu Mã ĐT! ","")&amp;IF(AND($I1897&lt;&gt;"",COUNTIF(DM_DT!$A$7:$A$306,$I1897)=0),"Mã ĐT chưa khai báo! ","")))</f>
        <v/>
      </c>
      <c r="M1897" s="117">
        <f>IF($H1897="","",IF(AND(OR(LEFT($F1897,3)="111",LEFT($F1897,3)="112",LEFT($F1897,3)="113"),OR(LEFT($G1897,3)="111",LEFT($G1897,3)="112",LEFT($G1897,3)="113")),"NB",IF(OR(LEFT($F1897,3)="111",LEFT($F1897,3)="112",LEFT($F1897,3)="113"),"THU",IF(OR(LEFT($G1897,3)="111",LEFT($G1897,3)="112",LEFT($G1897,3)="113"),"CHI",""))))</f>
        <v/>
      </c>
      <c r="N1897" s="117">
        <f>IF($M1897="THU",$G1897,IF($M1897="CHI",$F1897,""))</f>
        <v/>
      </c>
      <c r="O1897" s="117">
        <f>IF(OR($M1897="",$M1897="NB"),"",IF($J1897&lt;&gt;"",TEXT($J1897,"00"),IFERROR(VLOOKUP(LEFT($N1897,4),LCTT_MAP!$A$7:$C$66,IF($M1897="THU",2,3),FALSE()),IFERROR(VLOOKUP(LEFT($N1897,3),LCTT_MAP!$A$7:$C$66,IF($M1897="THU",2,3),FALSE()),IFERROR(VLOOKUP(LEFT($N1897,2),LCTT_MAP!$A$7:$C$66,IF($M1897="THU",2,3),FALSE()),IFERROR(VLOOKUP(LEFT($N1897,1),LCTT_MAP!$A$7:$C$66,IF($M1897="THU",2,3),FALSE()),IF($M1897="THU","06","07")))))))</f>
        <v/>
      </c>
      <c r="P1897" s="117">
        <f>P1896+IF(AND($H1897&lt;&gt;"",OR(LEFT($F1897,LEN(SC_TK))=SC_TK,LEFT($G1897,LEN(SC_TK))=SC_TK)),1,0)</f>
        <v/>
      </c>
    </row>
    <row r="1898" ht="15" customHeight="1" s="78">
      <c r="A1898" s="95">
        <f>IF($H1898="","",ROW()-6)</f>
        <v/>
      </c>
      <c r="B1898" s="114" t="n"/>
      <c r="C1898" s="102" t="n"/>
      <c r="D1898" s="114" t="n"/>
      <c r="E1898" s="103" t="n"/>
      <c r="F1898" s="102" t="n"/>
      <c r="G1898" s="102" t="n"/>
      <c r="H1898" s="115" t="n"/>
      <c r="I1898" s="102" t="n"/>
      <c r="J1898" s="102" t="n"/>
      <c r="K1898" s="103" t="n"/>
      <c r="L1898" s="116">
        <f>IF($H1898="","",TRIM(IF(COUNTIF(DMTK!$A$7:$A$250,$F1898)=0,"TK Nợ sai! ","")&amp;IF(COUNTIF(DMTK!$A$7:$A$250,$G1898)=0,"TK Có sai! ","")&amp;IF(N($H1898)&lt;=0,"Tiền phải &gt; 0! ","")&amp;IF($B1898="","Thiếu ngày! ","")&amp;IF(AND(OR(LEFT($F1898,3)="131",LEFT($G1898,3)="131",LEFT($F1898,3)="331",LEFT($G1898,3)="331"),$I1898=""),"Thiếu Mã ĐT! ","")&amp;IF(AND($I1898&lt;&gt;"",COUNTIF(DM_DT!$A$7:$A$306,$I1898)=0),"Mã ĐT chưa khai báo! ","")))</f>
        <v/>
      </c>
      <c r="M1898" s="117">
        <f>IF($H1898="","",IF(AND(OR(LEFT($F1898,3)="111",LEFT($F1898,3)="112",LEFT($F1898,3)="113"),OR(LEFT($G1898,3)="111",LEFT($G1898,3)="112",LEFT($G1898,3)="113")),"NB",IF(OR(LEFT($F1898,3)="111",LEFT($F1898,3)="112",LEFT($F1898,3)="113"),"THU",IF(OR(LEFT($G1898,3)="111",LEFT($G1898,3)="112",LEFT($G1898,3)="113"),"CHI",""))))</f>
        <v/>
      </c>
      <c r="N1898" s="117">
        <f>IF($M1898="THU",$G1898,IF($M1898="CHI",$F1898,""))</f>
        <v/>
      </c>
      <c r="O1898" s="117">
        <f>IF(OR($M1898="",$M1898="NB"),"",IF($J1898&lt;&gt;"",TEXT($J1898,"00"),IFERROR(VLOOKUP(LEFT($N1898,4),LCTT_MAP!$A$7:$C$66,IF($M1898="THU",2,3),FALSE()),IFERROR(VLOOKUP(LEFT($N1898,3),LCTT_MAP!$A$7:$C$66,IF($M1898="THU",2,3),FALSE()),IFERROR(VLOOKUP(LEFT($N1898,2),LCTT_MAP!$A$7:$C$66,IF($M1898="THU",2,3),FALSE()),IFERROR(VLOOKUP(LEFT($N1898,1),LCTT_MAP!$A$7:$C$66,IF($M1898="THU",2,3),FALSE()),IF($M1898="THU","06","07")))))))</f>
        <v/>
      </c>
      <c r="P1898" s="117">
        <f>P1897+IF(AND($H1898&lt;&gt;"",OR(LEFT($F1898,LEN(SC_TK))=SC_TK,LEFT($G1898,LEN(SC_TK))=SC_TK)),1,0)</f>
        <v/>
      </c>
    </row>
    <row r="1899" ht="15" customHeight="1" s="78">
      <c r="A1899" s="95">
        <f>IF($H1899="","",ROW()-6)</f>
        <v/>
      </c>
      <c r="B1899" s="114" t="n"/>
      <c r="C1899" s="102" t="n"/>
      <c r="D1899" s="114" t="n"/>
      <c r="E1899" s="103" t="n"/>
      <c r="F1899" s="102" t="n"/>
      <c r="G1899" s="102" t="n"/>
      <c r="H1899" s="115" t="n"/>
      <c r="I1899" s="102" t="n"/>
      <c r="J1899" s="102" t="n"/>
      <c r="K1899" s="103" t="n"/>
      <c r="L1899" s="116">
        <f>IF($H1899="","",TRIM(IF(COUNTIF(DMTK!$A$7:$A$250,$F1899)=0,"TK Nợ sai! ","")&amp;IF(COUNTIF(DMTK!$A$7:$A$250,$G1899)=0,"TK Có sai! ","")&amp;IF(N($H1899)&lt;=0,"Tiền phải &gt; 0! ","")&amp;IF($B1899="","Thiếu ngày! ","")&amp;IF(AND(OR(LEFT($F1899,3)="131",LEFT($G1899,3)="131",LEFT($F1899,3)="331",LEFT($G1899,3)="331"),$I1899=""),"Thiếu Mã ĐT! ","")&amp;IF(AND($I1899&lt;&gt;"",COUNTIF(DM_DT!$A$7:$A$306,$I1899)=0),"Mã ĐT chưa khai báo! ","")))</f>
        <v/>
      </c>
      <c r="M1899" s="117">
        <f>IF($H1899="","",IF(AND(OR(LEFT($F1899,3)="111",LEFT($F1899,3)="112",LEFT($F1899,3)="113"),OR(LEFT($G1899,3)="111",LEFT($G1899,3)="112",LEFT($G1899,3)="113")),"NB",IF(OR(LEFT($F1899,3)="111",LEFT($F1899,3)="112",LEFT($F1899,3)="113"),"THU",IF(OR(LEFT($G1899,3)="111",LEFT($G1899,3)="112",LEFT($G1899,3)="113"),"CHI",""))))</f>
        <v/>
      </c>
      <c r="N1899" s="117">
        <f>IF($M1899="THU",$G1899,IF($M1899="CHI",$F1899,""))</f>
        <v/>
      </c>
      <c r="O1899" s="117">
        <f>IF(OR($M1899="",$M1899="NB"),"",IF($J1899&lt;&gt;"",TEXT($J1899,"00"),IFERROR(VLOOKUP(LEFT($N1899,4),LCTT_MAP!$A$7:$C$66,IF($M1899="THU",2,3),FALSE()),IFERROR(VLOOKUP(LEFT($N1899,3),LCTT_MAP!$A$7:$C$66,IF($M1899="THU",2,3),FALSE()),IFERROR(VLOOKUP(LEFT($N1899,2),LCTT_MAP!$A$7:$C$66,IF($M1899="THU",2,3),FALSE()),IFERROR(VLOOKUP(LEFT($N1899,1),LCTT_MAP!$A$7:$C$66,IF($M1899="THU",2,3),FALSE()),IF($M1899="THU","06","07")))))))</f>
        <v/>
      </c>
      <c r="P1899" s="117">
        <f>P1898+IF(AND($H1899&lt;&gt;"",OR(LEFT($F1899,LEN(SC_TK))=SC_TK,LEFT($G1899,LEN(SC_TK))=SC_TK)),1,0)</f>
        <v/>
      </c>
    </row>
    <row r="1900" ht="15" customHeight="1" s="78">
      <c r="A1900" s="95">
        <f>IF($H1900="","",ROW()-6)</f>
        <v/>
      </c>
      <c r="B1900" s="114" t="n"/>
      <c r="C1900" s="102" t="n"/>
      <c r="D1900" s="114" t="n"/>
      <c r="E1900" s="103" t="n"/>
      <c r="F1900" s="102" t="n"/>
      <c r="G1900" s="102" t="n"/>
      <c r="H1900" s="115" t="n"/>
      <c r="I1900" s="102" t="n"/>
      <c r="J1900" s="102" t="n"/>
      <c r="K1900" s="103" t="n"/>
      <c r="L1900" s="116">
        <f>IF($H1900="","",TRIM(IF(COUNTIF(DMTK!$A$7:$A$250,$F1900)=0,"TK Nợ sai! ","")&amp;IF(COUNTIF(DMTK!$A$7:$A$250,$G1900)=0,"TK Có sai! ","")&amp;IF(N($H1900)&lt;=0,"Tiền phải &gt; 0! ","")&amp;IF($B1900="","Thiếu ngày! ","")&amp;IF(AND(OR(LEFT($F1900,3)="131",LEFT($G1900,3)="131",LEFT($F1900,3)="331",LEFT($G1900,3)="331"),$I1900=""),"Thiếu Mã ĐT! ","")&amp;IF(AND($I1900&lt;&gt;"",COUNTIF(DM_DT!$A$7:$A$306,$I1900)=0),"Mã ĐT chưa khai báo! ","")))</f>
        <v/>
      </c>
      <c r="M1900" s="117">
        <f>IF($H1900="","",IF(AND(OR(LEFT($F1900,3)="111",LEFT($F1900,3)="112",LEFT($F1900,3)="113"),OR(LEFT($G1900,3)="111",LEFT($G1900,3)="112",LEFT($G1900,3)="113")),"NB",IF(OR(LEFT($F1900,3)="111",LEFT($F1900,3)="112",LEFT($F1900,3)="113"),"THU",IF(OR(LEFT($G1900,3)="111",LEFT($G1900,3)="112",LEFT($G1900,3)="113"),"CHI",""))))</f>
        <v/>
      </c>
      <c r="N1900" s="117">
        <f>IF($M1900="THU",$G1900,IF($M1900="CHI",$F1900,""))</f>
        <v/>
      </c>
      <c r="O1900" s="117">
        <f>IF(OR($M1900="",$M1900="NB"),"",IF($J1900&lt;&gt;"",TEXT($J1900,"00"),IFERROR(VLOOKUP(LEFT($N1900,4),LCTT_MAP!$A$7:$C$66,IF($M1900="THU",2,3),FALSE()),IFERROR(VLOOKUP(LEFT($N1900,3),LCTT_MAP!$A$7:$C$66,IF($M1900="THU",2,3),FALSE()),IFERROR(VLOOKUP(LEFT($N1900,2),LCTT_MAP!$A$7:$C$66,IF($M1900="THU",2,3),FALSE()),IFERROR(VLOOKUP(LEFT($N1900,1),LCTT_MAP!$A$7:$C$66,IF($M1900="THU",2,3),FALSE()),IF($M1900="THU","06","07")))))))</f>
        <v/>
      </c>
      <c r="P1900" s="117">
        <f>P1899+IF(AND($H1900&lt;&gt;"",OR(LEFT($F1900,LEN(SC_TK))=SC_TK,LEFT($G1900,LEN(SC_TK))=SC_TK)),1,0)</f>
        <v/>
      </c>
    </row>
    <row r="1901" ht="15" customHeight="1" s="78">
      <c r="A1901" s="95">
        <f>IF($H1901="","",ROW()-6)</f>
        <v/>
      </c>
      <c r="B1901" s="114" t="n"/>
      <c r="C1901" s="102" t="n"/>
      <c r="D1901" s="114" t="n"/>
      <c r="E1901" s="103" t="n"/>
      <c r="F1901" s="102" t="n"/>
      <c r="G1901" s="102" t="n"/>
      <c r="H1901" s="115" t="n"/>
      <c r="I1901" s="102" t="n"/>
      <c r="J1901" s="102" t="n"/>
      <c r="K1901" s="103" t="n"/>
      <c r="L1901" s="116">
        <f>IF($H1901="","",TRIM(IF(COUNTIF(DMTK!$A$7:$A$250,$F1901)=0,"TK Nợ sai! ","")&amp;IF(COUNTIF(DMTK!$A$7:$A$250,$G1901)=0,"TK Có sai! ","")&amp;IF(N($H1901)&lt;=0,"Tiền phải &gt; 0! ","")&amp;IF($B1901="","Thiếu ngày! ","")&amp;IF(AND(OR(LEFT($F1901,3)="131",LEFT($G1901,3)="131",LEFT($F1901,3)="331",LEFT($G1901,3)="331"),$I1901=""),"Thiếu Mã ĐT! ","")&amp;IF(AND($I1901&lt;&gt;"",COUNTIF(DM_DT!$A$7:$A$306,$I1901)=0),"Mã ĐT chưa khai báo! ","")))</f>
        <v/>
      </c>
      <c r="M1901" s="117">
        <f>IF($H1901="","",IF(AND(OR(LEFT($F1901,3)="111",LEFT($F1901,3)="112",LEFT($F1901,3)="113"),OR(LEFT($G1901,3)="111",LEFT($G1901,3)="112",LEFT($G1901,3)="113")),"NB",IF(OR(LEFT($F1901,3)="111",LEFT($F1901,3)="112",LEFT($F1901,3)="113"),"THU",IF(OR(LEFT($G1901,3)="111",LEFT($G1901,3)="112",LEFT($G1901,3)="113"),"CHI",""))))</f>
        <v/>
      </c>
      <c r="N1901" s="117">
        <f>IF($M1901="THU",$G1901,IF($M1901="CHI",$F1901,""))</f>
        <v/>
      </c>
      <c r="O1901" s="117">
        <f>IF(OR($M1901="",$M1901="NB"),"",IF($J1901&lt;&gt;"",TEXT($J1901,"00"),IFERROR(VLOOKUP(LEFT($N1901,4),LCTT_MAP!$A$7:$C$66,IF($M1901="THU",2,3),FALSE()),IFERROR(VLOOKUP(LEFT($N1901,3),LCTT_MAP!$A$7:$C$66,IF($M1901="THU",2,3),FALSE()),IFERROR(VLOOKUP(LEFT($N1901,2),LCTT_MAP!$A$7:$C$66,IF($M1901="THU",2,3),FALSE()),IFERROR(VLOOKUP(LEFT($N1901,1),LCTT_MAP!$A$7:$C$66,IF($M1901="THU",2,3),FALSE()),IF($M1901="THU","06","07")))))))</f>
        <v/>
      </c>
      <c r="P1901" s="117">
        <f>P1900+IF(AND($H1901&lt;&gt;"",OR(LEFT($F1901,LEN(SC_TK))=SC_TK,LEFT($G1901,LEN(SC_TK))=SC_TK)),1,0)</f>
        <v/>
      </c>
    </row>
    <row r="1902" ht="15" customHeight="1" s="78">
      <c r="A1902" s="95">
        <f>IF($H1902="","",ROW()-6)</f>
        <v/>
      </c>
      <c r="B1902" s="114" t="n"/>
      <c r="C1902" s="102" t="n"/>
      <c r="D1902" s="114" t="n"/>
      <c r="E1902" s="103" t="n"/>
      <c r="F1902" s="102" t="n"/>
      <c r="G1902" s="102" t="n"/>
      <c r="H1902" s="115" t="n"/>
      <c r="I1902" s="102" t="n"/>
      <c r="J1902" s="102" t="n"/>
      <c r="K1902" s="103" t="n"/>
      <c r="L1902" s="116">
        <f>IF($H1902="","",TRIM(IF(COUNTIF(DMTK!$A$7:$A$250,$F1902)=0,"TK Nợ sai! ","")&amp;IF(COUNTIF(DMTK!$A$7:$A$250,$G1902)=0,"TK Có sai! ","")&amp;IF(N($H1902)&lt;=0,"Tiền phải &gt; 0! ","")&amp;IF($B1902="","Thiếu ngày! ","")&amp;IF(AND(OR(LEFT($F1902,3)="131",LEFT($G1902,3)="131",LEFT($F1902,3)="331",LEFT($G1902,3)="331"),$I1902=""),"Thiếu Mã ĐT! ","")&amp;IF(AND($I1902&lt;&gt;"",COUNTIF(DM_DT!$A$7:$A$306,$I1902)=0),"Mã ĐT chưa khai báo! ","")))</f>
        <v/>
      </c>
      <c r="M1902" s="117">
        <f>IF($H1902="","",IF(AND(OR(LEFT($F1902,3)="111",LEFT($F1902,3)="112",LEFT($F1902,3)="113"),OR(LEFT($G1902,3)="111",LEFT($G1902,3)="112",LEFT($G1902,3)="113")),"NB",IF(OR(LEFT($F1902,3)="111",LEFT($F1902,3)="112",LEFT($F1902,3)="113"),"THU",IF(OR(LEFT($G1902,3)="111",LEFT($G1902,3)="112",LEFT($G1902,3)="113"),"CHI",""))))</f>
        <v/>
      </c>
      <c r="N1902" s="117">
        <f>IF($M1902="THU",$G1902,IF($M1902="CHI",$F1902,""))</f>
        <v/>
      </c>
      <c r="O1902" s="117">
        <f>IF(OR($M1902="",$M1902="NB"),"",IF($J1902&lt;&gt;"",TEXT($J1902,"00"),IFERROR(VLOOKUP(LEFT($N1902,4),LCTT_MAP!$A$7:$C$66,IF($M1902="THU",2,3),FALSE()),IFERROR(VLOOKUP(LEFT($N1902,3),LCTT_MAP!$A$7:$C$66,IF($M1902="THU",2,3),FALSE()),IFERROR(VLOOKUP(LEFT($N1902,2),LCTT_MAP!$A$7:$C$66,IF($M1902="THU",2,3),FALSE()),IFERROR(VLOOKUP(LEFT($N1902,1),LCTT_MAP!$A$7:$C$66,IF($M1902="THU",2,3),FALSE()),IF($M1902="THU","06","07")))))))</f>
        <v/>
      </c>
      <c r="P1902" s="117">
        <f>P1901+IF(AND($H1902&lt;&gt;"",OR(LEFT($F1902,LEN(SC_TK))=SC_TK,LEFT($G1902,LEN(SC_TK))=SC_TK)),1,0)</f>
        <v/>
      </c>
    </row>
    <row r="1903" ht="15" customHeight="1" s="78">
      <c r="A1903" s="95">
        <f>IF($H1903="","",ROW()-6)</f>
        <v/>
      </c>
      <c r="B1903" s="114" t="n"/>
      <c r="C1903" s="102" t="n"/>
      <c r="D1903" s="114" t="n"/>
      <c r="E1903" s="103" t="n"/>
      <c r="F1903" s="102" t="n"/>
      <c r="G1903" s="102" t="n"/>
      <c r="H1903" s="115" t="n"/>
      <c r="I1903" s="102" t="n"/>
      <c r="J1903" s="102" t="n"/>
      <c r="K1903" s="103" t="n"/>
      <c r="L1903" s="116">
        <f>IF($H1903="","",TRIM(IF(COUNTIF(DMTK!$A$7:$A$250,$F1903)=0,"TK Nợ sai! ","")&amp;IF(COUNTIF(DMTK!$A$7:$A$250,$G1903)=0,"TK Có sai! ","")&amp;IF(N($H1903)&lt;=0,"Tiền phải &gt; 0! ","")&amp;IF($B1903="","Thiếu ngày! ","")&amp;IF(AND(OR(LEFT($F1903,3)="131",LEFT($G1903,3)="131",LEFT($F1903,3)="331",LEFT($G1903,3)="331"),$I1903=""),"Thiếu Mã ĐT! ","")&amp;IF(AND($I1903&lt;&gt;"",COUNTIF(DM_DT!$A$7:$A$306,$I1903)=0),"Mã ĐT chưa khai báo! ","")))</f>
        <v/>
      </c>
      <c r="M1903" s="117">
        <f>IF($H1903="","",IF(AND(OR(LEFT($F1903,3)="111",LEFT($F1903,3)="112",LEFT($F1903,3)="113"),OR(LEFT($G1903,3)="111",LEFT($G1903,3)="112",LEFT($G1903,3)="113")),"NB",IF(OR(LEFT($F1903,3)="111",LEFT($F1903,3)="112",LEFT($F1903,3)="113"),"THU",IF(OR(LEFT($G1903,3)="111",LEFT($G1903,3)="112",LEFT($G1903,3)="113"),"CHI",""))))</f>
        <v/>
      </c>
      <c r="N1903" s="117">
        <f>IF($M1903="THU",$G1903,IF($M1903="CHI",$F1903,""))</f>
        <v/>
      </c>
      <c r="O1903" s="117">
        <f>IF(OR($M1903="",$M1903="NB"),"",IF($J1903&lt;&gt;"",TEXT($J1903,"00"),IFERROR(VLOOKUP(LEFT($N1903,4),LCTT_MAP!$A$7:$C$66,IF($M1903="THU",2,3),FALSE()),IFERROR(VLOOKUP(LEFT($N1903,3),LCTT_MAP!$A$7:$C$66,IF($M1903="THU",2,3),FALSE()),IFERROR(VLOOKUP(LEFT($N1903,2),LCTT_MAP!$A$7:$C$66,IF($M1903="THU",2,3),FALSE()),IFERROR(VLOOKUP(LEFT($N1903,1),LCTT_MAP!$A$7:$C$66,IF($M1903="THU",2,3),FALSE()),IF($M1903="THU","06","07")))))))</f>
        <v/>
      </c>
      <c r="P1903" s="117">
        <f>P1902+IF(AND($H1903&lt;&gt;"",OR(LEFT($F1903,LEN(SC_TK))=SC_TK,LEFT($G1903,LEN(SC_TK))=SC_TK)),1,0)</f>
        <v/>
      </c>
    </row>
    <row r="1904" ht="15" customHeight="1" s="78">
      <c r="A1904" s="95">
        <f>IF($H1904="","",ROW()-6)</f>
        <v/>
      </c>
      <c r="B1904" s="114" t="n"/>
      <c r="C1904" s="102" t="n"/>
      <c r="D1904" s="114" t="n"/>
      <c r="E1904" s="103" t="n"/>
      <c r="F1904" s="102" t="n"/>
      <c r="G1904" s="102" t="n"/>
      <c r="H1904" s="115" t="n"/>
      <c r="I1904" s="102" t="n"/>
      <c r="J1904" s="102" t="n"/>
      <c r="K1904" s="103" t="n"/>
      <c r="L1904" s="116">
        <f>IF($H1904="","",TRIM(IF(COUNTIF(DMTK!$A$7:$A$250,$F1904)=0,"TK Nợ sai! ","")&amp;IF(COUNTIF(DMTK!$A$7:$A$250,$G1904)=0,"TK Có sai! ","")&amp;IF(N($H1904)&lt;=0,"Tiền phải &gt; 0! ","")&amp;IF($B1904="","Thiếu ngày! ","")&amp;IF(AND(OR(LEFT($F1904,3)="131",LEFT($G1904,3)="131",LEFT($F1904,3)="331",LEFT($G1904,3)="331"),$I1904=""),"Thiếu Mã ĐT! ","")&amp;IF(AND($I1904&lt;&gt;"",COUNTIF(DM_DT!$A$7:$A$306,$I1904)=0),"Mã ĐT chưa khai báo! ","")))</f>
        <v/>
      </c>
      <c r="M1904" s="117">
        <f>IF($H1904="","",IF(AND(OR(LEFT($F1904,3)="111",LEFT($F1904,3)="112",LEFT($F1904,3)="113"),OR(LEFT($G1904,3)="111",LEFT($G1904,3)="112",LEFT($G1904,3)="113")),"NB",IF(OR(LEFT($F1904,3)="111",LEFT($F1904,3)="112",LEFT($F1904,3)="113"),"THU",IF(OR(LEFT($G1904,3)="111",LEFT($G1904,3)="112",LEFT($G1904,3)="113"),"CHI",""))))</f>
        <v/>
      </c>
      <c r="N1904" s="117">
        <f>IF($M1904="THU",$G1904,IF($M1904="CHI",$F1904,""))</f>
        <v/>
      </c>
      <c r="O1904" s="117">
        <f>IF(OR($M1904="",$M1904="NB"),"",IF($J1904&lt;&gt;"",TEXT($J1904,"00"),IFERROR(VLOOKUP(LEFT($N1904,4),LCTT_MAP!$A$7:$C$66,IF($M1904="THU",2,3),FALSE()),IFERROR(VLOOKUP(LEFT($N1904,3),LCTT_MAP!$A$7:$C$66,IF($M1904="THU",2,3),FALSE()),IFERROR(VLOOKUP(LEFT($N1904,2),LCTT_MAP!$A$7:$C$66,IF($M1904="THU",2,3),FALSE()),IFERROR(VLOOKUP(LEFT($N1904,1),LCTT_MAP!$A$7:$C$66,IF($M1904="THU",2,3),FALSE()),IF($M1904="THU","06","07")))))))</f>
        <v/>
      </c>
      <c r="P1904" s="117">
        <f>P1903+IF(AND($H1904&lt;&gt;"",OR(LEFT($F1904,LEN(SC_TK))=SC_TK,LEFT($G1904,LEN(SC_TK))=SC_TK)),1,0)</f>
        <v/>
      </c>
    </row>
    <row r="1905" ht="15" customHeight="1" s="78">
      <c r="A1905" s="95">
        <f>IF($H1905="","",ROW()-6)</f>
        <v/>
      </c>
      <c r="B1905" s="114" t="n"/>
      <c r="C1905" s="102" t="n"/>
      <c r="D1905" s="114" t="n"/>
      <c r="E1905" s="103" t="n"/>
      <c r="F1905" s="102" t="n"/>
      <c r="G1905" s="102" t="n"/>
      <c r="H1905" s="115" t="n"/>
      <c r="I1905" s="102" t="n"/>
      <c r="J1905" s="102" t="n"/>
      <c r="K1905" s="103" t="n"/>
      <c r="L1905" s="116">
        <f>IF($H1905="","",TRIM(IF(COUNTIF(DMTK!$A$7:$A$250,$F1905)=0,"TK Nợ sai! ","")&amp;IF(COUNTIF(DMTK!$A$7:$A$250,$G1905)=0,"TK Có sai! ","")&amp;IF(N($H1905)&lt;=0,"Tiền phải &gt; 0! ","")&amp;IF($B1905="","Thiếu ngày! ","")&amp;IF(AND(OR(LEFT($F1905,3)="131",LEFT($G1905,3)="131",LEFT($F1905,3)="331",LEFT($G1905,3)="331"),$I1905=""),"Thiếu Mã ĐT! ","")&amp;IF(AND($I1905&lt;&gt;"",COUNTIF(DM_DT!$A$7:$A$306,$I1905)=0),"Mã ĐT chưa khai báo! ","")))</f>
        <v/>
      </c>
      <c r="M1905" s="117">
        <f>IF($H1905="","",IF(AND(OR(LEFT($F1905,3)="111",LEFT($F1905,3)="112",LEFT($F1905,3)="113"),OR(LEFT($G1905,3)="111",LEFT($G1905,3)="112",LEFT($G1905,3)="113")),"NB",IF(OR(LEFT($F1905,3)="111",LEFT($F1905,3)="112",LEFT($F1905,3)="113"),"THU",IF(OR(LEFT($G1905,3)="111",LEFT($G1905,3)="112",LEFT($G1905,3)="113"),"CHI",""))))</f>
        <v/>
      </c>
      <c r="N1905" s="117">
        <f>IF($M1905="THU",$G1905,IF($M1905="CHI",$F1905,""))</f>
        <v/>
      </c>
      <c r="O1905" s="117">
        <f>IF(OR($M1905="",$M1905="NB"),"",IF($J1905&lt;&gt;"",TEXT($J1905,"00"),IFERROR(VLOOKUP(LEFT($N1905,4),LCTT_MAP!$A$7:$C$66,IF($M1905="THU",2,3),FALSE()),IFERROR(VLOOKUP(LEFT($N1905,3),LCTT_MAP!$A$7:$C$66,IF($M1905="THU",2,3),FALSE()),IFERROR(VLOOKUP(LEFT($N1905,2),LCTT_MAP!$A$7:$C$66,IF($M1905="THU",2,3),FALSE()),IFERROR(VLOOKUP(LEFT($N1905,1),LCTT_MAP!$A$7:$C$66,IF($M1905="THU",2,3),FALSE()),IF($M1905="THU","06","07")))))))</f>
        <v/>
      </c>
      <c r="P1905" s="117">
        <f>P1904+IF(AND($H1905&lt;&gt;"",OR(LEFT($F1905,LEN(SC_TK))=SC_TK,LEFT($G1905,LEN(SC_TK))=SC_TK)),1,0)</f>
        <v/>
      </c>
    </row>
    <row r="1906" ht="15" customHeight="1" s="78">
      <c r="A1906" s="95">
        <f>IF($H1906="","",ROW()-6)</f>
        <v/>
      </c>
      <c r="B1906" s="114" t="n"/>
      <c r="C1906" s="102" t="n"/>
      <c r="D1906" s="114" t="n"/>
      <c r="E1906" s="103" t="n"/>
      <c r="F1906" s="102" t="n"/>
      <c r="G1906" s="102" t="n"/>
      <c r="H1906" s="115" t="n"/>
      <c r="I1906" s="102" t="n"/>
      <c r="J1906" s="102" t="n"/>
      <c r="K1906" s="103" t="n"/>
      <c r="L1906" s="116">
        <f>IF($H1906="","",TRIM(IF(COUNTIF(DMTK!$A$7:$A$250,$F1906)=0,"TK Nợ sai! ","")&amp;IF(COUNTIF(DMTK!$A$7:$A$250,$G1906)=0,"TK Có sai! ","")&amp;IF(N($H1906)&lt;=0,"Tiền phải &gt; 0! ","")&amp;IF($B1906="","Thiếu ngày! ","")&amp;IF(AND(OR(LEFT($F1906,3)="131",LEFT($G1906,3)="131",LEFT($F1906,3)="331",LEFT($G1906,3)="331"),$I1906=""),"Thiếu Mã ĐT! ","")&amp;IF(AND($I1906&lt;&gt;"",COUNTIF(DM_DT!$A$7:$A$306,$I1906)=0),"Mã ĐT chưa khai báo! ","")))</f>
        <v/>
      </c>
      <c r="M1906" s="117">
        <f>IF($H1906="","",IF(AND(OR(LEFT($F1906,3)="111",LEFT($F1906,3)="112",LEFT($F1906,3)="113"),OR(LEFT($G1906,3)="111",LEFT($G1906,3)="112",LEFT($G1906,3)="113")),"NB",IF(OR(LEFT($F1906,3)="111",LEFT($F1906,3)="112",LEFT($F1906,3)="113"),"THU",IF(OR(LEFT($G1906,3)="111",LEFT($G1906,3)="112",LEFT($G1906,3)="113"),"CHI",""))))</f>
        <v/>
      </c>
      <c r="N1906" s="117">
        <f>IF($M1906="THU",$G1906,IF($M1906="CHI",$F1906,""))</f>
        <v/>
      </c>
      <c r="O1906" s="117">
        <f>IF(OR($M1906="",$M1906="NB"),"",IF($J1906&lt;&gt;"",TEXT($J1906,"00"),IFERROR(VLOOKUP(LEFT($N1906,4),LCTT_MAP!$A$7:$C$66,IF($M1906="THU",2,3),FALSE()),IFERROR(VLOOKUP(LEFT($N1906,3),LCTT_MAP!$A$7:$C$66,IF($M1906="THU",2,3),FALSE()),IFERROR(VLOOKUP(LEFT($N1906,2),LCTT_MAP!$A$7:$C$66,IF($M1906="THU",2,3),FALSE()),IFERROR(VLOOKUP(LEFT($N1906,1),LCTT_MAP!$A$7:$C$66,IF($M1906="THU",2,3),FALSE()),IF($M1906="THU","06","07")))))))</f>
        <v/>
      </c>
      <c r="P1906" s="117">
        <f>P1905+IF(AND($H1906&lt;&gt;"",OR(LEFT($F1906,LEN(SC_TK))=SC_TK,LEFT($G1906,LEN(SC_TK))=SC_TK)),1,0)</f>
        <v/>
      </c>
    </row>
    <row r="1907" ht="15" customHeight="1" s="78">
      <c r="A1907" s="95">
        <f>IF($H1907="","",ROW()-6)</f>
        <v/>
      </c>
      <c r="B1907" s="114" t="n"/>
      <c r="C1907" s="102" t="n"/>
      <c r="D1907" s="114" t="n"/>
      <c r="E1907" s="103" t="n"/>
      <c r="F1907" s="102" t="n"/>
      <c r="G1907" s="102" t="n"/>
      <c r="H1907" s="115" t="n"/>
      <c r="I1907" s="102" t="n"/>
      <c r="J1907" s="102" t="n"/>
      <c r="K1907" s="103" t="n"/>
      <c r="L1907" s="116">
        <f>IF($H1907="","",TRIM(IF(COUNTIF(DMTK!$A$7:$A$250,$F1907)=0,"TK Nợ sai! ","")&amp;IF(COUNTIF(DMTK!$A$7:$A$250,$G1907)=0,"TK Có sai! ","")&amp;IF(N($H1907)&lt;=0,"Tiền phải &gt; 0! ","")&amp;IF($B1907="","Thiếu ngày! ","")&amp;IF(AND(OR(LEFT($F1907,3)="131",LEFT($G1907,3)="131",LEFT($F1907,3)="331",LEFT($G1907,3)="331"),$I1907=""),"Thiếu Mã ĐT! ","")&amp;IF(AND($I1907&lt;&gt;"",COUNTIF(DM_DT!$A$7:$A$306,$I1907)=0),"Mã ĐT chưa khai báo! ","")))</f>
        <v/>
      </c>
      <c r="M1907" s="117">
        <f>IF($H1907="","",IF(AND(OR(LEFT($F1907,3)="111",LEFT($F1907,3)="112",LEFT($F1907,3)="113"),OR(LEFT($G1907,3)="111",LEFT($G1907,3)="112",LEFT($G1907,3)="113")),"NB",IF(OR(LEFT($F1907,3)="111",LEFT($F1907,3)="112",LEFT($F1907,3)="113"),"THU",IF(OR(LEFT($G1907,3)="111",LEFT($G1907,3)="112",LEFT($G1907,3)="113"),"CHI",""))))</f>
        <v/>
      </c>
      <c r="N1907" s="117">
        <f>IF($M1907="THU",$G1907,IF($M1907="CHI",$F1907,""))</f>
        <v/>
      </c>
      <c r="O1907" s="117">
        <f>IF(OR($M1907="",$M1907="NB"),"",IF($J1907&lt;&gt;"",TEXT($J1907,"00"),IFERROR(VLOOKUP(LEFT($N1907,4),LCTT_MAP!$A$7:$C$66,IF($M1907="THU",2,3),FALSE()),IFERROR(VLOOKUP(LEFT($N1907,3),LCTT_MAP!$A$7:$C$66,IF($M1907="THU",2,3),FALSE()),IFERROR(VLOOKUP(LEFT($N1907,2),LCTT_MAP!$A$7:$C$66,IF($M1907="THU",2,3),FALSE()),IFERROR(VLOOKUP(LEFT($N1907,1),LCTT_MAP!$A$7:$C$66,IF($M1907="THU",2,3),FALSE()),IF($M1907="THU","06","07")))))))</f>
        <v/>
      </c>
      <c r="P1907" s="117">
        <f>P1906+IF(AND($H1907&lt;&gt;"",OR(LEFT($F1907,LEN(SC_TK))=SC_TK,LEFT($G1907,LEN(SC_TK))=SC_TK)),1,0)</f>
        <v/>
      </c>
    </row>
    <row r="1908" ht="15" customHeight="1" s="78">
      <c r="A1908" s="95">
        <f>IF($H1908="","",ROW()-6)</f>
        <v/>
      </c>
      <c r="B1908" s="114" t="n"/>
      <c r="C1908" s="102" t="n"/>
      <c r="D1908" s="114" t="n"/>
      <c r="E1908" s="103" t="n"/>
      <c r="F1908" s="102" t="n"/>
      <c r="G1908" s="102" t="n"/>
      <c r="H1908" s="115" t="n"/>
      <c r="I1908" s="102" t="n"/>
      <c r="J1908" s="102" t="n"/>
      <c r="K1908" s="103" t="n"/>
      <c r="L1908" s="116">
        <f>IF($H1908="","",TRIM(IF(COUNTIF(DMTK!$A$7:$A$250,$F1908)=0,"TK Nợ sai! ","")&amp;IF(COUNTIF(DMTK!$A$7:$A$250,$G1908)=0,"TK Có sai! ","")&amp;IF(N($H1908)&lt;=0,"Tiền phải &gt; 0! ","")&amp;IF($B1908="","Thiếu ngày! ","")&amp;IF(AND(OR(LEFT($F1908,3)="131",LEFT($G1908,3)="131",LEFT($F1908,3)="331",LEFT($G1908,3)="331"),$I1908=""),"Thiếu Mã ĐT! ","")&amp;IF(AND($I1908&lt;&gt;"",COUNTIF(DM_DT!$A$7:$A$306,$I1908)=0),"Mã ĐT chưa khai báo! ","")))</f>
        <v/>
      </c>
      <c r="M1908" s="117">
        <f>IF($H1908="","",IF(AND(OR(LEFT($F1908,3)="111",LEFT($F1908,3)="112",LEFT($F1908,3)="113"),OR(LEFT($G1908,3)="111",LEFT($G1908,3)="112",LEFT($G1908,3)="113")),"NB",IF(OR(LEFT($F1908,3)="111",LEFT($F1908,3)="112",LEFT($F1908,3)="113"),"THU",IF(OR(LEFT($G1908,3)="111",LEFT($G1908,3)="112",LEFT($G1908,3)="113"),"CHI",""))))</f>
        <v/>
      </c>
      <c r="N1908" s="117">
        <f>IF($M1908="THU",$G1908,IF($M1908="CHI",$F1908,""))</f>
        <v/>
      </c>
      <c r="O1908" s="117">
        <f>IF(OR($M1908="",$M1908="NB"),"",IF($J1908&lt;&gt;"",TEXT($J1908,"00"),IFERROR(VLOOKUP(LEFT($N1908,4),LCTT_MAP!$A$7:$C$66,IF($M1908="THU",2,3),FALSE()),IFERROR(VLOOKUP(LEFT($N1908,3),LCTT_MAP!$A$7:$C$66,IF($M1908="THU",2,3),FALSE()),IFERROR(VLOOKUP(LEFT($N1908,2),LCTT_MAP!$A$7:$C$66,IF($M1908="THU",2,3),FALSE()),IFERROR(VLOOKUP(LEFT($N1908,1),LCTT_MAP!$A$7:$C$66,IF($M1908="THU",2,3),FALSE()),IF($M1908="THU","06","07")))))))</f>
        <v/>
      </c>
      <c r="P1908" s="117">
        <f>P1907+IF(AND($H1908&lt;&gt;"",OR(LEFT($F1908,LEN(SC_TK))=SC_TK,LEFT($G1908,LEN(SC_TK))=SC_TK)),1,0)</f>
        <v/>
      </c>
    </row>
    <row r="1909" ht="15" customHeight="1" s="78">
      <c r="A1909" s="95">
        <f>IF($H1909="","",ROW()-6)</f>
        <v/>
      </c>
      <c r="B1909" s="114" t="n"/>
      <c r="C1909" s="102" t="n"/>
      <c r="D1909" s="114" t="n"/>
      <c r="E1909" s="103" t="n"/>
      <c r="F1909" s="102" t="n"/>
      <c r="G1909" s="102" t="n"/>
      <c r="H1909" s="115" t="n"/>
      <c r="I1909" s="102" t="n"/>
      <c r="J1909" s="102" t="n"/>
      <c r="K1909" s="103" t="n"/>
      <c r="L1909" s="116">
        <f>IF($H1909="","",TRIM(IF(COUNTIF(DMTK!$A$7:$A$250,$F1909)=0,"TK Nợ sai! ","")&amp;IF(COUNTIF(DMTK!$A$7:$A$250,$G1909)=0,"TK Có sai! ","")&amp;IF(N($H1909)&lt;=0,"Tiền phải &gt; 0! ","")&amp;IF($B1909="","Thiếu ngày! ","")&amp;IF(AND(OR(LEFT($F1909,3)="131",LEFT($G1909,3)="131",LEFT($F1909,3)="331",LEFT($G1909,3)="331"),$I1909=""),"Thiếu Mã ĐT! ","")&amp;IF(AND($I1909&lt;&gt;"",COUNTIF(DM_DT!$A$7:$A$306,$I1909)=0),"Mã ĐT chưa khai báo! ","")))</f>
        <v/>
      </c>
      <c r="M1909" s="117">
        <f>IF($H1909="","",IF(AND(OR(LEFT($F1909,3)="111",LEFT($F1909,3)="112",LEFT($F1909,3)="113"),OR(LEFT($G1909,3)="111",LEFT($G1909,3)="112",LEFT($G1909,3)="113")),"NB",IF(OR(LEFT($F1909,3)="111",LEFT($F1909,3)="112",LEFT($F1909,3)="113"),"THU",IF(OR(LEFT($G1909,3)="111",LEFT($G1909,3)="112",LEFT($G1909,3)="113"),"CHI",""))))</f>
        <v/>
      </c>
      <c r="N1909" s="117">
        <f>IF($M1909="THU",$G1909,IF($M1909="CHI",$F1909,""))</f>
        <v/>
      </c>
      <c r="O1909" s="117">
        <f>IF(OR($M1909="",$M1909="NB"),"",IF($J1909&lt;&gt;"",TEXT($J1909,"00"),IFERROR(VLOOKUP(LEFT($N1909,4),LCTT_MAP!$A$7:$C$66,IF($M1909="THU",2,3),FALSE()),IFERROR(VLOOKUP(LEFT($N1909,3),LCTT_MAP!$A$7:$C$66,IF($M1909="THU",2,3),FALSE()),IFERROR(VLOOKUP(LEFT($N1909,2),LCTT_MAP!$A$7:$C$66,IF($M1909="THU",2,3),FALSE()),IFERROR(VLOOKUP(LEFT($N1909,1),LCTT_MAP!$A$7:$C$66,IF($M1909="THU",2,3),FALSE()),IF($M1909="THU","06","07")))))))</f>
        <v/>
      </c>
      <c r="P1909" s="117">
        <f>P1908+IF(AND($H1909&lt;&gt;"",OR(LEFT($F1909,LEN(SC_TK))=SC_TK,LEFT($G1909,LEN(SC_TK))=SC_TK)),1,0)</f>
        <v/>
      </c>
    </row>
    <row r="1910" ht="15" customHeight="1" s="78">
      <c r="A1910" s="95">
        <f>IF($H1910="","",ROW()-6)</f>
        <v/>
      </c>
      <c r="B1910" s="114" t="n"/>
      <c r="C1910" s="102" t="n"/>
      <c r="D1910" s="114" t="n"/>
      <c r="E1910" s="103" t="n"/>
      <c r="F1910" s="102" t="n"/>
      <c r="G1910" s="102" t="n"/>
      <c r="H1910" s="115" t="n"/>
      <c r="I1910" s="102" t="n"/>
      <c r="J1910" s="102" t="n"/>
      <c r="K1910" s="103" t="n"/>
      <c r="L1910" s="116">
        <f>IF($H1910="","",TRIM(IF(COUNTIF(DMTK!$A$7:$A$250,$F1910)=0,"TK Nợ sai! ","")&amp;IF(COUNTIF(DMTK!$A$7:$A$250,$G1910)=0,"TK Có sai! ","")&amp;IF(N($H1910)&lt;=0,"Tiền phải &gt; 0! ","")&amp;IF($B1910="","Thiếu ngày! ","")&amp;IF(AND(OR(LEFT($F1910,3)="131",LEFT($G1910,3)="131",LEFT($F1910,3)="331",LEFT($G1910,3)="331"),$I1910=""),"Thiếu Mã ĐT! ","")&amp;IF(AND($I1910&lt;&gt;"",COUNTIF(DM_DT!$A$7:$A$306,$I1910)=0),"Mã ĐT chưa khai báo! ","")))</f>
        <v/>
      </c>
      <c r="M1910" s="117">
        <f>IF($H1910="","",IF(AND(OR(LEFT($F1910,3)="111",LEFT($F1910,3)="112",LEFT($F1910,3)="113"),OR(LEFT($G1910,3)="111",LEFT($G1910,3)="112",LEFT($G1910,3)="113")),"NB",IF(OR(LEFT($F1910,3)="111",LEFT($F1910,3)="112",LEFT($F1910,3)="113"),"THU",IF(OR(LEFT($G1910,3)="111",LEFT($G1910,3)="112",LEFT($G1910,3)="113"),"CHI",""))))</f>
        <v/>
      </c>
      <c r="N1910" s="117">
        <f>IF($M1910="THU",$G1910,IF($M1910="CHI",$F1910,""))</f>
        <v/>
      </c>
      <c r="O1910" s="117">
        <f>IF(OR($M1910="",$M1910="NB"),"",IF($J1910&lt;&gt;"",TEXT($J1910,"00"),IFERROR(VLOOKUP(LEFT($N1910,4),LCTT_MAP!$A$7:$C$66,IF($M1910="THU",2,3),FALSE()),IFERROR(VLOOKUP(LEFT($N1910,3),LCTT_MAP!$A$7:$C$66,IF($M1910="THU",2,3),FALSE()),IFERROR(VLOOKUP(LEFT($N1910,2),LCTT_MAP!$A$7:$C$66,IF($M1910="THU",2,3),FALSE()),IFERROR(VLOOKUP(LEFT($N1910,1),LCTT_MAP!$A$7:$C$66,IF($M1910="THU",2,3),FALSE()),IF($M1910="THU","06","07")))))))</f>
        <v/>
      </c>
      <c r="P1910" s="117">
        <f>P1909+IF(AND($H1910&lt;&gt;"",OR(LEFT($F1910,LEN(SC_TK))=SC_TK,LEFT($G1910,LEN(SC_TK))=SC_TK)),1,0)</f>
        <v/>
      </c>
    </row>
    <row r="1911" ht="15" customHeight="1" s="78">
      <c r="A1911" s="95">
        <f>IF($H1911="","",ROW()-6)</f>
        <v/>
      </c>
      <c r="B1911" s="114" t="n"/>
      <c r="C1911" s="102" t="n"/>
      <c r="D1911" s="114" t="n"/>
      <c r="E1911" s="103" t="n"/>
      <c r="F1911" s="102" t="n"/>
      <c r="G1911" s="102" t="n"/>
      <c r="H1911" s="115" t="n"/>
      <c r="I1911" s="102" t="n"/>
      <c r="J1911" s="102" t="n"/>
      <c r="K1911" s="103" t="n"/>
      <c r="L1911" s="116">
        <f>IF($H1911="","",TRIM(IF(COUNTIF(DMTK!$A$7:$A$250,$F1911)=0,"TK Nợ sai! ","")&amp;IF(COUNTIF(DMTK!$A$7:$A$250,$G1911)=0,"TK Có sai! ","")&amp;IF(N($H1911)&lt;=0,"Tiền phải &gt; 0! ","")&amp;IF($B1911="","Thiếu ngày! ","")&amp;IF(AND(OR(LEFT($F1911,3)="131",LEFT($G1911,3)="131",LEFT($F1911,3)="331",LEFT($G1911,3)="331"),$I1911=""),"Thiếu Mã ĐT! ","")&amp;IF(AND($I1911&lt;&gt;"",COUNTIF(DM_DT!$A$7:$A$306,$I1911)=0),"Mã ĐT chưa khai báo! ","")))</f>
        <v/>
      </c>
      <c r="M1911" s="117">
        <f>IF($H1911="","",IF(AND(OR(LEFT($F1911,3)="111",LEFT($F1911,3)="112",LEFT($F1911,3)="113"),OR(LEFT($G1911,3)="111",LEFT($G1911,3)="112",LEFT($G1911,3)="113")),"NB",IF(OR(LEFT($F1911,3)="111",LEFT($F1911,3)="112",LEFT($F1911,3)="113"),"THU",IF(OR(LEFT($G1911,3)="111",LEFT($G1911,3)="112",LEFT($G1911,3)="113"),"CHI",""))))</f>
        <v/>
      </c>
      <c r="N1911" s="117">
        <f>IF($M1911="THU",$G1911,IF($M1911="CHI",$F1911,""))</f>
        <v/>
      </c>
      <c r="O1911" s="117">
        <f>IF(OR($M1911="",$M1911="NB"),"",IF($J1911&lt;&gt;"",TEXT($J1911,"00"),IFERROR(VLOOKUP(LEFT($N1911,4),LCTT_MAP!$A$7:$C$66,IF($M1911="THU",2,3),FALSE()),IFERROR(VLOOKUP(LEFT($N1911,3),LCTT_MAP!$A$7:$C$66,IF($M1911="THU",2,3),FALSE()),IFERROR(VLOOKUP(LEFT($N1911,2),LCTT_MAP!$A$7:$C$66,IF($M1911="THU",2,3),FALSE()),IFERROR(VLOOKUP(LEFT($N1911,1),LCTT_MAP!$A$7:$C$66,IF($M1911="THU",2,3),FALSE()),IF($M1911="THU","06","07")))))))</f>
        <v/>
      </c>
      <c r="P1911" s="117">
        <f>P1910+IF(AND($H1911&lt;&gt;"",OR(LEFT($F1911,LEN(SC_TK))=SC_TK,LEFT($G1911,LEN(SC_TK))=SC_TK)),1,0)</f>
        <v/>
      </c>
    </row>
    <row r="1912" ht="15" customHeight="1" s="78">
      <c r="A1912" s="95">
        <f>IF($H1912="","",ROW()-6)</f>
        <v/>
      </c>
      <c r="B1912" s="114" t="n"/>
      <c r="C1912" s="102" t="n"/>
      <c r="D1912" s="114" t="n"/>
      <c r="E1912" s="103" t="n"/>
      <c r="F1912" s="102" t="n"/>
      <c r="G1912" s="102" t="n"/>
      <c r="H1912" s="115" t="n"/>
      <c r="I1912" s="102" t="n"/>
      <c r="J1912" s="102" t="n"/>
      <c r="K1912" s="103" t="n"/>
      <c r="L1912" s="116">
        <f>IF($H1912="","",TRIM(IF(COUNTIF(DMTK!$A$7:$A$250,$F1912)=0,"TK Nợ sai! ","")&amp;IF(COUNTIF(DMTK!$A$7:$A$250,$G1912)=0,"TK Có sai! ","")&amp;IF(N($H1912)&lt;=0,"Tiền phải &gt; 0! ","")&amp;IF($B1912="","Thiếu ngày! ","")&amp;IF(AND(OR(LEFT($F1912,3)="131",LEFT($G1912,3)="131",LEFT($F1912,3)="331",LEFT($G1912,3)="331"),$I1912=""),"Thiếu Mã ĐT! ","")&amp;IF(AND($I1912&lt;&gt;"",COUNTIF(DM_DT!$A$7:$A$306,$I1912)=0),"Mã ĐT chưa khai báo! ","")))</f>
        <v/>
      </c>
      <c r="M1912" s="117">
        <f>IF($H1912="","",IF(AND(OR(LEFT($F1912,3)="111",LEFT($F1912,3)="112",LEFT($F1912,3)="113"),OR(LEFT($G1912,3)="111",LEFT($G1912,3)="112",LEFT($G1912,3)="113")),"NB",IF(OR(LEFT($F1912,3)="111",LEFT($F1912,3)="112",LEFT($F1912,3)="113"),"THU",IF(OR(LEFT($G1912,3)="111",LEFT($G1912,3)="112",LEFT($G1912,3)="113"),"CHI",""))))</f>
        <v/>
      </c>
      <c r="N1912" s="117">
        <f>IF($M1912="THU",$G1912,IF($M1912="CHI",$F1912,""))</f>
        <v/>
      </c>
      <c r="O1912" s="117">
        <f>IF(OR($M1912="",$M1912="NB"),"",IF($J1912&lt;&gt;"",TEXT($J1912,"00"),IFERROR(VLOOKUP(LEFT($N1912,4),LCTT_MAP!$A$7:$C$66,IF($M1912="THU",2,3),FALSE()),IFERROR(VLOOKUP(LEFT($N1912,3),LCTT_MAP!$A$7:$C$66,IF($M1912="THU",2,3),FALSE()),IFERROR(VLOOKUP(LEFT($N1912,2),LCTT_MAP!$A$7:$C$66,IF($M1912="THU",2,3),FALSE()),IFERROR(VLOOKUP(LEFT($N1912,1),LCTT_MAP!$A$7:$C$66,IF($M1912="THU",2,3),FALSE()),IF($M1912="THU","06","07")))))))</f>
        <v/>
      </c>
      <c r="P1912" s="117">
        <f>P1911+IF(AND($H1912&lt;&gt;"",OR(LEFT($F1912,LEN(SC_TK))=SC_TK,LEFT($G1912,LEN(SC_TK))=SC_TK)),1,0)</f>
        <v/>
      </c>
    </row>
    <row r="1913" ht="15" customHeight="1" s="78">
      <c r="A1913" s="95">
        <f>IF($H1913="","",ROW()-6)</f>
        <v/>
      </c>
      <c r="B1913" s="114" t="n"/>
      <c r="C1913" s="102" t="n"/>
      <c r="D1913" s="114" t="n"/>
      <c r="E1913" s="103" t="n"/>
      <c r="F1913" s="102" t="n"/>
      <c r="G1913" s="102" t="n"/>
      <c r="H1913" s="115" t="n"/>
      <c r="I1913" s="102" t="n"/>
      <c r="J1913" s="102" t="n"/>
      <c r="K1913" s="103" t="n"/>
      <c r="L1913" s="116">
        <f>IF($H1913="","",TRIM(IF(COUNTIF(DMTK!$A$7:$A$250,$F1913)=0,"TK Nợ sai! ","")&amp;IF(COUNTIF(DMTK!$A$7:$A$250,$G1913)=0,"TK Có sai! ","")&amp;IF(N($H1913)&lt;=0,"Tiền phải &gt; 0! ","")&amp;IF($B1913="","Thiếu ngày! ","")&amp;IF(AND(OR(LEFT($F1913,3)="131",LEFT($G1913,3)="131",LEFT($F1913,3)="331",LEFT($G1913,3)="331"),$I1913=""),"Thiếu Mã ĐT! ","")&amp;IF(AND($I1913&lt;&gt;"",COUNTIF(DM_DT!$A$7:$A$306,$I1913)=0),"Mã ĐT chưa khai báo! ","")))</f>
        <v/>
      </c>
      <c r="M1913" s="117">
        <f>IF($H1913="","",IF(AND(OR(LEFT($F1913,3)="111",LEFT($F1913,3)="112",LEFT($F1913,3)="113"),OR(LEFT($G1913,3)="111",LEFT($G1913,3)="112",LEFT($G1913,3)="113")),"NB",IF(OR(LEFT($F1913,3)="111",LEFT($F1913,3)="112",LEFT($F1913,3)="113"),"THU",IF(OR(LEFT($G1913,3)="111",LEFT($G1913,3)="112",LEFT($G1913,3)="113"),"CHI",""))))</f>
        <v/>
      </c>
      <c r="N1913" s="117">
        <f>IF($M1913="THU",$G1913,IF($M1913="CHI",$F1913,""))</f>
        <v/>
      </c>
      <c r="O1913" s="117">
        <f>IF(OR($M1913="",$M1913="NB"),"",IF($J1913&lt;&gt;"",TEXT($J1913,"00"),IFERROR(VLOOKUP(LEFT($N1913,4),LCTT_MAP!$A$7:$C$66,IF($M1913="THU",2,3),FALSE()),IFERROR(VLOOKUP(LEFT($N1913,3),LCTT_MAP!$A$7:$C$66,IF($M1913="THU",2,3),FALSE()),IFERROR(VLOOKUP(LEFT($N1913,2),LCTT_MAP!$A$7:$C$66,IF($M1913="THU",2,3),FALSE()),IFERROR(VLOOKUP(LEFT($N1913,1),LCTT_MAP!$A$7:$C$66,IF($M1913="THU",2,3),FALSE()),IF($M1913="THU","06","07")))))))</f>
        <v/>
      </c>
      <c r="P1913" s="117">
        <f>P1912+IF(AND($H1913&lt;&gt;"",OR(LEFT($F1913,LEN(SC_TK))=SC_TK,LEFT($G1913,LEN(SC_TK))=SC_TK)),1,0)</f>
        <v/>
      </c>
    </row>
    <row r="1914" ht="15" customHeight="1" s="78">
      <c r="A1914" s="95">
        <f>IF($H1914="","",ROW()-6)</f>
        <v/>
      </c>
      <c r="B1914" s="114" t="n"/>
      <c r="C1914" s="102" t="n"/>
      <c r="D1914" s="114" t="n"/>
      <c r="E1914" s="103" t="n"/>
      <c r="F1914" s="102" t="n"/>
      <c r="G1914" s="102" t="n"/>
      <c r="H1914" s="115" t="n"/>
      <c r="I1914" s="102" t="n"/>
      <c r="J1914" s="102" t="n"/>
      <c r="K1914" s="103" t="n"/>
      <c r="L1914" s="116">
        <f>IF($H1914="","",TRIM(IF(COUNTIF(DMTK!$A$7:$A$250,$F1914)=0,"TK Nợ sai! ","")&amp;IF(COUNTIF(DMTK!$A$7:$A$250,$G1914)=0,"TK Có sai! ","")&amp;IF(N($H1914)&lt;=0,"Tiền phải &gt; 0! ","")&amp;IF($B1914="","Thiếu ngày! ","")&amp;IF(AND(OR(LEFT($F1914,3)="131",LEFT($G1914,3)="131",LEFT($F1914,3)="331",LEFT($G1914,3)="331"),$I1914=""),"Thiếu Mã ĐT! ","")&amp;IF(AND($I1914&lt;&gt;"",COUNTIF(DM_DT!$A$7:$A$306,$I1914)=0),"Mã ĐT chưa khai báo! ","")))</f>
        <v/>
      </c>
      <c r="M1914" s="117">
        <f>IF($H1914="","",IF(AND(OR(LEFT($F1914,3)="111",LEFT($F1914,3)="112",LEFT($F1914,3)="113"),OR(LEFT($G1914,3)="111",LEFT($G1914,3)="112",LEFT($G1914,3)="113")),"NB",IF(OR(LEFT($F1914,3)="111",LEFT($F1914,3)="112",LEFT($F1914,3)="113"),"THU",IF(OR(LEFT($G1914,3)="111",LEFT($G1914,3)="112",LEFT($G1914,3)="113"),"CHI",""))))</f>
        <v/>
      </c>
      <c r="N1914" s="117">
        <f>IF($M1914="THU",$G1914,IF($M1914="CHI",$F1914,""))</f>
        <v/>
      </c>
      <c r="O1914" s="117">
        <f>IF(OR($M1914="",$M1914="NB"),"",IF($J1914&lt;&gt;"",TEXT($J1914,"00"),IFERROR(VLOOKUP(LEFT($N1914,4),LCTT_MAP!$A$7:$C$66,IF($M1914="THU",2,3),FALSE()),IFERROR(VLOOKUP(LEFT($N1914,3),LCTT_MAP!$A$7:$C$66,IF($M1914="THU",2,3),FALSE()),IFERROR(VLOOKUP(LEFT($N1914,2),LCTT_MAP!$A$7:$C$66,IF($M1914="THU",2,3),FALSE()),IFERROR(VLOOKUP(LEFT($N1914,1),LCTT_MAP!$A$7:$C$66,IF($M1914="THU",2,3),FALSE()),IF($M1914="THU","06","07")))))))</f>
        <v/>
      </c>
      <c r="P1914" s="117">
        <f>P1913+IF(AND($H1914&lt;&gt;"",OR(LEFT($F1914,LEN(SC_TK))=SC_TK,LEFT($G1914,LEN(SC_TK))=SC_TK)),1,0)</f>
        <v/>
      </c>
    </row>
    <row r="1915" ht="15" customHeight="1" s="78">
      <c r="A1915" s="95">
        <f>IF($H1915="","",ROW()-6)</f>
        <v/>
      </c>
      <c r="B1915" s="114" t="n"/>
      <c r="C1915" s="102" t="n"/>
      <c r="D1915" s="114" t="n"/>
      <c r="E1915" s="103" t="n"/>
      <c r="F1915" s="102" t="n"/>
      <c r="G1915" s="102" t="n"/>
      <c r="H1915" s="115" t="n"/>
      <c r="I1915" s="102" t="n"/>
      <c r="J1915" s="102" t="n"/>
      <c r="K1915" s="103" t="n"/>
      <c r="L1915" s="116">
        <f>IF($H1915="","",TRIM(IF(COUNTIF(DMTK!$A$7:$A$250,$F1915)=0,"TK Nợ sai! ","")&amp;IF(COUNTIF(DMTK!$A$7:$A$250,$G1915)=0,"TK Có sai! ","")&amp;IF(N($H1915)&lt;=0,"Tiền phải &gt; 0! ","")&amp;IF($B1915="","Thiếu ngày! ","")&amp;IF(AND(OR(LEFT($F1915,3)="131",LEFT($G1915,3)="131",LEFT($F1915,3)="331",LEFT($G1915,3)="331"),$I1915=""),"Thiếu Mã ĐT! ","")&amp;IF(AND($I1915&lt;&gt;"",COUNTIF(DM_DT!$A$7:$A$306,$I1915)=0),"Mã ĐT chưa khai báo! ","")))</f>
        <v/>
      </c>
      <c r="M1915" s="117">
        <f>IF($H1915="","",IF(AND(OR(LEFT($F1915,3)="111",LEFT($F1915,3)="112",LEFT($F1915,3)="113"),OR(LEFT($G1915,3)="111",LEFT($G1915,3)="112",LEFT($G1915,3)="113")),"NB",IF(OR(LEFT($F1915,3)="111",LEFT($F1915,3)="112",LEFT($F1915,3)="113"),"THU",IF(OR(LEFT($G1915,3)="111",LEFT($G1915,3)="112",LEFT($G1915,3)="113"),"CHI",""))))</f>
        <v/>
      </c>
      <c r="N1915" s="117">
        <f>IF($M1915="THU",$G1915,IF($M1915="CHI",$F1915,""))</f>
        <v/>
      </c>
      <c r="O1915" s="117">
        <f>IF(OR($M1915="",$M1915="NB"),"",IF($J1915&lt;&gt;"",TEXT($J1915,"00"),IFERROR(VLOOKUP(LEFT($N1915,4),LCTT_MAP!$A$7:$C$66,IF($M1915="THU",2,3),FALSE()),IFERROR(VLOOKUP(LEFT($N1915,3),LCTT_MAP!$A$7:$C$66,IF($M1915="THU",2,3),FALSE()),IFERROR(VLOOKUP(LEFT($N1915,2),LCTT_MAP!$A$7:$C$66,IF($M1915="THU",2,3),FALSE()),IFERROR(VLOOKUP(LEFT($N1915,1),LCTT_MAP!$A$7:$C$66,IF($M1915="THU",2,3),FALSE()),IF($M1915="THU","06","07")))))))</f>
        <v/>
      </c>
      <c r="P1915" s="117">
        <f>P1914+IF(AND($H1915&lt;&gt;"",OR(LEFT($F1915,LEN(SC_TK))=SC_TK,LEFT($G1915,LEN(SC_TK))=SC_TK)),1,0)</f>
        <v/>
      </c>
    </row>
    <row r="1916" ht="15" customHeight="1" s="78">
      <c r="A1916" s="95">
        <f>IF($H1916="","",ROW()-6)</f>
        <v/>
      </c>
      <c r="B1916" s="114" t="n"/>
      <c r="C1916" s="102" t="n"/>
      <c r="D1916" s="114" t="n"/>
      <c r="E1916" s="103" t="n"/>
      <c r="F1916" s="102" t="n"/>
      <c r="G1916" s="102" t="n"/>
      <c r="H1916" s="115" t="n"/>
      <c r="I1916" s="102" t="n"/>
      <c r="J1916" s="102" t="n"/>
      <c r="K1916" s="103" t="n"/>
      <c r="L1916" s="116">
        <f>IF($H1916="","",TRIM(IF(COUNTIF(DMTK!$A$7:$A$250,$F1916)=0,"TK Nợ sai! ","")&amp;IF(COUNTIF(DMTK!$A$7:$A$250,$G1916)=0,"TK Có sai! ","")&amp;IF(N($H1916)&lt;=0,"Tiền phải &gt; 0! ","")&amp;IF($B1916="","Thiếu ngày! ","")&amp;IF(AND(OR(LEFT($F1916,3)="131",LEFT($G1916,3)="131",LEFT($F1916,3)="331",LEFT($G1916,3)="331"),$I1916=""),"Thiếu Mã ĐT! ","")&amp;IF(AND($I1916&lt;&gt;"",COUNTIF(DM_DT!$A$7:$A$306,$I1916)=0),"Mã ĐT chưa khai báo! ","")))</f>
        <v/>
      </c>
      <c r="M1916" s="117">
        <f>IF($H1916="","",IF(AND(OR(LEFT($F1916,3)="111",LEFT($F1916,3)="112",LEFT($F1916,3)="113"),OR(LEFT($G1916,3)="111",LEFT($G1916,3)="112",LEFT($G1916,3)="113")),"NB",IF(OR(LEFT($F1916,3)="111",LEFT($F1916,3)="112",LEFT($F1916,3)="113"),"THU",IF(OR(LEFT($G1916,3)="111",LEFT($G1916,3)="112",LEFT($G1916,3)="113"),"CHI",""))))</f>
        <v/>
      </c>
      <c r="N1916" s="117">
        <f>IF($M1916="THU",$G1916,IF($M1916="CHI",$F1916,""))</f>
        <v/>
      </c>
      <c r="O1916" s="117">
        <f>IF(OR($M1916="",$M1916="NB"),"",IF($J1916&lt;&gt;"",TEXT($J1916,"00"),IFERROR(VLOOKUP(LEFT($N1916,4),LCTT_MAP!$A$7:$C$66,IF($M1916="THU",2,3),FALSE()),IFERROR(VLOOKUP(LEFT($N1916,3),LCTT_MAP!$A$7:$C$66,IF($M1916="THU",2,3),FALSE()),IFERROR(VLOOKUP(LEFT($N1916,2),LCTT_MAP!$A$7:$C$66,IF($M1916="THU",2,3),FALSE()),IFERROR(VLOOKUP(LEFT($N1916,1),LCTT_MAP!$A$7:$C$66,IF($M1916="THU",2,3),FALSE()),IF($M1916="THU","06","07")))))))</f>
        <v/>
      </c>
      <c r="P1916" s="117">
        <f>P1915+IF(AND($H1916&lt;&gt;"",OR(LEFT($F1916,LEN(SC_TK))=SC_TK,LEFT($G1916,LEN(SC_TK))=SC_TK)),1,0)</f>
        <v/>
      </c>
    </row>
    <row r="1917" ht="15" customHeight="1" s="78">
      <c r="A1917" s="95">
        <f>IF($H1917="","",ROW()-6)</f>
        <v/>
      </c>
      <c r="B1917" s="114" t="n"/>
      <c r="C1917" s="102" t="n"/>
      <c r="D1917" s="114" t="n"/>
      <c r="E1917" s="103" t="n"/>
      <c r="F1917" s="102" t="n"/>
      <c r="G1917" s="102" t="n"/>
      <c r="H1917" s="115" t="n"/>
      <c r="I1917" s="102" t="n"/>
      <c r="J1917" s="102" t="n"/>
      <c r="K1917" s="103" t="n"/>
      <c r="L1917" s="116">
        <f>IF($H1917="","",TRIM(IF(COUNTIF(DMTK!$A$7:$A$250,$F1917)=0,"TK Nợ sai! ","")&amp;IF(COUNTIF(DMTK!$A$7:$A$250,$G1917)=0,"TK Có sai! ","")&amp;IF(N($H1917)&lt;=0,"Tiền phải &gt; 0! ","")&amp;IF($B1917="","Thiếu ngày! ","")&amp;IF(AND(OR(LEFT($F1917,3)="131",LEFT($G1917,3)="131",LEFT($F1917,3)="331",LEFT($G1917,3)="331"),$I1917=""),"Thiếu Mã ĐT! ","")&amp;IF(AND($I1917&lt;&gt;"",COUNTIF(DM_DT!$A$7:$A$306,$I1917)=0),"Mã ĐT chưa khai báo! ","")))</f>
        <v/>
      </c>
      <c r="M1917" s="117">
        <f>IF($H1917="","",IF(AND(OR(LEFT($F1917,3)="111",LEFT($F1917,3)="112",LEFT($F1917,3)="113"),OR(LEFT($G1917,3)="111",LEFT($G1917,3)="112",LEFT($G1917,3)="113")),"NB",IF(OR(LEFT($F1917,3)="111",LEFT($F1917,3)="112",LEFT($F1917,3)="113"),"THU",IF(OR(LEFT($G1917,3)="111",LEFT($G1917,3)="112",LEFT($G1917,3)="113"),"CHI",""))))</f>
        <v/>
      </c>
      <c r="N1917" s="117">
        <f>IF($M1917="THU",$G1917,IF($M1917="CHI",$F1917,""))</f>
        <v/>
      </c>
      <c r="O1917" s="117">
        <f>IF(OR($M1917="",$M1917="NB"),"",IF($J1917&lt;&gt;"",TEXT($J1917,"00"),IFERROR(VLOOKUP(LEFT($N1917,4),LCTT_MAP!$A$7:$C$66,IF($M1917="THU",2,3),FALSE()),IFERROR(VLOOKUP(LEFT($N1917,3),LCTT_MAP!$A$7:$C$66,IF($M1917="THU",2,3),FALSE()),IFERROR(VLOOKUP(LEFT($N1917,2),LCTT_MAP!$A$7:$C$66,IF($M1917="THU",2,3),FALSE()),IFERROR(VLOOKUP(LEFT($N1917,1),LCTT_MAP!$A$7:$C$66,IF($M1917="THU",2,3),FALSE()),IF($M1917="THU","06","07")))))))</f>
        <v/>
      </c>
      <c r="P1917" s="117">
        <f>P1916+IF(AND($H1917&lt;&gt;"",OR(LEFT($F1917,LEN(SC_TK))=SC_TK,LEFT($G1917,LEN(SC_TK))=SC_TK)),1,0)</f>
        <v/>
      </c>
    </row>
    <row r="1918" ht="15" customHeight="1" s="78">
      <c r="A1918" s="95">
        <f>IF($H1918="","",ROW()-6)</f>
        <v/>
      </c>
      <c r="B1918" s="114" t="n"/>
      <c r="C1918" s="102" t="n"/>
      <c r="D1918" s="114" t="n"/>
      <c r="E1918" s="103" t="n"/>
      <c r="F1918" s="102" t="n"/>
      <c r="G1918" s="102" t="n"/>
      <c r="H1918" s="115" t="n"/>
      <c r="I1918" s="102" t="n"/>
      <c r="J1918" s="102" t="n"/>
      <c r="K1918" s="103" t="n"/>
      <c r="L1918" s="116">
        <f>IF($H1918="","",TRIM(IF(COUNTIF(DMTK!$A$7:$A$250,$F1918)=0,"TK Nợ sai! ","")&amp;IF(COUNTIF(DMTK!$A$7:$A$250,$G1918)=0,"TK Có sai! ","")&amp;IF(N($H1918)&lt;=0,"Tiền phải &gt; 0! ","")&amp;IF($B1918="","Thiếu ngày! ","")&amp;IF(AND(OR(LEFT($F1918,3)="131",LEFT($G1918,3)="131",LEFT($F1918,3)="331",LEFT($G1918,3)="331"),$I1918=""),"Thiếu Mã ĐT! ","")&amp;IF(AND($I1918&lt;&gt;"",COUNTIF(DM_DT!$A$7:$A$306,$I1918)=0),"Mã ĐT chưa khai báo! ","")))</f>
        <v/>
      </c>
      <c r="M1918" s="117">
        <f>IF($H1918="","",IF(AND(OR(LEFT($F1918,3)="111",LEFT($F1918,3)="112",LEFT($F1918,3)="113"),OR(LEFT($G1918,3)="111",LEFT($G1918,3)="112",LEFT($G1918,3)="113")),"NB",IF(OR(LEFT($F1918,3)="111",LEFT($F1918,3)="112",LEFT($F1918,3)="113"),"THU",IF(OR(LEFT($G1918,3)="111",LEFT($G1918,3)="112",LEFT($G1918,3)="113"),"CHI",""))))</f>
        <v/>
      </c>
      <c r="N1918" s="117">
        <f>IF($M1918="THU",$G1918,IF($M1918="CHI",$F1918,""))</f>
        <v/>
      </c>
      <c r="O1918" s="117">
        <f>IF(OR($M1918="",$M1918="NB"),"",IF($J1918&lt;&gt;"",TEXT($J1918,"00"),IFERROR(VLOOKUP(LEFT($N1918,4),LCTT_MAP!$A$7:$C$66,IF($M1918="THU",2,3),FALSE()),IFERROR(VLOOKUP(LEFT($N1918,3),LCTT_MAP!$A$7:$C$66,IF($M1918="THU",2,3),FALSE()),IFERROR(VLOOKUP(LEFT($N1918,2),LCTT_MAP!$A$7:$C$66,IF($M1918="THU",2,3),FALSE()),IFERROR(VLOOKUP(LEFT($N1918,1),LCTT_MAP!$A$7:$C$66,IF($M1918="THU",2,3),FALSE()),IF($M1918="THU","06","07")))))))</f>
        <v/>
      </c>
      <c r="P1918" s="117">
        <f>P1917+IF(AND($H1918&lt;&gt;"",OR(LEFT($F1918,LEN(SC_TK))=SC_TK,LEFT($G1918,LEN(SC_TK))=SC_TK)),1,0)</f>
        <v/>
      </c>
    </row>
    <row r="1919" ht="15" customHeight="1" s="78">
      <c r="A1919" s="95">
        <f>IF($H1919="","",ROW()-6)</f>
        <v/>
      </c>
      <c r="B1919" s="114" t="n"/>
      <c r="C1919" s="102" t="n"/>
      <c r="D1919" s="114" t="n"/>
      <c r="E1919" s="103" t="n"/>
      <c r="F1919" s="102" t="n"/>
      <c r="G1919" s="102" t="n"/>
      <c r="H1919" s="115" t="n"/>
      <c r="I1919" s="102" t="n"/>
      <c r="J1919" s="102" t="n"/>
      <c r="K1919" s="103" t="n"/>
      <c r="L1919" s="116">
        <f>IF($H1919="","",TRIM(IF(COUNTIF(DMTK!$A$7:$A$250,$F1919)=0,"TK Nợ sai! ","")&amp;IF(COUNTIF(DMTK!$A$7:$A$250,$G1919)=0,"TK Có sai! ","")&amp;IF(N($H1919)&lt;=0,"Tiền phải &gt; 0! ","")&amp;IF($B1919="","Thiếu ngày! ","")&amp;IF(AND(OR(LEFT($F1919,3)="131",LEFT($G1919,3)="131",LEFT($F1919,3)="331",LEFT($G1919,3)="331"),$I1919=""),"Thiếu Mã ĐT! ","")&amp;IF(AND($I1919&lt;&gt;"",COUNTIF(DM_DT!$A$7:$A$306,$I1919)=0),"Mã ĐT chưa khai báo! ","")))</f>
        <v/>
      </c>
      <c r="M1919" s="117">
        <f>IF($H1919="","",IF(AND(OR(LEFT($F1919,3)="111",LEFT($F1919,3)="112",LEFT($F1919,3)="113"),OR(LEFT($G1919,3)="111",LEFT($G1919,3)="112",LEFT($G1919,3)="113")),"NB",IF(OR(LEFT($F1919,3)="111",LEFT($F1919,3)="112",LEFT($F1919,3)="113"),"THU",IF(OR(LEFT($G1919,3)="111",LEFT($G1919,3)="112",LEFT($G1919,3)="113"),"CHI",""))))</f>
        <v/>
      </c>
      <c r="N1919" s="117">
        <f>IF($M1919="THU",$G1919,IF($M1919="CHI",$F1919,""))</f>
        <v/>
      </c>
      <c r="O1919" s="117">
        <f>IF(OR($M1919="",$M1919="NB"),"",IF($J1919&lt;&gt;"",TEXT($J1919,"00"),IFERROR(VLOOKUP(LEFT($N1919,4),LCTT_MAP!$A$7:$C$66,IF($M1919="THU",2,3),FALSE()),IFERROR(VLOOKUP(LEFT($N1919,3),LCTT_MAP!$A$7:$C$66,IF($M1919="THU",2,3),FALSE()),IFERROR(VLOOKUP(LEFT($N1919,2),LCTT_MAP!$A$7:$C$66,IF($M1919="THU",2,3),FALSE()),IFERROR(VLOOKUP(LEFT($N1919,1),LCTT_MAP!$A$7:$C$66,IF($M1919="THU",2,3),FALSE()),IF($M1919="THU","06","07")))))))</f>
        <v/>
      </c>
      <c r="P1919" s="117">
        <f>P1918+IF(AND($H1919&lt;&gt;"",OR(LEFT($F1919,LEN(SC_TK))=SC_TK,LEFT($G1919,LEN(SC_TK))=SC_TK)),1,0)</f>
        <v/>
      </c>
    </row>
    <row r="1920" ht="15" customHeight="1" s="78">
      <c r="A1920" s="95">
        <f>IF($H1920="","",ROW()-6)</f>
        <v/>
      </c>
      <c r="B1920" s="114" t="n"/>
      <c r="C1920" s="102" t="n"/>
      <c r="D1920" s="114" t="n"/>
      <c r="E1920" s="103" t="n"/>
      <c r="F1920" s="102" t="n"/>
      <c r="G1920" s="102" t="n"/>
      <c r="H1920" s="115" t="n"/>
      <c r="I1920" s="102" t="n"/>
      <c r="J1920" s="102" t="n"/>
      <c r="K1920" s="103" t="n"/>
      <c r="L1920" s="116">
        <f>IF($H1920="","",TRIM(IF(COUNTIF(DMTK!$A$7:$A$250,$F1920)=0,"TK Nợ sai! ","")&amp;IF(COUNTIF(DMTK!$A$7:$A$250,$G1920)=0,"TK Có sai! ","")&amp;IF(N($H1920)&lt;=0,"Tiền phải &gt; 0! ","")&amp;IF($B1920="","Thiếu ngày! ","")&amp;IF(AND(OR(LEFT($F1920,3)="131",LEFT($G1920,3)="131",LEFT($F1920,3)="331",LEFT($G1920,3)="331"),$I1920=""),"Thiếu Mã ĐT! ","")&amp;IF(AND($I1920&lt;&gt;"",COUNTIF(DM_DT!$A$7:$A$306,$I1920)=0),"Mã ĐT chưa khai báo! ","")))</f>
        <v/>
      </c>
      <c r="M1920" s="117">
        <f>IF($H1920="","",IF(AND(OR(LEFT($F1920,3)="111",LEFT($F1920,3)="112",LEFT($F1920,3)="113"),OR(LEFT($G1920,3)="111",LEFT($G1920,3)="112",LEFT($G1920,3)="113")),"NB",IF(OR(LEFT($F1920,3)="111",LEFT($F1920,3)="112",LEFT($F1920,3)="113"),"THU",IF(OR(LEFT($G1920,3)="111",LEFT($G1920,3)="112",LEFT($G1920,3)="113"),"CHI",""))))</f>
        <v/>
      </c>
      <c r="N1920" s="117">
        <f>IF($M1920="THU",$G1920,IF($M1920="CHI",$F1920,""))</f>
        <v/>
      </c>
      <c r="O1920" s="117">
        <f>IF(OR($M1920="",$M1920="NB"),"",IF($J1920&lt;&gt;"",TEXT($J1920,"00"),IFERROR(VLOOKUP(LEFT($N1920,4),LCTT_MAP!$A$7:$C$66,IF($M1920="THU",2,3),FALSE()),IFERROR(VLOOKUP(LEFT($N1920,3),LCTT_MAP!$A$7:$C$66,IF($M1920="THU",2,3),FALSE()),IFERROR(VLOOKUP(LEFT($N1920,2),LCTT_MAP!$A$7:$C$66,IF($M1920="THU",2,3),FALSE()),IFERROR(VLOOKUP(LEFT($N1920,1),LCTT_MAP!$A$7:$C$66,IF($M1920="THU",2,3),FALSE()),IF($M1920="THU","06","07")))))))</f>
        <v/>
      </c>
      <c r="P1920" s="117">
        <f>P1919+IF(AND($H1920&lt;&gt;"",OR(LEFT($F1920,LEN(SC_TK))=SC_TK,LEFT($G1920,LEN(SC_TK))=SC_TK)),1,0)</f>
        <v/>
      </c>
    </row>
    <row r="1921" ht="15" customHeight="1" s="78">
      <c r="A1921" s="95">
        <f>IF($H1921="","",ROW()-6)</f>
        <v/>
      </c>
      <c r="B1921" s="114" t="n"/>
      <c r="C1921" s="102" t="n"/>
      <c r="D1921" s="114" t="n"/>
      <c r="E1921" s="103" t="n"/>
      <c r="F1921" s="102" t="n"/>
      <c r="G1921" s="102" t="n"/>
      <c r="H1921" s="115" t="n"/>
      <c r="I1921" s="102" t="n"/>
      <c r="J1921" s="102" t="n"/>
      <c r="K1921" s="103" t="n"/>
      <c r="L1921" s="116">
        <f>IF($H1921="","",TRIM(IF(COUNTIF(DMTK!$A$7:$A$250,$F1921)=0,"TK Nợ sai! ","")&amp;IF(COUNTIF(DMTK!$A$7:$A$250,$G1921)=0,"TK Có sai! ","")&amp;IF(N($H1921)&lt;=0,"Tiền phải &gt; 0! ","")&amp;IF($B1921="","Thiếu ngày! ","")&amp;IF(AND(OR(LEFT($F1921,3)="131",LEFT($G1921,3)="131",LEFT($F1921,3)="331",LEFT($G1921,3)="331"),$I1921=""),"Thiếu Mã ĐT! ","")&amp;IF(AND($I1921&lt;&gt;"",COUNTIF(DM_DT!$A$7:$A$306,$I1921)=0),"Mã ĐT chưa khai báo! ","")))</f>
        <v/>
      </c>
      <c r="M1921" s="117">
        <f>IF($H1921="","",IF(AND(OR(LEFT($F1921,3)="111",LEFT($F1921,3)="112",LEFT($F1921,3)="113"),OR(LEFT($G1921,3)="111",LEFT($G1921,3)="112",LEFT($G1921,3)="113")),"NB",IF(OR(LEFT($F1921,3)="111",LEFT($F1921,3)="112",LEFT($F1921,3)="113"),"THU",IF(OR(LEFT($G1921,3)="111",LEFT($G1921,3)="112",LEFT($G1921,3)="113"),"CHI",""))))</f>
        <v/>
      </c>
      <c r="N1921" s="117">
        <f>IF($M1921="THU",$G1921,IF($M1921="CHI",$F1921,""))</f>
        <v/>
      </c>
      <c r="O1921" s="117">
        <f>IF(OR($M1921="",$M1921="NB"),"",IF($J1921&lt;&gt;"",TEXT($J1921,"00"),IFERROR(VLOOKUP(LEFT($N1921,4),LCTT_MAP!$A$7:$C$66,IF($M1921="THU",2,3),FALSE()),IFERROR(VLOOKUP(LEFT($N1921,3),LCTT_MAP!$A$7:$C$66,IF($M1921="THU",2,3),FALSE()),IFERROR(VLOOKUP(LEFT($N1921,2),LCTT_MAP!$A$7:$C$66,IF($M1921="THU",2,3),FALSE()),IFERROR(VLOOKUP(LEFT($N1921,1),LCTT_MAP!$A$7:$C$66,IF($M1921="THU",2,3),FALSE()),IF($M1921="THU","06","07")))))))</f>
        <v/>
      </c>
      <c r="P1921" s="117">
        <f>P1920+IF(AND($H1921&lt;&gt;"",OR(LEFT($F1921,LEN(SC_TK))=SC_TK,LEFT($G1921,LEN(SC_TK))=SC_TK)),1,0)</f>
        <v/>
      </c>
    </row>
    <row r="1922" ht="15" customHeight="1" s="78">
      <c r="A1922" s="95">
        <f>IF($H1922="","",ROW()-6)</f>
        <v/>
      </c>
      <c r="B1922" s="114" t="n"/>
      <c r="C1922" s="102" t="n"/>
      <c r="D1922" s="114" t="n"/>
      <c r="E1922" s="103" t="n"/>
      <c r="F1922" s="102" t="n"/>
      <c r="G1922" s="102" t="n"/>
      <c r="H1922" s="115" t="n"/>
      <c r="I1922" s="102" t="n"/>
      <c r="J1922" s="102" t="n"/>
      <c r="K1922" s="103" t="n"/>
      <c r="L1922" s="116">
        <f>IF($H1922="","",TRIM(IF(COUNTIF(DMTK!$A$7:$A$250,$F1922)=0,"TK Nợ sai! ","")&amp;IF(COUNTIF(DMTK!$A$7:$A$250,$G1922)=0,"TK Có sai! ","")&amp;IF(N($H1922)&lt;=0,"Tiền phải &gt; 0! ","")&amp;IF($B1922="","Thiếu ngày! ","")&amp;IF(AND(OR(LEFT($F1922,3)="131",LEFT($G1922,3)="131",LEFT($F1922,3)="331",LEFT($G1922,3)="331"),$I1922=""),"Thiếu Mã ĐT! ","")&amp;IF(AND($I1922&lt;&gt;"",COUNTIF(DM_DT!$A$7:$A$306,$I1922)=0),"Mã ĐT chưa khai báo! ","")))</f>
        <v/>
      </c>
      <c r="M1922" s="117">
        <f>IF($H1922="","",IF(AND(OR(LEFT($F1922,3)="111",LEFT($F1922,3)="112",LEFT($F1922,3)="113"),OR(LEFT($G1922,3)="111",LEFT($G1922,3)="112",LEFT($G1922,3)="113")),"NB",IF(OR(LEFT($F1922,3)="111",LEFT($F1922,3)="112",LEFT($F1922,3)="113"),"THU",IF(OR(LEFT($G1922,3)="111",LEFT($G1922,3)="112",LEFT($G1922,3)="113"),"CHI",""))))</f>
        <v/>
      </c>
      <c r="N1922" s="117">
        <f>IF($M1922="THU",$G1922,IF($M1922="CHI",$F1922,""))</f>
        <v/>
      </c>
      <c r="O1922" s="117">
        <f>IF(OR($M1922="",$M1922="NB"),"",IF($J1922&lt;&gt;"",TEXT($J1922,"00"),IFERROR(VLOOKUP(LEFT($N1922,4),LCTT_MAP!$A$7:$C$66,IF($M1922="THU",2,3),FALSE()),IFERROR(VLOOKUP(LEFT($N1922,3),LCTT_MAP!$A$7:$C$66,IF($M1922="THU",2,3),FALSE()),IFERROR(VLOOKUP(LEFT($N1922,2),LCTT_MAP!$A$7:$C$66,IF($M1922="THU",2,3),FALSE()),IFERROR(VLOOKUP(LEFT($N1922,1),LCTT_MAP!$A$7:$C$66,IF($M1922="THU",2,3),FALSE()),IF($M1922="THU","06","07")))))))</f>
        <v/>
      </c>
      <c r="P1922" s="117">
        <f>P1921+IF(AND($H1922&lt;&gt;"",OR(LEFT($F1922,LEN(SC_TK))=SC_TK,LEFT($G1922,LEN(SC_TK))=SC_TK)),1,0)</f>
        <v/>
      </c>
    </row>
    <row r="1923" ht="15" customHeight="1" s="78">
      <c r="A1923" s="95">
        <f>IF($H1923="","",ROW()-6)</f>
        <v/>
      </c>
      <c r="B1923" s="114" t="n"/>
      <c r="C1923" s="102" t="n"/>
      <c r="D1923" s="114" t="n"/>
      <c r="E1923" s="103" t="n"/>
      <c r="F1923" s="102" t="n"/>
      <c r="G1923" s="102" t="n"/>
      <c r="H1923" s="115" t="n"/>
      <c r="I1923" s="102" t="n"/>
      <c r="J1923" s="102" t="n"/>
      <c r="K1923" s="103" t="n"/>
      <c r="L1923" s="116">
        <f>IF($H1923="","",TRIM(IF(COUNTIF(DMTK!$A$7:$A$250,$F1923)=0,"TK Nợ sai! ","")&amp;IF(COUNTIF(DMTK!$A$7:$A$250,$G1923)=0,"TK Có sai! ","")&amp;IF(N($H1923)&lt;=0,"Tiền phải &gt; 0! ","")&amp;IF($B1923="","Thiếu ngày! ","")&amp;IF(AND(OR(LEFT($F1923,3)="131",LEFT($G1923,3)="131",LEFT($F1923,3)="331",LEFT($G1923,3)="331"),$I1923=""),"Thiếu Mã ĐT! ","")&amp;IF(AND($I1923&lt;&gt;"",COUNTIF(DM_DT!$A$7:$A$306,$I1923)=0),"Mã ĐT chưa khai báo! ","")))</f>
        <v/>
      </c>
      <c r="M1923" s="117">
        <f>IF($H1923="","",IF(AND(OR(LEFT($F1923,3)="111",LEFT($F1923,3)="112",LEFT($F1923,3)="113"),OR(LEFT($G1923,3)="111",LEFT($G1923,3)="112",LEFT($G1923,3)="113")),"NB",IF(OR(LEFT($F1923,3)="111",LEFT($F1923,3)="112",LEFT($F1923,3)="113"),"THU",IF(OR(LEFT($G1923,3)="111",LEFT($G1923,3)="112",LEFT($G1923,3)="113"),"CHI",""))))</f>
        <v/>
      </c>
      <c r="N1923" s="117">
        <f>IF($M1923="THU",$G1923,IF($M1923="CHI",$F1923,""))</f>
        <v/>
      </c>
      <c r="O1923" s="117">
        <f>IF(OR($M1923="",$M1923="NB"),"",IF($J1923&lt;&gt;"",TEXT($J1923,"00"),IFERROR(VLOOKUP(LEFT($N1923,4),LCTT_MAP!$A$7:$C$66,IF($M1923="THU",2,3),FALSE()),IFERROR(VLOOKUP(LEFT($N1923,3),LCTT_MAP!$A$7:$C$66,IF($M1923="THU",2,3),FALSE()),IFERROR(VLOOKUP(LEFT($N1923,2),LCTT_MAP!$A$7:$C$66,IF($M1923="THU",2,3),FALSE()),IFERROR(VLOOKUP(LEFT($N1923,1),LCTT_MAP!$A$7:$C$66,IF($M1923="THU",2,3),FALSE()),IF($M1923="THU","06","07")))))))</f>
        <v/>
      </c>
      <c r="P1923" s="117">
        <f>P1922+IF(AND($H1923&lt;&gt;"",OR(LEFT($F1923,LEN(SC_TK))=SC_TK,LEFT($G1923,LEN(SC_TK))=SC_TK)),1,0)</f>
        <v/>
      </c>
    </row>
    <row r="1924" ht="15" customHeight="1" s="78">
      <c r="A1924" s="95">
        <f>IF($H1924="","",ROW()-6)</f>
        <v/>
      </c>
      <c r="B1924" s="114" t="n"/>
      <c r="C1924" s="102" t="n"/>
      <c r="D1924" s="114" t="n"/>
      <c r="E1924" s="103" t="n"/>
      <c r="F1924" s="102" t="n"/>
      <c r="G1924" s="102" t="n"/>
      <c r="H1924" s="115" t="n"/>
      <c r="I1924" s="102" t="n"/>
      <c r="J1924" s="102" t="n"/>
      <c r="K1924" s="103" t="n"/>
      <c r="L1924" s="116">
        <f>IF($H1924="","",TRIM(IF(COUNTIF(DMTK!$A$7:$A$250,$F1924)=0,"TK Nợ sai! ","")&amp;IF(COUNTIF(DMTK!$A$7:$A$250,$G1924)=0,"TK Có sai! ","")&amp;IF(N($H1924)&lt;=0,"Tiền phải &gt; 0! ","")&amp;IF($B1924="","Thiếu ngày! ","")&amp;IF(AND(OR(LEFT($F1924,3)="131",LEFT($G1924,3)="131",LEFT($F1924,3)="331",LEFT($G1924,3)="331"),$I1924=""),"Thiếu Mã ĐT! ","")&amp;IF(AND($I1924&lt;&gt;"",COUNTIF(DM_DT!$A$7:$A$306,$I1924)=0),"Mã ĐT chưa khai báo! ","")))</f>
        <v/>
      </c>
      <c r="M1924" s="117">
        <f>IF($H1924="","",IF(AND(OR(LEFT($F1924,3)="111",LEFT($F1924,3)="112",LEFT($F1924,3)="113"),OR(LEFT($G1924,3)="111",LEFT($G1924,3)="112",LEFT($G1924,3)="113")),"NB",IF(OR(LEFT($F1924,3)="111",LEFT($F1924,3)="112",LEFT($F1924,3)="113"),"THU",IF(OR(LEFT($G1924,3)="111",LEFT($G1924,3)="112",LEFT($G1924,3)="113"),"CHI",""))))</f>
        <v/>
      </c>
      <c r="N1924" s="117">
        <f>IF($M1924="THU",$G1924,IF($M1924="CHI",$F1924,""))</f>
        <v/>
      </c>
      <c r="O1924" s="117">
        <f>IF(OR($M1924="",$M1924="NB"),"",IF($J1924&lt;&gt;"",TEXT($J1924,"00"),IFERROR(VLOOKUP(LEFT($N1924,4),LCTT_MAP!$A$7:$C$66,IF($M1924="THU",2,3),FALSE()),IFERROR(VLOOKUP(LEFT($N1924,3),LCTT_MAP!$A$7:$C$66,IF($M1924="THU",2,3),FALSE()),IFERROR(VLOOKUP(LEFT($N1924,2),LCTT_MAP!$A$7:$C$66,IF($M1924="THU",2,3),FALSE()),IFERROR(VLOOKUP(LEFT($N1924,1),LCTT_MAP!$A$7:$C$66,IF($M1924="THU",2,3),FALSE()),IF($M1924="THU","06","07")))))))</f>
        <v/>
      </c>
      <c r="P1924" s="117">
        <f>P1923+IF(AND($H1924&lt;&gt;"",OR(LEFT($F1924,LEN(SC_TK))=SC_TK,LEFT($G1924,LEN(SC_TK))=SC_TK)),1,0)</f>
        <v/>
      </c>
    </row>
    <row r="1925" ht="15" customHeight="1" s="78">
      <c r="A1925" s="95">
        <f>IF($H1925="","",ROW()-6)</f>
        <v/>
      </c>
      <c r="B1925" s="114" t="n"/>
      <c r="C1925" s="102" t="n"/>
      <c r="D1925" s="114" t="n"/>
      <c r="E1925" s="103" t="n"/>
      <c r="F1925" s="102" t="n"/>
      <c r="G1925" s="102" t="n"/>
      <c r="H1925" s="115" t="n"/>
      <c r="I1925" s="102" t="n"/>
      <c r="J1925" s="102" t="n"/>
      <c r="K1925" s="103" t="n"/>
      <c r="L1925" s="116">
        <f>IF($H1925="","",TRIM(IF(COUNTIF(DMTK!$A$7:$A$250,$F1925)=0,"TK Nợ sai! ","")&amp;IF(COUNTIF(DMTK!$A$7:$A$250,$G1925)=0,"TK Có sai! ","")&amp;IF(N($H1925)&lt;=0,"Tiền phải &gt; 0! ","")&amp;IF($B1925="","Thiếu ngày! ","")&amp;IF(AND(OR(LEFT($F1925,3)="131",LEFT($G1925,3)="131",LEFT($F1925,3)="331",LEFT($G1925,3)="331"),$I1925=""),"Thiếu Mã ĐT! ","")&amp;IF(AND($I1925&lt;&gt;"",COUNTIF(DM_DT!$A$7:$A$306,$I1925)=0),"Mã ĐT chưa khai báo! ","")))</f>
        <v/>
      </c>
      <c r="M1925" s="117">
        <f>IF($H1925="","",IF(AND(OR(LEFT($F1925,3)="111",LEFT($F1925,3)="112",LEFT($F1925,3)="113"),OR(LEFT($G1925,3)="111",LEFT($G1925,3)="112",LEFT($G1925,3)="113")),"NB",IF(OR(LEFT($F1925,3)="111",LEFT($F1925,3)="112",LEFT($F1925,3)="113"),"THU",IF(OR(LEFT($G1925,3)="111",LEFT($G1925,3)="112",LEFT($G1925,3)="113"),"CHI",""))))</f>
        <v/>
      </c>
      <c r="N1925" s="117">
        <f>IF($M1925="THU",$G1925,IF($M1925="CHI",$F1925,""))</f>
        <v/>
      </c>
      <c r="O1925" s="117">
        <f>IF(OR($M1925="",$M1925="NB"),"",IF($J1925&lt;&gt;"",TEXT($J1925,"00"),IFERROR(VLOOKUP(LEFT($N1925,4),LCTT_MAP!$A$7:$C$66,IF($M1925="THU",2,3),FALSE()),IFERROR(VLOOKUP(LEFT($N1925,3),LCTT_MAP!$A$7:$C$66,IF($M1925="THU",2,3),FALSE()),IFERROR(VLOOKUP(LEFT($N1925,2),LCTT_MAP!$A$7:$C$66,IF($M1925="THU",2,3),FALSE()),IFERROR(VLOOKUP(LEFT($N1925,1),LCTT_MAP!$A$7:$C$66,IF($M1925="THU",2,3),FALSE()),IF($M1925="THU","06","07")))))))</f>
        <v/>
      </c>
      <c r="P1925" s="117">
        <f>P1924+IF(AND($H1925&lt;&gt;"",OR(LEFT($F1925,LEN(SC_TK))=SC_TK,LEFT($G1925,LEN(SC_TK))=SC_TK)),1,0)</f>
        <v/>
      </c>
    </row>
    <row r="1926" ht="15" customHeight="1" s="78">
      <c r="A1926" s="95">
        <f>IF($H1926="","",ROW()-6)</f>
        <v/>
      </c>
      <c r="B1926" s="114" t="n"/>
      <c r="C1926" s="102" t="n"/>
      <c r="D1926" s="114" t="n"/>
      <c r="E1926" s="103" t="n"/>
      <c r="F1926" s="102" t="n"/>
      <c r="G1926" s="102" t="n"/>
      <c r="H1926" s="115" t="n"/>
      <c r="I1926" s="102" t="n"/>
      <c r="J1926" s="102" t="n"/>
      <c r="K1926" s="103" t="n"/>
      <c r="L1926" s="116">
        <f>IF($H1926="","",TRIM(IF(COUNTIF(DMTK!$A$7:$A$250,$F1926)=0,"TK Nợ sai! ","")&amp;IF(COUNTIF(DMTK!$A$7:$A$250,$G1926)=0,"TK Có sai! ","")&amp;IF(N($H1926)&lt;=0,"Tiền phải &gt; 0! ","")&amp;IF($B1926="","Thiếu ngày! ","")&amp;IF(AND(OR(LEFT($F1926,3)="131",LEFT($G1926,3)="131",LEFT($F1926,3)="331",LEFT($G1926,3)="331"),$I1926=""),"Thiếu Mã ĐT! ","")&amp;IF(AND($I1926&lt;&gt;"",COUNTIF(DM_DT!$A$7:$A$306,$I1926)=0),"Mã ĐT chưa khai báo! ","")))</f>
        <v/>
      </c>
      <c r="M1926" s="117">
        <f>IF($H1926="","",IF(AND(OR(LEFT($F1926,3)="111",LEFT($F1926,3)="112",LEFT($F1926,3)="113"),OR(LEFT($G1926,3)="111",LEFT($G1926,3)="112",LEFT($G1926,3)="113")),"NB",IF(OR(LEFT($F1926,3)="111",LEFT($F1926,3)="112",LEFT($F1926,3)="113"),"THU",IF(OR(LEFT($G1926,3)="111",LEFT($G1926,3)="112",LEFT($G1926,3)="113"),"CHI",""))))</f>
        <v/>
      </c>
      <c r="N1926" s="117">
        <f>IF($M1926="THU",$G1926,IF($M1926="CHI",$F1926,""))</f>
        <v/>
      </c>
      <c r="O1926" s="117">
        <f>IF(OR($M1926="",$M1926="NB"),"",IF($J1926&lt;&gt;"",TEXT($J1926,"00"),IFERROR(VLOOKUP(LEFT($N1926,4),LCTT_MAP!$A$7:$C$66,IF($M1926="THU",2,3),FALSE()),IFERROR(VLOOKUP(LEFT($N1926,3),LCTT_MAP!$A$7:$C$66,IF($M1926="THU",2,3),FALSE()),IFERROR(VLOOKUP(LEFT($N1926,2),LCTT_MAP!$A$7:$C$66,IF($M1926="THU",2,3),FALSE()),IFERROR(VLOOKUP(LEFT($N1926,1),LCTT_MAP!$A$7:$C$66,IF($M1926="THU",2,3),FALSE()),IF($M1926="THU","06","07")))))))</f>
        <v/>
      </c>
      <c r="P1926" s="117">
        <f>P1925+IF(AND($H1926&lt;&gt;"",OR(LEFT($F1926,LEN(SC_TK))=SC_TK,LEFT($G1926,LEN(SC_TK))=SC_TK)),1,0)</f>
        <v/>
      </c>
    </row>
    <row r="1927" ht="15" customHeight="1" s="78">
      <c r="A1927" s="95">
        <f>IF($H1927="","",ROW()-6)</f>
        <v/>
      </c>
      <c r="B1927" s="114" t="n"/>
      <c r="C1927" s="102" t="n"/>
      <c r="D1927" s="114" t="n"/>
      <c r="E1927" s="103" t="n"/>
      <c r="F1927" s="102" t="n"/>
      <c r="G1927" s="102" t="n"/>
      <c r="H1927" s="115" t="n"/>
      <c r="I1927" s="102" t="n"/>
      <c r="J1927" s="102" t="n"/>
      <c r="K1927" s="103" t="n"/>
      <c r="L1927" s="116">
        <f>IF($H1927="","",TRIM(IF(COUNTIF(DMTK!$A$7:$A$250,$F1927)=0,"TK Nợ sai! ","")&amp;IF(COUNTIF(DMTK!$A$7:$A$250,$G1927)=0,"TK Có sai! ","")&amp;IF(N($H1927)&lt;=0,"Tiền phải &gt; 0! ","")&amp;IF($B1927="","Thiếu ngày! ","")&amp;IF(AND(OR(LEFT($F1927,3)="131",LEFT($G1927,3)="131",LEFT($F1927,3)="331",LEFT($G1927,3)="331"),$I1927=""),"Thiếu Mã ĐT! ","")&amp;IF(AND($I1927&lt;&gt;"",COUNTIF(DM_DT!$A$7:$A$306,$I1927)=0),"Mã ĐT chưa khai báo! ","")))</f>
        <v/>
      </c>
      <c r="M1927" s="117">
        <f>IF($H1927="","",IF(AND(OR(LEFT($F1927,3)="111",LEFT($F1927,3)="112",LEFT($F1927,3)="113"),OR(LEFT($G1927,3)="111",LEFT($G1927,3)="112",LEFT($G1927,3)="113")),"NB",IF(OR(LEFT($F1927,3)="111",LEFT($F1927,3)="112",LEFT($F1927,3)="113"),"THU",IF(OR(LEFT($G1927,3)="111",LEFT($G1927,3)="112",LEFT($G1927,3)="113"),"CHI",""))))</f>
        <v/>
      </c>
      <c r="N1927" s="117">
        <f>IF($M1927="THU",$G1927,IF($M1927="CHI",$F1927,""))</f>
        <v/>
      </c>
      <c r="O1927" s="117">
        <f>IF(OR($M1927="",$M1927="NB"),"",IF($J1927&lt;&gt;"",TEXT($J1927,"00"),IFERROR(VLOOKUP(LEFT($N1927,4),LCTT_MAP!$A$7:$C$66,IF($M1927="THU",2,3),FALSE()),IFERROR(VLOOKUP(LEFT($N1927,3),LCTT_MAP!$A$7:$C$66,IF($M1927="THU",2,3),FALSE()),IFERROR(VLOOKUP(LEFT($N1927,2),LCTT_MAP!$A$7:$C$66,IF($M1927="THU",2,3),FALSE()),IFERROR(VLOOKUP(LEFT($N1927,1),LCTT_MAP!$A$7:$C$66,IF($M1927="THU",2,3),FALSE()),IF($M1927="THU","06","07")))))))</f>
        <v/>
      </c>
      <c r="P1927" s="117">
        <f>P1926+IF(AND($H1927&lt;&gt;"",OR(LEFT($F1927,LEN(SC_TK))=SC_TK,LEFT($G1927,LEN(SC_TK))=SC_TK)),1,0)</f>
        <v/>
      </c>
    </row>
    <row r="1928" ht="15" customHeight="1" s="78">
      <c r="A1928" s="95">
        <f>IF($H1928="","",ROW()-6)</f>
        <v/>
      </c>
      <c r="B1928" s="114" t="n"/>
      <c r="C1928" s="102" t="n"/>
      <c r="D1928" s="114" t="n"/>
      <c r="E1928" s="103" t="n"/>
      <c r="F1928" s="102" t="n"/>
      <c r="G1928" s="102" t="n"/>
      <c r="H1928" s="115" t="n"/>
      <c r="I1928" s="102" t="n"/>
      <c r="J1928" s="102" t="n"/>
      <c r="K1928" s="103" t="n"/>
      <c r="L1928" s="116">
        <f>IF($H1928="","",TRIM(IF(COUNTIF(DMTK!$A$7:$A$250,$F1928)=0,"TK Nợ sai! ","")&amp;IF(COUNTIF(DMTK!$A$7:$A$250,$G1928)=0,"TK Có sai! ","")&amp;IF(N($H1928)&lt;=0,"Tiền phải &gt; 0! ","")&amp;IF($B1928="","Thiếu ngày! ","")&amp;IF(AND(OR(LEFT($F1928,3)="131",LEFT($G1928,3)="131",LEFT($F1928,3)="331",LEFT($G1928,3)="331"),$I1928=""),"Thiếu Mã ĐT! ","")&amp;IF(AND($I1928&lt;&gt;"",COUNTIF(DM_DT!$A$7:$A$306,$I1928)=0),"Mã ĐT chưa khai báo! ","")))</f>
        <v/>
      </c>
      <c r="M1928" s="117">
        <f>IF($H1928="","",IF(AND(OR(LEFT($F1928,3)="111",LEFT($F1928,3)="112",LEFT($F1928,3)="113"),OR(LEFT($G1928,3)="111",LEFT($G1928,3)="112",LEFT($G1928,3)="113")),"NB",IF(OR(LEFT($F1928,3)="111",LEFT($F1928,3)="112",LEFT($F1928,3)="113"),"THU",IF(OR(LEFT($G1928,3)="111",LEFT($G1928,3)="112",LEFT($G1928,3)="113"),"CHI",""))))</f>
        <v/>
      </c>
      <c r="N1928" s="117">
        <f>IF($M1928="THU",$G1928,IF($M1928="CHI",$F1928,""))</f>
        <v/>
      </c>
      <c r="O1928" s="117">
        <f>IF(OR($M1928="",$M1928="NB"),"",IF($J1928&lt;&gt;"",TEXT($J1928,"00"),IFERROR(VLOOKUP(LEFT($N1928,4),LCTT_MAP!$A$7:$C$66,IF($M1928="THU",2,3),FALSE()),IFERROR(VLOOKUP(LEFT($N1928,3),LCTT_MAP!$A$7:$C$66,IF($M1928="THU",2,3),FALSE()),IFERROR(VLOOKUP(LEFT($N1928,2),LCTT_MAP!$A$7:$C$66,IF($M1928="THU",2,3),FALSE()),IFERROR(VLOOKUP(LEFT($N1928,1),LCTT_MAP!$A$7:$C$66,IF($M1928="THU",2,3),FALSE()),IF($M1928="THU","06","07")))))))</f>
        <v/>
      </c>
      <c r="P1928" s="117">
        <f>P1927+IF(AND($H1928&lt;&gt;"",OR(LEFT($F1928,LEN(SC_TK))=SC_TK,LEFT($G1928,LEN(SC_TK))=SC_TK)),1,0)</f>
        <v/>
      </c>
    </row>
    <row r="1929" ht="15" customHeight="1" s="78">
      <c r="A1929" s="95">
        <f>IF($H1929="","",ROW()-6)</f>
        <v/>
      </c>
      <c r="B1929" s="114" t="n"/>
      <c r="C1929" s="102" t="n"/>
      <c r="D1929" s="114" t="n"/>
      <c r="E1929" s="103" t="n"/>
      <c r="F1929" s="102" t="n"/>
      <c r="G1929" s="102" t="n"/>
      <c r="H1929" s="115" t="n"/>
      <c r="I1929" s="102" t="n"/>
      <c r="J1929" s="102" t="n"/>
      <c r="K1929" s="103" t="n"/>
      <c r="L1929" s="116">
        <f>IF($H1929="","",TRIM(IF(COUNTIF(DMTK!$A$7:$A$250,$F1929)=0,"TK Nợ sai! ","")&amp;IF(COUNTIF(DMTK!$A$7:$A$250,$G1929)=0,"TK Có sai! ","")&amp;IF(N($H1929)&lt;=0,"Tiền phải &gt; 0! ","")&amp;IF($B1929="","Thiếu ngày! ","")&amp;IF(AND(OR(LEFT($F1929,3)="131",LEFT($G1929,3)="131",LEFT($F1929,3)="331",LEFT($G1929,3)="331"),$I1929=""),"Thiếu Mã ĐT! ","")&amp;IF(AND($I1929&lt;&gt;"",COUNTIF(DM_DT!$A$7:$A$306,$I1929)=0),"Mã ĐT chưa khai báo! ","")))</f>
        <v/>
      </c>
      <c r="M1929" s="117">
        <f>IF($H1929="","",IF(AND(OR(LEFT($F1929,3)="111",LEFT($F1929,3)="112",LEFT($F1929,3)="113"),OR(LEFT($G1929,3)="111",LEFT($G1929,3)="112",LEFT($G1929,3)="113")),"NB",IF(OR(LEFT($F1929,3)="111",LEFT($F1929,3)="112",LEFT($F1929,3)="113"),"THU",IF(OR(LEFT($G1929,3)="111",LEFT($G1929,3)="112",LEFT($G1929,3)="113"),"CHI",""))))</f>
        <v/>
      </c>
      <c r="N1929" s="117">
        <f>IF($M1929="THU",$G1929,IF($M1929="CHI",$F1929,""))</f>
        <v/>
      </c>
      <c r="O1929" s="117">
        <f>IF(OR($M1929="",$M1929="NB"),"",IF($J1929&lt;&gt;"",TEXT($J1929,"00"),IFERROR(VLOOKUP(LEFT($N1929,4),LCTT_MAP!$A$7:$C$66,IF($M1929="THU",2,3),FALSE()),IFERROR(VLOOKUP(LEFT($N1929,3),LCTT_MAP!$A$7:$C$66,IF($M1929="THU",2,3),FALSE()),IFERROR(VLOOKUP(LEFT($N1929,2),LCTT_MAP!$A$7:$C$66,IF($M1929="THU",2,3),FALSE()),IFERROR(VLOOKUP(LEFT($N1929,1),LCTT_MAP!$A$7:$C$66,IF($M1929="THU",2,3),FALSE()),IF($M1929="THU","06","07")))))))</f>
        <v/>
      </c>
      <c r="P1929" s="117">
        <f>P1928+IF(AND($H1929&lt;&gt;"",OR(LEFT($F1929,LEN(SC_TK))=SC_TK,LEFT($G1929,LEN(SC_TK))=SC_TK)),1,0)</f>
        <v/>
      </c>
    </row>
    <row r="1930" ht="15" customHeight="1" s="78">
      <c r="A1930" s="95">
        <f>IF($H1930="","",ROW()-6)</f>
        <v/>
      </c>
      <c r="B1930" s="114" t="n"/>
      <c r="C1930" s="102" t="n"/>
      <c r="D1930" s="114" t="n"/>
      <c r="E1930" s="103" t="n"/>
      <c r="F1930" s="102" t="n"/>
      <c r="G1930" s="102" t="n"/>
      <c r="H1930" s="115" t="n"/>
      <c r="I1930" s="102" t="n"/>
      <c r="J1930" s="102" t="n"/>
      <c r="K1930" s="103" t="n"/>
      <c r="L1930" s="116">
        <f>IF($H1930="","",TRIM(IF(COUNTIF(DMTK!$A$7:$A$250,$F1930)=0,"TK Nợ sai! ","")&amp;IF(COUNTIF(DMTK!$A$7:$A$250,$G1930)=0,"TK Có sai! ","")&amp;IF(N($H1930)&lt;=0,"Tiền phải &gt; 0! ","")&amp;IF($B1930="","Thiếu ngày! ","")&amp;IF(AND(OR(LEFT($F1930,3)="131",LEFT($G1930,3)="131",LEFT($F1930,3)="331",LEFT($G1930,3)="331"),$I1930=""),"Thiếu Mã ĐT! ","")&amp;IF(AND($I1930&lt;&gt;"",COUNTIF(DM_DT!$A$7:$A$306,$I1930)=0),"Mã ĐT chưa khai báo! ","")))</f>
        <v/>
      </c>
      <c r="M1930" s="117">
        <f>IF($H1930="","",IF(AND(OR(LEFT($F1930,3)="111",LEFT($F1930,3)="112",LEFT($F1930,3)="113"),OR(LEFT($G1930,3)="111",LEFT($G1930,3)="112",LEFT($G1930,3)="113")),"NB",IF(OR(LEFT($F1930,3)="111",LEFT($F1930,3)="112",LEFT($F1930,3)="113"),"THU",IF(OR(LEFT($G1930,3)="111",LEFT($G1930,3)="112",LEFT($G1930,3)="113"),"CHI",""))))</f>
        <v/>
      </c>
      <c r="N1930" s="117">
        <f>IF($M1930="THU",$G1930,IF($M1930="CHI",$F1930,""))</f>
        <v/>
      </c>
      <c r="O1930" s="117">
        <f>IF(OR($M1930="",$M1930="NB"),"",IF($J1930&lt;&gt;"",TEXT($J1930,"00"),IFERROR(VLOOKUP(LEFT($N1930,4),LCTT_MAP!$A$7:$C$66,IF($M1930="THU",2,3),FALSE()),IFERROR(VLOOKUP(LEFT($N1930,3),LCTT_MAP!$A$7:$C$66,IF($M1930="THU",2,3),FALSE()),IFERROR(VLOOKUP(LEFT($N1930,2),LCTT_MAP!$A$7:$C$66,IF($M1930="THU",2,3),FALSE()),IFERROR(VLOOKUP(LEFT($N1930,1),LCTT_MAP!$A$7:$C$66,IF($M1930="THU",2,3),FALSE()),IF($M1930="THU","06","07")))))))</f>
        <v/>
      </c>
      <c r="P1930" s="117">
        <f>P1929+IF(AND($H1930&lt;&gt;"",OR(LEFT($F1930,LEN(SC_TK))=SC_TK,LEFT($G1930,LEN(SC_TK))=SC_TK)),1,0)</f>
        <v/>
      </c>
    </row>
    <row r="1931" ht="15" customHeight="1" s="78">
      <c r="A1931" s="95">
        <f>IF($H1931="","",ROW()-6)</f>
        <v/>
      </c>
      <c r="B1931" s="114" t="n"/>
      <c r="C1931" s="102" t="n"/>
      <c r="D1931" s="114" t="n"/>
      <c r="E1931" s="103" t="n"/>
      <c r="F1931" s="102" t="n"/>
      <c r="G1931" s="102" t="n"/>
      <c r="H1931" s="115" t="n"/>
      <c r="I1931" s="102" t="n"/>
      <c r="J1931" s="102" t="n"/>
      <c r="K1931" s="103" t="n"/>
      <c r="L1931" s="116">
        <f>IF($H1931="","",TRIM(IF(COUNTIF(DMTK!$A$7:$A$250,$F1931)=0,"TK Nợ sai! ","")&amp;IF(COUNTIF(DMTK!$A$7:$A$250,$G1931)=0,"TK Có sai! ","")&amp;IF(N($H1931)&lt;=0,"Tiền phải &gt; 0! ","")&amp;IF($B1931="","Thiếu ngày! ","")&amp;IF(AND(OR(LEFT($F1931,3)="131",LEFT($G1931,3)="131",LEFT($F1931,3)="331",LEFT($G1931,3)="331"),$I1931=""),"Thiếu Mã ĐT! ","")&amp;IF(AND($I1931&lt;&gt;"",COUNTIF(DM_DT!$A$7:$A$306,$I1931)=0),"Mã ĐT chưa khai báo! ","")))</f>
        <v/>
      </c>
      <c r="M1931" s="117">
        <f>IF($H1931="","",IF(AND(OR(LEFT($F1931,3)="111",LEFT($F1931,3)="112",LEFT($F1931,3)="113"),OR(LEFT($G1931,3)="111",LEFT($G1931,3)="112",LEFT($G1931,3)="113")),"NB",IF(OR(LEFT($F1931,3)="111",LEFT($F1931,3)="112",LEFT($F1931,3)="113"),"THU",IF(OR(LEFT($G1931,3)="111",LEFT($G1931,3)="112",LEFT($G1931,3)="113"),"CHI",""))))</f>
        <v/>
      </c>
      <c r="N1931" s="117">
        <f>IF($M1931="THU",$G1931,IF($M1931="CHI",$F1931,""))</f>
        <v/>
      </c>
      <c r="O1931" s="117">
        <f>IF(OR($M1931="",$M1931="NB"),"",IF($J1931&lt;&gt;"",TEXT($J1931,"00"),IFERROR(VLOOKUP(LEFT($N1931,4),LCTT_MAP!$A$7:$C$66,IF($M1931="THU",2,3),FALSE()),IFERROR(VLOOKUP(LEFT($N1931,3),LCTT_MAP!$A$7:$C$66,IF($M1931="THU",2,3),FALSE()),IFERROR(VLOOKUP(LEFT($N1931,2),LCTT_MAP!$A$7:$C$66,IF($M1931="THU",2,3),FALSE()),IFERROR(VLOOKUP(LEFT($N1931,1),LCTT_MAP!$A$7:$C$66,IF($M1931="THU",2,3),FALSE()),IF($M1931="THU","06","07")))))))</f>
        <v/>
      </c>
      <c r="P1931" s="117">
        <f>P1930+IF(AND($H1931&lt;&gt;"",OR(LEFT($F1931,LEN(SC_TK))=SC_TK,LEFT($G1931,LEN(SC_TK))=SC_TK)),1,0)</f>
        <v/>
      </c>
    </row>
    <row r="1932" ht="15" customHeight="1" s="78">
      <c r="A1932" s="95">
        <f>IF($H1932="","",ROW()-6)</f>
        <v/>
      </c>
      <c r="B1932" s="114" t="n"/>
      <c r="C1932" s="102" t="n"/>
      <c r="D1932" s="114" t="n"/>
      <c r="E1932" s="103" t="n"/>
      <c r="F1932" s="102" t="n"/>
      <c r="G1932" s="102" t="n"/>
      <c r="H1932" s="115" t="n"/>
      <c r="I1932" s="102" t="n"/>
      <c r="J1932" s="102" t="n"/>
      <c r="K1932" s="103" t="n"/>
      <c r="L1932" s="116">
        <f>IF($H1932="","",TRIM(IF(COUNTIF(DMTK!$A$7:$A$250,$F1932)=0,"TK Nợ sai! ","")&amp;IF(COUNTIF(DMTK!$A$7:$A$250,$G1932)=0,"TK Có sai! ","")&amp;IF(N($H1932)&lt;=0,"Tiền phải &gt; 0! ","")&amp;IF($B1932="","Thiếu ngày! ","")&amp;IF(AND(OR(LEFT($F1932,3)="131",LEFT($G1932,3)="131",LEFT($F1932,3)="331",LEFT($G1932,3)="331"),$I1932=""),"Thiếu Mã ĐT! ","")&amp;IF(AND($I1932&lt;&gt;"",COUNTIF(DM_DT!$A$7:$A$306,$I1932)=0),"Mã ĐT chưa khai báo! ","")))</f>
        <v/>
      </c>
      <c r="M1932" s="117">
        <f>IF($H1932="","",IF(AND(OR(LEFT($F1932,3)="111",LEFT($F1932,3)="112",LEFT($F1932,3)="113"),OR(LEFT($G1932,3)="111",LEFT($G1932,3)="112",LEFT($G1932,3)="113")),"NB",IF(OR(LEFT($F1932,3)="111",LEFT($F1932,3)="112",LEFT($F1932,3)="113"),"THU",IF(OR(LEFT($G1932,3)="111",LEFT($G1932,3)="112",LEFT($G1932,3)="113"),"CHI",""))))</f>
        <v/>
      </c>
      <c r="N1932" s="117">
        <f>IF($M1932="THU",$G1932,IF($M1932="CHI",$F1932,""))</f>
        <v/>
      </c>
      <c r="O1932" s="117">
        <f>IF(OR($M1932="",$M1932="NB"),"",IF($J1932&lt;&gt;"",TEXT($J1932,"00"),IFERROR(VLOOKUP(LEFT($N1932,4),LCTT_MAP!$A$7:$C$66,IF($M1932="THU",2,3),FALSE()),IFERROR(VLOOKUP(LEFT($N1932,3),LCTT_MAP!$A$7:$C$66,IF($M1932="THU",2,3),FALSE()),IFERROR(VLOOKUP(LEFT($N1932,2),LCTT_MAP!$A$7:$C$66,IF($M1932="THU",2,3),FALSE()),IFERROR(VLOOKUP(LEFT($N1932,1),LCTT_MAP!$A$7:$C$66,IF($M1932="THU",2,3),FALSE()),IF($M1932="THU","06","07")))))))</f>
        <v/>
      </c>
      <c r="P1932" s="117">
        <f>P1931+IF(AND($H1932&lt;&gt;"",OR(LEFT($F1932,LEN(SC_TK))=SC_TK,LEFT($G1932,LEN(SC_TK))=SC_TK)),1,0)</f>
        <v/>
      </c>
    </row>
    <row r="1933" ht="15" customHeight="1" s="78">
      <c r="A1933" s="95">
        <f>IF($H1933="","",ROW()-6)</f>
        <v/>
      </c>
      <c r="B1933" s="114" t="n"/>
      <c r="C1933" s="102" t="n"/>
      <c r="D1933" s="114" t="n"/>
      <c r="E1933" s="103" t="n"/>
      <c r="F1933" s="102" t="n"/>
      <c r="G1933" s="102" t="n"/>
      <c r="H1933" s="115" t="n"/>
      <c r="I1933" s="102" t="n"/>
      <c r="J1933" s="102" t="n"/>
      <c r="K1933" s="103" t="n"/>
      <c r="L1933" s="116">
        <f>IF($H1933="","",TRIM(IF(COUNTIF(DMTK!$A$7:$A$250,$F1933)=0,"TK Nợ sai! ","")&amp;IF(COUNTIF(DMTK!$A$7:$A$250,$G1933)=0,"TK Có sai! ","")&amp;IF(N($H1933)&lt;=0,"Tiền phải &gt; 0! ","")&amp;IF($B1933="","Thiếu ngày! ","")&amp;IF(AND(OR(LEFT($F1933,3)="131",LEFT($G1933,3)="131",LEFT($F1933,3)="331",LEFT($G1933,3)="331"),$I1933=""),"Thiếu Mã ĐT! ","")&amp;IF(AND($I1933&lt;&gt;"",COUNTIF(DM_DT!$A$7:$A$306,$I1933)=0),"Mã ĐT chưa khai báo! ","")))</f>
        <v/>
      </c>
      <c r="M1933" s="117">
        <f>IF($H1933="","",IF(AND(OR(LEFT($F1933,3)="111",LEFT($F1933,3)="112",LEFT($F1933,3)="113"),OR(LEFT($G1933,3)="111",LEFT($G1933,3)="112",LEFT($G1933,3)="113")),"NB",IF(OR(LEFT($F1933,3)="111",LEFT($F1933,3)="112",LEFT($F1933,3)="113"),"THU",IF(OR(LEFT($G1933,3)="111",LEFT($G1933,3)="112",LEFT($G1933,3)="113"),"CHI",""))))</f>
        <v/>
      </c>
      <c r="N1933" s="117">
        <f>IF($M1933="THU",$G1933,IF($M1933="CHI",$F1933,""))</f>
        <v/>
      </c>
      <c r="O1933" s="117">
        <f>IF(OR($M1933="",$M1933="NB"),"",IF($J1933&lt;&gt;"",TEXT($J1933,"00"),IFERROR(VLOOKUP(LEFT($N1933,4),LCTT_MAP!$A$7:$C$66,IF($M1933="THU",2,3),FALSE()),IFERROR(VLOOKUP(LEFT($N1933,3),LCTT_MAP!$A$7:$C$66,IF($M1933="THU",2,3),FALSE()),IFERROR(VLOOKUP(LEFT($N1933,2),LCTT_MAP!$A$7:$C$66,IF($M1933="THU",2,3),FALSE()),IFERROR(VLOOKUP(LEFT($N1933,1),LCTT_MAP!$A$7:$C$66,IF($M1933="THU",2,3),FALSE()),IF($M1933="THU","06","07")))))))</f>
        <v/>
      </c>
      <c r="P1933" s="117">
        <f>P1932+IF(AND($H1933&lt;&gt;"",OR(LEFT($F1933,LEN(SC_TK))=SC_TK,LEFT($G1933,LEN(SC_TK))=SC_TK)),1,0)</f>
        <v/>
      </c>
    </row>
    <row r="1934" ht="15" customHeight="1" s="78">
      <c r="A1934" s="95">
        <f>IF($H1934="","",ROW()-6)</f>
        <v/>
      </c>
      <c r="B1934" s="114" t="n"/>
      <c r="C1934" s="102" t="n"/>
      <c r="D1934" s="114" t="n"/>
      <c r="E1934" s="103" t="n"/>
      <c r="F1934" s="102" t="n"/>
      <c r="G1934" s="102" t="n"/>
      <c r="H1934" s="115" t="n"/>
      <c r="I1934" s="102" t="n"/>
      <c r="J1934" s="102" t="n"/>
      <c r="K1934" s="103" t="n"/>
      <c r="L1934" s="116">
        <f>IF($H1934="","",TRIM(IF(COUNTIF(DMTK!$A$7:$A$250,$F1934)=0,"TK Nợ sai! ","")&amp;IF(COUNTIF(DMTK!$A$7:$A$250,$G1934)=0,"TK Có sai! ","")&amp;IF(N($H1934)&lt;=0,"Tiền phải &gt; 0! ","")&amp;IF($B1934="","Thiếu ngày! ","")&amp;IF(AND(OR(LEFT($F1934,3)="131",LEFT($G1934,3)="131",LEFT($F1934,3)="331",LEFT($G1934,3)="331"),$I1934=""),"Thiếu Mã ĐT! ","")&amp;IF(AND($I1934&lt;&gt;"",COUNTIF(DM_DT!$A$7:$A$306,$I1934)=0),"Mã ĐT chưa khai báo! ","")))</f>
        <v/>
      </c>
      <c r="M1934" s="117">
        <f>IF($H1934="","",IF(AND(OR(LEFT($F1934,3)="111",LEFT($F1934,3)="112",LEFT($F1934,3)="113"),OR(LEFT($G1934,3)="111",LEFT($G1934,3)="112",LEFT($G1934,3)="113")),"NB",IF(OR(LEFT($F1934,3)="111",LEFT($F1934,3)="112",LEFT($F1934,3)="113"),"THU",IF(OR(LEFT($G1934,3)="111",LEFT($G1934,3)="112",LEFT($G1934,3)="113"),"CHI",""))))</f>
        <v/>
      </c>
      <c r="N1934" s="117">
        <f>IF($M1934="THU",$G1934,IF($M1934="CHI",$F1934,""))</f>
        <v/>
      </c>
      <c r="O1934" s="117">
        <f>IF(OR($M1934="",$M1934="NB"),"",IF($J1934&lt;&gt;"",TEXT($J1934,"00"),IFERROR(VLOOKUP(LEFT($N1934,4),LCTT_MAP!$A$7:$C$66,IF($M1934="THU",2,3),FALSE()),IFERROR(VLOOKUP(LEFT($N1934,3),LCTT_MAP!$A$7:$C$66,IF($M1934="THU",2,3),FALSE()),IFERROR(VLOOKUP(LEFT($N1934,2),LCTT_MAP!$A$7:$C$66,IF($M1934="THU",2,3),FALSE()),IFERROR(VLOOKUP(LEFT($N1934,1),LCTT_MAP!$A$7:$C$66,IF($M1934="THU",2,3),FALSE()),IF($M1934="THU","06","07")))))))</f>
        <v/>
      </c>
      <c r="P1934" s="117">
        <f>P1933+IF(AND($H1934&lt;&gt;"",OR(LEFT($F1934,LEN(SC_TK))=SC_TK,LEFT($G1934,LEN(SC_TK))=SC_TK)),1,0)</f>
        <v/>
      </c>
    </row>
    <row r="1935" ht="15" customHeight="1" s="78">
      <c r="A1935" s="95">
        <f>IF($H1935="","",ROW()-6)</f>
        <v/>
      </c>
      <c r="B1935" s="114" t="n"/>
      <c r="C1935" s="102" t="n"/>
      <c r="D1935" s="114" t="n"/>
      <c r="E1935" s="103" t="n"/>
      <c r="F1935" s="102" t="n"/>
      <c r="G1935" s="102" t="n"/>
      <c r="H1935" s="115" t="n"/>
      <c r="I1935" s="102" t="n"/>
      <c r="J1935" s="102" t="n"/>
      <c r="K1935" s="103" t="n"/>
      <c r="L1935" s="116">
        <f>IF($H1935="","",TRIM(IF(COUNTIF(DMTK!$A$7:$A$250,$F1935)=0,"TK Nợ sai! ","")&amp;IF(COUNTIF(DMTK!$A$7:$A$250,$G1935)=0,"TK Có sai! ","")&amp;IF(N($H1935)&lt;=0,"Tiền phải &gt; 0! ","")&amp;IF($B1935="","Thiếu ngày! ","")&amp;IF(AND(OR(LEFT($F1935,3)="131",LEFT($G1935,3)="131",LEFT($F1935,3)="331",LEFT($G1935,3)="331"),$I1935=""),"Thiếu Mã ĐT! ","")&amp;IF(AND($I1935&lt;&gt;"",COUNTIF(DM_DT!$A$7:$A$306,$I1935)=0),"Mã ĐT chưa khai báo! ","")))</f>
        <v/>
      </c>
      <c r="M1935" s="117">
        <f>IF($H1935="","",IF(AND(OR(LEFT($F1935,3)="111",LEFT($F1935,3)="112",LEFT($F1935,3)="113"),OR(LEFT($G1935,3)="111",LEFT($G1935,3)="112",LEFT($G1935,3)="113")),"NB",IF(OR(LEFT($F1935,3)="111",LEFT($F1935,3)="112",LEFT($F1935,3)="113"),"THU",IF(OR(LEFT($G1935,3)="111",LEFT($G1935,3)="112",LEFT($G1935,3)="113"),"CHI",""))))</f>
        <v/>
      </c>
      <c r="N1935" s="117">
        <f>IF($M1935="THU",$G1935,IF($M1935="CHI",$F1935,""))</f>
        <v/>
      </c>
      <c r="O1935" s="117">
        <f>IF(OR($M1935="",$M1935="NB"),"",IF($J1935&lt;&gt;"",TEXT($J1935,"00"),IFERROR(VLOOKUP(LEFT($N1935,4),LCTT_MAP!$A$7:$C$66,IF($M1935="THU",2,3),FALSE()),IFERROR(VLOOKUP(LEFT($N1935,3),LCTT_MAP!$A$7:$C$66,IF($M1935="THU",2,3),FALSE()),IFERROR(VLOOKUP(LEFT($N1935,2),LCTT_MAP!$A$7:$C$66,IF($M1935="THU",2,3),FALSE()),IFERROR(VLOOKUP(LEFT($N1935,1),LCTT_MAP!$A$7:$C$66,IF($M1935="THU",2,3),FALSE()),IF($M1935="THU","06","07")))))))</f>
        <v/>
      </c>
      <c r="P1935" s="117">
        <f>P1934+IF(AND($H1935&lt;&gt;"",OR(LEFT($F1935,LEN(SC_TK))=SC_TK,LEFT($G1935,LEN(SC_TK))=SC_TK)),1,0)</f>
        <v/>
      </c>
    </row>
    <row r="1936" ht="15" customHeight="1" s="78">
      <c r="A1936" s="95">
        <f>IF($H1936="","",ROW()-6)</f>
        <v/>
      </c>
      <c r="B1936" s="114" t="n"/>
      <c r="C1936" s="102" t="n"/>
      <c r="D1936" s="114" t="n"/>
      <c r="E1936" s="103" t="n"/>
      <c r="F1936" s="102" t="n"/>
      <c r="G1936" s="102" t="n"/>
      <c r="H1936" s="115" t="n"/>
      <c r="I1936" s="102" t="n"/>
      <c r="J1936" s="102" t="n"/>
      <c r="K1936" s="103" t="n"/>
      <c r="L1936" s="116">
        <f>IF($H1936="","",TRIM(IF(COUNTIF(DMTK!$A$7:$A$250,$F1936)=0,"TK Nợ sai! ","")&amp;IF(COUNTIF(DMTK!$A$7:$A$250,$G1936)=0,"TK Có sai! ","")&amp;IF(N($H1936)&lt;=0,"Tiền phải &gt; 0! ","")&amp;IF($B1936="","Thiếu ngày! ","")&amp;IF(AND(OR(LEFT($F1936,3)="131",LEFT($G1936,3)="131",LEFT($F1936,3)="331",LEFT($G1936,3)="331"),$I1936=""),"Thiếu Mã ĐT! ","")&amp;IF(AND($I1936&lt;&gt;"",COUNTIF(DM_DT!$A$7:$A$306,$I1936)=0),"Mã ĐT chưa khai báo! ","")))</f>
        <v/>
      </c>
      <c r="M1936" s="117">
        <f>IF($H1936="","",IF(AND(OR(LEFT($F1936,3)="111",LEFT($F1936,3)="112",LEFT($F1936,3)="113"),OR(LEFT($G1936,3)="111",LEFT($G1936,3)="112",LEFT($G1936,3)="113")),"NB",IF(OR(LEFT($F1936,3)="111",LEFT($F1936,3)="112",LEFT($F1936,3)="113"),"THU",IF(OR(LEFT($G1936,3)="111",LEFT($G1936,3)="112",LEFT($G1936,3)="113"),"CHI",""))))</f>
        <v/>
      </c>
      <c r="N1936" s="117">
        <f>IF($M1936="THU",$G1936,IF($M1936="CHI",$F1936,""))</f>
        <v/>
      </c>
      <c r="O1936" s="117">
        <f>IF(OR($M1936="",$M1936="NB"),"",IF($J1936&lt;&gt;"",TEXT($J1936,"00"),IFERROR(VLOOKUP(LEFT($N1936,4),LCTT_MAP!$A$7:$C$66,IF($M1936="THU",2,3),FALSE()),IFERROR(VLOOKUP(LEFT($N1936,3),LCTT_MAP!$A$7:$C$66,IF($M1936="THU",2,3),FALSE()),IFERROR(VLOOKUP(LEFT($N1936,2),LCTT_MAP!$A$7:$C$66,IF($M1936="THU",2,3),FALSE()),IFERROR(VLOOKUP(LEFT($N1936,1),LCTT_MAP!$A$7:$C$66,IF($M1936="THU",2,3),FALSE()),IF($M1936="THU","06","07")))))))</f>
        <v/>
      </c>
      <c r="P1936" s="117">
        <f>P1935+IF(AND($H1936&lt;&gt;"",OR(LEFT($F1936,LEN(SC_TK))=SC_TK,LEFT($G1936,LEN(SC_TK))=SC_TK)),1,0)</f>
        <v/>
      </c>
    </row>
    <row r="1937" ht="15" customHeight="1" s="78">
      <c r="A1937" s="95">
        <f>IF($H1937="","",ROW()-6)</f>
        <v/>
      </c>
      <c r="B1937" s="114" t="n"/>
      <c r="C1937" s="102" t="n"/>
      <c r="D1937" s="114" t="n"/>
      <c r="E1937" s="103" t="n"/>
      <c r="F1937" s="102" t="n"/>
      <c r="G1937" s="102" t="n"/>
      <c r="H1937" s="115" t="n"/>
      <c r="I1937" s="102" t="n"/>
      <c r="J1937" s="102" t="n"/>
      <c r="K1937" s="103" t="n"/>
      <c r="L1937" s="116">
        <f>IF($H1937="","",TRIM(IF(COUNTIF(DMTK!$A$7:$A$250,$F1937)=0,"TK Nợ sai! ","")&amp;IF(COUNTIF(DMTK!$A$7:$A$250,$G1937)=0,"TK Có sai! ","")&amp;IF(N($H1937)&lt;=0,"Tiền phải &gt; 0! ","")&amp;IF($B1937="","Thiếu ngày! ","")&amp;IF(AND(OR(LEFT($F1937,3)="131",LEFT($G1937,3)="131",LEFT($F1937,3)="331",LEFT($G1937,3)="331"),$I1937=""),"Thiếu Mã ĐT! ","")&amp;IF(AND($I1937&lt;&gt;"",COUNTIF(DM_DT!$A$7:$A$306,$I1937)=0),"Mã ĐT chưa khai báo! ","")))</f>
        <v/>
      </c>
      <c r="M1937" s="117">
        <f>IF($H1937="","",IF(AND(OR(LEFT($F1937,3)="111",LEFT($F1937,3)="112",LEFT($F1937,3)="113"),OR(LEFT($G1937,3)="111",LEFT($G1937,3)="112",LEFT($G1937,3)="113")),"NB",IF(OR(LEFT($F1937,3)="111",LEFT($F1937,3)="112",LEFT($F1937,3)="113"),"THU",IF(OR(LEFT($G1937,3)="111",LEFT($G1937,3)="112",LEFT($G1937,3)="113"),"CHI",""))))</f>
        <v/>
      </c>
      <c r="N1937" s="117">
        <f>IF($M1937="THU",$G1937,IF($M1937="CHI",$F1937,""))</f>
        <v/>
      </c>
      <c r="O1937" s="117">
        <f>IF(OR($M1937="",$M1937="NB"),"",IF($J1937&lt;&gt;"",TEXT($J1937,"00"),IFERROR(VLOOKUP(LEFT($N1937,4),LCTT_MAP!$A$7:$C$66,IF($M1937="THU",2,3),FALSE()),IFERROR(VLOOKUP(LEFT($N1937,3),LCTT_MAP!$A$7:$C$66,IF($M1937="THU",2,3),FALSE()),IFERROR(VLOOKUP(LEFT($N1937,2),LCTT_MAP!$A$7:$C$66,IF($M1937="THU",2,3),FALSE()),IFERROR(VLOOKUP(LEFT($N1937,1),LCTT_MAP!$A$7:$C$66,IF($M1937="THU",2,3),FALSE()),IF($M1937="THU","06","07")))))))</f>
        <v/>
      </c>
      <c r="P1937" s="117">
        <f>P1936+IF(AND($H1937&lt;&gt;"",OR(LEFT($F1937,LEN(SC_TK))=SC_TK,LEFT($G1937,LEN(SC_TK))=SC_TK)),1,0)</f>
        <v/>
      </c>
    </row>
    <row r="1938" ht="15" customHeight="1" s="78">
      <c r="A1938" s="95">
        <f>IF($H1938="","",ROW()-6)</f>
        <v/>
      </c>
      <c r="B1938" s="114" t="n"/>
      <c r="C1938" s="102" t="n"/>
      <c r="D1938" s="114" t="n"/>
      <c r="E1938" s="103" t="n"/>
      <c r="F1938" s="102" t="n"/>
      <c r="G1938" s="102" t="n"/>
      <c r="H1938" s="115" t="n"/>
      <c r="I1938" s="102" t="n"/>
      <c r="J1938" s="102" t="n"/>
      <c r="K1938" s="103" t="n"/>
      <c r="L1938" s="116">
        <f>IF($H1938="","",TRIM(IF(COUNTIF(DMTK!$A$7:$A$250,$F1938)=0,"TK Nợ sai! ","")&amp;IF(COUNTIF(DMTK!$A$7:$A$250,$G1938)=0,"TK Có sai! ","")&amp;IF(N($H1938)&lt;=0,"Tiền phải &gt; 0! ","")&amp;IF($B1938="","Thiếu ngày! ","")&amp;IF(AND(OR(LEFT($F1938,3)="131",LEFT($G1938,3)="131",LEFT($F1938,3)="331",LEFT($G1938,3)="331"),$I1938=""),"Thiếu Mã ĐT! ","")&amp;IF(AND($I1938&lt;&gt;"",COUNTIF(DM_DT!$A$7:$A$306,$I1938)=0),"Mã ĐT chưa khai báo! ","")))</f>
        <v/>
      </c>
      <c r="M1938" s="117">
        <f>IF($H1938="","",IF(AND(OR(LEFT($F1938,3)="111",LEFT($F1938,3)="112",LEFT($F1938,3)="113"),OR(LEFT($G1938,3)="111",LEFT($G1938,3)="112",LEFT($G1938,3)="113")),"NB",IF(OR(LEFT($F1938,3)="111",LEFT($F1938,3)="112",LEFT($F1938,3)="113"),"THU",IF(OR(LEFT($G1938,3)="111",LEFT($G1938,3)="112",LEFT($G1938,3)="113"),"CHI",""))))</f>
        <v/>
      </c>
      <c r="N1938" s="117">
        <f>IF($M1938="THU",$G1938,IF($M1938="CHI",$F1938,""))</f>
        <v/>
      </c>
      <c r="O1938" s="117">
        <f>IF(OR($M1938="",$M1938="NB"),"",IF($J1938&lt;&gt;"",TEXT($J1938,"00"),IFERROR(VLOOKUP(LEFT($N1938,4),LCTT_MAP!$A$7:$C$66,IF($M1938="THU",2,3),FALSE()),IFERROR(VLOOKUP(LEFT($N1938,3),LCTT_MAP!$A$7:$C$66,IF($M1938="THU",2,3),FALSE()),IFERROR(VLOOKUP(LEFT($N1938,2),LCTT_MAP!$A$7:$C$66,IF($M1938="THU",2,3),FALSE()),IFERROR(VLOOKUP(LEFT($N1938,1),LCTT_MAP!$A$7:$C$66,IF($M1938="THU",2,3),FALSE()),IF($M1938="THU","06","07")))))))</f>
        <v/>
      </c>
      <c r="P1938" s="117">
        <f>P1937+IF(AND($H1938&lt;&gt;"",OR(LEFT($F1938,LEN(SC_TK))=SC_TK,LEFT($G1938,LEN(SC_TK))=SC_TK)),1,0)</f>
        <v/>
      </c>
    </row>
    <row r="1939" ht="15" customHeight="1" s="78">
      <c r="A1939" s="95">
        <f>IF($H1939="","",ROW()-6)</f>
        <v/>
      </c>
      <c r="B1939" s="114" t="n"/>
      <c r="C1939" s="102" t="n"/>
      <c r="D1939" s="114" t="n"/>
      <c r="E1939" s="103" t="n"/>
      <c r="F1939" s="102" t="n"/>
      <c r="G1939" s="102" t="n"/>
      <c r="H1939" s="115" t="n"/>
      <c r="I1939" s="102" t="n"/>
      <c r="J1939" s="102" t="n"/>
      <c r="K1939" s="103" t="n"/>
      <c r="L1939" s="116">
        <f>IF($H1939="","",TRIM(IF(COUNTIF(DMTK!$A$7:$A$250,$F1939)=0,"TK Nợ sai! ","")&amp;IF(COUNTIF(DMTK!$A$7:$A$250,$G1939)=0,"TK Có sai! ","")&amp;IF(N($H1939)&lt;=0,"Tiền phải &gt; 0! ","")&amp;IF($B1939="","Thiếu ngày! ","")&amp;IF(AND(OR(LEFT($F1939,3)="131",LEFT($G1939,3)="131",LEFT($F1939,3)="331",LEFT($G1939,3)="331"),$I1939=""),"Thiếu Mã ĐT! ","")&amp;IF(AND($I1939&lt;&gt;"",COUNTIF(DM_DT!$A$7:$A$306,$I1939)=0),"Mã ĐT chưa khai báo! ","")))</f>
        <v/>
      </c>
      <c r="M1939" s="117">
        <f>IF($H1939="","",IF(AND(OR(LEFT($F1939,3)="111",LEFT($F1939,3)="112",LEFT($F1939,3)="113"),OR(LEFT($G1939,3)="111",LEFT($G1939,3)="112",LEFT($G1939,3)="113")),"NB",IF(OR(LEFT($F1939,3)="111",LEFT($F1939,3)="112",LEFT($F1939,3)="113"),"THU",IF(OR(LEFT($G1939,3)="111",LEFT($G1939,3)="112",LEFT($G1939,3)="113"),"CHI",""))))</f>
        <v/>
      </c>
      <c r="N1939" s="117">
        <f>IF($M1939="THU",$G1939,IF($M1939="CHI",$F1939,""))</f>
        <v/>
      </c>
      <c r="O1939" s="117">
        <f>IF(OR($M1939="",$M1939="NB"),"",IF($J1939&lt;&gt;"",TEXT($J1939,"00"),IFERROR(VLOOKUP(LEFT($N1939,4),LCTT_MAP!$A$7:$C$66,IF($M1939="THU",2,3),FALSE()),IFERROR(VLOOKUP(LEFT($N1939,3),LCTT_MAP!$A$7:$C$66,IF($M1939="THU",2,3),FALSE()),IFERROR(VLOOKUP(LEFT($N1939,2),LCTT_MAP!$A$7:$C$66,IF($M1939="THU",2,3),FALSE()),IFERROR(VLOOKUP(LEFT($N1939,1),LCTT_MAP!$A$7:$C$66,IF($M1939="THU",2,3),FALSE()),IF($M1939="THU","06","07")))))))</f>
        <v/>
      </c>
      <c r="P1939" s="117">
        <f>P1938+IF(AND($H1939&lt;&gt;"",OR(LEFT($F1939,LEN(SC_TK))=SC_TK,LEFT($G1939,LEN(SC_TK))=SC_TK)),1,0)</f>
        <v/>
      </c>
    </row>
    <row r="1940" ht="15" customHeight="1" s="78">
      <c r="A1940" s="95">
        <f>IF($H1940="","",ROW()-6)</f>
        <v/>
      </c>
      <c r="B1940" s="114" t="n"/>
      <c r="C1940" s="102" t="n"/>
      <c r="D1940" s="114" t="n"/>
      <c r="E1940" s="103" t="n"/>
      <c r="F1940" s="102" t="n"/>
      <c r="G1940" s="102" t="n"/>
      <c r="H1940" s="115" t="n"/>
      <c r="I1940" s="102" t="n"/>
      <c r="J1940" s="102" t="n"/>
      <c r="K1940" s="103" t="n"/>
      <c r="L1940" s="116">
        <f>IF($H1940="","",TRIM(IF(COUNTIF(DMTK!$A$7:$A$250,$F1940)=0,"TK Nợ sai! ","")&amp;IF(COUNTIF(DMTK!$A$7:$A$250,$G1940)=0,"TK Có sai! ","")&amp;IF(N($H1940)&lt;=0,"Tiền phải &gt; 0! ","")&amp;IF($B1940="","Thiếu ngày! ","")&amp;IF(AND(OR(LEFT($F1940,3)="131",LEFT($G1940,3)="131",LEFT($F1940,3)="331",LEFT($G1940,3)="331"),$I1940=""),"Thiếu Mã ĐT! ","")&amp;IF(AND($I1940&lt;&gt;"",COUNTIF(DM_DT!$A$7:$A$306,$I1940)=0),"Mã ĐT chưa khai báo! ","")))</f>
        <v/>
      </c>
      <c r="M1940" s="117">
        <f>IF($H1940="","",IF(AND(OR(LEFT($F1940,3)="111",LEFT($F1940,3)="112",LEFT($F1940,3)="113"),OR(LEFT($G1940,3)="111",LEFT($G1940,3)="112",LEFT($G1940,3)="113")),"NB",IF(OR(LEFT($F1940,3)="111",LEFT($F1940,3)="112",LEFT($F1940,3)="113"),"THU",IF(OR(LEFT($G1940,3)="111",LEFT($G1940,3)="112",LEFT($G1940,3)="113"),"CHI",""))))</f>
        <v/>
      </c>
      <c r="N1940" s="117">
        <f>IF($M1940="THU",$G1940,IF($M1940="CHI",$F1940,""))</f>
        <v/>
      </c>
      <c r="O1940" s="117">
        <f>IF(OR($M1940="",$M1940="NB"),"",IF($J1940&lt;&gt;"",TEXT($J1940,"00"),IFERROR(VLOOKUP(LEFT($N1940,4),LCTT_MAP!$A$7:$C$66,IF($M1940="THU",2,3),FALSE()),IFERROR(VLOOKUP(LEFT($N1940,3),LCTT_MAP!$A$7:$C$66,IF($M1940="THU",2,3),FALSE()),IFERROR(VLOOKUP(LEFT($N1940,2),LCTT_MAP!$A$7:$C$66,IF($M1940="THU",2,3),FALSE()),IFERROR(VLOOKUP(LEFT($N1940,1),LCTT_MAP!$A$7:$C$66,IF($M1940="THU",2,3),FALSE()),IF($M1940="THU","06","07")))))))</f>
        <v/>
      </c>
      <c r="P1940" s="117">
        <f>P1939+IF(AND($H1940&lt;&gt;"",OR(LEFT($F1940,LEN(SC_TK))=SC_TK,LEFT($G1940,LEN(SC_TK))=SC_TK)),1,0)</f>
        <v/>
      </c>
    </row>
    <row r="1941" ht="15" customHeight="1" s="78">
      <c r="A1941" s="95">
        <f>IF($H1941="","",ROW()-6)</f>
        <v/>
      </c>
      <c r="B1941" s="114" t="n"/>
      <c r="C1941" s="102" t="n"/>
      <c r="D1941" s="114" t="n"/>
      <c r="E1941" s="103" t="n"/>
      <c r="F1941" s="102" t="n"/>
      <c r="G1941" s="102" t="n"/>
      <c r="H1941" s="115" t="n"/>
      <c r="I1941" s="102" t="n"/>
      <c r="J1941" s="102" t="n"/>
      <c r="K1941" s="103" t="n"/>
      <c r="L1941" s="116">
        <f>IF($H1941="","",TRIM(IF(COUNTIF(DMTK!$A$7:$A$250,$F1941)=0,"TK Nợ sai! ","")&amp;IF(COUNTIF(DMTK!$A$7:$A$250,$G1941)=0,"TK Có sai! ","")&amp;IF(N($H1941)&lt;=0,"Tiền phải &gt; 0! ","")&amp;IF($B1941="","Thiếu ngày! ","")&amp;IF(AND(OR(LEFT($F1941,3)="131",LEFT($G1941,3)="131",LEFT($F1941,3)="331",LEFT($G1941,3)="331"),$I1941=""),"Thiếu Mã ĐT! ","")&amp;IF(AND($I1941&lt;&gt;"",COUNTIF(DM_DT!$A$7:$A$306,$I1941)=0),"Mã ĐT chưa khai báo! ","")))</f>
        <v/>
      </c>
      <c r="M1941" s="117">
        <f>IF($H1941="","",IF(AND(OR(LEFT($F1941,3)="111",LEFT($F1941,3)="112",LEFT($F1941,3)="113"),OR(LEFT($G1941,3)="111",LEFT($G1941,3)="112",LEFT($G1941,3)="113")),"NB",IF(OR(LEFT($F1941,3)="111",LEFT($F1941,3)="112",LEFT($F1941,3)="113"),"THU",IF(OR(LEFT($G1941,3)="111",LEFT($G1941,3)="112",LEFT($G1941,3)="113"),"CHI",""))))</f>
        <v/>
      </c>
      <c r="N1941" s="117">
        <f>IF($M1941="THU",$G1941,IF($M1941="CHI",$F1941,""))</f>
        <v/>
      </c>
      <c r="O1941" s="117">
        <f>IF(OR($M1941="",$M1941="NB"),"",IF($J1941&lt;&gt;"",TEXT($J1941,"00"),IFERROR(VLOOKUP(LEFT($N1941,4),LCTT_MAP!$A$7:$C$66,IF($M1941="THU",2,3),FALSE()),IFERROR(VLOOKUP(LEFT($N1941,3),LCTT_MAP!$A$7:$C$66,IF($M1941="THU",2,3),FALSE()),IFERROR(VLOOKUP(LEFT($N1941,2),LCTT_MAP!$A$7:$C$66,IF($M1941="THU",2,3),FALSE()),IFERROR(VLOOKUP(LEFT($N1941,1),LCTT_MAP!$A$7:$C$66,IF($M1941="THU",2,3),FALSE()),IF($M1941="THU","06","07")))))))</f>
        <v/>
      </c>
      <c r="P1941" s="117">
        <f>P1940+IF(AND($H1941&lt;&gt;"",OR(LEFT($F1941,LEN(SC_TK))=SC_TK,LEFT($G1941,LEN(SC_TK))=SC_TK)),1,0)</f>
        <v/>
      </c>
    </row>
    <row r="1942" ht="15" customHeight="1" s="78">
      <c r="A1942" s="95">
        <f>IF($H1942="","",ROW()-6)</f>
        <v/>
      </c>
      <c r="B1942" s="114" t="n"/>
      <c r="C1942" s="102" t="n"/>
      <c r="D1942" s="114" t="n"/>
      <c r="E1942" s="103" t="n"/>
      <c r="F1942" s="102" t="n"/>
      <c r="G1942" s="102" t="n"/>
      <c r="H1942" s="115" t="n"/>
      <c r="I1942" s="102" t="n"/>
      <c r="J1942" s="102" t="n"/>
      <c r="K1942" s="103" t="n"/>
      <c r="L1942" s="116">
        <f>IF($H1942="","",TRIM(IF(COUNTIF(DMTK!$A$7:$A$250,$F1942)=0,"TK Nợ sai! ","")&amp;IF(COUNTIF(DMTK!$A$7:$A$250,$G1942)=0,"TK Có sai! ","")&amp;IF(N($H1942)&lt;=0,"Tiền phải &gt; 0! ","")&amp;IF($B1942="","Thiếu ngày! ","")&amp;IF(AND(OR(LEFT($F1942,3)="131",LEFT($G1942,3)="131",LEFT($F1942,3)="331",LEFT($G1942,3)="331"),$I1942=""),"Thiếu Mã ĐT! ","")&amp;IF(AND($I1942&lt;&gt;"",COUNTIF(DM_DT!$A$7:$A$306,$I1942)=0),"Mã ĐT chưa khai báo! ","")))</f>
        <v/>
      </c>
      <c r="M1942" s="117">
        <f>IF($H1942="","",IF(AND(OR(LEFT($F1942,3)="111",LEFT($F1942,3)="112",LEFT($F1942,3)="113"),OR(LEFT($G1942,3)="111",LEFT($G1942,3)="112",LEFT($G1942,3)="113")),"NB",IF(OR(LEFT($F1942,3)="111",LEFT($F1942,3)="112",LEFT($F1942,3)="113"),"THU",IF(OR(LEFT($G1942,3)="111",LEFT($G1942,3)="112",LEFT($G1942,3)="113"),"CHI",""))))</f>
        <v/>
      </c>
      <c r="N1942" s="117">
        <f>IF($M1942="THU",$G1942,IF($M1942="CHI",$F1942,""))</f>
        <v/>
      </c>
      <c r="O1942" s="117">
        <f>IF(OR($M1942="",$M1942="NB"),"",IF($J1942&lt;&gt;"",TEXT($J1942,"00"),IFERROR(VLOOKUP(LEFT($N1942,4),LCTT_MAP!$A$7:$C$66,IF($M1942="THU",2,3),FALSE()),IFERROR(VLOOKUP(LEFT($N1942,3),LCTT_MAP!$A$7:$C$66,IF($M1942="THU",2,3),FALSE()),IFERROR(VLOOKUP(LEFT($N1942,2),LCTT_MAP!$A$7:$C$66,IF($M1942="THU",2,3),FALSE()),IFERROR(VLOOKUP(LEFT($N1942,1),LCTT_MAP!$A$7:$C$66,IF($M1942="THU",2,3),FALSE()),IF($M1942="THU","06","07")))))))</f>
        <v/>
      </c>
      <c r="P1942" s="117">
        <f>P1941+IF(AND($H1942&lt;&gt;"",OR(LEFT($F1942,LEN(SC_TK))=SC_TK,LEFT($G1942,LEN(SC_TK))=SC_TK)),1,0)</f>
        <v/>
      </c>
    </row>
    <row r="1943" ht="15" customHeight="1" s="78">
      <c r="A1943" s="95">
        <f>IF($H1943="","",ROW()-6)</f>
        <v/>
      </c>
      <c r="B1943" s="114" t="n"/>
      <c r="C1943" s="102" t="n"/>
      <c r="D1943" s="114" t="n"/>
      <c r="E1943" s="103" t="n"/>
      <c r="F1943" s="102" t="n"/>
      <c r="G1943" s="102" t="n"/>
      <c r="H1943" s="115" t="n"/>
      <c r="I1943" s="102" t="n"/>
      <c r="J1943" s="102" t="n"/>
      <c r="K1943" s="103" t="n"/>
      <c r="L1943" s="116">
        <f>IF($H1943="","",TRIM(IF(COUNTIF(DMTK!$A$7:$A$250,$F1943)=0,"TK Nợ sai! ","")&amp;IF(COUNTIF(DMTK!$A$7:$A$250,$G1943)=0,"TK Có sai! ","")&amp;IF(N($H1943)&lt;=0,"Tiền phải &gt; 0! ","")&amp;IF($B1943="","Thiếu ngày! ","")&amp;IF(AND(OR(LEFT($F1943,3)="131",LEFT($G1943,3)="131",LEFT($F1943,3)="331",LEFT($G1943,3)="331"),$I1943=""),"Thiếu Mã ĐT! ","")&amp;IF(AND($I1943&lt;&gt;"",COUNTIF(DM_DT!$A$7:$A$306,$I1943)=0),"Mã ĐT chưa khai báo! ","")))</f>
        <v/>
      </c>
      <c r="M1943" s="117">
        <f>IF($H1943="","",IF(AND(OR(LEFT($F1943,3)="111",LEFT($F1943,3)="112",LEFT($F1943,3)="113"),OR(LEFT($G1943,3)="111",LEFT($G1943,3)="112",LEFT($G1943,3)="113")),"NB",IF(OR(LEFT($F1943,3)="111",LEFT($F1943,3)="112",LEFT($F1943,3)="113"),"THU",IF(OR(LEFT($G1943,3)="111",LEFT($G1943,3)="112",LEFT($G1943,3)="113"),"CHI",""))))</f>
        <v/>
      </c>
      <c r="N1943" s="117">
        <f>IF($M1943="THU",$G1943,IF($M1943="CHI",$F1943,""))</f>
        <v/>
      </c>
      <c r="O1943" s="117">
        <f>IF(OR($M1943="",$M1943="NB"),"",IF($J1943&lt;&gt;"",TEXT($J1943,"00"),IFERROR(VLOOKUP(LEFT($N1943,4),LCTT_MAP!$A$7:$C$66,IF($M1943="THU",2,3),FALSE()),IFERROR(VLOOKUP(LEFT($N1943,3),LCTT_MAP!$A$7:$C$66,IF($M1943="THU",2,3),FALSE()),IFERROR(VLOOKUP(LEFT($N1943,2),LCTT_MAP!$A$7:$C$66,IF($M1943="THU",2,3),FALSE()),IFERROR(VLOOKUP(LEFT($N1943,1),LCTT_MAP!$A$7:$C$66,IF($M1943="THU",2,3),FALSE()),IF($M1943="THU","06","07")))))))</f>
        <v/>
      </c>
      <c r="P1943" s="117">
        <f>P1942+IF(AND($H1943&lt;&gt;"",OR(LEFT($F1943,LEN(SC_TK))=SC_TK,LEFT($G1943,LEN(SC_TK))=SC_TK)),1,0)</f>
        <v/>
      </c>
    </row>
    <row r="1944" ht="15" customHeight="1" s="78">
      <c r="A1944" s="95">
        <f>IF($H1944="","",ROW()-6)</f>
        <v/>
      </c>
      <c r="B1944" s="114" t="n"/>
      <c r="C1944" s="102" t="n"/>
      <c r="D1944" s="114" t="n"/>
      <c r="E1944" s="103" t="n"/>
      <c r="F1944" s="102" t="n"/>
      <c r="G1944" s="102" t="n"/>
      <c r="H1944" s="115" t="n"/>
      <c r="I1944" s="102" t="n"/>
      <c r="J1944" s="102" t="n"/>
      <c r="K1944" s="103" t="n"/>
      <c r="L1944" s="116">
        <f>IF($H1944="","",TRIM(IF(COUNTIF(DMTK!$A$7:$A$250,$F1944)=0,"TK Nợ sai! ","")&amp;IF(COUNTIF(DMTK!$A$7:$A$250,$G1944)=0,"TK Có sai! ","")&amp;IF(N($H1944)&lt;=0,"Tiền phải &gt; 0! ","")&amp;IF($B1944="","Thiếu ngày! ","")&amp;IF(AND(OR(LEFT($F1944,3)="131",LEFT($G1944,3)="131",LEFT($F1944,3)="331",LEFT($G1944,3)="331"),$I1944=""),"Thiếu Mã ĐT! ","")&amp;IF(AND($I1944&lt;&gt;"",COUNTIF(DM_DT!$A$7:$A$306,$I1944)=0),"Mã ĐT chưa khai báo! ","")))</f>
        <v/>
      </c>
      <c r="M1944" s="117">
        <f>IF($H1944="","",IF(AND(OR(LEFT($F1944,3)="111",LEFT($F1944,3)="112",LEFT($F1944,3)="113"),OR(LEFT($G1944,3)="111",LEFT($G1944,3)="112",LEFT($G1944,3)="113")),"NB",IF(OR(LEFT($F1944,3)="111",LEFT($F1944,3)="112",LEFT($F1944,3)="113"),"THU",IF(OR(LEFT($G1944,3)="111",LEFT($G1944,3)="112",LEFT($G1944,3)="113"),"CHI",""))))</f>
        <v/>
      </c>
      <c r="N1944" s="117">
        <f>IF($M1944="THU",$G1944,IF($M1944="CHI",$F1944,""))</f>
        <v/>
      </c>
      <c r="O1944" s="117">
        <f>IF(OR($M1944="",$M1944="NB"),"",IF($J1944&lt;&gt;"",TEXT($J1944,"00"),IFERROR(VLOOKUP(LEFT($N1944,4),LCTT_MAP!$A$7:$C$66,IF($M1944="THU",2,3),FALSE()),IFERROR(VLOOKUP(LEFT($N1944,3),LCTT_MAP!$A$7:$C$66,IF($M1944="THU",2,3),FALSE()),IFERROR(VLOOKUP(LEFT($N1944,2),LCTT_MAP!$A$7:$C$66,IF($M1944="THU",2,3),FALSE()),IFERROR(VLOOKUP(LEFT($N1944,1),LCTT_MAP!$A$7:$C$66,IF($M1944="THU",2,3),FALSE()),IF($M1944="THU","06","07")))))))</f>
        <v/>
      </c>
      <c r="P1944" s="117">
        <f>P1943+IF(AND($H1944&lt;&gt;"",OR(LEFT($F1944,LEN(SC_TK))=SC_TK,LEFT($G1944,LEN(SC_TK))=SC_TK)),1,0)</f>
        <v/>
      </c>
    </row>
    <row r="1945" ht="15" customHeight="1" s="78">
      <c r="A1945" s="95">
        <f>IF($H1945="","",ROW()-6)</f>
        <v/>
      </c>
      <c r="B1945" s="114" t="n"/>
      <c r="C1945" s="102" t="n"/>
      <c r="D1945" s="114" t="n"/>
      <c r="E1945" s="103" t="n"/>
      <c r="F1945" s="102" t="n"/>
      <c r="G1945" s="102" t="n"/>
      <c r="H1945" s="115" t="n"/>
      <c r="I1945" s="102" t="n"/>
      <c r="J1945" s="102" t="n"/>
      <c r="K1945" s="103" t="n"/>
      <c r="L1945" s="116">
        <f>IF($H1945="","",TRIM(IF(COUNTIF(DMTK!$A$7:$A$250,$F1945)=0,"TK Nợ sai! ","")&amp;IF(COUNTIF(DMTK!$A$7:$A$250,$G1945)=0,"TK Có sai! ","")&amp;IF(N($H1945)&lt;=0,"Tiền phải &gt; 0! ","")&amp;IF($B1945="","Thiếu ngày! ","")&amp;IF(AND(OR(LEFT($F1945,3)="131",LEFT($G1945,3)="131",LEFT($F1945,3)="331",LEFT($G1945,3)="331"),$I1945=""),"Thiếu Mã ĐT! ","")&amp;IF(AND($I1945&lt;&gt;"",COUNTIF(DM_DT!$A$7:$A$306,$I1945)=0),"Mã ĐT chưa khai báo! ","")))</f>
        <v/>
      </c>
      <c r="M1945" s="117">
        <f>IF($H1945="","",IF(AND(OR(LEFT($F1945,3)="111",LEFT($F1945,3)="112",LEFT($F1945,3)="113"),OR(LEFT($G1945,3)="111",LEFT($G1945,3)="112",LEFT($G1945,3)="113")),"NB",IF(OR(LEFT($F1945,3)="111",LEFT($F1945,3)="112",LEFT($F1945,3)="113"),"THU",IF(OR(LEFT($G1945,3)="111",LEFT($G1945,3)="112",LEFT($G1945,3)="113"),"CHI",""))))</f>
        <v/>
      </c>
      <c r="N1945" s="117">
        <f>IF($M1945="THU",$G1945,IF($M1945="CHI",$F1945,""))</f>
        <v/>
      </c>
      <c r="O1945" s="117">
        <f>IF(OR($M1945="",$M1945="NB"),"",IF($J1945&lt;&gt;"",TEXT($J1945,"00"),IFERROR(VLOOKUP(LEFT($N1945,4),LCTT_MAP!$A$7:$C$66,IF($M1945="THU",2,3),FALSE()),IFERROR(VLOOKUP(LEFT($N1945,3),LCTT_MAP!$A$7:$C$66,IF($M1945="THU",2,3),FALSE()),IFERROR(VLOOKUP(LEFT($N1945,2),LCTT_MAP!$A$7:$C$66,IF($M1945="THU",2,3),FALSE()),IFERROR(VLOOKUP(LEFT($N1945,1),LCTT_MAP!$A$7:$C$66,IF($M1945="THU",2,3),FALSE()),IF($M1945="THU","06","07")))))))</f>
        <v/>
      </c>
      <c r="P1945" s="117">
        <f>P1944+IF(AND($H1945&lt;&gt;"",OR(LEFT($F1945,LEN(SC_TK))=SC_TK,LEFT($G1945,LEN(SC_TK))=SC_TK)),1,0)</f>
        <v/>
      </c>
    </row>
    <row r="1946" ht="15" customHeight="1" s="78">
      <c r="A1946" s="95">
        <f>IF($H1946="","",ROW()-6)</f>
        <v/>
      </c>
      <c r="B1946" s="114" t="n"/>
      <c r="C1946" s="102" t="n"/>
      <c r="D1946" s="114" t="n"/>
      <c r="E1946" s="103" t="n"/>
      <c r="F1946" s="102" t="n"/>
      <c r="G1946" s="102" t="n"/>
      <c r="H1946" s="115" t="n"/>
      <c r="I1946" s="102" t="n"/>
      <c r="J1946" s="102" t="n"/>
      <c r="K1946" s="103" t="n"/>
      <c r="L1946" s="116">
        <f>IF($H1946="","",TRIM(IF(COUNTIF(DMTK!$A$7:$A$250,$F1946)=0,"TK Nợ sai! ","")&amp;IF(COUNTIF(DMTK!$A$7:$A$250,$G1946)=0,"TK Có sai! ","")&amp;IF(N($H1946)&lt;=0,"Tiền phải &gt; 0! ","")&amp;IF($B1946="","Thiếu ngày! ","")&amp;IF(AND(OR(LEFT($F1946,3)="131",LEFT($G1946,3)="131",LEFT($F1946,3)="331",LEFT($G1946,3)="331"),$I1946=""),"Thiếu Mã ĐT! ","")&amp;IF(AND($I1946&lt;&gt;"",COUNTIF(DM_DT!$A$7:$A$306,$I1946)=0),"Mã ĐT chưa khai báo! ","")))</f>
        <v/>
      </c>
      <c r="M1946" s="117">
        <f>IF($H1946="","",IF(AND(OR(LEFT($F1946,3)="111",LEFT($F1946,3)="112",LEFT($F1946,3)="113"),OR(LEFT($G1946,3)="111",LEFT($G1946,3)="112",LEFT($G1946,3)="113")),"NB",IF(OR(LEFT($F1946,3)="111",LEFT($F1946,3)="112",LEFT($F1946,3)="113"),"THU",IF(OR(LEFT($G1946,3)="111",LEFT($G1946,3)="112",LEFT($G1946,3)="113"),"CHI",""))))</f>
        <v/>
      </c>
      <c r="N1946" s="117">
        <f>IF($M1946="THU",$G1946,IF($M1946="CHI",$F1946,""))</f>
        <v/>
      </c>
      <c r="O1946" s="117">
        <f>IF(OR($M1946="",$M1946="NB"),"",IF($J1946&lt;&gt;"",TEXT($J1946,"00"),IFERROR(VLOOKUP(LEFT($N1946,4),LCTT_MAP!$A$7:$C$66,IF($M1946="THU",2,3),FALSE()),IFERROR(VLOOKUP(LEFT($N1946,3),LCTT_MAP!$A$7:$C$66,IF($M1946="THU",2,3),FALSE()),IFERROR(VLOOKUP(LEFT($N1946,2),LCTT_MAP!$A$7:$C$66,IF($M1946="THU",2,3),FALSE()),IFERROR(VLOOKUP(LEFT($N1946,1),LCTT_MAP!$A$7:$C$66,IF($M1946="THU",2,3),FALSE()),IF($M1946="THU","06","07")))))))</f>
        <v/>
      </c>
      <c r="P1946" s="117">
        <f>P1945+IF(AND($H1946&lt;&gt;"",OR(LEFT($F1946,LEN(SC_TK))=SC_TK,LEFT($G1946,LEN(SC_TK))=SC_TK)),1,0)</f>
        <v/>
      </c>
    </row>
    <row r="1947" ht="15" customHeight="1" s="78">
      <c r="A1947" s="95">
        <f>IF($H1947="","",ROW()-6)</f>
        <v/>
      </c>
      <c r="B1947" s="114" t="n"/>
      <c r="C1947" s="102" t="n"/>
      <c r="D1947" s="114" t="n"/>
      <c r="E1947" s="103" t="n"/>
      <c r="F1947" s="102" t="n"/>
      <c r="G1947" s="102" t="n"/>
      <c r="H1947" s="115" t="n"/>
      <c r="I1947" s="102" t="n"/>
      <c r="J1947" s="102" t="n"/>
      <c r="K1947" s="103" t="n"/>
      <c r="L1947" s="116">
        <f>IF($H1947="","",TRIM(IF(COUNTIF(DMTK!$A$7:$A$250,$F1947)=0,"TK Nợ sai! ","")&amp;IF(COUNTIF(DMTK!$A$7:$A$250,$G1947)=0,"TK Có sai! ","")&amp;IF(N($H1947)&lt;=0,"Tiền phải &gt; 0! ","")&amp;IF($B1947="","Thiếu ngày! ","")&amp;IF(AND(OR(LEFT($F1947,3)="131",LEFT($G1947,3)="131",LEFT($F1947,3)="331",LEFT($G1947,3)="331"),$I1947=""),"Thiếu Mã ĐT! ","")&amp;IF(AND($I1947&lt;&gt;"",COUNTIF(DM_DT!$A$7:$A$306,$I1947)=0),"Mã ĐT chưa khai báo! ","")))</f>
        <v/>
      </c>
      <c r="M1947" s="117">
        <f>IF($H1947="","",IF(AND(OR(LEFT($F1947,3)="111",LEFT($F1947,3)="112",LEFT($F1947,3)="113"),OR(LEFT($G1947,3)="111",LEFT($G1947,3)="112",LEFT($G1947,3)="113")),"NB",IF(OR(LEFT($F1947,3)="111",LEFT($F1947,3)="112",LEFT($F1947,3)="113"),"THU",IF(OR(LEFT($G1947,3)="111",LEFT($G1947,3)="112",LEFT($G1947,3)="113"),"CHI",""))))</f>
        <v/>
      </c>
      <c r="N1947" s="117">
        <f>IF($M1947="THU",$G1947,IF($M1947="CHI",$F1947,""))</f>
        <v/>
      </c>
      <c r="O1947" s="117">
        <f>IF(OR($M1947="",$M1947="NB"),"",IF($J1947&lt;&gt;"",TEXT($J1947,"00"),IFERROR(VLOOKUP(LEFT($N1947,4),LCTT_MAP!$A$7:$C$66,IF($M1947="THU",2,3),FALSE()),IFERROR(VLOOKUP(LEFT($N1947,3),LCTT_MAP!$A$7:$C$66,IF($M1947="THU",2,3),FALSE()),IFERROR(VLOOKUP(LEFT($N1947,2),LCTT_MAP!$A$7:$C$66,IF($M1947="THU",2,3),FALSE()),IFERROR(VLOOKUP(LEFT($N1947,1),LCTT_MAP!$A$7:$C$66,IF($M1947="THU",2,3),FALSE()),IF($M1947="THU","06","07")))))))</f>
        <v/>
      </c>
      <c r="P1947" s="117">
        <f>P1946+IF(AND($H1947&lt;&gt;"",OR(LEFT($F1947,LEN(SC_TK))=SC_TK,LEFT($G1947,LEN(SC_TK))=SC_TK)),1,0)</f>
        <v/>
      </c>
    </row>
    <row r="1948" ht="15" customHeight="1" s="78">
      <c r="A1948" s="95">
        <f>IF($H1948="","",ROW()-6)</f>
        <v/>
      </c>
      <c r="B1948" s="114" t="n"/>
      <c r="C1948" s="102" t="n"/>
      <c r="D1948" s="114" t="n"/>
      <c r="E1948" s="103" t="n"/>
      <c r="F1948" s="102" t="n"/>
      <c r="G1948" s="102" t="n"/>
      <c r="H1948" s="115" t="n"/>
      <c r="I1948" s="102" t="n"/>
      <c r="J1948" s="102" t="n"/>
      <c r="K1948" s="103" t="n"/>
      <c r="L1948" s="116">
        <f>IF($H1948="","",TRIM(IF(COUNTIF(DMTK!$A$7:$A$250,$F1948)=0,"TK Nợ sai! ","")&amp;IF(COUNTIF(DMTK!$A$7:$A$250,$G1948)=0,"TK Có sai! ","")&amp;IF(N($H1948)&lt;=0,"Tiền phải &gt; 0! ","")&amp;IF($B1948="","Thiếu ngày! ","")&amp;IF(AND(OR(LEFT($F1948,3)="131",LEFT($G1948,3)="131",LEFT($F1948,3)="331",LEFT($G1948,3)="331"),$I1948=""),"Thiếu Mã ĐT! ","")&amp;IF(AND($I1948&lt;&gt;"",COUNTIF(DM_DT!$A$7:$A$306,$I1948)=0),"Mã ĐT chưa khai báo! ","")))</f>
        <v/>
      </c>
      <c r="M1948" s="117">
        <f>IF($H1948="","",IF(AND(OR(LEFT($F1948,3)="111",LEFT($F1948,3)="112",LEFT($F1948,3)="113"),OR(LEFT($G1948,3)="111",LEFT($G1948,3)="112",LEFT($G1948,3)="113")),"NB",IF(OR(LEFT($F1948,3)="111",LEFT($F1948,3)="112",LEFT($F1948,3)="113"),"THU",IF(OR(LEFT($G1948,3)="111",LEFT($G1948,3)="112",LEFT($G1948,3)="113"),"CHI",""))))</f>
        <v/>
      </c>
      <c r="N1948" s="117">
        <f>IF($M1948="THU",$G1948,IF($M1948="CHI",$F1948,""))</f>
        <v/>
      </c>
      <c r="O1948" s="117">
        <f>IF(OR($M1948="",$M1948="NB"),"",IF($J1948&lt;&gt;"",TEXT($J1948,"00"),IFERROR(VLOOKUP(LEFT($N1948,4),LCTT_MAP!$A$7:$C$66,IF($M1948="THU",2,3),FALSE()),IFERROR(VLOOKUP(LEFT($N1948,3),LCTT_MAP!$A$7:$C$66,IF($M1948="THU",2,3),FALSE()),IFERROR(VLOOKUP(LEFT($N1948,2),LCTT_MAP!$A$7:$C$66,IF($M1948="THU",2,3),FALSE()),IFERROR(VLOOKUP(LEFT($N1948,1),LCTT_MAP!$A$7:$C$66,IF($M1948="THU",2,3),FALSE()),IF($M1948="THU","06","07")))))))</f>
        <v/>
      </c>
      <c r="P1948" s="117">
        <f>P1947+IF(AND($H1948&lt;&gt;"",OR(LEFT($F1948,LEN(SC_TK))=SC_TK,LEFT($G1948,LEN(SC_TK))=SC_TK)),1,0)</f>
        <v/>
      </c>
    </row>
    <row r="1949" ht="15" customHeight="1" s="78">
      <c r="A1949" s="95">
        <f>IF($H1949="","",ROW()-6)</f>
        <v/>
      </c>
      <c r="B1949" s="114" t="n"/>
      <c r="C1949" s="102" t="n"/>
      <c r="D1949" s="114" t="n"/>
      <c r="E1949" s="103" t="n"/>
      <c r="F1949" s="102" t="n"/>
      <c r="G1949" s="102" t="n"/>
      <c r="H1949" s="115" t="n"/>
      <c r="I1949" s="102" t="n"/>
      <c r="J1949" s="102" t="n"/>
      <c r="K1949" s="103" t="n"/>
      <c r="L1949" s="116">
        <f>IF($H1949="","",TRIM(IF(COUNTIF(DMTK!$A$7:$A$250,$F1949)=0,"TK Nợ sai! ","")&amp;IF(COUNTIF(DMTK!$A$7:$A$250,$G1949)=0,"TK Có sai! ","")&amp;IF(N($H1949)&lt;=0,"Tiền phải &gt; 0! ","")&amp;IF($B1949="","Thiếu ngày! ","")&amp;IF(AND(OR(LEFT($F1949,3)="131",LEFT($G1949,3)="131",LEFT($F1949,3)="331",LEFT($G1949,3)="331"),$I1949=""),"Thiếu Mã ĐT! ","")&amp;IF(AND($I1949&lt;&gt;"",COUNTIF(DM_DT!$A$7:$A$306,$I1949)=0),"Mã ĐT chưa khai báo! ","")))</f>
        <v/>
      </c>
      <c r="M1949" s="117">
        <f>IF($H1949="","",IF(AND(OR(LEFT($F1949,3)="111",LEFT($F1949,3)="112",LEFT($F1949,3)="113"),OR(LEFT($G1949,3)="111",LEFT($G1949,3)="112",LEFT($G1949,3)="113")),"NB",IF(OR(LEFT($F1949,3)="111",LEFT($F1949,3)="112",LEFT($F1949,3)="113"),"THU",IF(OR(LEFT($G1949,3)="111",LEFT($G1949,3)="112",LEFT($G1949,3)="113"),"CHI",""))))</f>
        <v/>
      </c>
      <c r="N1949" s="117">
        <f>IF($M1949="THU",$G1949,IF($M1949="CHI",$F1949,""))</f>
        <v/>
      </c>
      <c r="O1949" s="117">
        <f>IF(OR($M1949="",$M1949="NB"),"",IF($J1949&lt;&gt;"",TEXT($J1949,"00"),IFERROR(VLOOKUP(LEFT($N1949,4),LCTT_MAP!$A$7:$C$66,IF($M1949="THU",2,3),FALSE()),IFERROR(VLOOKUP(LEFT($N1949,3),LCTT_MAP!$A$7:$C$66,IF($M1949="THU",2,3),FALSE()),IFERROR(VLOOKUP(LEFT($N1949,2),LCTT_MAP!$A$7:$C$66,IF($M1949="THU",2,3),FALSE()),IFERROR(VLOOKUP(LEFT($N1949,1),LCTT_MAP!$A$7:$C$66,IF($M1949="THU",2,3),FALSE()),IF($M1949="THU","06","07")))))))</f>
        <v/>
      </c>
      <c r="P1949" s="117">
        <f>P1948+IF(AND($H1949&lt;&gt;"",OR(LEFT($F1949,LEN(SC_TK))=SC_TK,LEFT($G1949,LEN(SC_TK))=SC_TK)),1,0)</f>
        <v/>
      </c>
    </row>
    <row r="1950" ht="15" customHeight="1" s="78">
      <c r="A1950" s="95">
        <f>IF($H1950="","",ROW()-6)</f>
        <v/>
      </c>
      <c r="B1950" s="114" t="n"/>
      <c r="C1950" s="102" t="n"/>
      <c r="D1950" s="114" t="n"/>
      <c r="E1950" s="103" t="n"/>
      <c r="F1950" s="102" t="n"/>
      <c r="G1950" s="102" t="n"/>
      <c r="H1950" s="115" t="n"/>
      <c r="I1950" s="102" t="n"/>
      <c r="J1950" s="102" t="n"/>
      <c r="K1950" s="103" t="n"/>
      <c r="L1950" s="116">
        <f>IF($H1950="","",TRIM(IF(COUNTIF(DMTK!$A$7:$A$250,$F1950)=0,"TK Nợ sai! ","")&amp;IF(COUNTIF(DMTK!$A$7:$A$250,$G1950)=0,"TK Có sai! ","")&amp;IF(N($H1950)&lt;=0,"Tiền phải &gt; 0! ","")&amp;IF($B1950="","Thiếu ngày! ","")&amp;IF(AND(OR(LEFT($F1950,3)="131",LEFT($G1950,3)="131",LEFT($F1950,3)="331",LEFT($G1950,3)="331"),$I1950=""),"Thiếu Mã ĐT! ","")&amp;IF(AND($I1950&lt;&gt;"",COUNTIF(DM_DT!$A$7:$A$306,$I1950)=0),"Mã ĐT chưa khai báo! ","")))</f>
        <v/>
      </c>
      <c r="M1950" s="117">
        <f>IF($H1950="","",IF(AND(OR(LEFT($F1950,3)="111",LEFT($F1950,3)="112",LEFT($F1950,3)="113"),OR(LEFT($G1950,3)="111",LEFT($G1950,3)="112",LEFT($G1950,3)="113")),"NB",IF(OR(LEFT($F1950,3)="111",LEFT($F1950,3)="112",LEFT($F1950,3)="113"),"THU",IF(OR(LEFT($G1950,3)="111",LEFT($G1950,3)="112",LEFT($G1950,3)="113"),"CHI",""))))</f>
        <v/>
      </c>
      <c r="N1950" s="117">
        <f>IF($M1950="THU",$G1950,IF($M1950="CHI",$F1950,""))</f>
        <v/>
      </c>
      <c r="O1950" s="117">
        <f>IF(OR($M1950="",$M1950="NB"),"",IF($J1950&lt;&gt;"",TEXT($J1950,"00"),IFERROR(VLOOKUP(LEFT($N1950,4),LCTT_MAP!$A$7:$C$66,IF($M1950="THU",2,3),FALSE()),IFERROR(VLOOKUP(LEFT($N1950,3),LCTT_MAP!$A$7:$C$66,IF($M1950="THU",2,3),FALSE()),IFERROR(VLOOKUP(LEFT($N1950,2),LCTT_MAP!$A$7:$C$66,IF($M1950="THU",2,3),FALSE()),IFERROR(VLOOKUP(LEFT($N1950,1),LCTT_MAP!$A$7:$C$66,IF($M1950="THU",2,3),FALSE()),IF($M1950="THU","06","07")))))))</f>
        <v/>
      </c>
      <c r="P1950" s="117">
        <f>P1949+IF(AND($H1950&lt;&gt;"",OR(LEFT($F1950,LEN(SC_TK))=SC_TK,LEFT($G1950,LEN(SC_TK))=SC_TK)),1,0)</f>
        <v/>
      </c>
    </row>
    <row r="1951" ht="15" customHeight="1" s="78">
      <c r="A1951" s="95">
        <f>IF($H1951="","",ROW()-6)</f>
        <v/>
      </c>
      <c r="B1951" s="114" t="n"/>
      <c r="C1951" s="102" t="n"/>
      <c r="D1951" s="114" t="n"/>
      <c r="E1951" s="103" t="n"/>
      <c r="F1951" s="102" t="n"/>
      <c r="G1951" s="102" t="n"/>
      <c r="H1951" s="115" t="n"/>
      <c r="I1951" s="102" t="n"/>
      <c r="J1951" s="102" t="n"/>
      <c r="K1951" s="103" t="n"/>
      <c r="L1951" s="116">
        <f>IF($H1951="","",TRIM(IF(COUNTIF(DMTK!$A$7:$A$250,$F1951)=0,"TK Nợ sai! ","")&amp;IF(COUNTIF(DMTK!$A$7:$A$250,$G1951)=0,"TK Có sai! ","")&amp;IF(N($H1951)&lt;=0,"Tiền phải &gt; 0! ","")&amp;IF($B1951="","Thiếu ngày! ","")&amp;IF(AND(OR(LEFT($F1951,3)="131",LEFT($G1951,3)="131",LEFT($F1951,3)="331",LEFT($G1951,3)="331"),$I1951=""),"Thiếu Mã ĐT! ","")&amp;IF(AND($I1951&lt;&gt;"",COUNTIF(DM_DT!$A$7:$A$306,$I1951)=0),"Mã ĐT chưa khai báo! ","")))</f>
        <v/>
      </c>
      <c r="M1951" s="117">
        <f>IF($H1951="","",IF(AND(OR(LEFT($F1951,3)="111",LEFT($F1951,3)="112",LEFT($F1951,3)="113"),OR(LEFT($G1951,3)="111",LEFT($G1951,3)="112",LEFT($G1951,3)="113")),"NB",IF(OR(LEFT($F1951,3)="111",LEFT($F1951,3)="112",LEFT($F1951,3)="113"),"THU",IF(OR(LEFT($G1951,3)="111",LEFT($G1951,3)="112",LEFT($G1951,3)="113"),"CHI",""))))</f>
        <v/>
      </c>
      <c r="N1951" s="117">
        <f>IF($M1951="THU",$G1951,IF($M1951="CHI",$F1951,""))</f>
        <v/>
      </c>
      <c r="O1951" s="117">
        <f>IF(OR($M1951="",$M1951="NB"),"",IF($J1951&lt;&gt;"",TEXT($J1951,"00"),IFERROR(VLOOKUP(LEFT($N1951,4),LCTT_MAP!$A$7:$C$66,IF($M1951="THU",2,3),FALSE()),IFERROR(VLOOKUP(LEFT($N1951,3),LCTT_MAP!$A$7:$C$66,IF($M1951="THU",2,3),FALSE()),IFERROR(VLOOKUP(LEFT($N1951,2),LCTT_MAP!$A$7:$C$66,IF($M1951="THU",2,3),FALSE()),IFERROR(VLOOKUP(LEFT($N1951,1),LCTT_MAP!$A$7:$C$66,IF($M1951="THU",2,3),FALSE()),IF($M1951="THU","06","07")))))))</f>
        <v/>
      </c>
      <c r="P1951" s="117">
        <f>P1950+IF(AND($H1951&lt;&gt;"",OR(LEFT($F1951,LEN(SC_TK))=SC_TK,LEFT($G1951,LEN(SC_TK))=SC_TK)),1,0)</f>
        <v/>
      </c>
    </row>
    <row r="1952" ht="15" customHeight="1" s="78">
      <c r="A1952" s="95">
        <f>IF($H1952="","",ROW()-6)</f>
        <v/>
      </c>
      <c r="B1952" s="114" t="n"/>
      <c r="C1952" s="102" t="n"/>
      <c r="D1952" s="114" t="n"/>
      <c r="E1952" s="103" t="n"/>
      <c r="F1952" s="102" t="n"/>
      <c r="G1952" s="102" t="n"/>
      <c r="H1952" s="115" t="n"/>
      <c r="I1952" s="102" t="n"/>
      <c r="J1952" s="102" t="n"/>
      <c r="K1952" s="103" t="n"/>
      <c r="L1952" s="116">
        <f>IF($H1952="","",TRIM(IF(COUNTIF(DMTK!$A$7:$A$250,$F1952)=0,"TK Nợ sai! ","")&amp;IF(COUNTIF(DMTK!$A$7:$A$250,$G1952)=0,"TK Có sai! ","")&amp;IF(N($H1952)&lt;=0,"Tiền phải &gt; 0! ","")&amp;IF($B1952="","Thiếu ngày! ","")&amp;IF(AND(OR(LEFT($F1952,3)="131",LEFT($G1952,3)="131",LEFT($F1952,3)="331",LEFT($G1952,3)="331"),$I1952=""),"Thiếu Mã ĐT! ","")&amp;IF(AND($I1952&lt;&gt;"",COUNTIF(DM_DT!$A$7:$A$306,$I1952)=0),"Mã ĐT chưa khai báo! ","")))</f>
        <v/>
      </c>
      <c r="M1952" s="117">
        <f>IF($H1952="","",IF(AND(OR(LEFT($F1952,3)="111",LEFT($F1952,3)="112",LEFT($F1952,3)="113"),OR(LEFT($G1952,3)="111",LEFT($G1952,3)="112",LEFT($G1952,3)="113")),"NB",IF(OR(LEFT($F1952,3)="111",LEFT($F1952,3)="112",LEFT($F1952,3)="113"),"THU",IF(OR(LEFT($G1952,3)="111",LEFT($G1952,3)="112",LEFT($G1952,3)="113"),"CHI",""))))</f>
        <v/>
      </c>
      <c r="N1952" s="117">
        <f>IF($M1952="THU",$G1952,IF($M1952="CHI",$F1952,""))</f>
        <v/>
      </c>
      <c r="O1952" s="117">
        <f>IF(OR($M1952="",$M1952="NB"),"",IF($J1952&lt;&gt;"",TEXT($J1952,"00"),IFERROR(VLOOKUP(LEFT($N1952,4),LCTT_MAP!$A$7:$C$66,IF($M1952="THU",2,3),FALSE()),IFERROR(VLOOKUP(LEFT($N1952,3),LCTT_MAP!$A$7:$C$66,IF($M1952="THU",2,3),FALSE()),IFERROR(VLOOKUP(LEFT($N1952,2),LCTT_MAP!$A$7:$C$66,IF($M1952="THU",2,3),FALSE()),IFERROR(VLOOKUP(LEFT($N1952,1),LCTT_MAP!$A$7:$C$66,IF($M1952="THU",2,3),FALSE()),IF($M1952="THU","06","07")))))))</f>
        <v/>
      </c>
      <c r="P1952" s="117">
        <f>P1951+IF(AND($H1952&lt;&gt;"",OR(LEFT($F1952,LEN(SC_TK))=SC_TK,LEFT($G1952,LEN(SC_TK))=SC_TK)),1,0)</f>
        <v/>
      </c>
    </row>
    <row r="1953" ht="15" customHeight="1" s="78">
      <c r="A1953" s="95">
        <f>IF($H1953="","",ROW()-6)</f>
        <v/>
      </c>
      <c r="B1953" s="114" t="n"/>
      <c r="C1953" s="102" t="n"/>
      <c r="D1953" s="114" t="n"/>
      <c r="E1953" s="103" t="n"/>
      <c r="F1953" s="102" t="n"/>
      <c r="G1953" s="102" t="n"/>
      <c r="H1953" s="115" t="n"/>
      <c r="I1953" s="102" t="n"/>
      <c r="J1953" s="102" t="n"/>
      <c r="K1953" s="103" t="n"/>
      <c r="L1953" s="116">
        <f>IF($H1953="","",TRIM(IF(COUNTIF(DMTK!$A$7:$A$250,$F1953)=0,"TK Nợ sai! ","")&amp;IF(COUNTIF(DMTK!$A$7:$A$250,$G1953)=0,"TK Có sai! ","")&amp;IF(N($H1953)&lt;=0,"Tiền phải &gt; 0! ","")&amp;IF($B1953="","Thiếu ngày! ","")&amp;IF(AND(OR(LEFT($F1953,3)="131",LEFT($G1953,3)="131",LEFT($F1953,3)="331",LEFT($G1953,3)="331"),$I1953=""),"Thiếu Mã ĐT! ","")&amp;IF(AND($I1953&lt;&gt;"",COUNTIF(DM_DT!$A$7:$A$306,$I1953)=0),"Mã ĐT chưa khai báo! ","")))</f>
        <v/>
      </c>
      <c r="M1953" s="117">
        <f>IF($H1953="","",IF(AND(OR(LEFT($F1953,3)="111",LEFT($F1953,3)="112",LEFT($F1953,3)="113"),OR(LEFT($G1953,3)="111",LEFT($G1953,3)="112",LEFT($G1953,3)="113")),"NB",IF(OR(LEFT($F1953,3)="111",LEFT($F1953,3)="112",LEFT($F1953,3)="113"),"THU",IF(OR(LEFT($G1953,3)="111",LEFT($G1953,3)="112",LEFT($G1953,3)="113"),"CHI",""))))</f>
        <v/>
      </c>
      <c r="N1953" s="117">
        <f>IF($M1953="THU",$G1953,IF($M1953="CHI",$F1953,""))</f>
        <v/>
      </c>
      <c r="O1953" s="117">
        <f>IF(OR($M1953="",$M1953="NB"),"",IF($J1953&lt;&gt;"",TEXT($J1953,"00"),IFERROR(VLOOKUP(LEFT($N1953,4),LCTT_MAP!$A$7:$C$66,IF($M1953="THU",2,3),FALSE()),IFERROR(VLOOKUP(LEFT($N1953,3),LCTT_MAP!$A$7:$C$66,IF($M1953="THU",2,3),FALSE()),IFERROR(VLOOKUP(LEFT($N1953,2),LCTT_MAP!$A$7:$C$66,IF($M1953="THU",2,3),FALSE()),IFERROR(VLOOKUP(LEFT($N1953,1),LCTT_MAP!$A$7:$C$66,IF($M1953="THU",2,3),FALSE()),IF($M1953="THU","06","07")))))))</f>
        <v/>
      </c>
      <c r="P1953" s="117">
        <f>P1952+IF(AND($H1953&lt;&gt;"",OR(LEFT($F1953,LEN(SC_TK))=SC_TK,LEFT($G1953,LEN(SC_TK))=SC_TK)),1,0)</f>
        <v/>
      </c>
    </row>
    <row r="1954" ht="15" customHeight="1" s="78">
      <c r="A1954" s="95">
        <f>IF($H1954="","",ROW()-6)</f>
        <v/>
      </c>
      <c r="B1954" s="114" t="n"/>
      <c r="C1954" s="102" t="n"/>
      <c r="D1954" s="114" t="n"/>
      <c r="E1954" s="103" t="n"/>
      <c r="F1954" s="102" t="n"/>
      <c r="G1954" s="102" t="n"/>
      <c r="H1954" s="115" t="n"/>
      <c r="I1954" s="102" t="n"/>
      <c r="J1954" s="102" t="n"/>
      <c r="K1954" s="103" t="n"/>
      <c r="L1954" s="116">
        <f>IF($H1954="","",TRIM(IF(COUNTIF(DMTK!$A$7:$A$250,$F1954)=0,"TK Nợ sai! ","")&amp;IF(COUNTIF(DMTK!$A$7:$A$250,$G1954)=0,"TK Có sai! ","")&amp;IF(N($H1954)&lt;=0,"Tiền phải &gt; 0! ","")&amp;IF($B1954="","Thiếu ngày! ","")&amp;IF(AND(OR(LEFT($F1954,3)="131",LEFT($G1954,3)="131",LEFT($F1954,3)="331",LEFT($G1954,3)="331"),$I1954=""),"Thiếu Mã ĐT! ","")&amp;IF(AND($I1954&lt;&gt;"",COUNTIF(DM_DT!$A$7:$A$306,$I1954)=0),"Mã ĐT chưa khai báo! ","")))</f>
        <v/>
      </c>
      <c r="M1954" s="117">
        <f>IF($H1954="","",IF(AND(OR(LEFT($F1954,3)="111",LEFT($F1954,3)="112",LEFT($F1954,3)="113"),OR(LEFT($G1954,3)="111",LEFT($G1954,3)="112",LEFT($G1954,3)="113")),"NB",IF(OR(LEFT($F1954,3)="111",LEFT($F1954,3)="112",LEFT($F1954,3)="113"),"THU",IF(OR(LEFT($G1954,3)="111",LEFT($G1954,3)="112",LEFT($G1954,3)="113"),"CHI",""))))</f>
        <v/>
      </c>
      <c r="N1954" s="117">
        <f>IF($M1954="THU",$G1954,IF($M1954="CHI",$F1954,""))</f>
        <v/>
      </c>
      <c r="O1954" s="117">
        <f>IF(OR($M1954="",$M1954="NB"),"",IF($J1954&lt;&gt;"",TEXT($J1954,"00"),IFERROR(VLOOKUP(LEFT($N1954,4),LCTT_MAP!$A$7:$C$66,IF($M1954="THU",2,3),FALSE()),IFERROR(VLOOKUP(LEFT($N1954,3),LCTT_MAP!$A$7:$C$66,IF($M1954="THU",2,3),FALSE()),IFERROR(VLOOKUP(LEFT($N1954,2),LCTT_MAP!$A$7:$C$66,IF($M1954="THU",2,3),FALSE()),IFERROR(VLOOKUP(LEFT($N1954,1),LCTT_MAP!$A$7:$C$66,IF($M1954="THU",2,3),FALSE()),IF($M1954="THU","06","07")))))))</f>
        <v/>
      </c>
      <c r="P1954" s="117">
        <f>P1953+IF(AND($H1954&lt;&gt;"",OR(LEFT($F1954,LEN(SC_TK))=SC_TK,LEFT($G1954,LEN(SC_TK))=SC_TK)),1,0)</f>
        <v/>
      </c>
    </row>
    <row r="1955" ht="15" customHeight="1" s="78">
      <c r="A1955" s="95">
        <f>IF($H1955="","",ROW()-6)</f>
        <v/>
      </c>
      <c r="B1955" s="114" t="n"/>
      <c r="C1955" s="102" t="n"/>
      <c r="D1955" s="114" t="n"/>
      <c r="E1955" s="103" t="n"/>
      <c r="F1955" s="102" t="n"/>
      <c r="G1955" s="102" t="n"/>
      <c r="H1955" s="115" t="n"/>
      <c r="I1955" s="102" t="n"/>
      <c r="J1955" s="102" t="n"/>
      <c r="K1955" s="103" t="n"/>
      <c r="L1955" s="116">
        <f>IF($H1955="","",TRIM(IF(COUNTIF(DMTK!$A$7:$A$250,$F1955)=0,"TK Nợ sai! ","")&amp;IF(COUNTIF(DMTK!$A$7:$A$250,$G1955)=0,"TK Có sai! ","")&amp;IF(N($H1955)&lt;=0,"Tiền phải &gt; 0! ","")&amp;IF($B1955="","Thiếu ngày! ","")&amp;IF(AND(OR(LEFT($F1955,3)="131",LEFT($G1955,3)="131",LEFT($F1955,3)="331",LEFT($G1955,3)="331"),$I1955=""),"Thiếu Mã ĐT! ","")&amp;IF(AND($I1955&lt;&gt;"",COUNTIF(DM_DT!$A$7:$A$306,$I1955)=0),"Mã ĐT chưa khai báo! ","")))</f>
        <v/>
      </c>
      <c r="M1955" s="117">
        <f>IF($H1955="","",IF(AND(OR(LEFT($F1955,3)="111",LEFT($F1955,3)="112",LEFT($F1955,3)="113"),OR(LEFT($G1955,3)="111",LEFT($G1955,3)="112",LEFT($G1955,3)="113")),"NB",IF(OR(LEFT($F1955,3)="111",LEFT($F1955,3)="112",LEFT($F1955,3)="113"),"THU",IF(OR(LEFT($G1955,3)="111",LEFT($G1955,3)="112",LEFT($G1955,3)="113"),"CHI",""))))</f>
        <v/>
      </c>
      <c r="N1955" s="117">
        <f>IF($M1955="THU",$G1955,IF($M1955="CHI",$F1955,""))</f>
        <v/>
      </c>
      <c r="O1955" s="117">
        <f>IF(OR($M1955="",$M1955="NB"),"",IF($J1955&lt;&gt;"",TEXT($J1955,"00"),IFERROR(VLOOKUP(LEFT($N1955,4),LCTT_MAP!$A$7:$C$66,IF($M1955="THU",2,3),FALSE()),IFERROR(VLOOKUP(LEFT($N1955,3),LCTT_MAP!$A$7:$C$66,IF($M1955="THU",2,3),FALSE()),IFERROR(VLOOKUP(LEFT($N1955,2),LCTT_MAP!$A$7:$C$66,IF($M1955="THU",2,3),FALSE()),IFERROR(VLOOKUP(LEFT($N1955,1),LCTT_MAP!$A$7:$C$66,IF($M1955="THU",2,3),FALSE()),IF($M1955="THU","06","07")))))))</f>
        <v/>
      </c>
      <c r="P1955" s="117">
        <f>P1954+IF(AND($H1955&lt;&gt;"",OR(LEFT($F1955,LEN(SC_TK))=SC_TK,LEFT($G1955,LEN(SC_TK))=SC_TK)),1,0)</f>
        <v/>
      </c>
    </row>
    <row r="1956" ht="15" customHeight="1" s="78">
      <c r="A1956" s="95">
        <f>IF($H1956="","",ROW()-6)</f>
        <v/>
      </c>
      <c r="B1956" s="114" t="n"/>
      <c r="C1956" s="102" t="n"/>
      <c r="D1956" s="114" t="n"/>
      <c r="E1956" s="103" t="n"/>
      <c r="F1956" s="102" t="n"/>
      <c r="G1956" s="102" t="n"/>
      <c r="H1956" s="115" t="n"/>
      <c r="I1956" s="102" t="n"/>
      <c r="J1956" s="102" t="n"/>
      <c r="K1956" s="103" t="n"/>
      <c r="L1956" s="116">
        <f>IF($H1956="","",TRIM(IF(COUNTIF(DMTK!$A$7:$A$250,$F1956)=0,"TK Nợ sai! ","")&amp;IF(COUNTIF(DMTK!$A$7:$A$250,$G1956)=0,"TK Có sai! ","")&amp;IF(N($H1956)&lt;=0,"Tiền phải &gt; 0! ","")&amp;IF($B1956="","Thiếu ngày! ","")&amp;IF(AND(OR(LEFT($F1956,3)="131",LEFT($G1956,3)="131",LEFT($F1956,3)="331",LEFT($G1956,3)="331"),$I1956=""),"Thiếu Mã ĐT! ","")&amp;IF(AND($I1956&lt;&gt;"",COUNTIF(DM_DT!$A$7:$A$306,$I1956)=0),"Mã ĐT chưa khai báo! ","")))</f>
        <v/>
      </c>
      <c r="M1956" s="117">
        <f>IF($H1956="","",IF(AND(OR(LEFT($F1956,3)="111",LEFT($F1956,3)="112",LEFT($F1956,3)="113"),OR(LEFT($G1956,3)="111",LEFT($G1956,3)="112",LEFT($G1956,3)="113")),"NB",IF(OR(LEFT($F1956,3)="111",LEFT($F1956,3)="112",LEFT($F1956,3)="113"),"THU",IF(OR(LEFT($G1956,3)="111",LEFT($G1956,3)="112",LEFT($G1956,3)="113"),"CHI",""))))</f>
        <v/>
      </c>
      <c r="N1956" s="117">
        <f>IF($M1956="THU",$G1956,IF($M1956="CHI",$F1956,""))</f>
        <v/>
      </c>
      <c r="O1956" s="117">
        <f>IF(OR($M1956="",$M1956="NB"),"",IF($J1956&lt;&gt;"",TEXT($J1956,"00"),IFERROR(VLOOKUP(LEFT($N1956,4),LCTT_MAP!$A$7:$C$66,IF($M1956="THU",2,3),FALSE()),IFERROR(VLOOKUP(LEFT($N1956,3),LCTT_MAP!$A$7:$C$66,IF($M1956="THU",2,3),FALSE()),IFERROR(VLOOKUP(LEFT($N1956,2),LCTT_MAP!$A$7:$C$66,IF($M1956="THU",2,3),FALSE()),IFERROR(VLOOKUP(LEFT($N1956,1),LCTT_MAP!$A$7:$C$66,IF($M1956="THU",2,3),FALSE()),IF($M1956="THU","06","07")))))))</f>
        <v/>
      </c>
      <c r="P1956" s="117">
        <f>P1955+IF(AND($H1956&lt;&gt;"",OR(LEFT($F1956,LEN(SC_TK))=SC_TK,LEFT($G1956,LEN(SC_TK))=SC_TK)),1,0)</f>
        <v/>
      </c>
    </row>
    <row r="1957" ht="15" customHeight="1" s="78">
      <c r="A1957" s="95">
        <f>IF($H1957="","",ROW()-6)</f>
        <v/>
      </c>
      <c r="B1957" s="114" t="n"/>
      <c r="C1957" s="102" t="n"/>
      <c r="D1957" s="114" t="n"/>
      <c r="E1957" s="103" t="n"/>
      <c r="F1957" s="102" t="n"/>
      <c r="G1957" s="102" t="n"/>
      <c r="H1957" s="115" t="n"/>
      <c r="I1957" s="102" t="n"/>
      <c r="J1957" s="102" t="n"/>
      <c r="K1957" s="103" t="n"/>
      <c r="L1957" s="116">
        <f>IF($H1957="","",TRIM(IF(COUNTIF(DMTK!$A$7:$A$250,$F1957)=0,"TK Nợ sai! ","")&amp;IF(COUNTIF(DMTK!$A$7:$A$250,$G1957)=0,"TK Có sai! ","")&amp;IF(N($H1957)&lt;=0,"Tiền phải &gt; 0! ","")&amp;IF($B1957="","Thiếu ngày! ","")&amp;IF(AND(OR(LEFT($F1957,3)="131",LEFT($G1957,3)="131",LEFT($F1957,3)="331",LEFT($G1957,3)="331"),$I1957=""),"Thiếu Mã ĐT! ","")&amp;IF(AND($I1957&lt;&gt;"",COUNTIF(DM_DT!$A$7:$A$306,$I1957)=0),"Mã ĐT chưa khai báo! ","")))</f>
        <v/>
      </c>
      <c r="M1957" s="117">
        <f>IF($H1957="","",IF(AND(OR(LEFT($F1957,3)="111",LEFT($F1957,3)="112",LEFT($F1957,3)="113"),OR(LEFT($G1957,3)="111",LEFT($G1957,3)="112",LEFT($G1957,3)="113")),"NB",IF(OR(LEFT($F1957,3)="111",LEFT($F1957,3)="112",LEFT($F1957,3)="113"),"THU",IF(OR(LEFT($G1957,3)="111",LEFT($G1957,3)="112",LEFT($G1957,3)="113"),"CHI",""))))</f>
        <v/>
      </c>
      <c r="N1957" s="117">
        <f>IF($M1957="THU",$G1957,IF($M1957="CHI",$F1957,""))</f>
        <v/>
      </c>
      <c r="O1957" s="117">
        <f>IF(OR($M1957="",$M1957="NB"),"",IF($J1957&lt;&gt;"",TEXT($J1957,"00"),IFERROR(VLOOKUP(LEFT($N1957,4),LCTT_MAP!$A$7:$C$66,IF($M1957="THU",2,3),FALSE()),IFERROR(VLOOKUP(LEFT($N1957,3),LCTT_MAP!$A$7:$C$66,IF($M1957="THU",2,3),FALSE()),IFERROR(VLOOKUP(LEFT($N1957,2),LCTT_MAP!$A$7:$C$66,IF($M1957="THU",2,3),FALSE()),IFERROR(VLOOKUP(LEFT($N1957,1),LCTT_MAP!$A$7:$C$66,IF($M1957="THU",2,3),FALSE()),IF($M1957="THU","06","07")))))))</f>
        <v/>
      </c>
      <c r="P1957" s="117">
        <f>P1956+IF(AND($H1957&lt;&gt;"",OR(LEFT($F1957,LEN(SC_TK))=SC_TK,LEFT($G1957,LEN(SC_TK))=SC_TK)),1,0)</f>
        <v/>
      </c>
    </row>
    <row r="1958" ht="15" customHeight="1" s="78">
      <c r="A1958" s="95">
        <f>IF($H1958="","",ROW()-6)</f>
        <v/>
      </c>
      <c r="B1958" s="114" t="n"/>
      <c r="C1958" s="102" t="n"/>
      <c r="D1958" s="114" t="n"/>
      <c r="E1958" s="103" t="n"/>
      <c r="F1958" s="102" t="n"/>
      <c r="G1958" s="102" t="n"/>
      <c r="H1958" s="115" t="n"/>
      <c r="I1958" s="102" t="n"/>
      <c r="J1958" s="102" t="n"/>
      <c r="K1958" s="103" t="n"/>
      <c r="L1958" s="116">
        <f>IF($H1958="","",TRIM(IF(COUNTIF(DMTK!$A$7:$A$250,$F1958)=0,"TK Nợ sai! ","")&amp;IF(COUNTIF(DMTK!$A$7:$A$250,$G1958)=0,"TK Có sai! ","")&amp;IF(N($H1958)&lt;=0,"Tiền phải &gt; 0! ","")&amp;IF($B1958="","Thiếu ngày! ","")&amp;IF(AND(OR(LEFT($F1958,3)="131",LEFT($G1958,3)="131",LEFT($F1958,3)="331",LEFT($G1958,3)="331"),$I1958=""),"Thiếu Mã ĐT! ","")&amp;IF(AND($I1958&lt;&gt;"",COUNTIF(DM_DT!$A$7:$A$306,$I1958)=0),"Mã ĐT chưa khai báo! ","")))</f>
        <v/>
      </c>
      <c r="M1958" s="117">
        <f>IF($H1958="","",IF(AND(OR(LEFT($F1958,3)="111",LEFT($F1958,3)="112",LEFT($F1958,3)="113"),OR(LEFT($G1958,3)="111",LEFT($G1958,3)="112",LEFT($G1958,3)="113")),"NB",IF(OR(LEFT($F1958,3)="111",LEFT($F1958,3)="112",LEFT($F1958,3)="113"),"THU",IF(OR(LEFT($G1958,3)="111",LEFT($G1958,3)="112",LEFT($G1958,3)="113"),"CHI",""))))</f>
        <v/>
      </c>
      <c r="N1958" s="117">
        <f>IF($M1958="THU",$G1958,IF($M1958="CHI",$F1958,""))</f>
        <v/>
      </c>
      <c r="O1958" s="117">
        <f>IF(OR($M1958="",$M1958="NB"),"",IF($J1958&lt;&gt;"",TEXT($J1958,"00"),IFERROR(VLOOKUP(LEFT($N1958,4),LCTT_MAP!$A$7:$C$66,IF($M1958="THU",2,3),FALSE()),IFERROR(VLOOKUP(LEFT($N1958,3),LCTT_MAP!$A$7:$C$66,IF($M1958="THU",2,3),FALSE()),IFERROR(VLOOKUP(LEFT($N1958,2),LCTT_MAP!$A$7:$C$66,IF($M1958="THU",2,3),FALSE()),IFERROR(VLOOKUP(LEFT($N1958,1),LCTT_MAP!$A$7:$C$66,IF($M1958="THU",2,3),FALSE()),IF($M1958="THU","06","07")))))))</f>
        <v/>
      </c>
      <c r="P1958" s="117">
        <f>P1957+IF(AND($H1958&lt;&gt;"",OR(LEFT($F1958,LEN(SC_TK))=SC_TK,LEFT($G1958,LEN(SC_TK))=SC_TK)),1,0)</f>
        <v/>
      </c>
    </row>
    <row r="1959" ht="15" customHeight="1" s="78">
      <c r="A1959" s="95">
        <f>IF($H1959="","",ROW()-6)</f>
        <v/>
      </c>
      <c r="B1959" s="114" t="n"/>
      <c r="C1959" s="102" t="n"/>
      <c r="D1959" s="114" t="n"/>
      <c r="E1959" s="103" t="n"/>
      <c r="F1959" s="102" t="n"/>
      <c r="G1959" s="102" t="n"/>
      <c r="H1959" s="115" t="n"/>
      <c r="I1959" s="102" t="n"/>
      <c r="J1959" s="102" t="n"/>
      <c r="K1959" s="103" t="n"/>
      <c r="L1959" s="116">
        <f>IF($H1959="","",TRIM(IF(COUNTIF(DMTK!$A$7:$A$250,$F1959)=0,"TK Nợ sai! ","")&amp;IF(COUNTIF(DMTK!$A$7:$A$250,$G1959)=0,"TK Có sai! ","")&amp;IF(N($H1959)&lt;=0,"Tiền phải &gt; 0! ","")&amp;IF($B1959="","Thiếu ngày! ","")&amp;IF(AND(OR(LEFT($F1959,3)="131",LEFT($G1959,3)="131",LEFT($F1959,3)="331",LEFT($G1959,3)="331"),$I1959=""),"Thiếu Mã ĐT! ","")&amp;IF(AND($I1959&lt;&gt;"",COUNTIF(DM_DT!$A$7:$A$306,$I1959)=0),"Mã ĐT chưa khai báo! ","")))</f>
        <v/>
      </c>
      <c r="M1959" s="117">
        <f>IF($H1959="","",IF(AND(OR(LEFT($F1959,3)="111",LEFT($F1959,3)="112",LEFT($F1959,3)="113"),OR(LEFT($G1959,3)="111",LEFT($G1959,3)="112",LEFT($G1959,3)="113")),"NB",IF(OR(LEFT($F1959,3)="111",LEFT($F1959,3)="112",LEFT($F1959,3)="113"),"THU",IF(OR(LEFT($G1959,3)="111",LEFT($G1959,3)="112",LEFT($G1959,3)="113"),"CHI",""))))</f>
        <v/>
      </c>
      <c r="N1959" s="117">
        <f>IF($M1959="THU",$G1959,IF($M1959="CHI",$F1959,""))</f>
        <v/>
      </c>
      <c r="O1959" s="117">
        <f>IF(OR($M1959="",$M1959="NB"),"",IF($J1959&lt;&gt;"",TEXT($J1959,"00"),IFERROR(VLOOKUP(LEFT($N1959,4),LCTT_MAP!$A$7:$C$66,IF($M1959="THU",2,3),FALSE()),IFERROR(VLOOKUP(LEFT($N1959,3),LCTT_MAP!$A$7:$C$66,IF($M1959="THU",2,3),FALSE()),IFERROR(VLOOKUP(LEFT($N1959,2),LCTT_MAP!$A$7:$C$66,IF($M1959="THU",2,3),FALSE()),IFERROR(VLOOKUP(LEFT($N1959,1),LCTT_MAP!$A$7:$C$66,IF($M1959="THU",2,3),FALSE()),IF($M1959="THU","06","07")))))))</f>
        <v/>
      </c>
      <c r="P1959" s="117">
        <f>P1958+IF(AND($H1959&lt;&gt;"",OR(LEFT($F1959,LEN(SC_TK))=SC_TK,LEFT($G1959,LEN(SC_TK))=SC_TK)),1,0)</f>
        <v/>
      </c>
    </row>
    <row r="1960" ht="15" customHeight="1" s="78">
      <c r="A1960" s="95">
        <f>IF($H1960="","",ROW()-6)</f>
        <v/>
      </c>
      <c r="B1960" s="114" t="n"/>
      <c r="C1960" s="102" t="n"/>
      <c r="D1960" s="114" t="n"/>
      <c r="E1960" s="103" t="n"/>
      <c r="F1960" s="102" t="n"/>
      <c r="G1960" s="102" t="n"/>
      <c r="H1960" s="115" t="n"/>
      <c r="I1960" s="102" t="n"/>
      <c r="J1960" s="102" t="n"/>
      <c r="K1960" s="103" t="n"/>
      <c r="L1960" s="116">
        <f>IF($H1960="","",TRIM(IF(COUNTIF(DMTK!$A$7:$A$250,$F1960)=0,"TK Nợ sai! ","")&amp;IF(COUNTIF(DMTK!$A$7:$A$250,$G1960)=0,"TK Có sai! ","")&amp;IF(N($H1960)&lt;=0,"Tiền phải &gt; 0! ","")&amp;IF($B1960="","Thiếu ngày! ","")&amp;IF(AND(OR(LEFT($F1960,3)="131",LEFT($G1960,3)="131",LEFT($F1960,3)="331",LEFT($G1960,3)="331"),$I1960=""),"Thiếu Mã ĐT! ","")&amp;IF(AND($I1960&lt;&gt;"",COUNTIF(DM_DT!$A$7:$A$306,$I1960)=0),"Mã ĐT chưa khai báo! ","")))</f>
        <v/>
      </c>
      <c r="M1960" s="117">
        <f>IF($H1960="","",IF(AND(OR(LEFT($F1960,3)="111",LEFT($F1960,3)="112",LEFT($F1960,3)="113"),OR(LEFT($G1960,3)="111",LEFT($G1960,3)="112",LEFT($G1960,3)="113")),"NB",IF(OR(LEFT($F1960,3)="111",LEFT($F1960,3)="112",LEFT($F1960,3)="113"),"THU",IF(OR(LEFT($G1960,3)="111",LEFT($G1960,3)="112",LEFT($G1960,3)="113"),"CHI",""))))</f>
        <v/>
      </c>
      <c r="N1960" s="117">
        <f>IF($M1960="THU",$G1960,IF($M1960="CHI",$F1960,""))</f>
        <v/>
      </c>
      <c r="O1960" s="117">
        <f>IF(OR($M1960="",$M1960="NB"),"",IF($J1960&lt;&gt;"",TEXT($J1960,"00"),IFERROR(VLOOKUP(LEFT($N1960,4),LCTT_MAP!$A$7:$C$66,IF($M1960="THU",2,3),FALSE()),IFERROR(VLOOKUP(LEFT($N1960,3),LCTT_MAP!$A$7:$C$66,IF($M1960="THU",2,3),FALSE()),IFERROR(VLOOKUP(LEFT($N1960,2),LCTT_MAP!$A$7:$C$66,IF($M1960="THU",2,3),FALSE()),IFERROR(VLOOKUP(LEFT($N1960,1),LCTT_MAP!$A$7:$C$66,IF($M1960="THU",2,3),FALSE()),IF($M1960="THU","06","07")))))))</f>
        <v/>
      </c>
      <c r="P1960" s="117">
        <f>P1959+IF(AND($H1960&lt;&gt;"",OR(LEFT($F1960,LEN(SC_TK))=SC_TK,LEFT($G1960,LEN(SC_TK))=SC_TK)),1,0)</f>
        <v/>
      </c>
    </row>
    <row r="1961" ht="15" customHeight="1" s="78">
      <c r="A1961" s="95">
        <f>IF($H1961="","",ROW()-6)</f>
        <v/>
      </c>
      <c r="B1961" s="114" t="n"/>
      <c r="C1961" s="102" t="n"/>
      <c r="D1961" s="114" t="n"/>
      <c r="E1961" s="103" t="n"/>
      <c r="F1961" s="102" t="n"/>
      <c r="G1961" s="102" t="n"/>
      <c r="H1961" s="115" t="n"/>
      <c r="I1961" s="102" t="n"/>
      <c r="J1961" s="102" t="n"/>
      <c r="K1961" s="103" t="n"/>
      <c r="L1961" s="116">
        <f>IF($H1961="","",TRIM(IF(COUNTIF(DMTK!$A$7:$A$250,$F1961)=0,"TK Nợ sai! ","")&amp;IF(COUNTIF(DMTK!$A$7:$A$250,$G1961)=0,"TK Có sai! ","")&amp;IF(N($H1961)&lt;=0,"Tiền phải &gt; 0! ","")&amp;IF($B1961="","Thiếu ngày! ","")&amp;IF(AND(OR(LEFT($F1961,3)="131",LEFT($G1961,3)="131",LEFT($F1961,3)="331",LEFT($G1961,3)="331"),$I1961=""),"Thiếu Mã ĐT! ","")&amp;IF(AND($I1961&lt;&gt;"",COUNTIF(DM_DT!$A$7:$A$306,$I1961)=0),"Mã ĐT chưa khai báo! ","")))</f>
        <v/>
      </c>
      <c r="M1961" s="117">
        <f>IF($H1961="","",IF(AND(OR(LEFT($F1961,3)="111",LEFT($F1961,3)="112",LEFT($F1961,3)="113"),OR(LEFT($G1961,3)="111",LEFT($G1961,3)="112",LEFT($G1961,3)="113")),"NB",IF(OR(LEFT($F1961,3)="111",LEFT($F1961,3)="112",LEFT($F1961,3)="113"),"THU",IF(OR(LEFT($G1961,3)="111",LEFT($G1961,3)="112",LEFT($G1961,3)="113"),"CHI",""))))</f>
        <v/>
      </c>
      <c r="N1961" s="117">
        <f>IF($M1961="THU",$G1961,IF($M1961="CHI",$F1961,""))</f>
        <v/>
      </c>
      <c r="O1961" s="117">
        <f>IF(OR($M1961="",$M1961="NB"),"",IF($J1961&lt;&gt;"",TEXT($J1961,"00"),IFERROR(VLOOKUP(LEFT($N1961,4),LCTT_MAP!$A$7:$C$66,IF($M1961="THU",2,3),FALSE()),IFERROR(VLOOKUP(LEFT($N1961,3),LCTT_MAP!$A$7:$C$66,IF($M1961="THU",2,3),FALSE()),IFERROR(VLOOKUP(LEFT($N1961,2),LCTT_MAP!$A$7:$C$66,IF($M1961="THU",2,3),FALSE()),IFERROR(VLOOKUP(LEFT($N1961,1),LCTT_MAP!$A$7:$C$66,IF($M1961="THU",2,3),FALSE()),IF($M1961="THU","06","07")))))))</f>
        <v/>
      </c>
      <c r="P1961" s="117">
        <f>P1960+IF(AND($H1961&lt;&gt;"",OR(LEFT($F1961,LEN(SC_TK))=SC_TK,LEFT($G1961,LEN(SC_TK))=SC_TK)),1,0)</f>
        <v/>
      </c>
    </row>
    <row r="1962" ht="15" customHeight="1" s="78">
      <c r="A1962" s="95">
        <f>IF($H1962="","",ROW()-6)</f>
        <v/>
      </c>
      <c r="B1962" s="114" t="n"/>
      <c r="C1962" s="102" t="n"/>
      <c r="D1962" s="114" t="n"/>
      <c r="E1962" s="103" t="n"/>
      <c r="F1962" s="102" t="n"/>
      <c r="G1962" s="102" t="n"/>
      <c r="H1962" s="115" t="n"/>
      <c r="I1962" s="102" t="n"/>
      <c r="J1962" s="102" t="n"/>
      <c r="K1962" s="103" t="n"/>
      <c r="L1962" s="116">
        <f>IF($H1962="","",TRIM(IF(COUNTIF(DMTK!$A$7:$A$250,$F1962)=0,"TK Nợ sai! ","")&amp;IF(COUNTIF(DMTK!$A$7:$A$250,$G1962)=0,"TK Có sai! ","")&amp;IF(N($H1962)&lt;=0,"Tiền phải &gt; 0! ","")&amp;IF($B1962="","Thiếu ngày! ","")&amp;IF(AND(OR(LEFT($F1962,3)="131",LEFT($G1962,3)="131",LEFT($F1962,3)="331",LEFT($G1962,3)="331"),$I1962=""),"Thiếu Mã ĐT! ","")&amp;IF(AND($I1962&lt;&gt;"",COUNTIF(DM_DT!$A$7:$A$306,$I1962)=0),"Mã ĐT chưa khai báo! ","")))</f>
        <v/>
      </c>
      <c r="M1962" s="117">
        <f>IF($H1962="","",IF(AND(OR(LEFT($F1962,3)="111",LEFT($F1962,3)="112",LEFT($F1962,3)="113"),OR(LEFT($G1962,3)="111",LEFT($G1962,3)="112",LEFT($G1962,3)="113")),"NB",IF(OR(LEFT($F1962,3)="111",LEFT($F1962,3)="112",LEFT($F1962,3)="113"),"THU",IF(OR(LEFT($G1962,3)="111",LEFT($G1962,3)="112",LEFT($G1962,3)="113"),"CHI",""))))</f>
        <v/>
      </c>
      <c r="N1962" s="117">
        <f>IF($M1962="THU",$G1962,IF($M1962="CHI",$F1962,""))</f>
        <v/>
      </c>
      <c r="O1962" s="117">
        <f>IF(OR($M1962="",$M1962="NB"),"",IF($J1962&lt;&gt;"",TEXT($J1962,"00"),IFERROR(VLOOKUP(LEFT($N1962,4),LCTT_MAP!$A$7:$C$66,IF($M1962="THU",2,3),FALSE()),IFERROR(VLOOKUP(LEFT($N1962,3),LCTT_MAP!$A$7:$C$66,IF($M1962="THU",2,3),FALSE()),IFERROR(VLOOKUP(LEFT($N1962,2),LCTT_MAP!$A$7:$C$66,IF($M1962="THU",2,3),FALSE()),IFERROR(VLOOKUP(LEFT($N1962,1),LCTT_MAP!$A$7:$C$66,IF($M1962="THU",2,3),FALSE()),IF($M1962="THU","06","07")))))))</f>
        <v/>
      </c>
      <c r="P1962" s="117">
        <f>P1961+IF(AND($H1962&lt;&gt;"",OR(LEFT($F1962,LEN(SC_TK))=SC_TK,LEFT($G1962,LEN(SC_TK))=SC_TK)),1,0)</f>
        <v/>
      </c>
    </row>
    <row r="1963" ht="15" customHeight="1" s="78">
      <c r="A1963" s="95">
        <f>IF($H1963="","",ROW()-6)</f>
        <v/>
      </c>
      <c r="B1963" s="114" t="n"/>
      <c r="C1963" s="102" t="n"/>
      <c r="D1963" s="114" t="n"/>
      <c r="E1963" s="103" t="n"/>
      <c r="F1963" s="102" t="n"/>
      <c r="G1963" s="102" t="n"/>
      <c r="H1963" s="115" t="n"/>
      <c r="I1963" s="102" t="n"/>
      <c r="J1963" s="102" t="n"/>
      <c r="K1963" s="103" t="n"/>
      <c r="L1963" s="116">
        <f>IF($H1963="","",TRIM(IF(COUNTIF(DMTK!$A$7:$A$250,$F1963)=0,"TK Nợ sai! ","")&amp;IF(COUNTIF(DMTK!$A$7:$A$250,$G1963)=0,"TK Có sai! ","")&amp;IF(N($H1963)&lt;=0,"Tiền phải &gt; 0! ","")&amp;IF($B1963="","Thiếu ngày! ","")&amp;IF(AND(OR(LEFT($F1963,3)="131",LEFT($G1963,3)="131",LEFT($F1963,3)="331",LEFT($G1963,3)="331"),$I1963=""),"Thiếu Mã ĐT! ","")&amp;IF(AND($I1963&lt;&gt;"",COUNTIF(DM_DT!$A$7:$A$306,$I1963)=0),"Mã ĐT chưa khai báo! ","")))</f>
        <v/>
      </c>
      <c r="M1963" s="117">
        <f>IF($H1963="","",IF(AND(OR(LEFT($F1963,3)="111",LEFT($F1963,3)="112",LEFT($F1963,3)="113"),OR(LEFT($G1963,3)="111",LEFT($G1963,3)="112",LEFT($G1963,3)="113")),"NB",IF(OR(LEFT($F1963,3)="111",LEFT($F1963,3)="112",LEFT($F1963,3)="113"),"THU",IF(OR(LEFT($G1963,3)="111",LEFT($G1963,3)="112",LEFT($G1963,3)="113"),"CHI",""))))</f>
        <v/>
      </c>
      <c r="N1963" s="117">
        <f>IF($M1963="THU",$G1963,IF($M1963="CHI",$F1963,""))</f>
        <v/>
      </c>
      <c r="O1963" s="117">
        <f>IF(OR($M1963="",$M1963="NB"),"",IF($J1963&lt;&gt;"",TEXT($J1963,"00"),IFERROR(VLOOKUP(LEFT($N1963,4),LCTT_MAP!$A$7:$C$66,IF($M1963="THU",2,3),FALSE()),IFERROR(VLOOKUP(LEFT($N1963,3),LCTT_MAP!$A$7:$C$66,IF($M1963="THU",2,3),FALSE()),IFERROR(VLOOKUP(LEFT($N1963,2),LCTT_MAP!$A$7:$C$66,IF($M1963="THU",2,3),FALSE()),IFERROR(VLOOKUP(LEFT($N1963,1),LCTT_MAP!$A$7:$C$66,IF($M1963="THU",2,3),FALSE()),IF($M1963="THU","06","07")))))))</f>
        <v/>
      </c>
      <c r="P1963" s="117">
        <f>P1962+IF(AND($H1963&lt;&gt;"",OR(LEFT($F1963,LEN(SC_TK))=SC_TK,LEFT($G1963,LEN(SC_TK))=SC_TK)),1,0)</f>
        <v/>
      </c>
    </row>
    <row r="1964" ht="15" customHeight="1" s="78">
      <c r="A1964" s="95">
        <f>IF($H1964="","",ROW()-6)</f>
        <v/>
      </c>
      <c r="B1964" s="114" t="n"/>
      <c r="C1964" s="102" t="n"/>
      <c r="D1964" s="114" t="n"/>
      <c r="E1964" s="103" t="n"/>
      <c r="F1964" s="102" t="n"/>
      <c r="G1964" s="102" t="n"/>
      <c r="H1964" s="115" t="n"/>
      <c r="I1964" s="102" t="n"/>
      <c r="J1964" s="102" t="n"/>
      <c r="K1964" s="103" t="n"/>
      <c r="L1964" s="116">
        <f>IF($H1964="","",TRIM(IF(COUNTIF(DMTK!$A$7:$A$250,$F1964)=0,"TK Nợ sai! ","")&amp;IF(COUNTIF(DMTK!$A$7:$A$250,$G1964)=0,"TK Có sai! ","")&amp;IF(N($H1964)&lt;=0,"Tiền phải &gt; 0! ","")&amp;IF($B1964="","Thiếu ngày! ","")&amp;IF(AND(OR(LEFT($F1964,3)="131",LEFT($G1964,3)="131",LEFT($F1964,3)="331",LEFT($G1964,3)="331"),$I1964=""),"Thiếu Mã ĐT! ","")&amp;IF(AND($I1964&lt;&gt;"",COUNTIF(DM_DT!$A$7:$A$306,$I1964)=0),"Mã ĐT chưa khai báo! ","")))</f>
        <v/>
      </c>
      <c r="M1964" s="117">
        <f>IF($H1964="","",IF(AND(OR(LEFT($F1964,3)="111",LEFT($F1964,3)="112",LEFT($F1964,3)="113"),OR(LEFT($G1964,3)="111",LEFT($G1964,3)="112",LEFT($G1964,3)="113")),"NB",IF(OR(LEFT($F1964,3)="111",LEFT($F1964,3)="112",LEFT($F1964,3)="113"),"THU",IF(OR(LEFT($G1964,3)="111",LEFT($G1964,3)="112",LEFT($G1964,3)="113"),"CHI",""))))</f>
        <v/>
      </c>
      <c r="N1964" s="117">
        <f>IF($M1964="THU",$G1964,IF($M1964="CHI",$F1964,""))</f>
        <v/>
      </c>
      <c r="O1964" s="117">
        <f>IF(OR($M1964="",$M1964="NB"),"",IF($J1964&lt;&gt;"",TEXT($J1964,"00"),IFERROR(VLOOKUP(LEFT($N1964,4),LCTT_MAP!$A$7:$C$66,IF($M1964="THU",2,3),FALSE()),IFERROR(VLOOKUP(LEFT($N1964,3),LCTT_MAP!$A$7:$C$66,IF($M1964="THU",2,3),FALSE()),IFERROR(VLOOKUP(LEFT($N1964,2),LCTT_MAP!$A$7:$C$66,IF($M1964="THU",2,3),FALSE()),IFERROR(VLOOKUP(LEFT($N1964,1),LCTT_MAP!$A$7:$C$66,IF($M1964="THU",2,3),FALSE()),IF($M1964="THU","06","07")))))))</f>
        <v/>
      </c>
      <c r="P1964" s="117">
        <f>P1963+IF(AND($H1964&lt;&gt;"",OR(LEFT($F1964,LEN(SC_TK))=SC_TK,LEFT($G1964,LEN(SC_TK))=SC_TK)),1,0)</f>
        <v/>
      </c>
    </row>
    <row r="1965" ht="15" customHeight="1" s="78">
      <c r="A1965" s="95">
        <f>IF($H1965="","",ROW()-6)</f>
        <v/>
      </c>
      <c r="B1965" s="114" t="n"/>
      <c r="C1965" s="102" t="n"/>
      <c r="D1965" s="114" t="n"/>
      <c r="E1965" s="103" t="n"/>
      <c r="F1965" s="102" t="n"/>
      <c r="G1965" s="102" t="n"/>
      <c r="H1965" s="115" t="n"/>
      <c r="I1965" s="102" t="n"/>
      <c r="J1965" s="102" t="n"/>
      <c r="K1965" s="103" t="n"/>
      <c r="L1965" s="116">
        <f>IF($H1965="","",TRIM(IF(COUNTIF(DMTK!$A$7:$A$250,$F1965)=0,"TK Nợ sai! ","")&amp;IF(COUNTIF(DMTK!$A$7:$A$250,$G1965)=0,"TK Có sai! ","")&amp;IF(N($H1965)&lt;=0,"Tiền phải &gt; 0! ","")&amp;IF($B1965="","Thiếu ngày! ","")&amp;IF(AND(OR(LEFT($F1965,3)="131",LEFT($G1965,3)="131",LEFT($F1965,3)="331",LEFT($G1965,3)="331"),$I1965=""),"Thiếu Mã ĐT! ","")&amp;IF(AND($I1965&lt;&gt;"",COUNTIF(DM_DT!$A$7:$A$306,$I1965)=0),"Mã ĐT chưa khai báo! ","")))</f>
        <v/>
      </c>
      <c r="M1965" s="117">
        <f>IF($H1965="","",IF(AND(OR(LEFT($F1965,3)="111",LEFT($F1965,3)="112",LEFT($F1965,3)="113"),OR(LEFT($G1965,3)="111",LEFT($G1965,3)="112",LEFT($G1965,3)="113")),"NB",IF(OR(LEFT($F1965,3)="111",LEFT($F1965,3)="112",LEFT($F1965,3)="113"),"THU",IF(OR(LEFT($G1965,3)="111",LEFT($G1965,3)="112",LEFT($G1965,3)="113"),"CHI",""))))</f>
        <v/>
      </c>
      <c r="N1965" s="117">
        <f>IF($M1965="THU",$G1965,IF($M1965="CHI",$F1965,""))</f>
        <v/>
      </c>
      <c r="O1965" s="117">
        <f>IF(OR($M1965="",$M1965="NB"),"",IF($J1965&lt;&gt;"",TEXT($J1965,"00"),IFERROR(VLOOKUP(LEFT($N1965,4),LCTT_MAP!$A$7:$C$66,IF($M1965="THU",2,3),FALSE()),IFERROR(VLOOKUP(LEFT($N1965,3),LCTT_MAP!$A$7:$C$66,IF($M1965="THU",2,3),FALSE()),IFERROR(VLOOKUP(LEFT($N1965,2),LCTT_MAP!$A$7:$C$66,IF($M1965="THU",2,3),FALSE()),IFERROR(VLOOKUP(LEFT($N1965,1),LCTT_MAP!$A$7:$C$66,IF($M1965="THU",2,3),FALSE()),IF($M1965="THU","06","07")))))))</f>
        <v/>
      </c>
      <c r="P1965" s="117">
        <f>P1964+IF(AND($H1965&lt;&gt;"",OR(LEFT($F1965,LEN(SC_TK))=SC_TK,LEFT($G1965,LEN(SC_TK))=SC_TK)),1,0)</f>
        <v/>
      </c>
    </row>
    <row r="1966" ht="15" customHeight="1" s="78">
      <c r="A1966" s="95">
        <f>IF($H1966="","",ROW()-6)</f>
        <v/>
      </c>
      <c r="B1966" s="114" t="n"/>
      <c r="C1966" s="102" t="n"/>
      <c r="D1966" s="114" t="n"/>
      <c r="E1966" s="103" t="n"/>
      <c r="F1966" s="102" t="n"/>
      <c r="G1966" s="102" t="n"/>
      <c r="H1966" s="115" t="n"/>
      <c r="I1966" s="102" t="n"/>
      <c r="J1966" s="102" t="n"/>
      <c r="K1966" s="103" t="n"/>
      <c r="L1966" s="116">
        <f>IF($H1966="","",TRIM(IF(COUNTIF(DMTK!$A$7:$A$250,$F1966)=0,"TK Nợ sai! ","")&amp;IF(COUNTIF(DMTK!$A$7:$A$250,$G1966)=0,"TK Có sai! ","")&amp;IF(N($H1966)&lt;=0,"Tiền phải &gt; 0! ","")&amp;IF($B1966="","Thiếu ngày! ","")&amp;IF(AND(OR(LEFT($F1966,3)="131",LEFT($G1966,3)="131",LEFT($F1966,3)="331",LEFT($G1966,3)="331"),$I1966=""),"Thiếu Mã ĐT! ","")&amp;IF(AND($I1966&lt;&gt;"",COUNTIF(DM_DT!$A$7:$A$306,$I1966)=0),"Mã ĐT chưa khai báo! ","")))</f>
        <v/>
      </c>
      <c r="M1966" s="117">
        <f>IF($H1966="","",IF(AND(OR(LEFT($F1966,3)="111",LEFT($F1966,3)="112",LEFT($F1966,3)="113"),OR(LEFT($G1966,3)="111",LEFT($G1966,3)="112",LEFT($G1966,3)="113")),"NB",IF(OR(LEFT($F1966,3)="111",LEFT($F1966,3)="112",LEFT($F1966,3)="113"),"THU",IF(OR(LEFT($G1966,3)="111",LEFT($G1966,3)="112",LEFT($G1966,3)="113"),"CHI",""))))</f>
        <v/>
      </c>
      <c r="N1966" s="117">
        <f>IF($M1966="THU",$G1966,IF($M1966="CHI",$F1966,""))</f>
        <v/>
      </c>
      <c r="O1966" s="117">
        <f>IF(OR($M1966="",$M1966="NB"),"",IF($J1966&lt;&gt;"",TEXT($J1966,"00"),IFERROR(VLOOKUP(LEFT($N1966,4),LCTT_MAP!$A$7:$C$66,IF($M1966="THU",2,3),FALSE()),IFERROR(VLOOKUP(LEFT($N1966,3),LCTT_MAP!$A$7:$C$66,IF($M1966="THU",2,3),FALSE()),IFERROR(VLOOKUP(LEFT($N1966,2),LCTT_MAP!$A$7:$C$66,IF($M1966="THU",2,3),FALSE()),IFERROR(VLOOKUP(LEFT($N1966,1),LCTT_MAP!$A$7:$C$66,IF($M1966="THU",2,3),FALSE()),IF($M1966="THU","06","07")))))))</f>
        <v/>
      </c>
      <c r="P1966" s="117">
        <f>P1965+IF(AND($H1966&lt;&gt;"",OR(LEFT($F1966,LEN(SC_TK))=SC_TK,LEFT($G1966,LEN(SC_TK))=SC_TK)),1,0)</f>
        <v/>
      </c>
    </row>
    <row r="1967" ht="15" customHeight="1" s="78">
      <c r="A1967" s="95">
        <f>IF($H1967="","",ROW()-6)</f>
        <v/>
      </c>
      <c r="B1967" s="114" t="n"/>
      <c r="C1967" s="102" t="n"/>
      <c r="D1967" s="114" t="n"/>
      <c r="E1967" s="103" t="n"/>
      <c r="F1967" s="102" t="n"/>
      <c r="G1967" s="102" t="n"/>
      <c r="H1967" s="115" t="n"/>
      <c r="I1967" s="102" t="n"/>
      <c r="J1967" s="102" t="n"/>
      <c r="K1967" s="103" t="n"/>
      <c r="L1967" s="116">
        <f>IF($H1967="","",TRIM(IF(COUNTIF(DMTK!$A$7:$A$250,$F1967)=0,"TK Nợ sai! ","")&amp;IF(COUNTIF(DMTK!$A$7:$A$250,$G1967)=0,"TK Có sai! ","")&amp;IF(N($H1967)&lt;=0,"Tiền phải &gt; 0! ","")&amp;IF($B1967="","Thiếu ngày! ","")&amp;IF(AND(OR(LEFT($F1967,3)="131",LEFT($G1967,3)="131",LEFT($F1967,3)="331",LEFT($G1967,3)="331"),$I1967=""),"Thiếu Mã ĐT! ","")&amp;IF(AND($I1967&lt;&gt;"",COUNTIF(DM_DT!$A$7:$A$306,$I1967)=0),"Mã ĐT chưa khai báo! ","")))</f>
        <v/>
      </c>
      <c r="M1967" s="117">
        <f>IF($H1967="","",IF(AND(OR(LEFT($F1967,3)="111",LEFT($F1967,3)="112",LEFT($F1967,3)="113"),OR(LEFT($G1967,3)="111",LEFT($G1967,3)="112",LEFT($G1967,3)="113")),"NB",IF(OR(LEFT($F1967,3)="111",LEFT($F1967,3)="112",LEFT($F1967,3)="113"),"THU",IF(OR(LEFT($G1967,3)="111",LEFT($G1967,3)="112",LEFT($G1967,3)="113"),"CHI",""))))</f>
        <v/>
      </c>
      <c r="N1967" s="117">
        <f>IF($M1967="THU",$G1967,IF($M1967="CHI",$F1967,""))</f>
        <v/>
      </c>
      <c r="O1967" s="117">
        <f>IF(OR($M1967="",$M1967="NB"),"",IF($J1967&lt;&gt;"",TEXT($J1967,"00"),IFERROR(VLOOKUP(LEFT($N1967,4),LCTT_MAP!$A$7:$C$66,IF($M1967="THU",2,3),FALSE()),IFERROR(VLOOKUP(LEFT($N1967,3),LCTT_MAP!$A$7:$C$66,IF($M1967="THU",2,3),FALSE()),IFERROR(VLOOKUP(LEFT($N1967,2),LCTT_MAP!$A$7:$C$66,IF($M1967="THU",2,3),FALSE()),IFERROR(VLOOKUP(LEFT($N1967,1),LCTT_MAP!$A$7:$C$66,IF($M1967="THU",2,3),FALSE()),IF($M1967="THU","06","07")))))))</f>
        <v/>
      </c>
      <c r="P1967" s="117">
        <f>P1966+IF(AND($H1967&lt;&gt;"",OR(LEFT($F1967,LEN(SC_TK))=SC_TK,LEFT($G1967,LEN(SC_TK))=SC_TK)),1,0)</f>
        <v/>
      </c>
    </row>
    <row r="1968" ht="15" customHeight="1" s="78">
      <c r="A1968" s="95">
        <f>IF($H1968="","",ROW()-6)</f>
        <v/>
      </c>
      <c r="B1968" s="114" t="n"/>
      <c r="C1968" s="102" t="n"/>
      <c r="D1968" s="114" t="n"/>
      <c r="E1968" s="103" t="n"/>
      <c r="F1968" s="102" t="n"/>
      <c r="G1968" s="102" t="n"/>
      <c r="H1968" s="115" t="n"/>
      <c r="I1968" s="102" t="n"/>
      <c r="J1968" s="102" t="n"/>
      <c r="K1968" s="103" t="n"/>
      <c r="L1968" s="116">
        <f>IF($H1968="","",TRIM(IF(COUNTIF(DMTK!$A$7:$A$250,$F1968)=0,"TK Nợ sai! ","")&amp;IF(COUNTIF(DMTK!$A$7:$A$250,$G1968)=0,"TK Có sai! ","")&amp;IF(N($H1968)&lt;=0,"Tiền phải &gt; 0! ","")&amp;IF($B1968="","Thiếu ngày! ","")&amp;IF(AND(OR(LEFT($F1968,3)="131",LEFT($G1968,3)="131",LEFT($F1968,3)="331",LEFT($G1968,3)="331"),$I1968=""),"Thiếu Mã ĐT! ","")&amp;IF(AND($I1968&lt;&gt;"",COUNTIF(DM_DT!$A$7:$A$306,$I1968)=0),"Mã ĐT chưa khai báo! ","")))</f>
        <v/>
      </c>
      <c r="M1968" s="117">
        <f>IF($H1968="","",IF(AND(OR(LEFT($F1968,3)="111",LEFT($F1968,3)="112",LEFT($F1968,3)="113"),OR(LEFT($G1968,3)="111",LEFT($G1968,3)="112",LEFT($G1968,3)="113")),"NB",IF(OR(LEFT($F1968,3)="111",LEFT($F1968,3)="112",LEFT($F1968,3)="113"),"THU",IF(OR(LEFT($G1968,3)="111",LEFT($G1968,3)="112",LEFT($G1968,3)="113"),"CHI",""))))</f>
        <v/>
      </c>
      <c r="N1968" s="117">
        <f>IF($M1968="THU",$G1968,IF($M1968="CHI",$F1968,""))</f>
        <v/>
      </c>
      <c r="O1968" s="117">
        <f>IF(OR($M1968="",$M1968="NB"),"",IF($J1968&lt;&gt;"",TEXT($J1968,"00"),IFERROR(VLOOKUP(LEFT($N1968,4),LCTT_MAP!$A$7:$C$66,IF($M1968="THU",2,3),FALSE()),IFERROR(VLOOKUP(LEFT($N1968,3),LCTT_MAP!$A$7:$C$66,IF($M1968="THU",2,3),FALSE()),IFERROR(VLOOKUP(LEFT($N1968,2),LCTT_MAP!$A$7:$C$66,IF($M1968="THU",2,3),FALSE()),IFERROR(VLOOKUP(LEFT($N1968,1),LCTT_MAP!$A$7:$C$66,IF($M1968="THU",2,3),FALSE()),IF($M1968="THU","06","07")))))))</f>
        <v/>
      </c>
      <c r="P1968" s="117">
        <f>P1967+IF(AND($H1968&lt;&gt;"",OR(LEFT($F1968,LEN(SC_TK))=SC_TK,LEFT($G1968,LEN(SC_TK))=SC_TK)),1,0)</f>
        <v/>
      </c>
    </row>
    <row r="1969" ht="15" customHeight="1" s="78">
      <c r="A1969" s="95">
        <f>IF($H1969="","",ROW()-6)</f>
        <v/>
      </c>
      <c r="B1969" s="114" t="n"/>
      <c r="C1969" s="102" t="n"/>
      <c r="D1969" s="114" t="n"/>
      <c r="E1969" s="103" t="n"/>
      <c r="F1969" s="102" t="n"/>
      <c r="G1969" s="102" t="n"/>
      <c r="H1969" s="115" t="n"/>
      <c r="I1969" s="102" t="n"/>
      <c r="J1969" s="102" t="n"/>
      <c r="K1969" s="103" t="n"/>
      <c r="L1969" s="116">
        <f>IF($H1969="","",TRIM(IF(COUNTIF(DMTK!$A$7:$A$250,$F1969)=0,"TK Nợ sai! ","")&amp;IF(COUNTIF(DMTK!$A$7:$A$250,$G1969)=0,"TK Có sai! ","")&amp;IF(N($H1969)&lt;=0,"Tiền phải &gt; 0! ","")&amp;IF($B1969="","Thiếu ngày! ","")&amp;IF(AND(OR(LEFT($F1969,3)="131",LEFT($G1969,3)="131",LEFT($F1969,3)="331",LEFT($G1969,3)="331"),$I1969=""),"Thiếu Mã ĐT! ","")&amp;IF(AND($I1969&lt;&gt;"",COUNTIF(DM_DT!$A$7:$A$306,$I1969)=0),"Mã ĐT chưa khai báo! ","")))</f>
        <v/>
      </c>
      <c r="M1969" s="117">
        <f>IF($H1969="","",IF(AND(OR(LEFT($F1969,3)="111",LEFT($F1969,3)="112",LEFT($F1969,3)="113"),OR(LEFT($G1969,3)="111",LEFT($G1969,3)="112",LEFT($G1969,3)="113")),"NB",IF(OR(LEFT($F1969,3)="111",LEFT($F1969,3)="112",LEFT($F1969,3)="113"),"THU",IF(OR(LEFT($G1969,3)="111",LEFT($G1969,3)="112",LEFT($G1969,3)="113"),"CHI",""))))</f>
        <v/>
      </c>
      <c r="N1969" s="117">
        <f>IF($M1969="THU",$G1969,IF($M1969="CHI",$F1969,""))</f>
        <v/>
      </c>
      <c r="O1969" s="117">
        <f>IF(OR($M1969="",$M1969="NB"),"",IF($J1969&lt;&gt;"",TEXT($J1969,"00"),IFERROR(VLOOKUP(LEFT($N1969,4),LCTT_MAP!$A$7:$C$66,IF($M1969="THU",2,3),FALSE()),IFERROR(VLOOKUP(LEFT($N1969,3),LCTT_MAP!$A$7:$C$66,IF($M1969="THU",2,3),FALSE()),IFERROR(VLOOKUP(LEFT($N1969,2),LCTT_MAP!$A$7:$C$66,IF($M1969="THU",2,3),FALSE()),IFERROR(VLOOKUP(LEFT($N1969,1),LCTT_MAP!$A$7:$C$66,IF($M1969="THU",2,3),FALSE()),IF($M1969="THU","06","07")))))))</f>
        <v/>
      </c>
      <c r="P1969" s="117">
        <f>P1968+IF(AND($H1969&lt;&gt;"",OR(LEFT($F1969,LEN(SC_TK))=SC_TK,LEFT($G1969,LEN(SC_TK))=SC_TK)),1,0)</f>
        <v/>
      </c>
    </row>
    <row r="1970" ht="15" customHeight="1" s="78">
      <c r="A1970" s="95">
        <f>IF($H1970="","",ROW()-6)</f>
        <v/>
      </c>
      <c r="B1970" s="114" t="n"/>
      <c r="C1970" s="102" t="n"/>
      <c r="D1970" s="114" t="n"/>
      <c r="E1970" s="103" t="n"/>
      <c r="F1970" s="102" t="n"/>
      <c r="G1970" s="102" t="n"/>
      <c r="H1970" s="115" t="n"/>
      <c r="I1970" s="102" t="n"/>
      <c r="J1970" s="102" t="n"/>
      <c r="K1970" s="103" t="n"/>
      <c r="L1970" s="116">
        <f>IF($H1970="","",TRIM(IF(COUNTIF(DMTK!$A$7:$A$250,$F1970)=0,"TK Nợ sai! ","")&amp;IF(COUNTIF(DMTK!$A$7:$A$250,$G1970)=0,"TK Có sai! ","")&amp;IF(N($H1970)&lt;=0,"Tiền phải &gt; 0! ","")&amp;IF($B1970="","Thiếu ngày! ","")&amp;IF(AND(OR(LEFT($F1970,3)="131",LEFT($G1970,3)="131",LEFT($F1970,3)="331",LEFT($G1970,3)="331"),$I1970=""),"Thiếu Mã ĐT! ","")&amp;IF(AND($I1970&lt;&gt;"",COUNTIF(DM_DT!$A$7:$A$306,$I1970)=0),"Mã ĐT chưa khai báo! ","")))</f>
        <v/>
      </c>
      <c r="M1970" s="117">
        <f>IF($H1970="","",IF(AND(OR(LEFT($F1970,3)="111",LEFT($F1970,3)="112",LEFT($F1970,3)="113"),OR(LEFT($G1970,3)="111",LEFT($G1970,3)="112",LEFT($G1970,3)="113")),"NB",IF(OR(LEFT($F1970,3)="111",LEFT($F1970,3)="112",LEFT($F1970,3)="113"),"THU",IF(OR(LEFT($G1970,3)="111",LEFT($G1970,3)="112",LEFT($G1970,3)="113"),"CHI",""))))</f>
        <v/>
      </c>
      <c r="N1970" s="117">
        <f>IF($M1970="THU",$G1970,IF($M1970="CHI",$F1970,""))</f>
        <v/>
      </c>
      <c r="O1970" s="117">
        <f>IF(OR($M1970="",$M1970="NB"),"",IF($J1970&lt;&gt;"",TEXT($J1970,"00"),IFERROR(VLOOKUP(LEFT($N1970,4),LCTT_MAP!$A$7:$C$66,IF($M1970="THU",2,3),FALSE()),IFERROR(VLOOKUP(LEFT($N1970,3),LCTT_MAP!$A$7:$C$66,IF($M1970="THU",2,3),FALSE()),IFERROR(VLOOKUP(LEFT($N1970,2),LCTT_MAP!$A$7:$C$66,IF($M1970="THU",2,3),FALSE()),IFERROR(VLOOKUP(LEFT($N1970,1),LCTT_MAP!$A$7:$C$66,IF($M1970="THU",2,3),FALSE()),IF($M1970="THU","06","07")))))))</f>
        <v/>
      </c>
      <c r="P1970" s="117">
        <f>P1969+IF(AND($H1970&lt;&gt;"",OR(LEFT($F1970,LEN(SC_TK))=SC_TK,LEFT($G1970,LEN(SC_TK))=SC_TK)),1,0)</f>
        <v/>
      </c>
    </row>
    <row r="1971" ht="15" customHeight="1" s="78">
      <c r="A1971" s="95">
        <f>IF($H1971="","",ROW()-6)</f>
        <v/>
      </c>
      <c r="B1971" s="114" t="n"/>
      <c r="C1971" s="102" t="n"/>
      <c r="D1971" s="114" t="n"/>
      <c r="E1971" s="103" t="n"/>
      <c r="F1971" s="102" t="n"/>
      <c r="G1971" s="102" t="n"/>
      <c r="H1971" s="115" t="n"/>
      <c r="I1971" s="102" t="n"/>
      <c r="J1971" s="102" t="n"/>
      <c r="K1971" s="103" t="n"/>
      <c r="L1971" s="116">
        <f>IF($H1971="","",TRIM(IF(COUNTIF(DMTK!$A$7:$A$250,$F1971)=0,"TK Nợ sai! ","")&amp;IF(COUNTIF(DMTK!$A$7:$A$250,$G1971)=0,"TK Có sai! ","")&amp;IF(N($H1971)&lt;=0,"Tiền phải &gt; 0! ","")&amp;IF($B1971="","Thiếu ngày! ","")&amp;IF(AND(OR(LEFT($F1971,3)="131",LEFT($G1971,3)="131",LEFT($F1971,3)="331",LEFT($G1971,3)="331"),$I1971=""),"Thiếu Mã ĐT! ","")&amp;IF(AND($I1971&lt;&gt;"",COUNTIF(DM_DT!$A$7:$A$306,$I1971)=0),"Mã ĐT chưa khai báo! ","")))</f>
        <v/>
      </c>
      <c r="M1971" s="117">
        <f>IF($H1971="","",IF(AND(OR(LEFT($F1971,3)="111",LEFT($F1971,3)="112",LEFT($F1971,3)="113"),OR(LEFT($G1971,3)="111",LEFT($G1971,3)="112",LEFT($G1971,3)="113")),"NB",IF(OR(LEFT($F1971,3)="111",LEFT($F1971,3)="112",LEFT($F1971,3)="113"),"THU",IF(OR(LEFT($G1971,3)="111",LEFT($G1971,3)="112",LEFT($G1971,3)="113"),"CHI",""))))</f>
        <v/>
      </c>
      <c r="N1971" s="117">
        <f>IF($M1971="THU",$G1971,IF($M1971="CHI",$F1971,""))</f>
        <v/>
      </c>
      <c r="O1971" s="117">
        <f>IF(OR($M1971="",$M1971="NB"),"",IF($J1971&lt;&gt;"",TEXT($J1971,"00"),IFERROR(VLOOKUP(LEFT($N1971,4),LCTT_MAP!$A$7:$C$66,IF($M1971="THU",2,3),FALSE()),IFERROR(VLOOKUP(LEFT($N1971,3),LCTT_MAP!$A$7:$C$66,IF($M1971="THU",2,3),FALSE()),IFERROR(VLOOKUP(LEFT($N1971,2),LCTT_MAP!$A$7:$C$66,IF($M1971="THU",2,3),FALSE()),IFERROR(VLOOKUP(LEFT($N1971,1),LCTT_MAP!$A$7:$C$66,IF($M1971="THU",2,3),FALSE()),IF($M1971="THU","06","07")))))))</f>
        <v/>
      </c>
      <c r="P1971" s="117">
        <f>P1970+IF(AND($H1971&lt;&gt;"",OR(LEFT($F1971,LEN(SC_TK))=SC_TK,LEFT($G1971,LEN(SC_TK))=SC_TK)),1,0)</f>
        <v/>
      </c>
    </row>
    <row r="1972" ht="15" customHeight="1" s="78">
      <c r="A1972" s="95">
        <f>IF($H1972="","",ROW()-6)</f>
        <v/>
      </c>
      <c r="B1972" s="114" t="n"/>
      <c r="C1972" s="102" t="n"/>
      <c r="D1972" s="114" t="n"/>
      <c r="E1972" s="103" t="n"/>
      <c r="F1972" s="102" t="n"/>
      <c r="G1972" s="102" t="n"/>
      <c r="H1972" s="115" t="n"/>
      <c r="I1972" s="102" t="n"/>
      <c r="J1972" s="102" t="n"/>
      <c r="K1972" s="103" t="n"/>
      <c r="L1972" s="116">
        <f>IF($H1972="","",TRIM(IF(COUNTIF(DMTK!$A$7:$A$250,$F1972)=0,"TK Nợ sai! ","")&amp;IF(COUNTIF(DMTK!$A$7:$A$250,$G1972)=0,"TK Có sai! ","")&amp;IF(N($H1972)&lt;=0,"Tiền phải &gt; 0! ","")&amp;IF($B1972="","Thiếu ngày! ","")&amp;IF(AND(OR(LEFT($F1972,3)="131",LEFT($G1972,3)="131",LEFT($F1972,3)="331",LEFT($G1972,3)="331"),$I1972=""),"Thiếu Mã ĐT! ","")&amp;IF(AND($I1972&lt;&gt;"",COUNTIF(DM_DT!$A$7:$A$306,$I1972)=0),"Mã ĐT chưa khai báo! ","")))</f>
        <v/>
      </c>
      <c r="M1972" s="117">
        <f>IF($H1972="","",IF(AND(OR(LEFT($F1972,3)="111",LEFT($F1972,3)="112",LEFT($F1972,3)="113"),OR(LEFT($G1972,3)="111",LEFT($G1972,3)="112",LEFT($G1972,3)="113")),"NB",IF(OR(LEFT($F1972,3)="111",LEFT($F1972,3)="112",LEFT($F1972,3)="113"),"THU",IF(OR(LEFT($G1972,3)="111",LEFT($G1972,3)="112",LEFT($G1972,3)="113"),"CHI",""))))</f>
        <v/>
      </c>
      <c r="N1972" s="117">
        <f>IF($M1972="THU",$G1972,IF($M1972="CHI",$F1972,""))</f>
        <v/>
      </c>
      <c r="O1972" s="117">
        <f>IF(OR($M1972="",$M1972="NB"),"",IF($J1972&lt;&gt;"",TEXT($J1972,"00"),IFERROR(VLOOKUP(LEFT($N1972,4),LCTT_MAP!$A$7:$C$66,IF($M1972="THU",2,3),FALSE()),IFERROR(VLOOKUP(LEFT($N1972,3),LCTT_MAP!$A$7:$C$66,IF($M1972="THU",2,3),FALSE()),IFERROR(VLOOKUP(LEFT($N1972,2),LCTT_MAP!$A$7:$C$66,IF($M1972="THU",2,3),FALSE()),IFERROR(VLOOKUP(LEFT($N1972,1),LCTT_MAP!$A$7:$C$66,IF($M1972="THU",2,3),FALSE()),IF($M1972="THU","06","07")))))))</f>
        <v/>
      </c>
      <c r="P1972" s="117">
        <f>P1971+IF(AND($H1972&lt;&gt;"",OR(LEFT($F1972,LEN(SC_TK))=SC_TK,LEFT($G1972,LEN(SC_TK))=SC_TK)),1,0)</f>
        <v/>
      </c>
    </row>
    <row r="1973" ht="15" customHeight="1" s="78">
      <c r="A1973" s="95">
        <f>IF($H1973="","",ROW()-6)</f>
        <v/>
      </c>
      <c r="B1973" s="114" t="n"/>
      <c r="C1973" s="102" t="n"/>
      <c r="D1973" s="114" t="n"/>
      <c r="E1973" s="103" t="n"/>
      <c r="F1973" s="102" t="n"/>
      <c r="G1973" s="102" t="n"/>
      <c r="H1973" s="115" t="n"/>
      <c r="I1973" s="102" t="n"/>
      <c r="J1973" s="102" t="n"/>
      <c r="K1973" s="103" t="n"/>
      <c r="L1973" s="116">
        <f>IF($H1973="","",TRIM(IF(COUNTIF(DMTK!$A$7:$A$250,$F1973)=0,"TK Nợ sai! ","")&amp;IF(COUNTIF(DMTK!$A$7:$A$250,$G1973)=0,"TK Có sai! ","")&amp;IF(N($H1973)&lt;=0,"Tiền phải &gt; 0! ","")&amp;IF($B1973="","Thiếu ngày! ","")&amp;IF(AND(OR(LEFT($F1973,3)="131",LEFT($G1973,3)="131",LEFT($F1973,3)="331",LEFT($G1973,3)="331"),$I1973=""),"Thiếu Mã ĐT! ","")&amp;IF(AND($I1973&lt;&gt;"",COUNTIF(DM_DT!$A$7:$A$306,$I1973)=0),"Mã ĐT chưa khai báo! ","")))</f>
        <v/>
      </c>
      <c r="M1973" s="117">
        <f>IF($H1973="","",IF(AND(OR(LEFT($F1973,3)="111",LEFT($F1973,3)="112",LEFT($F1973,3)="113"),OR(LEFT($G1973,3)="111",LEFT($G1973,3)="112",LEFT($G1973,3)="113")),"NB",IF(OR(LEFT($F1973,3)="111",LEFT($F1973,3)="112",LEFT($F1973,3)="113"),"THU",IF(OR(LEFT($G1973,3)="111",LEFT($G1973,3)="112",LEFT($G1973,3)="113"),"CHI",""))))</f>
        <v/>
      </c>
      <c r="N1973" s="117">
        <f>IF($M1973="THU",$G1973,IF($M1973="CHI",$F1973,""))</f>
        <v/>
      </c>
      <c r="O1973" s="117">
        <f>IF(OR($M1973="",$M1973="NB"),"",IF($J1973&lt;&gt;"",TEXT($J1973,"00"),IFERROR(VLOOKUP(LEFT($N1973,4),LCTT_MAP!$A$7:$C$66,IF($M1973="THU",2,3),FALSE()),IFERROR(VLOOKUP(LEFT($N1973,3),LCTT_MAP!$A$7:$C$66,IF($M1973="THU",2,3),FALSE()),IFERROR(VLOOKUP(LEFT($N1973,2),LCTT_MAP!$A$7:$C$66,IF($M1973="THU",2,3),FALSE()),IFERROR(VLOOKUP(LEFT($N1973,1),LCTT_MAP!$A$7:$C$66,IF($M1973="THU",2,3),FALSE()),IF($M1973="THU","06","07")))))))</f>
        <v/>
      </c>
      <c r="P1973" s="117">
        <f>P1972+IF(AND($H1973&lt;&gt;"",OR(LEFT($F1973,LEN(SC_TK))=SC_TK,LEFT($G1973,LEN(SC_TK))=SC_TK)),1,0)</f>
        <v/>
      </c>
    </row>
    <row r="1974" ht="15" customHeight="1" s="78">
      <c r="A1974" s="95">
        <f>IF($H1974="","",ROW()-6)</f>
        <v/>
      </c>
      <c r="B1974" s="114" t="n"/>
      <c r="C1974" s="102" t="n"/>
      <c r="D1974" s="114" t="n"/>
      <c r="E1974" s="103" t="n"/>
      <c r="F1974" s="102" t="n"/>
      <c r="G1974" s="102" t="n"/>
      <c r="H1974" s="115" t="n"/>
      <c r="I1974" s="102" t="n"/>
      <c r="J1974" s="102" t="n"/>
      <c r="K1974" s="103" t="n"/>
      <c r="L1974" s="116">
        <f>IF($H1974="","",TRIM(IF(COUNTIF(DMTK!$A$7:$A$250,$F1974)=0,"TK Nợ sai! ","")&amp;IF(COUNTIF(DMTK!$A$7:$A$250,$G1974)=0,"TK Có sai! ","")&amp;IF(N($H1974)&lt;=0,"Tiền phải &gt; 0! ","")&amp;IF($B1974="","Thiếu ngày! ","")&amp;IF(AND(OR(LEFT($F1974,3)="131",LEFT($G1974,3)="131",LEFT($F1974,3)="331",LEFT($G1974,3)="331"),$I1974=""),"Thiếu Mã ĐT! ","")&amp;IF(AND($I1974&lt;&gt;"",COUNTIF(DM_DT!$A$7:$A$306,$I1974)=0),"Mã ĐT chưa khai báo! ","")))</f>
        <v/>
      </c>
      <c r="M1974" s="117">
        <f>IF($H1974="","",IF(AND(OR(LEFT($F1974,3)="111",LEFT($F1974,3)="112",LEFT($F1974,3)="113"),OR(LEFT($G1974,3)="111",LEFT($G1974,3)="112",LEFT($G1974,3)="113")),"NB",IF(OR(LEFT($F1974,3)="111",LEFT($F1974,3)="112",LEFT($F1974,3)="113"),"THU",IF(OR(LEFT($G1974,3)="111",LEFT($G1974,3)="112",LEFT($G1974,3)="113"),"CHI",""))))</f>
        <v/>
      </c>
      <c r="N1974" s="117">
        <f>IF($M1974="THU",$G1974,IF($M1974="CHI",$F1974,""))</f>
        <v/>
      </c>
      <c r="O1974" s="117">
        <f>IF(OR($M1974="",$M1974="NB"),"",IF($J1974&lt;&gt;"",TEXT($J1974,"00"),IFERROR(VLOOKUP(LEFT($N1974,4),LCTT_MAP!$A$7:$C$66,IF($M1974="THU",2,3),FALSE()),IFERROR(VLOOKUP(LEFT($N1974,3),LCTT_MAP!$A$7:$C$66,IF($M1974="THU",2,3),FALSE()),IFERROR(VLOOKUP(LEFT($N1974,2),LCTT_MAP!$A$7:$C$66,IF($M1974="THU",2,3),FALSE()),IFERROR(VLOOKUP(LEFT($N1974,1),LCTT_MAP!$A$7:$C$66,IF($M1974="THU",2,3),FALSE()),IF($M1974="THU","06","07")))))))</f>
        <v/>
      </c>
      <c r="P1974" s="117">
        <f>P1973+IF(AND($H1974&lt;&gt;"",OR(LEFT($F1974,LEN(SC_TK))=SC_TK,LEFT($G1974,LEN(SC_TK))=SC_TK)),1,0)</f>
        <v/>
      </c>
    </row>
    <row r="1975" ht="15" customHeight="1" s="78">
      <c r="A1975" s="95">
        <f>IF($H1975="","",ROW()-6)</f>
        <v/>
      </c>
      <c r="B1975" s="114" t="n"/>
      <c r="C1975" s="102" t="n"/>
      <c r="D1975" s="114" t="n"/>
      <c r="E1975" s="103" t="n"/>
      <c r="F1975" s="102" t="n"/>
      <c r="G1975" s="102" t="n"/>
      <c r="H1975" s="115" t="n"/>
      <c r="I1975" s="102" t="n"/>
      <c r="J1975" s="102" t="n"/>
      <c r="K1975" s="103" t="n"/>
      <c r="L1975" s="116">
        <f>IF($H1975="","",TRIM(IF(COUNTIF(DMTK!$A$7:$A$250,$F1975)=0,"TK Nợ sai! ","")&amp;IF(COUNTIF(DMTK!$A$7:$A$250,$G1975)=0,"TK Có sai! ","")&amp;IF(N($H1975)&lt;=0,"Tiền phải &gt; 0! ","")&amp;IF($B1975="","Thiếu ngày! ","")&amp;IF(AND(OR(LEFT($F1975,3)="131",LEFT($G1975,3)="131",LEFT($F1975,3)="331",LEFT($G1975,3)="331"),$I1975=""),"Thiếu Mã ĐT! ","")&amp;IF(AND($I1975&lt;&gt;"",COUNTIF(DM_DT!$A$7:$A$306,$I1975)=0),"Mã ĐT chưa khai báo! ","")))</f>
        <v/>
      </c>
      <c r="M1975" s="117">
        <f>IF($H1975="","",IF(AND(OR(LEFT($F1975,3)="111",LEFT($F1975,3)="112",LEFT($F1975,3)="113"),OR(LEFT($G1975,3)="111",LEFT($G1975,3)="112",LEFT($G1975,3)="113")),"NB",IF(OR(LEFT($F1975,3)="111",LEFT($F1975,3)="112",LEFT($F1975,3)="113"),"THU",IF(OR(LEFT($G1975,3)="111",LEFT($G1975,3)="112",LEFT($G1975,3)="113"),"CHI",""))))</f>
        <v/>
      </c>
      <c r="N1975" s="117">
        <f>IF($M1975="THU",$G1975,IF($M1975="CHI",$F1975,""))</f>
        <v/>
      </c>
      <c r="O1975" s="117">
        <f>IF(OR($M1975="",$M1975="NB"),"",IF($J1975&lt;&gt;"",TEXT($J1975,"00"),IFERROR(VLOOKUP(LEFT($N1975,4),LCTT_MAP!$A$7:$C$66,IF($M1975="THU",2,3),FALSE()),IFERROR(VLOOKUP(LEFT($N1975,3),LCTT_MAP!$A$7:$C$66,IF($M1975="THU",2,3),FALSE()),IFERROR(VLOOKUP(LEFT($N1975,2),LCTT_MAP!$A$7:$C$66,IF($M1975="THU",2,3),FALSE()),IFERROR(VLOOKUP(LEFT($N1975,1),LCTT_MAP!$A$7:$C$66,IF($M1975="THU",2,3),FALSE()),IF($M1975="THU","06","07")))))))</f>
        <v/>
      </c>
      <c r="P1975" s="117">
        <f>P1974+IF(AND($H1975&lt;&gt;"",OR(LEFT($F1975,LEN(SC_TK))=SC_TK,LEFT($G1975,LEN(SC_TK))=SC_TK)),1,0)</f>
        <v/>
      </c>
    </row>
    <row r="1976" ht="15" customHeight="1" s="78">
      <c r="A1976" s="95">
        <f>IF($H1976="","",ROW()-6)</f>
        <v/>
      </c>
      <c r="B1976" s="114" t="n"/>
      <c r="C1976" s="102" t="n"/>
      <c r="D1976" s="114" t="n"/>
      <c r="E1976" s="103" t="n"/>
      <c r="F1976" s="102" t="n"/>
      <c r="G1976" s="102" t="n"/>
      <c r="H1976" s="115" t="n"/>
      <c r="I1976" s="102" t="n"/>
      <c r="J1976" s="102" t="n"/>
      <c r="K1976" s="103" t="n"/>
      <c r="L1976" s="116">
        <f>IF($H1976="","",TRIM(IF(COUNTIF(DMTK!$A$7:$A$250,$F1976)=0,"TK Nợ sai! ","")&amp;IF(COUNTIF(DMTK!$A$7:$A$250,$G1976)=0,"TK Có sai! ","")&amp;IF(N($H1976)&lt;=0,"Tiền phải &gt; 0! ","")&amp;IF($B1976="","Thiếu ngày! ","")&amp;IF(AND(OR(LEFT($F1976,3)="131",LEFT($G1976,3)="131",LEFT($F1976,3)="331",LEFT($G1976,3)="331"),$I1976=""),"Thiếu Mã ĐT! ","")&amp;IF(AND($I1976&lt;&gt;"",COUNTIF(DM_DT!$A$7:$A$306,$I1976)=0),"Mã ĐT chưa khai báo! ","")))</f>
        <v/>
      </c>
      <c r="M1976" s="117">
        <f>IF($H1976="","",IF(AND(OR(LEFT($F1976,3)="111",LEFT($F1976,3)="112",LEFT($F1976,3)="113"),OR(LEFT($G1976,3)="111",LEFT($G1976,3)="112",LEFT($G1976,3)="113")),"NB",IF(OR(LEFT($F1976,3)="111",LEFT($F1976,3)="112",LEFT($F1976,3)="113"),"THU",IF(OR(LEFT($G1976,3)="111",LEFT($G1976,3)="112",LEFT($G1976,3)="113"),"CHI",""))))</f>
        <v/>
      </c>
      <c r="N1976" s="117">
        <f>IF($M1976="THU",$G1976,IF($M1976="CHI",$F1976,""))</f>
        <v/>
      </c>
      <c r="O1976" s="117">
        <f>IF(OR($M1976="",$M1976="NB"),"",IF($J1976&lt;&gt;"",TEXT($J1976,"00"),IFERROR(VLOOKUP(LEFT($N1976,4),LCTT_MAP!$A$7:$C$66,IF($M1976="THU",2,3),FALSE()),IFERROR(VLOOKUP(LEFT($N1976,3),LCTT_MAP!$A$7:$C$66,IF($M1976="THU",2,3),FALSE()),IFERROR(VLOOKUP(LEFT($N1976,2),LCTT_MAP!$A$7:$C$66,IF($M1976="THU",2,3),FALSE()),IFERROR(VLOOKUP(LEFT($N1976,1),LCTT_MAP!$A$7:$C$66,IF($M1976="THU",2,3),FALSE()),IF($M1976="THU","06","07")))))))</f>
        <v/>
      </c>
      <c r="P1976" s="117">
        <f>P1975+IF(AND($H1976&lt;&gt;"",OR(LEFT($F1976,LEN(SC_TK))=SC_TK,LEFT($G1976,LEN(SC_TK))=SC_TK)),1,0)</f>
        <v/>
      </c>
    </row>
    <row r="1977" ht="15" customHeight="1" s="78">
      <c r="A1977" s="95">
        <f>IF($H1977="","",ROW()-6)</f>
        <v/>
      </c>
      <c r="B1977" s="114" t="n"/>
      <c r="C1977" s="102" t="n"/>
      <c r="D1977" s="114" t="n"/>
      <c r="E1977" s="103" t="n"/>
      <c r="F1977" s="102" t="n"/>
      <c r="G1977" s="102" t="n"/>
      <c r="H1977" s="115" t="n"/>
      <c r="I1977" s="102" t="n"/>
      <c r="J1977" s="102" t="n"/>
      <c r="K1977" s="103" t="n"/>
      <c r="L1977" s="116">
        <f>IF($H1977="","",TRIM(IF(COUNTIF(DMTK!$A$7:$A$250,$F1977)=0,"TK Nợ sai! ","")&amp;IF(COUNTIF(DMTK!$A$7:$A$250,$G1977)=0,"TK Có sai! ","")&amp;IF(N($H1977)&lt;=0,"Tiền phải &gt; 0! ","")&amp;IF($B1977="","Thiếu ngày! ","")&amp;IF(AND(OR(LEFT($F1977,3)="131",LEFT($G1977,3)="131",LEFT($F1977,3)="331",LEFT($G1977,3)="331"),$I1977=""),"Thiếu Mã ĐT! ","")&amp;IF(AND($I1977&lt;&gt;"",COUNTIF(DM_DT!$A$7:$A$306,$I1977)=0),"Mã ĐT chưa khai báo! ","")))</f>
        <v/>
      </c>
      <c r="M1977" s="117">
        <f>IF($H1977="","",IF(AND(OR(LEFT($F1977,3)="111",LEFT($F1977,3)="112",LEFT($F1977,3)="113"),OR(LEFT($G1977,3)="111",LEFT($G1977,3)="112",LEFT($G1977,3)="113")),"NB",IF(OR(LEFT($F1977,3)="111",LEFT($F1977,3)="112",LEFT($F1977,3)="113"),"THU",IF(OR(LEFT($G1977,3)="111",LEFT($G1977,3)="112",LEFT($G1977,3)="113"),"CHI",""))))</f>
        <v/>
      </c>
      <c r="N1977" s="117">
        <f>IF($M1977="THU",$G1977,IF($M1977="CHI",$F1977,""))</f>
        <v/>
      </c>
      <c r="O1977" s="117">
        <f>IF(OR($M1977="",$M1977="NB"),"",IF($J1977&lt;&gt;"",TEXT($J1977,"00"),IFERROR(VLOOKUP(LEFT($N1977,4),LCTT_MAP!$A$7:$C$66,IF($M1977="THU",2,3),FALSE()),IFERROR(VLOOKUP(LEFT($N1977,3),LCTT_MAP!$A$7:$C$66,IF($M1977="THU",2,3),FALSE()),IFERROR(VLOOKUP(LEFT($N1977,2),LCTT_MAP!$A$7:$C$66,IF($M1977="THU",2,3),FALSE()),IFERROR(VLOOKUP(LEFT($N1977,1),LCTT_MAP!$A$7:$C$66,IF($M1977="THU",2,3),FALSE()),IF($M1977="THU","06","07")))))))</f>
        <v/>
      </c>
      <c r="P1977" s="117">
        <f>P1976+IF(AND($H1977&lt;&gt;"",OR(LEFT($F1977,LEN(SC_TK))=SC_TK,LEFT($G1977,LEN(SC_TK))=SC_TK)),1,0)</f>
        <v/>
      </c>
    </row>
    <row r="1978" ht="15" customHeight="1" s="78">
      <c r="A1978" s="95">
        <f>IF($H1978="","",ROW()-6)</f>
        <v/>
      </c>
      <c r="B1978" s="114" t="n"/>
      <c r="C1978" s="102" t="n"/>
      <c r="D1978" s="114" t="n"/>
      <c r="E1978" s="103" t="n"/>
      <c r="F1978" s="102" t="n"/>
      <c r="G1978" s="102" t="n"/>
      <c r="H1978" s="115" t="n"/>
      <c r="I1978" s="102" t="n"/>
      <c r="J1978" s="102" t="n"/>
      <c r="K1978" s="103" t="n"/>
      <c r="L1978" s="116">
        <f>IF($H1978="","",TRIM(IF(COUNTIF(DMTK!$A$7:$A$250,$F1978)=0,"TK Nợ sai! ","")&amp;IF(COUNTIF(DMTK!$A$7:$A$250,$G1978)=0,"TK Có sai! ","")&amp;IF(N($H1978)&lt;=0,"Tiền phải &gt; 0! ","")&amp;IF($B1978="","Thiếu ngày! ","")&amp;IF(AND(OR(LEFT($F1978,3)="131",LEFT($G1978,3)="131",LEFT($F1978,3)="331",LEFT($G1978,3)="331"),$I1978=""),"Thiếu Mã ĐT! ","")&amp;IF(AND($I1978&lt;&gt;"",COUNTIF(DM_DT!$A$7:$A$306,$I1978)=0),"Mã ĐT chưa khai báo! ","")))</f>
        <v/>
      </c>
      <c r="M1978" s="117">
        <f>IF($H1978="","",IF(AND(OR(LEFT($F1978,3)="111",LEFT($F1978,3)="112",LEFT($F1978,3)="113"),OR(LEFT($G1978,3)="111",LEFT($G1978,3)="112",LEFT($G1978,3)="113")),"NB",IF(OR(LEFT($F1978,3)="111",LEFT($F1978,3)="112",LEFT($F1978,3)="113"),"THU",IF(OR(LEFT($G1978,3)="111",LEFT($G1978,3)="112",LEFT($G1978,3)="113"),"CHI",""))))</f>
        <v/>
      </c>
      <c r="N1978" s="117">
        <f>IF($M1978="THU",$G1978,IF($M1978="CHI",$F1978,""))</f>
        <v/>
      </c>
      <c r="O1978" s="117">
        <f>IF(OR($M1978="",$M1978="NB"),"",IF($J1978&lt;&gt;"",TEXT($J1978,"00"),IFERROR(VLOOKUP(LEFT($N1978,4),LCTT_MAP!$A$7:$C$66,IF($M1978="THU",2,3),FALSE()),IFERROR(VLOOKUP(LEFT($N1978,3),LCTT_MAP!$A$7:$C$66,IF($M1978="THU",2,3),FALSE()),IFERROR(VLOOKUP(LEFT($N1978,2),LCTT_MAP!$A$7:$C$66,IF($M1978="THU",2,3),FALSE()),IFERROR(VLOOKUP(LEFT($N1978,1),LCTT_MAP!$A$7:$C$66,IF($M1978="THU",2,3),FALSE()),IF($M1978="THU","06","07")))))))</f>
        <v/>
      </c>
      <c r="P1978" s="117">
        <f>P1977+IF(AND($H1978&lt;&gt;"",OR(LEFT($F1978,LEN(SC_TK))=SC_TK,LEFT($G1978,LEN(SC_TK))=SC_TK)),1,0)</f>
        <v/>
      </c>
    </row>
    <row r="1979" ht="15" customHeight="1" s="78">
      <c r="A1979" s="95">
        <f>IF($H1979="","",ROW()-6)</f>
        <v/>
      </c>
      <c r="B1979" s="114" t="n"/>
      <c r="C1979" s="102" t="n"/>
      <c r="D1979" s="114" t="n"/>
      <c r="E1979" s="103" t="n"/>
      <c r="F1979" s="102" t="n"/>
      <c r="G1979" s="102" t="n"/>
      <c r="H1979" s="115" t="n"/>
      <c r="I1979" s="102" t="n"/>
      <c r="J1979" s="102" t="n"/>
      <c r="K1979" s="103" t="n"/>
      <c r="L1979" s="116">
        <f>IF($H1979="","",TRIM(IF(COUNTIF(DMTK!$A$7:$A$250,$F1979)=0,"TK Nợ sai! ","")&amp;IF(COUNTIF(DMTK!$A$7:$A$250,$G1979)=0,"TK Có sai! ","")&amp;IF(N($H1979)&lt;=0,"Tiền phải &gt; 0! ","")&amp;IF($B1979="","Thiếu ngày! ","")&amp;IF(AND(OR(LEFT($F1979,3)="131",LEFT($G1979,3)="131",LEFT($F1979,3)="331",LEFT($G1979,3)="331"),$I1979=""),"Thiếu Mã ĐT! ","")&amp;IF(AND($I1979&lt;&gt;"",COUNTIF(DM_DT!$A$7:$A$306,$I1979)=0),"Mã ĐT chưa khai báo! ","")))</f>
        <v/>
      </c>
      <c r="M1979" s="117">
        <f>IF($H1979="","",IF(AND(OR(LEFT($F1979,3)="111",LEFT($F1979,3)="112",LEFT($F1979,3)="113"),OR(LEFT($G1979,3)="111",LEFT($G1979,3)="112",LEFT($G1979,3)="113")),"NB",IF(OR(LEFT($F1979,3)="111",LEFT($F1979,3)="112",LEFT($F1979,3)="113"),"THU",IF(OR(LEFT($G1979,3)="111",LEFT($G1979,3)="112",LEFT($G1979,3)="113"),"CHI",""))))</f>
        <v/>
      </c>
      <c r="N1979" s="117">
        <f>IF($M1979="THU",$G1979,IF($M1979="CHI",$F1979,""))</f>
        <v/>
      </c>
      <c r="O1979" s="117">
        <f>IF(OR($M1979="",$M1979="NB"),"",IF($J1979&lt;&gt;"",TEXT($J1979,"00"),IFERROR(VLOOKUP(LEFT($N1979,4),LCTT_MAP!$A$7:$C$66,IF($M1979="THU",2,3),FALSE()),IFERROR(VLOOKUP(LEFT($N1979,3),LCTT_MAP!$A$7:$C$66,IF($M1979="THU",2,3),FALSE()),IFERROR(VLOOKUP(LEFT($N1979,2),LCTT_MAP!$A$7:$C$66,IF($M1979="THU",2,3),FALSE()),IFERROR(VLOOKUP(LEFT($N1979,1),LCTT_MAP!$A$7:$C$66,IF($M1979="THU",2,3),FALSE()),IF($M1979="THU","06","07")))))))</f>
        <v/>
      </c>
      <c r="P1979" s="117">
        <f>P1978+IF(AND($H1979&lt;&gt;"",OR(LEFT($F1979,LEN(SC_TK))=SC_TK,LEFT($G1979,LEN(SC_TK))=SC_TK)),1,0)</f>
        <v/>
      </c>
    </row>
    <row r="1980" ht="15" customHeight="1" s="78">
      <c r="A1980" s="95">
        <f>IF($H1980="","",ROW()-6)</f>
        <v/>
      </c>
      <c r="B1980" s="114" t="n"/>
      <c r="C1980" s="102" t="n"/>
      <c r="D1980" s="114" t="n"/>
      <c r="E1980" s="103" t="n"/>
      <c r="F1980" s="102" t="n"/>
      <c r="G1980" s="102" t="n"/>
      <c r="H1980" s="115" t="n"/>
      <c r="I1980" s="102" t="n"/>
      <c r="J1980" s="102" t="n"/>
      <c r="K1980" s="103" t="n"/>
      <c r="L1980" s="116">
        <f>IF($H1980="","",TRIM(IF(COUNTIF(DMTK!$A$7:$A$250,$F1980)=0,"TK Nợ sai! ","")&amp;IF(COUNTIF(DMTK!$A$7:$A$250,$G1980)=0,"TK Có sai! ","")&amp;IF(N($H1980)&lt;=0,"Tiền phải &gt; 0! ","")&amp;IF($B1980="","Thiếu ngày! ","")&amp;IF(AND(OR(LEFT($F1980,3)="131",LEFT($G1980,3)="131",LEFT($F1980,3)="331",LEFT($G1980,3)="331"),$I1980=""),"Thiếu Mã ĐT! ","")&amp;IF(AND($I1980&lt;&gt;"",COUNTIF(DM_DT!$A$7:$A$306,$I1980)=0),"Mã ĐT chưa khai báo! ","")))</f>
        <v/>
      </c>
      <c r="M1980" s="117">
        <f>IF($H1980="","",IF(AND(OR(LEFT($F1980,3)="111",LEFT($F1980,3)="112",LEFT($F1980,3)="113"),OR(LEFT($G1980,3)="111",LEFT($G1980,3)="112",LEFT($G1980,3)="113")),"NB",IF(OR(LEFT($F1980,3)="111",LEFT($F1980,3)="112",LEFT($F1980,3)="113"),"THU",IF(OR(LEFT($G1980,3)="111",LEFT($G1980,3)="112",LEFT($G1980,3)="113"),"CHI",""))))</f>
        <v/>
      </c>
      <c r="N1980" s="117">
        <f>IF($M1980="THU",$G1980,IF($M1980="CHI",$F1980,""))</f>
        <v/>
      </c>
      <c r="O1980" s="117">
        <f>IF(OR($M1980="",$M1980="NB"),"",IF($J1980&lt;&gt;"",TEXT($J1980,"00"),IFERROR(VLOOKUP(LEFT($N1980,4),LCTT_MAP!$A$7:$C$66,IF($M1980="THU",2,3),FALSE()),IFERROR(VLOOKUP(LEFT($N1980,3),LCTT_MAP!$A$7:$C$66,IF($M1980="THU",2,3),FALSE()),IFERROR(VLOOKUP(LEFT($N1980,2),LCTT_MAP!$A$7:$C$66,IF($M1980="THU",2,3),FALSE()),IFERROR(VLOOKUP(LEFT($N1980,1),LCTT_MAP!$A$7:$C$66,IF($M1980="THU",2,3),FALSE()),IF($M1980="THU","06","07")))))))</f>
        <v/>
      </c>
      <c r="P1980" s="117">
        <f>P1979+IF(AND($H1980&lt;&gt;"",OR(LEFT($F1980,LEN(SC_TK))=SC_TK,LEFT($G1980,LEN(SC_TK))=SC_TK)),1,0)</f>
        <v/>
      </c>
    </row>
    <row r="1981" ht="15" customHeight="1" s="78">
      <c r="A1981" s="95">
        <f>IF($H1981="","",ROW()-6)</f>
        <v/>
      </c>
      <c r="B1981" s="114" t="n"/>
      <c r="C1981" s="102" t="n"/>
      <c r="D1981" s="114" t="n"/>
      <c r="E1981" s="103" t="n"/>
      <c r="F1981" s="102" t="n"/>
      <c r="G1981" s="102" t="n"/>
      <c r="H1981" s="115" t="n"/>
      <c r="I1981" s="102" t="n"/>
      <c r="J1981" s="102" t="n"/>
      <c r="K1981" s="103" t="n"/>
      <c r="L1981" s="116">
        <f>IF($H1981="","",TRIM(IF(COUNTIF(DMTK!$A$7:$A$250,$F1981)=0,"TK Nợ sai! ","")&amp;IF(COUNTIF(DMTK!$A$7:$A$250,$G1981)=0,"TK Có sai! ","")&amp;IF(N($H1981)&lt;=0,"Tiền phải &gt; 0! ","")&amp;IF($B1981="","Thiếu ngày! ","")&amp;IF(AND(OR(LEFT($F1981,3)="131",LEFT($G1981,3)="131",LEFT($F1981,3)="331",LEFT($G1981,3)="331"),$I1981=""),"Thiếu Mã ĐT! ","")&amp;IF(AND($I1981&lt;&gt;"",COUNTIF(DM_DT!$A$7:$A$306,$I1981)=0),"Mã ĐT chưa khai báo! ","")))</f>
        <v/>
      </c>
      <c r="M1981" s="117">
        <f>IF($H1981="","",IF(AND(OR(LEFT($F1981,3)="111",LEFT($F1981,3)="112",LEFT($F1981,3)="113"),OR(LEFT($G1981,3)="111",LEFT($G1981,3)="112",LEFT($G1981,3)="113")),"NB",IF(OR(LEFT($F1981,3)="111",LEFT($F1981,3)="112",LEFT($F1981,3)="113"),"THU",IF(OR(LEFT($G1981,3)="111",LEFT($G1981,3)="112",LEFT($G1981,3)="113"),"CHI",""))))</f>
        <v/>
      </c>
      <c r="N1981" s="117">
        <f>IF($M1981="THU",$G1981,IF($M1981="CHI",$F1981,""))</f>
        <v/>
      </c>
      <c r="O1981" s="117">
        <f>IF(OR($M1981="",$M1981="NB"),"",IF($J1981&lt;&gt;"",TEXT($J1981,"00"),IFERROR(VLOOKUP(LEFT($N1981,4),LCTT_MAP!$A$7:$C$66,IF($M1981="THU",2,3),FALSE()),IFERROR(VLOOKUP(LEFT($N1981,3),LCTT_MAP!$A$7:$C$66,IF($M1981="THU",2,3),FALSE()),IFERROR(VLOOKUP(LEFT($N1981,2),LCTT_MAP!$A$7:$C$66,IF($M1981="THU",2,3),FALSE()),IFERROR(VLOOKUP(LEFT($N1981,1),LCTT_MAP!$A$7:$C$66,IF($M1981="THU",2,3),FALSE()),IF($M1981="THU","06","07")))))))</f>
        <v/>
      </c>
      <c r="P1981" s="117">
        <f>P1980+IF(AND($H1981&lt;&gt;"",OR(LEFT($F1981,LEN(SC_TK))=SC_TK,LEFT($G1981,LEN(SC_TK))=SC_TK)),1,0)</f>
        <v/>
      </c>
    </row>
    <row r="1982" ht="15" customHeight="1" s="78">
      <c r="A1982" s="95">
        <f>IF($H1982="","",ROW()-6)</f>
        <v/>
      </c>
      <c r="B1982" s="114" t="n"/>
      <c r="C1982" s="102" t="n"/>
      <c r="D1982" s="114" t="n"/>
      <c r="E1982" s="103" t="n"/>
      <c r="F1982" s="102" t="n"/>
      <c r="G1982" s="102" t="n"/>
      <c r="H1982" s="115" t="n"/>
      <c r="I1982" s="102" t="n"/>
      <c r="J1982" s="102" t="n"/>
      <c r="K1982" s="103" t="n"/>
      <c r="L1982" s="116">
        <f>IF($H1982="","",TRIM(IF(COUNTIF(DMTK!$A$7:$A$250,$F1982)=0,"TK Nợ sai! ","")&amp;IF(COUNTIF(DMTK!$A$7:$A$250,$G1982)=0,"TK Có sai! ","")&amp;IF(N($H1982)&lt;=0,"Tiền phải &gt; 0! ","")&amp;IF($B1982="","Thiếu ngày! ","")&amp;IF(AND(OR(LEFT($F1982,3)="131",LEFT($G1982,3)="131",LEFT($F1982,3)="331",LEFT($G1982,3)="331"),$I1982=""),"Thiếu Mã ĐT! ","")&amp;IF(AND($I1982&lt;&gt;"",COUNTIF(DM_DT!$A$7:$A$306,$I1982)=0),"Mã ĐT chưa khai báo! ","")))</f>
        <v/>
      </c>
      <c r="M1982" s="117">
        <f>IF($H1982="","",IF(AND(OR(LEFT($F1982,3)="111",LEFT($F1982,3)="112",LEFT($F1982,3)="113"),OR(LEFT($G1982,3)="111",LEFT($G1982,3)="112",LEFT($G1982,3)="113")),"NB",IF(OR(LEFT($F1982,3)="111",LEFT($F1982,3)="112",LEFT($F1982,3)="113"),"THU",IF(OR(LEFT($G1982,3)="111",LEFT($G1982,3)="112",LEFT($G1982,3)="113"),"CHI",""))))</f>
        <v/>
      </c>
      <c r="N1982" s="117">
        <f>IF($M1982="THU",$G1982,IF($M1982="CHI",$F1982,""))</f>
        <v/>
      </c>
      <c r="O1982" s="117">
        <f>IF(OR($M1982="",$M1982="NB"),"",IF($J1982&lt;&gt;"",TEXT($J1982,"00"),IFERROR(VLOOKUP(LEFT($N1982,4),LCTT_MAP!$A$7:$C$66,IF($M1982="THU",2,3),FALSE()),IFERROR(VLOOKUP(LEFT($N1982,3),LCTT_MAP!$A$7:$C$66,IF($M1982="THU",2,3),FALSE()),IFERROR(VLOOKUP(LEFT($N1982,2),LCTT_MAP!$A$7:$C$66,IF($M1982="THU",2,3),FALSE()),IFERROR(VLOOKUP(LEFT($N1982,1),LCTT_MAP!$A$7:$C$66,IF($M1982="THU",2,3),FALSE()),IF($M1982="THU","06","07")))))))</f>
        <v/>
      </c>
      <c r="P1982" s="117">
        <f>P1981+IF(AND($H1982&lt;&gt;"",OR(LEFT($F1982,LEN(SC_TK))=SC_TK,LEFT($G1982,LEN(SC_TK))=SC_TK)),1,0)</f>
        <v/>
      </c>
    </row>
    <row r="1983" ht="15" customHeight="1" s="78">
      <c r="A1983" s="95">
        <f>IF($H1983="","",ROW()-6)</f>
        <v/>
      </c>
      <c r="B1983" s="114" t="n"/>
      <c r="C1983" s="102" t="n"/>
      <c r="D1983" s="114" t="n"/>
      <c r="E1983" s="103" t="n"/>
      <c r="F1983" s="102" t="n"/>
      <c r="G1983" s="102" t="n"/>
      <c r="H1983" s="115" t="n"/>
      <c r="I1983" s="102" t="n"/>
      <c r="J1983" s="102" t="n"/>
      <c r="K1983" s="103" t="n"/>
      <c r="L1983" s="116">
        <f>IF($H1983="","",TRIM(IF(COUNTIF(DMTK!$A$7:$A$250,$F1983)=0,"TK Nợ sai! ","")&amp;IF(COUNTIF(DMTK!$A$7:$A$250,$G1983)=0,"TK Có sai! ","")&amp;IF(N($H1983)&lt;=0,"Tiền phải &gt; 0! ","")&amp;IF($B1983="","Thiếu ngày! ","")&amp;IF(AND(OR(LEFT($F1983,3)="131",LEFT($G1983,3)="131",LEFT($F1983,3)="331",LEFT($G1983,3)="331"),$I1983=""),"Thiếu Mã ĐT! ","")&amp;IF(AND($I1983&lt;&gt;"",COUNTIF(DM_DT!$A$7:$A$306,$I1983)=0),"Mã ĐT chưa khai báo! ","")))</f>
        <v/>
      </c>
      <c r="M1983" s="117">
        <f>IF($H1983="","",IF(AND(OR(LEFT($F1983,3)="111",LEFT($F1983,3)="112",LEFT($F1983,3)="113"),OR(LEFT($G1983,3)="111",LEFT($G1983,3)="112",LEFT($G1983,3)="113")),"NB",IF(OR(LEFT($F1983,3)="111",LEFT($F1983,3)="112",LEFT($F1983,3)="113"),"THU",IF(OR(LEFT($G1983,3)="111",LEFT($G1983,3)="112",LEFT($G1983,3)="113"),"CHI",""))))</f>
        <v/>
      </c>
      <c r="N1983" s="117">
        <f>IF($M1983="THU",$G1983,IF($M1983="CHI",$F1983,""))</f>
        <v/>
      </c>
      <c r="O1983" s="117">
        <f>IF(OR($M1983="",$M1983="NB"),"",IF($J1983&lt;&gt;"",TEXT($J1983,"00"),IFERROR(VLOOKUP(LEFT($N1983,4),LCTT_MAP!$A$7:$C$66,IF($M1983="THU",2,3),FALSE()),IFERROR(VLOOKUP(LEFT($N1983,3),LCTT_MAP!$A$7:$C$66,IF($M1983="THU",2,3),FALSE()),IFERROR(VLOOKUP(LEFT($N1983,2),LCTT_MAP!$A$7:$C$66,IF($M1983="THU",2,3),FALSE()),IFERROR(VLOOKUP(LEFT($N1983,1),LCTT_MAP!$A$7:$C$66,IF($M1983="THU",2,3),FALSE()),IF($M1983="THU","06","07")))))))</f>
        <v/>
      </c>
      <c r="P1983" s="117">
        <f>P1982+IF(AND($H1983&lt;&gt;"",OR(LEFT($F1983,LEN(SC_TK))=SC_TK,LEFT($G1983,LEN(SC_TK))=SC_TK)),1,0)</f>
        <v/>
      </c>
    </row>
    <row r="1984" ht="15" customHeight="1" s="78">
      <c r="A1984" s="95">
        <f>IF($H1984="","",ROW()-6)</f>
        <v/>
      </c>
      <c r="B1984" s="114" t="n"/>
      <c r="C1984" s="102" t="n"/>
      <c r="D1984" s="114" t="n"/>
      <c r="E1984" s="103" t="n"/>
      <c r="F1984" s="102" t="n"/>
      <c r="G1984" s="102" t="n"/>
      <c r="H1984" s="115" t="n"/>
      <c r="I1984" s="102" t="n"/>
      <c r="J1984" s="102" t="n"/>
      <c r="K1984" s="103" t="n"/>
      <c r="L1984" s="116">
        <f>IF($H1984="","",TRIM(IF(COUNTIF(DMTK!$A$7:$A$250,$F1984)=0,"TK Nợ sai! ","")&amp;IF(COUNTIF(DMTK!$A$7:$A$250,$G1984)=0,"TK Có sai! ","")&amp;IF(N($H1984)&lt;=0,"Tiền phải &gt; 0! ","")&amp;IF($B1984="","Thiếu ngày! ","")&amp;IF(AND(OR(LEFT($F1984,3)="131",LEFT($G1984,3)="131",LEFT($F1984,3)="331",LEFT($G1984,3)="331"),$I1984=""),"Thiếu Mã ĐT! ","")&amp;IF(AND($I1984&lt;&gt;"",COUNTIF(DM_DT!$A$7:$A$306,$I1984)=0),"Mã ĐT chưa khai báo! ","")))</f>
        <v/>
      </c>
      <c r="M1984" s="117">
        <f>IF($H1984="","",IF(AND(OR(LEFT($F1984,3)="111",LEFT($F1984,3)="112",LEFT($F1984,3)="113"),OR(LEFT($G1984,3)="111",LEFT($G1984,3)="112",LEFT($G1984,3)="113")),"NB",IF(OR(LEFT($F1984,3)="111",LEFT($F1984,3)="112",LEFT($F1984,3)="113"),"THU",IF(OR(LEFT($G1984,3)="111",LEFT($G1984,3)="112",LEFT($G1984,3)="113"),"CHI",""))))</f>
        <v/>
      </c>
      <c r="N1984" s="117">
        <f>IF($M1984="THU",$G1984,IF($M1984="CHI",$F1984,""))</f>
        <v/>
      </c>
      <c r="O1984" s="117">
        <f>IF(OR($M1984="",$M1984="NB"),"",IF($J1984&lt;&gt;"",TEXT($J1984,"00"),IFERROR(VLOOKUP(LEFT($N1984,4),LCTT_MAP!$A$7:$C$66,IF($M1984="THU",2,3),FALSE()),IFERROR(VLOOKUP(LEFT($N1984,3),LCTT_MAP!$A$7:$C$66,IF($M1984="THU",2,3),FALSE()),IFERROR(VLOOKUP(LEFT($N1984,2),LCTT_MAP!$A$7:$C$66,IF($M1984="THU",2,3),FALSE()),IFERROR(VLOOKUP(LEFT($N1984,1),LCTT_MAP!$A$7:$C$66,IF($M1984="THU",2,3),FALSE()),IF($M1984="THU","06","07")))))))</f>
        <v/>
      </c>
      <c r="P1984" s="117">
        <f>P1983+IF(AND($H1984&lt;&gt;"",OR(LEFT($F1984,LEN(SC_TK))=SC_TK,LEFT($G1984,LEN(SC_TK))=SC_TK)),1,0)</f>
        <v/>
      </c>
    </row>
    <row r="1985" ht="15" customHeight="1" s="78">
      <c r="A1985" s="95">
        <f>IF($H1985="","",ROW()-6)</f>
        <v/>
      </c>
      <c r="B1985" s="114" t="n"/>
      <c r="C1985" s="102" t="n"/>
      <c r="D1985" s="114" t="n"/>
      <c r="E1985" s="103" t="n"/>
      <c r="F1985" s="102" t="n"/>
      <c r="G1985" s="102" t="n"/>
      <c r="H1985" s="115" t="n"/>
      <c r="I1985" s="102" t="n"/>
      <c r="J1985" s="102" t="n"/>
      <c r="K1985" s="103" t="n"/>
      <c r="L1985" s="116">
        <f>IF($H1985="","",TRIM(IF(COUNTIF(DMTK!$A$7:$A$250,$F1985)=0,"TK Nợ sai! ","")&amp;IF(COUNTIF(DMTK!$A$7:$A$250,$G1985)=0,"TK Có sai! ","")&amp;IF(N($H1985)&lt;=0,"Tiền phải &gt; 0! ","")&amp;IF($B1985="","Thiếu ngày! ","")&amp;IF(AND(OR(LEFT($F1985,3)="131",LEFT($G1985,3)="131",LEFT($F1985,3)="331",LEFT($G1985,3)="331"),$I1985=""),"Thiếu Mã ĐT! ","")&amp;IF(AND($I1985&lt;&gt;"",COUNTIF(DM_DT!$A$7:$A$306,$I1985)=0),"Mã ĐT chưa khai báo! ","")))</f>
        <v/>
      </c>
      <c r="M1985" s="117">
        <f>IF($H1985="","",IF(AND(OR(LEFT($F1985,3)="111",LEFT($F1985,3)="112",LEFT($F1985,3)="113"),OR(LEFT($G1985,3)="111",LEFT($G1985,3)="112",LEFT($G1985,3)="113")),"NB",IF(OR(LEFT($F1985,3)="111",LEFT($F1985,3)="112",LEFT($F1985,3)="113"),"THU",IF(OR(LEFT($G1985,3)="111",LEFT($G1985,3)="112",LEFT($G1985,3)="113"),"CHI",""))))</f>
        <v/>
      </c>
      <c r="N1985" s="117">
        <f>IF($M1985="THU",$G1985,IF($M1985="CHI",$F1985,""))</f>
        <v/>
      </c>
      <c r="O1985" s="117">
        <f>IF(OR($M1985="",$M1985="NB"),"",IF($J1985&lt;&gt;"",TEXT($J1985,"00"),IFERROR(VLOOKUP(LEFT($N1985,4),LCTT_MAP!$A$7:$C$66,IF($M1985="THU",2,3),FALSE()),IFERROR(VLOOKUP(LEFT($N1985,3),LCTT_MAP!$A$7:$C$66,IF($M1985="THU",2,3),FALSE()),IFERROR(VLOOKUP(LEFT($N1985,2),LCTT_MAP!$A$7:$C$66,IF($M1985="THU",2,3),FALSE()),IFERROR(VLOOKUP(LEFT($N1985,1),LCTT_MAP!$A$7:$C$66,IF($M1985="THU",2,3),FALSE()),IF($M1985="THU","06","07")))))))</f>
        <v/>
      </c>
      <c r="P1985" s="117">
        <f>P1984+IF(AND($H1985&lt;&gt;"",OR(LEFT($F1985,LEN(SC_TK))=SC_TK,LEFT($G1985,LEN(SC_TK))=SC_TK)),1,0)</f>
        <v/>
      </c>
    </row>
    <row r="1986" ht="15" customHeight="1" s="78">
      <c r="A1986" s="95">
        <f>IF($H1986="","",ROW()-6)</f>
        <v/>
      </c>
      <c r="B1986" s="114" t="n"/>
      <c r="C1986" s="102" t="n"/>
      <c r="D1986" s="114" t="n"/>
      <c r="E1986" s="103" t="n"/>
      <c r="F1986" s="102" t="n"/>
      <c r="G1986" s="102" t="n"/>
      <c r="H1986" s="115" t="n"/>
      <c r="I1986" s="102" t="n"/>
      <c r="J1986" s="102" t="n"/>
      <c r="K1986" s="103" t="n"/>
      <c r="L1986" s="116">
        <f>IF($H1986="","",TRIM(IF(COUNTIF(DMTK!$A$7:$A$250,$F1986)=0,"TK Nợ sai! ","")&amp;IF(COUNTIF(DMTK!$A$7:$A$250,$G1986)=0,"TK Có sai! ","")&amp;IF(N($H1986)&lt;=0,"Tiền phải &gt; 0! ","")&amp;IF($B1986="","Thiếu ngày! ","")&amp;IF(AND(OR(LEFT($F1986,3)="131",LEFT($G1986,3)="131",LEFT($F1986,3)="331",LEFT($G1986,3)="331"),$I1986=""),"Thiếu Mã ĐT! ","")&amp;IF(AND($I1986&lt;&gt;"",COUNTIF(DM_DT!$A$7:$A$306,$I1986)=0),"Mã ĐT chưa khai báo! ","")))</f>
        <v/>
      </c>
      <c r="M1986" s="117">
        <f>IF($H1986="","",IF(AND(OR(LEFT($F1986,3)="111",LEFT($F1986,3)="112",LEFT($F1986,3)="113"),OR(LEFT($G1986,3)="111",LEFT($G1986,3)="112",LEFT($G1986,3)="113")),"NB",IF(OR(LEFT($F1986,3)="111",LEFT($F1986,3)="112",LEFT($F1986,3)="113"),"THU",IF(OR(LEFT($G1986,3)="111",LEFT($G1986,3)="112",LEFT($G1986,3)="113"),"CHI",""))))</f>
        <v/>
      </c>
      <c r="N1986" s="117">
        <f>IF($M1986="THU",$G1986,IF($M1986="CHI",$F1986,""))</f>
        <v/>
      </c>
      <c r="O1986" s="117">
        <f>IF(OR($M1986="",$M1986="NB"),"",IF($J1986&lt;&gt;"",TEXT($J1986,"00"),IFERROR(VLOOKUP(LEFT($N1986,4),LCTT_MAP!$A$7:$C$66,IF($M1986="THU",2,3),FALSE()),IFERROR(VLOOKUP(LEFT($N1986,3),LCTT_MAP!$A$7:$C$66,IF($M1986="THU",2,3),FALSE()),IFERROR(VLOOKUP(LEFT($N1986,2),LCTT_MAP!$A$7:$C$66,IF($M1986="THU",2,3),FALSE()),IFERROR(VLOOKUP(LEFT($N1986,1),LCTT_MAP!$A$7:$C$66,IF($M1986="THU",2,3),FALSE()),IF($M1986="THU","06","07")))))))</f>
        <v/>
      </c>
      <c r="P1986" s="117">
        <f>P1985+IF(AND($H1986&lt;&gt;"",OR(LEFT($F1986,LEN(SC_TK))=SC_TK,LEFT($G1986,LEN(SC_TK))=SC_TK)),1,0)</f>
        <v/>
      </c>
    </row>
    <row r="1987" ht="15" customHeight="1" s="78">
      <c r="A1987" s="95">
        <f>IF($H1987="","",ROW()-6)</f>
        <v/>
      </c>
      <c r="B1987" s="114" t="n"/>
      <c r="C1987" s="102" t="n"/>
      <c r="D1987" s="114" t="n"/>
      <c r="E1987" s="103" t="n"/>
      <c r="F1987" s="102" t="n"/>
      <c r="G1987" s="102" t="n"/>
      <c r="H1987" s="115" t="n"/>
      <c r="I1987" s="102" t="n"/>
      <c r="J1987" s="102" t="n"/>
      <c r="K1987" s="103" t="n"/>
      <c r="L1987" s="116">
        <f>IF($H1987="","",TRIM(IF(COUNTIF(DMTK!$A$7:$A$250,$F1987)=0,"TK Nợ sai! ","")&amp;IF(COUNTIF(DMTK!$A$7:$A$250,$G1987)=0,"TK Có sai! ","")&amp;IF(N($H1987)&lt;=0,"Tiền phải &gt; 0! ","")&amp;IF($B1987="","Thiếu ngày! ","")&amp;IF(AND(OR(LEFT($F1987,3)="131",LEFT($G1987,3)="131",LEFT($F1987,3)="331",LEFT($G1987,3)="331"),$I1987=""),"Thiếu Mã ĐT! ","")&amp;IF(AND($I1987&lt;&gt;"",COUNTIF(DM_DT!$A$7:$A$306,$I1987)=0),"Mã ĐT chưa khai báo! ","")))</f>
        <v/>
      </c>
      <c r="M1987" s="117">
        <f>IF($H1987="","",IF(AND(OR(LEFT($F1987,3)="111",LEFT($F1987,3)="112",LEFT($F1987,3)="113"),OR(LEFT($G1987,3)="111",LEFT($G1987,3)="112",LEFT($G1987,3)="113")),"NB",IF(OR(LEFT($F1987,3)="111",LEFT($F1987,3)="112",LEFT($F1987,3)="113"),"THU",IF(OR(LEFT($G1987,3)="111",LEFT($G1987,3)="112",LEFT($G1987,3)="113"),"CHI",""))))</f>
        <v/>
      </c>
      <c r="N1987" s="117">
        <f>IF($M1987="THU",$G1987,IF($M1987="CHI",$F1987,""))</f>
        <v/>
      </c>
      <c r="O1987" s="117">
        <f>IF(OR($M1987="",$M1987="NB"),"",IF($J1987&lt;&gt;"",TEXT($J1987,"00"),IFERROR(VLOOKUP(LEFT($N1987,4),LCTT_MAP!$A$7:$C$66,IF($M1987="THU",2,3),FALSE()),IFERROR(VLOOKUP(LEFT($N1987,3),LCTT_MAP!$A$7:$C$66,IF($M1987="THU",2,3),FALSE()),IFERROR(VLOOKUP(LEFT($N1987,2),LCTT_MAP!$A$7:$C$66,IF($M1987="THU",2,3),FALSE()),IFERROR(VLOOKUP(LEFT($N1987,1),LCTT_MAP!$A$7:$C$66,IF($M1987="THU",2,3),FALSE()),IF($M1987="THU","06","07")))))))</f>
        <v/>
      </c>
      <c r="P1987" s="117">
        <f>P1986+IF(AND($H1987&lt;&gt;"",OR(LEFT($F1987,LEN(SC_TK))=SC_TK,LEFT($G1987,LEN(SC_TK))=SC_TK)),1,0)</f>
        <v/>
      </c>
    </row>
    <row r="1988" ht="15" customHeight="1" s="78">
      <c r="A1988" s="95">
        <f>IF($H1988="","",ROW()-6)</f>
        <v/>
      </c>
      <c r="B1988" s="114" t="n"/>
      <c r="C1988" s="102" t="n"/>
      <c r="D1988" s="114" t="n"/>
      <c r="E1988" s="103" t="n"/>
      <c r="F1988" s="102" t="n"/>
      <c r="G1988" s="102" t="n"/>
      <c r="H1988" s="115" t="n"/>
      <c r="I1988" s="102" t="n"/>
      <c r="J1988" s="102" t="n"/>
      <c r="K1988" s="103" t="n"/>
      <c r="L1988" s="116">
        <f>IF($H1988="","",TRIM(IF(COUNTIF(DMTK!$A$7:$A$250,$F1988)=0,"TK Nợ sai! ","")&amp;IF(COUNTIF(DMTK!$A$7:$A$250,$G1988)=0,"TK Có sai! ","")&amp;IF(N($H1988)&lt;=0,"Tiền phải &gt; 0! ","")&amp;IF($B1988="","Thiếu ngày! ","")&amp;IF(AND(OR(LEFT($F1988,3)="131",LEFT($G1988,3)="131",LEFT($F1988,3)="331",LEFT($G1988,3)="331"),$I1988=""),"Thiếu Mã ĐT! ","")&amp;IF(AND($I1988&lt;&gt;"",COUNTIF(DM_DT!$A$7:$A$306,$I1988)=0),"Mã ĐT chưa khai báo! ","")))</f>
        <v/>
      </c>
      <c r="M1988" s="117">
        <f>IF($H1988="","",IF(AND(OR(LEFT($F1988,3)="111",LEFT($F1988,3)="112",LEFT($F1988,3)="113"),OR(LEFT($G1988,3)="111",LEFT($G1988,3)="112",LEFT($G1988,3)="113")),"NB",IF(OR(LEFT($F1988,3)="111",LEFT($F1988,3)="112",LEFT($F1988,3)="113"),"THU",IF(OR(LEFT($G1988,3)="111",LEFT($G1988,3)="112",LEFT($G1988,3)="113"),"CHI",""))))</f>
        <v/>
      </c>
      <c r="N1988" s="117">
        <f>IF($M1988="THU",$G1988,IF($M1988="CHI",$F1988,""))</f>
        <v/>
      </c>
      <c r="O1988" s="117">
        <f>IF(OR($M1988="",$M1988="NB"),"",IF($J1988&lt;&gt;"",TEXT($J1988,"00"),IFERROR(VLOOKUP(LEFT($N1988,4),LCTT_MAP!$A$7:$C$66,IF($M1988="THU",2,3),FALSE()),IFERROR(VLOOKUP(LEFT($N1988,3),LCTT_MAP!$A$7:$C$66,IF($M1988="THU",2,3),FALSE()),IFERROR(VLOOKUP(LEFT($N1988,2),LCTT_MAP!$A$7:$C$66,IF($M1988="THU",2,3),FALSE()),IFERROR(VLOOKUP(LEFT($N1988,1),LCTT_MAP!$A$7:$C$66,IF($M1988="THU",2,3),FALSE()),IF($M1988="THU","06","07")))))))</f>
        <v/>
      </c>
      <c r="P1988" s="117">
        <f>P1987+IF(AND($H1988&lt;&gt;"",OR(LEFT($F1988,LEN(SC_TK))=SC_TK,LEFT($G1988,LEN(SC_TK))=SC_TK)),1,0)</f>
        <v/>
      </c>
    </row>
    <row r="1989" ht="15" customHeight="1" s="78">
      <c r="A1989" s="95">
        <f>IF($H1989="","",ROW()-6)</f>
        <v/>
      </c>
      <c r="B1989" s="114" t="n"/>
      <c r="C1989" s="102" t="n"/>
      <c r="D1989" s="114" t="n"/>
      <c r="E1989" s="103" t="n"/>
      <c r="F1989" s="102" t="n"/>
      <c r="G1989" s="102" t="n"/>
      <c r="H1989" s="115" t="n"/>
      <c r="I1989" s="102" t="n"/>
      <c r="J1989" s="102" t="n"/>
      <c r="K1989" s="103" t="n"/>
      <c r="L1989" s="116">
        <f>IF($H1989="","",TRIM(IF(COUNTIF(DMTK!$A$7:$A$250,$F1989)=0,"TK Nợ sai! ","")&amp;IF(COUNTIF(DMTK!$A$7:$A$250,$G1989)=0,"TK Có sai! ","")&amp;IF(N($H1989)&lt;=0,"Tiền phải &gt; 0! ","")&amp;IF($B1989="","Thiếu ngày! ","")&amp;IF(AND(OR(LEFT($F1989,3)="131",LEFT($G1989,3)="131",LEFT($F1989,3)="331",LEFT($G1989,3)="331"),$I1989=""),"Thiếu Mã ĐT! ","")&amp;IF(AND($I1989&lt;&gt;"",COUNTIF(DM_DT!$A$7:$A$306,$I1989)=0),"Mã ĐT chưa khai báo! ","")))</f>
        <v/>
      </c>
      <c r="M1989" s="117">
        <f>IF($H1989="","",IF(AND(OR(LEFT($F1989,3)="111",LEFT($F1989,3)="112",LEFT($F1989,3)="113"),OR(LEFT($G1989,3)="111",LEFT($G1989,3)="112",LEFT($G1989,3)="113")),"NB",IF(OR(LEFT($F1989,3)="111",LEFT($F1989,3)="112",LEFT($F1989,3)="113"),"THU",IF(OR(LEFT($G1989,3)="111",LEFT($G1989,3)="112",LEFT($G1989,3)="113"),"CHI",""))))</f>
        <v/>
      </c>
      <c r="N1989" s="117">
        <f>IF($M1989="THU",$G1989,IF($M1989="CHI",$F1989,""))</f>
        <v/>
      </c>
      <c r="O1989" s="117">
        <f>IF(OR($M1989="",$M1989="NB"),"",IF($J1989&lt;&gt;"",TEXT($J1989,"00"),IFERROR(VLOOKUP(LEFT($N1989,4),LCTT_MAP!$A$7:$C$66,IF($M1989="THU",2,3),FALSE()),IFERROR(VLOOKUP(LEFT($N1989,3),LCTT_MAP!$A$7:$C$66,IF($M1989="THU",2,3),FALSE()),IFERROR(VLOOKUP(LEFT($N1989,2),LCTT_MAP!$A$7:$C$66,IF($M1989="THU",2,3),FALSE()),IFERROR(VLOOKUP(LEFT($N1989,1),LCTT_MAP!$A$7:$C$66,IF($M1989="THU",2,3),FALSE()),IF($M1989="THU","06","07")))))))</f>
        <v/>
      </c>
      <c r="P1989" s="117">
        <f>P1988+IF(AND($H1989&lt;&gt;"",OR(LEFT($F1989,LEN(SC_TK))=SC_TK,LEFT($G1989,LEN(SC_TK))=SC_TK)),1,0)</f>
        <v/>
      </c>
    </row>
    <row r="1990" ht="15" customHeight="1" s="78">
      <c r="A1990" s="95">
        <f>IF($H1990="","",ROW()-6)</f>
        <v/>
      </c>
      <c r="B1990" s="114" t="n"/>
      <c r="C1990" s="102" t="n"/>
      <c r="D1990" s="114" t="n"/>
      <c r="E1990" s="103" t="n"/>
      <c r="F1990" s="102" t="n"/>
      <c r="G1990" s="102" t="n"/>
      <c r="H1990" s="115" t="n"/>
      <c r="I1990" s="102" t="n"/>
      <c r="J1990" s="102" t="n"/>
      <c r="K1990" s="103" t="n"/>
      <c r="L1990" s="116">
        <f>IF($H1990="","",TRIM(IF(COUNTIF(DMTK!$A$7:$A$250,$F1990)=0,"TK Nợ sai! ","")&amp;IF(COUNTIF(DMTK!$A$7:$A$250,$G1990)=0,"TK Có sai! ","")&amp;IF(N($H1990)&lt;=0,"Tiền phải &gt; 0! ","")&amp;IF($B1990="","Thiếu ngày! ","")&amp;IF(AND(OR(LEFT($F1990,3)="131",LEFT($G1990,3)="131",LEFT($F1990,3)="331",LEFT($G1990,3)="331"),$I1990=""),"Thiếu Mã ĐT! ","")&amp;IF(AND($I1990&lt;&gt;"",COUNTIF(DM_DT!$A$7:$A$306,$I1990)=0),"Mã ĐT chưa khai báo! ","")))</f>
        <v/>
      </c>
      <c r="M1990" s="117">
        <f>IF($H1990="","",IF(AND(OR(LEFT($F1990,3)="111",LEFT($F1990,3)="112",LEFT($F1990,3)="113"),OR(LEFT($G1990,3)="111",LEFT($G1990,3)="112",LEFT($G1990,3)="113")),"NB",IF(OR(LEFT($F1990,3)="111",LEFT($F1990,3)="112",LEFT($F1990,3)="113"),"THU",IF(OR(LEFT($G1990,3)="111",LEFT($G1990,3)="112",LEFT($G1990,3)="113"),"CHI",""))))</f>
        <v/>
      </c>
      <c r="N1990" s="117">
        <f>IF($M1990="THU",$G1990,IF($M1990="CHI",$F1990,""))</f>
        <v/>
      </c>
      <c r="O1990" s="117">
        <f>IF(OR($M1990="",$M1990="NB"),"",IF($J1990&lt;&gt;"",TEXT($J1990,"00"),IFERROR(VLOOKUP(LEFT($N1990,4),LCTT_MAP!$A$7:$C$66,IF($M1990="THU",2,3),FALSE()),IFERROR(VLOOKUP(LEFT($N1990,3),LCTT_MAP!$A$7:$C$66,IF($M1990="THU",2,3),FALSE()),IFERROR(VLOOKUP(LEFT($N1990,2),LCTT_MAP!$A$7:$C$66,IF($M1990="THU",2,3),FALSE()),IFERROR(VLOOKUP(LEFT($N1990,1),LCTT_MAP!$A$7:$C$66,IF($M1990="THU",2,3),FALSE()),IF($M1990="THU","06","07")))))))</f>
        <v/>
      </c>
      <c r="P1990" s="117">
        <f>P1989+IF(AND($H1990&lt;&gt;"",OR(LEFT($F1990,LEN(SC_TK))=SC_TK,LEFT($G1990,LEN(SC_TK))=SC_TK)),1,0)</f>
        <v/>
      </c>
    </row>
    <row r="1991" ht="15" customHeight="1" s="78">
      <c r="A1991" s="95">
        <f>IF($H1991="","",ROW()-6)</f>
        <v/>
      </c>
      <c r="B1991" s="114" t="n"/>
      <c r="C1991" s="102" t="n"/>
      <c r="D1991" s="114" t="n"/>
      <c r="E1991" s="103" t="n"/>
      <c r="F1991" s="102" t="n"/>
      <c r="G1991" s="102" t="n"/>
      <c r="H1991" s="115" t="n"/>
      <c r="I1991" s="102" t="n"/>
      <c r="J1991" s="102" t="n"/>
      <c r="K1991" s="103" t="n"/>
      <c r="L1991" s="116">
        <f>IF($H1991="","",TRIM(IF(COUNTIF(DMTK!$A$7:$A$250,$F1991)=0,"TK Nợ sai! ","")&amp;IF(COUNTIF(DMTK!$A$7:$A$250,$G1991)=0,"TK Có sai! ","")&amp;IF(N($H1991)&lt;=0,"Tiền phải &gt; 0! ","")&amp;IF($B1991="","Thiếu ngày! ","")&amp;IF(AND(OR(LEFT($F1991,3)="131",LEFT($G1991,3)="131",LEFT($F1991,3)="331",LEFT($G1991,3)="331"),$I1991=""),"Thiếu Mã ĐT! ","")&amp;IF(AND($I1991&lt;&gt;"",COUNTIF(DM_DT!$A$7:$A$306,$I1991)=0),"Mã ĐT chưa khai báo! ","")))</f>
        <v/>
      </c>
      <c r="M1991" s="117">
        <f>IF($H1991="","",IF(AND(OR(LEFT($F1991,3)="111",LEFT($F1991,3)="112",LEFT($F1991,3)="113"),OR(LEFT($G1991,3)="111",LEFT($G1991,3)="112",LEFT($G1991,3)="113")),"NB",IF(OR(LEFT($F1991,3)="111",LEFT($F1991,3)="112",LEFT($F1991,3)="113"),"THU",IF(OR(LEFT($G1991,3)="111",LEFT($G1991,3)="112",LEFT($G1991,3)="113"),"CHI",""))))</f>
        <v/>
      </c>
      <c r="N1991" s="117">
        <f>IF($M1991="THU",$G1991,IF($M1991="CHI",$F1991,""))</f>
        <v/>
      </c>
      <c r="O1991" s="117">
        <f>IF(OR($M1991="",$M1991="NB"),"",IF($J1991&lt;&gt;"",TEXT($J1991,"00"),IFERROR(VLOOKUP(LEFT($N1991,4),LCTT_MAP!$A$7:$C$66,IF($M1991="THU",2,3),FALSE()),IFERROR(VLOOKUP(LEFT($N1991,3),LCTT_MAP!$A$7:$C$66,IF($M1991="THU",2,3),FALSE()),IFERROR(VLOOKUP(LEFT($N1991,2),LCTT_MAP!$A$7:$C$66,IF($M1991="THU",2,3),FALSE()),IFERROR(VLOOKUP(LEFT($N1991,1),LCTT_MAP!$A$7:$C$66,IF($M1991="THU",2,3),FALSE()),IF($M1991="THU","06","07")))))))</f>
        <v/>
      </c>
      <c r="P1991" s="117">
        <f>P1990+IF(AND($H1991&lt;&gt;"",OR(LEFT($F1991,LEN(SC_TK))=SC_TK,LEFT($G1991,LEN(SC_TK))=SC_TK)),1,0)</f>
        <v/>
      </c>
    </row>
    <row r="1992" ht="15" customHeight="1" s="78">
      <c r="A1992" s="95">
        <f>IF($H1992="","",ROW()-6)</f>
        <v/>
      </c>
      <c r="B1992" s="114" t="n"/>
      <c r="C1992" s="102" t="n"/>
      <c r="D1992" s="114" t="n"/>
      <c r="E1992" s="103" t="n"/>
      <c r="F1992" s="102" t="n"/>
      <c r="G1992" s="102" t="n"/>
      <c r="H1992" s="115" t="n"/>
      <c r="I1992" s="102" t="n"/>
      <c r="J1992" s="102" t="n"/>
      <c r="K1992" s="103" t="n"/>
      <c r="L1992" s="116">
        <f>IF($H1992="","",TRIM(IF(COUNTIF(DMTK!$A$7:$A$250,$F1992)=0,"TK Nợ sai! ","")&amp;IF(COUNTIF(DMTK!$A$7:$A$250,$G1992)=0,"TK Có sai! ","")&amp;IF(N($H1992)&lt;=0,"Tiền phải &gt; 0! ","")&amp;IF($B1992="","Thiếu ngày! ","")&amp;IF(AND(OR(LEFT($F1992,3)="131",LEFT($G1992,3)="131",LEFT($F1992,3)="331",LEFT($G1992,3)="331"),$I1992=""),"Thiếu Mã ĐT! ","")&amp;IF(AND($I1992&lt;&gt;"",COUNTIF(DM_DT!$A$7:$A$306,$I1992)=0),"Mã ĐT chưa khai báo! ","")))</f>
        <v/>
      </c>
      <c r="M1992" s="117">
        <f>IF($H1992="","",IF(AND(OR(LEFT($F1992,3)="111",LEFT($F1992,3)="112",LEFT($F1992,3)="113"),OR(LEFT($G1992,3)="111",LEFT($G1992,3)="112",LEFT($G1992,3)="113")),"NB",IF(OR(LEFT($F1992,3)="111",LEFT($F1992,3)="112",LEFT($F1992,3)="113"),"THU",IF(OR(LEFT($G1992,3)="111",LEFT($G1992,3)="112",LEFT($G1992,3)="113"),"CHI",""))))</f>
        <v/>
      </c>
      <c r="N1992" s="117">
        <f>IF($M1992="THU",$G1992,IF($M1992="CHI",$F1992,""))</f>
        <v/>
      </c>
      <c r="O1992" s="117">
        <f>IF(OR($M1992="",$M1992="NB"),"",IF($J1992&lt;&gt;"",TEXT($J1992,"00"),IFERROR(VLOOKUP(LEFT($N1992,4),LCTT_MAP!$A$7:$C$66,IF($M1992="THU",2,3),FALSE()),IFERROR(VLOOKUP(LEFT($N1992,3),LCTT_MAP!$A$7:$C$66,IF($M1992="THU",2,3),FALSE()),IFERROR(VLOOKUP(LEFT($N1992,2),LCTT_MAP!$A$7:$C$66,IF($M1992="THU",2,3),FALSE()),IFERROR(VLOOKUP(LEFT($N1992,1),LCTT_MAP!$A$7:$C$66,IF($M1992="THU",2,3),FALSE()),IF($M1992="THU","06","07")))))))</f>
        <v/>
      </c>
      <c r="P1992" s="117">
        <f>P1991+IF(AND($H1992&lt;&gt;"",OR(LEFT($F1992,LEN(SC_TK))=SC_TK,LEFT($G1992,LEN(SC_TK))=SC_TK)),1,0)</f>
        <v/>
      </c>
    </row>
    <row r="1993" ht="15" customHeight="1" s="78">
      <c r="A1993" s="95">
        <f>IF($H1993="","",ROW()-6)</f>
        <v/>
      </c>
      <c r="B1993" s="114" t="n"/>
      <c r="C1993" s="102" t="n"/>
      <c r="D1993" s="114" t="n"/>
      <c r="E1993" s="103" t="n"/>
      <c r="F1993" s="102" t="n"/>
      <c r="G1993" s="102" t="n"/>
      <c r="H1993" s="115" t="n"/>
      <c r="I1993" s="102" t="n"/>
      <c r="J1993" s="102" t="n"/>
      <c r="K1993" s="103" t="n"/>
      <c r="L1993" s="116">
        <f>IF($H1993="","",TRIM(IF(COUNTIF(DMTK!$A$7:$A$250,$F1993)=0,"TK Nợ sai! ","")&amp;IF(COUNTIF(DMTK!$A$7:$A$250,$G1993)=0,"TK Có sai! ","")&amp;IF(N($H1993)&lt;=0,"Tiền phải &gt; 0! ","")&amp;IF($B1993="","Thiếu ngày! ","")&amp;IF(AND(OR(LEFT($F1993,3)="131",LEFT($G1993,3)="131",LEFT($F1993,3)="331",LEFT($G1993,3)="331"),$I1993=""),"Thiếu Mã ĐT! ","")&amp;IF(AND($I1993&lt;&gt;"",COUNTIF(DM_DT!$A$7:$A$306,$I1993)=0),"Mã ĐT chưa khai báo! ","")))</f>
        <v/>
      </c>
      <c r="M1993" s="117">
        <f>IF($H1993="","",IF(AND(OR(LEFT($F1993,3)="111",LEFT($F1993,3)="112",LEFT($F1993,3)="113"),OR(LEFT($G1993,3)="111",LEFT($G1993,3)="112",LEFT($G1993,3)="113")),"NB",IF(OR(LEFT($F1993,3)="111",LEFT($F1993,3)="112",LEFT($F1993,3)="113"),"THU",IF(OR(LEFT($G1993,3)="111",LEFT($G1993,3)="112",LEFT($G1993,3)="113"),"CHI",""))))</f>
        <v/>
      </c>
      <c r="N1993" s="117">
        <f>IF($M1993="THU",$G1993,IF($M1993="CHI",$F1993,""))</f>
        <v/>
      </c>
      <c r="O1993" s="117">
        <f>IF(OR($M1993="",$M1993="NB"),"",IF($J1993&lt;&gt;"",TEXT($J1993,"00"),IFERROR(VLOOKUP(LEFT($N1993,4),LCTT_MAP!$A$7:$C$66,IF($M1993="THU",2,3),FALSE()),IFERROR(VLOOKUP(LEFT($N1993,3),LCTT_MAP!$A$7:$C$66,IF($M1993="THU",2,3),FALSE()),IFERROR(VLOOKUP(LEFT($N1993,2),LCTT_MAP!$A$7:$C$66,IF($M1993="THU",2,3),FALSE()),IFERROR(VLOOKUP(LEFT($N1993,1),LCTT_MAP!$A$7:$C$66,IF($M1993="THU",2,3),FALSE()),IF($M1993="THU","06","07")))))))</f>
        <v/>
      </c>
      <c r="P1993" s="117">
        <f>P1992+IF(AND($H1993&lt;&gt;"",OR(LEFT($F1993,LEN(SC_TK))=SC_TK,LEFT($G1993,LEN(SC_TK))=SC_TK)),1,0)</f>
        <v/>
      </c>
    </row>
    <row r="1994" ht="15" customHeight="1" s="78">
      <c r="A1994" s="95">
        <f>IF($H1994="","",ROW()-6)</f>
        <v/>
      </c>
      <c r="B1994" s="114" t="n"/>
      <c r="C1994" s="102" t="n"/>
      <c r="D1994" s="114" t="n"/>
      <c r="E1994" s="103" t="n"/>
      <c r="F1994" s="102" t="n"/>
      <c r="G1994" s="102" t="n"/>
      <c r="H1994" s="115" t="n"/>
      <c r="I1994" s="102" t="n"/>
      <c r="J1994" s="102" t="n"/>
      <c r="K1994" s="103" t="n"/>
      <c r="L1994" s="116">
        <f>IF($H1994="","",TRIM(IF(COUNTIF(DMTK!$A$7:$A$250,$F1994)=0,"TK Nợ sai! ","")&amp;IF(COUNTIF(DMTK!$A$7:$A$250,$G1994)=0,"TK Có sai! ","")&amp;IF(N($H1994)&lt;=0,"Tiền phải &gt; 0! ","")&amp;IF($B1994="","Thiếu ngày! ","")&amp;IF(AND(OR(LEFT($F1994,3)="131",LEFT($G1994,3)="131",LEFT($F1994,3)="331",LEFT($G1994,3)="331"),$I1994=""),"Thiếu Mã ĐT! ","")&amp;IF(AND($I1994&lt;&gt;"",COUNTIF(DM_DT!$A$7:$A$306,$I1994)=0),"Mã ĐT chưa khai báo! ","")))</f>
        <v/>
      </c>
      <c r="M1994" s="117">
        <f>IF($H1994="","",IF(AND(OR(LEFT($F1994,3)="111",LEFT($F1994,3)="112",LEFT($F1994,3)="113"),OR(LEFT($G1994,3)="111",LEFT($G1994,3)="112",LEFT($G1994,3)="113")),"NB",IF(OR(LEFT($F1994,3)="111",LEFT($F1994,3)="112",LEFT($F1994,3)="113"),"THU",IF(OR(LEFT($G1994,3)="111",LEFT($G1994,3)="112",LEFT($G1994,3)="113"),"CHI",""))))</f>
        <v/>
      </c>
      <c r="N1994" s="117">
        <f>IF($M1994="THU",$G1994,IF($M1994="CHI",$F1994,""))</f>
        <v/>
      </c>
      <c r="O1994" s="117">
        <f>IF(OR($M1994="",$M1994="NB"),"",IF($J1994&lt;&gt;"",TEXT($J1994,"00"),IFERROR(VLOOKUP(LEFT($N1994,4),LCTT_MAP!$A$7:$C$66,IF($M1994="THU",2,3),FALSE()),IFERROR(VLOOKUP(LEFT($N1994,3),LCTT_MAP!$A$7:$C$66,IF($M1994="THU",2,3),FALSE()),IFERROR(VLOOKUP(LEFT($N1994,2),LCTT_MAP!$A$7:$C$66,IF($M1994="THU",2,3),FALSE()),IFERROR(VLOOKUP(LEFT($N1994,1),LCTT_MAP!$A$7:$C$66,IF($M1994="THU",2,3),FALSE()),IF($M1994="THU","06","07")))))))</f>
        <v/>
      </c>
      <c r="P1994" s="117">
        <f>P1993+IF(AND($H1994&lt;&gt;"",OR(LEFT($F1994,LEN(SC_TK))=SC_TK,LEFT($G1994,LEN(SC_TK))=SC_TK)),1,0)</f>
        <v/>
      </c>
    </row>
    <row r="1995" ht="15" customHeight="1" s="78">
      <c r="A1995" s="95">
        <f>IF($H1995="","",ROW()-6)</f>
        <v/>
      </c>
      <c r="B1995" s="114" t="n"/>
      <c r="C1995" s="102" t="n"/>
      <c r="D1995" s="114" t="n"/>
      <c r="E1995" s="103" t="n"/>
      <c r="F1995" s="102" t="n"/>
      <c r="G1995" s="102" t="n"/>
      <c r="H1995" s="115" t="n"/>
      <c r="I1995" s="102" t="n"/>
      <c r="J1995" s="102" t="n"/>
      <c r="K1995" s="103" t="n"/>
      <c r="L1995" s="116">
        <f>IF($H1995="","",TRIM(IF(COUNTIF(DMTK!$A$7:$A$250,$F1995)=0,"TK Nợ sai! ","")&amp;IF(COUNTIF(DMTK!$A$7:$A$250,$G1995)=0,"TK Có sai! ","")&amp;IF(N($H1995)&lt;=0,"Tiền phải &gt; 0! ","")&amp;IF($B1995="","Thiếu ngày! ","")&amp;IF(AND(OR(LEFT($F1995,3)="131",LEFT($G1995,3)="131",LEFT($F1995,3)="331",LEFT($G1995,3)="331"),$I1995=""),"Thiếu Mã ĐT! ","")&amp;IF(AND($I1995&lt;&gt;"",COUNTIF(DM_DT!$A$7:$A$306,$I1995)=0),"Mã ĐT chưa khai báo! ","")))</f>
        <v/>
      </c>
      <c r="M1995" s="117">
        <f>IF($H1995="","",IF(AND(OR(LEFT($F1995,3)="111",LEFT($F1995,3)="112",LEFT($F1995,3)="113"),OR(LEFT($G1995,3)="111",LEFT($G1995,3)="112",LEFT($G1995,3)="113")),"NB",IF(OR(LEFT($F1995,3)="111",LEFT($F1995,3)="112",LEFT($F1995,3)="113"),"THU",IF(OR(LEFT($G1995,3)="111",LEFT($G1995,3)="112",LEFT($G1995,3)="113"),"CHI",""))))</f>
        <v/>
      </c>
      <c r="N1995" s="117">
        <f>IF($M1995="THU",$G1995,IF($M1995="CHI",$F1995,""))</f>
        <v/>
      </c>
      <c r="O1995" s="117">
        <f>IF(OR($M1995="",$M1995="NB"),"",IF($J1995&lt;&gt;"",TEXT($J1995,"00"),IFERROR(VLOOKUP(LEFT($N1995,4),LCTT_MAP!$A$7:$C$66,IF($M1995="THU",2,3),FALSE()),IFERROR(VLOOKUP(LEFT($N1995,3),LCTT_MAP!$A$7:$C$66,IF($M1995="THU",2,3),FALSE()),IFERROR(VLOOKUP(LEFT($N1995,2),LCTT_MAP!$A$7:$C$66,IF($M1995="THU",2,3),FALSE()),IFERROR(VLOOKUP(LEFT($N1995,1),LCTT_MAP!$A$7:$C$66,IF($M1995="THU",2,3),FALSE()),IF($M1995="THU","06","07")))))))</f>
        <v/>
      </c>
      <c r="P1995" s="117">
        <f>P1994+IF(AND($H1995&lt;&gt;"",OR(LEFT($F1995,LEN(SC_TK))=SC_TK,LEFT($G1995,LEN(SC_TK))=SC_TK)),1,0)</f>
        <v/>
      </c>
    </row>
    <row r="1996" ht="15" customHeight="1" s="78">
      <c r="A1996" s="95">
        <f>IF($H1996="","",ROW()-6)</f>
        <v/>
      </c>
      <c r="B1996" s="114" t="n"/>
      <c r="C1996" s="102" t="n"/>
      <c r="D1996" s="114" t="n"/>
      <c r="E1996" s="103" t="n"/>
      <c r="F1996" s="102" t="n"/>
      <c r="G1996" s="102" t="n"/>
      <c r="H1996" s="115" t="n"/>
      <c r="I1996" s="102" t="n"/>
      <c r="J1996" s="102" t="n"/>
      <c r="K1996" s="103" t="n"/>
      <c r="L1996" s="116">
        <f>IF($H1996="","",TRIM(IF(COUNTIF(DMTK!$A$7:$A$250,$F1996)=0,"TK Nợ sai! ","")&amp;IF(COUNTIF(DMTK!$A$7:$A$250,$G1996)=0,"TK Có sai! ","")&amp;IF(N($H1996)&lt;=0,"Tiền phải &gt; 0! ","")&amp;IF($B1996="","Thiếu ngày! ","")&amp;IF(AND(OR(LEFT($F1996,3)="131",LEFT($G1996,3)="131",LEFT($F1996,3)="331",LEFT($G1996,3)="331"),$I1996=""),"Thiếu Mã ĐT! ","")&amp;IF(AND($I1996&lt;&gt;"",COUNTIF(DM_DT!$A$7:$A$306,$I1996)=0),"Mã ĐT chưa khai báo! ","")))</f>
        <v/>
      </c>
      <c r="M1996" s="117">
        <f>IF($H1996="","",IF(AND(OR(LEFT($F1996,3)="111",LEFT($F1996,3)="112",LEFT($F1996,3)="113"),OR(LEFT($G1996,3)="111",LEFT($G1996,3)="112",LEFT($G1996,3)="113")),"NB",IF(OR(LEFT($F1996,3)="111",LEFT($F1996,3)="112",LEFT($F1996,3)="113"),"THU",IF(OR(LEFT($G1996,3)="111",LEFT($G1996,3)="112",LEFT($G1996,3)="113"),"CHI",""))))</f>
        <v/>
      </c>
      <c r="N1996" s="117">
        <f>IF($M1996="THU",$G1996,IF($M1996="CHI",$F1996,""))</f>
        <v/>
      </c>
      <c r="O1996" s="117">
        <f>IF(OR($M1996="",$M1996="NB"),"",IF($J1996&lt;&gt;"",TEXT($J1996,"00"),IFERROR(VLOOKUP(LEFT($N1996,4),LCTT_MAP!$A$7:$C$66,IF($M1996="THU",2,3),FALSE()),IFERROR(VLOOKUP(LEFT($N1996,3),LCTT_MAP!$A$7:$C$66,IF($M1996="THU",2,3),FALSE()),IFERROR(VLOOKUP(LEFT($N1996,2),LCTT_MAP!$A$7:$C$66,IF($M1996="THU",2,3),FALSE()),IFERROR(VLOOKUP(LEFT($N1996,1),LCTT_MAP!$A$7:$C$66,IF($M1996="THU",2,3),FALSE()),IF($M1996="THU","06","07")))))))</f>
        <v/>
      </c>
      <c r="P1996" s="117">
        <f>P1995+IF(AND($H1996&lt;&gt;"",OR(LEFT($F1996,LEN(SC_TK))=SC_TK,LEFT($G1996,LEN(SC_TK))=SC_TK)),1,0)</f>
        <v/>
      </c>
    </row>
    <row r="1997" ht="15" customHeight="1" s="78">
      <c r="A1997" s="95">
        <f>IF($H1997="","",ROW()-6)</f>
        <v/>
      </c>
      <c r="B1997" s="114" t="n"/>
      <c r="C1997" s="102" t="n"/>
      <c r="D1997" s="114" t="n"/>
      <c r="E1997" s="103" t="n"/>
      <c r="F1997" s="102" t="n"/>
      <c r="G1997" s="102" t="n"/>
      <c r="H1997" s="115" t="n"/>
      <c r="I1997" s="102" t="n"/>
      <c r="J1997" s="102" t="n"/>
      <c r="K1997" s="103" t="n"/>
      <c r="L1997" s="116">
        <f>IF($H1997="","",TRIM(IF(COUNTIF(DMTK!$A$7:$A$250,$F1997)=0,"TK Nợ sai! ","")&amp;IF(COUNTIF(DMTK!$A$7:$A$250,$G1997)=0,"TK Có sai! ","")&amp;IF(N($H1997)&lt;=0,"Tiền phải &gt; 0! ","")&amp;IF($B1997="","Thiếu ngày! ","")&amp;IF(AND(OR(LEFT($F1997,3)="131",LEFT($G1997,3)="131",LEFT($F1997,3)="331",LEFT($G1997,3)="331"),$I1997=""),"Thiếu Mã ĐT! ","")&amp;IF(AND($I1997&lt;&gt;"",COUNTIF(DM_DT!$A$7:$A$306,$I1997)=0),"Mã ĐT chưa khai báo! ","")))</f>
        <v/>
      </c>
      <c r="M1997" s="117">
        <f>IF($H1997="","",IF(AND(OR(LEFT($F1997,3)="111",LEFT($F1997,3)="112",LEFT($F1997,3)="113"),OR(LEFT($G1997,3)="111",LEFT($G1997,3)="112",LEFT($G1997,3)="113")),"NB",IF(OR(LEFT($F1997,3)="111",LEFT($F1997,3)="112",LEFT($F1997,3)="113"),"THU",IF(OR(LEFT($G1997,3)="111",LEFT($G1997,3)="112",LEFT($G1997,3)="113"),"CHI",""))))</f>
        <v/>
      </c>
      <c r="N1997" s="117">
        <f>IF($M1997="THU",$G1997,IF($M1997="CHI",$F1997,""))</f>
        <v/>
      </c>
      <c r="O1997" s="117">
        <f>IF(OR($M1997="",$M1997="NB"),"",IF($J1997&lt;&gt;"",TEXT($J1997,"00"),IFERROR(VLOOKUP(LEFT($N1997,4),LCTT_MAP!$A$7:$C$66,IF($M1997="THU",2,3),FALSE()),IFERROR(VLOOKUP(LEFT($N1997,3),LCTT_MAP!$A$7:$C$66,IF($M1997="THU",2,3),FALSE()),IFERROR(VLOOKUP(LEFT($N1997,2),LCTT_MAP!$A$7:$C$66,IF($M1997="THU",2,3),FALSE()),IFERROR(VLOOKUP(LEFT($N1997,1),LCTT_MAP!$A$7:$C$66,IF($M1997="THU",2,3),FALSE()),IF($M1997="THU","06","07")))))))</f>
        <v/>
      </c>
      <c r="P1997" s="117">
        <f>P1996+IF(AND($H1997&lt;&gt;"",OR(LEFT($F1997,LEN(SC_TK))=SC_TK,LEFT($G1997,LEN(SC_TK))=SC_TK)),1,0)</f>
        <v/>
      </c>
    </row>
    <row r="1998" ht="15" customHeight="1" s="78">
      <c r="A1998" s="95">
        <f>IF($H1998="","",ROW()-6)</f>
        <v/>
      </c>
      <c r="B1998" s="114" t="n"/>
      <c r="C1998" s="102" t="n"/>
      <c r="D1998" s="114" t="n"/>
      <c r="E1998" s="103" t="n"/>
      <c r="F1998" s="102" t="n"/>
      <c r="G1998" s="102" t="n"/>
      <c r="H1998" s="115" t="n"/>
      <c r="I1998" s="102" t="n"/>
      <c r="J1998" s="102" t="n"/>
      <c r="K1998" s="103" t="n"/>
      <c r="L1998" s="116">
        <f>IF($H1998="","",TRIM(IF(COUNTIF(DMTK!$A$7:$A$250,$F1998)=0,"TK Nợ sai! ","")&amp;IF(COUNTIF(DMTK!$A$7:$A$250,$G1998)=0,"TK Có sai! ","")&amp;IF(N($H1998)&lt;=0,"Tiền phải &gt; 0! ","")&amp;IF($B1998="","Thiếu ngày! ","")&amp;IF(AND(OR(LEFT($F1998,3)="131",LEFT($G1998,3)="131",LEFT($F1998,3)="331",LEFT($G1998,3)="331"),$I1998=""),"Thiếu Mã ĐT! ","")&amp;IF(AND($I1998&lt;&gt;"",COUNTIF(DM_DT!$A$7:$A$306,$I1998)=0),"Mã ĐT chưa khai báo! ","")))</f>
        <v/>
      </c>
      <c r="M1998" s="117">
        <f>IF($H1998="","",IF(AND(OR(LEFT($F1998,3)="111",LEFT($F1998,3)="112",LEFT($F1998,3)="113"),OR(LEFT($G1998,3)="111",LEFT($G1998,3)="112",LEFT($G1998,3)="113")),"NB",IF(OR(LEFT($F1998,3)="111",LEFT($F1998,3)="112",LEFT($F1998,3)="113"),"THU",IF(OR(LEFT($G1998,3)="111",LEFT($G1998,3)="112",LEFT($G1998,3)="113"),"CHI",""))))</f>
        <v/>
      </c>
      <c r="N1998" s="117">
        <f>IF($M1998="THU",$G1998,IF($M1998="CHI",$F1998,""))</f>
        <v/>
      </c>
      <c r="O1998" s="117">
        <f>IF(OR($M1998="",$M1998="NB"),"",IF($J1998&lt;&gt;"",TEXT($J1998,"00"),IFERROR(VLOOKUP(LEFT($N1998,4),LCTT_MAP!$A$7:$C$66,IF($M1998="THU",2,3),FALSE()),IFERROR(VLOOKUP(LEFT($N1998,3),LCTT_MAP!$A$7:$C$66,IF($M1998="THU",2,3),FALSE()),IFERROR(VLOOKUP(LEFT($N1998,2),LCTT_MAP!$A$7:$C$66,IF($M1998="THU",2,3),FALSE()),IFERROR(VLOOKUP(LEFT($N1998,1),LCTT_MAP!$A$7:$C$66,IF($M1998="THU",2,3),FALSE()),IF($M1998="THU","06","07")))))))</f>
        <v/>
      </c>
      <c r="P1998" s="117">
        <f>P1997+IF(AND($H1998&lt;&gt;"",OR(LEFT($F1998,LEN(SC_TK))=SC_TK,LEFT($G1998,LEN(SC_TK))=SC_TK)),1,0)</f>
        <v/>
      </c>
    </row>
    <row r="1999" ht="15" customHeight="1" s="78">
      <c r="A1999" s="95">
        <f>IF($H1999="","",ROW()-6)</f>
        <v/>
      </c>
      <c r="B1999" s="114" t="n"/>
      <c r="C1999" s="102" t="n"/>
      <c r="D1999" s="114" t="n"/>
      <c r="E1999" s="103" t="n"/>
      <c r="F1999" s="102" t="n"/>
      <c r="G1999" s="102" t="n"/>
      <c r="H1999" s="115" t="n"/>
      <c r="I1999" s="102" t="n"/>
      <c r="J1999" s="102" t="n"/>
      <c r="K1999" s="103" t="n"/>
      <c r="L1999" s="116">
        <f>IF($H1999="","",TRIM(IF(COUNTIF(DMTK!$A$7:$A$250,$F1999)=0,"TK Nợ sai! ","")&amp;IF(COUNTIF(DMTK!$A$7:$A$250,$G1999)=0,"TK Có sai! ","")&amp;IF(N($H1999)&lt;=0,"Tiền phải &gt; 0! ","")&amp;IF($B1999="","Thiếu ngày! ","")&amp;IF(AND(OR(LEFT($F1999,3)="131",LEFT($G1999,3)="131",LEFT($F1999,3)="331",LEFT($G1999,3)="331"),$I1999=""),"Thiếu Mã ĐT! ","")&amp;IF(AND($I1999&lt;&gt;"",COUNTIF(DM_DT!$A$7:$A$306,$I1999)=0),"Mã ĐT chưa khai báo! ","")))</f>
        <v/>
      </c>
      <c r="M1999" s="117">
        <f>IF($H1999="","",IF(AND(OR(LEFT($F1999,3)="111",LEFT($F1999,3)="112",LEFT($F1999,3)="113"),OR(LEFT($G1999,3)="111",LEFT($G1999,3)="112",LEFT($G1999,3)="113")),"NB",IF(OR(LEFT($F1999,3)="111",LEFT($F1999,3)="112",LEFT($F1999,3)="113"),"THU",IF(OR(LEFT($G1999,3)="111",LEFT($G1999,3)="112",LEFT($G1999,3)="113"),"CHI",""))))</f>
        <v/>
      </c>
      <c r="N1999" s="117">
        <f>IF($M1999="THU",$G1999,IF($M1999="CHI",$F1999,""))</f>
        <v/>
      </c>
      <c r="O1999" s="117">
        <f>IF(OR($M1999="",$M1999="NB"),"",IF($J1999&lt;&gt;"",TEXT($J1999,"00"),IFERROR(VLOOKUP(LEFT($N1999,4),LCTT_MAP!$A$7:$C$66,IF($M1999="THU",2,3),FALSE()),IFERROR(VLOOKUP(LEFT($N1999,3),LCTT_MAP!$A$7:$C$66,IF($M1999="THU",2,3),FALSE()),IFERROR(VLOOKUP(LEFT($N1999,2),LCTT_MAP!$A$7:$C$66,IF($M1999="THU",2,3),FALSE()),IFERROR(VLOOKUP(LEFT($N1999,1),LCTT_MAP!$A$7:$C$66,IF($M1999="THU",2,3),FALSE()),IF($M1999="THU","06","07")))))))</f>
        <v/>
      </c>
      <c r="P1999" s="117">
        <f>P1998+IF(AND($H1999&lt;&gt;"",OR(LEFT($F1999,LEN(SC_TK))=SC_TK,LEFT($G1999,LEN(SC_TK))=SC_TK)),1,0)</f>
        <v/>
      </c>
    </row>
    <row r="2000" ht="15" customHeight="1" s="78">
      <c r="A2000" s="95">
        <f>IF($H2000="","",ROW()-6)</f>
        <v/>
      </c>
      <c r="B2000" s="114" t="n"/>
      <c r="C2000" s="102" t="n"/>
      <c r="D2000" s="114" t="n"/>
      <c r="E2000" s="103" t="n"/>
      <c r="F2000" s="102" t="n"/>
      <c r="G2000" s="102" t="n"/>
      <c r="H2000" s="115" t="n"/>
      <c r="I2000" s="102" t="n"/>
      <c r="J2000" s="102" t="n"/>
      <c r="K2000" s="103" t="n"/>
      <c r="L2000" s="116">
        <f>IF($H2000="","",TRIM(IF(COUNTIF(DMTK!$A$7:$A$250,$F2000)=0,"TK Nợ sai! ","")&amp;IF(COUNTIF(DMTK!$A$7:$A$250,$G2000)=0,"TK Có sai! ","")&amp;IF(N($H2000)&lt;=0,"Tiền phải &gt; 0! ","")&amp;IF($B2000="","Thiếu ngày! ","")&amp;IF(AND(OR(LEFT($F2000,3)="131",LEFT($G2000,3)="131",LEFT($F2000,3)="331",LEFT($G2000,3)="331"),$I2000=""),"Thiếu Mã ĐT! ","")&amp;IF(AND($I2000&lt;&gt;"",COUNTIF(DM_DT!$A$7:$A$306,$I2000)=0),"Mã ĐT chưa khai báo! ","")))</f>
        <v/>
      </c>
      <c r="M2000" s="117">
        <f>IF($H2000="","",IF(AND(OR(LEFT($F2000,3)="111",LEFT($F2000,3)="112",LEFT($F2000,3)="113"),OR(LEFT($G2000,3)="111",LEFT($G2000,3)="112",LEFT($G2000,3)="113")),"NB",IF(OR(LEFT($F2000,3)="111",LEFT($F2000,3)="112",LEFT($F2000,3)="113"),"THU",IF(OR(LEFT($G2000,3)="111",LEFT($G2000,3)="112",LEFT($G2000,3)="113"),"CHI",""))))</f>
        <v/>
      </c>
      <c r="N2000" s="117">
        <f>IF($M2000="THU",$G2000,IF($M2000="CHI",$F2000,""))</f>
        <v/>
      </c>
      <c r="O2000" s="117">
        <f>IF(OR($M2000="",$M2000="NB"),"",IF($J2000&lt;&gt;"",TEXT($J2000,"00"),IFERROR(VLOOKUP(LEFT($N2000,4),LCTT_MAP!$A$7:$C$66,IF($M2000="THU",2,3),FALSE()),IFERROR(VLOOKUP(LEFT($N2000,3),LCTT_MAP!$A$7:$C$66,IF($M2000="THU",2,3),FALSE()),IFERROR(VLOOKUP(LEFT($N2000,2),LCTT_MAP!$A$7:$C$66,IF($M2000="THU",2,3),FALSE()),IFERROR(VLOOKUP(LEFT($N2000,1),LCTT_MAP!$A$7:$C$66,IF($M2000="THU",2,3),FALSE()),IF($M2000="THU","06","07")))))))</f>
        <v/>
      </c>
      <c r="P2000" s="117">
        <f>P1999+IF(AND($H2000&lt;&gt;"",OR(LEFT($F2000,LEN(SC_TK))=SC_TK,LEFT($G2000,LEN(SC_TK))=SC_TK)),1,0)</f>
        <v/>
      </c>
    </row>
    <row r="2001" ht="15" customHeight="1" s="78">
      <c r="A2001" s="95">
        <f>IF($H2001="","",ROW()-6)</f>
        <v/>
      </c>
      <c r="B2001" s="114" t="n"/>
      <c r="C2001" s="102" t="n"/>
      <c r="D2001" s="114" t="n"/>
      <c r="E2001" s="103" t="n"/>
      <c r="F2001" s="102" t="n"/>
      <c r="G2001" s="102" t="n"/>
      <c r="H2001" s="115" t="n"/>
      <c r="I2001" s="102" t="n"/>
      <c r="J2001" s="102" t="n"/>
      <c r="K2001" s="103" t="n"/>
      <c r="L2001" s="116">
        <f>IF($H2001="","",TRIM(IF(COUNTIF(DMTK!$A$7:$A$250,$F2001)=0,"TK Nợ sai! ","")&amp;IF(COUNTIF(DMTK!$A$7:$A$250,$G2001)=0,"TK Có sai! ","")&amp;IF(N($H2001)&lt;=0,"Tiền phải &gt; 0! ","")&amp;IF($B2001="","Thiếu ngày! ","")&amp;IF(AND(OR(LEFT($F2001,3)="131",LEFT($G2001,3)="131",LEFT($F2001,3)="331",LEFT($G2001,3)="331"),$I2001=""),"Thiếu Mã ĐT! ","")&amp;IF(AND($I2001&lt;&gt;"",COUNTIF(DM_DT!$A$7:$A$306,$I2001)=0),"Mã ĐT chưa khai báo! ","")))</f>
        <v/>
      </c>
      <c r="M2001" s="117">
        <f>IF($H2001="","",IF(AND(OR(LEFT($F2001,3)="111",LEFT($F2001,3)="112",LEFT($F2001,3)="113"),OR(LEFT($G2001,3)="111",LEFT($G2001,3)="112",LEFT($G2001,3)="113")),"NB",IF(OR(LEFT($F2001,3)="111",LEFT($F2001,3)="112",LEFT($F2001,3)="113"),"THU",IF(OR(LEFT($G2001,3)="111",LEFT($G2001,3)="112",LEFT($G2001,3)="113"),"CHI",""))))</f>
        <v/>
      </c>
      <c r="N2001" s="117">
        <f>IF($M2001="THU",$G2001,IF($M2001="CHI",$F2001,""))</f>
        <v/>
      </c>
      <c r="O2001" s="117">
        <f>IF(OR($M2001="",$M2001="NB"),"",IF($J2001&lt;&gt;"",TEXT($J2001,"00"),IFERROR(VLOOKUP(LEFT($N2001,4),LCTT_MAP!$A$7:$C$66,IF($M2001="THU",2,3),FALSE()),IFERROR(VLOOKUP(LEFT($N2001,3),LCTT_MAP!$A$7:$C$66,IF($M2001="THU",2,3),FALSE()),IFERROR(VLOOKUP(LEFT($N2001,2),LCTT_MAP!$A$7:$C$66,IF($M2001="THU",2,3),FALSE()),IFERROR(VLOOKUP(LEFT($N2001,1),LCTT_MAP!$A$7:$C$66,IF($M2001="THU",2,3),FALSE()),IF($M2001="THU","06","07")))))))</f>
        <v/>
      </c>
      <c r="P2001" s="117">
        <f>P2000+IF(AND($H2001&lt;&gt;"",OR(LEFT($F2001,LEN(SC_TK))=SC_TK,LEFT($G2001,LEN(SC_TK))=SC_TK)),1,0)</f>
        <v/>
      </c>
    </row>
    <row r="2002" ht="15" customHeight="1" s="78">
      <c r="A2002" s="95">
        <f>IF($H2002="","",ROW()-6)</f>
        <v/>
      </c>
      <c r="B2002" s="114" t="n"/>
      <c r="C2002" s="102" t="n"/>
      <c r="D2002" s="114" t="n"/>
      <c r="E2002" s="103" t="n"/>
      <c r="F2002" s="102" t="n"/>
      <c r="G2002" s="102" t="n"/>
      <c r="H2002" s="115" t="n"/>
      <c r="I2002" s="102" t="n"/>
      <c r="J2002" s="102" t="n"/>
      <c r="K2002" s="103" t="n"/>
      <c r="L2002" s="116">
        <f>IF($H2002="","",TRIM(IF(COUNTIF(DMTK!$A$7:$A$250,$F2002)=0,"TK Nợ sai! ","")&amp;IF(COUNTIF(DMTK!$A$7:$A$250,$G2002)=0,"TK Có sai! ","")&amp;IF(N($H2002)&lt;=0,"Tiền phải &gt; 0! ","")&amp;IF($B2002="","Thiếu ngày! ","")&amp;IF(AND(OR(LEFT($F2002,3)="131",LEFT($G2002,3)="131",LEFT($F2002,3)="331",LEFT($G2002,3)="331"),$I2002=""),"Thiếu Mã ĐT! ","")&amp;IF(AND($I2002&lt;&gt;"",COUNTIF(DM_DT!$A$7:$A$306,$I2002)=0),"Mã ĐT chưa khai báo! ","")))</f>
        <v/>
      </c>
      <c r="M2002" s="117">
        <f>IF($H2002="","",IF(AND(OR(LEFT($F2002,3)="111",LEFT($F2002,3)="112",LEFT($F2002,3)="113"),OR(LEFT($G2002,3)="111",LEFT($G2002,3)="112",LEFT($G2002,3)="113")),"NB",IF(OR(LEFT($F2002,3)="111",LEFT($F2002,3)="112",LEFT($F2002,3)="113"),"THU",IF(OR(LEFT($G2002,3)="111",LEFT($G2002,3)="112",LEFT($G2002,3)="113"),"CHI",""))))</f>
        <v/>
      </c>
      <c r="N2002" s="117">
        <f>IF($M2002="THU",$G2002,IF($M2002="CHI",$F2002,""))</f>
        <v/>
      </c>
      <c r="O2002" s="117">
        <f>IF(OR($M2002="",$M2002="NB"),"",IF($J2002&lt;&gt;"",TEXT($J2002,"00"),IFERROR(VLOOKUP(LEFT($N2002,4),LCTT_MAP!$A$7:$C$66,IF($M2002="THU",2,3),FALSE()),IFERROR(VLOOKUP(LEFT($N2002,3),LCTT_MAP!$A$7:$C$66,IF($M2002="THU",2,3),FALSE()),IFERROR(VLOOKUP(LEFT($N2002,2),LCTT_MAP!$A$7:$C$66,IF($M2002="THU",2,3),FALSE()),IFERROR(VLOOKUP(LEFT($N2002,1),LCTT_MAP!$A$7:$C$66,IF($M2002="THU",2,3),FALSE()),IF($M2002="THU","06","07")))))))</f>
        <v/>
      </c>
      <c r="P2002" s="117">
        <f>P2001+IF(AND($H2002&lt;&gt;"",OR(LEFT($F2002,LEN(SC_TK))=SC_TK,LEFT($G2002,LEN(SC_TK))=SC_TK)),1,0)</f>
        <v/>
      </c>
    </row>
    <row r="2003" ht="15" customHeight="1" s="78">
      <c r="A2003" s="95">
        <f>IF($H2003="","",ROW()-6)</f>
        <v/>
      </c>
      <c r="B2003" s="114" t="n"/>
      <c r="C2003" s="102" t="n"/>
      <c r="D2003" s="114" t="n"/>
      <c r="E2003" s="103" t="n"/>
      <c r="F2003" s="102" t="n"/>
      <c r="G2003" s="102" t="n"/>
      <c r="H2003" s="115" t="n"/>
      <c r="I2003" s="102" t="n"/>
      <c r="J2003" s="102" t="n"/>
      <c r="K2003" s="103" t="n"/>
      <c r="L2003" s="116">
        <f>IF($H2003="","",TRIM(IF(COUNTIF(DMTK!$A$7:$A$250,$F2003)=0,"TK Nợ sai! ","")&amp;IF(COUNTIF(DMTK!$A$7:$A$250,$G2003)=0,"TK Có sai! ","")&amp;IF(N($H2003)&lt;=0,"Tiền phải &gt; 0! ","")&amp;IF($B2003="","Thiếu ngày! ","")&amp;IF(AND(OR(LEFT($F2003,3)="131",LEFT($G2003,3)="131",LEFT($F2003,3)="331",LEFT($G2003,3)="331"),$I2003=""),"Thiếu Mã ĐT! ","")&amp;IF(AND($I2003&lt;&gt;"",COUNTIF(DM_DT!$A$7:$A$306,$I2003)=0),"Mã ĐT chưa khai báo! ","")))</f>
        <v/>
      </c>
      <c r="M2003" s="117">
        <f>IF($H2003="","",IF(AND(OR(LEFT($F2003,3)="111",LEFT($F2003,3)="112",LEFT($F2003,3)="113"),OR(LEFT($G2003,3)="111",LEFT($G2003,3)="112",LEFT($G2003,3)="113")),"NB",IF(OR(LEFT($F2003,3)="111",LEFT($F2003,3)="112",LEFT($F2003,3)="113"),"THU",IF(OR(LEFT($G2003,3)="111",LEFT($G2003,3)="112",LEFT($G2003,3)="113"),"CHI",""))))</f>
        <v/>
      </c>
      <c r="N2003" s="117">
        <f>IF($M2003="THU",$G2003,IF($M2003="CHI",$F2003,""))</f>
        <v/>
      </c>
      <c r="O2003" s="117">
        <f>IF(OR($M2003="",$M2003="NB"),"",IF($J2003&lt;&gt;"",TEXT($J2003,"00"),IFERROR(VLOOKUP(LEFT($N2003,4),LCTT_MAP!$A$7:$C$66,IF($M2003="THU",2,3),FALSE()),IFERROR(VLOOKUP(LEFT($N2003,3),LCTT_MAP!$A$7:$C$66,IF($M2003="THU",2,3),FALSE()),IFERROR(VLOOKUP(LEFT($N2003,2),LCTT_MAP!$A$7:$C$66,IF($M2003="THU",2,3),FALSE()),IFERROR(VLOOKUP(LEFT($N2003,1),LCTT_MAP!$A$7:$C$66,IF($M2003="THU",2,3),FALSE()),IF($M2003="THU","06","07")))))))</f>
        <v/>
      </c>
      <c r="P2003" s="117">
        <f>P2002+IF(AND($H2003&lt;&gt;"",OR(LEFT($F2003,LEN(SC_TK))=SC_TK,LEFT($G2003,LEN(SC_TK))=SC_TK)),1,0)</f>
        <v/>
      </c>
    </row>
    <row r="2004" ht="15" customHeight="1" s="78">
      <c r="A2004" s="95">
        <f>IF($H2004="","",ROW()-6)</f>
        <v/>
      </c>
      <c r="B2004" s="114" t="n"/>
      <c r="C2004" s="102" t="n"/>
      <c r="D2004" s="114" t="n"/>
      <c r="E2004" s="103" t="n"/>
      <c r="F2004" s="102" t="n"/>
      <c r="G2004" s="102" t="n"/>
      <c r="H2004" s="115" t="n"/>
      <c r="I2004" s="102" t="n"/>
      <c r="J2004" s="102" t="n"/>
      <c r="K2004" s="103" t="n"/>
      <c r="L2004" s="116">
        <f>IF($H2004="","",TRIM(IF(COUNTIF(DMTK!$A$7:$A$250,$F2004)=0,"TK Nợ sai! ","")&amp;IF(COUNTIF(DMTK!$A$7:$A$250,$G2004)=0,"TK Có sai! ","")&amp;IF(N($H2004)&lt;=0,"Tiền phải &gt; 0! ","")&amp;IF($B2004="","Thiếu ngày! ","")&amp;IF(AND(OR(LEFT($F2004,3)="131",LEFT($G2004,3)="131",LEFT($F2004,3)="331",LEFT($G2004,3)="331"),$I2004=""),"Thiếu Mã ĐT! ","")&amp;IF(AND($I2004&lt;&gt;"",COUNTIF(DM_DT!$A$7:$A$306,$I2004)=0),"Mã ĐT chưa khai báo! ","")))</f>
        <v/>
      </c>
      <c r="M2004" s="117">
        <f>IF($H2004="","",IF(AND(OR(LEFT($F2004,3)="111",LEFT($F2004,3)="112",LEFT($F2004,3)="113"),OR(LEFT($G2004,3)="111",LEFT($G2004,3)="112",LEFT($G2004,3)="113")),"NB",IF(OR(LEFT($F2004,3)="111",LEFT($F2004,3)="112",LEFT($F2004,3)="113"),"THU",IF(OR(LEFT($G2004,3)="111",LEFT($G2004,3)="112",LEFT($G2004,3)="113"),"CHI",""))))</f>
        <v/>
      </c>
      <c r="N2004" s="117">
        <f>IF($M2004="THU",$G2004,IF($M2004="CHI",$F2004,""))</f>
        <v/>
      </c>
      <c r="O2004" s="117">
        <f>IF(OR($M2004="",$M2004="NB"),"",IF($J2004&lt;&gt;"",TEXT($J2004,"00"),IFERROR(VLOOKUP(LEFT($N2004,4),LCTT_MAP!$A$7:$C$66,IF($M2004="THU",2,3),FALSE()),IFERROR(VLOOKUP(LEFT($N2004,3),LCTT_MAP!$A$7:$C$66,IF($M2004="THU",2,3),FALSE()),IFERROR(VLOOKUP(LEFT($N2004,2),LCTT_MAP!$A$7:$C$66,IF($M2004="THU",2,3),FALSE()),IFERROR(VLOOKUP(LEFT($N2004,1),LCTT_MAP!$A$7:$C$66,IF($M2004="THU",2,3),FALSE()),IF($M2004="THU","06","07")))))))</f>
        <v/>
      </c>
      <c r="P2004" s="117">
        <f>P2003+IF(AND($H2004&lt;&gt;"",OR(LEFT($F2004,LEN(SC_TK))=SC_TK,LEFT($G2004,LEN(SC_TK))=SC_TK)),1,0)</f>
        <v/>
      </c>
    </row>
    <row r="2005" ht="15" customHeight="1" s="78">
      <c r="A2005" s="95">
        <f>IF($H2005="","",ROW()-6)</f>
        <v/>
      </c>
      <c r="B2005" s="114" t="n"/>
      <c r="C2005" s="102" t="n"/>
      <c r="D2005" s="114" t="n"/>
      <c r="E2005" s="103" t="n"/>
      <c r="F2005" s="102" t="n"/>
      <c r="G2005" s="102" t="n"/>
      <c r="H2005" s="115" t="n"/>
      <c r="I2005" s="102" t="n"/>
      <c r="J2005" s="102" t="n"/>
      <c r="K2005" s="103" t="n"/>
      <c r="L2005" s="116">
        <f>IF($H2005="","",TRIM(IF(COUNTIF(DMTK!$A$7:$A$250,$F2005)=0,"TK Nợ sai! ","")&amp;IF(COUNTIF(DMTK!$A$7:$A$250,$G2005)=0,"TK Có sai! ","")&amp;IF(N($H2005)&lt;=0,"Tiền phải &gt; 0! ","")&amp;IF($B2005="","Thiếu ngày! ","")&amp;IF(AND(OR(LEFT($F2005,3)="131",LEFT($G2005,3)="131",LEFT($F2005,3)="331",LEFT($G2005,3)="331"),$I2005=""),"Thiếu Mã ĐT! ","")&amp;IF(AND($I2005&lt;&gt;"",COUNTIF(DM_DT!$A$7:$A$306,$I2005)=0),"Mã ĐT chưa khai báo! ","")))</f>
        <v/>
      </c>
      <c r="M2005" s="117">
        <f>IF($H2005="","",IF(AND(OR(LEFT($F2005,3)="111",LEFT($F2005,3)="112",LEFT($F2005,3)="113"),OR(LEFT($G2005,3)="111",LEFT($G2005,3)="112",LEFT($G2005,3)="113")),"NB",IF(OR(LEFT($F2005,3)="111",LEFT($F2005,3)="112",LEFT($F2005,3)="113"),"THU",IF(OR(LEFT($G2005,3)="111",LEFT($G2005,3)="112",LEFT($G2005,3)="113"),"CHI",""))))</f>
        <v/>
      </c>
      <c r="N2005" s="117">
        <f>IF($M2005="THU",$G2005,IF($M2005="CHI",$F2005,""))</f>
        <v/>
      </c>
      <c r="O2005" s="117">
        <f>IF(OR($M2005="",$M2005="NB"),"",IF($J2005&lt;&gt;"",TEXT($J2005,"00"),IFERROR(VLOOKUP(LEFT($N2005,4),LCTT_MAP!$A$7:$C$66,IF($M2005="THU",2,3),FALSE()),IFERROR(VLOOKUP(LEFT($N2005,3),LCTT_MAP!$A$7:$C$66,IF($M2005="THU",2,3),FALSE()),IFERROR(VLOOKUP(LEFT($N2005,2),LCTT_MAP!$A$7:$C$66,IF($M2005="THU",2,3),FALSE()),IFERROR(VLOOKUP(LEFT($N2005,1),LCTT_MAP!$A$7:$C$66,IF($M2005="THU",2,3),FALSE()),IF($M2005="THU","06","07")))))))</f>
        <v/>
      </c>
      <c r="P2005" s="117">
        <f>P2004+IF(AND($H2005&lt;&gt;"",OR(LEFT($F2005,LEN(SC_TK))=SC_TK,LEFT($G2005,LEN(SC_TK))=SC_TK)),1,0)</f>
        <v/>
      </c>
    </row>
    <row r="2006" ht="15" customHeight="1" s="78">
      <c r="A2006" s="95">
        <f>IF($H2006="","",ROW()-6)</f>
        <v/>
      </c>
      <c r="B2006" s="114" t="n"/>
      <c r="C2006" s="102" t="n"/>
      <c r="D2006" s="114" t="n"/>
      <c r="E2006" s="103" t="n"/>
      <c r="F2006" s="102" t="n"/>
      <c r="G2006" s="102" t="n"/>
      <c r="H2006" s="115" t="n"/>
      <c r="I2006" s="102" t="n"/>
      <c r="J2006" s="102" t="n"/>
      <c r="K2006" s="103" t="n"/>
      <c r="L2006" s="116">
        <f>IF($H2006="","",TRIM(IF(COUNTIF(DMTK!$A$7:$A$250,$F2006)=0,"TK Nợ sai! ","")&amp;IF(COUNTIF(DMTK!$A$7:$A$250,$G2006)=0,"TK Có sai! ","")&amp;IF(N($H2006)&lt;=0,"Tiền phải &gt; 0! ","")&amp;IF($B2006="","Thiếu ngày! ","")&amp;IF(AND(OR(LEFT($F2006,3)="131",LEFT($G2006,3)="131",LEFT($F2006,3)="331",LEFT($G2006,3)="331"),$I2006=""),"Thiếu Mã ĐT! ","")&amp;IF(AND($I2006&lt;&gt;"",COUNTIF(DM_DT!$A$7:$A$306,$I2006)=0),"Mã ĐT chưa khai báo! ","")))</f>
        <v/>
      </c>
      <c r="M2006" s="117">
        <f>IF($H2006="","",IF(AND(OR(LEFT($F2006,3)="111",LEFT($F2006,3)="112",LEFT($F2006,3)="113"),OR(LEFT($G2006,3)="111",LEFT($G2006,3)="112",LEFT($G2006,3)="113")),"NB",IF(OR(LEFT($F2006,3)="111",LEFT($F2006,3)="112",LEFT($F2006,3)="113"),"THU",IF(OR(LEFT($G2006,3)="111",LEFT($G2006,3)="112",LEFT($G2006,3)="113"),"CHI",""))))</f>
        <v/>
      </c>
      <c r="N2006" s="117">
        <f>IF($M2006="THU",$G2006,IF($M2006="CHI",$F2006,""))</f>
        <v/>
      </c>
      <c r="O2006" s="117">
        <f>IF(OR($M2006="",$M2006="NB"),"",IF($J2006&lt;&gt;"",TEXT($J2006,"00"),IFERROR(VLOOKUP(LEFT($N2006,4),LCTT_MAP!$A$7:$C$66,IF($M2006="THU",2,3),FALSE()),IFERROR(VLOOKUP(LEFT($N2006,3),LCTT_MAP!$A$7:$C$66,IF($M2006="THU",2,3),FALSE()),IFERROR(VLOOKUP(LEFT($N2006,2),LCTT_MAP!$A$7:$C$66,IF($M2006="THU",2,3),FALSE()),IFERROR(VLOOKUP(LEFT($N2006,1),LCTT_MAP!$A$7:$C$66,IF($M2006="THU",2,3),FALSE()),IF($M2006="THU","06","07")))))))</f>
        <v/>
      </c>
      <c r="P2006" s="117">
        <f>P2005+IF(AND($H2006&lt;&gt;"",OR(LEFT($F2006,LEN(SC_TK))=SC_TK,LEFT($G2006,LEN(SC_TK))=SC_TK)),1,0)</f>
        <v/>
      </c>
    </row>
    <row r="2007" ht="15" customHeight="1" s="78">
      <c r="A2007" s="95">
        <f>IF($H2007="","",ROW()-6)</f>
        <v/>
      </c>
      <c r="B2007" s="114" t="n"/>
      <c r="C2007" s="102" t="n"/>
      <c r="D2007" s="114" t="n"/>
      <c r="E2007" s="103" t="n"/>
      <c r="F2007" s="102" t="n"/>
      <c r="G2007" s="102" t="n"/>
      <c r="H2007" s="115" t="n"/>
      <c r="I2007" s="102" t="n"/>
      <c r="J2007" s="102" t="n"/>
      <c r="K2007" s="103" t="n"/>
      <c r="L2007" s="116">
        <f>IF($H2007="","",TRIM(IF(COUNTIF(DMTK!$A$7:$A$250,$F2007)=0,"TK Nợ sai! ","")&amp;IF(COUNTIF(DMTK!$A$7:$A$250,$G2007)=0,"TK Có sai! ","")&amp;IF(N($H2007)&lt;=0,"Tiền phải &gt; 0! ","")&amp;IF($B2007="","Thiếu ngày! ","")&amp;IF(AND(OR(LEFT($F2007,3)="131",LEFT($G2007,3)="131",LEFT($F2007,3)="331",LEFT($G2007,3)="331"),$I2007=""),"Thiếu Mã ĐT! ","")&amp;IF(AND($I2007&lt;&gt;"",COUNTIF(DM_DT!$A$7:$A$306,$I2007)=0),"Mã ĐT chưa khai báo! ","")))</f>
        <v/>
      </c>
      <c r="M2007" s="117">
        <f>IF($H2007="","",IF(AND(OR(LEFT($F2007,3)="111",LEFT($F2007,3)="112",LEFT($F2007,3)="113"),OR(LEFT($G2007,3)="111",LEFT($G2007,3)="112",LEFT($G2007,3)="113")),"NB",IF(OR(LEFT($F2007,3)="111",LEFT($F2007,3)="112",LEFT($F2007,3)="113"),"THU",IF(OR(LEFT($G2007,3)="111",LEFT($G2007,3)="112",LEFT($G2007,3)="113"),"CHI",""))))</f>
        <v/>
      </c>
      <c r="N2007" s="117">
        <f>IF($M2007="THU",$G2007,IF($M2007="CHI",$F2007,""))</f>
        <v/>
      </c>
      <c r="O2007" s="117">
        <f>IF(OR($M2007="",$M2007="NB"),"",IF($J2007&lt;&gt;"",TEXT($J2007,"00"),IFERROR(VLOOKUP(LEFT($N2007,4),LCTT_MAP!$A$7:$C$66,IF($M2007="THU",2,3),FALSE()),IFERROR(VLOOKUP(LEFT($N2007,3),LCTT_MAP!$A$7:$C$66,IF($M2007="THU",2,3),FALSE()),IFERROR(VLOOKUP(LEFT($N2007,2),LCTT_MAP!$A$7:$C$66,IF($M2007="THU",2,3),FALSE()),IFERROR(VLOOKUP(LEFT($N2007,1),LCTT_MAP!$A$7:$C$66,IF($M2007="THU",2,3),FALSE()),IF($M2007="THU","06","07")))))))</f>
        <v/>
      </c>
      <c r="P2007" s="117">
        <f>P2006+IF(AND($H2007&lt;&gt;"",OR(LEFT($F2007,LEN(SC_TK))=SC_TK,LEFT($G2007,LEN(SC_TK))=SC_TK)),1,0)</f>
        <v/>
      </c>
    </row>
    <row r="2008" ht="15" customHeight="1" s="78">
      <c r="A2008" s="95">
        <f>IF($H2008="","",ROW()-6)</f>
        <v/>
      </c>
      <c r="B2008" s="114" t="n"/>
      <c r="C2008" s="102" t="n"/>
      <c r="D2008" s="114" t="n"/>
      <c r="E2008" s="103" t="n"/>
      <c r="F2008" s="102" t="n"/>
      <c r="G2008" s="102" t="n"/>
      <c r="H2008" s="115" t="n"/>
      <c r="I2008" s="102" t="n"/>
      <c r="J2008" s="102" t="n"/>
      <c r="K2008" s="103" t="n"/>
      <c r="L2008" s="116">
        <f>IF($H2008="","",TRIM(IF(COUNTIF(DMTK!$A$7:$A$250,$F2008)=0,"TK Nợ sai! ","")&amp;IF(COUNTIF(DMTK!$A$7:$A$250,$G2008)=0,"TK Có sai! ","")&amp;IF(N($H2008)&lt;=0,"Tiền phải &gt; 0! ","")&amp;IF($B2008="","Thiếu ngày! ","")&amp;IF(AND(OR(LEFT($F2008,3)="131",LEFT($G2008,3)="131",LEFT($F2008,3)="331",LEFT($G2008,3)="331"),$I2008=""),"Thiếu Mã ĐT! ","")&amp;IF(AND($I2008&lt;&gt;"",COUNTIF(DM_DT!$A$7:$A$306,$I2008)=0),"Mã ĐT chưa khai báo! ","")))</f>
        <v/>
      </c>
      <c r="M2008" s="117">
        <f>IF($H2008="","",IF(AND(OR(LEFT($F2008,3)="111",LEFT($F2008,3)="112",LEFT($F2008,3)="113"),OR(LEFT($G2008,3)="111",LEFT($G2008,3)="112",LEFT($G2008,3)="113")),"NB",IF(OR(LEFT($F2008,3)="111",LEFT($F2008,3)="112",LEFT($F2008,3)="113"),"THU",IF(OR(LEFT($G2008,3)="111",LEFT($G2008,3)="112",LEFT($G2008,3)="113"),"CHI",""))))</f>
        <v/>
      </c>
      <c r="N2008" s="117">
        <f>IF($M2008="THU",$G2008,IF($M2008="CHI",$F2008,""))</f>
        <v/>
      </c>
      <c r="O2008" s="117">
        <f>IF(OR($M2008="",$M2008="NB"),"",IF($J2008&lt;&gt;"",TEXT($J2008,"00"),IFERROR(VLOOKUP(LEFT($N2008,4),LCTT_MAP!$A$7:$C$66,IF($M2008="THU",2,3),FALSE()),IFERROR(VLOOKUP(LEFT($N2008,3),LCTT_MAP!$A$7:$C$66,IF($M2008="THU",2,3),FALSE()),IFERROR(VLOOKUP(LEFT($N2008,2),LCTT_MAP!$A$7:$C$66,IF($M2008="THU",2,3),FALSE()),IFERROR(VLOOKUP(LEFT($N2008,1),LCTT_MAP!$A$7:$C$66,IF($M2008="THU",2,3),FALSE()),IF($M2008="THU","06","07")))))))</f>
        <v/>
      </c>
      <c r="P2008" s="117">
        <f>P2007+IF(AND($H2008&lt;&gt;"",OR(LEFT($F2008,LEN(SC_TK))=SC_TK,LEFT($G2008,LEN(SC_TK))=SC_TK)),1,0)</f>
        <v/>
      </c>
    </row>
    <row r="2009" ht="15" customHeight="1" s="78">
      <c r="A2009" s="95">
        <f>IF($H2009="","",ROW()-6)</f>
        <v/>
      </c>
      <c r="B2009" s="114" t="n"/>
      <c r="C2009" s="102" t="n"/>
      <c r="D2009" s="114" t="n"/>
      <c r="E2009" s="103" t="n"/>
      <c r="F2009" s="102" t="n"/>
      <c r="G2009" s="102" t="n"/>
      <c r="H2009" s="115" t="n"/>
      <c r="I2009" s="102" t="n"/>
      <c r="J2009" s="102" t="n"/>
      <c r="K2009" s="103" t="n"/>
      <c r="L2009" s="116">
        <f>IF($H2009="","",TRIM(IF(COUNTIF(DMTK!$A$7:$A$250,$F2009)=0,"TK Nợ sai! ","")&amp;IF(COUNTIF(DMTK!$A$7:$A$250,$G2009)=0,"TK Có sai! ","")&amp;IF(N($H2009)&lt;=0,"Tiền phải &gt; 0! ","")&amp;IF($B2009="","Thiếu ngày! ","")&amp;IF(AND(OR(LEFT($F2009,3)="131",LEFT($G2009,3)="131",LEFT($F2009,3)="331",LEFT($G2009,3)="331"),$I2009=""),"Thiếu Mã ĐT! ","")&amp;IF(AND($I2009&lt;&gt;"",COUNTIF(DM_DT!$A$7:$A$306,$I2009)=0),"Mã ĐT chưa khai báo! ","")))</f>
        <v/>
      </c>
      <c r="M2009" s="117">
        <f>IF($H2009="","",IF(AND(OR(LEFT($F2009,3)="111",LEFT($F2009,3)="112",LEFT($F2009,3)="113"),OR(LEFT($G2009,3)="111",LEFT($G2009,3)="112",LEFT($G2009,3)="113")),"NB",IF(OR(LEFT($F2009,3)="111",LEFT($F2009,3)="112",LEFT($F2009,3)="113"),"THU",IF(OR(LEFT($G2009,3)="111",LEFT($G2009,3)="112",LEFT($G2009,3)="113"),"CHI",""))))</f>
        <v/>
      </c>
      <c r="N2009" s="117">
        <f>IF($M2009="THU",$G2009,IF($M2009="CHI",$F2009,""))</f>
        <v/>
      </c>
      <c r="O2009" s="117">
        <f>IF(OR($M2009="",$M2009="NB"),"",IF($J2009&lt;&gt;"",TEXT($J2009,"00"),IFERROR(VLOOKUP(LEFT($N2009,4),LCTT_MAP!$A$7:$C$66,IF($M2009="THU",2,3),FALSE()),IFERROR(VLOOKUP(LEFT($N2009,3),LCTT_MAP!$A$7:$C$66,IF($M2009="THU",2,3),FALSE()),IFERROR(VLOOKUP(LEFT($N2009,2),LCTT_MAP!$A$7:$C$66,IF($M2009="THU",2,3),FALSE()),IFERROR(VLOOKUP(LEFT($N2009,1),LCTT_MAP!$A$7:$C$66,IF($M2009="THU",2,3),FALSE()),IF($M2009="THU","06","07")))))))</f>
        <v/>
      </c>
      <c r="P2009" s="117">
        <f>P2008+IF(AND($H2009&lt;&gt;"",OR(LEFT($F2009,LEN(SC_TK))=SC_TK,LEFT($G2009,LEN(SC_TK))=SC_TK)),1,0)</f>
        <v/>
      </c>
    </row>
    <row r="2010" ht="15" customHeight="1" s="78">
      <c r="A2010" s="95">
        <f>IF($H2010="","",ROW()-6)</f>
        <v/>
      </c>
      <c r="B2010" s="114" t="n"/>
      <c r="C2010" s="102" t="n"/>
      <c r="D2010" s="114" t="n"/>
      <c r="E2010" s="103" t="n"/>
      <c r="F2010" s="102" t="n"/>
      <c r="G2010" s="102" t="n"/>
      <c r="H2010" s="115" t="n"/>
      <c r="I2010" s="102" t="n"/>
      <c r="J2010" s="102" t="n"/>
      <c r="K2010" s="103" t="n"/>
      <c r="L2010" s="116">
        <f>IF($H2010="","",TRIM(IF(COUNTIF(DMTK!$A$7:$A$250,$F2010)=0,"TK Nợ sai! ","")&amp;IF(COUNTIF(DMTK!$A$7:$A$250,$G2010)=0,"TK Có sai! ","")&amp;IF(N($H2010)&lt;=0,"Tiền phải &gt; 0! ","")&amp;IF($B2010="","Thiếu ngày! ","")&amp;IF(AND(OR(LEFT($F2010,3)="131",LEFT($G2010,3)="131",LEFT($F2010,3)="331",LEFT($G2010,3)="331"),$I2010=""),"Thiếu Mã ĐT! ","")&amp;IF(AND($I2010&lt;&gt;"",COUNTIF(DM_DT!$A$7:$A$306,$I2010)=0),"Mã ĐT chưa khai báo! ","")))</f>
        <v/>
      </c>
      <c r="M2010" s="117">
        <f>IF($H2010="","",IF(AND(OR(LEFT($F2010,3)="111",LEFT($F2010,3)="112",LEFT($F2010,3)="113"),OR(LEFT($G2010,3)="111",LEFT($G2010,3)="112",LEFT($G2010,3)="113")),"NB",IF(OR(LEFT($F2010,3)="111",LEFT($F2010,3)="112",LEFT($F2010,3)="113"),"THU",IF(OR(LEFT($G2010,3)="111",LEFT($G2010,3)="112",LEFT($G2010,3)="113"),"CHI",""))))</f>
        <v/>
      </c>
      <c r="N2010" s="117">
        <f>IF($M2010="THU",$G2010,IF($M2010="CHI",$F2010,""))</f>
        <v/>
      </c>
      <c r="O2010" s="117">
        <f>IF(OR($M2010="",$M2010="NB"),"",IF($J2010&lt;&gt;"",TEXT($J2010,"00"),IFERROR(VLOOKUP(LEFT($N2010,4),LCTT_MAP!$A$7:$C$66,IF($M2010="THU",2,3),FALSE()),IFERROR(VLOOKUP(LEFT($N2010,3),LCTT_MAP!$A$7:$C$66,IF($M2010="THU",2,3),FALSE()),IFERROR(VLOOKUP(LEFT($N2010,2),LCTT_MAP!$A$7:$C$66,IF($M2010="THU",2,3),FALSE()),IFERROR(VLOOKUP(LEFT($N2010,1),LCTT_MAP!$A$7:$C$66,IF($M2010="THU",2,3),FALSE()),IF($M2010="THU","06","07")))))))</f>
        <v/>
      </c>
      <c r="P2010" s="117">
        <f>P2009+IF(AND($H2010&lt;&gt;"",OR(LEFT($F2010,LEN(SC_TK))=SC_TK,LEFT($G2010,LEN(SC_TK))=SC_TK)),1,0)</f>
        <v/>
      </c>
    </row>
    <row r="2011" ht="15" customHeight="1" s="78">
      <c r="A2011" s="95">
        <f>IF($H2011="","",ROW()-6)</f>
        <v/>
      </c>
      <c r="B2011" s="114" t="n"/>
      <c r="C2011" s="102" t="n"/>
      <c r="D2011" s="114" t="n"/>
      <c r="E2011" s="103" t="n"/>
      <c r="F2011" s="102" t="n"/>
      <c r="G2011" s="102" t="n"/>
      <c r="H2011" s="115" t="n"/>
      <c r="I2011" s="102" t="n"/>
      <c r="J2011" s="102" t="n"/>
      <c r="K2011" s="103" t="n"/>
      <c r="L2011" s="116">
        <f>IF($H2011="","",TRIM(IF(COUNTIF(DMTK!$A$7:$A$250,$F2011)=0,"TK Nợ sai! ","")&amp;IF(COUNTIF(DMTK!$A$7:$A$250,$G2011)=0,"TK Có sai! ","")&amp;IF(N($H2011)&lt;=0,"Tiền phải &gt; 0! ","")&amp;IF($B2011="","Thiếu ngày! ","")&amp;IF(AND(OR(LEFT($F2011,3)="131",LEFT($G2011,3)="131",LEFT($F2011,3)="331",LEFT($G2011,3)="331"),$I2011=""),"Thiếu Mã ĐT! ","")&amp;IF(AND($I2011&lt;&gt;"",COUNTIF(DM_DT!$A$7:$A$306,$I2011)=0),"Mã ĐT chưa khai báo! ","")))</f>
        <v/>
      </c>
      <c r="M2011" s="117">
        <f>IF($H2011="","",IF(AND(OR(LEFT($F2011,3)="111",LEFT($F2011,3)="112",LEFT($F2011,3)="113"),OR(LEFT($G2011,3)="111",LEFT($G2011,3)="112",LEFT($G2011,3)="113")),"NB",IF(OR(LEFT($F2011,3)="111",LEFT($F2011,3)="112",LEFT($F2011,3)="113"),"THU",IF(OR(LEFT($G2011,3)="111",LEFT($G2011,3)="112",LEFT($G2011,3)="113"),"CHI",""))))</f>
        <v/>
      </c>
      <c r="N2011" s="117">
        <f>IF($M2011="THU",$G2011,IF($M2011="CHI",$F2011,""))</f>
        <v/>
      </c>
      <c r="O2011" s="117">
        <f>IF(OR($M2011="",$M2011="NB"),"",IF($J2011&lt;&gt;"",TEXT($J2011,"00"),IFERROR(VLOOKUP(LEFT($N2011,4),LCTT_MAP!$A$7:$C$66,IF($M2011="THU",2,3),FALSE()),IFERROR(VLOOKUP(LEFT($N2011,3),LCTT_MAP!$A$7:$C$66,IF($M2011="THU",2,3),FALSE()),IFERROR(VLOOKUP(LEFT($N2011,2),LCTT_MAP!$A$7:$C$66,IF($M2011="THU",2,3),FALSE()),IFERROR(VLOOKUP(LEFT($N2011,1),LCTT_MAP!$A$7:$C$66,IF($M2011="THU",2,3),FALSE()),IF($M2011="THU","06","07")))))))</f>
        <v/>
      </c>
      <c r="P2011" s="117">
        <f>P2010+IF(AND($H2011&lt;&gt;"",OR(LEFT($F2011,LEN(SC_TK))=SC_TK,LEFT($G2011,LEN(SC_TK))=SC_TK)),1,0)</f>
        <v/>
      </c>
    </row>
    <row r="2012" ht="15" customHeight="1" s="78">
      <c r="A2012" s="95">
        <f>IF($H2012="","",ROW()-6)</f>
        <v/>
      </c>
      <c r="B2012" s="114" t="n"/>
      <c r="C2012" s="102" t="n"/>
      <c r="D2012" s="114" t="n"/>
      <c r="E2012" s="103" t="n"/>
      <c r="F2012" s="102" t="n"/>
      <c r="G2012" s="102" t="n"/>
      <c r="H2012" s="115" t="n"/>
      <c r="I2012" s="102" t="n"/>
      <c r="J2012" s="102" t="n"/>
      <c r="K2012" s="103" t="n"/>
      <c r="L2012" s="116">
        <f>IF($H2012="","",TRIM(IF(COUNTIF(DMTK!$A$7:$A$250,$F2012)=0,"TK Nợ sai! ","")&amp;IF(COUNTIF(DMTK!$A$7:$A$250,$G2012)=0,"TK Có sai! ","")&amp;IF(N($H2012)&lt;=0,"Tiền phải &gt; 0! ","")&amp;IF($B2012="","Thiếu ngày! ","")&amp;IF(AND(OR(LEFT($F2012,3)="131",LEFT($G2012,3)="131",LEFT($F2012,3)="331",LEFT($G2012,3)="331"),$I2012=""),"Thiếu Mã ĐT! ","")&amp;IF(AND($I2012&lt;&gt;"",COUNTIF(DM_DT!$A$7:$A$306,$I2012)=0),"Mã ĐT chưa khai báo! ","")))</f>
        <v/>
      </c>
      <c r="M2012" s="117">
        <f>IF($H2012="","",IF(AND(OR(LEFT($F2012,3)="111",LEFT($F2012,3)="112",LEFT($F2012,3)="113"),OR(LEFT($G2012,3)="111",LEFT($G2012,3)="112",LEFT($G2012,3)="113")),"NB",IF(OR(LEFT($F2012,3)="111",LEFT($F2012,3)="112",LEFT($F2012,3)="113"),"THU",IF(OR(LEFT($G2012,3)="111",LEFT($G2012,3)="112",LEFT($G2012,3)="113"),"CHI",""))))</f>
        <v/>
      </c>
      <c r="N2012" s="117">
        <f>IF($M2012="THU",$G2012,IF($M2012="CHI",$F2012,""))</f>
        <v/>
      </c>
      <c r="O2012" s="117">
        <f>IF(OR($M2012="",$M2012="NB"),"",IF($J2012&lt;&gt;"",TEXT($J2012,"00"),IFERROR(VLOOKUP(LEFT($N2012,4),LCTT_MAP!$A$7:$C$66,IF($M2012="THU",2,3),FALSE()),IFERROR(VLOOKUP(LEFT($N2012,3),LCTT_MAP!$A$7:$C$66,IF($M2012="THU",2,3),FALSE()),IFERROR(VLOOKUP(LEFT($N2012,2),LCTT_MAP!$A$7:$C$66,IF($M2012="THU",2,3),FALSE()),IFERROR(VLOOKUP(LEFT($N2012,1),LCTT_MAP!$A$7:$C$66,IF($M2012="THU",2,3),FALSE()),IF($M2012="THU","06","07")))))))</f>
        <v/>
      </c>
      <c r="P2012" s="117">
        <f>P2011+IF(AND($H2012&lt;&gt;"",OR(LEFT($F2012,LEN(SC_TK))=SC_TK,LEFT($G2012,LEN(SC_TK))=SC_TK)),1,0)</f>
        <v/>
      </c>
    </row>
    <row r="2013" ht="15" customHeight="1" s="78">
      <c r="A2013" s="95">
        <f>IF($H2013="","",ROW()-6)</f>
        <v/>
      </c>
      <c r="B2013" s="114" t="n"/>
      <c r="C2013" s="102" t="n"/>
      <c r="D2013" s="114" t="n"/>
      <c r="E2013" s="103" t="n"/>
      <c r="F2013" s="102" t="n"/>
      <c r="G2013" s="102" t="n"/>
      <c r="H2013" s="115" t="n"/>
      <c r="I2013" s="102" t="n"/>
      <c r="J2013" s="102" t="n"/>
      <c r="K2013" s="103" t="n"/>
      <c r="L2013" s="116">
        <f>IF($H2013="","",TRIM(IF(COUNTIF(DMTK!$A$7:$A$250,$F2013)=0,"TK Nợ sai! ","")&amp;IF(COUNTIF(DMTK!$A$7:$A$250,$G2013)=0,"TK Có sai! ","")&amp;IF(N($H2013)&lt;=0,"Tiền phải &gt; 0! ","")&amp;IF($B2013="","Thiếu ngày! ","")&amp;IF(AND(OR(LEFT($F2013,3)="131",LEFT($G2013,3)="131",LEFT($F2013,3)="331",LEFT($G2013,3)="331"),$I2013=""),"Thiếu Mã ĐT! ","")&amp;IF(AND($I2013&lt;&gt;"",COUNTIF(DM_DT!$A$7:$A$306,$I2013)=0),"Mã ĐT chưa khai báo! ","")))</f>
        <v/>
      </c>
      <c r="M2013" s="117">
        <f>IF($H2013="","",IF(AND(OR(LEFT($F2013,3)="111",LEFT($F2013,3)="112",LEFT($F2013,3)="113"),OR(LEFT($G2013,3)="111",LEFT($G2013,3)="112",LEFT($G2013,3)="113")),"NB",IF(OR(LEFT($F2013,3)="111",LEFT($F2013,3)="112",LEFT($F2013,3)="113"),"THU",IF(OR(LEFT($G2013,3)="111",LEFT($G2013,3)="112",LEFT($G2013,3)="113"),"CHI",""))))</f>
        <v/>
      </c>
      <c r="N2013" s="117">
        <f>IF($M2013="THU",$G2013,IF($M2013="CHI",$F2013,""))</f>
        <v/>
      </c>
      <c r="O2013" s="117">
        <f>IF(OR($M2013="",$M2013="NB"),"",IF($J2013&lt;&gt;"",TEXT($J2013,"00"),IFERROR(VLOOKUP(LEFT($N2013,4),LCTT_MAP!$A$7:$C$66,IF($M2013="THU",2,3),FALSE()),IFERROR(VLOOKUP(LEFT($N2013,3),LCTT_MAP!$A$7:$C$66,IF($M2013="THU",2,3),FALSE()),IFERROR(VLOOKUP(LEFT($N2013,2),LCTT_MAP!$A$7:$C$66,IF($M2013="THU",2,3),FALSE()),IFERROR(VLOOKUP(LEFT($N2013,1),LCTT_MAP!$A$7:$C$66,IF($M2013="THU",2,3),FALSE()),IF($M2013="THU","06","07")))))))</f>
        <v/>
      </c>
      <c r="P2013" s="117">
        <f>P2012+IF(AND($H2013&lt;&gt;"",OR(LEFT($F2013,LEN(SC_TK))=SC_TK,LEFT($G2013,LEN(SC_TK))=SC_TK)),1,0)</f>
        <v/>
      </c>
    </row>
    <row r="2014" ht="15" customHeight="1" s="78">
      <c r="A2014" s="95">
        <f>IF($H2014="","",ROW()-6)</f>
        <v/>
      </c>
      <c r="B2014" s="114" t="n"/>
      <c r="C2014" s="102" t="n"/>
      <c r="D2014" s="114" t="n"/>
      <c r="E2014" s="103" t="n"/>
      <c r="F2014" s="102" t="n"/>
      <c r="G2014" s="102" t="n"/>
      <c r="H2014" s="115" t="n"/>
      <c r="I2014" s="102" t="n"/>
      <c r="J2014" s="102" t="n"/>
      <c r="K2014" s="103" t="n"/>
      <c r="L2014" s="116">
        <f>IF($H2014="","",TRIM(IF(COUNTIF(DMTK!$A$7:$A$250,$F2014)=0,"TK Nợ sai! ","")&amp;IF(COUNTIF(DMTK!$A$7:$A$250,$G2014)=0,"TK Có sai! ","")&amp;IF(N($H2014)&lt;=0,"Tiền phải &gt; 0! ","")&amp;IF($B2014="","Thiếu ngày! ","")&amp;IF(AND(OR(LEFT($F2014,3)="131",LEFT($G2014,3)="131",LEFT($F2014,3)="331",LEFT($G2014,3)="331"),$I2014=""),"Thiếu Mã ĐT! ","")&amp;IF(AND($I2014&lt;&gt;"",COUNTIF(DM_DT!$A$7:$A$306,$I2014)=0),"Mã ĐT chưa khai báo! ","")))</f>
        <v/>
      </c>
      <c r="M2014" s="117">
        <f>IF($H2014="","",IF(AND(OR(LEFT($F2014,3)="111",LEFT($F2014,3)="112",LEFT($F2014,3)="113"),OR(LEFT($G2014,3)="111",LEFT($G2014,3)="112",LEFT($G2014,3)="113")),"NB",IF(OR(LEFT($F2014,3)="111",LEFT($F2014,3)="112",LEFT($F2014,3)="113"),"THU",IF(OR(LEFT($G2014,3)="111",LEFT($G2014,3)="112",LEFT($G2014,3)="113"),"CHI",""))))</f>
        <v/>
      </c>
      <c r="N2014" s="117">
        <f>IF($M2014="THU",$G2014,IF($M2014="CHI",$F2014,""))</f>
        <v/>
      </c>
      <c r="O2014" s="117">
        <f>IF(OR($M2014="",$M2014="NB"),"",IF($J2014&lt;&gt;"",TEXT($J2014,"00"),IFERROR(VLOOKUP(LEFT($N2014,4),LCTT_MAP!$A$7:$C$66,IF($M2014="THU",2,3),FALSE()),IFERROR(VLOOKUP(LEFT($N2014,3),LCTT_MAP!$A$7:$C$66,IF($M2014="THU",2,3),FALSE()),IFERROR(VLOOKUP(LEFT($N2014,2),LCTT_MAP!$A$7:$C$66,IF($M2014="THU",2,3),FALSE()),IFERROR(VLOOKUP(LEFT($N2014,1),LCTT_MAP!$A$7:$C$66,IF($M2014="THU",2,3),FALSE()),IF($M2014="THU","06","07")))))))</f>
        <v/>
      </c>
      <c r="P2014" s="117">
        <f>P2013+IF(AND($H2014&lt;&gt;"",OR(LEFT($F2014,LEN(SC_TK))=SC_TK,LEFT($G2014,LEN(SC_TK))=SC_TK)),1,0)</f>
        <v/>
      </c>
    </row>
    <row r="2015" ht="15" customHeight="1" s="78">
      <c r="A2015" s="95">
        <f>IF($H2015="","",ROW()-6)</f>
        <v/>
      </c>
      <c r="B2015" s="114" t="n"/>
      <c r="C2015" s="102" t="n"/>
      <c r="D2015" s="114" t="n"/>
      <c r="E2015" s="103" t="n"/>
      <c r="F2015" s="102" t="n"/>
      <c r="G2015" s="102" t="n"/>
      <c r="H2015" s="115" t="n"/>
      <c r="I2015" s="102" t="n"/>
      <c r="J2015" s="102" t="n"/>
      <c r="K2015" s="103" t="n"/>
      <c r="L2015" s="116">
        <f>IF($H2015="","",TRIM(IF(COUNTIF(DMTK!$A$7:$A$250,$F2015)=0,"TK Nợ sai! ","")&amp;IF(COUNTIF(DMTK!$A$7:$A$250,$G2015)=0,"TK Có sai! ","")&amp;IF(N($H2015)&lt;=0,"Tiền phải &gt; 0! ","")&amp;IF($B2015="","Thiếu ngày! ","")&amp;IF(AND(OR(LEFT($F2015,3)="131",LEFT($G2015,3)="131",LEFT($F2015,3)="331",LEFT($G2015,3)="331"),$I2015=""),"Thiếu Mã ĐT! ","")&amp;IF(AND($I2015&lt;&gt;"",COUNTIF(DM_DT!$A$7:$A$306,$I2015)=0),"Mã ĐT chưa khai báo! ","")))</f>
        <v/>
      </c>
      <c r="M2015" s="117">
        <f>IF($H2015="","",IF(AND(OR(LEFT($F2015,3)="111",LEFT($F2015,3)="112",LEFT($F2015,3)="113"),OR(LEFT($G2015,3)="111",LEFT($G2015,3)="112",LEFT($G2015,3)="113")),"NB",IF(OR(LEFT($F2015,3)="111",LEFT($F2015,3)="112",LEFT($F2015,3)="113"),"THU",IF(OR(LEFT($G2015,3)="111",LEFT($G2015,3)="112",LEFT($G2015,3)="113"),"CHI",""))))</f>
        <v/>
      </c>
      <c r="N2015" s="117">
        <f>IF($M2015="THU",$G2015,IF($M2015="CHI",$F2015,""))</f>
        <v/>
      </c>
      <c r="O2015" s="117">
        <f>IF(OR($M2015="",$M2015="NB"),"",IF($J2015&lt;&gt;"",TEXT($J2015,"00"),IFERROR(VLOOKUP(LEFT($N2015,4),LCTT_MAP!$A$7:$C$66,IF($M2015="THU",2,3),FALSE()),IFERROR(VLOOKUP(LEFT($N2015,3),LCTT_MAP!$A$7:$C$66,IF($M2015="THU",2,3),FALSE()),IFERROR(VLOOKUP(LEFT($N2015,2),LCTT_MAP!$A$7:$C$66,IF($M2015="THU",2,3),FALSE()),IFERROR(VLOOKUP(LEFT($N2015,1),LCTT_MAP!$A$7:$C$66,IF($M2015="THU",2,3),FALSE()),IF($M2015="THU","06","07")))))))</f>
        <v/>
      </c>
      <c r="P2015" s="117">
        <f>P2014+IF(AND($H2015&lt;&gt;"",OR(LEFT($F2015,LEN(SC_TK))=SC_TK,LEFT($G2015,LEN(SC_TK))=SC_TK)),1,0)</f>
        <v/>
      </c>
    </row>
    <row r="2016" ht="15" customHeight="1" s="78">
      <c r="A2016" s="95">
        <f>IF($H2016="","",ROW()-6)</f>
        <v/>
      </c>
      <c r="B2016" s="114" t="n"/>
      <c r="C2016" s="102" t="n"/>
      <c r="D2016" s="114" t="n"/>
      <c r="E2016" s="103" t="n"/>
      <c r="F2016" s="102" t="n"/>
      <c r="G2016" s="102" t="n"/>
      <c r="H2016" s="115" t="n"/>
      <c r="I2016" s="102" t="n"/>
      <c r="J2016" s="102" t="n"/>
      <c r="K2016" s="103" t="n"/>
      <c r="L2016" s="116">
        <f>IF($H2016="","",TRIM(IF(COUNTIF(DMTK!$A$7:$A$250,$F2016)=0,"TK Nợ sai! ","")&amp;IF(COUNTIF(DMTK!$A$7:$A$250,$G2016)=0,"TK Có sai! ","")&amp;IF(N($H2016)&lt;=0,"Tiền phải &gt; 0! ","")&amp;IF($B2016="","Thiếu ngày! ","")&amp;IF(AND(OR(LEFT($F2016,3)="131",LEFT($G2016,3)="131",LEFT($F2016,3)="331",LEFT($G2016,3)="331"),$I2016=""),"Thiếu Mã ĐT! ","")&amp;IF(AND($I2016&lt;&gt;"",COUNTIF(DM_DT!$A$7:$A$306,$I2016)=0),"Mã ĐT chưa khai báo! ","")))</f>
        <v/>
      </c>
      <c r="M2016" s="117">
        <f>IF($H2016="","",IF(AND(OR(LEFT($F2016,3)="111",LEFT($F2016,3)="112",LEFT($F2016,3)="113"),OR(LEFT($G2016,3)="111",LEFT($G2016,3)="112",LEFT($G2016,3)="113")),"NB",IF(OR(LEFT($F2016,3)="111",LEFT($F2016,3)="112",LEFT($F2016,3)="113"),"THU",IF(OR(LEFT($G2016,3)="111",LEFT($G2016,3)="112",LEFT($G2016,3)="113"),"CHI",""))))</f>
        <v/>
      </c>
      <c r="N2016" s="117">
        <f>IF($M2016="THU",$G2016,IF($M2016="CHI",$F2016,""))</f>
        <v/>
      </c>
      <c r="O2016" s="117">
        <f>IF(OR($M2016="",$M2016="NB"),"",IF($J2016&lt;&gt;"",TEXT($J2016,"00"),IFERROR(VLOOKUP(LEFT($N2016,4),LCTT_MAP!$A$7:$C$66,IF($M2016="THU",2,3),FALSE()),IFERROR(VLOOKUP(LEFT($N2016,3),LCTT_MAP!$A$7:$C$66,IF($M2016="THU",2,3),FALSE()),IFERROR(VLOOKUP(LEFT($N2016,2),LCTT_MAP!$A$7:$C$66,IF($M2016="THU",2,3),FALSE()),IFERROR(VLOOKUP(LEFT($N2016,1),LCTT_MAP!$A$7:$C$66,IF($M2016="THU",2,3),FALSE()),IF($M2016="THU","06","07")))))))</f>
        <v/>
      </c>
      <c r="P2016" s="117">
        <f>P2015+IF(AND($H2016&lt;&gt;"",OR(LEFT($F2016,LEN(SC_TK))=SC_TK,LEFT($G2016,LEN(SC_TK))=SC_TK)),1,0)</f>
        <v/>
      </c>
    </row>
    <row r="2017" ht="15" customHeight="1" s="78">
      <c r="A2017" s="95">
        <f>IF($H2017="","",ROW()-6)</f>
        <v/>
      </c>
      <c r="B2017" s="114" t="n"/>
      <c r="C2017" s="102" t="n"/>
      <c r="D2017" s="114" t="n"/>
      <c r="E2017" s="103" t="n"/>
      <c r="F2017" s="102" t="n"/>
      <c r="G2017" s="102" t="n"/>
      <c r="H2017" s="115" t="n"/>
      <c r="I2017" s="102" t="n"/>
      <c r="J2017" s="102" t="n"/>
      <c r="K2017" s="103" t="n"/>
      <c r="L2017" s="116">
        <f>IF($H2017="","",TRIM(IF(COUNTIF(DMTK!$A$7:$A$250,$F2017)=0,"TK Nợ sai! ","")&amp;IF(COUNTIF(DMTK!$A$7:$A$250,$G2017)=0,"TK Có sai! ","")&amp;IF(N($H2017)&lt;=0,"Tiền phải &gt; 0! ","")&amp;IF($B2017="","Thiếu ngày! ","")&amp;IF(AND(OR(LEFT($F2017,3)="131",LEFT($G2017,3)="131",LEFT($F2017,3)="331",LEFT($G2017,3)="331"),$I2017=""),"Thiếu Mã ĐT! ","")&amp;IF(AND($I2017&lt;&gt;"",COUNTIF(DM_DT!$A$7:$A$306,$I2017)=0),"Mã ĐT chưa khai báo! ","")))</f>
        <v/>
      </c>
      <c r="M2017" s="117">
        <f>IF($H2017="","",IF(AND(OR(LEFT($F2017,3)="111",LEFT($F2017,3)="112",LEFT($F2017,3)="113"),OR(LEFT($G2017,3)="111",LEFT($G2017,3)="112",LEFT($G2017,3)="113")),"NB",IF(OR(LEFT($F2017,3)="111",LEFT($F2017,3)="112",LEFT($F2017,3)="113"),"THU",IF(OR(LEFT($G2017,3)="111",LEFT($G2017,3)="112",LEFT($G2017,3)="113"),"CHI",""))))</f>
        <v/>
      </c>
      <c r="N2017" s="117">
        <f>IF($M2017="THU",$G2017,IF($M2017="CHI",$F2017,""))</f>
        <v/>
      </c>
      <c r="O2017" s="117">
        <f>IF(OR($M2017="",$M2017="NB"),"",IF($J2017&lt;&gt;"",TEXT($J2017,"00"),IFERROR(VLOOKUP(LEFT($N2017,4),LCTT_MAP!$A$7:$C$66,IF($M2017="THU",2,3),FALSE()),IFERROR(VLOOKUP(LEFT($N2017,3),LCTT_MAP!$A$7:$C$66,IF($M2017="THU",2,3),FALSE()),IFERROR(VLOOKUP(LEFT($N2017,2),LCTT_MAP!$A$7:$C$66,IF($M2017="THU",2,3),FALSE()),IFERROR(VLOOKUP(LEFT($N2017,1),LCTT_MAP!$A$7:$C$66,IF($M2017="THU",2,3),FALSE()),IF($M2017="THU","06","07")))))))</f>
        <v/>
      </c>
      <c r="P2017" s="117">
        <f>P2016+IF(AND($H2017&lt;&gt;"",OR(LEFT($F2017,LEN(SC_TK))=SC_TK,LEFT($G2017,LEN(SC_TK))=SC_TK)),1,0)</f>
        <v/>
      </c>
    </row>
    <row r="2018" ht="15" customHeight="1" s="78">
      <c r="A2018" s="95">
        <f>IF($H2018="","",ROW()-6)</f>
        <v/>
      </c>
      <c r="B2018" s="114" t="n"/>
      <c r="C2018" s="102" t="n"/>
      <c r="D2018" s="114" t="n"/>
      <c r="E2018" s="103" t="n"/>
      <c r="F2018" s="102" t="n"/>
      <c r="G2018" s="102" t="n"/>
      <c r="H2018" s="115" t="n"/>
      <c r="I2018" s="102" t="n"/>
      <c r="J2018" s="102" t="n"/>
      <c r="K2018" s="103" t="n"/>
      <c r="L2018" s="116">
        <f>IF($H2018="","",TRIM(IF(COUNTIF(DMTK!$A$7:$A$250,$F2018)=0,"TK Nợ sai! ","")&amp;IF(COUNTIF(DMTK!$A$7:$A$250,$G2018)=0,"TK Có sai! ","")&amp;IF(N($H2018)&lt;=0,"Tiền phải &gt; 0! ","")&amp;IF($B2018="","Thiếu ngày! ","")&amp;IF(AND(OR(LEFT($F2018,3)="131",LEFT($G2018,3)="131",LEFT($F2018,3)="331",LEFT($G2018,3)="331"),$I2018=""),"Thiếu Mã ĐT! ","")&amp;IF(AND($I2018&lt;&gt;"",COUNTIF(DM_DT!$A$7:$A$306,$I2018)=0),"Mã ĐT chưa khai báo! ","")))</f>
        <v/>
      </c>
      <c r="M2018" s="117">
        <f>IF($H2018="","",IF(AND(OR(LEFT($F2018,3)="111",LEFT($F2018,3)="112",LEFT($F2018,3)="113"),OR(LEFT($G2018,3)="111",LEFT($G2018,3)="112",LEFT($G2018,3)="113")),"NB",IF(OR(LEFT($F2018,3)="111",LEFT($F2018,3)="112",LEFT($F2018,3)="113"),"THU",IF(OR(LEFT($G2018,3)="111",LEFT($G2018,3)="112",LEFT($G2018,3)="113"),"CHI",""))))</f>
        <v/>
      </c>
      <c r="N2018" s="117">
        <f>IF($M2018="THU",$G2018,IF($M2018="CHI",$F2018,""))</f>
        <v/>
      </c>
      <c r="O2018" s="117">
        <f>IF(OR($M2018="",$M2018="NB"),"",IF($J2018&lt;&gt;"",TEXT($J2018,"00"),IFERROR(VLOOKUP(LEFT($N2018,4),LCTT_MAP!$A$7:$C$66,IF($M2018="THU",2,3),FALSE()),IFERROR(VLOOKUP(LEFT($N2018,3),LCTT_MAP!$A$7:$C$66,IF($M2018="THU",2,3),FALSE()),IFERROR(VLOOKUP(LEFT($N2018,2),LCTT_MAP!$A$7:$C$66,IF($M2018="THU",2,3),FALSE()),IFERROR(VLOOKUP(LEFT($N2018,1),LCTT_MAP!$A$7:$C$66,IF($M2018="THU",2,3),FALSE()),IF($M2018="THU","06","07")))))))</f>
        <v/>
      </c>
      <c r="P2018" s="117">
        <f>P2017+IF(AND($H2018&lt;&gt;"",OR(LEFT($F2018,LEN(SC_TK))=SC_TK,LEFT($G2018,LEN(SC_TK))=SC_TK)),1,0)</f>
        <v/>
      </c>
    </row>
    <row r="2019" ht="15" customHeight="1" s="78">
      <c r="A2019" s="95">
        <f>IF($H2019="","",ROW()-6)</f>
        <v/>
      </c>
      <c r="B2019" s="114" t="n"/>
      <c r="C2019" s="102" t="n"/>
      <c r="D2019" s="114" t="n"/>
      <c r="E2019" s="103" t="n"/>
      <c r="F2019" s="102" t="n"/>
      <c r="G2019" s="102" t="n"/>
      <c r="H2019" s="115" t="n"/>
      <c r="I2019" s="102" t="n"/>
      <c r="J2019" s="102" t="n"/>
      <c r="K2019" s="103" t="n"/>
      <c r="L2019" s="116">
        <f>IF($H2019="","",TRIM(IF(COUNTIF(DMTK!$A$7:$A$250,$F2019)=0,"TK Nợ sai! ","")&amp;IF(COUNTIF(DMTK!$A$7:$A$250,$G2019)=0,"TK Có sai! ","")&amp;IF(N($H2019)&lt;=0,"Tiền phải &gt; 0! ","")&amp;IF($B2019="","Thiếu ngày! ","")&amp;IF(AND(OR(LEFT($F2019,3)="131",LEFT($G2019,3)="131",LEFT($F2019,3)="331",LEFT($G2019,3)="331"),$I2019=""),"Thiếu Mã ĐT! ","")&amp;IF(AND($I2019&lt;&gt;"",COUNTIF(DM_DT!$A$7:$A$306,$I2019)=0),"Mã ĐT chưa khai báo! ","")))</f>
        <v/>
      </c>
      <c r="M2019" s="117">
        <f>IF($H2019="","",IF(AND(OR(LEFT($F2019,3)="111",LEFT($F2019,3)="112",LEFT($F2019,3)="113"),OR(LEFT($G2019,3)="111",LEFT($G2019,3)="112",LEFT($G2019,3)="113")),"NB",IF(OR(LEFT($F2019,3)="111",LEFT($F2019,3)="112",LEFT($F2019,3)="113"),"THU",IF(OR(LEFT($G2019,3)="111",LEFT($G2019,3)="112",LEFT($G2019,3)="113"),"CHI",""))))</f>
        <v/>
      </c>
      <c r="N2019" s="117">
        <f>IF($M2019="THU",$G2019,IF($M2019="CHI",$F2019,""))</f>
        <v/>
      </c>
      <c r="O2019" s="117">
        <f>IF(OR($M2019="",$M2019="NB"),"",IF($J2019&lt;&gt;"",TEXT($J2019,"00"),IFERROR(VLOOKUP(LEFT($N2019,4),LCTT_MAP!$A$7:$C$66,IF($M2019="THU",2,3),FALSE()),IFERROR(VLOOKUP(LEFT($N2019,3),LCTT_MAP!$A$7:$C$66,IF($M2019="THU",2,3),FALSE()),IFERROR(VLOOKUP(LEFT($N2019,2),LCTT_MAP!$A$7:$C$66,IF($M2019="THU",2,3),FALSE()),IFERROR(VLOOKUP(LEFT($N2019,1),LCTT_MAP!$A$7:$C$66,IF($M2019="THU",2,3),FALSE()),IF($M2019="THU","06","07")))))))</f>
        <v/>
      </c>
      <c r="P2019" s="117">
        <f>P2018+IF(AND($H2019&lt;&gt;"",OR(LEFT($F2019,LEN(SC_TK))=SC_TK,LEFT($G2019,LEN(SC_TK))=SC_TK)),1,0)</f>
        <v/>
      </c>
    </row>
    <row r="2020" ht="15" customHeight="1" s="78">
      <c r="A2020" s="95">
        <f>IF($H2020="","",ROW()-6)</f>
        <v/>
      </c>
      <c r="B2020" s="114" t="n"/>
      <c r="C2020" s="102" t="n"/>
      <c r="D2020" s="114" t="n"/>
      <c r="E2020" s="103" t="n"/>
      <c r="F2020" s="102" t="n"/>
      <c r="G2020" s="102" t="n"/>
      <c r="H2020" s="115" t="n"/>
      <c r="I2020" s="102" t="n"/>
      <c r="J2020" s="102" t="n"/>
      <c r="K2020" s="103" t="n"/>
      <c r="L2020" s="116">
        <f>IF($H2020="","",TRIM(IF(COUNTIF(DMTK!$A$7:$A$250,$F2020)=0,"TK Nợ sai! ","")&amp;IF(COUNTIF(DMTK!$A$7:$A$250,$G2020)=0,"TK Có sai! ","")&amp;IF(N($H2020)&lt;=0,"Tiền phải &gt; 0! ","")&amp;IF($B2020="","Thiếu ngày! ","")&amp;IF(AND(OR(LEFT($F2020,3)="131",LEFT($G2020,3)="131",LEFT($F2020,3)="331",LEFT($G2020,3)="331"),$I2020=""),"Thiếu Mã ĐT! ","")&amp;IF(AND($I2020&lt;&gt;"",COUNTIF(DM_DT!$A$7:$A$306,$I2020)=0),"Mã ĐT chưa khai báo! ","")))</f>
        <v/>
      </c>
      <c r="M2020" s="117">
        <f>IF($H2020="","",IF(AND(OR(LEFT($F2020,3)="111",LEFT($F2020,3)="112",LEFT($F2020,3)="113"),OR(LEFT($G2020,3)="111",LEFT($G2020,3)="112",LEFT($G2020,3)="113")),"NB",IF(OR(LEFT($F2020,3)="111",LEFT($F2020,3)="112",LEFT($F2020,3)="113"),"THU",IF(OR(LEFT($G2020,3)="111",LEFT($G2020,3)="112",LEFT($G2020,3)="113"),"CHI",""))))</f>
        <v/>
      </c>
      <c r="N2020" s="117">
        <f>IF($M2020="THU",$G2020,IF($M2020="CHI",$F2020,""))</f>
        <v/>
      </c>
      <c r="O2020" s="117">
        <f>IF(OR($M2020="",$M2020="NB"),"",IF($J2020&lt;&gt;"",TEXT($J2020,"00"),IFERROR(VLOOKUP(LEFT($N2020,4),LCTT_MAP!$A$7:$C$66,IF($M2020="THU",2,3),FALSE()),IFERROR(VLOOKUP(LEFT($N2020,3),LCTT_MAP!$A$7:$C$66,IF($M2020="THU",2,3),FALSE()),IFERROR(VLOOKUP(LEFT($N2020,2),LCTT_MAP!$A$7:$C$66,IF($M2020="THU",2,3),FALSE()),IFERROR(VLOOKUP(LEFT($N2020,1),LCTT_MAP!$A$7:$C$66,IF($M2020="THU",2,3),FALSE()),IF($M2020="THU","06","07")))))))</f>
        <v/>
      </c>
      <c r="P2020" s="117">
        <f>P2019+IF(AND($H2020&lt;&gt;"",OR(LEFT($F2020,LEN(SC_TK))=SC_TK,LEFT($G2020,LEN(SC_TK))=SC_TK)),1,0)</f>
        <v/>
      </c>
    </row>
    <row r="2021" ht="15" customHeight="1" s="78">
      <c r="A2021" s="95">
        <f>IF($H2021="","",ROW()-6)</f>
        <v/>
      </c>
      <c r="B2021" s="114" t="n"/>
      <c r="C2021" s="102" t="n"/>
      <c r="D2021" s="114" t="n"/>
      <c r="E2021" s="103" t="n"/>
      <c r="F2021" s="102" t="n"/>
      <c r="G2021" s="102" t="n"/>
      <c r="H2021" s="115" t="n"/>
      <c r="I2021" s="102" t="n"/>
      <c r="J2021" s="102" t="n"/>
      <c r="K2021" s="103" t="n"/>
      <c r="L2021" s="116">
        <f>IF($H2021="","",TRIM(IF(COUNTIF(DMTK!$A$7:$A$250,$F2021)=0,"TK Nợ sai! ","")&amp;IF(COUNTIF(DMTK!$A$7:$A$250,$G2021)=0,"TK Có sai! ","")&amp;IF(N($H2021)&lt;=0,"Tiền phải &gt; 0! ","")&amp;IF($B2021="","Thiếu ngày! ","")&amp;IF(AND(OR(LEFT($F2021,3)="131",LEFT($G2021,3)="131",LEFT($F2021,3)="331",LEFT($G2021,3)="331"),$I2021=""),"Thiếu Mã ĐT! ","")&amp;IF(AND($I2021&lt;&gt;"",COUNTIF(DM_DT!$A$7:$A$306,$I2021)=0),"Mã ĐT chưa khai báo! ","")))</f>
        <v/>
      </c>
      <c r="M2021" s="117">
        <f>IF($H2021="","",IF(AND(OR(LEFT($F2021,3)="111",LEFT($F2021,3)="112",LEFT($F2021,3)="113"),OR(LEFT($G2021,3)="111",LEFT($G2021,3)="112",LEFT($G2021,3)="113")),"NB",IF(OR(LEFT($F2021,3)="111",LEFT($F2021,3)="112",LEFT($F2021,3)="113"),"THU",IF(OR(LEFT($G2021,3)="111",LEFT($G2021,3)="112",LEFT($G2021,3)="113"),"CHI",""))))</f>
        <v/>
      </c>
      <c r="N2021" s="117">
        <f>IF($M2021="THU",$G2021,IF($M2021="CHI",$F2021,""))</f>
        <v/>
      </c>
      <c r="O2021" s="117">
        <f>IF(OR($M2021="",$M2021="NB"),"",IF($J2021&lt;&gt;"",TEXT($J2021,"00"),IFERROR(VLOOKUP(LEFT($N2021,4),LCTT_MAP!$A$7:$C$66,IF($M2021="THU",2,3),FALSE()),IFERROR(VLOOKUP(LEFT($N2021,3),LCTT_MAP!$A$7:$C$66,IF($M2021="THU",2,3),FALSE()),IFERROR(VLOOKUP(LEFT($N2021,2),LCTT_MAP!$A$7:$C$66,IF($M2021="THU",2,3),FALSE()),IFERROR(VLOOKUP(LEFT($N2021,1),LCTT_MAP!$A$7:$C$66,IF($M2021="THU",2,3),FALSE()),IF($M2021="THU","06","07")))))))</f>
        <v/>
      </c>
      <c r="P2021" s="117">
        <f>P2020+IF(AND($H2021&lt;&gt;"",OR(LEFT($F2021,LEN(SC_TK))=SC_TK,LEFT($G2021,LEN(SC_TK))=SC_TK)),1,0)</f>
        <v/>
      </c>
    </row>
    <row r="2022" ht="15" customHeight="1" s="78">
      <c r="A2022" s="95">
        <f>IF($H2022="","",ROW()-6)</f>
        <v/>
      </c>
      <c r="B2022" s="114" t="n"/>
      <c r="C2022" s="102" t="n"/>
      <c r="D2022" s="114" t="n"/>
      <c r="E2022" s="103" t="n"/>
      <c r="F2022" s="102" t="n"/>
      <c r="G2022" s="102" t="n"/>
      <c r="H2022" s="115" t="n"/>
      <c r="I2022" s="102" t="n"/>
      <c r="J2022" s="102" t="n"/>
      <c r="K2022" s="103" t="n"/>
      <c r="L2022" s="116">
        <f>IF($H2022="","",TRIM(IF(COUNTIF(DMTK!$A$7:$A$250,$F2022)=0,"TK Nợ sai! ","")&amp;IF(COUNTIF(DMTK!$A$7:$A$250,$G2022)=0,"TK Có sai! ","")&amp;IF(N($H2022)&lt;=0,"Tiền phải &gt; 0! ","")&amp;IF($B2022="","Thiếu ngày! ","")&amp;IF(AND(OR(LEFT($F2022,3)="131",LEFT($G2022,3)="131",LEFT($F2022,3)="331",LEFT($G2022,3)="331"),$I2022=""),"Thiếu Mã ĐT! ","")&amp;IF(AND($I2022&lt;&gt;"",COUNTIF(DM_DT!$A$7:$A$306,$I2022)=0),"Mã ĐT chưa khai báo! ","")))</f>
        <v/>
      </c>
      <c r="M2022" s="117">
        <f>IF($H2022="","",IF(AND(OR(LEFT($F2022,3)="111",LEFT($F2022,3)="112",LEFT($F2022,3)="113"),OR(LEFT($G2022,3)="111",LEFT($G2022,3)="112",LEFT($G2022,3)="113")),"NB",IF(OR(LEFT($F2022,3)="111",LEFT($F2022,3)="112",LEFT($F2022,3)="113"),"THU",IF(OR(LEFT($G2022,3)="111",LEFT($G2022,3)="112",LEFT($G2022,3)="113"),"CHI",""))))</f>
        <v/>
      </c>
      <c r="N2022" s="117">
        <f>IF($M2022="THU",$G2022,IF($M2022="CHI",$F2022,""))</f>
        <v/>
      </c>
      <c r="O2022" s="117">
        <f>IF(OR($M2022="",$M2022="NB"),"",IF($J2022&lt;&gt;"",TEXT($J2022,"00"),IFERROR(VLOOKUP(LEFT($N2022,4),LCTT_MAP!$A$7:$C$66,IF($M2022="THU",2,3),FALSE()),IFERROR(VLOOKUP(LEFT($N2022,3),LCTT_MAP!$A$7:$C$66,IF($M2022="THU",2,3),FALSE()),IFERROR(VLOOKUP(LEFT($N2022,2),LCTT_MAP!$A$7:$C$66,IF($M2022="THU",2,3),FALSE()),IFERROR(VLOOKUP(LEFT($N2022,1),LCTT_MAP!$A$7:$C$66,IF($M2022="THU",2,3),FALSE()),IF($M2022="THU","06","07")))))))</f>
        <v/>
      </c>
      <c r="P2022" s="117">
        <f>P2021+IF(AND($H2022&lt;&gt;"",OR(LEFT($F2022,LEN(SC_TK))=SC_TK,LEFT($G2022,LEN(SC_TK))=SC_TK)),1,0)</f>
        <v/>
      </c>
    </row>
    <row r="2023" ht="15" customHeight="1" s="78">
      <c r="A2023" s="95">
        <f>IF($H2023="","",ROW()-6)</f>
        <v/>
      </c>
      <c r="B2023" s="114" t="n"/>
      <c r="C2023" s="102" t="n"/>
      <c r="D2023" s="114" t="n"/>
      <c r="E2023" s="103" t="n"/>
      <c r="F2023" s="102" t="n"/>
      <c r="G2023" s="102" t="n"/>
      <c r="H2023" s="115" t="n"/>
      <c r="I2023" s="102" t="n"/>
      <c r="J2023" s="102" t="n"/>
      <c r="K2023" s="103" t="n"/>
      <c r="L2023" s="116">
        <f>IF($H2023="","",TRIM(IF(COUNTIF(DMTK!$A$7:$A$250,$F2023)=0,"TK Nợ sai! ","")&amp;IF(COUNTIF(DMTK!$A$7:$A$250,$G2023)=0,"TK Có sai! ","")&amp;IF(N($H2023)&lt;=0,"Tiền phải &gt; 0! ","")&amp;IF($B2023="","Thiếu ngày! ","")&amp;IF(AND(OR(LEFT($F2023,3)="131",LEFT($G2023,3)="131",LEFT($F2023,3)="331",LEFT($G2023,3)="331"),$I2023=""),"Thiếu Mã ĐT! ","")&amp;IF(AND($I2023&lt;&gt;"",COUNTIF(DM_DT!$A$7:$A$306,$I2023)=0),"Mã ĐT chưa khai báo! ","")))</f>
        <v/>
      </c>
      <c r="M2023" s="117">
        <f>IF($H2023="","",IF(AND(OR(LEFT($F2023,3)="111",LEFT($F2023,3)="112",LEFT($F2023,3)="113"),OR(LEFT($G2023,3)="111",LEFT($G2023,3)="112",LEFT($G2023,3)="113")),"NB",IF(OR(LEFT($F2023,3)="111",LEFT($F2023,3)="112",LEFT($F2023,3)="113"),"THU",IF(OR(LEFT($G2023,3)="111",LEFT($G2023,3)="112",LEFT($G2023,3)="113"),"CHI",""))))</f>
        <v/>
      </c>
      <c r="N2023" s="117">
        <f>IF($M2023="THU",$G2023,IF($M2023="CHI",$F2023,""))</f>
        <v/>
      </c>
      <c r="O2023" s="117">
        <f>IF(OR($M2023="",$M2023="NB"),"",IF($J2023&lt;&gt;"",TEXT($J2023,"00"),IFERROR(VLOOKUP(LEFT($N2023,4),LCTT_MAP!$A$7:$C$66,IF($M2023="THU",2,3),FALSE()),IFERROR(VLOOKUP(LEFT($N2023,3),LCTT_MAP!$A$7:$C$66,IF($M2023="THU",2,3),FALSE()),IFERROR(VLOOKUP(LEFT($N2023,2),LCTT_MAP!$A$7:$C$66,IF($M2023="THU",2,3),FALSE()),IFERROR(VLOOKUP(LEFT($N2023,1),LCTT_MAP!$A$7:$C$66,IF($M2023="THU",2,3),FALSE()),IF($M2023="THU","06","07")))))))</f>
        <v/>
      </c>
      <c r="P2023" s="117">
        <f>P2022+IF(AND($H2023&lt;&gt;"",OR(LEFT($F2023,LEN(SC_TK))=SC_TK,LEFT($G2023,LEN(SC_TK))=SC_TK)),1,0)</f>
        <v/>
      </c>
    </row>
    <row r="2024" ht="15" customHeight="1" s="78">
      <c r="A2024" s="95">
        <f>IF($H2024="","",ROW()-6)</f>
        <v/>
      </c>
      <c r="B2024" s="114" t="n"/>
      <c r="C2024" s="102" t="n"/>
      <c r="D2024" s="114" t="n"/>
      <c r="E2024" s="103" t="n"/>
      <c r="F2024" s="102" t="n"/>
      <c r="G2024" s="102" t="n"/>
      <c r="H2024" s="115" t="n"/>
      <c r="I2024" s="102" t="n"/>
      <c r="J2024" s="102" t="n"/>
      <c r="K2024" s="103" t="n"/>
      <c r="L2024" s="116">
        <f>IF($H2024="","",TRIM(IF(COUNTIF(DMTK!$A$7:$A$250,$F2024)=0,"TK Nợ sai! ","")&amp;IF(COUNTIF(DMTK!$A$7:$A$250,$G2024)=0,"TK Có sai! ","")&amp;IF(N($H2024)&lt;=0,"Tiền phải &gt; 0! ","")&amp;IF($B2024="","Thiếu ngày! ","")&amp;IF(AND(OR(LEFT($F2024,3)="131",LEFT($G2024,3)="131",LEFT($F2024,3)="331",LEFT($G2024,3)="331"),$I2024=""),"Thiếu Mã ĐT! ","")&amp;IF(AND($I2024&lt;&gt;"",COUNTIF(DM_DT!$A$7:$A$306,$I2024)=0),"Mã ĐT chưa khai báo! ","")))</f>
        <v/>
      </c>
      <c r="M2024" s="117">
        <f>IF($H2024="","",IF(AND(OR(LEFT($F2024,3)="111",LEFT($F2024,3)="112",LEFT($F2024,3)="113"),OR(LEFT($G2024,3)="111",LEFT($G2024,3)="112",LEFT($G2024,3)="113")),"NB",IF(OR(LEFT($F2024,3)="111",LEFT($F2024,3)="112",LEFT($F2024,3)="113"),"THU",IF(OR(LEFT($G2024,3)="111",LEFT($G2024,3)="112",LEFT($G2024,3)="113"),"CHI",""))))</f>
        <v/>
      </c>
      <c r="N2024" s="117">
        <f>IF($M2024="THU",$G2024,IF($M2024="CHI",$F2024,""))</f>
        <v/>
      </c>
      <c r="O2024" s="117">
        <f>IF(OR($M2024="",$M2024="NB"),"",IF($J2024&lt;&gt;"",TEXT($J2024,"00"),IFERROR(VLOOKUP(LEFT($N2024,4),LCTT_MAP!$A$7:$C$66,IF($M2024="THU",2,3),FALSE()),IFERROR(VLOOKUP(LEFT($N2024,3),LCTT_MAP!$A$7:$C$66,IF($M2024="THU",2,3),FALSE()),IFERROR(VLOOKUP(LEFT($N2024,2),LCTT_MAP!$A$7:$C$66,IF($M2024="THU",2,3),FALSE()),IFERROR(VLOOKUP(LEFT($N2024,1),LCTT_MAP!$A$7:$C$66,IF($M2024="THU",2,3),FALSE()),IF($M2024="THU","06","07")))))))</f>
        <v/>
      </c>
      <c r="P2024" s="117">
        <f>P2023+IF(AND($H2024&lt;&gt;"",OR(LEFT($F2024,LEN(SC_TK))=SC_TK,LEFT($G2024,LEN(SC_TK))=SC_TK)),1,0)</f>
        <v/>
      </c>
    </row>
    <row r="2025" ht="15" customHeight="1" s="78">
      <c r="A2025" s="95">
        <f>IF($H2025="","",ROW()-6)</f>
        <v/>
      </c>
      <c r="B2025" s="114" t="n"/>
      <c r="C2025" s="102" t="n"/>
      <c r="D2025" s="114" t="n"/>
      <c r="E2025" s="103" t="n"/>
      <c r="F2025" s="102" t="n"/>
      <c r="G2025" s="102" t="n"/>
      <c r="H2025" s="115" t="n"/>
      <c r="I2025" s="102" t="n"/>
      <c r="J2025" s="102" t="n"/>
      <c r="K2025" s="103" t="n"/>
      <c r="L2025" s="116">
        <f>IF($H2025="","",TRIM(IF(COUNTIF(DMTK!$A$7:$A$250,$F2025)=0,"TK Nợ sai! ","")&amp;IF(COUNTIF(DMTK!$A$7:$A$250,$G2025)=0,"TK Có sai! ","")&amp;IF(N($H2025)&lt;=0,"Tiền phải &gt; 0! ","")&amp;IF($B2025="","Thiếu ngày! ","")&amp;IF(AND(OR(LEFT($F2025,3)="131",LEFT($G2025,3)="131",LEFT($F2025,3)="331",LEFT($G2025,3)="331"),$I2025=""),"Thiếu Mã ĐT! ","")&amp;IF(AND($I2025&lt;&gt;"",COUNTIF(DM_DT!$A$7:$A$306,$I2025)=0),"Mã ĐT chưa khai báo! ","")))</f>
        <v/>
      </c>
      <c r="M2025" s="117">
        <f>IF($H2025="","",IF(AND(OR(LEFT($F2025,3)="111",LEFT($F2025,3)="112",LEFT($F2025,3)="113"),OR(LEFT($G2025,3)="111",LEFT($G2025,3)="112",LEFT($G2025,3)="113")),"NB",IF(OR(LEFT($F2025,3)="111",LEFT($F2025,3)="112",LEFT($F2025,3)="113"),"THU",IF(OR(LEFT($G2025,3)="111",LEFT($G2025,3)="112",LEFT($G2025,3)="113"),"CHI",""))))</f>
        <v/>
      </c>
      <c r="N2025" s="117">
        <f>IF($M2025="THU",$G2025,IF($M2025="CHI",$F2025,""))</f>
        <v/>
      </c>
      <c r="O2025" s="117">
        <f>IF(OR($M2025="",$M2025="NB"),"",IF($J2025&lt;&gt;"",TEXT($J2025,"00"),IFERROR(VLOOKUP(LEFT($N2025,4),LCTT_MAP!$A$7:$C$66,IF($M2025="THU",2,3),FALSE()),IFERROR(VLOOKUP(LEFT($N2025,3),LCTT_MAP!$A$7:$C$66,IF($M2025="THU",2,3),FALSE()),IFERROR(VLOOKUP(LEFT($N2025,2),LCTT_MAP!$A$7:$C$66,IF($M2025="THU",2,3),FALSE()),IFERROR(VLOOKUP(LEFT($N2025,1),LCTT_MAP!$A$7:$C$66,IF($M2025="THU",2,3),FALSE()),IF($M2025="THU","06","07")))))))</f>
        <v/>
      </c>
      <c r="P2025" s="117">
        <f>P2024+IF(AND($H2025&lt;&gt;"",OR(LEFT($F2025,LEN(SC_TK))=SC_TK,LEFT($G2025,LEN(SC_TK))=SC_TK)),1,0)</f>
        <v/>
      </c>
    </row>
    <row r="2026" ht="15" customHeight="1" s="78">
      <c r="A2026" s="95">
        <f>IF($H2026="","",ROW()-6)</f>
        <v/>
      </c>
      <c r="B2026" s="114" t="n"/>
      <c r="C2026" s="102" t="n"/>
      <c r="D2026" s="114" t="n"/>
      <c r="E2026" s="103" t="n"/>
      <c r="F2026" s="102" t="n"/>
      <c r="G2026" s="102" t="n"/>
      <c r="H2026" s="115" t="n"/>
      <c r="I2026" s="102" t="n"/>
      <c r="J2026" s="102" t="n"/>
      <c r="K2026" s="103" t="n"/>
      <c r="L2026" s="116">
        <f>IF($H2026="","",TRIM(IF(COUNTIF(DMTK!$A$7:$A$250,$F2026)=0,"TK Nợ sai! ","")&amp;IF(COUNTIF(DMTK!$A$7:$A$250,$G2026)=0,"TK Có sai! ","")&amp;IF(N($H2026)&lt;=0,"Tiền phải &gt; 0! ","")&amp;IF($B2026="","Thiếu ngày! ","")&amp;IF(AND(OR(LEFT($F2026,3)="131",LEFT($G2026,3)="131",LEFT($F2026,3)="331",LEFT($G2026,3)="331"),$I2026=""),"Thiếu Mã ĐT! ","")&amp;IF(AND($I2026&lt;&gt;"",COUNTIF(DM_DT!$A$7:$A$306,$I2026)=0),"Mã ĐT chưa khai báo! ","")))</f>
        <v/>
      </c>
      <c r="M2026" s="117">
        <f>IF($H2026="","",IF(AND(OR(LEFT($F2026,3)="111",LEFT($F2026,3)="112",LEFT($F2026,3)="113"),OR(LEFT($G2026,3)="111",LEFT($G2026,3)="112",LEFT($G2026,3)="113")),"NB",IF(OR(LEFT($F2026,3)="111",LEFT($F2026,3)="112",LEFT($F2026,3)="113"),"THU",IF(OR(LEFT($G2026,3)="111",LEFT($G2026,3)="112",LEFT($G2026,3)="113"),"CHI",""))))</f>
        <v/>
      </c>
      <c r="N2026" s="117">
        <f>IF($M2026="THU",$G2026,IF($M2026="CHI",$F2026,""))</f>
        <v/>
      </c>
      <c r="O2026" s="117">
        <f>IF(OR($M2026="",$M2026="NB"),"",IF($J2026&lt;&gt;"",TEXT($J2026,"00"),IFERROR(VLOOKUP(LEFT($N2026,4),LCTT_MAP!$A$7:$C$66,IF($M2026="THU",2,3),FALSE()),IFERROR(VLOOKUP(LEFT($N2026,3),LCTT_MAP!$A$7:$C$66,IF($M2026="THU",2,3),FALSE()),IFERROR(VLOOKUP(LEFT($N2026,2),LCTT_MAP!$A$7:$C$66,IF($M2026="THU",2,3),FALSE()),IFERROR(VLOOKUP(LEFT($N2026,1),LCTT_MAP!$A$7:$C$66,IF($M2026="THU",2,3),FALSE()),IF($M2026="THU","06","07")))))))</f>
        <v/>
      </c>
      <c r="P2026" s="117">
        <f>P2025+IF(AND($H2026&lt;&gt;"",OR(LEFT($F2026,LEN(SC_TK))=SC_TK,LEFT($G2026,LEN(SC_TK))=SC_TK)),1,0)</f>
        <v/>
      </c>
    </row>
    <row r="2027" ht="15" customHeight="1" s="78">
      <c r="A2027" s="95">
        <f>IF($H2027="","",ROW()-6)</f>
        <v/>
      </c>
      <c r="B2027" s="114" t="n"/>
      <c r="C2027" s="102" t="n"/>
      <c r="D2027" s="114" t="n"/>
      <c r="E2027" s="103" t="n"/>
      <c r="F2027" s="102" t="n"/>
      <c r="G2027" s="102" t="n"/>
      <c r="H2027" s="115" t="n"/>
      <c r="I2027" s="102" t="n"/>
      <c r="J2027" s="102" t="n"/>
      <c r="K2027" s="103" t="n"/>
      <c r="L2027" s="116">
        <f>IF($H2027="","",TRIM(IF(COUNTIF(DMTK!$A$7:$A$250,$F2027)=0,"TK Nợ sai! ","")&amp;IF(COUNTIF(DMTK!$A$7:$A$250,$G2027)=0,"TK Có sai! ","")&amp;IF(N($H2027)&lt;=0,"Tiền phải &gt; 0! ","")&amp;IF($B2027="","Thiếu ngày! ","")&amp;IF(AND(OR(LEFT($F2027,3)="131",LEFT($G2027,3)="131",LEFT($F2027,3)="331",LEFT($G2027,3)="331"),$I2027=""),"Thiếu Mã ĐT! ","")&amp;IF(AND($I2027&lt;&gt;"",COUNTIF(DM_DT!$A$7:$A$306,$I2027)=0),"Mã ĐT chưa khai báo! ","")))</f>
        <v/>
      </c>
      <c r="M2027" s="117">
        <f>IF($H2027="","",IF(AND(OR(LEFT($F2027,3)="111",LEFT($F2027,3)="112",LEFT($F2027,3)="113"),OR(LEFT($G2027,3)="111",LEFT($G2027,3)="112",LEFT($G2027,3)="113")),"NB",IF(OR(LEFT($F2027,3)="111",LEFT($F2027,3)="112",LEFT($F2027,3)="113"),"THU",IF(OR(LEFT($G2027,3)="111",LEFT($G2027,3)="112",LEFT($G2027,3)="113"),"CHI",""))))</f>
        <v/>
      </c>
      <c r="N2027" s="117">
        <f>IF($M2027="THU",$G2027,IF($M2027="CHI",$F2027,""))</f>
        <v/>
      </c>
      <c r="O2027" s="117">
        <f>IF(OR($M2027="",$M2027="NB"),"",IF($J2027&lt;&gt;"",TEXT($J2027,"00"),IFERROR(VLOOKUP(LEFT($N2027,4),LCTT_MAP!$A$7:$C$66,IF($M2027="THU",2,3),FALSE()),IFERROR(VLOOKUP(LEFT($N2027,3),LCTT_MAP!$A$7:$C$66,IF($M2027="THU",2,3),FALSE()),IFERROR(VLOOKUP(LEFT($N2027,2),LCTT_MAP!$A$7:$C$66,IF($M2027="THU",2,3),FALSE()),IFERROR(VLOOKUP(LEFT($N2027,1),LCTT_MAP!$A$7:$C$66,IF($M2027="THU",2,3),FALSE()),IF($M2027="THU","06","07")))))))</f>
        <v/>
      </c>
      <c r="P2027" s="117">
        <f>P2026+IF(AND($H2027&lt;&gt;"",OR(LEFT($F2027,LEN(SC_TK))=SC_TK,LEFT($G2027,LEN(SC_TK))=SC_TK)),1,0)</f>
        <v/>
      </c>
    </row>
    <row r="2028" ht="15" customHeight="1" s="78">
      <c r="A2028" s="95">
        <f>IF($H2028="","",ROW()-6)</f>
        <v/>
      </c>
      <c r="B2028" s="114" t="n"/>
      <c r="C2028" s="102" t="n"/>
      <c r="D2028" s="114" t="n"/>
      <c r="E2028" s="103" t="n"/>
      <c r="F2028" s="102" t="n"/>
      <c r="G2028" s="102" t="n"/>
      <c r="H2028" s="115" t="n"/>
      <c r="I2028" s="102" t="n"/>
      <c r="J2028" s="102" t="n"/>
      <c r="K2028" s="103" t="n"/>
      <c r="L2028" s="116">
        <f>IF($H2028="","",TRIM(IF(COUNTIF(DMTK!$A$7:$A$250,$F2028)=0,"TK Nợ sai! ","")&amp;IF(COUNTIF(DMTK!$A$7:$A$250,$G2028)=0,"TK Có sai! ","")&amp;IF(N($H2028)&lt;=0,"Tiền phải &gt; 0! ","")&amp;IF($B2028="","Thiếu ngày! ","")&amp;IF(AND(OR(LEFT($F2028,3)="131",LEFT($G2028,3)="131",LEFT($F2028,3)="331",LEFT($G2028,3)="331"),$I2028=""),"Thiếu Mã ĐT! ","")&amp;IF(AND($I2028&lt;&gt;"",COUNTIF(DM_DT!$A$7:$A$306,$I2028)=0),"Mã ĐT chưa khai báo! ","")))</f>
        <v/>
      </c>
      <c r="M2028" s="117">
        <f>IF($H2028="","",IF(AND(OR(LEFT($F2028,3)="111",LEFT($F2028,3)="112",LEFT($F2028,3)="113"),OR(LEFT($G2028,3)="111",LEFT($G2028,3)="112",LEFT($G2028,3)="113")),"NB",IF(OR(LEFT($F2028,3)="111",LEFT($F2028,3)="112",LEFT($F2028,3)="113"),"THU",IF(OR(LEFT($G2028,3)="111",LEFT($G2028,3)="112",LEFT($G2028,3)="113"),"CHI",""))))</f>
        <v/>
      </c>
      <c r="N2028" s="117">
        <f>IF($M2028="THU",$G2028,IF($M2028="CHI",$F2028,""))</f>
        <v/>
      </c>
      <c r="O2028" s="117">
        <f>IF(OR($M2028="",$M2028="NB"),"",IF($J2028&lt;&gt;"",TEXT($J2028,"00"),IFERROR(VLOOKUP(LEFT($N2028,4),LCTT_MAP!$A$7:$C$66,IF($M2028="THU",2,3),FALSE()),IFERROR(VLOOKUP(LEFT($N2028,3),LCTT_MAP!$A$7:$C$66,IF($M2028="THU",2,3),FALSE()),IFERROR(VLOOKUP(LEFT($N2028,2),LCTT_MAP!$A$7:$C$66,IF($M2028="THU",2,3),FALSE()),IFERROR(VLOOKUP(LEFT($N2028,1),LCTT_MAP!$A$7:$C$66,IF($M2028="THU",2,3),FALSE()),IF($M2028="THU","06","07")))))))</f>
        <v/>
      </c>
      <c r="P2028" s="117">
        <f>P2027+IF(AND($H2028&lt;&gt;"",OR(LEFT($F2028,LEN(SC_TK))=SC_TK,LEFT($G2028,LEN(SC_TK))=SC_TK)),1,0)</f>
        <v/>
      </c>
    </row>
    <row r="2029" ht="15" customHeight="1" s="78">
      <c r="A2029" s="95">
        <f>IF($H2029="","",ROW()-6)</f>
        <v/>
      </c>
      <c r="B2029" s="114" t="n"/>
      <c r="C2029" s="102" t="n"/>
      <c r="D2029" s="114" t="n"/>
      <c r="E2029" s="103" t="n"/>
      <c r="F2029" s="102" t="n"/>
      <c r="G2029" s="102" t="n"/>
      <c r="H2029" s="115" t="n"/>
      <c r="I2029" s="102" t="n"/>
      <c r="J2029" s="102" t="n"/>
      <c r="K2029" s="103" t="n"/>
      <c r="L2029" s="116">
        <f>IF($H2029="","",TRIM(IF(COUNTIF(DMTK!$A$7:$A$250,$F2029)=0,"TK Nợ sai! ","")&amp;IF(COUNTIF(DMTK!$A$7:$A$250,$G2029)=0,"TK Có sai! ","")&amp;IF(N($H2029)&lt;=0,"Tiền phải &gt; 0! ","")&amp;IF($B2029="","Thiếu ngày! ","")&amp;IF(AND(OR(LEFT($F2029,3)="131",LEFT($G2029,3)="131",LEFT($F2029,3)="331",LEFT($G2029,3)="331"),$I2029=""),"Thiếu Mã ĐT! ","")&amp;IF(AND($I2029&lt;&gt;"",COUNTIF(DM_DT!$A$7:$A$306,$I2029)=0),"Mã ĐT chưa khai báo! ","")))</f>
        <v/>
      </c>
      <c r="M2029" s="117">
        <f>IF($H2029="","",IF(AND(OR(LEFT($F2029,3)="111",LEFT($F2029,3)="112",LEFT($F2029,3)="113"),OR(LEFT($G2029,3)="111",LEFT($G2029,3)="112",LEFT($G2029,3)="113")),"NB",IF(OR(LEFT($F2029,3)="111",LEFT($F2029,3)="112",LEFT($F2029,3)="113"),"THU",IF(OR(LEFT($G2029,3)="111",LEFT($G2029,3)="112",LEFT($G2029,3)="113"),"CHI",""))))</f>
        <v/>
      </c>
      <c r="N2029" s="117">
        <f>IF($M2029="THU",$G2029,IF($M2029="CHI",$F2029,""))</f>
        <v/>
      </c>
      <c r="O2029" s="117">
        <f>IF(OR($M2029="",$M2029="NB"),"",IF($J2029&lt;&gt;"",TEXT($J2029,"00"),IFERROR(VLOOKUP(LEFT($N2029,4),LCTT_MAP!$A$7:$C$66,IF($M2029="THU",2,3),FALSE()),IFERROR(VLOOKUP(LEFT($N2029,3),LCTT_MAP!$A$7:$C$66,IF($M2029="THU",2,3),FALSE()),IFERROR(VLOOKUP(LEFT($N2029,2),LCTT_MAP!$A$7:$C$66,IF($M2029="THU",2,3),FALSE()),IFERROR(VLOOKUP(LEFT($N2029,1),LCTT_MAP!$A$7:$C$66,IF($M2029="THU",2,3),FALSE()),IF($M2029="THU","06","07")))))))</f>
        <v/>
      </c>
      <c r="P2029" s="117">
        <f>P2028+IF(AND($H2029&lt;&gt;"",OR(LEFT($F2029,LEN(SC_TK))=SC_TK,LEFT($G2029,LEN(SC_TK))=SC_TK)),1,0)</f>
        <v/>
      </c>
    </row>
    <row r="2030" ht="15" customHeight="1" s="78">
      <c r="A2030" s="95">
        <f>IF($H2030="","",ROW()-6)</f>
        <v/>
      </c>
      <c r="B2030" s="114" t="n"/>
      <c r="C2030" s="102" t="n"/>
      <c r="D2030" s="114" t="n"/>
      <c r="E2030" s="103" t="n"/>
      <c r="F2030" s="102" t="n"/>
      <c r="G2030" s="102" t="n"/>
      <c r="H2030" s="115" t="n"/>
      <c r="I2030" s="102" t="n"/>
      <c r="J2030" s="102" t="n"/>
      <c r="K2030" s="103" t="n"/>
      <c r="L2030" s="116">
        <f>IF($H2030="","",TRIM(IF(COUNTIF(DMTK!$A$7:$A$250,$F2030)=0,"TK Nợ sai! ","")&amp;IF(COUNTIF(DMTK!$A$7:$A$250,$G2030)=0,"TK Có sai! ","")&amp;IF(N($H2030)&lt;=0,"Tiền phải &gt; 0! ","")&amp;IF($B2030="","Thiếu ngày! ","")&amp;IF(AND(OR(LEFT($F2030,3)="131",LEFT($G2030,3)="131",LEFT($F2030,3)="331",LEFT($G2030,3)="331"),$I2030=""),"Thiếu Mã ĐT! ","")&amp;IF(AND($I2030&lt;&gt;"",COUNTIF(DM_DT!$A$7:$A$306,$I2030)=0),"Mã ĐT chưa khai báo! ","")))</f>
        <v/>
      </c>
      <c r="M2030" s="117">
        <f>IF($H2030="","",IF(AND(OR(LEFT($F2030,3)="111",LEFT($F2030,3)="112",LEFT($F2030,3)="113"),OR(LEFT($G2030,3)="111",LEFT($G2030,3)="112",LEFT($G2030,3)="113")),"NB",IF(OR(LEFT($F2030,3)="111",LEFT($F2030,3)="112",LEFT($F2030,3)="113"),"THU",IF(OR(LEFT($G2030,3)="111",LEFT($G2030,3)="112",LEFT($G2030,3)="113"),"CHI",""))))</f>
        <v/>
      </c>
      <c r="N2030" s="117">
        <f>IF($M2030="THU",$G2030,IF($M2030="CHI",$F2030,""))</f>
        <v/>
      </c>
      <c r="O2030" s="117">
        <f>IF(OR($M2030="",$M2030="NB"),"",IF($J2030&lt;&gt;"",TEXT($J2030,"00"),IFERROR(VLOOKUP(LEFT($N2030,4),LCTT_MAP!$A$7:$C$66,IF($M2030="THU",2,3),FALSE()),IFERROR(VLOOKUP(LEFT($N2030,3),LCTT_MAP!$A$7:$C$66,IF($M2030="THU",2,3),FALSE()),IFERROR(VLOOKUP(LEFT($N2030,2),LCTT_MAP!$A$7:$C$66,IF($M2030="THU",2,3),FALSE()),IFERROR(VLOOKUP(LEFT($N2030,1),LCTT_MAP!$A$7:$C$66,IF($M2030="THU",2,3),FALSE()),IF($M2030="THU","06","07")))))))</f>
        <v/>
      </c>
      <c r="P2030" s="117">
        <f>P2029+IF(AND($H2030&lt;&gt;"",OR(LEFT($F2030,LEN(SC_TK))=SC_TK,LEFT($G2030,LEN(SC_TK))=SC_TK)),1,0)</f>
        <v/>
      </c>
    </row>
    <row r="2031" ht="15" customHeight="1" s="78">
      <c r="A2031" s="95">
        <f>IF($H2031="","",ROW()-6)</f>
        <v/>
      </c>
      <c r="B2031" s="114" t="n"/>
      <c r="C2031" s="102" t="n"/>
      <c r="D2031" s="114" t="n"/>
      <c r="E2031" s="103" t="n"/>
      <c r="F2031" s="102" t="n"/>
      <c r="G2031" s="102" t="n"/>
      <c r="H2031" s="115" t="n"/>
      <c r="I2031" s="102" t="n"/>
      <c r="J2031" s="102" t="n"/>
      <c r="K2031" s="103" t="n"/>
      <c r="L2031" s="116">
        <f>IF($H2031="","",TRIM(IF(COUNTIF(DMTK!$A$7:$A$250,$F2031)=0,"TK Nợ sai! ","")&amp;IF(COUNTIF(DMTK!$A$7:$A$250,$G2031)=0,"TK Có sai! ","")&amp;IF(N($H2031)&lt;=0,"Tiền phải &gt; 0! ","")&amp;IF($B2031="","Thiếu ngày! ","")&amp;IF(AND(OR(LEFT($F2031,3)="131",LEFT($G2031,3)="131",LEFT($F2031,3)="331",LEFT($G2031,3)="331"),$I2031=""),"Thiếu Mã ĐT! ","")&amp;IF(AND($I2031&lt;&gt;"",COUNTIF(DM_DT!$A$7:$A$306,$I2031)=0),"Mã ĐT chưa khai báo! ","")))</f>
        <v/>
      </c>
      <c r="M2031" s="117">
        <f>IF($H2031="","",IF(AND(OR(LEFT($F2031,3)="111",LEFT($F2031,3)="112",LEFT($F2031,3)="113"),OR(LEFT($G2031,3)="111",LEFT($G2031,3)="112",LEFT($G2031,3)="113")),"NB",IF(OR(LEFT($F2031,3)="111",LEFT($F2031,3)="112",LEFT($F2031,3)="113"),"THU",IF(OR(LEFT($G2031,3)="111",LEFT($G2031,3)="112",LEFT($G2031,3)="113"),"CHI",""))))</f>
        <v/>
      </c>
      <c r="N2031" s="117">
        <f>IF($M2031="THU",$G2031,IF($M2031="CHI",$F2031,""))</f>
        <v/>
      </c>
      <c r="O2031" s="117">
        <f>IF(OR($M2031="",$M2031="NB"),"",IF($J2031&lt;&gt;"",TEXT($J2031,"00"),IFERROR(VLOOKUP(LEFT($N2031,4),LCTT_MAP!$A$7:$C$66,IF($M2031="THU",2,3),FALSE()),IFERROR(VLOOKUP(LEFT($N2031,3),LCTT_MAP!$A$7:$C$66,IF($M2031="THU",2,3),FALSE()),IFERROR(VLOOKUP(LEFT($N2031,2),LCTT_MAP!$A$7:$C$66,IF($M2031="THU",2,3),FALSE()),IFERROR(VLOOKUP(LEFT($N2031,1),LCTT_MAP!$A$7:$C$66,IF($M2031="THU",2,3),FALSE()),IF($M2031="THU","06","07")))))))</f>
        <v/>
      </c>
      <c r="P2031" s="117">
        <f>P2030+IF(AND($H2031&lt;&gt;"",OR(LEFT($F2031,LEN(SC_TK))=SC_TK,LEFT($G2031,LEN(SC_TK))=SC_TK)),1,0)</f>
        <v/>
      </c>
    </row>
    <row r="2032" ht="15" customHeight="1" s="78">
      <c r="A2032" s="95">
        <f>IF($H2032="","",ROW()-6)</f>
        <v/>
      </c>
      <c r="B2032" s="114" t="n"/>
      <c r="C2032" s="102" t="n"/>
      <c r="D2032" s="114" t="n"/>
      <c r="E2032" s="103" t="n"/>
      <c r="F2032" s="102" t="n"/>
      <c r="G2032" s="102" t="n"/>
      <c r="H2032" s="115" t="n"/>
      <c r="I2032" s="102" t="n"/>
      <c r="J2032" s="102" t="n"/>
      <c r="K2032" s="103" t="n"/>
      <c r="L2032" s="116">
        <f>IF($H2032="","",TRIM(IF(COUNTIF(DMTK!$A$7:$A$250,$F2032)=0,"TK Nợ sai! ","")&amp;IF(COUNTIF(DMTK!$A$7:$A$250,$G2032)=0,"TK Có sai! ","")&amp;IF(N($H2032)&lt;=0,"Tiền phải &gt; 0! ","")&amp;IF($B2032="","Thiếu ngày! ","")&amp;IF(AND(OR(LEFT($F2032,3)="131",LEFT($G2032,3)="131",LEFT($F2032,3)="331",LEFT($G2032,3)="331"),$I2032=""),"Thiếu Mã ĐT! ","")&amp;IF(AND($I2032&lt;&gt;"",COUNTIF(DM_DT!$A$7:$A$306,$I2032)=0),"Mã ĐT chưa khai báo! ","")))</f>
        <v/>
      </c>
      <c r="M2032" s="117">
        <f>IF($H2032="","",IF(AND(OR(LEFT($F2032,3)="111",LEFT($F2032,3)="112",LEFT($F2032,3)="113"),OR(LEFT($G2032,3)="111",LEFT($G2032,3)="112",LEFT($G2032,3)="113")),"NB",IF(OR(LEFT($F2032,3)="111",LEFT($F2032,3)="112",LEFT($F2032,3)="113"),"THU",IF(OR(LEFT($G2032,3)="111",LEFT($G2032,3)="112",LEFT($G2032,3)="113"),"CHI",""))))</f>
        <v/>
      </c>
      <c r="N2032" s="117">
        <f>IF($M2032="THU",$G2032,IF($M2032="CHI",$F2032,""))</f>
        <v/>
      </c>
      <c r="O2032" s="117">
        <f>IF(OR($M2032="",$M2032="NB"),"",IF($J2032&lt;&gt;"",TEXT($J2032,"00"),IFERROR(VLOOKUP(LEFT($N2032,4),LCTT_MAP!$A$7:$C$66,IF($M2032="THU",2,3),FALSE()),IFERROR(VLOOKUP(LEFT($N2032,3),LCTT_MAP!$A$7:$C$66,IF($M2032="THU",2,3),FALSE()),IFERROR(VLOOKUP(LEFT($N2032,2),LCTT_MAP!$A$7:$C$66,IF($M2032="THU",2,3),FALSE()),IFERROR(VLOOKUP(LEFT($N2032,1),LCTT_MAP!$A$7:$C$66,IF($M2032="THU",2,3),FALSE()),IF($M2032="THU","06","07")))))))</f>
        <v/>
      </c>
      <c r="P2032" s="117">
        <f>P2031+IF(AND($H2032&lt;&gt;"",OR(LEFT($F2032,LEN(SC_TK))=SC_TK,LEFT($G2032,LEN(SC_TK))=SC_TK)),1,0)</f>
        <v/>
      </c>
    </row>
    <row r="2033" ht="15" customHeight="1" s="78">
      <c r="A2033" s="95">
        <f>IF($H2033="","",ROW()-6)</f>
        <v/>
      </c>
      <c r="B2033" s="114" t="n"/>
      <c r="C2033" s="102" t="n"/>
      <c r="D2033" s="114" t="n"/>
      <c r="E2033" s="103" t="n"/>
      <c r="F2033" s="102" t="n"/>
      <c r="G2033" s="102" t="n"/>
      <c r="H2033" s="115" t="n"/>
      <c r="I2033" s="102" t="n"/>
      <c r="J2033" s="102" t="n"/>
      <c r="K2033" s="103" t="n"/>
      <c r="L2033" s="116">
        <f>IF($H2033="","",TRIM(IF(COUNTIF(DMTK!$A$7:$A$250,$F2033)=0,"TK Nợ sai! ","")&amp;IF(COUNTIF(DMTK!$A$7:$A$250,$G2033)=0,"TK Có sai! ","")&amp;IF(N($H2033)&lt;=0,"Tiền phải &gt; 0! ","")&amp;IF($B2033="","Thiếu ngày! ","")&amp;IF(AND(OR(LEFT($F2033,3)="131",LEFT($G2033,3)="131",LEFT($F2033,3)="331",LEFT($G2033,3)="331"),$I2033=""),"Thiếu Mã ĐT! ","")&amp;IF(AND($I2033&lt;&gt;"",COUNTIF(DM_DT!$A$7:$A$306,$I2033)=0),"Mã ĐT chưa khai báo! ","")))</f>
        <v/>
      </c>
      <c r="M2033" s="117">
        <f>IF($H2033="","",IF(AND(OR(LEFT($F2033,3)="111",LEFT($F2033,3)="112",LEFT($F2033,3)="113"),OR(LEFT($G2033,3)="111",LEFT($G2033,3)="112",LEFT($G2033,3)="113")),"NB",IF(OR(LEFT($F2033,3)="111",LEFT($F2033,3)="112",LEFT($F2033,3)="113"),"THU",IF(OR(LEFT($G2033,3)="111",LEFT($G2033,3)="112",LEFT($G2033,3)="113"),"CHI",""))))</f>
        <v/>
      </c>
      <c r="N2033" s="117">
        <f>IF($M2033="THU",$G2033,IF($M2033="CHI",$F2033,""))</f>
        <v/>
      </c>
      <c r="O2033" s="117">
        <f>IF(OR($M2033="",$M2033="NB"),"",IF($J2033&lt;&gt;"",TEXT($J2033,"00"),IFERROR(VLOOKUP(LEFT($N2033,4),LCTT_MAP!$A$7:$C$66,IF($M2033="THU",2,3),FALSE()),IFERROR(VLOOKUP(LEFT($N2033,3),LCTT_MAP!$A$7:$C$66,IF($M2033="THU",2,3),FALSE()),IFERROR(VLOOKUP(LEFT($N2033,2),LCTT_MAP!$A$7:$C$66,IF($M2033="THU",2,3),FALSE()),IFERROR(VLOOKUP(LEFT($N2033,1),LCTT_MAP!$A$7:$C$66,IF($M2033="THU",2,3),FALSE()),IF($M2033="THU","06","07")))))))</f>
        <v/>
      </c>
      <c r="P2033" s="117">
        <f>P2032+IF(AND($H2033&lt;&gt;"",OR(LEFT($F2033,LEN(SC_TK))=SC_TK,LEFT($G2033,LEN(SC_TK))=SC_TK)),1,0)</f>
        <v/>
      </c>
    </row>
    <row r="2034" ht="15" customHeight="1" s="78">
      <c r="A2034" s="95">
        <f>IF($H2034="","",ROW()-6)</f>
        <v/>
      </c>
      <c r="B2034" s="114" t="n"/>
      <c r="C2034" s="102" t="n"/>
      <c r="D2034" s="114" t="n"/>
      <c r="E2034" s="103" t="n"/>
      <c r="F2034" s="102" t="n"/>
      <c r="G2034" s="102" t="n"/>
      <c r="H2034" s="115" t="n"/>
      <c r="I2034" s="102" t="n"/>
      <c r="J2034" s="102" t="n"/>
      <c r="K2034" s="103" t="n"/>
      <c r="L2034" s="116">
        <f>IF($H2034="","",TRIM(IF(COUNTIF(DMTK!$A$7:$A$250,$F2034)=0,"TK Nợ sai! ","")&amp;IF(COUNTIF(DMTK!$A$7:$A$250,$G2034)=0,"TK Có sai! ","")&amp;IF(N($H2034)&lt;=0,"Tiền phải &gt; 0! ","")&amp;IF($B2034="","Thiếu ngày! ","")&amp;IF(AND(OR(LEFT($F2034,3)="131",LEFT($G2034,3)="131",LEFT($F2034,3)="331",LEFT($G2034,3)="331"),$I2034=""),"Thiếu Mã ĐT! ","")&amp;IF(AND($I2034&lt;&gt;"",COUNTIF(DM_DT!$A$7:$A$306,$I2034)=0),"Mã ĐT chưa khai báo! ","")))</f>
        <v/>
      </c>
      <c r="M2034" s="117">
        <f>IF($H2034="","",IF(AND(OR(LEFT($F2034,3)="111",LEFT($F2034,3)="112",LEFT($F2034,3)="113"),OR(LEFT($G2034,3)="111",LEFT($G2034,3)="112",LEFT($G2034,3)="113")),"NB",IF(OR(LEFT($F2034,3)="111",LEFT($F2034,3)="112",LEFT($F2034,3)="113"),"THU",IF(OR(LEFT($G2034,3)="111",LEFT($G2034,3)="112",LEFT($G2034,3)="113"),"CHI",""))))</f>
        <v/>
      </c>
      <c r="N2034" s="117">
        <f>IF($M2034="THU",$G2034,IF($M2034="CHI",$F2034,""))</f>
        <v/>
      </c>
      <c r="O2034" s="117">
        <f>IF(OR($M2034="",$M2034="NB"),"",IF($J2034&lt;&gt;"",TEXT($J2034,"00"),IFERROR(VLOOKUP(LEFT($N2034,4),LCTT_MAP!$A$7:$C$66,IF($M2034="THU",2,3),FALSE()),IFERROR(VLOOKUP(LEFT($N2034,3),LCTT_MAP!$A$7:$C$66,IF($M2034="THU",2,3),FALSE()),IFERROR(VLOOKUP(LEFT($N2034,2),LCTT_MAP!$A$7:$C$66,IF($M2034="THU",2,3),FALSE()),IFERROR(VLOOKUP(LEFT($N2034,1),LCTT_MAP!$A$7:$C$66,IF($M2034="THU",2,3),FALSE()),IF($M2034="THU","06","07")))))))</f>
        <v/>
      </c>
      <c r="P2034" s="117">
        <f>P2033+IF(AND($H2034&lt;&gt;"",OR(LEFT($F2034,LEN(SC_TK))=SC_TK,LEFT($G2034,LEN(SC_TK))=SC_TK)),1,0)</f>
        <v/>
      </c>
    </row>
    <row r="2035" ht="15" customHeight="1" s="78">
      <c r="A2035" s="95">
        <f>IF($H2035="","",ROW()-6)</f>
        <v/>
      </c>
      <c r="B2035" s="114" t="n"/>
      <c r="C2035" s="102" t="n"/>
      <c r="D2035" s="114" t="n"/>
      <c r="E2035" s="103" t="n"/>
      <c r="F2035" s="102" t="n"/>
      <c r="G2035" s="102" t="n"/>
      <c r="H2035" s="115" t="n"/>
      <c r="I2035" s="102" t="n"/>
      <c r="J2035" s="102" t="n"/>
      <c r="K2035" s="103" t="n"/>
      <c r="L2035" s="116">
        <f>IF($H2035="","",TRIM(IF(COUNTIF(DMTK!$A$7:$A$250,$F2035)=0,"TK Nợ sai! ","")&amp;IF(COUNTIF(DMTK!$A$7:$A$250,$G2035)=0,"TK Có sai! ","")&amp;IF(N($H2035)&lt;=0,"Tiền phải &gt; 0! ","")&amp;IF($B2035="","Thiếu ngày! ","")&amp;IF(AND(OR(LEFT($F2035,3)="131",LEFT($G2035,3)="131",LEFT($F2035,3)="331",LEFT($G2035,3)="331"),$I2035=""),"Thiếu Mã ĐT! ","")&amp;IF(AND($I2035&lt;&gt;"",COUNTIF(DM_DT!$A$7:$A$306,$I2035)=0),"Mã ĐT chưa khai báo! ","")))</f>
        <v/>
      </c>
      <c r="M2035" s="117">
        <f>IF($H2035="","",IF(AND(OR(LEFT($F2035,3)="111",LEFT($F2035,3)="112",LEFT($F2035,3)="113"),OR(LEFT($G2035,3)="111",LEFT($G2035,3)="112",LEFT($G2035,3)="113")),"NB",IF(OR(LEFT($F2035,3)="111",LEFT($F2035,3)="112",LEFT($F2035,3)="113"),"THU",IF(OR(LEFT($G2035,3)="111",LEFT($G2035,3)="112",LEFT($G2035,3)="113"),"CHI",""))))</f>
        <v/>
      </c>
      <c r="N2035" s="117">
        <f>IF($M2035="THU",$G2035,IF($M2035="CHI",$F2035,""))</f>
        <v/>
      </c>
      <c r="O2035" s="117">
        <f>IF(OR($M2035="",$M2035="NB"),"",IF($J2035&lt;&gt;"",TEXT($J2035,"00"),IFERROR(VLOOKUP(LEFT($N2035,4),LCTT_MAP!$A$7:$C$66,IF($M2035="THU",2,3),FALSE()),IFERROR(VLOOKUP(LEFT($N2035,3),LCTT_MAP!$A$7:$C$66,IF($M2035="THU",2,3),FALSE()),IFERROR(VLOOKUP(LEFT($N2035,2),LCTT_MAP!$A$7:$C$66,IF($M2035="THU",2,3),FALSE()),IFERROR(VLOOKUP(LEFT($N2035,1),LCTT_MAP!$A$7:$C$66,IF($M2035="THU",2,3),FALSE()),IF($M2035="THU","06","07")))))))</f>
        <v/>
      </c>
      <c r="P2035" s="117">
        <f>P2034+IF(AND($H2035&lt;&gt;"",OR(LEFT($F2035,LEN(SC_TK))=SC_TK,LEFT($G2035,LEN(SC_TK))=SC_TK)),1,0)</f>
        <v/>
      </c>
    </row>
    <row r="2036" ht="15" customHeight="1" s="78">
      <c r="A2036" s="95">
        <f>IF($H2036="","",ROW()-6)</f>
        <v/>
      </c>
      <c r="B2036" s="114" t="n"/>
      <c r="C2036" s="102" t="n"/>
      <c r="D2036" s="114" t="n"/>
      <c r="E2036" s="103" t="n"/>
      <c r="F2036" s="102" t="n"/>
      <c r="G2036" s="102" t="n"/>
      <c r="H2036" s="115" t="n"/>
      <c r="I2036" s="102" t="n"/>
      <c r="J2036" s="102" t="n"/>
      <c r="K2036" s="103" t="n"/>
      <c r="L2036" s="116">
        <f>IF($H2036="","",TRIM(IF(COUNTIF(DMTK!$A$7:$A$250,$F2036)=0,"TK Nợ sai! ","")&amp;IF(COUNTIF(DMTK!$A$7:$A$250,$G2036)=0,"TK Có sai! ","")&amp;IF(N($H2036)&lt;=0,"Tiền phải &gt; 0! ","")&amp;IF($B2036="","Thiếu ngày! ","")&amp;IF(AND(OR(LEFT($F2036,3)="131",LEFT($G2036,3)="131",LEFT($F2036,3)="331",LEFT($G2036,3)="331"),$I2036=""),"Thiếu Mã ĐT! ","")&amp;IF(AND($I2036&lt;&gt;"",COUNTIF(DM_DT!$A$7:$A$306,$I2036)=0),"Mã ĐT chưa khai báo! ","")))</f>
        <v/>
      </c>
      <c r="M2036" s="117">
        <f>IF($H2036="","",IF(AND(OR(LEFT($F2036,3)="111",LEFT($F2036,3)="112",LEFT($F2036,3)="113"),OR(LEFT($G2036,3)="111",LEFT($G2036,3)="112",LEFT($G2036,3)="113")),"NB",IF(OR(LEFT($F2036,3)="111",LEFT($F2036,3)="112",LEFT($F2036,3)="113"),"THU",IF(OR(LEFT($G2036,3)="111",LEFT($G2036,3)="112",LEFT($G2036,3)="113"),"CHI",""))))</f>
        <v/>
      </c>
      <c r="N2036" s="117">
        <f>IF($M2036="THU",$G2036,IF($M2036="CHI",$F2036,""))</f>
        <v/>
      </c>
      <c r="O2036" s="117">
        <f>IF(OR($M2036="",$M2036="NB"),"",IF($J2036&lt;&gt;"",TEXT($J2036,"00"),IFERROR(VLOOKUP(LEFT($N2036,4),LCTT_MAP!$A$7:$C$66,IF($M2036="THU",2,3),FALSE()),IFERROR(VLOOKUP(LEFT($N2036,3),LCTT_MAP!$A$7:$C$66,IF($M2036="THU",2,3),FALSE()),IFERROR(VLOOKUP(LEFT($N2036,2),LCTT_MAP!$A$7:$C$66,IF($M2036="THU",2,3),FALSE()),IFERROR(VLOOKUP(LEFT($N2036,1),LCTT_MAP!$A$7:$C$66,IF($M2036="THU",2,3),FALSE()),IF($M2036="THU","06","07")))))))</f>
        <v/>
      </c>
      <c r="P2036" s="117">
        <f>P2035+IF(AND($H2036&lt;&gt;"",OR(LEFT($F2036,LEN(SC_TK))=SC_TK,LEFT($G2036,LEN(SC_TK))=SC_TK)),1,0)</f>
        <v/>
      </c>
    </row>
    <row r="2037" ht="15" customHeight="1" s="78">
      <c r="A2037" s="95">
        <f>IF($H2037="","",ROW()-6)</f>
        <v/>
      </c>
      <c r="B2037" s="114" t="n"/>
      <c r="C2037" s="102" t="n"/>
      <c r="D2037" s="114" t="n"/>
      <c r="E2037" s="103" t="n"/>
      <c r="F2037" s="102" t="n"/>
      <c r="G2037" s="102" t="n"/>
      <c r="H2037" s="115" t="n"/>
      <c r="I2037" s="102" t="n"/>
      <c r="J2037" s="102" t="n"/>
      <c r="K2037" s="103" t="n"/>
      <c r="L2037" s="116">
        <f>IF($H2037="","",TRIM(IF(COUNTIF(DMTK!$A$7:$A$250,$F2037)=0,"TK Nợ sai! ","")&amp;IF(COUNTIF(DMTK!$A$7:$A$250,$G2037)=0,"TK Có sai! ","")&amp;IF(N($H2037)&lt;=0,"Tiền phải &gt; 0! ","")&amp;IF($B2037="","Thiếu ngày! ","")&amp;IF(AND(OR(LEFT($F2037,3)="131",LEFT($G2037,3)="131",LEFT($F2037,3)="331",LEFT($G2037,3)="331"),$I2037=""),"Thiếu Mã ĐT! ","")&amp;IF(AND($I2037&lt;&gt;"",COUNTIF(DM_DT!$A$7:$A$306,$I2037)=0),"Mã ĐT chưa khai báo! ","")))</f>
        <v/>
      </c>
      <c r="M2037" s="117">
        <f>IF($H2037="","",IF(AND(OR(LEFT($F2037,3)="111",LEFT($F2037,3)="112",LEFT($F2037,3)="113"),OR(LEFT($G2037,3)="111",LEFT($G2037,3)="112",LEFT($G2037,3)="113")),"NB",IF(OR(LEFT($F2037,3)="111",LEFT($F2037,3)="112",LEFT($F2037,3)="113"),"THU",IF(OR(LEFT($G2037,3)="111",LEFT($G2037,3)="112",LEFT($G2037,3)="113"),"CHI",""))))</f>
        <v/>
      </c>
      <c r="N2037" s="117">
        <f>IF($M2037="THU",$G2037,IF($M2037="CHI",$F2037,""))</f>
        <v/>
      </c>
      <c r="O2037" s="117">
        <f>IF(OR($M2037="",$M2037="NB"),"",IF($J2037&lt;&gt;"",TEXT($J2037,"00"),IFERROR(VLOOKUP(LEFT($N2037,4),LCTT_MAP!$A$7:$C$66,IF($M2037="THU",2,3),FALSE()),IFERROR(VLOOKUP(LEFT($N2037,3),LCTT_MAP!$A$7:$C$66,IF($M2037="THU",2,3),FALSE()),IFERROR(VLOOKUP(LEFT($N2037,2),LCTT_MAP!$A$7:$C$66,IF($M2037="THU",2,3),FALSE()),IFERROR(VLOOKUP(LEFT($N2037,1),LCTT_MAP!$A$7:$C$66,IF($M2037="THU",2,3),FALSE()),IF($M2037="THU","06","07")))))))</f>
        <v/>
      </c>
      <c r="P2037" s="117">
        <f>P2036+IF(AND($H2037&lt;&gt;"",OR(LEFT($F2037,LEN(SC_TK))=SC_TK,LEFT($G2037,LEN(SC_TK))=SC_TK)),1,0)</f>
        <v/>
      </c>
    </row>
    <row r="2038" ht="15" customHeight="1" s="78">
      <c r="A2038" s="95">
        <f>IF($H2038="","",ROW()-6)</f>
        <v/>
      </c>
      <c r="B2038" s="114" t="n"/>
      <c r="C2038" s="102" t="n"/>
      <c r="D2038" s="114" t="n"/>
      <c r="E2038" s="103" t="n"/>
      <c r="F2038" s="102" t="n"/>
      <c r="G2038" s="102" t="n"/>
      <c r="H2038" s="115" t="n"/>
      <c r="I2038" s="102" t="n"/>
      <c r="J2038" s="102" t="n"/>
      <c r="K2038" s="103" t="n"/>
      <c r="L2038" s="116">
        <f>IF($H2038="","",TRIM(IF(COUNTIF(DMTK!$A$7:$A$250,$F2038)=0,"TK Nợ sai! ","")&amp;IF(COUNTIF(DMTK!$A$7:$A$250,$G2038)=0,"TK Có sai! ","")&amp;IF(N($H2038)&lt;=0,"Tiền phải &gt; 0! ","")&amp;IF($B2038="","Thiếu ngày! ","")&amp;IF(AND(OR(LEFT($F2038,3)="131",LEFT($G2038,3)="131",LEFT($F2038,3)="331",LEFT($G2038,3)="331"),$I2038=""),"Thiếu Mã ĐT! ","")&amp;IF(AND($I2038&lt;&gt;"",COUNTIF(DM_DT!$A$7:$A$306,$I2038)=0),"Mã ĐT chưa khai báo! ","")))</f>
        <v/>
      </c>
      <c r="M2038" s="117">
        <f>IF($H2038="","",IF(AND(OR(LEFT($F2038,3)="111",LEFT($F2038,3)="112",LEFT($F2038,3)="113"),OR(LEFT($G2038,3)="111",LEFT($G2038,3)="112",LEFT($G2038,3)="113")),"NB",IF(OR(LEFT($F2038,3)="111",LEFT($F2038,3)="112",LEFT($F2038,3)="113"),"THU",IF(OR(LEFT($G2038,3)="111",LEFT($G2038,3)="112",LEFT($G2038,3)="113"),"CHI",""))))</f>
        <v/>
      </c>
      <c r="N2038" s="117">
        <f>IF($M2038="THU",$G2038,IF($M2038="CHI",$F2038,""))</f>
        <v/>
      </c>
      <c r="O2038" s="117">
        <f>IF(OR($M2038="",$M2038="NB"),"",IF($J2038&lt;&gt;"",TEXT($J2038,"00"),IFERROR(VLOOKUP(LEFT($N2038,4),LCTT_MAP!$A$7:$C$66,IF($M2038="THU",2,3),FALSE()),IFERROR(VLOOKUP(LEFT($N2038,3),LCTT_MAP!$A$7:$C$66,IF($M2038="THU",2,3),FALSE()),IFERROR(VLOOKUP(LEFT($N2038,2),LCTT_MAP!$A$7:$C$66,IF($M2038="THU",2,3),FALSE()),IFERROR(VLOOKUP(LEFT($N2038,1),LCTT_MAP!$A$7:$C$66,IF($M2038="THU",2,3),FALSE()),IF($M2038="THU","06","07")))))))</f>
        <v/>
      </c>
      <c r="P2038" s="117">
        <f>P2037+IF(AND($H2038&lt;&gt;"",OR(LEFT($F2038,LEN(SC_TK))=SC_TK,LEFT($G2038,LEN(SC_TK))=SC_TK)),1,0)</f>
        <v/>
      </c>
    </row>
    <row r="2039" ht="15" customHeight="1" s="78">
      <c r="A2039" s="95">
        <f>IF($H2039="","",ROW()-6)</f>
        <v/>
      </c>
      <c r="B2039" s="114" t="n"/>
      <c r="C2039" s="102" t="n"/>
      <c r="D2039" s="114" t="n"/>
      <c r="E2039" s="103" t="n"/>
      <c r="F2039" s="102" t="n"/>
      <c r="G2039" s="102" t="n"/>
      <c r="H2039" s="115" t="n"/>
      <c r="I2039" s="102" t="n"/>
      <c r="J2039" s="102" t="n"/>
      <c r="K2039" s="103" t="n"/>
      <c r="L2039" s="116">
        <f>IF($H2039="","",TRIM(IF(COUNTIF(DMTK!$A$7:$A$250,$F2039)=0,"TK Nợ sai! ","")&amp;IF(COUNTIF(DMTK!$A$7:$A$250,$G2039)=0,"TK Có sai! ","")&amp;IF(N($H2039)&lt;=0,"Tiền phải &gt; 0! ","")&amp;IF($B2039="","Thiếu ngày! ","")&amp;IF(AND(OR(LEFT($F2039,3)="131",LEFT($G2039,3)="131",LEFT($F2039,3)="331",LEFT($G2039,3)="331"),$I2039=""),"Thiếu Mã ĐT! ","")&amp;IF(AND($I2039&lt;&gt;"",COUNTIF(DM_DT!$A$7:$A$306,$I2039)=0),"Mã ĐT chưa khai báo! ","")))</f>
        <v/>
      </c>
      <c r="M2039" s="117">
        <f>IF($H2039="","",IF(AND(OR(LEFT($F2039,3)="111",LEFT($F2039,3)="112",LEFT($F2039,3)="113"),OR(LEFT($G2039,3)="111",LEFT($G2039,3)="112",LEFT($G2039,3)="113")),"NB",IF(OR(LEFT($F2039,3)="111",LEFT($F2039,3)="112",LEFT($F2039,3)="113"),"THU",IF(OR(LEFT($G2039,3)="111",LEFT($G2039,3)="112",LEFT($G2039,3)="113"),"CHI",""))))</f>
        <v/>
      </c>
      <c r="N2039" s="117">
        <f>IF($M2039="THU",$G2039,IF($M2039="CHI",$F2039,""))</f>
        <v/>
      </c>
      <c r="O2039" s="117">
        <f>IF(OR($M2039="",$M2039="NB"),"",IF($J2039&lt;&gt;"",TEXT($J2039,"00"),IFERROR(VLOOKUP(LEFT($N2039,4),LCTT_MAP!$A$7:$C$66,IF($M2039="THU",2,3),FALSE()),IFERROR(VLOOKUP(LEFT($N2039,3),LCTT_MAP!$A$7:$C$66,IF($M2039="THU",2,3),FALSE()),IFERROR(VLOOKUP(LEFT($N2039,2),LCTT_MAP!$A$7:$C$66,IF($M2039="THU",2,3),FALSE()),IFERROR(VLOOKUP(LEFT($N2039,1),LCTT_MAP!$A$7:$C$66,IF($M2039="THU",2,3),FALSE()),IF($M2039="THU","06","07")))))))</f>
        <v/>
      </c>
      <c r="P2039" s="117">
        <f>P2038+IF(AND($H2039&lt;&gt;"",OR(LEFT($F2039,LEN(SC_TK))=SC_TK,LEFT($G2039,LEN(SC_TK))=SC_TK)),1,0)</f>
        <v/>
      </c>
    </row>
    <row r="2040" ht="15" customHeight="1" s="78">
      <c r="A2040" s="95">
        <f>IF($H2040="","",ROW()-6)</f>
        <v/>
      </c>
      <c r="B2040" s="114" t="n"/>
      <c r="C2040" s="102" t="n"/>
      <c r="D2040" s="114" t="n"/>
      <c r="E2040" s="103" t="n"/>
      <c r="F2040" s="102" t="n"/>
      <c r="G2040" s="102" t="n"/>
      <c r="H2040" s="115" t="n"/>
      <c r="I2040" s="102" t="n"/>
      <c r="J2040" s="102" t="n"/>
      <c r="K2040" s="103" t="n"/>
      <c r="L2040" s="116">
        <f>IF($H2040="","",TRIM(IF(COUNTIF(DMTK!$A$7:$A$250,$F2040)=0,"TK Nợ sai! ","")&amp;IF(COUNTIF(DMTK!$A$7:$A$250,$G2040)=0,"TK Có sai! ","")&amp;IF(N($H2040)&lt;=0,"Tiền phải &gt; 0! ","")&amp;IF($B2040="","Thiếu ngày! ","")&amp;IF(AND(OR(LEFT($F2040,3)="131",LEFT($G2040,3)="131",LEFT($F2040,3)="331",LEFT($G2040,3)="331"),$I2040=""),"Thiếu Mã ĐT! ","")&amp;IF(AND($I2040&lt;&gt;"",COUNTIF(DM_DT!$A$7:$A$306,$I2040)=0),"Mã ĐT chưa khai báo! ","")))</f>
        <v/>
      </c>
      <c r="M2040" s="117">
        <f>IF($H2040="","",IF(AND(OR(LEFT($F2040,3)="111",LEFT($F2040,3)="112",LEFT($F2040,3)="113"),OR(LEFT($G2040,3)="111",LEFT($G2040,3)="112",LEFT($G2040,3)="113")),"NB",IF(OR(LEFT($F2040,3)="111",LEFT($F2040,3)="112",LEFT($F2040,3)="113"),"THU",IF(OR(LEFT($G2040,3)="111",LEFT($G2040,3)="112",LEFT($G2040,3)="113"),"CHI",""))))</f>
        <v/>
      </c>
      <c r="N2040" s="117">
        <f>IF($M2040="THU",$G2040,IF($M2040="CHI",$F2040,""))</f>
        <v/>
      </c>
      <c r="O2040" s="117">
        <f>IF(OR($M2040="",$M2040="NB"),"",IF($J2040&lt;&gt;"",TEXT($J2040,"00"),IFERROR(VLOOKUP(LEFT($N2040,4),LCTT_MAP!$A$7:$C$66,IF($M2040="THU",2,3),FALSE()),IFERROR(VLOOKUP(LEFT($N2040,3),LCTT_MAP!$A$7:$C$66,IF($M2040="THU",2,3),FALSE()),IFERROR(VLOOKUP(LEFT($N2040,2),LCTT_MAP!$A$7:$C$66,IF($M2040="THU",2,3),FALSE()),IFERROR(VLOOKUP(LEFT($N2040,1),LCTT_MAP!$A$7:$C$66,IF($M2040="THU",2,3),FALSE()),IF($M2040="THU","06","07")))))))</f>
        <v/>
      </c>
      <c r="P2040" s="117">
        <f>P2039+IF(AND($H2040&lt;&gt;"",OR(LEFT($F2040,LEN(SC_TK))=SC_TK,LEFT($G2040,LEN(SC_TK))=SC_TK)),1,0)</f>
        <v/>
      </c>
    </row>
    <row r="2041" ht="15" customHeight="1" s="78">
      <c r="A2041" s="95">
        <f>IF($H2041="","",ROW()-6)</f>
        <v/>
      </c>
      <c r="B2041" s="114" t="n"/>
      <c r="C2041" s="102" t="n"/>
      <c r="D2041" s="114" t="n"/>
      <c r="E2041" s="103" t="n"/>
      <c r="F2041" s="102" t="n"/>
      <c r="G2041" s="102" t="n"/>
      <c r="H2041" s="115" t="n"/>
      <c r="I2041" s="102" t="n"/>
      <c r="J2041" s="102" t="n"/>
      <c r="K2041" s="103" t="n"/>
      <c r="L2041" s="116">
        <f>IF($H2041="","",TRIM(IF(COUNTIF(DMTK!$A$7:$A$250,$F2041)=0,"TK Nợ sai! ","")&amp;IF(COUNTIF(DMTK!$A$7:$A$250,$G2041)=0,"TK Có sai! ","")&amp;IF(N($H2041)&lt;=0,"Tiền phải &gt; 0! ","")&amp;IF($B2041="","Thiếu ngày! ","")&amp;IF(AND(OR(LEFT($F2041,3)="131",LEFT($G2041,3)="131",LEFT($F2041,3)="331",LEFT($G2041,3)="331"),$I2041=""),"Thiếu Mã ĐT! ","")&amp;IF(AND($I2041&lt;&gt;"",COUNTIF(DM_DT!$A$7:$A$306,$I2041)=0),"Mã ĐT chưa khai báo! ","")))</f>
        <v/>
      </c>
      <c r="M2041" s="117">
        <f>IF($H2041="","",IF(AND(OR(LEFT($F2041,3)="111",LEFT($F2041,3)="112",LEFT($F2041,3)="113"),OR(LEFT($G2041,3)="111",LEFT($G2041,3)="112",LEFT($G2041,3)="113")),"NB",IF(OR(LEFT($F2041,3)="111",LEFT($F2041,3)="112",LEFT($F2041,3)="113"),"THU",IF(OR(LEFT($G2041,3)="111",LEFT($G2041,3)="112",LEFT($G2041,3)="113"),"CHI",""))))</f>
        <v/>
      </c>
      <c r="N2041" s="117">
        <f>IF($M2041="THU",$G2041,IF($M2041="CHI",$F2041,""))</f>
        <v/>
      </c>
      <c r="O2041" s="117">
        <f>IF(OR($M2041="",$M2041="NB"),"",IF($J2041&lt;&gt;"",TEXT($J2041,"00"),IFERROR(VLOOKUP(LEFT($N2041,4),LCTT_MAP!$A$7:$C$66,IF($M2041="THU",2,3),FALSE()),IFERROR(VLOOKUP(LEFT($N2041,3),LCTT_MAP!$A$7:$C$66,IF($M2041="THU",2,3),FALSE()),IFERROR(VLOOKUP(LEFT($N2041,2),LCTT_MAP!$A$7:$C$66,IF($M2041="THU",2,3),FALSE()),IFERROR(VLOOKUP(LEFT($N2041,1),LCTT_MAP!$A$7:$C$66,IF($M2041="THU",2,3),FALSE()),IF($M2041="THU","06","07")))))))</f>
        <v/>
      </c>
      <c r="P2041" s="117">
        <f>P2040+IF(AND($H2041&lt;&gt;"",OR(LEFT($F2041,LEN(SC_TK))=SC_TK,LEFT($G2041,LEN(SC_TK))=SC_TK)),1,0)</f>
        <v/>
      </c>
    </row>
    <row r="2042" ht="15" customHeight="1" s="78">
      <c r="A2042" s="95">
        <f>IF($H2042="","",ROW()-6)</f>
        <v/>
      </c>
      <c r="B2042" s="114" t="n"/>
      <c r="C2042" s="102" t="n"/>
      <c r="D2042" s="114" t="n"/>
      <c r="E2042" s="103" t="n"/>
      <c r="F2042" s="102" t="n"/>
      <c r="G2042" s="102" t="n"/>
      <c r="H2042" s="115" t="n"/>
      <c r="I2042" s="102" t="n"/>
      <c r="J2042" s="102" t="n"/>
      <c r="K2042" s="103" t="n"/>
      <c r="L2042" s="116">
        <f>IF($H2042="","",TRIM(IF(COUNTIF(DMTK!$A$7:$A$250,$F2042)=0,"TK Nợ sai! ","")&amp;IF(COUNTIF(DMTK!$A$7:$A$250,$G2042)=0,"TK Có sai! ","")&amp;IF(N($H2042)&lt;=0,"Tiền phải &gt; 0! ","")&amp;IF($B2042="","Thiếu ngày! ","")&amp;IF(AND(OR(LEFT($F2042,3)="131",LEFT($G2042,3)="131",LEFT($F2042,3)="331",LEFT($G2042,3)="331"),$I2042=""),"Thiếu Mã ĐT! ","")&amp;IF(AND($I2042&lt;&gt;"",COUNTIF(DM_DT!$A$7:$A$306,$I2042)=0),"Mã ĐT chưa khai báo! ","")))</f>
        <v/>
      </c>
      <c r="M2042" s="117">
        <f>IF($H2042="","",IF(AND(OR(LEFT($F2042,3)="111",LEFT($F2042,3)="112",LEFT($F2042,3)="113"),OR(LEFT($G2042,3)="111",LEFT($G2042,3)="112",LEFT($G2042,3)="113")),"NB",IF(OR(LEFT($F2042,3)="111",LEFT($F2042,3)="112",LEFT($F2042,3)="113"),"THU",IF(OR(LEFT($G2042,3)="111",LEFT($G2042,3)="112",LEFT($G2042,3)="113"),"CHI",""))))</f>
        <v/>
      </c>
      <c r="N2042" s="117">
        <f>IF($M2042="THU",$G2042,IF($M2042="CHI",$F2042,""))</f>
        <v/>
      </c>
      <c r="O2042" s="117">
        <f>IF(OR($M2042="",$M2042="NB"),"",IF($J2042&lt;&gt;"",TEXT($J2042,"00"),IFERROR(VLOOKUP(LEFT($N2042,4),LCTT_MAP!$A$7:$C$66,IF($M2042="THU",2,3),FALSE()),IFERROR(VLOOKUP(LEFT($N2042,3),LCTT_MAP!$A$7:$C$66,IF($M2042="THU",2,3),FALSE()),IFERROR(VLOOKUP(LEFT($N2042,2),LCTT_MAP!$A$7:$C$66,IF($M2042="THU",2,3),FALSE()),IFERROR(VLOOKUP(LEFT($N2042,1),LCTT_MAP!$A$7:$C$66,IF($M2042="THU",2,3),FALSE()),IF($M2042="THU","06","07")))))))</f>
        <v/>
      </c>
      <c r="P2042" s="117">
        <f>P2041+IF(AND($H2042&lt;&gt;"",OR(LEFT($F2042,LEN(SC_TK))=SC_TK,LEFT($G2042,LEN(SC_TK))=SC_TK)),1,0)</f>
        <v/>
      </c>
    </row>
    <row r="2043" ht="15" customHeight="1" s="78">
      <c r="A2043" s="95">
        <f>IF($H2043="","",ROW()-6)</f>
        <v/>
      </c>
      <c r="B2043" s="114" t="n"/>
      <c r="C2043" s="102" t="n"/>
      <c r="D2043" s="114" t="n"/>
      <c r="E2043" s="103" t="n"/>
      <c r="F2043" s="102" t="n"/>
      <c r="G2043" s="102" t="n"/>
      <c r="H2043" s="115" t="n"/>
      <c r="I2043" s="102" t="n"/>
      <c r="J2043" s="102" t="n"/>
      <c r="K2043" s="103" t="n"/>
      <c r="L2043" s="116">
        <f>IF($H2043="","",TRIM(IF(COUNTIF(DMTK!$A$7:$A$250,$F2043)=0,"TK Nợ sai! ","")&amp;IF(COUNTIF(DMTK!$A$7:$A$250,$G2043)=0,"TK Có sai! ","")&amp;IF(N($H2043)&lt;=0,"Tiền phải &gt; 0! ","")&amp;IF($B2043="","Thiếu ngày! ","")&amp;IF(AND(OR(LEFT($F2043,3)="131",LEFT($G2043,3)="131",LEFT($F2043,3)="331",LEFT($G2043,3)="331"),$I2043=""),"Thiếu Mã ĐT! ","")&amp;IF(AND($I2043&lt;&gt;"",COUNTIF(DM_DT!$A$7:$A$306,$I2043)=0),"Mã ĐT chưa khai báo! ","")))</f>
        <v/>
      </c>
      <c r="M2043" s="117">
        <f>IF($H2043="","",IF(AND(OR(LEFT($F2043,3)="111",LEFT($F2043,3)="112",LEFT($F2043,3)="113"),OR(LEFT($G2043,3)="111",LEFT($G2043,3)="112",LEFT($G2043,3)="113")),"NB",IF(OR(LEFT($F2043,3)="111",LEFT($F2043,3)="112",LEFT($F2043,3)="113"),"THU",IF(OR(LEFT($G2043,3)="111",LEFT($G2043,3)="112",LEFT($G2043,3)="113"),"CHI",""))))</f>
        <v/>
      </c>
      <c r="N2043" s="117">
        <f>IF($M2043="THU",$G2043,IF($M2043="CHI",$F2043,""))</f>
        <v/>
      </c>
      <c r="O2043" s="117">
        <f>IF(OR($M2043="",$M2043="NB"),"",IF($J2043&lt;&gt;"",TEXT($J2043,"00"),IFERROR(VLOOKUP(LEFT($N2043,4),LCTT_MAP!$A$7:$C$66,IF($M2043="THU",2,3),FALSE()),IFERROR(VLOOKUP(LEFT($N2043,3),LCTT_MAP!$A$7:$C$66,IF($M2043="THU",2,3),FALSE()),IFERROR(VLOOKUP(LEFT($N2043,2),LCTT_MAP!$A$7:$C$66,IF($M2043="THU",2,3),FALSE()),IFERROR(VLOOKUP(LEFT($N2043,1),LCTT_MAP!$A$7:$C$66,IF($M2043="THU",2,3),FALSE()),IF($M2043="THU","06","07")))))))</f>
        <v/>
      </c>
      <c r="P2043" s="117">
        <f>P2042+IF(AND($H2043&lt;&gt;"",OR(LEFT($F2043,LEN(SC_TK))=SC_TK,LEFT($G2043,LEN(SC_TK))=SC_TK)),1,0)</f>
        <v/>
      </c>
    </row>
    <row r="2044" ht="15" customHeight="1" s="78">
      <c r="A2044" s="95">
        <f>IF($H2044="","",ROW()-6)</f>
        <v/>
      </c>
      <c r="B2044" s="114" t="n"/>
      <c r="C2044" s="102" t="n"/>
      <c r="D2044" s="114" t="n"/>
      <c r="E2044" s="103" t="n"/>
      <c r="F2044" s="102" t="n"/>
      <c r="G2044" s="102" t="n"/>
      <c r="H2044" s="115" t="n"/>
      <c r="I2044" s="102" t="n"/>
      <c r="J2044" s="102" t="n"/>
      <c r="K2044" s="103" t="n"/>
      <c r="L2044" s="116">
        <f>IF($H2044="","",TRIM(IF(COUNTIF(DMTK!$A$7:$A$250,$F2044)=0,"TK Nợ sai! ","")&amp;IF(COUNTIF(DMTK!$A$7:$A$250,$G2044)=0,"TK Có sai! ","")&amp;IF(N($H2044)&lt;=0,"Tiền phải &gt; 0! ","")&amp;IF($B2044="","Thiếu ngày! ","")&amp;IF(AND(OR(LEFT($F2044,3)="131",LEFT($G2044,3)="131",LEFT($F2044,3)="331",LEFT($G2044,3)="331"),$I2044=""),"Thiếu Mã ĐT! ","")&amp;IF(AND($I2044&lt;&gt;"",COUNTIF(DM_DT!$A$7:$A$306,$I2044)=0),"Mã ĐT chưa khai báo! ","")))</f>
        <v/>
      </c>
      <c r="M2044" s="117">
        <f>IF($H2044="","",IF(AND(OR(LEFT($F2044,3)="111",LEFT($F2044,3)="112",LEFT($F2044,3)="113"),OR(LEFT($G2044,3)="111",LEFT($G2044,3)="112",LEFT($G2044,3)="113")),"NB",IF(OR(LEFT($F2044,3)="111",LEFT($F2044,3)="112",LEFT($F2044,3)="113"),"THU",IF(OR(LEFT($G2044,3)="111",LEFT($G2044,3)="112",LEFT($G2044,3)="113"),"CHI",""))))</f>
        <v/>
      </c>
      <c r="N2044" s="117">
        <f>IF($M2044="THU",$G2044,IF($M2044="CHI",$F2044,""))</f>
        <v/>
      </c>
      <c r="O2044" s="117">
        <f>IF(OR($M2044="",$M2044="NB"),"",IF($J2044&lt;&gt;"",TEXT($J2044,"00"),IFERROR(VLOOKUP(LEFT($N2044,4),LCTT_MAP!$A$7:$C$66,IF($M2044="THU",2,3),FALSE()),IFERROR(VLOOKUP(LEFT($N2044,3),LCTT_MAP!$A$7:$C$66,IF($M2044="THU",2,3),FALSE()),IFERROR(VLOOKUP(LEFT($N2044,2),LCTT_MAP!$A$7:$C$66,IF($M2044="THU",2,3),FALSE()),IFERROR(VLOOKUP(LEFT($N2044,1),LCTT_MAP!$A$7:$C$66,IF($M2044="THU",2,3),FALSE()),IF($M2044="THU","06","07")))))))</f>
        <v/>
      </c>
      <c r="P2044" s="117">
        <f>P2043+IF(AND($H2044&lt;&gt;"",OR(LEFT($F2044,LEN(SC_TK))=SC_TK,LEFT($G2044,LEN(SC_TK))=SC_TK)),1,0)</f>
        <v/>
      </c>
    </row>
    <row r="2045" ht="15" customHeight="1" s="78">
      <c r="A2045" s="95">
        <f>IF($H2045="","",ROW()-6)</f>
        <v/>
      </c>
      <c r="B2045" s="114" t="n"/>
      <c r="C2045" s="102" t="n"/>
      <c r="D2045" s="114" t="n"/>
      <c r="E2045" s="103" t="n"/>
      <c r="F2045" s="102" t="n"/>
      <c r="G2045" s="102" t="n"/>
      <c r="H2045" s="115" t="n"/>
      <c r="I2045" s="102" t="n"/>
      <c r="J2045" s="102" t="n"/>
      <c r="K2045" s="103" t="n"/>
      <c r="L2045" s="116">
        <f>IF($H2045="","",TRIM(IF(COUNTIF(DMTK!$A$7:$A$250,$F2045)=0,"TK Nợ sai! ","")&amp;IF(COUNTIF(DMTK!$A$7:$A$250,$G2045)=0,"TK Có sai! ","")&amp;IF(N($H2045)&lt;=0,"Tiền phải &gt; 0! ","")&amp;IF($B2045="","Thiếu ngày! ","")&amp;IF(AND(OR(LEFT($F2045,3)="131",LEFT($G2045,3)="131",LEFT($F2045,3)="331",LEFT($G2045,3)="331"),$I2045=""),"Thiếu Mã ĐT! ","")&amp;IF(AND($I2045&lt;&gt;"",COUNTIF(DM_DT!$A$7:$A$306,$I2045)=0),"Mã ĐT chưa khai báo! ","")))</f>
        <v/>
      </c>
      <c r="M2045" s="117">
        <f>IF($H2045="","",IF(AND(OR(LEFT($F2045,3)="111",LEFT($F2045,3)="112",LEFT($F2045,3)="113"),OR(LEFT($G2045,3)="111",LEFT($G2045,3)="112",LEFT($G2045,3)="113")),"NB",IF(OR(LEFT($F2045,3)="111",LEFT($F2045,3)="112",LEFT($F2045,3)="113"),"THU",IF(OR(LEFT($G2045,3)="111",LEFT($G2045,3)="112",LEFT($G2045,3)="113"),"CHI",""))))</f>
        <v/>
      </c>
      <c r="N2045" s="117">
        <f>IF($M2045="THU",$G2045,IF($M2045="CHI",$F2045,""))</f>
        <v/>
      </c>
      <c r="O2045" s="117">
        <f>IF(OR($M2045="",$M2045="NB"),"",IF($J2045&lt;&gt;"",TEXT($J2045,"00"),IFERROR(VLOOKUP(LEFT($N2045,4),LCTT_MAP!$A$7:$C$66,IF($M2045="THU",2,3),FALSE()),IFERROR(VLOOKUP(LEFT($N2045,3),LCTT_MAP!$A$7:$C$66,IF($M2045="THU",2,3),FALSE()),IFERROR(VLOOKUP(LEFT($N2045,2),LCTT_MAP!$A$7:$C$66,IF($M2045="THU",2,3),FALSE()),IFERROR(VLOOKUP(LEFT($N2045,1),LCTT_MAP!$A$7:$C$66,IF($M2045="THU",2,3),FALSE()),IF($M2045="THU","06","07")))))))</f>
        <v/>
      </c>
      <c r="P2045" s="117">
        <f>P2044+IF(AND($H2045&lt;&gt;"",OR(LEFT($F2045,LEN(SC_TK))=SC_TK,LEFT($G2045,LEN(SC_TK))=SC_TK)),1,0)</f>
        <v/>
      </c>
    </row>
    <row r="2046" ht="15" customHeight="1" s="78">
      <c r="A2046" s="95">
        <f>IF($H2046="","",ROW()-6)</f>
        <v/>
      </c>
      <c r="B2046" s="114" t="n"/>
      <c r="C2046" s="102" t="n"/>
      <c r="D2046" s="114" t="n"/>
      <c r="E2046" s="103" t="n"/>
      <c r="F2046" s="102" t="n"/>
      <c r="G2046" s="102" t="n"/>
      <c r="H2046" s="115" t="n"/>
      <c r="I2046" s="102" t="n"/>
      <c r="J2046" s="102" t="n"/>
      <c r="K2046" s="103" t="n"/>
      <c r="L2046" s="116">
        <f>IF($H2046="","",TRIM(IF(COUNTIF(DMTK!$A$7:$A$250,$F2046)=0,"TK Nợ sai! ","")&amp;IF(COUNTIF(DMTK!$A$7:$A$250,$G2046)=0,"TK Có sai! ","")&amp;IF(N($H2046)&lt;=0,"Tiền phải &gt; 0! ","")&amp;IF($B2046="","Thiếu ngày! ","")&amp;IF(AND(OR(LEFT($F2046,3)="131",LEFT($G2046,3)="131",LEFT($F2046,3)="331",LEFT($G2046,3)="331"),$I2046=""),"Thiếu Mã ĐT! ","")&amp;IF(AND($I2046&lt;&gt;"",COUNTIF(DM_DT!$A$7:$A$306,$I2046)=0),"Mã ĐT chưa khai báo! ","")))</f>
        <v/>
      </c>
      <c r="M2046" s="117">
        <f>IF($H2046="","",IF(AND(OR(LEFT($F2046,3)="111",LEFT($F2046,3)="112",LEFT($F2046,3)="113"),OR(LEFT($G2046,3)="111",LEFT($G2046,3)="112",LEFT($G2046,3)="113")),"NB",IF(OR(LEFT($F2046,3)="111",LEFT($F2046,3)="112",LEFT($F2046,3)="113"),"THU",IF(OR(LEFT($G2046,3)="111",LEFT($G2046,3)="112",LEFT($G2046,3)="113"),"CHI",""))))</f>
        <v/>
      </c>
      <c r="N2046" s="117">
        <f>IF($M2046="THU",$G2046,IF($M2046="CHI",$F2046,""))</f>
        <v/>
      </c>
      <c r="O2046" s="117">
        <f>IF(OR($M2046="",$M2046="NB"),"",IF($J2046&lt;&gt;"",TEXT($J2046,"00"),IFERROR(VLOOKUP(LEFT($N2046,4),LCTT_MAP!$A$7:$C$66,IF($M2046="THU",2,3),FALSE()),IFERROR(VLOOKUP(LEFT($N2046,3),LCTT_MAP!$A$7:$C$66,IF($M2046="THU",2,3),FALSE()),IFERROR(VLOOKUP(LEFT($N2046,2),LCTT_MAP!$A$7:$C$66,IF($M2046="THU",2,3),FALSE()),IFERROR(VLOOKUP(LEFT($N2046,1),LCTT_MAP!$A$7:$C$66,IF($M2046="THU",2,3),FALSE()),IF($M2046="THU","06","07")))))))</f>
        <v/>
      </c>
      <c r="P2046" s="117">
        <f>P2045+IF(AND($H2046&lt;&gt;"",OR(LEFT($F2046,LEN(SC_TK))=SC_TK,LEFT($G2046,LEN(SC_TK))=SC_TK)),1,0)</f>
        <v/>
      </c>
    </row>
    <row r="2047" ht="15" customHeight="1" s="78">
      <c r="A2047" s="95">
        <f>IF($H2047="","",ROW()-6)</f>
        <v/>
      </c>
      <c r="B2047" s="114" t="n"/>
      <c r="C2047" s="102" t="n"/>
      <c r="D2047" s="114" t="n"/>
      <c r="E2047" s="103" t="n"/>
      <c r="F2047" s="102" t="n"/>
      <c r="G2047" s="102" t="n"/>
      <c r="H2047" s="115" t="n"/>
      <c r="I2047" s="102" t="n"/>
      <c r="J2047" s="102" t="n"/>
      <c r="K2047" s="103" t="n"/>
      <c r="L2047" s="116">
        <f>IF($H2047="","",TRIM(IF(COUNTIF(DMTK!$A$7:$A$250,$F2047)=0,"TK Nợ sai! ","")&amp;IF(COUNTIF(DMTK!$A$7:$A$250,$G2047)=0,"TK Có sai! ","")&amp;IF(N($H2047)&lt;=0,"Tiền phải &gt; 0! ","")&amp;IF($B2047="","Thiếu ngày! ","")&amp;IF(AND(OR(LEFT($F2047,3)="131",LEFT($G2047,3)="131",LEFT($F2047,3)="331",LEFT($G2047,3)="331"),$I2047=""),"Thiếu Mã ĐT! ","")&amp;IF(AND($I2047&lt;&gt;"",COUNTIF(DM_DT!$A$7:$A$306,$I2047)=0),"Mã ĐT chưa khai báo! ","")))</f>
        <v/>
      </c>
      <c r="M2047" s="117">
        <f>IF($H2047="","",IF(AND(OR(LEFT($F2047,3)="111",LEFT($F2047,3)="112",LEFT($F2047,3)="113"),OR(LEFT($G2047,3)="111",LEFT($G2047,3)="112",LEFT($G2047,3)="113")),"NB",IF(OR(LEFT($F2047,3)="111",LEFT($F2047,3)="112",LEFT($F2047,3)="113"),"THU",IF(OR(LEFT($G2047,3)="111",LEFT($G2047,3)="112",LEFT($G2047,3)="113"),"CHI",""))))</f>
        <v/>
      </c>
      <c r="N2047" s="117">
        <f>IF($M2047="THU",$G2047,IF($M2047="CHI",$F2047,""))</f>
        <v/>
      </c>
      <c r="O2047" s="117">
        <f>IF(OR($M2047="",$M2047="NB"),"",IF($J2047&lt;&gt;"",TEXT($J2047,"00"),IFERROR(VLOOKUP(LEFT($N2047,4),LCTT_MAP!$A$7:$C$66,IF($M2047="THU",2,3),FALSE()),IFERROR(VLOOKUP(LEFT($N2047,3),LCTT_MAP!$A$7:$C$66,IF($M2047="THU",2,3),FALSE()),IFERROR(VLOOKUP(LEFT($N2047,2),LCTT_MAP!$A$7:$C$66,IF($M2047="THU",2,3),FALSE()),IFERROR(VLOOKUP(LEFT($N2047,1),LCTT_MAP!$A$7:$C$66,IF($M2047="THU",2,3),FALSE()),IF($M2047="THU","06","07")))))))</f>
        <v/>
      </c>
      <c r="P2047" s="117">
        <f>P2046+IF(AND($H2047&lt;&gt;"",OR(LEFT($F2047,LEN(SC_TK))=SC_TK,LEFT($G2047,LEN(SC_TK))=SC_TK)),1,0)</f>
        <v/>
      </c>
    </row>
    <row r="2048" ht="15" customHeight="1" s="78">
      <c r="A2048" s="95">
        <f>IF($H2048="","",ROW()-6)</f>
        <v/>
      </c>
      <c r="B2048" s="114" t="n"/>
      <c r="C2048" s="102" t="n"/>
      <c r="D2048" s="114" t="n"/>
      <c r="E2048" s="103" t="n"/>
      <c r="F2048" s="102" t="n"/>
      <c r="G2048" s="102" t="n"/>
      <c r="H2048" s="115" t="n"/>
      <c r="I2048" s="102" t="n"/>
      <c r="J2048" s="102" t="n"/>
      <c r="K2048" s="103" t="n"/>
      <c r="L2048" s="116">
        <f>IF($H2048="","",TRIM(IF(COUNTIF(DMTK!$A$7:$A$250,$F2048)=0,"TK Nợ sai! ","")&amp;IF(COUNTIF(DMTK!$A$7:$A$250,$G2048)=0,"TK Có sai! ","")&amp;IF(N($H2048)&lt;=0,"Tiền phải &gt; 0! ","")&amp;IF($B2048="","Thiếu ngày! ","")&amp;IF(AND(OR(LEFT($F2048,3)="131",LEFT($G2048,3)="131",LEFT($F2048,3)="331",LEFT($G2048,3)="331"),$I2048=""),"Thiếu Mã ĐT! ","")&amp;IF(AND($I2048&lt;&gt;"",COUNTIF(DM_DT!$A$7:$A$306,$I2048)=0),"Mã ĐT chưa khai báo! ","")))</f>
        <v/>
      </c>
      <c r="M2048" s="117">
        <f>IF($H2048="","",IF(AND(OR(LEFT($F2048,3)="111",LEFT($F2048,3)="112",LEFT($F2048,3)="113"),OR(LEFT($G2048,3)="111",LEFT($G2048,3)="112",LEFT($G2048,3)="113")),"NB",IF(OR(LEFT($F2048,3)="111",LEFT($F2048,3)="112",LEFT($F2048,3)="113"),"THU",IF(OR(LEFT($G2048,3)="111",LEFT($G2048,3)="112",LEFT($G2048,3)="113"),"CHI",""))))</f>
        <v/>
      </c>
      <c r="N2048" s="117">
        <f>IF($M2048="THU",$G2048,IF($M2048="CHI",$F2048,""))</f>
        <v/>
      </c>
      <c r="O2048" s="117">
        <f>IF(OR($M2048="",$M2048="NB"),"",IF($J2048&lt;&gt;"",TEXT($J2048,"00"),IFERROR(VLOOKUP(LEFT($N2048,4),LCTT_MAP!$A$7:$C$66,IF($M2048="THU",2,3),FALSE()),IFERROR(VLOOKUP(LEFT($N2048,3),LCTT_MAP!$A$7:$C$66,IF($M2048="THU",2,3),FALSE()),IFERROR(VLOOKUP(LEFT($N2048,2),LCTT_MAP!$A$7:$C$66,IF($M2048="THU",2,3),FALSE()),IFERROR(VLOOKUP(LEFT($N2048,1),LCTT_MAP!$A$7:$C$66,IF($M2048="THU",2,3),FALSE()),IF($M2048="THU","06","07")))))))</f>
        <v/>
      </c>
      <c r="P2048" s="117">
        <f>P2047+IF(AND($H2048&lt;&gt;"",OR(LEFT($F2048,LEN(SC_TK))=SC_TK,LEFT($G2048,LEN(SC_TK))=SC_TK)),1,0)</f>
        <v/>
      </c>
    </row>
    <row r="2049" ht="15" customHeight="1" s="78">
      <c r="A2049" s="95">
        <f>IF($H2049="","",ROW()-6)</f>
        <v/>
      </c>
      <c r="B2049" s="114" t="n"/>
      <c r="C2049" s="102" t="n"/>
      <c r="D2049" s="114" t="n"/>
      <c r="E2049" s="103" t="n"/>
      <c r="F2049" s="102" t="n"/>
      <c r="G2049" s="102" t="n"/>
      <c r="H2049" s="115" t="n"/>
      <c r="I2049" s="102" t="n"/>
      <c r="J2049" s="102" t="n"/>
      <c r="K2049" s="103" t="n"/>
      <c r="L2049" s="116">
        <f>IF($H2049="","",TRIM(IF(COUNTIF(DMTK!$A$7:$A$250,$F2049)=0,"TK Nợ sai! ","")&amp;IF(COUNTIF(DMTK!$A$7:$A$250,$G2049)=0,"TK Có sai! ","")&amp;IF(N($H2049)&lt;=0,"Tiền phải &gt; 0! ","")&amp;IF($B2049="","Thiếu ngày! ","")&amp;IF(AND(OR(LEFT($F2049,3)="131",LEFT($G2049,3)="131",LEFT($F2049,3)="331",LEFT($G2049,3)="331"),$I2049=""),"Thiếu Mã ĐT! ","")&amp;IF(AND($I2049&lt;&gt;"",COUNTIF(DM_DT!$A$7:$A$306,$I2049)=0),"Mã ĐT chưa khai báo! ","")))</f>
        <v/>
      </c>
      <c r="M2049" s="117">
        <f>IF($H2049="","",IF(AND(OR(LEFT($F2049,3)="111",LEFT($F2049,3)="112",LEFT($F2049,3)="113"),OR(LEFT($G2049,3)="111",LEFT($G2049,3)="112",LEFT($G2049,3)="113")),"NB",IF(OR(LEFT($F2049,3)="111",LEFT($F2049,3)="112",LEFT($F2049,3)="113"),"THU",IF(OR(LEFT($G2049,3)="111",LEFT($G2049,3)="112",LEFT($G2049,3)="113"),"CHI",""))))</f>
        <v/>
      </c>
      <c r="N2049" s="117">
        <f>IF($M2049="THU",$G2049,IF($M2049="CHI",$F2049,""))</f>
        <v/>
      </c>
      <c r="O2049" s="117">
        <f>IF(OR($M2049="",$M2049="NB"),"",IF($J2049&lt;&gt;"",TEXT($J2049,"00"),IFERROR(VLOOKUP(LEFT($N2049,4),LCTT_MAP!$A$7:$C$66,IF($M2049="THU",2,3),FALSE()),IFERROR(VLOOKUP(LEFT($N2049,3),LCTT_MAP!$A$7:$C$66,IF($M2049="THU",2,3),FALSE()),IFERROR(VLOOKUP(LEFT($N2049,2),LCTT_MAP!$A$7:$C$66,IF($M2049="THU",2,3),FALSE()),IFERROR(VLOOKUP(LEFT($N2049,1),LCTT_MAP!$A$7:$C$66,IF($M2049="THU",2,3),FALSE()),IF($M2049="THU","06","07")))))))</f>
        <v/>
      </c>
      <c r="P2049" s="117">
        <f>P2048+IF(AND($H2049&lt;&gt;"",OR(LEFT($F2049,LEN(SC_TK))=SC_TK,LEFT($G2049,LEN(SC_TK))=SC_TK)),1,0)</f>
        <v/>
      </c>
    </row>
    <row r="2050" ht="15" customHeight="1" s="78">
      <c r="A2050" s="95">
        <f>IF($H2050="","",ROW()-6)</f>
        <v/>
      </c>
      <c r="B2050" s="114" t="n"/>
      <c r="C2050" s="102" t="n"/>
      <c r="D2050" s="114" t="n"/>
      <c r="E2050" s="103" t="n"/>
      <c r="F2050" s="102" t="n"/>
      <c r="G2050" s="102" t="n"/>
      <c r="H2050" s="115" t="n"/>
      <c r="I2050" s="102" t="n"/>
      <c r="J2050" s="102" t="n"/>
      <c r="K2050" s="103" t="n"/>
      <c r="L2050" s="116">
        <f>IF($H2050="","",TRIM(IF(COUNTIF(DMTK!$A$7:$A$250,$F2050)=0,"TK Nợ sai! ","")&amp;IF(COUNTIF(DMTK!$A$7:$A$250,$G2050)=0,"TK Có sai! ","")&amp;IF(N($H2050)&lt;=0,"Tiền phải &gt; 0! ","")&amp;IF($B2050="","Thiếu ngày! ","")&amp;IF(AND(OR(LEFT($F2050,3)="131",LEFT($G2050,3)="131",LEFT($F2050,3)="331",LEFT($G2050,3)="331"),$I2050=""),"Thiếu Mã ĐT! ","")&amp;IF(AND($I2050&lt;&gt;"",COUNTIF(DM_DT!$A$7:$A$306,$I2050)=0),"Mã ĐT chưa khai báo! ","")))</f>
        <v/>
      </c>
      <c r="M2050" s="117">
        <f>IF($H2050="","",IF(AND(OR(LEFT($F2050,3)="111",LEFT($F2050,3)="112",LEFT($F2050,3)="113"),OR(LEFT($G2050,3)="111",LEFT($G2050,3)="112",LEFT($G2050,3)="113")),"NB",IF(OR(LEFT($F2050,3)="111",LEFT($F2050,3)="112",LEFT($F2050,3)="113"),"THU",IF(OR(LEFT($G2050,3)="111",LEFT($G2050,3)="112",LEFT($G2050,3)="113"),"CHI",""))))</f>
        <v/>
      </c>
      <c r="N2050" s="117">
        <f>IF($M2050="THU",$G2050,IF($M2050="CHI",$F2050,""))</f>
        <v/>
      </c>
      <c r="O2050" s="117">
        <f>IF(OR($M2050="",$M2050="NB"),"",IF($J2050&lt;&gt;"",TEXT($J2050,"00"),IFERROR(VLOOKUP(LEFT($N2050,4),LCTT_MAP!$A$7:$C$66,IF($M2050="THU",2,3),FALSE()),IFERROR(VLOOKUP(LEFT($N2050,3),LCTT_MAP!$A$7:$C$66,IF($M2050="THU",2,3),FALSE()),IFERROR(VLOOKUP(LEFT($N2050,2),LCTT_MAP!$A$7:$C$66,IF($M2050="THU",2,3),FALSE()),IFERROR(VLOOKUP(LEFT($N2050,1),LCTT_MAP!$A$7:$C$66,IF($M2050="THU",2,3),FALSE()),IF($M2050="THU","06","07")))))))</f>
        <v/>
      </c>
      <c r="P2050" s="117">
        <f>P2049+IF(AND($H2050&lt;&gt;"",OR(LEFT($F2050,LEN(SC_TK))=SC_TK,LEFT($G2050,LEN(SC_TK))=SC_TK)),1,0)</f>
        <v/>
      </c>
    </row>
    <row r="2051" ht="15" customHeight="1" s="78">
      <c r="A2051" s="95">
        <f>IF($H2051="","",ROW()-6)</f>
        <v/>
      </c>
      <c r="B2051" s="114" t="n"/>
      <c r="C2051" s="102" t="n"/>
      <c r="D2051" s="114" t="n"/>
      <c r="E2051" s="103" t="n"/>
      <c r="F2051" s="102" t="n"/>
      <c r="G2051" s="102" t="n"/>
      <c r="H2051" s="115" t="n"/>
      <c r="I2051" s="102" t="n"/>
      <c r="J2051" s="102" t="n"/>
      <c r="K2051" s="103" t="n"/>
      <c r="L2051" s="116">
        <f>IF($H2051="","",TRIM(IF(COUNTIF(DMTK!$A$7:$A$250,$F2051)=0,"TK Nợ sai! ","")&amp;IF(COUNTIF(DMTK!$A$7:$A$250,$G2051)=0,"TK Có sai! ","")&amp;IF(N($H2051)&lt;=0,"Tiền phải &gt; 0! ","")&amp;IF($B2051="","Thiếu ngày! ","")&amp;IF(AND(OR(LEFT($F2051,3)="131",LEFT($G2051,3)="131",LEFT($F2051,3)="331",LEFT($G2051,3)="331"),$I2051=""),"Thiếu Mã ĐT! ","")&amp;IF(AND($I2051&lt;&gt;"",COUNTIF(DM_DT!$A$7:$A$306,$I2051)=0),"Mã ĐT chưa khai báo! ","")))</f>
        <v/>
      </c>
      <c r="M2051" s="117">
        <f>IF($H2051="","",IF(AND(OR(LEFT($F2051,3)="111",LEFT($F2051,3)="112",LEFT($F2051,3)="113"),OR(LEFT($G2051,3)="111",LEFT($G2051,3)="112",LEFT($G2051,3)="113")),"NB",IF(OR(LEFT($F2051,3)="111",LEFT($F2051,3)="112",LEFT($F2051,3)="113"),"THU",IF(OR(LEFT($G2051,3)="111",LEFT($G2051,3)="112",LEFT($G2051,3)="113"),"CHI",""))))</f>
        <v/>
      </c>
      <c r="N2051" s="117">
        <f>IF($M2051="THU",$G2051,IF($M2051="CHI",$F2051,""))</f>
        <v/>
      </c>
      <c r="O2051" s="117">
        <f>IF(OR($M2051="",$M2051="NB"),"",IF($J2051&lt;&gt;"",TEXT($J2051,"00"),IFERROR(VLOOKUP(LEFT($N2051,4),LCTT_MAP!$A$7:$C$66,IF($M2051="THU",2,3),FALSE()),IFERROR(VLOOKUP(LEFT($N2051,3),LCTT_MAP!$A$7:$C$66,IF($M2051="THU",2,3),FALSE()),IFERROR(VLOOKUP(LEFT($N2051,2),LCTT_MAP!$A$7:$C$66,IF($M2051="THU",2,3),FALSE()),IFERROR(VLOOKUP(LEFT($N2051,1),LCTT_MAP!$A$7:$C$66,IF($M2051="THU",2,3),FALSE()),IF($M2051="THU","06","07")))))))</f>
        <v/>
      </c>
      <c r="P2051" s="117">
        <f>P2050+IF(AND($H2051&lt;&gt;"",OR(LEFT($F2051,LEN(SC_TK))=SC_TK,LEFT($G2051,LEN(SC_TK))=SC_TK)),1,0)</f>
        <v/>
      </c>
    </row>
    <row r="2052" ht="15" customHeight="1" s="78">
      <c r="A2052" s="95">
        <f>IF($H2052="","",ROW()-6)</f>
        <v/>
      </c>
      <c r="B2052" s="114" t="n"/>
      <c r="C2052" s="102" t="n"/>
      <c r="D2052" s="114" t="n"/>
      <c r="E2052" s="103" t="n"/>
      <c r="F2052" s="102" t="n"/>
      <c r="G2052" s="102" t="n"/>
      <c r="H2052" s="115" t="n"/>
      <c r="I2052" s="102" t="n"/>
      <c r="J2052" s="102" t="n"/>
      <c r="K2052" s="103" t="n"/>
      <c r="L2052" s="116">
        <f>IF($H2052="","",TRIM(IF(COUNTIF(DMTK!$A$7:$A$250,$F2052)=0,"TK Nợ sai! ","")&amp;IF(COUNTIF(DMTK!$A$7:$A$250,$G2052)=0,"TK Có sai! ","")&amp;IF(N($H2052)&lt;=0,"Tiền phải &gt; 0! ","")&amp;IF($B2052="","Thiếu ngày! ","")&amp;IF(AND(OR(LEFT($F2052,3)="131",LEFT($G2052,3)="131",LEFT($F2052,3)="331",LEFT($G2052,3)="331"),$I2052=""),"Thiếu Mã ĐT! ","")&amp;IF(AND($I2052&lt;&gt;"",COUNTIF(DM_DT!$A$7:$A$306,$I2052)=0),"Mã ĐT chưa khai báo! ","")))</f>
        <v/>
      </c>
      <c r="M2052" s="117">
        <f>IF($H2052="","",IF(AND(OR(LEFT($F2052,3)="111",LEFT($F2052,3)="112",LEFT($F2052,3)="113"),OR(LEFT($G2052,3)="111",LEFT($G2052,3)="112",LEFT($G2052,3)="113")),"NB",IF(OR(LEFT($F2052,3)="111",LEFT($F2052,3)="112",LEFT($F2052,3)="113"),"THU",IF(OR(LEFT($G2052,3)="111",LEFT($G2052,3)="112",LEFT($G2052,3)="113"),"CHI",""))))</f>
        <v/>
      </c>
      <c r="N2052" s="117">
        <f>IF($M2052="THU",$G2052,IF($M2052="CHI",$F2052,""))</f>
        <v/>
      </c>
      <c r="O2052" s="117">
        <f>IF(OR($M2052="",$M2052="NB"),"",IF($J2052&lt;&gt;"",TEXT($J2052,"00"),IFERROR(VLOOKUP(LEFT($N2052,4),LCTT_MAP!$A$7:$C$66,IF($M2052="THU",2,3),FALSE()),IFERROR(VLOOKUP(LEFT($N2052,3),LCTT_MAP!$A$7:$C$66,IF($M2052="THU",2,3),FALSE()),IFERROR(VLOOKUP(LEFT($N2052,2),LCTT_MAP!$A$7:$C$66,IF($M2052="THU",2,3),FALSE()),IFERROR(VLOOKUP(LEFT($N2052,1),LCTT_MAP!$A$7:$C$66,IF($M2052="THU",2,3),FALSE()),IF($M2052="THU","06","07")))))))</f>
        <v/>
      </c>
      <c r="P2052" s="117">
        <f>P2051+IF(AND($H2052&lt;&gt;"",OR(LEFT($F2052,LEN(SC_TK))=SC_TK,LEFT($G2052,LEN(SC_TK))=SC_TK)),1,0)</f>
        <v/>
      </c>
    </row>
    <row r="2053" ht="15" customHeight="1" s="78">
      <c r="A2053" s="95">
        <f>IF($H2053="","",ROW()-6)</f>
        <v/>
      </c>
      <c r="B2053" s="114" t="n"/>
      <c r="C2053" s="102" t="n"/>
      <c r="D2053" s="114" t="n"/>
      <c r="E2053" s="103" t="n"/>
      <c r="F2053" s="102" t="n"/>
      <c r="G2053" s="102" t="n"/>
      <c r="H2053" s="115" t="n"/>
      <c r="I2053" s="102" t="n"/>
      <c r="J2053" s="102" t="n"/>
      <c r="K2053" s="103" t="n"/>
      <c r="L2053" s="116">
        <f>IF($H2053="","",TRIM(IF(COUNTIF(DMTK!$A$7:$A$250,$F2053)=0,"TK Nợ sai! ","")&amp;IF(COUNTIF(DMTK!$A$7:$A$250,$G2053)=0,"TK Có sai! ","")&amp;IF(N($H2053)&lt;=0,"Tiền phải &gt; 0! ","")&amp;IF($B2053="","Thiếu ngày! ","")&amp;IF(AND(OR(LEFT($F2053,3)="131",LEFT($G2053,3)="131",LEFT($F2053,3)="331",LEFT($G2053,3)="331"),$I2053=""),"Thiếu Mã ĐT! ","")&amp;IF(AND($I2053&lt;&gt;"",COUNTIF(DM_DT!$A$7:$A$306,$I2053)=0),"Mã ĐT chưa khai báo! ","")))</f>
        <v/>
      </c>
      <c r="M2053" s="117">
        <f>IF($H2053="","",IF(AND(OR(LEFT($F2053,3)="111",LEFT($F2053,3)="112",LEFT($F2053,3)="113"),OR(LEFT($G2053,3)="111",LEFT($G2053,3)="112",LEFT($G2053,3)="113")),"NB",IF(OR(LEFT($F2053,3)="111",LEFT($F2053,3)="112",LEFT($F2053,3)="113"),"THU",IF(OR(LEFT($G2053,3)="111",LEFT($G2053,3)="112",LEFT($G2053,3)="113"),"CHI",""))))</f>
        <v/>
      </c>
      <c r="N2053" s="117">
        <f>IF($M2053="THU",$G2053,IF($M2053="CHI",$F2053,""))</f>
        <v/>
      </c>
      <c r="O2053" s="117">
        <f>IF(OR($M2053="",$M2053="NB"),"",IF($J2053&lt;&gt;"",TEXT($J2053,"00"),IFERROR(VLOOKUP(LEFT($N2053,4),LCTT_MAP!$A$7:$C$66,IF($M2053="THU",2,3),FALSE()),IFERROR(VLOOKUP(LEFT($N2053,3),LCTT_MAP!$A$7:$C$66,IF($M2053="THU",2,3),FALSE()),IFERROR(VLOOKUP(LEFT($N2053,2),LCTT_MAP!$A$7:$C$66,IF($M2053="THU",2,3),FALSE()),IFERROR(VLOOKUP(LEFT($N2053,1),LCTT_MAP!$A$7:$C$66,IF($M2053="THU",2,3),FALSE()),IF($M2053="THU","06","07")))))))</f>
        <v/>
      </c>
      <c r="P2053" s="117">
        <f>P2052+IF(AND($H2053&lt;&gt;"",OR(LEFT($F2053,LEN(SC_TK))=SC_TK,LEFT($G2053,LEN(SC_TK))=SC_TK)),1,0)</f>
        <v/>
      </c>
    </row>
    <row r="2054" ht="15" customHeight="1" s="78">
      <c r="A2054" s="95">
        <f>IF($H2054="","",ROW()-6)</f>
        <v/>
      </c>
      <c r="B2054" s="114" t="n"/>
      <c r="C2054" s="102" t="n"/>
      <c r="D2054" s="114" t="n"/>
      <c r="E2054" s="103" t="n"/>
      <c r="F2054" s="102" t="n"/>
      <c r="G2054" s="102" t="n"/>
      <c r="H2054" s="115" t="n"/>
      <c r="I2054" s="102" t="n"/>
      <c r="J2054" s="102" t="n"/>
      <c r="K2054" s="103" t="n"/>
      <c r="L2054" s="116">
        <f>IF($H2054="","",TRIM(IF(COUNTIF(DMTK!$A$7:$A$250,$F2054)=0,"TK Nợ sai! ","")&amp;IF(COUNTIF(DMTK!$A$7:$A$250,$G2054)=0,"TK Có sai! ","")&amp;IF(N($H2054)&lt;=0,"Tiền phải &gt; 0! ","")&amp;IF($B2054="","Thiếu ngày! ","")&amp;IF(AND(OR(LEFT($F2054,3)="131",LEFT($G2054,3)="131",LEFT($F2054,3)="331",LEFT($G2054,3)="331"),$I2054=""),"Thiếu Mã ĐT! ","")&amp;IF(AND($I2054&lt;&gt;"",COUNTIF(DM_DT!$A$7:$A$306,$I2054)=0),"Mã ĐT chưa khai báo! ","")))</f>
        <v/>
      </c>
      <c r="M2054" s="117">
        <f>IF($H2054="","",IF(AND(OR(LEFT($F2054,3)="111",LEFT($F2054,3)="112",LEFT($F2054,3)="113"),OR(LEFT($G2054,3)="111",LEFT($G2054,3)="112",LEFT($G2054,3)="113")),"NB",IF(OR(LEFT($F2054,3)="111",LEFT($F2054,3)="112",LEFT($F2054,3)="113"),"THU",IF(OR(LEFT($G2054,3)="111",LEFT($G2054,3)="112",LEFT($G2054,3)="113"),"CHI",""))))</f>
        <v/>
      </c>
      <c r="N2054" s="117">
        <f>IF($M2054="THU",$G2054,IF($M2054="CHI",$F2054,""))</f>
        <v/>
      </c>
      <c r="O2054" s="117">
        <f>IF(OR($M2054="",$M2054="NB"),"",IF($J2054&lt;&gt;"",TEXT($J2054,"00"),IFERROR(VLOOKUP(LEFT($N2054,4),LCTT_MAP!$A$7:$C$66,IF($M2054="THU",2,3),FALSE()),IFERROR(VLOOKUP(LEFT($N2054,3),LCTT_MAP!$A$7:$C$66,IF($M2054="THU",2,3),FALSE()),IFERROR(VLOOKUP(LEFT($N2054,2),LCTT_MAP!$A$7:$C$66,IF($M2054="THU",2,3),FALSE()),IFERROR(VLOOKUP(LEFT($N2054,1),LCTT_MAP!$A$7:$C$66,IF($M2054="THU",2,3),FALSE()),IF($M2054="THU","06","07")))))))</f>
        <v/>
      </c>
      <c r="P2054" s="117">
        <f>P2053+IF(AND($H2054&lt;&gt;"",OR(LEFT($F2054,LEN(SC_TK))=SC_TK,LEFT($G2054,LEN(SC_TK))=SC_TK)),1,0)</f>
        <v/>
      </c>
    </row>
    <row r="2055" ht="15" customHeight="1" s="78">
      <c r="A2055" s="95">
        <f>IF($H2055="","",ROW()-6)</f>
        <v/>
      </c>
      <c r="B2055" s="114" t="n"/>
      <c r="C2055" s="102" t="n"/>
      <c r="D2055" s="114" t="n"/>
      <c r="E2055" s="103" t="n"/>
      <c r="F2055" s="102" t="n"/>
      <c r="G2055" s="102" t="n"/>
      <c r="H2055" s="115" t="n"/>
      <c r="I2055" s="102" t="n"/>
      <c r="J2055" s="102" t="n"/>
      <c r="K2055" s="103" t="n"/>
      <c r="L2055" s="116">
        <f>IF($H2055="","",TRIM(IF(COUNTIF(DMTK!$A$7:$A$250,$F2055)=0,"TK Nợ sai! ","")&amp;IF(COUNTIF(DMTK!$A$7:$A$250,$G2055)=0,"TK Có sai! ","")&amp;IF(N($H2055)&lt;=0,"Tiền phải &gt; 0! ","")&amp;IF($B2055="","Thiếu ngày! ","")&amp;IF(AND(OR(LEFT($F2055,3)="131",LEFT($G2055,3)="131",LEFT($F2055,3)="331",LEFT($G2055,3)="331"),$I2055=""),"Thiếu Mã ĐT! ","")&amp;IF(AND($I2055&lt;&gt;"",COUNTIF(DM_DT!$A$7:$A$306,$I2055)=0),"Mã ĐT chưa khai báo! ","")))</f>
        <v/>
      </c>
      <c r="M2055" s="117">
        <f>IF($H2055="","",IF(AND(OR(LEFT($F2055,3)="111",LEFT($F2055,3)="112",LEFT($F2055,3)="113"),OR(LEFT($G2055,3)="111",LEFT($G2055,3)="112",LEFT($G2055,3)="113")),"NB",IF(OR(LEFT($F2055,3)="111",LEFT($F2055,3)="112",LEFT($F2055,3)="113"),"THU",IF(OR(LEFT($G2055,3)="111",LEFT($G2055,3)="112",LEFT($G2055,3)="113"),"CHI",""))))</f>
        <v/>
      </c>
      <c r="N2055" s="117">
        <f>IF($M2055="THU",$G2055,IF($M2055="CHI",$F2055,""))</f>
        <v/>
      </c>
      <c r="O2055" s="117">
        <f>IF(OR($M2055="",$M2055="NB"),"",IF($J2055&lt;&gt;"",TEXT($J2055,"00"),IFERROR(VLOOKUP(LEFT($N2055,4),LCTT_MAP!$A$7:$C$66,IF($M2055="THU",2,3),FALSE()),IFERROR(VLOOKUP(LEFT($N2055,3),LCTT_MAP!$A$7:$C$66,IF($M2055="THU",2,3),FALSE()),IFERROR(VLOOKUP(LEFT($N2055,2),LCTT_MAP!$A$7:$C$66,IF($M2055="THU",2,3),FALSE()),IFERROR(VLOOKUP(LEFT($N2055,1),LCTT_MAP!$A$7:$C$66,IF($M2055="THU",2,3),FALSE()),IF($M2055="THU","06","07")))))))</f>
        <v/>
      </c>
      <c r="P2055" s="117">
        <f>P2054+IF(AND($H2055&lt;&gt;"",OR(LEFT($F2055,LEN(SC_TK))=SC_TK,LEFT($G2055,LEN(SC_TK))=SC_TK)),1,0)</f>
        <v/>
      </c>
    </row>
    <row r="2056" ht="15" customHeight="1" s="78">
      <c r="A2056" s="95">
        <f>IF($H2056="","",ROW()-6)</f>
        <v/>
      </c>
      <c r="B2056" s="114" t="n"/>
      <c r="C2056" s="102" t="n"/>
      <c r="D2056" s="114" t="n"/>
      <c r="E2056" s="103" t="n"/>
      <c r="F2056" s="102" t="n"/>
      <c r="G2056" s="102" t="n"/>
      <c r="H2056" s="115" t="n"/>
      <c r="I2056" s="102" t="n"/>
      <c r="J2056" s="102" t="n"/>
      <c r="K2056" s="103" t="n"/>
      <c r="L2056" s="116">
        <f>IF($H2056="","",TRIM(IF(COUNTIF(DMTK!$A$7:$A$250,$F2056)=0,"TK Nợ sai! ","")&amp;IF(COUNTIF(DMTK!$A$7:$A$250,$G2056)=0,"TK Có sai! ","")&amp;IF(N($H2056)&lt;=0,"Tiền phải &gt; 0! ","")&amp;IF($B2056="","Thiếu ngày! ","")&amp;IF(AND(OR(LEFT($F2056,3)="131",LEFT($G2056,3)="131",LEFT($F2056,3)="331",LEFT($G2056,3)="331"),$I2056=""),"Thiếu Mã ĐT! ","")&amp;IF(AND($I2056&lt;&gt;"",COUNTIF(DM_DT!$A$7:$A$306,$I2056)=0),"Mã ĐT chưa khai báo! ","")))</f>
        <v/>
      </c>
      <c r="M2056" s="117">
        <f>IF($H2056="","",IF(AND(OR(LEFT($F2056,3)="111",LEFT($F2056,3)="112",LEFT($F2056,3)="113"),OR(LEFT($G2056,3)="111",LEFT($G2056,3)="112",LEFT($G2056,3)="113")),"NB",IF(OR(LEFT($F2056,3)="111",LEFT($F2056,3)="112",LEFT($F2056,3)="113"),"THU",IF(OR(LEFT($G2056,3)="111",LEFT($G2056,3)="112",LEFT($G2056,3)="113"),"CHI",""))))</f>
        <v/>
      </c>
      <c r="N2056" s="117">
        <f>IF($M2056="THU",$G2056,IF($M2056="CHI",$F2056,""))</f>
        <v/>
      </c>
      <c r="O2056" s="117">
        <f>IF(OR($M2056="",$M2056="NB"),"",IF($J2056&lt;&gt;"",TEXT($J2056,"00"),IFERROR(VLOOKUP(LEFT($N2056,4),LCTT_MAP!$A$7:$C$66,IF($M2056="THU",2,3),FALSE()),IFERROR(VLOOKUP(LEFT($N2056,3),LCTT_MAP!$A$7:$C$66,IF($M2056="THU",2,3),FALSE()),IFERROR(VLOOKUP(LEFT($N2056,2),LCTT_MAP!$A$7:$C$66,IF($M2056="THU",2,3),FALSE()),IFERROR(VLOOKUP(LEFT($N2056,1),LCTT_MAP!$A$7:$C$66,IF($M2056="THU",2,3),FALSE()),IF($M2056="THU","06","07")))))))</f>
        <v/>
      </c>
      <c r="P2056" s="117">
        <f>P2055+IF(AND($H2056&lt;&gt;"",OR(LEFT($F2056,LEN(SC_TK))=SC_TK,LEFT($G2056,LEN(SC_TK))=SC_TK)),1,0)</f>
        <v/>
      </c>
    </row>
    <row r="2057" ht="15" customHeight="1" s="78">
      <c r="A2057" s="95">
        <f>IF($H2057="","",ROW()-6)</f>
        <v/>
      </c>
      <c r="B2057" s="114" t="n"/>
      <c r="C2057" s="102" t="n"/>
      <c r="D2057" s="114" t="n"/>
      <c r="E2057" s="103" t="n"/>
      <c r="F2057" s="102" t="n"/>
      <c r="G2057" s="102" t="n"/>
      <c r="H2057" s="115" t="n"/>
      <c r="I2057" s="102" t="n"/>
      <c r="J2057" s="102" t="n"/>
      <c r="K2057" s="103" t="n"/>
      <c r="L2057" s="116">
        <f>IF($H2057="","",TRIM(IF(COUNTIF(DMTK!$A$7:$A$250,$F2057)=0,"TK Nợ sai! ","")&amp;IF(COUNTIF(DMTK!$A$7:$A$250,$G2057)=0,"TK Có sai! ","")&amp;IF(N($H2057)&lt;=0,"Tiền phải &gt; 0! ","")&amp;IF($B2057="","Thiếu ngày! ","")&amp;IF(AND(OR(LEFT($F2057,3)="131",LEFT($G2057,3)="131",LEFT($F2057,3)="331",LEFT($G2057,3)="331"),$I2057=""),"Thiếu Mã ĐT! ","")&amp;IF(AND($I2057&lt;&gt;"",COUNTIF(DM_DT!$A$7:$A$306,$I2057)=0),"Mã ĐT chưa khai báo! ","")))</f>
        <v/>
      </c>
      <c r="M2057" s="117">
        <f>IF($H2057="","",IF(AND(OR(LEFT($F2057,3)="111",LEFT($F2057,3)="112",LEFT($F2057,3)="113"),OR(LEFT($G2057,3)="111",LEFT($G2057,3)="112",LEFT($G2057,3)="113")),"NB",IF(OR(LEFT($F2057,3)="111",LEFT($F2057,3)="112",LEFT($F2057,3)="113"),"THU",IF(OR(LEFT($G2057,3)="111",LEFT($G2057,3)="112",LEFT($G2057,3)="113"),"CHI",""))))</f>
        <v/>
      </c>
      <c r="N2057" s="117">
        <f>IF($M2057="THU",$G2057,IF($M2057="CHI",$F2057,""))</f>
        <v/>
      </c>
      <c r="O2057" s="117">
        <f>IF(OR($M2057="",$M2057="NB"),"",IF($J2057&lt;&gt;"",TEXT($J2057,"00"),IFERROR(VLOOKUP(LEFT($N2057,4),LCTT_MAP!$A$7:$C$66,IF($M2057="THU",2,3),FALSE()),IFERROR(VLOOKUP(LEFT($N2057,3),LCTT_MAP!$A$7:$C$66,IF($M2057="THU",2,3),FALSE()),IFERROR(VLOOKUP(LEFT($N2057,2),LCTT_MAP!$A$7:$C$66,IF($M2057="THU",2,3),FALSE()),IFERROR(VLOOKUP(LEFT($N2057,1),LCTT_MAP!$A$7:$C$66,IF($M2057="THU",2,3),FALSE()),IF($M2057="THU","06","07")))))))</f>
        <v/>
      </c>
      <c r="P2057" s="117">
        <f>P2056+IF(AND($H2057&lt;&gt;"",OR(LEFT($F2057,LEN(SC_TK))=SC_TK,LEFT($G2057,LEN(SC_TK))=SC_TK)),1,0)</f>
        <v/>
      </c>
    </row>
    <row r="2058" ht="15" customHeight="1" s="78">
      <c r="A2058" s="95">
        <f>IF($H2058="","",ROW()-6)</f>
        <v/>
      </c>
      <c r="B2058" s="114" t="n"/>
      <c r="C2058" s="102" t="n"/>
      <c r="D2058" s="114" t="n"/>
      <c r="E2058" s="103" t="n"/>
      <c r="F2058" s="102" t="n"/>
      <c r="G2058" s="102" t="n"/>
      <c r="H2058" s="115" t="n"/>
      <c r="I2058" s="102" t="n"/>
      <c r="J2058" s="102" t="n"/>
      <c r="K2058" s="103" t="n"/>
      <c r="L2058" s="116">
        <f>IF($H2058="","",TRIM(IF(COUNTIF(DMTK!$A$7:$A$250,$F2058)=0,"TK Nợ sai! ","")&amp;IF(COUNTIF(DMTK!$A$7:$A$250,$G2058)=0,"TK Có sai! ","")&amp;IF(N($H2058)&lt;=0,"Tiền phải &gt; 0! ","")&amp;IF($B2058="","Thiếu ngày! ","")&amp;IF(AND(OR(LEFT($F2058,3)="131",LEFT($G2058,3)="131",LEFT($F2058,3)="331",LEFT($G2058,3)="331"),$I2058=""),"Thiếu Mã ĐT! ","")&amp;IF(AND($I2058&lt;&gt;"",COUNTIF(DM_DT!$A$7:$A$306,$I2058)=0),"Mã ĐT chưa khai báo! ","")))</f>
        <v/>
      </c>
      <c r="M2058" s="117">
        <f>IF($H2058="","",IF(AND(OR(LEFT($F2058,3)="111",LEFT($F2058,3)="112",LEFT($F2058,3)="113"),OR(LEFT($G2058,3)="111",LEFT($G2058,3)="112",LEFT($G2058,3)="113")),"NB",IF(OR(LEFT($F2058,3)="111",LEFT($F2058,3)="112",LEFT($F2058,3)="113"),"THU",IF(OR(LEFT($G2058,3)="111",LEFT($G2058,3)="112",LEFT($G2058,3)="113"),"CHI",""))))</f>
        <v/>
      </c>
      <c r="N2058" s="117">
        <f>IF($M2058="THU",$G2058,IF($M2058="CHI",$F2058,""))</f>
        <v/>
      </c>
      <c r="O2058" s="117">
        <f>IF(OR($M2058="",$M2058="NB"),"",IF($J2058&lt;&gt;"",TEXT($J2058,"00"),IFERROR(VLOOKUP(LEFT($N2058,4),LCTT_MAP!$A$7:$C$66,IF($M2058="THU",2,3),FALSE()),IFERROR(VLOOKUP(LEFT($N2058,3),LCTT_MAP!$A$7:$C$66,IF($M2058="THU",2,3),FALSE()),IFERROR(VLOOKUP(LEFT($N2058,2),LCTT_MAP!$A$7:$C$66,IF($M2058="THU",2,3),FALSE()),IFERROR(VLOOKUP(LEFT($N2058,1),LCTT_MAP!$A$7:$C$66,IF($M2058="THU",2,3),FALSE()),IF($M2058="THU","06","07")))))))</f>
        <v/>
      </c>
      <c r="P2058" s="117">
        <f>P2057+IF(AND($H2058&lt;&gt;"",OR(LEFT($F2058,LEN(SC_TK))=SC_TK,LEFT($G2058,LEN(SC_TK))=SC_TK)),1,0)</f>
        <v/>
      </c>
    </row>
    <row r="2059" ht="15" customHeight="1" s="78">
      <c r="A2059" s="95">
        <f>IF($H2059="","",ROW()-6)</f>
        <v/>
      </c>
      <c r="B2059" s="114" t="n"/>
      <c r="C2059" s="102" t="n"/>
      <c r="D2059" s="114" t="n"/>
      <c r="E2059" s="103" t="n"/>
      <c r="F2059" s="102" t="n"/>
      <c r="G2059" s="102" t="n"/>
      <c r="H2059" s="115" t="n"/>
      <c r="I2059" s="102" t="n"/>
      <c r="J2059" s="102" t="n"/>
      <c r="K2059" s="103" t="n"/>
      <c r="L2059" s="116">
        <f>IF($H2059="","",TRIM(IF(COUNTIF(DMTK!$A$7:$A$250,$F2059)=0,"TK Nợ sai! ","")&amp;IF(COUNTIF(DMTK!$A$7:$A$250,$G2059)=0,"TK Có sai! ","")&amp;IF(N($H2059)&lt;=0,"Tiền phải &gt; 0! ","")&amp;IF($B2059="","Thiếu ngày! ","")&amp;IF(AND(OR(LEFT($F2059,3)="131",LEFT($G2059,3)="131",LEFT($F2059,3)="331",LEFT($G2059,3)="331"),$I2059=""),"Thiếu Mã ĐT! ","")&amp;IF(AND($I2059&lt;&gt;"",COUNTIF(DM_DT!$A$7:$A$306,$I2059)=0),"Mã ĐT chưa khai báo! ","")))</f>
        <v/>
      </c>
      <c r="M2059" s="117">
        <f>IF($H2059="","",IF(AND(OR(LEFT($F2059,3)="111",LEFT($F2059,3)="112",LEFT($F2059,3)="113"),OR(LEFT($G2059,3)="111",LEFT($G2059,3)="112",LEFT($G2059,3)="113")),"NB",IF(OR(LEFT($F2059,3)="111",LEFT($F2059,3)="112",LEFT($F2059,3)="113"),"THU",IF(OR(LEFT($G2059,3)="111",LEFT($G2059,3)="112",LEFT($G2059,3)="113"),"CHI",""))))</f>
        <v/>
      </c>
      <c r="N2059" s="117">
        <f>IF($M2059="THU",$G2059,IF($M2059="CHI",$F2059,""))</f>
        <v/>
      </c>
      <c r="O2059" s="117">
        <f>IF(OR($M2059="",$M2059="NB"),"",IF($J2059&lt;&gt;"",TEXT($J2059,"00"),IFERROR(VLOOKUP(LEFT($N2059,4),LCTT_MAP!$A$7:$C$66,IF($M2059="THU",2,3),FALSE()),IFERROR(VLOOKUP(LEFT($N2059,3),LCTT_MAP!$A$7:$C$66,IF($M2059="THU",2,3),FALSE()),IFERROR(VLOOKUP(LEFT($N2059,2),LCTT_MAP!$A$7:$C$66,IF($M2059="THU",2,3),FALSE()),IFERROR(VLOOKUP(LEFT($N2059,1),LCTT_MAP!$A$7:$C$66,IF($M2059="THU",2,3),FALSE()),IF($M2059="THU","06","07")))))))</f>
        <v/>
      </c>
      <c r="P2059" s="117">
        <f>P2058+IF(AND($H2059&lt;&gt;"",OR(LEFT($F2059,LEN(SC_TK))=SC_TK,LEFT($G2059,LEN(SC_TK))=SC_TK)),1,0)</f>
        <v/>
      </c>
    </row>
    <row r="2060" ht="15" customHeight="1" s="78">
      <c r="A2060" s="95">
        <f>IF($H2060="","",ROW()-6)</f>
        <v/>
      </c>
      <c r="B2060" s="114" t="n"/>
      <c r="C2060" s="102" t="n"/>
      <c r="D2060" s="114" t="n"/>
      <c r="E2060" s="103" t="n"/>
      <c r="F2060" s="102" t="n"/>
      <c r="G2060" s="102" t="n"/>
      <c r="H2060" s="115" t="n"/>
      <c r="I2060" s="102" t="n"/>
      <c r="J2060" s="102" t="n"/>
      <c r="K2060" s="103" t="n"/>
      <c r="L2060" s="116">
        <f>IF($H2060="","",TRIM(IF(COUNTIF(DMTK!$A$7:$A$250,$F2060)=0,"TK Nợ sai! ","")&amp;IF(COUNTIF(DMTK!$A$7:$A$250,$G2060)=0,"TK Có sai! ","")&amp;IF(N($H2060)&lt;=0,"Tiền phải &gt; 0! ","")&amp;IF($B2060="","Thiếu ngày! ","")&amp;IF(AND(OR(LEFT($F2060,3)="131",LEFT($G2060,3)="131",LEFT($F2060,3)="331",LEFT($G2060,3)="331"),$I2060=""),"Thiếu Mã ĐT! ","")&amp;IF(AND($I2060&lt;&gt;"",COUNTIF(DM_DT!$A$7:$A$306,$I2060)=0),"Mã ĐT chưa khai báo! ","")))</f>
        <v/>
      </c>
      <c r="M2060" s="117">
        <f>IF($H2060="","",IF(AND(OR(LEFT($F2060,3)="111",LEFT($F2060,3)="112",LEFT($F2060,3)="113"),OR(LEFT($G2060,3)="111",LEFT($G2060,3)="112",LEFT($G2060,3)="113")),"NB",IF(OR(LEFT($F2060,3)="111",LEFT($F2060,3)="112",LEFT($F2060,3)="113"),"THU",IF(OR(LEFT($G2060,3)="111",LEFT($G2060,3)="112",LEFT($G2060,3)="113"),"CHI",""))))</f>
        <v/>
      </c>
      <c r="N2060" s="117">
        <f>IF($M2060="THU",$G2060,IF($M2060="CHI",$F2060,""))</f>
        <v/>
      </c>
      <c r="O2060" s="117">
        <f>IF(OR($M2060="",$M2060="NB"),"",IF($J2060&lt;&gt;"",TEXT($J2060,"00"),IFERROR(VLOOKUP(LEFT($N2060,4),LCTT_MAP!$A$7:$C$66,IF($M2060="THU",2,3),FALSE()),IFERROR(VLOOKUP(LEFT($N2060,3),LCTT_MAP!$A$7:$C$66,IF($M2060="THU",2,3),FALSE()),IFERROR(VLOOKUP(LEFT($N2060,2),LCTT_MAP!$A$7:$C$66,IF($M2060="THU",2,3),FALSE()),IFERROR(VLOOKUP(LEFT($N2060,1),LCTT_MAP!$A$7:$C$66,IF($M2060="THU",2,3),FALSE()),IF($M2060="THU","06","07")))))))</f>
        <v/>
      </c>
      <c r="P2060" s="117">
        <f>P2059+IF(AND($H2060&lt;&gt;"",OR(LEFT($F2060,LEN(SC_TK))=SC_TK,LEFT($G2060,LEN(SC_TK))=SC_TK)),1,0)</f>
        <v/>
      </c>
    </row>
    <row r="2061" ht="15" customHeight="1" s="78">
      <c r="A2061" s="95">
        <f>IF($H2061="","",ROW()-6)</f>
        <v/>
      </c>
      <c r="B2061" s="114" t="n"/>
      <c r="C2061" s="102" t="n"/>
      <c r="D2061" s="114" t="n"/>
      <c r="E2061" s="103" t="n"/>
      <c r="F2061" s="102" t="n"/>
      <c r="G2061" s="102" t="n"/>
      <c r="H2061" s="115" t="n"/>
      <c r="I2061" s="102" t="n"/>
      <c r="J2061" s="102" t="n"/>
      <c r="K2061" s="103" t="n"/>
      <c r="L2061" s="116">
        <f>IF($H2061="","",TRIM(IF(COUNTIF(DMTK!$A$7:$A$250,$F2061)=0,"TK Nợ sai! ","")&amp;IF(COUNTIF(DMTK!$A$7:$A$250,$G2061)=0,"TK Có sai! ","")&amp;IF(N($H2061)&lt;=0,"Tiền phải &gt; 0! ","")&amp;IF($B2061="","Thiếu ngày! ","")&amp;IF(AND(OR(LEFT($F2061,3)="131",LEFT($G2061,3)="131",LEFT($F2061,3)="331",LEFT($G2061,3)="331"),$I2061=""),"Thiếu Mã ĐT! ","")&amp;IF(AND($I2061&lt;&gt;"",COUNTIF(DM_DT!$A$7:$A$306,$I2061)=0),"Mã ĐT chưa khai báo! ","")))</f>
        <v/>
      </c>
      <c r="M2061" s="117">
        <f>IF($H2061="","",IF(AND(OR(LEFT($F2061,3)="111",LEFT($F2061,3)="112",LEFT($F2061,3)="113"),OR(LEFT($G2061,3)="111",LEFT($G2061,3)="112",LEFT($G2061,3)="113")),"NB",IF(OR(LEFT($F2061,3)="111",LEFT($F2061,3)="112",LEFT($F2061,3)="113"),"THU",IF(OR(LEFT($G2061,3)="111",LEFT($G2061,3)="112",LEFT($G2061,3)="113"),"CHI",""))))</f>
        <v/>
      </c>
      <c r="N2061" s="117">
        <f>IF($M2061="THU",$G2061,IF($M2061="CHI",$F2061,""))</f>
        <v/>
      </c>
      <c r="O2061" s="117">
        <f>IF(OR($M2061="",$M2061="NB"),"",IF($J2061&lt;&gt;"",TEXT($J2061,"00"),IFERROR(VLOOKUP(LEFT($N2061,4),LCTT_MAP!$A$7:$C$66,IF($M2061="THU",2,3),FALSE()),IFERROR(VLOOKUP(LEFT($N2061,3),LCTT_MAP!$A$7:$C$66,IF($M2061="THU",2,3),FALSE()),IFERROR(VLOOKUP(LEFT($N2061,2),LCTT_MAP!$A$7:$C$66,IF($M2061="THU",2,3),FALSE()),IFERROR(VLOOKUP(LEFT($N2061,1),LCTT_MAP!$A$7:$C$66,IF($M2061="THU",2,3),FALSE()),IF($M2061="THU","06","07")))))))</f>
        <v/>
      </c>
      <c r="P2061" s="117">
        <f>P2060+IF(AND($H2061&lt;&gt;"",OR(LEFT($F2061,LEN(SC_TK))=SC_TK,LEFT($G2061,LEN(SC_TK))=SC_TK)),1,0)</f>
        <v/>
      </c>
    </row>
    <row r="2062" ht="15" customHeight="1" s="78">
      <c r="A2062" s="95">
        <f>IF($H2062="","",ROW()-6)</f>
        <v/>
      </c>
      <c r="B2062" s="114" t="n"/>
      <c r="C2062" s="102" t="n"/>
      <c r="D2062" s="114" t="n"/>
      <c r="E2062" s="103" t="n"/>
      <c r="F2062" s="102" t="n"/>
      <c r="G2062" s="102" t="n"/>
      <c r="H2062" s="115" t="n"/>
      <c r="I2062" s="102" t="n"/>
      <c r="J2062" s="102" t="n"/>
      <c r="K2062" s="103" t="n"/>
      <c r="L2062" s="116">
        <f>IF($H2062="","",TRIM(IF(COUNTIF(DMTK!$A$7:$A$250,$F2062)=0,"TK Nợ sai! ","")&amp;IF(COUNTIF(DMTK!$A$7:$A$250,$G2062)=0,"TK Có sai! ","")&amp;IF(N($H2062)&lt;=0,"Tiền phải &gt; 0! ","")&amp;IF($B2062="","Thiếu ngày! ","")&amp;IF(AND(OR(LEFT($F2062,3)="131",LEFT($G2062,3)="131",LEFT($F2062,3)="331",LEFT($G2062,3)="331"),$I2062=""),"Thiếu Mã ĐT! ","")&amp;IF(AND($I2062&lt;&gt;"",COUNTIF(DM_DT!$A$7:$A$306,$I2062)=0),"Mã ĐT chưa khai báo! ","")))</f>
        <v/>
      </c>
      <c r="M2062" s="117">
        <f>IF($H2062="","",IF(AND(OR(LEFT($F2062,3)="111",LEFT($F2062,3)="112",LEFT($F2062,3)="113"),OR(LEFT($G2062,3)="111",LEFT($G2062,3)="112",LEFT($G2062,3)="113")),"NB",IF(OR(LEFT($F2062,3)="111",LEFT($F2062,3)="112",LEFT($F2062,3)="113"),"THU",IF(OR(LEFT($G2062,3)="111",LEFT($G2062,3)="112",LEFT($G2062,3)="113"),"CHI",""))))</f>
        <v/>
      </c>
      <c r="N2062" s="117">
        <f>IF($M2062="THU",$G2062,IF($M2062="CHI",$F2062,""))</f>
        <v/>
      </c>
      <c r="O2062" s="117">
        <f>IF(OR($M2062="",$M2062="NB"),"",IF($J2062&lt;&gt;"",TEXT($J2062,"00"),IFERROR(VLOOKUP(LEFT($N2062,4),LCTT_MAP!$A$7:$C$66,IF($M2062="THU",2,3),FALSE()),IFERROR(VLOOKUP(LEFT($N2062,3),LCTT_MAP!$A$7:$C$66,IF($M2062="THU",2,3),FALSE()),IFERROR(VLOOKUP(LEFT($N2062,2),LCTT_MAP!$A$7:$C$66,IF($M2062="THU",2,3),FALSE()),IFERROR(VLOOKUP(LEFT($N2062,1),LCTT_MAP!$A$7:$C$66,IF($M2062="THU",2,3),FALSE()),IF($M2062="THU","06","07")))))))</f>
        <v/>
      </c>
      <c r="P2062" s="117">
        <f>P2061+IF(AND($H2062&lt;&gt;"",OR(LEFT($F2062,LEN(SC_TK))=SC_TK,LEFT($G2062,LEN(SC_TK))=SC_TK)),1,0)</f>
        <v/>
      </c>
    </row>
    <row r="2063" ht="15" customHeight="1" s="78">
      <c r="A2063" s="95">
        <f>IF($H2063="","",ROW()-6)</f>
        <v/>
      </c>
      <c r="B2063" s="114" t="n"/>
      <c r="C2063" s="102" t="n"/>
      <c r="D2063" s="114" t="n"/>
      <c r="E2063" s="103" t="n"/>
      <c r="F2063" s="102" t="n"/>
      <c r="G2063" s="102" t="n"/>
      <c r="H2063" s="115" t="n"/>
      <c r="I2063" s="102" t="n"/>
      <c r="J2063" s="102" t="n"/>
      <c r="K2063" s="103" t="n"/>
      <c r="L2063" s="116">
        <f>IF($H2063="","",TRIM(IF(COUNTIF(DMTK!$A$7:$A$250,$F2063)=0,"TK Nợ sai! ","")&amp;IF(COUNTIF(DMTK!$A$7:$A$250,$G2063)=0,"TK Có sai! ","")&amp;IF(N($H2063)&lt;=0,"Tiền phải &gt; 0! ","")&amp;IF($B2063="","Thiếu ngày! ","")&amp;IF(AND(OR(LEFT($F2063,3)="131",LEFT($G2063,3)="131",LEFT($F2063,3)="331",LEFT($G2063,3)="331"),$I2063=""),"Thiếu Mã ĐT! ","")&amp;IF(AND($I2063&lt;&gt;"",COUNTIF(DM_DT!$A$7:$A$306,$I2063)=0),"Mã ĐT chưa khai báo! ","")))</f>
        <v/>
      </c>
      <c r="M2063" s="117">
        <f>IF($H2063="","",IF(AND(OR(LEFT($F2063,3)="111",LEFT($F2063,3)="112",LEFT($F2063,3)="113"),OR(LEFT($G2063,3)="111",LEFT($G2063,3)="112",LEFT($G2063,3)="113")),"NB",IF(OR(LEFT($F2063,3)="111",LEFT($F2063,3)="112",LEFT($F2063,3)="113"),"THU",IF(OR(LEFT($G2063,3)="111",LEFT($G2063,3)="112",LEFT($G2063,3)="113"),"CHI",""))))</f>
        <v/>
      </c>
      <c r="N2063" s="117">
        <f>IF($M2063="THU",$G2063,IF($M2063="CHI",$F2063,""))</f>
        <v/>
      </c>
      <c r="O2063" s="117">
        <f>IF(OR($M2063="",$M2063="NB"),"",IF($J2063&lt;&gt;"",TEXT($J2063,"00"),IFERROR(VLOOKUP(LEFT($N2063,4),LCTT_MAP!$A$7:$C$66,IF($M2063="THU",2,3),FALSE()),IFERROR(VLOOKUP(LEFT($N2063,3),LCTT_MAP!$A$7:$C$66,IF($M2063="THU",2,3),FALSE()),IFERROR(VLOOKUP(LEFT($N2063,2),LCTT_MAP!$A$7:$C$66,IF($M2063="THU",2,3),FALSE()),IFERROR(VLOOKUP(LEFT($N2063,1),LCTT_MAP!$A$7:$C$66,IF($M2063="THU",2,3),FALSE()),IF($M2063="THU","06","07")))))))</f>
        <v/>
      </c>
      <c r="P2063" s="117">
        <f>P2062+IF(AND($H2063&lt;&gt;"",OR(LEFT($F2063,LEN(SC_TK))=SC_TK,LEFT($G2063,LEN(SC_TK))=SC_TK)),1,0)</f>
        <v/>
      </c>
    </row>
    <row r="2064" ht="15" customHeight="1" s="78">
      <c r="A2064" s="95">
        <f>IF($H2064="","",ROW()-6)</f>
        <v/>
      </c>
      <c r="B2064" s="114" t="n"/>
      <c r="C2064" s="102" t="n"/>
      <c r="D2064" s="114" t="n"/>
      <c r="E2064" s="103" t="n"/>
      <c r="F2064" s="102" t="n"/>
      <c r="G2064" s="102" t="n"/>
      <c r="H2064" s="115" t="n"/>
      <c r="I2064" s="102" t="n"/>
      <c r="J2064" s="102" t="n"/>
      <c r="K2064" s="103" t="n"/>
      <c r="L2064" s="116">
        <f>IF($H2064="","",TRIM(IF(COUNTIF(DMTK!$A$7:$A$250,$F2064)=0,"TK Nợ sai! ","")&amp;IF(COUNTIF(DMTK!$A$7:$A$250,$G2064)=0,"TK Có sai! ","")&amp;IF(N($H2064)&lt;=0,"Tiền phải &gt; 0! ","")&amp;IF($B2064="","Thiếu ngày! ","")&amp;IF(AND(OR(LEFT($F2064,3)="131",LEFT($G2064,3)="131",LEFT($F2064,3)="331",LEFT($G2064,3)="331"),$I2064=""),"Thiếu Mã ĐT! ","")&amp;IF(AND($I2064&lt;&gt;"",COUNTIF(DM_DT!$A$7:$A$306,$I2064)=0),"Mã ĐT chưa khai báo! ","")))</f>
        <v/>
      </c>
      <c r="M2064" s="117">
        <f>IF($H2064="","",IF(AND(OR(LEFT($F2064,3)="111",LEFT($F2064,3)="112",LEFT($F2064,3)="113"),OR(LEFT($G2064,3)="111",LEFT($G2064,3)="112",LEFT($G2064,3)="113")),"NB",IF(OR(LEFT($F2064,3)="111",LEFT($F2064,3)="112",LEFT($F2064,3)="113"),"THU",IF(OR(LEFT($G2064,3)="111",LEFT($G2064,3)="112",LEFT($G2064,3)="113"),"CHI",""))))</f>
        <v/>
      </c>
      <c r="N2064" s="117">
        <f>IF($M2064="THU",$G2064,IF($M2064="CHI",$F2064,""))</f>
        <v/>
      </c>
      <c r="O2064" s="117">
        <f>IF(OR($M2064="",$M2064="NB"),"",IF($J2064&lt;&gt;"",TEXT($J2064,"00"),IFERROR(VLOOKUP(LEFT($N2064,4),LCTT_MAP!$A$7:$C$66,IF($M2064="THU",2,3),FALSE()),IFERROR(VLOOKUP(LEFT($N2064,3),LCTT_MAP!$A$7:$C$66,IF($M2064="THU",2,3),FALSE()),IFERROR(VLOOKUP(LEFT($N2064,2),LCTT_MAP!$A$7:$C$66,IF($M2064="THU",2,3),FALSE()),IFERROR(VLOOKUP(LEFT($N2064,1),LCTT_MAP!$A$7:$C$66,IF($M2064="THU",2,3),FALSE()),IF($M2064="THU","06","07")))))))</f>
        <v/>
      </c>
      <c r="P2064" s="117">
        <f>P2063+IF(AND($H2064&lt;&gt;"",OR(LEFT($F2064,LEN(SC_TK))=SC_TK,LEFT($G2064,LEN(SC_TK))=SC_TK)),1,0)</f>
        <v/>
      </c>
    </row>
    <row r="2065" ht="15" customHeight="1" s="78">
      <c r="A2065" s="95">
        <f>IF($H2065="","",ROW()-6)</f>
        <v/>
      </c>
      <c r="B2065" s="114" t="n"/>
      <c r="C2065" s="102" t="n"/>
      <c r="D2065" s="114" t="n"/>
      <c r="E2065" s="103" t="n"/>
      <c r="F2065" s="102" t="n"/>
      <c r="G2065" s="102" t="n"/>
      <c r="H2065" s="115" t="n"/>
      <c r="I2065" s="102" t="n"/>
      <c r="J2065" s="102" t="n"/>
      <c r="K2065" s="103" t="n"/>
      <c r="L2065" s="116">
        <f>IF($H2065="","",TRIM(IF(COUNTIF(DMTK!$A$7:$A$250,$F2065)=0,"TK Nợ sai! ","")&amp;IF(COUNTIF(DMTK!$A$7:$A$250,$G2065)=0,"TK Có sai! ","")&amp;IF(N($H2065)&lt;=0,"Tiền phải &gt; 0! ","")&amp;IF($B2065="","Thiếu ngày! ","")&amp;IF(AND(OR(LEFT($F2065,3)="131",LEFT($G2065,3)="131",LEFT($F2065,3)="331",LEFT($G2065,3)="331"),$I2065=""),"Thiếu Mã ĐT! ","")&amp;IF(AND($I2065&lt;&gt;"",COUNTIF(DM_DT!$A$7:$A$306,$I2065)=0),"Mã ĐT chưa khai báo! ","")))</f>
        <v/>
      </c>
      <c r="M2065" s="117">
        <f>IF($H2065="","",IF(AND(OR(LEFT($F2065,3)="111",LEFT($F2065,3)="112",LEFT($F2065,3)="113"),OR(LEFT($G2065,3)="111",LEFT($G2065,3)="112",LEFT($G2065,3)="113")),"NB",IF(OR(LEFT($F2065,3)="111",LEFT($F2065,3)="112",LEFT($F2065,3)="113"),"THU",IF(OR(LEFT($G2065,3)="111",LEFT($G2065,3)="112",LEFT($G2065,3)="113"),"CHI",""))))</f>
        <v/>
      </c>
      <c r="N2065" s="117">
        <f>IF($M2065="THU",$G2065,IF($M2065="CHI",$F2065,""))</f>
        <v/>
      </c>
      <c r="O2065" s="117">
        <f>IF(OR($M2065="",$M2065="NB"),"",IF($J2065&lt;&gt;"",TEXT($J2065,"00"),IFERROR(VLOOKUP(LEFT($N2065,4),LCTT_MAP!$A$7:$C$66,IF($M2065="THU",2,3),FALSE()),IFERROR(VLOOKUP(LEFT($N2065,3),LCTT_MAP!$A$7:$C$66,IF($M2065="THU",2,3),FALSE()),IFERROR(VLOOKUP(LEFT($N2065,2),LCTT_MAP!$A$7:$C$66,IF($M2065="THU",2,3),FALSE()),IFERROR(VLOOKUP(LEFT($N2065,1),LCTT_MAP!$A$7:$C$66,IF($M2065="THU",2,3),FALSE()),IF($M2065="THU","06","07")))))))</f>
        <v/>
      </c>
      <c r="P2065" s="117">
        <f>P2064+IF(AND($H2065&lt;&gt;"",OR(LEFT($F2065,LEN(SC_TK))=SC_TK,LEFT($G2065,LEN(SC_TK))=SC_TK)),1,0)</f>
        <v/>
      </c>
    </row>
    <row r="2066" ht="15" customHeight="1" s="78">
      <c r="A2066" s="95">
        <f>IF($H2066="","",ROW()-6)</f>
        <v/>
      </c>
      <c r="B2066" s="114" t="n"/>
      <c r="C2066" s="102" t="n"/>
      <c r="D2066" s="114" t="n"/>
      <c r="E2066" s="103" t="n"/>
      <c r="F2066" s="102" t="n"/>
      <c r="G2066" s="102" t="n"/>
      <c r="H2066" s="115" t="n"/>
      <c r="I2066" s="102" t="n"/>
      <c r="J2066" s="102" t="n"/>
      <c r="K2066" s="103" t="n"/>
      <c r="L2066" s="116">
        <f>IF($H2066="","",TRIM(IF(COUNTIF(DMTK!$A$7:$A$250,$F2066)=0,"TK Nợ sai! ","")&amp;IF(COUNTIF(DMTK!$A$7:$A$250,$G2066)=0,"TK Có sai! ","")&amp;IF(N($H2066)&lt;=0,"Tiền phải &gt; 0! ","")&amp;IF($B2066="","Thiếu ngày! ","")&amp;IF(AND(OR(LEFT($F2066,3)="131",LEFT($G2066,3)="131",LEFT($F2066,3)="331",LEFT($G2066,3)="331"),$I2066=""),"Thiếu Mã ĐT! ","")&amp;IF(AND($I2066&lt;&gt;"",COUNTIF(DM_DT!$A$7:$A$306,$I2066)=0),"Mã ĐT chưa khai báo! ","")))</f>
        <v/>
      </c>
      <c r="M2066" s="117">
        <f>IF($H2066="","",IF(AND(OR(LEFT($F2066,3)="111",LEFT($F2066,3)="112",LEFT($F2066,3)="113"),OR(LEFT($G2066,3)="111",LEFT($G2066,3)="112",LEFT($G2066,3)="113")),"NB",IF(OR(LEFT($F2066,3)="111",LEFT($F2066,3)="112",LEFT($F2066,3)="113"),"THU",IF(OR(LEFT($G2066,3)="111",LEFT($G2066,3)="112",LEFT($G2066,3)="113"),"CHI",""))))</f>
        <v/>
      </c>
      <c r="N2066" s="117">
        <f>IF($M2066="THU",$G2066,IF($M2066="CHI",$F2066,""))</f>
        <v/>
      </c>
      <c r="O2066" s="117">
        <f>IF(OR($M2066="",$M2066="NB"),"",IF($J2066&lt;&gt;"",TEXT($J2066,"00"),IFERROR(VLOOKUP(LEFT($N2066,4),LCTT_MAP!$A$7:$C$66,IF($M2066="THU",2,3),FALSE()),IFERROR(VLOOKUP(LEFT($N2066,3),LCTT_MAP!$A$7:$C$66,IF($M2066="THU",2,3),FALSE()),IFERROR(VLOOKUP(LEFT($N2066,2),LCTT_MAP!$A$7:$C$66,IF($M2066="THU",2,3),FALSE()),IFERROR(VLOOKUP(LEFT($N2066,1),LCTT_MAP!$A$7:$C$66,IF($M2066="THU",2,3),FALSE()),IF($M2066="THU","06","07")))))))</f>
        <v/>
      </c>
      <c r="P2066" s="117">
        <f>P2065+IF(AND($H2066&lt;&gt;"",OR(LEFT($F2066,LEN(SC_TK))=SC_TK,LEFT($G2066,LEN(SC_TK))=SC_TK)),1,0)</f>
        <v/>
      </c>
    </row>
    <row r="2067" ht="15" customHeight="1" s="78">
      <c r="A2067" s="95">
        <f>IF($H2067="","",ROW()-6)</f>
        <v/>
      </c>
      <c r="B2067" s="114" t="n"/>
      <c r="C2067" s="102" t="n"/>
      <c r="D2067" s="114" t="n"/>
      <c r="E2067" s="103" t="n"/>
      <c r="F2067" s="102" t="n"/>
      <c r="G2067" s="102" t="n"/>
      <c r="H2067" s="115" t="n"/>
      <c r="I2067" s="102" t="n"/>
      <c r="J2067" s="102" t="n"/>
      <c r="K2067" s="103" t="n"/>
      <c r="L2067" s="116">
        <f>IF($H2067="","",TRIM(IF(COUNTIF(DMTK!$A$7:$A$250,$F2067)=0,"TK Nợ sai! ","")&amp;IF(COUNTIF(DMTK!$A$7:$A$250,$G2067)=0,"TK Có sai! ","")&amp;IF(N($H2067)&lt;=0,"Tiền phải &gt; 0! ","")&amp;IF($B2067="","Thiếu ngày! ","")&amp;IF(AND(OR(LEFT($F2067,3)="131",LEFT($G2067,3)="131",LEFT($F2067,3)="331",LEFT($G2067,3)="331"),$I2067=""),"Thiếu Mã ĐT! ","")&amp;IF(AND($I2067&lt;&gt;"",COUNTIF(DM_DT!$A$7:$A$306,$I2067)=0),"Mã ĐT chưa khai báo! ","")))</f>
        <v/>
      </c>
      <c r="M2067" s="117">
        <f>IF($H2067="","",IF(AND(OR(LEFT($F2067,3)="111",LEFT($F2067,3)="112",LEFT($F2067,3)="113"),OR(LEFT($G2067,3)="111",LEFT($G2067,3)="112",LEFT($G2067,3)="113")),"NB",IF(OR(LEFT($F2067,3)="111",LEFT($F2067,3)="112",LEFT($F2067,3)="113"),"THU",IF(OR(LEFT($G2067,3)="111",LEFT($G2067,3)="112",LEFT($G2067,3)="113"),"CHI",""))))</f>
        <v/>
      </c>
      <c r="N2067" s="117">
        <f>IF($M2067="THU",$G2067,IF($M2067="CHI",$F2067,""))</f>
        <v/>
      </c>
      <c r="O2067" s="117">
        <f>IF(OR($M2067="",$M2067="NB"),"",IF($J2067&lt;&gt;"",TEXT($J2067,"00"),IFERROR(VLOOKUP(LEFT($N2067,4),LCTT_MAP!$A$7:$C$66,IF($M2067="THU",2,3),FALSE()),IFERROR(VLOOKUP(LEFT($N2067,3),LCTT_MAP!$A$7:$C$66,IF($M2067="THU",2,3),FALSE()),IFERROR(VLOOKUP(LEFT($N2067,2),LCTT_MAP!$A$7:$C$66,IF($M2067="THU",2,3),FALSE()),IFERROR(VLOOKUP(LEFT($N2067,1),LCTT_MAP!$A$7:$C$66,IF($M2067="THU",2,3),FALSE()),IF($M2067="THU","06","07")))))))</f>
        <v/>
      </c>
      <c r="P2067" s="117">
        <f>P2066+IF(AND($H2067&lt;&gt;"",OR(LEFT($F2067,LEN(SC_TK))=SC_TK,LEFT($G2067,LEN(SC_TK))=SC_TK)),1,0)</f>
        <v/>
      </c>
    </row>
    <row r="2068" ht="15" customHeight="1" s="78">
      <c r="A2068" s="95">
        <f>IF($H2068="","",ROW()-6)</f>
        <v/>
      </c>
      <c r="B2068" s="114" t="n"/>
      <c r="C2068" s="102" t="n"/>
      <c r="D2068" s="114" t="n"/>
      <c r="E2068" s="103" t="n"/>
      <c r="F2068" s="102" t="n"/>
      <c r="G2068" s="102" t="n"/>
      <c r="H2068" s="115" t="n"/>
      <c r="I2068" s="102" t="n"/>
      <c r="J2068" s="102" t="n"/>
      <c r="K2068" s="103" t="n"/>
      <c r="L2068" s="116">
        <f>IF($H2068="","",TRIM(IF(COUNTIF(DMTK!$A$7:$A$250,$F2068)=0,"TK Nợ sai! ","")&amp;IF(COUNTIF(DMTK!$A$7:$A$250,$G2068)=0,"TK Có sai! ","")&amp;IF(N($H2068)&lt;=0,"Tiền phải &gt; 0! ","")&amp;IF($B2068="","Thiếu ngày! ","")&amp;IF(AND(OR(LEFT($F2068,3)="131",LEFT($G2068,3)="131",LEFT($F2068,3)="331",LEFT($G2068,3)="331"),$I2068=""),"Thiếu Mã ĐT! ","")&amp;IF(AND($I2068&lt;&gt;"",COUNTIF(DM_DT!$A$7:$A$306,$I2068)=0),"Mã ĐT chưa khai báo! ","")))</f>
        <v/>
      </c>
      <c r="M2068" s="117">
        <f>IF($H2068="","",IF(AND(OR(LEFT($F2068,3)="111",LEFT($F2068,3)="112",LEFT($F2068,3)="113"),OR(LEFT($G2068,3)="111",LEFT($G2068,3)="112",LEFT($G2068,3)="113")),"NB",IF(OR(LEFT($F2068,3)="111",LEFT($F2068,3)="112",LEFT($F2068,3)="113"),"THU",IF(OR(LEFT($G2068,3)="111",LEFT($G2068,3)="112",LEFT($G2068,3)="113"),"CHI",""))))</f>
        <v/>
      </c>
      <c r="N2068" s="117">
        <f>IF($M2068="THU",$G2068,IF($M2068="CHI",$F2068,""))</f>
        <v/>
      </c>
      <c r="O2068" s="117">
        <f>IF(OR($M2068="",$M2068="NB"),"",IF($J2068&lt;&gt;"",TEXT($J2068,"00"),IFERROR(VLOOKUP(LEFT($N2068,4),LCTT_MAP!$A$7:$C$66,IF($M2068="THU",2,3),FALSE()),IFERROR(VLOOKUP(LEFT($N2068,3),LCTT_MAP!$A$7:$C$66,IF($M2068="THU",2,3),FALSE()),IFERROR(VLOOKUP(LEFT($N2068,2),LCTT_MAP!$A$7:$C$66,IF($M2068="THU",2,3),FALSE()),IFERROR(VLOOKUP(LEFT($N2068,1),LCTT_MAP!$A$7:$C$66,IF($M2068="THU",2,3),FALSE()),IF($M2068="THU","06","07")))))))</f>
        <v/>
      </c>
      <c r="P2068" s="117">
        <f>P2067+IF(AND($H2068&lt;&gt;"",OR(LEFT($F2068,LEN(SC_TK))=SC_TK,LEFT($G2068,LEN(SC_TK))=SC_TK)),1,0)</f>
        <v/>
      </c>
    </row>
    <row r="2069" ht="15" customHeight="1" s="78">
      <c r="A2069" s="95">
        <f>IF($H2069="","",ROW()-6)</f>
        <v/>
      </c>
      <c r="B2069" s="114" t="n"/>
      <c r="C2069" s="102" t="n"/>
      <c r="D2069" s="114" t="n"/>
      <c r="E2069" s="103" t="n"/>
      <c r="F2069" s="102" t="n"/>
      <c r="G2069" s="102" t="n"/>
      <c r="H2069" s="115" t="n"/>
      <c r="I2069" s="102" t="n"/>
      <c r="J2069" s="102" t="n"/>
      <c r="K2069" s="103" t="n"/>
      <c r="L2069" s="116">
        <f>IF($H2069="","",TRIM(IF(COUNTIF(DMTK!$A$7:$A$250,$F2069)=0,"TK Nợ sai! ","")&amp;IF(COUNTIF(DMTK!$A$7:$A$250,$G2069)=0,"TK Có sai! ","")&amp;IF(N($H2069)&lt;=0,"Tiền phải &gt; 0! ","")&amp;IF($B2069="","Thiếu ngày! ","")&amp;IF(AND(OR(LEFT($F2069,3)="131",LEFT($G2069,3)="131",LEFT($F2069,3)="331",LEFT($G2069,3)="331"),$I2069=""),"Thiếu Mã ĐT! ","")&amp;IF(AND($I2069&lt;&gt;"",COUNTIF(DM_DT!$A$7:$A$306,$I2069)=0),"Mã ĐT chưa khai báo! ","")))</f>
        <v/>
      </c>
      <c r="M2069" s="117">
        <f>IF($H2069="","",IF(AND(OR(LEFT($F2069,3)="111",LEFT($F2069,3)="112",LEFT($F2069,3)="113"),OR(LEFT($G2069,3)="111",LEFT($G2069,3)="112",LEFT($G2069,3)="113")),"NB",IF(OR(LEFT($F2069,3)="111",LEFT($F2069,3)="112",LEFT($F2069,3)="113"),"THU",IF(OR(LEFT($G2069,3)="111",LEFT($G2069,3)="112",LEFT($G2069,3)="113"),"CHI",""))))</f>
        <v/>
      </c>
      <c r="N2069" s="117">
        <f>IF($M2069="THU",$G2069,IF($M2069="CHI",$F2069,""))</f>
        <v/>
      </c>
      <c r="O2069" s="117">
        <f>IF(OR($M2069="",$M2069="NB"),"",IF($J2069&lt;&gt;"",TEXT($J2069,"00"),IFERROR(VLOOKUP(LEFT($N2069,4),LCTT_MAP!$A$7:$C$66,IF($M2069="THU",2,3),FALSE()),IFERROR(VLOOKUP(LEFT($N2069,3),LCTT_MAP!$A$7:$C$66,IF($M2069="THU",2,3),FALSE()),IFERROR(VLOOKUP(LEFT($N2069,2),LCTT_MAP!$A$7:$C$66,IF($M2069="THU",2,3),FALSE()),IFERROR(VLOOKUP(LEFT($N2069,1),LCTT_MAP!$A$7:$C$66,IF($M2069="THU",2,3),FALSE()),IF($M2069="THU","06","07")))))))</f>
        <v/>
      </c>
      <c r="P2069" s="117">
        <f>P2068+IF(AND($H2069&lt;&gt;"",OR(LEFT($F2069,LEN(SC_TK))=SC_TK,LEFT($G2069,LEN(SC_TK))=SC_TK)),1,0)</f>
        <v/>
      </c>
    </row>
    <row r="2070" ht="15" customHeight="1" s="78">
      <c r="A2070" s="95">
        <f>IF($H2070="","",ROW()-6)</f>
        <v/>
      </c>
      <c r="B2070" s="114" t="n"/>
      <c r="C2070" s="102" t="n"/>
      <c r="D2070" s="114" t="n"/>
      <c r="E2070" s="103" t="n"/>
      <c r="F2070" s="102" t="n"/>
      <c r="G2070" s="102" t="n"/>
      <c r="H2070" s="115" t="n"/>
      <c r="I2070" s="102" t="n"/>
      <c r="J2070" s="102" t="n"/>
      <c r="K2070" s="103" t="n"/>
      <c r="L2070" s="116">
        <f>IF($H2070="","",TRIM(IF(COUNTIF(DMTK!$A$7:$A$250,$F2070)=0,"TK Nợ sai! ","")&amp;IF(COUNTIF(DMTK!$A$7:$A$250,$G2070)=0,"TK Có sai! ","")&amp;IF(N($H2070)&lt;=0,"Tiền phải &gt; 0! ","")&amp;IF($B2070="","Thiếu ngày! ","")&amp;IF(AND(OR(LEFT($F2070,3)="131",LEFT($G2070,3)="131",LEFT($F2070,3)="331",LEFT($G2070,3)="331"),$I2070=""),"Thiếu Mã ĐT! ","")&amp;IF(AND($I2070&lt;&gt;"",COUNTIF(DM_DT!$A$7:$A$306,$I2070)=0),"Mã ĐT chưa khai báo! ","")))</f>
        <v/>
      </c>
      <c r="M2070" s="117">
        <f>IF($H2070="","",IF(AND(OR(LEFT($F2070,3)="111",LEFT($F2070,3)="112",LEFT($F2070,3)="113"),OR(LEFT($G2070,3)="111",LEFT($G2070,3)="112",LEFT($G2070,3)="113")),"NB",IF(OR(LEFT($F2070,3)="111",LEFT($F2070,3)="112",LEFT($F2070,3)="113"),"THU",IF(OR(LEFT($G2070,3)="111",LEFT($G2070,3)="112",LEFT($G2070,3)="113"),"CHI",""))))</f>
        <v/>
      </c>
      <c r="N2070" s="117">
        <f>IF($M2070="THU",$G2070,IF($M2070="CHI",$F2070,""))</f>
        <v/>
      </c>
      <c r="O2070" s="117">
        <f>IF(OR($M2070="",$M2070="NB"),"",IF($J2070&lt;&gt;"",TEXT($J2070,"00"),IFERROR(VLOOKUP(LEFT($N2070,4),LCTT_MAP!$A$7:$C$66,IF($M2070="THU",2,3),FALSE()),IFERROR(VLOOKUP(LEFT($N2070,3),LCTT_MAP!$A$7:$C$66,IF($M2070="THU",2,3),FALSE()),IFERROR(VLOOKUP(LEFT($N2070,2),LCTT_MAP!$A$7:$C$66,IF($M2070="THU",2,3),FALSE()),IFERROR(VLOOKUP(LEFT($N2070,1),LCTT_MAP!$A$7:$C$66,IF($M2070="THU",2,3),FALSE()),IF($M2070="THU","06","07")))))))</f>
        <v/>
      </c>
      <c r="P2070" s="117">
        <f>P2069+IF(AND($H2070&lt;&gt;"",OR(LEFT($F2070,LEN(SC_TK))=SC_TK,LEFT($G2070,LEN(SC_TK))=SC_TK)),1,0)</f>
        <v/>
      </c>
    </row>
    <row r="2071" ht="15" customHeight="1" s="78">
      <c r="A2071" s="95">
        <f>IF($H2071="","",ROW()-6)</f>
        <v/>
      </c>
      <c r="B2071" s="114" t="n"/>
      <c r="C2071" s="102" t="n"/>
      <c r="D2071" s="114" t="n"/>
      <c r="E2071" s="103" t="n"/>
      <c r="F2071" s="102" t="n"/>
      <c r="G2071" s="102" t="n"/>
      <c r="H2071" s="115" t="n"/>
      <c r="I2071" s="102" t="n"/>
      <c r="J2071" s="102" t="n"/>
      <c r="K2071" s="103" t="n"/>
      <c r="L2071" s="116">
        <f>IF($H2071="","",TRIM(IF(COUNTIF(DMTK!$A$7:$A$250,$F2071)=0,"TK Nợ sai! ","")&amp;IF(COUNTIF(DMTK!$A$7:$A$250,$G2071)=0,"TK Có sai! ","")&amp;IF(N($H2071)&lt;=0,"Tiền phải &gt; 0! ","")&amp;IF($B2071="","Thiếu ngày! ","")&amp;IF(AND(OR(LEFT($F2071,3)="131",LEFT($G2071,3)="131",LEFT($F2071,3)="331",LEFT($G2071,3)="331"),$I2071=""),"Thiếu Mã ĐT! ","")&amp;IF(AND($I2071&lt;&gt;"",COUNTIF(DM_DT!$A$7:$A$306,$I2071)=0),"Mã ĐT chưa khai báo! ","")))</f>
        <v/>
      </c>
      <c r="M2071" s="117">
        <f>IF($H2071="","",IF(AND(OR(LEFT($F2071,3)="111",LEFT($F2071,3)="112",LEFT($F2071,3)="113"),OR(LEFT($G2071,3)="111",LEFT($G2071,3)="112",LEFT($G2071,3)="113")),"NB",IF(OR(LEFT($F2071,3)="111",LEFT($F2071,3)="112",LEFT($F2071,3)="113"),"THU",IF(OR(LEFT($G2071,3)="111",LEFT($G2071,3)="112",LEFT($G2071,3)="113"),"CHI",""))))</f>
        <v/>
      </c>
      <c r="N2071" s="117">
        <f>IF($M2071="THU",$G2071,IF($M2071="CHI",$F2071,""))</f>
        <v/>
      </c>
      <c r="O2071" s="117">
        <f>IF(OR($M2071="",$M2071="NB"),"",IF($J2071&lt;&gt;"",TEXT($J2071,"00"),IFERROR(VLOOKUP(LEFT($N2071,4),LCTT_MAP!$A$7:$C$66,IF($M2071="THU",2,3),FALSE()),IFERROR(VLOOKUP(LEFT($N2071,3),LCTT_MAP!$A$7:$C$66,IF($M2071="THU",2,3),FALSE()),IFERROR(VLOOKUP(LEFT($N2071,2),LCTT_MAP!$A$7:$C$66,IF($M2071="THU",2,3),FALSE()),IFERROR(VLOOKUP(LEFT($N2071,1),LCTT_MAP!$A$7:$C$66,IF($M2071="THU",2,3),FALSE()),IF($M2071="THU","06","07")))))))</f>
        <v/>
      </c>
      <c r="P2071" s="117">
        <f>P2070+IF(AND($H2071&lt;&gt;"",OR(LEFT($F2071,LEN(SC_TK))=SC_TK,LEFT($G2071,LEN(SC_TK))=SC_TK)),1,0)</f>
        <v/>
      </c>
    </row>
    <row r="2072" ht="15" customHeight="1" s="78">
      <c r="A2072" s="95">
        <f>IF($H2072="","",ROW()-6)</f>
        <v/>
      </c>
      <c r="B2072" s="114" t="n"/>
      <c r="C2072" s="102" t="n"/>
      <c r="D2072" s="114" t="n"/>
      <c r="E2072" s="103" t="n"/>
      <c r="F2072" s="102" t="n"/>
      <c r="G2072" s="102" t="n"/>
      <c r="H2072" s="115" t="n"/>
      <c r="I2072" s="102" t="n"/>
      <c r="J2072" s="102" t="n"/>
      <c r="K2072" s="103" t="n"/>
      <c r="L2072" s="116">
        <f>IF($H2072="","",TRIM(IF(COUNTIF(DMTK!$A$7:$A$250,$F2072)=0,"TK Nợ sai! ","")&amp;IF(COUNTIF(DMTK!$A$7:$A$250,$G2072)=0,"TK Có sai! ","")&amp;IF(N($H2072)&lt;=0,"Tiền phải &gt; 0! ","")&amp;IF($B2072="","Thiếu ngày! ","")&amp;IF(AND(OR(LEFT($F2072,3)="131",LEFT($G2072,3)="131",LEFT($F2072,3)="331",LEFT($G2072,3)="331"),$I2072=""),"Thiếu Mã ĐT! ","")&amp;IF(AND($I2072&lt;&gt;"",COUNTIF(DM_DT!$A$7:$A$306,$I2072)=0),"Mã ĐT chưa khai báo! ","")))</f>
        <v/>
      </c>
      <c r="M2072" s="117">
        <f>IF($H2072="","",IF(AND(OR(LEFT($F2072,3)="111",LEFT($F2072,3)="112",LEFT($F2072,3)="113"),OR(LEFT($G2072,3)="111",LEFT($G2072,3)="112",LEFT($G2072,3)="113")),"NB",IF(OR(LEFT($F2072,3)="111",LEFT($F2072,3)="112",LEFT($F2072,3)="113"),"THU",IF(OR(LEFT($G2072,3)="111",LEFT($G2072,3)="112",LEFT($G2072,3)="113"),"CHI",""))))</f>
        <v/>
      </c>
      <c r="N2072" s="117">
        <f>IF($M2072="THU",$G2072,IF($M2072="CHI",$F2072,""))</f>
        <v/>
      </c>
      <c r="O2072" s="117">
        <f>IF(OR($M2072="",$M2072="NB"),"",IF($J2072&lt;&gt;"",TEXT($J2072,"00"),IFERROR(VLOOKUP(LEFT($N2072,4),LCTT_MAP!$A$7:$C$66,IF($M2072="THU",2,3),FALSE()),IFERROR(VLOOKUP(LEFT($N2072,3),LCTT_MAP!$A$7:$C$66,IF($M2072="THU",2,3),FALSE()),IFERROR(VLOOKUP(LEFT($N2072,2),LCTT_MAP!$A$7:$C$66,IF($M2072="THU",2,3),FALSE()),IFERROR(VLOOKUP(LEFT($N2072,1),LCTT_MAP!$A$7:$C$66,IF($M2072="THU",2,3),FALSE()),IF($M2072="THU","06","07")))))))</f>
        <v/>
      </c>
      <c r="P2072" s="117">
        <f>P2071+IF(AND($H2072&lt;&gt;"",OR(LEFT($F2072,LEN(SC_TK))=SC_TK,LEFT($G2072,LEN(SC_TK))=SC_TK)),1,0)</f>
        <v/>
      </c>
    </row>
    <row r="2073" ht="15" customHeight="1" s="78">
      <c r="A2073" s="95">
        <f>IF($H2073="","",ROW()-6)</f>
        <v/>
      </c>
      <c r="B2073" s="114" t="n"/>
      <c r="C2073" s="102" t="n"/>
      <c r="D2073" s="114" t="n"/>
      <c r="E2073" s="103" t="n"/>
      <c r="F2073" s="102" t="n"/>
      <c r="G2073" s="102" t="n"/>
      <c r="H2073" s="115" t="n"/>
      <c r="I2073" s="102" t="n"/>
      <c r="J2073" s="102" t="n"/>
      <c r="K2073" s="103" t="n"/>
      <c r="L2073" s="116">
        <f>IF($H2073="","",TRIM(IF(COUNTIF(DMTK!$A$7:$A$250,$F2073)=0,"TK Nợ sai! ","")&amp;IF(COUNTIF(DMTK!$A$7:$A$250,$G2073)=0,"TK Có sai! ","")&amp;IF(N($H2073)&lt;=0,"Tiền phải &gt; 0! ","")&amp;IF($B2073="","Thiếu ngày! ","")&amp;IF(AND(OR(LEFT($F2073,3)="131",LEFT($G2073,3)="131",LEFT($F2073,3)="331",LEFT($G2073,3)="331"),$I2073=""),"Thiếu Mã ĐT! ","")&amp;IF(AND($I2073&lt;&gt;"",COUNTIF(DM_DT!$A$7:$A$306,$I2073)=0),"Mã ĐT chưa khai báo! ","")))</f>
        <v/>
      </c>
      <c r="M2073" s="117">
        <f>IF($H2073="","",IF(AND(OR(LEFT($F2073,3)="111",LEFT($F2073,3)="112",LEFT($F2073,3)="113"),OR(LEFT($G2073,3)="111",LEFT($G2073,3)="112",LEFT($G2073,3)="113")),"NB",IF(OR(LEFT($F2073,3)="111",LEFT($F2073,3)="112",LEFT($F2073,3)="113"),"THU",IF(OR(LEFT($G2073,3)="111",LEFT($G2073,3)="112",LEFT($G2073,3)="113"),"CHI",""))))</f>
        <v/>
      </c>
      <c r="N2073" s="117">
        <f>IF($M2073="THU",$G2073,IF($M2073="CHI",$F2073,""))</f>
        <v/>
      </c>
      <c r="O2073" s="117">
        <f>IF(OR($M2073="",$M2073="NB"),"",IF($J2073&lt;&gt;"",TEXT($J2073,"00"),IFERROR(VLOOKUP(LEFT($N2073,4),LCTT_MAP!$A$7:$C$66,IF($M2073="THU",2,3),FALSE()),IFERROR(VLOOKUP(LEFT($N2073,3),LCTT_MAP!$A$7:$C$66,IF($M2073="THU",2,3),FALSE()),IFERROR(VLOOKUP(LEFT($N2073,2),LCTT_MAP!$A$7:$C$66,IF($M2073="THU",2,3),FALSE()),IFERROR(VLOOKUP(LEFT($N2073,1),LCTT_MAP!$A$7:$C$66,IF($M2073="THU",2,3),FALSE()),IF($M2073="THU","06","07")))))))</f>
        <v/>
      </c>
      <c r="P2073" s="117">
        <f>P2072+IF(AND($H2073&lt;&gt;"",OR(LEFT($F2073,LEN(SC_TK))=SC_TK,LEFT($G2073,LEN(SC_TK))=SC_TK)),1,0)</f>
        <v/>
      </c>
    </row>
    <row r="2074" ht="15" customHeight="1" s="78">
      <c r="A2074" s="95">
        <f>IF($H2074="","",ROW()-6)</f>
        <v/>
      </c>
      <c r="B2074" s="114" t="n"/>
      <c r="C2074" s="102" t="n"/>
      <c r="D2074" s="114" t="n"/>
      <c r="E2074" s="103" t="n"/>
      <c r="F2074" s="102" t="n"/>
      <c r="G2074" s="102" t="n"/>
      <c r="H2074" s="115" t="n"/>
      <c r="I2074" s="102" t="n"/>
      <c r="J2074" s="102" t="n"/>
      <c r="K2074" s="103" t="n"/>
      <c r="L2074" s="116">
        <f>IF($H2074="","",TRIM(IF(COUNTIF(DMTK!$A$7:$A$250,$F2074)=0,"TK Nợ sai! ","")&amp;IF(COUNTIF(DMTK!$A$7:$A$250,$G2074)=0,"TK Có sai! ","")&amp;IF(N($H2074)&lt;=0,"Tiền phải &gt; 0! ","")&amp;IF($B2074="","Thiếu ngày! ","")&amp;IF(AND(OR(LEFT($F2074,3)="131",LEFT($G2074,3)="131",LEFT($F2074,3)="331",LEFT($G2074,3)="331"),$I2074=""),"Thiếu Mã ĐT! ","")&amp;IF(AND($I2074&lt;&gt;"",COUNTIF(DM_DT!$A$7:$A$306,$I2074)=0),"Mã ĐT chưa khai báo! ","")))</f>
        <v/>
      </c>
      <c r="M2074" s="117">
        <f>IF($H2074="","",IF(AND(OR(LEFT($F2074,3)="111",LEFT($F2074,3)="112",LEFT($F2074,3)="113"),OR(LEFT($G2074,3)="111",LEFT($G2074,3)="112",LEFT($G2074,3)="113")),"NB",IF(OR(LEFT($F2074,3)="111",LEFT($F2074,3)="112",LEFT($F2074,3)="113"),"THU",IF(OR(LEFT($G2074,3)="111",LEFT($G2074,3)="112",LEFT($G2074,3)="113"),"CHI",""))))</f>
        <v/>
      </c>
      <c r="N2074" s="117">
        <f>IF($M2074="THU",$G2074,IF($M2074="CHI",$F2074,""))</f>
        <v/>
      </c>
      <c r="O2074" s="117">
        <f>IF(OR($M2074="",$M2074="NB"),"",IF($J2074&lt;&gt;"",TEXT($J2074,"00"),IFERROR(VLOOKUP(LEFT($N2074,4),LCTT_MAP!$A$7:$C$66,IF($M2074="THU",2,3),FALSE()),IFERROR(VLOOKUP(LEFT($N2074,3),LCTT_MAP!$A$7:$C$66,IF($M2074="THU",2,3),FALSE()),IFERROR(VLOOKUP(LEFT($N2074,2),LCTT_MAP!$A$7:$C$66,IF($M2074="THU",2,3),FALSE()),IFERROR(VLOOKUP(LEFT($N2074,1),LCTT_MAP!$A$7:$C$66,IF($M2074="THU",2,3),FALSE()),IF($M2074="THU","06","07")))))))</f>
        <v/>
      </c>
      <c r="P2074" s="117">
        <f>P2073+IF(AND($H2074&lt;&gt;"",OR(LEFT($F2074,LEN(SC_TK))=SC_TK,LEFT($G2074,LEN(SC_TK))=SC_TK)),1,0)</f>
        <v/>
      </c>
    </row>
    <row r="2075" ht="15" customHeight="1" s="78">
      <c r="A2075" s="95">
        <f>IF($H2075="","",ROW()-6)</f>
        <v/>
      </c>
      <c r="B2075" s="114" t="n"/>
      <c r="C2075" s="102" t="n"/>
      <c r="D2075" s="114" t="n"/>
      <c r="E2075" s="103" t="n"/>
      <c r="F2075" s="102" t="n"/>
      <c r="G2075" s="102" t="n"/>
      <c r="H2075" s="115" t="n"/>
      <c r="I2075" s="102" t="n"/>
      <c r="J2075" s="102" t="n"/>
      <c r="K2075" s="103" t="n"/>
      <c r="L2075" s="116">
        <f>IF($H2075="","",TRIM(IF(COUNTIF(DMTK!$A$7:$A$250,$F2075)=0,"TK Nợ sai! ","")&amp;IF(COUNTIF(DMTK!$A$7:$A$250,$G2075)=0,"TK Có sai! ","")&amp;IF(N($H2075)&lt;=0,"Tiền phải &gt; 0! ","")&amp;IF($B2075="","Thiếu ngày! ","")&amp;IF(AND(OR(LEFT($F2075,3)="131",LEFT($G2075,3)="131",LEFT($F2075,3)="331",LEFT($G2075,3)="331"),$I2075=""),"Thiếu Mã ĐT! ","")&amp;IF(AND($I2075&lt;&gt;"",COUNTIF(DM_DT!$A$7:$A$306,$I2075)=0),"Mã ĐT chưa khai báo! ","")))</f>
        <v/>
      </c>
      <c r="M2075" s="117">
        <f>IF($H2075="","",IF(AND(OR(LEFT($F2075,3)="111",LEFT($F2075,3)="112",LEFT($F2075,3)="113"),OR(LEFT($G2075,3)="111",LEFT($G2075,3)="112",LEFT($G2075,3)="113")),"NB",IF(OR(LEFT($F2075,3)="111",LEFT($F2075,3)="112",LEFT($F2075,3)="113"),"THU",IF(OR(LEFT($G2075,3)="111",LEFT($G2075,3)="112",LEFT($G2075,3)="113"),"CHI",""))))</f>
        <v/>
      </c>
      <c r="N2075" s="117">
        <f>IF($M2075="THU",$G2075,IF($M2075="CHI",$F2075,""))</f>
        <v/>
      </c>
      <c r="O2075" s="117">
        <f>IF(OR($M2075="",$M2075="NB"),"",IF($J2075&lt;&gt;"",TEXT($J2075,"00"),IFERROR(VLOOKUP(LEFT($N2075,4),LCTT_MAP!$A$7:$C$66,IF($M2075="THU",2,3),FALSE()),IFERROR(VLOOKUP(LEFT($N2075,3),LCTT_MAP!$A$7:$C$66,IF($M2075="THU",2,3),FALSE()),IFERROR(VLOOKUP(LEFT($N2075,2),LCTT_MAP!$A$7:$C$66,IF($M2075="THU",2,3),FALSE()),IFERROR(VLOOKUP(LEFT($N2075,1),LCTT_MAP!$A$7:$C$66,IF($M2075="THU",2,3),FALSE()),IF($M2075="THU","06","07")))))))</f>
        <v/>
      </c>
      <c r="P2075" s="117">
        <f>P2074+IF(AND($H2075&lt;&gt;"",OR(LEFT($F2075,LEN(SC_TK))=SC_TK,LEFT($G2075,LEN(SC_TK))=SC_TK)),1,0)</f>
        <v/>
      </c>
    </row>
    <row r="2076" ht="15" customHeight="1" s="78">
      <c r="A2076" s="95">
        <f>IF($H2076="","",ROW()-6)</f>
        <v/>
      </c>
      <c r="B2076" s="114" t="n"/>
      <c r="C2076" s="102" t="n"/>
      <c r="D2076" s="114" t="n"/>
      <c r="E2076" s="103" t="n"/>
      <c r="F2076" s="102" t="n"/>
      <c r="G2076" s="102" t="n"/>
      <c r="H2076" s="115" t="n"/>
      <c r="I2076" s="102" t="n"/>
      <c r="J2076" s="102" t="n"/>
      <c r="K2076" s="103" t="n"/>
      <c r="L2076" s="116">
        <f>IF($H2076="","",TRIM(IF(COUNTIF(DMTK!$A$7:$A$250,$F2076)=0,"TK Nợ sai! ","")&amp;IF(COUNTIF(DMTK!$A$7:$A$250,$G2076)=0,"TK Có sai! ","")&amp;IF(N($H2076)&lt;=0,"Tiền phải &gt; 0! ","")&amp;IF($B2076="","Thiếu ngày! ","")&amp;IF(AND(OR(LEFT($F2076,3)="131",LEFT($G2076,3)="131",LEFT($F2076,3)="331",LEFT($G2076,3)="331"),$I2076=""),"Thiếu Mã ĐT! ","")&amp;IF(AND($I2076&lt;&gt;"",COUNTIF(DM_DT!$A$7:$A$306,$I2076)=0),"Mã ĐT chưa khai báo! ","")))</f>
        <v/>
      </c>
      <c r="M2076" s="117">
        <f>IF($H2076="","",IF(AND(OR(LEFT($F2076,3)="111",LEFT($F2076,3)="112",LEFT($F2076,3)="113"),OR(LEFT($G2076,3)="111",LEFT($G2076,3)="112",LEFT($G2076,3)="113")),"NB",IF(OR(LEFT($F2076,3)="111",LEFT($F2076,3)="112",LEFT($F2076,3)="113"),"THU",IF(OR(LEFT($G2076,3)="111",LEFT($G2076,3)="112",LEFT($G2076,3)="113"),"CHI",""))))</f>
        <v/>
      </c>
      <c r="N2076" s="117">
        <f>IF($M2076="THU",$G2076,IF($M2076="CHI",$F2076,""))</f>
        <v/>
      </c>
      <c r="O2076" s="117">
        <f>IF(OR($M2076="",$M2076="NB"),"",IF($J2076&lt;&gt;"",TEXT($J2076,"00"),IFERROR(VLOOKUP(LEFT($N2076,4),LCTT_MAP!$A$7:$C$66,IF($M2076="THU",2,3),FALSE()),IFERROR(VLOOKUP(LEFT($N2076,3),LCTT_MAP!$A$7:$C$66,IF($M2076="THU",2,3),FALSE()),IFERROR(VLOOKUP(LEFT($N2076,2),LCTT_MAP!$A$7:$C$66,IF($M2076="THU",2,3),FALSE()),IFERROR(VLOOKUP(LEFT($N2076,1),LCTT_MAP!$A$7:$C$66,IF($M2076="THU",2,3),FALSE()),IF($M2076="THU","06","07")))))))</f>
        <v/>
      </c>
      <c r="P2076" s="117">
        <f>P2075+IF(AND($H2076&lt;&gt;"",OR(LEFT($F2076,LEN(SC_TK))=SC_TK,LEFT($G2076,LEN(SC_TK))=SC_TK)),1,0)</f>
        <v/>
      </c>
    </row>
    <row r="2077" ht="15" customHeight="1" s="78">
      <c r="A2077" s="95">
        <f>IF($H2077="","",ROW()-6)</f>
        <v/>
      </c>
      <c r="B2077" s="114" t="n"/>
      <c r="C2077" s="102" t="n"/>
      <c r="D2077" s="114" t="n"/>
      <c r="E2077" s="103" t="n"/>
      <c r="F2077" s="102" t="n"/>
      <c r="G2077" s="102" t="n"/>
      <c r="H2077" s="115" t="n"/>
      <c r="I2077" s="102" t="n"/>
      <c r="J2077" s="102" t="n"/>
      <c r="K2077" s="103" t="n"/>
      <c r="L2077" s="116">
        <f>IF($H2077="","",TRIM(IF(COUNTIF(DMTK!$A$7:$A$250,$F2077)=0,"TK Nợ sai! ","")&amp;IF(COUNTIF(DMTK!$A$7:$A$250,$G2077)=0,"TK Có sai! ","")&amp;IF(N($H2077)&lt;=0,"Tiền phải &gt; 0! ","")&amp;IF($B2077="","Thiếu ngày! ","")&amp;IF(AND(OR(LEFT($F2077,3)="131",LEFT($G2077,3)="131",LEFT($F2077,3)="331",LEFT($G2077,3)="331"),$I2077=""),"Thiếu Mã ĐT! ","")&amp;IF(AND($I2077&lt;&gt;"",COUNTIF(DM_DT!$A$7:$A$306,$I2077)=0),"Mã ĐT chưa khai báo! ","")))</f>
        <v/>
      </c>
      <c r="M2077" s="117">
        <f>IF($H2077="","",IF(AND(OR(LEFT($F2077,3)="111",LEFT($F2077,3)="112",LEFT($F2077,3)="113"),OR(LEFT($G2077,3)="111",LEFT($G2077,3)="112",LEFT($G2077,3)="113")),"NB",IF(OR(LEFT($F2077,3)="111",LEFT($F2077,3)="112",LEFT($F2077,3)="113"),"THU",IF(OR(LEFT($G2077,3)="111",LEFT($G2077,3)="112",LEFT($G2077,3)="113"),"CHI",""))))</f>
        <v/>
      </c>
      <c r="N2077" s="117">
        <f>IF($M2077="THU",$G2077,IF($M2077="CHI",$F2077,""))</f>
        <v/>
      </c>
      <c r="O2077" s="117">
        <f>IF(OR($M2077="",$M2077="NB"),"",IF($J2077&lt;&gt;"",TEXT($J2077,"00"),IFERROR(VLOOKUP(LEFT($N2077,4),LCTT_MAP!$A$7:$C$66,IF($M2077="THU",2,3),FALSE()),IFERROR(VLOOKUP(LEFT($N2077,3),LCTT_MAP!$A$7:$C$66,IF($M2077="THU",2,3),FALSE()),IFERROR(VLOOKUP(LEFT($N2077,2),LCTT_MAP!$A$7:$C$66,IF($M2077="THU",2,3),FALSE()),IFERROR(VLOOKUP(LEFT($N2077,1),LCTT_MAP!$A$7:$C$66,IF($M2077="THU",2,3),FALSE()),IF($M2077="THU","06","07")))))))</f>
        <v/>
      </c>
      <c r="P2077" s="117">
        <f>P2076+IF(AND($H2077&lt;&gt;"",OR(LEFT($F2077,LEN(SC_TK))=SC_TK,LEFT($G2077,LEN(SC_TK))=SC_TK)),1,0)</f>
        <v/>
      </c>
    </row>
    <row r="2078" ht="15" customHeight="1" s="78">
      <c r="A2078" s="95">
        <f>IF($H2078="","",ROW()-6)</f>
        <v/>
      </c>
      <c r="B2078" s="114" t="n"/>
      <c r="C2078" s="102" t="n"/>
      <c r="D2078" s="114" t="n"/>
      <c r="E2078" s="103" t="n"/>
      <c r="F2078" s="102" t="n"/>
      <c r="G2078" s="102" t="n"/>
      <c r="H2078" s="115" t="n"/>
      <c r="I2078" s="102" t="n"/>
      <c r="J2078" s="102" t="n"/>
      <c r="K2078" s="103" t="n"/>
      <c r="L2078" s="116">
        <f>IF($H2078="","",TRIM(IF(COUNTIF(DMTK!$A$7:$A$250,$F2078)=0,"TK Nợ sai! ","")&amp;IF(COUNTIF(DMTK!$A$7:$A$250,$G2078)=0,"TK Có sai! ","")&amp;IF(N($H2078)&lt;=0,"Tiền phải &gt; 0! ","")&amp;IF($B2078="","Thiếu ngày! ","")&amp;IF(AND(OR(LEFT($F2078,3)="131",LEFT($G2078,3)="131",LEFT($F2078,3)="331",LEFT($G2078,3)="331"),$I2078=""),"Thiếu Mã ĐT! ","")&amp;IF(AND($I2078&lt;&gt;"",COUNTIF(DM_DT!$A$7:$A$306,$I2078)=0),"Mã ĐT chưa khai báo! ","")))</f>
        <v/>
      </c>
      <c r="M2078" s="117">
        <f>IF($H2078="","",IF(AND(OR(LEFT($F2078,3)="111",LEFT($F2078,3)="112",LEFT($F2078,3)="113"),OR(LEFT($G2078,3)="111",LEFT($G2078,3)="112",LEFT($G2078,3)="113")),"NB",IF(OR(LEFT($F2078,3)="111",LEFT($F2078,3)="112",LEFT($F2078,3)="113"),"THU",IF(OR(LEFT($G2078,3)="111",LEFT($G2078,3)="112",LEFT($G2078,3)="113"),"CHI",""))))</f>
        <v/>
      </c>
      <c r="N2078" s="117">
        <f>IF($M2078="THU",$G2078,IF($M2078="CHI",$F2078,""))</f>
        <v/>
      </c>
      <c r="O2078" s="117">
        <f>IF(OR($M2078="",$M2078="NB"),"",IF($J2078&lt;&gt;"",TEXT($J2078,"00"),IFERROR(VLOOKUP(LEFT($N2078,4),LCTT_MAP!$A$7:$C$66,IF($M2078="THU",2,3),FALSE()),IFERROR(VLOOKUP(LEFT($N2078,3),LCTT_MAP!$A$7:$C$66,IF($M2078="THU",2,3),FALSE()),IFERROR(VLOOKUP(LEFT($N2078,2),LCTT_MAP!$A$7:$C$66,IF($M2078="THU",2,3),FALSE()),IFERROR(VLOOKUP(LEFT($N2078,1),LCTT_MAP!$A$7:$C$66,IF($M2078="THU",2,3),FALSE()),IF($M2078="THU","06","07")))))))</f>
        <v/>
      </c>
      <c r="P2078" s="117">
        <f>P2077+IF(AND($H2078&lt;&gt;"",OR(LEFT($F2078,LEN(SC_TK))=SC_TK,LEFT($G2078,LEN(SC_TK))=SC_TK)),1,0)</f>
        <v/>
      </c>
    </row>
    <row r="2079" ht="15" customHeight="1" s="78">
      <c r="A2079" s="95">
        <f>IF($H2079="","",ROW()-6)</f>
        <v/>
      </c>
      <c r="B2079" s="114" t="n"/>
      <c r="C2079" s="102" t="n"/>
      <c r="D2079" s="114" t="n"/>
      <c r="E2079" s="103" t="n"/>
      <c r="F2079" s="102" t="n"/>
      <c r="G2079" s="102" t="n"/>
      <c r="H2079" s="115" t="n"/>
      <c r="I2079" s="102" t="n"/>
      <c r="J2079" s="102" t="n"/>
      <c r="K2079" s="103" t="n"/>
      <c r="L2079" s="116">
        <f>IF($H2079="","",TRIM(IF(COUNTIF(DMTK!$A$7:$A$250,$F2079)=0,"TK Nợ sai! ","")&amp;IF(COUNTIF(DMTK!$A$7:$A$250,$G2079)=0,"TK Có sai! ","")&amp;IF(N($H2079)&lt;=0,"Tiền phải &gt; 0! ","")&amp;IF($B2079="","Thiếu ngày! ","")&amp;IF(AND(OR(LEFT($F2079,3)="131",LEFT($G2079,3)="131",LEFT($F2079,3)="331",LEFT($G2079,3)="331"),$I2079=""),"Thiếu Mã ĐT! ","")&amp;IF(AND($I2079&lt;&gt;"",COUNTIF(DM_DT!$A$7:$A$306,$I2079)=0),"Mã ĐT chưa khai báo! ","")))</f>
        <v/>
      </c>
      <c r="M2079" s="117">
        <f>IF($H2079="","",IF(AND(OR(LEFT($F2079,3)="111",LEFT($F2079,3)="112",LEFT($F2079,3)="113"),OR(LEFT($G2079,3)="111",LEFT($G2079,3)="112",LEFT($G2079,3)="113")),"NB",IF(OR(LEFT($F2079,3)="111",LEFT($F2079,3)="112",LEFT($F2079,3)="113"),"THU",IF(OR(LEFT($G2079,3)="111",LEFT($G2079,3)="112",LEFT($G2079,3)="113"),"CHI",""))))</f>
        <v/>
      </c>
      <c r="N2079" s="117">
        <f>IF($M2079="THU",$G2079,IF($M2079="CHI",$F2079,""))</f>
        <v/>
      </c>
      <c r="O2079" s="117">
        <f>IF(OR($M2079="",$M2079="NB"),"",IF($J2079&lt;&gt;"",TEXT($J2079,"00"),IFERROR(VLOOKUP(LEFT($N2079,4),LCTT_MAP!$A$7:$C$66,IF($M2079="THU",2,3),FALSE()),IFERROR(VLOOKUP(LEFT($N2079,3),LCTT_MAP!$A$7:$C$66,IF($M2079="THU",2,3),FALSE()),IFERROR(VLOOKUP(LEFT($N2079,2),LCTT_MAP!$A$7:$C$66,IF($M2079="THU",2,3),FALSE()),IFERROR(VLOOKUP(LEFT($N2079,1),LCTT_MAP!$A$7:$C$66,IF($M2079="THU",2,3),FALSE()),IF($M2079="THU","06","07")))))))</f>
        <v/>
      </c>
      <c r="P2079" s="117">
        <f>P2078+IF(AND($H2079&lt;&gt;"",OR(LEFT($F2079,LEN(SC_TK))=SC_TK,LEFT($G2079,LEN(SC_TK))=SC_TK)),1,0)</f>
        <v/>
      </c>
    </row>
    <row r="2080" ht="15" customHeight="1" s="78">
      <c r="A2080" s="95">
        <f>IF($H2080="","",ROW()-6)</f>
        <v/>
      </c>
      <c r="B2080" s="114" t="n"/>
      <c r="C2080" s="102" t="n"/>
      <c r="D2080" s="114" t="n"/>
      <c r="E2080" s="103" t="n"/>
      <c r="F2080" s="102" t="n"/>
      <c r="G2080" s="102" t="n"/>
      <c r="H2080" s="115" t="n"/>
      <c r="I2080" s="102" t="n"/>
      <c r="J2080" s="102" t="n"/>
      <c r="K2080" s="103" t="n"/>
      <c r="L2080" s="116">
        <f>IF($H2080="","",TRIM(IF(COUNTIF(DMTK!$A$7:$A$250,$F2080)=0,"TK Nợ sai! ","")&amp;IF(COUNTIF(DMTK!$A$7:$A$250,$G2080)=0,"TK Có sai! ","")&amp;IF(N($H2080)&lt;=0,"Tiền phải &gt; 0! ","")&amp;IF($B2080="","Thiếu ngày! ","")&amp;IF(AND(OR(LEFT($F2080,3)="131",LEFT($G2080,3)="131",LEFT($F2080,3)="331",LEFT($G2080,3)="331"),$I2080=""),"Thiếu Mã ĐT! ","")&amp;IF(AND($I2080&lt;&gt;"",COUNTIF(DM_DT!$A$7:$A$306,$I2080)=0),"Mã ĐT chưa khai báo! ","")))</f>
        <v/>
      </c>
      <c r="M2080" s="117">
        <f>IF($H2080="","",IF(AND(OR(LEFT($F2080,3)="111",LEFT($F2080,3)="112",LEFT($F2080,3)="113"),OR(LEFT($G2080,3)="111",LEFT($G2080,3)="112",LEFT($G2080,3)="113")),"NB",IF(OR(LEFT($F2080,3)="111",LEFT($F2080,3)="112",LEFT($F2080,3)="113"),"THU",IF(OR(LEFT($G2080,3)="111",LEFT($G2080,3)="112",LEFT($G2080,3)="113"),"CHI",""))))</f>
        <v/>
      </c>
      <c r="N2080" s="117">
        <f>IF($M2080="THU",$G2080,IF($M2080="CHI",$F2080,""))</f>
        <v/>
      </c>
      <c r="O2080" s="117">
        <f>IF(OR($M2080="",$M2080="NB"),"",IF($J2080&lt;&gt;"",TEXT($J2080,"00"),IFERROR(VLOOKUP(LEFT($N2080,4),LCTT_MAP!$A$7:$C$66,IF($M2080="THU",2,3),FALSE()),IFERROR(VLOOKUP(LEFT($N2080,3),LCTT_MAP!$A$7:$C$66,IF($M2080="THU",2,3),FALSE()),IFERROR(VLOOKUP(LEFT($N2080,2),LCTT_MAP!$A$7:$C$66,IF($M2080="THU",2,3),FALSE()),IFERROR(VLOOKUP(LEFT($N2080,1),LCTT_MAP!$A$7:$C$66,IF($M2080="THU",2,3),FALSE()),IF($M2080="THU","06","07")))))))</f>
        <v/>
      </c>
      <c r="P2080" s="117">
        <f>P2079+IF(AND($H2080&lt;&gt;"",OR(LEFT($F2080,LEN(SC_TK))=SC_TK,LEFT($G2080,LEN(SC_TK))=SC_TK)),1,0)</f>
        <v/>
      </c>
    </row>
    <row r="2081" ht="15" customHeight="1" s="78">
      <c r="A2081" s="95">
        <f>IF($H2081="","",ROW()-6)</f>
        <v/>
      </c>
      <c r="B2081" s="114" t="n"/>
      <c r="C2081" s="102" t="n"/>
      <c r="D2081" s="114" t="n"/>
      <c r="E2081" s="103" t="n"/>
      <c r="F2081" s="102" t="n"/>
      <c r="G2081" s="102" t="n"/>
      <c r="H2081" s="115" t="n"/>
      <c r="I2081" s="102" t="n"/>
      <c r="J2081" s="102" t="n"/>
      <c r="K2081" s="103" t="n"/>
      <c r="L2081" s="116">
        <f>IF($H2081="","",TRIM(IF(COUNTIF(DMTK!$A$7:$A$250,$F2081)=0,"TK Nợ sai! ","")&amp;IF(COUNTIF(DMTK!$A$7:$A$250,$G2081)=0,"TK Có sai! ","")&amp;IF(N($H2081)&lt;=0,"Tiền phải &gt; 0! ","")&amp;IF($B2081="","Thiếu ngày! ","")&amp;IF(AND(OR(LEFT($F2081,3)="131",LEFT($G2081,3)="131",LEFT($F2081,3)="331",LEFT($G2081,3)="331"),$I2081=""),"Thiếu Mã ĐT! ","")&amp;IF(AND($I2081&lt;&gt;"",COUNTIF(DM_DT!$A$7:$A$306,$I2081)=0),"Mã ĐT chưa khai báo! ","")))</f>
        <v/>
      </c>
      <c r="M2081" s="117">
        <f>IF($H2081="","",IF(AND(OR(LEFT($F2081,3)="111",LEFT($F2081,3)="112",LEFT($F2081,3)="113"),OR(LEFT($G2081,3)="111",LEFT($G2081,3)="112",LEFT($G2081,3)="113")),"NB",IF(OR(LEFT($F2081,3)="111",LEFT($F2081,3)="112",LEFT($F2081,3)="113"),"THU",IF(OR(LEFT($G2081,3)="111",LEFT($G2081,3)="112",LEFT($G2081,3)="113"),"CHI",""))))</f>
        <v/>
      </c>
      <c r="N2081" s="117">
        <f>IF($M2081="THU",$G2081,IF($M2081="CHI",$F2081,""))</f>
        <v/>
      </c>
      <c r="O2081" s="117">
        <f>IF(OR($M2081="",$M2081="NB"),"",IF($J2081&lt;&gt;"",TEXT($J2081,"00"),IFERROR(VLOOKUP(LEFT($N2081,4),LCTT_MAP!$A$7:$C$66,IF($M2081="THU",2,3),FALSE()),IFERROR(VLOOKUP(LEFT($N2081,3),LCTT_MAP!$A$7:$C$66,IF($M2081="THU",2,3),FALSE()),IFERROR(VLOOKUP(LEFT($N2081,2),LCTT_MAP!$A$7:$C$66,IF($M2081="THU",2,3),FALSE()),IFERROR(VLOOKUP(LEFT($N2081,1),LCTT_MAP!$A$7:$C$66,IF($M2081="THU",2,3),FALSE()),IF($M2081="THU","06","07")))))))</f>
        <v/>
      </c>
      <c r="P2081" s="117">
        <f>P2080+IF(AND($H2081&lt;&gt;"",OR(LEFT($F2081,LEN(SC_TK))=SC_TK,LEFT($G2081,LEN(SC_TK))=SC_TK)),1,0)</f>
        <v/>
      </c>
    </row>
    <row r="2082" ht="15" customHeight="1" s="78">
      <c r="A2082" s="95">
        <f>IF($H2082="","",ROW()-6)</f>
        <v/>
      </c>
      <c r="B2082" s="114" t="n"/>
      <c r="C2082" s="102" t="n"/>
      <c r="D2082" s="114" t="n"/>
      <c r="E2082" s="103" t="n"/>
      <c r="F2082" s="102" t="n"/>
      <c r="G2082" s="102" t="n"/>
      <c r="H2082" s="115" t="n"/>
      <c r="I2082" s="102" t="n"/>
      <c r="J2082" s="102" t="n"/>
      <c r="K2082" s="103" t="n"/>
      <c r="L2082" s="116">
        <f>IF($H2082="","",TRIM(IF(COUNTIF(DMTK!$A$7:$A$250,$F2082)=0,"TK Nợ sai! ","")&amp;IF(COUNTIF(DMTK!$A$7:$A$250,$G2082)=0,"TK Có sai! ","")&amp;IF(N($H2082)&lt;=0,"Tiền phải &gt; 0! ","")&amp;IF($B2082="","Thiếu ngày! ","")&amp;IF(AND(OR(LEFT($F2082,3)="131",LEFT($G2082,3)="131",LEFT($F2082,3)="331",LEFT($G2082,3)="331"),$I2082=""),"Thiếu Mã ĐT! ","")&amp;IF(AND($I2082&lt;&gt;"",COUNTIF(DM_DT!$A$7:$A$306,$I2082)=0),"Mã ĐT chưa khai báo! ","")))</f>
        <v/>
      </c>
      <c r="M2082" s="117">
        <f>IF($H2082="","",IF(AND(OR(LEFT($F2082,3)="111",LEFT($F2082,3)="112",LEFT($F2082,3)="113"),OR(LEFT($G2082,3)="111",LEFT($G2082,3)="112",LEFT($G2082,3)="113")),"NB",IF(OR(LEFT($F2082,3)="111",LEFT($F2082,3)="112",LEFT($F2082,3)="113"),"THU",IF(OR(LEFT($G2082,3)="111",LEFT($G2082,3)="112",LEFT($G2082,3)="113"),"CHI",""))))</f>
        <v/>
      </c>
      <c r="N2082" s="117">
        <f>IF($M2082="THU",$G2082,IF($M2082="CHI",$F2082,""))</f>
        <v/>
      </c>
      <c r="O2082" s="117">
        <f>IF(OR($M2082="",$M2082="NB"),"",IF($J2082&lt;&gt;"",TEXT($J2082,"00"),IFERROR(VLOOKUP(LEFT($N2082,4),LCTT_MAP!$A$7:$C$66,IF($M2082="THU",2,3),FALSE()),IFERROR(VLOOKUP(LEFT($N2082,3),LCTT_MAP!$A$7:$C$66,IF($M2082="THU",2,3),FALSE()),IFERROR(VLOOKUP(LEFT($N2082,2),LCTT_MAP!$A$7:$C$66,IF($M2082="THU",2,3),FALSE()),IFERROR(VLOOKUP(LEFT($N2082,1),LCTT_MAP!$A$7:$C$66,IF($M2082="THU",2,3),FALSE()),IF($M2082="THU","06","07")))))))</f>
        <v/>
      </c>
      <c r="P2082" s="117">
        <f>P2081+IF(AND($H2082&lt;&gt;"",OR(LEFT($F2082,LEN(SC_TK))=SC_TK,LEFT($G2082,LEN(SC_TK))=SC_TK)),1,0)</f>
        <v/>
      </c>
    </row>
    <row r="2083" ht="15" customHeight="1" s="78">
      <c r="A2083" s="95">
        <f>IF($H2083="","",ROW()-6)</f>
        <v/>
      </c>
      <c r="B2083" s="114" t="n"/>
      <c r="C2083" s="102" t="n"/>
      <c r="D2083" s="114" t="n"/>
      <c r="E2083" s="103" t="n"/>
      <c r="F2083" s="102" t="n"/>
      <c r="G2083" s="102" t="n"/>
      <c r="H2083" s="115" t="n"/>
      <c r="I2083" s="102" t="n"/>
      <c r="J2083" s="102" t="n"/>
      <c r="K2083" s="103" t="n"/>
      <c r="L2083" s="116">
        <f>IF($H2083="","",TRIM(IF(COUNTIF(DMTK!$A$7:$A$250,$F2083)=0,"TK Nợ sai! ","")&amp;IF(COUNTIF(DMTK!$A$7:$A$250,$G2083)=0,"TK Có sai! ","")&amp;IF(N($H2083)&lt;=0,"Tiền phải &gt; 0! ","")&amp;IF($B2083="","Thiếu ngày! ","")&amp;IF(AND(OR(LEFT($F2083,3)="131",LEFT($G2083,3)="131",LEFT($F2083,3)="331",LEFT($G2083,3)="331"),$I2083=""),"Thiếu Mã ĐT! ","")&amp;IF(AND($I2083&lt;&gt;"",COUNTIF(DM_DT!$A$7:$A$306,$I2083)=0),"Mã ĐT chưa khai báo! ","")))</f>
        <v/>
      </c>
      <c r="M2083" s="117">
        <f>IF($H2083="","",IF(AND(OR(LEFT($F2083,3)="111",LEFT($F2083,3)="112",LEFT($F2083,3)="113"),OR(LEFT($G2083,3)="111",LEFT($G2083,3)="112",LEFT($G2083,3)="113")),"NB",IF(OR(LEFT($F2083,3)="111",LEFT($F2083,3)="112",LEFT($F2083,3)="113"),"THU",IF(OR(LEFT($G2083,3)="111",LEFT($G2083,3)="112",LEFT($G2083,3)="113"),"CHI",""))))</f>
        <v/>
      </c>
      <c r="N2083" s="117">
        <f>IF($M2083="THU",$G2083,IF($M2083="CHI",$F2083,""))</f>
        <v/>
      </c>
      <c r="O2083" s="117">
        <f>IF(OR($M2083="",$M2083="NB"),"",IF($J2083&lt;&gt;"",TEXT($J2083,"00"),IFERROR(VLOOKUP(LEFT($N2083,4),LCTT_MAP!$A$7:$C$66,IF($M2083="THU",2,3),FALSE()),IFERROR(VLOOKUP(LEFT($N2083,3),LCTT_MAP!$A$7:$C$66,IF($M2083="THU",2,3),FALSE()),IFERROR(VLOOKUP(LEFT($N2083,2),LCTT_MAP!$A$7:$C$66,IF($M2083="THU",2,3),FALSE()),IFERROR(VLOOKUP(LEFT($N2083,1),LCTT_MAP!$A$7:$C$66,IF($M2083="THU",2,3),FALSE()),IF($M2083="THU","06","07")))))))</f>
        <v/>
      </c>
      <c r="P2083" s="117">
        <f>P2082+IF(AND($H2083&lt;&gt;"",OR(LEFT($F2083,LEN(SC_TK))=SC_TK,LEFT($G2083,LEN(SC_TK))=SC_TK)),1,0)</f>
        <v/>
      </c>
    </row>
    <row r="2084" ht="15" customHeight="1" s="78">
      <c r="A2084" s="95">
        <f>IF($H2084="","",ROW()-6)</f>
        <v/>
      </c>
      <c r="B2084" s="114" t="n"/>
      <c r="C2084" s="102" t="n"/>
      <c r="D2084" s="114" t="n"/>
      <c r="E2084" s="103" t="n"/>
      <c r="F2084" s="102" t="n"/>
      <c r="G2084" s="102" t="n"/>
      <c r="H2084" s="115" t="n"/>
      <c r="I2084" s="102" t="n"/>
      <c r="J2084" s="102" t="n"/>
      <c r="K2084" s="103" t="n"/>
      <c r="L2084" s="116">
        <f>IF($H2084="","",TRIM(IF(COUNTIF(DMTK!$A$7:$A$250,$F2084)=0,"TK Nợ sai! ","")&amp;IF(COUNTIF(DMTK!$A$7:$A$250,$G2084)=0,"TK Có sai! ","")&amp;IF(N($H2084)&lt;=0,"Tiền phải &gt; 0! ","")&amp;IF($B2084="","Thiếu ngày! ","")&amp;IF(AND(OR(LEFT($F2084,3)="131",LEFT($G2084,3)="131",LEFT($F2084,3)="331",LEFT($G2084,3)="331"),$I2084=""),"Thiếu Mã ĐT! ","")&amp;IF(AND($I2084&lt;&gt;"",COUNTIF(DM_DT!$A$7:$A$306,$I2084)=0),"Mã ĐT chưa khai báo! ","")))</f>
        <v/>
      </c>
      <c r="M2084" s="117">
        <f>IF($H2084="","",IF(AND(OR(LEFT($F2084,3)="111",LEFT($F2084,3)="112",LEFT($F2084,3)="113"),OR(LEFT($G2084,3)="111",LEFT($G2084,3)="112",LEFT($G2084,3)="113")),"NB",IF(OR(LEFT($F2084,3)="111",LEFT($F2084,3)="112",LEFT($F2084,3)="113"),"THU",IF(OR(LEFT($G2084,3)="111",LEFT($G2084,3)="112",LEFT($G2084,3)="113"),"CHI",""))))</f>
        <v/>
      </c>
      <c r="N2084" s="117">
        <f>IF($M2084="THU",$G2084,IF($M2084="CHI",$F2084,""))</f>
        <v/>
      </c>
      <c r="O2084" s="117">
        <f>IF(OR($M2084="",$M2084="NB"),"",IF($J2084&lt;&gt;"",TEXT($J2084,"00"),IFERROR(VLOOKUP(LEFT($N2084,4),LCTT_MAP!$A$7:$C$66,IF($M2084="THU",2,3),FALSE()),IFERROR(VLOOKUP(LEFT($N2084,3),LCTT_MAP!$A$7:$C$66,IF($M2084="THU",2,3),FALSE()),IFERROR(VLOOKUP(LEFT($N2084,2),LCTT_MAP!$A$7:$C$66,IF($M2084="THU",2,3),FALSE()),IFERROR(VLOOKUP(LEFT($N2084,1),LCTT_MAP!$A$7:$C$66,IF($M2084="THU",2,3),FALSE()),IF($M2084="THU","06","07")))))))</f>
        <v/>
      </c>
      <c r="P2084" s="117">
        <f>P2083+IF(AND($H2084&lt;&gt;"",OR(LEFT($F2084,LEN(SC_TK))=SC_TK,LEFT($G2084,LEN(SC_TK))=SC_TK)),1,0)</f>
        <v/>
      </c>
    </row>
    <row r="2085" ht="15" customHeight="1" s="78">
      <c r="A2085" s="95">
        <f>IF($H2085="","",ROW()-6)</f>
        <v/>
      </c>
      <c r="B2085" s="114" t="n"/>
      <c r="C2085" s="102" t="n"/>
      <c r="D2085" s="114" t="n"/>
      <c r="E2085" s="103" t="n"/>
      <c r="F2085" s="102" t="n"/>
      <c r="G2085" s="102" t="n"/>
      <c r="H2085" s="115" t="n"/>
      <c r="I2085" s="102" t="n"/>
      <c r="J2085" s="102" t="n"/>
      <c r="K2085" s="103" t="n"/>
      <c r="L2085" s="116">
        <f>IF($H2085="","",TRIM(IF(COUNTIF(DMTK!$A$7:$A$250,$F2085)=0,"TK Nợ sai! ","")&amp;IF(COUNTIF(DMTK!$A$7:$A$250,$G2085)=0,"TK Có sai! ","")&amp;IF(N($H2085)&lt;=0,"Tiền phải &gt; 0! ","")&amp;IF($B2085="","Thiếu ngày! ","")&amp;IF(AND(OR(LEFT($F2085,3)="131",LEFT($G2085,3)="131",LEFT($F2085,3)="331",LEFT($G2085,3)="331"),$I2085=""),"Thiếu Mã ĐT! ","")&amp;IF(AND($I2085&lt;&gt;"",COUNTIF(DM_DT!$A$7:$A$306,$I2085)=0),"Mã ĐT chưa khai báo! ","")))</f>
        <v/>
      </c>
      <c r="M2085" s="117">
        <f>IF($H2085="","",IF(AND(OR(LEFT($F2085,3)="111",LEFT($F2085,3)="112",LEFT($F2085,3)="113"),OR(LEFT($G2085,3)="111",LEFT($G2085,3)="112",LEFT($G2085,3)="113")),"NB",IF(OR(LEFT($F2085,3)="111",LEFT($F2085,3)="112",LEFT($F2085,3)="113"),"THU",IF(OR(LEFT($G2085,3)="111",LEFT($G2085,3)="112",LEFT($G2085,3)="113"),"CHI",""))))</f>
        <v/>
      </c>
      <c r="N2085" s="117">
        <f>IF($M2085="THU",$G2085,IF($M2085="CHI",$F2085,""))</f>
        <v/>
      </c>
      <c r="O2085" s="117">
        <f>IF(OR($M2085="",$M2085="NB"),"",IF($J2085&lt;&gt;"",TEXT($J2085,"00"),IFERROR(VLOOKUP(LEFT($N2085,4),LCTT_MAP!$A$7:$C$66,IF($M2085="THU",2,3),FALSE()),IFERROR(VLOOKUP(LEFT($N2085,3),LCTT_MAP!$A$7:$C$66,IF($M2085="THU",2,3),FALSE()),IFERROR(VLOOKUP(LEFT($N2085,2),LCTT_MAP!$A$7:$C$66,IF($M2085="THU",2,3),FALSE()),IFERROR(VLOOKUP(LEFT($N2085,1),LCTT_MAP!$A$7:$C$66,IF($M2085="THU",2,3),FALSE()),IF($M2085="THU","06","07")))))))</f>
        <v/>
      </c>
      <c r="P2085" s="117">
        <f>P2084+IF(AND($H2085&lt;&gt;"",OR(LEFT($F2085,LEN(SC_TK))=SC_TK,LEFT($G2085,LEN(SC_TK))=SC_TK)),1,0)</f>
        <v/>
      </c>
    </row>
    <row r="2086" ht="15" customHeight="1" s="78">
      <c r="A2086" s="95">
        <f>IF($H2086="","",ROW()-6)</f>
        <v/>
      </c>
      <c r="B2086" s="114" t="n"/>
      <c r="C2086" s="102" t="n"/>
      <c r="D2086" s="114" t="n"/>
      <c r="E2086" s="103" t="n"/>
      <c r="F2086" s="102" t="n"/>
      <c r="G2086" s="102" t="n"/>
      <c r="H2086" s="115" t="n"/>
      <c r="I2086" s="102" t="n"/>
      <c r="J2086" s="102" t="n"/>
      <c r="K2086" s="103" t="n"/>
      <c r="L2086" s="116">
        <f>IF($H2086="","",TRIM(IF(COUNTIF(DMTK!$A$7:$A$250,$F2086)=0,"TK Nợ sai! ","")&amp;IF(COUNTIF(DMTK!$A$7:$A$250,$G2086)=0,"TK Có sai! ","")&amp;IF(N($H2086)&lt;=0,"Tiền phải &gt; 0! ","")&amp;IF($B2086="","Thiếu ngày! ","")&amp;IF(AND(OR(LEFT($F2086,3)="131",LEFT($G2086,3)="131",LEFT($F2086,3)="331",LEFT($G2086,3)="331"),$I2086=""),"Thiếu Mã ĐT! ","")&amp;IF(AND($I2086&lt;&gt;"",COUNTIF(DM_DT!$A$7:$A$306,$I2086)=0),"Mã ĐT chưa khai báo! ","")))</f>
        <v/>
      </c>
      <c r="M2086" s="117">
        <f>IF($H2086="","",IF(AND(OR(LEFT($F2086,3)="111",LEFT($F2086,3)="112",LEFT($F2086,3)="113"),OR(LEFT($G2086,3)="111",LEFT($G2086,3)="112",LEFT($G2086,3)="113")),"NB",IF(OR(LEFT($F2086,3)="111",LEFT($F2086,3)="112",LEFT($F2086,3)="113"),"THU",IF(OR(LEFT($G2086,3)="111",LEFT($G2086,3)="112",LEFT($G2086,3)="113"),"CHI",""))))</f>
        <v/>
      </c>
      <c r="N2086" s="117">
        <f>IF($M2086="THU",$G2086,IF($M2086="CHI",$F2086,""))</f>
        <v/>
      </c>
      <c r="O2086" s="117">
        <f>IF(OR($M2086="",$M2086="NB"),"",IF($J2086&lt;&gt;"",TEXT($J2086,"00"),IFERROR(VLOOKUP(LEFT($N2086,4),LCTT_MAP!$A$7:$C$66,IF($M2086="THU",2,3),FALSE()),IFERROR(VLOOKUP(LEFT($N2086,3),LCTT_MAP!$A$7:$C$66,IF($M2086="THU",2,3),FALSE()),IFERROR(VLOOKUP(LEFT($N2086,2),LCTT_MAP!$A$7:$C$66,IF($M2086="THU",2,3),FALSE()),IFERROR(VLOOKUP(LEFT($N2086,1),LCTT_MAP!$A$7:$C$66,IF($M2086="THU",2,3),FALSE()),IF($M2086="THU","06","07")))))))</f>
        <v/>
      </c>
      <c r="P2086" s="117">
        <f>P2085+IF(AND($H2086&lt;&gt;"",OR(LEFT($F2086,LEN(SC_TK))=SC_TK,LEFT($G2086,LEN(SC_TK))=SC_TK)),1,0)</f>
        <v/>
      </c>
    </row>
    <row r="2087" ht="15" customHeight="1" s="78">
      <c r="A2087" s="95">
        <f>IF($H2087="","",ROW()-6)</f>
        <v/>
      </c>
      <c r="B2087" s="114" t="n"/>
      <c r="C2087" s="102" t="n"/>
      <c r="D2087" s="114" t="n"/>
      <c r="E2087" s="103" t="n"/>
      <c r="F2087" s="102" t="n"/>
      <c r="G2087" s="102" t="n"/>
      <c r="H2087" s="115" t="n"/>
      <c r="I2087" s="102" t="n"/>
      <c r="J2087" s="102" t="n"/>
      <c r="K2087" s="103" t="n"/>
      <c r="L2087" s="116">
        <f>IF($H2087="","",TRIM(IF(COUNTIF(DMTK!$A$7:$A$250,$F2087)=0,"TK Nợ sai! ","")&amp;IF(COUNTIF(DMTK!$A$7:$A$250,$G2087)=0,"TK Có sai! ","")&amp;IF(N($H2087)&lt;=0,"Tiền phải &gt; 0! ","")&amp;IF($B2087="","Thiếu ngày! ","")&amp;IF(AND(OR(LEFT($F2087,3)="131",LEFT($G2087,3)="131",LEFT($F2087,3)="331",LEFT($G2087,3)="331"),$I2087=""),"Thiếu Mã ĐT! ","")&amp;IF(AND($I2087&lt;&gt;"",COUNTIF(DM_DT!$A$7:$A$306,$I2087)=0),"Mã ĐT chưa khai báo! ","")))</f>
        <v/>
      </c>
      <c r="M2087" s="117">
        <f>IF($H2087="","",IF(AND(OR(LEFT($F2087,3)="111",LEFT($F2087,3)="112",LEFT($F2087,3)="113"),OR(LEFT($G2087,3)="111",LEFT($G2087,3)="112",LEFT($G2087,3)="113")),"NB",IF(OR(LEFT($F2087,3)="111",LEFT($F2087,3)="112",LEFT($F2087,3)="113"),"THU",IF(OR(LEFT($G2087,3)="111",LEFT($G2087,3)="112",LEFT($G2087,3)="113"),"CHI",""))))</f>
        <v/>
      </c>
      <c r="N2087" s="117">
        <f>IF($M2087="THU",$G2087,IF($M2087="CHI",$F2087,""))</f>
        <v/>
      </c>
      <c r="O2087" s="117">
        <f>IF(OR($M2087="",$M2087="NB"),"",IF($J2087&lt;&gt;"",TEXT($J2087,"00"),IFERROR(VLOOKUP(LEFT($N2087,4),LCTT_MAP!$A$7:$C$66,IF($M2087="THU",2,3),FALSE()),IFERROR(VLOOKUP(LEFT($N2087,3),LCTT_MAP!$A$7:$C$66,IF($M2087="THU",2,3),FALSE()),IFERROR(VLOOKUP(LEFT($N2087,2),LCTT_MAP!$A$7:$C$66,IF($M2087="THU",2,3),FALSE()),IFERROR(VLOOKUP(LEFT($N2087,1),LCTT_MAP!$A$7:$C$66,IF($M2087="THU",2,3),FALSE()),IF($M2087="THU","06","07")))))))</f>
        <v/>
      </c>
      <c r="P2087" s="117">
        <f>P2086+IF(AND($H2087&lt;&gt;"",OR(LEFT($F2087,LEN(SC_TK))=SC_TK,LEFT($G2087,LEN(SC_TK))=SC_TK)),1,0)</f>
        <v/>
      </c>
    </row>
    <row r="2088" ht="15" customHeight="1" s="78">
      <c r="A2088" s="95">
        <f>IF($H2088="","",ROW()-6)</f>
        <v/>
      </c>
      <c r="B2088" s="114" t="n"/>
      <c r="C2088" s="102" t="n"/>
      <c r="D2088" s="114" t="n"/>
      <c r="E2088" s="103" t="n"/>
      <c r="F2088" s="102" t="n"/>
      <c r="G2088" s="102" t="n"/>
      <c r="H2088" s="115" t="n"/>
      <c r="I2088" s="102" t="n"/>
      <c r="J2088" s="102" t="n"/>
      <c r="K2088" s="103" t="n"/>
      <c r="L2088" s="116">
        <f>IF($H2088="","",TRIM(IF(COUNTIF(DMTK!$A$7:$A$250,$F2088)=0,"TK Nợ sai! ","")&amp;IF(COUNTIF(DMTK!$A$7:$A$250,$G2088)=0,"TK Có sai! ","")&amp;IF(N($H2088)&lt;=0,"Tiền phải &gt; 0! ","")&amp;IF($B2088="","Thiếu ngày! ","")&amp;IF(AND(OR(LEFT($F2088,3)="131",LEFT($G2088,3)="131",LEFT($F2088,3)="331",LEFT($G2088,3)="331"),$I2088=""),"Thiếu Mã ĐT! ","")&amp;IF(AND($I2088&lt;&gt;"",COUNTIF(DM_DT!$A$7:$A$306,$I2088)=0),"Mã ĐT chưa khai báo! ","")))</f>
        <v/>
      </c>
      <c r="M2088" s="117">
        <f>IF($H2088="","",IF(AND(OR(LEFT($F2088,3)="111",LEFT($F2088,3)="112",LEFT($F2088,3)="113"),OR(LEFT($G2088,3)="111",LEFT($G2088,3)="112",LEFT($G2088,3)="113")),"NB",IF(OR(LEFT($F2088,3)="111",LEFT($F2088,3)="112",LEFT($F2088,3)="113"),"THU",IF(OR(LEFT($G2088,3)="111",LEFT($G2088,3)="112",LEFT($G2088,3)="113"),"CHI",""))))</f>
        <v/>
      </c>
      <c r="N2088" s="117">
        <f>IF($M2088="THU",$G2088,IF($M2088="CHI",$F2088,""))</f>
        <v/>
      </c>
      <c r="O2088" s="117">
        <f>IF(OR($M2088="",$M2088="NB"),"",IF($J2088&lt;&gt;"",TEXT($J2088,"00"),IFERROR(VLOOKUP(LEFT($N2088,4),LCTT_MAP!$A$7:$C$66,IF($M2088="THU",2,3),FALSE()),IFERROR(VLOOKUP(LEFT($N2088,3),LCTT_MAP!$A$7:$C$66,IF($M2088="THU",2,3),FALSE()),IFERROR(VLOOKUP(LEFT($N2088,2),LCTT_MAP!$A$7:$C$66,IF($M2088="THU",2,3),FALSE()),IFERROR(VLOOKUP(LEFT($N2088,1),LCTT_MAP!$A$7:$C$66,IF($M2088="THU",2,3),FALSE()),IF($M2088="THU","06","07")))))))</f>
        <v/>
      </c>
      <c r="P2088" s="117">
        <f>P2087+IF(AND($H2088&lt;&gt;"",OR(LEFT($F2088,LEN(SC_TK))=SC_TK,LEFT($G2088,LEN(SC_TK))=SC_TK)),1,0)</f>
        <v/>
      </c>
    </row>
    <row r="2089" ht="15" customHeight="1" s="78">
      <c r="A2089" s="95">
        <f>IF($H2089="","",ROW()-6)</f>
        <v/>
      </c>
      <c r="B2089" s="114" t="n"/>
      <c r="C2089" s="102" t="n"/>
      <c r="D2089" s="114" t="n"/>
      <c r="E2089" s="103" t="n"/>
      <c r="F2089" s="102" t="n"/>
      <c r="G2089" s="102" t="n"/>
      <c r="H2089" s="115" t="n"/>
      <c r="I2089" s="102" t="n"/>
      <c r="J2089" s="102" t="n"/>
      <c r="K2089" s="103" t="n"/>
      <c r="L2089" s="116">
        <f>IF($H2089="","",TRIM(IF(COUNTIF(DMTK!$A$7:$A$250,$F2089)=0,"TK Nợ sai! ","")&amp;IF(COUNTIF(DMTK!$A$7:$A$250,$G2089)=0,"TK Có sai! ","")&amp;IF(N($H2089)&lt;=0,"Tiền phải &gt; 0! ","")&amp;IF($B2089="","Thiếu ngày! ","")&amp;IF(AND(OR(LEFT($F2089,3)="131",LEFT($G2089,3)="131",LEFT($F2089,3)="331",LEFT($G2089,3)="331"),$I2089=""),"Thiếu Mã ĐT! ","")&amp;IF(AND($I2089&lt;&gt;"",COUNTIF(DM_DT!$A$7:$A$306,$I2089)=0),"Mã ĐT chưa khai báo! ","")))</f>
        <v/>
      </c>
      <c r="M2089" s="117">
        <f>IF($H2089="","",IF(AND(OR(LEFT($F2089,3)="111",LEFT($F2089,3)="112",LEFT($F2089,3)="113"),OR(LEFT($G2089,3)="111",LEFT($G2089,3)="112",LEFT($G2089,3)="113")),"NB",IF(OR(LEFT($F2089,3)="111",LEFT($F2089,3)="112",LEFT($F2089,3)="113"),"THU",IF(OR(LEFT($G2089,3)="111",LEFT($G2089,3)="112",LEFT($G2089,3)="113"),"CHI",""))))</f>
        <v/>
      </c>
      <c r="N2089" s="117">
        <f>IF($M2089="THU",$G2089,IF($M2089="CHI",$F2089,""))</f>
        <v/>
      </c>
      <c r="O2089" s="117">
        <f>IF(OR($M2089="",$M2089="NB"),"",IF($J2089&lt;&gt;"",TEXT($J2089,"00"),IFERROR(VLOOKUP(LEFT($N2089,4),LCTT_MAP!$A$7:$C$66,IF($M2089="THU",2,3),FALSE()),IFERROR(VLOOKUP(LEFT($N2089,3),LCTT_MAP!$A$7:$C$66,IF($M2089="THU",2,3),FALSE()),IFERROR(VLOOKUP(LEFT($N2089,2),LCTT_MAP!$A$7:$C$66,IF($M2089="THU",2,3),FALSE()),IFERROR(VLOOKUP(LEFT($N2089,1),LCTT_MAP!$A$7:$C$66,IF($M2089="THU",2,3),FALSE()),IF($M2089="THU","06","07")))))))</f>
        <v/>
      </c>
      <c r="P2089" s="117">
        <f>P2088+IF(AND($H2089&lt;&gt;"",OR(LEFT($F2089,LEN(SC_TK))=SC_TK,LEFT($G2089,LEN(SC_TK))=SC_TK)),1,0)</f>
        <v/>
      </c>
    </row>
    <row r="2090" ht="15" customHeight="1" s="78">
      <c r="A2090" s="95">
        <f>IF($H2090="","",ROW()-6)</f>
        <v/>
      </c>
      <c r="B2090" s="114" t="n"/>
      <c r="C2090" s="102" t="n"/>
      <c r="D2090" s="114" t="n"/>
      <c r="E2090" s="103" t="n"/>
      <c r="F2090" s="102" t="n"/>
      <c r="G2090" s="102" t="n"/>
      <c r="H2090" s="115" t="n"/>
      <c r="I2090" s="102" t="n"/>
      <c r="J2090" s="102" t="n"/>
      <c r="K2090" s="103" t="n"/>
      <c r="L2090" s="116">
        <f>IF($H2090="","",TRIM(IF(COUNTIF(DMTK!$A$7:$A$250,$F2090)=0,"TK Nợ sai! ","")&amp;IF(COUNTIF(DMTK!$A$7:$A$250,$G2090)=0,"TK Có sai! ","")&amp;IF(N($H2090)&lt;=0,"Tiền phải &gt; 0! ","")&amp;IF($B2090="","Thiếu ngày! ","")&amp;IF(AND(OR(LEFT($F2090,3)="131",LEFT($G2090,3)="131",LEFT($F2090,3)="331",LEFT($G2090,3)="331"),$I2090=""),"Thiếu Mã ĐT! ","")&amp;IF(AND($I2090&lt;&gt;"",COUNTIF(DM_DT!$A$7:$A$306,$I2090)=0),"Mã ĐT chưa khai báo! ","")))</f>
        <v/>
      </c>
      <c r="M2090" s="117">
        <f>IF($H2090="","",IF(AND(OR(LEFT($F2090,3)="111",LEFT($F2090,3)="112",LEFT($F2090,3)="113"),OR(LEFT($G2090,3)="111",LEFT($G2090,3)="112",LEFT($G2090,3)="113")),"NB",IF(OR(LEFT($F2090,3)="111",LEFT($F2090,3)="112",LEFT($F2090,3)="113"),"THU",IF(OR(LEFT($G2090,3)="111",LEFT($G2090,3)="112",LEFT($G2090,3)="113"),"CHI",""))))</f>
        <v/>
      </c>
      <c r="N2090" s="117">
        <f>IF($M2090="THU",$G2090,IF($M2090="CHI",$F2090,""))</f>
        <v/>
      </c>
      <c r="O2090" s="117">
        <f>IF(OR($M2090="",$M2090="NB"),"",IF($J2090&lt;&gt;"",TEXT($J2090,"00"),IFERROR(VLOOKUP(LEFT($N2090,4),LCTT_MAP!$A$7:$C$66,IF($M2090="THU",2,3),FALSE()),IFERROR(VLOOKUP(LEFT($N2090,3),LCTT_MAP!$A$7:$C$66,IF($M2090="THU",2,3),FALSE()),IFERROR(VLOOKUP(LEFT($N2090,2),LCTT_MAP!$A$7:$C$66,IF($M2090="THU",2,3),FALSE()),IFERROR(VLOOKUP(LEFT($N2090,1),LCTT_MAP!$A$7:$C$66,IF($M2090="THU",2,3),FALSE()),IF($M2090="THU","06","07")))))))</f>
        <v/>
      </c>
      <c r="P2090" s="117">
        <f>P2089+IF(AND($H2090&lt;&gt;"",OR(LEFT($F2090,LEN(SC_TK))=SC_TK,LEFT($G2090,LEN(SC_TK))=SC_TK)),1,0)</f>
        <v/>
      </c>
    </row>
    <row r="2091" ht="15" customHeight="1" s="78">
      <c r="A2091" s="95">
        <f>IF($H2091="","",ROW()-6)</f>
        <v/>
      </c>
      <c r="B2091" s="114" t="n"/>
      <c r="C2091" s="102" t="n"/>
      <c r="D2091" s="114" t="n"/>
      <c r="E2091" s="103" t="n"/>
      <c r="F2091" s="102" t="n"/>
      <c r="G2091" s="102" t="n"/>
      <c r="H2091" s="115" t="n"/>
      <c r="I2091" s="102" t="n"/>
      <c r="J2091" s="102" t="n"/>
      <c r="K2091" s="103" t="n"/>
      <c r="L2091" s="116">
        <f>IF($H2091="","",TRIM(IF(COUNTIF(DMTK!$A$7:$A$250,$F2091)=0,"TK Nợ sai! ","")&amp;IF(COUNTIF(DMTK!$A$7:$A$250,$G2091)=0,"TK Có sai! ","")&amp;IF(N($H2091)&lt;=0,"Tiền phải &gt; 0! ","")&amp;IF($B2091="","Thiếu ngày! ","")&amp;IF(AND(OR(LEFT($F2091,3)="131",LEFT($G2091,3)="131",LEFT($F2091,3)="331",LEFT($G2091,3)="331"),$I2091=""),"Thiếu Mã ĐT! ","")&amp;IF(AND($I2091&lt;&gt;"",COUNTIF(DM_DT!$A$7:$A$306,$I2091)=0),"Mã ĐT chưa khai báo! ","")))</f>
        <v/>
      </c>
      <c r="M2091" s="117">
        <f>IF($H2091="","",IF(AND(OR(LEFT($F2091,3)="111",LEFT($F2091,3)="112",LEFT($F2091,3)="113"),OR(LEFT($G2091,3)="111",LEFT($G2091,3)="112",LEFT($G2091,3)="113")),"NB",IF(OR(LEFT($F2091,3)="111",LEFT($F2091,3)="112",LEFT($F2091,3)="113"),"THU",IF(OR(LEFT($G2091,3)="111",LEFT($G2091,3)="112",LEFT($G2091,3)="113"),"CHI",""))))</f>
        <v/>
      </c>
      <c r="N2091" s="117">
        <f>IF($M2091="THU",$G2091,IF($M2091="CHI",$F2091,""))</f>
        <v/>
      </c>
      <c r="O2091" s="117">
        <f>IF(OR($M2091="",$M2091="NB"),"",IF($J2091&lt;&gt;"",TEXT($J2091,"00"),IFERROR(VLOOKUP(LEFT($N2091,4),LCTT_MAP!$A$7:$C$66,IF($M2091="THU",2,3),FALSE()),IFERROR(VLOOKUP(LEFT($N2091,3),LCTT_MAP!$A$7:$C$66,IF($M2091="THU",2,3),FALSE()),IFERROR(VLOOKUP(LEFT($N2091,2),LCTT_MAP!$A$7:$C$66,IF($M2091="THU",2,3),FALSE()),IFERROR(VLOOKUP(LEFT($N2091,1),LCTT_MAP!$A$7:$C$66,IF($M2091="THU",2,3),FALSE()),IF($M2091="THU","06","07")))))))</f>
        <v/>
      </c>
      <c r="P2091" s="117">
        <f>P2090+IF(AND($H2091&lt;&gt;"",OR(LEFT($F2091,LEN(SC_TK))=SC_TK,LEFT($G2091,LEN(SC_TK))=SC_TK)),1,0)</f>
        <v/>
      </c>
    </row>
    <row r="2092" ht="15" customHeight="1" s="78">
      <c r="A2092" s="95">
        <f>IF($H2092="","",ROW()-6)</f>
        <v/>
      </c>
      <c r="B2092" s="114" t="n"/>
      <c r="C2092" s="102" t="n"/>
      <c r="D2092" s="114" t="n"/>
      <c r="E2092" s="103" t="n"/>
      <c r="F2092" s="102" t="n"/>
      <c r="G2092" s="102" t="n"/>
      <c r="H2092" s="115" t="n"/>
      <c r="I2092" s="102" t="n"/>
      <c r="J2092" s="102" t="n"/>
      <c r="K2092" s="103" t="n"/>
      <c r="L2092" s="116">
        <f>IF($H2092="","",TRIM(IF(COUNTIF(DMTK!$A$7:$A$250,$F2092)=0,"TK Nợ sai! ","")&amp;IF(COUNTIF(DMTK!$A$7:$A$250,$G2092)=0,"TK Có sai! ","")&amp;IF(N($H2092)&lt;=0,"Tiền phải &gt; 0! ","")&amp;IF($B2092="","Thiếu ngày! ","")&amp;IF(AND(OR(LEFT($F2092,3)="131",LEFT($G2092,3)="131",LEFT($F2092,3)="331",LEFT($G2092,3)="331"),$I2092=""),"Thiếu Mã ĐT! ","")&amp;IF(AND($I2092&lt;&gt;"",COUNTIF(DM_DT!$A$7:$A$306,$I2092)=0),"Mã ĐT chưa khai báo! ","")))</f>
        <v/>
      </c>
      <c r="M2092" s="117">
        <f>IF($H2092="","",IF(AND(OR(LEFT($F2092,3)="111",LEFT($F2092,3)="112",LEFT($F2092,3)="113"),OR(LEFT($G2092,3)="111",LEFT($G2092,3)="112",LEFT($G2092,3)="113")),"NB",IF(OR(LEFT($F2092,3)="111",LEFT($F2092,3)="112",LEFT($F2092,3)="113"),"THU",IF(OR(LEFT($G2092,3)="111",LEFT($G2092,3)="112",LEFT($G2092,3)="113"),"CHI",""))))</f>
        <v/>
      </c>
      <c r="N2092" s="117">
        <f>IF($M2092="THU",$G2092,IF($M2092="CHI",$F2092,""))</f>
        <v/>
      </c>
      <c r="O2092" s="117">
        <f>IF(OR($M2092="",$M2092="NB"),"",IF($J2092&lt;&gt;"",TEXT($J2092,"00"),IFERROR(VLOOKUP(LEFT($N2092,4),LCTT_MAP!$A$7:$C$66,IF($M2092="THU",2,3),FALSE()),IFERROR(VLOOKUP(LEFT($N2092,3),LCTT_MAP!$A$7:$C$66,IF($M2092="THU",2,3),FALSE()),IFERROR(VLOOKUP(LEFT($N2092,2),LCTT_MAP!$A$7:$C$66,IF($M2092="THU",2,3),FALSE()),IFERROR(VLOOKUP(LEFT($N2092,1),LCTT_MAP!$A$7:$C$66,IF($M2092="THU",2,3),FALSE()),IF($M2092="THU","06","07")))))))</f>
        <v/>
      </c>
      <c r="P2092" s="117">
        <f>P2091+IF(AND($H2092&lt;&gt;"",OR(LEFT($F2092,LEN(SC_TK))=SC_TK,LEFT($G2092,LEN(SC_TK))=SC_TK)),1,0)</f>
        <v/>
      </c>
    </row>
    <row r="2093" ht="15" customHeight="1" s="78">
      <c r="A2093" s="95">
        <f>IF($H2093="","",ROW()-6)</f>
        <v/>
      </c>
      <c r="B2093" s="114" t="n"/>
      <c r="C2093" s="102" t="n"/>
      <c r="D2093" s="114" t="n"/>
      <c r="E2093" s="103" t="n"/>
      <c r="F2093" s="102" t="n"/>
      <c r="G2093" s="102" t="n"/>
      <c r="H2093" s="115" t="n"/>
      <c r="I2093" s="102" t="n"/>
      <c r="J2093" s="102" t="n"/>
      <c r="K2093" s="103" t="n"/>
      <c r="L2093" s="116">
        <f>IF($H2093="","",TRIM(IF(COUNTIF(DMTK!$A$7:$A$250,$F2093)=0,"TK Nợ sai! ","")&amp;IF(COUNTIF(DMTK!$A$7:$A$250,$G2093)=0,"TK Có sai! ","")&amp;IF(N($H2093)&lt;=0,"Tiền phải &gt; 0! ","")&amp;IF($B2093="","Thiếu ngày! ","")&amp;IF(AND(OR(LEFT($F2093,3)="131",LEFT($G2093,3)="131",LEFT($F2093,3)="331",LEFT($G2093,3)="331"),$I2093=""),"Thiếu Mã ĐT! ","")&amp;IF(AND($I2093&lt;&gt;"",COUNTIF(DM_DT!$A$7:$A$306,$I2093)=0),"Mã ĐT chưa khai báo! ","")))</f>
        <v/>
      </c>
      <c r="M2093" s="117">
        <f>IF($H2093="","",IF(AND(OR(LEFT($F2093,3)="111",LEFT($F2093,3)="112",LEFT($F2093,3)="113"),OR(LEFT($G2093,3)="111",LEFT($G2093,3)="112",LEFT($G2093,3)="113")),"NB",IF(OR(LEFT($F2093,3)="111",LEFT($F2093,3)="112",LEFT($F2093,3)="113"),"THU",IF(OR(LEFT($G2093,3)="111",LEFT($G2093,3)="112",LEFT($G2093,3)="113"),"CHI",""))))</f>
        <v/>
      </c>
      <c r="N2093" s="117">
        <f>IF($M2093="THU",$G2093,IF($M2093="CHI",$F2093,""))</f>
        <v/>
      </c>
      <c r="O2093" s="117">
        <f>IF(OR($M2093="",$M2093="NB"),"",IF($J2093&lt;&gt;"",TEXT($J2093,"00"),IFERROR(VLOOKUP(LEFT($N2093,4),LCTT_MAP!$A$7:$C$66,IF($M2093="THU",2,3),FALSE()),IFERROR(VLOOKUP(LEFT($N2093,3),LCTT_MAP!$A$7:$C$66,IF($M2093="THU",2,3),FALSE()),IFERROR(VLOOKUP(LEFT($N2093,2),LCTT_MAP!$A$7:$C$66,IF($M2093="THU",2,3),FALSE()),IFERROR(VLOOKUP(LEFT($N2093,1),LCTT_MAP!$A$7:$C$66,IF($M2093="THU",2,3),FALSE()),IF($M2093="THU","06","07")))))))</f>
        <v/>
      </c>
      <c r="P2093" s="117">
        <f>P2092+IF(AND($H2093&lt;&gt;"",OR(LEFT($F2093,LEN(SC_TK))=SC_TK,LEFT($G2093,LEN(SC_TK))=SC_TK)),1,0)</f>
        <v/>
      </c>
    </row>
    <row r="2094" ht="15" customHeight="1" s="78">
      <c r="A2094" s="95">
        <f>IF($H2094="","",ROW()-6)</f>
        <v/>
      </c>
      <c r="B2094" s="114" t="n"/>
      <c r="C2094" s="102" t="n"/>
      <c r="D2094" s="114" t="n"/>
      <c r="E2094" s="103" t="n"/>
      <c r="F2094" s="102" t="n"/>
      <c r="G2094" s="102" t="n"/>
      <c r="H2094" s="115" t="n"/>
      <c r="I2094" s="102" t="n"/>
      <c r="J2094" s="102" t="n"/>
      <c r="K2094" s="103" t="n"/>
      <c r="L2094" s="116">
        <f>IF($H2094="","",TRIM(IF(COUNTIF(DMTK!$A$7:$A$250,$F2094)=0,"TK Nợ sai! ","")&amp;IF(COUNTIF(DMTK!$A$7:$A$250,$G2094)=0,"TK Có sai! ","")&amp;IF(N($H2094)&lt;=0,"Tiền phải &gt; 0! ","")&amp;IF($B2094="","Thiếu ngày! ","")&amp;IF(AND(OR(LEFT($F2094,3)="131",LEFT($G2094,3)="131",LEFT($F2094,3)="331",LEFT($G2094,3)="331"),$I2094=""),"Thiếu Mã ĐT! ","")&amp;IF(AND($I2094&lt;&gt;"",COUNTIF(DM_DT!$A$7:$A$306,$I2094)=0),"Mã ĐT chưa khai báo! ","")))</f>
        <v/>
      </c>
      <c r="M2094" s="117">
        <f>IF($H2094="","",IF(AND(OR(LEFT($F2094,3)="111",LEFT($F2094,3)="112",LEFT($F2094,3)="113"),OR(LEFT($G2094,3)="111",LEFT($G2094,3)="112",LEFT($G2094,3)="113")),"NB",IF(OR(LEFT($F2094,3)="111",LEFT($F2094,3)="112",LEFT($F2094,3)="113"),"THU",IF(OR(LEFT($G2094,3)="111",LEFT($G2094,3)="112",LEFT($G2094,3)="113"),"CHI",""))))</f>
        <v/>
      </c>
      <c r="N2094" s="117">
        <f>IF($M2094="THU",$G2094,IF($M2094="CHI",$F2094,""))</f>
        <v/>
      </c>
      <c r="O2094" s="117">
        <f>IF(OR($M2094="",$M2094="NB"),"",IF($J2094&lt;&gt;"",TEXT($J2094,"00"),IFERROR(VLOOKUP(LEFT($N2094,4),LCTT_MAP!$A$7:$C$66,IF($M2094="THU",2,3),FALSE()),IFERROR(VLOOKUP(LEFT($N2094,3),LCTT_MAP!$A$7:$C$66,IF($M2094="THU",2,3),FALSE()),IFERROR(VLOOKUP(LEFT($N2094,2),LCTT_MAP!$A$7:$C$66,IF($M2094="THU",2,3),FALSE()),IFERROR(VLOOKUP(LEFT($N2094,1),LCTT_MAP!$A$7:$C$66,IF($M2094="THU",2,3),FALSE()),IF($M2094="THU","06","07")))))))</f>
        <v/>
      </c>
      <c r="P2094" s="117">
        <f>P2093+IF(AND($H2094&lt;&gt;"",OR(LEFT($F2094,LEN(SC_TK))=SC_TK,LEFT($G2094,LEN(SC_TK))=SC_TK)),1,0)</f>
        <v/>
      </c>
    </row>
    <row r="2095" ht="15" customHeight="1" s="78">
      <c r="A2095" s="95">
        <f>IF($H2095="","",ROW()-6)</f>
        <v/>
      </c>
      <c r="B2095" s="114" t="n"/>
      <c r="C2095" s="102" t="n"/>
      <c r="D2095" s="114" t="n"/>
      <c r="E2095" s="103" t="n"/>
      <c r="F2095" s="102" t="n"/>
      <c r="G2095" s="102" t="n"/>
      <c r="H2095" s="115" t="n"/>
      <c r="I2095" s="102" t="n"/>
      <c r="J2095" s="102" t="n"/>
      <c r="K2095" s="103" t="n"/>
      <c r="L2095" s="116">
        <f>IF($H2095="","",TRIM(IF(COUNTIF(DMTK!$A$7:$A$250,$F2095)=0,"TK Nợ sai! ","")&amp;IF(COUNTIF(DMTK!$A$7:$A$250,$G2095)=0,"TK Có sai! ","")&amp;IF(N($H2095)&lt;=0,"Tiền phải &gt; 0! ","")&amp;IF($B2095="","Thiếu ngày! ","")&amp;IF(AND(OR(LEFT($F2095,3)="131",LEFT($G2095,3)="131",LEFT($F2095,3)="331",LEFT($G2095,3)="331"),$I2095=""),"Thiếu Mã ĐT! ","")&amp;IF(AND($I2095&lt;&gt;"",COUNTIF(DM_DT!$A$7:$A$306,$I2095)=0),"Mã ĐT chưa khai báo! ","")))</f>
        <v/>
      </c>
      <c r="M2095" s="117">
        <f>IF($H2095="","",IF(AND(OR(LEFT($F2095,3)="111",LEFT($F2095,3)="112",LEFT($F2095,3)="113"),OR(LEFT($G2095,3)="111",LEFT($G2095,3)="112",LEFT($G2095,3)="113")),"NB",IF(OR(LEFT($F2095,3)="111",LEFT($F2095,3)="112",LEFT($F2095,3)="113"),"THU",IF(OR(LEFT($G2095,3)="111",LEFT($G2095,3)="112",LEFT($G2095,3)="113"),"CHI",""))))</f>
        <v/>
      </c>
      <c r="N2095" s="117">
        <f>IF($M2095="THU",$G2095,IF($M2095="CHI",$F2095,""))</f>
        <v/>
      </c>
      <c r="O2095" s="117">
        <f>IF(OR($M2095="",$M2095="NB"),"",IF($J2095&lt;&gt;"",TEXT($J2095,"00"),IFERROR(VLOOKUP(LEFT($N2095,4),LCTT_MAP!$A$7:$C$66,IF($M2095="THU",2,3),FALSE()),IFERROR(VLOOKUP(LEFT($N2095,3),LCTT_MAP!$A$7:$C$66,IF($M2095="THU",2,3),FALSE()),IFERROR(VLOOKUP(LEFT($N2095,2),LCTT_MAP!$A$7:$C$66,IF($M2095="THU",2,3),FALSE()),IFERROR(VLOOKUP(LEFT($N2095,1),LCTT_MAP!$A$7:$C$66,IF($M2095="THU",2,3),FALSE()),IF($M2095="THU","06","07")))))))</f>
        <v/>
      </c>
      <c r="P2095" s="117">
        <f>P2094+IF(AND($H2095&lt;&gt;"",OR(LEFT($F2095,LEN(SC_TK))=SC_TK,LEFT($G2095,LEN(SC_TK))=SC_TK)),1,0)</f>
        <v/>
      </c>
    </row>
    <row r="2096" ht="15" customHeight="1" s="78">
      <c r="A2096" s="95">
        <f>IF($H2096="","",ROW()-6)</f>
        <v/>
      </c>
      <c r="B2096" s="114" t="n"/>
      <c r="C2096" s="102" t="n"/>
      <c r="D2096" s="114" t="n"/>
      <c r="E2096" s="103" t="n"/>
      <c r="F2096" s="102" t="n"/>
      <c r="G2096" s="102" t="n"/>
      <c r="H2096" s="115" t="n"/>
      <c r="I2096" s="102" t="n"/>
      <c r="J2096" s="102" t="n"/>
      <c r="K2096" s="103" t="n"/>
      <c r="L2096" s="116">
        <f>IF($H2096="","",TRIM(IF(COUNTIF(DMTK!$A$7:$A$250,$F2096)=0,"TK Nợ sai! ","")&amp;IF(COUNTIF(DMTK!$A$7:$A$250,$G2096)=0,"TK Có sai! ","")&amp;IF(N($H2096)&lt;=0,"Tiền phải &gt; 0! ","")&amp;IF($B2096="","Thiếu ngày! ","")&amp;IF(AND(OR(LEFT($F2096,3)="131",LEFT($G2096,3)="131",LEFT($F2096,3)="331",LEFT($G2096,3)="331"),$I2096=""),"Thiếu Mã ĐT! ","")&amp;IF(AND($I2096&lt;&gt;"",COUNTIF(DM_DT!$A$7:$A$306,$I2096)=0),"Mã ĐT chưa khai báo! ","")))</f>
        <v/>
      </c>
      <c r="M2096" s="117">
        <f>IF($H2096="","",IF(AND(OR(LEFT($F2096,3)="111",LEFT($F2096,3)="112",LEFT($F2096,3)="113"),OR(LEFT($G2096,3)="111",LEFT($G2096,3)="112",LEFT($G2096,3)="113")),"NB",IF(OR(LEFT($F2096,3)="111",LEFT($F2096,3)="112",LEFT($F2096,3)="113"),"THU",IF(OR(LEFT($G2096,3)="111",LEFT($G2096,3)="112",LEFT($G2096,3)="113"),"CHI",""))))</f>
        <v/>
      </c>
      <c r="N2096" s="117">
        <f>IF($M2096="THU",$G2096,IF($M2096="CHI",$F2096,""))</f>
        <v/>
      </c>
      <c r="O2096" s="117">
        <f>IF(OR($M2096="",$M2096="NB"),"",IF($J2096&lt;&gt;"",TEXT($J2096,"00"),IFERROR(VLOOKUP(LEFT($N2096,4),LCTT_MAP!$A$7:$C$66,IF($M2096="THU",2,3),FALSE()),IFERROR(VLOOKUP(LEFT($N2096,3),LCTT_MAP!$A$7:$C$66,IF($M2096="THU",2,3),FALSE()),IFERROR(VLOOKUP(LEFT($N2096,2),LCTT_MAP!$A$7:$C$66,IF($M2096="THU",2,3),FALSE()),IFERROR(VLOOKUP(LEFT($N2096,1),LCTT_MAP!$A$7:$C$66,IF($M2096="THU",2,3),FALSE()),IF($M2096="THU","06","07")))))))</f>
        <v/>
      </c>
      <c r="P2096" s="117">
        <f>P2095+IF(AND($H2096&lt;&gt;"",OR(LEFT($F2096,LEN(SC_TK))=SC_TK,LEFT($G2096,LEN(SC_TK))=SC_TK)),1,0)</f>
        <v/>
      </c>
    </row>
    <row r="2097" ht="15" customHeight="1" s="78">
      <c r="A2097" s="95">
        <f>IF($H2097="","",ROW()-6)</f>
        <v/>
      </c>
      <c r="B2097" s="114" t="n"/>
      <c r="C2097" s="102" t="n"/>
      <c r="D2097" s="114" t="n"/>
      <c r="E2097" s="103" t="n"/>
      <c r="F2097" s="102" t="n"/>
      <c r="G2097" s="102" t="n"/>
      <c r="H2097" s="115" t="n"/>
      <c r="I2097" s="102" t="n"/>
      <c r="J2097" s="102" t="n"/>
      <c r="K2097" s="103" t="n"/>
      <c r="L2097" s="116">
        <f>IF($H2097="","",TRIM(IF(COUNTIF(DMTK!$A$7:$A$250,$F2097)=0,"TK Nợ sai! ","")&amp;IF(COUNTIF(DMTK!$A$7:$A$250,$G2097)=0,"TK Có sai! ","")&amp;IF(N($H2097)&lt;=0,"Tiền phải &gt; 0! ","")&amp;IF($B2097="","Thiếu ngày! ","")&amp;IF(AND(OR(LEFT($F2097,3)="131",LEFT($G2097,3)="131",LEFT($F2097,3)="331",LEFT($G2097,3)="331"),$I2097=""),"Thiếu Mã ĐT! ","")&amp;IF(AND($I2097&lt;&gt;"",COUNTIF(DM_DT!$A$7:$A$306,$I2097)=0),"Mã ĐT chưa khai báo! ","")))</f>
        <v/>
      </c>
      <c r="M2097" s="117">
        <f>IF($H2097="","",IF(AND(OR(LEFT($F2097,3)="111",LEFT($F2097,3)="112",LEFT($F2097,3)="113"),OR(LEFT($G2097,3)="111",LEFT($G2097,3)="112",LEFT($G2097,3)="113")),"NB",IF(OR(LEFT($F2097,3)="111",LEFT($F2097,3)="112",LEFT($F2097,3)="113"),"THU",IF(OR(LEFT($G2097,3)="111",LEFT($G2097,3)="112",LEFT($G2097,3)="113"),"CHI",""))))</f>
        <v/>
      </c>
      <c r="N2097" s="117">
        <f>IF($M2097="THU",$G2097,IF($M2097="CHI",$F2097,""))</f>
        <v/>
      </c>
      <c r="O2097" s="117">
        <f>IF(OR($M2097="",$M2097="NB"),"",IF($J2097&lt;&gt;"",TEXT($J2097,"00"),IFERROR(VLOOKUP(LEFT($N2097,4),LCTT_MAP!$A$7:$C$66,IF($M2097="THU",2,3),FALSE()),IFERROR(VLOOKUP(LEFT($N2097,3),LCTT_MAP!$A$7:$C$66,IF($M2097="THU",2,3),FALSE()),IFERROR(VLOOKUP(LEFT($N2097,2),LCTT_MAP!$A$7:$C$66,IF($M2097="THU",2,3),FALSE()),IFERROR(VLOOKUP(LEFT($N2097,1),LCTT_MAP!$A$7:$C$66,IF($M2097="THU",2,3),FALSE()),IF($M2097="THU","06","07")))))))</f>
        <v/>
      </c>
      <c r="P2097" s="117">
        <f>P2096+IF(AND($H2097&lt;&gt;"",OR(LEFT($F2097,LEN(SC_TK))=SC_TK,LEFT($G2097,LEN(SC_TK))=SC_TK)),1,0)</f>
        <v/>
      </c>
    </row>
    <row r="2098" ht="15" customHeight="1" s="78">
      <c r="A2098" s="95">
        <f>IF($H2098="","",ROW()-6)</f>
        <v/>
      </c>
      <c r="B2098" s="114" t="n"/>
      <c r="C2098" s="102" t="n"/>
      <c r="D2098" s="114" t="n"/>
      <c r="E2098" s="103" t="n"/>
      <c r="F2098" s="102" t="n"/>
      <c r="G2098" s="102" t="n"/>
      <c r="H2098" s="115" t="n"/>
      <c r="I2098" s="102" t="n"/>
      <c r="J2098" s="102" t="n"/>
      <c r="K2098" s="103" t="n"/>
      <c r="L2098" s="116">
        <f>IF($H2098="","",TRIM(IF(COUNTIF(DMTK!$A$7:$A$250,$F2098)=0,"TK Nợ sai! ","")&amp;IF(COUNTIF(DMTK!$A$7:$A$250,$G2098)=0,"TK Có sai! ","")&amp;IF(N($H2098)&lt;=0,"Tiền phải &gt; 0! ","")&amp;IF($B2098="","Thiếu ngày! ","")&amp;IF(AND(OR(LEFT($F2098,3)="131",LEFT($G2098,3)="131",LEFT($F2098,3)="331",LEFT($G2098,3)="331"),$I2098=""),"Thiếu Mã ĐT! ","")&amp;IF(AND($I2098&lt;&gt;"",COUNTIF(DM_DT!$A$7:$A$306,$I2098)=0),"Mã ĐT chưa khai báo! ","")))</f>
        <v/>
      </c>
      <c r="M2098" s="117">
        <f>IF($H2098="","",IF(AND(OR(LEFT($F2098,3)="111",LEFT($F2098,3)="112",LEFT($F2098,3)="113"),OR(LEFT($G2098,3)="111",LEFT($G2098,3)="112",LEFT($G2098,3)="113")),"NB",IF(OR(LEFT($F2098,3)="111",LEFT($F2098,3)="112",LEFT($F2098,3)="113"),"THU",IF(OR(LEFT($G2098,3)="111",LEFT($G2098,3)="112",LEFT($G2098,3)="113"),"CHI",""))))</f>
        <v/>
      </c>
      <c r="N2098" s="117">
        <f>IF($M2098="THU",$G2098,IF($M2098="CHI",$F2098,""))</f>
        <v/>
      </c>
      <c r="O2098" s="117">
        <f>IF(OR($M2098="",$M2098="NB"),"",IF($J2098&lt;&gt;"",TEXT($J2098,"00"),IFERROR(VLOOKUP(LEFT($N2098,4),LCTT_MAP!$A$7:$C$66,IF($M2098="THU",2,3),FALSE()),IFERROR(VLOOKUP(LEFT($N2098,3),LCTT_MAP!$A$7:$C$66,IF($M2098="THU",2,3),FALSE()),IFERROR(VLOOKUP(LEFT($N2098,2),LCTT_MAP!$A$7:$C$66,IF($M2098="THU",2,3),FALSE()),IFERROR(VLOOKUP(LEFT($N2098,1),LCTT_MAP!$A$7:$C$66,IF($M2098="THU",2,3),FALSE()),IF($M2098="THU","06","07")))))))</f>
        <v/>
      </c>
      <c r="P2098" s="117">
        <f>P2097+IF(AND($H2098&lt;&gt;"",OR(LEFT($F2098,LEN(SC_TK))=SC_TK,LEFT($G2098,LEN(SC_TK))=SC_TK)),1,0)</f>
        <v/>
      </c>
    </row>
    <row r="2099" ht="15" customHeight="1" s="78">
      <c r="A2099" s="95">
        <f>IF($H2099="","",ROW()-6)</f>
        <v/>
      </c>
      <c r="B2099" s="114" t="n"/>
      <c r="C2099" s="102" t="n"/>
      <c r="D2099" s="114" t="n"/>
      <c r="E2099" s="103" t="n"/>
      <c r="F2099" s="102" t="n"/>
      <c r="G2099" s="102" t="n"/>
      <c r="H2099" s="115" t="n"/>
      <c r="I2099" s="102" t="n"/>
      <c r="J2099" s="102" t="n"/>
      <c r="K2099" s="103" t="n"/>
      <c r="L2099" s="116">
        <f>IF($H2099="","",TRIM(IF(COUNTIF(DMTK!$A$7:$A$250,$F2099)=0,"TK Nợ sai! ","")&amp;IF(COUNTIF(DMTK!$A$7:$A$250,$G2099)=0,"TK Có sai! ","")&amp;IF(N($H2099)&lt;=0,"Tiền phải &gt; 0! ","")&amp;IF($B2099="","Thiếu ngày! ","")&amp;IF(AND(OR(LEFT($F2099,3)="131",LEFT($G2099,3)="131",LEFT($F2099,3)="331",LEFT($G2099,3)="331"),$I2099=""),"Thiếu Mã ĐT! ","")&amp;IF(AND($I2099&lt;&gt;"",COUNTIF(DM_DT!$A$7:$A$306,$I2099)=0),"Mã ĐT chưa khai báo! ","")))</f>
        <v/>
      </c>
      <c r="M2099" s="117">
        <f>IF($H2099="","",IF(AND(OR(LEFT($F2099,3)="111",LEFT($F2099,3)="112",LEFT($F2099,3)="113"),OR(LEFT($G2099,3)="111",LEFT($G2099,3)="112",LEFT($G2099,3)="113")),"NB",IF(OR(LEFT($F2099,3)="111",LEFT($F2099,3)="112",LEFT($F2099,3)="113"),"THU",IF(OR(LEFT($G2099,3)="111",LEFT($G2099,3)="112",LEFT($G2099,3)="113"),"CHI",""))))</f>
        <v/>
      </c>
      <c r="N2099" s="117">
        <f>IF($M2099="THU",$G2099,IF($M2099="CHI",$F2099,""))</f>
        <v/>
      </c>
      <c r="O2099" s="117">
        <f>IF(OR($M2099="",$M2099="NB"),"",IF($J2099&lt;&gt;"",TEXT($J2099,"00"),IFERROR(VLOOKUP(LEFT($N2099,4),LCTT_MAP!$A$7:$C$66,IF($M2099="THU",2,3),FALSE()),IFERROR(VLOOKUP(LEFT($N2099,3),LCTT_MAP!$A$7:$C$66,IF($M2099="THU",2,3),FALSE()),IFERROR(VLOOKUP(LEFT($N2099,2),LCTT_MAP!$A$7:$C$66,IF($M2099="THU",2,3),FALSE()),IFERROR(VLOOKUP(LEFT($N2099,1),LCTT_MAP!$A$7:$C$66,IF($M2099="THU",2,3),FALSE()),IF($M2099="THU","06","07")))))))</f>
        <v/>
      </c>
      <c r="P2099" s="117">
        <f>P2098+IF(AND($H2099&lt;&gt;"",OR(LEFT($F2099,LEN(SC_TK))=SC_TK,LEFT($G2099,LEN(SC_TK))=SC_TK)),1,0)</f>
        <v/>
      </c>
    </row>
    <row r="2100" ht="15" customHeight="1" s="78">
      <c r="A2100" s="95">
        <f>IF($H2100="","",ROW()-6)</f>
        <v/>
      </c>
      <c r="B2100" s="114" t="n"/>
      <c r="C2100" s="102" t="n"/>
      <c r="D2100" s="114" t="n"/>
      <c r="E2100" s="103" t="n"/>
      <c r="F2100" s="102" t="n"/>
      <c r="G2100" s="102" t="n"/>
      <c r="H2100" s="115" t="n"/>
      <c r="I2100" s="102" t="n"/>
      <c r="J2100" s="102" t="n"/>
      <c r="K2100" s="103" t="n"/>
      <c r="L2100" s="116">
        <f>IF($H2100="","",TRIM(IF(COUNTIF(DMTK!$A$7:$A$250,$F2100)=0,"TK Nợ sai! ","")&amp;IF(COUNTIF(DMTK!$A$7:$A$250,$G2100)=0,"TK Có sai! ","")&amp;IF(N($H2100)&lt;=0,"Tiền phải &gt; 0! ","")&amp;IF($B2100="","Thiếu ngày! ","")&amp;IF(AND(OR(LEFT($F2100,3)="131",LEFT($G2100,3)="131",LEFT($F2100,3)="331",LEFT($G2100,3)="331"),$I2100=""),"Thiếu Mã ĐT! ","")&amp;IF(AND($I2100&lt;&gt;"",COUNTIF(DM_DT!$A$7:$A$306,$I2100)=0),"Mã ĐT chưa khai báo! ","")))</f>
        <v/>
      </c>
      <c r="M2100" s="117">
        <f>IF($H2100="","",IF(AND(OR(LEFT($F2100,3)="111",LEFT($F2100,3)="112",LEFT($F2100,3)="113"),OR(LEFT($G2100,3)="111",LEFT($G2100,3)="112",LEFT($G2100,3)="113")),"NB",IF(OR(LEFT($F2100,3)="111",LEFT($F2100,3)="112",LEFT($F2100,3)="113"),"THU",IF(OR(LEFT($G2100,3)="111",LEFT($G2100,3)="112",LEFT($G2100,3)="113"),"CHI",""))))</f>
        <v/>
      </c>
      <c r="N2100" s="117">
        <f>IF($M2100="THU",$G2100,IF($M2100="CHI",$F2100,""))</f>
        <v/>
      </c>
      <c r="O2100" s="117">
        <f>IF(OR($M2100="",$M2100="NB"),"",IF($J2100&lt;&gt;"",TEXT($J2100,"00"),IFERROR(VLOOKUP(LEFT($N2100,4),LCTT_MAP!$A$7:$C$66,IF($M2100="THU",2,3),FALSE()),IFERROR(VLOOKUP(LEFT($N2100,3),LCTT_MAP!$A$7:$C$66,IF($M2100="THU",2,3),FALSE()),IFERROR(VLOOKUP(LEFT($N2100,2),LCTT_MAP!$A$7:$C$66,IF($M2100="THU",2,3),FALSE()),IFERROR(VLOOKUP(LEFT($N2100,1),LCTT_MAP!$A$7:$C$66,IF($M2100="THU",2,3),FALSE()),IF($M2100="THU","06","07")))))))</f>
        <v/>
      </c>
      <c r="P2100" s="117">
        <f>P2099+IF(AND($H2100&lt;&gt;"",OR(LEFT($F2100,LEN(SC_TK))=SC_TK,LEFT($G2100,LEN(SC_TK))=SC_TK)),1,0)</f>
        <v/>
      </c>
    </row>
    <row r="2101" ht="15" customHeight="1" s="78">
      <c r="A2101" s="95">
        <f>IF($H2101="","",ROW()-6)</f>
        <v/>
      </c>
      <c r="B2101" s="114" t="n"/>
      <c r="C2101" s="102" t="n"/>
      <c r="D2101" s="114" t="n"/>
      <c r="E2101" s="103" t="n"/>
      <c r="F2101" s="102" t="n"/>
      <c r="G2101" s="102" t="n"/>
      <c r="H2101" s="115" t="n"/>
      <c r="I2101" s="102" t="n"/>
      <c r="J2101" s="102" t="n"/>
      <c r="K2101" s="103" t="n"/>
      <c r="L2101" s="116">
        <f>IF($H2101="","",TRIM(IF(COUNTIF(DMTK!$A$7:$A$250,$F2101)=0,"TK Nợ sai! ","")&amp;IF(COUNTIF(DMTK!$A$7:$A$250,$G2101)=0,"TK Có sai! ","")&amp;IF(N($H2101)&lt;=0,"Tiền phải &gt; 0! ","")&amp;IF($B2101="","Thiếu ngày! ","")&amp;IF(AND(OR(LEFT($F2101,3)="131",LEFT($G2101,3)="131",LEFT($F2101,3)="331",LEFT($G2101,3)="331"),$I2101=""),"Thiếu Mã ĐT! ","")&amp;IF(AND($I2101&lt;&gt;"",COUNTIF(DM_DT!$A$7:$A$306,$I2101)=0),"Mã ĐT chưa khai báo! ","")))</f>
        <v/>
      </c>
      <c r="M2101" s="117">
        <f>IF($H2101="","",IF(AND(OR(LEFT($F2101,3)="111",LEFT($F2101,3)="112",LEFT($F2101,3)="113"),OR(LEFT($G2101,3)="111",LEFT($G2101,3)="112",LEFT($G2101,3)="113")),"NB",IF(OR(LEFT($F2101,3)="111",LEFT($F2101,3)="112",LEFT($F2101,3)="113"),"THU",IF(OR(LEFT($G2101,3)="111",LEFT($G2101,3)="112",LEFT($G2101,3)="113"),"CHI",""))))</f>
        <v/>
      </c>
      <c r="N2101" s="117">
        <f>IF($M2101="THU",$G2101,IF($M2101="CHI",$F2101,""))</f>
        <v/>
      </c>
      <c r="O2101" s="117">
        <f>IF(OR($M2101="",$M2101="NB"),"",IF($J2101&lt;&gt;"",TEXT($J2101,"00"),IFERROR(VLOOKUP(LEFT($N2101,4),LCTT_MAP!$A$7:$C$66,IF($M2101="THU",2,3),FALSE()),IFERROR(VLOOKUP(LEFT($N2101,3),LCTT_MAP!$A$7:$C$66,IF($M2101="THU",2,3),FALSE()),IFERROR(VLOOKUP(LEFT($N2101,2),LCTT_MAP!$A$7:$C$66,IF($M2101="THU",2,3),FALSE()),IFERROR(VLOOKUP(LEFT($N2101,1),LCTT_MAP!$A$7:$C$66,IF($M2101="THU",2,3),FALSE()),IF($M2101="THU","06","07")))))))</f>
        <v/>
      </c>
      <c r="P2101" s="117">
        <f>P2100+IF(AND($H2101&lt;&gt;"",OR(LEFT($F2101,LEN(SC_TK))=SC_TK,LEFT($G2101,LEN(SC_TK))=SC_TK)),1,0)</f>
        <v/>
      </c>
    </row>
    <row r="2102" ht="15" customHeight="1" s="78">
      <c r="A2102" s="95">
        <f>IF($H2102="","",ROW()-6)</f>
        <v/>
      </c>
      <c r="B2102" s="114" t="n"/>
      <c r="C2102" s="102" t="n"/>
      <c r="D2102" s="114" t="n"/>
      <c r="E2102" s="103" t="n"/>
      <c r="F2102" s="102" t="n"/>
      <c r="G2102" s="102" t="n"/>
      <c r="H2102" s="115" t="n"/>
      <c r="I2102" s="102" t="n"/>
      <c r="J2102" s="102" t="n"/>
      <c r="K2102" s="103" t="n"/>
      <c r="L2102" s="116">
        <f>IF($H2102="","",TRIM(IF(COUNTIF(DMTK!$A$7:$A$250,$F2102)=0,"TK Nợ sai! ","")&amp;IF(COUNTIF(DMTK!$A$7:$A$250,$G2102)=0,"TK Có sai! ","")&amp;IF(N($H2102)&lt;=0,"Tiền phải &gt; 0! ","")&amp;IF($B2102="","Thiếu ngày! ","")&amp;IF(AND(OR(LEFT($F2102,3)="131",LEFT($G2102,3)="131",LEFT($F2102,3)="331",LEFT($G2102,3)="331"),$I2102=""),"Thiếu Mã ĐT! ","")&amp;IF(AND($I2102&lt;&gt;"",COUNTIF(DM_DT!$A$7:$A$306,$I2102)=0),"Mã ĐT chưa khai báo! ","")))</f>
        <v/>
      </c>
      <c r="M2102" s="117">
        <f>IF($H2102="","",IF(AND(OR(LEFT($F2102,3)="111",LEFT($F2102,3)="112",LEFT($F2102,3)="113"),OR(LEFT($G2102,3)="111",LEFT($G2102,3)="112",LEFT($G2102,3)="113")),"NB",IF(OR(LEFT($F2102,3)="111",LEFT($F2102,3)="112",LEFT($F2102,3)="113"),"THU",IF(OR(LEFT($G2102,3)="111",LEFT($G2102,3)="112",LEFT($G2102,3)="113"),"CHI",""))))</f>
        <v/>
      </c>
      <c r="N2102" s="117">
        <f>IF($M2102="THU",$G2102,IF($M2102="CHI",$F2102,""))</f>
        <v/>
      </c>
      <c r="O2102" s="117">
        <f>IF(OR($M2102="",$M2102="NB"),"",IF($J2102&lt;&gt;"",TEXT($J2102,"00"),IFERROR(VLOOKUP(LEFT($N2102,4),LCTT_MAP!$A$7:$C$66,IF($M2102="THU",2,3),FALSE()),IFERROR(VLOOKUP(LEFT($N2102,3),LCTT_MAP!$A$7:$C$66,IF($M2102="THU",2,3),FALSE()),IFERROR(VLOOKUP(LEFT($N2102,2),LCTT_MAP!$A$7:$C$66,IF($M2102="THU",2,3),FALSE()),IFERROR(VLOOKUP(LEFT($N2102,1),LCTT_MAP!$A$7:$C$66,IF($M2102="THU",2,3),FALSE()),IF($M2102="THU","06","07")))))))</f>
        <v/>
      </c>
      <c r="P2102" s="117">
        <f>P2101+IF(AND($H2102&lt;&gt;"",OR(LEFT($F2102,LEN(SC_TK))=SC_TK,LEFT($G2102,LEN(SC_TK))=SC_TK)),1,0)</f>
        <v/>
      </c>
    </row>
    <row r="2103" ht="15" customHeight="1" s="78">
      <c r="A2103" s="95">
        <f>IF($H2103="","",ROW()-6)</f>
        <v/>
      </c>
      <c r="B2103" s="114" t="n"/>
      <c r="C2103" s="102" t="n"/>
      <c r="D2103" s="114" t="n"/>
      <c r="E2103" s="103" t="n"/>
      <c r="F2103" s="102" t="n"/>
      <c r="G2103" s="102" t="n"/>
      <c r="H2103" s="115" t="n"/>
      <c r="I2103" s="102" t="n"/>
      <c r="J2103" s="102" t="n"/>
      <c r="K2103" s="103" t="n"/>
      <c r="L2103" s="116">
        <f>IF($H2103="","",TRIM(IF(COUNTIF(DMTK!$A$7:$A$250,$F2103)=0,"TK Nợ sai! ","")&amp;IF(COUNTIF(DMTK!$A$7:$A$250,$G2103)=0,"TK Có sai! ","")&amp;IF(N($H2103)&lt;=0,"Tiền phải &gt; 0! ","")&amp;IF($B2103="","Thiếu ngày! ","")&amp;IF(AND(OR(LEFT($F2103,3)="131",LEFT($G2103,3)="131",LEFT($F2103,3)="331",LEFT($G2103,3)="331"),$I2103=""),"Thiếu Mã ĐT! ","")&amp;IF(AND($I2103&lt;&gt;"",COUNTIF(DM_DT!$A$7:$A$306,$I2103)=0),"Mã ĐT chưa khai báo! ","")))</f>
        <v/>
      </c>
      <c r="M2103" s="117">
        <f>IF($H2103="","",IF(AND(OR(LEFT($F2103,3)="111",LEFT($F2103,3)="112",LEFT($F2103,3)="113"),OR(LEFT($G2103,3)="111",LEFT($G2103,3)="112",LEFT($G2103,3)="113")),"NB",IF(OR(LEFT($F2103,3)="111",LEFT($F2103,3)="112",LEFT($F2103,3)="113"),"THU",IF(OR(LEFT($G2103,3)="111",LEFT($G2103,3)="112",LEFT($G2103,3)="113"),"CHI",""))))</f>
        <v/>
      </c>
      <c r="N2103" s="117">
        <f>IF($M2103="THU",$G2103,IF($M2103="CHI",$F2103,""))</f>
        <v/>
      </c>
      <c r="O2103" s="117">
        <f>IF(OR($M2103="",$M2103="NB"),"",IF($J2103&lt;&gt;"",TEXT($J2103,"00"),IFERROR(VLOOKUP(LEFT($N2103,4),LCTT_MAP!$A$7:$C$66,IF($M2103="THU",2,3),FALSE()),IFERROR(VLOOKUP(LEFT($N2103,3),LCTT_MAP!$A$7:$C$66,IF($M2103="THU",2,3),FALSE()),IFERROR(VLOOKUP(LEFT($N2103,2),LCTT_MAP!$A$7:$C$66,IF($M2103="THU",2,3),FALSE()),IFERROR(VLOOKUP(LEFT($N2103,1),LCTT_MAP!$A$7:$C$66,IF($M2103="THU",2,3),FALSE()),IF($M2103="THU","06","07")))))))</f>
        <v/>
      </c>
      <c r="P2103" s="117">
        <f>P2102+IF(AND($H2103&lt;&gt;"",OR(LEFT($F2103,LEN(SC_TK))=SC_TK,LEFT($G2103,LEN(SC_TK))=SC_TK)),1,0)</f>
        <v/>
      </c>
    </row>
    <row r="2104" ht="15" customHeight="1" s="78">
      <c r="A2104" s="95">
        <f>IF($H2104="","",ROW()-6)</f>
        <v/>
      </c>
      <c r="B2104" s="114" t="n"/>
      <c r="C2104" s="102" t="n"/>
      <c r="D2104" s="114" t="n"/>
      <c r="E2104" s="103" t="n"/>
      <c r="F2104" s="102" t="n"/>
      <c r="G2104" s="102" t="n"/>
      <c r="H2104" s="115" t="n"/>
      <c r="I2104" s="102" t="n"/>
      <c r="J2104" s="102" t="n"/>
      <c r="K2104" s="103" t="n"/>
      <c r="L2104" s="116">
        <f>IF($H2104="","",TRIM(IF(COUNTIF(DMTK!$A$7:$A$250,$F2104)=0,"TK Nợ sai! ","")&amp;IF(COUNTIF(DMTK!$A$7:$A$250,$G2104)=0,"TK Có sai! ","")&amp;IF(N($H2104)&lt;=0,"Tiền phải &gt; 0! ","")&amp;IF($B2104="","Thiếu ngày! ","")&amp;IF(AND(OR(LEFT($F2104,3)="131",LEFT($G2104,3)="131",LEFT($F2104,3)="331",LEFT($G2104,3)="331"),$I2104=""),"Thiếu Mã ĐT! ","")&amp;IF(AND($I2104&lt;&gt;"",COUNTIF(DM_DT!$A$7:$A$306,$I2104)=0),"Mã ĐT chưa khai báo! ","")))</f>
        <v/>
      </c>
      <c r="M2104" s="117">
        <f>IF($H2104="","",IF(AND(OR(LEFT($F2104,3)="111",LEFT($F2104,3)="112",LEFT($F2104,3)="113"),OR(LEFT($G2104,3)="111",LEFT($G2104,3)="112",LEFT($G2104,3)="113")),"NB",IF(OR(LEFT($F2104,3)="111",LEFT($F2104,3)="112",LEFT($F2104,3)="113"),"THU",IF(OR(LEFT($G2104,3)="111",LEFT($G2104,3)="112",LEFT($G2104,3)="113"),"CHI",""))))</f>
        <v/>
      </c>
      <c r="N2104" s="117">
        <f>IF($M2104="THU",$G2104,IF($M2104="CHI",$F2104,""))</f>
        <v/>
      </c>
      <c r="O2104" s="117">
        <f>IF(OR($M2104="",$M2104="NB"),"",IF($J2104&lt;&gt;"",TEXT($J2104,"00"),IFERROR(VLOOKUP(LEFT($N2104,4),LCTT_MAP!$A$7:$C$66,IF($M2104="THU",2,3),FALSE()),IFERROR(VLOOKUP(LEFT($N2104,3),LCTT_MAP!$A$7:$C$66,IF($M2104="THU",2,3),FALSE()),IFERROR(VLOOKUP(LEFT($N2104,2),LCTT_MAP!$A$7:$C$66,IF($M2104="THU",2,3),FALSE()),IFERROR(VLOOKUP(LEFT($N2104,1),LCTT_MAP!$A$7:$C$66,IF($M2104="THU",2,3),FALSE()),IF($M2104="THU","06","07")))))))</f>
        <v/>
      </c>
      <c r="P2104" s="117">
        <f>P2103+IF(AND($H2104&lt;&gt;"",OR(LEFT($F2104,LEN(SC_TK))=SC_TK,LEFT($G2104,LEN(SC_TK))=SC_TK)),1,0)</f>
        <v/>
      </c>
    </row>
    <row r="2105" ht="15" customHeight="1" s="78">
      <c r="A2105" s="95">
        <f>IF($H2105="","",ROW()-6)</f>
        <v/>
      </c>
      <c r="B2105" s="114" t="n"/>
      <c r="C2105" s="102" t="n"/>
      <c r="D2105" s="114" t="n"/>
      <c r="E2105" s="103" t="n"/>
      <c r="F2105" s="102" t="n"/>
      <c r="G2105" s="102" t="n"/>
      <c r="H2105" s="115" t="n"/>
      <c r="I2105" s="102" t="n"/>
      <c r="J2105" s="102" t="n"/>
      <c r="K2105" s="103" t="n"/>
      <c r="L2105" s="116">
        <f>IF($H2105="","",TRIM(IF(COUNTIF(DMTK!$A$7:$A$250,$F2105)=0,"TK Nợ sai! ","")&amp;IF(COUNTIF(DMTK!$A$7:$A$250,$G2105)=0,"TK Có sai! ","")&amp;IF(N($H2105)&lt;=0,"Tiền phải &gt; 0! ","")&amp;IF($B2105="","Thiếu ngày! ","")&amp;IF(AND(OR(LEFT($F2105,3)="131",LEFT($G2105,3)="131",LEFT($F2105,3)="331",LEFT($G2105,3)="331"),$I2105=""),"Thiếu Mã ĐT! ","")&amp;IF(AND($I2105&lt;&gt;"",COUNTIF(DM_DT!$A$7:$A$306,$I2105)=0),"Mã ĐT chưa khai báo! ","")))</f>
        <v/>
      </c>
      <c r="M2105" s="117">
        <f>IF($H2105="","",IF(AND(OR(LEFT($F2105,3)="111",LEFT($F2105,3)="112",LEFT($F2105,3)="113"),OR(LEFT($G2105,3)="111",LEFT($G2105,3)="112",LEFT($G2105,3)="113")),"NB",IF(OR(LEFT($F2105,3)="111",LEFT($F2105,3)="112",LEFT($F2105,3)="113"),"THU",IF(OR(LEFT($G2105,3)="111",LEFT($G2105,3)="112",LEFT($G2105,3)="113"),"CHI",""))))</f>
        <v/>
      </c>
      <c r="N2105" s="117">
        <f>IF($M2105="THU",$G2105,IF($M2105="CHI",$F2105,""))</f>
        <v/>
      </c>
      <c r="O2105" s="117">
        <f>IF(OR($M2105="",$M2105="NB"),"",IF($J2105&lt;&gt;"",TEXT($J2105,"00"),IFERROR(VLOOKUP(LEFT($N2105,4),LCTT_MAP!$A$7:$C$66,IF($M2105="THU",2,3),FALSE()),IFERROR(VLOOKUP(LEFT($N2105,3),LCTT_MAP!$A$7:$C$66,IF($M2105="THU",2,3),FALSE()),IFERROR(VLOOKUP(LEFT($N2105,2),LCTT_MAP!$A$7:$C$66,IF($M2105="THU",2,3),FALSE()),IFERROR(VLOOKUP(LEFT($N2105,1),LCTT_MAP!$A$7:$C$66,IF($M2105="THU",2,3),FALSE()),IF($M2105="THU","06","07")))))))</f>
        <v/>
      </c>
      <c r="P2105" s="117">
        <f>P2104+IF(AND($H2105&lt;&gt;"",OR(LEFT($F2105,LEN(SC_TK))=SC_TK,LEFT($G2105,LEN(SC_TK))=SC_TK)),1,0)</f>
        <v/>
      </c>
    </row>
    <row r="2106" ht="15" customHeight="1" s="78">
      <c r="A2106" s="95">
        <f>IF($H2106="","",ROW()-6)</f>
        <v/>
      </c>
      <c r="B2106" s="114" t="n"/>
      <c r="C2106" s="102" t="n"/>
      <c r="D2106" s="114" t="n"/>
      <c r="E2106" s="103" t="n"/>
      <c r="F2106" s="102" t="n"/>
      <c r="G2106" s="102" t="n"/>
      <c r="H2106" s="115" t="n"/>
      <c r="I2106" s="102" t="n"/>
      <c r="J2106" s="102" t="n"/>
      <c r="K2106" s="103" t="n"/>
      <c r="L2106" s="116">
        <f>IF($H2106="","",TRIM(IF(COUNTIF(DMTK!$A$7:$A$250,$F2106)=0,"TK Nợ sai! ","")&amp;IF(COUNTIF(DMTK!$A$7:$A$250,$G2106)=0,"TK Có sai! ","")&amp;IF(N($H2106)&lt;=0,"Tiền phải &gt; 0! ","")&amp;IF($B2106="","Thiếu ngày! ","")&amp;IF(AND(OR(LEFT($F2106,3)="131",LEFT($G2106,3)="131",LEFT($F2106,3)="331",LEFT($G2106,3)="331"),$I2106=""),"Thiếu Mã ĐT! ","")&amp;IF(AND($I2106&lt;&gt;"",COUNTIF(DM_DT!$A$7:$A$306,$I2106)=0),"Mã ĐT chưa khai báo! ","")))</f>
        <v/>
      </c>
      <c r="M2106" s="117">
        <f>IF($H2106="","",IF(AND(OR(LEFT($F2106,3)="111",LEFT($F2106,3)="112",LEFT($F2106,3)="113"),OR(LEFT($G2106,3)="111",LEFT($G2106,3)="112",LEFT($G2106,3)="113")),"NB",IF(OR(LEFT($F2106,3)="111",LEFT($F2106,3)="112",LEFT($F2106,3)="113"),"THU",IF(OR(LEFT($G2106,3)="111",LEFT($G2106,3)="112",LEFT($G2106,3)="113"),"CHI",""))))</f>
        <v/>
      </c>
      <c r="N2106" s="117">
        <f>IF($M2106="THU",$G2106,IF($M2106="CHI",$F2106,""))</f>
        <v/>
      </c>
      <c r="O2106" s="117">
        <f>IF(OR($M2106="",$M2106="NB"),"",IF($J2106&lt;&gt;"",TEXT($J2106,"00"),IFERROR(VLOOKUP(LEFT($N2106,4),LCTT_MAP!$A$7:$C$66,IF($M2106="THU",2,3),FALSE()),IFERROR(VLOOKUP(LEFT($N2106,3),LCTT_MAP!$A$7:$C$66,IF($M2106="THU",2,3),FALSE()),IFERROR(VLOOKUP(LEFT($N2106,2),LCTT_MAP!$A$7:$C$66,IF($M2106="THU",2,3),FALSE()),IFERROR(VLOOKUP(LEFT($N2106,1),LCTT_MAP!$A$7:$C$66,IF($M2106="THU",2,3),FALSE()),IF($M2106="THU","06","07")))))))</f>
        <v/>
      </c>
      <c r="P2106" s="117">
        <f>P2105+IF(AND($H2106&lt;&gt;"",OR(LEFT($F2106,LEN(SC_TK))=SC_TK,LEFT($G2106,LEN(SC_TK))=SC_TK)),1,0)</f>
        <v/>
      </c>
    </row>
    <row r="2107" ht="15" customHeight="1" s="78">
      <c r="A2107" s="95">
        <f>IF($H2107="","",ROW()-6)</f>
        <v/>
      </c>
      <c r="B2107" s="114" t="n"/>
      <c r="C2107" s="102" t="n"/>
      <c r="D2107" s="114" t="n"/>
      <c r="E2107" s="103" t="n"/>
      <c r="F2107" s="102" t="n"/>
      <c r="G2107" s="102" t="n"/>
      <c r="H2107" s="115" t="n"/>
      <c r="I2107" s="102" t="n"/>
      <c r="J2107" s="102" t="n"/>
      <c r="K2107" s="103" t="n"/>
      <c r="L2107" s="116">
        <f>IF($H2107="","",TRIM(IF(COUNTIF(DMTK!$A$7:$A$250,$F2107)=0,"TK Nợ sai! ","")&amp;IF(COUNTIF(DMTK!$A$7:$A$250,$G2107)=0,"TK Có sai! ","")&amp;IF(N($H2107)&lt;=0,"Tiền phải &gt; 0! ","")&amp;IF($B2107="","Thiếu ngày! ","")&amp;IF(AND(OR(LEFT($F2107,3)="131",LEFT($G2107,3)="131",LEFT($F2107,3)="331",LEFT($G2107,3)="331"),$I2107=""),"Thiếu Mã ĐT! ","")&amp;IF(AND($I2107&lt;&gt;"",COUNTIF(DM_DT!$A$7:$A$306,$I2107)=0),"Mã ĐT chưa khai báo! ","")))</f>
        <v/>
      </c>
      <c r="M2107" s="117">
        <f>IF($H2107="","",IF(AND(OR(LEFT($F2107,3)="111",LEFT($F2107,3)="112",LEFT($F2107,3)="113"),OR(LEFT($G2107,3)="111",LEFT($G2107,3)="112",LEFT($G2107,3)="113")),"NB",IF(OR(LEFT($F2107,3)="111",LEFT($F2107,3)="112",LEFT($F2107,3)="113"),"THU",IF(OR(LEFT($G2107,3)="111",LEFT($G2107,3)="112",LEFT($G2107,3)="113"),"CHI",""))))</f>
        <v/>
      </c>
      <c r="N2107" s="117">
        <f>IF($M2107="THU",$G2107,IF($M2107="CHI",$F2107,""))</f>
        <v/>
      </c>
      <c r="O2107" s="117">
        <f>IF(OR($M2107="",$M2107="NB"),"",IF($J2107&lt;&gt;"",TEXT($J2107,"00"),IFERROR(VLOOKUP(LEFT($N2107,4),LCTT_MAP!$A$7:$C$66,IF($M2107="THU",2,3),FALSE()),IFERROR(VLOOKUP(LEFT($N2107,3),LCTT_MAP!$A$7:$C$66,IF($M2107="THU",2,3),FALSE()),IFERROR(VLOOKUP(LEFT($N2107,2),LCTT_MAP!$A$7:$C$66,IF($M2107="THU",2,3),FALSE()),IFERROR(VLOOKUP(LEFT($N2107,1),LCTT_MAP!$A$7:$C$66,IF($M2107="THU",2,3),FALSE()),IF($M2107="THU","06","07")))))))</f>
        <v/>
      </c>
      <c r="P2107" s="117">
        <f>P2106+IF(AND($H2107&lt;&gt;"",OR(LEFT($F2107,LEN(SC_TK))=SC_TK,LEFT($G2107,LEN(SC_TK))=SC_TK)),1,0)</f>
        <v/>
      </c>
    </row>
    <row r="2108" ht="15" customHeight="1" s="78">
      <c r="A2108" s="95">
        <f>IF($H2108="","",ROW()-6)</f>
        <v/>
      </c>
      <c r="B2108" s="114" t="n"/>
      <c r="C2108" s="102" t="n"/>
      <c r="D2108" s="114" t="n"/>
      <c r="E2108" s="103" t="n"/>
      <c r="F2108" s="102" t="n"/>
      <c r="G2108" s="102" t="n"/>
      <c r="H2108" s="115" t="n"/>
      <c r="I2108" s="102" t="n"/>
      <c r="J2108" s="102" t="n"/>
      <c r="K2108" s="103" t="n"/>
      <c r="L2108" s="116">
        <f>IF($H2108="","",TRIM(IF(COUNTIF(DMTK!$A$7:$A$250,$F2108)=0,"TK Nợ sai! ","")&amp;IF(COUNTIF(DMTK!$A$7:$A$250,$G2108)=0,"TK Có sai! ","")&amp;IF(N($H2108)&lt;=0,"Tiền phải &gt; 0! ","")&amp;IF($B2108="","Thiếu ngày! ","")&amp;IF(AND(OR(LEFT($F2108,3)="131",LEFT($G2108,3)="131",LEFT($F2108,3)="331",LEFT($G2108,3)="331"),$I2108=""),"Thiếu Mã ĐT! ","")&amp;IF(AND($I2108&lt;&gt;"",COUNTIF(DM_DT!$A$7:$A$306,$I2108)=0),"Mã ĐT chưa khai báo! ","")))</f>
        <v/>
      </c>
      <c r="M2108" s="117">
        <f>IF($H2108="","",IF(AND(OR(LEFT($F2108,3)="111",LEFT($F2108,3)="112",LEFT($F2108,3)="113"),OR(LEFT($G2108,3)="111",LEFT($G2108,3)="112",LEFT($G2108,3)="113")),"NB",IF(OR(LEFT($F2108,3)="111",LEFT($F2108,3)="112",LEFT($F2108,3)="113"),"THU",IF(OR(LEFT($G2108,3)="111",LEFT($G2108,3)="112",LEFT($G2108,3)="113"),"CHI",""))))</f>
        <v/>
      </c>
      <c r="N2108" s="117">
        <f>IF($M2108="THU",$G2108,IF($M2108="CHI",$F2108,""))</f>
        <v/>
      </c>
      <c r="O2108" s="117">
        <f>IF(OR($M2108="",$M2108="NB"),"",IF($J2108&lt;&gt;"",TEXT($J2108,"00"),IFERROR(VLOOKUP(LEFT($N2108,4),LCTT_MAP!$A$7:$C$66,IF($M2108="THU",2,3),FALSE()),IFERROR(VLOOKUP(LEFT($N2108,3),LCTT_MAP!$A$7:$C$66,IF($M2108="THU",2,3),FALSE()),IFERROR(VLOOKUP(LEFT($N2108,2),LCTT_MAP!$A$7:$C$66,IF($M2108="THU",2,3),FALSE()),IFERROR(VLOOKUP(LEFT($N2108,1),LCTT_MAP!$A$7:$C$66,IF($M2108="THU",2,3),FALSE()),IF($M2108="THU","06","07")))))))</f>
        <v/>
      </c>
      <c r="P2108" s="117">
        <f>P2107+IF(AND($H2108&lt;&gt;"",OR(LEFT($F2108,LEN(SC_TK))=SC_TK,LEFT($G2108,LEN(SC_TK))=SC_TK)),1,0)</f>
        <v/>
      </c>
    </row>
    <row r="2109" ht="15" customHeight="1" s="78">
      <c r="A2109" s="95">
        <f>IF($H2109="","",ROW()-6)</f>
        <v/>
      </c>
      <c r="B2109" s="114" t="n"/>
      <c r="C2109" s="102" t="n"/>
      <c r="D2109" s="114" t="n"/>
      <c r="E2109" s="103" t="n"/>
      <c r="F2109" s="102" t="n"/>
      <c r="G2109" s="102" t="n"/>
      <c r="H2109" s="115" t="n"/>
      <c r="I2109" s="102" t="n"/>
      <c r="J2109" s="102" t="n"/>
      <c r="K2109" s="103" t="n"/>
      <c r="L2109" s="116">
        <f>IF($H2109="","",TRIM(IF(COUNTIF(DMTK!$A$7:$A$250,$F2109)=0,"TK Nợ sai! ","")&amp;IF(COUNTIF(DMTK!$A$7:$A$250,$G2109)=0,"TK Có sai! ","")&amp;IF(N($H2109)&lt;=0,"Tiền phải &gt; 0! ","")&amp;IF($B2109="","Thiếu ngày! ","")&amp;IF(AND(OR(LEFT($F2109,3)="131",LEFT($G2109,3)="131",LEFT($F2109,3)="331",LEFT($G2109,3)="331"),$I2109=""),"Thiếu Mã ĐT! ","")&amp;IF(AND($I2109&lt;&gt;"",COUNTIF(DM_DT!$A$7:$A$306,$I2109)=0),"Mã ĐT chưa khai báo! ","")))</f>
        <v/>
      </c>
      <c r="M2109" s="117">
        <f>IF($H2109="","",IF(AND(OR(LEFT($F2109,3)="111",LEFT($F2109,3)="112",LEFT($F2109,3)="113"),OR(LEFT($G2109,3)="111",LEFT($G2109,3)="112",LEFT($G2109,3)="113")),"NB",IF(OR(LEFT($F2109,3)="111",LEFT($F2109,3)="112",LEFT($F2109,3)="113"),"THU",IF(OR(LEFT($G2109,3)="111",LEFT($G2109,3)="112",LEFT($G2109,3)="113"),"CHI",""))))</f>
        <v/>
      </c>
      <c r="N2109" s="117">
        <f>IF($M2109="THU",$G2109,IF($M2109="CHI",$F2109,""))</f>
        <v/>
      </c>
      <c r="O2109" s="117">
        <f>IF(OR($M2109="",$M2109="NB"),"",IF($J2109&lt;&gt;"",TEXT($J2109,"00"),IFERROR(VLOOKUP(LEFT($N2109,4),LCTT_MAP!$A$7:$C$66,IF($M2109="THU",2,3),FALSE()),IFERROR(VLOOKUP(LEFT($N2109,3),LCTT_MAP!$A$7:$C$66,IF($M2109="THU",2,3),FALSE()),IFERROR(VLOOKUP(LEFT($N2109,2),LCTT_MAP!$A$7:$C$66,IF($M2109="THU",2,3),FALSE()),IFERROR(VLOOKUP(LEFT($N2109,1),LCTT_MAP!$A$7:$C$66,IF($M2109="THU",2,3),FALSE()),IF($M2109="THU","06","07")))))))</f>
        <v/>
      </c>
      <c r="P2109" s="117">
        <f>P2108+IF(AND($H2109&lt;&gt;"",OR(LEFT($F2109,LEN(SC_TK))=SC_TK,LEFT($G2109,LEN(SC_TK))=SC_TK)),1,0)</f>
        <v/>
      </c>
    </row>
    <row r="2110" ht="15" customHeight="1" s="78">
      <c r="A2110" s="95">
        <f>IF($H2110="","",ROW()-6)</f>
        <v/>
      </c>
      <c r="B2110" s="114" t="n"/>
      <c r="C2110" s="102" t="n"/>
      <c r="D2110" s="114" t="n"/>
      <c r="E2110" s="103" t="n"/>
      <c r="F2110" s="102" t="n"/>
      <c r="G2110" s="102" t="n"/>
      <c r="H2110" s="115" t="n"/>
      <c r="I2110" s="102" t="n"/>
      <c r="J2110" s="102" t="n"/>
      <c r="K2110" s="103" t="n"/>
      <c r="L2110" s="116">
        <f>IF($H2110="","",TRIM(IF(COUNTIF(DMTK!$A$7:$A$250,$F2110)=0,"TK Nợ sai! ","")&amp;IF(COUNTIF(DMTK!$A$7:$A$250,$G2110)=0,"TK Có sai! ","")&amp;IF(N($H2110)&lt;=0,"Tiền phải &gt; 0! ","")&amp;IF($B2110="","Thiếu ngày! ","")&amp;IF(AND(OR(LEFT($F2110,3)="131",LEFT($G2110,3)="131",LEFT($F2110,3)="331",LEFT($G2110,3)="331"),$I2110=""),"Thiếu Mã ĐT! ","")&amp;IF(AND($I2110&lt;&gt;"",COUNTIF(DM_DT!$A$7:$A$306,$I2110)=0),"Mã ĐT chưa khai báo! ","")))</f>
        <v/>
      </c>
      <c r="M2110" s="117">
        <f>IF($H2110="","",IF(AND(OR(LEFT($F2110,3)="111",LEFT($F2110,3)="112",LEFT($F2110,3)="113"),OR(LEFT($G2110,3)="111",LEFT($G2110,3)="112",LEFT($G2110,3)="113")),"NB",IF(OR(LEFT($F2110,3)="111",LEFT($F2110,3)="112",LEFT($F2110,3)="113"),"THU",IF(OR(LEFT($G2110,3)="111",LEFT($G2110,3)="112",LEFT($G2110,3)="113"),"CHI",""))))</f>
        <v/>
      </c>
      <c r="N2110" s="117">
        <f>IF($M2110="THU",$G2110,IF($M2110="CHI",$F2110,""))</f>
        <v/>
      </c>
      <c r="O2110" s="117">
        <f>IF(OR($M2110="",$M2110="NB"),"",IF($J2110&lt;&gt;"",TEXT($J2110,"00"),IFERROR(VLOOKUP(LEFT($N2110,4),LCTT_MAP!$A$7:$C$66,IF($M2110="THU",2,3),FALSE()),IFERROR(VLOOKUP(LEFT($N2110,3),LCTT_MAP!$A$7:$C$66,IF($M2110="THU",2,3),FALSE()),IFERROR(VLOOKUP(LEFT($N2110,2),LCTT_MAP!$A$7:$C$66,IF($M2110="THU",2,3),FALSE()),IFERROR(VLOOKUP(LEFT($N2110,1),LCTT_MAP!$A$7:$C$66,IF($M2110="THU",2,3),FALSE()),IF($M2110="THU","06","07")))))))</f>
        <v/>
      </c>
      <c r="P2110" s="117">
        <f>P2109+IF(AND($H2110&lt;&gt;"",OR(LEFT($F2110,LEN(SC_TK))=SC_TK,LEFT($G2110,LEN(SC_TK))=SC_TK)),1,0)</f>
        <v/>
      </c>
    </row>
    <row r="2111" ht="15" customHeight="1" s="78">
      <c r="A2111" s="95">
        <f>IF($H2111="","",ROW()-6)</f>
        <v/>
      </c>
      <c r="B2111" s="114" t="n"/>
      <c r="C2111" s="102" t="n"/>
      <c r="D2111" s="114" t="n"/>
      <c r="E2111" s="103" t="n"/>
      <c r="F2111" s="102" t="n"/>
      <c r="G2111" s="102" t="n"/>
      <c r="H2111" s="115" t="n"/>
      <c r="I2111" s="102" t="n"/>
      <c r="J2111" s="102" t="n"/>
      <c r="K2111" s="103" t="n"/>
      <c r="L2111" s="116">
        <f>IF($H2111="","",TRIM(IF(COUNTIF(DMTK!$A$7:$A$250,$F2111)=0,"TK Nợ sai! ","")&amp;IF(COUNTIF(DMTK!$A$7:$A$250,$G2111)=0,"TK Có sai! ","")&amp;IF(N($H2111)&lt;=0,"Tiền phải &gt; 0! ","")&amp;IF($B2111="","Thiếu ngày! ","")&amp;IF(AND(OR(LEFT($F2111,3)="131",LEFT($G2111,3)="131",LEFT($F2111,3)="331",LEFT($G2111,3)="331"),$I2111=""),"Thiếu Mã ĐT! ","")&amp;IF(AND($I2111&lt;&gt;"",COUNTIF(DM_DT!$A$7:$A$306,$I2111)=0),"Mã ĐT chưa khai báo! ","")))</f>
        <v/>
      </c>
      <c r="M2111" s="117">
        <f>IF($H2111="","",IF(AND(OR(LEFT($F2111,3)="111",LEFT($F2111,3)="112",LEFT($F2111,3)="113"),OR(LEFT($G2111,3)="111",LEFT($G2111,3)="112",LEFT($G2111,3)="113")),"NB",IF(OR(LEFT($F2111,3)="111",LEFT($F2111,3)="112",LEFT($F2111,3)="113"),"THU",IF(OR(LEFT($G2111,3)="111",LEFT($G2111,3)="112",LEFT($G2111,3)="113"),"CHI",""))))</f>
        <v/>
      </c>
      <c r="N2111" s="117">
        <f>IF($M2111="THU",$G2111,IF($M2111="CHI",$F2111,""))</f>
        <v/>
      </c>
      <c r="O2111" s="117">
        <f>IF(OR($M2111="",$M2111="NB"),"",IF($J2111&lt;&gt;"",TEXT($J2111,"00"),IFERROR(VLOOKUP(LEFT($N2111,4),LCTT_MAP!$A$7:$C$66,IF($M2111="THU",2,3),FALSE()),IFERROR(VLOOKUP(LEFT($N2111,3),LCTT_MAP!$A$7:$C$66,IF($M2111="THU",2,3),FALSE()),IFERROR(VLOOKUP(LEFT($N2111,2),LCTT_MAP!$A$7:$C$66,IF($M2111="THU",2,3),FALSE()),IFERROR(VLOOKUP(LEFT($N2111,1),LCTT_MAP!$A$7:$C$66,IF($M2111="THU",2,3),FALSE()),IF($M2111="THU","06","07")))))))</f>
        <v/>
      </c>
      <c r="P2111" s="117">
        <f>P2110+IF(AND($H2111&lt;&gt;"",OR(LEFT($F2111,LEN(SC_TK))=SC_TK,LEFT($G2111,LEN(SC_TK))=SC_TK)),1,0)</f>
        <v/>
      </c>
    </row>
    <row r="2112" ht="15" customHeight="1" s="78">
      <c r="A2112" s="95">
        <f>IF($H2112="","",ROW()-6)</f>
        <v/>
      </c>
      <c r="B2112" s="114" t="n"/>
      <c r="C2112" s="102" t="n"/>
      <c r="D2112" s="114" t="n"/>
      <c r="E2112" s="103" t="n"/>
      <c r="F2112" s="102" t="n"/>
      <c r="G2112" s="102" t="n"/>
      <c r="H2112" s="115" t="n"/>
      <c r="I2112" s="102" t="n"/>
      <c r="J2112" s="102" t="n"/>
      <c r="K2112" s="103" t="n"/>
      <c r="L2112" s="116">
        <f>IF($H2112="","",TRIM(IF(COUNTIF(DMTK!$A$7:$A$250,$F2112)=0,"TK Nợ sai! ","")&amp;IF(COUNTIF(DMTK!$A$7:$A$250,$G2112)=0,"TK Có sai! ","")&amp;IF(N($H2112)&lt;=0,"Tiền phải &gt; 0! ","")&amp;IF($B2112="","Thiếu ngày! ","")&amp;IF(AND(OR(LEFT($F2112,3)="131",LEFT($G2112,3)="131",LEFT($F2112,3)="331",LEFT($G2112,3)="331"),$I2112=""),"Thiếu Mã ĐT! ","")&amp;IF(AND($I2112&lt;&gt;"",COUNTIF(DM_DT!$A$7:$A$306,$I2112)=0),"Mã ĐT chưa khai báo! ","")))</f>
        <v/>
      </c>
      <c r="M2112" s="117">
        <f>IF($H2112="","",IF(AND(OR(LEFT($F2112,3)="111",LEFT($F2112,3)="112",LEFT($F2112,3)="113"),OR(LEFT($G2112,3)="111",LEFT($G2112,3)="112",LEFT($G2112,3)="113")),"NB",IF(OR(LEFT($F2112,3)="111",LEFT($F2112,3)="112",LEFT($F2112,3)="113"),"THU",IF(OR(LEFT($G2112,3)="111",LEFT($G2112,3)="112",LEFT($G2112,3)="113"),"CHI",""))))</f>
        <v/>
      </c>
      <c r="N2112" s="117">
        <f>IF($M2112="THU",$G2112,IF($M2112="CHI",$F2112,""))</f>
        <v/>
      </c>
      <c r="O2112" s="117">
        <f>IF(OR($M2112="",$M2112="NB"),"",IF($J2112&lt;&gt;"",TEXT($J2112,"00"),IFERROR(VLOOKUP(LEFT($N2112,4),LCTT_MAP!$A$7:$C$66,IF($M2112="THU",2,3),FALSE()),IFERROR(VLOOKUP(LEFT($N2112,3),LCTT_MAP!$A$7:$C$66,IF($M2112="THU",2,3),FALSE()),IFERROR(VLOOKUP(LEFT($N2112,2),LCTT_MAP!$A$7:$C$66,IF($M2112="THU",2,3),FALSE()),IFERROR(VLOOKUP(LEFT($N2112,1),LCTT_MAP!$A$7:$C$66,IF($M2112="THU",2,3),FALSE()),IF($M2112="THU","06","07")))))))</f>
        <v/>
      </c>
      <c r="P2112" s="117">
        <f>P2111+IF(AND($H2112&lt;&gt;"",OR(LEFT($F2112,LEN(SC_TK))=SC_TK,LEFT($G2112,LEN(SC_TK))=SC_TK)),1,0)</f>
        <v/>
      </c>
    </row>
    <row r="2113" ht="15" customHeight="1" s="78">
      <c r="A2113" s="95">
        <f>IF($H2113="","",ROW()-6)</f>
        <v/>
      </c>
      <c r="B2113" s="114" t="n"/>
      <c r="C2113" s="102" t="n"/>
      <c r="D2113" s="114" t="n"/>
      <c r="E2113" s="103" t="n"/>
      <c r="F2113" s="102" t="n"/>
      <c r="G2113" s="102" t="n"/>
      <c r="H2113" s="115" t="n"/>
      <c r="I2113" s="102" t="n"/>
      <c r="J2113" s="102" t="n"/>
      <c r="K2113" s="103" t="n"/>
      <c r="L2113" s="116">
        <f>IF($H2113="","",TRIM(IF(COUNTIF(DMTK!$A$7:$A$250,$F2113)=0,"TK Nợ sai! ","")&amp;IF(COUNTIF(DMTK!$A$7:$A$250,$G2113)=0,"TK Có sai! ","")&amp;IF(N($H2113)&lt;=0,"Tiền phải &gt; 0! ","")&amp;IF($B2113="","Thiếu ngày! ","")&amp;IF(AND(OR(LEFT($F2113,3)="131",LEFT($G2113,3)="131",LEFT($F2113,3)="331",LEFT($G2113,3)="331"),$I2113=""),"Thiếu Mã ĐT! ","")&amp;IF(AND($I2113&lt;&gt;"",COUNTIF(DM_DT!$A$7:$A$306,$I2113)=0),"Mã ĐT chưa khai báo! ","")))</f>
        <v/>
      </c>
      <c r="M2113" s="117">
        <f>IF($H2113="","",IF(AND(OR(LEFT($F2113,3)="111",LEFT($F2113,3)="112",LEFT($F2113,3)="113"),OR(LEFT($G2113,3)="111",LEFT($G2113,3)="112",LEFT($G2113,3)="113")),"NB",IF(OR(LEFT($F2113,3)="111",LEFT($F2113,3)="112",LEFT($F2113,3)="113"),"THU",IF(OR(LEFT($G2113,3)="111",LEFT($G2113,3)="112",LEFT($G2113,3)="113"),"CHI",""))))</f>
        <v/>
      </c>
      <c r="N2113" s="117">
        <f>IF($M2113="THU",$G2113,IF($M2113="CHI",$F2113,""))</f>
        <v/>
      </c>
      <c r="O2113" s="117">
        <f>IF(OR($M2113="",$M2113="NB"),"",IF($J2113&lt;&gt;"",TEXT($J2113,"00"),IFERROR(VLOOKUP(LEFT($N2113,4),LCTT_MAP!$A$7:$C$66,IF($M2113="THU",2,3),FALSE()),IFERROR(VLOOKUP(LEFT($N2113,3),LCTT_MAP!$A$7:$C$66,IF($M2113="THU",2,3),FALSE()),IFERROR(VLOOKUP(LEFT($N2113,2),LCTT_MAP!$A$7:$C$66,IF($M2113="THU",2,3),FALSE()),IFERROR(VLOOKUP(LEFT($N2113,1),LCTT_MAP!$A$7:$C$66,IF($M2113="THU",2,3),FALSE()),IF($M2113="THU","06","07")))))))</f>
        <v/>
      </c>
      <c r="P2113" s="117">
        <f>P2112+IF(AND($H2113&lt;&gt;"",OR(LEFT($F2113,LEN(SC_TK))=SC_TK,LEFT($G2113,LEN(SC_TK))=SC_TK)),1,0)</f>
        <v/>
      </c>
    </row>
    <row r="2114" ht="15" customHeight="1" s="78">
      <c r="A2114" s="95">
        <f>IF($H2114="","",ROW()-6)</f>
        <v/>
      </c>
      <c r="B2114" s="114" t="n"/>
      <c r="C2114" s="102" t="n"/>
      <c r="D2114" s="114" t="n"/>
      <c r="E2114" s="103" t="n"/>
      <c r="F2114" s="102" t="n"/>
      <c r="G2114" s="102" t="n"/>
      <c r="H2114" s="115" t="n"/>
      <c r="I2114" s="102" t="n"/>
      <c r="J2114" s="102" t="n"/>
      <c r="K2114" s="103" t="n"/>
      <c r="L2114" s="116">
        <f>IF($H2114="","",TRIM(IF(COUNTIF(DMTK!$A$7:$A$250,$F2114)=0,"TK Nợ sai! ","")&amp;IF(COUNTIF(DMTK!$A$7:$A$250,$G2114)=0,"TK Có sai! ","")&amp;IF(N($H2114)&lt;=0,"Tiền phải &gt; 0! ","")&amp;IF($B2114="","Thiếu ngày! ","")&amp;IF(AND(OR(LEFT($F2114,3)="131",LEFT($G2114,3)="131",LEFT($F2114,3)="331",LEFT($G2114,3)="331"),$I2114=""),"Thiếu Mã ĐT! ","")&amp;IF(AND($I2114&lt;&gt;"",COUNTIF(DM_DT!$A$7:$A$306,$I2114)=0),"Mã ĐT chưa khai báo! ","")))</f>
        <v/>
      </c>
      <c r="M2114" s="117">
        <f>IF($H2114="","",IF(AND(OR(LEFT($F2114,3)="111",LEFT($F2114,3)="112",LEFT($F2114,3)="113"),OR(LEFT($G2114,3)="111",LEFT($G2114,3)="112",LEFT($G2114,3)="113")),"NB",IF(OR(LEFT($F2114,3)="111",LEFT($F2114,3)="112",LEFT($F2114,3)="113"),"THU",IF(OR(LEFT($G2114,3)="111",LEFT($G2114,3)="112",LEFT($G2114,3)="113"),"CHI",""))))</f>
        <v/>
      </c>
      <c r="N2114" s="117">
        <f>IF($M2114="THU",$G2114,IF($M2114="CHI",$F2114,""))</f>
        <v/>
      </c>
      <c r="O2114" s="117">
        <f>IF(OR($M2114="",$M2114="NB"),"",IF($J2114&lt;&gt;"",TEXT($J2114,"00"),IFERROR(VLOOKUP(LEFT($N2114,4),LCTT_MAP!$A$7:$C$66,IF($M2114="THU",2,3),FALSE()),IFERROR(VLOOKUP(LEFT($N2114,3),LCTT_MAP!$A$7:$C$66,IF($M2114="THU",2,3),FALSE()),IFERROR(VLOOKUP(LEFT($N2114,2),LCTT_MAP!$A$7:$C$66,IF($M2114="THU",2,3),FALSE()),IFERROR(VLOOKUP(LEFT($N2114,1),LCTT_MAP!$A$7:$C$66,IF($M2114="THU",2,3),FALSE()),IF($M2114="THU","06","07")))))))</f>
        <v/>
      </c>
      <c r="P2114" s="117">
        <f>P2113+IF(AND($H2114&lt;&gt;"",OR(LEFT($F2114,LEN(SC_TK))=SC_TK,LEFT($G2114,LEN(SC_TK))=SC_TK)),1,0)</f>
        <v/>
      </c>
    </row>
    <row r="2115" ht="15" customHeight="1" s="78">
      <c r="A2115" s="95">
        <f>IF($H2115="","",ROW()-6)</f>
        <v/>
      </c>
      <c r="B2115" s="114" t="n"/>
      <c r="C2115" s="102" t="n"/>
      <c r="D2115" s="114" t="n"/>
      <c r="E2115" s="103" t="n"/>
      <c r="F2115" s="102" t="n"/>
      <c r="G2115" s="102" t="n"/>
      <c r="H2115" s="115" t="n"/>
      <c r="I2115" s="102" t="n"/>
      <c r="J2115" s="102" t="n"/>
      <c r="K2115" s="103" t="n"/>
      <c r="L2115" s="116">
        <f>IF($H2115="","",TRIM(IF(COUNTIF(DMTK!$A$7:$A$250,$F2115)=0,"TK Nợ sai! ","")&amp;IF(COUNTIF(DMTK!$A$7:$A$250,$G2115)=0,"TK Có sai! ","")&amp;IF(N($H2115)&lt;=0,"Tiền phải &gt; 0! ","")&amp;IF($B2115="","Thiếu ngày! ","")&amp;IF(AND(OR(LEFT($F2115,3)="131",LEFT($G2115,3)="131",LEFT($F2115,3)="331",LEFT($G2115,3)="331"),$I2115=""),"Thiếu Mã ĐT! ","")&amp;IF(AND($I2115&lt;&gt;"",COUNTIF(DM_DT!$A$7:$A$306,$I2115)=0),"Mã ĐT chưa khai báo! ","")))</f>
        <v/>
      </c>
      <c r="M2115" s="117">
        <f>IF($H2115="","",IF(AND(OR(LEFT($F2115,3)="111",LEFT($F2115,3)="112",LEFT($F2115,3)="113"),OR(LEFT($G2115,3)="111",LEFT($G2115,3)="112",LEFT($G2115,3)="113")),"NB",IF(OR(LEFT($F2115,3)="111",LEFT($F2115,3)="112",LEFT($F2115,3)="113"),"THU",IF(OR(LEFT($G2115,3)="111",LEFT($G2115,3)="112",LEFT($G2115,3)="113"),"CHI",""))))</f>
        <v/>
      </c>
      <c r="N2115" s="117">
        <f>IF($M2115="THU",$G2115,IF($M2115="CHI",$F2115,""))</f>
        <v/>
      </c>
      <c r="O2115" s="117">
        <f>IF(OR($M2115="",$M2115="NB"),"",IF($J2115&lt;&gt;"",TEXT($J2115,"00"),IFERROR(VLOOKUP(LEFT($N2115,4),LCTT_MAP!$A$7:$C$66,IF($M2115="THU",2,3),FALSE()),IFERROR(VLOOKUP(LEFT($N2115,3),LCTT_MAP!$A$7:$C$66,IF($M2115="THU",2,3),FALSE()),IFERROR(VLOOKUP(LEFT($N2115,2),LCTT_MAP!$A$7:$C$66,IF($M2115="THU",2,3),FALSE()),IFERROR(VLOOKUP(LEFT($N2115,1),LCTT_MAP!$A$7:$C$66,IF($M2115="THU",2,3),FALSE()),IF($M2115="THU","06","07")))))))</f>
        <v/>
      </c>
      <c r="P2115" s="117">
        <f>P2114+IF(AND($H2115&lt;&gt;"",OR(LEFT($F2115,LEN(SC_TK))=SC_TK,LEFT($G2115,LEN(SC_TK))=SC_TK)),1,0)</f>
        <v/>
      </c>
    </row>
    <row r="2116" ht="15" customHeight="1" s="78">
      <c r="A2116" s="95">
        <f>IF($H2116="","",ROW()-6)</f>
        <v/>
      </c>
      <c r="B2116" s="114" t="n"/>
      <c r="C2116" s="102" t="n"/>
      <c r="D2116" s="114" t="n"/>
      <c r="E2116" s="103" t="n"/>
      <c r="F2116" s="102" t="n"/>
      <c r="G2116" s="102" t="n"/>
      <c r="H2116" s="115" t="n"/>
      <c r="I2116" s="102" t="n"/>
      <c r="J2116" s="102" t="n"/>
      <c r="K2116" s="103" t="n"/>
      <c r="L2116" s="116">
        <f>IF($H2116="","",TRIM(IF(COUNTIF(DMTK!$A$7:$A$250,$F2116)=0,"TK Nợ sai! ","")&amp;IF(COUNTIF(DMTK!$A$7:$A$250,$G2116)=0,"TK Có sai! ","")&amp;IF(N($H2116)&lt;=0,"Tiền phải &gt; 0! ","")&amp;IF($B2116="","Thiếu ngày! ","")&amp;IF(AND(OR(LEFT($F2116,3)="131",LEFT($G2116,3)="131",LEFT($F2116,3)="331",LEFT($G2116,3)="331"),$I2116=""),"Thiếu Mã ĐT! ","")&amp;IF(AND($I2116&lt;&gt;"",COUNTIF(DM_DT!$A$7:$A$306,$I2116)=0),"Mã ĐT chưa khai báo! ","")))</f>
        <v/>
      </c>
      <c r="M2116" s="117">
        <f>IF($H2116="","",IF(AND(OR(LEFT($F2116,3)="111",LEFT($F2116,3)="112",LEFT($F2116,3)="113"),OR(LEFT($G2116,3)="111",LEFT($G2116,3)="112",LEFT($G2116,3)="113")),"NB",IF(OR(LEFT($F2116,3)="111",LEFT($F2116,3)="112",LEFT($F2116,3)="113"),"THU",IF(OR(LEFT($G2116,3)="111",LEFT($G2116,3)="112",LEFT($G2116,3)="113"),"CHI",""))))</f>
        <v/>
      </c>
      <c r="N2116" s="117">
        <f>IF($M2116="THU",$G2116,IF($M2116="CHI",$F2116,""))</f>
        <v/>
      </c>
      <c r="O2116" s="117">
        <f>IF(OR($M2116="",$M2116="NB"),"",IF($J2116&lt;&gt;"",TEXT($J2116,"00"),IFERROR(VLOOKUP(LEFT($N2116,4),LCTT_MAP!$A$7:$C$66,IF($M2116="THU",2,3),FALSE()),IFERROR(VLOOKUP(LEFT($N2116,3),LCTT_MAP!$A$7:$C$66,IF($M2116="THU",2,3),FALSE()),IFERROR(VLOOKUP(LEFT($N2116,2),LCTT_MAP!$A$7:$C$66,IF($M2116="THU",2,3),FALSE()),IFERROR(VLOOKUP(LEFT($N2116,1),LCTT_MAP!$A$7:$C$66,IF($M2116="THU",2,3),FALSE()),IF($M2116="THU","06","07")))))))</f>
        <v/>
      </c>
      <c r="P2116" s="117">
        <f>P2115+IF(AND($H2116&lt;&gt;"",OR(LEFT($F2116,LEN(SC_TK))=SC_TK,LEFT($G2116,LEN(SC_TK))=SC_TK)),1,0)</f>
        <v/>
      </c>
    </row>
    <row r="2117" ht="15" customHeight="1" s="78">
      <c r="A2117" s="95">
        <f>IF($H2117="","",ROW()-6)</f>
        <v/>
      </c>
      <c r="B2117" s="114" t="n"/>
      <c r="C2117" s="102" t="n"/>
      <c r="D2117" s="114" t="n"/>
      <c r="E2117" s="103" t="n"/>
      <c r="F2117" s="102" t="n"/>
      <c r="G2117" s="102" t="n"/>
      <c r="H2117" s="115" t="n"/>
      <c r="I2117" s="102" t="n"/>
      <c r="J2117" s="102" t="n"/>
      <c r="K2117" s="103" t="n"/>
      <c r="L2117" s="116">
        <f>IF($H2117="","",TRIM(IF(COUNTIF(DMTK!$A$7:$A$250,$F2117)=0,"TK Nợ sai! ","")&amp;IF(COUNTIF(DMTK!$A$7:$A$250,$G2117)=0,"TK Có sai! ","")&amp;IF(N($H2117)&lt;=0,"Tiền phải &gt; 0! ","")&amp;IF($B2117="","Thiếu ngày! ","")&amp;IF(AND(OR(LEFT($F2117,3)="131",LEFT($G2117,3)="131",LEFT($F2117,3)="331",LEFT($G2117,3)="331"),$I2117=""),"Thiếu Mã ĐT! ","")&amp;IF(AND($I2117&lt;&gt;"",COUNTIF(DM_DT!$A$7:$A$306,$I2117)=0),"Mã ĐT chưa khai báo! ","")))</f>
        <v/>
      </c>
      <c r="M2117" s="117">
        <f>IF($H2117="","",IF(AND(OR(LEFT($F2117,3)="111",LEFT($F2117,3)="112",LEFT($F2117,3)="113"),OR(LEFT($G2117,3)="111",LEFT($G2117,3)="112",LEFT($G2117,3)="113")),"NB",IF(OR(LEFT($F2117,3)="111",LEFT($F2117,3)="112",LEFT($F2117,3)="113"),"THU",IF(OR(LEFT($G2117,3)="111",LEFT($G2117,3)="112",LEFT($G2117,3)="113"),"CHI",""))))</f>
        <v/>
      </c>
      <c r="N2117" s="117">
        <f>IF($M2117="THU",$G2117,IF($M2117="CHI",$F2117,""))</f>
        <v/>
      </c>
      <c r="O2117" s="117">
        <f>IF(OR($M2117="",$M2117="NB"),"",IF($J2117&lt;&gt;"",TEXT($J2117,"00"),IFERROR(VLOOKUP(LEFT($N2117,4),LCTT_MAP!$A$7:$C$66,IF($M2117="THU",2,3),FALSE()),IFERROR(VLOOKUP(LEFT($N2117,3),LCTT_MAP!$A$7:$C$66,IF($M2117="THU",2,3),FALSE()),IFERROR(VLOOKUP(LEFT($N2117,2),LCTT_MAP!$A$7:$C$66,IF($M2117="THU",2,3),FALSE()),IFERROR(VLOOKUP(LEFT($N2117,1),LCTT_MAP!$A$7:$C$66,IF($M2117="THU",2,3),FALSE()),IF($M2117="THU","06","07")))))))</f>
        <v/>
      </c>
      <c r="P2117" s="117">
        <f>P2116+IF(AND($H2117&lt;&gt;"",OR(LEFT($F2117,LEN(SC_TK))=SC_TK,LEFT($G2117,LEN(SC_TK))=SC_TK)),1,0)</f>
        <v/>
      </c>
    </row>
    <row r="2118" ht="15" customHeight="1" s="78">
      <c r="A2118" s="95">
        <f>IF($H2118="","",ROW()-6)</f>
        <v/>
      </c>
      <c r="B2118" s="114" t="n"/>
      <c r="C2118" s="102" t="n"/>
      <c r="D2118" s="114" t="n"/>
      <c r="E2118" s="103" t="n"/>
      <c r="F2118" s="102" t="n"/>
      <c r="G2118" s="102" t="n"/>
      <c r="H2118" s="115" t="n"/>
      <c r="I2118" s="102" t="n"/>
      <c r="J2118" s="102" t="n"/>
      <c r="K2118" s="103" t="n"/>
      <c r="L2118" s="116">
        <f>IF($H2118="","",TRIM(IF(COUNTIF(DMTK!$A$7:$A$250,$F2118)=0,"TK Nợ sai! ","")&amp;IF(COUNTIF(DMTK!$A$7:$A$250,$G2118)=0,"TK Có sai! ","")&amp;IF(N($H2118)&lt;=0,"Tiền phải &gt; 0! ","")&amp;IF($B2118="","Thiếu ngày! ","")&amp;IF(AND(OR(LEFT($F2118,3)="131",LEFT($G2118,3)="131",LEFT($F2118,3)="331",LEFT($G2118,3)="331"),$I2118=""),"Thiếu Mã ĐT! ","")&amp;IF(AND($I2118&lt;&gt;"",COUNTIF(DM_DT!$A$7:$A$306,$I2118)=0),"Mã ĐT chưa khai báo! ","")))</f>
        <v/>
      </c>
      <c r="M2118" s="117">
        <f>IF($H2118="","",IF(AND(OR(LEFT($F2118,3)="111",LEFT($F2118,3)="112",LEFT($F2118,3)="113"),OR(LEFT($G2118,3)="111",LEFT($G2118,3)="112",LEFT($G2118,3)="113")),"NB",IF(OR(LEFT($F2118,3)="111",LEFT($F2118,3)="112",LEFT($F2118,3)="113"),"THU",IF(OR(LEFT($G2118,3)="111",LEFT($G2118,3)="112",LEFT($G2118,3)="113"),"CHI",""))))</f>
        <v/>
      </c>
      <c r="N2118" s="117">
        <f>IF($M2118="THU",$G2118,IF($M2118="CHI",$F2118,""))</f>
        <v/>
      </c>
      <c r="O2118" s="117">
        <f>IF(OR($M2118="",$M2118="NB"),"",IF($J2118&lt;&gt;"",TEXT($J2118,"00"),IFERROR(VLOOKUP(LEFT($N2118,4),LCTT_MAP!$A$7:$C$66,IF($M2118="THU",2,3),FALSE()),IFERROR(VLOOKUP(LEFT($N2118,3),LCTT_MAP!$A$7:$C$66,IF($M2118="THU",2,3),FALSE()),IFERROR(VLOOKUP(LEFT($N2118,2),LCTT_MAP!$A$7:$C$66,IF($M2118="THU",2,3),FALSE()),IFERROR(VLOOKUP(LEFT($N2118,1),LCTT_MAP!$A$7:$C$66,IF($M2118="THU",2,3),FALSE()),IF($M2118="THU","06","07")))))))</f>
        <v/>
      </c>
      <c r="P2118" s="117">
        <f>P2117+IF(AND($H2118&lt;&gt;"",OR(LEFT($F2118,LEN(SC_TK))=SC_TK,LEFT($G2118,LEN(SC_TK))=SC_TK)),1,0)</f>
        <v/>
      </c>
    </row>
    <row r="2119" ht="15" customHeight="1" s="78">
      <c r="A2119" s="95">
        <f>IF($H2119="","",ROW()-6)</f>
        <v/>
      </c>
      <c r="B2119" s="114" t="n"/>
      <c r="C2119" s="102" t="n"/>
      <c r="D2119" s="114" t="n"/>
      <c r="E2119" s="103" t="n"/>
      <c r="F2119" s="102" t="n"/>
      <c r="G2119" s="102" t="n"/>
      <c r="H2119" s="115" t="n"/>
      <c r="I2119" s="102" t="n"/>
      <c r="J2119" s="102" t="n"/>
      <c r="K2119" s="103" t="n"/>
      <c r="L2119" s="116">
        <f>IF($H2119="","",TRIM(IF(COUNTIF(DMTK!$A$7:$A$250,$F2119)=0,"TK Nợ sai! ","")&amp;IF(COUNTIF(DMTK!$A$7:$A$250,$G2119)=0,"TK Có sai! ","")&amp;IF(N($H2119)&lt;=0,"Tiền phải &gt; 0! ","")&amp;IF($B2119="","Thiếu ngày! ","")&amp;IF(AND(OR(LEFT($F2119,3)="131",LEFT($G2119,3)="131",LEFT($F2119,3)="331",LEFT($G2119,3)="331"),$I2119=""),"Thiếu Mã ĐT! ","")&amp;IF(AND($I2119&lt;&gt;"",COUNTIF(DM_DT!$A$7:$A$306,$I2119)=0),"Mã ĐT chưa khai báo! ","")))</f>
        <v/>
      </c>
      <c r="M2119" s="117">
        <f>IF($H2119="","",IF(AND(OR(LEFT($F2119,3)="111",LEFT($F2119,3)="112",LEFT($F2119,3)="113"),OR(LEFT($G2119,3)="111",LEFT($G2119,3)="112",LEFT($G2119,3)="113")),"NB",IF(OR(LEFT($F2119,3)="111",LEFT($F2119,3)="112",LEFT($F2119,3)="113"),"THU",IF(OR(LEFT($G2119,3)="111",LEFT($G2119,3)="112",LEFT($G2119,3)="113"),"CHI",""))))</f>
        <v/>
      </c>
      <c r="N2119" s="117">
        <f>IF($M2119="THU",$G2119,IF($M2119="CHI",$F2119,""))</f>
        <v/>
      </c>
      <c r="O2119" s="117">
        <f>IF(OR($M2119="",$M2119="NB"),"",IF($J2119&lt;&gt;"",TEXT($J2119,"00"),IFERROR(VLOOKUP(LEFT($N2119,4),LCTT_MAP!$A$7:$C$66,IF($M2119="THU",2,3),FALSE()),IFERROR(VLOOKUP(LEFT($N2119,3),LCTT_MAP!$A$7:$C$66,IF($M2119="THU",2,3),FALSE()),IFERROR(VLOOKUP(LEFT($N2119,2),LCTT_MAP!$A$7:$C$66,IF($M2119="THU",2,3),FALSE()),IFERROR(VLOOKUP(LEFT($N2119,1),LCTT_MAP!$A$7:$C$66,IF($M2119="THU",2,3),FALSE()),IF($M2119="THU","06","07")))))))</f>
        <v/>
      </c>
      <c r="P2119" s="117">
        <f>P2118+IF(AND($H2119&lt;&gt;"",OR(LEFT($F2119,LEN(SC_TK))=SC_TK,LEFT($G2119,LEN(SC_TK))=SC_TK)),1,0)</f>
        <v/>
      </c>
    </row>
    <row r="2120" ht="15" customHeight="1" s="78">
      <c r="A2120" s="95">
        <f>IF($H2120="","",ROW()-6)</f>
        <v/>
      </c>
      <c r="B2120" s="114" t="n"/>
      <c r="C2120" s="102" t="n"/>
      <c r="D2120" s="114" t="n"/>
      <c r="E2120" s="103" t="n"/>
      <c r="F2120" s="102" t="n"/>
      <c r="G2120" s="102" t="n"/>
      <c r="H2120" s="115" t="n"/>
      <c r="I2120" s="102" t="n"/>
      <c r="J2120" s="102" t="n"/>
      <c r="K2120" s="103" t="n"/>
      <c r="L2120" s="116">
        <f>IF($H2120="","",TRIM(IF(COUNTIF(DMTK!$A$7:$A$250,$F2120)=0,"TK Nợ sai! ","")&amp;IF(COUNTIF(DMTK!$A$7:$A$250,$G2120)=0,"TK Có sai! ","")&amp;IF(N($H2120)&lt;=0,"Tiền phải &gt; 0! ","")&amp;IF($B2120="","Thiếu ngày! ","")&amp;IF(AND(OR(LEFT($F2120,3)="131",LEFT($G2120,3)="131",LEFT($F2120,3)="331",LEFT($G2120,3)="331"),$I2120=""),"Thiếu Mã ĐT! ","")&amp;IF(AND($I2120&lt;&gt;"",COUNTIF(DM_DT!$A$7:$A$306,$I2120)=0),"Mã ĐT chưa khai báo! ","")))</f>
        <v/>
      </c>
      <c r="M2120" s="117">
        <f>IF($H2120="","",IF(AND(OR(LEFT($F2120,3)="111",LEFT($F2120,3)="112",LEFT($F2120,3)="113"),OR(LEFT($G2120,3)="111",LEFT($G2120,3)="112",LEFT($G2120,3)="113")),"NB",IF(OR(LEFT($F2120,3)="111",LEFT($F2120,3)="112",LEFT($F2120,3)="113"),"THU",IF(OR(LEFT($G2120,3)="111",LEFT($G2120,3)="112",LEFT($G2120,3)="113"),"CHI",""))))</f>
        <v/>
      </c>
      <c r="N2120" s="117">
        <f>IF($M2120="THU",$G2120,IF($M2120="CHI",$F2120,""))</f>
        <v/>
      </c>
      <c r="O2120" s="117">
        <f>IF(OR($M2120="",$M2120="NB"),"",IF($J2120&lt;&gt;"",TEXT($J2120,"00"),IFERROR(VLOOKUP(LEFT($N2120,4),LCTT_MAP!$A$7:$C$66,IF($M2120="THU",2,3),FALSE()),IFERROR(VLOOKUP(LEFT($N2120,3),LCTT_MAP!$A$7:$C$66,IF($M2120="THU",2,3),FALSE()),IFERROR(VLOOKUP(LEFT($N2120,2),LCTT_MAP!$A$7:$C$66,IF($M2120="THU",2,3),FALSE()),IFERROR(VLOOKUP(LEFT($N2120,1),LCTT_MAP!$A$7:$C$66,IF($M2120="THU",2,3),FALSE()),IF($M2120="THU","06","07")))))))</f>
        <v/>
      </c>
      <c r="P2120" s="117">
        <f>P2119+IF(AND($H2120&lt;&gt;"",OR(LEFT($F2120,LEN(SC_TK))=SC_TK,LEFT($G2120,LEN(SC_TK))=SC_TK)),1,0)</f>
        <v/>
      </c>
    </row>
    <row r="2121" ht="15" customHeight="1" s="78">
      <c r="A2121" s="95">
        <f>IF($H2121="","",ROW()-6)</f>
        <v/>
      </c>
      <c r="B2121" s="114" t="n"/>
      <c r="C2121" s="102" t="n"/>
      <c r="D2121" s="114" t="n"/>
      <c r="E2121" s="103" t="n"/>
      <c r="F2121" s="102" t="n"/>
      <c r="G2121" s="102" t="n"/>
      <c r="H2121" s="115" t="n"/>
      <c r="I2121" s="102" t="n"/>
      <c r="J2121" s="102" t="n"/>
      <c r="K2121" s="103" t="n"/>
      <c r="L2121" s="116">
        <f>IF($H2121="","",TRIM(IF(COUNTIF(DMTK!$A$7:$A$250,$F2121)=0,"TK Nợ sai! ","")&amp;IF(COUNTIF(DMTK!$A$7:$A$250,$G2121)=0,"TK Có sai! ","")&amp;IF(N($H2121)&lt;=0,"Tiền phải &gt; 0! ","")&amp;IF($B2121="","Thiếu ngày! ","")&amp;IF(AND(OR(LEFT($F2121,3)="131",LEFT($G2121,3)="131",LEFT($F2121,3)="331",LEFT($G2121,3)="331"),$I2121=""),"Thiếu Mã ĐT! ","")&amp;IF(AND($I2121&lt;&gt;"",COUNTIF(DM_DT!$A$7:$A$306,$I2121)=0),"Mã ĐT chưa khai báo! ","")))</f>
        <v/>
      </c>
      <c r="M2121" s="117">
        <f>IF($H2121="","",IF(AND(OR(LEFT($F2121,3)="111",LEFT($F2121,3)="112",LEFT($F2121,3)="113"),OR(LEFT($G2121,3)="111",LEFT($G2121,3)="112",LEFT($G2121,3)="113")),"NB",IF(OR(LEFT($F2121,3)="111",LEFT($F2121,3)="112",LEFT($F2121,3)="113"),"THU",IF(OR(LEFT($G2121,3)="111",LEFT($G2121,3)="112",LEFT($G2121,3)="113"),"CHI",""))))</f>
        <v/>
      </c>
      <c r="N2121" s="117">
        <f>IF($M2121="THU",$G2121,IF($M2121="CHI",$F2121,""))</f>
        <v/>
      </c>
      <c r="O2121" s="117">
        <f>IF(OR($M2121="",$M2121="NB"),"",IF($J2121&lt;&gt;"",TEXT($J2121,"00"),IFERROR(VLOOKUP(LEFT($N2121,4),LCTT_MAP!$A$7:$C$66,IF($M2121="THU",2,3),FALSE()),IFERROR(VLOOKUP(LEFT($N2121,3),LCTT_MAP!$A$7:$C$66,IF($M2121="THU",2,3),FALSE()),IFERROR(VLOOKUP(LEFT($N2121,2),LCTT_MAP!$A$7:$C$66,IF($M2121="THU",2,3),FALSE()),IFERROR(VLOOKUP(LEFT($N2121,1),LCTT_MAP!$A$7:$C$66,IF($M2121="THU",2,3),FALSE()),IF($M2121="THU","06","07")))))))</f>
        <v/>
      </c>
      <c r="P2121" s="117">
        <f>P2120+IF(AND($H2121&lt;&gt;"",OR(LEFT($F2121,LEN(SC_TK))=SC_TK,LEFT($G2121,LEN(SC_TK))=SC_TK)),1,0)</f>
        <v/>
      </c>
    </row>
    <row r="2122" ht="15" customHeight="1" s="78">
      <c r="A2122" s="95">
        <f>IF($H2122="","",ROW()-6)</f>
        <v/>
      </c>
      <c r="B2122" s="114" t="n"/>
      <c r="C2122" s="102" t="n"/>
      <c r="D2122" s="114" t="n"/>
      <c r="E2122" s="103" t="n"/>
      <c r="F2122" s="102" t="n"/>
      <c r="G2122" s="102" t="n"/>
      <c r="H2122" s="115" t="n"/>
      <c r="I2122" s="102" t="n"/>
      <c r="J2122" s="102" t="n"/>
      <c r="K2122" s="103" t="n"/>
      <c r="L2122" s="116">
        <f>IF($H2122="","",TRIM(IF(COUNTIF(DMTK!$A$7:$A$250,$F2122)=0,"TK Nợ sai! ","")&amp;IF(COUNTIF(DMTK!$A$7:$A$250,$G2122)=0,"TK Có sai! ","")&amp;IF(N($H2122)&lt;=0,"Tiền phải &gt; 0! ","")&amp;IF($B2122="","Thiếu ngày! ","")&amp;IF(AND(OR(LEFT($F2122,3)="131",LEFT($G2122,3)="131",LEFT($F2122,3)="331",LEFT($G2122,3)="331"),$I2122=""),"Thiếu Mã ĐT! ","")&amp;IF(AND($I2122&lt;&gt;"",COUNTIF(DM_DT!$A$7:$A$306,$I2122)=0),"Mã ĐT chưa khai báo! ","")))</f>
        <v/>
      </c>
      <c r="M2122" s="117">
        <f>IF($H2122="","",IF(AND(OR(LEFT($F2122,3)="111",LEFT($F2122,3)="112",LEFT($F2122,3)="113"),OR(LEFT($G2122,3)="111",LEFT($G2122,3)="112",LEFT($G2122,3)="113")),"NB",IF(OR(LEFT($F2122,3)="111",LEFT($F2122,3)="112",LEFT($F2122,3)="113"),"THU",IF(OR(LEFT($G2122,3)="111",LEFT($G2122,3)="112",LEFT($G2122,3)="113"),"CHI",""))))</f>
        <v/>
      </c>
      <c r="N2122" s="117">
        <f>IF($M2122="THU",$G2122,IF($M2122="CHI",$F2122,""))</f>
        <v/>
      </c>
      <c r="O2122" s="117">
        <f>IF(OR($M2122="",$M2122="NB"),"",IF($J2122&lt;&gt;"",TEXT($J2122,"00"),IFERROR(VLOOKUP(LEFT($N2122,4),LCTT_MAP!$A$7:$C$66,IF($M2122="THU",2,3),FALSE()),IFERROR(VLOOKUP(LEFT($N2122,3),LCTT_MAP!$A$7:$C$66,IF($M2122="THU",2,3),FALSE()),IFERROR(VLOOKUP(LEFT($N2122,2),LCTT_MAP!$A$7:$C$66,IF($M2122="THU",2,3),FALSE()),IFERROR(VLOOKUP(LEFT($N2122,1),LCTT_MAP!$A$7:$C$66,IF($M2122="THU",2,3),FALSE()),IF($M2122="THU","06","07")))))))</f>
        <v/>
      </c>
      <c r="P2122" s="117">
        <f>P2121+IF(AND($H2122&lt;&gt;"",OR(LEFT($F2122,LEN(SC_TK))=SC_TK,LEFT($G2122,LEN(SC_TK))=SC_TK)),1,0)</f>
        <v/>
      </c>
    </row>
    <row r="2123" ht="15" customHeight="1" s="78">
      <c r="A2123" s="95">
        <f>IF($H2123="","",ROW()-6)</f>
        <v/>
      </c>
      <c r="B2123" s="114" t="n"/>
      <c r="C2123" s="102" t="n"/>
      <c r="D2123" s="114" t="n"/>
      <c r="E2123" s="103" t="n"/>
      <c r="F2123" s="102" t="n"/>
      <c r="G2123" s="102" t="n"/>
      <c r="H2123" s="115" t="n"/>
      <c r="I2123" s="102" t="n"/>
      <c r="J2123" s="102" t="n"/>
      <c r="K2123" s="103" t="n"/>
      <c r="L2123" s="116">
        <f>IF($H2123="","",TRIM(IF(COUNTIF(DMTK!$A$7:$A$250,$F2123)=0,"TK Nợ sai! ","")&amp;IF(COUNTIF(DMTK!$A$7:$A$250,$G2123)=0,"TK Có sai! ","")&amp;IF(N($H2123)&lt;=0,"Tiền phải &gt; 0! ","")&amp;IF($B2123="","Thiếu ngày! ","")&amp;IF(AND(OR(LEFT($F2123,3)="131",LEFT($G2123,3)="131",LEFT($F2123,3)="331",LEFT($G2123,3)="331"),$I2123=""),"Thiếu Mã ĐT! ","")&amp;IF(AND($I2123&lt;&gt;"",COUNTIF(DM_DT!$A$7:$A$306,$I2123)=0),"Mã ĐT chưa khai báo! ","")))</f>
        <v/>
      </c>
      <c r="M2123" s="117">
        <f>IF($H2123="","",IF(AND(OR(LEFT($F2123,3)="111",LEFT($F2123,3)="112",LEFT($F2123,3)="113"),OR(LEFT($G2123,3)="111",LEFT($G2123,3)="112",LEFT($G2123,3)="113")),"NB",IF(OR(LEFT($F2123,3)="111",LEFT($F2123,3)="112",LEFT($F2123,3)="113"),"THU",IF(OR(LEFT($G2123,3)="111",LEFT($G2123,3)="112",LEFT($G2123,3)="113"),"CHI",""))))</f>
        <v/>
      </c>
      <c r="N2123" s="117">
        <f>IF($M2123="THU",$G2123,IF($M2123="CHI",$F2123,""))</f>
        <v/>
      </c>
      <c r="O2123" s="117">
        <f>IF(OR($M2123="",$M2123="NB"),"",IF($J2123&lt;&gt;"",TEXT($J2123,"00"),IFERROR(VLOOKUP(LEFT($N2123,4),LCTT_MAP!$A$7:$C$66,IF($M2123="THU",2,3),FALSE()),IFERROR(VLOOKUP(LEFT($N2123,3),LCTT_MAP!$A$7:$C$66,IF($M2123="THU",2,3),FALSE()),IFERROR(VLOOKUP(LEFT($N2123,2),LCTT_MAP!$A$7:$C$66,IF($M2123="THU",2,3),FALSE()),IFERROR(VLOOKUP(LEFT($N2123,1),LCTT_MAP!$A$7:$C$66,IF($M2123="THU",2,3),FALSE()),IF($M2123="THU","06","07")))))))</f>
        <v/>
      </c>
      <c r="P2123" s="117">
        <f>P2122+IF(AND($H2123&lt;&gt;"",OR(LEFT($F2123,LEN(SC_TK))=SC_TK,LEFT($G2123,LEN(SC_TK))=SC_TK)),1,0)</f>
        <v/>
      </c>
    </row>
    <row r="2124" ht="15" customHeight="1" s="78">
      <c r="A2124" s="95">
        <f>IF($H2124="","",ROW()-6)</f>
        <v/>
      </c>
      <c r="B2124" s="114" t="n"/>
      <c r="C2124" s="102" t="n"/>
      <c r="D2124" s="114" t="n"/>
      <c r="E2124" s="103" t="n"/>
      <c r="F2124" s="102" t="n"/>
      <c r="G2124" s="102" t="n"/>
      <c r="H2124" s="115" t="n"/>
      <c r="I2124" s="102" t="n"/>
      <c r="J2124" s="102" t="n"/>
      <c r="K2124" s="103" t="n"/>
      <c r="L2124" s="116">
        <f>IF($H2124="","",TRIM(IF(COUNTIF(DMTK!$A$7:$A$250,$F2124)=0,"TK Nợ sai! ","")&amp;IF(COUNTIF(DMTK!$A$7:$A$250,$G2124)=0,"TK Có sai! ","")&amp;IF(N($H2124)&lt;=0,"Tiền phải &gt; 0! ","")&amp;IF($B2124="","Thiếu ngày! ","")&amp;IF(AND(OR(LEFT($F2124,3)="131",LEFT($G2124,3)="131",LEFT($F2124,3)="331",LEFT($G2124,3)="331"),$I2124=""),"Thiếu Mã ĐT! ","")&amp;IF(AND($I2124&lt;&gt;"",COUNTIF(DM_DT!$A$7:$A$306,$I2124)=0),"Mã ĐT chưa khai báo! ","")))</f>
        <v/>
      </c>
      <c r="M2124" s="117">
        <f>IF($H2124="","",IF(AND(OR(LEFT($F2124,3)="111",LEFT($F2124,3)="112",LEFT($F2124,3)="113"),OR(LEFT($G2124,3)="111",LEFT($G2124,3)="112",LEFT($G2124,3)="113")),"NB",IF(OR(LEFT($F2124,3)="111",LEFT($F2124,3)="112",LEFT($F2124,3)="113"),"THU",IF(OR(LEFT($G2124,3)="111",LEFT($G2124,3)="112",LEFT($G2124,3)="113"),"CHI",""))))</f>
        <v/>
      </c>
      <c r="N2124" s="117">
        <f>IF($M2124="THU",$G2124,IF($M2124="CHI",$F2124,""))</f>
        <v/>
      </c>
      <c r="O2124" s="117">
        <f>IF(OR($M2124="",$M2124="NB"),"",IF($J2124&lt;&gt;"",TEXT($J2124,"00"),IFERROR(VLOOKUP(LEFT($N2124,4),LCTT_MAP!$A$7:$C$66,IF($M2124="THU",2,3),FALSE()),IFERROR(VLOOKUP(LEFT($N2124,3),LCTT_MAP!$A$7:$C$66,IF($M2124="THU",2,3),FALSE()),IFERROR(VLOOKUP(LEFT($N2124,2),LCTT_MAP!$A$7:$C$66,IF($M2124="THU",2,3),FALSE()),IFERROR(VLOOKUP(LEFT($N2124,1),LCTT_MAP!$A$7:$C$66,IF($M2124="THU",2,3),FALSE()),IF($M2124="THU","06","07")))))))</f>
        <v/>
      </c>
      <c r="P2124" s="117">
        <f>P2123+IF(AND($H2124&lt;&gt;"",OR(LEFT($F2124,LEN(SC_TK))=SC_TK,LEFT($G2124,LEN(SC_TK))=SC_TK)),1,0)</f>
        <v/>
      </c>
    </row>
    <row r="2125" ht="15" customHeight="1" s="78">
      <c r="A2125" s="95">
        <f>IF($H2125="","",ROW()-6)</f>
        <v/>
      </c>
      <c r="B2125" s="114" t="n"/>
      <c r="C2125" s="102" t="n"/>
      <c r="D2125" s="114" t="n"/>
      <c r="E2125" s="103" t="n"/>
      <c r="F2125" s="102" t="n"/>
      <c r="G2125" s="102" t="n"/>
      <c r="H2125" s="115" t="n"/>
      <c r="I2125" s="102" t="n"/>
      <c r="J2125" s="102" t="n"/>
      <c r="K2125" s="103" t="n"/>
      <c r="L2125" s="116">
        <f>IF($H2125="","",TRIM(IF(COUNTIF(DMTK!$A$7:$A$250,$F2125)=0,"TK Nợ sai! ","")&amp;IF(COUNTIF(DMTK!$A$7:$A$250,$G2125)=0,"TK Có sai! ","")&amp;IF(N($H2125)&lt;=0,"Tiền phải &gt; 0! ","")&amp;IF($B2125="","Thiếu ngày! ","")&amp;IF(AND(OR(LEFT($F2125,3)="131",LEFT($G2125,3)="131",LEFT($F2125,3)="331",LEFT($G2125,3)="331"),$I2125=""),"Thiếu Mã ĐT! ","")&amp;IF(AND($I2125&lt;&gt;"",COUNTIF(DM_DT!$A$7:$A$306,$I2125)=0),"Mã ĐT chưa khai báo! ","")))</f>
        <v/>
      </c>
      <c r="M2125" s="117">
        <f>IF($H2125="","",IF(AND(OR(LEFT($F2125,3)="111",LEFT($F2125,3)="112",LEFT($F2125,3)="113"),OR(LEFT($G2125,3)="111",LEFT($G2125,3)="112",LEFT($G2125,3)="113")),"NB",IF(OR(LEFT($F2125,3)="111",LEFT($F2125,3)="112",LEFT($F2125,3)="113"),"THU",IF(OR(LEFT($G2125,3)="111",LEFT($G2125,3)="112",LEFT($G2125,3)="113"),"CHI",""))))</f>
        <v/>
      </c>
      <c r="N2125" s="117">
        <f>IF($M2125="THU",$G2125,IF($M2125="CHI",$F2125,""))</f>
        <v/>
      </c>
      <c r="O2125" s="117">
        <f>IF(OR($M2125="",$M2125="NB"),"",IF($J2125&lt;&gt;"",TEXT($J2125,"00"),IFERROR(VLOOKUP(LEFT($N2125,4),LCTT_MAP!$A$7:$C$66,IF($M2125="THU",2,3),FALSE()),IFERROR(VLOOKUP(LEFT($N2125,3),LCTT_MAP!$A$7:$C$66,IF($M2125="THU",2,3),FALSE()),IFERROR(VLOOKUP(LEFT($N2125,2),LCTT_MAP!$A$7:$C$66,IF($M2125="THU",2,3),FALSE()),IFERROR(VLOOKUP(LEFT($N2125,1),LCTT_MAP!$A$7:$C$66,IF($M2125="THU",2,3),FALSE()),IF($M2125="THU","06","07")))))))</f>
        <v/>
      </c>
      <c r="P2125" s="117">
        <f>P2124+IF(AND($H2125&lt;&gt;"",OR(LEFT($F2125,LEN(SC_TK))=SC_TK,LEFT($G2125,LEN(SC_TK))=SC_TK)),1,0)</f>
        <v/>
      </c>
    </row>
    <row r="2126" ht="15" customHeight="1" s="78">
      <c r="A2126" s="95">
        <f>IF($H2126="","",ROW()-6)</f>
        <v/>
      </c>
      <c r="B2126" s="114" t="n"/>
      <c r="C2126" s="102" t="n"/>
      <c r="D2126" s="114" t="n"/>
      <c r="E2126" s="103" t="n"/>
      <c r="F2126" s="102" t="n"/>
      <c r="G2126" s="102" t="n"/>
      <c r="H2126" s="115" t="n"/>
      <c r="I2126" s="102" t="n"/>
      <c r="J2126" s="102" t="n"/>
      <c r="K2126" s="103" t="n"/>
      <c r="L2126" s="116">
        <f>IF($H2126="","",TRIM(IF(COUNTIF(DMTK!$A$7:$A$250,$F2126)=0,"TK Nợ sai! ","")&amp;IF(COUNTIF(DMTK!$A$7:$A$250,$G2126)=0,"TK Có sai! ","")&amp;IF(N($H2126)&lt;=0,"Tiền phải &gt; 0! ","")&amp;IF($B2126="","Thiếu ngày! ","")&amp;IF(AND(OR(LEFT($F2126,3)="131",LEFT($G2126,3)="131",LEFT($F2126,3)="331",LEFT($G2126,3)="331"),$I2126=""),"Thiếu Mã ĐT! ","")&amp;IF(AND($I2126&lt;&gt;"",COUNTIF(DM_DT!$A$7:$A$306,$I2126)=0),"Mã ĐT chưa khai báo! ","")))</f>
        <v/>
      </c>
      <c r="M2126" s="117">
        <f>IF($H2126="","",IF(AND(OR(LEFT($F2126,3)="111",LEFT($F2126,3)="112",LEFT($F2126,3)="113"),OR(LEFT($G2126,3)="111",LEFT($G2126,3)="112",LEFT($G2126,3)="113")),"NB",IF(OR(LEFT($F2126,3)="111",LEFT($F2126,3)="112",LEFT($F2126,3)="113"),"THU",IF(OR(LEFT($G2126,3)="111",LEFT($G2126,3)="112",LEFT($G2126,3)="113"),"CHI",""))))</f>
        <v/>
      </c>
      <c r="N2126" s="117">
        <f>IF($M2126="THU",$G2126,IF($M2126="CHI",$F2126,""))</f>
        <v/>
      </c>
      <c r="O2126" s="117">
        <f>IF(OR($M2126="",$M2126="NB"),"",IF($J2126&lt;&gt;"",TEXT($J2126,"00"),IFERROR(VLOOKUP(LEFT($N2126,4),LCTT_MAP!$A$7:$C$66,IF($M2126="THU",2,3),FALSE()),IFERROR(VLOOKUP(LEFT($N2126,3),LCTT_MAP!$A$7:$C$66,IF($M2126="THU",2,3),FALSE()),IFERROR(VLOOKUP(LEFT($N2126,2),LCTT_MAP!$A$7:$C$66,IF($M2126="THU",2,3),FALSE()),IFERROR(VLOOKUP(LEFT($N2126,1),LCTT_MAP!$A$7:$C$66,IF($M2126="THU",2,3),FALSE()),IF($M2126="THU","06","07")))))))</f>
        <v/>
      </c>
      <c r="P2126" s="117">
        <f>P2125+IF(AND($H2126&lt;&gt;"",OR(LEFT($F2126,LEN(SC_TK))=SC_TK,LEFT($G2126,LEN(SC_TK))=SC_TK)),1,0)</f>
        <v/>
      </c>
    </row>
    <row r="2127" ht="15" customHeight="1" s="78">
      <c r="A2127" s="95">
        <f>IF($H2127="","",ROW()-6)</f>
        <v/>
      </c>
      <c r="B2127" s="114" t="n"/>
      <c r="C2127" s="102" t="n"/>
      <c r="D2127" s="114" t="n"/>
      <c r="E2127" s="103" t="n"/>
      <c r="F2127" s="102" t="n"/>
      <c r="G2127" s="102" t="n"/>
      <c r="H2127" s="115" t="n"/>
      <c r="I2127" s="102" t="n"/>
      <c r="J2127" s="102" t="n"/>
      <c r="K2127" s="103" t="n"/>
      <c r="L2127" s="116">
        <f>IF($H2127="","",TRIM(IF(COUNTIF(DMTK!$A$7:$A$250,$F2127)=0,"TK Nợ sai! ","")&amp;IF(COUNTIF(DMTK!$A$7:$A$250,$G2127)=0,"TK Có sai! ","")&amp;IF(N($H2127)&lt;=0,"Tiền phải &gt; 0! ","")&amp;IF($B2127="","Thiếu ngày! ","")&amp;IF(AND(OR(LEFT($F2127,3)="131",LEFT($G2127,3)="131",LEFT($F2127,3)="331",LEFT($G2127,3)="331"),$I2127=""),"Thiếu Mã ĐT! ","")&amp;IF(AND($I2127&lt;&gt;"",COUNTIF(DM_DT!$A$7:$A$306,$I2127)=0),"Mã ĐT chưa khai báo! ","")))</f>
        <v/>
      </c>
      <c r="M2127" s="117">
        <f>IF($H2127="","",IF(AND(OR(LEFT($F2127,3)="111",LEFT($F2127,3)="112",LEFT($F2127,3)="113"),OR(LEFT($G2127,3)="111",LEFT($G2127,3)="112",LEFT($G2127,3)="113")),"NB",IF(OR(LEFT($F2127,3)="111",LEFT($F2127,3)="112",LEFT($F2127,3)="113"),"THU",IF(OR(LEFT($G2127,3)="111",LEFT($G2127,3)="112",LEFT($G2127,3)="113"),"CHI",""))))</f>
        <v/>
      </c>
      <c r="N2127" s="117">
        <f>IF($M2127="THU",$G2127,IF($M2127="CHI",$F2127,""))</f>
        <v/>
      </c>
      <c r="O2127" s="117">
        <f>IF(OR($M2127="",$M2127="NB"),"",IF($J2127&lt;&gt;"",TEXT($J2127,"00"),IFERROR(VLOOKUP(LEFT($N2127,4),LCTT_MAP!$A$7:$C$66,IF($M2127="THU",2,3),FALSE()),IFERROR(VLOOKUP(LEFT($N2127,3),LCTT_MAP!$A$7:$C$66,IF($M2127="THU",2,3),FALSE()),IFERROR(VLOOKUP(LEFT($N2127,2),LCTT_MAP!$A$7:$C$66,IF($M2127="THU",2,3),FALSE()),IFERROR(VLOOKUP(LEFT($N2127,1),LCTT_MAP!$A$7:$C$66,IF($M2127="THU",2,3),FALSE()),IF($M2127="THU","06","07")))))))</f>
        <v/>
      </c>
      <c r="P2127" s="117">
        <f>P2126+IF(AND($H2127&lt;&gt;"",OR(LEFT($F2127,LEN(SC_TK))=SC_TK,LEFT($G2127,LEN(SC_TK))=SC_TK)),1,0)</f>
        <v/>
      </c>
    </row>
    <row r="2128" ht="15" customHeight="1" s="78">
      <c r="A2128" s="95">
        <f>IF($H2128="","",ROW()-6)</f>
        <v/>
      </c>
      <c r="B2128" s="114" t="n"/>
      <c r="C2128" s="102" t="n"/>
      <c r="D2128" s="114" t="n"/>
      <c r="E2128" s="103" t="n"/>
      <c r="F2128" s="102" t="n"/>
      <c r="G2128" s="102" t="n"/>
      <c r="H2128" s="115" t="n"/>
      <c r="I2128" s="102" t="n"/>
      <c r="J2128" s="102" t="n"/>
      <c r="K2128" s="103" t="n"/>
      <c r="L2128" s="116">
        <f>IF($H2128="","",TRIM(IF(COUNTIF(DMTK!$A$7:$A$250,$F2128)=0,"TK Nợ sai! ","")&amp;IF(COUNTIF(DMTK!$A$7:$A$250,$G2128)=0,"TK Có sai! ","")&amp;IF(N($H2128)&lt;=0,"Tiền phải &gt; 0! ","")&amp;IF($B2128="","Thiếu ngày! ","")&amp;IF(AND(OR(LEFT($F2128,3)="131",LEFT($G2128,3)="131",LEFT($F2128,3)="331",LEFT($G2128,3)="331"),$I2128=""),"Thiếu Mã ĐT! ","")&amp;IF(AND($I2128&lt;&gt;"",COUNTIF(DM_DT!$A$7:$A$306,$I2128)=0),"Mã ĐT chưa khai báo! ","")))</f>
        <v/>
      </c>
      <c r="M2128" s="117">
        <f>IF($H2128="","",IF(AND(OR(LEFT($F2128,3)="111",LEFT($F2128,3)="112",LEFT($F2128,3)="113"),OR(LEFT($G2128,3)="111",LEFT($G2128,3)="112",LEFT($G2128,3)="113")),"NB",IF(OR(LEFT($F2128,3)="111",LEFT($F2128,3)="112",LEFT($F2128,3)="113"),"THU",IF(OR(LEFT($G2128,3)="111",LEFT($G2128,3)="112",LEFT($G2128,3)="113"),"CHI",""))))</f>
        <v/>
      </c>
      <c r="N2128" s="117">
        <f>IF($M2128="THU",$G2128,IF($M2128="CHI",$F2128,""))</f>
        <v/>
      </c>
      <c r="O2128" s="117">
        <f>IF(OR($M2128="",$M2128="NB"),"",IF($J2128&lt;&gt;"",TEXT($J2128,"00"),IFERROR(VLOOKUP(LEFT($N2128,4),LCTT_MAP!$A$7:$C$66,IF($M2128="THU",2,3),FALSE()),IFERROR(VLOOKUP(LEFT($N2128,3),LCTT_MAP!$A$7:$C$66,IF($M2128="THU",2,3),FALSE()),IFERROR(VLOOKUP(LEFT($N2128,2),LCTT_MAP!$A$7:$C$66,IF($M2128="THU",2,3),FALSE()),IFERROR(VLOOKUP(LEFT($N2128,1),LCTT_MAP!$A$7:$C$66,IF($M2128="THU",2,3),FALSE()),IF($M2128="THU","06","07")))))))</f>
        <v/>
      </c>
      <c r="P2128" s="117">
        <f>P2127+IF(AND($H2128&lt;&gt;"",OR(LEFT($F2128,LEN(SC_TK))=SC_TK,LEFT($G2128,LEN(SC_TK))=SC_TK)),1,0)</f>
        <v/>
      </c>
    </row>
    <row r="2129" ht="15" customHeight="1" s="78">
      <c r="A2129" s="95">
        <f>IF($H2129="","",ROW()-6)</f>
        <v/>
      </c>
      <c r="B2129" s="114" t="n"/>
      <c r="C2129" s="102" t="n"/>
      <c r="D2129" s="114" t="n"/>
      <c r="E2129" s="103" t="n"/>
      <c r="F2129" s="102" t="n"/>
      <c r="G2129" s="102" t="n"/>
      <c r="H2129" s="115" t="n"/>
      <c r="I2129" s="102" t="n"/>
      <c r="J2129" s="102" t="n"/>
      <c r="K2129" s="103" t="n"/>
      <c r="L2129" s="116">
        <f>IF($H2129="","",TRIM(IF(COUNTIF(DMTK!$A$7:$A$250,$F2129)=0,"TK Nợ sai! ","")&amp;IF(COUNTIF(DMTK!$A$7:$A$250,$G2129)=0,"TK Có sai! ","")&amp;IF(N($H2129)&lt;=0,"Tiền phải &gt; 0! ","")&amp;IF($B2129="","Thiếu ngày! ","")&amp;IF(AND(OR(LEFT($F2129,3)="131",LEFT($G2129,3)="131",LEFT($F2129,3)="331",LEFT($G2129,3)="331"),$I2129=""),"Thiếu Mã ĐT! ","")&amp;IF(AND($I2129&lt;&gt;"",COUNTIF(DM_DT!$A$7:$A$306,$I2129)=0),"Mã ĐT chưa khai báo! ","")))</f>
        <v/>
      </c>
      <c r="M2129" s="117">
        <f>IF($H2129="","",IF(AND(OR(LEFT($F2129,3)="111",LEFT($F2129,3)="112",LEFT($F2129,3)="113"),OR(LEFT($G2129,3)="111",LEFT($G2129,3)="112",LEFT($G2129,3)="113")),"NB",IF(OR(LEFT($F2129,3)="111",LEFT($F2129,3)="112",LEFT($F2129,3)="113"),"THU",IF(OR(LEFT($G2129,3)="111",LEFT($G2129,3)="112",LEFT($G2129,3)="113"),"CHI",""))))</f>
        <v/>
      </c>
      <c r="N2129" s="117">
        <f>IF($M2129="THU",$G2129,IF($M2129="CHI",$F2129,""))</f>
        <v/>
      </c>
      <c r="O2129" s="117">
        <f>IF(OR($M2129="",$M2129="NB"),"",IF($J2129&lt;&gt;"",TEXT($J2129,"00"),IFERROR(VLOOKUP(LEFT($N2129,4),LCTT_MAP!$A$7:$C$66,IF($M2129="THU",2,3),FALSE()),IFERROR(VLOOKUP(LEFT($N2129,3),LCTT_MAP!$A$7:$C$66,IF($M2129="THU",2,3),FALSE()),IFERROR(VLOOKUP(LEFT($N2129,2),LCTT_MAP!$A$7:$C$66,IF($M2129="THU",2,3),FALSE()),IFERROR(VLOOKUP(LEFT($N2129,1),LCTT_MAP!$A$7:$C$66,IF($M2129="THU",2,3),FALSE()),IF($M2129="THU","06","07")))))))</f>
        <v/>
      </c>
      <c r="P2129" s="117">
        <f>P2128+IF(AND($H2129&lt;&gt;"",OR(LEFT($F2129,LEN(SC_TK))=SC_TK,LEFT($G2129,LEN(SC_TK))=SC_TK)),1,0)</f>
        <v/>
      </c>
    </row>
    <row r="2130" ht="15" customHeight="1" s="78">
      <c r="A2130" s="95">
        <f>IF($H2130="","",ROW()-6)</f>
        <v/>
      </c>
      <c r="B2130" s="114" t="n"/>
      <c r="C2130" s="102" t="n"/>
      <c r="D2130" s="114" t="n"/>
      <c r="E2130" s="103" t="n"/>
      <c r="F2130" s="102" t="n"/>
      <c r="G2130" s="102" t="n"/>
      <c r="H2130" s="115" t="n"/>
      <c r="I2130" s="102" t="n"/>
      <c r="J2130" s="102" t="n"/>
      <c r="K2130" s="103" t="n"/>
      <c r="L2130" s="116">
        <f>IF($H2130="","",TRIM(IF(COUNTIF(DMTK!$A$7:$A$250,$F2130)=0,"TK Nợ sai! ","")&amp;IF(COUNTIF(DMTK!$A$7:$A$250,$G2130)=0,"TK Có sai! ","")&amp;IF(N($H2130)&lt;=0,"Tiền phải &gt; 0! ","")&amp;IF($B2130="","Thiếu ngày! ","")&amp;IF(AND(OR(LEFT($F2130,3)="131",LEFT($G2130,3)="131",LEFT($F2130,3)="331",LEFT($G2130,3)="331"),$I2130=""),"Thiếu Mã ĐT! ","")&amp;IF(AND($I2130&lt;&gt;"",COUNTIF(DM_DT!$A$7:$A$306,$I2130)=0),"Mã ĐT chưa khai báo! ","")))</f>
        <v/>
      </c>
      <c r="M2130" s="117">
        <f>IF($H2130="","",IF(AND(OR(LEFT($F2130,3)="111",LEFT($F2130,3)="112",LEFT($F2130,3)="113"),OR(LEFT($G2130,3)="111",LEFT($G2130,3)="112",LEFT($G2130,3)="113")),"NB",IF(OR(LEFT($F2130,3)="111",LEFT($F2130,3)="112",LEFT($F2130,3)="113"),"THU",IF(OR(LEFT($G2130,3)="111",LEFT($G2130,3)="112",LEFT($G2130,3)="113"),"CHI",""))))</f>
        <v/>
      </c>
      <c r="N2130" s="117">
        <f>IF($M2130="THU",$G2130,IF($M2130="CHI",$F2130,""))</f>
        <v/>
      </c>
      <c r="O2130" s="117">
        <f>IF(OR($M2130="",$M2130="NB"),"",IF($J2130&lt;&gt;"",TEXT($J2130,"00"),IFERROR(VLOOKUP(LEFT($N2130,4),LCTT_MAP!$A$7:$C$66,IF($M2130="THU",2,3),FALSE()),IFERROR(VLOOKUP(LEFT($N2130,3),LCTT_MAP!$A$7:$C$66,IF($M2130="THU",2,3),FALSE()),IFERROR(VLOOKUP(LEFT($N2130,2),LCTT_MAP!$A$7:$C$66,IF($M2130="THU",2,3),FALSE()),IFERROR(VLOOKUP(LEFT($N2130,1),LCTT_MAP!$A$7:$C$66,IF($M2130="THU",2,3),FALSE()),IF($M2130="THU","06","07")))))))</f>
        <v/>
      </c>
      <c r="P2130" s="117">
        <f>P2129+IF(AND($H2130&lt;&gt;"",OR(LEFT($F2130,LEN(SC_TK))=SC_TK,LEFT($G2130,LEN(SC_TK))=SC_TK)),1,0)</f>
        <v/>
      </c>
    </row>
    <row r="2131" ht="15" customHeight="1" s="78">
      <c r="A2131" s="95">
        <f>IF($H2131="","",ROW()-6)</f>
        <v/>
      </c>
      <c r="B2131" s="114" t="n"/>
      <c r="C2131" s="102" t="n"/>
      <c r="D2131" s="114" t="n"/>
      <c r="E2131" s="103" t="n"/>
      <c r="F2131" s="102" t="n"/>
      <c r="G2131" s="102" t="n"/>
      <c r="H2131" s="115" t="n"/>
      <c r="I2131" s="102" t="n"/>
      <c r="J2131" s="102" t="n"/>
      <c r="K2131" s="103" t="n"/>
      <c r="L2131" s="116">
        <f>IF($H2131="","",TRIM(IF(COUNTIF(DMTK!$A$7:$A$250,$F2131)=0,"TK Nợ sai! ","")&amp;IF(COUNTIF(DMTK!$A$7:$A$250,$G2131)=0,"TK Có sai! ","")&amp;IF(N($H2131)&lt;=0,"Tiền phải &gt; 0! ","")&amp;IF($B2131="","Thiếu ngày! ","")&amp;IF(AND(OR(LEFT($F2131,3)="131",LEFT($G2131,3)="131",LEFT($F2131,3)="331",LEFT($G2131,3)="331"),$I2131=""),"Thiếu Mã ĐT! ","")&amp;IF(AND($I2131&lt;&gt;"",COUNTIF(DM_DT!$A$7:$A$306,$I2131)=0),"Mã ĐT chưa khai báo! ","")))</f>
        <v/>
      </c>
      <c r="M2131" s="117">
        <f>IF($H2131="","",IF(AND(OR(LEFT($F2131,3)="111",LEFT($F2131,3)="112",LEFT($F2131,3)="113"),OR(LEFT($G2131,3)="111",LEFT($G2131,3)="112",LEFT($G2131,3)="113")),"NB",IF(OR(LEFT($F2131,3)="111",LEFT($F2131,3)="112",LEFT($F2131,3)="113"),"THU",IF(OR(LEFT($G2131,3)="111",LEFT($G2131,3)="112",LEFT($G2131,3)="113"),"CHI",""))))</f>
        <v/>
      </c>
      <c r="N2131" s="117">
        <f>IF($M2131="THU",$G2131,IF($M2131="CHI",$F2131,""))</f>
        <v/>
      </c>
      <c r="O2131" s="117">
        <f>IF(OR($M2131="",$M2131="NB"),"",IF($J2131&lt;&gt;"",TEXT($J2131,"00"),IFERROR(VLOOKUP(LEFT($N2131,4),LCTT_MAP!$A$7:$C$66,IF($M2131="THU",2,3),FALSE()),IFERROR(VLOOKUP(LEFT($N2131,3),LCTT_MAP!$A$7:$C$66,IF($M2131="THU",2,3),FALSE()),IFERROR(VLOOKUP(LEFT($N2131,2),LCTT_MAP!$A$7:$C$66,IF($M2131="THU",2,3),FALSE()),IFERROR(VLOOKUP(LEFT($N2131,1),LCTT_MAP!$A$7:$C$66,IF($M2131="THU",2,3),FALSE()),IF($M2131="THU","06","07")))))))</f>
        <v/>
      </c>
      <c r="P2131" s="117">
        <f>P2130+IF(AND($H2131&lt;&gt;"",OR(LEFT($F2131,LEN(SC_TK))=SC_TK,LEFT($G2131,LEN(SC_TK))=SC_TK)),1,0)</f>
        <v/>
      </c>
    </row>
    <row r="2132" ht="15" customHeight="1" s="78">
      <c r="A2132" s="95">
        <f>IF($H2132="","",ROW()-6)</f>
        <v/>
      </c>
      <c r="B2132" s="114" t="n"/>
      <c r="C2132" s="102" t="n"/>
      <c r="D2132" s="114" t="n"/>
      <c r="E2132" s="103" t="n"/>
      <c r="F2132" s="102" t="n"/>
      <c r="G2132" s="102" t="n"/>
      <c r="H2132" s="115" t="n"/>
      <c r="I2132" s="102" t="n"/>
      <c r="J2132" s="102" t="n"/>
      <c r="K2132" s="103" t="n"/>
      <c r="L2132" s="116">
        <f>IF($H2132="","",TRIM(IF(COUNTIF(DMTK!$A$7:$A$250,$F2132)=0,"TK Nợ sai! ","")&amp;IF(COUNTIF(DMTK!$A$7:$A$250,$G2132)=0,"TK Có sai! ","")&amp;IF(N($H2132)&lt;=0,"Tiền phải &gt; 0! ","")&amp;IF($B2132="","Thiếu ngày! ","")&amp;IF(AND(OR(LEFT($F2132,3)="131",LEFT($G2132,3)="131",LEFT($F2132,3)="331",LEFT($G2132,3)="331"),$I2132=""),"Thiếu Mã ĐT! ","")&amp;IF(AND($I2132&lt;&gt;"",COUNTIF(DM_DT!$A$7:$A$306,$I2132)=0),"Mã ĐT chưa khai báo! ","")))</f>
        <v/>
      </c>
      <c r="M2132" s="117">
        <f>IF($H2132="","",IF(AND(OR(LEFT($F2132,3)="111",LEFT($F2132,3)="112",LEFT($F2132,3)="113"),OR(LEFT($G2132,3)="111",LEFT($G2132,3)="112",LEFT($G2132,3)="113")),"NB",IF(OR(LEFT($F2132,3)="111",LEFT($F2132,3)="112",LEFT($F2132,3)="113"),"THU",IF(OR(LEFT($G2132,3)="111",LEFT($G2132,3)="112",LEFT($G2132,3)="113"),"CHI",""))))</f>
        <v/>
      </c>
      <c r="N2132" s="117">
        <f>IF($M2132="THU",$G2132,IF($M2132="CHI",$F2132,""))</f>
        <v/>
      </c>
      <c r="O2132" s="117">
        <f>IF(OR($M2132="",$M2132="NB"),"",IF($J2132&lt;&gt;"",TEXT($J2132,"00"),IFERROR(VLOOKUP(LEFT($N2132,4),LCTT_MAP!$A$7:$C$66,IF($M2132="THU",2,3),FALSE()),IFERROR(VLOOKUP(LEFT($N2132,3),LCTT_MAP!$A$7:$C$66,IF($M2132="THU",2,3),FALSE()),IFERROR(VLOOKUP(LEFT($N2132,2),LCTT_MAP!$A$7:$C$66,IF($M2132="THU",2,3),FALSE()),IFERROR(VLOOKUP(LEFT($N2132,1),LCTT_MAP!$A$7:$C$66,IF($M2132="THU",2,3),FALSE()),IF($M2132="THU","06","07")))))))</f>
        <v/>
      </c>
      <c r="P2132" s="117">
        <f>P2131+IF(AND($H2132&lt;&gt;"",OR(LEFT($F2132,LEN(SC_TK))=SC_TK,LEFT($G2132,LEN(SC_TK))=SC_TK)),1,0)</f>
        <v/>
      </c>
    </row>
    <row r="2133" ht="15" customHeight="1" s="78">
      <c r="A2133" s="95">
        <f>IF($H2133="","",ROW()-6)</f>
        <v/>
      </c>
      <c r="B2133" s="114" t="n"/>
      <c r="C2133" s="102" t="n"/>
      <c r="D2133" s="114" t="n"/>
      <c r="E2133" s="103" t="n"/>
      <c r="F2133" s="102" t="n"/>
      <c r="G2133" s="102" t="n"/>
      <c r="H2133" s="115" t="n"/>
      <c r="I2133" s="102" t="n"/>
      <c r="J2133" s="102" t="n"/>
      <c r="K2133" s="103" t="n"/>
      <c r="L2133" s="116">
        <f>IF($H2133="","",TRIM(IF(COUNTIF(DMTK!$A$7:$A$250,$F2133)=0,"TK Nợ sai! ","")&amp;IF(COUNTIF(DMTK!$A$7:$A$250,$G2133)=0,"TK Có sai! ","")&amp;IF(N($H2133)&lt;=0,"Tiền phải &gt; 0! ","")&amp;IF($B2133="","Thiếu ngày! ","")&amp;IF(AND(OR(LEFT($F2133,3)="131",LEFT($G2133,3)="131",LEFT($F2133,3)="331",LEFT($G2133,3)="331"),$I2133=""),"Thiếu Mã ĐT! ","")&amp;IF(AND($I2133&lt;&gt;"",COUNTIF(DM_DT!$A$7:$A$306,$I2133)=0),"Mã ĐT chưa khai báo! ","")))</f>
        <v/>
      </c>
      <c r="M2133" s="117">
        <f>IF($H2133="","",IF(AND(OR(LEFT($F2133,3)="111",LEFT($F2133,3)="112",LEFT($F2133,3)="113"),OR(LEFT($G2133,3)="111",LEFT($G2133,3)="112",LEFT($G2133,3)="113")),"NB",IF(OR(LEFT($F2133,3)="111",LEFT($F2133,3)="112",LEFT($F2133,3)="113"),"THU",IF(OR(LEFT($G2133,3)="111",LEFT($G2133,3)="112",LEFT($G2133,3)="113"),"CHI",""))))</f>
        <v/>
      </c>
      <c r="N2133" s="117">
        <f>IF($M2133="THU",$G2133,IF($M2133="CHI",$F2133,""))</f>
        <v/>
      </c>
      <c r="O2133" s="117">
        <f>IF(OR($M2133="",$M2133="NB"),"",IF($J2133&lt;&gt;"",TEXT($J2133,"00"),IFERROR(VLOOKUP(LEFT($N2133,4),LCTT_MAP!$A$7:$C$66,IF($M2133="THU",2,3),FALSE()),IFERROR(VLOOKUP(LEFT($N2133,3),LCTT_MAP!$A$7:$C$66,IF($M2133="THU",2,3),FALSE()),IFERROR(VLOOKUP(LEFT($N2133,2),LCTT_MAP!$A$7:$C$66,IF($M2133="THU",2,3),FALSE()),IFERROR(VLOOKUP(LEFT($N2133,1),LCTT_MAP!$A$7:$C$66,IF($M2133="THU",2,3),FALSE()),IF($M2133="THU","06","07")))))))</f>
        <v/>
      </c>
      <c r="P2133" s="117">
        <f>P2132+IF(AND($H2133&lt;&gt;"",OR(LEFT($F2133,LEN(SC_TK))=SC_TK,LEFT($G2133,LEN(SC_TK))=SC_TK)),1,0)</f>
        <v/>
      </c>
    </row>
    <row r="2134" ht="15" customHeight="1" s="78">
      <c r="A2134" s="95">
        <f>IF($H2134="","",ROW()-6)</f>
        <v/>
      </c>
      <c r="B2134" s="114" t="n"/>
      <c r="C2134" s="102" t="n"/>
      <c r="D2134" s="114" t="n"/>
      <c r="E2134" s="103" t="n"/>
      <c r="F2134" s="102" t="n"/>
      <c r="G2134" s="102" t="n"/>
      <c r="H2134" s="115" t="n"/>
      <c r="I2134" s="102" t="n"/>
      <c r="J2134" s="102" t="n"/>
      <c r="K2134" s="103" t="n"/>
      <c r="L2134" s="116">
        <f>IF($H2134="","",TRIM(IF(COUNTIF(DMTK!$A$7:$A$250,$F2134)=0,"TK Nợ sai! ","")&amp;IF(COUNTIF(DMTK!$A$7:$A$250,$G2134)=0,"TK Có sai! ","")&amp;IF(N($H2134)&lt;=0,"Tiền phải &gt; 0! ","")&amp;IF($B2134="","Thiếu ngày! ","")&amp;IF(AND(OR(LEFT($F2134,3)="131",LEFT($G2134,3)="131",LEFT($F2134,3)="331",LEFT($G2134,3)="331"),$I2134=""),"Thiếu Mã ĐT! ","")&amp;IF(AND($I2134&lt;&gt;"",COUNTIF(DM_DT!$A$7:$A$306,$I2134)=0),"Mã ĐT chưa khai báo! ","")))</f>
        <v/>
      </c>
      <c r="M2134" s="117">
        <f>IF($H2134="","",IF(AND(OR(LEFT($F2134,3)="111",LEFT($F2134,3)="112",LEFT($F2134,3)="113"),OR(LEFT($G2134,3)="111",LEFT($G2134,3)="112",LEFT($G2134,3)="113")),"NB",IF(OR(LEFT($F2134,3)="111",LEFT($F2134,3)="112",LEFT($F2134,3)="113"),"THU",IF(OR(LEFT($G2134,3)="111",LEFT($G2134,3)="112",LEFT($G2134,3)="113"),"CHI",""))))</f>
        <v/>
      </c>
      <c r="N2134" s="117">
        <f>IF($M2134="THU",$G2134,IF($M2134="CHI",$F2134,""))</f>
        <v/>
      </c>
      <c r="O2134" s="117">
        <f>IF(OR($M2134="",$M2134="NB"),"",IF($J2134&lt;&gt;"",TEXT($J2134,"00"),IFERROR(VLOOKUP(LEFT($N2134,4),LCTT_MAP!$A$7:$C$66,IF($M2134="THU",2,3),FALSE()),IFERROR(VLOOKUP(LEFT($N2134,3),LCTT_MAP!$A$7:$C$66,IF($M2134="THU",2,3),FALSE()),IFERROR(VLOOKUP(LEFT($N2134,2),LCTT_MAP!$A$7:$C$66,IF($M2134="THU",2,3),FALSE()),IFERROR(VLOOKUP(LEFT($N2134,1),LCTT_MAP!$A$7:$C$66,IF($M2134="THU",2,3),FALSE()),IF($M2134="THU","06","07")))))))</f>
        <v/>
      </c>
      <c r="P2134" s="117">
        <f>P2133+IF(AND($H2134&lt;&gt;"",OR(LEFT($F2134,LEN(SC_TK))=SC_TK,LEFT($G2134,LEN(SC_TK))=SC_TK)),1,0)</f>
        <v/>
      </c>
    </row>
    <row r="2135" ht="15" customHeight="1" s="78">
      <c r="A2135" s="95">
        <f>IF($H2135="","",ROW()-6)</f>
        <v/>
      </c>
      <c r="B2135" s="114" t="n"/>
      <c r="C2135" s="102" t="n"/>
      <c r="D2135" s="114" t="n"/>
      <c r="E2135" s="103" t="n"/>
      <c r="F2135" s="102" t="n"/>
      <c r="G2135" s="102" t="n"/>
      <c r="H2135" s="115" t="n"/>
      <c r="I2135" s="102" t="n"/>
      <c r="J2135" s="102" t="n"/>
      <c r="K2135" s="103" t="n"/>
      <c r="L2135" s="116">
        <f>IF($H2135="","",TRIM(IF(COUNTIF(DMTK!$A$7:$A$250,$F2135)=0,"TK Nợ sai! ","")&amp;IF(COUNTIF(DMTK!$A$7:$A$250,$G2135)=0,"TK Có sai! ","")&amp;IF(N($H2135)&lt;=0,"Tiền phải &gt; 0! ","")&amp;IF($B2135="","Thiếu ngày! ","")&amp;IF(AND(OR(LEFT($F2135,3)="131",LEFT($G2135,3)="131",LEFT($F2135,3)="331",LEFT($G2135,3)="331"),$I2135=""),"Thiếu Mã ĐT! ","")&amp;IF(AND($I2135&lt;&gt;"",COUNTIF(DM_DT!$A$7:$A$306,$I2135)=0),"Mã ĐT chưa khai báo! ","")))</f>
        <v/>
      </c>
      <c r="M2135" s="117">
        <f>IF($H2135="","",IF(AND(OR(LEFT($F2135,3)="111",LEFT($F2135,3)="112",LEFT($F2135,3)="113"),OR(LEFT($G2135,3)="111",LEFT($G2135,3)="112",LEFT($G2135,3)="113")),"NB",IF(OR(LEFT($F2135,3)="111",LEFT($F2135,3)="112",LEFT($F2135,3)="113"),"THU",IF(OR(LEFT($G2135,3)="111",LEFT($G2135,3)="112",LEFT($G2135,3)="113"),"CHI",""))))</f>
        <v/>
      </c>
      <c r="N2135" s="117">
        <f>IF($M2135="THU",$G2135,IF($M2135="CHI",$F2135,""))</f>
        <v/>
      </c>
      <c r="O2135" s="117">
        <f>IF(OR($M2135="",$M2135="NB"),"",IF($J2135&lt;&gt;"",TEXT($J2135,"00"),IFERROR(VLOOKUP(LEFT($N2135,4),LCTT_MAP!$A$7:$C$66,IF($M2135="THU",2,3),FALSE()),IFERROR(VLOOKUP(LEFT($N2135,3),LCTT_MAP!$A$7:$C$66,IF($M2135="THU",2,3),FALSE()),IFERROR(VLOOKUP(LEFT($N2135,2),LCTT_MAP!$A$7:$C$66,IF($M2135="THU",2,3),FALSE()),IFERROR(VLOOKUP(LEFT($N2135,1),LCTT_MAP!$A$7:$C$66,IF($M2135="THU",2,3),FALSE()),IF($M2135="THU","06","07")))))))</f>
        <v/>
      </c>
      <c r="P2135" s="117">
        <f>P2134+IF(AND($H2135&lt;&gt;"",OR(LEFT($F2135,LEN(SC_TK))=SC_TK,LEFT($G2135,LEN(SC_TK))=SC_TK)),1,0)</f>
        <v/>
      </c>
    </row>
    <row r="2136" ht="15" customHeight="1" s="78">
      <c r="A2136" s="95">
        <f>IF($H2136="","",ROW()-6)</f>
        <v/>
      </c>
      <c r="B2136" s="114" t="n"/>
      <c r="C2136" s="102" t="n"/>
      <c r="D2136" s="114" t="n"/>
      <c r="E2136" s="103" t="n"/>
      <c r="F2136" s="102" t="n"/>
      <c r="G2136" s="102" t="n"/>
      <c r="H2136" s="115" t="n"/>
      <c r="I2136" s="102" t="n"/>
      <c r="J2136" s="102" t="n"/>
      <c r="K2136" s="103" t="n"/>
      <c r="L2136" s="116">
        <f>IF($H2136="","",TRIM(IF(COUNTIF(DMTK!$A$7:$A$250,$F2136)=0,"TK Nợ sai! ","")&amp;IF(COUNTIF(DMTK!$A$7:$A$250,$G2136)=0,"TK Có sai! ","")&amp;IF(N($H2136)&lt;=0,"Tiền phải &gt; 0! ","")&amp;IF($B2136="","Thiếu ngày! ","")&amp;IF(AND(OR(LEFT($F2136,3)="131",LEFT($G2136,3)="131",LEFT($F2136,3)="331",LEFT($G2136,3)="331"),$I2136=""),"Thiếu Mã ĐT! ","")&amp;IF(AND($I2136&lt;&gt;"",COUNTIF(DM_DT!$A$7:$A$306,$I2136)=0),"Mã ĐT chưa khai báo! ","")))</f>
        <v/>
      </c>
      <c r="M2136" s="117">
        <f>IF($H2136="","",IF(AND(OR(LEFT($F2136,3)="111",LEFT($F2136,3)="112",LEFT($F2136,3)="113"),OR(LEFT($G2136,3)="111",LEFT($G2136,3)="112",LEFT($G2136,3)="113")),"NB",IF(OR(LEFT($F2136,3)="111",LEFT($F2136,3)="112",LEFT($F2136,3)="113"),"THU",IF(OR(LEFT($G2136,3)="111",LEFT($G2136,3)="112",LEFT($G2136,3)="113"),"CHI",""))))</f>
        <v/>
      </c>
      <c r="N2136" s="117">
        <f>IF($M2136="THU",$G2136,IF($M2136="CHI",$F2136,""))</f>
        <v/>
      </c>
      <c r="O2136" s="117">
        <f>IF(OR($M2136="",$M2136="NB"),"",IF($J2136&lt;&gt;"",TEXT($J2136,"00"),IFERROR(VLOOKUP(LEFT($N2136,4),LCTT_MAP!$A$7:$C$66,IF($M2136="THU",2,3),FALSE()),IFERROR(VLOOKUP(LEFT($N2136,3),LCTT_MAP!$A$7:$C$66,IF($M2136="THU",2,3),FALSE()),IFERROR(VLOOKUP(LEFT($N2136,2),LCTT_MAP!$A$7:$C$66,IF($M2136="THU",2,3),FALSE()),IFERROR(VLOOKUP(LEFT($N2136,1),LCTT_MAP!$A$7:$C$66,IF($M2136="THU",2,3),FALSE()),IF($M2136="THU","06","07")))))))</f>
        <v/>
      </c>
      <c r="P2136" s="117">
        <f>P2135+IF(AND($H2136&lt;&gt;"",OR(LEFT($F2136,LEN(SC_TK))=SC_TK,LEFT($G2136,LEN(SC_TK))=SC_TK)),1,0)</f>
        <v/>
      </c>
    </row>
    <row r="2137" ht="15" customHeight="1" s="78">
      <c r="A2137" s="95">
        <f>IF($H2137="","",ROW()-6)</f>
        <v/>
      </c>
      <c r="B2137" s="114" t="n"/>
      <c r="C2137" s="102" t="n"/>
      <c r="D2137" s="114" t="n"/>
      <c r="E2137" s="103" t="n"/>
      <c r="F2137" s="102" t="n"/>
      <c r="G2137" s="102" t="n"/>
      <c r="H2137" s="115" t="n"/>
      <c r="I2137" s="102" t="n"/>
      <c r="J2137" s="102" t="n"/>
      <c r="K2137" s="103" t="n"/>
      <c r="L2137" s="116">
        <f>IF($H2137="","",TRIM(IF(COUNTIF(DMTK!$A$7:$A$250,$F2137)=0,"TK Nợ sai! ","")&amp;IF(COUNTIF(DMTK!$A$7:$A$250,$G2137)=0,"TK Có sai! ","")&amp;IF(N($H2137)&lt;=0,"Tiền phải &gt; 0! ","")&amp;IF($B2137="","Thiếu ngày! ","")&amp;IF(AND(OR(LEFT($F2137,3)="131",LEFT($G2137,3)="131",LEFT($F2137,3)="331",LEFT($G2137,3)="331"),$I2137=""),"Thiếu Mã ĐT! ","")&amp;IF(AND($I2137&lt;&gt;"",COUNTIF(DM_DT!$A$7:$A$306,$I2137)=0),"Mã ĐT chưa khai báo! ","")))</f>
        <v/>
      </c>
      <c r="M2137" s="117">
        <f>IF($H2137="","",IF(AND(OR(LEFT($F2137,3)="111",LEFT($F2137,3)="112",LEFT($F2137,3)="113"),OR(LEFT($G2137,3)="111",LEFT($G2137,3)="112",LEFT($G2137,3)="113")),"NB",IF(OR(LEFT($F2137,3)="111",LEFT($F2137,3)="112",LEFT($F2137,3)="113"),"THU",IF(OR(LEFT($G2137,3)="111",LEFT($G2137,3)="112",LEFT($G2137,3)="113"),"CHI",""))))</f>
        <v/>
      </c>
      <c r="N2137" s="117">
        <f>IF($M2137="THU",$G2137,IF($M2137="CHI",$F2137,""))</f>
        <v/>
      </c>
      <c r="O2137" s="117">
        <f>IF(OR($M2137="",$M2137="NB"),"",IF($J2137&lt;&gt;"",TEXT($J2137,"00"),IFERROR(VLOOKUP(LEFT($N2137,4),LCTT_MAP!$A$7:$C$66,IF($M2137="THU",2,3),FALSE()),IFERROR(VLOOKUP(LEFT($N2137,3),LCTT_MAP!$A$7:$C$66,IF($M2137="THU",2,3),FALSE()),IFERROR(VLOOKUP(LEFT($N2137,2),LCTT_MAP!$A$7:$C$66,IF($M2137="THU",2,3),FALSE()),IFERROR(VLOOKUP(LEFT($N2137,1),LCTT_MAP!$A$7:$C$66,IF($M2137="THU",2,3),FALSE()),IF($M2137="THU","06","07")))))))</f>
        <v/>
      </c>
      <c r="P2137" s="117">
        <f>P2136+IF(AND($H2137&lt;&gt;"",OR(LEFT($F2137,LEN(SC_TK))=SC_TK,LEFT($G2137,LEN(SC_TK))=SC_TK)),1,0)</f>
        <v/>
      </c>
    </row>
    <row r="2138" ht="15" customHeight="1" s="78">
      <c r="A2138" s="95">
        <f>IF($H2138="","",ROW()-6)</f>
        <v/>
      </c>
      <c r="B2138" s="114" t="n"/>
      <c r="C2138" s="102" t="n"/>
      <c r="D2138" s="114" t="n"/>
      <c r="E2138" s="103" t="n"/>
      <c r="F2138" s="102" t="n"/>
      <c r="G2138" s="102" t="n"/>
      <c r="H2138" s="115" t="n"/>
      <c r="I2138" s="102" t="n"/>
      <c r="J2138" s="102" t="n"/>
      <c r="K2138" s="103" t="n"/>
      <c r="L2138" s="116">
        <f>IF($H2138="","",TRIM(IF(COUNTIF(DMTK!$A$7:$A$250,$F2138)=0,"TK Nợ sai! ","")&amp;IF(COUNTIF(DMTK!$A$7:$A$250,$G2138)=0,"TK Có sai! ","")&amp;IF(N($H2138)&lt;=0,"Tiền phải &gt; 0! ","")&amp;IF($B2138="","Thiếu ngày! ","")&amp;IF(AND(OR(LEFT($F2138,3)="131",LEFT($G2138,3)="131",LEFT($F2138,3)="331",LEFT($G2138,3)="331"),$I2138=""),"Thiếu Mã ĐT! ","")&amp;IF(AND($I2138&lt;&gt;"",COUNTIF(DM_DT!$A$7:$A$306,$I2138)=0),"Mã ĐT chưa khai báo! ","")))</f>
        <v/>
      </c>
      <c r="M2138" s="117">
        <f>IF($H2138="","",IF(AND(OR(LEFT($F2138,3)="111",LEFT($F2138,3)="112",LEFT($F2138,3)="113"),OR(LEFT($G2138,3)="111",LEFT($G2138,3)="112",LEFT($G2138,3)="113")),"NB",IF(OR(LEFT($F2138,3)="111",LEFT($F2138,3)="112",LEFT($F2138,3)="113"),"THU",IF(OR(LEFT($G2138,3)="111",LEFT($G2138,3)="112",LEFT($G2138,3)="113"),"CHI",""))))</f>
        <v/>
      </c>
      <c r="N2138" s="117">
        <f>IF($M2138="THU",$G2138,IF($M2138="CHI",$F2138,""))</f>
        <v/>
      </c>
      <c r="O2138" s="117">
        <f>IF(OR($M2138="",$M2138="NB"),"",IF($J2138&lt;&gt;"",TEXT($J2138,"00"),IFERROR(VLOOKUP(LEFT($N2138,4),LCTT_MAP!$A$7:$C$66,IF($M2138="THU",2,3),FALSE()),IFERROR(VLOOKUP(LEFT($N2138,3),LCTT_MAP!$A$7:$C$66,IF($M2138="THU",2,3),FALSE()),IFERROR(VLOOKUP(LEFT($N2138,2),LCTT_MAP!$A$7:$C$66,IF($M2138="THU",2,3),FALSE()),IFERROR(VLOOKUP(LEFT($N2138,1),LCTT_MAP!$A$7:$C$66,IF($M2138="THU",2,3),FALSE()),IF($M2138="THU","06","07")))))))</f>
        <v/>
      </c>
      <c r="P2138" s="117">
        <f>P2137+IF(AND($H2138&lt;&gt;"",OR(LEFT($F2138,LEN(SC_TK))=SC_TK,LEFT($G2138,LEN(SC_TK))=SC_TK)),1,0)</f>
        <v/>
      </c>
    </row>
    <row r="2139" ht="15" customHeight="1" s="78">
      <c r="A2139" s="95">
        <f>IF($H2139="","",ROW()-6)</f>
        <v/>
      </c>
      <c r="B2139" s="114" t="n"/>
      <c r="C2139" s="102" t="n"/>
      <c r="D2139" s="114" t="n"/>
      <c r="E2139" s="103" t="n"/>
      <c r="F2139" s="102" t="n"/>
      <c r="G2139" s="102" t="n"/>
      <c r="H2139" s="115" t="n"/>
      <c r="I2139" s="102" t="n"/>
      <c r="J2139" s="102" t="n"/>
      <c r="K2139" s="103" t="n"/>
      <c r="L2139" s="116">
        <f>IF($H2139="","",TRIM(IF(COUNTIF(DMTK!$A$7:$A$250,$F2139)=0,"TK Nợ sai! ","")&amp;IF(COUNTIF(DMTK!$A$7:$A$250,$G2139)=0,"TK Có sai! ","")&amp;IF(N($H2139)&lt;=0,"Tiền phải &gt; 0! ","")&amp;IF($B2139="","Thiếu ngày! ","")&amp;IF(AND(OR(LEFT($F2139,3)="131",LEFT($G2139,3)="131",LEFT($F2139,3)="331",LEFT($G2139,3)="331"),$I2139=""),"Thiếu Mã ĐT! ","")&amp;IF(AND($I2139&lt;&gt;"",COUNTIF(DM_DT!$A$7:$A$306,$I2139)=0),"Mã ĐT chưa khai báo! ","")))</f>
        <v/>
      </c>
      <c r="M2139" s="117">
        <f>IF($H2139="","",IF(AND(OR(LEFT($F2139,3)="111",LEFT($F2139,3)="112",LEFT($F2139,3)="113"),OR(LEFT($G2139,3)="111",LEFT($G2139,3)="112",LEFT($G2139,3)="113")),"NB",IF(OR(LEFT($F2139,3)="111",LEFT($F2139,3)="112",LEFT($F2139,3)="113"),"THU",IF(OR(LEFT($G2139,3)="111",LEFT($G2139,3)="112",LEFT($G2139,3)="113"),"CHI",""))))</f>
        <v/>
      </c>
      <c r="N2139" s="117">
        <f>IF($M2139="THU",$G2139,IF($M2139="CHI",$F2139,""))</f>
        <v/>
      </c>
      <c r="O2139" s="117">
        <f>IF(OR($M2139="",$M2139="NB"),"",IF($J2139&lt;&gt;"",TEXT($J2139,"00"),IFERROR(VLOOKUP(LEFT($N2139,4),LCTT_MAP!$A$7:$C$66,IF($M2139="THU",2,3),FALSE()),IFERROR(VLOOKUP(LEFT($N2139,3),LCTT_MAP!$A$7:$C$66,IF($M2139="THU",2,3),FALSE()),IFERROR(VLOOKUP(LEFT($N2139,2),LCTT_MAP!$A$7:$C$66,IF($M2139="THU",2,3),FALSE()),IFERROR(VLOOKUP(LEFT($N2139,1),LCTT_MAP!$A$7:$C$66,IF($M2139="THU",2,3),FALSE()),IF($M2139="THU","06","07")))))))</f>
        <v/>
      </c>
      <c r="P2139" s="117">
        <f>P2138+IF(AND($H2139&lt;&gt;"",OR(LEFT($F2139,LEN(SC_TK))=SC_TK,LEFT($G2139,LEN(SC_TK))=SC_TK)),1,0)</f>
        <v/>
      </c>
    </row>
    <row r="2140" ht="15" customHeight="1" s="78">
      <c r="A2140" s="95">
        <f>IF($H2140="","",ROW()-6)</f>
        <v/>
      </c>
      <c r="B2140" s="114" t="n"/>
      <c r="C2140" s="102" t="n"/>
      <c r="D2140" s="114" t="n"/>
      <c r="E2140" s="103" t="n"/>
      <c r="F2140" s="102" t="n"/>
      <c r="G2140" s="102" t="n"/>
      <c r="H2140" s="115" t="n"/>
      <c r="I2140" s="102" t="n"/>
      <c r="J2140" s="102" t="n"/>
      <c r="K2140" s="103" t="n"/>
      <c r="L2140" s="116">
        <f>IF($H2140="","",TRIM(IF(COUNTIF(DMTK!$A$7:$A$250,$F2140)=0,"TK Nợ sai! ","")&amp;IF(COUNTIF(DMTK!$A$7:$A$250,$G2140)=0,"TK Có sai! ","")&amp;IF(N($H2140)&lt;=0,"Tiền phải &gt; 0! ","")&amp;IF($B2140="","Thiếu ngày! ","")&amp;IF(AND(OR(LEFT($F2140,3)="131",LEFT($G2140,3)="131",LEFT($F2140,3)="331",LEFT($G2140,3)="331"),$I2140=""),"Thiếu Mã ĐT! ","")&amp;IF(AND($I2140&lt;&gt;"",COUNTIF(DM_DT!$A$7:$A$306,$I2140)=0),"Mã ĐT chưa khai báo! ","")))</f>
        <v/>
      </c>
      <c r="M2140" s="117">
        <f>IF($H2140="","",IF(AND(OR(LEFT($F2140,3)="111",LEFT($F2140,3)="112",LEFT($F2140,3)="113"),OR(LEFT($G2140,3)="111",LEFT($G2140,3)="112",LEFT($G2140,3)="113")),"NB",IF(OR(LEFT($F2140,3)="111",LEFT($F2140,3)="112",LEFT($F2140,3)="113"),"THU",IF(OR(LEFT($G2140,3)="111",LEFT($G2140,3)="112",LEFT($G2140,3)="113"),"CHI",""))))</f>
        <v/>
      </c>
      <c r="N2140" s="117">
        <f>IF($M2140="THU",$G2140,IF($M2140="CHI",$F2140,""))</f>
        <v/>
      </c>
      <c r="O2140" s="117">
        <f>IF(OR($M2140="",$M2140="NB"),"",IF($J2140&lt;&gt;"",TEXT($J2140,"00"),IFERROR(VLOOKUP(LEFT($N2140,4),LCTT_MAP!$A$7:$C$66,IF($M2140="THU",2,3),FALSE()),IFERROR(VLOOKUP(LEFT($N2140,3),LCTT_MAP!$A$7:$C$66,IF($M2140="THU",2,3),FALSE()),IFERROR(VLOOKUP(LEFT($N2140,2),LCTT_MAP!$A$7:$C$66,IF($M2140="THU",2,3),FALSE()),IFERROR(VLOOKUP(LEFT($N2140,1),LCTT_MAP!$A$7:$C$66,IF($M2140="THU",2,3),FALSE()),IF($M2140="THU","06","07")))))))</f>
        <v/>
      </c>
      <c r="P2140" s="117">
        <f>P2139+IF(AND($H2140&lt;&gt;"",OR(LEFT($F2140,LEN(SC_TK))=SC_TK,LEFT($G2140,LEN(SC_TK))=SC_TK)),1,0)</f>
        <v/>
      </c>
    </row>
    <row r="2141" ht="15" customHeight="1" s="78">
      <c r="A2141" s="95">
        <f>IF($H2141="","",ROW()-6)</f>
        <v/>
      </c>
      <c r="B2141" s="114" t="n"/>
      <c r="C2141" s="102" t="n"/>
      <c r="D2141" s="114" t="n"/>
      <c r="E2141" s="103" t="n"/>
      <c r="F2141" s="102" t="n"/>
      <c r="G2141" s="102" t="n"/>
      <c r="H2141" s="115" t="n"/>
      <c r="I2141" s="102" t="n"/>
      <c r="J2141" s="102" t="n"/>
      <c r="K2141" s="103" t="n"/>
      <c r="L2141" s="116">
        <f>IF($H2141="","",TRIM(IF(COUNTIF(DMTK!$A$7:$A$250,$F2141)=0,"TK Nợ sai! ","")&amp;IF(COUNTIF(DMTK!$A$7:$A$250,$G2141)=0,"TK Có sai! ","")&amp;IF(N($H2141)&lt;=0,"Tiền phải &gt; 0! ","")&amp;IF($B2141="","Thiếu ngày! ","")&amp;IF(AND(OR(LEFT($F2141,3)="131",LEFT($G2141,3)="131",LEFT($F2141,3)="331",LEFT($G2141,3)="331"),$I2141=""),"Thiếu Mã ĐT! ","")&amp;IF(AND($I2141&lt;&gt;"",COUNTIF(DM_DT!$A$7:$A$306,$I2141)=0),"Mã ĐT chưa khai báo! ","")))</f>
        <v/>
      </c>
      <c r="M2141" s="117">
        <f>IF($H2141="","",IF(AND(OR(LEFT($F2141,3)="111",LEFT($F2141,3)="112",LEFT($F2141,3)="113"),OR(LEFT($G2141,3)="111",LEFT($G2141,3)="112",LEFT($G2141,3)="113")),"NB",IF(OR(LEFT($F2141,3)="111",LEFT($F2141,3)="112",LEFT($F2141,3)="113"),"THU",IF(OR(LEFT($G2141,3)="111",LEFT($G2141,3)="112",LEFT($G2141,3)="113"),"CHI",""))))</f>
        <v/>
      </c>
      <c r="N2141" s="117">
        <f>IF($M2141="THU",$G2141,IF($M2141="CHI",$F2141,""))</f>
        <v/>
      </c>
      <c r="O2141" s="117">
        <f>IF(OR($M2141="",$M2141="NB"),"",IF($J2141&lt;&gt;"",TEXT($J2141,"00"),IFERROR(VLOOKUP(LEFT($N2141,4),LCTT_MAP!$A$7:$C$66,IF($M2141="THU",2,3),FALSE()),IFERROR(VLOOKUP(LEFT($N2141,3),LCTT_MAP!$A$7:$C$66,IF($M2141="THU",2,3),FALSE()),IFERROR(VLOOKUP(LEFT($N2141,2),LCTT_MAP!$A$7:$C$66,IF($M2141="THU",2,3),FALSE()),IFERROR(VLOOKUP(LEFT($N2141,1),LCTT_MAP!$A$7:$C$66,IF($M2141="THU",2,3),FALSE()),IF($M2141="THU","06","07")))))))</f>
        <v/>
      </c>
      <c r="P2141" s="117">
        <f>P2140+IF(AND($H2141&lt;&gt;"",OR(LEFT($F2141,LEN(SC_TK))=SC_TK,LEFT($G2141,LEN(SC_TK))=SC_TK)),1,0)</f>
        <v/>
      </c>
    </row>
    <row r="2142" ht="15" customHeight="1" s="78">
      <c r="A2142" s="95">
        <f>IF($H2142="","",ROW()-6)</f>
        <v/>
      </c>
      <c r="B2142" s="114" t="n"/>
      <c r="C2142" s="102" t="n"/>
      <c r="D2142" s="114" t="n"/>
      <c r="E2142" s="103" t="n"/>
      <c r="F2142" s="102" t="n"/>
      <c r="G2142" s="102" t="n"/>
      <c r="H2142" s="115" t="n"/>
      <c r="I2142" s="102" t="n"/>
      <c r="J2142" s="102" t="n"/>
      <c r="K2142" s="103" t="n"/>
      <c r="L2142" s="116">
        <f>IF($H2142="","",TRIM(IF(COUNTIF(DMTK!$A$7:$A$250,$F2142)=0,"TK Nợ sai! ","")&amp;IF(COUNTIF(DMTK!$A$7:$A$250,$G2142)=0,"TK Có sai! ","")&amp;IF(N($H2142)&lt;=0,"Tiền phải &gt; 0! ","")&amp;IF($B2142="","Thiếu ngày! ","")&amp;IF(AND(OR(LEFT($F2142,3)="131",LEFT($G2142,3)="131",LEFT($F2142,3)="331",LEFT($G2142,3)="331"),$I2142=""),"Thiếu Mã ĐT! ","")&amp;IF(AND($I2142&lt;&gt;"",COUNTIF(DM_DT!$A$7:$A$306,$I2142)=0),"Mã ĐT chưa khai báo! ","")))</f>
        <v/>
      </c>
      <c r="M2142" s="117">
        <f>IF($H2142="","",IF(AND(OR(LEFT($F2142,3)="111",LEFT($F2142,3)="112",LEFT($F2142,3)="113"),OR(LEFT($G2142,3)="111",LEFT($G2142,3)="112",LEFT($G2142,3)="113")),"NB",IF(OR(LEFT($F2142,3)="111",LEFT($F2142,3)="112",LEFT($F2142,3)="113"),"THU",IF(OR(LEFT($G2142,3)="111",LEFT($G2142,3)="112",LEFT($G2142,3)="113"),"CHI",""))))</f>
        <v/>
      </c>
      <c r="N2142" s="117">
        <f>IF($M2142="THU",$G2142,IF($M2142="CHI",$F2142,""))</f>
        <v/>
      </c>
      <c r="O2142" s="117">
        <f>IF(OR($M2142="",$M2142="NB"),"",IF($J2142&lt;&gt;"",TEXT($J2142,"00"),IFERROR(VLOOKUP(LEFT($N2142,4),LCTT_MAP!$A$7:$C$66,IF($M2142="THU",2,3),FALSE()),IFERROR(VLOOKUP(LEFT($N2142,3),LCTT_MAP!$A$7:$C$66,IF($M2142="THU",2,3),FALSE()),IFERROR(VLOOKUP(LEFT($N2142,2),LCTT_MAP!$A$7:$C$66,IF($M2142="THU",2,3),FALSE()),IFERROR(VLOOKUP(LEFT($N2142,1),LCTT_MAP!$A$7:$C$66,IF($M2142="THU",2,3),FALSE()),IF($M2142="THU","06","07")))))))</f>
        <v/>
      </c>
      <c r="P2142" s="117">
        <f>P2141+IF(AND($H2142&lt;&gt;"",OR(LEFT($F2142,LEN(SC_TK))=SC_TK,LEFT($G2142,LEN(SC_TK))=SC_TK)),1,0)</f>
        <v/>
      </c>
    </row>
    <row r="2143" ht="15" customHeight="1" s="78">
      <c r="A2143" s="95">
        <f>IF($H2143="","",ROW()-6)</f>
        <v/>
      </c>
      <c r="B2143" s="114" t="n"/>
      <c r="C2143" s="102" t="n"/>
      <c r="D2143" s="114" t="n"/>
      <c r="E2143" s="103" t="n"/>
      <c r="F2143" s="102" t="n"/>
      <c r="G2143" s="102" t="n"/>
      <c r="H2143" s="115" t="n"/>
      <c r="I2143" s="102" t="n"/>
      <c r="J2143" s="102" t="n"/>
      <c r="K2143" s="103" t="n"/>
      <c r="L2143" s="116">
        <f>IF($H2143="","",TRIM(IF(COUNTIF(DMTK!$A$7:$A$250,$F2143)=0,"TK Nợ sai! ","")&amp;IF(COUNTIF(DMTK!$A$7:$A$250,$G2143)=0,"TK Có sai! ","")&amp;IF(N($H2143)&lt;=0,"Tiền phải &gt; 0! ","")&amp;IF($B2143="","Thiếu ngày! ","")&amp;IF(AND(OR(LEFT($F2143,3)="131",LEFT($G2143,3)="131",LEFT($F2143,3)="331",LEFT($G2143,3)="331"),$I2143=""),"Thiếu Mã ĐT! ","")&amp;IF(AND($I2143&lt;&gt;"",COUNTIF(DM_DT!$A$7:$A$306,$I2143)=0),"Mã ĐT chưa khai báo! ","")))</f>
        <v/>
      </c>
      <c r="M2143" s="117">
        <f>IF($H2143="","",IF(AND(OR(LEFT($F2143,3)="111",LEFT($F2143,3)="112",LEFT($F2143,3)="113"),OR(LEFT($G2143,3)="111",LEFT($G2143,3)="112",LEFT($G2143,3)="113")),"NB",IF(OR(LEFT($F2143,3)="111",LEFT($F2143,3)="112",LEFT($F2143,3)="113"),"THU",IF(OR(LEFT($G2143,3)="111",LEFT($G2143,3)="112",LEFT($G2143,3)="113"),"CHI",""))))</f>
        <v/>
      </c>
      <c r="N2143" s="117">
        <f>IF($M2143="THU",$G2143,IF($M2143="CHI",$F2143,""))</f>
        <v/>
      </c>
      <c r="O2143" s="117">
        <f>IF(OR($M2143="",$M2143="NB"),"",IF($J2143&lt;&gt;"",TEXT($J2143,"00"),IFERROR(VLOOKUP(LEFT($N2143,4),LCTT_MAP!$A$7:$C$66,IF($M2143="THU",2,3),FALSE()),IFERROR(VLOOKUP(LEFT($N2143,3),LCTT_MAP!$A$7:$C$66,IF($M2143="THU",2,3),FALSE()),IFERROR(VLOOKUP(LEFT($N2143,2),LCTT_MAP!$A$7:$C$66,IF($M2143="THU",2,3),FALSE()),IFERROR(VLOOKUP(LEFT($N2143,1),LCTT_MAP!$A$7:$C$66,IF($M2143="THU",2,3),FALSE()),IF($M2143="THU","06","07")))))))</f>
        <v/>
      </c>
      <c r="P2143" s="117">
        <f>P2142+IF(AND($H2143&lt;&gt;"",OR(LEFT($F2143,LEN(SC_TK))=SC_TK,LEFT($G2143,LEN(SC_TK))=SC_TK)),1,0)</f>
        <v/>
      </c>
    </row>
    <row r="2144" ht="15" customHeight="1" s="78">
      <c r="A2144" s="95">
        <f>IF($H2144="","",ROW()-6)</f>
        <v/>
      </c>
      <c r="B2144" s="114" t="n"/>
      <c r="C2144" s="102" t="n"/>
      <c r="D2144" s="114" t="n"/>
      <c r="E2144" s="103" t="n"/>
      <c r="F2144" s="102" t="n"/>
      <c r="G2144" s="102" t="n"/>
      <c r="H2144" s="115" t="n"/>
      <c r="I2144" s="102" t="n"/>
      <c r="J2144" s="102" t="n"/>
      <c r="K2144" s="103" t="n"/>
      <c r="L2144" s="116">
        <f>IF($H2144="","",TRIM(IF(COUNTIF(DMTK!$A$7:$A$250,$F2144)=0,"TK Nợ sai! ","")&amp;IF(COUNTIF(DMTK!$A$7:$A$250,$G2144)=0,"TK Có sai! ","")&amp;IF(N($H2144)&lt;=0,"Tiền phải &gt; 0! ","")&amp;IF($B2144="","Thiếu ngày! ","")&amp;IF(AND(OR(LEFT($F2144,3)="131",LEFT($G2144,3)="131",LEFT($F2144,3)="331",LEFT($G2144,3)="331"),$I2144=""),"Thiếu Mã ĐT! ","")&amp;IF(AND($I2144&lt;&gt;"",COUNTIF(DM_DT!$A$7:$A$306,$I2144)=0),"Mã ĐT chưa khai báo! ","")))</f>
        <v/>
      </c>
      <c r="M2144" s="117">
        <f>IF($H2144="","",IF(AND(OR(LEFT($F2144,3)="111",LEFT($F2144,3)="112",LEFT($F2144,3)="113"),OR(LEFT($G2144,3)="111",LEFT($G2144,3)="112",LEFT($G2144,3)="113")),"NB",IF(OR(LEFT($F2144,3)="111",LEFT($F2144,3)="112",LEFT($F2144,3)="113"),"THU",IF(OR(LEFT($G2144,3)="111",LEFT($G2144,3)="112",LEFT($G2144,3)="113"),"CHI",""))))</f>
        <v/>
      </c>
      <c r="N2144" s="117">
        <f>IF($M2144="THU",$G2144,IF($M2144="CHI",$F2144,""))</f>
        <v/>
      </c>
      <c r="O2144" s="117">
        <f>IF(OR($M2144="",$M2144="NB"),"",IF($J2144&lt;&gt;"",TEXT($J2144,"00"),IFERROR(VLOOKUP(LEFT($N2144,4),LCTT_MAP!$A$7:$C$66,IF($M2144="THU",2,3),FALSE()),IFERROR(VLOOKUP(LEFT($N2144,3),LCTT_MAP!$A$7:$C$66,IF($M2144="THU",2,3),FALSE()),IFERROR(VLOOKUP(LEFT($N2144,2),LCTT_MAP!$A$7:$C$66,IF($M2144="THU",2,3),FALSE()),IFERROR(VLOOKUP(LEFT($N2144,1),LCTT_MAP!$A$7:$C$66,IF($M2144="THU",2,3),FALSE()),IF($M2144="THU","06","07")))))))</f>
        <v/>
      </c>
      <c r="P2144" s="117">
        <f>P2143+IF(AND($H2144&lt;&gt;"",OR(LEFT($F2144,LEN(SC_TK))=SC_TK,LEFT($G2144,LEN(SC_TK))=SC_TK)),1,0)</f>
        <v/>
      </c>
    </row>
    <row r="2145" ht="15" customHeight="1" s="78">
      <c r="A2145" s="95">
        <f>IF($H2145="","",ROW()-6)</f>
        <v/>
      </c>
      <c r="B2145" s="114" t="n"/>
      <c r="C2145" s="102" t="n"/>
      <c r="D2145" s="114" t="n"/>
      <c r="E2145" s="103" t="n"/>
      <c r="F2145" s="102" t="n"/>
      <c r="G2145" s="102" t="n"/>
      <c r="H2145" s="115" t="n"/>
      <c r="I2145" s="102" t="n"/>
      <c r="J2145" s="102" t="n"/>
      <c r="K2145" s="103" t="n"/>
      <c r="L2145" s="116">
        <f>IF($H2145="","",TRIM(IF(COUNTIF(DMTK!$A$7:$A$250,$F2145)=0,"TK Nợ sai! ","")&amp;IF(COUNTIF(DMTK!$A$7:$A$250,$G2145)=0,"TK Có sai! ","")&amp;IF(N($H2145)&lt;=0,"Tiền phải &gt; 0! ","")&amp;IF($B2145="","Thiếu ngày! ","")&amp;IF(AND(OR(LEFT($F2145,3)="131",LEFT($G2145,3)="131",LEFT($F2145,3)="331",LEFT($G2145,3)="331"),$I2145=""),"Thiếu Mã ĐT! ","")&amp;IF(AND($I2145&lt;&gt;"",COUNTIF(DM_DT!$A$7:$A$306,$I2145)=0),"Mã ĐT chưa khai báo! ","")))</f>
        <v/>
      </c>
      <c r="M2145" s="117">
        <f>IF($H2145="","",IF(AND(OR(LEFT($F2145,3)="111",LEFT($F2145,3)="112",LEFT($F2145,3)="113"),OR(LEFT($G2145,3)="111",LEFT($G2145,3)="112",LEFT($G2145,3)="113")),"NB",IF(OR(LEFT($F2145,3)="111",LEFT($F2145,3)="112",LEFT($F2145,3)="113"),"THU",IF(OR(LEFT($G2145,3)="111",LEFT($G2145,3)="112",LEFT($G2145,3)="113"),"CHI",""))))</f>
        <v/>
      </c>
      <c r="N2145" s="117">
        <f>IF($M2145="THU",$G2145,IF($M2145="CHI",$F2145,""))</f>
        <v/>
      </c>
      <c r="O2145" s="117">
        <f>IF(OR($M2145="",$M2145="NB"),"",IF($J2145&lt;&gt;"",TEXT($J2145,"00"),IFERROR(VLOOKUP(LEFT($N2145,4),LCTT_MAP!$A$7:$C$66,IF($M2145="THU",2,3),FALSE()),IFERROR(VLOOKUP(LEFT($N2145,3),LCTT_MAP!$A$7:$C$66,IF($M2145="THU",2,3),FALSE()),IFERROR(VLOOKUP(LEFT($N2145,2),LCTT_MAP!$A$7:$C$66,IF($M2145="THU",2,3),FALSE()),IFERROR(VLOOKUP(LEFT($N2145,1),LCTT_MAP!$A$7:$C$66,IF($M2145="THU",2,3),FALSE()),IF($M2145="THU","06","07")))))))</f>
        <v/>
      </c>
      <c r="P2145" s="117">
        <f>P2144+IF(AND($H2145&lt;&gt;"",OR(LEFT($F2145,LEN(SC_TK))=SC_TK,LEFT($G2145,LEN(SC_TK))=SC_TK)),1,0)</f>
        <v/>
      </c>
    </row>
    <row r="2146" ht="15" customHeight="1" s="78">
      <c r="A2146" s="95">
        <f>IF($H2146="","",ROW()-6)</f>
        <v/>
      </c>
      <c r="B2146" s="114" t="n"/>
      <c r="C2146" s="102" t="n"/>
      <c r="D2146" s="114" t="n"/>
      <c r="E2146" s="103" t="n"/>
      <c r="F2146" s="102" t="n"/>
      <c r="G2146" s="102" t="n"/>
      <c r="H2146" s="115" t="n"/>
      <c r="I2146" s="102" t="n"/>
      <c r="J2146" s="102" t="n"/>
      <c r="K2146" s="103" t="n"/>
      <c r="L2146" s="116">
        <f>IF($H2146="","",TRIM(IF(COUNTIF(DMTK!$A$7:$A$250,$F2146)=0,"TK Nợ sai! ","")&amp;IF(COUNTIF(DMTK!$A$7:$A$250,$G2146)=0,"TK Có sai! ","")&amp;IF(N($H2146)&lt;=0,"Tiền phải &gt; 0! ","")&amp;IF($B2146="","Thiếu ngày! ","")&amp;IF(AND(OR(LEFT($F2146,3)="131",LEFT($G2146,3)="131",LEFT($F2146,3)="331",LEFT($G2146,3)="331"),$I2146=""),"Thiếu Mã ĐT! ","")&amp;IF(AND($I2146&lt;&gt;"",COUNTIF(DM_DT!$A$7:$A$306,$I2146)=0),"Mã ĐT chưa khai báo! ","")))</f>
        <v/>
      </c>
      <c r="M2146" s="117">
        <f>IF($H2146="","",IF(AND(OR(LEFT($F2146,3)="111",LEFT($F2146,3)="112",LEFT($F2146,3)="113"),OR(LEFT($G2146,3)="111",LEFT($G2146,3)="112",LEFT($G2146,3)="113")),"NB",IF(OR(LEFT($F2146,3)="111",LEFT($F2146,3)="112",LEFT($F2146,3)="113"),"THU",IF(OR(LEFT($G2146,3)="111",LEFT($G2146,3)="112",LEFT($G2146,3)="113"),"CHI",""))))</f>
        <v/>
      </c>
      <c r="N2146" s="117">
        <f>IF($M2146="THU",$G2146,IF($M2146="CHI",$F2146,""))</f>
        <v/>
      </c>
      <c r="O2146" s="117">
        <f>IF(OR($M2146="",$M2146="NB"),"",IF($J2146&lt;&gt;"",TEXT($J2146,"00"),IFERROR(VLOOKUP(LEFT($N2146,4),LCTT_MAP!$A$7:$C$66,IF($M2146="THU",2,3),FALSE()),IFERROR(VLOOKUP(LEFT($N2146,3),LCTT_MAP!$A$7:$C$66,IF($M2146="THU",2,3),FALSE()),IFERROR(VLOOKUP(LEFT($N2146,2),LCTT_MAP!$A$7:$C$66,IF($M2146="THU",2,3),FALSE()),IFERROR(VLOOKUP(LEFT($N2146,1),LCTT_MAP!$A$7:$C$66,IF($M2146="THU",2,3),FALSE()),IF($M2146="THU","06","07")))))))</f>
        <v/>
      </c>
      <c r="P2146" s="117">
        <f>P2145+IF(AND($H2146&lt;&gt;"",OR(LEFT($F2146,LEN(SC_TK))=SC_TK,LEFT($G2146,LEN(SC_TK))=SC_TK)),1,0)</f>
        <v/>
      </c>
    </row>
    <row r="2147" ht="15" customHeight="1" s="78">
      <c r="A2147" s="95">
        <f>IF($H2147="","",ROW()-6)</f>
        <v/>
      </c>
      <c r="B2147" s="114" t="n"/>
      <c r="C2147" s="102" t="n"/>
      <c r="D2147" s="114" t="n"/>
      <c r="E2147" s="103" t="n"/>
      <c r="F2147" s="102" t="n"/>
      <c r="G2147" s="102" t="n"/>
      <c r="H2147" s="115" t="n"/>
      <c r="I2147" s="102" t="n"/>
      <c r="J2147" s="102" t="n"/>
      <c r="K2147" s="103" t="n"/>
      <c r="L2147" s="116">
        <f>IF($H2147="","",TRIM(IF(COUNTIF(DMTK!$A$7:$A$250,$F2147)=0,"TK Nợ sai! ","")&amp;IF(COUNTIF(DMTK!$A$7:$A$250,$G2147)=0,"TK Có sai! ","")&amp;IF(N($H2147)&lt;=0,"Tiền phải &gt; 0! ","")&amp;IF($B2147="","Thiếu ngày! ","")&amp;IF(AND(OR(LEFT($F2147,3)="131",LEFT($G2147,3)="131",LEFT($F2147,3)="331",LEFT($G2147,3)="331"),$I2147=""),"Thiếu Mã ĐT! ","")&amp;IF(AND($I2147&lt;&gt;"",COUNTIF(DM_DT!$A$7:$A$306,$I2147)=0),"Mã ĐT chưa khai báo! ","")))</f>
        <v/>
      </c>
      <c r="M2147" s="117">
        <f>IF($H2147="","",IF(AND(OR(LEFT($F2147,3)="111",LEFT($F2147,3)="112",LEFT($F2147,3)="113"),OR(LEFT($G2147,3)="111",LEFT($G2147,3)="112",LEFT($G2147,3)="113")),"NB",IF(OR(LEFT($F2147,3)="111",LEFT($F2147,3)="112",LEFT($F2147,3)="113"),"THU",IF(OR(LEFT($G2147,3)="111",LEFT($G2147,3)="112",LEFT($G2147,3)="113"),"CHI",""))))</f>
        <v/>
      </c>
      <c r="N2147" s="117">
        <f>IF($M2147="THU",$G2147,IF($M2147="CHI",$F2147,""))</f>
        <v/>
      </c>
      <c r="O2147" s="117">
        <f>IF(OR($M2147="",$M2147="NB"),"",IF($J2147&lt;&gt;"",TEXT($J2147,"00"),IFERROR(VLOOKUP(LEFT($N2147,4),LCTT_MAP!$A$7:$C$66,IF($M2147="THU",2,3),FALSE()),IFERROR(VLOOKUP(LEFT($N2147,3),LCTT_MAP!$A$7:$C$66,IF($M2147="THU",2,3),FALSE()),IFERROR(VLOOKUP(LEFT($N2147,2),LCTT_MAP!$A$7:$C$66,IF($M2147="THU",2,3),FALSE()),IFERROR(VLOOKUP(LEFT($N2147,1),LCTT_MAP!$A$7:$C$66,IF($M2147="THU",2,3),FALSE()),IF($M2147="THU","06","07")))))))</f>
        <v/>
      </c>
      <c r="P2147" s="117">
        <f>P2146+IF(AND($H2147&lt;&gt;"",OR(LEFT($F2147,LEN(SC_TK))=SC_TK,LEFT($G2147,LEN(SC_TK))=SC_TK)),1,0)</f>
        <v/>
      </c>
    </row>
    <row r="2148" ht="15" customHeight="1" s="78">
      <c r="A2148" s="95">
        <f>IF($H2148="","",ROW()-6)</f>
        <v/>
      </c>
      <c r="B2148" s="114" t="n"/>
      <c r="C2148" s="102" t="n"/>
      <c r="D2148" s="114" t="n"/>
      <c r="E2148" s="103" t="n"/>
      <c r="F2148" s="102" t="n"/>
      <c r="G2148" s="102" t="n"/>
      <c r="H2148" s="115" t="n"/>
      <c r="I2148" s="102" t="n"/>
      <c r="J2148" s="102" t="n"/>
      <c r="K2148" s="103" t="n"/>
      <c r="L2148" s="116">
        <f>IF($H2148="","",TRIM(IF(COUNTIF(DMTK!$A$7:$A$250,$F2148)=0,"TK Nợ sai! ","")&amp;IF(COUNTIF(DMTK!$A$7:$A$250,$G2148)=0,"TK Có sai! ","")&amp;IF(N($H2148)&lt;=0,"Tiền phải &gt; 0! ","")&amp;IF($B2148="","Thiếu ngày! ","")&amp;IF(AND(OR(LEFT($F2148,3)="131",LEFT($G2148,3)="131",LEFT($F2148,3)="331",LEFT($G2148,3)="331"),$I2148=""),"Thiếu Mã ĐT! ","")&amp;IF(AND($I2148&lt;&gt;"",COUNTIF(DM_DT!$A$7:$A$306,$I2148)=0),"Mã ĐT chưa khai báo! ","")))</f>
        <v/>
      </c>
      <c r="M2148" s="117">
        <f>IF($H2148="","",IF(AND(OR(LEFT($F2148,3)="111",LEFT($F2148,3)="112",LEFT($F2148,3)="113"),OR(LEFT($G2148,3)="111",LEFT($G2148,3)="112",LEFT($G2148,3)="113")),"NB",IF(OR(LEFT($F2148,3)="111",LEFT($F2148,3)="112",LEFT($F2148,3)="113"),"THU",IF(OR(LEFT($G2148,3)="111",LEFT($G2148,3)="112",LEFT($G2148,3)="113"),"CHI",""))))</f>
        <v/>
      </c>
      <c r="N2148" s="117">
        <f>IF($M2148="THU",$G2148,IF($M2148="CHI",$F2148,""))</f>
        <v/>
      </c>
      <c r="O2148" s="117">
        <f>IF(OR($M2148="",$M2148="NB"),"",IF($J2148&lt;&gt;"",TEXT($J2148,"00"),IFERROR(VLOOKUP(LEFT($N2148,4),LCTT_MAP!$A$7:$C$66,IF($M2148="THU",2,3),FALSE()),IFERROR(VLOOKUP(LEFT($N2148,3),LCTT_MAP!$A$7:$C$66,IF($M2148="THU",2,3),FALSE()),IFERROR(VLOOKUP(LEFT($N2148,2),LCTT_MAP!$A$7:$C$66,IF($M2148="THU",2,3),FALSE()),IFERROR(VLOOKUP(LEFT($N2148,1),LCTT_MAP!$A$7:$C$66,IF($M2148="THU",2,3),FALSE()),IF($M2148="THU","06","07")))))))</f>
        <v/>
      </c>
      <c r="P2148" s="117">
        <f>P2147+IF(AND($H2148&lt;&gt;"",OR(LEFT($F2148,LEN(SC_TK))=SC_TK,LEFT($G2148,LEN(SC_TK))=SC_TK)),1,0)</f>
        <v/>
      </c>
    </row>
    <row r="2149" ht="15" customHeight="1" s="78">
      <c r="A2149" s="95">
        <f>IF($H2149="","",ROW()-6)</f>
        <v/>
      </c>
      <c r="B2149" s="114" t="n"/>
      <c r="C2149" s="102" t="n"/>
      <c r="D2149" s="114" t="n"/>
      <c r="E2149" s="103" t="n"/>
      <c r="F2149" s="102" t="n"/>
      <c r="G2149" s="102" t="n"/>
      <c r="H2149" s="115" t="n"/>
      <c r="I2149" s="102" t="n"/>
      <c r="J2149" s="102" t="n"/>
      <c r="K2149" s="103" t="n"/>
      <c r="L2149" s="116">
        <f>IF($H2149="","",TRIM(IF(COUNTIF(DMTK!$A$7:$A$250,$F2149)=0,"TK Nợ sai! ","")&amp;IF(COUNTIF(DMTK!$A$7:$A$250,$G2149)=0,"TK Có sai! ","")&amp;IF(N($H2149)&lt;=0,"Tiền phải &gt; 0! ","")&amp;IF($B2149="","Thiếu ngày! ","")&amp;IF(AND(OR(LEFT($F2149,3)="131",LEFT($G2149,3)="131",LEFT($F2149,3)="331",LEFT($G2149,3)="331"),$I2149=""),"Thiếu Mã ĐT! ","")&amp;IF(AND($I2149&lt;&gt;"",COUNTIF(DM_DT!$A$7:$A$306,$I2149)=0),"Mã ĐT chưa khai báo! ","")))</f>
        <v/>
      </c>
      <c r="M2149" s="117">
        <f>IF($H2149="","",IF(AND(OR(LEFT($F2149,3)="111",LEFT($F2149,3)="112",LEFT($F2149,3)="113"),OR(LEFT($G2149,3)="111",LEFT($G2149,3)="112",LEFT($G2149,3)="113")),"NB",IF(OR(LEFT($F2149,3)="111",LEFT($F2149,3)="112",LEFT($F2149,3)="113"),"THU",IF(OR(LEFT($G2149,3)="111",LEFT($G2149,3)="112",LEFT($G2149,3)="113"),"CHI",""))))</f>
        <v/>
      </c>
      <c r="N2149" s="117">
        <f>IF($M2149="THU",$G2149,IF($M2149="CHI",$F2149,""))</f>
        <v/>
      </c>
      <c r="O2149" s="117">
        <f>IF(OR($M2149="",$M2149="NB"),"",IF($J2149&lt;&gt;"",TEXT($J2149,"00"),IFERROR(VLOOKUP(LEFT($N2149,4),LCTT_MAP!$A$7:$C$66,IF($M2149="THU",2,3),FALSE()),IFERROR(VLOOKUP(LEFT($N2149,3),LCTT_MAP!$A$7:$C$66,IF($M2149="THU",2,3),FALSE()),IFERROR(VLOOKUP(LEFT($N2149,2),LCTT_MAP!$A$7:$C$66,IF($M2149="THU",2,3),FALSE()),IFERROR(VLOOKUP(LEFT($N2149,1),LCTT_MAP!$A$7:$C$66,IF($M2149="THU",2,3),FALSE()),IF($M2149="THU","06","07")))))))</f>
        <v/>
      </c>
      <c r="P2149" s="117">
        <f>P2148+IF(AND($H2149&lt;&gt;"",OR(LEFT($F2149,LEN(SC_TK))=SC_TK,LEFT($G2149,LEN(SC_TK))=SC_TK)),1,0)</f>
        <v/>
      </c>
    </row>
    <row r="2150" ht="15" customHeight="1" s="78">
      <c r="A2150" s="95">
        <f>IF($H2150="","",ROW()-6)</f>
        <v/>
      </c>
      <c r="B2150" s="114" t="n"/>
      <c r="C2150" s="102" t="n"/>
      <c r="D2150" s="114" t="n"/>
      <c r="E2150" s="103" t="n"/>
      <c r="F2150" s="102" t="n"/>
      <c r="G2150" s="102" t="n"/>
      <c r="H2150" s="115" t="n"/>
      <c r="I2150" s="102" t="n"/>
      <c r="J2150" s="102" t="n"/>
      <c r="K2150" s="103" t="n"/>
      <c r="L2150" s="116">
        <f>IF($H2150="","",TRIM(IF(COUNTIF(DMTK!$A$7:$A$250,$F2150)=0,"TK Nợ sai! ","")&amp;IF(COUNTIF(DMTK!$A$7:$A$250,$G2150)=0,"TK Có sai! ","")&amp;IF(N($H2150)&lt;=0,"Tiền phải &gt; 0! ","")&amp;IF($B2150="","Thiếu ngày! ","")&amp;IF(AND(OR(LEFT($F2150,3)="131",LEFT($G2150,3)="131",LEFT($F2150,3)="331",LEFT($G2150,3)="331"),$I2150=""),"Thiếu Mã ĐT! ","")&amp;IF(AND($I2150&lt;&gt;"",COUNTIF(DM_DT!$A$7:$A$306,$I2150)=0),"Mã ĐT chưa khai báo! ","")))</f>
        <v/>
      </c>
      <c r="M2150" s="117">
        <f>IF($H2150="","",IF(AND(OR(LEFT($F2150,3)="111",LEFT($F2150,3)="112",LEFT($F2150,3)="113"),OR(LEFT($G2150,3)="111",LEFT($G2150,3)="112",LEFT($G2150,3)="113")),"NB",IF(OR(LEFT($F2150,3)="111",LEFT($F2150,3)="112",LEFT($F2150,3)="113"),"THU",IF(OR(LEFT($G2150,3)="111",LEFT($G2150,3)="112",LEFT($G2150,3)="113"),"CHI",""))))</f>
        <v/>
      </c>
      <c r="N2150" s="117">
        <f>IF($M2150="THU",$G2150,IF($M2150="CHI",$F2150,""))</f>
        <v/>
      </c>
      <c r="O2150" s="117">
        <f>IF(OR($M2150="",$M2150="NB"),"",IF($J2150&lt;&gt;"",TEXT($J2150,"00"),IFERROR(VLOOKUP(LEFT($N2150,4),LCTT_MAP!$A$7:$C$66,IF($M2150="THU",2,3),FALSE()),IFERROR(VLOOKUP(LEFT($N2150,3),LCTT_MAP!$A$7:$C$66,IF($M2150="THU",2,3),FALSE()),IFERROR(VLOOKUP(LEFT($N2150,2),LCTT_MAP!$A$7:$C$66,IF($M2150="THU",2,3),FALSE()),IFERROR(VLOOKUP(LEFT($N2150,1),LCTT_MAP!$A$7:$C$66,IF($M2150="THU",2,3),FALSE()),IF($M2150="THU","06","07")))))))</f>
        <v/>
      </c>
      <c r="P2150" s="117">
        <f>P2149+IF(AND($H2150&lt;&gt;"",OR(LEFT($F2150,LEN(SC_TK))=SC_TK,LEFT($G2150,LEN(SC_TK))=SC_TK)),1,0)</f>
        <v/>
      </c>
    </row>
    <row r="2151" ht="15" customHeight="1" s="78">
      <c r="A2151" s="95">
        <f>IF($H2151="","",ROW()-6)</f>
        <v/>
      </c>
      <c r="B2151" s="114" t="n"/>
      <c r="C2151" s="102" t="n"/>
      <c r="D2151" s="114" t="n"/>
      <c r="E2151" s="103" t="n"/>
      <c r="F2151" s="102" t="n"/>
      <c r="G2151" s="102" t="n"/>
      <c r="H2151" s="115" t="n"/>
      <c r="I2151" s="102" t="n"/>
      <c r="J2151" s="102" t="n"/>
      <c r="K2151" s="103" t="n"/>
      <c r="L2151" s="116">
        <f>IF($H2151="","",TRIM(IF(COUNTIF(DMTK!$A$7:$A$250,$F2151)=0,"TK Nợ sai! ","")&amp;IF(COUNTIF(DMTK!$A$7:$A$250,$G2151)=0,"TK Có sai! ","")&amp;IF(N($H2151)&lt;=0,"Tiền phải &gt; 0! ","")&amp;IF($B2151="","Thiếu ngày! ","")&amp;IF(AND(OR(LEFT($F2151,3)="131",LEFT($G2151,3)="131",LEFT($F2151,3)="331",LEFT($G2151,3)="331"),$I2151=""),"Thiếu Mã ĐT! ","")&amp;IF(AND($I2151&lt;&gt;"",COUNTIF(DM_DT!$A$7:$A$306,$I2151)=0),"Mã ĐT chưa khai báo! ","")))</f>
        <v/>
      </c>
      <c r="M2151" s="117">
        <f>IF($H2151="","",IF(AND(OR(LEFT($F2151,3)="111",LEFT($F2151,3)="112",LEFT($F2151,3)="113"),OR(LEFT($G2151,3)="111",LEFT($G2151,3)="112",LEFT($G2151,3)="113")),"NB",IF(OR(LEFT($F2151,3)="111",LEFT($F2151,3)="112",LEFT($F2151,3)="113"),"THU",IF(OR(LEFT($G2151,3)="111",LEFT($G2151,3)="112",LEFT($G2151,3)="113"),"CHI",""))))</f>
        <v/>
      </c>
      <c r="N2151" s="117">
        <f>IF($M2151="THU",$G2151,IF($M2151="CHI",$F2151,""))</f>
        <v/>
      </c>
      <c r="O2151" s="117">
        <f>IF(OR($M2151="",$M2151="NB"),"",IF($J2151&lt;&gt;"",TEXT($J2151,"00"),IFERROR(VLOOKUP(LEFT($N2151,4),LCTT_MAP!$A$7:$C$66,IF($M2151="THU",2,3),FALSE()),IFERROR(VLOOKUP(LEFT($N2151,3),LCTT_MAP!$A$7:$C$66,IF($M2151="THU",2,3),FALSE()),IFERROR(VLOOKUP(LEFT($N2151,2),LCTT_MAP!$A$7:$C$66,IF($M2151="THU",2,3),FALSE()),IFERROR(VLOOKUP(LEFT($N2151,1),LCTT_MAP!$A$7:$C$66,IF($M2151="THU",2,3),FALSE()),IF($M2151="THU","06","07")))))))</f>
        <v/>
      </c>
      <c r="P2151" s="117">
        <f>P2150+IF(AND($H2151&lt;&gt;"",OR(LEFT($F2151,LEN(SC_TK))=SC_TK,LEFT($G2151,LEN(SC_TK))=SC_TK)),1,0)</f>
        <v/>
      </c>
    </row>
    <row r="2152" ht="15" customHeight="1" s="78">
      <c r="A2152" s="95">
        <f>IF($H2152="","",ROW()-6)</f>
        <v/>
      </c>
      <c r="B2152" s="114" t="n"/>
      <c r="C2152" s="102" t="n"/>
      <c r="D2152" s="114" t="n"/>
      <c r="E2152" s="103" t="n"/>
      <c r="F2152" s="102" t="n"/>
      <c r="G2152" s="102" t="n"/>
      <c r="H2152" s="115" t="n"/>
      <c r="I2152" s="102" t="n"/>
      <c r="J2152" s="102" t="n"/>
      <c r="K2152" s="103" t="n"/>
      <c r="L2152" s="116">
        <f>IF($H2152="","",TRIM(IF(COUNTIF(DMTK!$A$7:$A$250,$F2152)=0,"TK Nợ sai! ","")&amp;IF(COUNTIF(DMTK!$A$7:$A$250,$G2152)=0,"TK Có sai! ","")&amp;IF(N($H2152)&lt;=0,"Tiền phải &gt; 0! ","")&amp;IF($B2152="","Thiếu ngày! ","")&amp;IF(AND(OR(LEFT($F2152,3)="131",LEFT($G2152,3)="131",LEFT($F2152,3)="331",LEFT($G2152,3)="331"),$I2152=""),"Thiếu Mã ĐT! ","")&amp;IF(AND($I2152&lt;&gt;"",COUNTIF(DM_DT!$A$7:$A$306,$I2152)=0),"Mã ĐT chưa khai báo! ","")))</f>
        <v/>
      </c>
      <c r="M2152" s="117">
        <f>IF($H2152="","",IF(AND(OR(LEFT($F2152,3)="111",LEFT($F2152,3)="112",LEFT($F2152,3)="113"),OR(LEFT($G2152,3)="111",LEFT($G2152,3)="112",LEFT($G2152,3)="113")),"NB",IF(OR(LEFT($F2152,3)="111",LEFT($F2152,3)="112",LEFT($F2152,3)="113"),"THU",IF(OR(LEFT($G2152,3)="111",LEFT($G2152,3)="112",LEFT($G2152,3)="113"),"CHI",""))))</f>
        <v/>
      </c>
      <c r="N2152" s="117">
        <f>IF($M2152="THU",$G2152,IF($M2152="CHI",$F2152,""))</f>
        <v/>
      </c>
      <c r="O2152" s="117">
        <f>IF(OR($M2152="",$M2152="NB"),"",IF($J2152&lt;&gt;"",TEXT($J2152,"00"),IFERROR(VLOOKUP(LEFT($N2152,4),LCTT_MAP!$A$7:$C$66,IF($M2152="THU",2,3),FALSE()),IFERROR(VLOOKUP(LEFT($N2152,3),LCTT_MAP!$A$7:$C$66,IF($M2152="THU",2,3),FALSE()),IFERROR(VLOOKUP(LEFT($N2152,2),LCTT_MAP!$A$7:$C$66,IF($M2152="THU",2,3),FALSE()),IFERROR(VLOOKUP(LEFT($N2152,1),LCTT_MAP!$A$7:$C$66,IF($M2152="THU",2,3),FALSE()),IF($M2152="THU","06","07")))))))</f>
        <v/>
      </c>
      <c r="P2152" s="117">
        <f>P2151+IF(AND($H2152&lt;&gt;"",OR(LEFT($F2152,LEN(SC_TK))=SC_TK,LEFT($G2152,LEN(SC_TK))=SC_TK)),1,0)</f>
        <v/>
      </c>
    </row>
    <row r="2153" ht="15" customHeight="1" s="78">
      <c r="A2153" s="95">
        <f>IF($H2153="","",ROW()-6)</f>
        <v/>
      </c>
      <c r="B2153" s="114" t="n"/>
      <c r="C2153" s="102" t="n"/>
      <c r="D2153" s="114" t="n"/>
      <c r="E2153" s="103" t="n"/>
      <c r="F2153" s="102" t="n"/>
      <c r="G2153" s="102" t="n"/>
      <c r="H2153" s="115" t="n"/>
      <c r="I2153" s="102" t="n"/>
      <c r="J2153" s="102" t="n"/>
      <c r="K2153" s="103" t="n"/>
      <c r="L2153" s="116">
        <f>IF($H2153="","",TRIM(IF(COUNTIF(DMTK!$A$7:$A$250,$F2153)=0,"TK Nợ sai! ","")&amp;IF(COUNTIF(DMTK!$A$7:$A$250,$G2153)=0,"TK Có sai! ","")&amp;IF(N($H2153)&lt;=0,"Tiền phải &gt; 0! ","")&amp;IF($B2153="","Thiếu ngày! ","")&amp;IF(AND(OR(LEFT($F2153,3)="131",LEFT($G2153,3)="131",LEFT($F2153,3)="331",LEFT($G2153,3)="331"),$I2153=""),"Thiếu Mã ĐT! ","")&amp;IF(AND($I2153&lt;&gt;"",COUNTIF(DM_DT!$A$7:$A$306,$I2153)=0),"Mã ĐT chưa khai báo! ","")))</f>
        <v/>
      </c>
      <c r="M2153" s="117">
        <f>IF($H2153="","",IF(AND(OR(LEFT($F2153,3)="111",LEFT($F2153,3)="112",LEFT($F2153,3)="113"),OR(LEFT($G2153,3)="111",LEFT($G2153,3)="112",LEFT($G2153,3)="113")),"NB",IF(OR(LEFT($F2153,3)="111",LEFT($F2153,3)="112",LEFT($F2153,3)="113"),"THU",IF(OR(LEFT($G2153,3)="111",LEFT($G2153,3)="112",LEFT($G2153,3)="113"),"CHI",""))))</f>
        <v/>
      </c>
      <c r="N2153" s="117">
        <f>IF($M2153="THU",$G2153,IF($M2153="CHI",$F2153,""))</f>
        <v/>
      </c>
      <c r="O2153" s="117">
        <f>IF(OR($M2153="",$M2153="NB"),"",IF($J2153&lt;&gt;"",TEXT($J2153,"00"),IFERROR(VLOOKUP(LEFT($N2153,4),LCTT_MAP!$A$7:$C$66,IF($M2153="THU",2,3),FALSE()),IFERROR(VLOOKUP(LEFT($N2153,3),LCTT_MAP!$A$7:$C$66,IF($M2153="THU",2,3),FALSE()),IFERROR(VLOOKUP(LEFT($N2153,2),LCTT_MAP!$A$7:$C$66,IF($M2153="THU",2,3),FALSE()),IFERROR(VLOOKUP(LEFT($N2153,1),LCTT_MAP!$A$7:$C$66,IF($M2153="THU",2,3),FALSE()),IF($M2153="THU","06","07")))))))</f>
        <v/>
      </c>
      <c r="P2153" s="117">
        <f>P2152+IF(AND($H2153&lt;&gt;"",OR(LEFT($F2153,LEN(SC_TK))=SC_TK,LEFT($G2153,LEN(SC_TK))=SC_TK)),1,0)</f>
        <v/>
      </c>
    </row>
    <row r="2154" ht="15" customHeight="1" s="78">
      <c r="A2154" s="95">
        <f>IF($H2154="","",ROW()-6)</f>
        <v/>
      </c>
      <c r="B2154" s="114" t="n"/>
      <c r="C2154" s="102" t="n"/>
      <c r="D2154" s="114" t="n"/>
      <c r="E2154" s="103" t="n"/>
      <c r="F2154" s="102" t="n"/>
      <c r="G2154" s="102" t="n"/>
      <c r="H2154" s="115" t="n"/>
      <c r="I2154" s="102" t="n"/>
      <c r="J2154" s="102" t="n"/>
      <c r="K2154" s="103" t="n"/>
      <c r="L2154" s="116">
        <f>IF($H2154="","",TRIM(IF(COUNTIF(DMTK!$A$7:$A$250,$F2154)=0,"TK Nợ sai! ","")&amp;IF(COUNTIF(DMTK!$A$7:$A$250,$G2154)=0,"TK Có sai! ","")&amp;IF(N($H2154)&lt;=0,"Tiền phải &gt; 0! ","")&amp;IF($B2154="","Thiếu ngày! ","")&amp;IF(AND(OR(LEFT($F2154,3)="131",LEFT($G2154,3)="131",LEFT($F2154,3)="331",LEFT($G2154,3)="331"),$I2154=""),"Thiếu Mã ĐT! ","")&amp;IF(AND($I2154&lt;&gt;"",COUNTIF(DM_DT!$A$7:$A$306,$I2154)=0),"Mã ĐT chưa khai báo! ","")))</f>
        <v/>
      </c>
      <c r="M2154" s="117">
        <f>IF($H2154="","",IF(AND(OR(LEFT($F2154,3)="111",LEFT($F2154,3)="112",LEFT($F2154,3)="113"),OR(LEFT($G2154,3)="111",LEFT($G2154,3)="112",LEFT($G2154,3)="113")),"NB",IF(OR(LEFT($F2154,3)="111",LEFT($F2154,3)="112",LEFT($F2154,3)="113"),"THU",IF(OR(LEFT($G2154,3)="111",LEFT($G2154,3)="112",LEFT($G2154,3)="113"),"CHI",""))))</f>
        <v/>
      </c>
      <c r="N2154" s="117">
        <f>IF($M2154="THU",$G2154,IF($M2154="CHI",$F2154,""))</f>
        <v/>
      </c>
      <c r="O2154" s="117">
        <f>IF(OR($M2154="",$M2154="NB"),"",IF($J2154&lt;&gt;"",TEXT($J2154,"00"),IFERROR(VLOOKUP(LEFT($N2154,4),LCTT_MAP!$A$7:$C$66,IF($M2154="THU",2,3),FALSE()),IFERROR(VLOOKUP(LEFT($N2154,3),LCTT_MAP!$A$7:$C$66,IF($M2154="THU",2,3),FALSE()),IFERROR(VLOOKUP(LEFT($N2154,2),LCTT_MAP!$A$7:$C$66,IF($M2154="THU",2,3),FALSE()),IFERROR(VLOOKUP(LEFT($N2154,1),LCTT_MAP!$A$7:$C$66,IF($M2154="THU",2,3),FALSE()),IF($M2154="THU","06","07")))))))</f>
        <v/>
      </c>
      <c r="P2154" s="117">
        <f>P2153+IF(AND($H2154&lt;&gt;"",OR(LEFT($F2154,LEN(SC_TK))=SC_TK,LEFT($G2154,LEN(SC_TK))=SC_TK)),1,0)</f>
        <v/>
      </c>
    </row>
    <row r="2155" ht="15" customHeight="1" s="78">
      <c r="A2155" s="95">
        <f>IF($H2155="","",ROW()-6)</f>
        <v/>
      </c>
      <c r="B2155" s="114" t="n"/>
      <c r="C2155" s="102" t="n"/>
      <c r="D2155" s="114" t="n"/>
      <c r="E2155" s="103" t="n"/>
      <c r="F2155" s="102" t="n"/>
      <c r="G2155" s="102" t="n"/>
      <c r="H2155" s="115" t="n"/>
      <c r="I2155" s="102" t="n"/>
      <c r="J2155" s="102" t="n"/>
      <c r="K2155" s="103" t="n"/>
      <c r="L2155" s="116">
        <f>IF($H2155="","",TRIM(IF(COUNTIF(DMTK!$A$7:$A$250,$F2155)=0,"TK Nợ sai! ","")&amp;IF(COUNTIF(DMTK!$A$7:$A$250,$G2155)=0,"TK Có sai! ","")&amp;IF(N($H2155)&lt;=0,"Tiền phải &gt; 0! ","")&amp;IF($B2155="","Thiếu ngày! ","")&amp;IF(AND(OR(LEFT($F2155,3)="131",LEFT($G2155,3)="131",LEFT($F2155,3)="331",LEFT($G2155,3)="331"),$I2155=""),"Thiếu Mã ĐT! ","")&amp;IF(AND($I2155&lt;&gt;"",COUNTIF(DM_DT!$A$7:$A$306,$I2155)=0),"Mã ĐT chưa khai báo! ","")))</f>
        <v/>
      </c>
      <c r="M2155" s="117">
        <f>IF($H2155="","",IF(AND(OR(LEFT($F2155,3)="111",LEFT($F2155,3)="112",LEFT($F2155,3)="113"),OR(LEFT($G2155,3)="111",LEFT($G2155,3)="112",LEFT($G2155,3)="113")),"NB",IF(OR(LEFT($F2155,3)="111",LEFT($F2155,3)="112",LEFT($F2155,3)="113"),"THU",IF(OR(LEFT($G2155,3)="111",LEFT($G2155,3)="112",LEFT($G2155,3)="113"),"CHI",""))))</f>
        <v/>
      </c>
      <c r="N2155" s="117">
        <f>IF($M2155="THU",$G2155,IF($M2155="CHI",$F2155,""))</f>
        <v/>
      </c>
      <c r="O2155" s="117">
        <f>IF(OR($M2155="",$M2155="NB"),"",IF($J2155&lt;&gt;"",TEXT($J2155,"00"),IFERROR(VLOOKUP(LEFT($N2155,4),LCTT_MAP!$A$7:$C$66,IF($M2155="THU",2,3),FALSE()),IFERROR(VLOOKUP(LEFT($N2155,3),LCTT_MAP!$A$7:$C$66,IF($M2155="THU",2,3),FALSE()),IFERROR(VLOOKUP(LEFT($N2155,2),LCTT_MAP!$A$7:$C$66,IF($M2155="THU",2,3),FALSE()),IFERROR(VLOOKUP(LEFT($N2155,1),LCTT_MAP!$A$7:$C$66,IF($M2155="THU",2,3),FALSE()),IF($M2155="THU","06","07")))))))</f>
        <v/>
      </c>
      <c r="P2155" s="117">
        <f>P2154+IF(AND($H2155&lt;&gt;"",OR(LEFT($F2155,LEN(SC_TK))=SC_TK,LEFT($G2155,LEN(SC_TK))=SC_TK)),1,0)</f>
        <v/>
      </c>
    </row>
    <row r="2156" ht="15" customHeight="1" s="78">
      <c r="A2156" s="95">
        <f>IF($H2156="","",ROW()-6)</f>
        <v/>
      </c>
      <c r="B2156" s="114" t="n"/>
      <c r="C2156" s="102" t="n"/>
      <c r="D2156" s="114" t="n"/>
      <c r="E2156" s="103" t="n"/>
      <c r="F2156" s="102" t="n"/>
      <c r="G2156" s="102" t="n"/>
      <c r="H2156" s="115" t="n"/>
      <c r="I2156" s="102" t="n"/>
      <c r="J2156" s="102" t="n"/>
      <c r="K2156" s="103" t="n"/>
      <c r="L2156" s="116">
        <f>IF($H2156="","",TRIM(IF(COUNTIF(DMTK!$A$7:$A$250,$F2156)=0,"TK Nợ sai! ","")&amp;IF(COUNTIF(DMTK!$A$7:$A$250,$G2156)=0,"TK Có sai! ","")&amp;IF(N($H2156)&lt;=0,"Tiền phải &gt; 0! ","")&amp;IF($B2156="","Thiếu ngày! ","")&amp;IF(AND(OR(LEFT($F2156,3)="131",LEFT($G2156,3)="131",LEFT($F2156,3)="331",LEFT($G2156,3)="331"),$I2156=""),"Thiếu Mã ĐT! ","")&amp;IF(AND($I2156&lt;&gt;"",COUNTIF(DM_DT!$A$7:$A$306,$I2156)=0),"Mã ĐT chưa khai báo! ","")))</f>
        <v/>
      </c>
      <c r="M2156" s="117">
        <f>IF($H2156="","",IF(AND(OR(LEFT($F2156,3)="111",LEFT($F2156,3)="112",LEFT($F2156,3)="113"),OR(LEFT($G2156,3)="111",LEFT($G2156,3)="112",LEFT($G2156,3)="113")),"NB",IF(OR(LEFT($F2156,3)="111",LEFT($F2156,3)="112",LEFT($F2156,3)="113"),"THU",IF(OR(LEFT($G2156,3)="111",LEFT($G2156,3)="112",LEFT($G2156,3)="113"),"CHI",""))))</f>
        <v/>
      </c>
      <c r="N2156" s="117">
        <f>IF($M2156="THU",$G2156,IF($M2156="CHI",$F2156,""))</f>
        <v/>
      </c>
      <c r="O2156" s="117">
        <f>IF(OR($M2156="",$M2156="NB"),"",IF($J2156&lt;&gt;"",TEXT($J2156,"00"),IFERROR(VLOOKUP(LEFT($N2156,4),LCTT_MAP!$A$7:$C$66,IF($M2156="THU",2,3),FALSE()),IFERROR(VLOOKUP(LEFT($N2156,3),LCTT_MAP!$A$7:$C$66,IF($M2156="THU",2,3),FALSE()),IFERROR(VLOOKUP(LEFT($N2156,2),LCTT_MAP!$A$7:$C$66,IF($M2156="THU",2,3),FALSE()),IFERROR(VLOOKUP(LEFT($N2156,1),LCTT_MAP!$A$7:$C$66,IF($M2156="THU",2,3),FALSE()),IF($M2156="THU","06","07")))))))</f>
        <v/>
      </c>
      <c r="P2156" s="117">
        <f>P2155+IF(AND($H2156&lt;&gt;"",OR(LEFT($F2156,LEN(SC_TK))=SC_TK,LEFT($G2156,LEN(SC_TK))=SC_TK)),1,0)</f>
        <v/>
      </c>
    </row>
    <row r="2157" ht="15" customHeight="1" s="78">
      <c r="A2157" s="95">
        <f>IF($H2157="","",ROW()-6)</f>
        <v/>
      </c>
      <c r="B2157" s="114" t="n"/>
      <c r="C2157" s="102" t="n"/>
      <c r="D2157" s="114" t="n"/>
      <c r="E2157" s="103" t="n"/>
      <c r="F2157" s="102" t="n"/>
      <c r="G2157" s="102" t="n"/>
      <c r="H2157" s="115" t="n"/>
      <c r="I2157" s="102" t="n"/>
      <c r="J2157" s="102" t="n"/>
      <c r="K2157" s="103" t="n"/>
      <c r="L2157" s="116">
        <f>IF($H2157="","",TRIM(IF(COUNTIF(DMTK!$A$7:$A$250,$F2157)=0,"TK Nợ sai! ","")&amp;IF(COUNTIF(DMTK!$A$7:$A$250,$G2157)=0,"TK Có sai! ","")&amp;IF(N($H2157)&lt;=0,"Tiền phải &gt; 0! ","")&amp;IF($B2157="","Thiếu ngày! ","")&amp;IF(AND(OR(LEFT($F2157,3)="131",LEFT($G2157,3)="131",LEFT($F2157,3)="331",LEFT($G2157,3)="331"),$I2157=""),"Thiếu Mã ĐT! ","")&amp;IF(AND($I2157&lt;&gt;"",COUNTIF(DM_DT!$A$7:$A$306,$I2157)=0),"Mã ĐT chưa khai báo! ","")))</f>
        <v/>
      </c>
      <c r="M2157" s="117">
        <f>IF($H2157="","",IF(AND(OR(LEFT($F2157,3)="111",LEFT($F2157,3)="112",LEFT($F2157,3)="113"),OR(LEFT($G2157,3)="111",LEFT($G2157,3)="112",LEFT($G2157,3)="113")),"NB",IF(OR(LEFT($F2157,3)="111",LEFT($F2157,3)="112",LEFT($F2157,3)="113"),"THU",IF(OR(LEFT($G2157,3)="111",LEFT($G2157,3)="112",LEFT($G2157,3)="113"),"CHI",""))))</f>
        <v/>
      </c>
      <c r="N2157" s="117">
        <f>IF($M2157="THU",$G2157,IF($M2157="CHI",$F2157,""))</f>
        <v/>
      </c>
      <c r="O2157" s="117">
        <f>IF(OR($M2157="",$M2157="NB"),"",IF($J2157&lt;&gt;"",TEXT($J2157,"00"),IFERROR(VLOOKUP(LEFT($N2157,4),LCTT_MAP!$A$7:$C$66,IF($M2157="THU",2,3),FALSE()),IFERROR(VLOOKUP(LEFT($N2157,3),LCTT_MAP!$A$7:$C$66,IF($M2157="THU",2,3),FALSE()),IFERROR(VLOOKUP(LEFT($N2157,2),LCTT_MAP!$A$7:$C$66,IF($M2157="THU",2,3),FALSE()),IFERROR(VLOOKUP(LEFT($N2157,1),LCTT_MAP!$A$7:$C$66,IF($M2157="THU",2,3),FALSE()),IF($M2157="THU","06","07")))))))</f>
        <v/>
      </c>
      <c r="P2157" s="117">
        <f>P2156+IF(AND($H2157&lt;&gt;"",OR(LEFT($F2157,LEN(SC_TK))=SC_TK,LEFT($G2157,LEN(SC_TK))=SC_TK)),1,0)</f>
        <v/>
      </c>
    </row>
    <row r="2158" ht="15" customHeight="1" s="78">
      <c r="A2158" s="95">
        <f>IF($H2158="","",ROW()-6)</f>
        <v/>
      </c>
      <c r="B2158" s="114" t="n"/>
      <c r="C2158" s="102" t="n"/>
      <c r="D2158" s="114" t="n"/>
      <c r="E2158" s="103" t="n"/>
      <c r="F2158" s="102" t="n"/>
      <c r="G2158" s="102" t="n"/>
      <c r="H2158" s="115" t="n"/>
      <c r="I2158" s="102" t="n"/>
      <c r="J2158" s="102" t="n"/>
      <c r="K2158" s="103" t="n"/>
      <c r="L2158" s="116">
        <f>IF($H2158="","",TRIM(IF(COUNTIF(DMTK!$A$7:$A$250,$F2158)=0,"TK Nợ sai! ","")&amp;IF(COUNTIF(DMTK!$A$7:$A$250,$G2158)=0,"TK Có sai! ","")&amp;IF(N($H2158)&lt;=0,"Tiền phải &gt; 0! ","")&amp;IF($B2158="","Thiếu ngày! ","")&amp;IF(AND(OR(LEFT($F2158,3)="131",LEFT($G2158,3)="131",LEFT($F2158,3)="331",LEFT($G2158,3)="331"),$I2158=""),"Thiếu Mã ĐT! ","")&amp;IF(AND($I2158&lt;&gt;"",COUNTIF(DM_DT!$A$7:$A$306,$I2158)=0),"Mã ĐT chưa khai báo! ","")))</f>
        <v/>
      </c>
      <c r="M2158" s="117">
        <f>IF($H2158="","",IF(AND(OR(LEFT($F2158,3)="111",LEFT($F2158,3)="112",LEFT($F2158,3)="113"),OR(LEFT($G2158,3)="111",LEFT($G2158,3)="112",LEFT($G2158,3)="113")),"NB",IF(OR(LEFT($F2158,3)="111",LEFT($F2158,3)="112",LEFT($F2158,3)="113"),"THU",IF(OR(LEFT($G2158,3)="111",LEFT($G2158,3)="112",LEFT($G2158,3)="113"),"CHI",""))))</f>
        <v/>
      </c>
      <c r="N2158" s="117">
        <f>IF($M2158="THU",$G2158,IF($M2158="CHI",$F2158,""))</f>
        <v/>
      </c>
      <c r="O2158" s="117">
        <f>IF(OR($M2158="",$M2158="NB"),"",IF($J2158&lt;&gt;"",TEXT($J2158,"00"),IFERROR(VLOOKUP(LEFT($N2158,4),LCTT_MAP!$A$7:$C$66,IF($M2158="THU",2,3),FALSE()),IFERROR(VLOOKUP(LEFT($N2158,3),LCTT_MAP!$A$7:$C$66,IF($M2158="THU",2,3),FALSE()),IFERROR(VLOOKUP(LEFT($N2158,2),LCTT_MAP!$A$7:$C$66,IF($M2158="THU",2,3),FALSE()),IFERROR(VLOOKUP(LEFT($N2158,1),LCTT_MAP!$A$7:$C$66,IF($M2158="THU",2,3),FALSE()),IF($M2158="THU","06","07")))))))</f>
        <v/>
      </c>
      <c r="P2158" s="117">
        <f>P2157+IF(AND($H2158&lt;&gt;"",OR(LEFT($F2158,LEN(SC_TK))=SC_TK,LEFT($G2158,LEN(SC_TK))=SC_TK)),1,0)</f>
        <v/>
      </c>
    </row>
    <row r="2159" ht="15" customHeight="1" s="78">
      <c r="A2159" s="95">
        <f>IF($H2159="","",ROW()-6)</f>
        <v/>
      </c>
      <c r="B2159" s="114" t="n"/>
      <c r="C2159" s="102" t="n"/>
      <c r="D2159" s="114" t="n"/>
      <c r="E2159" s="103" t="n"/>
      <c r="F2159" s="102" t="n"/>
      <c r="G2159" s="102" t="n"/>
      <c r="H2159" s="115" t="n"/>
      <c r="I2159" s="102" t="n"/>
      <c r="J2159" s="102" t="n"/>
      <c r="K2159" s="103" t="n"/>
      <c r="L2159" s="116">
        <f>IF($H2159="","",TRIM(IF(COUNTIF(DMTK!$A$7:$A$250,$F2159)=0,"TK Nợ sai! ","")&amp;IF(COUNTIF(DMTK!$A$7:$A$250,$G2159)=0,"TK Có sai! ","")&amp;IF(N($H2159)&lt;=0,"Tiền phải &gt; 0! ","")&amp;IF($B2159="","Thiếu ngày! ","")&amp;IF(AND(OR(LEFT($F2159,3)="131",LEFT($G2159,3)="131",LEFT($F2159,3)="331",LEFT($G2159,3)="331"),$I2159=""),"Thiếu Mã ĐT! ","")&amp;IF(AND($I2159&lt;&gt;"",COUNTIF(DM_DT!$A$7:$A$306,$I2159)=0),"Mã ĐT chưa khai báo! ","")))</f>
        <v/>
      </c>
      <c r="M2159" s="117">
        <f>IF($H2159="","",IF(AND(OR(LEFT($F2159,3)="111",LEFT($F2159,3)="112",LEFT($F2159,3)="113"),OR(LEFT($G2159,3)="111",LEFT($G2159,3)="112",LEFT($G2159,3)="113")),"NB",IF(OR(LEFT($F2159,3)="111",LEFT($F2159,3)="112",LEFT($F2159,3)="113"),"THU",IF(OR(LEFT($G2159,3)="111",LEFT($G2159,3)="112",LEFT($G2159,3)="113"),"CHI",""))))</f>
        <v/>
      </c>
      <c r="N2159" s="117">
        <f>IF($M2159="THU",$G2159,IF($M2159="CHI",$F2159,""))</f>
        <v/>
      </c>
      <c r="O2159" s="117">
        <f>IF(OR($M2159="",$M2159="NB"),"",IF($J2159&lt;&gt;"",TEXT($J2159,"00"),IFERROR(VLOOKUP(LEFT($N2159,4),LCTT_MAP!$A$7:$C$66,IF($M2159="THU",2,3),FALSE()),IFERROR(VLOOKUP(LEFT($N2159,3),LCTT_MAP!$A$7:$C$66,IF($M2159="THU",2,3),FALSE()),IFERROR(VLOOKUP(LEFT($N2159,2),LCTT_MAP!$A$7:$C$66,IF($M2159="THU",2,3),FALSE()),IFERROR(VLOOKUP(LEFT($N2159,1),LCTT_MAP!$A$7:$C$66,IF($M2159="THU",2,3),FALSE()),IF($M2159="THU","06","07")))))))</f>
        <v/>
      </c>
      <c r="P2159" s="117">
        <f>P2158+IF(AND($H2159&lt;&gt;"",OR(LEFT($F2159,LEN(SC_TK))=SC_TK,LEFT($G2159,LEN(SC_TK))=SC_TK)),1,0)</f>
        <v/>
      </c>
    </row>
    <row r="2160" ht="15" customHeight="1" s="78">
      <c r="A2160" s="95">
        <f>IF($H2160="","",ROW()-6)</f>
        <v/>
      </c>
      <c r="B2160" s="114" t="n"/>
      <c r="C2160" s="102" t="n"/>
      <c r="D2160" s="114" t="n"/>
      <c r="E2160" s="103" t="n"/>
      <c r="F2160" s="102" t="n"/>
      <c r="G2160" s="102" t="n"/>
      <c r="H2160" s="115" t="n"/>
      <c r="I2160" s="102" t="n"/>
      <c r="J2160" s="102" t="n"/>
      <c r="K2160" s="103" t="n"/>
      <c r="L2160" s="116">
        <f>IF($H2160="","",TRIM(IF(COUNTIF(DMTK!$A$7:$A$250,$F2160)=0,"TK Nợ sai! ","")&amp;IF(COUNTIF(DMTK!$A$7:$A$250,$G2160)=0,"TK Có sai! ","")&amp;IF(N($H2160)&lt;=0,"Tiền phải &gt; 0! ","")&amp;IF($B2160="","Thiếu ngày! ","")&amp;IF(AND(OR(LEFT($F2160,3)="131",LEFT($G2160,3)="131",LEFT($F2160,3)="331",LEFT($G2160,3)="331"),$I2160=""),"Thiếu Mã ĐT! ","")&amp;IF(AND($I2160&lt;&gt;"",COUNTIF(DM_DT!$A$7:$A$306,$I2160)=0),"Mã ĐT chưa khai báo! ","")))</f>
        <v/>
      </c>
      <c r="M2160" s="117">
        <f>IF($H2160="","",IF(AND(OR(LEFT($F2160,3)="111",LEFT($F2160,3)="112",LEFT($F2160,3)="113"),OR(LEFT($G2160,3)="111",LEFT($G2160,3)="112",LEFT($G2160,3)="113")),"NB",IF(OR(LEFT($F2160,3)="111",LEFT($F2160,3)="112",LEFT($F2160,3)="113"),"THU",IF(OR(LEFT($G2160,3)="111",LEFT($G2160,3)="112",LEFT($G2160,3)="113"),"CHI",""))))</f>
        <v/>
      </c>
      <c r="N2160" s="117">
        <f>IF($M2160="THU",$G2160,IF($M2160="CHI",$F2160,""))</f>
        <v/>
      </c>
      <c r="O2160" s="117">
        <f>IF(OR($M2160="",$M2160="NB"),"",IF($J2160&lt;&gt;"",TEXT($J2160,"00"),IFERROR(VLOOKUP(LEFT($N2160,4),LCTT_MAP!$A$7:$C$66,IF($M2160="THU",2,3),FALSE()),IFERROR(VLOOKUP(LEFT($N2160,3),LCTT_MAP!$A$7:$C$66,IF($M2160="THU",2,3),FALSE()),IFERROR(VLOOKUP(LEFT($N2160,2),LCTT_MAP!$A$7:$C$66,IF($M2160="THU",2,3),FALSE()),IFERROR(VLOOKUP(LEFT($N2160,1),LCTT_MAP!$A$7:$C$66,IF($M2160="THU",2,3),FALSE()),IF($M2160="THU","06","07")))))))</f>
        <v/>
      </c>
      <c r="P2160" s="117">
        <f>P2159+IF(AND($H2160&lt;&gt;"",OR(LEFT($F2160,LEN(SC_TK))=SC_TK,LEFT($G2160,LEN(SC_TK))=SC_TK)),1,0)</f>
        <v/>
      </c>
    </row>
    <row r="2161" ht="15" customHeight="1" s="78">
      <c r="A2161" s="95">
        <f>IF($H2161="","",ROW()-6)</f>
        <v/>
      </c>
      <c r="B2161" s="114" t="n"/>
      <c r="C2161" s="102" t="n"/>
      <c r="D2161" s="114" t="n"/>
      <c r="E2161" s="103" t="n"/>
      <c r="F2161" s="102" t="n"/>
      <c r="G2161" s="102" t="n"/>
      <c r="H2161" s="115" t="n"/>
      <c r="I2161" s="102" t="n"/>
      <c r="J2161" s="102" t="n"/>
      <c r="K2161" s="103" t="n"/>
      <c r="L2161" s="116">
        <f>IF($H2161="","",TRIM(IF(COUNTIF(DMTK!$A$7:$A$250,$F2161)=0,"TK Nợ sai! ","")&amp;IF(COUNTIF(DMTK!$A$7:$A$250,$G2161)=0,"TK Có sai! ","")&amp;IF(N($H2161)&lt;=0,"Tiền phải &gt; 0! ","")&amp;IF($B2161="","Thiếu ngày! ","")&amp;IF(AND(OR(LEFT($F2161,3)="131",LEFT($G2161,3)="131",LEFT($F2161,3)="331",LEFT($G2161,3)="331"),$I2161=""),"Thiếu Mã ĐT! ","")&amp;IF(AND($I2161&lt;&gt;"",COUNTIF(DM_DT!$A$7:$A$306,$I2161)=0),"Mã ĐT chưa khai báo! ","")))</f>
        <v/>
      </c>
      <c r="M2161" s="117">
        <f>IF($H2161="","",IF(AND(OR(LEFT($F2161,3)="111",LEFT($F2161,3)="112",LEFT($F2161,3)="113"),OR(LEFT($G2161,3)="111",LEFT($G2161,3)="112",LEFT($G2161,3)="113")),"NB",IF(OR(LEFT($F2161,3)="111",LEFT($F2161,3)="112",LEFT($F2161,3)="113"),"THU",IF(OR(LEFT($G2161,3)="111",LEFT($G2161,3)="112",LEFT($G2161,3)="113"),"CHI",""))))</f>
        <v/>
      </c>
      <c r="N2161" s="117">
        <f>IF($M2161="THU",$G2161,IF($M2161="CHI",$F2161,""))</f>
        <v/>
      </c>
      <c r="O2161" s="117">
        <f>IF(OR($M2161="",$M2161="NB"),"",IF($J2161&lt;&gt;"",TEXT($J2161,"00"),IFERROR(VLOOKUP(LEFT($N2161,4),LCTT_MAP!$A$7:$C$66,IF($M2161="THU",2,3),FALSE()),IFERROR(VLOOKUP(LEFT($N2161,3),LCTT_MAP!$A$7:$C$66,IF($M2161="THU",2,3),FALSE()),IFERROR(VLOOKUP(LEFT($N2161,2),LCTT_MAP!$A$7:$C$66,IF($M2161="THU",2,3),FALSE()),IFERROR(VLOOKUP(LEFT($N2161,1),LCTT_MAP!$A$7:$C$66,IF($M2161="THU",2,3),FALSE()),IF($M2161="THU","06","07")))))))</f>
        <v/>
      </c>
      <c r="P2161" s="117">
        <f>P2160+IF(AND($H2161&lt;&gt;"",OR(LEFT($F2161,LEN(SC_TK))=SC_TK,LEFT($G2161,LEN(SC_TK))=SC_TK)),1,0)</f>
        <v/>
      </c>
    </row>
    <row r="2162" ht="15" customHeight="1" s="78">
      <c r="A2162" s="95">
        <f>IF($H2162="","",ROW()-6)</f>
        <v/>
      </c>
      <c r="B2162" s="114" t="n"/>
      <c r="C2162" s="102" t="n"/>
      <c r="D2162" s="114" t="n"/>
      <c r="E2162" s="103" t="n"/>
      <c r="F2162" s="102" t="n"/>
      <c r="G2162" s="102" t="n"/>
      <c r="H2162" s="115" t="n"/>
      <c r="I2162" s="102" t="n"/>
      <c r="J2162" s="102" t="n"/>
      <c r="K2162" s="103" t="n"/>
      <c r="L2162" s="116">
        <f>IF($H2162="","",TRIM(IF(COUNTIF(DMTK!$A$7:$A$250,$F2162)=0,"TK Nợ sai! ","")&amp;IF(COUNTIF(DMTK!$A$7:$A$250,$G2162)=0,"TK Có sai! ","")&amp;IF(N($H2162)&lt;=0,"Tiền phải &gt; 0! ","")&amp;IF($B2162="","Thiếu ngày! ","")&amp;IF(AND(OR(LEFT($F2162,3)="131",LEFT($G2162,3)="131",LEFT($F2162,3)="331",LEFT($G2162,3)="331"),$I2162=""),"Thiếu Mã ĐT! ","")&amp;IF(AND($I2162&lt;&gt;"",COUNTIF(DM_DT!$A$7:$A$306,$I2162)=0),"Mã ĐT chưa khai báo! ","")))</f>
        <v/>
      </c>
      <c r="M2162" s="117">
        <f>IF($H2162="","",IF(AND(OR(LEFT($F2162,3)="111",LEFT($F2162,3)="112",LEFT($F2162,3)="113"),OR(LEFT($G2162,3)="111",LEFT($G2162,3)="112",LEFT($G2162,3)="113")),"NB",IF(OR(LEFT($F2162,3)="111",LEFT($F2162,3)="112",LEFT($F2162,3)="113"),"THU",IF(OR(LEFT($G2162,3)="111",LEFT($G2162,3)="112",LEFT($G2162,3)="113"),"CHI",""))))</f>
        <v/>
      </c>
      <c r="N2162" s="117">
        <f>IF($M2162="THU",$G2162,IF($M2162="CHI",$F2162,""))</f>
        <v/>
      </c>
      <c r="O2162" s="117">
        <f>IF(OR($M2162="",$M2162="NB"),"",IF($J2162&lt;&gt;"",TEXT($J2162,"00"),IFERROR(VLOOKUP(LEFT($N2162,4),LCTT_MAP!$A$7:$C$66,IF($M2162="THU",2,3),FALSE()),IFERROR(VLOOKUP(LEFT($N2162,3),LCTT_MAP!$A$7:$C$66,IF($M2162="THU",2,3),FALSE()),IFERROR(VLOOKUP(LEFT($N2162,2),LCTT_MAP!$A$7:$C$66,IF($M2162="THU",2,3),FALSE()),IFERROR(VLOOKUP(LEFT($N2162,1),LCTT_MAP!$A$7:$C$66,IF($M2162="THU",2,3),FALSE()),IF($M2162="THU","06","07")))))))</f>
        <v/>
      </c>
      <c r="P2162" s="117">
        <f>P2161+IF(AND($H2162&lt;&gt;"",OR(LEFT($F2162,LEN(SC_TK))=SC_TK,LEFT($G2162,LEN(SC_TK))=SC_TK)),1,0)</f>
        <v/>
      </c>
    </row>
    <row r="2163" ht="15" customHeight="1" s="78">
      <c r="A2163" s="95">
        <f>IF($H2163="","",ROW()-6)</f>
        <v/>
      </c>
      <c r="B2163" s="114" t="n"/>
      <c r="C2163" s="102" t="n"/>
      <c r="D2163" s="114" t="n"/>
      <c r="E2163" s="103" t="n"/>
      <c r="F2163" s="102" t="n"/>
      <c r="G2163" s="102" t="n"/>
      <c r="H2163" s="115" t="n"/>
      <c r="I2163" s="102" t="n"/>
      <c r="J2163" s="102" t="n"/>
      <c r="K2163" s="103" t="n"/>
      <c r="L2163" s="116">
        <f>IF($H2163="","",TRIM(IF(COUNTIF(DMTK!$A$7:$A$250,$F2163)=0,"TK Nợ sai! ","")&amp;IF(COUNTIF(DMTK!$A$7:$A$250,$G2163)=0,"TK Có sai! ","")&amp;IF(N($H2163)&lt;=0,"Tiền phải &gt; 0! ","")&amp;IF($B2163="","Thiếu ngày! ","")&amp;IF(AND(OR(LEFT($F2163,3)="131",LEFT($G2163,3)="131",LEFT($F2163,3)="331",LEFT($G2163,3)="331"),$I2163=""),"Thiếu Mã ĐT! ","")&amp;IF(AND($I2163&lt;&gt;"",COUNTIF(DM_DT!$A$7:$A$306,$I2163)=0),"Mã ĐT chưa khai báo! ","")))</f>
        <v/>
      </c>
      <c r="M2163" s="117">
        <f>IF($H2163="","",IF(AND(OR(LEFT($F2163,3)="111",LEFT($F2163,3)="112",LEFT($F2163,3)="113"),OR(LEFT($G2163,3)="111",LEFT($G2163,3)="112",LEFT($G2163,3)="113")),"NB",IF(OR(LEFT($F2163,3)="111",LEFT($F2163,3)="112",LEFT($F2163,3)="113"),"THU",IF(OR(LEFT($G2163,3)="111",LEFT($G2163,3)="112",LEFT($G2163,3)="113"),"CHI",""))))</f>
        <v/>
      </c>
      <c r="N2163" s="117">
        <f>IF($M2163="THU",$G2163,IF($M2163="CHI",$F2163,""))</f>
        <v/>
      </c>
      <c r="O2163" s="117">
        <f>IF(OR($M2163="",$M2163="NB"),"",IF($J2163&lt;&gt;"",TEXT($J2163,"00"),IFERROR(VLOOKUP(LEFT($N2163,4),LCTT_MAP!$A$7:$C$66,IF($M2163="THU",2,3),FALSE()),IFERROR(VLOOKUP(LEFT($N2163,3),LCTT_MAP!$A$7:$C$66,IF($M2163="THU",2,3),FALSE()),IFERROR(VLOOKUP(LEFT($N2163,2),LCTT_MAP!$A$7:$C$66,IF($M2163="THU",2,3),FALSE()),IFERROR(VLOOKUP(LEFT($N2163,1),LCTT_MAP!$A$7:$C$66,IF($M2163="THU",2,3),FALSE()),IF($M2163="THU","06","07")))))))</f>
        <v/>
      </c>
      <c r="P2163" s="117">
        <f>P2162+IF(AND($H2163&lt;&gt;"",OR(LEFT($F2163,LEN(SC_TK))=SC_TK,LEFT($G2163,LEN(SC_TK))=SC_TK)),1,0)</f>
        <v/>
      </c>
    </row>
    <row r="2164" ht="15" customHeight="1" s="78">
      <c r="A2164" s="95">
        <f>IF($H2164="","",ROW()-6)</f>
        <v/>
      </c>
      <c r="B2164" s="114" t="n"/>
      <c r="C2164" s="102" t="n"/>
      <c r="D2164" s="114" t="n"/>
      <c r="E2164" s="103" t="n"/>
      <c r="F2164" s="102" t="n"/>
      <c r="G2164" s="102" t="n"/>
      <c r="H2164" s="115" t="n"/>
      <c r="I2164" s="102" t="n"/>
      <c r="J2164" s="102" t="n"/>
      <c r="K2164" s="103" t="n"/>
      <c r="L2164" s="116">
        <f>IF($H2164="","",TRIM(IF(COUNTIF(DMTK!$A$7:$A$250,$F2164)=0,"TK Nợ sai! ","")&amp;IF(COUNTIF(DMTK!$A$7:$A$250,$G2164)=0,"TK Có sai! ","")&amp;IF(N($H2164)&lt;=0,"Tiền phải &gt; 0! ","")&amp;IF($B2164="","Thiếu ngày! ","")&amp;IF(AND(OR(LEFT($F2164,3)="131",LEFT($G2164,3)="131",LEFT($F2164,3)="331",LEFT($G2164,3)="331"),$I2164=""),"Thiếu Mã ĐT! ","")&amp;IF(AND($I2164&lt;&gt;"",COUNTIF(DM_DT!$A$7:$A$306,$I2164)=0),"Mã ĐT chưa khai báo! ","")))</f>
        <v/>
      </c>
      <c r="M2164" s="117">
        <f>IF($H2164="","",IF(AND(OR(LEFT($F2164,3)="111",LEFT($F2164,3)="112",LEFT($F2164,3)="113"),OR(LEFT($G2164,3)="111",LEFT($G2164,3)="112",LEFT($G2164,3)="113")),"NB",IF(OR(LEFT($F2164,3)="111",LEFT($F2164,3)="112",LEFT($F2164,3)="113"),"THU",IF(OR(LEFT($G2164,3)="111",LEFT($G2164,3)="112",LEFT($G2164,3)="113"),"CHI",""))))</f>
        <v/>
      </c>
      <c r="N2164" s="117">
        <f>IF($M2164="THU",$G2164,IF($M2164="CHI",$F2164,""))</f>
        <v/>
      </c>
      <c r="O2164" s="117">
        <f>IF(OR($M2164="",$M2164="NB"),"",IF($J2164&lt;&gt;"",TEXT($J2164,"00"),IFERROR(VLOOKUP(LEFT($N2164,4),LCTT_MAP!$A$7:$C$66,IF($M2164="THU",2,3),FALSE()),IFERROR(VLOOKUP(LEFT($N2164,3),LCTT_MAP!$A$7:$C$66,IF($M2164="THU",2,3),FALSE()),IFERROR(VLOOKUP(LEFT($N2164,2),LCTT_MAP!$A$7:$C$66,IF($M2164="THU",2,3),FALSE()),IFERROR(VLOOKUP(LEFT($N2164,1),LCTT_MAP!$A$7:$C$66,IF($M2164="THU",2,3),FALSE()),IF($M2164="THU","06","07")))))))</f>
        <v/>
      </c>
      <c r="P2164" s="117">
        <f>P2163+IF(AND($H2164&lt;&gt;"",OR(LEFT($F2164,LEN(SC_TK))=SC_TK,LEFT($G2164,LEN(SC_TK))=SC_TK)),1,0)</f>
        <v/>
      </c>
    </row>
    <row r="2165" ht="15" customHeight="1" s="78">
      <c r="A2165" s="95">
        <f>IF($H2165="","",ROW()-6)</f>
        <v/>
      </c>
      <c r="B2165" s="114" t="n"/>
      <c r="C2165" s="102" t="n"/>
      <c r="D2165" s="114" t="n"/>
      <c r="E2165" s="103" t="n"/>
      <c r="F2165" s="102" t="n"/>
      <c r="G2165" s="102" t="n"/>
      <c r="H2165" s="115" t="n"/>
      <c r="I2165" s="102" t="n"/>
      <c r="J2165" s="102" t="n"/>
      <c r="K2165" s="103" t="n"/>
      <c r="L2165" s="116">
        <f>IF($H2165="","",TRIM(IF(COUNTIF(DMTK!$A$7:$A$250,$F2165)=0,"TK Nợ sai! ","")&amp;IF(COUNTIF(DMTK!$A$7:$A$250,$G2165)=0,"TK Có sai! ","")&amp;IF(N($H2165)&lt;=0,"Tiền phải &gt; 0! ","")&amp;IF($B2165="","Thiếu ngày! ","")&amp;IF(AND(OR(LEFT($F2165,3)="131",LEFT($G2165,3)="131",LEFT($F2165,3)="331",LEFT($G2165,3)="331"),$I2165=""),"Thiếu Mã ĐT! ","")&amp;IF(AND($I2165&lt;&gt;"",COUNTIF(DM_DT!$A$7:$A$306,$I2165)=0),"Mã ĐT chưa khai báo! ","")))</f>
        <v/>
      </c>
      <c r="M2165" s="117">
        <f>IF($H2165="","",IF(AND(OR(LEFT($F2165,3)="111",LEFT($F2165,3)="112",LEFT($F2165,3)="113"),OR(LEFT($G2165,3)="111",LEFT($G2165,3)="112",LEFT($G2165,3)="113")),"NB",IF(OR(LEFT($F2165,3)="111",LEFT($F2165,3)="112",LEFT($F2165,3)="113"),"THU",IF(OR(LEFT($G2165,3)="111",LEFT($G2165,3)="112",LEFT($G2165,3)="113"),"CHI",""))))</f>
        <v/>
      </c>
      <c r="N2165" s="117">
        <f>IF($M2165="THU",$G2165,IF($M2165="CHI",$F2165,""))</f>
        <v/>
      </c>
      <c r="O2165" s="117">
        <f>IF(OR($M2165="",$M2165="NB"),"",IF($J2165&lt;&gt;"",TEXT($J2165,"00"),IFERROR(VLOOKUP(LEFT($N2165,4),LCTT_MAP!$A$7:$C$66,IF($M2165="THU",2,3),FALSE()),IFERROR(VLOOKUP(LEFT($N2165,3),LCTT_MAP!$A$7:$C$66,IF($M2165="THU",2,3),FALSE()),IFERROR(VLOOKUP(LEFT($N2165,2),LCTT_MAP!$A$7:$C$66,IF($M2165="THU",2,3),FALSE()),IFERROR(VLOOKUP(LEFT($N2165,1),LCTT_MAP!$A$7:$C$66,IF($M2165="THU",2,3),FALSE()),IF($M2165="THU","06","07")))))))</f>
        <v/>
      </c>
      <c r="P2165" s="117">
        <f>P2164+IF(AND($H2165&lt;&gt;"",OR(LEFT($F2165,LEN(SC_TK))=SC_TK,LEFT($G2165,LEN(SC_TK))=SC_TK)),1,0)</f>
        <v/>
      </c>
    </row>
    <row r="2166" ht="15" customHeight="1" s="78">
      <c r="A2166" s="95">
        <f>IF($H2166="","",ROW()-6)</f>
        <v/>
      </c>
      <c r="B2166" s="114" t="n"/>
      <c r="C2166" s="102" t="n"/>
      <c r="D2166" s="114" t="n"/>
      <c r="E2166" s="103" t="n"/>
      <c r="F2166" s="102" t="n"/>
      <c r="G2166" s="102" t="n"/>
      <c r="H2166" s="115" t="n"/>
      <c r="I2166" s="102" t="n"/>
      <c r="J2166" s="102" t="n"/>
      <c r="K2166" s="103" t="n"/>
      <c r="L2166" s="116">
        <f>IF($H2166="","",TRIM(IF(COUNTIF(DMTK!$A$7:$A$250,$F2166)=0,"TK Nợ sai! ","")&amp;IF(COUNTIF(DMTK!$A$7:$A$250,$G2166)=0,"TK Có sai! ","")&amp;IF(N($H2166)&lt;=0,"Tiền phải &gt; 0! ","")&amp;IF($B2166="","Thiếu ngày! ","")&amp;IF(AND(OR(LEFT($F2166,3)="131",LEFT($G2166,3)="131",LEFT($F2166,3)="331",LEFT($G2166,3)="331"),$I2166=""),"Thiếu Mã ĐT! ","")&amp;IF(AND($I2166&lt;&gt;"",COUNTIF(DM_DT!$A$7:$A$306,$I2166)=0),"Mã ĐT chưa khai báo! ","")))</f>
        <v/>
      </c>
      <c r="M2166" s="117">
        <f>IF($H2166="","",IF(AND(OR(LEFT($F2166,3)="111",LEFT($F2166,3)="112",LEFT($F2166,3)="113"),OR(LEFT($G2166,3)="111",LEFT($G2166,3)="112",LEFT($G2166,3)="113")),"NB",IF(OR(LEFT($F2166,3)="111",LEFT($F2166,3)="112",LEFT($F2166,3)="113"),"THU",IF(OR(LEFT($G2166,3)="111",LEFT($G2166,3)="112",LEFT($G2166,3)="113"),"CHI",""))))</f>
        <v/>
      </c>
      <c r="N2166" s="117">
        <f>IF($M2166="THU",$G2166,IF($M2166="CHI",$F2166,""))</f>
        <v/>
      </c>
      <c r="O2166" s="117">
        <f>IF(OR($M2166="",$M2166="NB"),"",IF($J2166&lt;&gt;"",TEXT($J2166,"00"),IFERROR(VLOOKUP(LEFT($N2166,4),LCTT_MAP!$A$7:$C$66,IF($M2166="THU",2,3),FALSE()),IFERROR(VLOOKUP(LEFT($N2166,3),LCTT_MAP!$A$7:$C$66,IF($M2166="THU",2,3),FALSE()),IFERROR(VLOOKUP(LEFT($N2166,2),LCTT_MAP!$A$7:$C$66,IF($M2166="THU",2,3),FALSE()),IFERROR(VLOOKUP(LEFT($N2166,1),LCTT_MAP!$A$7:$C$66,IF($M2166="THU",2,3),FALSE()),IF($M2166="THU","06","07")))))))</f>
        <v/>
      </c>
      <c r="P2166" s="117">
        <f>P2165+IF(AND($H2166&lt;&gt;"",OR(LEFT($F2166,LEN(SC_TK))=SC_TK,LEFT($G2166,LEN(SC_TK))=SC_TK)),1,0)</f>
        <v/>
      </c>
    </row>
    <row r="2167" ht="15" customHeight="1" s="78">
      <c r="A2167" s="95">
        <f>IF($H2167="","",ROW()-6)</f>
        <v/>
      </c>
      <c r="B2167" s="114" t="n"/>
      <c r="C2167" s="102" t="n"/>
      <c r="D2167" s="114" t="n"/>
      <c r="E2167" s="103" t="n"/>
      <c r="F2167" s="102" t="n"/>
      <c r="G2167" s="102" t="n"/>
      <c r="H2167" s="115" t="n"/>
      <c r="I2167" s="102" t="n"/>
      <c r="J2167" s="102" t="n"/>
      <c r="K2167" s="103" t="n"/>
      <c r="L2167" s="116">
        <f>IF($H2167="","",TRIM(IF(COUNTIF(DMTK!$A$7:$A$250,$F2167)=0,"TK Nợ sai! ","")&amp;IF(COUNTIF(DMTK!$A$7:$A$250,$G2167)=0,"TK Có sai! ","")&amp;IF(N($H2167)&lt;=0,"Tiền phải &gt; 0! ","")&amp;IF($B2167="","Thiếu ngày! ","")&amp;IF(AND(OR(LEFT($F2167,3)="131",LEFT($G2167,3)="131",LEFT($F2167,3)="331",LEFT($G2167,3)="331"),$I2167=""),"Thiếu Mã ĐT! ","")&amp;IF(AND($I2167&lt;&gt;"",COUNTIF(DM_DT!$A$7:$A$306,$I2167)=0),"Mã ĐT chưa khai báo! ","")))</f>
        <v/>
      </c>
      <c r="M2167" s="117">
        <f>IF($H2167="","",IF(AND(OR(LEFT($F2167,3)="111",LEFT($F2167,3)="112",LEFT($F2167,3)="113"),OR(LEFT($G2167,3)="111",LEFT($G2167,3)="112",LEFT($G2167,3)="113")),"NB",IF(OR(LEFT($F2167,3)="111",LEFT($F2167,3)="112",LEFT($F2167,3)="113"),"THU",IF(OR(LEFT($G2167,3)="111",LEFT($G2167,3)="112",LEFT($G2167,3)="113"),"CHI",""))))</f>
        <v/>
      </c>
      <c r="N2167" s="117">
        <f>IF($M2167="THU",$G2167,IF($M2167="CHI",$F2167,""))</f>
        <v/>
      </c>
      <c r="O2167" s="117">
        <f>IF(OR($M2167="",$M2167="NB"),"",IF($J2167&lt;&gt;"",TEXT($J2167,"00"),IFERROR(VLOOKUP(LEFT($N2167,4),LCTT_MAP!$A$7:$C$66,IF($M2167="THU",2,3),FALSE()),IFERROR(VLOOKUP(LEFT($N2167,3),LCTT_MAP!$A$7:$C$66,IF($M2167="THU",2,3),FALSE()),IFERROR(VLOOKUP(LEFT($N2167,2),LCTT_MAP!$A$7:$C$66,IF($M2167="THU",2,3),FALSE()),IFERROR(VLOOKUP(LEFT($N2167,1),LCTT_MAP!$A$7:$C$66,IF($M2167="THU",2,3),FALSE()),IF($M2167="THU","06","07")))))))</f>
        <v/>
      </c>
      <c r="P2167" s="117">
        <f>P2166+IF(AND($H2167&lt;&gt;"",OR(LEFT($F2167,LEN(SC_TK))=SC_TK,LEFT($G2167,LEN(SC_TK))=SC_TK)),1,0)</f>
        <v/>
      </c>
    </row>
    <row r="2168" ht="15" customHeight="1" s="78">
      <c r="A2168" s="95">
        <f>IF($H2168="","",ROW()-6)</f>
        <v/>
      </c>
      <c r="B2168" s="114" t="n"/>
      <c r="C2168" s="102" t="n"/>
      <c r="D2168" s="114" t="n"/>
      <c r="E2168" s="103" t="n"/>
      <c r="F2168" s="102" t="n"/>
      <c r="G2168" s="102" t="n"/>
      <c r="H2168" s="115" t="n"/>
      <c r="I2168" s="102" t="n"/>
      <c r="J2168" s="102" t="n"/>
      <c r="K2168" s="103" t="n"/>
      <c r="L2168" s="116">
        <f>IF($H2168="","",TRIM(IF(COUNTIF(DMTK!$A$7:$A$250,$F2168)=0,"TK Nợ sai! ","")&amp;IF(COUNTIF(DMTK!$A$7:$A$250,$G2168)=0,"TK Có sai! ","")&amp;IF(N($H2168)&lt;=0,"Tiền phải &gt; 0! ","")&amp;IF($B2168="","Thiếu ngày! ","")&amp;IF(AND(OR(LEFT($F2168,3)="131",LEFT($G2168,3)="131",LEFT($F2168,3)="331",LEFT($G2168,3)="331"),$I2168=""),"Thiếu Mã ĐT! ","")&amp;IF(AND($I2168&lt;&gt;"",COUNTIF(DM_DT!$A$7:$A$306,$I2168)=0),"Mã ĐT chưa khai báo! ","")))</f>
        <v/>
      </c>
      <c r="M2168" s="117">
        <f>IF($H2168="","",IF(AND(OR(LEFT($F2168,3)="111",LEFT($F2168,3)="112",LEFT($F2168,3)="113"),OR(LEFT($G2168,3)="111",LEFT($G2168,3)="112",LEFT($G2168,3)="113")),"NB",IF(OR(LEFT($F2168,3)="111",LEFT($F2168,3)="112",LEFT($F2168,3)="113"),"THU",IF(OR(LEFT($G2168,3)="111",LEFT($G2168,3)="112",LEFT($G2168,3)="113"),"CHI",""))))</f>
        <v/>
      </c>
      <c r="N2168" s="117">
        <f>IF($M2168="THU",$G2168,IF($M2168="CHI",$F2168,""))</f>
        <v/>
      </c>
      <c r="O2168" s="117">
        <f>IF(OR($M2168="",$M2168="NB"),"",IF($J2168&lt;&gt;"",TEXT($J2168,"00"),IFERROR(VLOOKUP(LEFT($N2168,4),LCTT_MAP!$A$7:$C$66,IF($M2168="THU",2,3),FALSE()),IFERROR(VLOOKUP(LEFT($N2168,3),LCTT_MAP!$A$7:$C$66,IF($M2168="THU",2,3),FALSE()),IFERROR(VLOOKUP(LEFT($N2168,2),LCTT_MAP!$A$7:$C$66,IF($M2168="THU",2,3),FALSE()),IFERROR(VLOOKUP(LEFT($N2168,1),LCTT_MAP!$A$7:$C$66,IF($M2168="THU",2,3),FALSE()),IF($M2168="THU","06","07")))))))</f>
        <v/>
      </c>
      <c r="P2168" s="117">
        <f>P2167+IF(AND($H2168&lt;&gt;"",OR(LEFT($F2168,LEN(SC_TK))=SC_TK,LEFT($G2168,LEN(SC_TK))=SC_TK)),1,0)</f>
        <v/>
      </c>
    </row>
    <row r="2169" ht="15" customHeight="1" s="78">
      <c r="A2169" s="95">
        <f>IF($H2169="","",ROW()-6)</f>
        <v/>
      </c>
      <c r="B2169" s="114" t="n"/>
      <c r="C2169" s="102" t="n"/>
      <c r="D2169" s="114" t="n"/>
      <c r="E2169" s="103" t="n"/>
      <c r="F2169" s="102" t="n"/>
      <c r="G2169" s="102" t="n"/>
      <c r="H2169" s="115" t="n"/>
      <c r="I2169" s="102" t="n"/>
      <c r="J2169" s="102" t="n"/>
      <c r="K2169" s="103" t="n"/>
      <c r="L2169" s="116">
        <f>IF($H2169="","",TRIM(IF(COUNTIF(DMTK!$A$7:$A$250,$F2169)=0,"TK Nợ sai! ","")&amp;IF(COUNTIF(DMTK!$A$7:$A$250,$G2169)=0,"TK Có sai! ","")&amp;IF(N($H2169)&lt;=0,"Tiền phải &gt; 0! ","")&amp;IF($B2169="","Thiếu ngày! ","")&amp;IF(AND(OR(LEFT($F2169,3)="131",LEFT($G2169,3)="131",LEFT($F2169,3)="331",LEFT($G2169,3)="331"),$I2169=""),"Thiếu Mã ĐT! ","")&amp;IF(AND($I2169&lt;&gt;"",COUNTIF(DM_DT!$A$7:$A$306,$I2169)=0),"Mã ĐT chưa khai báo! ","")))</f>
        <v/>
      </c>
      <c r="M2169" s="117">
        <f>IF($H2169="","",IF(AND(OR(LEFT($F2169,3)="111",LEFT($F2169,3)="112",LEFT($F2169,3)="113"),OR(LEFT($G2169,3)="111",LEFT($G2169,3)="112",LEFT($G2169,3)="113")),"NB",IF(OR(LEFT($F2169,3)="111",LEFT($F2169,3)="112",LEFT($F2169,3)="113"),"THU",IF(OR(LEFT($G2169,3)="111",LEFT($G2169,3)="112",LEFT($G2169,3)="113"),"CHI",""))))</f>
        <v/>
      </c>
      <c r="N2169" s="117">
        <f>IF($M2169="THU",$G2169,IF($M2169="CHI",$F2169,""))</f>
        <v/>
      </c>
      <c r="O2169" s="117">
        <f>IF(OR($M2169="",$M2169="NB"),"",IF($J2169&lt;&gt;"",TEXT($J2169,"00"),IFERROR(VLOOKUP(LEFT($N2169,4),LCTT_MAP!$A$7:$C$66,IF($M2169="THU",2,3),FALSE()),IFERROR(VLOOKUP(LEFT($N2169,3),LCTT_MAP!$A$7:$C$66,IF($M2169="THU",2,3),FALSE()),IFERROR(VLOOKUP(LEFT($N2169,2),LCTT_MAP!$A$7:$C$66,IF($M2169="THU",2,3),FALSE()),IFERROR(VLOOKUP(LEFT($N2169,1),LCTT_MAP!$A$7:$C$66,IF($M2169="THU",2,3),FALSE()),IF($M2169="THU","06","07")))))))</f>
        <v/>
      </c>
      <c r="P2169" s="117">
        <f>P2168+IF(AND($H2169&lt;&gt;"",OR(LEFT($F2169,LEN(SC_TK))=SC_TK,LEFT($G2169,LEN(SC_TK))=SC_TK)),1,0)</f>
        <v/>
      </c>
    </row>
    <row r="2170" ht="15" customHeight="1" s="78">
      <c r="A2170" s="95">
        <f>IF($H2170="","",ROW()-6)</f>
        <v/>
      </c>
      <c r="B2170" s="114" t="n"/>
      <c r="C2170" s="102" t="n"/>
      <c r="D2170" s="114" t="n"/>
      <c r="E2170" s="103" t="n"/>
      <c r="F2170" s="102" t="n"/>
      <c r="G2170" s="102" t="n"/>
      <c r="H2170" s="115" t="n"/>
      <c r="I2170" s="102" t="n"/>
      <c r="J2170" s="102" t="n"/>
      <c r="K2170" s="103" t="n"/>
      <c r="L2170" s="116">
        <f>IF($H2170="","",TRIM(IF(COUNTIF(DMTK!$A$7:$A$250,$F2170)=0,"TK Nợ sai! ","")&amp;IF(COUNTIF(DMTK!$A$7:$A$250,$G2170)=0,"TK Có sai! ","")&amp;IF(N($H2170)&lt;=0,"Tiền phải &gt; 0! ","")&amp;IF($B2170="","Thiếu ngày! ","")&amp;IF(AND(OR(LEFT($F2170,3)="131",LEFT($G2170,3)="131",LEFT($F2170,3)="331",LEFT($G2170,3)="331"),$I2170=""),"Thiếu Mã ĐT! ","")&amp;IF(AND($I2170&lt;&gt;"",COUNTIF(DM_DT!$A$7:$A$306,$I2170)=0),"Mã ĐT chưa khai báo! ","")))</f>
        <v/>
      </c>
      <c r="M2170" s="117">
        <f>IF($H2170="","",IF(AND(OR(LEFT($F2170,3)="111",LEFT($F2170,3)="112",LEFT($F2170,3)="113"),OR(LEFT($G2170,3)="111",LEFT($G2170,3)="112",LEFT($G2170,3)="113")),"NB",IF(OR(LEFT($F2170,3)="111",LEFT($F2170,3)="112",LEFT($F2170,3)="113"),"THU",IF(OR(LEFT($G2170,3)="111",LEFT($G2170,3)="112",LEFT($G2170,3)="113"),"CHI",""))))</f>
        <v/>
      </c>
      <c r="N2170" s="117">
        <f>IF($M2170="THU",$G2170,IF($M2170="CHI",$F2170,""))</f>
        <v/>
      </c>
      <c r="O2170" s="117">
        <f>IF(OR($M2170="",$M2170="NB"),"",IF($J2170&lt;&gt;"",TEXT($J2170,"00"),IFERROR(VLOOKUP(LEFT($N2170,4),LCTT_MAP!$A$7:$C$66,IF($M2170="THU",2,3),FALSE()),IFERROR(VLOOKUP(LEFT($N2170,3),LCTT_MAP!$A$7:$C$66,IF($M2170="THU",2,3),FALSE()),IFERROR(VLOOKUP(LEFT($N2170,2),LCTT_MAP!$A$7:$C$66,IF($M2170="THU",2,3),FALSE()),IFERROR(VLOOKUP(LEFT($N2170,1),LCTT_MAP!$A$7:$C$66,IF($M2170="THU",2,3),FALSE()),IF($M2170="THU","06","07")))))))</f>
        <v/>
      </c>
      <c r="P2170" s="117">
        <f>P2169+IF(AND($H2170&lt;&gt;"",OR(LEFT($F2170,LEN(SC_TK))=SC_TK,LEFT($G2170,LEN(SC_TK))=SC_TK)),1,0)</f>
        <v/>
      </c>
    </row>
    <row r="2171" ht="15" customHeight="1" s="78">
      <c r="A2171" s="95">
        <f>IF($H2171="","",ROW()-6)</f>
        <v/>
      </c>
      <c r="B2171" s="114" t="n"/>
      <c r="C2171" s="102" t="n"/>
      <c r="D2171" s="114" t="n"/>
      <c r="E2171" s="103" t="n"/>
      <c r="F2171" s="102" t="n"/>
      <c r="G2171" s="102" t="n"/>
      <c r="H2171" s="115" t="n"/>
      <c r="I2171" s="102" t="n"/>
      <c r="J2171" s="102" t="n"/>
      <c r="K2171" s="103" t="n"/>
      <c r="L2171" s="116">
        <f>IF($H2171="","",TRIM(IF(COUNTIF(DMTK!$A$7:$A$250,$F2171)=0,"TK Nợ sai! ","")&amp;IF(COUNTIF(DMTK!$A$7:$A$250,$G2171)=0,"TK Có sai! ","")&amp;IF(N($H2171)&lt;=0,"Tiền phải &gt; 0! ","")&amp;IF($B2171="","Thiếu ngày! ","")&amp;IF(AND(OR(LEFT($F2171,3)="131",LEFT($G2171,3)="131",LEFT($F2171,3)="331",LEFT($G2171,3)="331"),$I2171=""),"Thiếu Mã ĐT! ","")&amp;IF(AND($I2171&lt;&gt;"",COUNTIF(DM_DT!$A$7:$A$306,$I2171)=0),"Mã ĐT chưa khai báo! ","")))</f>
        <v/>
      </c>
      <c r="M2171" s="117">
        <f>IF($H2171="","",IF(AND(OR(LEFT($F2171,3)="111",LEFT($F2171,3)="112",LEFT($F2171,3)="113"),OR(LEFT($G2171,3)="111",LEFT($G2171,3)="112",LEFT($G2171,3)="113")),"NB",IF(OR(LEFT($F2171,3)="111",LEFT($F2171,3)="112",LEFT($F2171,3)="113"),"THU",IF(OR(LEFT($G2171,3)="111",LEFT($G2171,3)="112",LEFT($G2171,3)="113"),"CHI",""))))</f>
        <v/>
      </c>
      <c r="N2171" s="117">
        <f>IF($M2171="THU",$G2171,IF($M2171="CHI",$F2171,""))</f>
        <v/>
      </c>
      <c r="O2171" s="117">
        <f>IF(OR($M2171="",$M2171="NB"),"",IF($J2171&lt;&gt;"",TEXT($J2171,"00"),IFERROR(VLOOKUP(LEFT($N2171,4),LCTT_MAP!$A$7:$C$66,IF($M2171="THU",2,3),FALSE()),IFERROR(VLOOKUP(LEFT($N2171,3),LCTT_MAP!$A$7:$C$66,IF($M2171="THU",2,3),FALSE()),IFERROR(VLOOKUP(LEFT($N2171,2),LCTT_MAP!$A$7:$C$66,IF($M2171="THU",2,3),FALSE()),IFERROR(VLOOKUP(LEFT($N2171,1),LCTT_MAP!$A$7:$C$66,IF($M2171="THU",2,3),FALSE()),IF($M2171="THU","06","07")))))))</f>
        <v/>
      </c>
      <c r="P2171" s="117">
        <f>P2170+IF(AND($H2171&lt;&gt;"",OR(LEFT($F2171,LEN(SC_TK))=SC_TK,LEFT($G2171,LEN(SC_TK))=SC_TK)),1,0)</f>
        <v/>
      </c>
    </row>
    <row r="2172" ht="15" customHeight="1" s="78">
      <c r="A2172" s="95">
        <f>IF($H2172="","",ROW()-6)</f>
        <v/>
      </c>
      <c r="B2172" s="114" t="n"/>
      <c r="C2172" s="102" t="n"/>
      <c r="D2172" s="114" t="n"/>
      <c r="E2172" s="103" t="n"/>
      <c r="F2172" s="102" t="n"/>
      <c r="G2172" s="102" t="n"/>
      <c r="H2172" s="115" t="n"/>
      <c r="I2172" s="102" t="n"/>
      <c r="J2172" s="102" t="n"/>
      <c r="K2172" s="103" t="n"/>
      <c r="L2172" s="116">
        <f>IF($H2172="","",TRIM(IF(COUNTIF(DMTK!$A$7:$A$250,$F2172)=0,"TK Nợ sai! ","")&amp;IF(COUNTIF(DMTK!$A$7:$A$250,$G2172)=0,"TK Có sai! ","")&amp;IF(N($H2172)&lt;=0,"Tiền phải &gt; 0! ","")&amp;IF($B2172="","Thiếu ngày! ","")&amp;IF(AND(OR(LEFT($F2172,3)="131",LEFT($G2172,3)="131",LEFT($F2172,3)="331",LEFT($G2172,3)="331"),$I2172=""),"Thiếu Mã ĐT! ","")&amp;IF(AND($I2172&lt;&gt;"",COUNTIF(DM_DT!$A$7:$A$306,$I2172)=0),"Mã ĐT chưa khai báo! ","")))</f>
        <v/>
      </c>
      <c r="M2172" s="117">
        <f>IF($H2172="","",IF(AND(OR(LEFT($F2172,3)="111",LEFT($F2172,3)="112",LEFT($F2172,3)="113"),OR(LEFT($G2172,3)="111",LEFT($G2172,3)="112",LEFT($G2172,3)="113")),"NB",IF(OR(LEFT($F2172,3)="111",LEFT($F2172,3)="112",LEFT($F2172,3)="113"),"THU",IF(OR(LEFT($G2172,3)="111",LEFT($G2172,3)="112",LEFT($G2172,3)="113"),"CHI",""))))</f>
        <v/>
      </c>
      <c r="N2172" s="117">
        <f>IF($M2172="THU",$G2172,IF($M2172="CHI",$F2172,""))</f>
        <v/>
      </c>
      <c r="O2172" s="117">
        <f>IF(OR($M2172="",$M2172="NB"),"",IF($J2172&lt;&gt;"",TEXT($J2172,"00"),IFERROR(VLOOKUP(LEFT($N2172,4),LCTT_MAP!$A$7:$C$66,IF($M2172="THU",2,3),FALSE()),IFERROR(VLOOKUP(LEFT($N2172,3),LCTT_MAP!$A$7:$C$66,IF($M2172="THU",2,3),FALSE()),IFERROR(VLOOKUP(LEFT($N2172,2),LCTT_MAP!$A$7:$C$66,IF($M2172="THU",2,3),FALSE()),IFERROR(VLOOKUP(LEFT($N2172,1),LCTT_MAP!$A$7:$C$66,IF($M2172="THU",2,3),FALSE()),IF($M2172="THU","06","07")))))))</f>
        <v/>
      </c>
      <c r="P2172" s="117">
        <f>P2171+IF(AND($H2172&lt;&gt;"",OR(LEFT($F2172,LEN(SC_TK))=SC_TK,LEFT($G2172,LEN(SC_TK))=SC_TK)),1,0)</f>
        <v/>
      </c>
    </row>
    <row r="2173" ht="15" customHeight="1" s="78">
      <c r="A2173" s="95">
        <f>IF($H2173="","",ROW()-6)</f>
        <v/>
      </c>
      <c r="B2173" s="114" t="n"/>
      <c r="C2173" s="102" t="n"/>
      <c r="D2173" s="114" t="n"/>
      <c r="E2173" s="103" t="n"/>
      <c r="F2173" s="102" t="n"/>
      <c r="G2173" s="102" t="n"/>
      <c r="H2173" s="115" t="n"/>
      <c r="I2173" s="102" t="n"/>
      <c r="J2173" s="102" t="n"/>
      <c r="K2173" s="103" t="n"/>
      <c r="L2173" s="116">
        <f>IF($H2173="","",TRIM(IF(COUNTIF(DMTK!$A$7:$A$250,$F2173)=0,"TK Nợ sai! ","")&amp;IF(COUNTIF(DMTK!$A$7:$A$250,$G2173)=0,"TK Có sai! ","")&amp;IF(N($H2173)&lt;=0,"Tiền phải &gt; 0! ","")&amp;IF($B2173="","Thiếu ngày! ","")&amp;IF(AND(OR(LEFT($F2173,3)="131",LEFT($G2173,3)="131",LEFT($F2173,3)="331",LEFT($G2173,3)="331"),$I2173=""),"Thiếu Mã ĐT! ","")&amp;IF(AND($I2173&lt;&gt;"",COUNTIF(DM_DT!$A$7:$A$306,$I2173)=0),"Mã ĐT chưa khai báo! ","")))</f>
        <v/>
      </c>
      <c r="M2173" s="117">
        <f>IF($H2173="","",IF(AND(OR(LEFT($F2173,3)="111",LEFT($F2173,3)="112",LEFT($F2173,3)="113"),OR(LEFT($G2173,3)="111",LEFT($G2173,3)="112",LEFT($G2173,3)="113")),"NB",IF(OR(LEFT($F2173,3)="111",LEFT($F2173,3)="112",LEFT($F2173,3)="113"),"THU",IF(OR(LEFT($G2173,3)="111",LEFT($G2173,3)="112",LEFT($G2173,3)="113"),"CHI",""))))</f>
        <v/>
      </c>
      <c r="N2173" s="117">
        <f>IF($M2173="THU",$G2173,IF($M2173="CHI",$F2173,""))</f>
        <v/>
      </c>
      <c r="O2173" s="117">
        <f>IF(OR($M2173="",$M2173="NB"),"",IF($J2173&lt;&gt;"",TEXT($J2173,"00"),IFERROR(VLOOKUP(LEFT($N2173,4),LCTT_MAP!$A$7:$C$66,IF($M2173="THU",2,3),FALSE()),IFERROR(VLOOKUP(LEFT($N2173,3),LCTT_MAP!$A$7:$C$66,IF($M2173="THU",2,3),FALSE()),IFERROR(VLOOKUP(LEFT($N2173,2),LCTT_MAP!$A$7:$C$66,IF($M2173="THU",2,3),FALSE()),IFERROR(VLOOKUP(LEFT($N2173,1),LCTT_MAP!$A$7:$C$66,IF($M2173="THU",2,3),FALSE()),IF($M2173="THU","06","07")))))))</f>
        <v/>
      </c>
      <c r="P2173" s="117">
        <f>P2172+IF(AND($H2173&lt;&gt;"",OR(LEFT($F2173,LEN(SC_TK))=SC_TK,LEFT($G2173,LEN(SC_TK))=SC_TK)),1,0)</f>
        <v/>
      </c>
    </row>
    <row r="2174" ht="15" customHeight="1" s="78">
      <c r="A2174" s="95">
        <f>IF($H2174="","",ROW()-6)</f>
        <v/>
      </c>
      <c r="B2174" s="114" t="n"/>
      <c r="C2174" s="102" t="n"/>
      <c r="D2174" s="114" t="n"/>
      <c r="E2174" s="103" t="n"/>
      <c r="F2174" s="102" t="n"/>
      <c r="G2174" s="102" t="n"/>
      <c r="H2174" s="115" t="n"/>
      <c r="I2174" s="102" t="n"/>
      <c r="J2174" s="102" t="n"/>
      <c r="K2174" s="103" t="n"/>
      <c r="L2174" s="116">
        <f>IF($H2174="","",TRIM(IF(COUNTIF(DMTK!$A$7:$A$250,$F2174)=0,"TK Nợ sai! ","")&amp;IF(COUNTIF(DMTK!$A$7:$A$250,$G2174)=0,"TK Có sai! ","")&amp;IF(N($H2174)&lt;=0,"Tiền phải &gt; 0! ","")&amp;IF($B2174="","Thiếu ngày! ","")&amp;IF(AND(OR(LEFT($F2174,3)="131",LEFT($G2174,3)="131",LEFT($F2174,3)="331",LEFT($G2174,3)="331"),$I2174=""),"Thiếu Mã ĐT! ","")&amp;IF(AND($I2174&lt;&gt;"",COUNTIF(DM_DT!$A$7:$A$306,$I2174)=0),"Mã ĐT chưa khai báo! ","")))</f>
        <v/>
      </c>
      <c r="M2174" s="117">
        <f>IF($H2174="","",IF(AND(OR(LEFT($F2174,3)="111",LEFT($F2174,3)="112",LEFT($F2174,3)="113"),OR(LEFT($G2174,3)="111",LEFT($G2174,3)="112",LEFT($G2174,3)="113")),"NB",IF(OR(LEFT($F2174,3)="111",LEFT($F2174,3)="112",LEFT($F2174,3)="113"),"THU",IF(OR(LEFT($G2174,3)="111",LEFT($G2174,3)="112",LEFT($G2174,3)="113"),"CHI",""))))</f>
        <v/>
      </c>
      <c r="N2174" s="117">
        <f>IF($M2174="THU",$G2174,IF($M2174="CHI",$F2174,""))</f>
        <v/>
      </c>
      <c r="O2174" s="117">
        <f>IF(OR($M2174="",$M2174="NB"),"",IF($J2174&lt;&gt;"",TEXT($J2174,"00"),IFERROR(VLOOKUP(LEFT($N2174,4),LCTT_MAP!$A$7:$C$66,IF($M2174="THU",2,3),FALSE()),IFERROR(VLOOKUP(LEFT($N2174,3),LCTT_MAP!$A$7:$C$66,IF($M2174="THU",2,3),FALSE()),IFERROR(VLOOKUP(LEFT($N2174,2),LCTT_MAP!$A$7:$C$66,IF($M2174="THU",2,3),FALSE()),IFERROR(VLOOKUP(LEFT($N2174,1),LCTT_MAP!$A$7:$C$66,IF($M2174="THU",2,3),FALSE()),IF($M2174="THU","06","07")))))))</f>
        <v/>
      </c>
      <c r="P2174" s="117">
        <f>P2173+IF(AND($H2174&lt;&gt;"",OR(LEFT($F2174,LEN(SC_TK))=SC_TK,LEFT($G2174,LEN(SC_TK))=SC_TK)),1,0)</f>
        <v/>
      </c>
    </row>
    <row r="2175" ht="15" customHeight="1" s="78">
      <c r="A2175" s="95">
        <f>IF($H2175="","",ROW()-6)</f>
        <v/>
      </c>
      <c r="B2175" s="114" t="n"/>
      <c r="C2175" s="102" t="n"/>
      <c r="D2175" s="114" t="n"/>
      <c r="E2175" s="103" t="n"/>
      <c r="F2175" s="102" t="n"/>
      <c r="G2175" s="102" t="n"/>
      <c r="H2175" s="115" t="n"/>
      <c r="I2175" s="102" t="n"/>
      <c r="J2175" s="102" t="n"/>
      <c r="K2175" s="103" t="n"/>
      <c r="L2175" s="116">
        <f>IF($H2175="","",TRIM(IF(COUNTIF(DMTK!$A$7:$A$250,$F2175)=0,"TK Nợ sai! ","")&amp;IF(COUNTIF(DMTK!$A$7:$A$250,$G2175)=0,"TK Có sai! ","")&amp;IF(N($H2175)&lt;=0,"Tiền phải &gt; 0! ","")&amp;IF($B2175="","Thiếu ngày! ","")&amp;IF(AND(OR(LEFT($F2175,3)="131",LEFT($G2175,3)="131",LEFT($F2175,3)="331",LEFT($G2175,3)="331"),$I2175=""),"Thiếu Mã ĐT! ","")&amp;IF(AND($I2175&lt;&gt;"",COUNTIF(DM_DT!$A$7:$A$306,$I2175)=0),"Mã ĐT chưa khai báo! ","")))</f>
        <v/>
      </c>
      <c r="M2175" s="117">
        <f>IF($H2175="","",IF(AND(OR(LEFT($F2175,3)="111",LEFT($F2175,3)="112",LEFT($F2175,3)="113"),OR(LEFT($G2175,3)="111",LEFT($G2175,3)="112",LEFT($G2175,3)="113")),"NB",IF(OR(LEFT($F2175,3)="111",LEFT($F2175,3)="112",LEFT($F2175,3)="113"),"THU",IF(OR(LEFT($G2175,3)="111",LEFT($G2175,3)="112",LEFT($G2175,3)="113"),"CHI",""))))</f>
        <v/>
      </c>
      <c r="N2175" s="117">
        <f>IF($M2175="THU",$G2175,IF($M2175="CHI",$F2175,""))</f>
        <v/>
      </c>
      <c r="O2175" s="117">
        <f>IF(OR($M2175="",$M2175="NB"),"",IF($J2175&lt;&gt;"",TEXT($J2175,"00"),IFERROR(VLOOKUP(LEFT($N2175,4),LCTT_MAP!$A$7:$C$66,IF($M2175="THU",2,3),FALSE()),IFERROR(VLOOKUP(LEFT($N2175,3),LCTT_MAP!$A$7:$C$66,IF($M2175="THU",2,3),FALSE()),IFERROR(VLOOKUP(LEFT($N2175,2),LCTT_MAP!$A$7:$C$66,IF($M2175="THU",2,3),FALSE()),IFERROR(VLOOKUP(LEFT($N2175,1),LCTT_MAP!$A$7:$C$66,IF($M2175="THU",2,3),FALSE()),IF($M2175="THU","06","07")))))))</f>
        <v/>
      </c>
      <c r="P2175" s="117">
        <f>P2174+IF(AND($H2175&lt;&gt;"",OR(LEFT($F2175,LEN(SC_TK))=SC_TK,LEFT($G2175,LEN(SC_TK))=SC_TK)),1,0)</f>
        <v/>
      </c>
    </row>
    <row r="2176" ht="15" customHeight="1" s="78">
      <c r="A2176" s="95">
        <f>IF($H2176="","",ROW()-6)</f>
        <v/>
      </c>
      <c r="B2176" s="114" t="n"/>
      <c r="C2176" s="102" t="n"/>
      <c r="D2176" s="114" t="n"/>
      <c r="E2176" s="103" t="n"/>
      <c r="F2176" s="102" t="n"/>
      <c r="G2176" s="102" t="n"/>
      <c r="H2176" s="115" t="n"/>
      <c r="I2176" s="102" t="n"/>
      <c r="J2176" s="102" t="n"/>
      <c r="K2176" s="103" t="n"/>
      <c r="L2176" s="116">
        <f>IF($H2176="","",TRIM(IF(COUNTIF(DMTK!$A$7:$A$250,$F2176)=0,"TK Nợ sai! ","")&amp;IF(COUNTIF(DMTK!$A$7:$A$250,$G2176)=0,"TK Có sai! ","")&amp;IF(N($H2176)&lt;=0,"Tiền phải &gt; 0! ","")&amp;IF($B2176="","Thiếu ngày! ","")&amp;IF(AND(OR(LEFT($F2176,3)="131",LEFT($G2176,3)="131",LEFT($F2176,3)="331",LEFT($G2176,3)="331"),$I2176=""),"Thiếu Mã ĐT! ","")&amp;IF(AND($I2176&lt;&gt;"",COUNTIF(DM_DT!$A$7:$A$306,$I2176)=0),"Mã ĐT chưa khai báo! ","")))</f>
        <v/>
      </c>
      <c r="M2176" s="117">
        <f>IF($H2176="","",IF(AND(OR(LEFT($F2176,3)="111",LEFT($F2176,3)="112",LEFT($F2176,3)="113"),OR(LEFT($G2176,3)="111",LEFT($G2176,3)="112",LEFT($G2176,3)="113")),"NB",IF(OR(LEFT($F2176,3)="111",LEFT($F2176,3)="112",LEFT($F2176,3)="113"),"THU",IF(OR(LEFT($G2176,3)="111",LEFT($G2176,3)="112",LEFT($G2176,3)="113"),"CHI",""))))</f>
        <v/>
      </c>
      <c r="N2176" s="117">
        <f>IF($M2176="THU",$G2176,IF($M2176="CHI",$F2176,""))</f>
        <v/>
      </c>
      <c r="O2176" s="117">
        <f>IF(OR($M2176="",$M2176="NB"),"",IF($J2176&lt;&gt;"",TEXT($J2176,"00"),IFERROR(VLOOKUP(LEFT($N2176,4),LCTT_MAP!$A$7:$C$66,IF($M2176="THU",2,3),FALSE()),IFERROR(VLOOKUP(LEFT($N2176,3),LCTT_MAP!$A$7:$C$66,IF($M2176="THU",2,3),FALSE()),IFERROR(VLOOKUP(LEFT($N2176,2),LCTT_MAP!$A$7:$C$66,IF($M2176="THU",2,3),FALSE()),IFERROR(VLOOKUP(LEFT($N2176,1),LCTT_MAP!$A$7:$C$66,IF($M2176="THU",2,3),FALSE()),IF($M2176="THU","06","07")))))))</f>
        <v/>
      </c>
      <c r="P2176" s="117">
        <f>P2175+IF(AND($H2176&lt;&gt;"",OR(LEFT($F2176,LEN(SC_TK))=SC_TK,LEFT($G2176,LEN(SC_TK))=SC_TK)),1,0)</f>
        <v/>
      </c>
    </row>
    <row r="2177" ht="15" customHeight="1" s="78">
      <c r="A2177" s="95">
        <f>IF($H2177="","",ROW()-6)</f>
        <v/>
      </c>
      <c r="B2177" s="114" t="n"/>
      <c r="C2177" s="102" t="n"/>
      <c r="D2177" s="114" t="n"/>
      <c r="E2177" s="103" t="n"/>
      <c r="F2177" s="102" t="n"/>
      <c r="G2177" s="102" t="n"/>
      <c r="H2177" s="115" t="n"/>
      <c r="I2177" s="102" t="n"/>
      <c r="J2177" s="102" t="n"/>
      <c r="K2177" s="103" t="n"/>
      <c r="L2177" s="116">
        <f>IF($H2177="","",TRIM(IF(COUNTIF(DMTK!$A$7:$A$250,$F2177)=0,"TK Nợ sai! ","")&amp;IF(COUNTIF(DMTK!$A$7:$A$250,$G2177)=0,"TK Có sai! ","")&amp;IF(N($H2177)&lt;=0,"Tiền phải &gt; 0! ","")&amp;IF($B2177="","Thiếu ngày! ","")&amp;IF(AND(OR(LEFT($F2177,3)="131",LEFT($G2177,3)="131",LEFT($F2177,3)="331",LEFT($G2177,3)="331"),$I2177=""),"Thiếu Mã ĐT! ","")&amp;IF(AND($I2177&lt;&gt;"",COUNTIF(DM_DT!$A$7:$A$306,$I2177)=0),"Mã ĐT chưa khai báo! ","")))</f>
        <v/>
      </c>
      <c r="M2177" s="117">
        <f>IF($H2177="","",IF(AND(OR(LEFT($F2177,3)="111",LEFT($F2177,3)="112",LEFT($F2177,3)="113"),OR(LEFT($G2177,3)="111",LEFT($G2177,3)="112",LEFT($G2177,3)="113")),"NB",IF(OR(LEFT($F2177,3)="111",LEFT($F2177,3)="112",LEFT($F2177,3)="113"),"THU",IF(OR(LEFT($G2177,3)="111",LEFT($G2177,3)="112",LEFT($G2177,3)="113"),"CHI",""))))</f>
        <v/>
      </c>
      <c r="N2177" s="117">
        <f>IF($M2177="THU",$G2177,IF($M2177="CHI",$F2177,""))</f>
        <v/>
      </c>
      <c r="O2177" s="117">
        <f>IF(OR($M2177="",$M2177="NB"),"",IF($J2177&lt;&gt;"",TEXT($J2177,"00"),IFERROR(VLOOKUP(LEFT($N2177,4),LCTT_MAP!$A$7:$C$66,IF($M2177="THU",2,3),FALSE()),IFERROR(VLOOKUP(LEFT($N2177,3),LCTT_MAP!$A$7:$C$66,IF($M2177="THU",2,3),FALSE()),IFERROR(VLOOKUP(LEFT($N2177,2),LCTT_MAP!$A$7:$C$66,IF($M2177="THU",2,3),FALSE()),IFERROR(VLOOKUP(LEFT($N2177,1),LCTT_MAP!$A$7:$C$66,IF($M2177="THU",2,3),FALSE()),IF($M2177="THU","06","07")))))))</f>
        <v/>
      </c>
      <c r="P2177" s="117">
        <f>P2176+IF(AND($H2177&lt;&gt;"",OR(LEFT($F2177,LEN(SC_TK))=SC_TK,LEFT($G2177,LEN(SC_TK))=SC_TK)),1,0)</f>
        <v/>
      </c>
    </row>
    <row r="2178" ht="15" customHeight="1" s="78">
      <c r="A2178" s="95">
        <f>IF($H2178="","",ROW()-6)</f>
        <v/>
      </c>
      <c r="B2178" s="114" t="n"/>
      <c r="C2178" s="102" t="n"/>
      <c r="D2178" s="114" t="n"/>
      <c r="E2178" s="103" t="n"/>
      <c r="F2178" s="102" t="n"/>
      <c r="G2178" s="102" t="n"/>
      <c r="H2178" s="115" t="n"/>
      <c r="I2178" s="102" t="n"/>
      <c r="J2178" s="102" t="n"/>
      <c r="K2178" s="103" t="n"/>
      <c r="L2178" s="116">
        <f>IF($H2178="","",TRIM(IF(COUNTIF(DMTK!$A$7:$A$250,$F2178)=0,"TK Nợ sai! ","")&amp;IF(COUNTIF(DMTK!$A$7:$A$250,$G2178)=0,"TK Có sai! ","")&amp;IF(N($H2178)&lt;=0,"Tiền phải &gt; 0! ","")&amp;IF($B2178="","Thiếu ngày! ","")&amp;IF(AND(OR(LEFT($F2178,3)="131",LEFT($G2178,3)="131",LEFT($F2178,3)="331",LEFT($G2178,3)="331"),$I2178=""),"Thiếu Mã ĐT! ","")&amp;IF(AND($I2178&lt;&gt;"",COUNTIF(DM_DT!$A$7:$A$306,$I2178)=0),"Mã ĐT chưa khai báo! ","")))</f>
        <v/>
      </c>
      <c r="M2178" s="117">
        <f>IF($H2178="","",IF(AND(OR(LEFT($F2178,3)="111",LEFT($F2178,3)="112",LEFT($F2178,3)="113"),OR(LEFT($G2178,3)="111",LEFT($G2178,3)="112",LEFT($G2178,3)="113")),"NB",IF(OR(LEFT($F2178,3)="111",LEFT($F2178,3)="112",LEFT($F2178,3)="113"),"THU",IF(OR(LEFT($G2178,3)="111",LEFT($G2178,3)="112",LEFT($G2178,3)="113"),"CHI",""))))</f>
        <v/>
      </c>
      <c r="N2178" s="117">
        <f>IF($M2178="THU",$G2178,IF($M2178="CHI",$F2178,""))</f>
        <v/>
      </c>
      <c r="O2178" s="117">
        <f>IF(OR($M2178="",$M2178="NB"),"",IF($J2178&lt;&gt;"",TEXT($J2178,"00"),IFERROR(VLOOKUP(LEFT($N2178,4),LCTT_MAP!$A$7:$C$66,IF($M2178="THU",2,3),FALSE()),IFERROR(VLOOKUP(LEFT($N2178,3),LCTT_MAP!$A$7:$C$66,IF($M2178="THU",2,3),FALSE()),IFERROR(VLOOKUP(LEFT($N2178,2),LCTT_MAP!$A$7:$C$66,IF($M2178="THU",2,3),FALSE()),IFERROR(VLOOKUP(LEFT($N2178,1),LCTT_MAP!$A$7:$C$66,IF($M2178="THU",2,3),FALSE()),IF($M2178="THU","06","07")))))))</f>
        <v/>
      </c>
      <c r="P2178" s="117">
        <f>P2177+IF(AND($H2178&lt;&gt;"",OR(LEFT($F2178,LEN(SC_TK))=SC_TK,LEFT($G2178,LEN(SC_TK))=SC_TK)),1,0)</f>
        <v/>
      </c>
    </row>
    <row r="2179" ht="15" customHeight="1" s="78">
      <c r="A2179" s="95">
        <f>IF($H2179="","",ROW()-6)</f>
        <v/>
      </c>
      <c r="B2179" s="114" t="n"/>
      <c r="C2179" s="102" t="n"/>
      <c r="D2179" s="114" t="n"/>
      <c r="E2179" s="103" t="n"/>
      <c r="F2179" s="102" t="n"/>
      <c r="G2179" s="102" t="n"/>
      <c r="H2179" s="115" t="n"/>
      <c r="I2179" s="102" t="n"/>
      <c r="J2179" s="102" t="n"/>
      <c r="K2179" s="103" t="n"/>
      <c r="L2179" s="116">
        <f>IF($H2179="","",TRIM(IF(COUNTIF(DMTK!$A$7:$A$250,$F2179)=0,"TK Nợ sai! ","")&amp;IF(COUNTIF(DMTK!$A$7:$A$250,$G2179)=0,"TK Có sai! ","")&amp;IF(N($H2179)&lt;=0,"Tiền phải &gt; 0! ","")&amp;IF($B2179="","Thiếu ngày! ","")&amp;IF(AND(OR(LEFT($F2179,3)="131",LEFT($G2179,3)="131",LEFT($F2179,3)="331",LEFT($G2179,3)="331"),$I2179=""),"Thiếu Mã ĐT! ","")&amp;IF(AND($I2179&lt;&gt;"",COUNTIF(DM_DT!$A$7:$A$306,$I2179)=0),"Mã ĐT chưa khai báo! ","")))</f>
        <v/>
      </c>
      <c r="M2179" s="117">
        <f>IF($H2179="","",IF(AND(OR(LEFT($F2179,3)="111",LEFT($F2179,3)="112",LEFT($F2179,3)="113"),OR(LEFT($G2179,3)="111",LEFT($G2179,3)="112",LEFT($G2179,3)="113")),"NB",IF(OR(LEFT($F2179,3)="111",LEFT($F2179,3)="112",LEFT($F2179,3)="113"),"THU",IF(OR(LEFT($G2179,3)="111",LEFT($G2179,3)="112",LEFT($G2179,3)="113"),"CHI",""))))</f>
        <v/>
      </c>
      <c r="N2179" s="117">
        <f>IF($M2179="THU",$G2179,IF($M2179="CHI",$F2179,""))</f>
        <v/>
      </c>
      <c r="O2179" s="117">
        <f>IF(OR($M2179="",$M2179="NB"),"",IF($J2179&lt;&gt;"",TEXT($J2179,"00"),IFERROR(VLOOKUP(LEFT($N2179,4),LCTT_MAP!$A$7:$C$66,IF($M2179="THU",2,3),FALSE()),IFERROR(VLOOKUP(LEFT($N2179,3),LCTT_MAP!$A$7:$C$66,IF($M2179="THU",2,3),FALSE()),IFERROR(VLOOKUP(LEFT($N2179,2),LCTT_MAP!$A$7:$C$66,IF($M2179="THU",2,3),FALSE()),IFERROR(VLOOKUP(LEFT($N2179,1),LCTT_MAP!$A$7:$C$66,IF($M2179="THU",2,3),FALSE()),IF($M2179="THU","06","07")))))))</f>
        <v/>
      </c>
      <c r="P2179" s="117">
        <f>P2178+IF(AND($H2179&lt;&gt;"",OR(LEFT($F2179,LEN(SC_TK))=SC_TK,LEFT($G2179,LEN(SC_TK))=SC_TK)),1,0)</f>
        <v/>
      </c>
    </row>
    <row r="2180" ht="15" customHeight="1" s="78">
      <c r="A2180" s="95">
        <f>IF($H2180="","",ROW()-6)</f>
        <v/>
      </c>
      <c r="B2180" s="114" t="n"/>
      <c r="C2180" s="102" t="n"/>
      <c r="D2180" s="114" t="n"/>
      <c r="E2180" s="103" t="n"/>
      <c r="F2180" s="102" t="n"/>
      <c r="G2180" s="102" t="n"/>
      <c r="H2180" s="115" t="n"/>
      <c r="I2180" s="102" t="n"/>
      <c r="J2180" s="102" t="n"/>
      <c r="K2180" s="103" t="n"/>
      <c r="L2180" s="116">
        <f>IF($H2180="","",TRIM(IF(COUNTIF(DMTK!$A$7:$A$250,$F2180)=0,"TK Nợ sai! ","")&amp;IF(COUNTIF(DMTK!$A$7:$A$250,$G2180)=0,"TK Có sai! ","")&amp;IF(N($H2180)&lt;=0,"Tiền phải &gt; 0! ","")&amp;IF($B2180="","Thiếu ngày! ","")&amp;IF(AND(OR(LEFT($F2180,3)="131",LEFT($G2180,3)="131",LEFT($F2180,3)="331",LEFT($G2180,3)="331"),$I2180=""),"Thiếu Mã ĐT! ","")&amp;IF(AND($I2180&lt;&gt;"",COUNTIF(DM_DT!$A$7:$A$306,$I2180)=0),"Mã ĐT chưa khai báo! ","")))</f>
        <v/>
      </c>
      <c r="M2180" s="117">
        <f>IF($H2180="","",IF(AND(OR(LEFT($F2180,3)="111",LEFT($F2180,3)="112",LEFT($F2180,3)="113"),OR(LEFT($G2180,3)="111",LEFT($G2180,3)="112",LEFT($G2180,3)="113")),"NB",IF(OR(LEFT($F2180,3)="111",LEFT($F2180,3)="112",LEFT($F2180,3)="113"),"THU",IF(OR(LEFT($G2180,3)="111",LEFT($G2180,3)="112",LEFT($G2180,3)="113"),"CHI",""))))</f>
        <v/>
      </c>
      <c r="N2180" s="117">
        <f>IF($M2180="THU",$G2180,IF($M2180="CHI",$F2180,""))</f>
        <v/>
      </c>
      <c r="O2180" s="117">
        <f>IF(OR($M2180="",$M2180="NB"),"",IF($J2180&lt;&gt;"",TEXT($J2180,"00"),IFERROR(VLOOKUP(LEFT($N2180,4),LCTT_MAP!$A$7:$C$66,IF($M2180="THU",2,3),FALSE()),IFERROR(VLOOKUP(LEFT($N2180,3),LCTT_MAP!$A$7:$C$66,IF($M2180="THU",2,3),FALSE()),IFERROR(VLOOKUP(LEFT($N2180,2),LCTT_MAP!$A$7:$C$66,IF($M2180="THU",2,3),FALSE()),IFERROR(VLOOKUP(LEFT($N2180,1),LCTT_MAP!$A$7:$C$66,IF($M2180="THU",2,3),FALSE()),IF($M2180="THU","06","07")))))))</f>
        <v/>
      </c>
      <c r="P2180" s="117">
        <f>P2179+IF(AND($H2180&lt;&gt;"",OR(LEFT($F2180,LEN(SC_TK))=SC_TK,LEFT($G2180,LEN(SC_TK))=SC_TK)),1,0)</f>
        <v/>
      </c>
    </row>
    <row r="2181" ht="15" customHeight="1" s="78">
      <c r="A2181" s="95">
        <f>IF($H2181="","",ROW()-6)</f>
        <v/>
      </c>
      <c r="B2181" s="114" t="n"/>
      <c r="C2181" s="102" t="n"/>
      <c r="D2181" s="114" t="n"/>
      <c r="E2181" s="103" t="n"/>
      <c r="F2181" s="102" t="n"/>
      <c r="G2181" s="102" t="n"/>
      <c r="H2181" s="115" t="n"/>
      <c r="I2181" s="102" t="n"/>
      <c r="J2181" s="102" t="n"/>
      <c r="K2181" s="103" t="n"/>
      <c r="L2181" s="116">
        <f>IF($H2181="","",TRIM(IF(COUNTIF(DMTK!$A$7:$A$250,$F2181)=0,"TK Nợ sai! ","")&amp;IF(COUNTIF(DMTK!$A$7:$A$250,$G2181)=0,"TK Có sai! ","")&amp;IF(N($H2181)&lt;=0,"Tiền phải &gt; 0! ","")&amp;IF($B2181="","Thiếu ngày! ","")&amp;IF(AND(OR(LEFT($F2181,3)="131",LEFT($G2181,3)="131",LEFT($F2181,3)="331",LEFT($G2181,3)="331"),$I2181=""),"Thiếu Mã ĐT! ","")&amp;IF(AND($I2181&lt;&gt;"",COUNTIF(DM_DT!$A$7:$A$306,$I2181)=0),"Mã ĐT chưa khai báo! ","")))</f>
        <v/>
      </c>
      <c r="M2181" s="117">
        <f>IF($H2181="","",IF(AND(OR(LEFT($F2181,3)="111",LEFT($F2181,3)="112",LEFT($F2181,3)="113"),OR(LEFT($G2181,3)="111",LEFT($G2181,3)="112",LEFT($G2181,3)="113")),"NB",IF(OR(LEFT($F2181,3)="111",LEFT($F2181,3)="112",LEFT($F2181,3)="113"),"THU",IF(OR(LEFT($G2181,3)="111",LEFT($G2181,3)="112",LEFT($G2181,3)="113"),"CHI",""))))</f>
        <v/>
      </c>
      <c r="N2181" s="117">
        <f>IF($M2181="THU",$G2181,IF($M2181="CHI",$F2181,""))</f>
        <v/>
      </c>
      <c r="O2181" s="117">
        <f>IF(OR($M2181="",$M2181="NB"),"",IF($J2181&lt;&gt;"",TEXT($J2181,"00"),IFERROR(VLOOKUP(LEFT($N2181,4),LCTT_MAP!$A$7:$C$66,IF($M2181="THU",2,3),FALSE()),IFERROR(VLOOKUP(LEFT($N2181,3),LCTT_MAP!$A$7:$C$66,IF($M2181="THU",2,3),FALSE()),IFERROR(VLOOKUP(LEFT($N2181,2),LCTT_MAP!$A$7:$C$66,IF($M2181="THU",2,3),FALSE()),IFERROR(VLOOKUP(LEFT($N2181,1),LCTT_MAP!$A$7:$C$66,IF($M2181="THU",2,3),FALSE()),IF($M2181="THU","06","07")))))))</f>
        <v/>
      </c>
      <c r="P2181" s="117">
        <f>P2180+IF(AND($H2181&lt;&gt;"",OR(LEFT($F2181,LEN(SC_TK))=SC_TK,LEFT($G2181,LEN(SC_TK))=SC_TK)),1,0)</f>
        <v/>
      </c>
    </row>
    <row r="2182" ht="15" customHeight="1" s="78">
      <c r="A2182" s="95">
        <f>IF($H2182="","",ROW()-6)</f>
        <v/>
      </c>
      <c r="B2182" s="114" t="n"/>
      <c r="C2182" s="102" t="n"/>
      <c r="D2182" s="114" t="n"/>
      <c r="E2182" s="103" t="n"/>
      <c r="F2182" s="102" t="n"/>
      <c r="G2182" s="102" t="n"/>
      <c r="H2182" s="115" t="n"/>
      <c r="I2182" s="102" t="n"/>
      <c r="J2182" s="102" t="n"/>
      <c r="K2182" s="103" t="n"/>
      <c r="L2182" s="116">
        <f>IF($H2182="","",TRIM(IF(COUNTIF(DMTK!$A$7:$A$250,$F2182)=0,"TK Nợ sai! ","")&amp;IF(COUNTIF(DMTK!$A$7:$A$250,$G2182)=0,"TK Có sai! ","")&amp;IF(N($H2182)&lt;=0,"Tiền phải &gt; 0! ","")&amp;IF($B2182="","Thiếu ngày! ","")&amp;IF(AND(OR(LEFT($F2182,3)="131",LEFT($G2182,3)="131",LEFT($F2182,3)="331",LEFT($G2182,3)="331"),$I2182=""),"Thiếu Mã ĐT! ","")&amp;IF(AND($I2182&lt;&gt;"",COUNTIF(DM_DT!$A$7:$A$306,$I2182)=0),"Mã ĐT chưa khai báo! ","")))</f>
        <v/>
      </c>
      <c r="M2182" s="117">
        <f>IF($H2182="","",IF(AND(OR(LEFT($F2182,3)="111",LEFT($F2182,3)="112",LEFT($F2182,3)="113"),OR(LEFT($G2182,3)="111",LEFT($G2182,3)="112",LEFT($G2182,3)="113")),"NB",IF(OR(LEFT($F2182,3)="111",LEFT($F2182,3)="112",LEFT($F2182,3)="113"),"THU",IF(OR(LEFT($G2182,3)="111",LEFT($G2182,3)="112",LEFT($G2182,3)="113"),"CHI",""))))</f>
        <v/>
      </c>
      <c r="N2182" s="117">
        <f>IF($M2182="THU",$G2182,IF($M2182="CHI",$F2182,""))</f>
        <v/>
      </c>
      <c r="O2182" s="117">
        <f>IF(OR($M2182="",$M2182="NB"),"",IF($J2182&lt;&gt;"",TEXT($J2182,"00"),IFERROR(VLOOKUP(LEFT($N2182,4),LCTT_MAP!$A$7:$C$66,IF($M2182="THU",2,3),FALSE()),IFERROR(VLOOKUP(LEFT($N2182,3),LCTT_MAP!$A$7:$C$66,IF($M2182="THU",2,3),FALSE()),IFERROR(VLOOKUP(LEFT($N2182,2),LCTT_MAP!$A$7:$C$66,IF($M2182="THU",2,3),FALSE()),IFERROR(VLOOKUP(LEFT($N2182,1),LCTT_MAP!$A$7:$C$66,IF($M2182="THU",2,3),FALSE()),IF($M2182="THU","06","07")))))))</f>
        <v/>
      </c>
      <c r="P2182" s="117">
        <f>P2181+IF(AND($H2182&lt;&gt;"",OR(LEFT($F2182,LEN(SC_TK))=SC_TK,LEFT($G2182,LEN(SC_TK))=SC_TK)),1,0)</f>
        <v/>
      </c>
    </row>
    <row r="2183" ht="15" customHeight="1" s="78">
      <c r="A2183" s="95">
        <f>IF($H2183="","",ROW()-6)</f>
        <v/>
      </c>
      <c r="B2183" s="114" t="n"/>
      <c r="C2183" s="102" t="n"/>
      <c r="D2183" s="114" t="n"/>
      <c r="E2183" s="103" t="n"/>
      <c r="F2183" s="102" t="n"/>
      <c r="G2183" s="102" t="n"/>
      <c r="H2183" s="115" t="n"/>
      <c r="I2183" s="102" t="n"/>
      <c r="J2183" s="102" t="n"/>
      <c r="K2183" s="103" t="n"/>
      <c r="L2183" s="116">
        <f>IF($H2183="","",TRIM(IF(COUNTIF(DMTK!$A$7:$A$250,$F2183)=0,"TK Nợ sai! ","")&amp;IF(COUNTIF(DMTK!$A$7:$A$250,$G2183)=0,"TK Có sai! ","")&amp;IF(N($H2183)&lt;=0,"Tiền phải &gt; 0! ","")&amp;IF($B2183="","Thiếu ngày! ","")&amp;IF(AND(OR(LEFT($F2183,3)="131",LEFT($G2183,3)="131",LEFT($F2183,3)="331",LEFT($G2183,3)="331"),$I2183=""),"Thiếu Mã ĐT! ","")&amp;IF(AND($I2183&lt;&gt;"",COUNTIF(DM_DT!$A$7:$A$306,$I2183)=0),"Mã ĐT chưa khai báo! ","")))</f>
        <v/>
      </c>
      <c r="M2183" s="117">
        <f>IF($H2183="","",IF(AND(OR(LEFT($F2183,3)="111",LEFT($F2183,3)="112",LEFT($F2183,3)="113"),OR(LEFT($G2183,3)="111",LEFT($G2183,3)="112",LEFT($G2183,3)="113")),"NB",IF(OR(LEFT($F2183,3)="111",LEFT($F2183,3)="112",LEFT($F2183,3)="113"),"THU",IF(OR(LEFT($G2183,3)="111",LEFT($G2183,3)="112",LEFT($G2183,3)="113"),"CHI",""))))</f>
        <v/>
      </c>
      <c r="N2183" s="117">
        <f>IF($M2183="THU",$G2183,IF($M2183="CHI",$F2183,""))</f>
        <v/>
      </c>
      <c r="O2183" s="117">
        <f>IF(OR($M2183="",$M2183="NB"),"",IF($J2183&lt;&gt;"",TEXT($J2183,"00"),IFERROR(VLOOKUP(LEFT($N2183,4),LCTT_MAP!$A$7:$C$66,IF($M2183="THU",2,3),FALSE()),IFERROR(VLOOKUP(LEFT($N2183,3),LCTT_MAP!$A$7:$C$66,IF($M2183="THU",2,3),FALSE()),IFERROR(VLOOKUP(LEFT($N2183,2),LCTT_MAP!$A$7:$C$66,IF($M2183="THU",2,3),FALSE()),IFERROR(VLOOKUP(LEFT($N2183,1),LCTT_MAP!$A$7:$C$66,IF($M2183="THU",2,3),FALSE()),IF($M2183="THU","06","07")))))))</f>
        <v/>
      </c>
      <c r="P2183" s="117">
        <f>P2182+IF(AND($H2183&lt;&gt;"",OR(LEFT($F2183,LEN(SC_TK))=SC_TK,LEFT($G2183,LEN(SC_TK))=SC_TK)),1,0)</f>
        <v/>
      </c>
    </row>
    <row r="2184" ht="15" customHeight="1" s="78">
      <c r="A2184" s="95">
        <f>IF($H2184="","",ROW()-6)</f>
        <v/>
      </c>
      <c r="B2184" s="114" t="n"/>
      <c r="C2184" s="102" t="n"/>
      <c r="D2184" s="114" t="n"/>
      <c r="E2184" s="103" t="n"/>
      <c r="F2184" s="102" t="n"/>
      <c r="G2184" s="102" t="n"/>
      <c r="H2184" s="115" t="n"/>
      <c r="I2184" s="102" t="n"/>
      <c r="J2184" s="102" t="n"/>
      <c r="K2184" s="103" t="n"/>
      <c r="L2184" s="116">
        <f>IF($H2184="","",TRIM(IF(COUNTIF(DMTK!$A$7:$A$250,$F2184)=0,"TK Nợ sai! ","")&amp;IF(COUNTIF(DMTK!$A$7:$A$250,$G2184)=0,"TK Có sai! ","")&amp;IF(N($H2184)&lt;=0,"Tiền phải &gt; 0! ","")&amp;IF($B2184="","Thiếu ngày! ","")&amp;IF(AND(OR(LEFT($F2184,3)="131",LEFT($G2184,3)="131",LEFT($F2184,3)="331",LEFT($G2184,3)="331"),$I2184=""),"Thiếu Mã ĐT! ","")&amp;IF(AND($I2184&lt;&gt;"",COUNTIF(DM_DT!$A$7:$A$306,$I2184)=0),"Mã ĐT chưa khai báo! ","")))</f>
        <v/>
      </c>
      <c r="M2184" s="117">
        <f>IF($H2184="","",IF(AND(OR(LEFT($F2184,3)="111",LEFT($F2184,3)="112",LEFT($F2184,3)="113"),OR(LEFT($G2184,3)="111",LEFT($G2184,3)="112",LEFT($G2184,3)="113")),"NB",IF(OR(LEFT($F2184,3)="111",LEFT($F2184,3)="112",LEFT($F2184,3)="113"),"THU",IF(OR(LEFT($G2184,3)="111",LEFT($G2184,3)="112",LEFT($G2184,3)="113"),"CHI",""))))</f>
        <v/>
      </c>
      <c r="N2184" s="117">
        <f>IF($M2184="THU",$G2184,IF($M2184="CHI",$F2184,""))</f>
        <v/>
      </c>
      <c r="O2184" s="117">
        <f>IF(OR($M2184="",$M2184="NB"),"",IF($J2184&lt;&gt;"",TEXT($J2184,"00"),IFERROR(VLOOKUP(LEFT($N2184,4),LCTT_MAP!$A$7:$C$66,IF($M2184="THU",2,3),FALSE()),IFERROR(VLOOKUP(LEFT($N2184,3),LCTT_MAP!$A$7:$C$66,IF($M2184="THU",2,3),FALSE()),IFERROR(VLOOKUP(LEFT($N2184,2),LCTT_MAP!$A$7:$C$66,IF($M2184="THU",2,3),FALSE()),IFERROR(VLOOKUP(LEFT($N2184,1),LCTT_MAP!$A$7:$C$66,IF($M2184="THU",2,3),FALSE()),IF($M2184="THU","06","07")))))))</f>
        <v/>
      </c>
      <c r="P2184" s="117">
        <f>P2183+IF(AND($H2184&lt;&gt;"",OR(LEFT($F2184,LEN(SC_TK))=SC_TK,LEFT($G2184,LEN(SC_TK))=SC_TK)),1,0)</f>
        <v/>
      </c>
    </row>
    <row r="2185" ht="15" customHeight="1" s="78">
      <c r="A2185" s="95">
        <f>IF($H2185="","",ROW()-6)</f>
        <v/>
      </c>
      <c r="B2185" s="114" t="n"/>
      <c r="C2185" s="102" t="n"/>
      <c r="D2185" s="114" t="n"/>
      <c r="E2185" s="103" t="n"/>
      <c r="F2185" s="102" t="n"/>
      <c r="G2185" s="102" t="n"/>
      <c r="H2185" s="115" t="n"/>
      <c r="I2185" s="102" t="n"/>
      <c r="J2185" s="102" t="n"/>
      <c r="K2185" s="103" t="n"/>
      <c r="L2185" s="116">
        <f>IF($H2185="","",TRIM(IF(COUNTIF(DMTK!$A$7:$A$250,$F2185)=0,"TK Nợ sai! ","")&amp;IF(COUNTIF(DMTK!$A$7:$A$250,$G2185)=0,"TK Có sai! ","")&amp;IF(N($H2185)&lt;=0,"Tiền phải &gt; 0! ","")&amp;IF($B2185="","Thiếu ngày! ","")&amp;IF(AND(OR(LEFT($F2185,3)="131",LEFT($G2185,3)="131",LEFT($F2185,3)="331",LEFT($G2185,3)="331"),$I2185=""),"Thiếu Mã ĐT! ","")&amp;IF(AND($I2185&lt;&gt;"",COUNTIF(DM_DT!$A$7:$A$306,$I2185)=0),"Mã ĐT chưa khai báo! ","")))</f>
        <v/>
      </c>
      <c r="M2185" s="117">
        <f>IF($H2185="","",IF(AND(OR(LEFT($F2185,3)="111",LEFT($F2185,3)="112",LEFT($F2185,3)="113"),OR(LEFT($G2185,3)="111",LEFT($G2185,3)="112",LEFT($G2185,3)="113")),"NB",IF(OR(LEFT($F2185,3)="111",LEFT($F2185,3)="112",LEFT($F2185,3)="113"),"THU",IF(OR(LEFT($G2185,3)="111",LEFT($G2185,3)="112",LEFT($G2185,3)="113"),"CHI",""))))</f>
        <v/>
      </c>
      <c r="N2185" s="117">
        <f>IF($M2185="THU",$G2185,IF($M2185="CHI",$F2185,""))</f>
        <v/>
      </c>
      <c r="O2185" s="117">
        <f>IF(OR($M2185="",$M2185="NB"),"",IF($J2185&lt;&gt;"",TEXT($J2185,"00"),IFERROR(VLOOKUP(LEFT($N2185,4),LCTT_MAP!$A$7:$C$66,IF($M2185="THU",2,3),FALSE()),IFERROR(VLOOKUP(LEFT($N2185,3),LCTT_MAP!$A$7:$C$66,IF($M2185="THU",2,3),FALSE()),IFERROR(VLOOKUP(LEFT($N2185,2),LCTT_MAP!$A$7:$C$66,IF($M2185="THU",2,3),FALSE()),IFERROR(VLOOKUP(LEFT($N2185,1),LCTT_MAP!$A$7:$C$66,IF($M2185="THU",2,3),FALSE()),IF($M2185="THU","06","07")))))))</f>
        <v/>
      </c>
      <c r="P2185" s="117">
        <f>P2184+IF(AND($H2185&lt;&gt;"",OR(LEFT($F2185,LEN(SC_TK))=SC_TK,LEFT($G2185,LEN(SC_TK))=SC_TK)),1,0)</f>
        <v/>
      </c>
    </row>
    <row r="2186" ht="15" customHeight="1" s="78">
      <c r="A2186" s="95">
        <f>IF($H2186="","",ROW()-6)</f>
        <v/>
      </c>
      <c r="B2186" s="114" t="n"/>
      <c r="C2186" s="102" t="n"/>
      <c r="D2186" s="114" t="n"/>
      <c r="E2186" s="103" t="n"/>
      <c r="F2186" s="102" t="n"/>
      <c r="G2186" s="102" t="n"/>
      <c r="H2186" s="115" t="n"/>
      <c r="I2186" s="102" t="n"/>
      <c r="J2186" s="102" t="n"/>
      <c r="K2186" s="103" t="n"/>
      <c r="L2186" s="116">
        <f>IF($H2186="","",TRIM(IF(COUNTIF(DMTK!$A$7:$A$250,$F2186)=0,"TK Nợ sai! ","")&amp;IF(COUNTIF(DMTK!$A$7:$A$250,$G2186)=0,"TK Có sai! ","")&amp;IF(N($H2186)&lt;=0,"Tiền phải &gt; 0! ","")&amp;IF($B2186="","Thiếu ngày! ","")&amp;IF(AND(OR(LEFT($F2186,3)="131",LEFT($G2186,3)="131",LEFT($F2186,3)="331",LEFT($G2186,3)="331"),$I2186=""),"Thiếu Mã ĐT! ","")&amp;IF(AND($I2186&lt;&gt;"",COUNTIF(DM_DT!$A$7:$A$306,$I2186)=0),"Mã ĐT chưa khai báo! ","")))</f>
        <v/>
      </c>
      <c r="M2186" s="117">
        <f>IF($H2186="","",IF(AND(OR(LEFT($F2186,3)="111",LEFT($F2186,3)="112",LEFT($F2186,3)="113"),OR(LEFT($G2186,3)="111",LEFT($G2186,3)="112",LEFT($G2186,3)="113")),"NB",IF(OR(LEFT($F2186,3)="111",LEFT($F2186,3)="112",LEFT($F2186,3)="113"),"THU",IF(OR(LEFT($G2186,3)="111",LEFT($G2186,3)="112",LEFT($G2186,3)="113"),"CHI",""))))</f>
        <v/>
      </c>
      <c r="N2186" s="117">
        <f>IF($M2186="THU",$G2186,IF($M2186="CHI",$F2186,""))</f>
        <v/>
      </c>
      <c r="O2186" s="117">
        <f>IF(OR($M2186="",$M2186="NB"),"",IF($J2186&lt;&gt;"",TEXT($J2186,"00"),IFERROR(VLOOKUP(LEFT($N2186,4),LCTT_MAP!$A$7:$C$66,IF($M2186="THU",2,3),FALSE()),IFERROR(VLOOKUP(LEFT($N2186,3),LCTT_MAP!$A$7:$C$66,IF($M2186="THU",2,3),FALSE()),IFERROR(VLOOKUP(LEFT($N2186,2),LCTT_MAP!$A$7:$C$66,IF($M2186="THU",2,3),FALSE()),IFERROR(VLOOKUP(LEFT($N2186,1),LCTT_MAP!$A$7:$C$66,IF($M2186="THU",2,3),FALSE()),IF($M2186="THU","06","07")))))))</f>
        <v/>
      </c>
      <c r="P2186" s="117">
        <f>P2185+IF(AND($H2186&lt;&gt;"",OR(LEFT($F2186,LEN(SC_TK))=SC_TK,LEFT($G2186,LEN(SC_TK))=SC_TK)),1,0)</f>
        <v/>
      </c>
    </row>
    <row r="2187" ht="15" customHeight="1" s="78">
      <c r="A2187" s="95">
        <f>IF($H2187="","",ROW()-6)</f>
        <v/>
      </c>
      <c r="B2187" s="114" t="n"/>
      <c r="C2187" s="102" t="n"/>
      <c r="D2187" s="114" t="n"/>
      <c r="E2187" s="103" t="n"/>
      <c r="F2187" s="102" t="n"/>
      <c r="G2187" s="102" t="n"/>
      <c r="H2187" s="115" t="n"/>
      <c r="I2187" s="102" t="n"/>
      <c r="J2187" s="102" t="n"/>
      <c r="K2187" s="103" t="n"/>
      <c r="L2187" s="116">
        <f>IF($H2187="","",TRIM(IF(COUNTIF(DMTK!$A$7:$A$250,$F2187)=0,"TK Nợ sai! ","")&amp;IF(COUNTIF(DMTK!$A$7:$A$250,$G2187)=0,"TK Có sai! ","")&amp;IF(N($H2187)&lt;=0,"Tiền phải &gt; 0! ","")&amp;IF($B2187="","Thiếu ngày! ","")&amp;IF(AND(OR(LEFT($F2187,3)="131",LEFT($G2187,3)="131",LEFT($F2187,3)="331",LEFT($G2187,3)="331"),$I2187=""),"Thiếu Mã ĐT! ","")&amp;IF(AND($I2187&lt;&gt;"",COUNTIF(DM_DT!$A$7:$A$306,$I2187)=0),"Mã ĐT chưa khai báo! ","")))</f>
        <v/>
      </c>
      <c r="M2187" s="117">
        <f>IF($H2187="","",IF(AND(OR(LEFT($F2187,3)="111",LEFT($F2187,3)="112",LEFT($F2187,3)="113"),OR(LEFT($G2187,3)="111",LEFT($G2187,3)="112",LEFT($G2187,3)="113")),"NB",IF(OR(LEFT($F2187,3)="111",LEFT($F2187,3)="112",LEFT($F2187,3)="113"),"THU",IF(OR(LEFT($G2187,3)="111",LEFT($G2187,3)="112",LEFT($G2187,3)="113"),"CHI",""))))</f>
        <v/>
      </c>
      <c r="N2187" s="117">
        <f>IF($M2187="THU",$G2187,IF($M2187="CHI",$F2187,""))</f>
        <v/>
      </c>
      <c r="O2187" s="117">
        <f>IF(OR($M2187="",$M2187="NB"),"",IF($J2187&lt;&gt;"",TEXT($J2187,"00"),IFERROR(VLOOKUP(LEFT($N2187,4),LCTT_MAP!$A$7:$C$66,IF($M2187="THU",2,3),FALSE()),IFERROR(VLOOKUP(LEFT($N2187,3),LCTT_MAP!$A$7:$C$66,IF($M2187="THU",2,3),FALSE()),IFERROR(VLOOKUP(LEFT($N2187,2),LCTT_MAP!$A$7:$C$66,IF($M2187="THU",2,3),FALSE()),IFERROR(VLOOKUP(LEFT($N2187,1),LCTT_MAP!$A$7:$C$66,IF($M2187="THU",2,3),FALSE()),IF($M2187="THU","06","07")))))))</f>
        <v/>
      </c>
      <c r="P2187" s="117">
        <f>P2186+IF(AND($H2187&lt;&gt;"",OR(LEFT($F2187,LEN(SC_TK))=SC_TK,LEFT($G2187,LEN(SC_TK))=SC_TK)),1,0)</f>
        <v/>
      </c>
    </row>
    <row r="2188" ht="15" customHeight="1" s="78">
      <c r="A2188" s="95">
        <f>IF($H2188="","",ROW()-6)</f>
        <v/>
      </c>
      <c r="B2188" s="114" t="n"/>
      <c r="C2188" s="102" t="n"/>
      <c r="D2188" s="114" t="n"/>
      <c r="E2188" s="103" t="n"/>
      <c r="F2188" s="102" t="n"/>
      <c r="G2188" s="102" t="n"/>
      <c r="H2188" s="115" t="n"/>
      <c r="I2188" s="102" t="n"/>
      <c r="J2188" s="102" t="n"/>
      <c r="K2188" s="103" t="n"/>
      <c r="L2188" s="116">
        <f>IF($H2188="","",TRIM(IF(COUNTIF(DMTK!$A$7:$A$250,$F2188)=0,"TK Nợ sai! ","")&amp;IF(COUNTIF(DMTK!$A$7:$A$250,$G2188)=0,"TK Có sai! ","")&amp;IF(N($H2188)&lt;=0,"Tiền phải &gt; 0! ","")&amp;IF($B2188="","Thiếu ngày! ","")&amp;IF(AND(OR(LEFT($F2188,3)="131",LEFT($G2188,3)="131",LEFT($F2188,3)="331",LEFT($G2188,3)="331"),$I2188=""),"Thiếu Mã ĐT! ","")&amp;IF(AND($I2188&lt;&gt;"",COUNTIF(DM_DT!$A$7:$A$306,$I2188)=0),"Mã ĐT chưa khai báo! ","")))</f>
        <v/>
      </c>
      <c r="M2188" s="117">
        <f>IF($H2188="","",IF(AND(OR(LEFT($F2188,3)="111",LEFT($F2188,3)="112",LEFT($F2188,3)="113"),OR(LEFT($G2188,3)="111",LEFT($G2188,3)="112",LEFT($G2188,3)="113")),"NB",IF(OR(LEFT($F2188,3)="111",LEFT($F2188,3)="112",LEFT($F2188,3)="113"),"THU",IF(OR(LEFT($G2188,3)="111",LEFT($G2188,3)="112",LEFT($G2188,3)="113"),"CHI",""))))</f>
        <v/>
      </c>
      <c r="N2188" s="117">
        <f>IF($M2188="THU",$G2188,IF($M2188="CHI",$F2188,""))</f>
        <v/>
      </c>
      <c r="O2188" s="117">
        <f>IF(OR($M2188="",$M2188="NB"),"",IF($J2188&lt;&gt;"",TEXT($J2188,"00"),IFERROR(VLOOKUP(LEFT($N2188,4),LCTT_MAP!$A$7:$C$66,IF($M2188="THU",2,3),FALSE()),IFERROR(VLOOKUP(LEFT($N2188,3),LCTT_MAP!$A$7:$C$66,IF($M2188="THU",2,3),FALSE()),IFERROR(VLOOKUP(LEFT($N2188,2),LCTT_MAP!$A$7:$C$66,IF($M2188="THU",2,3),FALSE()),IFERROR(VLOOKUP(LEFT($N2188,1),LCTT_MAP!$A$7:$C$66,IF($M2188="THU",2,3),FALSE()),IF($M2188="THU","06","07")))))))</f>
        <v/>
      </c>
      <c r="P2188" s="117">
        <f>P2187+IF(AND($H2188&lt;&gt;"",OR(LEFT($F2188,LEN(SC_TK))=SC_TK,LEFT($G2188,LEN(SC_TK))=SC_TK)),1,0)</f>
        <v/>
      </c>
    </row>
    <row r="2189" ht="15" customHeight="1" s="78">
      <c r="A2189" s="95">
        <f>IF($H2189="","",ROW()-6)</f>
        <v/>
      </c>
      <c r="B2189" s="114" t="n"/>
      <c r="C2189" s="102" t="n"/>
      <c r="D2189" s="114" t="n"/>
      <c r="E2189" s="103" t="n"/>
      <c r="F2189" s="102" t="n"/>
      <c r="G2189" s="102" t="n"/>
      <c r="H2189" s="115" t="n"/>
      <c r="I2189" s="102" t="n"/>
      <c r="J2189" s="102" t="n"/>
      <c r="K2189" s="103" t="n"/>
      <c r="L2189" s="116">
        <f>IF($H2189="","",TRIM(IF(COUNTIF(DMTK!$A$7:$A$250,$F2189)=0,"TK Nợ sai! ","")&amp;IF(COUNTIF(DMTK!$A$7:$A$250,$G2189)=0,"TK Có sai! ","")&amp;IF(N($H2189)&lt;=0,"Tiền phải &gt; 0! ","")&amp;IF($B2189="","Thiếu ngày! ","")&amp;IF(AND(OR(LEFT($F2189,3)="131",LEFT($G2189,3)="131",LEFT($F2189,3)="331",LEFT($G2189,3)="331"),$I2189=""),"Thiếu Mã ĐT! ","")&amp;IF(AND($I2189&lt;&gt;"",COUNTIF(DM_DT!$A$7:$A$306,$I2189)=0),"Mã ĐT chưa khai báo! ","")))</f>
        <v/>
      </c>
      <c r="M2189" s="117">
        <f>IF($H2189="","",IF(AND(OR(LEFT($F2189,3)="111",LEFT($F2189,3)="112",LEFT($F2189,3)="113"),OR(LEFT($G2189,3)="111",LEFT($G2189,3)="112",LEFT($G2189,3)="113")),"NB",IF(OR(LEFT($F2189,3)="111",LEFT($F2189,3)="112",LEFT($F2189,3)="113"),"THU",IF(OR(LEFT($G2189,3)="111",LEFT($G2189,3)="112",LEFT($G2189,3)="113"),"CHI",""))))</f>
        <v/>
      </c>
      <c r="N2189" s="117">
        <f>IF($M2189="THU",$G2189,IF($M2189="CHI",$F2189,""))</f>
        <v/>
      </c>
      <c r="O2189" s="117">
        <f>IF(OR($M2189="",$M2189="NB"),"",IF($J2189&lt;&gt;"",TEXT($J2189,"00"),IFERROR(VLOOKUP(LEFT($N2189,4),LCTT_MAP!$A$7:$C$66,IF($M2189="THU",2,3),FALSE()),IFERROR(VLOOKUP(LEFT($N2189,3),LCTT_MAP!$A$7:$C$66,IF($M2189="THU",2,3),FALSE()),IFERROR(VLOOKUP(LEFT($N2189,2),LCTT_MAP!$A$7:$C$66,IF($M2189="THU",2,3),FALSE()),IFERROR(VLOOKUP(LEFT($N2189,1),LCTT_MAP!$A$7:$C$66,IF($M2189="THU",2,3),FALSE()),IF($M2189="THU","06","07")))))))</f>
        <v/>
      </c>
      <c r="P2189" s="117">
        <f>P2188+IF(AND($H2189&lt;&gt;"",OR(LEFT($F2189,LEN(SC_TK))=SC_TK,LEFT($G2189,LEN(SC_TK))=SC_TK)),1,0)</f>
        <v/>
      </c>
    </row>
    <row r="2190" ht="15" customHeight="1" s="78">
      <c r="A2190" s="95">
        <f>IF($H2190="","",ROW()-6)</f>
        <v/>
      </c>
      <c r="B2190" s="114" t="n"/>
      <c r="C2190" s="102" t="n"/>
      <c r="D2190" s="114" t="n"/>
      <c r="E2190" s="103" t="n"/>
      <c r="F2190" s="102" t="n"/>
      <c r="G2190" s="102" t="n"/>
      <c r="H2190" s="115" t="n"/>
      <c r="I2190" s="102" t="n"/>
      <c r="J2190" s="102" t="n"/>
      <c r="K2190" s="103" t="n"/>
      <c r="L2190" s="116">
        <f>IF($H2190="","",TRIM(IF(COUNTIF(DMTK!$A$7:$A$250,$F2190)=0,"TK Nợ sai! ","")&amp;IF(COUNTIF(DMTK!$A$7:$A$250,$G2190)=0,"TK Có sai! ","")&amp;IF(N($H2190)&lt;=0,"Tiền phải &gt; 0! ","")&amp;IF($B2190="","Thiếu ngày! ","")&amp;IF(AND(OR(LEFT($F2190,3)="131",LEFT($G2190,3)="131",LEFT($F2190,3)="331",LEFT($G2190,3)="331"),$I2190=""),"Thiếu Mã ĐT! ","")&amp;IF(AND($I2190&lt;&gt;"",COUNTIF(DM_DT!$A$7:$A$306,$I2190)=0),"Mã ĐT chưa khai báo! ","")))</f>
        <v/>
      </c>
      <c r="M2190" s="117">
        <f>IF($H2190="","",IF(AND(OR(LEFT($F2190,3)="111",LEFT($F2190,3)="112",LEFT($F2190,3)="113"),OR(LEFT($G2190,3)="111",LEFT($G2190,3)="112",LEFT($G2190,3)="113")),"NB",IF(OR(LEFT($F2190,3)="111",LEFT($F2190,3)="112",LEFT($F2190,3)="113"),"THU",IF(OR(LEFT($G2190,3)="111",LEFT($G2190,3)="112",LEFT($G2190,3)="113"),"CHI",""))))</f>
        <v/>
      </c>
      <c r="N2190" s="117">
        <f>IF($M2190="THU",$G2190,IF($M2190="CHI",$F2190,""))</f>
        <v/>
      </c>
      <c r="O2190" s="117">
        <f>IF(OR($M2190="",$M2190="NB"),"",IF($J2190&lt;&gt;"",TEXT($J2190,"00"),IFERROR(VLOOKUP(LEFT($N2190,4),LCTT_MAP!$A$7:$C$66,IF($M2190="THU",2,3),FALSE()),IFERROR(VLOOKUP(LEFT($N2190,3),LCTT_MAP!$A$7:$C$66,IF($M2190="THU",2,3),FALSE()),IFERROR(VLOOKUP(LEFT($N2190,2),LCTT_MAP!$A$7:$C$66,IF($M2190="THU",2,3),FALSE()),IFERROR(VLOOKUP(LEFT($N2190,1),LCTT_MAP!$A$7:$C$66,IF($M2190="THU",2,3),FALSE()),IF($M2190="THU","06","07")))))))</f>
        <v/>
      </c>
      <c r="P2190" s="117">
        <f>P2189+IF(AND($H2190&lt;&gt;"",OR(LEFT($F2190,LEN(SC_TK))=SC_TK,LEFT($G2190,LEN(SC_TK))=SC_TK)),1,0)</f>
        <v/>
      </c>
    </row>
    <row r="2191" ht="15" customHeight="1" s="78">
      <c r="A2191" s="95">
        <f>IF($H2191="","",ROW()-6)</f>
        <v/>
      </c>
      <c r="B2191" s="114" t="n"/>
      <c r="C2191" s="102" t="n"/>
      <c r="D2191" s="114" t="n"/>
      <c r="E2191" s="103" t="n"/>
      <c r="F2191" s="102" t="n"/>
      <c r="G2191" s="102" t="n"/>
      <c r="H2191" s="115" t="n"/>
      <c r="I2191" s="102" t="n"/>
      <c r="J2191" s="102" t="n"/>
      <c r="K2191" s="103" t="n"/>
      <c r="L2191" s="116">
        <f>IF($H2191="","",TRIM(IF(COUNTIF(DMTK!$A$7:$A$250,$F2191)=0,"TK Nợ sai! ","")&amp;IF(COUNTIF(DMTK!$A$7:$A$250,$G2191)=0,"TK Có sai! ","")&amp;IF(N($H2191)&lt;=0,"Tiền phải &gt; 0! ","")&amp;IF($B2191="","Thiếu ngày! ","")&amp;IF(AND(OR(LEFT($F2191,3)="131",LEFT($G2191,3)="131",LEFT($F2191,3)="331",LEFT($G2191,3)="331"),$I2191=""),"Thiếu Mã ĐT! ","")&amp;IF(AND($I2191&lt;&gt;"",COUNTIF(DM_DT!$A$7:$A$306,$I2191)=0),"Mã ĐT chưa khai báo! ","")))</f>
        <v/>
      </c>
      <c r="M2191" s="117">
        <f>IF($H2191="","",IF(AND(OR(LEFT($F2191,3)="111",LEFT($F2191,3)="112",LEFT($F2191,3)="113"),OR(LEFT($G2191,3)="111",LEFT($G2191,3)="112",LEFT($G2191,3)="113")),"NB",IF(OR(LEFT($F2191,3)="111",LEFT($F2191,3)="112",LEFT($F2191,3)="113"),"THU",IF(OR(LEFT($G2191,3)="111",LEFT($G2191,3)="112",LEFT($G2191,3)="113"),"CHI",""))))</f>
        <v/>
      </c>
      <c r="N2191" s="117">
        <f>IF($M2191="THU",$G2191,IF($M2191="CHI",$F2191,""))</f>
        <v/>
      </c>
      <c r="O2191" s="117">
        <f>IF(OR($M2191="",$M2191="NB"),"",IF($J2191&lt;&gt;"",TEXT($J2191,"00"),IFERROR(VLOOKUP(LEFT($N2191,4),LCTT_MAP!$A$7:$C$66,IF($M2191="THU",2,3),FALSE()),IFERROR(VLOOKUP(LEFT($N2191,3),LCTT_MAP!$A$7:$C$66,IF($M2191="THU",2,3),FALSE()),IFERROR(VLOOKUP(LEFT($N2191,2),LCTT_MAP!$A$7:$C$66,IF($M2191="THU",2,3),FALSE()),IFERROR(VLOOKUP(LEFT($N2191,1),LCTT_MAP!$A$7:$C$66,IF($M2191="THU",2,3),FALSE()),IF($M2191="THU","06","07")))))))</f>
        <v/>
      </c>
      <c r="P2191" s="117">
        <f>P2190+IF(AND($H2191&lt;&gt;"",OR(LEFT($F2191,LEN(SC_TK))=SC_TK,LEFT($G2191,LEN(SC_TK))=SC_TK)),1,0)</f>
        <v/>
      </c>
    </row>
    <row r="2192" ht="15" customHeight="1" s="78">
      <c r="A2192" s="95">
        <f>IF($H2192="","",ROW()-6)</f>
        <v/>
      </c>
      <c r="B2192" s="114" t="n"/>
      <c r="C2192" s="102" t="n"/>
      <c r="D2192" s="114" t="n"/>
      <c r="E2192" s="103" t="n"/>
      <c r="F2192" s="102" t="n"/>
      <c r="G2192" s="102" t="n"/>
      <c r="H2192" s="115" t="n"/>
      <c r="I2192" s="102" t="n"/>
      <c r="J2192" s="102" t="n"/>
      <c r="K2192" s="103" t="n"/>
      <c r="L2192" s="116">
        <f>IF($H2192="","",TRIM(IF(COUNTIF(DMTK!$A$7:$A$250,$F2192)=0,"TK Nợ sai! ","")&amp;IF(COUNTIF(DMTK!$A$7:$A$250,$G2192)=0,"TK Có sai! ","")&amp;IF(N($H2192)&lt;=0,"Tiền phải &gt; 0! ","")&amp;IF($B2192="","Thiếu ngày! ","")&amp;IF(AND(OR(LEFT($F2192,3)="131",LEFT($G2192,3)="131",LEFT($F2192,3)="331",LEFT($G2192,3)="331"),$I2192=""),"Thiếu Mã ĐT! ","")&amp;IF(AND($I2192&lt;&gt;"",COUNTIF(DM_DT!$A$7:$A$306,$I2192)=0),"Mã ĐT chưa khai báo! ","")))</f>
        <v/>
      </c>
      <c r="M2192" s="117">
        <f>IF($H2192="","",IF(AND(OR(LEFT($F2192,3)="111",LEFT($F2192,3)="112",LEFT($F2192,3)="113"),OR(LEFT($G2192,3)="111",LEFT($G2192,3)="112",LEFT($G2192,3)="113")),"NB",IF(OR(LEFT($F2192,3)="111",LEFT($F2192,3)="112",LEFT($F2192,3)="113"),"THU",IF(OR(LEFT($G2192,3)="111",LEFT($G2192,3)="112",LEFT($G2192,3)="113"),"CHI",""))))</f>
        <v/>
      </c>
      <c r="N2192" s="117">
        <f>IF($M2192="THU",$G2192,IF($M2192="CHI",$F2192,""))</f>
        <v/>
      </c>
      <c r="O2192" s="117">
        <f>IF(OR($M2192="",$M2192="NB"),"",IF($J2192&lt;&gt;"",TEXT($J2192,"00"),IFERROR(VLOOKUP(LEFT($N2192,4),LCTT_MAP!$A$7:$C$66,IF($M2192="THU",2,3),FALSE()),IFERROR(VLOOKUP(LEFT($N2192,3),LCTT_MAP!$A$7:$C$66,IF($M2192="THU",2,3),FALSE()),IFERROR(VLOOKUP(LEFT($N2192,2),LCTT_MAP!$A$7:$C$66,IF($M2192="THU",2,3),FALSE()),IFERROR(VLOOKUP(LEFT($N2192,1),LCTT_MAP!$A$7:$C$66,IF($M2192="THU",2,3),FALSE()),IF($M2192="THU","06","07")))))))</f>
        <v/>
      </c>
      <c r="P2192" s="117">
        <f>P2191+IF(AND($H2192&lt;&gt;"",OR(LEFT($F2192,LEN(SC_TK))=SC_TK,LEFT($G2192,LEN(SC_TK))=SC_TK)),1,0)</f>
        <v/>
      </c>
    </row>
    <row r="2193" ht="15" customHeight="1" s="78">
      <c r="A2193" s="95">
        <f>IF($H2193="","",ROW()-6)</f>
        <v/>
      </c>
      <c r="B2193" s="114" t="n"/>
      <c r="C2193" s="102" t="n"/>
      <c r="D2193" s="114" t="n"/>
      <c r="E2193" s="103" t="n"/>
      <c r="F2193" s="102" t="n"/>
      <c r="G2193" s="102" t="n"/>
      <c r="H2193" s="115" t="n"/>
      <c r="I2193" s="102" t="n"/>
      <c r="J2193" s="102" t="n"/>
      <c r="K2193" s="103" t="n"/>
      <c r="L2193" s="116">
        <f>IF($H2193="","",TRIM(IF(COUNTIF(DMTK!$A$7:$A$250,$F2193)=0,"TK Nợ sai! ","")&amp;IF(COUNTIF(DMTK!$A$7:$A$250,$G2193)=0,"TK Có sai! ","")&amp;IF(N($H2193)&lt;=0,"Tiền phải &gt; 0! ","")&amp;IF($B2193="","Thiếu ngày! ","")&amp;IF(AND(OR(LEFT($F2193,3)="131",LEFT($G2193,3)="131",LEFT($F2193,3)="331",LEFT($G2193,3)="331"),$I2193=""),"Thiếu Mã ĐT! ","")&amp;IF(AND($I2193&lt;&gt;"",COUNTIF(DM_DT!$A$7:$A$306,$I2193)=0),"Mã ĐT chưa khai báo! ","")))</f>
        <v/>
      </c>
      <c r="M2193" s="117">
        <f>IF($H2193="","",IF(AND(OR(LEFT($F2193,3)="111",LEFT($F2193,3)="112",LEFT($F2193,3)="113"),OR(LEFT($G2193,3)="111",LEFT($G2193,3)="112",LEFT($G2193,3)="113")),"NB",IF(OR(LEFT($F2193,3)="111",LEFT($F2193,3)="112",LEFT($F2193,3)="113"),"THU",IF(OR(LEFT($G2193,3)="111",LEFT($G2193,3)="112",LEFT($G2193,3)="113"),"CHI",""))))</f>
        <v/>
      </c>
      <c r="N2193" s="117">
        <f>IF($M2193="THU",$G2193,IF($M2193="CHI",$F2193,""))</f>
        <v/>
      </c>
      <c r="O2193" s="117">
        <f>IF(OR($M2193="",$M2193="NB"),"",IF($J2193&lt;&gt;"",TEXT($J2193,"00"),IFERROR(VLOOKUP(LEFT($N2193,4),LCTT_MAP!$A$7:$C$66,IF($M2193="THU",2,3),FALSE()),IFERROR(VLOOKUP(LEFT($N2193,3),LCTT_MAP!$A$7:$C$66,IF($M2193="THU",2,3),FALSE()),IFERROR(VLOOKUP(LEFT($N2193,2),LCTT_MAP!$A$7:$C$66,IF($M2193="THU",2,3),FALSE()),IFERROR(VLOOKUP(LEFT($N2193,1),LCTT_MAP!$A$7:$C$66,IF($M2193="THU",2,3),FALSE()),IF($M2193="THU","06","07")))))))</f>
        <v/>
      </c>
      <c r="P2193" s="117">
        <f>P2192+IF(AND($H2193&lt;&gt;"",OR(LEFT($F2193,LEN(SC_TK))=SC_TK,LEFT($G2193,LEN(SC_TK))=SC_TK)),1,0)</f>
        <v/>
      </c>
    </row>
    <row r="2194" ht="15" customHeight="1" s="78">
      <c r="A2194" s="95">
        <f>IF($H2194="","",ROW()-6)</f>
        <v/>
      </c>
      <c r="B2194" s="114" t="n"/>
      <c r="C2194" s="102" t="n"/>
      <c r="D2194" s="114" t="n"/>
      <c r="E2194" s="103" t="n"/>
      <c r="F2194" s="102" t="n"/>
      <c r="G2194" s="102" t="n"/>
      <c r="H2194" s="115" t="n"/>
      <c r="I2194" s="102" t="n"/>
      <c r="J2194" s="102" t="n"/>
      <c r="K2194" s="103" t="n"/>
      <c r="L2194" s="116">
        <f>IF($H2194="","",TRIM(IF(COUNTIF(DMTK!$A$7:$A$250,$F2194)=0,"TK Nợ sai! ","")&amp;IF(COUNTIF(DMTK!$A$7:$A$250,$G2194)=0,"TK Có sai! ","")&amp;IF(N($H2194)&lt;=0,"Tiền phải &gt; 0! ","")&amp;IF($B2194="","Thiếu ngày! ","")&amp;IF(AND(OR(LEFT($F2194,3)="131",LEFT($G2194,3)="131",LEFT($F2194,3)="331",LEFT($G2194,3)="331"),$I2194=""),"Thiếu Mã ĐT! ","")&amp;IF(AND($I2194&lt;&gt;"",COUNTIF(DM_DT!$A$7:$A$306,$I2194)=0),"Mã ĐT chưa khai báo! ","")))</f>
        <v/>
      </c>
      <c r="M2194" s="117">
        <f>IF($H2194="","",IF(AND(OR(LEFT($F2194,3)="111",LEFT($F2194,3)="112",LEFT($F2194,3)="113"),OR(LEFT($G2194,3)="111",LEFT($G2194,3)="112",LEFT($G2194,3)="113")),"NB",IF(OR(LEFT($F2194,3)="111",LEFT($F2194,3)="112",LEFT($F2194,3)="113"),"THU",IF(OR(LEFT($G2194,3)="111",LEFT($G2194,3)="112",LEFT($G2194,3)="113"),"CHI",""))))</f>
        <v/>
      </c>
      <c r="N2194" s="117">
        <f>IF($M2194="THU",$G2194,IF($M2194="CHI",$F2194,""))</f>
        <v/>
      </c>
      <c r="O2194" s="117">
        <f>IF(OR($M2194="",$M2194="NB"),"",IF($J2194&lt;&gt;"",TEXT($J2194,"00"),IFERROR(VLOOKUP(LEFT($N2194,4),LCTT_MAP!$A$7:$C$66,IF($M2194="THU",2,3),FALSE()),IFERROR(VLOOKUP(LEFT($N2194,3),LCTT_MAP!$A$7:$C$66,IF($M2194="THU",2,3),FALSE()),IFERROR(VLOOKUP(LEFT($N2194,2),LCTT_MAP!$A$7:$C$66,IF($M2194="THU",2,3),FALSE()),IFERROR(VLOOKUP(LEFT($N2194,1),LCTT_MAP!$A$7:$C$66,IF($M2194="THU",2,3),FALSE()),IF($M2194="THU","06","07")))))))</f>
        <v/>
      </c>
      <c r="P2194" s="117">
        <f>P2193+IF(AND($H2194&lt;&gt;"",OR(LEFT($F2194,LEN(SC_TK))=SC_TK,LEFT($G2194,LEN(SC_TK))=SC_TK)),1,0)</f>
        <v/>
      </c>
    </row>
    <row r="2195" ht="15" customHeight="1" s="78">
      <c r="A2195" s="95">
        <f>IF($H2195="","",ROW()-6)</f>
        <v/>
      </c>
      <c r="B2195" s="114" t="n"/>
      <c r="C2195" s="102" t="n"/>
      <c r="D2195" s="114" t="n"/>
      <c r="E2195" s="103" t="n"/>
      <c r="F2195" s="102" t="n"/>
      <c r="G2195" s="102" t="n"/>
      <c r="H2195" s="115" t="n"/>
      <c r="I2195" s="102" t="n"/>
      <c r="J2195" s="102" t="n"/>
      <c r="K2195" s="103" t="n"/>
      <c r="L2195" s="116">
        <f>IF($H2195="","",TRIM(IF(COUNTIF(DMTK!$A$7:$A$250,$F2195)=0,"TK Nợ sai! ","")&amp;IF(COUNTIF(DMTK!$A$7:$A$250,$G2195)=0,"TK Có sai! ","")&amp;IF(N($H2195)&lt;=0,"Tiền phải &gt; 0! ","")&amp;IF($B2195="","Thiếu ngày! ","")&amp;IF(AND(OR(LEFT($F2195,3)="131",LEFT($G2195,3)="131",LEFT($F2195,3)="331",LEFT($G2195,3)="331"),$I2195=""),"Thiếu Mã ĐT! ","")&amp;IF(AND($I2195&lt;&gt;"",COUNTIF(DM_DT!$A$7:$A$306,$I2195)=0),"Mã ĐT chưa khai báo! ","")))</f>
        <v/>
      </c>
      <c r="M2195" s="117">
        <f>IF($H2195="","",IF(AND(OR(LEFT($F2195,3)="111",LEFT($F2195,3)="112",LEFT($F2195,3)="113"),OR(LEFT($G2195,3)="111",LEFT($G2195,3)="112",LEFT($G2195,3)="113")),"NB",IF(OR(LEFT($F2195,3)="111",LEFT($F2195,3)="112",LEFT($F2195,3)="113"),"THU",IF(OR(LEFT($G2195,3)="111",LEFT($G2195,3)="112",LEFT($G2195,3)="113"),"CHI",""))))</f>
        <v/>
      </c>
      <c r="N2195" s="117">
        <f>IF($M2195="THU",$G2195,IF($M2195="CHI",$F2195,""))</f>
        <v/>
      </c>
      <c r="O2195" s="117">
        <f>IF(OR($M2195="",$M2195="NB"),"",IF($J2195&lt;&gt;"",TEXT($J2195,"00"),IFERROR(VLOOKUP(LEFT($N2195,4),LCTT_MAP!$A$7:$C$66,IF($M2195="THU",2,3),FALSE()),IFERROR(VLOOKUP(LEFT($N2195,3),LCTT_MAP!$A$7:$C$66,IF($M2195="THU",2,3),FALSE()),IFERROR(VLOOKUP(LEFT($N2195,2),LCTT_MAP!$A$7:$C$66,IF($M2195="THU",2,3),FALSE()),IFERROR(VLOOKUP(LEFT($N2195,1),LCTT_MAP!$A$7:$C$66,IF($M2195="THU",2,3),FALSE()),IF($M2195="THU","06","07")))))))</f>
        <v/>
      </c>
      <c r="P2195" s="117">
        <f>P2194+IF(AND($H2195&lt;&gt;"",OR(LEFT($F2195,LEN(SC_TK))=SC_TK,LEFT($G2195,LEN(SC_TK))=SC_TK)),1,0)</f>
        <v/>
      </c>
    </row>
    <row r="2196" ht="15" customHeight="1" s="78">
      <c r="A2196" s="95">
        <f>IF($H2196="","",ROW()-6)</f>
        <v/>
      </c>
      <c r="B2196" s="114" t="n"/>
      <c r="C2196" s="102" t="n"/>
      <c r="D2196" s="114" t="n"/>
      <c r="E2196" s="103" t="n"/>
      <c r="F2196" s="102" t="n"/>
      <c r="G2196" s="102" t="n"/>
      <c r="H2196" s="115" t="n"/>
      <c r="I2196" s="102" t="n"/>
      <c r="J2196" s="102" t="n"/>
      <c r="K2196" s="103" t="n"/>
      <c r="L2196" s="116">
        <f>IF($H2196="","",TRIM(IF(COUNTIF(DMTK!$A$7:$A$250,$F2196)=0,"TK Nợ sai! ","")&amp;IF(COUNTIF(DMTK!$A$7:$A$250,$G2196)=0,"TK Có sai! ","")&amp;IF(N($H2196)&lt;=0,"Tiền phải &gt; 0! ","")&amp;IF($B2196="","Thiếu ngày! ","")&amp;IF(AND(OR(LEFT($F2196,3)="131",LEFT($G2196,3)="131",LEFT($F2196,3)="331",LEFT($G2196,3)="331"),$I2196=""),"Thiếu Mã ĐT! ","")&amp;IF(AND($I2196&lt;&gt;"",COUNTIF(DM_DT!$A$7:$A$306,$I2196)=0),"Mã ĐT chưa khai báo! ","")))</f>
        <v/>
      </c>
      <c r="M2196" s="117">
        <f>IF($H2196="","",IF(AND(OR(LEFT($F2196,3)="111",LEFT($F2196,3)="112",LEFT($F2196,3)="113"),OR(LEFT($G2196,3)="111",LEFT($G2196,3)="112",LEFT($G2196,3)="113")),"NB",IF(OR(LEFT($F2196,3)="111",LEFT($F2196,3)="112",LEFT($F2196,3)="113"),"THU",IF(OR(LEFT($G2196,3)="111",LEFT($G2196,3)="112",LEFT($G2196,3)="113"),"CHI",""))))</f>
        <v/>
      </c>
      <c r="N2196" s="117">
        <f>IF($M2196="THU",$G2196,IF($M2196="CHI",$F2196,""))</f>
        <v/>
      </c>
      <c r="O2196" s="117">
        <f>IF(OR($M2196="",$M2196="NB"),"",IF($J2196&lt;&gt;"",TEXT($J2196,"00"),IFERROR(VLOOKUP(LEFT($N2196,4),LCTT_MAP!$A$7:$C$66,IF($M2196="THU",2,3),FALSE()),IFERROR(VLOOKUP(LEFT($N2196,3),LCTT_MAP!$A$7:$C$66,IF($M2196="THU",2,3),FALSE()),IFERROR(VLOOKUP(LEFT($N2196,2),LCTT_MAP!$A$7:$C$66,IF($M2196="THU",2,3),FALSE()),IFERROR(VLOOKUP(LEFT($N2196,1),LCTT_MAP!$A$7:$C$66,IF($M2196="THU",2,3),FALSE()),IF($M2196="THU","06","07")))))))</f>
        <v/>
      </c>
      <c r="P2196" s="117">
        <f>P2195+IF(AND($H2196&lt;&gt;"",OR(LEFT($F2196,LEN(SC_TK))=SC_TK,LEFT($G2196,LEN(SC_TK))=SC_TK)),1,0)</f>
        <v/>
      </c>
    </row>
    <row r="2197" ht="15" customHeight="1" s="78">
      <c r="A2197" s="95">
        <f>IF($H2197="","",ROW()-6)</f>
        <v/>
      </c>
      <c r="B2197" s="114" t="n"/>
      <c r="C2197" s="102" t="n"/>
      <c r="D2197" s="114" t="n"/>
      <c r="E2197" s="103" t="n"/>
      <c r="F2197" s="102" t="n"/>
      <c r="G2197" s="102" t="n"/>
      <c r="H2197" s="115" t="n"/>
      <c r="I2197" s="102" t="n"/>
      <c r="J2197" s="102" t="n"/>
      <c r="K2197" s="103" t="n"/>
      <c r="L2197" s="116">
        <f>IF($H2197="","",TRIM(IF(COUNTIF(DMTK!$A$7:$A$250,$F2197)=0,"TK Nợ sai! ","")&amp;IF(COUNTIF(DMTK!$A$7:$A$250,$G2197)=0,"TK Có sai! ","")&amp;IF(N($H2197)&lt;=0,"Tiền phải &gt; 0! ","")&amp;IF($B2197="","Thiếu ngày! ","")&amp;IF(AND(OR(LEFT($F2197,3)="131",LEFT($G2197,3)="131",LEFT($F2197,3)="331",LEFT($G2197,3)="331"),$I2197=""),"Thiếu Mã ĐT! ","")&amp;IF(AND($I2197&lt;&gt;"",COUNTIF(DM_DT!$A$7:$A$306,$I2197)=0),"Mã ĐT chưa khai báo! ","")))</f>
        <v/>
      </c>
      <c r="M2197" s="117">
        <f>IF($H2197="","",IF(AND(OR(LEFT($F2197,3)="111",LEFT($F2197,3)="112",LEFT($F2197,3)="113"),OR(LEFT($G2197,3)="111",LEFT($G2197,3)="112",LEFT($G2197,3)="113")),"NB",IF(OR(LEFT($F2197,3)="111",LEFT($F2197,3)="112",LEFT($F2197,3)="113"),"THU",IF(OR(LEFT($G2197,3)="111",LEFT($G2197,3)="112",LEFT($G2197,3)="113"),"CHI",""))))</f>
        <v/>
      </c>
      <c r="N2197" s="117">
        <f>IF($M2197="THU",$G2197,IF($M2197="CHI",$F2197,""))</f>
        <v/>
      </c>
      <c r="O2197" s="117">
        <f>IF(OR($M2197="",$M2197="NB"),"",IF($J2197&lt;&gt;"",TEXT($J2197,"00"),IFERROR(VLOOKUP(LEFT($N2197,4),LCTT_MAP!$A$7:$C$66,IF($M2197="THU",2,3),FALSE()),IFERROR(VLOOKUP(LEFT($N2197,3),LCTT_MAP!$A$7:$C$66,IF($M2197="THU",2,3),FALSE()),IFERROR(VLOOKUP(LEFT($N2197,2),LCTT_MAP!$A$7:$C$66,IF($M2197="THU",2,3),FALSE()),IFERROR(VLOOKUP(LEFT($N2197,1),LCTT_MAP!$A$7:$C$66,IF($M2197="THU",2,3),FALSE()),IF($M2197="THU","06","07")))))))</f>
        <v/>
      </c>
      <c r="P2197" s="117">
        <f>P2196+IF(AND($H2197&lt;&gt;"",OR(LEFT($F2197,LEN(SC_TK))=SC_TK,LEFT($G2197,LEN(SC_TK))=SC_TK)),1,0)</f>
        <v/>
      </c>
    </row>
    <row r="2198" ht="15" customHeight="1" s="78">
      <c r="A2198" s="95">
        <f>IF($H2198="","",ROW()-6)</f>
        <v/>
      </c>
      <c r="B2198" s="114" t="n"/>
      <c r="C2198" s="102" t="n"/>
      <c r="D2198" s="114" t="n"/>
      <c r="E2198" s="103" t="n"/>
      <c r="F2198" s="102" t="n"/>
      <c r="G2198" s="102" t="n"/>
      <c r="H2198" s="115" t="n"/>
      <c r="I2198" s="102" t="n"/>
      <c r="J2198" s="102" t="n"/>
      <c r="K2198" s="103" t="n"/>
      <c r="L2198" s="116">
        <f>IF($H2198="","",TRIM(IF(COUNTIF(DMTK!$A$7:$A$250,$F2198)=0,"TK Nợ sai! ","")&amp;IF(COUNTIF(DMTK!$A$7:$A$250,$G2198)=0,"TK Có sai! ","")&amp;IF(N($H2198)&lt;=0,"Tiền phải &gt; 0! ","")&amp;IF($B2198="","Thiếu ngày! ","")&amp;IF(AND(OR(LEFT($F2198,3)="131",LEFT($G2198,3)="131",LEFT($F2198,3)="331",LEFT($G2198,3)="331"),$I2198=""),"Thiếu Mã ĐT! ","")&amp;IF(AND($I2198&lt;&gt;"",COUNTIF(DM_DT!$A$7:$A$306,$I2198)=0),"Mã ĐT chưa khai báo! ","")))</f>
        <v/>
      </c>
      <c r="M2198" s="117">
        <f>IF($H2198="","",IF(AND(OR(LEFT($F2198,3)="111",LEFT($F2198,3)="112",LEFT($F2198,3)="113"),OR(LEFT($G2198,3)="111",LEFT($G2198,3)="112",LEFT($G2198,3)="113")),"NB",IF(OR(LEFT($F2198,3)="111",LEFT($F2198,3)="112",LEFT($F2198,3)="113"),"THU",IF(OR(LEFT($G2198,3)="111",LEFT($G2198,3)="112",LEFT($G2198,3)="113"),"CHI",""))))</f>
        <v/>
      </c>
      <c r="N2198" s="117">
        <f>IF($M2198="THU",$G2198,IF($M2198="CHI",$F2198,""))</f>
        <v/>
      </c>
      <c r="O2198" s="117">
        <f>IF(OR($M2198="",$M2198="NB"),"",IF($J2198&lt;&gt;"",TEXT($J2198,"00"),IFERROR(VLOOKUP(LEFT($N2198,4),LCTT_MAP!$A$7:$C$66,IF($M2198="THU",2,3),FALSE()),IFERROR(VLOOKUP(LEFT($N2198,3),LCTT_MAP!$A$7:$C$66,IF($M2198="THU",2,3),FALSE()),IFERROR(VLOOKUP(LEFT($N2198,2),LCTT_MAP!$A$7:$C$66,IF($M2198="THU",2,3),FALSE()),IFERROR(VLOOKUP(LEFT($N2198,1),LCTT_MAP!$A$7:$C$66,IF($M2198="THU",2,3),FALSE()),IF($M2198="THU","06","07")))))))</f>
        <v/>
      </c>
      <c r="P2198" s="117">
        <f>P2197+IF(AND($H2198&lt;&gt;"",OR(LEFT($F2198,LEN(SC_TK))=SC_TK,LEFT($G2198,LEN(SC_TK))=SC_TK)),1,0)</f>
        <v/>
      </c>
    </row>
    <row r="2199" ht="15" customHeight="1" s="78">
      <c r="A2199" s="95">
        <f>IF($H2199="","",ROW()-6)</f>
        <v/>
      </c>
      <c r="B2199" s="114" t="n"/>
      <c r="C2199" s="102" t="n"/>
      <c r="D2199" s="114" t="n"/>
      <c r="E2199" s="103" t="n"/>
      <c r="F2199" s="102" t="n"/>
      <c r="G2199" s="102" t="n"/>
      <c r="H2199" s="115" t="n"/>
      <c r="I2199" s="102" t="n"/>
      <c r="J2199" s="102" t="n"/>
      <c r="K2199" s="103" t="n"/>
      <c r="L2199" s="116">
        <f>IF($H2199="","",TRIM(IF(COUNTIF(DMTK!$A$7:$A$250,$F2199)=0,"TK Nợ sai! ","")&amp;IF(COUNTIF(DMTK!$A$7:$A$250,$G2199)=0,"TK Có sai! ","")&amp;IF(N($H2199)&lt;=0,"Tiền phải &gt; 0! ","")&amp;IF($B2199="","Thiếu ngày! ","")&amp;IF(AND(OR(LEFT($F2199,3)="131",LEFT($G2199,3)="131",LEFT($F2199,3)="331",LEFT($G2199,3)="331"),$I2199=""),"Thiếu Mã ĐT! ","")&amp;IF(AND($I2199&lt;&gt;"",COUNTIF(DM_DT!$A$7:$A$306,$I2199)=0),"Mã ĐT chưa khai báo! ","")))</f>
        <v/>
      </c>
      <c r="M2199" s="117">
        <f>IF($H2199="","",IF(AND(OR(LEFT($F2199,3)="111",LEFT($F2199,3)="112",LEFT($F2199,3)="113"),OR(LEFT($G2199,3)="111",LEFT($G2199,3)="112",LEFT($G2199,3)="113")),"NB",IF(OR(LEFT($F2199,3)="111",LEFT($F2199,3)="112",LEFT($F2199,3)="113"),"THU",IF(OR(LEFT($G2199,3)="111",LEFT($G2199,3)="112",LEFT($G2199,3)="113"),"CHI",""))))</f>
        <v/>
      </c>
      <c r="N2199" s="117">
        <f>IF($M2199="THU",$G2199,IF($M2199="CHI",$F2199,""))</f>
        <v/>
      </c>
      <c r="O2199" s="117">
        <f>IF(OR($M2199="",$M2199="NB"),"",IF($J2199&lt;&gt;"",TEXT($J2199,"00"),IFERROR(VLOOKUP(LEFT($N2199,4),LCTT_MAP!$A$7:$C$66,IF($M2199="THU",2,3),FALSE()),IFERROR(VLOOKUP(LEFT($N2199,3),LCTT_MAP!$A$7:$C$66,IF($M2199="THU",2,3),FALSE()),IFERROR(VLOOKUP(LEFT($N2199,2),LCTT_MAP!$A$7:$C$66,IF($M2199="THU",2,3),FALSE()),IFERROR(VLOOKUP(LEFT($N2199,1),LCTT_MAP!$A$7:$C$66,IF($M2199="THU",2,3),FALSE()),IF($M2199="THU","06","07")))))))</f>
        <v/>
      </c>
      <c r="P2199" s="117">
        <f>P2198+IF(AND($H2199&lt;&gt;"",OR(LEFT($F2199,LEN(SC_TK))=SC_TK,LEFT($G2199,LEN(SC_TK))=SC_TK)),1,0)</f>
        <v/>
      </c>
    </row>
    <row r="2200" ht="15" customHeight="1" s="78">
      <c r="A2200" s="95">
        <f>IF($H2200="","",ROW()-6)</f>
        <v/>
      </c>
      <c r="B2200" s="114" t="n"/>
      <c r="C2200" s="102" t="n"/>
      <c r="D2200" s="114" t="n"/>
      <c r="E2200" s="103" t="n"/>
      <c r="F2200" s="102" t="n"/>
      <c r="G2200" s="102" t="n"/>
      <c r="H2200" s="115" t="n"/>
      <c r="I2200" s="102" t="n"/>
      <c r="J2200" s="102" t="n"/>
      <c r="K2200" s="103" t="n"/>
      <c r="L2200" s="116">
        <f>IF($H2200="","",TRIM(IF(COUNTIF(DMTK!$A$7:$A$250,$F2200)=0,"TK Nợ sai! ","")&amp;IF(COUNTIF(DMTK!$A$7:$A$250,$G2200)=0,"TK Có sai! ","")&amp;IF(N($H2200)&lt;=0,"Tiền phải &gt; 0! ","")&amp;IF($B2200="","Thiếu ngày! ","")&amp;IF(AND(OR(LEFT($F2200,3)="131",LEFT($G2200,3)="131",LEFT($F2200,3)="331",LEFT($G2200,3)="331"),$I2200=""),"Thiếu Mã ĐT! ","")&amp;IF(AND($I2200&lt;&gt;"",COUNTIF(DM_DT!$A$7:$A$306,$I2200)=0),"Mã ĐT chưa khai báo! ","")))</f>
        <v/>
      </c>
      <c r="M2200" s="117">
        <f>IF($H2200="","",IF(AND(OR(LEFT($F2200,3)="111",LEFT($F2200,3)="112",LEFT($F2200,3)="113"),OR(LEFT($G2200,3)="111",LEFT($G2200,3)="112",LEFT($G2200,3)="113")),"NB",IF(OR(LEFT($F2200,3)="111",LEFT($F2200,3)="112",LEFT($F2200,3)="113"),"THU",IF(OR(LEFT($G2200,3)="111",LEFT($G2200,3)="112",LEFT($G2200,3)="113"),"CHI",""))))</f>
        <v/>
      </c>
      <c r="N2200" s="117">
        <f>IF($M2200="THU",$G2200,IF($M2200="CHI",$F2200,""))</f>
        <v/>
      </c>
      <c r="O2200" s="117">
        <f>IF(OR($M2200="",$M2200="NB"),"",IF($J2200&lt;&gt;"",TEXT($J2200,"00"),IFERROR(VLOOKUP(LEFT($N2200,4),LCTT_MAP!$A$7:$C$66,IF($M2200="THU",2,3),FALSE()),IFERROR(VLOOKUP(LEFT($N2200,3),LCTT_MAP!$A$7:$C$66,IF($M2200="THU",2,3),FALSE()),IFERROR(VLOOKUP(LEFT($N2200,2),LCTT_MAP!$A$7:$C$66,IF($M2200="THU",2,3),FALSE()),IFERROR(VLOOKUP(LEFT($N2200,1),LCTT_MAP!$A$7:$C$66,IF($M2200="THU",2,3),FALSE()),IF($M2200="THU","06","07")))))))</f>
        <v/>
      </c>
      <c r="P2200" s="117">
        <f>P2199+IF(AND($H2200&lt;&gt;"",OR(LEFT($F2200,LEN(SC_TK))=SC_TK,LEFT($G2200,LEN(SC_TK))=SC_TK)),1,0)</f>
        <v/>
      </c>
    </row>
    <row r="2201" ht="15" customHeight="1" s="78">
      <c r="A2201" s="95">
        <f>IF($H2201="","",ROW()-6)</f>
        <v/>
      </c>
      <c r="B2201" s="114" t="n"/>
      <c r="C2201" s="102" t="n"/>
      <c r="D2201" s="114" t="n"/>
      <c r="E2201" s="103" t="n"/>
      <c r="F2201" s="102" t="n"/>
      <c r="G2201" s="102" t="n"/>
      <c r="H2201" s="115" t="n"/>
      <c r="I2201" s="102" t="n"/>
      <c r="J2201" s="102" t="n"/>
      <c r="K2201" s="103" t="n"/>
      <c r="L2201" s="116">
        <f>IF($H2201="","",TRIM(IF(COUNTIF(DMTK!$A$7:$A$250,$F2201)=0,"TK Nợ sai! ","")&amp;IF(COUNTIF(DMTK!$A$7:$A$250,$G2201)=0,"TK Có sai! ","")&amp;IF(N($H2201)&lt;=0,"Tiền phải &gt; 0! ","")&amp;IF($B2201="","Thiếu ngày! ","")&amp;IF(AND(OR(LEFT($F2201,3)="131",LEFT($G2201,3)="131",LEFT($F2201,3)="331",LEFT($G2201,3)="331"),$I2201=""),"Thiếu Mã ĐT! ","")&amp;IF(AND($I2201&lt;&gt;"",COUNTIF(DM_DT!$A$7:$A$306,$I2201)=0),"Mã ĐT chưa khai báo! ","")))</f>
        <v/>
      </c>
      <c r="M2201" s="117">
        <f>IF($H2201="","",IF(AND(OR(LEFT($F2201,3)="111",LEFT($F2201,3)="112",LEFT($F2201,3)="113"),OR(LEFT($G2201,3)="111",LEFT($G2201,3)="112",LEFT($G2201,3)="113")),"NB",IF(OR(LEFT($F2201,3)="111",LEFT($F2201,3)="112",LEFT($F2201,3)="113"),"THU",IF(OR(LEFT($G2201,3)="111",LEFT($G2201,3)="112",LEFT($G2201,3)="113"),"CHI",""))))</f>
        <v/>
      </c>
      <c r="N2201" s="117">
        <f>IF($M2201="THU",$G2201,IF($M2201="CHI",$F2201,""))</f>
        <v/>
      </c>
      <c r="O2201" s="117">
        <f>IF(OR($M2201="",$M2201="NB"),"",IF($J2201&lt;&gt;"",TEXT($J2201,"00"),IFERROR(VLOOKUP(LEFT($N2201,4),LCTT_MAP!$A$7:$C$66,IF($M2201="THU",2,3),FALSE()),IFERROR(VLOOKUP(LEFT($N2201,3),LCTT_MAP!$A$7:$C$66,IF($M2201="THU",2,3),FALSE()),IFERROR(VLOOKUP(LEFT($N2201,2),LCTT_MAP!$A$7:$C$66,IF($M2201="THU",2,3),FALSE()),IFERROR(VLOOKUP(LEFT($N2201,1),LCTT_MAP!$A$7:$C$66,IF($M2201="THU",2,3),FALSE()),IF($M2201="THU","06","07")))))))</f>
        <v/>
      </c>
      <c r="P2201" s="117">
        <f>P2200+IF(AND($H2201&lt;&gt;"",OR(LEFT($F2201,LEN(SC_TK))=SC_TK,LEFT($G2201,LEN(SC_TK))=SC_TK)),1,0)</f>
        <v/>
      </c>
    </row>
    <row r="2202" ht="15" customHeight="1" s="78">
      <c r="A2202" s="95">
        <f>IF($H2202="","",ROW()-6)</f>
        <v/>
      </c>
      <c r="B2202" s="114" t="n"/>
      <c r="C2202" s="102" t="n"/>
      <c r="D2202" s="114" t="n"/>
      <c r="E2202" s="103" t="n"/>
      <c r="F2202" s="102" t="n"/>
      <c r="G2202" s="102" t="n"/>
      <c r="H2202" s="115" t="n"/>
      <c r="I2202" s="102" t="n"/>
      <c r="J2202" s="102" t="n"/>
      <c r="K2202" s="103" t="n"/>
      <c r="L2202" s="116">
        <f>IF($H2202="","",TRIM(IF(COUNTIF(DMTK!$A$7:$A$250,$F2202)=0,"TK Nợ sai! ","")&amp;IF(COUNTIF(DMTK!$A$7:$A$250,$G2202)=0,"TK Có sai! ","")&amp;IF(N($H2202)&lt;=0,"Tiền phải &gt; 0! ","")&amp;IF($B2202="","Thiếu ngày! ","")&amp;IF(AND(OR(LEFT($F2202,3)="131",LEFT($G2202,3)="131",LEFT($F2202,3)="331",LEFT($G2202,3)="331"),$I2202=""),"Thiếu Mã ĐT! ","")&amp;IF(AND($I2202&lt;&gt;"",COUNTIF(DM_DT!$A$7:$A$306,$I2202)=0),"Mã ĐT chưa khai báo! ","")))</f>
        <v/>
      </c>
      <c r="M2202" s="117">
        <f>IF($H2202="","",IF(AND(OR(LEFT($F2202,3)="111",LEFT($F2202,3)="112",LEFT($F2202,3)="113"),OR(LEFT($G2202,3)="111",LEFT($G2202,3)="112",LEFT($G2202,3)="113")),"NB",IF(OR(LEFT($F2202,3)="111",LEFT($F2202,3)="112",LEFT($F2202,3)="113"),"THU",IF(OR(LEFT($G2202,3)="111",LEFT($G2202,3)="112",LEFT($G2202,3)="113"),"CHI",""))))</f>
        <v/>
      </c>
      <c r="N2202" s="117">
        <f>IF($M2202="THU",$G2202,IF($M2202="CHI",$F2202,""))</f>
        <v/>
      </c>
      <c r="O2202" s="117">
        <f>IF(OR($M2202="",$M2202="NB"),"",IF($J2202&lt;&gt;"",TEXT($J2202,"00"),IFERROR(VLOOKUP(LEFT($N2202,4),LCTT_MAP!$A$7:$C$66,IF($M2202="THU",2,3),FALSE()),IFERROR(VLOOKUP(LEFT($N2202,3),LCTT_MAP!$A$7:$C$66,IF($M2202="THU",2,3),FALSE()),IFERROR(VLOOKUP(LEFT($N2202,2),LCTT_MAP!$A$7:$C$66,IF($M2202="THU",2,3),FALSE()),IFERROR(VLOOKUP(LEFT($N2202,1),LCTT_MAP!$A$7:$C$66,IF($M2202="THU",2,3),FALSE()),IF($M2202="THU","06","07")))))))</f>
        <v/>
      </c>
      <c r="P2202" s="117">
        <f>P2201+IF(AND($H2202&lt;&gt;"",OR(LEFT($F2202,LEN(SC_TK))=SC_TK,LEFT($G2202,LEN(SC_TK))=SC_TK)),1,0)</f>
        <v/>
      </c>
    </row>
    <row r="2203" ht="15" customHeight="1" s="78">
      <c r="A2203" s="95">
        <f>IF($H2203="","",ROW()-6)</f>
        <v/>
      </c>
      <c r="B2203" s="114" t="n"/>
      <c r="C2203" s="102" t="n"/>
      <c r="D2203" s="114" t="n"/>
      <c r="E2203" s="103" t="n"/>
      <c r="F2203" s="102" t="n"/>
      <c r="G2203" s="102" t="n"/>
      <c r="H2203" s="115" t="n"/>
      <c r="I2203" s="102" t="n"/>
      <c r="J2203" s="102" t="n"/>
      <c r="K2203" s="103" t="n"/>
      <c r="L2203" s="116">
        <f>IF($H2203="","",TRIM(IF(COUNTIF(DMTK!$A$7:$A$250,$F2203)=0,"TK Nợ sai! ","")&amp;IF(COUNTIF(DMTK!$A$7:$A$250,$G2203)=0,"TK Có sai! ","")&amp;IF(N($H2203)&lt;=0,"Tiền phải &gt; 0! ","")&amp;IF($B2203="","Thiếu ngày! ","")&amp;IF(AND(OR(LEFT($F2203,3)="131",LEFT($G2203,3)="131",LEFT($F2203,3)="331",LEFT($G2203,3)="331"),$I2203=""),"Thiếu Mã ĐT! ","")&amp;IF(AND($I2203&lt;&gt;"",COUNTIF(DM_DT!$A$7:$A$306,$I2203)=0),"Mã ĐT chưa khai báo! ","")))</f>
        <v/>
      </c>
      <c r="M2203" s="117">
        <f>IF($H2203="","",IF(AND(OR(LEFT($F2203,3)="111",LEFT($F2203,3)="112",LEFT($F2203,3)="113"),OR(LEFT($G2203,3)="111",LEFT($G2203,3)="112",LEFT($G2203,3)="113")),"NB",IF(OR(LEFT($F2203,3)="111",LEFT($F2203,3)="112",LEFT($F2203,3)="113"),"THU",IF(OR(LEFT($G2203,3)="111",LEFT($G2203,3)="112",LEFT($G2203,3)="113"),"CHI",""))))</f>
        <v/>
      </c>
      <c r="N2203" s="117">
        <f>IF($M2203="THU",$G2203,IF($M2203="CHI",$F2203,""))</f>
        <v/>
      </c>
      <c r="O2203" s="117">
        <f>IF(OR($M2203="",$M2203="NB"),"",IF($J2203&lt;&gt;"",TEXT($J2203,"00"),IFERROR(VLOOKUP(LEFT($N2203,4),LCTT_MAP!$A$7:$C$66,IF($M2203="THU",2,3),FALSE()),IFERROR(VLOOKUP(LEFT($N2203,3),LCTT_MAP!$A$7:$C$66,IF($M2203="THU",2,3),FALSE()),IFERROR(VLOOKUP(LEFT($N2203,2),LCTT_MAP!$A$7:$C$66,IF($M2203="THU",2,3),FALSE()),IFERROR(VLOOKUP(LEFT($N2203,1),LCTT_MAP!$A$7:$C$66,IF($M2203="THU",2,3),FALSE()),IF($M2203="THU","06","07")))))))</f>
        <v/>
      </c>
      <c r="P2203" s="117">
        <f>P2202+IF(AND($H2203&lt;&gt;"",OR(LEFT($F2203,LEN(SC_TK))=SC_TK,LEFT($G2203,LEN(SC_TK))=SC_TK)),1,0)</f>
        <v/>
      </c>
    </row>
    <row r="2204" ht="15" customHeight="1" s="78">
      <c r="A2204" s="95">
        <f>IF($H2204="","",ROW()-6)</f>
        <v/>
      </c>
      <c r="B2204" s="114" t="n"/>
      <c r="C2204" s="102" t="n"/>
      <c r="D2204" s="114" t="n"/>
      <c r="E2204" s="103" t="n"/>
      <c r="F2204" s="102" t="n"/>
      <c r="G2204" s="102" t="n"/>
      <c r="H2204" s="115" t="n"/>
      <c r="I2204" s="102" t="n"/>
      <c r="J2204" s="102" t="n"/>
      <c r="K2204" s="103" t="n"/>
      <c r="L2204" s="116">
        <f>IF($H2204="","",TRIM(IF(COUNTIF(DMTK!$A$7:$A$250,$F2204)=0,"TK Nợ sai! ","")&amp;IF(COUNTIF(DMTK!$A$7:$A$250,$G2204)=0,"TK Có sai! ","")&amp;IF(N($H2204)&lt;=0,"Tiền phải &gt; 0! ","")&amp;IF($B2204="","Thiếu ngày! ","")&amp;IF(AND(OR(LEFT($F2204,3)="131",LEFT($G2204,3)="131",LEFT($F2204,3)="331",LEFT($G2204,3)="331"),$I2204=""),"Thiếu Mã ĐT! ","")&amp;IF(AND($I2204&lt;&gt;"",COUNTIF(DM_DT!$A$7:$A$306,$I2204)=0),"Mã ĐT chưa khai báo! ","")))</f>
        <v/>
      </c>
      <c r="M2204" s="117">
        <f>IF($H2204="","",IF(AND(OR(LEFT($F2204,3)="111",LEFT($F2204,3)="112",LEFT($F2204,3)="113"),OR(LEFT($G2204,3)="111",LEFT($G2204,3)="112",LEFT($G2204,3)="113")),"NB",IF(OR(LEFT($F2204,3)="111",LEFT($F2204,3)="112",LEFT($F2204,3)="113"),"THU",IF(OR(LEFT($G2204,3)="111",LEFT($G2204,3)="112",LEFT($G2204,3)="113"),"CHI",""))))</f>
        <v/>
      </c>
      <c r="N2204" s="117">
        <f>IF($M2204="THU",$G2204,IF($M2204="CHI",$F2204,""))</f>
        <v/>
      </c>
      <c r="O2204" s="117">
        <f>IF(OR($M2204="",$M2204="NB"),"",IF($J2204&lt;&gt;"",TEXT($J2204,"00"),IFERROR(VLOOKUP(LEFT($N2204,4),LCTT_MAP!$A$7:$C$66,IF($M2204="THU",2,3),FALSE()),IFERROR(VLOOKUP(LEFT($N2204,3),LCTT_MAP!$A$7:$C$66,IF($M2204="THU",2,3),FALSE()),IFERROR(VLOOKUP(LEFT($N2204,2),LCTT_MAP!$A$7:$C$66,IF($M2204="THU",2,3),FALSE()),IFERROR(VLOOKUP(LEFT($N2204,1),LCTT_MAP!$A$7:$C$66,IF($M2204="THU",2,3),FALSE()),IF($M2204="THU","06","07")))))))</f>
        <v/>
      </c>
      <c r="P2204" s="117">
        <f>P2203+IF(AND($H2204&lt;&gt;"",OR(LEFT($F2204,LEN(SC_TK))=SC_TK,LEFT($G2204,LEN(SC_TK))=SC_TK)),1,0)</f>
        <v/>
      </c>
    </row>
    <row r="2205" ht="15" customHeight="1" s="78">
      <c r="A2205" s="95">
        <f>IF($H2205="","",ROW()-6)</f>
        <v/>
      </c>
      <c r="B2205" s="114" t="n"/>
      <c r="C2205" s="102" t="n"/>
      <c r="D2205" s="114" t="n"/>
      <c r="E2205" s="103" t="n"/>
      <c r="F2205" s="102" t="n"/>
      <c r="G2205" s="102" t="n"/>
      <c r="H2205" s="115" t="n"/>
      <c r="I2205" s="102" t="n"/>
      <c r="J2205" s="102" t="n"/>
      <c r="K2205" s="103" t="n"/>
      <c r="L2205" s="116">
        <f>IF($H2205="","",TRIM(IF(COUNTIF(DMTK!$A$7:$A$250,$F2205)=0,"TK Nợ sai! ","")&amp;IF(COUNTIF(DMTK!$A$7:$A$250,$G2205)=0,"TK Có sai! ","")&amp;IF(N($H2205)&lt;=0,"Tiền phải &gt; 0! ","")&amp;IF($B2205="","Thiếu ngày! ","")&amp;IF(AND(OR(LEFT($F2205,3)="131",LEFT($G2205,3)="131",LEFT($F2205,3)="331",LEFT($G2205,3)="331"),$I2205=""),"Thiếu Mã ĐT! ","")&amp;IF(AND($I2205&lt;&gt;"",COUNTIF(DM_DT!$A$7:$A$306,$I2205)=0),"Mã ĐT chưa khai báo! ","")))</f>
        <v/>
      </c>
      <c r="M2205" s="117">
        <f>IF($H2205="","",IF(AND(OR(LEFT($F2205,3)="111",LEFT($F2205,3)="112",LEFT($F2205,3)="113"),OR(LEFT($G2205,3)="111",LEFT($G2205,3)="112",LEFT($G2205,3)="113")),"NB",IF(OR(LEFT($F2205,3)="111",LEFT($F2205,3)="112",LEFT($F2205,3)="113"),"THU",IF(OR(LEFT($G2205,3)="111",LEFT($G2205,3)="112",LEFT($G2205,3)="113"),"CHI",""))))</f>
        <v/>
      </c>
      <c r="N2205" s="117">
        <f>IF($M2205="THU",$G2205,IF($M2205="CHI",$F2205,""))</f>
        <v/>
      </c>
      <c r="O2205" s="117">
        <f>IF(OR($M2205="",$M2205="NB"),"",IF($J2205&lt;&gt;"",TEXT($J2205,"00"),IFERROR(VLOOKUP(LEFT($N2205,4),LCTT_MAP!$A$7:$C$66,IF($M2205="THU",2,3),FALSE()),IFERROR(VLOOKUP(LEFT($N2205,3),LCTT_MAP!$A$7:$C$66,IF($M2205="THU",2,3),FALSE()),IFERROR(VLOOKUP(LEFT($N2205,2),LCTT_MAP!$A$7:$C$66,IF($M2205="THU",2,3),FALSE()),IFERROR(VLOOKUP(LEFT($N2205,1),LCTT_MAP!$A$7:$C$66,IF($M2205="THU",2,3),FALSE()),IF($M2205="THU","06","07")))))))</f>
        <v/>
      </c>
      <c r="P2205" s="117">
        <f>P2204+IF(AND($H2205&lt;&gt;"",OR(LEFT($F2205,LEN(SC_TK))=SC_TK,LEFT($G2205,LEN(SC_TK))=SC_TK)),1,0)</f>
        <v/>
      </c>
    </row>
    <row r="2206" ht="15" customHeight="1" s="78">
      <c r="A2206" s="95">
        <f>IF($H2206="","",ROW()-6)</f>
        <v/>
      </c>
      <c r="B2206" s="114" t="n"/>
      <c r="C2206" s="102" t="n"/>
      <c r="D2206" s="114" t="n"/>
      <c r="E2206" s="103" t="n"/>
      <c r="F2206" s="102" t="n"/>
      <c r="G2206" s="102" t="n"/>
      <c r="H2206" s="115" t="n"/>
      <c r="I2206" s="102" t="n"/>
      <c r="J2206" s="102" t="n"/>
      <c r="K2206" s="103" t="n"/>
      <c r="L2206" s="116">
        <f>IF($H2206="","",TRIM(IF(COUNTIF(DMTK!$A$7:$A$250,$F2206)=0,"TK Nợ sai! ","")&amp;IF(COUNTIF(DMTK!$A$7:$A$250,$G2206)=0,"TK Có sai! ","")&amp;IF(N($H2206)&lt;=0,"Tiền phải &gt; 0! ","")&amp;IF($B2206="","Thiếu ngày! ","")&amp;IF(AND(OR(LEFT($F2206,3)="131",LEFT($G2206,3)="131",LEFT($F2206,3)="331",LEFT($G2206,3)="331"),$I2206=""),"Thiếu Mã ĐT! ","")&amp;IF(AND($I2206&lt;&gt;"",COUNTIF(DM_DT!$A$7:$A$306,$I2206)=0),"Mã ĐT chưa khai báo! ","")))</f>
        <v/>
      </c>
      <c r="M2206" s="117">
        <f>IF($H2206="","",IF(AND(OR(LEFT($F2206,3)="111",LEFT($F2206,3)="112",LEFT($F2206,3)="113"),OR(LEFT($G2206,3)="111",LEFT($G2206,3)="112",LEFT($G2206,3)="113")),"NB",IF(OR(LEFT($F2206,3)="111",LEFT($F2206,3)="112",LEFT($F2206,3)="113"),"THU",IF(OR(LEFT($G2206,3)="111",LEFT($G2206,3)="112",LEFT($G2206,3)="113"),"CHI",""))))</f>
        <v/>
      </c>
      <c r="N2206" s="117">
        <f>IF($M2206="THU",$G2206,IF($M2206="CHI",$F2206,""))</f>
        <v/>
      </c>
      <c r="O2206" s="117">
        <f>IF(OR($M2206="",$M2206="NB"),"",IF($J2206&lt;&gt;"",TEXT($J2206,"00"),IFERROR(VLOOKUP(LEFT($N2206,4),LCTT_MAP!$A$7:$C$66,IF($M2206="THU",2,3),FALSE()),IFERROR(VLOOKUP(LEFT($N2206,3),LCTT_MAP!$A$7:$C$66,IF($M2206="THU",2,3),FALSE()),IFERROR(VLOOKUP(LEFT($N2206,2),LCTT_MAP!$A$7:$C$66,IF($M2206="THU",2,3),FALSE()),IFERROR(VLOOKUP(LEFT($N2206,1),LCTT_MAP!$A$7:$C$66,IF($M2206="THU",2,3),FALSE()),IF($M2206="THU","06","07")))))))</f>
        <v/>
      </c>
      <c r="P2206" s="117">
        <f>P2205+IF(AND($H2206&lt;&gt;"",OR(LEFT($F2206,LEN(SC_TK))=SC_TK,LEFT($G2206,LEN(SC_TK))=SC_TK)),1,0)</f>
        <v/>
      </c>
    </row>
    <row r="2207" ht="15" customHeight="1" s="78">
      <c r="A2207" s="95">
        <f>IF($H2207="","",ROW()-6)</f>
        <v/>
      </c>
      <c r="B2207" s="114" t="n"/>
      <c r="C2207" s="102" t="n"/>
      <c r="D2207" s="114" t="n"/>
      <c r="E2207" s="103" t="n"/>
      <c r="F2207" s="102" t="n"/>
      <c r="G2207" s="102" t="n"/>
      <c r="H2207" s="115" t="n"/>
      <c r="I2207" s="102" t="n"/>
      <c r="J2207" s="102" t="n"/>
      <c r="K2207" s="103" t="n"/>
      <c r="L2207" s="116">
        <f>IF($H2207="","",TRIM(IF(COUNTIF(DMTK!$A$7:$A$250,$F2207)=0,"TK Nợ sai! ","")&amp;IF(COUNTIF(DMTK!$A$7:$A$250,$G2207)=0,"TK Có sai! ","")&amp;IF(N($H2207)&lt;=0,"Tiền phải &gt; 0! ","")&amp;IF($B2207="","Thiếu ngày! ","")&amp;IF(AND(OR(LEFT($F2207,3)="131",LEFT($G2207,3)="131",LEFT($F2207,3)="331",LEFT($G2207,3)="331"),$I2207=""),"Thiếu Mã ĐT! ","")&amp;IF(AND($I2207&lt;&gt;"",COUNTIF(DM_DT!$A$7:$A$306,$I2207)=0),"Mã ĐT chưa khai báo! ","")))</f>
        <v/>
      </c>
      <c r="M2207" s="117">
        <f>IF($H2207="","",IF(AND(OR(LEFT($F2207,3)="111",LEFT($F2207,3)="112",LEFT($F2207,3)="113"),OR(LEFT($G2207,3)="111",LEFT($G2207,3)="112",LEFT($G2207,3)="113")),"NB",IF(OR(LEFT($F2207,3)="111",LEFT($F2207,3)="112",LEFT($F2207,3)="113"),"THU",IF(OR(LEFT($G2207,3)="111",LEFT($G2207,3)="112",LEFT($G2207,3)="113"),"CHI",""))))</f>
        <v/>
      </c>
      <c r="N2207" s="117">
        <f>IF($M2207="THU",$G2207,IF($M2207="CHI",$F2207,""))</f>
        <v/>
      </c>
      <c r="O2207" s="117">
        <f>IF(OR($M2207="",$M2207="NB"),"",IF($J2207&lt;&gt;"",TEXT($J2207,"00"),IFERROR(VLOOKUP(LEFT($N2207,4),LCTT_MAP!$A$7:$C$66,IF($M2207="THU",2,3),FALSE()),IFERROR(VLOOKUP(LEFT($N2207,3),LCTT_MAP!$A$7:$C$66,IF($M2207="THU",2,3),FALSE()),IFERROR(VLOOKUP(LEFT($N2207,2),LCTT_MAP!$A$7:$C$66,IF($M2207="THU",2,3),FALSE()),IFERROR(VLOOKUP(LEFT($N2207,1),LCTT_MAP!$A$7:$C$66,IF($M2207="THU",2,3),FALSE()),IF($M2207="THU","06","07")))))))</f>
        <v/>
      </c>
      <c r="P2207" s="117">
        <f>P2206+IF(AND($H2207&lt;&gt;"",OR(LEFT($F2207,LEN(SC_TK))=SC_TK,LEFT($G2207,LEN(SC_TK))=SC_TK)),1,0)</f>
        <v/>
      </c>
    </row>
    <row r="2208" ht="15" customHeight="1" s="78">
      <c r="A2208" s="95">
        <f>IF($H2208="","",ROW()-6)</f>
        <v/>
      </c>
      <c r="B2208" s="114" t="n"/>
      <c r="C2208" s="102" t="n"/>
      <c r="D2208" s="114" t="n"/>
      <c r="E2208" s="103" t="n"/>
      <c r="F2208" s="102" t="n"/>
      <c r="G2208" s="102" t="n"/>
      <c r="H2208" s="115" t="n"/>
      <c r="I2208" s="102" t="n"/>
      <c r="J2208" s="102" t="n"/>
      <c r="K2208" s="103" t="n"/>
      <c r="L2208" s="116">
        <f>IF($H2208="","",TRIM(IF(COUNTIF(DMTK!$A$7:$A$250,$F2208)=0,"TK Nợ sai! ","")&amp;IF(COUNTIF(DMTK!$A$7:$A$250,$G2208)=0,"TK Có sai! ","")&amp;IF(N($H2208)&lt;=0,"Tiền phải &gt; 0! ","")&amp;IF($B2208="","Thiếu ngày! ","")&amp;IF(AND(OR(LEFT($F2208,3)="131",LEFT($G2208,3)="131",LEFT($F2208,3)="331",LEFT($G2208,3)="331"),$I2208=""),"Thiếu Mã ĐT! ","")&amp;IF(AND($I2208&lt;&gt;"",COUNTIF(DM_DT!$A$7:$A$306,$I2208)=0),"Mã ĐT chưa khai báo! ","")))</f>
        <v/>
      </c>
      <c r="M2208" s="117">
        <f>IF($H2208="","",IF(AND(OR(LEFT($F2208,3)="111",LEFT($F2208,3)="112",LEFT($F2208,3)="113"),OR(LEFT($G2208,3)="111",LEFT($G2208,3)="112",LEFT($G2208,3)="113")),"NB",IF(OR(LEFT($F2208,3)="111",LEFT($F2208,3)="112",LEFT($F2208,3)="113"),"THU",IF(OR(LEFT($G2208,3)="111",LEFT($G2208,3)="112",LEFT($G2208,3)="113"),"CHI",""))))</f>
        <v/>
      </c>
      <c r="N2208" s="117">
        <f>IF($M2208="THU",$G2208,IF($M2208="CHI",$F2208,""))</f>
        <v/>
      </c>
      <c r="O2208" s="117">
        <f>IF(OR($M2208="",$M2208="NB"),"",IF($J2208&lt;&gt;"",TEXT($J2208,"00"),IFERROR(VLOOKUP(LEFT($N2208,4),LCTT_MAP!$A$7:$C$66,IF($M2208="THU",2,3),FALSE()),IFERROR(VLOOKUP(LEFT($N2208,3),LCTT_MAP!$A$7:$C$66,IF($M2208="THU",2,3),FALSE()),IFERROR(VLOOKUP(LEFT($N2208,2),LCTT_MAP!$A$7:$C$66,IF($M2208="THU",2,3),FALSE()),IFERROR(VLOOKUP(LEFT($N2208,1),LCTT_MAP!$A$7:$C$66,IF($M2208="THU",2,3),FALSE()),IF($M2208="THU","06","07")))))))</f>
        <v/>
      </c>
      <c r="P2208" s="117">
        <f>P2207+IF(AND($H2208&lt;&gt;"",OR(LEFT($F2208,LEN(SC_TK))=SC_TK,LEFT($G2208,LEN(SC_TK))=SC_TK)),1,0)</f>
        <v/>
      </c>
    </row>
    <row r="2209" ht="15" customHeight="1" s="78">
      <c r="A2209" s="95">
        <f>IF($H2209="","",ROW()-6)</f>
        <v/>
      </c>
      <c r="B2209" s="114" t="n"/>
      <c r="C2209" s="102" t="n"/>
      <c r="D2209" s="114" t="n"/>
      <c r="E2209" s="103" t="n"/>
      <c r="F2209" s="102" t="n"/>
      <c r="G2209" s="102" t="n"/>
      <c r="H2209" s="115" t="n"/>
      <c r="I2209" s="102" t="n"/>
      <c r="J2209" s="102" t="n"/>
      <c r="K2209" s="103" t="n"/>
      <c r="L2209" s="116">
        <f>IF($H2209="","",TRIM(IF(COUNTIF(DMTK!$A$7:$A$250,$F2209)=0,"TK Nợ sai! ","")&amp;IF(COUNTIF(DMTK!$A$7:$A$250,$G2209)=0,"TK Có sai! ","")&amp;IF(N($H2209)&lt;=0,"Tiền phải &gt; 0! ","")&amp;IF($B2209="","Thiếu ngày! ","")&amp;IF(AND(OR(LEFT($F2209,3)="131",LEFT($G2209,3)="131",LEFT($F2209,3)="331",LEFT($G2209,3)="331"),$I2209=""),"Thiếu Mã ĐT! ","")&amp;IF(AND($I2209&lt;&gt;"",COUNTIF(DM_DT!$A$7:$A$306,$I2209)=0),"Mã ĐT chưa khai báo! ","")))</f>
        <v/>
      </c>
      <c r="M2209" s="117">
        <f>IF($H2209="","",IF(AND(OR(LEFT($F2209,3)="111",LEFT($F2209,3)="112",LEFT($F2209,3)="113"),OR(LEFT($G2209,3)="111",LEFT($G2209,3)="112",LEFT($G2209,3)="113")),"NB",IF(OR(LEFT($F2209,3)="111",LEFT($F2209,3)="112",LEFT($F2209,3)="113"),"THU",IF(OR(LEFT($G2209,3)="111",LEFT($G2209,3)="112",LEFT($G2209,3)="113"),"CHI",""))))</f>
        <v/>
      </c>
      <c r="N2209" s="117">
        <f>IF($M2209="THU",$G2209,IF($M2209="CHI",$F2209,""))</f>
        <v/>
      </c>
      <c r="O2209" s="117">
        <f>IF(OR($M2209="",$M2209="NB"),"",IF($J2209&lt;&gt;"",TEXT($J2209,"00"),IFERROR(VLOOKUP(LEFT($N2209,4),LCTT_MAP!$A$7:$C$66,IF($M2209="THU",2,3),FALSE()),IFERROR(VLOOKUP(LEFT($N2209,3),LCTT_MAP!$A$7:$C$66,IF($M2209="THU",2,3),FALSE()),IFERROR(VLOOKUP(LEFT($N2209,2),LCTT_MAP!$A$7:$C$66,IF($M2209="THU",2,3),FALSE()),IFERROR(VLOOKUP(LEFT($N2209,1),LCTT_MAP!$A$7:$C$66,IF($M2209="THU",2,3),FALSE()),IF($M2209="THU","06","07")))))))</f>
        <v/>
      </c>
      <c r="P2209" s="117">
        <f>P2208+IF(AND($H2209&lt;&gt;"",OR(LEFT($F2209,LEN(SC_TK))=SC_TK,LEFT($G2209,LEN(SC_TK))=SC_TK)),1,0)</f>
        <v/>
      </c>
    </row>
    <row r="2210" ht="15" customHeight="1" s="78">
      <c r="A2210" s="95">
        <f>IF($H2210="","",ROW()-6)</f>
        <v/>
      </c>
      <c r="B2210" s="114" t="n"/>
      <c r="C2210" s="102" t="n"/>
      <c r="D2210" s="114" t="n"/>
      <c r="E2210" s="103" t="n"/>
      <c r="F2210" s="102" t="n"/>
      <c r="G2210" s="102" t="n"/>
      <c r="H2210" s="115" t="n"/>
      <c r="I2210" s="102" t="n"/>
      <c r="J2210" s="102" t="n"/>
      <c r="K2210" s="103" t="n"/>
      <c r="L2210" s="116">
        <f>IF($H2210="","",TRIM(IF(COUNTIF(DMTK!$A$7:$A$250,$F2210)=0,"TK Nợ sai! ","")&amp;IF(COUNTIF(DMTK!$A$7:$A$250,$G2210)=0,"TK Có sai! ","")&amp;IF(N($H2210)&lt;=0,"Tiền phải &gt; 0! ","")&amp;IF($B2210="","Thiếu ngày! ","")&amp;IF(AND(OR(LEFT($F2210,3)="131",LEFT($G2210,3)="131",LEFT($F2210,3)="331",LEFT($G2210,3)="331"),$I2210=""),"Thiếu Mã ĐT! ","")&amp;IF(AND($I2210&lt;&gt;"",COUNTIF(DM_DT!$A$7:$A$306,$I2210)=0),"Mã ĐT chưa khai báo! ","")))</f>
        <v/>
      </c>
      <c r="M2210" s="117">
        <f>IF($H2210="","",IF(AND(OR(LEFT($F2210,3)="111",LEFT($F2210,3)="112",LEFT($F2210,3)="113"),OR(LEFT($G2210,3)="111",LEFT($G2210,3)="112",LEFT($G2210,3)="113")),"NB",IF(OR(LEFT($F2210,3)="111",LEFT($F2210,3)="112",LEFT($F2210,3)="113"),"THU",IF(OR(LEFT($G2210,3)="111",LEFT($G2210,3)="112",LEFT($G2210,3)="113"),"CHI",""))))</f>
        <v/>
      </c>
      <c r="N2210" s="117">
        <f>IF($M2210="THU",$G2210,IF($M2210="CHI",$F2210,""))</f>
        <v/>
      </c>
      <c r="O2210" s="117">
        <f>IF(OR($M2210="",$M2210="NB"),"",IF($J2210&lt;&gt;"",TEXT($J2210,"00"),IFERROR(VLOOKUP(LEFT($N2210,4),LCTT_MAP!$A$7:$C$66,IF($M2210="THU",2,3),FALSE()),IFERROR(VLOOKUP(LEFT($N2210,3),LCTT_MAP!$A$7:$C$66,IF($M2210="THU",2,3),FALSE()),IFERROR(VLOOKUP(LEFT($N2210,2),LCTT_MAP!$A$7:$C$66,IF($M2210="THU",2,3),FALSE()),IFERROR(VLOOKUP(LEFT($N2210,1),LCTT_MAP!$A$7:$C$66,IF($M2210="THU",2,3),FALSE()),IF($M2210="THU","06","07")))))))</f>
        <v/>
      </c>
      <c r="P2210" s="117">
        <f>P2209+IF(AND($H2210&lt;&gt;"",OR(LEFT($F2210,LEN(SC_TK))=SC_TK,LEFT($G2210,LEN(SC_TK))=SC_TK)),1,0)</f>
        <v/>
      </c>
    </row>
    <row r="2211" ht="15" customHeight="1" s="78">
      <c r="A2211" s="95">
        <f>IF($H2211="","",ROW()-6)</f>
        <v/>
      </c>
      <c r="B2211" s="114" t="n"/>
      <c r="C2211" s="102" t="n"/>
      <c r="D2211" s="114" t="n"/>
      <c r="E2211" s="103" t="n"/>
      <c r="F2211" s="102" t="n"/>
      <c r="G2211" s="102" t="n"/>
      <c r="H2211" s="115" t="n"/>
      <c r="I2211" s="102" t="n"/>
      <c r="J2211" s="102" t="n"/>
      <c r="K2211" s="103" t="n"/>
      <c r="L2211" s="116">
        <f>IF($H2211="","",TRIM(IF(COUNTIF(DMTK!$A$7:$A$250,$F2211)=0,"TK Nợ sai! ","")&amp;IF(COUNTIF(DMTK!$A$7:$A$250,$G2211)=0,"TK Có sai! ","")&amp;IF(N($H2211)&lt;=0,"Tiền phải &gt; 0! ","")&amp;IF($B2211="","Thiếu ngày! ","")&amp;IF(AND(OR(LEFT($F2211,3)="131",LEFT($G2211,3)="131",LEFT($F2211,3)="331",LEFT($G2211,3)="331"),$I2211=""),"Thiếu Mã ĐT! ","")&amp;IF(AND($I2211&lt;&gt;"",COUNTIF(DM_DT!$A$7:$A$306,$I2211)=0),"Mã ĐT chưa khai báo! ","")))</f>
        <v/>
      </c>
      <c r="M2211" s="117">
        <f>IF($H2211="","",IF(AND(OR(LEFT($F2211,3)="111",LEFT($F2211,3)="112",LEFT($F2211,3)="113"),OR(LEFT($G2211,3)="111",LEFT($G2211,3)="112",LEFT($G2211,3)="113")),"NB",IF(OR(LEFT($F2211,3)="111",LEFT($F2211,3)="112",LEFT($F2211,3)="113"),"THU",IF(OR(LEFT($G2211,3)="111",LEFT($G2211,3)="112",LEFT($G2211,3)="113"),"CHI",""))))</f>
        <v/>
      </c>
      <c r="N2211" s="117">
        <f>IF($M2211="THU",$G2211,IF($M2211="CHI",$F2211,""))</f>
        <v/>
      </c>
      <c r="O2211" s="117">
        <f>IF(OR($M2211="",$M2211="NB"),"",IF($J2211&lt;&gt;"",TEXT($J2211,"00"),IFERROR(VLOOKUP(LEFT($N2211,4),LCTT_MAP!$A$7:$C$66,IF($M2211="THU",2,3),FALSE()),IFERROR(VLOOKUP(LEFT($N2211,3),LCTT_MAP!$A$7:$C$66,IF($M2211="THU",2,3),FALSE()),IFERROR(VLOOKUP(LEFT($N2211,2),LCTT_MAP!$A$7:$C$66,IF($M2211="THU",2,3),FALSE()),IFERROR(VLOOKUP(LEFT($N2211,1),LCTT_MAP!$A$7:$C$66,IF($M2211="THU",2,3),FALSE()),IF($M2211="THU","06","07")))))))</f>
        <v/>
      </c>
      <c r="P2211" s="117">
        <f>P2210+IF(AND($H2211&lt;&gt;"",OR(LEFT($F2211,LEN(SC_TK))=SC_TK,LEFT($G2211,LEN(SC_TK))=SC_TK)),1,0)</f>
        <v/>
      </c>
    </row>
    <row r="2212" ht="15" customHeight="1" s="78">
      <c r="A2212" s="95">
        <f>IF($H2212="","",ROW()-6)</f>
        <v/>
      </c>
      <c r="B2212" s="114" t="n"/>
      <c r="C2212" s="102" t="n"/>
      <c r="D2212" s="114" t="n"/>
      <c r="E2212" s="103" t="n"/>
      <c r="F2212" s="102" t="n"/>
      <c r="G2212" s="102" t="n"/>
      <c r="H2212" s="115" t="n"/>
      <c r="I2212" s="102" t="n"/>
      <c r="J2212" s="102" t="n"/>
      <c r="K2212" s="103" t="n"/>
      <c r="L2212" s="116">
        <f>IF($H2212="","",TRIM(IF(COUNTIF(DMTK!$A$7:$A$250,$F2212)=0,"TK Nợ sai! ","")&amp;IF(COUNTIF(DMTK!$A$7:$A$250,$G2212)=0,"TK Có sai! ","")&amp;IF(N($H2212)&lt;=0,"Tiền phải &gt; 0! ","")&amp;IF($B2212="","Thiếu ngày! ","")&amp;IF(AND(OR(LEFT($F2212,3)="131",LEFT($G2212,3)="131",LEFT($F2212,3)="331",LEFT($G2212,3)="331"),$I2212=""),"Thiếu Mã ĐT! ","")&amp;IF(AND($I2212&lt;&gt;"",COUNTIF(DM_DT!$A$7:$A$306,$I2212)=0),"Mã ĐT chưa khai báo! ","")))</f>
        <v/>
      </c>
      <c r="M2212" s="117">
        <f>IF($H2212="","",IF(AND(OR(LEFT($F2212,3)="111",LEFT($F2212,3)="112",LEFT($F2212,3)="113"),OR(LEFT($G2212,3)="111",LEFT($G2212,3)="112",LEFT($G2212,3)="113")),"NB",IF(OR(LEFT($F2212,3)="111",LEFT($F2212,3)="112",LEFT($F2212,3)="113"),"THU",IF(OR(LEFT($G2212,3)="111",LEFT($G2212,3)="112",LEFT($G2212,3)="113"),"CHI",""))))</f>
        <v/>
      </c>
      <c r="N2212" s="117">
        <f>IF($M2212="THU",$G2212,IF($M2212="CHI",$F2212,""))</f>
        <v/>
      </c>
      <c r="O2212" s="117">
        <f>IF(OR($M2212="",$M2212="NB"),"",IF($J2212&lt;&gt;"",TEXT($J2212,"00"),IFERROR(VLOOKUP(LEFT($N2212,4),LCTT_MAP!$A$7:$C$66,IF($M2212="THU",2,3),FALSE()),IFERROR(VLOOKUP(LEFT($N2212,3),LCTT_MAP!$A$7:$C$66,IF($M2212="THU",2,3),FALSE()),IFERROR(VLOOKUP(LEFT($N2212,2),LCTT_MAP!$A$7:$C$66,IF($M2212="THU",2,3),FALSE()),IFERROR(VLOOKUP(LEFT($N2212,1),LCTT_MAP!$A$7:$C$66,IF($M2212="THU",2,3),FALSE()),IF($M2212="THU","06","07")))))))</f>
        <v/>
      </c>
      <c r="P2212" s="117">
        <f>P2211+IF(AND($H2212&lt;&gt;"",OR(LEFT($F2212,LEN(SC_TK))=SC_TK,LEFT($G2212,LEN(SC_TK))=SC_TK)),1,0)</f>
        <v/>
      </c>
    </row>
    <row r="2213" ht="15" customHeight="1" s="78">
      <c r="A2213" s="95">
        <f>IF($H2213="","",ROW()-6)</f>
        <v/>
      </c>
      <c r="B2213" s="114" t="n"/>
      <c r="C2213" s="102" t="n"/>
      <c r="D2213" s="114" t="n"/>
      <c r="E2213" s="103" t="n"/>
      <c r="F2213" s="102" t="n"/>
      <c r="G2213" s="102" t="n"/>
      <c r="H2213" s="115" t="n"/>
      <c r="I2213" s="102" t="n"/>
      <c r="J2213" s="102" t="n"/>
      <c r="K2213" s="103" t="n"/>
      <c r="L2213" s="116">
        <f>IF($H2213="","",TRIM(IF(COUNTIF(DMTK!$A$7:$A$250,$F2213)=0,"TK Nợ sai! ","")&amp;IF(COUNTIF(DMTK!$A$7:$A$250,$G2213)=0,"TK Có sai! ","")&amp;IF(N($H2213)&lt;=0,"Tiền phải &gt; 0! ","")&amp;IF($B2213="","Thiếu ngày! ","")&amp;IF(AND(OR(LEFT($F2213,3)="131",LEFT($G2213,3)="131",LEFT($F2213,3)="331",LEFT($G2213,3)="331"),$I2213=""),"Thiếu Mã ĐT! ","")&amp;IF(AND($I2213&lt;&gt;"",COUNTIF(DM_DT!$A$7:$A$306,$I2213)=0),"Mã ĐT chưa khai báo! ","")))</f>
        <v/>
      </c>
      <c r="M2213" s="117">
        <f>IF($H2213="","",IF(AND(OR(LEFT($F2213,3)="111",LEFT($F2213,3)="112",LEFT($F2213,3)="113"),OR(LEFT($G2213,3)="111",LEFT($G2213,3)="112",LEFT($G2213,3)="113")),"NB",IF(OR(LEFT($F2213,3)="111",LEFT($F2213,3)="112",LEFT($F2213,3)="113"),"THU",IF(OR(LEFT($G2213,3)="111",LEFT($G2213,3)="112",LEFT($G2213,3)="113"),"CHI",""))))</f>
        <v/>
      </c>
      <c r="N2213" s="117">
        <f>IF($M2213="THU",$G2213,IF($M2213="CHI",$F2213,""))</f>
        <v/>
      </c>
      <c r="O2213" s="117">
        <f>IF(OR($M2213="",$M2213="NB"),"",IF($J2213&lt;&gt;"",TEXT($J2213,"00"),IFERROR(VLOOKUP(LEFT($N2213,4),LCTT_MAP!$A$7:$C$66,IF($M2213="THU",2,3),FALSE()),IFERROR(VLOOKUP(LEFT($N2213,3),LCTT_MAP!$A$7:$C$66,IF($M2213="THU",2,3),FALSE()),IFERROR(VLOOKUP(LEFT($N2213,2),LCTT_MAP!$A$7:$C$66,IF($M2213="THU",2,3),FALSE()),IFERROR(VLOOKUP(LEFT($N2213,1),LCTT_MAP!$A$7:$C$66,IF($M2213="THU",2,3),FALSE()),IF($M2213="THU","06","07")))))))</f>
        <v/>
      </c>
      <c r="P2213" s="117">
        <f>P2212+IF(AND($H2213&lt;&gt;"",OR(LEFT($F2213,LEN(SC_TK))=SC_TK,LEFT($G2213,LEN(SC_TK))=SC_TK)),1,0)</f>
        <v/>
      </c>
    </row>
    <row r="2214" ht="15" customHeight="1" s="78">
      <c r="A2214" s="95">
        <f>IF($H2214="","",ROW()-6)</f>
        <v/>
      </c>
      <c r="B2214" s="114" t="n"/>
      <c r="C2214" s="102" t="n"/>
      <c r="D2214" s="114" t="n"/>
      <c r="E2214" s="103" t="n"/>
      <c r="F2214" s="102" t="n"/>
      <c r="G2214" s="102" t="n"/>
      <c r="H2214" s="115" t="n"/>
      <c r="I2214" s="102" t="n"/>
      <c r="J2214" s="102" t="n"/>
      <c r="K2214" s="103" t="n"/>
      <c r="L2214" s="116">
        <f>IF($H2214="","",TRIM(IF(COUNTIF(DMTK!$A$7:$A$250,$F2214)=0,"TK Nợ sai! ","")&amp;IF(COUNTIF(DMTK!$A$7:$A$250,$G2214)=0,"TK Có sai! ","")&amp;IF(N($H2214)&lt;=0,"Tiền phải &gt; 0! ","")&amp;IF($B2214="","Thiếu ngày! ","")&amp;IF(AND(OR(LEFT($F2214,3)="131",LEFT($G2214,3)="131",LEFT($F2214,3)="331",LEFT($G2214,3)="331"),$I2214=""),"Thiếu Mã ĐT! ","")&amp;IF(AND($I2214&lt;&gt;"",COUNTIF(DM_DT!$A$7:$A$306,$I2214)=0),"Mã ĐT chưa khai báo! ","")))</f>
        <v/>
      </c>
      <c r="M2214" s="117">
        <f>IF($H2214="","",IF(AND(OR(LEFT($F2214,3)="111",LEFT($F2214,3)="112",LEFT($F2214,3)="113"),OR(LEFT($G2214,3)="111",LEFT($G2214,3)="112",LEFT($G2214,3)="113")),"NB",IF(OR(LEFT($F2214,3)="111",LEFT($F2214,3)="112",LEFT($F2214,3)="113"),"THU",IF(OR(LEFT($G2214,3)="111",LEFT($G2214,3)="112",LEFT($G2214,3)="113"),"CHI",""))))</f>
        <v/>
      </c>
      <c r="N2214" s="117">
        <f>IF($M2214="THU",$G2214,IF($M2214="CHI",$F2214,""))</f>
        <v/>
      </c>
      <c r="O2214" s="117">
        <f>IF(OR($M2214="",$M2214="NB"),"",IF($J2214&lt;&gt;"",TEXT($J2214,"00"),IFERROR(VLOOKUP(LEFT($N2214,4),LCTT_MAP!$A$7:$C$66,IF($M2214="THU",2,3),FALSE()),IFERROR(VLOOKUP(LEFT($N2214,3),LCTT_MAP!$A$7:$C$66,IF($M2214="THU",2,3),FALSE()),IFERROR(VLOOKUP(LEFT($N2214,2),LCTT_MAP!$A$7:$C$66,IF($M2214="THU",2,3),FALSE()),IFERROR(VLOOKUP(LEFT($N2214,1),LCTT_MAP!$A$7:$C$66,IF($M2214="THU",2,3),FALSE()),IF($M2214="THU","06","07")))))))</f>
        <v/>
      </c>
      <c r="P2214" s="117">
        <f>P2213+IF(AND($H2214&lt;&gt;"",OR(LEFT($F2214,LEN(SC_TK))=SC_TK,LEFT($G2214,LEN(SC_TK))=SC_TK)),1,0)</f>
        <v/>
      </c>
    </row>
    <row r="2215" ht="15" customHeight="1" s="78">
      <c r="A2215" s="95">
        <f>IF($H2215="","",ROW()-6)</f>
        <v/>
      </c>
      <c r="B2215" s="114" t="n"/>
      <c r="C2215" s="102" t="n"/>
      <c r="D2215" s="114" t="n"/>
      <c r="E2215" s="103" t="n"/>
      <c r="F2215" s="102" t="n"/>
      <c r="G2215" s="102" t="n"/>
      <c r="H2215" s="115" t="n"/>
      <c r="I2215" s="102" t="n"/>
      <c r="J2215" s="102" t="n"/>
      <c r="K2215" s="103" t="n"/>
      <c r="L2215" s="116">
        <f>IF($H2215="","",TRIM(IF(COUNTIF(DMTK!$A$7:$A$250,$F2215)=0,"TK Nợ sai! ","")&amp;IF(COUNTIF(DMTK!$A$7:$A$250,$G2215)=0,"TK Có sai! ","")&amp;IF(N($H2215)&lt;=0,"Tiền phải &gt; 0! ","")&amp;IF($B2215="","Thiếu ngày! ","")&amp;IF(AND(OR(LEFT($F2215,3)="131",LEFT($G2215,3)="131",LEFT($F2215,3)="331",LEFT($G2215,3)="331"),$I2215=""),"Thiếu Mã ĐT! ","")&amp;IF(AND($I2215&lt;&gt;"",COUNTIF(DM_DT!$A$7:$A$306,$I2215)=0),"Mã ĐT chưa khai báo! ","")))</f>
        <v/>
      </c>
      <c r="M2215" s="117">
        <f>IF($H2215="","",IF(AND(OR(LEFT($F2215,3)="111",LEFT($F2215,3)="112",LEFT($F2215,3)="113"),OR(LEFT($G2215,3)="111",LEFT($G2215,3)="112",LEFT($G2215,3)="113")),"NB",IF(OR(LEFT($F2215,3)="111",LEFT($F2215,3)="112",LEFT($F2215,3)="113"),"THU",IF(OR(LEFT($G2215,3)="111",LEFT($G2215,3)="112",LEFT($G2215,3)="113"),"CHI",""))))</f>
        <v/>
      </c>
      <c r="N2215" s="117">
        <f>IF($M2215="THU",$G2215,IF($M2215="CHI",$F2215,""))</f>
        <v/>
      </c>
      <c r="O2215" s="117">
        <f>IF(OR($M2215="",$M2215="NB"),"",IF($J2215&lt;&gt;"",TEXT($J2215,"00"),IFERROR(VLOOKUP(LEFT($N2215,4),LCTT_MAP!$A$7:$C$66,IF($M2215="THU",2,3),FALSE()),IFERROR(VLOOKUP(LEFT($N2215,3),LCTT_MAP!$A$7:$C$66,IF($M2215="THU",2,3),FALSE()),IFERROR(VLOOKUP(LEFT($N2215,2),LCTT_MAP!$A$7:$C$66,IF($M2215="THU",2,3),FALSE()),IFERROR(VLOOKUP(LEFT($N2215,1),LCTT_MAP!$A$7:$C$66,IF($M2215="THU",2,3),FALSE()),IF($M2215="THU","06","07")))))))</f>
        <v/>
      </c>
      <c r="P2215" s="117">
        <f>P2214+IF(AND($H2215&lt;&gt;"",OR(LEFT($F2215,LEN(SC_TK))=SC_TK,LEFT($G2215,LEN(SC_TK))=SC_TK)),1,0)</f>
        <v/>
      </c>
    </row>
    <row r="2216" ht="15" customHeight="1" s="78">
      <c r="A2216" s="95">
        <f>IF($H2216="","",ROW()-6)</f>
        <v/>
      </c>
      <c r="B2216" s="114" t="n"/>
      <c r="C2216" s="102" t="n"/>
      <c r="D2216" s="114" t="n"/>
      <c r="E2216" s="103" t="n"/>
      <c r="F2216" s="102" t="n"/>
      <c r="G2216" s="102" t="n"/>
      <c r="H2216" s="115" t="n"/>
      <c r="I2216" s="102" t="n"/>
      <c r="J2216" s="102" t="n"/>
      <c r="K2216" s="103" t="n"/>
      <c r="L2216" s="116">
        <f>IF($H2216="","",TRIM(IF(COUNTIF(DMTK!$A$7:$A$250,$F2216)=0,"TK Nợ sai! ","")&amp;IF(COUNTIF(DMTK!$A$7:$A$250,$G2216)=0,"TK Có sai! ","")&amp;IF(N($H2216)&lt;=0,"Tiền phải &gt; 0! ","")&amp;IF($B2216="","Thiếu ngày! ","")&amp;IF(AND(OR(LEFT($F2216,3)="131",LEFT($G2216,3)="131",LEFT($F2216,3)="331",LEFT($G2216,3)="331"),$I2216=""),"Thiếu Mã ĐT! ","")&amp;IF(AND($I2216&lt;&gt;"",COUNTIF(DM_DT!$A$7:$A$306,$I2216)=0),"Mã ĐT chưa khai báo! ","")))</f>
        <v/>
      </c>
      <c r="M2216" s="117">
        <f>IF($H2216="","",IF(AND(OR(LEFT($F2216,3)="111",LEFT($F2216,3)="112",LEFT($F2216,3)="113"),OR(LEFT($G2216,3)="111",LEFT($G2216,3)="112",LEFT($G2216,3)="113")),"NB",IF(OR(LEFT($F2216,3)="111",LEFT($F2216,3)="112",LEFT($F2216,3)="113"),"THU",IF(OR(LEFT($G2216,3)="111",LEFT($G2216,3)="112",LEFT($G2216,3)="113"),"CHI",""))))</f>
        <v/>
      </c>
      <c r="N2216" s="117">
        <f>IF($M2216="THU",$G2216,IF($M2216="CHI",$F2216,""))</f>
        <v/>
      </c>
      <c r="O2216" s="117">
        <f>IF(OR($M2216="",$M2216="NB"),"",IF($J2216&lt;&gt;"",TEXT($J2216,"00"),IFERROR(VLOOKUP(LEFT($N2216,4),LCTT_MAP!$A$7:$C$66,IF($M2216="THU",2,3),FALSE()),IFERROR(VLOOKUP(LEFT($N2216,3),LCTT_MAP!$A$7:$C$66,IF($M2216="THU",2,3),FALSE()),IFERROR(VLOOKUP(LEFT($N2216,2),LCTT_MAP!$A$7:$C$66,IF($M2216="THU",2,3),FALSE()),IFERROR(VLOOKUP(LEFT($N2216,1),LCTT_MAP!$A$7:$C$66,IF($M2216="THU",2,3),FALSE()),IF($M2216="THU","06","07")))))))</f>
        <v/>
      </c>
      <c r="P2216" s="117">
        <f>P2215+IF(AND($H2216&lt;&gt;"",OR(LEFT($F2216,LEN(SC_TK))=SC_TK,LEFT($G2216,LEN(SC_TK))=SC_TK)),1,0)</f>
        <v/>
      </c>
    </row>
    <row r="2217" ht="15" customHeight="1" s="78">
      <c r="A2217" s="95">
        <f>IF($H2217="","",ROW()-6)</f>
        <v/>
      </c>
      <c r="B2217" s="114" t="n"/>
      <c r="C2217" s="102" t="n"/>
      <c r="D2217" s="114" t="n"/>
      <c r="E2217" s="103" t="n"/>
      <c r="F2217" s="102" t="n"/>
      <c r="G2217" s="102" t="n"/>
      <c r="H2217" s="115" t="n"/>
      <c r="I2217" s="102" t="n"/>
      <c r="J2217" s="102" t="n"/>
      <c r="K2217" s="103" t="n"/>
      <c r="L2217" s="116">
        <f>IF($H2217="","",TRIM(IF(COUNTIF(DMTK!$A$7:$A$250,$F2217)=0,"TK Nợ sai! ","")&amp;IF(COUNTIF(DMTK!$A$7:$A$250,$G2217)=0,"TK Có sai! ","")&amp;IF(N($H2217)&lt;=0,"Tiền phải &gt; 0! ","")&amp;IF($B2217="","Thiếu ngày! ","")&amp;IF(AND(OR(LEFT($F2217,3)="131",LEFT($G2217,3)="131",LEFT($F2217,3)="331",LEFT($G2217,3)="331"),$I2217=""),"Thiếu Mã ĐT! ","")&amp;IF(AND($I2217&lt;&gt;"",COUNTIF(DM_DT!$A$7:$A$306,$I2217)=0),"Mã ĐT chưa khai báo! ","")))</f>
        <v/>
      </c>
      <c r="M2217" s="117">
        <f>IF($H2217="","",IF(AND(OR(LEFT($F2217,3)="111",LEFT($F2217,3)="112",LEFT($F2217,3)="113"),OR(LEFT($G2217,3)="111",LEFT($G2217,3)="112",LEFT($G2217,3)="113")),"NB",IF(OR(LEFT($F2217,3)="111",LEFT($F2217,3)="112",LEFT($F2217,3)="113"),"THU",IF(OR(LEFT($G2217,3)="111",LEFT($G2217,3)="112",LEFT($G2217,3)="113"),"CHI",""))))</f>
        <v/>
      </c>
      <c r="N2217" s="117">
        <f>IF($M2217="THU",$G2217,IF($M2217="CHI",$F2217,""))</f>
        <v/>
      </c>
      <c r="O2217" s="117">
        <f>IF(OR($M2217="",$M2217="NB"),"",IF($J2217&lt;&gt;"",TEXT($J2217,"00"),IFERROR(VLOOKUP(LEFT($N2217,4),LCTT_MAP!$A$7:$C$66,IF($M2217="THU",2,3),FALSE()),IFERROR(VLOOKUP(LEFT($N2217,3),LCTT_MAP!$A$7:$C$66,IF($M2217="THU",2,3),FALSE()),IFERROR(VLOOKUP(LEFT($N2217,2),LCTT_MAP!$A$7:$C$66,IF($M2217="THU",2,3),FALSE()),IFERROR(VLOOKUP(LEFT($N2217,1),LCTT_MAP!$A$7:$C$66,IF($M2217="THU",2,3),FALSE()),IF($M2217="THU","06","07")))))))</f>
        <v/>
      </c>
      <c r="P2217" s="117">
        <f>P2216+IF(AND($H2217&lt;&gt;"",OR(LEFT($F2217,LEN(SC_TK))=SC_TK,LEFT($G2217,LEN(SC_TK))=SC_TK)),1,0)</f>
        <v/>
      </c>
    </row>
    <row r="2218" ht="15" customHeight="1" s="78">
      <c r="A2218" s="95">
        <f>IF($H2218="","",ROW()-6)</f>
        <v/>
      </c>
      <c r="B2218" s="114" t="n"/>
      <c r="C2218" s="102" t="n"/>
      <c r="D2218" s="114" t="n"/>
      <c r="E2218" s="103" t="n"/>
      <c r="F2218" s="102" t="n"/>
      <c r="G2218" s="102" t="n"/>
      <c r="H2218" s="115" t="n"/>
      <c r="I2218" s="102" t="n"/>
      <c r="J2218" s="102" t="n"/>
      <c r="K2218" s="103" t="n"/>
      <c r="L2218" s="116">
        <f>IF($H2218="","",TRIM(IF(COUNTIF(DMTK!$A$7:$A$250,$F2218)=0,"TK Nợ sai! ","")&amp;IF(COUNTIF(DMTK!$A$7:$A$250,$G2218)=0,"TK Có sai! ","")&amp;IF(N($H2218)&lt;=0,"Tiền phải &gt; 0! ","")&amp;IF($B2218="","Thiếu ngày! ","")&amp;IF(AND(OR(LEFT($F2218,3)="131",LEFT($G2218,3)="131",LEFT($F2218,3)="331",LEFT($G2218,3)="331"),$I2218=""),"Thiếu Mã ĐT! ","")&amp;IF(AND($I2218&lt;&gt;"",COUNTIF(DM_DT!$A$7:$A$306,$I2218)=0),"Mã ĐT chưa khai báo! ","")))</f>
        <v/>
      </c>
      <c r="M2218" s="117">
        <f>IF($H2218="","",IF(AND(OR(LEFT($F2218,3)="111",LEFT($F2218,3)="112",LEFT($F2218,3)="113"),OR(LEFT($G2218,3)="111",LEFT($G2218,3)="112",LEFT($G2218,3)="113")),"NB",IF(OR(LEFT($F2218,3)="111",LEFT($F2218,3)="112",LEFT($F2218,3)="113"),"THU",IF(OR(LEFT($G2218,3)="111",LEFT($G2218,3)="112",LEFT($G2218,3)="113"),"CHI",""))))</f>
        <v/>
      </c>
      <c r="N2218" s="117">
        <f>IF($M2218="THU",$G2218,IF($M2218="CHI",$F2218,""))</f>
        <v/>
      </c>
      <c r="O2218" s="117">
        <f>IF(OR($M2218="",$M2218="NB"),"",IF($J2218&lt;&gt;"",TEXT($J2218,"00"),IFERROR(VLOOKUP(LEFT($N2218,4),LCTT_MAP!$A$7:$C$66,IF($M2218="THU",2,3),FALSE()),IFERROR(VLOOKUP(LEFT($N2218,3),LCTT_MAP!$A$7:$C$66,IF($M2218="THU",2,3),FALSE()),IFERROR(VLOOKUP(LEFT($N2218,2),LCTT_MAP!$A$7:$C$66,IF($M2218="THU",2,3),FALSE()),IFERROR(VLOOKUP(LEFT($N2218,1),LCTT_MAP!$A$7:$C$66,IF($M2218="THU",2,3),FALSE()),IF($M2218="THU","06","07")))))))</f>
        <v/>
      </c>
      <c r="P2218" s="117">
        <f>P2217+IF(AND($H2218&lt;&gt;"",OR(LEFT($F2218,LEN(SC_TK))=SC_TK,LEFT($G2218,LEN(SC_TK))=SC_TK)),1,0)</f>
        <v/>
      </c>
    </row>
    <row r="2219" ht="15" customHeight="1" s="78">
      <c r="A2219" s="95">
        <f>IF($H2219="","",ROW()-6)</f>
        <v/>
      </c>
      <c r="B2219" s="114" t="n"/>
      <c r="C2219" s="102" t="n"/>
      <c r="D2219" s="114" t="n"/>
      <c r="E2219" s="103" t="n"/>
      <c r="F2219" s="102" t="n"/>
      <c r="G2219" s="102" t="n"/>
      <c r="H2219" s="115" t="n"/>
      <c r="I2219" s="102" t="n"/>
      <c r="J2219" s="102" t="n"/>
      <c r="K2219" s="103" t="n"/>
      <c r="L2219" s="116">
        <f>IF($H2219="","",TRIM(IF(COUNTIF(DMTK!$A$7:$A$250,$F2219)=0,"TK Nợ sai! ","")&amp;IF(COUNTIF(DMTK!$A$7:$A$250,$G2219)=0,"TK Có sai! ","")&amp;IF(N($H2219)&lt;=0,"Tiền phải &gt; 0! ","")&amp;IF($B2219="","Thiếu ngày! ","")&amp;IF(AND(OR(LEFT($F2219,3)="131",LEFT($G2219,3)="131",LEFT($F2219,3)="331",LEFT($G2219,3)="331"),$I2219=""),"Thiếu Mã ĐT! ","")&amp;IF(AND($I2219&lt;&gt;"",COUNTIF(DM_DT!$A$7:$A$306,$I2219)=0),"Mã ĐT chưa khai báo! ","")))</f>
        <v/>
      </c>
      <c r="M2219" s="117">
        <f>IF($H2219="","",IF(AND(OR(LEFT($F2219,3)="111",LEFT($F2219,3)="112",LEFT($F2219,3)="113"),OR(LEFT($G2219,3)="111",LEFT($G2219,3)="112",LEFT($G2219,3)="113")),"NB",IF(OR(LEFT($F2219,3)="111",LEFT($F2219,3)="112",LEFT($F2219,3)="113"),"THU",IF(OR(LEFT($G2219,3)="111",LEFT($G2219,3)="112",LEFT($G2219,3)="113"),"CHI",""))))</f>
        <v/>
      </c>
      <c r="N2219" s="117">
        <f>IF($M2219="THU",$G2219,IF($M2219="CHI",$F2219,""))</f>
        <v/>
      </c>
      <c r="O2219" s="117">
        <f>IF(OR($M2219="",$M2219="NB"),"",IF($J2219&lt;&gt;"",TEXT($J2219,"00"),IFERROR(VLOOKUP(LEFT($N2219,4),LCTT_MAP!$A$7:$C$66,IF($M2219="THU",2,3),FALSE()),IFERROR(VLOOKUP(LEFT($N2219,3),LCTT_MAP!$A$7:$C$66,IF($M2219="THU",2,3),FALSE()),IFERROR(VLOOKUP(LEFT($N2219,2),LCTT_MAP!$A$7:$C$66,IF($M2219="THU",2,3),FALSE()),IFERROR(VLOOKUP(LEFT($N2219,1),LCTT_MAP!$A$7:$C$66,IF($M2219="THU",2,3),FALSE()),IF($M2219="THU","06","07")))))))</f>
        <v/>
      </c>
      <c r="P2219" s="117">
        <f>P2218+IF(AND($H2219&lt;&gt;"",OR(LEFT($F2219,LEN(SC_TK))=SC_TK,LEFT($G2219,LEN(SC_TK))=SC_TK)),1,0)</f>
        <v/>
      </c>
    </row>
    <row r="2220" ht="15" customHeight="1" s="78">
      <c r="A2220" s="95">
        <f>IF($H2220="","",ROW()-6)</f>
        <v/>
      </c>
      <c r="B2220" s="114" t="n"/>
      <c r="C2220" s="102" t="n"/>
      <c r="D2220" s="114" t="n"/>
      <c r="E2220" s="103" t="n"/>
      <c r="F2220" s="102" t="n"/>
      <c r="G2220" s="102" t="n"/>
      <c r="H2220" s="115" t="n"/>
      <c r="I2220" s="102" t="n"/>
      <c r="J2220" s="102" t="n"/>
      <c r="K2220" s="103" t="n"/>
      <c r="L2220" s="116">
        <f>IF($H2220="","",TRIM(IF(COUNTIF(DMTK!$A$7:$A$250,$F2220)=0,"TK Nợ sai! ","")&amp;IF(COUNTIF(DMTK!$A$7:$A$250,$G2220)=0,"TK Có sai! ","")&amp;IF(N($H2220)&lt;=0,"Tiền phải &gt; 0! ","")&amp;IF($B2220="","Thiếu ngày! ","")&amp;IF(AND(OR(LEFT($F2220,3)="131",LEFT($G2220,3)="131",LEFT($F2220,3)="331",LEFT($G2220,3)="331"),$I2220=""),"Thiếu Mã ĐT! ","")&amp;IF(AND($I2220&lt;&gt;"",COUNTIF(DM_DT!$A$7:$A$306,$I2220)=0),"Mã ĐT chưa khai báo! ","")))</f>
        <v/>
      </c>
      <c r="M2220" s="117">
        <f>IF($H2220="","",IF(AND(OR(LEFT($F2220,3)="111",LEFT($F2220,3)="112",LEFT($F2220,3)="113"),OR(LEFT($G2220,3)="111",LEFT($G2220,3)="112",LEFT($G2220,3)="113")),"NB",IF(OR(LEFT($F2220,3)="111",LEFT($F2220,3)="112",LEFT($F2220,3)="113"),"THU",IF(OR(LEFT($G2220,3)="111",LEFT($G2220,3)="112",LEFT($G2220,3)="113"),"CHI",""))))</f>
        <v/>
      </c>
      <c r="N2220" s="117">
        <f>IF($M2220="THU",$G2220,IF($M2220="CHI",$F2220,""))</f>
        <v/>
      </c>
      <c r="O2220" s="117">
        <f>IF(OR($M2220="",$M2220="NB"),"",IF($J2220&lt;&gt;"",TEXT($J2220,"00"),IFERROR(VLOOKUP(LEFT($N2220,4),LCTT_MAP!$A$7:$C$66,IF($M2220="THU",2,3),FALSE()),IFERROR(VLOOKUP(LEFT($N2220,3),LCTT_MAP!$A$7:$C$66,IF($M2220="THU",2,3),FALSE()),IFERROR(VLOOKUP(LEFT($N2220,2),LCTT_MAP!$A$7:$C$66,IF($M2220="THU",2,3),FALSE()),IFERROR(VLOOKUP(LEFT($N2220,1),LCTT_MAP!$A$7:$C$66,IF($M2220="THU",2,3),FALSE()),IF($M2220="THU","06","07")))))))</f>
        <v/>
      </c>
      <c r="P2220" s="117">
        <f>P2219+IF(AND($H2220&lt;&gt;"",OR(LEFT($F2220,LEN(SC_TK))=SC_TK,LEFT($G2220,LEN(SC_TK))=SC_TK)),1,0)</f>
        <v/>
      </c>
    </row>
    <row r="2221" ht="15" customHeight="1" s="78">
      <c r="A2221" s="95">
        <f>IF($H2221="","",ROW()-6)</f>
        <v/>
      </c>
      <c r="B2221" s="114" t="n"/>
      <c r="C2221" s="102" t="n"/>
      <c r="D2221" s="114" t="n"/>
      <c r="E2221" s="103" t="n"/>
      <c r="F2221" s="102" t="n"/>
      <c r="G2221" s="102" t="n"/>
      <c r="H2221" s="115" t="n"/>
      <c r="I2221" s="102" t="n"/>
      <c r="J2221" s="102" t="n"/>
      <c r="K2221" s="103" t="n"/>
      <c r="L2221" s="116">
        <f>IF($H2221="","",TRIM(IF(COUNTIF(DMTK!$A$7:$A$250,$F2221)=0,"TK Nợ sai! ","")&amp;IF(COUNTIF(DMTK!$A$7:$A$250,$G2221)=0,"TK Có sai! ","")&amp;IF(N($H2221)&lt;=0,"Tiền phải &gt; 0! ","")&amp;IF($B2221="","Thiếu ngày! ","")&amp;IF(AND(OR(LEFT($F2221,3)="131",LEFT($G2221,3)="131",LEFT($F2221,3)="331",LEFT($G2221,3)="331"),$I2221=""),"Thiếu Mã ĐT! ","")&amp;IF(AND($I2221&lt;&gt;"",COUNTIF(DM_DT!$A$7:$A$306,$I2221)=0),"Mã ĐT chưa khai báo! ","")))</f>
        <v/>
      </c>
      <c r="M2221" s="117">
        <f>IF($H2221="","",IF(AND(OR(LEFT($F2221,3)="111",LEFT($F2221,3)="112",LEFT($F2221,3)="113"),OR(LEFT($G2221,3)="111",LEFT($G2221,3)="112",LEFT($G2221,3)="113")),"NB",IF(OR(LEFT($F2221,3)="111",LEFT($F2221,3)="112",LEFT($F2221,3)="113"),"THU",IF(OR(LEFT($G2221,3)="111",LEFT($G2221,3)="112",LEFT($G2221,3)="113"),"CHI",""))))</f>
        <v/>
      </c>
      <c r="N2221" s="117">
        <f>IF($M2221="THU",$G2221,IF($M2221="CHI",$F2221,""))</f>
        <v/>
      </c>
      <c r="O2221" s="117">
        <f>IF(OR($M2221="",$M2221="NB"),"",IF($J2221&lt;&gt;"",TEXT($J2221,"00"),IFERROR(VLOOKUP(LEFT($N2221,4),LCTT_MAP!$A$7:$C$66,IF($M2221="THU",2,3),FALSE()),IFERROR(VLOOKUP(LEFT($N2221,3),LCTT_MAP!$A$7:$C$66,IF($M2221="THU",2,3),FALSE()),IFERROR(VLOOKUP(LEFT($N2221,2),LCTT_MAP!$A$7:$C$66,IF($M2221="THU",2,3),FALSE()),IFERROR(VLOOKUP(LEFT($N2221,1),LCTT_MAP!$A$7:$C$66,IF($M2221="THU",2,3),FALSE()),IF($M2221="THU","06","07")))))))</f>
        <v/>
      </c>
      <c r="P2221" s="117">
        <f>P2220+IF(AND($H2221&lt;&gt;"",OR(LEFT($F2221,LEN(SC_TK))=SC_TK,LEFT($G2221,LEN(SC_TK))=SC_TK)),1,0)</f>
        <v/>
      </c>
    </row>
    <row r="2222" ht="15" customHeight="1" s="78">
      <c r="A2222" s="95">
        <f>IF($H2222="","",ROW()-6)</f>
        <v/>
      </c>
      <c r="B2222" s="114" t="n"/>
      <c r="C2222" s="102" t="n"/>
      <c r="D2222" s="114" t="n"/>
      <c r="E2222" s="103" t="n"/>
      <c r="F2222" s="102" t="n"/>
      <c r="G2222" s="102" t="n"/>
      <c r="H2222" s="115" t="n"/>
      <c r="I2222" s="102" t="n"/>
      <c r="J2222" s="102" t="n"/>
      <c r="K2222" s="103" t="n"/>
      <c r="L2222" s="116">
        <f>IF($H2222="","",TRIM(IF(COUNTIF(DMTK!$A$7:$A$250,$F2222)=0,"TK Nợ sai! ","")&amp;IF(COUNTIF(DMTK!$A$7:$A$250,$G2222)=0,"TK Có sai! ","")&amp;IF(N($H2222)&lt;=0,"Tiền phải &gt; 0! ","")&amp;IF($B2222="","Thiếu ngày! ","")&amp;IF(AND(OR(LEFT($F2222,3)="131",LEFT($G2222,3)="131",LEFT($F2222,3)="331",LEFT($G2222,3)="331"),$I2222=""),"Thiếu Mã ĐT! ","")&amp;IF(AND($I2222&lt;&gt;"",COUNTIF(DM_DT!$A$7:$A$306,$I2222)=0),"Mã ĐT chưa khai báo! ","")))</f>
        <v/>
      </c>
      <c r="M2222" s="117">
        <f>IF($H2222="","",IF(AND(OR(LEFT($F2222,3)="111",LEFT($F2222,3)="112",LEFT($F2222,3)="113"),OR(LEFT($G2222,3)="111",LEFT($G2222,3)="112",LEFT($G2222,3)="113")),"NB",IF(OR(LEFT($F2222,3)="111",LEFT($F2222,3)="112",LEFT($F2222,3)="113"),"THU",IF(OR(LEFT($G2222,3)="111",LEFT($G2222,3)="112",LEFT($G2222,3)="113"),"CHI",""))))</f>
        <v/>
      </c>
      <c r="N2222" s="117">
        <f>IF($M2222="THU",$G2222,IF($M2222="CHI",$F2222,""))</f>
        <v/>
      </c>
      <c r="O2222" s="117">
        <f>IF(OR($M2222="",$M2222="NB"),"",IF($J2222&lt;&gt;"",TEXT($J2222,"00"),IFERROR(VLOOKUP(LEFT($N2222,4),LCTT_MAP!$A$7:$C$66,IF($M2222="THU",2,3),FALSE()),IFERROR(VLOOKUP(LEFT($N2222,3),LCTT_MAP!$A$7:$C$66,IF($M2222="THU",2,3),FALSE()),IFERROR(VLOOKUP(LEFT($N2222,2),LCTT_MAP!$A$7:$C$66,IF($M2222="THU",2,3),FALSE()),IFERROR(VLOOKUP(LEFT($N2222,1),LCTT_MAP!$A$7:$C$66,IF($M2222="THU",2,3),FALSE()),IF($M2222="THU","06","07")))))))</f>
        <v/>
      </c>
      <c r="P2222" s="117">
        <f>P2221+IF(AND($H2222&lt;&gt;"",OR(LEFT($F2222,LEN(SC_TK))=SC_TK,LEFT($G2222,LEN(SC_TK))=SC_TK)),1,0)</f>
        <v/>
      </c>
    </row>
    <row r="2223" ht="15" customHeight="1" s="78">
      <c r="A2223" s="95">
        <f>IF($H2223="","",ROW()-6)</f>
        <v/>
      </c>
      <c r="B2223" s="114" t="n"/>
      <c r="C2223" s="102" t="n"/>
      <c r="D2223" s="114" t="n"/>
      <c r="E2223" s="103" t="n"/>
      <c r="F2223" s="102" t="n"/>
      <c r="G2223" s="102" t="n"/>
      <c r="H2223" s="115" t="n"/>
      <c r="I2223" s="102" t="n"/>
      <c r="J2223" s="102" t="n"/>
      <c r="K2223" s="103" t="n"/>
      <c r="L2223" s="116">
        <f>IF($H2223="","",TRIM(IF(COUNTIF(DMTK!$A$7:$A$250,$F2223)=0,"TK Nợ sai! ","")&amp;IF(COUNTIF(DMTK!$A$7:$A$250,$G2223)=0,"TK Có sai! ","")&amp;IF(N($H2223)&lt;=0,"Tiền phải &gt; 0! ","")&amp;IF($B2223="","Thiếu ngày! ","")&amp;IF(AND(OR(LEFT($F2223,3)="131",LEFT($G2223,3)="131",LEFT($F2223,3)="331",LEFT($G2223,3)="331"),$I2223=""),"Thiếu Mã ĐT! ","")&amp;IF(AND($I2223&lt;&gt;"",COUNTIF(DM_DT!$A$7:$A$306,$I2223)=0),"Mã ĐT chưa khai báo! ","")))</f>
        <v/>
      </c>
      <c r="M2223" s="117">
        <f>IF($H2223="","",IF(AND(OR(LEFT($F2223,3)="111",LEFT($F2223,3)="112",LEFT($F2223,3)="113"),OR(LEFT($G2223,3)="111",LEFT($G2223,3)="112",LEFT($G2223,3)="113")),"NB",IF(OR(LEFT($F2223,3)="111",LEFT($F2223,3)="112",LEFT($F2223,3)="113"),"THU",IF(OR(LEFT($G2223,3)="111",LEFT($G2223,3)="112",LEFT($G2223,3)="113"),"CHI",""))))</f>
        <v/>
      </c>
      <c r="N2223" s="117">
        <f>IF($M2223="THU",$G2223,IF($M2223="CHI",$F2223,""))</f>
        <v/>
      </c>
      <c r="O2223" s="117">
        <f>IF(OR($M2223="",$M2223="NB"),"",IF($J2223&lt;&gt;"",TEXT($J2223,"00"),IFERROR(VLOOKUP(LEFT($N2223,4),LCTT_MAP!$A$7:$C$66,IF($M2223="THU",2,3),FALSE()),IFERROR(VLOOKUP(LEFT($N2223,3),LCTT_MAP!$A$7:$C$66,IF($M2223="THU",2,3),FALSE()),IFERROR(VLOOKUP(LEFT($N2223,2),LCTT_MAP!$A$7:$C$66,IF($M2223="THU",2,3),FALSE()),IFERROR(VLOOKUP(LEFT($N2223,1),LCTT_MAP!$A$7:$C$66,IF($M2223="THU",2,3),FALSE()),IF($M2223="THU","06","07")))))))</f>
        <v/>
      </c>
      <c r="P2223" s="117">
        <f>P2222+IF(AND($H2223&lt;&gt;"",OR(LEFT($F2223,LEN(SC_TK))=SC_TK,LEFT($G2223,LEN(SC_TK))=SC_TK)),1,0)</f>
        <v/>
      </c>
    </row>
    <row r="2224" ht="15" customHeight="1" s="78">
      <c r="A2224" s="95">
        <f>IF($H2224="","",ROW()-6)</f>
        <v/>
      </c>
      <c r="B2224" s="114" t="n"/>
      <c r="C2224" s="102" t="n"/>
      <c r="D2224" s="114" t="n"/>
      <c r="E2224" s="103" t="n"/>
      <c r="F2224" s="102" t="n"/>
      <c r="G2224" s="102" t="n"/>
      <c r="H2224" s="115" t="n"/>
      <c r="I2224" s="102" t="n"/>
      <c r="J2224" s="102" t="n"/>
      <c r="K2224" s="103" t="n"/>
      <c r="L2224" s="116">
        <f>IF($H2224="","",TRIM(IF(COUNTIF(DMTK!$A$7:$A$250,$F2224)=0,"TK Nợ sai! ","")&amp;IF(COUNTIF(DMTK!$A$7:$A$250,$G2224)=0,"TK Có sai! ","")&amp;IF(N($H2224)&lt;=0,"Tiền phải &gt; 0! ","")&amp;IF($B2224="","Thiếu ngày! ","")&amp;IF(AND(OR(LEFT($F2224,3)="131",LEFT($G2224,3)="131",LEFT($F2224,3)="331",LEFT($G2224,3)="331"),$I2224=""),"Thiếu Mã ĐT! ","")&amp;IF(AND($I2224&lt;&gt;"",COUNTIF(DM_DT!$A$7:$A$306,$I2224)=0),"Mã ĐT chưa khai báo! ","")))</f>
        <v/>
      </c>
      <c r="M2224" s="117">
        <f>IF($H2224="","",IF(AND(OR(LEFT($F2224,3)="111",LEFT($F2224,3)="112",LEFT($F2224,3)="113"),OR(LEFT($G2224,3)="111",LEFT($G2224,3)="112",LEFT($G2224,3)="113")),"NB",IF(OR(LEFT($F2224,3)="111",LEFT($F2224,3)="112",LEFT($F2224,3)="113"),"THU",IF(OR(LEFT($G2224,3)="111",LEFT($G2224,3)="112",LEFT($G2224,3)="113"),"CHI",""))))</f>
        <v/>
      </c>
      <c r="N2224" s="117">
        <f>IF($M2224="THU",$G2224,IF($M2224="CHI",$F2224,""))</f>
        <v/>
      </c>
      <c r="O2224" s="117">
        <f>IF(OR($M2224="",$M2224="NB"),"",IF($J2224&lt;&gt;"",TEXT($J2224,"00"),IFERROR(VLOOKUP(LEFT($N2224,4),LCTT_MAP!$A$7:$C$66,IF($M2224="THU",2,3),FALSE()),IFERROR(VLOOKUP(LEFT($N2224,3),LCTT_MAP!$A$7:$C$66,IF($M2224="THU",2,3),FALSE()),IFERROR(VLOOKUP(LEFT($N2224,2),LCTT_MAP!$A$7:$C$66,IF($M2224="THU",2,3),FALSE()),IFERROR(VLOOKUP(LEFT($N2224,1),LCTT_MAP!$A$7:$C$66,IF($M2224="THU",2,3),FALSE()),IF($M2224="THU","06","07")))))))</f>
        <v/>
      </c>
      <c r="P2224" s="117">
        <f>P2223+IF(AND($H2224&lt;&gt;"",OR(LEFT($F2224,LEN(SC_TK))=SC_TK,LEFT($G2224,LEN(SC_TK))=SC_TK)),1,0)</f>
        <v/>
      </c>
    </row>
    <row r="2225" ht="15" customHeight="1" s="78">
      <c r="A2225" s="95">
        <f>IF($H2225="","",ROW()-6)</f>
        <v/>
      </c>
      <c r="B2225" s="114" t="n"/>
      <c r="C2225" s="102" t="n"/>
      <c r="D2225" s="114" t="n"/>
      <c r="E2225" s="103" t="n"/>
      <c r="F2225" s="102" t="n"/>
      <c r="G2225" s="102" t="n"/>
      <c r="H2225" s="115" t="n"/>
      <c r="I2225" s="102" t="n"/>
      <c r="J2225" s="102" t="n"/>
      <c r="K2225" s="103" t="n"/>
      <c r="L2225" s="116">
        <f>IF($H2225="","",TRIM(IF(COUNTIF(DMTK!$A$7:$A$250,$F2225)=0,"TK Nợ sai! ","")&amp;IF(COUNTIF(DMTK!$A$7:$A$250,$G2225)=0,"TK Có sai! ","")&amp;IF(N($H2225)&lt;=0,"Tiền phải &gt; 0! ","")&amp;IF($B2225="","Thiếu ngày! ","")&amp;IF(AND(OR(LEFT($F2225,3)="131",LEFT($G2225,3)="131",LEFT($F2225,3)="331",LEFT($G2225,3)="331"),$I2225=""),"Thiếu Mã ĐT! ","")&amp;IF(AND($I2225&lt;&gt;"",COUNTIF(DM_DT!$A$7:$A$306,$I2225)=0),"Mã ĐT chưa khai báo! ","")))</f>
        <v/>
      </c>
      <c r="M2225" s="117">
        <f>IF($H2225="","",IF(AND(OR(LEFT($F2225,3)="111",LEFT($F2225,3)="112",LEFT($F2225,3)="113"),OR(LEFT($G2225,3)="111",LEFT($G2225,3)="112",LEFT($G2225,3)="113")),"NB",IF(OR(LEFT($F2225,3)="111",LEFT($F2225,3)="112",LEFT($F2225,3)="113"),"THU",IF(OR(LEFT($G2225,3)="111",LEFT($G2225,3)="112",LEFT($G2225,3)="113"),"CHI",""))))</f>
        <v/>
      </c>
      <c r="N2225" s="117">
        <f>IF($M2225="THU",$G2225,IF($M2225="CHI",$F2225,""))</f>
        <v/>
      </c>
      <c r="O2225" s="117">
        <f>IF(OR($M2225="",$M2225="NB"),"",IF($J2225&lt;&gt;"",TEXT($J2225,"00"),IFERROR(VLOOKUP(LEFT($N2225,4),LCTT_MAP!$A$7:$C$66,IF($M2225="THU",2,3),FALSE()),IFERROR(VLOOKUP(LEFT($N2225,3),LCTT_MAP!$A$7:$C$66,IF($M2225="THU",2,3),FALSE()),IFERROR(VLOOKUP(LEFT($N2225,2),LCTT_MAP!$A$7:$C$66,IF($M2225="THU",2,3),FALSE()),IFERROR(VLOOKUP(LEFT($N2225,1),LCTT_MAP!$A$7:$C$66,IF($M2225="THU",2,3),FALSE()),IF($M2225="THU","06","07")))))))</f>
        <v/>
      </c>
      <c r="P2225" s="117">
        <f>P2224+IF(AND($H2225&lt;&gt;"",OR(LEFT($F2225,LEN(SC_TK))=SC_TK,LEFT($G2225,LEN(SC_TK))=SC_TK)),1,0)</f>
        <v/>
      </c>
    </row>
    <row r="2226" ht="15" customHeight="1" s="78">
      <c r="A2226" s="95">
        <f>IF($H2226="","",ROW()-6)</f>
        <v/>
      </c>
      <c r="B2226" s="114" t="n"/>
      <c r="C2226" s="102" t="n"/>
      <c r="D2226" s="114" t="n"/>
      <c r="E2226" s="103" t="n"/>
      <c r="F2226" s="102" t="n"/>
      <c r="G2226" s="102" t="n"/>
      <c r="H2226" s="115" t="n"/>
      <c r="I2226" s="102" t="n"/>
      <c r="J2226" s="102" t="n"/>
      <c r="K2226" s="103" t="n"/>
      <c r="L2226" s="116">
        <f>IF($H2226="","",TRIM(IF(COUNTIF(DMTK!$A$7:$A$250,$F2226)=0,"TK Nợ sai! ","")&amp;IF(COUNTIF(DMTK!$A$7:$A$250,$G2226)=0,"TK Có sai! ","")&amp;IF(N($H2226)&lt;=0,"Tiền phải &gt; 0! ","")&amp;IF($B2226="","Thiếu ngày! ","")&amp;IF(AND(OR(LEFT($F2226,3)="131",LEFT($G2226,3)="131",LEFT($F2226,3)="331",LEFT($G2226,3)="331"),$I2226=""),"Thiếu Mã ĐT! ","")&amp;IF(AND($I2226&lt;&gt;"",COUNTIF(DM_DT!$A$7:$A$306,$I2226)=0),"Mã ĐT chưa khai báo! ","")))</f>
        <v/>
      </c>
      <c r="M2226" s="117">
        <f>IF($H2226="","",IF(AND(OR(LEFT($F2226,3)="111",LEFT($F2226,3)="112",LEFT($F2226,3)="113"),OR(LEFT($G2226,3)="111",LEFT($G2226,3)="112",LEFT($G2226,3)="113")),"NB",IF(OR(LEFT($F2226,3)="111",LEFT($F2226,3)="112",LEFT($F2226,3)="113"),"THU",IF(OR(LEFT($G2226,3)="111",LEFT($G2226,3)="112",LEFT($G2226,3)="113"),"CHI",""))))</f>
        <v/>
      </c>
      <c r="N2226" s="117">
        <f>IF($M2226="THU",$G2226,IF($M2226="CHI",$F2226,""))</f>
        <v/>
      </c>
      <c r="O2226" s="117">
        <f>IF(OR($M2226="",$M2226="NB"),"",IF($J2226&lt;&gt;"",TEXT($J2226,"00"),IFERROR(VLOOKUP(LEFT($N2226,4),LCTT_MAP!$A$7:$C$66,IF($M2226="THU",2,3),FALSE()),IFERROR(VLOOKUP(LEFT($N2226,3),LCTT_MAP!$A$7:$C$66,IF($M2226="THU",2,3),FALSE()),IFERROR(VLOOKUP(LEFT($N2226,2),LCTT_MAP!$A$7:$C$66,IF($M2226="THU",2,3),FALSE()),IFERROR(VLOOKUP(LEFT($N2226,1),LCTT_MAP!$A$7:$C$66,IF($M2226="THU",2,3),FALSE()),IF($M2226="THU","06","07")))))))</f>
        <v/>
      </c>
      <c r="P2226" s="117">
        <f>P2225+IF(AND($H2226&lt;&gt;"",OR(LEFT($F2226,LEN(SC_TK))=SC_TK,LEFT($G2226,LEN(SC_TK))=SC_TK)),1,0)</f>
        <v/>
      </c>
    </row>
    <row r="2227" ht="15" customHeight="1" s="78">
      <c r="A2227" s="95">
        <f>IF($H2227="","",ROW()-6)</f>
        <v/>
      </c>
      <c r="B2227" s="114" t="n"/>
      <c r="C2227" s="102" t="n"/>
      <c r="D2227" s="114" t="n"/>
      <c r="E2227" s="103" t="n"/>
      <c r="F2227" s="102" t="n"/>
      <c r="G2227" s="102" t="n"/>
      <c r="H2227" s="115" t="n"/>
      <c r="I2227" s="102" t="n"/>
      <c r="J2227" s="102" t="n"/>
      <c r="K2227" s="103" t="n"/>
      <c r="L2227" s="116">
        <f>IF($H2227="","",TRIM(IF(COUNTIF(DMTK!$A$7:$A$250,$F2227)=0,"TK Nợ sai! ","")&amp;IF(COUNTIF(DMTK!$A$7:$A$250,$G2227)=0,"TK Có sai! ","")&amp;IF(N($H2227)&lt;=0,"Tiền phải &gt; 0! ","")&amp;IF($B2227="","Thiếu ngày! ","")&amp;IF(AND(OR(LEFT($F2227,3)="131",LEFT($G2227,3)="131",LEFT($F2227,3)="331",LEFT($G2227,3)="331"),$I2227=""),"Thiếu Mã ĐT! ","")&amp;IF(AND($I2227&lt;&gt;"",COUNTIF(DM_DT!$A$7:$A$306,$I2227)=0),"Mã ĐT chưa khai báo! ","")))</f>
        <v/>
      </c>
      <c r="M2227" s="117">
        <f>IF($H2227="","",IF(AND(OR(LEFT($F2227,3)="111",LEFT($F2227,3)="112",LEFT($F2227,3)="113"),OR(LEFT($G2227,3)="111",LEFT($G2227,3)="112",LEFT($G2227,3)="113")),"NB",IF(OR(LEFT($F2227,3)="111",LEFT($F2227,3)="112",LEFT($F2227,3)="113"),"THU",IF(OR(LEFT($G2227,3)="111",LEFT($G2227,3)="112",LEFT($G2227,3)="113"),"CHI",""))))</f>
        <v/>
      </c>
      <c r="N2227" s="117">
        <f>IF($M2227="THU",$G2227,IF($M2227="CHI",$F2227,""))</f>
        <v/>
      </c>
      <c r="O2227" s="117">
        <f>IF(OR($M2227="",$M2227="NB"),"",IF($J2227&lt;&gt;"",TEXT($J2227,"00"),IFERROR(VLOOKUP(LEFT($N2227,4),LCTT_MAP!$A$7:$C$66,IF($M2227="THU",2,3),FALSE()),IFERROR(VLOOKUP(LEFT($N2227,3),LCTT_MAP!$A$7:$C$66,IF($M2227="THU",2,3),FALSE()),IFERROR(VLOOKUP(LEFT($N2227,2),LCTT_MAP!$A$7:$C$66,IF($M2227="THU",2,3),FALSE()),IFERROR(VLOOKUP(LEFT($N2227,1),LCTT_MAP!$A$7:$C$66,IF($M2227="THU",2,3),FALSE()),IF($M2227="THU","06","07")))))))</f>
        <v/>
      </c>
      <c r="P2227" s="117">
        <f>P2226+IF(AND($H2227&lt;&gt;"",OR(LEFT($F2227,LEN(SC_TK))=SC_TK,LEFT($G2227,LEN(SC_TK))=SC_TK)),1,0)</f>
        <v/>
      </c>
    </row>
    <row r="2228" ht="15" customHeight="1" s="78">
      <c r="A2228" s="95">
        <f>IF($H2228="","",ROW()-6)</f>
        <v/>
      </c>
      <c r="B2228" s="114" t="n"/>
      <c r="C2228" s="102" t="n"/>
      <c r="D2228" s="114" t="n"/>
      <c r="E2228" s="103" t="n"/>
      <c r="F2228" s="102" t="n"/>
      <c r="G2228" s="102" t="n"/>
      <c r="H2228" s="115" t="n"/>
      <c r="I2228" s="102" t="n"/>
      <c r="J2228" s="102" t="n"/>
      <c r="K2228" s="103" t="n"/>
      <c r="L2228" s="116">
        <f>IF($H2228="","",TRIM(IF(COUNTIF(DMTK!$A$7:$A$250,$F2228)=0,"TK Nợ sai! ","")&amp;IF(COUNTIF(DMTK!$A$7:$A$250,$G2228)=0,"TK Có sai! ","")&amp;IF(N($H2228)&lt;=0,"Tiền phải &gt; 0! ","")&amp;IF($B2228="","Thiếu ngày! ","")&amp;IF(AND(OR(LEFT($F2228,3)="131",LEFT($G2228,3)="131",LEFT($F2228,3)="331",LEFT($G2228,3)="331"),$I2228=""),"Thiếu Mã ĐT! ","")&amp;IF(AND($I2228&lt;&gt;"",COUNTIF(DM_DT!$A$7:$A$306,$I2228)=0),"Mã ĐT chưa khai báo! ","")))</f>
        <v/>
      </c>
      <c r="M2228" s="117">
        <f>IF($H2228="","",IF(AND(OR(LEFT($F2228,3)="111",LEFT($F2228,3)="112",LEFT($F2228,3)="113"),OR(LEFT($G2228,3)="111",LEFT($G2228,3)="112",LEFT($G2228,3)="113")),"NB",IF(OR(LEFT($F2228,3)="111",LEFT($F2228,3)="112",LEFT($F2228,3)="113"),"THU",IF(OR(LEFT($G2228,3)="111",LEFT($G2228,3)="112",LEFT($G2228,3)="113"),"CHI",""))))</f>
        <v/>
      </c>
      <c r="N2228" s="117">
        <f>IF($M2228="THU",$G2228,IF($M2228="CHI",$F2228,""))</f>
        <v/>
      </c>
      <c r="O2228" s="117">
        <f>IF(OR($M2228="",$M2228="NB"),"",IF($J2228&lt;&gt;"",TEXT($J2228,"00"),IFERROR(VLOOKUP(LEFT($N2228,4),LCTT_MAP!$A$7:$C$66,IF($M2228="THU",2,3),FALSE()),IFERROR(VLOOKUP(LEFT($N2228,3),LCTT_MAP!$A$7:$C$66,IF($M2228="THU",2,3),FALSE()),IFERROR(VLOOKUP(LEFT($N2228,2),LCTT_MAP!$A$7:$C$66,IF($M2228="THU",2,3),FALSE()),IFERROR(VLOOKUP(LEFT($N2228,1),LCTT_MAP!$A$7:$C$66,IF($M2228="THU",2,3),FALSE()),IF($M2228="THU","06","07")))))))</f>
        <v/>
      </c>
      <c r="P2228" s="117">
        <f>P2227+IF(AND($H2228&lt;&gt;"",OR(LEFT($F2228,LEN(SC_TK))=SC_TK,LEFT($G2228,LEN(SC_TK))=SC_TK)),1,0)</f>
        <v/>
      </c>
    </row>
    <row r="2229" ht="15" customHeight="1" s="78">
      <c r="A2229" s="95">
        <f>IF($H2229="","",ROW()-6)</f>
        <v/>
      </c>
      <c r="B2229" s="114" t="n"/>
      <c r="C2229" s="102" t="n"/>
      <c r="D2229" s="114" t="n"/>
      <c r="E2229" s="103" t="n"/>
      <c r="F2229" s="102" t="n"/>
      <c r="G2229" s="102" t="n"/>
      <c r="H2229" s="115" t="n"/>
      <c r="I2229" s="102" t="n"/>
      <c r="J2229" s="102" t="n"/>
      <c r="K2229" s="103" t="n"/>
      <c r="L2229" s="116">
        <f>IF($H2229="","",TRIM(IF(COUNTIF(DMTK!$A$7:$A$250,$F2229)=0,"TK Nợ sai! ","")&amp;IF(COUNTIF(DMTK!$A$7:$A$250,$G2229)=0,"TK Có sai! ","")&amp;IF(N($H2229)&lt;=0,"Tiền phải &gt; 0! ","")&amp;IF($B2229="","Thiếu ngày! ","")&amp;IF(AND(OR(LEFT($F2229,3)="131",LEFT($G2229,3)="131",LEFT($F2229,3)="331",LEFT($G2229,3)="331"),$I2229=""),"Thiếu Mã ĐT! ","")&amp;IF(AND($I2229&lt;&gt;"",COUNTIF(DM_DT!$A$7:$A$306,$I2229)=0),"Mã ĐT chưa khai báo! ","")))</f>
        <v/>
      </c>
      <c r="M2229" s="117">
        <f>IF($H2229="","",IF(AND(OR(LEFT($F2229,3)="111",LEFT($F2229,3)="112",LEFT($F2229,3)="113"),OR(LEFT($G2229,3)="111",LEFT($G2229,3)="112",LEFT($G2229,3)="113")),"NB",IF(OR(LEFT($F2229,3)="111",LEFT($F2229,3)="112",LEFT($F2229,3)="113"),"THU",IF(OR(LEFT($G2229,3)="111",LEFT($G2229,3)="112",LEFT($G2229,3)="113"),"CHI",""))))</f>
        <v/>
      </c>
      <c r="N2229" s="117">
        <f>IF($M2229="THU",$G2229,IF($M2229="CHI",$F2229,""))</f>
        <v/>
      </c>
      <c r="O2229" s="117">
        <f>IF(OR($M2229="",$M2229="NB"),"",IF($J2229&lt;&gt;"",TEXT($J2229,"00"),IFERROR(VLOOKUP(LEFT($N2229,4),LCTT_MAP!$A$7:$C$66,IF($M2229="THU",2,3),FALSE()),IFERROR(VLOOKUP(LEFT($N2229,3),LCTT_MAP!$A$7:$C$66,IF($M2229="THU",2,3),FALSE()),IFERROR(VLOOKUP(LEFT($N2229,2),LCTT_MAP!$A$7:$C$66,IF($M2229="THU",2,3),FALSE()),IFERROR(VLOOKUP(LEFT($N2229,1),LCTT_MAP!$A$7:$C$66,IF($M2229="THU",2,3),FALSE()),IF($M2229="THU","06","07")))))))</f>
        <v/>
      </c>
      <c r="P2229" s="117">
        <f>P2228+IF(AND($H2229&lt;&gt;"",OR(LEFT($F2229,LEN(SC_TK))=SC_TK,LEFT($G2229,LEN(SC_TK))=SC_TK)),1,0)</f>
        <v/>
      </c>
    </row>
    <row r="2230" ht="15" customHeight="1" s="78">
      <c r="A2230" s="95">
        <f>IF($H2230="","",ROW()-6)</f>
        <v/>
      </c>
      <c r="B2230" s="114" t="n"/>
      <c r="C2230" s="102" t="n"/>
      <c r="D2230" s="114" t="n"/>
      <c r="E2230" s="103" t="n"/>
      <c r="F2230" s="102" t="n"/>
      <c r="G2230" s="102" t="n"/>
      <c r="H2230" s="115" t="n"/>
      <c r="I2230" s="102" t="n"/>
      <c r="J2230" s="102" t="n"/>
      <c r="K2230" s="103" t="n"/>
      <c r="L2230" s="116">
        <f>IF($H2230="","",TRIM(IF(COUNTIF(DMTK!$A$7:$A$250,$F2230)=0,"TK Nợ sai! ","")&amp;IF(COUNTIF(DMTK!$A$7:$A$250,$G2230)=0,"TK Có sai! ","")&amp;IF(N($H2230)&lt;=0,"Tiền phải &gt; 0! ","")&amp;IF($B2230="","Thiếu ngày! ","")&amp;IF(AND(OR(LEFT($F2230,3)="131",LEFT($G2230,3)="131",LEFT($F2230,3)="331",LEFT($G2230,3)="331"),$I2230=""),"Thiếu Mã ĐT! ","")&amp;IF(AND($I2230&lt;&gt;"",COUNTIF(DM_DT!$A$7:$A$306,$I2230)=0),"Mã ĐT chưa khai báo! ","")))</f>
        <v/>
      </c>
      <c r="M2230" s="117">
        <f>IF($H2230="","",IF(AND(OR(LEFT($F2230,3)="111",LEFT($F2230,3)="112",LEFT($F2230,3)="113"),OR(LEFT($G2230,3)="111",LEFT($G2230,3)="112",LEFT($G2230,3)="113")),"NB",IF(OR(LEFT($F2230,3)="111",LEFT($F2230,3)="112",LEFT($F2230,3)="113"),"THU",IF(OR(LEFT($G2230,3)="111",LEFT($G2230,3)="112",LEFT($G2230,3)="113"),"CHI",""))))</f>
        <v/>
      </c>
      <c r="N2230" s="117">
        <f>IF($M2230="THU",$G2230,IF($M2230="CHI",$F2230,""))</f>
        <v/>
      </c>
      <c r="O2230" s="117">
        <f>IF(OR($M2230="",$M2230="NB"),"",IF($J2230&lt;&gt;"",TEXT($J2230,"00"),IFERROR(VLOOKUP(LEFT($N2230,4),LCTT_MAP!$A$7:$C$66,IF($M2230="THU",2,3),FALSE()),IFERROR(VLOOKUP(LEFT($N2230,3),LCTT_MAP!$A$7:$C$66,IF($M2230="THU",2,3),FALSE()),IFERROR(VLOOKUP(LEFT($N2230,2),LCTT_MAP!$A$7:$C$66,IF($M2230="THU",2,3),FALSE()),IFERROR(VLOOKUP(LEFT($N2230,1),LCTT_MAP!$A$7:$C$66,IF($M2230="THU",2,3),FALSE()),IF($M2230="THU","06","07")))))))</f>
        <v/>
      </c>
      <c r="P2230" s="117">
        <f>P2229+IF(AND($H2230&lt;&gt;"",OR(LEFT($F2230,LEN(SC_TK))=SC_TK,LEFT($G2230,LEN(SC_TK))=SC_TK)),1,0)</f>
        <v/>
      </c>
    </row>
    <row r="2231" ht="15" customHeight="1" s="78">
      <c r="A2231" s="95">
        <f>IF($H2231="","",ROW()-6)</f>
        <v/>
      </c>
      <c r="B2231" s="114" t="n"/>
      <c r="C2231" s="102" t="n"/>
      <c r="D2231" s="114" t="n"/>
      <c r="E2231" s="103" t="n"/>
      <c r="F2231" s="102" t="n"/>
      <c r="G2231" s="102" t="n"/>
      <c r="H2231" s="115" t="n"/>
      <c r="I2231" s="102" t="n"/>
      <c r="J2231" s="102" t="n"/>
      <c r="K2231" s="103" t="n"/>
      <c r="L2231" s="116">
        <f>IF($H2231="","",TRIM(IF(COUNTIF(DMTK!$A$7:$A$250,$F2231)=0,"TK Nợ sai! ","")&amp;IF(COUNTIF(DMTK!$A$7:$A$250,$G2231)=0,"TK Có sai! ","")&amp;IF(N($H2231)&lt;=0,"Tiền phải &gt; 0! ","")&amp;IF($B2231="","Thiếu ngày! ","")&amp;IF(AND(OR(LEFT($F2231,3)="131",LEFT($G2231,3)="131",LEFT($F2231,3)="331",LEFT($G2231,3)="331"),$I2231=""),"Thiếu Mã ĐT! ","")&amp;IF(AND($I2231&lt;&gt;"",COUNTIF(DM_DT!$A$7:$A$306,$I2231)=0),"Mã ĐT chưa khai báo! ","")))</f>
        <v/>
      </c>
      <c r="M2231" s="117">
        <f>IF($H2231="","",IF(AND(OR(LEFT($F2231,3)="111",LEFT($F2231,3)="112",LEFT($F2231,3)="113"),OR(LEFT($G2231,3)="111",LEFT($G2231,3)="112",LEFT($G2231,3)="113")),"NB",IF(OR(LEFT($F2231,3)="111",LEFT($F2231,3)="112",LEFT($F2231,3)="113"),"THU",IF(OR(LEFT($G2231,3)="111",LEFT($G2231,3)="112",LEFT($G2231,3)="113"),"CHI",""))))</f>
        <v/>
      </c>
      <c r="N2231" s="117">
        <f>IF($M2231="THU",$G2231,IF($M2231="CHI",$F2231,""))</f>
        <v/>
      </c>
      <c r="O2231" s="117">
        <f>IF(OR($M2231="",$M2231="NB"),"",IF($J2231&lt;&gt;"",TEXT($J2231,"00"),IFERROR(VLOOKUP(LEFT($N2231,4),LCTT_MAP!$A$7:$C$66,IF($M2231="THU",2,3),FALSE()),IFERROR(VLOOKUP(LEFT($N2231,3),LCTT_MAP!$A$7:$C$66,IF($M2231="THU",2,3),FALSE()),IFERROR(VLOOKUP(LEFT($N2231,2),LCTT_MAP!$A$7:$C$66,IF($M2231="THU",2,3),FALSE()),IFERROR(VLOOKUP(LEFT($N2231,1),LCTT_MAP!$A$7:$C$66,IF($M2231="THU",2,3),FALSE()),IF($M2231="THU","06","07")))))))</f>
        <v/>
      </c>
      <c r="P2231" s="117">
        <f>P2230+IF(AND($H2231&lt;&gt;"",OR(LEFT($F2231,LEN(SC_TK))=SC_TK,LEFT($G2231,LEN(SC_TK))=SC_TK)),1,0)</f>
        <v/>
      </c>
    </row>
    <row r="2232" ht="15" customHeight="1" s="78">
      <c r="A2232" s="95">
        <f>IF($H2232="","",ROW()-6)</f>
        <v/>
      </c>
      <c r="B2232" s="114" t="n"/>
      <c r="C2232" s="102" t="n"/>
      <c r="D2232" s="114" t="n"/>
      <c r="E2232" s="103" t="n"/>
      <c r="F2232" s="102" t="n"/>
      <c r="G2232" s="102" t="n"/>
      <c r="H2232" s="115" t="n"/>
      <c r="I2232" s="102" t="n"/>
      <c r="J2232" s="102" t="n"/>
      <c r="K2232" s="103" t="n"/>
      <c r="L2232" s="116">
        <f>IF($H2232="","",TRIM(IF(COUNTIF(DMTK!$A$7:$A$250,$F2232)=0,"TK Nợ sai! ","")&amp;IF(COUNTIF(DMTK!$A$7:$A$250,$G2232)=0,"TK Có sai! ","")&amp;IF(N($H2232)&lt;=0,"Tiền phải &gt; 0! ","")&amp;IF($B2232="","Thiếu ngày! ","")&amp;IF(AND(OR(LEFT($F2232,3)="131",LEFT($G2232,3)="131",LEFT($F2232,3)="331",LEFT($G2232,3)="331"),$I2232=""),"Thiếu Mã ĐT! ","")&amp;IF(AND($I2232&lt;&gt;"",COUNTIF(DM_DT!$A$7:$A$306,$I2232)=0),"Mã ĐT chưa khai báo! ","")))</f>
        <v/>
      </c>
      <c r="M2232" s="117">
        <f>IF($H2232="","",IF(AND(OR(LEFT($F2232,3)="111",LEFT($F2232,3)="112",LEFT($F2232,3)="113"),OR(LEFT($G2232,3)="111",LEFT($G2232,3)="112",LEFT($G2232,3)="113")),"NB",IF(OR(LEFT($F2232,3)="111",LEFT($F2232,3)="112",LEFT($F2232,3)="113"),"THU",IF(OR(LEFT($G2232,3)="111",LEFT($G2232,3)="112",LEFT($G2232,3)="113"),"CHI",""))))</f>
        <v/>
      </c>
      <c r="N2232" s="117">
        <f>IF($M2232="THU",$G2232,IF($M2232="CHI",$F2232,""))</f>
        <v/>
      </c>
      <c r="O2232" s="117">
        <f>IF(OR($M2232="",$M2232="NB"),"",IF($J2232&lt;&gt;"",TEXT($J2232,"00"),IFERROR(VLOOKUP(LEFT($N2232,4),LCTT_MAP!$A$7:$C$66,IF($M2232="THU",2,3),FALSE()),IFERROR(VLOOKUP(LEFT($N2232,3),LCTT_MAP!$A$7:$C$66,IF($M2232="THU",2,3),FALSE()),IFERROR(VLOOKUP(LEFT($N2232,2),LCTT_MAP!$A$7:$C$66,IF($M2232="THU",2,3),FALSE()),IFERROR(VLOOKUP(LEFT($N2232,1),LCTT_MAP!$A$7:$C$66,IF($M2232="THU",2,3),FALSE()),IF($M2232="THU","06","07")))))))</f>
        <v/>
      </c>
      <c r="P2232" s="117">
        <f>P2231+IF(AND($H2232&lt;&gt;"",OR(LEFT($F2232,LEN(SC_TK))=SC_TK,LEFT($G2232,LEN(SC_TK))=SC_TK)),1,0)</f>
        <v/>
      </c>
    </row>
    <row r="2233" ht="15" customHeight="1" s="78">
      <c r="A2233" s="95">
        <f>IF($H2233="","",ROW()-6)</f>
        <v/>
      </c>
      <c r="B2233" s="114" t="n"/>
      <c r="C2233" s="102" t="n"/>
      <c r="D2233" s="114" t="n"/>
      <c r="E2233" s="103" t="n"/>
      <c r="F2233" s="102" t="n"/>
      <c r="G2233" s="102" t="n"/>
      <c r="H2233" s="115" t="n"/>
      <c r="I2233" s="102" t="n"/>
      <c r="J2233" s="102" t="n"/>
      <c r="K2233" s="103" t="n"/>
      <c r="L2233" s="116">
        <f>IF($H2233="","",TRIM(IF(COUNTIF(DMTK!$A$7:$A$250,$F2233)=0,"TK Nợ sai! ","")&amp;IF(COUNTIF(DMTK!$A$7:$A$250,$G2233)=0,"TK Có sai! ","")&amp;IF(N($H2233)&lt;=0,"Tiền phải &gt; 0! ","")&amp;IF($B2233="","Thiếu ngày! ","")&amp;IF(AND(OR(LEFT($F2233,3)="131",LEFT($G2233,3)="131",LEFT($F2233,3)="331",LEFT($G2233,3)="331"),$I2233=""),"Thiếu Mã ĐT! ","")&amp;IF(AND($I2233&lt;&gt;"",COUNTIF(DM_DT!$A$7:$A$306,$I2233)=0),"Mã ĐT chưa khai báo! ","")))</f>
        <v/>
      </c>
      <c r="M2233" s="117">
        <f>IF($H2233="","",IF(AND(OR(LEFT($F2233,3)="111",LEFT($F2233,3)="112",LEFT($F2233,3)="113"),OR(LEFT($G2233,3)="111",LEFT($G2233,3)="112",LEFT($G2233,3)="113")),"NB",IF(OR(LEFT($F2233,3)="111",LEFT($F2233,3)="112",LEFT($F2233,3)="113"),"THU",IF(OR(LEFT($G2233,3)="111",LEFT($G2233,3)="112",LEFT($G2233,3)="113"),"CHI",""))))</f>
        <v/>
      </c>
      <c r="N2233" s="117">
        <f>IF($M2233="THU",$G2233,IF($M2233="CHI",$F2233,""))</f>
        <v/>
      </c>
      <c r="O2233" s="117">
        <f>IF(OR($M2233="",$M2233="NB"),"",IF($J2233&lt;&gt;"",TEXT($J2233,"00"),IFERROR(VLOOKUP(LEFT($N2233,4),LCTT_MAP!$A$7:$C$66,IF($M2233="THU",2,3),FALSE()),IFERROR(VLOOKUP(LEFT($N2233,3),LCTT_MAP!$A$7:$C$66,IF($M2233="THU",2,3),FALSE()),IFERROR(VLOOKUP(LEFT($N2233,2),LCTT_MAP!$A$7:$C$66,IF($M2233="THU",2,3),FALSE()),IFERROR(VLOOKUP(LEFT($N2233,1),LCTT_MAP!$A$7:$C$66,IF($M2233="THU",2,3),FALSE()),IF($M2233="THU","06","07")))))))</f>
        <v/>
      </c>
      <c r="P2233" s="117">
        <f>P2232+IF(AND($H2233&lt;&gt;"",OR(LEFT($F2233,LEN(SC_TK))=SC_TK,LEFT($G2233,LEN(SC_TK))=SC_TK)),1,0)</f>
        <v/>
      </c>
    </row>
    <row r="2234" ht="15" customHeight="1" s="78">
      <c r="A2234" s="95">
        <f>IF($H2234="","",ROW()-6)</f>
        <v/>
      </c>
      <c r="B2234" s="114" t="n"/>
      <c r="C2234" s="102" t="n"/>
      <c r="D2234" s="114" t="n"/>
      <c r="E2234" s="103" t="n"/>
      <c r="F2234" s="102" t="n"/>
      <c r="G2234" s="102" t="n"/>
      <c r="H2234" s="115" t="n"/>
      <c r="I2234" s="102" t="n"/>
      <c r="J2234" s="102" t="n"/>
      <c r="K2234" s="103" t="n"/>
      <c r="L2234" s="116">
        <f>IF($H2234="","",TRIM(IF(COUNTIF(DMTK!$A$7:$A$250,$F2234)=0,"TK Nợ sai! ","")&amp;IF(COUNTIF(DMTK!$A$7:$A$250,$G2234)=0,"TK Có sai! ","")&amp;IF(N($H2234)&lt;=0,"Tiền phải &gt; 0! ","")&amp;IF($B2234="","Thiếu ngày! ","")&amp;IF(AND(OR(LEFT($F2234,3)="131",LEFT($G2234,3)="131",LEFT($F2234,3)="331",LEFT($G2234,3)="331"),$I2234=""),"Thiếu Mã ĐT! ","")&amp;IF(AND($I2234&lt;&gt;"",COUNTIF(DM_DT!$A$7:$A$306,$I2234)=0),"Mã ĐT chưa khai báo! ","")))</f>
        <v/>
      </c>
      <c r="M2234" s="117">
        <f>IF($H2234="","",IF(AND(OR(LEFT($F2234,3)="111",LEFT($F2234,3)="112",LEFT($F2234,3)="113"),OR(LEFT($G2234,3)="111",LEFT($G2234,3)="112",LEFT($G2234,3)="113")),"NB",IF(OR(LEFT($F2234,3)="111",LEFT($F2234,3)="112",LEFT($F2234,3)="113"),"THU",IF(OR(LEFT($G2234,3)="111",LEFT($G2234,3)="112",LEFT($G2234,3)="113"),"CHI",""))))</f>
        <v/>
      </c>
      <c r="N2234" s="117">
        <f>IF($M2234="THU",$G2234,IF($M2234="CHI",$F2234,""))</f>
        <v/>
      </c>
      <c r="O2234" s="117">
        <f>IF(OR($M2234="",$M2234="NB"),"",IF($J2234&lt;&gt;"",TEXT($J2234,"00"),IFERROR(VLOOKUP(LEFT($N2234,4),LCTT_MAP!$A$7:$C$66,IF($M2234="THU",2,3),FALSE()),IFERROR(VLOOKUP(LEFT($N2234,3),LCTT_MAP!$A$7:$C$66,IF($M2234="THU",2,3),FALSE()),IFERROR(VLOOKUP(LEFT($N2234,2),LCTT_MAP!$A$7:$C$66,IF($M2234="THU",2,3),FALSE()),IFERROR(VLOOKUP(LEFT($N2234,1),LCTT_MAP!$A$7:$C$66,IF($M2234="THU",2,3),FALSE()),IF($M2234="THU","06","07")))))))</f>
        <v/>
      </c>
      <c r="P2234" s="117">
        <f>P2233+IF(AND($H2234&lt;&gt;"",OR(LEFT($F2234,LEN(SC_TK))=SC_TK,LEFT($G2234,LEN(SC_TK))=SC_TK)),1,0)</f>
        <v/>
      </c>
    </row>
    <row r="2235" ht="15" customHeight="1" s="78">
      <c r="A2235" s="95">
        <f>IF($H2235="","",ROW()-6)</f>
        <v/>
      </c>
      <c r="B2235" s="114" t="n"/>
      <c r="C2235" s="102" t="n"/>
      <c r="D2235" s="114" t="n"/>
      <c r="E2235" s="103" t="n"/>
      <c r="F2235" s="102" t="n"/>
      <c r="G2235" s="102" t="n"/>
      <c r="H2235" s="115" t="n"/>
      <c r="I2235" s="102" t="n"/>
      <c r="J2235" s="102" t="n"/>
      <c r="K2235" s="103" t="n"/>
      <c r="L2235" s="116">
        <f>IF($H2235="","",TRIM(IF(COUNTIF(DMTK!$A$7:$A$250,$F2235)=0,"TK Nợ sai! ","")&amp;IF(COUNTIF(DMTK!$A$7:$A$250,$G2235)=0,"TK Có sai! ","")&amp;IF(N($H2235)&lt;=0,"Tiền phải &gt; 0! ","")&amp;IF($B2235="","Thiếu ngày! ","")&amp;IF(AND(OR(LEFT($F2235,3)="131",LEFT($G2235,3)="131",LEFT($F2235,3)="331",LEFT($G2235,3)="331"),$I2235=""),"Thiếu Mã ĐT! ","")&amp;IF(AND($I2235&lt;&gt;"",COUNTIF(DM_DT!$A$7:$A$306,$I2235)=0),"Mã ĐT chưa khai báo! ","")))</f>
        <v/>
      </c>
      <c r="M2235" s="117">
        <f>IF($H2235="","",IF(AND(OR(LEFT($F2235,3)="111",LEFT($F2235,3)="112",LEFT($F2235,3)="113"),OR(LEFT($G2235,3)="111",LEFT($G2235,3)="112",LEFT($G2235,3)="113")),"NB",IF(OR(LEFT($F2235,3)="111",LEFT($F2235,3)="112",LEFT($F2235,3)="113"),"THU",IF(OR(LEFT($G2235,3)="111",LEFT($G2235,3)="112",LEFT($G2235,3)="113"),"CHI",""))))</f>
        <v/>
      </c>
      <c r="N2235" s="117">
        <f>IF($M2235="THU",$G2235,IF($M2235="CHI",$F2235,""))</f>
        <v/>
      </c>
      <c r="O2235" s="117">
        <f>IF(OR($M2235="",$M2235="NB"),"",IF($J2235&lt;&gt;"",TEXT($J2235,"00"),IFERROR(VLOOKUP(LEFT($N2235,4),LCTT_MAP!$A$7:$C$66,IF($M2235="THU",2,3),FALSE()),IFERROR(VLOOKUP(LEFT($N2235,3),LCTT_MAP!$A$7:$C$66,IF($M2235="THU",2,3),FALSE()),IFERROR(VLOOKUP(LEFT($N2235,2),LCTT_MAP!$A$7:$C$66,IF($M2235="THU",2,3),FALSE()),IFERROR(VLOOKUP(LEFT($N2235,1),LCTT_MAP!$A$7:$C$66,IF($M2235="THU",2,3),FALSE()),IF($M2235="THU","06","07")))))))</f>
        <v/>
      </c>
      <c r="P2235" s="117">
        <f>P2234+IF(AND($H2235&lt;&gt;"",OR(LEFT($F2235,LEN(SC_TK))=SC_TK,LEFT($G2235,LEN(SC_TK))=SC_TK)),1,0)</f>
        <v/>
      </c>
    </row>
    <row r="2236" ht="15" customHeight="1" s="78">
      <c r="A2236" s="95">
        <f>IF($H2236="","",ROW()-6)</f>
        <v/>
      </c>
      <c r="B2236" s="114" t="n"/>
      <c r="C2236" s="102" t="n"/>
      <c r="D2236" s="114" t="n"/>
      <c r="E2236" s="103" t="n"/>
      <c r="F2236" s="102" t="n"/>
      <c r="G2236" s="102" t="n"/>
      <c r="H2236" s="115" t="n"/>
      <c r="I2236" s="102" t="n"/>
      <c r="J2236" s="102" t="n"/>
      <c r="K2236" s="103" t="n"/>
      <c r="L2236" s="116">
        <f>IF($H2236="","",TRIM(IF(COUNTIF(DMTK!$A$7:$A$250,$F2236)=0,"TK Nợ sai! ","")&amp;IF(COUNTIF(DMTK!$A$7:$A$250,$G2236)=0,"TK Có sai! ","")&amp;IF(N($H2236)&lt;=0,"Tiền phải &gt; 0! ","")&amp;IF($B2236="","Thiếu ngày! ","")&amp;IF(AND(OR(LEFT($F2236,3)="131",LEFT($G2236,3)="131",LEFT($F2236,3)="331",LEFT($G2236,3)="331"),$I2236=""),"Thiếu Mã ĐT! ","")&amp;IF(AND($I2236&lt;&gt;"",COUNTIF(DM_DT!$A$7:$A$306,$I2236)=0),"Mã ĐT chưa khai báo! ","")))</f>
        <v/>
      </c>
      <c r="M2236" s="117">
        <f>IF($H2236="","",IF(AND(OR(LEFT($F2236,3)="111",LEFT($F2236,3)="112",LEFT($F2236,3)="113"),OR(LEFT($G2236,3)="111",LEFT($G2236,3)="112",LEFT($G2236,3)="113")),"NB",IF(OR(LEFT($F2236,3)="111",LEFT($F2236,3)="112",LEFT($F2236,3)="113"),"THU",IF(OR(LEFT($G2236,3)="111",LEFT($G2236,3)="112",LEFT($G2236,3)="113"),"CHI",""))))</f>
        <v/>
      </c>
      <c r="N2236" s="117">
        <f>IF($M2236="THU",$G2236,IF($M2236="CHI",$F2236,""))</f>
        <v/>
      </c>
      <c r="O2236" s="117">
        <f>IF(OR($M2236="",$M2236="NB"),"",IF($J2236&lt;&gt;"",TEXT($J2236,"00"),IFERROR(VLOOKUP(LEFT($N2236,4),LCTT_MAP!$A$7:$C$66,IF($M2236="THU",2,3),FALSE()),IFERROR(VLOOKUP(LEFT($N2236,3),LCTT_MAP!$A$7:$C$66,IF($M2236="THU",2,3),FALSE()),IFERROR(VLOOKUP(LEFT($N2236,2),LCTT_MAP!$A$7:$C$66,IF($M2236="THU",2,3),FALSE()),IFERROR(VLOOKUP(LEFT($N2236,1),LCTT_MAP!$A$7:$C$66,IF($M2236="THU",2,3),FALSE()),IF($M2236="THU","06","07")))))))</f>
        <v/>
      </c>
      <c r="P2236" s="117">
        <f>P2235+IF(AND($H2236&lt;&gt;"",OR(LEFT($F2236,LEN(SC_TK))=SC_TK,LEFT($G2236,LEN(SC_TK))=SC_TK)),1,0)</f>
        <v/>
      </c>
    </row>
    <row r="2237" ht="15" customHeight="1" s="78">
      <c r="A2237" s="95">
        <f>IF($H2237="","",ROW()-6)</f>
        <v/>
      </c>
      <c r="B2237" s="114" t="n"/>
      <c r="C2237" s="102" t="n"/>
      <c r="D2237" s="114" t="n"/>
      <c r="E2237" s="103" t="n"/>
      <c r="F2237" s="102" t="n"/>
      <c r="G2237" s="102" t="n"/>
      <c r="H2237" s="115" t="n"/>
      <c r="I2237" s="102" t="n"/>
      <c r="J2237" s="102" t="n"/>
      <c r="K2237" s="103" t="n"/>
      <c r="L2237" s="116">
        <f>IF($H2237="","",TRIM(IF(COUNTIF(DMTK!$A$7:$A$250,$F2237)=0,"TK Nợ sai! ","")&amp;IF(COUNTIF(DMTK!$A$7:$A$250,$G2237)=0,"TK Có sai! ","")&amp;IF(N($H2237)&lt;=0,"Tiền phải &gt; 0! ","")&amp;IF($B2237="","Thiếu ngày! ","")&amp;IF(AND(OR(LEFT($F2237,3)="131",LEFT($G2237,3)="131",LEFT($F2237,3)="331",LEFT($G2237,3)="331"),$I2237=""),"Thiếu Mã ĐT! ","")&amp;IF(AND($I2237&lt;&gt;"",COUNTIF(DM_DT!$A$7:$A$306,$I2237)=0),"Mã ĐT chưa khai báo! ","")))</f>
        <v/>
      </c>
      <c r="M2237" s="117">
        <f>IF($H2237="","",IF(AND(OR(LEFT($F2237,3)="111",LEFT($F2237,3)="112",LEFT($F2237,3)="113"),OR(LEFT($G2237,3)="111",LEFT($G2237,3)="112",LEFT($G2237,3)="113")),"NB",IF(OR(LEFT($F2237,3)="111",LEFT($F2237,3)="112",LEFT($F2237,3)="113"),"THU",IF(OR(LEFT($G2237,3)="111",LEFT($G2237,3)="112",LEFT($G2237,3)="113"),"CHI",""))))</f>
        <v/>
      </c>
      <c r="N2237" s="117">
        <f>IF($M2237="THU",$G2237,IF($M2237="CHI",$F2237,""))</f>
        <v/>
      </c>
      <c r="O2237" s="117">
        <f>IF(OR($M2237="",$M2237="NB"),"",IF($J2237&lt;&gt;"",TEXT($J2237,"00"),IFERROR(VLOOKUP(LEFT($N2237,4),LCTT_MAP!$A$7:$C$66,IF($M2237="THU",2,3),FALSE()),IFERROR(VLOOKUP(LEFT($N2237,3),LCTT_MAP!$A$7:$C$66,IF($M2237="THU",2,3),FALSE()),IFERROR(VLOOKUP(LEFT($N2237,2),LCTT_MAP!$A$7:$C$66,IF($M2237="THU",2,3),FALSE()),IFERROR(VLOOKUP(LEFT($N2237,1),LCTT_MAP!$A$7:$C$66,IF($M2237="THU",2,3),FALSE()),IF($M2237="THU","06","07")))))))</f>
        <v/>
      </c>
      <c r="P2237" s="117">
        <f>P2236+IF(AND($H2237&lt;&gt;"",OR(LEFT($F2237,LEN(SC_TK))=SC_TK,LEFT($G2237,LEN(SC_TK))=SC_TK)),1,0)</f>
        <v/>
      </c>
    </row>
    <row r="2238" ht="15" customHeight="1" s="78">
      <c r="A2238" s="95">
        <f>IF($H2238="","",ROW()-6)</f>
        <v/>
      </c>
      <c r="B2238" s="114" t="n"/>
      <c r="C2238" s="102" t="n"/>
      <c r="D2238" s="114" t="n"/>
      <c r="E2238" s="103" t="n"/>
      <c r="F2238" s="102" t="n"/>
      <c r="G2238" s="102" t="n"/>
      <c r="H2238" s="115" t="n"/>
      <c r="I2238" s="102" t="n"/>
      <c r="J2238" s="102" t="n"/>
      <c r="K2238" s="103" t="n"/>
      <c r="L2238" s="116">
        <f>IF($H2238="","",TRIM(IF(COUNTIF(DMTK!$A$7:$A$250,$F2238)=0,"TK Nợ sai! ","")&amp;IF(COUNTIF(DMTK!$A$7:$A$250,$G2238)=0,"TK Có sai! ","")&amp;IF(N($H2238)&lt;=0,"Tiền phải &gt; 0! ","")&amp;IF($B2238="","Thiếu ngày! ","")&amp;IF(AND(OR(LEFT($F2238,3)="131",LEFT($G2238,3)="131",LEFT($F2238,3)="331",LEFT($G2238,3)="331"),$I2238=""),"Thiếu Mã ĐT! ","")&amp;IF(AND($I2238&lt;&gt;"",COUNTIF(DM_DT!$A$7:$A$306,$I2238)=0),"Mã ĐT chưa khai báo! ","")))</f>
        <v/>
      </c>
      <c r="M2238" s="117">
        <f>IF($H2238="","",IF(AND(OR(LEFT($F2238,3)="111",LEFT($F2238,3)="112",LEFT($F2238,3)="113"),OR(LEFT($G2238,3)="111",LEFT($G2238,3)="112",LEFT($G2238,3)="113")),"NB",IF(OR(LEFT($F2238,3)="111",LEFT($F2238,3)="112",LEFT($F2238,3)="113"),"THU",IF(OR(LEFT($G2238,3)="111",LEFT($G2238,3)="112",LEFT($G2238,3)="113"),"CHI",""))))</f>
        <v/>
      </c>
      <c r="N2238" s="117">
        <f>IF($M2238="THU",$G2238,IF($M2238="CHI",$F2238,""))</f>
        <v/>
      </c>
      <c r="O2238" s="117">
        <f>IF(OR($M2238="",$M2238="NB"),"",IF($J2238&lt;&gt;"",TEXT($J2238,"00"),IFERROR(VLOOKUP(LEFT($N2238,4),LCTT_MAP!$A$7:$C$66,IF($M2238="THU",2,3),FALSE()),IFERROR(VLOOKUP(LEFT($N2238,3),LCTT_MAP!$A$7:$C$66,IF($M2238="THU",2,3),FALSE()),IFERROR(VLOOKUP(LEFT($N2238,2),LCTT_MAP!$A$7:$C$66,IF($M2238="THU",2,3),FALSE()),IFERROR(VLOOKUP(LEFT($N2238,1),LCTT_MAP!$A$7:$C$66,IF($M2238="THU",2,3),FALSE()),IF($M2238="THU","06","07")))))))</f>
        <v/>
      </c>
      <c r="P2238" s="117">
        <f>P2237+IF(AND($H2238&lt;&gt;"",OR(LEFT($F2238,LEN(SC_TK))=SC_TK,LEFT($G2238,LEN(SC_TK))=SC_TK)),1,0)</f>
        <v/>
      </c>
    </row>
    <row r="2239" ht="15" customHeight="1" s="78">
      <c r="A2239" s="95">
        <f>IF($H2239="","",ROW()-6)</f>
        <v/>
      </c>
      <c r="B2239" s="114" t="n"/>
      <c r="C2239" s="102" t="n"/>
      <c r="D2239" s="114" t="n"/>
      <c r="E2239" s="103" t="n"/>
      <c r="F2239" s="102" t="n"/>
      <c r="G2239" s="102" t="n"/>
      <c r="H2239" s="115" t="n"/>
      <c r="I2239" s="102" t="n"/>
      <c r="J2239" s="102" t="n"/>
      <c r="K2239" s="103" t="n"/>
      <c r="L2239" s="116">
        <f>IF($H2239="","",TRIM(IF(COUNTIF(DMTK!$A$7:$A$250,$F2239)=0,"TK Nợ sai! ","")&amp;IF(COUNTIF(DMTK!$A$7:$A$250,$G2239)=0,"TK Có sai! ","")&amp;IF(N($H2239)&lt;=0,"Tiền phải &gt; 0! ","")&amp;IF($B2239="","Thiếu ngày! ","")&amp;IF(AND(OR(LEFT($F2239,3)="131",LEFT($G2239,3)="131",LEFT($F2239,3)="331",LEFT($G2239,3)="331"),$I2239=""),"Thiếu Mã ĐT! ","")&amp;IF(AND($I2239&lt;&gt;"",COUNTIF(DM_DT!$A$7:$A$306,$I2239)=0),"Mã ĐT chưa khai báo! ","")))</f>
        <v/>
      </c>
      <c r="M2239" s="117">
        <f>IF($H2239="","",IF(AND(OR(LEFT($F2239,3)="111",LEFT($F2239,3)="112",LEFT($F2239,3)="113"),OR(LEFT($G2239,3)="111",LEFT($G2239,3)="112",LEFT($G2239,3)="113")),"NB",IF(OR(LEFT($F2239,3)="111",LEFT($F2239,3)="112",LEFT($F2239,3)="113"),"THU",IF(OR(LEFT($G2239,3)="111",LEFT($G2239,3)="112",LEFT($G2239,3)="113"),"CHI",""))))</f>
        <v/>
      </c>
      <c r="N2239" s="117">
        <f>IF($M2239="THU",$G2239,IF($M2239="CHI",$F2239,""))</f>
        <v/>
      </c>
      <c r="O2239" s="117">
        <f>IF(OR($M2239="",$M2239="NB"),"",IF($J2239&lt;&gt;"",TEXT($J2239,"00"),IFERROR(VLOOKUP(LEFT($N2239,4),LCTT_MAP!$A$7:$C$66,IF($M2239="THU",2,3),FALSE()),IFERROR(VLOOKUP(LEFT($N2239,3),LCTT_MAP!$A$7:$C$66,IF($M2239="THU",2,3),FALSE()),IFERROR(VLOOKUP(LEFT($N2239,2),LCTT_MAP!$A$7:$C$66,IF($M2239="THU",2,3),FALSE()),IFERROR(VLOOKUP(LEFT($N2239,1),LCTT_MAP!$A$7:$C$66,IF($M2239="THU",2,3),FALSE()),IF($M2239="THU","06","07")))))))</f>
        <v/>
      </c>
      <c r="P2239" s="117">
        <f>P2238+IF(AND($H2239&lt;&gt;"",OR(LEFT($F2239,LEN(SC_TK))=SC_TK,LEFT($G2239,LEN(SC_TK))=SC_TK)),1,0)</f>
        <v/>
      </c>
    </row>
    <row r="2240" ht="15" customHeight="1" s="78">
      <c r="A2240" s="95">
        <f>IF($H2240="","",ROW()-6)</f>
        <v/>
      </c>
      <c r="B2240" s="114" t="n"/>
      <c r="C2240" s="102" t="n"/>
      <c r="D2240" s="114" t="n"/>
      <c r="E2240" s="103" t="n"/>
      <c r="F2240" s="102" t="n"/>
      <c r="G2240" s="102" t="n"/>
      <c r="H2240" s="115" t="n"/>
      <c r="I2240" s="102" t="n"/>
      <c r="J2240" s="102" t="n"/>
      <c r="K2240" s="103" t="n"/>
      <c r="L2240" s="116">
        <f>IF($H2240="","",TRIM(IF(COUNTIF(DMTK!$A$7:$A$250,$F2240)=0,"TK Nợ sai! ","")&amp;IF(COUNTIF(DMTK!$A$7:$A$250,$G2240)=0,"TK Có sai! ","")&amp;IF(N($H2240)&lt;=0,"Tiền phải &gt; 0! ","")&amp;IF($B2240="","Thiếu ngày! ","")&amp;IF(AND(OR(LEFT($F2240,3)="131",LEFT($G2240,3)="131",LEFT($F2240,3)="331",LEFT($G2240,3)="331"),$I2240=""),"Thiếu Mã ĐT! ","")&amp;IF(AND($I2240&lt;&gt;"",COUNTIF(DM_DT!$A$7:$A$306,$I2240)=0),"Mã ĐT chưa khai báo! ","")))</f>
        <v/>
      </c>
      <c r="M2240" s="117">
        <f>IF($H2240="","",IF(AND(OR(LEFT($F2240,3)="111",LEFT($F2240,3)="112",LEFT($F2240,3)="113"),OR(LEFT($G2240,3)="111",LEFT($G2240,3)="112",LEFT($G2240,3)="113")),"NB",IF(OR(LEFT($F2240,3)="111",LEFT($F2240,3)="112",LEFT($F2240,3)="113"),"THU",IF(OR(LEFT($G2240,3)="111",LEFT($G2240,3)="112",LEFT($G2240,3)="113"),"CHI",""))))</f>
        <v/>
      </c>
      <c r="N2240" s="117">
        <f>IF($M2240="THU",$G2240,IF($M2240="CHI",$F2240,""))</f>
        <v/>
      </c>
      <c r="O2240" s="117">
        <f>IF(OR($M2240="",$M2240="NB"),"",IF($J2240&lt;&gt;"",TEXT($J2240,"00"),IFERROR(VLOOKUP(LEFT($N2240,4),LCTT_MAP!$A$7:$C$66,IF($M2240="THU",2,3),FALSE()),IFERROR(VLOOKUP(LEFT($N2240,3),LCTT_MAP!$A$7:$C$66,IF($M2240="THU",2,3),FALSE()),IFERROR(VLOOKUP(LEFT($N2240,2),LCTT_MAP!$A$7:$C$66,IF($M2240="THU",2,3),FALSE()),IFERROR(VLOOKUP(LEFT($N2240,1),LCTT_MAP!$A$7:$C$66,IF($M2240="THU",2,3),FALSE()),IF($M2240="THU","06","07")))))))</f>
        <v/>
      </c>
      <c r="P2240" s="117">
        <f>P2239+IF(AND($H2240&lt;&gt;"",OR(LEFT($F2240,LEN(SC_TK))=SC_TK,LEFT($G2240,LEN(SC_TK))=SC_TK)),1,0)</f>
        <v/>
      </c>
    </row>
    <row r="2241" ht="15" customHeight="1" s="78">
      <c r="A2241" s="95">
        <f>IF($H2241="","",ROW()-6)</f>
        <v/>
      </c>
      <c r="B2241" s="114" t="n"/>
      <c r="C2241" s="102" t="n"/>
      <c r="D2241" s="114" t="n"/>
      <c r="E2241" s="103" t="n"/>
      <c r="F2241" s="102" t="n"/>
      <c r="G2241" s="102" t="n"/>
      <c r="H2241" s="115" t="n"/>
      <c r="I2241" s="102" t="n"/>
      <c r="J2241" s="102" t="n"/>
      <c r="K2241" s="103" t="n"/>
      <c r="L2241" s="116">
        <f>IF($H2241="","",TRIM(IF(COUNTIF(DMTK!$A$7:$A$250,$F2241)=0,"TK Nợ sai! ","")&amp;IF(COUNTIF(DMTK!$A$7:$A$250,$G2241)=0,"TK Có sai! ","")&amp;IF(N($H2241)&lt;=0,"Tiền phải &gt; 0! ","")&amp;IF($B2241="","Thiếu ngày! ","")&amp;IF(AND(OR(LEFT($F2241,3)="131",LEFT($G2241,3)="131",LEFT($F2241,3)="331",LEFT($G2241,3)="331"),$I2241=""),"Thiếu Mã ĐT! ","")&amp;IF(AND($I2241&lt;&gt;"",COUNTIF(DM_DT!$A$7:$A$306,$I2241)=0),"Mã ĐT chưa khai báo! ","")))</f>
        <v/>
      </c>
      <c r="M2241" s="117">
        <f>IF($H2241="","",IF(AND(OR(LEFT($F2241,3)="111",LEFT($F2241,3)="112",LEFT($F2241,3)="113"),OR(LEFT($G2241,3)="111",LEFT($G2241,3)="112",LEFT($G2241,3)="113")),"NB",IF(OR(LEFT($F2241,3)="111",LEFT($F2241,3)="112",LEFT($F2241,3)="113"),"THU",IF(OR(LEFT($G2241,3)="111",LEFT($G2241,3)="112",LEFT($G2241,3)="113"),"CHI",""))))</f>
        <v/>
      </c>
      <c r="N2241" s="117">
        <f>IF($M2241="THU",$G2241,IF($M2241="CHI",$F2241,""))</f>
        <v/>
      </c>
      <c r="O2241" s="117">
        <f>IF(OR($M2241="",$M2241="NB"),"",IF($J2241&lt;&gt;"",TEXT($J2241,"00"),IFERROR(VLOOKUP(LEFT($N2241,4),LCTT_MAP!$A$7:$C$66,IF($M2241="THU",2,3),FALSE()),IFERROR(VLOOKUP(LEFT($N2241,3),LCTT_MAP!$A$7:$C$66,IF($M2241="THU",2,3),FALSE()),IFERROR(VLOOKUP(LEFT($N2241,2),LCTT_MAP!$A$7:$C$66,IF($M2241="THU",2,3),FALSE()),IFERROR(VLOOKUP(LEFT($N2241,1),LCTT_MAP!$A$7:$C$66,IF($M2241="THU",2,3),FALSE()),IF($M2241="THU","06","07")))))))</f>
        <v/>
      </c>
      <c r="P2241" s="117">
        <f>P2240+IF(AND($H2241&lt;&gt;"",OR(LEFT($F2241,LEN(SC_TK))=SC_TK,LEFT($G2241,LEN(SC_TK))=SC_TK)),1,0)</f>
        <v/>
      </c>
    </row>
    <row r="2242" ht="15" customHeight="1" s="78">
      <c r="A2242" s="95">
        <f>IF($H2242="","",ROW()-6)</f>
        <v/>
      </c>
      <c r="B2242" s="114" t="n"/>
      <c r="C2242" s="102" t="n"/>
      <c r="D2242" s="114" t="n"/>
      <c r="E2242" s="103" t="n"/>
      <c r="F2242" s="102" t="n"/>
      <c r="G2242" s="102" t="n"/>
      <c r="H2242" s="115" t="n"/>
      <c r="I2242" s="102" t="n"/>
      <c r="J2242" s="102" t="n"/>
      <c r="K2242" s="103" t="n"/>
      <c r="L2242" s="116">
        <f>IF($H2242="","",TRIM(IF(COUNTIF(DMTK!$A$7:$A$250,$F2242)=0,"TK Nợ sai! ","")&amp;IF(COUNTIF(DMTK!$A$7:$A$250,$G2242)=0,"TK Có sai! ","")&amp;IF(N($H2242)&lt;=0,"Tiền phải &gt; 0! ","")&amp;IF($B2242="","Thiếu ngày! ","")&amp;IF(AND(OR(LEFT($F2242,3)="131",LEFT($G2242,3)="131",LEFT($F2242,3)="331",LEFT($G2242,3)="331"),$I2242=""),"Thiếu Mã ĐT! ","")&amp;IF(AND($I2242&lt;&gt;"",COUNTIF(DM_DT!$A$7:$A$306,$I2242)=0),"Mã ĐT chưa khai báo! ","")))</f>
        <v/>
      </c>
      <c r="M2242" s="117">
        <f>IF($H2242="","",IF(AND(OR(LEFT($F2242,3)="111",LEFT($F2242,3)="112",LEFT($F2242,3)="113"),OR(LEFT($G2242,3)="111",LEFT($G2242,3)="112",LEFT($G2242,3)="113")),"NB",IF(OR(LEFT($F2242,3)="111",LEFT($F2242,3)="112",LEFT($F2242,3)="113"),"THU",IF(OR(LEFT($G2242,3)="111",LEFT($G2242,3)="112",LEFT($G2242,3)="113"),"CHI",""))))</f>
        <v/>
      </c>
      <c r="N2242" s="117">
        <f>IF($M2242="THU",$G2242,IF($M2242="CHI",$F2242,""))</f>
        <v/>
      </c>
      <c r="O2242" s="117">
        <f>IF(OR($M2242="",$M2242="NB"),"",IF($J2242&lt;&gt;"",TEXT($J2242,"00"),IFERROR(VLOOKUP(LEFT($N2242,4),LCTT_MAP!$A$7:$C$66,IF($M2242="THU",2,3),FALSE()),IFERROR(VLOOKUP(LEFT($N2242,3),LCTT_MAP!$A$7:$C$66,IF($M2242="THU",2,3),FALSE()),IFERROR(VLOOKUP(LEFT($N2242,2),LCTT_MAP!$A$7:$C$66,IF($M2242="THU",2,3),FALSE()),IFERROR(VLOOKUP(LEFT($N2242,1),LCTT_MAP!$A$7:$C$66,IF($M2242="THU",2,3),FALSE()),IF($M2242="THU","06","07")))))))</f>
        <v/>
      </c>
      <c r="P2242" s="117">
        <f>P2241+IF(AND($H2242&lt;&gt;"",OR(LEFT($F2242,LEN(SC_TK))=SC_TK,LEFT($G2242,LEN(SC_TK))=SC_TK)),1,0)</f>
        <v/>
      </c>
    </row>
    <row r="2243" ht="15" customHeight="1" s="78">
      <c r="A2243" s="95">
        <f>IF($H2243="","",ROW()-6)</f>
        <v/>
      </c>
      <c r="B2243" s="114" t="n"/>
      <c r="C2243" s="102" t="n"/>
      <c r="D2243" s="114" t="n"/>
      <c r="E2243" s="103" t="n"/>
      <c r="F2243" s="102" t="n"/>
      <c r="G2243" s="102" t="n"/>
      <c r="H2243" s="115" t="n"/>
      <c r="I2243" s="102" t="n"/>
      <c r="J2243" s="102" t="n"/>
      <c r="K2243" s="103" t="n"/>
      <c r="L2243" s="116">
        <f>IF($H2243="","",TRIM(IF(COUNTIF(DMTK!$A$7:$A$250,$F2243)=0,"TK Nợ sai! ","")&amp;IF(COUNTIF(DMTK!$A$7:$A$250,$G2243)=0,"TK Có sai! ","")&amp;IF(N($H2243)&lt;=0,"Tiền phải &gt; 0! ","")&amp;IF($B2243="","Thiếu ngày! ","")&amp;IF(AND(OR(LEFT($F2243,3)="131",LEFT($G2243,3)="131",LEFT($F2243,3)="331",LEFT($G2243,3)="331"),$I2243=""),"Thiếu Mã ĐT! ","")&amp;IF(AND($I2243&lt;&gt;"",COUNTIF(DM_DT!$A$7:$A$306,$I2243)=0),"Mã ĐT chưa khai báo! ","")))</f>
        <v/>
      </c>
      <c r="M2243" s="117">
        <f>IF($H2243="","",IF(AND(OR(LEFT($F2243,3)="111",LEFT($F2243,3)="112",LEFT($F2243,3)="113"),OR(LEFT($G2243,3)="111",LEFT($G2243,3)="112",LEFT($G2243,3)="113")),"NB",IF(OR(LEFT($F2243,3)="111",LEFT($F2243,3)="112",LEFT($F2243,3)="113"),"THU",IF(OR(LEFT($G2243,3)="111",LEFT($G2243,3)="112",LEFT($G2243,3)="113"),"CHI",""))))</f>
        <v/>
      </c>
      <c r="N2243" s="117">
        <f>IF($M2243="THU",$G2243,IF($M2243="CHI",$F2243,""))</f>
        <v/>
      </c>
      <c r="O2243" s="117">
        <f>IF(OR($M2243="",$M2243="NB"),"",IF($J2243&lt;&gt;"",TEXT($J2243,"00"),IFERROR(VLOOKUP(LEFT($N2243,4),LCTT_MAP!$A$7:$C$66,IF($M2243="THU",2,3),FALSE()),IFERROR(VLOOKUP(LEFT($N2243,3),LCTT_MAP!$A$7:$C$66,IF($M2243="THU",2,3),FALSE()),IFERROR(VLOOKUP(LEFT($N2243,2),LCTT_MAP!$A$7:$C$66,IF($M2243="THU",2,3),FALSE()),IFERROR(VLOOKUP(LEFT($N2243,1),LCTT_MAP!$A$7:$C$66,IF($M2243="THU",2,3),FALSE()),IF($M2243="THU","06","07")))))))</f>
        <v/>
      </c>
      <c r="P2243" s="117">
        <f>P2242+IF(AND($H2243&lt;&gt;"",OR(LEFT($F2243,LEN(SC_TK))=SC_TK,LEFT($G2243,LEN(SC_TK))=SC_TK)),1,0)</f>
        <v/>
      </c>
    </row>
    <row r="2244" ht="15" customHeight="1" s="78">
      <c r="A2244" s="95">
        <f>IF($H2244="","",ROW()-6)</f>
        <v/>
      </c>
      <c r="B2244" s="114" t="n"/>
      <c r="C2244" s="102" t="n"/>
      <c r="D2244" s="114" t="n"/>
      <c r="E2244" s="103" t="n"/>
      <c r="F2244" s="102" t="n"/>
      <c r="G2244" s="102" t="n"/>
      <c r="H2244" s="115" t="n"/>
      <c r="I2244" s="102" t="n"/>
      <c r="J2244" s="102" t="n"/>
      <c r="K2244" s="103" t="n"/>
      <c r="L2244" s="116">
        <f>IF($H2244="","",TRIM(IF(COUNTIF(DMTK!$A$7:$A$250,$F2244)=0,"TK Nợ sai! ","")&amp;IF(COUNTIF(DMTK!$A$7:$A$250,$G2244)=0,"TK Có sai! ","")&amp;IF(N($H2244)&lt;=0,"Tiền phải &gt; 0! ","")&amp;IF($B2244="","Thiếu ngày! ","")&amp;IF(AND(OR(LEFT($F2244,3)="131",LEFT($G2244,3)="131",LEFT($F2244,3)="331",LEFT($G2244,3)="331"),$I2244=""),"Thiếu Mã ĐT! ","")&amp;IF(AND($I2244&lt;&gt;"",COUNTIF(DM_DT!$A$7:$A$306,$I2244)=0),"Mã ĐT chưa khai báo! ","")))</f>
        <v/>
      </c>
      <c r="M2244" s="117">
        <f>IF($H2244="","",IF(AND(OR(LEFT($F2244,3)="111",LEFT($F2244,3)="112",LEFT($F2244,3)="113"),OR(LEFT($G2244,3)="111",LEFT($G2244,3)="112",LEFT($G2244,3)="113")),"NB",IF(OR(LEFT($F2244,3)="111",LEFT($F2244,3)="112",LEFT($F2244,3)="113"),"THU",IF(OR(LEFT($G2244,3)="111",LEFT($G2244,3)="112",LEFT($G2244,3)="113"),"CHI",""))))</f>
        <v/>
      </c>
      <c r="N2244" s="117">
        <f>IF($M2244="THU",$G2244,IF($M2244="CHI",$F2244,""))</f>
        <v/>
      </c>
      <c r="O2244" s="117">
        <f>IF(OR($M2244="",$M2244="NB"),"",IF($J2244&lt;&gt;"",TEXT($J2244,"00"),IFERROR(VLOOKUP(LEFT($N2244,4),LCTT_MAP!$A$7:$C$66,IF($M2244="THU",2,3),FALSE()),IFERROR(VLOOKUP(LEFT($N2244,3),LCTT_MAP!$A$7:$C$66,IF($M2244="THU",2,3),FALSE()),IFERROR(VLOOKUP(LEFT($N2244,2),LCTT_MAP!$A$7:$C$66,IF($M2244="THU",2,3),FALSE()),IFERROR(VLOOKUP(LEFT($N2244,1),LCTT_MAP!$A$7:$C$66,IF($M2244="THU",2,3),FALSE()),IF($M2244="THU","06","07")))))))</f>
        <v/>
      </c>
      <c r="P2244" s="117">
        <f>P2243+IF(AND($H2244&lt;&gt;"",OR(LEFT($F2244,LEN(SC_TK))=SC_TK,LEFT($G2244,LEN(SC_TK))=SC_TK)),1,0)</f>
        <v/>
      </c>
    </row>
    <row r="2245" ht="15" customHeight="1" s="78">
      <c r="A2245" s="95">
        <f>IF($H2245="","",ROW()-6)</f>
        <v/>
      </c>
      <c r="B2245" s="114" t="n"/>
      <c r="C2245" s="102" t="n"/>
      <c r="D2245" s="114" t="n"/>
      <c r="E2245" s="103" t="n"/>
      <c r="F2245" s="102" t="n"/>
      <c r="G2245" s="102" t="n"/>
      <c r="H2245" s="115" t="n"/>
      <c r="I2245" s="102" t="n"/>
      <c r="J2245" s="102" t="n"/>
      <c r="K2245" s="103" t="n"/>
      <c r="L2245" s="116">
        <f>IF($H2245="","",TRIM(IF(COUNTIF(DMTK!$A$7:$A$250,$F2245)=0,"TK Nợ sai! ","")&amp;IF(COUNTIF(DMTK!$A$7:$A$250,$G2245)=0,"TK Có sai! ","")&amp;IF(N($H2245)&lt;=0,"Tiền phải &gt; 0! ","")&amp;IF($B2245="","Thiếu ngày! ","")&amp;IF(AND(OR(LEFT($F2245,3)="131",LEFT($G2245,3)="131",LEFT($F2245,3)="331",LEFT($G2245,3)="331"),$I2245=""),"Thiếu Mã ĐT! ","")&amp;IF(AND($I2245&lt;&gt;"",COUNTIF(DM_DT!$A$7:$A$306,$I2245)=0),"Mã ĐT chưa khai báo! ","")))</f>
        <v/>
      </c>
      <c r="M2245" s="117">
        <f>IF($H2245="","",IF(AND(OR(LEFT($F2245,3)="111",LEFT($F2245,3)="112",LEFT($F2245,3)="113"),OR(LEFT($G2245,3)="111",LEFT($G2245,3)="112",LEFT($G2245,3)="113")),"NB",IF(OR(LEFT($F2245,3)="111",LEFT($F2245,3)="112",LEFT($F2245,3)="113"),"THU",IF(OR(LEFT($G2245,3)="111",LEFT($G2245,3)="112",LEFT($G2245,3)="113"),"CHI",""))))</f>
        <v/>
      </c>
      <c r="N2245" s="117">
        <f>IF($M2245="THU",$G2245,IF($M2245="CHI",$F2245,""))</f>
        <v/>
      </c>
      <c r="O2245" s="117">
        <f>IF(OR($M2245="",$M2245="NB"),"",IF($J2245&lt;&gt;"",TEXT($J2245,"00"),IFERROR(VLOOKUP(LEFT($N2245,4),LCTT_MAP!$A$7:$C$66,IF($M2245="THU",2,3),FALSE()),IFERROR(VLOOKUP(LEFT($N2245,3),LCTT_MAP!$A$7:$C$66,IF($M2245="THU",2,3),FALSE()),IFERROR(VLOOKUP(LEFT($N2245,2),LCTT_MAP!$A$7:$C$66,IF($M2245="THU",2,3),FALSE()),IFERROR(VLOOKUP(LEFT($N2245,1),LCTT_MAP!$A$7:$C$66,IF($M2245="THU",2,3),FALSE()),IF($M2245="THU","06","07")))))))</f>
        <v/>
      </c>
      <c r="P2245" s="117">
        <f>P2244+IF(AND($H2245&lt;&gt;"",OR(LEFT($F2245,LEN(SC_TK))=SC_TK,LEFT($G2245,LEN(SC_TK))=SC_TK)),1,0)</f>
        <v/>
      </c>
    </row>
    <row r="2246" ht="15" customHeight="1" s="78">
      <c r="A2246" s="95">
        <f>IF($H2246="","",ROW()-6)</f>
        <v/>
      </c>
      <c r="B2246" s="114" t="n"/>
      <c r="C2246" s="102" t="n"/>
      <c r="D2246" s="114" t="n"/>
      <c r="E2246" s="103" t="n"/>
      <c r="F2246" s="102" t="n"/>
      <c r="G2246" s="102" t="n"/>
      <c r="H2246" s="115" t="n"/>
      <c r="I2246" s="102" t="n"/>
      <c r="J2246" s="102" t="n"/>
      <c r="K2246" s="103" t="n"/>
      <c r="L2246" s="116">
        <f>IF($H2246="","",TRIM(IF(COUNTIF(DMTK!$A$7:$A$250,$F2246)=0,"TK Nợ sai! ","")&amp;IF(COUNTIF(DMTK!$A$7:$A$250,$G2246)=0,"TK Có sai! ","")&amp;IF(N($H2246)&lt;=0,"Tiền phải &gt; 0! ","")&amp;IF($B2246="","Thiếu ngày! ","")&amp;IF(AND(OR(LEFT($F2246,3)="131",LEFT($G2246,3)="131",LEFT($F2246,3)="331",LEFT($G2246,3)="331"),$I2246=""),"Thiếu Mã ĐT! ","")&amp;IF(AND($I2246&lt;&gt;"",COUNTIF(DM_DT!$A$7:$A$306,$I2246)=0),"Mã ĐT chưa khai báo! ","")))</f>
        <v/>
      </c>
      <c r="M2246" s="117">
        <f>IF($H2246="","",IF(AND(OR(LEFT($F2246,3)="111",LEFT($F2246,3)="112",LEFT($F2246,3)="113"),OR(LEFT($G2246,3)="111",LEFT($G2246,3)="112",LEFT($G2246,3)="113")),"NB",IF(OR(LEFT($F2246,3)="111",LEFT($F2246,3)="112",LEFT($F2246,3)="113"),"THU",IF(OR(LEFT($G2246,3)="111",LEFT($G2246,3)="112",LEFT($G2246,3)="113"),"CHI",""))))</f>
        <v/>
      </c>
      <c r="N2246" s="117">
        <f>IF($M2246="THU",$G2246,IF($M2246="CHI",$F2246,""))</f>
        <v/>
      </c>
      <c r="O2246" s="117">
        <f>IF(OR($M2246="",$M2246="NB"),"",IF($J2246&lt;&gt;"",TEXT($J2246,"00"),IFERROR(VLOOKUP(LEFT($N2246,4),LCTT_MAP!$A$7:$C$66,IF($M2246="THU",2,3),FALSE()),IFERROR(VLOOKUP(LEFT($N2246,3),LCTT_MAP!$A$7:$C$66,IF($M2246="THU",2,3),FALSE()),IFERROR(VLOOKUP(LEFT($N2246,2),LCTT_MAP!$A$7:$C$66,IF($M2246="THU",2,3),FALSE()),IFERROR(VLOOKUP(LEFT($N2246,1),LCTT_MAP!$A$7:$C$66,IF($M2246="THU",2,3),FALSE()),IF($M2246="THU","06","07")))))))</f>
        <v/>
      </c>
      <c r="P2246" s="117">
        <f>P2245+IF(AND($H2246&lt;&gt;"",OR(LEFT($F2246,LEN(SC_TK))=SC_TK,LEFT($G2246,LEN(SC_TK))=SC_TK)),1,0)</f>
        <v/>
      </c>
    </row>
    <row r="2247" ht="15" customHeight="1" s="78">
      <c r="A2247" s="95">
        <f>IF($H2247="","",ROW()-6)</f>
        <v/>
      </c>
      <c r="B2247" s="114" t="n"/>
      <c r="C2247" s="102" t="n"/>
      <c r="D2247" s="114" t="n"/>
      <c r="E2247" s="103" t="n"/>
      <c r="F2247" s="102" t="n"/>
      <c r="G2247" s="102" t="n"/>
      <c r="H2247" s="115" t="n"/>
      <c r="I2247" s="102" t="n"/>
      <c r="J2247" s="102" t="n"/>
      <c r="K2247" s="103" t="n"/>
      <c r="L2247" s="116">
        <f>IF($H2247="","",TRIM(IF(COUNTIF(DMTK!$A$7:$A$250,$F2247)=0,"TK Nợ sai! ","")&amp;IF(COUNTIF(DMTK!$A$7:$A$250,$G2247)=0,"TK Có sai! ","")&amp;IF(N($H2247)&lt;=0,"Tiền phải &gt; 0! ","")&amp;IF($B2247="","Thiếu ngày! ","")&amp;IF(AND(OR(LEFT($F2247,3)="131",LEFT($G2247,3)="131",LEFT($F2247,3)="331",LEFT($G2247,3)="331"),$I2247=""),"Thiếu Mã ĐT! ","")&amp;IF(AND($I2247&lt;&gt;"",COUNTIF(DM_DT!$A$7:$A$306,$I2247)=0),"Mã ĐT chưa khai báo! ","")))</f>
        <v/>
      </c>
      <c r="M2247" s="117">
        <f>IF($H2247="","",IF(AND(OR(LEFT($F2247,3)="111",LEFT($F2247,3)="112",LEFT($F2247,3)="113"),OR(LEFT($G2247,3)="111",LEFT($G2247,3)="112",LEFT($G2247,3)="113")),"NB",IF(OR(LEFT($F2247,3)="111",LEFT($F2247,3)="112",LEFT($F2247,3)="113"),"THU",IF(OR(LEFT($G2247,3)="111",LEFT($G2247,3)="112",LEFT($G2247,3)="113"),"CHI",""))))</f>
        <v/>
      </c>
      <c r="N2247" s="117">
        <f>IF($M2247="THU",$G2247,IF($M2247="CHI",$F2247,""))</f>
        <v/>
      </c>
      <c r="O2247" s="117">
        <f>IF(OR($M2247="",$M2247="NB"),"",IF($J2247&lt;&gt;"",TEXT($J2247,"00"),IFERROR(VLOOKUP(LEFT($N2247,4),LCTT_MAP!$A$7:$C$66,IF($M2247="THU",2,3),FALSE()),IFERROR(VLOOKUP(LEFT($N2247,3),LCTT_MAP!$A$7:$C$66,IF($M2247="THU",2,3),FALSE()),IFERROR(VLOOKUP(LEFT($N2247,2),LCTT_MAP!$A$7:$C$66,IF($M2247="THU",2,3),FALSE()),IFERROR(VLOOKUP(LEFT($N2247,1),LCTT_MAP!$A$7:$C$66,IF($M2247="THU",2,3),FALSE()),IF($M2247="THU","06","07")))))))</f>
        <v/>
      </c>
      <c r="P2247" s="117">
        <f>P2246+IF(AND($H2247&lt;&gt;"",OR(LEFT($F2247,LEN(SC_TK))=SC_TK,LEFT($G2247,LEN(SC_TK))=SC_TK)),1,0)</f>
        <v/>
      </c>
    </row>
    <row r="2248" ht="15" customHeight="1" s="78">
      <c r="A2248" s="95">
        <f>IF($H2248="","",ROW()-6)</f>
        <v/>
      </c>
      <c r="B2248" s="114" t="n"/>
      <c r="C2248" s="102" t="n"/>
      <c r="D2248" s="114" t="n"/>
      <c r="E2248" s="103" t="n"/>
      <c r="F2248" s="102" t="n"/>
      <c r="G2248" s="102" t="n"/>
      <c r="H2248" s="115" t="n"/>
      <c r="I2248" s="102" t="n"/>
      <c r="J2248" s="102" t="n"/>
      <c r="K2248" s="103" t="n"/>
      <c r="L2248" s="116">
        <f>IF($H2248="","",TRIM(IF(COUNTIF(DMTK!$A$7:$A$250,$F2248)=0,"TK Nợ sai! ","")&amp;IF(COUNTIF(DMTK!$A$7:$A$250,$G2248)=0,"TK Có sai! ","")&amp;IF(N($H2248)&lt;=0,"Tiền phải &gt; 0! ","")&amp;IF($B2248="","Thiếu ngày! ","")&amp;IF(AND(OR(LEFT($F2248,3)="131",LEFT($G2248,3)="131",LEFT($F2248,3)="331",LEFT($G2248,3)="331"),$I2248=""),"Thiếu Mã ĐT! ","")&amp;IF(AND($I2248&lt;&gt;"",COUNTIF(DM_DT!$A$7:$A$306,$I2248)=0),"Mã ĐT chưa khai báo! ","")))</f>
        <v/>
      </c>
      <c r="M2248" s="117">
        <f>IF($H2248="","",IF(AND(OR(LEFT($F2248,3)="111",LEFT($F2248,3)="112",LEFT($F2248,3)="113"),OR(LEFT($G2248,3)="111",LEFT($G2248,3)="112",LEFT($G2248,3)="113")),"NB",IF(OR(LEFT($F2248,3)="111",LEFT($F2248,3)="112",LEFT($F2248,3)="113"),"THU",IF(OR(LEFT($G2248,3)="111",LEFT($G2248,3)="112",LEFT($G2248,3)="113"),"CHI",""))))</f>
        <v/>
      </c>
      <c r="N2248" s="117">
        <f>IF($M2248="THU",$G2248,IF($M2248="CHI",$F2248,""))</f>
        <v/>
      </c>
      <c r="O2248" s="117">
        <f>IF(OR($M2248="",$M2248="NB"),"",IF($J2248&lt;&gt;"",TEXT($J2248,"00"),IFERROR(VLOOKUP(LEFT($N2248,4),LCTT_MAP!$A$7:$C$66,IF($M2248="THU",2,3),FALSE()),IFERROR(VLOOKUP(LEFT($N2248,3),LCTT_MAP!$A$7:$C$66,IF($M2248="THU",2,3),FALSE()),IFERROR(VLOOKUP(LEFT($N2248,2),LCTT_MAP!$A$7:$C$66,IF($M2248="THU",2,3),FALSE()),IFERROR(VLOOKUP(LEFT($N2248,1),LCTT_MAP!$A$7:$C$66,IF($M2248="THU",2,3),FALSE()),IF($M2248="THU","06","07")))))))</f>
        <v/>
      </c>
      <c r="P2248" s="117">
        <f>P2247+IF(AND($H2248&lt;&gt;"",OR(LEFT($F2248,LEN(SC_TK))=SC_TK,LEFT($G2248,LEN(SC_TK))=SC_TK)),1,0)</f>
        <v/>
      </c>
    </row>
    <row r="2249" ht="15" customHeight="1" s="78">
      <c r="A2249" s="95">
        <f>IF($H2249="","",ROW()-6)</f>
        <v/>
      </c>
      <c r="B2249" s="114" t="n"/>
      <c r="C2249" s="102" t="n"/>
      <c r="D2249" s="114" t="n"/>
      <c r="E2249" s="103" t="n"/>
      <c r="F2249" s="102" t="n"/>
      <c r="G2249" s="102" t="n"/>
      <c r="H2249" s="115" t="n"/>
      <c r="I2249" s="102" t="n"/>
      <c r="J2249" s="102" t="n"/>
      <c r="K2249" s="103" t="n"/>
      <c r="L2249" s="116">
        <f>IF($H2249="","",TRIM(IF(COUNTIF(DMTK!$A$7:$A$250,$F2249)=0,"TK Nợ sai! ","")&amp;IF(COUNTIF(DMTK!$A$7:$A$250,$G2249)=0,"TK Có sai! ","")&amp;IF(N($H2249)&lt;=0,"Tiền phải &gt; 0! ","")&amp;IF($B2249="","Thiếu ngày! ","")&amp;IF(AND(OR(LEFT($F2249,3)="131",LEFT($G2249,3)="131",LEFT($F2249,3)="331",LEFT($G2249,3)="331"),$I2249=""),"Thiếu Mã ĐT! ","")&amp;IF(AND($I2249&lt;&gt;"",COUNTIF(DM_DT!$A$7:$A$306,$I2249)=0),"Mã ĐT chưa khai báo! ","")))</f>
        <v/>
      </c>
      <c r="M2249" s="117">
        <f>IF($H2249="","",IF(AND(OR(LEFT($F2249,3)="111",LEFT($F2249,3)="112",LEFT($F2249,3)="113"),OR(LEFT($G2249,3)="111",LEFT($G2249,3)="112",LEFT($G2249,3)="113")),"NB",IF(OR(LEFT($F2249,3)="111",LEFT($F2249,3)="112",LEFT($F2249,3)="113"),"THU",IF(OR(LEFT($G2249,3)="111",LEFT($G2249,3)="112",LEFT($G2249,3)="113"),"CHI",""))))</f>
        <v/>
      </c>
      <c r="N2249" s="117">
        <f>IF($M2249="THU",$G2249,IF($M2249="CHI",$F2249,""))</f>
        <v/>
      </c>
      <c r="O2249" s="117">
        <f>IF(OR($M2249="",$M2249="NB"),"",IF($J2249&lt;&gt;"",TEXT($J2249,"00"),IFERROR(VLOOKUP(LEFT($N2249,4),LCTT_MAP!$A$7:$C$66,IF($M2249="THU",2,3),FALSE()),IFERROR(VLOOKUP(LEFT($N2249,3),LCTT_MAP!$A$7:$C$66,IF($M2249="THU",2,3),FALSE()),IFERROR(VLOOKUP(LEFT($N2249,2),LCTT_MAP!$A$7:$C$66,IF($M2249="THU",2,3),FALSE()),IFERROR(VLOOKUP(LEFT($N2249,1),LCTT_MAP!$A$7:$C$66,IF($M2249="THU",2,3),FALSE()),IF($M2249="THU","06","07")))))))</f>
        <v/>
      </c>
      <c r="P2249" s="117">
        <f>P2248+IF(AND($H2249&lt;&gt;"",OR(LEFT($F2249,LEN(SC_TK))=SC_TK,LEFT($G2249,LEN(SC_TK))=SC_TK)),1,0)</f>
        <v/>
      </c>
    </row>
    <row r="2250" ht="15" customHeight="1" s="78">
      <c r="A2250" s="95">
        <f>IF($H2250="","",ROW()-6)</f>
        <v/>
      </c>
      <c r="B2250" s="114" t="n"/>
      <c r="C2250" s="102" t="n"/>
      <c r="D2250" s="114" t="n"/>
      <c r="E2250" s="103" t="n"/>
      <c r="F2250" s="102" t="n"/>
      <c r="G2250" s="102" t="n"/>
      <c r="H2250" s="115" t="n"/>
      <c r="I2250" s="102" t="n"/>
      <c r="J2250" s="102" t="n"/>
      <c r="K2250" s="103" t="n"/>
      <c r="L2250" s="116">
        <f>IF($H2250="","",TRIM(IF(COUNTIF(DMTK!$A$7:$A$250,$F2250)=0,"TK Nợ sai! ","")&amp;IF(COUNTIF(DMTK!$A$7:$A$250,$G2250)=0,"TK Có sai! ","")&amp;IF(N($H2250)&lt;=0,"Tiền phải &gt; 0! ","")&amp;IF($B2250="","Thiếu ngày! ","")&amp;IF(AND(OR(LEFT($F2250,3)="131",LEFT($G2250,3)="131",LEFT($F2250,3)="331",LEFT($G2250,3)="331"),$I2250=""),"Thiếu Mã ĐT! ","")&amp;IF(AND($I2250&lt;&gt;"",COUNTIF(DM_DT!$A$7:$A$306,$I2250)=0),"Mã ĐT chưa khai báo! ","")))</f>
        <v/>
      </c>
      <c r="M2250" s="117">
        <f>IF($H2250="","",IF(AND(OR(LEFT($F2250,3)="111",LEFT($F2250,3)="112",LEFT($F2250,3)="113"),OR(LEFT($G2250,3)="111",LEFT($G2250,3)="112",LEFT($G2250,3)="113")),"NB",IF(OR(LEFT($F2250,3)="111",LEFT($F2250,3)="112",LEFT($F2250,3)="113"),"THU",IF(OR(LEFT($G2250,3)="111",LEFT($G2250,3)="112",LEFT($G2250,3)="113"),"CHI",""))))</f>
        <v/>
      </c>
      <c r="N2250" s="117">
        <f>IF($M2250="THU",$G2250,IF($M2250="CHI",$F2250,""))</f>
        <v/>
      </c>
      <c r="O2250" s="117">
        <f>IF(OR($M2250="",$M2250="NB"),"",IF($J2250&lt;&gt;"",TEXT($J2250,"00"),IFERROR(VLOOKUP(LEFT($N2250,4),LCTT_MAP!$A$7:$C$66,IF($M2250="THU",2,3),FALSE()),IFERROR(VLOOKUP(LEFT($N2250,3),LCTT_MAP!$A$7:$C$66,IF($M2250="THU",2,3),FALSE()),IFERROR(VLOOKUP(LEFT($N2250,2),LCTT_MAP!$A$7:$C$66,IF($M2250="THU",2,3),FALSE()),IFERROR(VLOOKUP(LEFT($N2250,1),LCTT_MAP!$A$7:$C$66,IF($M2250="THU",2,3),FALSE()),IF($M2250="THU","06","07")))))))</f>
        <v/>
      </c>
      <c r="P2250" s="117">
        <f>P2249+IF(AND($H2250&lt;&gt;"",OR(LEFT($F2250,LEN(SC_TK))=SC_TK,LEFT($G2250,LEN(SC_TK))=SC_TK)),1,0)</f>
        <v/>
      </c>
    </row>
    <row r="2251" ht="15" customHeight="1" s="78">
      <c r="A2251" s="95">
        <f>IF($H2251="","",ROW()-6)</f>
        <v/>
      </c>
      <c r="B2251" s="114" t="n"/>
      <c r="C2251" s="102" t="n"/>
      <c r="D2251" s="114" t="n"/>
      <c r="E2251" s="103" t="n"/>
      <c r="F2251" s="102" t="n"/>
      <c r="G2251" s="102" t="n"/>
      <c r="H2251" s="115" t="n"/>
      <c r="I2251" s="102" t="n"/>
      <c r="J2251" s="102" t="n"/>
      <c r="K2251" s="103" t="n"/>
      <c r="L2251" s="116">
        <f>IF($H2251="","",TRIM(IF(COUNTIF(DMTK!$A$7:$A$250,$F2251)=0,"TK Nợ sai! ","")&amp;IF(COUNTIF(DMTK!$A$7:$A$250,$G2251)=0,"TK Có sai! ","")&amp;IF(N($H2251)&lt;=0,"Tiền phải &gt; 0! ","")&amp;IF($B2251="","Thiếu ngày! ","")&amp;IF(AND(OR(LEFT($F2251,3)="131",LEFT($G2251,3)="131",LEFT($F2251,3)="331",LEFT($G2251,3)="331"),$I2251=""),"Thiếu Mã ĐT! ","")&amp;IF(AND($I2251&lt;&gt;"",COUNTIF(DM_DT!$A$7:$A$306,$I2251)=0),"Mã ĐT chưa khai báo! ","")))</f>
        <v/>
      </c>
      <c r="M2251" s="117">
        <f>IF($H2251="","",IF(AND(OR(LEFT($F2251,3)="111",LEFT($F2251,3)="112",LEFT($F2251,3)="113"),OR(LEFT($G2251,3)="111",LEFT($G2251,3)="112",LEFT($G2251,3)="113")),"NB",IF(OR(LEFT($F2251,3)="111",LEFT($F2251,3)="112",LEFT($F2251,3)="113"),"THU",IF(OR(LEFT($G2251,3)="111",LEFT($G2251,3)="112",LEFT($G2251,3)="113"),"CHI",""))))</f>
        <v/>
      </c>
      <c r="N2251" s="117">
        <f>IF($M2251="THU",$G2251,IF($M2251="CHI",$F2251,""))</f>
        <v/>
      </c>
      <c r="O2251" s="117">
        <f>IF(OR($M2251="",$M2251="NB"),"",IF($J2251&lt;&gt;"",TEXT($J2251,"00"),IFERROR(VLOOKUP(LEFT($N2251,4),LCTT_MAP!$A$7:$C$66,IF($M2251="THU",2,3),FALSE()),IFERROR(VLOOKUP(LEFT($N2251,3),LCTT_MAP!$A$7:$C$66,IF($M2251="THU",2,3),FALSE()),IFERROR(VLOOKUP(LEFT($N2251,2),LCTT_MAP!$A$7:$C$66,IF($M2251="THU",2,3),FALSE()),IFERROR(VLOOKUP(LEFT($N2251,1),LCTT_MAP!$A$7:$C$66,IF($M2251="THU",2,3),FALSE()),IF($M2251="THU","06","07")))))))</f>
        <v/>
      </c>
      <c r="P2251" s="117">
        <f>P2250+IF(AND($H2251&lt;&gt;"",OR(LEFT($F2251,LEN(SC_TK))=SC_TK,LEFT($G2251,LEN(SC_TK))=SC_TK)),1,0)</f>
        <v/>
      </c>
    </row>
    <row r="2252" ht="15" customHeight="1" s="78">
      <c r="A2252" s="95">
        <f>IF($H2252="","",ROW()-6)</f>
        <v/>
      </c>
      <c r="B2252" s="114" t="n"/>
      <c r="C2252" s="102" t="n"/>
      <c r="D2252" s="114" t="n"/>
      <c r="E2252" s="103" t="n"/>
      <c r="F2252" s="102" t="n"/>
      <c r="G2252" s="102" t="n"/>
      <c r="H2252" s="115" t="n"/>
      <c r="I2252" s="102" t="n"/>
      <c r="J2252" s="102" t="n"/>
      <c r="K2252" s="103" t="n"/>
      <c r="L2252" s="116">
        <f>IF($H2252="","",TRIM(IF(COUNTIF(DMTK!$A$7:$A$250,$F2252)=0,"TK Nợ sai! ","")&amp;IF(COUNTIF(DMTK!$A$7:$A$250,$G2252)=0,"TK Có sai! ","")&amp;IF(N($H2252)&lt;=0,"Tiền phải &gt; 0! ","")&amp;IF($B2252="","Thiếu ngày! ","")&amp;IF(AND(OR(LEFT($F2252,3)="131",LEFT($G2252,3)="131",LEFT($F2252,3)="331",LEFT($G2252,3)="331"),$I2252=""),"Thiếu Mã ĐT! ","")&amp;IF(AND($I2252&lt;&gt;"",COUNTIF(DM_DT!$A$7:$A$306,$I2252)=0),"Mã ĐT chưa khai báo! ","")))</f>
        <v/>
      </c>
      <c r="M2252" s="117">
        <f>IF($H2252="","",IF(AND(OR(LEFT($F2252,3)="111",LEFT($F2252,3)="112",LEFT($F2252,3)="113"),OR(LEFT($G2252,3)="111",LEFT($G2252,3)="112",LEFT($G2252,3)="113")),"NB",IF(OR(LEFT($F2252,3)="111",LEFT($F2252,3)="112",LEFT($F2252,3)="113"),"THU",IF(OR(LEFT($G2252,3)="111",LEFT($G2252,3)="112",LEFT($G2252,3)="113"),"CHI",""))))</f>
        <v/>
      </c>
      <c r="N2252" s="117">
        <f>IF($M2252="THU",$G2252,IF($M2252="CHI",$F2252,""))</f>
        <v/>
      </c>
      <c r="O2252" s="117">
        <f>IF(OR($M2252="",$M2252="NB"),"",IF($J2252&lt;&gt;"",TEXT($J2252,"00"),IFERROR(VLOOKUP(LEFT($N2252,4),LCTT_MAP!$A$7:$C$66,IF($M2252="THU",2,3),FALSE()),IFERROR(VLOOKUP(LEFT($N2252,3),LCTT_MAP!$A$7:$C$66,IF($M2252="THU",2,3),FALSE()),IFERROR(VLOOKUP(LEFT($N2252,2),LCTT_MAP!$A$7:$C$66,IF($M2252="THU",2,3),FALSE()),IFERROR(VLOOKUP(LEFT($N2252,1),LCTT_MAP!$A$7:$C$66,IF($M2252="THU",2,3),FALSE()),IF($M2252="THU","06","07")))))))</f>
        <v/>
      </c>
      <c r="P2252" s="117">
        <f>P2251+IF(AND($H2252&lt;&gt;"",OR(LEFT($F2252,LEN(SC_TK))=SC_TK,LEFT($G2252,LEN(SC_TK))=SC_TK)),1,0)</f>
        <v/>
      </c>
    </row>
    <row r="2253" ht="15" customHeight="1" s="78">
      <c r="A2253" s="95">
        <f>IF($H2253="","",ROW()-6)</f>
        <v/>
      </c>
      <c r="B2253" s="114" t="n"/>
      <c r="C2253" s="102" t="n"/>
      <c r="D2253" s="114" t="n"/>
      <c r="E2253" s="103" t="n"/>
      <c r="F2253" s="102" t="n"/>
      <c r="G2253" s="102" t="n"/>
      <c r="H2253" s="115" t="n"/>
      <c r="I2253" s="102" t="n"/>
      <c r="J2253" s="102" t="n"/>
      <c r="K2253" s="103" t="n"/>
      <c r="L2253" s="116">
        <f>IF($H2253="","",TRIM(IF(COUNTIF(DMTK!$A$7:$A$250,$F2253)=0,"TK Nợ sai! ","")&amp;IF(COUNTIF(DMTK!$A$7:$A$250,$G2253)=0,"TK Có sai! ","")&amp;IF(N($H2253)&lt;=0,"Tiền phải &gt; 0! ","")&amp;IF($B2253="","Thiếu ngày! ","")&amp;IF(AND(OR(LEFT($F2253,3)="131",LEFT($G2253,3)="131",LEFT($F2253,3)="331",LEFT($G2253,3)="331"),$I2253=""),"Thiếu Mã ĐT! ","")&amp;IF(AND($I2253&lt;&gt;"",COUNTIF(DM_DT!$A$7:$A$306,$I2253)=0),"Mã ĐT chưa khai báo! ","")))</f>
        <v/>
      </c>
      <c r="M2253" s="117">
        <f>IF($H2253="","",IF(AND(OR(LEFT($F2253,3)="111",LEFT($F2253,3)="112",LEFT($F2253,3)="113"),OR(LEFT($G2253,3)="111",LEFT($G2253,3)="112",LEFT($G2253,3)="113")),"NB",IF(OR(LEFT($F2253,3)="111",LEFT($F2253,3)="112",LEFT($F2253,3)="113"),"THU",IF(OR(LEFT($G2253,3)="111",LEFT($G2253,3)="112",LEFT($G2253,3)="113"),"CHI",""))))</f>
        <v/>
      </c>
      <c r="N2253" s="117">
        <f>IF($M2253="THU",$G2253,IF($M2253="CHI",$F2253,""))</f>
        <v/>
      </c>
      <c r="O2253" s="117">
        <f>IF(OR($M2253="",$M2253="NB"),"",IF($J2253&lt;&gt;"",TEXT($J2253,"00"),IFERROR(VLOOKUP(LEFT($N2253,4),LCTT_MAP!$A$7:$C$66,IF($M2253="THU",2,3),FALSE()),IFERROR(VLOOKUP(LEFT($N2253,3),LCTT_MAP!$A$7:$C$66,IF($M2253="THU",2,3),FALSE()),IFERROR(VLOOKUP(LEFT($N2253,2),LCTT_MAP!$A$7:$C$66,IF($M2253="THU",2,3),FALSE()),IFERROR(VLOOKUP(LEFT($N2253,1),LCTT_MAP!$A$7:$C$66,IF($M2253="THU",2,3),FALSE()),IF($M2253="THU","06","07")))))))</f>
        <v/>
      </c>
      <c r="P2253" s="117">
        <f>P2252+IF(AND($H2253&lt;&gt;"",OR(LEFT($F2253,LEN(SC_TK))=SC_TK,LEFT($G2253,LEN(SC_TK))=SC_TK)),1,0)</f>
        <v/>
      </c>
    </row>
    <row r="2254" ht="15" customHeight="1" s="78">
      <c r="A2254" s="95">
        <f>IF($H2254="","",ROW()-6)</f>
        <v/>
      </c>
      <c r="B2254" s="114" t="n"/>
      <c r="C2254" s="102" t="n"/>
      <c r="D2254" s="114" t="n"/>
      <c r="E2254" s="103" t="n"/>
      <c r="F2254" s="102" t="n"/>
      <c r="G2254" s="102" t="n"/>
      <c r="H2254" s="115" t="n"/>
      <c r="I2254" s="102" t="n"/>
      <c r="J2254" s="102" t="n"/>
      <c r="K2254" s="103" t="n"/>
      <c r="L2254" s="116">
        <f>IF($H2254="","",TRIM(IF(COUNTIF(DMTK!$A$7:$A$250,$F2254)=0,"TK Nợ sai! ","")&amp;IF(COUNTIF(DMTK!$A$7:$A$250,$G2254)=0,"TK Có sai! ","")&amp;IF(N($H2254)&lt;=0,"Tiền phải &gt; 0! ","")&amp;IF($B2254="","Thiếu ngày! ","")&amp;IF(AND(OR(LEFT($F2254,3)="131",LEFT($G2254,3)="131",LEFT($F2254,3)="331",LEFT($G2254,3)="331"),$I2254=""),"Thiếu Mã ĐT! ","")&amp;IF(AND($I2254&lt;&gt;"",COUNTIF(DM_DT!$A$7:$A$306,$I2254)=0),"Mã ĐT chưa khai báo! ","")))</f>
        <v/>
      </c>
      <c r="M2254" s="117">
        <f>IF($H2254="","",IF(AND(OR(LEFT($F2254,3)="111",LEFT($F2254,3)="112",LEFT($F2254,3)="113"),OR(LEFT($G2254,3)="111",LEFT($G2254,3)="112",LEFT($G2254,3)="113")),"NB",IF(OR(LEFT($F2254,3)="111",LEFT($F2254,3)="112",LEFT($F2254,3)="113"),"THU",IF(OR(LEFT($G2254,3)="111",LEFT($G2254,3)="112",LEFT($G2254,3)="113"),"CHI",""))))</f>
        <v/>
      </c>
      <c r="N2254" s="117">
        <f>IF($M2254="THU",$G2254,IF($M2254="CHI",$F2254,""))</f>
        <v/>
      </c>
      <c r="O2254" s="117">
        <f>IF(OR($M2254="",$M2254="NB"),"",IF($J2254&lt;&gt;"",TEXT($J2254,"00"),IFERROR(VLOOKUP(LEFT($N2254,4),LCTT_MAP!$A$7:$C$66,IF($M2254="THU",2,3),FALSE()),IFERROR(VLOOKUP(LEFT($N2254,3),LCTT_MAP!$A$7:$C$66,IF($M2254="THU",2,3),FALSE()),IFERROR(VLOOKUP(LEFT($N2254,2),LCTT_MAP!$A$7:$C$66,IF($M2254="THU",2,3),FALSE()),IFERROR(VLOOKUP(LEFT($N2254,1),LCTT_MAP!$A$7:$C$66,IF($M2254="THU",2,3),FALSE()),IF($M2254="THU","06","07")))))))</f>
        <v/>
      </c>
      <c r="P2254" s="117">
        <f>P2253+IF(AND($H2254&lt;&gt;"",OR(LEFT($F2254,LEN(SC_TK))=SC_TK,LEFT($G2254,LEN(SC_TK))=SC_TK)),1,0)</f>
        <v/>
      </c>
    </row>
    <row r="2255" ht="15" customHeight="1" s="78">
      <c r="A2255" s="95">
        <f>IF($H2255="","",ROW()-6)</f>
        <v/>
      </c>
      <c r="B2255" s="114" t="n"/>
      <c r="C2255" s="102" t="n"/>
      <c r="D2255" s="114" t="n"/>
      <c r="E2255" s="103" t="n"/>
      <c r="F2255" s="102" t="n"/>
      <c r="G2255" s="102" t="n"/>
      <c r="H2255" s="115" t="n"/>
      <c r="I2255" s="102" t="n"/>
      <c r="J2255" s="102" t="n"/>
      <c r="K2255" s="103" t="n"/>
      <c r="L2255" s="116">
        <f>IF($H2255="","",TRIM(IF(COUNTIF(DMTK!$A$7:$A$250,$F2255)=0,"TK Nợ sai! ","")&amp;IF(COUNTIF(DMTK!$A$7:$A$250,$G2255)=0,"TK Có sai! ","")&amp;IF(N($H2255)&lt;=0,"Tiền phải &gt; 0! ","")&amp;IF($B2255="","Thiếu ngày! ","")&amp;IF(AND(OR(LEFT($F2255,3)="131",LEFT($G2255,3)="131",LEFT($F2255,3)="331",LEFT($G2255,3)="331"),$I2255=""),"Thiếu Mã ĐT! ","")&amp;IF(AND($I2255&lt;&gt;"",COUNTIF(DM_DT!$A$7:$A$306,$I2255)=0),"Mã ĐT chưa khai báo! ","")))</f>
        <v/>
      </c>
      <c r="M2255" s="117">
        <f>IF($H2255="","",IF(AND(OR(LEFT($F2255,3)="111",LEFT($F2255,3)="112",LEFT($F2255,3)="113"),OR(LEFT($G2255,3)="111",LEFT($G2255,3)="112",LEFT($G2255,3)="113")),"NB",IF(OR(LEFT($F2255,3)="111",LEFT($F2255,3)="112",LEFT($F2255,3)="113"),"THU",IF(OR(LEFT($G2255,3)="111",LEFT($G2255,3)="112",LEFT($G2255,3)="113"),"CHI",""))))</f>
        <v/>
      </c>
      <c r="N2255" s="117">
        <f>IF($M2255="THU",$G2255,IF($M2255="CHI",$F2255,""))</f>
        <v/>
      </c>
      <c r="O2255" s="117">
        <f>IF(OR($M2255="",$M2255="NB"),"",IF($J2255&lt;&gt;"",TEXT($J2255,"00"),IFERROR(VLOOKUP(LEFT($N2255,4),LCTT_MAP!$A$7:$C$66,IF($M2255="THU",2,3),FALSE()),IFERROR(VLOOKUP(LEFT($N2255,3),LCTT_MAP!$A$7:$C$66,IF($M2255="THU",2,3),FALSE()),IFERROR(VLOOKUP(LEFT($N2255,2),LCTT_MAP!$A$7:$C$66,IF($M2255="THU",2,3),FALSE()),IFERROR(VLOOKUP(LEFT($N2255,1),LCTT_MAP!$A$7:$C$66,IF($M2255="THU",2,3),FALSE()),IF($M2255="THU","06","07")))))))</f>
        <v/>
      </c>
      <c r="P2255" s="117">
        <f>P2254+IF(AND($H2255&lt;&gt;"",OR(LEFT($F2255,LEN(SC_TK))=SC_TK,LEFT($G2255,LEN(SC_TK))=SC_TK)),1,0)</f>
        <v/>
      </c>
    </row>
    <row r="2256" ht="15" customHeight="1" s="78">
      <c r="A2256" s="95">
        <f>IF($H2256="","",ROW()-6)</f>
        <v/>
      </c>
      <c r="B2256" s="114" t="n"/>
      <c r="C2256" s="102" t="n"/>
      <c r="D2256" s="114" t="n"/>
      <c r="E2256" s="103" t="n"/>
      <c r="F2256" s="102" t="n"/>
      <c r="G2256" s="102" t="n"/>
      <c r="H2256" s="115" t="n"/>
      <c r="I2256" s="102" t="n"/>
      <c r="J2256" s="102" t="n"/>
      <c r="K2256" s="103" t="n"/>
      <c r="L2256" s="116">
        <f>IF($H2256="","",TRIM(IF(COUNTIF(DMTK!$A$7:$A$250,$F2256)=0,"TK Nợ sai! ","")&amp;IF(COUNTIF(DMTK!$A$7:$A$250,$G2256)=0,"TK Có sai! ","")&amp;IF(N($H2256)&lt;=0,"Tiền phải &gt; 0! ","")&amp;IF($B2256="","Thiếu ngày! ","")&amp;IF(AND(OR(LEFT($F2256,3)="131",LEFT($G2256,3)="131",LEFT($F2256,3)="331",LEFT($G2256,3)="331"),$I2256=""),"Thiếu Mã ĐT! ","")&amp;IF(AND($I2256&lt;&gt;"",COUNTIF(DM_DT!$A$7:$A$306,$I2256)=0),"Mã ĐT chưa khai báo! ","")))</f>
        <v/>
      </c>
      <c r="M2256" s="117">
        <f>IF($H2256="","",IF(AND(OR(LEFT($F2256,3)="111",LEFT($F2256,3)="112",LEFT($F2256,3)="113"),OR(LEFT($G2256,3)="111",LEFT($G2256,3)="112",LEFT($G2256,3)="113")),"NB",IF(OR(LEFT($F2256,3)="111",LEFT($F2256,3)="112",LEFT($F2256,3)="113"),"THU",IF(OR(LEFT($G2256,3)="111",LEFT($G2256,3)="112",LEFT($G2256,3)="113"),"CHI",""))))</f>
        <v/>
      </c>
      <c r="N2256" s="117">
        <f>IF($M2256="THU",$G2256,IF($M2256="CHI",$F2256,""))</f>
        <v/>
      </c>
      <c r="O2256" s="117">
        <f>IF(OR($M2256="",$M2256="NB"),"",IF($J2256&lt;&gt;"",TEXT($J2256,"00"),IFERROR(VLOOKUP(LEFT($N2256,4),LCTT_MAP!$A$7:$C$66,IF($M2256="THU",2,3),FALSE()),IFERROR(VLOOKUP(LEFT($N2256,3),LCTT_MAP!$A$7:$C$66,IF($M2256="THU",2,3),FALSE()),IFERROR(VLOOKUP(LEFT($N2256,2),LCTT_MAP!$A$7:$C$66,IF($M2256="THU",2,3),FALSE()),IFERROR(VLOOKUP(LEFT($N2256,1),LCTT_MAP!$A$7:$C$66,IF($M2256="THU",2,3),FALSE()),IF($M2256="THU","06","07")))))))</f>
        <v/>
      </c>
      <c r="P2256" s="117">
        <f>P2255+IF(AND($H2256&lt;&gt;"",OR(LEFT($F2256,LEN(SC_TK))=SC_TK,LEFT($G2256,LEN(SC_TK))=SC_TK)),1,0)</f>
        <v/>
      </c>
    </row>
    <row r="2257" ht="15" customHeight="1" s="78">
      <c r="A2257" s="95">
        <f>IF($H2257="","",ROW()-6)</f>
        <v/>
      </c>
      <c r="B2257" s="114" t="n"/>
      <c r="C2257" s="102" t="n"/>
      <c r="D2257" s="114" t="n"/>
      <c r="E2257" s="103" t="n"/>
      <c r="F2257" s="102" t="n"/>
      <c r="G2257" s="102" t="n"/>
      <c r="H2257" s="115" t="n"/>
      <c r="I2257" s="102" t="n"/>
      <c r="J2257" s="102" t="n"/>
      <c r="K2257" s="103" t="n"/>
      <c r="L2257" s="116">
        <f>IF($H2257="","",TRIM(IF(COUNTIF(DMTK!$A$7:$A$250,$F2257)=0,"TK Nợ sai! ","")&amp;IF(COUNTIF(DMTK!$A$7:$A$250,$G2257)=0,"TK Có sai! ","")&amp;IF(N($H2257)&lt;=0,"Tiền phải &gt; 0! ","")&amp;IF($B2257="","Thiếu ngày! ","")&amp;IF(AND(OR(LEFT($F2257,3)="131",LEFT($G2257,3)="131",LEFT($F2257,3)="331",LEFT($G2257,3)="331"),$I2257=""),"Thiếu Mã ĐT! ","")&amp;IF(AND($I2257&lt;&gt;"",COUNTIF(DM_DT!$A$7:$A$306,$I2257)=0),"Mã ĐT chưa khai báo! ","")))</f>
        <v/>
      </c>
      <c r="M2257" s="117">
        <f>IF($H2257="","",IF(AND(OR(LEFT($F2257,3)="111",LEFT($F2257,3)="112",LEFT($F2257,3)="113"),OR(LEFT($G2257,3)="111",LEFT($G2257,3)="112",LEFT($G2257,3)="113")),"NB",IF(OR(LEFT($F2257,3)="111",LEFT($F2257,3)="112",LEFT($F2257,3)="113"),"THU",IF(OR(LEFT($G2257,3)="111",LEFT($G2257,3)="112",LEFT($G2257,3)="113"),"CHI",""))))</f>
        <v/>
      </c>
      <c r="N2257" s="117">
        <f>IF($M2257="THU",$G2257,IF($M2257="CHI",$F2257,""))</f>
        <v/>
      </c>
      <c r="O2257" s="117">
        <f>IF(OR($M2257="",$M2257="NB"),"",IF($J2257&lt;&gt;"",TEXT($J2257,"00"),IFERROR(VLOOKUP(LEFT($N2257,4),LCTT_MAP!$A$7:$C$66,IF($M2257="THU",2,3),FALSE()),IFERROR(VLOOKUP(LEFT($N2257,3),LCTT_MAP!$A$7:$C$66,IF($M2257="THU",2,3),FALSE()),IFERROR(VLOOKUP(LEFT($N2257,2),LCTT_MAP!$A$7:$C$66,IF($M2257="THU",2,3),FALSE()),IFERROR(VLOOKUP(LEFT($N2257,1),LCTT_MAP!$A$7:$C$66,IF($M2257="THU",2,3),FALSE()),IF($M2257="THU","06","07")))))))</f>
        <v/>
      </c>
      <c r="P2257" s="117">
        <f>P2256+IF(AND($H2257&lt;&gt;"",OR(LEFT($F2257,LEN(SC_TK))=SC_TK,LEFT($G2257,LEN(SC_TK))=SC_TK)),1,0)</f>
        <v/>
      </c>
    </row>
    <row r="2258" ht="15" customHeight="1" s="78">
      <c r="A2258" s="95">
        <f>IF($H2258="","",ROW()-6)</f>
        <v/>
      </c>
      <c r="B2258" s="114" t="n"/>
      <c r="C2258" s="102" t="n"/>
      <c r="D2258" s="114" t="n"/>
      <c r="E2258" s="103" t="n"/>
      <c r="F2258" s="102" t="n"/>
      <c r="G2258" s="102" t="n"/>
      <c r="H2258" s="115" t="n"/>
      <c r="I2258" s="102" t="n"/>
      <c r="J2258" s="102" t="n"/>
      <c r="K2258" s="103" t="n"/>
      <c r="L2258" s="116">
        <f>IF($H2258="","",TRIM(IF(COUNTIF(DMTK!$A$7:$A$250,$F2258)=0,"TK Nợ sai! ","")&amp;IF(COUNTIF(DMTK!$A$7:$A$250,$G2258)=0,"TK Có sai! ","")&amp;IF(N($H2258)&lt;=0,"Tiền phải &gt; 0! ","")&amp;IF($B2258="","Thiếu ngày! ","")&amp;IF(AND(OR(LEFT($F2258,3)="131",LEFT($G2258,3)="131",LEFT($F2258,3)="331",LEFT($G2258,3)="331"),$I2258=""),"Thiếu Mã ĐT! ","")&amp;IF(AND($I2258&lt;&gt;"",COUNTIF(DM_DT!$A$7:$A$306,$I2258)=0),"Mã ĐT chưa khai báo! ","")))</f>
        <v/>
      </c>
      <c r="M2258" s="117">
        <f>IF($H2258="","",IF(AND(OR(LEFT($F2258,3)="111",LEFT($F2258,3)="112",LEFT($F2258,3)="113"),OR(LEFT($G2258,3)="111",LEFT($G2258,3)="112",LEFT($G2258,3)="113")),"NB",IF(OR(LEFT($F2258,3)="111",LEFT($F2258,3)="112",LEFT($F2258,3)="113"),"THU",IF(OR(LEFT($G2258,3)="111",LEFT($G2258,3)="112",LEFT($G2258,3)="113"),"CHI",""))))</f>
        <v/>
      </c>
      <c r="N2258" s="117">
        <f>IF($M2258="THU",$G2258,IF($M2258="CHI",$F2258,""))</f>
        <v/>
      </c>
      <c r="O2258" s="117">
        <f>IF(OR($M2258="",$M2258="NB"),"",IF($J2258&lt;&gt;"",TEXT($J2258,"00"),IFERROR(VLOOKUP(LEFT($N2258,4),LCTT_MAP!$A$7:$C$66,IF($M2258="THU",2,3),FALSE()),IFERROR(VLOOKUP(LEFT($N2258,3),LCTT_MAP!$A$7:$C$66,IF($M2258="THU",2,3),FALSE()),IFERROR(VLOOKUP(LEFT($N2258,2),LCTT_MAP!$A$7:$C$66,IF($M2258="THU",2,3),FALSE()),IFERROR(VLOOKUP(LEFT($N2258,1),LCTT_MAP!$A$7:$C$66,IF($M2258="THU",2,3),FALSE()),IF($M2258="THU","06","07")))))))</f>
        <v/>
      </c>
      <c r="P2258" s="117">
        <f>P2257+IF(AND($H2258&lt;&gt;"",OR(LEFT($F2258,LEN(SC_TK))=SC_TK,LEFT($G2258,LEN(SC_TK))=SC_TK)),1,0)</f>
        <v/>
      </c>
    </row>
    <row r="2259" ht="15" customHeight="1" s="78">
      <c r="A2259" s="95">
        <f>IF($H2259="","",ROW()-6)</f>
        <v/>
      </c>
      <c r="B2259" s="114" t="n"/>
      <c r="C2259" s="102" t="n"/>
      <c r="D2259" s="114" t="n"/>
      <c r="E2259" s="103" t="n"/>
      <c r="F2259" s="102" t="n"/>
      <c r="G2259" s="102" t="n"/>
      <c r="H2259" s="115" t="n"/>
      <c r="I2259" s="102" t="n"/>
      <c r="J2259" s="102" t="n"/>
      <c r="K2259" s="103" t="n"/>
      <c r="L2259" s="116">
        <f>IF($H2259="","",TRIM(IF(COUNTIF(DMTK!$A$7:$A$250,$F2259)=0,"TK Nợ sai! ","")&amp;IF(COUNTIF(DMTK!$A$7:$A$250,$G2259)=0,"TK Có sai! ","")&amp;IF(N($H2259)&lt;=0,"Tiền phải &gt; 0! ","")&amp;IF($B2259="","Thiếu ngày! ","")&amp;IF(AND(OR(LEFT($F2259,3)="131",LEFT($G2259,3)="131",LEFT($F2259,3)="331",LEFT($G2259,3)="331"),$I2259=""),"Thiếu Mã ĐT! ","")&amp;IF(AND($I2259&lt;&gt;"",COUNTIF(DM_DT!$A$7:$A$306,$I2259)=0),"Mã ĐT chưa khai báo! ","")))</f>
        <v/>
      </c>
      <c r="M2259" s="117">
        <f>IF($H2259="","",IF(AND(OR(LEFT($F2259,3)="111",LEFT($F2259,3)="112",LEFT($F2259,3)="113"),OR(LEFT($G2259,3)="111",LEFT($G2259,3)="112",LEFT($G2259,3)="113")),"NB",IF(OR(LEFT($F2259,3)="111",LEFT($F2259,3)="112",LEFT($F2259,3)="113"),"THU",IF(OR(LEFT($G2259,3)="111",LEFT($G2259,3)="112",LEFT($G2259,3)="113"),"CHI",""))))</f>
        <v/>
      </c>
      <c r="N2259" s="117">
        <f>IF($M2259="THU",$G2259,IF($M2259="CHI",$F2259,""))</f>
        <v/>
      </c>
      <c r="O2259" s="117">
        <f>IF(OR($M2259="",$M2259="NB"),"",IF($J2259&lt;&gt;"",TEXT($J2259,"00"),IFERROR(VLOOKUP(LEFT($N2259,4),LCTT_MAP!$A$7:$C$66,IF($M2259="THU",2,3),FALSE()),IFERROR(VLOOKUP(LEFT($N2259,3),LCTT_MAP!$A$7:$C$66,IF($M2259="THU",2,3),FALSE()),IFERROR(VLOOKUP(LEFT($N2259,2),LCTT_MAP!$A$7:$C$66,IF($M2259="THU",2,3),FALSE()),IFERROR(VLOOKUP(LEFT($N2259,1),LCTT_MAP!$A$7:$C$66,IF($M2259="THU",2,3),FALSE()),IF($M2259="THU","06","07")))))))</f>
        <v/>
      </c>
      <c r="P2259" s="117">
        <f>P2258+IF(AND($H2259&lt;&gt;"",OR(LEFT($F2259,LEN(SC_TK))=SC_TK,LEFT($G2259,LEN(SC_TK))=SC_TK)),1,0)</f>
        <v/>
      </c>
    </row>
    <row r="2260" ht="15" customHeight="1" s="78">
      <c r="A2260" s="95">
        <f>IF($H2260="","",ROW()-6)</f>
        <v/>
      </c>
      <c r="B2260" s="114" t="n"/>
      <c r="C2260" s="102" t="n"/>
      <c r="D2260" s="114" t="n"/>
      <c r="E2260" s="103" t="n"/>
      <c r="F2260" s="102" t="n"/>
      <c r="G2260" s="102" t="n"/>
      <c r="H2260" s="115" t="n"/>
      <c r="I2260" s="102" t="n"/>
      <c r="J2260" s="102" t="n"/>
      <c r="K2260" s="103" t="n"/>
      <c r="L2260" s="116">
        <f>IF($H2260="","",TRIM(IF(COUNTIF(DMTK!$A$7:$A$250,$F2260)=0,"TK Nợ sai! ","")&amp;IF(COUNTIF(DMTK!$A$7:$A$250,$G2260)=0,"TK Có sai! ","")&amp;IF(N($H2260)&lt;=0,"Tiền phải &gt; 0! ","")&amp;IF($B2260="","Thiếu ngày! ","")&amp;IF(AND(OR(LEFT($F2260,3)="131",LEFT($G2260,3)="131",LEFT($F2260,3)="331",LEFT($G2260,3)="331"),$I2260=""),"Thiếu Mã ĐT! ","")&amp;IF(AND($I2260&lt;&gt;"",COUNTIF(DM_DT!$A$7:$A$306,$I2260)=0),"Mã ĐT chưa khai báo! ","")))</f>
        <v/>
      </c>
      <c r="M2260" s="117">
        <f>IF($H2260="","",IF(AND(OR(LEFT($F2260,3)="111",LEFT($F2260,3)="112",LEFT($F2260,3)="113"),OR(LEFT($G2260,3)="111",LEFT($G2260,3)="112",LEFT($G2260,3)="113")),"NB",IF(OR(LEFT($F2260,3)="111",LEFT($F2260,3)="112",LEFT($F2260,3)="113"),"THU",IF(OR(LEFT($G2260,3)="111",LEFT($G2260,3)="112",LEFT($G2260,3)="113"),"CHI",""))))</f>
        <v/>
      </c>
      <c r="N2260" s="117">
        <f>IF($M2260="THU",$G2260,IF($M2260="CHI",$F2260,""))</f>
        <v/>
      </c>
      <c r="O2260" s="117">
        <f>IF(OR($M2260="",$M2260="NB"),"",IF($J2260&lt;&gt;"",TEXT($J2260,"00"),IFERROR(VLOOKUP(LEFT($N2260,4),LCTT_MAP!$A$7:$C$66,IF($M2260="THU",2,3),FALSE()),IFERROR(VLOOKUP(LEFT($N2260,3),LCTT_MAP!$A$7:$C$66,IF($M2260="THU",2,3),FALSE()),IFERROR(VLOOKUP(LEFT($N2260,2),LCTT_MAP!$A$7:$C$66,IF($M2260="THU",2,3),FALSE()),IFERROR(VLOOKUP(LEFT($N2260,1),LCTT_MAP!$A$7:$C$66,IF($M2260="THU",2,3),FALSE()),IF($M2260="THU","06","07")))))))</f>
        <v/>
      </c>
      <c r="P2260" s="117">
        <f>P2259+IF(AND($H2260&lt;&gt;"",OR(LEFT($F2260,LEN(SC_TK))=SC_TK,LEFT($G2260,LEN(SC_TK))=SC_TK)),1,0)</f>
        <v/>
      </c>
    </row>
    <row r="2261" ht="15" customHeight="1" s="78">
      <c r="A2261" s="95">
        <f>IF($H2261="","",ROW()-6)</f>
        <v/>
      </c>
      <c r="B2261" s="114" t="n"/>
      <c r="C2261" s="102" t="n"/>
      <c r="D2261" s="114" t="n"/>
      <c r="E2261" s="103" t="n"/>
      <c r="F2261" s="102" t="n"/>
      <c r="G2261" s="102" t="n"/>
      <c r="H2261" s="115" t="n"/>
      <c r="I2261" s="102" t="n"/>
      <c r="J2261" s="102" t="n"/>
      <c r="K2261" s="103" t="n"/>
      <c r="L2261" s="116">
        <f>IF($H2261="","",TRIM(IF(COUNTIF(DMTK!$A$7:$A$250,$F2261)=0,"TK Nợ sai! ","")&amp;IF(COUNTIF(DMTK!$A$7:$A$250,$G2261)=0,"TK Có sai! ","")&amp;IF(N($H2261)&lt;=0,"Tiền phải &gt; 0! ","")&amp;IF($B2261="","Thiếu ngày! ","")&amp;IF(AND(OR(LEFT($F2261,3)="131",LEFT($G2261,3)="131",LEFT($F2261,3)="331",LEFT($G2261,3)="331"),$I2261=""),"Thiếu Mã ĐT! ","")&amp;IF(AND($I2261&lt;&gt;"",COUNTIF(DM_DT!$A$7:$A$306,$I2261)=0),"Mã ĐT chưa khai báo! ","")))</f>
        <v/>
      </c>
      <c r="M2261" s="117">
        <f>IF($H2261="","",IF(AND(OR(LEFT($F2261,3)="111",LEFT($F2261,3)="112",LEFT($F2261,3)="113"),OR(LEFT($G2261,3)="111",LEFT($G2261,3)="112",LEFT($G2261,3)="113")),"NB",IF(OR(LEFT($F2261,3)="111",LEFT($F2261,3)="112",LEFT($F2261,3)="113"),"THU",IF(OR(LEFT($G2261,3)="111",LEFT($G2261,3)="112",LEFT($G2261,3)="113"),"CHI",""))))</f>
        <v/>
      </c>
      <c r="N2261" s="117">
        <f>IF($M2261="THU",$G2261,IF($M2261="CHI",$F2261,""))</f>
        <v/>
      </c>
      <c r="O2261" s="117">
        <f>IF(OR($M2261="",$M2261="NB"),"",IF($J2261&lt;&gt;"",TEXT($J2261,"00"),IFERROR(VLOOKUP(LEFT($N2261,4),LCTT_MAP!$A$7:$C$66,IF($M2261="THU",2,3),FALSE()),IFERROR(VLOOKUP(LEFT($N2261,3),LCTT_MAP!$A$7:$C$66,IF($M2261="THU",2,3),FALSE()),IFERROR(VLOOKUP(LEFT($N2261,2),LCTT_MAP!$A$7:$C$66,IF($M2261="THU",2,3),FALSE()),IFERROR(VLOOKUP(LEFT($N2261,1),LCTT_MAP!$A$7:$C$66,IF($M2261="THU",2,3),FALSE()),IF($M2261="THU","06","07")))))))</f>
        <v/>
      </c>
      <c r="P2261" s="117">
        <f>P2260+IF(AND($H2261&lt;&gt;"",OR(LEFT($F2261,LEN(SC_TK))=SC_TK,LEFT($G2261,LEN(SC_TK))=SC_TK)),1,0)</f>
        <v/>
      </c>
    </row>
    <row r="2262" ht="15" customHeight="1" s="78">
      <c r="A2262" s="95">
        <f>IF($H2262="","",ROW()-6)</f>
        <v/>
      </c>
      <c r="B2262" s="114" t="n"/>
      <c r="C2262" s="102" t="n"/>
      <c r="D2262" s="114" t="n"/>
      <c r="E2262" s="103" t="n"/>
      <c r="F2262" s="102" t="n"/>
      <c r="G2262" s="102" t="n"/>
      <c r="H2262" s="115" t="n"/>
      <c r="I2262" s="102" t="n"/>
      <c r="J2262" s="102" t="n"/>
      <c r="K2262" s="103" t="n"/>
      <c r="L2262" s="116">
        <f>IF($H2262="","",TRIM(IF(COUNTIF(DMTK!$A$7:$A$250,$F2262)=0,"TK Nợ sai! ","")&amp;IF(COUNTIF(DMTK!$A$7:$A$250,$G2262)=0,"TK Có sai! ","")&amp;IF(N($H2262)&lt;=0,"Tiền phải &gt; 0! ","")&amp;IF($B2262="","Thiếu ngày! ","")&amp;IF(AND(OR(LEFT($F2262,3)="131",LEFT($G2262,3)="131",LEFT($F2262,3)="331",LEFT($G2262,3)="331"),$I2262=""),"Thiếu Mã ĐT! ","")&amp;IF(AND($I2262&lt;&gt;"",COUNTIF(DM_DT!$A$7:$A$306,$I2262)=0),"Mã ĐT chưa khai báo! ","")))</f>
        <v/>
      </c>
      <c r="M2262" s="117">
        <f>IF($H2262="","",IF(AND(OR(LEFT($F2262,3)="111",LEFT($F2262,3)="112",LEFT($F2262,3)="113"),OR(LEFT($G2262,3)="111",LEFT($G2262,3)="112",LEFT($G2262,3)="113")),"NB",IF(OR(LEFT($F2262,3)="111",LEFT($F2262,3)="112",LEFT($F2262,3)="113"),"THU",IF(OR(LEFT($G2262,3)="111",LEFT($G2262,3)="112",LEFT($G2262,3)="113"),"CHI",""))))</f>
        <v/>
      </c>
      <c r="N2262" s="117">
        <f>IF($M2262="THU",$G2262,IF($M2262="CHI",$F2262,""))</f>
        <v/>
      </c>
      <c r="O2262" s="117">
        <f>IF(OR($M2262="",$M2262="NB"),"",IF($J2262&lt;&gt;"",TEXT($J2262,"00"),IFERROR(VLOOKUP(LEFT($N2262,4),LCTT_MAP!$A$7:$C$66,IF($M2262="THU",2,3),FALSE()),IFERROR(VLOOKUP(LEFT($N2262,3),LCTT_MAP!$A$7:$C$66,IF($M2262="THU",2,3),FALSE()),IFERROR(VLOOKUP(LEFT($N2262,2),LCTT_MAP!$A$7:$C$66,IF($M2262="THU",2,3),FALSE()),IFERROR(VLOOKUP(LEFT($N2262,1),LCTT_MAP!$A$7:$C$66,IF($M2262="THU",2,3),FALSE()),IF($M2262="THU","06","07")))))))</f>
        <v/>
      </c>
      <c r="P2262" s="117">
        <f>P2261+IF(AND($H2262&lt;&gt;"",OR(LEFT($F2262,LEN(SC_TK))=SC_TK,LEFT($G2262,LEN(SC_TK))=SC_TK)),1,0)</f>
        <v/>
      </c>
    </row>
    <row r="2263" ht="15" customHeight="1" s="78">
      <c r="A2263" s="95">
        <f>IF($H2263="","",ROW()-6)</f>
        <v/>
      </c>
      <c r="B2263" s="114" t="n"/>
      <c r="C2263" s="102" t="n"/>
      <c r="D2263" s="114" t="n"/>
      <c r="E2263" s="103" t="n"/>
      <c r="F2263" s="102" t="n"/>
      <c r="G2263" s="102" t="n"/>
      <c r="H2263" s="115" t="n"/>
      <c r="I2263" s="102" t="n"/>
      <c r="J2263" s="102" t="n"/>
      <c r="K2263" s="103" t="n"/>
      <c r="L2263" s="116">
        <f>IF($H2263="","",TRIM(IF(COUNTIF(DMTK!$A$7:$A$250,$F2263)=0,"TK Nợ sai! ","")&amp;IF(COUNTIF(DMTK!$A$7:$A$250,$G2263)=0,"TK Có sai! ","")&amp;IF(N($H2263)&lt;=0,"Tiền phải &gt; 0! ","")&amp;IF($B2263="","Thiếu ngày! ","")&amp;IF(AND(OR(LEFT($F2263,3)="131",LEFT($G2263,3)="131",LEFT($F2263,3)="331",LEFT($G2263,3)="331"),$I2263=""),"Thiếu Mã ĐT! ","")&amp;IF(AND($I2263&lt;&gt;"",COUNTIF(DM_DT!$A$7:$A$306,$I2263)=0),"Mã ĐT chưa khai báo! ","")))</f>
        <v/>
      </c>
      <c r="M2263" s="117">
        <f>IF($H2263="","",IF(AND(OR(LEFT($F2263,3)="111",LEFT($F2263,3)="112",LEFT($F2263,3)="113"),OR(LEFT($G2263,3)="111",LEFT($G2263,3)="112",LEFT($G2263,3)="113")),"NB",IF(OR(LEFT($F2263,3)="111",LEFT($F2263,3)="112",LEFT($F2263,3)="113"),"THU",IF(OR(LEFT($G2263,3)="111",LEFT($G2263,3)="112",LEFT($G2263,3)="113"),"CHI",""))))</f>
        <v/>
      </c>
      <c r="N2263" s="117">
        <f>IF($M2263="THU",$G2263,IF($M2263="CHI",$F2263,""))</f>
        <v/>
      </c>
      <c r="O2263" s="117">
        <f>IF(OR($M2263="",$M2263="NB"),"",IF($J2263&lt;&gt;"",TEXT($J2263,"00"),IFERROR(VLOOKUP(LEFT($N2263,4),LCTT_MAP!$A$7:$C$66,IF($M2263="THU",2,3),FALSE()),IFERROR(VLOOKUP(LEFT($N2263,3),LCTT_MAP!$A$7:$C$66,IF($M2263="THU",2,3),FALSE()),IFERROR(VLOOKUP(LEFT($N2263,2),LCTT_MAP!$A$7:$C$66,IF($M2263="THU",2,3),FALSE()),IFERROR(VLOOKUP(LEFT($N2263,1),LCTT_MAP!$A$7:$C$66,IF($M2263="THU",2,3),FALSE()),IF($M2263="THU","06","07")))))))</f>
        <v/>
      </c>
      <c r="P2263" s="117">
        <f>P2262+IF(AND($H2263&lt;&gt;"",OR(LEFT($F2263,LEN(SC_TK))=SC_TK,LEFT($G2263,LEN(SC_TK))=SC_TK)),1,0)</f>
        <v/>
      </c>
    </row>
    <row r="2264" ht="15" customHeight="1" s="78">
      <c r="A2264" s="95">
        <f>IF($H2264="","",ROW()-6)</f>
        <v/>
      </c>
      <c r="B2264" s="114" t="n"/>
      <c r="C2264" s="102" t="n"/>
      <c r="D2264" s="114" t="n"/>
      <c r="E2264" s="103" t="n"/>
      <c r="F2264" s="102" t="n"/>
      <c r="G2264" s="102" t="n"/>
      <c r="H2264" s="115" t="n"/>
      <c r="I2264" s="102" t="n"/>
      <c r="J2264" s="102" t="n"/>
      <c r="K2264" s="103" t="n"/>
      <c r="L2264" s="116">
        <f>IF($H2264="","",TRIM(IF(COUNTIF(DMTK!$A$7:$A$250,$F2264)=0,"TK Nợ sai! ","")&amp;IF(COUNTIF(DMTK!$A$7:$A$250,$G2264)=0,"TK Có sai! ","")&amp;IF(N($H2264)&lt;=0,"Tiền phải &gt; 0! ","")&amp;IF($B2264="","Thiếu ngày! ","")&amp;IF(AND(OR(LEFT($F2264,3)="131",LEFT($G2264,3)="131",LEFT($F2264,3)="331",LEFT($G2264,3)="331"),$I2264=""),"Thiếu Mã ĐT! ","")&amp;IF(AND($I2264&lt;&gt;"",COUNTIF(DM_DT!$A$7:$A$306,$I2264)=0),"Mã ĐT chưa khai báo! ","")))</f>
        <v/>
      </c>
      <c r="M2264" s="117">
        <f>IF($H2264="","",IF(AND(OR(LEFT($F2264,3)="111",LEFT($F2264,3)="112",LEFT($F2264,3)="113"),OR(LEFT($G2264,3)="111",LEFT($G2264,3)="112",LEFT($G2264,3)="113")),"NB",IF(OR(LEFT($F2264,3)="111",LEFT($F2264,3)="112",LEFT($F2264,3)="113"),"THU",IF(OR(LEFT($G2264,3)="111",LEFT($G2264,3)="112",LEFT($G2264,3)="113"),"CHI",""))))</f>
        <v/>
      </c>
      <c r="N2264" s="117">
        <f>IF($M2264="THU",$G2264,IF($M2264="CHI",$F2264,""))</f>
        <v/>
      </c>
      <c r="O2264" s="117">
        <f>IF(OR($M2264="",$M2264="NB"),"",IF($J2264&lt;&gt;"",TEXT($J2264,"00"),IFERROR(VLOOKUP(LEFT($N2264,4),LCTT_MAP!$A$7:$C$66,IF($M2264="THU",2,3),FALSE()),IFERROR(VLOOKUP(LEFT($N2264,3),LCTT_MAP!$A$7:$C$66,IF($M2264="THU",2,3),FALSE()),IFERROR(VLOOKUP(LEFT($N2264,2),LCTT_MAP!$A$7:$C$66,IF($M2264="THU",2,3),FALSE()),IFERROR(VLOOKUP(LEFT($N2264,1),LCTT_MAP!$A$7:$C$66,IF($M2264="THU",2,3),FALSE()),IF($M2264="THU","06","07")))))))</f>
        <v/>
      </c>
      <c r="P2264" s="117">
        <f>P2263+IF(AND($H2264&lt;&gt;"",OR(LEFT($F2264,LEN(SC_TK))=SC_TK,LEFT($G2264,LEN(SC_TK))=SC_TK)),1,0)</f>
        <v/>
      </c>
    </row>
    <row r="2265" ht="15" customHeight="1" s="78">
      <c r="A2265" s="95">
        <f>IF($H2265="","",ROW()-6)</f>
        <v/>
      </c>
      <c r="B2265" s="114" t="n"/>
      <c r="C2265" s="102" t="n"/>
      <c r="D2265" s="114" t="n"/>
      <c r="E2265" s="103" t="n"/>
      <c r="F2265" s="102" t="n"/>
      <c r="G2265" s="102" t="n"/>
      <c r="H2265" s="115" t="n"/>
      <c r="I2265" s="102" t="n"/>
      <c r="J2265" s="102" t="n"/>
      <c r="K2265" s="103" t="n"/>
      <c r="L2265" s="116">
        <f>IF($H2265="","",TRIM(IF(COUNTIF(DMTK!$A$7:$A$250,$F2265)=0,"TK Nợ sai! ","")&amp;IF(COUNTIF(DMTK!$A$7:$A$250,$G2265)=0,"TK Có sai! ","")&amp;IF(N($H2265)&lt;=0,"Tiền phải &gt; 0! ","")&amp;IF($B2265="","Thiếu ngày! ","")&amp;IF(AND(OR(LEFT($F2265,3)="131",LEFT($G2265,3)="131",LEFT($F2265,3)="331",LEFT($G2265,3)="331"),$I2265=""),"Thiếu Mã ĐT! ","")&amp;IF(AND($I2265&lt;&gt;"",COUNTIF(DM_DT!$A$7:$A$306,$I2265)=0),"Mã ĐT chưa khai báo! ","")))</f>
        <v/>
      </c>
      <c r="M2265" s="117">
        <f>IF($H2265="","",IF(AND(OR(LEFT($F2265,3)="111",LEFT($F2265,3)="112",LEFT($F2265,3)="113"),OR(LEFT($G2265,3)="111",LEFT($G2265,3)="112",LEFT($G2265,3)="113")),"NB",IF(OR(LEFT($F2265,3)="111",LEFT($F2265,3)="112",LEFT($F2265,3)="113"),"THU",IF(OR(LEFT($G2265,3)="111",LEFT($G2265,3)="112",LEFT($G2265,3)="113"),"CHI",""))))</f>
        <v/>
      </c>
      <c r="N2265" s="117">
        <f>IF($M2265="THU",$G2265,IF($M2265="CHI",$F2265,""))</f>
        <v/>
      </c>
      <c r="O2265" s="117">
        <f>IF(OR($M2265="",$M2265="NB"),"",IF($J2265&lt;&gt;"",TEXT($J2265,"00"),IFERROR(VLOOKUP(LEFT($N2265,4),LCTT_MAP!$A$7:$C$66,IF($M2265="THU",2,3),FALSE()),IFERROR(VLOOKUP(LEFT($N2265,3),LCTT_MAP!$A$7:$C$66,IF($M2265="THU",2,3),FALSE()),IFERROR(VLOOKUP(LEFT($N2265,2),LCTT_MAP!$A$7:$C$66,IF($M2265="THU",2,3),FALSE()),IFERROR(VLOOKUP(LEFT($N2265,1),LCTT_MAP!$A$7:$C$66,IF($M2265="THU",2,3),FALSE()),IF($M2265="THU","06","07")))))))</f>
        <v/>
      </c>
      <c r="P2265" s="117">
        <f>P2264+IF(AND($H2265&lt;&gt;"",OR(LEFT($F2265,LEN(SC_TK))=SC_TK,LEFT($G2265,LEN(SC_TK))=SC_TK)),1,0)</f>
        <v/>
      </c>
    </row>
    <row r="2266" ht="15" customHeight="1" s="78">
      <c r="A2266" s="95">
        <f>IF($H2266="","",ROW()-6)</f>
        <v/>
      </c>
      <c r="B2266" s="114" t="n"/>
      <c r="C2266" s="102" t="n"/>
      <c r="D2266" s="114" t="n"/>
      <c r="E2266" s="103" t="n"/>
      <c r="F2266" s="102" t="n"/>
      <c r="G2266" s="102" t="n"/>
      <c r="H2266" s="115" t="n"/>
      <c r="I2266" s="102" t="n"/>
      <c r="J2266" s="102" t="n"/>
      <c r="K2266" s="103" t="n"/>
      <c r="L2266" s="116">
        <f>IF($H2266="","",TRIM(IF(COUNTIF(DMTK!$A$7:$A$250,$F2266)=0,"TK Nợ sai! ","")&amp;IF(COUNTIF(DMTK!$A$7:$A$250,$G2266)=0,"TK Có sai! ","")&amp;IF(N($H2266)&lt;=0,"Tiền phải &gt; 0! ","")&amp;IF($B2266="","Thiếu ngày! ","")&amp;IF(AND(OR(LEFT($F2266,3)="131",LEFT($G2266,3)="131",LEFT($F2266,3)="331",LEFT($G2266,3)="331"),$I2266=""),"Thiếu Mã ĐT! ","")&amp;IF(AND($I2266&lt;&gt;"",COUNTIF(DM_DT!$A$7:$A$306,$I2266)=0),"Mã ĐT chưa khai báo! ","")))</f>
        <v/>
      </c>
      <c r="M2266" s="117">
        <f>IF($H2266="","",IF(AND(OR(LEFT($F2266,3)="111",LEFT($F2266,3)="112",LEFT($F2266,3)="113"),OR(LEFT($G2266,3)="111",LEFT($G2266,3)="112",LEFT($G2266,3)="113")),"NB",IF(OR(LEFT($F2266,3)="111",LEFT($F2266,3)="112",LEFT($F2266,3)="113"),"THU",IF(OR(LEFT($G2266,3)="111",LEFT($G2266,3)="112",LEFT($G2266,3)="113"),"CHI",""))))</f>
        <v/>
      </c>
      <c r="N2266" s="117">
        <f>IF($M2266="THU",$G2266,IF($M2266="CHI",$F2266,""))</f>
        <v/>
      </c>
      <c r="O2266" s="117">
        <f>IF(OR($M2266="",$M2266="NB"),"",IF($J2266&lt;&gt;"",TEXT($J2266,"00"),IFERROR(VLOOKUP(LEFT($N2266,4),LCTT_MAP!$A$7:$C$66,IF($M2266="THU",2,3),FALSE()),IFERROR(VLOOKUP(LEFT($N2266,3),LCTT_MAP!$A$7:$C$66,IF($M2266="THU",2,3),FALSE()),IFERROR(VLOOKUP(LEFT($N2266,2),LCTT_MAP!$A$7:$C$66,IF($M2266="THU",2,3),FALSE()),IFERROR(VLOOKUP(LEFT($N2266,1),LCTT_MAP!$A$7:$C$66,IF($M2266="THU",2,3),FALSE()),IF($M2266="THU","06","07")))))))</f>
        <v/>
      </c>
      <c r="P2266" s="117">
        <f>P2265+IF(AND($H2266&lt;&gt;"",OR(LEFT($F2266,LEN(SC_TK))=SC_TK,LEFT($G2266,LEN(SC_TK))=SC_TK)),1,0)</f>
        <v/>
      </c>
    </row>
    <row r="2267" ht="15" customHeight="1" s="78">
      <c r="A2267" s="95">
        <f>IF($H2267="","",ROW()-6)</f>
        <v/>
      </c>
      <c r="B2267" s="114" t="n"/>
      <c r="C2267" s="102" t="n"/>
      <c r="D2267" s="114" t="n"/>
      <c r="E2267" s="103" t="n"/>
      <c r="F2267" s="102" t="n"/>
      <c r="G2267" s="102" t="n"/>
      <c r="H2267" s="115" t="n"/>
      <c r="I2267" s="102" t="n"/>
      <c r="J2267" s="102" t="n"/>
      <c r="K2267" s="103" t="n"/>
      <c r="L2267" s="116">
        <f>IF($H2267="","",TRIM(IF(COUNTIF(DMTK!$A$7:$A$250,$F2267)=0,"TK Nợ sai! ","")&amp;IF(COUNTIF(DMTK!$A$7:$A$250,$G2267)=0,"TK Có sai! ","")&amp;IF(N($H2267)&lt;=0,"Tiền phải &gt; 0! ","")&amp;IF($B2267="","Thiếu ngày! ","")&amp;IF(AND(OR(LEFT($F2267,3)="131",LEFT($G2267,3)="131",LEFT($F2267,3)="331",LEFT($G2267,3)="331"),$I2267=""),"Thiếu Mã ĐT! ","")&amp;IF(AND($I2267&lt;&gt;"",COUNTIF(DM_DT!$A$7:$A$306,$I2267)=0),"Mã ĐT chưa khai báo! ","")))</f>
        <v/>
      </c>
      <c r="M2267" s="117">
        <f>IF($H2267="","",IF(AND(OR(LEFT($F2267,3)="111",LEFT($F2267,3)="112",LEFT($F2267,3)="113"),OR(LEFT($G2267,3)="111",LEFT($G2267,3)="112",LEFT($G2267,3)="113")),"NB",IF(OR(LEFT($F2267,3)="111",LEFT($F2267,3)="112",LEFT($F2267,3)="113"),"THU",IF(OR(LEFT($G2267,3)="111",LEFT($G2267,3)="112",LEFT($G2267,3)="113"),"CHI",""))))</f>
        <v/>
      </c>
      <c r="N2267" s="117">
        <f>IF($M2267="THU",$G2267,IF($M2267="CHI",$F2267,""))</f>
        <v/>
      </c>
      <c r="O2267" s="117">
        <f>IF(OR($M2267="",$M2267="NB"),"",IF($J2267&lt;&gt;"",TEXT($J2267,"00"),IFERROR(VLOOKUP(LEFT($N2267,4),LCTT_MAP!$A$7:$C$66,IF($M2267="THU",2,3),FALSE()),IFERROR(VLOOKUP(LEFT($N2267,3),LCTT_MAP!$A$7:$C$66,IF($M2267="THU",2,3),FALSE()),IFERROR(VLOOKUP(LEFT($N2267,2),LCTT_MAP!$A$7:$C$66,IF($M2267="THU",2,3),FALSE()),IFERROR(VLOOKUP(LEFT($N2267,1),LCTT_MAP!$A$7:$C$66,IF($M2267="THU",2,3),FALSE()),IF($M2267="THU","06","07")))))))</f>
        <v/>
      </c>
      <c r="P2267" s="117">
        <f>P2266+IF(AND($H2267&lt;&gt;"",OR(LEFT($F2267,LEN(SC_TK))=SC_TK,LEFT($G2267,LEN(SC_TK))=SC_TK)),1,0)</f>
        <v/>
      </c>
    </row>
    <row r="2268" ht="15" customHeight="1" s="78">
      <c r="A2268" s="95">
        <f>IF($H2268="","",ROW()-6)</f>
        <v/>
      </c>
      <c r="B2268" s="114" t="n"/>
      <c r="C2268" s="102" t="n"/>
      <c r="D2268" s="114" t="n"/>
      <c r="E2268" s="103" t="n"/>
      <c r="F2268" s="102" t="n"/>
      <c r="G2268" s="102" t="n"/>
      <c r="H2268" s="115" t="n"/>
      <c r="I2268" s="102" t="n"/>
      <c r="J2268" s="102" t="n"/>
      <c r="K2268" s="103" t="n"/>
      <c r="L2268" s="116">
        <f>IF($H2268="","",TRIM(IF(COUNTIF(DMTK!$A$7:$A$250,$F2268)=0,"TK Nợ sai! ","")&amp;IF(COUNTIF(DMTK!$A$7:$A$250,$G2268)=0,"TK Có sai! ","")&amp;IF(N($H2268)&lt;=0,"Tiền phải &gt; 0! ","")&amp;IF($B2268="","Thiếu ngày! ","")&amp;IF(AND(OR(LEFT($F2268,3)="131",LEFT($G2268,3)="131",LEFT($F2268,3)="331",LEFT($G2268,3)="331"),$I2268=""),"Thiếu Mã ĐT! ","")&amp;IF(AND($I2268&lt;&gt;"",COUNTIF(DM_DT!$A$7:$A$306,$I2268)=0),"Mã ĐT chưa khai báo! ","")))</f>
        <v/>
      </c>
      <c r="M2268" s="117">
        <f>IF($H2268="","",IF(AND(OR(LEFT($F2268,3)="111",LEFT($F2268,3)="112",LEFT($F2268,3)="113"),OR(LEFT($G2268,3)="111",LEFT($G2268,3)="112",LEFT($G2268,3)="113")),"NB",IF(OR(LEFT($F2268,3)="111",LEFT($F2268,3)="112",LEFT($F2268,3)="113"),"THU",IF(OR(LEFT($G2268,3)="111",LEFT($G2268,3)="112",LEFT($G2268,3)="113"),"CHI",""))))</f>
        <v/>
      </c>
      <c r="N2268" s="117">
        <f>IF($M2268="THU",$G2268,IF($M2268="CHI",$F2268,""))</f>
        <v/>
      </c>
      <c r="O2268" s="117">
        <f>IF(OR($M2268="",$M2268="NB"),"",IF($J2268&lt;&gt;"",TEXT($J2268,"00"),IFERROR(VLOOKUP(LEFT($N2268,4),LCTT_MAP!$A$7:$C$66,IF($M2268="THU",2,3),FALSE()),IFERROR(VLOOKUP(LEFT($N2268,3),LCTT_MAP!$A$7:$C$66,IF($M2268="THU",2,3),FALSE()),IFERROR(VLOOKUP(LEFT($N2268,2),LCTT_MAP!$A$7:$C$66,IF($M2268="THU",2,3),FALSE()),IFERROR(VLOOKUP(LEFT($N2268,1),LCTT_MAP!$A$7:$C$66,IF($M2268="THU",2,3),FALSE()),IF($M2268="THU","06","07")))))))</f>
        <v/>
      </c>
      <c r="P2268" s="117">
        <f>P2267+IF(AND($H2268&lt;&gt;"",OR(LEFT($F2268,LEN(SC_TK))=SC_TK,LEFT($G2268,LEN(SC_TK))=SC_TK)),1,0)</f>
        <v/>
      </c>
    </row>
    <row r="2269" ht="15" customHeight="1" s="78">
      <c r="A2269" s="95">
        <f>IF($H2269="","",ROW()-6)</f>
        <v/>
      </c>
      <c r="B2269" s="114" t="n"/>
      <c r="C2269" s="102" t="n"/>
      <c r="D2269" s="114" t="n"/>
      <c r="E2269" s="103" t="n"/>
      <c r="F2269" s="102" t="n"/>
      <c r="G2269" s="102" t="n"/>
      <c r="H2269" s="115" t="n"/>
      <c r="I2269" s="102" t="n"/>
      <c r="J2269" s="102" t="n"/>
      <c r="K2269" s="103" t="n"/>
      <c r="L2269" s="116">
        <f>IF($H2269="","",TRIM(IF(COUNTIF(DMTK!$A$7:$A$250,$F2269)=0,"TK Nợ sai! ","")&amp;IF(COUNTIF(DMTK!$A$7:$A$250,$G2269)=0,"TK Có sai! ","")&amp;IF(N($H2269)&lt;=0,"Tiền phải &gt; 0! ","")&amp;IF($B2269="","Thiếu ngày! ","")&amp;IF(AND(OR(LEFT($F2269,3)="131",LEFT($G2269,3)="131",LEFT($F2269,3)="331",LEFT($G2269,3)="331"),$I2269=""),"Thiếu Mã ĐT! ","")&amp;IF(AND($I2269&lt;&gt;"",COUNTIF(DM_DT!$A$7:$A$306,$I2269)=0),"Mã ĐT chưa khai báo! ","")))</f>
        <v/>
      </c>
      <c r="M2269" s="117">
        <f>IF($H2269="","",IF(AND(OR(LEFT($F2269,3)="111",LEFT($F2269,3)="112",LEFT($F2269,3)="113"),OR(LEFT($G2269,3)="111",LEFT($G2269,3)="112",LEFT($G2269,3)="113")),"NB",IF(OR(LEFT($F2269,3)="111",LEFT($F2269,3)="112",LEFT($F2269,3)="113"),"THU",IF(OR(LEFT($G2269,3)="111",LEFT($G2269,3)="112",LEFT($G2269,3)="113"),"CHI",""))))</f>
        <v/>
      </c>
      <c r="N2269" s="117">
        <f>IF($M2269="THU",$G2269,IF($M2269="CHI",$F2269,""))</f>
        <v/>
      </c>
      <c r="O2269" s="117">
        <f>IF(OR($M2269="",$M2269="NB"),"",IF($J2269&lt;&gt;"",TEXT($J2269,"00"),IFERROR(VLOOKUP(LEFT($N2269,4),LCTT_MAP!$A$7:$C$66,IF($M2269="THU",2,3),FALSE()),IFERROR(VLOOKUP(LEFT($N2269,3),LCTT_MAP!$A$7:$C$66,IF($M2269="THU",2,3),FALSE()),IFERROR(VLOOKUP(LEFT($N2269,2),LCTT_MAP!$A$7:$C$66,IF($M2269="THU",2,3),FALSE()),IFERROR(VLOOKUP(LEFT($N2269,1),LCTT_MAP!$A$7:$C$66,IF($M2269="THU",2,3),FALSE()),IF($M2269="THU","06","07")))))))</f>
        <v/>
      </c>
      <c r="P2269" s="117">
        <f>P2268+IF(AND($H2269&lt;&gt;"",OR(LEFT($F2269,LEN(SC_TK))=SC_TK,LEFT($G2269,LEN(SC_TK))=SC_TK)),1,0)</f>
        <v/>
      </c>
    </row>
    <row r="2270" ht="15" customHeight="1" s="78">
      <c r="A2270" s="95">
        <f>IF($H2270="","",ROW()-6)</f>
        <v/>
      </c>
      <c r="B2270" s="114" t="n"/>
      <c r="C2270" s="102" t="n"/>
      <c r="D2270" s="114" t="n"/>
      <c r="E2270" s="103" t="n"/>
      <c r="F2270" s="102" t="n"/>
      <c r="G2270" s="102" t="n"/>
      <c r="H2270" s="115" t="n"/>
      <c r="I2270" s="102" t="n"/>
      <c r="J2270" s="102" t="n"/>
      <c r="K2270" s="103" t="n"/>
      <c r="L2270" s="116">
        <f>IF($H2270="","",TRIM(IF(COUNTIF(DMTK!$A$7:$A$250,$F2270)=0,"TK Nợ sai! ","")&amp;IF(COUNTIF(DMTK!$A$7:$A$250,$G2270)=0,"TK Có sai! ","")&amp;IF(N($H2270)&lt;=0,"Tiền phải &gt; 0! ","")&amp;IF($B2270="","Thiếu ngày! ","")&amp;IF(AND(OR(LEFT($F2270,3)="131",LEFT($G2270,3)="131",LEFT($F2270,3)="331",LEFT($G2270,3)="331"),$I2270=""),"Thiếu Mã ĐT! ","")&amp;IF(AND($I2270&lt;&gt;"",COUNTIF(DM_DT!$A$7:$A$306,$I2270)=0),"Mã ĐT chưa khai báo! ","")))</f>
        <v/>
      </c>
      <c r="M2270" s="117">
        <f>IF($H2270="","",IF(AND(OR(LEFT($F2270,3)="111",LEFT($F2270,3)="112",LEFT($F2270,3)="113"),OR(LEFT($G2270,3)="111",LEFT($G2270,3)="112",LEFT($G2270,3)="113")),"NB",IF(OR(LEFT($F2270,3)="111",LEFT($F2270,3)="112",LEFT($F2270,3)="113"),"THU",IF(OR(LEFT($G2270,3)="111",LEFT($G2270,3)="112",LEFT($G2270,3)="113"),"CHI",""))))</f>
        <v/>
      </c>
      <c r="N2270" s="117">
        <f>IF($M2270="THU",$G2270,IF($M2270="CHI",$F2270,""))</f>
        <v/>
      </c>
      <c r="O2270" s="117">
        <f>IF(OR($M2270="",$M2270="NB"),"",IF($J2270&lt;&gt;"",TEXT($J2270,"00"),IFERROR(VLOOKUP(LEFT($N2270,4),LCTT_MAP!$A$7:$C$66,IF($M2270="THU",2,3),FALSE()),IFERROR(VLOOKUP(LEFT($N2270,3),LCTT_MAP!$A$7:$C$66,IF($M2270="THU",2,3),FALSE()),IFERROR(VLOOKUP(LEFT($N2270,2),LCTT_MAP!$A$7:$C$66,IF($M2270="THU",2,3),FALSE()),IFERROR(VLOOKUP(LEFT($N2270,1),LCTT_MAP!$A$7:$C$66,IF($M2270="THU",2,3),FALSE()),IF($M2270="THU","06","07")))))))</f>
        <v/>
      </c>
      <c r="P2270" s="117">
        <f>P2269+IF(AND($H2270&lt;&gt;"",OR(LEFT($F2270,LEN(SC_TK))=SC_TK,LEFT($G2270,LEN(SC_TK))=SC_TK)),1,0)</f>
        <v/>
      </c>
    </row>
    <row r="2271" ht="15" customHeight="1" s="78">
      <c r="A2271" s="95">
        <f>IF($H2271="","",ROW()-6)</f>
        <v/>
      </c>
      <c r="B2271" s="114" t="n"/>
      <c r="C2271" s="102" t="n"/>
      <c r="D2271" s="114" t="n"/>
      <c r="E2271" s="103" t="n"/>
      <c r="F2271" s="102" t="n"/>
      <c r="G2271" s="102" t="n"/>
      <c r="H2271" s="115" t="n"/>
      <c r="I2271" s="102" t="n"/>
      <c r="J2271" s="102" t="n"/>
      <c r="K2271" s="103" t="n"/>
      <c r="L2271" s="116">
        <f>IF($H2271="","",TRIM(IF(COUNTIF(DMTK!$A$7:$A$250,$F2271)=0,"TK Nợ sai! ","")&amp;IF(COUNTIF(DMTK!$A$7:$A$250,$G2271)=0,"TK Có sai! ","")&amp;IF(N($H2271)&lt;=0,"Tiền phải &gt; 0! ","")&amp;IF($B2271="","Thiếu ngày! ","")&amp;IF(AND(OR(LEFT($F2271,3)="131",LEFT($G2271,3)="131",LEFT($F2271,3)="331",LEFT($G2271,3)="331"),$I2271=""),"Thiếu Mã ĐT! ","")&amp;IF(AND($I2271&lt;&gt;"",COUNTIF(DM_DT!$A$7:$A$306,$I2271)=0),"Mã ĐT chưa khai báo! ","")))</f>
        <v/>
      </c>
      <c r="M2271" s="117">
        <f>IF($H2271="","",IF(AND(OR(LEFT($F2271,3)="111",LEFT($F2271,3)="112",LEFT($F2271,3)="113"),OR(LEFT($G2271,3)="111",LEFT($G2271,3)="112",LEFT($G2271,3)="113")),"NB",IF(OR(LEFT($F2271,3)="111",LEFT($F2271,3)="112",LEFT($F2271,3)="113"),"THU",IF(OR(LEFT($G2271,3)="111",LEFT($G2271,3)="112",LEFT($G2271,3)="113"),"CHI",""))))</f>
        <v/>
      </c>
      <c r="N2271" s="117">
        <f>IF($M2271="THU",$G2271,IF($M2271="CHI",$F2271,""))</f>
        <v/>
      </c>
      <c r="O2271" s="117">
        <f>IF(OR($M2271="",$M2271="NB"),"",IF($J2271&lt;&gt;"",TEXT($J2271,"00"),IFERROR(VLOOKUP(LEFT($N2271,4),LCTT_MAP!$A$7:$C$66,IF($M2271="THU",2,3),FALSE()),IFERROR(VLOOKUP(LEFT($N2271,3),LCTT_MAP!$A$7:$C$66,IF($M2271="THU",2,3),FALSE()),IFERROR(VLOOKUP(LEFT($N2271,2),LCTT_MAP!$A$7:$C$66,IF($M2271="THU",2,3),FALSE()),IFERROR(VLOOKUP(LEFT($N2271,1),LCTT_MAP!$A$7:$C$66,IF($M2271="THU",2,3),FALSE()),IF($M2271="THU","06","07")))))))</f>
        <v/>
      </c>
      <c r="P2271" s="117">
        <f>P2270+IF(AND($H2271&lt;&gt;"",OR(LEFT($F2271,LEN(SC_TK))=SC_TK,LEFT($G2271,LEN(SC_TK))=SC_TK)),1,0)</f>
        <v/>
      </c>
    </row>
    <row r="2272" ht="15" customHeight="1" s="78">
      <c r="A2272" s="95">
        <f>IF($H2272="","",ROW()-6)</f>
        <v/>
      </c>
      <c r="B2272" s="114" t="n"/>
      <c r="C2272" s="102" t="n"/>
      <c r="D2272" s="114" t="n"/>
      <c r="E2272" s="103" t="n"/>
      <c r="F2272" s="102" t="n"/>
      <c r="G2272" s="102" t="n"/>
      <c r="H2272" s="115" t="n"/>
      <c r="I2272" s="102" t="n"/>
      <c r="J2272" s="102" t="n"/>
      <c r="K2272" s="103" t="n"/>
      <c r="L2272" s="116">
        <f>IF($H2272="","",TRIM(IF(COUNTIF(DMTK!$A$7:$A$250,$F2272)=0,"TK Nợ sai! ","")&amp;IF(COUNTIF(DMTK!$A$7:$A$250,$G2272)=0,"TK Có sai! ","")&amp;IF(N($H2272)&lt;=0,"Tiền phải &gt; 0! ","")&amp;IF($B2272="","Thiếu ngày! ","")&amp;IF(AND(OR(LEFT($F2272,3)="131",LEFT($G2272,3)="131",LEFT($F2272,3)="331",LEFT($G2272,3)="331"),$I2272=""),"Thiếu Mã ĐT! ","")&amp;IF(AND($I2272&lt;&gt;"",COUNTIF(DM_DT!$A$7:$A$306,$I2272)=0),"Mã ĐT chưa khai báo! ","")))</f>
        <v/>
      </c>
      <c r="M2272" s="117">
        <f>IF($H2272="","",IF(AND(OR(LEFT($F2272,3)="111",LEFT($F2272,3)="112",LEFT($F2272,3)="113"),OR(LEFT($G2272,3)="111",LEFT($G2272,3)="112",LEFT($G2272,3)="113")),"NB",IF(OR(LEFT($F2272,3)="111",LEFT($F2272,3)="112",LEFT($F2272,3)="113"),"THU",IF(OR(LEFT($G2272,3)="111",LEFT($G2272,3)="112",LEFT($G2272,3)="113"),"CHI",""))))</f>
        <v/>
      </c>
      <c r="N2272" s="117">
        <f>IF($M2272="THU",$G2272,IF($M2272="CHI",$F2272,""))</f>
        <v/>
      </c>
      <c r="O2272" s="117">
        <f>IF(OR($M2272="",$M2272="NB"),"",IF($J2272&lt;&gt;"",TEXT($J2272,"00"),IFERROR(VLOOKUP(LEFT($N2272,4),LCTT_MAP!$A$7:$C$66,IF($M2272="THU",2,3),FALSE()),IFERROR(VLOOKUP(LEFT($N2272,3),LCTT_MAP!$A$7:$C$66,IF($M2272="THU",2,3),FALSE()),IFERROR(VLOOKUP(LEFT($N2272,2),LCTT_MAP!$A$7:$C$66,IF($M2272="THU",2,3),FALSE()),IFERROR(VLOOKUP(LEFT($N2272,1),LCTT_MAP!$A$7:$C$66,IF($M2272="THU",2,3),FALSE()),IF($M2272="THU","06","07")))))))</f>
        <v/>
      </c>
      <c r="P2272" s="117">
        <f>P2271+IF(AND($H2272&lt;&gt;"",OR(LEFT($F2272,LEN(SC_TK))=SC_TK,LEFT($G2272,LEN(SC_TK))=SC_TK)),1,0)</f>
        <v/>
      </c>
    </row>
    <row r="2273" ht="15" customHeight="1" s="78">
      <c r="A2273" s="95">
        <f>IF($H2273="","",ROW()-6)</f>
        <v/>
      </c>
      <c r="B2273" s="114" t="n"/>
      <c r="C2273" s="102" t="n"/>
      <c r="D2273" s="114" t="n"/>
      <c r="E2273" s="103" t="n"/>
      <c r="F2273" s="102" t="n"/>
      <c r="G2273" s="102" t="n"/>
      <c r="H2273" s="115" t="n"/>
      <c r="I2273" s="102" t="n"/>
      <c r="J2273" s="102" t="n"/>
      <c r="K2273" s="103" t="n"/>
      <c r="L2273" s="116">
        <f>IF($H2273="","",TRIM(IF(COUNTIF(DMTK!$A$7:$A$250,$F2273)=0,"TK Nợ sai! ","")&amp;IF(COUNTIF(DMTK!$A$7:$A$250,$G2273)=0,"TK Có sai! ","")&amp;IF(N($H2273)&lt;=0,"Tiền phải &gt; 0! ","")&amp;IF($B2273="","Thiếu ngày! ","")&amp;IF(AND(OR(LEFT($F2273,3)="131",LEFT($G2273,3)="131",LEFT($F2273,3)="331",LEFT($G2273,3)="331"),$I2273=""),"Thiếu Mã ĐT! ","")&amp;IF(AND($I2273&lt;&gt;"",COUNTIF(DM_DT!$A$7:$A$306,$I2273)=0),"Mã ĐT chưa khai báo! ","")))</f>
        <v/>
      </c>
      <c r="M2273" s="117">
        <f>IF($H2273="","",IF(AND(OR(LEFT($F2273,3)="111",LEFT($F2273,3)="112",LEFT($F2273,3)="113"),OR(LEFT($G2273,3)="111",LEFT($G2273,3)="112",LEFT($G2273,3)="113")),"NB",IF(OR(LEFT($F2273,3)="111",LEFT($F2273,3)="112",LEFT($F2273,3)="113"),"THU",IF(OR(LEFT($G2273,3)="111",LEFT($G2273,3)="112",LEFT($G2273,3)="113"),"CHI",""))))</f>
        <v/>
      </c>
      <c r="N2273" s="117">
        <f>IF($M2273="THU",$G2273,IF($M2273="CHI",$F2273,""))</f>
        <v/>
      </c>
      <c r="O2273" s="117">
        <f>IF(OR($M2273="",$M2273="NB"),"",IF($J2273&lt;&gt;"",TEXT($J2273,"00"),IFERROR(VLOOKUP(LEFT($N2273,4),LCTT_MAP!$A$7:$C$66,IF($M2273="THU",2,3),FALSE()),IFERROR(VLOOKUP(LEFT($N2273,3),LCTT_MAP!$A$7:$C$66,IF($M2273="THU",2,3),FALSE()),IFERROR(VLOOKUP(LEFT($N2273,2),LCTT_MAP!$A$7:$C$66,IF($M2273="THU",2,3),FALSE()),IFERROR(VLOOKUP(LEFT($N2273,1),LCTT_MAP!$A$7:$C$66,IF($M2273="THU",2,3),FALSE()),IF($M2273="THU","06","07")))))))</f>
        <v/>
      </c>
      <c r="P2273" s="117">
        <f>P2272+IF(AND($H2273&lt;&gt;"",OR(LEFT($F2273,LEN(SC_TK))=SC_TK,LEFT($G2273,LEN(SC_TK))=SC_TK)),1,0)</f>
        <v/>
      </c>
    </row>
    <row r="2274" ht="15" customHeight="1" s="78">
      <c r="A2274" s="95">
        <f>IF($H2274="","",ROW()-6)</f>
        <v/>
      </c>
      <c r="B2274" s="114" t="n"/>
      <c r="C2274" s="102" t="n"/>
      <c r="D2274" s="114" t="n"/>
      <c r="E2274" s="103" t="n"/>
      <c r="F2274" s="102" t="n"/>
      <c r="G2274" s="102" t="n"/>
      <c r="H2274" s="115" t="n"/>
      <c r="I2274" s="102" t="n"/>
      <c r="J2274" s="102" t="n"/>
      <c r="K2274" s="103" t="n"/>
      <c r="L2274" s="116">
        <f>IF($H2274="","",TRIM(IF(COUNTIF(DMTK!$A$7:$A$250,$F2274)=0,"TK Nợ sai! ","")&amp;IF(COUNTIF(DMTK!$A$7:$A$250,$G2274)=0,"TK Có sai! ","")&amp;IF(N($H2274)&lt;=0,"Tiền phải &gt; 0! ","")&amp;IF($B2274="","Thiếu ngày! ","")&amp;IF(AND(OR(LEFT($F2274,3)="131",LEFT($G2274,3)="131",LEFT($F2274,3)="331",LEFT($G2274,3)="331"),$I2274=""),"Thiếu Mã ĐT! ","")&amp;IF(AND($I2274&lt;&gt;"",COUNTIF(DM_DT!$A$7:$A$306,$I2274)=0),"Mã ĐT chưa khai báo! ","")))</f>
        <v/>
      </c>
      <c r="M2274" s="117">
        <f>IF($H2274="","",IF(AND(OR(LEFT($F2274,3)="111",LEFT($F2274,3)="112",LEFT($F2274,3)="113"),OR(LEFT($G2274,3)="111",LEFT($G2274,3)="112",LEFT($G2274,3)="113")),"NB",IF(OR(LEFT($F2274,3)="111",LEFT($F2274,3)="112",LEFT($F2274,3)="113"),"THU",IF(OR(LEFT($G2274,3)="111",LEFT($G2274,3)="112",LEFT($G2274,3)="113"),"CHI",""))))</f>
        <v/>
      </c>
      <c r="N2274" s="117">
        <f>IF($M2274="THU",$G2274,IF($M2274="CHI",$F2274,""))</f>
        <v/>
      </c>
      <c r="O2274" s="117">
        <f>IF(OR($M2274="",$M2274="NB"),"",IF($J2274&lt;&gt;"",TEXT($J2274,"00"),IFERROR(VLOOKUP(LEFT($N2274,4),LCTT_MAP!$A$7:$C$66,IF($M2274="THU",2,3),FALSE()),IFERROR(VLOOKUP(LEFT($N2274,3),LCTT_MAP!$A$7:$C$66,IF($M2274="THU",2,3),FALSE()),IFERROR(VLOOKUP(LEFT($N2274,2),LCTT_MAP!$A$7:$C$66,IF($M2274="THU",2,3),FALSE()),IFERROR(VLOOKUP(LEFT($N2274,1),LCTT_MAP!$A$7:$C$66,IF($M2274="THU",2,3),FALSE()),IF($M2274="THU","06","07")))))))</f>
        <v/>
      </c>
      <c r="P2274" s="117">
        <f>P2273+IF(AND($H2274&lt;&gt;"",OR(LEFT($F2274,LEN(SC_TK))=SC_TK,LEFT($G2274,LEN(SC_TK))=SC_TK)),1,0)</f>
        <v/>
      </c>
    </row>
    <row r="2275" ht="15" customHeight="1" s="78">
      <c r="A2275" s="95">
        <f>IF($H2275="","",ROW()-6)</f>
        <v/>
      </c>
      <c r="B2275" s="114" t="n"/>
      <c r="C2275" s="102" t="n"/>
      <c r="D2275" s="114" t="n"/>
      <c r="E2275" s="103" t="n"/>
      <c r="F2275" s="102" t="n"/>
      <c r="G2275" s="102" t="n"/>
      <c r="H2275" s="115" t="n"/>
      <c r="I2275" s="102" t="n"/>
      <c r="J2275" s="102" t="n"/>
      <c r="K2275" s="103" t="n"/>
      <c r="L2275" s="116">
        <f>IF($H2275="","",TRIM(IF(COUNTIF(DMTK!$A$7:$A$250,$F2275)=0,"TK Nợ sai! ","")&amp;IF(COUNTIF(DMTK!$A$7:$A$250,$G2275)=0,"TK Có sai! ","")&amp;IF(N($H2275)&lt;=0,"Tiền phải &gt; 0! ","")&amp;IF($B2275="","Thiếu ngày! ","")&amp;IF(AND(OR(LEFT($F2275,3)="131",LEFT($G2275,3)="131",LEFT($F2275,3)="331",LEFT($G2275,3)="331"),$I2275=""),"Thiếu Mã ĐT! ","")&amp;IF(AND($I2275&lt;&gt;"",COUNTIF(DM_DT!$A$7:$A$306,$I2275)=0),"Mã ĐT chưa khai báo! ","")))</f>
        <v/>
      </c>
      <c r="M2275" s="117">
        <f>IF($H2275="","",IF(AND(OR(LEFT($F2275,3)="111",LEFT($F2275,3)="112",LEFT($F2275,3)="113"),OR(LEFT($G2275,3)="111",LEFT($G2275,3)="112",LEFT($G2275,3)="113")),"NB",IF(OR(LEFT($F2275,3)="111",LEFT($F2275,3)="112",LEFT($F2275,3)="113"),"THU",IF(OR(LEFT($G2275,3)="111",LEFT($G2275,3)="112",LEFT($G2275,3)="113"),"CHI",""))))</f>
        <v/>
      </c>
      <c r="N2275" s="117">
        <f>IF($M2275="THU",$G2275,IF($M2275="CHI",$F2275,""))</f>
        <v/>
      </c>
      <c r="O2275" s="117">
        <f>IF(OR($M2275="",$M2275="NB"),"",IF($J2275&lt;&gt;"",TEXT($J2275,"00"),IFERROR(VLOOKUP(LEFT($N2275,4),LCTT_MAP!$A$7:$C$66,IF($M2275="THU",2,3),FALSE()),IFERROR(VLOOKUP(LEFT($N2275,3),LCTT_MAP!$A$7:$C$66,IF($M2275="THU",2,3),FALSE()),IFERROR(VLOOKUP(LEFT($N2275,2),LCTT_MAP!$A$7:$C$66,IF($M2275="THU",2,3),FALSE()),IFERROR(VLOOKUP(LEFT($N2275,1),LCTT_MAP!$A$7:$C$66,IF($M2275="THU",2,3),FALSE()),IF($M2275="THU","06","07")))))))</f>
        <v/>
      </c>
      <c r="P2275" s="117">
        <f>P2274+IF(AND($H2275&lt;&gt;"",OR(LEFT($F2275,LEN(SC_TK))=SC_TK,LEFT($G2275,LEN(SC_TK))=SC_TK)),1,0)</f>
        <v/>
      </c>
    </row>
    <row r="2276" ht="15" customHeight="1" s="78">
      <c r="A2276" s="95">
        <f>IF($H2276="","",ROW()-6)</f>
        <v/>
      </c>
      <c r="B2276" s="114" t="n"/>
      <c r="C2276" s="102" t="n"/>
      <c r="D2276" s="114" t="n"/>
      <c r="E2276" s="103" t="n"/>
      <c r="F2276" s="102" t="n"/>
      <c r="G2276" s="102" t="n"/>
      <c r="H2276" s="115" t="n"/>
      <c r="I2276" s="102" t="n"/>
      <c r="J2276" s="102" t="n"/>
      <c r="K2276" s="103" t="n"/>
      <c r="L2276" s="116">
        <f>IF($H2276="","",TRIM(IF(COUNTIF(DMTK!$A$7:$A$250,$F2276)=0,"TK Nợ sai! ","")&amp;IF(COUNTIF(DMTK!$A$7:$A$250,$G2276)=0,"TK Có sai! ","")&amp;IF(N($H2276)&lt;=0,"Tiền phải &gt; 0! ","")&amp;IF($B2276="","Thiếu ngày! ","")&amp;IF(AND(OR(LEFT($F2276,3)="131",LEFT($G2276,3)="131",LEFT($F2276,3)="331",LEFT($G2276,3)="331"),$I2276=""),"Thiếu Mã ĐT! ","")&amp;IF(AND($I2276&lt;&gt;"",COUNTIF(DM_DT!$A$7:$A$306,$I2276)=0),"Mã ĐT chưa khai báo! ","")))</f>
        <v/>
      </c>
      <c r="M2276" s="117">
        <f>IF($H2276="","",IF(AND(OR(LEFT($F2276,3)="111",LEFT($F2276,3)="112",LEFT($F2276,3)="113"),OR(LEFT($G2276,3)="111",LEFT($G2276,3)="112",LEFT($G2276,3)="113")),"NB",IF(OR(LEFT($F2276,3)="111",LEFT($F2276,3)="112",LEFT($F2276,3)="113"),"THU",IF(OR(LEFT($G2276,3)="111",LEFT($G2276,3)="112",LEFT($G2276,3)="113"),"CHI",""))))</f>
        <v/>
      </c>
      <c r="N2276" s="117">
        <f>IF($M2276="THU",$G2276,IF($M2276="CHI",$F2276,""))</f>
        <v/>
      </c>
      <c r="O2276" s="117">
        <f>IF(OR($M2276="",$M2276="NB"),"",IF($J2276&lt;&gt;"",TEXT($J2276,"00"),IFERROR(VLOOKUP(LEFT($N2276,4),LCTT_MAP!$A$7:$C$66,IF($M2276="THU",2,3),FALSE()),IFERROR(VLOOKUP(LEFT($N2276,3),LCTT_MAP!$A$7:$C$66,IF($M2276="THU",2,3),FALSE()),IFERROR(VLOOKUP(LEFT($N2276,2),LCTT_MAP!$A$7:$C$66,IF($M2276="THU",2,3),FALSE()),IFERROR(VLOOKUP(LEFT($N2276,1),LCTT_MAP!$A$7:$C$66,IF($M2276="THU",2,3),FALSE()),IF($M2276="THU","06","07")))))))</f>
        <v/>
      </c>
      <c r="P2276" s="117">
        <f>P2275+IF(AND($H2276&lt;&gt;"",OR(LEFT($F2276,LEN(SC_TK))=SC_TK,LEFT($G2276,LEN(SC_TK))=SC_TK)),1,0)</f>
        <v/>
      </c>
    </row>
    <row r="2277" ht="15" customHeight="1" s="78">
      <c r="A2277" s="95">
        <f>IF($H2277="","",ROW()-6)</f>
        <v/>
      </c>
      <c r="B2277" s="114" t="n"/>
      <c r="C2277" s="102" t="n"/>
      <c r="D2277" s="114" t="n"/>
      <c r="E2277" s="103" t="n"/>
      <c r="F2277" s="102" t="n"/>
      <c r="G2277" s="102" t="n"/>
      <c r="H2277" s="115" t="n"/>
      <c r="I2277" s="102" t="n"/>
      <c r="J2277" s="102" t="n"/>
      <c r="K2277" s="103" t="n"/>
      <c r="L2277" s="116">
        <f>IF($H2277="","",TRIM(IF(COUNTIF(DMTK!$A$7:$A$250,$F2277)=0,"TK Nợ sai! ","")&amp;IF(COUNTIF(DMTK!$A$7:$A$250,$G2277)=0,"TK Có sai! ","")&amp;IF(N($H2277)&lt;=0,"Tiền phải &gt; 0! ","")&amp;IF($B2277="","Thiếu ngày! ","")&amp;IF(AND(OR(LEFT($F2277,3)="131",LEFT($G2277,3)="131",LEFT($F2277,3)="331",LEFT($G2277,3)="331"),$I2277=""),"Thiếu Mã ĐT! ","")&amp;IF(AND($I2277&lt;&gt;"",COUNTIF(DM_DT!$A$7:$A$306,$I2277)=0),"Mã ĐT chưa khai báo! ","")))</f>
        <v/>
      </c>
      <c r="M2277" s="117">
        <f>IF($H2277="","",IF(AND(OR(LEFT($F2277,3)="111",LEFT($F2277,3)="112",LEFT($F2277,3)="113"),OR(LEFT($G2277,3)="111",LEFT($G2277,3)="112",LEFT($G2277,3)="113")),"NB",IF(OR(LEFT($F2277,3)="111",LEFT($F2277,3)="112",LEFT($F2277,3)="113"),"THU",IF(OR(LEFT($G2277,3)="111",LEFT($G2277,3)="112",LEFT($G2277,3)="113"),"CHI",""))))</f>
        <v/>
      </c>
      <c r="N2277" s="117">
        <f>IF($M2277="THU",$G2277,IF($M2277="CHI",$F2277,""))</f>
        <v/>
      </c>
      <c r="O2277" s="117">
        <f>IF(OR($M2277="",$M2277="NB"),"",IF($J2277&lt;&gt;"",TEXT($J2277,"00"),IFERROR(VLOOKUP(LEFT($N2277,4),LCTT_MAP!$A$7:$C$66,IF($M2277="THU",2,3),FALSE()),IFERROR(VLOOKUP(LEFT($N2277,3),LCTT_MAP!$A$7:$C$66,IF($M2277="THU",2,3),FALSE()),IFERROR(VLOOKUP(LEFT($N2277,2),LCTT_MAP!$A$7:$C$66,IF($M2277="THU",2,3),FALSE()),IFERROR(VLOOKUP(LEFT($N2277,1),LCTT_MAP!$A$7:$C$66,IF($M2277="THU",2,3),FALSE()),IF($M2277="THU","06","07")))))))</f>
        <v/>
      </c>
      <c r="P2277" s="117">
        <f>P2276+IF(AND($H2277&lt;&gt;"",OR(LEFT($F2277,LEN(SC_TK))=SC_TK,LEFT($G2277,LEN(SC_TK))=SC_TK)),1,0)</f>
        <v/>
      </c>
    </row>
    <row r="2278" ht="15" customHeight="1" s="78">
      <c r="A2278" s="95">
        <f>IF($H2278="","",ROW()-6)</f>
        <v/>
      </c>
      <c r="B2278" s="114" t="n"/>
      <c r="C2278" s="102" t="n"/>
      <c r="D2278" s="114" t="n"/>
      <c r="E2278" s="103" t="n"/>
      <c r="F2278" s="102" t="n"/>
      <c r="G2278" s="102" t="n"/>
      <c r="H2278" s="115" t="n"/>
      <c r="I2278" s="102" t="n"/>
      <c r="J2278" s="102" t="n"/>
      <c r="K2278" s="103" t="n"/>
      <c r="L2278" s="116">
        <f>IF($H2278="","",TRIM(IF(COUNTIF(DMTK!$A$7:$A$250,$F2278)=0,"TK Nợ sai! ","")&amp;IF(COUNTIF(DMTK!$A$7:$A$250,$G2278)=0,"TK Có sai! ","")&amp;IF(N($H2278)&lt;=0,"Tiền phải &gt; 0! ","")&amp;IF($B2278="","Thiếu ngày! ","")&amp;IF(AND(OR(LEFT($F2278,3)="131",LEFT($G2278,3)="131",LEFT($F2278,3)="331",LEFT($G2278,3)="331"),$I2278=""),"Thiếu Mã ĐT! ","")&amp;IF(AND($I2278&lt;&gt;"",COUNTIF(DM_DT!$A$7:$A$306,$I2278)=0),"Mã ĐT chưa khai báo! ","")))</f>
        <v/>
      </c>
      <c r="M2278" s="117">
        <f>IF($H2278="","",IF(AND(OR(LEFT($F2278,3)="111",LEFT($F2278,3)="112",LEFT($F2278,3)="113"),OR(LEFT($G2278,3)="111",LEFT($G2278,3)="112",LEFT($G2278,3)="113")),"NB",IF(OR(LEFT($F2278,3)="111",LEFT($F2278,3)="112",LEFT($F2278,3)="113"),"THU",IF(OR(LEFT($G2278,3)="111",LEFT($G2278,3)="112",LEFT($G2278,3)="113"),"CHI",""))))</f>
        <v/>
      </c>
      <c r="N2278" s="117">
        <f>IF($M2278="THU",$G2278,IF($M2278="CHI",$F2278,""))</f>
        <v/>
      </c>
      <c r="O2278" s="117">
        <f>IF(OR($M2278="",$M2278="NB"),"",IF($J2278&lt;&gt;"",TEXT($J2278,"00"),IFERROR(VLOOKUP(LEFT($N2278,4),LCTT_MAP!$A$7:$C$66,IF($M2278="THU",2,3),FALSE()),IFERROR(VLOOKUP(LEFT($N2278,3),LCTT_MAP!$A$7:$C$66,IF($M2278="THU",2,3),FALSE()),IFERROR(VLOOKUP(LEFT($N2278,2),LCTT_MAP!$A$7:$C$66,IF($M2278="THU",2,3),FALSE()),IFERROR(VLOOKUP(LEFT($N2278,1),LCTT_MAP!$A$7:$C$66,IF($M2278="THU",2,3),FALSE()),IF($M2278="THU","06","07")))))))</f>
        <v/>
      </c>
      <c r="P2278" s="117">
        <f>P2277+IF(AND($H2278&lt;&gt;"",OR(LEFT($F2278,LEN(SC_TK))=SC_TK,LEFT($G2278,LEN(SC_TK))=SC_TK)),1,0)</f>
        <v/>
      </c>
    </row>
    <row r="2279" ht="15" customHeight="1" s="78">
      <c r="A2279" s="95">
        <f>IF($H2279="","",ROW()-6)</f>
        <v/>
      </c>
      <c r="B2279" s="114" t="n"/>
      <c r="C2279" s="102" t="n"/>
      <c r="D2279" s="114" t="n"/>
      <c r="E2279" s="103" t="n"/>
      <c r="F2279" s="102" t="n"/>
      <c r="G2279" s="102" t="n"/>
      <c r="H2279" s="115" t="n"/>
      <c r="I2279" s="102" t="n"/>
      <c r="J2279" s="102" t="n"/>
      <c r="K2279" s="103" t="n"/>
      <c r="L2279" s="116">
        <f>IF($H2279="","",TRIM(IF(COUNTIF(DMTK!$A$7:$A$250,$F2279)=0,"TK Nợ sai! ","")&amp;IF(COUNTIF(DMTK!$A$7:$A$250,$G2279)=0,"TK Có sai! ","")&amp;IF(N($H2279)&lt;=0,"Tiền phải &gt; 0! ","")&amp;IF($B2279="","Thiếu ngày! ","")&amp;IF(AND(OR(LEFT($F2279,3)="131",LEFT($G2279,3)="131",LEFT($F2279,3)="331",LEFT($G2279,3)="331"),$I2279=""),"Thiếu Mã ĐT! ","")&amp;IF(AND($I2279&lt;&gt;"",COUNTIF(DM_DT!$A$7:$A$306,$I2279)=0),"Mã ĐT chưa khai báo! ","")))</f>
        <v/>
      </c>
      <c r="M2279" s="117">
        <f>IF($H2279="","",IF(AND(OR(LEFT($F2279,3)="111",LEFT($F2279,3)="112",LEFT($F2279,3)="113"),OR(LEFT($G2279,3)="111",LEFT($G2279,3)="112",LEFT($G2279,3)="113")),"NB",IF(OR(LEFT($F2279,3)="111",LEFT($F2279,3)="112",LEFT($F2279,3)="113"),"THU",IF(OR(LEFT($G2279,3)="111",LEFT($G2279,3)="112",LEFT($G2279,3)="113"),"CHI",""))))</f>
        <v/>
      </c>
      <c r="N2279" s="117">
        <f>IF($M2279="THU",$G2279,IF($M2279="CHI",$F2279,""))</f>
        <v/>
      </c>
      <c r="O2279" s="117">
        <f>IF(OR($M2279="",$M2279="NB"),"",IF($J2279&lt;&gt;"",TEXT($J2279,"00"),IFERROR(VLOOKUP(LEFT($N2279,4),LCTT_MAP!$A$7:$C$66,IF($M2279="THU",2,3),FALSE()),IFERROR(VLOOKUP(LEFT($N2279,3),LCTT_MAP!$A$7:$C$66,IF($M2279="THU",2,3),FALSE()),IFERROR(VLOOKUP(LEFT($N2279,2),LCTT_MAP!$A$7:$C$66,IF($M2279="THU",2,3),FALSE()),IFERROR(VLOOKUP(LEFT($N2279,1),LCTT_MAP!$A$7:$C$66,IF($M2279="THU",2,3),FALSE()),IF($M2279="THU","06","07")))))))</f>
        <v/>
      </c>
      <c r="P2279" s="117">
        <f>P2278+IF(AND($H2279&lt;&gt;"",OR(LEFT($F2279,LEN(SC_TK))=SC_TK,LEFT($G2279,LEN(SC_TK))=SC_TK)),1,0)</f>
        <v/>
      </c>
    </row>
    <row r="2280" ht="15" customHeight="1" s="78">
      <c r="A2280" s="95">
        <f>IF($H2280="","",ROW()-6)</f>
        <v/>
      </c>
      <c r="B2280" s="114" t="n"/>
      <c r="C2280" s="102" t="n"/>
      <c r="D2280" s="114" t="n"/>
      <c r="E2280" s="103" t="n"/>
      <c r="F2280" s="102" t="n"/>
      <c r="G2280" s="102" t="n"/>
      <c r="H2280" s="115" t="n"/>
      <c r="I2280" s="102" t="n"/>
      <c r="J2280" s="102" t="n"/>
      <c r="K2280" s="103" t="n"/>
      <c r="L2280" s="116">
        <f>IF($H2280="","",TRIM(IF(COUNTIF(DMTK!$A$7:$A$250,$F2280)=0,"TK Nợ sai! ","")&amp;IF(COUNTIF(DMTK!$A$7:$A$250,$G2280)=0,"TK Có sai! ","")&amp;IF(N($H2280)&lt;=0,"Tiền phải &gt; 0! ","")&amp;IF($B2280="","Thiếu ngày! ","")&amp;IF(AND(OR(LEFT($F2280,3)="131",LEFT($G2280,3)="131",LEFT($F2280,3)="331",LEFT($G2280,3)="331"),$I2280=""),"Thiếu Mã ĐT! ","")&amp;IF(AND($I2280&lt;&gt;"",COUNTIF(DM_DT!$A$7:$A$306,$I2280)=0),"Mã ĐT chưa khai báo! ","")))</f>
        <v/>
      </c>
      <c r="M2280" s="117">
        <f>IF($H2280="","",IF(AND(OR(LEFT($F2280,3)="111",LEFT($F2280,3)="112",LEFT($F2280,3)="113"),OR(LEFT($G2280,3)="111",LEFT($G2280,3)="112",LEFT($G2280,3)="113")),"NB",IF(OR(LEFT($F2280,3)="111",LEFT($F2280,3)="112",LEFT($F2280,3)="113"),"THU",IF(OR(LEFT($G2280,3)="111",LEFT($G2280,3)="112",LEFT($G2280,3)="113"),"CHI",""))))</f>
        <v/>
      </c>
      <c r="N2280" s="117">
        <f>IF($M2280="THU",$G2280,IF($M2280="CHI",$F2280,""))</f>
        <v/>
      </c>
      <c r="O2280" s="117">
        <f>IF(OR($M2280="",$M2280="NB"),"",IF($J2280&lt;&gt;"",TEXT($J2280,"00"),IFERROR(VLOOKUP(LEFT($N2280,4),LCTT_MAP!$A$7:$C$66,IF($M2280="THU",2,3),FALSE()),IFERROR(VLOOKUP(LEFT($N2280,3),LCTT_MAP!$A$7:$C$66,IF($M2280="THU",2,3),FALSE()),IFERROR(VLOOKUP(LEFT($N2280,2),LCTT_MAP!$A$7:$C$66,IF($M2280="THU",2,3),FALSE()),IFERROR(VLOOKUP(LEFT($N2280,1),LCTT_MAP!$A$7:$C$66,IF($M2280="THU",2,3),FALSE()),IF($M2280="THU","06","07")))))))</f>
        <v/>
      </c>
      <c r="P2280" s="117">
        <f>P2279+IF(AND($H2280&lt;&gt;"",OR(LEFT($F2280,LEN(SC_TK))=SC_TK,LEFT($G2280,LEN(SC_TK))=SC_TK)),1,0)</f>
        <v/>
      </c>
    </row>
    <row r="2281" ht="15" customHeight="1" s="78">
      <c r="A2281" s="95">
        <f>IF($H2281="","",ROW()-6)</f>
        <v/>
      </c>
      <c r="B2281" s="114" t="n"/>
      <c r="C2281" s="102" t="n"/>
      <c r="D2281" s="114" t="n"/>
      <c r="E2281" s="103" t="n"/>
      <c r="F2281" s="102" t="n"/>
      <c r="G2281" s="102" t="n"/>
      <c r="H2281" s="115" t="n"/>
      <c r="I2281" s="102" t="n"/>
      <c r="J2281" s="102" t="n"/>
      <c r="K2281" s="103" t="n"/>
      <c r="L2281" s="116">
        <f>IF($H2281="","",TRIM(IF(COUNTIF(DMTK!$A$7:$A$250,$F2281)=0,"TK Nợ sai! ","")&amp;IF(COUNTIF(DMTK!$A$7:$A$250,$G2281)=0,"TK Có sai! ","")&amp;IF(N($H2281)&lt;=0,"Tiền phải &gt; 0! ","")&amp;IF($B2281="","Thiếu ngày! ","")&amp;IF(AND(OR(LEFT($F2281,3)="131",LEFT($G2281,3)="131",LEFT($F2281,3)="331",LEFT($G2281,3)="331"),$I2281=""),"Thiếu Mã ĐT! ","")&amp;IF(AND($I2281&lt;&gt;"",COUNTIF(DM_DT!$A$7:$A$306,$I2281)=0),"Mã ĐT chưa khai báo! ","")))</f>
        <v/>
      </c>
      <c r="M2281" s="117">
        <f>IF($H2281="","",IF(AND(OR(LEFT($F2281,3)="111",LEFT($F2281,3)="112",LEFT($F2281,3)="113"),OR(LEFT($G2281,3)="111",LEFT($G2281,3)="112",LEFT($G2281,3)="113")),"NB",IF(OR(LEFT($F2281,3)="111",LEFT($F2281,3)="112",LEFT($F2281,3)="113"),"THU",IF(OR(LEFT($G2281,3)="111",LEFT($G2281,3)="112",LEFT($G2281,3)="113"),"CHI",""))))</f>
        <v/>
      </c>
      <c r="N2281" s="117">
        <f>IF($M2281="THU",$G2281,IF($M2281="CHI",$F2281,""))</f>
        <v/>
      </c>
      <c r="O2281" s="117">
        <f>IF(OR($M2281="",$M2281="NB"),"",IF($J2281&lt;&gt;"",TEXT($J2281,"00"),IFERROR(VLOOKUP(LEFT($N2281,4),LCTT_MAP!$A$7:$C$66,IF($M2281="THU",2,3),FALSE()),IFERROR(VLOOKUP(LEFT($N2281,3),LCTT_MAP!$A$7:$C$66,IF($M2281="THU",2,3),FALSE()),IFERROR(VLOOKUP(LEFT($N2281,2),LCTT_MAP!$A$7:$C$66,IF($M2281="THU",2,3),FALSE()),IFERROR(VLOOKUP(LEFT($N2281,1),LCTT_MAP!$A$7:$C$66,IF($M2281="THU",2,3),FALSE()),IF($M2281="THU","06","07")))))))</f>
        <v/>
      </c>
      <c r="P2281" s="117">
        <f>P2280+IF(AND($H2281&lt;&gt;"",OR(LEFT($F2281,LEN(SC_TK))=SC_TK,LEFT($G2281,LEN(SC_TK))=SC_TK)),1,0)</f>
        <v/>
      </c>
    </row>
    <row r="2282" ht="15" customHeight="1" s="78">
      <c r="A2282" s="95">
        <f>IF($H2282="","",ROW()-6)</f>
        <v/>
      </c>
      <c r="B2282" s="114" t="n"/>
      <c r="C2282" s="102" t="n"/>
      <c r="D2282" s="114" t="n"/>
      <c r="E2282" s="103" t="n"/>
      <c r="F2282" s="102" t="n"/>
      <c r="G2282" s="102" t="n"/>
      <c r="H2282" s="115" t="n"/>
      <c r="I2282" s="102" t="n"/>
      <c r="J2282" s="102" t="n"/>
      <c r="K2282" s="103" t="n"/>
      <c r="L2282" s="116">
        <f>IF($H2282="","",TRIM(IF(COUNTIF(DMTK!$A$7:$A$250,$F2282)=0,"TK Nợ sai! ","")&amp;IF(COUNTIF(DMTK!$A$7:$A$250,$G2282)=0,"TK Có sai! ","")&amp;IF(N($H2282)&lt;=0,"Tiền phải &gt; 0! ","")&amp;IF($B2282="","Thiếu ngày! ","")&amp;IF(AND(OR(LEFT($F2282,3)="131",LEFT($G2282,3)="131",LEFT($F2282,3)="331",LEFT($G2282,3)="331"),$I2282=""),"Thiếu Mã ĐT! ","")&amp;IF(AND($I2282&lt;&gt;"",COUNTIF(DM_DT!$A$7:$A$306,$I2282)=0),"Mã ĐT chưa khai báo! ","")))</f>
        <v/>
      </c>
      <c r="M2282" s="117">
        <f>IF($H2282="","",IF(AND(OR(LEFT($F2282,3)="111",LEFT($F2282,3)="112",LEFT($F2282,3)="113"),OR(LEFT($G2282,3)="111",LEFT($G2282,3)="112",LEFT($G2282,3)="113")),"NB",IF(OR(LEFT($F2282,3)="111",LEFT($F2282,3)="112",LEFT($F2282,3)="113"),"THU",IF(OR(LEFT($G2282,3)="111",LEFT($G2282,3)="112",LEFT($G2282,3)="113"),"CHI",""))))</f>
        <v/>
      </c>
      <c r="N2282" s="117">
        <f>IF($M2282="THU",$G2282,IF($M2282="CHI",$F2282,""))</f>
        <v/>
      </c>
      <c r="O2282" s="117">
        <f>IF(OR($M2282="",$M2282="NB"),"",IF($J2282&lt;&gt;"",TEXT($J2282,"00"),IFERROR(VLOOKUP(LEFT($N2282,4),LCTT_MAP!$A$7:$C$66,IF($M2282="THU",2,3),FALSE()),IFERROR(VLOOKUP(LEFT($N2282,3),LCTT_MAP!$A$7:$C$66,IF($M2282="THU",2,3),FALSE()),IFERROR(VLOOKUP(LEFT($N2282,2),LCTT_MAP!$A$7:$C$66,IF($M2282="THU",2,3),FALSE()),IFERROR(VLOOKUP(LEFT($N2282,1),LCTT_MAP!$A$7:$C$66,IF($M2282="THU",2,3),FALSE()),IF($M2282="THU","06","07")))))))</f>
        <v/>
      </c>
      <c r="P2282" s="117">
        <f>P2281+IF(AND($H2282&lt;&gt;"",OR(LEFT($F2282,LEN(SC_TK))=SC_TK,LEFT($G2282,LEN(SC_TK))=SC_TK)),1,0)</f>
        <v/>
      </c>
    </row>
    <row r="2283" ht="15" customHeight="1" s="78">
      <c r="A2283" s="95">
        <f>IF($H2283="","",ROW()-6)</f>
        <v/>
      </c>
      <c r="B2283" s="114" t="n"/>
      <c r="C2283" s="102" t="n"/>
      <c r="D2283" s="114" t="n"/>
      <c r="E2283" s="103" t="n"/>
      <c r="F2283" s="102" t="n"/>
      <c r="G2283" s="102" t="n"/>
      <c r="H2283" s="115" t="n"/>
      <c r="I2283" s="102" t="n"/>
      <c r="J2283" s="102" t="n"/>
      <c r="K2283" s="103" t="n"/>
      <c r="L2283" s="116">
        <f>IF($H2283="","",TRIM(IF(COUNTIF(DMTK!$A$7:$A$250,$F2283)=0,"TK Nợ sai! ","")&amp;IF(COUNTIF(DMTK!$A$7:$A$250,$G2283)=0,"TK Có sai! ","")&amp;IF(N($H2283)&lt;=0,"Tiền phải &gt; 0! ","")&amp;IF($B2283="","Thiếu ngày! ","")&amp;IF(AND(OR(LEFT($F2283,3)="131",LEFT($G2283,3)="131",LEFT($F2283,3)="331",LEFT($G2283,3)="331"),$I2283=""),"Thiếu Mã ĐT! ","")&amp;IF(AND($I2283&lt;&gt;"",COUNTIF(DM_DT!$A$7:$A$306,$I2283)=0),"Mã ĐT chưa khai báo! ","")))</f>
        <v/>
      </c>
      <c r="M2283" s="117">
        <f>IF($H2283="","",IF(AND(OR(LEFT($F2283,3)="111",LEFT($F2283,3)="112",LEFT($F2283,3)="113"),OR(LEFT($G2283,3)="111",LEFT($G2283,3)="112",LEFT($G2283,3)="113")),"NB",IF(OR(LEFT($F2283,3)="111",LEFT($F2283,3)="112",LEFT($F2283,3)="113"),"THU",IF(OR(LEFT($G2283,3)="111",LEFT($G2283,3)="112",LEFT($G2283,3)="113"),"CHI",""))))</f>
        <v/>
      </c>
      <c r="N2283" s="117">
        <f>IF($M2283="THU",$G2283,IF($M2283="CHI",$F2283,""))</f>
        <v/>
      </c>
      <c r="O2283" s="117">
        <f>IF(OR($M2283="",$M2283="NB"),"",IF($J2283&lt;&gt;"",TEXT($J2283,"00"),IFERROR(VLOOKUP(LEFT($N2283,4),LCTT_MAP!$A$7:$C$66,IF($M2283="THU",2,3),FALSE()),IFERROR(VLOOKUP(LEFT($N2283,3),LCTT_MAP!$A$7:$C$66,IF($M2283="THU",2,3),FALSE()),IFERROR(VLOOKUP(LEFT($N2283,2),LCTT_MAP!$A$7:$C$66,IF($M2283="THU",2,3),FALSE()),IFERROR(VLOOKUP(LEFT($N2283,1),LCTT_MAP!$A$7:$C$66,IF($M2283="THU",2,3),FALSE()),IF($M2283="THU","06","07")))))))</f>
        <v/>
      </c>
      <c r="P2283" s="117">
        <f>P2282+IF(AND($H2283&lt;&gt;"",OR(LEFT($F2283,LEN(SC_TK))=SC_TK,LEFT($G2283,LEN(SC_TK))=SC_TK)),1,0)</f>
        <v/>
      </c>
    </row>
    <row r="2284" ht="15" customHeight="1" s="78">
      <c r="A2284" s="95">
        <f>IF($H2284="","",ROW()-6)</f>
        <v/>
      </c>
      <c r="B2284" s="114" t="n"/>
      <c r="C2284" s="102" t="n"/>
      <c r="D2284" s="114" t="n"/>
      <c r="E2284" s="103" t="n"/>
      <c r="F2284" s="102" t="n"/>
      <c r="G2284" s="102" t="n"/>
      <c r="H2284" s="115" t="n"/>
      <c r="I2284" s="102" t="n"/>
      <c r="J2284" s="102" t="n"/>
      <c r="K2284" s="103" t="n"/>
      <c r="L2284" s="116">
        <f>IF($H2284="","",TRIM(IF(COUNTIF(DMTK!$A$7:$A$250,$F2284)=0,"TK Nợ sai! ","")&amp;IF(COUNTIF(DMTK!$A$7:$A$250,$G2284)=0,"TK Có sai! ","")&amp;IF(N($H2284)&lt;=0,"Tiền phải &gt; 0! ","")&amp;IF($B2284="","Thiếu ngày! ","")&amp;IF(AND(OR(LEFT($F2284,3)="131",LEFT($G2284,3)="131",LEFT($F2284,3)="331",LEFT($G2284,3)="331"),$I2284=""),"Thiếu Mã ĐT! ","")&amp;IF(AND($I2284&lt;&gt;"",COUNTIF(DM_DT!$A$7:$A$306,$I2284)=0),"Mã ĐT chưa khai báo! ","")))</f>
        <v/>
      </c>
      <c r="M2284" s="117">
        <f>IF($H2284="","",IF(AND(OR(LEFT($F2284,3)="111",LEFT($F2284,3)="112",LEFT($F2284,3)="113"),OR(LEFT($G2284,3)="111",LEFT($G2284,3)="112",LEFT($G2284,3)="113")),"NB",IF(OR(LEFT($F2284,3)="111",LEFT($F2284,3)="112",LEFT($F2284,3)="113"),"THU",IF(OR(LEFT($G2284,3)="111",LEFT($G2284,3)="112",LEFT($G2284,3)="113"),"CHI",""))))</f>
        <v/>
      </c>
      <c r="N2284" s="117">
        <f>IF($M2284="THU",$G2284,IF($M2284="CHI",$F2284,""))</f>
        <v/>
      </c>
      <c r="O2284" s="117">
        <f>IF(OR($M2284="",$M2284="NB"),"",IF($J2284&lt;&gt;"",TEXT($J2284,"00"),IFERROR(VLOOKUP(LEFT($N2284,4),LCTT_MAP!$A$7:$C$66,IF($M2284="THU",2,3),FALSE()),IFERROR(VLOOKUP(LEFT($N2284,3),LCTT_MAP!$A$7:$C$66,IF($M2284="THU",2,3),FALSE()),IFERROR(VLOOKUP(LEFT($N2284,2),LCTT_MAP!$A$7:$C$66,IF($M2284="THU",2,3),FALSE()),IFERROR(VLOOKUP(LEFT($N2284,1),LCTT_MAP!$A$7:$C$66,IF($M2284="THU",2,3),FALSE()),IF($M2284="THU","06","07")))))))</f>
        <v/>
      </c>
      <c r="P2284" s="117">
        <f>P2283+IF(AND($H2284&lt;&gt;"",OR(LEFT($F2284,LEN(SC_TK))=SC_TK,LEFT($G2284,LEN(SC_TK))=SC_TK)),1,0)</f>
        <v/>
      </c>
    </row>
    <row r="2285" ht="15" customHeight="1" s="78">
      <c r="A2285" s="95">
        <f>IF($H2285="","",ROW()-6)</f>
        <v/>
      </c>
      <c r="B2285" s="114" t="n"/>
      <c r="C2285" s="102" t="n"/>
      <c r="D2285" s="114" t="n"/>
      <c r="E2285" s="103" t="n"/>
      <c r="F2285" s="102" t="n"/>
      <c r="G2285" s="102" t="n"/>
      <c r="H2285" s="115" t="n"/>
      <c r="I2285" s="102" t="n"/>
      <c r="J2285" s="102" t="n"/>
      <c r="K2285" s="103" t="n"/>
      <c r="L2285" s="116">
        <f>IF($H2285="","",TRIM(IF(COUNTIF(DMTK!$A$7:$A$250,$F2285)=0,"TK Nợ sai! ","")&amp;IF(COUNTIF(DMTK!$A$7:$A$250,$G2285)=0,"TK Có sai! ","")&amp;IF(N($H2285)&lt;=0,"Tiền phải &gt; 0! ","")&amp;IF($B2285="","Thiếu ngày! ","")&amp;IF(AND(OR(LEFT($F2285,3)="131",LEFT($G2285,3)="131",LEFT($F2285,3)="331",LEFT($G2285,3)="331"),$I2285=""),"Thiếu Mã ĐT! ","")&amp;IF(AND($I2285&lt;&gt;"",COUNTIF(DM_DT!$A$7:$A$306,$I2285)=0),"Mã ĐT chưa khai báo! ","")))</f>
        <v/>
      </c>
      <c r="M2285" s="117">
        <f>IF($H2285="","",IF(AND(OR(LEFT($F2285,3)="111",LEFT($F2285,3)="112",LEFT($F2285,3)="113"),OR(LEFT($G2285,3)="111",LEFT($G2285,3)="112",LEFT($G2285,3)="113")),"NB",IF(OR(LEFT($F2285,3)="111",LEFT($F2285,3)="112",LEFT($F2285,3)="113"),"THU",IF(OR(LEFT($G2285,3)="111",LEFT($G2285,3)="112",LEFT($G2285,3)="113"),"CHI",""))))</f>
        <v/>
      </c>
      <c r="N2285" s="117">
        <f>IF($M2285="THU",$G2285,IF($M2285="CHI",$F2285,""))</f>
        <v/>
      </c>
      <c r="O2285" s="117">
        <f>IF(OR($M2285="",$M2285="NB"),"",IF($J2285&lt;&gt;"",TEXT($J2285,"00"),IFERROR(VLOOKUP(LEFT($N2285,4),LCTT_MAP!$A$7:$C$66,IF($M2285="THU",2,3),FALSE()),IFERROR(VLOOKUP(LEFT($N2285,3),LCTT_MAP!$A$7:$C$66,IF($M2285="THU",2,3),FALSE()),IFERROR(VLOOKUP(LEFT($N2285,2),LCTT_MAP!$A$7:$C$66,IF($M2285="THU",2,3),FALSE()),IFERROR(VLOOKUP(LEFT($N2285,1),LCTT_MAP!$A$7:$C$66,IF($M2285="THU",2,3),FALSE()),IF($M2285="THU","06","07")))))))</f>
        <v/>
      </c>
      <c r="P2285" s="117">
        <f>P2284+IF(AND($H2285&lt;&gt;"",OR(LEFT($F2285,LEN(SC_TK))=SC_TK,LEFT($G2285,LEN(SC_TK))=SC_TK)),1,0)</f>
        <v/>
      </c>
    </row>
    <row r="2286" ht="15" customHeight="1" s="78">
      <c r="A2286" s="95">
        <f>IF($H2286="","",ROW()-6)</f>
        <v/>
      </c>
      <c r="B2286" s="114" t="n"/>
      <c r="C2286" s="102" t="n"/>
      <c r="D2286" s="114" t="n"/>
      <c r="E2286" s="103" t="n"/>
      <c r="F2286" s="102" t="n"/>
      <c r="G2286" s="102" t="n"/>
      <c r="H2286" s="115" t="n"/>
      <c r="I2286" s="102" t="n"/>
      <c r="J2286" s="102" t="n"/>
      <c r="K2286" s="103" t="n"/>
      <c r="L2286" s="116">
        <f>IF($H2286="","",TRIM(IF(COUNTIF(DMTK!$A$7:$A$250,$F2286)=0,"TK Nợ sai! ","")&amp;IF(COUNTIF(DMTK!$A$7:$A$250,$G2286)=0,"TK Có sai! ","")&amp;IF(N($H2286)&lt;=0,"Tiền phải &gt; 0! ","")&amp;IF($B2286="","Thiếu ngày! ","")&amp;IF(AND(OR(LEFT($F2286,3)="131",LEFT($G2286,3)="131",LEFT($F2286,3)="331",LEFT($G2286,3)="331"),$I2286=""),"Thiếu Mã ĐT! ","")&amp;IF(AND($I2286&lt;&gt;"",COUNTIF(DM_DT!$A$7:$A$306,$I2286)=0),"Mã ĐT chưa khai báo! ","")))</f>
        <v/>
      </c>
      <c r="M2286" s="117">
        <f>IF($H2286="","",IF(AND(OR(LEFT($F2286,3)="111",LEFT($F2286,3)="112",LEFT($F2286,3)="113"),OR(LEFT($G2286,3)="111",LEFT($G2286,3)="112",LEFT($G2286,3)="113")),"NB",IF(OR(LEFT($F2286,3)="111",LEFT($F2286,3)="112",LEFT($F2286,3)="113"),"THU",IF(OR(LEFT($G2286,3)="111",LEFT($G2286,3)="112",LEFT($G2286,3)="113"),"CHI",""))))</f>
        <v/>
      </c>
      <c r="N2286" s="117">
        <f>IF($M2286="THU",$G2286,IF($M2286="CHI",$F2286,""))</f>
        <v/>
      </c>
      <c r="O2286" s="117">
        <f>IF(OR($M2286="",$M2286="NB"),"",IF($J2286&lt;&gt;"",TEXT($J2286,"00"),IFERROR(VLOOKUP(LEFT($N2286,4),LCTT_MAP!$A$7:$C$66,IF($M2286="THU",2,3),FALSE()),IFERROR(VLOOKUP(LEFT($N2286,3),LCTT_MAP!$A$7:$C$66,IF($M2286="THU",2,3),FALSE()),IFERROR(VLOOKUP(LEFT($N2286,2),LCTT_MAP!$A$7:$C$66,IF($M2286="THU",2,3),FALSE()),IFERROR(VLOOKUP(LEFT($N2286,1),LCTT_MAP!$A$7:$C$66,IF($M2286="THU",2,3),FALSE()),IF($M2286="THU","06","07")))))))</f>
        <v/>
      </c>
      <c r="P2286" s="117">
        <f>P2285+IF(AND($H2286&lt;&gt;"",OR(LEFT($F2286,LEN(SC_TK))=SC_TK,LEFT($G2286,LEN(SC_TK))=SC_TK)),1,0)</f>
        <v/>
      </c>
    </row>
    <row r="2287" ht="15" customHeight="1" s="78">
      <c r="A2287" s="95">
        <f>IF($H2287="","",ROW()-6)</f>
        <v/>
      </c>
      <c r="B2287" s="114" t="n"/>
      <c r="C2287" s="102" t="n"/>
      <c r="D2287" s="114" t="n"/>
      <c r="E2287" s="103" t="n"/>
      <c r="F2287" s="102" t="n"/>
      <c r="G2287" s="102" t="n"/>
      <c r="H2287" s="115" t="n"/>
      <c r="I2287" s="102" t="n"/>
      <c r="J2287" s="102" t="n"/>
      <c r="K2287" s="103" t="n"/>
      <c r="L2287" s="116">
        <f>IF($H2287="","",TRIM(IF(COUNTIF(DMTK!$A$7:$A$250,$F2287)=0,"TK Nợ sai! ","")&amp;IF(COUNTIF(DMTK!$A$7:$A$250,$G2287)=0,"TK Có sai! ","")&amp;IF(N($H2287)&lt;=0,"Tiền phải &gt; 0! ","")&amp;IF($B2287="","Thiếu ngày! ","")&amp;IF(AND(OR(LEFT($F2287,3)="131",LEFT($G2287,3)="131",LEFT($F2287,3)="331",LEFT($G2287,3)="331"),$I2287=""),"Thiếu Mã ĐT! ","")&amp;IF(AND($I2287&lt;&gt;"",COUNTIF(DM_DT!$A$7:$A$306,$I2287)=0),"Mã ĐT chưa khai báo! ","")))</f>
        <v/>
      </c>
      <c r="M2287" s="117">
        <f>IF($H2287="","",IF(AND(OR(LEFT($F2287,3)="111",LEFT($F2287,3)="112",LEFT($F2287,3)="113"),OR(LEFT($G2287,3)="111",LEFT($G2287,3)="112",LEFT($G2287,3)="113")),"NB",IF(OR(LEFT($F2287,3)="111",LEFT($F2287,3)="112",LEFT($F2287,3)="113"),"THU",IF(OR(LEFT($G2287,3)="111",LEFT($G2287,3)="112",LEFT($G2287,3)="113"),"CHI",""))))</f>
        <v/>
      </c>
      <c r="N2287" s="117">
        <f>IF($M2287="THU",$G2287,IF($M2287="CHI",$F2287,""))</f>
        <v/>
      </c>
      <c r="O2287" s="117">
        <f>IF(OR($M2287="",$M2287="NB"),"",IF($J2287&lt;&gt;"",TEXT($J2287,"00"),IFERROR(VLOOKUP(LEFT($N2287,4),LCTT_MAP!$A$7:$C$66,IF($M2287="THU",2,3),FALSE()),IFERROR(VLOOKUP(LEFT($N2287,3),LCTT_MAP!$A$7:$C$66,IF($M2287="THU",2,3),FALSE()),IFERROR(VLOOKUP(LEFT($N2287,2),LCTT_MAP!$A$7:$C$66,IF($M2287="THU",2,3),FALSE()),IFERROR(VLOOKUP(LEFT($N2287,1),LCTT_MAP!$A$7:$C$66,IF($M2287="THU",2,3),FALSE()),IF($M2287="THU","06","07")))))))</f>
        <v/>
      </c>
      <c r="P2287" s="117">
        <f>P2286+IF(AND($H2287&lt;&gt;"",OR(LEFT($F2287,LEN(SC_TK))=SC_TK,LEFT($G2287,LEN(SC_TK))=SC_TK)),1,0)</f>
        <v/>
      </c>
    </row>
    <row r="2288" ht="15" customHeight="1" s="78">
      <c r="A2288" s="95">
        <f>IF($H2288="","",ROW()-6)</f>
        <v/>
      </c>
      <c r="B2288" s="114" t="n"/>
      <c r="C2288" s="102" t="n"/>
      <c r="D2288" s="114" t="n"/>
      <c r="E2288" s="103" t="n"/>
      <c r="F2288" s="102" t="n"/>
      <c r="G2288" s="102" t="n"/>
      <c r="H2288" s="115" t="n"/>
      <c r="I2288" s="102" t="n"/>
      <c r="J2288" s="102" t="n"/>
      <c r="K2288" s="103" t="n"/>
      <c r="L2288" s="116">
        <f>IF($H2288="","",TRIM(IF(COUNTIF(DMTK!$A$7:$A$250,$F2288)=0,"TK Nợ sai! ","")&amp;IF(COUNTIF(DMTK!$A$7:$A$250,$G2288)=0,"TK Có sai! ","")&amp;IF(N($H2288)&lt;=0,"Tiền phải &gt; 0! ","")&amp;IF($B2288="","Thiếu ngày! ","")&amp;IF(AND(OR(LEFT($F2288,3)="131",LEFT($G2288,3)="131",LEFT($F2288,3)="331",LEFT($G2288,3)="331"),$I2288=""),"Thiếu Mã ĐT! ","")&amp;IF(AND($I2288&lt;&gt;"",COUNTIF(DM_DT!$A$7:$A$306,$I2288)=0),"Mã ĐT chưa khai báo! ","")))</f>
        <v/>
      </c>
      <c r="M2288" s="117">
        <f>IF($H2288="","",IF(AND(OR(LEFT($F2288,3)="111",LEFT($F2288,3)="112",LEFT($F2288,3)="113"),OR(LEFT($G2288,3)="111",LEFT($G2288,3)="112",LEFT($G2288,3)="113")),"NB",IF(OR(LEFT($F2288,3)="111",LEFT($F2288,3)="112",LEFT($F2288,3)="113"),"THU",IF(OR(LEFT($G2288,3)="111",LEFT($G2288,3)="112",LEFT($G2288,3)="113"),"CHI",""))))</f>
        <v/>
      </c>
      <c r="N2288" s="117">
        <f>IF($M2288="THU",$G2288,IF($M2288="CHI",$F2288,""))</f>
        <v/>
      </c>
      <c r="O2288" s="117">
        <f>IF(OR($M2288="",$M2288="NB"),"",IF($J2288&lt;&gt;"",TEXT($J2288,"00"),IFERROR(VLOOKUP(LEFT($N2288,4),LCTT_MAP!$A$7:$C$66,IF($M2288="THU",2,3),FALSE()),IFERROR(VLOOKUP(LEFT($N2288,3),LCTT_MAP!$A$7:$C$66,IF($M2288="THU",2,3),FALSE()),IFERROR(VLOOKUP(LEFT($N2288,2),LCTT_MAP!$A$7:$C$66,IF($M2288="THU",2,3),FALSE()),IFERROR(VLOOKUP(LEFT($N2288,1),LCTT_MAP!$A$7:$C$66,IF($M2288="THU",2,3),FALSE()),IF($M2288="THU","06","07")))))))</f>
        <v/>
      </c>
      <c r="P2288" s="117">
        <f>P2287+IF(AND($H2288&lt;&gt;"",OR(LEFT($F2288,LEN(SC_TK))=SC_TK,LEFT($G2288,LEN(SC_TK))=SC_TK)),1,0)</f>
        <v/>
      </c>
    </row>
    <row r="2289" ht="15" customHeight="1" s="78">
      <c r="A2289" s="95">
        <f>IF($H2289="","",ROW()-6)</f>
        <v/>
      </c>
      <c r="B2289" s="114" t="n"/>
      <c r="C2289" s="102" t="n"/>
      <c r="D2289" s="114" t="n"/>
      <c r="E2289" s="103" t="n"/>
      <c r="F2289" s="102" t="n"/>
      <c r="G2289" s="102" t="n"/>
      <c r="H2289" s="115" t="n"/>
      <c r="I2289" s="102" t="n"/>
      <c r="J2289" s="102" t="n"/>
      <c r="K2289" s="103" t="n"/>
      <c r="L2289" s="116">
        <f>IF($H2289="","",TRIM(IF(COUNTIF(DMTK!$A$7:$A$250,$F2289)=0,"TK Nợ sai! ","")&amp;IF(COUNTIF(DMTK!$A$7:$A$250,$G2289)=0,"TK Có sai! ","")&amp;IF(N($H2289)&lt;=0,"Tiền phải &gt; 0! ","")&amp;IF($B2289="","Thiếu ngày! ","")&amp;IF(AND(OR(LEFT($F2289,3)="131",LEFT($G2289,3)="131",LEFT($F2289,3)="331",LEFT($G2289,3)="331"),$I2289=""),"Thiếu Mã ĐT! ","")&amp;IF(AND($I2289&lt;&gt;"",COUNTIF(DM_DT!$A$7:$A$306,$I2289)=0),"Mã ĐT chưa khai báo! ","")))</f>
        <v/>
      </c>
      <c r="M2289" s="117">
        <f>IF($H2289="","",IF(AND(OR(LEFT($F2289,3)="111",LEFT($F2289,3)="112",LEFT($F2289,3)="113"),OR(LEFT($G2289,3)="111",LEFT($G2289,3)="112",LEFT($G2289,3)="113")),"NB",IF(OR(LEFT($F2289,3)="111",LEFT($F2289,3)="112",LEFT($F2289,3)="113"),"THU",IF(OR(LEFT($G2289,3)="111",LEFT($G2289,3)="112",LEFT($G2289,3)="113"),"CHI",""))))</f>
        <v/>
      </c>
      <c r="N2289" s="117">
        <f>IF($M2289="THU",$G2289,IF($M2289="CHI",$F2289,""))</f>
        <v/>
      </c>
      <c r="O2289" s="117">
        <f>IF(OR($M2289="",$M2289="NB"),"",IF($J2289&lt;&gt;"",TEXT($J2289,"00"),IFERROR(VLOOKUP(LEFT($N2289,4),LCTT_MAP!$A$7:$C$66,IF($M2289="THU",2,3),FALSE()),IFERROR(VLOOKUP(LEFT($N2289,3),LCTT_MAP!$A$7:$C$66,IF($M2289="THU",2,3),FALSE()),IFERROR(VLOOKUP(LEFT($N2289,2),LCTT_MAP!$A$7:$C$66,IF($M2289="THU",2,3),FALSE()),IFERROR(VLOOKUP(LEFT($N2289,1),LCTT_MAP!$A$7:$C$66,IF($M2289="THU",2,3),FALSE()),IF($M2289="THU","06","07")))))))</f>
        <v/>
      </c>
      <c r="P2289" s="117">
        <f>P2288+IF(AND($H2289&lt;&gt;"",OR(LEFT($F2289,LEN(SC_TK))=SC_TK,LEFT($G2289,LEN(SC_TK))=SC_TK)),1,0)</f>
        <v/>
      </c>
    </row>
    <row r="2290" ht="15" customHeight="1" s="78">
      <c r="A2290" s="95">
        <f>IF($H2290="","",ROW()-6)</f>
        <v/>
      </c>
      <c r="B2290" s="114" t="n"/>
      <c r="C2290" s="102" t="n"/>
      <c r="D2290" s="114" t="n"/>
      <c r="E2290" s="103" t="n"/>
      <c r="F2290" s="102" t="n"/>
      <c r="G2290" s="102" t="n"/>
      <c r="H2290" s="115" t="n"/>
      <c r="I2290" s="102" t="n"/>
      <c r="J2290" s="102" t="n"/>
      <c r="K2290" s="103" t="n"/>
      <c r="L2290" s="116">
        <f>IF($H2290="","",TRIM(IF(COUNTIF(DMTK!$A$7:$A$250,$F2290)=0,"TK Nợ sai! ","")&amp;IF(COUNTIF(DMTK!$A$7:$A$250,$G2290)=0,"TK Có sai! ","")&amp;IF(N($H2290)&lt;=0,"Tiền phải &gt; 0! ","")&amp;IF($B2290="","Thiếu ngày! ","")&amp;IF(AND(OR(LEFT($F2290,3)="131",LEFT($G2290,3)="131",LEFT($F2290,3)="331",LEFT($G2290,3)="331"),$I2290=""),"Thiếu Mã ĐT! ","")&amp;IF(AND($I2290&lt;&gt;"",COUNTIF(DM_DT!$A$7:$A$306,$I2290)=0),"Mã ĐT chưa khai báo! ","")))</f>
        <v/>
      </c>
      <c r="M2290" s="117">
        <f>IF($H2290="","",IF(AND(OR(LEFT($F2290,3)="111",LEFT($F2290,3)="112",LEFT($F2290,3)="113"),OR(LEFT($G2290,3)="111",LEFT($G2290,3)="112",LEFT($G2290,3)="113")),"NB",IF(OR(LEFT($F2290,3)="111",LEFT($F2290,3)="112",LEFT($F2290,3)="113"),"THU",IF(OR(LEFT($G2290,3)="111",LEFT($G2290,3)="112",LEFT($G2290,3)="113"),"CHI",""))))</f>
        <v/>
      </c>
      <c r="N2290" s="117">
        <f>IF($M2290="THU",$G2290,IF($M2290="CHI",$F2290,""))</f>
        <v/>
      </c>
      <c r="O2290" s="117">
        <f>IF(OR($M2290="",$M2290="NB"),"",IF($J2290&lt;&gt;"",TEXT($J2290,"00"),IFERROR(VLOOKUP(LEFT($N2290,4),LCTT_MAP!$A$7:$C$66,IF($M2290="THU",2,3),FALSE()),IFERROR(VLOOKUP(LEFT($N2290,3),LCTT_MAP!$A$7:$C$66,IF($M2290="THU",2,3),FALSE()),IFERROR(VLOOKUP(LEFT($N2290,2),LCTT_MAP!$A$7:$C$66,IF($M2290="THU",2,3),FALSE()),IFERROR(VLOOKUP(LEFT($N2290,1),LCTT_MAP!$A$7:$C$66,IF($M2290="THU",2,3),FALSE()),IF($M2290="THU","06","07")))))))</f>
        <v/>
      </c>
      <c r="P2290" s="117">
        <f>P2289+IF(AND($H2290&lt;&gt;"",OR(LEFT($F2290,LEN(SC_TK))=SC_TK,LEFT($G2290,LEN(SC_TK))=SC_TK)),1,0)</f>
        <v/>
      </c>
    </row>
    <row r="2291" ht="15" customHeight="1" s="78">
      <c r="A2291" s="95">
        <f>IF($H2291="","",ROW()-6)</f>
        <v/>
      </c>
      <c r="B2291" s="114" t="n"/>
      <c r="C2291" s="102" t="n"/>
      <c r="D2291" s="114" t="n"/>
      <c r="E2291" s="103" t="n"/>
      <c r="F2291" s="102" t="n"/>
      <c r="G2291" s="102" t="n"/>
      <c r="H2291" s="115" t="n"/>
      <c r="I2291" s="102" t="n"/>
      <c r="J2291" s="102" t="n"/>
      <c r="K2291" s="103" t="n"/>
      <c r="L2291" s="116">
        <f>IF($H2291="","",TRIM(IF(COUNTIF(DMTK!$A$7:$A$250,$F2291)=0,"TK Nợ sai! ","")&amp;IF(COUNTIF(DMTK!$A$7:$A$250,$G2291)=0,"TK Có sai! ","")&amp;IF(N($H2291)&lt;=0,"Tiền phải &gt; 0! ","")&amp;IF($B2291="","Thiếu ngày! ","")&amp;IF(AND(OR(LEFT($F2291,3)="131",LEFT($G2291,3)="131",LEFT($F2291,3)="331",LEFT($G2291,3)="331"),$I2291=""),"Thiếu Mã ĐT! ","")&amp;IF(AND($I2291&lt;&gt;"",COUNTIF(DM_DT!$A$7:$A$306,$I2291)=0),"Mã ĐT chưa khai báo! ","")))</f>
        <v/>
      </c>
      <c r="M2291" s="117">
        <f>IF($H2291="","",IF(AND(OR(LEFT($F2291,3)="111",LEFT($F2291,3)="112",LEFT($F2291,3)="113"),OR(LEFT($G2291,3)="111",LEFT($G2291,3)="112",LEFT($G2291,3)="113")),"NB",IF(OR(LEFT($F2291,3)="111",LEFT($F2291,3)="112",LEFT($F2291,3)="113"),"THU",IF(OR(LEFT($G2291,3)="111",LEFT($G2291,3)="112",LEFT($G2291,3)="113"),"CHI",""))))</f>
        <v/>
      </c>
      <c r="N2291" s="117">
        <f>IF($M2291="THU",$G2291,IF($M2291="CHI",$F2291,""))</f>
        <v/>
      </c>
      <c r="O2291" s="117">
        <f>IF(OR($M2291="",$M2291="NB"),"",IF($J2291&lt;&gt;"",TEXT($J2291,"00"),IFERROR(VLOOKUP(LEFT($N2291,4),LCTT_MAP!$A$7:$C$66,IF($M2291="THU",2,3),FALSE()),IFERROR(VLOOKUP(LEFT($N2291,3),LCTT_MAP!$A$7:$C$66,IF($M2291="THU",2,3),FALSE()),IFERROR(VLOOKUP(LEFT($N2291,2),LCTT_MAP!$A$7:$C$66,IF($M2291="THU",2,3),FALSE()),IFERROR(VLOOKUP(LEFT($N2291,1),LCTT_MAP!$A$7:$C$66,IF($M2291="THU",2,3),FALSE()),IF($M2291="THU","06","07")))))))</f>
        <v/>
      </c>
      <c r="P2291" s="117">
        <f>P2290+IF(AND($H2291&lt;&gt;"",OR(LEFT($F2291,LEN(SC_TK))=SC_TK,LEFT($G2291,LEN(SC_TK))=SC_TK)),1,0)</f>
        <v/>
      </c>
    </row>
    <row r="2292" ht="15" customHeight="1" s="78">
      <c r="A2292" s="95">
        <f>IF($H2292="","",ROW()-6)</f>
        <v/>
      </c>
      <c r="B2292" s="114" t="n"/>
      <c r="C2292" s="102" t="n"/>
      <c r="D2292" s="114" t="n"/>
      <c r="E2292" s="103" t="n"/>
      <c r="F2292" s="102" t="n"/>
      <c r="G2292" s="102" t="n"/>
      <c r="H2292" s="115" t="n"/>
      <c r="I2292" s="102" t="n"/>
      <c r="J2292" s="102" t="n"/>
      <c r="K2292" s="103" t="n"/>
      <c r="L2292" s="116">
        <f>IF($H2292="","",TRIM(IF(COUNTIF(DMTK!$A$7:$A$250,$F2292)=0,"TK Nợ sai! ","")&amp;IF(COUNTIF(DMTK!$A$7:$A$250,$G2292)=0,"TK Có sai! ","")&amp;IF(N($H2292)&lt;=0,"Tiền phải &gt; 0! ","")&amp;IF($B2292="","Thiếu ngày! ","")&amp;IF(AND(OR(LEFT($F2292,3)="131",LEFT($G2292,3)="131",LEFT($F2292,3)="331",LEFT($G2292,3)="331"),$I2292=""),"Thiếu Mã ĐT! ","")&amp;IF(AND($I2292&lt;&gt;"",COUNTIF(DM_DT!$A$7:$A$306,$I2292)=0),"Mã ĐT chưa khai báo! ","")))</f>
        <v/>
      </c>
      <c r="M2292" s="117">
        <f>IF($H2292="","",IF(AND(OR(LEFT($F2292,3)="111",LEFT($F2292,3)="112",LEFT($F2292,3)="113"),OR(LEFT($G2292,3)="111",LEFT($G2292,3)="112",LEFT($G2292,3)="113")),"NB",IF(OR(LEFT($F2292,3)="111",LEFT($F2292,3)="112",LEFT($F2292,3)="113"),"THU",IF(OR(LEFT($G2292,3)="111",LEFT($G2292,3)="112",LEFT($G2292,3)="113"),"CHI",""))))</f>
        <v/>
      </c>
      <c r="N2292" s="117">
        <f>IF($M2292="THU",$G2292,IF($M2292="CHI",$F2292,""))</f>
        <v/>
      </c>
      <c r="O2292" s="117">
        <f>IF(OR($M2292="",$M2292="NB"),"",IF($J2292&lt;&gt;"",TEXT($J2292,"00"),IFERROR(VLOOKUP(LEFT($N2292,4),LCTT_MAP!$A$7:$C$66,IF($M2292="THU",2,3),FALSE()),IFERROR(VLOOKUP(LEFT($N2292,3),LCTT_MAP!$A$7:$C$66,IF($M2292="THU",2,3),FALSE()),IFERROR(VLOOKUP(LEFT($N2292,2),LCTT_MAP!$A$7:$C$66,IF($M2292="THU",2,3),FALSE()),IFERROR(VLOOKUP(LEFT($N2292,1),LCTT_MAP!$A$7:$C$66,IF($M2292="THU",2,3),FALSE()),IF($M2292="THU","06","07")))))))</f>
        <v/>
      </c>
      <c r="P2292" s="117">
        <f>P2291+IF(AND($H2292&lt;&gt;"",OR(LEFT($F2292,LEN(SC_TK))=SC_TK,LEFT($G2292,LEN(SC_TK))=SC_TK)),1,0)</f>
        <v/>
      </c>
    </row>
    <row r="2293" ht="15" customHeight="1" s="78">
      <c r="A2293" s="95">
        <f>IF($H2293="","",ROW()-6)</f>
        <v/>
      </c>
      <c r="B2293" s="114" t="n"/>
      <c r="C2293" s="102" t="n"/>
      <c r="D2293" s="114" t="n"/>
      <c r="E2293" s="103" t="n"/>
      <c r="F2293" s="102" t="n"/>
      <c r="G2293" s="102" t="n"/>
      <c r="H2293" s="115" t="n"/>
      <c r="I2293" s="102" t="n"/>
      <c r="J2293" s="102" t="n"/>
      <c r="K2293" s="103" t="n"/>
      <c r="L2293" s="116">
        <f>IF($H2293="","",TRIM(IF(COUNTIF(DMTK!$A$7:$A$250,$F2293)=0,"TK Nợ sai! ","")&amp;IF(COUNTIF(DMTK!$A$7:$A$250,$G2293)=0,"TK Có sai! ","")&amp;IF(N($H2293)&lt;=0,"Tiền phải &gt; 0! ","")&amp;IF($B2293="","Thiếu ngày! ","")&amp;IF(AND(OR(LEFT($F2293,3)="131",LEFT($G2293,3)="131",LEFT($F2293,3)="331",LEFT($G2293,3)="331"),$I2293=""),"Thiếu Mã ĐT! ","")&amp;IF(AND($I2293&lt;&gt;"",COUNTIF(DM_DT!$A$7:$A$306,$I2293)=0),"Mã ĐT chưa khai báo! ","")))</f>
        <v/>
      </c>
      <c r="M2293" s="117">
        <f>IF($H2293="","",IF(AND(OR(LEFT($F2293,3)="111",LEFT($F2293,3)="112",LEFT($F2293,3)="113"),OR(LEFT($G2293,3)="111",LEFT($G2293,3)="112",LEFT($G2293,3)="113")),"NB",IF(OR(LEFT($F2293,3)="111",LEFT($F2293,3)="112",LEFT($F2293,3)="113"),"THU",IF(OR(LEFT($G2293,3)="111",LEFT($G2293,3)="112",LEFT($G2293,3)="113"),"CHI",""))))</f>
        <v/>
      </c>
      <c r="N2293" s="117">
        <f>IF($M2293="THU",$G2293,IF($M2293="CHI",$F2293,""))</f>
        <v/>
      </c>
      <c r="O2293" s="117">
        <f>IF(OR($M2293="",$M2293="NB"),"",IF($J2293&lt;&gt;"",TEXT($J2293,"00"),IFERROR(VLOOKUP(LEFT($N2293,4),LCTT_MAP!$A$7:$C$66,IF($M2293="THU",2,3),FALSE()),IFERROR(VLOOKUP(LEFT($N2293,3),LCTT_MAP!$A$7:$C$66,IF($M2293="THU",2,3),FALSE()),IFERROR(VLOOKUP(LEFT($N2293,2),LCTT_MAP!$A$7:$C$66,IF($M2293="THU",2,3),FALSE()),IFERROR(VLOOKUP(LEFT($N2293,1),LCTT_MAP!$A$7:$C$66,IF($M2293="THU",2,3),FALSE()),IF($M2293="THU","06","07")))))))</f>
        <v/>
      </c>
      <c r="P2293" s="117">
        <f>P2292+IF(AND($H2293&lt;&gt;"",OR(LEFT($F2293,LEN(SC_TK))=SC_TK,LEFT($G2293,LEN(SC_TK))=SC_TK)),1,0)</f>
        <v/>
      </c>
    </row>
    <row r="2294" ht="15" customHeight="1" s="78">
      <c r="A2294" s="95">
        <f>IF($H2294="","",ROW()-6)</f>
        <v/>
      </c>
      <c r="B2294" s="114" t="n"/>
      <c r="C2294" s="102" t="n"/>
      <c r="D2294" s="114" t="n"/>
      <c r="E2294" s="103" t="n"/>
      <c r="F2294" s="102" t="n"/>
      <c r="G2294" s="102" t="n"/>
      <c r="H2294" s="115" t="n"/>
      <c r="I2294" s="102" t="n"/>
      <c r="J2294" s="102" t="n"/>
      <c r="K2294" s="103" t="n"/>
      <c r="L2294" s="116">
        <f>IF($H2294="","",TRIM(IF(COUNTIF(DMTK!$A$7:$A$250,$F2294)=0,"TK Nợ sai! ","")&amp;IF(COUNTIF(DMTK!$A$7:$A$250,$G2294)=0,"TK Có sai! ","")&amp;IF(N($H2294)&lt;=0,"Tiền phải &gt; 0! ","")&amp;IF($B2294="","Thiếu ngày! ","")&amp;IF(AND(OR(LEFT($F2294,3)="131",LEFT($G2294,3)="131",LEFT($F2294,3)="331",LEFT($G2294,3)="331"),$I2294=""),"Thiếu Mã ĐT! ","")&amp;IF(AND($I2294&lt;&gt;"",COUNTIF(DM_DT!$A$7:$A$306,$I2294)=0),"Mã ĐT chưa khai báo! ","")))</f>
        <v/>
      </c>
      <c r="M2294" s="117">
        <f>IF($H2294="","",IF(AND(OR(LEFT($F2294,3)="111",LEFT($F2294,3)="112",LEFT($F2294,3)="113"),OR(LEFT($G2294,3)="111",LEFT($G2294,3)="112",LEFT($G2294,3)="113")),"NB",IF(OR(LEFT($F2294,3)="111",LEFT($F2294,3)="112",LEFT($F2294,3)="113"),"THU",IF(OR(LEFT($G2294,3)="111",LEFT($G2294,3)="112",LEFT($G2294,3)="113"),"CHI",""))))</f>
        <v/>
      </c>
      <c r="N2294" s="117">
        <f>IF($M2294="THU",$G2294,IF($M2294="CHI",$F2294,""))</f>
        <v/>
      </c>
      <c r="O2294" s="117">
        <f>IF(OR($M2294="",$M2294="NB"),"",IF($J2294&lt;&gt;"",TEXT($J2294,"00"),IFERROR(VLOOKUP(LEFT($N2294,4),LCTT_MAP!$A$7:$C$66,IF($M2294="THU",2,3),FALSE()),IFERROR(VLOOKUP(LEFT($N2294,3),LCTT_MAP!$A$7:$C$66,IF($M2294="THU",2,3),FALSE()),IFERROR(VLOOKUP(LEFT($N2294,2),LCTT_MAP!$A$7:$C$66,IF($M2294="THU",2,3),FALSE()),IFERROR(VLOOKUP(LEFT($N2294,1),LCTT_MAP!$A$7:$C$66,IF($M2294="THU",2,3),FALSE()),IF($M2294="THU","06","07")))))))</f>
        <v/>
      </c>
      <c r="P2294" s="117">
        <f>P2293+IF(AND($H2294&lt;&gt;"",OR(LEFT($F2294,LEN(SC_TK))=SC_TK,LEFT($G2294,LEN(SC_TK))=SC_TK)),1,0)</f>
        <v/>
      </c>
    </row>
    <row r="2295" ht="15" customHeight="1" s="78">
      <c r="A2295" s="95">
        <f>IF($H2295="","",ROW()-6)</f>
        <v/>
      </c>
      <c r="B2295" s="114" t="n"/>
      <c r="C2295" s="102" t="n"/>
      <c r="D2295" s="114" t="n"/>
      <c r="E2295" s="103" t="n"/>
      <c r="F2295" s="102" t="n"/>
      <c r="G2295" s="102" t="n"/>
      <c r="H2295" s="115" t="n"/>
      <c r="I2295" s="102" t="n"/>
      <c r="J2295" s="102" t="n"/>
      <c r="K2295" s="103" t="n"/>
      <c r="L2295" s="116">
        <f>IF($H2295="","",TRIM(IF(COUNTIF(DMTK!$A$7:$A$250,$F2295)=0,"TK Nợ sai! ","")&amp;IF(COUNTIF(DMTK!$A$7:$A$250,$G2295)=0,"TK Có sai! ","")&amp;IF(N($H2295)&lt;=0,"Tiền phải &gt; 0! ","")&amp;IF($B2295="","Thiếu ngày! ","")&amp;IF(AND(OR(LEFT($F2295,3)="131",LEFT($G2295,3)="131",LEFT($F2295,3)="331",LEFT($G2295,3)="331"),$I2295=""),"Thiếu Mã ĐT! ","")&amp;IF(AND($I2295&lt;&gt;"",COUNTIF(DM_DT!$A$7:$A$306,$I2295)=0),"Mã ĐT chưa khai báo! ","")))</f>
        <v/>
      </c>
      <c r="M2295" s="117">
        <f>IF($H2295="","",IF(AND(OR(LEFT($F2295,3)="111",LEFT($F2295,3)="112",LEFT($F2295,3)="113"),OR(LEFT($G2295,3)="111",LEFT($G2295,3)="112",LEFT($G2295,3)="113")),"NB",IF(OR(LEFT($F2295,3)="111",LEFT($F2295,3)="112",LEFT($F2295,3)="113"),"THU",IF(OR(LEFT($G2295,3)="111",LEFT($G2295,3)="112",LEFT($G2295,3)="113"),"CHI",""))))</f>
        <v/>
      </c>
      <c r="N2295" s="117">
        <f>IF($M2295="THU",$G2295,IF($M2295="CHI",$F2295,""))</f>
        <v/>
      </c>
      <c r="O2295" s="117">
        <f>IF(OR($M2295="",$M2295="NB"),"",IF($J2295&lt;&gt;"",TEXT($J2295,"00"),IFERROR(VLOOKUP(LEFT($N2295,4),LCTT_MAP!$A$7:$C$66,IF($M2295="THU",2,3),FALSE()),IFERROR(VLOOKUP(LEFT($N2295,3),LCTT_MAP!$A$7:$C$66,IF($M2295="THU",2,3),FALSE()),IFERROR(VLOOKUP(LEFT($N2295,2),LCTT_MAP!$A$7:$C$66,IF($M2295="THU",2,3),FALSE()),IFERROR(VLOOKUP(LEFT($N2295,1),LCTT_MAP!$A$7:$C$66,IF($M2295="THU",2,3),FALSE()),IF($M2295="THU","06","07")))))))</f>
        <v/>
      </c>
      <c r="P2295" s="117">
        <f>P2294+IF(AND($H2295&lt;&gt;"",OR(LEFT($F2295,LEN(SC_TK))=SC_TK,LEFT($G2295,LEN(SC_TK))=SC_TK)),1,0)</f>
        <v/>
      </c>
    </row>
    <row r="2296" ht="15" customHeight="1" s="78">
      <c r="A2296" s="95">
        <f>IF($H2296="","",ROW()-6)</f>
        <v/>
      </c>
      <c r="B2296" s="114" t="n"/>
      <c r="C2296" s="102" t="n"/>
      <c r="D2296" s="114" t="n"/>
      <c r="E2296" s="103" t="n"/>
      <c r="F2296" s="102" t="n"/>
      <c r="G2296" s="102" t="n"/>
      <c r="H2296" s="115" t="n"/>
      <c r="I2296" s="102" t="n"/>
      <c r="J2296" s="102" t="n"/>
      <c r="K2296" s="103" t="n"/>
      <c r="L2296" s="116">
        <f>IF($H2296="","",TRIM(IF(COUNTIF(DMTK!$A$7:$A$250,$F2296)=0,"TK Nợ sai! ","")&amp;IF(COUNTIF(DMTK!$A$7:$A$250,$G2296)=0,"TK Có sai! ","")&amp;IF(N($H2296)&lt;=0,"Tiền phải &gt; 0! ","")&amp;IF($B2296="","Thiếu ngày! ","")&amp;IF(AND(OR(LEFT($F2296,3)="131",LEFT($G2296,3)="131",LEFT($F2296,3)="331",LEFT($G2296,3)="331"),$I2296=""),"Thiếu Mã ĐT! ","")&amp;IF(AND($I2296&lt;&gt;"",COUNTIF(DM_DT!$A$7:$A$306,$I2296)=0),"Mã ĐT chưa khai báo! ","")))</f>
        <v/>
      </c>
      <c r="M2296" s="117">
        <f>IF($H2296="","",IF(AND(OR(LEFT($F2296,3)="111",LEFT($F2296,3)="112",LEFT($F2296,3)="113"),OR(LEFT($G2296,3)="111",LEFT($G2296,3)="112",LEFT($G2296,3)="113")),"NB",IF(OR(LEFT($F2296,3)="111",LEFT($F2296,3)="112",LEFT($F2296,3)="113"),"THU",IF(OR(LEFT($G2296,3)="111",LEFT($G2296,3)="112",LEFT($G2296,3)="113"),"CHI",""))))</f>
        <v/>
      </c>
      <c r="N2296" s="117">
        <f>IF($M2296="THU",$G2296,IF($M2296="CHI",$F2296,""))</f>
        <v/>
      </c>
      <c r="O2296" s="117">
        <f>IF(OR($M2296="",$M2296="NB"),"",IF($J2296&lt;&gt;"",TEXT($J2296,"00"),IFERROR(VLOOKUP(LEFT($N2296,4),LCTT_MAP!$A$7:$C$66,IF($M2296="THU",2,3),FALSE()),IFERROR(VLOOKUP(LEFT($N2296,3),LCTT_MAP!$A$7:$C$66,IF($M2296="THU",2,3),FALSE()),IFERROR(VLOOKUP(LEFT($N2296,2),LCTT_MAP!$A$7:$C$66,IF($M2296="THU",2,3),FALSE()),IFERROR(VLOOKUP(LEFT($N2296,1),LCTT_MAP!$A$7:$C$66,IF($M2296="THU",2,3),FALSE()),IF($M2296="THU","06","07")))))))</f>
        <v/>
      </c>
      <c r="P2296" s="117">
        <f>P2295+IF(AND($H2296&lt;&gt;"",OR(LEFT($F2296,LEN(SC_TK))=SC_TK,LEFT($G2296,LEN(SC_TK))=SC_TK)),1,0)</f>
        <v/>
      </c>
    </row>
    <row r="2297" ht="15" customHeight="1" s="78">
      <c r="A2297" s="95">
        <f>IF($H2297="","",ROW()-6)</f>
        <v/>
      </c>
      <c r="B2297" s="114" t="n"/>
      <c r="C2297" s="102" t="n"/>
      <c r="D2297" s="114" t="n"/>
      <c r="E2297" s="103" t="n"/>
      <c r="F2297" s="102" t="n"/>
      <c r="G2297" s="102" t="n"/>
      <c r="H2297" s="115" t="n"/>
      <c r="I2297" s="102" t="n"/>
      <c r="J2297" s="102" t="n"/>
      <c r="K2297" s="103" t="n"/>
      <c r="L2297" s="116">
        <f>IF($H2297="","",TRIM(IF(COUNTIF(DMTK!$A$7:$A$250,$F2297)=0,"TK Nợ sai! ","")&amp;IF(COUNTIF(DMTK!$A$7:$A$250,$G2297)=0,"TK Có sai! ","")&amp;IF(N($H2297)&lt;=0,"Tiền phải &gt; 0! ","")&amp;IF($B2297="","Thiếu ngày! ","")&amp;IF(AND(OR(LEFT($F2297,3)="131",LEFT($G2297,3)="131",LEFT($F2297,3)="331",LEFT($G2297,3)="331"),$I2297=""),"Thiếu Mã ĐT! ","")&amp;IF(AND($I2297&lt;&gt;"",COUNTIF(DM_DT!$A$7:$A$306,$I2297)=0),"Mã ĐT chưa khai báo! ","")))</f>
        <v/>
      </c>
      <c r="M2297" s="117">
        <f>IF($H2297="","",IF(AND(OR(LEFT($F2297,3)="111",LEFT($F2297,3)="112",LEFT($F2297,3)="113"),OR(LEFT($G2297,3)="111",LEFT($G2297,3)="112",LEFT($G2297,3)="113")),"NB",IF(OR(LEFT($F2297,3)="111",LEFT($F2297,3)="112",LEFT($F2297,3)="113"),"THU",IF(OR(LEFT($G2297,3)="111",LEFT($G2297,3)="112",LEFT($G2297,3)="113"),"CHI",""))))</f>
        <v/>
      </c>
      <c r="N2297" s="117">
        <f>IF($M2297="THU",$G2297,IF($M2297="CHI",$F2297,""))</f>
        <v/>
      </c>
      <c r="O2297" s="117">
        <f>IF(OR($M2297="",$M2297="NB"),"",IF($J2297&lt;&gt;"",TEXT($J2297,"00"),IFERROR(VLOOKUP(LEFT($N2297,4),LCTT_MAP!$A$7:$C$66,IF($M2297="THU",2,3),FALSE()),IFERROR(VLOOKUP(LEFT($N2297,3),LCTT_MAP!$A$7:$C$66,IF($M2297="THU",2,3),FALSE()),IFERROR(VLOOKUP(LEFT($N2297,2),LCTT_MAP!$A$7:$C$66,IF($M2297="THU",2,3),FALSE()),IFERROR(VLOOKUP(LEFT($N2297,1),LCTT_MAP!$A$7:$C$66,IF($M2297="THU",2,3),FALSE()),IF($M2297="THU","06","07")))))))</f>
        <v/>
      </c>
      <c r="P2297" s="117">
        <f>P2296+IF(AND($H2297&lt;&gt;"",OR(LEFT($F2297,LEN(SC_TK))=SC_TK,LEFT($G2297,LEN(SC_TK))=SC_TK)),1,0)</f>
        <v/>
      </c>
    </row>
    <row r="2298" ht="15" customHeight="1" s="78">
      <c r="A2298" s="95">
        <f>IF($H2298="","",ROW()-6)</f>
        <v/>
      </c>
      <c r="B2298" s="114" t="n"/>
      <c r="C2298" s="102" t="n"/>
      <c r="D2298" s="114" t="n"/>
      <c r="E2298" s="103" t="n"/>
      <c r="F2298" s="102" t="n"/>
      <c r="G2298" s="102" t="n"/>
      <c r="H2298" s="115" t="n"/>
      <c r="I2298" s="102" t="n"/>
      <c r="J2298" s="102" t="n"/>
      <c r="K2298" s="103" t="n"/>
      <c r="L2298" s="116">
        <f>IF($H2298="","",TRIM(IF(COUNTIF(DMTK!$A$7:$A$250,$F2298)=0,"TK Nợ sai! ","")&amp;IF(COUNTIF(DMTK!$A$7:$A$250,$G2298)=0,"TK Có sai! ","")&amp;IF(N($H2298)&lt;=0,"Tiền phải &gt; 0! ","")&amp;IF($B2298="","Thiếu ngày! ","")&amp;IF(AND(OR(LEFT($F2298,3)="131",LEFT($G2298,3)="131",LEFT($F2298,3)="331",LEFT($G2298,3)="331"),$I2298=""),"Thiếu Mã ĐT! ","")&amp;IF(AND($I2298&lt;&gt;"",COUNTIF(DM_DT!$A$7:$A$306,$I2298)=0),"Mã ĐT chưa khai báo! ","")))</f>
        <v/>
      </c>
      <c r="M2298" s="117">
        <f>IF($H2298="","",IF(AND(OR(LEFT($F2298,3)="111",LEFT($F2298,3)="112",LEFT($F2298,3)="113"),OR(LEFT($G2298,3)="111",LEFT($G2298,3)="112",LEFT($G2298,3)="113")),"NB",IF(OR(LEFT($F2298,3)="111",LEFT($F2298,3)="112",LEFT($F2298,3)="113"),"THU",IF(OR(LEFT($G2298,3)="111",LEFT($G2298,3)="112",LEFT($G2298,3)="113"),"CHI",""))))</f>
        <v/>
      </c>
      <c r="N2298" s="117">
        <f>IF($M2298="THU",$G2298,IF($M2298="CHI",$F2298,""))</f>
        <v/>
      </c>
      <c r="O2298" s="117">
        <f>IF(OR($M2298="",$M2298="NB"),"",IF($J2298&lt;&gt;"",TEXT($J2298,"00"),IFERROR(VLOOKUP(LEFT($N2298,4),LCTT_MAP!$A$7:$C$66,IF($M2298="THU",2,3),FALSE()),IFERROR(VLOOKUP(LEFT($N2298,3),LCTT_MAP!$A$7:$C$66,IF($M2298="THU",2,3),FALSE()),IFERROR(VLOOKUP(LEFT($N2298,2),LCTT_MAP!$A$7:$C$66,IF($M2298="THU",2,3),FALSE()),IFERROR(VLOOKUP(LEFT($N2298,1),LCTT_MAP!$A$7:$C$66,IF($M2298="THU",2,3),FALSE()),IF($M2298="THU","06","07")))))))</f>
        <v/>
      </c>
      <c r="P2298" s="117">
        <f>P2297+IF(AND($H2298&lt;&gt;"",OR(LEFT($F2298,LEN(SC_TK))=SC_TK,LEFT($G2298,LEN(SC_TK))=SC_TK)),1,0)</f>
        <v/>
      </c>
    </row>
    <row r="2299" ht="15" customHeight="1" s="78">
      <c r="A2299" s="95">
        <f>IF($H2299="","",ROW()-6)</f>
        <v/>
      </c>
      <c r="B2299" s="114" t="n"/>
      <c r="C2299" s="102" t="n"/>
      <c r="D2299" s="114" t="n"/>
      <c r="E2299" s="103" t="n"/>
      <c r="F2299" s="102" t="n"/>
      <c r="G2299" s="102" t="n"/>
      <c r="H2299" s="115" t="n"/>
      <c r="I2299" s="102" t="n"/>
      <c r="J2299" s="102" t="n"/>
      <c r="K2299" s="103" t="n"/>
      <c r="L2299" s="116">
        <f>IF($H2299="","",TRIM(IF(COUNTIF(DMTK!$A$7:$A$250,$F2299)=0,"TK Nợ sai! ","")&amp;IF(COUNTIF(DMTK!$A$7:$A$250,$G2299)=0,"TK Có sai! ","")&amp;IF(N($H2299)&lt;=0,"Tiền phải &gt; 0! ","")&amp;IF($B2299="","Thiếu ngày! ","")&amp;IF(AND(OR(LEFT($F2299,3)="131",LEFT($G2299,3)="131",LEFT($F2299,3)="331",LEFT($G2299,3)="331"),$I2299=""),"Thiếu Mã ĐT! ","")&amp;IF(AND($I2299&lt;&gt;"",COUNTIF(DM_DT!$A$7:$A$306,$I2299)=0),"Mã ĐT chưa khai báo! ","")))</f>
        <v/>
      </c>
      <c r="M2299" s="117">
        <f>IF($H2299="","",IF(AND(OR(LEFT($F2299,3)="111",LEFT($F2299,3)="112",LEFT($F2299,3)="113"),OR(LEFT($G2299,3)="111",LEFT($G2299,3)="112",LEFT($G2299,3)="113")),"NB",IF(OR(LEFT($F2299,3)="111",LEFT($F2299,3)="112",LEFT($F2299,3)="113"),"THU",IF(OR(LEFT($G2299,3)="111",LEFT($G2299,3)="112",LEFT($G2299,3)="113"),"CHI",""))))</f>
        <v/>
      </c>
      <c r="N2299" s="117">
        <f>IF($M2299="THU",$G2299,IF($M2299="CHI",$F2299,""))</f>
        <v/>
      </c>
      <c r="O2299" s="117">
        <f>IF(OR($M2299="",$M2299="NB"),"",IF($J2299&lt;&gt;"",TEXT($J2299,"00"),IFERROR(VLOOKUP(LEFT($N2299,4),LCTT_MAP!$A$7:$C$66,IF($M2299="THU",2,3),FALSE()),IFERROR(VLOOKUP(LEFT($N2299,3),LCTT_MAP!$A$7:$C$66,IF($M2299="THU",2,3),FALSE()),IFERROR(VLOOKUP(LEFT($N2299,2),LCTT_MAP!$A$7:$C$66,IF($M2299="THU",2,3),FALSE()),IFERROR(VLOOKUP(LEFT($N2299,1),LCTT_MAP!$A$7:$C$66,IF($M2299="THU",2,3),FALSE()),IF($M2299="THU","06","07")))))))</f>
        <v/>
      </c>
      <c r="P2299" s="117">
        <f>P2298+IF(AND($H2299&lt;&gt;"",OR(LEFT($F2299,LEN(SC_TK))=SC_TK,LEFT($G2299,LEN(SC_TK))=SC_TK)),1,0)</f>
        <v/>
      </c>
    </row>
    <row r="2300" ht="15" customHeight="1" s="78">
      <c r="A2300" s="95">
        <f>IF($H2300="","",ROW()-6)</f>
        <v/>
      </c>
      <c r="B2300" s="114" t="n"/>
      <c r="C2300" s="102" t="n"/>
      <c r="D2300" s="114" t="n"/>
      <c r="E2300" s="103" t="n"/>
      <c r="F2300" s="102" t="n"/>
      <c r="G2300" s="102" t="n"/>
      <c r="H2300" s="115" t="n"/>
      <c r="I2300" s="102" t="n"/>
      <c r="J2300" s="102" t="n"/>
      <c r="K2300" s="103" t="n"/>
      <c r="L2300" s="116">
        <f>IF($H2300="","",TRIM(IF(COUNTIF(DMTK!$A$7:$A$250,$F2300)=0,"TK Nợ sai! ","")&amp;IF(COUNTIF(DMTK!$A$7:$A$250,$G2300)=0,"TK Có sai! ","")&amp;IF(N($H2300)&lt;=0,"Tiền phải &gt; 0! ","")&amp;IF($B2300="","Thiếu ngày! ","")&amp;IF(AND(OR(LEFT($F2300,3)="131",LEFT($G2300,3)="131",LEFT($F2300,3)="331",LEFT($G2300,3)="331"),$I2300=""),"Thiếu Mã ĐT! ","")&amp;IF(AND($I2300&lt;&gt;"",COUNTIF(DM_DT!$A$7:$A$306,$I2300)=0),"Mã ĐT chưa khai báo! ","")))</f>
        <v/>
      </c>
      <c r="M2300" s="117">
        <f>IF($H2300="","",IF(AND(OR(LEFT($F2300,3)="111",LEFT($F2300,3)="112",LEFT($F2300,3)="113"),OR(LEFT($G2300,3)="111",LEFT($G2300,3)="112",LEFT($G2300,3)="113")),"NB",IF(OR(LEFT($F2300,3)="111",LEFT($F2300,3)="112",LEFT($F2300,3)="113"),"THU",IF(OR(LEFT($G2300,3)="111",LEFT($G2300,3)="112",LEFT($G2300,3)="113"),"CHI",""))))</f>
        <v/>
      </c>
      <c r="N2300" s="117">
        <f>IF($M2300="THU",$G2300,IF($M2300="CHI",$F2300,""))</f>
        <v/>
      </c>
      <c r="O2300" s="117">
        <f>IF(OR($M2300="",$M2300="NB"),"",IF($J2300&lt;&gt;"",TEXT($J2300,"00"),IFERROR(VLOOKUP(LEFT($N2300,4),LCTT_MAP!$A$7:$C$66,IF($M2300="THU",2,3),FALSE()),IFERROR(VLOOKUP(LEFT($N2300,3),LCTT_MAP!$A$7:$C$66,IF($M2300="THU",2,3),FALSE()),IFERROR(VLOOKUP(LEFT($N2300,2),LCTT_MAP!$A$7:$C$66,IF($M2300="THU",2,3),FALSE()),IFERROR(VLOOKUP(LEFT($N2300,1),LCTT_MAP!$A$7:$C$66,IF($M2300="THU",2,3),FALSE()),IF($M2300="THU","06","07")))))))</f>
        <v/>
      </c>
      <c r="P2300" s="117">
        <f>P2299+IF(AND($H2300&lt;&gt;"",OR(LEFT($F2300,LEN(SC_TK))=SC_TK,LEFT($G2300,LEN(SC_TK))=SC_TK)),1,0)</f>
        <v/>
      </c>
    </row>
    <row r="2301" ht="15" customHeight="1" s="78">
      <c r="A2301" s="95">
        <f>IF($H2301="","",ROW()-6)</f>
        <v/>
      </c>
      <c r="B2301" s="114" t="n"/>
      <c r="C2301" s="102" t="n"/>
      <c r="D2301" s="114" t="n"/>
      <c r="E2301" s="103" t="n"/>
      <c r="F2301" s="102" t="n"/>
      <c r="G2301" s="102" t="n"/>
      <c r="H2301" s="115" t="n"/>
      <c r="I2301" s="102" t="n"/>
      <c r="J2301" s="102" t="n"/>
      <c r="K2301" s="103" t="n"/>
      <c r="L2301" s="116">
        <f>IF($H2301="","",TRIM(IF(COUNTIF(DMTK!$A$7:$A$250,$F2301)=0,"TK Nợ sai! ","")&amp;IF(COUNTIF(DMTK!$A$7:$A$250,$G2301)=0,"TK Có sai! ","")&amp;IF(N($H2301)&lt;=0,"Tiền phải &gt; 0! ","")&amp;IF($B2301="","Thiếu ngày! ","")&amp;IF(AND(OR(LEFT($F2301,3)="131",LEFT($G2301,3)="131",LEFT($F2301,3)="331",LEFT($G2301,3)="331"),$I2301=""),"Thiếu Mã ĐT! ","")&amp;IF(AND($I2301&lt;&gt;"",COUNTIF(DM_DT!$A$7:$A$306,$I2301)=0),"Mã ĐT chưa khai báo! ","")))</f>
        <v/>
      </c>
      <c r="M2301" s="117">
        <f>IF($H2301="","",IF(AND(OR(LEFT($F2301,3)="111",LEFT($F2301,3)="112",LEFT($F2301,3)="113"),OR(LEFT($G2301,3)="111",LEFT($G2301,3)="112",LEFT($G2301,3)="113")),"NB",IF(OR(LEFT($F2301,3)="111",LEFT($F2301,3)="112",LEFT($F2301,3)="113"),"THU",IF(OR(LEFT($G2301,3)="111",LEFT($G2301,3)="112",LEFT($G2301,3)="113"),"CHI",""))))</f>
        <v/>
      </c>
      <c r="N2301" s="117">
        <f>IF($M2301="THU",$G2301,IF($M2301="CHI",$F2301,""))</f>
        <v/>
      </c>
      <c r="O2301" s="117">
        <f>IF(OR($M2301="",$M2301="NB"),"",IF($J2301&lt;&gt;"",TEXT($J2301,"00"),IFERROR(VLOOKUP(LEFT($N2301,4),LCTT_MAP!$A$7:$C$66,IF($M2301="THU",2,3),FALSE()),IFERROR(VLOOKUP(LEFT($N2301,3),LCTT_MAP!$A$7:$C$66,IF($M2301="THU",2,3),FALSE()),IFERROR(VLOOKUP(LEFT($N2301,2),LCTT_MAP!$A$7:$C$66,IF($M2301="THU",2,3),FALSE()),IFERROR(VLOOKUP(LEFT($N2301,1),LCTT_MAP!$A$7:$C$66,IF($M2301="THU",2,3),FALSE()),IF($M2301="THU","06","07")))))))</f>
        <v/>
      </c>
      <c r="P2301" s="117">
        <f>P2300+IF(AND($H2301&lt;&gt;"",OR(LEFT($F2301,LEN(SC_TK))=SC_TK,LEFT($G2301,LEN(SC_TK))=SC_TK)),1,0)</f>
        <v/>
      </c>
    </row>
    <row r="2302" ht="15" customHeight="1" s="78">
      <c r="A2302" s="95">
        <f>IF($H2302="","",ROW()-6)</f>
        <v/>
      </c>
      <c r="B2302" s="114" t="n"/>
      <c r="C2302" s="102" t="n"/>
      <c r="D2302" s="114" t="n"/>
      <c r="E2302" s="103" t="n"/>
      <c r="F2302" s="102" t="n"/>
      <c r="G2302" s="102" t="n"/>
      <c r="H2302" s="115" t="n"/>
      <c r="I2302" s="102" t="n"/>
      <c r="J2302" s="102" t="n"/>
      <c r="K2302" s="103" t="n"/>
      <c r="L2302" s="116">
        <f>IF($H2302="","",TRIM(IF(COUNTIF(DMTK!$A$7:$A$250,$F2302)=0,"TK Nợ sai! ","")&amp;IF(COUNTIF(DMTK!$A$7:$A$250,$G2302)=0,"TK Có sai! ","")&amp;IF(N($H2302)&lt;=0,"Tiền phải &gt; 0! ","")&amp;IF($B2302="","Thiếu ngày! ","")&amp;IF(AND(OR(LEFT($F2302,3)="131",LEFT($G2302,3)="131",LEFT($F2302,3)="331",LEFT($G2302,3)="331"),$I2302=""),"Thiếu Mã ĐT! ","")&amp;IF(AND($I2302&lt;&gt;"",COUNTIF(DM_DT!$A$7:$A$306,$I2302)=0),"Mã ĐT chưa khai báo! ","")))</f>
        <v/>
      </c>
      <c r="M2302" s="117">
        <f>IF($H2302="","",IF(AND(OR(LEFT($F2302,3)="111",LEFT($F2302,3)="112",LEFT($F2302,3)="113"),OR(LEFT($G2302,3)="111",LEFT($G2302,3)="112",LEFT($G2302,3)="113")),"NB",IF(OR(LEFT($F2302,3)="111",LEFT($F2302,3)="112",LEFT($F2302,3)="113"),"THU",IF(OR(LEFT($G2302,3)="111",LEFT($G2302,3)="112",LEFT($G2302,3)="113"),"CHI",""))))</f>
        <v/>
      </c>
      <c r="N2302" s="117">
        <f>IF($M2302="THU",$G2302,IF($M2302="CHI",$F2302,""))</f>
        <v/>
      </c>
      <c r="O2302" s="117">
        <f>IF(OR($M2302="",$M2302="NB"),"",IF($J2302&lt;&gt;"",TEXT($J2302,"00"),IFERROR(VLOOKUP(LEFT($N2302,4),LCTT_MAP!$A$7:$C$66,IF($M2302="THU",2,3),FALSE()),IFERROR(VLOOKUP(LEFT($N2302,3),LCTT_MAP!$A$7:$C$66,IF($M2302="THU",2,3),FALSE()),IFERROR(VLOOKUP(LEFT($N2302,2),LCTT_MAP!$A$7:$C$66,IF($M2302="THU",2,3),FALSE()),IFERROR(VLOOKUP(LEFT($N2302,1),LCTT_MAP!$A$7:$C$66,IF($M2302="THU",2,3),FALSE()),IF($M2302="THU","06","07")))))))</f>
        <v/>
      </c>
      <c r="P2302" s="117">
        <f>P2301+IF(AND($H2302&lt;&gt;"",OR(LEFT($F2302,LEN(SC_TK))=SC_TK,LEFT($G2302,LEN(SC_TK))=SC_TK)),1,0)</f>
        <v/>
      </c>
    </row>
    <row r="2303" ht="15" customHeight="1" s="78">
      <c r="A2303" s="95">
        <f>IF($H2303="","",ROW()-6)</f>
        <v/>
      </c>
      <c r="B2303" s="114" t="n"/>
      <c r="C2303" s="102" t="n"/>
      <c r="D2303" s="114" t="n"/>
      <c r="E2303" s="103" t="n"/>
      <c r="F2303" s="102" t="n"/>
      <c r="G2303" s="102" t="n"/>
      <c r="H2303" s="115" t="n"/>
      <c r="I2303" s="102" t="n"/>
      <c r="J2303" s="102" t="n"/>
      <c r="K2303" s="103" t="n"/>
      <c r="L2303" s="116">
        <f>IF($H2303="","",TRIM(IF(COUNTIF(DMTK!$A$7:$A$250,$F2303)=0,"TK Nợ sai! ","")&amp;IF(COUNTIF(DMTK!$A$7:$A$250,$G2303)=0,"TK Có sai! ","")&amp;IF(N($H2303)&lt;=0,"Tiền phải &gt; 0! ","")&amp;IF($B2303="","Thiếu ngày! ","")&amp;IF(AND(OR(LEFT($F2303,3)="131",LEFT($G2303,3)="131",LEFT($F2303,3)="331",LEFT($G2303,3)="331"),$I2303=""),"Thiếu Mã ĐT! ","")&amp;IF(AND($I2303&lt;&gt;"",COUNTIF(DM_DT!$A$7:$A$306,$I2303)=0),"Mã ĐT chưa khai báo! ","")))</f>
        <v/>
      </c>
      <c r="M2303" s="117">
        <f>IF($H2303="","",IF(AND(OR(LEFT($F2303,3)="111",LEFT($F2303,3)="112",LEFT($F2303,3)="113"),OR(LEFT($G2303,3)="111",LEFT($G2303,3)="112",LEFT($G2303,3)="113")),"NB",IF(OR(LEFT($F2303,3)="111",LEFT($F2303,3)="112",LEFT($F2303,3)="113"),"THU",IF(OR(LEFT($G2303,3)="111",LEFT($G2303,3)="112",LEFT($G2303,3)="113"),"CHI",""))))</f>
        <v/>
      </c>
      <c r="N2303" s="117">
        <f>IF($M2303="THU",$G2303,IF($M2303="CHI",$F2303,""))</f>
        <v/>
      </c>
      <c r="O2303" s="117">
        <f>IF(OR($M2303="",$M2303="NB"),"",IF($J2303&lt;&gt;"",TEXT($J2303,"00"),IFERROR(VLOOKUP(LEFT($N2303,4),LCTT_MAP!$A$7:$C$66,IF($M2303="THU",2,3),FALSE()),IFERROR(VLOOKUP(LEFT($N2303,3),LCTT_MAP!$A$7:$C$66,IF($M2303="THU",2,3),FALSE()),IFERROR(VLOOKUP(LEFT($N2303,2),LCTT_MAP!$A$7:$C$66,IF($M2303="THU",2,3),FALSE()),IFERROR(VLOOKUP(LEFT($N2303,1),LCTT_MAP!$A$7:$C$66,IF($M2303="THU",2,3),FALSE()),IF($M2303="THU","06","07")))))))</f>
        <v/>
      </c>
      <c r="P2303" s="117">
        <f>P2302+IF(AND($H2303&lt;&gt;"",OR(LEFT($F2303,LEN(SC_TK))=SC_TK,LEFT($G2303,LEN(SC_TK))=SC_TK)),1,0)</f>
        <v/>
      </c>
    </row>
    <row r="2304" ht="15" customHeight="1" s="78">
      <c r="A2304" s="95">
        <f>IF($H2304="","",ROW()-6)</f>
        <v/>
      </c>
      <c r="B2304" s="114" t="n"/>
      <c r="C2304" s="102" t="n"/>
      <c r="D2304" s="114" t="n"/>
      <c r="E2304" s="103" t="n"/>
      <c r="F2304" s="102" t="n"/>
      <c r="G2304" s="102" t="n"/>
      <c r="H2304" s="115" t="n"/>
      <c r="I2304" s="102" t="n"/>
      <c r="J2304" s="102" t="n"/>
      <c r="K2304" s="103" t="n"/>
      <c r="L2304" s="116">
        <f>IF($H2304="","",TRIM(IF(COUNTIF(DMTK!$A$7:$A$250,$F2304)=0,"TK Nợ sai! ","")&amp;IF(COUNTIF(DMTK!$A$7:$A$250,$G2304)=0,"TK Có sai! ","")&amp;IF(N($H2304)&lt;=0,"Tiền phải &gt; 0! ","")&amp;IF($B2304="","Thiếu ngày! ","")&amp;IF(AND(OR(LEFT($F2304,3)="131",LEFT($G2304,3)="131",LEFT($F2304,3)="331",LEFT($G2304,3)="331"),$I2304=""),"Thiếu Mã ĐT! ","")&amp;IF(AND($I2304&lt;&gt;"",COUNTIF(DM_DT!$A$7:$A$306,$I2304)=0),"Mã ĐT chưa khai báo! ","")))</f>
        <v/>
      </c>
      <c r="M2304" s="117">
        <f>IF($H2304="","",IF(AND(OR(LEFT($F2304,3)="111",LEFT($F2304,3)="112",LEFT($F2304,3)="113"),OR(LEFT($G2304,3)="111",LEFT($G2304,3)="112",LEFT($G2304,3)="113")),"NB",IF(OR(LEFT($F2304,3)="111",LEFT($F2304,3)="112",LEFT($F2304,3)="113"),"THU",IF(OR(LEFT($G2304,3)="111",LEFT($G2304,3)="112",LEFT($G2304,3)="113"),"CHI",""))))</f>
        <v/>
      </c>
      <c r="N2304" s="117">
        <f>IF($M2304="THU",$G2304,IF($M2304="CHI",$F2304,""))</f>
        <v/>
      </c>
      <c r="O2304" s="117">
        <f>IF(OR($M2304="",$M2304="NB"),"",IF($J2304&lt;&gt;"",TEXT($J2304,"00"),IFERROR(VLOOKUP(LEFT($N2304,4),LCTT_MAP!$A$7:$C$66,IF($M2304="THU",2,3),FALSE()),IFERROR(VLOOKUP(LEFT($N2304,3),LCTT_MAP!$A$7:$C$66,IF($M2304="THU",2,3),FALSE()),IFERROR(VLOOKUP(LEFT($N2304,2),LCTT_MAP!$A$7:$C$66,IF($M2304="THU",2,3),FALSE()),IFERROR(VLOOKUP(LEFT($N2304,1),LCTT_MAP!$A$7:$C$66,IF($M2304="THU",2,3),FALSE()),IF($M2304="THU","06","07")))))))</f>
        <v/>
      </c>
      <c r="P2304" s="117">
        <f>P2303+IF(AND($H2304&lt;&gt;"",OR(LEFT($F2304,LEN(SC_TK))=SC_TK,LEFT($G2304,LEN(SC_TK))=SC_TK)),1,0)</f>
        <v/>
      </c>
    </row>
    <row r="2305" ht="15" customHeight="1" s="78">
      <c r="A2305" s="95">
        <f>IF($H2305="","",ROW()-6)</f>
        <v/>
      </c>
      <c r="B2305" s="114" t="n"/>
      <c r="C2305" s="102" t="n"/>
      <c r="D2305" s="114" t="n"/>
      <c r="E2305" s="103" t="n"/>
      <c r="F2305" s="102" t="n"/>
      <c r="G2305" s="102" t="n"/>
      <c r="H2305" s="115" t="n"/>
      <c r="I2305" s="102" t="n"/>
      <c r="J2305" s="102" t="n"/>
      <c r="K2305" s="103" t="n"/>
      <c r="L2305" s="116">
        <f>IF($H2305="","",TRIM(IF(COUNTIF(DMTK!$A$7:$A$250,$F2305)=0,"TK Nợ sai! ","")&amp;IF(COUNTIF(DMTK!$A$7:$A$250,$G2305)=0,"TK Có sai! ","")&amp;IF(N($H2305)&lt;=0,"Tiền phải &gt; 0! ","")&amp;IF($B2305="","Thiếu ngày! ","")&amp;IF(AND(OR(LEFT($F2305,3)="131",LEFT($G2305,3)="131",LEFT($F2305,3)="331",LEFT($G2305,3)="331"),$I2305=""),"Thiếu Mã ĐT! ","")&amp;IF(AND($I2305&lt;&gt;"",COUNTIF(DM_DT!$A$7:$A$306,$I2305)=0),"Mã ĐT chưa khai báo! ","")))</f>
        <v/>
      </c>
      <c r="M2305" s="117">
        <f>IF($H2305="","",IF(AND(OR(LEFT($F2305,3)="111",LEFT($F2305,3)="112",LEFT($F2305,3)="113"),OR(LEFT($G2305,3)="111",LEFT($G2305,3)="112",LEFT($G2305,3)="113")),"NB",IF(OR(LEFT($F2305,3)="111",LEFT($F2305,3)="112",LEFT($F2305,3)="113"),"THU",IF(OR(LEFT($G2305,3)="111",LEFT($G2305,3)="112",LEFT($G2305,3)="113"),"CHI",""))))</f>
        <v/>
      </c>
      <c r="N2305" s="117">
        <f>IF($M2305="THU",$G2305,IF($M2305="CHI",$F2305,""))</f>
        <v/>
      </c>
      <c r="O2305" s="117">
        <f>IF(OR($M2305="",$M2305="NB"),"",IF($J2305&lt;&gt;"",TEXT($J2305,"00"),IFERROR(VLOOKUP(LEFT($N2305,4),LCTT_MAP!$A$7:$C$66,IF($M2305="THU",2,3),FALSE()),IFERROR(VLOOKUP(LEFT($N2305,3),LCTT_MAP!$A$7:$C$66,IF($M2305="THU",2,3),FALSE()),IFERROR(VLOOKUP(LEFT($N2305,2),LCTT_MAP!$A$7:$C$66,IF($M2305="THU",2,3),FALSE()),IFERROR(VLOOKUP(LEFT($N2305,1),LCTT_MAP!$A$7:$C$66,IF($M2305="THU",2,3),FALSE()),IF($M2305="THU","06","07")))))))</f>
        <v/>
      </c>
      <c r="P2305" s="117">
        <f>P2304+IF(AND($H2305&lt;&gt;"",OR(LEFT($F2305,LEN(SC_TK))=SC_TK,LEFT($G2305,LEN(SC_TK))=SC_TK)),1,0)</f>
        <v/>
      </c>
    </row>
    <row r="2306" ht="15" customHeight="1" s="78">
      <c r="A2306" s="95">
        <f>IF($H2306="","",ROW()-6)</f>
        <v/>
      </c>
      <c r="B2306" s="114" t="n"/>
      <c r="C2306" s="102" t="n"/>
      <c r="D2306" s="114" t="n"/>
      <c r="E2306" s="103" t="n"/>
      <c r="F2306" s="102" t="n"/>
      <c r="G2306" s="102" t="n"/>
      <c r="H2306" s="115" t="n"/>
      <c r="I2306" s="102" t="n"/>
      <c r="J2306" s="102" t="n"/>
      <c r="K2306" s="103" t="n"/>
      <c r="L2306" s="116">
        <f>IF($H2306="","",TRIM(IF(COUNTIF(DMTK!$A$7:$A$250,$F2306)=0,"TK Nợ sai! ","")&amp;IF(COUNTIF(DMTK!$A$7:$A$250,$G2306)=0,"TK Có sai! ","")&amp;IF(N($H2306)&lt;=0,"Tiền phải &gt; 0! ","")&amp;IF($B2306="","Thiếu ngày! ","")&amp;IF(AND(OR(LEFT($F2306,3)="131",LEFT($G2306,3)="131",LEFT($F2306,3)="331",LEFT($G2306,3)="331"),$I2306=""),"Thiếu Mã ĐT! ","")&amp;IF(AND($I2306&lt;&gt;"",COUNTIF(DM_DT!$A$7:$A$306,$I2306)=0),"Mã ĐT chưa khai báo! ","")))</f>
        <v/>
      </c>
      <c r="M2306" s="117">
        <f>IF($H2306="","",IF(AND(OR(LEFT($F2306,3)="111",LEFT($F2306,3)="112",LEFT($F2306,3)="113"),OR(LEFT($G2306,3)="111",LEFT($G2306,3)="112",LEFT($G2306,3)="113")),"NB",IF(OR(LEFT($F2306,3)="111",LEFT($F2306,3)="112",LEFT($F2306,3)="113"),"THU",IF(OR(LEFT($G2306,3)="111",LEFT($G2306,3)="112",LEFT($G2306,3)="113"),"CHI",""))))</f>
        <v/>
      </c>
      <c r="N2306" s="117">
        <f>IF($M2306="THU",$G2306,IF($M2306="CHI",$F2306,""))</f>
        <v/>
      </c>
      <c r="O2306" s="117">
        <f>IF(OR($M2306="",$M2306="NB"),"",IF($J2306&lt;&gt;"",TEXT($J2306,"00"),IFERROR(VLOOKUP(LEFT($N2306,4),LCTT_MAP!$A$7:$C$66,IF($M2306="THU",2,3),FALSE()),IFERROR(VLOOKUP(LEFT($N2306,3),LCTT_MAP!$A$7:$C$66,IF($M2306="THU",2,3),FALSE()),IFERROR(VLOOKUP(LEFT($N2306,2),LCTT_MAP!$A$7:$C$66,IF($M2306="THU",2,3),FALSE()),IFERROR(VLOOKUP(LEFT($N2306,1),LCTT_MAP!$A$7:$C$66,IF($M2306="THU",2,3),FALSE()),IF($M2306="THU","06","07")))))))</f>
        <v/>
      </c>
      <c r="P2306" s="117">
        <f>P2305+IF(AND($H2306&lt;&gt;"",OR(LEFT($F2306,LEN(SC_TK))=SC_TK,LEFT($G2306,LEN(SC_TK))=SC_TK)),1,0)</f>
        <v/>
      </c>
    </row>
    <row r="2307" ht="15" customHeight="1" s="78">
      <c r="A2307" s="95">
        <f>IF($H2307="","",ROW()-6)</f>
        <v/>
      </c>
      <c r="B2307" s="114" t="n"/>
      <c r="C2307" s="102" t="n"/>
      <c r="D2307" s="114" t="n"/>
      <c r="E2307" s="103" t="n"/>
      <c r="F2307" s="102" t="n"/>
      <c r="G2307" s="102" t="n"/>
      <c r="H2307" s="115" t="n"/>
      <c r="I2307" s="102" t="n"/>
      <c r="J2307" s="102" t="n"/>
      <c r="K2307" s="103" t="n"/>
      <c r="L2307" s="116">
        <f>IF($H2307="","",TRIM(IF(COUNTIF(DMTK!$A$7:$A$250,$F2307)=0,"TK Nợ sai! ","")&amp;IF(COUNTIF(DMTK!$A$7:$A$250,$G2307)=0,"TK Có sai! ","")&amp;IF(N($H2307)&lt;=0,"Tiền phải &gt; 0! ","")&amp;IF($B2307="","Thiếu ngày! ","")&amp;IF(AND(OR(LEFT($F2307,3)="131",LEFT($G2307,3)="131",LEFT($F2307,3)="331",LEFT($G2307,3)="331"),$I2307=""),"Thiếu Mã ĐT! ","")&amp;IF(AND($I2307&lt;&gt;"",COUNTIF(DM_DT!$A$7:$A$306,$I2307)=0),"Mã ĐT chưa khai báo! ","")))</f>
        <v/>
      </c>
      <c r="M2307" s="117">
        <f>IF($H2307="","",IF(AND(OR(LEFT($F2307,3)="111",LEFT($F2307,3)="112",LEFT($F2307,3)="113"),OR(LEFT($G2307,3)="111",LEFT($G2307,3)="112",LEFT($G2307,3)="113")),"NB",IF(OR(LEFT($F2307,3)="111",LEFT($F2307,3)="112",LEFT($F2307,3)="113"),"THU",IF(OR(LEFT($G2307,3)="111",LEFT($G2307,3)="112",LEFT($G2307,3)="113"),"CHI",""))))</f>
        <v/>
      </c>
      <c r="N2307" s="117">
        <f>IF($M2307="THU",$G2307,IF($M2307="CHI",$F2307,""))</f>
        <v/>
      </c>
      <c r="O2307" s="117">
        <f>IF(OR($M2307="",$M2307="NB"),"",IF($J2307&lt;&gt;"",TEXT($J2307,"00"),IFERROR(VLOOKUP(LEFT($N2307,4),LCTT_MAP!$A$7:$C$66,IF($M2307="THU",2,3),FALSE()),IFERROR(VLOOKUP(LEFT($N2307,3),LCTT_MAP!$A$7:$C$66,IF($M2307="THU",2,3),FALSE()),IFERROR(VLOOKUP(LEFT($N2307,2),LCTT_MAP!$A$7:$C$66,IF($M2307="THU",2,3),FALSE()),IFERROR(VLOOKUP(LEFT($N2307,1),LCTT_MAP!$A$7:$C$66,IF($M2307="THU",2,3),FALSE()),IF($M2307="THU","06","07")))))))</f>
        <v/>
      </c>
      <c r="P2307" s="117">
        <f>P2306+IF(AND($H2307&lt;&gt;"",OR(LEFT($F2307,LEN(SC_TK))=SC_TK,LEFT($G2307,LEN(SC_TK))=SC_TK)),1,0)</f>
        <v/>
      </c>
    </row>
    <row r="2308" ht="15" customHeight="1" s="78">
      <c r="A2308" s="95">
        <f>IF($H2308="","",ROW()-6)</f>
        <v/>
      </c>
      <c r="B2308" s="114" t="n"/>
      <c r="C2308" s="102" t="n"/>
      <c r="D2308" s="114" t="n"/>
      <c r="E2308" s="103" t="n"/>
      <c r="F2308" s="102" t="n"/>
      <c r="G2308" s="102" t="n"/>
      <c r="H2308" s="115" t="n"/>
      <c r="I2308" s="102" t="n"/>
      <c r="J2308" s="102" t="n"/>
      <c r="K2308" s="103" t="n"/>
      <c r="L2308" s="116">
        <f>IF($H2308="","",TRIM(IF(COUNTIF(DMTK!$A$7:$A$250,$F2308)=0,"TK Nợ sai! ","")&amp;IF(COUNTIF(DMTK!$A$7:$A$250,$G2308)=0,"TK Có sai! ","")&amp;IF(N($H2308)&lt;=0,"Tiền phải &gt; 0! ","")&amp;IF($B2308="","Thiếu ngày! ","")&amp;IF(AND(OR(LEFT($F2308,3)="131",LEFT($G2308,3)="131",LEFT($F2308,3)="331",LEFT($G2308,3)="331"),$I2308=""),"Thiếu Mã ĐT! ","")&amp;IF(AND($I2308&lt;&gt;"",COUNTIF(DM_DT!$A$7:$A$306,$I2308)=0),"Mã ĐT chưa khai báo! ","")))</f>
        <v/>
      </c>
      <c r="M2308" s="117">
        <f>IF($H2308="","",IF(AND(OR(LEFT($F2308,3)="111",LEFT($F2308,3)="112",LEFT($F2308,3)="113"),OR(LEFT($G2308,3)="111",LEFT($G2308,3)="112",LEFT($G2308,3)="113")),"NB",IF(OR(LEFT($F2308,3)="111",LEFT($F2308,3)="112",LEFT($F2308,3)="113"),"THU",IF(OR(LEFT($G2308,3)="111",LEFT($G2308,3)="112",LEFT($G2308,3)="113"),"CHI",""))))</f>
        <v/>
      </c>
      <c r="N2308" s="117">
        <f>IF($M2308="THU",$G2308,IF($M2308="CHI",$F2308,""))</f>
        <v/>
      </c>
      <c r="O2308" s="117">
        <f>IF(OR($M2308="",$M2308="NB"),"",IF($J2308&lt;&gt;"",TEXT($J2308,"00"),IFERROR(VLOOKUP(LEFT($N2308,4),LCTT_MAP!$A$7:$C$66,IF($M2308="THU",2,3),FALSE()),IFERROR(VLOOKUP(LEFT($N2308,3),LCTT_MAP!$A$7:$C$66,IF($M2308="THU",2,3),FALSE()),IFERROR(VLOOKUP(LEFT($N2308,2),LCTT_MAP!$A$7:$C$66,IF($M2308="THU",2,3),FALSE()),IFERROR(VLOOKUP(LEFT($N2308,1),LCTT_MAP!$A$7:$C$66,IF($M2308="THU",2,3),FALSE()),IF($M2308="THU","06","07")))))))</f>
        <v/>
      </c>
      <c r="P2308" s="117">
        <f>P2307+IF(AND($H2308&lt;&gt;"",OR(LEFT($F2308,LEN(SC_TK))=SC_TK,LEFT($G2308,LEN(SC_TK))=SC_TK)),1,0)</f>
        <v/>
      </c>
    </row>
    <row r="2309" ht="15" customHeight="1" s="78">
      <c r="A2309" s="95">
        <f>IF($H2309="","",ROW()-6)</f>
        <v/>
      </c>
      <c r="B2309" s="114" t="n"/>
      <c r="C2309" s="102" t="n"/>
      <c r="D2309" s="114" t="n"/>
      <c r="E2309" s="103" t="n"/>
      <c r="F2309" s="102" t="n"/>
      <c r="G2309" s="102" t="n"/>
      <c r="H2309" s="115" t="n"/>
      <c r="I2309" s="102" t="n"/>
      <c r="J2309" s="102" t="n"/>
      <c r="K2309" s="103" t="n"/>
      <c r="L2309" s="116">
        <f>IF($H2309="","",TRIM(IF(COUNTIF(DMTK!$A$7:$A$250,$F2309)=0,"TK Nợ sai! ","")&amp;IF(COUNTIF(DMTK!$A$7:$A$250,$G2309)=0,"TK Có sai! ","")&amp;IF(N($H2309)&lt;=0,"Tiền phải &gt; 0! ","")&amp;IF($B2309="","Thiếu ngày! ","")&amp;IF(AND(OR(LEFT($F2309,3)="131",LEFT($G2309,3)="131",LEFT($F2309,3)="331",LEFT($G2309,3)="331"),$I2309=""),"Thiếu Mã ĐT! ","")&amp;IF(AND($I2309&lt;&gt;"",COUNTIF(DM_DT!$A$7:$A$306,$I2309)=0),"Mã ĐT chưa khai báo! ","")))</f>
        <v/>
      </c>
      <c r="M2309" s="117">
        <f>IF($H2309="","",IF(AND(OR(LEFT($F2309,3)="111",LEFT($F2309,3)="112",LEFT($F2309,3)="113"),OR(LEFT($G2309,3)="111",LEFT($G2309,3)="112",LEFT($G2309,3)="113")),"NB",IF(OR(LEFT($F2309,3)="111",LEFT($F2309,3)="112",LEFT($F2309,3)="113"),"THU",IF(OR(LEFT($G2309,3)="111",LEFT($G2309,3)="112",LEFT($G2309,3)="113"),"CHI",""))))</f>
        <v/>
      </c>
      <c r="N2309" s="117">
        <f>IF($M2309="THU",$G2309,IF($M2309="CHI",$F2309,""))</f>
        <v/>
      </c>
      <c r="O2309" s="117">
        <f>IF(OR($M2309="",$M2309="NB"),"",IF($J2309&lt;&gt;"",TEXT($J2309,"00"),IFERROR(VLOOKUP(LEFT($N2309,4),LCTT_MAP!$A$7:$C$66,IF($M2309="THU",2,3),FALSE()),IFERROR(VLOOKUP(LEFT($N2309,3),LCTT_MAP!$A$7:$C$66,IF($M2309="THU",2,3),FALSE()),IFERROR(VLOOKUP(LEFT($N2309,2),LCTT_MAP!$A$7:$C$66,IF($M2309="THU",2,3),FALSE()),IFERROR(VLOOKUP(LEFT($N2309,1),LCTT_MAP!$A$7:$C$66,IF($M2309="THU",2,3),FALSE()),IF($M2309="THU","06","07")))))))</f>
        <v/>
      </c>
      <c r="P2309" s="117">
        <f>P2308+IF(AND($H2309&lt;&gt;"",OR(LEFT($F2309,LEN(SC_TK))=SC_TK,LEFT($G2309,LEN(SC_TK))=SC_TK)),1,0)</f>
        <v/>
      </c>
    </row>
    <row r="2310" ht="15" customHeight="1" s="78">
      <c r="A2310" s="95">
        <f>IF($H2310="","",ROW()-6)</f>
        <v/>
      </c>
      <c r="B2310" s="114" t="n"/>
      <c r="C2310" s="102" t="n"/>
      <c r="D2310" s="114" t="n"/>
      <c r="E2310" s="103" t="n"/>
      <c r="F2310" s="102" t="n"/>
      <c r="G2310" s="102" t="n"/>
      <c r="H2310" s="115" t="n"/>
      <c r="I2310" s="102" t="n"/>
      <c r="J2310" s="102" t="n"/>
      <c r="K2310" s="103" t="n"/>
      <c r="L2310" s="116">
        <f>IF($H2310="","",TRIM(IF(COUNTIF(DMTK!$A$7:$A$250,$F2310)=0,"TK Nợ sai! ","")&amp;IF(COUNTIF(DMTK!$A$7:$A$250,$G2310)=0,"TK Có sai! ","")&amp;IF(N($H2310)&lt;=0,"Tiền phải &gt; 0! ","")&amp;IF($B2310="","Thiếu ngày! ","")&amp;IF(AND(OR(LEFT($F2310,3)="131",LEFT($G2310,3)="131",LEFT($F2310,3)="331",LEFT($G2310,3)="331"),$I2310=""),"Thiếu Mã ĐT! ","")&amp;IF(AND($I2310&lt;&gt;"",COUNTIF(DM_DT!$A$7:$A$306,$I2310)=0),"Mã ĐT chưa khai báo! ","")))</f>
        <v/>
      </c>
      <c r="M2310" s="117">
        <f>IF($H2310="","",IF(AND(OR(LEFT($F2310,3)="111",LEFT($F2310,3)="112",LEFT($F2310,3)="113"),OR(LEFT($G2310,3)="111",LEFT($G2310,3)="112",LEFT($G2310,3)="113")),"NB",IF(OR(LEFT($F2310,3)="111",LEFT($F2310,3)="112",LEFT($F2310,3)="113"),"THU",IF(OR(LEFT($G2310,3)="111",LEFT($G2310,3)="112",LEFT($G2310,3)="113"),"CHI",""))))</f>
        <v/>
      </c>
      <c r="N2310" s="117">
        <f>IF($M2310="THU",$G2310,IF($M2310="CHI",$F2310,""))</f>
        <v/>
      </c>
      <c r="O2310" s="117">
        <f>IF(OR($M2310="",$M2310="NB"),"",IF($J2310&lt;&gt;"",TEXT($J2310,"00"),IFERROR(VLOOKUP(LEFT($N2310,4),LCTT_MAP!$A$7:$C$66,IF($M2310="THU",2,3),FALSE()),IFERROR(VLOOKUP(LEFT($N2310,3),LCTT_MAP!$A$7:$C$66,IF($M2310="THU",2,3),FALSE()),IFERROR(VLOOKUP(LEFT($N2310,2),LCTT_MAP!$A$7:$C$66,IF($M2310="THU",2,3),FALSE()),IFERROR(VLOOKUP(LEFT($N2310,1),LCTT_MAP!$A$7:$C$66,IF($M2310="THU",2,3),FALSE()),IF($M2310="THU","06","07")))))))</f>
        <v/>
      </c>
      <c r="P2310" s="117">
        <f>P2309+IF(AND($H2310&lt;&gt;"",OR(LEFT($F2310,LEN(SC_TK))=SC_TK,LEFT($G2310,LEN(SC_TK))=SC_TK)),1,0)</f>
        <v/>
      </c>
    </row>
    <row r="2311" ht="15" customHeight="1" s="78">
      <c r="A2311" s="95">
        <f>IF($H2311="","",ROW()-6)</f>
        <v/>
      </c>
      <c r="B2311" s="114" t="n"/>
      <c r="C2311" s="102" t="n"/>
      <c r="D2311" s="114" t="n"/>
      <c r="E2311" s="103" t="n"/>
      <c r="F2311" s="102" t="n"/>
      <c r="G2311" s="102" t="n"/>
      <c r="H2311" s="115" t="n"/>
      <c r="I2311" s="102" t="n"/>
      <c r="J2311" s="102" t="n"/>
      <c r="K2311" s="103" t="n"/>
      <c r="L2311" s="116">
        <f>IF($H2311="","",TRIM(IF(COUNTIF(DMTK!$A$7:$A$250,$F2311)=0,"TK Nợ sai! ","")&amp;IF(COUNTIF(DMTK!$A$7:$A$250,$G2311)=0,"TK Có sai! ","")&amp;IF(N($H2311)&lt;=0,"Tiền phải &gt; 0! ","")&amp;IF($B2311="","Thiếu ngày! ","")&amp;IF(AND(OR(LEFT($F2311,3)="131",LEFT($G2311,3)="131",LEFT($F2311,3)="331",LEFT($G2311,3)="331"),$I2311=""),"Thiếu Mã ĐT! ","")&amp;IF(AND($I2311&lt;&gt;"",COUNTIF(DM_DT!$A$7:$A$306,$I2311)=0),"Mã ĐT chưa khai báo! ","")))</f>
        <v/>
      </c>
      <c r="M2311" s="117">
        <f>IF($H2311="","",IF(AND(OR(LEFT($F2311,3)="111",LEFT($F2311,3)="112",LEFT($F2311,3)="113"),OR(LEFT($G2311,3)="111",LEFT($G2311,3)="112",LEFT($G2311,3)="113")),"NB",IF(OR(LEFT($F2311,3)="111",LEFT($F2311,3)="112",LEFT($F2311,3)="113"),"THU",IF(OR(LEFT($G2311,3)="111",LEFT($G2311,3)="112",LEFT($G2311,3)="113"),"CHI",""))))</f>
        <v/>
      </c>
      <c r="N2311" s="117">
        <f>IF($M2311="THU",$G2311,IF($M2311="CHI",$F2311,""))</f>
        <v/>
      </c>
      <c r="O2311" s="117">
        <f>IF(OR($M2311="",$M2311="NB"),"",IF($J2311&lt;&gt;"",TEXT($J2311,"00"),IFERROR(VLOOKUP(LEFT($N2311,4),LCTT_MAP!$A$7:$C$66,IF($M2311="THU",2,3),FALSE()),IFERROR(VLOOKUP(LEFT($N2311,3),LCTT_MAP!$A$7:$C$66,IF($M2311="THU",2,3),FALSE()),IFERROR(VLOOKUP(LEFT($N2311,2),LCTT_MAP!$A$7:$C$66,IF($M2311="THU",2,3),FALSE()),IFERROR(VLOOKUP(LEFT($N2311,1),LCTT_MAP!$A$7:$C$66,IF($M2311="THU",2,3),FALSE()),IF($M2311="THU","06","07")))))))</f>
        <v/>
      </c>
      <c r="P2311" s="117">
        <f>P2310+IF(AND($H2311&lt;&gt;"",OR(LEFT($F2311,LEN(SC_TK))=SC_TK,LEFT($G2311,LEN(SC_TK))=SC_TK)),1,0)</f>
        <v/>
      </c>
    </row>
    <row r="2312" ht="15" customHeight="1" s="78">
      <c r="A2312" s="95">
        <f>IF($H2312="","",ROW()-6)</f>
        <v/>
      </c>
      <c r="B2312" s="114" t="n"/>
      <c r="C2312" s="102" t="n"/>
      <c r="D2312" s="114" t="n"/>
      <c r="E2312" s="103" t="n"/>
      <c r="F2312" s="102" t="n"/>
      <c r="G2312" s="102" t="n"/>
      <c r="H2312" s="115" t="n"/>
      <c r="I2312" s="102" t="n"/>
      <c r="J2312" s="102" t="n"/>
      <c r="K2312" s="103" t="n"/>
      <c r="L2312" s="116">
        <f>IF($H2312="","",TRIM(IF(COUNTIF(DMTK!$A$7:$A$250,$F2312)=0,"TK Nợ sai! ","")&amp;IF(COUNTIF(DMTK!$A$7:$A$250,$G2312)=0,"TK Có sai! ","")&amp;IF(N($H2312)&lt;=0,"Tiền phải &gt; 0! ","")&amp;IF($B2312="","Thiếu ngày! ","")&amp;IF(AND(OR(LEFT($F2312,3)="131",LEFT($G2312,3)="131",LEFT($F2312,3)="331",LEFT($G2312,3)="331"),$I2312=""),"Thiếu Mã ĐT! ","")&amp;IF(AND($I2312&lt;&gt;"",COUNTIF(DM_DT!$A$7:$A$306,$I2312)=0),"Mã ĐT chưa khai báo! ","")))</f>
        <v/>
      </c>
      <c r="M2312" s="117">
        <f>IF($H2312="","",IF(AND(OR(LEFT($F2312,3)="111",LEFT($F2312,3)="112",LEFT($F2312,3)="113"),OR(LEFT($G2312,3)="111",LEFT($G2312,3)="112",LEFT($G2312,3)="113")),"NB",IF(OR(LEFT($F2312,3)="111",LEFT($F2312,3)="112",LEFT($F2312,3)="113"),"THU",IF(OR(LEFT($G2312,3)="111",LEFT($G2312,3)="112",LEFT($G2312,3)="113"),"CHI",""))))</f>
        <v/>
      </c>
      <c r="N2312" s="117">
        <f>IF($M2312="THU",$G2312,IF($M2312="CHI",$F2312,""))</f>
        <v/>
      </c>
      <c r="O2312" s="117">
        <f>IF(OR($M2312="",$M2312="NB"),"",IF($J2312&lt;&gt;"",TEXT($J2312,"00"),IFERROR(VLOOKUP(LEFT($N2312,4),LCTT_MAP!$A$7:$C$66,IF($M2312="THU",2,3),FALSE()),IFERROR(VLOOKUP(LEFT($N2312,3),LCTT_MAP!$A$7:$C$66,IF($M2312="THU",2,3),FALSE()),IFERROR(VLOOKUP(LEFT($N2312,2),LCTT_MAP!$A$7:$C$66,IF($M2312="THU",2,3),FALSE()),IFERROR(VLOOKUP(LEFT($N2312,1),LCTT_MAP!$A$7:$C$66,IF($M2312="THU",2,3),FALSE()),IF($M2312="THU","06","07")))))))</f>
        <v/>
      </c>
      <c r="P2312" s="117">
        <f>P2311+IF(AND($H2312&lt;&gt;"",OR(LEFT($F2312,LEN(SC_TK))=SC_TK,LEFT($G2312,LEN(SC_TK))=SC_TK)),1,0)</f>
        <v/>
      </c>
    </row>
    <row r="2313" ht="15" customHeight="1" s="78">
      <c r="A2313" s="95">
        <f>IF($H2313="","",ROW()-6)</f>
        <v/>
      </c>
      <c r="B2313" s="114" t="n"/>
      <c r="C2313" s="102" t="n"/>
      <c r="D2313" s="114" t="n"/>
      <c r="E2313" s="103" t="n"/>
      <c r="F2313" s="102" t="n"/>
      <c r="G2313" s="102" t="n"/>
      <c r="H2313" s="115" t="n"/>
      <c r="I2313" s="102" t="n"/>
      <c r="J2313" s="102" t="n"/>
      <c r="K2313" s="103" t="n"/>
      <c r="L2313" s="116">
        <f>IF($H2313="","",TRIM(IF(COUNTIF(DMTK!$A$7:$A$250,$F2313)=0,"TK Nợ sai! ","")&amp;IF(COUNTIF(DMTK!$A$7:$A$250,$G2313)=0,"TK Có sai! ","")&amp;IF(N($H2313)&lt;=0,"Tiền phải &gt; 0! ","")&amp;IF($B2313="","Thiếu ngày! ","")&amp;IF(AND(OR(LEFT($F2313,3)="131",LEFT($G2313,3)="131",LEFT($F2313,3)="331",LEFT($G2313,3)="331"),$I2313=""),"Thiếu Mã ĐT! ","")&amp;IF(AND($I2313&lt;&gt;"",COUNTIF(DM_DT!$A$7:$A$306,$I2313)=0),"Mã ĐT chưa khai báo! ","")))</f>
        <v/>
      </c>
      <c r="M2313" s="117">
        <f>IF($H2313="","",IF(AND(OR(LEFT($F2313,3)="111",LEFT($F2313,3)="112",LEFT($F2313,3)="113"),OR(LEFT($G2313,3)="111",LEFT($G2313,3)="112",LEFT($G2313,3)="113")),"NB",IF(OR(LEFT($F2313,3)="111",LEFT($F2313,3)="112",LEFT($F2313,3)="113"),"THU",IF(OR(LEFT($G2313,3)="111",LEFT($G2313,3)="112",LEFT($G2313,3)="113"),"CHI",""))))</f>
        <v/>
      </c>
      <c r="N2313" s="117">
        <f>IF($M2313="THU",$G2313,IF($M2313="CHI",$F2313,""))</f>
        <v/>
      </c>
      <c r="O2313" s="117">
        <f>IF(OR($M2313="",$M2313="NB"),"",IF($J2313&lt;&gt;"",TEXT($J2313,"00"),IFERROR(VLOOKUP(LEFT($N2313,4),LCTT_MAP!$A$7:$C$66,IF($M2313="THU",2,3),FALSE()),IFERROR(VLOOKUP(LEFT($N2313,3),LCTT_MAP!$A$7:$C$66,IF($M2313="THU",2,3),FALSE()),IFERROR(VLOOKUP(LEFT($N2313,2),LCTT_MAP!$A$7:$C$66,IF($M2313="THU",2,3),FALSE()),IFERROR(VLOOKUP(LEFT($N2313,1),LCTT_MAP!$A$7:$C$66,IF($M2313="THU",2,3),FALSE()),IF($M2313="THU","06","07")))))))</f>
        <v/>
      </c>
      <c r="P2313" s="117">
        <f>P2312+IF(AND($H2313&lt;&gt;"",OR(LEFT($F2313,LEN(SC_TK))=SC_TK,LEFT($G2313,LEN(SC_TK))=SC_TK)),1,0)</f>
        <v/>
      </c>
    </row>
    <row r="2314" ht="15" customHeight="1" s="78">
      <c r="A2314" s="95">
        <f>IF($H2314="","",ROW()-6)</f>
        <v/>
      </c>
      <c r="B2314" s="114" t="n"/>
      <c r="C2314" s="102" t="n"/>
      <c r="D2314" s="114" t="n"/>
      <c r="E2314" s="103" t="n"/>
      <c r="F2314" s="102" t="n"/>
      <c r="G2314" s="102" t="n"/>
      <c r="H2314" s="115" t="n"/>
      <c r="I2314" s="102" t="n"/>
      <c r="J2314" s="102" t="n"/>
      <c r="K2314" s="103" t="n"/>
      <c r="L2314" s="116">
        <f>IF($H2314="","",TRIM(IF(COUNTIF(DMTK!$A$7:$A$250,$F2314)=0,"TK Nợ sai! ","")&amp;IF(COUNTIF(DMTK!$A$7:$A$250,$G2314)=0,"TK Có sai! ","")&amp;IF(N($H2314)&lt;=0,"Tiền phải &gt; 0! ","")&amp;IF($B2314="","Thiếu ngày! ","")&amp;IF(AND(OR(LEFT($F2314,3)="131",LEFT($G2314,3)="131",LEFT($F2314,3)="331",LEFT($G2314,3)="331"),$I2314=""),"Thiếu Mã ĐT! ","")&amp;IF(AND($I2314&lt;&gt;"",COUNTIF(DM_DT!$A$7:$A$306,$I2314)=0),"Mã ĐT chưa khai báo! ","")))</f>
        <v/>
      </c>
      <c r="M2314" s="117">
        <f>IF($H2314="","",IF(AND(OR(LEFT($F2314,3)="111",LEFT($F2314,3)="112",LEFT($F2314,3)="113"),OR(LEFT($G2314,3)="111",LEFT($G2314,3)="112",LEFT($G2314,3)="113")),"NB",IF(OR(LEFT($F2314,3)="111",LEFT($F2314,3)="112",LEFT($F2314,3)="113"),"THU",IF(OR(LEFT($G2314,3)="111",LEFT($G2314,3)="112",LEFT($G2314,3)="113"),"CHI",""))))</f>
        <v/>
      </c>
      <c r="N2314" s="117">
        <f>IF($M2314="THU",$G2314,IF($M2314="CHI",$F2314,""))</f>
        <v/>
      </c>
      <c r="O2314" s="117">
        <f>IF(OR($M2314="",$M2314="NB"),"",IF($J2314&lt;&gt;"",TEXT($J2314,"00"),IFERROR(VLOOKUP(LEFT($N2314,4),LCTT_MAP!$A$7:$C$66,IF($M2314="THU",2,3),FALSE()),IFERROR(VLOOKUP(LEFT($N2314,3),LCTT_MAP!$A$7:$C$66,IF($M2314="THU",2,3),FALSE()),IFERROR(VLOOKUP(LEFT($N2314,2),LCTT_MAP!$A$7:$C$66,IF($M2314="THU",2,3),FALSE()),IFERROR(VLOOKUP(LEFT($N2314,1),LCTT_MAP!$A$7:$C$66,IF($M2314="THU",2,3),FALSE()),IF($M2314="THU","06","07")))))))</f>
        <v/>
      </c>
      <c r="P2314" s="117">
        <f>P2313+IF(AND($H2314&lt;&gt;"",OR(LEFT($F2314,LEN(SC_TK))=SC_TK,LEFT($G2314,LEN(SC_TK))=SC_TK)),1,0)</f>
        <v/>
      </c>
    </row>
    <row r="2315" ht="15" customHeight="1" s="78">
      <c r="A2315" s="95">
        <f>IF($H2315="","",ROW()-6)</f>
        <v/>
      </c>
      <c r="B2315" s="114" t="n"/>
      <c r="C2315" s="102" t="n"/>
      <c r="D2315" s="114" t="n"/>
      <c r="E2315" s="103" t="n"/>
      <c r="F2315" s="102" t="n"/>
      <c r="G2315" s="102" t="n"/>
      <c r="H2315" s="115" t="n"/>
      <c r="I2315" s="102" t="n"/>
      <c r="J2315" s="102" t="n"/>
      <c r="K2315" s="103" t="n"/>
      <c r="L2315" s="116">
        <f>IF($H2315="","",TRIM(IF(COUNTIF(DMTK!$A$7:$A$250,$F2315)=0,"TK Nợ sai! ","")&amp;IF(COUNTIF(DMTK!$A$7:$A$250,$G2315)=0,"TK Có sai! ","")&amp;IF(N($H2315)&lt;=0,"Tiền phải &gt; 0! ","")&amp;IF($B2315="","Thiếu ngày! ","")&amp;IF(AND(OR(LEFT($F2315,3)="131",LEFT($G2315,3)="131",LEFT($F2315,3)="331",LEFT($G2315,3)="331"),$I2315=""),"Thiếu Mã ĐT! ","")&amp;IF(AND($I2315&lt;&gt;"",COUNTIF(DM_DT!$A$7:$A$306,$I2315)=0),"Mã ĐT chưa khai báo! ","")))</f>
        <v/>
      </c>
      <c r="M2315" s="117">
        <f>IF($H2315="","",IF(AND(OR(LEFT($F2315,3)="111",LEFT($F2315,3)="112",LEFT($F2315,3)="113"),OR(LEFT($G2315,3)="111",LEFT($G2315,3)="112",LEFT($G2315,3)="113")),"NB",IF(OR(LEFT($F2315,3)="111",LEFT($F2315,3)="112",LEFT($F2315,3)="113"),"THU",IF(OR(LEFT($G2315,3)="111",LEFT($G2315,3)="112",LEFT($G2315,3)="113"),"CHI",""))))</f>
        <v/>
      </c>
      <c r="N2315" s="117">
        <f>IF($M2315="THU",$G2315,IF($M2315="CHI",$F2315,""))</f>
        <v/>
      </c>
      <c r="O2315" s="117">
        <f>IF(OR($M2315="",$M2315="NB"),"",IF($J2315&lt;&gt;"",TEXT($J2315,"00"),IFERROR(VLOOKUP(LEFT($N2315,4),LCTT_MAP!$A$7:$C$66,IF($M2315="THU",2,3),FALSE()),IFERROR(VLOOKUP(LEFT($N2315,3),LCTT_MAP!$A$7:$C$66,IF($M2315="THU",2,3),FALSE()),IFERROR(VLOOKUP(LEFT($N2315,2),LCTT_MAP!$A$7:$C$66,IF($M2315="THU",2,3),FALSE()),IFERROR(VLOOKUP(LEFT($N2315,1),LCTT_MAP!$A$7:$C$66,IF($M2315="THU",2,3),FALSE()),IF($M2315="THU","06","07")))))))</f>
        <v/>
      </c>
      <c r="P2315" s="117">
        <f>P2314+IF(AND($H2315&lt;&gt;"",OR(LEFT($F2315,LEN(SC_TK))=SC_TK,LEFT($G2315,LEN(SC_TK))=SC_TK)),1,0)</f>
        <v/>
      </c>
    </row>
    <row r="2316" ht="15" customHeight="1" s="78">
      <c r="A2316" s="95">
        <f>IF($H2316="","",ROW()-6)</f>
        <v/>
      </c>
      <c r="B2316" s="114" t="n"/>
      <c r="C2316" s="102" t="n"/>
      <c r="D2316" s="114" t="n"/>
      <c r="E2316" s="103" t="n"/>
      <c r="F2316" s="102" t="n"/>
      <c r="G2316" s="102" t="n"/>
      <c r="H2316" s="115" t="n"/>
      <c r="I2316" s="102" t="n"/>
      <c r="J2316" s="102" t="n"/>
      <c r="K2316" s="103" t="n"/>
      <c r="L2316" s="116">
        <f>IF($H2316="","",TRIM(IF(COUNTIF(DMTK!$A$7:$A$250,$F2316)=0,"TK Nợ sai! ","")&amp;IF(COUNTIF(DMTK!$A$7:$A$250,$G2316)=0,"TK Có sai! ","")&amp;IF(N($H2316)&lt;=0,"Tiền phải &gt; 0! ","")&amp;IF($B2316="","Thiếu ngày! ","")&amp;IF(AND(OR(LEFT($F2316,3)="131",LEFT($G2316,3)="131",LEFT($F2316,3)="331",LEFT($G2316,3)="331"),$I2316=""),"Thiếu Mã ĐT! ","")&amp;IF(AND($I2316&lt;&gt;"",COUNTIF(DM_DT!$A$7:$A$306,$I2316)=0),"Mã ĐT chưa khai báo! ","")))</f>
        <v/>
      </c>
      <c r="M2316" s="117">
        <f>IF($H2316="","",IF(AND(OR(LEFT($F2316,3)="111",LEFT($F2316,3)="112",LEFT($F2316,3)="113"),OR(LEFT($G2316,3)="111",LEFT($G2316,3)="112",LEFT($G2316,3)="113")),"NB",IF(OR(LEFT($F2316,3)="111",LEFT($F2316,3)="112",LEFT($F2316,3)="113"),"THU",IF(OR(LEFT($G2316,3)="111",LEFT($G2316,3)="112",LEFT($G2316,3)="113"),"CHI",""))))</f>
        <v/>
      </c>
      <c r="N2316" s="117">
        <f>IF($M2316="THU",$G2316,IF($M2316="CHI",$F2316,""))</f>
        <v/>
      </c>
      <c r="O2316" s="117">
        <f>IF(OR($M2316="",$M2316="NB"),"",IF($J2316&lt;&gt;"",TEXT($J2316,"00"),IFERROR(VLOOKUP(LEFT($N2316,4),LCTT_MAP!$A$7:$C$66,IF($M2316="THU",2,3),FALSE()),IFERROR(VLOOKUP(LEFT($N2316,3),LCTT_MAP!$A$7:$C$66,IF($M2316="THU",2,3),FALSE()),IFERROR(VLOOKUP(LEFT($N2316,2),LCTT_MAP!$A$7:$C$66,IF($M2316="THU",2,3),FALSE()),IFERROR(VLOOKUP(LEFT($N2316,1),LCTT_MAP!$A$7:$C$66,IF($M2316="THU",2,3),FALSE()),IF($M2316="THU","06","07")))))))</f>
        <v/>
      </c>
      <c r="P2316" s="117">
        <f>P2315+IF(AND($H2316&lt;&gt;"",OR(LEFT($F2316,LEN(SC_TK))=SC_TK,LEFT($G2316,LEN(SC_TK))=SC_TK)),1,0)</f>
        <v/>
      </c>
    </row>
    <row r="2317" ht="15" customHeight="1" s="78">
      <c r="A2317" s="95">
        <f>IF($H2317="","",ROW()-6)</f>
        <v/>
      </c>
      <c r="B2317" s="114" t="n"/>
      <c r="C2317" s="102" t="n"/>
      <c r="D2317" s="114" t="n"/>
      <c r="E2317" s="103" t="n"/>
      <c r="F2317" s="102" t="n"/>
      <c r="G2317" s="102" t="n"/>
      <c r="H2317" s="115" t="n"/>
      <c r="I2317" s="102" t="n"/>
      <c r="J2317" s="102" t="n"/>
      <c r="K2317" s="103" t="n"/>
      <c r="L2317" s="116">
        <f>IF($H2317="","",TRIM(IF(COUNTIF(DMTK!$A$7:$A$250,$F2317)=0,"TK Nợ sai! ","")&amp;IF(COUNTIF(DMTK!$A$7:$A$250,$G2317)=0,"TK Có sai! ","")&amp;IF(N($H2317)&lt;=0,"Tiền phải &gt; 0! ","")&amp;IF($B2317="","Thiếu ngày! ","")&amp;IF(AND(OR(LEFT($F2317,3)="131",LEFT($G2317,3)="131",LEFT($F2317,3)="331",LEFT($G2317,3)="331"),$I2317=""),"Thiếu Mã ĐT! ","")&amp;IF(AND($I2317&lt;&gt;"",COUNTIF(DM_DT!$A$7:$A$306,$I2317)=0),"Mã ĐT chưa khai báo! ","")))</f>
        <v/>
      </c>
      <c r="M2317" s="117">
        <f>IF($H2317="","",IF(AND(OR(LEFT($F2317,3)="111",LEFT($F2317,3)="112",LEFT($F2317,3)="113"),OR(LEFT($G2317,3)="111",LEFT($G2317,3)="112",LEFT($G2317,3)="113")),"NB",IF(OR(LEFT($F2317,3)="111",LEFT($F2317,3)="112",LEFT($F2317,3)="113"),"THU",IF(OR(LEFT($G2317,3)="111",LEFT($G2317,3)="112",LEFT($G2317,3)="113"),"CHI",""))))</f>
        <v/>
      </c>
      <c r="N2317" s="117">
        <f>IF($M2317="THU",$G2317,IF($M2317="CHI",$F2317,""))</f>
        <v/>
      </c>
      <c r="O2317" s="117">
        <f>IF(OR($M2317="",$M2317="NB"),"",IF($J2317&lt;&gt;"",TEXT($J2317,"00"),IFERROR(VLOOKUP(LEFT($N2317,4),LCTT_MAP!$A$7:$C$66,IF($M2317="THU",2,3),FALSE()),IFERROR(VLOOKUP(LEFT($N2317,3),LCTT_MAP!$A$7:$C$66,IF($M2317="THU",2,3),FALSE()),IFERROR(VLOOKUP(LEFT($N2317,2),LCTT_MAP!$A$7:$C$66,IF($M2317="THU",2,3),FALSE()),IFERROR(VLOOKUP(LEFT($N2317,1),LCTT_MAP!$A$7:$C$66,IF($M2317="THU",2,3),FALSE()),IF($M2317="THU","06","07")))))))</f>
        <v/>
      </c>
      <c r="P2317" s="117">
        <f>P2316+IF(AND($H2317&lt;&gt;"",OR(LEFT($F2317,LEN(SC_TK))=SC_TK,LEFT($G2317,LEN(SC_TK))=SC_TK)),1,0)</f>
        <v/>
      </c>
    </row>
    <row r="2318" ht="15" customHeight="1" s="78">
      <c r="A2318" s="95">
        <f>IF($H2318="","",ROW()-6)</f>
        <v/>
      </c>
      <c r="B2318" s="114" t="n"/>
      <c r="C2318" s="102" t="n"/>
      <c r="D2318" s="114" t="n"/>
      <c r="E2318" s="103" t="n"/>
      <c r="F2318" s="102" t="n"/>
      <c r="G2318" s="102" t="n"/>
      <c r="H2318" s="115" t="n"/>
      <c r="I2318" s="102" t="n"/>
      <c r="J2318" s="102" t="n"/>
      <c r="K2318" s="103" t="n"/>
      <c r="L2318" s="116">
        <f>IF($H2318="","",TRIM(IF(COUNTIF(DMTK!$A$7:$A$250,$F2318)=0,"TK Nợ sai! ","")&amp;IF(COUNTIF(DMTK!$A$7:$A$250,$G2318)=0,"TK Có sai! ","")&amp;IF(N($H2318)&lt;=0,"Tiền phải &gt; 0! ","")&amp;IF($B2318="","Thiếu ngày! ","")&amp;IF(AND(OR(LEFT($F2318,3)="131",LEFT($G2318,3)="131",LEFT($F2318,3)="331",LEFT($G2318,3)="331"),$I2318=""),"Thiếu Mã ĐT! ","")&amp;IF(AND($I2318&lt;&gt;"",COUNTIF(DM_DT!$A$7:$A$306,$I2318)=0),"Mã ĐT chưa khai báo! ","")))</f>
        <v/>
      </c>
      <c r="M2318" s="117">
        <f>IF($H2318="","",IF(AND(OR(LEFT($F2318,3)="111",LEFT($F2318,3)="112",LEFT($F2318,3)="113"),OR(LEFT($G2318,3)="111",LEFT($G2318,3)="112",LEFT($G2318,3)="113")),"NB",IF(OR(LEFT($F2318,3)="111",LEFT($F2318,3)="112",LEFT($F2318,3)="113"),"THU",IF(OR(LEFT($G2318,3)="111",LEFT($G2318,3)="112",LEFT($G2318,3)="113"),"CHI",""))))</f>
        <v/>
      </c>
      <c r="N2318" s="117">
        <f>IF($M2318="THU",$G2318,IF($M2318="CHI",$F2318,""))</f>
        <v/>
      </c>
      <c r="O2318" s="117">
        <f>IF(OR($M2318="",$M2318="NB"),"",IF($J2318&lt;&gt;"",TEXT($J2318,"00"),IFERROR(VLOOKUP(LEFT($N2318,4),LCTT_MAP!$A$7:$C$66,IF($M2318="THU",2,3),FALSE()),IFERROR(VLOOKUP(LEFT($N2318,3),LCTT_MAP!$A$7:$C$66,IF($M2318="THU",2,3),FALSE()),IFERROR(VLOOKUP(LEFT($N2318,2),LCTT_MAP!$A$7:$C$66,IF($M2318="THU",2,3),FALSE()),IFERROR(VLOOKUP(LEFT($N2318,1),LCTT_MAP!$A$7:$C$66,IF($M2318="THU",2,3),FALSE()),IF($M2318="THU","06","07")))))))</f>
        <v/>
      </c>
      <c r="P2318" s="117">
        <f>P2317+IF(AND($H2318&lt;&gt;"",OR(LEFT($F2318,LEN(SC_TK))=SC_TK,LEFT($G2318,LEN(SC_TK))=SC_TK)),1,0)</f>
        <v/>
      </c>
    </row>
    <row r="2319" ht="15" customHeight="1" s="78">
      <c r="A2319" s="95">
        <f>IF($H2319="","",ROW()-6)</f>
        <v/>
      </c>
      <c r="B2319" s="114" t="n"/>
      <c r="C2319" s="102" t="n"/>
      <c r="D2319" s="114" t="n"/>
      <c r="E2319" s="103" t="n"/>
      <c r="F2319" s="102" t="n"/>
      <c r="G2319" s="102" t="n"/>
      <c r="H2319" s="115" t="n"/>
      <c r="I2319" s="102" t="n"/>
      <c r="J2319" s="102" t="n"/>
      <c r="K2319" s="103" t="n"/>
      <c r="L2319" s="116">
        <f>IF($H2319="","",TRIM(IF(COUNTIF(DMTK!$A$7:$A$250,$F2319)=0,"TK Nợ sai! ","")&amp;IF(COUNTIF(DMTK!$A$7:$A$250,$G2319)=0,"TK Có sai! ","")&amp;IF(N($H2319)&lt;=0,"Tiền phải &gt; 0! ","")&amp;IF($B2319="","Thiếu ngày! ","")&amp;IF(AND(OR(LEFT($F2319,3)="131",LEFT($G2319,3)="131",LEFT($F2319,3)="331",LEFT($G2319,3)="331"),$I2319=""),"Thiếu Mã ĐT! ","")&amp;IF(AND($I2319&lt;&gt;"",COUNTIF(DM_DT!$A$7:$A$306,$I2319)=0),"Mã ĐT chưa khai báo! ","")))</f>
        <v/>
      </c>
      <c r="M2319" s="117">
        <f>IF($H2319="","",IF(AND(OR(LEFT($F2319,3)="111",LEFT($F2319,3)="112",LEFT($F2319,3)="113"),OR(LEFT($G2319,3)="111",LEFT($G2319,3)="112",LEFT($G2319,3)="113")),"NB",IF(OR(LEFT($F2319,3)="111",LEFT($F2319,3)="112",LEFT($F2319,3)="113"),"THU",IF(OR(LEFT($G2319,3)="111",LEFT($G2319,3)="112",LEFT($G2319,3)="113"),"CHI",""))))</f>
        <v/>
      </c>
      <c r="N2319" s="117">
        <f>IF($M2319="THU",$G2319,IF($M2319="CHI",$F2319,""))</f>
        <v/>
      </c>
      <c r="O2319" s="117">
        <f>IF(OR($M2319="",$M2319="NB"),"",IF($J2319&lt;&gt;"",TEXT($J2319,"00"),IFERROR(VLOOKUP(LEFT($N2319,4),LCTT_MAP!$A$7:$C$66,IF($M2319="THU",2,3),FALSE()),IFERROR(VLOOKUP(LEFT($N2319,3),LCTT_MAP!$A$7:$C$66,IF($M2319="THU",2,3),FALSE()),IFERROR(VLOOKUP(LEFT($N2319,2),LCTT_MAP!$A$7:$C$66,IF($M2319="THU",2,3),FALSE()),IFERROR(VLOOKUP(LEFT($N2319,1),LCTT_MAP!$A$7:$C$66,IF($M2319="THU",2,3),FALSE()),IF($M2319="THU","06","07")))))))</f>
        <v/>
      </c>
      <c r="P2319" s="117">
        <f>P2318+IF(AND($H2319&lt;&gt;"",OR(LEFT($F2319,LEN(SC_TK))=SC_TK,LEFT($G2319,LEN(SC_TK))=SC_TK)),1,0)</f>
        <v/>
      </c>
    </row>
    <row r="2320" ht="15" customHeight="1" s="78">
      <c r="A2320" s="95">
        <f>IF($H2320="","",ROW()-6)</f>
        <v/>
      </c>
      <c r="B2320" s="114" t="n"/>
      <c r="C2320" s="102" t="n"/>
      <c r="D2320" s="114" t="n"/>
      <c r="E2320" s="103" t="n"/>
      <c r="F2320" s="102" t="n"/>
      <c r="G2320" s="102" t="n"/>
      <c r="H2320" s="115" t="n"/>
      <c r="I2320" s="102" t="n"/>
      <c r="J2320" s="102" t="n"/>
      <c r="K2320" s="103" t="n"/>
      <c r="L2320" s="116">
        <f>IF($H2320="","",TRIM(IF(COUNTIF(DMTK!$A$7:$A$250,$F2320)=0,"TK Nợ sai! ","")&amp;IF(COUNTIF(DMTK!$A$7:$A$250,$G2320)=0,"TK Có sai! ","")&amp;IF(N($H2320)&lt;=0,"Tiền phải &gt; 0! ","")&amp;IF($B2320="","Thiếu ngày! ","")&amp;IF(AND(OR(LEFT($F2320,3)="131",LEFT($G2320,3)="131",LEFT($F2320,3)="331",LEFT($G2320,3)="331"),$I2320=""),"Thiếu Mã ĐT! ","")&amp;IF(AND($I2320&lt;&gt;"",COUNTIF(DM_DT!$A$7:$A$306,$I2320)=0),"Mã ĐT chưa khai báo! ","")))</f>
        <v/>
      </c>
      <c r="M2320" s="117">
        <f>IF($H2320="","",IF(AND(OR(LEFT($F2320,3)="111",LEFT($F2320,3)="112",LEFT($F2320,3)="113"),OR(LEFT($G2320,3)="111",LEFT($G2320,3)="112",LEFT($G2320,3)="113")),"NB",IF(OR(LEFT($F2320,3)="111",LEFT($F2320,3)="112",LEFT($F2320,3)="113"),"THU",IF(OR(LEFT($G2320,3)="111",LEFT($G2320,3)="112",LEFT($G2320,3)="113"),"CHI",""))))</f>
        <v/>
      </c>
      <c r="N2320" s="117">
        <f>IF($M2320="THU",$G2320,IF($M2320="CHI",$F2320,""))</f>
        <v/>
      </c>
      <c r="O2320" s="117">
        <f>IF(OR($M2320="",$M2320="NB"),"",IF($J2320&lt;&gt;"",TEXT($J2320,"00"),IFERROR(VLOOKUP(LEFT($N2320,4),LCTT_MAP!$A$7:$C$66,IF($M2320="THU",2,3),FALSE()),IFERROR(VLOOKUP(LEFT($N2320,3),LCTT_MAP!$A$7:$C$66,IF($M2320="THU",2,3),FALSE()),IFERROR(VLOOKUP(LEFT($N2320,2),LCTT_MAP!$A$7:$C$66,IF($M2320="THU",2,3),FALSE()),IFERROR(VLOOKUP(LEFT($N2320,1),LCTT_MAP!$A$7:$C$66,IF($M2320="THU",2,3),FALSE()),IF($M2320="THU","06","07")))))))</f>
        <v/>
      </c>
      <c r="P2320" s="117">
        <f>P2319+IF(AND($H2320&lt;&gt;"",OR(LEFT($F2320,LEN(SC_TK))=SC_TK,LEFT($G2320,LEN(SC_TK))=SC_TK)),1,0)</f>
        <v/>
      </c>
    </row>
    <row r="2321" ht="15" customHeight="1" s="78">
      <c r="A2321" s="95">
        <f>IF($H2321="","",ROW()-6)</f>
        <v/>
      </c>
      <c r="B2321" s="114" t="n"/>
      <c r="C2321" s="102" t="n"/>
      <c r="D2321" s="114" t="n"/>
      <c r="E2321" s="103" t="n"/>
      <c r="F2321" s="102" t="n"/>
      <c r="G2321" s="102" t="n"/>
      <c r="H2321" s="115" t="n"/>
      <c r="I2321" s="102" t="n"/>
      <c r="J2321" s="102" t="n"/>
      <c r="K2321" s="103" t="n"/>
      <c r="L2321" s="116">
        <f>IF($H2321="","",TRIM(IF(COUNTIF(DMTK!$A$7:$A$250,$F2321)=0,"TK Nợ sai! ","")&amp;IF(COUNTIF(DMTK!$A$7:$A$250,$G2321)=0,"TK Có sai! ","")&amp;IF(N($H2321)&lt;=0,"Tiền phải &gt; 0! ","")&amp;IF($B2321="","Thiếu ngày! ","")&amp;IF(AND(OR(LEFT($F2321,3)="131",LEFT($G2321,3)="131",LEFT($F2321,3)="331",LEFT($G2321,3)="331"),$I2321=""),"Thiếu Mã ĐT! ","")&amp;IF(AND($I2321&lt;&gt;"",COUNTIF(DM_DT!$A$7:$A$306,$I2321)=0),"Mã ĐT chưa khai báo! ","")))</f>
        <v/>
      </c>
      <c r="M2321" s="117">
        <f>IF($H2321="","",IF(AND(OR(LEFT($F2321,3)="111",LEFT($F2321,3)="112",LEFT($F2321,3)="113"),OR(LEFT($G2321,3)="111",LEFT($G2321,3)="112",LEFT($G2321,3)="113")),"NB",IF(OR(LEFT($F2321,3)="111",LEFT($F2321,3)="112",LEFT($F2321,3)="113"),"THU",IF(OR(LEFT($G2321,3)="111",LEFT($G2321,3)="112",LEFT($G2321,3)="113"),"CHI",""))))</f>
        <v/>
      </c>
      <c r="N2321" s="117">
        <f>IF($M2321="THU",$G2321,IF($M2321="CHI",$F2321,""))</f>
        <v/>
      </c>
      <c r="O2321" s="117">
        <f>IF(OR($M2321="",$M2321="NB"),"",IF($J2321&lt;&gt;"",TEXT($J2321,"00"),IFERROR(VLOOKUP(LEFT($N2321,4),LCTT_MAP!$A$7:$C$66,IF($M2321="THU",2,3),FALSE()),IFERROR(VLOOKUP(LEFT($N2321,3),LCTT_MAP!$A$7:$C$66,IF($M2321="THU",2,3),FALSE()),IFERROR(VLOOKUP(LEFT($N2321,2),LCTT_MAP!$A$7:$C$66,IF($M2321="THU",2,3),FALSE()),IFERROR(VLOOKUP(LEFT($N2321,1),LCTT_MAP!$A$7:$C$66,IF($M2321="THU",2,3),FALSE()),IF($M2321="THU","06","07")))))))</f>
        <v/>
      </c>
      <c r="P2321" s="117">
        <f>P2320+IF(AND($H2321&lt;&gt;"",OR(LEFT($F2321,LEN(SC_TK))=SC_TK,LEFT($G2321,LEN(SC_TK))=SC_TK)),1,0)</f>
        <v/>
      </c>
    </row>
    <row r="2322" ht="15" customHeight="1" s="78">
      <c r="A2322" s="95">
        <f>IF($H2322="","",ROW()-6)</f>
        <v/>
      </c>
      <c r="B2322" s="114" t="n"/>
      <c r="C2322" s="102" t="n"/>
      <c r="D2322" s="114" t="n"/>
      <c r="E2322" s="103" t="n"/>
      <c r="F2322" s="102" t="n"/>
      <c r="G2322" s="102" t="n"/>
      <c r="H2322" s="115" t="n"/>
      <c r="I2322" s="102" t="n"/>
      <c r="J2322" s="102" t="n"/>
      <c r="K2322" s="103" t="n"/>
      <c r="L2322" s="116">
        <f>IF($H2322="","",TRIM(IF(COUNTIF(DMTK!$A$7:$A$250,$F2322)=0,"TK Nợ sai! ","")&amp;IF(COUNTIF(DMTK!$A$7:$A$250,$G2322)=0,"TK Có sai! ","")&amp;IF(N($H2322)&lt;=0,"Tiền phải &gt; 0! ","")&amp;IF($B2322="","Thiếu ngày! ","")&amp;IF(AND(OR(LEFT($F2322,3)="131",LEFT($G2322,3)="131",LEFT($F2322,3)="331",LEFT($G2322,3)="331"),$I2322=""),"Thiếu Mã ĐT! ","")&amp;IF(AND($I2322&lt;&gt;"",COUNTIF(DM_DT!$A$7:$A$306,$I2322)=0),"Mã ĐT chưa khai báo! ","")))</f>
        <v/>
      </c>
      <c r="M2322" s="117">
        <f>IF($H2322="","",IF(AND(OR(LEFT($F2322,3)="111",LEFT($F2322,3)="112",LEFT($F2322,3)="113"),OR(LEFT($G2322,3)="111",LEFT($G2322,3)="112",LEFT($G2322,3)="113")),"NB",IF(OR(LEFT($F2322,3)="111",LEFT($F2322,3)="112",LEFT($F2322,3)="113"),"THU",IF(OR(LEFT($G2322,3)="111",LEFT($G2322,3)="112",LEFT($G2322,3)="113"),"CHI",""))))</f>
        <v/>
      </c>
      <c r="N2322" s="117">
        <f>IF($M2322="THU",$G2322,IF($M2322="CHI",$F2322,""))</f>
        <v/>
      </c>
      <c r="O2322" s="117">
        <f>IF(OR($M2322="",$M2322="NB"),"",IF($J2322&lt;&gt;"",TEXT($J2322,"00"),IFERROR(VLOOKUP(LEFT($N2322,4),LCTT_MAP!$A$7:$C$66,IF($M2322="THU",2,3),FALSE()),IFERROR(VLOOKUP(LEFT($N2322,3),LCTT_MAP!$A$7:$C$66,IF($M2322="THU",2,3),FALSE()),IFERROR(VLOOKUP(LEFT($N2322,2),LCTT_MAP!$A$7:$C$66,IF($M2322="THU",2,3),FALSE()),IFERROR(VLOOKUP(LEFT($N2322,1),LCTT_MAP!$A$7:$C$66,IF($M2322="THU",2,3),FALSE()),IF($M2322="THU","06","07")))))))</f>
        <v/>
      </c>
      <c r="P2322" s="117">
        <f>P2321+IF(AND($H2322&lt;&gt;"",OR(LEFT($F2322,LEN(SC_TK))=SC_TK,LEFT($G2322,LEN(SC_TK))=SC_TK)),1,0)</f>
        <v/>
      </c>
    </row>
    <row r="2323" ht="15" customHeight="1" s="78">
      <c r="A2323" s="95">
        <f>IF($H2323="","",ROW()-6)</f>
        <v/>
      </c>
      <c r="B2323" s="114" t="n"/>
      <c r="C2323" s="102" t="n"/>
      <c r="D2323" s="114" t="n"/>
      <c r="E2323" s="103" t="n"/>
      <c r="F2323" s="102" t="n"/>
      <c r="G2323" s="102" t="n"/>
      <c r="H2323" s="115" t="n"/>
      <c r="I2323" s="102" t="n"/>
      <c r="J2323" s="102" t="n"/>
      <c r="K2323" s="103" t="n"/>
      <c r="L2323" s="116">
        <f>IF($H2323="","",TRIM(IF(COUNTIF(DMTK!$A$7:$A$250,$F2323)=0,"TK Nợ sai! ","")&amp;IF(COUNTIF(DMTK!$A$7:$A$250,$G2323)=0,"TK Có sai! ","")&amp;IF(N($H2323)&lt;=0,"Tiền phải &gt; 0! ","")&amp;IF($B2323="","Thiếu ngày! ","")&amp;IF(AND(OR(LEFT($F2323,3)="131",LEFT($G2323,3)="131",LEFT($F2323,3)="331",LEFT($G2323,3)="331"),$I2323=""),"Thiếu Mã ĐT! ","")&amp;IF(AND($I2323&lt;&gt;"",COUNTIF(DM_DT!$A$7:$A$306,$I2323)=0),"Mã ĐT chưa khai báo! ","")))</f>
        <v/>
      </c>
      <c r="M2323" s="117">
        <f>IF($H2323="","",IF(AND(OR(LEFT($F2323,3)="111",LEFT($F2323,3)="112",LEFT($F2323,3)="113"),OR(LEFT($G2323,3)="111",LEFT($G2323,3)="112",LEFT($G2323,3)="113")),"NB",IF(OR(LEFT($F2323,3)="111",LEFT($F2323,3)="112",LEFT($F2323,3)="113"),"THU",IF(OR(LEFT($G2323,3)="111",LEFT($G2323,3)="112",LEFT($G2323,3)="113"),"CHI",""))))</f>
        <v/>
      </c>
      <c r="N2323" s="117">
        <f>IF($M2323="THU",$G2323,IF($M2323="CHI",$F2323,""))</f>
        <v/>
      </c>
      <c r="O2323" s="117">
        <f>IF(OR($M2323="",$M2323="NB"),"",IF($J2323&lt;&gt;"",TEXT($J2323,"00"),IFERROR(VLOOKUP(LEFT($N2323,4),LCTT_MAP!$A$7:$C$66,IF($M2323="THU",2,3),FALSE()),IFERROR(VLOOKUP(LEFT($N2323,3),LCTT_MAP!$A$7:$C$66,IF($M2323="THU",2,3),FALSE()),IFERROR(VLOOKUP(LEFT($N2323,2),LCTT_MAP!$A$7:$C$66,IF($M2323="THU",2,3),FALSE()),IFERROR(VLOOKUP(LEFT($N2323,1),LCTT_MAP!$A$7:$C$66,IF($M2323="THU",2,3),FALSE()),IF($M2323="THU","06","07")))))))</f>
        <v/>
      </c>
      <c r="P2323" s="117">
        <f>P2322+IF(AND($H2323&lt;&gt;"",OR(LEFT($F2323,LEN(SC_TK))=SC_TK,LEFT($G2323,LEN(SC_TK))=SC_TK)),1,0)</f>
        <v/>
      </c>
    </row>
    <row r="2324" ht="15" customHeight="1" s="78">
      <c r="A2324" s="95">
        <f>IF($H2324="","",ROW()-6)</f>
        <v/>
      </c>
      <c r="B2324" s="114" t="n"/>
      <c r="C2324" s="102" t="n"/>
      <c r="D2324" s="114" t="n"/>
      <c r="E2324" s="103" t="n"/>
      <c r="F2324" s="102" t="n"/>
      <c r="G2324" s="102" t="n"/>
      <c r="H2324" s="115" t="n"/>
      <c r="I2324" s="102" t="n"/>
      <c r="J2324" s="102" t="n"/>
      <c r="K2324" s="103" t="n"/>
      <c r="L2324" s="116">
        <f>IF($H2324="","",TRIM(IF(COUNTIF(DMTK!$A$7:$A$250,$F2324)=0,"TK Nợ sai! ","")&amp;IF(COUNTIF(DMTK!$A$7:$A$250,$G2324)=0,"TK Có sai! ","")&amp;IF(N($H2324)&lt;=0,"Tiền phải &gt; 0! ","")&amp;IF($B2324="","Thiếu ngày! ","")&amp;IF(AND(OR(LEFT($F2324,3)="131",LEFT($G2324,3)="131",LEFT($F2324,3)="331",LEFT($G2324,3)="331"),$I2324=""),"Thiếu Mã ĐT! ","")&amp;IF(AND($I2324&lt;&gt;"",COUNTIF(DM_DT!$A$7:$A$306,$I2324)=0),"Mã ĐT chưa khai báo! ","")))</f>
        <v/>
      </c>
      <c r="M2324" s="117">
        <f>IF($H2324="","",IF(AND(OR(LEFT($F2324,3)="111",LEFT($F2324,3)="112",LEFT($F2324,3)="113"),OR(LEFT($G2324,3)="111",LEFT($G2324,3)="112",LEFT($G2324,3)="113")),"NB",IF(OR(LEFT($F2324,3)="111",LEFT($F2324,3)="112",LEFT($F2324,3)="113"),"THU",IF(OR(LEFT($G2324,3)="111",LEFT($G2324,3)="112",LEFT($G2324,3)="113"),"CHI",""))))</f>
        <v/>
      </c>
      <c r="N2324" s="117">
        <f>IF($M2324="THU",$G2324,IF($M2324="CHI",$F2324,""))</f>
        <v/>
      </c>
      <c r="O2324" s="117">
        <f>IF(OR($M2324="",$M2324="NB"),"",IF($J2324&lt;&gt;"",TEXT($J2324,"00"),IFERROR(VLOOKUP(LEFT($N2324,4),LCTT_MAP!$A$7:$C$66,IF($M2324="THU",2,3),FALSE()),IFERROR(VLOOKUP(LEFT($N2324,3),LCTT_MAP!$A$7:$C$66,IF($M2324="THU",2,3),FALSE()),IFERROR(VLOOKUP(LEFT($N2324,2),LCTT_MAP!$A$7:$C$66,IF($M2324="THU",2,3),FALSE()),IFERROR(VLOOKUP(LEFT($N2324,1),LCTT_MAP!$A$7:$C$66,IF($M2324="THU",2,3),FALSE()),IF($M2324="THU","06","07")))))))</f>
        <v/>
      </c>
      <c r="P2324" s="117">
        <f>P2323+IF(AND($H2324&lt;&gt;"",OR(LEFT($F2324,LEN(SC_TK))=SC_TK,LEFT($G2324,LEN(SC_TK))=SC_TK)),1,0)</f>
        <v/>
      </c>
    </row>
    <row r="2325" ht="15" customHeight="1" s="78">
      <c r="A2325" s="95">
        <f>IF($H2325="","",ROW()-6)</f>
        <v/>
      </c>
      <c r="B2325" s="114" t="n"/>
      <c r="C2325" s="102" t="n"/>
      <c r="D2325" s="114" t="n"/>
      <c r="E2325" s="103" t="n"/>
      <c r="F2325" s="102" t="n"/>
      <c r="G2325" s="102" t="n"/>
      <c r="H2325" s="115" t="n"/>
      <c r="I2325" s="102" t="n"/>
      <c r="J2325" s="102" t="n"/>
      <c r="K2325" s="103" t="n"/>
      <c r="L2325" s="116">
        <f>IF($H2325="","",TRIM(IF(COUNTIF(DMTK!$A$7:$A$250,$F2325)=0,"TK Nợ sai! ","")&amp;IF(COUNTIF(DMTK!$A$7:$A$250,$G2325)=0,"TK Có sai! ","")&amp;IF(N($H2325)&lt;=0,"Tiền phải &gt; 0! ","")&amp;IF($B2325="","Thiếu ngày! ","")&amp;IF(AND(OR(LEFT($F2325,3)="131",LEFT($G2325,3)="131",LEFT($F2325,3)="331",LEFT($G2325,3)="331"),$I2325=""),"Thiếu Mã ĐT! ","")&amp;IF(AND($I2325&lt;&gt;"",COUNTIF(DM_DT!$A$7:$A$306,$I2325)=0),"Mã ĐT chưa khai báo! ","")))</f>
        <v/>
      </c>
      <c r="M2325" s="117">
        <f>IF($H2325="","",IF(AND(OR(LEFT($F2325,3)="111",LEFT($F2325,3)="112",LEFT($F2325,3)="113"),OR(LEFT($G2325,3)="111",LEFT($G2325,3)="112",LEFT($G2325,3)="113")),"NB",IF(OR(LEFT($F2325,3)="111",LEFT($F2325,3)="112",LEFT($F2325,3)="113"),"THU",IF(OR(LEFT($G2325,3)="111",LEFT($G2325,3)="112",LEFT($G2325,3)="113"),"CHI",""))))</f>
        <v/>
      </c>
      <c r="N2325" s="117">
        <f>IF($M2325="THU",$G2325,IF($M2325="CHI",$F2325,""))</f>
        <v/>
      </c>
      <c r="O2325" s="117">
        <f>IF(OR($M2325="",$M2325="NB"),"",IF($J2325&lt;&gt;"",TEXT($J2325,"00"),IFERROR(VLOOKUP(LEFT($N2325,4),LCTT_MAP!$A$7:$C$66,IF($M2325="THU",2,3),FALSE()),IFERROR(VLOOKUP(LEFT($N2325,3),LCTT_MAP!$A$7:$C$66,IF($M2325="THU",2,3),FALSE()),IFERROR(VLOOKUP(LEFT($N2325,2),LCTT_MAP!$A$7:$C$66,IF($M2325="THU",2,3),FALSE()),IFERROR(VLOOKUP(LEFT($N2325,1),LCTT_MAP!$A$7:$C$66,IF($M2325="THU",2,3),FALSE()),IF($M2325="THU","06","07")))))))</f>
        <v/>
      </c>
      <c r="P2325" s="117">
        <f>P2324+IF(AND($H2325&lt;&gt;"",OR(LEFT($F2325,LEN(SC_TK))=SC_TK,LEFT($G2325,LEN(SC_TK))=SC_TK)),1,0)</f>
        <v/>
      </c>
    </row>
    <row r="2326" ht="15" customHeight="1" s="78">
      <c r="A2326" s="95">
        <f>IF($H2326="","",ROW()-6)</f>
        <v/>
      </c>
      <c r="B2326" s="114" t="n"/>
      <c r="C2326" s="102" t="n"/>
      <c r="D2326" s="114" t="n"/>
      <c r="E2326" s="103" t="n"/>
      <c r="F2326" s="102" t="n"/>
      <c r="G2326" s="102" t="n"/>
      <c r="H2326" s="115" t="n"/>
      <c r="I2326" s="102" t="n"/>
      <c r="J2326" s="102" t="n"/>
      <c r="K2326" s="103" t="n"/>
      <c r="L2326" s="116">
        <f>IF($H2326="","",TRIM(IF(COUNTIF(DMTK!$A$7:$A$250,$F2326)=0,"TK Nợ sai! ","")&amp;IF(COUNTIF(DMTK!$A$7:$A$250,$G2326)=0,"TK Có sai! ","")&amp;IF(N($H2326)&lt;=0,"Tiền phải &gt; 0! ","")&amp;IF($B2326="","Thiếu ngày! ","")&amp;IF(AND(OR(LEFT($F2326,3)="131",LEFT($G2326,3)="131",LEFT($F2326,3)="331",LEFT($G2326,3)="331"),$I2326=""),"Thiếu Mã ĐT! ","")&amp;IF(AND($I2326&lt;&gt;"",COUNTIF(DM_DT!$A$7:$A$306,$I2326)=0),"Mã ĐT chưa khai báo! ","")))</f>
        <v/>
      </c>
      <c r="M2326" s="117">
        <f>IF($H2326="","",IF(AND(OR(LEFT($F2326,3)="111",LEFT($F2326,3)="112",LEFT($F2326,3)="113"),OR(LEFT($G2326,3)="111",LEFT($G2326,3)="112",LEFT($G2326,3)="113")),"NB",IF(OR(LEFT($F2326,3)="111",LEFT($F2326,3)="112",LEFT($F2326,3)="113"),"THU",IF(OR(LEFT($G2326,3)="111",LEFT($G2326,3)="112",LEFT($G2326,3)="113"),"CHI",""))))</f>
        <v/>
      </c>
      <c r="N2326" s="117">
        <f>IF($M2326="THU",$G2326,IF($M2326="CHI",$F2326,""))</f>
        <v/>
      </c>
      <c r="O2326" s="117">
        <f>IF(OR($M2326="",$M2326="NB"),"",IF($J2326&lt;&gt;"",TEXT($J2326,"00"),IFERROR(VLOOKUP(LEFT($N2326,4),LCTT_MAP!$A$7:$C$66,IF($M2326="THU",2,3),FALSE()),IFERROR(VLOOKUP(LEFT($N2326,3),LCTT_MAP!$A$7:$C$66,IF($M2326="THU",2,3),FALSE()),IFERROR(VLOOKUP(LEFT($N2326,2),LCTT_MAP!$A$7:$C$66,IF($M2326="THU",2,3),FALSE()),IFERROR(VLOOKUP(LEFT($N2326,1),LCTT_MAP!$A$7:$C$66,IF($M2326="THU",2,3),FALSE()),IF($M2326="THU","06","07")))))))</f>
        <v/>
      </c>
      <c r="P2326" s="117">
        <f>P2325+IF(AND($H2326&lt;&gt;"",OR(LEFT($F2326,LEN(SC_TK))=SC_TK,LEFT($G2326,LEN(SC_TK))=SC_TK)),1,0)</f>
        <v/>
      </c>
    </row>
    <row r="2327" ht="15" customHeight="1" s="78">
      <c r="A2327" s="95">
        <f>IF($H2327="","",ROW()-6)</f>
        <v/>
      </c>
      <c r="B2327" s="114" t="n"/>
      <c r="C2327" s="102" t="n"/>
      <c r="D2327" s="114" t="n"/>
      <c r="E2327" s="103" t="n"/>
      <c r="F2327" s="102" t="n"/>
      <c r="G2327" s="102" t="n"/>
      <c r="H2327" s="115" t="n"/>
      <c r="I2327" s="102" t="n"/>
      <c r="J2327" s="102" t="n"/>
      <c r="K2327" s="103" t="n"/>
      <c r="L2327" s="116">
        <f>IF($H2327="","",TRIM(IF(COUNTIF(DMTK!$A$7:$A$250,$F2327)=0,"TK Nợ sai! ","")&amp;IF(COUNTIF(DMTK!$A$7:$A$250,$G2327)=0,"TK Có sai! ","")&amp;IF(N($H2327)&lt;=0,"Tiền phải &gt; 0! ","")&amp;IF($B2327="","Thiếu ngày! ","")&amp;IF(AND(OR(LEFT($F2327,3)="131",LEFT($G2327,3)="131",LEFT($F2327,3)="331",LEFT($G2327,3)="331"),$I2327=""),"Thiếu Mã ĐT! ","")&amp;IF(AND($I2327&lt;&gt;"",COUNTIF(DM_DT!$A$7:$A$306,$I2327)=0),"Mã ĐT chưa khai báo! ","")))</f>
        <v/>
      </c>
      <c r="M2327" s="117">
        <f>IF($H2327="","",IF(AND(OR(LEFT($F2327,3)="111",LEFT($F2327,3)="112",LEFT($F2327,3)="113"),OR(LEFT($G2327,3)="111",LEFT($G2327,3)="112",LEFT($G2327,3)="113")),"NB",IF(OR(LEFT($F2327,3)="111",LEFT($F2327,3)="112",LEFT($F2327,3)="113"),"THU",IF(OR(LEFT($G2327,3)="111",LEFT($G2327,3)="112",LEFT($G2327,3)="113"),"CHI",""))))</f>
        <v/>
      </c>
      <c r="N2327" s="117">
        <f>IF($M2327="THU",$G2327,IF($M2327="CHI",$F2327,""))</f>
        <v/>
      </c>
      <c r="O2327" s="117">
        <f>IF(OR($M2327="",$M2327="NB"),"",IF($J2327&lt;&gt;"",TEXT($J2327,"00"),IFERROR(VLOOKUP(LEFT($N2327,4),LCTT_MAP!$A$7:$C$66,IF($M2327="THU",2,3),FALSE()),IFERROR(VLOOKUP(LEFT($N2327,3),LCTT_MAP!$A$7:$C$66,IF($M2327="THU",2,3),FALSE()),IFERROR(VLOOKUP(LEFT($N2327,2),LCTT_MAP!$A$7:$C$66,IF($M2327="THU",2,3),FALSE()),IFERROR(VLOOKUP(LEFT($N2327,1),LCTT_MAP!$A$7:$C$66,IF($M2327="THU",2,3),FALSE()),IF($M2327="THU","06","07")))))))</f>
        <v/>
      </c>
      <c r="P2327" s="117">
        <f>P2326+IF(AND($H2327&lt;&gt;"",OR(LEFT($F2327,LEN(SC_TK))=SC_TK,LEFT($G2327,LEN(SC_TK))=SC_TK)),1,0)</f>
        <v/>
      </c>
    </row>
    <row r="2328" ht="15" customHeight="1" s="78">
      <c r="A2328" s="95">
        <f>IF($H2328="","",ROW()-6)</f>
        <v/>
      </c>
      <c r="B2328" s="114" t="n"/>
      <c r="C2328" s="102" t="n"/>
      <c r="D2328" s="114" t="n"/>
      <c r="E2328" s="103" t="n"/>
      <c r="F2328" s="102" t="n"/>
      <c r="G2328" s="102" t="n"/>
      <c r="H2328" s="115" t="n"/>
      <c r="I2328" s="102" t="n"/>
      <c r="J2328" s="102" t="n"/>
      <c r="K2328" s="103" t="n"/>
      <c r="L2328" s="116">
        <f>IF($H2328="","",TRIM(IF(COUNTIF(DMTK!$A$7:$A$250,$F2328)=0,"TK Nợ sai! ","")&amp;IF(COUNTIF(DMTK!$A$7:$A$250,$G2328)=0,"TK Có sai! ","")&amp;IF(N($H2328)&lt;=0,"Tiền phải &gt; 0! ","")&amp;IF($B2328="","Thiếu ngày! ","")&amp;IF(AND(OR(LEFT($F2328,3)="131",LEFT($G2328,3)="131",LEFT($F2328,3)="331",LEFT($G2328,3)="331"),$I2328=""),"Thiếu Mã ĐT! ","")&amp;IF(AND($I2328&lt;&gt;"",COUNTIF(DM_DT!$A$7:$A$306,$I2328)=0),"Mã ĐT chưa khai báo! ","")))</f>
        <v/>
      </c>
      <c r="M2328" s="117">
        <f>IF($H2328="","",IF(AND(OR(LEFT($F2328,3)="111",LEFT($F2328,3)="112",LEFT($F2328,3)="113"),OR(LEFT($G2328,3)="111",LEFT($G2328,3)="112",LEFT($G2328,3)="113")),"NB",IF(OR(LEFT($F2328,3)="111",LEFT($F2328,3)="112",LEFT($F2328,3)="113"),"THU",IF(OR(LEFT($G2328,3)="111",LEFT($G2328,3)="112",LEFT($G2328,3)="113"),"CHI",""))))</f>
        <v/>
      </c>
      <c r="N2328" s="117">
        <f>IF($M2328="THU",$G2328,IF($M2328="CHI",$F2328,""))</f>
        <v/>
      </c>
      <c r="O2328" s="117">
        <f>IF(OR($M2328="",$M2328="NB"),"",IF($J2328&lt;&gt;"",TEXT($J2328,"00"),IFERROR(VLOOKUP(LEFT($N2328,4),LCTT_MAP!$A$7:$C$66,IF($M2328="THU",2,3),FALSE()),IFERROR(VLOOKUP(LEFT($N2328,3),LCTT_MAP!$A$7:$C$66,IF($M2328="THU",2,3),FALSE()),IFERROR(VLOOKUP(LEFT($N2328,2),LCTT_MAP!$A$7:$C$66,IF($M2328="THU",2,3),FALSE()),IFERROR(VLOOKUP(LEFT($N2328,1),LCTT_MAP!$A$7:$C$66,IF($M2328="THU",2,3),FALSE()),IF($M2328="THU","06","07")))))))</f>
        <v/>
      </c>
      <c r="P2328" s="117">
        <f>P2327+IF(AND($H2328&lt;&gt;"",OR(LEFT($F2328,LEN(SC_TK))=SC_TK,LEFT($G2328,LEN(SC_TK))=SC_TK)),1,0)</f>
        <v/>
      </c>
    </row>
    <row r="2329" ht="15" customHeight="1" s="78">
      <c r="A2329" s="95">
        <f>IF($H2329="","",ROW()-6)</f>
        <v/>
      </c>
      <c r="B2329" s="114" t="n"/>
      <c r="C2329" s="102" t="n"/>
      <c r="D2329" s="114" t="n"/>
      <c r="E2329" s="103" t="n"/>
      <c r="F2329" s="102" t="n"/>
      <c r="G2329" s="102" t="n"/>
      <c r="H2329" s="115" t="n"/>
      <c r="I2329" s="102" t="n"/>
      <c r="J2329" s="102" t="n"/>
      <c r="K2329" s="103" t="n"/>
      <c r="L2329" s="116">
        <f>IF($H2329="","",TRIM(IF(COUNTIF(DMTK!$A$7:$A$250,$F2329)=0,"TK Nợ sai! ","")&amp;IF(COUNTIF(DMTK!$A$7:$A$250,$G2329)=0,"TK Có sai! ","")&amp;IF(N($H2329)&lt;=0,"Tiền phải &gt; 0! ","")&amp;IF($B2329="","Thiếu ngày! ","")&amp;IF(AND(OR(LEFT($F2329,3)="131",LEFT($G2329,3)="131",LEFT($F2329,3)="331",LEFT($G2329,3)="331"),$I2329=""),"Thiếu Mã ĐT! ","")&amp;IF(AND($I2329&lt;&gt;"",COUNTIF(DM_DT!$A$7:$A$306,$I2329)=0),"Mã ĐT chưa khai báo! ","")))</f>
        <v/>
      </c>
      <c r="M2329" s="117">
        <f>IF($H2329="","",IF(AND(OR(LEFT($F2329,3)="111",LEFT($F2329,3)="112",LEFT($F2329,3)="113"),OR(LEFT($G2329,3)="111",LEFT($G2329,3)="112",LEFT($G2329,3)="113")),"NB",IF(OR(LEFT($F2329,3)="111",LEFT($F2329,3)="112",LEFT($F2329,3)="113"),"THU",IF(OR(LEFT($G2329,3)="111",LEFT($G2329,3)="112",LEFT($G2329,3)="113"),"CHI",""))))</f>
        <v/>
      </c>
      <c r="N2329" s="117">
        <f>IF($M2329="THU",$G2329,IF($M2329="CHI",$F2329,""))</f>
        <v/>
      </c>
      <c r="O2329" s="117">
        <f>IF(OR($M2329="",$M2329="NB"),"",IF($J2329&lt;&gt;"",TEXT($J2329,"00"),IFERROR(VLOOKUP(LEFT($N2329,4),LCTT_MAP!$A$7:$C$66,IF($M2329="THU",2,3),FALSE()),IFERROR(VLOOKUP(LEFT($N2329,3),LCTT_MAP!$A$7:$C$66,IF($M2329="THU",2,3),FALSE()),IFERROR(VLOOKUP(LEFT($N2329,2),LCTT_MAP!$A$7:$C$66,IF($M2329="THU",2,3),FALSE()),IFERROR(VLOOKUP(LEFT($N2329,1),LCTT_MAP!$A$7:$C$66,IF($M2329="THU",2,3),FALSE()),IF($M2329="THU","06","07")))))))</f>
        <v/>
      </c>
      <c r="P2329" s="117">
        <f>P2328+IF(AND($H2329&lt;&gt;"",OR(LEFT($F2329,LEN(SC_TK))=SC_TK,LEFT($G2329,LEN(SC_TK))=SC_TK)),1,0)</f>
        <v/>
      </c>
    </row>
    <row r="2330" ht="15" customHeight="1" s="78">
      <c r="A2330" s="95">
        <f>IF($H2330="","",ROW()-6)</f>
        <v/>
      </c>
      <c r="B2330" s="114" t="n"/>
      <c r="C2330" s="102" t="n"/>
      <c r="D2330" s="114" t="n"/>
      <c r="E2330" s="103" t="n"/>
      <c r="F2330" s="102" t="n"/>
      <c r="G2330" s="102" t="n"/>
      <c r="H2330" s="115" t="n"/>
      <c r="I2330" s="102" t="n"/>
      <c r="J2330" s="102" t="n"/>
      <c r="K2330" s="103" t="n"/>
      <c r="L2330" s="116">
        <f>IF($H2330="","",TRIM(IF(COUNTIF(DMTK!$A$7:$A$250,$F2330)=0,"TK Nợ sai! ","")&amp;IF(COUNTIF(DMTK!$A$7:$A$250,$G2330)=0,"TK Có sai! ","")&amp;IF(N($H2330)&lt;=0,"Tiền phải &gt; 0! ","")&amp;IF($B2330="","Thiếu ngày! ","")&amp;IF(AND(OR(LEFT($F2330,3)="131",LEFT($G2330,3)="131",LEFT($F2330,3)="331",LEFT($G2330,3)="331"),$I2330=""),"Thiếu Mã ĐT! ","")&amp;IF(AND($I2330&lt;&gt;"",COUNTIF(DM_DT!$A$7:$A$306,$I2330)=0),"Mã ĐT chưa khai báo! ","")))</f>
        <v/>
      </c>
      <c r="M2330" s="117">
        <f>IF($H2330="","",IF(AND(OR(LEFT($F2330,3)="111",LEFT($F2330,3)="112",LEFT($F2330,3)="113"),OR(LEFT($G2330,3)="111",LEFT($G2330,3)="112",LEFT($G2330,3)="113")),"NB",IF(OR(LEFT($F2330,3)="111",LEFT($F2330,3)="112",LEFT($F2330,3)="113"),"THU",IF(OR(LEFT($G2330,3)="111",LEFT($G2330,3)="112",LEFT($G2330,3)="113"),"CHI",""))))</f>
        <v/>
      </c>
      <c r="N2330" s="117">
        <f>IF($M2330="THU",$G2330,IF($M2330="CHI",$F2330,""))</f>
        <v/>
      </c>
      <c r="O2330" s="117">
        <f>IF(OR($M2330="",$M2330="NB"),"",IF($J2330&lt;&gt;"",TEXT($J2330,"00"),IFERROR(VLOOKUP(LEFT($N2330,4),LCTT_MAP!$A$7:$C$66,IF($M2330="THU",2,3),FALSE()),IFERROR(VLOOKUP(LEFT($N2330,3),LCTT_MAP!$A$7:$C$66,IF($M2330="THU",2,3),FALSE()),IFERROR(VLOOKUP(LEFT($N2330,2),LCTT_MAP!$A$7:$C$66,IF($M2330="THU",2,3),FALSE()),IFERROR(VLOOKUP(LEFT($N2330,1),LCTT_MAP!$A$7:$C$66,IF($M2330="THU",2,3),FALSE()),IF($M2330="THU","06","07")))))))</f>
        <v/>
      </c>
      <c r="P2330" s="117">
        <f>P2329+IF(AND($H2330&lt;&gt;"",OR(LEFT($F2330,LEN(SC_TK))=SC_TK,LEFT($G2330,LEN(SC_TK))=SC_TK)),1,0)</f>
        <v/>
      </c>
    </row>
    <row r="2331" ht="15" customHeight="1" s="78">
      <c r="A2331" s="95">
        <f>IF($H2331="","",ROW()-6)</f>
        <v/>
      </c>
      <c r="B2331" s="114" t="n"/>
      <c r="C2331" s="102" t="n"/>
      <c r="D2331" s="114" t="n"/>
      <c r="E2331" s="103" t="n"/>
      <c r="F2331" s="102" t="n"/>
      <c r="G2331" s="102" t="n"/>
      <c r="H2331" s="115" t="n"/>
      <c r="I2331" s="102" t="n"/>
      <c r="J2331" s="102" t="n"/>
      <c r="K2331" s="103" t="n"/>
      <c r="L2331" s="116">
        <f>IF($H2331="","",TRIM(IF(COUNTIF(DMTK!$A$7:$A$250,$F2331)=0,"TK Nợ sai! ","")&amp;IF(COUNTIF(DMTK!$A$7:$A$250,$G2331)=0,"TK Có sai! ","")&amp;IF(N($H2331)&lt;=0,"Tiền phải &gt; 0! ","")&amp;IF($B2331="","Thiếu ngày! ","")&amp;IF(AND(OR(LEFT($F2331,3)="131",LEFT($G2331,3)="131",LEFT($F2331,3)="331",LEFT($G2331,3)="331"),$I2331=""),"Thiếu Mã ĐT! ","")&amp;IF(AND($I2331&lt;&gt;"",COUNTIF(DM_DT!$A$7:$A$306,$I2331)=0),"Mã ĐT chưa khai báo! ","")))</f>
        <v/>
      </c>
      <c r="M2331" s="117">
        <f>IF($H2331="","",IF(AND(OR(LEFT($F2331,3)="111",LEFT($F2331,3)="112",LEFT($F2331,3)="113"),OR(LEFT($G2331,3)="111",LEFT($G2331,3)="112",LEFT($G2331,3)="113")),"NB",IF(OR(LEFT($F2331,3)="111",LEFT($F2331,3)="112",LEFT($F2331,3)="113"),"THU",IF(OR(LEFT($G2331,3)="111",LEFT($G2331,3)="112",LEFT($G2331,3)="113"),"CHI",""))))</f>
        <v/>
      </c>
      <c r="N2331" s="117">
        <f>IF($M2331="THU",$G2331,IF($M2331="CHI",$F2331,""))</f>
        <v/>
      </c>
      <c r="O2331" s="117">
        <f>IF(OR($M2331="",$M2331="NB"),"",IF($J2331&lt;&gt;"",TEXT($J2331,"00"),IFERROR(VLOOKUP(LEFT($N2331,4),LCTT_MAP!$A$7:$C$66,IF($M2331="THU",2,3),FALSE()),IFERROR(VLOOKUP(LEFT($N2331,3),LCTT_MAP!$A$7:$C$66,IF($M2331="THU",2,3),FALSE()),IFERROR(VLOOKUP(LEFT($N2331,2),LCTT_MAP!$A$7:$C$66,IF($M2331="THU",2,3),FALSE()),IFERROR(VLOOKUP(LEFT($N2331,1),LCTT_MAP!$A$7:$C$66,IF($M2331="THU",2,3),FALSE()),IF($M2331="THU","06","07")))))))</f>
        <v/>
      </c>
      <c r="P2331" s="117">
        <f>P2330+IF(AND($H2331&lt;&gt;"",OR(LEFT($F2331,LEN(SC_TK))=SC_TK,LEFT($G2331,LEN(SC_TK))=SC_TK)),1,0)</f>
        <v/>
      </c>
    </row>
    <row r="2332" ht="15" customHeight="1" s="78">
      <c r="A2332" s="95">
        <f>IF($H2332="","",ROW()-6)</f>
        <v/>
      </c>
      <c r="B2332" s="114" t="n"/>
      <c r="C2332" s="102" t="n"/>
      <c r="D2332" s="114" t="n"/>
      <c r="E2332" s="103" t="n"/>
      <c r="F2332" s="102" t="n"/>
      <c r="G2332" s="102" t="n"/>
      <c r="H2332" s="115" t="n"/>
      <c r="I2332" s="102" t="n"/>
      <c r="J2332" s="102" t="n"/>
      <c r="K2332" s="103" t="n"/>
      <c r="L2332" s="116">
        <f>IF($H2332="","",TRIM(IF(COUNTIF(DMTK!$A$7:$A$250,$F2332)=0,"TK Nợ sai! ","")&amp;IF(COUNTIF(DMTK!$A$7:$A$250,$G2332)=0,"TK Có sai! ","")&amp;IF(N($H2332)&lt;=0,"Tiền phải &gt; 0! ","")&amp;IF($B2332="","Thiếu ngày! ","")&amp;IF(AND(OR(LEFT($F2332,3)="131",LEFT($G2332,3)="131",LEFT($F2332,3)="331",LEFT($G2332,3)="331"),$I2332=""),"Thiếu Mã ĐT! ","")&amp;IF(AND($I2332&lt;&gt;"",COUNTIF(DM_DT!$A$7:$A$306,$I2332)=0),"Mã ĐT chưa khai báo! ","")))</f>
        <v/>
      </c>
      <c r="M2332" s="117">
        <f>IF($H2332="","",IF(AND(OR(LEFT($F2332,3)="111",LEFT($F2332,3)="112",LEFT($F2332,3)="113"),OR(LEFT($G2332,3)="111",LEFT($G2332,3)="112",LEFT($G2332,3)="113")),"NB",IF(OR(LEFT($F2332,3)="111",LEFT($F2332,3)="112",LEFT($F2332,3)="113"),"THU",IF(OR(LEFT($G2332,3)="111",LEFT($G2332,3)="112",LEFT($G2332,3)="113"),"CHI",""))))</f>
        <v/>
      </c>
      <c r="N2332" s="117">
        <f>IF($M2332="THU",$G2332,IF($M2332="CHI",$F2332,""))</f>
        <v/>
      </c>
      <c r="O2332" s="117">
        <f>IF(OR($M2332="",$M2332="NB"),"",IF($J2332&lt;&gt;"",TEXT($J2332,"00"),IFERROR(VLOOKUP(LEFT($N2332,4),LCTT_MAP!$A$7:$C$66,IF($M2332="THU",2,3),FALSE()),IFERROR(VLOOKUP(LEFT($N2332,3),LCTT_MAP!$A$7:$C$66,IF($M2332="THU",2,3),FALSE()),IFERROR(VLOOKUP(LEFT($N2332,2),LCTT_MAP!$A$7:$C$66,IF($M2332="THU",2,3),FALSE()),IFERROR(VLOOKUP(LEFT($N2332,1),LCTT_MAP!$A$7:$C$66,IF($M2332="THU",2,3),FALSE()),IF($M2332="THU","06","07")))))))</f>
        <v/>
      </c>
      <c r="P2332" s="117">
        <f>P2331+IF(AND($H2332&lt;&gt;"",OR(LEFT($F2332,LEN(SC_TK))=SC_TK,LEFT($G2332,LEN(SC_TK))=SC_TK)),1,0)</f>
        <v/>
      </c>
    </row>
    <row r="2333" ht="15" customHeight="1" s="78">
      <c r="A2333" s="95">
        <f>IF($H2333="","",ROW()-6)</f>
        <v/>
      </c>
      <c r="B2333" s="114" t="n"/>
      <c r="C2333" s="102" t="n"/>
      <c r="D2333" s="114" t="n"/>
      <c r="E2333" s="103" t="n"/>
      <c r="F2333" s="102" t="n"/>
      <c r="G2333" s="102" t="n"/>
      <c r="H2333" s="115" t="n"/>
      <c r="I2333" s="102" t="n"/>
      <c r="J2333" s="102" t="n"/>
      <c r="K2333" s="103" t="n"/>
      <c r="L2333" s="116">
        <f>IF($H2333="","",TRIM(IF(COUNTIF(DMTK!$A$7:$A$250,$F2333)=0,"TK Nợ sai! ","")&amp;IF(COUNTIF(DMTK!$A$7:$A$250,$G2333)=0,"TK Có sai! ","")&amp;IF(N($H2333)&lt;=0,"Tiền phải &gt; 0! ","")&amp;IF($B2333="","Thiếu ngày! ","")&amp;IF(AND(OR(LEFT($F2333,3)="131",LEFT($G2333,3)="131",LEFT($F2333,3)="331",LEFT($G2333,3)="331"),$I2333=""),"Thiếu Mã ĐT! ","")&amp;IF(AND($I2333&lt;&gt;"",COUNTIF(DM_DT!$A$7:$A$306,$I2333)=0),"Mã ĐT chưa khai báo! ","")))</f>
        <v/>
      </c>
      <c r="M2333" s="117">
        <f>IF($H2333="","",IF(AND(OR(LEFT($F2333,3)="111",LEFT($F2333,3)="112",LEFT($F2333,3)="113"),OR(LEFT($G2333,3)="111",LEFT($G2333,3)="112",LEFT($G2333,3)="113")),"NB",IF(OR(LEFT($F2333,3)="111",LEFT($F2333,3)="112",LEFT($F2333,3)="113"),"THU",IF(OR(LEFT($G2333,3)="111",LEFT($G2333,3)="112",LEFT($G2333,3)="113"),"CHI",""))))</f>
        <v/>
      </c>
      <c r="N2333" s="117">
        <f>IF($M2333="THU",$G2333,IF($M2333="CHI",$F2333,""))</f>
        <v/>
      </c>
      <c r="O2333" s="117">
        <f>IF(OR($M2333="",$M2333="NB"),"",IF($J2333&lt;&gt;"",TEXT($J2333,"00"),IFERROR(VLOOKUP(LEFT($N2333,4),LCTT_MAP!$A$7:$C$66,IF($M2333="THU",2,3),FALSE()),IFERROR(VLOOKUP(LEFT($N2333,3),LCTT_MAP!$A$7:$C$66,IF($M2333="THU",2,3),FALSE()),IFERROR(VLOOKUP(LEFT($N2333,2),LCTT_MAP!$A$7:$C$66,IF($M2333="THU",2,3),FALSE()),IFERROR(VLOOKUP(LEFT($N2333,1),LCTT_MAP!$A$7:$C$66,IF($M2333="THU",2,3),FALSE()),IF($M2333="THU","06","07")))))))</f>
        <v/>
      </c>
      <c r="P2333" s="117">
        <f>P2332+IF(AND($H2333&lt;&gt;"",OR(LEFT($F2333,LEN(SC_TK))=SC_TK,LEFT($G2333,LEN(SC_TK))=SC_TK)),1,0)</f>
        <v/>
      </c>
    </row>
    <row r="2334" ht="15" customHeight="1" s="78">
      <c r="A2334" s="95">
        <f>IF($H2334="","",ROW()-6)</f>
        <v/>
      </c>
      <c r="B2334" s="114" t="n"/>
      <c r="C2334" s="102" t="n"/>
      <c r="D2334" s="114" t="n"/>
      <c r="E2334" s="103" t="n"/>
      <c r="F2334" s="102" t="n"/>
      <c r="G2334" s="102" t="n"/>
      <c r="H2334" s="115" t="n"/>
      <c r="I2334" s="102" t="n"/>
      <c r="J2334" s="102" t="n"/>
      <c r="K2334" s="103" t="n"/>
      <c r="L2334" s="116">
        <f>IF($H2334="","",TRIM(IF(COUNTIF(DMTK!$A$7:$A$250,$F2334)=0,"TK Nợ sai! ","")&amp;IF(COUNTIF(DMTK!$A$7:$A$250,$G2334)=0,"TK Có sai! ","")&amp;IF(N($H2334)&lt;=0,"Tiền phải &gt; 0! ","")&amp;IF($B2334="","Thiếu ngày! ","")&amp;IF(AND(OR(LEFT($F2334,3)="131",LEFT($G2334,3)="131",LEFT($F2334,3)="331",LEFT($G2334,3)="331"),$I2334=""),"Thiếu Mã ĐT! ","")&amp;IF(AND($I2334&lt;&gt;"",COUNTIF(DM_DT!$A$7:$A$306,$I2334)=0),"Mã ĐT chưa khai báo! ","")))</f>
        <v/>
      </c>
      <c r="M2334" s="117">
        <f>IF($H2334="","",IF(AND(OR(LEFT($F2334,3)="111",LEFT($F2334,3)="112",LEFT($F2334,3)="113"),OR(LEFT($G2334,3)="111",LEFT($G2334,3)="112",LEFT($G2334,3)="113")),"NB",IF(OR(LEFT($F2334,3)="111",LEFT($F2334,3)="112",LEFT($F2334,3)="113"),"THU",IF(OR(LEFT($G2334,3)="111",LEFT($G2334,3)="112",LEFT($G2334,3)="113"),"CHI",""))))</f>
        <v/>
      </c>
      <c r="N2334" s="117">
        <f>IF($M2334="THU",$G2334,IF($M2334="CHI",$F2334,""))</f>
        <v/>
      </c>
      <c r="O2334" s="117">
        <f>IF(OR($M2334="",$M2334="NB"),"",IF($J2334&lt;&gt;"",TEXT($J2334,"00"),IFERROR(VLOOKUP(LEFT($N2334,4),LCTT_MAP!$A$7:$C$66,IF($M2334="THU",2,3),FALSE()),IFERROR(VLOOKUP(LEFT($N2334,3),LCTT_MAP!$A$7:$C$66,IF($M2334="THU",2,3),FALSE()),IFERROR(VLOOKUP(LEFT($N2334,2),LCTT_MAP!$A$7:$C$66,IF($M2334="THU",2,3),FALSE()),IFERROR(VLOOKUP(LEFT($N2334,1),LCTT_MAP!$A$7:$C$66,IF($M2334="THU",2,3),FALSE()),IF($M2334="THU","06","07")))))))</f>
        <v/>
      </c>
      <c r="P2334" s="117">
        <f>P2333+IF(AND($H2334&lt;&gt;"",OR(LEFT($F2334,LEN(SC_TK))=SC_TK,LEFT($G2334,LEN(SC_TK))=SC_TK)),1,0)</f>
        <v/>
      </c>
    </row>
    <row r="2335" ht="15" customHeight="1" s="78">
      <c r="A2335" s="95">
        <f>IF($H2335="","",ROW()-6)</f>
        <v/>
      </c>
      <c r="B2335" s="114" t="n"/>
      <c r="C2335" s="102" t="n"/>
      <c r="D2335" s="114" t="n"/>
      <c r="E2335" s="103" t="n"/>
      <c r="F2335" s="102" t="n"/>
      <c r="G2335" s="102" t="n"/>
      <c r="H2335" s="115" t="n"/>
      <c r="I2335" s="102" t="n"/>
      <c r="J2335" s="102" t="n"/>
      <c r="K2335" s="103" t="n"/>
      <c r="L2335" s="116">
        <f>IF($H2335="","",TRIM(IF(COUNTIF(DMTK!$A$7:$A$250,$F2335)=0,"TK Nợ sai! ","")&amp;IF(COUNTIF(DMTK!$A$7:$A$250,$G2335)=0,"TK Có sai! ","")&amp;IF(N($H2335)&lt;=0,"Tiền phải &gt; 0! ","")&amp;IF($B2335="","Thiếu ngày! ","")&amp;IF(AND(OR(LEFT($F2335,3)="131",LEFT($G2335,3)="131",LEFT($F2335,3)="331",LEFT($G2335,3)="331"),$I2335=""),"Thiếu Mã ĐT! ","")&amp;IF(AND($I2335&lt;&gt;"",COUNTIF(DM_DT!$A$7:$A$306,$I2335)=0),"Mã ĐT chưa khai báo! ","")))</f>
        <v/>
      </c>
      <c r="M2335" s="117">
        <f>IF($H2335="","",IF(AND(OR(LEFT($F2335,3)="111",LEFT($F2335,3)="112",LEFT($F2335,3)="113"),OR(LEFT($G2335,3)="111",LEFT($G2335,3)="112",LEFT($G2335,3)="113")),"NB",IF(OR(LEFT($F2335,3)="111",LEFT($F2335,3)="112",LEFT($F2335,3)="113"),"THU",IF(OR(LEFT($G2335,3)="111",LEFT($G2335,3)="112",LEFT($G2335,3)="113"),"CHI",""))))</f>
        <v/>
      </c>
      <c r="N2335" s="117">
        <f>IF($M2335="THU",$G2335,IF($M2335="CHI",$F2335,""))</f>
        <v/>
      </c>
      <c r="O2335" s="117">
        <f>IF(OR($M2335="",$M2335="NB"),"",IF($J2335&lt;&gt;"",TEXT($J2335,"00"),IFERROR(VLOOKUP(LEFT($N2335,4),LCTT_MAP!$A$7:$C$66,IF($M2335="THU",2,3),FALSE()),IFERROR(VLOOKUP(LEFT($N2335,3),LCTT_MAP!$A$7:$C$66,IF($M2335="THU",2,3),FALSE()),IFERROR(VLOOKUP(LEFT($N2335,2),LCTT_MAP!$A$7:$C$66,IF($M2335="THU",2,3),FALSE()),IFERROR(VLOOKUP(LEFT($N2335,1),LCTT_MAP!$A$7:$C$66,IF($M2335="THU",2,3),FALSE()),IF($M2335="THU","06","07")))))))</f>
        <v/>
      </c>
      <c r="P2335" s="117">
        <f>P2334+IF(AND($H2335&lt;&gt;"",OR(LEFT($F2335,LEN(SC_TK))=SC_TK,LEFT($G2335,LEN(SC_TK))=SC_TK)),1,0)</f>
        <v/>
      </c>
    </row>
    <row r="2336" ht="15" customHeight="1" s="78">
      <c r="A2336" s="95">
        <f>IF($H2336="","",ROW()-6)</f>
        <v/>
      </c>
      <c r="B2336" s="114" t="n"/>
      <c r="C2336" s="102" t="n"/>
      <c r="D2336" s="114" t="n"/>
      <c r="E2336" s="103" t="n"/>
      <c r="F2336" s="102" t="n"/>
      <c r="G2336" s="102" t="n"/>
      <c r="H2336" s="115" t="n"/>
      <c r="I2336" s="102" t="n"/>
      <c r="J2336" s="102" t="n"/>
      <c r="K2336" s="103" t="n"/>
      <c r="L2336" s="116">
        <f>IF($H2336="","",TRIM(IF(COUNTIF(DMTK!$A$7:$A$250,$F2336)=0,"TK Nợ sai! ","")&amp;IF(COUNTIF(DMTK!$A$7:$A$250,$G2336)=0,"TK Có sai! ","")&amp;IF(N($H2336)&lt;=0,"Tiền phải &gt; 0! ","")&amp;IF($B2336="","Thiếu ngày! ","")&amp;IF(AND(OR(LEFT($F2336,3)="131",LEFT($G2336,3)="131",LEFT($F2336,3)="331",LEFT($G2336,3)="331"),$I2336=""),"Thiếu Mã ĐT! ","")&amp;IF(AND($I2336&lt;&gt;"",COUNTIF(DM_DT!$A$7:$A$306,$I2336)=0),"Mã ĐT chưa khai báo! ","")))</f>
        <v/>
      </c>
      <c r="M2336" s="117">
        <f>IF($H2336="","",IF(AND(OR(LEFT($F2336,3)="111",LEFT($F2336,3)="112",LEFT($F2336,3)="113"),OR(LEFT($G2336,3)="111",LEFT($G2336,3)="112",LEFT($G2336,3)="113")),"NB",IF(OR(LEFT($F2336,3)="111",LEFT($F2336,3)="112",LEFT($F2336,3)="113"),"THU",IF(OR(LEFT($G2336,3)="111",LEFT($G2336,3)="112",LEFT($G2336,3)="113"),"CHI",""))))</f>
        <v/>
      </c>
      <c r="N2336" s="117">
        <f>IF($M2336="THU",$G2336,IF($M2336="CHI",$F2336,""))</f>
        <v/>
      </c>
      <c r="O2336" s="117">
        <f>IF(OR($M2336="",$M2336="NB"),"",IF($J2336&lt;&gt;"",TEXT($J2336,"00"),IFERROR(VLOOKUP(LEFT($N2336,4),LCTT_MAP!$A$7:$C$66,IF($M2336="THU",2,3),FALSE()),IFERROR(VLOOKUP(LEFT($N2336,3),LCTT_MAP!$A$7:$C$66,IF($M2336="THU",2,3),FALSE()),IFERROR(VLOOKUP(LEFT($N2336,2),LCTT_MAP!$A$7:$C$66,IF($M2336="THU",2,3),FALSE()),IFERROR(VLOOKUP(LEFT($N2336,1),LCTT_MAP!$A$7:$C$66,IF($M2336="THU",2,3),FALSE()),IF($M2336="THU","06","07")))))))</f>
        <v/>
      </c>
      <c r="P2336" s="117">
        <f>P2335+IF(AND($H2336&lt;&gt;"",OR(LEFT($F2336,LEN(SC_TK))=SC_TK,LEFT($G2336,LEN(SC_TK))=SC_TK)),1,0)</f>
        <v/>
      </c>
    </row>
    <row r="2337" ht="15" customHeight="1" s="78">
      <c r="A2337" s="95">
        <f>IF($H2337="","",ROW()-6)</f>
        <v/>
      </c>
      <c r="B2337" s="114" t="n"/>
      <c r="C2337" s="102" t="n"/>
      <c r="D2337" s="114" t="n"/>
      <c r="E2337" s="103" t="n"/>
      <c r="F2337" s="102" t="n"/>
      <c r="G2337" s="102" t="n"/>
      <c r="H2337" s="115" t="n"/>
      <c r="I2337" s="102" t="n"/>
      <c r="J2337" s="102" t="n"/>
      <c r="K2337" s="103" t="n"/>
      <c r="L2337" s="116">
        <f>IF($H2337="","",TRIM(IF(COUNTIF(DMTK!$A$7:$A$250,$F2337)=0,"TK Nợ sai! ","")&amp;IF(COUNTIF(DMTK!$A$7:$A$250,$G2337)=0,"TK Có sai! ","")&amp;IF(N($H2337)&lt;=0,"Tiền phải &gt; 0! ","")&amp;IF($B2337="","Thiếu ngày! ","")&amp;IF(AND(OR(LEFT($F2337,3)="131",LEFT($G2337,3)="131",LEFT($F2337,3)="331",LEFT($G2337,3)="331"),$I2337=""),"Thiếu Mã ĐT! ","")&amp;IF(AND($I2337&lt;&gt;"",COUNTIF(DM_DT!$A$7:$A$306,$I2337)=0),"Mã ĐT chưa khai báo! ","")))</f>
        <v/>
      </c>
      <c r="M2337" s="117">
        <f>IF($H2337="","",IF(AND(OR(LEFT($F2337,3)="111",LEFT($F2337,3)="112",LEFT($F2337,3)="113"),OR(LEFT($G2337,3)="111",LEFT($G2337,3)="112",LEFT($G2337,3)="113")),"NB",IF(OR(LEFT($F2337,3)="111",LEFT($F2337,3)="112",LEFT($F2337,3)="113"),"THU",IF(OR(LEFT($G2337,3)="111",LEFT($G2337,3)="112",LEFT($G2337,3)="113"),"CHI",""))))</f>
        <v/>
      </c>
      <c r="N2337" s="117">
        <f>IF($M2337="THU",$G2337,IF($M2337="CHI",$F2337,""))</f>
        <v/>
      </c>
      <c r="O2337" s="117">
        <f>IF(OR($M2337="",$M2337="NB"),"",IF($J2337&lt;&gt;"",TEXT($J2337,"00"),IFERROR(VLOOKUP(LEFT($N2337,4),LCTT_MAP!$A$7:$C$66,IF($M2337="THU",2,3),FALSE()),IFERROR(VLOOKUP(LEFT($N2337,3),LCTT_MAP!$A$7:$C$66,IF($M2337="THU",2,3),FALSE()),IFERROR(VLOOKUP(LEFT($N2337,2),LCTT_MAP!$A$7:$C$66,IF($M2337="THU",2,3),FALSE()),IFERROR(VLOOKUP(LEFT($N2337,1),LCTT_MAP!$A$7:$C$66,IF($M2337="THU",2,3),FALSE()),IF($M2337="THU","06","07")))))))</f>
        <v/>
      </c>
      <c r="P2337" s="117">
        <f>P2336+IF(AND($H2337&lt;&gt;"",OR(LEFT($F2337,LEN(SC_TK))=SC_TK,LEFT($G2337,LEN(SC_TK))=SC_TK)),1,0)</f>
        <v/>
      </c>
    </row>
    <row r="2338" ht="15" customHeight="1" s="78">
      <c r="A2338" s="95">
        <f>IF($H2338="","",ROW()-6)</f>
        <v/>
      </c>
      <c r="B2338" s="114" t="n"/>
      <c r="C2338" s="102" t="n"/>
      <c r="D2338" s="114" t="n"/>
      <c r="E2338" s="103" t="n"/>
      <c r="F2338" s="102" t="n"/>
      <c r="G2338" s="102" t="n"/>
      <c r="H2338" s="115" t="n"/>
      <c r="I2338" s="102" t="n"/>
      <c r="J2338" s="102" t="n"/>
      <c r="K2338" s="103" t="n"/>
      <c r="L2338" s="116">
        <f>IF($H2338="","",TRIM(IF(COUNTIF(DMTK!$A$7:$A$250,$F2338)=0,"TK Nợ sai! ","")&amp;IF(COUNTIF(DMTK!$A$7:$A$250,$G2338)=0,"TK Có sai! ","")&amp;IF(N($H2338)&lt;=0,"Tiền phải &gt; 0! ","")&amp;IF($B2338="","Thiếu ngày! ","")&amp;IF(AND(OR(LEFT($F2338,3)="131",LEFT($G2338,3)="131",LEFT($F2338,3)="331",LEFT($G2338,3)="331"),$I2338=""),"Thiếu Mã ĐT! ","")&amp;IF(AND($I2338&lt;&gt;"",COUNTIF(DM_DT!$A$7:$A$306,$I2338)=0),"Mã ĐT chưa khai báo! ","")))</f>
        <v/>
      </c>
      <c r="M2338" s="117">
        <f>IF($H2338="","",IF(AND(OR(LEFT($F2338,3)="111",LEFT($F2338,3)="112",LEFT($F2338,3)="113"),OR(LEFT($G2338,3)="111",LEFT($G2338,3)="112",LEFT($G2338,3)="113")),"NB",IF(OR(LEFT($F2338,3)="111",LEFT($F2338,3)="112",LEFT($F2338,3)="113"),"THU",IF(OR(LEFT($G2338,3)="111",LEFT($G2338,3)="112",LEFT($G2338,3)="113"),"CHI",""))))</f>
        <v/>
      </c>
      <c r="N2338" s="117">
        <f>IF($M2338="THU",$G2338,IF($M2338="CHI",$F2338,""))</f>
        <v/>
      </c>
      <c r="O2338" s="117">
        <f>IF(OR($M2338="",$M2338="NB"),"",IF($J2338&lt;&gt;"",TEXT($J2338,"00"),IFERROR(VLOOKUP(LEFT($N2338,4),LCTT_MAP!$A$7:$C$66,IF($M2338="THU",2,3),FALSE()),IFERROR(VLOOKUP(LEFT($N2338,3),LCTT_MAP!$A$7:$C$66,IF($M2338="THU",2,3),FALSE()),IFERROR(VLOOKUP(LEFT($N2338,2),LCTT_MAP!$A$7:$C$66,IF($M2338="THU",2,3),FALSE()),IFERROR(VLOOKUP(LEFT($N2338,1),LCTT_MAP!$A$7:$C$66,IF($M2338="THU",2,3),FALSE()),IF($M2338="THU","06","07")))))))</f>
        <v/>
      </c>
      <c r="P2338" s="117">
        <f>P2337+IF(AND($H2338&lt;&gt;"",OR(LEFT($F2338,LEN(SC_TK))=SC_TK,LEFT($G2338,LEN(SC_TK))=SC_TK)),1,0)</f>
        <v/>
      </c>
    </row>
    <row r="2339" ht="15" customHeight="1" s="78">
      <c r="A2339" s="95">
        <f>IF($H2339="","",ROW()-6)</f>
        <v/>
      </c>
      <c r="B2339" s="114" t="n"/>
      <c r="C2339" s="102" t="n"/>
      <c r="D2339" s="114" t="n"/>
      <c r="E2339" s="103" t="n"/>
      <c r="F2339" s="102" t="n"/>
      <c r="G2339" s="102" t="n"/>
      <c r="H2339" s="115" t="n"/>
      <c r="I2339" s="102" t="n"/>
      <c r="J2339" s="102" t="n"/>
      <c r="K2339" s="103" t="n"/>
      <c r="L2339" s="116">
        <f>IF($H2339="","",TRIM(IF(COUNTIF(DMTK!$A$7:$A$250,$F2339)=0,"TK Nợ sai! ","")&amp;IF(COUNTIF(DMTK!$A$7:$A$250,$G2339)=0,"TK Có sai! ","")&amp;IF(N($H2339)&lt;=0,"Tiền phải &gt; 0! ","")&amp;IF($B2339="","Thiếu ngày! ","")&amp;IF(AND(OR(LEFT($F2339,3)="131",LEFT($G2339,3)="131",LEFT($F2339,3)="331",LEFT($G2339,3)="331"),$I2339=""),"Thiếu Mã ĐT! ","")&amp;IF(AND($I2339&lt;&gt;"",COUNTIF(DM_DT!$A$7:$A$306,$I2339)=0),"Mã ĐT chưa khai báo! ","")))</f>
        <v/>
      </c>
      <c r="M2339" s="117">
        <f>IF($H2339="","",IF(AND(OR(LEFT($F2339,3)="111",LEFT($F2339,3)="112",LEFT($F2339,3)="113"),OR(LEFT($G2339,3)="111",LEFT($G2339,3)="112",LEFT($G2339,3)="113")),"NB",IF(OR(LEFT($F2339,3)="111",LEFT($F2339,3)="112",LEFT($F2339,3)="113"),"THU",IF(OR(LEFT($G2339,3)="111",LEFT($G2339,3)="112",LEFT($G2339,3)="113"),"CHI",""))))</f>
        <v/>
      </c>
      <c r="N2339" s="117">
        <f>IF($M2339="THU",$G2339,IF($M2339="CHI",$F2339,""))</f>
        <v/>
      </c>
      <c r="O2339" s="117">
        <f>IF(OR($M2339="",$M2339="NB"),"",IF($J2339&lt;&gt;"",TEXT($J2339,"00"),IFERROR(VLOOKUP(LEFT($N2339,4),LCTT_MAP!$A$7:$C$66,IF($M2339="THU",2,3),FALSE()),IFERROR(VLOOKUP(LEFT($N2339,3),LCTT_MAP!$A$7:$C$66,IF($M2339="THU",2,3),FALSE()),IFERROR(VLOOKUP(LEFT($N2339,2),LCTT_MAP!$A$7:$C$66,IF($M2339="THU",2,3),FALSE()),IFERROR(VLOOKUP(LEFT($N2339,1),LCTT_MAP!$A$7:$C$66,IF($M2339="THU",2,3),FALSE()),IF($M2339="THU","06","07")))))))</f>
        <v/>
      </c>
      <c r="P2339" s="117">
        <f>P2338+IF(AND($H2339&lt;&gt;"",OR(LEFT($F2339,LEN(SC_TK))=SC_TK,LEFT($G2339,LEN(SC_TK))=SC_TK)),1,0)</f>
        <v/>
      </c>
    </row>
    <row r="2340" ht="15" customHeight="1" s="78">
      <c r="A2340" s="95">
        <f>IF($H2340="","",ROW()-6)</f>
        <v/>
      </c>
      <c r="B2340" s="114" t="n"/>
      <c r="C2340" s="102" t="n"/>
      <c r="D2340" s="114" t="n"/>
      <c r="E2340" s="103" t="n"/>
      <c r="F2340" s="102" t="n"/>
      <c r="G2340" s="102" t="n"/>
      <c r="H2340" s="115" t="n"/>
      <c r="I2340" s="102" t="n"/>
      <c r="J2340" s="102" t="n"/>
      <c r="K2340" s="103" t="n"/>
      <c r="L2340" s="116">
        <f>IF($H2340="","",TRIM(IF(COUNTIF(DMTK!$A$7:$A$250,$F2340)=0,"TK Nợ sai! ","")&amp;IF(COUNTIF(DMTK!$A$7:$A$250,$G2340)=0,"TK Có sai! ","")&amp;IF(N($H2340)&lt;=0,"Tiền phải &gt; 0! ","")&amp;IF($B2340="","Thiếu ngày! ","")&amp;IF(AND(OR(LEFT($F2340,3)="131",LEFT($G2340,3)="131",LEFT($F2340,3)="331",LEFT($G2340,3)="331"),$I2340=""),"Thiếu Mã ĐT! ","")&amp;IF(AND($I2340&lt;&gt;"",COUNTIF(DM_DT!$A$7:$A$306,$I2340)=0),"Mã ĐT chưa khai báo! ","")))</f>
        <v/>
      </c>
      <c r="M2340" s="117">
        <f>IF($H2340="","",IF(AND(OR(LEFT($F2340,3)="111",LEFT($F2340,3)="112",LEFT($F2340,3)="113"),OR(LEFT($G2340,3)="111",LEFT($G2340,3)="112",LEFT($G2340,3)="113")),"NB",IF(OR(LEFT($F2340,3)="111",LEFT($F2340,3)="112",LEFT($F2340,3)="113"),"THU",IF(OR(LEFT($G2340,3)="111",LEFT($G2340,3)="112",LEFT($G2340,3)="113"),"CHI",""))))</f>
        <v/>
      </c>
      <c r="N2340" s="117">
        <f>IF($M2340="THU",$G2340,IF($M2340="CHI",$F2340,""))</f>
        <v/>
      </c>
      <c r="O2340" s="117">
        <f>IF(OR($M2340="",$M2340="NB"),"",IF($J2340&lt;&gt;"",TEXT($J2340,"00"),IFERROR(VLOOKUP(LEFT($N2340,4),LCTT_MAP!$A$7:$C$66,IF($M2340="THU",2,3),FALSE()),IFERROR(VLOOKUP(LEFT($N2340,3),LCTT_MAP!$A$7:$C$66,IF($M2340="THU",2,3),FALSE()),IFERROR(VLOOKUP(LEFT($N2340,2),LCTT_MAP!$A$7:$C$66,IF($M2340="THU",2,3),FALSE()),IFERROR(VLOOKUP(LEFT($N2340,1),LCTT_MAP!$A$7:$C$66,IF($M2340="THU",2,3),FALSE()),IF($M2340="THU","06","07")))))))</f>
        <v/>
      </c>
      <c r="P2340" s="117">
        <f>P2339+IF(AND($H2340&lt;&gt;"",OR(LEFT($F2340,LEN(SC_TK))=SC_TK,LEFT($G2340,LEN(SC_TK))=SC_TK)),1,0)</f>
        <v/>
      </c>
    </row>
    <row r="2341" ht="15" customHeight="1" s="78">
      <c r="A2341" s="95">
        <f>IF($H2341="","",ROW()-6)</f>
        <v/>
      </c>
      <c r="B2341" s="114" t="n"/>
      <c r="C2341" s="102" t="n"/>
      <c r="D2341" s="114" t="n"/>
      <c r="E2341" s="103" t="n"/>
      <c r="F2341" s="102" t="n"/>
      <c r="G2341" s="102" t="n"/>
      <c r="H2341" s="115" t="n"/>
      <c r="I2341" s="102" t="n"/>
      <c r="J2341" s="102" t="n"/>
      <c r="K2341" s="103" t="n"/>
      <c r="L2341" s="116">
        <f>IF($H2341="","",TRIM(IF(COUNTIF(DMTK!$A$7:$A$250,$F2341)=0,"TK Nợ sai! ","")&amp;IF(COUNTIF(DMTK!$A$7:$A$250,$G2341)=0,"TK Có sai! ","")&amp;IF(N($H2341)&lt;=0,"Tiền phải &gt; 0! ","")&amp;IF($B2341="","Thiếu ngày! ","")&amp;IF(AND(OR(LEFT($F2341,3)="131",LEFT($G2341,3)="131",LEFT($F2341,3)="331",LEFT($G2341,3)="331"),$I2341=""),"Thiếu Mã ĐT! ","")&amp;IF(AND($I2341&lt;&gt;"",COUNTIF(DM_DT!$A$7:$A$306,$I2341)=0),"Mã ĐT chưa khai báo! ","")))</f>
        <v/>
      </c>
      <c r="M2341" s="117">
        <f>IF($H2341="","",IF(AND(OR(LEFT($F2341,3)="111",LEFT($F2341,3)="112",LEFT($F2341,3)="113"),OR(LEFT($G2341,3)="111",LEFT($G2341,3)="112",LEFT($G2341,3)="113")),"NB",IF(OR(LEFT($F2341,3)="111",LEFT($F2341,3)="112",LEFT($F2341,3)="113"),"THU",IF(OR(LEFT($G2341,3)="111",LEFT($G2341,3)="112",LEFT($G2341,3)="113"),"CHI",""))))</f>
        <v/>
      </c>
      <c r="N2341" s="117">
        <f>IF($M2341="THU",$G2341,IF($M2341="CHI",$F2341,""))</f>
        <v/>
      </c>
      <c r="O2341" s="117">
        <f>IF(OR($M2341="",$M2341="NB"),"",IF($J2341&lt;&gt;"",TEXT($J2341,"00"),IFERROR(VLOOKUP(LEFT($N2341,4),LCTT_MAP!$A$7:$C$66,IF($M2341="THU",2,3),FALSE()),IFERROR(VLOOKUP(LEFT($N2341,3),LCTT_MAP!$A$7:$C$66,IF($M2341="THU",2,3),FALSE()),IFERROR(VLOOKUP(LEFT($N2341,2),LCTT_MAP!$A$7:$C$66,IF($M2341="THU",2,3),FALSE()),IFERROR(VLOOKUP(LEFT($N2341,1),LCTT_MAP!$A$7:$C$66,IF($M2341="THU",2,3),FALSE()),IF($M2341="THU","06","07")))))))</f>
        <v/>
      </c>
      <c r="P2341" s="117">
        <f>P2340+IF(AND($H2341&lt;&gt;"",OR(LEFT($F2341,LEN(SC_TK))=SC_TK,LEFT($G2341,LEN(SC_TK))=SC_TK)),1,0)</f>
        <v/>
      </c>
    </row>
    <row r="2342" ht="15" customHeight="1" s="78">
      <c r="A2342" s="95">
        <f>IF($H2342="","",ROW()-6)</f>
        <v/>
      </c>
      <c r="B2342" s="114" t="n"/>
      <c r="C2342" s="102" t="n"/>
      <c r="D2342" s="114" t="n"/>
      <c r="E2342" s="103" t="n"/>
      <c r="F2342" s="102" t="n"/>
      <c r="G2342" s="102" t="n"/>
      <c r="H2342" s="115" t="n"/>
      <c r="I2342" s="102" t="n"/>
      <c r="J2342" s="102" t="n"/>
      <c r="K2342" s="103" t="n"/>
      <c r="L2342" s="116">
        <f>IF($H2342="","",TRIM(IF(COUNTIF(DMTK!$A$7:$A$250,$F2342)=0,"TK Nợ sai! ","")&amp;IF(COUNTIF(DMTK!$A$7:$A$250,$G2342)=0,"TK Có sai! ","")&amp;IF(N($H2342)&lt;=0,"Tiền phải &gt; 0! ","")&amp;IF($B2342="","Thiếu ngày! ","")&amp;IF(AND(OR(LEFT($F2342,3)="131",LEFT($G2342,3)="131",LEFT($F2342,3)="331",LEFT($G2342,3)="331"),$I2342=""),"Thiếu Mã ĐT! ","")&amp;IF(AND($I2342&lt;&gt;"",COUNTIF(DM_DT!$A$7:$A$306,$I2342)=0),"Mã ĐT chưa khai báo! ","")))</f>
        <v/>
      </c>
      <c r="M2342" s="117">
        <f>IF($H2342="","",IF(AND(OR(LEFT($F2342,3)="111",LEFT($F2342,3)="112",LEFT($F2342,3)="113"),OR(LEFT($G2342,3)="111",LEFT($G2342,3)="112",LEFT($G2342,3)="113")),"NB",IF(OR(LEFT($F2342,3)="111",LEFT($F2342,3)="112",LEFT($F2342,3)="113"),"THU",IF(OR(LEFT($G2342,3)="111",LEFT($G2342,3)="112",LEFT($G2342,3)="113"),"CHI",""))))</f>
        <v/>
      </c>
      <c r="N2342" s="117">
        <f>IF($M2342="THU",$G2342,IF($M2342="CHI",$F2342,""))</f>
        <v/>
      </c>
      <c r="O2342" s="117">
        <f>IF(OR($M2342="",$M2342="NB"),"",IF($J2342&lt;&gt;"",TEXT($J2342,"00"),IFERROR(VLOOKUP(LEFT($N2342,4),LCTT_MAP!$A$7:$C$66,IF($M2342="THU",2,3),FALSE()),IFERROR(VLOOKUP(LEFT($N2342,3),LCTT_MAP!$A$7:$C$66,IF($M2342="THU",2,3),FALSE()),IFERROR(VLOOKUP(LEFT($N2342,2),LCTT_MAP!$A$7:$C$66,IF($M2342="THU",2,3),FALSE()),IFERROR(VLOOKUP(LEFT($N2342,1),LCTT_MAP!$A$7:$C$66,IF($M2342="THU",2,3),FALSE()),IF($M2342="THU","06","07")))))))</f>
        <v/>
      </c>
      <c r="P2342" s="117">
        <f>P2341+IF(AND($H2342&lt;&gt;"",OR(LEFT($F2342,LEN(SC_TK))=SC_TK,LEFT($G2342,LEN(SC_TK))=SC_TK)),1,0)</f>
        <v/>
      </c>
    </row>
    <row r="2343" ht="15" customHeight="1" s="78">
      <c r="A2343" s="95">
        <f>IF($H2343="","",ROW()-6)</f>
        <v/>
      </c>
      <c r="B2343" s="114" t="n"/>
      <c r="C2343" s="102" t="n"/>
      <c r="D2343" s="114" t="n"/>
      <c r="E2343" s="103" t="n"/>
      <c r="F2343" s="102" t="n"/>
      <c r="G2343" s="102" t="n"/>
      <c r="H2343" s="115" t="n"/>
      <c r="I2343" s="102" t="n"/>
      <c r="J2343" s="102" t="n"/>
      <c r="K2343" s="103" t="n"/>
      <c r="L2343" s="116">
        <f>IF($H2343="","",TRIM(IF(COUNTIF(DMTK!$A$7:$A$250,$F2343)=0,"TK Nợ sai! ","")&amp;IF(COUNTIF(DMTK!$A$7:$A$250,$G2343)=0,"TK Có sai! ","")&amp;IF(N($H2343)&lt;=0,"Tiền phải &gt; 0! ","")&amp;IF($B2343="","Thiếu ngày! ","")&amp;IF(AND(OR(LEFT($F2343,3)="131",LEFT($G2343,3)="131",LEFT($F2343,3)="331",LEFT($G2343,3)="331"),$I2343=""),"Thiếu Mã ĐT! ","")&amp;IF(AND($I2343&lt;&gt;"",COUNTIF(DM_DT!$A$7:$A$306,$I2343)=0),"Mã ĐT chưa khai báo! ","")))</f>
        <v/>
      </c>
      <c r="M2343" s="117">
        <f>IF($H2343="","",IF(AND(OR(LEFT($F2343,3)="111",LEFT($F2343,3)="112",LEFT($F2343,3)="113"),OR(LEFT($G2343,3)="111",LEFT($G2343,3)="112",LEFT($G2343,3)="113")),"NB",IF(OR(LEFT($F2343,3)="111",LEFT($F2343,3)="112",LEFT($F2343,3)="113"),"THU",IF(OR(LEFT($G2343,3)="111",LEFT($G2343,3)="112",LEFT($G2343,3)="113"),"CHI",""))))</f>
        <v/>
      </c>
      <c r="N2343" s="117">
        <f>IF($M2343="THU",$G2343,IF($M2343="CHI",$F2343,""))</f>
        <v/>
      </c>
      <c r="O2343" s="117">
        <f>IF(OR($M2343="",$M2343="NB"),"",IF($J2343&lt;&gt;"",TEXT($J2343,"00"),IFERROR(VLOOKUP(LEFT($N2343,4),LCTT_MAP!$A$7:$C$66,IF($M2343="THU",2,3),FALSE()),IFERROR(VLOOKUP(LEFT($N2343,3),LCTT_MAP!$A$7:$C$66,IF($M2343="THU",2,3),FALSE()),IFERROR(VLOOKUP(LEFT($N2343,2),LCTT_MAP!$A$7:$C$66,IF($M2343="THU",2,3),FALSE()),IFERROR(VLOOKUP(LEFT($N2343,1),LCTT_MAP!$A$7:$C$66,IF($M2343="THU",2,3),FALSE()),IF($M2343="THU","06","07")))))))</f>
        <v/>
      </c>
      <c r="P2343" s="117">
        <f>P2342+IF(AND($H2343&lt;&gt;"",OR(LEFT($F2343,LEN(SC_TK))=SC_TK,LEFT($G2343,LEN(SC_TK))=SC_TK)),1,0)</f>
        <v/>
      </c>
    </row>
    <row r="2344" ht="15" customHeight="1" s="78">
      <c r="A2344" s="95">
        <f>IF($H2344="","",ROW()-6)</f>
        <v/>
      </c>
      <c r="B2344" s="114" t="n"/>
      <c r="C2344" s="102" t="n"/>
      <c r="D2344" s="114" t="n"/>
      <c r="E2344" s="103" t="n"/>
      <c r="F2344" s="102" t="n"/>
      <c r="G2344" s="102" t="n"/>
      <c r="H2344" s="115" t="n"/>
      <c r="I2344" s="102" t="n"/>
      <c r="J2344" s="102" t="n"/>
      <c r="K2344" s="103" t="n"/>
      <c r="L2344" s="116">
        <f>IF($H2344="","",TRIM(IF(COUNTIF(DMTK!$A$7:$A$250,$F2344)=0,"TK Nợ sai! ","")&amp;IF(COUNTIF(DMTK!$A$7:$A$250,$G2344)=0,"TK Có sai! ","")&amp;IF(N($H2344)&lt;=0,"Tiền phải &gt; 0! ","")&amp;IF($B2344="","Thiếu ngày! ","")&amp;IF(AND(OR(LEFT($F2344,3)="131",LEFT($G2344,3)="131",LEFT($F2344,3)="331",LEFT($G2344,3)="331"),$I2344=""),"Thiếu Mã ĐT! ","")&amp;IF(AND($I2344&lt;&gt;"",COUNTIF(DM_DT!$A$7:$A$306,$I2344)=0),"Mã ĐT chưa khai báo! ","")))</f>
        <v/>
      </c>
      <c r="M2344" s="117">
        <f>IF($H2344="","",IF(AND(OR(LEFT($F2344,3)="111",LEFT($F2344,3)="112",LEFT($F2344,3)="113"),OR(LEFT($G2344,3)="111",LEFT($G2344,3)="112",LEFT($G2344,3)="113")),"NB",IF(OR(LEFT($F2344,3)="111",LEFT($F2344,3)="112",LEFT($F2344,3)="113"),"THU",IF(OR(LEFT($G2344,3)="111",LEFT($G2344,3)="112",LEFT($G2344,3)="113"),"CHI",""))))</f>
        <v/>
      </c>
      <c r="N2344" s="117">
        <f>IF($M2344="THU",$G2344,IF($M2344="CHI",$F2344,""))</f>
        <v/>
      </c>
      <c r="O2344" s="117">
        <f>IF(OR($M2344="",$M2344="NB"),"",IF($J2344&lt;&gt;"",TEXT($J2344,"00"),IFERROR(VLOOKUP(LEFT($N2344,4),LCTT_MAP!$A$7:$C$66,IF($M2344="THU",2,3),FALSE()),IFERROR(VLOOKUP(LEFT($N2344,3),LCTT_MAP!$A$7:$C$66,IF($M2344="THU",2,3),FALSE()),IFERROR(VLOOKUP(LEFT($N2344,2),LCTT_MAP!$A$7:$C$66,IF($M2344="THU",2,3),FALSE()),IFERROR(VLOOKUP(LEFT($N2344,1),LCTT_MAP!$A$7:$C$66,IF($M2344="THU",2,3),FALSE()),IF($M2344="THU","06","07")))))))</f>
        <v/>
      </c>
      <c r="P2344" s="117">
        <f>P2343+IF(AND($H2344&lt;&gt;"",OR(LEFT($F2344,LEN(SC_TK))=SC_TK,LEFT($G2344,LEN(SC_TK))=SC_TK)),1,0)</f>
        <v/>
      </c>
    </row>
    <row r="2345" ht="15" customHeight="1" s="78">
      <c r="A2345" s="95">
        <f>IF($H2345="","",ROW()-6)</f>
        <v/>
      </c>
      <c r="B2345" s="114" t="n"/>
      <c r="C2345" s="102" t="n"/>
      <c r="D2345" s="114" t="n"/>
      <c r="E2345" s="103" t="n"/>
      <c r="F2345" s="102" t="n"/>
      <c r="G2345" s="102" t="n"/>
      <c r="H2345" s="115" t="n"/>
      <c r="I2345" s="102" t="n"/>
      <c r="J2345" s="102" t="n"/>
      <c r="K2345" s="103" t="n"/>
      <c r="L2345" s="116">
        <f>IF($H2345="","",TRIM(IF(COUNTIF(DMTK!$A$7:$A$250,$F2345)=0,"TK Nợ sai! ","")&amp;IF(COUNTIF(DMTK!$A$7:$A$250,$G2345)=0,"TK Có sai! ","")&amp;IF(N($H2345)&lt;=0,"Tiền phải &gt; 0! ","")&amp;IF($B2345="","Thiếu ngày! ","")&amp;IF(AND(OR(LEFT($F2345,3)="131",LEFT($G2345,3)="131",LEFT($F2345,3)="331",LEFT($G2345,3)="331"),$I2345=""),"Thiếu Mã ĐT! ","")&amp;IF(AND($I2345&lt;&gt;"",COUNTIF(DM_DT!$A$7:$A$306,$I2345)=0),"Mã ĐT chưa khai báo! ","")))</f>
        <v/>
      </c>
      <c r="M2345" s="117">
        <f>IF($H2345="","",IF(AND(OR(LEFT($F2345,3)="111",LEFT($F2345,3)="112",LEFT($F2345,3)="113"),OR(LEFT($G2345,3)="111",LEFT($G2345,3)="112",LEFT($G2345,3)="113")),"NB",IF(OR(LEFT($F2345,3)="111",LEFT($F2345,3)="112",LEFT($F2345,3)="113"),"THU",IF(OR(LEFT($G2345,3)="111",LEFT($G2345,3)="112",LEFT($G2345,3)="113"),"CHI",""))))</f>
        <v/>
      </c>
      <c r="N2345" s="117">
        <f>IF($M2345="THU",$G2345,IF($M2345="CHI",$F2345,""))</f>
        <v/>
      </c>
      <c r="O2345" s="117">
        <f>IF(OR($M2345="",$M2345="NB"),"",IF($J2345&lt;&gt;"",TEXT($J2345,"00"),IFERROR(VLOOKUP(LEFT($N2345,4),LCTT_MAP!$A$7:$C$66,IF($M2345="THU",2,3),FALSE()),IFERROR(VLOOKUP(LEFT($N2345,3),LCTT_MAP!$A$7:$C$66,IF($M2345="THU",2,3),FALSE()),IFERROR(VLOOKUP(LEFT($N2345,2),LCTT_MAP!$A$7:$C$66,IF($M2345="THU",2,3),FALSE()),IFERROR(VLOOKUP(LEFT($N2345,1),LCTT_MAP!$A$7:$C$66,IF($M2345="THU",2,3),FALSE()),IF($M2345="THU","06","07")))))))</f>
        <v/>
      </c>
      <c r="P2345" s="117">
        <f>P2344+IF(AND($H2345&lt;&gt;"",OR(LEFT($F2345,LEN(SC_TK))=SC_TK,LEFT($G2345,LEN(SC_TK))=SC_TK)),1,0)</f>
        <v/>
      </c>
    </row>
    <row r="2346" ht="15" customHeight="1" s="78">
      <c r="A2346" s="95">
        <f>IF($H2346="","",ROW()-6)</f>
        <v/>
      </c>
      <c r="B2346" s="114" t="n"/>
      <c r="C2346" s="102" t="n"/>
      <c r="D2346" s="114" t="n"/>
      <c r="E2346" s="103" t="n"/>
      <c r="F2346" s="102" t="n"/>
      <c r="G2346" s="102" t="n"/>
      <c r="H2346" s="115" t="n"/>
      <c r="I2346" s="102" t="n"/>
      <c r="J2346" s="102" t="n"/>
      <c r="K2346" s="103" t="n"/>
      <c r="L2346" s="116">
        <f>IF($H2346="","",TRIM(IF(COUNTIF(DMTK!$A$7:$A$250,$F2346)=0,"TK Nợ sai! ","")&amp;IF(COUNTIF(DMTK!$A$7:$A$250,$G2346)=0,"TK Có sai! ","")&amp;IF(N($H2346)&lt;=0,"Tiền phải &gt; 0! ","")&amp;IF($B2346="","Thiếu ngày! ","")&amp;IF(AND(OR(LEFT($F2346,3)="131",LEFT($G2346,3)="131",LEFT($F2346,3)="331",LEFT($G2346,3)="331"),$I2346=""),"Thiếu Mã ĐT! ","")&amp;IF(AND($I2346&lt;&gt;"",COUNTIF(DM_DT!$A$7:$A$306,$I2346)=0),"Mã ĐT chưa khai báo! ","")))</f>
        <v/>
      </c>
      <c r="M2346" s="117">
        <f>IF($H2346="","",IF(AND(OR(LEFT($F2346,3)="111",LEFT($F2346,3)="112",LEFT($F2346,3)="113"),OR(LEFT($G2346,3)="111",LEFT($G2346,3)="112",LEFT($G2346,3)="113")),"NB",IF(OR(LEFT($F2346,3)="111",LEFT($F2346,3)="112",LEFT($F2346,3)="113"),"THU",IF(OR(LEFT($G2346,3)="111",LEFT($G2346,3)="112",LEFT($G2346,3)="113"),"CHI",""))))</f>
        <v/>
      </c>
      <c r="N2346" s="117">
        <f>IF($M2346="THU",$G2346,IF($M2346="CHI",$F2346,""))</f>
        <v/>
      </c>
      <c r="O2346" s="117">
        <f>IF(OR($M2346="",$M2346="NB"),"",IF($J2346&lt;&gt;"",TEXT($J2346,"00"),IFERROR(VLOOKUP(LEFT($N2346,4),LCTT_MAP!$A$7:$C$66,IF($M2346="THU",2,3),FALSE()),IFERROR(VLOOKUP(LEFT($N2346,3),LCTT_MAP!$A$7:$C$66,IF($M2346="THU",2,3),FALSE()),IFERROR(VLOOKUP(LEFT($N2346,2),LCTT_MAP!$A$7:$C$66,IF($M2346="THU",2,3),FALSE()),IFERROR(VLOOKUP(LEFT($N2346,1),LCTT_MAP!$A$7:$C$66,IF($M2346="THU",2,3),FALSE()),IF($M2346="THU","06","07")))))))</f>
        <v/>
      </c>
      <c r="P2346" s="117">
        <f>P2345+IF(AND($H2346&lt;&gt;"",OR(LEFT($F2346,LEN(SC_TK))=SC_TK,LEFT($G2346,LEN(SC_TK))=SC_TK)),1,0)</f>
        <v/>
      </c>
    </row>
    <row r="2347" ht="15" customHeight="1" s="78">
      <c r="A2347" s="95">
        <f>IF($H2347="","",ROW()-6)</f>
        <v/>
      </c>
      <c r="B2347" s="114" t="n"/>
      <c r="C2347" s="102" t="n"/>
      <c r="D2347" s="114" t="n"/>
      <c r="E2347" s="103" t="n"/>
      <c r="F2347" s="102" t="n"/>
      <c r="G2347" s="102" t="n"/>
      <c r="H2347" s="115" t="n"/>
      <c r="I2347" s="102" t="n"/>
      <c r="J2347" s="102" t="n"/>
      <c r="K2347" s="103" t="n"/>
      <c r="L2347" s="116">
        <f>IF($H2347="","",TRIM(IF(COUNTIF(DMTK!$A$7:$A$250,$F2347)=0,"TK Nợ sai! ","")&amp;IF(COUNTIF(DMTK!$A$7:$A$250,$G2347)=0,"TK Có sai! ","")&amp;IF(N($H2347)&lt;=0,"Tiền phải &gt; 0! ","")&amp;IF($B2347="","Thiếu ngày! ","")&amp;IF(AND(OR(LEFT($F2347,3)="131",LEFT($G2347,3)="131",LEFT($F2347,3)="331",LEFT($G2347,3)="331"),$I2347=""),"Thiếu Mã ĐT! ","")&amp;IF(AND($I2347&lt;&gt;"",COUNTIF(DM_DT!$A$7:$A$306,$I2347)=0),"Mã ĐT chưa khai báo! ","")))</f>
        <v/>
      </c>
      <c r="M2347" s="117">
        <f>IF($H2347="","",IF(AND(OR(LEFT($F2347,3)="111",LEFT($F2347,3)="112",LEFT($F2347,3)="113"),OR(LEFT($G2347,3)="111",LEFT($G2347,3)="112",LEFT($G2347,3)="113")),"NB",IF(OR(LEFT($F2347,3)="111",LEFT($F2347,3)="112",LEFT($F2347,3)="113"),"THU",IF(OR(LEFT($G2347,3)="111",LEFT($G2347,3)="112",LEFT($G2347,3)="113"),"CHI",""))))</f>
        <v/>
      </c>
      <c r="N2347" s="117">
        <f>IF($M2347="THU",$G2347,IF($M2347="CHI",$F2347,""))</f>
        <v/>
      </c>
      <c r="O2347" s="117">
        <f>IF(OR($M2347="",$M2347="NB"),"",IF($J2347&lt;&gt;"",TEXT($J2347,"00"),IFERROR(VLOOKUP(LEFT($N2347,4),LCTT_MAP!$A$7:$C$66,IF($M2347="THU",2,3),FALSE()),IFERROR(VLOOKUP(LEFT($N2347,3),LCTT_MAP!$A$7:$C$66,IF($M2347="THU",2,3),FALSE()),IFERROR(VLOOKUP(LEFT($N2347,2),LCTT_MAP!$A$7:$C$66,IF($M2347="THU",2,3),FALSE()),IFERROR(VLOOKUP(LEFT($N2347,1),LCTT_MAP!$A$7:$C$66,IF($M2347="THU",2,3),FALSE()),IF($M2347="THU","06","07")))))))</f>
        <v/>
      </c>
      <c r="P2347" s="117">
        <f>P2346+IF(AND($H2347&lt;&gt;"",OR(LEFT($F2347,LEN(SC_TK))=SC_TK,LEFT($G2347,LEN(SC_TK))=SC_TK)),1,0)</f>
        <v/>
      </c>
    </row>
    <row r="2348" ht="15" customHeight="1" s="78">
      <c r="A2348" s="95">
        <f>IF($H2348="","",ROW()-6)</f>
        <v/>
      </c>
      <c r="B2348" s="114" t="n"/>
      <c r="C2348" s="102" t="n"/>
      <c r="D2348" s="114" t="n"/>
      <c r="E2348" s="103" t="n"/>
      <c r="F2348" s="102" t="n"/>
      <c r="G2348" s="102" t="n"/>
      <c r="H2348" s="115" t="n"/>
      <c r="I2348" s="102" t="n"/>
      <c r="J2348" s="102" t="n"/>
      <c r="K2348" s="103" t="n"/>
      <c r="L2348" s="116">
        <f>IF($H2348="","",TRIM(IF(COUNTIF(DMTK!$A$7:$A$250,$F2348)=0,"TK Nợ sai! ","")&amp;IF(COUNTIF(DMTK!$A$7:$A$250,$G2348)=0,"TK Có sai! ","")&amp;IF(N($H2348)&lt;=0,"Tiền phải &gt; 0! ","")&amp;IF($B2348="","Thiếu ngày! ","")&amp;IF(AND(OR(LEFT($F2348,3)="131",LEFT($G2348,3)="131",LEFT($F2348,3)="331",LEFT($G2348,3)="331"),$I2348=""),"Thiếu Mã ĐT! ","")&amp;IF(AND($I2348&lt;&gt;"",COUNTIF(DM_DT!$A$7:$A$306,$I2348)=0),"Mã ĐT chưa khai báo! ","")))</f>
        <v/>
      </c>
      <c r="M2348" s="117">
        <f>IF($H2348="","",IF(AND(OR(LEFT($F2348,3)="111",LEFT($F2348,3)="112",LEFT($F2348,3)="113"),OR(LEFT($G2348,3)="111",LEFT($G2348,3)="112",LEFT($G2348,3)="113")),"NB",IF(OR(LEFT($F2348,3)="111",LEFT($F2348,3)="112",LEFT($F2348,3)="113"),"THU",IF(OR(LEFT($G2348,3)="111",LEFT($G2348,3)="112",LEFT($G2348,3)="113"),"CHI",""))))</f>
        <v/>
      </c>
      <c r="N2348" s="117">
        <f>IF($M2348="THU",$G2348,IF($M2348="CHI",$F2348,""))</f>
        <v/>
      </c>
      <c r="O2348" s="117">
        <f>IF(OR($M2348="",$M2348="NB"),"",IF($J2348&lt;&gt;"",TEXT($J2348,"00"),IFERROR(VLOOKUP(LEFT($N2348,4),LCTT_MAP!$A$7:$C$66,IF($M2348="THU",2,3),FALSE()),IFERROR(VLOOKUP(LEFT($N2348,3),LCTT_MAP!$A$7:$C$66,IF($M2348="THU",2,3),FALSE()),IFERROR(VLOOKUP(LEFT($N2348,2),LCTT_MAP!$A$7:$C$66,IF($M2348="THU",2,3),FALSE()),IFERROR(VLOOKUP(LEFT($N2348,1),LCTT_MAP!$A$7:$C$66,IF($M2348="THU",2,3),FALSE()),IF($M2348="THU","06","07")))))))</f>
        <v/>
      </c>
      <c r="P2348" s="117">
        <f>P2347+IF(AND($H2348&lt;&gt;"",OR(LEFT($F2348,LEN(SC_TK))=SC_TK,LEFT($G2348,LEN(SC_TK))=SC_TK)),1,0)</f>
        <v/>
      </c>
    </row>
    <row r="2349" ht="15" customHeight="1" s="78">
      <c r="A2349" s="95">
        <f>IF($H2349="","",ROW()-6)</f>
        <v/>
      </c>
      <c r="B2349" s="114" t="n"/>
      <c r="C2349" s="102" t="n"/>
      <c r="D2349" s="114" t="n"/>
      <c r="E2349" s="103" t="n"/>
      <c r="F2349" s="102" t="n"/>
      <c r="G2349" s="102" t="n"/>
      <c r="H2349" s="115" t="n"/>
      <c r="I2349" s="102" t="n"/>
      <c r="J2349" s="102" t="n"/>
      <c r="K2349" s="103" t="n"/>
      <c r="L2349" s="116">
        <f>IF($H2349="","",TRIM(IF(COUNTIF(DMTK!$A$7:$A$250,$F2349)=0,"TK Nợ sai! ","")&amp;IF(COUNTIF(DMTK!$A$7:$A$250,$G2349)=0,"TK Có sai! ","")&amp;IF(N($H2349)&lt;=0,"Tiền phải &gt; 0! ","")&amp;IF($B2349="","Thiếu ngày! ","")&amp;IF(AND(OR(LEFT($F2349,3)="131",LEFT($G2349,3)="131",LEFT($F2349,3)="331",LEFT($G2349,3)="331"),$I2349=""),"Thiếu Mã ĐT! ","")&amp;IF(AND($I2349&lt;&gt;"",COUNTIF(DM_DT!$A$7:$A$306,$I2349)=0),"Mã ĐT chưa khai báo! ","")))</f>
        <v/>
      </c>
      <c r="M2349" s="117">
        <f>IF($H2349="","",IF(AND(OR(LEFT($F2349,3)="111",LEFT($F2349,3)="112",LEFT($F2349,3)="113"),OR(LEFT($G2349,3)="111",LEFT($G2349,3)="112",LEFT($G2349,3)="113")),"NB",IF(OR(LEFT($F2349,3)="111",LEFT($F2349,3)="112",LEFT($F2349,3)="113"),"THU",IF(OR(LEFT($G2349,3)="111",LEFT($G2349,3)="112",LEFT($G2349,3)="113"),"CHI",""))))</f>
        <v/>
      </c>
      <c r="N2349" s="117">
        <f>IF($M2349="THU",$G2349,IF($M2349="CHI",$F2349,""))</f>
        <v/>
      </c>
      <c r="O2349" s="117">
        <f>IF(OR($M2349="",$M2349="NB"),"",IF($J2349&lt;&gt;"",TEXT($J2349,"00"),IFERROR(VLOOKUP(LEFT($N2349,4),LCTT_MAP!$A$7:$C$66,IF($M2349="THU",2,3),FALSE()),IFERROR(VLOOKUP(LEFT($N2349,3),LCTT_MAP!$A$7:$C$66,IF($M2349="THU",2,3),FALSE()),IFERROR(VLOOKUP(LEFT($N2349,2),LCTT_MAP!$A$7:$C$66,IF($M2349="THU",2,3),FALSE()),IFERROR(VLOOKUP(LEFT($N2349,1),LCTT_MAP!$A$7:$C$66,IF($M2349="THU",2,3),FALSE()),IF($M2349="THU","06","07")))))))</f>
        <v/>
      </c>
      <c r="P2349" s="117">
        <f>P2348+IF(AND($H2349&lt;&gt;"",OR(LEFT($F2349,LEN(SC_TK))=SC_TK,LEFT($G2349,LEN(SC_TK))=SC_TK)),1,0)</f>
        <v/>
      </c>
    </row>
    <row r="2350" ht="15" customHeight="1" s="78">
      <c r="A2350" s="95">
        <f>IF($H2350="","",ROW()-6)</f>
        <v/>
      </c>
      <c r="B2350" s="114" t="n"/>
      <c r="C2350" s="102" t="n"/>
      <c r="D2350" s="114" t="n"/>
      <c r="E2350" s="103" t="n"/>
      <c r="F2350" s="102" t="n"/>
      <c r="G2350" s="102" t="n"/>
      <c r="H2350" s="115" t="n"/>
      <c r="I2350" s="102" t="n"/>
      <c r="J2350" s="102" t="n"/>
      <c r="K2350" s="103" t="n"/>
      <c r="L2350" s="116">
        <f>IF($H2350="","",TRIM(IF(COUNTIF(DMTK!$A$7:$A$250,$F2350)=0,"TK Nợ sai! ","")&amp;IF(COUNTIF(DMTK!$A$7:$A$250,$G2350)=0,"TK Có sai! ","")&amp;IF(N($H2350)&lt;=0,"Tiền phải &gt; 0! ","")&amp;IF($B2350="","Thiếu ngày! ","")&amp;IF(AND(OR(LEFT($F2350,3)="131",LEFT($G2350,3)="131",LEFT($F2350,3)="331",LEFT($G2350,3)="331"),$I2350=""),"Thiếu Mã ĐT! ","")&amp;IF(AND($I2350&lt;&gt;"",COUNTIF(DM_DT!$A$7:$A$306,$I2350)=0),"Mã ĐT chưa khai báo! ","")))</f>
        <v/>
      </c>
      <c r="M2350" s="117">
        <f>IF($H2350="","",IF(AND(OR(LEFT($F2350,3)="111",LEFT($F2350,3)="112",LEFT($F2350,3)="113"),OR(LEFT($G2350,3)="111",LEFT($G2350,3)="112",LEFT($G2350,3)="113")),"NB",IF(OR(LEFT($F2350,3)="111",LEFT($F2350,3)="112",LEFT($F2350,3)="113"),"THU",IF(OR(LEFT($G2350,3)="111",LEFT($G2350,3)="112",LEFT($G2350,3)="113"),"CHI",""))))</f>
        <v/>
      </c>
      <c r="N2350" s="117">
        <f>IF($M2350="THU",$G2350,IF($M2350="CHI",$F2350,""))</f>
        <v/>
      </c>
      <c r="O2350" s="117">
        <f>IF(OR($M2350="",$M2350="NB"),"",IF($J2350&lt;&gt;"",TEXT($J2350,"00"),IFERROR(VLOOKUP(LEFT($N2350,4),LCTT_MAP!$A$7:$C$66,IF($M2350="THU",2,3),FALSE()),IFERROR(VLOOKUP(LEFT($N2350,3),LCTT_MAP!$A$7:$C$66,IF($M2350="THU",2,3),FALSE()),IFERROR(VLOOKUP(LEFT($N2350,2),LCTT_MAP!$A$7:$C$66,IF($M2350="THU",2,3),FALSE()),IFERROR(VLOOKUP(LEFT($N2350,1),LCTT_MAP!$A$7:$C$66,IF($M2350="THU",2,3),FALSE()),IF($M2350="THU","06","07")))))))</f>
        <v/>
      </c>
      <c r="P2350" s="117">
        <f>P2349+IF(AND($H2350&lt;&gt;"",OR(LEFT($F2350,LEN(SC_TK))=SC_TK,LEFT($G2350,LEN(SC_TK))=SC_TK)),1,0)</f>
        <v/>
      </c>
    </row>
    <row r="2351" ht="15" customHeight="1" s="78">
      <c r="A2351" s="95">
        <f>IF($H2351="","",ROW()-6)</f>
        <v/>
      </c>
      <c r="B2351" s="114" t="n"/>
      <c r="C2351" s="102" t="n"/>
      <c r="D2351" s="114" t="n"/>
      <c r="E2351" s="103" t="n"/>
      <c r="F2351" s="102" t="n"/>
      <c r="G2351" s="102" t="n"/>
      <c r="H2351" s="115" t="n"/>
      <c r="I2351" s="102" t="n"/>
      <c r="J2351" s="102" t="n"/>
      <c r="K2351" s="103" t="n"/>
      <c r="L2351" s="116">
        <f>IF($H2351="","",TRIM(IF(COUNTIF(DMTK!$A$7:$A$250,$F2351)=0,"TK Nợ sai! ","")&amp;IF(COUNTIF(DMTK!$A$7:$A$250,$G2351)=0,"TK Có sai! ","")&amp;IF(N($H2351)&lt;=0,"Tiền phải &gt; 0! ","")&amp;IF($B2351="","Thiếu ngày! ","")&amp;IF(AND(OR(LEFT($F2351,3)="131",LEFT($G2351,3)="131",LEFT($F2351,3)="331",LEFT($G2351,3)="331"),$I2351=""),"Thiếu Mã ĐT! ","")&amp;IF(AND($I2351&lt;&gt;"",COUNTIF(DM_DT!$A$7:$A$306,$I2351)=0),"Mã ĐT chưa khai báo! ","")))</f>
        <v/>
      </c>
      <c r="M2351" s="117">
        <f>IF($H2351="","",IF(AND(OR(LEFT($F2351,3)="111",LEFT($F2351,3)="112",LEFT($F2351,3)="113"),OR(LEFT($G2351,3)="111",LEFT($G2351,3)="112",LEFT($G2351,3)="113")),"NB",IF(OR(LEFT($F2351,3)="111",LEFT($F2351,3)="112",LEFT($F2351,3)="113"),"THU",IF(OR(LEFT($G2351,3)="111",LEFT($G2351,3)="112",LEFT($G2351,3)="113"),"CHI",""))))</f>
        <v/>
      </c>
      <c r="N2351" s="117">
        <f>IF($M2351="THU",$G2351,IF($M2351="CHI",$F2351,""))</f>
        <v/>
      </c>
      <c r="O2351" s="117">
        <f>IF(OR($M2351="",$M2351="NB"),"",IF($J2351&lt;&gt;"",TEXT($J2351,"00"),IFERROR(VLOOKUP(LEFT($N2351,4),LCTT_MAP!$A$7:$C$66,IF($M2351="THU",2,3),FALSE()),IFERROR(VLOOKUP(LEFT($N2351,3),LCTT_MAP!$A$7:$C$66,IF($M2351="THU",2,3),FALSE()),IFERROR(VLOOKUP(LEFT($N2351,2),LCTT_MAP!$A$7:$C$66,IF($M2351="THU",2,3),FALSE()),IFERROR(VLOOKUP(LEFT($N2351,1),LCTT_MAP!$A$7:$C$66,IF($M2351="THU",2,3),FALSE()),IF($M2351="THU","06","07")))))))</f>
        <v/>
      </c>
      <c r="P2351" s="117">
        <f>P2350+IF(AND($H2351&lt;&gt;"",OR(LEFT($F2351,LEN(SC_TK))=SC_TK,LEFT($G2351,LEN(SC_TK))=SC_TK)),1,0)</f>
        <v/>
      </c>
    </row>
    <row r="2352" ht="15" customHeight="1" s="78">
      <c r="A2352" s="95">
        <f>IF($H2352="","",ROW()-6)</f>
        <v/>
      </c>
      <c r="B2352" s="114" t="n"/>
      <c r="C2352" s="102" t="n"/>
      <c r="D2352" s="114" t="n"/>
      <c r="E2352" s="103" t="n"/>
      <c r="F2352" s="102" t="n"/>
      <c r="G2352" s="102" t="n"/>
      <c r="H2352" s="115" t="n"/>
      <c r="I2352" s="102" t="n"/>
      <c r="J2352" s="102" t="n"/>
      <c r="K2352" s="103" t="n"/>
      <c r="L2352" s="116">
        <f>IF($H2352="","",TRIM(IF(COUNTIF(DMTK!$A$7:$A$250,$F2352)=0,"TK Nợ sai! ","")&amp;IF(COUNTIF(DMTK!$A$7:$A$250,$G2352)=0,"TK Có sai! ","")&amp;IF(N($H2352)&lt;=0,"Tiền phải &gt; 0! ","")&amp;IF($B2352="","Thiếu ngày! ","")&amp;IF(AND(OR(LEFT($F2352,3)="131",LEFT($G2352,3)="131",LEFT($F2352,3)="331",LEFT($G2352,3)="331"),$I2352=""),"Thiếu Mã ĐT! ","")&amp;IF(AND($I2352&lt;&gt;"",COUNTIF(DM_DT!$A$7:$A$306,$I2352)=0),"Mã ĐT chưa khai báo! ","")))</f>
        <v/>
      </c>
      <c r="M2352" s="117">
        <f>IF($H2352="","",IF(AND(OR(LEFT($F2352,3)="111",LEFT($F2352,3)="112",LEFT($F2352,3)="113"),OR(LEFT($G2352,3)="111",LEFT($G2352,3)="112",LEFT($G2352,3)="113")),"NB",IF(OR(LEFT($F2352,3)="111",LEFT($F2352,3)="112",LEFT($F2352,3)="113"),"THU",IF(OR(LEFT($G2352,3)="111",LEFT($G2352,3)="112",LEFT($G2352,3)="113"),"CHI",""))))</f>
        <v/>
      </c>
      <c r="N2352" s="117">
        <f>IF($M2352="THU",$G2352,IF($M2352="CHI",$F2352,""))</f>
        <v/>
      </c>
      <c r="O2352" s="117">
        <f>IF(OR($M2352="",$M2352="NB"),"",IF($J2352&lt;&gt;"",TEXT($J2352,"00"),IFERROR(VLOOKUP(LEFT($N2352,4),LCTT_MAP!$A$7:$C$66,IF($M2352="THU",2,3),FALSE()),IFERROR(VLOOKUP(LEFT($N2352,3),LCTT_MAP!$A$7:$C$66,IF($M2352="THU",2,3),FALSE()),IFERROR(VLOOKUP(LEFT($N2352,2),LCTT_MAP!$A$7:$C$66,IF($M2352="THU",2,3),FALSE()),IFERROR(VLOOKUP(LEFT($N2352,1),LCTT_MAP!$A$7:$C$66,IF($M2352="THU",2,3),FALSE()),IF($M2352="THU","06","07")))))))</f>
        <v/>
      </c>
      <c r="P2352" s="117">
        <f>P2351+IF(AND($H2352&lt;&gt;"",OR(LEFT($F2352,LEN(SC_TK))=SC_TK,LEFT($G2352,LEN(SC_TK))=SC_TK)),1,0)</f>
        <v/>
      </c>
    </row>
    <row r="2353" ht="15" customHeight="1" s="78">
      <c r="A2353" s="95">
        <f>IF($H2353="","",ROW()-6)</f>
        <v/>
      </c>
      <c r="B2353" s="114" t="n"/>
      <c r="C2353" s="102" t="n"/>
      <c r="D2353" s="114" t="n"/>
      <c r="E2353" s="103" t="n"/>
      <c r="F2353" s="102" t="n"/>
      <c r="G2353" s="102" t="n"/>
      <c r="H2353" s="115" t="n"/>
      <c r="I2353" s="102" t="n"/>
      <c r="J2353" s="102" t="n"/>
      <c r="K2353" s="103" t="n"/>
      <c r="L2353" s="116">
        <f>IF($H2353="","",TRIM(IF(COUNTIF(DMTK!$A$7:$A$250,$F2353)=0,"TK Nợ sai! ","")&amp;IF(COUNTIF(DMTK!$A$7:$A$250,$G2353)=0,"TK Có sai! ","")&amp;IF(N($H2353)&lt;=0,"Tiền phải &gt; 0! ","")&amp;IF($B2353="","Thiếu ngày! ","")&amp;IF(AND(OR(LEFT($F2353,3)="131",LEFT($G2353,3)="131",LEFT($F2353,3)="331",LEFT($G2353,3)="331"),$I2353=""),"Thiếu Mã ĐT! ","")&amp;IF(AND($I2353&lt;&gt;"",COUNTIF(DM_DT!$A$7:$A$306,$I2353)=0),"Mã ĐT chưa khai báo! ","")))</f>
        <v/>
      </c>
      <c r="M2353" s="117">
        <f>IF($H2353="","",IF(AND(OR(LEFT($F2353,3)="111",LEFT($F2353,3)="112",LEFT($F2353,3)="113"),OR(LEFT($G2353,3)="111",LEFT($G2353,3)="112",LEFT($G2353,3)="113")),"NB",IF(OR(LEFT($F2353,3)="111",LEFT($F2353,3)="112",LEFT($F2353,3)="113"),"THU",IF(OR(LEFT($G2353,3)="111",LEFT($G2353,3)="112",LEFT($G2353,3)="113"),"CHI",""))))</f>
        <v/>
      </c>
      <c r="N2353" s="117">
        <f>IF($M2353="THU",$G2353,IF($M2353="CHI",$F2353,""))</f>
        <v/>
      </c>
      <c r="O2353" s="117">
        <f>IF(OR($M2353="",$M2353="NB"),"",IF($J2353&lt;&gt;"",TEXT($J2353,"00"),IFERROR(VLOOKUP(LEFT($N2353,4),LCTT_MAP!$A$7:$C$66,IF($M2353="THU",2,3),FALSE()),IFERROR(VLOOKUP(LEFT($N2353,3),LCTT_MAP!$A$7:$C$66,IF($M2353="THU",2,3),FALSE()),IFERROR(VLOOKUP(LEFT($N2353,2),LCTT_MAP!$A$7:$C$66,IF($M2353="THU",2,3),FALSE()),IFERROR(VLOOKUP(LEFT($N2353,1),LCTT_MAP!$A$7:$C$66,IF($M2353="THU",2,3),FALSE()),IF($M2353="THU","06","07")))))))</f>
        <v/>
      </c>
      <c r="P2353" s="117">
        <f>P2352+IF(AND($H2353&lt;&gt;"",OR(LEFT($F2353,LEN(SC_TK))=SC_TK,LEFT($G2353,LEN(SC_TK))=SC_TK)),1,0)</f>
        <v/>
      </c>
    </row>
    <row r="2354" ht="15" customHeight="1" s="78">
      <c r="A2354" s="95">
        <f>IF($H2354="","",ROW()-6)</f>
        <v/>
      </c>
      <c r="B2354" s="114" t="n"/>
      <c r="C2354" s="102" t="n"/>
      <c r="D2354" s="114" t="n"/>
      <c r="E2354" s="103" t="n"/>
      <c r="F2354" s="102" t="n"/>
      <c r="G2354" s="102" t="n"/>
      <c r="H2354" s="115" t="n"/>
      <c r="I2354" s="102" t="n"/>
      <c r="J2354" s="102" t="n"/>
      <c r="K2354" s="103" t="n"/>
      <c r="L2354" s="116">
        <f>IF($H2354="","",TRIM(IF(COUNTIF(DMTK!$A$7:$A$250,$F2354)=0,"TK Nợ sai! ","")&amp;IF(COUNTIF(DMTK!$A$7:$A$250,$G2354)=0,"TK Có sai! ","")&amp;IF(N($H2354)&lt;=0,"Tiền phải &gt; 0! ","")&amp;IF($B2354="","Thiếu ngày! ","")&amp;IF(AND(OR(LEFT($F2354,3)="131",LEFT($G2354,3)="131",LEFT($F2354,3)="331",LEFT($G2354,3)="331"),$I2354=""),"Thiếu Mã ĐT! ","")&amp;IF(AND($I2354&lt;&gt;"",COUNTIF(DM_DT!$A$7:$A$306,$I2354)=0),"Mã ĐT chưa khai báo! ","")))</f>
        <v/>
      </c>
      <c r="M2354" s="117">
        <f>IF($H2354="","",IF(AND(OR(LEFT($F2354,3)="111",LEFT($F2354,3)="112",LEFT($F2354,3)="113"),OR(LEFT($G2354,3)="111",LEFT($G2354,3)="112",LEFT($G2354,3)="113")),"NB",IF(OR(LEFT($F2354,3)="111",LEFT($F2354,3)="112",LEFT($F2354,3)="113"),"THU",IF(OR(LEFT($G2354,3)="111",LEFT($G2354,3)="112",LEFT($G2354,3)="113"),"CHI",""))))</f>
        <v/>
      </c>
      <c r="N2354" s="117">
        <f>IF($M2354="THU",$G2354,IF($M2354="CHI",$F2354,""))</f>
        <v/>
      </c>
      <c r="O2354" s="117">
        <f>IF(OR($M2354="",$M2354="NB"),"",IF($J2354&lt;&gt;"",TEXT($J2354,"00"),IFERROR(VLOOKUP(LEFT($N2354,4),LCTT_MAP!$A$7:$C$66,IF($M2354="THU",2,3),FALSE()),IFERROR(VLOOKUP(LEFT($N2354,3),LCTT_MAP!$A$7:$C$66,IF($M2354="THU",2,3),FALSE()),IFERROR(VLOOKUP(LEFT($N2354,2),LCTT_MAP!$A$7:$C$66,IF($M2354="THU",2,3),FALSE()),IFERROR(VLOOKUP(LEFT($N2354,1),LCTT_MAP!$A$7:$C$66,IF($M2354="THU",2,3),FALSE()),IF($M2354="THU","06","07")))))))</f>
        <v/>
      </c>
      <c r="P2354" s="117">
        <f>P2353+IF(AND($H2354&lt;&gt;"",OR(LEFT($F2354,LEN(SC_TK))=SC_TK,LEFT($G2354,LEN(SC_TK))=SC_TK)),1,0)</f>
        <v/>
      </c>
    </row>
    <row r="2355" ht="15" customHeight="1" s="78">
      <c r="A2355" s="95">
        <f>IF($H2355="","",ROW()-6)</f>
        <v/>
      </c>
      <c r="B2355" s="114" t="n"/>
      <c r="C2355" s="102" t="n"/>
      <c r="D2355" s="114" t="n"/>
      <c r="E2355" s="103" t="n"/>
      <c r="F2355" s="102" t="n"/>
      <c r="G2355" s="102" t="n"/>
      <c r="H2355" s="115" t="n"/>
      <c r="I2355" s="102" t="n"/>
      <c r="J2355" s="102" t="n"/>
      <c r="K2355" s="103" t="n"/>
      <c r="L2355" s="116">
        <f>IF($H2355="","",TRIM(IF(COUNTIF(DMTK!$A$7:$A$250,$F2355)=0,"TK Nợ sai! ","")&amp;IF(COUNTIF(DMTK!$A$7:$A$250,$G2355)=0,"TK Có sai! ","")&amp;IF(N($H2355)&lt;=0,"Tiền phải &gt; 0! ","")&amp;IF($B2355="","Thiếu ngày! ","")&amp;IF(AND(OR(LEFT($F2355,3)="131",LEFT($G2355,3)="131",LEFT($F2355,3)="331",LEFT($G2355,3)="331"),$I2355=""),"Thiếu Mã ĐT! ","")&amp;IF(AND($I2355&lt;&gt;"",COUNTIF(DM_DT!$A$7:$A$306,$I2355)=0),"Mã ĐT chưa khai báo! ","")))</f>
        <v/>
      </c>
      <c r="M2355" s="117">
        <f>IF($H2355="","",IF(AND(OR(LEFT($F2355,3)="111",LEFT($F2355,3)="112",LEFT($F2355,3)="113"),OR(LEFT($G2355,3)="111",LEFT($G2355,3)="112",LEFT($G2355,3)="113")),"NB",IF(OR(LEFT($F2355,3)="111",LEFT($F2355,3)="112",LEFT($F2355,3)="113"),"THU",IF(OR(LEFT($G2355,3)="111",LEFT($G2355,3)="112",LEFT($G2355,3)="113"),"CHI",""))))</f>
        <v/>
      </c>
      <c r="N2355" s="117">
        <f>IF($M2355="THU",$G2355,IF($M2355="CHI",$F2355,""))</f>
        <v/>
      </c>
      <c r="O2355" s="117">
        <f>IF(OR($M2355="",$M2355="NB"),"",IF($J2355&lt;&gt;"",TEXT($J2355,"00"),IFERROR(VLOOKUP(LEFT($N2355,4),LCTT_MAP!$A$7:$C$66,IF($M2355="THU",2,3),FALSE()),IFERROR(VLOOKUP(LEFT($N2355,3),LCTT_MAP!$A$7:$C$66,IF($M2355="THU",2,3),FALSE()),IFERROR(VLOOKUP(LEFT($N2355,2),LCTT_MAP!$A$7:$C$66,IF($M2355="THU",2,3),FALSE()),IFERROR(VLOOKUP(LEFT($N2355,1),LCTT_MAP!$A$7:$C$66,IF($M2355="THU",2,3),FALSE()),IF($M2355="THU","06","07")))))))</f>
        <v/>
      </c>
      <c r="P2355" s="117">
        <f>P2354+IF(AND($H2355&lt;&gt;"",OR(LEFT($F2355,LEN(SC_TK))=SC_TK,LEFT($G2355,LEN(SC_TK))=SC_TK)),1,0)</f>
        <v/>
      </c>
    </row>
    <row r="2356" ht="15" customHeight="1" s="78">
      <c r="A2356" s="95">
        <f>IF($H2356="","",ROW()-6)</f>
        <v/>
      </c>
      <c r="B2356" s="114" t="n"/>
      <c r="C2356" s="102" t="n"/>
      <c r="D2356" s="114" t="n"/>
      <c r="E2356" s="103" t="n"/>
      <c r="F2356" s="102" t="n"/>
      <c r="G2356" s="102" t="n"/>
      <c r="H2356" s="115" t="n"/>
      <c r="I2356" s="102" t="n"/>
      <c r="J2356" s="102" t="n"/>
      <c r="K2356" s="103" t="n"/>
      <c r="L2356" s="116">
        <f>IF($H2356="","",TRIM(IF(COUNTIF(DMTK!$A$7:$A$250,$F2356)=0,"TK Nợ sai! ","")&amp;IF(COUNTIF(DMTK!$A$7:$A$250,$G2356)=0,"TK Có sai! ","")&amp;IF(N($H2356)&lt;=0,"Tiền phải &gt; 0! ","")&amp;IF($B2356="","Thiếu ngày! ","")&amp;IF(AND(OR(LEFT($F2356,3)="131",LEFT($G2356,3)="131",LEFT($F2356,3)="331",LEFT($G2356,3)="331"),$I2356=""),"Thiếu Mã ĐT! ","")&amp;IF(AND($I2356&lt;&gt;"",COUNTIF(DM_DT!$A$7:$A$306,$I2356)=0),"Mã ĐT chưa khai báo! ","")))</f>
        <v/>
      </c>
      <c r="M2356" s="117">
        <f>IF($H2356="","",IF(AND(OR(LEFT($F2356,3)="111",LEFT($F2356,3)="112",LEFT($F2356,3)="113"),OR(LEFT($G2356,3)="111",LEFT($G2356,3)="112",LEFT($G2356,3)="113")),"NB",IF(OR(LEFT($F2356,3)="111",LEFT($F2356,3)="112",LEFT($F2356,3)="113"),"THU",IF(OR(LEFT($G2356,3)="111",LEFT($G2356,3)="112",LEFT($G2356,3)="113"),"CHI",""))))</f>
        <v/>
      </c>
      <c r="N2356" s="117">
        <f>IF($M2356="THU",$G2356,IF($M2356="CHI",$F2356,""))</f>
        <v/>
      </c>
      <c r="O2356" s="117">
        <f>IF(OR($M2356="",$M2356="NB"),"",IF($J2356&lt;&gt;"",TEXT($J2356,"00"),IFERROR(VLOOKUP(LEFT($N2356,4),LCTT_MAP!$A$7:$C$66,IF($M2356="THU",2,3),FALSE()),IFERROR(VLOOKUP(LEFT($N2356,3),LCTT_MAP!$A$7:$C$66,IF($M2356="THU",2,3),FALSE()),IFERROR(VLOOKUP(LEFT($N2356,2),LCTT_MAP!$A$7:$C$66,IF($M2356="THU",2,3),FALSE()),IFERROR(VLOOKUP(LEFT($N2356,1),LCTT_MAP!$A$7:$C$66,IF($M2356="THU",2,3),FALSE()),IF($M2356="THU","06","07")))))))</f>
        <v/>
      </c>
      <c r="P2356" s="117">
        <f>P2355+IF(AND($H2356&lt;&gt;"",OR(LEFT($F2356,LEN(SC_TK))=SC_TK,LEFT($G2356,LEN(SC_TK))=SC_TK)),1,0)</f>
        <v/>
      </c>
    </row>
    <row r="2357" ht="15" customHeight="1" s="78">
      <c r="A2357" s="95">
        <f>IF($H2357="","",ROW()-6)</f>
        <v/>
      </c>
      <c r="B2357" s="114" t="n"/>
      <c r="C2357" s="102" t="n"/>
      <c r="D2357" s="114" t="n"/>
      <c r="E2357" s="103" t="n"/>
      <c r="F2357" s="102" t="n"/>
      <c r="G2357" s="102" t="n"/>
      <c r="H2357" s="115" t="n"/>
      <c r="I2357" s="102" t="n"/>
      <c r="J2357" s="102" t="n"/>
      <c r="K2357" s="103" t="n"/>
      <c r="L2357" s="116">
        <f>IF($H2357="","",TRIM(IF(COUNTIF(DMTK!$A$7:$A$250,$F2357)=0,"TK Nợ sai! ","")&amp;IF(COUNTIF(DMTK!$A$7:$A$250,$G2357)=0,"TK Có sai! ","")&amp;IF(N($H2357)&lt;=0,"Tiền phải &gt; 0! ","")&amp;IF($B2357="","Thiếu ngày! ","")&amp;IF(AND(OR(LEFT($F2357,3)="131",LEFT($G2357,3)="131",LEFT($F2357,3)="331",LEFT($G2357,3)="331"),$I2357=""),"Thiếu Mã ĐT! ","")&amp;IF(AND($I2357&lt;&gt;"",COUNTIF(DM_DT!$A$7:$A$306,$I2357)=0),"Mã ĐT chưa khai báo! ","")))</f>
        <v/>
      </c>
      <c r="M2357" s="117">
        <f>IF($H2357="","",IF(AND(OR(LEFT($F2357,3)="111",LEFT($F2357,3)="112",LEFT($F2357,3)="113"),OR(LEFT($G2357,3)="111",LEFT($G2357,3)="112",LEFT($G2357,3)="113")),"NB",IF(OR(LEFT($F2357,3)="111",LEFT($F2357,3)="112",LEFT($F2357,3)="113"),"THU",IF(OR(LEFT($G2357,3)="111",LEFT($G2357,3)="112",LEFT($G2357,3)="113"),"CHI",""))))</f>
        <v/>
      </c>
      <c r="N2357" s="117">
        <f>IF($M2357="THU",$G2357,IF($M2357="CHI",$F2357,""))</f>
        <v/>
      </c>
      <c r="O2357" s="117">
        <f>IF(OR($M2357="",$M2357="NB"),"",IF($J2357&lt;&gt;"",TEXT($J2357,"00"),IFERROR(VLOOKUP(LEFT($N2357,4),LCTT_MAP!$A$7:$C$66,IF($M2357="THU",2,3),FALSE()),IFERROR(VLOOKUP(LEFT($N2357,3),LCTT_MAP!$A$7:$C$66,IF($M2357="THU",2,3),FALSE()),IFERROR(VLOOKUP(LEFT($N2357,2),LCTT_MAP!$A$7:$C$66,IF($M2357="THU",2,3),FALSE()),IFERROR(VLOOKUP(LEFT($N2357,1),LCTT_MAP!$A$7:$C$66,IF($M2357="THU",2,3),FALSE()),IF($M2357="THU","06","07")))))))</f>
        <v/>
      </c>
      <c r="P2357" s="117">
        <f>P2356+IF(AND($H2357&lt;&gt;"",OR(LEFT($F2357,LEN(SC_TK))=SC_TK,LEFT($G2357,LEN(SC_TK))=SC_TK)),1,0)</f>
        <v/>
      </c>
    </row>
    <row r="2358" ht="15" customHeight="1" s="78">
      <c r="A2358" s="95">
        <f>IF($H2358="","",ROW()-6)</f>
        <v/>
      </c>
      <c r="B2358" s="114" t="n"/>
      <c r="C2358" s="102" t="n"/>
      <c r="D2358" s="114" t="n"/>
      <c r="E2358" s="103" t="n"/>
      <c r="F2358" s="102" t="n"/>
      <c r="G2358" s="102" t="n"/>
      <c r="H2358" s="115" t="n"/>
      <c r="I2358" s="102" t="n"/>
      <c r="J2358" s="102" t="n"/>
      <c r="K2358" s="103" t="n"/>
      <c r="L2358" s="116">
        <f>IF($H2358="","",TRIM(IF(COUNTIF(DMTK!$A$7:$A$250,$F2358)=0,"TK Nợ sai! ","")&amp;IF(COUNTIF(DMTK!$A$7:$A$250,$G2358)=0,"TK Có sai! ","")&amp;IF(N($H2358)&lt;=0,"Tiền phải &gt; 0! ","")&amp;IF($B2358="","Thiếu ngày! ","")&amp;IF(AND(OR(LEFT($F2358,3)="131",LEFT($G2358,3)="131",LEFT($F2358,3)="331",LEFT($G2358,3)="331"),$I2358=""),"Thiếu Mã ĐT! ","")&amp;IF(AND($I2358&lt;&gt;"",COUNTIF(DM_DT!$A$7:$A$306,$I2358)=0),"Mã ĐT chưa khai báo! ","")))</f>
        <v/>
      </c>
      <c r="M2358" s="117">
        <f>IF($H2358="","",IF(AND(OR(LEFT($F2358,3)="111",LEFT($F2358,3)="112",LEFT($F2358,3)="113"),OR(LEFT($G2358,3)="111",LEFT($G2358,3)="112",LEFT($G2358,3)="113")),"NB",IF(OR(LEFT($F2358,3)="111",LEFT($F2358,3)="112",LEFT($F2358,3)="113"),"THU",IF(OR(LEFT($G2358,3)="111",LEFT($G2358,3)="112",LEFT($G2358,3)="113"),"CHI",""))))</f>
        <v/>
      </c>
      <c r="N2358" s="117">
        <f>IF($M2358="THU",$G2358,IF($M2358="CHI",$F2358,""))</f>
        <v/>
      </c>
      <c r="O2358" s="117">
        <f>IF(OR($M2358="",$M2358="NB"),"",IF($J2358&lt;&gt;"",TEXT($J2358,"00"),IFERROR(VLOOKUP(LEFT($N2358,4),LCTT_MAP!$A$7:$C$66,IF($M2358="THU",2,3),FALSE()),IFERROR(VLOOKUP(LEFT($N2358,3),LCTT_MAP!$A$7:$C$66,IF($M2358="THU",2,3),FALSE()),IFERROR(VLOOKUP(LEFT($N2358,2),LCTT_MAP!$A$7:$C$66,IF($M2358="THU",2,3),FALSE()),IFERROR(VLOOKUP(LEFT($N2358,1),LCTT_MAP!$A$7:$C$66,IF($M2358="THU",2,3),FALSE()),IF($M2358="THU","06","07")))))))</f>
        <v/>
      </c>
      <c r="P2358" s="117">
        <f>P2357+IF(AND($H2358&lt;&gt;"",OR(LEFT($F2358,LEN(SC_TK))=SC_TK,LEFT($G2358,LEN(SC_TK))=SC_TK)),1,0)</f>
        <v/>
      </c>
    </row>
    <row r="2359" ht="15" customHeight="1" s="78">
      <c r="A2359" s="95">
        <f>IF($H2359="","",ROW()-6)</f>
        <v/>
      </c>
      <c r="B2359" s="114" t="n"/>
      <c r="C2359" s="102" t="n"/>
      <c r="D2359" s="114" t="n"/>
      <c r="E2359" s="103" t="n"/>
      <c r="F2359" s="102" t="n"/>
      <c r="G2359" s="102" t="n"/>
      <c r="H2359" s="115" t="n"/>
      <c r="I2359" s="102" t="n"/>
      <c r="J2359" s="102" t="n"/>
      <c r="K2359" s="103" t="n"/>
      <c r="L2359" s="116">
        <f>IF($H2359="","",TRIM(IF(COUNTIF(DMTK!$A$7:$A$250,$F2359)=0,"TK Nợ sai! ","")&amp;IF(COUNTIF(DMTK!$A$7:$A$250,$G2359)=0,"TK Có sai! ","")&amp;IF(N($H2359)&lt;=0,"Tiền phải &gt; 0! ","")&amp;IF($B2359="","Thiếu ngày! ","")&amp;IF(AND(OR(LEFT($F2359,3)="131",LEFT($G2359,3)="131",LEFT($F2359,3)="331",LEFT($G2359,3)="331"),$I2359=""),"Thiếu Mã ĐT! ","")&amp;IF(AND($I2359&lt;&gt;"",COUNTIF(DM_DT!$A$7:$A$306,$I2359)=0),"Mã ĐT chưa khai báo! ","")))</f>
        <v/>
      </c>
      <c r="M2359" s="117">
        <f>IF($H2359="","",IF(AND(OR(LEFT($F2359,3)="111",LEFT($F2359,3)="112",LEFT($F2359,3)="113"),OR(LEFT($G2359,3)="111",LEFT($G2359,3)="112",LEFT($G2359,3)="113")),"NB",IF(OR(LEFT($F2359,3)="111",LEFT($F2359,3)="112",LEFT($F2359,3)="113"),"THU",IF(OR(LEFT($G2359,3)="111",LEFT($G2359,3)="112",LEFT($G2359,3)="113"),"CHI",""))))</f>
        <v/>
      </c>
      <c r="N2359" s="117">
        <f>IF($M2359="THU",$G2359,IF($M2359="CHI",$F2359,""))</f>
        <v/>
      </c>
      <c r="O2359" s="117">
        <f>IF(OR($M2359="",$M2359="NB"),"",IF($J2359&lt;&gt;"",TEXT($J2359,"00"),IFERROR(VLOOKUP(LEFT($N2359,4),LCTT_MAP!$A$7:$C$66,IF($M2359="THU",2,3),FALSE()),IFERROR(VLOOKUP(LEFT($N2359,3),LCTT_MAP!$A$7:$C$66,IF($M2359="THU",2,3),FALSE()),IFERROR(VLOOKUP(LEFT($N2359,2),LCTT_MAP!$A$7:$C$66,IF($M2359="THU",2,3),FALSE()),IFERROR(VLOOKUP(LEFT($N2359,1),LCTT_MAP!$A$7:$C$66,IF($M2359="THU",2,3),FALSE()),IF($M2359="THU","06","07")))))))</f>
        <v/>
      </c>
      <c r="P2359" s="117">
        <f>P2358+IF(AND($H2359&lt;&gt;"",OR(LEFT($F2359,LEN(SC_TK))=SC_TK,LEFT($G2359,LEN(SC_TK))=SC_TK)),1,0)</f>
        <v/>
      </c>
    </row>
    <row r="2360" ht="15" customHeight="1" s="78">
      <c r="A2360" s="95">
        <f>IF($H2360="","",ROW()-6)</f>
        <v/>
      </c>
      <c r="B2360" s="114" t="n"/>
      <c r="C2360" s="102" t="n"/>
      <c r="D2360" s="114" t="n"/>
      <c r="E2360" s="103" t="n"/>
      <c r="F2360" s="102" t="n"/>
      <c r="G2360" s="102" t="n"/>
      <c r="H2360" s="115" t="n"/>
      <c r="I2360" s="102" t="n"/>
      <c r="J2360" s="102" t="n"/>
      <c r="K2360" s="103" t="n"/>
      <c r="L2360" s="116">
        <f>IF($H2360="","",TRIM(IF(COUNTIF(DMTK!$A$7:$A$250,$F2360)=0,"TK Nợ sai! ","")&amp;IF(COUNTIF(DMTK!$A$7:$A$250,$G2360)=0,"TK Có sai! ","")&amp;IF(N($H2360)&lt;=0,"Tiền phải &gt; 0! ","")&amp;IF($B2360="","Thiếu ngày! ","")&amp;IF(AND(OR(LEFT($F2360,3)="131",LEFT($G2360,3)="131",LEFT($F2360,3)="331",LEFT($G2360,3)="331"),$I2360=""),"Thiếu Mã ĐT! ","")&amp;IF(AND($I2360&lt;&gt;"",COUNTIF(DM_DT!$A$7:$A$306,$I2360)=0),"Mã ĐT chưa khai báo! ","")))</f>
        <v/>
      </c>
      <c r="M2360" s="117">
        <f>IF($H2360="","",IF(AND(OR(LEFT($F2360,3)="111",LEFT($F2360,3)="112",LEFT($F2360,3)="113"),OR(LEFT($G2360,3)="111",LEFT($G2360,3)="112",LEFT($G2360,3)="113")),"NB",IF(OR(LEFT($F2360,3)="111",LEFT($F2360,3)="112",LEFT($F2360,3)="113"),"THU",IF(OR(LEFT($G2360,3)="111",LEFT($G2360,3)="112",LEFT($G2360,3)="113"),"CHI",""))))</f>
        <v/>
      </c>
      <c r="N2360" s="117">
        <f>IF($M2360="THU",$G2360,IF($M2360="CHI",$F2360,""))</f>
        <v/>
      </c>
      <c r="O2360" s="117">
        <f>IF(OR($M2360="",$M2360="NB"),"",IF($J2360&lt;&gt;"",TEXT($J2360,"00"),IFERROR(VLOOKUP(LEFT($N2360,4),LCTT_MAP!$A$7:$C$66,IF($M2360="THU",2,3),FALSE()),IFERROR(VLOOKUP(LEFT($N2360,3),LCTT_MAP!$A$7:$C$66,IF($M2360="THU",2,3),FALSE()),IFERROR(VLOOKUP(LEFT($N2360,2),LCTT_MAP!$A$7:$C$66,IF($M2360="THU",2,3),FALSE()),IFERROR(VLOOKUP(LEFT($N2360,1),LCTT_MAP!$A$7:$C$66,IF($M2360="THU",2,3),FALSE()),IF($M2360="THU","06","07")))))))</f>
        <v/>
      </c>
      <c r="P2360" s="117">
        <f>P2359+IF(AND($H2360&lt;&gt;"",OR(LEFT($F2360,LEN(SC_TK))=SC_TK,LEFT($G2360,LEN(SC_TK))=SC_TK)),1,0)</f>
        <v/>
      </c>
    </row>
    <row r="2361" ht="15" customHeight="1" s="78">
      <c r="A2361" s="95">
        <f>IF($H2361="","",ROW()-6)</f>
        <v/>
      </c>
      <c r="B2361" s="114" t="n"/>
      <c r="C2361" s="102" t="n"/>
      <c r="D2361" s="114" t="n"/>
      <c r="E2361" s="103" t="n"/>
      <c r="F2361" s="102" t="n"/>
      <c r="G2361" s="102" t="n"/>
      <c r="H2361" s="115" t="n"/>
      <c r="I2361" s="102" t="n"/>
      <c r="J2361" s="102" t="n"/>
      <c r="K2361" s="103" t="n"/>
      <c r="L2361" s="116">
        <f>IF($H2361="","",TRIM(IF(COUNTIF(DMTK!$A$7:$A$250,$F2361)=0,"TK Nợ sai! ","")&amp;IF(COUNTIF(DMTK!$A$7:$A$250,$G2361)=0,"TK Có sai! ","")&amp;IF(N($H2361)&lt;=0,"Tiền phải &gt; 0! ","")&amp;IF($B2361="","Thiếu ngày! ","")&amp;IF(AND(OR(LEFT($F2361,3)="131",LEFT($G2361,3)="131",LEFT($F2361,3)="331",LEFT($G2361,3)="331"),$I2361=""),"Thiếu Mã ĐT! ","")&amp;IF(AND($I2361&lt;&gt;"",COUNTIF(DM_DT!$A$7:$A$306,$I2361)=0),"Mã ĐT chưa khai báo! ","")))</f>
        <v/>
      </c>
      <c r="M2361" s="117">
        <f>IF($H2361="","",IF(AND(OR(LEFT($F2361,3)="111",LEFT($F2361,3)="112",LEFT($F2361,3)="113"),OR(LEFT($G2361,3)="111",LEFT($G2361,3)="112",LEFT($G2361,3)="113")),"NB",IF(OR(LEFT($F2361,3)="111",LEFT($F2361,3)="112",LEFT($F2361,3)="113"),"THU",IF(OR(LEFT($G2361,3)="111",LEFT($G2361,3)="112",LEFT($G2361,3)="113"),"CHI",""))))</f>
        <v/>
      </c>
      <c r="N2361" s="117">
        <f>IF($M2361="THU",$G2361,IF($M2361="CHI",$F2361,""))</f>
        <v/>
      </c>
      <c r="O2361" s="117">
        <f>IF(OR($M2361="",$M2361="NB"),"",IF($J2361&lt;&gt;"",TEXT($J2361,"00"),IFERROR(VLOOKUP(LEFT($N2361,4),LCTT_MAP!$A$7:$C$66,IF($M2361="THU",2,3),FALSE()),IFERROR(VLOOKUP(LEFT($N2361,3),LCTT_MAP!$A$7:$C$66,IF($M2361="THU",2,3),FALSE()),IFERROR(VLOOKUP(LEFT($N2361,2),LCTT_MAP!$A$7:$C$66,IF($M2361="THU",2,3),FALSE()),IFERROR(VLOOKUP(LEFT($N2361,1),LCTT_MAP!$A$7:$C$66,IF($M2361="THU",2,3),FALSE()),IF($M2361="THU","06","07")))))))</f>
        <v/>
      </c>
      <c r="P2361" s="117">
        <f>P2360+IF(AND($H2361&lt;&gt;"",OR(LEFT($F2361,LEN(SC_TK))=SC_TK,LEFT($G2361,LEN(SC_TK))=SC_TK)),1,0)</f>
        <v/>
      </c>
    </row>
    <row r="2362" ht="15" customHeight="1" s="78">
      <c r="A2362" s="95">
        <f>IF($H2362="","",ROW()-6)</f>
        <v/>
      </c>
      <c r="B2362" s="114" t="n"/>
      <c r="C2362" s="102" t="n"/>
      <c r="D2362" s="114" t="n"/>
      <c r="E2362" s="103" t="n"/>
      <c r="F2362" s="102" t="n"/>
      <c r="G2362" s="102" t="n"/>
      <c r="H2362" s="115" t="n"/>
      <c r="I2362" s="102" t="n"/>
      <c r="J2362" s="102" t="n"/>
      <c r="K2362" s="103" t="n"/>
      <c r="L2362" s="116">
        <f>IF($H2362="","",TRIM(IF(COUNTIF(DMTK!$A$7:$A$250,$F2362)=0,"TK Nợ sai! ","")&amp;IF(COUNTIF(DMTK!$A$7:$A$250,$G2362)=0,"TK Có sai! ","")&amp;IF(N($H2362)&lt;=0,"Tiền phải &gt; 0! ","")&amp;IF($B2362="","Thiếu ngày! ","")&amp;IF(AND(OR(LEFT($F2362,3)="131",LEFT($G2362,3)="131",LEFT($F2362,3)="331",LEFT($G2362,3)="331"),$I2362=""),"Thiếu Mã ĐT! ","")&amp;IF(AND($I2362&lt;&gt;"",COUNTIF(DM_DT!$A$7:$A$306,$I2362)=0),"Mã ĐT chưa khai báo! ","")))</f>
        <v/>
      </c>
      <c r="M2362" s="117">
        <f>IF($H2362="","",IF(AND(OR(LEFT($F2362,3)="111",LEFT($F2362,3)="112",LEFT($F2362,3)="113"),OR(LEFT($G2362,3)="111",LEFT($G2362,3)="112",LEFT($G2362,3)="113")),"NB",IF(OR(LEFT($F2362,3)="111",LEFT($F2362,3)="112",LEFT($F2362,3)="113"),"THU",IF(OR(LEFT($G2362,3)="111",LEFT($G2362,3)="112",LEFT($G2362,3)="113"),"CHI",""))))</f>
        <v/>
      </c>
      <c r="N2362" s="117">
        <f>IF($M2362="THU",$G2362,IF($M2362="CHI",$F2362,""))</f>
        <v/>
      </c>
      <c r="O2362" s="117">
        <f>IF(OR($M2362="",$M2362="NB"),"",IF($J2362&lt;&gt;"",TEXT($J2362,"00"),IFERROR(VLOOKUP(LEFT($N2362,4),LCTT_MAP!$A$7:$C$66,IF($M2362="THU",2,3),FALSE()),IFERROR(VLOOKUP(LEFT($N2362,3),LCTT_MAP!$A$7:$C$66,IF($M2362="THU",2,3),FALSE()),IFERROR(VLOOKUP(LEFT($N2362,2),LCTT_MAP!$A$7:$C$66,IF($M2362="THU",2,3),FALSE()),IFERROR(VLOOKUP(LEFT($N2362,1),LCTT_MAP!$A$7:$C$66,IF($M2362="THU",2,3),FALSE()),IF($M2362="THU","06","07")))))))</f>
        <v/>
      </c>
      <c r="P2362" s="117">
        <f>P2361+IF(AND($H2362&lt;&gt;"",OR(LEFT($F2362,LEN(SC_TK))=SC_TK,LEFT($G2362,LEN(SC_TK))=SC_TK)),1,0)</f>
        <v/>
      </c>
    </row>
    <row r="2363" ht="15" customHeight="1" s="78">
      <c r="A2363" s="95">
        <f>IF($H2363="","",ROW()-6)</f>
        <v/>
      </c>
      <c r="B2363" s="114" t="n"/>
      <c r="C2363" s="102" t="n"/>
      <c r="D2363" s="114" t="n"/>
      <c r="E2363" s="103" t="n"/>
      <c r="F2363" s="102" t="n"/>
      <c r="G2363" s="102" t="n"/>
      <c r="H2363" s="115" t="n"/>
      <c r="I2363" s="102" t="n"/>
      <c r="J2363" s="102" t="n"/>
      <c r="K2363" s="103" t="n"/>
      <c r="L2363" s="116">
        <f>IF($H2363="","",TRIM(IF(COUNTIF(DMTK!$A$7:$A$250,$F2363)=0,"TK Nợ sai! ","")&amp;IF(COUNTIF(DMTK!$A$7:$A$250,$G2363)=0,"TK Có sai! ","")&amp;IF(N($H2363)&lt;=0,"Tiền phải &gt; 0! ","")&amp;IF($B2363="","Thiếu ngày! ","")&amp;IF(AND(OR(LEFT($F2363,3)="131",LEFT($G2363,3)="131",LEFT($F2363,3)="331",LEFT($G2363,3)="331"),$I2363=""),"Thiếu Mã ĐT! ","")&amp;IF(AND($I2363&lt;&gt;"",COUNTIF(DM_DT!$A$7:$A$306,$I2363)=0),"Mã ĐT chưa khai báo! ","")))</f>
        <v/>
      </c>
      <c r="M2363" s="117">
        <f>IF($H2363="","",IF(AND(OR(LEFT($F2363,3)="111",LEFT($F2363,3)="112",LEFT($F2363,3)="113"),OR(LEFT($G2363,3)="111",LEFT($G2363,3)="112",LEFT($G2363,3)="113")),"NB",IF(OR(LEFT($F2363,3)="111",LEFT($F2363,3)="112",LEFT($F2363,3)="113"),"THU",IF(OR(LEFT($G2363,3)="111",LEFT($G2363,3)="112",LEFT($G2363,3)="113"),"CHI",""))))</f>
        <v/>
      </c>
      <c r="N2363" s="117">
        <f>IF($M2363="THU",$G2363,IF($M2363="CHI",$F2363,""))</f>
        <v/>
      </c>
      <c r="O2363" s="117">
        <f>IF(OR($M2363="",$M2363="NB"),"",IF($J2363&lt;&gt;"",TEXT($J2363,"00"),IFERROR(VLOOKUP(LEFT($N2363,4),LCTT_MAP!$A$7:$C$66,IF($M2363="THU",2,3),FALSE()),IFERROR(VLOOKUP(LEFT($N2363,3),LCTT_MAP!$A$7:$C$66,IF($M2363="THU",2,3),FALSE()),IFERROR(VLOOKUP(LEFT($N2363,2),LCTT_MAP!$A$7:$C$66,IF($M2363="THU",2,3),FALSE()),IFERROR(VLOOKUP(LEFT($N2363,1),LCTT_MAP!$A$7:$C$66,IF($M2363="THU",2,3),FALSE()),IF($M2363="THU","06","07")))))))</f>
        <v/>
      </c>
      <c r="P2363" s="117">
        <f>P2362+IF(AND($H2363&lt;&gt;"",OR(LEFT($F2363,LEN(SC_TK))=SC_TK,LEFT($G2363,LEN(SC_TK))=SC_TK)),1,0)</f>
        <v/>
      </c>
    </row>
    <row r="2364" ht="15" customHeight="1" s="78">
      <c r="A2364" s="95">
        <f>IF($H2364="","",ROW()-6)</f>
        <v/>
      </c>
      <c r="B2364" s="114" t="n"/>
      <c r="C2364" s="102" t="n"/>
      <c r="D2364" s="114" t="n"/>
      <c r="E2364" s="103" t="n"/>
      <c r="F2364" s="102" t="n"/>
      <c r="G2364" s="102" t="n"/>
      <c r="H2364" s="115" t="n"/>
      <c r="I2364" s="102" t="n"/>
      <c r="J2364" s="102" t="n"/>
      <c r="K2364" s="103" t="n"/>
      <c r="L2364" s="116">
        <f>IF($H2364="","",TRIM(IF(COUNTIF(DMTK!$A$7:$A$250,$F2364)=0,"TK Nợ sai! ","")&amp;IF(COUNTIF(DMTK!$A$7:$A$250,$G2364)=0,"TK Có sai! ","")&amp;IF(N($H2364)&lt;=0,"Tiền phải &gt; 0! ","")&amp;IF($B2364="","Thiếu ngày! ","")&amp;IF(AND(OR(LEFT($F2364,3)="131",LEFT($G2364,3)="131",LEFT($F2364,3)="331",LEFT($G2364,3)="331"),$I2364=""),"Thiếu Mã ĐT! ","")&amp;IF(AND($I2364&lt;&gt;"",COUNTIF(DM_DT!$A$7:$A$306,$I2364)=0),"Mã ĐT chưa khai báo! ","")))</f>
        <v/>
      </c>
      <c r="M2364" s="117">
        <f>IF($H2364="","",IF(AND(OR(LEFT($F2364,3)="111",LEFT($F2364,3)="112",LEFT($F2364,3)="113"),OR(LEFT($G2364,3)="111",LEFT($G2364,3)="112",LEFT($G2364,3)="113")),"NB",IF(OR(LEFT($F2364,3)="111",LEFT($F2364,3)="112",LEFT($F2364,3)="113"),"THU",IF(OR(LEFT($G2364,3)="111",LEFT($G2364,3)="112",LEFT($G2364,3)="113"),"CHI",""))))</f>
        <v/>
      </c>
      <c r="N2364" s="117">
        <f>IF($M2364="THU",$G2364,IF($M2364="CHI",$F2364,""))</f>
        <v/>
      </c>
      <c r="O2364" s="117">
        <f>IF(OR($M2364="",$M2364="NB"),"",IF($J2364&lt;&gt;"",TEXT($J2364,"00"),IFERROR(VLOOKUP(LEFT($N2364,4),LCTT_MAP!$A$7:$C$66,IF($M2364="THU",2,3),FALSE()),IFERROR(VLOOKUP(LEFT($N2364,3),LCTT_MAP!$A$7:$C$66,IF($M2364="THU",2,3),FALSE()),IFERROR(VLOOKUP(LEFT($N2364,2),LCTT_MAP!$A$7:$C$66,IF($M2364="THU",2,3),FALSE()),IFERROR(VLOOKUP(LEFT($N2364,1),LCTT_MAP!$A$7:$C$66,IF($M2364="THU",2,3),FALSE()),IF($M2364="THU","06","07")))))))</f>
        <v/>
      </c>
      <c r="P2364" s="117">
        <f>P2363+IF(AND($H2364&lt;&gt;"",OR(LEFT($F2364,LEN(SC_TK))=SC_TK,LEFT($G2364,LEN(SC_TK))=SC_TK)),1,0)</f>
        <v/>
      </c>
    </row>
    <row r="2365" ht="15" customHeight="1" s="78">
      <c r="A2365" s="95">
        <f>IF($H2365="","",ROW()-6)</f>
        <v/>
      </c>
      <c r="B2365" s="114" t="n"/>
      <c r="C2365" s="102" t="n"/>
      <c r="D2365" s="114" t="n"/>
      <c r="E2365" s="103" t="n"/>
      <c r="F2365" s="102" t="n"/>
      <c r="G2365" s="102" t="n"/>
      <c r="H2365" s="115" t="n"/>
      <c r="I2365" s="102" t="n"/>
      <c r="J2365" s="102" t="n"/>
      <c r="K2365" s="103" t="n"/>
      <c r="L2365" s="116">
        <f>IF($H2365="","",TRIM(IF(COUNTIF(DMTK!$A$7:$A$250,$F2365)=0,"TK Nợ sai! ","")&amp;IF(COUNTIF(DMTK!$A$7:$A$250,$G2365)=0,"TK Có sai! ","")&amp;IF(N($H2365)&lt;=0,"Tiền phải &gt; 0! ","")&amp;IF($B2365="","Thiếu ngày! ","")&amp;IF(AND(OR(LEFT($F2365,3)="131",LEFT($G2365,3)="131",LEFT($F2365,3)="331",LEFT($G2365,3)="331"),$I2365=""),"Thiếu Mã ĐT! ","")&amp;IF(AND($I2365&lt;&gt;"",COUNTIF(DM_DT!$A$7:$A$306,$I2365)=0),"Mã ĐT chưa khai báo! ","")))</f>
        <v/>
      </c>
      <c r="M2365" s="117">
        <f>IF($H2365="","",IF(AND(OR(LEFT($F2365,3)="111",LEFT($F2365,3)="112",LEFT($F2365,3)="113"),OR(LEFT($G2365,3)="111",LEFT($G2365,3)="112",LEFT($G2365,3)="113")),"NB",IF(OR(LEFT($F2365,3)="111",LEFT($F2365,3)="112",LEFT($F2365,3)="113"),"THU",IF(OR(LEFT($G2365,3)="111",LEFT($G2365,3)="112",LEFT($G2365,3)="113"),"CHI",""))))</f>
        <v/>
      </c>
      <c r="N2365" s="117">
        <f>IF($M2365="THU",$G2365,IF($M2365="CHI",$F2365,""))</f>
        <v/>
      </c>
      <c r="O2365" s="117">
        <f>IF(OR($M2365="",$M2365="NB"),"",IF($J2365&lt;&gt;"",TEXT($J2365,"00"),IFERROR(VLOOKUP(LEFT($N2365,4),LCTT_MAP!$A$7:$C$66,IF($M2365="THU",2,3),FALSE()),IFERROR(VLOOKUP(LEFT($N2365,3),LCTT_MAP!$A$7:$C$66,IF($M2365="THU",2,3),FALSE()),IFERROR(VLOOKUP(LEFT($N2365,2),LCTT_MAP!$A$7:$C$66,IF($M2365="THU",2,3),FALSE()),IFERROR(VLOOKUP(LEFT($N2365,1),LCTT_MAP!$A$7:$C$66,IF($M2365="THU",2,3),FALSE()),IF($M2365="THU","06","07")))))))</f>
        <v/>
      </c>
      <c r="P2365" s="117">
        <f>P2364+IF(AND($H2365&lt;&gt;"",OR(LEFT($F2365,LEN(SC_TK))=SC_TK,LEFT($G2365,LEN(SC_TK))=SC_TK)),1,0)</f>
        <v/>
      </c>
    </row>
    <row r="2366" ht="15" customHeight="1" s="78">
      <c r="A2366" s="95">
        <f>IF($H2366="","",ROW()-6)</f>
        <v/>
      </c>
      <c r="B2366" s="114" t="n"/>
      <c r="C2366" s="102" t="n"/>
      <c r="D2366" s="114" t="n"/>
      <c r="E2366" s="103" t="n"/>
      <c r="F2366" s="102" t="n"/>
      <c r="G2366" s="102" t="n"/>
      <c r="H2366" s="115" t="n"/>
      <c r="I2366" s="102" t="n"/>
      <c r="J2366" s="102" t="n"/>
      <c r="K2366" s="103" t="n"/>
      <c r="L2366" s="116">
        <f>IF($H2366="","",TRIM(IF(COUNTIF(DMTK!$A$7:$A$250,$F2366)=0,"TK Nợ sai! ","")&amp;IF(COUNTIF(DMTK!$A$7:$A$250,$G2366)=0,"TK Có sai! ","")&amp;IF(N($H2366)&lt;=0,"Tiền phải &gt; 0! ","")&amp;IF($B2366="","Thiếu ngày! ","")&amp;IF(AND(OR(LEFT($F2366,3)="131",LEFT($G2366,3)="131",LEFT($F2366,3)="331",LEFT($G2366,3)="331"),$I2366=""),"Thiếu Mã ĐT! ","")&amp;IF(AND($I2366&lt;&gt;"",COUNTIF(DM_DT!$A$7:$A$306,$I2366)=0),"Mã ĐT chưa khai báo! ","")))</f>
        <v/>
      </c>
      <c r="M2366" s="117">
        <f>IF($H2366="","",IF(AND(OR(LEFT($F2366,3)="111",LEFT($F2366,3)="112",LEFT($F2366,3)="113"),OR(LEFT($G2366,3)="111",LEFT($G2366,3)="112",LEFT($G2366,3)="113")),"NB",IF(OR(LEFT($F2366,3)="111",LEFT($F2366,3)="112",LEFT($F2366,3)="113"),"THU",IF(OR(LEFT($G2366,3)="111",LEFT($G2366,3)="112",LEFT($G2366,3)="113"),"CHI",""))))</f>
        <v/>
      </c>
      <c r="N2366" s="117">
        <f>IF($M2366="THU",$G2366,IF($M2366="CHI",$F2366,""))</f>
        <v/>
      </c>
      <c r="O2366" s="117">
        <f>IF(OR($M2366="",$M2366="NB"),"",IF($J2366&lt;&gt;"",TEXT($J2366,"00"),IFERROR(VLOOKUP(LEFT($N2366,4),LCTT_MAP!$A$7:$C$66,IF($M2366="THU",2,3),FALSE()),IFERROR(VLOOKUP(LEFT($N2366,3),LCTT_MAP!$A$7:$C$66,IF($M2366="THU",2,3),FALSE()),IFERROR(VLOOKUP(LEFT($N2366,2),LCTT_MAP!$A$7:$C$66,IF($M2366="THU",2,3),FALSE()),IFERROR(VLOOKUP(LEFT($N2366,1),LCTT_MAP!$A$7:$C$66,IF($M2366="THU",2,3),FALSE()),IF($M2366="THU","06","07")))))))</f>
        <v/>
      </c>
      <c r="P2366" s="117">
        <f>P2365+IF(AND($H2366&lt;&gt;"",OR(LEFT($F2366,LEN(SC_TK))=SC_TK,LEFT($G2366,LEN(SC_TK))=SC_TK)),1,0)</f>
        <v/>
      </c>
    </row>
    <row r="2367" ht="15" customHeight="1" s="78">
      <c r="A2367" s="95">
        <f>IF($H2367="","",ROW()-6)</f>
        <v/>
      </c>
      <c r="B2367" s="114" t="n"/>
      <c r="C2367" s="102" t="n"/>
      <c r="D2367" s="114" t="n"/>
      <c r="E2367" s="103" t="n"/>
      <c r="F2367" s="102" t="n"/>
      <c r="G2367" s="102" t="n"/>
      <c r="H2367" s="115" t="n"/>
      <c r="I2367" s="102" t="n"/>
      <c r="J2367" s="102" t="n"/>
      <c r="K2367" s="103" t="n"/>
      <c r="L2367" s="116">
        <f>IF($H2367="","",TRIM(IF(COUNTIF(DMTK!$A$7:$A$250,$F2367)=0,"TK Nợ sai! ","")&amp;IF(COUNTIF(DMTK!$A$7:$A$250,$G2367)=0,"TK Có sai! ","")&amp;IF(N($H2367)&lt;=0,"Tiền phải &gt; 0! ","")&amp;IF($B2367="","Thiếu ngày! ","")&amp;IF(AND(OR(LEFT($F2367,3)="131",LEFT($G2367,3)="131",LEFT($F2367,3)="331",LEFT($G2367,3)="331"),$I2367=""),"Thiếu Mã ĐT! ","")&amp;IF(AND($I2367&lt;&gt;"",COUNTIF(DM_DT!$A$7:$A$306,$I2367)=0),"Mã ĐT chưa khai báo! ","")))</f>
        <v/>
      </c>
      <c r="M2367" s="117">
        <f>IF($H2367="","",IF(AND(OR(LEFT($F2367,3)="111",LEFT($F2367,3)="112",LEFT($F2367,3)="113"),OR(LEFT($G2367,3)="111",LEFT($G2367,3)="112",LEFT($G2367,3)="113")),"NB",IF(OR(LEFT($F2367,3)="111",LEFT($F2367,3)="112",LEFT($F2367,3)="113"),"THU",IF(OR(LEFT($G2367,3)="111",LEFT($G2367,3)="112",LEFT($G2367,3)="113"),"CHI",""))))</f>
        <v/>
      </c>
      <c r="N2367" s="117">
        <f>IF($M2367="THU",$G2367,IF($M2367="CHI",$F2367,""))</f>
        <v/>
      </c>
      <c r="O2367" s="117">
        <f>IF(OR($M2367="",$M2367="NB"),"",IF($J2367&lt;&gt;"",TEXT($J2367,"00"),IFERROR(VLOOKUP(LEFT($N2367,4),LCTT_MAP!$A$7:$C$66,IF($M2367="THU",2,3),FALSE()),IFERROR(VLOOKUP(LEFT($N2367,3),LCTT_MAP!$A$7:$C$66,IF($M2367="THU",2,3),FALSE()),IFERROR(VLOOKUP(LEFT($N2367,2),LCTT_MAP!$A$7:$C$66,IF($M2367="THU",2,3),FALSE()),IFERROR(VLOOKUP(LEFT($N2367,1),LCTT_MAP!$A$7:$C$66,IF($M2367="THU",2,3),FALSE()),IF($M2367="THU","06","07")))))))</f>
        <v/>
      </c>
      <c r="P2367" s="117">
        <f>P2366+IF(AND($H2367&lt;&gt;"",OR(LEFT($F2367,LEN(SC_TK))=SC_TK,LEFT($G2367,LEN(SC_TK))=SC_TK)),1,0)</f>
        <v/>
      </c>
    </row>
    <row r="2368" ht="15" customHeight="1" s="78">
      <c r="A2368" s="95">
        <f>IF($H2368="","",ROW()-6)</f>
        <v/>
      </c>
      <c r="B2368" s="114" t="n"/>
      <c r="C2368" s="102" t="n"/>
      <c r="D2368" s="114" t="n"/>
      <c r="E2368" s="103" t="n"/>
      <c r="F2368" s="102" t="n"/>
      <c r="G2368" s="102" t="n"/>
      <c r="H2368" s="115" t="n"/>
      <c r="I2368" s="102" t="n"/>
      <c r="J2368" s="102" t="n"/>
      <c r="K2368" s="103" t="n"/>
      <c r="L2368" s="116">
        <f>IF($H2368="","",TRIM(IF(COUNTIF(DMTK!$A$7:$A$250,$F2368)=0,"TK Nợ sai! ","")&amp;IF(COUNTIF(DMTK!$A$7:$A$250,$G2368)=0,"TK Có sai! ","")&amp;IF(N($H2368)&lt;=0,"Tiền phải &gt; 0! ","")&amp;IF($B2368="","Thiếu ngày! ","")&amp;IF(AND(OR(LEFT($F2368,3)="131",LEFT($G2368,3)="131",LEFT($F2368,3)="331",LEFT($G2368,3)="331"),$I2368=""),"Thiếu Mã ĐT! ","")&amp;IF(AND($I2368&lt;&gt;"",COUNTIF(DM_DT!$A$7:$A$306,$I2368)=0),"Mã ĐT chưa khai báo! ","")))</f>
        <v/>
      </c>
      <c r="M2368" s="117">
        <f>IF($H2368="","",IF(AND(OR(LEFT($F2368,3)="111",LEFT($F2368,3)="112",LEFT($F2368,3)="113"),OR(LEFT($G2368,3)="111",LEFT($G2368,3)="112",LEFT($G2368,3)="113")),"NB",IF(OR(LEFT($F2368,3)="111",LEFT($F2368,3)="112",LEFT($F2368,3)="113"),"THU",IF(OR(LEFT($G2368,3)="111",LEFT($G2368,3)="112",LEFT($G2368,3)="113"),"CHI",""))))</f>
        <v/>
      </c>
      <c r="N2368" s="117">
        <f>IF($M2368="THU",$G2368,IF($M2368="CHI",$F2368,""))</f>
        <v/>
      </c>
      <c r="O2368" s="117">
        <f>IF(OR($M2368="",$M2368="NB"),"",IF($J2368&lt;&gt;"",TEXT($J2368,"00"),IFERROR(VLOOKUP(LEFT($N2368,4),LCTT_MAP!$A$7:$C$66,IF($M2368="THU",2,3),FALSE()),IFERROR(VLOOKUP(LEFT($N2368,3),LCTT_MAP!$A$7:$C$66,IF($M2368="THU",2,3),FALSE()),IFERROR(VLOOKUP(LEFT($N2368,2),LCTT_MAP!$A$7:$C$66,IF($M2368="THU",2,3),FALSE()),IFERROR(VLOOKUP(LEFT($N2368,1),LCTT_MAP!$A$7:$C$66,IF($M2368="THU",2,3),FALSE()),IF($M2368="THU","06","07")))))))</f>
        <v/>
      </c>
      <c r="P2368" s="117">
        <f>P2367+IF(AND($H2368&lt;&gt;"",OR(LEFT($F2368,LEN(SC_TK))=SC_TK,LEFT($G2368,LEN(SC_TK))=SC_TK)),1,0)</f>
        <v/>
      </c>
    </row>
    <row r="2369" ht="15" customHeight="1" s="78">
      <c r="A2369" s="95">
        <f>IF($H2369="","",ROW()-6)</f>
        <v/>
      </c>
      <c r="B2369" s="114" t="n"/>
      <c r="C2369" s="102" t="n"/>
      <c r="D2369" s="114" t="n"/>
      <c r="E2369" s="103" t="n"/>
      <c r="F2369" s="102" t="n"/>
      <c r="G2369" s="102" t="n"/>
      <c r="H2369" s="115" t="n"/>
      <c r="I2369" s="102" t="n"/>
      <c r="J2369" s="102" t="n"/>
      <c r="K2369" s="103" t="n"/>
      <c r="L2369" s="116">
        <f>IF($H2369="","",TRIM(IF(COUNTIF(DMTK!$A$7:$A$250,$F2369)=0,"TK Nợ sai! ","")&amp;IF(COUNTIF(DMTK!$A$7:$A$250,$G2369)=0,"TK Có sai! ","")&amp;IF(N($H2369)&lt;=0,"Tiền phải &gt; 0! ","")&amp;IF($B2369="","Thiếu ngày! ","")&amp;IF(AND(OR(LEFT($F2369,3)="131",LEFT($G2369,3)="131",LEFT($F2369,3)="331",LEFT($G2369,3)="331"),$I2369=""),"Thiếu Mã ĐT! ","")&amp;IF(AND($I2369&lt;&gt;"",COUNTIF(DM_DT!$A$7:$A$306,$I2369)=0),"Mã ĐT chưa khai báo! ","")))</f>
        <v/>
      </c>
      <c r="M2369" s="117">
        <f>IF($H2369="","",IF(AND(OR(LEFT($F2369,3)="111",LEFT($F2369,3)="112",LEFT($F2369,3)="113"),OR(LEFT($G2369,3)="111",LEFT($G2369,3)="112",LEFT($G2369,3)="113")),"NB",IF(OR(LEFT($F2369,3)="111",LEFT($F2369,3)="112",LEFT($F2369,3)="113"),"THU",IF(OR(LEFT($G2369,3)="111",LEFT($G2369,3)="112",LEFT($G2369,3)="113"),"CHI",""))))</f>
        <v/>
      </c>
      <c r="N2369" s="117">
        <f>IF($M2369="THU",$G2369,IF($M2369="CHI",$F2369,""))</f>
        <v/>
      </c>
      <c r="O2369" s="117">
        <f>IF(OR($M2369="",$M2369="NB"),"",IF($J2369&lt;&gt;"",TEXT($J2369,"00"),IFERROR(VLOOKUP(LEFT($N2369,4),LCTT_MAP!$A$7:$C$66,IF($M2369="THU",2,3),FALSE()),IFERROR(VLOOKUP(LEFT($N2369,3),LCTT_MAP!$A$7:$C$66,IF($M2369="THU",2,3),FALSE()),IFERROR(VLOOKUP(LEFT($N2369,2),LCTT_MAP!$A$7:$C$66,IF($M2369="THU",2,3),FALSE()),IFERROR(VLOOKUP(LEFT($N2369,1),LCTT_MAP!$A$7:$C$66,IF($M2369="THU",2,3),FALSE()),IF($M2369="THU","06","07")))))))</f>
        <v/>
      </c>
      <c r="P2369" s="117">
        <f>P2368+IF(AND($H2369&lt;&gt;"",OR(LEFT($F2369,LEN(SC_TK))=SC_TK,LEFT($G2369,LEN(SC_TK))=SC_TK)),1,0)</f>
        <v/>
      </c>
    </row>
    <row r="2370" ht="15" customHeight="1" s="78">
      <c r="A2370" s="95">
        <f>IF($H2370="","",ROW()-6)</f>
        <v/>
      </c>
      <c r="B2370" s="114" t="n"/>
      <c r="C2370" s="102" t="n"/>
      <c r="D2370" s="114" t="n"/>
      <c r="E2370" s="103" t="n"/>
      <c r="F2370" s="102" t="n"/>
      <c r="G2370" s="102" t="n"/>
      <c r="H2370" s="115" t="n"/>
      <c r="I2370" s="102" t="n"/>
      <c r="J2370" s="102" t="n"/>
      <c r="K2370" s="103" t="n"/>
      <c r="L2370" s="116">
        <f>IF($H2370="","",TRIM(IF(COUNTIF(DMTK!$A$7:$A$250,$F2370)=0,"TK Nợ sai! ","")&amp;IF(COUNTIF(DMTK!$A$7:$A$250,$G2370)=0,"TK Có sai! ","")&amp;IF(N($H2370)&lt;=0,"Tiền phải &gt; 0! ","")&amp;IF($B2370="","Thiếu ngày! ","")&amp;IF(AND(OR(LEFT($F2370,3)="131",LEFT($G2370,3)="131",LEFT($F2370,3)="331",LEFT($G2370,3)="331"),$I2370=""),"Thiếu Mã ĐT! ","")&amp;IF(AND($I2370&lt;&gt;"",COUNTIF(DM_DT!$A$7:$A$306,$I2370)=0),"Mã ĐT chưa khai báo! ","")))</f>
        <v/>
      </c>
      <c r="M2370" s="117">
        <f>IF($H2370="","",IF(AND(OR(LEFT($F2370,3)="111",LEFT($F2370,3)="112",LEFT($F2370,3)="113"),OR(LEFT($G2370,3)="111",LEFT($G2370,3)="112",LEFT($G2370,3)="113")),"NB",IF(OR(LEFT($F2370,3)="111",LEFT($F2370,3)="112",LEFT($F2370,3)="113"),"THU",IF(OR(LEFT($G2370,3)="111",LEFT($G2370,3)="112",LEFT($G2370,3)="113"),"CHI",""))))</f>
        <v/>
      </c>
      <c r="N2370" s="117">
        <f>IF($M2370="THU",$G2370,IF($M2370="CHI",$F2370,""))</f>
        <v/>
      </c>
      <c r="O2370" s="117">
        <f>IF(OR($M2370="",$M2370="NB"),"",IF($J2370&lt;&gt;"",TEXT($J2370,"00"),IFERROR(VLOOKUP(LEFT($N2370,4),LCTT_MAP!$A$7:$C$66,IF($M2370="THU",2,3),FALSE()),IFERROR(VLOOKUP(LEFT($N2370,3),LCTT_MAP!$A$7:$C$66,IF($M2370="THU",2,3),FALSE()),IFERROR(VLOOKUP(LEFT($N2370,2),LCTT_MAP!$A$7:$C$66,IF($M2370="THU",2,3),FALSE()),IFERROR(VLOOKUP(LEFT($N2370,1),LCTT_MAP!$A$7:$C$66,IF($M2370="THU",2,3),FALSE()),IF($M2370="THU","06","07")))))))</f>
        <v/>
      </c>
      <c r="P2370" s="117">
        <f>P2369+IF(AND($H2370&lt;&gt;"",OR(LEFT($F2370,LEN(SC_TK))=SC_TK,LEFT($G2370,LEN(SC_TK))=SC_TK)),1,0)</f>
        <v/>
      </c>
    </row>
    <row r="2371" ht="15" customHeight="1" s="78">
      <c r="A2371" s="95">
        <f>IF($H2371="","",ROW()-6)</f>
        <v/>
      </c>
      <c r="B2371" s="114" t="n"/>
      <c r="C2371" s="102" t="n"/>
      <c r="D2371" s="114" t="n"/>
      <c r="E2371" s="103" t="n"/>
      <c r="F2371" s="102" t="n"/>
      <c r="G2371" s="102" t="n"/>
      <c r="H2371" s="115" t="n"/>
      <c r="I2371" s="102" t="n"/>
      <c r="J2371" s="102" t="n"/>
      <c r="K2371" s="103" t="n"/>
      <c r="L2371" s="116">
        <f>IF($H2371="","",TRIM(IF(COUNTIF(DMTK!$A$7:$A$250,$F2371)=0,"TK Nợ sai! ","")&amp;IF(COUNTIF(DMTK!$A$7:$A$250,$G2371)=0,"TK Có sai! ","")&amp;IF(N($H2371)&lt;=0,"Tiền phải &gt; 0! ","")&amp;IF($B2371="","Thiếu ngày! ","")&amp;IF(AND(OR(LEFT($F2371,3)="131",LEFT($G2371,3)="131",LEFT($F2371,3)="331",LEFT($G2371,3)="331"),$I2371=""),"Thiếu Mã ĐT! ","")&amp;IF(AND($I2371&lt;&gt;"",COUNTIF(DM_DT!$A$7:$A$306,$I2371)=0),"Mã ĐT chưa khai báo! ","")))</f>
        <v/>
      </c>
      <c r="M2371" s="117">
        <f>IF($H2371="","",IF(AND(OR(LEFT($F2371,3)="111",LEFT($F2371,3)="112",LEFT($F2371,3)="113"),OR(LEFT($G2371,3)="111",LEFT($G2371,3)="112",LEFT($G2371,3)="113")),"NB",IF(OR(LEFT($F2371,3)="111",LEFT($F2371,3)="112",LEFT($F2371,3)="113"),"THU",IF(OR(LEFT($G2371,3)="111",LEFT($G2371,3)="112",LEFT($G2371,3)="113"),"CHI",""))))</f>
        <v/>
      </c>
      <c r="N2371" s="117">
        <f>IF($M2371="THU",$G2371,IF($M2371="CHI",$F2371,""))</f>
        <v/>
      </c>
      <c r="O2371" s="117">
        <f>IF(OR($M2371="",$M2371="NB"),"",IF($J2371&lt;&gt;"",TEXT($J2371,"00"),IFERROR(VLOOKUP(LEFT($N2371,4),LCTT_MAP!$A$7:$C$66,IF($M2371="THU",2,3),FALSE()),IFERROR(VLOOKUP(LEFT($N2371,3),LCTT_MAP!$A$7:$C$66,IF($M2371="THU",2,3),FALSE()),IFERROR(VLOOKUP(LEFT($N2371,2),LCTT_MAP!$A$7:$C$66,IF($M2371="THU",2,3),FALSE()),IFERROR(VLOOKUP(LEFT($N2371,1),LCTT_MAP!$A$7:$C$66,IF($M2371="THU",2,3),FALSE()),IF($M2371="THU","06","07")))))))</f>
        <v/>
      </c>
      <c r="P2371" s="117">
        <f>P2370+IF(AND($H2371&lt;&gt;"",OR(LEFT($F2371,LEN(SC_TK))=SC_TK,LEFT($G2371,LEN(SC_TK))=SC_TK)),1,0)</f>
        <v/>
      </c>
    </row>
    <row r="2372" ht="15" customHeight="1" s="78">
      <c r="A2372" s="95">
        <f>IF($H2372="","",ROW()-6)</f>
        <v/>
      </c>
      <c r="B2372" s="114" t="n"/>
      <c r="C2372" s="102" t="n"/>
      <c r="D2372" s="114" t="n"/>
      <c r="E2372" s="103" t="n"/>
      <c r="F2372" s="102" t="n"/>
      <c r="G2372" s="102" t="n"/>
      <c r="H2372" s="115" t="n"/>
      <c r="I2372" s="102" t="n"/>
      <c r="J2372" s="102" t="n"/>
      <c r="K2372" s="103" t="n"/>
      <c r="L2372" s="116">
        <f>IF($H2372="","",TRIM(IF(COUNTIF(DMTK!$A$7:$A$250,$F2372)=0,"TK Nợ sai! ","")&amp;IF(COUNTIF(DMTK!$A$7:$A$250,$G2372)=0,"TK Có sai! ","")&amp;IF(N($H2372)&lt;=0,"Tiền phải &gt; 0! ","")&amp;IF($B2372="","Thiếu ngày! ","")&amp;IF(AND(OR(LEFT($F2372,3)="131",LEFT($G2372,3)="131",LEFT($F2372,3)="331",LEFT($G2372,3)="331"),$I2372=""),"Thiếu Mã ĐT! ","")&amp;IF(AND($I2372&lt;&gt;"",COUNTIF(DM_DT!$A$7:$A$306,$I2372)=0),"Mã ĐT chưa khai báo! ","")))</f>
        <v/>
      </c>
      <c r="M2372" s="117">
        <f>IF($H2372="","",IF(AND(OR(LEFT($F2372,3)="111",LEFT($F2372,3)="112",LEFT($F2372,3)="113"),OR(LEFT($G2372,3)="111",LEFT($G2372,3)="112",LEFT($G2372,3)="113")),"NB",IF(OR(LEFT($F2372,3)="111",LEFT($F2372,3)="112",LEFT($F2372,3)="113"),"THU",IF(OR(LEFT($G2372,3)="111",LEFT($G2372,3)="112",LEFT($G2372,3)="113"),"CHI",""))))</f>
        <v/>
      </c>
      <c r="N2372" s="117">
        <f>IF($M2372="THU",$G2372,IF($M2372="CHI",$F2372,""))</f>
        <v/>
      </c>
      <c r="O2372" s="117">
        <f>IF(OR($M2372="",$M2372="NB"),"",IF($J2372&lt;&gt;"",TEXT($J2372,"00"),IFERROR(VLOOKUP(LEFT($N2372,4),LCTT_MAP!$A$7:$C$66,IF($M2372="THU",2,3),FALSE()),IFERROR(VLOOKUP(LEFT($N2372,3),LCTT_MAP!$A$7:$C$66,IF($M2372="THU",2,3),FALSE()),IFERROR(VLOOKUP(LEFT($N2372,2),LCTT_MAP!$A$7:$C$66,IF($M2372="THU",2,3),FALSE()),IFERROR(VLOOKUP(LEFT($N2372,1),LCTT_MAP!$A$7:$C$66,IF($M2372="THU",2,3),FALSE()),IF($M2372="THU","06","07")))))))</f>
        <v/>
      </c>
      <c r="P2372" s="117">
        <f>P2371+IF(AND($H2372&lt;&gt;"",OR(LEFT($F2372,LEN(SC_TK))=SC_TK,LEFT($G2372,LEN(SC_TK))=SC_TK)),1,0)</f>
        <v/>
      </c>
    </row>
    <row r="2373" ht="15" customHeight="1" s="78">
      <c r="A2373" s="95">
        <f>IF($H2373="","",ROW()-6)</f>
        <v/>
      </c>
      <c r="B2373" s="114" t="n"/>
      <c r="C2373" s="102" t="n"/>
      <c r="D2373" s="114" t="n"/>
      <c r="E2373" s="103" t="n"/>
      <c r="F2373" s="102" t="n"/>
      <c r="G2373" s="102" t="n"/>
      <c r="H2373" s="115" t="n"/>
      <c r="I2373" s="102" t="n"/>
      <c r="J2373" s="102" t="n"/>
      <c r="K2373" s="103" t="n"/>
      <c r="L2373" s="116">
        <f>IF($H2373="","",TRIM(IF(COUNTIF(DMTK!$A$7:$A$250,$F2373)=0,"TK Nợ sai! ","")&amp;IF(COUNTIF(DMTK!$A$7:$A$250,$G2373)=0,"TK Có sai! ","")&amp;IF(N($H2373)&lt;=0,"Tiền phải &gt; 0! ","")&amp;IF($B2373="","Thiếu ngày! ","")&amp;IF(AND(OR(LEFT($F2373,3)="131",LEFT($G2373,3)="131",LEFT($F2373,3)="331",LEFT($G2373,3)="331"),$I2373=""),"Thiếu Mã ĐT! ","")&amp;IF(AND($I2373&lt;&gt;"",COUNTIF(DM_DT!$A$7:$A$306,$I2373)=0),"Mã ĐT chưa khai báo! ","")))</f>
        <v/>
      </c>
      <c r="M2373" s="117">
        <f>IF($H2373="","",IF(AND(OR(LEFT($F2373,3)="111",LEFT($F2373,3)="112",LEFT($F2373,3)="113"),OR(LEFT($G2373,3)="111",LEFT($G2373,3)="112",LEFT($G2373,3)="113")),"NB",IF(OR(LEFT($F2373,3)="111",LEFT($F2373,3)="112",LEFT($F2373,3)="113"),"THU",IF(OR(LEFT($G2373,3)="111",LEFT($G2373,3)="112",LEFT($G2373,3)="113"),"CHI",""))))</f>
        <v/>
      </c>
      <c r="N2373" s="117">
        <f>IF($M2373="THU",$G2373,IF($M2373="CHI",$F2373,""))</f>
        <v/>
      </c>
      <c r="O2373" s="117">
        <f>IF(OR($M2373="",$M2373="NB"),"",IF($J2373&lt;&gt;"",TEXT($J2373,"00"),IFERROR(VLOOKUP(LEFT($N2373,4),LCTT_MAP!$A$7:$C$66,IF($M2373="THU",2,3),FALSE()),IFERROR(VLOOKUP(LEFT($N2373,3),LCTT_MAP!$A$7:$C$66,IF($M2373="THU",2,3),FALSE()),IFERROR(VLOOKUP(LEFT($N2373,2),LCTT_MAP!$A$7:$C$66,IF($M2373="THU",2,3),FALSE()),IFERROR(VLOOKUP(LEFT($N2373,1),LCTT_MAP!$A$7:$C$66,IF($M2373="THU",2,3),FALSE()),IF($M2373="THU","06","07")))))))</f>
        <v/>
      </c>
      <c r="P2373" s="117">
        <f>P2372+IF(AND($H2373&lt;&gt;"",OR(LEFT($F2373,LEN(SC_TK))=SC_TK,LEFT($G2373,LEN(SC_TK))=SC_TK)),1,0)</f>
        <v/>
      </c>
    </row>
    <row r="2374" ht="15" customHeight="1" s="78">
      <c r="A2374" s="95">
        <f>IF($H2374="","",ROW()-6)</f>
        <v/>
      </c>
      <c r="B2374" s="114" t="n"/>
      <c r="C2374" s="102" t="n"/>
      <c r="D2374" s="114" t="n"/>
      <c r="E2374" s="103" t="n"/>
      <c r="F2374" s="102" t="n"/>
      <c r="G2374" s="102" t="n"/>
      <c r="H2374" s="115" t="n"/>
      <c r="I2374" s="102" t="n"/>
      <c r="J2374" s="102" t="n"/>
      <c r="K2374" s="103" t="n"/>
      <c r="L2374" s="116">
        <f>IF($H2374="","",TRIM(IF(COUNTIF(DMTK!$A$7:$A$250,$F2374)=0,"TK Nợ sai! ","")&amp;IF(COUNTIF(DMTK!$A$7:$A$250,$G2374)=0,"TK Có sai! ","")&amp;IF(N($H2374)&lt;=0,"Tiền phải &gt; 0! ","")&amp;IF($B2374="","Thiếu ngày! ","")&amp;IF(AND(OR(LEFT($F2374,3)="131",LEFT($G2374,3)="131",LEFT($F2374,3)="331",LEFT($G2374,3)="331"),$I2374=""),"Thiếu Mã ĐT! ","")&amp;IF(AND($I2374&lt;&gt;"",COUNTIF(DM_DT!$A$7:$A$306,$I2374)=0),"Mã ĐT chưa khai báo! ","")))</f>
        <v/>
      </c>
      <c r="M2374" s="117">
        <f>IF($H2374="","",IF(AND(OR(LEFT($F2374,3)="111",LEFT($F2374,3)="112",LEFT($F2374,3)="113"),OR(LEFT($G2374,3)="111",LEFT($G2374,3)="112",LEFT($G2374,3)="113")),"NB",IF(OR(LEFT($F2374,3)="111",LEFT($F2374,3)="112",LEFT($F2374,3)="113"),"THU",IF(OR(LEFT($G2374,3)="111",LEFT($G2374,3)="112",LEFT($G2374,3)="113"),"CHI",""))))</f>
        <v/>
      </c>
      <c r="N2374" s="117">
        <f>IF($M2374="THU",$G2374,IF($M2374="CHI",$F2374,""))</f>
        <v/>
      </c>
      <c r="O2374" s="117">
        <f>IF(OR($M2374="",$M2374="NB"),"",IF($J2374&lt;&gt;"",TEXT($J2374,"00"),IFERROR(VLOOKUP(LEFT($N2374,4),LCTT_MAP!$A$7:$C$66,IF($M2374="THU",2,3),FALSE()),IFERROR(VLOOKUP(LEFT($N2374,3),LCTT_MAP!$A$7:$C$66,IF($M2374="THU",2,3),FALSE()),IFERROR(VLOOKUP(LEFT($N2374,2),LCTT_MAP!$A$7:$C$66,IF($M2374="THU",2,3),FALSE()),IFERROR(VLOOKUP(LEFT($N2374,1),LCTT_MAP!$A$7:$C$66,IF($M2374="THU",2,3),FALSE()),IF($M2374="THU","06","07")))))))</f>
        <v/>
      </c>
      <c r="P2374" s="117">
        <f>P2373+IF(AND($H2374&lt;&gt;"",OR(LEFT($F2374,LEN(SC_TK))=SC_TK,LEFT($G2374,LEN(SC_TK))=SC_TK)),1,0)</f>
        <v/>
      </c>
    </row>
    <row r="2375" ht="15" customHeight="1" s="78">
      <c r="A2375" s="95">
        <f>IF($H2375="","",ROW()-6)</f>
        <v/>
      </c>
      <c r="B2375" s="114" t="n"/>
      <c r="C2375" s="102" t="n"/>
      <c r="D2375" s="114" t="n"/>
      <c r="E2375" s="103" t="n"/>
      <c r="F2375" s="102" t="n"/>
      <c r="G2375" s="102" t="n"/>
      <c r="H2375" s="115" t="n"/>
      <c r="I2375" s="102" t="n"/>
      <c r="J2375" s="102" t="n"/>
      <c r="K2375" s="103" t="n"/>
      <c r="L2375" s="116">
        <f>IF($H2375="","",TRIM(IF(COUNTIF(DMTK!$A$7:$A$250,$F2375)=0,"TK Nợ sai! ","")&amp;IF(COUNTIF(DMTK!$A$7:$A$250,$G2375)=0,"TK Có sai! ","")&amp;IF(N($H2375)&lt;=0,"Tiền phải &gt; 0! ","")&amp;IF($B2375="","Thiếu ngày! ","")&amp;IF(AND(OR(LEFT($F2375,3)="131",LEFT($G2375,3)="131",LEFT($F2375,3)="331",LEFT($G2375,3)="331"),$I2375=""),"Thiếu Mã ĐT! ","")&amp;IF(AND($I2375&lt;&gt;"",COUNTIF(DM_DT!$A$7:$A$306,$I2375)=0),"Mã ĐT chưa khai báo! ","")))</f>
        <v/>
      </c>
      <c r="M2375" s="117">
        <f>IF($H2375="","",IF(AND(OR(LEFT($F2375,3)="111",LEFT($F2375,3)="112",LEFT($F2375,3)="113"),OR(LEFT($G2375,3)="111",LEFT($G2375,3)="112",LEFT($G2375,3)="113")),"NB",IF(OR(LEFT($F2375,3)="111",LEFT($F2375,3)="112",LEFT($F2375,3)="113"),"THU",IF(OR(LEFT($G2375,3)="111",LEFT($G2375,3)="112",LEFT($G2375,3)="113"),"CHI",""))))</f>
        <v/>
      </c>
      <c r="N2375" s="117">
        <f>IF($M2375="THU",$G2375,IF($M2375="CHI",$F2375,""))</f>
        <v/>
      </c>
      <c r="O2375" s="117">
        <f>IF(OR($M2375="",$M2375="NB"),"",IF($J2375&lt;&gt;"",TEXT($J2375,"00"),IFERROR(VLOOKUP(LEFT($N2375,4),LCTT_MAP!$A$7:$C$66,IF($M2375="THU",2,3),FALSE()),IFERROR(VLOOKUP(LEFT($N2375,3),LCTT_MAP!$A$7:$C$66,IF($M2375="THU",2,3),FALSE()),IFERROR(VLOOKUP(LEFT($N2375,2),LCTT_MAP!$A$7:$C$66,IF($M2375="THU",2,3),FALSE()),IFERROR(VLOOKUP(LEFT($N2375,1),LCTT_MAP!$A$7:$C$66,IF($M2375="THU",2,3),FALSE()),IF($M2375="THU","06","07")))))))</f>
        <v/>
      </c>
      <c r="P2375" s="117">
        <f>P2374+IF(AND($H2375&lt;&gt;"",OR(LEFT($F2375,LEN(SC_TK))=SC_TK,LEFT($G2375,LEN(SC_TK))=SC_TK)),1,0)</f>
        <v/>
      </c>
    </row>
    <row r="2376" ht="15" customHeight="1" s="78">
      <c r="A2376" s="95">
        <f>IF($H2376="","",ROW()-6)</f>
        <v/>
      </c>
      <c r="B2376" s="114" t="n"/>
      <c r="C2376" s="102" t="n"/>
      <c r="D2376" s="114" t="n"/>
      <c r="E2376" s="103" t="n"/>
      <c r="F2376" s="102" t="n"/>
      <c r="G2376" s="102" t="n"/>
      <c r="H2376" s="115" t="n"/>
      <c r="I2376" s="102" t="n"/>
      <c r="J2376" s="102" t="n"/>
      <c r="K2376" s="103" t="n"/>
      <c r="L2376" s="116">
        <f>IF($H2376="","",TRIM(IF(COUNTIF(DMTK!$A$7:$A$250,$F2376)=0,"TK Nợ sai! ","")&amp;IF(COUNTIF(DMTK!$A$7:$A$250,$G2376)=0,"TK Có sai! ","")&amp;IF(N($H2376)&lt;=0,"Tiền phải &gt; 0! ","")&amp;IF($B2376="","Thiếu ngày! ","")&amp;IF(AND(OR(LEFT($F2376,3)="131",LEFT($G2376,3)="131",LEFT($F2376,3)="331",LEFT($G2376,3)="331"),$I2376=""),"Thiếu Mã ĐT! ","")&amp;IF(AND($I2376&lt;&gt;"",COUNTIF(DM_DT!$A$7:$A$306,$I2376)=0),"Mã ĐT chưa khai báo! ","")))</f>
        <v/>
      </c>
      <c r="M2376" s="117">
        <f>IF($H2376="","",IF(AND(OR(LEFT($F2376,3)="111",LEFT($F2376,3)="112",LEFT($F2376,3)="113"),OR(LEFT($G2376,3)="111",LEFT($G2376,3)="112",LEFT($G2376,3)="113")),"NB",IF(OR(LEFT($F2376,3)="111",LEFT($F2376,3)="112",LEFT($F2376,3)="113"),"THU",IF(OR(LEFT($G2376,3)="111",LEFT($G2376,3)="112",LEFT($G2376,3)="113"),"CHI",""))))</f>
        <v/>
      </c>
      <c r="N2376" s="117">
        <f>IF($M2376="THU",$G2376,IF($M2376="CHI",$F2376,""))</f>
        <v/>
      </c>
      <c r="O2376" s="117">
        <f>IF(OR($M2376="",$M2376="NB"),"",IF($J2376&lt;&gt;"",TEXT($J2376,"00"),IFERROR(VLOOKUP(LEFT($N2376,4),LCTT_MAP!$A$7:$C$66,IF($M2376="THU",2,3),FALSE()),IFERROR(VLOOKUP(LEFT($N2376,3),LCTT_MAP!$A$7:$C$66,IF($M2376="THU",2,3),FALSE()),IFERROR(VLOOKUP(LEFT($N2376,2),LCTT_MAP!$A$7:$C$66,IF($M2376="THU",2,3),FALSE()),IFERROR(VLOOKUP(LEFT($N2376,1),LCTT_MAP!$A$7:$C$66,IF($M2376="THU",2,3),FALSE()),IF($M2376="THU","06","07")))))))</f>
        <v/>
      </c>
      <c r="P2376" s="117">
        <f>P2375+IF(AND($H2376&lt;&gt;"",OR(LEFT($F2376,LEN(SC_TK))=SC_TK,LEFT($G2376,LEN(SC_TK))=SC_TK)),1,0)</f>
        <v/>
      </c>
    </row>
    <row r="2377" ht="15" customHeight="1" s="78">
      <c r="A2377" s="95">
        <f>IF($H2377="","",ROW()-6)</f>
        <v/>
      </c>
      <c r="B2377" s="114" t="n"/>
      <c r="C2377" s="102" t="n"/>
      <c r="D2377" s="114" t="n"/>
      <c r="E2377" s="103" t="n"/>
      <c r="F2377" s="102" t="n"/>
      <c r="G2377" s="102" t="n"/>
      <c r="H2377" s="115" t="n"/>
      <c r="I2377" s="102" t="n"/>
      <c r="J2377" s="102" t="n"/>
      <c r="K2377" s="103" t="n"/>
      <c r="L2377" s="116">
        <f>IF($H2377="","",TRIM(IF(COUNTIF(DMTK!$A$7:$A$250,$F2377)=0,"TK Nợ sai! ","")&amp;IF(COUNTIF(DMTK!$A$7:$A$250,$G2377)=0,"TK Có sai! ","")&amp;IF(N($H2377)&lt;=0,"Tiền phải &gt; 0! ","")&amp;IF($B2377="","Thiếu ngày! ","")&amp;IF(AND(OR(LEFT($F2377,3)="131",LEFT($G2377,3)="131",LEFT($F2377,3)="331",LEFT($G2377,3)="331"),$I2377=""),"Thiếu Mã ĐT! ","")&amp;IF(AND($I2377&lt;&gt;"",COUNTIF(DM_DT!$A$7:$A$306,$I2377)=0),"Mã ĐT chưa khai báo! ","")))</f>
        <v/>
      </c>
      <c r="M2377" s="117">
        <f>IF($H2377="","",IF(AND(OR(LEFT($F2377,3)="111",LEFT($F2377,3)="112",LEFT($F2377,3)="113"),OR(LEFT($G2377,3)="111",LEFT($G2377,3)="112",LEFT($G2377,3)="113")),"NB",IF(OR(LEFT($F2377,3)="111",LEFT($F2377,3)="112",LEFT($F2377,3)="113"),"THU",IF(OR(LEFT($G2377,3)="111",LEFT($G2377,3)="112",LEFT($G2377,3)="113"),"CHI",""))))</f>
        <v/>
      </c>
      <c r="N2377" s="117">
        <f>IF($M2377="THU",$G2377,IF($M2377="CHI",$F2377,""))</f>
        <v/>
      </c>
      <c r="O2377" s="117">
        <f>IF(OR($M2377="",$M2377="NB"),"",IF($J2377&lt;&gt;"",TEXT($J2377,"00"),IFERROR(VLOOKUP(LEFT($N2377,4),LCTT_MAP!$A$7:$C$66,IF($M2377="THU",2,3),FALSE()),IFERROR(VLOOKUP(LEFT($N2377,3),LCTT_MAP!$A$7:$C$66,IF($M2377="THU",2,3),FALSE()),IFERROR(VLOOKUP(LEFT($N2377,2),LCTT_MAP!$A$7:$C$66,IF($M2377="THU",2,3),FALSE()),IFERROR(VLOOKUP(LEFT($N2377,1),LCTT_MAP!$A$7:$C$66,IF($M2377="THU",2,3),FALSE()),IF($M2377="THU","06","07")))))))</f>
        <v/>
      </c>
      <c r="P2377" s="117">
        <f>P2376+IF(AND($H2377&lt;&gt;"",OR(LEFT($F2377,LEN(SC_TK))=SC_TK,LEFT($G2377,LEN(SC_TK))=SC_TK)),1,0)</f>
        <v/>
      </c>
    </row>
    <row r="2378" ht="15" customHeight="1" s="78">
      <c r="A2378" s="95">
        <f>IF($H2378="","",ROW()-6)</f>
        <v/>
      </c>
      <c r="B2378" s="114" t="n"/>
      <c r="C2378" s="102" t="n"/>
      <c r="D2378" s="114" t="n"/>
      <c r="E2378" s="103" t="n"/>
      <c r="F2378" s="102" t="n"/>
      <c r="G2378" s="102" t="n"/>
      <c r="H2378" s="115" t="n"/>
      <c r="I2378" s="102" t="n"/>
      <c r="J2378" s="102" t="n"/>
      <c r="K2378" s="103" t="n"/>
      <c r="L2378" s="116">
        <f>IF($H2378="","",TRIM(IF(COUNTIF(DMTK!$A$7:$A$250,$F2378)=0,"TK Nợ sai! ","")&amp;IF(COUNTIF(DMTK!$A$7:$A$250,$G2378)=0,"TK Có sai! ","")&amp;IF(N($H2378)&lt;=0,"Tiền phải &gt; 0! ","")&amp;IF($B2378="","Thiếu ngày! ","")&amp;IF(AND(OR(LEFT($F2378,3)="131",LEFT($G2378,3)="131",LEFT($F2378,3)="331",LEFT($G2378,3)="331"),$I2378=""),"Thiếu Mã ĐT! ","")&amp;IF(AND($I2378&lt;&gt;"",COUNTIF(DM_DT!$A$7:$A$306,$I2378)=0),"Mã ĐT chưa khai báo! ","")))</f>
        <v/>
      </c>
      <c r="M2378" s="117">
        <f>IF($H2378="","",IF(AND(OR(LEFT($F2378,3)="111",LEFT($F2378,3)="112",LEFT($F2378,3)="113"),OR(LEFT($G2378,3)="111",LEFT($G2378,3)="112",LEFT($G2378,3)="113")),"NB",IF(OR(LEFT($F2378,3)="111",LEFT($F2378,3)="112",LEFT($F2378,3)="113"),"THU",IF(OR(LEFT($G2378,3)="111",LEFT($G2378,3)="112",LEFT($G2378,3)="113"),"CHI",""))))</f>
        <v/>
      </c>
      <c r="N2378" s="117">
        <f>IF($M2378="THU",$G2378,IF($M2378="CHI",$F2378,""))</f>
        <v/>
      </c>
      <c r="O2378" s="117">
        <f>IF(OR($M2378="",$M2378="NB"),"",IF($J2378&lt;&gt;"",TEXT($J2378,"00"),IFERROR(VLOOKUP(LEFT($N2378,4),LCTT_MAP!$A$7:$C$66,IF($M2378="THU",2,3),FALSE()),IFERROR(VLOOKUP(LEFT($N2378,3),LCTT_MAP!$A$7:$C$66,IF($M2378="THU",2,3),FALSE()),IFERROR(VLOOKUP(LEFT($N2378,2),LCTT_MAP!$A$7:$C$66,IF($M2378="THU",2,3),FALSE()),IFERROR(VLOOKUP(LEFT($N2378,1),LCTT_MAP!$A$7:$C$66,IF($M2378="THU",2,3),FALSE()),IF($M2378="THU","06","07")))))))</f>
        <v/>
      </c>
      <c r="P2378" s="117">
        <f>P2377+IF(AND($H2378&lt;&gt;"",OR(LEFT($F2378,LEN(SC_TK))=SC_TK,LEFT($G2378,LEN(SC_TK))=SC_TK)),1,0)</f>
        <v/>
      </c>
    </row>
    <row r="2379" ht="15" customHeight="1" s="78">
      <c r="A2379" s="95">
        <f>IF($H2379="","",ROW()-6)</f>
        <v/>
      </c>
      <c r="B2379" s="114" t="n"/>
      <c r="C2379" s="102" t="n"/>
      <c r="D2379" s="114" t="n"/>
      <c r="E2379" s="103" t="n"/>
      <c r="F2379" s="102" t="n"/>
      <c r="G2379" s="102" t="n"/>
      <c r="H2379" s="115" t="n"/>
      <c r="I2379" s="102" t="n"/>
      <c r="J2379" s="102" t="n"/>
      <c r="K2379" s="103" t="n"/>
      <c r="L2379" s="116">
        <f>IF($H2379="","",TRIM(IF(COUNTIF(DMTK!$A$7:$A$250,$F2379)=0,"TK Nợ sai! ","")&amp;IF(COUNTIF(DMTK!$A$7:$A$250,$G2379)=0,"TK Có sai! ","")&amp;IF(N($H2379)&lt;=0,"Tiền phải &gt; 0! ","")&amp;IF($B2379="","Thiếu ngày! ","")&amp;IF(AND(OR(LEFT($F2379,3)="131",LEFT($G2379,3)="131",LEFT($F2379,3)="331",LEFT($G2379,3)="331"),$I2379=""),"Thiếu Mã ĐT! ","")&amp;IF(AND($I2379&lt;&gt;"",COUNTIF(DM_DT!$A$7:$A$306,$I2379)=0),"Mã ĐT chưa khai báo! ","")))</f>
        <v/>
      </c>
      <c r="M2379" s="117">
        <f>IF($H2379="","",IF(AND(OR(LEFT($F2379,3)="111",LEFT($F2379,3)="112",LEFT($F2379,3)="113"),OR(LEFT($G2379,3)="111",LEFT($G2379,3)="112",LEFT($G2379,3)="113")),"NB",IF(OR(LEFT($F2379,3)="111",LEFT($F2379,3)="112",LEFT($F2379,3)="113"),"THU",IF(OR(LEFT($G2379,3)="111",LEFT($G2379,3)="112",LEFT($G2379,3)="113"),"CHI",""))))</f>
        <v/>
      </c>
      <c r="N2379" s="117">
        <f>IF($M2379="THU",$G2379,IF($M2379="CHI",$F2379,""))</f>
        <v/>
      </c>
      <c r="O2379" s="117">
        <f>IF(OR($M2379="",$M2379="NB"),"",IF($J2379&lt;&gt;"",TEXT($J2379,"00"),IFERROR(VLOOKUP(LEFT($N2379,4),LCTT_MAP!$A$7:$C$66,IF($M2379="THU",2,3),FALSE()),IFERROR(VLOOKUP(LEFT($N2379,3),LCTT_MAP!$A$7:$C$66,IF($M2379="THU",2,3),FALSE()),IFERROR(VLOOKUP(LEFT($N2379,2),LCTT_MAP!$A$7:$C$66,IF($M2379="THU",2,3),FALSE()),IFERROR(VLOOKUP(LEFT($N2379,1),LCTT_MAP!$A$7:$C$66,IF($M2379="THU",2,3),FALSE()),IF($M2379="THU","06","07")))))))</f>
        <v/>
      </c>
      <c r="P2379" s="117">
        <f>P2378+IF(AND($H2379&lt;&gt;"",OR(LEFT($F2379,LEN(SC_TK))=SC_TK,LEFT($G2379,LEN(SC_TK))=SC_TK)),1,0)</f>
        <v/>
      </c>
    </row>
    <row r="2380" ht="15" customHeight="1" s="78">
      <c r="A2380" s="95">
        <f>IF($H2380="","",ROW()-6)</f>
        <v/>
      </c>
      <c r="B2380" s="114" t="n"/>
      <c r="C2380" s="102" t="n"/>
      <c r="D2380" s="114" t="n"/>
      <c r="E2380" s="103" t="n"/>
      <c r="F2380" s="102" t="n"/>
      <c r="G2380" s="102" t="n"/>
      <c r="H2380" s="115" t="n"/>
      <c r="I2380" s="102" t="n"/>
      <c r="J2380" s="102" t="n"/>
      <c r="K2380" s="103" t="n"/>
      <c r="L2380" s="116">
        <f>IF($H2380="","",TRIM(IF(COUNTIF(DMTK!$A$7:$A$250,$F2380)=0,"TK Nợ sai! ","")&amp;IF(COUNTIF(DMTK!$A$7:$A$250,$G2380)=0,"TK Có sai! ","")&amp;IF(N($H2380)&lt;=0,"Tiền phải &gt; 0! ","")&amp;IF($B2380="","Thiếu ngày! ","")&amp;IF(AND(OR(LEFT($F2380,3)="131",LEFT($G2380,3)="131",LEFT($F2380,3)="331",LEFT($G2380,3)="331"),$I2380=""),"Thiếu Mã ĐT! ","")&amp;IF(AND($I2380&lt;&gt;"",COUNTIF(DM_DT!$A$7:$A$306,$I2380)=0),"Mã ĐT chưa khai báo! ","")))</f>
        <v/>
      </c>
      <c r="M2380" s="117">
        <f>IF($H2380="","",IF(AND(OR(LEFT($F2380,3)="111",LEFT($F2380,3)="112",LEFT($F2380,3)="113"),OR(LEFT($G2380,3)="111",LEFT($G2380,3)="112",LEFT($G2380,3)="113")),"NB",IF(OR(LEFT($F2380,3)="111",LEFT($F2380,3)="112",LEFT($F2380,3)="113"),"THU",IF(OR(LEFT($G2380,3)="111",LEFT($G2380,3)="112",LEFT($G2380,3)="113"),"CHI",""))))</f>
        <v/>
      </c>
      <c r="N2380" s="117">
        <f>IF($M2380="THU",$G2380,IF($M2380="CHI",$F2380,""))</f>
        <v/>
      </c>
      <c r="O2380" s="117">
        <f>IF(OR($M2380="",$M2380="NB"),"",IF($J2380&lt;&gt;"",TEXT($J2380,"00"),IFERROR(VLOOKUP(LEFT($N2380,4),LCTT_MAP!$A$7:$C$66,IF($M2380="THU",2,3),FALSE()),IFERROR(VLOOKUP(LEFT($N2380,3),LCTT_MAP!$A$7:$C$66,IF($M2380="THU",2,3),FALSE()),IFERROR(VLOOKUP(LEFT($N2380,2),LCTT_MAP!$A$7:$C$66,IF($M2380="THU",2,3),FALSE()),IFERROR(VLOOKUP(LEFT($N2380,1),LCTT_MAP!$A$7:$C$66,IF($M2380="THU",2,3),FALSE()),IF($M2380="THU","06","07")))))))</f>
        <v/>
      </c>
      <c r="P2380" s="117">
        <f>P2379+IF(AND($H2380&lt;&gt;"",OR(LEFT($F2380,LEN(SC_TK))=SC_TK,LEFT($G2380,LEN(SC_TK))=SC_TK)),1,0)</f>
        <v/>
      </c>
    </row>
    <row r="2381" ht="15" customHeight="1" s="78">
      <c r="A2381" s="95">
        <f>IF($H2381="","",ROW()-6)</f>
        <v/>
      </c>
      <c r="B2381" s="114" t="n"/>
      <c r="C2381" s="102" t="n"/>
      <c r="D2381" s="114" t="n"/>
      <c r="E2381" s="103" t="n"/>
      <c r="F2381" s="102" t="n"/>
      <c r="G2381" s="102" t="n"/>
      <c r="H2381" s="115" t="n"/>
      <c r="I2381" s="102" t="n"/>
      <c r="J2381" s="102" t="n"/>
      <c r="K2381" s="103" t="n"/>
      <c r="L2381" s="116">
        <f>IF($H2381="","",TRIM(IF(COUNTIF(DMTK!$A$7:$A$250,$F2381)=0,"TK Nợ sai! ","")&amp;IF(COUNTIF(DMTK!$A$7:$A$250,$G2381)=0,"TK Có sai! ","")&amp;IF(N($H2381)&lt;=0,"Tiền phải &gt; 0! ","")&amp;IF($B2381="","Thiếu ngày! ","")&amp;IF(AND(OR(LEFT($F2381,3)="131",LEFT($G2381,3)="131",LEFT($F2381,3)="331",LEFT($G2381,3)="331"),$I2381=""),"Thiếu Mã ĐT! ","")&amp;IF(AND($I2381&lt;&gt;"",COUNTIF(DM_DT!$A$7:$A$306,$I2381)=0),"Mã ĐT chưa khai báo! ","")))</f>
        <v/>
      </c>
      <c r="M2381" s="117">
        <f>IF($H2381="","",IF(AND(OR(LEFT($F2381,3)="111",LEFT($F2381,3)="112",LEFT($F2381,3)="113"),OR(LEFT($G2381,3)="111",LEFT($G2381,3)="112",LEFT($G2381,3)="113")),"NB",IF(OR(LEFT($F2381,3)="111",LEFT($F2381,3)="112",LEFT($F2381,3)="113"),"THU",IF(OR(LEFT($G2381,3)="111",LEFT($G2381,3)="112",LEFT($G2381,3)="113"),"CHI",""))))</f>
        <v/>
      </c>
      <c r="N2381" s="117">
        <f>IF($M2381="THU",$G2381,IF($M2381="CHI",$F2381,""))</f>
        <v/>
      </c>
      <c r="O2381" s="117">
        <f>IF(OR($M2381="",$M2381="NB"),"",IF($J2381&lt;&gt;"",TEXT($J2381,"00"),IFERROR(VLOOKUP(LEFT($N2381,4),LCTT_MAP!$A$7:$C$66,IF($M2381="THU",2,3),FALSE()),IFERROR(VLOOKUP(LEFT($N2381,3),LCTT_MAP!$A$7:$C$66,IF($M2381="THU",2,3),FALSE()),IFERROR(VLOOKUP(LEFT($N2381,2),LCTT_MAP!$A$7:$C$66,IF($M2381="THU",2,3),FALSE()),IFERROR(VLOOKUP(LEFT($N2381,1),LCTT_MAP!$A$7:$C$66,IF($M2381="THU",2,3),FALSE()),IF($M2381="THU","06","07")))))))</f>
        <v/>
      </c>
      <c r="P2381" s="117">
        <f>P2380+IF(AND($H2381&lt;&gt;"",OR(LEFT($F2381,LEN(SC_TK))=SC_TK,LEFT($G2381,LEN(SC_TK))=SC_TK)),1,0)</f>
        <v/>
      </c>
    </row>
    <row r="2382" ht="15" customHeight="1" s="78">
      <c r="A2382" s="95">
        <f>IF($H2382="","",ROW()-6)</f>
        <v/>
      </c>
      <c r="B2382" s="114" t="n"/>
      <c r="C2382" s="102" t="n"/>
      <c r="D2382" s="114" t="n"/>
      <c r="E2382" s="103" t="n"/>
      <c r="F2382" s="102" t="n"/>
      <c r="G2382" s="102" t="n"/>
      <c r="H2382" s="115" t="n"/>
      <c r="I2382" s="102" t="n"/>
      <c r="J2382" s="102" t="n"/>
      <c r="K2382" s="103" t="n"/>
      <c r="L2382" s="116">
        <f>IF($H2382="","",TRIM(IF(COUNTIF(DMTK!$A$7:$A$250,$F2382)=0,"TK Nợ sai! ","")&amp;IF(COUNTIF(DMTK!$A$7:$A$250,$G2382)=0,"TK Có sai! ","")&amp;IF(N($H2382)&lt;=0,"Tiền phải &gt; 0! ","")&amp;IF($B2382="","Thiếu ngày! ","")&amp;IF(AND(OR(LEFT($F2382,3)="131",LEFT($G2382,3)="131",LEFT($F2382,3)="331",LEFT($G2382,3)="331"),$I2382=""),"Thiếu Mã ĐT! ","")&amp;IF(AND($I2382&lt;&gt;"",COUNTIF(DM_DT!$A$7:$A$306,$I2382)=0),"Mã ĐT chưa khai báo! ","")))</f>
        <v/>
      </c>
      <c r="M2382" s="117">
        <f>IF($H2382="","",IF(AND(OR(LEFT($F2382,3)="111",LEFT($F2382,3)="112",LEFT($F2382,3)="113"),OR(LEFT($G2382,3)="111",LEFT($G2382,3)="112",LEFT($G2382,3)="113")),"NB",IF(OR(LEFT($F2382,3)="111",LEFT($F2382,3)="112",LEFT($F2382,3)="113"),"THU",IF(OR(LEFT($G2382,3)="111",LEFT($G2382,3)="112",LEFT($G2382,3)="113"),"CHI",""))))</f>
        <v/>
      </c>
      <c r="N2382" s="117">
        <f>IF($M2382="THU",$G2382,IF($M2382="CHI",$F2382,""))</f>
        <v/>
      </c>
      <c r="O2382" s="117">
        <f>IF(OR($M2382="",$M2382="NB"),"",IF($J2382&lt;&gt;"",TEXT($J2382,"00"),IFERROR(VLOOKUP(LEFT($N2382,4),LCTT_MAP!$A$7:$C$66,IF($M2382="THU",2,3),FALSE()),IFERROR(VLOOKUP(LEFT($N2382,3),LCTT_MAP!$A$7:$C$66,IF($M2382="THU",2,3),FALSE()),IFERROR(VLOOKUP(LEFT($N2382,2),LCTT_MAP!$A$7:$C$66,IF($M2382="THU",2,3),FALSE()),IFERROR(VLOOKUP(LEFT($N2382,1),LCTT_MAP!$A$7:$C$66,IF($M2382="THU",2,3),FALSE()),IF($M2382="THU","06","07")))))))</f>
        <v/>
      </c>
      <c r="P2382" s="117">
        <f>P2381+IF(AND($H2382&lt;&gt;"",OR(LEFT($F2382,LEN(SC_TK))=SC_TK,LEFT($G2382,LEN(SC_TK))=SC_TK)),1,0)</f>
        <v/>
      </c>
    </row>
    <row r="2383" ht="15" customHeight="1" s="78">
      <c r="A2383" s="95">
        <f>IF($H2383="","",ROW()-6)</f>
        <v/>
      </c>
      <c r="B2383" s="114" t="n"/>
      <c r="C2383" s="102" t="n"/>
      <c r="D2383" s="114" t="n"/>
      <c r="E2383" s="103" t="n"/>
      <c r="F2383" s="102" t="n"/>
      <c r="G2383" s="102" t="n"/>
      <c r="H2383" s="115" t="n"/>
      <c r="I2383" s="102" t="n"/>
      <c r="J2383" s="102" t="n"/>
      <c r="K2383" s="103" t="n"/>
      <c r="L2383" s="116">
        <f>IF($H2383="","",TRIM(IF(COUNTIF(DMTK!$A$7:$A$250,$F2383)=0,"TK Nợ sai! ","")&amp;IF(COUNTIF(DMTK!$A$7:$A$250,$G2383)=0,"TK Có sai! ","")&amp;IF(N($H2383)&lt;=0,"Tiền phải &gt; 0! ","")&amp;IF($B2383="","Thiếu ngày! ","")&amp;IF(AND(OR(LEFT($F2383,3)="131",LEFT($G2383,3)="131",LEFT($F2383,3)="331",LEFT($G2383,3)="331"),$I2383=""),"Thiếu Mã ĐT! ","")&amp;IF(AND($I2383&lt;&gt;"",COUNTIF(DM_DT!$A$7:$A$306,$I2383)=0),"Mã ĐT chưa khai báo! ","")))</f>
        <v/>
      </c>
      <c r="M2383" s="117">
        <f>IF($H2383="","",IF(AND(OR(LEFT($F2383,3)="111",LEFT($F2383,3)="112",LEFT($F2383,3)="113"),OR(LEFT($G2383,3)="111",LEFT($G2383,3)="112",LEFT($G2383,3)="113")),"NB",IF(OR(LEFT($F2383,3)="111",LEFT($F2383,3)="112",LEFT($F2383,3)="113"),"THU",IF(OR(LEFT($G2383,3)="111",LEFT($G2383,3)="112",LEFT($G2383,3)="113"),"CHI",""))))</f>
        <v/>
      </c>
      <c r="N2383" s="117">
        <f>IF($M2383="THU",$G2383,IF($M2383="CHI",$F2383,""))</f>
        <v/>
      </c>
      <c r="O2383" s="117">
        <f>IF(OR($M2383="",$M2383="NB"),"",IF($J2383&lt;&gt;"",TEXT($J2383,"00"),IFERROR(VLOOKUP(LEFT($N2383,4),LCTT_MAP!$A$7:$C$66,IF($M2383="THU",2,3),FALSE()),IFERROR(VLOOKUP(LEFT($N2383,3),LCTT_MAP!$A$7:$C$66,IF($M2383="THU",2,3),FALSE()),IFERROR(VLOOKUP(LEFT($N2383,2),LCTT_MAP!$A$7:$C$66,IF($M2383="THU",2,3),FALSE()),IFERROR(VLOOKUP(LEFT($N2383,1),LCTT_MAP!$A$7:$C$66,IF($M2383="THU",2,3),FALSE()),IF($M2383="THU","06","07")))))))</f>
        <v/>
      </c>
      <c r="P2383" s="117">
        <f>P2382+IF(AND($H2383&lt;&gt;"",OR(LEFT($F2383,LEN(SC_TK))=SC_TK,LEFT($G2383,LEN(SC_TK))=SC_TK)),1,0)</f>
        <v/>
      </c>
    </row>
    <row r="2384" ht="15" customHeight="1" s="78">
      <c r="A2384" s="95">
        <f>IF($H2384="","",ROW()-6)</f>
        <v/>
      </c>
      <c r="B2384" s="114" t="n"/>
      <c r="C2384" s="102" t="n"/>
      <c r="D2384" s="114" t="n"/>
      <c r="E2384" s="103" t="n"/>
      <c r="F2384" s="102" t="n"/>
      <c r="G2384" s="102" t="n"/>
      <c r="H2384" s="115" t="n"/>
      <c r="I2384" s="102" t="n"/>
      <c r="J2384" s="102" t="n"/>
      <c r="K2384" s="103" t="n"/>
      <c r="L2384" s="116">
        <f>IF($H2384="","",TRIM(IF(COUNTIF(DMTK!$A$7:$A$250,$F2384)=0,"TK Nợ sai! ","")&amp;IF(COUNTIF(DMTK!$A$7:$A$250,$G2384)=0,"TK Có sai! ","")&amp;IF(N($H2384)&lt;=0,"Tiền phải &gt; 0! ","")&amp;IF($B2384="","Thiếu ngày! ","")&amp;IF(AND(OR(LEFT($F2384,3)="131",LEFT($G2384,3)="131",LEFT($F2384,3)="331",LEFT($G2384,3)="331"),$I2384=""),"Thiếu Mã ĐT! ","")&amp;IF(AND($I2384&lt;&gt;"",COUNTIF(DM_DT!$A$7:$A$306,$I2384)=0),"Mã ĐT chưa khai báo! ","")))</f>
        <v/>
      </c>
      <c r="M2384" s="117">
        <f>IF($H2384="","",IF(AND(OR(LEFT($F2384,3)="111",LEFT($F2384,3)="112",LEFT($F2384,3)="113"),OR(LEFT($G2384,3)="111",LEFT($G2384,3)="112",LEFT($G2384,3)="113")),"NB",IF(OR(LEFT($F2384,3)="111",LEFT($F2384,3)="112",LEFT($F2384,3)="113"),"THU",IF(OR(LEFT($G2384,3)="111",LEFT($G2384,3)="112",LEFT($G2384,3)="113"),"CHI",""))))</f>
        <v/>
      </c>
      <c r="N2384" s="117">
        <f>IF($M2384="THU",$G2384,IF($M2384="CHI",$F2384,""))</f>
        <v/>
      </c>
      <c r="O2384" s="117">
        <f>IF(OR($M2384="",$M2384="NB"),"",IF($J2384&lt;&gt;"",TEXT($J2384,"00"),IFERROR(VLOOKUP(LEFT($N2384,4),LCTT_MAP!$A$7:$C$66,IF($M2384="THU",2,3),FALSE()),IFERROR(VLOOKUP(LEFT($N2384,3),LCTT_MAP!$A$7:$C$66,IF($M2384="THU",2,3),FALSE()),IFERROR(VLOOKUP(LEFT($N2384,2),LCTT_MAP!$A$7:$C$66,IF($M2384="THU",2,3),FALSE()),IFERROR(VLOOKUP(LEFT($N2384,1),LCTT_MAP!$A$7:$C$66,IF($M2384="THU",2,3),FALSE()),IF($M2384="THU","06","07")))))))</f>
        <v/>
      </c>
      <c r="P2384" s="117">
        <f>P2383+IF(AND($H2384&lt;&gt;"",OR(LEFT($F2384,LEN(SC_TK))=SC_TK,LEFT($G2384,LEN(SC_TK))=SC_TK)),1,0)</f>
        <v/>
      </c>
    </row>
    <row r="2385" ht="15" customHeight="1" s="78">
      <c r="A2385" s="95">
        <f>IF($H2385="","",ROW()-6)</f>
        <v/>
      </c>
      <c r="B2385" s="114" t="n"/>
      <c r="C2385" s="102" t="n"/>
      <c r="D2385" s="114" t="n"/>
      <c r="E2385" s="103" t="n"/>
      <c r="F2385" s="102" t="n"/>
      <c r="G2385" s="102" t="n"/>
      <c r="H2385" s="115" t="n"/>
      <c r="I2385" s="102" t="n"/>
      <c r="J2385" s="102" t="n"/>
      <c r="K2385" s="103" t="n"/>
      <c r="L2385" s="116">
        <f>IF($H2385="","",TRIM(IF(COUNTIF(DMTK!$A$7:$A$250,$F2385)=0,"TK Nợ sai! ","")&amp;IF(COUNTIF(DMTK!$A$7:$A$250,$G2385)=0,"TK Có sai! ","")&amp;IF(N($H2385)&lt;=0,"Tiền phải &gt; 0! ","")&amp;IF($B2385="","Thiếu ngày! ","")&amp;IF(AND(OR(LEFT($F2385,3)="131",LEFT($G2385,3)="131",LEFT($F2385,3)="331",LEFT($G2385,3)="331"),$I2385=""),"Thiếu Mã ĐT! ","")&amp;IF(AND($I2385&lt;&gt;"",COUNTIF(DM_DT!$A$7:$A$306,$I2385)=0),"Mã ĐT chưa khai báo! ","")))</f>
        <v/>
      </c>
      <c r="M2385" s="117">
        <f>IF($H2385="","",IF(AND(OR(LEFT($F2385,3)="111",LEFT($F2385,3)="112",LEFT($F2385,3)="113"),OR(LEFT($G2385,3)="111",LEFT($G2385,3)="112",LEFT($G2385,3)="113")),"NB",IF(OR(LEFT($F2385,3)="111",LEFT($F2385,3)="112",LEFT($F2385,3)="113"),"THU",IF(OR(LEFT($G2385,3)="111",LEFT($G2385,3)="112",LEFT($G2385,3)="113"),"CHI",""))))</f>
        <v/>
      </c>
      <c r="N2385" s="117">
        <f>IF($M2385="THU",$G2385,IF($M2385="CHI",$F2385,""))</f>
        <v/>
      </c>
      <c r="O2385" s="117">
        <f>IF(OR($M2385="",$M2385="NB"),"",IF($J2385&lt;&gt;"",TEXT($J2385,"00"),IFERROR(VLOOKUP(LEFT($N2385,4),LCTT_MAP!$A$7:$C$66,IF($M2385="THU",2,3),FALSE()),IFERROR(VLOOKUP(LEFT($N2385,3),LCTT_MAP!$A$7:$C$66,IF($M2385="THU",2,3),FALSE()),IFERROR(VLOOKUP(LEFT($N2385,2),LCTT_MAP!$A$7:$C$66,IF($M2385="THU",2,3),FALSE()),IFERROR(VLOOKUP(LEFT($N2385,1),LCTT_MAP!$A$7:$C$66,IF($M2385="THU",2,3),FALSE()),IF($M2385="THU","06","07")))))))</f>
        <v/>
      </c>
      <c r="P2385" s="117">
        <f>P2384+IF(AND($H2385&lt;&gt;"",OR(LEFT($F2385,LEN(SC_TK))=SC_TK,LEFT($G2385,LEN(SC_TK))=SC_TK)),1,0)</f>
        <v/>
      </c>
    </row>
    <row r="2386" ht="15" customHeight="1" s="78">
      <c r="A2386" s="95">
        <f>IF($H2386="","",ROW()-6)</f>
        <v/>
      </c>
      <c r="B2386" s="114" t="n"/>
      <c r="C2386" s="102" t="n"/>
      <c r="D2386" s="114" t="n"/>
      <c r="E2386" s="103" t="n"/>
      <c r="F2386" s="102" t="n"/>
      <c r="G2386" s="102" t="n"/>
      <c r="H2386" s="115" t="n"/>
      <c r="I2386" s="102" t="n"/>
      <c r="J2386" s="102" t="n"/>
      <c r="K2386" s="103" t="n"/>
      <c r="L2386" s="116">
        <f>IF($H2386="","",TRIM(IF(COUNTIF(DMTK!$A$7:$A$250,$F2386)=0,"TK Nợ sai! ","")&amp;IF(COUNTIF(DMTK!$A$7:$A$250,$G2386)=0,"TK Có sai! ","")&amp;IF(N($H2386)&lt;=0,"Tiền phải &gt; 0! ","")&amp;IF($B2386="","Thiếu ngày! ","")&amp;IF(AND(OR(LEFT($F2386,3)="131",LEFT($G2386,3)="131",LEFT($F2386,3)="331",LEFT($G2386,3)="331"),$I2386=""),"Thiếu Mã ĐT! ","")&amp;IF(AND($I2386&lt;&gt;"",COUNTIF(DM_DT!$A$7:$A$306,$I2386)=0),"Mã ĐT chưa khai báo! ","")))</f>
        <v/>
      </c>
      <c r="M2386" s="117">
        <f>IF($H2386="","",IF(AND(OR(LEFT($F2386,3)="111",LEFT($F2386,3)="112",LEFT($F2386,3)="113"),OR(LEFT($G2386,3)="111",LEFT($G2386,3)="112",LEFT($G2386,3)="113")),"NB",IF(OR(LEFT($F2386,3)="111",LEFT($F2386,3)="112",LEFT($F2386,3)="113"),"THU",IF(OR(LEFT($G2386,3)="111",LEFT($G2386,3)="112",LEFT($G2386,3)="113"),"CHI",""))))</f>
        <v/>
      </c>
      <c r="N2386" s="117">
        <f>IF($M2386="THU",$G2386,IF($M2386="CHI",$F2386,""))</f>
        <v/>
      </c>
      <c r="O2386" s="117">
        <f>IF(OR($M2386="",$M2386="NB"),"",IF($J2386&lt;&gt;"",TEXT($J2386,"00"),IFERROR(VLOOKUP(LEFT($N2386,4),LCTT_MAP!$A$7:$C$66,IF($M2386="THU",2,3),FALSE()),IFERROR(VLOOKUP(LEFT($N2386,3),LCTT_MAP!$A$7:$C$66,IF($M2386="THU",2,3),FALSE()),IFERROR(VLOOKUP(LEFT($N2386,2),LCTT_MAP!$A$7:$C$66,IF($M2386="THU",2,3),FALSE()),IFERROR(VLOOKUP(LEFT($N2386,1),LCTT_MAP!$A$7:$C$66,IF($M2386="THU",2,3),FALSE()),IF($M2386="THU","06","07")))))))</f>
        <v/>
      </c>
      <c r="P2386" s="117">
        <f>P2385+IF(AND($H2386&lt;&gt;"",OR(LEFT($F2386,LEN(SC_TK))=SC_TK,LEFT($G2386,LEN(SC_TK))=SC_TK)),1,0)</f>
        <v/>
      </c>
    </row>
    <row r="2387" ht="15" customHeight="1" s="78">
      <c r="A2387" s="95">
        <f>IF($H2387="","",ROW()-6)</f>
        <v/>
      </c>
      <c r="B2387" s="114" t="n"/>
      <c r="C2387" s="102" t="n"/>
      <c r="D2387" s="114" t="n"/>
      <c r="E2387" s="103" t="n"/>
      <c r="F2387" s="102" t="n"/>
      <c r="G2387" s="102" t="n"/>
      <c r="H2387" s="115" t="n"/>
      <c r="I2387" s="102" t="n"/>
      <c r="J2387" s="102" t="n"/>
      <c r="K2387" s="103" t="n"/>
      <c r="L2387" s="116">
        <f>IF($H2387="","",TRIM(IF(COUNTIF(DMTK!$A$7:$A$250,$F2387)=0,"TK Nợ sai! ","")&amp;IF(COUNTIF(DMTK!$A$7:$A$250,$G2387)=0,"TK Có sai! ","")&amp;IF(N($H2387)&lt;=0,"Tiền phải &gt; 0! ","")&amp;IF($B2387="","Thiếu ngày! ","")&amp;IF(AND(OR(LEFT($F2387,3)="131",LEFT($G2387,3)="131",LEFT($F2387,3)="331",LEFT($G2387,3)="331"),$I2387=""),"Thiếu Mã ĐT! ","")&amp;IF(AND($I2387&lt;&gt;"",COUNTIF(DM_DT!$A$7:$A$306,$I2387)=0),"Mã ĐT chưa khai báo! ","")))</f>
        <v/>
      </c>
      <c r="M2387" s="117">
        <f>IF($H2387="","",IF(AND(OR(LEFT($F2387,3)="111",LEFT($F2387,3)="112",LEFT($F2387,3)="113"),OR(LEFT($G2387,3)="111",LEFT($G2387,3)="112",LEFT($G2387,3)="113")),"NB",IF(OR(LEFT($F2387,3)="111",LEFT($F2387,3)="112",LEFT($F2387,3)="113"),"THU",IF(OR(LEFT($G2387,3)="111",LEFT($G2387,3)="112",LEFT($G2387,3)="113"),"CHI",""))))</f>
        <v/>
      </c>
      <c r="N2387" s="117">
        <f>IF($M2387="THU",$G2387,IF($M2387="CHI",$F2387,""))</f>
        <v/>
      </c>
      <c r="O2387" s="117">
        <f>IF(OR($M2387="",$M2387="NB"),"",IF($J2387&lt;&gt;"",TEXT($J2387,"00"),IFERROR(VLOOKUP(LEFT($N2387,4),LCTT_MAP!$A$7:$C$66,IF($M2387="THU",2,3),FALSE()),IFERROR(VLOOKUP(LEFT($N2387,3),LCTT_MAP!$A$7:$C$66,IF($M2387="THU",2,3),FALSE()),IFERROR(VLOOKUP(LEFT($N2387,2),LCTT_MAP!$A$7:$C$66,IF($M2387="THU",2,3),FALSE()),IFERROR(VLOOKUP(LEFT($N2387,1),LCTT_MAP!$A$7:$C$66,IF($M2387="THU",2,3),FALSE()),IF($M2387="THU","06","07")))))))</f>
        <v/>
      </c>
      <c r="P2387" s="117">
        <f>P2386+IF(AND($H2387&lt;&gt;"",OR(LEFT($F2387,LEN(SC_TK))=SC_TK,LEFT($G2387,LEN(SC_TK))=SC_TK)),1,0)</f>
        <v/>
      </c>
    </row>
    <row r="2388" ht="15" customHeight="1" s="78">
      <c r="A2388" s="95">
        <f>IF($H2388="","",ROW()-6)</f>
        <v/>
      </c>
      <c r="B2388" s="114" t="n"/>
      <c r="C2388" s="102" t="n"/>
      <c r="D2388" s="114" t="n"/>
      <c r="E2388" s="103" t="n"/>
      <c r="F2388" s="102" t="n"/>
      <c r="G2388" s="102" t="n"/>
      <c r="H2388" s="115" t="n"/>
      <c r="I2388" s="102" t="n"/>
      <c r="J2388" s="102" t="n"/>
      <c r="K2388" s="103" t="n"/>
      <c r="L2388" s="116">
        <f>IF($H2388="","",TRIM(IF(COUNTIF(DMTK!$A$7:$A$250,$F2388)=0,"TK Nợ sai! ","")&amp;IF(COUNTIF(DMTK!$A$7:$A$250,$G2388)=0,"TK Có sai! ","")&amp;IF(N($H2388)&lt;=0,"Tiền phải &gt; 0! ","")&amp;IF($B2388="","Thiếu ngày! ","")&amp;IF(AND(OR(LEFT($F2388,3)="131",LEFT($G2388,3)="131",LEFT($F2388,3)="331",LEFT($G2388,3)="331"),$I2388=""),"Thiếu Mã ĐT! ","")&amp;IF(AND($I2388&lt;&gt;"",COUNTIF(DM_DT!$A$7:$A$306,$I2388)=0),"Mã ĐT chưa khai báo! ","")))</f>
        <v/>
      </c>
      <c r="M2388" s="117">
        <f>IF($H2388="","",IF(AND(OR(LEFT($F2388,3)="111",LEFT($F2388,3)="112",LEFT($F2388,3)="113"),OR(LEFT($G2388,3)="111",LEFT($G2388,3)="112",LEFT($G2388,3)="113")),"NB",IF(OR(LEFT($F2388,3)="111",LEFT($F2388,3)="112",LEFT($F2388,3)="113"),"THU",IF(OR(LEFT($G2388,3)="111",LEFT($G2388,3)="112",LEFT($G2388,3)="113"),"CHI",""))))</f>
        <v/>
      </c>
      <c r="N2388" s="117">
        <f>IF($M2388="THU",$G2388,IF($M2388="CHI",$F2388,""))</f>
        <v/>
      </c>
      <c r="O2388" s="117">
        <f>IF(OR($M2388="",$M2388="NB"),"",IF($J2388&lt;&gt;"",TEXT($J2388,"00"),IFERROR(VLOOKUP(LEFT($N2388,4),LCTT_MAP!$A$7:$C$66,IF($M2388="THU",2,3),FALSE()),IFERROR(VLOOKUP(LEFT($N2388,3),LCTT_MAP!$A$7:$C$66,IF($M2388="THU",2,3),FALSE()),IFERROR(VLOOKUP(LEFT($N2388,2),LCTT_MAP!$A$7:$C$66,IF($M2388="THU",2,3),FALSE()),IFERROR(VLOOKUP(LEFT($N2388,1),LCTT_MAP!$A$7:$C$66,IF($M2388="THU",2,3),FALSE()),IF($M2388="THU","06","07")))))))</f>
        <v/>
      </c>
      <c r="P2388" s="117">
        <f>P2387+IF(AND($H2388&lt;&gt;"",OR(LEFT($F2388,LEN(SC_TK))=SC_TK,LEFT($G2388,LEN(SC_TK))=SC_TK)),1,0)</f>
        <v/>
      </c>
    </row>
    <row r="2389" ht="15" customHeight="1" s="78">
      <c r="A2389" s="95">
        <f>IF($H2389="","",ROW()-6)</f>
        <v/>
      </c>
      <c r="B2389" s="114" t="n"/>
      <c r="C2389" s="102" t="n"/>
      <c r="D2389" s="114" t="n"/>
      <c r="E2389" s="103" t="n"/>
      <c r="F2389" s="102" t="n"/>
      <c r="G2389" s="102" t="n"/>
      <c r="H2389" s="115" t="n"/>
      <c r="I2389" s="102" t="n"/>
      <c r="J2389" s="102" t="n"/>
      <c r="K2389" s="103" t="n"/>
      <c r="L2389" s="116">
        <f>IF($H2389="","",TRIM(IF(COUNTIF(DMTK!$A$7:$A$250,$F2389)=0,"TK Nợ sai! ","")&amp;IF(COUNTIF(DMTK!$A$7:$A$250,$G2389)=0,"TK Có sai! ","")&amp;IF(N($H2389)&lt;=0,"Tiền phải &gt; 0! ","")&amp;IF($B2389="","Thiếu ngày! ","")&amp;IF(AND(OR(LEFT($F2389,3)="131",LEFT($G2389,3)="131",LEFT($F2389,3)="331",LEFT($G2389,3)="331"),$I2389=""),"Thiếu Mã ĐT! ","")&amp;IF(AND($I2389&lt;&gt;"",COUNTIF(DM_DT!$A$7:$A$306,$I2389)=0),"Mã ĐT chưa khai báo! ","")))</f>
        <v/>
      </c>
      <c r="M2389" s="117">
        <f>IF($H2389="","",IF(AND(OR(LEFT($F2389,3)="111",LEFT($F2389,3)="112",LEFT($F2389,3)="113"),OR(LEFT($G2389,3)="111",LEFT($G2389,3)="112",LEFT($G2389,3)="113")),"NB",IF(OR(LEFT($F2389,3)="111",LEFT($F2389,3)="112",LEFT($F2389,3)="113"),"THU",IF(OR(LEFT($G2389,3)="111",LEFT($G2389,3)="112",LEFT($G2389,3)="113"),"CHI",""))))</f>
        <v/>
      </c>
      <c r="N2389" s="117">
        <f>IF($M2389="THU",$G2389,IF($M2389="CHI",$F2389,""))</f>
        <v/>
      </c>
      <c r="O2389" s="117">
        <f>IF(OR($M2389="",$M2389="NB"),"",IF($J2389&lt;&gt;"",TEXT($J2389,"00"),IFERROR(VLOOKUP(LEFT($N2389,4),LCTT_MAP!$A$7:$C$66,IF($M2389="THU",2,3),FALSE()),IFERROR(VLOOKUP(LEFT($N2389,3),LCTT_MAP!$A$7:$C$66,IF($M2389="THU",2,3),FALSE()),IFERROR(VLOOKUP(LEFT($N2389,2),LCTT_MAP!$A$7:$C$66,IF($M2389="THU",2,3),FALSE()),IFERROR(VLOOKUP(LEFT($N2389,1),LCTT_MAP!$A$7:$C$66,IF($M2389="THU",2,3),FALSE()),IF($M2389="THU","06","07")))))))</f>
        <v/>
      </c>
      <c r="P2389" s="117">
        <f>P2388+IF(AND($H2389&lt;&gt;"",OR(LEFT($F2389,LEN(SC_TK))=SC_TK,LEFT($G2389,LEN(SC_TK))=SC_TK)),1,0)</f>
        <v/>
      </c>
    </row>
    <row r="2390" ht="15" customHeight="1" s="78">
      <c r="A2390" s="95">
        <f>IF($H2390="","",ROW()-6)</f>
        <v/>
      </c>
      <c r="B2390" s="114" t="n"/>
      <c r="C2390" s="102" t="n"/>
      <c r="D2390" s="114" t="n"/>
      <c r="E2390" s="103" t="n"/>
      <c r="F2390" s="102" t="n"/>
      <c r="G2390" s="102" t="n"/>
      <c r="H2390" s="115" t="n"/>
      <c r="I2390" s="102" t="n"/>
      <c r="J2390" s="102" t="n"/>
      <c r="K2390" s="103" t="n"/>
      <c r="L2390" s="116">
        <f>IF($H2390="","",TRIM(IF(COUNTIF(DMTK!$A$7:$A$250,$F2390)=0,"TK Nợ sai! ","")&amp;IF(COUNTIF(DMTK!$A$7:$A$250,$G2390)=0,"TK Có sai! ","")&amp;IF(N($H2390)&lt;=0,"Tiền phải &gt; 0! ","")&amp;IF($B2390="","Thiếu ngày! ","")&amp;IF(AND(OR(LEFT($F2390,3)="131",LEFT($G2390,3)="131",LEFT($F2390,3)="331",LEFT($G2390,3)="331"),$I2390=""),"Thiếu Mã ĐT! ","")&amp;IF(AND($I2390&lt;&gt;"",COUNTIF(DM_DT!$A$7:$A$306,$I2390)=0),"Mã ĐT chưa khai báo! ","")))</f>
        <v/>
      </c>
      <c r="M2390" s="117">
        <f>IF($H2390="","",IF(AND(OR(LEFT($F2390,3)="111",LEFT($F2390,3)="112",LEFT($F2390,3)="113"),OR(LEFT($G2390,3)="111",LEFT($G2390,3)="112",LEFT($G2390,3)="113")),"NB",IF(OR(LEFT($F2390,3)="111",LEFT($F2390,3)="112",LEFT($F2390,3)="113"),"THU",IF(OR(LEFT($G2390,3)="111",LEFT($G2390,3)="112",LEFT($G2390,3)="113"),"CHI",""))))</f>
        <v/>
      </c>
      <c r="N2390" s="117">
        <f>IF($M2390="THU",$G2390,IF($M2390="CHI",$F2390,""))</f>
        <v/>
      </c>
      <c r="O2390" s="117">
        <f>IF(OR($M2390="",$M2390="NB"),"",IF($J2390&lt;&gt;"",TEXT($J2390,"00"),IFERROR(VLOOKUP(LEFT($N2390,4),LCTT_MAP!$A$7:$C$66,IF($M2390="THU",2,3),FALSE()),IFERROR(VLOOKUP(LEFT($N2390,3),LCTT_MAP!$A$7:$C$66,IF($M2390="THU",2,3),FALSE()),IFERROR(VLOOKUP(LEFT($N2390,2),LCTT_MAP!$A$7:$C$66,IF($M2390="THU",2,3),FALSE()),IFERROR(VLOOKUP(LEFT($N2390,1),LCTT_MAP!$A$7:$C$66,IF($M2390="THU",2,3),FALSE()),IF($M2390="THU","06","07")))))))</f>
        <v/>
      </c>
      <c r="P2390" s="117">
        <f>P2389+IF(AND($H2390&lt;&gt;"",OR(LEFT($F2390,LEN(SC_TK))=SC_TK,LEFT($G2390,LEN(SC_TK))=SC_TK)),1,0)</f>
        <v/>
      </c>
    </row>
    <row r="2391" ht="15" customHeight="1" s="78">
      <c r="A2391" s="95">
        <f>IF($H2391="","",ROW()-6)</f>
        <v/>
      </c>
      <c r="B2391" s="114" t="n"/>
      <c r="C2391" s="102" t="n"/>
      <c r="D2391" s="114" t="n"/>
      <c r="E2391" s="103" t="n"/>
      <c r="F2391" s="102" t="n"/>
      <c r="G2391" s="102" t="n"/>
      <c r="H2391" s="115" t="n"/>
      <c r="I2391" s="102" t="n"/>
      <c r="J2391" s="102" t="n"/>
      <c r="K2391" s="103" t="n"/>
      <c r="L2391" s="116">
        <f>IF($H2391="","",TRIM(IF(COUNTIF(DMTK!$A$7:$A$250,$F2391)=0,"TK Nợ sai! ","")&amp;IF(COUNTIF(DMTK!$A$7:$A$250,$G2391)=0,"TK Có sai! ","")&amp;IF(N($H2391)&lt;=0,"Tiền phải &gt; 0! ","")&amp;IF($B2391="","Thiếu ngày! ","")&amp;IF(AND(OR(LEFT($F2391,3)="131",LEFT($G2391,3)="131",LEFT($F2391,3)="331",LEFT($G2391,3)="331"),$I2391=""),"Thiếu Mã ĐT! ","")&amp;IF(AND($I2391&lt;&gt;"",COUNTIF(DM_DT!$A$7:$A$306,$I2391)=0),"Mã ĐT chưa khai báo! ","")))</f>
        <v/>
      </c>
      <c r="M2391" s="117">
        <f>IF($H2391="","",IF(AND(OR(LEFT($F2391,3)="111",LEFT($F2391,3)="112",LEFT($F2391,3)="113"),OR(LEFT($G2391,3)="111",LEFT($G2391,3)="112",LEFT($G2391,3)="113")),"NB",IF(OR(LEFT($F2391,3)="111",LEFT($F2391,3)="112",LEFT($F2391,3)="113"),"THU",IF(OR(LEFT($G2391,3)="111",LEFT($G2391,3)="112",LEFT($G2391,3)="113"),"CHI",""))))</f>
        <v/>
      </c>
      <c r="N2391" s="117">
        <f>IF($M2391="THU",$G2391,IF($M2391="CHI",$F2391,""))</f>
        <v/>
      </c>
      <c r="O2391" s="117">
        <f>IF(OR($M2391="",$M2391="NB"),"",IF($J2391&lt;&gt;"",TEXT($J2391,"00"),IFERROR(VLOOKUP(LEFT($N2391,4),LCTT_MAP!$A$7:$C$66,IF($M2391="THU",2,3),FALSE()),IFERROR(VLOOKUP(LEFT($N2391,3),LCTT_MAP!$A$7:$C$66,IF($M2391="THU",2,3),FALSE()),IFERROR(VLOOKUP(LEFT($N2391,2),LCTT_MAP!$A$7:$C$66,IF($M2391="THU",2,3),FALSE()),IFERROR(VLOOKUP(LEFT($N2391,1),LCTT_MAP!$A$7:$C$66,IF($M2391="THU",2,3),FALSE()),IF($M2391="THU","06","07")))))))</f>
        <v/>
      </c>
      <c r="P2391" s="117">
        <f>P2390+IF(AND($H2391&lt;&gt;"",OR(LEFT($F2391,LEN(SC_TK))=SC_TK,LEFT($G2391,LEN(SC_TK))=SC_TK)),1,0)</f>
        <v/>
      </c>
    </row>
    <row r="2392" ht="15" customHeight="1" s="78">
      <c r="A2392" s="95">
        <f>IF($H2392="","",ROW()-6)</f>
        <v/>
      </c>
      <c r="B2392" s="114" t="n"/>
      <c r="C2392" s="102" t="n"/>
      <c r="D2392" s="114" t="n"/>
      <c r="E2392" s="103" t="n"/>
      <c r="F2392" s="102" t="n"/>
      <c r="G2392" s="102" t="n"/>
      <c r="H2392" s="115" t="n"/>
      <c r="I2392" s="102" t="n"/>
      <c r="J2392" s="102" t="n"/>
      <c r="K2392" s="103" t="n"/>
      <c r="L2392" s="116">
        <f>IF($H2392="","",TRIM(IF(COUNTIF(DMTK!$A$7:$A$250,$F2392)=0,"TK Nợ sai! ","")&amp;IF(COUNTIF(DMTK!$A$7:$A$250,$G2392)=0,"TK Có sai! ","")&amp;IF(N($H2392)&lt;=0,"Tiền phải &gt; 0! ","")&amp;IF($B2392="","Thiếu ngày! ","")&amp;IF(AND(OR(LEFT($F2392,3)="131",LEFT($G2392,3)="131",LEFT($F2392,3)="331",LEFT($G2392,3)="331"),$I2392=""),"Thiếu Mã ĐT! ","")&amp;IF(AND($I2392&lt;&gt;"",COUNTIF(DM_DT!$A$7:$A$306,$I2392)=0),"Mã ĐT chưa khai báo! ","")))</f>
        <v/>
      </c>
      <c r="M2392" s="117">
        <f>IF($H2392="","",IF(AND(OR(LEFT($F2392,3)="111",LEFT($F2392,3)="112",LEFT($F2392,3)="113"),OR(LEFT($G2392,3)="111",LEFT($G2392,3)="112",LEFT($G2392,3)="113")),"NB",IF(OR(LEFT($F2392,3)="111",LEFT($F2392,3)="112",LEFT($F2392,3)="113"),"THU",IF(OR(LEFT($G2392,3)="111",LEFT($G2392,3)="112",LEFT($G2392,3)="113"),"CHI",""))))</f>
        <v/>
      </c>
      <c r="N2392" s="117">
        <f>IF($M2392="THU",$G2392,IF($M2392="CHI",$F2392,""))</f>
        <v/>
      </c>
      <c r="O2392" s="117">
        <f>IF(OR($M2392="",$M2392="NB"),"",IF($J2392&lt;&gt;"",TEXT($J2392,"00"),IFERROR(VLOOKUP(LEFT($N2392,4),LCTT_MAP!$A$7:$C$66,IF($M2392="THU",2,3),FALSE()),IFERROR(VLOOKUP(LEFT($N2392,3),LCTT_MAP!$A$7:$C$66,IF($M2392="THU",2,3),FALSE()),IFERROR(VLOOKUP(LEFT($N2392,2),LCTT_MAP!$A$7:$C$66,IF($M2392="THU",2,3),FALSE()),IFERROR(VLOOKUP(LEFT($N2392,1),LCTT_MAP!$A$7:$C$66,IF($M2392="THU",2,3),FALSE()),IF($M2392="THU","06","07")))))))</f>
        <v/>
      </c>
      <c r="P2392" s="117">
        <f>P2391+IF(AND($H2392&lt;&gt;"",OR(LEFT($F2392,LEN(SC_TK))=SC_TK,LEFT($G2392,LEN(SC_TK))=SC_TK)),1,0)</f>
        <v/>
      </c>
    </row>
    <row r="2393" ht="15" customHeight="1" s="78">
      <c r="A2393" s="95">
        <f>IF($H2393="","",ROW()-6)</f>
        <v/>
      </c>
      <c r="B2393" s="114" t="n"/>
      <c r="C2393" s="102" t="n"/>
      <c r="D2393" s="114" t="n"/>
      <c r="E2393" s="103" t="n"/>
      <c r="F2393" s="102" t="n"/>
      <c r="G2393" s="102" t="n"/>
      <c r="H2393" s="115" t="n"/>
      <c r="I2393" s="102" t="n"/>
      <c r="J2393" s="102" t="n"/>
      <c r="K2393" s="103" t="n"/>
      <c r="L2393" s="116">
        <f>IF($H2393="","",TRIM(IF(COUNTIF(DMTK!$A$7:$A$250,$F2393)=0,"TK Nợ sai! ","")&amp;IF(COUNTIF(DMTK!$A$7:$A$250,$G2393)=0,"TK Có sai! ","")&amp;IF(N($H2393)&lt;=0,"Tiền phải &gt; 0! ","")&amp;IF($B2393="","Thiếu ngày! ","")&amp;IF(AND(OR(LEFT($F2393,3)="131",LEFT($G2393,3)="131",LEFT($F2393,3)="331",LEFT($G2393,3)="331"),$I2393=""),"Thiếu Mã ĐT! ","")&amp;IF(AND($I2393&lt;&gt;"",COUNTIF(DM_DT!$A$7:$A$306,$I2393)=0),"Mã ĐT chưa khai báo! ","")))</f>
        <v/>
      </c>
      <c r="M2393" s="117">
        <f>IF($H2393="","",IF(AND(OR(LEFT($F2393,3)="111",LEFT($F2393,3)="112",LEFT($F2393,3)="113"),OR(LEFT($G2393,3)="111",LEFT($G2393,3)="112",LEFT($G2393,3)="113")),"NB",IF(OR(LEFT($F2393,3)="111",LEFT($F2393,3)="112",LEFT($F2393,3)="113"),"THU",IF(OR(LEFT($G2393,3)="111",LEFT($G2393,3)="112",LEFT($G2393,3)="113"),"CHI",""))))</f>
        <v/>
      </c>
      <c r="N2393" s="117">
        <f>IF($M2393="THU",$G2393,IF($M2393="CHI",$F2393,""))</f>
        <v/>
      </c>
      <c r="O2393" s="117">
        <f>IF(OR($M2393="",$M2393="NB"),"",IF($J2393&lt;&gt;"",TEXT($J2393,"00"),IFERROR(VLOOKUP(LEFT($N2393,4),LCTT_MAP!$A$7:$C$66,IF($M2393="THU",2,3),FALSE()),IFERROR(VLOOKUP(LEFT($N2393,3),LCTT_MAP!$A$7:$C$66,IF($M2393="THU",2,3),FALSE()),IFERROR(VLOOKUP(LEFT($N2393,2),LCTT_MAP!$A$7:$C$66,IF($M2393="THU",2,3),FALSE()),IFERROR(VLOOKUP(LEFT($N2393,1),LCTT_MAP!$A$7:$C$66,IF($M2393="THU",2,3),FALSE()),IF($M2393="THU","06","07")))))))</f>
        <v/>
      </c>
      <c r="P2393" s="117">
        <f>P2392+IF(AND($H2393&lt;&gt;"",OR(LEFT($F2393,LEN(SC_TK))=SC_TK,LEFT($G2393,LEN(SC_TK))=SC_TK)),1,0)</f>
        <v/>
      </c>
    </row>
    <row r="2394" ht="15" customHeight="1" s="78">
      <c r="A2394" s="95">
        <f>IF($H2394="","",ROW()-6)</f>
        <v/>
      </c>
      <c r="B2394" s="114" t="n"/>
      <c r="C2394" s="102" t="n"/>
      <c r="D2394" s="114" t="n"/>
      <c r="E2394" s="103" t="n"/>
      <c r="F2394" s="102" t="n"/>
      <c r="G2394" s="102" t="n"/>
      <c r="H2394" s="115" t="n"/>
      <c r="I2394" s="102" t="n"/>
      <c r="J2394" s="102" t="n"/>
      <c r="K2394" s="103" t="n"/>
      <c r="L2394" s="116">
        <f>IF($H2394="","",TRIM(IF(COUNTIF(DMTK!$A$7:$A$250,$F2394)=0,"TK Nợ sai! ","")&amp;IF(COUNTIF(DMTK!$A$7:$A$250,$G2394)=0,"TK Có sai! ","")&amp;IF(N($H2394)&lt;=0,"Tiền phải &gt; 0! ","")&amp;IF($B2394="","Thiếu ngày! ","")&amp;IF(AND(OR(LEFT($F2394,3)="131",LEFT($G2394,3)="131",LEFT($F2394,3)="331",LEFT($G2394,3)="331"),$I2394=""),"Thiếu Mã ĐT! ","")&amp;IF(AND($I2394&lt;&gt;"",COUNTIF(DM_DT!$A$7:$A$306,$I2394)=0),"Mã ĐT chưa khai báo! ","")))</f>
        <v/>
      </c>
      <c r="M2394" s="117">
        <f>IF($H2394="","",IF(AND(OR(LEFT($F2394,3)="111",LEFT($F2394,3)="112",LEFT($F2394,3)="113"),OR(LEFT($G2394,3)="111",LEFT($G2394,3)="112",LEFT($G2394,3)="113")),"NB",IF(OR(LEFT($F2394,3)="111",LEFT($F2394,3)="112",LEFT($F2394,3)="113"),"THU",IF(OR(LEFT($G2394,3)="111",LEFT($G2394,3)="112",LEFT($G2394,3)="113"),"CHI",""))))</f>
        <v/>
      </c>
      <c r="N2394" s="117">
        <f>IF($M2394="THU",$G2394,IF($M2394="CHI",$F2394,""))</f>
        <v/>
      </c>
      <c r="O2394" s="117">
        <f>IF(OR($M2394="",$M2394="NB"),"",IF($J2394&lt;&gt;"",TEXT($J2394,"00"),IFERROR(VLOOKUP(LEFT($N2394,4),LCTT_MAP!$A$7:$C$66,IF($M2394="THU",2,3),FALSE()),IFERROR(VLOOKUP(LEFT($N2394,3),LCTT_MAP!$A$7:$C$66,IF($M2394="THU",2,3),FALSE()),IFERROR(VLOOKUP(LEFT($N2394,2),LCTT_MAP!$A$7:$C$66,IF($M2394="THU",2,3),FALSE()),IFERROR(VLOOKUP(LEFT($N2394,1),LCTT_MAP!$A$7:$C$66,IF($M2394="THU",2,3),FALSE()),IF($M2394="THU","06","07")))))))</f>
        <v/>
      </c>
      <c r="P2394" s="117">
        <f>P2393+IF(AND($H2394&lt;&gt;"",OR(LEFT($F2394,LEN(SC_TK))=SC_TK,LEFT($G2394,LEN(SC_TK))=SC_TK)),1,0)</f>
        <v/>
      </c>
    </row>
    <row r="2395" ht="15" customHeight="1" s="78">
      <c r="A2395" s="95">
        <f>IF($H2395="","",ROW()-6)</f>
        <v/>
      </c>
      <c r="B2395" s="114" t="n"/>
      <c r="C2395" s="102" t="n"/>
      <c r="D2395" s="114" t="n"/>
      <c r="E2395" s="103" t="n"/>
      <c r="F2395" s="102" t="n"/>
      <c r="G2395" s="102" t="n"/>
      <c r="H2395" s="115" t="n"/>
      <c r="I2395" s="102" t="n"/>
      <c r="J2395" s="102" t="n"/>
      <c r="K2395" s="103" t="n"/>
      <c r="L2395" s="116">
        <f>IF($H2395="","",TRIM(IF(COUNTIF(DMTK!$A$7:$A$250,$F2395)=0,"TK Nợ sai! ","")&amp;IF(COUNTIF(DMTK!$A$7:$A$250,$G2395)=0,"TK Có sai! ","")&amp;IF(N($H2395)&lt;=0,"Tiền phải &gt; 0! ","")&amp;IF($B2395="","Thiếu ngày! ","")&amp;IF(AND(OR(LEFT($F2395,3)="131",LEFT($G2395,3)="131",LEFT($F2395,3)="331",LEFT($G2395,3)="331"),$I2395=""),"Thiếu Mã ĐT! ","")&amp;IF(AND($I2395&lt;&gt;"",COUNTIF(DM_DT!$A$7:$A$306,$I2395)=0),"Mã ĐT chưa khai báo! ","")))</f>
        <v/>
      </c>
      <c r="M2395" s="117">
        <f>IF($H2395="","",IF(AND(OR(LEFT($F2395,3)="111",LEFT($F2395,3)="112",LEFT($F2395,3)="113"),OR(LEFT($G2395,3)="111",LEFT($G2395,3)="112",LEFT($G2395,3)="113")),"NB",IF(OR(LEFT($F2395,3)="111",LEFT($F2395,3)="112",LEFT($F2395,3)="113"),"THU",IF(OR(LEFT($G2395,3)="111",LEFT($G2395,3)="112",LEFT($G2395,3)="113"),"CHI",""))))</f>
        <v/>
      </c>
      <c r="N2395" s="117">
        <f>IF($M2395="THU",$G2395,IF($M2395="CHI",$F2395,""))</f>
        <v/>
      </c>
      <c r="O2395" s="117">
        <f>IF(OR($M2395="",$M2395="NB"),"",IF($J2395&lt;&gt;"",TEXT($J2395,"00"),IFERROR(VLOOKUP(LEFT($N2395,4),LCTT_MAP!$A$7:$C$66,IF($M2395="THU",2,3),FALSE()),IFERROR(VLOOKUP(LEFT($N2395,3),LCTT_MAP!$A$7:$C$66,IF($M2395="THU",2,3),FALSE()),IFERROR(VLOOKUP(LEFT($N2395,2),LCTT_MAP!$A$7:$C$66,IF($M2395="THU",2,3),FALSE()),IFERROR(VLOOKUP(LEFT($N2395,1),LCTT_MAP!$A$7:$C$66,IF($M2395="THU",2,3),FALSE()),IF($M2395="THU","06","07")))))))</f>
        <v/>
      </c>
      <c r="P2395" s="117">
        <f>P2394+IF(AND($H2395&lt;&gt;"",OR(LEFT($F2395,LEN(SC_TK))=SC_TK,LEFT($G2395,LEN(SC_TK))=SC_TK)),1,0)</f>
        <v/>
      </c>
    </row>
    <row r="2396" ht="15" customHeight="1" s="78">
      <c r="A2396" s="95">
        <f>IF($H2396="","",ROW()-6)</f>
        <v/>
      </c>
      <c r="B2396" s="114" t="n"/>
      <c r="C2396" s="102" t="n"/>
      <c r="D2396" s="114" t="n"/>
      <c r="E2396" s="103" t="n"/>
      <c r="F2396" s="102" t="n"/>
      <c r="G2396" s="102" t="n"/>
      <c r="H2396" s="115" t="n"/>
      <c r="I2396" s="102" t="n"/>
      <c r="J2396" s="102" t="n"/>
      <c r="K2396" s="103" t="n"/>
      <c r="L2396" s="116">
        <f>IF($H2396="","",TRIM(IF(COUNTIF(DMTK!$A$7:$A$250,$F2396)=0,"TK Nợ sai! ","")&amp;IF(COUNTIF(DMTK!$A$7:$A$250,$G2396)=0,"TK Có sai! ","")&amp;IF(N($H2396)&lt;=0,"Tiền phải &gt; 0! ","")&amp;IF($B2396="","Thiếu ngày! ","")&amp;IF(AND(OR(LEFT($F2396,3)="131",LEFT($G2396,3)="131",LEFT($F2396,3)="331",LEFT($G2396,3)="331"),$I2396=""),"Thiếu Mã ĐT! ","")&amp;IF(AND($I2396&lt;&gt;"",COUNTIF(DM_DT!$A$7:$A$306,$I2396)=0),"Mã ĐT chưa khai báo! ","")))</f>
        <v/>
      </c>
      <c r="M2396" s="117">
        <f>IF($H2396="","",IF(AND(OR(LEFT($F2396,3)="111",LEFT($F2396,3)="112",LEFT($F2396,3)="113"),OR(LEFT($G2396,3)="111",LEFT($G2396,3)="112",LEFT($G2396,3)="113")),"NB",IF(OR(LEFT($F2396,3)="111",LEFT($F2396,3)="112",LEFT($F2396,3)="113"),"THU",IF(OR(LEFT($G2396,3)="111",LEFT($G2396,3)="112",LEFT($G2396,3)="113"),"CHI",""))))</f>
        <v/>
      </c>
      <c r="N2396" s="117">
        <f>IF($M2396="THU",$G2396,IF($M2396="CHI",$F2396,""))</f>
        <v/>
      </c>
      <c r="O2396" s="117">
        <f>IF(OR($M2396="",$M2396="NB"),"",IF($J2396&lt;&gt;"",TEXT($J2396,"00"),IFERROR(VLOOKUP(LEFT($N2396,4),LCTT_MAP!$A$7:$C$66,IF($M2396="THU",2,3),FALSE()),IFERROR(VLOOKUP(LEFT($N2396,3),LCTT_MAP!$A$7:$C$66,IF($M2396="THU",2,3),FALSE()),IFERROR(VLOOKUP(LEFT($N2396,2),LCTT_MAP!$A$7:$C$66,IF($M2396="THU",2,3),FALSE()),IFERROR(VLOOKUP(LEFT($N2396,1),LCTT_MAP!$A$7:$C$66,IF($M2396="THU",2,3),FALSE()),IF($M2396="THU","06","07")))))))</f>
        <v/>
      </c>
      <c r="P2396" s="117">
        <f>P2395+IF(AND($H2396&lt;&gt;"",OR(LEFT($F2396,LEN(SC_TK))=SC_TK,LEFT($G2396,LEN(SC_TK))=SC_TK)),1,0)</f>
        <v/>
      </c>
    </row>
    <row r="2397" ht="15" customHeight="1" s="78">
      <c r="A2397" s="95">
        <f>IF($H2397="","",ROW()-6)</f>
        <v/>
      </c>
      <c r="B2397" s="114" t="n"/>
      <c r="C2397" s="102" t="n"/>
      <c r="D2397" s="114" t="n"/>
      <c r="E2397" s="103" t="n"/>
      <c r="F2397" s="102" t="n"/>
      <c r="G2397" s="102" t="n"/>
      <c r="H2397" s="115" t="n"/>
      <c r="I2397" s="102" t="n"/>
      <c r="J2397" s="102" t="n"/>
      <c r="K2397" s="103" t="n"/>
      <c r="L2397" s="116">
        <f>IF($H2397="","",TRIM(IF(COUNTIF(DMTK!$A$7:$A$250,$F2397)=0,"TK Nợ sai! ","")&amp;IF(COUNTIF(DMTK!$A$7:$A$250,$G2397)=0,"TK Có sai! ","")&amp;IF(N($H2397)&lt;=0,"Tiền phải &gt; 0! ","")&amp;IF($B2397="","Thiếu ngày! ","")&amp;IF(AND(OR(LEFT($F2397,3)="131",LEFT($G2397,3)="131",LEFT($F2397,3)="331",LEFT($G2397,3)="331"),$I2397=""),"Thiếu Mã ĐT! ","")&amp;IF(AND($I2397&lt;&gt;"",COUNTIF(DM_DT!$A$7:$A$306,$I2397)=0),"Mã ĐT chưa khai báo! ","")))</f>
        <v/>
      </c>
      <c r="M2397" s="117">
        <f>IF($H2397="","",IF(AND(OR(LEFT($F2397,3)="111",LEFT($F2397,3)="112",LEFT($F2397,3)="113"),OR(LEFT($G2397,3)="111",LEFT($G2397,3)="112",LEFT($G2397,3)="113")),"NB",IF(OR(LEFT($F2397,3)="111",LEFT($F2397,3)="112",LEFT($F2397,3)="113"),"THU",IF(OR(LEFT($G2397,3)="111",LEFT($G2397,3)="112",LEFT($G2397,3)="113"),"CHI",""))))</f>
        <v/>
      </c>
      <c r="N2397" s="117">
        <f>IF($M2397="THU",$G2397,IF($M2397="CHI",$F2397,""))</f>
        <v/>
      </c>
      <c r="O2397" s="117">
        <f>IF(OR($M2397="",$M2397="NB"),"",IF($J2397&lt;&gt;"",TEXT($J2397,"00"),IFERROR(VLOOKUP(LEFT($N2397,4),LCTT_MAP!$A$7:$C$66,IF($M2397="THU",2,3),FALSE()),IFERROR(VLOOKUP(LEFT($N2397,3),LCTT_MAP!$A$7:$C$66,IF($M2397="THU",2,3),FALSE()),IFERROR(VLOOKUP(LEFT($N2397,2),LCTT_MAP!$A$7:$C$66,IF($M2397="THU",2,3),FALSE()),IFERROR(VLOOKUP(LEFT($N2397,1),LCTT_MAP!$A$7:$C$66,IF($M2397="THU",2,3),FALSE()),IF($M2397="THU","06","07")))))))</f>
        <v/>
      </c>
      <c r="P2397" s="117">
        <f>P2396+IF(AND($H2397&lt;&gt;"",OR(LEFT($F2397,LEN(SC_TK))=SC_TK,LEFT($G2397,LEN(SC_TK))=SC_TK)),1,0)</f>
        <v/>
      </c>
    </row>
    <row r="2398" ht="15" customHeight="1" s="78">
      <c r="A2398" s="95">
        <f>IF($H2398="","",ROW()-6)</f>
        <v/>
      </c>
      <c r="B2398" s="114" t="n"/>
      <c r="C2398" s="102" t="n"/>
      <c r="D2398" s="114" t="n"/>
      <c r="E2398" s="103" t="n"/>
      <c r="F2398" s="102" t="n"/>
      <c r="G2398" s="102" t="n"/>
      <c r="H2398" s="115" t="n"/>
      <c r="I2398" s="102" t="n"/>
      <c r="J2398" s="102" t="n"/>
      <c r="K2398" s="103" t="n"/>
      <c r="L2398" s="116">
        <f>IF($H2398="","",TRIM(IF(COUNTIF(DMTK!$A$7:$A$250,$F2398)=0,"TK Nợ sai! ","")&amp;IF(COUNTIF(DMTK!$A$7:$A$250,$G2398)=0,"TK Có sai! ","")&amp;IF(N($H2398)&lt;=0,"Tiền phải &gt; 0! ","")&amp;IF($B2398="","Thiếu ngày! ","")&amp;IF(AND(OR(LEFT($F2398,3)="131",LEFT($G2398,3)="131",LEFT($F2398,3)="331",LEFT($G2398,3)="331"),$I2398=""),"Thiếu Mã ĐT! ","")&amp;IF(AND($I2398&lt;&gt;"",COUNTIF(DM_DT!$A$7:$A$306,$I2398)=0),"Mã ĐT chưa khai báo! ","")))</f>
        <v/>
      </c>
      <c r="M2398" s="117">
        <f>IF($H2398="","",IF(AND(OR(LEFT($F2398,3)="111",LEFT($F2398,3)="112",LEFT($F2398,3)="113"),OR(LEFT($G2398,3)="111",LEFT($G2398,3)="112",LEFT($G2398,3)="113")),"NB",IF(OR(LEFT($F2398,3)="111",LEFT($F2398,3)="112",LEFT($F2398,3)="113"),"THU",IF(OR(LEFT($G2398,3)="111",LEFT($G2398,3)="112",LEFT($G2398,3)="113"),"CHI",""))))</f>
        <v/>
      </c>
      <c r="N2398" s="117">
        <f>IF($M2398="THU",$G2398,IF($M2398="CHI",$F2398,""))</f>
        <v/>
      </c>
      <c r="O2398" s="117">
        <f>IF(OR($M2398="",$M2398="NB"),"",IF($J2398&lt;&gt;"",TEXT($J2398,"00"),IFERROR(VLOOKUP(LEFT($N2398,4),LCTT_MAP!$A$7:$C$66,IF($M2398="THU",2,3),FALSE()),IFERROR(VLOOKUP(LEFT($N2398,3),LCTT_MAP!$A$7:$C$66,IF($M2398="THU",2,3),FALSE()),IFERROR(VLOOKUP(LEFT($N2398,2),LCTT_MAP!$A$7:$C$66,IF($M2398="THU",2,3),FALSE()),IFERROR(VLOOKUP(LEFT($N2398,1),LCTT_MAP!$A$7:$C$66,IF($M2398="THU",2,3),FALSE()),IF($M2398="THU","06","07")))))))</f>
        <v/>
      </c>
      <c r="P2398" s="117">
        <f>P2397+IF(AND($H2398&lt;&gt;"",OR(LEFT($F2398,LEN(SC_TK))=SC_TK,LEFT($G2398,LEN(SC_TK))=SC_TK)),1,0)</f>
        <v/>
      </c>
    </row>
    <row r="2399" ht="15" customHeight="1" s="78">
      <c r="A2399" s="95">
        <f>IF($H2399="","",ROW()-6)</f>
        <v/>
      </c>
      <c r="B2399" s="114" t="n"/>
      <c r="C2399" s="102" t="n"/>
      <c r="D2399" s="114" t="n"/>
      <c r="E2399" s="103" t="n"/>
      <c r="F2399" s="102" t="n"/>
      <c r="G2399" s="102" t="n"/>
      <c r="H2399" s="115" t="n"/>
      <c r="I2399" s="102" t="n"/>
      <c r="J2399" s="102" t="n"/>
      <c r="K2399" s="103" t="n"/>
      <c r="L2399" s="116">
        <f>IF($H2399="","",TRIM(IF(COUNTIF(DMTK!$A$7:$A$250,$F2399)=0,"TK Nợ sai! ","")&amp;IF(COUNTIF(DMTK!$A$7:$A$250,$G2399)=0,"TK Có sai! ","")&amp;IF(N($H2399)&lt;=0,"Tiền phải &gt; 0! ","")&amp;IF($B2399="","Thiếu ngày! ","")&amp;IF(AND(OR(LEFT($F2399,3)="131",LEFT($G2399,3)="131",LEFT($F2399,3)="331",LEFT($G2399,3)="331"),$I2399=""),"Thiếu Mã ĐT! ","")&amp;IF(AND($I2399&lt;&gt;"",COUNTIF(DM_DT!$A$7:$A$306,$I2399)=0),"Mã ĐT chưa khai báo! ","")))</f>
        <v/>
      </c>
      <c r="M2399" s="117">
        <f>IF($H2399="","",IF(AND(OR(LEFT($F2399,3)="111",LEFT($F2399,3)="112",LEFT($F2399,3)="113"),OR(LEFT($G2399,3)="111",LEFT($G2399,3)="112",LEFT($G2399,3)="113")),"NB",IF(OR(LEFT($F2399,3)="111",LEFT($F2399,3)="112",LEFT($F2399,3)="113"),"THU",IF(OR(LEFT($G2399,3)="111",LEFT($G2399,3)="112",LEFT($G2399,3)="113"),"CHI",""))))</f>
        <v/>
      </c>
      <c r="N2399" s="117">
        <f>IF($M2399="THU",$G2399,IF($M2399="CHI",$F2399,""))</f>
        <v/>
      </c>
      <c r="O2399" s="117">
        <f>IF(OR($M2399="",$M2399="NB"),"",IF($J2399&lt;&gt;"",TEXT($J2399,"00"),IFERROR(VLOOKUP(LEFT($N2399,4),LCTT_MAP!$A$7:$C$66,IF($M2399="THU",2,3),FALSE()),IFERROR(VLOOKUP(LEFT($N2399,3),LCTT_MAP!$A$7:$C$66,IF($M2399="THU",2,3),FALSE()),IFERROR(VLOOKUP(LEFT($N2399,2),LCTT_MAP!$A$7:$C$66,IF($M2399="THU",2,3),FALSE()),IFERROR(VLOOKUP(LEFT($N2399,1),LCTT_MAP!$A$7:$C$66,IF($M2399="THU",2,3),FALSE()),IF($M2399="THU","06","07")))))))</f>
        <v/>
      </c>
      <c r="P2399" s="117">
        <f>P2398+IF(AND($H2399&lt;&gt;"",OR(LEFT($F2399,LEN(SC_TK))=SC_TK,LEFT($G2399,LEN(SC_TK))=SC_TK)),1,0)</f>
        <v/>
      </c>
    </row>
    <row r="2400" ht="15" customHeight="1" s="78">
      <c r="A2400" s="95">
        <f>IF($H2400="","",ROW()-6)</f>
        <v/>
      </c>
      <c r="B2400" s="114" t="n"/>
      <c r="C2400" s="102" t="n"/>
      <c r="D2400" s="114" t="n"/>
      <c r="E2400" s="103" t="n"/>
      <c r="F2400" s="102" t="n"/>
      <c r="G2400" s="102" t="n"/>
      <c r="H2400" s="115" t="n"/>
      <c r="I2400" s="102" t="n"/>
      <c r="J2400" s="102" t="n"/>
      <c r="K2400" s="103" t="n"/>
      <c r="L2400" s="116">
        <f>IF($H2400="","",TRIM(IF(COUNTIF(DMTK!$A$7:$A$250,$F2400)=0,"TK Nợ sai! ","")&amp;IF(COUNTIF(DMTK!$A$7:$A$250,$G2400)=0,"TK Có sai! ","")&amp;IF(N($H2400)&lt;=0,"Tiền phải &gt; 0! ","")&amp;IF($B2400="","Thiếu ngày! ","")&amp;IF(AND(OR(LEFT($F2400,3)="131",LEFT($G2400,3)="131",LEFT($F2400,3)="331",LEFT($G2400,3)="331"),$I2400=""),"Thiếu Mã ĐT! ","")&amp;IF(AND($I2400&lt;&gt;"",COUNTIF(DM_DT!$A$7:$A$306,$I2400)=0),"Mã ĐT chưa khai báo! ","")))</f>
        <v/>
      </c>
      <c r="M2400" s="117">
        <f>IF($H2400="","",IF(AND(OR(LEFT($F2400,3)="111",LEFT($F2400,3)="112",LEFT($F2400,3)="113"),OR(LEFT($G2400,3)="111",LEFT($G2400,3)="112",LEFT($G2400,3)="113")),"NB",IF(OR(LEFT($F2400,3)="111",LEFT($F2400,3)="112",LEFT($F2400,3)="113"),"THU",IF(OR(LEFT($G2400,3)="111",LEFT($G2400,3)="112",LEFT($G2400,3)="113"),"CHI",""))))</f>
        <v/>
      </c>
      <c r="N2400" s="117">
        <f>IF($M2400="THU",$G2400,IF($M2400="CHI",$F2400,""))</f>
        <v/>
      </c>
      <c r="O2400" s="117">
        <f>IF(OR($M2400="",$M2400="NB"),"",IF($J2400&lt;&gt;"",TEXT($J2400,"00"),IFERROR(VLOOKUP(LEFT($N2400,4),LCTT_MAP!$A$7:$C$66,IF($M2400="THU",2,3),FALSE()),IFERROR(VLOOKUP(LEFT($N2400,3),LCTT_MAP!$A$7:$C$66,IF($M2400="THU",2,3),FALSE()),IFERROR(VLOOKUP(LEFT($N2400,2),LCTT_MAP!$A$7:$C$66,IF($M2400="THU",2,3),FALSE()),IFERROR(VLOOKUP(LEFT($N2400,1),LCTT_MAP!$A$7:$C$66,IF($M2400="THU",2,3),FALSE()),IF($M2400="THU","06","07")))))))</f>
        <v/>
      </c>
      <c r="P2400" s="117">
        <f>P2399+IF(AND($H2400&lt;&gt;"",OR(LEFT($F2400,LEN(SC_TK))=SC_TK,LEFT($G2400,LEN(SC_TK))=SC_TK)),1,0)</f>
        <v/>
      </c>
    </row>
    <row r="2401" ht="15" customHeight="1" s="78">
      <c r="A2401" s="95">
        <f>IF($H2401="","",ROW()-6)</f>
        <v/>
      </c>
      <c r="B2401" s="114" t="n"/>
      <c r="C2401" s="102" t="n"/>
      <c r="D2401" s="114" t="n"/>
      <c r="E2401" s="103" t="n"/>
      <c r="F2401" s="102" t="n"/>
      <c r="G2401" s="102" t="n"/>
      <c r="H2401" s="115" t="n"/>
      <c r="I2401" s="102" t="n"/>
      <c r="J2401" s="102" t="n"/>
      <c r="K2401" s="103" t="n"/>
      <c r="L2401" s="116">
        <f>IF($H2401="","",TRIM(IF(COUNTIF(DMTK!$A$7:$A$250,$F2401)=0,"TK Nợ sai! ","")&amp;IF(COUNTIF(DMTK!$A$7:$A$250,$G2401)=0,"TK Có sai! ","")&amp;IF(N($H2401)&lt;=0,"Tiền phải &gt; 0! ","")&amp;IF($B2401="","Thiếu ngày! ","")&amp;IF(AND(OR(LEFT($F2401,3)="131",LEFT($G2401,3)="131",LEFT($F2401,3)="331",LEFT($G2401,3)="331"),$I2401=""),"Thiếu Mã ĐT! ","")&amp;IF(AND($I2401&lt;&gt;"",COUNTIF(DM_DT!$A$7:$A$306,$I2401)=0),"Mã ĐT chưa khai báo! ","")))</f>
        <v/>
      </c>
      <c r="M2401" s="117">
        <f>IF($H2401="","",IF(AND(OR(LEFT($F2401,3)="111",LEFT($F2401,3)="112",LEFT($F2401,3)="113"),OR(LEFT($G2401,3)="111",LEFT($G2401,3)="112",LEFT($G2401,3)="113")),"NB",IF(OR(LEFT($F2401,3)="111",LEFT($F2401,3)="112",LEFT($F2401,3)="113"),"THU",IF(OR(LEFT($G2401,3)="111",LEFT($G2401,3)="112",LEFT($G2401,3)="113"),"CHI",""))))</f>
        <v/>
      </c>
      <c r="N2401" s="117">
        <f>IF($M2401="THU",$G2401,IF($M2401="CHI",$F2401,""))</f>
        <v/>
      </c>
      <c r="O2401" s="117">
        <f>IF(OR($M2401="",$M2401="NB"),"",IF($J2401&lt;&gt;"",TEXT($J2401,"00"),IFERROR(VLOOKUP(LEFT($N2401,4),LCTT_MAP!$A$7:$C$66,IF($M2401="THU",2,3),FALSE()),IFERROR(VLOOKUP(LEFT($N2401,3),LCTT_MAP!$A$7:$C$66,IF($M2401="THU",2,3),FALSE()),IFERROR(VLOOKUP(LEFT($N2401,2),LCTT_MAP!$A$7:$C$66,IF($M2401="THU",2,3),FALSE()),IFERROR(VLOOKUP(LEFT($N2401,1),LCTT_MAP!$A$7:$C$66,IF($M2401="THU",2,3),FALSE()),IF($M2401="THU","06","07")))))))</f>
        <v/>
      </c>
      <c r="P2401" s="117">
        <f>P2400+IF(AND($H2401&lt;&gt;"",OR(LEFT($F2401,LEN(SC_TK))=SC_TK,LEFT($G2401,LEN(SC_TK))=SC_TK)),1,0)</f>
        <v/>
      </c>
    </row>
    <row r="2402" ht="15" customHeight="1" s="78">
      <c r="A2402" s="95">
        <f>IF($H2402="","",ROW()-6)</f>
        <v/>
      </c>
      <c r="B2402" s="114" t="n"/>
      <c r="C2402" s="102" t="n"/>
      <c r="D2402" s="114" t="n"/>
      <c r="E2402" s="103" t="n"/>
      <c r="F2402" s="102" t="n"/>
      <c r="G2402" s="102" t="n"/>
      <c r="H2402" s="115" t="n"/>
      <c r="I2402" s="102" t="n"/>
      <c r="J2402" s="102" t="n"/>
      <c r="K2402" s="103" t="n"/>
      <c r="L2402" s="116">
        <f>IF($H2402="","",TRIM(IF(COUNTIF(DMTK!$A$7:$A$250,$F2402)=0,"TK Nợ sai! ","")&amp;IF(COUNTIF(DMTK!$A$7:$A$250,$G2402)=0,"TK Có sai! ","")&amp;IF(N($H2402)&lt;=0,"Tiền phải &gt; 0! ","")&amp;IF($B2402="","Thiếu ngày! ","")&amp;IF(AND(OR(LEFT($F2402,3)="131",LEFT($G2402,3)="131",LEFT($F2402,3)="331",LEFT($G2402,3)="331"),$I2402=""),"Thiếu Mã ĐT! ","")&amp;IF(AND($I2402&lt;&gt;"",COUNTIF(DM_DT!$A$7:$A$306,$I2402)=0),"Mã ĐT chưa khai báo! ","")))</f>
        <v/>
      </c>
      <c r="M2402" s="117">
        <f>IF($H2402="","",IF(AND(OR(LEFT($F2402,3)="111",LEFT($F2402,3)="112",LEFT($F2402,3)="113"),OR(LEFT($G2402,3)="111",LEFT($G2402,3)="112",LEFT($G2402,3)="113")),"NB",IF(OR(LEFT($F2402,3)="111",LEFT($F2402,3)="112",LEFT($F2402,3)="113"),"THU",IF(OR(LEFT($G2402,3)="111",LEFT($G2402,3)="112",LEFT($G2402,3)="113"),"CHI",""))))</f>
        <v/>
      </c>
      <c r="N2402" s="117">
        <f>IF($M2402="THU",$G2402,IF($M2402="CHI",$F2402,""))</f>
        <v/>
      </c>
      <c r="O2402" s="117">
        <f>IF(OR($M2402="",$M2402="NB"),"",IF($J2402&lt;&gt;"",TEXT($J2402,"00"),IFERROR(VLOOKUP(LEFT($N2402,4),LCTT_MAP!$A$7:$C$66,IF($M2402="THU",2,3),FALSE()),IFERROR(VLOOKUP(LEFT($N2402,3),LCTT_MAP!$A$7:$C$66,IF($M2402="THU",2,3),FALSE()),IFERROR(VLOOKUP(LEFT($N2402,2),LCTT_MAP!$A$7:$C$66,IF($M2402="THU",2,3),FALSE()),IFERROR(VLOOKUP(LEFT($N2402,1),LCTT_MAP!$A$7:$C$66,IF($M2402="THU",2,3),FALSE()),IF($M2402="THU","06","07")))))))</f>
        <v/>
      </c>
      <c r="P2402" s="117">
        <f>P2401+IF(AND($H2402&lt;&gt;"",OR(LEFT($F2402,LEN(SC_TK))=SC_TK,LEFT($G2402,LEN(SC_TK))=SC_TK)),1,0)</f>
        <v/>
      </c>
    </row>
    <row r="2403" ht="15" customHeight="1" s="78">
      <c r="A2403" s="95">
        <f>IF($H2403="","",ROW()-6)</f>
        <v/>
      </c>
      <c r="B2403" s="114" t="n"/>
      <c r="C2403" s="102" t="n"/>
      <c r="D2403" s="114" t="n"/>
      <c r="E2403" s="103" t="n"/>
      <c r="F2403" s="102" t="n"/>
      <c r="G2403" s="102" t="n"/>
      <c r="H2403" s="115" t="n"/>
      <c r="I2403" s="102" t="n"/>
      <c r="J2403" s="102" t="n"/>
      <c r="K2403" s="103" t="n"/>
      <c r="L2403" s="116">
        <f>IF($H2403="","",TRIM(IF(COUNTIF(DMTK!$A$7:$A$250,$F2403)=0,"TK Nợ sai! ","")&amp;IF(COUNTIF(DMTK!$A$7:$A$250,$G2403)=0,"TK Có sai! ","")&amp;IF(N($H2403)&lt;=0,"Tiền phải &gt; 0! ","")&amp;IF($B2403="","Thiếu ngày! ","")&amp;IF(AND(OR(LEFT($F2403,3)="131",LEFT($G2403,3)="131",LEFT($F2403,3)="331",LEFT($G2403,3)="331"),$I2403=""),"Thiếu Mã ĐT! ","")&amp;IF(AND($I2403&lt;&gt;"",COUNTIF(DM_DT!$A$7:$A$306,$I2403)=0),"Mã ĐT chưa khai báo! ","")))</f>
        <v/>
      </c>
      <c r="M2403" s="117">
        <f>IF($H2403="","",IF(AND(OR(LEFT($F2403,3)="111",LEFT($F2403,3)="112",LEFT($F2403,3)="113"),OR(LEFT($G2403,3)="111",LEFT($G2403,3)="112",LEFT($G2403,3)="113")),"NB",IF(OR(LEFT($F2403,3)="111",LEFT($F2403,3)="112",LEFT($F2403,3)="113"),"THU",IF(OR(LEFT($G2403,3)="111",LEFT($G2403,3)="112",LEFT($G2403,3)="113"),"CHI",""))))</f>
        <v/>
      </c>
      <c r="N2403" s="117">
        <f>IF($M2403="THU",$G2403,IF($M2403="CHI",$F2403,""))</f>
        <v/>
      </c>
      <c r="O2403" s="117">
        <f>IF(OR($M2403="",$M2403="NB"),"",IF($J2403&lt;&gt;"",TEXT($J2403,"00"),IFERROR(VLOOKUP(LEFT($N2403,4),LCTT_MAP!$A$7:$C$66,IF($M2403="THU",2,3),FALSE()),IFERROR(VLOOKUP(LEFT($N2403,3),LCTT_MAP!$A$7:$C$66,IF($M2403="THU",2,3),FALSE()),IFERROR(VLOOKUP(LEFT($N2403,2),LCTT_MAP!$A$7:$C$66,IF($M2403="THU",2,3),FALSE()),IFERROR(VLOOKUP(LEFT($N2403,1),LCTT_MAP!$A$7:$C$66,IF($M2403="THU",2,3),FALSE()),IF($M2403="THU","06","07")))))))</f>
        <v/>
      </c>
      <c r="P2403" s="117">
        <f>P2402+IF(AND($H2403&lt;&gt;"",OR(LEFT($F2403,LEN(SC_TK))=SC_TK,LEFT($G2403,LEN(SC_TK))=SC_TK)),1,0)</f>
        <v/>
      </c>
    </row>
    <row r="2404" ht="15" customHeight="1" s="78">
      <c r="A2404" s="95">
        <f>IF($H2404="","",ROW()-6)</f>
        <v/>
      </c>
      <c r="B2404" s="114" t="n"/>
      <c r="C2404" s="102" t="n"/>
      <c r="D2404" s="114" t="n"/>
      <c r="E2404" s="103" t="n"/>
      <c r="F2404" s="102" t="n"/>
      <c r="G2404" s="102" t="n"/>
      <c r="H2404" s="115" t="n"/>
      <c r="I2404" s="102" t="n"/>
      <c r="J2404" s="102" t="n"/>
      <c r="K2404" s="103" t="n"/>
      <c r="L2404" s="116">
        <f>IF($H2404="","",TRIM(IF(COUNTIF(DMTK!$A$7:$A$250,$F2404)=0,"TK Nợ sai! ","")&amp;IF(COUNTIF(DMTK!$A$7:$A$250,$G2404)=0,"TK Có sai! ","")&amp;IF(N($H2404)&lt;=0,"Tiền phải &gt; 0! ","")&amp;IF($B2404="","Thiếu ngày! ","")&amp;IF(AND(OR(LEFT($F2404,3)="131",LEFT($G2404,3)="131",LEFT($F2404,3)="331",LEFT($G2404,3)="331"),$I2404=""),"Thiếu Mã ĐT! ","")&amp;IF(AND($I2404&lt;&gt;"",COUNTIF(DM_DT!$A$7:$A$306,$I2404)=0),"Mã ĐT chưa khai báo! ","")))</f>
        <v/>
      </c>
      <c r="M2404" s="117">
        <f>IF($H2404="","",IF(AND(OR(LEFT($F2404,3)="111",LEFT($F2404,3)="112",LEFT($F2404,3)="113"),OR(LEFT($G2404,3)="111",LEFT($G2404,3)="112",LEFT($G2404,3)="113")),"NB",IF(OR(LEFT($F2404,3)="111",LEFT($F2404,3)="112",LEFT($F2404,3)="113"),"THU",IF(OR(LEFT($G2404,3)="111",LEFT($G2404,3)="112",LEFT($G2404,3)="113"),"CHI",""))))</f>
        <v/>
      </c>
      <c r="N2404" s="117">
        <f>IF($M2404="THU",$G2404,IF($M2404="CHI",$F2404,""))</f>
        <v/>
      </c>
      <c r="O2404" s="117">
        <f>IF(OR($M2404="",$M2404="NB"),"",IF($J2404&lt;&gt;"",TEXT($J2404,"00"),IFERROR(VLOOKUP(LEFT($N2404,4),LCTT_MAP!$A$7:$C$66,IF($M2404="THU",2,3),FALSE()),IFERROR(VLOOKUP(LEFT($N2404,3),LCTT_MAP!$A$7:$C$66,IF($M2404="THU",2,3),FALSE()),IFERROR(VLOOKUP(LEFT($N2404,2),LCTT_MAP!$A$7:$C$66,IF($M2404="THU",2,3),FALSE()),IFERROR(VLOOKUP(LEFT($N2404,1),LCTT_MAP!$A$7:$C$66,IF($M2404="THU",2,3),FALSE()),IF($M2404="THU","06","07")))))))</f>
        <v/>
      </c>
      <c r="P2404" s="117">
        <f>P2403+IF(AND($H2404&lt;&gt;"",OR(LEFT($F2404,LEN(SC_TK))=SC_TK,LEFT($G2404,LEN(SC_TK))=SC_TK)),1,0)</f>
        <v/>
      </c>
    </row>
    <row r="2405" ht="15" customHeight="1" s="78">
      <c r="A2405" s="95">
        <f>IF($H2405="","",ROW()-6)</f>
        <v/>
      </c>
      <c r="B2405" s="114" t="n"/>
      <c r="C2405" s="102" t="n"/>
      <c r="D2405" s="114" t="n"/>
      <c r="E2405" s="103" t="n"/>
      <c r="F2405" s="102" t="n"/>
      <c r="G2405" s="102" t="n"/>
      <c r="H2405" s="115" t="n"/>
      <c r="I2405" s="102" t="n"/>
      <c r="J2405" s="102" t="n"/>
      <c r="K2405" s="103" t="n"/>
      <c r="L2405" s="116">
        <f>IF($H2405="","",TRIM(IF(COUNTIF(DMTK!$A$7:$A$250,$F2405)=0,"TK Nợ sai! ","")&amp;IF(COUNTIF(DMTK!$A$7:$A$250,$G2405)=0,"TK Có sai! ","")&amp;IF(N($H2405)&lt;=0,"Tiền phải &gt; 0! ","")&amp;IF($B2405="","Thiếu ngày! ","")&amp;IF(AND(OR(LEFT($F2405,3)="131",LEFT($G2405,3)="131",LEFT($F2405,3)="331",LEFT($G2405,3)="331"),$I2405=""),"Thiếu Mã ĐT! ","")&amp;IF(AND($I2405&lt;&gt;"",COUNTIF(DM_DT!$A$7:$A$306,$I2405)=0),"Mã ĐT chưa khai báo! ","")))</f>
        <v/>
      </c>
      <c r="M2405" s="117">
        <f>IF($H2405="","",IF(AND(OR(LEFT($F2405,3)="111",LEFT($F2405,3)="112",LEFT($F2405,3)="113"),OR(LEFT($G2405,3)="111",LEFT($G2405,3)="112",LEFT($G2405,3)="113")),"NB",IF(OR(LEFT($F2405,3)="111",LEFT($F2405,3)="112",LEFT($F2405,3)="113"),"THU",IF(OR(LEFT($G2405,3)="111",LEFT($G2405,3)="112",LEFT($G2405,3)="113"),"CHI",""))))</f>
        <v/>
      </c>
      <c r="N2405" s="117">
        <f>IF($M2405="THU",$G2405,IF($M2405="CHI",$F2405,""))</f>
        <v/>
      </c>
      <c r="O2405" s="117">
        <f>IF(OR($M2405="",$M2405="NB"),"",IF($J2405&lt;&gt;"",TEXT($J2405,"00"),IFERROR(VLOOKUP(LEFT($N2405,4),LCTT_MAP!$A$7:$C$66,IF($M2405="THU",2,3),FALSE()),IFERROR(VLOOKUP(LEFT($N2405,3),LCTT_MAP!$A$7:$C$66,IF($M2405="THU",2,3),FALSE()),IFERROR(VLOOKUP(LEFT($N2405,2),LCTT_MAP!$A$7:$C$66,IF($M2405="THU",2,3),FALSE()),IFERROR(VLOOKUP(LEFT($N2405,1),LCTT_MAP!$A$7:$C$66,IF($M2405="THU",2,3),FALSE()),IF($M2405="THU","06","07")))))))</f>
        <v/>
      </c>
      <c r="P2405" s="117">
        <f>P2404+IF(AND($H2405&lt;&gt;"",OR(LEFT($F2405,LEN(SC_TK))=SC_TK,LEFT($G2405,LEN(SC_TK))=SC_TK)),1,0)</f>
        <v/>
      </c>
    </row>
    <row r="2406" ht="15" customHeight="1" s="78">
      <c r="A2406" s="95">
        <f>IF($H2406="","",ROW()-6)</f>
        <v/>
      </c>
      <c r="B2406" s="114" t="n"/>
      <c r="C2406" s="102" t="n"/>
      <c r="D2406" s="114" t="n"/>
      <c r="E2406" s="103" t="n"/>
      <c r="F2406" s="102" t="n"/>
      <c r="G2406" s="102" t="n"/>
      <c r="H2406" s="115" t="n"/>
      <c r="I2406" s="102" t="n"/>
      <c r="J2406" s="102" t="n"/>
      <c r="K2406" s="103" t="n"/>
      <c r="L2406" s="116">
        <f>IF($H2406="","",TRIM(IF(COUNTIF(DMTK!$A$7:$A$250,$F2406)=0,"TK Nợ sai! ","")&amp;IF(COUNTIF(DMTK!$A$7:$A$250,$G2406)=0,"TK Có sai! ","")&amp;IF(N($H2406)&lt;=0,"Tiền phải &gt; 0! ","")&amp;IF($B2406="","Thiếu ngày! ","")&amp;IF(AND(OR(LEFT($F2406,3)="131",LEFT($G2406,3)="131",LEFT($F2406,3)="331",LEFT($G2406,3)="331"),$I2406=""),"Thiếu Mã ĐT! ","")&amp;IF(AND($I2406&lt;&gt;"",COUNTIF(DM_DT!$A$7:$A$306,$I2406)=0),"Mã ĐT chưa khai báo! ","")))</f>
        <v/>
      </c>
      <c r="M2406" s="117">
        <f>IF($H2406="","",IF(AND(OR(LEFT($F2406,3)="111",LEFT($F2406,3)="112",LEFT($F2406,3)="113"),OR(LEFT($G2406,3)="111",LEFT($G2406,3)="112",LEFT($G2406,3)="113")),"NB",IF(OR(LEFT($F2406,3)="111",LEFT($F2406,3)="112",LEFT($F2406,3)="113"),"THU",IF(OR(LEFT($G2406,3)="111",LEFT($G2406,3)="112",LEFT($G2406,3)="113"),"CHI",""))))</f>
        <v/>
      </c>
      <c r="N2406" s="117">
        <f>IF($M2406="THU",$G2406,IF($M2406="CHI",$F2406,""))</f>
        <v/>
      </c>
      <c r="O2406" s="117">
        <f>IF(OR($M2406="",$M2406="NB"),"",IF($J2406&lt;&gt;"",TEXT($J2406,"00"),IFERROR(VLOOKUP(LEFT($N2406,4),LCTT_MAP!$A$7:$C$66,IF($M2406="THU",2,3),FALSE()),IFERROR(VLOOKUP(LEFT($N2406,3),LCTT_MAP!$A$7:$C$66,IF($M2406="THU",2,3),FALSE()),IFERROR(VLOOKUP(LEFT($N2406,2),LCTT_MAP!$A$7:$C$66,IF($M2406="THU",2,3),FALSE()),IFERROR(VLOOKUP(LEFT($N2406,1),LCTT_MAP!$A$7:$C$66,IF($M2406="THU",2,3),FALSE()),IF($M2406="THU","06","07")))))))</f>
        <v/>
      </c>
      <c r="P2406" s="117">
        <f>P2405+IF(AND($H2406&lt;&gt;"",OR(LEFT($F2406,LEN(SC_TK))=SC_TK,LEFT($G2406,LEN(SC_TK))=SC_TK)),1,0)</f>
        <v/>
      </c>
    </row>
    <row r="2407" ht="15" customHeight="1" s="78">
      <c r="A2407" s="95">
        <f>IF($H2407="","",ROW()-6)</f>
        <v/>
      </c>
      <c r="B2407" s="114" t="n"/>
      <c r="C2407" s="102" t="n"/>
      <c r="D2407" s="114" t="n"/>
      <c r="E2407" s="103" t="n"/>
      <c r="F2407" s="102" t="n"/>
      <c r="G2407" s="102" t="n"/>
      <c r="H2407" s="115" t="n"/>
      <c r="I2407" s="102" t="n"/>
      <c r="J2407" s="102" t="n"/>
      <c r="K2407" s="103" t="n"/>
      <c r="L2407" s="116">
        <f>IF($H2407="","",TRIM(IF(COUNTIF(DMTK!$A$7:$A$250,$F2407)=0,"TK Nợ sai! ","")&amp;IF(COUNTIF(DMTK!$A$7:$A$250,$G2407)=0,"TK Có sai! ","")&amp;IF(N($H2407)&lt;=0,"Tiền phải &gt; 0! ","")&amp;IF($B2407="","Thiếu ngày! ","")&amp;IF(AND(OR(LEFT($F2407,3)="131",LEFT($G2407,3)="131",LEFT($F2407,3)="331",LEFT($G2407,3)="331"),$I2407=""),"Thiếu Mã ĐT! ","")&amp;IF(AND($I2407&lt;&gt;"",COUNTIF(DM_DT!$A$7:$A$306,$I2407)=0),"Mã ĐT chưa khai báo! ","")))</f>
        <v/>
      </c>
      <c r="M2407" s="117">
        <f>IF($H2407="","",IF(AND(OR(LEFT($F2407,3)="111",LEFT($F2407,3)="112",LEFT($F2407,3)="113"),OR(LEFT($G2407,3)="111",LEFT($G2407,3)="112",LEFT($G2407,3)="113")),"NB",IF(OR(LEFT($F2407,3)="111",LEFT($F2407,3)="112",LEFT($F2407,3)="113"),"THU",IF(OR(LEFT($G2407,3)="111",LEFT($G2407,3)="112",LEFT($G2407,3)="113"),"CHI",""))))</f>
        <v/>
      </c>
      <c r="N2407" s="117">
        <f>IF($M2407="THU",$G2407,IF($M2407="CHI",$F2407,""))</f>
        <v/>
      </c>
      <c r="O2407" s="117">
        <f>IF(OR($M2407="",$M2407="NB"),"",IF($J2407&lt;&gt;"",TEXT($J2407,"00"),IFERROR(VLOOKUP(LEFT($N2407,4),LCTT_MAP!$A$7:$C$66,IF($M2407="THU",2,3),FALSE()),IFERROR(VLOOKUP(LEFT($N2407,3),LCTT_MAP!$A$7:$C$66,IF($M2407="THU",2,3),FALSE()),IFERROR(VLOOKUP(LEFT($N2407,2),LCTT_MAP!$A$7:$C$66,IF($M2407="THU",2,3),FALSE()),IFERROR(VLOOKUP(LEFT($N2407,1),LCTT_MAP!$A$7:$C$66,IF($M2407="THU",2,3),FALSE()),IF($M2407="THU","06","07")))))))</f>
        <v/>
      </c>
      <c r="P2407" s="117">
        <f>P2406+IF(AND($H2407&lt;&gt;"",OR(LEFT($F2407,LEN(SC_TK))=SC_TK,LEFT($G2407,LEN(SC_TK))=SC_TK)),1,0)</f>
        <v/>
      </c>
    </row>
    <row r="2408" ht="15" customHeight="1" s="78">
      <c r="A2408" s="95">
        <f>IF($H2408="","",ROW()-6)</f>
        <v/>
      </c>
      <c r="B2408" s="114" t="n"/>
      <c r="C2408" s="102" t="n"/>
      <c r="D2408" s="114" t="n"/>
      <c r="E2408" s="103" t="n"/>
      <c r="F2408" s="102" t="n"/>
      <c r="G2408" s="102" t="n"/>
      <c r="H2408" s="115" t="n"/>
      <c r="I2408" s="102" t="n"/>
      <c r="J2408" s="102" t="n"/>
      <c r="K2408" s="103" t="n"/>
      <c r="L2408" s="116">
        <f>IF($H2408="","",TRIM(IF(COUNTIF(DMTK!$A$7:$A$250,$F2408)=0,"TK Nợ sai! ","")&amp;IF(COUNTIF(DMTK!$A$7:$A$250,$G2408)=0,"TK Có sai! ","")&amp;IF(N($H2408)&lt;=0,"Tiền phải &gt; 0! ","")&amp;IF($B2408="","Thiếu ngày! ","")&amp;IF(AND(OR(LEFT($F2408,3)="131",LEFT($G2408,3)="131",LEFT($F2408,3)="331",LEFT($G2408,3)="331"),$I2408=""),"Thiếu Mã ĐT! ","")&amp;IF(AND($I2408&lt;&gt;"",COUNTIF(DM_DT!$A$7:$A$306,$I2408)=0),"Mã ĐT chưa khai báo! ","")))</f>
        <v/>
      </c>
      <c r="M2408" s="117">
        <f>IF($H2408="","",IF(AND(OR(LEFT($F2408,3)="111",LEFT($F2408,3)="112",LEFT($F2408,3)="113"),OR(LEFT($G2408,3)="111",LEFT($G2408,3)="112",LEFT($G2408,3)="113")),"NB",IF(OR(LEFT($F2408,3)="111",LEFT($F2408,3)="112",LEFT($F2408,3)="113"),"THU",IF(OR(LEFT($G2408,3)="111",LEFT($G2408,3)="112",LEFT($G2408,3)="113"),"CHI",""))))</f>
        <v/>
      </c>
      <c r="N2408" s="117">
        <f>IF($M2408="THU",$G2408,IF($M2408="CHI",$F2408,""))</f>
        <v/>
      </c>
      <c r="O2408" s="117">
        <f>IF(OR($M2408="",$M2408="NB"),"",IF($J2408&lt;&gt;"",TEXT($J2408,"00"),IFERROR(VLOOKUP(LEFT($N2408,4),LCTT_MAP!$A$7:$C$66,IF($M2408="THU",2,3),FALSE()),IFERROR(VLOOKUP(LEFT($N2408,3),LCTT_MAP!$A$7:$C$66,IF($M2408="THU",2,3),FALSE()),IFERROR(VLOOKUP(LEFT($N2408,2),LCTT_MAP!$A$7:$C$66,IF($M2408="THU",2,3),FALSE()),IFERROR(VLOOKUP(LEFT($N2408,1),LCTT_MAP!$A$7:$C$66,IF($M2408="THU",2,3),FALSE()),IF($M2408="THU","06","07")))))))</f>
        <v/>
      </c>
      <c r="P2408" s="117">
        <f>P2407+IF(AND($H2408&lt;&gt;"",OR(LEFT($F2408,LEN(SC_TK))=SC_TK,LEFT($G2408,LEN(SC_TK))=SC_TK)),1,0)</f>
        <v/>
      </c>
    </row>
    <row r="2409" ht="15" customHeight="1" s="78">
      <c r="A2409" s="95">
        <f>IF($H2409="","",ROW()-6)</f>
        <v/>
      </c>
      <c r="B2409" s="114" t="n"/>
      <c r="C2409" s="102" t="n"/>
      <c r="D2409" s="114" t="n"/>
      <c r="E2409" s="103" t="n"/>
      <c r="F2409" s="102" t="n"/>
      <c r="G2409" s="102" t="n"/>
      <c r="H2409" s="115" t="n"/>
      <c r="I2409" s="102" t="n"/>
      <c r="J2409" s="102" t="n"/>
      <c r="K2409" s="103" t="n"/>
      <c r="L2409" s="116">
        <f>IF($H2409="","",TRIM(IF(COUNTIF(DMTK!$A$7:$A$250,$F2409)=0,"TK Nợ sai! ","")&amp;IF(COUNTIF(DMTK!$A$7:$A$250,$G2409)=0,"TK Có sai! ","")&amp;IF(N($H2409)&lt;=0,"Tiền phải &gt; 0! ","")&amp;IF($B2409="","Thiếu ngày! ","")&amp;IF(AND(OR(LEFT($F2409,3)="131",LEFT($G2409,3)="131",LEFT($F2409,3)="331",LEFT($G2409,3)="331"),$I2409=""),"Thiếu Mã ĐT! ","")&amp;IF(AND($I2409&lt;&gt;"",COUNTIF(DM_DT!$A$7:$A$306,$I2409)=0),"Mã ĐT chưa khai báo! ","")))</f>
        <v/>
      </c>
      <c r="M2409" s="117">
        <f>IF($H2409="","",IF(AND(OR(LEFT($F2409,3)="111",LEFT($F2409,3)="112",LEFT($F2409,3)="113"),OR(LEFT($G2409,3)="111",LEFT($G2409,3)="112",LEFT($G2409,3)="113")),"NB",IF(OR(LEFT($F2409,3)="111",LEFT($F2409,3)="112",LEFT($F2409,3)="113"),"THU",IF(OR(LEFT($G2409,3)="111",LEFT($G2409,3)="112",LEFT($G2409,3)="113"),"CHI",""))))</f>
        <v/>
      </c>
      <c r="N2409" s="117">
        <f>IF($M2409="THU",$G2409,IF($M2409="CHI",$F2409,""))</f>
        <v/>
      </c>
      <c r="O2409" s="117">
        <f>IF(OR($M2409="",$M2409="NB"),"",IF($J2409&lt;&gt;"",TEXT($J2409,"00"),IFERROR(VLOOKUP(LEFT($N2409,4),LCTT_MAP!$A$7:$C$66,IF($M2409="THU",2,3),FALSE()),IFERROR(VLOOKUP(LEFT($N2409,3),LCTT_MAP!$A$7:$C$66,IF($M2409="THU",2,3),FALSE()),IFERROR(VLOOKUP(LEFT($N2409,2),LCTT_MAP!$A$7:$C$66,IF($M2409="THU",2,3),FALSE()),IFERROR(VLOOKUP(LEFT($N2409,1),LCTT_MAP!$A$7:$C$66,IF($M2409="THU",2,3),FALSE()),IF($M2409="THU","06","07")))))))</f>
        <v/>
      </c>
      <c r="P2409" s="117">
        <f>P2408+IF(AND($H2409&lt;&gt;"",OR(LEFT($F2409,LEN(SC_TK))=SC_TK,LEFT($G2409,LEN(SC_TK))=SC_TK)),1,0)</f>
        <v/>
      </c>
    </row>
    <row r="2410" ht="15" customHeight="1" s="78">
      <c r="A2410" s="95">
        <f>IF($H2410="","",ROW()-6)</f>
        <v/>
      </c>
      <c r="B2410" s="114" t="n"/>
      <c r="C2410" s="102" t="n"/>
      <c r="D2410" s="114" t="n"/>
      <c r="E2410" s="103" t="n"/>
      <c r="F2410" s="102" t="n"/>
      <c r="G2410" s="102" t="n"/>
      <c r="H2410" s="115" t="n"/>
      <c r="I2410" s="102" t="n"/>
      <c r="J2410" s="102" t="n"/>
      <c r="K2410" s="103" t="n"/>
      <c r="L2410" s="116">
        <f>IF($H2410="","",TRIM(IF(COUNTIF(DMTK!$A$7:$A$250,$F2410)=0,"TK Nợ sai! ","")&amp;IF(COUNTIF(DMTK!$A$7:$A$250,$G2410)=0,"TK Có sai! ","")&amp;IF(N($H2410)&lt;=0,"Tiền phải &gt; 0! ","")&amp;IF($B2410="","Thiếu ngày! ","")&amp;IF(AND(OR(LEFT($F2410,3)="131",LEFT($G2410,3)="131",LEFT($F2410,3)="331",LEFT($G2410,3)="331"),$I2410=""),"Thiếu Mã ĐT! ","")&amp;IF(AND($I2410&lt;&gt;"",COUNTIF(DM_DT!$A$7:$A$306,$I2410)=0),"Mã ĐT chưa khai báo! ","")))</f>
        <v/>
      </c>
      <c r="M2410" s="117">
        <f>IF($H2410="","",IF(AND(OR(LEFT($F2410,3)="111",LEFT($F2410,3)="112",LEFT($F2410,3)="113"),OR(LEFT($G2410,3)="111",LEFT($G2410,3)="112",LEFT($G2410,3)="113")),"NB",IF(OR(LEFT($F2410,3)="111",LEFT($F2410,3)="112",LEFT($F2410,3)="113"),"THU",IF(OR(LEFT($G2410,3)="111",LEFT($G2410,3)="112",LEFT($G2410,3)="113"),"CHI",""))))</f>
        <v/>
      </c>
      <c r="N2410" s="117">
        <f>IF($M2410="THU",$G2410,IF($M2410="CHI",$F2410,""))</f>
        <v/>
      </c>
      <c r="O2410" s="117">
        <f>IF(OR($M2410="",$M2410="NB"),"",IF($J2410&lt;&gt;"",TEXT($J2410,"00"),IFERROR(VLOOKUP(LEFT($N2410,4),LCTT_MAP!$A$7:$C$66,IF($M2410="THU",2,3),FALSE()),IFERROR(VLOOKUP(LEFT($N2410,3),LCTT_MAP!$A$7:$C$66,IF($M2410="THU",2,3),FALSE()),IFERROR(VLOOKUP(LEFT($N2410,2),LCTT_MAP!$A$7:$C$66,IF($M2410="THU",2,3),FALSE()),IFERROR(VLOOKUP(LEFT($N2410,1),LCTT_MAP!$A$7:$C$66,IF($M2410="THU",2,3),FALSE()),IF($M2410="THU","06","07")))))))</f>
        <v/>
      </c>
      <c r="P2410" s="117">
        <f>P2409+IF(AND($H2410&lt;&gt;"",OR(LEFT($F2410,LEN(SC_TK))=SC_TK,LEFT($G2410,LEN(SC_TK))=SC_TK)),1,0)</f>
        <v/>
      </c>
    </row>
    <row r="2411" ht="15" customHeight="1" s="78">
      <c r="A2411" s="95">
        <f>IF($H2411="","",ROW()-6)</f>
        <v/>
      </c>
      <c r="B2411" s="114" t="n"/>
      <c r="C2411" s="102" t="n"/>
      <c r="D2411" s="114" t="n"/>
      <c r="E2411" s="103" t="n"/>
      <c r="F2411" s="102" t="n"/>
      <c r="G2411" s="102" t="n"/>
      <c r="H2411" s="115" t="n"/>
      <c r="I2411" s="102" t="n"/>
      <c r="J2411" s="102" t="n"/>
      <c r="K2411" s="103" t="n"/>
      <c r="L2411" s="116">
        <f>IF($H2411="","",TRIM(IF(COUNTIF(DMTK!$A$7:$A$250,$F2411)=0,"TK Nợ sai! ","")&amp;IF(COUNTIF(DMTK!$A$7:$A$250,$G2411)=0,"TK Có sai! ","")&amp;IF(N($H2411)&lt;=0,"Tiền phải &gt; 0! ","")&amp;IF($B2411="","Thiếu ngày! ","")&amp;IF(AND(OR(LEFT($F2411,3)="131",LEFT($G2411,3)="131",LEFT($F2411,3)="331",LEFT($G2411,3)="331"),$I2411=""),"Thiếu Mã ĐT! ","")&amp;IF(AND($I2411&lt;&gt;"",COUNTIF(DM_DT!$A$7:$A$306,$I2411)=0),"Mã ĐT chưa khai báo! ","")))</f>
        <v/>
      </c>
      <c r="M2411" s="117">
        <f>IF($H2411="","",IF(AND(OR(LEFT($F2411,3)="111",LEFT($F2411,3)="112",LEFT($F2411,3)="113"),OR(LEFT($G2411,3)="111",LEFT($G2411,3)="112",LEFT($G2411,3)="113")),"NB",IF(OR(LEFT($F2411,3)="111",LEFT($F2411,3)="112",LEFT($F2411,3)="113"),"THU",IF(OR(LEFT($G2411,3)="111",LEFT($G2411,3)="112",LEFT($G2411,3)="113"),"CHI",""))))</f>
        <v/>
      </c>
      <c r="N2411" s="117">
        <f>IF($M2411="THU",$G2411,IF($M2411="CHI",$F2411,""))</f>
        <v/>
      </c>
      <c r="O2411" s="117">
        <f>IF(OR($M2411="",$M2411="NB"),"",IF($J2411&lt;&gt;"",TEXT($J2411,"00"),IFERROR(VLOOKUP(LEFT($N2411,4),LCTT_MAP!$A$7:$C$66,IF($M2411="THU",2,3),FALSE()),IFERROR(VLOOKUP(LEFT($N2411,3),LCTT_MAP!$A$7:$C$66,IF($M2411="THU",2,3),FALSE()),IFERROR(VLOOKUP(LEFT($N2411,2),LCTT_MAP!$A$7:$C$66,IF($M2411="THU",2,3),FALSE()),IFERROR(VLOOKUP(LEFT($N2411,1),LCTT_MAP!$A$7:$C$66,IF($M2411="THU",2,3),FALSE()),IF($M2411="THU","06","07")))))))</f>
        <v/>
      </c>
      <c r="P2411" s="117">
        <f>P2410+IF(AND($H2411&lt;&gt;"",OR(LEFT($F2411,LEN(SC_TK))=SC_TK,LEFT($G2411,LEN(SC_TK))=SC_TK)),1,0)</f>
        <v/>
      </c>
    </row>
    <row r="2412" ht="15" customHeight="1" s="78">
      <c r="A2412" s="95">
        <f>IF($H2412="","",ROW()-6)</f>
        <v/>
      </c>
      <c r="B2412" s="114" t="n"/>
      <c r="C2412" s="102" t="n"/>
      <c r="D2412" s="114" t="n"/>
      <c r="E2412" s="103" t="n"/>
      <c r="F2412" s="102" t="n"/>
      <c r="G2412" s="102" t="n"/>
      <c r="H2412" s="115" t="n"/>
      <c r="I2412" s="102" t="n"/>
      <c r="J2412" s="102" t="n"/>
      <c r="K2412" s="103" t="n"/>
      <c r="L2412" s="116">
        <f>IF($H2412="","",TRIM(IF(COUNTIF(DMTK!$A$7:$A$250,$F2412)=0,"TK Nợ sai! ","")&amp;IF(COUNTIF(DMTK!$A$7:$A$250,$G2412)=0,"TK Có sai! ","")&amp;IF(N($H2412)&lt;=0,"Tiền phải &gt; 0! ","")&amp;IF($B2412="","Thiếu ngày! ","")&amp;IF(AND(OR(LEFT($F2412,3)="131",LEFT($G2412,3)="131",LEFT($F2412,3)="331",LEFT($G2412,3)="331"),$I2412=""),"Thiếu Mã ĐT! ","")&amp;IF(AND($I2412&lt;&gt;"",COUNTIF(DM_DT!$A$7:$A$306,$I2412)=0),"Mã ĐT chưa khai báo! ","")))</f>
        <v/>
      </c>
      <c r="M2412" s="117">
        <f>IF($H2412="","",IF(AND(OR(LEFT($F2412,3)="111",LEFT($F2412,3)="112",LEFT($F2412,3)="113"),OR(LEFT($G2412,3)="111",LEFT($G2412,3)="112",LEFT($G2412,3)="113")),"NB",IF(OR(LEFT($F2412,3)="111",LEFT($F2412,3)="112",LEFT($F2412,3)="113"),"THU",IF(OR(LEFT($G2412,3)="111",LEFT($G2412,3)="112",LEFT($G2412,3)="113"),"CHI",""))))</f>
        <v/>
      </c>
      <c r="N2412" s="117">
        <f>IF($M2412="THU",$G2412,IF($M2412="CHI",$F2412,""))</f>
        <v/>
      </c>
      <c r="O2412" s="117">
        <f>IF(OR($M2412="",$M2412="NB"),"",IF($J2412&lt;&gt;"",TEXT($J2412,"00"),IFERROR(VLOOKUP(LEFT($N2412,4),LCTT_MAP!$A$7:$C$66,IF($M2412="THU",2,3),FALSE()),IFERROR(VLOOKUP(LEFT($N2412,3),LCTT_MAP!$A$7:$C$66,IF($M2412="THU",2,3),FALSE()),IFERROR(VLOOKUP(LEFT($N2412,2),LCTT_MAP!$A$7:$C$66,IF($M2412="THU",2,3),FALSE()),IFERROR(VLOOKUP(LEFT($N2412,1),LCTT_MAP!$A$7:$C$66,IF($M2412="THU",2,3),FALSE()),IF($M2412="THU","06","07")))))))</f>
        <v/>
      </c>
      <c r="P2412" s="117">
        <f>P2411+IF(AND($H2412&lt;&gt;"",OR(LEFT($F2412,LEN(SC_TK))=SC_TK,LEFT($G2412,LEN(SC_TK))=SC_TK)),1,0)</f>
        <v/>
      </c>
    </row>
    <row r="2413" ht="15" customHeight="1" s="78">
      <c r="A2413" s="95">
        <f>IF($H2413="","",ROW()-6)</f>
        <v/>
      </c>
      <c r="B2413" s="114" t="n"/>
      <c r="C2413" s="102" t="n"/>
      <c r="D2413" s="114" t="n"/>
      <c r="E2413" s="103" t="n"/>
      <c r="F2413" s="102" t="n"/>
      <c r="G2413" s="102" t="n"/>
      <c r="H2413" s="115" t="n"/>
      <c r="I2413" s="102" t="n"/>
      <c r="J2413" s="102" t="n"/>
      <c r="K2413" s="103" t="n"/>
      <c r="L2413" s="116">
        <f>IF($H2413="","",TRIM(IF(COUNTIF(DMTK!$A$7:$A$250,$F2413)=0,"TK Nợ sai! ","")&amp;IF(COUNTIF(DMTK!$A$7:$A$250,$G2413)=0,"TK Có sai! ","")&amp;IF(N($H2413)&lt;=0,"Tiền phải &gt; 0! ","")&amp;IF($B2413="","Thiếu ngày! ","")&amp;IF(AND(OR(LEFT($F2413,3)="131",LEFT($G2413,3)="131",LEFT($F2413,3)="331",LEFT($G2413,3)="331"),$I2413=""),"Thiếu Mã ĐT! ","")&amp;IF(AND($I2413&lt;&gt;"",COUNTIF(DM_DT!$A$7:$A$306,$I2413)=0),"Mã ĐT chưa khai báo! ","")))</f>
        <v/>
      </c>
      <c r="M2413" s="117">
        <f>IF($H2413="","",IF(AND(OR(LEFT($F2413,3)="111",LEFT($F2413,3)="112",LEFT($F2413,3)="113"),OR(LEFT($G2413,3)="111",LEFT($G2413,3)="112",LEFT($G2413,3)="113")),"NB",IF(OR(LEFT($F2413,3)="111",LEFT($F2413,3)="112",LEFT($F2413,3)="113"),"THU",IF(OR(LEFT($G2413,3)="111",LEFT($G2413,3)="112",LEFT($G2413,3)="113"),"CHI",""))))</f>
        <v/>
      </c>
      <c r="N2413" s="117">
        <f>IF($M2413="THU",$G2413,IF($M2413="CHI",$F2413,""))</f>
        <v/>
      </c>
      <c r="O2413" s="117">
        <f>IF(OR($M2413="",$M2413="NB"),"",IF($J2413&lt;&gt;"",TEXT($J2413,"00"),IFERROR(VLOOKUP(LEFT($N2413,4),LCTT_MAP!$A$7:$C$66,IF($M2413="THU",2,3),FALSE()),IFERROR(VLOOKUP(LEFT($N2413,3),LCTT_MAP!$A$7:$C$66,IF($M2413="THU",2,3),FALSE()),IFERROR(VLOOKUP(LEFT($N2413,2),LCTT_MAP!$A$7:$C$66,IF($M2413="THU",2,3),FALSE()),IFERROR(VLOOKUP(LEFT($N2413,1),LCTT_MAP!$A$7:$C$66,IF($M2413="THU",2,3),FALSE()),IF($M2413="THU","06","07")))))))</f>
        <v/>
      </c>
      <c r="P2413" s="117">
        <f>P2412+IF(AND($H2413&lt;&gt;"",OR(LEFT($F2413,LEN(SC_TK))=SC_TK,LEFT($G2413,LEN(SC_TK))=SC_TK)),1,0)</f>
        <v/>
      </c>
    </row>
    <row r="2414" ht="15" customHeight="1" s="78">
      <c r="A2414" s="95">
        <f>IF($H2414="","",ROW()-6)</f>
        <v/>
      </c>
      <c r="B2414" s="114" t="n"/>
      <c r="C2414" s="102" t="n"/>
      <c r="D2414" s="114" t="n"/>
      <c r="E2414" s="103" t="n"/>
      <c r="F2414" s="102" t="n"/>
      <c r="G2414" s="102" t="n"/>
      <c r="H2414" s="115" t="n"/>
      <c r="I2414" s="102" t="n"/>
      <c r="J2414" s="102" t="n"/>
      <c r="K2414" s="103" t="n"/>
      <c r="L2414" s="116">
        <f>IF($H2414="","",TRIM(IF(COUNTIF(DMTK!$A$7:$A$250,$F2414)=0,"TK Nợ sai! ","")&amp;IF(COUNTIF(DMTK!$A$7:$A$250,$G2414)=0,"TK Có sai! ","")&amp;IF(N($H2414)&lt;=0,"Tiền phải &gt; 0! ","")&amp;IF($B2414="","Thiếu ngày! ","")&amp;IF(AND(OR(LEFT($F2414,3)="131",LEFT($G2414,3)="131",LEFT($F2414,3)="331",LEFT($G2414,3)="331"),$I2414=""),"Thiếu Mã ĐT! ","")&amp;IF(AND($I2414&lt;&gt;"",COUNTIF(DM_DT!$A$7:$A$306,$I2414)=0),"Mã ĐT chưa khai báo! ","")))</f>
        <v/>
      </c>
      <c r="M2414" s="117">
        <f>IF($H2414="","",IF(AND(OR(LEFT($F2414,3)="111",LEFT($F2414,3)="112",LEFT($F2414,3)="113"),OR(LEFT($G2414,3)="111",LEFT($G2414,3)="112",LEFT($G2414,3)="113")),"NB",IF(OR(LEFT($F2414,3)="111",LEFT($F2414,3)="112",LEFT($F2414,3)="113"),"THU",IF(OR(LEFT($G2414,3)="111",LEFT($G2414,3)="112",LEFT($G2414,3)="113"),"CHI",""))))</f>
        <v/>
      </c>
      <c r="N2414" s="117">
        <f>IF($M2414="THU",$G2414,IF($M2414="CHI",$F2414,""))</f>
        <v/>
      </c>
      <c r="O2414" s="117">
        <f>IF(OR($M2414="",$M2414="NB"),"",IF($J2414&lt;&gt;"",TEXT($J2414,"00"),IFERROR(VLOOKUP(LEFT($N2414,4),LCTT_MAP!$A$7:$C$66,IF($M2414="THU",2,3),FALSE()),IFERROR(VLOOKUP(LEFT($N2414,3),LCTT_MAP!$A$7:$C$66,IF($M2414="THU",2,3),FALSE()),IFERROR(VLOOKUP(LEFT($N2414,2),LCTT_MAP!$A$7:$C$66,IF($M2414="THU",2,3),FALSE()),IFERROR(VLOOKUP(LEFT($N2414,1),LCTT_MAP!$A$7:$C$66,IF($M2414="THU",2,3),FALSE()),IF($M2414="THU","06","07")))))))</f>
        <v/>
      </c>
      <c r="P2414" s="117">
        <f>P2413+IF(AND($H2414&lt;&gt;"",OR(LEFT($F2414,LEN(SC_TK))=SC_TK,LEFT($G2414,LEN(SC_TK))=SC_TK)),1,0)</f>
        <v/>
      </c>
    </row>
    <row r="2415" ht="15" customHeight="1" s="78">
      <c r="A2415" s="95">
        <f>IF($H2415="","",ROW()-6)</f>
        <v/>
      </c>
      <c r="B2415" s="114" t="n"/>
      <c r="C2415" s="102" t="n"/>
      <c r="D2415" s="114" t="n"/>
      <c r="E2415" s="103" t="n"/>
      <c r="F2415" s="102" t="n"/>
      <c r="G2415" s="102" t="n"/>
      <c r="H2415" s="115" t="n"/>
      <c r="I2415" s="102" t="n"/>
      <c r="J2415" s="102" t="n"/>
      <c r="K2415" s="103" t="n"/>
      <c r="L2415" s="116">
        <f>IF($H2415="","",TRIM(IF(COUNTIF(DMTK!$A$7:$A$250,$F2415)=0,"TK Nợ sai! ","")&amp;IF(COUNTIF(DMTK!$A$7:$A$250,$G2415)=0,"TK Có sai! ","")&amp;IF(N($H2415)&lt;=0,"Tiền phải &gt; 0! ","")&amp;IF($B2415="","Thiếu ngày! ","")&amp;IF(AND(OR(LEFT($F2415,3)="131",LEFT($G2415,3)="131",LEFT($F2415,3)="331",LEFT($G2415,3)="331"),$I2415=""),"Thiếu Mã ĐT! ","")&amp;IF(AND($I2415&lt;&gt;"",COUNTIF(DM_DT!$A$7:$A$306,$I2415)=0),"Mã ĐT chưa khai báo! ","")))</f>
        <v/>
      </c>
      <c r="M2415" s="117">
        <f>IF($H2415="","",IF(AND(OR(LEFT($F2415,3)="111",LEFT($F2415,3)="112",LEFT($F2415,3)="113"),OR(LEFT($G2415,3)="111",LEFT($G2415,3)="112",LEFT($G2415,3)="113")),"NB",IF(OR(LEFT($F2415,3)="111",LEFT($F2415,3)="112",LEFT($F2415,3)="113"),"THU",IF(OR(LEFT($G2415,3)="111",LEFT($G2415,3)="112",LEFT($G2415,3)="113"),"CHI",""))))</f>
        <v/>
      </c>
      <c r="N2415" s="117">
        <f>IF($M2415="THU",$G2415,IF($M2415="CHI",$F2415,""))</f>
        <v/>
      </c>
      <c r="O2415" s="117">
        <f>IF(OR($M2415="",$M2415="NB"),"",IF($J2415&lt;&gt;"",TEXT($J2415,"00"),IFERROR(VLOOKUP(LEFT($N2415,4),LCTT_MAP!$A$7:$C$66,IF($M2415="THU",2,3),FALSE()),IFERROR(VLOOKUP(LEFT($N2415,3),LCTT_MAP!$A$7:$C$66,IF($M2415="THU",2,3),FALSE()),IFERROR(VLOOKUP(LEFT($N2415,2),LCTT_MAP!$A$7:$C$66,IF($M2415="THU",2,3),FALSE()),IFERROR(VLOOKUP(LEFT($N2415,1),LCTT_MAP!$A$7:$C$66,IF($M2415="THU",2,3),FALSE()),IF($M2415="THU","06","07")))))))</f>
        <v/>
      </c>
      <c r="P2415" s="117">
        <f>P2414+IF(AND($H2415&lt;&gt;"",OR(LEFT($F2415,LEN(SC_TK))=SC_TK,LEFT($G2415,LEN(SC_TK))=SC_TK)),1,0)</f>
        <v/>
      </c>
    </row>
    <row r="2416" ht="15" customHeight="1" s="78">
      <c r="A2416" s="95">
        <f>IF($H2416="","",ROW()-6)</f>
        <v/>
      </c>
      <c r="B2416" s="114" t="n"/>
      <c r="C2416" s="102" t="n"/>
      <c r="D2416" s="114" t="n"/>
      <c r="E2416" s="103" t="n"/>
      <c r="F2416" s="102" t="n"/>
      <c r="G2416" s="102" t="n"/>
      <c r="H2416" s="115" t="n"/>
      <c r="I2416" s="102" t="n"/>
      <c r="J2416" s="102" t="n"/>
      <c r="K2416" s="103" t="n"/>
      <c r="L2416" s="116">
        <f>IF($H2416="","",TRIM(IF(COUNTIF(DMTK!$A$7:$A$250,$F2416)=0,"TK Nợ sai! ","")&amp;IF(COUNTIF(DMTK!$A$7:$A$250,$G2416)=0,"TK Có sai! ","")&amp;IF(N($H2416)&lt;=0,"Tiền phải &gt; 0! ","")&amp;IF($B2416="","Thiếu ngày! ","")&amp;IF(AND(OR(LEFT($F2416,3)="131",LEFT($G2416,3)="131",LEFT($F2416,3)="331",LEFT($G2416,3)="331"),$I2416=""),"Thiếu Mã ĐT! ","")&amp;IF(AND($I2416&lt;&gt;"",COUNTIF(DM_DT!$A$7:$A$306,$I2416)=0),"Mã ĐT chưa khai báo! ","")))</f>
        <v/>
      </c>
      <c r="M2416" s="117">
        <f>IF($H2416="","",IF(AND(OR(LEFT($F2416,3)="111",LEFT($F2416,3)="112",LEFT($F2416,3)="113"),OR(LEFT($G2416,3)="111",LEFT($G2416,3)="112",LEFT($G2416,3)="113")),"NB",IF(OR(LEFT($F2416,3)="111",LEFT($F2416,3)="112",LEFT($F2416,3)="113"),"THU",IF(OR(LEFT($G2416,3)="111",LEFT($G2416,3)="112",LEFT($G2416,3)="113"),"CHI",""))))</f>
        <v/>
      </c>
      <c r="N2416" s="117">
        <f>IF($M2416="THU",$G2416,IF($M2416="CHI",$F2416,""))</f>
        <v/>
      </c>
      <c r="O2416" s="117">
        <f>IF(OR($M2416="",$M2416="NB"),"",IF($J2416&lt;&gt;"",TEXT($J2416,"00"),IFERROR(VLOOKUP(LEFT($N2416,4),LCTT_MAP!$A$7:$C$66,IF($M2416="THU",2,3),FALSE()),IFERROR(VLOOKUP(LEFT($N2416,3),LCTT_MAP!$A$7:$C$66,IF($M2416="THU",2,3),FALSE()),IFERROR(VLOOKUP(LEFT($N2416,2),LCTT_MAP!$A$7:$C$66,IF($M2416="THU",2,3),FALSE()),IFERROR(VLOOKUP(LEFT($N2416,1),LCTT_MAP!$A$7:$C$66,IF($M2416="THU",2,3),FALSE()),IF($M2416="THU","06","07")))))))</f>
        <v/>
      </c>
      <c r="P2416" s="117">
        <f>P2415+IF(AND($H2416&lt;&gt;"",OR(LEFT($F2416,LEN(SC_TK))=SC_TK,LEFT($G2416,LEN(SC_TK))=SC_TK)),1,0)</f>
        <v/>
      </c>
    </row>
    <row r="2417" ht="15" customHeight="1" s="78">
      <c r="A2417" s="95">
        <f>IF($H2417="","",ROW()-6)</f>
        <v/>
      </c>
      <c r="B2417" s="114" t="n"/>
      <c r="C2417" s="102" t="n"/>
      <c r="D2417" s="114" t="n"/>
      <c r="E2417" s="103" t="n"/>
      <c r="F2417" s="102" t="n"/>
      <c r="G2417" s="102" t="n"/>
      <c r="H2417" s="115" t="n"/>
      <c r="I2417" s="102" t="n"/>
      <c r="J2417" s="102" t="n"/>
      <c r="K2417" s="103" t="n"/>
      <c r="L2417" s="116">
        <f>IF($H2417="","",TRIM(IF(COUNTIF(DMTK!$A$7:$A$250,$F2417)=0,"TK Nợ sai! ","")&amp;IF(COUNTIF(DMTK!$A$7:$A$250,$G2417)=0,"TK Có sai! ","")&amp;IF(N($H2417)&lt;=0,"Tiền phải &gt; 0! ","")&amp;IF($B2417="","Thiếu ngày! ","")&amp;IF(AND(OR(LEFT($F2417,3)="131",LEFT($G2417,3)="131",LEFT($F2417,3)="331",LEFT($G2417,3)="331"),$I2417=""),"Thiếu Mã ĐT! ","")&amp;IF(AND($I2417&lt;&gt;"",COUNTIF(DM_DT!$A$7:$A$306,$I2417)=0),"Mã ĐT chưa khai báo! ","")))</f>
        <v/>
      </c>
      <c r="M2417" s="117">
        <f>IF($H2417="","",IF(AND(OR(LEFT($F2417,3)="111",LEFT($F2417,3)="112",LEFT($F2417,3)="113"),OR(LEFT($G2417,3)="111",LEFT($G2417,3)="112",LEFT($G2417,3)="113")),"NB",IF(OR(LEFT($F2417,3)="111",LEFT($F2417,3)="112",LEFT($F2417,3)="113"),"THU",IF(OR(LEFT($G2417,3)="111",LEFT($G2417,3)="112",LEFT($G2417,3)="113"),"CHI",""))))</f>
        <v/>
      </c>
      <c r="N2417" s="117">
        <f>IF($M2417="THU",$G2417,IF($M2417="CHI",$F2417,""))</f>
        <v/>
      </c>
      <c r="O2417" s="117">
        <f>IF(OR($M2417="",$M2417="NB"),"",IF($J2417&lt;&gt;"",TEXT($J2417,"00"),IFERROR(VLOOKUP(LEFT($N2417,4),LCTT_MAP!$A$7:$C$66,IF($M2417="THU",2,3),FALSE()),IFERROR(VLOOKUP(LEFT($N2417,3),LCTT_MAP!$A$7:$C$66,IF($M2417="THU",2,3),FALSE()),IFERROR(VLOOKUP(LEFT($N2417,2),LCTT_MAP!$A$7:$C$66,IF($M2417="THU",2,3),FALSE()),IFERROR(VLOOKUP(LEFT($N2417,1),LCTT_MAP!$A$7:$C$66,IF($M2417="THU",2,3),FALSE()),IF($M2417="THU","06","07")))))))</f>
        <v/>
      </c>
      <c r="P2417" s="117">
        <f>P2416+IF(AND($H2417&lt;&gt;"",OR(LEFT($F2417,LEN(SC_TK))=SC_TK,LEFT($G2417,LEN(SC_TK))=SC_TK)),1,0)</f>
        <v/>
      </c>
    </row>
    <row r="2418" ht="15" customHeight="1" s="78">
      <c r="A2418" s="95">
        <f>IF($H2418="","",ROW()-6)</f>
        <v/>
      </c>
      <c r="B2418" s="114" t="n"/>
      <c r="C2418" s="102" t="n"/>
      <c r="D2418" s="114" t="n"/>
      <c r="E2418" s="103" t="n"/>
      <c r="F2418" s="102" t="n"/>
      <c r="G2418" s="102" t="n"/>
      <c r="H2418" s="115" t="n"/>
      <c r="I2418" s="102" t="n"/>
      <c r="J2418" s="102" t="n"/>
      <c r="K2418" s="103" t="n"/>
      <c r="L2418" s="116">
        <f>IF($H2418="","",TRIM(IF(COUNTIF(DMTK!$A$7:$A$250,$F2418)=0,"TK Nợ sai! ","")&amp;IF(COUNTIF(DMTK!$A$7:$A$250,$G2418)=0,"TK Có sai! ","")&amp;IF(N($H2418)&lt;=0,"Tiền phải &gt; 0! ","")&amp;IF($B2418="","Thiếu ngày! ","")&amp;IF(AND(OR(LEFT($F2418,3)="131",LEFT($G2418,3)="131",LEFT($F2418,3)="331",LEFT($G2418,3)="331"),$I2418=""),"Thiếu Mã ĐT! ","")&amp;IF(AND($I2418&lt;&gt;"",COUNTIF(DM_DT!$A$7:$A$306,$I2418)=0),"Mã ĐT chưa khai báo! ","")))</f>
        <v/>
      </c>
      <c r="M2418" s="117">
        <f>IF($H2418="","",IF(AND(OR(LEFT($F2418,3)="111",LEFT($F2418,3)="112",LEFT($F2418,3)="113"),OR(LEFT($G2418,3)="111",LEFT($G2418,3)="112",LEFT($G2418,3)="113")),"NB",IF(OR(LEFT($F2418,3)="111",LEFT($F2418,3)="112",LEFT($F2418,3)="113"),"THU",IF(OR(LEFT($G2418,3)="111",LEFT($G2418,3)="112",LEFT($G2418,3)="113"),"CHI",""))))</f>
        <v/>
      </c>
      <c r="N2418" s="117">
        <f>IF($M2418="THU",$G2418,IF($M2418="CHI",$F2418,""))</f>
        <v/>
      </c>
      <c r="O2418" s="117">
        <f>IF(OR($M2418="",$M2418="NB"),"",IF($J2418&lt;&gt;"",TEXT($J2418,"00"),IFERROR(VLOOKUP(LEFT($N2418,4),LCTT_MAP!$A$7:$C$66,IF($M2418="THU",2,3),FALSE()),IFERROR(VLOOKUP(LEFT($N2418,3),LCTT_MAP!$A$7:$C$66,IF($M2418="THU",2,3),FALSE()),IFERROR(VLOOKUP(LEFT($N2418,2),LCTT_MAP!$A$7:$C$66,IF($M2418="THU",2,3),FALSE()),IFERROR(VLOOKUP(LEFT($N2418,1),LCTT_MAP!$A$7:$C$66,IF($M2418="THU",2,3),FALSE()),IF($M2418="THU","06","07")))))))</f>
        <v/>
      </c>
      <c r="P2418" s="117">
        <f>P2417+IF(AND($H2418&lt;&gt;"",OR(LEFT($F2418,LEN(SC_TK))=SC_TK,LEFT($G2418,LEN(SC_TK))=SC_TK)),1,0)</f>
        <v/>
      </c>
    </row>
    <row r="2419" ht="15" customHeight="1" s="78">
      <c r="A2419" s="95">
        <f>IF($H2419="","",ROW()-6)</f>
        <v/>
      </c>
      <c r="B2419" s="114" t="n"/>
      <c r="C2419" s="102" t="n"/>
      <c r="D2419" s="114" t="n"/>
      <c r="E2419" s="103" t="n"/>
      <c r="F2419" s="102" t="n"/>
      <c r="G2419" s="102" t="n"/>
      <c r="H2419" s="115" t="n"/>
      <c r="I2419" s="102" t="n"/>
      <c r="J2419" s="102" t="n"/>
      <c r="K2419" s="103" t="n"/>
      <c r="L2419" s="116">
        <f>IF($H2419="","",TRIM(IF(COUNTIF(DMTK!$A$7:$A$250,$F2419)=0,"TK Nợ sai! ","")&amp;IF(COUNTIF(DMTK!$A$7:$A$250,$G2419)=0,"TK Có sai! ","")&amp;IF(N($H2419)&lt;=0,"Tiền phải &gt; 0! ","")&amp;IF($B2419="","Thiếu ngày! ","")&amp;IF(AND(OR(LEFT($F2419,3)="131",LEFT($G2419,3)="131",LEFT($F2419,3)="331",LEFT($G2419,3)="331"),$I2419=""),"Thiếu Mã ĐT! ","")&amp;IF(AND($I2419&lt;&gt;"",COUNTIF(DM_DT!$A$7:$A$306,$I2419)=0),"Mã ĐT chưa khai báo! ","")))</f>
        <v/>
      </c>
      <c r="M2419" s="117">
        <f>IF($H2419="","",IF(AND(OR(LEFT($F2419,3)="111",LEFT($F2419,3)="112",LEFT($F2419,3)="113"),OR(LEFT($G2419,3)="111",LEFT($G2419,3)="112",LEFT($G2419,3)="113")),"NB",IF(OR(LEFT($F2419,3)="111",LEFT($F2419,3)="112",LEFT($F2419,3)="113"),"THU",IF(OR(LEFT($G2419,3)="111",LEFT($G2419,3)="112",LEFT($G2419,3)="113"),"CHI",""))))</f>
        <v/>
      </c>
      <c r="N2419" s="117">
        <f>IF($M2419="THU",$G2419,IF($M2419="CHI",$F2419,""))</f>
        <v/>
      </c>
      <c r="O2419" s="117">
        <f>IF(OR($M2419="",$M2419="NB"),"",IF($J2419&lt;&gt;"",TEXT($J2419,"00"),IFERROR(VLOOKUP(LEFT($N2419,4),LCTT_MAP!$A$7:$C$66,IF($M2419="THU",2,3),FALSE()),IFERROR(VLOOKUP(LEFT($N2419,3),LCTT_MAP!$A$7:$C$66,IF($M2419="THU",2,3),FALSE()),IFERROR(VLOOKUP(LEFT($N2419,2),LCTT_MAP!$A$7:$C$66,IF($M2419="THU",2,3),FALSE()),IFERROR(VLOOKUP(LEFT($N2419,1),LCTT_MAP!$A$7:$C$66,IF($M2419="THU",2,3),FALSE()),IF($M2419="THU","06","07")))))))</f>
        <v/>
      </c>
      <c r="P2419" s="117">
        <f>P2418+IF(AND($H2419&lt;&gt;"",OR(LEFT($F2419,LEN(SC_TK))=SC_TK,LEFT($G2419,LEN(SC_TK))=SC_TK)),1,0)</f>
        <v/>
      </c>
    </row>
    <row r="2420" ht="15" customHeight="1" s="78">
      <c r="A2420" s="95">
        <f>IF($H2420="","",ROW()-6)</f>
        <v/>
      </c>
      <c r="B2420" s="114" t="n"/>
      <c r="C2420" s="102" t="n"/>
      <c r="D2420" s="114" t="n"/>
      <c r="E2420" s="103" t="n"/>
      <c r="F2420" s="102" t="n"/>
      <c r="G2420" s="102" t="n"/>
      <c r="H2420" s="115" t="n"/>
      <c r="I2420" s="102" t="n"/>
      <c r="J2420" s="102" t="n"/>
      <c r="K2420" s="103" t="n"/>
      <c r="L2420" s="116">
        <f>IF($H2420="","",TRIM(IF(COUNTIF(DMTK!$A$7:$A$250,$F2420)=0,"TK Nợ sai! ","")&amp;IF(COUNTIF(DMTK!$A$7:$A$250,$G2420)=0,"TK Có sai! ","")&amp;IF(N($H2420)&lt;=0,"Tiền phải &gt; 0! ","")&amp;IF($B2420="","Thiếu ngày! ","")&amp;IF(AND(OR(LEFT($F2420,3)="131",LEFT($G2420,3)="131",LEFT($F2420,3)="331",LEFT($G2420,3)="331"),$I2420=""),"Thiếu Mã ĐT! ","")&amp;IF(AND($I2420&lt;&gt;"",COUNTIF(DM_DT!$A$7:$A$306,$I2420)=0),"Mã ĐT chưa khai báo! ","")))</f>
        <v/>
      </c>
      <c r="M2420" s="117">
        <f>IF($H2420="","",IF(AND(OR(LEFT($F2420,3)="111",LEFT($F2420,3)="112",LEFT($F2420,3)="113"),OR(LEFT($G2420,3)="111",LEFT($G2420,3)="112",LEFT($G2420,3)="113")),"NB",IF(OR(LEFT($F2420,3)="111",LEFT($F2420,3)="112",LEFT($F2420,3)="113"),"THU",IF(OR(LEFT($G2420,3)="111",LEFT($G2420,3)="112",LEFT($G2420,3)="113"),"CHI",""))))</f>
        <v/>
      </c>
      <c r="N2420" s="117">
        <f>IF($M2420="THU",$G2420,IF($M2420="CHI",$F2420,""))</f>
        <v/>
      </c>
      <c r="O2420" s="117">
        <f>IF(OR($M2420="",$M2420="NB"),"",IF($J2420&lt;&gt;"",TEXT($J2420,"00"),IFERROR(VLOOKUP(LEFT($N2420,4),LCTT_MAP!$A$7:$C$66,IF($M2420="THU",2,3),FALSE()),IFERROR(VLOOKUP(LEFT($N2420,3),LCTT_MAP!$A$7:$C$66,IF($M2420="THU",2,3),FALSE()),IFERROR(VLOOKUP(LEFT($N2420,2),LCTT_MAP!$A$7:$C$66,IF($M2420="THU",2,3),FALSE()),IFERROR(VLOOKUP(LEFT($N2420,1),LCTT_MAP!$A$7:$C$66,IF($M2420="THU",2,3),FALSE()),IF($M2420="THU","06","07")))))))</f>
        <v/>
      </c>
      <c r="P2420" s="117">
        <f>P2419+IF(AND($H2420&lt;&gt;"",OR(LEFT($F2420,LEN(SC_TK))=SC_TK,LEFT($G2420,LEN(SC_TK))=SC_TK)),1,0)</f>
        <v/>
      </c>
    </row>
    <row r="2421" ht="15" customHeight="1" s="78">
      <c r="A2421" s="95">
        <f>IF($H2421="","",ROW()-6)</f>
        <v/>
      </c>
      <c r="B2421" s="114" t="n"/>
      <c r="C2421" s="102" t="n"/>
      <c r="D2421" s="114" t="n"/>
      <c r="E2421" s="103" t="n"/>
      <c r="F2421" s="102" t="n"/>
      <c r="G2421" s="102" t="n"/>
      <c r="H2421" s="115" t="n"/>
      <c r="I2421" s="102" t="n"/>
      <c r="J2421" s="102" t="n"/>
      <c r="K2421" s="103" t="n"/>
      <c r="L2421" s="116">
        <f>IF($H2421="","",TRIM(IF(COUNTIF(DMTK!$A$7:$A$250,$F2421)=0,"TK Nợ sai! ","")&amp;IF(COUNTIF(DMTK!$A$7:$A$250,$G2421)=0,"TK Có sai! ","")&amp;IF(N($H2421)&lt;=0,"Tiền phải &gt; 0! ","")&amp;IF($B2421="","Thiếu ngày! ","")&amp;IF(AND(OR(LEFT($F2421,3)="131",LEFT($G2421,3)="131",LEFT($F2421,3)="331",LEFT($G2421,3)="331"),$I2421=""),"Thiếu Mã ĐT! ","")&amp;IF(AND($I2421&lt;&gt;"",COUNTIF(DM_DT!$A$7:$A$306,$I2421)=0),"Mã ĐT chưa khai báo! ","")))</f>
        <v/>
      </c>
      <c r="M2421" s="117">
        <f>IF($H2421="","",IF(AND(OR(LEFT($F2421,3)="111",LEFT($F2421,3)="112",LEFT($F2421,3)="113"),OR(LEFT($G2421,3)="111",LEFT($G2421,3)="112",LEFT($G2421,3)="113")),"NB",IF(OR(LEFT($F2421,3)="111",LEFT($F2421,3)="112",LEFT($F2421,3)="113"),"THU",IF(OR(LEFT($G2421,3)="111",LEFT($G2421,3)="112",LEFT($G2421,3)="113"),"CHI",""))))</f>
        <v/>
      </c>
      <c r="N2421" s="117">
        <f>IF($M2421="THU",$G2421,IF($M2421="CHI",$F2421,""))</f>
        <v/>
      </c>
      <c r="O2421" s="117">
        <f>IF(OR($M2421="",$M2421="NB"),"",IF($J2421&lt;&gt;"",TEXT($J2421,"00"),IFERROR(VLOOKUP(LEFT($N2421,4),LCTT_MAP!$A$7:$C$66,IF($M2421="THU",2,3),FALSE()),IFERROR(VLOOKUP(LEFT($N2421,3),LCTT_MAP!$A$7:$C$66,IF($M2421="THU",2,3),FALSE()),IFERROR(VLOOKUP(LEFT($N2421,2),LCTT_MAP!$A$7:$C$66,IF($M2421="THU",2,3),FALSE()),IFERROR(VLOOKUP(LEFT($N2421,1),LCTT_MAP!$A$7:$C$66,IF($M2421="THU",2,3),FALSE()),IF($M2421="THU","06","07")))))))</f>
        <v/>
      </c>
      <c r="P2421" s="117">
        <f>P2420+IF(AND($H2421&lt;&gt;"",OR(LEFT($F2421,LEN(SC_TK))=SC_TK,LEFT($G2421,LEN(SC_TK))=SC_TK)),1,0)</f>
        <v/>
      </c>
    </row>
    <row r="2422" ht="15" customHeight="1" s="78">
      <c r="A2422" s="95">
        <f>IF($H2422="","",ROW()-6)</f>
        <v/>
      </c>
      <c r="B2422" s="114" t="n"/>
      <c r="C2422" s="102" t="n"/>
      <c r="D2422" s="114" t="n"/>
      <c r="E2422" s="103" t="n"/>
      <c r="F2422" s="102" t="n"/>
      <c r="G2422" s="102" t="n"/>
      <c r="H2422" s="115" t="n"/>
      <c r="I2422" s="102" t="n"/>
      <c r="J2422" s="102" t="n"/>
      <c r="K2422" s="103" t="n"/>
      <c r="L2422" s="116">
        <f>IF($H2422="","",TRIM(IF(COUNTIF(DMTK!$A$7:$A$250,$F2422)=0,"TK Nợ sai! ","")&amp;IF(COUNTIF(DMTK!$A$7:$A$250,$G2422)=0,"TK Có sai! ","")&amp;IF(N($H2422)&lt;=0,"Tiền phải &gt; 0! ","")&amp;IF($B2422="","Thiếu ngày! ","")&amp;IF(AND(OR(LEFT($F2422,3)="131",LEFT($G2422,3)="131",LEFT($F2422,3)="331",LEFT($G2422,3)="331"),$I2422=""),"Thiếu Mã ĐT! ","")&amp;IF(AND($I2422&lt;&gt;"",COUNTIF(DM_DT!$A$7:$A$306,$I2422)=0),"Mã ĐT chưa khai báo! ","")))</f>
        <v/>
      </c>
      <c r="M2422" s="117">
        <f>IF($H2422="","",IF(AND(OR(LEFT($F2422,3)="111",LEFT($F2422,3)="112",LEFT($F2422,3)="113"),OR(LEFT($G2422,3)="111",LEFT($G2422,3)="112",LEFT($G2422,3)="113")),"NB",IF(OR(LEFT($F2422,3)="111",LEFT($F2422,3)="112",LEFT($F2422,3)="113"),"THU",IF(OR(LEFT($G2422,3)="111",LEFT($G2422,3)="112",LEFT($G2422,3)="113"),"CHI",""))))</f>
        <v/>
      </c>
      <c r="N2422" s="117">
        <f>IF($M2422="THU",$G2422,IF($M2422="CHI",$F2422,""))</f>
        <v/>
      </c>
      <c r="O2422" s="117">
        <f>IF(OR($M2422="",$M2422="NB"),"",IF($J2422&lt;&gt;"",TEXT($J2422,"00"),IFERROR(VLOOKUP(LEFT($N2422,4),LCTT_MAP!$A$7:$C$66,IF($M2422="THU",2,3),FALSE()),IFERROR(VLOOKUP(LEFT($N2422,3),LCTT_MAP!$A$7:$C$66,IF($M2422="THU",2,3),FALSE()),IFERROR(VLOOKUP(LEFT($N2422,2),LCTT_MAP!$A$7:$C$66,IF($M2422="THU",2,3),FALSE()),IFERROR(VLOOKUP(LEFT($N2422,1),LCTT_MAP!$A$7:$C$66,IF($M2422="THU",2,3),FALSE()),IF($M2422="THU","06","07")))))))</f>
        <v/>
      </c>
      <c r="P2422" s="117">
        <f>P2421+IF(AND($H2422&lt;&gt;"",OR(LEFT($F2422,LEN(SC_TK))=SC_TK,LEFT($G2422,LEN(SC_TK))=SC_TK)),1,0)</f>
        <v/>
      </c>
    </row>
    <row r="2423" ht="15" customHeight="1" s="78">
      <c r="A2423" s="95">
        <f>IF($H2423="","",ROW()-6)</f>
        <v/>
      </c>
      <c r="B2423" s="114" t="n"/>
      <c r="C2423" s="102" t="n"/>
      <c r="D2423" s="114" t="n"/>
      <c r="E2423" s="103" t="n"/>
      <c r="F2423" s="102" t="n"/>
      <c r="G2423" s="102" t="n"/>
      <c r="H2423" s="115" t="n"/>
      <c r="I2423" s="102" t="n"/>
      <c r="J2423" s="102" t="n"/>
      <c r="K2423" s="103" t="n"/>
      <c r="L2423" s="116">
        <f>IF($H2423="","",TRIM(IF(COUNTIF(DMTK!$A$7:$A$250,$F2423)=0,"TK Nợ sai! ","")&amp;IF(COUNTIF(DMTK!$A$7:$A$250,$G2423)=0,"TK Có sai! ","")&amp;IF(N($H2423)&lt;=0,"Tiền phải &gt; 0! ","")&amp;IF($B2423="","Thiếu ngày! ","")&amp;IF(AND(OR(LEFT($F2423,3)="131",LEFT($G2423,3)="131",LEFT($F2423,3)="331",LEFT($G2423,3)="331"),$I2423=""),"Thiếu Mã ĐT! ","")&amp;IF(AND($I2423&lt;&gt;"",COUNTIF(DM_DT!$A$7:$A$306,$I2423)=0),"Mã ĐT chưa khai báo! ","")))</f>
        <v/>
      </c>
      <c r="M2423" s="117">
        <f>IF($H2423="","",IF(AND(OR(LEFT($F2423,3)="111",LEFT($F2423,3)="112",LEFT($F2423,3)="113"),OR(LEFT($G2423,3)="111",LEFT($G2423,3)="112",LEFT($G2423,3)="113")),"NB",IF(OR(LEFT($F2423,3)="111",LEFT($F2423,3)="112",LEFT($F2423,3)="113"),"THU",IF(OR(LEFT($G2423,3)="111",LEFT($G2423,3)="112",LEFT($G2423,3)="113"),"CHI",""))))</f>
        <v/>
      </c>
      <c r="N2423" s="117">
        <f>IF($M2423="THU",$G2423,IF($M2423="CHI",$F2423,""))</f>
        <v/>
      </c>
      <c r="O2423" s="117">
        <f>IF(OR($M2423="",$M2423="NB"),"",IF($J2423&lt;&gt;"",TEXT($J2423,"00"),IFERROR(VLOOKUP(LEFT($N2423,4),LCTT_MAP!$A$7:$C$66,IF($M2423="THU",2,3),FALSE()),IFERROR(VLOOKUP(LEFT($N2423,3),LCTT_MAP!$A$7:$C$66,IF($M2423="THU",2,3),FALSE()),IFERROR(VLOOKUP(LEFT($N2423,2),LCTT_MAP!$A$7:$C$66,IF($M2423="THU",2,3),FALSE()),IFERROR(VLOOKUP(LEFT($N2423,1),LCTT_MAP!$A$7:$C$66,IF($M2423="THU",2,3),FALSE()),IF($M2423="THU","06","07")))))))</f>
        <v/>
      </c>
      <c r="P2423" s="117">
        <f>P2422+IF(AND($H2423&lt;&gt;"",OR(LEFT($F2423,LEN(SC_TK))=SC_TK,LEFT($G2423,LEN(SC_TK))=SC_TK)),1,0)</f>
        <v/>
      </c>
    </row>
    <row r="2424" ht="15" customHeight="1" s="78">
      <c r="A2424" s="95">
        <f>IF($H2424="","",ROW()-6)</f>
        <v/>
      </c>
      <c r="B2424" s="114" t="n"/>
      <c r="C2424" s="102" t="n"/>
      <c r="D2424" s="114" t="n"/>
      <c r="E2424" s="103" t="n"/>
      <c r="F2424" s="102" t="n"/>
      <c r="G2424" s="102" t="n"/>
      <c r="H2424" s="115" t="n"/>
      <c r="I2424" s="102" t="n"/>
      <c r="J2424" s="102" t="n"/>
      <c r="K2424" s="103" t="n"/>
      <c r="L2424" s="116">
        <f>IF($H2424="","",TRIM(IF(COUNTIF(DMTK!$A$7:$A$250,$F2424)=0,"TK Nợ sai! ","")&amp;IF(COUNTIF(DMTK!$A$7:$A$250,$G2424)=0,"TK Có sai! ","")&amp;IF(N($H2424)&lt;=0,"Tiền phải &gt; 0! ","")&amp;IF($B2424="","Thiếu ngày! ","")&amp;IF(AND(OR(LEFT($F2424,3)="131",LEFT($G2424,3)="131",LEFT($F2424,3)="331",LEFT($G2424,3)="331"),$I2424=""),"Thiếu Mã ĐT! ","")&amp;IF(AND($I2424&lt;&gt;"",COUNTIF(DM_DT!$A$7:$A$306,$I2424)=0),"Mã ĐT chưa khai báo! ","")))</f>
        <v/>
      </c>
      <c r="M2424" s="117">
        <f>IF($H2424="","",IF(AND(OR(LEFT($F2424,3)="111",LEFT($F2424,3)="112",LEFT($F2424,3)="113"),OR(LEFT($G2424,3)="111",LEFT($G2424,3)="112",LEFT($G2424,3)="113")),"NB",IF(OR(LEFT($F2424,3)="111",LEFT($F2424,3)="112",LEFT($F2424,3)="113"),"THU",IF(OR(LEFT($G2424,3)="111",LEFT($G2424,3)="112",LEFT($G2424,3)="113"),"CHI",""))))</f>
        <v/>
      </c>
      <c r="N2424" s="117">
        <f>IF($M2424="THU",$G2424,IF($M2424="CHI",$F2424,""))</f>
        <v/>
      </c>
      <c r="O2424" s="117">
        <f>IF(OR($M2424="",$M2424="NB"),"",IF($J2424&lt;&gt;"",TEXT($J2424,"00"),IFERROR(VLOOKUP(LEFT($N2424,4),LCTT_MAP!$A$7:$C$66,IF($M2424="THU",2,3),FALSE()),IFERROR(VLOOKUP(LEFT($N2424,3),LCTT_MAP!$A$7:$C$66,IF($M2424="THU",2,3),FALSE()),IFERROR(VLOOKUP(LEFT($N2424,2),LCTT_MAP!$A$7:$C$66,IF($M2424="THU",2,3),FALSE()),IFERROR(VLOOKUP(LEFT($N2424,1),LCTT_MAP!$A$7:$C$66,IF($M2424="THU",2,3),FALSE()),IF($M2424="THU","06","07")))))))</f>
        <v/>
      </c>
      <c r="P2424" s="117">
        <f>P2423+IF(AND($H2424&lt;&gt;"",OR(LEFT($F2424,LEN(SC_TK))=SC_TK,LEFT($G2424,LEN(SC_TK))=SC_TK)),1,0)</f>
        <v/>
      </c>
    </row>
    <row r="2425" ht="15" customHeight="1" s="78">
      <c r="A2425" s="95">
        <f>IF($H2425="","",ROW()-6)</f>
        <v/>
      </c>
      <c r="B2425" s="114" t="n"/>
      <c r="C2425" s="102" t="n"/>
      <c r="D2425" s="114" t="n"/>
      <c r="E2425" s="103" t="n"/>
      <c r="F2425" s="102" t="n"/>
      <c r="G2425" s="102" t="n"/>
      <c r="H2425" s="115" t="n"/>
      <c r="I2425" s="102" t="n"/>
      <c r="J2425" s="102" t="n"/>
      <c r="K2425" s="103" t="n"/>
      <c r="L2425" s="116">
        <f>IF($H2425="","",TRIM(IF(COUNTIF(DMTK!$A$7:$A$250,$F2425)=0,"TK Nợ sai! ","")&amp;IF(COUNTIF(DMTK!$A$7:$A$250,$G2425)=0,"TK Có sai! ","")&amp;IF(N($H2425)&lt;=0,"Tiền phải &gt; 0! ","")&amp;IF($B2425="","Thiếu ngày! ","")&amp;IF(AND(OR(LEFT($F2425,3)="131",LEFT($G2425,3)="131",LEFT($F2425,3)="331",LEFT($G2425,3)="331"),$I2425=""),"Thiếu Mã ĐT! ","")&amp;IF(AND($I2425&lt;&gt;"",COUNTIF(DM_DT!$A$7:$A$306,$I2425)=0),"Mã ĐT chưa khai báo! ","")))</f>
        <v/>
      </c>
      <c r="M2425" s="117">
        <f>IF($H2425="","",IF(AND(OR(LEFT($F2425,3)="111",LEFT($F2425,3)="112",LEFT($F2425,3)="113"),OR(LEFT($G2425,3)="111",LEFT($G2425,3)="112",LEFT($G2425,3)="113")),"NB",IF(OR(LEFT($F2425,3)="111",LEFT($F2425,3)="112",LEFT($F2425,3)="113"),"THU",IF(OR(LEFT($G2425,3)="111",LEFT($G2425,3)="112",LEFT($G2425,3)="113"),"CHI",""))))</f>
        <v/>
      </c>
      <c r="N2425" s="117">
        <f>IF($M2425="THU",$G2425,IF($M2425="CHI",$F2425,""))</f>
        <v/>
      </c>
      <c r="O2425" s="117">
        <f>IF(OR($M2425="",$M2425="NB"),"",IF($J2425&lt;&gt;"",TEXT($J2425,"00"),IFERROR(VLOOKUP(LEFT($N2425,4),LCTT_MAP!$A$7:$C$66,IF($M2425="THU",2,3),FALSE()),IFERROR(VLOOKUP(LEFT($N2425,3),LCTT_MAP!$A$7:$C$66,IF($M2425="THU",2,3),FALSE()),IFERROR(VLOOKUP(LEFT($N2425,2),LCTT_MAP!$A$7:$C$66,IF($M2425="THU",2,3),FALSE()),IFERROR(VLOOKUP(LEFT($N2425,1),LCTT_MAP!$A$7:$C$66,IF($M2425="THU",2,3),FALSE()),IF($M2425="THU","06","07")))))))</f>
        <v/>
      </c>
      <c r="P2425" s="117">
        <f>P2424+IF(AND($H2425&lt;&gt;"",OR(LEFT($F2425,LEN(SC_TK))=SC_TK,LEFT($G2425,LEN(SC_TK))=SC_TK)),1,0)</f>
        <v/>
      </c>
    </row>
    <row r="2426" ht="15" customHeight="1" s="78">
      <c r="A2426" s="95">
        <f>IF($H2426="","",ROW()-6)</f>
        <v/>
      </c>
      <c r="B2426" s="114" t="n"/>
      <c r="C2426" s="102" t="n"/>
      <c r="D2426" s="114" t="n"/>
      <c r="E2426" s="103" t="n"/>
      <c r="F2426" s="102" t="n"/>
      <c r="G2426" s="102" t="n"/>
      <c r="H2426" s="115" t="n"/>
      <c r="I2426" s="102" t="n"/>
      <c r="J2426" s="102" t="n"/>
      <c r="K2426" s="103" t="n"/>
      <c r="L2426" s="116">
        <f>IF($H2426="","",TRIM(IF(COUNTIF(DMTK!$A$7:$A$250,$F2426)=0,"TK Nợ sai! ","")&amp;IF(COUNTIF(DMTK!$A$7:$A$250,$G2426)=0,"TK Có sai! ","")&amp;IF(N($H2426)&lt;=0,"Tiền phải &gt; 0! ","")&amp;IF($B2426="","Thiếu ngày! ","")&amp;IF(AND(OR(LEFT($F2426,3)="131",LEFT($G2426,3)="131",LEFT($F2426,3)="331",LEFT($G2426,3)="331"),$I2426=""),"Thiếu Mã ĐT! ","")&amp;IF(AND($I2426&lt;&gt;"",COUNTIF(DM_DT!$A$7:$A$306,$I2426)=0),"Mã ĐT chưa khai báo! ","")))</f>
        <v/>
      </c>
      <c r="M2426" s="117">
        <f>IF($H2426="","",IF(AND(OR(LEFT($F2426,3)="111",LEFT($F2426,3)="112",LEFT($F2426,3)="113"),OR(LEFT($G2426,3)="111",LEFT($G2426,3)="112",LEFT($G2426,3)="113")),"NB",IF(OR(LEFT($F2426,3)="111",LEFT($F2426,3)="112",LEFT($F2426,3)="113"),"THU",IF(OR(LEFT($G2426,3)="111",LEFT($G2426,3)="112",LEFT($G2426,3)="113"),"CHI",""))))</f>
        <v/>
      </c>
      <c r="N2426" s="117">
        <f>IF($M2426="THU",$G2426,IF($M2426="CHI",$F2426,""))</f>
        <v/>
      </c>
      <c r="O2426" s="117">
        <f>IF(OR($M2426="",$M2426="NB"),"",IF($J2426&lt;&gt;"",TEXT($J2426,"00"),IFERROR(VLOOKUP(LEFT($N2426,4),LCTT_MAP!$A$7:$C$66,IF($M2426="THU",2,3),FALSE()),IFERROR(VLOOKUP(LEFT($N2426,3),LCTT_MAP!$A$7:$C$66,IF($M2426="THU",2,3),FALSE()),IFERROR(VLOOKUP(LEFT($N2426,2),LCTT_MAP!$A$7:$C$66,IF($M2426="THU",2,3),FALSE()),IFERROR(VLOOKUP(LEFT($N2426,1),LCTT_MAP!$A$7:$C$66,IF($M2426="THU",2,3),FALSE()),IF($M2426="THU","06","07")))))))</f>
        <v/>
      </c>
      <c r="P2426" s="117">
        <f>P2425+IF(AND($H2426&lt;&gt;"",OR(LEFT($F2426,LEN(SC_TK))=SC_TK,LEFT($G2426,LEN(SC_TK))=SC_TK)),1,0)</f>
        <v/>
      </c>
    </row>
    <row r="2427" ht="15" customHeight="1" s="78">
      <c r="A2427" s="95">
        <f>IF($H2427="","",ROW()-6)</f>
        <v/>
      </c>
      <c r="B2427" s="114" t="n"/>
      <c r="C2427" s="102" t="n"/>
      <c r="D2427" s="114" t="n"/>
      <c r="E2427" s="103" t="n"/>
      <c r="F2427" s="102" t="n"/>
      <c r="G2427" s="102" t="n"/>
      <c r="H2427" s="115" t="n"/>
      <c r="I2427" s="102" t="n"/>
      <c r="J2427" s="102" t="n"/>
      <c r="K2427" s="103" t="n"/>
      <c r="L2427" s="116">
        <f>IF($H2427="","",TRIM(IF(COUNTIF(DMTK!$A$7:$A$250,$F2427)=0,"TK Nợ sai! ","")&amp;IF(COUNTIF(DMTK!$A$7:$A$250,$G2427)=0,"TK Có sai! ","")&amp;IF(N($H2427)&lt;=0,"Tiền phải &gt; 0! ","")&amp;IF($B2427="","Thiếu ngày! ","")&amp;IF(AND(OR(LEFT($F2427,3)="131",LEFT($G2427,3)="131",LEFT($F2427,3)="331",LEFT($G2427,3)="331"),$I2427=""),"Thiếu Mã ĐT! ","")&amp;IF(AND($I2427&lt;&gt;"",COUNTIF(DM_DT!$A$7:$A$306,$I2427)=0),"Mã ĐT chưa khai báo! ","")))</f>
        <v/>
      </c>
      <c r="M2427" s="117">
        <f>IF($H2427="","",IF(AND(OR(LEFT($F2427,3)="111",LEFT($F2427,3)="112",LEFT($F2427,3)="113"),OR(LEFT($G2427,3)="111",LEFT($G2427,3)="112",LEFT($G2427,3)="113")),"NB",IF(OR(LEFT($F2427,3)="111",LEFT($F2427,3)="112",LEFT($F2427,3)="113"),"THU",IF(OR(LEFT($G2427,3)="111",LEFT($G2427,3)="112",LEFT($G2427,3)="113"),"CHI",""))))</f>
        <v/>
      </c>
      <c r="N2427" s="117">
        <f>IF($M2427="THU",$G2427,IF($M2427="CHI",$F2427,""))</f>
        <v/>
      </c>
      <c r="O2427" s="117">
        <f>IF(OR($M2427="",$M2427="NB"),"",IF($J2427&lt;&gt;"",TEXT($J2427,"00"),IFERROR(VLOOKUP(LEFT($N2427,4),LCTT_MAP!$A$7:$C$66,IF($M2427="THU",2,3),FALSE()),IFERROR(VLOOKUP(LEFT($N2427,3),LCTT_MAP!$A$7:$C$66,IF($M2427="THU",2,3),FALSE()),IFERROR(VLOOKUP(LEFT($N2427,2),LCTT_MAP!$A$7:$C$66,IF($M2427="THU",2,3),FALSE()),IFERROR(VLOOKUP(LEFT($N2427,1),LCTT_MAP!$A$7:$C$66,IF($M2427="THU",2,3),FALSE()),IF($M2427="THU","06","07")))))))</f>
        <v/>
      </c>
      <c r="P2427" s="117">
        <f>P2426+IF(AND($H2427&lt;&gt;"",OR(LEFT($F2427,LEN(SC_TK))=SC_TK,LEFT($G2427,LEN(SC_TK))=SC_TK)),1,0)</f>
        <v/>
      </c>
    </row>
    <row r="2428" ht="15" customHeight="1" s="78">
      <c r="A2428" s="95">
        <f>IF($H2428="","",ROW()-6)</f>
        <v/>
      </c>
      <c r="B2428" s="114" t="n"/>
      <c r="C2428" s="102" t="n"/>
      <c r="D2428" s="114" t="n"/>
      <c r="E2428" s="103" t="n"/>
      <c r="F2428" s="102" t="n"/>
      <c r="G2428" s="102" t="n"/>
      <c r="H2428" s="115" t="n"/>
      <c r="I2428" s="102" t="n"/>
      <c r="J2428" s="102" t="n"/>
      <c r="K2428" s="103" t="n"/>
      <c r="L2428" s="116">
        <f>IF($H2428="","",TRIM(IF(COUNTIF(DMTK!$A$7:$A$250,$F2428)=0,"TK Nợ sai! ","")&amp;IF(COUNTIF(DMTK!$A$7:$A$250,$G2428)=0,"TK Có sai! ","")&amp;IF(N($H2428)&lt;=0,"Tiền phải &gt; 0! ","")&amp;IF($B2428="","Thiếu ngày! ","")&amp;IF(AND(OR(LEFT($F2428,3)="131",LEFT($G2428,3)="131",LEFT($F2428,3)="331",LEFT($G2428,3)="331"),$I2428=""),"Thiếu Mã ĐT! ","")&amp;IF(AND($I2428&lt;&gt;"",COUNTIF(DM_DT!$A$7:$A$306,$I2428)=0),"Mã ĐT chưa khai báo! ","")))</f>
        <v/>
      </c>
      <c r="M2428" s="117">
        <f>IF($H2428="","",IF(AND(OR(LEFT($F2428,3)="111",LEFT($F2428,3)="112",LEFT($F2428,3)="113"),OR(LEFT($G2428,3)="111",LEFT($G2428,3)="112",LEFT($G2428,3)="113")),"NB",IF(OR(LEFT($F2428,3)="111",LEFT($F2428,3)="112",LEFT($F2428,3)="113"),"THU",IF(OR(LEFT($G2428,3)="111",LEFT($G2428,3)="112",LEFT($G2428,3)="113"),"CHI",""))))</f>
        <v/>
      </c>
      <c r="N2428" s="117">
        <f>IF($M2428="THU",$G2428,IF($M2428="CHI",$F2428,""))</f>
        <v/>
      </c>
      <c r="O2428" s="117">
        <f>IF(OR($M2428="",$M2428="NB"),"",IF($J2428&lt;&gt;"",TEXT($J2428,"00"),IFERROR(VLOOKUP(LEFT($N2428,4),LCTT_MAP!$A$7:$C$66,IF($M2428="THU",2,3),FALSE()),IFERROR(VLOOKUP(LEFT($N2428,3),LCTT_MAP!$A$7:$C$66,IF($M2428="THU",2,3),FALSE()),IFERROR(VLOOKUP(LEFT($N2428,2),LCTT_MAP!$A$7:$C$66,IF($M2428="THU",2,3),FALSE()),IFERROR(VLOOKUP(LEFT($N2428,1),LCTT_MAP!$A$7:$C$66,IF($M2428="THU",2,3),FALSE()),IF($M2428="THU","06","07")))))))</f>
        <v/>
      </c>
      <c r="P2428" s="117">
        <f>P2427+IF(AND($H2428&lt;&gt;"",OR(LEFT($F2428,LEN(SC_TK))=SC_TK,LEFT($G2428,LEN(SC_TK))=SC_TK)),1,0)</f>
        <v/>
      </c>
    </row>
    <row r="2429" ht="15" customHeight="1" s="78">
      <c r="A2429" s="95">
        <f>IF($H2429="","",ROW()-6)</f>
        <v/>
      </c>
      <c r="B2429" s="114" t="n"/>
      <c r="C2429" s="102" t="n"/>
      <c r="D2429" s="114" t="n"/>
      <c r="E2429" s="103" t="n"/>
      <c r="F2429" s="102" t="n"/>
      <c r="G2429" s="102" t="n"/>
      <c r="H2429" s="115" t="n"/>
      <c r="I2429" s="102" t="n"/>
      <c r="J2429" s="102" t="n"/>
      <c r="K2429" s="103" t="n"/>
      <c r="L2429" s="116">
        <f>IF($H2429="","",TRIM(IF(COUNTIF(DMTK!$A$7:$A$250,$F2429)=0,"TK Nợ sai! ","")&amp;IF(COUNTIF(DMTK!$A$7:$A$250,$G2429)=0,"TK Có sai! ","")&amp;IF(N($H2429)&lt;=0,"Tiền phải &gt; 0! ","")&amp;IF($B2429="","Thiếu ngày! ","")&amp;IF(AND(OR(LEFT($F2429,3)="131",LEFT($G2429,3)="131",LEFT($F2429,3)="331",LEFT($G2429,3)="331"),$I2429=""),"Thiếu Mã ĐT! ","")&amp;IF(AND($I2429&lt;&gt;"",COUNTIF(DM_DT!$A$7:$A$306,$I2429)=0),"Mã ĐT chưa khai báo! ","")))</f>
        <v/>
      </c>
      <c r="M2429" s="117">
        <f>IF($H2429="","",IF(AND(OR(LEFT($F2429,3)="111",LEFT($F2429,3)="112",LEFT($F2429,3)="113"),OR(LEFT($G2429,3)="111",LEFT($G2429,3)="112",LEFT($G2429,3)="113")),"NB",IF(OR(LEFT($F2429,3)="111",LEFT($F2429,3)="112",LEFT($F2429,3)="113"),"THU",IF(OR(LEFT($G2429,3)="111",LEFT($G2429,3)="112",LEFT($G2429,3)="113"),"CHI",""))))</f>
        <v/>
      </c>
      <c r="N2429" s="117">
        <f>IF($M2429="THU",$G2429,IF($M2429="CHI",$F2429,""))</f>
        <v/>
      </c>
      <c r="O2429" s="117">
        <f>IF(OR($M2429="",$M2429="NB"),"",IF($J2429&lt;&gt;"",TEXT($J2429,"00"),IFERROR(VLOOKUP(LEFT($N2429,4),LCTT_MAP!$A$7:$C$66,IF($M2429="THU",2,3),FALSE()),IFERROR(VLOOKUP(LEFT($N2429,3),LCTT_MAP!$A$7:$C$66,IF($M2429="THU",2,3),FALSE()),IFERROR(VLOOKUP(LEFT($N2429,2),LCTT_MAP!$A$7:$C$66,IF($M2429="THU",2,3),FALSE()),IFERROR(VLOOKUP(LEFT($N2429,1),LCTT_MAP!$A$7:$C$66,IF($M2429="THU",2,3),FALSE()),IF($M2429="THU","06","07")))))))</f>
        <v/>
      </c>
      <c r="P2429" s="117">
        <f>P2428+IF(AND($H2429&lt;&gt;"",OR(LEFT($F2429,LEN(SC_TK))=SC_TK,LEFT($G2429,LEN(SC_TK))=SC_TK)),1,0)</f>
        <v/>
      </c>
    </row>
    <row r="2430" ht="15" customHeight="1" s="78">
      <c r="A2430" s="95">
        <f>IF($H2430="","",ROW()-6)</f>
        <v/>
      </c>
      <c r="B2430" s="114" t="n"/>
      <c r="C2430" s="102" t="n"/>
      <c r="D2430" s="114" t="n"/>
      <c r="E2430" s="103" t="n"/>
      <c r="F2430" s="102" t="n"/>
      <c r="G2430" s="102" t="n"/>
      <c r="H2430" s="115" t="n"/>
      <c r="I2430" s="102" t="n"/>
      <c r="J2430" s="102" t="n"/>
      <c r="K2430" s="103" t="n"/>
      <c r="L2430" s="116">
        <f>IF($H2430="","",TRIM(IF(COUNTIF(DMTK!$A$7:$A$250,$F2430)=0,"TK Nợ sai! ","")&amp;IF(COUNTIF(DMTK!$A$7:$A$250,$G2430)=0,"TK Có sai! ","")&amp;IF(N($H2430)&lt;=0,"Tiền phải &gt; 0! ","")&amp;IF($B2430="","Thiếu ngày! ","")&amp;IF(AND(OR(LEFT($F2430,3)="131",LEFT($G2430,3)="131",LEFT($F2430,3)="331",LEFT($G2430,3)="331"),$I2430=""),"Thiếu Mã ĐT! ","")&amp;IF(AND($I2430&lt;&gt;"",COUNTIF(DM_DT!$A$7:$A$306,$I2430)=0),"Mã ĐT chưa khai báo! ","")))</f>
        <v/>
      </c>
      <c r="M2430" s="117">
        <f>IF($H2430="","",IF(AND(OR(LEFT($F2430,3)="111",LEFT($F2430,3)="112",LEFT($F2430,3)="113"),OR(LEFT($G2430,3)="111",LEFT($G2430,3)="112",LEFT($G2430,3)="113")),"NB",IF(OR(LEFT($F2430,3)="111",LEFT($F2430,3)="112",LEFT($F2430,3)="113"),"THU",IF(OR(LEFT($G2430,3)="111",LEFT($G2430,3)="112",LEFT($G2430,3)="113"),"CHI",""))))</f>
        <v/>
      </c>
      <c r="N2430" s="117">
        <f>IF($M2430="THU",$G2430,IF($M2430="CHI",$F2430,""))</f>
        <v/>
      </c>
      <c r="O2430" s="117">
        <f>IF(OR($M2430="",$M2430="NB"),"",IF($J2430&lt;&gt;"",TEXT($J2430,"00"),IFERROR(VLOOKUP(LEFT($N2430,4),LCTT_MAP!$A$7:$C$66,IF($M2430="THU",2,3),FALSE()),IFERROR(VLOOKUP(LEFT($N2430,3),LCTT_MAP!$A$7:$C$66,IF($M2430="THU",2,3),FALSE()),IFERROR(VLOOKUP(LEFT($N2430,2),LCTT_MAP!$A$7:$C$66,IF($M2430="THU",2,3),FALSE()),IFERROR(VLOOKUP(LEFT($N2430,1),LCTT_MAP!$A$7:$C$66,IF($M2430="THU",2,3),FALSE()),IF($M2430="THU","06","07")))))))</f>
        <v/>
      </c>
      <c r="P2430" s="117">
        <f>P2429+IF(AND($H2430&lt;&gt;"",OR(LEFT($F2430,LEN(SC_TK))=SC_TK,LEFT($G2430,LEN(SC_TK))=SC_TK)),1,0)</f>
        <v/>
      </c>
    </row>
    <row r="2431" ht="15" customHeight="1" s="78">
      <c r="A2431" s="95">
        <f>IF($H2431="","",ROW()-6)</f>
        <v/>
      </c>
      <c r="B2431" s="114" t="n"/>
      <c r="C2431" s="102" t="n"/>
      <c r="D2431" s="114" t="n"/>
      <c r="E2431" s="103" t="n"/>
      <c r="F2431" s="102" t="n"/>
      <c r="G2431" s="102" t="n"/>
      <c r="H2431" s="115" t="n"/>
      <c r="I2431" s="102" t="n"/>
      <c r="J2431" s="102" t="n"/>
      <c r="K2431" s="103" t="n"/>
      <c r="L2431" s="116">
        <f>IF($H2431="","",TRIM(IF(COUNTIF(DMTK!$A$7:$A$250,$F2431)=0,"TK Nợ sai! ","")&amp;IF(COUNTIF(DMTK!$A$7:$A$250,$G2431)=0,"TK Có sai! ","")&amp;IF(N($H2431)&lt;=0,"Tiền phải &gt; 0! ","")&amp;IF($B2431="","Thiếu ngày! ","")&amp;IF(AND(OR(LEFT($F2431,3)="131",LEFT($G2431,3)="131",LEFT($F2431,3)="331",LEFT($G2431,3)="331"),$I2431=""),"Thiếu Mã ĐT! ","")&amp;IF(AND($I2431&lt;&gt;"",COUNTIF(DM_DT!$A$7:$A$306,$I2431)=0),"Mã ĐT chưa khai báo! ","")))</f>
        <v/>
      </c>
      <c r="M2431" s="117">
        <f>IF($H2431="","",IF(AND(OR(LEFT($F2431,3)="111",LEFT($F2431,3)="112",LEFT($F2431,3)="113"),OR(LEFT($G2431,3)="111",LEFT($G2431,3)="112",LEFT($G2431,3)="113")),"NB",IF(OR(LEFT($F2431,3)="111",LEFT($F2431,3)="112",LEFT($F2431,3)="113"),"THU",IF(OR(LEFT($G2431,3)="111",LEFT($G2431,3)="112",LEFT($G2431,3)="113"),"CHI",""))))</f>
        <v/>
      </c>
      <c r="N2431" s="117">
        <f>IF($M2431="THU",$G2431,IF($M2431="CHI",$F2431,""))</f>
        <v/>
      </c>
      <c r="O2431" s="117">
        <f>IF(OR($M2431="",$M2431="NB"),"",IF($J2431&lt;&gt;"",TEXT($J2431,"00"),IFERROR(VLOOKUP(LEFT($N2431,4),LCTT_MAP!$A$7:$C$66,IF($M2431="THU",2,3),FALSE()),IFERROR(VLOOKUP(LEFT($N2431,3),LCTT_MAP!$A$7:$C$66,IF($M2431="THU",2,3),FALSE()),IFERROR(VLOOKUP(LEFT($N2431,2),LCTT_MAP!$A$7:$C$66,IF($M2431="THU",2,3),FALSE()),IFERROR(VLOOKUP(LEFT($N2431,1),LCTT_MAP!$A$7:$C$66,IF($M2431="THU",2,3),FALSE()),IF($M2431="THU","06","07")))))))</f>
        <v/>
      </c>
      <c r="P2431" s="117">
        <f>P2430+IF(AND($H2431&lt;&gt;"",OR(LEFT($F2431,LEN(SC_TK))=SC_TK,LEFT($G2431,LEN(SC_TK))=SC_TK)),1,0)</f>
        <v/>
      </c>
    </row>
    <row r="2432" ht="15" customHeight="1" s="78">
      <c r="A2432" s="95">
        <f>IF($H2432="","",ROW()-6)</f>
        <v/>
      </c>
      <c r="B2432" s="114" t="n"/>
      <c r="C2432" s="102" t="n"/>
      <c r="D2432" s="114" t="n"/>
      <c r="E2432" s="103" t="n"/>
      <c r="F2432" s="102" t="n"/>
      <c r="G2432" s="102" t="n"/>
      <c r="H2432" s="115" t="n"/>
      <c r="I2432" s="102" t="n"/>
      <c r="J2432" s="102" t="n"/>
      <c r="K2432" s="103" t="n"/>
      <c r="L2432" s="116">
        <f>IF($H2432="","",TRIM(IF(COUNTIF(DMTK!$A$7:$A$250,$F2432)=0,"TK Nợ sai! ","")&amp;IF(COUNTIF(DMTK!$A$7:$A$250,$G2432)=0,"TK Có sai! ","")&amp;IF(N($H2432)&lt;=0,"Tiền phải &gt; 0! ","")&amp;IF($B2432="","Thiếu ngày! ","")&amp;IF(AND(OR(LEFT($F2432,3)="131",LEFT($G2432,3)="131",LEFT($F2432,3)="331",LEFT($G2432,3)="331"),$I2432=""),"Thiếu Mã ĐT! ","")&amp;IF(AND($I2432&lt;&gt;"",COUNTIF(DM_DT!$A$7:$A$306,$I2432)=0),"Mã ĐT chưa khai báo! ","")))</f>
        <v/>
      </c>
      <c r="M2432" s="117">
        <f>IF($H2432="","",IF(AND(OR(LEFT($F2432,3)="111",LEFT($F2432,3)="112",LEFT($F2432,3)="113"),OR(LEFT($G2432,3)="111",LEFT($G2432,3)="112",LEFT($G2432,3)="113")),"NB",IF(OR(LEFT($F2432,3)="111",LEFT($F2432,3)="112",LEFT($F2432,3)="113"),"THU",IF(OR(LEFT($G2432,3)="111",LEFT($G2432,3)="112",LEFT($G2432,3)="113"),"CHI",""))))</f>
        <v/>
      </c>
      <c r="N2432" s="117">
        <f>IF($M2432="THU",$G2432,IF($M2432="CHI",$F2432,""))</f>
        <v/>
      </c>
      <c r="O2432" s="117">
        <f>IF(OR($M2432="",$M2432="NB"),"",IF($J2432&lt;&gt;"",TEXT($J2432,"00"),IFERROR(VLOOKUP(LEFT($N2432,4),LCTT_MAP!$A$7:$C$66,IF($M2432="THU",2,3),FALSE()),IFERROR(VLOOKUP(LEFT($N2432,3),LCTT_MAP!$A$7:$C$66,IF($M2432="THU",2,3),FALSE()),IFERROR(VLOOKUP(LEFT($N2432,2),LCTT_MAP!$A$7:$C$66,IF($M2432="THU",2,3),FALSE()),IFERROR(VLOOKUP(LEFT($N2432,1),LCTT_MAP!$A$7:$C$66,IF($M2432="THU",2,3),FALSE()),IF($M2432="THU","06","07")))))))</f>
        <v/>
      </c>
      <c r="P2432" s="117">
        <f>P2431+IF(AND($H2432&lt;&gt;"",OR(LEFT($F2432,LEN(SC_TK))=SC_TK,LEFT($G2432,LEN(SC_TK))=SC_TK)),1,0)</f>
        <v/>
      </c>
    </row>
    <row r="2433" ht="15" customHeight="1" s="78">
      <c r="A2433" s="95">
        <f>IF($H2433="","",ROW()-6)</f>
        <v/>
      </c>
      <c r="B2433" s="114" t="n"/>
      <c r="C2433" s="102" t="n"/>
      <c r="D2433" s="114" t="n"/>
      <c r="E2433" s="103" t="n"/>
      <c r="F2433" s="102" t="n"/>
      <c r="G2433" s="102" t="n"/>
      <c r="H2433" s="115" t="n"/>
      <c r="I2433" s="102" t="n"/>
      <c r="J2433" s="102" t="n"/>
      <c r="K2433" s="103" t="n"/>
      <c r="L2433" s="116">
        <f>IF($H2433="","",TRIM(IF(COUNTIF(DMTK!$A$7:$A$250,$F2433)=0,"TK Nợ sai! ","")&amp;IF(COUNTIF(DMTK!$A$7:$A$250,$G2433)=0,"TK Có sai! ","")&amp;IF(N($H2433)&lt;=0,"Tiền phải &gt; 0! ","")&amp;IF($B2433="","Thiếu ngày! ","")&amp;IF(AND(OR(LEFT($F2433,3)="131",LEFT($G2433,3)="131",LEFT($F2433,3)="331",LEFT($G2433,3)="331"),$I2433=""),"Thiếu Mã ĐT! ","")&amp;IF(AND($I2433&lt;&gt;"",COUNTIF(DM_DT!$A$7:$A$306,$I2433)=0),"Mã ĐT chưa khai báo! ","")))</f>
        <v/>
      </c>
      <c r="M2433" s="117">
        <f>IF($H2433="","",IF(AND(OR(LEFT($F2433,3)="111",LEFT($F2433,3)="112",LEFT($F2433,3)="113"),OR(LEFT($G2433,3)="111",LEFT($G2433,3)="112",LEFT($G2433,3)="113")),"NB",IF(OR(LEFT($F2433,3)="111",LEFT($F2433,3)="112",LEFT($F2433,3)="113"),"THU",IF(OR(LEFT($G2433,3)="111",LEFT($G2433,3)="112",LEFT($G2433,3)="113"),"CHI",""))))</f>
        <v/>
      </c>
      <c r="N2433" s="117">
        <f>IF($M2433="THU",$G2433,IF($M2433="CHI",$F2433,""))</f>
        <v/>
      </c>
      <c r="O2433" s="117">
        <f>IF(OR($M2433="",$M2433="NB"),"",IF($J2433&lt;&gt;"",TEXT($J2433,"00"),IFERROR(VLOOKUP(LEFT($N2433,4),LCTT_MAP!$A$7:$C$66,IF($M2433="THU",2,3),FALSE()),IFERROR(VLOOKUP(LEFT($N2433,3),LCTT_MAP!$A$7:$C$66,IF($M2433="THU",2,3),FALSE()),IFERROR(VLOOKUP(LEFT($N2433,2),LCTT_MAP!$A$7:$C$66,IF($M2433="THU",2,3),FALSE()),IFERROR(VLOOKUP(LEFT($N2433,1),LCTT_MAP!$A$7:$C$66,IF($M2433="THU",2,3),FALSE()),IF($M2433="THU","06","07")))))))</f>
        <v/>
      </c>
      <c r="P2433" s="117">
        <f>P2432+IF(AND($H2433&lt;&gt;"",OR(LEFT($F2433,LEN(SC_TK))=SC_TK,LEFT($G2433,LEN(SC_TK))=SC_TK)),1,0)</f>
        <v/>
      </c>
    </row>
    <row r="2434" ht="15" customHeight="1" s="78">
      <c r="A2434" s="95">
        <f>IF($H2434="","",ROW()-6)</f>
        <v/>
      </c>
      <c r="B2434" s="114" t="n"/>
      <c r="C2434" s="102" t="n"/>
      <c r="D2434" s="114" t="n"/>
      <c r="E2434" s="103" t="n"/>
      <c r="F2434" s="102" t="n"/>
      <c r="G2434" s="102" t="n"/>
      <c r="H2434" s="115" t="n"/>
      <c r="I2434" s="102" t="n"/>
      <c r="J2434" s="102" t="n"/>
      <c r="K2434" s="103" t="n"/>
      <c r="L2434" s="116">
        <f>IF($H2434="","",TRIM(IF(COUNTIF(DMTK!$A$7:$A$250,$F2434)=0,"TK Nợ sai! ","")&amp;IF(COUNTIF(DMTK!$A$7:$A$250,$G2434)=0,"TK Có sai! ","")&amp;IF(N($H2434)&lt;=0,"Tiền phải &gt; 0! ","")&amp;IF($B2434="","Thiếu ngày! ","")&amp;IF(AND(OR(LEFT($F2434,3)="131",LEFT($G2434,3)="131",LEFT($F2434,3)="331",LEFT($G2434,3)="331"),$I2434=""),"Thiếu Mã ĐT! ","")&amp;IF(AND($I2434&lt;&gt;"",COUNTIF(DM_DT!$A$7:$A$306,$I2434)=0),"Mã ĐT chưa khai báo! ","")))</f>
        <v/>
      </c>
      <c r="M2434" s="117">
        <f>IF($H2434="","",IF(AND(OR(LEFT($F2434,3)="111",LEFT($F2434,3)="112",LEFT($F2434,3)="113"),OR(LEFT($G2434,3)="111",LEFT($G2434,3)="112",LEFT($G2434,3)="113")),"NB",IF(OR(LEFT($F2434,3)="111",LEFT($F2434,3)="112",LEFT($F2434,3)="113"),"THU",IF(OR(LEFT($G2434,3)="111",LEFT($G2434,3)="112",LEFT($G2434,3)="113"),"CHI",""))))</f>
        <v/>
      </c>
      <c r="N2434" s="117">
        <f>IF($M2434="THU",$G2434,IF($M2434="CHI",$F2434,""))</f>
        <v/>
      </c>
      <c r="O2434" s="117">
        <f>IF(OR($M2434="",$M2434="NB"),"",IF($J2434&lt;&gt;"",TEXT($J2434,"00"),IFERROR(VLOOKUP(LEFT($N2434,4),LCTT_MAP!$A$7:$C$66,IF($M2434="THU",2,3),FALSE()),IFERROR(VLOOKUP(LEFT($N2434,3),LCTT_MAP!$A$7:$C$66,IF($M2434="THU",2,3),FALSE()),IFERROR(VLOOKUP(LEFT($N2434,2),LCTT_MAP!$A$7:$C$66,IF($M2434="THU",2,3),FALSE()),IFERROR(VLOOKUP(LEFT($N2434,1),LCTT_MAP!$A$7:$C$66,IF($M2434="THU",2,3),FALSE()),IF($M2434="THU","06","07")))))))</f>
        <v/>
      </c>
      <c r="P2434" s="117">
        <f>P2433+IF(AND($H2434&lt;&gt;"",OR(LEFT($F2434,LEN(SC_TK))=SC_TK,LEFT($G2434,LEN(SC_TK))=SC_TK)),1,0)</f>
        <v/>
      </c>
    </row>
    <row r="2435" ht="15" customHeight="1" s="78">
      <c r="A2435" s="95">
        <f>IF($H2435="","",ROW()-6)</f>
        <v/>
      </c>
      <c r="B2435" s="114" t="n"/>
      <c r="C2435" s="102" t="n"/>
      <c r="D2435" s="114" t="n"/>
      <c r="E2435" s="103" t="n"/>
      <c r="F2435" s="102" t="n"/>
      <c r="G2435" s="102" t="n"/>
      <c r="H2435" s="115" t="n"/>
      <c r="I2435" s="102" t="n"/>
      <c r="J2435" s="102" t="n"/>
      <c r="K2435" s="103" t="n"/>
      <c r="L2435" s="116">
        <f>IF($H2435="","",TRIM(IF(COUNTIF(DMTK!$A$7:$A$250,$F2435)=0,"TK Nợ sai! ","")&amp;IF(COUNTIF(DMTK!$A$7:$A$250,$G2435)=0,"TK Có sai! ","")&amp;IF(N($H2435)&lt;=0,"Tiền phải &gt; 0! ","")&amp;IF($B2435="","Thiếu ngày! ","")&amp;IF(AND(OR(LEFT($F2435,3)="131",LEFT($G2435,3)="131",LEFT($F2435,3)="331",LEFT($G2435,3)="331"),$I2435=""),"Thiếu Mã ĐT! ","")&amp;IF(AND($I2435&lt;&gt;"",COUNTIF(DM_DT!$A$7:$A$306,$I2435)=0),"Mã ĐT chưa khai báo! ","")))</f>
        <v/>
      </c>
      <c r="M2435" s="117">
        <f>IF($H2435="","",IF(AND(OR(LEFT($F2435,3)="111",LEFT($F2435,3)="112",LEFT($F2435,3)="113"),OR(LEFT($G2435,3)="111",LEFT($G2435,3)="112",LEFT($G2435,3)="113")),"NB",IF(OR(LEFT($F2435,3)="111",LEFT($F2435,3)="112",LEFT($F2435,3)="113"),"THU",IF(OR(LEFT($G2435,3)="111",LEFT($G2435,3)="112",LEFT($G2435,3)="113"),"CHI",""))))</f>
        <v/>
      </c>
      <c r="N2435" s="117">
        <f>IF($M2435="THU",$G2435,IF($M2435="CHI",$F2435,""))</f>
        <v/>
      </c>
      <c r="O2435" s="117">
        <f>IF(OR($M2435="",$M2435="NB"),"",IF($J2435&lt;&gt;"",TEXT($J2435,"00"),IFERROR(VLOOKUP(LEFT($N2435,4),LCTT_MAP!$A$7:$C$66,IF($M2435="THU",2,3),FALSE()),IFERROR(VLOOKUP(LEFT($N2435,3),LCTT_MAP!$A$7:$C$66,IF($M2435="THU",2,3),FALSE()),IFERROR(VLOOKUP(LEFT($N2435,2),LCTT_MAP!$A$7:$C$66,IF($M2435="THU",2,3),FALSE()),IFERROR(VLOOKUP(LEFT($N2435,1),LCTT_MAP!$A$7:$C$66,IF($M2435="THU",2,3),FALSE()),IF($M2435="THU","06","07")))))))</f>
        <v/>
      </c>
      <c r="P2435" s="117">
        <f>P2434+IF(AND($H2435&lt;&gt;"",OR(LEFT($F2435,LEN(SC_TK))=SC_TK,LEFT($G2435,LEN(SC_TK))=SC_TK)),1,0)</f>
        <v/>
      </c>
    </row>
    <row r="2436" ht="15" customHeight="1" s="78">
      <c r="A2436" s="95">
        <f>IF($H2436="","",ROW()-6)</f>
        <v/>
      </c>
      <c r="B2436" s="114" t="n"/>
      <c r="C2436" s="102" t="n"/>
      <c r="D2436" s="114" t="n"/>
      <c r="E2436" s="103" t="n"/>
      <c r="F2436" s="102" t="n"/>
      <c r="G2436" s="102" t="n"/>
      <c r="H2436" s="115" t="n"/>
      <c r="I2436" s="102" t="n"/>
      <c r="J2436" s="102" t="n"/>
      <c r="K2436" s="103" t="n"/>
      <c r="L2436" s="116">
        <f>IF($H2436="","",TRIM(IF(COUNTIF(DMTK!$A$7:$A$250,$F2436)=0,"TK Nợ sai! ","")&amp;IF(COUNTIF(DMTK!$A$7:$A$250,$G2436)=0,"TK Có sai! ","")&amp;IF(N($H2436)&lt;=0,"Tiền phải &gt; 0! ","")&amp;IF($B2436="","Thiếu ngày! ","")&amp;IF(AND(OR(LEFT($F2436,3)="131",LEFT($G2436,3)="131",LEFT($F2436,3)="331",LEFT($G2436,3)="331"),$I2436=""),"Thiếu Mã ĐT! ","")&amp;IF(AND($I2436&lt;&gt;"",COUNTIF(DM_DT!$A$7:$A$306,$I2436)=0),"Mã ĐT chưa khai báo! ","")))</f>
        <v/>
      </c>
      <c r="M2436" s="117">
        <f>IF($H2436="","",IF(AND(OR(LEFT($F2436,3)="111",LEFT($F2436,3)="112",LEFT($F2436,3)="113"),OR(LEFT($G2436,3)="111",LEFT($G2436,3)="112",LEFT($G2436,3)="113")),"NB",IF(OR(LEFT($F2436,3)="111",LEFT($F2436,3)="112",LEFT($F2436,3)="113"),"THU",IF(OR(LEFT($G2436,3)="111",LEFT($G2436,3)="112",LEFT($G2436,3)="113"),"CHI",""))))</f>
        <v/>
      </c>
      <c r="N2436" s="117">
        <f>IF($M2436="THU",$G2436,IF($M2436="CHI",$F2436,""))</f>
        <v/>
      </c>
      <c r="O2436" s="117">
        <f>IF(OR($M2436="",$M2436="NB"),"",IF($J2436&lt;&gt;"",TEXT($J2436,"00"),IFERROR(VLOOKUP(LEFT($N2436,4),LCTT_MAP!$A$7:$C$66,IF($M2436="THU",2,3),FALSE()),IFERROR(VLOOKUP(LEFT($N2436,3),LCTT_MAP!$A$7:$C$66,IF($M2436="THU",2,3),FALSE()),IFERROR(VLOOKUP(LEFT($N2436,2),LCTT_MAP!$A$7:$C$66,IF($M2436="THU",2,3),FALSE()),IFERROR(VLOOKUP(LEFT($N2436,1),LCTT_MAP!$A$7:$C$66,IF($M2436="THU",2,3),FALSE()),IF($M2436="THU","06","07")))))))</f>
        <v/>
      </c>
      <c r="P2436" s="117">
        <f>P2435+IF(AND($H2436&lt;&gt;"",OR(LEFT($F2436,LEN(SC_TK))=SC_TK,LEFT($G2436,LEN(SC_TK))=SC_TK)),1,0)</f>
        <v/>
      </c>
    </row>
    <row r="2437" ht="15" customHeight="1" s="78">
      <c r="A2437" s="95">
        <f>IF($H2437="","",ROW()-6)</f>
        <v/>
      </c>
      <c r="B2437" s="114" t="n"/>
      <c r="C2437" s="102" t="n"/>
      <c r="D2437" s="114" t="n"/>
      <c r="E2437" s="103" t="n"/>
      <c r="F2437" s="102" t="n"/>
      <c r="G2437" s="102" t="n"/>
      <c r="H2437" s="115" t="n"/>
      <c r="I2437" s="102" t="n"/>
      <c r="J2437" s="102" t="n"/>
      <c r="K2437" s="103" t="n"/>
      <c r="L2437" s="116">
        <f>IF($H2437="","",TRIM(IF(COUNTIF(DMTK!$A$7:$A$250,$F2437)=0,"TK Nợ sai! ","")&amp;IF(COUNTIF(DMTK!$A$7:$A$250,$G2437)=0,"TK Có sai! ","")&amp;IF(N($H2437)&lt;=0,"Tiền phải &gt; 0! ","")&amp;IF($B2437="","Thiếu ngày! ","")&amp;IF(AND(OR(LEFT($F2437,3)="131",LEFT($G2437,3)="131",LEFT($F2437,3)="331",LEFT($G2437,3)="331"),$I2437=""),"Thiếu Mã ĐT! ","")&amp;IF(AND($I2437&lt;&gt;"",COUNTIF(DM_DT!$A$7:$A$306,$I2437)=0),"Mã ĐT chưa khai báo! ","")))</f>
        <v/>
      </c>
      <c r="M2437" s="117">
        <f>IF($H2437="","",IF(AND(OR(LEFT($F2437,3)="111",LEFT($F2437,3)="112",LEFT($F2437,3)="113"),OR(LEFT($G2437,3)="111",LEFT($G2437,3)="112",LEFT($G2437,3)="113")),"NB",IF(OR(LEFT($F2437,3)="111",LEFT($F2437,3)="112",LEFT($F2437,3)="113"),"THU",IF(OR(LEFT($G2437,3)="111",LEFT($G2437,3)="112",LEFT($G2437,3)="113"),"CHI",""))))</f>
        <v/>
      </c>
      <c r="N2437" s="117">
        <f>IF($M2437="THU",$G2437,IF($M2437="CHI",$F2437,""))</f>
        <v/>
      </c>
      <c r="O2437" s="117">
        <f>IF(OR($M2437="",$M2437="NB"),"",IF($J2437&lt;&gt;"",TEXT($J2437,"00"),IFERROR(VLOOKUP(LEFT($N2437,4),LCTT_MAP!$A$7:$C$66,IF($M2437="THU",2,3),FALSE()),IFERROR(VLOOKUP(LEFT($N2437,3),LCTT_MAP!$A$7:$C$66,IF($M2437="THU",2,3),FALSE()),IFERROR(VLOOKUP(LEFT($N2437,2),LCTT_MAP!$A$7:$C$66,IF($M2437="THU",2,3),FALSE()),IFERROR(VLOOKUP(LEFT($N2437,1),LCTT_MAP!$A$7:$C$66,IF($M2437="THU",2,3),FALSE()),IF($M2437="THU","06","07")))))))</f>
        <v/>
      </c>
      <c r="P2437" s="117">
        <f>P2436+IF(AND($H2437&lt;&gt;"",OR(LEFT($F2437,LEN(SC_TK))=SC_TK,LEFT($G2437,LEN(SC_TK))=SC_TK)),1,0)</f>
        <v/>
      </c>
    </row>
    <row r="2438" ht="15" customHeight="1" s="78">
      <c r="A2438" s="95">
        <f>IF($H2438="","",ROW()-6)</f>
        <v/>
      </c>
      <c r="B2438" s="114" t="n"/>
      <c r="C2438" s="102" t="n"/>
      <c r="D2438" s="114" t="n"/>
      <c r="E2438" s="103" t="n"/>
      <c r="F2438" s="102" t="n"/>
      <c r="G2438" s="102" t="n"/>
      <c r="H2438" s="115" t="n"/>
      <c r="I2438" s="102" t="n"/>
      <c r="J2438" s="102" t="n"/>
      <c r="K2438" s="103" t="n"/>
      <c r="L2438" s="116">
        <f>IF($H2438="","",TRIM(IF(COUNTIF(DMTK!$A$7:$A$250,$F2438)=0,"TK Nợ sai! ","")&amp;IF(COUNTIF(DMTK!$A$7:$A$250,$G2438)=0,"TK Có sai! ","")&amp;IF(N($H2438)&lt;=0,"Tiền phải &gt; 0! ","")&amp;IF($B2438="","Thiếu ngày! ","")&amp;IF(AND(OR(LEFT($F2438,3)="131",LEFT($G2438,3)="131",LEFT($F2438,3)="331",LEFT($G2438,3)="331"),$I2438=""),"Thiếu Mã ĐT! ","")&amp;IF(AND($I2438&lt;&gt;"",COUNTIF(DM_DT!$A$7:$A$306,$I2438)=0),"Mã ĐT chưa khai báo! ","")))</f>
        <v/>
      </c>
      <c r="M2438" s="117">
        <f>IF($H2438="","",IF(AND(OR(LEFT($F2438,3)="111",LEFT($F2438,3)="112",LEFT($F2438,3)="113"),OR(LEFT($G2438,3)="111",LEFT($G2438,3)="112",LEFT($G2438,3)="113")),"NB",IF(OR(LEFT($F2438,3)="111",LEFT($F2438,3)="112",LEFT($F2438,3)="113"),"THU",IF(OR(LEFT($G2438,3)="111",LEFT($G2438,3)="112",LEFT($G2438,3)="113"),"CHI",""))))</f>
        <v/>
      </c>
      <c r="N2438" s="117">
        <f>IF($M2438="THU",$G2438,IF($M2438="CHI",$F2438,""))</f>
        <v/>
      </c>
      <c r="O2438" s="117">
        <f>IF(OR($M2438="",$M2438="NB"),"",IF($J2438&lt;&gt;"",TEXT($J2438,"00"),IFERROR(VLOOKUP(LEFT($N2438,4),LCTT_MAP!$A$7:$C$66,IF($M2438="THU",2,3),FALSE()),IFERROR(VLOOKUP(LEFT($N2438,3),LCTT_MAP!$A$7:$C$66,IF($M2438="THU",2,3),FALSE()),IFERROR(VLOOKUP(LEFT($N2438,2),LCTT_MAP!$A$7:$C$66,IF($M2438="THU",2,3),FALSE()),IFERROR(VLOOKUP(LEFT($N2438,1),LCTT_MAP!$A$7:$C$66,IF($M2438="THU",2,3),FALSE()),IF($M2438="THU","06","07")))))))</f>
        <v/>
      </c>
      <c r="P2438" s="117">
        <f>P2437+IF(AND($H2438&lt;&gt;"",OR(LEFT($F2438,LEN(SC_TK))=SC_TK,LEFT($G2438,LEN(SC_TK))=SC_TK)),1,0)</f>
        <v/>
      </c>
    </row>
    <row r="2439" ht="15" customHeight="1" s="78">
      <c r="A2439" s="95">
        <f>IF($H2439="","",ROW()-6)</f>
        <v/>
      </c>
      <c r="B2439" s="114" t="n"/>
      <c r="C2439" s="102" t="n"/>
      <c r="D2439" s="114" t="n"/>
      <c r="E2439" s="103" t="n"/>
      <c r="F2439" s="102" t="n"/>
      <c r="G2439" s="102" t="n"/>
      <c r="H2439" s="115" t="n"/>
      <c r="I2439" s="102" t="n"/>
      <c r="J2439" s="102" t="n"/>
      <c r="K2439" s="103" t="n"/>
      <c r="L2439" s="116">
        <f>IF($H2439="","",TRIM(IF(COUNTIF(DMTK!$A$7:$A$250,$F2439)=0,"TK Nợ sai! ","")&amp;IF(COUNTIF(DMTK!$A$7:$A$250,$G2439)=0,"TK Có sai! ","")&amp;IF(N($H2439)&lt;=0,"Tiền phải &gt; 0! ","")&amp;IF($B2439="","Thiếu ngày! ","")&amp;IF(AND(OR(LEFT($F2439,3)="131",LEFT($G2439,3)="131",LEFT($F2439,3)="331",LEFT($G2439,3)="331"),$I2439=""),"Thiếu Mã ĐT! ","")&amp;IF(AND($I2439&lt;&gt;"",COUNTIF(DM_DT!$A$7:$A$306,$I2439)=0),"Mã ĐT chưa khai báo! ","")))</f>
        <v/>
      </c>
      <c r="M2439" s="117">
        <f>IF($H2439="","",IF(AND(OR(LEFT($F2439,3)="111",LEFT($F2439,3)="112",LEFT($F2439,3)="113"),OR(LEFT($G2439,3)="111",LEFT($G2439,3)="112",LEFT($G2439,3)="113")),"NB",IF(OR(LEFT($F2439,3)="111",LEFT($F2439,3)="112",LEFT($F2439,3)="113"),"THU",IF(OR(LEFT($G2439,3)="111",LEFT($G2439,3)="112",LEFT($G2439,3)="113"),"CHI",""))))</f>
        <v/>
      </c>
      <c r="N2439" s="117">
        <f>IF($M2439="THU",$G2439,IF($M2439="CHI",$F2439,""))</f>
        <v/>
      </c>
      <c r="O2439" s="117">
        <f>IF(OR($M2439="",$M2439="NB"),"",IF($J2439&lt;&gt;"",TEXT($J2439,"00"),IFERROR(VLOOKUP(LEFT($N2439,4),LCTT_MAP!$A$7:$C$66,IF($M2439="THU",2,3),FALSE()),IFERROR(VLOOKUP(LEFT($N2439,3),LCTT_MAP!$A$7:$C$66,IF($M2439="THU",2,3),FALSE()),IFERROR(VLOOKUP(LEFT($N2439,2),LCTT_MAP!$A$7:$C$66,IF($M2439="THU",2,3),FALSE()),IFERROR(VLOOKUP(LEFT($N2439,1),LCTT_MAP!$A$7:$C$66,IF($M2439="THU",2,3),FALSE()),IF($M2439="THU","06","07")))))))</f>
        <v/>
      </c>
      <c r="P2439" s="117">
        <f>P2438+IF(AND($H2439&lt;&gt;"",OR(LEFT($F2439,LEN(SC_TK))=SC_TK,LEFT($G2439,LEN(SC_TK))=SC_TK)),1,0)</f>
        <v/>
      </c>
    </row>
    <row r="2440" ht="15" customHeight="1" s="78">
      <c r="A2440" s="95">
        <f>IF($H2440="","",ROW()-6)</f>
        <v/>
      </c>
      <c r="B2440" s="114" t="n"/>
      <c r="C2440" s="102" t="n"/>
      <c r="D2440" s="114" t="n"/>
      <c r="E2440" s="103" t="n"/>
      <c r="F2440" s="102" t="n"/>
      <c r="G2440" s="102" t="n"/>
      <c r="H2440" s="115" t="n"/>
      <c r="I2440" s="102" t="n"/>
      <c r="J2440" s="102" t="n"/>
      <c r="K2440" s="103" t="n"/>
      <c r="L2440" s="116">
        <f>IF($H2440="","",TRIM(IF(COUNTIF(DMTK!$A$7:$A$250,$F2440)=0,"TK Nợ sai! ","")&amp;IF(COUNTIF(DMTK!$A$7:$A$250,$G2440)=0,"TK Có sai! ","")&amp;IF(N($H2440)&lt;=0,"Tiền phải &gt; 0! ","")&amp;IF($B2440="","Thiếu ngày! ","")&amp;IF(AND(OR(LEFT($F2440,3)="131",LEFT($G2440,3)="131",LEFT($F2440,3)="331",LEFT($G2440,3)="331"),$I2440=""),"Thiếu Mã ĐT! ","")&amp;IF(AND($I2440&lt;&gt;"",COUNTIF(DM_DT!$A$7:$A$306,$I2440)=0),"Mã ĐT chưa khai báo! ","")))</f>
        <v/>
      </c>
      <c r="M2440" s="117">
        <f>IF($H2440="","",IF(AND(OR(LEFT($F2440,3)="111",LEFT($F2440,3)="112",LEFT($F2440,3)="113"),OR(LEFT($G2440,3)="111",LEFT($G2440,3)="112",LEFT($G2440,3)="113")),"NB",IF(OR(LEFT($F2440,3)="111",LEFT($F2440,3)="112",LEFT($F2440,3)="113"),"THU",IF(OR(LEFT($G2440,3)="111",LEFT($G2440,3)="112",LEFT($G2440,3)="113"),"CHI",""))))</f>
        <v/>
      </c>
      <c r="N2440" s="117">
        <f>IF($M2440="THU",$G2440,IF($M2440="CHI",$F2440,""))</f>
        <v/>
      </c>
      <c r="O2440" s="117">
        <f>IF(OR($M2440="",$M2440="NB"),"",IF($J2440&lt;&gt;"",TEXT($J2440,"00"),IFERROR(VLOOKUP(LEFT($N2440,4),LCTT_MAP!$A$7:$C$66,IF($M2440="THU",2,3),FALSE()),IFERROR(VLOOKUP(LEFT($N2440,3),LCTT_MAP!$A$7:$C$66,IF($M2440="THU",2,3),FALSE()),IFERROR(VLOOKUP(LEFT($N2440,2),LCTT_MAP!$A$7:$C$66,IF($M2440="THU",2,3),FALSE()),IFERROR(VLOOKUP(LEFT($N2440,1),LCTT_MAP!$A$7:$C$66,IF($M2440="THU",2,3),FALSE()),IF($M2440="THU","06","07")))))))</f>
        <v/>
      </c>
      <c r="P2440" s="117">
        <f>P2439+IF(AND($H2440&lt;&gt;"",OR(LEFT($F2440,LEN(SC_TK))=SC_TK,LEFT($G2440,LEN(SC_TK))=SC_TK)),1,0)</f>
        <v/>
      </c>
    </row>
    <row r="2441" ht="15" customHeight="1" s="78">
      <c r="A2441" s="95">
        <f>IF($H2441="","",ROW()-6)</f>
        <v/>
      </c>
      <c r="B2441" s="114" t="n"/>
      <c r="C2441" s="102" t="n"/>
      <c r="D2441" s="114" t="n"/>
      <c r="E2441" s="103" t="n"/>
      <c r="F2441" s="102" t="n"/>
      <c r="G2441" s="102" t="n"/>
      <c r="H2441" s="115" t="n"/>
      <c r="I2441" s="102" t="n"/>
      <c r="J2441" s="102" t="n"/>
      <c r="K2441" s="103" t="n"/>
      <c r="L2441" s="116">
        <f>IF($H2441="","",TRIM(IF(COUNTIF(DMTK!$A$7:$A$250,$F2441)=0,"TK Nợ sai! ","")&amp;IF(COUNTIF(DMTK!$A$7:$A$250,$G2441)=0,"TK Có sai! ","")&amp;IF(N($H2441)&lt;=0,"Tiền phải &gt; 0! ","")&amp;IF($B2441="","Thiếu ngày! ","")&amp;IF(AND(OR(LEFT($F2441,3)="131",LEFT($G2441,3)="131",LEFT($F2441,3)="331",LEFT($G2441,3)="331"),$I2441=""),"Thiếu Mã ĐT! ","")&amp;IF(AND($I2441&lt;&gt;"",COUNTIF(DM_DT!$A$7:$A$306,$I2441)=0),"Mã ĐT chưa khai báo! ","")))</f>
        <v/>
      </c>
      <c r="M2441" s="117">
        <f>IF($H2441="","",IF(AND(OR(LEFT($F2441,3)="111",LEFT($F2441,3)="112",LEFT($F2441,3)="113"),OR(LEFT($G2441,3)="111",LEFT($G2441,3)="112",LEFT($G2441,3)="113")),"NB",IF(OR(LEFT($F2441,3)="111",LEFT($F2441,3)="112",LEFT($F2441,3)="113"),"THU",IF(OR(LEFT($G2441,3)="111",LEFT($G2441,3)="112",LEFT($G2441,3)="113"),"CHI",""))))</f>
        <v/>
      </c>
      <c r="N2441" s="117">
        <f>IF($M2441="THU",$G2441,IF($M2441="CHI",$F2441,""))</f>
        <v/>
      </c>
      <c r="O2441" s="117">
        <f>IF(OR($M2441="",$M2441="NB"),"",IF($J2441&lt;&gt;"",TEXT($J2441,"00"),IFERROR(VLOOKUP(LEFT($N2441,4),LCTT_MAP!$A$7:$C$66,IF($M2441="THU",2,3),FALSE()),IFERROR(VLOOKUP(LEFT($N2441,3),LCTT_MAP!$A$7:$C$66,IF($M2441="THU",2,3),FALSE()),IFERROR(VLOOKUP(LEFT($N2441,2),LCTT_MAP!$A$7:$C$66,IF($M2441="THU",2,3),FALSE()),IFERROR(VLOOKUP(LEFT($N2441,1),LCTT_MAP!$A$7:$C$66,IF($M2441="THU",2,3),FALSE()),IF($M2441="THU","06","07")))))))</f>
        <v/>
      </c>
      <c r="P2441" s="117">
        <f>P2440+IF(AND($H2441&lt;&gt;"",OR(LEFT($F2441,LEN(SC_TK))=SC_TK,LEFT($G2441,LEN(SC_TK))=SC_TK)),1,0)</f>
        <v/>
      </c>
    </row>
    <row r="2442" ht="15" customHeight="1" s="78">
      <c r="A2442" s="95">
        <f>IF($H2442="","",ROW()-6)</f>
        <v/>
      </c>
      <c r="B2442" s="114" t="n"/>
      <c r="C2442" s="102" t="n"/>
      <c r="D2442" s="114" t="n"/>
      <c r="E2442" s="103" t="n"/>
      <c r="F2442" s="102" t="n"/>
      <c r="G2442" s="102" t="n"/>
      <c r="H2442" s="115" t="n"/>
      <c r="I2442" s="102" t="n"/>
      <c r="J2442" s="102" t="n"/>
      <c r="K2442" s="103" t="n"/>
      <c r="L2442" s="116">
        <f>IF($H2442="","",TRIM(IF(COUNTIF(DMTK!$A$7:$A$250,$F2442)=0,"TK Nợ sai! ","")&amp;IF(COUNTIF(DMTK!$A$7:$A$250,$G2442)=0,"TK Có sai! ","")&amp;IF(N($H2442)&lt;=0,"Tiền phải &gt; 0! ","")&amp;IF($B2442="","Thiếu ngày! ","")&amp;IF(AND(OR(LEFT($F2442,3)="131",LEFT($G2442,3)="131",LEFT($F2442,3)="331",LEFT($G2442,3)="331"),$I2442=""),"Thiếu Mã ĐT! ","")&amp;IF(AND($I2442&lt;&gt;"",COUNTIF(DM_DT!$A$7:$A$306,$I2442)=0),"Mã ĐT chưa khai báo! ","")))</f>
        <v/>
      </c>
      <c r="M2442" s="117">
        <f>IF($H2442="","",IF(AND(OR(LEFT($F2442,3)="111",LEFT($F2442,3)="112",LEFT($F2442,3)="113"),OR(LEFT($G2442,3)="111",LEFT($G2442,3)="112",LEFT($G2442,3)="113")),"NB",IF(OR(LEFT($F2442,3)="111",LEFT($F2442,3)="112",LEFT($F2442,3)="113"),"THU",IF(OR(LEFT($G2442,3)="111",LEFT($G2442,3)="112",LEFT($G2442,3)="113"),"CHI",""))))</f>
        <v/>
      </c>
      <c r="N2442" s="117">
        <f>IF($M2442="THU",$G2442,IF($M2442="CHI",$F2442,""))</f>
        <v/>
      </c>
      <c r="O2442" s="117">
        <f>IF(OR($M2442="",$M2442="NB"),"",IF($J2442&lt;&gt;"",TEXT($J2442,"00"),IFERROR(VLOOKUP(LEFT($N2442,4),LCTT_MAP!$A$7:$C$66,IF($M2442="THU",2,3),FALSE()),IFERROR(VLOOKUP(LEFT($N2442,3),LCTT_MAP!$A$7:$C$66,IF($M2442="THU",2,3),FALSE()),IFERROR(VLOOKUP(LEFT($N2442,2),LCTT_MAP!$A$7:$C$66,IF($M2442="THU",2,3),FALSE()),IFERROR(VLOOKUP(LEFT($N2442,1),LCTT_MAP!$A$7:$C$66,IF($M2442="THU",2,3),FALSE()),IF($M2442="THU","06","07")))))))</f>
        <v/>
      </c>
      <c r="P2442" s="117">
        <f>P2441+IF(AND($H2442&lt;&gt;"",OR(LEFT($F2442,LEN(SC_TK))=SC_TK,LEFT($G2442,LEN(SC_TK))=SC_TK)),1,0)</f>
        <v/>
      </c>
    </row>
    <row r="2443" ht="15" customHeight="1" s="78">
      <c r="A2443" s="95">
        <f>IF($H2443="","",ROW()-6)</f>
        <v/>
      </c>
      <c r="B2443" s="114" t="n"/>
      <c r="C2443" s="102" t="n"/>
      <c r="D2443" s="114" t="n"/>
      <c r="E2443" s="103" t="n"/>
      <c r="F2443" s="102" t="n"/>
      <c r="G2443" s="102" t="n"/>
      <c r="H2443" s="115" t="n"/>
      <c r="I2443" s="102" t="n"/>
      <c r="J2443" s="102" t="n"/>
      <c r="K2443" s="103" t="n"/>
      <c r="L2443" s="116">
        <f>IF($H2443="","",TRIM(IF(COUNTIF(DMTK!$A$7:$A$250,$F2443)=0,"TK Nợ sai! ","")&amp;IF(COUNTIF(DMTK!$A$7:$A$250,$G2443)=0,"TK Có sai! ","")&amp;IF(N($H2443)&lt;=0,"Tiền phải &gt; 0! ","")&amp;IF($B2443="","Thiếu ngày! ","")&amp;IF(AND(OR(LEFT($F2443,3)="131",LEFT($G2443,3)="131",LEFT($F2443,3)="331",LEFT($G2443,3)="331"),$I2443=""),"Thiếu Mã ĐT! ","")&amp;IF(AND($I2443&lt;&gt;"",COUNTIF(DM_DT!$A$7:$A$306,$I2443)=0),"Mã ĐT chưa khai báo! ","")))</f>
        <v/>
      </c>
      <c r="M2443" s="117">
        <f>IF($H2443="","",IF(AND(OR(LEFT($F2443,3)="111",LEFT($F2443,3)="112",LEFT($F2443,3)="113"),OR(LEFT($G2443,3)="111",LEFT($G2443,3)="112",LEFT($G2443,3)="113")),"NB",IF(OR(LEFT($F2443,3)="111",LEFT($F2443,3)="112",LEFT($F2443,3)="113"),"THU",IF(OR(LEFT($G2443,3)="111",LEFT($G2443,3)="112",LEFT($G2443,3)="113"),"CHI",""))))</f>
        <v/>
      </c>
      <c r="N2443" s="117">
        <f>IF($M2443="THU",$G2443,IF($M2443="CHI",$F2443,""))</f>
        <v/>
      </c>
      <c r="O2443" s="117">
        <f>IF(OR($M2443="",$M2443="NB"),"",IF($J2443&lt;&gt;"",TEXT($J2443,"00"),IFERROR(VLOOKUP(LEFT($N2443,4),LCTT_MAP!$A$7:$C$66,IF($M2443="THU",2,3),FALSE()),IFERROR(VLOOKUP(LEFT($N2443,3),LCTT_MAP!$A$7:$C$66,IF($M2443="THU",2,3),FALSE()),IFERROR(VLOOKUP(LEFT($N2443,2),LCTT_MAP!$A$7:$C$66,IF($M2443="THU",2,3),FALSE()),IFERROR(VLOOKUP(LEFT($N2443,1),LCTT_MAP!$A$7:$C$66,IF($M2443="THU",2,3),FALSE()),IF($M2443="THU","06","07")))))))</f>
        <v/>
      </c>
      <c r="P2443" s="117">
        <f>P2442+IF(AND($H2443&lt;&gt;"",OR(LEFT($F2443,LEN(SC_TK))=SC_TK,LEFT($G2443,LEN(SC_TK))=SC_TK)),1,0)</f>
        <v/>
      </c>
    </row>
    <row r="2444" ht="15" customHeight="1" s="78">
      <c r="A2444" s="95">
        <f>IF($H2444="","",ROW()-6)</f>
        <v/>
      </c>
      <c r="B2444" s="114" t="n"/>
      <c r="C2444" s="102" t="n"/>
      <c r="D2444" s="114" t="n"/>
      <c r="E2444" s="103" t="n"/>
      <c r="F2444" s="102" t="n"/>
      <c r="G2444" s="102" t="n"/>
      <c r="H2444" s="115" t="n"/>
      <c r="I2444" s="102" t="n"/>
      <c r="J2444" s="102" t="n"/>
      <c r="K2444" s="103" t="n"/>
      <c r="L2444" s="116">
        <f>IF($H2444="","",TRIM(IF(COUNTIF(DMTK!$A$7:$A$250,$F2444)=0,"TK Nợ sai! ","")&amp;IF(COUNTIF(DMTK!$A$7:$A$250,$G2444)=0,"TK Có sai! ","")&amp;IF(N($H2444)&lt;=0,"Tiền phải &gt; 0! ","")&amp;IF($B2444="","Thiếu ngày! ","")&amp;IF(AND(OR(LEFT($F2444,3)="131",LEFT($G2444,3)="131",LEFT($F2444,3)="331",LEFT($G2444,3)="331"),$I2444=""),"Thiếu Mã ĐT! ","")&amp;IF(AND($I2444&lt;&gt;"",COUNTIF(DM_DT!$A$7:$A$306,$I2444)=0),"Mã ĐT chưa khai báo! ","")))</f>
        <v/>
      </c>
      <c r="M2444" s="117">
        <f>IF($H2444="","",IF(AND(OR(LEFT($F2444,3)="111",LEFT($F2444,3)="112",LEFT($F2444,3)="113"),OR(LEFT($G2444,3)="111",LEFT($G2444,3)="112",LEFT($G2444,3)="113")),"NB",IF(OR(LEFT($F2444,3)="111",LEFT($F2444,3)="112",LEFT($F2444,3)="113"),"THU",IF(OR(LEFT($G2444,3)="111",LEFT($G2444,3)="112",LEFT($G2444,3)="113"),"CHI",""))))</f>
        <v/>
      </c>
      <c r="N2444" s="117">
        <f>IF($M2444="THU",$G2444,IF($M2444="CHI",$F2444,""))</f>
        <v/>
      </c>
      <c r="O2444" s="117">
        <f>IF(OR($M2444="",$M2444="NB"),"",IF($J2444&lt;&gt;"",TEXT($J2444,"00"),IFERROR(VLOOKUP(LEFT($N2444,4),LCTT_MAP!$A$7:$C$66,IF($M2444="THU",2,3),FALSE()),IFERROR(VLOOKUP(LEFT($N2444,3),LCTT_MAP!$A$7:$C$66,IF($M2444="THU",2,3),FALSE()),IFERROR(VLOOKUP(LEFT($N2444,2),LCTT_MAP!$A$7:$C$66,IF($M2444="THU",2,3),FALSE()),IFERROR(VLOOKUP(LEFT($N2444,1),LCTT_MAP!$A$7:$C$66,IF($M2444="THU",2,3),FALSE()),IF($M2444="THU","06","07")))))))</f>
        <v/>
      </c>
      <c r="P2444" s="117">
        <f>P2443+IF(AND($H2444&lt;&gt;"",OR(LEFT($F2444,LEN(SC_TK))=SC_TK,LEFT($G2444,LEN(SC_TK))=SC_TK)),1,0)</f>
        <v/>
      </c>
    </row>
    <row r="2445" ht="15" customHeight="1" s="78">
      <c r="A2445" s="95">
        <f>IF($H2445="","",ROW()-6)</f>
        <v/>
      </c>
      <c r="B2445" s="114" t="n"/>
      <c r="C2445" s="102" t="n"/>
      <c r="D2445" s="114" t="n"/>
      <c r="E2445" s="103" t="n"/>
      <c r="F2445" s="102" t="n"/>
      <c r="G2445" s="102" t="n"/>
      <c r="H2445" s="115" t="n"/>
      <c r="I2445" s="102" t="n"/>
      <c r="J2445" s="102" t="n"/>
      <c r="K2445" s="103" t="n"/>
      <c r="L2445" s="116">
        <f>IF($H2445="","",TRIM(IF(COUNTIF(DMTK!$A$7:$A$250,$F2445)=0,"TK Nợ sai! ","")&amp;IF(COUNTIF(DMTK!$A$7:$A$250,$G2445)=0,"TK Có sai! ","")&amp;IF(N($H2445)&lt;=0,"Tiền phải &gt; 0! ","")&amp;IF($B2445="","Thiếu ngày! ","")&amp;IF(AND(OR(LEFT($F2445,3)="131",LEFT($G2445,3)="131",LEFT($F2445,3)="331",LEFT($G2445,3)="331"),$I2445=""),"Thiếu Mã ĐT! ","")&amp;IF(AND($I2445&lt;&gt;"",COUNTIF(DM_DT!$A$7:$A$306,$I2445)=0),"Mã ĐT chưa khai báo! ","")))</f>
        <v/>
      </c>
      <c r="M2445" s="117">
        <f>IF($H2445="","",IF(AND(OR(LEFT($F2445,3)="111",LEFT($F2445,3)="112",LEFT($F2445,3)="113"),OR(LEFT($G2445,3)="111",LEFT($G2445,3)="112",LEFT($G2445,3)="113")),"NB",IF(OR(LEFT($F2445,3)="111",LEFT($F2445,3)="112",LEFT($F2445,3)="113"),"THU",IF(OR(LEFT($G2445,3)="111",LEFT($G2445,3)="112",LEFT($G2445,3)="113"),"CHI",""))))</f>
        <v/>
      </c>
      <c r="N2445" s="117">
        <f>IF($M2445="THU",$G2445,IF($M2445="CHI",$F2445,""))</f>
        <v/>
      </c>
      <c r="O2445" s="117">
        <f>IF(OR($M2445="",$M2445="NB"),"",IF($J2445&lt;&gt;"",TEXT($J2445,"00"),IFERROR(VLOOKUP(LEFT($N2445,4),LCTT_MAP!$A$7:$C$66,IF($M2445="THU",2,3),FALSE()),IFERROR(VLOOKUP(LEFT($N2445,3),LCTT_MAP!$A$7:$C$66,IF($M2445="THU",2,3),FALSE()),IFERROR(VLOOKUP(LEFT($N2445,2),LCTT_MAP!$A$7:$C$66,IF($M2445="THU",2,3),FALSE()),IFERROR(VLOOKUP(LEFT($N2445,1),LCTT_MAP!$A$7:$C$66,IF($M2445="THU",2,3),FALSE()),IF($M2445="THU","06","07")))))))</f>
        <v/>
      </c>
      <c r="P2445" s="117">
        <f>P2444+IF(AND($H2445&lt;&gt;"",OR(LEFT($F2445,LEN(SC_TK))=SC_TK,LEFT($G2445,LEN(SC_TK))=SC_TK)),1,0)</f>
        <v/>
      </c>
    </row>
    <row r="2446" ht="15" customHeight="1" s="78">
      <c r="A2446" s="95">
        <f>IF($H2446="","",ROW()-6)</f>
        <v/>
      </c>
      <c r="B2446" s="114" t="n"/>
      <c r="C2446" s="102" t="n"/>
      <c r="D2446" s="114" t="n"/>
      <c r="E2446" s="103" t="n"/>
      <c r="F2446" s="102" t="n"/>
      <c r="G2446" s="102" t="n"/>
      <c r="H2446" s="115" t="n"/>
      <c r="I2446" s="102" t="n"/>
      <c r="J2446" s="102" t="n"/>
      <c r="K2446" s="103" t="n"/>
      <c r="L2446" s="116">
        <f>IF($H2446="","",TRIM(IF(COUNTIF(DMTK!$A$7:$A$250,$F2446)=0,"TK Nợ sai! ","")&amp;IF(COUNTIF(DMTK!$A$7:$A$250,$G2446)=0,"TK Có sai! ","")&amp;IF(N($H2446)&lt;=0,"Tiền phải &gt; 0! ","")&amp;IF($B2446="","Thiếu ngày! ","")&amp;IF(AND(OR(LEFT($F2446,3)="131",LEFT($G2446,3)="131",LEFT($F2446,3)="331",LEFT($G2446,3)="331"),$I2446=""),"Thiếu Mã ĐT! ","")&amp;IF(AND($I2446&lt;&gt;"",COUNTIF(DM_DT!$A$7:$A$306,$I2446)=0),"Mã ĐT chưa khai báo! ","")))</f>
        <v/>
      </c>
      <c r="M2446" s="117">
        <f>IF($H2446="","",IF(AND(OR(LEFT($F2446,3)="111",LEFT($F2446,3)="112",LEFT($F2446,3)="113"),OR(LEFT($G2446,3)="111",LEFT($G2446,3)="112",LEFT($G2446,3)="113")),"NB",IF(OR(LEFT($F2446,3)="111",LEFT($F2446,3)="112",LEFT($F2446,3)="113"),"THU",IF(OR(LEFT($G2446,3)="111",LEFT($G2446,3)="112",LEFT($G2446,3)="113"),"CHI",""))))</f>
        <v/>
      </c>
      <c r="N2446" s="117">
        <f>IF($M2446="THU",$G2446,IF($M2446="CHI",$F2446,""))</f>
        <v/>
      </c>
      <c r="O2446" s="117">
        <f>IF(OR($M2446="",$M2446="NB"),"",IF($J2446&lt;&gt;"",TEXT($J2446,"00"),IFERROR(VLOOKUP(LEFT($N2446,4),LCTT_MAP!$A$7:$C$66,IF($M2446="THU",2,3),FALSE()),IFERROR(VLOOKUP(LEFT($N2446,3),LCTT_MAP!$A$7:$C$66,IF($M2446="THU",2,3),FALSE()),IFERROR(VLOOKUP(LEFT($N2446,2),LCTT_MAP!$A$7:$C$66,IF($M2446="THU",2,3),FALSE()),IFERROR(VLOOKUP(LEFT($N2446,1),LCTT_MAP!$A$7:$C$66,IF($M2446="THU",2,3),FALSE()),IF($M2446="THU","06","07")))))))</f>
        <v/>
      </c>
      <c r="P2446" s="117">
        <f>P2445+IF(AND($H2446&lt;&gt;"",OR(LEFT($F2446,LEN(SC_TK))=SC_TK,LEFT($G2446,LEN(SC_TK))=SC_TK)),1,0)</f>
        <v/>
      </c>
    </row>
    <row r="2447" ht="15" customHeight="1" s="78">
      <c r="A2447" s="95">
        <f>IF($H2447="","",ROW()-6)</f>
        <v/>
      </c>
      <c r="B2447" s="114" t="n"/>
      <c r="C2447" s="102" t="n"/>
      <c r="D2447" s="114" t="n"/>
      <c r="E2447" s="103" t="n"/>
      <c r="F2447" s="102" t="n"/>
      <c r="G2447" s="102" t="n"/>
      <c r="H2447" s="115" t="n"/>
      <c r="I2447" s="102" t="n"/>
      <c r="J2447" s="102" t="n"/>
      <c r="K2447" s="103" t="n"/>
      <c r="L2447" s="116">
        <f>IF($H2447="","",TRIM(IF(COUNTIF(DMTK!$A$7:$A$250,$F2447)=0,"TK Nợ sai! ","")&amp;IF(COUNTIF(DMTK!$A$7:$A$250,$G2447)=0,"TK Có sai! ","")&amp;IF(N($H2447)&lt;=0,"Tiền phải &gt; 0! ","")&amp;IF($B2447="","Thiếu ngày! ","")&amp;IF(AND(OR(LEFT($F2447,3)="131",LEFT($G2447,3)="131",LEFT($F2447,3)="331",LEFT($G2447,3)="331"),$I2447=""),"Thiếu Mã ĐT! ","")&amp;IF(AND($I2447&lt;&gt;"",COUNTIF(DM_DT!$A$7:$A$306,$I2447)=0),"Mã ĐT chưa khai báo! ","")))</f>
        <v/>
      </c>
      <c r="M2447" s="117">
        <f>IF($H2447="","",IF(AND(OR(LEFT($F2447,3)="111",LEFT($F2447,3)="112",LEFT($F2447,3)="113"),OR(LEFT($G2447,3)="111",LEFT($G2447,3)="112",LEFT($G2447,3)="113")),"NB",IF(OR(LEFT($F2447,3)="111",LEFT($F2447,3)="112",LEFT($F2447,3)="113"),"THU",IF(OR(LEFT($G2447,3)="111",LEFT($G2447,3)="112",LEFT($G2447,3)="113"),"CHI",""))))</f>
        <v/>
      </c>
      <c r="N2447" s="117">
        <f>IF($M2447="THU",$G2447,IF($M2447="CHI",$F2447,""))</f>
        <v/>
      </c>
      <c r="O2447" s="117">
        <f>IF(OR($M2447="",$M2447="NB"),"",IF($J2447&lt;&gt;"",TEXT($J2447,"00"),IFERROR(VLOOKUP(LEFT($N2447,4),LCTT_MAP!$A$7:$C$66,IF($M2447="THU",2,3),FALSE()),IFERROR(VLOOKUP(LEFT($N2447,3),LCTT_MAP!$A$7:$C$66,IF($M2447="THU",2,3),FALSE()),IFERROR(VLOOKUP(LEFT($N2447,2),LCTT_MAP!$A$7:$C$66,IF($M2447="THU",2,3),FALSE()),IFERROR(VLOOKUP(LEFT($N2447,1),LCTT_MAP!$A$7:$C$66,IF($M2447="THU",2,3),FALSE()),IF($M2447="THU","06","07")))))))</f>
        <v/>
      </c>
      <c r="P2447" s="117">
        <f>P2446+IF(AND($H2447&lt;&gt;"",OR(LEFT($F2447,LEN(SC_TK))=SC_TK,LEFT($G2447,LEN(SC_TK))=SC_TK)),1,0)</f>
        <v/>
      </c>
    </row>
    <row r="2448" ht="15" customHeight="1" s="78">
      <c r="A2448" s="95">
        <f>IF($H2448="","",ROW()-6)</f>
        <v/>
      </c>
      <c r="B2448" s="114" t="n"/>
      <c r="C2448" s="102" t="n"/>
      <c r="D2448" s="114" t="n"/>
      <c r="E2448" s="103" t="n"/>
      <c r="F2448" s="102" t="n"/>
      <c r="G2448" s="102" t="n"/>
      <c r="H2448" s="115" t="n"/>
      <c r="I2448" s="102" t="n"/>
      <c r="J2448" s="102" t="n"/>
      <c r="K2448" s="103" t="n"/>
      <c r="L2448" s="116">
        <f>IF($H2448="","",TRIM(IF(COUNTIF(DMTK!$A$7:$A$250,$F2448)=0,"TK Nợ sai! ","")&amp;IF(COUNTIF(DMTK!$A$7:$A$250,$G2448)=0,"TK Có sai! ","")&amp;IF(N($H2448)&lt;=0,"Tiền phải &gt; 0! ","")&amp;IF($B2448="","Thiếu ngày! ","")&amp;IF(AND(OR(LEFT($F2448,3)="131",LEFT($G2448,3)="131",LEFT($F2448,3)="331",LEFT($G2448,3)="331"),$I2448=""),"Thiếu Mã ĐT! ","")&amp;IF(AND($I2448&lt;&gt;"",COUNTIF(DM_DT!$A$7:$A$306,$I2448)=0),"Mã ĐT chưa khai báo! ","")))</f>
        <v/>
      </c>
      <c r="M2448" s="117">
        <f>IF($H2448="","",IF(AND(OR(LEFT($F2448,3)="111",LEFT($F2448,3)="112",LEFT($F2448,3)="113"),OR(LEFT($G2448,3)="111",LEFT($G2448,3)="112",LEFT($G2448,3)="113")),"NB",IF(OR(LEFT($F2448,3)="111",LEFT($F2448,3)="112",LEFT($F2448,3)="113"),"THU",IF(OR(LEFT($G2448,3)="111",LEFT($G2448,3)="112",LEFT($G2448,3)="113"),"CHI",""))))</f>
        <v/>
      </c>
      <c r="N2448" s="117">
        <f>IF($M2448="THU",$G2448,IF($M2448="CHI",$F2448,""))</f>
        <v/>
      </c>
      <c r="O2448" s="117">
        <f>IF(OR($M2448="",$M2448="NB"),"",IF($J2448&lt;&gt;"",TEXT($J2448,"00"),IFERROR(VLOOKUP(LEFT($N2448,4),LCTT_MAP!$A$7:$C$66,IF($M2448="THU",2,3),FALSE()),IFERROR(VLOOKUP(LEFT($N2448,3),LCTT_MAP!$A$7:$C$66,IF($M2448="THU",2,3),FALSE()),IFERROR(VLOOKUP(LEFT($N2448,2),LCTT_MAP!$A$7:$C$66,IF($M2448="THU",2,3),FALSE()),IFERROR(VLOOKUP(LEFT($N2448,1),LCTT_MAP!$A$7:$C$66,IF($M2448="THU",2,3),FALSE()),IF($M2448="THU","06","07")))))))</f>
        <v/>
      </c>
      <c r="P2448" s="117">
        <f>P2447+IF(AND($H2448&lt;&gt;"",OR(LEFT($F2448,LEN(SC_TK))=SC_TK,LEFT($G2448,LEN(SC_TK))=SC_TK)),1,0)</f>
        <v/>
      </c>
    </row>
    <row r="2449" ht="15" customHeight="1" s="78">
      <c r="A2449" s="95">
        <f>IF($H2449="","",ROW()-6)</f>
        <v/>
      </c>
      <c r="B2449" s="114" t="n"/>
      <c r="C2449" s="102" t="n"/>
      <c r="D2449" s="114" t="n"/>
      <c r="E2449" s="103" t="n"/>
      <c r="F2449" s="102" t="n"/>
      <c r="G2449" s="102" t="n"/>
      <c r="H2449" s="115" t="n"/>
      <c r="I2449" s="102" t="n"/>
      <c r="J2449" s="102" t="n"/>
      <c r="K2449" s="103" t="n"/>
      <c r="L2449" s="116">
        <f>IF($H2449="","",TRIM(IF(COUNTIF(DMTK!$A$7:$A$250,$F2449)=0,"TK Nợ sai! ","")&amp;IF(COUNTIF(DMTK!$A$7:$A$250,$G2449)=0,"TK Có sai! ","")&amp;IF(N($H2449)&lt;=0,"Tiền phải &gt; 0! ","")&amp;IF($B2449="","Thiếu ngày! ","")&amp;IF(AND(OR(LEFT($F2449,3)="131",LEFT($G2449,3)="131",LEFT($F2449,3)="331",LEFT($G2449,3)="331"),$I2449=""),"Thiếu Mã ĐT! ","")&amp;IF(AND($I2449&lt;&gt;"",COUNTIF(DM_DT!$A$7:$A$306,$I2449)=0),"Mã ĐT chưa khai báo! ","")))</f>
        <v/>
      </c>
      <c r="M2449" s="117">
        <f>IF($H2449="","",IF(AND(OR(LEFT($F2449,3)="111",LEFT($F2449,3)="112",LEFT($F2449,3)="113"),OR(LEFT($G2449,3)="111",LEFT($G2449,3)="112",LEFT($G2449,3)="113")),"NB",IF(OR(LEFT($F2449,3)="111",LEFT($F2449,3)="112",LEFT($F2449,3)="113"),"THU",IF(OR(LEFT($G2449,3)="111",LEFT($G2449,3)="112",LEFT($G2449,3)="113"),"CHI",""))))</f>
        <v/>
      </c>
      <c r="N2449" s="117">
        <f>IF($M2449="THU",$G2449,IF($M2449="CHI",$F2449,""))</f>
        <v/>
      </c>
      <c r="O2449" s="117">
        <f>IF(OR($M2449="",$M2449="NB"),"",IF($J2449&lt;&gt;"",TEXT($J2449,"00"),IFERROR(VLOOKUP(LEFT($N2449,4),LCTT_MAP!$A$7:$C$66,IF($M2449="THU",2,3),FALSE()),IFERROR(VLOOKUP(LEFT($N2449,3),LCTT_MAP!$A$7:$C$66,IF($M2449="THU",2,3),FALSE()),IFERROR(VLOOKUP(LEFT($N2449,2),LCTT_MAP!$A$7:$C$66,IF($M2449="THU",2,3),FALSE()),IFERROR(VLOOKUP(LEFT($N2449,1),LCTT_MAP!$A$7:$C$66,IF($M2449="THU",2,3),FALSE()),IF($M2449="THU","06","07")))))))</f>
        <v/>
      </c>
      <c r="P2449" s="117">
        <f>P2448+IF(AND($H2449&lt;&gt;"",OR(LEFT($F2449,LEN(SC_TK))=SC_TK,LEFT($G2449,LEN(SC_TK))=SC_TK)),1,0)</f>
        <v/>
      </c>
    </row>
    <row r="2450" ht="15" customHeight="1" s="78">
      <c r="A2450" s="95">
        <f>IF($H2450="","",ROW()-6)</f>
        <v/>
      </c>
      <c r="B2450" s="114" t="n"/>
      <c r="C2450" s="102" t="n"/>
      <c r="D2450" s="114" t="n"/>
      <c r="E2450" s="103" t="n"/>
      <c r="F2450" s="102" t="n"/>
      <c r="G2450" s="102" t="n"/>
      <c r="H2450" s="115" t="n"/>
      <c r="I2450" s="102" t="n"/>
      <c r="J2450" s="102" t="n"/>
      <c r="K2450" s="103" t="n"/>
      <c r="L2450" s="116">
        <f>IF($H2450="","",TRIM(IF(COUNTIF(DMTK!$A$7:$A$250,$F2450)=0,"TK Nợ sai! ","")&amp;IF(COUNTIF(DMTK!$A$7:$A$250,$G2450)=0,"TK Có sai! ","")&amp;IF(N($H2450)&lt;=0,"Tiền phải &gt; 0! ","")&amp;IF($B2450="","Thiếu ngày! ","")&amp;IF(AND(OR(LEFT($F2450,3)="131",LEFT($G2450,3)="131",LEFT($F2450,3)="331",LEFT($G2450,3)="331"),$I2450=""),"Thiếu Mã ĐT! ","")&amp;IF(AND($I2450&lt;&gt;"",COUNTIF(DM_DT!$A$7:$A$306,$I2450)=0),"Mã ĐT chưa khai báo! ","")))</f>
        <v/>
      </c>
      <c r="M2450" s="117">
        <f>IF($H2450="","",IF(AND(OR(LEFT($F2450,3)="111",LEFT($F2450,3)="112",LEFT($F2450,3)="113"),OR(LEFT($G2450,3)="111",LEFT($G2450,3)="112",LEFT($G2450,3)="113")),"NB",IF(OR(LEFT($F2450,3)="111",LEFT($F2450,3)="112",LEFT($F2450,3)="113"),"THU",IF(OR(LEFT($G2450,3)="111",LEFT($G2450,3)="112",LEFT($G2450,3)="113"),"CHI",""))))</f>
        <v/>
      </c>
      <c r="N2450" s="117">
        <f>IF($M2450="THU",$G2450,IF($M2450="CHI",$F2450,""))</f>
        <v/>
      </c>
      <c r="O2450" s="117">
        <f>IF(OR($M2450="",$M2450="NB"),"",IF($J2450&lt;&gt;"",TEXT($J2450,"00"),IFERROR(VLOOKUP(LEFT($N2450,4),LCTT_MAP!$A$7:$C$66,IF($M2450="THU",2,3),FALSE()),IFERROR(VLOOKUP(LEFT($N2450,3),LCTT_MAP!$A$7:$C$66,IF($M2450="THU",2,3),FALSE()),IFERROR(VLOOKUP(LEFT($N2450,2),LCTT_MAP!$A$7:$C$66,IF($M2450="THU",2,3),FALSE()),IFERROR(VLOOKUP(LEFT($N2450,1),LCTT_MAP!$A$7:$C$66,IF($M2450="THU",2,3),FALSE()),IF($M2450="THU","06","07")))))))</f>
        <v/>
      </c>
      <c r="P2450" s="117">
        <f>P2449+IF(AND($H2450&lt;&gt;"",OR(LEFT($F2450,LEN(SC_TK))=SC_TK,LEFT($G2450,LEN(SC_TK))=SC_TK)),1,0)</f>
        <v/>
      </c>
    </row>
    <row r="2451" ht="15" customHeight="1" s="78">
      <c r="A2451" s="95">
        <f>IF($H2451="","",ROW()-6)</f>
        <v/>
      </c>
      <c r="B2451" s="114" t="n"/>
      <c r="C2451" s="102" t="n"/>
      <c r="D2451" s="114" t="n"/>
      <c r="E2451" s="103" t="n"/>
      <c r="F2451" s="102" t="n"/>
      <c r="G2451" s="102" t="n"/>
      <c r="H2451" s="115" t="n"/>
      <c r="I2451" s="102" t="n"/>
      <c r="J2451" s="102" t="n"/>
      <c r="K2451" s="103" t="n"/>
      <c r="L2451" s="116">
        <f>IF($H2451="","",TRIM(IF(COUNTIF(DMTK!$A$7:$A$250,$F2451)=0,"TK Nợ sai! ","")&amp;IF(COUNTIF(DMTK!$A$7:$A$250,$G2451)=0,"TK Có sai! ","")&amp;IF(N($H2451)&lt;=0,"Tiền phải &gt; 0! ","")&amp;IF($B2451="","Thiếu ngày! ","")&amp;IF(AND(OR(LEFT($F2451,3)="131",LEFT($G2451,3)="131",LEFT($F2451,3)="331",LEFT($G2451,3)="331"),$I2451=""),"Thiếu Mã ĐT! ","")&amp;IF(AND($I2451&lt;&gt;"",COUNTIF(DM_DT!$A$7:$A$306,$I2451)=0),"Mã ĐT chưa khai báo! ","")))</f>
        <v/>
      </c>
      <c r="M2451" s="117">
        <f>IF($H2451="","",IF(AND(OR(LEFT($F2451,3)="111",LEFT($F2451,3)="112",LEFT($F2451,3)="113"),OR(LEFT($G2451,3)="111",LEFT($G2451,3)="112",LEFT($G2451,3)="113")),"NB",IF(OR(LEFT($F2451,3)="111",LEFT($F2451,3)="112",LEFT($F2451,3)="113"),"THU",IF(OR(LEFT($G2451,3)="111",LEFT($G2451,3)="112",LEFT($G2451,3)="113"),"CHI",""))))</f>
        <v/>
      </c>
      <c r="N2451" s="117">
        <f>IF($M2451="THU",$G2451,IF($M2451="CHI",$F2451,""))</f>
        <v/>
      </c>
      <c r="O2451" s="117">
        <f>IF(OR($M2451="",$M2451="NB"),"",IF($J2451&lt;&gt;"",TEXT($J2451,"00"),IFERROR(VLOOKUP(LEFT($N2451,4),LCTT_MAP!$A$7:$C$66,IF($M2451="THU",2,3),FALSE()),IFERROR(VLOOKUP(LEFT($N2451,3),LCTT_MAP!$A$7:$C$66,IF($M2451="THU",2,3),FALSE()),IFERROR(VLOOKUP(LEFT($N2451,2),LCTT_MAP!$A$7:$C$66,IF($M2451="THU",2,3),FALSE()),IFERROR(VLOOKUP(LEFT($N2451,1),LCTT_MAP!$A$7:$C$66,IF($M2451="THU",2,3),FALSE()),IF($M2451="THU","06","07")))))))</f>
        <v/>
      </c>
      <c r="P2451" s="117">
        <f>P2450+IF(AND($H2451&lt;&gt;"",OR(LEFT($F2451,LEN(SC_TK))=SC_TK,LEFT($G2451,LEN(SC_TK))=SC_TK)),1,0)</f>
        <v/>
      </c>
    </row>
    <row r="2452" ht="15" customHeight="1" s="78">
      <c r="A2452" s="95">
        <f>IF($H2452="","",ROW()-6)</f>
        <v/>
      </c>
      <c r="B2452" s="114" t="n"/>
      <c r="C2452" s="102" t="n"/>
      <c r="D2452" s="114" t="n"/>
      <c r="E2452" s="103" t="n"/>
      <c r="F2452" s="102" t="n"/>
      <c r="G2452" s="102" t="n"/>
      <c r="H2452" s="115" t="n"/>
      <c r="I2452" s="102" t="n"/>
      <c r="J2452" s="102" t="n"/>
      <c r="K2452" s="103" t="n"/>
      <c r="L2452" s="116">
        <f>IF($H2452="","",TRIM(IF(COUNTIF(DMTK!$A$7:$A$250,$F2452)=0,"TK Nợ sai! ","")&amp;IF(COUNTIF(DMTK!$A$7:$A$250,$G2452)=0,"TK Có sai! ","")&amp;IF(N($H2452)&lt;=0,"Tiền phải &gt; 0! ","")&amp;IF($B2452="","Thiếu ngày! ","")&amp;IF(AND(OR(LEFT($F2452,3)="131",LEFT($G2452,3)="131",LEFT($F2452,3)="331",LEFT($G2452,3)="331"),$I2452=""),"Thiếu Mã ĐT! ","")&amp;IF(AND($I2452&lt;&gt;"",COUNTIF(DM_DT!$A$7:$A$306,$I2452)=0),"Mã ĐT chưa khai báo! ","")))</f>
        <v/>
      </c>
      <c r="M2452" s="117">
        <f>IF($H2452="","",IF(AND(OR(LEFT($F2452,3)="111",LEFT($F2452,3)="112",LEFT($F2452,3)="113"),OR(LEFT($G2452,3)="111",LEFT($G2452,3)="112",LEFT($G2452,3)="113")),"NB",IF(OR(LEFT($F2452,3)="111",LEFT($F2452,3)="112",LEFT($F2452,3)="113"),"THU",IF(OR(LEFT($G2452,3)="111",LEFT($G2452,3)="112",LEFT($G2452,3)="113"),"CHI",""))))</f>
        <v/>
      </c>
      <c r="N2452" s="117">
        <f>IF($M2452="THU",$G2452,IF($M2452="CHI",$F2452,""))</f>
        <v/>
      </c>
      <c r="O2452" s="117">
        <f>IF(OR($M2452="",$M2452="NB"),"",IF($J2452&lt;&gt;"",TEXT($J2452,"00"),IFERROR(VLOOKUP(LEFT($N2452,4),LCTT_MAP!$A$7:$C$66,IF($M2452="THU",2,3),FALSE()),IFERROR(VLOOKUP(LEFT($N2452,3),LCTT_MAP!$A$7:$C$66,IF($M2452="THU",2,3),FALSE()),IFERROR(VLOOKUP(LEFT($N2452,2),LCTT_MAP!$A$7:$C$66,IF($M2452="THU",2,3),FALSE()),IFERROR(VLOOKUP(LEFT($N2452,1),LCTT_MAP!$A$7:$C$66,IF($M2452="THU",2,3),FALSE()),IF($M2452="THU","06","07")))))))</f>
        <v/>
      </c>
      <c r="P2452" s="117">
        <f>P2451+IF(AND($H2452&lt;&gt;"",OR(LEFT($F2452,LEN(SC_TK))=SC_TK,LEFT($G2452,LEN(SC_TK))=SC_TK)),1,0)</f>
        <v/>
      </c>
    </row>
    <row r="2453" ht="15" customHeight="1" s="78">
      <c r="A2453" s="95">
        <f>IF($H2453="","",ROW()-6)</f>
        <v/>
      </c>
      <c r="B2453" s="114" t="n"/>
      <c r="C2453" s="102" t="n"/>
      <c r="D2453" s="114" t="n"/>
      <c r="E2453" s="103" t="n"/>
      <c r="F2453" s="102" t="n"/>
      <c r="G2453" s="102" t="n"/>
      <c r="H2453" s="115" t="n"/>
      <c r="I2453" s="102" t="n"/>
      <c r="J2453" s="102" t="n"/>
      <c r="K2453" s="103" t="n"/>
      <c r="L2453" s="116">
        <f>IF($H2453="","",TRIM(IF(COUNTIF(DMTK!$A$7:$A$250,$F2453)=0,"TK Nợ sai! ","")&amp;IF(COUNTIF(DMTK!$A$7:$A$250,$G2453)=0,"TK Có sai! ","")&amp;IF(N($H2453)&lt;=0,"Tiền phải &gt; 0! ","")&amp;IF($B2453="","Thiếu ngày! ","")&amp;IF(AND(OR(LEFT($F2453,3)="131",LEFT($G2453,3)="131",LEFT($F2453,3)="331",LEFT($G2453,3)="331"),$I2453=""),"Thiếu Mã ĐT! ","")&amp;IF(AND($I2453&lt;&gt;"",COUNTIF(DM_DT!$A$7:$A$306,$I2453)=0),"Mã ĐT chưa khai báo! ","")))</f>
        <v/>
      </c>
      <c r="M2453" s="117">
        <f>IF($H2453="","",IF(AND(OR(LEFT($F2453,3)="111",LEFT($F2453,3)="112",LEFT($F2453,3)="113"),OR(LEFT($G2453,3)="111",LEFT($G2453,3)="112",LEFT($G2453,3)="113")),"NB",IF(OR(LEFT($F2453,3)="111",LEFT($F2453,3)="112",LEFT($F2453,3)="113"),"THU",IF(OR(LEFT($G2453,3)="111",LEFT($G2453,3)="112",LEFT($G2453,3)="113"),"CHI",""))))</f>
        <v/>
      </c>
      <c r="N2453" s="117">
        <f>IF($M2453="THU",$G2453,IF($M2453="CHI",$F2453,""))</f>
        <v/>
      </c>
      <c r="O2453" s="117">
        <f>IF(OR($M2453="",$M2453="NB"),"",IF($J2453&lt;&gt;"",TEXT($J2453,"00"),IFERROR(VLOOKUP(LEFT($N2453,4),LCTT_MAP!$A$7:$C$66,IF($M2453="THU",2,3),FALSE()),IFERROR(VLOOKUP(LEFT($N2453,3),LCTT_MAP!$A$7:$C$66,IF($M2453="THU",2,3),FALSE()),IFERROR(VLOOKUP(LEFT($N2453,2),LCTT_MAP!$A$7:$C$66,IF($M2453="THU",2,3),FALSE()),IFERROR(VLOOKUP(LEFT($N2453,1),LCTT_MAP!$A$7:$C$66,IF($M2453="THU",2,3),FALSE()),IF($M2453="THU","06","07")))))))</f>
        <v/>
      </c>
      <c r="P2453" s="117">
        <f>P2452+IF(AND($H2453&lt;&gt;"",OR(LEFT($F2453,LEN(SC_TK))=SC_TK,LEFT($G2453,LEN(SC_TK))=SC_TK)),1,0)</f>
        <v/>
      </c>
    </row>
    <row r="2454" ht="15" customHeight="1" s="78">
      <c r="A2454" s="95">
        <f>IF($H2454="","",ROW()-6)</f>
        <v/>
      </c>
      <c r="B2454" s="114" t="n"/>
      <c r="C2454" s="102" t="n"/>
      <c r="D2454" s="114" t="n"/>
      <c r="E2454" s="103" t="n"/>
      <c r="F2454" s="102" t="n"/>
      <c r="G2454" s="102" t="n"/>
      <c r="H2454" s="115" t="n"/>
      <c r="I2454" s="102" t="n"/>
      <c r="J2454" s="102" t="n"/>
      <c r="K2454" s="103" t="n"/>
      <c r="L2454" s="116">
        <f>IF($H2454="","",TRIM(IF(COUNTIF(DMTK!$A$7:$A$250,$F2454)=0,"TK Nợ sai! ","")&amp;IF(COUNTIF(DMTK!$A$7:$A$250,$G2454)=0,"TK Có sai! ","")&amp;IF(N($H2454)&lt;=0,"Tiền phải &gt; 0! ","")&amp;IF($B2454="","Thiếu ngày! ","")&amp;IF(AND(OR(LEFT($F2454,3)="131",LEFT($G2454,3)="131",LEFT($F2454,3)="331",LEFT($G2454,3)="331"),$I2454=""),"Thiếu Mã ĐT! ","")&amp;IF(AND($I2454&lt;&gt;"",COUNTIF(DM_DT!$A$7:$A$306,$I2454)=0),"Mã ĐT chưa khai báo! ","")))</f>
        <v/>
      </c>
      <c r="M2454" s="117">
        <f>IF($H2454="","",IF(AND(OR(LEFT($F2454,3)="111",LEFT($F2454,3)="112",LEFT($F2454,3)="113"),OR(LEFT($G2454,3)="111",LEFT($G2454,3)="112",LEFT($G2454,3)="113")),"NB",IF(OR(LEFT($F2454,3)="111",LEFT($F2454,3)="112",LEFT($F2454,3)="113"),"THU",IF(OR(LEFT($G2454,3)="111",LEFT($G2454,3)="112",LEFT($G2454,3)="113"),"CHI",""))))</f>
        <v/>
      </c>
      <c r="N2454" s="117">
        <f>IF($M2454="THU",$G2454,IF($M2454="CHI",$F2454,""))</f>
        <v/>
      </c>
      <c r="O2454" s="117">
        <f>IF(OR($M2454="",$M2454="NB"),"",IF($J2454&lt;&gt;"",TEXT($J2454,"00"),IFERROR(VLOOKUP(LEFT($N2454,4),LCTT_MAP!$A$7:$C$66,IF($M2454="THU",2,3),FALSE()),IFERROR(VLOOKUP(LEFT($N2454,3),LCTT_MAP!$A$7:$C$66,IF($M2454="THU",2,3),FALSE()),IFERROR(VLOOKUP(LEFT($N2454,2),LCTT_MAP!$A$7:$C$66,IF($M2454="THU",2,3),FALSE()),IFERROR(VLOOKUP(LEFT($N2454,1),LCTT_MAP!$A$7:$C$66,IF($M2454="THU",2,3),FALSE()),IF($M2454="THU","06","07")))))))</f>
        <v/>
      </c>
      <c r="P2454" s="117">
        <f>P2453+IF(AND($H2454&lt;&gt;"",OR(LEFT($F2454,LEN(SC_TK))=SC_TK,LEFT($G2454,LEN(SC_TK))=SC_TK)),1,0)</f>
        <v/>
      </c>
    </row>
    <row r="2455" ht="15" customHeight="1" s="78">
      <c r="A2455" s="95">
        <f>IF($H2455="","",ROW()-6)</f>
        <v/>
      </c>
      <c r="B2455" s="114" t="n"/>
      <c r="C2455" s="102" t="n"/>
      <c r="D2455" s="114" t="n"/>
      <c r="E2455" s="103" t="n"/>
      <c r="F2455" s="102" t="n"/>
      <c r="G2455" s="102" t="n"/>
      <c r="H2455" s="115" t="n"/>
      <c r="I2455" s="102" t="n"/>
      <c r="J2455" s="102" t="n"/>
      <c r="K2455" s="103" t="n"/>
      <c r="L2455" s="116">
        <f>IF($H2455="","",TRIM(IF(COUNTIF(DMTK!$A$7:$A$250,$F2455)=0,"TK Nợ sai! ","")&amp;IF(COUNTIF(DMTK!$A$7:$A$250,$G2455)=0,"TK Có sai! ","")&amp;IF(N($H2455)&lt;=0,"Tiền phải &gt; 0! ","")&amp;IF($B2455="","Thiếu ngày! ","")&amp;IF(AND(OR(LEFT($F2455,3)="131",LEFT($G2455,3)="131",LEFT($F2455,3)="331",LEFT($G2455,3)="331"),$I2455=""),"Thiếu Mã ĐT! ","")&amp;IF(AND($I2455&lt;&gt;"",COUNTIF(DM_DT!$A$7:$A$306,$I2455)=0),"Mã ĐT chưa khai báo! ","")))</f>
        <v/>
      </c>
      <c r="M2455" s="117">
        <f>IF($H2455="","",IF(AND(OR(LEFT($F2455,3)="111",LEFT($F2455,3)="112",LEFT($F2455,3)="113"),OR(LEFT($G2455,3)="111",LEFT($G2455,3)="112",LEFT($G2455,3)="113")),"NB",IF(OR(LEFT($F2455,3)="111",LEFT($F2455,3)="112",LEFT($F2455,3)="113"),"THU",IF(OR(LEFT($G2455,3)="111",LEFT($G2455,3)="112",LEFT($G2455,3)="113"),"CHI",""))))</f>
        <v/>
      </c>
      <c r="N2455" s="117">
        <f>IF($M2455="THU",$G2455,IF($M2455="CHI",$F2455,""))</f>
        <v/>
      </c>
      <c r="O2455" s="117">
        <f>IF(OR($M2455="",$M2455="NB"),"",IF($J2455&lt;&gt;"",TEXT($J2455,"00"),IFERROR(VLOOKUP(LEFT($N2455,4),LCTT_MAP!$A$7:$C$66,IF($M2455="THU",2,3),FALSE()),IFERROR(VLOOKUP(LEFT($N2455,3),LCTT_MAP!$A$7:$C$66,IF($M2455="THU",2,3),FALSE()),IFERROR(VLOOKUP(LEFT($N2455,2),LCTT_MAP!$A$7:$C$66,IF($M2455="THU",2,3),FALSE()),IFERROR(VLOOKUP(LEFT($N2455,1),LCTT_MAP!$A$7:$C$66,IF($M2455="THU",2,3),FALSE()),IF($M2455="THU","06","07")))))))</f>
        <v/>
      </c>
      <c r="P2455" s="117">
        <f>P2454+IF(AND($H2455&lt;&gt;"",OR(LEFT($F2455,LEN(SC_TK))=SC_TK,LEFT($G2455,LEN(SC_TK))=SC_TK)),1,0)</f>
        <v/>
      </c>
    </row>
    <row r="2456" ht="15" customHeight="1" s="78">
      <c r="A2456" s="95">
        <f>IF($H2456="","",ROW()-6)</f>
        <v/>
      </c>
      <c r="B2456" s="114" t="n"/>
      <c r="C2456" s="102" t="n"/>
      <c r="D2456" s="114" t="n"/>
      <c r="E2456" s="103" t="n"/>
      <c r="F2456" s="102" t="n"/>
      <c r="G2456" s="102" t="n"/>
      <c r="H2456" s="115" t="n"/>
      <c r="I2456" s="102" t="n"/>
      <c r="J2456" s="102" t="n"/>
      <c r="K2456" s="103" t="n"/>
      <c r="L2456" s="116">
        <f>IF($H2456="","",TRIM(IF(COUNTIF(DMTK!$A$7:$A$250,$F2456)=0,"TK Nợ sai! ","")&amp;IF(COUNTIF(DMTK!$A$7:$A$250,$G2456)=0,"TK Có sai! ","")&amp;IF(N($H2456)&lt;=0,"Tiền phải &gt; 0! ","")&amp;IF($B2456="","Thiếu ngày! ","")&amp;IF(AND(OR(LEFT($F2456,3)="131",LEFT($G2456,3)="131",LEFT($F2456,3)="331",LEFT($G2456,3)="331"),$I2456=""),"Thiếu Mã ĐT! ","")&amp;IF(AND($I2456&lt;&gt;"",COUNTIF(DM_DT!$A$7:$A$306,$I2456)=0),"Mã ĐT chưa khai báo! ","")))</f>
        <v/>
      </c>
      <c r="M2456" s="117">
        <f>IF($H2456="","",IF(AND(OR(LEFT($F2456,3)="111",LEFT($F2456,3)="112",LEFT($F2456,3)="113"),OR(LEFT($G2456,3)="111",LEFT($G2456,3)="112",LEFT($G2456,3)="113")),"NB",IF(OR(LEFT($F2456,3)="111",LEFT($F2456,3)="112",LEFT($F2456,3)="113"),"THU",IF(OR(LEFT($G2456,3)="111",LEFT($G2456,3)="112",LEFT($G2456,3)="113"),"CHI",""))))</f>
        <v/>
      </c>
      <c r="N2456" s="117">
        <f>IF($M2456="THU",$G2456,IF($M2456="CHI",$F2456,""))</f>
        <v/>
      </c>
      <c r="O2456" s="117">
        <f>IF(OR($M2456="",$M2456="NB"),"",IF($J2456&lt;&gt;"",TEXT($J2456,"00"),IFERROR(VLOOKUP(LEFT($N2456,4),LCTT_MAP!$A$7:$C$66,IF($M2456="THU",2,3),FALSE()),IFERROR(VLOOKUP(LEFT($N2456,3),LCTT_MAP!$A$7:$C$66,IF($M2456="THU",2,3),FALSE()),IFERROR(VLOOKUP(LEFT($N2456,2),LCTT_MAP!$A$7:$C$66,IF($M2456="THU",2,3),FALSE()),IFERROR(VLOOKUP(LEFT($N2456,1),LCTT_MAP!$A$7:$C$66,IF($M2456="THU",2,3),FALSE()),IF($M2456="THU","06","07")))))))</f>
        <v/>
      </c>
      <c r="P2456" s="117">
        <f>P2455+IF(AND($H2456&lt;&gt;"",OR(LEFT($F2456,LEN(SC_TK))=SC_TK,LEFT($G2456,LEN(SC_TK))=SC_TK)),1,0)</f>
        <v/>
      </c>
    </row>
    <row r="2457" ht="15" customHeight="1" s="78">
      <c r="A2457" s="95">
        <f>IF($H2457="","",ROW()-6)</f>
        <v/>
      </c>
      <c r="B2457" s="114" t="n"/>
      <c r="C2457" s="102" t="n"/>
      <c r="D2457" s="114" t="n"/>
      <c r="E2457" s="103" t="n"/>
      <c r="F2457" s="102" t="n"/>
      <c r="G2457" s="102" t="n"/>
      <c r="H2457" s="115" t="n"/>
      <c r="I2457" s="102" t="n"/>
      <c r="J2457" s="102" t="n"/>
      <c r="K2457" s="103" t="n"/>
      <c r="L2457" s="116">
        <f>IF($H2457="","",TRIM(IF(COUNTIF(DMTK!$A$7:$A$250,$F2457)=0,"TK Nợ sai! ","")&amp;IF(COUNTIF(DMTK!$A$7:$A$250,$G2457)=0,"TK Có sai! ","")&amp;IF(N($H2457)&lt;=0,"Tiền phải &gt; 0! ","")&amp;IF($B2457="","Thiếu ngày! ","")&amp;IF(AND(OR(LEFT($F2457,3)="131",LEFT($G2457,3)="131",LEFT($F2457,3)="331",LEFT($G2457,3)="331"),$I2457=""),"Thiếu Mã ĐT! ","")&amp;IF(AND($I2457&lt;&gt;"",COUNTIF(DM_DT!$A$7:$A$306,$I2457)=0),"Mã ĐT chưa khai báo! ","")))</f>
        <v/>
      </c>
      <c r="M2457" s="117">
        <f>IF($H2457="","",IF(AND(OR(LEFT($F2457,3)="111",LEFT($F2457,3)="112",LEFT($F2457,3)="113"),OR(LEFT($G2457,3)="111",LEFT($G2457,3)="112",LEFT($G2457,3)="113")),"NB",IF(OR(LEFT($F2457,3)="111",LEFT($F2457,3)="112",LEFT($F2457,3)="113"),"THU",IF(OR(LEFT($G2457,3)="111",LEFT($G2457,3)="112",LEFT($G2457,3)="113"),"CHI",""))))</f>
        <v/>
      </c>
      <c r="N2457" s="117">
        <f>IF($M2457="THU",$G2457,IF($M2457="CHI",$F2457,""))</f>
        <v/>
      </c>
      <c r="O2457" s="117">
        <f>IF(OR($M2457="",$M2457="NB"),"",IF($J2457&lt;&gt;"",TEXT($J2457,"00"),IFERROR(VLOOKUP(LEFT($N2457,4),LCTT_MAP!$A$7:$C$66,IF($M2457="THU",2,3),FALSE()),IFERROR(VLOOKUP(LEFT($N2457,3),LCTT_MAP!$A$7:$C$66,IF($M2457="THU",2,3),FALSE()),IFERROR(VLOOKUP(LEFT($N2457,2),LCTT_MAP!$A$7:$C$66,IF($M2457="THU",2,3),FALSE()),IFERROR(VLOOKUP(LEFT($N2457,1),LCTT_MAP!$A$7:$C$66,IF($M2457="THU",2,3),FALSE()),IF($M2457="THU","06","07")))))))</f>
        <v/>
      </c>
      <c r="P2457" s="117">
        <f>P2456+IF(AND($H2457&lt;&gt;"",OR(LEFT($F2457,LEN(SC_TK))=SC_TK,LEFT($G2457,LEN(SC_TK))=SC_TK)),1,0)</f>
        <v/>
      </c>
    </row>
    <row r="2458" ht="15" customHeight="1" s="78">
      <c r="A2458" s="95">
        <f>IF($H2458="","",ROW()-6)</f>
        <v/>
      </c>
      <c r="B2458" s="114" t="n"/>
      <c r="C2458" s="102" t="n"/>
      <c r="D2458" s="114" t="n"/>
      <c r="E2458" s="103" t="n"/>
      <c r="F2458" s="102" t="n"/>
      <c r="G2458" s="102" t="n"/>
      <c r="H2458" s="115" t="n"/>
      <c r="I2458" s="102" t="n"/>
      <c r="J2458" s="102" t="n"/>
      <c r="K2458" s="103" t="n"/>
      <c r="L2458" s="116">
        <f>IF($H2458="","",TRIM(IF(COUNTIF(DMTK!$A$7:$A$250,$F2458)=0,"TK Nợ sai! ","")&amp;IF(COUNTIF(DMTK!$A$7:$A$250,$G2458)=0,"TK Có sai! ","")&amp;IF(N($H2458)&lt;=0,"Tiền phải &gt; 0! ","")&amp;IF($B2458="","Thiếu ngày! ","")&amp;IF(AND(OR(LEFT($F2458,3)="131",LEFT($G2458,3)="131",LEFT($F2458,3)="331",LEFT($G2458,3)="331"),$I2458=""),"Thiếu Mã ĐT! ","")&amp;IF(AND($I2458&lt;&gt;"",COUNTIF(DM_DT!$A$7:$A$306,$I2458)=0),"Mã ĐT chưa khai báo! ","")))</f>
        <v/>
      </c>
      <c r="M2458" s="117">
        <f>IF($H2458="","",IF(AND(OR(LEFT($F2458,3)="111",LEFT($F2458,3)="112",LEFT($F2458,3)="113"),OR(LEFT($G2458,3)="111",LEFT($G2458,3)="112",LEFT($G2458,3)="113")),"NB",IF(OR(LEFT($F2458,3)="111",LEFT($F2458,3)="112",LEFT($F2458,3)="113"),"THU",IF(OR(LEFT($G2458,3)="111",LEFT($G2458,3)="112",LEFT($G2458,3)="113"),"CHI",""))))</f>
        <v/>
      </c>
      <c r="N2458" s="117">
        <f>IF($M2458="THU",$G2458,IF($M2458="CHI",$F2458,""))</f>
        <v/>
      </c>
      <c r="O2458" s="117">
        <f>IF(OR($M2458="",$M2458="NB"),"",IF($J2458&lt;&gt;"",TEXT($J2458,"00"),IFERROR(VLOOKUP(LEFT($N2458,4),LCTT_MAP!$A$7:$C$66,IF($M2458="THU",2,3),FALSE()),IFERROR(VLOOKUP(LEFT($N2458,3),LCTT_MAP!$A$7:$C$66,IF($M2458="THU",2,3),FALSE()),IFERROR(VLOOKUP(LEFT($N2458,2),LCTT_MAP!$A$7:$C$66,IF($M2458="THU",2,3),FALSE()),IFERROR(VLOOKUP(LEFT($N2458,1),LCTT_MAP!$A$7:$C$66,IF($M2458="THU",2,3),FALSE()),IF($M2458="THU","06","07")))))))</f>
        <v/>
      </c>
      <c r="P2458" s="117">
        <f>P2457+IF(AND($H2458&lt;&gt;"",OR(LEFT($F2458,LEN(SC_TK))=SC_TK,LEFT($G2458,LEN(SC_TK))=SC_TK)),1,0)</f>
        <v/>
      </c>
    </row>
    <row r="2459" ht="15" customHeight="1" s="78">
      <c r="A2459" s="95">
        <f>IF($H2459="","",ROW()-6)</f>
        <v/>
      </c>
      <c r="B2459" s="114" t="n"/>
      <c r="C2459" s="102" t="n"/>
      <c r="D2459" s="114" t="n"/>
      <c r="E2459" s="103" t="n"/>
      <c r="F2459" s="102" t="n"/>
      <c r="G2459" s="102" t="n"/>
      <c r="H2459" s="115" t="n"/>
      <c r="I2459" s="102" t="n"/>
      <c r="J2459" s="102" t="n"/>
      <c r="K2459" s="103" t="n"/>
      <c r="L2459" s="116">
        <f>IF($H2459="","",TRIM(IF(COUNTIF(DMTK!$A$7:$A$250,$F2459)=0,"TK Nợ sai! ","")&amp;IF(COUNTIF(DMTK!$A$7:$A$250,$G2459)=0,"TK Có sai! ","")&amp;IF(N($H2459)&lt;=0,"Tiền phải &gt; 0! ","")&amp;IF($B2459="","Thiếu ngày! ","")&amp;IF(AND(OR(LEFT($F2459,3)="131",LEFT($G2459,3)="131",LEFT($F2459,3)="331",LEFT($G2459,3)="331"),$I2459=""),"Thiếu Mã ĐT! ","")&amp;IF(AND($I2459&lt;&gt;"",COUNTIF(DM_DT!$A$7:$A$306,$I2459)=0),"Mã ĐT chưa khai báo! ","")))</f>
        <v/>
      </c>
      <c r="M2459" s="117">
        <f>IF($H2459="","",IF(AND(OR(LEFT($F2459,3)="111",LEFT($F2459,3)="112",LEFT($F2459,3)="113"),OR(LEFT($G2459,3)="111",LEFT($G2459,3)="112",LEFT($G2459,3)="113")),"NB",IF(OR(LEFT($F2459,3)="111",LEFT($F2459,3)="112",LEFT($F2459,3)="113"),"THU",IF(OR(LEFT($G2459,3)="111",LEFT($G2459,3)="112",LEFT($G2459,3)="113"),"CHI",""))))</f>
        <v/>
      </c>
      <c r="N2459" s="117">
        <f>IF($M2459="THU",$G2459,IF($M2459="CHI",$F2459,""))</f>
        <v/>
      </c>
      <c r="O2459" s="117">
        <f>IF(OR($M2459="",$M2459="NB"),"",IF($J2459&lt;&gt;"",TEXT($J2459,"00"),IFERROR(VLOOKUP(LEFT($N2459,4),LCTT_MAP!$A$7:$C$66,IF($M2459="THU",2,3),FALSE()),IFERROR(VLOOKUP(LEFT($N2459,3),LCTT_MAP!$A$7:$C$66,IF($M2459="THU",2,3),FALSE()),IFERROR(VLOOKUP(LEFT($N2459,2),LCTT_MAP!$A$7:$C$66,IF($M2459="THU",2,3),FALSE()),IFERROR(VLOOKUP(LEFT($N2459,1),LCTT_MAP!$A$7:$C$66,IF($M2459="THU",2,3),FALSE()),IF($M2459="THU","06","07")))))))</f>
        <v/>
      </c>
      <c r="P2459" s="117">
        <f>P2458+IF(AND($H2459&lt;&gt;"",OR(LEFT($F2459,LEN(SC_TK))=SC_TK,LEFT($G2459,LEN(SC_TK))=SC_TK)),1,0)</f>
        <v/>
      </c>
    </row>
    <row r="2460" ht="15" customHeight="1" s="78">
      <c r="A2460" s="95">
        <f>IF($H2460="","",ROW()-6)</f>
        <v/>
      </c>
      <c r="B2460" s="114" t="n"/>
      <c r="C2460" s="102" t="n"/>
      <c r="D2460" s="114" t="n"/>
      <c r="E2460" s="103" t="n"/>
      <c r="F2460" s="102" t="n"/>
      <c r="G2460" s="102" t="n"/>
      <c r="H2460" s="115" t="n"/>
      <c r="I2460" s="102" t="n"/>
      <c r="J2460" s="102" t="n"/>
      <c r="K2460" s="103" t="n"/>
      <c r="L2460" s="116">
        <f>IF($H2460="","",TRIM(IF(COUNTIF(DMTK!$A$7:$A$250,$F2460)=0,"TK Nợ sai! ","")&amp;IF(COUNTIF(DMTK!$A$7:$A$250,$G2460)=0,"TK Có sai! ","")&amp;IF(N($H2460)&lt;=0,"Tiền phải &gt; 0! ","")&amp;IF($B2460="","Thiếu ngày! ","")&amp;IF(AND(OR(LEFT($F2460,3)="131",LEFT($G2460,3)="131",LEFT($F2460,3)="331",LEFT($G2460,3)="331"),$I2460=""),"Thiếu Mã ĐT! ","")&amp;IF(AND($I2460&lt;&gt;"",COUNTIF(DM_DT!$A$7:$A$306,$I2460)=0),"Mã ĐT chưa khai báo! ","")))</f>
        <v/>
      </c>
      <c r="M2460" s="117">
        <f>IF($H2460="","",IF(AND(OR(LEFT($F2460,3)="111",LEFT($F2460,3)="112",LEFT($F2460,3)="113"),OR(LEFT($G2460,3)="111",LEFT($G2460,3)="112",LEFT($G2460,3)="113")),"NB",IF(OR(LEFT($F2460,3)="111",LEFT($F2460,3)="112",LEFT($F2460,3)="113"),"THU",IF(OR(LEFT($G2460,3)="111",LEFT($G2460,3)="112",LEFT($G2460,3)="113"),"CHI",""))))</f>
        <v/>
      </c>
      <c r="N2460" s="117">
        <f>IF($M2460="THU",$G2460,IF($M2460="CHI",$F2460,""))</f>
        <v/>
      </c>
      <c r="O2460" s="117">
        <f>IF(OR($M2460="",$M2460="NB"),"",IF($J2460&lt;&gt;"",TEXT($J2460,"00"),IFERROR(VLOOKUP(LEFT($N2460,4),LCTT_MAP!$A$7:$C$66,IF($M2460="THU",2,3),FALSE()),IFERROR(VLOOKUP(LEFT($N2460,3),LCTT_MAP!$A$7:$C$66,IF($M2460="THU",2,3),FALSE()),IFERROR(VLOOKUP(LEFT($N2460,2),LCTT_MAP!$A$7:$C$66,IF($M2460="THU",2,3),FALSE()),IFERROR(VLOOKUP(LEFT($N2460,1),LCTT_MAP!$A$7:$C$66,IF($M2460="THU",2,3),FALSE()),IF($M2460="THU","06","07")))))))</f>
        <v/>
      </c>
      <c r="P2460" s="117">
        <f>P2459+IF(AND($H2460&lt;&gt;"",OR(LEFT($F2460,LEN(SC_TK))=SC_TK,LEFT($G2460,LEN(SC_TK))=SC_TK)),1,0)</f>
        <v/>
      </c>
    </row>
    <row r="2461" ht="15" customHeight="1" s="78">
      <c r="A2461" s="95">
        <f>IF($H2461="","",ROW()-6)</f>
        <v/>
      </c>
      <c r="B2461" s="114" t="n"/>
      <c r="C2461" s="102" t="n"/>
      <c r="D2461" s="114" t="n"/>
      <c r="E2461" s="103" t="n"/>
      <c r="F2461" s="102" t="n"/>
      <c r="G2461" s="102" t="n"/>
      <c r="H2461" s="115" t="n"/>
      <c r="I2461" s="102" t="n"/>
      <c r="J2461" s="102" t="n"/>
      <c r="K2461" s="103" t="n"/>
      <c r="L2461" s="116">
        <f>IF($H2461="","",TRIM(IF(COUNTIF(DMTK!$A$7:$A$250,$F2461)=0,"TK Nợ sai! ","")&amp;IF(COUNTIF(DMTK!$A$7:$A$250,$G2461)=0,"TK Có sai! ","")&amp;IF(N($H2461)&lt;=0,"Tiền phải &gt; 0! ","")&amp;IF($B2461="","Thiếu ngày! ","")&amp;IF(AND(OR(LEFT($F2461,3)="131",LEFT($G2461,3)="131",LEFT($F2461,3)="331",LEFT($G2461,3)="331"),$I2461=""),"Thiếu Mã ĐT! ","")&amp;IF(AND($I2461&lt;&gt;"",COUNTIF(DM_DT!$A$7:$A$306,$I2461)=0),"Mã ĐT chưa khai báo! ","")))</f>
        <v/>
      </c>
      <c r="M2461" s="117">
        <f>IF($H2461="","",IF(AND(OR(LEFT($F2461,3)="111",LEFT($F2461,3)="112",LEFT($F2461,3)="113"),OR(LEFT($G2461,3)="111",LEFT($G2461,3)="112",LEFT($G2461,3)="113")),"NB",IF(OR(LEFT($F2461,3)="111",LEFT($F2461,3)="112",LEFT($F2461,3)="113"),"THU",IF(OR(LEFT($G2461,3)="111",LEFT($G2461,3)="112",LEFT($G2461,3)="113"),"CHI",""))))</f>
        <v/>
      </c>
      <c r="N2461" s="117">
        <f>IF($M2461="THU",$G2461,IF($M2461="CHI",$F2461,""))</f>
        <v/>
      </c>
      <c r="O2461" s="117">
        <f>IF(OR($M2461="",$M2461="NB"),"",IF($J2461&lt;&gt;"",TEXT($J2461,"00"),IFERROR(VLOOKUP(LEFT($N2461,4),LCTT_MAP!$A$7:$C$66,IF($M2461="THU",2,3),FALSE()),IFERROR(VLOOKUP(LEFT($N2461,3),LCTT_MAP!$A$7:$C$66,IF($M2461="THU",2,3),FALSE()),IFERROR(VLOOKUP(LEFT($N2461,2),LCTT_MAP!$A$7:$C$66,IF($M2461="THU",2,3),FALSE()),IFERROR(VLOOKUP(LEFT($N2461,1),LCTT_MAP!$A$7:$C$66,IF($M2461="THU",2,3),FALSE()),IF($M2461="THU","06","07")))))))</f>
        <v/>
      </c>
      <c r="P2461" s="117">
        <f>P2460+IF(AND($H2461&lt;&gt;"",OR(LEFT($F2461,LEN(SC_TK))=SC_TK,LEFT($G2461,LEN(SC_TK))=SC_TK)),1,0)</f>
        <v/>
      </c>
    </row>
    <row r="2462" ht="15" customHeight="1" s="78">
      <c r="A2462" s="95">
        <f>IF($H2462="","",ROW()-6)</f>
        <v/>
      </c>
      <c r="B2462" s="114" t="n"/>
      <c r="C2462" s="102" t="n"/>
      <c r="D2462" s="114" t="n"/>
      <c r="E2462" s="103" t="n"/>
      <c r="F2462" s="102" t="n"/>
      <c r="G2462" s="102" t="n"/>
      <c r="H2462" s="115" t="n"/>
      <c r="I2462" s="102" t="n"/>
      <c r="J2462" s="102" t="n"/>
      <c r="K2462" s="103" t="n"/>
      <c r="L2462" s="116">
        <f>IF($H2462="","",TRIM(IF(COUNTIF(DMTK!$A$7:$A$250,$F2462)=0,"TK Nợ sai! ","")&amp;IF(COUNTIF(DMTK!$A$7:$A$250,$G2462)=0,"TK Có sai! ","")&amp;IF(N($H2462)&lt;=0,"Tiền phải &gt; 0! ","")&amp;IF($B2462="","Thiếu ngày! ","")&amp;IF(AND(OR(LEFT($F2462,3)="131",LEFT($G2462,3)="131",LEFT($F2462,3)="331",LEFT($G2462,3)="331"),$I2462=""),"Thiếu Mã ĐT! ","")&amp;IF(AND($I2462&lt;&gt;"",COUNTIF(DM_DT!$A$7:$A$306,$I2462)=0),"Mã ĐT chưa khai báo! ","")))</f>
        <v/>
      </c>
      <c r="M2462" s="117">
        <f>IF($H2462="","",IF(AND(OR(LEFT($F2462,3)="111",LEFT($F2462,3)="112",LEFT($F2462,3)="113"),OR(LEFT($G2462,3)="111",LEFT($G2462,3)="112",LEFT($G2462,3)="113")),"NB",IF(OR(LEFT($F2462,3)="111",LEFT($F2462,3)="112",LEFT($F2462,3)="113"),"THU",IF(OR(LEFT($G2462,3)="111",LEFT($G2462,3)="112",LEFT($G2462,3)="113"),"CHI",""))))</f>
        <v/>
      </c>
      <c r="N2462" s="117">
        <f>IF($M2462="THU",$G2462,IF($M2462="CHI",$F2462,""))</f>
        <v/>
      </c>
      <c r="O2462" s="117">
        <f>IF(OR($M2462="",$M2462="NB"),"",IF($J2462&lt;&gt;"",TEXT($J2462,"00"),IFERROR(VLOOKUP(LEFT($N2462,4),LCTT_MAP!$A$7:$C$66,IF($M2462="THU",2,3),FALSE()),IFERROR(VLOOKUP(LEFT($N2462,3),LCTT_MAP!$A$7:$C$66,IF($M2462="THU",2,3),FALSE()),IFERROR(VLOOKUP(LEFT($N2462,2),LCTT_MAP!$A$7:$C$66,IF($M2462="THU",2,3),FALSE()),IFERROR(VLOOKUP(LEFT($N2462,1),LCTT_MAP!$A$7:$C$66,IF($M2462="THU",2,3),FALSE()),IF($M2462="THU","06","07")))))))</f>
        <v/>
      </c>
      <c r="P2462" s="117">
        <f>P2461+IF(AND($H2462&lt;&gt;"",OR(LEFT($F2462,LEN(SC_TK))=SC_TK,LEFT($G2462,LEN(SC_TK))=SC_TK)),1,0)</f>
        <v/>
      </c>
    </row>
    <row r="2463" ht="15" customHeight="1" s="78">
      <c r="A2463" s="95">
        <f>IF($H2463="","",ROW()-6)</f>
        <v/>
      </c>
      <c r="B2463" s="114" t="n"/>
      <c r="C2463" s="102" t="n"/>
      <c r="D2463" s="114" t="n"/>
      <c r="E2463" s="103" t="n"/>
      <c r="F2463" s="102" t="n"/>
      <c r="G2463" s="102" t="n"/>
      <c r="H2463" s="115" t="n"/>
      <c r="I2463" s="102" t="n"/>
      <c r="J2463" s="102" t="n"/>
      <c r="K2463" s="103" t="n"/>
      <c r="L2463" s="116">
        <f>IF($H2463="","",TRIM(IF(COUNTIF(DMTK!$A$7:$A$250,$F2463)=0,"TK Nợ sai! ","")&amp;IF(COUNTIF(DMTK!$A$7:$A$250,$G2463)=0,"TK Có sai! ","")&amp;IF(N($H2463)&lt;=0,"Tiền phải &gt; 0! ","")&amp;IF($B2463="","Thiếu ngày! ","")&amp;IF(AND(OR(LEFT($F2463,3)="131",LEFT($G2463,3)="131",LEFT($F2463,3)="331",LEFT($G2463,3)="331"),$I2463=""),"Thiếu Mã ĐT! ","")&amp;IF(AND($I2463&lt;&gt;"",COUNTIF(DM_DT!$A$7:$A$306,$I2463)=0),"Mã ĐT chưa khai báo! ","")))</f>
        <v/>
      </c>
      <c r="M2463" s="117">
        <f>IF($H2463="","",IF(AND(OR(LEFT($F2463,3)="111",LEFT($F2463,3)="112",LEFT($F2463,3)="113"),OR(LEFT($G2463,3)="111",LEFT($G2463,3)="112",LEFT($G2463,3)="113")),"NB",IF(OR(LEFT($F2463,3)="111",LEFT($F2463,3)="112",LEFT($F2463,3)="113"),"THU",IF(OR(LEFT($G2463,3)="111",LEFT($G2463,3)="112",LEFT($G2463,3)="113"),"CHI",""))))</f>
        <v/>
      </c>
      <c r="N2463" s="117">
        <f>IF($M2463="THU",$G2463,IF($M2463="CHI",$F2463,""))</f>
        <v/>
      </c>
      <c r="O2463" s="117">
        <f>IF(OR($M2463="",$M2463="NB"),"",IF($J2463&lt;&gt;"",TEXT($J2463,"00"),IFERROR(VLOOKUP(LEFT($N2463,4),LCTT_MAP!$A$7:$C$66,IF($M2463="THU",2,3),FALSE()),IFERROR(VLOOKUP(LEFT($N2463,3),LCTT_MAP!$A$7:$C$66,IF($M2463="THU",2,3),FALSE()),IFERROR(VLOOKUP(LEFT($N2463,2),LCTT_MAP!$A$7:$C$66,IF($M2463="THU",2,3),FALSE()),IFERROR(VLOOKUP(LEFT($N2463,1),LCTT_MAP!$A$7:$C$66,IF($M2463="THU",2,3),FALSE()),IF($M2463="THU","06","07")))))))</f>
        <v/>
      </c>
      <c r="P2463" s="117">
        <f>P2462+IF(AND($H2463&lt;&gt;"",OR(LEFT($F2463,LEN(SC_TK))=SC_TK,LEFT($G2463,LEN(SC_TK))=SC_TK)),1,0)</f>
        <v/>
      </c>
    </row>
    <row r="2464" ht="15" customHeight="1" s="78">
      <c r="A2464" s="95">
        <f>IF($H2464="","",ROW()-6)</f>
        <v/>
      </c>
      <c r="B2464" s="114" t="n"/>
      <c r="C2464" s="102" t="n"/>
      <c r="D2464" s="114" t="n"/>
      <c r="E2464" s="103" t="n"/>
      <c r="F2464" s="102" t="n"/>
      <c r="G2464" s="102" t="n"/>
      <c r="H2464" s="115" t="n"/>
      <c r="I2464" s="102" t="n"/>
      <c r="J2464" s="102" t="n"/>
      <c r="K2464" s="103" t="n"/>
      <c r="L2464" s="116">
        <f>IF($H2464="","",TRIM(IF(COUNTIF(DMTK!$A$7:$A$250,$F2464)=0,"TK Nợ sai! ","")&amp;IF(COUNTIF(DMTK!$A$7:$A$250,$G2464)=0,"TK Có sai! ","")&amp;IF(N($H2464)&lt;=0,"Tiền phải &gt; 0! ","")&amp;IF($B2464="","Thiếu ngày! ","")&amp;IF(AND(OR(LEFT($F2464,3)="131",LEFT($G2464,3)="131",LEFT($F2464,3)="331",LEFT($G2464,3)="331"),$I2464=""),"Thiếu Mã ĐT! ","")&amp;IF(AND($I2464&lt;&gt;"",COUNTIF(DM_DT!$A$7:$A$306,$I2464)=0),"Mã ĐT chưa khai báo! ","")))</f>
        <v/>
      </c>
      <c r="M2464" s="117">
        <f>IF($H2464="","",IF(AND(OR(LEFT($F2464,3)="111",LEFT($F2464,3)="112",LEFT($F2464,3)="113"),OR(LEFT($G2464,3)="111",LEFT($G2464,3)="112",LEFT($G2464,3)="113")),"NB",IF(OR(LEFT($F2464,3)="111",LEFT($F2464,3)="112",LEFT($F2464,3)="113"),"THU",IF(OR(LEFT($G2464,3)="111",LEFT($G2464,3)="112",LEFT($G2464,3)="113"),"CHI",""))))</f>
        <v/>
      </c>
      <c r="N2464" s="117">
        <f>IF($M2464="THU",$G2464,IF($M2464="CHI",$F2464,""))</f>
        <v/>
      </c>
      <c r="O2464" s="117">
        <f>IF(OR($M2464="",$M2464="NB"),"",IF($J2464&lt;&gt;"",TEXT($J2464,"00"),IFERROR(VLOOKUP(LEFT($N2464,4),LCTT_MAP!$A$7:$C$66,IF($M2464="THU",2,3),FALSE()),IFERROR(VLOOKUP(LEFT($N2464,3),LCTT_MAP!$A$7:$C$66,IF($M2464="THU",2,3),FALSE()),IFERROR(VLOOKUP(LEFT($N2464,2),LCTT_MAP!$A$7:$C$66,IF($M2464="THU",2,3),FALSE()),IFERROR(VLOOKUP(LEFT($N2464,1),LCTT_MAP!$A$7:$C$66,IF($M2464="THU",2,3),FALSE()),IF($M2464="THU","06","07")))))))</f>
        <v/>
      </c>
      <c r="P2464" s="117">
        <f>P2463+IF(AND($H2464&lt;&gt;"",OR(LEFT($F2464,LEN(SC_TK))=SC_TK,LEFT($G2464,LEN(SC_TK))=SC_TK)),1,0)</f>
        <v/>
      </c>
    </row>
    <row r="2465" ht="15" customHeight="1" s="78">
      <c r="A2465" s="95">
        <f>IF($H2465="","",ROW()-6)</f>
        <v/>
      </c>
      <c r="B2465" s="114" t="n"/>
      <c r="C2465" s="102" t="n"/>
      <c r="D2465" s="114" t="n"/>
      <c r="E2465" s="103" t="n"/>
      <c r="F2465" s="102" t="n"/>
      <c r="G2465" s="102" t="n"/>
      <c r="H2465" s="115" t="n"/>
      <c r="I2465" s="102" t="n"/>
      <c r="J2465" s="102" t="n"/>
      <c r="K2465" s="103" t="n"/>
      <c r="L2465" s="116">
        <f>IF($H2465="","",TRIM(IF(COUNTIF(DMTK!$A$7:$A$250,$F2465)=0,"TK Nợ sai! ","")&amp;IF(COUNTIF(DMTK!$A$7:$A$250,$G2465)=0,"TK Có sai! ","")&amp;IF(N($H2465)&lt;=0,"Tiền phải &gt; 0! ","")&amp;IF($B2465="","Thiếu ngày! ","")&amp;IF(AND(OR(LEFT($F2465,3)="131",LEFT($G2465,3)="131",LEFT($F2465,3)="331",LEFT($G2465,3)="331"),$I2465=""),"Thiếu Mã ĐT! ","")&amp;IF(AND($I2465&lt;&gt;"",COUNTIF(DM_DT!$A$7:$A$306,$I2465)=0),"Mã ĐT chưa khai báo! ","")))</f>
        <v/>
      </c>
      <c r="M2465" s="117">
        <f>IF($H2465="","",IF(AND(OR(LEFT($F2465,3)="111",LEFT($F2465,3)="112",LEFT($F2465,3)="113"),OR(LEFT($G2465,3)="111",LEFT($G2465,3)="112",LEFT($G2465,3)="113")),"NB",IF(OR(LEFT($F2465,3)="111",LEFT($F2465,3)="112",LEFT($F2465,3)="113"),"THU",IF(OR(LEFT($G2465,3)="111",LEFT($G2465,3)="112",LEFT($G2465,3)="113"),"CHI",""))))</f>
        <v/>
      </c>
      <c r="N2465" s="117">
        <f>IF($M2465="THU",$G2465,IF($M2465="CHI",$F2465,""))</f>
        <v/>
      </c>
      <c r="O2465" s="117">
        <f>IF(OR($M2465="",$M2465="NB"),"",IF($J2465&lt;&gt;"",TEXT($J2465,"00"),IFERROR(VLOOKUP(LEFT($N2465,4),LCTT_MAP!$A$7:$C$66,IF($M2465="THU",2,3),FALSE()),IFERROR(VLOOKUP(LEFT($N2465,3),LCTT_MAP!$A$7:$C$66,IF($M2465="THU",2,3),FALSE()),IFERROR(VLOOKUP(LEFT($N2465,2),LCTT_MAP!$A$7:$C$66,IF($M2465="THU",2,3),FALSE()),IFERROR(VLOOKUP(LEFT($N2465,1),LCTT_MAP!$A$7:$C$66,IF($M2465="THU",2,3),FALSE()),IF($M2465="THU","06","07")))))))</f>
        <v/>
      </c>
      <c r="P2465" s="117">
        <f>P2464+IF(AND($H2465&lt;&gt;"",OR(LEFT($F2465,LEN(SC_TK))=SC_TK,LEFT($G2465,LEN(SC_TK))=SC_TK)),1,0)</f>
        <v/>
      </c>
    </row>
    <row r="2466" ht="15" customHeight="1" s="78">
      <c r="A2466" s="95">
        <f>IF($H2466="","",ROW()-6)</f>
        <v/>
      </c>
      <c r="B2466" s="114" t="n"/>
      <c r="C2466" s="102" t="n"/>
      <c r="D2466" s="114" t="n"/>
      <c r="E2466" s="103" t="n"/>
      <c r="F2466" s="102" t="n"/>
      <c r="G2466" s="102" t="n"/>
      <c r="H2466" s="115" t="n"/>
      <c r="I2466" s="102" t="n"/>
      <c r="J2466" s="102" t="n"/>
      <c r="K2466" s="103" t="n"/>
      <c r="L2466" s="116">
        <f>IF($H2466="","",TRIM(IF(COUNTIF(DMTK!$A$7:$A$250,$F2466)=0,"TK Nợ sai! ","")&amp;IF(COUNTIF(DMTK!$A$7:$A$250,$G2466)=0,"TK Có sai! ","")&amp;IF(N($H2466)&lt;=0,"Tiền phải &gt; 0! ","")&amp;IF($B2466="","Thiếu ngày! ","")&amp;IF(AND(OR(LEFT($F2466,3)="131",LEFT($G2466,3)="131",LEFT($F2466,3)="331",LEFT($G2466,3)="331"),$I2466=""),"Thiếu Mã ĐT! ","")&amp;IF(AND($I2466&lt;&gt;"",COUNTIF(DM_DT!$A$7:$A$306,$I2466)=0),"Mã ĐT chưa khai báo! ","")))</f>
        <v/>
      </c>
      <c r="M2466" s="117">
        <f>IF($H2466="","",IF(AND(OR(LEFT($F2466,3)="111",LEFT($F2466,3)="112",LEFT($F2466,3)="113"),OR(LEFT($G2466,3)="111",LEFT($G2466,3)="112",LEFT($G2466,3)="113")),"NB",IF(OR(LEFT($F2466,3)="111",LEFT($F2466,3)="112",LEFT($F2466,3)="113"),"THU",IF(OR(LEFT($G2466,3)="111",LEFT($G2466,3)="112",LEFT($G2466,3)="113"),"CHI",""))))</f>
        <v/>
      </c>
      <c r="N2466" s="117">
        <f>IF($M2466="THU",$G2466,IF($M2466="CHI",$F2466,""))</f>
        <v/>
      </c>
      <c r="O2466" s="117">
        <f>IF(OR($M2466="",$M2466="NB"),"",IF($J2466&lt;&gt;"",TEXT($J2466,"00"),IFERROR(VLOOKUP(LEFT($N2466,4),LCTT_MAP!$A$7:$C$66,IF($M2466="THU",2,3),FALSE()),IFERROR(VLOOKUP(LEFT($N2466,3),LCTT_MAP!$A$7:$C$66,IF($M2466="THU",2,3),FALSE()),IFERROR(VLOOKUP(LEFT($N2466,2),LCTT_MAP!$A$7:$C$66,IF($M2466="THU",2,3),FALSE()),IFERROR(VLOOKUP(LEFT($N2466,1),LCTT_MAP!$A$7:$C$66,IF($M2466="THU",2,3),FALSE()),IF($M2466="THU","06","07")))))))</f>
        <v/>
      </c>
      <c r="P2466" s="117">
        <f>P2465+IF(AND($H2466&lt;&gt;"",OR(LEFT($F2466,LEN(SC_TK))=SC_TK,LEFT($G2466,LEN(SC_TK))=SC_TK)),1,0)</f>
        <v/>
      </c>
    </row>
    <row r="2467" ht="15" customHeight="1" s="78">
      <c r="A2467" s="95">
        <f>IF($H2467="","",ROW()-6)</f>
        <v/>
      </c>
      <c r="B2467" s="114" t="n"/>
      <c r="C2467" s="102" t="n"/>
      <c r="D2467" s="114" t="n"/>
      <c r="E2467" s="103" t="n"/>
      <c r="F2467" s="102" t="n"/>
      <c r="G2467" s="102" t="n"/>
      <c r="H2467" s="115" t="n"/>
      <c r="I2467" s="102" t="n"/>
      <c r="J2467" s="102" t="n"/>
      <c r="K2467" s="103" t="n"/>
      <c r="L2467" s="116">
        <f>IF($H2467="","",TRIM(IF(COUNTIF(DMTK!$A$7:$A$250,$F2467)=0,"TK Nợ sai! ","")&amp;IF(COUNTIF(DMTK!$A$7:$A$250,$G2467)=0,"TK Có sai! ","")&amp;IF(N($H2467)&lt;=0,"Tiền phải &gt; 0! ","")&amp;IF($B2467="","Thiếu ngày! ","")&amp;IF(AND(OR(LEFT($F2467,3)="131",LEFT($G2467,3)="131",LEFT($F2467,3)="331",LEFT($G2467,3)="331"),$I2467=""),"Thiếu Mã ĐT! ","")&amp;IF(AND($I2467&lt;&gt;"",COUNTIF(DM_DT!$A$7:$A$306,$I2467)=0),"Mã ĐT chưa khai báo! ","")))</f>
        <v/>
      </c>
      <c r="M2467" s="117">
        <f>IF($H2467="","",IF(AND(OR(LEFT($F2467,3)="111",LEFT($F2467,3)="112",LEFT($F2467,3)="113"),OR(LEFT($G2467,3)="111",LEFT($G2467,3)="112",LEFT($G2467,3)="113")),"NB",IF(OR(LEFT($F2467,3)="111",LEFT($F2467,3)="112",LEFT($F2467,3)="113"),"THU",IF(OR(LEFT($G2467,3)="111",LEFT($G2467,3)="112",LEFT($G2467,3)="113"),"CHI",""))))</f>
        <v/>
      </c>
      <c r="N2467" s="117">
        <f>IF($M2467="THU",$G2467,IF($M2467="CHI",$F2467,""))</f>
        <v/>
      </c>
      <c r="O2467" s="117">
        <f>IF(OR($M2467="",$M2467="NB"),"",IF($J2467&lt;&gt;"",TEXT($J2467,"00"),IFERROR(VLOOKUP(LEFT($N2467,4),LCTT_MAP!$A$7:$C$66,IF($M2467="THU",2,3),FALSE()),IFERROR(VLOOKUP(LEFT($N2467,3),LCTT_MAP!$A$7:$C$66,IF($M2467="THU",2,3),FALSE()),IFERROR(VLOOKUP(LEFT($N2467,2),LCTT_MAP!$A$7:$C$66,IF($M2467="THU",2,3),FALSE()),IFERROR(VLOOKUP(LEFT($N2467,1),LCTT_MAP!$A$7:$C$66,IF($M2467="THU",2,3),FALSE()),IF($M2467="THU","06","07")))))))</f>
        <v/>
      </c>
      <c r="P2467" s="117">
        <f>P2466+IF(AND($H2467&lt;&gt;"",OR(LEFT($F2467,LEN(SC_TK))=SC_TK,LEFT($G2467,LEN(SC_TK))=SC_TK)),1,0)</f>
        <v/>
      </c>
    </row>
    <row r="2468" ht="15" customHeight="1" s="78">
      <c r="A2468" s="95">
        <f>IF($H2468="","",ROW()-6)</f>
        <v/>
      </c>
      <c r="B2468" s="114" t="n"/>
      <c r="C2468" s="102" t="n"/>
      <c r="D2468" s="114" t="n"/>
      <c r="E2468" s="103" t="n"/>
      <c r="F2468" s="102" t="n"/>
      <c r="G2468" s="102" t="n"/>
      <c r="H2468" s="115" t="n"/>
      <c r="I2468" s="102" t="n"/>
      <c r="J2468" s="102" t="n"/>
      <c r="K2468" s="103" t="n"/>
      <c r="L2468" s="116">
        <f>IF($H2468="","",TRIM(IF(COUNTIF(DMTK!$A$7:$A$250,$F2468)=0,"TK Nợ sai! ","")&amp;IF(COUNTIF(DMTK!$A$7:$A$250,$G2468)=0,"TK Có sai! ","")&amp;IF(N($H2468)&lt;=0,"Tiền phải &gt; 0! ","")&amp;IF($B2468="","Thiếu ngày! ","")&amp;IF(AND(OR(LEFT($F2468,3)="131",LEFT($G2468,3)="131",LEFT($F2468,3)="331",LEFT($G2468,3)="331"),$I2468=""),"Thiếu Mã ĐT! ","")&amp;IF(AND($I2468&lt;&gt;"",COUNTIF(DM_DT!$A$7:$A$306,$I2468)=0),"Mã ĐT chưa khai báo! ","")))</f>
        <v/>
      </c>
      <c r="M2468" s="117">
        <f>IF($H2468="","",IF(AND(OR(LEFT($F2468,3)="111",LEFT($F2468,3)="112",LEFT($F2468,3)="113"),OR(LEFT($G2468,3)="111",LEFT($G2468,3)="112",LEFT($G2468,3)="113")),"NB",IF(OR(LEFT($F2468,3)="111",LEFT($F2468,3)="112",LEFT($F2468,3)="113"),"THU",IF(OR(LEFT($G2468,3)="111",LEFT($G2468,3)="112",LEFT($G2468,3)="113"),"CHI",""))))</f>
        <v/>
      </c>
      <c r="N2468" s="117">
        <f>IF($M2468="THU",$G2468,IF($M2468="CHI",$F2468,""))</f>
        <v/>
      </c>
      <c r="O2468" s="117">
        <f>IF(OR($M2468="",$M2468="NB"),"",IF($J2468&lt;&gt;"",TEXT($J2468,"00"),IFERROR(VLOOKUP(LEFT($N2468,4),LCTT_MAP!$A$7:$C$66,IF($M2468="THU",2,3),FALSE()),IFERROR(VLOOKUP(LEFT($N2468,3),LCTT_MAP!$A$7:$C$66,IF($M2468="THU",2,3),FALSE()),IFERROR(VLOOKUP(LEFT($N2468,2),LCTT_MAP!$A$7:$C$66,IF($M2468="THU",2,3),FALSE()),IFERROR(VLOOKUP(LEFT($N2468,1),LCTT_MAP!$A$7:$C$66,IF($M2468="THU",2,3),FALSE()),IF($M2468="THU","06","07")))))))</f>
        <v/>
      </c>
      <c r="P2468" s="117">
        <f>P2467+IF(AND($H2468&lt;&gt;"",OR(LEFT($F2468,LEN(SC_TK))=SC_TK,LEFT($G2468,LEN(SC_TK))=SC_TK)),1,0)</f>
        <v/>
      </c>
    </row>
    <row r="2469" ht="15" customHeight="1" s="78">
      <c r="A2469" s="95">
        <f>IF($H2469="","",ROW()-6)</f>
        <v/>
      </c>
      <c r="B2469" s="114" t="n"/>
      <c r="C2469" s="102" t="n"/>
      <c r="D2469" s="114" t="n"/>
      <c r="E2469" s="103" t="n"/>
      <c r="F2469" s="102" t="n"/>
      <c r="G2469" s="102" t="n"/>
      <c r="H2469" s="115" t="n"/>
      <c r="I2469" s="102" t="n"/>
      <c r="J2469" s="102" t="n"/>
      <c r="K2469" s="103" t="n"/>
      <c r="L2469" s="116">
        <f>IF($H2469="","",TRIM(IF(COUNTIF(DMTK!$A$7:$A$250,$F2469)=0,"TK Nợ sai! ","")&amp;IF(COUNTIF(DMTK!$A$7:$A$250,$G2469)=0,"TK Có sai! ","")&amp;IF(N($H2469)&lt;=0,"Tiền phải &gt; 0! ","")&amp;IF($B2469="","Thiếu ngày! ","")&amp;IF(AND(OR(LEFT($F2469,3)="131",LEFT($G2469,3)="131",LEFT($F2469,3)="331",LEFT($G2469,3)="331"),$I2469=""),"Thiếu Mã ĐT! ","")&amp;IF(AND($I2469&lt;&gt;"",COUNTIF(DM_DT!$A$7:$A$306,$I2469)=0),"Mã ĐT chưa khai báo! ","")))</f>
        <v/>
      </c>
      <c r="M2469" s="117">
        <f>IF($H2469="","",IF(AND(OR(LEFT($F2469,3)="111",LEFT($F2469,3)="112",LEFT($F2469,3)="113"),OR(LEFT($G2469,3)="111",LEFT($G2469,3)="112",LEFT($G2469,3)="113")),"NB",IF(OR(LEFT($F2469,3)="111",LEFT($F2469,3)="112",LEFT($F2469,3)="113"),"THU",IF(OR(LEFT($G2469,3)="111",LEFT($G2469,3)="112",LEFT($G2469,3)="113"),"CHI",""))))</f>
        <v/>
      </c>
      <c r="N2469" s="117">
        <f>IF($M2469="THU",$G2469,IF($M2469="CHI",$F2469,""))</f>
        <v/>
      </c>
      <c r="O2469" s="117">
        <f>IF(OR($M2469="",$M2469="NB"),"",IF($J2469&lt;&gt;"",TEXT($J2469,"00"),IFERROR(VLOOKUP(LEFT($N2469,4),LCTT_MAP!$A$7:$C$66,IF($M2469="THU",2,3),FALSE()),IFERROR(VLOOKUP(LEFT($N2469,3),LCTT_MAP!$A$7:$C$66,IF($M2469="THU",2,3),FALSE()),IFERROR(VLOOKUP(LEFT($N2469,2),LCTT_MAP!$A$7:$C$66,IF($M2469="THU",2,3),FALSE()),IFERROR(VLOOKUP(LEFT($N2469,1),LCTT_MAP!$A$7:$C$66,IF($M2469="THU",2,3),FALSE()),IF($M2469="THU","06","07")))))))</f>
        <v/>
      </c>
      <c r="P2469" s="117">
        <f>P2468+IF(AND($H2469&lt;&gt;"",OR(LEFT($F2469,LEN(SC_TK))=SC_TK,LEFT($G2469,LEN(SC_TK))=SC_TK)),1,0)</f>
        <v/>
      </c>
    </row>
    <row r="2470" ht="15" customHeight="1" s="78">
      <c r="A2470" s="95">
        <f>IF($H2470="","",ROW()-6)</f>
        <v/>
      </c>
      <c r="B2470" s="114" t="n"/>
      <c r="C2470" s="102" t="n"/>
      <c r="D2470" s="114" t="n"/>
      <c r="E2470" s="103" t="n"/>
      <c r="F2470" s="102" t="n"/>
      <c r="G2470" s="102" t="n"/>
      <c r="H2470" s="115" t="n"/>
      <c r="I2470" s="102" t="n"/>
      <c r="J2470" s="102" t="n"/>
      <c r="K2470" s="103" t="n"/>
      <c r="L2470" s="116">
        <f>IF($H2470="","",TRIM(IF(COUNTIF(DMTK!$A$7:$A$250,$F2470)=0,"TK Nợ sai! ","")&amp;IF(COUNTIF(DMTK!$A$7:$A$250,$G2470)=0,"TK Có sai! ","")&amp;IF(N($H2470)&lt;=0,"Tiền phải &gt; 0! ","")&amp;IF($B2470="","Thiếu ngày! ","")&amp;IF(AND(OR(LEFT($F2470,3)="131",LEFT($G2470,3)="131",LEFT($F2470,3)="331",LEFT($G2470,3)="331"),$I2470=""),"Thiếu Mã ĐT! ","")&amp;IF(AND($I2470&lt;&gt;"",COUNTIF(DM_DT!$A$7:$A$306,$I2470)=0),"Mã ĐT chưa khai báo! ","")))</f>
        <v/>
      </c>
      <c r="M2470" s="117">
        <f>IF($H2470="","",IF(AND(OR(LEFT($F2470,3)="111",LEFT($F2470,3)="112",LEFT($F2470,3)="113"),OR(LEFT($G2470,3)="111",LEFT($G2470,3)="112",LEFT($G2470,3)="113")),"NB",IF(OR(LEFT($F2470,3)="111",LEFT($F2470,3)="112",LEFT($F2470,3)="113"),"THU",IF(OR(LEFT($G2470,3)="111",LEFT($G2470,3)="112",LEFT($G2470,3)="113"),"CHI",""))))</f>
        <v/>
      </c>
      <c r="N2470" s="117">
        <f>IF($M2470="THU",$G2470,IF($M2470="CHI",$F2470,""))</f>
        <v/>
      </c>
      <c r="O2470" s="117">
        <f>IF(OR($M2470="",$M2470="NB"),"",IF($J2470&lt;&gt;"",TEXT($J2470,"00"),IFERROR(VLOOKUP(LEFT($N2470,4),LCTT_MAP!$A$7:$C$66,IF($M2470="THU",2,3),FALSE()),IFERROR(VLOOKUP(LEFT($N2470,3),LCTT_MAP!$A$7:$C$66,IF($M2470="THU",2,3),FALSE()),IFERROR(VLOOKUP(LEFT($N2470,2),LCTT_MAP!$A$7:$C$66,IF($M2470="THU",2,3),FALSE()),IFERROR(VLOOKUP(LEFT($N2470,1),LCTT_MAP!$A$7:$C$66,IF($M2470="THU",2,3),FALSE()),IF($M2470="THU","06","07")))))))</f>
        <v/>
      </c>
      <c r="P2470" s="117">
        <f>P2469+IF(AND($H2470&lt;&gt;"",OR(LEFT($F2470,LEN(SC_TK))=SC_TK,LEFT($G2470,LEN(SC_TK))=SC_TK)),1,0)</f>
        <v/>
      </c>
    </row>
    <row r="2471" ht="15" customHeight="1" s="78">
      <c r="A2471" s="95">
        <f>IF($H2471="","",ROW()-6)</f>
        <v/>
      </c>
      <c r="B2471" s="114" t="n"/>
      <c r="C2471" s="102" t="n"/>
      <c r="D2471" s="114" t="n"/>
      <c r="E2471" s="103" t="n"/>
      <c r="F2471" s="102" t="n"/>
      <c r="G2471" s="102" t="n"/>
      <c r="H2471" s="115" t="n"/>
      <c r="I2471" s="102" t="n"/>
      <c r="J2471" s="102" t="n"/>
      <c r="K2471" s="103" t="n"/>
      <c r="L2471" s="116">
        <f>IF($H2471="","",TRIM(IF(COUNTIF(DMTK!$A$7:$A$250,$F2471)=0,"TK Nợ sai! ","")&amp;IF(COUNTIF(DMTK!$A$7:$A$250,$G2471)=0,"TK Có sai! ","")&amp;IF(N($H2471)&lt;=0,"Tiền phải &gt; 0! ","")&amp;IF($B2471="","Thiếu ngày! ","")&amp;IF(AND(OR(LEFT($F2471,3)="131",LEFT($G2471,3)="131",LEFT($F2471,3)="331",LEFT($G2471,3)="331"),$I2471=""),"Thiếu Mã ĐT! ","")&amp;IF(AND($I2471&lt;&gt;"",COUNTIF(DM_DT!$A$7:$A$306,$I2471)=0),"Mã ĐT chưa khai báo! ","")))</f>
        <v/>
      </c>
      <c r="M2471" s="117">
        <f>IF($H2471="","",IF(AND(OR(LEFT($F2471,3)="111",LEFT($F2471,3)="112",LEFT($F2471,3)="113"),OR(LEFT($G2471,3)="111",LEFT($G2471,3)="112",LEFT($G2471,3)="113")),"NB",IF(OR(LEFT($F2471,3)="111",LEFT($F2471,3)="112",LEFT($F2471,3)="113"),"THU",IF(OR(LEFT($G2471,3)="111",LEFT($G2471,3)="112",LEFT($G2471,3)="113"),"CHI",""))))</f>
        <v/>
      </c>
      <c r="N2471" s="117">
        <f>IF($M2471="THU",$G2471,IF($M2471="CHI",$F2471,""))</f>
        <v/>
      </c>
      <c r="O2471" s="117">
        <f>IF(OR($M2471="",$M2471="NB"),"",IF($J2471&lt;&gt;"",TEXT($J2471,"00"),IFERROR(VLOOKUP(LEFT($N2471,4),LCTT_MAP!$A$7:$C$66,IF($M2471="THU",2,3),FALSE()),IFERROR(VLOOKUP(LEFT($N2471,3),LCTT_MAP!$A$7:$C$66,IF($M2471="THU",2,3),FALSE()),IFERROR(VLOOKUP(LEFT($N2471,2),LCTT_MAP!$A$7:$C$66,IF($M2471="THU",2,3),FALSE()),IFERROR(VLOOKUP(LEFT($N2471,1),LCTT_MAP!$A$7:$C$66,IF($M2471="THU",2,3),FALSE()),IF($M2471="THU","06","07")))))))</f>
        <v/>
      </c>
      <c r="P2471" s="117">
        <f>P2470+IF(AND($H2471&lt;&gt;"",OR(LEFT($F2471,LEN(SC_TK))=SC_TK,LEFT($G2471,LEN(SC_TK))=SC_TK)),1,0)</f>
        <v/>
      </c>
    </row>
    <row r="2472" ht="15" customHeight="1" s="78">
      <c r="A2472" s="95">
        <f>IF($H2472="","",ROW()-6)</f>
        <v/>
      </c>
      <c r="B2472" s="114" t="n"/>
      <c r="C2472" s="102" t="n"/>
      <c r="D2472" s="114" t="n"/>
      <c r="E2472" s="103" t="n"/>
      <c r="F2472" s="102" t="n"/>
      <c r="G2472" s="102" t="n"/>
      <c r="H2472" s="115" t="n"/>
      <c r="I2472" s="102" t="n"/>
      <c r="J2472" s="102" t="n"/>
      <c r="K2472" s="103" t="n"/>
      <c r="L2472" s="116">
        <f>IF($H2472="","",TRIM(IF(COUNTIF(DMTK!$A$7:$A$250,$F2472)=0,"TK Nợ sai! ","")&amp;IF(COUNTIF(DMTK!$A$7:$A$250,$G2472)=0,"TK Có sai! ","")&amp;IF(N($H2472)&lt;=0,"Tiền phải &gt; 0! ","")&amp;IF($B2472="","Thiếu ngày! ","")&amp;IF(AND(OR(LEFT($F2472,3)="131",LEFT($G2472,3)="131",LEFT($F2472,3)="331",LEFT($G2472,3)="331"),$I2472=""),"Thiếu Mã ĐT! ","")&amp;IF(AND($I2472&lt;&gt;"",COUNTIF(DM_DT!$A$7:$A$306,$I2472)=0),"Mã ĐT chưa khai báo! ","")))</f>
        <v/>
      </c>
      <c r="M2472" s="117">
        <f>IF($H2472="","",IF(AND(OR(LEFT($F2472,3)="111",LEFT($F2472,3)="112",LEFT($F2472,3)="113"),OR(LEFT($G2472,3)="111",LEFT($G2472,3)="112",LEFT($G2472,3)="113")),"NB",IF(OR(LEFT($F2472,3)="111",LEFT($F2472,3)="112",LEFT($F2472,3)="113"),"THU",IF(OR(LEFT($G2472,3)="111",LEFT($G2472,3)="112",LEFT($G2472,3)="113"),"CHI",""))))</f>
        <v/>
      </c>
      <c r="N2472" s="117">
        <f>IF($M2472="THU",$G2472,IF($M2472="CHI",$F2472,""))</f>
        <v/>
      </c>
      <c r="O2472" s="117">
        <f>IF(OR($M2472="",$M2472="NB"),"",IF($J2472&lt;&gt;"",TEXT($J2472,"00"),IFERROR(VLOOKUP(LEFT($N2472,4),LCTT_MAP!$A$7:$C$66,IF($M2472="THU",2,3),FALSE()),IFERROR(VLOOKUP(LEFT($N2472,3),LCTT_MAP!$A$7:$C$66,IF($M2472="THU",2,3),FALSE()),IFERROR(VLOOKUP(LEFT($N2472,2),LCTT_MAP!$A$7:$C$66,IF($M2472="THU",2,3),FALSE()),IFERROR(VLOOKUP(LEFT($N2472,1),LCTT_MAP!$A$7:$C$66,IF($M2472="THU",2,3),FALSE()),IF($M2472="THU","06","07")))))))</f>
        <v/>
      </c>
      <c r="P2472" s="117">
        <f>P2471+IF(AND($H2472&lt;&gt;"",OR(LEFT($F2472,LEN(SC_TK))=SC_TK,LEFT($G2472,LEN(SC_TK))=SC_TK)),1,0)</f>
        <v/>
      </c>
    </row>
    <row r="2473" ht="15" customHeight="1" s="78">
      <c r="A2473" s="95">
        <f>IF($H2473="","",ROW()-6)</f>
        <v/>
      </c>
      <c r="B2473" s="114" t="n"/>
      <c r="C2473" s="102" t="n"/>
      <c r="D2473" s="114" t="n"/>
      <c r="E2473" s="103" t="n"/>
      <c r="F2473" s="102" t="n"/>
      <c r="G2473" s="102" t="n"/>
      <c r="H2473" s="115" t="n"/>
      <c r="I2473" s="102" t="n"/>
      <c r="J2473" s="102" t="n"/>
      <c r="K2473" s="103" t="n"/>
      <c r="L2473" s="116">
        <f>IF($H2473="","",TRIM(IF(COUNTIF(DMTK!$A$7:$A$250,$F2473)=0,"TK Nợ sai! ","")&amp;IF(COUNTIF(DMTK!$A$7:$A$250,$G2473)=0,"TK Có sai! ","")&amp;IF(N($H2473)&lt;=0,"Tiền phải &gt; 0! ","")&amp;IF($B2473="","Thiếu ngày! ","")&amp;IF(AND(OR(LEFT($F2473,3)="131",LEFT($G2473,3)="131",LEFT($F2473,3)="331",LEFT($G2473,3)="331"),$I2473=""),"Thiếu Mã ĐT! ","")&amp;IF(AND($I2473&lt;&gt;"",COUNTIF(DM_DT!$A$7:$A$306,$I2473)=0),"Mã ĐT chưa khai báo! ","")))</f>
        <v/>
      </c>
      <c r="M2473" s="117">
        <f>IF($H2473="","",IF(AND(OR(LEFT($F2473,3)="111",LEFT($F2473,3)="112",LEFT($F2473,3)="113"),OR(LEFT($G2473,3)="111",LEFT($G2473,3)="112",LEFT($G2473,3)="113")),"NB",IF(OR(LEFT($F2473,3)="111",LEFT($F2473,3)="112",LEFT($F2473,3)="113"),"THU",IF(OR(LEFT($G2473,3)="111",LEFT($G2473,3)="112",LEFT($G2473,3)="113"),"CHI",""))))</f>
        <v/>
      </c>
      <c r="N2473" s="117">
        <f>IF($M2473="THU",$G2473,IF($M2473="CHI",$F2473,""))</f>
        <v/>
      </c>
      <c r="O2473" s="117">
        <f>IF(OR($M2473="",$M2473="NB"),"",IF($J2473&lt;&gt;"",TEXT($J2473,"00"),IFERROR(VLOOKUP(LEFT($N2473,4),LCTT_MAP!$A$7:$C$66,IF($M2473="THU",2,3),FALSE()),IFERROR(VLOOKUP(LEFT($N2473,3),LCTT_MAP!$A$7:$C$66,IF($M2473="THU",2,3),FALSE()),IFERROR(VLOOKUP(LEFT($N2473,2),LCTT_MAP!$A$7:$C$66,IF($M2473="THU",2,3),FALSE()),IFERROR(VLOOKUP(LEFT($N2473,1),LCTT_MAP!$A$7:$C$66,IF($M2473="THU",2,3),FALSE()),IF($M2473="THU","06","07")))))))</f>
        <v/>
      </c>
      <c r="P2473" s="117">
        <f>P2472+IF(AND($H2473&lt;&gt;"",OR(LEFT($F2473,LEN(SC_TK))=SC_TK,LEFT($G2473,LEN(SC_TK))=SC_TK)),1,0)</f>
        <v/>
      </c>
    </row>
    <row r="2474" ht="15" customHeight="1" s="78">
      <c r="A2474" s="95">
        <f>IF($H2474="","",ROW()-6)</f>
        <v/>
      </c>
      <c r="B2474" s="114" t="n"/>
      <c r="C2474" s="102" t="n"/>
      <c r="D2474" s="114" t="n"/>
      <c r="E2474" s="103" t="n"/>
      <c r="F2474" s="102" t="n"/>
      <c r="G2474" s="102" t="n"/>
      <c r="H2474" s="115" t="n"/>
      <c r="I2474" s="102" t="n"/>
      <c r="J2474" s="102" t="n"/>
      <c r="K2474" s="103" t="n"/>
      <c r="L2474" s="116">
        <f>IF($H2474="","",TRIM(IF(COUNTIF(DMTK!$A$7:$A$250,$F2474)=0,"TK Nợ sai! ","")&amp;IF(COUNTIF(DMTK!$A$7:$A$250,$G2474)=0,"TK Có sai! ","")&amp;IF(N($H2474)&lt;=0,"Tiền phải &gt; 0! ","")&amp;IF($B2474="","Thiếu ngày! ","")&amp;IF(AND(OR(LEFT($F2474,3)="131",LEFT($G2474,3)="131",LEFT($F2474,3)="331",LEFT($G2474,3)="331"),$I2474=""),"Thiếu Mã ĐT! ","")&amp;IF(AND($I2474&lt;&gt;"",COUNTIF(DM_DT!$A$7:$A$306,$I2474)=0),"Mã ĐT chưa khai báo! ","")))</f>
        <v/>
      </c>
      <c r="M2474" s="117">
        <f>IF($H2474="","",IF(AND(OR(LEFT($F2474,3)="111",LEFT($F2474,3)="112",LEFT($F2474,3)="113"),OR(LEFT($G2474,3)="111",LEFT($G2474,3)="112",LEFT($G2474,3)="113")),"NB",IF(OR(LEFT($F2474,3)="111",LEFT($F2474,3)="112",LEFT($F2474,3)="113"),"THU",IF(OR(LEFT($G2474,3)="111",LEFT($G2474,3)="112",LEFT($G2474,3)="113"),"CHI",""))))</f>
        <v/>
      </c>
      <c r="N2474" s="117">
        <f>IF($M2474="THU",$G2474,IF($M2474="CHI",$F2474,""))</f>
        <v/>
      </c>
      <c r="O2474" s="117">
        <f>IF(OR($M2474="",$M2474="NB"),"",IF($J2474&lt;&gt;"",TEXT($J2474,"00"),IFERROR(VLOOKUP(LEFT($N2474,4),LCTT_MAP!$A$7:$C$66,IF($M2474="THU",2,3),FALSE()),IFERROR(VLOOKUP(LEFT($N2474,3),LCTT_MAP!$A$7:$C$66,IF($M2474="THU",2,3),FALSE()),IFERROR(VLOOKUP(LEFT($N2474,2),LCTT_MAP!$A$7:$C$66,IF($M2474="THU",2,3),FALSE()),IFERROR(VLOOKUP(LEFT($N2474,1),LCTT_MAP!$A$7:$C$66,IF($M2474="THU",2,3),FALSE()),IF($M2474="THU","06","07")))))))</f>
        <v/>
      </c>
      <c r="P2474" s="117">
        <f>P2473+IF(AND($H2474&lt;&gt;"",OR(LEFT($F2474,LEN(SC_TK))=SC_TK,LEFT($G2474,LEN(SC_TK))=SC_TK)),1,0)</f>
        <v/>
      </c>
    </row>
    <row r="2475" ht="15" customHeight="1" s="78">
      <c r="A2475" s="95">
        <f>IF($H2475="","",ROW()-6)</f>
        <v/>
      </c>
      <c r="B2475" s="114" t="n"/>
      <c r="C2475" s="102" t="n"/>
      <c r="D2475" s="114" t="n"/>
      <c r="E2475" s="103" t="n"/>
      <c r="F2475" s="102" t="n"/>
      <c r="G2475" s="102" t="n"/>
      <c r="H2475" s="115" t="n"/>
      <c r="I2475" s="102" t="n"/>
      <c r="J2475" s="102" t="n"/>
      <c r="K2475" s="103" t="n"/>
      <c r="L2475" s="116">
        <f>IF($H2475="","",TRIM(IF(COUNTIF(DMTK!$A$7:$A$250,$F2475)=0,"TK Nợ sai! ","")&amp;IF(COUNTIF(DMTK!$A$7:$A$250,$G2475)=0,"TK Có sai! ","")&amp;IF(N($H2475)&lt;=0,"Tiền phải &gt; 0! ","")&amp;IF($B2475="","Thiếu ngày! ","")&amp;IF(AND(OR(LEFT($F2475,3)="131",LEFT($G2475,3)="131",LEFT($F2475,3)="331",LEFT($G2475,3)="331"),$I2475=""),"Thiếu Mã ĐT! ","")&amp;IF(AND($I2475&lt;&gt;"",COUNTIF(DM_DT!$A$7:$A$306,$I2475)=0),"Mã ĐT chưa khai báo! ","")))</f>
        <v/>
      </c>
      <c r="M2475" s="117">
        <f>IF($H2475="","",IF(AND(OR(LEFT($F2475,3)="111",LEFT($F2475,3)="112",LEFT($F2475,3)="113"),OR(LEFT($G2475,3)="111",LEFT($G2475,3)="112",LEFT($G2475,3)="113")),"NB",IF(OR(LEFT($F2475,3)="111",LEFT($F2475,3)="112",LEFT($F2475,3)="113"),"THU",IF(OR(LEFT($G2475,3)="111",LEFT($G2475,3)="112",LEFT($G2475,3)="113"),"CHI",""))))</f>
        <v/>
      </c>
      <c r="N2475" s="117">
        <f>IF($M2475="THU",$G2475,IF($M2475="CHI",$F2475,""))</f>
        <v/>
      </c>
      <c r="O2475" s="117">
        <f>IF(OR($M2475="",$M2475="NB"),"",IF($J2475&lt;&gt;"",TEXT($J2475,"00"),IFERROR(VLOOKUP(LEFT($N2475,4),LCTT_MAP!$A$7:$C$66,IF($M2475="THU",2,3),FALSE()),IFERROR(VLOOKUP(LEFT($N2475,3),LCTT_MAP!$A$7:$C$66,IF($M2475="THU",2,3),FALSE()),IFERROR(VLOOKUP(LEFT($N2475,2),LCTT_MAP!$A$7:$C$66,IF($M2475="THU",2,3),FALSE()),IFERROR(VLOOKUP(LEFT($N2475,1),LCTT_MAP!$A$7:$C$66,IF($M2475="THU",2,3),FALSE()),IF($M2475="THU","06","07")))))))</f>
        <v/>
      </c>
      <c r="P2475" s="117">
        <f>P2474+IF(AND($H2475&lt;&gt;"",OR(LEFT($F2475,LEN(SC_TK))=SC_TK,LEFT($G2475,LEN(SC_TK))=SC_TK)),1,0)</f>
        <v/>
      </c>
    </row>
    <row r="2476" ht="15" customHeight="1" s="78">
      <c r="A2476" s="95">
        <f>IF($H2476="","",ROW()-6)</f>
        <v/>
      </c>
      <c r="B2476" s="114" t="n"/>
      <c r="C2476" s="102" t="n"/>
      <c r="D2476" s="114" t="n"/>
      <c r="E2476" s="103" t="n"/>
      <c r="F2476" s="102" t="n"/>
      <c r="G2476" s="102" t="n"/>
      <c r="H2476" s="115" t="n"/>
      <c r="I2476" s="102" t="n"/>
      <c r="J2476" s="102" t="n"/>
      <c r="K2476" s="103" t="n"/>
      <c r="L2476" s="116">
        <f>IF($H2476="","",TRIM(IF(COUNTIF(DMTK!$A$7:$A$250,$F2476)=0,"TK Nợ sai! ","")&amp;IF(COUNTIF(DMTK!$A$7:$A$250,$G2476)=0,"TK Có sai! ","")&amp;IF(N($H2476)&lt;=0,"Tiền phải &gt; 0! ","")&amp;IF($B2476="","Thiếu ngày! ","")&amp;IF(AND(OR(LEFT($F2476,3)="131",LEFT($G2476,3)="131",LEFT($F2476,3)="331",LEFT($G2476,3)="331"),$I2476=""),"Thiếu Mã ĐT! ","")&amp;IF(AND($I2476&lt;&gt;"",COUNTIF(DM_DT!$A$7:$A$306,$I2476)=0),"Mã ĐT chưa khai báo! ","")))</f>
        <v/>
      </c>
      <c r="M2476" s="117">
        <f>IF($H2476="","",IF(AND(OR(LEFT($F2476,3)="111",LEFT($F2476,3)="112",LEFT($F2476,3)="113"),OR(LEFT($G2476,3)="111",LEFT($G2476,3)="112",LEFT($G2476,3)="113")),"NB",IF(OR(LEFT($F2476,3)="111",LEFT($F2476,3)="112",LEFT($F2476,3)="113"),"THU",IF(OR(LEFT($G2476,3)="111",LEFT($G2476,3)="112",LEFT($G2476,3)="113"),"CHI",""))))</f>
        <v/>
      </c>
      <c r="N2476" s="117">
        <f>IF($M2476="THU",$G2476,IF($M2476="CHI",$F2476,""))</f>
        <v/>
      </c>
      <c r="O2476" s="117">
        <f>IF(OR($M2476="",$M2476="NB"),"",IF($J2476&lt;&gt;"",TEXT($J2476,"00"),IFERROR(VLOOKUP(LEFT($N2476,4),LCTT_MAP!$A$7:$C$66,IF($M2476="THU",2,3),FALSE()),IFERROR(VLOOKUP(LEFT($N2476,3),LCTT_MAP!$A$7:$C$66,IF($M2476="THU",2,3),FALSE()),IFERROR(VLOOKUP(LEFT($N2476,2),LCTT_MAP!$A$7:$C$66,IF($M2476="THU",2,3),FALSE()),IFERROR(VLOOKUP(LEFT($N2476,1),LCTT_MAP!$A$7:$C$66,IF($M2476="THU",2,3),FALSE()),IF($M2476="THU","06","07")))))))</f>
        <v/>
      </c>
      <c r="P2476" s="117">
        <f>P2475+IF(AND($H2476&lt;&gt;"",OR(LEFT($F2476,LEN(SC_TK))=SC_TK,LEFT($G2476,LEN(SC_TK))=SC_TK)),1,0)</f>
        <v/>
      </c>
    </row>
    <row r="2477" ht="15" customHeight="1" s="78">
      <c r="A2477" s="95">
        <f>IF($H2477="","",ROW()-6)</f>
        <v/>
      </c>
      <c r="B2477" s="114" t="n"/>
      <c r="C2477" s="102" t="n"/>
      <c r="D2477" s="114" t="n"/>
      <c r="E2477" s="103" t="n"/>
      <c r="F2477" s="102" t="n"/>
      <c r="G2477" s="102" t="n"/>
      <c r="H2477" s="115" t="n"/>
      <c r="I2477" s="102" t="n"/>
      <c r="J2477" s="102" t="n"/>
      <c r="K2477" s="103" t="n"/>
      <c r="L2477" s="116">
        <f>IF($H2477="","",TRIM(IF(COUNTIF(DMTK!$A$7:$A$250,$F2477)=0,"TK Nợ sai! ","")&amp;IF(COUNTIF(DMTK!$A$7:$A$250,$G2477)=0,"TK Có sai! ","")&amp;IF(N($H2477)&lt;=0,"Tiền phải &gt; 0! ","")&amp;IF($B2477="","Thiếu ngày! ","")&amp;IF(AND(OR(LEFT($F2477,3)="131",LEFT($G2477,3)="131",LEFT($F2477,3)="331",LEFT($G2477,3)="331"),$I2477=""),"Thiếu Mã ĐT! ","")&amp;IF(AND($I2477&lt;&gt;"",COUNTIF(DM_DT!$A$7:$A$306,$I2477)=0),"Mã ĐT chưa khai báo! ","")))</f>
        <v/>
      </c>
      <c r="M2477" s="117">
        <f>IF($H2477="","",IF(AND(OR(LEFT($F2477,3)="111",LEFT($F2477,3)="112",LEFT($F2477,3)="113"),OR(LEFT($G2477,3)="111",LEFT($G2477,3)="112",LEFT($G2477,3)="113")),"NB",IF(OR(LEFT($F2477,3)="111",LEFT($F2477,3)="112",LEFT($F2477,3)="113"),"THU",IF(OR(LEFT($G2477,3)="111",LEFT($G2477,3)="112",LEFT($G2477,3)="113"),"CHI",""))))</f>
        <v/>
      </c>
      <c r="N2477" s="117">
        <f>IF($M2477="THU",$G2477,IF($M2477="CHI",$F2477,""))</f>
        <v/>
      </c>
      <c r="O2477" s="117">
        <f>IF(OR($M2477="",$M2477="NB"),"",IF($J2477&lt;&gt;"",TEXT($J2477,"00"),IFERROR(VLOOKUP(LEFT($N2477,4),LCTT_MAP!$A$7:$C$66,IF($M2477="THU",2,3),FALSE()),IFERROR(VLOOKUP(LEFT($N2477,3),LCTT_MAP!$A$7:$C$66,IF($M2477="THU",2,3),FALSE()),IFERROR(VLOOKUP(LEFT($N2477,2),LCTT_MAP!$A$7:$C$66,IF($M2477="THU",2,3),FALSE()),IFERROR(VLOOKUP(LEFT($N2477,1),LCTT_MAP!$A$7:$C$66,IF($M2477="THU",2,3),FALSE()),IF($M2477="THU","06","07")))))))</f>
        <v/>
      </c>
      <c r="P2477" s="117">
        <f>P2476+IF(AND($H2477&lt;&gt;"",OR(LEFT($F2477,LEN(SC_TK))=SC_TK,LEFT($G2477,LEN(SC_TK))=SC_TK)),1,0)</f>
        <v/>
      </c>
    </row>
    <row r="2478" ht="15" customHeight="1" s="78">
      <c r="A2478" s="95">
        <f>IF($H2478="","",ROW()-6)</f>
        <v/>
      </c>
      <c r="B2478" s="114" t="n"/>
      <c r="C2478" s="102" t="n"/>
      <c r="D2478" s="114" t="n"/>
      <c r="E2478" s="103" t="n"/>
      <c r="F2478" s="102" t="n"/>
      <c r="G2478" s="102" t="n"/>
      <c r="H2478" s="115" t="n"/>
      <c r="I2478" s="102" t="n"/>
      <c r="J2478" s="102" t="n"/>
      <c r="K2478" s="103" t="n"/>
      <c r="L2478" s="116">
        <f>IF($H2478="","",TRIM(IF(COUNTIF(DMTK!$A$7:$A$250,$F2478)=0,"TK Nợ sai! ","")&amp;IF(COUNTIF(DMTK!$A$7:$A$250,$G2478)=0,"TK Có sai! ","")&amp;IF(N($H2478)&lt;=0,"Tiền phải &gt; 0! ","")&amp;IF($B2478="","Thiếu ngày! ","")&amp;IF(AND(OR(LEFT($F2478,3)="131",LEFT($G2478,3)="131",LEFT($F2478,3)="331",LEFT($G2478,3)="331"),$I2478=""),"Thiếu Mã ĐT! ","")&amp;IF(AND($I2478&lt;&gt;"",COUNTIF(DM_DT!$A$7:$A$306,$I2478)=0),"Mã ĐT chưa khai báo! ","")))</f>
        <v/>
      </c>
      <c r="M2478" s="117">
        <f>IF($H2478="","",IF(AND(OR(LEFT($F2478,3)="111",LEFT($F2478,3)="112",LEFT($F2478,3)="113"),OR(LEFT($G2478,3)="111",LEFT($G2478,3)="112",LEFT($G2478,3)="113")),"NB",IF(OR(LEFT($F2478,3)="111",LEFT($F2478,3)="112",LEFT($F2478,3)="113"),"THU",IF(OR(LEFT($G2478,3)="111",LEFT($G2478,3)="112",LEFT($G2478,3)="113"),"CHI",""))))</f>
        <v/>
      </c>
      <c r="N2478" s="117">
        <f>IF($M2478="THU",$G2478,IF($M2478="CHI",$F2478,""))</f>
        <v/>
      </c>
      <c r="O2478" s="117">
        <f>IF(OR($M2478="",$M2478="NB"),"",IF($J2478&lt;&gt;"",TEXT($J2478,"00"),IFERROR(VLOOKUP(LEFT($N2478,4),LCTT_MAP!$A$7:$C$66,IF($M2478="THU",2,3),FALSE()),IFERROR(VLOOKUP(LEFT($N2478,3),LCTT_MAP!$A$7:$C$66,IF($M2478="THU",2,3),FALSE()),IFERROR(VLOOKUP(LEFT($N2478,2),LCTT_MAP!$A$7:$C$66,IF($M2478="THU",2,3),FALSE()),IFERROR(VLOOKUP(LEFT($N2478,1),LCTT_MAP!$A$7:$C$66,IF($M2478="THU",2,3),FALSE()),IF($M2478="THU","06","07")))))))</f>
        <v/>
      </c>
      <c r="P2478" s="117">
        <f>P2477+IF(AND($H2478&lt;&gt;"",OR(LEFT($F2478,LEN(SC_TK))=SC_TK,LEFT($G2478,LEN(SC_TK))=SC_TK)),1,0)</f>
        <v/>
      </c>
    </row>
    <row r="2479" ht="15" customHeight="1" s="78">
      <c r="A2479" s="95">
        <f>IF($H2479="","",ROW()-6)</f>
        <v/>
      </c>
      <c r="B2479" s="114" t="n"/>
      <c r="C2479" s="102" t="n"/>
      <c r="D2479" s="114" t="n"/>
      <c r="E2479" s="103" t="n"/>
      <c r="F2479" s="102" t="n"/>
      <c r="G2479" s="102" t="n"/>
      <c r="H2479" s="115" t="n"/>
      <c r="I2479" s="102" t="n"/>
      <c r="J2479" s="102" t="n"/>
      <c r="K2479" s="103" t="n"/>
      <c r="L2479" s="116">
        <f>IF($H2479="","",TRIM(IF(COUNTIF(DMTK!$A$7:$A$250,$F2479)=0,"TK Nợ sai! ","")&amp;IF(COUNTIF(DMTK!$A$7:$A$250,$G2479)=0,"TK Có sai! ","")&amp;IF(N($H2479)&lt;=0,"Tiền phải &gt; 0! ","")&amp;IF($B2479="","Thiếu ngày! ","")&amp;IF(AND(OR(LEFT($F2479,3)="131",LEFT($G2479,3)="131",LEFT($F2479,3)="331",LEFT($G2479,3)="331"),$I2479=""),"Thiếu Mã ĐT! ","")&amp;IF(AND($I2479&lt;&gt;"",COUNTIF(DM_DT!$A$7:$A$306,$I2479)=0),"Mã ĐT chưa khai báo! ","")))</f>
        <v/>
      </c>
      <c r="M2479" s="117">
        <f>IF($H2479="","",IF(AND(OR(LEFT($F2479,3)="111",LEFT($F2479,3)="112",LEFT($F2479,3)="113"),OR(LEFT($G2479,3)="111",LEFT($G2479,3)="112",LEFT($G2479,3)="113")),"NB",IF(OR(LEFT($F2479,3)="111",LEFT($F2479,3)="112",LEFT($F2479,3)="113"),"THU",IF(OR(LEFT($G2479,3)="111",LEFT($G2479,3)="112",LEFT($G2479,3)="113"),"CHI",""))))</f>
        <v/>
      </c>
      <c r="N2479" s="117">
        <f>IF($M2479="THU",$G2479,IF($M2479="CHI",$F2479,""))</f>
        <v/>
      </c>
      <c r="O2479" s="117">
        <f>IF(OR($M2479="",$M2479="NB"),"",IF($J2479&lt;&gt;"",TEXT($J2479,"00"),IFERROR(VLOOKUP(LEFT($N2479,4),LCTT_MAP!$A$7:$C$66,IF($M2479="THU",2,3),FALSE()),IFERROR(VLOOKUP(LEFT($N2479,3),LCTT_MAP!$A$7:$C$66,IF($M2479="THU",2,3),FALSE()),IFERROR(VLOOKUP(LEFT($N2479,2),LCTT_MAP!$A$7:$C$66,IF($M2479="THU",2,3),FALSE()),IFERROR(VLOOKUP(LEFT($N2479,1),LCTT_MAP!$A$7:$C$66,IF($M2479="THU",2,3),FALSE()),IF($M2479="THU","06","07")))))))</f>
        <v/>
      </c>
      <c r="P2479" s="117">
        <f>P2478+IF(AND($H2479&lt;&gt;"",OR(LEFT($F2479,LEN(SC_TK))=SC_TK,LEFT($G2479,LEN(SC_TK))=SC_TK)),1,0)</f>
        <v/>
      </c>
    </row>
    <row r="2480" ht="15" customHeight="1" s="78">
      <c r="A2480" s="95">
        <f>IF($H2480="","",ROW()-6)</f>
        <v/>
      </c>
      <c r="B2480" s="114" t="n"/>
      <c r="C2480" s="102" t="n"/>
      <c r="D2480" s="114" t="n"/>
      <c r="E2480" s="103" t="n"/>
      <c r="F2480" s="102" t="n"/>
      <c r="G2480" s="102" t="n"/>
      <c r="H2480" s="115" t="n"/>
      <c r="I2480" s="102" t="n"/>
      <c r="J2480" s="102" t="n"/>
      <c r="K2480" s="103" t="n"/>
      <c r="L2480" s="116">
        <f>IF($H2480="","",TRIM(IF(COUNTIF(DMTK!$A$7:$A$250,$F2480)=0,"TK Nợ sai! ","")&amp;IF(COUNTIF(DMTK!$A$7:$A$250,$G2480)=0,"TK Có sai! ","")&amp;IF(N($H2480)&lt;=0,"Tiền phải &gt; 0! ","")&amp;IF($B2480="","Thiếu ngày! ","")&amp;IF(AND(OR(LEFT($F2480,3)="131",LEFT($G2480,3)="131",LEFT($F2480,3)="331",LEFT($G2480,3)="331"),$I2480=""),"Thiếu Mã ĐT! ","")&amp;IF(AND($I2480&lt;&gt;"",COUNTIF(DM_DT!$A$7:$A$306,$I2480)=0),"Mã ĐT chưa khai báo! ","")))</f>
        <v/>
      </c>
      <c r="M2480" s="117">
        <f>IF($H2480="","",IF(AND(OR(LEFT($F2480,3)="111",LEFT($F2480,3)="112",LEFT($F2480,3)="113"),OR(LEFT($G2480,3)="111",LEFT($G2480,3)="112",LEFT($G2480,3)="113")),"NB",IF(OR(LEFT($F2480,3)="111",LEFT($F2480,3)="112",LEFT($F2480,3)="113"),"THU",IF(OR(LEFT($G2480,3)="111",LEFT($G2480,3)="112",LEFT($G2480,3)="113"),"CHI",""))))</f>
        <v/>
      </c>
      <c r="N2480" s="117">
        <f>IF($M2480="THU",$G2480,IF($M2480="CHI",$F2480,""))</f>
        <v/>
      </c>
      <c r="O2480" s="117">
        <f>IF(OR($M2480="",$M2480="NB"),"",IF($J2480&lt;&gt;"",TEXT($J2480,"00"),IFERROR(VLOOKUP(LEFT($N2480,4),LCTT_MAP!$A$7:$C$66,IF($M2480="THU",2,3),FALSE()),IFERROR(VLOOKUP(LEFT($N2480,3),LCTT_MAP!$A$7:$C$66,IF($M2480="THU",2,3),FALSE()),IFERROR(VLOOKUP(LEFT($N2480,2),LCTT_MAP!$A$7:$C$66,IF($M2480="THU",2,3),FALSE()),IFERROR(VLOOKUP(LEFT($N2480,1),LCTT_MAP!$A$7:$C$66,IF($M2480="THU",2,3),FALSE()),IF($M2480="THU","06","07")))))))</f>
        <v/>
      </c>
      <c r="P2480" s="117">
        <f>P2479+IF(AND($H2480&lt;&gt;"",OR(LEFT($F2480,LEN(SC_TK))=SC_TK,LEFT($G2480,LEN(SC_TK))=SC_TK)),1,0)</f>
        <v/>
      </c>
    </row>
    <row r="2481" ht="15" customHeight="1" s="78">
      <c r="A2481" s="95">
        <f>IF($H2481="","",ROW()-6)</f>
        <v/>
      </c>
      <c r="B2481" s="114" t="n"/>
      <c r="C2481" s="102" t="n"/>
      <c r="D2481" s="114" t="n"/>
      <c r="E2481" s="103" t="n"/>
      <c r="F2481" s="102" t="n"/>
      <c r="G2481" s="102" t="n"/>
      <c r="H2481" s="115" t="n"/>
      <c r="I2481" s="102" t="n"/>
      <c r="J2481" s="102" t="n"/>
      <c r="K2481" s="103" t="n"/>
      <c r="L2481" s="116">
        <f>IF($H2481="","",TRIM(IF(COUNTIF(DMTK!$A$7:$A$250,$F2481)=0,"TK Nợ sai! ","")&amp;IF(COUNTIF(DMTK!$A$7:$A$250,$G2481)=0,"TK Có sai! ","")&amp;IF(N($H2481)&lt;=0,"Tiền phải &gt; 0! ","")&amp;IF($B2481="","Thiếu ngày! ","")&amp;IF(AND(OR(LEFT($F2481,3)="131",LEFT($G2481,3)="131",LEFT($F2481,3)="331",LEFT($G2481,3)="331"),$I2481=""),"Thiếu Mã ĐT! ","")&amp;IF(AND($I2481&lt;&gt;"",COUNTIF(DM_DT!$A$7:$A$306,$I2481)=0),"Mã ĐT chưa khai báo! ","")))</f>
        <v/>
      </c>
      <c r="M2481" s="117">
        <f>IF($H2481="","",IF(AND(OR(LEFT($F2481,3)="111",LEFT($F2481,3)="112",LEFT($F2481,3)="113"),OR(LEFT($G2481,3)="111",LEFT($G2481,3)="112",LEFT($G2481,3)="113")),"NB",IF(OR(LEFT($F2481,3)="111",LEFT($F2481,3)="112",LEFT($F2481,3)="113"),"THU",IF(OR(LEFT($G2481,3)="111",LEFT($G2481,3)="112",LEFT($G2481,3)="113"),"CHI",""))))</f>
        <v/>
      </c>
      <c r="N2481" s="117">
        <f>IF($M2481="THU",$G2481,IF($M2481="CHI",$F2481,""))</f>
        <v/>
      </c>
      <c r="O2481" s="117">
        <f>IF(OR($M2481="",$M2481="NB"),"",IF($J2481&lt;&gt;"",TEXT($J2481,"00"),IFERROR(VLOOKUP(LEFT($N2481,4),LCTT_MAP!$A$7:$C$66,IF($M2481="THU",2,3),FALSE()),IFERROR(VLOOKUP(LEFT($N2481,3),LCTT_MAP!$A$7:$C$66,IF($M2481="THU",2,3),FALSE()),IFERROR(VLOOKUP(LEFT($N2481,2),LCTT_MAP!$A$7:$C$66,IF($M2481="THU",2,3),FALSE()),IFERROR(VLOOKUP(LEFT($N2481,1),LCTT_MAP!$A$7:$C$66,IF($M2481="THU",2,3),FALSE()),IF($M2481="THU","06","07")))))))</f>
        <v/>
      </c>
      <c r="P2481" s="117">
        <f>P2480+IF(AND($H2481&lt;&gt;"",OR(LEFT($F2481,LEN(SC_TK))=SC_TK,LEFT($G2481,LEN(SC_TK))=SC_TK)),1,0)</f>
        <v/>
      </c>
    </row>
    <row r="2482" ht="15" customHeight="1" s="78">
      <c r="A2482" s="95">
        <f>IF($H2482="","",ROW()-6)</f>
        <v/>
      </c>
      <c r="B2482" s="114" t="n"/>
      <c r="C2482" s="102" t="n"/>
      <c r="D2482" s="114" t="n"/>
      <c r="E2482" s="103" t="n"/>
      <c r="F2482" s="102" t="n"/>
      <c r="G2482" s="102" t="n"/>
      <c r="H2482" s="115" t="n"/>
      <c r="I2482" s="102" t="n"/>
      <c r="J2482" s="102" t="n"/>
      <c r="K2482" s="103" t="n"/>
      <c r="L2482" s="116">
        <f>IF($H2482="","",TRIM(IF(COUNTIF(DMTK!$A$7:$A$250,$F2482)=0,"TK Nợ sai! ","")&amp;IF(COUNTIF(DMTK!$A$7:$A$250,$G2482)=0,"TK Có sai! ","")&amp;IF(N($H2482)&lt;=0,"Tiền phải &gt; 0! ","")&amp;IF($B2482="","Thiếu ngày! ","")&amp;IF(AND(OR(LEFT($F2482,3)="131",LEFT($G2482,3)="131",LEFT($F2482,3)="331",LEFT($G2482,3)="331"),$I2482=""),"Thiếu Mã ĐT! ","")&amp;IF(AND($I2482&lt;&gt;"",COUNTIF(DM_DT!$A$7:$A$306,$I2482)=0),"Mã ĐT chưa khai báo! ","")))</f>
        <v/>
      </c>
      <c r="M2482" s="117">
        <f>IF($H2482="","",IF(AND(OR(LEFT($F2482,3)="111",LEFT($F2482,3)="112",LEFT($F2482,3)="113"),OR(LEFT($G2482,3)="111",LEFT($G2482,3)="112",LEFT($G2482,3)="113")),"NB",IF(OR(LEFT($F2482,3)="111",LEFT($F2482,3)="112",LEFT($F2482,3)="113"),"THU",IF(OR(LEFT($G2482,3)="111",LEFT($G2482,3)="112",LEFT($G2482,3)="113"),"CHI",""))))</f>
        <v/>
      </c>
      <c r="N2482" s="117">
        <f>IF($M2482="THU",$G2482,IF($M2482="CHI",$F2482,""))</f>
        <v/>
      </c>
      <c r="O2482" s="117">
        <f>IF(OR($M2482="",$M2482="NB"),"",IF($J2482&lt;&gt;"",TEXT($J2482,"00"),IFERROR(VLOOKUP(LEFT($N2482,4),LCTT_MAP!$A$7:$C$66,IF($M2482="THU",2,3),FALSE()),IFERROR(VLOOKUP(LEFT($N2482,3),LCTT_MAP!$A$7:$C$66,IF($M2482="THU",2,3),FALSE()),IFERROR(VLOOKUP(LEFT($N2482,2),LCTT_MAP!$A$7:$C$66,IF($M2482="THU",2,3),FALSE()),IFERROR(VLOOKUP(LEFT($N2482,1),LCTT_MAP!$A$7:$C$66,IF($M2482="THU",2,3),FALSE()),IF($M2482="THU","06","07")))))))</f>
        <v/>
      </c>
      <c r="P2482" s="117">
        <f>P2481+IF(AND($H2482&lt;&gt;"",OR(LEFT($F2482,LEN(SC_TK))=SC_TK,LEFT($G2482,LEN(SC_TK))=SC_TK)),1,0)</f>
        <v/>
      </c>
    </row>
    <row r="2483" ht="15" customHeight="1" s="78">
      <c r="A2483" s="95">
        <f>IF($H2483="","",ROW()-6)</f>
        <v/>
      </c>
      <c r="B2483" s="114" t="n"/>
      <c r="C2483" s="102" t="n"/>
      <c r="D2483" s="114" t="n"/>
      <c r="E2483" s="103" t="n"/>
      <c r="F2483" s="102" t="n"/>
      <c r="G2483" s="102" t="n"/>
      <c r="H2483" s="115" t="n"/>
      <c r="I2483" s="102" t="n"/>
      <c r="J2483" s="102" t="n"/>
      <c r="K2483" s="103" t="n"/>
      <c r="L2483" s="116">
        <f>IF($H2483="","",TRIM(IF(COUNTIF(DMTK!$A$7:$A$250,$F2483)=0,"TK Nợ sai! ","")&amp;IF(COUNTIF(DMTK!$A$7:$A$250,$G2483)=0,"TK Có sai! ","")&amp;IF(N($H2483)&lt;=0,"Tiền phải &gt; 0! ","")&amp;IF($B2483="","Thiếu ngày! ","")&amp;IF(AND(OR(LEFT($F2483,3)="131",LEFT($G2483,3)="131",LEFT($F2483,3)="331",LEFT($G2483,3)="331"),$I2483=""),"Thiếu Mã ĐT! ","")&amp;IF(AND($I2483&lt;&gt;"",COUNTIF(DM_DT!$A$7:$A$306,$I2483)=0),"Mã ĐT chưa khai báo! ","")))</f>
        <v/>
      </c>
      <c r="M2483" s="117">
        <f>IF($H2483="","",IF(AND(OR(LEFT($F2483,3)="111",LEFT($F2483,3)="112",LEFT($F2483,3)="113"),OR(LEFT($G2483,3)="111",LEFT($G2483,3)="112",LEFT($G2483,3)="113")),"NB",IF(OR(LEFT($F2483,3)="111",LEFT($F2483,3)="112",LEFT($F2483,3)="113"),"THU",IF(OR(LEFT($G2483,3)="111",LEFT($G2483,3)="112",LEFT($G2483,3)="113"),"CHI",""))))</f>
        <v/>
      </c>
      <c r="N2483" s="117">
        <f>IF($M2483="THU",$G2483,IF($M2483="CHI",$F2483,""))</f>
        <v/>
      </c>
      <c r="O2483" s="117">
        <f>IF(OR($M2483="",$M2483="NB"),"",IF($J2483&lt;&gt;"",TEXT($J2483,"00"),IFERROR(VLOOKUP(LEFT($N2483,4),LCTT_MAP!$A$7:$C$66,IF($M2483="THU",2,3),FALSE()),IFERROR(VLOOKUP(LEFT($N2483,3),LCTT_MAP!$A$7:$C$66,IF($M2483="THU",2,3),FALSE()),IFERROR(VLOOKUP(LEFT($N2483,2),LCTT_MAP!$A$7:$C$66,IF($M2483="THU",2,3),FALSE()),IFERROR(VLOOKUP(LEFT($N2483,1),LCTT_MAP!$A$7:$C$66,IF($M2483="THU",2,3),FALSE()),IF($M2483="THU","06","07")))))))</f>
        <v/>
      </c>
      <c r="P2483" s="117">
        <f>P2482+IF(AND($H2483&lt;&gt;"",OR(LEFT($F2483,LEN(SC_TK))=SC_TK,LEFT($G2483,LEN(SC_TK))=SC_TK)),1,0)</f>
        <v/>
      </c>
    </row>
    <row r="2484" ht="15" customHeight="1" s="78">
      <c r="A2484" s="95">
        <f>IF($H2484="","",ROW()-6)</f>
        <v/>
      </c>
      <c r="B2484" s="114" t="n"/>
      <c r="C2484" s="102" t="n"/>
      <c r="D2484" s="114" t="n"/>
      <c r="E2484" s="103" t="n"/>
      <c r="F2484" s="102" t="n"/>
      <c r="G2484" s="102" t="n"/>
      <c r="H2484" s="115" t="n"/>
      <c r="I2484" s="102" t="n"/>
      <c r="J2484" s="102" t="n"/>
      <c r="K2484" s="103" t="n"/>
      <c r="L2484" s="116">
        <f>IF($H2484="","",TRIM(IF(COUNTIF(DMTK!$A$7:$A$250,$F2484)=0,"TK Nợ sai! ","")&amp;IF(COUNTIF(DMTK!$A$7:$A$250,$G2484)=0,"TK Có sai! ","")&amp;IF(N($H2484)&lt;=0,"Tiền phải &gt; 0! ","")&amp;IF($B2484="","Thiếu ngày! ","")&amp;IF(AND(OR(LEFT($F2484,3)="131",LEFT($G2484,3)="131",LEFT($F2484,3)="331",LEFT($G2484,3)="331"),$I2484=""),"Thiếu Mã ĐT! ","")&amp;IF(AND($I2484&lt;&gt;"",COUNTIF(DM_DT!$A$7:$A$306,$I2484)=0),"Mã ĐT chưa khai báo! ","")))</f>
        <v/>
      </c>
      <c r="M2484" s="117">
        <f>IF($H2484="","",IF(AND(OR(LEFT($F2484,3)="111",LEFT($F2484,3)="112",LEFT($F2484,3)="113"),OR(LEFT($G2484,3)="111",LEFT($G2484,3)="112",LEFT($G2484,3)="113")),"NB",IF(OR(LEFT($F2484,3)="111",LEFT($F2484,3)="112",LEFT($F2484,3)="113"),"THU",IF(OR(LEFT($G2484,3)="111",LEFT($G2484,3)="112",LEFT($G2484,3)="113"),"CHI",""))))</f>
        <v/>
      </c>
      <c r="N2484" s="117">
        <f>IF($M2484="THU",$G2484,IF($M2484="CHI",$F2484,""))</f>
        <v/>
      </c>
      <c r="O2484" s="117">
        <f>IF(OR($M2484="",$M2484="NB"),"",IF($J2484&lt;&gt;"",TEXT($J2484,"00"),IFERROR(VLOOKUP(LEFT($N2484,4),LCTT_MAP!$A$7:$C$66,IF($M2484="THU",2,3),FALSE()),IFERROR(VLOOKUP(LEFT($N2484,3),LCTT_MAP!$A$7:$C$66,IF($M2484="THU",2,3),FALSE()),IFERROR(VLOOKUP(LEFT($N2484,2),LCTT_MAP!$A$7:$C$66,IF($M2484="THU",2,3),FALSE()),IFERROR(VLOOKUP(LEFT($N2484,1),LCTT_MAP!$A$7:$C$66,IF($M2484="THU",2,3),FALSE()),IF($M2484="THU","06","07")))))))</f>
        <v/>
      </c>
      <c r="P2484" s="117">
        <f>P2483+IF(AND($H2484&lt;&gt;"",OR(LEFT($F2484,LEN(SC_TK))=SC_TK,LEFT($G2484,LEN(SC_TK))=SC_TK)),1,0)</f>
        <v/>
      </c>
    </row>
    <row r="2485" ht="15" customHeight="1" s="78">
      <c r="A2485" s="95">
        <f>IF($H2485="","",ROW()-6)</f>
        <v/>
      </c>
      <c r="B2485" s="114" t="n"/>
      <c r="C2485" s="102" t="n"/>
      <c r="D2485" s="114" t="n"/>
      <c r="E2485" s="103" t="n"/>
      <c r="F2485" s="102" t="n"/>
      <c r="G2485" s="102" t="n"/>
      <c r="H2485" s="115" t="n"/>
      <c r="I2485" s="102" t="n"/>
      <c r="J2485" s="102" t="n"/>
      <c r="K2485" s="103" t="n"/>
      <c r="L2485" s="116">
        <f>IF($H2485="","",TRIM(IF(COUNTIF(DMTK!$A$7:$A$250,$F2485)=0,"TK Nợ sai! ","")&amp;IF(COUNTIF(DMTK!$A$7:$A$250,$G2485)=0,"TK Có sai! ","")&amp;IF(N($H2485)&lt;=0,"Tiền phải &gt; 0! ","")&amp;IF($B2485="","Thiếu ngày! ","")&amp;IF(AND(OR(LEFT($F2485,3)="131",LEFT($G2485,3)="131",LEFT($F2485,3)="331",LEFT($G2485,3)="331"),$I2485=""),"Thiếu Mã ĐT! ","")&amp;IF(AND($I2485&lt;&gt;"",COUNTIF(DM_DT!$A$7:$A$306,$I2485)=0),"Mã ĐT chưa khai báo! ","")))</f>
        <v/>
      </c>
      <c r="M2485" s="117">
        <f>IF($H2485="","",IF(AND(OR(LEFT($F2485,3)="111",LEFT($F2485,3)="112",LEFT($F2485,3)="113"),OR(LEFT($G2485,3)="111",LEFT($G2485,3)="112",LEFT($G2485,3)="113")),"NB",IF(OR(LEFT($F2485,3)="111",LEFT($F2485,3)="112",LEFT($F2485,3)="113"),"THU",IF(OR(LEFT($G2485,3)="111",LEFT($G2485,3)="112",LEFT($G2485,3)="113"),"CHI",""))))</f>
        <v/>
      </c>
      <c r="N2485" s="117">
        <f>IF($M2485="THU",$G2485,IF($M2485="CHI",$F2485,""))</f>
        <v/>
      </c>
      <c r="O2485" s="117">
        <f>IF(OR($M2485="",$M2485="NB"),"",IF($J2485&lt;&gt;"",TEXT($J2485,"00"),IFERROR(VLOOKUP(LEFT($N2485,4),LCTT_MAP!$A$7:$C$66,IF($M2485="THU",2,3),FALSE()),IFERROR(VLOOKUP(LEFT($N2485,3),LCTT_MAP!$A$7:$C$66,IF($M2485="THU",2,3),FALSE()),IFERROR(VLOOKUP(LEFT($N2485,2),LCTT_MAP!$A$7:$C$66,IF($M2485="THU",2,3),FALSE()),IFERROR(VLOOKUP(LEFT($N2485,1),LCTT_MAP!$A$7:$C$66,IF($M2485="THU",2,3),FALSE()),IF($M2485="THU","06","07")))))))</f>
        <v/>
      </c>
      <c r="P2485" s="117">
        <f>P2484+IF(AND($H2485&lt;&gt;"",OR(LEFT($F2485,LEN(SC_TK))=SC_TK,LEFT($G2485,LEN(SC_TK))=SC_TK)),1,0)</f>
        <v/>
      </c>
    </row>
    <row r="2486" ht="15" customHeight="1" s="78">
      <c r="A2486" s="95">
        <f>IF($H2486="","",ROW()-6)</f>
        <v/>
      </c>
      <c r="B2486" s="114" t="n"/>
      <c r="C2486" s="102" t="n"/>
      <c r="D2486" s="114" t="n"/>
      <c r="E2486" s="103" t="n"/>
      <c r="F2486" s="102" t="n"/>
      <c r="G2486" s="102" t="n"/>
      <c r="H2486" s="115" t="n"/>
      <c r="I2486" s="102" t="n"/>
      <c r="J2486" s="102" t="n"/>
      <c r="K2486" s="103" t="n"/>
      <c r="L2486" s="116">
        <f>IF($H2486="","",TRIM(IF(COUNTIF(DMTK!$A$7:$A$250,$F2486)=0,"TK Nợ sai! ","")&amp;IF(COUNTIF(DMTK!$A$7:$A$250,$G2486)=0,"TK Có sai! ","")&amp;IF(N($H2486)&lt;=0,"Tiền phải &gt; 0! ","")&amp;IF($B2486="","Thiếu ngày! ","")&amp;IF(AND(OR(LEFT($F2486,3)="131",LEFT($G2486,3)="131",LEFT($F2486,3)="331",LEFT($G2486,3)="331"),$I2486=""),"Thiếu Mã ĐT! ","")&amp;IF(AND($I2486&lt;&gt;"",COUNTIF(DM_DT!$A$7:$A$306,$I2486)=0),"Mã ĐT chưa khai báo! ","")))</f>
        <v/>
      </c>
      <c r="M2486" s="117">
        <f>IF($H2486="","",IF(AND(OR(LEFT($F2486,3)="111",LEFT($F2486,3)="112",LEFT($F2486,3)="113"),OR(LEFT($G2486,3)="111",LEFT($G2486,3)="112",LEFT($G2486,3)="113")),"NB",IF(OR(LEFT($F2486,3)="111",LEFT($F2486,3)="112",LEFT($F2486,3)="113"),"THU",IF(OR(LEFT($G2486,3)="111",LEFT($G2486,3)="112",LEFT($G2486,3)="113"),"CHI",""))))</f>
        <v/>
      </c>
      <c r="N2486" s="117">
        <f>IF($M2486="THU",$G2486,IF($M2486="CHI",$F2486,""))</f>
        <v/>
      </c>
      <c r="O2486" s="117">
        <f>IF(OR($M2486="",$M2486="NB"),"",IF($J2486&lt;&gt;"",TEXT($J2486,"00"),IFERROR(VLOOKUP(LEFT($N2486,4),LCTT_MAP!$A$7:$C$66,IF($M2486="THU",2,3),FALSE()),IFERROR(VLOOKUP(LEFT($N2486,3),LCTT_MAP!$A$7:$C$66,IF($M2486="THU",2,3),FALSE()),IFERROR(VLOOKUP(LEFT($N2486,2),LCTT_MAP!$A$7:$C$66,IF($M2486="THU",2,3),FALSE()),IFERROR(VLOOKUP(LEFT($N2486,1),LCTT_MAP!$A$7:$C$66,IF($M2486="THU",2,3),FALSE()),IF($M2486="THU","06","07")))))))</f>
        <v/>
      </c>
      <c r="P2486" s="117">
        <f>P2485+IF(AND($H2486&lt;&gt;"",OR(LEFT($F2486,LEN(SC_TK))=SC_TK,LEFT($G2486,LEN(SC_TK))=SC_TK)),1,0)</f>
        <v/>
      </c>
    </row>
    <row r="2487" ht="15" customHeight="1" s="78">
      <c r="A2487" s="95">
        <f>IF($H2487="","",ROW()-6)</f>
        <v/>
      </c>
      <c r="B2487" s="114" t="n"/>
      <c r="C2487" s="102" t="n"/>
      <c r="D2487" s="114" t="n"/>
      <c r="E2487" s="103" t="n"/>
      <c r="F2487" s="102" t="n"/>
      <c r="G2487" s="102" t="n"/>
      <c r="H2487" s="115" t="n"/>
      <c r="I2487" s="102" t="n"/>
      <c r="J2487" s="102" t="n"/>
      <c r="K2487" s="103" t="n"/>
      <c r="L2487" s="116">
        <f>IF($H2487="","",TRIM(IF(COUNTIF(DMTK!$A$7:$A$250,$F2487)=0,"TK Nợ sai! ","")&amp;IF(COUNTIF(DMTK!$A$7:$A$250,$G2487)=0,"TK Có sai! ","")&amp;IF(N($H2487)&lt;=0,"Tiền phải &gt; 0! ","")&amp;IF($B2487="","Thiếu ngày! ","")&amp;IF(AND(OR(LEFT($F2487,3)="131",LEFT($G2487,3)="131",LEFT($F2487,3)="331",LEFT($G2487,3)="331"),$I2487=""),"Thiếu Mã ĐT! ","")&amp;IF(AND($I2487&lt;&gt;"",COUNTIF(DM_DT!$A$7:$A$306,$I2487)=0),"Mã ĐT chưa khai báo! ","")))</f>
        <v/>
      </c>
      <c r="M2487" s="117">
        <f>IF($H2487="","",IF(AND(OR(LEFT($F2487,3)="111",LEFT($F2487,3)="112",LEFT($F2487,3)="113"),OR(LEFT($G2487,3)="111",LEFT($G2487,3)="112",LEFT($G2487,3)="113")),"NB",IF(OR(LEFT($F2487,3)="111",LEFT($F2487,3)="112",LEFT($F2487,3)="113"),"THU",IF(OR(LEFT($G2487,3)="111",LEFT($G2487,3)="112",LEFT($G2487,3)="113"),"CHI",""))))</f>
        <v/>
      </c>
      <c r="N2487" s="117">
        <f>IF($M2487="THU",$G2487,IF($M2487="CHI",$F2487,""))</f>
        <v/>
      </c>
      <c r="O2487" s="117">
        <f>IF(OR($M2487="",$M2487="NB"),"",IF($J2487&lt;&gt;"",TEXT($J2487,"00"),IFERROR(VLOOKUP(LEFT($N2487,4),LCTT_MAP!$A$7:$C$66,IF($M2487="THU",2,3),FALSE()),IFERROR(VLOOKUP(LEFT($N2487,3),LCTT_MAP!$A$7:$C$66,IF($M2487="THU",2,3),FALSE()),IFERROR(VLOOKUP(LEFT($N2487,2),LCTT_MAP!$A$7:$C$66,IF($M2487="THU",2,3),FALSE()),IFERROR(VLOOKUP(LEFT($N2487,1),LCTT_MAP!$A$7:$C$66,IF($M2487="THU",2,3),FALSE()),IF($M2487="THU","06","07")))))))</f>
        <v/>
      </c>
      <c r="P2487" s="117">
        <f>P2486+IF(AND($H2487&lt;&gt;"",OR(LEFT($F2487,LEN(SC_TK))=SC_TK,LEFT($G2487,LEN(SC_TK))=SC_TK)),1,0)</f>
        <v/>
      </c>
    </row>
    <row r="2488" ht="15" customHeight="1" s="78">
      <c r="A2488" s="95">
        <f>IF($H2488="","",ROW()-6)</f>
        <v/>
      </c>
      <c r="B2488" s="114" t="n"/>
      <c r="C2488" s="102" t="n"/>
      <c r="D2488" s="114" t="n"/>
      <c r="E2488" s="103" t="n"/>
      <c r="F2488" s="102" t="n"/>
      <c r="G2488" s="102" t="n"/>
      <c r="H2488" s="115" t="n"/>
      <c r="I2488" s="102" t="n"/>
      <c r="J2488" s="102" t="n"/>
      <c r="K2488" s="103" t="n"/>
      <c r="L2488" s="116">
        <f>IF($H2488="","",TRIM(IF(COUNTIF(DMTK!$A$7:$A$250,$F2488)=0,"TK Nợ sai! ","")&amp;IF(COUNTIF(DMTK!$A$7:$A$250,$G2488)=0,"TK Có sai! ","")&amp;IF(N($H2488)&lt;=0,"Tiền phải &gt; 0! ","")&amp;IF($B2488="","Thiếu ngày! ","")&amp;IF(AND(OR(LEFT($F2488,3)="131",LEFT($G2488,3)="131",LEFT($F2488,3)="331",LEFT($G2488,3)="331"),$I2488=""),"Thiếu Mã ĐT! ","")&amp;IF(AND($I2488&lt;&gt;"",COUNTIF(DM_DT!$A$7:$A$306,$I2488)=0),"Mã ĐT chưa khai báo! ","")))</f>
        <v/>
      </c>
      <c r="M2488" s="117">
        <f>IF($H2488="","",IF(AND(OR(LEFT($F2488,3)="111",LEFT($F2488,3)="112",LEFT($F2488,3)="113"),OR(LEFT($G2488,3)="111",LEFT($G2488,3)="112",LEFT($G2488,3)="113")),"NB",IF(OR(LEFT($F2488,3)="111",LEFT($F2488,3)="112",LEFT($F2488,3)="113"),"THU",IF(OR(LEFT($G2488,3)="111",LEFT($G2488,3)="112",LEFT($G2488,3)="113"),"CHI",""))))</f>
        <v/>
      </c>
      <c r="N2488" s="117">
        <f>IF($M2488="THU",$G2488,IF($M2488="CHI",$F2488,""))</f>
        <v/>
      </c>
      <c r="O2488" s="117">
        <f>IF(OR($M2488="",$M2488="NB"),"",IF($J2488&lt;&gt;"",TEXT($J2488,"00"),IFERROR(VLOOKUP(LEFT($N2488,4),LCTT_MAP!$A$7:$C$66,IF($M2488="THU",2,3),FALSE()),IFERROR(VLOOKUP(LEFT($N2488,3),LCTT_MAP!$A$7:$C$66,IF($M2488="THU",2,3),FALSE()),IFERROR(VLOOKUP(LEFT($N2488,2),LCTT_MAP!$A$7:$C$66,IF($M2488="THU",2,3),FALSE()),IFERROR(VLOOKUP(LEFT($N2488,1),LCTT_MAP!$A$7:$C$66,IF($M2488="THU",2,3),FALSE()),IF($M2488="THU","06","07")))))))</f>
        <v/>
      </c>
      <c r="P2488" s="117">
        <f>P2487+IF(AND($H2488&lt;&gt;"",OR(LEFT($F2488,LEN(SC_TK))=SC_TK,LEFT($G2488,LEN(SC_TK))=SC_TK)),1,0)</f>
        <v/>
      </c>
    </row>
    <row r="2489" ht="15" customHeight="1" s="78">
      <c r="A2489" s="95">
        <f>IF($H2489="","",ROW()-6)</f>
        <v/>
      </c>
      <c r="B2489" s="114" t="n"/>
      <c r="C2489" s="102" t="n"/>
      <c r="D2489" s="114" t="n"/>
      <c r="E2489" s="103" t="n"/>
      <c r="F2489" s="102" t="n"/>
      <c r="G2489" s="102" t="n"/>
      <c r="H2489" s="115" t="n"/>
      <c r="I2489" s="102" t="n"/>
      <c r="J2489" s="102" t="n"/>
      <c r="K2489" s="103" t="n"/>
      <c r="L2489" s="116">
        <f>IF($H2489="","",TRIM(IF(COUNTIF(DMTK!$A$7:$A$250,$F2489)=0,"TK Nợ sai! ","")&amp;IF(COUNTIF(DMTK!$A$7:$A$250,$G2489)=0,"TK Có sai! ","")&amp;IF(N($H2489)&lt;=0,"Tiền phải &gt; 0! ","")&amp;IF($B2489="","Thiếu ngày! ","")&amp;IF(AND(OR(LEFT($F2489,3)="131",LEFT($G2489,3)="131",LEFT($F2489,3)="331",LEFT($G2489,3)="331"),$I2489=""),"Thiếu Mã ĐT! ","")&amp;IF(AND($I2489&lt;&gt;"",COUNTIF(DM_DT!$A$7:$A$306,$I2489)=0),"Mã ĐT chưa khai báo! ","")))</f>
        <v/>
      </c>
      <c r="M2489" s="117">
        <f>IF($H2489="","",IF(AND(OR(LEFT($F2489,3)="111",LEFT($F2489,3)="112",LEFT($F2489,3)="113"),OR(LEFT($G2489,3)="111",LEFT($G2489,3)="112",LEFT($G2489,3)="113")),"NB",IF(OR(LEFT($F2489,3)="111",LEFT($F2489,3)="112",LEFT($F2489,3)="113"),"THU",IF(OR(LEFT($G2489,3)="111",LEFT($G2489,3)="112",LEFT($G2489,3)="113"),"CHI",""))))</f>
        <v/>
      </c>
      <c r="N2489" s="117">
        <f>IF($M2489="THU",$G2489,IF($M2489="CHI",$F2489,""))</f>
        <v/>
      </c>
      <c r="O2489" s="117">
        <f>IF(OR($M2489="",$M2489="NB"),"",IF($J2489&lt;&gt;"",TEXT($J2489,"00"),IFERROR(VLOOKUP(LEFT($N2489,4),LCTT_MAP!$A$7:$C$66,IF($M2489="THU",2,3),FALSE()),IFERROR(VLOOKUP(LEFT($N2489,3),LCTT_MAP!$A$7:$C$66,IF($M2489="THU",2,3),FALSE()),IFERROR(VLOOKUP(LEFT($N2489,2),LCTT_MAP!$A$7:$C$66,IF($M2489="THU",2,3),FALSE()),IFERROR(VLOOKUP(LEFT($N2489,1),LCTT_MAP!$A$7:$C$66,IF($M2489="THU",2,3),FALSE()),IF($M2489="THU","06","07")))))))</f>
        <v/>
      </c>
      <c r="P2489" s="117">
        <f>P2488+IF(AND($H2489&lt;&gt;"",OR(LEFT($F2489,LEN(SC_TK))=SC_TK,LEFT($G2489,LEN(SC_TK))=SC_TK)),1,0)</f>
        <v/>
      </c>
    </row>
    <row r="2490" ht="15" customHeight="1" s="78">
      <c r="A2490" s="95">
        <f>IF($H2490="","",ROW()-6)</f>
        <v/>
      </c>
      <c r="B2490" s="114" t="n"/>
      <c r="C2490" s="102" t="n"/>
      <c r="D2490" s="114" t="n"/>
      <c r="E2490" s="103" t="n"/>
      <c r="F2490" s="102" t="n"/>
      <c r="G2490" s="102" t="n"/>
      <c r="H2490" s="115" t="n"/>
      <c r="I2490" s="102" t="n"/>
      <c r="J2490" s="102" t="n"/>
      <c r="K2490" s="103" t="n"/>
      <c r="L2490" s="116">
        <f>IF($H2490="","",TRIM(IF(COUNTIF(DMTK!$A$7:$A$250,$F2490)=0,"TK Nợ sai! ","")&amp;IF(COUNTIF(DMTK!$A$7:$A$250,$G2490)=0,"TK Có sai! ","")&amp;IF(N($H2490)&lt;=0,"Tiền phải &gt; 0! ","")&amp;IF($B2490="","Thiếu ngày! ","")&amp;IF(AND(OR(LEFT($F2490,3)="131",LEFT($G2490,3)="131",LEFT($F2490,3)="331",LEFT($G2490,3)="331"),$I2490=""),"Thiếu Mã ĐT! ","")&amp;IF(AND($I2490&lt;&gt;"",COUNTIF(DM_DT!$A$7:$A$306,$I2490)=0),"Mã ĐT chưa khai báo! ","")))</f>
        <v/>
      </c>
      <c r="M2490" s="117">
        <f>IF($H2490="","",IF(AND(OR(LEFT($F2490,3)="111",LEFT($F2490,3)="112",LEFT($F2490,3)="113"),OR(LEFT($G2490,3)="111",LEFT($G2490,3)="112",LEFT($G2490,3)="113")),"NB",IF(OR(LEFT($F2490,3)="111",LEFT($F2490,3)="112",LEFT($F2490,3)="113"),"THU",IF(OR(LEFT($G2490,3)="111",LEFT($G2490,3)="112",LEFT($G2490,3)="113"),"CHI",""))))</f>
        <v/>
      </c>
      <c r="N2490" s="117">
        <f>IF($M2490="THU",$G2490,IF($M2490="CHI",$F2490,""))</f>
        <v/>
      </c>
      <c r="O2490" s="117">
        <f>IF(OR($M2490="",$M2490="NB"),"",IF($J2490&lt;&gt;"",TEXT($J2490,"00"),IFERROR(VLOOKUP(LEFT($N2490,4),LCTT_MAP!$A$7:$C$66,IF($M2490="THU",2,3),FALSE()),IFERROR(VLOOKUP(LEFT($N2490,3),LCTT_MAP!$A$7:$C$66,IF($M2490="THU",2,3),FALSE()),IFERROR(VLOOKUP(LEFT($N2490,2),LCTT_MAP!$A$7:$C$66,IF($M2490="THU",2,3),FALSE()),IFERROR(VLOOKUP(LEFT($N2490,1),LCTT_MAP!$A$7:$C$66,IF($M2490="THU",2,3),FALSE()),IF($M2490="THU","06","07")))))))</f>
        <v/>
      </c>
      <c r="P2490" s="117">
        <f>P2489+IF(AND($H2490&lt;&gt;"",OR(LEFT($F2490,LEN(SC_TK))=SC_TK,LEFT($G2490,LEN(SC_TK))=SC_TK)),1,0)</f>
        <v/>
      </c>
    </row>
    <row r="2491" ht="15" customHeight="1" s="78">
      <c r="A2491" s="95">
        <f>IF($H2491="","",ROW()-6)</f>
        <v/>
      </c>
      <c r="B2491" s="114" t="n"/>
      <c r="C2491" s="102" t="n"/>
      <c r="D2491" s="114" t="n"/>
      <c r="E2491" s="103" t="n"/>
      <c r="F2491" s="102" t="n"/>
      <c r="G2491" s="102" t="n"/>
      <c r="H2491" s="115" t="n"/>
      <c r="I2491" s="102" t="n"/>
      <c r="J2491" s="102" t="n"/>
      <c r="K2491" s="103" t="n"/>
      <c r="L2491" s="116">
        <f>IF($H2491="","",TRIM(IF(COUNTIF(DMTK!$A$7:$A$250,$F2491)=0,"TK Nợ sai! ","")&amp;IF(COUNTIF(DMTK!$A$7:$A$250,$G2491)=0,"TK Có sai! ","")&amp;IF(N($H2491)&lt;=0,"Tiền phải &gt; 0! ","")&amp;IF($B2491="","Thiếu ngày! ","")&amp;IF(AND(OR(LEFT($F2491,3)="131",LEFT($G2491,3)="131",LEFT($F2491,3)="331",LEFT($G2491,3)="331"),$I2491=""),"Thiếu Mã ĐT! ","")&amp;IF(AND($I2491&lt;&gt;"",COUNTIF(DM_DT!$A$7:$A$306,$I2491)=0),"Mã ĐT chưa khai báo! ","")))</f>
        <v/>
      </c>
      <c r="M2491" s="117">
        <f>IF($H2491="","",IF(AND(OR(LEFT($F2491,3)="111",LEFT($F2491,3)="112",LEFT($F2491,3)="113"),OR(LEFT($G2491,3)="111",LEFT($G2491,3)="112",LEFT($G2491,3)="113")),"NB",IF(OR(LEFT($F2491,3)="111",LEFT($F2491,3)="112",LEFT($F2491,3)="113"),"THU",IF(OR(LEFT($G2491,3)="111",LEFT($G2491,3)="112",LEFT($G2491,3)="113"),"CHI",""))))</f>
        <v/>
      </c>
      <c r="N2491" s="117">
        <f>IF($M2491="THU",$G2491,IF($M2491="CHI",$F2491,""))</f>
        <v/>
      </c>
      <c r="O2491" s="117">
        <f>IF(OR($M2491="",$M2491="NB"),"",IF($J2491&lt;&gt;"",TEXT($J2491,"00"),IFERROR(VLOOKUP(LEFT($N2491,4),LCTT_MAP!$A$7:$C$66,IF($M2491="THU",2,3),FALSE()),IFERROR(VLOOKUP(LEFT($N2491,3),LCTT_MAP!$A$7:$C$66,IF($M2491="THU",2,3),FALSE()),IFERROR(VLOOKUP(LEFT($N2491,2),LCTT_MAP!$A$7:$C$66,IF($M2491="THU",2,3),FALSE()),IFERROR(VLOOKUP(LEFT($N2491,1),LCTT_MAP!$A$7:$C$66,IF($M2491="THU",2,3),FALSE()),IF($M2491="THU","06","07")))))))</f>
        <v/>
      </c>
      <c r="P2491" s="117">
        <f>P2490+IF(AND($H2491&lt;&gt;"",OR(LEFT($F2491,LEN(SC_TK))=SC_TK,LEFT($G2491,LEN(SC_TK))=SC_TK)),1,0)</f>
        <v/>
      </c>
    </row>
    <row r="2492" ht="15" customHeight="1" s="78">
      <c r="A2492" s="95">
        <f>IF($H2492="","",ROW()-6)</f>
        <v/>
      </c>
      <c r="B2492" s="114" t="n"/>
      <c r="C2492" s="102" t="n"/>
      <c r="D2492" s="114" t="n"/>
      <c r="E2492" s="103" t="n"/>
      <c r="F2492" s="102" t="n"/>
      <c r="G2492" s="102" t="n"/>
      <c r="H2492" s="115" t="n"/>
      <c r="I2492" s="102" t="n"/>
      <c r="J2492" s="102" t="n"/>
      <c r="K2492" s="103" t="n"/>
      <c r="L2492" s="116">
        <f>IF($H2492="","",TRIM(IF(COUNTIF(DMTK!$A$7:$A$250,$F2492)=0,"TK Nợ sai! ","")&amp;IF(COUNTIF(DMTK!$A$7:$A$250,$G2492)=0,"TK Có sai! ","")&amp;IF(N($H2492)&lt;=0,"Tiền phải &gt; 0! ","")&amp;IF($B2492="","Thiếu ngày! ","")&amp;IF(AND(OR(LEFT($F2492,3)="131",LEFT($G2492,3)="131",LEFT($F2492,3)="331",LEFT($G2492,3)="331"),$I2492=""),"Thiếu Mã ĐT! ","")&amp;IF(AND($I2492&lt;&gt;"",COUNTIF(DM_DT!$A$7:$A$306,$I2492)=0),"Mã ĐT chưa khai báo! ","")))</f>
        <v/>
      </c>
      <c r="M2492" s="117">
        <f>IF($H2492="","",IF(AND(OR(LEFT($F2492,3)="111",LEFT($F2492,3)="112",LEFT($F2492,3)="113"),OR(LEFT($G2492,3)="111",LEFT($G2492,3)="112",LEFT($G2492,3)="113")),"NB",IF(OR(LEFT($F2492,3)="111",LEFT($F2492,3)="112",LEFT($F2492,3)="113"),"THU",IF(OR(LEFT($G2492,3)="111",LEFT($G2492,3)="112",LEFT($G2492,3)="113"),"CHI",""))))</f>
        <v/>
      </c>
      <c r="N2492" s="117">
        <f>IF($M2492="THU",$G2492,IF($M2492="CHI",$F2492,""))</f>
        <v/>
      </c>
      <c r="O2492" s="117">
        <f>IF(OR($M2492="",$M2492="NB"),"",IF($J2492&lt;&gt;"",TEXT($J2492,"00"),IFERROR(VLOOKUP(LEFT($N2492,4),LCTT_MAP!$A$7:$C$66,IF($M2492="THU",2,3),FALSE()),IFERROR(VLOOKUP(LEFT($N2492,3),LCTT_MAP!$A$7:$C$66,IF($M2492="THU",2,3),FALSE()),IFERROR(VLOOKUP(LEFT($N2492,2),LCTT_MAP!$A$7:$C$66,IF($M2492="THU",2,3),FALSE()),IFERROR(VLOOKUP(LEFT($N2492,1),LCTT_MAP!$A$7:$C$66,IF($M2492="THU",2,3),FALSE()),IF($M2492="THU","06","07")))))))</f>
        <v/>
      </c>
      <c r="P2492" s="117">
        <f>P2491+IF(AND($H2492&lt;&gt;"",OR(LEFT($F2492,LEN(SC_TK))=SC_TK,LEFT($G2492,LEN(SC_TK))=SC_TK)),1,0)</f>
        <v/>
      </c>
    </row>
    <row r="2493" ht="15" customHeight="1" s="78">
      <c r="A2493" s="95">
        <f>IF($H2493="","",ROW()-6)</f>
        <v/>
      </c>
      <c r="B2493" s="114" t="n"/>
      <c r="C2493" s="102" t="n"/>
      <c r="D2493" s="114" t="n"/>
      <c r="E2493" s="103" t="n"/>
      <c r="F2493" s="102" t="n"/>
      <c r="G2493" s="102" t="n"/>
      <c r="H2493" s="115" t="n"/>
      <c r="I2493" s="102" t="n"/>
      <c r="J2493" s="102" t="n"/>
      <c r="K2493" s="103" t="n"/>
      <c r="L2493" s="116">
        <f>IF($H2493="","",TRIM(IF(COUNTIF(DMTK!$A$7:$A$250,$F2493)=0,"TK Nợ sai! ","")&amp;IF(COUNTIF(DMTK!$A$7:$A$250,$G2493)=0,"TK Có sai! ","")&amp;IF(N($H2493)&lt;=0,"Tiền phải &gt; 0! ","")&amp;IF($B2493="","Thiếu ngày! ","")&amp;IF(AND(OR(LEFT($F2493,3)="131",LEFT($G2493,3)="131",LEFT($F2493,3)="331",LEFT($G2493,3)="331"),$I2493=""),"Thiếu Mã ĐT! ","")&amp;IF(AND($I2493&lt;&gt;"",COUNTIF(DM_DT!$A$7:$A$306,$I2493)=0),"Mã ĐT chưa khai báo! ","")))</f>
        <v/>
      </c>
      <c r="M2493" s="117">
        <f>IF($H2493="","",IF(AND(OR(LEFT($F2493,3)="111",LEFT($F2493,3)="112",LEFT($F2493,3)="113"),OR(LEFT($G2493,3)="111",LEFT($G2493,3)="112",LEFT($G2493,3)="113")),"NB",IF(OR(LEFT($F2493,3)="111",LEFT($F2493,3)="112",LEFT($F2493,3)="113"),"THU",IF(OR(LEFT($G2493,3)="111",LEFT($G2493,3)="112",LEFT($G2493,3)="113"),"CHI",""))))</f>
        <v/>
      </c>
      <c r="N2493" s="117">
        <f>IF($M2493="THU",$G2493,IF($M2493="CHI",$F2493,""))</f>
        <v/>
      </c>
      <c r="O2493" s="117">
        <f>IF(OR($M2493="",$M2493="NB"),"",IF($J2493&lt;&gt;"",TEXT($J2493,"00"),IFERROR(VLOOKUP(LEFT($N2493,4),LCTT_MAP!$A$7:$C$66,IF($M2493="THU",2,3),FALSE()),IFERROR(VLOOKUP(LEFT($N2493,3),LCTT_MAP!$A$7:$C$66,IF($M2493="THU",2,3),FALSE()),IFERROR(VLOOKUP(LEFT($N2493,2),LCTT_MAP!$A$7:$C$66,IF($M2493="THU",2,3),FALSE()),IFERROR(VLOOKUP(LEFT($N2493,1),LCTT_MAP!$A$7:$C$66,IF($M2493="THU",2,3),FALSE()),IF($M2493="THU","06","07")))))))</f>
        <v/>
      </c>
      <c r="P2493" s="117">
        <f>P2492+IF(AND($H2493&lt;&gt;"",OR(LEFT($F2493,LEN(SC_TK))=SC_TK,LEFT($G2493,LEN(SC_TK))=SC_TK)),1,0)</f>
        <v/>
      </c>
    </row>
    <row r="2494" ht="15" customHeight="1" s="78">
      <c r="A2494" s="95">
        <f>IF($H2494="","",ROW()-6)</f>
        <v/>
      </c>
      <c r="B2494" s="114" t="n"/>
      <c r="C2494" s="102" t="n"/>
      <c r="D2494" s="114" t="n"/>
      <c r="E2494" s="103" t="n"/>
      <c r="F2494" s="102" t="n"/>
      <c r="G2494" s="102" t="n"/>
      <c r="H2494" s="115" t="n"/>
      <c r="I2494" s="102" t="n"/>
      <c r="J2494" s="102" t="n"/>
      <c r="K2494" s="103" t="n"/>
      <c r="L2494" s="116">
        <f>IF($H2494="","",TRIM(IF(COUNTIF(DMTK!$A$7:$A$250,$F2494)=0,"TK Nợ sai! ","")&amp;IF(COUNTIF(DMTK!$A$7:$A$250,$G2494)=0,"TK Có sai! ","")&amp;IF(N($H2494)&lt;=0,"Tiền phải &gt; 0! ","")&amp;IF($B2494="","Thiếu ngày! ","")&amp;IF(AND(OR(LEFT($F2494,3)="131",LEFT($G2494,3)="131",LEFT($F2494,3)="331",LEFT($G2494,3)="331"),$I2494=""),"Thiếu Mã ĐT! ","")&amp;IF(AND($I2494&lt;&gt;"",COUNTIF(DM_DT!$A$7:$A$306,$I2494)=0),"Mã ĐT chưa khai báo! ","")))</f>
        <v/>
      </c>
      <c r="M2494" s="117">
        <f>IF($H2494="","",IF(AND(OR(LEFT($F2494,3)="111",LEFT($F2494,3)="112",LEFT($F2494,3)="113"),OR(LEFT($G2494,3)="111",LEFT($G2494,3)="112",LEFT($G2494,3)="113")),"NB",IF(OR(LEFT($F2494,3)="111",LEFT($F2494,3)="112",LEFT($F2494,3)="113"),"THU",IF(OR(LEFT($G2494,3)="111",LEFT($G2494,3)="112",LEFT($G2494,3)="113"),"CHI",""))))</f>
        <v/>
      </c>
      <c r="N2494" s="117">
        <f>IF($M2494="THU",$G2494,IF($M2494="CHI",$F2494,""))</f>
        <v/>
      </c>
      <c r="O2494" s="117">
        <f>IF(OR($M2494="",$M2494="NB"),"",IF($J2494&lt;&gt;"",TEXT($J2494,"00"),IFERROR(VLOOKUP(LEFT($N2494,4),LCTT_MAP!$A$7:$C$66,IF($M2494="THU",2,3),FALSE()),IFERROR(VLOOKUP(LEFT($N2494,3),LCTT_MAP!$A$7:$C$66,IF($M2494="THU",2,3),FALSE()),IFERROR(VLOOKUP(LEFT($N2494,2),LCTT_MAP!$A$7:$C$66,IF($M2494="THU",2,3),FALSE()),IFERROR(VLOOKUP(LEFT($N2494,1),LCTT_MAP!$A$7:$C$66,IF($M2494="THU",2,3),FALSE()),IF($M2494="THU","06","07")))))))</f>
        <v/>
      </c>
      <c r="P2494" s="117">
        <f>P2493+IF(AND($H2494&lt;&gt;"",OR(LEFT($F2494,LEN(SC_TK))=SC_TK,LEFT($G2494,LEN(SC_TK))=SC_TK)),1,0)</f>
        <v/>
      </c>
    </row>
    <row r="2495" ht="15" customHeight="1" s="78">
      <c r="A2495" s="95">
        <f>IF($H2495="","",ROW()-6)</f>
        <v/>
      </c>
      <c r="B2495" s="114" t="n"/>
      <c r="C2495" s="102" t="n"/>
      <c r="D2495" s="114" t="n"/>
      <c r="E2495" s="103" t="n"/>
      <c r="F2495" s="102" t="n"/>
      <c r="G2495" s="102" t="n"/>
      <c r="H2495" s="115" t="n"/>
      <c r="I2495" s="102" t="n"/>
      <c r="J2495" s="102" t="n"/>
      <c r="K2495" s="103" t="n"/>
      <c r="L2495" s="116">
        <f>IF($H2495="","",TRIM(IF(COUNTIF(DMTK!$A$7:$A$250,$F2495)=0,"TK Nợ sai! ","")&amp;IF(COUNTIF(DMTK!$A$7:$A$250,$G2495)=0,"TK Có sai! ","")&amp;IF(N($H2495)&lt;=0,"Tiền phải &gt; 0! ","")&amp;IF($B2495="","Thiếu ngày! ","")&amp;IF(AND(OR(LEFT($F2495,3)="131",LEFT($G2495,3)="131",LEFT($F2495,3)="331",LEFT($G2495,3)="331"),$I2495=""),"Thiếu Mã ĐT! ","")&amp;IF(AND($I2495&lt;&gt;"",COUNTIF(DM_DT!$A$7:$A$306,$I2495)=0),"Mã ĐT chưa khai báo! ","")))</f>
        <v/>
      </c>
      <c r="M2495" s="117">
        <f>IF($H2495="","",IF(AND(OR(LEFT($F2495,3)="111",LEFT($F2495,3)="112",LEFT($F2495,3)="113"),OR(LEFT($G2495,3)="111",LEFT($G2495,3)="112",LEFT($G2495,3)="113")),"NB",IF(OR(LEFT($F2495,3)="111",LEFT($F2495,3)="112",LEFT($F2495,3)="113"),"THU",IF(OR(LEFT($G2495,3)="111",LEFT($G2495,3)="112",LEFT($G2495,3)="113"),"CHI",""))))</f>
        <v/>
      </c>
      <c r="N2495" s="117">
        <f>IF($M2495="THU",$G2495,IF($M2495="CHI",$F2495,""))</f>
        <v/>
      </c>
      <c r="O2495" s="117">
        <f>IF(OR($M2495="",$M2495="NB"),"",IF($J2495&lt;&gt;"",TEXT($J2495,"00"),IFERROR(VLOOKUP(LEFT($N2495,4),LCTT_MAP!$A$7:$C$66,IF($M2495="THU",2,3),FALSE()),IFERROR(VLOOKUP(LEFT($N2495,3),LCTT_MAP!$A$7:$C$66,IF($M2495="THU",2,3),FALSE()),IFERROR(VLOOKUP(LEFT($N2495,2),LCTT_MAP!$A$7:$C$66,IF($M2495="THU",2,3),FALSE()),IFERROR(VLOOKUP(LEFT($N2495,1),LCTT_MAP!$A$7:$C$66,IF($M2495="THU",2,3),FALSE()),IF($M2495="THU","06","07")))))))</f>
        <v/>
      </c>
      <c r="P2495" s="117">
        <f>P2494+IF(AND($H2495&lt;&gt;"",OR(LEFT($F2495,LEN(SC_TK))=SC_TK,LEFT($G2495,LEN(SC_TK))=SC_TK)),1,0)</f>
        <v/>
      </c>
    </row>
    <row r="2496" ht="15" customHeight="1" s="78">
      <c r="A2496" s="95">
        <f>IF($H2496="","",ROW()-6)</f>
        <v/>
      </c>
      <c r="B2496" s="114" t="n"/>
      <c r="C2496" s="102" t="n"/>
      <c r="D2496" s="114" t="n"/>
      <c r="E2496" s="103" t="n"/>
      <c r="F2496" s="102" t="n"/>
      <c r="G2496" s="102" t="n"/>
      <c r="H2496" s="115" t="n"/>
      <c r="I2496" s="102" t="n"/>
      <c r="J2496" s="102" t="n"/>
      <c r="K2496" s="103" t="n"/>
      <c r="L2496" s="116">
        <f>IF($H2496="","",TRIM(IF(COUNTIF(DMTK!$A$7:$A$250,$F2496)=0,"TK Nợ sai! ","")&amp;IF(COUNTIF(DMTK!$A$7:$A$250,$G2496)=0,"TK Có sai! ","")&amp;IF(N($H2496)&lt;=0,"Tiền phải &gt; 0! ","")&amp;IF($B2496="","Thiếu ngày! ","")&amp;IF(AND(OR(LEFT($F2496,3)="131",LEFT($G2496,3)="131",LEFT($F2496,3)="331",LEFT($G2496,3)="331"),$I2496=""),"Thiếu Mã ĐT! ","")&amp;IF(AND($I2496&lt;&gt;"",COUNTIF(DM_DT!$A$7:$A$306,$I2496)=0),"Mã ĐT chưa khai báo! ","")))</f>
        <v/>
      </c>
      <c r="M2496" s="117">
        <f>IF($H2496="","",IF(AND(OR(LEFT($F2496,3)="111",LEFT($F2496,3)="112",LEFT($F2496,3)="113"),OR(LEFT($G2496,3)="111",LEFT($G2496,3)="112",LEFT($G2496,3)="113")),"NB",IF(OR(LEFT($F2496,3)="111",LEFT($F2496,3)="112",LEFT($F2496,3)="113"),"THU",IF(OR(LEFT($G2496,3)="111",LEFT($G2496,3)="112",LEFT($G2496,3)="113"),"CHI",""))))</f>
        <v/>
      </c>
      <c r="N2496" s="117">
        <f>IF($M2496="THU",$G2496,IF($M2496="CHI",$F2496,""))</f>
        <v/>
      </c>
      <c r="O2496" s="117">
        <f>IF(OR($M2496="",$M2496="NB"),"",IF($J2496&lt;&gt;"",TEXT($J2496,"00"),IFERROR(VLOOKUP(LEFT($N2496,4),LCTT_MAP!$A$7:$C$66,IF($M2496="THU",2,3),FALSE()),IFERROR(VLOOKUP(LEFT($N2496,3),LCTT_MAP!$A$7:$C$66,IF($M2496="THU",2,3),FALSE()),IFERROR(VLOOKUP(LEFT($N2496,2),LCTT_MAP!$A$7:$C$66,IF($M2496="THU",2,3),FALSE()),IFERROR(VLOOKUP(LEFT($N2496,1),LCTT_MAP!$A$7:$C$66,IF($M2496="THU",2,3),FALSE()),IF($M2496="THU","06","07")))))))</f>
        <v/>
      </c>
      <c r="P2496" s="117">
        <f>P2495+IF(AND($H2496&lt;&gt;"",OR(LEFT($F2496,LEN(SC_TK))=SC_TK,LEFT($G2496,LEN(SC_TK))=SC_TK)),1,0)</f>
        <v/>
      </c>
    </row>
    <row r="2497" ht="15" customHeight="1" s="78">
      <c r="A2497" s="95">
        <f>IF($H2497="","",ROW()-6)</f>
        <v/>
      </c>
      <c r="B2497" s="114" t="n"/>
      <c r="C2497" s="102" t="n"/>
      <c r="D2497" s="114" t="n"/>
      <c r="E2497" s="103" t="n"/>
      <c r="F2497" s="102" t="n"/>
      <c r="G2497" s="102" t="n"/>
      <c r="H2497" s="115" t="n"/>
      <c r="I2497" s="102" t="n"/>
      <c r="J2497" s="102" t="n"/>
      <c r="K2497" s="103" t="n"/>
      <c r="L2497" s="116">
        <f>IF($H2497="","",TRIM(IF(COUNTIF(DMTK!$A$7:$A$250,$F2497)=0,"TK Nợ sai! ","")&amp;IF(COUNTIF(DMTK!$A$7:$A$250,$G2497)=0,"TK Có sai! ","")&amp;IF(N($H2497)&lt;=0,"Tiền phải &gt; 0! ","")&amp;IF($B2497="","Thiếu ngày! ","")&amp;IF(AND(OR(LEFT($F2497,3)="131",LEFT($G2497,3)="131",LEFT($F2497,3)="331",LEFT($G2497,3)="331"),$I2497=""),"Thiếu Mã ĐT! ","")&amp;IF(AND($I2497&lt;&gt;"",COUNTIF(DM_DT!$A$7:$A$306,$I2497)=0),"Mã ĐT chưa khai báo! ","")))</f>
        <v/>
      </c>
      <c r="M2497" s="117">
        <f>IF($H2497="","",IF(AND(OR(LEFT($F2497,3)="111",LEFT($F2497,3)="112",LEFT($F2497,3)="113"),OR(LEFT($G2497,3)="111",LEFT($G2497,3)="112",LEFT($G2497,3)="113")),"NB",IF(OR(LEFT($F2497,3)="111",LEFT($F2497,3)="112",LEFT($F2497,3)="113"),"THU",IF(OR(LEFT($G2497,3)="111",LEFT($G2497,3)="112",LEFT($G2497,3)="113"),"CHI",""))))</f>
        <v/>
      </c>
      <c r="N2497" s="117">
        <f>IF($M2497="THU",$G2497,IF($M2497="CHI",$F2497,""))</f>
        <v/>
      </c>
      <c r="O2497" s="117">
        <f>IF(OR($M2497="",$M2497="NB"),"",IF($J2497&lt;&gt;"",TEXT($J2497,"00"),IFERROR(VLOOKUP(LEFT($N2497,4),LCTT_MAP!$A$7:$C$66,IF($M2497="THU",2,3),FALSE()),IFERROR(VLOOKUP(LEFT($N2497,3),LCTT_MAP!$A$7:$C$66,IF($M2497="THU",2,3),FALSE()),IFERROR(VLOOKUP(LEFT($N2497,2),LCTT_MAP!$A$7:$C$66,IF($M2497="THU",2,3),FALSE()),IFERROR(VLOOKUP(LEFT($N2497,1),LCTT_MAP!$A$7:$C$66,IF($M2497="THU",2,3),FALSE()),IF($M2497="THU","06","07")))))))</f>
        <v/>
      </c>
      <c r="P2497" s="117">
        <f>P2496+IF(AND($H2497&lt;&gt;"",OR(LEFT($F2497,LEN(SC_TK))=SC_TK,LEFT($G2497,LEN(SC_TK))=SC_TK)),1,0)</f>
        <v/>
      </c>
    </row>
    <row r="2498" ht="15" customHeight="1" s="78">
      <c r="A2498" s="95">
        <f>IF($H2498="","",ROW()-6)</f>
        <v/>
      </c>
      <c r="B2498" s="114" t="n"/>
      <c r="C2498" s="102" t="n"/>
      <c r="D2498" s="114" t="n"/>
      <c r="E2498" s="103" t="n"/>
      <c r="F2498" s="102" t="n"/>
      <c r="G2498" s="102" t="n"/>
      <c r="H2498" s="115" t="n"/>
      <c r="I2498" s="102" t="n"/>
      <c r="J2498" s="102" t="n"/>
      <c r="K2498" s="103" t="n"/>
      <c r="L2498" s="116">
        <f>IF($H2498="","",TRIM(IF(COUNTIF(DMTK!$A$7:$A$250,$F2498)=0,"TK Nợ sai! ","")&amp;IF(COUNTIF(DMTK!$A$7:$A$250,$G2498)=0,"TK Có sai! ","")&amp;IF(N($H2498)&lt;=0,"Tiền phải &gt; 0! ","")&amp;IF($B2498="","Thiếu ngày! ","")&amp;IF(AND(OR(LEFT($F2498,3)="131",LEFT($G2498,3)="131",LEFT($F2498,3)="331",LEFT($G2498,3)="331"),$I2498=""),"Thiếu Mã ĐT! ","")&amp;IF(AND($I2498&lt;&gt;"",COUNTIF(DM_DT!$A$7:$A$306,$I2498)=0),"Mã ĐT chưa khai báo! ","")))</f>
        <v/>
      </c>
      <c r="M2498" s="117">
        <f>IF($H2498="","",IF(AND(OR(LEFT($F2498,3)="111",LEFT($F2498,3)="112",LEFT($F2498,3)="113"),OR(LEFT($G2498,3)="111",LEFT($G2498,3)="112",LEFT($G2498,3)="113")),"NB",IF(OR(LEFT($F2498,3)="111",LEFT($F2498,3)="112",LEFT($F2498,3)="113"),"THU",IF(OR(LEFT($G2498,3)="111",LEFT($G2498,3)="112",LEFT($G2498,3)="113"),"CHI",""))))</f>
        <v/>
      </c>
      <c r="N2498" s="117">
        <f>IF($M2498="THU",$G2498,IF($M2498="CHI",$F2498,""))</f>
        <v/>
      </c>
      <c r="O2498" s="117">
        <f>IF(OR($M2498="",$M2498="NB"),"",IF($J2498&lt;&gt;"",TEXT($J2498,"00"),IFERROR(VLOOKUP(LEFT($N2498,4),LCTT_MAP!$A$7:$C$66,IF($M2498="THU",2,3),FALSE()),IFERROR(VLOOKUP(LEFT($N2498,3),LCTT_MAP!$A$7:$C$66,IF($M2498="THU",2,3),FALSE()),IFERROR(VLOOKUP(LEFT($N2498,2),LCTT_MAP!$A$7:$C$66,IF($M2498="THU",2,3),FALSE()),IFERROR(VLOOKUP(LEFT($N2498,1),LCTT_MAP!$A$7:$C$66,IF($M2498="THU",2,3),FALSE()),IF($M2498="THU","06","07")))))))</f>
        <v/>
      </c>
      <c r="P2498" s="117">
        <f>P2497+IF(AND($H2498&lt;&gt;"",OR(LEFT($F2498,LEN(SC_TK))=SC_TK,LEFT($G2498,LEN(SC_TK))=SC_TK)),1,0)</f>
        <v/>
      </c>
    </row>
    <row r="2499" ht="15" customHeight="1" s="78">
      <c r="A2499" s="95">
        <f>IF($H2499="","",ROW()-6)</f>
        <v/>
      </c>
      <c r="B2499" s="114" t="n"/>
      <c r="C2499" s="102" t="n"/>
      <c r="D2499" s="114" t="n"/>
      <c r="E2499" s="103" t="n"/>
      <c r="F2499" s="102" t="n"/>
      <c r="G2499" s="102" t="n"/>
      <c r="H2499" s="115" t="n"/>
      <c r="I2499" s="102" t="n"/>
      <c r="J2499" s="102" t="n"/>
      <c r="K2499" s="103" t="n"/>
      <c r="L2499" s="116">
        <f>IF($H2499="","",TRIM(IF(COUNTIF(DMTK!$A$7:$A$250,$F2499)=0,"TK Nợ sai! ","")&amp;IF(COUNTIF(DMTK!$A$7:$A$250,$G2499)=0,"TK Có sai! ","")&amp;IF(N($H2499)&lt;=0,"Tiền phải &gt; 0! ","")&amp;IF($B2499="","Thiếu ngày! ","")&amp;IF(AND(OR(LEFT($F2499,3)="131",LEFT($G2499,3)="131",LEFT($F2499,3)="331",LEFT($G2499,3)="331"),$I2499=""),"Thiếu Mã ĐT! ","")&amp;IF(AND($I2499&lt;&gt;"",COUNTIF(DM_DT!$A$7:$A$306,$I2499)=0),"Mã ĐT chưa khai báo! ","")))</f>
        <v/>
      </c>
      <c r="M2499" s="117">
        <f>IF($H2499="","",IF(AND(OR(LEFT($F2499,3)="111",LEFT($F2499,3)="112",LEFT($F2499,3)="113"),OR(LEFT($G2499,3)="111",LEFT($G2499,3)="112",LEFT($G2499,3)="113")),"NB",IF(OR(LEFT($F2499,3)="111",LEFT($F2499,3)="112",LEFT($F2499,3)="113"),"THU",IF(OR(LEFT($G2499,3)="111",LEFT($G2499,3)="112",LEFT($G2499,3)="113"),"CHI",""))))</f>
        <v/>
      </c>
      <c r="N2499" s="117">
        <f>IF($M2499="THU",$G2499,IF($M2499="CHI",$F2499,""))</f>
        <v/>
      </c>
      <c r="O2499" s="117">
        <f>IF(OR($M2499="",$M2499="NB"),"",IF($J2499&lt;&gt;"",TEXT($J2499,"00"),IFERROR(VLOOKUP(LEFT($N2499,4),LCTT_MAP!$A$7:$C$66,IF($M2499="THU",2,3),FALSE()),IFERROR(VLOOKUP(LEFT($N2499,3),LCTT_MAP!$A$7:$C$66,IF($M2499="THU",2,3),FALSE()),IFERROR(VLOOKUP(LEFT($N2499,2),LCTT_MAP!$A$7:$C$66,IF($M2499="THU",2,3),FALSE()),IFERROR(VLOOKUP(LEFT($N2499,1),LCTT_MAP!$A$7:$C$66,IF($M2499="THU",2,3),FALSE()),IF($M2499="THU","06","07")))))))</f>
        <v/>
      </c>
      <c r="P2499" s="117">
        <f>P2498+IF(AND($H2499&lt;&gt;"",OR(LEFT($F2499,LEN(SC_TK))=SC_TK,LEFT($G2499,LEN(SC_TK))=SC_TK)),1,0)</f>
        <v/>
      </c>
    </row>
    <row r="2500" ht="15" customHeight="1" s="78">
      <c r="A2500" s="95">
        <f>IF($H2500="","",ROW()-6)</f>
        <v/>
      </c>
      <c r="B2500" s="114" t="n"/>
      <c r="C2500" s="102" t="n"/>
      <c r="D2500" s="114" t="n"/>
      <c r="E2500" s="103" t="n"/>
      <c r="F2500" s="102" t="n"/>
      <c r="G2500" s="102" t="n"/>
      <c r="H2500" s="115" t="n"/>
      <c r="I2500" s="102" t="n"/>
      <c r="J2500" s="102" t="n"/>
      <c r="K2500" s="103" t="n"/>
      <c r="L2500" s="116">
        <f>IF($H2500="","",TRIM(IF(COUNTIF(DMTK!$A$7:$A$250,$F2500)=0,"TK Nợ sai! ","")&amp;IF(COUNTIF(DMTK!$A$7:$A$250,$G2500)=0,"TK Có sai! ","")&amp;IF(N($H2500)&lt;=0,"Tiền phải &gt; 0! ","")&amp;IF($B2500="","Thiếu ngày! ","")&amp;IF(AND(OR(LEFT($F2500,3)="131",LEFT($G2500,3)="131",LEFT($F2500,3)="331",LEFT($G2500,3)="331"),$I2500=""),"Thiếu Mã ĐT! ","")&amp;IF(AND($I2500&lt;&gt;"",COUNTIF(DM_DT!$A$7:$A$306,$I2500)=0),"Mã ĐT chưa khai báo! ","")))</f>
        <v/>
      </c>
      <c r="M2500" s="117">
        <f>IF($H2500="","",IF(AND(OR(LEFT($F2500,3)="111",LEFT($F2500,3)="112",LEFT($F2500,3)="113"),OR(LEFT($G2500,3)="111",LEFT($G2500,3)="112",LEFT($G2500,3)="113")),"NB",IF(OR(LEFT($F2500,3)="111",LEFT($F2500,3)="112",LEFT($F2500,3)="113"),"THU",IF(OR(LEFT($G2500,3)="111",LEFT($G2500,3)="112",LEFT($G2500,3)="113"),"CHI",""))))</f>
        <v/>
      </c>
      <c r="N2500" s="117">
        <f>IF($M2500="THU",$G2500,IF($M2500="CHI",$F2500,""))</f>
        <v/>
      </c>
      <c r="O2500" s="117">
        <f>IF(OR($M2500="",$M2500="NB"),"",IF($J2500&lt;&gt;"",TEXT($J2500,"00"),IFERROR(VLOOKUP(LEFT($N2500,4),LCTT_MAP!$A$7:$C$66,IF($M2500="THU",2,3),FALSE()),IFERROR(VLOOKUP(LEFT($N2500,3),LCTT_MAP!$A$7:$C$66,IF($M2500="THU",2,3),FALSE()),IFERROR(VLOOKUP(LEFT($N2500,2),LCTT_MAP!$A$7:$C$66,IF($M2500="THU",2,3),FALSE()),IFERROR(VLOOKUP(LEFT($N2500,1),LCTT_MAP!$A$7:$C$66,IF($M2500="THU",2,3),FALSE()),IF($M2500="THU","06","07")))))))</f>
        <v/>
      </c>
      <c r="P2500" s="117">
        <f>P2499+IF(AND($H2500&lt;&gt;"",OR(LEFT($F2500,LEN(SC_TK))=SC_TK,LEFT($G2500,LEN(SC_TK))=SC_TK)),1,0)</f>
        <v/>
      </c>
    </row>
    <row r="2501" ht="15" customHeight="1" s="78">
      <c r="A2501" s="95">
        <f>IF($H2501="","",ROW()-6)</f>
        <v/>
      </c>
      <c r="B2501" s="114" t="n"/>
      <c r="C2501" s="102" t="n"/>
      <c r="D2501" s="114" t="n"/>
      <c r="E2501" s="103" t="n"/>
      <c r="F2501" s="102" t="n"/>
      <c r="G2501" s="102" t="n"/>
      <c r="H2501" s="115" t="n"/>
      <c r="I2501" s="102" t="n"/>
      <c r="J2501" s="102" t="n"/>
      <c r="K2501" s="103" t="n"/>
      <c r="L2501" s="116">
        <f>IF($H2501="","",TRIM(IF(COUNTIF(DMTK!$A$7:$A$250,$F2501)=0,"TK Nợ sai! ","")&amp;IF(COUNTIF(DMTK!$A$7:$A$250,$G2501)=0,"TK Có sai! ","")&amp;IF(N($H2501)&lt;=0,"Tiền phải &gt; 0! ","")&amp;IF($B2501="","Thiếu ngày! ","")&amp;IF(AND(OR(LEFT($F2501,3)="131",LEFT($G2501,3)="131",LEFT($F2501,3)="331",LEFT($G2501,3)="331"),$I2501=""),"Thiếu Mã ĐT! ","")&amp;IF(AND($I2501&lt;&gt;"",COUNTIF(DM_DT!$A$7:$A$306,$I2501)=0),"Mã ĐT chưa khai báo! ","")))</f>
        <v/>
      </c>
      <c r="M2501" s="117">
        <f>IF($H2501="","",IF(AND(OR(LEFT($F2501,3)="111",LEFT($F2501,3)="112",LEFT($F2501,3)="113"),OR(LEFT($G2501,3)="111",LEFT($G2501,3)="112",LEFT($G2501,3)="113")),"NB",IF(OR(LEFT($F2501,3)="111",LEFT($F2501,3)="112",LEFT($F2501,3)="113"),"THU",IF(OR(LEFT($G2501,3)="111",LEFT($G2501,3)="112",LEFT($G2501,3)="113"),"CHI",""))))</f>
        <v/>
      </c>
      <c r="N2501" s="117">
        <f>IF($M2501="THU",$G2501,IF($M2501="CHI",$F2501,""))</f>
        <v/>
      </c>
      <c r="O2501" s="117">
        <f>IF(OR($M2501="",$M2501="NB"),"",IF($J2501&lt;&gt;"",TEXT($J2501,"00"),IFERROR(VLOOKUP(LEFT($N2501,4),LCTT_MAP!$A$7:$C$66,IF($M2501="THU",2,3),FALSE()),IFERROR(VLOOKUP(LEFT($N2501,3),LCTT_MAP!$A$7:$C$66,IF($M2501="THU",2,3),FALSE()),IFERROR(VLOOKUP(LEFT($N2501,2),LCTT_MAP!$A$7:$C$66,IF($M2501="THU",2,3),FALSE()),IFERROR(VLOOKUP(LEFT($N2501,1),LCTT_MAP!$A$7:$C$66,IF($M2501="THU",2,3),FALSE()),IF($M2501="THU","06","07")))))))</f>
        <v/>
      </c>
      <c r="P2501" s="117">
        <f>P2500+IF(AND($H2501&lt;&gt;"",OR(LEFT($F2501,LEN(SC_TK))=SC_TK,LEFT($G2501,LEN(SC_TK))=SC_TK)),1,0)</f>
        <v/>
      </c>
    </row>
    <row r="2502" ht="15" customHeight="1" s="78">
      <c r="A2502" s="95">
        <f>IF($H2502="","",ROW()-6)</f>
        <v/>
      </c>
      <c r="B2502" s="114" t="n"/>
      <c r="C2502" s="102" t="n"/>
      <c r="D2502" s="114" t="n"/>
      <c r="E2502" s="103" t="n"/>
      <c r="F2502" s="102" t="n"/>
      <c r="G2502" s="102" t="n"/>
      <c r="H2502" s="115" t="n"/>
      <c r="I2502" s="102" t="n"/>
      <c r="J2502" s="102" t="n"/>
      <c r="K2502" s="103" t="n"/>
      <c r="L2502" s="116">
        <f>IF($H2502="","",TRIM(IF(COUNTIF(DMTK!$A$7:$A$250,$F2502)=0,"TK Nợ sai! ","")&amp;IF(COUNTIF(DMTK!$A$7:$A$250,$G2502)=0,"TK Có sai! ","")&amp;IF(N($H2502)&lt;=0,"Tiền phải &gt; 0! ","")&amp;IF($B2502="","Thiếu ngày! ","")&amp;IF(AND(OR(LEFT($F2502,3)="131",LEFT($G2502,3)="131",LEFT($F2502,3)="331",LEFT($G2502,3)="331"),$I2502=""),"Thiếu Mã ĐT! ","")&amp;IF(AND($I2502&lt;&gt;"",COUNTIF(DM_DT!$A$7:$A$306,$I2502)=0),"Mã ĐT chưa khai báo! ","")))</f>
        <v/>
      </c>
      <c r="M2502" s="117">
        <f>IF($H2502="","",IF(AND(OR(LEFT($F2502,3)="111",LEFT($F2502,3)="112",LEFT($F2502,3)="113"),OR(LEFT($G2502,3)="111",LEFT($G2502,3)="112",LEFT($G2502,3)="113")),"NB",IF(OR(LEFT($F2502,3)="111",LEFT($F2502,3)="112",LEFT($F2502,3)="113"),"THU",IF(OR(LEFT($G2502,3)="111",LEFT($G2502,3)="112",LEFT($G2502,3)="113"),"CHI",""))))</f>
        <v/>
      </c>
      <c r="N2502" s="117">
        <f>IF($M2502="THU",$G2502,IF($M2502="CHI",$F2502,""))</f>
        <v/>
      </c>
      <c r="O2502" s="117">
        <f>IF(OR($M2502="",$M2502="NB"),"",IF($J2502&lt;&gt;"",TEXT($J2502,"00"),IFERROR(VLOOKUP(LEFT($N2502,4),LCTT_MAP!$A$7:$C$66,IF($M2502="THU",2,3),FALSE()),IFERROR(VLOOKUP(LEFT($N2502,3),LCTT_MAP!$A$7:$C$66,IF($M2502="THU",2,3),FALSE()),IFERROR(VLOOKUP(LEFT($N2502,2),LCTT_MAP!$A$7:$C$66,IF($M2502="THU",2,3),FALSE()),IFERROR(VLOOKUP(LEFT($N2502,1),LCTT_MAP!$A$7:$C$66,IF($M2502="THU",2,3),FALSE()),IF($M2502="THU","06","07")))))))</f>
        <v/>
      </c>
      <c r="P2502" s="117">
        <f>P2501+IF(AND($H2502&lt;&gt;"",OR(LEFT($F2502,LEN(SC_TK))=SC_TK,LEFT($G2502,LEN(SC_TK))=SC_TK)),1,0)</f>
        <v/>
      </c>
    </row>
    <row r="2503" ht="15" customHeight="1" s="78">
      <c r="A2503" s="95">
        <f>IF($H2503="","",ROW()-6)</f>
        <v/>
      </c>
      <c r="B2503" s="114" t="n"/>
      <c r="C2503" s="102" t="n"/>
      <c r="D2503" s="114" t="n"/>
      <c r="E2503" s="103" t="n"/>
      <c r="F2503" s="102" t="n"/>
      <c r="G2503" s="102" t="n"/>
      <c r="H2503" s="115" t="n"/>
      <c r="I2503" s="102" t="n"/>
      <c r="J2503" s="102" t="n"/>
      <c r="K2503" s="103" t="n"/>
      <c r="L2503" s="116">
        <f>IF($H2503="","",TRIM(IF(COUNTIF(DMTK!$A$7:$A$250,$F2503)=0,"TK Nợ sai! ","")&amp;IF(COUNTIF(DMTK!$A$7:$A$250,$G2503)=0,"TK Có sai! ","")&amp;IF(N($H2503)&lt;=0,"Tiền phải &gt; 0! ","")&amp;IF($B2503="","Thiếu ngày! ","")&amp;IF(AND(OR(LEFT($F2503,3)="131",LEFT($G2503,3)="131",LEFT($F2503,3)="331",LEFT($G2503,3)="331"),$I2503=""),"Thiếu Mã ĐT! ","")&amp;IF(AND($I2503&lt;&gt;"",COUNTIF(DM_DT!$A$7:$A$306,$I2503)=0),"Mã ĐT chưa khai báo! ","")))</f>
        <v/>
      </c>
      <c r="M2503" s="117">
        <f>IF($H2503="","",IF(AND(OR(LEFT($F2503,3)="111",LEFT($F2503,3)="112",LEFT($F2503,3)="113"),OR(LEFT($G2503,3)="111",LEFT($G2503,3)="112",LEFT($G2503,3)="113")),"NB",IF(OR(LEFT($F2503,3)="111",LEFT($F2503,3)="112",LEFT($F2503,3)="113"),"THU",IF(OR(LEFT($G2503,3)="111",LEFT($G2503,3)="112",LEFT($G2503,3)="113"),"CHI",""))))</f>
        <v/>
      </c>
      <c r="N2503" s="117">
        <f>IF($M2503="THU",$G2503,IF($M2503="CHI",$F2503,""))</f>
        <v/>
      </c>
      <c r="O2503" s="117">
        <f>IF(OR($M2503="",$M2503="NB"),"",IF($J2503&lt;&gt;"",TEXT($J2503,"00"),IFERROR(VLOOKUP(LEFT($N2503,4),LCTT_MAP!$A$7:$C$66,IF($M2503="THU",2,3),FALSE()),IFERROR(VLOOKUP(LEFT($N2503,3),LCTT_MAP!$A$7:$C$66,IF($M2503="THU",2,3),FALSE()),IFERROR(VLOOKUP(LEFT($N2503,2),LCTT_MAP!$A$7:$C$66,IF($M2503="THU",2,3),FALSE()),IFERROR(VLOOKUP(LEFT($N2503,1),LCTT_MAP!$A$7:$C$66,IF($M2503="THU",2,3),FALSE()),IF($M2503="THU","06","07")))))))</f>
        <v/>
      </c>
      <c r="P2503" s="117">
        <f>P2502+IF(AND($H2503&lt;&gt;"",OR(LEFT($F2503,LEN(SC_TK))=SC_TK,LEFT($G2503,LEN(SC_TK))=SC_TK)),1,0)</f>
        <v/>
      </c>
    </row>
    <row r="2504" ht="15" customHeight="1" s="78">
      <c r="A2504" s="95">
        <f>IF($H2504="","",ROW()-6)</f>
        <v/>
      </c>
      <c r="B2504" s="114" t="n"/>
      <c r="C2504" s="102" t="n"/>
      <c r="D2504" s="114" t="n"/>
      <c r="E2504" s="103" t="n"/>
      <c r="F2504" s="102" t="n"/>
      <c r="G2504" s="102" t="n"/>
      <c r="H2504" s="115" t="n"/>
      <c r="I2504" s="102" t="n"/>
      <c r="J2504" s="102" t="n"/>
      <c r="K2504" s="103" t="n"/>
      <c r="L2504" s="116">
        <f>IF($H2504="","",TRIM(IF(COUNTIF(DMTK!$A$7:$A$250,$F2504)=0,"TK Nợ sai! ","")&amp;IF(COUNTIF(DMTK!$A$7:$A$250,$G2504)=0,"TK Có sai! ","")&amp;IF(N($H2504)&lt;=0,"Tiền phải &gt; 0! ","")&amp;IF($B2504="","Thiếu ngày! ","")&amp;IF(AND(OR(LEFT($F2504,3)="131",LEFT($G2504,3)="131",LEFT($F2504,3)="331",LEFT($G2504,3)="331"),$I2504=""),"Thiếu Mã ĐT! ","")&amp;IF(AND($I2504&lt;&gt;"",COUNTIF(DM_DT!$A$7:$A$306,$I2504)=0),"Mã ĐT chưa khai báo! ","")))</f>
        <v/>
      </c>
      <c r="M2504" s="117">
        <f>IF($H2504="","",IF(AND(OR(LEFT($F2504,3)="111",LEFT($F2504,3)="112",LEFT($F2504,3)="113"),OR(LEFT($G2504,3)="111",LEFT($G2504,3)="112",LEFT($G2504,3)="113")),"NB",IF(OR(LEFT($F2504,3)="111",LEFT($F2504,3)="112",LEFT($F2504,3)="113"),"THU",IF(OR(LEFT($G2504,3)="111",LEFT($G2504,3)="112",LEFT($G2504,3)="113"),"CHI",""))))</f>
        <v/>
      </c>
      <c r="N2504" s="117">
        <f>IF($M2504="THU",$G2504,IF($M2504="CHI",$F2504,""))</f>
        <v/>
      </c>
      <c r="O2504" s="117">
        <f>IF(OR($M2504="",$M2504="NB"),"",IF($J2504&lt;&gt;"",TEXT($J2504,"00"),IFERROR(VLOOKUP(LEFT($N2504,4),LCTT_MAP!$A$7:$C$66,IF($M2504="THU",2,3),FALSE()),IFERROR(VLOOKUP(LEFT($N2504,3),LCTT_MAP!$A$7:$C$66,IF($M2504="THU",2,3),FALSE()),IFERROR(VLOOKUP(LEFT($N2504,2),LCTT_MAP!$A$7:$C$66,IF($M2504="THU",2,3),FALSE()),IFERROR(VLOOKUP(LEFT($N2504,1),LCTT_MAP!$A$7:$C$66,IF($M2504="THU",2,3),FALSE()),IF($M2504="THU","06","07")))))))</f>
        <v/>
      </c>
      <c r="P2504" s="117">
        <f>P2503+IF(AND($H2504&lt;&gt;"",OR(LEFT($F2504,LEN(SC_TK))=SC_TK,LEFT($G2504,LEN(SC_TK))=SC_TK)),1,0)</f>
        <v/>
      </c>
    </row>
    <row r="2505" ht="15" customHeight="1" s="78">
      <c r="A2505" s="95">
        <f>IF($H2505="","",ROW()-6)</f>
        <v/>
      </c>
      <c r="B2505" s="114" t="n"/>
      <c r="C2505" s="102" t="n"/>
      <c r="D2505" s="114" t="n"/>
      <c r="E2505" s="103" t="n"/>
      <c r="F2505" s="102" t="n"/>
      <c r="G2505" s="102" t="n"/>
      <c r="H2505" s="115" t="n"/>
      <c r="I2505" s="102" t="n"/>
      <c r="J2505" s="102" t="n"/>
      <c r="K2505" s="103" t="n"/>
      <c r="L2505" s="116">
        <f>IF($H2505="","",TRIM(IF(COUNTIF(DMTK!$A$7:$A$250,$F2505)=0,"TK Nợ sai! ","")&amp;IF(COUNTIF(DMTK!$A$7:$A$250,$G2505)=0,"TK Có sai! ","")&amp;IF(N($H2505)&lt;=0,"Tiền phải &gt; 0! ","")&amp;IF($B2505="","Thiếu ngày! ","")&amp;IF(AND(OR(LEFT($F2505,3)="131",LEFT($G2505,3)="131",LEFT($F2505,3)="331",LEFT($G2505,3)="331"),$I2505=""),"Thiếu Mã ĐT! ","")&amp;IF(AND($I2505&lt;&gt;"",COUNTIF(DM_DT!$A$7:$A$306,$I2505)=0),"Mã ĐT chưa khai báo! ","")))</f>
        <v/>
      </c>
      <c r="M2505" s="117">
        <f>IF($H2505="","",IF(AND(OR(LEFT($F2505,3)="111",LEFT($F2505,3)="112",LEFT($F2505,3)="113"),OR(LEFT($G2505,3)="111",LEFT($G2505,3)="112",LEFT($G2505,3)="113")),"NB",IF(OR(LEFT($F2505,3)="111",LEFT($F2505,3)="112",LEFT($F2505,3)="113"),"THU",IF(OR(LEFT($G2505,3)="111",LEFT($G2505,3)="112",LEFT($G2505,3)="113"),"CHI",""))))</f>
        <v/>
      </c>
      <c r="N2505" s="117">
        <f>IF($M2505="THU",$G2505,IF($M2505="CHI",$F2505,""))</f>
        <v/>
      </c>
      <c r="O2505" s="117">
        <f>IF(OR($M2505="",$M2505="NB"),"",IF($J2505&lt;&gt;"",TEXT($J2505,"00"),IFERROR(VLOOKUP(LEFT($N2505,4),LCTT_MAP!$A$7:$C$66,IF($M2505="THU",2,3),FALSE()),IFERROR(VLOOKUP(LEFT($N2505,3),LCTT_MAP!$A$7:$C$66,IF($M2505="THU",2,3),FALSE()),IFERROR(VLOOKUP(LEFT($N2505,2),LCTT_MAP!$A$7:$C$66,IF($M2505="THU",2,3),FALSE()),IFERROR(VLOOKUP(LEFT($N2505,1),LCTT_MAP!$A$7:$C$66,IF($M2505="THU",2,3),FALSE()),IF($M2505="THU","06","07")))))))</f>
        <v/>
      </c>
      <c r="P2505" s="117">
        <f>P2504+IF(AND($H2505&lt;&gt;"",OR(LEFT($F2505,LEN(SC_TK))=SC_TK,LEFT($G2505,LEN(SC_TK))=SC_TK)),1,0)</f>
        <v/>
      </c>
    </row>
    <row r="2506" ht="15" customHeight="1" s="78">
      <c r="A2506" s="95">
        <f>IF($H2506="","",ROW()-6)</f>
        <v/>
      </c>
      <c r="B2506" s="114" t="n"/>
      <c r="C2506" s="102" t="n"/>
      <c r="D2506" s="114" t="n"/>
      <c r="E2506" s="103" t="n"/>
      <c r="F2506" s="102" t="n"/>
      <c r="G2506" s="102" t="n"/>
      <c r="H2506" s="115" t="n"/>
      <c r="I2506" s="102" t="n"/>
      <c r="J2506" s="102" t="n"/>
      <c r="K2506" s="103" t="n"/>
      <c r="L2506" s="116">
        <f>IF($H2506="","",TRIM(IF(COUNTIF(DMTK!$A$7:$A$250,$F2506)=0,"TK Nợ sai! ","")&amp;IF(COUNTIF(DMTK!$A$7:$A$250,$G2506)=0,"TK Có sai! ","")&amp;IF(N($H2506)&lt;=0,"Tiền phải &gt; 0! ","")&amp;IF($B2506="","Thiếu ngày! ","")&amp;IF(AND(OR(LEFT($F2506,3)="131",LEFT($G2506,3)="131",LEFT($F2506,3)="331",LEFT($G2506,3)="331"),$I2506=""),"Thiếu Mã ĐT! ","")&amp;IF(AND($I2506&lt;&gt;"",COUNTIF(DM_DT!$A$7:$A$306,$I2506)=0),"Mã ĐT chưa khai báo! ","")))</f>
        <v/>
      </c>
      <c r="M2506" s="117">
        <f>IF($H2506="","",IF(AND(OR(LEFT($F2506,3)="111",LEFT($F2506,3)="112",LEFT($F2506,3)="113"),OR(LEFT($G2506,3)="111",LEFT($G2506,3)="112",LEFT($G2506,3)="113")),"NB",IF(OR(LEFT($F2506,3)="111",LEFT($F2506,3)="112",LEFT($F2506,3)="113"),"THU",IF(OR(LEFT($G2506,3)="111",LEFT($G2506,3)="112",LEFT($G2506,3)="113"),"CHI",""))))</f>
        <v/>
      </c>
      <c r="N2506" s="117">
        <f>IF($M2506="THU",$G2506,IF($M2506="CHI",$F2506,""))</f>
        <v/>
      </c>
      <c r="O2506" s="117">
        <f>IF(OR($M2506="",$M2506="NB"),"",IF($J2506&lt;&gt;"",TEXT($J2506,"00"),IFERROR(VLOOKUP(LEFT($N2506,4),LCTT_MAP!$A$7:$C$66,IF($M2506="THU",2,3),FALSE()),IFERROR(VLOOKUP(LEFT($N2506,3),LCTT_MAP!$A$7:$C$66,IF($M2506="THU",2,3),FALSE()),IFERROR(VLOOKUP(LEFT($N2506,2),LCTT_MAP!$A$7:$C$66,IF($M2506="THU",2,3),FALSE()),IFERROR(VLOOKUP(LEFT($N2506,1),LCTT_MAP!$A$7:$C$66,IF($M2506="THU",2,3),FALSE()),IF($M2506="THU","06","07")))))))</f>
        <v/>
      </c>
      <c r="P2506" s="117">
        <f>P2505+IF(AND($H2506&lt;&gt;"",OR(LEFT($F2506,LEN(SC_TK))=SC_TK,LEFT($G2506,LEN(SC_TK))=SC_TK)),1,0)</f>
        <v/>
      </c>
    </row>
    <row r="2507" ht="15" customHeight="1" s="78">
      <c r="A2507" s="95">
        <f>IF($H2507="","",ROW()-6)</f>
        <v/>
      </c>
      <c r="B2507" s="114" t="n"/>
      <c r="C2507" s="102" t="n"/>
      <c r="D2507" s="114" t="n"/>
      <c r="E2507" s="103" t="n"/>
      <c r="F2507" s="102" t="n"/>
      <c r="G2507" s="102" t="n"/>
      <c r="H2507" s="115" t="n"/>
      <c r="I2507" s="102" t="n"/>
      <c r="J2507" s="102" t="n"/>
      <c r="K2507" s="103" t="n"/>
      <c r="L2507" s="116">
        <f>IF($H2507="","",TRIM(IF(COUNTIF(DMTK!$A$7:$A$250,$F2507)=0,"TK Nợ sai! ","")&amp;IF(COUNTIF(DMTK!$A$7:$A$250,$G2507)=0,"TK Có sai! ","")&amp;IF(N($H2507)&lt;=0,"Tiền phải &gt; 0! ","")&amp;IF($B2507="","Thiếu ngày! ","")&amp;IF(AND(OR(LEFT($F2507,3)="131",LEFT($G2507,3)="131",LEFT($F2507,3)="331",LEFT($G2507,3)="331"),$I2507=""),"Thiếu Mã ĐT! ","")&amp;IF(AND($I2507&lt;&gt;"",COUNTIF(DM_DT!$A$7:$A$306,$I2507)=0),"Mã ĐT chưa khai báo! ","")))</f>
        <v/>
      </c>
      <c r="M2507" s="117">
        <f>IF($H2507="","",IF(AND(OR(LEFT($F2507,3)="111",LEFT($F2507,3)="112",LEFT($F2507,3)="113"),OR(LEFT($G2507,3)="111",LEFT($G2507,3)="112",LEFT($G2507,3)="113")),"NB",IF(OR(LEFT($F2507,3)="111",LEFT($F2507,3)="112",LEFT($F2507,3)="113"),"THU",IF(OR(LEFT($G2507,3)="111",LEFT($G2507,3)="112",LEFT($G2507,3)="113"),"CHI",""))))</f>
        <v/>
      </c>
      <c r="N2507" s="117">
        <f>IF($M2507="THU",$G2507,IF($M2507="CHI",$F2507,""))</f>
        <v/>
      </c>
      <c r="O2507" s="117">
        <f>IF(OR($M2507="",$M2507="NB"),"",IF($J2507&lt;&gt;"",TEXT($J2507,"00"),IFERROR(VLOOKUP(LEFT($N2507,4),LCTT_MAP!$A$7:$C$66,IF($M2507="THU",2,3),FALSE()),IFERROR(VLOOKUP(LEFT($N2507,3),LCTT_MAP!$A$7:$C$66,IF($M2507="THU",2,3),FALSE()),IFERROR(VLOOKUP(LEFT($N2507,2),LCTT_MAP!$A$7:$C$66,IF($M2507="THU",2,3),FALSE()),IFERROR(VLOOKUP(LEFT($N2507,1),LCTT_MAP!$A$7:$C$66,IF($M2507="THU",2,3),FALSE()),IF($M2507="THU","06","07")))))))</f>
        <v/>
      </c>
      <c r="P2507" s="117">
        <f>P2506+IF(AND($H2507&lt;&gt;"",OR(LEFT($F2507,LEN(SC_TK))=SC_TK,LEFT($G2507,LEN(SC_TK))=SC_TK)),1,0)</f>
        <v/>
      </c>
    </row>
    <row r="2508" ht="15" customHeight="1" s="78">
      <c r="A2508" s="95">
        <f>IF($H2508="","",ROW()-6)</f>
        <v/>
      </c>
      <c r="B2508" s="114" t="n"/>
      <c r="C2508" s="102" t="n"/>
      <c r="D2508" s="114" t="n"/>
      <c r="E2508" s="103" t="n"/>
      <c r="F2508" s="102" t="n"/>
      <c r="G2508" s="102" t="n"/>
      <c r="H2508" s="115" t="n"/>
      <c r="I2508" s="102" t="n"/>
      <c r="J2508" s="102" t="n"/>
      <c r="K2508" s="103" t="n"/>
      <c r="L2508" s="116">
        <f>IF($H2508="","",TRIM(IF(COUNTIF(DMTK!$A$7:$A$250,$F2508)=0,"TK Nợ sai! ","")&amp;IF(COUNTIF(DMTK!$A$7:$A$250,$G2508)=0,"TK Có sai! ","")&amp;IF(N($H2508)&lt;=0,"Tiền phải &gt; 0! ","")&amp;IF($B2508="","Thiếu ngày! ","")&amp;IF(AND(OR(LEFT($F2508,3)="131",LEFT($G2508,3)="131",LEFT($F2508,3)="331",LEFT($G2508,3)="331"),$I2508=""),"Thiếu Mã ĐT! ","")&amp;IF(AND($I2508&lt;&gt;"",COUNTIF(DM_DT!$A$7:$A$306,$I2508)=0),"Mã ĐT chưa khai báo! ","")))</f>
        <v/>
      </c>
      <c r="M2508" s="117">
        <f>IF($H2508="","",IF(AND(OR(LEFT($F2508,3)="111",LEFT($F2508,3)="112",LEFT($F2508,3)="113"),OR(LEFT($G2508,3)="111",LEFT($G2508,3)="112",LEFT($G2508,3)="113")),"NB",IF(OR(LEFT($F2508,3)="111",LEFT($F2508,3)="112",LEFT($F2508,3)="113"),"THU",IF(OR(LEFT($G2508,3)="111",LEFT($G2508,3)="112",LEFT($G2508,3)="113"),"CHI",""))))</f>
        <v/>
      </c>
      <c r="N2508" s="117">
        <f>IF($M2508="THU",$G2508,IF($M2508="CHI",$F2508,""))</f>
        <v/>
      </c>
      <c r="O2508" s="117">
        <f>IF(OR($M2508="",$M2508="NB"),"",IF($J2508&lt;&gt;"",TEXT($J2508,"00"),IFERROR(VLOOKUP(LEFT($N2508,4),LCTT_MAP!$A$7:$C$66,IF($M2508="THU",2,3),FALSE()),IFERROR(VLOOKUP(LEFT($N2508,3),LCTT_MAP!$A$7:$C$66,IF($M2508="THU",2,3),FALSE()),IFERROR(VLOOKUP(LEFT($N2508,2),LCTT_MAP!$A$7:$C$66,IF($M2508="THU",2,3),FALSE()),IFERROR(VLOOKUP(LEFT($N2508,1),LCTT_MAP!$A$7:$C$66,IF($M2508="THU",2,3),FALSE()),IF($M2508="THU","06","07")))))))</f>
        <v/>
      </c>
      <c r="P2508" s="117">
        <f>P2507+IF(AND($H2508&lt;&gt;"",OR(LEFT($F2508,LEN(SC_TK))=SC_TK,LEFT($G2508,LEN(SC_TK))=SC_TK)),1,0)</f>
        <v/>
      </c>
    </row>
    <row r="2509" ht="15" customHeight="1" s="78">
      <c r="A2509" s="95">
        <f>IF($H2509="","",ROW()-6)</f>
        <v/>
      </c>
      <c r="B2509" s="114" t="n"/>
      <c r="C2509" s="102" t="n"/>
      <c r="D2509" s="114" t="n"/>
      <c r="E2509" s="103" t="n"/>
      <c r="F2509" s="102" t="n"/>
      <c r="G2509" s="102" t="n"/>
      <c r="H2509" s="115" t="n"/>
      <c r="I2509" s="102" t="n"/>
      <c r="J2509" s="102" t="n"/>
      <c r="K2509" s="103" t="n"/>
      <c r="L2509" s="116">
        <f>IF($H2509="","",TRIM(IF(COUNTIF(DMTK!$A$7:$A$250,$F2509)=0,"TK Nợ sai! ","")&amp;IF(COUNTIF(DMTK!$A$7:$A$250,$G2509)=0,"TK Có sai! ","")&amp;IF(N($H2509)&lt;=0,"Tiền phải &gt; 0! ","")&amp;IF($B2509="","Thiếu ngày! ","")&amp;IF(AND(OR(LEFT($F2509,3)="131",LEFT($G2509,3)="131",LEFT($F2509,3)="331",LEFT($G2509,3)="331"),$I2509=""),"Thiếu Mã ĐT! ","")&amp;IF(AND($I2509&lt;&gt;"",COUNTIF(DM_DT!$A$7:$A$306,$I2509)=0),"Mã ĐT chưa khai báo! ","")))</f>
        <v/>
      </c>
      <c r="M2509" s="117">
        <f>IF($H2509="","",IF(AND(OR(LEFT($F2509,3)="111",LEFT($F2509,3)="112",LEFT($F2509,3)="113"),OR(LEFT($G2509,3)="111",LEFT($G2509,3)="112",LEFT($G2509,3)="113")),"NB",IF(OR(LEFT($F2509,3)="111",LEFT($F2509,3)="112",LEFT($F2509,3)="113"),"THU",IF(OR(LEFT($G2509,3)="111",LEFT($G2509,3)="112",LEFT($G2509,3)="113"),"CHI",""))))</f>
        <v/>
      </c>
      <c r="N2509" s="117">
        <f>IF($M2509="THU",$G2509,IF($M2509="CHI",$F2509,""))</f>
        <v/>
      </c>
      <c r="O2509" s="117">
        <f>IF(OR($M2509="",$M2509="NB"),"",IF($J2509&lt;&gt;"",TEXT($J2509,"00"),IFERROR(VLOOKUP(LEFT($N2509,4),LCTT_MAP!$A$7:$C$66,IF($M2509="THU",2,3),FALSE()),IFERROR(VLOOKUP(LEFT($N2509,3),LCTT_MAP!$A$7:$C$66,IF($M2509="THU",2,3),FALSE()),IFERROR(VLOOKUP(LEFT($N2509,2),LCTT_MAP!$A$7:$C$66,IF($M2509="THU",2,3),FALSE()),IFERROR(VLOOKUP(LEFT($N2509,1),LCTT_MAP!$A$7:$C$66,IF($M2509="THU",2,3),FALSE()),IF($M2509="THU","06","07")))))))</f>
        <v/>
      </c>
      <c r="P2509" s="117">
        <f>P2508+IF(AND($H2509&lt;&gt;"",OR(LEFT($F2509,LEN(SC_TK))=SC_TK,LEFT($G2509,LEN(SC_TK))=SC_TK)),1,0)</f>
        <v/>
      </c>
    </row>
    <row r="2510" ht="15" customHeight="1" s="78">
      <c r="A2510" s="95">
        <f>IF($H2510="","",ROW()-6)</f>
        <v/>
      </c>
      <c r="B2510" s="114" t="n"/>
      <c r="C2510" s="102" t="n"/>
      <c r="D2510" s="114" t="n"/>
      <c r="E2510" s="103" t="n"/>
      <c r="F2510" s="102" t="n"/>
      <c r="G2510" s="102" t="n"/>
      <c r="H2510" s="115" t="n"/>
      <c r="I2510" s="102" t="n"/>
      <c r="J2510" s="102" t="n"/>
      <c r="K2510" s="103" t="n"/>
      <c r="L2510" s="116">
        <f>IF($H2510="","",TRIM(IF(COUNTIF(DMTK!$A$7:$A$250,$F2510)=0,"TK Nợ sai! ","")&amp;IF(COUNTIF(DMTK!$A$7:$A$250,$G2510)=0,"TK Có sai! ","")&amp;IF(N($H2510)&lt;=0,"Tiền phải &gt; 0! ","")&amp;IF($B2510="","Thiếu ngày! ","")&amp;IF(AND(OR(LEFT($F2510,3)="131",LEFT($G2510,3)="131",LEFT($F2510,3)="331",LEFT($G2510,3)="331"),$I2510=""),"Thiếu Mã ĐT! ","")&amp;IF(AND($I2510&lt;&gt;"",COUNTIF(DM_DT!$A$7:$A$306,$I2510)=0),"Mã ĐT chưa khai báo! ","")))</f>
        <v/>
      </c>
      <c r="M2510" s="117">
        <f>IF($H2510="","",IF(AND(OR(LEFT($F2510,3)="111",LEFT($F2510,3)="112",LEFT($F2510,3)="113"),OR(LEFT($G2510,3)="111",LEFT($G2510,3)="112",LEFT($G2510,3)="113")),"NB",IF(OR(LEFT($F2510,3)="111",LEFT($F2510,3)="112",LEFT($F2510,3)="113"),"THU",IF(OR(LEFT($G2510,3)="111",LEFT($G2510,3)="112",LEFT($G2510,3)="113"),"CHI",""))))</f>
        <v/>
      </c>
      <c r="N2510" s="117">
        <f>IF($M2510="THU",$G2510,IF($M2510="CHI",$F2510,""))</f>
        <v/>
      </c>
      <c r="O2510" s="117">
        <f>IF(OR($M2510="",$M2510="NB"),"",IF($J2510&lt;&gt;"",TEXT($J2510,"00"),IFERROR(VLOOKUP(LEFT($N2510,4),LCTT_MAP!$A$7:$C$66,IF($M2510="THU",2,3),FALSE()),IFERROR(VLOOKUP(LEFT($N2510,3),LCTT_MAP!$A$7:$C$66,IF($M2510="THU",2,3),FALSE()),IFERROR(VLOOKUP(LEFT($N2510,2),LCTT_MAP!$A$7:$C$66,IF($M2510="THU",2,3),FALSE()),IFERROR(VLOOKUP(LEFT($N2510,1),LCTT_MAP!$A$7:$C$66,IF($M2510="THU",2,3),FALSE()),IF($M2510="THU","06","07")))))))</f>
        <v/>
      </c>
      <c r="P2510" s="117">
        <f>P2509+IF(AND($H2510&lt;&gt;"",OR(LEFT($F2510,LEN(SC_TK))=SC_TK,LEFT($G2510,LEN(SC_TK))=SC_TK)),1,0)</f>
        <v/>
      </c>
    </row>
    <row r="2511" ht="15" customHeight="1" s="78">
      <c r="A2511" s="95">
        <f>IF($H2511="","",ROW()-6)</f>
        <v/>
      </c>
      <c r="B2511" s="114" t="n"/>
      <c r="C2511" s="102" t="n"/>
      <c r="D2511" s="114" t="n"/>
      <c r="E2511" s="103" t="n"/>
      <c r="F2511" s="102" t="n"/>
      <c r="G2511" s="102" t="n"/>
      <c r="H2511" s="115" t="n"/>
      <c r="I2511" s="102" t="n"/>
      <c r="J2511" s="102" t="n"/>
      <c r="K2511" s="103" t="n"/>
      <c r="L2511" s="116">
        <f>IF($H2511="","",TRIM(IF(COUNTIF(DMTK!$A$7:$A$250,$F2511)=0,"TK Nợ sai! ","")&amp;IF(COUNTIF(DMTK!$A$7:$A$250,$G2511)=0,"TK Có sai! ","")&amp;IF(N($H2511)&lt;=0,"Tiền phải &gt; 0! ","")&amp;IF($B2511="","Thiếu ngày! ","")&amp;IF(AND(OR(LEFT($F2511,3)="131",LEFT($G2511,3)="131",LEFT($F2511,3)="331",LEFT($G2511,3)="331"),$I2511=""),"Thiếu Mã ĐT! ","")&amp;IF(AND($I2511&lt;&gt;"",COUNTIF(DM_DT!$A$7:$A$306,$I2511)=0),"Mã ĐT chưa khai báo! ","")))</f>
        <v/>
      </c>
      <c r="M2511" s="117">
        <f>IF($H2511="","",IF(AND(OR(LEFT($F2511,3)="111",LEFT($F2511,3)="112",LEFT($F2511,3)="113"),OR(LEFT($G2511,3)="111",LEFT($G2511,3)="112",LEFT($G2511,3)="113")),"NB",IF(OR(LEFT($F2511,3)="111",LEFT($F2511,3)="112",LEFT($F2511,3)="113"),"THU",IF(OR(LEFT($G2511,3)="111",LEFT($G2511,3)="112",LEFT($G2511,3)="113"),"CHI",""))))</f>
        <v/>
      </c>
      <c r="N2511" s="117">
        <f>IF($M2511="THU",$G2511,IF($M2511="CHI",$F2511,""))</f>
        <v/>
      </c>
      <c r="O2511" s="117">
        <f>IF(OR($M2511="",$M2511="NB"),"",IF($J2511&lt;&gt;"",TEXT($J2511,"00"),IFERROR(VLOOKUP(LEFT($N2511,4),LCTT_MAP!$A$7:$C$66,IF($M2511="THU",2,3),FALSE()),IFERROR(VLOOKUP(LEFT($N2511,3),LCTT_MAP!$A$7:$C$66,IF($M2511="THU",2,3),FALSE()),IFERROR(VLOOKUP(LEFT($N2511,2),LCTT_MAP!$A$7:$C$66,IF($M2511="THU",2,3),FALSE()),IFERROR(VLOOKUP(LEFT($N2511,1),LCTT_MAP!$A$7:$C$66,IF($M2511="THU",2,3),FALSE()),IF($M2511="THU","06","07")))))))</f>
        <v/>
      </c>
      <c r="P2511" s="117">
        <f>P2510+IF(AND($H2511&lt;&gt;"",OR(LEFT($F2511,LEN(SC_TK))=SC_TK,LEFT($G2511,LEN(SC_TK))=SC_TK)),1,0)</f>
        <v/>
      </c>
    </row>
    <row r="2512" ht="15" customHeight="1" s="78">
      <c r="A2512" s="95">
        <f>IF($H2512="","",ROW()-6)</f>
        <v/>
      </c>
      <c r="B2512" s="114" t="n"/>
      <c r="C2512" s="102" t="n"/>
      <c r="D2512" s="114" t="n"/>
      <c r="E2512" s="103" t="n"/>
      <c r="F2512" s="102" t="n"/>
      <c r="G2512" s="102" t="n"/>
      <c r="H2512" s="115" t="n"/>
      <c r="I2512" s="102" t="n"/>
      <c r="J2512" s="102" t="n"/>
      <c r="K2512" s="103" t="n"/>
      <c r="L2512" s="116">
        <f>IF($H2512="","",TRIM(IF(COUNTIF(DMTK!$A$7:$A$250,$F2512)=0,"TK Nợ sai! ","")&amp;IF(COUNTIF(DMTK!$A$7:$A$250,$G2512)=0,"TK Có sai! ","")&amp;IF(N($H2512)&lt;=0,"Tiền phải &gt; 0! ","")&amp;IF($B2512="","Thiếu ngày! ","")&amp;IF(AND(OR(LEFT($F2512,3)="131",LEFT($G2512,3)="131",LEFT($F2512,3)="331",LEFT($G2512,3)="331"),$I2512=""),"Thiếu Mã ĐT! ","")&amp;IF(AND($I2512&lt;&gt;"",COUNTIF(DM_DT!$A$7:$A$306,$I2512)=0),"Mã ĐT chưa khai báo! ","")))</f>
        <v/>
      </c>
      <c r="M2512" s="117">
        <f>IF($H2512="","",IF(AND(OR(LEFT($F2512,3)="111",LEFT($F2512,3)="112",LEFT($F2512,3)="113"),OR(LEFT($G2512,3)="111",LEFT($G2512,3)="112",LEFT($G2512,3)="113")),"NB",IF(OR(LEFT($F2512,3)="111",LEFT($F2512,3)="112",LEFT($F2512,3)="113"),"THU",IF(OR(LEFT($G2512,3)="111",LEFT($G2512,3)="112",LEFT($G2512,3)="113"),"CHI",""))))</f>
        <v/>
      </c>
      <c r="N2512" s="117">
        <f>IF($M2512="THU",$G2512,IF($M2512="CHI",$F2512,""))</f>
        <v/>
      </c>
      <c r="O2512" s="117">
        <f>IF(OR($M2512="",$M2512="NB"),"",IF($J2512&lt;&gt;"",TEXT($J2512,"00"),IFERROR(VLOOKUP(LEFT($N2512,4),LCTT_MAP!$A$7:$C$66,IF($M2512="THU",2,3),FALSE()),IFERROR(VLOOKUP(LEFT($N2512,3),LCTT_MAP!$A$7:$C$66,IF($M2512="THU",2,3),FALSE()),IFERROR(VLOOKUP(LEFT($N2512,2),LCTT_MAP!$A$7:$C$66,IF($M2512="THU",2,3),FALSE()),IFERROR(VLOOKUP(LEFT($N2512,1),LCTT_MAP!$A$7:$C$66,IF($M2512="THU",2,3),FALSE()),IF($M2512="THU","06","07")))))))</f>
        <v/>
      </c>
      <c r="P2512" s="117">
        <f>P2511+IF(AND($H2512&lt;&gt;"",OR(LEFT($F2512,LEN(SC_TK))=SC_TK,LEFT($G2512,LEN(SC_TK))=SC_TK)),1,0)</f>
        <v/>
      </c>
    </row>
    <row r="2513" ht="15" customHeight="1" s="78">
      <c r="A2513" s="95">
        <f>IF($H2513="","",ROW()-6)</f>
        <v/>
      </c>
      <c r="B2513" s="114" t="n"/>
      <c r="C2513" s="102" t="n"/>
      <c r="D2513" s="114" t="n"/>
      <c r="E2513" s="103" t="n"/>
      <c r="F2513" s="102" t="n"/>
      <c r="G2513" s="102" t="n"/>
      <c r="H2513" s="115" t="n"/>
      <c r="I2513" s="102" t="n"/>
      <c r="J2513" s="102" t="n"/>
      <c r="K2513" s="103" t="n"/>
      <c r="L2513" s="116">
        <f>IF($H2513="","",TRIM(IF(COUNTIF(DMTK!$A$7:$A$250,$F2513)=0,"TK Nợ sai! ","")&amp;IF(COUNTIF(DMTK!$A$7:$A$250,$G2513)=0,"TK Có sai! ","")&amp;IF(N($H2513)&lt;=0,"Tiền phải &gt; 0! ","")&amp;IF($B2513="","Thiếu ngày! ","")&amp;IF(AND(OR(LEFT($F2513,3)="131",LEFT($G2513,3)="131",LEFT($F2513,3)="331",LEFT($G2513,3)="331"),$I2513=""),"Thiếu Mã ĐT! ","")&amp;IF(AND($I2513&lt;&gt;"",COUNTIF(DM_DT!$A$7:$A$306,$I2513)=0),"Mã ĐT chưa khai báo! ","")))</f>
        <v/>
      </c>
      <c r="M2513" s="117">
        <f>IF($H2513="","",IF(AND(OR(LEFT($F2513,3)="111",LEFT($F2513,3)="112",LEFT($F2513,3)="113"),OR(LEFT($G2513,3)="111",LEFT($G2513,3)="112",LEFT($G2513,3)="113")),"NB",IF(OR(LEFT($F2513,3)="111",LEFT($F2513,3)="112",LEFT($F2513,3)="113"),"THU",IF(OR(LEFT($G2513,3)="111",LEFT($G2513,3)="112",LEFT($G2513,3)="113"),"CHI",""))))</f>
        <v/>
      </c>
      <c r="N2513" s="117">
        <f>IF($M2513="THU",$G2513,IF($M2513="CHI",$F2513,""))</f>
        <v/>
      </c>
      <c r="O2513" s="117">
        <f>IF(OR($M2513="",$M2513="NB"),"",IF($J2513&lt;&gt;"",TEXT($J2513,"00"),IFERROR(VLOOKUP(LEFT($N2513,4),LCTT_MAP!$A$7:$C$66,IF($M2513="THU",2,3),FALSE()),IFERROR(VLOOKUP(LEFT($N2513,3),LCTT_MAP!$A$7:$C$66,IF($M2513="THU",2,3),FALSE()),IFERROR(VLOOKUP(LEFT($N2513,2),LCTT_MAP!$A$7:$C$66,IF($M2513="THU",2,3),FALSE()),IFERROR(VLOOKUP(LEFT($N2513,1),LCTT_MAP!$A$7:$C$66,IF($M2513="THU",2,3),FALSE()),IF($M2513="THU","06","07")))))))</f>
        <v/>
      </c>
      <c r="P2513" s="117">
        <f>P2512+IF(AND($H2513&lt;&gt;"",OR(LEFT($F2513,LEN(SC_TK))=SC_TK,LEFT($G2513,LEN(SC_TK))=SC_TK)),1,0)</f>
        <v/>
      </c>
    </row>
    <row r="2514" ht="15" customHeight="1" s="78">
      <c r="A2514" s="95">
        <f>IF($H2514="","",ROW()-6)</f>
        <v/>
      </c>
      <c r="B2514" s="114" t="n"/>
      <c r="C2514" s="102" t="n"/>
      <c r="D2514" s="114" t="n"/>
      <c r="E2514" s="103" t="n"/>
      <c r="F2514" s="102" t="n"/>
      <c r="G2514" s="102" t="n"/>
      <c r="H2514" s="115" t="n"/>
      <c r="I2514" s="102" t="n"/>
      <c r="J2514" s="102" t="n"/>
      <c r="K2514" s="103" t="n"/>
      <c r="L2514" s="116">
        <f>IF($H2514="","",TRIM(IF(COUNTIF(DMTK!$A$7:$A$250,$F2514)=0,"TK Nợ sai! ","")&amp;IF(COUNTIF(DMTK!$A$7:$A$250,$G2514)=0,"TK Có sai! ","")&amp;IF(N($H2514)&lt;=0,"Tiền phải &gt; 0! ","")&amp;IF($B2514="","Thiếu ngày! ","")&amp;IF(AND(OR(LEFT($F2514,3)="131",LEFT($G2514,3)="131",LEFT($F2514,3)="331",LEFT($G2514,3)="331"),$I2514=""),"Thiếu Mã ĐT! ","")&amp;IF(AND($I2514&lt;&gt;"",COUNTIF(DM_DT!$A$7:$A$306,$I2514)=0),"Mã ĐT chưa khai báo! ","")))</f>
        <v/>
      </c>
      <c r="M2514" s="117">
        <f>IF($H2514="","",IF(AND(OR(LEFT($F2514,3)="111",LEFT($F2514,3)="112",LEFT($F2514,3)="113"),OR(LEFT($G2514,3)="111",LEFT($G2514,3)="112",LEFT($G2514,3)="113")),"NB",IF(OR(LEFT($F2514,3)="111",LEFT($F2514,3)="112",LEFT($F2514,3)="113"),"THU",IF(OR(LEFT($G2514,3)="111",LEFT($G2514,3)="112",LEFT($G2514,3)="113"),"CHI",""))))</f>
        <v/>
      </c>
      <c r="N2514" s="117">
        <f>IF($M2514="THU",$G2514,IF($M2514="CHI",$F2514,""))</f>
        <v/>
      </c>
      <c r="O2514" s="117">
        <f>IF(OR($M2514="",$M2514="NB"),"",IF($J2514&lt;&gt;"",TEXT($J2514,"00"),IFERROR(VLOOKUP(LEFT($N2514,4),LCTT_MAP!$A$7:$C$66,IF($M2514="THU",2,3),FALSE()),IFERROR(VLOOKUP(LEFT($N2514,3),LCTT_MAP!$A$7:$C$66,IF($M2514="THU",2,3),FALSE()),IFERROR(VLOOKUP(LEFT($N2514,2),LCTT_MAP!$A$7:$C$66,IF($M2514="THU",2,3),FALSE()),IFERROR(VLOOKUP(LEFT($N2514,1),LCTT_MAP!$A$7:$C$66,IF($M2514="THU",2,3),FALSE()),IF($M2514="THU","06","07")))))))</f>
        <v/>
      </c>
      <c r="P2514" s="117">
        <f>P2513+IF(AND($H2514&lt;&gt;"",OR(LEFT($F2514,LEN(SC_TK))=SC_TK,LEFT($G2514,LEN(SC_TK))=SC_TK)),1,0)</f>
        <v/>
      </c>
    </row>
    <row r="2515" ht="15" customHeight="1" s="78">
      <c r="A2515" s="95">
        <f>IF($H2515="","",ROW()-6)</f>
        <v/>
      </c>
      <c r="B2515" s="114" t="n"/>
      <c r="C2515" s="102" t="n"/>
      <c r="D2515" s="114" t="n"/>
      <c r="E2515" s="103" t="n"/>
      <c r="F2515" s="102" t="n"/>
      <c r="G2515" s="102" t="n"/>
      <c r="H2515" s="115" t="n"/>
      <c r="I2515" s="102" t="n"/>
      <c r="J2515" s="102" t="n"/>
      <c r="K2515" s="103" t="n"/>
      <c r="L2515" s="116">
        <f>IF($H2515="","",TRIM(IF(COUNTIF(DMTK!$A$7:$A$250,$F2515)=0,"TK Nợ sai! ","")&amp;IF(COUNTIF(DMTK!$A$7:$A$250,$G2515)=0,"TK Có sai! ","")&amp;IF(N($H2515)&lt;=0,"Tiền phải &gt; 0! ","")&amp;IF($B2515="","Thiếu ngày! ","")&amp;IF(AND(OR(LEFT($F2515,3)="131",LEFT($G2515,3)="131",LEFT($F2515,3)="331",LEFT($G2515,3)="331"),$I2515=""),"Thiếu Mã ĐT! ","")&amp;IF(AND($I2515&lt;&gt;"",COUNTIF(DM_DT!$A$7:$A$306,$I2515)=0),"Mã ĐT chưa khai báo! ","")))</f>
        <v/>
      </c>
      <c r="M2515" s="117">
        <f>IF($H2515="","",IF(AND(OR(LEFT($F2515,3)="111",LEFT($F2515,3)="112",LEFT($F2515,3)="113"),OR(LEFT($G2515,3)="111",LEFT($G2515,3)="112",LEFT($G2515,3)="113")),"NB",IF(OR(LEFT($F2515,3)="111",LEFT($F2515,3)="112",LEFT($F2515,3)="113"),"THU",IF(OR(LEFT($G2515,3)="111",LEFT($G2515,3)="112",LEFT($G2515,3)="113"),"CHI",""))))</f>
        <v/>
      </c>
      <c r="N2515" s="117">
        <f>IF($M2515="THU",$G2515,IF($M2515="CHI",$F2515,""))</f>
        <v/>
      </c>
      <c r="O2515" s="117">
        <f>IF(OR($M2515="",$M2515="NB"),"",IF($J2515&lt;&gt;"",TEXT($J2515,"00"),IFERROR(VLOOKUP(LEFT($N2515,4),LCTT_MAP!$A$7:$C$66,IF($M2515="THU",2,3),FALSE()),IFERROR(VLOOKUP(LEFT($N2515,3),LCTT_MAP!$A$7:$C$66,IF($M2515="THU",2,3),FALSE()),IFERROR(VLOOKUP(LEFT($N2515,2),LCTT_MAP!$A$7:$C$66,IF($M2515="THU",2,3),FALSE()),IFERROR(VLOOKUP(LEFT($N2515,1),LCTT_MAP!$A$7:$C$66,IF($M2515="THU",2,3),FALSE()),IF($M2515="THU","06","07")))))))</f>
        <v/>
      </c>
      <c r="P2515" s="117">
        <f>P2514+IF(AND($H2515&lt;&gt;"",OR(LEFT($F2515,LEN(SC_TK))=SC_TK,LEFT($G2515,LEN(SC_TK))=SC_TK)),1,0)</f>
        <v/>
      </c>
    </row>
    <row r="2516" ht="15" customHeight="1" s="78">
      <c r="A2516" s="95">
        <f>IF($H2516="","",ROW()-6)</f>
        <v/>
      </c>
      <c r="B2516" s="114" t="n"/>
      <c r="C2516" s="102" t="n"/>
      <c r="D2516" s="114" t="n"/>
      <c r="E2516" s="103" t="n"/>
      <c r="F2516" s="102" t="n"/>
      <c r="G2516" s="102" t="n"/>
      <c r="H2516" s="115" t="n"/>
      <c r="I2516" s="102" t="n"/>
      <c r="J2516" s="102" t="n"/>
      <c r="K2516" s="103" t="n"/>
      <c r="L2516" s="116">
        <f>IF($H2516="","",TRIM(IF(COUNTIF(DMTK!$A$7:$A$250,$F2516)=0,"TK Nợ sai! ","")&amp;IF(COUNTIF(DMTK!$A$7:$A$250,$G2516)=0,"TK Có sai! ","")&amp;IF(N($H2516)&lt;=0,"Tiền phải &gt; 0! ","")&amp;IF($B2516="","Thiếu ngày! ","")&amp;IF(AND(OR(LEFT($F2516,3)="131",LEFT($G2516,3)="131",LEFT($F2516,3)="331",LEFT($G2516,3)="331"),$I2516=""),"Thiếu Mã ĐT! ","")&amp;IF(AND($I2516&lt;&gt;"",COUNTIF(DM_DT!$A$7:$A$306,$I2516)=0),"Mã ĐT chưa khai báo! ","")))</f>
        <v/>
      </c>
      <c r="M2516" s="117">
        <f>IF($H2516="","",IF(AND(OR(LEFT($F2516,3)="111",LEFT($F2516,3)="112",LEFT($F2516,3)="113"),OR(LEFT($G2516,3)="111",LEFT($G2516,3)="112",LEFT($G2516,3)="113")),"NB",IF(OR(LEFT($F2516,3)="111",LEFT($F2516,3)="112",LEFT($F2516,3)="113"),"THU",IF(OR(LEFT($G2516,3)="111",LEFT($G2516,3)="112",LEFT($G2516,3)="113"),"CHI",""))))</f>
        <v/>
      </c>
      <c r="N2516" s="117">
        <f>IF($M2516="THU",$G2516,IF($M2516="CHI",$F2516,""))</f>
        <v/>
      </c>
      <c r="O2516" s="117">
        <f>IF(OR($M2516="",$M2516="NB"),"",IF($J2516&lt;&gt;"",TEXT($J2516,"00"),IFERROR(VLOOKUP(LEFT($N2516,4),LCTT_MAP!$A$7:$C$66,IF($M2516="THU",2,3),FALSE()),IFERROR(VLOOKUP(LEFT($N2516,3),LCTT_MAP!$A$7:$C$66,IF($M2516="THU",2,3),FALSE()),IFERROR(VLOOKUP(LEFT($N2516,2),LCTT_MAP!$A$7:$C$66,IF($M2516="THU",2,3),FALSE()),IFERROR(VLOOKUP(LEFT($N2516,1),LCTT_MAP!$A$7:$C$66,IF($M2516="THU",2,3),FALSE()),IF($M2516="THU","06","07")))))))</f>
        <v/>
      </c>
      <c r="P2516" s="117">
        <f>P2515+IF(AND($H2516&lt;&gt;"",OR(LEFT($F2516,LEN(SC_TK))=SC_TK,LEFT($G2516,LEN(SC_TK))=SC_TK)),1,0)</f>
        <v/>
      </c>
    </row>
    <row r="2517" ht="15" customHeight="1" s="78">
      <c r="A2517" s="95">
        <f>IF($H2517="","",ROW()-6)</f>
        <v/>
      </c>
      <c r="B2517" s="114" t="n"/>
      <c r="C2517" s="102" t="n"/>
      <c r="D2517" s="114" t="n"/>
      <c r="E2517" s="103" t="n"/>
      <c r="F2517" s="102" t="n"/>
      <c r="G2517" s="102" t="n"/>
      <c r="H2517" s="115" t="n"/>
      <c r="I2517" s="102" t="n"/>
      <c r="J2517" s="102" t="n"/>
      <c r="K2517" s="103" t="n"/>
      <c r="L2517" s="116">
        <f>IF($H2517="","",TRIM(IF(COUNTIF(DMTK!$A$7:$A$250,$F2517)=0,"TK Nợ sai! ","")&amp;IF(COUNTIF(DMTK!$A$7:$A$250,$G2517)=0,"TK Có sai! ","")&amp;IF(N($H2517)&lt;=0,"Tiền phải &gt; 0! ","")&amp;IF($B2517="","Thiếu ngày! ","")&amp;IF(AND(OR(LEFT($F2517,3)="131",LEFT($G2517,3)="131",LEFT($F2517,3)="331",LEFT($G2517,3)="331"),$I2517=""),"Thiếu Mã ĐT! ","")&amp;IF(AND($I2517&lt;&gt;"",COUNTIF(DM_DT!$A$7:$A$306,$I2517)=0),"Mã ĐT chưa khai báo! ","")))</f>
        <v/>
      </c>
      <c r="M2517" s="117">
        <f>IF($H2517="","",IF(AND(OR(LEFT($F2517,3)="111",LEFT($F2517,3)="112",LEFT($F2517,3)="113"),OR(LEFT($G2517,3)="111",LEFT($G2517,3)="112",LEFT($G2517,3)="113")),"NB",IF(OR(LEFT($F2517,3)="111",LEFT($F2517,3)="112",LEFT($F2517,3)="113"),"THU",IF(OR(LEFT($G2517,3)="111",LEFT($G2517,3)="112",LEFT($G2517,3)="113"),"CHI",""))))</f>
        <v/>
      </c>
      <c r="N2517" s="117">
        <f>IF($M2517="THU",$G2517,IF($M2517="CHI",$F2517,""))</f>
        <v/>
      </c>
      <c r="O2517" s="117">
        <f>IF(OR($M2517="",$M2517="NB"),"",IF($J2517&lt;&gt;"",TEXT($J2517,"00"),IFERROR(VLOOKUP(LEFT($N2517,4),LCTT_MAP!$A$7:$C$66,IF($M2517="THU",2,3),FALSE()),IFERROR(VLOOKUP(LEFT($N2517,3),LCTT_MAP!$A$7:$C$66,IF($M2517="THU",2,3),FALSE()),IFERROR(VLOOKUP(LEFT($N2517,2),LCTT_MAP!$A$7:$C$66,IF($M2517="THU",2,3),FALSE()),IFERROR(VLOOKUP(LEFT($N2517,1),LCTT_MAP!$A$7:$C$66,IF($M2517="THU",2,3),FALSE()),IF($M2517="THU","06","07")))))))</f>
        <v/>
      </c>
      <c r="P2517" s="117">
        <f>P2516+IF(AND($H2517&lt;&gt;"",OR(LEFT($F2517,LEN(SC_TK))=SC_TK,LEFT($G2517,LEN(SC_TK))=SC_TK)),1,0)</f>
        <v/>
      </c>
    </row>
    <row r="2518" ht="15" customHeight="1" s="78">
      <c r="A2518" s="95">
        <f>IF($H2518="","",ROW()-6)</f>
        <v/>
      </c>
      <c r="B2518" s="114" t="n"/>
      <c r="C2518" s="102" t="n"/>
      <c r="D2518" s="114" t="n"/>
      <c r="E2518" s="103" t="n"/>
      <c r="F2518" s="102" t="n"/>
      <c r="G2518" s="102" t="n"/>
      <c r="H2518" s="115" t="n"/>
      <c r="I2518" s="102" t="n"/>
      <c r="J2518" s="102" t="n"/>
      <c r="K2518" s="103" t="n"/>
      <c r="L2518" s="116">
        <f>IF($H2518="","",TRIM(IF(COUNTIF(DMTK!$A$7:$A$250,$F2518)=0,"TK Nợ sai! ","")&amp;IF(COUNTIF(DMTK!$A$7:$A$250,$G2518)=0,"TK Có sai! ","")&amp;IF(N($H2518)&lt;=0,"Tiền phải &gt; 0! ","")&amp;IF($B2518="","Thiếu ngày! ","")&amp;IF(AND(OR(LEFT($F2518,3)="131",LEFT($G2518,3)="131",LEFT($F2518,3)="331",LEFT($G2518,3)="331"),$I2518=""),"Thiếu Mã ĐT! ","")&amp;IF(AND($I2518&lt;&gt;"",COUNTIF(DM_DT!$A$7:$A$306,$I2518)=0),"Mã ĐT chưa khai báo! ","")))</f>
        <v/>
      </c>
      <c r="M2518" s="117">
        <f>IF($H2518="","",IF(AND(OR(LEFT($F2518,3)="111",LEFT($F2518,3)="112",LEFT($F2518,3)="113"),OR(LEFT($G2518,3)="111",LEFT($G2518,3)="112",LEFT($G2518,3)="113")),"NB",IF(OR(LEFT($F2518,3)="111",LEFT($F2518,3)="112",LEFT($F2518,3)="113"),"THU",IF(OR(LEFT($G2518,3)="111",LEFT($G2518,3)="112",LEFT($G2518,3)="113"),"CHI",""))))</f>
        <v/>
      </c>
      <c r="N2518" s="117">
        <f>IF($M2518="THU",$G2518,IF($M2518="CHI",$F2518,""))</f>
        <v/>
      </c>
      <c r="O2518" s="117">
        <f>IF(OR($M2518="",$M2518="NB"),"",IF($J2518&lt;&gt;"",TEXT($J2518,"00"),IFERROR(VLOOKUP(LEFT($N2518,4),LCTT_MAP!$A$7:$C$66,IF($M2518="THU",2,3),FALSE()),IFERROR(VLOOKUP(LEFT($N2518,3),LCTT_MAP!$A$7:$C$66,IF($M2518="THU",2,3),FALSE()),IFERROR(VLOOKUP(LEFT($N2518,2),LCTT_MAP!$A$7:$C$66,IF($M2518="THU",2,3),FALSE()),IFERROR(VLOOKUP(LEFT($N2518,1),LCTT_MAP!$A$7:$C$66,IF($M2518="THU",2,3),FALSE()),IF($M2518="THU","06","07")))))))</f>
        <v/>
      </c>
      <c r="P2518" s="117">
        <f>P2517+IF(AND($H2518&lt;&gt;"",OR(LEFT($F2518,LEN(SC_TK))=SC_TK,LEFT($G2518,LEN(SC_TK))=SC_TK)),1,0)</f>
        <v/>
      </c>
    </row>
    <row r="2519" ht="15" customHeight="1" s="78">
      <c r="A2519" s="95">
        <f>IF($H2519="","",ROW()-6)</f>
        <v/>
      </c>
      <c r="B2519" s="114" t="n"/>
      <c r="C2519" s="102" t="n"/>
      <c r="D2519" s="114" t="n"/>
      <c r="E2519" s="103" t="n"/>
      <c r="F2519" s="102" t="n"/>
      <c r="G2519" s="102" t="n"/>
      <c r="H2519" s="115" t="n"/>
      <c r="I2519" s="102" t="n"/>
      <c r="J2519" s="102" t="n"/>
      <c r="K2519" s="103" t="n"/>
      <c r="L2519" s="116">
        <f>IF($H2519="","",TRIM(IF(COUNTIF(DMTK!$A$7:$A$250,$F2519)=0,"TK Nợ sai! ","")&amp;IF(COUNTIF(DMTK!$A$7:$A$250,$G2519)=0,"TK Có sai! ","")&amp;IF(N($H2519)&lt;=0,"Tiền phải &gt; 0! ","")&amp;IF($B2519="","Thiếu ngày! ","")&amp;IF(AND(OR(LEFT($F2519,3)="131",LEFT($G2519,3)="131",LEFT($F2519,3)="331",LEFT($G2519,3)="331"),$I2519=""),"Thiếu Mã ĐT! ","")&amp;IF(AND($I2519&lt;&gt;"",COUNTIF(DM_DT!$A$7:$A$306,$I2519)=0),"Mã ĐT chưa khai báo! ","")))</f>
        <v/>
      </c>
      <c r="M2519" s="117">
        <f>IF($H2519="","",IF(AND(OR(LEFT($F2519,3)="111",LEFT($F2519,3)="112",LEFT($F2519,3)="113"),OR(LEFT($G2519,3)="111",LEFT($G2519,3)="112",LEFT($G2519,3)="113")),"NB",IF(OR(LEFT($F2519,3)="111",LEFT($F2519,3)="112",LEFT($F2519,3)="113"),"THU",IF(OR(LEFT($G2519,3)="111",LEFT($G2519,3)="112",LEFT($G2519,3)="113"),"CHI",""))))</f>
        <v/>
      </c>
      <c r="N2519" s="117">
        <f>IF($M2519="THU",$G2519,IF($M2519="CHI",$F2519,""))</f>
        <v/>
      </c>
      <c r="O2519" s="117">
        <f>IF(OR($M2519="",$M2519="NB"),"",IF($J2519&lt;&gt;"",TEXT($J2519,"00"),IFERROR(VLOOKUP(LEFT($N2519,4),LCTT_MAP!$A$7:$C$66,IF($M2519="THU",2,3),FALSE()),IFERROR(VLOOKUP(LEFT($N2519,3),LCTT_MAP!$A$7:$C$66,IF($M2519="THU",2,3),FALSE()),IFERROR(VLOOKUP(LEFT($N2519,2),LCTT_MAP!$A$7:$C$66,IF($M2519="THU",2,3),FALSE()),IFERROR(VLOOKUP(LEFT($N2519,1),LCTT_MAP!$A$7:$C$66,IF($M2519="THU",2,3),FALSE()),IF($M2519="THU","06","07")))))))</f>
        <v/>
      </c>
      <c r="P2519" s="117">
        <f>P2518+IF(AND($H2519&lt;&gt;"",OR(LEFT($F2519,LEN(SC_TK))=SC_TK,LEFT($G2519,LEN(SC_TK))=SC_TK)),1,0)</f>
        <v/>
      </c>
    </row>
    <row r="2520" ht="15" customHeight="1" s="78">
      <c r="A2520" s="95">
        <f>IF($H2520="","",ROW()-6)</f>
        <v/>
      </c>
      <c r="B2520" s="114" t="n"/>
      <c r="C2520" s="102" t="n"/>
      <c r="D2520" s="114" t="n"/>
      <c r="E2520" s="103" t="n"/>
      <c r="F2520" s="102" t="n"/>
      <c r="G2520" s="102" t="n"/>
      <c r="H2520" s="115" t="n"/>
      <c r="I2520" s="102" t="n"/>
      <c r="J2520" s="102" t="n"/>
      <c r="K2520" s="103" t="n"/>
      <c r="L2520" s="116">
        <f>IF($H2520="","",TRIM(IF(COUNTIF(DMTK!$A$7:$A$250,$F2520)=0,"TK Nợ sai! ","")&amp;IF(COUNTIF(DMTK!$A$7:$A$250,$G2520)=0,"TK Có sai! ","")&amp;IF(N($H2520)&lt;=0,"Tiền phải &gt; 0! ","")&amp;IF($B2520="","Thiếu ngày! ","")&amp;IF(AND(OR(LEFT($F2520,3)="131",LEFT($G2520,3)="131",LEFT($F2520,3)="331",LEFT($G2520,3)="331"),$I2520=""),"Thiếu Mã ĐT! ","")&amp;IF(AND($I2520&lt;&gt;"",COUNTIF(DM_DT!$A$7:$A$306,$I2520)=0),"Mã ĐT chưa khai báo! ","")))</f>
        <v/>
      </c>
      <c r="M2520" s="117">
        <f>IF($H2520="","",IF(AND(OR(LEFT($F2520,3)="111",LEFT($F2520,3)="112",LEFT($F2520,3)="113"),OR(LEFT($G2520,3)="111",LEFT($G2520,3)="112",LEFT($G2520,3)="113")),"NB",IF(OR(LEFT($F2520,3)="111",LEFT($F2520,3)="112",LEFT($F2520,3)="113"),"THU",IF(OR(LEFT($G2520,3)="111",LEFT($G2520,3)="112",LEFT($G2520,3)="113"),"CHI",""))))</f>
        <v/>
      </c>
      <c r="N2520" s="117">
        <f>IF($M2520="THU",$G2520,IF($M2520="CHI",$F2520,""))</f>
        <v/>
      </c>
      <c r="O2520" s="117">
        <f>IF(OR($M2520="",$M2520="NB"),"",IF($J2520&lt;&gt;"",TEXT($J2520,"00"),IFERROR(VLOOKUP(LEFT($N2520,4),LCTT_MAP!$A$7:$C$66,IF($M2520="THU",2,3),FALSE()),IFERROR(VLOOKUP(LEFT($N2520,3),LCTT_MAP!$A$7:$C$66,IF($M2520="THU",2,3),FALSE()),IFERROR(VLOOKUP(LEFT($N2520,2),LCTT_MAP!$A$7:$C$66,IF($M2520="THU",2,3),FALSE()),IFERROR(VLOOKUP(LEFT($N2520,1),LCTT_MAP!$A$7:$C$66,IF($M2520="THU",2,3),FALSE()),IF($M2520="THU","06","07")))))))</f>
        <v/>
      </c>
      <c r="P2520" s="117">
        <f>P2519+IF(AND($H2520&lt;&gt;"",OR(LEFT($F2520,LEN(SC_TK))=SC_TK,LEFT($G2520,LEN(SC_TK))=SC_TK)),1,0)</f>
        <v/>
      </c>
    </row>
    <row r="2521" ht="15" customHeight="1" s="78">
      <c r="A2521" s="95">
        <f>IF($H2521="","",ROW()-6)</f>
        <v/>
      </c>
      <c r="B2521" s="114" t="n"/>
      <c r="C2521" s="102" t="n"/>
      <c r="D2521" s="114" t="n"/>
      <c r="E2521" s="103" t="n"/>
      <c r="F2521" s="102" t="n"/>
      <c r="G2521" s="102" t="n"/>
      <c r="H2521" s="115" t="n"/>
      <c r="I2521" s="102" t="n"/>
      <c r="J2521" s="102" t="n"/>
      <c r="K2521" s="103" t="n"/>
      <c r="L2521" s="116">
        <f>IF($H2521="","",TRIM(IF(COUNTIF(DMTK!$A$7:$A$250,$F2521)=0,"TK Nợ sai! ","")&amp;IF(COUNTIF(DMTK!$A$7:$A$250,$G2521)=0,"TK Có sai! ","")&amp;IF(N($H2521)&lt;=0,"Tiền phải &gt; 0! ","")&amp;IF($B2521="","Thiếu ngày! ","")&amp;IF(AND(OR(LEFT($F2521,3)="131",LEFT($G2521,3)="131",LEFT($F2521,3)="331",LEFT($G2521,3)="331"),$I2521=""),"Thiếu Mã ĐT! ","")&amp;IF(AND($I2521&lt;&gt;"",COUNTIF(DM_DT!$A$7:$A$306,$I2521)=0),"Mã ĐT chưa khai báo! ","")))</f>
        <v/>
      </c>
      <c r="M2521" s="117">
        <f>IF($H2521="","",IF(AND(OR(LEFT($F2521,3)="111",LEFT($F2521,3)="112",LEFT($F2521,3)="113"),OR(LEFT($G2521,3)="111",LEFT($G2521,3)="112",LEFT($G2521,3)="113")),"NB",IF(OR(LEFT($F2521,3)="111",LEFT($F2521,3)="112",LEFT($F2521,3)="113"),"THU",IF(OR(LEFT($G2521,3)="111",LEFT($G2521,3)="112",LEFT($G2521,3)="113"),"CHI",""))))</f>
        <v/>
      </c>
      <c r="N2521" s="117">
        <f>IF($M2521="THU",$G2521,IF($M2521="CHI",$F2521,""))</f>
        <v/>
      </c>
      <c r="O2521" s="117">
        <f>IF(OR($M2521="",$M2521="NB"),"",IF($J2521&lt;&gt;"",TEXT($J2521,"00"),IFERROR(VLOOKUP(LEFT($N2521,4),LCTT_MAP!$A$7:$C$66,IF($M2521="THU",2,3),FALSE()),IFERROR(VLOOKUP(LEFT($N2521,3),LCTT_MAP!$A$7:$C$66,IF($M2521="THU",2,3),FALSE()),IFERROR(VLOOKUP(LEFT($N2521,2),LCTT_MAP!$A$7:$C$66,IF($M2521="THU",2,3),FALSE()),IFERROR(VLOOKUP(LEFT($N2521,1),LCTT_MAP!$A$7:$C$66,IF($M2521="THU",2,3),FALSE()),IF($M2521="THU","06","07")))))))</f>
        <v/>
      </c>
      <c r="P2521" s="117">
        <f>P2520+IF(AND($H2521&lt;&gt;"",OR(LEFT($F2521,LEN(SC_TK))=SC_TK,LEFT($G2521,LEN(SC_TK))=SC_TK)),1,0)</f>
        <v/>
      </c>
    </row>
    <row r="2522" ht="15" customHeight="1" s="78">
      <c r="A2522" s="95">
        <f>IF($H2522="","",ROW()-6)</f>
        <v/>
      </c>
      <c r="B2522" s="114" t="n"/>
      <c r="C2522" s="102" t="n"/>
      <c r="D2522" s="114" t="n"/>
      <c r="E2522" s="103" t="n"/>
      <c r="F2522" s="102" t="n"/>
      <c r="G2522" s="102" t="n"/>
      <c r="H2522" s="115" t="n"/>
      <c r="I2522" s="102" t="n"/>
      <c r="J2522" s="102" t="n"/>
      <c r="K2522" s="103" t="n"/>
      <c r="L2522" s="116">
        <f>IF($H2522="","",TRIM(IF(COUNTIF(DMTK!$A$7:$A$250,$F2522)=0,"TK Nợ sai! ","")&amp;IF(COUNTIF(DMTK!$A$7:$A$250,$G2522)=0,"TK Có sai! ","")&amp;IF(N($H2522)&lt;=0,"Tiền phải &gt; 0! ","")&amp;IF($B2522="","Thiếu ngày! ","")&amp;IF(AND(OR(LEFT($F2522,3)="131",LEFT($G2522,3)="131",LEFT($F2522,3)="331",LEFT($G2522,3)="331"),$I2522=""),"Thiếu Mã ĐT! ","")&amp;IF(AND($I2522&lt;&gt;"",COUNTIF(DM_DT!$A$7:$A$306,$I2522)=0),"Mã ĐT chưa khai báo! ","")))</f>
        <v/>
      </c>
      <c r="M2522" s="117">
        <f>IF($H2522="","",IF(AND(OR(LEFT($F2522,3)="111",LEFT($F2522,3)="112",LEFT($F2522,3)="113"),OR(LEFT($G2522,3)="111",LEFT($G2522,3)="112",LEFT($G2522,3)="113")),"NB",IF(OR(LEFT($F2522,3)="111",LEFT($F2522,3)="112",LEFT($F2522,3)="113"),"THU",IF(OR(LEFT($G2522,3)="111",LEFT($G2522,3)="112",LEFT($G2522,3)="113"),"CHI",""))))</f>
        <v/>
      </c>
      <c r="N2522" s="117">
        <f>IF($M2522="THU",$G2522,IF($M2522="CHI",$F2522,""))</f>
        <v/>
      </c>
      <c r="O2522" s="117">
        <f>IF(OR($M2522="",$M2522="NB"),"",IF($J2522&lt;&gt;"",TEXT($J2522,"00"),IFERROR(VLOOKUP(LEFT($N2522,4),LCTT_MAP!$A$7:$C$66,IF($M2522="THU",2,3),FALSE()),IFERROR(VLOOKUP(LEFT($N2522,3),LCTT_MAP!$A$7:$C$66,IF($M2522="THU",2,3),FALSE()),IFERROR(VLOOKUP(LEFT($N2522,2),LCTT_MAP!$A$7:$C$66,IF($M2522="THU",2,3),FALSE()),IFERROR(VLOOKUP(LEFT($N2522,1),LCTT_MAP!$A$7:$C$66,IF($M2522="THU",2,3),FALSE()),IF($M2522="THU","06","07")))))))</f>
        <v/>
      </c>
      <c r="P2522" s="117">
        <f>P2521+IF(AND($H2522&lt;&gt;"",OR(LEFT($F2522,LEN(SC_TK))=SC_TK,LEFT($G2522,LEN(SC_TK))=SC_TK)),1,0)</f>
        <v/>
      </c>
    </row>
    <row r="2523" ht="15" customHeight="1" s="78">
      <c r="A2523" s="95">
        <f>IF($H2523="","",ROW()-6)</f>
        <v/>
      </c>
      <c r="B2523" s="114" t="n"/>
      <c r="C2523" s="102" t="n"/>
      <c r="D2523" s="114" t="n"/>
      <c r="E2523" s="103" t="n"/>
      <c r="F2523" s="102" t="n"/>
      <c r="G2523" s="102" t="n"/>
      <c r="H2523" s="115" t="n"/>
      <c r="I2523" s="102" t="n"/>
      <c r="J2523" s="102" t="n"/>
      <c r="K2523" s="103" t="n"/>
      <c r="L2523" s="116">
        <f>IF($H2523="","",TRIM(IF(COUNTIF(DMTK!$A$7:$A$250,$F2523)=0,"TK Nợ sai! ","")&amp;IF(COUNTIF(DMTK!$A$7:$A$250,$G2523)=0,"TK Có sai! ","")&amp;IF(N($H2523)&lt;=0,"Tiền phải &gt; 0! ","")&amp;IF($B2523="","Thiếu ngày! ","")&amp;IF(AND(OR(LEFT($F2523,3)="131",LEFT($G2523,3)="131",LEFT($F2523,3)="331",LEFT($G2523,3)="331"),$I2523=""),"Thiếu Mã ĐT! ","")&amp;IF(AND($I2523&lt;&gt;"",COUNTIF(DM_DT!$A$7:$A$306,$I2523)=0),"Mã ĐT chưa khai báo! ","")))</f>
        <v/>
      </c>
      <c r="M2523" s="117">
        <f>IF($H2523="","",IF(AND(OR(LEFT($F2523,3)="111",LEFT($F2523,3)="112",LEFT($F2523,3)="113"),OR(LEFT($G2523,3)="111",LEFT($G2523,3)="112",LEFT($G2523,3)="113")),"NB",IF(OR(LEFT($F2523,3)="111",LEFT($F2523,3)="112",LEFT($F2523,3)="113"),"THU",IF(OR(LEFT($G2523,3)="111",LEFT($G2523,3)="112",LEFT($G2523,3)="113"),"CHI",""))))</f>
        <v/>
      </c>
      <c r="N2523" s="117">
        <f>IF($M2523="THU",$G2523,IF($M2523="CHI",$F2523,""))</f>
        <v/>
      </c>
      <c r="O2523" s="117">
        <f>IF(OR($M2523="",$M2523="NB"),"",IF($J2523&lt;&gt;"",TEXT($J2523,"00"),IFERROR(VLOOKUP(LEFT($N2523,4),LCTT_MAP!$A$7:$C$66,IF($M2523="THU",2,3),FALSE()),IFERROR(VLOOKUP(LEFT($N2523,3),LCTT_MAP!$A$7:$C$66,IF($M2523="THU",2,3),FALSE()),IFERROR(VLOOKUP(LEFT($N2523,2),LCTT_MAP!$A$7:$C$66,IF($M2523="THU",2,3),FALSE()),IFERROR(VLOOKUP(LEFT($N2523,1),LCTT_MAP!$A$7:$C$66,IF($M2523="THU",2,3),FALSE()),IF($M2523="THU","06","07")))))))</f>
        <v/>
      </c>
      <c r="P2523" s="117">
        <f>P2522+IF(AND($H2523&lt;&gt;"",OR(LEFT($F2523,LEN(SC_TK))=SC_TK,LEFT($G2523,LEN(SC_TK))=SC_TK)),1,0)</f>
        <v/>
      </c>
    </row>
    <row r="2524" ht="15" customHeight="1" s="78">
      <c r="A2524" s="95">
        <f>IF($H2524="","",ROW()-6)</f>
        <v/>
      </c>
      <c r="B2524" s="114" t="n"/>
      <c r="C2524" s="102" t="n"/>
      <c r="D2524" s="114" t="n"/>
      <c r="E2524" s="103" t="n"/>
      <c r="F2524" s="102" t="n"/>
      <c r="G2524" s="102" t="n"/>
      <c r="H2524" s="115" t="n"/>
      <c r="I2524" s="102" t="n"/>
      <c r="J2524" s="102" t="n"/>
      <c r="K2524" s="103" t="n"/>
      <c r="L2524" s="116">
        <f>IF($H2524="","",TRIM(IF(COUNTIF(DMTK!$A$7:$A$250,$F2524)=0,"TK Nợ sai! ","")&amp;IF(COUNTIF(DMTK!$A$7:$A$250,$G2524)=0,"TK Có sai! ","")&amp;IF(N($H2524)&lt;=0,"Tiền phải &gt; 0! ","")&amp;IF($B2524="","Thiếu ngày! ","")&amp;IF(AND(OR(LEFT($F2524,3)="131",LEFT($G2524,3)="131",LEFT($F2524,3)="331",LEFT($G2524,3)="331"),$I2524=""),"Thiếu Mã ĐT! ","")&amp;IF(AND($I2524&lt;&gt;"",COUNTIF(DM_DT!$A$7:$A$306,$I2524)=0),"Mã ĐT chưa khai báo! ","")))</f>
        <v/>
      </c>
      <c r="M2524" s="117">
        <f>IF($H2524="","",IF(AND(OR(LEFT($F2524,3)="111",LEFT($F2524,3)="112",LEFT($F2524,3)="113"),OR(LEFT($G2524,3)="111",LEFT($G2524,3)="112",LEFT($G2524,3)="113")),"NB",IF(OR(LEFT($F2524,3)="111",LEFT($F2524,3)="112",LEFT($F2524,3)="113"),"THU",IF(OR(LEFT($G2524,3)="111",LEFT($G2524,3)="112",LEFT($G2524,3)="113"),"CHI",""))))</f>
        <v/>
      </c>
      <c r="N2524" s="117">
        <f>IF($M2524="THU",$G2524,IF($M2524="CHI",$F2524,""))</f>
        <v/>
      </c>
      <c r="O2524" s="117">
        <f>IF(OR($M2524="",$M2524="NB"),"",IF($J2524&lt;&gt;"",TEXT($J2524,"00"),IFERROR(VLOOKUP(LEFT($N2524,4),LCTT_MAP!$A$7:$C$66,IF($M2524="THU",2,3),FALSE()),IFERROR(VLOOKUP(LEFT($N2524,3),LCTT_MAP!$A$7:$C$66,IF($M2524="THU",2,3),FALSE()),IFERROR(VLOOKUP(LEFT($N2524,2),LCTT_MAP!$A$7:$C$66,IF($M2524="THU",2,3),FALSE()),IFERROR(VLOOKUP(LEFT($N2524,1),LCTT_MAP!$A$7:$C$66,IF($M2524="THU",2,3),FALSE()),IF($M2524="THU","06","07")))))))</f>
        <v/>
      </c>
      <c r="P2524" s="117">
        <f>P2523+IF(AND($H2524&lt;&gt;"",OR(LEFT($F2524,LEN(SC_TK))=SC_TK,LEFT($G2524,LEN(SC_TK))=SC_TK)),1,0)</f>
        <v/>
      </c>
    </row>
    <row r="2525" ht="15" customHeight="1" s="78">
      <c r="A2525" s="95">
        <f>IF($H2525="","",ROW()-6)</f>
        <v/>
      </c>
      <c r="B2525" s="114" t="n"/>
      <c r="C2525" s="102" t="n"/>
      <c r="D2525" s="114" t="n"/>
      <c r="E2525" s="103" t="n"/>
      <c r="F2525" s="102" t="n"/>
      <c r="G2525" s="102" t="n"/>
      <c r="H2525" s="115" t="n"/>
      <c r="I2525" s="102" t="n"/>
      <c r="J2525" s="102" t="n"/>
      <c r="K2525" s="103" t="n"/>
      <c r="L2525" s="116">
        <f>IF($H2525="","",TRIM(IF(COUNTIF(DMTK!$A$7:$A$250,$F2525)=0,"TK Nợ sai! ","")&amp;IF(COUNTIF(DMTK!$A$7:$A$250,$G2525)=0,"TK Có sai! ","")&amp;IF(N($H2525)&lt;=0,"Tiền phải &gt; 0! ","")&amp;IF($B2525="","Thiếu ngày! ","")&amp;IF(AND(OR(LEFT($F2525,3)="131",LEFT($G2525,3)="131",LEFT($F2525,3)="331",LEFT($G2525,3)="331"),$I2525=""),"Thiếu Mã ĐT! ","")&amp;IF(AND($I2525&lt;&gt;"",COUNTIF(DM_DT!$A$7:$A$306,$I2525)=0),"Mã ĐT chưa khai báo! ","")))</f>
        <v/>
      </c>
      <c r="M2525" s="117">
        <f>IF($H2525="","",IF(AND(OR(LEFT($F2525,3)="111",LEFT($F2525,3)="112",LEFT($F2525,3)="113"),OR(LEFT($G2525,3)="111",LEFT($G2525,3)="112",LEFT($G2525,3)="113")),"NB",IF(OR(LEFT($F2525,3)="111",LEFT($F2525,3)="112",LEFT($F2525,3)="113"),"THU",IF(OR(LEFT($G2525,3)="111",LEFT($G2525,3)="112",LEFT($G2525,3)="113"),"CHI",""))))</f>
        <v/>
      </c>
      <c r="N2525" s="117">
        <f>IF($M2525="THU",$G2525,IF($M2525="CHI",$F2525,""))</f>
        <v/>
      </c>
      <c r="O2525" s="117">
        <f>IF(OR($M2525="",$M2525="NB"),"",IF($J2525&lt;&gt;"",TEXT($J2525,"00"),IFERROR(VLOOKUP(LEFT($N2525,4),LCTT_MAP!$A$7:$C$66,IF($M2525="THU",2,3),FALSE()),IFERROR(VLOOKUP(LEFT($N2525,3),LCTT_MAP!$A$7:$C$66,IF($M2525="THU",2,3),FALSE()),IFERROR(VLOOKUP(LEFT($N2525,2),LCTT_MAP!$A$7:$C$66,IF($M2525="THU",2,3),FALSE()),IFERROR(VLOOKUP(LEFT($N2525,1),LCTT_MAP!$A$7:$C$66,IF($M2525="THU",2,3),FALSE()),IF($M2525="THU","06","07")))))))</f>
        <v/>
      </c>
      <c r="P2525" s="117">
        <f>P2524+IF(AND($H2525&lt;&gt;"",OR(LEFT($F2525,LEN(SC_TK))=SC_TK,LEFT($G2525,LEN(SC_TK))=SC_TK)),1,0)</f>
        <v/>
      </c>
    </row>
    <row r="2526" ht="15" customHeight="1" s="78">
      <c r="A2526" s="95">
        <f>IF($H2526="","",ROW()-6)</f>
        <v/>
      </c>
      <c r="B2526" s="114" t="n"/>
      <c r="C2526" s="102" t="n"/>
      <c r="D2526" s="114" t="n"/>
      <c r="E2526" s="103" t="n"/>
      <c r="F2526" s="102" t="n"/>
      <c r="G2526" s="102" t="n"/>
      <c r="H2526" s="115" t="n"/>
      <c r="I2526" s="102" t="n"/>
      <c r="J2526" s="102" t="n"/>
      <c r="K2526" s="103" t="n"/>
      <c r="L2526" s="116">
        <f>IF($H2526="","",TRIM(IF(COUNTIF(DMTK!$A$7:$A$250,$F2526)=0,"TK Nợ sai! ","")&amp;IF(COUNTIF(DMTK!$A$7:$A$250,$G2526)=0,"TK Có sai! ","")&amp;IF(N($H2526)&lt;=0,"Tiền phải &gt; 0! ","")&amp;IF($B2526="","Thiếu ngày! ","")&amp;IF(AND(OR(LEFT($F2526,3)="131",LEFT($G2526,3)="131",LEFT($F2526,3)="331",LEFT($G2526,3)="331"),$I2526=""),"Thiếu Mã ĐT! ","")&amp;IF(AND($I2526&lt;&gt;"",COUNTIF(DM_DT!$A$7:$A$306,$I2526)=0),"Mã ĐT chưa khai báo! ","")))</f>
        <v/>
      </c>
      <c r="M2526" s="117">
        <f>IF($H2526="","",IF(AND(OR(LEFT($F2526,3)="111",LEFT($F2526,3)="112",LEFT($F2526,3)="113"),OR(LEFT($G2526,3)="111",LEFT($G2526,3)="112",LEFT($G2526,3)="113")),"NB",IF(OR(LEFT($F2526,3)="111",LEFT($F2526,3)="112",LEFT($F2526,3)="113"),"THU",IF(OR(LEFT($G2526,3)="111",LEFT($G2526,3)="112",LEFT($G2526,3)="113"),"CHI",""))))</f>
        <v/>
      </c>
      <c r="N2526" s="117">
        <f>IF($M2526="THU",$G2526,IF($M2526="CHI",$F2526,""))</f>
        <v/>
      </c>
      <c r="O2526" s="117">
        <f>IF(OR($M2526="",$M2526="NB"),"",IF($J2526&lt;&gt;"",TEXT($J2526,"00"),IFERROR(VLOOKUP(LEFT($N2526,4),LCTT_MAP!$A$7:$C$66,IF($M2526="THU",2,3),FALSE()),IFERROR(VLOOKUP(LEFT($N2526,3),LCTT_MAP!$A$7:$C$66,IF($M2526="THU",2,3),FALSE()),IFERROR(VLOOKUP(LEFT($N2526,2),LCTT_MAP!$A$7:$C$66,IF($M2526="THU",2,3),FALSE()),IFERROR(VLOOKUP(LEFT($N2526,1),LCTT_MAP!$A$7:$C$66,IF($M2526="THU",2,3),FALSE()),IF($M2526="THU","06","07")))))))</f>
        <v/>
      </c>
      <c r="P2526" s="117">
        <f>P2525+IF(AND($H2526&lt;&gt;"",OR(LEFT($F2526,LEN(SC_TK))=SC_TK,LEFT($G2526,LEN(SC_TK))=SC_TK)),1,0)</f>
        <v/>
      </c>
    </row>
    <row r="2527" ht="15" customHeight="1" s="78">
      <c r="A2527" s="95">
        <f>IF($H2527="","",ROW()-6)</f>
        <v/>
      </c>
      <c r="B2527" s="114" t="n"/>
      <c r="C2527" s="102" t="n"/>
      <c r="D2527" s="114" t="n"/>
      <c r="E2527" s="103" t="n"/>
      <c r="F2527" s="102" t="n"/>
      <c r="G2527" s="102" t="n"/>
      <c r="H2527" s="115" t="n"/>
      <c r="I2527" s="102" t="n"/>
      <c r="J2527" s="102" t="n"/>
      <c r="K2527" s="103" t="n"/>
      <c r="L2527" s="116">
        <f>IF($H2527="","",TRIM(IF(COUNTIF(DMTK!$A$7:$A$250,$F2527)=0,"TK Nợ sai! ","")&amp;IF(COUNTIF(DMTK!$A$7:$A$250,$G2527)=0,"TK Có sai! ","")&amp;IF(N($H2527)&lt;=0,"Tiền phải &gt; 0! ","")&amp;IF($B2527="","Thiếu ngày! ","")&amp;IF(AND(OR(LEFT($F2527,3)="131",LEFT($G2527,3)="131",LEFT($F2527,3)="331",LEFT($G2527,3)="331"),$I2527=""),"Thiếu Mã ĐT! ","")&amp;IF(AND($I2527&lt;&gt;"",COUNTIF(DM_DT!$A$7:$A$306,$I2527)=0),"Mã ĐT chưa khai báo! ","")))</f>
        <v/>
      </c>
      <c r="M2527" s="117">
        <f>IF($H2527="","",IF(AND(OR(LEFT($F2527,3)="111",LEFT($F2527,3)="112",LEFT($F2527,3)="113"),OR(LEFT($G2527,3)="111",LEFT($G2527,3)="112",LEFT($G2527,3)="113")),"NB",IF(OR(LEFT($F2527,3)="111",LEFT($F2527,3)="112",LEFT($F2527,3)="113"),"THU",IF(OR(LEFT($G2527,3)="111",LEFT($G2527,3)="112",LEFT($G2527,3)="113"),"CHI",""))))</f>
        <v/>
      </c>
      <c r="N2527" s="117">
        <f>IF($M2527="THU",$G2527,IF($M2527="CHI",$F2527,""))</f>
        <v/>
      </c>
      <c r="O2527" s="117">
        <f>IF(OR($M2527="",$M2527="NB"),"",IF($J2527&lt;&gt;"",TEXT($J2527,"00"),IFERROR(VLOOKUP(LEFT($N2527,4),LCTT_MAP!$A$7:$C$66,IF($M2527="THU",2,3),FALSE()),IFERROR(VLOOKUP(LEFT($N2527,3),LCTT_MAP!$A$7:$C$66,IF($M2527="THU",2,3),FALSE()),IFERROR(VLOOKUP(LEFT($N2527,2),LCTT_MAP!$A$7:$C$66,IF($M2527="THU",2,3),FALSE()),IFERROR(VLOOKUP(LEFT($N2527,1),LCTT_MAP!$A$7:$C$66,IF($M2527="THU",2,3),FALSE()),IF($M2527="THU","06","07")))))))</f>
        <v/>
      </c>
      <c r="P2527" s="117">
        <f>P2526+IF(AND($H2527&lt;&gt;"",OR(LEFT($F2527,LEN(SC_TK))=SC_TK,LEFT($G2527,LEN(SC_TK))=SC_TK)),1,0)</f>
        <v/>
      </c>
    </row>
    <row r="2528" ht="15" customHeight="1" s="78">
      <c r="A2528" s="95">
        <f>IF($H2528="","",ROW()-6)</f>
        <v/>
      </c>
      <c r="B2528" s="114" t="n"/>
      <c r="C2528" s="102" t="n"/>
      <c r="D2528" s="114" t="n"/>
      <c r="E2528" s="103" t="n"/>
      <c r="F2528" s="102" t="n"/>
      <c r="G2528" s="102" t="n"/>
      <c r="H2528" s="115" t="n"/>
      <c r="I2528" s="102" t="n"/>
      <c r="J2528" s="102" t="n"/>
      <c r="K2528" s="103" t="n"/>
      <c r="L2528" s="116">
        <f>IF($H2528="","",TRIM(IF(COUNTIF(DMTK!$A$7:$A$250,$F2528)=0,"TK Nợ sai! ","")&amp;IF(COUNTIF(DMTK!$A$7:$A$250,$G2528)=0,"TK Có sai! ","")&amp;IF(N($H2528)&lt;=0,"Tiền phải &gt; 0! ","")&amp;IF($B2528="","Thiếu ngày! ","")&amp;IF(AND(OR(LEFT($F2528,3)="131",LEFT($G2528,3)="131",LEFT($F2528,3)="331",LEFT($G2528,3)="331"),$I2528=""),"Thiếu Mã ĐT! ","")&amp;IF(AND($I2528&lt;&gt;"",COUNTIF(DM_DT!$A$7:$A$306,$I2528)=0),"Mã ĐT chưa khai báo! ","")))</f>
        <v/>
      </c>
      <c r="M2528" s="117">
        <f>IF($H2528="","",IF(AND(OR(LEFT($F2528,3)="111",LEFT($F2528,3)="112",LEFT($F2528,3)="113"),OR(LEFT($G2528,3)="111",LEFT($G2528,3)="112",LEFT($G2528,3)="113")),"NB",IF(OR(LEFT($F2528,3)="111",LEFT($F2528,3)="112",LEFT($F2528,3)="113"),"THU",IF(OR(LEFT($G2528,3)="111",LEFT($G2528,3)="112",LEFT($G2528,3)="113"),"CHI",""))))</f>
        <v/>
      </c>
      <c r="N2528" s="117">
        <f>IF($M2528="THU",$G2528,IF($M2528="CHI",$F2528,""))</f>
        <v/>
      </c>
      <c r="O2528" s="117">
        <f>IF(OR($M2528="",$M2528="NB"),"",IF($J2528&lt;&gt;"",TEXT($J2528,"00"),IFERROR(VLOOKUP(LEFT($N2528,4),LCTT_MAP!$A$7:$C$66,IF($M2528="THU",2,3),FALSE()),IFERROR(VLOOKUP(LEFT($N2528,3),LCTT_MAP!$A$7:$C$66,IF($M2528="THU",2,3),FALSE()),IFERROR(VLOOKUP(LEFT($N2528,2),LCTT_MAP!$A$7:$C$66,IF($M2528="THU",2,3),FALSE()),IFERROR(VLOOKUP(LEFT($N2528,1),LCTT_MAP!$A$7:$C$66,IF($M2528="THU",2,3),FALSE()),IF($M2528="THU","06","07")))))))</f>
        <v/>
      </c>
      <c r="P2528" s="117">
        <f>P2527+IF(AND($H2528&lt;&gt;"",OR(LEFT($F2528,LEN(SC_TK))=SC_TK,LEFT($G2528,LEN(SC_TK))=SC_TK)),1,0)</f>
        <v/>
      </c>
    </row>
    <row r="2529" ht="15" customHeight="1" s="78">
      <c r="A2529" s="95">
        <f>IF($H2529="","",ROW()-6)</f>
        <v/>
      </c>
      <c r="B2529" s="114" t="n"/>
      <c r="C2529" s="102" t="n"/>
      <c r="D2529" s="114" t="n"/>
      <c r="E2529" s="103" t="n"/>
      <c r="F2529" s="102" t="n"/>
      <c r="G2529" s="102" t="n"/>
      <c r="H2529" s="115" t="n"/>
      <c r="I2529" s="102" t="n"/>
      <c r="J2529" s="102" t="n"/>
      <c r="K2529" s="103" t="n"/>
      <c r="L2529" s="116">
        <f>IF($H2529="","",TRIM(IF(COUNTIF(DMTK!$A$7:$A$250,$F2529)=0,"TK Nợ sai! ","")&amp;IF(COUNTIF(DMTK!$A$7:$A$250,$G2529)=0,"TK Có sai! ","")&amp;IF(N($H2529)&lt;=0,"Tiền phải &gt; 0! ","")&amp;IF($B2529="","Thiếu ngày! ","")&amp;IF(AND(OR(LEFT($F2529,3)="131",LEFT($G2529,3)="131",LEFT($F2529,3)="331",LEFT($G2529,3)="331"),$I2529=""),"Thiếu Mã ĐT! ","")&amp;IF(AND($I2529&lt;&gt;"",COUNTIF(DM_DT!$A$7:$A$306,$I2529)=0),"Mã ĐT chưa khai báo! ","")))</f>
        <v/>
      </c>
      <c r="M2529" s="117">
        <f>IF($H2529="","",IF(AND(OR(LEFT($F2529,3)="111",LEFT($F2529,3)="112",LEFT($F2529,3)="113"),OR(LEFT($G2529,3)="111",LEFT($G2529,3)="112",LEFT($G2529,3)="113")),"NB",IF(OR(LEFT($F2529,3)="111",LEFT($F2529,3)="112",LEFT($F2529,3)="113"),"THU",IF(OR(LEFT($G2529,3)="111",LEFT($G2529,3)="112",LEFT($G2529,3)="113"),"CHI",""))))</f>
        <v/>
      </c>
      <c r="N2529" s="117">
        <f>IF($M2529="THU",$G2529,IF($M2529="CHI",$F2529,""))</f>
        <v/>
      </c>
      <c r="O2529" s="117">
        <f>IF(OR($M2529="",$M2529="NB"),"",IF($J2529&lt;&gt;"",TEXT($J2529,"00"),IFERROR(VLOOKUP(LEFT($N2529,4),LCTT_MAP!$A$7:$C$66,IF($M2529="THU",2,3),FALSE()),IFERROR(VLOOKUP(LEFT($N2529,3),LCTT_MAP!$A$7:$C$66,IF($M2529="THU",2,3),FALSE()),IFERROR(VLOOKUP(LEFT($N2529,2),LCTT_MAP!$A$7:$C$66,IF($M2529="THU",2,3),FALSE()),IFERROR(VLOOKUP(LEFT($N2529,1),LCTT_MAP!$A$7:$C$66,IF($M2529="THU",2,3),FALSE()),IF($M2529="THU","06","07")))))))</f>
        <v/>
      </c>
      <c r="P2529" s="117">
        <f>P2528+IF(AND($H2529&lt;&gt;"",OR(LEFT($F2529,LEN(SC_TK))=SC_TK,LEFT($G2529,LEN(SC_TK))=SC_TK)),1,0)</f>
        <v/>
      </c>
    </row>
    <row r="2530" ht="15" customHeight="1" s="78">
      <c r="A2530" s="95">
        <f>IF($H2530="","",ROW()-6)</f>
        <v/>
      </c>
      <c r="B2530" s="114" t="n"/>
      <c r="C2530" s="102" t="n"/>
      <c r="D2530" s="114" t="n"/>
      <c r="E2530" s="103" t="n"/>
      <c r="F2530" s="102" t="n"/>
      <c r="G2530" s="102" t="n"/>
      <c r="H2530" s="115" t="n"/>
      <c r="I2530" s="102" t="n"/>
      <c r="J2530" s="102" t="n"/>
      <c r="K2530" s="103" t="n"/>
      <c r="L2530" s="116">
        <f>IF($H2530="","",TRIM(IF(COUNTIF(DMTK!$A$7:$A$250,$F2530)=0,"TK Nợ sai! ","")&amp;IF(COUNTIF(DMTK!$A$7:$A$250,$G2530)=0,"TK Có sai! ","")&amp;IF(N($H2530)&lt;=0,"Tiền phải &gt; 0! ","")&amp;IF($B2530="","Thiếu ngày! ","")&amp;IF(AND(OR(LEFT($F2530,3)="131",LEFT($G2530,3)="131",LEFT($F2530,3)="331",LEFT($G2530,3)="331"),$I2530=""),"Thiếu Mã ĐT! ","")&amp;IF(AND($I2530&lt;&gt;"",COUNTIF(DM_DT!$A$7:$A$306,$I2530)=0),"Mã ĐT chưa khai báo! ","")))</f>
        <v/>
      </c>
      <c r="M2530" s="117">
        <f>IF($H2530="","",IF(AND(OR(LEFT($F2530,3)="111",LEFT($F2530,3)="112",LEFT($F2530,3)="113"),OR(LEFT($G2530,3)="111",LEFT($G2530,3)="112",LEFT($G2530,3)="113")),"NB",IF(OR(LEFT($F2530,3)="111",LEFT($F2530,3)="112",LEFT($F2530,3)="113"),"THU",IF(OR(LEFT($G2530,3)="111",LEFT($G2530,3)="112",LEFT($G2530,3)="113"),"CHI",""))))</f>
        <v/>
      </c>
      <c r="N2530" s="117">
        <f>IF($M2530="THU",$G2530,IF($M2530="CHI",$F2530,""))</f>
        <v/>
      </c>
      <c r="O2530" s="117">
        <f>IF(OR($M2530="",$M2530="NB"),"",IF($J2530&lt;&gt;"",TEXT($J2530,"00"),IFERROR(VLOOKUP(LEFT($N2530,4),LCTT_MAP!$A$7:$C$66,IF($M2530="THU",2,3),FALSE()),IFERROR(VLOOKUP(LEFT($N2530,3),LCTT_MAP!$A$7:$C$66,IF($M2530="THU",2,3),FALSE()),IFERROR(VLOOKUP(LEFT($N2530,2),LCTT_MAP!$A$7:$C$66,IF($M2530="THU",2,3),FALSE()),IFERROR(VLOOKUP(LEFT($N2530,1),LCTT_MAP!$A$7:$C$66,IF($M2530="THU",2,3),FALSE()),IF($M2530="THU","06","07")))))))</f>
        <v/>
      </c>
      <c r="P2530" s="117">
        <f>P2529+IF(AND($H2530&lt;&gt;"",OR(LEFT($F2530,LEN(SC_TK))=SC_TK,LEFT($G2530,LEN(SC_TK))=SC_TK)),1,0)</f>
        <v/>
      </c>
    </row>
    <row r="2531" ht="15" customHeight="1" s="78">
      <c r="A2531" s="95">
        <f>IF($H2531="","",ROW()-6)</f>
        <v/>
      </c>
      <c r="B2531" s="114" t="n"/>
      <c r="C2531" s="102" t="n"/>
      <c r="D2531" s="114" t="n"/>
      <c r="E2531" s="103" t="n"/>
      <c r="F2531" s="102" t="n"/>
      <c r="G2531" s="102" t="n"/>
      <c r="H2531" s="115" t="n"/>
      <c r="I2531" s="102" t="n"/>
      <c r="J2531" s="102" t="n"/>
      <c r="K2531" s="103" t="n"/>
      <c r="L2531" s="116">
        <f>IF($H2531="","",TRIM(IF(COUNTIF(DMTK!$A$7:$A$250,$F2531)=0,"TK Nợ sai! ","")&amp;IF(COUNTIF(DMTK!$A$7:$A$250,$G2531)=0,"TK Có sai! ","")&amp;IF(N($H2531)&lt;=0,"Tiền phải &gt; 0! ","")&amp;IF($B2531="","Thiếu ngày! ","")&amp;IF(AND(OR(LEFT($F2531,3)="131",LEFT($G2531,3)="131",LEFT($F2531,3)="331",LEFT($G2531,3)="331"),$I2531=""),"Thiếu Mã ĐT! ","")&amp;IF(AND($I2531&lt;&gt;"",COUNTIF(DM_DT!$A$7:$A$306,$I2531)=0),"Mã ĐT chưa khai báo! ","")))</f>
        <v/>
      </c>
      <c r="M2531" s="117">
        <f>IF($H2531="","",IF(AND(OR(LEFT($F2531,3)="111",LEFT($F2531,3)="112",LEFT($F2531,3)="113"),OR(LEFT($G2531,3)="111",LEFT($G2531,3)="112",LEFT($G2531,3)="113")),"NB",IF(OR(LEFT($F2531,3)="111",LEFT($F2531,3)="112",LEFT($F2531,3)="113"),"THU",IF(OR(LEFT($G2531,3)="111",LEFT($G2531,3)="112",LEFT($G2531,3)="113"),"CHI",""))))</f>
        <v/>
      </c>
      <c r="N2531" s="117">
        <f>IF($M2531="THU",$G2531,IF($M2531="CHI",$F2531,""))</f>
        <v/>
      </c>
      <c r="O2531" s="117">
        <f>IF(OR($M2531="",$M2531="NB"),"",IF($J2531&lt;&gt;"",TEXT($J2531,"00"),IFERROR(VLOOKUP(LEFT($N2531,4),LCTT_MAP!$A$7:$C$66,IF($M2531="THU",2,3),FALSE()),IFERROR(VLOOKUP(LEFT($N2531,3),LCTT_MAP!$A$7:$C$66,IF($M2531="THU",2,3),FALSE()),IFERROR(VLOOKUP(LEFT($N2531,2),LCTT_MAP!$A$7:$C$66,IF($M2531="THU",2,3),FALSE()),IFERROR(VLOOKUP(LEFT($N2531,1),LCTT_MAP!$A$7:$C$66,IF($M2531="THU",2,3),FALSE()),IF($M2531="THU","06","07")))))))</f>
        <v/>
      </c>
      <c r="P2531" s="117">
        <f>P2530+IF(AND($H2531&lt;&gt;"",OR(LEFT($F2531,LEN(SC_TK))=SC_TK,LEFT($G2531,LEN(SC_TK))=SC_TK)),1,0)</f>
        <v/>
      </c>
    </row>
    <row r="2532" ht="15" customHeight="1" s="78">
      <c r="A2532" s="95">
        <f>IF($H2532="","",ROW()-6)</f>
        <v/>
      </c>
      <c r="B2532" s="114" t="n"/>
      <c r="C2532" s="102" t="n"/>
      <c r="D2532" s="114" t="n"/>
      <c r="E2532" s="103" t="n"/>
      <c r="F2532" s="102" t="n"/>
      <c r="G2532" s="102" t="n"/>
      <c r="H2532" s="115" t="n"/>
      <c r="I2532" s="102" t="n"/>
      <c r="J2532" s="102" t="n"/>
      <c r="K2532" s="103" t="n"/>
      <c r="L2532" s="116">
        <f>IF($H2532="","",TRIM(IF(COUNTIF(DMTK!$A$7:$A$250,$F2532)=0,"TK Nợ sai! ","")&amp;IF(COUNTIF(DMTK!$A$7:$A$250,$G2532)=0,"TK Có sai! ","")&amp;IF(N($H2532)&lt;=0,"Tiền phải &gt; 0! ","")&amp;IF($B2532="","Thiếu ngày! ","")&amp;IF(AND(OR(LEFT($F2532,3)="131",LEFT($G2532,3)="131",LEFT($F2532,3)="331",LEFT($G2532,3)="331"),$I2532=""),"Thiếu Mã ĐT! ","")&amp;IF(AND($I2532&lt;&gt;"",COUNTIF(DM_DT!$A$7:$A$306,$I2532)=0),"Mã ĐT chưa khai báo! ","")))</f>
        <v/>
      </c>
      <c r="M2532" s="117">
        <f>IF($H2532="","",IF(AND(OR(LEFT($F2532,3)="111",LEFT($F2532,3)="112",LEFT($F2532,3)="113"),OR(LEFT($G2532,3)="111",LEFT($G2532,3)="112",LEFT($G2532,3)="113")),"NB",IF(OR(LEFT($F2532,3)="111",LEFT($F2532,3)="112",LEFT($F2532,3)="113"),"THU",IF(OR(LEFT($G2532,3)="111",LEFT($G2532,3)="112",LEFT($G2532,3)="113"),"CHI",""))))</f>
        <v/>
      </c>
      <c r="N2532" s="117">
        <f>IF($M2532="THU",$G2532,IF($M2532="CHI",$F2532,""))</f>
        <v/>
      </c>
      <c r="O2532" s="117">
        <f>IF(OR($M2532="",$M2532="NB"),"",IF($J2532&lt;&gt;"",TEXT($J2532,"00"),IFERROR(VLOOKUP(LEFT($N2532,4),LCTT_MAP!$A$7:$C$66,IF($M2532="THU",2,3),FALSE()),IFERROR(VLOOKUP(LEFT($N2532,3),LCTT_MAP!$A$7:$C$66,IF($M2532="THU",2,3),FALSE()),IFERROR(VLOOKUP(LEFT($N2532,2),LCTT_MAP!$A$7:$C$66,IF($M2532="THU",2,3),FALSE()),IFERROR(VLOOKUP(LEFT($N2532,1),LCTT_MAP!$A$7:$C$66,IF($M2532="THU",2,3),FALSE()),IF($M2532="THU","06","07")))))))</f>
        <v/>
      </c>
      <c r="P2532" s="117">
        <f>P2531+IF(AND($H2532&lt;&gt;"",OR(LEFT($F2532,LEN(SC_TK))=SC_TK,LEFT($G2532,LEN(SC_TK))=SC_TK)),1,0)</f>
        <v/>
      </c>
    </row>
    <row r="2533" ht="15" customHeight="1" s="78">
      <c r="A2533" s="95">
        <f>IF($H2533="","",ROW()-6)</f>
        <v/>
      </c>
      <c r="B2533" s="114" t="n"/>
      <c r="C2533" s="102" t="n"/>
      <c r="D2533" s="114" t="n"/>
      <c r="E2533" s="103" t="n"/>
      <c r="F2533" s="102" t="n"/>
      <c r="G2533" s="102" t="n"/>
      <c r="H2533" s="115" t="n"/>
      <c r="I2533" s="102" t="n"/>
      <c r="J2533" s="102" t="n"/>
      <c r="K2533" s="103" t="n"/>
      <c r="L2533" s="116">
        <f>IF($H2533="","",TRIM(IF(COUNTIF(DMTK!$A$7:$A$250,$F2533)=0,"TK Nợ sai! ","")&amp;IF(COUNTIF(DMTK!$A$7:$A$250,$G2533)=0,"TK Có sai! ","")&amp;IF(N($H2533)&lt;=0,"Tiền phải &gt; 0! ","")&amp;IF($B2533="","Thiếu ngày! ","")&amp;IF(AND(OR(LEFT($F2533,3)="131",LEFT($G2533,3)="131",LEFT($F2533,3)="331",LEFT($G2533,3)="331"),$I2533=""),"Thiếu Mã ĐT! ","")&amp;IF(AND($I2533&lt;&gt;"",COUNTIF(DM_DT!$A$7:$A$306,$I2533)=0),"Mã ĐT chưa khai báo! ","")))</f>
        <v/>
      </c>
      <c r="M2533" s="117">
        <f>IF($H2533="","",IF(AND(OR(LEFT($F2533,3)="111",LEFT($F2533,3)="112",LEFT($F2533,3)="113"),OR(LEFT($G2533,3)="111",LEFT($G2533,3)="112",LEFT($G2533,3)="113")),"NB",IF(OR(LEFT($F2533,3)="111",LEFT($F2533,3)="112",LEFT($F2533,3)="113"),"THU",IF(OR(LEFT($G2533,3)="111",LEFT($G2533,3)="112",LEFT($G2533,3)="113"),"CHI",""))))</f>
        <v/>
      </c>
      <c r="N2533" s="117">
        <f>IF($M2533="THU",$G2533,IF($M2533="CHI",$F2533,""))</f>
        <v/>
      </c>
      <c r="O2533" s="117">
        <f>IF(OR($M2533="",$M2533="NB"),"",IF($J2533&lt;&gt;"",TEXT($J2533,"00"),IFERROR(VLOOKUP(LEFT($N2533,4),LCTT_MAP!$A$7:$C$66,IF($M2533="THU",2,3),FALSE()),IFERROR(VLOOKUP(LEFT($N2533,3),LCTT_MAP!$A$7:$C$66,IF($M2533="THU",2,3),FALSE()),IFERROR(VLOOKUP(LEFT($N2533,2),LCTT_MAP!$A$7:$C$66,IF($M2533="THU",2,3),FALSE()),IFERROR(VLOOKUP(LEFT($N2533,1),LCTT_MAP!$A$7:$C$66,IF($M2533="THU",2,3),FALSE()),IF($M2533="THU","06","07")))))))</f>
        <v/>
      </c>
      <c r="P2533" s="117">
        <f>P2532+IF(AND($H2533&lt;&gt;"",OR(LEFT($F2533,LEN(SC_TK))=SC_TK,LEFT($G2533,LEN(SC_TK))=SC_TK)),1,0)</f>
        <v/>
      </c>
    </row>
    <row r="2534" ht="15" customHeight="1" s="78">
      <c r="A2534" s="95">
        <f>IF($H2534="","",ROW()-6)</f>
        <v/>
      </c>
      <c r="B2534" s="114" t="n"/>
      <c r="C2534" s="102" t="n"/>
      <c r="D2534" s="114" t="n"/>
      <c r="E2534" s="103" t="n"/>
      <c r="F2534" s="102" t="n"/>
      <c r="G2534" s="102" t="n"/>
      <c r="H2534" s="115" t="n"/>
      <c r="I2534" s="102" t="n"/>
      <c r="J2534" s="102" t="n"/>
      <c r="K2534" s="103" t="n"/>
      <c r="L2534" s="116">
        <f>IF($H2534="","",TRIM(IF(COUNTIF(DMTK!$A$7:$A$250,$F2534)=0,"TK Nợ sai! ","")&amp;IF(COUNTIF(DMTK!$A$7:$A$250,$G2534)=0,"TK Có sai! ","")&amp;IF(N($H2534)&lt;=0,"Tiền phải &gt; 0! ","")&amp;IF($B2534="","Thiếu ngày! ","")&amp;IF(AND(OR(LEFT($F2534,3)="131",LEFT($G2534,3)="131",LEFT($F2534,3)="331",LEFT($G2534,3)="331"),$I2534=""),"Thiếu Mã ĐT! ","")&amp;IF(AND($I2534&lt;&gt;"",COUNTIF(DM_DT!$A$7:$A$306,$I2534)=0),"Mã ĐT chưa khai báo! ","")))</f>
        <v/>
      </c>
      <c r="M2534" s="117">
        <f>IF($H2534="","",IF(AND(OR(LEFT($F2534,3)="111",LEFT($F2534,3)="112",LEFT($F2534,3)="113"),OR(LEFT($G2534,3)="111",LEFT($G2534,3)="112",LEFT($G2534,3)="113")),"NB",IF(OR(LEFT($F2534,3)="111",LEFT($F2534,3)="112",LEFT($F2534,3)="113"),"THU",IF(OR(LEFT($G2534,3)="111",LEFT($G2534,3)="112",LEFT($G2534,3)="113"),"CHI",""))))</f>
        <v/>
      </c>
      <c r="N2534" s="117">
        <f>IF($M2534="THU",$G2534,IF($M2534="CHI",$F2534,""))</f>
        <v/>
      </c>
      <c r="O2534" s="117">
        <f>IF(OR($M2534="",$M2534="NB"),"",IF($J2534&lt;&gt;"",TEXT($J2534,"00"),IFERROR(VLOOKUP(LEFT($N2534,4),LCTT_MAP!$A$7:$C$66,IF($M2534="THU",2,3),FALSE()),IFERROR(VLOOKUP(LEFT($N2534,3),LCTT_MAP!$A$7:$C$66,IF($M2534="THU",2,3),FALSE()),IFERROR(VLOOKUP(LEFT($N2534,2),LCTT_MAP!$A$7:$C$66,IF($M2534="THU",2,3),FALSE()),IFERROR(VLOOKUP(LEFT($N2534,1),LCTT_MAP!$A$7:$C$66,IF($M2534="THU",2,3),FALSE()),IF($M2534="THU","06","07")))))))</f>
        <v/>
      </c>
      <c r="P2534" s="117">
        <f>P2533+IF(AND($H2534&lt;&gt;"",OR(LEFT($F2534,LEN(SC_TK))=SC_TK,LEFT($G2534,LEN(SC_TK))=SC_TK)),1,0)</f>
        <v/>
      </c>
    </row>
    <row r="2535" ht="15" customHeight="1" s="78">
      <c r="A2535" s="95">
        <f>IF($H2535="","",ROW()-6)</f>
        <v/>
      </c>
      <c r="B2535" s="114" t="n"/>
      <c r="C2535" s="102" t="n"/>
      <c r="D2535" s="114" t="n"/>
      <c r="E2535" s="103" t="n"/>
      <c r="F2535" s="102" t="n"/>
      <c r="G2535" s="102" t="n"/>
      <c r="H2535" s="115" t="n"/>
      <c r="I2535" s="102" t="n"/>
      <c r="J2535" s="102" t="n"/>
      <c r="K2535" s="103" t="n"/>
      <c r="L2535" s="116">
        <f>IF($H2535="","",TRIM(IF(COUNTIF(DMTK!$A$7:$A$250,$F2535)=0,"TK Nợ sai! ","")&amp;IF(COUNTIF(DMTK!$A$7:$A$250,$G2535)=0,"TK Có sai! ","")&amp;IF(N($H2535)&lt;=0,"Tiền phải &gt; 0! ","")&amp;IF($B2535="","Thiếu ngày! ","")&amp;IF(AND(OR(LEFT($F2535,3)="131",LEFT($G2535,3)="131",LEFT($F2535,3)="331",LEFT($G2535,3)="331"),$I2535=""),"Thiếu Mã ĐT! ","")&amp;IF(AND($I2535&lt;&gt;"",COUNTIF(DM_DT!$A$7:$A$306,$I2535)=0),"Mã ĐT chưa khai báo! ","")))</f>
        <v/>
      </c>
      <c r="M2535" s="117">
        <f>IF($H2535="","",IF(AND(OR(LEFT($F2535,3)="111",LEFT($F2535,3)="112",LEFT($F2535,3)="113"),OR(LEFT($G2535,3)="111",LEFT($G2535,3)="112",LEFT($G2535,3)="113")),"NB",IF(OR(LEFT($F2535,3)="111",LEFT($F2535,3)="112",LEFT($F2535,3)="113"),"THU",IF(OR(LEFT($G2535,3)="111",LEFT($G2535,3)="112",LEFT($G2535,3)="113"),"CHI",""))))</f>
        <v/>
      </c>
      <c r="N2535" s="117">
        <f>IF($M2535="THU",$G2535,IF($M2535="CHI",$F2535,""))</f>
        <v/>
      </c>
      <c r="O2535" s="117">
        <f>IF(OR($M2535="",$M2535="NB"),"",IF($J2535&lt;&gt;"",TEXT($J2535,"00"),IFERROR(VLOOKUP(LEFT($N2535,4),LCTT_MAP!$A$7:$C$66,IF($M2535="THU",2,3),FALSE()),IFERROR(VLOOKUP(LEFT($N2535,3),LCTT_MAP!$A$7:$C$66,IF($M2535="THU",2,3),FALSE()),IFERROR(VLOOKUP(LEFT($N2535,2),LCTT_MAP!$A$7:$C$66,IF($M2535="THU",2,3),FALSE()),IFERROR(VLOOKUP(LEFT($N2535,1),LCTT_MAP!$A$7:$C$66,IF($M2535="THU",2,3),FALSE()),IF($M2535="THU","06","07")))))))</f>
        <v/>
      </c>
      <c r="P2535" s="117">
        <f>P2534+IF(AND($H2535&lt;&gt;"",OR(LEFT($F2535,LEN(SC_TK))=SC_TK,LEFT($G2535,LEN(SC_TK))=SC_TK)),1,0)</f>
        <v/>
      </c>
    </row>
    <row r="2536" ht="15" customHeight="1" s="78">
      <c r="A2536" s="95">
        <f>IF($H2536="","",ROW()-6)</f>
        <v/>
      </c>
      <c r="B2536" s="114" t="n"/>
      <c r="C2536" s="102" t="n"/>
      <c r="D2536" s="114" t="n"/>
      <c r="E2536" s="103" t="n"/>
      <c r="F2536" s="102" t="n"/>
      <c r="G2536" s="102" t="n"/>
      <c r="H2536" s="115" t="n"/>
      <c r="I2536" s="102" t="n"/>
      <c r="J2536" s="102" t="n"/>
      <c r="K2536" s="103" t="n"/>
      <c r="L2536" s="116">
        <f>IF($H2536="","",TRIM(IF(COUNTIF(DMTK!$A$7:$A$250,$F2536)=0,"TK Nợ sai! ","")&amp;IF(COUNTIF(DMTK!$A$7:$A$250,$G2536)=0,"TK Có sai! ","")&amp;IF(N($H2536)&lt;=0,"Tiền phải &gt; 0! ","")&amp;IF($B2536="","Thiếu ngày! ","")&amp;IF(AND(OR(LEFT($F2536,3)="131",LEFT($G2536,3)="131",LEFT($F2536,3)="331",LEFT($G2536,3)="331"),$I2536=""),"Thiếu Mã ĐT! ","")&amp;IF(AND($I2536&lt;&gt;"",COUNTIF(DM_DT!$A$7:$A$306,$I2536)=0),"Mã ĐT chưa khai báo! ","")))</f>
        <v/>
      </c>
      <c r="M2536" s="117">
        <f>IF($H2536="","",IF(AND(OR(LEFT($F2536,3)="111",LEFT($F2536,3)="112",LEFT($F2536,3)="113"),OR(LEFT($G2536,3)="111",LEFT($G2536,3)="112",LEFT($G2536,3)="113")),"NB",IF(OR(LEFT($F2536,3)="111",LEFT($F2536,3)="112",LEFT($F2536,3)="113"),"THU",IF(OR(LEFT($G2536,3)="111",LEFT($G2536,3)="112",LEFT($G2536,3)="113"),"CHI",""))))</f>
        <v/>
      </c>
      <c r="N2536" s="117">
        <f>IF($M2536="THU",$G2536,IF($M2536="CHI",$F2536,""))</f>
        <v/>
      </c>
      <c r="O2536" s="117">
        <f>IF(OR($M2536="",$M2536="NB"),"",IF($J2536&lt;&gt;"",TEXT($J2536,"00"),IFERROR(VLOOKUP(LEFT($N2536,4),LCTT_MAP!$A$7:$C$66,IF($M2536="THU",2,3),FALSE()),IFERROR(VLOOKUP(LEFT($N2536,3),LCTT_MAP!$A$7:$C$66,IF($M2536="THU",2,3),FALSE()),IFERROR(VLOOKUP(LEFT($N2536,2),LCTT_MAP!$A$7:$C$66,IF($M2536="THU",2,3),FALSE()),IFERROR(VLOOKUP(LEFT($N2536,1),LCTT_MAP!$A$7:$C$66,IF($M2536="THU",2,3),FALSE()),IF($M2536="THU","06","07")))))))</f>
        <v/>
      </c>
      <c r="P2536" s="117">
        <f>P2535+IF(AND($H2536&lt;&gt;"",OR(LEFT($F2536,LEN(SC_TK))=SC_TK,LEFT($G2536,LEN(SC_TK))=SC_TK)),1,0)</f>
        <v/>
      </c>
    </row>
    <row r="2537" ht="15" customHeight="1" s="78">
      <c r="A2537" s="95">
        <f>IF($H2537="","",ROW()-6)</f>
        <v/>
      </c>
      <c r="B2537" s="114" t="n"/>
      <c r="C2537" s="102" t="n"/>
      <c r="D2537" s="114" t="n"/>
      <c r="E2537" s="103" t="n"/>
      <c r="F2537" s="102" t="n"/>
      <c r="G2537" s="102" t="n"/>
      <c r="H2537" s="115" t="n"/>
      <c r="I2537" s="102" t="n"/>
      <c r="J2537" s="102" t="n"/>
      <c r="K2537" s="103" t="n"/>
      <c r="L2537" s="116">
        <f>IF($H2537="","",TRIM(IF(COUNTIF(DMTK!$A$7:$A$250,$F2537)=0,"TK Nợ sai! ","")&amp;IF(COUNTIF(DMTK!$A$7:$A$250,$G2537)=0,"TK Có sai! ","")&amp;IF(N($H2537)&lt;=0,"Tiền phải &gt; 0! ","")&amp;IF($B2537="","Thiếu ngày! ","")&amp;IF(AND(OR(LEFT($F2537,3)="131",LEFT($G2537,3)="131",LEFT($F2537,3)="331",LEFT($G2537,3)="331"),$I2537=""),"Thiếu Mã ĐT! ","")&amp;IF(AND($I2537&lt;&gt;"",COUNTIF(DM_DT!$A$7:$A$306,$I2537)=0),"Mã ĐT chưa khai báo! ","")))</f>
        <v/>
      </c>
      <c r="M2537" s="117">
        <f>IF($H2537="","",IF(AND(OR(LEFT($F2537,3)="111",LEFT($F2537,3)="112",LEFT($F2537,3)="113"),OR(LEFT($G2537,3)="111",LEFT($G2537,3)="112",LEFT($G2537,3)="113")),"NB",IF(OR(LEFT($F2537,3)="111",LEFT($F2537,3)="112",LEFT($F2537,3)="113"),"THU",IF(OR(LEFT($G2537,3)="111",LEFT($G2537,3)="112",LEFT($G2537,3)="113"),"CHI",""))))</f>
        <v/>
      </c>
      <c r="N2537" s="117">
        <f>IF($M2537="THU",$G2537,IF($M2537="CHI",$F2537,""))</f>
        <v/>
      </c>
      <c r="O2537" s="117">
        <f>IF(OR($M2537="",$M2537="NB"),"",IF($J2537&lt;&gt;"",TEXT($J2537,"00"),IFERROR(VLOOKUP(LEFT($N2537,4),LCTT_MAP!$A$7:$C$66,IF($M2537="THU",2,3),FALSE()),IFERROR(VLOOKUP(LEFT($N2537,3),LCTT_MAP!$A$7:$C$66,IF($M2537="THU",2,3),FALSE()),IFERROR(VLOOKUP(LEFT($N2537,2),LCTT_MAP!$A$7:$C$66,IF($M2537="THU",2,3),FALSE()),IFERROR(VLOOKUP(LEFT($N2537,1),LCTT_MAP!$A$7:$C$66,IF($M2537="THU",2,3),FALSE()),IF($M2537="THU","06","07")))))))</f>
        <v/>
      </c>
      <c r="P2537" s="117">
        <f>P2536+IF(AND($H2537&lt;&gt;"",OR(LEFT($F2537,LEN(SC_TK))=SC_TK,LEFT($G2537,LEN(SC_TK))=SC_TK)),1,0)</f>
        <v/>
      </c>
    </row>
    <row r="2538" ht="15" customHeight="1" s="78">
      <c r="A2538" s="95">
        <f>IF($H2538="","",ROW()-6)</f>
        <v/>
      </c>
      <c r="B2538" s="114" t="n"/>
      <c r="C2538" s="102" t="n"/>
      <c r="D2538" s="114" t="n"/>
      <c r="E2538" s="103" t="n"/>
      <c r="F2538" s="102" t="n"/>
      <c r="G2538" s="102" t="n"/>
      <c r="H2538" s="115" t="n"/>
      <c r="I2538" s="102" t="n"/>
      <c r="J2538" s="102" t="n"/>
      <c r="K2538" s="103" t="n"/>
      <c r="L2538" s="116">
        <f>IF($H2538="","",TRIM(IF(COUNTIF(DMTK!$A$7:$A$250,$F2538)=0,"TK Nợ sai! ","")&amp;IF(COUNTIF(DMTK!$A$7:$A$250,$G2538)=0,"TK Có sai! ","")&amp;IF(N($H2538)&lt;=0,"Tiền phải &gt; 0! ","")&amp;IF($B2538="","Thiếu ngày! ","")&amp;IF(AND(OR(LEFT($F2538,3)="131",LEFT($G2538,3)="131",LEFT($F2538,3)="331",LEFT($G2538,3)="331"),$I2538=""),"Thiếu Mã ĐT! ","")&amp;IF(AND($I2538&lt;&gt;"",COUNTIF(DM_DT!$A$7:$A$306,$I2538)=0),"Mã ĐT chưa khai báo! ","")))</f>
        <v/>
      </c>
      <c r="M2538" s="117">
        <f>IF($H2538="","",IF(AND(OR(LEFT($F2538,3)="111",LEFT($F2538,3)="112",LEFT($F2538,3)="113"),OR(LEFT($G2538,3)="111",LEFT($G2538,3)="112",LEFT($G2538,3)="113")),"NB",IF(OR(LEFT($F2538,3)="111",LEFT($F2538,3)="112",LEFT($F2538,3)="113"),"THU",IF(OR(LEFT($G2538,3)="111",LEFT($G2538,3)="112",LEFT($G2538,3)="113"),"CHI",""))))</f>
        <v/>
      </c>
      <c r="N2538" s="117">
        <f>IF($M2538="THU",$G2538,IF($M2538="CHI",$F2538,""))</f>
        <v/>
      </c>
      <c r="O2538" s="117">
        <f>IF(OR($M2538="",$M2538="NB"),"",IF($J2538&lt;&gt;"",TEXT($J2538,"00"),IFERROR(VLOOKUP(LEFT($N2538,4),LCTT_MAP!$A$7:$C$66,IF($M2538="THU",2,3),FALSE()),IFERROR(VLOOKUP(LEFT($N2538,3),LCTT_MAP!$A$7:$C$66,IF($M2538="THU",2,3),FALSE()),IFERROR(VLOOKUP(LEFT($N2538,2),LCTT_MAP!$A$7:$C$66,IF($M2538="THU",2,3),FALSE()),IFERROR(VLOOKUP(LEFT($N2538,1),LCTT_MAP!$A$7:$C$66,IF($M2538="THU",2,3),FALSE()),IF($M2538="THU","06","07")))))))</f>
        <v/>
      </c>
      <c r="P2538" s="117">
        <f>P2537+IF(AND($H2538&lt;&gt;"",OR(LEFT($F2538,LEN(SC_TK))=SC_TK,LEFT($G2538,LEN(SC_TK))=SC_TK)),1,0)</f>
        <v/>
      </c>
    </row>
    <row r="2539" ht="15" customHeight="1" s="78">
      <c r="A2539" s="95">
        <f>IF($H2539="","",ROW()-6)</f>
        <v/>
      </c>
      <c r="B2539" s="114" t="n"/>
      <c r="C2539" s="102" t="n"/>
      <c r="D2539" s="114" t="n"/>
      <c r="E2539" s="103" t="n"/>
      <c r="F2539" s="102" t="n"/>
      <c r="G2539" s="102" t="n"/>
      <c r="H2539" s="115" t="n"/>
      <c r="I2539" s="102" t="n"/>
      <c r="J2539" s="102" t="n"/>
      <c r="K2539" s="103" t="n"/>
      <c r="L2539" s="116">
        <f>IF($H2539="","",TRIM(IF(COUNTIF(DMTK!$A$7:$A$250,$F2539)=0,"TK Nợ sai! ","")&amp;IF(COUNTIF(DMTK!$A$7:$A$250,$G2539)=0,"TK Có sai! ","")&amp;IF(N($H2539)&lt;=0,"Tiền phải &gt; 0! ","")&amp;IF($B2539="","Thiếu ngày! ","")&amp;IF(AND(OR(LEFT($F2539,3)="131",LEFT($G2539,3)="131",LEFT($F2539,3)="331",LEFT($G2539,3)="331"),$I2539=""),"Thiếu Mã ĐT! ","")&amp;IF(AND($I2539&lt;&gt;"",COUNTIF(DM_DT!$A$7:$A$306,$I2539)=0),"Mã ĐT chưa khai báo! ","")))</f>
        <v/>
      </c>
      <c r="M2539" s="117">
        <f>IF($H2539="","",IF(AND(OR(LEFT($F2539,3)="111",LEFT($F2539,3)="112",LEFT($F2539,3)="113"),OR(LEFT($G2539,3)="111",LEFT($G2539,3)="112",LEFT($G2539,3)="113")),"NB",IF(OR(LEFT($F2539,3)="111",LEFT($F2539,3)="112",LEFT($F2539,3)="113"),"THU",IF(OR(LEFT($G2539,3)="111",LEFT($G2539,3)="112",LEFT($G2539,3)="113"),"CHI",""))))</f>
        <v/>
      </c>
      <c r="N2539" s="117">
        <f>IF($M2539="THU",$G2539,IF($M2539="CHI",$F2539,""))</f>
        <v/>
      </c>
      <c r="O2539" s="117">
        <f>IF(OR($M2539="",$M2539="NB"),"",IF($J2539&lt;&gt;"",TEXT($J2539,"00"),IFERROR(VLOOKUP(LEFT($N2539,4),LCTT_MAP!$A$7:$C$66,IF($M2539="THU",2,3),FALSE()),IFERROR(VLOOKUP(LEFT($N2539,3),LCTT_MAP!$A$7:$C$66,IF($M2539="THU",2,3),FALSE()),IFERROR(VLOOKUP(LEFT($N2539,2),LCTT_MAP!$A$7:$C$66,IF($M2539="THU",2,3),FALSE()),IFERROR(VLOOKUP(LEFT($N2539,1),LCTT_MAP!$A$7:$C$66,IF($M2539="THU",2,3),FALSE()),IF($M2539="THU","06","07")))))))</f>
        <v/>
      </c>
      <c r="P2539" s="117">
        <f>P2538+IF(AND($H2539&lt;&gt;"",OR(LEFT($F2539,LEN(SC_TK))=SC_TK,LEFT($G2539,LEN(SC_TK))=SC_TK)),1,0)</f>
        <v/>
      </c>
    </row>
    <row r="2540" ht="15" customHeight="1" s="78">
      <c r="A2540" s="95">
        <f>IF($H2540="","",ROW()-6)</f>
        <v/>
      </c>
      <c r="B2540" s="114" t="n"/>
      <c r="C2540" s="102" t="n"/>
      <c r="D2540" s="114" t="n"/>
      <c r="E2540" s="103" t="n"/>
      <c r="F2540" s="102" t="n"/>
      <c r="G2540" s="102" t="n"/>
      <c r="H2540" s="115" t="n"/>
      <c r="I2540" s="102" t="n"/>
      <c r="J2540" s="102" t="n"/>
      <c r="K2540" s="103" t="n"/>
      <c r="L2540" s="116">
        <f>IF($H2540="","",TRIM(IF(COUNTIF(DMTK!$A$7:$A$250,$F2540)=0,"TK Nợ sai! ","")&amp;IF(COUNTIF(DMTK!$A$7:$A$250,$G2540)=0,"TK Có sai! ","")&amp;IF(N($H2540)&lt;=0,"Tiền phải &gt; 0! ","")&amp;IF($B2540="","Thiếu ngày! ","")&amp;IF(AND(OR(LEFT($F2540,3)="131",LEFT($G2540,3)="131",LEFT($F2540,3)="331",LEFT($G2540,3)="331"),$I2540=""),"Thiếu Mã ĐT! ","")&amp;IF(AND($I2540&lt;&gt;"",COUNTIF(DM_DT!$A$7:$A$306,$I2540)=0),"Mã ĐT chưa khai báo! ","")))</f>
        <v/>
      </c>
      <c r="M2540" s="117">
        <f>IF($H2540="","",IF(AND(OR(LEFT($F2540,3)="111",LEFT($F2540,3)="112",LEFT($F2540,3)="113"),OR(LEFT($G2540,3)="111",LEFT($G2540,3)="112",LEFT($G2540,3)="113")),"NB",IF(OR(LEFT($F2540,3)="111",LEFT($F2540,3)="112",LEFT($F2540,3)="113"),"THU",IF(OR(LEFT($G2540,3)="111",LEFT($G2540,3)="112",LEFT($G2540,3)="113"),"CHI",""))))</f>
        <v/>
      </c>
      <c r="N2540" s="117">
        <f>IF($M2540="THU",$G2540,IF($M2540="CHI",$F2540,""))</f>
        <v/>
      </c>
      <c r="O2540" s="117">
        <f>IF(OR($M2540="",$M2540="NB"),"",IF($J2540&lt;&gt;"",TEXT($J2540,"00"),IFERROR(VLOOKUP(LEFT($N2540,4),LCTT_MAP!$A$7:$C$66,IF($M2540="THU",2,3),FALSE()),IFERROR(VLOOKUP(LEFT($N2540,3),LCTT_MAP!$A$7:$C$66,IF($M2540="THU",2,3),FALSE()),IFERROR(VLOOKUP(LEFT($N2540,2),LCTT_MAP!$A$7:$C$66,IF($M2540="THU",2,3),FALSE()),IFERROR(VLOOKUP(LEFT($N2540,1),LCTT_MAP!$A$7:$C$66,IF($M2540="THU",2,3),FALSE()),IF($M2540="THU","06","07")))))))</f>
        <v/>
      </c>
      <c r="P2540" s="117">
        <f>P2539+IF(AND($H2540&lt;&gt;"",OR(LEFT($F2540,LEN(SC_TK))=SC_TK,LEFT($G2540,LEN(SC_TK))=SC_TK)),1,0)</f>
        <v/>
      </c>
    </row>
    <row r="2541" ht="15" customHeight="1" s="78">
      <c r="A2541" s="95">
        <f>IF($H2541="","",ROW()-6)</f>
        <v/>
      </c>
      <c r="B2541" s="114" t="n"/>
      <c r="C2541" s="102" t="n"/>
      <c r="D2541" s="114" t="n"/>
      <c r="E2541" s="103" t="n"/>
      <c r="F2541" s="102" t="n"/>
      <c r="G2541" s="102" t="n"/>
      <c r="H2541" s="115" t="n"/>
      <c r="I2541" s="102" t="n"/>
      <c r="J2541" s="102" t="n"/>
      <c r="K2541" s="103" t="n"/>
      <c r="L2541" s="116">
        <f>IF($H2541="","",TRIM(IF(COUNTIF(DMTK!$A$7:$A$250,$F2541)=0,"TK Nợ sai! ","")&amp;IF(COUNTIF(DMTK!$A$7:$A$250,$G2541)=0,"TK Có sai! ","")&amp;IF(N($H2541)&lt;=0,"Tiền phải &gt; 0! ","")&amp;IF($B2541="","Thiếu ngày! ","")&amp;IF(AND(OR(LEFT($F2541,3)="131",LEFT($G2541,3)="131",LEFT($F2541,3)="331",LEFT($G2541,3)="331"),$I2541=""),"Thiếu Mã ĐT! ","")&amp;IF(AND($I2541&lt;&gt;"",COUNTIF(DM_DT!$A$7:$A$306,$I2541)=0),"Mã ĐT chưa khai báo! ","")))</f>
        <v/>
      </c>
      <c r="M2541" s="117">
        <f>IF($H2541="","",IF(AND(OR(LEFT($F2541,3)="111",LEFT($F2541,3)="112",LEFT($F2541,3)="113"),OR(LEFT($G2541,3)="111",LEFT($G2541,3)="112",LEFT($G2541,3)="113")),"NB",IF(OR(LEFT($F2541,3)="111",LEFT($F2541,3)="112",LEFT($F2541,3)="113"),"THU",IF(OR(LEFT($G2541,3)="111",LEFT($G2541,3)="112",LEFT($G2541,3)="113"),"CHI",""))))</f>
        <v/>
      </c>
      <c r="N2541" s="117">
        <f>IF($M2541="THU",$G2541,IF($M2541="CHI",$F2541,""))</f>
        <v/>
      </c>
      <c r="O2541" s="117">
        <f>IF(OR($M2541="",$M2541="NB"),"",IF($J2541&lt;&gt;"",TEXT($J2541,"00"),IFERROR(VLOOKUP(LEFT($N2541,4),LCTT_MAP!$A$7:$C$66,IF($M2541="THU",2,3),FALSE()),IFERROR(VLOOKUP(LEFT($N2541,3),LCTT_MAP!$A$7:$C$66,IF($M2541="THU",2,3),FALSE()),IFERROR(VLOOKUP(LEFT($N2541,2),LCTT_MAP!$A$7:$C$66,IF($M2541="THU",2,3),FALSE()),IFERROR(VLOOKUP(LEFT($N2541,1),LCTT_MAP!$A$7:$C$66,IF($M2541="THU",2,3),FALSE()),IF($M2541="THU","06","07")))))))</f>
        <v/>
      </c>
      <c r="P2541" s="117">
        <f>P2540+IF(AND($H2541&lt;&gt;"",OR(LEFT($F2541,LEN(SC_TK))=SC_TK,LEFT($G2541,LEN(SC_TK))=SC_TK)),1,0)</f>
        <v/>
      </c>
    </row>
    <row r="2542" ht="15" customHeight="1" s="78">
      <c r="A2542" s="95">
        <f>IF($H2542="","",ROW()-6)</f>
        <v/>
      </c>
      <c r="B2542" s="114" t="n"/>
      <c r="C2542" s="102" t="n"/>
      <c r="D2542" s="114" t="n"/>
      <c r="E2542" s="103" t="n"/>
      <c r="F2542" s="102" t="n"/>
      <c r="G2542" s="102" t="n"/>
      <c r="H2542" s="115" t="n"/>
      <c r="I2542" s="102" t="n"/>
      <c r="J2542" s="102" t="n"/>
      <c r="K2542" s="103" t="n"/>
      <c r="L2542" s="116">
        <f>IF($H2542="","",TRIM(IF(COUNTIF(DMTK!$A$7:$A$250,$F2542)=0,"TK Nợ sai! ","")&amp;IF(COUNTIF(DMTK!$A$7:$A$250,$G2542)=0,"TK Có sai! ","")&amp;IF(N($H2542)&lt;=0,"Tiền phải &gt; 0! ","")&amp;IF($B2542="","Thiếu ngày! ","")&amp;IF(AND(OR(LEFT($F2542,3)="131",LEFT($G2542,3)="131",LEFT($F2542,3)="331",LEFT($G2542,3)="331"),$I2542=""),"Thiếu Mã ĐT! ","")&amp;IF(AND($I2542&lt;&gt;"",COUNTIF(DM_DT!$A$7:$A$306,$I2542)=0),"Mã ĐT chưa khai báo! ","")))</f>
        <v/>
      </c>
      <c r="M2542" s="117">
        <f>IF($H2542="","",IF(AND(OR(LEFT($F2542,3)="111",LEFT($F2542,3)="112",LEFT($F2542,3)="113"),OR(LEFT($G2542,3)="111",LEFT($G2542,3)="112",LEFT($G2542,3)="113")),"NB",IF(OR(LEFT($F2542,3)="111",LEFT($F2542,3)="112",LEFT($F2542,3)="113"),"THU",IF(OR(LEFT($G2542,3)="111",LEFT($G2542,3)="112",LEFT($G2542,3)="113"),"CHI",""))))</f>
        <v/>
      </c>
      <c r="N2542" s="117">
        <f>IF($M2542="THU",$G2542,IF($M2542="CHI",$F2542,""))</f>
        <v/>
      </c>
      <c r="O2542" s="117">
        <f>IF(OR($M2542="",$M2542="NB"),"",IF($J2542&lt;&gt;"",TEXT($J2542,"00"),IFERROR(VLOOKUP(LEFT($N2542,4),LCTT_MAP!$A$7:$C$66,IF($M2542="THU",2,3),FALSE()),IFERROR(VLOOKUP(LEFT($N2542,3),LCTT_MAP!$A$7:$C$66,IF($M2542="THU",2,3),FALSE()),IFERROR(VLOOKUP(LEFT($N2542,2),LCTT_MAP!$A$7:$C$66,IF($M2542="THU",2,3),FALSE()),IFERROR(VLOOKUP(LEFT($N2542,1),LCTT_MAP!$A$7:$C$66,IF($M2542="THU",2,3),FALSE()),IF($M2542="THU","06","07")))))))</f>
        <v/>
      </c>
      <c r="P2542" s="117">
        <f>P2541+IF(AND($H2542&lt;&gt;"",OR(LEFT($F2542,LEN(SC_TK))=SC_TK,LEFT($G2542,LEN(SC_TK))=SC_TK)),1,0)</f>
        <v/>
      </c>
    </row>
    <row r="2543" ht="15" customHeight="1" s="78">
      <c r="A2543" s="95">
        <f>IF($H2543="","",ROW()-6)</f>
        <v/>
      </c>
      <c r="B2543" s="114" t="n"/>
      <c r="C2543" s="102" t="n"/>
      <c r="D2543" s="114" t="n"/>
      <c r="E2543" s="103" t="n"/>
      <c r="F2543" s="102" t="n"/>
      <c r="G2543" s="102" t="n"/>
      <c r="H2543" s="115" t="n"/>
      <c r="I2543" s="102" t="n"/>
      <c r="J2543" s="102" t="n"/>
      <c r="K2543" s="103" t="n"/>
      <c r="L2543" s="116">
        <f>IF($H2543="","",TRIM(IF(COUNTIF(DMTK!$A$7:$A$250,$F2543)=0,"TK Nợ sai! ","")&amp;IF(COUNTIF(DMTK!$A$7:$A$250,$G2543)=0,"TK Có sai! ","")&amp;IF(N($H2543)&lt;=0,"Tiền phải &gt; 0! ","")&amp;IF($B2543="","Thiếu ngày! ","")&amp;IF(AND(OR(LEFT($F2543,3)="131",LEFT($G2543,3)="131",LEFT($F2543,3)="331",LEFT($G2543,3)="331"),$I2543=""),"Thiếu Mã ĐT! ","")&amp;IF(AND($I2543&lt;&gt;"",COUNTIF(DM_DT!$A$7:$A$306,$I2543)=0),"Mã ĐT chưa khai báo! ","")))</f>
        <v/>
      </c>
      <c r="M2543" s="117">
        <f>IF($H2543="","",IF(AND(OR(LEFT($F2543,3)="111",LEFT($F2543,3)="112",LEFT($F2543,3)="113"),OR(LEFT($G2543,3)="111",LEFT($G2543,3)="112",LEFT($G2543,3)="113")),"NB",IF(OR(LEFT($F2543,3)="111",LEFT($F2543,3)="112",LEFT($F2543,3)="113"),"THU",IF(OR(LEFT($G2543,3)="111",LEFT($G2543,3)="112",LEFT($G2543,3)="113"),"CHI",""))))</f>
        <v/>
      </c>
      <c r="N2543" s="117">
        <f>IF($M2543="THU",$G2543,IF($M2543="CHI",$F2543,""))</f>
        <v/>
      </c>
      <c r="O2543" s="117">
        <f>IF(OR($M2543="",$M2543="NB"),"",IF($J2543&lt;&gt;"",TEXT($J2543,"00"),IFERROR(VLOOKUP(LEFT($N2543,4),LCTT_MAP!$A$7:$C$66,IF($M2543="THU",2,3),FALSE()),IFERROR(VLOOKUP(LEFT($N2543,3),LCTT_MAP!$A$7:$C$66,IF($M2543="THU",2,3),FALSE()),IFERROR(VLOOKUP(LEFT($N2543,2),LCTT_MAP!$A$7:$C$66,IF($M2543="THU",2,3),FALSE()),IFERROR(VLOOKUP(LEFT($N2543,1),LCTT_MAP!$A$7:$C$66,IF($M2543="THU",2,3),FALSE()),IF($M2543="THU","06","07")))))))</f>
        <v/>
      </c>
      <c r="P2543" s="117">
        <f>P2542+IF(AND($H2543&lt;&gt;"",OR(LEFT($F2543,LEN(SC_TK))=SC_TK,LEFT($G2543,LEN(SC_TK))=SC_TK)),1,0)</f>
        <v/>
      </c>
    </row>
    <row r="2544" ht="15" customHeight="1" s="78">
      <c r="A2544" s="95">
        <f>IF($H2544="","",ROW()-6)</f>
        <v/>
      </c>
      <c r="B2544" s="114" t="n"/>
      <c r="C2544" s="102" t="n"/>
      <c r="D2544" s="114" t="n"/>
      <c r="E2544" s="103" t="n"/>
      <c r="F2544" s="102" t="n"/>
      <c r="G2544" s="102" t="n"/>
      <c r="H2544" s="115" t="n"/>
      <c r="I2544" s="102" t="n"/>
      <c r="J2544" s="102" t="n"/>
      <c r="K2544" s="103" t="n"/>
      <c r="L2544" s="116">
        <f>IF($H2544="","",TRIM(IF(COUNTIF(DMTK!$A$7:$A$250,$F2544)=0,"TK Nợ sai! ","")&amp;IF(COUNTIF(DMTK!$A$7:$A$250,$G2544)=0,"TK Có sai! ","")&amp;IF(N($H2544)&lt;=0,"Tiền phải &gt; 0! ","")&amp;IF($B2544="","Thiếu ngày! ","")&amp;IF(AND(OR(LEFT($F2544,3)="131",LEFT($G2544,3)="131",LEFT($F2544,3)="331",LEFT($G2544,3)="331"),$I2544=""),"Thiếu Mã ĐT! ","")&amp;IF(AND($I2544&lt;&gt;"",COUNTIF(DM_DT!$A$7:$A$306,$I2544)=0),"Mã ĐT chưa khai báo! ","")))</f>
        <v/>
      </c>
      <c r="M2544" s="117">
        <f>IF($H2544="","",IF(AND(OR(LEFT($F2544,3)="111",LEFT($F2544,3)="112",LEFT($F2544,3)="113"),OR(LEFT($G2544,3)="111",LEFT($G2544,3)="112",LEFT($G2544,3)="113")),"NB",IF(OR(LEFT($F2544,3)="111",LEFT($F2544,3)="112",LEFT($F2544,3)="113"),"THU",IF(OR(LEFT($G2544,3)="111",LEFT($G2544,3)="112",LEFT($G2544,3)="113"),"CHI",""))))</f>
        <v/>
      </c>
      <c r="N2544" s="117">
        <f>IF($M2544="THU",$G2544,IF($M2544="CHI",$F2544,""))</f>
        <v/>
      </c>
      <c r="O2544" s="117">
        <f>IF(OR($M2544="",$M2544="NB"),"",IF($J2544&lt;&gt;"",TEXT($J2544,"00"),IFERROR(VLOOKUP(LEFT($N2544,4),LCTT_MAP!$A$7:$C$66,IF($M2544="THU",2,3),FALSE()),IFERROR(VLOOKUP(LEFT($N2544,3),LCTT_MAP!$A$7:$C$66,IF($M2544="THU",2,3),FALSE()),IFERROR(VLOOKUP(LEFT($N2544,2),LCTT_MAP!$A$7:$C$66,IF($M2544="THU",2,3),FALSE()),IFERROR(VLOOKUP(LEFT($N2544,1),LCTT_MAP!$A$7:$C$66,IF($M2544="THU",2,3),FALSE()),IF($M2544="THU","06","07")))))))</f>
        <v/>
      </c>
      <c r="P2544" s="117">
        <f>P2543+IF(AND($H2544&lt;&gt;"",OR(LEFT($F2544,LEN(SC_TK))=SC_TK,LEFT($G2544,LEN(SC_TK))=SC_TK)),1,0)</f>
        <v/>
      </c>
    </row>
    <row r="2545" ht="15" customHeight="1" s="78">
      <c r="A2545" s="95">
        <f>IF($H2545="","",ROW()-6)</f>
        <v/>
      </c>
      <c r="B2545" s="114" t="n"/>
      <c r="C2545" s="102" t="n"/>
      <c r="D2545" s="114" t="n"/>
      <c r="E2545" s="103" t="n"/>
      <c r="F2545" s="102" t="n"/>
      <c r="G2545" s="102" t="n"/>
      <c r="H2545" s="115" t="n"/>
      <c r="I2545" s="102" t="n"/>
      <c r="J2545" s="102" t="n"/>
      <c r="K2545" s="103" t="n"/>
      <c r="L2545" s="116">
        <f>IF($H2545="","",TRIM(IF(COUNTIF(DMTK!$A$7:$A$250,$F2545)=0,"TK Nợ sai! ","")&amp;IF(COUNTIF(DMTK!$A$7:$A$250,$G2545)=0,"TK Có sai! ","")&amp;IF(N($H2545)&lt;=0,"Tiền phải &gt; 0! ","")&amp;IF($B2545="","Thiếu ngày! ","")&amp;IF(AND(OR(LEFT($F2545,3)="131",LEFT($G2545,3)="131",LEFT($F2545,3)="331",LEFT($G2545,3)="331"),$I2545=""),"Thiếu Mã ĐT! ","")&amp;IF(AND($I2545&lt;&gt;"",COUNTIF(DM_DT!$A$7:$A$306,$I2545)=0),"Mã ĐT chưa khai báo! ","")))</f>
        <v/>
      </c>
      <c r="M2545" s="117">
        <f>IF($H2545="","",IF(AND(OR(LEFT($F2545,3)="111",LEFT($F2545,3)="112",LEFT($F2545,3)="113"),OR(LEFT($G2545,3)="111",LEFT($G2545,3)="112",LEFT($G2545,3)="113")),"NB",IF(OR(LEFT($F2545,3)="111",LEFT($F2545,3)="112",LEFT($F2545,3)="113"),"THU",IF(OR(LEFT($G2545,3)="111",LEFT($G2545,3)="112",LEFT($G2545,3)="113"),"CHI",""))))</f>
        <v/>
      </c>
      <c r="N2545" s="117">
        <f>IF($M2545="THU",$G2545,IF($M2545="CHI",$F2545,""))</f>
        <v/>
      </c>
      <c r="O2545" s="117">
        <f>IF(OR($M2545="",$M2545="NB"),"",IF($J2545&lt;&gt;"",TEXT($J2545,"00"),IFERROR(VLOOKUP(LEFT($N2545,4),LCTT_MAP!$A$7:$C$66,IF($M2545="THU",2,3),FALSE()),IFERROR(VLOOKUP(LEFT($N2545,3),LCTT_MAP!$A$7:$C$66,IF($M2545="THU",2,3),FALSE()),IFERROR(VLOOKUP(LEFT($N2545,2),LCTT_MAP!$A$7:$C$66,IF($M2545="THU",2,3),FALSE()),IFERROR(VLOOKUP(LEFT($N2545,1),LCTT_MAP!$A$7:$C$66,IF($M2545="THU",2,3),FALSE()),IF($M2545="THU","06","07")))))))</f>
        <v/>
      </c>
      <c r="P2545" s="117">
        <f>P2544+IF(AND($H2545&lt;&gt;"",OR(LEFT($F2545,LEN(SC_TK))=SC_TK,LEFT($G2545,LEN(SC_TK))=SC_TK)),1,0)</f>
        <v/>
      </c>
    </row>
    <row r="2546" ht="15" customHeight="1" s="78">
      <c r="A2546" s="95">
        <f>IF($H2546="","",ROW()-6)</f>
        <v/>
      </c>
      <c r="B2546" s="114" t="n"/>
      <c r="C2546" s="102" t="n"/>
      <c r="D2546" s="114" t="n"/>
      <c r="E2546" s="103" t="n"/>
      <c r="F2546" s="102" t="n"/>
      <c r="G2546" s="102" t="n"/>
      <c r="H2546" s="115" t="n"/>
      <c r="I2546" s="102" t="n"/>
      <c r="J2546" s="102" t="n"/>
      <c r="K2546" s="103" t="n"/>
      <c r="L2546" s="116">
        <f>IF($H2546="","",TRIM(IF(COUNTIF(DMTK!$A$7:$A$250,$F2546)=0,"TK Nợ sai! ","")&amp;IF(COUNTIF(DMTK!$A$7:$A$250,$G2546)=0,"TK Có sai! ","")&amp;IF(N($H2546)&lt;=0,"Tiền phải &gt; 0! ","")&amp;IF($B2546="","Thiếu ngày! ","")&amp;IF(AND(OR(LEFT($F2546,3)="131",LEFT($G2546,3)="131",LEFT($F2546,3)="331",LEFT($G2546,3)="331"),$I2546=""),"Thiếu Mã ĐT! ","")&amp;IF(AND($I2546&lt;&gt;"",COUNTIF(DM_DT!$A$7:$A$306,$I2546)=0),"Mã ĐT chưa khai báo! ","")))</f>
        <v/>
      </c>
      <c r="M2546" s="117">
        <f>IF($H2546="","",IF(AND(OR(LEFT($F2546,3)="111",LEFT($F2546,3)="112",LEFT($F2546,3)="113"),OR(LEFT($G2546,3)="111",LEFT($G2546,3)="112",LEFT($G2546,3)="113")),"NB",IF(OR(LEFT($F2546,3)="111",LEFT($F2546,3)="112",LEFT($F2546,3)="113"),"THU",IF(OR(LEFT($G2546,3)="111",LEFT($G2546,3)="112",LEFT($G2546,3)="113"),"CHI",""))))</f>
        <v/>
      </c>
      <c r="N2546" s="117">
        <f>IF($M2546="THU",$G2546,IF($M2546="CHI",$F2546,""))</f>
        <v/>
      </c>
      <c r="O2546" s="117">
        <f>IF(OR($M2546="",$M2546="NB"),"",IF($J2546&lt;&gt;"",TEXT($J2546,"00"),IFERROR(VLOOKUP(LEFT($N2546,4),LCTT_MAP!$A$7:$C$66,IF($M2546="THU",2,3),FALSE()),IFERROR(VLOOKUP(LEFT($N2546,3),LCTT_MAP!$A$7:$C$66,IF($M2546="THU",2,3),FALSE()),IFERROR(VLOOKUP(LEFT($N2546,2),LCTT_MAP!$A$7:$C$66,IF($M2546="THU",2,3),FALSE()),IFERROR(VLOOKUP(LEFT($N2546,1),LCTT_MAP!$A$7:$C$66,IF($M2546="THU",2,3),FALSE()),IF($M2546="THU","06","07")))))))</f>
        <v/>
      </c>
      <c r="P2546" s="117">
        <f>P2545+IF(AND($H2546&lt;&gt;"",OR(LEFT($F2546,LEN(SC_TK))=SC_TK,LEFT($G2546,LEN(SC_TK))=SC_TK)),1,0)</f>
        <v/>
      </c>
    </row>
    <row r="2547" ht="15" customHeight="1" s="78">
      <c r="A2547" s="95">
        <f>IF($H2547="","",ROW()-6)</f>
        <v/>
      </c>
      <c r="B2547" s="114" t="n"/>
      <c r="C2547" s="102" t="n"/>
      <c r="D2547" s="114" t="n"/>
      <c r="E2547" s="103" t="n"/>
      <c r="F2547" s="102" t="n"/>
      <c r="G2547" s="102" t="n"/>
      <c r="H2547" s="115" t="n"/>
      <c r="I2547" s="102" t="n"/>
      <c r="J2547" s="102" t="n"/>
      <c r="K2547" s="103" t="n"/>
      <c r="L2547" s="116">
        <f>IF($H2547="","",TRIM(IF(COUNTIF(DMTK!$A$7:$A$250,$F2547)=0,"TK Nợ sai! ","")&amp;IF(COUNTIF(DMTK!$A$7:$A$250,$G2547)=0,"TK Có sai! ","")&amp;IF(N($H2547)&lt;=0,"Tiền phải &gt; 0! ","")&amp;IF($B2547="","Thiếu ngày! ","")&amp;IF(AND(OR(LEFT($F2547,3)="131",LEFT($G2547,3)="131",LEFT($F2547,3)="331",LEFT($G2547,3)="331"),$I2547=""),"Thiếu Mã ĐT! ","")&amp;IF(AND($I2547&lt;&gt;"",COUNTIF(DM_DT!$A$7:$A$306,$I2547)=0),"Mã ĐT chưa khai báo! ","")))</f>
        <v/>
      </c>
      <c r="M2547" s="117">
        <f>IF($H2547="","",IF(AND(OR(LEFT($F2547,3)="111",LEFT($F2547,3)="112",LEFT($F2547,3)="113"),OR(LEFT($G2547,3)="111",LEFT($G2547,3)="112",LEFT($G2547,3)="113")),"NB",IF(OR(LEFT($F2547,3)="111",LEFT($F2547,3)="112",LEFT($F2547,3)="113"),"THU",IF(OR(LEFT($G2547,3)="111",LEFT($G2547,3)="112",LEFT($G2547,3)="113"),"CHI",""))))</f>
        <v/>
      </c>
      <c r="N2547" s="117">
        <f>IF($M2547="THU",$G2547,IF($M2547="CHI",$F2547,""))</f>
        <v/>
      </c>
      <c r="O2547" s="117">
        <f>IF(OR($M2547="",$M2547="NB"),"",IF($J2547&lt;&gt;"",TEXT($J2547,"00"),IFERROR(VLOOKUP(LEFT($N2547,4),LCTT_MAP!$A$7:$C$66,IF($M2547="THU",2,3),FALSE()),IFERROR(VLOOKUP(LEFT($N2547,3),LCTT_MAP!$A$7:$C$66,IF($M2547="THU",2,3),FALSE()),IFERROR(VLOOKUP(LEFT($N2547,2),LCTT_MAP!$A$7:$C$66,IF($M2547="THU",2,3),FALSE()),IFERROR(VLOOKUP(LEFT($N2547,1),LCTT_MAP!$A$7:$C$66,IF($M2547="THU",2,3),FALSE()),IF($M2547="THU","06","07")))))))</f>
        <v/>
      </c>
      <c r="P2547" s="117">
        <f>P2546+IF(AND($H2547&lt;&gt;"",OR(LEFT($F2547,LEN(SC_TK))=SC_TK,LEFT($G2547,LEN(SC_TK))=SC_TK)),1,0)</f>
        <v/>
      </c>
    </row>
    <row r="2548" ht="15" customHeight="1" s="78">
      <c r="A2548" s="95">
        <f>IF($H2548="","",ROW()-6)</f>
        <v/>
      </c>
      <c r="B2548" s="114" t="n"/>
      <c r="C2548" s="102" t="n"/>
      <c r="D2548" s="114" t="n"/>
      <c r="E2548" s="103" t="n"/>
      <c r="F2548" s="102" t="n"/>
      <c r="G2548" s="102" t="n"/>
      <c r="H2548" s="115" t="n"/>
      <c r="I2548" s="102" t="n"/>
      <c r="J2548" s="102" t="n"/>
      <c r="K2548" s="103" t="n"/>
      <c r="L2548" s="116">
        <f>IF($H2548="","",TRIM(IF(COUNTIF(DMTK!$A$7:$A$250,$F2548)=0,"TK Nợ sai! ","")&amp;IF(COUNTIF(DMTK!$A$7:$A$250,$G2548)=0,"TK Có sai! ","")&amp;IF(N($H2548)&lt;=0,"Tiền phải &gt; 0! ","")&amp;IF($B2548="","Thiếu ngày! ","")&amp;IF(AND(OR(LEFT($F2548,3)="131",LEFT($G2548,3)="131",LEFT($F2548,3)="331",LEFT($G2548,3)="331"),$I2548=""),"Thiếu Mã ĐT! ","")&amp;IF(AND($I2548&lt;&gt;"",COUNTIF(DM_DT!$A$7:$A$306,$I2548)=0),"Mã ĐT chưa khai báo! ","")))</f>
        <v/>
      </c>
      <c r="M2548" s="117">
        <f>IF($H2548="","",IF(AND(OR(LEFT($F2548,3)="111",LEFT($F2548,3)="112",LEFT($F2548,3)="113"),OR(LEFT($G2548,3)="111",LEFT($G2548,3)="112",LEFT($G2548,3)="113")),"NB",IF(OR(LEFT($F2548,3)="111",LEFT($F2548,3)="112",LEFT($F2548,3)="113"),"THU",IF(OR(LEFT($G2548,3)="111",LEFT($G2548,3)="112",LEFT($G2548,3)="113"),"CHI",""))))</f>
        <v/>
      </c>
      <c r="N2548" s="117">
        <f>IF($M2548="THU",$G2548,IF($M2548="CHI",$F2548,""))</f>
        <v/>
      </c>
      <c r="O2548" s="117">
        <f>IF(OR($M2548="",$M2548="NB"),"",IF($J2548&lt;&gt;"",TEXT($J2548,"00"),IFERROR(VLOOKUP(LEFT($N2548,4),LCTT_MAP!$A$7:$C$66,IF($M2548="THU",2,3),FALSE()),IFERROR(VLOOKUP(LEFT($N2548,3),LCTT_MAP!$A$7:$C$66,IF($M2548="THU",2,3),FALSE()),IFERROR(VLOOKUP(LEFT($N2548,2),LCTT_MAP!$A$7:$C$66,IF($M2548="THU",2,3),FALSE()),IFERROR(VLOOKUP(LEFT($N2548,1),LCTT_MAP!$A$7:$C$66,IF($M2548="THU",2,3),FALSE()),IF($M2548="THU","06","07")))))))</f>
        <v/>
      </c>
      <c r="P2548" s="117">
        <f>P2547+IF(AND($H2548&lt;&gt;"",OR(LEFT($F2548,LEN(SC_TK))=SC_TK,LEFT($G2548,LEN(SC_TK))=SC_TK)),1,0)</f>
        <v/>
      </c>
    </row>
    <row r="2549" ht="15" customHeight="1" s="78">
      <c r="A2549" s="95">
        <f>IF($H2549="","",ROW()-6)</f>
        <v/>
      </c>
      <c r="B2549" s="114" t="n"/>
      <c r="C2549" s="102" t="n"/>
      <c r="D2549" s="114" t="n"/>
      <c r="E2549" s="103" t="n"/>
      <c r="F2549" s="102" t="n"/>
      <c r="G2549" s="102" t="n"/>
      <c r="H2549" s="115" t="n"/>
      <c r="I2549" s="102" t="n"/>
      <c r="J2549" s="102" t="n"/>
      <c r="K2549" s="103" t="n"/>
      <c r="L2549" s="116">
        <f>IF($H2549="","",TRIM(IF(COUNTIF(DMTK!$A$7:$A$250,$F2549)=0,"TK Nợ sai! ","")&amp;IF(COUNTIF(DMTK!$A$7:$A$250,$G2549)=0,"TK Có sai! ","")&amp;IF(N($H2549)&lt;=0,"Tiền phải &gt; 0! ","")&amp;IF($B2549="","Thiếu ngày! ","")&amp;IF(AND(OR(LEFT($F2549,3)="131",LEFT($G2549,3)="131",LEFT($F2549,3)="331",LEFT($G2549,3)="331"),$I2549=""),"Thiếu Mã ĐT! ","")&amp;IF(AND($I2549&lt;&gt;"",COUNTIF(DM_DT!$A$7:$A$306,$I2549)=0),"Mã ĐT chưa khai báo! ","")))</f>
        <v/>
      </c>
      <c r="M2549" s="117">
        <f>IF($H2549="","",IF(AND(OR(LEFT($F2549,3)="111",LEFT($F2549,3)="112",LEFT($F2549,3)="113"),OR(LEFT($G2549,3)="111",LEFT($G2549,3)="112",LEFT($G2549,3)="113")),"NB",IF(OR(LEFT($F2549,3)="111",LEFT($F2549,3)="112",LEFT($F2549,3)="113"),"THU",IF(OR(LEFT($G2549,3)="111",LEFT($G2549,3)="112",LEFT($G2549,3)="113"),"CHI",""))))</f>
        <v/>
      </c>
      <c r="N2549" s="117">
        <f>IF($M2549="THU",$G2549,IF($M2549="CHI",$F2549,""))</f>
        <v/>
      </c>
      <c r="O2549" s="117">
        <f>IF(OR($M2549="",$M2549="NB"),"",IF($J2549&lt;&gt;"",TEXT($J2549,"00"),IFERROR(VLOOKUP(LEFT($N2549,4),LCTT_MAP!$A$7:$C$66,IF($M2549="THU",2,3),FALSE()),IFERROR(VLOOKUP(LEFT($N2549,3),LCTT_MAP!$A$7:$C$66,IF($M2549="THU",2,3),FALSE()),IFERROR(VLOOKUP(LEFT($N2549,2),LCTT_MAP!$A$7:$C$66,IF($M2549="THU",2,3),FALSE()),IFERROR(VLOOKUP(LEFT($N2549,1),LCTT_MAP!$A$7:$C$66,IF($M2549="THU",2,3),FALSE()),IF($M2549="THU","06","07")))))))</f>
        <v/>
      </c>
      <c r="P2549" s="117">
        <f>P2548+IF(AND($H2549&lt;&gt;"",OR(LEFT($F2549,LEN(SC_TK))=SC_TK,LEFT($G2549,LEN(SC_TK))=SC_TK)),1,0)</f>
        <v/>
      </c>
    </row>
    <row r="2550" ht="15" customHeight="1" s="78">
      <c r="A2550" s="95">
        <f>IF($H2550="","",ROW()-6)</f>
        <v/>
      </c>
      <c r="B2550" s="114" t="n"/>
      <c r="C2550" s="102" t="n"/>
      <c r="D2550" s="114" t="n"/>
      <c r="E2550" s="103" t="n"/>
      <c r="F2550" s="102" t="n"/>
      <c r="G2550" s="102" t="n"/>
      <c r="H2550" s="115" t="n"/>
      <c r="I2550" s="102" t="n"/>
      <c r="J2550" s="102" t="n"/>
      <c r="K2550" s="103" t="n"/>
      <c r="L2550" s="116">
        <f>IF($H2550="","",TRIM(IF(COUNTIF(DMTK!$A$7:$A$250,$F2550)=0,"TK Nợ sai! ","")&amp;IF(COUNTIF(DMTK!$A$7:$A$250,$G2550)=0,"TK Có sai! ","")&amp;IF(N($H2550)&lt;=0,"Tiền phải &gt; 0! ","")&amp;IF($B2550="","Thiếu ngày! ","")&amp;IF(AND(OR(LEFT($F2550,3)="131",LEFT($G2550,3)="131",LEFT($F2550,3)="331",LEFT($G2550,3)="331"),$I2550=""),"Thiếu Mã ĐT! ","")&amp;IF(AND($I2550&lt;&gt;"",COUNTIF(DM_DT!$A$7:$A$306,$I2550)=0),"Mã ĐT chưa khai báo! ","")))</f>
        <v/>
      </c>
      <c r="M2550" s="117">
        <f>IF($H2550="","",IF(AND(OR(LEFT($F2550,3)="111",LEFT($F2550,3)="112",LEFT($F2550,3)="113"),OR(LEFT($G2550,3)="111",LEFT($G2550,3)="112",LEFT($G2550,3)="113")),"NB",IF(OR(LEFT($F2550,3)="111",LEFT($F2550,3)="112",LEFT($F2550,3)="113"),"THU",IF(OR(LEFT($G2550,3)="111",LEFT($G2550,3)="112",LEFT($G2550,3)="113"),"CHI",""))))</f>
        <v/>
      </c>
      <c r="N2550" s="117">
        <f>IF($M2550="THU",$G2550,IF($M2550="CHI",$F2550,""))</f>
        <v/>
      </c>
      <c r="O2550" s="117">
        <f>IF(OR($M2550="",$M2550="NB"),"",IF($J2550&lt;&gt;"",TEXT($J2550,"00"),IFERROR(VLOOKUP(LEFT($N2550,4),LCTT_MAP!$A$7:$C$66,IF($M2550="THU",2,3),FALSE()),IFERROR(VLOOKUP(LEFT($N2550,3),LCTT_MAP!$A$7:$C$66,IF($M2550="THU",2,3),FALSE()),IFERROR(VLOOKUP(LEFT($N2550,2),LCTT_MAP!$A$7:$C$66,IF($M2550="THU",2,3),FALSE()),IFERROR(VLOOKUP(LEFT($N2550,1),LCTT_MAP!$A$7:$C$66,IF($M2550="THU",2,3),FALSE()),IF($M2550="THU","06","07")))))))</f>
        <v/>
      </c>
      <c r="P2550" s="117">
        <f>P2549+IF(AND($H2550&lt;&gt;"",OR(LEFT($F2550,LEN(SC_TK))=SC_TK,LEFT($G2550,LEN(SC_TK))=SC_TK)),1,0)</f>
        <v/>
      </c>
    </row>
    <row r="2551" ht="15" customHeight="1" s="78">
      <c r="A2551" s="95">
        <f>IF($H2551="","",ROW()-6)</f>
        <v/>
      </c>
      <c r="B2551" s="114" t="n"/>
      <c r="C2551" s="102" t="n"/>
      <c r="D2551" s="114" t="n"/>
      <c r="E2551" s="103" t="n"/>
      <c r="F2551" s="102" t="n"/>
      <c r="G2551" s="102" t="n"/>
      <c r="H2551" s="115" t="n"/>
      <c r="I2551" s="102" t="n"/>
      <c r="J2551" s="102" t="n"/>
      <c r="K2551" s="103" t="n"/>
      <c r="L2551" s="116">
        <f>IF($H2551="","",TRIM(IF(COUNTIF(DMTK!$A$7:$A$250,$F2551)=0,"TK Nợ sai! ","")&amp;IF(COUNTIF(DMTK!$A$7:$A$250,$G2551)=0,"TK Có sai! ","")&amp;IF(N($H2551)&lt;=0,"Tiền phải &gt; 0! ","")&amp;IF($B2551="","Thiếu ngày! ","")&amp;IF(AND(OR(LEFT($F2551,3)="131",LEFT($G2551,3)="131",LEFT($F2551,3)="331",LEFT($G2551,3)="331"),$I2551=""),"Thiếu Mã ĐT! ","")&amp;IF(AND($I2551&lt;&gt;"",COUNTIF(DM_DT!$A$7:$A$306,$I2551)=0),"Mã ĐT chưa khai báo! ","")))</f>
        <v/>
      </c>
      <c r="M2551" s="117">
        <f>IF($H2551="","",IF(AND(OR(LEFT($F2551,3)="111",LEFT($F2551,3)="112",LEFT($F2551,3)="113"),OR(LEFT($G2551,3)="111",LEFT($G2551,3)="112",LEFT($G2551,3)="113")),"NB",IF(OR(LEFT($F2551,3)="111",LEFT($F2551,3)="112",LEFT($F2551,3)="113"),"THU",IF(OR(LEFT($G2551,3)="111",LEFT($G2551,3)="112",LEFT($G2551,3)="113"),"CHI",""))))</f>
        <v/>
      </c>
      <c r="N2551" s="117">
        <f>IF($M2551="THU",$G2551,IF($M2551="CHI",$F2551,""))</f>
        <v/>
      </c>
      <c r="O2551" s="117">
        <f>IF(OR($M2551="",$M2551="NB"),"",IF($J2551&lt;&gt;"",TEXT($J2551,"00"),IFERROR(VLOOKUP(LEFT($N2551,4),LCTT_MAP!$A$7:$C$66,IF($M2551="THU",2,3),FALSE()),IFERROR(VLOOKUP(LEFT($N2551,3),LCTT_MAP!$A$7:$C$66,IF($M2551="THU",2,3),FALSE()),IFERROR(VLOOKUP(LEFT($N2551,2),LCTT_MAP!$A$7:$C$66,IF($M2551="THU",2,3),FALSE()),IFERROR(VLOOKUP(LEFT($N2551,1),LCTT_MAP!$A$7:$C$66,IF($M2551="THU",2,3),FALSE()),IF($M2551="THU","06","07")))))))</f>
        <v/>
      </c>
      <c r="P2551" s="117">
        <f>P2550+IF(AND($H2551&lt;&gt;"",OR(LEFT($F2551,LEN(SC_TK))=SC_TK,LEFT($G2551,LEN(SC_TK))=SC_TK)),1,0)</f>
        <v/>
      </c>
    </row>
    <row r="2552" ht="15" customHeight="1" s="78">
      <c r="A2552" s="95">
        <f>IF($H2552="","",ROW()-6)</f>
        <v/>
      </c>
      <c r="B2552" s="114" t="n"/>
      <c r="C2552" s="102" t="n"/>
      <c r="D2552" s="114" t="n"/>
      <c r="E2552" s="103" t="n"/>
      <c r="F2552" s="102" t="n"/>
      <c r="G2552" s="102" t="n"/>
      <c r="H2552" s="115" t="n"/>
      <c r="I2552" s="102" t="n"/>
      <c r="J2552" s="102" t="n"/>
      <c r="K2552" s="103" t="n"/>
      <c r="L2552" s="116">
        <f>IF($H2552="","",TRIM(IF(COUNTIF(DMTK!$A$7:$A$250,$F2552)=0,"TK Nợ sai! ","")&amp;IF(COUNTIF(DMTK!$A$7:$A$250,$G2552)=0,"TK Có sai! ","")&amp;IF(N($H2552)&lt;=0,"Tiền phải &gt; 0! ","")&amp;IF($B2552="","Thiếu ngày! ","")&amp;IF(AND(OR(LEFT($F2552,3)="131",LEFT($G2552,3)="131",LEFT($F2552,3)="331",LEFT($G2552,3)="331"),$I2552=""),"Thiếu Mã ĐT! ","")&amp;IF(AND($I2552&lt;&gt;"",COUNTIF(DM_DT!$A$7:$A$306,$I2552)=0),"Mã ĐT chưa khai báo! ","")))</f>
        <v/>
      </c>
      <c r="M2552" s="117">
        <f>IF($H2552="","",IF(AND(OR(LEFT($F2552,3)="111",LEFT($F2552,3)="112",LEFT($F2552,3)="113"),OR(LEFT($G2552,3)="111",LEFT($G2552,3)="112",LEFT($G2552,3)="113")),"NB",IF(OR(LEFT($F2552,3)="111",LEFT($F2552,3)="112",LEFT($F2552,3)="113"),"THU",IF(OR(LEFT($G2552,3)="111",LEFT($G2552,3)="112",LEFT($G2552,3)="113"),"CHI",""))))</f>
        <v/>
      </c>
      <c r="N2552" s="117">
        <f>IF($M2552="THU",$G2552,IF($M2552="CHI",$F2552,""))</f>
        <v/>
      </c>
      <c r="O2552" s="117">
        <f>IF(OR($M2552="",$M2552="NB"),"",IF($J2552&lt;&gt;"",TEXT($J2552,"00"),IFERROR(VLOOKUP(LEFT($N2552,4),LCTT_MAP!$A$7:$C$66,IF($M2552="THU",2,3),FALSE()),IFERROR(VLOOKUP(LEFT($N2552,3),LCTT_MAP!$A$7:$C$66,IF($M2552="THU",2,3),FALSE()),IFERROR(VLOOKUP(LEFT($N2552,2),LCTT_MAP!$A$7:$C$66,IF($M2552="THU",2,3),FALSE()),IFERROR(VLOOKUP(LEFT($N2552,1),LCTT_MAP!$A$7:$C$66,IF($M2552="THU",2,3),FALSE()),IF($M2552="THU","06","07")))))))</f>
        <v/>
      </c>
      <c r="P2552" s="117">
        <f>P2551+IF(AND($H2552&lt;&gt;"",OR(LEFT($F2552,LEN(SC_TK))=SC_TK,LEFT($G2552,LEN(SC_TK))=SC_TK)),1,0)</f>
        <v/>
      </c>
    </row>
    <row r="2553" ht="15" customHeight="1" s="78">
      <c r="A2553" s="95">
        <f>IF($H2553="","",ROW()-6)</f>
        <v/>
      </c>
      <c r="B2553" s="114" t="n"/>
      <c r="C2553" s="102" t="n"/>
      <c r="D2553" s="114" t="n"/>
      <c r="E2553" s="103" t="n"/>
      <c r="F2553" s="102" t="n"/>
      <c r="G2553" s="102" t="n"/>
      <c r="H2553" s="115" t="n"/>
      <c r="I2553" s="102" t="n"/>
      <c r="J2553" s="102" t="n"/>
      <c r="K2553" s="103" t="n"/>
      <c r="L2553" s="116">
        <f>IF($H2553="","",TRIM(IF(COUNTIF(DMTK!$A$7:$A$250,$F2553)=0,"TK Nợ sai! ","")&amp;IF(COUNTIF(DMTK!$A$7:$A$250,$G2553)=0,"TK Có sai! ","")&amp;IF(N($H2553)&lt;=0,"Tiền phải &gt; 0! ","")&amp;IF($B2553="","Thiếu ngày! ","")&amp;IF(AND(OR(LEFT($F2553,3)="131",LEFT($G2553,3)="131",LEFT($F2553,3)="331",LEFT($G2553,3)="331"),$I2553=""),"Thiếu Mã ĐT! ","")&amp;IF(AND($I2553&lt;&gt;"",COUNTIF(DM_DT!$A$7:$A$306,$I2553)=0),"Mã ĐT chưa khai báo! ","")))</f>
        <v/>
      </c>
      <c r="M2553" s="117">
        <f>IF($H2553="","",IF(AND(OR(LEFT($F2553,3)="111",LEFT($F2553,3)="112",LEFT($F2553,3)="113"),OR(LEFT($G2553,3)="111",LEFT($G2553,3)="112",LEFT($G2553,3)="113")),"NB",IF(OR(LEFT($F2553,3)="111",LEFT($F2553,3)="112",LEFT($F2553,3)="113"),"THU",IF(OR(LEFT($G2553,3)="111",LEFT($G2553,3)="112",LEFT($G2553,3)="113"),"CHI",""))))</f>
        <v/>
      </c>
      <c r="N2553" s="117">
        <f>IF($M2553="THU",$G2553,IF($M2553="CHI",$F2553,""))</f>
        <v/>
      </c>
      <c r="O2553" s="117">
        <f>IF(OR($M2553="",$M2553="NB"),"",IF($J2553&lt;&gt;"",TEXT($J2553,"00"),IFERROR(VLOOKUP(LEFT($N2553,4),LCTT_MAP!$A$7:$C$66,IF($M2553="THU",2,3),FALSE()),IFERROR(VLOOKUP(LEFT($N2553,3),LCTT_MAP!$A$7:$C$66,IF($M2553="THU",2,3),FALSE()),IFERROR(VLOOKUP(LEFT($N2553,2),LCTT_MAP!$A$7:$C$66,IF($M2553="THU",2,3),FALSE()),IFERROR(VLOOKUP(LEFT($N2553,1),LCTT_MAP!$A$7:$C$66,IF($M2553="THU",2,3),FALSE()),IF($M2553="THU","06","07")))))))</f>
        <v/>
      </c>
      <c r="P2553" s="117">
        <f>P2552+IF(AND($H2553&lt;&gt;"",OR(LEFT($F2553,LEN(SC_TK))=SC_TK,LEFT($G2553,LEN(SC_TK))=SC_TK)),1,0)</f>
        <v/>
      </c>
    </row>
    <row r="2554" ht="15" customHeight="1" s="78">
      <c r="A2554" s="95">
        <f>IF($H2554="","",ROW()-6)</f>
        <v/>
      </c>
      <c r="B2554" s="114" t="n"/>
      <c r="C2554" s="102" t="n"/>
      <c r="D2554" s="114" t="n"/>
      <c r="E2554" s="103" t="n"/>
      <c r="F2554" s="102" t="n"/>
      <c r="G2554" s="102" t="n"/>
      <c r="H2554" s="115" t="n"/>
      <c r="I2554" s="102" t="n"/>
      <c r="J2554" s="102" t="n"/>
      <c r="K2554" s="103" t="n"/>
      <c r="L2554" s="116">
        <f>IF($H2554="","",TRIM(IF(COUNTIF(DMTK!$A$7:$A$250,$F2554)=0,"TK Nợ sai! ","")&amp;IF(COUNTIF(DMTK!$A$7:$A$250,$G2554)=0,"TK Có sai! ","")&amp;IF(N($H2554)&lt;=0,"Tiền phải &gt; 0! ","")&amp;IF($B2554="","Thiếu ngày! ","")&amp;IF(AND(OR(LEFT($F2554,3)="131",LEFT($G2554,3)="131",LEFT($F2554,3)="331",LEFT($G2554,3)="331"),$I2554=""),"Thiếu Mã ĐT! ","")&amp;IF(AND($I2554&lt;&gt;"",COUNTIF(DM_DT!$A$7:$A$306,$I2554)=0),"Mã ĐT chưa khai báo! ","")))</f>
        <v/>
      </c>
      <c r="M2554" s="117">
        <f>IF($H2554="","",IF(AND(OR(LEFT($F2554,3)="111",LEFT($F2554,3)="112",LEFT($F2554,3)="113"),OR(LEFT($G2554,3)="111",LEFT($G2554,3)="112",LEFT($G2554,3)="113")),"NB",IF(OR(LEFT($F2554,3)="111",LEFT($F2554,3)="112",LEFT($F2554,3)="113"),"THU",IF(OR(LEFT($G2554,3)="111",LEFT($G2554,3)="112",LEFT($G2554,3)="113"),"CHI",""))))</f>
        <v/>
      </c>
      <c r="N2554" s="117">
        <f>IF($M2554="THU",$G2554,IF($M2554="CHI",$F2554,""))</f>
        <v/>
      </c>
      <c r="O2554" s="117">
        <f>IF(OR($M2554="",$M2554="NB"),"",IF($J2554&lt;&gt;"",TEXT($J2554,"00"),IFERROR(VLOOKUP(LEFT($N2554,4),LCTT_MAP!$A$7:$C$66,IF($M2554="THU",2,3),FALSE()),IFERROR(VLOOKUP(LEFT($N2554,3),LCTT_MAP!$A$7:$C$66,IF($M2554="THU",2,3),FALSE()),IFERROR(VLOOKUP(LEFT($N2554,2),LCTT_MAP!$A$7:$C$66,IF($M2554="THU",2,3),FALSE()),IFERROR(VLOOKUP(LEFT($N2554,1),LCTT_MAP!$A$7:$C$66,IF($M2554="THU",2,3),FALSE()),IF($M2554="THU","06","07")))))))</f>
        <v/>
      </c>
      <c r="P2554" s="117">
        <f>P2553+IF(AND($H2554&lt;&gt;"",OR(LEFT($F2554,LEN(SC_TK))=SC_TK,LEFT($G2554,LEN(SC_TK))=SC_TK)),1,0)</f>
        <v/>
      </c>
    </row>
    <row r="2555" ht="15" customHeight="1" s="78">
      <c r="A2555" s="95">
        <f>IF($H2555="","",ROW()-6)</f>
        <v/>
      </c>
      <c r="B2555" s="114" t="n"/>
      <c r="C2555" s="102" t="n"/>
      <c r="D2555" s="114" t="n"/>
      <c r="E2555" s="103" t="n"/>
      <c r="F2555" s="102" t="n"/>
      <c r="G2555" s="102" t="n"/>
      <c r="H2555" s="115" t="n"/>
      <c r="I2555" s="102" t="n"/>
      <c r="J2555" s="102" t="n"/>
      <c r="K2555" s="103" t="n"/>
      <c r="L2555" s="116">
        <f>IF($H2555="","",TRIM(IF(COUNTIF(DMTK!$A$7:$A$250,$F2555)=0,"TK Nợ sai! ","")&amp;IF(COUNTIF(DMTK!$A$7:$A$250,$G2555)=0,"TK Có sai! ","")&amp;IF(N($H2555)&lt;=0,"Tiền phải &gt; 0! ","")&amp;IF($B2555="","Thiếu ngày! ","")&amp;IF(AND(OR(LEFT($F2555,3)="131",LEFT($G2555,3)="131",LEFT($F2555,3)="331",LEFT($G2555,3)="331"),$I2555=""),"Thiếu Mã ĐT! ","")&amp;IF(AND($I2555&lt;&gt;"",COUNTIF(DM_DT!$A$7:$A$306,$I2555)=0),"Mã ĐT chưa khai báo! ","")))</f>
        <v/>
      </c>
      <c r="M2555" s="117">
        <f>IF($H2555="","",IF(AND(OR(LEFT($F2555,3)="111",LEFT($F2555,3)="112",LEFT($F2555,3)="113"),OR(LEFT($G2555,3)="111",LEFT($G2555,3)="112",LEFT($G2555,3)="113")),"NB",IF(OR(LEFT($F2555,3)="111",LEFT($F2555,3)="112",LEFT($F2555,3)="113"),"THU",IF(OR(LEFT($G2555,3)="111",LEFT($G2555,3)="112",LEFT($G2555,3)="113"),"CHI",""))))</f>
        <v/>
      </c>
      <c r="N2555" s="117">
        <f>IF($M2555="THU",$G2555,IF($M2555="CHI",$F2555,""))</f>
        <v/>
      </c>
      <c r="O2555" s="117">
        <f>IF(OR($M2555="",$M2555="NB"),"",IF($J2555&lt;&gt;"",TEXT($J2555,"00"),IFERROR(VLOOKUP(LEFT($N2555,4),LCTT_MAP!$A$7:$C$66,IF($M2555="THU",2,3),FALSE()),IFERROR(VLOOKUP(LEFT($N2555,3),LCTT_MAP!$A$7:$C$66,IF($M2555="THU",2,3),FALSE()),IFERROR(VLOOKUP(LEFT($N2555,2),LCTT_MAP!$A$7:$C$66,IF($M2555="THU",2,3),FALSE()),IFERROR(VLOOKUP(LEFT($N2555,1),LCTT_MAP!$A$7:$C$66,IF($M2555="THU",2,3),FALSE()),IF($M2555="THU","06","07")))))))</f>
        <v/>
      </c>
      <c r="P2555" s="117">
        <f>P2554+IF(AND($H2555&lt;&gt;"",OR(LEFT($F2555,LEN(SC_TK))=SC_TK,LEFT($G2555,LEN(SC_TK))=SC_TK)),1,0)</f>
        <v/>
      </c>
    </row>
    <row r="2556" ht="15" customHeight="1" s="78">
      <c r="A2556" s="95">
        <f>IF($H2556="","",ROW()-6)</f>
        <v/>
      </c>
      <c r="B2556" s="114" t="n"/>
      <c r="C2556" s="102" t="n"/>
      <c r="D2556" s="114" t="n"/>
      <c r="E2556" s="103" t="n"/>
      <c r="F2556" s="102" t="n"/>
      <c r="G2556" s="102" t="n"/>
      <c r="H2556" s="115" t="n"/>
      <c r="I2556" s="102" t="n"/>
      <c r="J2556" s="102" t="n"/>
      <c r="K2556" s="103" t="n"/>
      <c r="L2556" s="116">
        <f>IF($H2556="","",TRIM(IF(COUNTIF(DMTK!$A$7:$A$250,$F2556)=0,"TK Nợ sai! ","")&amp;IF(COUNTIF(DMTK!$A$7:$A$250,$G2556)=0,"TK Có sai! ","")&amp;IF(N($H2556)&lt;=0,"Tiền phải &gt; 0! ","")&amp;IF($B2556="","Thiếu ngày! ","")&amp;IF(AND(OR(LEFT($F2556,3)="131",LEFT($G2556,3)="131",LEFT($F2556,3)="331",LEFT($G2556,3)="331"),$I2556=""),"Thiếu Mã ĐT! ","")&amp;IF(AND($I2556&lt;&gt;"",COUNTIF(DM_DT!$A$7:$A$306,$I2556)=0),"Mã ĐT chưa khai báo! ","")))</f>
        <v/>
      </c>
      <c r="M2556" s="117">
        <f>IF($H2556="","",IF(AND(OR(LEFT($F2556,3)="111",LEFT($F2556,3)="112",LEFT($F2556,3)="113"),OR(LEFT($G2556,3)="111",LEFT($G2556,3)="112",LEFT($G2556,3)="113")),"NB",IF(OR(LEFT($F2556,3)="111",LEFT($F2556,3)="112",LEFT($F2556,3)="113"),"THU",IF(OR(LEFT($G2556,3)="111",LEFT($G2556,3)="112",LEFT($G2556,3)="113"),"CHI",""))))</f>
        <v/>
      </c>
      <c r="N2556" s="117">
        <f>IF($M2556="THU",$G2556,IF($M2556="CHI",$F2556,""))</f>
        <v/>
      </c>
      <c r="O2556" s="117">
        <f>IF(OR($M2556="",$M2556="NB"),"",IF($J2556&lt;&gt;"",TEXT($J2556,"00"),IFERROR(VLOOKUP(LEFT($N2556,4),LCTT_MAP!$A$7:$C$66,IF($M2556="THU",2,3),FALSE()),IFERROR(VLOOKUP(LEFT($N2556,3),LCTT_MAP!$A$7:$C$66,IF($M2556="THU",2,3),FALSE()),IFERROR(VLOOKUP(LEFT($N2556,2),LCTT_MAP!$A$7:$C$66,IF($M2556="THU",2,3),FALSE()),IFERROR(VLOOKUP(LEFT($N2556,1),LCTT_MAP!$A$7:$C$66,IF($M2556="THU",2,3),FALSE()),IF($M2556="THU","06","07")))))))</f>
        <v/>
      </c>
      <c r="P2556" s="117">
        <f>P2555+IF(AND($H2556&lt;&gt;"",OR(LEFT($F2556,LEN(SC_TK))=SC_TK,LEFT($G2556,LEN(SC_TK))=SC_TK)),1,0)</f>
        <v/>
      </c>
    </row>
    <row r="2557" ht="15" customHeight="1" s="78">
      <c r="A2557" s="95">
        <f>IF($H2557="","",ROW()-6)</f>
        <v/>
      </c>
      <c r="B2557" s="114" t="n"/>
      <c r="C2557" s="102" t="n"/>
      <c r="D2557" s="114" t="n"/>
      <c r="E2557" s="103" t="n"/>
      <c r="F2557" s="102" t="n"/>
      <c r="G2557" s="102" t="n"/>
      <c r="H2557" s="115" t="n"/>
      <c r="I2557" s="102" t="n"/>
      <c r="J2557" s="102" t="n"/>
      <c r="K2557" s="103" t="n"/>
      <c r="L2557" s="116">
        <f>IF($H2557="","",TRIM(IF(COUNTIF(DMTK!$A$7:$A$250,$F2557)=0,"TK Nợ sai! ","")&amp;IF(COUNTIF(DMTK!$A$7:$A$250,$G2557)=0,"TK Có sai! ","")&amp;IF(N($H2557)&lt;=0,"Tiền phải &gt; 0! ","")&amp;IF($B2557="","Thiếu ngày! ","")&amp;IF(AND(OR(LEFT($F2557,3)="131",LEFT($G2557,3)="131",LEFT($F2557,3)="331",LEFT($G2557,3)="331"),$I2557=""),"Thiếu Mã ĐT! ","")&amp;IF(AND($I2557&lt;&gt;"",COUNTIF(DM_DT!$A$7:$A$306,$I2557)=0),"Mã ĐT chưa khai báo! ","")))</f>
        <v/>
      </c>
      <c r="M2557" s="117">
        <f>IF($H2557="","",IF(AND(OR(LEFT($F2557,3)="111",LEFT($F2557,3)="112",LEFT($F2557,3)="113"),OR(LEFT($G2557,3)="111",LEFT($G2557,3)="112",LEFT($G2557,3)="113")),"NB",IF(OR(LEFT($F2557,3)="111",LEFT($F2557,3)="112",LEFT($F2557,3)="113"),"THU",IF(OR(LEFT($G2557,3)="111",LEFT($G2557,3)="112",LEFT($G2557,3)="113"),"CHI",""))))</f>
        <v/>
      </c>
      <c r="N2557" s="117">
        <f>IF($M2557="THU",$G2557,IF($M2557="CHI",$F2557,""))</f>
        <v/>
      </c>
      <c r="O2557" s="117">
        <f>IF(OR($M2557="",$M2557="NB"),"",IF($J2557&lt;&gt;"",TEXT($J2557,"00"),IFERROR(VLOOKUP(LEFT($N2557,4),LCTT_MAP!$A$7:$C$66,IF($M2557="THU",2,3),FALSE()),IFERROR(VLOOKUP(LEFT($N2557,3),LCTT_MAP!$A$7:$C$66,IF($M2557="THU",2,3),FALSE()),IFERROR(VLOOKUP(LEFT($N2557,2),LCTT_MAP!$A$7:$C$66,IF($M2557="THU",2,3),FALSE()),IFERROR(VLOOKUP(LEFT($N2557,1),LCTT_MAP!$A$7:$C$66,IF($M2557="THU",2,3),FALSE()),IF($M2557="THU","06","07")))))))</f>
        <v/>
      </c>
      <c r="P2557" s="117">
        <f>P2556+IF(AND($H2557&lt;&gt;"",OR(LEFT($F2557,LEN(SC_TK))=SC_TK,LEFT($G2557,LEN(SC_TK))=SC_TK)),1,0)</f>
        <v/>
      </c>
    </row>
    <row r="2558" ht="15" customHeight="1" s="78">
      <c r="A2558" s="95">
        <f>IF($H2558="","",ROW()-6)</f>
        <v/>
      </c>
      <c r="B2558" s="114" t="n"/>
      <c r="C2558" s="102" t="n"/>
      <c r="D2558" s="114" t="n"/>
      <c r="E2558" s="103" t="n"/>
      <c r="F2558" s="102" t="n"/>
      <c r="G2558" s="102" t="n"/>
      <c r="H2558" s="115" t="n"/>
      <c r="I2558" s="102" t="n"/>
      <c r="J2558" s="102" t="n"/>
      <c r="K2558" s="103" t="n"/>
      <c r="L2558" s="116">
        <f>IF($H2558="","",TRIM(IF(COUNTIF(DMTK!$A$7:$A$250,$F2558)=0,"TK Nợ sai! ","")&amp;IF(COUNTIF(DMTK!$A$7:$A$250,$G2558)=0,"TK Có sai! ","")&amp;IF(N($H2558)&lt;=0,"Tiền phải &gt; 0! ","")&amp;IF($B2558="","Thiếu ngày! ","")&amp;IF(AND(OR(LEFT($F2558,3)="131",LEFT($G2558,3)="131",LEFT($F2558,3)="331",LEFT($G2558,3)="331"),$I2558=""),"Thiếu Mã ĐT! ","")&amp;IF(AND($I2558&lt;&gt;"",COUNTIF(DM_DT!$A$7:$A$306,$I2558)=0),"Mã ĐT chưa khai báo! ","")))</f>
        <v/>
      </c>
      <c r="M2558" s="117">
        <f>IF($H2558="","",IF(AND(OR(LEFT($F2558,3)="111",LEFT($F2558,3)="112",LEFT($F2558,3)="113"),OR(LEFT($G2558,3)="111",LEFT($G2558,3)="112",LEFT($G2558,3)="113")),"NB",IF(OR(LEFT($F2558,3)="111",LEFT($F2558,3)="112",LEFT($F2558,3)="113"),"THU",IF(OR(LEFT($G2558,3)="111",LEFT($G2558,3)="112",LEFT($G2558,3)="113"),"CHI",""))))</f>
        <v/>
      </c>
      <c r="N2558" s="117">
        <f>IF($M2558="THU",$G2558,IF($M2558="CHI",$F2558,""))</f>
        <v/>
      </c>
      <c r="O2558" s="117">
        <f>IF(OR($M2558="",$M2558="NB"),"",IF($J2558&lt;&gt;"",TEXT($J2558,"00"),IFERROR(VLOOKUP(LEFT($N2558,4),LCTT_MAP!$A$7:$C$66,IF($M2558="THU",2,3),FALSE()),IFERROR(VLOOKUP(LEFT($N2558,3),LCTT_MAP!$A$7:$C$66,IF($M2558="THU",2,3),FALSE()),IFERROR(VLOOKUP(LEFT($N2558,2),LCTT_MAP!$A$7:$C$66,IF($M2558="THU",2,3),FALSE()),IFERROR(VLOOKUP(LEFT($N2558,1),LCTT_MAP!$A$7:$C$66,IF($M2558="THU",2,3),FALSE()),IF($M2558="THU","06","07")))))))</f>
        <v/>
      </c>
      <c r="P2558" s="117">
        <f>P2557+IF(AND($H2558&lt;&gt;"",OR(LEFT($F2558,LEN(SC_TK))=SC_TK,LEFT($G2558,LEN(SC_TK))=SC_TK)),1,0)</f>
        <v/>
      </c>
    </row>
    <row r="2559" ht="15" customHeight="1" s="78">
      <c r="A2559" s="95">
        <f>IF($H2559="","",ROW()-6)</f>
        <v/>
      </c>
      <c r="B2559" s="114" t="n"/>
      <c r="C2559" s="102" t="n"/>
      <c r="D2559" s="114" t="n"/>
      <c r="E2559" s="103" t="n"/>
      <c r="F2559" s="102" t="n"/>
      <c r="G2559" s="102" t="n"/>
      <c r="H2559" s="115" t="n"/>
      <c r="I2559" s="102" t="n"/>
      <c r="J2559" s="102" t="n"/>
      <c r="K2559" s="103" t="n"/>
      <c r="L2559" s="116">
        <f>IF($H2559="","",TRIM(IF(COUNTIF(DMTK!$A$7:$A$250,$F2559)=0,"TK Nợ sai! ","")&amp;IF(COUNTIF(DMTK!$A$7:$A$250,$G2559)=0,"TK Có sai! ","")&amp;IF(N($H2559)&lt;=0,"Tiền phải &gt; 0! ","")&amp;IF($B2559="","Thiếu ngày! ","")&amp;IF(AND(OR(LEFT($F2559,3)="131",LEFT($G2559,3)="131",LEFT($F2559,3)="331",LEFT($G2559,3)="331"),$I2559=""),"Thiếu Mã ĐT! ","")&amp;IF(AND($I2559&lt;&gt;"",COUNTIF(DM_DT!$A$7:$A$306,$I2559)=0),"Mã ĐT chưa khai báo! ","")))</f>
        <v/>
      </c>
      <c r="M2559" s="117">
        <f>IF($H2559="","",IF(AND(OR(LEFT($F2559,3)="111",LEFT($F2559,3)="112",LEFT($F2559,3)="113"),OR(LEFT($G2559,3)="111",LEFT($G2559,3)="112",LEFT($G2559,3)="113")),"NB",IF(OR(LEFT($F2559,3)="111",LEFT($F2559,3)="112",LEFT($F2559,3)="113"),"THU",IF(OR(LEFT($G2559,3)="111",LEFT($G2559,3)="112",LEFT($G2559,3)="113"),"CHI",""))))</f>
        <v/>
      </c>
      <c r="N2559" s="117">
        <f>IF($M2559="THU",$G2559,IF($M2559="CHI",$F2559,""))</f>
        <v/>
      </c>
      <c r="O2559" s="117">
        <f>IF(OR($M2559="",$M2559="NB"),"",IF($J2559&lt;&gt;"",TEXT($J2559,"00"),IFERROR(VLOOKUP(LEFT($N2559,4),LCTT_MAP!$A$7:$C$66,IF($M2559="THU",2,3),FALSE()),IFERROR(VLOOKUP(LEFT($N2559,3),LCTT_MAP!$A$7:$C$66,IF($M2559="THU",2,3),FALSE()),IFERROR(VLOOKUP(LEFT($N2559,2),LCTT_MAP!$A$7:$C$66,IF($M2559="THU",2,3),FALSE()),IFERROR(VLOOKUP(LEFT($N2559,1),LCTT_MAP!$A$7:$C$66,IF($M2559="THU",2,3),FALSE()),IF($M2559="THU","06","07")))))))</f>
        <v/>
      </c>
      <c r="P2559" s="117">
        <f>P2558+IF(AND($H2559&lt;&gt;"",OR(LEFT($F2559,LEN(SC_TK))=SC_TK,LEFT($G2559,LEN(SC_TK))=SC_TK)),1,0)</f>
        <v/>
      </c>
    </row>
    <row r="2560" ht="15" customHeight="1" s="78">
      <c r="A2560" s="95">
        <f>IF($H2560="","",ROW()-6)</f>
        <v/>
      </c>
      <c r="B2560" s="114" t="n"/>
      <c r="C2560" s="102" t="n"/>
      <c r="D2560" s="114" t="n"/>
      <c r="E2560" s="103" t="n"/>
      <c r="F2560" s="102" t="n"/>
      <c r="G2560" s="102" t="n"/>
      <c r="H2560" s="115" t="n"/>
      <c r="I2560" s="102" t="n"/>
      <c r="J2560" s="102" t="n"/>
      <c r="K2560" s="103" t="n"/>
      <c r="L2560" s="116">
        <f>IF($H2560="","",TRIM(IF(COUNTIF(DMTK!$A$7:$A$250,$F2560)=0,"TK Nợ sai! ","")&amp;IF(COUNTIF(DMTK!$A$7:$A$250,$G2560)=0,"TK Có sai! ","")&amp;IF(N($H2560)&lt;=0,"Tiền phải &gt; 0! ","")&amp;IF($B2560="","Thiếu ngày! ","")&amp;IF(AND(OR(LEFT($F2560,3)="131",LEFT($G2560,3)="131",LEFT($F2560,3)="331",LEFT($G2560,3)="331"),$I2560=""),"Thiếu Mã ĐT! ","")&amp;IF(AND($I2560&lt;&gt;"",COUNTIF(DM_DT!$A$7:$A$306,$I2560)=0),"Mã ĐT chưa khai báo! ","")))</f>
        <v/>
      </c>
      <c r="M2560" s="117">
        <f>IF($H2560="","",IF(AND(OR(LEFT($F2560,3)="111",LEFT($F2560,3)="112",LEFT($F2560,3)="113"),OR(LEFT($G2560,3)="111",LEFT($G2560,3)="112",LEFT($G2560,3)="113")),"NB",IF(OR(LEFT($F2560,3)="111",LEFT($F2560,3)="112",LEFT($F2560,3)="113"),"THU",IF(OR(LEFT($G2560,3)="111",LEFT($G2560,3)="112",LEFT($G2560,3)="113"),"CHI",""))))</f>
        <v/>
      </c>
      <c r="N2560" s="117">
        <f>IF($M2560="THU",$G2560,IF($M2560="CHI",$F2560,""))</f>
        <v/>
      </c>
      <c r="O2560" s="117">
        <f>IF(OR($M2560="",$M2560="NB"),"",IF($J2560&lt;&gt;"",TEXT($J2560,"00"),IFERROR(VLOOKUP(LEFT($N2560,4),LCTT_MAP!$A$7:$C$66,IF($M2560="THU",2,3),FALSE()),IFERROR(VLOOKUP(LEFT($N2560,3),LCTT_MAP!$A$7:$C$66,IF($M2560="THU",2,3),FALSE()),IFERROR(VLOOKUP(LEFT($N2560,2),LCTT_MAP!$A$7:$C$66,IF($M2560="THU",2,3),FALSE()),IFERROR(VLOOKUP(LEFT($N2560,1),LCTT_MAP!$A$7:$C$66,IF($M2560="THU",2,3),FALSE()),IF($M2560="THU","06","07")))))))</f>
        <v/>
      </c>
      <c r="P2560" s="117">
        <f>P2559+IF(AND($H2560&lt;&gt;"",OR(LEFT($F2560,LEN(SC_TK))=SC_TK,LEFT($G2560,LEN(SC_TK))=SC_TK)),1,0)</f>
        <v/>
      </c>
    </row>
    <row r="2561" ht="15" customHeight="1" s="78">
      <c r="A2561" s="95">
        <f>IF($H2561="","",ROW()-6)</f>
        <v/>
      </c>
      <c r="B2561" s="114" t="n"/>
      <c r="C2561" s="102" t="n"/>
      <c r="D2561" s="114" t="n"/>
      <c r="E2561" s="103" t="n"/>
      <c r="F2561" s="102" t="n"/>
      <c r="G2561" s="102" t="n"/>
      <c r="H2561" s="115" t="n"/>
      <c r="I2561" s="102" t="n"/>
      <c r="J2561" s="102" t="n"/>
      <c r="K2561" s="103" t="n"/>
      <c r="L2561" s="116">
        <f>IF($H2561="","",TRIM(IF(COUNTIF(DMTK!$A$7:$A$250,$F2561)=0,"TK Nợ sai! ","")&amp;IF(COUNTIF(DMTK!$A$7:$A$250,$G2561)=0,"TK Có sai! ","")&amp;IF(N($H2561)&lt;=0,"Tiền phải &gt; 0! ","")&amp;IF($B2561="","Thiếu ngày! ","")&amp;IF(AND(OR(LEFT($F2561,3)="131",LEFT($G2561,3)="131",LEFT($F2561,3)="331",LEFT($G2561,3)="331"),$I2561=""),"Thiếu Mã ĐT! ","")&amp;IF(AND($I2561&lt;&gt;"",COUNTIF(DM_DT!$A$7:$A$306,$I2561)=0),"Mã ĐT chưa khai báo! ","")))</f>
        <v/>
      </c>
      <c r="M2561" s="117">
        <f>IF($H2561="","",IF(AND(OR(LEFT($F2561,3)="111",LEFT($F2561,3)="112",LEFT($F2561,3)="113"),OR(LEFT($G2561,3)="111",LEFT($G2561,3)="112",LEFT($G2561,3)="113")),"NB",IF(OR(LEFT($F2561,3)="111",LEFT($F2561,3)="112",LEFT($F2561,3)="113"),"THU",IF(OR(LEFT($G2561,3)="111",LEFT($G2561,3)="112",LEFT($G2561,3)="113"),"CHI",""))))</f>
        <v/>
      </c>
      <c r="N2561" s="117">
        <f>IF($M2561="THU",$G2561,IF($M2561="CHI",$F2561,""))</f>
        <v/>
      </c>
      <c r="O2561" s="117">
        <f>IF(OR($M2561="",$M2561="NB"),"",IF($J2561&lt;&gt;"",TEXT($J2561,"00"),IFERROR(VLOOKUP(LEFT($N2561,4),LCTT_MAP!$A$7:$C$66,IF($M2561="THU",2,3),FALSE()),IFERROR(VLOOKUP(LEFT($N2561,3),LCTT_MAP!$A$7:$C$66,IF($M2561="THU",2,3),FALSE()),IFERROR(VLOOKUP(LEFT($N2561,2),LCTT_MAP!$A$7:$C$66,IF($M2561="THU",2,3),FALSE()),IFERROR(VLOOKUP(LEFT($N2561,1),LCTT_MAP!$A$7:$C$66,IF($M2561="THU",2,3),FALSE()),IF($M2561="THU","06","07")))))))</f>
        <v/>
      </c>
      <c r="P2561" s="117">
        <f>P2560+IF(AND($H2561&lt;&gt;"",OR(LEFT($F2561,LEN(SC_TK))=SC_TK,LEFT($G2561,LEN(SC_TK))=SC_TK)),1,0)</f>
        <v/>
      </c>
    </row>
    <row r="2562" ht="15" customHeight="1" s="78">
      <c r="A2562" s="95">
        <f>IF($H2562="","",ROW()-6)</f>
        <v/>
      </c>
      <c r="B2562" s="114" t="n"/>
      <c r="C2562" s="102" t="n"/>
      <c r="D2562" s="114" t="n"/>
      <c r="E2562" s="103" t="n"/>
      <c r="F2562" s="102" t="n"/>
      <c r="G2562" s="102" t="n"/>
      <c r="H2562" s="115" t="n"/>
      <c r="I2562" s="102" t="n"/>
      <c r="J2562" s="102" t="n"/>
      <c r="K2562" s="103" t="n"/>
      <c r="L2562" s="116">
        <f>IF($H2562="","",TRIM(IF(COUNTIF(DMTK!$A$7:$A$250,$F2562)=0,"TK Nợ sai! ","")&amp;IF(COUNTIF(DMTK!$A$7:$A$250,$G2562)=0,"TK Có sai! ","")&amp;IF(N($H2562)&lt;=0,"Tiền phải &gt; 0! ","")&amp;IF($B2562="","Thiếu ngày! ","")&amp;IF(AND(OR(LEFT($F2562,3)="131",LEFT($G2562,3)="131",LEFT($F2562,3)="331",LEFT($G2562,3)="331"),$I2562=""),"Thiếu Mã ĐT! ","")&amp;IF(AND($I2562&lt;&gt;"",COUNTIF(DM_DT!$A$7:$A$306,$I2562)=0),"Mã ĐT chưa khai báo! ","")))</f>
        <v/>
      </c>
      <c r="M2562" s="117">
        <f>IF($H2562="","",IF(AND(OR(LEFT($F2562,3)="111",LEFT($F2562,3)="112",LEFT($F2562,3)="113"),OR(LEFT($G2562,3)="111",LEFT($G2562,3)="112",LEFT($G2562,3)="113")),"NB",IF(OR(LEFT($F2562,3)="111",LEFT($F2562,3)="112",LEFT($F2562,3)="113"),"THU",IF(OR(LEFT($G2562,3)="111",LEFT($G2562,3)="112",LEFT($G2562,3)="113"),"CHI",""))))</f>
        <v/>
      </c>
      <c r="N2562" s="117">
        <f>IF($M2562="THU",$G2562,IF($M2562="CHI",$F2562,""))</f>
        <v/>
      </c>
      <c r="O2562" s="117">
        <f>IF(OR($M2562="",$M2562="NB"),"",IF($J2562&lt;&gt;"",TEXT($J2562,"00"),IFERROR(VLOOKUP(LEFT($N2562,4),LCTT_MAP!$A$7:$C$66,IF($M2562="THU",2,3),FALSE()),IFERROR(VLOOKUP(LEFT($N2562,3),LCTT_MAP!$A$7:$C$66,IF($M2562="THU",2,3),FALSE()),IFERROR(VLOOKUP(LEFT($N2562,2),LCTT_MAP!$A$7:$C$66,IF($M2562="THU",2,3),FALSE()),IFERROR(VLOOKUP(LEFT($N2562,1),LCTT_MAP!$A$7:$C$66,IF($M2562="THU",2,3),FALSE()),IF($M2562="THU","06","07")))))))</f>
        <v/>
      </c>
      <c r="P2562" s="117">
        <f>P2561+IF(AND($H2562&lt;&gt;"",OR(LEFT($F2562,LEN(SC_TK))=SC_TK,LEFT($G2562,LEN(SC_TK))=SC_TK)),1,0)</f>
        <v/>
      </c>
    </row>
    <row r="2563" ht="15" customHeight="1" s="78">
      <c r="A2563" s="95">
        <f>IF($H2563="","",ROW()-6)</f>
        <v/>
      </c>
      <c r="B2563" s="114" t="n"/>
      <c r="C2563" s="102" t="n"/>
      <c r="D2563" s="114" t="n"/>
      <c r="E2563" s="103" t="n"/>
      <c r="F2563" s="102" t="n"/>
      <c r="G2563" s="102" t="n"/>
      <c r="H2563" s="115" t="n"/>
      <c r="I2563" s="102" t="n"/>
      <c r="J2563" s="102" t="n"/>
      <c r="K2563" s="103" t="n"/>
      <c r="L2563" s="116">
        <f>IF($H2563="","",TRIM(IF(COUNTIF(DMTK!$A$7:$A$250,$F2563)=0,"TK Nợ sai! ","")&amp;IF(COUNTIF(DMTK!$A$7:$A$250,$G2563)=0,"TK Có sai! ","")&amp;IF(N($H2563)&lt;=0,"Tiền phải &gt; 0! ","")&amp;IF($B2563="","Thiếu ngày! ","")&amp;IF(AND(OR(LEFT($F2563,3)="131",LEFT($G2563,3)="131",LEFT($F2563,3)="331",LEFT($G2563,3)="331"),$I2563=""),"Thiếu Mã ĐT! ","")&amp;IF(AND($I2563&lt;&gt;"",COUNTIF(DM_DT!$A$7:$A$306,$I2563)=0),"Mã ĐT chưa khai báo! ","")))</f>
        <v/>
      </c>
      <c r="M2563" s="117">
        <f>IF($H2563="","",IF(AND(OR(LEFT($F2563,3)="111",LEFT($F2563,3)="112",LEFT($F2563,3)="113"),OR(LEFT($G2563,3)="111",LEFT($G2563,3)="112",LEFT($G2563,3)="113")),"NB",IF(OR(LEFT($F2563,3)="111",LEFT($F2563,3)="112",LEFT($F2563,3)="113"),"THU",IF(OR(LEFT($G2563,3)="111",LEFT($G2563,3)="112",LEFT($G2563,3)="113"),"CHI",""))))</f>
        <v/>
      </c>
      <c r="N2563" s="117">
        <f>IF($M2563="THU",$G2563,IF($M2563="CHI",$F2563,""))</f>
        <v/>
      </c>
      <c r="O2563" s="117">
        <f>IF(OR($M2563="",$M2563="NB"),"",IF($J2563&lt;&gt;"",TEXT($J2563,"00"),IFERROR(VLOOKUP(LEFT($N2563,4),LCTT_MAP!$A$7:$C$66,IF($M2563="THU",2,3),FALSE()),IFERROR(VLOOKUP(LEFT($N2563,3),LCTT_MAP!$A$7:$C$66,IF($M2563="THU",2,3),FALSE()),IFERROR(VLOOKUP(LEFT($N2563,2),LCTT_MAP!$A$7:$C$66,IF($M2563="THU",2,3),FALSE()),IFERROR(VLOOKUP(LEFT($N2563,1),LCTT_MAP!$A$7:$C$66,IF($M2563="THU",2,3),FALSE()),IF($M2563="THU","06","07")))))))</f>
        <v/>
      </c>
      <c r="P2563" s="117">
        <f>P2562+IF(AND($H2563&lt;&gt;"",OR(LEFT($F2563,LEN(SC_TK))=SC_TK,LEFT($G2563,LEN(SC_TK))=SC_TK)),1,0)</f>
        <v/>
      </c>
    </row>
    <row r="2564" ht="15" customHeight="1" s="78">
      <c r="A2564" s="95">
        <f>IF($H2564="","",ROW()-6)</f>
        <v/>
      </c>
      <c r="B2564" s="114" t="n"/>
      <c r="C2564" s="102" t="n"/>
      <c r="D2564" s="114" t="n"/>
      <c r="E2564" s="103" t="n"/>
      <c r="F2564" s="102" t="n"/>
      <c r="G2564" s="102" t="n"/>
      <c r="H2564" s="115" t="n"/>
      <c r="I2564" s="102" t="n"/>
      <c r="J2564" s="102" t="n"/>
      <c r="K2564" s="103" t="n"/>
      <c r="L2564" s="116">
        <f>IF($H2564="","",TRIM(IF(COUNTIF(DMTK!$A$7:$A$250,$F2564)=0,"TK Nợ sai! ","")&amp;IF(COUNTIF(DMTK!$A$7:$A$250,$G2564)=0,"TK Có sai! ","")&amp;IF(N($H2564)&lt;=0,"Tiền phải &gt; 0! ","")&amp;IF($B2564="","Thiếu ngày! ","")&amp;IF(AND(OR(LEFT($F2564,3)="131",LEFT($G2564,3)="131",LEFT($F2564,3)="331",LEFT($G2564,3)="331"),$I2564=""),"Thiếu Mã ĐT! ","")&amp;IF(AND($I2564&lt;&gt;"",COUNTIF(DM_DT!$A$7:$A$306,$I2564)=0),"Mã ĐT chưa khai báo! ","")))</f>
        <v/>
      </c>
      <c r="M2564" s="117">
        <f>IF($H2564="","",IF(AND(OR(LEFT($F2564,3)="111",LEFT($F2564,3)="112",LEFT($F2564,3)="113"),OR(LEFT($G2564,3)="111",LEFT($G2564,3)="112",LEFT($G2564,3)="113")),"NB",IF(OR(LEFT($F2564,3)="111",LEFT($F2564,3)="112",LEFT($F2564,3)="113"),"THU",IF(OR(LEFT($G2564,3)="111",LEFT($G2564,3)="112",LEFT($G2564,3)="113"),"CHI",""))))</f>
        <v/>
      </c>
      <c r="N2564" s="117">
        <f>IF($M2564="THU",$G2564,IF($M2564="CHI",$F2564,""))</f>
        <v/>
      </c>
      <c r="O2564" s="117">
        <f>IF(OR($M2564="",$M2564="NB"),"",IF($J2564&lt;&gt;"",TEXT($J2564,"00"),IFERROR(VLOOKUP(LEFT($N2564,4),LCTT_MAP!$A$7:$C$66,IF($M2564="THU",2,3),FALSE()),IFERROR(VLOOKUP(LEFT($N2564,3),LCTT_MAP!$A$7:$C$66,IF($M2564="THU",2,3),FALSE()),IFERROR(VLOOKUP(LEFT($N2564,2),LCTT_MAP!$A$7:$C$66,IF($M2564="THU",2,3),FALSE()),IFERROR(VLOOKUP(LEFT($N2564,1),LCTT_MAP!$A$7:$C$66,IF($M2564="THU",2,3),FALSE()),IF($M2564="THU","06","07")))))))</f>
        <v/>
      </c>
      <c r="P2564" s="117">
        <f>P2563+IF(AND($H2564&lt;&gt;"",OR(LEFT($F2564,LEN(SC_TK))=SC_TK,LEFT($G2564,LEN(SC_TK))=SC_TK)),1,0)</f>
        <v/>
      </c>
    </row>
    <row r="2565" ht="15" customHeight="1" s="78">
      <c r="A2565" s="95">
        <f>IF($H2565="","",ROW()-6)</f>
        <v/>
      </c>
      <c r="B2565" s="114" t="n"/>
      <c r="C2565" s="102" t="n"/>
      <c r="D2565" s="114" t="n"/>
      <c r="E2565" s="103" t="n"/>
      <c r="F2565" s="102" t="n"/>
      <c r="G2565" s="102" t="n"/>
      <c r="H2565" s="115" t="n"/>
      <c r="I2565" s="102" t="n"/>
      <c r="J2565" s="102" t="n"/>
      <c r="K2565" s="103" t="n"/>
      <c r="L2565" s="116">
        <f>IF($H2565="","",TRIM(IF(COUNTIF(DMTK!$A$7:$A$250,$F2565)=0,"TK Nợ sai! ","")&amp;IF(COUNTIF(DMTK!$A$7:$A$250,$G2565)=0,"TK Có sai! ","")&amp;IF(N($H2565)&lt;=0,"Tiền phải &gt; 0! ","")&amp;IF($B2565="","Thiếu ngày! ","")&amp;IF(AND(OR(LEFT($F2565,3)="131",LEFT($G2565,3)="131",LEFT($F2565,3)="331",LEFT($G2565,3)="331"),$I2565=""),"Thiếu Mã ĐT! ","")&amp;IF(AND($I2565&lt;&gt;"",COUNTIF(DM_DT!$A$7:$A$306,$I2565)=0),"Mã ĐT chưa khai báo! ","")))</f>
        <v/>
      </c>
      <c r="M2565" s="117">
        <f>IF($H2565="","",IF(AND(OR(LEFT($F2565,3)="111",LEFT($F2565,3)="112",LEFT($F2565,3)="113"),OR(LEFT($G2565,3)="111",LEFT($G2565,3)="112",LEFT($G2565,3)="113")),"NB",IF(OR(LEFT($F2565,3)="111",LEFT($F2565,3)="112",LEFT($F2565,3)="113"),"THU",IF(OR(LEFT($G2565,3)="111",LEFT($G2565,3)="112",LEFT($G2565,3)="113"),"CHI",""))))</f>
        <v/>
      </c>
      <c r="N2565" s="117">
        <f>IF($M2565="THU",$G2565,IF($M2565="CHI",$F2565,""))</f>
        <v/>
      </c>
      <c r="O2565" s="117">
        <f>IF(OR($M2565="",$M2565="NB"),"",IF($J2565&lt;&gt;"",TEXT($J2565,"00"),IFERROR(VLOOKUP(LEFT($N2565,4),LCTT_MAP!$A$7:$C$66,IF($M2565="THU",2,3),FALSE()),IFERROR(VLOOKUP(LEFT($N2565,3),LCTT_MAP!$A$7:$C$66,IF($M2565="THU",2,3),FALSE()),IFERROR(VLOOKUP(LEFT($N2565,2),LCTT_MAP!$A$7:$C$66,IF($M2565="THU",2,3),FALSE()),IFERROR(VLOOKUP(LEFT($N2565,1),LCTT_MAP!$A$7:$C$66,IF($M2565="THU",2,3),FALSE()),IF($M2565="THU","06","07")))))))</f>
        <v/>
      </c>
      <c r="P2565" s="117">
        <f>P2564+IF(AND($H2565&lt;&gt;"",OR(LEFT($F2565,LEN(SC_TK))=SC_TK,LEFT($G2565,LEN(SC_TK))=SC_TK)),1,0)</f>
        <v/>
      </c>
    </row>
    <row r="2566" ht="15" customHeight="1" s="78">
      <c r="A2566" s="95">
        <f>IF($H2566="","",ROW()-6)</f>
        <v/>
      </c>
      <c r="B2566" s="114" t="n"/>
      <c r="C2566" s="102" t="n"/>
      <c r="D2566" s="114" t="n"/>
      <c r="E2566" s="103" t="n"/>
      <c r="F2566" s="102" t="n"/>
      <c r="G2566" s="102" t="n"/>
      <c r="H2566" s="115" t="n"/>
      <c r="I2566" s="102" t="n"/>
      <c r="J2566" s="102" t="n"/>
      <c r="K2566" s="103" t="n"/>
      <c r="L2566" s="116">
        <f>IF($H2566="","",TRIM(IF(COUNTIF(DMTK!$A$7:$A$250,$F2566)=0,"TK Nợ sai! ","")&amp;IF(COUNTIF(DMTK!$A$7:$A$250,$G2566)=0,"TK Có sai! ","")&amp;IF(N($H2566)&lt;=0,"Tiền phải &gt; 0! ","")&amp;IF($B2566="","Thiếu ngày! ","")&amp;IF(AND(OR(LEFT($F2566,3)="131",LEFT($G2566,3)="131",LEFT($F2566,3)="331",LEFT($G2566,3)="331"),$I2566=""),"Thiếu Mã ĐT! ","")&amp;IF(AND($I2566&lt;&gt;"",COUNTIF(DM_DT!$A$7:$A$306,$I2566)=0),"Mã ĐT chưa khai báo! ","")))</f>
        <v/>
      </c>
      <c r="M2566" s="117">
        <f>IF($H2566="","",IF(AND(OR(LEFT($F2566,3)="111",LEFT($F2566,3)="112",LEFT($F2566,3)="113"),OR(LEFT($G2566,3)="111",LEFT($G2566,3)="112",LEFT($G2566,3)="113")),"NB",IF(OR(LEFT($F2566,3)="111",LEFT($F2566,3)="112",LEFT($F2566,3)="113"),"THU",IF(OR(LEFT($G2566,3)="111",LEFT($G2566,3)="112",LEFT($G2566,3)="113"),"CHI",""))))</f>
        <v/>
      </c>
      <c r="N2566" s="117">
        <f>IF($M2566="THU",$G2566,IF($M2566="CHI",$F2566,""))</f>
        <v/>
      </c>
      <c r="O2566" s="117">
        <f>IF(OR($M2566="",$M2566="NB"),"",IF($J2566&lt;&gt;"",TEXT($J2566,"00"),IFERROR(VLOOKUP(LEFT($N2566,4),LCTT_MAP!$A$7:$C$66,IF($M2566="THU",2,3),FALSE()),IFERROR(VLOOKUP(LEFT($N2566,3),LCTT_MAP!$A$7:$C$66,IF($M2566="THU",2,3),FALSE()),IFERROR(VLOOKUP(LEFT($N2566,2),LCTT_MAP!$A$7:$C$66,IF($M2566="THU",2,3),FALSE()),IFERROR(VLOOKUP(LEFT($N2566,1),LCTT_MAP!$A$7:$C$66,IF($M2566="THU",2,3),FALSE()),IF($M2566="THU","06","07")))))))</f>
        <v/>
      </c>
      <c r="P2566" s="117">
        <f>P2565+IF(AND($H2566&lt;&gt;"",OR(LEFT($F2566,LEN(SC_TK))=SC_TK,LEFT($G2566,LEN(SC_TK))=SC_TK)),1,0)</f>
        <v/>
      </c>
    </row>
    <row r="2567" ht="15" customHeight="1" s="78">
      <c r="A2567" s="95">
        <f>IF($H2567="","",ROW()-6)</f>
        <v/>
      </c>
      <c r="B2567" s="114" t="n"/>
      <c r="C2567" s="102" t="n"/>
      <c r="D2567" s="114" t="n"/>
      <c r="E2567" s="103" t="n"/>
      <c r="F2567" s="102" t="n"/>
      <c r="G2567" s="102" t="n"/>
      <c r="H2567" s="115" t="n"/>
      <c r="I2567" s="102" t="n"/>
      <c r="J2567" s="102" t="n"/>
      <c r="K2567" s="103" t="n"/>
      <c r="L2567" s="116">
        <f>IF($H2567="","",TRIM(IF(COUNTIF(DMTK!$A$7:$A$250,$F2567)=0,"TK Nợ sai! ","")&amp;IF(COUNTIF(DMTK!$A$7:$A$250,$G2567)=0,"TK Có sai! ","")&amp;IF(N($H2567)&lt;=0,"Tiền phải &gt; 0! ","")&amp;IF($B2567="","Thiếu ngày! ","")&amp;IF(AND(OR(LEFT($F2567,3)="131",LEFT($G2567,3)="131",LEFT($F2567,3)="331",LEFT($G2567,3)="331"),$I2567=""),"Thiếu Mã ĐT! ","")&amp;IF(AND($I2567&lt;&gt;"",COUNTIF(DM_DT!$A$7:$A$306,$I2567)=0),"Mã ĐT chưa khai báo! ","")))</f>
        <v/>
      </c>
      <c r="M2567" s="117">
        <f>IF($H2567="","",IF(AND(OR(LEFT($F2567,3)="111",LEFT($F2567,3)="112",LEFT($F2567,3)="113"),OR(LEFT($G2567,3)="111",LEFT($G2567,3)="112",LEFT($G2567,3)="113")),"NB",IF(OR(LEFT($F2567,3)="111",LEFT($F2567,3)="112",LEFT($F2567,3)="113"),"THU",IF(OR(LEFT($G2567,3)="111",LEFT($G2567,3)="112",LEFT($G2567,3)="113"),"CHI",""))))</f>
        <v/>
      </c>
      <c r="N2567" s="117">
        <f>IF($M2567="THU",$G2567,IF($M2567="CHI",$F2567,""))</f>
        <v/>
      </c>
      <c r="O2567" s="117">
        <f>IF(OR($M2567="",$M2567="NB"),"",IF($J2567&lt;&gt;"",TEXT($J2567,"00"),IFERROR(VLOOKUP(LEFT($N2567,4),LCTT_MAP!$A$7:$C$66,IF($M2567="THU",2,3),FALSE()),IFERROR(VLOOKUP(LEFT($N2567,3),LCTT_MAP!$A$7:$C$66,IF($M2567="THU",2,3),FALSE()),IFERROR(VLOOKUP(LEFT($N2567,2),LCTT_MAP!$A$7:$C$66,IF($M2567="THU",2,3),FALSE()),IFERROR(VLOOKUP(LEFT($N2567,1),LCTT_MAP!$A$7:$C$66,IF($M2567="THU",2,3),FALSE()),IF($M2567="THU","06","07")))))))</f>
        <v/>
      </c>
      <c r="P2567" s="117">
        <f>P2566+IF(AND($H2567&lt;&gt;"",OR(LEFT($F2567,LEN(SC_TK))=SC_TK,LEFT($G2567,LEN(SC_TK))=SC_TK)),1,0)</f>
        <v/>
      </c>
    </row>
    <row r="2568" ht="15" customHeight="1" s="78">
      <c r="A2568" s="95">
        <f>IF($H2568="","",ROW()-6)</f>
        <v/>
      </c>
      <c r="B2568" s="114" t="n"/>
      <c r="C2568" s="102" t="n"/>
      <c r="D2568" s="114" t="n"/>
      <c r="E2568" s="103" t="n"/>
      <c r="F2568" s="102" t="n"/>
      <c r="G2568" s="102" t="n"/>
      <c r="H2568" s="115" t="n"/>
      <c r="I2568" s="102" t="n"/>
      <c r="J2568" s="102" t="n"/>
      <c r="K2568" s="103" t="n"/>
      <c r="L2568" s="116">
        <f>IF($H2568="","",TRIM(IF(COUNTIF(DMTK!$A$7:$A$250,$F2568)=0,"TK Nợ sai! ","")&amp;IF(COUNTIF(DMTK!$A$7:$A$250,$G2568)=0,"TK Có sai! ","")&amp;IF(N($H2568)&lt;=0,"Tiền phải &gt; 0! ","")&amp;IF($B2568="","Thiếu ngày! ","")&amp;IF(AND(OR(LEFT($F2568,3)="131",LEFT($G2568,3)="131",LEFT($F2568,3)="331",LEFT($G2568,3)="331"),$I2568=""),"Thiếu Mã ĐT! ","")&amp;IF(AND($I2568&lt;&gt;"",COUNTIF(DM_DT!$A$7:$A$306,$I2568)=0),"Mã ĐT chưa khai báo! ","")))</f>
        <v/>
      </c>
      <c r="M2568" s="117">
        <f>IF($H2568="","",IF(AND(OR(LEFT($F2568,3)="111",LEFT($F2568,3)="112",LEFT($F2568,3)="113"),OR(LEFT($G2568,3)="111",LEFT($G2568,3)="112",LEFT($G2568,3)="113")),"NB",IF(OR(LEFT($F2568,3)="111",LEFT($F2568,3)="112",LEFT($F2568,3)="113"),"THU",IF(OR(LEFT($G2568,3)="111",LEFT($G2568,3)="112",LEFT($G2568,3)="113"),"CHI",""))))</f>
        <v/>
      </c>
      <c r="N2568" s="117">
        <f>IF($M2568="THU",$G2568,IF($M2568="CHI",$F2568,""))</f>
        <v/>
      </c>
      <c r="O2568" s="117">
        <f>IF(OR($M2568="",$M2568="NB"),"",IF($J2568&lt;&gt;"",TEXT($J2568,"00"),IFERROR(VLOOKUP(LEFT($N2568,4),LCTT_MAP!$A$7:$C$66,IF($M2568="THU",2,3),FALSE()),IFERROR(VLOOKUP(LEFT($N2568,3),LCTT_MAP!$A$7:$C$66,IF($M2568="THU",2,3),FALSE()),IFERROR(VLOOKUP(LEFT($N2568,2),LCTT_MAP!$A$7:$C$66,IF($M2568="THU",2,3),FALSE()),IFERROR(VLOOKUP(LEFT($N2568,1),LCTT_MAP!$A$7:$C$66,IF($M2568="THU",2,3),FALSE()),IF($M2568="THU","06","07")))))))</f>
        <v/>
      </c>
      <c r="P2568" s="117">
        <f>P2567+IF(AND($H2568&lt;&gt;"",OR(LEFT($F2568,LEN(SC_TK))=SC_TK,LEFT($G2568,LEN(SC_TK))=SC_TK)),1,0)</f>
        <v/>
      </c>
    </row>
    <row r="2569" ht="15" customHeight="1" s="78">
      <c r="A2569" s="95">
        <f>IF($H2569="","",ROW()-6)</f>
        <v/>
      </c>
      <c r="B2569" s="114" t="n"/>
      <c r="C2569" s="102" t="n"/>
      <c r="D2569" s="114" t="n"/>
      <c r="E2569" s="103" t="n"/>
      <c r="F2569" s="102" t="n"/>
      <c r="G2569" s="102" t="n"/>
      <c r="H2569" s="115" t="n"/>
      <c r="I2569" s="102" t="n"/>
      <c r="J2569" s="102" t="n"/>
      <c r="K2569" s="103" t="n"/>
      <c r="L2569" s="116">
        <f>IF($H2569="","",TRIM(IF(COUNTIF(DMTK!$A$7:$A$250,$F2569)=0,"TK Nợ sai! ","")&amp;IF(COUNTIF(DMTK!$A$7:$A$250,$G2569)=0,"TK Có sai! ","")&amp;IF(N($H2569)&lt;=0,"Tiền phải &gt; 0! ","")&amp;IF($B2569="","Thiếu ngày! ","")&amp;IF(AND(OR(LEFT($F2569,3)="131",LEFT($G2569,3)="131",LEFT($F2569,3)="331",LEFT($G2569,3)="331"),$I2569=""),"Thiếu Mã ĐT! ","")&amp;IF(AND($I2569&lt;&gt;"",COUNTIF(DM_DT!$A$7:$A$306,$I2569)=0),"Mã ĐT chưa khai báo! ","")))</f>
        <v/>
      </c>
      <c r="M2569" s="117">
        <f>IF($H2569="","",IF(AND(OR(LEFT($F2569,3)="111",LEFT($F2569,3)="112",LEFT($F2569,3)="113"),OR(LEFT($G2569,3)="111",LEFT($G2569,3)="112",LEFT($G2569,3)="113")),"NB",IF(OR(LEFT($F2569,3)="111",LEFT($F2569,3)="112",LEFT($F2569,3)="113"),"THU",IF(OR(LEFT($G2569,3)="111",LEFT($G2569,3)="112",LEFT($G2569,3)="113"),"CHI",""))))</f>
        <v/>
      </c>
      <c r="N2569" s="117">
        <f>IF($M2569="THU",$G2569,IF($M2569="CHI",$F2569,""))</f>
        <v/>
      </c>
      <c r="O2569" s="117">
        <f>IF(OR($M2569="",$M2569="NB"),"",IF($J2569&lt;&gt;"",TEXT($J2569,"00"),IFERROR(VLOOKUP(LEFT($N2569,4),LCTT_MAP!$A$7:$C$66,IF($M2569="THU",2,3),FALSE()),IFERROR(VLOOKUP(LEFT($N2569,3),LCTT_MAP!$A$7:$C$66,IF($M2569="THU",2,3),FALSE()),IFERROR(VLOOKUP(LEFT($N2569,2),LCTT_MAP!$A$7:$C$66,IF($M2569="THU",2,3),FALSE()),IFERROR(VLOOKUP(LEFT($N2569,1),LCTT_MAP!$A$7:$C$66,IF($M2569="THU",2,3),FALSE()),IF($M2569="THU","06","07")))))))</f>
        <v/>
      </c>
      <c r="P2569" s="117">
        <f>P2568+IF(AND($H2569&lt;&gt;"",OR(LEFT($F2569,LEN(SC_TK))=SC_TK,LEFT($G2569,LEN(SC_TK))=SC_TK)),1,0)</f>
        <v/>
      </c>
    </row>
    <row r="2570" ht="15" customHeight="1" s="78">
      <c r="A2570" s="95">
        <f>IF($H2570="","",ROW()-6)</f>
        <v/>
      </c>
      <c r="B2570" s="114" t="n"/>
      <c r="C2570" s="102" t="n"/>
      <c r="D2570" s="114" t="n"/>
      <c r="E2570" s="103" t="n"/>
      <c r="F2570" s="102" t="n"/>
      <c r="G2570" s="102" t="n"/>
      <c r="H2570" s="115" t="n"/>
      <c r="I2570" s="102" t="n"/>
      <c r="J2570" s="102" t="n"/>
      <c r="K2570" s="103" t="n"/>
      <c r="L2570" s="116">
        <f>IF($H2570="","",TRIM(IF(COUNTIF(DMTK!$A$7:$A$250,$F2570)=0,"TK Nợ sai! ","")&amp;IF(COUNTIF(DMTK!$A$7:$A$250,$G2570)=0,"TK Có sai! ","")&amp;IF(N($H2570)&lt;=0,"Tiền phải &gt; 0! ","")&amp;IF($B2570="","Thiếu ngày! ","")&amp;IF(AND(OR(LEFT($F2570,3)="131",LEFT($G2570,3)="131",LEFT($F2570,3)="331",LEFT($G2570,3)="331"),$I2570=""),"Thiếu Mã ĐT! ","")&amp;IF(AND($I2570&lt;&gt;"",COUNTIF(DM_DT!$A$7:$A$306,$I2570)=0),"Mã ĐT chưa khai báo! ","")))</f>
        <v/>
      </c>
      <c r="M2570" s="117">
        <f>IF($H2570="","",IF(AND(OR(LEFT($F2570,3)="111",LEFT($F2570,3)="112",LEFT($F2570,3)="113"),OR(LEFT($G2570,3)="111",LEFT($G2570,3)="112",LEFT($G2570,3)="113")),"NB",IF(OR(LEFT($F2570,3)="111",LEFT($F2570,3)="112",LEFT($F2570,3)="113"),"THU",IF(OR(LEFT($G2570,3)="111",LEFT($G2570,3)="112",LEFT($G2570,3)="113"),"CHI",""))))</f>
        <v/>
      </c>
      <c r="N2570" s="117">
        <f>IF($M2570="THU",$G2570,IF($M2570="CHI",$F2570,""))</f>
        <v/>
      </c>
      <c r="O2570" s="117">
        <f>IF(OR($M2570="",$M2570="NB"),"",IF($J2570&lt;&gt;"",TEXT($J2570,"00"),IFERROR(VLOOKUP(LEFT($N2570,4),LCTT_MAP!$A$7:$C$66,IF($M2570="THU",2,3),FALSE()),IFERROR(VLOOKUP(LEFT($N2570,3),LCTT_MAP!$A$7:$C$66,IF($M2570="THU",2,3),FALSE()),IFERROR(VLOOKUP(LEFT($N2570,2),LCTT_MAP!$A$7:$C$66,IF($M2570="THU",2,3),FALSE()),IFERROR(VLOOKUP(LEFT($N2570,1),LCTT_MAP!$A$7:$C$66,IF($M2570="THU",2,3),FALSE()),IF($M2570="THU","06","07")))))))</f>
        <v/>
      </c>
      <c r="P2570" s="117">
        <f>P2569+IF(AND($H2570&lt;&gt;"",OR(LEFT($F2570,LEN(SC_TK))=SC_TK,LEFT($G2570,LEN(SC_TK))=SC_TK)),1,0)</f>
        <v/>
      </c>
    </row>
    <row r="2571" ht="15" customHeight="1" s="78">
      <c r="A2571" s="95">
        <f>IF($H2571="","",ROW()-6)</f>
        <v/>
      </c>
      <c r="B2571" s="114" t="n"/>
      <c r="C2571" s="102" t="n"/>
      <c r="D2571" s="114" t="n"/>
      <c r="E2571" s="103" t="n"/>
      <c r="F2571" s="102" t="n"/>
      <c r="G2571" s="102" t="n"/>
      <c r="H2571" s="115" t="n"/>
      <c r="I2571" s="102" t="n"/>
      <c r="J2571" s="102" t="n"/>
      <c r="K2571" s="103" t="n"/>
      <c r="L2571" s="116">
        <f>IF($H2571="","",TRIM(IF(COUNTIF(DMTK!$A$7:$A$250,$F2571)=0,"TK Nợ sai! ","")&amp;IF(COUNTIF(DMTK!$A$7:$A$250,$G2571)=0,"TK Có sai! ","")&amp;IF(N($H2571)&lt;=0,"Tiền phải &gt; 0! ","")&amp;IF($B2571="","Thiếu ngày! ","")&amp;IF(AND(OR(LEFT($F2571,3)="131",LEFT($G2571,3)="131",LEFT($F2571,3)="331",LEFT($G2571,3)="331"),$I2571=""),"Thiếu Mã ĐT! ","")&amp;IF(AND($I2571&lt;&gt;"",COUNTIF(DM_DT!$A$7:$A$306,$I2571)=0),"Mã ĐT chưa khai báo! ","")))</f>
        <v/>
      </c>
      <c r="M2571" s="117">
        <f>IF($H2571="","",IF(AND(OR(LEFT($F2571,3)="111",LEFT($F2571,3)="112",LEFT($F2571,3)="113"),OR(LEFT($G2571,3)="111",LEFT($G2571,3)="112",LEFT($G2571,3)="113")),"NB",IF(OR(LEFT($F2571,3)="111",LEFT($F2571,3)="112",LEFT($F2571,3)="113"),"THU",IF(OR(LEFT($G2571,3)="111",LEFT($G2571,3)="112",LEFT($G2571,3)="113"),"CHI",""))))</f>
        <v/>
      </c>
      <c r="N2571" s="117">
        <f>IF($M2571="THU",$G2571,IF($M2571="CHI",$F2571,""))</f>
        <v/>
      </c>
      <c r="O2571" s="117">
        <f>IF(OR($M2571="",$M2571="NB"),"",IF($J2571&lt;&gt;"",TEXT($J2571,"00"),IFERROR(VLOOKUP(LEFT($N2571,4),LCTT_MAP!$A$7:$C$66,IF($M2571="THU",2,3),FALSE()),IFERROR(VLOOKUP(LEFT($N2571,3),LCTT_MAP!$A$7:$C$66,IF($M2571="THU",2,3),FALSE()),IFERROR(VLOOKUP(LEFT($N2571,2),LCTT_MAP!$A$7:$C$66,IF($M2571="THU",2,3),FALSE()),IFERROR(VLOOKUP(LEFT($N2571,1),LCTT_MAP!$A$7:$C$66,IF($M2571="THU",2,3),FALSE()),IF($M2571="THU","06","07")))))))</f>
        <v/>
      </c>
      <c r="P2571" s="117">
        <f>P2570+IF(AND($H2571&lt;&gt;"",OR(LEFT($F2571,LEN(SC_TK))=SC_TK,LEFT($G2571,LEN(SC_TK))=SC_TK)),1,0)</f>
        <v/>
      </c>
    </row>
    <row r="2572" ht="15" customHeight="1" s="78">
      <c r="A2572" s="95">
        <f>IF($H2572="","",ROW()-6)</f>
        <v/>
      </c>
      <c r="B2572" s="114" t="n"/>
      <c r="C2572" s="102" t="n"/>
      <c r="D2572" s="114" t="n"/>
      <c r="E2572" s="103" t="n"/>
      <c r="F2572" s="102" t="n"/>
      <c r="G2572" s="102" t="n"/>
      <c r="H2572" s="115" t="n"/>
      <c r="I2572" s="102" t="n"/>
      <c r="J2572" s="102" t="n"/>
      <c r="K2572" s="103" t="n"/>
      <c r="L2572" s="116">
        <f>IF($H2572="","",TRIM(IF(COUNTIF(DMTK!$A$7:$A$250,$F2572)=0,"TK Nợ sai! ","")&amp;IF(COUNTIF(DMTK!$A$7:$A$250,$G2572)=0,"TK Có sai! ","")&amp;IF(N($H2572)&lt;=0,"Tiền phải &gt; 0! ","")&amp;IF($B2572="","Thiếu ngày! ","")&amp;IF(AND(OR(LEFT($F2572,3)="131",LEFT($G2572,3)="131",LEFT($F2572,3)="331",LEFT($G2572,3)="331"),$I2572=""),"Thiếu Mã ĐT! ","")&amp;IF(AND($I2572&lt;&gt;"",COUNTIF(DM_DT!$A$7:$A$306,$I2572)=0),"Mã ĐT chưa khai báo! ","")))</f>
        <v/>
      </c>
      <c r="M2572" s="117">
        <f>IF($H2572="","",IF(AND(OR(LEFT($F2572,3)="111",LEFT($F2572,3)="112",LEFT($F2572,3)="113"),OR(LEFT($G2572,3)="111",LEFT($G2572,3)="112",LEFT($G2572,3)="113")),"NB",IF(OR(LEFT($F2572,3)="111",LEFT($F2572,3)="112",LEFT($F2572,3)="113"),"THU",IF(OR(LEFT($G2572,3)="111",LEFT($G2572,3)="112",LEFT($G2572,3)="113"),"CHI",""))))</f>
        <v/>
      </c>
      <c r="N2572" s="117">
        <f>IF($M2572="THU",$G2572,IF($M2572="CHI",$F2572,""))</f>
        <v/>
      </c>
      <c r="O2572" s="117">
        <f>IF(OR($M2572="",$M2572="NB"),"",IF($J2572&lt;&gt;"",TEXT($J2572,"00"),IFERROR(VLOOKUP(LEFT($N2572,4),LCTT_MAP!$A$7:$C$66,IF($M2572="THU",2,3),FALSE()),IFERROR(VLOOKUP(LEFT($N2572,3),LCTT_MAP!$A$7:$C$66,IF($M2572="THU",2,3),FALSE()),IFERROR(VLOOKUP(LEFT($N2572,2),LCTT_MAP!$A$7:$C$66,IF($M2572="THU",2,3),FALSE()),IFERROR(VLOOKUP(LEFT($N2572,1),LCTT_MAP!$A$7:$C$66,IF($M2572="THU",2,3),FALSE()),IF($M2572="THU","06","07")))))))</f>
        <v/>
      </c>
      <c r="P2572" s="117">
        <f>P2571+IF(AND($H2572&lt;&gt;"",OR(LEFT($F2572,LEN(SC_TK))=SC_TK,LEFT($G2572,LEN(SC_TK))=SC_TK)),1,0)</f>
        <v/>
      </c>
    </row>
    <row r="2573" ht="15" customHeight="1" s="78">
      <c r="A2573" s="95">
        <f>IF($H2573="","",ROW()-6)</f>
        <v/>
      </c>
      <c r="B2573" s="114" t="n"/>
      <c r="C2573" s="102" t="n"/>
      <c r="D2573" s="114" t="n"/>
      <c r="E2573" s="103" t="n"/>
      <c r="F2573" s="102" t="n"/>
      <c r="G2573" s="102" t="n"/>
      <c r="H2573" s="115" t="n"/>
      <c r="I2573" s="102" t="n"/>
      <c r="J2573" s="102" t="n"/>
      <c r="K2573" s="103" t="n"/>
      <c r="L2573" s="116">
        <f>IF($H2573="","",TRIM(IF(COUNTIF(DMTK!$A$7:$A$250,$F2573)=0,"TK Nợ sai! ","")&amp;IF(COUNTIF(DMTK!$A$7:$A$250,$G2573)=0,"TK Có sai! ","")&amp;IF(N($H2573)&lt;=0,"Tiền phải &gt; 0! ","")&amp;IF($B2573="","Thiếu ngày! ","")&amp;IF(AND(OR(LEFT($F2573,3)="131",LEFT($G2573,3)="131",LEFT($F2573,3)="331",LEFT($G2573,3)="331"),$I2573=""),"Thiếu Mã ĐT! ","")&amp;IF(AND($I2573&lt;&gt;"",COUNTIF(DM_DT!$A$7:$A$306,$I2573)=0),"Mã ĐT chưa khai báo! ","")))</f>
        <v/>
      </c>
      <c r="M2573" s="117">
        <f>IF($H2573="","",IF(AND(OR(LEFT($F2573,3)="111",LEFT($F2573,3)="112",LEFT($F2573,3)="113"),OR(LEFT($G2573,3)="111",LEFT($G2573,3)="112",LEFT($G2573,3)="113")),"NB",IF(OR(LEFT($F2573,3)="111",LEFT($F2573,3)="112",LEFT($F2573,3)="113"),"THU",IF(OR(LEFT($G2573,3)="111",LEFT($G2573,3)="112",LEFT($G2573,3)="113"),"CHI",""))))</f>
        <v/>
      </c>
      <c r="N2573" s="117">
        <f>IF($M2573="THU",$G2573,IF($M2573="CHI",$F2573,""))</f>
        <v/>
      </c>
      <c r="O2573" s="117">
        <f>IF(OR($M2573="",$M2573="NB"),"",IF($J2573&lt;&gt;"",TEXT($J2573,"00"),IFERROR(VLOOKUP(LEFT($N2573,4),LCTT_MAP!$A$7:$C$66,IF($M2573="THU",2,3),FALSE()),IFERROR(VLOOKUP(LEFT($N2573,3),LCTT_MAP!$A$7:$C$66,IF($M2573="THU",2,3),FALSE()),IFERROR(VLOOKUP(LEFT($N2573,2),LCTT_MAP!$A$7:$C$66,IF($M2573="THU",2,3),FALSE()),IFERROR(VLOOKUP(LEFT($N2573,1),LCTT_MAP!$A$7:$C$66,IF($M2573="THU",2,3),FALSE()),IF($M2573="THU","06","07")))))))</f>
        <v/>
      </c>
      <c r="P2573" s="117">
        <f>P2572+IF(AND($H2573&lt;&gt;"",OR(LEFT($F2573,LEN(SC_TK))=SC_TK,LEFT($G2573,LEN(SC_TK))=SC_TK)),1,0)</f>
        <v/>
      </c>
    </row>
    <row r="2574" ht="15" customHeight="1" s="78">
      <c r="A2574" s="95">
        <f>IF($H2574="","",ROW()-6)</f>
        <v/>
      </c>
      <c r="B2574" s="114" t="n"/>
      <c r="C2574" s="102" t="n"/>
      <c r="D2574" s="114" t="n"/>
      <c r="E2574" s="103" t="n"/>
      <c r="F2574" s="102" t="n"/>
      <c r="G2574" s="102" t="n"/>
      <c r="H2574" s="115" t="n"/>
      <c r="I2574" s="102" t="n"/>
      <c r="J2574" s="102" t="n"/>
      <c r="K2574" s="103" t="n"/>
      <c r="L2574" s="116">
        <f>IF($H2574="","",TRIM(IF(COUNTIF(DMTK!$A$7:$A$250,$F2574)=0,"TK Nợ sai! ","")&amp;IF(COUNTIF(DMTK!$A$7:$A$250,$G2574)=0,"TK Có sai! ","")&amp;IF(N($H2574)&lt;=0,"Tiền phải &gt; 0! ","")&amp;IF($B2574="","Thiếu ngày! ","")&amp;IF(AND(OR(LEFT($F2574,3)="131",LEFT($G2574,3)="131",LEFT($F2574,3)="331",LEFT($G2574,3)="331"),$I2574=""),"Thiếu Mã ĐT! ","")&amp;IF(AND($I2574&lt;&gt;"",COUNTIF(DM_DT!$A$7:$A$306,$I2574)=0),"Mã ĐT chưa khai báo! ","")))</f>
        <v/>
      </c>
      <c r="M2574" s="117">
        <f>IF($H2574="","",IF(AND(OR(LEFT($F2574,3)="111",LEFT($F2574,3)="112",LEFT($F2574,3)="113"),OR(LEFT($G2574,3)="111",LEFT($G2574,3)="112",LEFT($G2574,3)="113")),"NB",IF(OR(LEFT($F2574,3)="111",LEFT($F2574,3)="112",LEFT($F2574,3)="113"),"THU",IF(OR(LEFT($G2574,3)="111",LEFT($G2574,3)="112",LEFT($G2574,3)="113"),"CHI",""))))</f>
        <v/>
      </c>
      <c r="N2574" s="117">
        <f>IF($M2574="THU",$G2574,IF($M2574="CHI",$F2574,""))</f>
        <v/>
      </c>
      <c r="O2574" s="117">
        <f>IF(OR($M2574="",$M2574="NB"),"",IF($J2574&lt;&gt;"",TEXT($J2574,"00"),IFERROR(VLOOKUP(LEFT($N2574,4),LCTT_MAP!$A$7:$C$66,IF($M2574="THU",2,3),FALSE()),IFERROR(VLOOKUP(LEFT($N2574,3),LCTT_MAP!$A$7:$C$66,IF($M2574="THU",2,3),FALSE()),IFERROR(VLOOKUP(LEFT($N2574,2),LCTT_MAP!$A$7:$C$66,IF($M2574="THU",2,3),FALSE()),IFERROR(VLOOKUP(LEFT($N2574,1),LCTT_MAP!$A$7:$C$66,IF($M2574="THU",2,3),FALSE()),IF($M2574="THU","06","07")))))))</f>
        <v/>
      </c>
      <c r="P2574" s="117">
        <f>P2573+IF(AND($H2574&lt;&gt;"",OR(LEFT($F2574,LEN(SC_TK))=SC_TK,LEFT($G2574,LEN(SC_TK))=SC_TK)),1,0)</f>
        <v/>
      </c>
    </row>
    <row r="2575" ht="15" customHeight="1" s="78">
      <c r="A2575" s="95">
        <f>IF($H2575="","",ROW()-6)</f>
        <v/>
      </c>
      <c r="B2575" s="114" t="n"/>
      <c r="C2575" s="102" t="n"/>
      <c r="D2575" s="114" t="n"/>
      <c r="E2575" s="103" t="n"/>
      <c r="F2575" s="102" t="n"/>
      <c r="G2575" s="102" t="n"/>
      <c r="H2575" s="115" t="n"/>
      <c r="I2575" s="102" t="n"/>
      <c r="J2575" s="102" t="n"/>
      <c r="K2575" s="103" t="n"/>
      <c r="L2575" s="116">
        <f>IF($H2575="","",TRIM(IF(COUNTIF(DMTK!$A$7:$A$250,$F2575)=0,"TK Nợ sai! ","")&amp;IF(COUNTIF(DMTK!$A$7:$A$250,$G2575)=0,"TK Có sai! ","")&amp;IF(N($H2575)&lt;=0,"Tiền phải &gt; 0! ","")&amp;IF($B2575="","Thiếu ngày! ","")&amp;IF(AND(OR(LEFT($F2575,3)="131",LEFT($G2575,3)="131",LEFT($F2575,3)="331",LEFT($G2575,3)="331"),$I2575=""),"Thiếu Mã ĐT! ","")&amp;IF(AND($I2575&lt;&gt;"",COUNTIF(DM_DT!$A$7:$A$306,$I2575)=0),"Mã ĐT chưa khai báo! ","")))</f>
        <v/>
      </c>
      <c r="M2575" s="117">
        <f>IF($H2575="","",IF(AND(OR(LEFT($F2575,3)="111",LEFT($F2575,3)="112",LEFT($F2575,3)="113"),OR(LEFT($G2575,3)="111",LEFT($G2575,3)="112",LEFT($G2575,3)="113")),"NB",IF(OR(LEFT($F2575,3)="111",LEFT($F2575,3)="112",LEFT($F2575,3)="113"),"THU",IF(OR(LEFT($G2575,3)="111",LEFT($G2575,3)="112",LEFT($G2575,3)="113"),"CHI",""))))</f>
        <v/>
      </c>
      <c r="N2575" s="117">
        <f>IF($M2575="THU",$G2575,IF($M2575="CHI",$F2575,""))</f>
        <v/>
      </c>
      <c r="O2575" s="117">
        <f>IF(OR($M2575="",$M2575="NB"),"",IF($J2575&lt;&gt;"",TEXT($J2575,"00"),IFERROR(VLOOKUP(LEFT($N2575,4),LCTT_MAP!$A$7:$C$66,IF($M2575="THU",2,3),FALSE()),IFERROR(VLOOKUP(LEFT($N2575,3),LCTT_MAP!$A$7:$C$66,IF($M2575="THU",2,3),FALSE()),IFERROR(VLOOKUP(LEFT($N2575,2),LCTT_MAP!$A$7:$C$66,IF($M2575="THU",2,3),FALSE()),IFERROR(VLOOKUP(LEFT($N2575,1),LCTT_MAP!$A$7:$C$66,IF($M2575="THU",2,3),FALSE()),IF($M2575="THU","06","07")))))))</f>
        <v/>
      </c>
      <c r="P2575" s="117">
        <f>P2574+IF(AND($H2575&lt;&gt;"",OR(LEFT($F2575,LEN(SC_TK))=SC_TK,LEFT($G2575,LEN(SC_TK))=SC_TK)),1,0)</f>
        <v/>
      </c>
    </row>
    <row r="2576" ht="15" customHeight="1" s="78">
      <c r="A2576" s="95">
        <f>IF($H2576="","",ROW()-6)</f>
        <v/>
      </c>
      <c r="B2576" s="114" t="n"/>
      <c r="C2576" s="102" t="n"/>
      <c r="D2576" s="114" t="n"/>
      <c r="E2576" s="103" t="n"/>
      <c r="F2576" s="102" t="n"/>
      <c r="G2576" s="102" t="n"/>
      <c r="H2576" s="115" t="n"/>
      <c r="I2576" s="102" t="n"/>
      <c r="J2576" s="102" t="n"/>
      <c r="K2576" s="103" t="n"/>
      <c r="L2576" s="116">
        <f>IF($H2576="","",TRIM(IF(COUNTIF(DMTK!$A$7:$A$250,$F2576)=0,"TK Nợ sai! ","")&amp;IF(COUNTIF(DMTK!$A$7:$A$250,$G2576)=0,"TK Có sai! ","")&amp;IF(N($H2576)&lt;=0,"Tiền phải &gt; 0! ","")&amp;IF($B2576="","Thiếu ngày! ","")&amp;IF(AND(OR(LEFT($F2576,3)="131",LEFT($G2576,3)="131",LEFT($F2576,3)="331",LEFT($G2576,3)="331"),$I2576=""),"Thiếu Mã ĐT! ","")&amp;IF(AND($I2576&lt;&gt;"",COUNTIF(DM_DT!$A$7:$A$306,$I2576)=0),"Mã ĐT chưa khai báo! ","")))</f>
        <v/>
      </c>
      <c r="M2576" s="117">
        <f>IF($H2576="","",IF(AND(OR(LEFT($F2576,3)="111",LEFT($F2576,3)="112",LEFT($F2576,3)="113"),OR(LEFT($G2576,3)="111",LEFT($G2576,3)="112",LEFT($G2576,3)="113")),"NB",IF(OR(LEFT($F2576,3)="111",LEFT($F2576,3)="112",LEFT($F2576,3)="113"),"THU",IF(OR(LEFT($G2576,3)="111",LEFT($G2576,3)="112",LEFT($G2576,3)="113"),"CHI",""))))</f>
        <v/>
      </c>
      <c r="N2576" s="117">
        <f>IF($M2576="THU",$G2576,IF($M2576="CHI",$F2576,""))</f>
        <v/>
      </c>
      <c r="O2576" s="117">
        <f>IF(OR($M2576="",$M2576="NB"),"",IF($J2576&lt;&gt;"",TEXT($J2576,"00"),IFERROR(VLOOKUP(LEFT($N2576,4),LCTT_MAP!$A$7:$C$66,IF($M2576="THU",2,3),FALSE()),IFERROR(VLOOKUP(LEFT($N2576,3),LCTT_MAP!$A$7:$C$66,IF($M2576="THU",2,3),FALSE()),IFERROR(VLOOKUP(LEFT($N2576,2),LCTT_MAP!$A$7:$C$66,IF($M2576="THU",2,3),FALSE()),IFERROR(VLOOKUP(LEFT($N2576,1),LCTT_MAP!$A$7:$C$66,IF($M2576="THU",2,3),FALSE()),IF($M2576="THU","06","07")))))))</f>
        <v/>
      </c>
      <c r="P2576" s="117">
        <f>P2575+IF(AND($H2576&lt;&gt;"",OR(LEFT($F2576,LEN(SC_TK))=SC_TK,LEFT($G2576,LEN(SC_TK))=SC_TK)),1,0)</f>
        <v/>
      </c>
    </row>
    <row r="2577" ht="15" customHeight="1" s="78">
      <c r="A2577" s="95">
        <f>IF($H2577="","",ROW()-6)</f>
        <v/>
      </c>
      <c r="B2577" s="114" t="n"/>
      <c r="C2577" s="102" t="n"/>
      <c r="D2577" s="114" t="n"/>
      <c r="E2577" s="103" t="n"/>
      <c r="F2577" s="102" t="n"/>
      <c r="G2577" s="102" t="n"/>
      <c r="H2577" s="115" t="n"/>
      <c r="I2577" s="102" t="n"/>
      <c r="J2577" s="102" t="n"/>
      <c r="K2577" s="103" t="n"/>
      <c r="L2577" s="116">
        <f>IF($H2577="","",TRIM(IF(COUNTIF(DMTK!$A$7:$A$250,$F2577)=0,"TK Nợ sai! ","")&amp;IF(COUNTIF(DMTK!$A$7:$A$250,$G2577)=0,"TK Có sai! ","")&amp;IF(N($H2577)&lt;=0,"Tiền phải &gt; 0! ","")&amp;IF($B2577="","Thiếu ngày! ","")&amp;IF(AND(OR(LEFT($F2577,3)="131",LEFT($G2577,3)="131",LEFT($F2577,3)="331",LEFT($G2577,3)="331"),$I2577=""),"Thiếu Mã ĐT! ","")&amp;IF(AND($I2577&lt;&gt;"",COUNTIF(DM_DT!$A$7:$A$306,$I2577)=0),"Mã ĐT chưa khai báo! ","")))</f>
        <v/>
      </c>
      <c r="M2577" s="117">
        <f>IF($H2577="","",IF(AND(OR(LEFT($F2577,3)="111",LEFT($F2577,3)="112",LEFT($F2577,3)="113"),OR(LEFT($G2577,3)="111",LEFT($G2577,3)="112",LEFT($G2577,3)="113")),"NB",IF(OR(LEFT($F2577,3)="111",LEFT($F2577,3)="112",LEFT($F2577,3)="113"),"THU",IF(OR(LEFT($G2577,3)="111",LEFT($G2577,3)="112",LEFT($G2577,3)="113"),"CHI",""))))</f>
        <v/>
      </c>
      <c r="N2577" s="117">
        <f>IF($M2577="THU",$G2577,IF($M2577="CHI",$F2577,""))</f>
        <v/>
      </c>
      <c r="O2577" s="117">
        <f>IF(OR($M2577="",$M2577="NB"),"",IF($J2577&lt;&gt;"",TEXT($J2577,"00"),IFERROR(VLOOKUP(LEFT($N2577,4),LCTT_MAP!$A$7:$C$66,IF($M2577="THU",2,3),FALSE()),IFERROR(VLOOKUP(LEFT($N2577,3),LCTT_MAP!$A$7:$C$66,IF($M2577="THU",2,3),FALSE()),IFERROR(VLOOKUP(LEFT($N2577,2),LCTT_MAP!$A$7:$C$66,IF($M2577="THU",2,3),FALSE()),IFERROR(VLOOKUP(LEFT($N2577,1),LCTT_MAP!$A$7:$C$66,IF($M2577="THU",2,3),FALSE()),IF($M2577="THU","06","07")))))))</f>
        <v/>
      </c>
      <c r="P2577" s="117">
        <f>P2576+IF(AND($H2577&lt;&gt;"",OR(LEFT($F2577,LEN(SC_TK))=SC_TK,LEFT($G2577,LEN(SC_TK))=SC_TK)),1,0)</f>
        <v/>
      </c>
    </row>
    <row r="2578" ht="15" customHeight="1" s="78">
      <c r="A2578" s="95">
        <f>IF($H2578="","",ROW()-6)</f>
        <v/>
      </c>
      <c r="B2578" s="114" t="n"/>
      <c r="C2578" s="102" t="n"/>
      <c r="D2578" s="114" t="n"/>
      <c r="E2578" s="103" t="n"/>
      <c r="F2578" s="102" t="n"/>
      <c r="G2578" s="102" t="n"/>
      <c r="H2578" s="115" t="n"/>
      <c r="I2578" s="102" t="n"/>
      <c r="J2578" s="102" t="n"/>
      <c r="K2578" s="103" t="n"/>
      <c r="L2578" s="116">
        <f>IF($H2578="","",TRIM(IF(COUNTIF(DMTK!$A$7:$A$250,$F2578)=0,"TK Nợ sai! ","")&amp;IF(COUNTIF(DMTK!$A$7:$A$250,$G2578)=0,"TK Có sai! ","")&amp;IF(N($H2578)&lt;=0,"Tiền phải &gt; 0! ","")&amp;IF($B2578="","Thiếu ngày! ","")&amp;IF(AND(OR(LEFT($F2578,3)="131",LEFT($G2578,3)="131",LEFT($F2578,3)="331",LEFT($G2578,3)="331"),$I2578=""),"Thiếu Mã ĐT! ","")&amp;IF(AND($I2578&lt;&gt;"",COUNTIF(DM_DT!$A$7:$A$306,$I2578)=0),"Mã ĐT chưa khai báo! ","")))</f>
        <v/>
      </c>
      <c r="M2578" s="117">
        <f>IF($H2578="","",IF(AND(OR(LEFT($F2578,3)="111",LEFT($F2578,3)="112",LEFT($F2578,3)="113"),OR(LEFT($G2578,3)="111",LEFT($G2578,3)="112",LEFT($G2578,3)="113")),"NB",IF(OR(LEFT($F2578,3)="111",LEFT($F2578,3)="112",LEFT($F2578,3)="113"),"THU",IF(OR(LEFT($G2578,3)="111",LEFT($G2578,3)="112",LEFT($G2578,3)="113"),"CHI",""))))</f>
        <v/>
      </c>
      <c r="N2578" s="117">
        <f>IF($M2578="THU",$G2578,IF($M2578="CHI",$F2578,""))</f>
        <v/>
      </c>
      <c r="O2578" s="117">
        <f>IF(OR($M2578="",$M2578="NB"),"",IF($J2578&lt;&gt;"",TEXT($J2578,"00"),IFERROR(VLOOKUP(LEFT($N2578,4),LCTT_MAP!$A$7:$C$66,IF($M2578="THU",2,3),FALSE()),IFERROR(VLOOKUP(LEFT($N2578,3),LCTT_MAP!$A$7:$C$66,IF($M2578="THU",2,3),FALSE()),IFERROR(VLOOKUP(LEFT($N2578,2),LCTT_MAP!$A$7:$C$66,IF($M2578="THU",2,3),FALSE()),IFERROR(VLOOKUP(LEFT($N2578,1),LCTT_MAP!$A$7:$C$66,IF($M2578="THU",2,3),FALSE()),IF($M2578="THU","06","07")))))))</f>
        <v/>
      </c>
      <c r="P2578" s="117">
        <f>P2577+IF(AND($H2578&lt;&gt;"",OR(LEFT($F2578,LEN(SC_TK))=SC_TK,LEFT($G2578,LEN(SC_TK))=SC_TK)),1,0)</f>
        <v/>
      </c>
    </row>
    <row r="2579" ht="15" customHeight="1" s="78">
      <c r="A2579" s="95">
        <f>IF($H2579="","",ROW()-6)</f>
        <v/>
      </c>
      <c r="B2579" s="114" t="n"/>
      <c r="C2579" s="102" t="n"/>
      <c r="D2579" s="114" t="n"/>
      <c r="E2579" s="103" t="n"/>
      <c r="F2579" s="102" t="n"/>
      <c r="G2579" s="102" t="n"/>
      <c r="H2579" s="115" t="n"/>
      <c r="I2579" s="102" t="n"/>
      <c r="J2579" s="102" t="n"/>
      <c r="K2579" s="103" t="n"/>
      <c r="L2579" s="116">
        <f>IF($H2579="","",TRIM(IF(COUNTIF(DMTK!$A$7:$A$250,$F2579)=0,"TK Nợ sai! ","")&amp;IF(COUNTIF(DMTK!$A$7:$A$250,$G2579)=0,"TK Có sai! ","")&amp;IF(N($H2579)&lt;=0,"Tiền phải &gt; 0! ","")&amp;IF($B2579="","Thiếu ngày! ","")&amp;IF(AND(OR(LEFT($F2579,3)="131",LEFT($G2579,3)="131",LEFT($F2579,3)="331",LEFT($G2579,3)="331"),$I2579=""),"Thiếu Mã ĐT! ","")&amp;IF(AND($I2579&lt;&gt;"",COUNTIF(DM_DT!$A$7:$A$306,$I2579)=0),"Mã ĐT chưa khai báo! ","")))</f>
        <v/>
      </c>
      <c r="M2579" s="117">
        <f>IF($H2579="","",IF(AND(OR(LEFT($F2579,3)="111",LEFT($F2579,3)="112",LEFT($F2579,3)="113"),OR(LEFT($G2579,3)="111",LEFT($G2579,3)="112",LEFT($G2579,3)="113")),"NB",IF(OR(LEFT($F2579,3)="111",LEFT($F2579,3)="112",LEFT($F2579,3)="113"),"THU",IF(OR(LEFT($G2579,3)="111",LEFT($G2579,3)="112",LEFT($G2579,3)="113"),"CHI",""))))</f>
        <v/>
      </c>
      <c r="N2579" s="117">
        <f>IF($M2579="THU",$G2579,IF($M2579="CHI",$F2579,""))</f>
        <v/>
      </c>
      <c r="O2579" s="117">
        <f>IF(OR($M2579="",$M2579="NB"),"",IF($J2579&lt;&gt;"",TEXT($J2579,"00"),IFERROR(VLOOKUP(LEFT($N2579,4),LCTT_MAP!$A$7:$C$66,IF($M2579="THU",2,3),FALSE()),IFERROR(VLOOKUP(LEFT($N2579,3),LCTT_MAP!$A$7:$C$66,IF($M2579="THU",2,3),FALSE()),IFERROR(VLOOKUP(LEFT($N2579,2),LCTT_MAP!$A$7:$C$66,IF($M2579="THU",2,3),FALSE()),IFERROR(VLOOKUP(LEFT($N2579,1),LCTT_MAP!$A$7:$C$66,IF($M2579="THU",2,3),FALSE()),IF($M2579="THU","06","07")))))))</f>
        <v/>
      </c>
      <c r="P2579" s="117">
        <f>P2578+IF(AND($H2579&lt;&gt;"",OR(LEFT($F2579,LEN(SC_TK))=SC_TK,LEFT($G2579,LEN(SC_TK))=SC_TK)),1,0)</f>
        <v/>
      </c>
    </row>
    <row r="2580" ht="15" customHeight="1" s="78">
      <c r="A2580" s="95">
        <f>IF($H2580="","",ROW()-6)</f>
        <v/>
      </c>
      <c r="B2580" s="114" t="n"/>
      <c r="C2580" s="102" t="n"/>
      <c r="D2580" s="114" t="n"/>
      <c r="E2580" s="103" t="n"/>
      <c r="F2580" s="102" t="n"/>
      <c r="G2580" s="102" t="n"/>
      <c r="H2580" s="115" t="n"/>
      <c r="I2580" s="102" t="n"/>
      <c r="J2580" s="102" t="n"/>
      <c r="K2580" s="103" t="n"/>
      <c r="L2580" s="116">
        <f>IF($H2580="","",TRIM(IF(COUNTIF(DMTK!$A$7:$A$250,$F2580)=0,"TK Nợ sai! ","")&amp;IF(COUNTIF(DMTK!$A$7:$A$250,$G2580)=0,"TK Có sai! ","")&amp;IF(N($H2580)&lt;=0,"Tiền phải &gt; 0! ","")&amp;IF($B2580="","Thiếu ngày! ","")&amp;IF(AND(OR(LEFT($F2580,3)="131",LEFT($G2580,3)="131",LEFT($F2580,3)="331",LEFT($G2580,3)="331"),$I2580=""),"Thiếu Mã ĐT! ","")&amp;IF(AND($I2580&lt;&gt;"",COUNTIF(DM_DT!$A$7:$A$306,$I2580)=0),"Mã ĐT chưa khai báo! ","")))</f>
        <v/>
      </c>
      <c r="M2580" s="117">
        <f>IF($H2580="","",IF(AND(OR(LEFT($F2580,3)="111",LEFT($F2580,3)="112",LEFT($F2580,3)="113"),OR(LEFT($G2580,3)="111",LEFT($G2580,3)="112",LEFT($G2580,3)="113")),"NB",IF(OR(LEFT($F2580,3)="111",LEFT($F2580,3)="112",LEFT($F2580,3)="113"),"THU",IF(OR(LEFT($G2580,3)="111",LEFT($G2580,3)="112",LEFT($G2580,3)="113"),"CHI",""))))</f>
        <v/>
      </c>
      <c r="N2580" s="117">
        <f>IF($M2580="THU",$G2580,IF($M2580="CHI",$F2580,""))</f>
        <v/>
      </c>
      <c r="O2580" s="117">
        <f>IF(OR($M2580="",$M2580="NB"),"",IF($J2580&lt;&gt;"",TEXT($J2580,"00"),IFERROR(VLOOKUP(LEFT($N2580,4),LCTT_MAP!$A$7:$C$66,IF($M2580="THU",2,3),FALSE()),IFERROR(VLOOKUP(LEFT($N2580,3),LCTT_MAP!$A$7:$C$66,IF($M2580="THU",2,3),FALSE()),IFERROR(VLOOKUP(LEFT($N2580,2),LCTT_MAP!$A$7:$C$66,IF($M2580="THU",2,3),FALSE()),IFERROR(VLOOKUP(LEFT($N2580,1),LCTT_MAP!$A$7:$C$66,IF($M2580="THU",2,3),FALSE()),IF($M2580="THU","06","07")))))))</f>
        <v/>
      </c>
      <c r="P2580" s="117">
        <f>P2579+IF(AND($H2580&lt;&gt;"",OR(LEFT($F2580,LEN(SC_TK))=SC_TK,LEFT($G2580,LEN(SC_TK))=SC_TK)),1,0)</f>
        <v/>
      </c>
    </row>
    <row r="2581" ht="15" customHeight="1" s="78">
      <c r="A2581" s="95">
        <f>IF($H2581="","",ROW()-6)</f>
        <v/>
      </c>
      <c r="B2581" s="114" t="n"/>
      <c r="C2581" s="102" t="n"/>
      <c r="D2581" s="114" t="n"/>
      <c r="E2581" s="103" t="n"/>
      <c r="F2581" s="102" t="n"/>
      <c r="G2581" s="102" t="n"/>
      <c r="H2581" s="115" t="n"/>
      <c r="I2581" s="102" t="n"/>
      <c r="J2581" s="102" t="n"/>
      <c r="K2581" s="103" t="n"/>
      <c r="L2581" s="116">
        <f>IF($H2581="","",TRIM(IF(COUNTIF(DMTK!$A$7:$A$250,$F2581)=0,"TK Nợ sai! ","")&amp;IF(COUNTIF(DMTK!$A$7:$A$250,$G2581)=0,"TK Có sai! ","")&amp;IF(N($H2581)&lt;=0,"Tiền phải &gt; 0! ","")&amp;IF($B2581="","Thiếu ngày! ","")&amp;IF(AND(OR(LEFT($F2581,3)="131",LEFT($G2581,3)="131",LEFT($F2581,3)="331",LEFT($G2581,3)="331"),$I2581=""),"Thiếu Mã ĐT! ","")&amp;IF(AND($I2581&lt;&gt;"",COUNTIF(DM_DT!$A$7:$A$306,$I2581)=0),"Mã ĐT chưa khai báo! ","")))</f>
        <v/>
      </c>
      <c r="M2581" s="117">
        <f>IF($H2581="","",IF(AND(OR(LEFT($F2581,3)="111",LEFT($F2581,3)="112",LEFT($F2581,3)="113"),OR(LEFT($G2581,3)="111",LEFT($G2581,3)="112",LEFT($G2581,3)="113")),"NB",IF(OR(LEFT($F2581,3)="111",LEFT($F2581,3)="112",LEFT($F2581,3)="113"),"THU",IF(OR(LEFT($G2581,3)="111",LEFT($G2581,3)="112",LEFT($G2581,3)="113"),"CHI",""))))</f>
        <v/>
      </c>
      <c r="N2581" s="117">
        <f>IF($M2581="THU",$G2581,IF($M2581="CHI",$F2581,""))</f>
        <v/>
      </c>
      <c r="O2581" s="117">
        <f>IF(OR($M2581="",$M2581="NB"),"",IF($J2581&lt;&gt;"",TEXT($J2581,"00"),IFERROR(VLOOKUP(LEFT($N2581,4),LCTT_MAP!$A$7:$C$66,IF($M2581="THU",2,3),FALSE()),IFERROR(VLOOKUP(LEFT($N2581,3),LCTT_MAP!$A$7:$C$66,IF($M2581="THU",2,3),FALSE()),IFERROR(VLOOKUP(LEFT($N2581,2),LCTT_MAP!$A$7:$C$66,IF($M2581="THU",2,3),FALSE()),IFERROR(VLOOKUP(LEFT($N2581,1),LCTT_MAP!$A$7:$C$66,IF($M2581="THU",2,3),FALSE()),IF($M2581="THU","06","07")))))))</f>
        <v/>
      </c>
      <c r="P2581" s="117">
        <f>P2580+IF(AND($H2581&lt;&gt;"",OR(LEFT($F2581,LEN(SC_TK))=SC_TK,LEFT($G2581,LEN(SC_TK))=SC_TK)),1,0)</f>
        <v/>
      </c>
    </row>
    <row r="2582" ht="15" customHeight="1" s="78">
      <c r="A2582" s="95">
        <f>IF($H2582="","",ROW()-6)</f>
        <v/>
      </c>
      <c r="B2582" s="114" t="n"/>
      <c r="C2582" s="102" t="n"/>
      <c r="D2582" s="114" t="n"/>
      <c r="E2582" s="103" t="n"/>
      <c r="F2582" s="102" t="n"/>
      <c r="G2582" s="102" t="n"/>
      <c r="H2582" s="115" t="n"/>
      <c r="I2582" s="102" t="n"/>
      <c r="J2582" s="102" t="n"/>
      <c r="K2582" s="103" t="n"/>
      <c r="L2582" s="116">
        <f>IF($H2582="","",TRIM(IF(COUNTIF(DMTK!$A$7:$A$250,$F2582)=0,"TK Nợ sai! ","")&amp;IF(COUNTIF(DMTK!$A$7:$A$250,$G2582)=0,"TK Có sai! ","")&amp;IF(N($H2582)&lt;=0,"Tiền phải &gt; 0! ","")&amp;IF($B2582="","Thiếu ngày! ","")&amp;IF(AND(OR(LEFT($F2582,3)="131",LEFT($G2582,3)="131",LEFT($F2582,3)="331",LEFT($G2582,3)="331"),$I2582=""),"Thiếu Mã ĐT! ","")&amp;IF(AND($I2582&lt;&gt;"",COUNTIF(DM_DT!$A$7:$A$306,$I2582)=0),"Mã ĐT chưa khai báo! ","")))</f>
        <v/>
      </c>
      <c r="M2582" s="117">
        <f>IF($H2582="","",IF(AND(OR(LEFT($F2582,3)="111",LEFT($F2582,3)="112",LEFT($F2582,3)="113"),OR(LEFT($G2582,3)="111",LEFT($G2582,3)="112",LEFT($G2582,3)="113")),"NB",IF(OR(LEFT($F2582,3)="111",LEFT($F2582,3)="112",LEFT($F2582,3)="113"),"THU",IF(OR(LEFT($G2582,3)="111",LEFT($G2582,3)="112",LEFT($G2582,3)="113"),"CHI",""))))</f>
        <v/>
      </c>
      <c r="N2582" s="117">
        <f>IF($M2582="THU",$G2582,IF($M2582="CHI",$F2582,""))</f>
        <v/>
      </c>
      <c r="O2582" s="117">
        <f>IF(OR($M2582="",$M2582="NB"),"",IF($J2582&lt;&gt;"",TEXT($J2582,"00"),IFERROR(VLOOKUP(LEFT($N2582,4),LCTT_MAP!$A$7:$C$66,IF($M2582="THU",2,3),FALSE()),IFERROR(VLOOKUP(LEFT($N2582,3),LCTT_MAP!$A$7:$C$66,IF($M2582="THU",2,3),FALSE()),IFERROR(VLOOKUP(LEFT($N2582,2),LCTT_MAP!$A$7:$C$66,IF($M2582="THU",2,3),FALSE()),IFERROR(VLOOKUP(LEFT($N2582,1),LCTT_MAP!$A$7:$C$66,IF($M2582="THU",2,3),FALSE()),IF($M2582="THU","06","07")))))))</f>
        <v/>
      </c>
      <c r="P2582" s="117">
        <f>P2581+IF(AND($H2582&lt;&gt;"",OR(LEFT($F2582,LEN(SC_TK))=SC_TK,LEFT($G2582,LEN(SC_TK))=SC_TK)),1,0)</f>
        <v/>
      </c>
    </row>
    <row r="2583" ht="15" customHeight="1" s="78">
      <c r="A2583" s="95">
        <f>IF($H2583="","",ROW()-6)</f>
        <v/>
      </c>
      <c r="B2583" s="114" t="n"/>
      <c r="C2583" s="102" t="n"/>
      <c r="D2583" s="114" t="n"/>
      <c r="E2583" s="103" t="n"/>
      <c r="F2583" s="102" t="n"/>
      <c r="G2583" s="102" t="n"/>
      <c r="H2583" s="115" t="n"/>
      <c r="I2583" s="102" t="n"/>
      <c r="J2583" s="102" t="n"/>
      <c r="K2583" s="103" t="n"/>
      <c r="L2583" s="116">
        <f>IF($H2583="","",TRIM(IF(COUNTIF(DMTK!$A$7:$A$250,$F2583)=0,"TK Nợ sai! ","")&amp;IF(COUNTIF(DMTK!$A$7:$A$250,$G2583)=0,"TK Có sai! ","")&amp;IF(N($H2583)&lt;=0,"Tiền phải &gt; 0! ","")&amp;IF($B2583="","Thiếu ngày! ","")&amp;IF(AND(OR(LEFT($F2583,3)="131",LEFT($G2583,3)="131",LEFT($F2583,3)="331",LEFT($G2583,3)="331"),$I2583=""),"Thiếu Mã ĐT! ","")&amp;IF(AND($I2583&lt;&gt;"",COUNTIF(DM_DT!$A$7:$A$306,$I2583)=0),"Mã ĐT chưa khai báo! ","")))</f>
        <v/>
      </c>
      <c r="M2583" s="117">
        <f>IF($H2583="","",IF(AND(OR(LEFT($F2583,3)="111",LEFT($F2583,3)="112",LEFT($F2583,3)="113"),OR(LEFT($G2583,3)="111",LEFT($G2583,3)="112",LEFT($G2583,3)="113")),"NB",IF(OR(LEFT($F2583,3)="111",LEFT($F2583,3)="112",LEFT($F2583,3)="113"),"THU",IF(OR(LEFT($G2583,3)="111",LEFT($G2583,3)="112",LEFT($G2583,3)="113"),"CHI",""))))</f>
        <v/>
      </c>
      <c r="N2583" s="117">
        <f>IF($M2583="THU",$G2583,IF($M2583="CHI",$F2583,""))</f>
        <v/>
      </c>
      <c r="O2583" s="117">
        <f>IF(OR($M2583="",$M2583="NB"),"",IF($J2583&lt;&gt;"",TEXT($J2583,"00"),IFERROR(VLOOKUP(LEFT($N2583,4),LCTT_MAP!$A$7:$C$66,IF($M2583="THU",2,3),FALSE()),IFERROR(VLOOKUP(LEFT($N2583,3),LCTT_MAP!$A$7:$C$66,IF($M2583="THU",2,3),FALSE()),IFERROR(VLOOKUP(LEFT($N2583,2),LCTT_MAP!$A$7:$C$66,IF($M2583="THU",2,3),FALSE()),IFERROR(VLOOKUP(LEFT($N2583,1),LCTT_MAP!$A$7:$C$66,IF($M2583="THU",2,3),FALSE()),IF($M2583="THU","06","07")))))))</f>
        <v/>
      </c>
      <c r="P2583" s="117">
        <f>P2582+IF(AND($H2583&lt;&gt;"",OR(LEFT($F2583,LEN(SC_TK))=SC_TK,LEFT($G2583,LEN(SC_TK))=SC_TK)),1,0)</f>
        <v/>
      </c>
    </row>
    <row r="2584" ht="15" customHeight="1" s="78">
      <c r="A2584" s="95">
        <f>IF($H2584="","",ROW()-6)</f>
        <v/>
      </c>
      <c r="B2584" s="114" t="n"/>
      <c r="C2584" s="102" t="n"/>
      <c r="D2584" s="114" t="n"/>
      <c r="E2584" s="103" t="n"/>
      <c r="F2584" s="102" t="n"/>
      <c r="G2584" s="102" t="n"/>
      <c r="H2584" s="115" t="n"/>
      <c r="I2584" s="102" t="n"/>
      <c r="J2584" s="102" t="n"/>
      <c r="K2584" s="103" t="n"/>
      <c r="L2584" s="116">
        <f>IF($H2584="","",TRIM(IF(COUNTIF(DMTK!$A$7:$A$250,$F2584)=0,"TK Nợ sai! ","")&amp;IF(COUNTIF(DMTK!$A$7:$A$250,$G2584)=0,"TK Có sai! ","")&amp;IF(N($H2584)&lt;=0,"Tiền phải &gt; 0! ","")&amp;IF($B2584="","Thiếu ngày! ","")&amp;IF(AND(OR(LEFT($F2584,3)="131",LEFT($G2584,3)="131",LEFT($F2584,3)="331",LEFT($G2584,3)="331"),$I2584=""),"Thiếu Mã ĐT! ","")&amp;IF(AND($I2584&lt;&gt;"",COUNTIF(DM_DT!$A$7:$A$306,$I2584)=0),"Mã ĐT chưa khai báo! ","")))</f>
        <v/>
      </c>
      <c r="M2584" s="117">
        <f>IF($H2584="","",IF(AND(OR(LEFT($F2584,3)="111",LEFT($F2584,3)="112",LEFT($F2584,3)="113"),OR(LEFT($G2584,3)="111",LEFT($G2584,3)="112",LEFT($G2584,3)="113")),"NB",IF(OR(LEFT($F2584,3)="111",LEFT($F2584,3)="112",LEFT($F2584,3)="113"),"THU",IF(OR(LEFT($G2584,3)="111",LEFT($G2584,3)="112",LEFT($G2584,3)="113"),"CHI",""))))</f>
        <v/>
      </c>
      <c r="N2584" s="117">
        <f>IF($M2584="THU",$G2584,IF($M2584="CHI",$F2584,""))</f>
        <v/>
      </c>
      <c r="O2584" s="117">
        <f>IF(OR($M2584="",$M2584="NB"),"",IF($J2584&lt;&gt;"",TEXT($J2584,"00"),IFERROR(VLOOKUP(LEFT($N2584,4),LCTT_MAP!$A$7:$C$66,IF($M2584="THU",2,3),FALSE()),IFERROR(VLOOKUP(LEFT($N2584,3),LCTT_MAP!$A$7:$C$66,IF($M2584="THU",2,3),FALSE()),IFERROR(VLOOKUP(LEFT($N2584,2),LCTT_MAP!$A$7:$C$66,IF($M2584="THU",2,3),FALSE()),IFERROR(VLOOKUP(LEFT($N2584,1),LCTT_MAP!$A$7:$C$66,IF($M2584="THU",2,3),FALSE()),IF($M2584="THU","06","07")))))))</f>
        <v/>
      </c>
      <c r="P2584" s="117">
        <f>P2583+IF(AND($H2584&lt;&gt;"",OR(LEFT($F2584,LEN(SC_TK))=SC_TK,LEFT($G2584,LEN(SC_TK))=SC_TK)),1,0)</f>
        <v/>
      </c>
    </row>
    <row r="2585" ht="15" customHeight="1" s="78">
      <c r="A2585" s="95">
        <f>IF($H2585="","",ROW()-6)</f>
        <v/>
      </c>
      <c r="B2585" s="114" t="n"/>
      <c r="C2585" s="102" t="n"/>
      <c r="D2585" s="114" t="n"/>
      <c r="E2585" s="103" t="n"/>
      <c r="F2585" s="102" t="n"/>
      <c r="G2585" s="102" t="n"/>
      <c r="H2585" s="115" t="n"/>
      <c r="I2585" s="102" t="n"/>
      <c r="J2585" s="102" t="n"/>
      <c r="K2585" s="103" t="n"/>
      <c r="L2585" s="116">
        <f>IF($H2585="","",TRIM(IF(COUNTIF(DMTK!$A$7:$A$250,$F2585)=0,"TK Nợ sai! ","")&amp;IF(COUNTIF(DMTK!$A$7:$A$250,$G2585)=0,"TK Có sai! ","")&amp;IF(N($H2585)&lt;=0,"Tiền phải &gt; 0! ","")&amp;IF($B2585="","Thiếu ngày! ","")&amp;IF(AND(OR(LEFT($F2585,3)="131",LEFT($G2585,3)="131",LEFT($F2585,3)="331",LEFT($G2585,3)="331"),$I2585=""),"Thiếu Mã ĐT! ","")&amp;IF(AND($I2585&lt;&gt;"",COUNTIF(DM_DT!$A$7:$A$306,$I2585)=0),"Mã ĐT chưa khai báo! ","")))</f>
        <v/>
      </c>
      <c r="M2585" s="117">
        <f>IF($H2585="","",IF(AND(OR(LEFT($F2585,3)="111",LEFT($F2585,3)="112",LEFT($F2585,3)="113"),OR(LEFT($G2585,3)="111",LEFT($G2585,3)="112",LEFT($G2585,3)="113")),"NB",IF(OR(LEFT($F2585,3)="111",LEFT($F2585,3)="112",LEFT($F2585,3)="113"),"THU",IF(OR(LEFT($G2585,3)="111",LEFT($G2585,3)="112",LEFT($G2585,3)="113"),"CHI",""))))</f>
        <v/>
      </c>
      <c r="N2585" s="117">
        <f>IF($M2585="THU",$G2585,IF($M2585="CHI",$F2585,""))</f>
        <v/>
      </c>
      <c r="O2585" s="117">
        <f>IF(OR($M2585="",$M2585="NB"),"",IF($J2585&lt;&gt;"",TEXT($J2585,"00"),IFERROR(VLOOKUP(LEFT($N2585,4),LCTT_MAP!$A$7:$C$66,IF($M2585="THU",2,3),FALSE()),IFERROR(VLOOKUP(LEFT($N2585,3),LCTT_MAP!$A$7:$C$66,IF($M2585="THU",2,3),FALSE()),IFERROR(VLOOKUP(LEFT($N2585,2),LCTT_MAP!$A$7:$C$66,IF($M2585="THU",2,3),FALSE()),IFERROR(VLOOKUP(LEFT($N2585,1),LCTT_MAP!$A$7:$C$66,IF($M2585="THU",2,3),FALSE()),IF($M2585="THU","06","07")))))))</f>
        <v/>
      </c>
      <c r="P2585" s="117">
        <f>P2584+IF(AND($H2585&lt;&gt;"",OR(LEFT($F2585,LEN(SC_TK))=SC_TK,LEFT($G2585,LEN(SC_TK))=SC_TK)),1,0)</f>
        <v/>
      </c>
    </row>
    <row r="2586" ht="15" customHeight="1" s="78">
      <c r="A2586" s="95">
        <f>IF($H2586="","",ROW()-6)</f>
        <v/>
      </c>
      <c r="B2586" s="114" t="n"/>
      <c r="C2586" s="102" t="n"/>
      <c r="D2586" s="114" t="n"/>
      <c r="E2586" s="103" t="n"/>
      <c r="F2586" s="102" t="n"/>
      <c r="G2586" s="102" t="n"/>
      <c r="H2586" s="115" t="n"/>
      <c r="I2586" s="102" t="n"/>
      <c r="J2586" s="102" t="n"/>
      <c r="K2586" s="103" t="n"/>
      <c r="L2586" s="116">
        <f>IF($H2586="","",TRIM(IF(COUNTIF(DMTK!$A$7:$A$250,$F2586)=0,"TK Nợ sai! ","")&amp;IF(COUNTIF(DMTK!$A$7:$A$250,$G2586)=0,"TK Có sai! ","")&amp;IF(N($H2586)&lt;=0,"Tiền phải &gt; 0! ","")&amp;IF($B2586="","Thiếu ngày! ","")&amp;IF(AND(OR(LEFT($F2586,3)="131",LEFT($G2586,3)="131",LEFT($F2586,3)="331",LEFT($G2586,3)="331"),$I2586=""),"Thiếu Mã ĐT! ","")&amp;IF(AND($I2586&lt;&gt;"",COUNTIF(DM_DT!$A$7:$A$306,$I2586)=0),"Mã ĐT chưa khai báo! ","")))</f>
        <v/>
      </c>
      <c r="M2586" s="117">
        <f>IF($H2586="","",IF(AND(OR(LEFT($F2586,3)="111",LEFT($F2586,3)="112",LEFT($F2586,3)="113"),OR(LEFT($G2586,3)="111",LEFT($G2586,3)="112",LEFT($G2586,3)="113")),"NB",IF(OR(LEFT($F2586,3)="111",LEFT($F2586,3)="112",LEFT($F2586,3)="113"),"THU",IF(OR(LEFT($G2586,3)="111",LEFT($G2586,3)="112",LEFT($G2586,3)="113"),"CHI",""))))</f>
        <v/>
      </c>
      <c r="N2586" s="117">
        <f>IF($M2586="THU",$G2586,IF($M2586="CHI",$F2586,""))</f>
        <v/>
      </c>
      <c r="O2586" s="117">
        <f>IF(OR($M2586="",$M2586="NB"),"",IF($J2586&lt;&gt;"",TEXT($J2586,"00"),IFERROR(VLOOKUP(LEFT($N2586,4),LCTT_MAP!$A$7:$C$66,IF($M2586="THU",2,3),FALSE()),IFERROR(VLOOKUP(LEFT($N2586,3),LCTT_MAP!$A$7:$C$66,IF($M2586="THU",2,3),FALSE()),IFERROR(VLOOKUP(LEFT($N2586,2),LCTT_MAP!$A$7:$C$66,IF($M2586="THU",2,3),FALSE()),IFERROR(VLOOKUP(LEFT($N2586,1),LCTT_MAP!$A$7:$C$66,IF($M2586="THU",2,3),FALSE()),IF($M2586="THU","06","07")))))))</f>
        <v/>
      </c>
      <c r="P2586" s="117">
        <f>P2585+IF(AND($H2586&lt;&gt;"",OR(LEFT($F2586,LEN(SC_TK))=SC_TK,LEFT($G2586,LEN(SC_TK))=SC_TK)),1,0)</f>
        <v/>
      </c>
    </row>
    <row r="2587" ht="15" customHeight="1" s="78">
      <c r="A2587" s="95">
        <f>IF($H2587="","",ROW()-6)</f>
        <v/>
      </c>
      <c r="B2587" s="114" t="n"/>
      <c r="C2587" s="102" t="n"/>
      <c r="D2587" s="114" t="n"/>
      <c r="E2587" s="103" t="n"/>
      <c r="F2587" s="102" t="n"/>
      <c r="G2587" s="102" t="n"/>
      <c r="H2587" s="115" t="n"/>
      <c r="I2587" s="102" t="n"/>
      <c r="J2587" s="102" t="n"/>
      <c r="K2587" s="103" t="n"/>
      <c r="L2587" s="116">
        <f>IF($H2587="","",TRIM(IF(COUNTIF(DMTK!$A$7:$A$250,$F2587)=0,"TK Nợ sai! ","")&amp;IF(COUNTIF(DMTK!$A$7:$A$250,$G2587)=0,"TK Có sai! ","")&amp;IF(N($H2587)&lt;=0,"Tiền phải &gt; 0! ","")&amp;IF($B2587="","Thiếu ngày! ","")&amp;IF(AND(OR(LEFT($F2587,3)="131",LEFT($G2587,3)="131",LEFT($F2587,3)="331",LEFT($G2587,3)="331"),$I2587=""),"Thiếu Mã ĐT! ","")&amp;IF(AND($I2587&lt;&gt;"",COUNTIF(DM_DT!$A$7:$A$306,$I2587)=0),"Mã ĐT chưa khai báo! ","")))</f>
        <v/>
      </c>
      <c r="M2587" s="117">
        <f>IF($H2587="","",IF(AND(OR(LEFT($F2587,3)="111",LEFT($F2587,3)="112",LEFT($F2587,3)="113"),OR(LEFT($G2587,3)="111",LEFT($G2587,3)="112",LEFT($G2587,3)="113")),"NB",IF(OR(LEFT($F2587,3)="111",LEFT($F2587,3)="112",LEFT($F2587,3)="113"),"THU",IF(OR(LEFT($G2587,3)="111",LEFT($G2587,3)="112",LEFT($G2587,3)="113"),"CHI",""))))</f>
        <v/>
      </c>
      <c r="N2587" s="117">
        <f>IF($M2587="THU",$G2587,IF($M2587="CHI",$F2587,""))</f>
        <v/>
      </c>
      <c r="O2587" s="117">
        <f>IF(OR($M2587="",$M2587="NB"),"",IF($J2587&lt;&gt;"",TEXT($J2587,"00"),IFERROR(VLOOKUP(LEFT($N2587,4),LCTT_MAP!$A$7:$C$66,IF($M2587="THU",2,3),FALSE()),IFERROR(VLOOKUP(LEFT($N2587,3),LCTT_MAP!$A$7:$C$66,IF($M2587="THU",2,3),FALSE()),IFERROR(VLOOKUP(LEFT($N2587,2),LCTT_MAP!$A$7:$C$66,IF($M2587="THU",2,3),FALSE()),IFERROR(VLOOKUP(LEFT($N2587,1),LCTT_MAP!$A$7:$C$66,IF($M2587="THU",2,3),FALSE()),IF($M2587="THU","06","07")))))))</f>
        <v/>
      </c>
      <c r="P2587" s="117">
        <f>P2586+IF(AND($H2587&lt;&gt;"",OR(LEFT($F2587,LEN(SC_TK))=SC_TK,LEFT($G2587,LEN(SC_TK))=SC_TK)),1,0)</f>
        <v/>
      </c>
    </row>
    <row r="2588" ht="15" customHeight="1" s="78">
      <c r="A2588" s="95">
        <f>IF($H2588="","",ROW()-6)</f>
        <v/>
      </c>
      <c r="B2588" s="114" t="n"/>
      <c r="C2588" s="102" t="n"/>
      <c r="D2588" s="114" t="n"/>
      <c r="E2588" s="103" t="n"/>
      <c r="F2588" s="102" t="n"/>
      <c r="G2588" s="102" t="n"/>
      <c r="H2588" s="115" t="n"/>
      <c r="I2588" s="102" t="n"/>
      <c r="J2588" s="102" t="n"/>
      <c r="K2588" s="103" t="n"/>
      <c r="L2588" s="116">
        <f>IF($H2588="","",TRIM(IF(COUNTIF(DMTK!$A$7:$A$250,$F2588)=0,"TK Nợ sai! ","")&amp;IF(COUNTIF(DMTK!$A$7:$A$250,$G2588)=0,"TK Có sai! ","")&amp;IF(N($H2588)&lt;=0,"Tiền phải &gt; 0! ","")&amp;IF($B2588="","Thiếu ngày! ","")&amp;IF(AND(OR(LEFT($F2588,3)="131",LEFT($G2588,3)="131",LEFT($F2588,3)="331",LEFT($G2588,3)="331"),$I2588=""),"Thiếu Mã ĐT! ","")&amp;IF(AND($I2588&lt;&gt;"",COUNTIF(DM_DT!$A$7:$A$306,$I2588)=0),"Mã ĐT chưa khai báo! ","")))</f>
        <v/>
      </c>
      <c r="M2588" s="117">
        <f>IF($H2588="","",IF(AND(OR(LEFT($F2588,3)="111",LEFT($F2588,3)="112",LEFT($F2588,3)="113"),OR(LEFT($G2588,3)="111",LEFT($G2588,3)="112",LEFT($G2588,3)="113")),"NB",IF(OR(LEFT($F2588,3)="111",LEFT($F2588,3)="112",LEFT($F2588,3)="113"),"THU",IF(OR(LEFT($G2588,3)="111",LEFT($G2588,3)="112",LEFT($G2588,3)="113"),"CHI",""))))</f>
        <v/>
      </c>
      <c r="N2588" s="117">
        <f>IF($M2588="THU",$G2588,IF($M2588="CHI",$F2588,""))</f>
        <v/>
      </c>
      <c r="O2588" s="117">
        <f>IF(OR($M2588="",$M2588="NB"),"",IF($J2588&lt;&gt;"",TEXT($J2588,"00"),IFERROR(VLOOKUP(LEFT($N2588,4),LCTT_MAP!$A$7:$C$66,IF($M2588="THU",2,3),FALSE()),IFERROR(VLOOKUP(LEFT($N2588,3),LCTT_MAP!$A$7:$C$66,IF($M2588="THU",2,3),FALSE()),IFERROR(VLOOKUP(LEFT($N2588,2),LCTT_MAP!$A$7:$C$66,IF($M2588="THU",2,3),FALSE()),IFERROR(VLOOKUP(LEFT($N2588,1),LCTT_MAP!$A$7:$C$66,IF($M2588="THU",2,3),FALSE()),IF($M2588="THU","06","07")))))))</f>
        <v/>
      </c>
      <c r="P2588" s="117">
        <f>P2587+IF(AND($H2588&lt;&gt;"",OR(LEFT($F2588,LEN(SC_TK))=SC_TK,LEFT($G2588,LEN(SC_TK))=SC_TK)),1,0)</f>
        <v/>
      </c>
    </row>
    <row r="2589" ht="15" customHeight="1" s="78">
      <c r="A2589" s="95">
        <f>IF($H2589="","",ROW()-6)</f>
        <v/>
      </c>
      <c r="B2589" s="114" t="n"/>
      <c r="C2589" s="102" t="n"/>
      <c r="D2589" s="114" t="n"/>
      <c r="E2589" s="103" t="n"/>
      <c r="F2589" s="102" t="n"/>
      <c r="G2589" s="102" t="n"/>
      <c r="H2589" s="115" t="n"/>
      <c r="I2589" s="102" t="n"/>
      <c r="J2589" s="102" t="n"/>
      <c r="K2589" s="103" t="n"/>
      <c r="L2589" s="116">
        <f>IF($H2589="","",TRIM(IF(COUNTIF(DMTK!$A$7:$A$250,$F2589)=0,"TK Nợ sai! ","")&amp;IF(COUNTIF(DMTK!$A$7:$A$250,$G2589)=0,"TK Có sai! ","")&amp;IF(N($H2589)&lt;=0,"Tiền phải &gt; 0! ","")&amp;IF($B2589="","Thiếu ngày! ","")&amp;IF(AND(OR(LEFT($F2589,3)="131",LEFT($G2589,3)="131",LEFT($F2589,3)="331",LEFT($G2589,3)="331"),$I2589=""),"Thiếu Mã ĐT! ","")&amp;IF(AND($I2589&lt;&gt;"",COUNTIF(DM_DT!$A$7:$A$306,$I2589)=0),"Mã ĐT chưa khai báo! ","")))</f>
        <v/>
      </c>
      <c r="M2589" s="117">
        <f>IF($H2589="","",IF(AND(OR(LEFT($F2589,3)="111",LEFT($F2589,3)="112",LEFT($F2589,3)="113"),OR(LEFT($G2589,3)="111",LEFT($G2589,3)="112",LEFT($G2589,3)="113")),"NB",IF(OR(LEFT($F2589,3)="111",LEFT($F2589,3)="112",LEFT($F2589,3)="113"),"THU",IF(OR(LEFT($G2589,3)="111",LEFT($G2589,3)="112",LEFT($G2589,3)="113"),"CHI",""))))</f>
        <v/>
      </c>
      <c r="N2589" s="117">
        <f>IF($M2589="THU",$G2589,IF($M2589="CHI",$F2589,""))</f>
        <v/>
      </c>
      <c r="O2589" s="117">
        <f>IF(OR($M2589="",$M2589="NB"),"",IF($J2589&lt;&gt;"",TEXT($J2589,"00"),IFERROR(VLOOKUP(LEFT($N2589,4),LCTT_MAP!$A$7:$C$66,IF($M2589="THU",2,3),FALSE()),IFERROR(VLOOKUP(LEFT($N2589,3),LCTT_MAP!$A$7:$C$66,IF($M2589="THU",2,3),FALSE()),IFERROR(VLOOKUP(LEFT($N2589,2),LCTT_MAP!$A$7:$C$66,IF($M2589="THU",2,3),FALSE()),IFERROR(VLOOKUP(LEFT($N2589,1),LCTT_MAP!$A$7:$C$66,IF($M2589="THU",2,3),FALSE()),IF($M2589="THU","06","07")))))))</f>
        <v/>
      </c>
      <c r="P2589" s="117">
        <f>P2588+IF(AND($H2589&lt;&gt;"",OR(LEFT($F2589,LEN(SC_TK))=SC_TK,LEFT($G2589,LEN(SC_TK))=SC_TK)),1,0)</f>
        <v/>
      </c>
    </row>
    <row r="2590" ht="15" customHeight="1" s="78">
      <c r="A2590" s="95">
        <f>IF($H2590="","",ROW()-6)</f>
        <v/>
      </c>
      <c r="B2590" s="114" t="n"/>
      <c r="C2590" s="102" t="n"/>
      <c r="D2590" s="114" t="n"/>
      <c r="E2590" s="103" t="n"/>
      <c r="F2590" s="102" t="n"/>
      <c r="G2590" s="102" t="n"/>
      <c r="H2590" s="115" t="n"/>
      <c r="I2590" s="102" t="n"/>
      <c r="J2590" s="102" t="n"/>
      <c r="K2590" s="103" t="n"/>
      <c r="L2590" s="116">
        <f>IF($H2590="","",TRIM(IF(COUNTIF(DMTK!$A$7:$A$250,$F2590)=0,"TK Nợ sai! ","")&amp;IF(COUNTIF(DMTK!$A$7:$A$250,$G2590)=0,"TK Có sai! ","")&amp;IF(N($H2590)&lt;=0,"Tiền phải &gt; 0! ","")&amp;IF($B2590="","Thiếu ngày! ","")&amp;IF(AND(OR(LEFT($F2590,3)="131",LEFT($G2590,3)="131",LEFT($F2590,3)="331",LEFT($G2590,3)="331"),$I2590=""),"Thiếu Mã ĐT! ","")&amp;IF(AND($I2590&lt;&gt;"",COUNTIF(DM_DT!$A$7:$A$306,$I2590)=0),"Mã ĐT chưa khai báo! ","")))</f>
        <v/>
      </c>
      <c r="M2590" s="117">
        <f>IF($H2590="","",IF(AND(OR(LEFT($F2590,3)="111",LEFT($F2590,3)="112",LEFT($F2590,3)="113"),OR(LEFT($G2590,3)="111",LEFT($G2590,3)="112",LEFT($G2590,3)="113")),"NB",IF(OR(LEFT($F2590,3)="111",LEFT($F2590,3)="112",LEFT($F2590,3)="113"),"THU",IF(OR(LEFT($G2590,3)="111",LEFT($G2590,3)="112",LEFT($G2590,3)="113"),"CHI",""))))</f>
        <v/>
      </c>
      <c r="N2590" s="117">
        <f>IF($M2590="THU",$G2590,IF($M2590="CHI",$F2590,""))</f>
        <v/>
      </c>
      <c r="O2590" s="117">
        <f>IF(OR($M2590="",$M2590="NB"),"",IF($J2590&lt;&gt;"",TEXT($J2590,"00"),IFERROR(VLOOKUP(LEFT($N2590,4),LCTT_MAP!$A$7:$C$66,IF($M2590="THU",2,3),FALSE()),IFERROR(VLOOKUP(LEFT($N2590,3),LCTT_MAP!$A$7:$C$66,IF($M2590="THU",2,3),FALSE()),IFERROR(VLOOKUP(LEFT($N2590,2),LCTT_MAP!$A$7:$C$66,IF($M2590="THU",2,3),FALSE()),IFERROR(VLOOKUP(LEFT($N2590,1),LCTT_MAP!$A$7:$C$66,IF($M2590="THU",2,3),FALSE()),IF($M2590="THU","06","07")))))))</f>
        <v/>
      </c>
      <c r="P2590" s="117">
        <f>P2589+IF(AND($H2590&lt;&gt;"",OR(LEFT($F2590,LEN(SC_TK))=SC_TK,LEFT($G2590,LEN(SC_TK))=SC_TK)),1,0)</f>
        <v/>
      </c>
    </row>
    <row r="2591" ht="15" customHeight="1" s="78">
      <c r="A2591" s="95">
        <f>IF($H2591="","",ROW()-6)</f>
        <v/>
      </c>
      <c r="B2591" s="114" t="n"/>
      <c r="C2591" s="102" t="n"/>
      <c r="D2591" s="114" t="n"/>
      <c r="E2591" s="103" t="n"/>
      <c r="F2591" s="102" t="n"/>
      <c r="G2591" s="102" t="n"/>
      <c r="H2591" s="115" t="n"/>
      <c r="I2591" s="102" t="n"/>
      <c r="J2591" s="102" t="n"/>
      <c r="K2591" s="103" t="n"/>
      <c r="L2591" s="116">
        <f>IF($H2591="","",TRIM(IF(COUNTIF(DMTK!$A$7:$A$250,$F2591)=0,"TK Nợ sai! ","")&amp;IF(COUNTIF(DMTK!$A$7:$A$250,$G2591)=0,"TK Có sai! ","")&amp;IF(N($H2591)&lt;=0,"Tiền phải &gt; 0! ","")&amp;IF($B2591="","Thiếu ngày! ","")&amp;IF(AND(OR(LEFT($F2591,3)="131",LEFT($G2591,3)="131",LEFT($F2591,3)="331",LEFT($G2591,3)="331"),$I2591=""),"Thiếu Mã ĐT! ","")&amp;IF(AND($I2591&lt;&gt;"",COUNTIF(DM_DT!$A$7:$A$306,$I2591)=0),"Mã ĐT chưa khai báo! ","")))</f>
        <v/>
      </c>
      <c r="M2591" s="117">
        <f>IF($H2591="","",IF(AND(OR(LEFT($F2591,3)="111",LEFT($F2591,3)="112",LEFT($F2591,3)="113"),OR(LEFT($G2591,3)="111",LEFT($G2591,3)="112",LEFT($G2591,3)="113")),"NB",IF(OR(LEFT($F2591,3)="111",LEFT($F2591,3)="112",LEFT($F2591,3)="113"),"THU",IF(OR(LEFT($G2591,3)="111",LEFT($G2591,3)="112",LEFT($G2591,3)="113"),"CHI",""))))</f>
        <v/>
      </c>
      <c r="N2591" s="117">
        <f>IF($M2591="THU",$G2591,IF($M2591="CHI",$F2591,""))</f>
        <v/>
      </c>
      <c r="O2591" s="117">
        <f>IF(OR($M2591="",$M2591="NB"),"",IF($J2591&lt;&gt;"",TEXT($J2591,"00"),IFERROR(VLOOKUP(LEFT($N2591,4),LCTT_MAP!$A$7:$C$66,IF($M2591="THU",2,3),FALSE()),IFERROR(VLOOKUP(LEFT($N2591,3),LCTT_MAP!$A$7:$C$66,IF($M2591="THU",2,3),FALSE()),IFERROR(VLOOKUP(LEFT($N2591,2),LCTT_MAP!$A$7:$C$66,IF($M2591="THU",2,3),FALSE()),IFERROR(VLOOKUP(LEFT($N2591,1),LCTT_MAP!$A$7:$C$66,IF($M2591="THU",2,3),FALSE()),IF($M2591="THU","06","07")))))))</f>
        <v/>
      </c>
      <c r="P2591" s="117">
        <f>P2590+IF(AND($H2591&lt;&gt;"",OR(LEFT($F2591,LEN(SC_TK))=SC_TK,LEFT($G2591,LEN(SC_TK))=SC_TK)),1,0)</f>
        <v/>
      </c>
    </row>
    <row r="2592" ht="15" customHeight="1" s="78">
      <c r="A2592" s="95">
        <f>IF($H2592="","",ROW()-6)</f>
        <v/>
      </c>
      <c r="B2592" s="114" t="n"/>
      <c r="C2592" s="102" t="n"/>
      <c r="D2592" s="114" t="n"/>
      <c r="E2592" s="103" t="n"/>
      <c r="F2592" s="102" t="n"/>
      <c r="G2592" s="102" t="n"/>
      <c r="H2592" s="115" t="n"/>
      <c r="I2592" s="102" t="n"/>
      <c r="J2592" s="102" t="n"/>
      <c r="K2592" s="103" t="n"/>
      <c r="L2592" s="116">
        <f>IF($H2592="","",TRIM(IF(COUNTIF(DMTK!$A$7:$A$250,$F2592)=0,"TK Nợ sai! ","")&amp;IF(COUNTIF(DMTK!$A$7:$A$250,$G2592)=0,"TK Có sai! ","")&amp;IF(N($H2592)&lt;=0,"Tiền phải &gt; 0! ","")&amp;IF($B2592="","Thiếu ngày! ","")&amp;IF(AND(OR(LEFT($F2592,3)="131",LEFT($G2592,3)="131",LEFT($F2592,3)="331",LEFT($G2592,3)="331"),$I2592=""),"Thiếu Mã ĐT! ","")&amp;IF(AND($I2592&lt;&gt;"",COUNTIF(DM_DT!$A$7:$A$306,$I2592)=0),"Mã ĐT chưa khai báo! ","")))</f>
        <v/>
      </c>
      <c r="M2592" s="117">
        <f>IF($H2592="","",IF(AND(OR(LEFT($F2592,3)="111",LEFT($F2592,3)="112",LEFT($F2592,3)="113"),OR(LEFT($G2592,3)="111",LEFT($G2592,3)="112",LEFT($G2592,3)="113")),"NB",IF(OR(LEFT($F2592,3)="111",LEFT($F2592,3)="112",LEFT($F2592,3)="113"),"THU",IF(OR(LEFT($G2592,3)="111",LEFT($G2592,3)="112",LEFT($G2592,3)="113"),"CHI",""))))</f>
        <v/>
      </c>
      <c r="N2592" s="117">
        <f>IF($M2592="THU",$G2592,IF($M2592="CHI",$F2592,""))</f>
        <v/>
      </c>
      <c r="O2592" s="117">
        <f>IF(OR($M2592="",$M2592="NB"),"",IF($J2592&lt;&gt;"",TEXT($J2592,"00"),IFERROR(VLOOKUP(LEFT($N2592,4),LCTT_MAP!$A$7:$C$66,IF($M2592="THU",2,3),FALSE()),IFERROR(VLOOKUP(LEFT($N2592,3),LCTT_MAP!$A$7:$C$66,IF($M2592="THU",2,3),FALSE()),IFERROR(VLOOKUP(LEFT($N2592,2),LCTT_MAP!$A$7:$C$66,IF($M2592="THU",2,3),FALSE()),IFERROR(VLOOKUP(LEFT($N2592,1),LCTT_MAP!$A$7:$C$66,IF($M2592="THU",2,3),FALSE()),IF($M2592="THU","06","07")))))))</f>
        <v/>
      </c>
      <c r="P2592" s="117">
        <f>P2591+IF(AND($H2592&lt;&gt;"",OR(LEFT($F2592,LEN(SC_TK))=SC_TK,LEFT($G2592,LEN(SC_TK))=SC_TK)),1,0)</f>
        <v/>
      </c>
    </row>
    <row r="2593" ht="15" customHeight="1" s="78">
      <c r="A2593" s="95">
        <f>IF($H2593="","",ROW()-6)</f>
        <v/>
      </c>
      <c r="B2593" s="114" t="n"/>
      <c r="C2593" s="102" t="n"/>
      <c r="D2593" s="114" t="n"/>
      <c r="E2593" s="103" t="n"/>
      <c r="F2593" s="102" t="n"/>
      <c r="G2593" s="102" t="n"/>
      <c r="H2593" s="115" t="n"/>
      <c r="I2593" s="102" t="n"/>
      <c r="J2593" s="102" t="n"/>
      <c r="K2593" s="103" t="n"/>
      <c r="L2593" s="116">
        <f>IF($H2593="","",TRIM(IF(COUNTIF(DMTK!$A$7:$A$250,$F2593)=0,"TK Nợ sai! ","")&amp;IF(COUNTIF(DMTK!$A$7:$A$250,$G2593)=0,"TK Có sai! ","")&amp;IF(N($H2593)&lt;=0,"Tiền phải &gt; 0! ","")&amp;IF($B2593="","Thiếu ngày! ","")&amp;IF(AND(OR(LEFT($F2593,3)="131",LEFT($G2593,3)="131",LEFT($F2593,3)="331",LEFT($G2593,3)="331"),$I2593=""),"Thiếu Mã ĐT! ","")&amp;IF(AND($I2593&lt;&gt;"",COUNTIF(DM_DT!$A$7:$A$306,$I2593)=0),"Mã ĐT chưa khai báo! ","")))</f>
        <v/>
      </c>
      <c r="M2593" s="117">
        <f>IF($H2593="","",IF(AND(OR(LEFT($F2593,3)="111",LEFT($F2593,3)="112",LEFT($F2593,3)="113"),OR(LEFT($G2593,3)="111",LEFT($G2593,3)="112",LEFT($G2593,3)="113")),"NB",IF(OR(LEFT($F2593,3)="111",LEFT($F2593,3)="112",LEFT($F2593,3)="113"),"THU",IF(OR(LEFT($G2593,3)="111",LEFT($G2593,3)="112",LEFT($G2593,3)="113"),"CHI",""))))</f>
        <v/>
      </c>
      <c r="N2593" s="117">
        <f>IF($M2593="THU",$G2593,IF($M2593="CHI",$F2593,""))</f>
        <v/>
      </c>
      <c r="O2593" s="117">
        <f>IF(OR($M2593="",$M2593="NB"),"",IF($J2593&lt;&gt;"",TEXT($J2593,"00"),IFERROR(VLOOKUP(LEFT($N2593,4),LCTT_MAP!$A$7:$C$66,IF($M2593="THU",2,3),FALSE()),IFERROR(VLOOKUP(LEFT($N2593,3),LCTT_MAP!$A$7:$C$66,IF($M2593="THU",2,3),FALSE()),IFERROR(VLOOKUP(LEFT($N2593,2),LCTT_MAP!$A$7:$C$66,IF($M2593="THU",2,3),FALSE()),IFERROR(VLOOKUP(LEFT($N2593,1),LCTT_MAP!$A$7:$C$66,IF($M2593="THU",2,3),FALSE()),IF($M2593="THU","06","07")))))))</f>
        <v/>
      </c>
      <c r="P2593" s="117">
        <f>P2592+IF(AND($H2593&lt;&gt;"",OR(LEFT($F2593,LEN(SC_TK))=SC_TK,LEFT($G2593,LEN(SC_TK))=SC_TK)),1,0)</f>
        <v/>
      </c>
    </row>
    <row r="2594" ht="15" customHeight="1" s="78">
      <c r="A2594" s="95">
        <f>IF($H2594="","",ROW()-6)</f>
        <v/>
      </c>
      <c r="B2594" s="114" t="n"/>
      <c r="C2594" s="102" t="n"/>
      <c r="D2594" s="114" t="n"/>
      <c r="E2594" s="103" t="n"/>
      <c r="F2594" s="102" t="n"/>
      <c r="G2594" s="102" t="n"/>
      <c r="H2594" s="115" t="n"/>
      <c r="I2594" s="102" t="n"/>
      <c r="J2594" s="102" t="n"/>
      <c r="K2594" s="103" t="n"/>
      <c r="L2594" s="116">
        <f>IF($H2594="","",TRIM(IF(COUNTIF(DMTK!$A$7:$A$250,$F2594)=0,"TK Nợ sai! ","")&amp;IF(COUNTIF(DMTK!$A$7:$A$250,$G2594)=0,"TK Có sai! ","")&amp;IF(N($H2594)&lt;=0,"Tiền phải &gt; 0! ","")&amp;IF($B2594="","Thiếu ngày! ","")&amp;IF(AND(OR(LEFT($F2594,3)="131",LEFT($G2594,3)="131",LEFT($F2594,3)="331",LEFT($G2594,3)="331"),$I2594=""),"Thiếu Mã ĐT! ","")&amp;IF(AND($I2594&lt;&gt;"",COUNTIF(DM_DT!$A$7:$A$306,$I2594)=0),"Mã ĐT chưa khai báo! ","")))</f>
        <v/>
      </c>
      <c r="M2594" s="117">
        <f>IF($H2594="","",IF(AND(OR(LEFT($F2594,3)="111",LEFT($F2594,3)="112",LEFT($F2594,3)="113"),OR(LEFT($G2594,3)="111",LEFT($G2594,3)="112",LEFT($G2594,3)="113")),"NB",IF(OR(LEFT($F2594,3)="111",LEFT($F2594,3)="112",LEFT($F2594,3)="113"),"THU",IF(OR(LEFT($G2594,3)="111",LEFT($G2594,3)="112",LEFT($G2594,3)="113"),"CHI",""))))</f>
        <v/>
      </c>
      <c r="N2594" s="117">
        <f>IF($M2594="THU",$G2594,IF($M2594="CHI",$F2594,""))</f>
        <v/>
      </c>
      <c r="O2594" s="117">
        <f>IF(OR($M2594="",$M2594="NB"),"",IF($J2594&lt;&gt;"",TEXT($J2594,"00"),IFERROR(VLOOKUP(LEFT($N2594,4),LCTT_MAP!$A$7:$C$66,IF($M2594="THU",2,3),FALSE()),IFERROR(VLOOKUP(LEFT($N2594,3),LCTT_MAP!$A$7:$C$66,IF($M2594="THU",2,3),FALSE()),IFERROR(VLOOKUP(LEFT($N2594,2),LCTT_MAP!$A$7:$C$66,IF($M2594="THU",2,3),FALSE()),IFERROR(VLOOKUP(LEFT($N2594,1),LCTT_MAP!$A$7:$C$66,IF($M2594="THU",2,3),FALSE()),IF($M2594="THU","06","07")))))))</f>
        <v/>
      </c>
      <c r="P2594" s="117">
        <f>P2593+IF(AND($H2594&lt;&gt;"",OR(LEFT($F2594,LEN(SC_TK))=SC_TK,LEFT($G2594,LEN(SC_TK))=SC_TK)),1,0)</f>
        <v/>
      </c>
    </row>
    <row r="2595" ht="15" customHeight="1" s="78">
      <c r="A2595" s="95">
        <f>IF($H2595="","",ROW()-6)</f>
        <v/>
      </c>
      <c r="B2595" s="114" t="n"/>
      <c r="C2595" s="102" t="n"/>
      <c r="D2595" s="114" t="n"/>
      <c r="E2595" s="103" t="n"/>
      <c r="F2595" s="102" t="n"/>
      <c r="G2595" s="102" t="n"/>
      <c r="H2595" s="115" t="n"/>
      <c r="I2595" s="102" t="n"/>
      <c r="J2595" s="102" t="n"/>
      <c r="K2595" s="103" t="n"/>
      <c r="L2595" s="116">
        <f>IF($H2595="","",TRIM(IF(COUNTIF(DMTK!$A$7:$A$250,$F2595)=0,"TK Nợ sai! ","")&amp;IF(COUNTIF(DMTK!$A$7:$A$250,$G2595)=0,"TK Có sai! ","")&amp;IF(N($H2595)&lt;=0,"Tiền phải &gt; 0! ","")&amp;IF($B2595="","Thiếu ngày! ","")&amp;IF(AND(OR(LEFT($F2595,3)="131",LEFT($G2595,3)="131",LEFT($F2595,3)="331",LEFT($G2595,3)="331"),$I2595=""),"Thiếu Mã ĐT! ","")&amp;IF(AND($I2595&lt;&gt;"",COUNTIF(DM_DT!$A$7:$A$306,$I2595)=0),"Mã ĐT chưa khai báo! ","")))</f>
        <v/>
      </c>
      <c r="M2595" s="117">
        <f>IF($H2595="","",IF(AND(OR(LEFT($F2595,3)="111",LEFT($F2595,3)="112",LEFT($F2595,3)="113"),OR(LEFT($G2595,3)="111",LEFT($G2595,3)="112",LEFT($G2595,3)="113")),"NB",IF(OR(LEFT($F2595,3)="111",LEFT($F2595,3)="112",LEFT($F2595,3)="113"),"THU",IF(OR(LEFT($G2595,3)="111",LEFT($G2595,3)="112",LEFT($G2595,3)="113"),"CHI",""))))</f>
        <v/>
      </c>
      <c r="N2595" s="117">
        <f>IF($M2595="THU",$G2595,IF($M2595="CHI",$F2595,""))</f>
        <v/>
      </c>
      <c r="O2595" s="117">
        <f>IF(OR($M2595="",$M2595="NB"),"",IF($J2595&lt;&gt;"",TEXT($J2595,"00"),IFERROR(VLOOKUP(LEFT($N2595,4),LCTT_MAP!$A$7:$C$66,IF($M2595="THU",2,3),FALSE()),IFERROR(VLOOKUP(LEFT($N2595,3),LCTT_MAP!$A$7:$C$66,IF($M2595="THU",2,3),FALSE()),IFERROR(VLOOKUP(LEFT($N2595,2),LCTT_MAP!$A$7:$C$66,IF($M2595="THU",2,3),FALSE()),IFERROR(VLOOKUP(LEFT($N2595,1),LCTT_MAP!$A$7:$C$66,IF($M2595="THU",2,3),FALSE()),IF($M2595="THU","06","07")))))))</f>
        <v/>
      </c>
      <c r="P2595" s="117">
        <f>P2594+IF(AND($H2595&lt;&gt;"",OR(LEFT($F2595,LEN(SC_TK))=SC_TK,LEFT($G2595,LEN(SC_TK))=SC_TK)),1,0)</f>
        <v/>
      </c>
    </row>
    <row r="2596" ht="15" customHeight="1" s="78">
      <c r="A2596" s="95">
        <f>IF($H2596="","",ROW()-6)</f>
        <v/>
      </c>
      <c r="B2596" s="114" t="n"/>
      <c r="C2596" s="102" t="n"/>
      <c r="D2596" s="114" t="n"/>
      <c r="E2596" s="103" t="n"/>
      <c r="F2596" s="102" t="n"/>
      <c r="G2596" s="102" t="n"/>
      <c r="H2596" s="115" t="n"/>
      <c r="I2596" s="102" t="n"/>
      <c r="J2596" s="102" t="n"/>
      <c r="K2596" s="103" t="n"/>
      <c r="L2596" s="116">
        <f>IF($H2596="","",TRIM(IF(COUNTIF(DMTK!$A$7:$A$250,$F2596)=0,"TK Nợ sai! ","")&amp;IF(COUNTIF(DMTK!$A$7:$A$250,$G2596)=0,"TK Có sai! ","")&amp;IF(N($H2596)&lt;=0,"Tiền phải &gt; 0! ","")&amp;IF($B2596="","Thiếu ngày! ","")&amp;IF(AND(OR(LEFT($F2596,3)="131",LEFT($G2596,3)="131",LEFT($F2596,3)="331",LEFT($G2596,3)="331"),$I2596=""),"Thiếu Mã ĐT! ","")&amp;IF(AND($I2596&lt;&gt;"",COUNTIF(DM_DT!$A$7:$A$306,$I2596)=0),"Mã ĐT chưa khai báo! ","")))</f>
        <v/>
      </c>
      <c r="M2596" s="117">
        <f>IF($H2596="","",IF(AND(OR(LEFT($F2596,3)="111",LEFT($F2596,3)="112",LEFT($F2596,3)="113"),OR(LEFT($G2596,3)="111",LEFT($G2596,3)="112",LEFT($G2596,3)="113")),"NB",IF(OR(LEFT($F2596,3)="111",LEFT($F2596,3)="112",LEFT($F2596,3)="113"),"THU",IF(OR(LEFT($G2596,3)="111",LEFT($G2596,3)="112",LEFT($G2596,3)="113"),"CHI",""))))</f>
        <v/>
      </c>
      <c r="N2596" s="117">
        <f>IF($M2596="THU",$G2596,IF($M2596="CHI",$F2596,""))</f>
        <v/>
      </c>
      <c r="O2596" s="117">
        <f>IF(OR($M2596="",$M2596="NB"),"",IF($J2596&lt;&gt;"",TEXT($J2596,"00"),IFERROR(VLOOKUP(LEFT($N2596,4),LCTT_MAP!$A$7:$C$66,IF($M2596="THU",2,3),FALSE()),IFERROR(VLOOKUP(LEFT($N2596,3),LCTT_MAP!$A$7:$C$66,IF($M2596="THU",2,3),FALSE()),IFERROR(VLOOKUP(LEFT($N2596,2),LCTT_MAP!$A$7:$C$66,IF($M2596="THU",2,3),FALSE()),IFERROR(VLOOKUP(LEFT($N2596,1),LCTT_MAP!$A$7:$C$66,IF($M2596="THU",2,3),FALSE()),IF($M2596="THU","06","07")))))))</f>
        <v/>
      </c>
      <c r="P2596" s="117">
        <f>P2595+IF(AND($H2596&lt;&gt;"",OR(LEFT($F2596,LEN(SC_TK))=SC_TK,LEFT($G2596,LEN(SC_TK))=SC_TK)),1,0)</f>
        <v/>
      </c>
    </row>
    <row r="2597" ht="15" customHeight="1" s="78">
      <c r="A2597" s="95">
        <f>IF($H2597="","",ROW()-6)</f>
        <v/>
      </c>
      <c r="B2597" s="114" t="n"/>
      <c r="C2597" s="102" t="n"/>
      <c r="D2597" s="114" t="n"/>
      <c r="E2597" s="103" t="n"/>
      <c r="F2597" s="102" t="n"/>
      <c r="G2597" s="102" t="n"/>
      <c r="H2597" s="115" t="n"/>
      <c r="I2597" s="102" t="n"/>
      <c r="J2597" s="102" t="n"/>
      <c r="K2597" s="103" t="n"/>
      <c r="L2597" s="116">
        <f>IF($H2597="","",TRIM(IF(COUNTIF(DMTK!$A$7:$A$250,$F2597)=0,"TK Nợ sai! ","")&amp;IF(COUNTIF(DMTK!$A$7:$A$250,$G2597)=0,"TK Có sai! ","")&amp;IF(N($H2597)&lt;=0,"Tiền phải &gt; 0! ","")&amp;IF($B2597="","Thiếu ngày! ","")&amp;IF(AND(OR(LEFT($F2597,3)="131",LEFT($G2597,3)="131",LEFT($F2597,3)="331",LEFT($G2597,3)="331"),$I2597=""),"Thiếu Mã ĐT! ","")&amp;IF(AND($I2597&lt;&gt;"",COUNTIF(DM_DT!$A$7:$A$306,$I2597)=0),"Mã ĐT chưa khai báo! ","")))</f>
        <v/>
      </c>
      <c r="M2597" s="117">
        <f>IF($H2597="","",IF(AND(OR(LEFT($F2597,3)="111",LEFT($F2597,3)="112",LEFT($F2597,3)="113"),OR(LEFT($G2597,3)="111",LEFT($G2597,3)="112",LEFT($G2597,3)="113")),"NB",IF(OR(LEFT($F2597,3)="111",LEFT($F2597,3)="112",LEFT($F2597,3)="113"),"THU",IF(OR(LEFT($G2597,3)="111",LEFT($G2597,3)="112",LEFT($G2597,3)="113"),"CHI",""))))</f>
        <v/>
      </c>
      <c r="N2597" s="117">
        <f>IF($M2597="THU",$G2597,IF($M2597="CHI",$F2597,""))</f>
        <v/>
      </c>
      <c r="O2597" s="117">
        <f>IF(OR($M2597="",$M2597="NB"),"",IF($J2597&lt;&gt;"",TEXT($J2597,"00"),IFERROR(VLOOKUP(LEFT($N2597,4),LCTT_MAP!$A$7:$C$66,IF($M2597="THU",2,3),FALSE()),IFERROR(VLOOKUP(LEFT($N2597,3),LCTT_MAP!$A$7:$C$66,IF($M2597="THU",2,3),FALSE()),IFERROR(VLOOKUP(LEFT($N2597,2),LCTT_MAP!$A$7:$C$66,IF($M2597="THU",2,3),FALSE()),IFERROR(VLOOKUP(LEFT($N2597,1),LCTT_MAP!$A$7:$C$66,IF($M2597="THU",2,3),FALSE()),IF($M2597="THU","06","07")))))))</f>
        <v/>
      </c>
      <c r="P2597" s="117">
        <f>P2596+IF(AND($H2597&lt;&gt;"",OR(LEFT($F2597,LEN(SC_TK))=SC_TK,LEFT($G2597,LEN(SC_TK))=SC_TK)),1,0)</f>
        <v/>
      </c>
    </row>
    <row r="2598" ht="15" customHeight="1" s="78">
      <c r="A2598" s="95">
        <f>IF($H2598="","",ROW()-6)</f>
        <v/>
      </c>
      <c r="B2598" s="114" t="n"/>
      <c r="C2598" s="102" t="n"/>
      <c r="D2598" s="114" t="n"/>
      <c r="E2598" s="103" t="n"/>
      <c r="F2598" s="102" t="n"/>
      <c r="G2598" s="102" t="n"/>
      <c r="H2598" s="115" t="n"/>
      <c r="I2598" s="102" t="n"/>
      <c r="J2598" s="102" t="n"/>
      <c r="K2598" s="103" t="n"/>
      <c r="L2598" s="116">
        <f>IF($H2598="","",TRIM(IF(COUNTIF(DMTK!$A$7:$A$250,$F2598)=0,"TK Nợ sai! ","")&amp;IF(COUNTIF(DMTK!$A$7:$A$250,$G2598)=0,"TK Có sai! ","")&amp;IF(N($H2598)&lt;=0,"Tiền phải &gt; 0! ","")&amp;IF($B2598="","Thiếu ngày! ","")&amp;IF(AND(OR(LEFT($F2598,3)="131",LEFT($G2598,3)="131",LEFT($F2598,3)="331",LEFT($G2598,3)="331"),$I2598=""),"Thiếu Mã ĐT! ","")&amp;IF(AND($I2598&lt;&gt;"",COUNTIF(DM_DT!$A$7:$A$306,$I2598)=0),"Mã ĐT chưa khai báo! ","")))</f>
        <v/>
      </c>
      <c r="M2598" s="117">
        <f>IF($H2598="","",IF(AND(OR(LEFT($F2598,3)="111",LEFT($F2598,3)="112",LEFT($F2598,3)="113"),OR(LEFT($G2598,3)="111",LEFT($G2598,3)="112",LEFT($G2598,3)="113")),"NB",IF(OR(LEFT($F2598,3)="111",LEFT($F2598,3)="112",LEFT($F2598,3)="113"),"THU",IF(OR(LEFT($G2598,3)="111",LEFT($G2598,3)="112",LEFT($G2598,3)="113"),"CHI",""))))</f>
        <v/>
      </c>
      <c r="N2598" s="117">
        <f>IF($M2598="THU",$G2598,IF($M2598="CHI",$F2598,""))</f>
        <v/>
      </c>
      <c r="O2598" s="117">
        <f>IF(OR($M2598="",$M2598="NB"),"",IF($J2598&lt;&gt;"",TEXT($J2598,"00"),IFERROR(VLOOKUP(LEFT($N2598,4),LCTT_MAP!$A$7:$C$66,IF($M2598="THU",2,3),FALSE()),IFERROR(VLOOKUP(LEFT($N2598,3),LCTT_MAP!$A$7:$C$66,IF($M2598="THU",2,3),FALSE()),IFERROR(VLOOKUP(LEFT($N2598,2),LCTT_MAP!$A$7:$C$66,IF($M2598="THU",2,3),FALSE()),IFERROR(VLOOKUP(LEFT($N2598,1),LCTT_MAP!$A$7:$C$66,IF($M2598="THU",2,3),FALSE()),IF($M2598="THU","06","07")))))))</f>
        <v/>
      </c>
      <c r="P2598" s="117">
        <f>P2597+IF(AND($H2598&lt;&gt;"",OR(LEFT($F2598,LEN(SC_TK))=SC_TK,LEFT($G2598,LEN(SC_TK))=SC_TK)),1,0)</f>
        <v/>
      </c>
    </row>
    <row r="2599" ht="15" customHeight="1" s="78">
      <c r="A2599" s="95">
        <f>IF($H2599="","",ROW()-6)</f>
        <v/>
      </c>
      <c r="B2599" s="114" t="n"/>
      <c r="C2599" s="102" t="n"/>
      <c r="D2599" s="114" t="n"/>
      <c r="E2599" s="103" t="n"/>
      <c r="F2599" s="102" t="n"/>
      <c r="G2599" s="102" t="n"/>
      <c r="H2599" s="115" t="n"/>
      <c r="I2599" s="102" t="n"/>
      <c r="J2599" s="102" t="n"/>
      <c r="K2599" s="103" t="n"/>
      <c r="L2599" s="116">
        <f>IF($H2599="","",TRIM(IF(COUNTIF(DMTK!$A$7:$A$250,$F2599)=0,"TK Nợ sai! ","")&amp;IF(COUNTIF(DMTK!$A$7:$A$250,$G2599)=0,"TK Có sai! ","")&amp;IF(N($H2599)&lt;=0,"Tiền phải &gt; 0! ","")&amp;IF($B2599="","Thiếu ngày! ","")&amp;IF(AND(OR(LEFT($F2599,3)="131",LEFT($G2599,3)="131",LEFT($F2599,3)="331",LEFT($G2599,3)="331"),$I2599=""),"Thiếu Mã ĐT! ","")&amp;IF(AND($I2599&lt;&gt;"",COUNTIF(DM_DT!$A$7:$A$306,$I2599)=0),"Mã ĐT chưa khai báo! ","")))</f>
        <v/>
      </c>
      <c r="M2599" s="117">
        <f>IF($H2599="","",IF(AND(OR(LEFT($F2599,3)="111",LEFT($F2599,3)="112",LEFT($F2599,3)="113"),OR(LEFT($G2599,3)="111",LEFT($G2599,3)="112",LEFT($G2599,3)="113")),"NB",IF(OR(LEFT($F2599,3)="111",LEFT($F2599,3)="112",LEFT($F2599,3)="113"),"THU",IF(OR(LEFT($G2599,3)="111",LEFT($G2599,3)="112",LEFT($G2599,3)="113"),"CHI",""))))</f>
        <v/>
      </c>
      <c r="N2599" s="117">
        <f>IF($M2599="THU",$G2599,IF($M2599="CHI",$F2599,""))</f>
        <v/>
      </c>
      <c r="O2599" s="117">
        <f>IF(OR($M2599="",$M2599="NB"),"",IF($J2599&lt;&gt;"",TEXT($J2599,"00"),IFERROR(VLOOKUP(LEFT($N2599,4),LCTT_MAP!$A$7:$C$66,IF($M2599="THU",2,3),FALSE()),IFERROR(VLOOKUP(LEFT($N2599,3),LCTT_MAP!$A$7:$C$66,IF($M2599="THU",2,3),FALSE()),IFERROR(VLOOKUP(LEFT($N2599,2),LCTT_MAP!$A$7:$C$66,IF($M2599="THU",2,3),FALSE()),IFERROR(VLOOKUP(LEFT($N2599,1),LCTT_MAP!$A$7:$C$66,IF($M2599="THU",2,3),FALSE()),IF($M2599="THU","06","07")))))))</f>
        <v/>
      </c>
      <c r="P2599" s="117">
        <f>P2598+IF(AND($H2599&lt;&gt;"",OR(LEFT($F2599,LEN(SC_TK))=SC_TK,LEFT($G2599,LEN(SC_TK))=SC_TK)),1,0)</f>
        <v/>
      </c>
    </row>
    <row r="2600" ht="15" customHeight="1" s="78">
      <c r="A2600" s="95">
        <f>IF($H2600="","",ROW()-6)</f>
        <v/>
      </c>
      <c r="B2600" s="114" t="n"/>
      <c r="C2600" s="102" t="n"/>
      <c r="D2600" s="114" t="n"/>
      <c r="E2600" s="103" t="n"/>
      <c r="F2600" s="102" t="n"/>
      <c r="G2600" s="102" t="n"/>
      <c r="H2600" s="115" t="n"/>
      <c r="I2600" s="102" t="n"/>
      <c r="J2600" s="102" t="n"/>
      <c r="K2600" s="103" t="n"/>
      <c r="L2600" s="116">
        <f>IF($H2600="","",TRIM(IF(COUNTIF(DMTK!$A$7:$A$250,$F2600)=0,"TK Nợ sai! ","")&amp;IF(COUNTIF(DMTK!$A$7:$A$250,$G2600)=0,"TK Có sai! ","")&amp;IF(N($H2600)&lt;=0,"Tiền phải &gt; 0! ","")&amp;IF($B2600="","Thiếu ngày! ","")&amp;IF(AND(OR(LEFT($F2600,3)="131",LEFT($G2600,3)="131",LEFT($F2600,3)="331",LEFT($G2600,3)="331"),$I2600=""),"Thiếu Mã ĐT! ","")&amp;IF(AND($I2600&lt;&gt;"",COUNTIF(DM_DT!$A$7:$A$306,$I2600)=0),"Mã ĐT chưa khai báo! ","")))</f>
        <v/>
      </c>
      <c r="M2600" s="117">
        <f>IF($H2600="","",IF(AND(OR(LEFT($F2600,3)="111",LEFT($F2600,3)="112",LEFT($F2600,3)="113"),OR(LEFT($G2600,3)="111",LEFT($G2600,3)="112",LEFT($G2600,3)="113")),"NB",IF(OR(LEFT($F2600,3)="111",LEFT($F2600,3)="112",LEFT($F2600,3)="113"),"THU",IF(OR(LEFT($G2600,3)="111",LEFT($G2600,3)="112",LEFT($G2600,3)="113"),"CHI",""))))</f>
        <v/>
      </c>
      <c r="N2600" s="117">
        <f>IF($M2600="THU",$G2600,IF($M2600="CHI",$F2600,""))</f>
        <v/>
      </c>
      <c r="O2600" s="117">
        <f>IF(OR($M2600="",$M2600="NB"),"",IF($J2600&lt;&gt;"",TEXT($J2600,"00"),IFERROR(VLOOKUP(LEFT($N2600,4),LCTT_MAP!$A$7:$C$66,IF($M2600="THU",2,3),FALSE()),IFERROR(VLOOKUP(LEFT($N2600,3),LCTT_MAP!$A$7:$C$66,IF($M2600="THU",2,3),FALSE()),IFERROR(VLOOKUP(LEFT($N2600,2),LCTT_MAP!$A$7:$C$66,IF($M2600="THU",2,3),FALSE()),IFERROR(VLOOKUP(LEFT($N2600,1),LCTT_MAP!$A$7:$C$66,IF($M2600="THU",2,3),FALSE()),IF($M2600="THU","06","07")))))))</f>
        <v/>
      </c>
      <c r="P2600" s="117">
        <f>P2599+IF(AND($H2600&lt;&gt;"",OR(LEFT($F2600,LEN(SC_TK))=SC_TK,LEFT($G2600,LEN(SC_TK))=SC_TK)),1,0)</f>
        <v/>
      </c>
    </row>
    <row r="2601" ht="15" customHeight="1" s="78">
      <c r="A2601" s="95">
        <f>IF($H2601="","",ROW()-6)</f>
        <v/>
      </c>
      <c r="B2601" s="114" t="n"/>
      <c r="C2601" s="102" t="n"/>
      <c r="D2601" s="114" t="n"/>
      <c r="E2601" s="103" t="n"/>
      <c r="F2601" s="102" t="n"/>
      <c r="G2601" s="102" t="n"/>
      <c r="H2601" s="115" t="n"/>
      <c r="I2601" s="102" t="n"/>
      <c r="J2601" s="102" t="n"/>
      <c r="K2601" s="103" t="n"/>
      <c r="L2601" s="116">
        <f>IF($H2601="","",TRIM(IF(COUNTIF(DMTK!$A$7:$A$250,$F2601)=0,"TK Nợ sai! ","")&amp;IF(COUNTIF(DMTK!$A$7:$A$250,$G2601)=0,"TK Có sai! ","")&amp;IF(N($H2601)&lt;=0,"Tiền phải &gt; 0! ","")&amp;IF($B2601="","Thiếu ngày! ","")&amp;IF(AND(OR(LEFT($F2601,3)="131",LEFT($G2601,3)="131",LEFT($F2601,3)="331",LEFT($G2601,3)="331"),$I2601=""),"Thiếu Mã ĐT! ","")&amp;IF(AND($I2601&lt;&gt;"",COUNTIF(DM_DT!$A$7:$A$306,$I2601)=0),"Mã ĐT chưa khai báo! ","")))</f>
        <v/>
      </c>
      <c r="M2601" s="117">
        <f>IF($H2601="","",IF(AND(OR(LEFT($F2601,3)="111",LEFT($F2601,3)="112",LEFT($F2601,3)="113"),OR(LEFT($G2601,3)="111",LEFT($G2601,3)="112",LEFT($G2601,3)="113")),"NB",IF(OR(LEFT($F2601,3)="111",LEFT($F2601,3)="112",LEFT($F2601,3)="113"),"THU",IF(OR(LEFT($G2601,3)="111",LEFT($G2601,3)="112",LEFT($G2601,3)="113"),"CHI",""))))</f>
        <v/>
      </c>
      <c r="N2601" s="117">
        <f>IF($M2601="THU",$G2601,IF($M2601="CHI",$F2601,""))</f>
        <v/>
      </c>
      <c r="O2601" s="117">
        <f>IF(OR($M2601="",$M2601="NB"),"",IF($J2601&lt;&gt;"",TEXT($J2601,"00"),IFERROR(VLOOKUP(LEFT($N2601,4),LCTT_MAP!$A$7:$C$66,IF($M2601="THU",2,3),FALSE()),IFERROR(VLOOKUP(LEFT($N2601,3),LCTT_MAP!$A$7:$C$66,IF($M2601="THU",2,3),FALSE()),IFERROR(VLOOKUP(LEFT($N2601,2),LCTT_MAP!$A$7:$C$66,IF($M2601="THU",2,3),FALSE()),IFERROR(VLOOKUP(LEFT($N2601,1),LCTT_MAP!$A$7:$C$66,IF($M2601="THU",2,3),FALSE()),IF($M2601="THU","06","07")))))))</f>
        <v/>
      </c>
      <c r="P2601" s="117">
        <f>P2600+IF(AND($H2601&lt;&gt;"",OR(LEFT($F2601,LEN(SC_TK))=SC_TK,LEFT($G2601,LEN(SC_TK))=SC_TK)),1,0)</f>
        <v/>
      </c>
    </row>
    <row r="2602" ht="15" customHeight="1" s="78">
      <c r="A2602" s="95">
        <f>IF($H2602="","",ROW()-6)</f>
        <v/>
      </c>
      <c r="B2602" s="114" t="n"/>
      <c r="C2602" s="102" t="n"/>
      <c r="D2602" s="114" t="n"/>
      <c r="E2602" s="103" t="n"/>
      <c r="F2602" s="102" t="n"/>
      <c r="G2602" s="102" t="n"/>
      <c r="H2602" s="115" t="n"/>
      <c r="I2602" s="102" t="n"/>
      <c r="J2602" s="102" t="n"/>
      <c r="K2602" s="103" t="n"/>
      <c r="L2602" s="116">
        <f>IF($H2602="","",TRIM(IF(COUNTIF(DMTK!$A$7:$A$250,$F2602)=0,"TK Nợ sai! ","")&amp;IF(COUNTIF(DMTK!$A$7:$A$250,$G2602)=0,"TK Có sai! ","")&amp;IF(N($H2602)&lt;=0,"Tiền phải &gt; 0! ","")&amp;IF($B2602="","Thiếu ngày! ","")&amp;IF(AND(OR(LEFT($F2602,3)="131",LEFT($G2602,3)="131",LEFT($F2602,3)="331",LEFT($G2602,3)="331"),$I2602=""),"Thiếu Mã ĐT! ","")&amp;IF(AND($I2602&lt;&gt;"",COUNTIF(DM_DT!$A$7:$A$306,$I2602)=0),"Mã ĐT chưa khai báo! ","")))</f>
        <v/>
      </c>
      <c r="M2602" s="117">
        <f>IF($H2602="","",IF(AND(OR(LEFT($F2602,3)="111",LEFT($F2602,3)="112",LEFT($F2602,3)="113"),OR(LEFT($G2602,3)="111",LEFT($G2602,3)="112",LEFT($G2602,3)="113")),"NB",IF(OR(LEFT($F2602,3)="111",LEFT($F2602,3)="112",LEFT($F2602,3)="113"),"THU",IF(OR(LEFT($G2602,3)="111",LEFT($G2602,3)="112",LEFT($G2602,3)="113"),"CHI",""))))</f>
        <v/>
      </c>
      <c r="N2602" s="117">
        <f>IF($M2602="THU",$G2602,IF($M2602="CHI",$F2602,""))</f>
        <v/>
      </c>
      <c r="O2602" s="117">
        <f>IF(OR($M2602="",$M2602="NB"),"",IF($J2602&lt;&gt;"",TEXT($J2602,"00"),IFERROR(VLOOKUP(LEFT($N2602,4),LCTT_MAP!$A$7:$C$66,IF($M2602="THU",2,3),FALSE()),IFERROR(VLOOKUP(LEFT($N2602,3),LCTT_MAP!$A$7:$C$66,IF($M2602="THU",2,3),FALSE()),IFERROR(VLOOKUP(LEFT($N2602,2),LCTT_MAP!$A$7:$C$66,IF($M2602="THU",2,3),FALSE()),IFERROR(VLOOKUP(LEFT($N2602,1),LCTT_MAP!$A$7:$C$66,IF($M2602="THU",2,3),FALSE()),IF($M2602="THU","06","07")))))))</f>
        <v/>
      </c>
      <c r="P2602" s="117">
        <f>P2601+IF(AND($H2602&lt;&gt;"",OR(LEFT($F2602,LEN(SC_TK))=SC_TK,LEFT($G2602,LEN(SC_TK))=SC_TK)),1,0)</f>
        <v/>
      </c>
    </row>
    <row r="2603" ht="15" customHeight="1" s="78">
      <c r="A2603" s="95">
        <f>IF($H2603="","",ROW()-6)</f>
        <v/>
      </c>
      <c r="B2603" s="114" t="n"/>
      <c r="C2603" s="102" t="n"/>
      <c r="D2603" s="114" t="n"/>
      <c r="E2603" s="103" t="n"/>
      <c r="F2603" s="102" t="n"/>
      <c r="G2603" s="102" t="n"/>
      <c r="H2603" s="115" t="n"/>
      <c r="I2603" s="102" t="n"/>
      <c r="J2603" s="102" t="n"/>
      <c r="K2603" s="103" t="n"/>
      <c r="L2603" s="116">
        <f>IF($H2603="","",TRIM(IF(COUNTIF(DMTK!$A$7:$A$250,$F2603)=0,"TK Nợ sai! ","")&amp;IF(COUNTIF(DMTK!$A$7:$A$250,$G2603)=0,"TK Có sai! ","")&amp;IF(N($H2603)&lt;=0,"Tiền phải &gt; 0! ","")&amp;IF($B2603="","Thiếu ngày! ","")&amp;IF(AND(OR(LEFT($F2603,3)="131",LEFT($G2603,3)="131",LEFT($F2603,3)="331",LEFT($G2603,3)="331"),$I2603=""),"Thiếu Mã ĐT! ","")&amp;IF(AND($I2603&lt;&gt;"",COUNTIF(DM_DT!$A$7:$A$306,$I2603)=0),"Mã ĐT chưa khai báo! ","")))</f>
        <v/>
      </c>
      <c r="M2603" s="117">
        <f>IF($H2603="","",IF(AND(OR(LEFT($F2603,3)="111",LEFT($F2603,3)="112",LEFT($F2603,3)="113"),OR(LEFT($G2603,3)="111",LEFT($G2603,3)="112",LEFT($G2603,3)="113")),"NB",IF(OR(LEFT($F2603,3)="111",LEFT($F2603,3)="112",LEFT($F2603,3)="113"),"THU",IF(OR(LEFT($G2603,3)="111",LEFT($G2603,3)="112",LEFT($G2603,3)="113"),"CHI",""))))</f>
        <v/>
      </c>
      <c r="N2603" s="117">
        <f>IF($M2603="THU",$G2603,IF($M2603="CHI",$F2603,""))</f>
        <v/>
      </c>
      <c r="O2603" s="117">
        <f>IF(OR($M2603="",$M2603="NB"),"",IF($J2603&lt;&gt;"",TEXT($J2603,"00"),IFERROR(VLOOKUP(LEFT($N2603,4),LCTT_MAP!$A$7:$C$66,IF($M2603="THU",2,3),FALSE()),IFERROR(VLOOKUP(LEFT($N2603,3),LCTT_MAP!$A$7:$C$66,IF($M2603="THU",2,3),FALSE()),IFERROR(VLOOKUP(LEFT($N2603,2),LCTT_MAP!$A$7:$C$66,IF($M2603="THU",2,3),FALSE()),IFERROR(VLOOKUP(LEFT($N2603,1),LCTT_MAP!$A$7:$C$66,IF($M2603="THU",2,3),FALSE()),IF($M2603="THU","06","07")))))))</f>
        <v/>
      </c>
      <c r="P2603" s="117">
        <f>P2602+IF(AND($H2603&lt;&gt;"",OR(LEFT($F2603,LEN(SC_TK))=SC_TK,LEFT($G2603,LEN(SC_TK))=SC_TK)),1,0)</f>
        <v/>
      </c>
    </row>
    <row r="2604" ht="15" customHeight="1" s="78">
      <c r="A2604" s="95">
        <f>IF($H2604="","",ROW()-6)</f>
        <v/>
      </c>
      <c r="B2604" s="114" t="n"/>
      <c r="C2604" s="102" t="n"/>
      <c r="D2604" s="114" t="n"/>
      <c r="E2604" s="103" t="n"/>
      <c r="F2604" s="102" t="n"/>
      <c r="G2604" s="102" t="n"/>
      <c r="H2604" s="115" t="n"/>
      <c r="I2604" s="102" t="n"/>
      <c r="J2604" s="102" t="n"/>
      <c r="K2604" s="103" t="n"/>
      <c r="L2604" s="116">
        <f>IF($H2604="","",TRIM(IF(COUNTIF(DMTK!$A$7:$A$250,$F2604)=0,"TK Nợ sai! ","")&amp;IF(COUNTIF(DMTK!$A$7:$A$250,$G2604)=0,"TK Có sai! ","")&amp;IF(N($H2604)&lt;=0,"Tiền phải &gt; 0! ","")&amp;IF($B2604="","Thiếu ngày! ","")&amp;IF(AND(OR(LEFT($F2604,3)="131",LEFT($G2604,3)="131",LEFT($F2604,3)="331",LEFT($G2604,3)="331"),$I2604=""),"Thiếu Mã ĐT! ","")&amp;IF(AND($I2604&lt;&gt;"",COUNTIF(DM_DT!$A$7:$A$306,$I2604)=0),"Mã ĐT chưa khai báo! ","")))</f>
        <v/>
      </c>
      <c r="M2604" s="117">
        <f>IF($H2604="","",IF(AND(OR(LEFT($F2604,3)="111",LEFT($F2604,3)="112",LEFT($F2604,3)="113"),OR(LEFT($G2604,3)="111",LEFT($G2604,3)="112",LEFT($G2604,3)="113")),"NB",IF(OR(LEFT($F2604,3)="111",LEFT($F2604,3)="112",LEFT($F2604,3)="113"),"THU",IF(OR(LEFT($G2604,3)="111",LEFT($G2604,3)="112",LEFT($G2604,3)="113"),"CHI",""))))</f>
        <v/>
      </c>
      <c r="N2604" s="117">
        <f>IF($M2604="THU",$G2604,IF($M2604="CHI",$F2604,""))</f>
        <v/>
      </c>
      <c r="O2604" s="117">
        <f>IF(OR($M2604="",$M2604="NB"),"",IF($J2604&lt;&gt;"",TEXT($J2604,"00"),IFERROR(VLOOKUP(LEFT($N2604,4),LCTT_MAP!$A$7:$C$66,IF($M2604="THU",2,3),FALSE()),IFERROR(VLOOKUP(LEFT($N2604,3),LCTT_MAP!$A$7:$C$66,IF($M2604="THU",2,3),FALSE()),IFERROR(VLOOKUP(LEFT($N2604,2),LCTT_MAP!$A$7:$C$66,IF($M2604="THU",2,3),FALSE()),IFERROR(VLOOKUP(LEFT($N2604,1),LCTT_MAP!$A$7:$C$66,IF($M2604="THU",2,3),FALSE()),IF($M2604="THU","06","07")))))))</f>
        <v/>
      </c>
      <c r="P2604" s="117">
        <f>P2603+IF(AND($H2604&lt;&gt;"",OR(LEFT($F2604,LEN(SC_TK))=SC_TK,LEFT($G2604,LEN(SC_TK))=SC_TK)),1,0)</f>
        <v/>
      </c>
    </row>
    <row r="2605" ht="15" customHeight="1" s="78">
      <c r="A2605" s="95">
        <f>IF($H2605="","",ROW()-6)</f>
        <v/>
      </c>
      <c r="B2605" s="114" t="n"/>
      <c r="C2605" s="102" t="n"/>
      <c r="D2605" s="114" t="n"/>
      <c r="E2605" s="103" t="n"/>
      <c r="F2605" s="102" t="n"/>
      <c r="G2605" s="102" t="n"/>
      <c r="H2605" s="115" t="n"/>
      <c r="I2605" s="102" t="n"/>
      <c r="J2605" s="102" t="n"/>
      <c r="K2605" s="103" t="n"/>
      <c r="L2605" s="116">
        <f>IF($H2605="","",TRIM(IF(COUNTIF(DMTK!$A$7:$A$250,$F2605)=0,"TK Nợ sai! ","")&amp;IF(COUNTIF(DMTK!$A$7:$A$250,$G2605)=0,"TK Có sai! ","")&amp;IF(N($H2605)&lt;=0,"Tiền phải &gt; 0! ","")&amp;IF($B2605="","Thiếu ngày! ","")&amp;IF(AND(OR(LEFT($F2605,3)="131",LEFT($G2605,3)="131",LEFT($F2605,3)="331",LEFT($G2605,3)="331"),$I2605=""),"Thiếu Mã ĐT! ","")&amp;IF(AND($I2605&lt;&gt;"",COUNTIF(DM_DT!$A$7:$A$306,$I2605)=0),"Mã ĐT chưa khai báo! ","")))</f>
        <v/>
      </c>
      <c r="M2605" s="117">
        <f>IF($H2605="","",IF(AND(OR(LEFT($F2605,3)="111",LEFT($F2605,3)="112",LEFT($F2605,3)="113"),OR(LEFT($G2605,3)="111",LEFT($G2605,3)="112",LEFT($G2605,3)="113")),"NB",IF(OR(LEFT($F2605,3)="111",LEFT($F2605,3)="112",LEFT($F2605,3)="113"),"THU",IF(OR(LEFT($G2605,3)="111",LEFT($G2605,3)="112",LEFT($G2605,3)="113"),"CHI",""))))</f>
        <v/>
      </c>
      <c r="N2605" s="117">
        <f>IF($M2605="THU",$G2605,IF($M2605="CHI",$F2605,""))</f>
        <v/>
      </c>
      <c r="O2605" s="117">
        <f>IF(OR($M2605="",$M2605="NB"),"",IF($J2605&lt;&gt;"",TEXT($J2605,"00"),IFERROR(VLOOKUP(LEFT($N2605,4),LCTT_MAP!$A$7:$C$66,IF($M2605="THU",2,3),FALSE()),IFERROR(VLOOKUP(LEFT($N2605,3),LCTT_MAP!$A$7:$C$66,IF($M2605="THU",2,3),FALSE()),IFERROR(VLOOKUP(LEFT($N2605,2),LCTT_MAP!$A$7:$C$66,IF($M2605="THU",2,3),FALSE()),IFERROR(VLOOKUP(LEFT($N2605,1),LCTT_MAP!$A$7:$C$66,IF($M2605="THU",2,3),FALSE()),IF($M2605="THU","06","07")))))))</f>
        <v/>
      </c>
      <c r="P2605" s="117">
        <f>P2604+IF(AND($H2605&lt;&gt;"",OR(LEFT($F2605,LEN(SC_TK))=SC_TK,LEFT($G2605,LEN(SC_TK))=SC_TK)),1,0)</f>
        <v/>
      </c>
    </row>
    <row r="2606" ht="15" customHeight="1" s="78">
      <c r="A2606" s="95">
        <f>IF($H2606="","",ROW()-6)</f>
        <v/>
      </c>
      <c r="B2606" s="114" t="n"/>
      <c r="C2606" s="102" t="n"/>
      <c r="D2606" s="114" t="n"/>
      <c r="E2606" s="103" t="n"/>
      <c r="F2606" s="102" t="n"/>
      <c r="G2606" s="102" t="n"/>
      <c r="H2606" s="115" t="n"/>
      <c r="I2606" s="102" t="n"/>
      <c r="J2606" s="102" t="n"/>
      <c r="K2606" s="103" t="n"/>
      <c r="L2606" s="116">
        <f>IF($H2606="","",TRIM(IF(COUNTIF(DMTK!$A$7:$A$250,$F2606)=0,"TK Nợ sai! ","")&amp;IF(COUNTIF(DMTK!$A$7:$A$250,$G2606)=0,"TK Có sai! ","")&amp;IF(N($H2606)&lt;=0,"Tiền phải &gt; 0! ","")&amp;IF($B2606="","Thiếu ngày! ","")&amp;IF(AND(OR(LEFT($F2606,3)="131",LEFT($G2606,3)="131",LEFT($F2606,3)="331",LEFT($G2606,3)="331"),$I2606=""),"Thiếu Mã ĐT! ","")&amp;IF(AND($I2606&lt;&gt;"",COUNTIF(DM_DT!$A$7:$A$306,$I2606)=0),"Mã ĐT chưa khai báo! ","")))</f>
        <v/>
      </c>
      <c r="M2606" s="117">
        <f>IF($H2606="","",IF(AND(OR(LEFT($F2606,3)="111",LEFT($F2606,3)="112",LEFT($F2606,3)="113"),OR(LEFT($G2606,3)="111",LEFT($G2606,3)="112",LEFT($G2606,3)="113")),"NB",IF(OR(LEFT($F2606,3)="111",LEFT($F2606,3)="112",LEFT($F2606,3)="113"),"THU",IF(OR(LEFT($G2606,3)="111",LEFT($G2606,3)="112",LEFT($G2606,3)="113"),"CHI",""))))</f>
        <v/>
      </c>
      <c r="N2606" s="117">
        <f>IF($M2606="THU",$G2606,IF($M2606="CHI",$F2606,""))</f>
        <v/>
      </c>
      <c r="O2606" s="117">
        <f>IF(OR($M2606="",$M2606="NB"),"",IF($J2606&lt;&gt;"",TEXT($J2606,"00"),IFERROR(VLOOKUP(LEFT($N2606,4),LCTT_MAP!$A$7:$C$66,IF($M2606="THU",2,3),FALSE()),IFERROR(VLOOKUP(LEFT($N2606,3),LCTT_MAP!$A$7:$C$66,IF($M2606="THU",2,3),FALSE()),IFERROR(VLOOKUP(LEFT($N2606,2),LCTT_MAP!$A$7:$C$66,IF($M2606="THU",2,3),FALSE()),IFERROR(VLOOKUP(LEFT($N2606,1),LCTT_MAP!$A$7:$C$66,IF($M2606="THU",2,3),FALSE()),IF($M2606="THU","06","07")))))))</f>
        <v/>
      </c>
      <c r="P2606" s="117">
        <f>P2605+IF(AND($H2606&lt;&gt;"",OR(LEFT($F2606,LEN(SC_TK))=SC_TK,LEFT($G2606,LEN(SC_TK))=SC_TK)),1,0)</f>
        <v/>
      </c>
    </row>
    <row r="2607" ht="15" customHeight="1" s="78">
      <c r="A2607" s="95">
        <f>IF($H2607="","",ROW()-6)</f>
        <v/>
      </c>
      <c r="B2607" s="114" t="n"/>
      <c r="C2607" s="102" t="n"/>
      <c r="D2607" s="114" t="n"/>
      <c r="E2607" s="103" t="n"/>
      <c r="F2607" s="102" t="n"/>
      <c r="G2607" s="102" t="n"/>
      <c r="H2607" s="115" t="n"/>
      <c r="I2607" s="102" t="n"/>
      <c r="J2607" s="102" t="n"/>
      <c r="K2607" s="103" t="n"/>
      <c r="L2607" s="116">
        <f>IF($H2607="","",TRIM(IF(COUNTIF(DMTK!$A$7:$A$250,$F2607)=0,"TK Nợ sai! ","")&amp;IF(COUNTIF(DMTK!$A$7:$A$250,$G2607)=0,"TK Có sai! ","")&amp;IF(N($H2607)&lt;=0,"Tiền phải &gt; 0! ","")&amp;IF($B2607="","Thiếu ngày! ","")&amp;IF(AND(OR(LEFT($F2607,3)="131",LEFT($G2607,3)="131",LEFT($F2607,3)="331",LEFT($G2607,3)="331"),$I2607=""),"Thiếu Mã ĐT! ","")&amp;IF(AND($I2607&lt;&gt;"",COUNTIF(DM_DT!$A$7:$A$306,$I2607)=0),"Mã ĐT chưa khai báo! ","")))</f>
        <v/>
      </c>
      <c r="M2607" s="117">
        <f>IF($H2607="","",IF(AND(OR(LEFT($F2607,3)="111",LEFT($F2607,3)="112",LEFT($F2607,3)="113"),OR(LEFT($G2607,3)="111",LEFT($G2607,3)="112",LEFT($G2607,3)="113")),"NB",IF(OR(LEFT($F2607,3)="111",LEFT($F2607,3)="112",LEFT($F2607,3)="113"),"THU",IF(OR(LEFT($G2607,3)="111",LEFT($G2607,3)="112",LEFT($G2607,3)="113"),"CHI",""))))</f>
        <v/>
      </c>
      <c r="N2607" s="117">
        <f>IF($M2607="THU",$G2607,IF($M2607="CHI",$F2607,""))</f>
        <v/>
      </c>
      <c r="O2607" s="117">
        <f>IF(OR($M2607="",$M2607="NB"),"",IF($J2607&lt;&gt;"",TEXT($J2607,"00"),IFERROR(VLOOKUP(LEFT($N2607,4),LCTT_MAP!$A$7:$C$66,IF($M2607="THU",2,3),FALSE()),IFERROR(VLOOKUP(LEFT($N2607,3),LCTT_MAP!$A$7:$C$66,IF($M2607="THU",2,3),FALSE()),IFERROR(VLOOKUP(LEFT($N2607,2),LCTT_MAP!$A$7:$C$66,IF($M2607="THU",2,3),FALSE()),IFERROR(VLOOKUP(LEFT($N2607,1),LCTT_MAP!$A$7:$C$66,IF($M2607="THU",2,3),FALSE()),IF($M2607="THU","06","07")))))))</f>
        <v/>
      </c>
      <c r="P2607" s="117">
        <f>P2606+IF(AND($H2607&lt;&gt;"",OR(LEFT($F2607,LEN(SC_TK))=SC_TK,LEFT($G2607,LEN(SC_TK))=SC_TK)),1,0)</f>
        <v/>
      </c>
    </row>
    <row r="2608" ht="15" customHeight="1" s="78">
      <c r="A2608" s="95">
        <f>IF($H2608="","",ROW()-6)</f>
        <v/>
      </c>
      <c r="B2608" s="114" t="n"/>
      <c r="C2608" s="102" t="n"/>
      <c r="D2608" s="114" t="n"/>
      <c r="E2608" s="103" t="n"/>
      <c r="F2608" s="102" t="n"/>
      <c r="G2608" s="102" t="n"/>
      <c r="H2608" s="115" t="n"/>
      <c r="I2608" s="102" t="n"/>
      <c r="J2608" s="102" t="n"/>
      <c r="K2608" s="103" t="n"/>
      <c r="L2608" s="116">
        <f>IF($H2608="","",TRIM(IF(COUNTIF(DMTK!$A$7:$A$250,$F2608)=0,"TK Nợ sai! ","")&amp;IF(COUNTIF(DMTK!$A$7:$A$250,$G2608)=0,"TK Có sai! ","")&amp;IF(N($H2608)&lt;=0,"Tiền phải &gt; 0! ","")&amp;IF($B2608="","Thiếu ngày! ","")&amp;IF(AND(OR(LEFT($F2608,3)="131",LEFT($G2608,3)="131",LEFT($F2608,3)="331",LEFT($G2608,3)="331"),$I2608=""),"Thiếu Mã ĐT! ","")&amp;IF(AND($I2608&lt;&gt;"",COUNTIF(DM_DT!$A$7:$A$306,$I2608)=0),"Mã ĐT chưa khai báo! ","")))</f>
        <v/>
      </c>
      <c r="M2608" s="117">
        <f>IF($H2608="","",IF(AND(OR(LEFT($F2608,3)="111",LEFT($F2608,3)="112",LEFT($F2608,3)="113"),OR(LEFT($G2608,3)="111",LEFT($G2608,3)="112",LEFT($G2608,3)="113")),"NB",IF(OR(LEFT($F2608,3)="111",LEFT($F2608,3)="112",LEFT($F2608,3)="113"),"THU",IF(OR(LEFT($G2608,3)="111",LEFT($G2608,3)="112",LEFT($G2608,3)="113"),"CHI",""))))</f>
        <v/>
      </c>
      <c r="N2608" s="117">
        <f>IF($M2608="THU",$G2608,IF($M2608="CHI",$F2608,""))</f>
        <v/>
      </c>
      <c r="O2608" s="117">
        <f>IF(OR($M2608="",$M2608="NB"),"",IF($J2608&lt;&gt;"",TEXT($J2608,"00"),IFERROR(VLOOKUP(LEFT($N2608,4),LCTT_MAP!$A$7:$C$66,IF($M2608="THU",2,3),FALSE()),IFERROR(VLOOKUP(LEFT($N2608,3),LCTT_MAP!$A$7:$C$66,IF($M2608="THU",2,3),FALSE()),IFERROR(VLOOKUP(LEFT($N2608,2),LCTT_MAP!$A$7:$C$66,IF($M2608="THU",2,3),FALSE()),IFERROR(VLOOKUP(LEFT($N2608,1),LCTT_MAP!$A$7:$C$66,IF($M2608="THU",2,3),FALSE()),IF($M2608="THU","06","07")))))))</f>
        <v/>
      </c>
      <c r="P2608" s="117">
        <f>P2607+IF(AND($H2608&lt;&gt;"",OR(LEFT($F2608,LEN(SC_TK))=SC_TK,LEFT($G2608,LEN(SC_TK))=SC_TK)),1,0)</f>
        <v/>
      </c>
    </row>
    <row r="2609" ht="15" customHeight="1" s="78">
      <c r="A2609" s="95">
        <f>IF($H2609="","",ROW()-6)</f>
        <v/>
      </c>
      <c r="B2609" s="114" t="n"/>
      <c r="C2609" s="102" t="n"/>
      <c r="D2609" s="114" t="n"/>
      <c r="E2609" s="103" t="n"/>
      <c r="F2609" s="102" t="n"/>
      <c r="G2609" s="102" t="n"/>
      <c r="H2609" s="115" t="n"/>
      <c r="I2609" s="102" t="n"/>
      <c r="J2609" s="102" t="n"/>
      <c r="K2609" s="103" t="n"/>
      <c r="L2609" s="116">
        <f>IF($H2609="","",TRIM(IF(COUNTIF(DMTK!$A$7:$A$250,$F2609)=0,"TK Nợ sai! ","")&amp;IF(COUNTIF(DMTK!$A$7:$A$250,$G2609)=0,"TK Có sai! ","")&amp;IF(N($H2609)&lt;=0,"Tiền phải &gt; 0! ","")&amp;IF($B2609="","Thiếu ngày! ","")&amp;IF(AND(OR(LEFT($F2609,3)="131",LEFT($G2609,3)="131",LEFT($F2609,3)="331",LEFT($G2609,3)="331"),$I2609=""),"Thiếu Mã ĐT! ","")&amp;IF(AND($I2609&lt;&gt;"",COUNTIF(DM_DT!$A$7:$A$306,$I2609)=0),"Mã ĐT chưa khai báo! ","")))</f>
        <v/>
      </c>
      <c r="M2609" s="117">
        <f>IF($H2609="","",IF(AND(OR(LEFT($F2609,3)="111",LEFT($F2609,3)="112",LEFT($F2609,3)="113"),OR(LEFT($G2609,3)="111",LEFT($G2609,3)="112",LEFT($G2609,3)="113")),"NB",IF(OR(LEFT($F2609,3)="111",LEFT($F2609,3)="112",LEFT($F2609,3)="113"),"THU",IF(OR(LEFT($G2609,3)="111",LEFT($G2609,3)="112",LEFT($G2609,3)="113"),"CHI",""))))</f>
        <v/>
      </c>
      <c r="N2609" s="117">
        <f>IF($M2609="THU",$G2609,IF($M2609="CHI",$F2609,""))</f>
        <v/>
      </c>
      <c r="O2609" s="117">
        <f>IF(OR($M2609="",$M2609="NB"),"",IF($J2609&lt;&gt;"",TEXT($J2609,"00"),IFERROR(VLOOKUP(LEFT($N2609,4),LCTT_MAP!$A$7:$C$66,IF($M2609="THU",2,3),FALSE()),IFERROR(VLOOKUP(LEFT($N2609,3),LCTT_MAP!$A$7:$C$66,IF($M2609="THU",2,3),FALSE()),IFERROR(VLOOKUP(LEFT($N2609,2),LCTT_MAP!$A$7:$C$66,IF($M2609="THU",2,3),FALSE()),IFERROR(VLOOKUP(LEFT($N2609,1),LCTT_MAP!$A$7:$C$66,IF($M2609="THU",2,3),FALSE()),IF($M2609="THU","06","07")))))))</f>
        <v/>
      </c>
      <c r="P2609" s="117">
        <f>P2608+IF(AND($H2609&lt;&gt;"",OR(LEFT($F2609,LEN(SC_TK))=SC_TK,LEFT($G2609,LEN(SC_TK))=SC_TK)),1,0)</f>
        <v/>
      </c>
    </row>
    <row r="2610" ht="15" customHeight="1" s="78">
      <c r="A2610" s="95">
        <f>IF($H2610="","",ROW()-6)</f>
        <v/>
      </c>
      <c r="B2610" s="114" t="n"/>
      <c r="C2610" s="102" t="n"/>
      <c r="D2610" s="114" t="n"/>
      <c r="E2610" s="103" t="n"/>
      <c r="F2610" s="102" t="n"/>
      <c r="G2610" s="102" t="n"/>
      <c r="H2610" s="115" t="n"/>
      <c r="I2610" s="102" t="n"/>
      <c r="J2610" s="102" t="n"/>
      <c r="K2610" s="103" t="n"/>
      <c r="L2610" s="116">
        <f>IF($H2610="","",TRIM(IF(COUNTIF(DMTK!$A$7:$A$250,$F2610)=0,"TK Nợ sai! ","")&amp;IF(COUNTIF(DMTK!$A$7:$A$250,$G2610)=0,"TK Có sai! ","")&amp;IF(N($H2610)&lt;=0,"Tiền phải &gt; 0! ","")&amp;IF($B2610="","Thiếu ngày! ","")&amp;IF(AND(OR(LEFT($F2610,3)="131",LEFT($G2610,3)="131",LEFT($F2610,3)="331",LEFT($G2610,3)="331"),$I2610=""),"Thiếu Mã ĐT! ","")&amp;IF(AND($I2610&lt;&gt;"",COUNTIF(DM_DT!$A$7:$A$306,$I2610)=0),"Mã ĐT chưa khai báo! ","")))</f>
        <v/>
      </c>
      <c r="M2610" s="117">
        <f>IF($H2610="","",IF(AND(OR(LEFT($F2610,3)="111",LEFT($F2610,3)="112",LEFT($F2610,3)="113"),OR(LEFT($G2610,3)="111",LEFT($G2610,3)="112",LEFT($G2610,3)="113")),"NB",IF(OR(LEFT($F2610,3)="111",LEFT($F2610,3)="112",LEFT($F2610,3)="113"),"THU",IF(OR(LEFT($G2610,3)="111",LEFT($G2610,3)="112",LEFT($G2610,3)="113"),"CHI",""))))</f>
        <v/>
      </c>
      <c r="N2610" s="117">
        <f>IF($M2610="THU",$G2610,IF($M2610="CHI",$F2610,""))</f>
        <v/>
      </c>
      <c r="O2610" s="117">
        <f>IF(OR($M2610="",$M2610="NB"),"",IF($J2610&lt;&gt;"",TEXT($J2610,"00"),IFERROR(VLOOKUP(LEFT($N2610,4),LCTT_MAP!$A$7:$C$66,IF($M2610="THU",2,3),FALSE()),IFERROR(VLOOKUP(LEFT($N2610,3),LCTT_MAP!$A$7:$C$66,IF($M2610="THU",2,3),FALSE()),IFERROR(VLOOKUP(LEFT($N2610,2),LCTT_MAP!$A$7:$C$66,IF($M2610="THU",2,3),FALSE()),IFERROR(VLOOKUP(LEFT($N2610,1),LCTT_MAP!$A$7:$C$66,IF($M2610="THU",2,3),FALSE()),IF($M2610="THU","06","07")))))))</f>
        <v/>
      </c>
      <c r="P2610" s="117">
        <f>P2609+IF(AND($H2610&lt;&gt;"",OR(LEFT($F2610,LEN(SC_TK))=SC_TK,LEFT($G2610,LEN(SC_TK))=SC_TK)),1,0)</f>
        <v/>
      </c>
    </row>
    <row r="2611" ht="15" customHeight="1" s="78">
      <c r="A2611" s="95">
        <f>IF($H2611="","",ROW()-6)</f>
        <v/>
      </c>
      <c r="B2611" s="114" t="n"/>
      <c r="C2611" s="102" t="n"/>
      <c r="D2611" s="114" t="n"/>
      <c r="E2611" s="103" t="n"/>
      <c r="F2611" s="102" t="n"/>
      <c r="G2611" s="102" t="n"/>
      <c r="H2611" s="115" t="n"/>
      <c r="I2611" s="102" t="n"/>
      <c r="J2611" s="102" t="n"/>
      <c r="K2611" s="103" t="n"/>
      <c r="L2611" s="116">
        <f>IF($H2611="","",TRIM(IF(COUNTIF(DMTK!$A$7:$A$250,$F2611)=0,"TK Nợ sai! ","")&amp;IF(COUNTIF(DMTK!$A$7:$A$250,$G2611)=0,"TK Có sai! ","")&amp;IF(N($H2611)&lt;=0,"Tiền phải &gt; 0! ","")&amp;IF($B2611="","Thiếu ngày! ","")&amp;IF(AND(OR(LEFT($F2611,3)="131",LEFT($G2611,3)="131",LEFT($F2611,3)="331",LEFT($G2611,3)="331"),$I2611=""),"Thiếu Mã ĐT! ","")&amp;IF(AND($I2611&lt;&gt;"",COUNTIF(DM_DT!$A$7:$A$306,$I2611)=0),"Mã ĐT chưa khai báo! ","")))</f>
        <v/>
      </c>
      <c r="M2611" s="117">
        <f>IF($H2611="","",IF(AND(OR(LEFT($F2611,3)="111",LEFT($F2611,3)="112",LEFT($F2611,3)="113"),OR(LEFT($G2611,3)="111",LEFT($G2611,3)="112",LEFT($G2611,3)="113")),"NB",IF(OR(LEFT($F2611,3)="111",LEFT($F2611,3)="112",LEFT($F2611,3)="113"),"THU",IF(OR(LEFT($G2611,3)="111",LEFT($G2611,3)="112",LEFT($G2611,3)="113"),"CHI",""))))</f>
        <v/>
      </c>
      <c r="N2611" s="117">
        <f>IF($M2611="THU",$G2611,IF($M2611="CHI",$F2611,""))</f>
        <v/>
      </c>
      <c r="O2611" s="117">
        <f>IF(OR($M2611="",$M2611="NB"),"",IF($J2611&lt;&gt;"",TEXT($J2611,"00"),IFERROR(VLOOKUP(LEFT($N2611,4),LCTT_MAP!$A$7:$C$66,IF($M2611="THU",2,3),FALSE()),IFERROR(VLOOKUP(LEFT($N2611,3),LCTT_MAP!$A$7:$C$66,IF($M2611="THU",2,3),FALSE()),IFERROR(VLOOKUP(LEFT($N2611,2),LCTT_MAP!$A$7:$C$66,IF($M2611="THU",2,3),FALSE()),IFERROR(VLOOKUP(LEFT($N2611,1),LCTT_MAP!$A$7:$C$66,IF($M2611="THU",2,3),FALSE()),IF($M2611="THU","06","07")))))))</f>
        <v/>
      </c>
      <c r="P2611" s="117">
        <f>P2610+IF(AND($H2611&lt;&gt;"",OR(LEFT($F2611,LEN(SC_TK))=SC_TK,LEFT($G2611,LEN(SC_TK))=SC_TK)),1,0)</f>
        <v/>
      </c>
    </row>
    <row r="2612" ht="15" customHeight="1" s="78">
      <c r="A2612" s="95">
        <f>IF($H2612="","",ROW()-6)</f>
        <v/>
      </c>
      <c r="B2612" s="114" t="n"/>
      <c r="C2612" s="102" t="n"/>
      <c r="D2612" s="114" t="n"/>
      <c r="E2612" s="103" t="n"/>
      <c r="F2612" s="102" t="n"/>
      <c r="G2612" s="102" t="n"/>
      <c r="H2612" s="115" t="n"/>
      <c r="I2612" s="102" t="n"/>
      <c r="J2612" s="102" t="n"/>
      <c r="K2612" s="103" t="n"/>
      <c r="L2612" s="116">
        <f>IF($H2612="","",TRIM(IF(COUNTIF(DMTK!$A$7:$A$250,$F2612)=0,"TK Nợ sai! ","")&amp;IF(COUNTIF(DMTK!$A$7:$A$250,$G2612)=0,"TK Có sai! ","")&amp;IF(N($H2612)&lt;=0,"Tiền phải &gt; 0! ","")&amp;IF($B2612="","Thiếu ngày! ","")&amp;IF(AND(OR(LEFT($F2612,3)="131",LEFT($G2612,3)="131",LEFT($F2612,3)="331",LEFT($G2612,3)="331"),$I2612=""),"Thiếu Mã ĐT! ","")&amp;IF(AND($I2612&lt;&gt;"",COUNTIF(DM_DT!$A$7:$A$306,$I2612)=0),"Mã ĐT chưa khai báo! ","")))</f>
        <v/>
      </c>
      <c r="M2612" s="117">
        <f>IF($H2612="","",IF(AND(OR(LEFT($F2612,3)="111",LEFT($F2612,3)="112",LEFT($F2612,3)="113"),OR(LEFT($G2612,3)="111",LEFT($G2612,3)="112",LEFT($G2612,3)="113")),"NB",IF(OR(LEFT($F2612,3)="111",LEFT($F2612,3)="112",LEFT($F2612,3)="113"),"THU",IF(OR(LEFT($G2612,3)="111",LEFT($G2612,3)="112",LEFT($G2612,3)="113"),"CHI",""))))</f>
        <v/>
      </c>
      <c r="N2612" s="117">
        <f>IF($M2612="THU",$G2612,IF($M2612="CHI",$F2612,""))</f>
        <v/>
      </c>
      <c r="O2612" s="117">
        <f>IF(OR($M2612="",$M2612="NB"),"",IF($J2612&lt;&gt;"",TEXT($J2612,"00"),IFERROR(VLOOKUP(LEFT($N2612,4),LCTT_MAP!$A$7:$C$66,IF($M2612="THU",2,3),FALSE()),IFERROR(VLOOKUP(LEFT($N2612,3),LCTT_MAP!$A$7:$C$66,IF($M2612="THU",2,3),FALSE()),IFERROR(VLOOKUP(LEFT($N2612,2),LCTT_MAP!$A$7:$C$66,IF($M2612="THU",2,3),FALSE()),IFERROR(VLOOKUP(LEFT($N2612,1),LCTT_MAP!$A$7:$C$66,IF($M2612="THU",2,3),FALSE()),IF($M2612="THU","06","07")))))))</f>
        <v/>
      </c>
      <c r="P2612" s="117">
        <f>P2611+IF(AND($H2612&lt;&gt;"",OR(LEFT($F2612,LEN(SC_TK))=SC_TK,LEFT($G2612,LEN(SC_TK))=SC_TK)),1,0)</f>
        <v/>
      </c>
    </row>
    <row r="2613" ht="15" customHeight="1" s="78">
      <c r="A2613" s="95">
        <f>IF($H2613="","",ROW()-6)</f>
        <v/>
      </c>
      <c r="B2613" s="114" t="n"/>
      <c r="C2613" s="102" t="n"/>
      <c r="D2613" s="114" t="n"/>
      <c r="E2613" s="103" t="n"/>
      <c r="F2613" s="102" t="n"/>
      <c r="G2613" s="102" t="n"/>
      <c r="H2613" s="115" t="n"/>
      <c r="I2613" s="102" t="n"/>
      <c r="J2613" s="102" t="n"/>
      <c r="K2613" s="103" t="n"/>
      <c r="L2613" s="116">
        <f>IF($H2613="","",TRIM(IF(COUNTIF(DMTK!$A$7:$A$250,$F2613)=0,"TK Nợ sai! ","")&amp;IF(COUNTIF(DMTK!$A$7:$A$250,$G2613)=0,"TK Có sai! ","")&amp;IF(N($H2613)&lt;=0,"Tiền phải &gt; 0! ","")&amp;IF($B2613="","Thiếu ngày! ","")&amp;IF(AND(OR(LEFT($F2613,3)="131",LEFT($G2613,3)="131",LEFT($F2613,3)="331",LEFT($G2613,3)="331"),$I2613=""),"Thiếu Mã ĐT! ","")&amp;IF(AND($I2613&lt;&gt;"",COUNTIF(DM_DT!$A$7:$A$306,$I2613)=0),"Mã ĐT chưa khai báo! ","")))</f>
        <v/>
      </c>
      <c r="M2613" s="117">
        <f>IF($H2613="","",IF(AND(OR(LEFT($F2613,3)="111",LEFT($F2613,3)="112",LEFT($F2613,3)="113"),OR(LEFT($G2613,3)="111",LEFT($G2613,3)="112",LEFT($G2613,3)="113")),"NB",IF(OR(LEFT($F2613,3)="111",LEFT($F2613,3)="112",LEFT($F2613,3)="113"),"THU",IF(OR(LEFT($G2613,3)="111",LEFT($G2613,3)="112",LEFT($G2613,3)="113"),"CHI",""))))</f>
        <v/>
      </c>
      <c r="N2613" s="117">
        <f>IF($M2613="THU",$G2613,IF($M2613="CHI",$F2613,""))</f>
        <v/>
      </c>
      <c r="O2613" s="117">
        <f>IF(OR($M2613="",$M2613="NB"),"",IF($J2613&lt;&gt;"",TEXT($J2613,"00"),IFERROR(VLOOKUP(LEFT($N2613,4),LCTT_MAP!$A$7:$C$66,IF($M2613="THU",2,3),FALSE()),IFERROR(VLOOKUP(LEFT($N2613,3),LCTT_MAP!$A$7:$C$66,IF($M2613="THU",2,3),FALSE()),IFERROR(VLOOKUP(LEFT($N2613,2),LCTT_MAP!$A$7:$C$66,IF($M2613="THU",2,3),FALSE()),IFERROR(VLOOKUP(LEFT($N2613,1),LCTT_MAP!$A$7:$C$66,IF($M2613="THU",2,3),FALSE()),IF($M2613="THU","06","07")))))))</f>
        <v/>
      </c>
      <c r="P2613" s="117">
        <f>P2612+IF(AND($H2613&lt;&gt;"",OR(LEFT($F2613,LEN(SC_TK))=SC_TK,LEFT($G2613,LEN(SC_TK))=SC_TK)),1,0)</f>
        <v/>
      </c>
    </row>
    <row r="2614" ht="15" customHeight="1" s="78">
      <c r="A2614" s="95">
        <f>IF($H2614="","",ROW()-6)</f>
        <v/>
      </c>
      <c r="B2614" s="114" t="n"/>
      <c r="C2614" s="102" t="n"/>
      <c r="D2614" s="114" t="n"/>
      <c r="E2614" s="103" t="n"/>
      <c r="F2614" s="102" t="n"/>
      <c r="G2614" s="102" t="n"/>
      <c r="H2614" s="115" t="n"/>
      <c r="I2614" s="102" t="n"/>
      <c r="J2614" s="102" t="n"/>
      <c r="K2614" s="103" t="n"/>
      <c r="L2614" s="116">
        <f>IF($H2614="","",TRIM(IF(COUNTIF(DMTK!$A$7:$A$250,$F2614)=0,"TK Nợ sai! ","")&amp;IF(COUNTIF(DMTK!$A$7:$A$250,$G2614)=0,"TK Có sai! ","")&amp;IF(N($H2614)&lt;=0,"Tiền phải &gt; 0! ","")&amp;IF($B2614="","Thiếu ngày! ","")&amp;IF(AND(OR(LEFT($F2614,3)="131",LEFT($G2614,3)="131",LEFT($F2614,3)="331",LEFT($G2614,3)="331"),$I2614=""),"Thiếu Mã ĐT! ","")&amp;IF(AND($I2614&lt;&gt;"",COUNTIF(DM_DT!$A$7:$A$306,$I2614)=0),"Mã ĐT chưa khai báo! ","")))</f>
        <v/>
      </c>
      <c r="M2614" s="117">
        <f>IF($H2614="","",IF(AND(OR(LEFT($F2614,3)="111",LEFT($F2614,3)="112",LEFT($F2614,3)="113"),OR(LEFT($G2614,3)="111",LEFT($G2614,3)="112",LEFT($G2614,3)="113")),"NB",IF(OR(LEFT($F2614,3)="111",LEFT($F2614,3)="112",LEFT($F2614,3)="113"),"THU",IF(OR(LEFT($G2614,3)="111",LEFT($G2614,3)="112",LEFT($G2614,3)="113"),"CHI",""))))</f>
        <v/>
      </c>
      <c r="N2614" s="117">
        <f>IF($M2614="THU",$G2614,IF($M2614="CHI",$F2614,""))</f>
        <v/>
      </c>
      <c r="O2614" s="117">
        <f>IF(OR($M2614="",$M2614="NB"),"",IF($J2614&lt;&gt;"",TEXT($J2614,"00"),IFERROR(VLOOKUP(LEFT($N2614,4),LCTT_MAP!$A$7:$C$66,IF($M2614="THU",2,3),FALSE()),IFERROR(VLOOKUP(LEFT($N2614,3),LCTT_MAP!$A$7:$C$66,IF($M2614="THU",2,3),FALSE()),IFERROR(VLOOKUP(LEFT($N2614,2),LCTT_MAP!$A$7:$C$66,IF($M2614="THU",2,3),FALSE()),IFERROR(VLOOKUP(LEFT($N2614,1),LCTT_MAP!$A$7:$C$66,IF($M2614="THU",2,3),FALSE()),IF($M2614="THU","06","07")))))))</f>
        <v/>
      </c>
      <c r="P2614" s="117">
        <f>P2613+IF(AND($H2614&lt;&gt;"",OR(LEFT($F2614,LEN(SC_TK))=SC_TK,LEFT($G2614,LEN(SC_TK))=SC_TK)),1,0)</f>
        <v/>
      </c>
    </row>
    <row r="2615" ht="15" customHeight="1" s="78">
      <c r="A2615" s="95">
        <f>IF($H2615="","",ROW()-6)</f>
        <v/>
      </c>
      <c r="B2615" s="114" t="n"/>
      <c r="C2615" s="102" t="n"/>
      <c r="D2615" s="114" t="n"/>
      <c r="E2615" s="103" t="n"/>
      <c r="F2615" s="102" t="n"/>
      <c r="G2615" s="102" t="n"/>
      <c r="H2615" s="115" t="n"/>
      <c r="I2615" s="102" t="n"/>
      <c r="J2615" s="102" t="n"/>
      <c r="K2615" s="103" t="n"/>
      <c r="L2615" s="116">
        <f>IF($H2615="","",TRIM(IF(COUNTIF(DMTK!$A$7:$A$250,$F2615)=0,"TK Nợ sai! ","")&amp;IF(COUNTIF(DMTK!$A$7:$A$250,$G2615)=0,"TK Có sai! ","")&amp;IF(N($H2615)&lt;=0,"Tiền phải &gt; 0! ","")&amp;IF($B2615="","Thiếu ngày! ","")&amp;IF(AND(OR(LEFT($F2615,3)="131",LEFT($G2615,3)="131",LEFT($F2615,3)="331",LEFT($G2615,3)="331"),$I2615=""),"Thiếu Mã ĐT! ","")&amp;IF(AND($I2615&lt;&gt;"",COUNTIF(DM_DT!$A$7:$A$306,$I2615)=0),"Mã ĐT chưa khai báo! ","")))</f>
        <v/>
      </c>
      <c r="M2615" s="117">
        <f>IF($H2615="","",IF(AND(OR(LEFT($F2615,3)="111",LEFT($F2615,3)="112",LEFT($F2615,3)="113"),OR(LEFT($G2615,3)="111",LEFT($G2615,3)="112",LEFT($G2615,3)="113")),"NB",IF(OR(LEFT($F2615,3)="111",LEFT($F2615,3)="112",LEFT($F2615,3)="113"),"THU",IF(OR(LEFT($G2615,3)="111",LEFT($G2615,3)="112",LEFT($G2615,3)="113"),"CHI",""))))</f>
        <v/>
      </c>
      <c r="N2615" s="117">
        <f>IF($M2615="THU",$G2615,IF($M2615="CHI",$F2615,""))</f>
        <v/>
      </c>
      <c r="O2615" s="117">
        <f>IF(OR($M2615="",$M2615="NB"),"",IF($J2615&lt;&gt;"",TEXT($J2615,"00"),IFERROR(VLOOKUP(LEFT($N2615,4),LCTT_MAP!$A$7:$C$66,IF($M2615="THU",2,3),FALSE()),IFERROR(VLOOKUP(LEFT($N2615,3),LCTT_MAP!$A$7:$C$66,IF($M2615="THU",2,3),FALSE()),IFERROR(VLOOKUP(LEFT($N2615,2),LCTT_MAP!$A$7:$C$66,IF($M2615="THU",2,3),FALSE()),IFERROR(VLOOKUP(LEFT($N2615,1),LCTT_MAP!$A$7:$C$66,IF($M2615="THU",2,3),FALSE()),IF($M2615="THU","06","07")))))))</f>
        <v/>
      </c>
      <c r="P2615" s="117">
        <f>P2614+IF(AND($H2615&lt;&gt;"",OR(LEFT($F2615,LEN(SC_TK))=SC_TK,LEFT($G2615,LEN(SC_TK))=SC_TK)),1,0)</f>
        <v/>
      </c>
    </row>
    <row r="2616" ht="15" customHeight="1" s="78">
      <c r="A2616" s="95">
        <f>IF($H2616="","",ROW()-6)</f>
        <v/>
      </c>
      <c r="B2616" s="114" t="n"/>
      <c r="C2616" s="102" t="n"/>
      <c r="D2616" s="114" t="n"/>
      <c r="E2616" s="103" t="n"/>
      <c r="F2616" s="102" t="n"/>
      <c r="G2616" s="102" t="n"/>
      <c r="H2616" s="115" t="n"/>
      <c r="I2616" s="102" t="n"/>
      <c r="J2616" s="102" t="n"/>
      <c r="K2616" s="103" t="n"/>
      <c r="L2616" s="116">
        <f>IF($H2616="","",TRIM(IF(COUNTIF(DMTK!$A$7:$A$250,$F2616)=0,"TK Nợ sai! ","")&amp;IF(COUNTIF(DMTK!$A$7:$A$250,$G2616)=0,"TK Có sai! ","")&amp;IF(N($H2616)&lt;=0,"Tiền phải &gt; 0! ","")&amp;IF($B2616="","Thiếu ngày! ","")&amp;IF(AND(OR(LEFT($F2616,3)="131",LEFT($G2616,3)="131",LEFT($F2616,3)="331",LEFT($G2616,3)="331"),$I2616=""),"Thiếu Mã ĐT! ","")&amp;IF(AND($I2616&lt;&gt;"",COUNTIF(DM_DT!$A$7:$A$306,$I2616)=0),"Mã ĐT chưa khai báo! ","")))</f>
        <v/>
      </c>
      <c r="M2616" s="117">
        <f>IF($H2616="","",IF(AND(OR(LEFT($F2616,3)="111",LEFT($F2616,3)="112",LEFT($F2616,3)="113"),OR(LEFT($G2616,3)="111",LEFT($G2616,3)="112",LEFT($G2616,3)="113")),"NB",IF(OR(LEFT($F2616,3)="111",LEFT($F2616,3)="112",LEFT($F2616,3)="113"),"THU",IF(OR(LEFT($G2616,3)="111",LEFT($G2616,3)="112",LEFT($G2616,3)="113"),"CHI",""))))</f>
        <v/>
      </c>
      <c r="N2616" s="117">
        <f>IF($M2616="THU",$G2616,IF($M2616="CHI",$F2616,""))</f>
        <v/>
      </c>
      <c r="O2616" s="117">
        <f>IF(OR($M2616="",$M2616="NB"),"",IF($J2616&lt;&gt;"",TEXT($J2616,"00"),IFERROR(VLOOKUP(LEFT($N2616,4),LCTT_MAP!$A$7:$C$66,IF($M2616="THU",2,3),FALSE()),IFERROR(VLOOKUP(LEFT($N2616,3),LCTT_MAP!$A$7:$C$66,IF($M2616="THU",2,3),FALSE()),IFERROR(VLOOKUP(LEFT($N2616,2),LCTT_MAP!$A$7:$C$66,IF($M2616="THU",2,3),FALSE()),IFERROR(VLOOKUP(LEFT($N2616,1),LCTT_MAP!$A$7:$C$66,IF($M2616="THU",2,3),FALSE()),IF($M2616="THU","06","07")))))))</f>
        <v/>
      </c>
      <c r="P2616" s="117">
        <f>P2615+IF(AND($H2616&lt;&gt;"",OR(LEFT($F2616,LEN(SC_TK))=SC_TK,LEFT($G2616,LEN(SC_TK))=SC_TK)),1,0)</f>
        <v/>
      </c>
    </row>
    <row r="2617" ht="15" customHeight="1" s="78">
      <c r="A2617" s="95">
        <f>IF($H2617="","",ROW()-6)</f>
        <v/>
      </c>
      <c r="B2617" s="114" t="n"/>
      <c r="C2617" s="102" t="n"/>
      <c r="D2617" s="114" t="n"/>
      <c r="E2617" s="103" t="n"/>
      <c r="F2617" s="102" t="n"/>
      <c r="G2617" s="102" t="n"/>
      <c r="H2617" s="115" t="n"/>
      <c r="I2617" s="102" t="n"/>
      <c r="J2617" s="102" t="n"/>
      <c r="K2617" s="103" t="n"/>
      <c r="L2617" s="116">
        <f>IF($H2617="","",TRIM(IF(COUNTIF(DMTK!$A$7:$A$250,$F2617)=0,"TK Nợ sai! ","")&amp;IF(COUNTIF(DMTK!$A$7:$A$250,$G2617)=0,"TK Có sai! ","")&amp;IF(N($H2617)&lt;=0,"Tiền phải &gt; 0! ","")&amp;IF($B2617="","Thiếu ngày! ","")&amp;IF(AND(OR(LEFT($F2617,3)="131",LEFT($G2617,3)="131",LEFT($F2617,3)="331",LEFT($G2617,3)="331"),$I2617=""),"Thiếu Mã ĐT! ","")&amp;IF(AND($I2617&lt;&gt;"",COUNTIF(DM_DT!$A$7:$A$306,$I2617)=0),"Mã ĐT chưa khai báo! ","")))</f>
        <v/>
      </c>
      <c r="M2617" s="117">
        <f>IF($H2617="","",IF(AND(OR(LEFT($F2617,3)="111",LEFT($F2617,3)="112",LEFT($F2617,3)="113"),OR(LEFT($G2617,3)="111",LEFT($G2617,3)="112",LEFT($G2617,3)="113")),"NB",IF(OR(LEFT($F2617,3)="111",LEFT($F2617,3)="112",LEFT($F2617,3)="113"),"THU",IF(OR(LEFT($G2617,3)="111",LEFT($G2617,3)="112",LEFT($G2617,3)="113"),"CHI",""))))</f>
        <v/>
      </c>
      <c r="N2617" s="117">
        <f>IF($M2617="THU",$G2617,IF($M2617="CHI",$F2617,""))</f>
        <v/>
      </c>
      <c r="O2617" s="117">
        <f>IF(OR($M2617="",$M2617="NB"),"",IF($J2617&lt;&gt;"",TEXT($J2617,"00"),IFERROR(VLOOKUP(LEFT($N2617,4),LCTT_MAP!$A$7:$C$66,IF($M2617="THU",2,3),FALSE()),IFERROR(VLOOKUP(LEFT($N2617,3),LCTT_MAP!$A$7:$C$66,IF($M2617="THU",2,3),FALSE()),IFERROR(VLOOKUP(LEFT($N2617,2),LCTT_MAP!$A$7:$C$66,IF($M2617="THU",2,3),FALSE()),IFERROR(VLOOKUP(LEFT($N2617,1),LCTT_MAP!$A$7:$C$66,IF($M2617="THU",2,3),FALSE()),IF($M2617="THU","06","07")))))))</f>
        <v/>
      </c>
      <c r="P2617" s="117">
        <f>P2616+IF(AND($H2617&lt;&gt;"",OR(LEFT($F2617,LEN(SC_TK))=SC_TK,LEFT($G2617,LEN(SC_TK))=SC_TK)),1,0)</f>
        <v/>
      </c>
    </row>
    <row r="2618" ht="15" customHeight="1" s="78">
      <c r="A2618" s="95">
        <f>IF($H2618="","",ROW()-6)</f>
        <v/>
      </c>
      <c r="B2618" s="114" t="n"/>
      <c r="C2618" s="102" t="n"/>
      <c r="D2618" s="114" t="n"/>
      <c r="E2618" s="103" t="n"/>
      <c r="F2618" s="102" t="n"/>
      <c r="G2618" s="102" t="n"/>
      <c r="H2618" s="115" t="n"/>
      <c r="I2618" s="102" t="n"/>
      <c r="J2618" s="102" t="n"/>
      <c r="K2618" s="103" t="n"/>
      <c r="L2618" s="116">
        <f>IF($H2618="","",TRIM(IF(COUNTIF(DMTK!$A$7:$A$250,$F2618)=0,"TK Nợ sai! ","")&amp;IF(COUNTIF(DMTK!$A$7:$A$250,$G2618)=0,"TK Có sai! ","")&amp;IF(N($H2618)&lt;=0,"Tiền phải &gt; 0! ","")&amp;IF($B2618="","Thiếu ngày! ","")&amp;IF(AND(OR(LEFT($F2618,3)="131",LEFT($G2618,3)="131",LEFT($F2618,3)="331",LEFT($G2618,3)="331"),$I2618=""),"Thiếu Mã ĐT! ","")&amp;IF(AND($I2618&lt;&gt;"",COUNTIF(DM_DT!$A$7:$A$306,$I2618)=0),"Mã ĐT chưa khai báo! ","")))</f>
        <v/>
      </c>
      <c r="M2618" s="117">
        <f>IF($H2618="","",IF(AND(OR(LEFT($F2618,3)="111",LEFT($F2618,3)="112",LEFT($F2618,3)="113"),OR(LEFT($G2618,3)="111",LEFT($G2618,3)="112",LEFT($G2618,3)="113")),"NB",IF(OR(LEFT($F2618,3)="111",LEFT($F2618,3)="112",LEFT($F2618,3)="113"),"THU",IF(OR(LEFT($G2618,3)="111",LEFT($G2618,3)="112",LEFT($G2618,3)="113"),"CHI",""))))</f>
        <v/>
      </c>
      <c r="N2618" s="117">
        <f>IF($M2618="THU",$G2618,IF($M2618="CHI",$F2618,""))</f>
        <v/>
      </c>
      <c r="O2618" s="117">
        <f>IF(OR($M2618="",$M2618="NB"),"",IF($J2618&lt;&gt;"",TEXT($J2618,"00"),IFERROR(VLOOKUP(LEFT($N2618,4),LCTT_MAP!$A$7:$C$66,IF($M2618="THU",2,3),FALSE()),IFERROR(VLOOKUP(LEFT($N2618,3),LCTT_MAP!$A$7:$C$66,IF($M2618="THU",2,3),FALSE()),IFERROR(VLOOKUP(LEFT($N2618,2),LCTT_MAP!$A$7:$C$66,IF($M2618="THU",2,3),FALSE()),IFERROR(VLOOKUP(LEFT($N2618,1),LCTT_MAP!$A$7:$C$66,IF($M2618="THU",2,3),FALSE()),IF($M2618="THU","06","07")))))))</f>
        <v/>
      </c>
      <c r="P2618" s="117">
        <f>P2617+IF(AND($H2618&lt;&gt;"",OR(LEFT($F2618,LEN(SC_TK))=SC_TK,LEFT($G2618,LEN(SC_TK))=SC_TK)),1,0)</f>
        <v/>
      </c>
    </row>
    <row r="2619" ht="15" customHeight="1" s="78">
      <c r="A2619" s="95">
        <f>IF($H2619="","",ROW()-6)</f>
        <v/>
      </c>
      <c r="B2619" s="114" t="n"/>
      <c r="C2619" s="102" t="n"/>
      <c r="D2619" s="114" t="n"/>
      <c r="E2619" s="103" t="n"/>
      <c r="F2619" s="102" t="n"/>
      <c r="G2619" s="102" t="n"/>
      <c r="H2619" s="115" t="n"/>
      <c r="I2619" s="102" t="n"/>
      <c r="J2619" s="102" t="n"/>
      <c r="K2619" s="103" t="n"/>
      <c r="L2619" s="116">
        <f>IF($H2619="","",TRIM(IF(COUNTIF(DMTK!$A$7:$A$250,$F2619)=0,"TK Nợ sai! ","")&amp;IF(COUNTIF(DMTK!$A$7:$A$250,$G2619)=0,"TK Có sai! ","")&amp;IF(N($H2619)&lt;=0,"Tiền phải &gt; 0! ","")&amp;IF($B2619="","Thiếu ngày! ","")&amp;IF(AND(OR(LEFT($F2619,3)="131",LEFT($G2619,3)="131",LEFT($F2619,3)="331",LEFT($G2619,3)="331"),$I2619=""),"Thiếu Mã ĐT! ","")&amp;IF(AND($I2619&lt;&gt;"",COUNTIF(DM_DT!$A$7:$A$306,$I2619)=0),"Mã ĐT chưa khai báo! ","")))</f>
        <v/>
      </c>
      <c r="M2619" s="117">
        <f>IF($H2619="","",IF(AND(OR(LEFT($F2619,3)="111",LEFT($F2619,3)="112",LEFT($F2619,3)="113"),OR(LEFT($G2619,3)="111",LEFT($G2619,3)="112",LEFT($G2619,3)="113")),"NB",IF(OR(LEFT($F2619,3)="111",LEFT($F2619,3)="112",LEFT($F2619,3)="113"),"THU",IF(OR(LEFT($G2619,3)="111",LEFT($G2619,3)="112",LEFT($G2619,3)="113"),"CHI",""))))</f>
        <v/>
      </c>
      <c r="N2619" s="117">
        <f>IF($M2619="THU",$G2619,IF($M2619="CHI",$F2619,""))</f>
        <v/>
      </c>
      <c r="O2619" s="117">
        <f>IF(OR($M2619="",$M2619="NB"),"",IF($J2619&lt;&gt;"",TEXT($J2619,"00"),IFERROR(VLOOKUP(LEFT($N2619,4),LCTT_MAP!$A$7:$C$66,IF($M2619="THU",2,3),FALSE()),IFERROR(VLOOKUP(LEFT($N2619,3),LCTT_MAP!$A$7:$C$66,IF($M2619="THU",2,3),FALSE()),IFERROR(VLOOKUP(LEFT($N2619,2),LCTT_MAP!$A$7:$C$66,IF($M2619="THU",2,3),FALSE()),IFERROR(VLOOKUP(LEFT($N2619,1),LCTT_MAP!$A$7:$C$66,IF($M2619="THU",2,3),FALSE()),IF($M2619="THU","06","07")))))))</f>
        <v/>
      </c>
      <c r="P2619" s="117">
        <f>P2618+IF(AND($H2619&lt;&gt;"",OR(LEFT($F2619,LEN(SC_TK))=SC_TK,LEFT($G2619,LEN(SC_TK))=SC_TK)),1,0)</f>
        <v/>
      </c>
    </row>
    <row r="2620" ht="15" customHeight="1" s="78">
      <c r="A2620" s="95">
        <f>IF($H2620="","",ROW()-6)</f>
        <v/>
      </c>
      <c r="B2620" s="114" t="n"/>
      <c r="C2620" s="102" t="n"/>
      <c r="D2620" s="114" t="n"/>
      <c r="E2620" s="103" t="n"/>
      <c r="F2620" s="102" t="n"/>
      <c r="G2620" s="102" t="n"/>
      <c r="H2620" s="115" t="n"/>
      <c r="I2620" s="102" t="n"/>
      <c r="J2620" s="102" t="n"/>
      <c r="K2620" s="103" t="n"/>
      <c r="L2620" s="116">
        <f>IF($H2620="","",TRIM(IF(COUNTIF(DMTK!$A$7:$A$250,$F2620)=0,"TK Nợ sai! ","")&amp;IF(COUNTIF(DMTK!$A$7:$A$250,$G2620)=0,"TK Có sai! ","")&amp;IF(N($H2620)&lt;=0,"Tiền phải &gt; 0! ","")&amp;IF($B2620="","Thiếu ngày! ","")&amp;IF(AND(OR(LEFT($F2620,3)="131",LEFT($G2620,3)="131",LEFT($F2620,3)="331",LEFT($G2620,3)="331"),$I2620=""),"Thiếu Mã ĐT! ","")&amp;IF(AND($I2620&lt;&gt;"",COUNTIF(DM_DT!$A$7:$A$306,$I2620)=0),"Mã ĐT chưa khai báo! ","")))</f>
        <v/>
      </c>
      <c r="M2620" s="117">
        <f>IF($H2620="","",IF(AND(OR(LEFT($F2620,3)="111",LEFT($F2620,3)="112",LEFT($F2620,3)="113"),OR(LEFT($G2620,3)="111",LEFT($G2620,3)="112",LEFT($G2620,3)="113")),"NB",IF(OR(LEFT($F2620,3)="111",LEFT($F2620,3)="112",LEFT($F2620,3)="113"),"THU",IF(OR(LEFT($G2620,3)="111",LEFT($G2620,3)="112",LEFT($G2620,3)="113"),"CHI",""))))</f>
        <v/>
      </c>
      <c r="N2620" s="117">
        <f>IF($M2620="THU",$G2620,IF($M2620="CHI",$F2620,""))</f>
        <v/>
      </c>
      <c r="O2620" s="117">
        <f>IF(OR($M2620="",$M2620="NB"),"",IF($J2620&lt;&gt;"",TEXT($J2620,"00"),IFERROR(VLOOKUP(LEFT($N2620,4),LCTT_MAP!$A$7:$C$66,IF($M2620="THU",2,3),FALSE()),IFERROR(VLOOKUP(LEFT($N2620,3),LCTT_MAP!$A$7:$C$66,IF($M2620="THU",2,3),FALSE()),IFERROR(VLOOKUP(LEFT($N2620,2),LCTT_MAP!$A$7:$C$66,IF($M2620="THU",2,3),FALSE()),IFERROR(VLOOKUP(LEFT($N2620,1),LCTT_MAP!$A$7:$C$66,IF($M2620="THU",2,3),FALSE()),IF($M2620="THU","06","07")))))))</f>
        <v/>
      </c>
      <c r="P2620" s="117">
        <f>P2619+IF(AND($H2620&lt;&gt;"",OR(LEFT($F2620,LEN(SC_TK))=SC_TK,LEFT($G2620,LEN(SC_TK))=SC_TK)),1,0)</f>
        <v/>
      </c>
    </row>
    <row r="2621" ht="15" customHeight="1" s="78">
      <c r="A2621" s="95">
        <f>IF($H2621="","",ROW()-6)</f>
        <v/>
      </c>
      <c r="B2621" s="114" t="n"/>
      <c r="C2621" s="102" t="n"/>
      <c r="D2621" s="114" t="n"/>
      <c r="E2621" s="103" t="n"/>
      <c r="F2621" s="102" t="n"/>
      <c r="G2621" s="102" t="n"/>
      <c r="H2621" s="115" t="n"/>
      <c r="I2621" s="102" t="n"/>
      <c r="J2621" s="102" t="n"/>
      <c r="K2621" s="103" t="n"/>
      <c r="L2621" s="116">
        <f>IF($H2621="","",TRIM(IF(COUNTIF(DMTK!$A$7:$A$250,$F2621)=0,"TK Nợ sai! ","")&amp;IF(COUNTIF(DMTK!$A$7:$A$250,$G2621)=0,"TK Có sai! ","")&amp;IF(N($H2621)&lt;=0,"Tiền phải &gt; 0! ","")&amp;IF($B2621="","Thiếu ngày! ","")&amp;IF(AND(OR(LEFT($F2621,3)="131",LEFT($G2621,3)="131",LEFT($F2621,3)="331",LEFT($G2621,3)="331"),$I2621=""),"Thiếu Mã ĐT! ","")&amp;IF(AND($I2621&lt;&gt;"",COUNTIF(DM_DT!$A$7:$A$306,$I2621)=0),"Mã ĐT chưa khai báo! ","")))</f>
        <v/>
      </c>
      <c r="M2621" s="117">
        <f>IF($H2621="","",IF(AND(OR(LEFT($F2621,3)="111",LEFT($F2621,3)="112",LEFT($F2621,3)="113"),OR(LEFT($G2621,3)="111",LEFT($G2621,3)="112",LEFT($G2621,3)="113")),"NB",IF(OR(LEFT($F2621,3)="111",LEFT($F2621,3)="112",LEFT($F2621,3)="113"),"THU",IF(OR(LEFT($G2621,3)="111",LEFT($G2621,3)="112",LEFT($G2621,3)="113"),"CHI",""))))</f>
        <v/>
      </c>
      <c r="N2621" s="117">
        <f>IF($M2621="THU",$G2621,IF($M2621="CHI",$F2621,""))</f>
        <v/>
      </c>
      <c r="O2621" s="117">
        <f>IF(OR($M2621="",$M2621="NB"),"",IF($J2621&lt;&gt;"",TEXT($J2621,"00"),IFERROR(VLOOKUP(LEFT($N2621,4),LCTT_MAP!$A$7:$C$66,IF($M2621="THU",2,3),FALSE()),IFERROR(VLOOKUP(LEFT($N2621,3),LCTT_MAP!$A$7:$C$66,IF($M2621="THU",2,3),FALSE()),IFERROR(VLOOKUP(LEFT($N2621,2),LCTT_MAP!$A$7:$C$66,IF($M2621="THU",2,3),FALSE()),IFERROR(VLOOKUP(LEFT($N2621,1),LCTT_MAP!$A$7:$C$66,IF($M2621="THU",2,3),FALSE()),IF($M2621="THU","06","07")))))))</f>
        <v/>
      </c>
      <c r="P2621" s="117">
        <f>P2620+IF(AND($H2621&lt;&gt;"",OR(LEFT($F2621,LEN(SC_TK))=SC_TK,LEFT($G2621,LEN(SC_TK))=SC_TK)),1,0)</f>
        <v/>
      </c>
    </row>
    <row r="2622" ht="15" customHeight="1" s="78">
      <c r="A2622" s="95">
        <f>IF($H2622="","",ROW()-6)</f>
        <v/>
      </c>
      <c r="B2622" s="114" t="n"/>
      <c r="C2622" s="102" t="n"/>
      <c r="D2622" s="114" t="n"/>
      <c r="E2622" s="103" t="n"/>
      <c r="F2622" s="102" t="n"/>
      <c r="G2622" s="102" t="n"/>
      <c r="H2622" s="115" t="n"/>
      <c r="I2622" s="102" t="n"/>
      <c r="J2622" s="102" t="n"/>
      <c r="K2622" s="103" t="n"/>
      <c r="L2622" s="116">
        <f>IF($H2622="","",TRIM(IF(COUNTIF(DMTK!$A$7:$A$250,$F2622)=0,"TK Nợ sai! ","")&amp;IF(COUNTIF(DMTK!$A$7:$A$250,$G2622)=0,"TK Có sai! ","")&amp;IF(N($H2622)&lt;=0,"Tiền phải &gt; 0! ","")&amp;IF($B2622="","Thiếu ngày! ","")&amp;IF(AND(OR(LEFT($F2622,3)="131",LEFT($G2622,3)="131",LEFT($F2622,3)="331",LEFT($G2622,3)="331"),$I2622=""),"Thiếu Mã ĐT! ","")&amp;IF(AND($I2622&lt;&gt;"",COUNTIF(DM_DT!$A$7:$A$306,$I2622)=0),"Mã ĐT chưa khai báo! ","")))</f>
        <v/>
      </c>
      <c r="M2622" s="117">
        <f>IF($H2622="","",IF(AND(OR(LEFT($F2622,3)="111",LEFT($F2622,3)="112",LEFT($F2622,3)="113"),OR(LEFT($G2622,3)="111",LEFT($G2622,3)="112",LEFT($G2622,3)="113")),"NB",IF(OR(LEFT($F2622,3)="111",LEFT($F2622,3)="112",LEFT($F2622,3)="113"),"THU",IF(OR(LEFT($G2622,3)="111",LEFT($G2622,3)="112",LEFT($G2622,3)="113"),"CHI",""))))</f>
        <v/>
      </c>
      <c r="N2622" s="117">
        <f>IF($M2622="THU",$G2622,IF($M2622="CHI",$F2622,""))</f>
        <v/>
      </c>
      <c r="O2622" s="117">
        <f>IF(OR($M2622="",$M2622="NB"),"",IF($J2622&lt;&gt;"",TEXT($J2622,"00"),IFERROR(VLOOKUP(LEFT($N2622,4),LCTT_MAP!$A$7:$C$66,IF($M2622="THU",2,3),FALSE()),IFERROR(VLOOKUP(LEFT($N2622,3),LCTT_MAP!$A$7:$C$66,IF($M2622="THU",2,3),FALSE()),IFERROR(VLOOKUP(LEFT($N2622,2),LCTT_MAP!$A$7:$C$66,IF($M2622="THU",2,3),FALSE()),IFERROR(VLOOKUP(LEFT($N2622,1),LCTT_MAP!$A$7:$C$66,IF($M2622="THU",2,3),FALSE()),IF($M2622="THU","06","07")))))))</f>
        <v/>
      </c>
      <c r="P2622" s="117">
        <f>P2621+IF(AND($H2622&lt;&gt;"",OR(LEFT($F2622,LEN(SC_TK))=SC_TK,LEFT($G2622,LEN(SC_TK))=SC_TK)),1,0)</f>
        <v/>
      </c>
    </row>
    <row r="2623" ht="15" customHeight="1" s="78">
      <c r="A2623" s="95">
        <f>IF($H2623="","",ROW()-6)</f>
        <v/>
      </c>
      <c r="B2623" s="114" t="n"/>
      <c r="C2623" s="102" t="n"/>
      <c r="D2623" s="114" t="n"/>
      <c r="E2623" s="103" t="n"/>
      <c r="F2623" s="102" t="n"/>
      <c r="G2623" s="102" t="n"/>
      <c r="H2623" s="115" t="n"/>
      <c r="I2623" s="102" t="n"/>
      <c r="J2623" s="102" t="n"/>
      <c r="K2623" s="103" t="n"/>
      <c r="L2623" s="116">
        <f>IF($H2623="","",TRIM(IF(COUNTIF(DMTK!$A$7:$A$250,$F2623)=0,"TK Nợ sai! ","")&amp;IF(COUNTIF(DMTK!$A$7:$A$250,$G2623)=0,"TK Có sai! ","")&amp;IF(N($H2623)&lt;=0,"Tiền phải &gt; 0! ","")&amp;IF($B2623="","Thiếu ngày! ","")&amp;IF(AND(OR(LEFT($F2623,3)="131",LEFT($G2623,3)="131",LEFT($F2623,3)="331",LEFT($G2623,3)="331"),$I2623=""),"Thiếu Mã ĐT! ","")&amp;IF(AND($I2623&lt;&gt;"",COUNTIF(DM_DT!$A$7:$A$306,$I2623)=0),"Mã ĐT chưa khai báo! ","")))</f>
        <v/>
      </c>
      <c r="M2623" s="117">
        <f>IF($H2623="","",IF(AND(OR(LEFT($F2623,3)="111",LEFT($F2623,3)="112",LEFT($F2623,3)="113"),OR(LEFT($G2623,3)="111",LEFT($G2623,3)="112",LEFT($G2623,3)="113")),"NB",IF(OR(LEFT($F2623,3)="111",LEFT($F2623,3)="112",LEFT($F2623,3)="113"),"THU",IF(OR(LEFT($G2623,3)="111",LEFT($G2623,3)="112",LEFT($G2623,3)="113"),"CHI",""))))</f>
        <v/>
      </c>
      <c r="N2623" s="117">
        <f>IF($M2623="THU",$G2623,IF($M2623="CHI",$F2623,""))</f>
        <v/>
      </c>
      <c r="O2623" s="117">
        <f>IF(OR($M2623="",$M2623="NB"),"",IF($J2623&lt;&gt;"",TEXT($J2623,"00"),IFERROR(VLOOKUP(LEFT($N2623,4),LCTT_MAP!$A$7:$C$66,IF($M2623="THU",2,3),FALSE()),IFERROR(VLOOKUP(LEFT($N2623,3),LCTT_MAP!$A$7:$C$66,IF($M2623="THU",2,3),FALSE()),IFERROR(VLOOKUP(LEFT($N2623,2),LCTT_MAP!$A$7:$C$66,IF($M2623="THU",2,3),FALSE()),IFERROR(VLOOKUP(LEFT($N2623,1),LCTT_MAP!$A$7:$C$66,IF($M2623="THU",2,3),FALSE()),IF($M2623="THU","06","07")))))))</f>
        <v/>
      </c>
      <c r="P2623" s="117">
        <f>P2622+IF(AND($H2623&lt;&gt;"",OR(LEFT($F2623,LEN(SC_TK))=SC_TK,LEFT($G2623,LEN(SC_TK))=SC_TK)),1,0)</f>
        <v/>
      </c>
    </row>
    <row r="2624" ht="15" customHeight="1" s="78">
      <c r="A2624" s="95">
        <f>IF($H2624="","",ROW()-6)</f>
        <v/>
      </c>
      <c r="B2624" s="114" t="n"/>
      <c r="C2624" s="102" t="n"/>
      <c r="D2624" s="114" t="n"/>
      <c r="E2624" s="103" t="n"/>
      <c r="F2624" s="102" t="n"/>
      <c r="G2624" s="102" t="n"/>
      <c r="H2624" s="115" t="n"/>
      <c r="I2624" s="102" t="n"/>
      <c r="J2624" s="102" t="n"/>
      <c r="K2624" s="103" t="n"/>
      <c r="L2624" s="116">
        <f>IF($H2624="","",TRIM(IF(COUNTIF(DMTK!$A$7:$A$250,$F2624)=0,"TK Nợ sai! ","")&amp;IF(COUNTIF(DMTK!$A$7:$A$250,$G2624)=0,"TK Có sai! ","")&amp;IF(N($H2624)&lt;=0,"Tiền phải &gt; 0! ","")&amp;IF($B2624="","Thiếu ngày! ","")&amp;IF(AND(OR(LEFT($F2624,3)="131",LEFT($G2624,3)="131",LEFT($F2624,3)="331",LEFT($G2624,3)="331"),$I2624=""),"Thiếu Mã ĐT! ","")&amp;IF(AND($I2624&lt;&gt;"",COUNTIF(DM_DT!$A$7:$A$306,$I2624)=0),"Mã ĐT chưa khai báo! ","")))</f>
        <v/>
      </c>
      <c r="M2624" s="117">
        <f>IF($H2624="","",IF(AND(OR(LEFT($F2624,3)="111",LEFT($F2624,3)="112",LEFT($F2624,3)="113"),OR(LEFT($G2624,3)="111",LEFT($G2624,3)="112",LEFT($G2624,3)="113")),"NB",IF(OR(LEFT($F2624,3)="111",LEFT($F2624,3)="112",LEFT($F2624,3)="113"),"THU",IF(OR(LEFT($G2624,3)="111",LEFT($G2624,3)="112",LEFT($G2624,3)="113"),"CHI",""))))</f>
        <v/>
      </c>
      <c r="N2624" s="117">
        <f>IF($M2624="THU",$G2624,IF($M2624="CHI",$F2624,""))</f>
        <v/>
      </c>
      <c r="O2624" s="117">
        <f>IF(OR($M2624="",$M2624="NB"),"",IF($J2624&lt;&gt;"",TEXT($J2624,"00"),IFERROR(VLOOKUP(LEFT($N2624,4),LCTT_MAP!$A$7:$C$66,IF($M2624="THU",2,3),FALSE()),IFERROR(VLOOKUP(LEFT($N2624,3),LCTT_MAP!$A$7:$C$66,IF($M2624="THU",2,3),FALSE()),IFERROR(VLOOKUP(LEFT($N2624,2),LCTT_MAP!$A$7:$C$66,IF($M2624="THU",2,3),FALSE()),IFERROR(VLOOKUP(LEFT($N2624,1),LCTT_MAP!$A$7:$C$66,IF($M2624="THU",2,3),FALSE()),IF($M2624="THU","06","07")))))))</f>
        <v/>
      </c>
      <c r="P2624" s="117">
        <f>P2623+IF(AND($H2624&lt;&gt;"",OR(LEFT($F2624,LEN(SC_TK))=SC_TK,LEFT($G2624,LEN(SC_TK))=SC_TK)),1,0)</f>
        <v/>
      </c>
    </row>
    <row r="2625" ht="15" customHeight="1" s="78">
      <c r="A2625" s="95">
        <f>IF($H2625="","",ROW()-6)</f>
        <v/>
      </c>
      <c r="B2625" s="114" t="n"/>
      <c r="C2625" s="102" t="n"/>
      <c r="D2625" s="114" t="n"/>
      <c r="E2625" s="103" t="n"/>
      <c r="F2625" s="102" t="n"/>
      <c r="G2625" s="102" t="n"/>
      <c r="H2625" s="115" t="n"/>
      <c r="I2625" s="102" t="n"/>
      <c r="J2625" s="102" t="n"/>
      <c r="K2625" s="103" t="n"/>
      <c r="L2625" s="116">
        <f>IF($H2625="","",TRIM(IF(COUNTIF(DMTK!$A$7:$A$250,$F2625)=0,"TK Nợ sai! ","")&amp;IF(COUNTIF(DMTK!$A$7:$A$250,$G2625)=0,"TK Có sai! ","")&amp;IF(N($H2625)&lt;=0,"Tiền phải &gt; 0! ","")&amp;IF($B2625="","Thiếu ngày! ","")&amp;IF(AND(OR(LEFT($F2625,3)="131",LEFT($G2625,3)="131",LEFT($F2625,3)="331",LEFT($G2625,3)="331"),$I2625=""),"Thiếu Mã ĐT! ","")&amp;IF(AND($I2625&lt;&gt;"",COUNTIF(DM_DT!$A$7:$A$306,$I2625)=0),"Mã ĐT chưa khai báo! ","")))</f>
        <v/>
      </c>
      <c r="M2625" s="117">
        <f>IF($H2625="","",IF(AND(OR(LEFT($F2625,3)="111",LEFT($F2625,3)="112",LEFT($F2625,3)="113"),OR(LEFT($G2625,3)="111",LEFT($G2625,3)="112",LEFT($G2625,3)="113")),"NB",IF(OR(LEFT($F2625,3)="111",LEFT($F2625,3)="112",LEFT($F2625,3)="113"),"THU",IF(OR(LEFT($G2625,3)="111",LEFT($G2625,3)="112",LEFT($G2625,3)="113"),"CHI",""))))</f>
        <v/>
      </c>
      <c r="N2625" s="117">
        <f>IF($M2625="THU",$G2625,IF($M2625="CHI",$F2625,""))</f>
        <v/>
      </c>
      <c r="O2625" s="117">
        <f>IF(OR($M2625="",$M2625="NB"),"",IF($J2625&lt;&gt;"",TEXT($J2625,"00"),IFERROR(VLOOKUP(LEFT($N2625,4),LCTT_MAP!$A$7:$C$66,IF($M2625="THU",2,3),FALSE()),IFERROR(VLOOKUP(LEFT($N2625,3),LCTT_MAP!$A$7:$C$66,IF($M2625="THU",2,3),FALSE()),IFERROR(VLOOKUP(LEFT($N2625,2),LCTT_MAP!$A$7:$C$66,IF($M2625="THU",2,3),FALSE()),IFERROR(VLOOKUP(LEFT($N2625,1),LCTT_MAP!$A$7:$C$66,IF($M2625="THU",2,3),FALSE()),IF($M2625="THU","06","07")))))))</f>
        <v/>
      </c>
      <c r="P2625" s="117">
        <f>P2624+IF(AND($H2625&lt;&gt;"",OR(LEFT($F2625,LEN(SC_TK))=SC_TK,LEFT($G2625,LEN(SC_TK))=SC_TK)),1,0)</f>
        <v/>
      </c>
    </row>
    <row r="2626" ht="15" customHeight="1" s="78">
      <c r="A2626" s="95">
        <f>IF($H2626="","",ROW()-6)</f>
        <v/>
      </c>
      <c r="B2626" s="114" t="n"/>
      <c r="C2626" s="102" t="n"/>
      <c r="D2626" s="114" t="n"/>
      <c r="E2626" s="103" t="n"/>
      <c r="F2626" s="102" t="n"/>
      <c r="G2626" s="102" t="n"/>
      <c r="H2626" s="115" t="n"/>
      <c r="I2626" s="102" t="n"/>
      <c r="J2626" s="102" t="n"/>
      <c r="K2626" s="103" t="n"/>
      <c r="L2626" s="116">
        <f>IF($H2626="","",TRIM(IF(COUNTIF(DMTK!$A$7:$A$250,$F2626)=0,"TK Nợ sai! ","")&amp;IF(COUNTIF(DMTK!$A$7:$A$250,$G2626)=0,"TK Có sai! ","")&amp;IF(N($H2626)&lt;=0,"Tiền phải &gt; 0! ","")&amp;IF($B2626="","Thiếu ngày! ","")&amp;IF(AND(OR(LEFT($F2626,3)="131",LEFT($G2626,3)="131",LEFT($F2626,3)="331",LEFT($G2626,3)="331"),$I2626=""),"Thiếu Mã ĐT! ","")&amp;IF(AND($I2626&lt;&gt;"",COUNTIF(DM_DT!$A$7:$A$306,$I2626)=0),"Mã ĐT chưa khai báo! ","")))</f>
        <v/>
      </c>
      <c r="M2626" s="117">
        <f>IF($H2626="","",IF(AND(OR(LEFT($F2626,3)="111",LEFT($F2626,3)="112",LEFT($F2626,3)="113"),OR(LEFT($G2626,3)="111",LEFT($G2626,3)="112",LEFT($G2626,3)="113")),"NB",IF(OR(LEFT($F2626,3)="111",LEFT($F2626,3)="112",LEFT($F2626,3)="113"),"THU",IF(OR(LEFT($G2626,3)="111",LEFT($G2626,3)="112",LEFT($G2626,3)="113"),"CHI",""))))</f>
        <v/>
      </c>
      <c r="N2626" s="117">
        <f>IF($M2626="THU",$G2626,IF($M2626="CHI",$F2626,""))</f>
        <v/>
      </c>
      <c r="O2626" s="117">
        <f>IF(OR($M2626="",$M2626="NB"),"",IF($J2626&lt;&gt;"",TEXT($J2626,"00"),IFERROR(VLOOKUP(LEFT($N2626,4),LCTT_MAP!$A$7:$C$66,IF($M2626="THU",2,3),FALSE()),IFERROR(VLOOKUP(LEFT($N2626,3),LCTT_MAP!$A$7:$C$66,IF($M2626="THU",2,3),FALSE()),IFERROR(VLOOKUP(LEFT($N2626,2),LCTT_MAP!$A$7:$C$66,IF($M2626="THU",2,3),FALSE()),IFERROR(VLOOKUP(LEFT($N2626,1),LCTT_MAP!$A$7:$C$66,IF($M2626="THU",2,3),FALSE()),IF($M2626="THU","06","07")))))))</f>
        <v/>
      </c>
      <c r="P2626" s="117">
        <f>P2625+IF(AND($H2626&lt;&gt;"",OR(LEFT($F2626,LEN(SC_TK))=SC_TK,LEFT($G2626,LEN(SC_TK))=SC_TK)),1,0)</f>
        <v/>
      </c>
    </row>
    <row r="2627" ht="15" customHeight="1" s="78">
      <c r="A2627" s="95">
        <f>IF($H2627="","",ROW()-6)</f>
        <v/>
      </c>
      <c r="B2627" s="114" t="n"/>
      <c r="C2627" s="102" t="n"/>
      <c r="D2627" s="114" t="n"/>
      <c r="E2627" s="103" t="n"/>
      <c r="F2627" s="102" t="n"/>
      <c r="G2627" s="102" t="n"/>
      <c r="H2627" s="115" t="n"/>
      <c r="I2627" s="102" t="n"/>
      <c r="J2627" s="102" t="n"/>
      <c r="K2627" s="103" t="n"/>
      <c r="L2627" s="116">
        <f>IF($H2627="","",TRIM(IF(COUNTIF(DMTK!$A$7:$A$250,$F2627)=0,"TK Nợ sai! ","")&amp;IF(COUNTIF(DMTK!$A$7:$A$250,$G2627)=0,"TK Có sai! ","")&amp;IF(N($H2627)&lt;=0,"Tiền phải &gt; 0! ","")&amp;IF($B2627="","Thiếu ngày! ","")&amp;IF(AND(OR(LEFT($F2627,3)="131",LEFT($G2627,3)="131",LEFT($F2627,3)="331",LEFT($G2627,3)="331"),$I2627=""),"Thiếu Mã ĐT! ","")&amp;IF(AND($I2627&lt;&gt;"",COUNTIF(DM_DT!$A$7:$A$306,$I2627)=0),"Mã ĐT chưa khai báo! ","")))</f>
        <v/>
      </c>
      <c r="M2627" s="117">
        <f>IF($H2627="","",IF(AND(OR(LEFT($F2627,3)="111",LEFT($F2627,3)="112",LEFT($F2627,3)="113"),OR(LEFT($G2627,3)="111",LEFT($G2627,3)="112",LEFT($G2627,3)="113")),"NB",IF(OR(LEFT($F2627,3)="111",LEFT($F2627,3)="112",LEFT($F2627,3)="113"),"THU",IF(OR(LEFT($G2627,3)="111",LEFT($G2627,3)="112",LEFT($G2627,3)="113"),"CHI",""))))</f>
        <v/>
      </c>
      <c r="N2627" s="117">
        <f>IF($M2627="THU",$G2627,IF($M2627="CHI",$F2627,""))</f>
        <v/>
      </c>
      <c r="O2627" s="117">
        <f>IF(OR($M2627="",$M2627="NB"),"",IF($J2627&lt;&gt;"",TEXT($J2627,"00"),IFERROR(VLOOKUP(LEFT($N2627,4),LCTT_MAP!$A$7:$C$66,IF($M2627="THU",2,3),FALSE()),IFERROR(VLOOKUP(LEFT($N2627,3),LCTT_MAP!$A$7:$C$66,IF($M2627="THU",2,3),FALSE()),IFERROR(VLOOKUP(LEFT($N2627,2),LCTT_MAP!$A$7:$C$66,IF($M2627="THU",2,3),FALSE()),IFERROR(VLOOKUP(LEFT($N2627,1),LCTT_MAP!$A$7:$C$66,IF($M2627="THU",2,3),FALSE()),IF($M2627="THU","06","07")))))))</f>
        <v/>
      </c>
      <c r="P2627" s="117">
        <f>P2626+IF(AND($H2627&lt;&gt;"",OR(LEFT($F2627,LEN(SC_TK))=SC_TK,LEFT($G2627,LEN(SC_TK))=SC_TK)),1,0)</f>
        <v/>
      </c>
    </row>
    <row r="2628" ht="15" customHeight="1" s="78">
      <c r="A2628" s="95">
        <f>IF($H2628="","",ROW()-6)</f>
        <v/>
      </c>
      <c r="B2628" s="114" t="n"/>
      <c r="C2628" s="102" t="n"/>
      <c r="D2628" s="114" t="n"/>
      <c r="E2628" s="103" t="n"/>
      <c r="F2628" s="102" t="n"/>
      <c r="G2628" s="102" t="n"/>
      <c r="H2628" s="115" t="n"/>
      <c r="I2628" s="102" t="n"/>
      <c r="J2628" s="102" t="n"/>
      <c r="K2628" s="103" t="n"/>
      <c r="L2628" s="116">
        <f>IF($H2628="","",TRIM(IF(COUNTIF(DMTK!$A$7:$A$250,$F2628)=0,"TK Nợ sai! ","")&amp;IF(COUNTIF(DMTK!$A$7:$A$250,$G2628)=0,"TK Có sai! ","")&amp;IF(N($H2628)&lt;=0,"Tiền phải &gt; 0! ","")&amp;IF($B2628="","Thiếu ngày! ","")&amp;IF(AND(OR(LEFT($F2628,3)="131",LEFT($G2628,3)="131",LEFT($F2628,3)="331",LEFT($G2628,3)="331"),$I2628=""),"Thiếu Mã ĐT! ","")&amp;IF(AND($I2628&lt;&gt;"",COUNTIF(DM_DT!$A$7:$A$306,$I2628)=0),"Mã ĐT chưa khai báo! ","")))</f>
        <v/>
      </c>
      <c r="M2628" s="117">
        <f>IF($H2628="","",IF(AND(OR(LEFT($F2628,3)="111",LEFT($F2628,3)="112",LEFT($F2628,3)="113"),OR(LEFT($G2628,3)="111",LEFT($G2628,3)="112",LEFT($G2628,3)="113")),"NB",IF(OR(LEFT($F2628,3)="111",LEFT($F2628,3)="112",LEFT($F2628,3)="113"),"THU",IF(OR(LEFT($G2628,3)="111",LEFT($G2628,3)="112",LEFT($G2628,3)="113"),"CHI",""))))</f>
        <v/>
      </c>
      <c r="N2628" s="117">
        <f>IF($M2628="THU",$G2628,IF($M2628="CHI",$F2628,""))</f>
        <v/>
      </c>
      <c r="O2628" s="117">
        <f>IF(OR($M2628="",$M2628="NB"),"",IF($J2628&lt;&gt;"",TEXT($J2628,"00"),IFERROR(VLOOKUP(LEFT($N2628,4),LCTT_MAP!$A$7:$C$66,IF($M2628="THU",2,3),FALSE()),IFERROR(VLOOKUP(LEFT($N2628,3),LCTT_MAP!$A$7:$C$66,IF($M2628="THU",2,3),FALSE()),IFERROR(VLOOKUP(LEFT($N2628,2),LCTT_MAP!$A$7:$C$66,IF($M2628="THU",2,3),FALSE()),IFERROR(VLOOKUP(LEFT($N2628,1),LCTT_MAP!$A$7:$C$66,IF($M2628="THU",2,3),FALSE()),IF($M2628="THU","06","07")))))))</f>
        <v/>
      </c>
      <c r="P2628" s="117">
        <f>P2627+IF(AND($H2628&lt;&gt;"",OR(LEFT($F2628,LEN(SC_TK))=SC_TK,LEFT($G2628,LEN(SC_TK))=SC_TK)),1,0)</f>
        <v/>
      </c>
    </row>
    <row r="2629" ht="15" customHeight="1" s="78">
      <c r="A2629" s="95">
        <f>IF($H2629="","",ROW()-6)</f>
        <v/>
      </c>
      <c r="B2629" s="114" t="n"/>
      <c r="C2629" s="102" t="n"/>
      <c r="D2629" s="114" t="n"/>
      <c r="E2629" s="103" t="n"/>
      <c r="F2629" s="102" t="n"/>
      <c r="G2629" s="102" t="n"/>
      <c r="H2629" s="115" t="n"/>
      <c r="I2629" s="102" t="n"/>
      <c r="J2629" s="102" t="n"/>
      <c r="K2629" s="103" t="n"/>
      <c r="L2629" s="116">
        <f>IF($H2629="","",TRIM(IF(COUNTIF(DMTK!$A$7:$A$250,$F2629)=0,"TK Nợ sai! ","")&amp;IF(COUNTIF(DMTK!$A$7:$A$250,$G2629)=0,"TK Có sai! ","")&amp;IF(N($H2629)&lt;=0,"Tiền phải &gt; 0! ","")&amp;IF($B2629="","Thiếu ngày! ","")&amp;IF(AND(OR(LEFT($F2629,3)="131",LEFT($G2629,3)="131",LEFT($F2629,3)="331",LEFT($G2629,3)="331"),$I2629=""),"Thiếu Mã ĐT! ","")&amp;IF(AND($I2629&lt;&gt;"",COUNTIF(DM_DT!$A$7:$A$306,$I2629)=0),"Mã ĐT chưa khai báo! ","")))</f>
        <v/>
      </c>
      <c r="M2629" s="117">
        <f>IF($H2629="","",IF(AND(OR(LEFT($F2629,3)="111",LEFT($F2629,3)="112",LEFT($F2629,3)="113"),OR(LEFT($G2629,3)="111",LEFT($G2629,3)="112",LEFT($G2629,3)="113")),"NB",IF(OR(LEFT($F2629,3)="111",LEFT($F2629,3)="112",LEFT($F2629,3)="113"),"THU",IF(OR(LEFT($G2629,3)="111",LEFT($G2629,3)="112",LEFT($G2629,3)="113"),"CHI",""))))</f>
        <v/>
      </c>
      <c r="N2629" s="117">
        <f>IF($M2629="THU",$G2629,IF($M2629="CHI",$F2629,""))</f>
        <v/>
      </c>
      <c r="O2629" s="117">
        <f>IF(OR($M2629="",$M2629="NB"),"",IF($J2629&lt;&gt;"",TEXT($J2629,"00"),IFERROR(VLOOKUP(LEFT($N2629,4),LCTT_MAP!$A$7:$C$66,IF($M2629="THU",2,3),FALSE()),IFERROR(VLOOKUP(LEFT($N2629,3),LCTT_MAP!$A$7:$C$66,IF($M2629="THU",2,3),FALSE()),IFERROR(VLOOKUP(LEFT($N2629,2),LCTT_MAP!$A$7:$C$66,IF($M2629="THU",2,3),FALSE()),IFERROR(VLOOKUP(LEFT($N2629,1),LCTT_MAP!$A$7:$C$66,IF($M2629="THU",2,3),FALSE()),IF($M2629="THU","06","07")))))))</f>
        <v/>
      </c>
      <c r="P2629" s="117">
        <f>P2628+IF(AND($H2629&lt;&gt;"",OR(LEFT($F2629,LEN(SC_TK))=SC_TK,LEFT($G2629,LEN(SC_TK))=SC_TK)),1,0)</f>
        <v/>
      </c>
    </row>
    <row r="2630" ht="15" customHeight="1" s="78">
      <c r="A2630" s="95">
        <f>IF($H2630="","",ROW()-6)</f>
        <v/>
      </c>
      <c r="B2630" s="114" t="n"/>
      <c r="C2630" s="102" t="n"/>
      <c r="D2630" s="114" t="n"/>
      <c r="E2630" s="103" t="n"/>
      <c r="F2630" s="102" t="n"/>
      <c r="G2630" s="102" t="n"/>
      <c r="H2630" s="115" t="n"/>
      <c r="I2630" s="102" t="n"/>
      <c r="J2630" s="102" t="n"/>
      <c r="K2630" s="103" t="n"/>
      <c r="L2630" s="116">
        <f>IF($H2630="","",TRIM(IF(COUNTIF(DMTK!$A$7:$A$250,$F2630)=0,"TK Nợ sai! ","")&amp;IF(COUNTIF(DMTK!$A$7:$A$250,$G2630)=0,"TK Có sai! ","")&amp;IF(N($H2630)&lt;=0,"Tiền phải &gt; 0! ","")&amp;IF($B2630="","Thiếu ngày! ","")&amp;IF(AND(OR(LEFT($F2630,3)="131",LEFT($G2630,3)="131",LEFT($F2630,3)="331",LEFT($G2630,3)="331"),$I2630=""),"Thiếu Mã ĐT! ","")&amp;IF(AND($I2630&lt;&gt;"",COUNTIF(DM_DT!$A$7:$A$306,$I2630)=0),"Mã ĐT chưa khai báo! ","")))</f>
        <v/>
      </c>
      <c r="M2630" s="117">
        <f>IF($H2630="","",IF(AND(OR(LEFT($F2630,3)="111",LEFT($F2630,3)="112",LEFT($F2630,3)="113"),OR(LEFT($G2630,3)="111",LEFT($G2630,3)="112",LEFT($G2630,3)="113")),"NB",IF(OR(LEFT($F2630,3)="111",LEFT($F2630,3)="112",LEFT($F2630,3)="113"),"THU",IF(OR(LEFT($G2630,3)="111",LEFT($G2630,3)="112",LEFT($G2630,3)="113"),"CHI",""))))</f>
        <v/>
      </c>
      <c r="N2630" s="117">
        <f>IF($M2630="THU",$G2630,IF($M2630="CHI",$F2630,""))</f>
        <v/>
      </c>
      <c r="O2630" s="117">
        <f>IF(OR($M2630="",$M2630="NB"),"",IF($J2630&lt;&gt;"",TEXT($J2630,"00"),IFERROR(VLOOKUP(LEFT($N2630,4),LCTT_MAP!$A$7:$C$66,IF($M2630="THU",2,3),FALSE()),IFERROR(VLOOKUP(LEFT($N2630,3),LCTT_MAP!$A$7:$C$66,IF($M2630="THU",2,3),FALSE()),IFERROR(VLOOKUP(LEFT($N2630,2),LCTT_MAP!$A$7:$C$66,IF($M2630="THU",2,3),FALSE()),IFERROR(VLOOKUP(LEFT($N2630,1),LCTT_MAP!$A$7:$C$66,IF($M2630="THU",2,3),FALSE()),IF($M2630="THU","06","07")))))))</f>
        <v/>
      </c>
      <c r="P2630" s="117">
        <f>P2629+IF(AND($H2630&lt;&gt;"",OR(LEFT($F2630,LEN(SC_TK))=SC_TK,LEFT($G2630,LEN(SC_TK))=SC_TK)),1,0)</f>
        <v/>
      </c>
    </row>
    <row r="2631" ht="15" customHeight="1" s="78">
      <c r="A2631" s="95">
        <f>IF($H2631="","",ROW()-6)</f>
        <v/>
      </c>
      <c r="B2631" s="114" t="n"/>
      <c r="C2631" s="102" t="n"/>
      <c r="D2631" s="114" t="n"/>
      <c r="E2631" s="103" t="n"/>
      <c r="F2631" s="102" t="n"/>
      <c r="G2631" s="102" t="n"/>
      <c r="H2631" s="115" t="n"/>
      <c r="I2631" s="102" t="n"/>
      <c r="J2631" s="102" t="n"/>
      <c r="K2631" s="103" t="n"/>
      <c r="L2631" s="116">
        <f>IF($H2631="","",TRIM(IF(COUNTIF(DMTK!$A$7:$A$250,$F2631)=0,"TK Nợ sai! ","")&amp;IF(COUNTIF(DMTK!$A$7:$A$250,$G2631)=0,"TK Có sai! ","")&amp;IF(N($H2631)&lt;=0,"Tiền phải &gt; 0! ","")&amp;IF($B2631="","Thiếu ngày! ","")&amp;IF(AND(OR(LEFT($F2631,3)="131",LEFT($G2631,3)="131",LEFT($F2631,3)="331",LEFT($G2631,3)="331"),$I2631=""),"Thiếu Mã ĐT! ","")&amp;IF(AND($I2631&lt;&gt;"",COUNTIF(DM_DT!$A$7:$A$306,$I2631)=0),"Mã ĐT chưa khai báo! ","")))</f>
        <v/>
      </c>
      <c r="M2631" s="117">
        <f>IF($H2631="","",IF(AND(OR(LEFT($F2631,3)="111",LEFT($F2631,3)="112",LEFT($F2631,3)="113"),OR(LEFT($G2631,3)="111",LEFT($G2631,3)="112",LEFT($G2631,3)="113")),"NB",IF(OR(LEFT($F2631,3)="111",LEFT($F2631,3)="112",LEFT($F2631,3)="113"),"THU",IF(OR(LEFT($G2631,3)="111",LEFT($G2631,3)="112",LEFT($G2631,3)="113"),"CHI",""))))</f>
        <v/>
      </c>
      <c r="N2631" s="117">
        <f>IF($M2631="THU",$G2631,IF($M2631="CHI",$F2631,""))</f>
        <v/>
      </c>
      <c r="O2631" s="117">
        <f>IF(OR($M2631="",$M2631="NB"),"",IF($J2631&lt;&gt;"",TEXT($J2631,"00"),IFERROR(VLOOKUP(LEFT($N2631,4),LCTT_MAP!$A$7:$C$66,IF($M2631="THU",2,3),FALSE()),IFERROR(VLOOKUP(LEFT($N2631,3),LCTT_MAP!$A$7:$C$66,IF($M2631="THU",2,3),FALSE()),IFERROR(VLOOKUP(LEFT($N2631,2),LCTT_MAP!$A$7:$C$66,IF($M2631="THU",2,3),FALSE()),IFERROR(VLOOKUP(LEFT($N2631,1),LCTT_MAP!$A$7:$C$66,IF($M2631="THU",2,3),FALSE()),IF($M2631="THU","06","07")))))))</f>
        <v/>
      </c>
      <c r="P2631" s="117">
        <f>P2630+IF(AND($H2631&lt;&gt;"",OR(LEFT($F2631,LEN(SC_TK))=SC_TK,LEFT($G2631,LEN(SC_TK))=SC_TK)),1,0)</f>
        <v/>
      </c>
    </row>
    <row r="2632" ht="15" customHeight="1" s="78">
      <c r="A2632" s="95">
        <f>IF($H2632="","",ROW()-6)</f>
        <v/>
      </c>
      <c r="B2632" s="114" t="n"/>
      <c r="C2632" s="102" t="n"/>
      <c r="D2632" s="114" t="n"/>
      <c r="E2632" s="103" t="n"/>
      <c r="F2632" s="102" t="n"/>
      <c r="G2632" s="102" t="n"/>
      <c r="H2632" s="115" t="n"/>
      <c r="I2632" s="102" t="n"/>
      <c r="J2632" s="102" t="n"/>
      <c r="K2632" s="103" t="n"/>
      <c r="L2632" s="116">
        <f>IF($H2632="","",TRIM(IF(COUNTIF(DMTK!$A$7:$A$250,$F2632)=0,"TK Nợ sai! ","")&amp;IF(COUNTIF(DMTK!$A$7:$A$250,$G2632)=0,"TK Có sai! ","")&amp;IF(N($H2632)&lt;=0,"Tiền phải &gt; 0! ","")&amp;IF($B2632="","Thiếu ngày! ","")&amp;IF(AND(OR(LEFT($F2632,3)="131",LEFT($G2632,3)="131",LEFT($F2632,3)="331",LEFT($G2632,3)="331"),$I2632=""),"Thiếu Mã ĐT! ","")&amp;IF(AND($I2632&lt;&gt;"",COUNTIF(DM_DT!$A$7:$A$306,$I2632)=0),"Mã ĐT chưa khai báo! ","")))</f>
        <v/>
      </c>
      <c r="M2632" s="117">
        <f>IF($H2632="","",IF(AND(OR(LEFT($F2632,3)="111",LEFT($F2632,3)="112",LEFT($F2632,3)="113"),OR(LEFT($G2632,3)="111",LEFT($G2632,3)="112",LEFT($G2632,3)="113")),"NB",IF(OR(LEFT($F2632,3)="111",LEFT($F2632,3)="112",LEFT($F2632,3)="113"),"THU",IF(OR(LEFT($G2632,3)="111",LEFT($G2632,3)="112",LEFT($G2632,3)="113"),"CHI",""))))</f>
        <v/>
      </c>
      <c r="N2632" s="117">
        <f>IF($M2632="THU",$G2632,IF($M2632="CHI",$F2632,""))</f>
        <v/>
      </c>
      <c r="O2632" s="117">
        <f>IF(OR($M2632="",$M2632="NB"),"",IF($J2632&lt;&gt;"",TEXT($J2632,"00"),IFERROR(VLOOKUP(LEFT($N2632,4),LCTT_MAP!$A$7:$C$66,IF($M2632="THU",2,3),FALSE()),IFERROR(VLOOKUP(LEFT($N2632,3),LCTT_MAP!$A$7:$C$66,IF($M2632="THU",2,3),FALSE()),IFERROR(VLOOKUP(LEFT($N2632,2),LCTT_MAP!$A$7:$C$66,IF($M2632="THU",2,3),FALSE()),IFERROR(VLOOKUP(LEFT($N2632,1),LCTT_MAP!$A$7:$C$66,IF($M2632="THU",2,3),FALSE()),IF($M2632="THU","06","07")))))))</f>
        <v/>
      </c>
      <c r="P2632" s="117">
        <f>P2631+IF(AND($H2632&lt;&gt;"",OR(LEFT($F2632,LEN(SC_TK))=SC_TK,LEFT($G2632,LEN(SC_TK))=SC_TK)),1,0)</f>
        <v/>
      </c>
    </row>
    <row r="2633" ht="15" customHeight="1" s="78">
      <c r="A2633" s="95">
        <f>IF($H2633="","",ROW()-6)</f>
        <v/>
      </c>
      <c r="B2633" s="114" t="n"/>
      <c r="C2633" s="102" t="n"/>
      <c r="D2633" s="114" t="n"/>
      <c r="E2633" s="103" t="n"/>
      <c r="F2633" s="102" t="n"/>
      <c r="G2633" s="102" t="n"/>
      <c r="H2633" s="115" t="n"/>
      <c r="I2633" s="102" t="n"/>
      <c r="J2633" s="102" t="n"/>
      <c r="K2633" s="103" t="n"/>
      <c r="L2633" s="116">
        <f>IF($H2633="","",TRIM(IF(COUNTIF(DMTK!$A$7:$A$250,$F2633)=0,"TK Nợ sai! ","")&amp;IF(COUNTIF(DMTK!$A$7:$A$250,$G2633)=0,"TK Có sai! ","")&amp;IF(N($H2633)&lt;=0,"Tiền phải &gt; 0! ","")&amp;IF($B2633="","Thiếu ngày! ","")&amp;IF(AND(OR(LEFT($F2633,3)="131",LEFT($G2633,3)="131",LEFT($F2633,3)="331",LEFT($G2633,3)="331"),$I2633=""),"Thiếu Mã ĐT! ","")&amp;IF(AND($I2633&lt;&gt;"",COUNTIF(DM_DT!$A$7:$A$306,$I2633)=0),"Mã ĐT chưa khai báo! ","")))</f>
        <v/>
      </c>
      <c r="M2633" s="117">
        <f>IF($H2633="","",IF(AND(OR(LEFT($F2633,3)="111",LEFT($F2633,3)="112",LEFT($F2633,3)="113"),OR(LEFT($G2633,3)="111",LEFT($G2633,3)="112",LEFT($G2633,3)="113")),"NB",IF(OR(LEFT($F2633,3)="111",LEFT($F2633,3)="112",LEFT($F2633,3)="113"),"THU",IF(OR(LEFT($G2633,3)="111",LEFT($G2633,3)="112",LEFT($G2633,3)="113"),"CHI",""))))</f>
        <v/>
      </c>
      <c r="N2633" s="117">
        <f>IF($M2633="THU",$G2633,IF($M2633="CHI",$F2633,""))</f>
        <v/>
      </c>
      <c r="O2633" s="117">
        <f>IF(OR($M2633="",$M2633="NB"),"",IF($J2633&lt;&gt;"",TEXT($J2633,"00"),IFERROR(VLOOKUP(LEFT($N2633,4),LCTT_MAP!$A$7:$C$66,IF($M2633="THU",2,3),FALSE()),IFERROR(VLOOKUP(LEFT($N2633,3),LCTT_MAP!$A$7:$C$66,IF($M2633="THU",2,3),FALSE()),IFERROR(VLOOKUP(LEFT($N2633,2),LCTT_MAP!$A$7:$C$66,IF($M2633="THU",2,3),FALSE()),IFERROR(VLOOKUP(LEFT($N2633,1),LCTT_MAP!$A$7:$C$66,IF($M2633="THU",2,3),FALSE()),IF($M2633="THU","06","07")))))))</f>
        <v/>
      </c>
      <c r="P2633" s="117">
        <f>P2632+IF(AND($H2633&lt;&gt;"",OR(LEFT($F2633,LEN(SC_TK))=SC_TK,LEFT($G2633,LEN(SC_TK))=SC_TK)),1,0)</f>
        <v/>
      </c>
    </row>
    <row r="2634" ht="15" customHeight="1" s="78">
      <c r="A2634" s="95">
        <f>IF($H2634="","",ROW()-6)</f>
        <v/>
      </c>
      <c r="B2634" s="114" t="n"/>
      <c r="C2634" s="102" t="n"/>
      <c r="D2634" s="114" t="n"/>
      <c r="E2634" s="103" t="n"/>
      <c r="F2634" s="102" t="n"/>
      <c r="G2634" s="102" t="n"/>
      <c r="H2634" s="115" t="n"/>
      <c r="I2634" s="102" t="n"/>
      <c r="J2634" s="102" t="n"/>
      <c r="K2634" s="103" t="n"/>
      <c r="L2634" s="116">
        <f>IF($H2634="","",TRIM(IF(COUNTIF(DMTK!$A$7:$A$250,$F2634)=0,"TK Nợ sai! ","")&amp;IF(COUNTIF(DMTK!$A$7:$A$250,$G2634)=0,"TK Có sai! ","")&amp;IF(N($H2634)&lt;=0,"Tiền phải &gt; 0! ","")&amp;IF($B2634="","Thiếu ngày! ","")&amp;IF(AND(OR(LEFT($F2634,3)="131",LEFT($G2634,3)="131",LEFT($F2634,3)="331",LEFT($G2634,3)="331"),$I2634=""),"Thiếu Mã ĐT! ","")&amp;IF(AND($I2634&lt;&gt;"",COUNTIF(DM_DT!$A$7:$A$306,$I2634)=0),"Mã ĐT chưa khai báo! ","")))</f>
        <v/>
      </c>
      <c r="M2634" s="117">
        <f>IF($H2634="","",IF(AND(OR(LEFT($F2634,3)="111",LEFT($F2634,3)="112",LEFT($F2634,3)="113"),OR(LEFT($G2634,3)="111",LEFT($G2634,3)="112",LEFT($G2634,3)="113")),"NB",IF(OR(LEFT($F2634,3)="111",LEFT($F2634,3)="112",LEFT($F2634,3)="113"),"THU",IF(OR(LEFT($G2634,3)="111",LEFT($G2634,3)="112",LEFT($G2634,3)="113"),"CHI",""))))</f>
        <v/>
      </c>
      <c r="N2634" s="117">
        <f>IF($M2634="THU",$G2634,IF($M2634="CHI",$F2634,""))</f>
        <v/>
      </c>
      <c r="O2634" s="117">
        <f>IF(OR($M2634="",$M2634="NB"),"",IF($J2634&lt;&gt;"",TEXT($J2634,"00"),IFERROR(VLOOKUP(LEFT($N2634,4),LCTT_MAP!$A$7:$C$66,IF($M2634="THU",2,3),FALSE()),IFERROR(VLOOKUP(LEFT($N2634,3),LCTT_MAP!$A$7:$C$66,IF($M2634="THU",2,3),FALSE()),IFERROR(VLOOKUP(LEFT($N2634,2),LCTT_MAP!$A$7:$C$66,IF($M2634="THU",2,3),FALSE()),IFERROR(VLOOKUP(LEFT($N2634,1),LCTT_MAP!$A$7:$C$66,IF($M2634="THU",2,3),FALSE()),IF($M2634="THU","06","07")))))))</f>
        <v/>
      </c>
      <c r="P2634" s="117">
        <f>P2633+IF(AND($H2634&lt;&gt;"",OR(LEFT($F2634,LEN(SC_TK))=SC_TK,LEFT($G2634,LEN(SC_TK))=SC_TK)),1,0)</f>
        <v/>
      </c>
    </row>
    <row r="2635" ht="15" customHeight="1" s="78">
      <c r="A2635" s="95">
        <f>IF($H2635="","",ROW()-6)</f>
        <v/>
      </c>
      <c r="B2635" s="114" t="n"/>
      <c r="C2635" s="102" t="n"/>
      <c r="D2635" s="114" t="n"/>
      <c r="E2635" s="103" t="n"/>
      <c r="F2635" s="102" t="n"/>
      <c r="G2635" s="102" t="n"/>
      <c r="H2635" s="115" t="n"/>
      <c r="I2635" s="102" t="n"/>
      <c r="J2635" s="102" t="n"/>
      <c r="K2635" s="103" t="n"/>
      <c r="L2635" s="116">
        <f>IF($H2635="","",TRIM(IF(COUNTIF(DMTK!$A$7:$A$250,$F2635)=0,"TK Nợ sai! ","")&amp;IF(COUNTIF(DMTK!$A$7:$A$250,$G2635)=0,"TK Có sai! ","")&amp;IF(N($H2635)&lt;=0,"Tiền phải &gt; 0! ","")&amp;IF($B2635="","Thiếu ngày! ","")&amp;IF(AND(OR(LEFT($F2635,3)="131",LEFT($G2635,3)="131",LEFT($F2635,3)="331",LEFT($G2635,3)="331"),$I2635=""),"Thiếu Mã ĐT! ","")&amp;IF(AND($I2635&lt;&gt;"",COUNTIF(DM_DT!$A$7:$A$306,$I2635)=0),"Mã ĐT chưa khai báo! ","")))</f>
        <v/>
      </c>
      <c r="M2635" s="117">
        <f>IF($H2635="","",IF(AND(OR(LEFT($F2635,3)="111",LEFT($F2635,3)="112",LEFT($F2635,3)="113"),OR(LEFT($G2635,3)="111",LEFT($G2635,3)="112",LEFT($G2635,3)="113")),"NB",IF(OR(LEFT($F2635,3)="111",LEFT($F2635,3)="112",LEFT($F2635,3)="113"),"THU",IF(OR(LEFT($G2635,3)="111",LEFT($G2635,3)="112",LEFT($G2635,3)="113"),"CHI",""))))</f>
        <v/>
      </c>
      <c r="N2635" s="117">
        <f>IF($M2635="THU",$G2635,IF($M2635="CHI",$F2635,""))</f>
        <v/>
      </c>
      <c r="O2635" s="117">
        <f>IF(OR($M2635="",$M2635="NB"),"",IF($J2635&lt;&gt;"",TEXT($J2635,"00"),IFERROR(VLOOKUP(LEFT($N2635,4),LCTT_MAP!$A$7:$C$66,IF($M2635="THU",2,3),FALSE()),IFERROR(VLOOKUP(LEFT($N2635,3),LCTT_MAP!$A$7:$C$66,IF($M2635="THU",2,3),FALSE()),IFERROR(VLOOKUP(LEFT($N2635,2),LCTT_MAP!$A$7:$C$66,IF($M2635="THU",2,3),FALSE()),IFERROR(VLOOKUP(LEFT($N2635,1),LCTT_MAP!$A$7:$C$66,IF($M2635="THU",2,3),FALSE()),IF($M2635="THU","06","07")))))))</f>
        <v/>
      </c>
      <c r="P2635" s="117">
        <f>P2634+IF(AND($H2635&lt;&gt;"",OR(LEFT($F2635,LEN(SC_TK))=SC_TK,LEFT($G2635,LEN(SC_TK))=SC_TK)),1,0)</f>
        <v/>
      </c>
    </row>
    <row r="2636" ht="15" customHeight="1" s="78">
      <c r="A2636" s="95">
        <f>IF($H2636="","",ROW()-6)</f>
        <v/>
      </c>
      <c r="B2636" s="114" t="n"/>
      <c r="C2636" s="102" t="n"/>
      <c r="D2636" s="114" t="n"/>
      <c r="E2636" s="103" t="n"/>
      <c r="F2636" s="102" t="n"/>
      <c r="G2636" s="102" t="n"/>
      <c r="H2636" s="115" t="n"/>
      <c r="I2636" s="102" t="n"/>
      <c r="J2636" s="102" t="n"/>
      <c r="K2636" s="103" t="n"/>
      <c r="L2636" s="116">
        <f>IF($H2636="","",TRIM(IF(COUNTIF(DMTK!$A$7:$A$250,$F2636)=0,"TK Nợ sai! ","")&amp;IF(COUNTIF(DMTK!$A$7:$A$250,$G2636)=0,"TK Có sai! ","")&amp;IF(N($H2636)&lt;=0,"Tiền phải &gt; 0! ","")&amp;IF($B2636="","Thiếu ngày! ","")&amp;IF(AND(OR(LEFT($F2636,3)="131",LEFT($G2636,3)="131",LEFT($F2636,3)="331",LEFT($G2636,3)="331"),$I2636=""),"Thiếu Mã ĐT! ","")&amp;IF(AND($I2636&lt;&gt;"",COUNTIF(DM_DT!$A$7:$A$306,$I2636)=0),"Mã ĐT chưa khai báo! ","")))</f>
        <v/>
      </c>
      <c r="M2636" s="117">
        <f>IF($H2636="","",IF(AND(OR(LEFT($F2636,3)="111",LEFT($F2636,3)="112",LEFT($F2636,3)="113"),OR(LEFT($G2636,3)="111",LEFT($G2636,3)="112",LEFT($G2636,3)="113")),"NB",IF(OR(LEFT($F2636,3)="111",LEFT($F2636,3)="112",LEFT($F2636,3)="113"),"THU",IF(OR(LEFT($G2636,3)="111",LEFT($G2636,3)="112",LEFT($G2636,3)="113"),"CHI",""))))</f>
        <v/>
      </c>
      <c r="N2636" s="117">
        <f>IF($M2636="THU",$G2636,IF($M2636="CHI",$F2636,""))</f>
        <v/>
      </c>
      <c r="O2636" s="117">
        <f>IF(OR($M2636="",$M2636="NB"),"",IF($J2636&lt;&gt;"",TEXT($J2636,"00"),IFERROR(VLOOKUP(LEFT($N2636,4),LCTT_MAP!$A$7:$C$66,IF($M2636="THU",2,3),FALSE()),IFERROR(VLOOKUP(LEFT($N2636,3),LCTT_MAP!$A$7:$C$66,IF($M2636="THU",2,3),FALSE()),IFERROR(VLOOKUP(LEFT($N2636,2),LCTT_MAP!$A$7:$C$66,IF($M2636="THU",2,3),FALSE()),IFERROR(VLOOKUP(LEFT($N2636,1),LCTT_MAP!$A$7:$C$66,IF($M2636="THU",2,3),FALSE()),IF($M2636="THU","06","07")))))))</f>
        <v/>
      </c>
      <c r="P2636" s="117">
        <f>P2635+IF(AND($H2636&lt;&gt;"",OR(LEFT($F2636,LEN(SC_TK))=SC_TK,LEFT($G2636,LEN(SC_TK))=SC_TK)),1,0)</f>
        <v/>
      </c>
    </row>
    <row r="2637" ht="15" customHeight="1" s="78">
      <c r="A2637" s="95">
        <f>IF($H2637="","",ROW()-6)</f>
        <v/>
      </c>
      <c r="B2637" s="114" t="n"/>
      <c r="C2637" s="102" t="n"/>
      <c r="D2637" s="114" t="n"/>
      <c r="E2637" s="103" t="n"/>
      <c r="F2637" s="102" t="n"/>
      <c r="G2637" s="102" t="n"/>
      <c r="H2637" s="115" t="n"/>
      <c r="I2637" s="102" t="n"/>
      <c r="J2637" s="102" t="n"/>
      <c r="K2637" s="103" t="n"/>
      <c r="L2637" s="116">
        <f>IF($H2637="","",TRIM(IF(COUNTIF(DMTK!$A$7:$A$250,$F2637)=0,"TK Nợ sai! ","")&amp;IF(COUNTIF(DMTK!$A$7:$A$250,$G2637)=0,"TK Có sai! ","")&amp;IF(N($H2637)&lt;=0,"Tiền phải &gt; 0! ","")&amp;IF($B2637="","Thiếu ngày! ","")&amp;IF(AND(OR(LEFT($F2637,3)="131",LEFT($G2637,3)="131",LEFT($F2637,3)="331",LEFT($G2637,3)="331"),$I2637=""),"Thiếu Mã ĐT! ","")&amp;IF(AND($I2637&lt;&gt;"",COUNTIF(DM_DT!$A$7:$A$306,$I2637)=0),"Mã ĐT chưa khai báo! ","")))</f>
        <v/>
      </c>
      <c r="M2637" s="117">
        <f>IF($H2637="","",IF(AND(OR(LEFT($F2637,3)="111",LEFT($F2637,3)="112",LEFT($F2637,3)="113"),OR(LEFT($G2637,3)="111",LEFT($G2637,3)="112",LEFT($G2637,3)="113")),"NB",IF(OR(LEFT($F2637,3)="111",LEFT($F2637,3)="112",LEFT($F2637,3)="113"),"THU",IF(OR(LEFT($G2637,3)="111",LEFT($G2637,3)="112",LEFT($G2637,3)="113"),"CHI",""))))</f>
        <v/>
      </c>
      <c r="N2637" s="117">
        <f>IF($M2637="THU",$G2637,IF($M2637="CHI",$F2637,""))</f>
        <v/>
      </c>
      <c r="O2637" s="117">
        <f>IF(OR($M2637="",$M2637="NB"),"",IF($J2637&lt;&gt;"",TEXT($J2637,"00"),IFERROR(VLOOKUP(LEFT($N2637,4),LCTT_MAP!$A$7:$C$66,IF($M2637="THU",2,3),FALSE()),IFERROR(VLOOKUP(LEFT($N2637,3),LCTT_MAP!$A$7:$C$66,IF($M2637="THU",2,3),FALSE()),IFERROR(VLOOKUP(LEFT($N2637,2),LCTT_MAP!$A$7:$C$66,IF($M2637="THU",2,3),FALSE()),IFERROR(VLOOKUP(LEFT($N2637,1),LCTT_MAP!$A$7:$C$66,IF($M2637="THU",2,3),FALSE()),IF($M2637="THU","06","07")))))))</f>
        <v/>
      </c>
      <c r="P2637" s="117">
        <f>P2636+IF(AND($H2637&lt;&gt;"",OR(LEFT($F2637,LEN(SC_TK))=SC_TK,LEFT($G2637,LEN(SC_TK))=SC_TK)),1,0)</f>
        <v/>
      </c>
    </row>
    <row r="2638" ht="15" customHeight="1" s="78">
      <c r="A2638" s="95">
        <f>IF($H2638="","",ROW()-6)</f>
        <v/>
      </c>
      <c r="B2638" s="114" t="n"/>
      <c r="C2638" s="102" t="n"/>
      <c r="D2638" s="114" t="n"/>
      <c r="E2638" s="103" t="n"/>
      <c r="F2638" s="102" t="n"/>
      <c r="G2638" s="102" t="n"/>
      <c r="H2638" s="115" t="n"/>
      <c r="I2638" s="102" t="n"/>
      <c r="J2638" s="102" t="n"/>
      <c r="K2638" s="103" t="n"/>
      <c r="L2638" s="116">
        <f>IF($H2638="","",TRIM(IF(COUNTIF(DMTK!$A$7:$A$250,$F2638)=0,"TK Nợ sai! ","")&amp;IF(COUNTIF(DMTK!$A$7:$A$250,$G2638)=0,"TK Có sai! ","")&amp;IF(N($H2638)&lt;=0,"Tiền phải &gt; 0! ","")&amp;IF($B2638="","Thiếu ngày! ","")&amp;IF(AND(OR(LEFT($F2638,3)="131",LEFT($G2638,3)="131",LEFT($F2638,3)="331",LEFT($G2638,3)="331"),$I2638=""),"Thiếu Mã ĐT! ","")&amp;IF(AND($I2638&lt;&gt;"",COUNTIF(DM_DT!$A$7:$A$306,$I2638)=0),"Mã ĐT chưa khai báo! ","")))</f>
        <v/>
      </c>
      <c r="M2638" s="117">
        <f>IF($H2638="","",IF(AND(OR(LEFT($F2638,3)="111",LEFT($F2638,3)="112",LEFT($F2638,3)="113"),OR(LEFT($G2638,3)="111",LEFT($G2638,3)="112",LEFT($G2638,3)="113")),"NB",IF(OR(LEFT($F2638,3)="111",LEFT($F2638,3)="112",LEFT($F2638,3)="113"),"THU",IF(OR(LEFT($G2638,3)="111",LEFT($G2638,3)="112",LEFT($G2638,3)="113"),"CHI",""))))</f>
        <v/>
      </c>
      <c r="N2638" s="117">
        <f>IF($M2638="THU",$G2638,IF($M2638="CHI",$F2638,""))</f>
        <v/>
      </c>
      <c r="O2638" s="117">
        <f>IF(OR($M2638="",$M2638="NB"),"",IF($J2638&lt;&gt;"",TEXT($J2638,"00"),IFERROR(VLOOKUP(LEFT($N2638,4),LCTT_MAP!$A$7:$C$66,IF($M2638="THU",2,3),FALSE()),IFERROR(VLOOKUP(LEFT($N2638,3),LCTT_MAP!$A$7:$C$66,IF($M2638="THU",2,3),FALSE()),IFERROR(VLOOKUP(LEFT($N2638,2),LCTT_MAP!$A$7:$C$66,IF($M2638="THU",2,3),FALSE()),IFERROR(VLOOKUP(LEFT($N2638,1),LCTT_MAP!$A$7:$C$66,IF($M2638="THU",2,3),FALSE()),IF($M2638="THU","06","07")))))))</f>
        <v/>
      </c>
      <c r="P2638" s="117">
        <f>P2637+IF(AND($H2638&lt;&gt;"",OR(LEFT($F2638,LEN(SC_TK))=SC_TK,LEFT($G2638,LEN(SC_TK))=SC_TK)),1,0)</f>
        <v/>
      </c>
    </row>
    <row r="2639" ht="15" customHeight="1" s="78">
      <c r="A2639" s="95">
        <f>IF($H2639="","",ROW()-6)</f>
        <v/>
      </c>
      <c r="B2639" s="114" t="n"/>
      <c r="C2639" s="102" t="n"/>
      <c r="D2639" s="114" t="n"/>
      <c r="E2639" s="103" t="n"/>
      <c r="F2639" s="102" t="n"/>
      <c r="G2639" s="102" t="n"/>
      <c r="H2639" s="115" t="n"/>
      <c r="I2639" s="102" t="n"/>
      <c r="J2639" s="102" t="n"/>
      <c r="K2639" s="103" t="n"/>
      <c r="L2639" s="116">
        <f>IF($H2639="","",TRIM(IF(COUNTIF(DMTK!$A$7:$A$250,$F2639)=0,"TK Nợ sai! ","")&amp;IF(COUNTIF(DMTK!$A$7:$A$250,$G2639)=0,"TK Có sai! ","")&amp;IF(N($H2639)&lt;=0,"Tiền phải &gt; 0! ","")&amp;IF($B2639="","Thiếu ngày! ","")&amp;IF(AND(OR(LEFT($F2639,3)="131",LEFT($G2639,3)="131",LEFT($F2639,3)="331",LEFT($G2639,3)="331"),$I2639=""),"Thiếu Mã ĐT! ","")&amp;IF(AND($I2639&lt;&gt;"",COUNTIF(DM_DT!$A$7:$A$306,$I2639)=0),"Mã ĐT chưa khai báo! ","")))</f>
        <v/>
      </c>
      <c r="M2639" s="117">
        <f>IF($H2639="","",IF(AND(OR(LEFT($F2639,3)="111",LEFT($F2639,3)="112",LEFT($F2639,3)="113"),OR(LEFT($G2639,3)="111",LEFT($G2639,3)="112",LEFT($G2639,3)="113")),"NB",IF(OR(LEFT($F2639,3)="111",LEFT($F2639,3)="112",LEFT($F2639,3)="113"),"THU",IF(OR(LEFT($G2639,3)="111",LEFT($G2639,3)="112",LEFT($G2639,3)="113"),"CHI",""))))</f>
        <v/>
      </c>
      <c r="N2639" s="117">
        <f>IF($M2639="THU",$G2639,IF($M2639="CHI",$F2639,""))</f>
        <v/>
      </c>
      <c r="O2639" s="117">
        <f>IF(OR($M2639="",$M2639="NB"),"",IF($J2639&lt;&gt;"",TEXT($J2639,"00"),IFERROR(VLOOKUP(LEFT($N2639,4),LCTT_MAP!$A$7:$C$66,IF($M2639="THU",2,3),FALSE()),IFERROR(VLOOKUP(LEFT($N2639,3),LCTT_MAP!$A$7:$C$66,IF($M2639="THU",2,3),FALSE()),IFERROR(VLOOKUP(LEFT($N2639,2),LCTT_MAP!$A$7:$C$66,IF($M2639="THU",2,3),FALSE()),IFERROR(VLOOKUP(LEFT($N2639,1),LCTT_MAP!$A$7:$C$66,IF($M2639="THU",2,3),FALSE()),IF($M2639="THU","06","07")))))))</f>
        <v/>
      </c>
      <c r="P2639" s="117">
        <f>P2638+IF(AND($H2639&lt;&gt;"",OR(LEFT($F2639,LEN(SC_TK))=SC_TK,LEFT($G2639,LEN(SC_TK))=SC_TK)),1,0)</f>
        <v/>
      </c>
    </row>
    <row r="2640" ht="15" customHeight="1" s="78">
      <c r="A2640" s="95">
        <f>IF($H2640="","",ROW()-6)</f>
        <v/>
      </c>
      <c r="B2640" s="114" t="n"/>
      <c r="C2640" s="102" t="n"/>
      <c r="D2640" s="114" t="n"/>
      <c r="E2640" s="103" t="n"/>
      <c r="F2640" s="102" t="n"/>
      <c r="G2640" s="102" t="n"/>
      <c r="H2640" s="115" t="n"/>
      <c r="I2640" s="102" t="n"/>
      <c r="J2640" s="102" t="n"/>
      <c r="K2640" s="103" t="n"/>
      <c r="L2640" s="116">
        <f>IF($H2640="","",TRIM(IF(COUNTIF(DMTK!$A$7:$A$250,$F2640)=0,"TK Nợ sai! ","")&amp;IF(COUNTIF(DMTK!$A$7:$A$250,$G2640)=0,"TK Có sai! ","")&amp;IF(N($H2640)&lt;=0,"Tiền phải &gt; 0! ","")&amp;IF($B2640="","Thiếu ngày! ","")&amp;IF(AND(OR(LEFT($F2640,3)="131",LEFT($G2640,3)="131",LEFT($F2640,3)="331",LEFT($G2640,3)="331"),$I2640=""),"Thiếu Mã ĐT! ","")&amp;IF(AND($I2640&lt;&gt;"",COUNTIF(DM_DT!$A$7:$A$306,$I2640)=0),"Mã ĐT chưa khai báo! ","")))</f>
        <v/>
      </c>
      <c r="M2640" s="117">
        <f>IF($H2640="","",IF(AND(OR(LEFT($F2640,3)="111",LEFT($F2640,3)="112",LEFT($F2640,3)="113"),OR(LEFT($G2640,3)="111",LEFT($G2640,3)="112",LEFT($G2640,3)="113")),"NB",IF(OR(LEFT($F2640,3)="111",LEFT($F2640,3)="112",LEFT($F2640,3)="113"),"THU",IF(OR(LEFT($G2640,3)="111",LEFT($G2640,3)="112",LEFT($G2640,3)="113"),"CHI",""))))</f>
        <v/>
      </c>
      <c r="N2640" s="117">
        <f>IF($M2640="THU",$G2640,IF($M2640="CHI",$F2640,""))</f>
        <v/>
      </c>
      <c r="O2640" s="117">
        <f>IF(OR($M2640="",$M2640="NB"),"",IF($J2640&lt;&gt;"",TEXT($J2640,"00"),IFERROR(VLOOKUP(LEFT($N2640,4),LCTT_MAP!$A$7:$C$66,IF($M2640="THU",2,3),FALSE()),IFERROR(VLOOKUP(LEFT($N2640,3),LCTT_MAP!$A$7:$C$66,IF($M2640="THU",2,3),FALSE()),IFERROR(VLOOKUP(LEFT($N2640,2),LCTT_MAP!$A$7:$C$66,IF($M2640="THU",2,3),FALSE()),IFERROR(VLOOKUP(LEFT($N2640,1),LCTT_MAP!$A$7:$C$66,IF($M2640="THU",2,3),FALSE()),IF($M2640="THU","06","07")))))))</f>
        <v/>
      </c>
      <c r="P2640" s="117">
        <f>P2639+IF(AND($H2640&lt;&gt;"",OR(LEFT($F2640,LEN(SC_TK))=SC_TK,LEFT($G2640,LEN(SC_TK))=SC_TK)),1,0)</f>
        <v/>
      </c>
    </row>
    <row r="2641" ht="15" customHeight="1" s="78">
      <c r="A2641" s="95">
        <f>IF($H2641="","",ROW()-6)</f>
        <v/>
      </c>
      <c r="B2641" s="114" t="n"/>
      <c r="C2641" s="102" t="n"/>
      <c r="D2641" s="114" t="n"/>
      <c r="E2641" s="103" t="n"/>
      <c r="F2641" s="102" t="n"/>
      <c r="G2641" s="102" t="n"/>
      <c r="H2641" s="115" t="n"/>
      <c r="I2641" s="102" t="n"/>
      <c r="J2641" s="102" t="n"/>
      <c r="K2641" s="103" t="n"/>
      <c r="L2641" s="116">
        <f>IF($H2641="","",TRIM(IF(COUNTIF(DMTK!$A$7:$A$250,$F2641)=0,"TK Nợ sai! ","")&amp;IF(COUNTIF(DMTK!$A$7:$A$250,$G2641)=0,"TK Có sai! ","")&amp;IF(N($H2641)&lt;=0,"Tiền phải &gt; 0! ","")&amp;IF($B2641="","Thiếu ngày! ","")&amp;IF(AND(OR(LEFT($F2641,3)="131",LEFT($G2641,3)="131",LEFT($F2641,3)="331",LEFT($G2641,3)="331"),$I2641=""),"Thiếu Mã ĐT! ","")&amp;IF(AND($I2641&lt;&gt;"",COUNTIF(DM_DT!$A$7:$A$306,$I2641)=0),"Mã ĐT chưa khai báo! ","")))</f>
        <v/>
      </c>
      <c r="M2641" s="117">
        <f>IF($H2641="","",IF(AND(OR(LEFT($F2641,3)="111",LEFT($F2641,3)="112",LEFT($F2641,3)="113"),OR(LEFT($G2641,3)="111",LEFT($G2641,3)="112",LEFT($G2641,3)="113")),"NB",IF(OR(LEFT($F2641,3)="111",LEFT($F2641,3)="112",LEFT($F2641,3)="113"),"THU",IF(OR(LEFT($G2641,3)="111",LEFT($G2641,3)="112",LEFT($G2641,3)="113"),"CHI",""))))</f>
        <v/>
      </c>
      <c r="N2641" s="117">
        <f>IF($M2641="THU",$G2641,IF($M2641="CHI",$F2641,""))</f>
        <v/>
      </c>
      <c r="O2641" s="117">
        <f>IF(OR($M2641="",$M2641="NB"),"",IF($J2641&lt;&gt;"",TEXT($J2641,"00"),IFERROR(VLOOKUP(LEFT($N2641,4),LCTT_MAP!$A$7:$C$66,IF($M2641="THU",2,3),FALSE()),IFERROR(VLOOKUP(LEFT($N2641,3),LCTT_MAP!$A$7:$C$66,IF($M2641="THU",2,3),FALSE()),IFERROR(VLOOKUP(LEFT($N2641,2),LCTT_MAP!$A$7:$C$66,IF($M2641="THU",2,3),FALSE()),IFERROR(VLOOKUP(LEFT($N2641,1),LCTT_MAP!$A$7:$C$66,IF($M2641="THU",2,3),FALSE()),IF($M2641="THU","06","07")))))))</f>
        <v/>
      </c>
      <c r="P2641" s="117">
        <f>P2640+IF(AND($H2641&lt;&gt;"",OR(LEFT($F2641,LEN(SC_TK))=SC_TK,LEFT($G2641,LEN(SC_TK))=SC_TK)),1,0)</f>
        <v/>
      </c>
    </row>
    <row r="2642" ht="15" customHeight="1" s="78">
      <c r="A2642" s="95">
        <f>IF($H2642="","",ROW()-6)</f>
        <v/>
      </c>
      <c r="B2642" s="114" t="n"/>
      <c r="C2642" s="102" t="n"/>
      <c r="D2642" s="114" t="n"/>
      <c r="E2642" s="103" t="n"/>
      <c r="F2642" s="102" t="n"/>
      <c r="G2642" s="102" t="n"/>
      <c r="H2642" s="115" t="n"/>
      <c r="I2642" s="102" t="n"/>
      <c r="J2642" s="102" t="n"/>
      <c r="K2642" s="103" t="n"/>
      <c r="L2642" s="116">
        <f>IF($H2642="","",TRIM(IF(COUNTIF(DMTK!$A$7:$A$250,$F2642)=0,"TK Nợ sai! ","")&amp;IF(COUNTIF(DMTK!$A$7:$A$250,$G2642)=0,"TK Có sai! ","")&amp;IF(N($H2642)&lt;=0,"Tiền phải &gt; 0! ","")&amp;IF($B2642="","Thiếu ngày! ","")&amp;IF(AND(OR(LEFT($F2642,3)="131",LEFT($G2642,3)="131",LEFT($F2642,3)="331",LEFT($G2642,3)="331"),$I2642=""),"Thiếu Mã ĐT! ","")&amp;IF(AND($I2642&lt;&gt;"",COUNTIF(DM_DT!$A$7:$A$306,$I2642)=0),"Mã ĐT chưa khai báo! ","")))</f>
        <v/>
      </c>
      <c r="M2642" s="117">
        <f>IF($H2642="","",IF(AND(OR(LEFT($F2642,3)="111",LEFT($F2642,3)="112",LEFT($F2642,3)="113"),OR(LEFT($G2642,3)="111",LEFT($G2642,3)="112",LEFT($G2642,3)="113")),"NB",IF(OR(LEFT($F2642,3)="111",LEFT($F2642,3)="112",LEFT($F2642,3)="113"),"THU",IF(OR(LEFT($G2642,3)="111",LEFT($G2642,3)="112",LEFT($G2642,3)="113"),"CHI",""))))</f>
        <v/>
      </c>
      <c r="N2642" s="117">
        <f>IF($M2642="THU",$G2642,IF($M2642="CHI",$F2642,""))</f>
        <v/>
      </c>
      <c r="O2642" s="117">
        <f>IF(OR($M2642="",$M2642="NB"),"",IF($J2642&lt;&gt;"",TEXT($J2642,"00"),IFERROR(VLOOKUP(LEFT($N2642,4),LCTT_MAP!$A$7:$C$66,IF($M2642="THU",2,3),FALSE()),IFERROR(VLOOKUP(LEFT($N2642,3),LCTT_MAP!$A$7:$C$66,IF($M2642="THU",2,3),FALSE()),IFERROR(VLOOKUP(LEFT($N2642,2),LCTT_MAP!$A$7:$C$66,IF($M2642="THU",2,3),FALSE()),IFERROR(VLOOKUP(LEFT($N2642,1),LCTT_MAP!$A$7:$C$66,IF($M2642="THU",2,3),FALSE()),IF($M2642="THU","06","07")))))))</f>
        <v/>
      </c>
      <c r="P2642" s="117">
        <f>P2641+IF(AND($H2642&lt;&gt;"",OR(LEFT($F2642,LEN(SC_TK))=SC_TK,LEFT($G2642,LEN(SC_TK))=SC_TK)),1,0)</f>
        <v/>
      </c>
    </row>
    <row r="2643" ht="15" customHeight="1" s="78">
      <c r="A2643" s="95">
        <f>IF($H2643="","",ROW()-6)</f>
        <v/>
      </c>
      <c r="B2643" s="114" t="n"/>
      <c r="C2643" s="102" t="n"/>
      <c r="D2643" s="114" t="n"/>
      <c r="E2643" s="103" t="n"/>
      <c r="F2643" s="102" t="n"/>
      <c r="G2643" s="102" t="n"/>
      <c r="H2643" s="115" t="n"/>
      <c r="I2643" s="102" t="n"/>
      <c r="J2643" s="102" t="n"/>
      <c r="K2643" s="103" t="n"/>
      <c r="L2643" s="116">
        <f>IF($H2643="","",TRIM(IF(COUNTIF(DMTK!$A$7:$A$250,$F2643)=0,"TK Nợ sai! ","")&amp;IF(COUNTIF(DMTK!$A$7:$A$250,$G2643)=0,"TK Có sai! ","")&amp;IF(N($H2643)&lt;=0,"Tiền phải &gt; 0! ","")&amp;IF($B2643="","Thiếu ngày! ","")&amp;IF(AND(OR(LEFT($F2643,3)="131",LEFT($G2643,3)="131",LEFT($F2643,3)="331",LEFT($G2643,3)="331"),$I2643=""),"Thiếu Mã ĐT! ","")&amp;IF(AND($I2643&lt;&gt;"",COUNTIF(DM_DT!$A$7:$A$306,$I2643)=0),"Mã ĐT chưa khai báo! ","")))</f>
        <v/>
      </c>
      <c r="M2643" s="117">
        <f>IF($H2643="","",IF(AND(OR(LEFT($F2643,3)="111",LEFT($F2643,3)="112",LEFT($F2643,3)="113"),OR(LEFT($G2643,3)="111",LEFT($G2643,3)="112",LEFT($G2643,3)="113")),"NB",IF(OR(LEFT($F2643,3)="111",LEFT($F2643,3)="112",LEFT($F2643,3)="113"),"THU",IF(OR(LEFT($G2643,3)="111",LEFT($G2643,3)="112",LEFT($G2643,3)="113"),"CHI",""))))</f>
        <v/>
      </c>
      <c r="N2643" s="117">
        <f>IF($M2643="THU",$G2643,IF($M2643="CHI",$F2643,""))</f>
        <v/>
      </c>
      <c r="O2643" s="117">
        <f>IF(OR($M2643="",$M2643="NB"),"",IF($J2643&lt;&gt;"",TEXT($J2643,"00"),IFERROR(VLOOKUP(LEFT($N2643,4),LCTT_MAP!$A$7:$C$66,IF($M2643="THU",2,3),FALSE()),IFERROR(VLOOKUP(LEFT($N2643,3),LCTT_MAP!$A$7:$C$66,IF($M2643="THU",2,3),FALSE()),IFERROR(VLOOKUP(LEFT($N2643,2),LCTT_MAP!$A$7:$C$66,IF($M2643="THU",2,3),FALSE()),IFERROR(VLOOKUP(LEFT($N2643,1),LCTT_MAP!$A$7:$C$66,IF($M2643="THU",2,3),FALSE()),IF($M2643="THU","06","07")))))))</f>
        <v/>
      </c>
      <c r="P2643" s="117">
        <f>P2642+IF(AND($H2643&lt;&gt;"",OR(LEFT($F2643,LEN(SC_TK))=SC_TK,LEFT($G2643,LEN(SC_TK))=SC_TK)),1,0)</f>
        <v/>
      </c>
    </row>
    <row r="2644" ht="15" customHeight="1" s="78">
      <c r="A2644" s="95">
        <f>IF($H2644="","",ROW()-6)</f>
        <v/>
      </c>
      <c r="B2644" s="114" t="n"/>
      <c r="C2644" s="102" t="n"/>
      <c r="D2644" s="114" t="n"/>
      <c r="E2644" s="103" t="n"/>
      <c r="F2644" s="102" t="n"/>
      <c r="G2644" s="102" t="n"/>
      <c r="H2644" s="115" t="n"/>
      <c r="I2644" s="102" t="n"/>
      <c r="J2644" s="102" t="n"/>
      <c r="K2644" s="103" t="n"/>
      <c r="L2644" s="116">
        <f>IF($H2644="","",TRIM(IF(COUNTIF(DMTK!$A$7:$A$250,$F2644)=0,"TK Nợ sai! ","")&amp;IF(COUNTIF(DMTK!$A$7:$A$250,$G2644)=0,"TK Có sai! ","")&amp;IF(N($H2644)&lt;=0,"Tiền phải &gt; 0! ","")&amp;IF($B2644="","Thiếu ngày! ","")&amp;IF(AND(OR(LEFT($F2644,3)="131",LEFT($G2644,3)="131",LEFT($F2644,3)="331",LEFT($G2644,3)="331"),$I2644=""),"Thiếu Mã ĐT! ","")&amp;IF(AND($I2644&lt;&gt;"",COUNTIF(DM_DT!$A$7:$A$306,$I2644)=0),"Mã ĐT chưa khai báo! ","")))</f>
        <v/>
      </c>
      <c r="M2644" s="117">
        <f>IF($H2644="","",IF(AND(OR(LEFT($F2644,3)="111",LEFT($F2644,3)="112",LEFT($F2644,3)="113"),OR(LEFT($G2644,3)="111",LEFT($G2644,3)="112",LEFT($G2644,3)="113")),"NB",IF(OR(LEFT($F2644,3)="111",LEFT($F2644,3)="112",LEFT($F2644,3)="113"),"THU",IF(OR(LEFT($G2644,3)="111",LEFT($G2644,3)="112",LEFT($G2644,3)="113"),"CHI",""))))</f>
        <v/>
      </c>
      <c r="N2644" s="117">
        <f>IF($M2644="THU",$G2644,IF($M2644="CHI",$F2644,""))</f>
        <v/>
      </c>
      <c r="O2644" s="117">
        <f>IF(OR($M2644="",$M2644="NB"),"",IF($J2644&lt;&gt;"",TEXT($J2644,"00"),IFERROR(VLOOKUP(LEFT($N2644,4),LCTT_MAP!$A$7:$C$66,IF($M2644="THU",2,3),FALSE()),IFERROR(VLOOKUP(LEFT($N2644,3),LCTT_MAP!$A$7:$C$66,IF($M2644="THU",2,3),FALSE()),IFERROR(VLOOKUP(LEFT($N2644,2),LCTT_MAP!$A$7:$C$66,IF($M2644="THU",2,3),FALSE()),IFERROR(VLOOKUP(LEFT($N2644,1),LCTT_MAP!$A$7:$C$66,IF($M2644="THU",2,3),FALSE()),IF($M2644="THU","06","07")))))))</f>
        <v/>
      </c>
      <c r="P2644" s="117">
        <f>P2643+IF(AND($H2644&lt;&gt;"",OR(LEFT($F2644,LEN(SC_TK))=SC_TK,LEFT($G2644,LEN(SC_TK))=SC_TK)),1,0)</f>
        <v/>
      </c>
    </row>
    <row r="2645" ht="15" customHeight="1" s="78">
      <c r="A2645" s="95">
        <f>IF($H2645="","",ROW()-6)</f>
        <v/>
      </c>
      <c r="B2645" s="114" t="n"/>
      <c r="C2645" s="102" t="n"/>
      <c r="D2645" s="114" t="n"/>
      <c r="E2645" s="103" t="n"/>
      <c r="F2645" s="102" t="n"/>
      <c r="G2645" s="102" t="n"/>
      <c r="H2645" s="115" t="n"/>
      <c r="I2645" s="102" t="n"/>
      <c r="J2645" s="102" t="n"/>
      <c r="K2645" s="103" t="n"/>
      <c r="L2645" s="116">
        <f>IF($H2645="","",TRIM(IF(COUNTIF(DMTK!$A$7:$A$250,$F2645)=0,"TK Nợ sai! ","")&amp;IF(COUNTIF(DMTK!$A$7:$A$250,$G2645)=0,"TK Có sai! ","")&amp;IF(N($H2645)&lt;=0,"Tiền phải &gt; 0! ","")&amp;IF($B2645="","Thiếu ngày! ","")&amp;IF(AND(OR(LEFT($F2645,3)="131",LEFT($G2645,3)="131",LEFT($F2645,3)="331",LEFT($G2645,3)="331"),$I2645=""),"Thiếu Mã ĐT! ","")&amp;IF(AND($I2645&lt;&gt;"",COUNTIF(DM_DT!$A$7:$A$306,$I2645)=0),"Mã ĐT chưa khai báo! ","")))</f>
        <v/>
      </c>
      <c r="M2645" s="117">
        <f>IF($H2645="","",IF(AND(OR(LEFT($F2645,3)="111",LEFT($F2645,3)="112",LEFT($F2645,3)="113"),OR(LEFT($G2645,3)="111",LEFT($G2645,3)="112",LEFT($G2645,3)="113")),"NB",IF(OR(LEFT($F2645,3)="111",LEFT($F2645,3)="112",LEFT($F2645,3)="113"),"THU",IF(OR(LEFT($G2645,3)="111",LEFT($G2645,3)="112",LEFT($G2645,3)="113"),"CHI",""))))</f>
        <v/>
      </c>
      <c r="N2645" s="117">
        <f>IF($M2645="THU",$G2645,IF($M2645="CHI",$F2645,""))</f>
        <v/>
      </c>
      <c r="O2645" s="117">
        <f>IF(OR($M2645="",$M2645="NB"),"",IF($J2645&lt;&gt;"",TEXT($J2645,"00"),IFERROR(VLOOKUP(LEFT($N2645,4),LCTT_MAP!$A$7:$C$66,IF($M2645="THU",2,3),FALSE()),IFERROR(VLOOKUP(LEFT($N2645,3),LCTT_MAP!$A$7:$C$66,IF($M2645="THU",2,3),FALSE()),IFERROR(VLOOKUP(LEFT($N2645,2),LCTT_MAP!$A$7:$C$66,IF($M2645="THU",2,3),FALSE()),IFERROR(VLOOKUP(LEFT($N2645,1),LCTT_MAP!$A$7:$C$66,IF($M2645="THU",2,3),FALSE()),IF($M2645="THU","06","07")))))))</f>
        <v/>
      </c>
      <c r="P2645" s="117">
        <f>P2644+IF(AND($H2645&lt;&gt;"",OR(LEFT($F2645,LEN(SC_TK))=SC_TK,LEFT($G2645,LEN(SC_TK))=SC_TK)),1,0)</f>
        <v/>
      </c>
    </row>
    <row r="2646" ht="15" customHeight="1" s="78">
      <c r="A2646" s="95">
        <f>IF($H2646="","",ROW()-6)</f>
        <v/>
      </c>
      <c r="B2646" s="114" t="n"/>
      <c r="C2646" s="102" t="n"/>
      <c r="D2646" s="114" t="n"/>
      <c r="E2646" s="103" t="n"/>
      <c r="F2646" s="102" t="n"/>
      <c r="G2646" s="102" t="n"/>
      <c r="H2646" s="115" t="n"/>
      <c r="I2646" s="102" t="n"/>
      <c r="J2646" s="102" t="n"/>
      <c r="K2646" s="103" t="n"/>
      <c r="L2646" s="116">
        <f>IF($H2646="","",TRIM(IF(COUNTIF(DMTK!$A$7:$A$250,$F2646)=0,"TK Nợ sai! ","")&amp;IF(COUNTIF(DMTK!$A$7:$A$250,$G2646)=0,"TK Có sai! ","")&amp;IF(N($H2646)&lt;=0,"Tiền phải &gt; 0! ","")&amp;IF($B2646="","Thiếu ngày! ","")&amp;IF(AND(OR(LEFT($F2646,3)="131",LEFT($G2646,3)="131",LEFT($F2646,3)="331",LEFT($G2646,3)="331"),$I2646=""),"Thiếu Mã ĐT! ","")&amp;IF(AND($I2646&lt;&gt;"",COUNTIF(DM_DT!$A$7:$A$306,$I2646)=0),"Mã ĐT chưa khai báo! ","")))</f>
        <v/>
      </c>
      <c r="M2646" s="117">
        <f>IF($H2646="","",IF(AND(OR(LEFT($F2646,3)="111",LEFT($F2646,3)="112",LEFT($F2646,3)="113"),OR(LEFT($G2646,3)="111",LEFT($G2646,3)="112",LEFT($G2646,3)="113")),"NB",IF(OR(LEFT($F2646,3)="111",LEFT($F2646,3)="112",LEFT($F2646,3)="113"),"THU",IF(OR(LEFT($G2646,3)="111",LEFT($G2646,3)="112",LEFT($G2646,3)="113"),"CHI",""))))</f>
        <v/>
      </c>
      <c r="N2646" s="117">
        <f>IF($M2646="THU",$G2646,IF($M2646="CHI",$F2646,""))</f>
        <v/>
      </c>
      <c r="O2646" s="117">
        <f>IF(OR($M2646="",$M2646="NB"),"",IF($J2646&lt;&gt;"",TEXT($J2646,"00"),IFERROR(VLOOKUP(LEFT($N2646,4),LCTT_MAP!$A$7:$C$66,IF($M2646="THU",2,3),FALSE()),IFERROR(VLOOKUP(LEFT($N2646,3),LCTT_MAP!$A$7:$C$66,IF($M2646="THU",2,3),FALSE()),IFERROR(VLOOKUP(LEFT($N2646,2),LCTT_MAP!$A$7:$C$66,IF($M2646="THU",2,3),FALSE()),IFERROR(VLOOKUP(LEFT($N2646,1),LCTT_MAP!$A$7:$C$66,IF($M2646="THU",2,3),FALSE()),IF($M2646="THU","06","07")))))))</f>
        <v/>
      </c>
      <c r="P2646" s="117">
        <f>P2645+IF(AND($H2646&lt;&gt;"",OR(LEFT($F2646,LEN(SC_TK))=SC_TK,LEFT($G2646,LEN(SC_TK))=SC_TK)),1,0)</f>
        <v/>
      </c>
    </row>
    <row r="2647" ht="15" customHeight="1" s="78">
      <c r="A2647" s="95">
        <f>IF($H2647="","",ROW()-6)</f>
        <v/>
      </c>
      <c r="B2647" s="114" t="n"/>
      <c r="C2647" s="102" t="n"/>
      <c r="D2647" s="114" t="n"/>
      <c r="E2647" s="103" t="n"/>
      <c r="F2647" s="102" t="n"/>
      <c r="G2647" s="102" t="n"/>
      <c r="H2647" s="115" t="n"/>
      <c r="I2647" s="102" t="n"/>
      <c r="J2647" s="102" t="n"/>
      <c r="K2647" s="103" t="n"/>
      <c r="L2647" s="116">
        <f>IF($H2647="","",TRIM(IF(COUNTIF(DMTK!$A$7:$A$250,$F2647)=0,"TK Nợ sai! ","")&amp;IF(COUNTIF(DMTK!$A$7:$A$250,$G2647)=0,"TK Có sai! ","")&amp;IF(N($H2647)&lt;=0,"Tiền phải &gt; 0! ","")&amp;IF($B2647="","Thiếu ngày! ","")&amp;IF(AND(OR(LEFT($F2647,3)="131",LEFT($G2647,3)="131",LEFT($F2647,3)="331",LEFT($G2647,3)="331"),$I2647=""),"Thiếu Mã ĐT! ","")&amp;IF(AND($I2647&lt;&gt;"",COUNTIF(DM_DT!$A$7:$A$306,$I2647)=0),"Mã ĐT chưa khai báo! ","")))</f>
        <v/>
      </c>
      <c r="M2647" s="117">
        <f>IF($H2647="","",IF(AND(OR(LEFT($F2647,3)="111",LEFT($F2647,3)="112",LEFT($F2647,3)="113"),OR(LEFT($G2647,3)="111",LEFT($G2647,3)="112",LEFT($G2647,3)="113")),"NB",IF(OR(LEFT($F2647,3)="111",LEFT($F2647,3)="112",LEFT($F2647,3)="113"),"THU",IF(OR(LEFT($G2647,3)="111",LEFT($G2647,3)="112",LEFT($G2647,3)="113"),"CHI",""))))</f>
        <v/>
      </c>
      <c r="N2647" s="117">
        <f>IF($M2647="THU",$G2647,IF($M2647="CHI",$F2647,""))</f>
        <v/>
      </c>
      <c r="O2647" s="117">
        <f>IF(OR($M2647="",$M2647="NB"),"",IF($J2647&lt;&gt;"",TEXT($J2647,"00"),IFERROR(VLOOKUP(LEFT($N2647,4),LCTT_MAP!$A$7:$C$66,IF($M2647="THU",2,3),FALSE()),IFERROR(VLOOKUP(LEFT($N2647,3),LCTT_MAP!$A$7:$C$66,IF($M2647="THU",2,3),FALSE()),IFERROR(VLOOKUP(LEFT($N2647,2),LCTT_MAP!$A$7:$C$66,IF($M2647="THU",2,3),FALSE()),IFERROR(VLOOKUP(LEFT($N2647,1),LCTT_MAP!$A$7:$C$66,IF($M2647="THU",2,3),FALSE()),IF($M2647="THU","06","07")))))))</f>
        <v/>
      </c>
      <c r="P2647" s="117">
        <f>P2646+IF(AND($H2647&lt;&gt;"",OR(LEFT($F2647,LEN(SC_TK))=SC_TK,LEFT($G2647,LEN(SC_TK))=SC_TK)),1,0)</f>
        <v/>
      </c>
    </row>
    <row r="2648" ht="15" customHeight="1" s="78">
      <c r="A2648" s="95">
        <f>IF($H2648="","",ROW()-6)</f>
        <v/>
      </c>
      <c r="B2648" s="114" t="n"/>
      <c r="C2648" s="102" t="n"/>
      <c r="D2648" s="114" t="n"/>
      <c r="E2648" s="103" t="n"/>
      <c r="F2648" s="102" t="n"/>
      <c r="G2648" s="102" t="n"/>
      <c r="H2648" s="115" t="n"/>
      <c r="I2648" s="102" t="n"/>
      <c r="J2648" s="102" t="n"/>
      <c r="K2648" s="103" t="n"/>
      <c r="L2648" s="116">
        <f>IF($H2648="","",TRIM(IF(COUNTIF(DMTK!$A$7:$A$250,$F2648)=0,"TK Nợ sai! ","")&amp;IF(COUNTIF(DMTK!$A$7:$A$250,$G2648)=0,"TK Có sai! ","")&amp;IF(N($H2648)&lt;=0,"Tiền phải &gt; 0! ","")&amp;IF($B2648="","Thiếu ngày! ","")&amp;IF(AND(OR(LEFT($F2648,3)="131",LEFT($G2648,3)="131",LEFT($F2648,3)="331",LEFT($G2648,3)="331"),$I2648=""),"Thiếu Mã ĐT! ","")&amp;IF(AND($I2648&lt;&gt;"",COUNTIF(DM_DT!$A$7:$A$306,$I2648)=0),"Mã ĐT chưa khai báo! ","")))</f>
        <v/>
      </c>
      <c r="M2648" s="117">
        <f>IF($H2648="","",IF(AND(OR(LEFT($F2648,3)="111",LEFT($F2648,3)="112",LEFT($F2648,3)="113"),OR(LEFT($G2648,3)="111",LEFT($G2648,3)="112",LEFT($G2648,3)="113")),"NB",IF(OR(LEFT($F2648,3)="111",LEFT($F2648,3)="112",LEFT($F2648,3)="113"),"THU",IF(OR(LEFT($G2648,3)="111",LEFT($G2648,3)="112",LEFT($G2648,3)="113"),"CHI",""))))</f>
        <v/>
      </c>
      <c r="N2648" s="117">
        <f>IF($M2648="THU",$G2648,IF($M2648="CHI",$F2648,""))</f>
        <v/>
      </c>
      <c r="O2648" s="117">
        <f>IF(OR($M2648="",$M2648="NB"),"",IF($J2648&lt;&gt;"",TEXT($J2648,"00"),IFERROR(VLOOKUP(LEFT($N2648,4),LCTT_MAP!$A$7:$C$66,IF($M2648="THU",2,3),FALSE()),IFERROR(VLOOKUP(LEFT($N2648,3),LCTT_MAP!$A$7:$C$66,IF($M2648="THU",2,3),FALSE()),IFERROR(VLOOKUP(LEFT($N2648,2),LCTT_MAP!$A$7:$C$66,IF($M2648="THU",2,3),FALSE()),IFERROR(VLOOKUP(LEFT($N2648,1),LCTT_MAP!$A$7:$C$66,IF($M2648="THU",2,3),FALSE()),IF($M2648="THU","06","07")))))))</f>
        <v/>
      </c>
      <c r="P2648" s="117">
        <f>P2647+IF(AND($H2648&lt;&gt;"",OR(LEFT($F2648,LEN(SC_TK))=SC_TK,LEFT($G2648,LEN(SC_TK))=SC_TK)),1,0)</f>
        <v/>
      </c>
    </row>
    <row r="2649" ht="15" customHeight="1" s="78">
      <c r="A2649" s="95">
        <f>IF($H2649="","",ROW()-6)</f>
        <v/>
      </c>
      <c r="B2649" s="114" t="n"/>
      <c r="C2649" s="102" t="n"/>
      <c r="D2649" s="114" t="n"/>
      <c r="E2649" s="103" t="n"/>
      <c r="F2649" s="102" t="n"/>
      <c r="G2649" s="102" t="n"/>
      <c r="H2649" s="115" t="n"/>
      <c r="I2649" s="102" t="n"/>
      <c r="J2649" s="102" t="n"/>
      <c r="K2649" s="103" t="n"/>
      <c r="L2649" s="116">
        <f>IF($H2649="","",TRIM(IF(COUNTIF(DMTK!$A$7:$A$250,$F2649)=0,"TK Nợ sai! ","")&amp;IF(COUNTIF(DMTK!$A$7:$A$250,$G2649)=0,"TK Có sai! ","")&amp;IF(N($H2649)&lt;=0,"Tiền phải &gt; 0! ","")&amp;IF($B2649="","Thiếu ngày! ","")&amp;IF(AND(OR(LEFT($F2649,3)="131",LEFT($G2649,3)="131",LEFT($F2649,3)="331",LEFT($G2649,3)="331"),$I2649=""),"Thiếu Mã ĐT! ","")&amp;IF(AND($I2649&lt;&gt;"",COUNTIF(DM_DT!$A$7:$A$306,$I2649)=0),"Mã ĐT chưa khai báo! ","")))</f>
        <v/>
      </c>
      <c r="M2649" s="117">
        <f>IF($H2649="","",IF(AND(OR(LEFT($F2649,3)="111",LEFT($F2649,3)="112",LEFT($F2649,3)="113"),OR(LEFT($G2649,3)="111",LEFT($G2649,3)="112",LEFT($G2649,3)="113")),"NB",IF(OR(LEFT($F2649,3)="111",LEFT($F2649,3)="112",LEFT($F2649,3)="113"),"THU",IF(OR(LEFT($G2649,3)="111",LEFT($G2649,3)="112",LEFT($G2649,3)="113"),"CHI",""))))</f>
        <v/>
      </c>
      <c r="N2649" s="117">
        <f>IF($M2649="THU",$G2649,IF($M2649="CHI",$F2649,""))</f>
        <v/>
      </c>
      <c r="O2649" s="117">
        <f>IF(OR($M2649="",$M2649="NB"),"",IF($J2649&lt;&gt;"",TEXT($J2649,"00"),IFERROR(VLOOKUP(LEFT($N2649,4),LCTT_MAP!$A$7:$C$66,IF($M2649="THU",2,3),FALSE()),IFERROR(VLOOKUP(LEFT($N2649,3),LCTT_MAP!$A$7:$C$66,IF($M2649="THU",2,3),FALSE()),IFERROR(VLOOKUP(LEFT($N2649,2),LCTT_MAP!$A$7:$C$66,IF($M2649="THU",2,3),FALSE()),IFERROR(VLOOKUP(LEFT($N2649,1),LCTT_MAP!$A$7:$C$66,IF($M2649="THU",2,3),FALSE()),IF($M2649="THU","06","07")))))))</f>
        <v/>
      </c>
      <c r="P2649" s="117">
        <f>P2648+IF(AND($H2649&lt;&gt;"",OR(LEFT($F2649,LEN(SC_TK))=SC_TK,LEFT($G2649,LEN(SC_TK))=SC_TK)),1,0)</f>
        <v/>
      </c>
    </row>
    <row r="2650" ht="15" customHeight="1" s="78">
      <c r="A2650" s="95">
        <f>IF($H2650="","",ROW()-6)</f>
        <v/>
      </c>
      <c r="B2650" s="114" t="n"/>
      <c r="C2650" s="102" t="n"/>
      <c r="D2650" s="114" t="n"/>
      <c r="E2650" s="103" t="n"/>
      <c r="F2650" s="102" t="n"/>
      <c r="G2650" s="102" t="n"/>
      <c r="H2650" s="115" t="n"/>
      <c r="I2650" s="102" t="n"/>
      <c r="J2650" s="102" t="n"/>
      <c r="K2650" s="103" t="n"/>
      <c r="L2650" s="116">
        <f>IF($H2650="","",TRIM(IF(COUNTIF(DMTK!$A$7:$A$250,$F2650)=0,"TK Nợ sai! ","")&amp;IF(COUNTIF(DMTK!$A$7:$A$250,$G2650)=0,"TK Có sai! ","")&amp;IF(N($H2650)&lt;=0,"Tiền phải &gt; 0! ","")&amp;IF($B2650="","Thiếu ngày! ","")&amp;IF(AND(OR(LEFT($F2650,3)="131",LEFT($G2650,3)="131",LEFT($F2650,3)="331",LEFT($G2650,3)="331"),$I2650=""),"Thiếu Mã ĐT! ","")&amp;IF(AND($I2650&lt;&gt;"",COUNTIF(DM_DT!$A$7:$A$306,$I2650)=0),"Mã ĐT chưa khai báo! ","")))</f>
        <v/>
      </c>
      <c r="M2650" s="117">
        <f>IF($H2650="","",IF(AND(OR(LEFT($F2650,3)="111",LEFT($F2650,3)="112",LEFT($F2650,3)="113"),OR(LEFT($G2650,3)="111",LEFT($G2650,3)="112",LEFT($G2650,3)="113")),"NB",IF(OR(LEFT($F2650,3)="111",LEFT($F2650,3)="112",LEFT($F2650,3)="113"),"THU",IF(OR(LEFT($G2650,3)="111",LEFT($G2650,3)="112",LEFT($G2650,3)="113"),"CHI",""))))</f>
        <v/>
      </c>
      <c r="N2650" s="117">
        <f>IF($M2650="THU",$G2650,IF($M2650="CHI",$F2650,""))</f>
        <v/>
      </c>
      <c r="O2650" s="117">
        <f>IF(OR($M2650="",$M2650="NB"),"",IF($J2650&lt;&gt;"",TEXT($J2650,"00"),IFERROR(VLOOKUP(LEFT($N2650,4),LCTT_MAP!$A$7:$C$66,IF($M2650="THU",2,3),FALSE()),IFERROR(VLOOKUP(LEFT($N2650,3),LCTT_MAP!$A$7:$C$66,IF($M2650="THU",2,3),FALSE()),IFERROR(VLOOKUP(LEFT($N2650,2),LCTT_MAP!$A$7:$C$66,IF($M2650="THU",2,3),FALSE()),IFERROR(VLOOKUP(LEFT($N2650,1),LCTT_MAP!$A$7:$C$66,IF($M2650="THU",2,3),FALSE()),IF($M2650="THU","06","07")))))))</f>
        <v/>
      </c>
      <c r="P2650" s="117">
        <f>P2649+IF(AND($H2650&lt;&gt;"",OR(LEFT($F2650,LEN(SC_TK))=SC_TK,LEFT($G2650,LEN(SC_TK))=SC_TK)),1,0)</f>
        <v/>
      </c>
    </row>
    <row r="2651" ht="15" customHeight="1" s="78">
      <c r="A2651" s="95">
        <f>IF($H2651="","",ROW()-6)</f>
        <v/>
      </c>
      <c r="B2651" s="114" t="n"/>
      <c r="C2651" s="102" t="n"/>
      <c r="D2651" s="114" t="n"/>
      <c r="E2651" s="103" t="n"/>
      <c r="F2651" s="102" t="n"/>
      <c r="G2651" s="102" t="n"/>
      <c r="H2651" s="115" t="n"/>
      <c r="I2651" s="102" t="n"/>
      <c r="J2651" s="102" t="n"/>
      <c r="K2651" s="103" t="n"/>
      <c r="L2651" s="116">
        <f>IF($H2651="","",TRIM(IF(COUNTIF(DMTK!$A$7:$A$250,$F2651)=0,"TK Nợ sai! ","")&amp;IF(COUNTIF(DMTK!$A$7:$A$250,$G2651)=0,"TK Có sai! ","")&amp;IF(N($H2651)&lt;=0,"Tiền phải &gt; 0! ","")&amp;IF($B2651="","Thiếu ngày! ","")&amp;IF(AND(OR(LEFT($F2651,3)="131",LEFT($G2651,3)="131",LEFT($F2651,3)="331",LEFT($G2651,3)="331"),$I2651=""),"Thiếu Mã ĐT! ","")&amp;IF(AND($I2651&lt;&gt;"",COUNTIF(DM_DT!$A$7:$A$306,$I2651)=0),"Mã ĐT chưa khai báo! ","")))</f>
        <v/>
      </c>
      <c r="M2651" s="117">
        <f>IF($H2651="","",IF(AND(OR(LEFT($F2651,3)="111",LEFT($F2651,3)="112",LEFT($F2651,3)="113"),OR(LEFT($G2651,3)="111",LEFT($G2651,3)="112",LEFT($G2651,3)="113")),"NB",IF(OR(LEFT($F2651,3)="111",LEFT($F2651,3)="112",LEFT($F2651,3)="113"),"THU",IF(OR(LEFT($G2651,3)="111",LEFT($G2651,3)="112",LEFT($G2651,3)="113"),"CHI",""))))</f>
        <v/>
      </c>
      <c r="N2651" s="117">
        <f>IF($M2651="THU",$G2651,IF($M2651="CHI",$F2651,""))</f>
        <v/>
      </c>
      <c r="O2651" s="117">
        <f>IF(OR($M2651="",$M2651="NB"),"",IF($J2651&lt;&gt;"",TEXT($J2651,"00"),IFERROR(VLOOKUP(LEFT($N2651,4),LCTT_MAP!$A$7:$C$66,IF($M2651="THU",2,3),FALSE()),IFERROR(VLOOKUP(LEFT($N2651,3),LCTT_MAP!$A$7:$C$66,IF($M2651="THU",2,3),FALSE()),IFERROR(VLOOKUP(LEFT($N2651,2),LCTT_MAP!$A$7:$C$66,IF($M2651="THU",2,3),FALSE()),IFERROR(VLOOKUP(LEFT($N2651,1),LCTT_MAP!$A$7:$C$66,IF($M2651="THU",2,3),FALSE()),IF($M2651="THU","06","07")))))))</f>
        <v/>
      </c>
      <c r="P2651" s="117">
        <f>P2650+IF(AND($H2651&lt;&gt;"",OR(LEFT($F2651,LEN(SC_TK))=SC_TK,LEFT($G2651,LEN(SC_TK))=SC_TK)),1,0)</f>
        <v/>
      </c>
    </row>
    <row r="2652" ht="15" customHeight="1" s="78">
      <c r="A2652" s="95">
        <f>IF($H2652="","",ROW()-6)</f>
        <v/>
      </c>
      <c r="B2652" s="114" t="n"/>
      <c r="C2652" s="102" t="n"/>
      <c r="D2652" s="114" t="n"/>
      <c r="E2652" s="103" t="n"/>
      <c r="F2652" s="102" t="n"/>
      <c r="G2652" s="102" t="n"/>
      <c r="H2652" s="115" t="n"/>
      <c r="I2652" s="102" t="n"/>
      <c r="J2652" s="102" t="n"/>
      <c r="K2652" s="103" t="n"/>
      <c r="L2652" s="116">
        <f>IF($H2652="","",TRIM(IF(COUNTIF(DMTK!$A$7:$A$250,$F2652)=0,"TK Nợ sai! ","")&amp;IF(COUNTIF(DMTK!$A$7:$A$250,$G2652)=0,"TK Có sai! ","")&amp;IF(N($H2652)&lt;=0,"Tiền phải &gt; 0! ","")&amp;IF($B2652="","Thiếu ngày! ","")&amp;IF(AND(OR(LEFT($F2652,3)="131",LEFT($G2652,3)="131",LEFT($F2652,3)="331",LEFT($G2652,3)="331"),$I2652=""),"Thiếu Mã ĐT! ","")&amp;IF(AND($I2652&lt;&gt;"",COUNTIF(DM_DT!$A$7:$A$306,$I2652)=0),"Mã ĐT chưa khai báo! ","")))</f>
        <v/>
      </c>
      <c r="M2652" s="117">
        <f>IF($H2652="","",IF(AND(OR(LEFT($F2652,3)="111",LEFT($F2652,3)="112",LEFT($F2652,3)="113"),OR(LEFT($G2652,3)="111",LEFT($G2652,3)="112",LEFT($G2652,3)="113")),"NB",IF(OR(LEFT($F2652,3)="111",LEFT($F2652,3)="112",LEFT($F2652,3)="113"),"THU",IF(OR(LEFT($G2652,3)="111",LEFT($G2652,3)="112",LEFT($G2652,3)="113"),"CHI",""))))</f>
        <v/>
      </c>
      <c r="N2652" s="117">
        <f>IF($M2652="THU",$G2652,IF($M2652="CHI",$F2652,""))</f>
        <v/>
      </c>
      <c r="O2652" s="117">
        <f>IF(OR($M2652="",$M2652="NB"),"",IF($J2652&lt;&gt;"",TEXT($J2652,"00"),IFERROR(VLOOKUP(LEFT($N2652,4),LCTT_MAP!$A$7:$C$66,IF($M2652="THU",2,3),FALSE()),IFERROR(VLOOKUP(LEFT($N2652,3),LCTT_MAP!$A$7:$C$66,IF($M2652="THU",2,3),FALSE()),IFERROR(VLOOKUP(LEFT($N2652,2),LCTT_MAP!$A$7:$C$66,IF($M2652="THU",2,3),FALSE()),IFERROR(VLOOKUP(LEFT($N2652,1),LCTT_MAP!$A$7:$C$66,IF($M2652="THU",2,3),FALSE()),IF($M2652="THU","06","07")))))))</f>
        <v/>
      </c>
      <c r="P2652" s="117">
        <f>P2651+IF(AND($H2652&lt;&gt;"",OR(LEFT($F2652,LEN(SC_TK))=SC_TK,LEFT($G2652,LEN(SC_TK))=SC_TK)),1,0)</f>
        <v/>
      </c>
    </row>
    <row r="2653" ht="15" customHeight="1" s="78">
      <c r="A2653" s="95">
        <f>IF($H2653="","",ROW()-6)</f>
        <v/>
      </c>
      <c r="B2653" s="114" t="n"/>
      <c r="C2653" s="102" t="n"/>
      <c r="D2653" s="114" t="n"/>
      <c r="E2653" s="103" t="n"/>
      <c r="F2653" s="102" t="n"/>
      <c r="G2653" s="102" t="n"/>
      <c r="H2653" s="115" t="n"/>
      <c r="I2653" s="102" t="n"/>
      <c r="J2653" s="102" t="n"/>
      <c r="K2653" s="103" t="n"/>
      <c r="L2653" s="116">
        <f>IF($H2653="","",TRIM(IF(COUNTIF(DMTK!$A$7:$A$250,$F2653)=0,"TK Nợ sai! ","")&amp;IF(COUNTIF(DMTK!$A$7:$A$250,$G2653)=0,"TK Có sai! ","")&amp;IF(N($H2653)&lt;=0,"Tiền phải &gt; 0! ","")&amp;IF($B2653="","Thiếu ngày! ","")&amp;IF(AND(OR(LEFT($F2653,3)="131",LEFT($G2653,3)="131",LEFT($F2653,3)="331",LEFT($G2653,3)="331"),$I2653=""),"Thiếu Mã ĐT! ","")&amp;IF(AND($I2653&lt;&gt;"",COUNTIF(DM_DT!$A$7:$A$306,$I2653)=0),"Mã ĐT chưa khai báo! ","")))</f>
        <v/>
      </c>
      <c r="M2653" s="117">
        <f>IF($H2653="","",IF(AND(OR(LEFT($F2653,3)="111",LEFT($F2653,3)="112",LEFT($F2653,3)="113"),OR(LEFT($G2653,3)="111",LEFT($G2653,3)="112",LEFT($G2653,3)="113")),"NB",IF(OR(LEFT($F2653,3)="111",LEFT($F2653,3)="112",LEFT($F2653,3)="113"),"THU",IF(OR(LEFT($G2653,3)="111",LEFT($G2653,3)="112",LEFT($G2653,3)="113"),"CHI",""))))</f>
        <v/>
      </c>
      <c r="N2653" s="117">
        <f>IF($M2653="THU",$G2653,IF($M2653="CHI",$F2653,""))</f>
        <v/>
      </c>
      <c r="O2653" s="117">
        <f>IF(OR($M2653="",$M2653="NB"),"",IF($J2653&lt;&gt;"",TEXT($J2653,"00"),IFERROR(VLOOKUP(LEFT($N2653,4),LCTT_MAP!$A$7:$C$66,IF($M2653="THU",2,3),FALSE()),IFERROR(VLOOKUP(LEFT($N2653,3),LCTT_MAP!$A$7:$C$66,IF($M2653="THU",2,3),FALSE()),IFERROR(VLOOKUP(LEFT($N2653,2),LCTT_MAP!$A$7:$C$66,IF($M2653="THU",2,3),FALSE()),IFERROR(VLOOKUP(LEFT($N2653,1),LCTT_MAP!$A$7:$C$66,IF($M2653="THU",2,3),FALSE()),IF($M2653="THU","06","07")))))))</f>
        <v/>
      </c>
      <c r="P2653" s="117">
        <f>P2652+IF(AND($H2653&lt;&gt;"",OR(LEFT($F2653,LEN(SC_TK))=SC_TK,LEFT($G2653,LEN(SC_TK))=SC_TK)),1,0)</f>
        <v/>
      </c>
    </row>
    <row r="2654" ht="15" customHeight="1" s="78">
      <c r="A2654" s="95">
        <f>IF($H2654="","",ROW()-6)</f>
        <v/>
      </c>
      <c r="B2654" s="114" t="n"/>
      <c r="C2654" s="102" t="n"/>
      <c r="D2654" s="114" t="n"/>
      <c r="E2654" s="103" t="n"/>
      <c r="F2654" s="102" t="n"/>
      <c r="G2654" s="102" t="n"/>
      <c r="H2654" s="115" t="n"/>
      <c r="I2654" s="102" t="n"/>
      <c r="J2654" s="102" t="n"/>
      <c r="K2654" s="103" t="n"/>
      <c r="L2654" s="116">
        <f>IF($H2654="","",TRIM(IF(COUNTIF(DMTK!$A$7:$A$250,$F2654)=0,"TK Nợ sai! ","")&amp;IF(COUNTIF(DMTK!$A$7:$A$250,$G2654)=0,"TK Có sai! ","")&amp;IF(N($H2654)&lt;=0,"Tiền phải &gt; 0! ","")&amp;IF($B2654="","Thiếu ngày! ","")&amp;IF(AND(OR(LEFT($F2654,3)="131",LEFT($G2654,3)="131",LEFT($F2654,3)="331",LEFT($G2654,3)="331"),$I2654=""),"Thiếu Mã ĐT! ","")&amp;IF(AND($I2654&lt;&gt;"",COUNTIF(DM_DT!$A$7:$A$306,$I2654)=0),"Mã ĐT chưa khai báo! ","")))</f>
        <v/>
      </c>
      <c r="M2654" s="117">
        <f>IF($H2654="","",IF(AND(OR(LEFT($F2654,3)="111",LEFT($F2654,3)="112",LEFT($F2654,3)="113"),OR(LEFT($G2654,3)="111",LEFT($G2654,3)="112",LEFT($G2654,3)="113")),"NB",IF(OR(LEFT($F2654,3)="111",LEFT($F2654,3)="112",LEFT($F2654,3)="113"),"THU",IF(OR(LEFT($G2654,3)="111",LEFT($G2654,3)="112",LEFT($G2654,3)="113"),"CHI",""))))</f>
        <v/>
      </c>
      <c r="N2654" s="117">
        <f>IF($M2654="THU",$G2654,IF($M2654="CHI",$F2654,""))</f>
        <v/>
      </c>
      <c r="O2654" s="117">
        <f>IF(OR($M2654="",$M2654="NB"),"",IF($J2654&lt;&gt;"",TEXT($J2654,"00"),IFERROR(VLOOKUP(LEFT($N2654,4),LCTT_MAP!$A$7:$C$66,IF($M2654="THU",2,3),FALSE()),IFERROR(VLOOKUP(LEFT($N2654,3),LCTT_MAP!$A$7:$C$66,IF($M2654="THU",2,3),FALSE()),IFERROR(VLOOKUP(LEFT($N2654,2),LCTT_MAP!$A$7:$C$66,IF($M2654="THU",2,3),FALSE()),IFERROR(VLOOKUP(LEFT($N2654,1),LCTT_MAP!$A$7:$C$66,IF($M2654="THU",2,3),FALSE()),IF($M2654="THU","06","07")))))))</f>
        <v/>
      </c>
      <c r="P2654" s="117">
        <f>P2653+IF(AND($H2654&lt;&gt;"",OR(LEFT($F2654,LEN(SC_TK))=SC_TK,LEFT($G2654,LEN(SC_TK))=SC_TK)),1,0)</f>
        <v/>
      </c>
    </row>
    <row r="2655" ht="15" customHeight="1" s="78">
      <c r="A2655" s="95">
        <f>IF($H2655="","",ROW()-6)</f>
        <v/>
      </c>
      <c r="B2655" s="114" t="n"/>
      <c r="C2655" s="102" t="n"/>
      <c r="D2655" s="114" t="n"/>
      <c r="E2655" s="103" t="n"/>
      <c r="F2655" s="102" t="n"/>
      <c r="G2655" s="102" t="n"/>
      <c r="H2655" s="115" t="n"/>
      <c r="I2655" s="102" t="n"/>
      <c r="J2655" s="102" t="n"/>
      <c r="K2655" s="103" t="n"/>
      <c r="L2655" s="116">
        <f>IF($H2655="","",TRIM(IF(COUNTIF(DMTK!$A$7:$A$250,$F2655)=0,"TK Nợ sai! ","")&amp;IF(COUNTIF(DMTK!$A$7:$A$250,$G2655)=0,"TK Có sai! ","")&amp;IF(N($H2655)&lt;=0,"Tiền phải &gt; 0! ","")&amp;IF($B2655="","Thiếu ngày! ","")&amp;IF(AND(OR(LEFT($F2655,3)="131",LEFT($G2655,3)="131",LEFT($F2655,3)="331",LEFT($G2655,3)="331"),$I2655=""),"Thiếu Mã ĐT! ","")&amp;IF(AND($I2655&lt;&gt;"",COUNTIF(DM_DT!$A$7:$A$306,$I2655)=0),"Mã ĐT chưa khai báo! ","")))</f>
        <v/>
      </c>
      <c r="M2655" s="117">
        <f>IF($H2655="","",IF(AND(OR(LEFT($F2655,3)="111",LEFT($F2655,3)="112",LEFT($F2655,3)="113"),OR(LEFT($G2655,3)="111",LEFT($G2655,3)="112",LEFT($G2655,3)="113")),"NB",IF(OR(LEFT($F2655,3)="111",LEFT($F2655,3)="112",LEFT($F2655,3)="113"),"THU",IF(OR(LEFT($G2655,3)="111",LEFT($G2655,3)="112",LEFT($G2655,3)="113"),"CHI",""))))</f>
        <v/>
      </c>
      <c r="N2655" s="117">
        <f>IF($M2655="THU",$G2655,IF($M2655="CHI",$F2655,""))</f>
        <v/>
      </c>
      <c r="O2655" s="117">
        <f>IF(OR($M2655="",$M2655="NB"),"",IF($J2655&lt;&gt;"",TEXT($J2655,"00"),IFERROR(VLOOKUP(LEFT($N2655,4),LCTT_MAP!$A$7:$C$66,IF($M2655="THU",2,3),FALSE()),IFERROR(VLOOKUP(LEFT($N2655,3),LCTT_MAP!$A$7:$C$66,IF($M2655="THU",2,3),FALSE()),IFERROR(VLOOKUP(LEFT($N2655,2),LCTT_MAP!$A$7:$C$66,IF($M2655="THU",2,3),FALSE()),IFERROR(VLOOKUP(LEFT($N2655,1),LCTT_MAP!$A$7:$C$66,IF($M2655="THU",2,3),FALSE()),IF($M2655="THU","06","07")))))))</f>
        <v/>
      </c>
      <c r="P2655" s="117">
        <f>P2654+IF(AND($H2655&lt;&gt;"",OR(LEFT($F2655,LEN(SC_TK))=SC_TK,LEFT($G2655,LEN(SC_TK))=SC_TK)),1,0)</f>
        <v/>
      </c>
    </row>
    <row r="2656" ht="15" customHeight="1" s="78">
      <c r="A2656" s="95">
        <f>IF($H2656="","",ROW()-6)</f>
        <v/>
      </c>
      <c r="B2656" s="114" t="n"/>
      <c r="C2656" s="102" t="n"/>
      <c r="D2656" s="114" t="n"/>
      <c r="E2656" s="103" t="n"/>
      <c r="F2656" s="102" t="n"/>
      <c r="G2656" s="102" t="n"/>
      <c r="H2656" s="115" t="n"/>
      <c r="I2656" s="102" t="n"/>
      <c r="J2656" s="102" t="n"/>
      <c r="K2656" s="103" t="n"/>
      <c r="L2656" s="116">
        <f>IF($H2656="","",TRIM(IF(COUNTIF(DMTK!$A$7:$A$250,$F2656)=0,"TK Nợ sai! ","")&amp;IF(COUNTIF(DMTK!$A$7:$A$250,$G2656)=0,"TK Có sai! ","")&amp;IF(N($H2656)&lt;=0,"Tiền phải &gt; 0! ","")&amp;IF($B2656="","Thiếu ngày! ","")&amp;IF(AND(OR(LEFT($F2656,3)="131",LEFT($G2656,3)="131",LEFT($F2656,3)="331",LEFT($G2656,3)="331"),$I2656=""),"Thiếu Mã ĐT! ","")&amp;IF(AND($I2656&lt;&gt;"",COUNTIF(DM_DT!$A$7:$A$306,$I2656)=0),"Mã ĐT chưa khai báo! ","")))</f>
        <v/>
      </c>
      <c r="M2656" s="117">
        <f>IF($H2656="","",IF(AND(OR(LEFT($F2656,3)="111",LEFT($F2656,3)="112",LEFT($F2656,3)="113"),OR(LEFT($G2656,3)="111",LEFT($G2656,3)="112",LEFT($G2656,3)="113")),"NB",IF(OR(LEFT($F2656,3)="111",LEFT($F2656,3)="112",LEFT($F2656,3)="113"),"THU",IF(OR(LEFT($G2656,3)="111",LEFT($G2656,3)="112",LEFT($G2656,3)="113"),"CHI",""))))</f>
        <v/>
      </c>
      <c r="N2656" s="117">
        <f>IF($M2656="THU",$G2656,IF($M2656="CHI",$F2656,""))</f>
        <v/>
      </c>
      <c r="O2656" s="117">
        <f>IF(OR($M2656="",$M2656="NB"),"",IF($J2656&lt;&gt;"",TEXT($J2656,"00"),IFERROR(VLOOKUP(LEFT($N2656,4),LCTT_MAP!$A$7:$C$66,IF($M2656="THU",2,3),FALSE()),IFERROR(VLOOKUP(LEFT($N2656,3),LCTT_MAP!$A$7:$C$66,IF($M2656="THU",2,3),FALSE()),IFERROR(VLOOKUP(LEFT($N2656,2),LCTT_MAP!$A$7:$C$66,IF($M2656="THU",2,3),FALSE()),IFERROR(VLOOKUP(LEFT($N2656,1),LCTT_MAP!$A$7:$C$66,IF($M2656="THU",2,3),FALSE()),IF($M2656="THU","06","07")))))))</f>
        <v/>
      </c>
      <c r="P2656" s="117">
        <f>P2655+IF(AND($H2656&lt;&gt;"",OR(LEFT($F2656,LEN(SC_TK))=SC_TK,LEFT($G2656,LEN(SC_TK))=SC_TK)),1,0)</f>
        <v/>
      </c>
    </row>
    <row r="2657" ht="15" customHeight="1" s="78">
      <c r="A2657" s="95">
        <f>IF($H2657="","",ROW()-6)</f>
        <v/>
      </c>
      <c r="B2657" s="114" t="n"/>
      <c r="C2657" s="102" t="n"/>
      <c r="D2657" s="114" t="n"/>
      <c r="E2657" s="103" t="n"/>
      <c r="F2657" s="102" t="n"/>
      <c r="G2657" s="102" t="n"/>
      <c r="H2657" s="115" t="n"/>
      <c r="I2657" s="102" t="n"/>
      <c r="J2657" s="102" t="n"/>
      <c r="K2657" s="103" t="n"/>
      <c r="L2657" s="116">
        <f>IF($H2657="","",TRIM(IF(COUNTIF(DMTK!$A$7:$A$250,$F2657)=0,"TK Nợ sai! ","")&amp;IF(COUNTIF(DMTK!$A$7:$A$250,$G2657)=0,"TK Có sai! ","")&amp;IF(N($H2657)&lt;=0,"Tiền phải &gt; 0! ","")&amp;IF($B2657="","Thiếu ngày! ","")&amp;IF(AND(OR(LEFT($F2657,3)="131",LEFT($G2657,3)="131",LEFT($F2657,3)="331",LEFT($G2657,3)="331"),$I2657=""),"Thiếu Mã ĐT! ","")&amp;IF(AND($I2657&lt;&gt;"",COUNTIF(DM_DT!$A$7:$A$306,$I2657)=0),"Mã ĐT chưa khai báo! ","")))</f>
        <v/>
      </c>
      <c r="M2657" s="117">
        <f>IF($H2657="","",IF(AND(OR(LEFT($F2657,3)="111",LEFT($F2657,3)="112",LEFT($F2657,3)="113"),OR(LEFT($G2657,3)="111",LEFT($G2657,3)="112",LEFT($G2657,3)="113")),"NB",IF(OR(LEFT($F2657,3)="111",LEFT($F2657,3)="112",LEFT($F2657,3)="113"),"THU",IF(OR(LEFT($G2657,3)="111",LEFT($G2657,3)="112",LEFT($G2657,3)="113"),"CHI",""))))</f>
        <v/>
      </c>
      <c r="N2657" s="117">
        <f>IF($M2657="THU",$G2657,IF($M2657="CHI",$F2657,""))</f>
        <v/>
      </c>
      <c r="O2657" s="117">
        <f>IF(OR($M2657="",$M2657="NB"),"",IF($J2657&lt;&gt;"",TEXT($J2657,"00"),IFERROR(VLOOKUP(LEFT($N2657,4),LCTT_MAP!$A$7:$C$66,IF($M2657="THU",2,3),FALSE()),IFERROR(VLOOKUP(LEFT($N2657,3),LCTT_MAP!$A$7:$C$66,IF($M2657="THU",2,3),FALSE()),IFERROR(VLOOKUP(LEFT($N2657,2),LCTT_MAP!$A$7:$C$66,IF($M2657="THU",2,3),FALSE()),IFERROR(VLOOKUP(LEFT($N2657,1),LCTT_MAP!$A$7:$C$66,IF($M2657="THU",2,3),FALSE()),IF($M2657="THU","06","07")))))))</f>
        <v/>
      </c>
      <c r="P2657" s="117">
        <f>P2656+IF(AND($H2657&lt;&gt;"",OR(LEFT($F2657,LEN(SC_TK))=SC_TK,LEFT($G2657,LEN(SC_TK))=SC_TK)),1,0)</f>
        <v/>
      </c>
    </row>
    <row r="2658" ht="15" customHeight="1" s="78">
      <c r="A2658" s="95">
        <f>IF($H2658="","",ROW()-6)</f>
        <v/>
      </c>
      <c r="B2658" s="114" t="n"/>
      <c r="C2658" s="102" t="n"/>
      <c r="D2658" s="114" t="n"/>
      <c r="E2658" s="103" t="n"/>
      <c r="F2658" s="102" t="n"/>
      <c r="G2658" s="102" t="n"/>
      <c r="H2658" s="115" t="n"/>
      <c r="I2658" s="102" t="n"/>
      <c r="J2658" s="102" t="n"/>
      <c r="K2658" s="103" t="n"/>
      <c r="L2658" s="116">
        <f>IF($H2658="","",TRIM(IF(COUNTIF(DMTK!$A$7:$A$250,$F2658)=0,"TK Nợ sai! ","")&amp;IF(COUNTIF(DMTK!$A$7:$A$250,$G2658)=0,"TK Có sai! ","")&amp;IF(N($H2658)&lt;=0,"Tiền phải &gt; 0! ","")&amp;IF($B2658="","Thiếu ngày! ","")&amp;IF(AND(OR(LEFT($F2658,3)="131",LEFT($G2658,3)="131",LEFT($F2658,3)="331",LEFT($G2658,3)="331"),$I2658=""),"Thiếu Mã ĐT! ","")&amp;IF(AND($I2658&lt;&gt;"",COUNTIF(DM_DT!$A$7:$A$306,$I2658)=0),"Mã ĐT chưa khai báo! ","")))</f>
        <v/>
      </c>
      <c r="M2658" s="117">
        <f>IF($H2658="","",IF(AND(OR(LEFT($F2658,3)="111",LEFT($F2658,3)="112",LEFT($F2658,3)="113"),OR(LEFT($G2658,3)="111",LEFT($G2658,3)="112",LEFT($G2658,3)="113")),"NB",IF(OR(LEFT($F2658,3)="111",LEFT($F2658,3)="112",LEFT($F2658,3)="113"),"THU",IF(OR(LEFT($G2658,3)="111",LEFT($G2658,3)="112",LEFT($G2658,3)="113"),"CHI",""))))</f>
        <v/>
      </c>
      <c r="N2658" s="117">
        <f>IF($M2658="THU",$G2658,IF($M2658="CHI",$F2658,""))</f>
        <v/>
      </c>
      <c r="O2658" s="117">
        <f>IF(OR($M2658="",$M2658="NB"),"",IF($J2658&lt;&gt;"",TEXT($J2658,"00"),IFERROR(VLOOKUP(LEFT($N2658,4),LCTT_MAP!$A$7:$C$66,IF($M2658="THU",2,3),FALSE()),IFERROR(VLOOKUP(LEFT($N2658,3),LCTT_MAP!$A$7:$C$66,IF($M2658="THU",2,3),FALSE()),IFERROR(VLOOKUP(LEFT($N2658,2),LCTT_MAP!$A$7:$C$66,IF($M2658="THU",2,3),FALSE()),IFERROR(VLOOKUP(LEFT($N2658,1),LCTT_MAP!$A$7:$C$66,IF($M2658="THU",2,3),FALSE()),IF($M2658="THU","06","07")))))))</f>
        <v/>
      </c>
      <c r="P2658" s="117">
        <f>P2657+IF(AND($H2658&lt;&gt;"",OR(LEFT($F2658,LEN(SC_TK))=SC_TK,LEFT($G2658,LEN(SC_TK))=SC_TK)),1,0)</f>
        <v/>
      </c>
    </row>
    <row r="2659" ht="15" customHeight="1" s="78">
      <c r="A2659" s="95">
        <f>IF($H2659="","",ROW()-6)</f>
        <v/>
      </c>
      <c r="B2659" s="114" t="n"/>
      <c r="C2659" s="102" t="n"/>
      <c r="D2659" s="114" t="n"/>
      <c r="E2659" s="103" t="n"/>
      <c r="F2659" s="102" t="n"/>
      <c r="G2659" s="102" t="n"/>
      <c r="H2659" s="115" t="n"/>
      <c r="I2659" s="102" t="n"/>
      <c r="J2659" s="102" t="n"/>
      <c r="K2659" s="103" t="n"/>
      <c r="L2659" s="116">
        <f>IF($H2659="","",TRIM(IF(COUNTIF(DMTK!$A$7:$A$250,$F2659)=0,"TK Nợ sai! ","")&amp;IF(COUNTIF(DMTK!$A$7:$A$250,$G2659)=0,"TK Có sai! ","")&amp;IF(N($H2659)&lt;=0,"Tiền phải &gt; 0! ","")&amp;IF($B2659="","Thiếu ngày! ","")&amp;IF(AND(OR(LEFT($F2659,3)="131",LEFT($G2659,3)="131",LEFT($F2659,3)="331",LEFT($G2659,3)="331"),$I2659=""),"Thiếu Mã ĐT! ","")&amp;IF(AND($I2659&lt;&gt;"",COUNTIF(DM_DT!$A$7:$A$306,$I2659)=0),"Mã ĐT chưa khai báo! ","")))</f>
        <v/>
      </c>
      <c r="M2659" s="117">
        <f>IF($H2659="","",IF(AND(OR(LEFT($F2659,3)="111",LEFT($F2659,3)="112",LEFT($F2659,3)="113"),OR(LEFT($G2659,3)="111",LEFT($G2659,3)="112",LEFT($G2659,3)="113")),"NB",IF(OR(LEFT($F2659,3)="111",LEFT($F2659,3)="112",LEFT($F2659,3)="113"),"THU",IF(OR(LEFT($G2659,3)="111",LEFT($G2659,3)="112",LEFT($G2659,3)="113"),"CHI",""))))</f>
        <v/>
      </c>
      <c r="N2659" s="117">
        <f>IF($M2659="THU",$G2659,IF($M2659="CHI",$F2659,""))</f>
        <v/>
      </c>
      <c r="O2659" s="117">
        <f>IF(OR($M2659="",$M2659="NB"),"",IF($J2659&lt;&gt;"",TEXT($J2659,"00"),IFERROR(VLOOKUP(LEFT($N2659,4),LCTT_MAP!$A$7:$C$66,IF($M2659="THU",2,3),FALSE()),IFERROR(VLOOKUP(LEFT($N2659,3),LCTT_MAP!$A$7:$C$66,IF($M2659="THU",2,3),FALSE()),IFERROR(VLOOKUP(LEFT($N2659,2),LCTT_MAP!$A$7:$C$66,IF($M2659="THU",2,3),FALSE()),IFERROR(VLOOKUP(LEFT($N2659,1),LCTT_MAP!$A$7:$C$66,IF($M2659="THU",2,3),FALSE()),IF($M2659="THU","06","07")))))))</f>
        <v/>
      </c>
      <c r="P2659" s="117">
        <f>P2658+IF(AND($H2659&lt;&gt;"",OR(LEFT($F2659,LEN(SC_TK))=SC_TK,LEFT($G2659,LEN(SC_TK))=SC_TK)),1,0)</f>
        <v/>
      </c>
    </row>
    <row r="2660" ht="15" customHeight="1" s="78">
      <c r="A2660" s="95">
        <f>IF($H2660="","",ROW()-6)</f>
        <v/>
      </c>
      <c r="B2660" s="114" t="n"/>
      <c r="C2660" s="102" t="n"/>
      <c r="D2660" s="114" t="n"/>
      <c r="E2660" s="103" t="n"/>
      <c r="F2660" s="102" t="n"/>
      <c r="G2660" s="102" t="n"/>
      <c r="H2660" s="115" t="n"/>
      <c r="I2660" s="102" t="n"/>
      <c r="J2660" s="102" t="n"/>
      <c r="K2660" s="103" t="n"/>
      <c r="L2660" s="116">
        <f>IF($H2660="","",TRIM(IF(COUNTIF(DMTK!$A$7:$A$250,$F2660)=0,"TK Nợ sai! ","")&amp;IF(COUNTIF(DMTK!$A$7:$A$250,$G2660)=0,"TK Có sai! ","")&amp;IF(N($H2660)&lt;=0,"Tiền phải &gt; 0! ","")&amp;IF($B2660="","Thiếu ngày! ","")&amp;IF(AND(OR(LEFT($F2660,3)="131",LEFT($G2660,3)="131",LEFT($F2660,3)="331",LEFT($G2660,3)="331"),$I2660=""),"Thiếu Mã ĐT! ","")&amp;IF(AND($I2660&lt;&gt;"",COUNTIF(DM_DT!$A$7:$A$306,$I2660)=0),"Mã ĐT chưa khai báo! ","")))</f>
        <v/>
      </c>
      <c r="M2660" s="117">
        <f>IF($H2660="","",IF(AND(OR(LEFT($F2660,3)="111",LEFT($F2660,3)="112",LEFT($F2660,3)="113"),OR(LEFT($G2660,3)="111",LEFT($G2660,3)="112",LEFT($G2660,3)="113")),"NB",IF(OR(LEFT($F2660,3)="111",LEFT($F2660,3)="112",LEFT($F2660,3)="113"),"THU",IF(OR(LEFT($G2660,3)="111",LEFT($G2660,3)="112",LEFT($G2660,3)="113"),"CHI",""))))</f>
        <v/>
      </c>
      <c r="N2660" s="117">
        <f>IF($M2660="THU",$G2660,IF($M2660="CHI",$F2660,""))</f>
        <v/>
      </c>
      <c r="O2660" s="117">
        <f>IF(OR($M2660="",$M2660="NB"),"",IF($J2660&lt;&gt;"",TEXT($J2660,"00"),IFERROR(VLOOKUP(LEFT($N2660,4),LCTT_MAP!$A$7:$C$66,IF($M2660="THU",2,3),FALSE()),IFERROR(VLOOKUP(LEFT($N2660,3),LCTT_MAP!$A$7:$C$66,IF($M2660="THU",2,3),FALSE()),IFERROR(VLOOKUP(LEFT($N2660,2),LCTT_MAP!$A$7:$C$66,IF($M2660="THU",2,3),FALSE()),IFERROR(VLOOKUP(LEFT($N2660,1),LCTT_MAP!$A$7:$C$66,IF($M2660="THU",2,3),FALSE()),IF($M2660="THU","06","07")))))))</f>
        <v/>
      </c>
      <c r="P2660" s="117">
        <f>P2659+IF(AND($H2660&lt;&gt;"",OR(LEFT($F2660,LEN(SC_TK))=SC_TK,LEFT($G2660,LEN(SC_TK))=SC_TK)),1,0)</f>
        <v/>
      </c>
    </row>
    <row r="2661" ht="15" customHeight="1" s="78">
      <c r="A2661" s="95">
        <f>IF($H2661="","",ROW()-6)</f>
        <v/>
      </c>
      <c r="B2661" s="114" t="n"/>
      <c r="C2661" s="102" t="n"/>
      <c r="D2661" s="114" t="n"/>
      <c r="E2661" s="103" t="n"/>
      <c r="F2661" s="102" t="n"/>
      <c r="G2661" s="102" t="n"/>
      <c r="H2661" s="115" t="n"/>
      <c r="I2661" s="102" t="n"/>
      <c r="J2661" s="102" t="n"/>
      <c r="K2661" s="103" t="n"/>
      <c r="L2661" s="116">
        <f>IF($H2661="","",TRIM(IF(COUNTIF(DMTK!$A$7:$A$250,$F2661)=0,"TK Nợ sai! ","")&amp;IF(COUNTIF(DMTK!$A$7:$A$250,$G2661)=0,"TK Có sai! ","")&amp;IF(N($H2661)&lt;=0,"Tiền phải &gt; 0! ","")&amp;IF($B2661="","Thiếu ngày! ","")&amp;IF(AND(OR(LEFT($F2661,3)="131",LEFT($G2661,3)="131",LEFT($F2661,3)="331",LEFT($G2661,3)="331"),$I2661=""),"Thiếu Mã ĐT! ","")&amp;IF(AND($I2661&lt;&gt;"",COUNTIF(DM_DT!$A$7:$A$306,$I2661)=0),"Mã ĐT chưa khai báo! ","")))</f>
        <v/>
      </c>
      <c r="M2661" s="117">
        <f>IF($H2661="","",IF(AND(OR(LEFT($F2661,3)="111",LEFT($F2661,3)="112",LEFT($F2661,3)="113"),OR(LEFT($G2661,3)="111",LEFT($G2661,3)="112",LEFT($G2661,3)="113")),"NB",IF(OR(LEFT($F2661,3)="111",LEFT($F2661,3)="112",LEFT($F2661,3)="113"),"THU",IF(OR(LEFT($G2661,3)="111",LEFT($G2661,3)="112",LEFT($G2661,3)="113"),"CHI",""))))</f>
        <v/>
      </c>
      <c r="N2661" s="117">
        <f>IF($M2661="THU",$G2661,IF($M2661="CHI",$F2661,""))</f>
        <v/>
      </c>
      <c r="O2661" s="117">
        <f>IF(OR($M2661="",$M2661="NB"),"",IF($J2661&lt;&gt;"",TEXT($J2661,"00"),IFERROR(VLOOKUP(LEFT($N2661,4),LCTT_MAP!$A$7:$C$66,IF($M2661="THU",2,3),FALSE()),IFERROR(VLOOKUP(LEFT($N2661,3),LCTT_MAP!$A$7:$C$66,IF($M2661="THU",2,3),FALSE()),IFERROR(VLOOKUP(LEFT($N2661,2),LCTT_MAP!$A$7:$C$66,IF($M2661="THU",2,3),FALSE()),IFERROR(VLOOKUP(LEFT($N2661,1),LCTT_MAP!$A$7:$C$66,IF($M2661="THU",2,3),FALSE()),IF($M2661="THU","06","07")))))))</f>
        <v/>
      </c>
      <c r="P2661" s="117">
        <f>P2660+IF(AND($H2661&lt;&gt;"",OR(LEFT($F2661,LEN(SC_TK))=SC_TK,LEFT($G2661,LEN(SC_TK))=SC_TK)),1,0)</f>
        <v/>
      </c>
    </row>
    <row r="2662" ht="15" customHeight="1" s="78">
      <c r="A2662" s="95">
        <f>IF($H2662="","",ROW()-6)</f>
        <v/>
      </c>
      <c r="B2662" s="114" t="n"/>
      <c r="C2662" s="102" t="n"/>
      <c r="D2662" s="114" t="n"/>
      <c r="E2662" s="103" t="n"/>
      <c r="F2662" s="102" t="n"/>
      <c r="G2662" s="102" t="n"/>
      <c r="H2662" s="115" t="n"/>
      <c r="I2662" s="102" t="n"/>
      <c r="J2662" s="102" t="n"/>
      <c r="K2662" s="103" t="n"/>
      <c r="L2662" s="116">
        <f>IF($H2662="","",TRIM(IF(COUNTIF(DMTK!$A$7:$A$250,$F2662)=0,"TK Nợ sai! ","")&amp;IF(COUNTIF(DMTK!$A$7:$A$250,$G2662)=0,"TK Có sai! ","")&amp;IF(N($H2662)&lt;=0,"Tiền phải &gt; 0! ","")&amp;IF($B2662="","Thiếu ngày! ","")&amp;IF(AND(OR(LEFT($F2662,3)="131",LEFT($G2662,3)="131",LEFT($F2662,3)="331",LEFT($G2662,3)="331"),$I2662=""),"Thiếu Mã ĐT! ","")&amp;IF(AND($I2662&lt;&gt;"",COUNTIF(DM_DT!$A$7:$A$306,$I2662)=0),"Mã ĐT chưa khai báo! ","")))</f>
        <v/>
      </c>
      <c r="M2662" s="117">
        <f>IF($H2662="","",IF(AND(OR(LEFT($F2662,3)="111",LEFT($F2662,3)="112",LEFT($F2662,3)="113"),OR(LEFT($G2662,3)="111",LEFT($G2662,3)="112",LEFT($G2662,3)="113")),"NB",IF(OR(LEFT($F2662,3)="111",LEFT($F2662,3)="112",LEFT($F2662,3)="113"),"THU",IF(OR(LEFT($G2662,3)="111",LEFT($G2662,3)="112",LEFT($G2662,3)="113"),"CHI",""))))</f>
        <v/>
      </c>
      <c r="N2662" s="117">
        <f>IF($M2662="THU",$G2662,IF($M2662="CHI",$F2662,""))</f>
        <v/>
      </c>
      <c r="O2662" s="117">
        <f>IF(OR($M2662="",$M2662="NB"),"",IF($J2662&lt;&gt;"",TEXT($J2662,"00"),IFERROR(VLOOKUP(LEFT($N2662,4),LCTT_MAP!$A$7:$C$66,IF($M2662="THU",2,3),FALSE()),IFERROR(VLOOKUP(LEFT($N2662,3),LCTT_MAP!$A$7:$C$66,IF($M2662="THU",2,3),FALSE()),IFERROR(VLOOKUP(LEFT($N2662,2),LCTT_MAP!$A$7:$C$66,IF($M2662="THU",2,3),FALSE()),IFERROR(VLOOKUP(LEFT($N2662,1),LCTT_MAP!$A$7:$C$66,IF($M2662="THU",2,3),FALSE()),IF($M2662="THU","06","07")))))))</f>
        <v/>
      </c>
      <c r="P2662" s="117">
        <f>P2661+IF(AND($H2662&lt;&gt;"",OR(LEFT($F2662,LEN(SC_TK))=SC_TK,LEFT($G2662,LEN(SC_TK))=SC_TK)),1,0)</f>
        <v/>
      </c>
    </row>
    <row r="2663" ht="15" customHeight="1" s="78">
      <c r="A2663" s="95">
        <f>IF($H2663="","",ROW()-6)</f>
        <v/>
      </c>
      <c r="B2663" s="114" t="n"/>
      <c r="C2663" s="102" t="n"/>
      <c r="D2663" s="114" t="n"/>
      <c r="E2663" s="103" t="n"/>
      <c r="F2663" s="102" t="n"/>
      <c r="G2663" s="102" t="n"/>
      <c r="H2663" s="115" t="n"/>
      <c r="I2663" s="102" t="n"/>
      <c r="J2663" s="102" t="n"/>
      <c r="K2663" s="103" t="n"/>
      <c r="L2663" s="116">
        <f>IF($H2663="","",TRIM(IF(COUNTIF(DMTK!$A$7:$A$250,$F2663)=0,"TK Nợ sai! ","")&amp;IF(COUNTIF(DMTK!$A$7:$A$250,$G2663)=0,"TK Có sai! ","")&amp;IF(N($H2663)&lt;=0,"Tiền phải &gt; 0! ","")&amp;IF($B2663="","Thiếu ngày! ","")&amp;IF(AND(OR(LEFT($F2663,3)="131",LEFT($G2663,3)="131",LEFT($F2663,3)="331",LEFT($G2663,3)="331"),$I2663=""),"Thiếu Mã ĐT! ","")&amp;IF(AND($I2663&lt;&gt;"",COUNTIF(DM_DT!$A$7:$A$306,$I2663)=0),"Mã ĐT chưa khai báo! ","")))</f>
        <v/>
      </c>
      <c r="M2663" s="117">
        <f>IF($H2663="","",IF(AND(OR(LEFT($F2663,3)="111",LEFT($F2663,3)="112",LEFT($F2663,3)="113"),OR(LEFT($G2663,3)="111",LEFT($G2663,3)="112",LEFT($G2663,3)="113")),"NB",IF(OR(LEFT($F2663,3)="111",LEFT($F2663,3)="112",LEFT($F2663,3)="113"),"THU",IF(OR(LEFT($G2663,3)="111",LEFT($G2663,3)="112",LEFT($G2663,3)="113"),"CHI",""))))</f>
        <v/>
      </c>
      <c r="N2663" s="117">
        <f>IF($M2663="THU",$G2663,IF($M2663="CHI",$F2663,""))</f>
        <v/>
      </c>
      <c r="O2663" s="117">
        <f>IF(OR($M2663="",$M2663="NB"),"",IF($J2663&lt;&gt;"",TEXT($J2663,"00"),IFERROR(VLOOKUP(LEFT($N2663,4),LCTT_MAP!$A$7:$C$66,IF($M2663="THU",2,3),FALSE()),IFERROR(VLOOKUP(LEFT($N2663,3),LCTT_MAP!$A$7:$C$66,IF($M2663="THU",2,3),FALSE()),IFERROR(VLOOKUP(LEFT($N2663,2),LCTT_MAP!$A$7:$C$66,IF($M2663="THU",2,3),FALSE()),IFERROR(VLOOKUP(LEFT($N2663,1),LCTT_MAP!$A$7:$C$66,IF($M2663="THU",2,3),FALSE()),IF($M2663="THU","06","07")))))))</f>
        <v/>
      </c>
      <c r="P2663" s="117">
        <f>P2662+IF(AND($H2663&lt;&gt;"",OR(LEFT($F2663,LEN(SC_TK))=SC_TK,LEFT($G2663,LEN(SC_TK))=SC_TK)),1,0)</f>
        <v/>
      </c>
    </row>
    <row r="2664" ht="15" customHeight="1" s="78">
      <c r="A2664" s="95">
        <f>IF($H2664="","",ROW()-6)</f>
        <v/>
      </c>
      <c r="B2664" s="114" t="n"/>
      <c r="C2664" s="102" t="n"/>
      <c r="D2664" s="114" t="n"/>
      <c r="E2664" s="103" t="n"/>
      <c r="F2664" s="102" t="n"/>
      <c r="G2664" s="102" t="n"/>
      <c r="H2664" s="115" t="n"/>
      <c r="I2664" s="102" t="n"/>
      <c r="J2664" s="102" t="n"/>
      <c r="K2664" s="103" t="n"/>
      <c r="L2664" s="116">
        <f>IF($H2664="","",TRIM(IF(COUNTIF(DMTK!$A$7:$A$250,$F2664)=0,"TK Nợ sai! ","")&amp;IF(COUNTIF(DMTK!$A$7:$A$250,$G2664)=0,"TK Có sai! ","")&amp;IF(N($H2664)&lt;=0,"Tiền phải &gt; 0! ","")&amp;IF($B2664="","Thiếu ngày! ","")&amp;IF(AND(OR(LEFT($F2664,3)="131",LEFT($G2664,3)="131",LEFT($F2664,3)="331",LEFT($G2664,3)="331"),$I2664=""),"Thiếu Mã ĐT! ","")&amp;IF(AND($I2664&lt;&gt;"",COUNTIF(DM_DT!$A$7:$A$306,$I2664)=0),"Mã ĐT chưa khai báo! ","")))</f>
        <v/>
      </c>
      <c r="M2664" s="117">
        <f>IF($H2664="","",IF(AND(OR(LEFT($F2664,3)="111",LEFT($F2664,3)="112",LEFT($F2664,3)="113"),OR(LEFT($G2664,3)="111",LEFT($G2664,3)="112",LEFT($G2664,3)="113")),"NB",IF(OR(LEFT($F2664,3)="111",LEFT($F2664,3)="112",LEFT($F2664,3)="113"),"THU",IF(OR(LEFT($G2664,3)="111",LEFT($G2664,3)="112",LEFT($G2664,3)="113"),"CHI",""))))</f>
        <v/>
      </c>
      <c r="N2664" s="117">
        <f>IF($M2664="THU",$G2664,IF($M2664="CHI",$F2664,""))</f>
        <v/>
      </c>
      <c r="O2664" s="117">
        <f>IF(OR($M2664="",$M2664="NB"),"",IF($J2664&lt;&gt;"",TEXT($J2664,"00"),IFERROR(VLOOKUP(LEFT($N2664,4),LCTT_MAP!$A$7:$C$66,IF($M2664="THU",2,3),FALSE()),IFERROR(VLOOKUP(LEFT($N2664,3),LCTT_MAP!$A$7:$C$66,IF($M2664="THU",2,3),FALSE()),IFERROR(VLOOKUP(LEFT($N2664,2),LCTT_MAP!$A$7:$C$66,IF($M2664="THU",2,3),FALSE()),IFERROR(VLOOKUP(LEFT($N2664,1),LCTT_MAP!$A$7:$C$66,IF($M2664="THU",2,3),FALSE()),IF($M2664="THU","06","07")))))))</f>
        <v/>
      </c>
      <c r="P2664" s="117">
        <f>P2663+IF(AND($H2664&lt;&gt;"",OR(LEFT($F2664,LEN(SC_TK))=SC_TK,LEFT($G2664,LEN(SC_TK))=SC_TK)),1,0)</f>
        <v/>
      </c>
    </row>
    <row r="2665" ht="15" customHeight="1" s="78">
      <c r="A2665" s="95">
        <f>IF($H2665="","",ROW()-6)</f>
        <v/>
      </c>
      <c r="B2665" s="114" t="n"/>
      <c r="C2665" s="102" t="n"/>
      <c r="D2665" s="114" t="n"/>
      <c r="E2665" s="103" t="n"/>
      <c r="F2665" s="102" t="n"/>
      <c r="G2665" s="102" t="n"/>
      <c r="H2665" s="115" t="n"/>
      <c r="I2665" s="102" t="n"/>
      <c r="J2665" s="102" t="n"/>
      <c r="K2665" s="103" t="n"/>
      <c r="L2665" s="116">
        <f>IF($H2665="","",TRIM(IF(COUNTIF(DMTK!$A$7:$A$250,$F2665)=0,"TK Nợ sai! ","")&amp;IF(COUNTIF(DMTK!$A$7:$A$250,$G2665)=0,"TK Có sai! ","")&amp;IF(N($H2665)&lt;=0,"Tiền phải &gt; 0! ","")&amp;IF($B2665="","Thiếu ngày! ","")&amp;IF(AND(OR(LEFT($F2665,3)="131",LEFT($G2665,3)="131",LEFT($F2665,3)="331",LEFT($G2665,3)="331"),$I2665=""),"Thiếu Mã ĐT! ","")&amp;IF(AND($I2665&lt;&gt;"",COUNTIF(DM_DT!$A$7:$A$306,$I2665)=0),"Mã ĐT chưa khai báo! ","")))</f>
        <v/>
      </c>
      <c r="M2665" s="117">
        <f>IF($H2665="","",IF(AND(OR(LEFT($F2665,3)="111",LEFT($F2665,3)="112",LEFT($F2665,3)="113"),OR(LEFT($G2665,3)="111",LEFT($G2665,3)="112",LEFT($G2665,3)="113")),"NB",IF(OR(LEFT($F2665,3)="111",LEFT($F2665,3)="112",LEFT($F2665,3)="113"),"THU",IF(OR(LEFT($G2665,3)="111",LEFT($G2665,3)="112",LEFT($G2665,3)="113"),"CHI",""))))</f>
        <v/>
      </c>
      <c r="N2665" s="117">
        <f>IF($M2665="THU",$G2665,IF($M2665="CHI",$F2665,""))</f>
        <v/>
      </c>
      <c r="O2665" s="117">
        <f>IF(OR($M2665="",$M2665="NB"),"",IF($J2665&lt;&gt;"",TEXT($J2665,"00"),IFERROR(VLOOKUP(LEFT($N2665,4),LCTT_MAP!$A$7:$C$66,IF($M2665="THU",2,3),FALSE()),IFERROR(VLOOKUP(LEFT($N2665,3),LCTT_MAP!$A$7:$C$66,IF($M2665="THU",2,3),FALSE()),IFERROR(VLOOKUP(LEFT($N2665,2),LCTT_MAP!$A$7:$C$66,IF($M2665="THU",2,3),FALSE()),IFERROR(VLOOKUP(LEFT($N2665,1),LCTT_MAP!$A$7:$C$66,IF($M2665="THU",2,3),FALSE()),IF($M2665="THU","06","07")))))))</f>
        <v/>
      </c>
      <c r="P2665" s="117">
        <f>P2664+IF(AND($H2665&lt;&gt;"",OR(LEFT($F2665,LEN(SC_TK))=SC_TK,LEFT($G2665,LEN(SC_TK))=SC_TK)),1,0)</f>
        <v/>
      </c>
    </row>
    <row r="2666" ht="15" customHeight="1" s="78">
      <c r="A2666" s="95">
        <f>IF($H2666="","",ROW()-6)</f>
        <v/>
      </c>
      <c r="B2666" s="114" t="n"/>
      <c r="C2666" s="102" t="n"/>
      <c r="D2666" s="114" t="n"/>
      <c r="E2666" s="103" t="n"/>
      <c r="F2666" s="102" t="n"/>
      <c r="G2666" s="102" t="n"/>
      <c r="H2666" s="115" t="n"/>
      <c r="I2666" s="102" t="n"/>
      <c r="J2666" s="102" t="n"/>
      <c r="K2666" s="103" t="n"/>
      <c r="L2666" s="116">
        <f>IF($H2666="","",TRIM(IF(COUNTIF(DMTK!$A$7:$A$250,$F2666)=0,"TK Nợ sai! ","")&amp;IF(COUNTIF(DMTK!$A$7:$A$250,$G2666)=0,"TK Có sai! ","")&amp;IF(N($H2666)&lt;=0,"Tiền phải &gt; 0! ","")&amp;IF($B2666="","Thiếu ngày! ","")&amp;IF(AND(OR(LEFT($F2666,3)="131",LEFT($G2666,3)="131",LEFT($F2666,3)="331",LEFT($G2666,3)="331"),$I2666=""),"Thiếu Mã ĐT! ","")&amp;IF(AND($I2666&lt;&gt;"",COUNTIF(DM_DT!$A$7:$A$306,$I2666)=0),"Mã ĐT chưa khai báo! ","")))</f>
        <v/>
      </c>
      <c r="M2666" s="117">
        <f>IF($H2666="","",IF(AND(OR(LEFT($F2666,3)="111",LEFT($F2666,3)="112",LEFT($F2666,3)="113"),OR(LEFT($G2666,3)="111",LEFT($G2666,3)="112",LEFT($G2666,3)="113")),"NB",IF(OR(LEFT($F2666,3)="111",LEFT($F2666,3)="112",LEFT($F2666,3)="113"),"THU",IF(OR(LEFT($G2666,3)="111",LEFT($G2666,3)="112",LEFT($G2666,3)="113"),"CHI",""))))</f>
        <v/>
      </c>
      <c r="N2666" s="117">
        <f>IF($M2666="THU",$G2666,IF($M2666="CHI",$F2666,""))</f>
        <v/>
      </c>
      <c r="O2666" s="117">
        <f>IF(OR($M2666="",$M2666="NB"),"",IF($J2666&lt;&gt;"",TEXT($J2666,"00"),IFERROR(VLOOKUP(LEFT($N2666,4),LCTT_MAP!$A$7:$C$66,IF($M2666="THU",2,3),FALSE()),IFERROR(VLOOKUP(LEFT($N2666,3),LCTT_MAP!$A$7:$C$66,IF($M2666="THU",2,3),FALSE()),IFERROR(VLOOKUP(LEFT($N2666,2),LCTT_MAP!$A$7:$C$66,IF($M2666="THU",2,3),FALSE()),IFERROR(VLOOKUP(LEFT($N2666,1),LCTT_MAP!$A$7:$C$66,IF($M2666="THU",2,3),FALSE()),IF($M2666="THU","06","07")))))))</f>
        <v/>
      </c>
      <c r="P2666" s="117">
        <f>P2665+IF(AND($H2666&lt;&gt;"",OR(LEFT($F2666,LEN(SC_TK))=SC_TK,LEFT($G2666,LEN(SC_TK))=SC_TK)),1,0)</f>
        <v/>
      </c>
    </row>
    <row r="2667" ht="15" customHeight="1" s="78">
      <c r="A2667" s="95">
        <f>IF($H2667="","",ROW()-6)</f>
        <v/>
      </c>
      <c r="B2667" s="114" t="n"/>
      <c r="C2667" s="102" t="n"/>
      <c r="D2667" s="114" t="n"/>
      <c r="E2667" s="103" t="n"/>
      <c r="F2667" s="102" t="n"/>
      <c r="G2667" s="102" t="n"/>
      <c r="H2667" s="115" t="n"/>
      <c r="I2667" s="102" t="n"/>
      <c r="J2667" s="102" t="n"/>
      <c r="K2667" s="103" t="n"/>
      <c r="L2667" s="116">
        <f>IF($H2667="","",TRIM(IF(COUNTIF(DMTK!$A$7:$A$250,$F2667)=0,"TK Nợ sai! ","")&amp;IF(COUNTIF(DMTK!$A$7:$A$250,$G2667)=0,"TK Có sai! ","")&amp;IF(N($H2667)&lt;=0,"Tiền phải &gt; 0! ","")&amp;IF($B2667="","Thiếu ngày! ","")&amp;IF(AND(OR(LEFT($F2667,3)="131",LEFT($G2667,3)="131",LEFT($F2667,3)="331",LEFT($G2667,3)="331"),$I2667=""),"Thiếu Mã ĐT! ","")&amp;IF(AND($I2667&lt;&gt;"",COUNTIF(DM_DT!$A$7:$A$306,$I2667)=0),"Mã ĐT chưa khai báo! ","")))</f>
        <v/>
      </c>
      <c r="M2667" s="117">
        <f>IF($H2667="","",IF(AND(OR(LEFT($F2667,3)="111",LEFT($F2667,3)="112",LEFT($F2667,3)="113"),OR(LEFT($G2667,3)="111",LEFT($G2667,3)="112",LEFT($G2667,3)="113")),"NB",IF(OR(LEFT($F2667,3)="111",LEFT($F2667,3)="112",LEFT($F2667,3)="113"),"THU",IF(OR(LEFT($G2667,3)="111",LEFT($G2667,3)="112",LEFT($G2667,3)="113"),"CHI",""))))</f>
        <v/>
      </c>
      <c r="N2667" s="117">
        <f>IF($M2667="THU",$G2667,IF($M2667="CHI",$F2667,""))</f>
        <v/>
      </c>
      <c r="O2667" s="117">
        <f>IF(OR($M2667="",$M2667="NB"),"",IF($J2667&lt;&gt;"",TEXT($J2667,"00"),IFERROR(VLOOKUP(LEFT($N2667,4),LCTT_MAP!$A$7:$C$66,IF($M2667="THU",2,3),FALSE()),IFERROR(VLOOKUP(LEFT($N2667,3),LCTT_MAP!$A$7:$C$66,IF($M2667="THU",2,3),FALSE()),IFERROR(VLOOKUP(LEFT($N2667,2),LCTT_MAP!$A$7:$C$66,IF($M2667="THU",2,3),FALSE()),IFERROR(VLOOKUP(LEFT($N2667,1),LCTT_MAP!$A$7:$C$66,IF($M2667="THU",2,3),FALSE()),IF($M2667="THU","06","07")))))))</f>
        <v/>
      </c>
      <c r="P2667" s="117">
        <f>P2666+IF(AND($H2667&lt;&gt;"",OR(LEFT($F2667,LEN(SC_TK))=SC_TK,LEFT($G2667,LEN(SC_TK))=SC_TK)),1,0)</f>
        <v/>
      </c>
    </row>
    <row r="2668" ht="15" customHeight="1" s="78">
      <c r="A2668" s="95">
        <f>IF($H2668="","",ROW()-6)</f>
        <v/>
      </c>
      <c r="B2668" s="114" t="n"/>
      <c r="C2668" s="102" t="n"/>
      <c r="D2668" s="114" t="n"/>
      <c r="E2668" s="103" t="n"/>
      <c r="F2668" s="102" t="n"/>
      <c r="G2668" s="102" t="n"/>
      <c r="H2668" s="115" t="n"/>
      <c r="I2668" s="102" t="n"/>
      <c r="J2668" s="102" t="n"/>
      <c r="K2668" s="103" t="n"/>
      <c r="L2668" s="116">
        <f>IF($H2668="","",TRIM(IF(COUNTIF(DMTK!$A$7:$A$250,$F2668)=0,"TK Nợ sai! ","")&amp;IF(COUNTIF(DMTK!$A$7:$A$250,$G2668)=0,"TK Có sai! ","")&amp;IF(N($H2668)&lt;=0,"Tiền phải &gt; 0! ","")&amp;IF($B2668="","Thiếu ngày! ","")&amp;IF(AND(OR(LEFT($F2668,3)="131",LEFT($G2668,3)="131",LEFT($F2668,3)="331",LEFT($G2668,3)="331"),$I2668=""),"Thiếu Mã ĐT! ","")&amp;IF(AND($I2668&lt;&gt;"",COUNTIF(DM_DT!$A$7:$A$306,$I2668)=0),"Mã ĐT chưa khai báo! ","")))</f>
        <v/>
      </c>
      <c r="M2668" s="117">
        <f>IF($H2668="","",IF(AND(OR(LEFT($F2668,3)="111",LEFT($F2668,3)="112",LEFT($F2668,3)="113"),OR(LEFT($G2668,3)="111",LEFT($G2668,3)="112",LEFT($G2668,3)="113")),"NB",IF(OR(LEFT($F2668,3)="111",LEFT($F2668,3)="112",LEFT($F2668,3)="113"),"THU",IF(OR(LEFT($G2668,3)="111",LEFT($G2668,3)="112",LEFT($G2668,3)="113"),"CHI",""))))</f>
        <v/>
      </c>
      <c r="N2668" s="117">
        <f>IF($M2668="THU",$G2668,IF($M2668="CHI",$F2668,""))</f>
        <v/>
      </c>
      <c r="O2668" s="117">
        <f>IF(OR($M2668="",$M2668="NB"),"",IF($J2668&lt;&gt;"",TEXT($J2668,"00"),IFERROR(VLOOKUP(LEFT($N2668,4),LCTT_MAP!$A$7:$C$66,IF($M2668="THU",2,3),FALSE()),IFERROR(VLOOKUP(LEFT($N2668,3),LCTT_MAP!$A$7:$C$66,IF($M2668="THU",2,3),FALSE()),IFERROR(VLOOKUP(LEFT($N2668,2),LCTT_MAP!$A$7:$C$66,IF($M2668="THU",2,3),FALSE()),IFERROR(VLOOKUP(LEFT($N2668,1),LCTT_MAP!$A$7:$C$66,IF($M2668="THU",2,3),FALSE()),IF($M2668="THU","06","07")))))))</f>
        <v/>
      </c>
      <c r="P2668" s="117">
        <f>P2667+IF(AND($H2668&lt;&gt;"",OR(LEFT($F2668,LEN(SC_TK))=SC_TK,LEFT($G2668,LEN(SC_TK))=SC_TK)),1,0)</f>
        <v/>
      </c>
    </row>
    <row r="2669" ht="15" customHeight="1" s="78">
      <c r="A2669" s="95">
        <f>IF($H2669="","",ROW()-6)</f>
        <v/>
      </c>
      <c r="B2669" s="114" t="n"/>
      <c r="C2669" s="102" t="n"/>
      <c r="D2669" s="114" t="n"/>
      <c r="E2669" s="103" t="n"/>
      <c r="F2669" s="102" t="n"/>
      <c r="G2669" s="102" t="n"/>
      <c r="H2669" s="115" t="n"/>
      <c r="I2669" s="102" t="n"/>
      <c r="J2669" s="102" t="n"/>
      <c r="K2669" s="103" t="n"/>
      <c r="L2669" s="116">
        <f>IF($H2669="","",TRIM(IF(COUNTIF(DMTK!$A$7:$A$250,$F2669)=0,"TK Nợ sai! ","")&amp;IF(COUNTIF(DMTK!$A$7:$A$250,$G2669)=0,"TK Có sai! ","")&amp;IF(N($H2669)&lt;=0,"Tiền phải &gt; 0! ","")&amp;IF($B2669="","Thiếu ngày! ","")&amp;IF(AND(OR(LEFT($F2669,3)="131",LEFT($G2669,3)="131",LEFT($F2669,3)="331",LEFT($G2669,3)="331"),$I2669=""),"Thiếu Mã ĐT! ","")&amp;IF(AND($I2669&lt;&gt;"",COUNTIF(DM_DT!$A$7:$A$306,$I2669)=0),"Mã ĐT chưa khai báo! ","")))</f>
        <v/>
      </c>
      <c r="M2669" s="117">
        <f>IF($H2669="","",IF(AND(OR(LEFT($F2669,3)="111",LEFT($F2669,3)="112",LEFT($F2669,3)="113"),OR(LEFT($G2669,3)="111",LEFT($G2669,3)="112",LEFT($G2669,3)="113")),"NB",IF(OR(LEFT($F2669,3)="111",LEFT($F2669,3)="112",LEFT($F2669,3)="113"),"THU",IF(OR(LEFT($G2669,3)="111",LEFT($G2669,3)="112",LEFT($G2669,3)="113"),"CHI",""))))</f>
        <v/>
      </c>
      <c r="N2669" s="117">
        <f>IF($M2669="THU",$G2669,IF($M2669="CHI",$F2669,""))</f>
        <v/>
      </c>
      <c r="O2669" s="117">
        <f>IF(OR($M2669="",$M2669="NB"),"",IF($J2669&lt;&gt;"",TEXT($J2669,"00"),IFERROR(VLOOKUP(LEFT($N2669,4),LCTT_MAP!$A$7:$C$66,IF($M2669="THU",2,3),FALSE()),IFERROR(VLOOKUP(LEFT($N2669,3),LCTT_MAP!$A$7:$C$66,IF($M2669="THU",2,3),FALSE()),IFERROR(VLOOKUP(LEFT($N2669,2),LCTT_MAP!$A$7:$C$66,IF($M2669="THU",2,3),FALSE()),IFERROR(VLOOKUP(LEFT($N2669,1),LCTT_MAP!$A$7:$C$66,IF($M2669="THU",2,3),FALSE()),IF($M2669="THU","06","07")))))))</f>
        <v/>
      </c>
      <c r="P2669" s="117">
        <f>P2668+IF(AND($H2669&lt;&gt;"",OR(LEFT($F2669,LEN(SC_TK))=SC_TK,LEFT($G2669,LEN(SC_TK))=SC_TK)),1,0)</f>
        <v/>
      </c>
    </row>
    <row r="2670" ht="15" customHeight="1" s="78">
      <c r="A2670" s="95">
        <f>IF($H2670="","",ROW()-6)</f>
        <v/>
      </c>
      <c r="B2670" s="114" t="n"/>
      <c r="C2670" s="102" t="n"/>
      <c r="D2670" s="114" t="n"/>
      <c r="E2670" s="103" t="n"/>
      <c r="F2670" s="102" t="n"/>
      <c r="G2670" s="102" t="n"/>
      <c r="H2670" s="115" t="n"/>
      <c r="I2670" s="102" t="n"/>
      <c r="J2670" s="102" t="n"/>
      <c r="K2670" s="103" t="n"/>
      <c r="L2670" s="116">
        <f>IF($H2670="","",TRIM(IF(COUNTIF(DMTK!$A$7:$A$250,$F2670)=0,"TK Nợ sai! ","")&amp;IF(COUNTIF(DMTK!$A$7:$A$250,$G2670)=0,"TK Có sai! ","")&amp;IF(N($H2670)&lt;=0,"Tiền phải &gt; 0! ","")&amp;IF($B2670="","Thiếu ngày! ","")&amp;IF(AND(OR(LEFT($F2670,3)="131",LEFT($G2670,3)="131",LEFT($F2670,3)="331",LEFT($G2670,3)="331"),$I2670=""),"Thiếu Mã ĐT! ","")&amp;IF(AND($I2670&lt;&gt;"",COUNTIF(DM_DT!$A$7:$A$306,$I2670)=0),"Mã ĐT chưa khai báo! ","")))</f>
        <v/>
      </c>
      <c r="M2670" s="117">
        <f>IF($H2670="","",IF(AND(OR(LEFT($F2670,3)="111",LEFT($F2670,3)="112",LEFT($F2670,3)="113"),OR(LEFT($G2670,3)="111",LEFT($G2670,3)="112",LEFT($G2670,3)="113")),"NB",IF(OR(LEFT($F2670,3)="111",LEFT($F2670,3)="112",LEFT($F2670,3)="113"),"THU",IF(OR(LEFT($G2670,3)="111",LEFT($G2670,3)="112",LEFT($G2670,3)="113"),"CHI",""))))</f>
        <v/>
      </c>
      <c r="N2670" s="117">
        <f>IF($M2670="THU",$G2670,IF($M2670="CHI",$F2670,""))</f>
        <v/>
      </c>
      <c r="O2670" s="117">
        <f>IF(OR($M2670="",$M2670="NB"),"",IF($J2670&lt;&gt;"",TEXT($J2670,"00"),IFERROR(VLOOKUP(LEFT($N2670,4),LCTT_MAP!$A$7:$C$66,IF($M2670="THU",2,3),FALSE()),IFERROR(VLOOKUP(LEFT($N2670,3),LCTT_MAP!$A$7:$C$66,IF($M2670="THU",2,3),FALSE()),IFERROR(VLOOKUP(LEFT($N2670,2),LCTT_MAP!$A$7:$C$66,IF($M2670="THU",2,3),FALSE()),IFERROR(VLOOKUP(LEFT($N2670,1),LCTT_MAP!$A$7:$C$66,IF($M2670="THU",2,3),FALSE()),IF($M2670="THU","06","07")))))))</f>
        <v/>
      </c>
      <c r="P2670" s="117">
        <f>P2669+IF(AND($H2670&lt;&gt;"",OR(LEFT($F2670,LEN(SC_TK))=SC_TK,LEFT($G2670,LEN(SC_TK))=SC_TK)),1,0)</f>
        <v/>
      </c>
    </row>
    <row r="2671" ht="15" customHeight="1" s="78">
      <c r="A2671" s="95">
        <f>IF($H2671="","",ROW()-6)</f>
        <v/>
      </c>
      <c r="B2671" s="114" t="n"/>
      <c r="C2671" s="102" t="n"/>
      <c r="D2671" s="114" t="n"/>
      <c r="E2671" s="103" t="n"/>
      <c r="F2671" s="102" t="n"/>
      <c r="G2671" s="102" t="n"/>
      <c r="H2671" s="115" t="n"/>
      <c r="I2671" s="102" t="n"/>
      <c r="J2671" s="102" t="n"/>
      <c r="K2671" s="103" t="n"/>
      <c r="L2671" s="116">
        <f>IF($H2671="","",TRIM(IF(COUNTIF(DMTK!$A$7:$A$250,$F2671)=0,"TK Nợ sai! ","")&amp;IF(COUNTIF(DMTK!$A$7:$A$250,$G2671)=0,"TK Có sai! ","")&amp;IF(N($H2671)&lt;=0,"Tiền phải &gt; 0! ","")&amp;IF($B2671="","Thiếu ngày! ","")&amp;IF(AND(OR(LEFT($F2671,3)="131",LEFT($G2671,3)="131",LEFT($F2671,3)="331",LEFT($G2671,3)="331"),$I2671=""),"Thiếu Mã ĐT! ","")&amp;IF(AND($I2671&lt;&gt;"",COUNTIF(DM_DT!$A$7:$A$306,$I2671)=0),"Mã ĐT chưa khai báo! ","")))</f>
        <v/>
      </c>
      <c r="M2671" s="117">
        <f>IF($H2671="","",IF(AND(OR(LEFT($F2671,3)="111",LEFT($F2671,3)="112",LEFT($F2671,3)="113"),OR(LEFT($G2671,3)="111",LEFT($G2671,3)="112",LEFT($G2671,3)="113")),"NB",IF(OR(LEFT($F2671,3)="111",LEFT($F2671,3)="112",LEFT($F2671,3)="113"),"THU",IF(OR(LEFT($G2671,3)="111",LEFT($G2671,3)="112",LEFT($G2671,3)="113"),"CHI",""))))</f>
        <v/>
      </c>
      <c r="N2671" s="117">
        <f>IF($M2671="THU",$G2671,IF($M2671="CHI",$F2671,""))</f>
        <v/>
      </c>
      <c r="O2671" s="117">
        <f>IF(OR($M2671="",$M2671="NB"),"",IF($J2671&lt;&gt;"",TEXT($J2671,"00"),IFERROR(VLOOKUP(LEFT($N2671,4),LCTT_MAP!$A$7:$C$66,IF($M2671="THU",2,3),FALSE()),IFERROR(VLOOKUP(LEFT($N2671,3),LCTT_MAP!$A$7:$C$66,IF($M2671="THU",2,3),FALSE()),IFERROR(VLOOKUP(LEFT($N2671,2),LCTT_MAP!$A$7:$C$66,IF($M2671="THU",2,3),FALSE()),IFERROR(VLOOKUP(LEFT($N2671,1),LCTT_MAP!$A$7:$C$66,IF($M2671="THU",2,3),FALSE()),IF($M2671="THU","06","07")))))))</f>
        <v/>
      </c>
      <c r="P2671" s="117">
        <f>P2670+IF(AND($H2671&lt;&gt;"",OR(LEFT($F2671,LEN(SC_TK))=SC_TK,LEFT($G2671,LEN(SC_TK))=SC_TK)),1,0)</f>
        <v/>
      </c>
    </row>
    <row r="2672" ht="15" customHeight="1" s="78">
      <c r="A2672" s="95">
        <f>IF($H2672="","",ROW()-6)</f>
        <v/>
      </c>
      <c r="B2672" s="114" t="n"/>
      <c r="C2672" s="102" t="n"/>
      <c r="D2672" s="114" t="n"/>
      <c r="E2672" s="103" t="n"/>
      <c r="F2672" s="102" t="n"/>
      <c r="G2672" s="102" t="n"/>
      <c r="H2672" s="115" t="n"/>
      <c r="I2672" s="102" t="n"/>
      <c r="J2672" s="102" t="n"/>
      <c r="K2672" s="103" t="n"/>
      <c r="L2672" s="116">
        <f>IF($H2672="","",TRIM(IF(COUNTIF(DMTK!$A$7:$A$250,$F2672)=0,"TK Nợ sai! ","")&amp;IF(COUNTIF(DMTK!$A$7:$A$250,$G2672)=0,"TK Có sai! ","")&amp;IF(N($H2672)&lt;=0,"Tiền phải &gt; 0! ","")&amp;IF($B2672="","Thiếu ngày! ","")&amp;IF(AND(OR(LEFT($F2672,3)="131",LEFT($G2672,3)="131",LEFT($F2672,3)="331",LEFT($G2672,3)="331"),$I2672=""),"Thiếu Mã ĐT! ","")&amp;IF(AND($I2672&lt;&gt;"",COUNTIF(DM_DT!$A$7:$A$306,$I2672)=0),"Mã ĐT chưa khai báo! ","")))</f>
        <v/>
      </c>
      <c r="M2672" s="117">
        <f>IF($H2672="","",IF(AND(OR(LEFT($F2672,3)="111",LEFT($F2672,3)="112",LEFT($F2672,3)="113"),OR(LEFT($G2672,3)="111",LEFT($G2672,3)="112",LEFT($G2672,3)="113")),"NB",IF(OR(LEFT($F2672,3)="111",LEFT($F2672,3)="112",LEFT($F2672,3)="113"),"THU",IF(OR(LEFT($G2672,3)="111",LEFT($G2672,3)="112",LEFT($G2672,3)="113"),"CHI",""))))</f>
        <v/>
      </c>
      <c r="N2672" s="117">
        <f>IF($M2672="THU",$G2672,IF($M2672="CHI",$F2672,""))</f>
        <v/>
      </c>
      <c r="O2672" s="117">
        <f>IF(OR($M2672="",$M2672="NB"),"",IF($J2672&lt;&gt;"",TEXT($J2672,"00"),IFERROR(VLOOKUP(LEFT($N2672,4),LCTT_MAP!$A$7:$C$66,IF($M2672="THU",2,3),FALSE()),IFERROR(VLOOKUP(LEFT($N2672,3),LCTT_MAP!$A$7:$C$66,IF($M2672="THU",2,3),FALSE()),IFERROR(VLOOKUP(LEFT($N2672,2),LCTT_MAP!$A$7:$C$66,IF($M2672="THU",2,3),FALSE()),IFERROR(VLOOKUP(LEFT($N2672,1),LCTT_MAP!$A$7:$C$66,IF($M2672="THU",2,3),FALSE()),IF($M2672="THU","06","07")))))))</f>
        <v/>
      </c>
      <c r="P2672" s="117">
        <f>P2671+IF(AND($H2672&lt;&gt;"",OR(LEFT($F2672,LEN(SC_TK))=SC_TK,LEFT($G2672,LEN(SC_TK))=SC_TK)),1,0)</f>
        <v/>
      </c>
    </row>
    <row r="2673" ht="15" customHeight="1" s="78">
      <c r="A2673" s="95">
        <f>IF($H2673="","",ROW()-6)</f>
        <v/>
      </c>
      <c r="B2673" s="114" t="n"/>
      <c r="C2673" s="102" t="n"/>
      <c r="D2673" s="114" t="n"/>
      <c r="E2673" s="103" t="n"/>
      <c r="F2673" s="102" t="n"/>
      <c r="G2673" s="102" t="n"/>
      <c r="H2673" s="115" t="n"/>
      <c r="I2673" s="102" t="n"/>
      <c r="J2673" s="102" t="n"/>
      <c r="K2673" s="103" t="n"/>
      <c r="L2673" s="116">
        <f>IF($H2673="","",TRIM(IF(COUNTIF(DMTK!$A$7:$A$250,$F2673)=0,"TK Nợ sai! ","")&amp;IF(COUNTIF(DMTK!$A$7:$A$250,$G2673)=0,"TK Có sai! ","")&amp;IF(N($H2673)&lt;=0,"Tiền phải &gt; 0! ","")&amp;IF($B2673="","Thiếu ngày! ","")&amp;IF(AND(OR(LEFT($F2673,3)="131",LEFT($G2673,3)="131",LEFT($F2673,3)="331",LEFT($G2673,3)="331"),$I2673=""),"Thiếu Mã ĐT! ","")&amp;IF(AND($I2673&lt;&gt;"",COUNTIF(DM_DT!$A$7:$A$306,$I2673)=0),"Mã ĐT chưa khai báo! ","")))</f>
        <v/>
      </c>
      <c r="M2673" s="117">
        <f>IF($H2673="","",IF(AND(OR(LEFT($F2673,3)="111",LEFT($F2673,3)="112",LEFT($F2673,3)="113"),OR(LEFT($G2673,3)="111",LEFT($G2673,3)="112",LEFT($G2673,3)="113")),"NB",IF(OR(LEFT($F2673,3)="111",LEFT($F2673,3)="112",LEFT($F2673,3)="113"),"THU",IF(OR(LEFT($G2673,3)="111",LEFT($G2673,3)="112",LEFT($G2673,3)="113"),"CHI",""))))</f>
        <v/>
      </c>
      <c r="N2673" s="117">
        <f>IF($M2673="THU",$G2673,IF($M2673="CHI",$F2673,""))</f>
        <v/>
      </c>
      <c r="O2673" s="117">
        <f>IF(OR($M2673="",$M2673="NB"),"",IF($J2673&lt;&gt;"",TEXT($J2673,"00"),IFERROR(VLOOKUP(LEFT($N2673,4),LCTT_MAP!$A$7:$C$66,IF($M2673="THU",2,3),FALSE()),IFERROR(VLOOKUP(LEFT($N2673,3),LCTT_MAP!$A$7:$C$66,IF($M2673="THU",2,3),FALSE()),IFERROR(VLOOKUP(LEFT($N2673,2),LCTT_MAP!$A$7:$C$66,IF($M2673="THU",2,3),FALSE()),IFERROR(VLOOKUP(LEFT($N2673,1),LCTT_MAP!$A$7:$C$66,IF($M2673="THU",2,3),FALSE()),IF($M2673="THU","06","07")))))))</f>
        <v/>
      </c>
      <c r="P2673" s="117">
        <f>P2672+IF(AND($H2673&lt;&gt;"",OR(LEFT($F2673,LEN(SC_TK))=SC_TK,LEFT($G2673,LEN(SC_TK))=SC_TK)),1,0)</f>
        <v/>
      </c>
    </row>
    <row r="2674" ht="15" customHeight="1" s="78">
      <c r="A2674" s="95">
        <f>IF($H2674="","",ROW()-6)</f>
        <v/>
      </c>
      <c r="B2674" s="114" t="n"/>
      <c r="C2674" s="102" t="n"/>
      <c r="D2674" s="114" t="n"/>
      <c r="E2674" s="103" t="n"/>
      <c r="F2674" s="102" t="n"/>
      <c r="G2674" s="102" t="n"/>
      <c r="H2674" s="115" t="n"/>
      <c r="I2674" s="102" t="n"/>
      <c r="J2674" s="102" t="n"/>
      <c r="K2674" s="103" t="n"/>
      <c r="L2674" s="116">
        <f>IF($H2674="","",TRIM(IF(COUNTIF(DMTK!$A$7:$A$250,$F2674)=0,"TK Nợ sai! ","")&amp;IF(COUNTIF(DMTK!$A$7:$A$250,$G2674)=0,"TK Có sai! ","")&amp;IF(N($H2674)&lt;=0,"Tiền phải &gt; 0! ","")&amp;IF($B2674="","Thiếu ngày! ","")&amp;IF(AND(OR(LEFT($F2674,3)="131",LEFT($G2674,3)="131",LEFT($F2674,3)="331",LEFT($G2674,3)="331"),$I2674=""),"Thiếu Mã ĐT! ","")&amp;IF(AND($I2674&lt;&gt;"",COUNTIF(DM_DT!$A$7:$A$306,$I2674)=0),"Mã ĐT chưa khai báo! ","")))</f>
        <v/>
      </c>
      <c r="M2674" s="117">
        <f>IF($H2674="","",IF(AND(OR(LEFT($F2674,3)="111",LEFT($F2674,3)="112",LEFT($F2674,3)="113"),OR(LEFT($G2674,3)="111",LEFT($G2674,3)="112",LEFT($G2674,3)="113")),"NB",IF(OR(LEFT($F2674,3)="111",LEFT($F2674,3)="112",LEFT($F2674,3)="113"),"THU",IF(OR(LEFT($G2674,3)="111",LEFT($G2674,3)="112",LEFT($G2674,3)="113"),"CHI",""))))</f>
        <v/>
      </c>
      <c r="N2674" s="117">
        <f>IF($M2674="THU",$G2674,IF($M2674="CHI",$F2674,""))</f>
        <v/>
      </c>
      <c r="O2674" s="117">
        <f>IF(OR($M2674="",$M2674="NB"),"",IF($J2674&lt;&gt;"",TEXT($J2674,"00"),IFERROR(VLOOKUP(LEFT($N2674,4),LCTT_MAP!$A$7:$C$66,IF($M2674="THU",2,3),FALSE()),IFERROR(VLOOKUP(LEFT($N2674,3),LCTT_MAP!$A$7:$C$66,IF($M2674="THU",2,3),FALSE()),IFERROR(VLOOKUP(LEFT($N2674,2),LCTT_MAP!$A$7:$C$66,IF($M2674="THU",2,3),FALSE()),IFERROR(VLOOKUP(LEFT($N2674,1),LCTT_MAP!$A$7:$C$66,IF($M2674="THU",2,3),FALSE()),IF($M2674="THU","06","07")))))))</f>
        <v/>
      </c>
      <c r="P2674" s="117">
        <f>P2673+IF(AND($H2674&lt;&gt;"",OR(LEFT($F2674,LEN(SC_TK))=SC_TK,LEFT($G2674,LEN(SC_TK))=SC_TK)),1,0)</f>
        <v/>
      </c>
    </row>
    <row r="2675" ht="15" customHeight="1" s="78">
      <c r="A2675" s="95">
        <f>IF($H2675="","",ROW()-6)</f>
        <v/>
      </c>
      <c r="B2675" s="114" t="n"/>
      <c r="C2675" s="102" t="n"/>
      <c r="D2675" s="114" t="n"/>
      <c r="E2675" s="103" t="n"/>
      <c r="F2675" s="102" t="n"/>
      <c r="G2675" s="102" t="n"/>
      <c r="H2675" s="115" t="n"/>
      <c r="I2675" s="102" t="n"/>
      <c r="J2675" s="102" t="n"/>
      <c r="K2675" s="103" t="n"/>
      <c r="L2675" s="116">
        <f>IF($H2675="","",TRIM(IF(COUNTIF(DMTK!$A$7:$A$250,$F2675)=0,"TK Nợ sai! ","")&amp;IF(COUNTIF(DMTK!$A$7:$A$250,$G2675)=0,"TK Có sai! ","")&amp;IF(N($H2675)&lt;=0,"Tiền phải &gt; 0! ","")&amp;IF($B2675="","Thiếu ngày! ","")&amp;IF(AND(OR(LEFT($F2675,3)="131",LEFT($G2675,3)="131",LEFT($F2675,3)="331",LEFT($G2675,3)="331"),$I2675=""),"Thiếu Mã ĐT! ","")&amp;IF(AND($I2675&lt;&gt;"",COUNTIF(DM_DT!$A$7:$A$306,$I2675)=0),"Mã ĐT chưa khai báo! ","")))</f>
        <v/>
      </c>
      <c r="M2675" s="117">
        <f>IF($H2675="","",IF(AND(OR(LEFT($F2675,3)="111",LEFT($F2675,3)="112",LEFT($F2675,3)="113"),OR(LEFT($G2675,3)="111",LEFT($G2675,3)="112",LEFT($G2675,3)="113")),"NB",IF(OR(LEFT($F2675,3)="111",LEFT($F2675,3)="112",LEFT($F2675,3)="113"),"THU",IF(OR(LEFT($G2675,3)="111",LEFT($G2675,3)="112",LEFT($G2675,3)="113"),"CHI",""))))</f>
        <v/>
      </c>
      <c r="N2675" s="117">
        <f>IF($M2675="THU",$G2675,IF($M2675="CHI",$F2675,""))</f>
        <v/>
      </c>
      <c r="O2675" s="117">
        <f>IF(OR($M2675="",$M2675="NB"),"",IF($J2675&lt;&gt;"",TEXT($J2675,"00"),IFERROR(VLOOKUP(LEFT($N2675,4),LCTT_MAP!$A$7:$C$66,IF($M2675="THU",2,3),FALSE()),IFERROR(VLOOKUP(LEFT($N2675,3),LCTT_MAP!$A$7:$C$66,IF($M2675="THU",2,3),FALSE()),IFERROR(VLOOKUP(LEFT($N2675,2),LCTT_MAP!$A$7:$C$66,IF($M2675="THU",2,3),FALSE()),IFERROR(VLOOKUP(LEFT($N2675,1),LCTT_MAP!$A$7:$C$66,IF($M2675="THU",2,3),FALSE()),IF($M2675="THU","06","07")))))))</f>
        <v/>
      </c>
      <c r="P2675" s="117">
        <f>P2674+IF(AND($H2675&lt;&gt;"",OR(LEFT($F2675,LEN(SC_TK))=SC_TK,LEFT($G2675,LEN(SC_TK))=SC_TK)),1,0)</f>
        <v/>
      </c>
    </row>
    <row r="2676" ht="15" customHeight="1" s="78">
      <c r="A2676" s="95">
        <f>IF($H2676="","",ROW()-6)</f>
        <v/>
      </c>
      <c r="B2676" s="114" t="n"/>
      <c r="C2676" s="102" t="n"/>
      <c r="D2676" s="114" t="n"/>
      <c r="E2676" s="103" t="n"/>
      <c r="F2676" s="102" t="n"/>
      <c r="G2676" s="102" t="n"/>
      <c r="H2676" s="115" t="n"/>
      <c r="I2676" s="102" t="n"/>
      <c r="J2676" s="102" t="n"/>
      <c r="K2676" s="103" t="n"/>
      <c r="L2676" s="116">
        <f>IF($H2676="","",TRIM(IF(COUNTIF(DMTK!$A$7:$A$250,$F2676)=0,"TK Nợ sai! ","")&amp;IF(COUNTIF(DMTK!$A$7:$A$250,$G2676)=0,"TK Có sai! ","")&amp;IF(N($H2676)&lt;=0,"Tiền phải &gt; 0! ","")&amp;IF($B2676="","Thiếu ngày! ","")&amp;IF(AND(OR(LEFT($F2676,3)="131",LEFT($G2676,3)="131",LEFT($F2676,3)="331",LEFT($G2676,3)="331"),$I2676=""),"Thiếu Mã ĐT! ","")&amp;IF(AND($I2676&lt;&gt;"",COUNTIF(DM_DT!$A$7:$A$306,$I2676)=0),"Mã ĐT chưa khai báo! ","")))</f>
        <v/>
      </c>
      <c r="M2676" s="117">
        <f>IF($H2676="","",IF(AND(OR(LEFT($F2676,3)="111",LEFT($F2676,3)="112",LEFT($F2676,3)="113"),OR(LEFT($G2676,3)="111",LEFT($G2676,3)="112",LEFT($G2676,3)="113")),"NB",IF(OR(LEFT($F2676,3)="111",LEFT($F2676,3)="112",LEFT($F2676,3)="113"),"THU",IF(OR(LEFT($G2676,3)="111",LEFT($G2676,3)="112",LEFT($G2676,3)="113"),"CHI",""))))</f>
        <v/>
      </c>
      <c r="N2676" s="117">
        <f>IF($M2676="THU",$G2676,IF($M2676="CHI",$F2676,""))</f>
        <v/>
      </c>
      <c r="O2676" s="117">
        <f>IF(OR($M2676="",$M2676="NB"),"",IF($J2676&lt;&gt;"",TEXT($J2676,"00"),IFERROR(VLOOKUP(LEFT($N2676,4),LCTT_MAP!$A$7:$C$66,IF($M2676="THU",2,3),FALSE()),IFERROR(VLOOKUP(LEFT($N2676,3),LCTT_MAP!$A$7:$C$66,IF($M2676="THU",2,3),FALSE()),IFERROR(VLOOKUP(LEFT($N2676,2),LCTT_MAP!$A$7:$C$66,IF($M2676="THU",2,3),FALSE()),IFERROR(VLOOKUP(LEFT($N2676,1),LCTT_MAP!$A$7:$C$66,IF($M2676="THU",2,3),FALSE()),IF($M2676="THU","06","07")))))))</f>
        <v/>
      </c>
      <c r="P2676" s="117">
        <f>P2675+IF(AND($H2676&lt;&gt;"",OR(LEFT($F2676,LEN(SC_TK))=SC_TK,LEFT($G2676,LEN(SC_TK))=SC_TK)),1,0)</f>
        <v/>
      </c>
    </row>
    <row r="2677" ht="15" customHeight="1" s="78">
      <c r="A2677" s="95">
        <f>IF($H2677="","",ROW()-6)</f>
        <v/>
      </c>
      <c r="B2677" s="114" t="n"/>
      <c r="C2677" s="102" t="n"/>
      <c r="D2677" s="114" t="n"/>
      <c r="E2677" s="103" t="n"/>
      <c r="F2677" s="102" t="n"/>
      <c r="G2677" s="102" t="n"/>
      <c r="H2677" s="115" t="n"/>
      <c r="I2677" s="102" t="n"/>
      <c r="J2677" s="102" t="n"/>
      <c r="K2677" s="103" t="n"/>
      <c r="L2677" s="116">
        <f>IF($H2677="","",TRIM(IF(COUNTIF(DMTK!$A$7:$A$250,$F2677)=0,"TK Nợ sai! ","")&amp;IF(COUNTIF(DMTK!$A$7:$A$250,$G2677)=0,"TK Có sai! ","")&amp;IF(N($H2677)&lt;=0,"Tiền phải &gt; 0! ","")&amp;IF($B2677="","Thiếu ngày! ","")&amp;IF(AND(OR(LEFT($F2677,3)="131",LEFT($G2677,3)="131",LEFT($F2677,3)="331",LEFT($G2677,3)="331"),$I2677=""),"Thiếu Mã ĐT! ","")&amp;IF(AND($I2677&lt;&gt;"",COUNTIF(DM_DT!$A$7:$A$306,$I2677)=0),"Mã ĐT chưa khai báo! ","")))</f>
        <v/>
      </c>
      <c r="M2677" s="117">
        <f>IF($H2677="","",IF(AND(OR(LEFT($F2677,3)="111",LEFT($F2677,3)="112",LEFT($F2677,3)="113"),OR(LEFT($G2677,3)="111",LEFT($G2677,3)="112",LEFT($G2677,3)="113")),"NB",IF(OR(LEFT($F2677,3)="111",LEFT($F2677,3)="112",LEFT($F2677,3)="113"),"THU",IF(OR(LEFT($G2677,3)="111",LEFT($G2677,3)="112",LEFT($G2677,3)="113"),"CHI",""))))</f>
        <v/>
      </c>
      <c r="N2677" s="117">
        <f>IF($M2677="THU",$G2677,IF($M2677="CHI",$F2677,""))</f>
        <v/>
      </c>
      <c r="O2677" s="117">
        <f>IF(OR($M2677="",$M2677="NB"),"",IF($J2677&lt;&gt;"",TEXT($J2677,"00"),IFERROR(VLOOKUP(LEFT($N2677,4),LCTT_MAP!$A$7:$C$66,IF($M2677="THU",2,3),FALSE()),IFERROR(VLOOKUP(LEFT($N2677,3),LCTT_MAP!$A$7:$C$66,IF($M2677="THU",2,3),FALSE()),IFERROR(VLOOKUP(LEFT($N2677,2),LCTT_MAP!$A$7:$C$66,IF($M2677="THU",2,3),FALSE()),IFERROR(VLOOKUP(LEFT($N2677,1),LCTT_MAP!$A$7:$C$66,IF($M2677="THU",2,3),FALSE()),IF($M2677="THU","06","07")))))))</f>
        <v/>
      </c>
      <c r="P2677" s="117">
        <f>P2676+IF(AND($H2677&lt;&gt;"",OR(LEFT($F2677,LEN(SC_TK))=SC_TK,LEFT($G2677,LEN(SC_TK))=SC_TK)),1,0)</f>
        <v/>
      </c>
    </row>
    <row r="2678" ht="15" customHeight="1" s="78">
      <c r="A2678" s="95">
        <f>IF($H2678="","",ROW()-6)</f>
        <v/>
      </c>
      <c r="B2678" s="114" t="n"/>
      <c r="C2678" s="102" t="n"/>
      <c r="D2678" s="114" t="n"/>
      <c r="E2678" s="103" t="n"/>
      <c r="F2678" s="102" t="n"/>
      <c r="G2678" s="102" t="n"/>
      <c r="H2678" s="115" t="n"/>
      <c r="I2678" s="102" t="n"/>
      <c r="J2678" s="102" t="n"/>
      <c r="K2678" s="103" t="n"/>
      <c r="L2678" s="116">
        <f>IF($H2678="","",TRIM(IF(COUNTIF(DMTK!$A$7:$A$250,$F2678)=0,"TK Nợ sai! ","")&amp;IF(COUNTIF(DMTK!$A$7:$A$250,$G2678)=0,"TK Có sai! ","")&amp;IF(N($H2678)&lt;=0,"Tiền phải &gt; 0! ","")&amp;IF($B2678="","Thiếu ngày! ","")&amp;IF(AND(OR(LEFT($F2678,3)="131",LEFT($G2678,3)="131",LEFT($F2678,3)="331",LEFT($G2678,3)="331"),$I2678=""),"Thiếu Mã ĐT! ","")&amp;IF(AND($I2678&lt;&gt;"",COUNTIF(DM_DT!$A$7:$A$306,$I2678)=0),"Mã ĐT chưa khai báo! ","")))</f>
        <v/>
      </c>
      <c r="M2678" s="117">
        <f>IF($H2678="","",IF(AND(OR(LEFT($F2678,3)="111",LEFT($F2678,3)="112",LEFT($F2678,3)="113"),OR(LEFT($G2678,3)="111",LEFT($G2678,3)="112",LEFT($G2678,3)="113")),"NB",IF(OR(LEFT($F2678,3)="111",LEFT($F2678,3)="112",LEFT($F2678,3)="113"),"THU",IF(OR(LEFT($G2678,3)="111",LEFT($G2678,3)="112",LEFT($G2678,3)="113"),"CHI",""))))</f>
        <v/>
      </c>
      <c r="N2678" s="117">
        <f>IF($M2678="THU",$G2678,IF($M2678="CHI",$F2678,""))</f>
        <v/>
      </c>
      <c r="O2678" s="117">
        <f>IF(OR($M2678="",$M2678="NB"),"",IF($J2678&lt;&gt;"",TEXT($J2678,"00"),IFERROR(VLOOKUP(LEFT($N2678,4),LCTT_MAP!$A$7:$C$66,IF($M2678="THU",2,3),FALSE()),IFERROR(VLOOKUP(LEFT($N2678,3),LCTT_MAP!$A$7:$C$66,IF($M2678="THU",2,3),FALSE()),IFERROR(VLOOKUP(LEFT($N2678,2),LCTT_MAP!$A$7:$C$66,IF($M2678="THU",2,3),FALSE()),IFERROR(VLOOKUP(LEFT($N2678,1),LCTT_MAP!$A$7:$C$66,IF($M2678="THU",2,3),FALSE()),IF($M2678="THU","06","07")))))))</f>
        <v/>
      </c>
      <c r="P2678" s="117">
        <f>P2677+IF(AND($H2678&lt;&gt;"",OR(LEFT($F2678,LEN(SC_TK))=SC_TK,LEFT($G2678,LEN(SC_TK))=SC_TK)),1,0)</f>
        <v/>
      </c>
    </row>
    <row r="2679" ht="15" customHeight="1" s="78">
      <c r="A2679" s="95">
        <f>IF($H2679="","",ROW()-6)</f>
        <v/>
      </c>
      <c r="B2679" s="114" t="n"/>
      <c r="C2679" s="102" t="n"/>
      <c r="D2679" s="114" t="n"/>
      <c r="E2679" s="103" t="n"/>
      <c r="F2679" s="102" t="n"/>
      <c r="G2679" s="102" t="n"/>
      <c r="H2679" s="115" t="n"/>
      <c r="I2679" s="102" t="n"/>
      <c r="J2679" s="102" t="n"/>
      <c r="K2679" s="103" t="n"/>
      <c r="L2679" s="116">
        <f>IF($H2679="","",TRIM(IF(COUNTIF(DMTK!$A$7:$A$250,$F2679)=0,"TK Nợ sai! ","")&amp;IF(COUNTIF(DMTK!$A$7:$A$250,$G2679)=0,"TK Có sai! ","")&amp;IF(N($H2679)&lt;=0,"Tiền phải &gt; 0! ","")&amp;IF($B2679="","Thiếu ngày! ","")&amp;IF(AND(OR(LEFT($F2679,3)="131",LEFT($G2679,3)="131",LEFT($F2679,3)="331",LEFT($G2679,3)="331"),$I2679=""),"Thiếu Mã ĐT! ","")&amp;IF(AND($I2679&lt;&gt;"",COUNTIF(DM_DT!$A$7:$A$306,$I2679)=0),"Mã ĐT chưa khai báo! ","")))</f>
        <v/>
      </c>
      <c r="M2679" s="117">
        <f>IF($H2679="","",IF(AND(OR(LEFT($F2679,3)="111",LEFT($F2679,3)="112",LEFT($F2679,3)="113"),OR(LEFT($G2679,3)="111",LEFT($G2679,3)="112",LEFT($G2679,3)="113")),"NB",IF(OR(LEFT($F2679,3)="111",LEFT($F2679,3)="112",LEFT($F2679,3)="113"),"THU",IF(OR(LEFT($G2679,3)="111",LEFT($G2679,3)="112",LEFT($G2679,3)="113"),"CHI",""))))</f>
        <v/>
      </c>
      <c r="N2679" s="117">
        <f>IF($M2679="THU",$G2679,IF($M2679="CHI",$F2679,""))</f>
        <v/>
      </c>
      <c r="O2679" s="117">
        <f>IF(OR($M2679="",$M2679="NB"),"",IF($J2679&lt;&gt;"",TEXT($J2679,"00"),IFERROR(VLOOKUP(LEFT($N2679,4),LCTT_MAP!$A$7:$C$66,IF($M2679="THU",2,3),FALSE()),IFERROR(VLOOKUP(LEFT($N2679,3),LCTT_MAP!$A$7:$C$66,IF($M2679="THU",2,3),FALSE()),IFERROR(VLOOKUP(LEFT($N2679,2),LCTT_MAP!$A$7:$C$66,IF($M2679="THU",2,3),FALSE()),IFERROR(VLOOKUP(LEFT($N2679,1),LCTT_MAP!$A$7:$C$66,IF($M2679="THU",2,3),FALSE()),IF($M2679="THU","06","07")))))))</f>
        <v/>
      </c>
      <c r="P2679" s="117">
        <f>P2678+IF(AND($H2679&lt;&gt;"",OR(LEFT($F2679,LEN(SC_TK))=SC_TK,LEFT($G2679,LEN(SC_TK))=SC_TK)),1,0)</f>
        <v/>
      </c>
    </row>
    <row r="2680" ht="15" customHeight="1" s="78">
      <c r="A2680" s="95">
        <f>IF($H2680="","",ROW()-6)</f>
        <v/>
      </c>
      <c r="B2680" s="114" t="n"/>
      <c r="C2680" s="102" t="n"/>
      <c r="D2680" s="114" t="n"/>
      <c r="E2680" s="103" t="n"/>
      <c r="F2680" s="102" t="n"/>
      <c r="G2680" s="102" t="n"/>
      <c r="H2680" s="115" t="n"/>
      <c r="I2680" s="102" t="n"/>
      <c r="J2680" s="102" t="n"/>
      <c r="K2680" s="103" t="n"/>
      <c r="L2680" s="116">
        <f>IF($H2680="","",TRIM(IF(COUNTIF(DMTK!$A$7:$A$250,$F2680)=0,"TK Nợ sai! ","")&amp;IF(COUNTIF(DMTK!$A$7:$A$250,$G2680)=0,"TK Có sai! ","")&amp;IF(N($H2680)&lt;=0,"Tiền phải &gt; 0! ","")&amp;IF($B2680="","Thiếu ngày! ","")&amp;IF(AND(OR(LEFT($F2680,3)="131",LEFT($G2680,3)="131",LEFT($F2680,3)="331",LEFT($G2680,3)="331"),$I2680=""),"Thiếu Mã ĐT! ","")&amp;IF(AND($I2680&lt;&gt;"",COUNTIF(DM_DT!$A$7:$A$306,$I2680)=0),"Mã ĐT chưa khai báo! ","")))</f>
        <v/>
      </c>
      <c r="M2680" s="117">
        <f>IF($H2680="","",IF(AND(OR(LEFT($F2680,3)="111",LEFT($F2680,3)="112",LEFT($F2680,3)="113"),OR(LEFT($G2680,3)="111",LEFT($G2680,3)="112",LEFT($G2680,3)="113")),"NB",IF(OR(LEFT($F2680,3)="111",LEFT($F2680,3)="112",LEFT($F2680,3)="113"),"THU",IF(OR(LEFT($G2680,3)="111",LEFT($G2680,3)="112",LEFT($G2680,3)="113"),"CHI",""))))</f>
        <v/>
      </c>
      <c r="N2680" s="117">
        <f>IF($M2680="THU",$G2680,IF($M2680="CHI",$F2680,""))</f>
        <v/>
      </c>
      <c r="O2680" s="117">
        <f>IF(OR($M2680="",$M2680="NB"),"",IF($J2680&lt;&gt;"",TEXT($J2680,"00"),IFERROR(VLOOKUP(LEFT($N2680,4),LCTT_MAP!$A$7:$C$66,IF($M2680="THU",2,3),FALSE()),IFERROR(VLOOKUP(LEFT($N2680,3),LCTT_MAP!$A$7:$C$66,IF($M2680="THU",2,3),FALSE()),IFERROR(VLOOKUP(LEFT($N2680,2),LCTT_MAP!$A$7:$C$66,IF($M2680="THU",2,3),FALSE()),IFERROR(VLOOKUP(LEFT($N2680,1),LCTT_MAP!$A$7:$C$66,IF($M2680="THU",2,3),FALSE()),IF($M2680="THU","06","07")))))))</f>
        <v/>
      </c>
      <c r="P2680" s="117">
        <f>P2679+IF(AND($H2680&lt;&gt;"",OR(LEFT($F2680,LEN(SC_TK))=SC_TK,LEFT($G2680,LEN(SC_TK))=SC_TK)),1,0)</f>
        <v/>
      </c>
    </row>
    <row r="2681" ht="15" customHeight="1" s="78">
      <c r="A2681" s="95">
        <f>IF($H2681="","",ROW()-6)</f>
        <v/>
      </c>
      <c r="B2681" s="114" t="n"/>
      <c r="C2681" s="102" t="n"/>
      <c r="D2681" s="114" t="n"/>
      <c r="E2681" s="103" t="n"/>
      <c r="F2681" s="102" t="n"/>
      <c r="G2681" s="102" t="n"/>
      <c r="H2681" s="115" t="n"/>
      <c r="I2681" s="102" t="n"/>
      <c r="J2681" s="102" t="n"/>
      <c r="K2681" s="103" t="n"/>
      <c r="L2681" s="116">
        <f>IF($H2681="","",TRIM(IF(COUNTIF(DMTK!$A$7:$A$250,$F2681)=0,"TK Nợ sai! ","")&amp;IF(COUNTIF(DMTK!$A$7:$A$250,$G2681)=0,"TK Có sai! ","")&amp;IF(N($H2681)&lt;=0,"Tiền phải &gt; 0! ","")&amp;IF($B2681="","Thiếu ngày! ","")&amp;IF(AND(OR(LEFT($F2681,3)="131",LEFT($G2681,3)="131",LEFT($F2681,3)="331",LEFT($G2681,3)="331"),$I2681=""),"Thiếu Mã ĐT! ","")&amp;IF(AND($I2681&lt;&gt;"",COUNTIF(DM_DT!$A$7:$A$306,$I2681)=0),"Mã ĐT chưa khai báo! ","")))</f>
        <v/>
      </c>
      <c r="M2681" s="117">
        <f>IF($H2681="","",IF(AND(OR(LEFT($F2681,3)="111",LEFT($F2681,3)="112",LEFT($F2681,3)="113"),OR(LEFT($G2681,3)="111",LEFT($G2681,3)="112",LEFT($G2681,3)="113")),"NB",IF(OR(LEFT($F2681,3)="111",LEFT($F2681,3)="112",LEFT($F2681,3)="113"),"THU",IF(OR(LEFT($G2681,3)="111",LEFT($G2681,3)="112",LEFT($G2681,3)="113"),"CHI",""))))</f>
        <v/>
      </c>
      <c r="N2681" s="117">
        <f>IF($M2681="THU",$G2681,IF($M2681="CHI",$F2681,""))</f>
        <v/>
      </c>
      <c r="O2681" s="117">
        <f>IF(OR($M2681="",$M2681="NB"),"",IF($J2681&lt;&gt;"",TEXT($J2681,"00"),IFERROR(VLOOKUP(LEFT($N2681,4),LCTT_MAP!$A$7:$C$66,IF($M2681="THU",2,3),FALSE()),IFERROR(VLOOKUP(LEFT($N2681,3),LCTT_MAP!$A$7:$C$66,IF($M2681="THU",2,3),FALSE()),IFERROR(VLOOKUP(LEFT($N2681,2),LCTT_MAP!$A$7:$C$66,IF($M2681="THU",2,3),FALSE()),IFERROR(VLOOKUP(LEFT($N2681,1),LCTT_MAP!$A$7:$C$66,IF($M2681="THU",2,3),FALSE()),IF($M2681="THU","06","07")))))))</f>
        <v/>
      </c>
      <c r="P2681" s="117">
        <f>P2680+IF(AND($H2681&lt;&gt;"",OR(LEFT($F2681,LEN(SC_TK))=SC_TK,LEFT($G2681,LEN(SC_TK))=SC_TK)),1,0)</f>
        <v/>
      </c>
    </row>
    <row r="2682" ht="15" customHeight="1" s="78">
      <c r="A2682" s="95">
        <f>IF($H2682="","",ROW()-6)</f>
        <v/>
      </c>
      <c r="B2682" s="114" t="n"/>
      <c r="C2682" s="102" t="n"/>
      <c r="D2682" s="114" t="n"/>
      <c r="E2682" s="103" t="n"/>
      <c r="F2682" s="102" t="n"/>
      <c r="G2682" s="102" t="n"/>
      <c r="H2682" s="115" t="n"/>
      <c r="I2682" s="102" t="n"/>
      <c r="J2682" s="102" t="n"/>
      <c r="K2682" s="103" t="n"/>
      <c r="L2682" s="116">
        <f>IF($H2682="","",TRIM(IF(COUNTIF(DMTK!$A$7:$A$250,$F2682)=0,"TK Nợ sai! ","")&amp;IF(COUNTIF(DMTK!$A$7:$A$250,$G2682)=0,"TK Có sai! ","")&amp;IF(N($H2682)&lt;=0,"Tiền phải &gt; 0! ","")&amp;IF($B2682="","Thiếu ngày! ","")&amp;IF(AND(OR(LEFT($F2682,3)="131",LEFT($G2682,3)="131",LEFT($F2682,3)="331",LEFT($G2682,3)="331"),$I2682=""),"Thiếu Mã ĐT! ","")&amp;IF(AND($I2682&lt;&gt;"",COUNTIF(DM_DT!$A$7:$A$306,$I2682)=0),"Mã ĐT chưa khai báo! ","")))</f>
        <v/>
      </c>
      <c r="M2682" s="117">
        <f>IF($H2682="","",IF(AND(OR(LEFT($F2682,3)="111",LEFT($F2682,3)="112",LEFT($F2682,3)="113"),OR(LEFT($G2682,3)="111",LEFT($G2682,3)="112",LEFT($G2682,3)="113")),"NB",IF(OR(LEFT($F2682,3)="111",LEFT($F2682,3)="112",LEFT($F2682,3)="113"),"THU",IF(OR(LEFT($G2682,3)="111",LEFT($G2682,3)="112",LEFT($G2682,3)="113"),"CHI",""))))</f>
        <v/>
      </c>
      <c r="N2682" s="117">
        <f>IF($M2682="THU",$G2682,IF($M2682="CHI",$F2682,""))</f>
        <v/>
      </c>
      <c r="O2682" s="117">
        <f>IF(OR($M2682="",$M2682="NB"),"",IF($J2682&lt;&gt;"",TEXT($J2682,"00"),IFERROR(VLOOKUP(LEFT($N2682,4),LCTT_MAP!$A$7:$C$66,IF($M2682="THU",2,3),FALSE()),IFERROR(VLOOKUP(LEFT($N2682,3),LCTT_MAP!$A$7:$C$66,IF($M2682="THU",2,3),FALSE()),IFERROR(VLOOKUP(LEFT($N2682,2),LCTT_MAP!$A$7:$C$66,IF($M2682="THU",2,3),FALSE()),IFERROR(VLOOKUP(LEFT($N2682,1),LCTT_MAP!$A$7:$C$66,IF($M2682="THU",2,3),FALSE()),IF($M2682="THU","06","07")))))))</f>
        <v/>
      </c>
      <c r="P2682" s="117">
        <f>P2681+IF(AND($H2682&lt;&gt;"",OR(LEFT($F2682,LEN(SC_TK))=SC_TK,LEFT($G2682,LEN(SC_TK))=SC_TK)),1,0)</f>
        <v/>
      </c>
    </row>
    <row r="2683" ht="15" customHeight="1" s="78">
      <c r="A2683" s="95">
        <f>IF($H2683="","",ROW()-6)</f>
        <v/>
      </c>
      <c r="B2683" s="114" t="n"/>
      <c r="C2683" s="102" t="n"/>
      <c r="D2683" s="114" t="n"/>
      <c r="E2683" s="103" t="n"/>
      <c r="F2683" s="102" t="n"/>
      <c r="G2683" s="102" t="n"/>
      <c r="H2683" s="115" t="n"/>
      <c r="I2683" s="102" t="n"/>
      <c r="J2683" s="102" t="n"/>
      <c r="K2683" s="103" t="n"/>
      <c r="L2683" s="116">
        <f>IF($H2683="","",TRIM(IF(COUNTIF(DMTK!$A$7:$A$250,$F2683)=0,"TK Nợ sai! ","")&amp;IF(COUNTIF(DMTK!$A$7:$A$250,$G2683)=0,"TK Có sai! ","")&amp;IF(N($H2683)&lt;=0,"Tiền phải &gt; 0! ","")&amp;IF($B2683="","Thiếu ngày! ","")&amp;IF(AND(OR(LEFT($F2683,3)="131",LEFT($G2683,3)="131",LEFT($F2683,3)="331",LEFT($G2683,3)="331"),$I2683=""),"Thiếu Mã ĐT! ","")&amp;IF(AND($I2683&lt;&gt;"",COUNTIF(DM_DT!$A$7:$A$306,$I2683)=0),"Mã ĐT chưa khai báo! ","")))</f>
        <v/>
      </c>
      <c r="M2683" s="117">
        <f>IF($H2683="","",IF(AND(OR(LEFT($F2683,3)="111",LEFT($F2683,3)="112",LEFT($F2683,3)="113"),OR(LEFT($G2683,3)="111",LEFT($G2683,3)="112",LEFT($G2683,3)="113")),"NB",IF(OR(LEFT($F2683,3)="111",LEFT($F2683,3)="112",LEFT($F2683,3)="113"),"THU",IF(OR(LEFT($G2683,3)="111",LEFT($G2683,3)="112",LEFT($G2683,3)="113"),"CHI",""))))</f>
        <v/>
      </c>
      <c r="N2683" s="117">
        <f>IF($M2683="THU",$G2683,IF($M2683="CHI",$F2683,""))</f>
        <v/>
      </c>
      <c r="O2683" s="117">
        <f>IF(OR($M2683="",$M2683="NB"),"",IF($J2683&lt;&gt;"",TEXT($J2683,"00"),IFERROR(VLOOKUP(LEFT($N2683,4),LCTT_MAP!$A$7:$C$66,IF($M2683="THU",2,3),FALSE()),IFERROR(VLOOKUP(LEFT($N2683,3),LCTT_MAP!$A$7:$C$66,IF($M2683="THU",2,3),FALSE()),IFERROR(VLOOKUP(LEFT($N2683,2),LCTT_MAP!$A$7:$C$66,IF($M2683="THU",2,3),FALSE()),IFERROR(VLOOKUP(LEFT($N2683,1),LCTT_MAP!$A$7:$C$66,IF($M2683="THU",2,3),FALSE()),IF($M2683="THU","06","07")))))))</f>
        <v/>
      </c>
      <c r="P2683" s="117">
        <f>P2682+IF(AND($H2683&lt;&gt;"",OR(LEFT($F2683,LEN(SC_TK))=SC_TK,LEFT($G2683,LEN(SC_TK))=SC_TK)),1,0)</f>
        <v/>
      </c>
    </row>
    <row r="2684" ht="15" customHeight="1" s="78">
      <c r="A2684" s="95">
        <f>IF($H2684="","",ROW()-6)</f>
        <v/>
      </c>
      <c r="B2684" s="114" t="n"/>
      <c r="C2684" s="102" t="n"/>
      <c r="D2684" s="114" t="n"/>
      <c r="E2684" s="103" t="n"/>
      <c r="F2684" s="102" t="n"/>
      <c r="G2684" s="102" t="n"/>
      <c r="H2684" s="115" t="n"/>
      <c r="I2684" s="102" t="n"/>
      <c r="J2684" s="102" t="n"/>
      <c r="K2684" s="103" t="n"/>
      <c r="L2684" s="116">
        <f>IF($H2684="","",TRIM(IF(COUNTIF(DMTK!$A$7:$A$250,$F2684)=0,"TK Nợ sai! ","")&amp;IF(COUNTIF(DMTK!$A$7:$A$250,$G2684)=0,"TK Có sai! ","")&amp;IF(N($H2684)&lt;=0,"Tiền phải &gt; 0! ","")&amp;IF($B2684="","Thiếu ngày! ","")&amp;IF(AND(OR(LEFT($F2684,3)="131",LEFT($G2684,3)="131",LEFT($F2684,3)="331",LEFT($G2684,3)="331"),$I2684=""),"Thiếu Mã ĐT! ","")&amp;IF(AND($I2684&lt;&gt;"",COUNTIF(DM_DT!$A$7:$A$306,$I2684)=0),"Mã ĐT chưa khai báo! ","")))</f>
        <v/>
      </c>
      <c r="M2684" s="117">
        <f>IF($H2684="","",IF(AND(OR(LEFT($F2684,3)="111",LEFT($F2684,3)="112",LEFT($F2684,3)="113"),OR(LEFT($G2684,3)="111",LEFT($G2684,3)="112",LEFT($G2684,3)="113")),"NB",IF(OR(LEFT($F2684,3)="111",LEFT($F2684,3)="112",LEFT($F2684,3)="113"),"THU",IF(OR(LEFT($G2684,3)="111",LEFT($G2684,3)="112",LEFT($G2684,3)="113"),"CHI",""))))</f>
        <v/>
      </c>
      <c r="N2684" s="117">
        <f>IF($M2684="THU",$G2684,IF($M2684="CHI",$F2684,""))</f>
        <v/>
      </c>
      <c r="O2684" s="117">
        <f>IF(OR($M2684="",$M2684="NB"),"",IF($J2684&lt;&gt;"",TEXT($J2684,"00"),IFERROR(VLOOKUP(LEFT($N2684,4),LCTT_MAP!$A$7:$C$66,IF($M2684="THU",2,3),FALSE()),IFERROR(VLOOKUP(LEFT($N2684,3),LCTT_MAP!$A$7:$C$66,IF($M2684="THU",2,3),FALSE()),IFERROR(VLOOKUP(LEFT($N2684,2),LCTT_MAP!$A$7:$C$66,IF($M2684="THU",2,3),FALSE()),IFERROR(VLOOKUP(LEFT($N2684,1),LCTT_MAP!$A$7:$C$66,IF($M2684="THU",2,3),FALSE()),IF($M2684="THU","06","07")))))))</f>
        <v/>
      </c>
      <c r="P2684" s="117">
        <f>P2683+IF(AND($H2684&lt;&gt;"",OR(LEFT($F2684,LEN(SC_TK))=SC_TK,LEFT($G2684,LEN(SC_TK))=SC_TK)),1,0)</f>
        <v/>
      </c>
    </row>
    <row r="2685" ht="15" customHeight="1" s="78">
      <c r="A2685" s="95">
        <f>IF($H2685="","",ROW()-6)</f>
        <v/>
      </c>
      <c r="B2685" s="114" t="n"/>
      <c r="C2685" s="102" t="n"/>
      <c r="D2685" s="114" t="n"/>
      <c r="E2685" s="103" t="n"/>
      <c r="F2685" s="102" t="n"/>
      <c r="G2685" s="102" t="n"/>
      <c r="H2685" s="115" t="n"/>
      <c r="I2685" s="102" t="n"/>
      <c r="J2685" s="102" t="n"/>
      <c r="K2685" s="103" t="n"/>
      <c r="L2685" s="116">
        <f>IF($H2685="","",TRIM(IF(COUNTIF(DMTK!$A$7:$A$250,$F2685)=0,"TK Nợ sai! ","")&amp;IF(COUNTIF(DMTK!$A$7:$A$250,$G2685)=0,"TK Có sai! ","")&amp;IF(N($H2685)&lt;=0,"Tiền phải &gt; 0! ","")&amp;IF($B2685="","Thiếu ngày! ","")&amp;IF(AND(OR(LEFT($F2685,3)="131",LEFT($G2685,3)="131",LEFT($F2685,3)="331",LEFT($G2685,3)="331"),$I2685=""),"Thiếu Mã ĐT! ","")&amp;IF(AND($I2685&lt;&gt;"",COUNTIF(DM_DT!$A$7:$A$306,$I2685)=0),"Mã ĐT chưa khai báo! ","")))</f>
        <v/>
      </c>
      <c r="M2685" s="117">
        <f>IF($H2685="","",IF(AND(OR(LEFT($F2685,3)="111",LEFT($F2685,3)="112",LEFT($F2685,3)="113"),OR(LEFT($G2685,3)="111",LEFT($G2685,3)="112",LEFT($G2685,3)="113")),"NB",IF(OR(LEFT($F2685,3)="111",LEFT($F2685,3)="112",LEFT($F2685,3)="113"),"THU",IF(OR(LEFT($G2685,3)="111",LEFT($G2685,3)="112",LEFT($G2685,3)="113"),"CHI",""))))</f>
        <v/>
      </c>
      <c r="N2685" s="117">
        <f>IF($M2685="THU",$G2685,IF($M2685="CHI",$F2685,""))</f>
        <v/>
      </c>
      <c r="O2685" s="117">
        <f>IF(OR($M2685="",$M2685="NB"),"",IF($J2685&lt;&gt;"",TEXT($J2685,"00"),IFERROR(VLOOKUP(LEFT($N2685,4),LCTT_MAP!$A$7:$C$66,IF($M2685="THU",2,3),FALSE()),IFERROR(VLOOKUP(LEFT($N2685,3),LCTT_MAP!$A$7:$C$66,IF($M2685="THU",2,3),FALSE()),IFERROR(VLOOKUP(LEFT($N2685,2),LCTT_MAP!$A$7:$C$66,IF($M2685="THU",2,3),FALSE()),IFERROR(VLOOKUP(LEFT($N2685,1),LCTT_MAP!$A$7:$C$66,IF($M2685="THU",2,3),FALSE()),IF($M2685="THU","06","07")))))))</f>
        <v/>
      </c>
      <c r="P2685" s="117">
        <f>P2684+IF(AND($H2685&lt;&gt;"",OR(LEFT($F2685,LEN(SC_TK))=SC_TK,LEFT($G2685,LEN(SC_TK))=SC_TK)),1,0)</f>
        <v/>
      </c>
    </row>
    <row r="2686" ht="15" customHeight="1" s="78">
      <c r="A2686" s="95">
        <f>IF($H2686="","",ROW()-6)</f>
        <v/>
      </c>
      <c r="B2686" s="114" t="n"/>
      <c r="C2686" s="102" t="n"/>
      <c r="D2686" s="114" t="n"/>
      <c r="E2686" s="103" t="n"/>
      <c r="F2686" s="102" t="n"/>
      <c r="G2686" s="102" t="n"/>
      <c r="H2686" s="115" t="n"/>
      <c r="I2686" s="102" t="n"/>
      <c r="J2686" s="102" t="n"/>
      <c r="K2686" s="103" t="n"/>
      <c r="L2686" s="116">
        <f>IF($H2686="","",TRIM(IF(COUNTIF(DMTK!$A$7:$A$250,$F2686)=0,"TK Nợ sai! ","")&amp;IF(COUNTIF(DMTK!$A$7:$A$250,$G2686)=0,"TK Có sai! ","")&amp;IF(N($H2686)&lt;=0,"Tiền phải &gt; 0! ","")&amp;IF($B2686="","Thiếu ngày! ","")&amp;IF(AND(OR(LEFT($F2686,3)="131",LEFT($G2686,3)="131",LEFT($F2686,3)="331",LEFT($G2686,3)="331"),$I2686=""),"Thiếu Mã ĐT! ","")&amp;IF(AND($I2686&lt;&gt;"",COUNTIF(DM_DT!$A$7:$A$306,$I2686)=0),"Mã ĐT chưa khai báo! ","")))</f>
        <v/>
      </c>
      <c r="M2686" s="117">
        <f>IF($H2686="","",IF(AND(OR(LEFT($F2686,3)="111",LEFT($F2686,3)="112",LEFT($F2686,3)="113"),OR(LEFT($G2686,3)="111",LEFT($G2686,3)="112",LEFT($G2686,3)="113")),"NB",IF(OR(LEFT($F2686,3)="111",LEFT($F2686,3)="112",LEFT($F2686,3)="113"),"THU",IF(OR(LEFT($G2686,3)="111",LEFT($G2686,3)="112",LEFT($G2686,3)="113"),"CHI",""))))</f>
        <v/>
      </c>
      <c r="N2686" s="117">
        <f>IF($M2686="THU",$G2686,IF($M2686="CHI",$F2686,""))</f>
        <v/>
      </c>
      <c r="O2686" s="117">
        <f>IF(OR($M2686="",$M2686="NB"),"",IF($J2686&lt;&gt;"",TEXT($J2686,"00"),IFERROR(VLOOKUP(LEFT($N2686,4),LCTT_MAP!$A$7:$C$66,IF($M2686="THU",2,3),FALSE()),IFERROR(VLOOKUP(LEFT($N2686,3),LCTT_MAP!$A$7:$C$66,IF($M2686="THU",2,3),FALSE()),IFERROR(VLOOKUP(LEFT($N2686,2),LCTT_MAP!$A$7:$C$66,IF($M2686="THU",2,3),FALSE()),IFERROR(VLOOKUP(LEFT($N2686,1),LCTT_MAP!$A$7:$C$66,IF($M2686="THU",2,3),FALSE()),IF($M2686="THU","06","07")))))))</f>
        <v/>
      </c>
      <c r="P2686" s="117">
        <f>P2685+IF(AND($H2686&lt;&gt;"",OR(LEFT($F2686,LEN(SC_TK))=SC_TK,LEFT($G2686,LEN(SC_TK))=SC_TK)),1,0)</f>
        <v/>
      </c>
    </row>
    <row r="2687" ht="15" customHeight="1" s="78">
      <c r="A2687" s="95">
        <f>IF($H2687="","",ROW()-6)</f>
        <v/>
      </c>
      <c r="B2687" s="114" t="n"/>
      <c r="C2687" s="102" t="n"/>
      <c r="D2687" s="114" t="n"/>
      <c r="E2687" s="103" t="n"/>
      <c r="F2687" s="102" t="n"/>
      <c r="G2687" s="102" t="n"/>
      <c r="H2687" s="115" t="n"/>
      <c r="I2687" s="102" t="n"/>
      <c r="J2687" s="102" t="n"/>
      <c r="K2687" s="103" t="n"/>
      <c r="L2687" s="116">
        <f>IF($H2687="","",TRIM(IF(COUNTIF(DMTK!$A$7:$A$250,$F2687)=0,"TK Nợ sai! ","")&amp;IF(COUNTIF(DMTK!$A$7:$A$250,$G2687)=0,"TK Có sai! ","")&amp;IF(N($H2687)&lt;=0,"Tiền phải &gt; 0! ","")&amp;IF($B2687="","Thiếu ngày! ","")&amp;IF(AND(OR(LEFT($F2687,3)="131",LEFT($G2687,3)="131",LEFT($F2687,3)="331",LEFT($G2687,3)="331"),$I2687=""),"Thiếu Mã ĐT! ","")&amp;IF(AND($I2687&lt;&gt;"",COUNTIF(DM_DT!$A$7:$A$306,$I2687)=0),"Mã ĐT chưa khai báo! ","")))</f>
        <v/>
      </c>
      <c r="M2687" s="117">
        <f>IF($H2687="","",IF(AND(OR(LEFT($F2687,3)="111",LEFT($F2687,3)="112",LEFT($F2687,3)="113"),OR(LEFT($G2687,3)="111",LEFT($G2687,3)="112",LEFT($G2687,3)="113")),"NB",IF(OR(LEFT($F2687,3)="111",LEFT($F2687,3)="112",LEFT($F2687,3)="113"),"THU",IF(OR(LEFT($G2687,3)="111",LEFT($G2687,3)="112",LEFT($G2687,3)="113"),"CHI",""))))</f>
        <v/>
      </c>
      <c r="N2687" s="117">
        <f>IF($M2687="THU",$G2687,IF($M2687="CHI",$F2687,""))</f>
        <v/>
      </c>
      <c r="O2687" s="117">
        <f>IF(OR($M2687="",$M2687="NB"),"",IF($J2687&lt;&gt;"",TEXT($J2687,"00"),IFERROR(VLOOKUP(LEFT($N2687,4),LCTT_MAP!$A$7:$C$66,IF($M2687="THU",2,3),FALSE()),IFERROR(VLOOKUP(LEFT($N2687,3),LCTT_MAP!$A$7:$C$66,IF($M2687="THU",2,3),FALSE()),IFERROR(VLOOKUP(LEFT($N2687,2),LCTT_MAP!$A$7:$C$66,IF($M2687="THU",2,3),FALSE()),IFERROR(VLOOKUP(LEFT($N2687,1),LCTT_MAP!$A$7:$C$66,IF($M2687="THU",2,3),FALSE()),IF($M2687="THU","06","07")))))))</f>
        <v/>
      </c>
      <c r="P2687" s="117">
        <f>P2686+IF(AND($H2687&lt;&gt;"",OR(LEFT($F2687,LEN(SC_TK))=SC_TK,LEFT($G2687,LEN(SC_TK))=SC_TK)),1,0)</f>
        <v/>
      </c>
    </row>
    <row r="2688" ht="15" customHeight="1" s="78">
      <c r="A2688" s="95">
        <f>IF($H2688="","",ROW()-6)</f>
        <v/>
      </c>
      <c r="B2688" s="114" t="n"/>
      <c r="C2688" s="102" t="n"/>
      <c r="D2688" s="114" t="n"/>
      <c r="E2688" s="103" t="n"/>
      <c r="F2688" s="102" t="n"/>
      <c r="G2688" s="102" t="n"/>
      <c r="H2688" s="115" t="n"/>
      <c r="I2688" s="102" t="n"/>
      <c r="J2688" s="102" t="n"/>
      <c r="K2688" s="103" t="n"/>
      <c r="L2688" s="116">
        <f>IF($H2688="","",TRIM(IF(COUNTIF(DMTK!$A$7:$A$250,$F2688)=0,"TK Nợ sai! ","")&amp;IF(COUNTIF(DMTK!$A$7:$A$250,$G2688)=0,"TK Có sai! ","")&amp;IF(N($H2688)&lt;=0,"Tiền phải &gt; 0! ","")&amp;IF($B2688="","Thiếu ngày! ","")&amp;IF(AND(OR(LEFT($F2688,3)="131",LEFT($G2688,3)="131",LEFT($F2688,3)="331",LEFT($G2688,3)="331"),$I2688=""),"Thiếu Mã ĐT! ","")&amp;IF(AND($I2688&lt;&gt;"",COUNTIF(DM_DT!$A$7:$A$306,$I2688)=0),"Mã ĐT chưa khai báo! ","")))</f>
        <v/>
      </c>
      <c r="M2688" s="117">
        <f>IF($H2688="","",IF(AND(OR(LEFT($F2688,3)="111",LEFT($F2688,3)="112",LEFT($F2688,3)="113"),OR(LEFT($G2688,3)="111",LEFT($G2688,3)="112",LEFT($G2688,3)="113")),"NB",IF(OR(LEFT($F2688,3)="111",LEFT($F2688,3)="112",LEFT($F2688,3)="113"),"THU",IF(OR(LEFT($G2688,3)="111",LEFT($G2688,3)="112",LEFT($G2688,3)="113"),"CHI",""))))</f>
        <v/>
      </c>
      <c r="N2688" s="117">
        <f>IF($M2688="THU",$G2688,IF($M2688="CHI",$F2688,""))</f>
        <v/>
      </c>
      <c r="O2688" s="117">
        <f>IF(OR($M2688="",$M2688="NB"),"",IF($J2688&lt;&gt;"",TEXT($J2688,"00"),IFERROR(VLOOKUP(LEFT($N2688,4),LCTT_MAP!$A$7:$C$66,IF($M2688="THU",2,3),FALSE()),IFERROR(VLOOKUP(LEFT($N2688,3),LCTT_MAP!$A$7:$C$66,IF($M2688="THU",2,3),FALSE()),IFERROR(VLOOKUP(LEFT($N2688,2),LCTT_MAP!$A$7:$C$66,IF($M2688="THU",2,3),FALSE()),IFERROR(VLOOKUP(LEFT($N2688,1),LCTT_MAP!$A$7:$C$66,IF($M2688="THU",2,3),FALSE()),IF($M2688="THU","06","07")))))))</f>
        <v/>
      </c>
      <c r="P2688" s="117">
        <f>P2687+IF(AND($H2688&lt;&gt;"",OR(LEFT($F2688,LEN(SC_TK))=SC_TK,LEFT($G2688,LEN(SC_TK))=SC_TK)),1,0)</f>
        <v/>
      </c>
    </row>
    <row r="2689" ht="15" customHeight="1" s="78">
      <c r="A2689" s="95">
        <f>IF($H2689="","",ROW()-6)</f>
        <v/>
      </c>
      <c r="B2689" s="114" t="n"/>
      <c r="C2689" s="102" t="n"/>
      <c r="D2689" s="114" t="n"/>
      <c r="E2689" s="103" t="n"/>
      <c r="F2689" s="102" t="n"/>
      <c r="G2689" s="102" t="n"/>
      <c r="H2689" s="115" t="n"/>
      <c r="I2689" s="102" t="n"/>
      <c r="J2689" s="102" t="n"/>
      <c r="K2689" s="103" t="n"/>
      <c r="L2689" s="116">
        <f>IF($H2689="","",TRIM(IF(COUNTIF(DMTK!$A$7:$A$250,$F2689)=0,"TK Nợ sai! ","")&amp;IF(COUNTIF(DMTK!$A$7:$A$250,$G2689)=0,"TK Có sai! ","")&amp;IF(N($H2689)&lt;=0,"Tiền phải &gt; 0! ","")&amp;IF($B2689="","Thiếu ngày! ","")&amp;IF(AND(OR(LEFT($F2689,3)="131",LEFT($G2689,3)="131",LEFT($F2689,3)="331",LEFT($G2689,3)="331"),$I2689=""),"Thiếu Mã ĐT! ","")&amp;IF(AND($I2689&lt;&gt;"",COUNTIF(DM_DT!$A$7:$A$306,$I2689)=0),"Mã ĐT chưa khai báo! ","")))</f>
        <v/>
      </c>
      <c r="M2689" s="117">
        <f>IF($H2689="","",IF(AND(OR(LEFT($F2689,3)="111",LEFT($F2689,3)="112",LEFT($F2689,3)="113"),OR(LEFT($G2689,3)="111",LEFT($G2689,3)="112",LEFT($G2689,3)="113")),"NB",IF(OR(LEFT($F2689,3)="111",LEFT($F2689,3)="112",LEFT($F2689,3)="113"),"THU",IF(OR(LEFT($G2689,3)="111",LEFT($G2689,3)="112",LEFT($G2689,3)="113"),"CHI",""))))</f>
        <v/>
      </c>
      <c r="N2689" s="117">
        <f>IF($M2689="THU",$G2689,IF($M2689="CHI",$F2689,""))</f>
        <v/>
      </c>
      <c r="O2689" s="117">
        <f>IF(OR($M2689="",$M2689="NB"),"",IF($J2689&lt;&gt;"",TEXT($J2689,"00"),IFERROR(VLOOKUP(LEFT($N2689,4),LCTT_MAP!$A$7:$C$66,IF($M2689="THU",2,3),FALSE()),IFERROR(VLOOKUP(LEFT($N2689,3),LCTT_MAP!$A$7:$C$66,IF($M2689="THU",2,3),FALSE()),IFERROR(VLOOKUP(LEFT($N2689,2),LCTT_MAP!$A$7:$C$66,IF($M2689="THU",2,3),FALSE()),IFERROR(VLOOKUP(LEFT($N2689,1),LCTT_MAP!$A$7:$C$66,IF($M2689="THU",2,3),FALSE()),IF($M2689="THU","06","07")))))))</f>
        <v/>
      </c>
      <c r="P2689" s="117">
        <f>P2688+IF(AND($H2689&lt;&gt;"",OR(LEFT($F2689,LEN(SC_TK))=SC_TK,LEFT($G2689,LEN(SC_TK))=SC_TK)),1,0)</f>
        <v/>
      </c>
    </row>
    <row r="2690" ht="15" customHeight="1" s="78">
      <c r="A2690" s="95">
        <f>IF($H2690="","",ROW()-6)</f>
        <v/>
      </c>
      <c r="B2690" s="114" t="n"/>
      <c r="C2690" s="102" t="n"/>
      <c r="D2690" s="114" t="n"/>
      <c r="E2690" s="103" t="n"/>
      <c r="F2690" s="102" t="n"/>
      <c r="G2690" s="102" t="n"/>
      <c r="H2690" s="115" t="n"/>
      <c r="I2690" s="102" t="n"/>
      <c r="J2690" s="102" t="n"/>
      <c r="K2690" s="103" t="n"/>
      <c r="L2690" s="116">
        <f>IF($H2690="","",TRIM(IF(COUNTIF(DMTK!$A$7:$A$250,$F2690)=0,"TK Nợ sai! ","")&amp;IF(COUNTIF(DMTK!$A$7:$A$250,$G2690)=0,"TK Có sai! ","")&amp;IF(N($H2690)&lt;=0,"Tiền phải &gt; 0! ","")&amp;IF($B2690="","Thiếu ngày! ","")&amp;IF(AND(OR(LEFT($F2690,3)="131",LEFT($G2690,3)="131",LEFT($F2690,3)="331",LEFT($G2690,3)="331"),$I2690=""),"Thiếu Mã ĐT! ","")&amp;IF(AND($I2690&lt;&gt;"",COUNTIF(DM_DT!$A$7:$A$306,$I2690)=0),"Mã ĐT chưa khai báo! ","")))</f>
        <v/>
      </c>
      <c r="M2690" s="117">
        <f>IF($H2690="","",IF(AND(OR(LEFT($F2690,3)="111",LEFT($F2690,3)="112",LEFT($F2690,3)="113"),OR(LEFT($G2690,3)="111",LEFT($G2690,3)="112",LEFT($G2690,3)="113")),"NB",IF(OR(LEFT($F2690,3)="111",LEFT($F2690,3)="112",LEFT($F2690,3)="113"),"THU",IF(OR(LEFT($G2690,3)="111",LEFT($G2690,3)="112",LEFT($G2690,3)="113"),"CHI",""))))</f>
        <v/>
      </c>
      <c r="N2690" s="117">
        <f>IF($M2690="THU",$G2690,IF($M2690="CHI",$F2690,""))</f>
        <v/>
      </c>
      <c r="O2690" s="117">
        <f>IF(OR($M2690="",$M2690="NB"),"",IF($J2690&lt;&gt;"",TEXT($J2690,"00"),IFERROR(VLOOKUP(LEFT($N2690,4),LCTT_MAP!$A$7:$C$66,IF($M2690="THU",2,3),FALSE()),IFERROR(VLOOKUP(LEFT($N2690,3),LCTT_MAP!$A$7:$C$66,IF($M2690="THU",2,3),FALSE()),IFERROR(VLOOKUP(LEFT($N2690,2),LCTT_MAP!$A$7:$C$66,IF($M2690="THU",2,3),FALSE()),IFERROR(VLOOKUP(LEFT($N2690,1),LCTT_MAP!$A$7:$C$66,IF($M2690="THU",2,3),FALSE()),IF($M2690="THU","06","07")))))))</f>
        <v/>
      </c>
      <c r="P2690" s="117">
        <f>P2689+IF(AND($H2690&lt;&gt;"",OR(LEFT($F2690,LEN(SC_TK))=SC_TK,LEFT($G2690,LEN(SC_TK))=SC_TK)),1,0)</f>
        <v/>
      </c>
    </row>
    <row r="2691" ht="15" customHeight="1" s="78">
      <c r="A2691" s="95">
        <f>IF($H2691="","",ROW()-6)</f>
        <v/>
      </c>
      <c r="B2691" s="114" t="n"/>
      <c r="C2691" s="102" t="n"/>
      <c r="D2691" s="114" t="n"/>
      <c r="E2691" s="103" t="n"/>
      <c r="F2691" s="102" t="n"/>
      <c r="G2691" s="102" t="n"/>
      <c r="H2691" s="115" t="n"/>
      <c r="I2691" s="102" t="n"/>
      <c r="J2691" s="102" t="n"/>
      <c r="K2691" s="103" t="n"/>
      <c r="L2691" s="116">
        <f>IF($H2691="","",TRIM(IF(COUNTIF(DMTK!$A$7:$A$250,$F2691)=0,"TK Nợ sai! ","")&amp;IF(COUNTIF(DMTK!$A$7:$A$250,$G2691)=0,"TK Có sai! ","")&amp;IF(N($H2691)&lt;=0,"Tiền phải &gt; 0! ","")&amp;IF($B2691="","Thiếu ngày! ","")&amp;IF(AND(OR(LEFT($F2691,3)="131",LEFT($G2691,3)="131",LEFT($F2691,3)="331",LEFT($G2691,3)="331"),$I2691=""),"Thiếu Mã ĐT! ","")&amp;IF(AND($I2691&lt;&gt;"",COUNTIF(DM_DT!$A$7:$A$306,$I2691)=0),"Mã ĐT chưa khai báo! ","")))</f>
        <v/>
      </c>
      <c r="M2691" s="117">
        <f>IF($H2691="","",IF(AND(OR(LEFT($F2691,3)="111",LEFT($F2691,3)="112",LEFT($F2691,3)="113"),OR(LEFT($G2691,3)="111",LEFT($G2691,3)="112",LEFT($G2691,3)="113")),"NB",IF(OR(LEFT($F2691,3)="111",LEFT($F2691,3)="112",LEFT($F2691,3)="113"),"THU",IF(OR(LEFT($G2691,3)="111",LEFT($G2691,3)="112",LEFT($G2691,3)="113"),"CHI",""))))</f>
        <v/>
      </c>
      <c r="N2691" s="117">
        <f>IF($M2691="THU",$G2691,IF($M2691="CHI",$F2691,""))</f>
        <v/>
      </c>
      <c r="O2691" s="117">
        <f>IF(OR($M2691="",$M2691="NB"),"",IF($J2691&lt;&gt;"",TEXT($J2691,"00"),IFERROR(VLOOKUP(LEFT($N2691,4),LCTT_MAP!$A$7:$C$66,IF($M2691="THU",2,3),FALSE()),IFERROR(VLOOKUP(LEFT($N2691,3),LCTT_MAP!$A$7:$C$66,IF($M2691="THU",2,3),FALSE()),IFERROR(VLOOKUP(LEFT($N2691,2),LCTT_MAP!$A$7:$C$66,IF($M2691="THU",2,3),FALSE()),IFERROR(VLOOKUP(LEFT($N2691,1),LCTT_MAP!$A$7:$C$66,IF($M2691="THU",2,3),FALSE()),IF($M2691="THU","06","07")))))))</f>
        <v/>
      </c>
      <c r="P2691" s="117">
        <f>P2690+IF(AND($H2691&lt;&gt;"",OR(LEFT($F2691,LEN(SC_TK))=SC_TK,LEFT($G2691,LEN(SC_TK))=SC_TK)),1,0)</f>
        <v/>
      </c>
    </row>
    <row r="2692" ht="15" customHeight="1" s="78">
      <c r="A2692" s="95">
        <f>IF($H2692="","",ROW()-6)</f>
        <v/>
      </c>
      <c r="B2692" s="114" t="n"/>
      <c r="C2692" s="102" t="n"/>
      <c r="D2692" s="114" t="n"/>
      <c r="E2692" s="103" t="n"/>
      <c r="F2692" s="102" t="n"/>
      <c r="G2692" s="102" t="n"/>
      <c r="H2692" s="115" t="n"/>
      <c r="I2692" s="102" t="n"/>
      <c r="J2692" s="102" t="n"/>
      <c r="K2692" s="103" t="n"/>
      <c r="L2692" s="116">
        <f>IF($H2692="","",TRIM(IF(COUNTIF(DMTK!$A$7:$A$250,$F2692)=0,"TK Nợ sai! ","")&amp;IF(COUNTIF(DMTK!$A$7:$A$250,$G2692)=0,"TK Có sai! ","")&amp;IF(N($H2692)&lt;=0,"Tiền phải &gt; 0! ","")&amp;IF($B2692="","Thiếu ngày! ","")&amp;IF(AND(OR(LEFT($F2692,3)="131",LEFT($G2692,3)="131",LEFT($F2692,3)="331",LEFT($G2692,3)="331"),$I2692=""),"Thiếu Mã ĐT! ","")&amp;IF(AND($I2692&lt;&gt;"",COUNTIF(DM_DT!$A$7:$A$306,$I2692)=0),"Mã ĐT chưa khai báo! ","")))</f>
        <v/>
      </c>
      <c r="M2692" s="117">
        <f>IF($H2692="","",IF(AND(OR(LEFT($F2692,3)="111",LEFT($F2692,3)="112",LEFT($F2692,3)="113"),OR(LEFT($G2692,3)="111",LEFT($G2692,3)="112",LEFT($G2692,3)="113")),"NB",IF(OR(LEFT($F2692,3)="111",LEFT($F2692,3)="112",LEFT($F2692,3)="113"),"THU",IF(OR(LEFT($G2692,3)="111",LEFT($G2692,3)="112",LEFT($G2692,3)="113"),"CHI",""))))</f>
        <v/>
      </c>
      <c r="N2692" s="117">
        <f>IF($M2692="THU",$G2692,IF($M2692="CHI",$F2692,""))</f>
        <v/>
      </c>
      <c r="O2692" s="117">
        <f>IF(OR($M2692="",$M2692="NB"),"",IF($J2692&lt;&gt;"",TEXT($J2692,"00"),IFERROR(VLOOKUP(LEFT($N2692,4),LCTT_MAP!$A$7:$C$66,IF($M2692="THU",2,3),FALSE()),IFERROR(VLOOKUP(LEFT($N2692,3),LCTT_MAP!$A$7:$C$66,IF($M2692="THU",2,3),FALSE()),IFERROR(VLOOKUP(LEFT($N2692,2),LCTT_MAP!$A$7:$C$66,IF($M2692="THU",2,3),FALSE()),IFERROR(VLOOKUP(LEFT($N2692,1),LCTT_MAP!$A$7:$C$66,IF($M2692="THU",2,3),FALSE()),IF($M2692="THU","06","07")))))))</f>
        <v/>
      </c>
      <c r="P2692" s="117">
        <f>P2691+IF(AND($H2692&lt;&gt;"",OR(LEFT($F2692,LEN(SC_TK))=SC_TK,LEFT($G2692,LEN(SC_TK))=SC_TK)),1,0)</f>
        <v/>
      </c>
    </row>
    <row r="2693" ht="15" customHeight="1" s="78">
      <c r="A2693" s="95">
        <f>IF($H2693="","",ROW()-6)</f>
        <v/>
      </c>
      <c r="B2693" s="114" t="n"/>
      <c r="C2693" s="102" t="n"/>
      <c r="D2693" s="114" t="n"/>
      <c r="E2693" s="103" t="n"/>
      <c r="F2693" s="102" t="n"/>
      <c r="G2693" s="102" t="n"/>
      <c r="H2693" s="115" t="n"/>
      <c r="I2693" s="102" t="n"/>
      <c r="J2693" s="102" t="n"/>
      <c r="K2693" s="103" t="n"/>
      <c r="L2693" s="116">
        <f>IF($H2693="","",TRIM(IF(COUNTIF(DMTK!$A$7:$A$250,$F2693)=0,"TK Nợ sai! ","")&amp;IF(COUNTIF(DMTK!$A$7:$A$250,$G2693)=0,"TK Có sai! ","")&amp;IF(N($H2693)&lt;=0,"Tiền phải &gt; 0! ","")&amp;IF($B2693="","Thiếu ngày! ","")&amp;IF(AND(OR(LEFT($F2693,3)="131",LEFT($G2693,3)="131",LEFT($F2693,3)="331",LEFT($G2693,3)="331"),$I2693=""),"Thiếu Mã ĐT! ","")&amp;IF(AND($I2693&lt;&gt;"",COUNTIF(DM_DT!$A$7:$A$306,$I2693)=0),"Mã ĐT chưa khai báo! ","")))</f>
        <v/>
      </c>
      <c r="M2693" s="117">
        <f>IF($H2693="","",IF(AND(OR(LEFT($F2693,3)="111",LEFT($F2693,3)="112",LEFT($F2693,3)="113"),OR(LEFT($G2693,3)="111",LEFT($G2693,3)="112",LEFT($G2693,3)="113")),"NB",IF(OR(LEFT($F2693,3)="111",LEFT($F2693,3)="112",LEFT($F2693,3)="113"),"THU",IF(OR(LEFT($G2693,3)="111",LEFT($G2693,3)="112",LEFT($G2693,3)="113"),"CHI",""))))</f>
        <v/>
      </c>
      <c r="N2693" s="117">
        <f>IF($M2693="THU",$G2693,IF($M2693="CHI",$F2693,""))</f>
        <v/>
      </c>
      <c r="O2693" s="117">
        <f>IF(OR($M2693="",$M2693="NB"),"",IF($J2693&lt;&gt;"",TEXT($J2693,"00"),IFERROR(VLOOKUP(LEFT($N2693,4),LCTT_MAP!$A$7:$C$66,IF($M2693="THU",2,3),FALSE()),IFERROR(VLOOKUP(LEFT($N2693,3),LCTT_MAP!$A$7:$C$66,IF($M2693="THU",2,3),FALSE()),IFERROR(VLOOKUP(LEFT($N2693,2),LCTT_MAP!$A$7:$C$66,IF($M2693="THU",2,3),FALSE()),IFERROR(VLOOKUP(LEFT($N2693,1),LCTT_MAP!$A$7:$C$66,IF($M2693="THU",2,3),FALSE()),IF($M2693="THU","06","07")))))))</f>
        <v/>
      </c>
      <c r="P2693" s="117">
        <f>P2692+IF(AND($H2693&lt;&gt;"",OR(LEFT($F2693,LEN(SC_TK))=SC_TK,LEFT($G2693,LEN(SC_TK))=SC_TK)),1,0)</f>
        <v/>
      </c>
    </row>
    <row r="2694" ht="15" customHeight="1" s="78">
      <c r="A2694" s="95">
        <f>IF($H2694="","",ROW()-6)</f>
        <v/>
      </c>
      <c r="B2694" s="114" t="n"/>
      <c r="C2694" s="102" t="n"/>
      <c r="D2694" s="114" t="n"/>
      <c r="E2694" s="103" t="n"/>
      <c r="F2694" s="102" t="n"/>
      <c r="G2694" s="102" t="n"/>
      <c r="H2694" s="115" t="n"/>
      <c r="I2694" s="102" t="n"/>
      <c r="J2694" s="102" t="n"/>
      <c r="K2694" s="103" t="n"/>
      <c r="L2694" s="116">
        <f>IF($H2694="","",TRIM(IF(COUNTIF(DMTK!$A$7:$A$250,$F2694)=0,"TK Nợ sai! ","")&amp;IF(COUNTIF(DMTK!$A$7:$A$250,$G2694)=0,"TK Có sai! ","")&amp;IF(N($H2694)&lt;=0,"Tiền phải &gt; 0! ","")&amp;IF($B2694="","Thiếu ngày! ","")&amp;IF(AND(OR(LEFT($F2694,3)="131",LEFT($G2694,3)="131",LEFT($F2694,3)="331",LEFT($G2694,3)="331"),$I2694=""),"Thiếu Mã ĐT! ","")&amp;IF(AND($I2694&lt;&gt;"",COUNTIF(DM_DT!$A$7:$A$306,$I2694)=0),"Mã ĐT chưa khai báo! ","")))</f>
        <v/>
      </c>
      <c r="M2694" s="117">
        <f>IF($H2694="","",IF(AND(OR(LEFT($F2694,3)="111",LEFT($F2694,3)="112",LEFT($F2694,3)="113"),OR(LEFT($G2694,3)="111",LEFT($G2694,3)="112",LEFT($G2694,3)="113")),"NB",IF(OR(LEFT($F2694,3)="111",LEFT($F2694,3)="112",LEFT($F2694,3)="113"),"THU",IF(OR(LEFT($G2694,3)="111",LEFT($G2694,3)="112",LEFT($G2694,3)="113"),"CHI",""))))</f>
        <v/>
      </c>
      <c r="N2694" s="117">
        <f>IF($M2694="THU",$G2694,IF($M2694="CHI",$F2694,""))</f>
        <v/>
      </c>
      <c r="O2694" s="117">
        <f>IF(OR($M2694="",$M2694="NB"),"",IF($J2694&lt;&gt;"",TEXT($J2694,"00"),IFERROR(VLOOKUP(LEFT($N2694,4),LCTT_MAP!$A$7:$C$66,IF($M2694="THU",2,3),FALSE()),IFERROR(VLOOKUP(LEFT($N2694,3),LCTT_MAP!$A$7:$C$66,IF($M2694="THU",2,3),FALSE()),IFERROR(VLOOKUP(LEFT($N2694,2),LCTT_MAP!$A$7:$C$66,IF($M2694="THU",2,3),FALSE()),IFERROR(VLOOKUP(LEFT($N2694,1),LCTT_MAP!$A$7:$C$66,IF($M2694="THU",2,3),FALSE()),IF($M2694="THU","06","07")))))))</f>
        <v/>
      </c>
      <c r="P2694" s="117">
        <f>P2693+IF(AND($H2694&lt;&gt;"",OR(LEFT($F2694,LEN(SC_TK))=SC_TK,LEFT($G2694,LEN(SC_TK))=SC_TK)),1,0)</f>
        <v/>
      </c>
    </row>
    <row r="2695" ht="15" customHeight="1" s="78">
      <c r="A2695" s="95">
        <f>IF($H2695="","",ROW()-6)</f>
        <v/>
      </c>
      <c r="B2695" s="114" t="n"/>
      <c r="C2695" s="102" t="n"/>
      <c r="D2695" s="114" t="n"/>
      <c r="E2695" s="103" t="n"/>
      <c r="F2695" s="102" t="n"/>
      <c r="G2695" s="102" t="n"/>
      <c r="H2695" s="115" t="n"/>
      <c r="I2695" s="102" t="n"/>
      <c r="J2695" s="102" t="n"/>
      <c r="K2695" s="103" t="n"/>
      <c r="L2695" s="116">
        <f>IF($H2695="","",TRIM(IF(COUNTIF(DMTK!$A$7:$A$250,$F2695)=0,"TK Nợ sai! ","")&amp;IF(COUNTIF(DMTK!$A$7:$A$250,$G2695)=0,"TK Có sai! ","")&amp;IF(N($H2695)&lt;=0,"Tiền phải &gt; 0! ","")&amp;IF($B2695="","Thiếu ngày! ","")&amp;IF(AND(OR(LEFT($F2695,3)="131",LEFT($G2695,3)="131",LEFT($F2695,3)="331",LEFT($G2695,3)="331"),$I2695=""),"Thiếu Mã ĐT! ","")&amp;IF(AND($I2695&lt;&gt;"",COUNTIF(DM_DT!$A$7:$A$306,$I2695)=0),"Mã ĐT chưa khai báo! ","")))</f>
        <v/>
      </c>
      <c r="M2695" s="117">
        <f>IF($H2695="","",IF(AND(OR(LEFT($F2695,3)="111",LEFT($F2695,3)="112",LEFT($F2695,3)="113"),OR(LEFT($G2695,3)="111",LEFT($G2695,3)="112",LEFT($G2695,3)="113")),"NB",IF(OR(LEFT($F2695,3)="111",LEFT($F2695,3)="112",LEFT($F2695,3)="113"),"THU",IF(OR(LEFT($G2695,3)="111",LEFT($G2695,3)="112",LEFT($G2695,3)="113"),"CHI",""))))</f>
        <v/>
      </c>
      <c r="N2695" s="117">
        <f>IF($M2695="THU",$G2695,IF($M2695="CHI",$F2695,""))</f>
        <v/>
      </c>
      <c r="O2695" s="117">
        <f>IF(OR($M2695="",$M2695="NB"),"",IF($J2695&lt;&gt;"",TEXT($J2695,"00"),IFERROR(VLOOKUP(LEFT($N2695,4),LCTT_MAP!$A$7:$C$66,IF($M2695="THU",2,3),FALSE()),IFERROR(VLOOKUP(LEFT($N2695,3),LCTT_MAP!$A$7:$C$66,IF($M2695="THU",2,3),FALSE()),IFERROR(VLOOKUP(LEFT($N2695,2),LCTT_MAP!$A$7:$C$66,IF($M2695="THU",2,3),FALSE()),IFERROR(VLOOKUP(LEFT($N2695,1),LCTT_MAP!$A$7:$C$66,IF($M2695="THU",2,3),FALSE()),IF($M2695="THU","06","07")))))))</f>
        <v/>
      </c>
      <c r="P2695" s="117">
        <f>P2694+IF(AND($H2695&lt;&gt;"",OR(LEFT($F2695,LEN(SC_TK))=SC_TK,LEFT($G2695,LEN(SC_TK))=SC_TK)),1,0)</f>
        <v/>
      </c>
    </row>
    <row r="2696" ht="15" customHeight="1" s="78">
      <c r="A2696" s="95">
        <f>IF($H2696="","",ROW()-6)</f>
        <v/>
      </c>
      <c r="B2696" s="114" t="n"/>
      <c r="C2696" s="102" t="n"/>
      <c r="D2696" s="114" t="n"/>
      <c r="E2696" s="103" t="n"/>
      <c r="F2696" s="102" t="n"/>
      <c r="G2696" s="102" t="n"/>
      <c r="H2696" s="115" t="n"/>
      <c r="I2696" s="102" t="n"/>
      <c r="J2696" s="102" t="n"/>
      <c r="K2696" s="103" t="n"/>
      <c r="L2696" s="116">
        <f>IF($H2696="","",TRIM(IF(COUNTIF(DMTK!$A$7:$A$250,$F2696)=0,"TK Nợ sai! ","")&amp;IF(COUNTIF(DMTK!$A$7:$A$250,$G2696)=0,"TK Có sai! ","")&amp;IF(N($H2696)&lt;=0,"Tiền phải &gt; 0! ","")&amp;IF($B2696="","Thiếu ngày! ","")&amp;IF(AND(OR(LEFT($F2696,3)="131",LEFT($G2696,3)="131",LEFT($F2696,3)="331",LEFT($G2696,3)="331"),$I2696=""),"Thiếu Mã ĐT! ","")&amp;IF(AND($I2696&lt;&gt;"",COUNTIF(DM_DT!$A$7:$A$306,$I2696)=0),"Mã ĐT chưa khai báo! ","")))</f>
        <v/>
      </c>
      <c r="M2696" s="117">
        <f>IF($H2696="","",IF(AND(OR(LEFT($F2696,3)="111",LEFT($F2696,3)="112",LEFT($F2696,3)="113"),OR(LEFT($G2696,3)="111",LEFT($G2696,3)="112",LEFT($G2696,3)="113")),"NB",IF(OR(LEFT($F2696,3)="111",LEFT($F2696,3)="112",LEFT($F2696,3)="113"),"THU",IF(OR(LEFT($G2696,3)="111",LEFT($G2696,3)="112",LEFT($G2696,3)="113"),"CHI",""))))</f>
        <v/>
      </c>
      <c r="N2696" s="117">
        <f>IF($M2696="THU",$G2696,IF($M2696="CHI",$F2696,""))</f>
        <v/>
      </c>
      <c r="O2696" s="117">
        <f>IF(OR($M2696="",$M2696="NB"),"",IF($J2696&lt;&gt;"",TEXT($J2696,"00"),IFERROR(VLOOKUP(LEFT($N2696,4),LCTT_MAP!$A$7:$C$66,IF($M2696="THU",2,3),FALSE()),IFERROR(VLOOKUP(LEFT($N2696,3),LCTT_MAP!$A$7:$C$66,IF($M2696="THU",2,3),FALSE()),IFERROR(VLOOKUP(LEFT($N2696,2),LCTT_MAP!$A$7:$C$66,IF($M2696="THU",2,3),FALSE()),IFERROR(VLOOKUP(LEFT($N2696,1),LCTT_MAP!$A$7:$C$66,IF($M2696="THU",2,3),FALSE()),IF($M2696="THU","06","07")))))))</f>
        <v/>
      </c>
      <c r="P2696" s="117">
        <f>P2695+IF(AND($H2696&lt;&gt;"",OR(LEFT($F2696,LEN(SC_TK))=SC_TK,LEFT($G2696,LEN(SC_TK))=SC_TK)),1,0)</f>
        <v/>
      </c>
    </row>
    <row r="2697" ht="15" customHeight="1" s="78">
      <c r="A2697" s="95">
        <f>IF($H2697="","",ROW()-6)</f>
        <v/>
      </c>
      <c r="B2697" s="114" t="n"/>
      <c r="C2697" s="102" t="n"/>
      <c r="D2697" s="114" t="n"/>
      <c r="E2697" s="103" t="n"/>
      <c r="F2697" s="102" t="n"/>
      <c r="G2697" s="102" t="n"/>
      <c r="H2697" s="115" t="n"/>
      <c r="I2697" s="102" t="n"/>
      <c r="J2697" s="102" t="n"/>
      <c r="K2697" s="103" t="n"/>
      <c r="L2697" s="116">
        <f>IF($H2697="","",TRIM(IF(COUNTIF(DMTK!$A$7:$A$250,$F2697)=0,"TK Nợ sai! ","")&amp;IF(COUNTIF(DMTK!$A$7:$A$250,$G2697)=0,"TK Có sai! ","")&amp;IF(N($H2697)&lt;=0,"Tiền phải &gt; 0! ","")&amp;IF($B2697="","Thiếu ngày! ","")&amp;IF(AND(OR(LEFT($F2697,3)="131",LEFT($G2697,3)="131",LEFT($F2697,3)="331",LEFT($G2697,3)="331"),$I2697=""),"Thiếu Mã ĐT! ","")&amp;IF(AND($I2697&lt;&gt;"",COUNTIF(DM_DT!$A$7:$A$306,$I2697)=0),"Mã ĐT chưa khai báo! ","")))</f>
        <v/>
      </c>
      <c r="M2697" s="117">
        <f>IF($H2697="","",IF(AND(OR(LEFT($F2697,3)="111",LEFT($F2697,3)="112",LEFT($F2697,3)="113"),OR(LEFT($G2697,3)="111",LEFT($G2697,3)="112",LEFT($G2697,3)="113")),"NB",IF(OR(LEFT($F2697,3)="111",LEFT($F2697,3)="112",LEFT($F2697,3)="113"),"THU",IF(OR(LEFT($G2697,3)="111",LEFT($G2697,3)="112",LEFT($G2697,3)="113"),"CHI",""))))</f>
        <v/>
      </c>
      <c r="N2697" s="117">
        <f>IF($M2697="THU",$G2697,IF($M2697="CHI",$F2697,""))</f>
        <v/>
      </c>
      <c r="O2697" s="117">
        <f>IF(OR($M2697="",$M2697="NB"),"",IF($J2697&lt;&gt;"",TEXT($J2697,"00"),IFERROR(VLOOKUP(LEFT($N2697,4),LCTT_MAP!$A$7:$C$66,IF($M2697="THU",2,3),FALSE()),IFERROR(VLOOKUP(LEFT($N2697,3),LCTT_MAP!$A$7:$C$66,IF($M2697="THU",2,3),FALSE()),IFERROR(VLOOKUP(LEFT($N2697,2),LCTT_MAP!$A$7:$C$66,IF($M2697="THU",2,3),FALSE()),IFERROR(VLOOKUP(LEFT($N2697,1),LCTT_MAP!$A$7:$C$66,IF($M2697="THU",2,3),FALSE()),IF($M2697="THU","06","07")))))))</f>
        <v/>
      </c>
      <c r="P2697" s="117">
        <f>P2696+IF(AND($H2697&lt;&gt;"",OR(LEFT($F2697,LEN(SC_TK))=SC_TK,LEFT($G2697,LEN(SC_TK))=SC_TK)),1,0)</f>
        <v/>
      </c>
    </row>
    <row r="2698" ht="15" customHeight="1" s="78">
      <c r="A2698" s="95">
        <f>IF($H2698="","",ROW()-6)</f>
        <v/>
      </c>
      <c r="B2698" s="114" t="n"/>
      <c r="C2698" s="102" t="n"/>
      <c r="D2698" s="114" t="n"/>
      <c r="E2698" s="103" t="n"/>
      <c r="F2698" s="102" t="n"/>
      <c r="G2698" s="102" t="n"/>
      <c r="H2698" s="115" t="n"/>
      <c r="I2698" s="102" t="n"/>
      <c r="J2698" s="102" t="n"/>
      <c r="K2698" s="103" t="n"/>
      <c r="L2698" s="116">
        <f>IF($H2698="","",TRIM(IF(COUNTIF(DMTK!$A$7:$A$250,$F2698)=0,"TK Nợ sai! ","")&amp;IF(COUNTIF(DMTK!$A$7:$A$250,$G2698)=0,"TK Có sai! ","")&amp;IF(N($H2698)&lt;=0,"Tiền phải &gt; 0! ","")&amp;IF($B2698="","Thiếu ngày! ","")&amp;IF(AND(OR(LEFT($F2698,3)="131",LEFT($G2698,3)="131",LEFT($F2698,3)="331",LEFT($G2698,3)="331"),$I2698=""),"Thiếu Mã ĐT! ","")&amp;IF(AND($I2698&lt;&gt;"",COUNTIF(DM_DT!$A$7:$A$306,$I2698)=0),"Mã ĐT chưa khai báo! ","")))</f>
        <v/>
      </c>
      <c r="M2698" s="117">
        <f>IF($H2698="","",IF(AND(OR(LEFT($F2698,3)="111",LEFT($F2698,3)="112",LEFT($F2698,3)="113"),OR(LEFT($G2698,3)="111",LEFT($G2698,3)="112",LEFT($G2698,3)="113")),"NB",IF(OR(LEFT($F2698,3)="111",LEFT($F2698,3)="112",LEFT($F2698,3)="113"),"THU",IF(OR(LEFT($G2698,3)="111",LEFT($G2698,3)="112",LEFT($G2698,3)="113"),"CHI",""))))</f>
        <v/>
      </c>
      <c r="N2698" s="117">
        <f>IF($M2698="THU",$G2698,IF($M2698="CHI",$F2698,""))</f>
        <v/>
      </c>
      <c r="O2698" s="117">
        <f>IF(OR($M2698="",$M2698="NB"),"",IF($J2698&lt;&gt;"",TEXT($J2698,"00"),IFERROR(VLOOKUP(LEFT($N2698,4),LCTT_MAP!$A$7:$C$66,IF($M2698="THU",2,3),FALSE()),IFERROR(VLOOKUP(LEFT($N2698,3),LCTT_MAP!$A$7:$C$66,IF($M2698="THU",2,3),FALSE()),IFERROR(VLOOKUP(LEFT($N2698,2),LCTT_MAP!$A$7:$C$66,IF($M2698="THU",2,3),FALSE()),IFERROR(VLOOKUP(LEFT($N2698,1),LCTT_MAP!$A$7:$C$66,IF($M2698="THU",2,3),FALSE()),IF($M2698="THU","06","07")))))))</f>
        <v/>
      </c>
      <c r="P2698" s="117">
        <f>P2697+IF(AND($H2698&lt;&gt;"",OR(LEFT($F2698,LEN(SC_TK))=SC_TK,LEFT($G2698,LEN(SC_TK))=SC_TK)),1,0)</f>
        <v/>
      </c>
    </row>
    <row r="2699" ht="15" customHeight="1" s="78">
      <c r="A2699" s="95">
        <f>IF($H2699="","",ROW()-6)</f>
        <v/>
      </c>
      <c r="B2699" s="114" t="n"/>
      <c r="C2699" s="102" t="n"/>
      <c r="D2699" s="114" t="n"/>
      <c r="E2699" s="103" t="n"/>
      <c r="F2699" s="102" t="n"/>
      <c r="G2699" s="102" t="n"/>
      <c r="H2699" s="115" t="n"/>
      <c r="I2699" s="102" t="n"/>
      <c r="J2699" s="102" t="n"/>
      <c r="K2699" s="103" t="n"/>
      <c r="L2699" s="116">
        <f>IF($H2699="","",TRIM(IF(COUNTIF(DMTK!$A$7:$A$250,$F2699)=0,"TK Nợ sai! ","")&amp;IF(COUNTIF(DMTK!$A$7:$A$250,$G2699)=0,"TK Có sai! ","")&amp;IF(N($H2699)&lt;=0,"Tiền phải &gt; 0! ","")&amp;IF($B2699="","Thiếu ngày! ","")&amp;IF(AND(OR(LEFT($F2699,3)="131",LEFT($G2699,3)="131",LEFT($F2699,3)="331",LEFT($G2699,3)="331"),$I2699=""),"Thiếu Mã ĐT! ","")&amp;IF(AND($I2699&lt;&gt;"",COUNTIF(DM_DT!$A$7:$A$306,$I2699)=0),"Mã ĐT chưa khai báo! ","")))</f>
        <v/>
      </c>
      <c r="M2699" s="117">
        <f>IF($H2699="","",IF(AND(OR(LEFT($F2699,3)="111",LEFT($F2699,3)="112",LEFT($F2699,3)="113"),OR(LEFT($G2699,3)="111",LEFT($G2699,3)="112",LEFT($G2699,3)="113")),"NB",IF(OR(LEFT($F2699,3)="111",LEFT($F2699,3)="112",LEFT($F2699,3)="113"),"THU",IF(OR(LEFT($G2699,3)="111",LEFT($G2699,3)="112",LEFT($G2699,3)="113"),"CHI",""))))</f>
        <v/>
      </c>
      <c r="N2699" s="117">
        <f>IF($M2699="THU",$G2699,IF($M2699="CHI",$F2699,""))</f>
        <v/>
      </c>
      <c r="O2699" s="117">
        <f>IF(OR($M2699="",$M2699="NB"),"",IF($J2699&lt;&gt;"",TEXT($J2699,"00"),IFERROR(VLOOKUP(LEFT($N2699,4),LCTT_MAP!$A$7:$C$66,IF($M2699="THU",2,3),FALSE()),IFERROR(VLOOKUP(LEFT($N2699,3),LCTT_MAP!$A$7:$C$66,IF($M2699="THU",2,3),FALSE()),IFERROR(VLOOKUP(LEFT($N2699,2),LCTT_MAP!$A$7:$C$66,IF($M2699="THU",2,3),FALSE()),IFERROR(VLOOKUP(LEFT($N2699,1),LCTT_MAP!$A$7:$C$66,IF($M2699="THU",2,3),FALSE()),IF($M2699="THU","06","07")))))))</f>
        <v/>
      </c>
      <c r="P2699" s="117">
        <f>P2698+IF(AND($H2699&lt;&gt;"",OR(LEFT($F2699,LEN(SC_TK))=SC_TK,LEFT($G2699,LEN(SC_TK))=SC_TK)),1,0)</f>
        <v/>
      </c>
    </row>
    <row r="2700" ht="15" customHeight="1" s="78">
      <c r="A2700" s="95">
        <f>IF($H2700="","",ROW()-6)</f>
        <v/>
      </c>
      <c r="B2700" s="114" t="n"/>
      <c r="C2700" s="102" t="n"/>
      <c r="D2700" s="114" t="n"/>
      <c r="E2700" s="103" t="n"/>
      <c r="F2700" s="102" t="n"/>
      <c r="G2700" s="102" t="n"/>
      <c r="H2700" s="115" t="n"/>
      <c r="I2700" s="102" t="n"/>
      <c r="J2700" s="102" t="n"/>
      <c r="K2700" s="103" t="n"/>
      <c r="L2700" s="116">
        <f>IF($H2700="","",TRIM(IF(COUNTIF(DMTK!$A$7:$A$250,$F2700)=0,"TK Nợ sai! ","")&amp;IF(COUNTIF(DMTK!$A$7:$A$250,$G2700)=0,"TK Có sai! ","")&amp;IF(N($H2700)&lt;=0,"Tiền phải &gt; 0! ","")&amp;IF($B2700="","Thiếu ngày! ","")&amp;IF(AND(OR(LEFT($F2700,3)="131",LEFT($G2700,3)="131",LEFT($F2700,3)="331",LEFT($G2700,3)="331"),$I2700=""),"Thiếu Mã ĐT! ","")&amp;IF(AND($I2700&lt;&gt;"",COUNTIF(DM_DT!$A$7:$A$306,$I2700)=0),"Mã ĐT chưa khai báo! ","")))</f>
        <v/>
      </c>
      <c r="M2700" s="117">
        <f>IF($H2700="","",IF(AND(OR(LEFT($F2700,3)="111",LEFT($F2700,3)="112",LEFT($F2700,3)="113"),OR(LEFT($G2700,3)="111",LEFT($G2700,3)="112",LEFT($G2700,3)="113")),"NB",IF(OR(LEFT($F2700,3)="111",LEFT($F2700,3)="112",LEFT($F2700,3)="113"),"THU",IF(OR(LEFT($G2700,3)="111",LEFT($G2700,3)="112",LEFT($G2700,3)="113"),"CHI",""))))</f>
        <v/>
      </c>
      <c r="N2700" s="117">
        <f>IF($M2700="THU",$G2700,IF($M2700="CHI",$F2700,""))</f>
        <v/>
      </c>
      <c r="O2700" s="117">
        <f>IF(OR($M2700="",$M2700="NB"),"",IF($J2700&lt;&gt;"",TEXT($J2700,"00"),IFERROR(VLOOKUP(LEFT($N2700,4),LCTT_MAP!$A$7:$C$66,IF($M2700="THU",2,3),FALSE()),IFERROR(VLOOKUP(LEFT($N2700,3),LCTT_MAP!$A$7:$C$66,IF($M2700="THU",2,3),FALSE()),IFERROR(VLOOKUP(LEFT($N2700,2),LCTT_MAP!$A$7:$C$66,IF($M2700="THU",2,3),FALSE()),IFERROR(VLOOKUP(LEFT($N2700,1),LCTT_MAP!$A$7:$C$66,IF($M2700="THU",2,3),FALSE()),IF($M2700="THU","06","07")))))))</f>
        <v/>
      </c>
      <c r="P2700" s="117">
        <f>P2699+IF(AND($H2700&lt;&gt;"",OR(LEFT($F2700,LEN(SC_TK))=SC_TK,LEFT($G2700,LEN(SC_TK))=SC_TK)),1,0)</f>
        <v/>
      </c>
    </row>
    <row r="2701" ht="15" customHeight="1" s="78">
      <c r="A2701" s="95">
        <f>IF($H2701="","",ROW()-6)</f>
        <v/>
      </c>
      <c r="B2701" s="114" t="n"/>
      <c r="C2701" s="102" t="n"/>
      <c r="D2701" s="114" t="n"/>
      <c r="E2701" s="103" t="n"/>
      <c r="F2701" s="102" t="n"/>
      <c r="G2701" s="102" t="n"/>
      <c r="H2701" s="115" t="n"/>
      <c r="I2701" s="102" t="n"/>
      <c r="J2701" s="102" t="n"/>
      <c r="K2701" s="103" t="n"/>
      <c r="L2701" s="116">
        <f>IF($H2701="","",TRIM(IF(COUNTIF(DMTK!$A$7:$A$250,$F2701)=0,"TK Nợ sai! ","")&amp;IF(COUNTIF(DMTK!$A$7:$A$250,$G2701)=0,"TK Có sai! ","")&amp;IF(N($H2701)&lt;=0,"Tiền phải &gt; 0! ","")&amp;IF($B2701="","Thiếu ngày! ","")&amp;IF(AND(OR(LEFT($F2701,3)="131",LEFT($G2701,3)="131",LEFT($F2701,3)="331",LEFT($G2701,3)="331"),$I2701=""),"Thiếu Mã ĐT! ","")&amp;IF(AND($I2701&lt;&gt;"",COUNTIF(DM_DT!$A$7:$A$306,$I2701)=0),"Mã ĐT chưa khai báo! ","")))</f>
        <v/>
      </c>
      <c r="M2701" s="117">
        <f>IF($H2701="","",IF(AND(OR(LEFT($F2701,3)="111",LEFT($F2701,3)="112",LEFT($F2701,3)="113"),OR(LEFT($G2701,3)="111",LEFT($G2701,3)="112",LEFT($G2701,3)="113")),"NB",IF(OR(LEFT($F2701,3)="111",LEFT($F2701,3)="112",LEFT($F2701,3)="113"),"THU",IF(OR(LEFT($G2701,3)="111",LEFT($G2701,3)="112",LEFT($G2701,3)="113"),"CHI",""))))</f>
        <v/>
      </c>
      <c r="N2701" s="117">
        <f>IF($M2701="THU",$G2701,IF($M2701="CHI",$F2701,""))</f>
        <v/>
      </c>
      <c r="O2701" s="117">
        <f>IF(OR($M2701="",$M2701="NB"),"",IF($J2701&lt;&gt;"",TEXT($J2701,"00"),IFERROR(VLOOKUP(LEFT($N2701,4),LCTT_MAP!$A$7:$C$66,IF($M2701="THU",2,3),FALSE()),IFERROR(VLOOKUP(LEFT($N2701,3),LCTT_MAP!$A$7:$C$66,IF($M2701="THU",2,3),FALSE()),IFERROR(VLOOKUP(LEFT($N2701,2),LCTT_MAP!$A$7:$C$66,IF($M2701="THU",2,3),FALSE()),IFERROR(VLOOKUP(LEFT($N2701,1),LCTT_MAP!$A$7:$C$66,IF($M2701="THU",2,3),FALSE()),IF($M2701="THU","06","07")))))))</f>
        <v/>
      </c>
      <c r="P2701" s="117">
        <f>P2700+IF(AND($H2701&lt;&gt;"",OR(LEFT($F2701,LEN(SC_TK))=SC_TK,LEFT($G2701,LEN(SC_TK))=SC_TK)),1,0)</f>
        <v/>
      </c>
    </row>
    <row r="2702" ht="15" customHeight="1" s="78">
      <c r="A2702" s="95">
        <f>IF($H2702="","",ROW()-6)</f>
        <v/>
      </c>
      <c r="B2702" s="114" t="n"/>
      <c r="C2702" s="102" t="n"/>
      <c r="D2702" s="114" t="n"/>
      <c r="E2702" s="103" t="n"/>
      <c r="F2702" s="102" t="n"/>
      <c r="G2702" s="102" t="n"/>
      <c r="H2702" s="115" t="n"/>
      <c r="I2702" s="102" t="n"/>
      <c r="J2702" s="102" t="n"/>
      <c r="K2702" s="103" t="n"/>
      <c r="L2702" s="116">
        <f>IF($H2702="","",TRIM(IF(COUNTIF(DMTK!$A$7:$A$250,$F2702)=0,"TK Nợ sai! ","")&amp;IF(COUNTIF(DMTK!$A$7:$A$250,$G2702)=0,"TK Có sai! ","")&amp;IF(N($H2702)&lt;=0,"Tiền phải &gt; 0! ","")&amp;IF($B2702="","Thiếu ngày! ","")&amp;IF(AND(OR(LEFT($F2702,3)="131",LEFT($G2702,3)="131",LEFT($F2702,3)="331",LEFT($G2702,3)="331"),$I2702=""),"Thiếu Mã ĐT! ","")&amp;IF(AND($I2702&lt;&gt;"",COUNTIF(DM_DT!$A$7:$A$306,$I2702)=0),"Mã ĐT chưa khai báo! ","")))</f>
        <v/>
      </c>
      <c r="M2702" s="117">
        <f>IF($H2702="","",IF(AND(OR(LEFT($F2702,3)="111",LEFT($F2702,3)="112",LEFT($F2702,3)="113"),OR(LEFT($G2702,3)="111",LEFT($G2702,3)="112",LEFT($G2702,3)="113")),"NB",IF(OR(LEFT($F2702,3)="111",LEFT($F2702,3)="112",LEFT($F2702,3)="113"),"THU",IF(OR(LEFT($G2702,3)="111",LEFT($G2702,3)="112",LEFT($G2702,3)="113"),"CHI",""))))</f>
        <v/>
      </c>
      <c r="N2702" s="117">
        <f>IF($M2702="THU",$G2702,IF($M2702="CHI",$F2702,""))</f>
        <v/>
      </c>
      <c r="O2702" s="117">
        <f>IF(OR($M2702="",$M2702="NB"),"",IF($J2702&lt;&gt;"",TEXT($J2702,"00"),IFERROR(VLOOKUP(LEFT($N2702,4),LCTT_MAP!$A$7:$C$66,IF($M2702="THU",2,3),FALSE()),IFERROR(VLOOKUP(LEFT($N2702,3),LCTT_MAP!$A$7:$C$66,IF($M2702="THU",2,3),FALSE()),IFERROR(VLOOKUP(LEFT($N2702,2),LCTT_MAP!$A$7:$C$66,IF($M2702="THU",2,3),FALSE()),IFERROR(VLOOKUP(LEFT($N2702,1),LCTT_MAP!$A$7:$C$66,IF($M2702="THU",2,3),FALSE()),IF($M2702="THU","06","07")))))))</f>
        <v/>
      </c>
      <c r="P2702" s="117">
        <f>P2701+IF(AND($H2702&lt;&gt;"",OR(LEFT($F2702,LEN(SC_TK))=SC_TK,LEFT($G2702,LEN(SC_TK))=SC_TK)),1,0)</f>
        <v/>
      </c>
    </row>
    <row r="2703" ht="15" customHeight="1" s="78">
      <c r="A2703" s="95">
        <f>IF($H2703="","",ROW()-6)</f>
        <v/>
      </c>
      <c r="B2703" s="114" t="n"/>
      <c r="C2703" s="102" t="n"/>
      <c r="D2703" s="114" t="n"/>
      <c r="E2703" s="103" t="n"/>
      <c r="F2703" s="102" t="n"/>
      <c r="G2703" s="102" t="n"/>
      <c r="H2703" s="115" t="n"/>
      <c r="I2703" s="102" t="n"/>
      <c r="J2703" s="102" t="n"/>
      <c r="K2703" s="103" t="n"/>
      <c r="L2703" s="116">
        <f>IF($H2703="","",TRIM(IF(COUNTIF(DMTK!$A$7:$A$250,$F2703)=0,"TK Nợ sai! ","")&amp;IF(COUNTIF(DMTK!$A$7:$A$250,$G2703)=0,"TK Có sai! ","")&amp;IF(N($H2703)&lt;=0,"Tiền phải &gt; 0! ","")&amp;IF($B2703="","Thiếu ngày! ","")&amp;IF(AND(OR(LEFT($F2703,3)="131",LEFT($G2703,3)="131",LEFT($F2703,3)="331",LEFT($G2703,3)="331"),$I2703=""),"Thiếu Mã ĐT! ","")&amp;IF(AND($I2703&lt;&gt;"",COUNTIF(DM_DT!$A$7:$A$306,$I2703)=0),"Mã ĐT chưa khai báo! ","")))</f>
        <v/>
      </c>
      <c r="M2703" s="117">
        <f>IF($H2703="","",IF(AND(OR(LEFT($F2703,3)="111",LEFT($F2703,3)="112",LEFT($F2703,3)="113"),OR(LEFT($G2703,3)="111",LEFT($G2703,3)="112",LEFT($G2703,3)="113")),"NB",IF(OR(LEFT($F2703,3)="111",LEFT($F2703,3)="112",LEFT($F2703,3)="113"),"THU",IF(OR(LEFT($G2703,3)="111",LEFT($G2703,3)="112",LEFT($G2703,3)="113"),"CHI",""))))</f>
        <v/>
      </c>
      <c r="N2703" s="117">
        <f>IF($M2703="THU",$G2703,IF($M2703="CHI",$F2703,""))</f>
        <v/>
      </c>
      <c r="O2703" s="117">
        <f>IF(OR($M2703="",$M2703="NB"),"",IF($J2703&lt;&gt;"",TEXT($J2703,"00"),IFERROR(VLOOKUP(LEFT($N2703,4),LCTT_MAP!$A$7:$C$66,IF($M2703="THU",2,3),FALSE()),IFERROR(VLOOKUP(LEFT($N2703,3),LCTT_MAP!$A$7:$C$66,IF($M2703="THU",2,3),FALSE()),IFERROR(VLOOKUP(LEFT($N2703,2),LCTT_MAP!$A$7:$C$66,IF($M2703="THU",2,3),FALSE()),IFERROR(VLOOKUP(LEFT($N2703,1),LCTT_MAP!$A$7:$C$66,IF($M2703="THU",2,3),FALSE()),IF($M2703="THU","06","07")))))))</f>
        <v/>
      </c>
      <c r="P2703" s="117">
        <f>P2702+IF(AND($H2703&lt;&gt;"",OR(LEFT($F2703,LEN(SC_TK))=SC_TK,LEFT($G2703,LEN(SC_TK))=SC_TK)),1,0)</f>
        <v/>
      </c>
    </row>
    <row r="2704" ht="15" customHeight="1" s="78">
      <c r="A2704" s="95">
        <f>IF($H2704="","",ROW()-6)</f>
        <v/>
      </c>
      <c r="B2704" s="114" t="n"/>
      <c r="C2704" s="102" t="n"/>
      <c r="D2704" s="114" t="n"/>
      <c r="E2704" s="103" t="n"/>
      <c r="F2704" s="102" t="n"/>
      <c r="G2704" s="102" t="n"/>
      <c r="H2704" s="115" t="n"/>
      <c r="I2704" s="102" t="n"/>
      <c r="J2704" s="102" t="n"/>
      <c r="K2704" s="103" t="n"/>
      <c r="L2704" s="116">
        <f>IF($H2704="","",TRIM(IF(COUNTIF(DMTK!$A$7:$A$250,$F2704)=0,"TK Nợ sai! ","")&amp;IF(COUNTIF(DMTK!$A$7:$A$250,$G2704)=0,"TK Có sai! ","")&amp;IF(N($H2704)&lt;=0,"Tiền phải &gt; 0! ","")&amp;IF($B2704="","Thiếu ngày! ","")&amp;IF(AND(OR(LEFT($F2704,3)="131",LEFT($G2704,3)="131",LEFT($F2704,3)="331",LEFT($G2704,3)="331"),$I2704=""),"Thiếu Mã ĐT! ","")&amp;IF(AND($I2704&lt;&gt;"",COUNTIF(DM_DT!$A$7:$A$306,$I2704)=0),"Mã ĐT chưa khai báo! ","")))</f>
        <v/>
      </c>
      <c r="M2704" s="117">
        <f>IF($H2704="","",IF(AND(OR(LEFT($F2704,3)="111",LEFT($F2704,3)="112",LEFT($F2704,3)="113"),OR(LEFT($G2704,3)="111",LEFT($G2704,3)="112",LEFT($G2704,3)="113")),"NB",IF(OR(LEFT($F2704,3)="111",LEFT($F2704,3)="112",LEFT($F2704,3)="113"),"THU",IF(OR(LEFT($G2704,3)="111",LEFT($G2704,3)="112",LEFT($G2704,3)="113"),"CHI",""))))</f>
        <v/>
      </c>
      <c r="N2704" s="117">
        <f>IF($M2704="THU",$G2704,IF($M2704="CHI",$F2704,""))</f>
        <v/>
      </c>
      <c r="O2704" s="117">
        <f>IF(OR($M2704="",$M2704="NB"),"",IF($J2704&lt;&gt;"",TEXT($J2704,"00"),IFERROR(VLOOKUP(LEFT($N2704,4),LCTT_MAP!$A$7:$C$66,IF($M2704="THU",2,3),FALSE()),IFERROR(VLOOKUP(LEFT($N2704,3),LCTT_MAP!$A$7:$C$66,IF($M2704="THU",2,3),FALSE()),IFERROR(VLOOKUP(LEFT($N2704,2),LCTT_MAP!$A$7:$C$66,IF($M2704="THU",2,3),FALSE()),IFERROR(VLOOKUP(LEFT($N2704,1),LCTT_MAP!$A$7:$C$66,IF($M2704="THU",2,3),FALSE()),IF($M2704="THU","06","07")))))))</f>
        <v/>
      </c>
      <c r="P2704" s="117">
        <f>P2703+IF(AND($H2704&lt;&gt;"",OR(LEFT($F2704,LEN(SC_TK))=SC_TK,LEFT($G2704,LEN(SC_TK))=SC_TK)),1,0)</f>
        <v/>
      </c>
    </row>
    <row r="2705" ht="15" customHeight="1" s="78">
      <c r="A2705" s="95">
        <f>IF($H2705="","",ROW()-6)</f>
        <v/>
      </c>
      <c r="B2705" s="114" t="n"/>
      <c r="C2705" s="102" t="n"/>
      <c r="D2705" s="114" t="n"/>
      <c r="E2705" s="103" t="n"/>
      <c r="F2705" s="102" t="n"/>
      <c r="G2705" s="102" t="n"/>
      <c r="H2705" s="115" t="n"/>
      <c r="I2705" s="102" t="n"/>
      <c r="J2705" s="102" t="n"/>
      <c r="K2705" s="103" t="n"/>
      <c r="L2705" s="116">
        <f>IF($H2705="","",TRIM(IF(COUNTIF(DMTK!$A$7:$A$250,$F2705)=0,"TK Nợ sai! ","")&amp;IF(COUNTIF(DMTK!$A$7:$A$250,$G2705)=0,"TK Có sai! ","")&amp;IF(N($H2705)&lt;=0,"Tiền phải &gt; 0! ","")&amp;IF($B2705="","Thiếu ngày! ","")&amp;IF(AND(OR(LEFT($F2705,3)="131",LEFT($G2705,3)="131",LEFT($F2705,3)="331",LEFT($G2705,3)="331"),$I2705=""),"Thiếu Mã ĐT! ","")&amp;IF(AND($I2705&lt;&gt;"",COUNTIF(DM_DT!$A$7:$A$306,$I2705)=0),"Mã ĐT chưa khai báo! ","")))</f>
        <v/>
      </c>
      <c r="M2705" s="117">
        <f>IF($H2705="","",IF(AND(OR(LEFT($F2705,3)="111",LEFT($F2705,3)="112",LEFT($F2705,3)="113"),OR(LEFT($G2705,3)="111",LEFT($G2705,3)="112",LEFT($G2705,3)="113")),"NB",IF(OR(LEFT($F2705,3)="111",LEFT($F2705,3)="112",LEFT($F2705,3)="113"),"THU",IF(OR(LEFT($G2705,3)="111",LEFT($G2705,3)="112",LEFT($G2705,3)="113"),"CHI",""))))</f>
        <v/>
      </c>
      <c r="N2705" s="117">
        <f>IF($M2705="THU",$G2705,IF($M2705="CHI",$F2705,""))</f>
        <v/>
      </c>
      <c r="O2705" s="117">
        <f>IF(OR($M2705="",$M2705="NB"),"",IF($J2705&lt;&gt;"",TEXT($J2705,"00"),IFERROR(VLOOKUP(LEFT($N2705,4),LCTT_MAP!$A$7:$C$66,IF($M2705="THU",2,3),FALSE()),IFERROR(VLOOKUP(LEFT($N2705,3),LCTT_MAP!$A$7:$C$66,IF($M2705="THU",2,3),FALSE()),IFERROR(VLOOKUP(LEFT($N2705,2),LCTT_MAP!$A$7:$C$66,IF($M2705="THU",2,3),FALSE()),IFERROR(VLOOKUP(LEFT($N2705,1),LCTT_MAP!$A$7:$C$66,IF($M2705="THU",2,3),FALSE()),IF($M2705="THU","06","07")))))))</f>
        <v/>
      </c>
      <c r="P2705" s="117">
        <f>P2704+IF(AND($H2705&lt;&gt;"",OR(LEFT($F2705,LEN(SC_TK))=SC_TK,LEFT($G2705,LEN(SC_TK))=SC_TK)),1,0)</f>
        <v/>
      </c>
    </row>
    <row r="2706" ht="15" customHeight="1" s="78">
      <c r="A2706" s="95">
        <f>IF($H2706="","",ROW()-6)</f>
        <v/>
      </c>
      <c r="B2706" s="114" t="n"/>
      <c r="C2706" s="102" t="n"/>
      <c r="D2706" s="114" t="n"/>
      <c r="E2706" s="103" t="n"/>
      <c r="F2706" s="102" t="n"/>
      <c r="G2706" s="102" t="n"/>
      <c r="H2706" s="115" t="n"/>
      <c r="I2706" s="102" t="n"/>
      <c r="J2706" s="102" t="n"/>
      <c r="K2706" s="103" t="n"/>
      <c r="L2706" s="116">
        <f>IF($H2706="","",TRIM(IF(COUNTIF(DMTK!$A$7:$A$250,$F2706)=0,"TK Nợ sai! ","")&amp;IF(COUNTIF(DMTK!$A$7:$A$250,$G2706)=0,"TK Có sai! ","")&amp;IF(N($H2706)&lt;=0,"Tiền phải &gt; 0! ","")&amp;IF($B2706="","Thiếu ngày! ","")&amp;IF(AND(OR(LEFT($F2706,3)="131",LEFT($G2706,3)="131",LEFT($F2706,3)="331",LEFT($G2706,3)="331"),$I2706=""),"Thiếu Mã ĐT! ","")&amp;IF(AND($I2706&lt;&gt;"",COUNTIF(DM_DT!$A$7:$A$306,$I2706)=0),"Mã ĐT chưa khai báo! ","")))</f>
        <v/>
      </c>
      <c r="M2706" s="117">
        <f>IF($H2706="","",IF(AND(OR(LEFT($F2706,3)="111",LEFT($F2706,3)="112",LEFT($F2706,3)="113"),OR(LEFT($G2706,3)="111",LEFT($G2706,3)="112",LEFT($G2706,3)="113")),"NB",IF(OR(LEFT($F2706,3)="111",LEFT($F2706,3)="112",LEFT($F2706,3)="113"),"THU",IF(OR(LEFT($G2706,3)="111",LEFT($G2706,3)="112",LEFT($G2706,3)="113"),"CHI",""))))</f>
        <v/>
      </c>
      <c r="N2706" s="117">
        <f>IF($M2706="THU",$G2706,IF($M2706="CHI",$F2706,""))</f>
        <v/>
      </c>
      <c r="O2706" s="117">
        <f>IF(OR($M2706="",$M2706="NB"),"",IF($J2706&lt;&gt;"",TEXT($J2706,"00"),IFERROR(VLOOKUP(LEFT($N2706,4),LCTT_MAP!$A$7:$C$66,IF($M2706="THU",2,3),FALSE()),IFERROR(VLOOKUP(LEFT($N2706,3),LCTT_MAP!$A$7:$C$66,IF($M2706="THU",2,3),FALSE()),IFERROR(VLOOKUP(LEFT($N2706,2),LCTT_MAP!$A$7:$C$66,IF($M2706="THU",2,3),FALSE()),IFERROR(VLOOKUP(LEFT($N2706,1),LCTT_MAP!$A$7:$C$66,IF($M2706="THU",2,3),FALSE()),IF($M2706="THU","06","07")))))))</f>
        <v/>
      </c>
      <c r="P2706" s="117">
        <f>P2705+IF(AND($H2706&lt;&gt;"",OR(LEFT($F2706,LEN(SC_TK))=SC_TK,LEFT($G2706,LEN(SC_TK))=SC_TK)),1,0)</f>
        <v/>
      </c>
    </row>
    <row r="2707" ht="15" customHeight="1" s="78">
      <c r="A2707" s="95">
        <f>IF($H2707="","",ROW()-6)</f>
        <v/>
      </c>
      <c r="B2707" s="114" t="n"/>
      <c r="C2707" s="102" t="n"/>
      <c r="D2707" s="114" t="n"/>
      <c r="E2707" s="103" t="n"/>
      <c r="F2707" s="102" t="n"/>
      <c r="G2707" s="102" t="n"/>
      <c r="H2707" s="115" t="n"/>
      <c r="I2707" s="102" t="n"/>
      <c r="J2707" s="102" t="n"/>
      <c r="K2707" s="103" t="n"/>
      <c r="L2707" s="116">
        <f>IF($H2707="","",TRIM(IF(COUNTIF(DMTK!$A$7:$A$250,$F2707)=0,"TK Nợ sai! ","")&amp;IF(COUNTIF(DMTK!$A$7:$A$250,$G2707)=0,"TK Có sai! ","")&amp;IF(N($H2707)&lt;=0,"Tiền phải &gt; 0! ","")&amp;IF($B2707="","Thiếu ngày! ","")&amp;IF(AND(OR(LEFT($F2707,3)="131",LEFT($G2707,3)="131",LEFT($F2707,3)="331",LEFT($G2707,3)="331"),$I2707=""),"Thiếu Mã ĐT! ","")&amp;IF(AND($I2707&lt;&gt;"",COUNTIF(DM_DT!$A$7:$A$306,$I2707)=0),"Mã ĐT chưa khai báo! ","")))</f>
        <v/>
      </c>
      <c r="M2707" s="117">
        <f>IF($H2707="","",IF(AND(OR(LEFT($F2707,3)="111",LEFT($F2707,3)="112",LEFT($F2707,3)="113"),OR(LEFT($G2707,3)="111",LEFT($G2707,3)="112",LEFT($G2707,3)="113")),"NB",IF(OR(LEFT($F2707,3)="111",LEFT($F2707,3)="112",LEFT($F2707,3)="113"),"THU",IF(OR(LEFT($G2707,3)="111",LEFT($G2707,3)="112",LEFT($G2707,3)="113"),"CHI",""))))</f>
        <v/>
      </c>
      <c r="N2707" s="117">
        <f>IF($M2707="THU",$G2707,IF($M2707="CHI",$F2707,""))</f>
        <v/>
      </c>
      <c r="O2707" s="117">
        <f>IF(OR($M2707="",$M2707="NB"),"",IF($J2707&lt;&gt;"",TEXT($J2707,"00"),IFERROR(VLOOKUP(LEFT($N2707,4),LCTT_MAP!$A$7:$C$66,IF($M2707="THU",2,3),FALSE()),IFERROR(VLOOKUP(LEFT($N2707,3),LCTT_MAP!$A$7:$C$66,IF($M2707="THU",2,3),FALSE()),IFERROR(VLOOKUP(LEFT($N2707,2),LCTT_MAP!$A$7:$C$66,IF($M2707="THU",2,3),FALSE()),IFERROR(VLOOKUP(LEFT($N2707,1),LCTT_MAP!$A$7:$C$66,IF($M2707="THU",2,3),FALSE()),IF($M2707="THU","06","07")))))))</f>
        <v/>
      </c>
      <c r="P2707" s="117">
        <f>P2706+IF(AND($H2707&lt;&gt;"",OR(LEFT($F2707,LEN(SC_TK))=SC_TK,LEFT($G2707,LEN(SC_TK))=SC_TK)),1,0)</f>
        <v/>
      </c>
    </row>
    <row r="2708" ht="15" customHeight="1" s="78">
      <c r="A2708" s="95">
        <f>IF($H2708="","",ROW()-6)</f>
        <v/>
      </c>
      <c r="B2708" s="114" t="n"/>
      <c r="C2708" s="102" t="n"/>
      <c r="D2708" s="114" t="n"/>
      <c r="E2708" s="103" t="n"/>
      <c r="F2708" s="102" t="n"/>
      <c r="G2708" s="102" t="n"/>
      <c r="H2708" s="115" t="n"/>
      <c r="I2708" s="102" t="n"/>
      <c r="J2708" s="102" t="n"/>
      <c r="K2708" s="103" t="n"/>
      <c r="L2708" s="116">
        <f>IF($H2708="","",TRIM(IF(COUNTIF(DMTK!$A$7:$A$250,$F2708)=0,"TK Nợ sai! ","")&amp;IF(COUNTIF(DMTK!$A$7:$A$250,$G2708)=0,"TK Có sai! ","")&amp;IF(N($H2708)&lt;=0,"Tiền phải &gt; 0! ","")&amp;IF($B2708="","Thiếu ngày! ","")&amp;IF(AND(OR(LEFT($F2708,3)="131",LEFT($G2708,3)="131",LEFT($F2708,3)="331",LEFT($G2708,3)="331"),$I2708=""),"Thiếu Mã ĐT! ","")&amp;IF(AND($I2708&lt;&gt;"",COUNTIF(DM_DT!$A$7:$A$306,$I2708)=0),"Mã ĐT chưa khai báo! ","")))</f>
        <v/>
      </c>
      <c r="M2708" s="117">
        <f>IF($H2708="","",IF(AND(OR(LEFT($F2708,3)="111",LEFT($F2708,3)="112",LEFT($F2708,3)="113"),OR(LEFT($G2708,3)="111",LEFT($G2708,3)="112",LEFT($G2708,3)="113")),"NB",IF(OR(LEFT($F2708,3)="111",LEFT($F2708,3)="112",LEFT($F2708,3)="113"),"THU",IF(OR(LEFT($G2708,3)="111",LEFT($G2708,3)="112",LEFT($G2708,3)="113"),"CHI",""))))</f>
        <v/>
      </c>
      <c r="N2708" s="117">
        <f>IF($M2708="THU",$G2708,IF($M2708="CHI",$F2708,""))</f>
        <v/>
      </c>
      <c r="O2708" s="117">
        <f>IF(OR($M2708="",$M2708="NB"),"",IF($J2708&lt;&gt;"",TEXT($J2708,"00"),IFERROR(VLOOKUP(LEFT($N2708,4),LCTT_MAP!$A$7:$C$66,IF($M2708="THU",2,3),FALSE()),IFERROR(VLOOKUP(LEFT($N2708,3),LCTT_MAP!$A$7:$C$66,IF($M2708="THU",2,3),FALSE()),IFERROR(VLOOKUP(LEFT($N2708,2),LCTT_MAP!$A$7:$C$66,IF($M2708="THU",2,3),FALSE()),IFERROR(VLOOKUP(LEFT($N2708,1),LCTT_MAP!$A$7:$C$66,IF($M2708="THU",2,3),FALSE()),IF($M2708="THU","06","07")))))))</f>
        <v/>
      </c>
      <c r="P2708" s="117">
        <f>P2707+IF(AND($H2708&lt;&gt;"",OR(LEFT($F2708,LEN(SC_TK))=SC_TK,LEFT($G2708,LEN(SC_TK))=SC_TK)),1,0)</f>
        <v/>
      </c>
    </row>
    <row r="2709" ht="15" customHeight="1" s="78">
      <c r="A2709" s="95">
        <f>IF($H2709="","",ROW()-6)</f>
        <v/>
      </c>
      <c r="B2709" s="114" t="n"/>
      <c r="C2709" s="102" t="n"/>
      <c r="D2709" s="114" t="n"/>
      <c r="E2709" s="103" t="n"/>
      <c r="F2709" s="102" t="n"/>
      <c r="G2709" s="102" t="n"/>
      <c r="H2709" s="115" t="n"/>
      <c r="I2709" s="102" t="n"/>
      <c r="J2709" s="102" t="n"/>
      <c r="K2709" s="103" t="n"/>
      <c r="L2709" s="116">
        <f>IF($H2709="","",TRIM(IF(COUNTIF(DMTK!$A$7:$A$250,$F2709)=0,"TK Nợ sai! ","")&amp;IF(COUNTIF(DMTK!$A$7:$A$250,$G2709)=0,"TK Có sai! ","")&amp;IF(N($H2709)&lt;=0,"Tiền phải &gt; 0! ","")&amp;IF($B2709="","Thiếu ngày! ","")&amp;IF(AND(OR(LEFT($F2709,3)="131",LEFT($G2709,3)="131",LEFT($F2709,3)="331",LEFT($G2709,3)="331"),$I2709=""),"Thiếu Mã ĐT! ","")&amp;IF(AND($I2709&lt;&gt;"",COUNTIF(DM_DT!$A$7:$A$306,$I2709)=0),"Mã ĐT chưa khai báo! ","")))</f>
        <v/>
      </c>
      <c r="M2709" s="117">
        <f>IF($H2709="","",IF(AND(OR(LEFT($F2709,3)="111",LEFT($F2709,3)="112",LEFT($F2709,3)="113"),OR(LEFT($G2709,3)="111",LEFT($G2709,3)="112",LEFT($G2709,3)="113")),"NB",IF(OR(LEFT($F2709,3)="111",LEFT($F2709,3)="112",LEFT($F2709,3)="113"),"THU",IF(OR(LEFT($G2709,3)="111",LEFT($G2709,3)="112",LEFT($G2709,3)="113"),"CHI",""))))</f>
        <v/>
      </c>
      <c r="N2709" s="117">
        <f>IF($M2709="THU",$G2709,IF($M2709="CHI",$F2709,""))</f>
        <v/>
      </c>
      <c r="O2709" s="117">
        <f>IF(OR($M2709="",$M2709="NB"),"",IF($J2709&lt;&gt;"",TEXT($J2709,"00"),IFERROR(VLOOKUP(LEFT($N2709,4),LCTT_MAP!$A$7:$C$66,IF($M2709="THU",2,3),FALSE()),IFERROR(VLOOKUP(LEFT($N2709,3),LCTT_MAP!$A$7:$C$66,IF($M2709="THU",2,3),FALSE()),IFERROR(VLOOKUP(LEFT($N2709,2),LCTT_MAP!$A$7:$C$66,IF($M2709="THU",2,3),FALSE()),IFERROR(VLOOKUP(LEFT($N2709,1),LCTT_MAP!$A$7:$C$66,IF($M2709="THU",2,3),FALSE()),IF($M2709="THU","06","07")))))))</f>
        <v/>
      </c>
      <c r="P2709" s="117">
        <f>P2708+IF(AND($H2709&lt;&gt;"",OR(LEFT($F2709,LEN(SC_TK))=SC_TK,LEFT($G2709,LEN(SC_TK))=SC_TK)),1,0)</f>
        <v/>
      </c>
    </row>
    <row r="2710" ht="15" customHeight="1" s="78">
      <c r="A2710" s="95">
        <f>IF($H2710="","",ROW()-6)</f>
        <v/>
      </c>
      <c r="B2710" s="114" t="n"/>
      <c r="C2710" s="102" t="n"/>
      <c r="D2710" s="114" t="n"/>
      <c r="E2710" s="103" t="n"/>
      <c r="F2710" s="102" t="n"/>
      <c r="G2710" s="102" t="n"/>
      <c r="H2710" s="115" t="n"/>
      <c r="I2710" s="102" t="n"/>
      <c r="J2710" s="102" t="n"/>
      <c r="K2710" s="103" t="n"/>
      <c r="L2710" s="116">
        <f>IF($H2710="","",TRIM(IF(COUNTIF(DMTK!$A$7:$A$250,$F2710)=0,"TK Nợ sai! ","")&amp;IF(COUNTIF(DMTK!$A$7:$A$250,$G2710)=0,"TK Có sai! ","")&amp;IF(N($H2710)&lt;=0,"Tiền phải &gt; 0! ","")&amp;IF($B2710="","Thiếu ngày! ","")&amp;IF(AND(OR(LEFT($F2710,3)="131",LEFT($G2710,3)="131",LEFT($F2710,3)="331",LEFT($G2710,3)="331"),$I2710=""),"Thiếu Mã ĐT! ","")&amp;IF(AND($I2710&lt;&gt;"",COUNTIF(DM_DT!$A$7:$A$306,$I2710)=0),"Mã ĐT chưa khai báo! ","")))</f>
        <v/>
      </c>
      <c r="M2710" s="117">
        <f>IF($H2710="","",IF(AND(OR(LEFT($F2710,3)="111",LEFT($F2710,3)="112",LEFT($F2710,3)="113"),OR(LEFT($G2710,3)="111",LEFT($G2710,3)="112",LEFT($G2710,3)="113")),"NB",IF(OR(LEFT($F2710,3)="111",LEFT($F2710,3)="112",LEFT($F2710,3)="113"),"THU",IF(OR(LEFT($G2710,3)="111",LEFT($G2710,3)="112",LEFT($G2710,3)="113"),"CHI",""))))</f>
        <v/>
      </c>
      <c r="N2710" s="117">
        <f>IF($M2710="THU",$G2710,IF($M2710="CHI",$F2710,""))</f>
        <v/>
      </c>
      <c r="O2710" s="117">
        <f>IF(OR($M2710="",$M2710="NB"),"",IF($J2710&lt;&gt;"",TEXT($J2710,"00"),IFERROR(VLOOKUP(LEFT($N2710,4),LCTT_MAP!$A$7:$C$66,IF($M2710="THU",2,3),FALSE()),IFERROR(VLOOKUP(LEFT($N2710,3),LCTT_MAP!$A$7:$C$66,IF($M2710="THU",2,3),FALSE()),IFERROR(VLOOKUP(LEFT($N2710,2),LCTT_MAP!$A$7:$C$66,IF($M2710="THU",2,3),FALSE()),IFERROR(VLOOKUP(LEFT($N2710,1),LCTT_MAP!$A$7:$C$66,IF($M2710="THU",2,3),FALSE()),IF($M2710="THU","06","07")))))))</f>
        <v/>
      </c>
      <c r="P2710" s="117">
        <f>P2709+IF(AND($H2710&lt;&gt;"",OR(LEFT($F2710,LEN(SC_TK))=SC_TK,LEFT($G2710,LEN(SC_TK))=SC_TK)),1,0)</f>
        <v/>
      </c>
    </row>
    <row r="2711" ht="15" customHeight="1" s="78">
      <c r="A2711" s="95">
        <f>IF($H2711="","",ROW()-6)</f>
        <v/>
      </c>
      <c r="B2711" s="114" t="n"/>
      <c r="C2711" s="102" t="n"/>
      <c r="D2711" s="114" t="n"/>
      <c r="E2711" s="103" t="n"/>
      <c r="F2711" s="102" t="n"/>
      <c r="G2711" s="102" t="n"/>
      <c r="H2711" s="115" t="n"/>
      <c r="I2711" s="102" t="n"/>
      <c r="J2711" s="102" t="n"/>
      <c r="K2711" s="103" t="n"/>
      <c r="L2711" s="116">
        <f>IF($H2711="","",TRIM(IF(COUNTIF(DMTK!$A$7:$A$250,$F2711)=0,"TK Nợ sai! ","")&amp;IF(COUNTIF(DMTK!$A$7:$A$250,$G2711)=0,"TK Có sai! ","")&amp;IF(N($H2711)&lt;=0,"Tiền phải &gt; 0! ","")&amp;IF($B2711="","Thiếu ngày! ","")&amp;IF(AND(OR(LEFT($F2711,3)="131",LEFT($G2711,3)="131",LEFT($F2711,3)="331",LEFT($G2711,3)="331"),$I2711=""),"Thiếu Mã ĐT! ","")&amp;IF(AND($I2711&lt;&gt;"",COUNTIF(DM_DT!$A$7:$A$306,$I2711)=0),"Mã ĐT chưa khai báo! ","")))</f>
        <v/>
      </c>
      <c r="M2711" s="117">
        <f>IF($H2711="","",IF(AND(OR(LEFT($F2711,3)="111",LEFT($F2711,3)="112",LEFT($F2711,3)="113"),OR(LEFT($G2711,3)="111",LEFT($G2711,3)="112",LEFT($G2711,3)="113")),"NB",IF(OR(LEFT($F2711,3)="111",LEFT($F2711,3)="112",LEFT($F2711,3)="113"),"THU",IF(OR(LEFT($G2711,3)="111",LEFT($G2711,3)="112",LEFT($G2711,3)="113"),"CHI",""))))</f>
        <v/>
      </c>
      <c r="N2711" s="117">
        <f>IF($M2711="THU",$G2711,IF($M2711="CHI",$F2711,""))</f>
        <v/>
      </c>
      <c r="O2711" s="117">
        <f>IF(OR($M2711="",$M2711="NB"),"",IF($J2711&lt;&gt;"",TEXT($J2711,"00"),IFERROR(VLOOKUP(LEFT($N2711,4),LCTT_MAP!$A$7:$C$66,IF($M2711="THU",2,3),FALSE()),IFERROR(VLOOKUP(LEFT($N2711,3),LCTT_MAP!$A$7:$C$66,IF($M2711="THU",2,3),FALSE()),IFERROR(VLOOKUP(LEFT($N2711,2),LCTT_MAP!$A$7:$C$66,IF($M2711="THU",2,3),FALSE()),IFERROR(VLOOKUP(LEFT($N2711,1),LCTT_MAP!$A$7:$C$66,IF($M2711="THU",2,3),FALSE()),IF($M2711="THU","06","07")))))))</f>
        <v/>
      </c>
      <c r="P2711" s="117">
        <f>P2710+IF(AND($H2711&lt;&gt;"",OR(LEFT($F2711,LEN(SC_TK))=SC_TK,LEFT($G2711,LEN(SC_TK))=SC_TK)),1,0)</f>
        <v/>
      </c>
    </row>
    <row r="2712" ht="15" customHeight="1" s="78">
      <c r="A2712" s="95">
        <f>IF($H2712="","",ROW()-6)</f>
        <v/>
      </c>
      <c r="B2712" s="114" t="n"/>
      <c r="C2712" s="102" t="n"/>
      <c r="D2712" s="114" t="n"/>
      <c r="E2712" s="103" t="n"/>
      <c r="F2712" s="102" t="n"/>
      <c r="G2712" s="102" t="n"/>
      <c r="H2712" s="115" t="n"/>
      <c r="I2712" s="102" t="n"/>
      <c r="J2712" s="102" t="n"/>
      <c r="K2712" s="103" t="n"/>
      <c r="L2712" s="116">
        <f>IF($H2712="","",TRIM(IF(COUNTIF(DMTK!$A$7:$A$250,$F2712)=0,"TK Nợ sai! ","")&amp;IF(COUNTIF(DMTK!$A$7:$A$250,$G2712)=0,"TK Có sai! ","")&amp;IF(N($H2712)&lt;=0,"Tiền phải &gt; 0! ","")&amp;IF($B2712="","Thiếu ngày! ","")&amp;IF(AND(OR(LEFT($F2712,3)="131",LEFT($G2712,3)="131",LEFT($F2712,3)="331",LEFT($G2712,3)="331"),$I2712=""),"Thiếu Mã ĐT! ","")&amp;IF(AND($I2712&lt;&gt;"",COUNTIF(DM_DT!$A$7:$A$306,$I2712)=0),"Mã ĐT chưa khai báo! ","")))</f>
        <v/>
      </c>
      <c r="M2712" s="117">
        <f>IF($H2712="","",IF(AND(OR(LEFT($F2712,3)="111",LEFT($F2712,3)="112",LEFT($F2712,3)="113"),OR(LEFT($G2712,3)="111",LEFT($G2712,3)="112",LEFT($G2712,3)="113")),"NB",IF(OR(LEFT($F2712,3)="111",LEFT($F2712,3)="112",LEFT($F2712,3)="113"),"THU",IF(OR(LEFT($G2712,3)="111",LEFT($G2712,3)="112",LEFT($G2712,3)="113"),"CHI",""))))</f>
        <v/>
      </c>
      <c r="N2712" s="117">
        <f>IF($M2712="THU",$G2712,IF($M2712="CHI",$F2712,""))</f>
        <v/>
      </c>
      <c r="O2712" s="117">
        <f>IF(OR($M2712="",$M2712="NB"),"",IF($J2712&lt;&gt;"",TEXT($J2712,"00"),IFERROR(VLOOKUP(LEFT($N2712,4),LCTT_MAP!$A$7:$C$66,IF($M2712="THU",2,3),FALSE()),IFERROR(VLOOKUP(LEFT($N2712,3),LCTT_MAP!$A$7:$C$66,IF($M2712="THU",2,3),FALSE()),IFERROR(VLOOKUP(LEFT($N2712,2),LCTT_MAP!$A$7:$C$66,IF($M2712="THU",2,3),FALSE()),IFERROR(VLOOKUP(LEFT($N2712,1),LCTT_MAP!$A$7:$C$66,IF($M2712="THU",2,3),FALSE()),IF($M2712="THU","06","07")))))))</f>
        <v/>
      </c>
      <c r="P2712" s="117">
        <f>P2711+IF(AND($H2712&lt;&gt;"",OR(LEFT($F2712,LEN(SC_TK))=SC_TK,LEFT($G2712,LEN(SC_TK))=SC_TK)),1,0)</f>
        <v/>
      </c>
    </row>
    <row r="2713" ht="15" customHeight="1" s="78">
      <c r="A2713" s="95">
        <f>IF($H2713="","",ROW()-6)</f>
        <v/>
      </c>
      <c r="B2713" s="114" t="n"/>
      <c r="C2713" s="102" t="n"/>
      <c r="D2713" s="114" t="n"/>
      <c r="E2713" s="103" t="n"/>
      <c r="F2713" s="102" t="n"/>
      <c r="G2713" s="102" t="n"/>
      <c r="H2713" s="115" t="n"/>
      <c r="I2713" s="102" t="n"/>
      <c r="J2713" s="102" t="n"/>
      <c r="K2713" s="103" t="n"/>
      <c r="L2713" s="116">
        <f>IF($H2713="","",TRIM(IF(COUNTIF(DMTK!$A$7:$A$250,$F2713)=0,"TK Nợ sai! ","")&amp;IF(COUNTIF(DMTK!$A$7:$A$250,$G2713)=0,"TK Có sai! ","")&amp;IF(N($H2713)&lt;=0,"Tiền phải &gt; 0! ","")&amp;IF($B2713="","Thiếu ngày! ","")&amp;IF(AND(OR(LEFT($F2713,3)="131",LEFT($G2713,3)="131",LEFT($F2713,3)="331",LEFT($G2713,3)="331"),$I2713=""),"Thiếu Mã ĐT! ","")&amp;IF(AND($I2713&lt;&gt;"",COUNTIF(DM_DT!$A$7:$A$306,$I2713)=0),"Mã ĐT chưa khai báo! ","")))</f>
        <v/>
      </c>
      <c r="M2713" s="117">
        <f>IF($H2713="","",IF(AND(OR(LEFT($F2713,3)="111",LEFT($F2713,3)="112",LEFT($F2713,3)="113"),OR(LEFT($G2713,3)="111",LEFT($G2713,3)="112",LEFT($G2713,3)="113")),"NB",IF(OR(LEFT($F2713,3)="111",LEFT($F2713,3)="112",LEFT($F2713,3)="113"),"THU",IF(OR(LEFT($G2713,3)="111",LEFT($G2713,3)="112",LEFT($G2713,3)="113"),"CHI",""))))</f>
        <v/>
      </c>
      <c r="N2713" s="117">
        <f>IF($M2713="THU",$G2713,IF($M2713="CHI",$F2713,""))</f>
        <v/>
      </c>
      <c r="O2713" s="117">
        <f>IF(OR($M2713="",$M2713="NB"),"",IF($J2713&lt;&gt;"",TEXT($J2713,"00"),IFERROR(VLOOKUP(LEFT($N2713,4),LCTT_MAP!$A$7:$C$66,IF($M2713="THU",2,3),FALSE()),IFERROR(VLOOKUP(LEFT($N2713,3),LCTT_MAP!$A$7:$C$66,IF($M2713="THU",2,3),FALSE()),IFERROR(VLOOKUP(LEFT($N2713,2),LCTT_MAP!$A$7:$C$66,IF($M2713="THU",2,3),FALSE()),IFERROR(VLOOKUP(LEFT($N2713,1),LCTT_MAP!$A$7:$C$66,IF($M2713="THU",2,3),FALSE()),IF($M2713="THU","06","07")))))))</f>
        <v/>
      </c>
      <c r="P2713" s="117">
        <f>P2712+IF(AND($H2713&lt;&gt;"",OR(LEFT($F2713,LEN(SC_TK))=SC_TK,LEFT($G2713,LEN(SC_TK))=SC_TK)),1,0)</f>
        <v/>
      </c>
    </row>
    <row r="2714" ht="15" customHeight="1" s="78">
      <c r="A2714" s="95">
        <f>IF($H2714="","",ROW()-6)</f>
        <v/>
      </c>
      <c r="B2714" s="114" t="n"/>
      <c r="C2714" s="102" t="n"/>
      <c r="D2714" s="114" t="n"/>
      <c r="E2714" s="103" t="n"/>
      <c r="F2714" s="102" t="n"/>
      <c r="G2714" s="102" t="n"/>
      <c r="H2714" s="115" t="n"/>
      <c r="I2714" s="102" t="n"/>
      <c r="J2714" s="102" t="n"/>
      <c r="K2714" s="103" t="n"/>
      <c r="L2714" s="116">
        <f>IF($H2714="","",TRIM(IF(COUNTIF(DMTK!$A$7:$A$250,$F2714)=0,"TK Nợ sai! ","")&amp;IF(COUNTIF(DMTK!$A$7:$A$250,$G2714)=0,"TK Có sai! ","")&amp;IF(N($H2714)&lt;=0,"Tiền phải &gt; 0! ","")&amp;IF($B2714="","Thiếu ngày! ","")&amp;IF(AND(OR(LEFT($F2714,3)="131",LEFT($G2714,3)="131",LEFT($F2714,3)="331",LEFT($G2714,3)="331"),$I2714=""),"Thiếu Mã ĐT! ","")&amp;IF(AND($I2714&lt;&gt;"",COUNTIF(DM_DT!$A$7:$A$306,$I2714)=0),"Mã ĐT chưa khai báo! ","")))</f>
        <v/>
      </c>
      <c r="M2714" s="117">
        <f>IF($H2714="","",IF(AND(OR(LEFT($F2714,3)="111",LEFT($F2714,3)="112",LEFT($F2714,3)="113"),OR(LEFT($G2714,3)="111",LEFT($G2714,3)="112",LEFT($G2714,3)="113")),"NB",IF(OR(LEFT($F2714,3)="111",LEFT($F2714,3)="112",LEFT($F2714,3)="113"),"THU",IF(OR(LEFT($G2714,3)="111",LEFT($G2714,3)="112",LEFT($G2714,3)="113"),"CHI",""))))</f>
        <v/>
      </c>
      <c r="N2714" s="117">
        <f>IF($M2714="THU",$G2714,IF($M2714="CHI",$F2714,""))</f>
        <v/>
      </c>
      <c r="O2714" s="117">
        <f>IF(OR($M2714="",$M2714="NB"),"",IF($J2714&lt;&gt;"",TEXT($J2714,"00"),IFERROR(VLOOKUP(LEFT($N2714,4),LCTT_MAP!$A$7:$C$66,IF($M2714="THU",2,3),FALSE()),IFERROR(VLOOKUP(LEFT($N2714,3),LCTT_MAP!$A$7:$C$66,IF($M2714="THU",2,3),FALSE()),IFERROR(VLOOKUP(LEFT($N2714,2),LCTT_MAP!$A$7:$C$66,IF($M2714="THU",2,3),FALSE()),IFERROR(VLOOKUP(LEFT($N2714,1),LCTT_MAP!$A$7:$C$66,IF($M2714="THU",2,3),FALSE()),IF($M2714="THU","06","07")))))))</f>
        <v/>
      </c>
      <c r="P2714" s="117">
        <f>P2713+IF(AND($H2714&lt;&gt;"",OR(LEFT($F2714,LEN(SC_TK))=SC_TK,LEFT($G2714,LEN(SC_TK))=SC_TK)),1,0)</f>
        <v/>
      </c>
    </row>
    <row r="2715" ht="15" customHeight="1" s="78">
      <c r="A2715" s="95">
        <f>IF($H2715="","",ROW()-6)</f>
        <v/>
      </c>
      <c r="B2715" s="114" t="n"/>
      <c r="C2715" s="102" t="n"/>
      <c r="D2715" s="114" t="n"/>
      <c r="E2715" s="103" t="n"/>
      <c r="F2715" s="102" t="n"/>
      <c r="G2715" s="102" t="n"/>
      <c r="H2715" s="115" t="n"/>
      <c r="I2715" s="102" t="n"/>
      <c r="J2715" s="102" t="n"/>
      <c r="K2715" s="103" t="n"/>
      <c r="L2715" s="116">
        <f>IF($H2715="","",TRIM(IF(COUNTIF(DMTK!$A$7:$A$250,$F2715)=0,"TK Nợ sai! ","")&amp;IF(COUNTIF(DMTK!$A$7:$A$250,$G2715)=0,"TK Có sai! ","")&amp;IF(N($H2715)&lt;=0,"Tiền phải &gt; 0! ","")&amp;IF($B2715="","Thiếu ngày! ","")&amp;IF(AND(OR(LEFT($F2715,3)="131",LEFT($G2715,3)="131",LEFT($F2715,3)="331",LEFT($G2715,3)="331"),$I2715=""),"Thiếu Mã ĐT! ","")&amp;IF(AND($I2715&lt;&gt;"",COUNTIF(DM_DT!$A$7:$A$306,$I2715)=0),"Mã ĐT chưa khai báo! ","")))</f>
        <v/>
      </c>
      <c r="M2715" s="117">
        <f>IF($H2715="","",IF(AND(OR(LEFT($F2715,3)="111",LEFT($F2715,3)="112",LEFT($F2715,3)="113"),OR(LEFT($G2715,3)="111",LEFT($G2715,3)="112",LEFT($G2715,3)="113")),"NB",IF(OR(LEFT($F2715,3)="111",LEFT($F2715,3)="112",LEFT($F2715,3)="113"),"THU",IF(OR(LEFT($G2715,3)="111",LEFT($G2715,3)="112",LEFT($G2715,3)="113"),"CHI",""))))</f>
        <v/>
      </c>
      <c r="N2715" s="117">
        <f>IF($M2715="THU",$G2715,IF($M2715="CHI",$F2715,""))</f>
        <v/>
      </c>
      <c r="O2715" s="117">
        <f>IF(OR($M2715="",$M2715="NB"),"",IF($J2715&lt;&gt;"",TEXT($J2715,"00"),IFERROR(VLOOKUP(LEFT($N2715,4),LCTT_MAP!$A$7:$C$66,IF($M2715="THU",2,3),FALSE()),IFERROR(VLOOKUP(LEFT($N2715,3),LCTT_MAP!$A$7:$C$66,IF($M2715="THU",2,3),FALSE()),IFERROR(VLOOKUP(LEFT($N2715,2),LCTT_MAP!$A$7:$C$66,IF($M2715="THU",2,3),FALSE()),IFERROR(VLOOKUP(LEFT($N2715,1),LCTT_MAP!$A$7:$C$66,IF($M2715="THU",2,3),FALSE()),IF($M2715="THU","06","07")))))))</f>
        <v/>
      </c>
      <c r="P2715" s="117">
        <f>P2714+IF(AND($H2715&lt;&gt;"",OR(LEFT($F2715,LEN(SC_TK))=SC_TK,LEFT($G2715,LEN(SC_TK))=SC_TK)),1,0)</f>
        <v/>
      </c>
    </row>
    <row r="2716" ht="15" customHeight="1" s="78">
      <c r="A2716" s="95">
        <f>IF($H2716="","",ROW()-6)</f>
        <v/>
      </c>
      <c r="B2716" s="114" t="n"/>
      <c r="C2716" s="102" t="n"/>
      <c r="D2716" s="114" t="n"/>
      <c r="E2716" s="103" t="n"/>
      <c r="F2716" s="102" t="n"/>
      <c r="G2716" s="102" t="n"/>
      <c r="H2716" s="115" t="n"/>
      <c r="I2716" s="102" t="n"/>
      <c r="J2716" s="102" t="n"/>
      <c r="K2716" s="103" t="n"/>
      <c r="L2716" s="116">
        <f>IF($H2716="","",TRIM(IF(COUNTIF(DMTK!$A$7:$A$250,$F2716)=0,"TK Nợ sai! ","")&amp;IF(COUNTIF(DMTK!$A$7:$A$250,$G2716)=0,"TK Có sai! ","")&amp;IF(N($H2716)&lt;=0,"Tiền phải &gt; 0! ","")&amp;IF($B2716="","Thiếu ngày! ","")&amp;IF(AND(OR(LEFT($F2716,3)="131",LEFT($G2716,3)="131",LEFT($F2716,3)="331",LEFT($G2716,3)="331"),$I2716=""),"Thiếu Mã ĐT! ","")&amp;IF(AND($I2716&lt;&gt;"",COUNTIF(DM_DT!$A$7:$A$306,$I2716)=0),"Mã ĐT chưa khai báo! ","")))</f>
        <v/>
      </c>
      <c r="M2716" s="117">
        <f>IF($H2716="","",IF(AND(OR(LEFT($F2716,3)="111",LEFT($F2716,3)="112",LEFT($F2716,3)="113"),OR(LEFT($G2716,3)="111",LEFT($G2716,3)="112",LEFT($G2716,3)="113")),"NB",IF(OR(LEFT($F2716,3)="111",LEFT($F2716,3)="112",LEFT($F2716,3)="113"),"THU",IF(OR(LEFT($G2716,3)="111",LEFT($G2716,3)="112",LEFT($G2716,3)="113"),"CHI",""))))</f>
        <v/>
      </c>
      <c r="N2716" s="117">
        <f>IF($M2716="THU",$G2716,IF($M2716="CHI",$F2716,""))</f>
        <v/>
      </c>
      <c r="O2716" s="117">
        <f>IF(OR($M2716="",$M2716="NB"),"",IF($J2716&lt;&gt;"",TEXT($J2716,"00"),IFERROR(VLOOKUP(LEFT($N2716,4),LCTT_MAP!$A$7:$C$66,IF($M2716="THU",2,3),FALSE()),IFERROR(VLOOKUP(LEFT($N2716,3),LCTT_MAP!$A$7:$C$66,IF($M2716="THU",2,3),FALSE()),IFERROR(VLOOKUP(LEFT($N2716,2),LCTT_MAP!$A$7:$C$66,IF($M2716="THU",2,3),FALSE()),IFERROR(VLOOKUP(LEFT($N2716,1),LCTT_MAP!$A$7:$C$66,IF($M2716="THU",2,3),FALSE()),IF($M2716="THU","06","07")))))))</f>
        <v/>
      </c>
      <c r="P2716" s="117">
        <f>P2715+IF(AND($H2716&lt;&gt;"",OR(LEFT($F2716,LEN(SC_TK))=SC_TK,LEFT($G2716,LEN(SC_TK))=SC_TK)),1,0)</f>
        <v/>
      </c>
    </row>
    <row r="2717" ht="15" customHeight="1" s="78">
      <c r="A2717" s="95">
        <f>IF($H2717="","",ROW()-6)</f>
        <v/>
      </c>
      <c r="B2717" s="114" t="n"/>
      <c r="C2717" s="102" t="n"/>
      <c r="D2717" s="114" t="n"/>
      <c r="E2717" s="103" t="n"/>
      <c r="F2717" s="102" t="n"/>
      <c r="G2717" s="102" t="n"/>
      <c r="H2717" s="115" t="n"/>
      <c r="I2717" s="102" t="n"/>
      <c r="J2717" s="102" t="n"/>
      <c r="K2717" s="103" t="n"/>
      <c r="L2717" s="116">
        <f>IF($H2717="","",TRIM(IF(COUNTIF(DMTK!$A$7:$A$250,$F2717)=0,"TK Nợ sai! ","")&amp;IF(COUNTIF(DMTK!$A$7:$A$250,$G2717)=0,"TK Có sai! ","")&amp;IF(N($H2717)&lt;=0,"Tiền phải &gt; 0! ","")&amp;IF($B2717="","Thiếu ngày! ","")&amp;IF(AND(OR(LEFT($F2717,3)="131",LEFT($G2717,3)="131",LEFT($F2717,3)="331",LEFT($G2717,3)="331"),$I2717=""),"Thiếu Mã ĐT! ","")&amp;IF(AND($I2717&lt;&gt;"",COUNTIF(DM_DT!$A$7:$A$306,$I2717)=0),"Mã ĐT chưa khai báo! ","")))</f>
        <v/>
      </c>
      <c r="M2717" s="117">
        <f>IF($H2717="","",IF(AND(OR(LEFT($F2717,3)="111",LEFT($F2717,3)="112",LEFT($F2717,3)="113"),OR(LEFT($G2717,3)="111",LEFT($G2717,3)="112",LEFT($G2717,3)="113")),"NB",IF(OR(LEFT($F2717,3)="111",LEFT($F2717,3)="112",LEFT($F2717,3)="113"),"THU",IF(OR(LEFT($G2717,3)="111",LEFT($G2717,3)="112",LEFT($G2717,3)="113"),"CHI",""))))</f>
        <v/>
      </c>
      <c r="N2717" s="117">
        <f>IF($M2717="THU",$G2717,IF($M2717="CHI",$F2717,""))</f>
        <v/>
      </c>
      <c r="O2717" s="117">
        <f>IF(OR($M2717="",$M2717="NB"),"",IF($J2717&lt;&gt;"",TEXT($J2717,"00"),IFERROR(VLOOKUP(LEFT($N2717,4),LCTT_MAP!$A$7:$C$66,IF($M2717="THU",2,3),FALSE()),IFERROR(VLOOKUP(LEFT($N2717,3),LCTT_MAP!$A$7:$C$66,IF($M2717="THU",2,3),FALSE()),IFERROR(VLOOKUP(LEFT($N2717,2),LCTT_MAP!$A$7:$C$66,IF($M2717="THU",2,3),FALSE()),IFERROR(VLOOKUP(LEFT($N2717,1),LCTT_MAP!$A$7:$C$66,IF($M2717="THU",2,3),FALSE()),IF($M2717="THU","06","07")))))))</f>
        <v/>
      </c>
      <c r="P2717" s="117">
        <f>P2716+IF(AND($H2717&lt;&gt;"",OR(LEFT($F2717,LEN(SC_TK))=SC_TK,LEFT($G2717,LEN(SC_TK))=SC_TK)),1,0)</f>
        <v/>
      </c>
    </row>
    <row r="2718" ht="15" customHeight="1" s="78">
      <c r="A2718" s="95">
        <f>IF($H2718="","",ROW()-6)</f>
        <v/>
      </c>
      <c r="B2718" s="114" t="n"/>
      <c r="C2718" s="102" t="n"/>
      <c r="D2718" s="114" t="n"/>
      <c r="E2718" s="103" t="n"/>
      <c r="F2718" s="102" t="n"/>
      <c r="G2718" s="102" t="n"/>
      <c r="H2718" s="115" t="n"/>
      <c r="I2718" s="102" t="n"/>
      <c r="J2718" s="102" t="n"/>
      <c r="K2718" s="103" t="n"/>
      <c r="L2718" s="116">
        <f>IF($H2718="","",TRIM(IF(COUNTIF(DMTK!$A$7:$A$250,$F2718)=0,"TK Nợ sai! ","")&amp;IF(COUNTIF(DMTK!$A$7:$A$250,$G2718)=0,"TK Có sai! ","")&amp;IF(N($H2718)&lt;=0,"Tiền phải &gt; 0! ","")&amp;IF($B2718="","Thiếu ngày! ","")&amp;IF(AND(OR(LEFT($F2718,3)="131",LEFT($G2718,3)="131",LEFT($F2718,3)="331",LEFT($G2718,3)="331"),$I2718=""),"Thiếu Mã ĐT! ","")&amp;IF(AND($I2718&lt;&gt;"",COUNTIF(DM_DT!$A$7:$A$306,$I2718)=0),"Mã ĐT chưa khai báo! ","")))</f>
        <v/>
      </c>
      <c r="M2718" s="117">
        <f>IF($H2718="","",IF(AND(OR(LEFT($F2718,3)="111",LEFT($F2718,3)="112",LEFT($F2718,3)="113"),OR(LEFT($G2718,3)="111",LEFT($G2718,3)="112",LEFT($G2718,3)="113")),"NB",IF(OR(LEFT($F2718,3)="111",LEFT($F2718,3)="112",LEFT($F2718,3)="113"),"THU",IF(OR(LEFT($G2718,3)="111",LEFT($G2718,3)="112",LEFT($G2718,3)="113"),"CHI",""))))</f>
        <v/>
      </c>
      <c r="N2718" s="117">
        <f>IF($M2718="THU",$G2718,IF($M2718="CHI",$F2718,""))</f>
        <v/>
      </c>
      <c r="O2718" s="117">
        <f>IF(OR($M2718="",$M2718="NB"),"",IF($J2718&lt;&gt;"",TEXT($J2718,"00"),IFERROR(VLOOKUP(LEFT($N2718,4),LCTT_MAP!$A$7:$C$66,IF($M2718="THU",2,3),FALSE()),IFERROR(VLOOKUP(LEFT($N2718,3),LCTT_MAP!$A$7:$C$66,IF($M2718="THU",2,3),FALSE()),IFERROR(VLOOKUP(LEFT($N2718,2),LCTT_MAP!$A$7:$C$66,IF($M2718="THU",2,3),FALSE()),IFERROR(VLOOKUP(LEFT($N2718,1),LCTT_MAP!$A$7:$C$66,IF($M2718="THU",2,3),FALSE()),IF($M2718="THU","06","07")))))))</f>
        <v/>
      </c>
      <c r="P2718" s="117">
        <f>P2717+IF(AND($H2718&lt;&gt;"",OR(LEFT($F2718,LEN(SC_TK))=SC_TK,LEFT($G2718,LEN(SC_TK))=SC_TK)),1,0)</f>
        <v/>
      </c>
    </row>
    <row r="2719" ht="15" customHeight="1" s="78">
      <c r="A2719" s="95">
        <f>IF($H2719="","",ROW()-6)</f>
        <v/>
      </c>
      <c r="B2719" s="114" t="n"/>
      <c r="C2719" s="102" t="n"/>
      <c r="D2719" s="114" t="n"/>
      <c r="E2719" s="103" t="n"/>
      <c r="F2719" s="102" t="n"/>
      <c r="G2719" s="102" t="n"/>
      <c r="H2719" s="115" t="n"/>
      <c r="I2719" s="102" t="n"/>
      <c r="J2719" s="102" t="n"/>
      <c r="K2719" s="103" t="n"/>
      <c r="L2719" s="116">
        <f>IF($H2719="","",TRIM(IF(COUNTIF(DMTK!$A$7:$A$250,$F2719)=0,"TK Nợ sai! ","")&amp;IF(COUNTIF(DMTK!$A$7:$A$250,$G2719)=0,"TK Có sai! ","")&amp;IF(N($H2719)&lt;=0,"Tiền phải &gt; 0! ","")&amp;IF($B2719="","Thiếu ngày! ","")&amp;IF(AND(OR(LEFT($F2719,3)="131",LEFT($G2719,3)="131",LEFT($F2719,3)="331",LEFT($G2719,3)="331"),$I2719=""),"Thiếu Mã ĐT! ","")&amp;IF(AND($I2719&lt;&gt;"",COUNTIF(DM_DT!$A$7:$A$306,$I2719)=0),"Mã ĐT chưa khai báo! ","")))</f>
        <v/>
      </c>
      <c r="M2719" s="117">
        <f>IF($H2719="","",IF(AND(OR(LEFT($F2719,3)="111",LEFT($F2719,3)="112",LEFT($F2719,3)="113"),OR(LEFT($G2719,3)="111",LEFT($G2719,3)="112",LEFT($G2719,3)="113")),"NB",IF(OR(LEFT($F2719,3)="111",LEFT($F2719,3)="112",LEFT($F2719,3)="113"),"THU",IF(OR(LEFT($G2719,3)="111",LEFT($G2719,3)="112",LEFT($G2719,3)="113"),"CHI",""))))</f>
        <v/>
      </c>
      <c r="N2719" s="117">
        <f>IF($M2719="THU",$G2719,IF($M2719="CHI",$F2719,""))</f>
        <v/>
      </c>
      <c r="O2719" s="117">
        <f>IF(OR($M2719="",$M2719="NB"),"",IF($J2719&lt;&gt;"",TEXT($J2719,"00"),IFERROR(VLOOKUP(LEFT($N2719,4),LCTT_MAP!$A$7:$C$66,IF($M2719="THU",2,3),FALSE()),IFERROR(VLOOKUP(LEFT($N2719,3),LCTT_MAP!$A$7:$C$66,IF($M2719="THU",2,3),FALSE()),IFERROR(VLOOKUP(LEFT($N2719,2),LCTT_MAP!$A$7:$C$66,IF($M2719="THU",2,3),FALSE()),IFERROR(VLOOKUP(LEFT($N2719,1),LCTT_MAP!$A$7:$C$66,IF($M2719="THU",2,3),FALSE()),IF($M2719="THU","06","07")))))))</f>
        <v/>
      </c>
      <c r="P2719" s="117">
        <f>P2718+IF(AND($H2719&lt;&gt;"",OR(LEFT($F2719,LEN(SC_TK))=SC_TK,LEFT($G2719,LEN(SC_TK))=SC_TK)),1,0)</f>
        <v/>
      </c>
    </row>
    <row r="2720" ht="15" customHeight="1" s="78">
      <c r="A2720" s="95">
        <f>IF($H2720="","",ROW()-6)</f>
        <v/>
      </c>
      <c r="B2720" s="114" t="n"/>
      <c r="C2720" s="102" t="n"/>
      <c r="D2720" s="114" t="n"/>
      <c r="E2720" s="103" t="n"/>
      <c r="F2720" s="102" t="n"/>
      <c r="G2720" s="102" t="n"/>
      <c r="H2720" s="115" t="n"/>
      <c r="I2720" s="102" t="n"/>
      <c r="J2720" s="102" t="n"/>
      <c r="K2720" s="103" t="n"/>
      <c r="L2720" s="116">
        <f>IF($H2720="","",TRIM(IF(COUNTIF(DMTK!$A$7:$A$250,$F2720)=0,"TK Nợ sai! ","")&amp;IF(COUNTIF(DMTK!$A$7:$A$250,$G2720)=0,"TK Có sai! ","")&amp;IF(N($H2720)&lt;=0,"Tiền phải &gt; 0! ","")&amp;IF($B2720="","Thiếu ngày! ","")&amp;IF(AND(OR(LEFT($F2720,3)="131",LEFT($G2720,3)="131",LEFT($F2720,3)="331",LEFT($G2720,3)="331"),$I2720=""),"Thiếu Mã ĐT! ","")&amp;IF(AND($I2720&lt;&gt;"",COUNTIF(DM_DT!$A$7:$A$306,$I2720)=0),"Mã ĐT chưa khai báo! ","")))</f>
        <v/>
      </c>
      <c r="M2720" s="117">
        <f>IF($H2720="","",IF(AND(OR(LEFT($F2720,3)="111",LEFT($F2720,3)="112",LEFT($F2720,3)="113"),OR(LEFT($G2720,3)="111",LEFT($G2720,3)="112",LEFT($G2720,3)="113")),"NB",IF(OR(LEFT($F2720,3)="111",LEFT($F2720,3)="112",LEFT($F2720,3)="113"),"THU",IF(OR(LEFT($G2720,3)="111",LEFT($G2720,3)="112",LEFT($G2720,3)="113"),"CHI",""))))</f>
        <v/>
      </c>
      <c r="N2720" s="117">
        <f>IF($M2720="THU",$G2720,IF($M2720="CHI",$F2720,""))</f>
        <v/>
      </c>
      <c r="O2720" s="117">
        <f>IF(OR($M2720="",$M2720="NB"),"",IF($J2720&lt;&gt;"",TEXT($J2720,"00"),IFERROR(VLOOKUP(LEFT($N2720,4),LCTT_MAP!$A$7:$C$66,IF($M2720="THU",2,3),FALSE()),IFERROR(VLOOKUP(LEFT($N2720,3),LCTT_MAP!$A$7:$C$66,IF($M2720="THU",2,3),FALSE()),IFERROR(VLOOKUP(LEFT($N2720,2),LCTT_MAP!$A$7:$C$66,IF($M2720="THU",2,3),FALSE()),IFERROR(VLOOKUP(LEFT($N2720,1),LCTT_MAP!$A$7:$C$66,IF($M2720="THU",2,3),FALSE()),IF($M2720="THU","06","07")))))))</f>
        <v/>
      </c>
      <c r="P2720" s="117">
        <f>P2719+IF(AND($H2720&lt;&gt;"",OR(LEFT($F2720,LEN(SC_TK))=SC_TK,LEFT($G2720,LEN(SC_TK))=SC_TK)),1,0)</f>
        <v/>
      </c>
    </row>
    <row r="2721" ht="15" customHeight="1" s="78">
      <c r="A2721" s="95">
        <f>IF($H2721="","",ROW()-6)</f>
        <v/>
      </c>
      <c r="B2721" s="114" t="n"/>
      <c r="C2721" s="102" t="n"/>
      <c r="D2721" s="114" t="n"/>
      <c r="E2721" s="103" t="n"/>
      <c r="F2721" s="102" t="n"/>
      <c r="G2721" s="102" t="n"/>
      <c r="H2721" s="115" t="n"/>
      <c r="I2721" s="102" t="n"/>
      <c r="J2721" s="102" t="n"/>
      <c r="K2721" s="103" t="n"/>
      <c r="L2721" s="116">
        <f>IF($H2721="","",TRIM(IF(COUNTIF(DMTK!$A$7:$A$250,$F2721)=0,"TK Nợ sai! ","")&amp;IF(COUNTIF(DMTK!$A$7:$A$250,$G2721)=0,"TK Có sai! ","")&amp;IF(N($H2721)&lt;=0,"Tiền phải &gt; 0! ","")&amp;IF($B2721="","Thiếu ngày! ","")&amp;IF(AND(OR(LEFT($F2721,3)="131",LEFT($G2721,3)="131",LEFT($F2721,3)="331",LEFT($G2721,3)="331"),$I2721=""),"Thiếu Mã ĐT! ","")&amp;IF(AND($I2721&lt;&gt;"",COUNTIF(DM_DT!$A$7:$A$306,$I2721)=0),"Mã ĐT chưa khai báo! ","")))</f>
        <v/>
      </c>
      <c r="M2721" s="117">
        <f>IF($H2721="","",IF(AND(OR(LEFT($F2721,3)="111",LEFT($F2721,3)="112",LEFT($F2721,3)="113"),OR(LEFT($G2721,3)="111",LEFT($G2721,3)="112",LEFT($G2721,3)="113")),"NB",IF(OR(LEFT($F2721,3)="111",LEFT($F2721,3)="112",LEFT($F2721,3)="113"),"THU",IF(OR(LEFT($G2721,3)="111",LEFT($G2721,3)="112",LEFT($G2721,3)="113"),"CHI",""))))</f>
        <v/>
      </c>
      <c r="N2721" s="117">
        <f>IF($M2721="THU",$G2721,IF($M2721="CHI",$F2721,""))</f>
        <v/>
      </c>
      <c r="O2721" s="117">
        <f>IF(OR($M2721="",$M2721="NB"),"",IF($J2721&lt;&gt;"",TEXT($J2721,"00"),IFERROR(VLOOKUP(LEFT($N2721,4),LCTT_MAP!$A$7:$C$66,IF($M2721="THU",2,3),FALSE()),IFERROR(VLOOKUP(LEFT($N2721,3),LCTT_MAP!$A$7:$C$66,IF($M2721="THU",2,3),FALSE()),IFERROR(VLOOKUP(LEFT($N2721,2),LCTT_MAP!$A$7:$C$66,IF($M2721="THU",2,3),FALSE()),IFERROR(VLOOKUP(LEFT($N2721,1),LCTT_MAP!$A$7:$C$66,IF($M2721="THU",2,3),FALSE()),IF($M2721="THU","06","07")))))))</f>
        <v/>
      </c>
      <c r="P2721" s="117">
        <f>P2720+IF(AND($H2721&lt;&gt;"",OR(LEFT($F2721,LEN(SC_TK))=SC_TK,LEFT($G2721,LEN(SC_TK))=SC_TK)),1,0)</f>
        <v/>
      </c>
    </row>
    <row r="2722" ht="15" customHeight="1" s="78">
      <c r="A2722" s="95">
        <f>IF($H2722="","",ROW()-6)</f>
        <v/>
      </c>
      <c r="B2722" s="114" t="n"/>
      <c r="C2722" s="102" t="n"/>
      <c r="D2722" s="114" t="n"/>
      <c r="E2722" s="103" t="n"/>
      <c r="F2722" s="102" t="n"/>
      <c r="G2722" s="102" t="n"/>
      <c r="H2722" s="115" t="n"/>
      <c r="I2722" s="102" t="n"/>
      <c r="J2722" s="102" t="n"/>
      <c r="K2722" s="103" t="n"/>
      <c r="L2722" s="116">
        <f>IF($H2722="","",TRIM(IF(COUNTIF(DMTK!$A$7:$A$250,$F2722)=0,"TK Nợ sai! ","")&amp;IF(COUNTIF(DMTK!$A$7:$A$250,$G2722)=0,"TK Có sai! ","")&amp;IF(N($H2722)&lt;=0,"Tiền phải &gt; 0! ","")&amp;IF($B2722="","Thiếu ngày! ","")&amp;IF(AND(OR(LEFT($F2722,3)="131",LEFT($G2722,3)="131",LEFT($F2722,3)="331",LEFT($G2722,3)="331"),$I2722=""),"Thiếu Mã ĐT! ","")&amp;IF(AND($I2722&lt;&gt;"",COUNTIF(DM_DT!$A$7:$A$306,$I2722)=0),"Mã ĐT chưa khai báo! ","")))</f>
        <v/>
      </c>
      <c r="M2722" s="117">
        <f>IF($H2722="","",IF(AND(OR(LEFT($F2722,3)="111",LEFT($F2722,3)="112",LEFT($F2722,3)="113"),OR(LEFT($G2722,3)="111",LEFT($G2722,3)="112",LEFT($G2722,3)="113")),"NB",IF(OR(LEFT($F2722,3)="111",LEFT($F2722,3)="112",LEFT($F2722,3)="113"),"THU",IF(OR(LEFT($G2722,3)="111",LEFT($G2722,3)="112",LEFT($G2722,3)="113"),"CHI",""))))</f>
        <v/>
      </c>
      <c r="N2722" s="117">
        <f>IF($M2722="THU",$G2722,IF($M2722="CHI",$F2722,""))</f>
        <v/>
      </c>
      <c r="O2722" s="117">
        <f>IF(OR($M2722="",$M2722="NB"),"",IF($J2722&lt;&gt;"",TEXT($J2722,"00"),IFERROR(VLOOKUP(LEFT($N2722,4),LCTT_MAP!$A$7:$C$66,IF($M2722="THU",2,3),FALSE()),IFERROR(VLOOKUP(LEFT($N2722,3),LCTT_MAP!$A$7:$C$66,IF($M2722="THU",2,3),FALSE()),IFERROR(VLOOKUP(LEFT($N2722,2),LCTT_MAP!$A$7:$C$66,IF($M2722="THU",2,3),FALSE()),IFERROR(VLOOKUP(LEFT($N2722,1),LCTT_MAP!$A$7:$C$66,IF($M2722="THU",2,3),FALSE()),IF($M2722="THU","06","07")))))))</f>
        <v/>
      </c>
      <c r="P2722" s="117">
        <f>P2721+IF(AND($H2722&lt;&gt;"",OR(LEFT($F2722,LEN(SC_TK))=SC_TK,LEFT($G2722,LEN(SC_TK))=SC_TK)),1,0)</f>
        <v/>
      </c>
    </row>
    <row r="2723" ht="15" customHeight="1" s="78">
      <c r="A2723" s="95">
        <f>IF($H2723="","",ROW()-6)</f>
        <v/>
      </c>
      <c r="B2723" s="114" t="n"/>
      <c r="C2723" s="102" t="n"/>
      <c r="D2723" s="114" t="n"/>
      <c r="E2723" s="103" t="n"/>
      <c r="F2723" s="102" t="n"/>
      <c r="G2723" s="102" t="n"/>
      <c r="H2723" s="115" t="n"/>
      <c r="I2723" s="102" t="n"/>
      <c r="J2723" s="102" t="n"/>
      <c r="K2723" s="103" t="n"/>
      <c r="L2723" s="116">
        <f>IF($H2723="","",TRIM(IF(COUNTIF(DMTK!$A$7:$A$250,$F2723)=0,"TK Nợ sai! ","")&amp;IF(COUNTIF(DMTK!$A$7:$A$250,$G2723)=0,"TK Có sai! ","")&amp;IF(N($H2723)&lt;=0,"Tiền phải &gt; 0! ","")&amp;IF($B2723="","Thiếu ngày! ","")&amp;IF(AND(OR(LEFT($F2723,3)="131",LEFT($G2723,3)="131",LEFT($F2723,3)="331",LEFT($G2723,3)="331"),$I2723=""),"Thiếu Mã ĐT! ","")&amp;IF(AND($I2723&lt;&gt;"",COUNTIF(DM_DT!$A$7:$A$306,$I2723)=0),"Mã ĐT chưa khai báo! ","")))</f>
        <v/>
      </c>
      <c r="M2723" s="117">
        <f>IF($H2723="","",IF(AND(OR(LEFT($F2723,3)="111",LEFT($F2723,3)="112",LEFT($F2723,3)="113"),OR(LEFT($G2723,3)="111",LEFT($G2723,3)="112",LEFT($G2723,3)="113")),"NB",IF(OR(LEFT($F2723,3)="111",LEFT($F2723,3)="112",LEFT($F2723,3)="113"),"THU",IF(OR(LEFT($G2723,3)="111",LEFT($G2723,3)="112",LEFT($G2723,3)="113"),"CHI",""))))</f>
        <v/>
      </c>
      <c r="N2723" s="117">
        <f>IF($M2723="THU",$G2723,IF($M2723="CHI",$F2723,""))</f>
        <v/>
      </c>
      <c r="O2723" s="117">
        <f>IF(OR($M2723="",$M2723="NB"),"",IF($J2723&lt;&gt;"",TEXT($J2723,"00"),IFERROR(VLOOKUP(LEFT($N2723,4),LCTT_MAP!$A$7:$C$66,IF($M2723="THU",2,3),FALSE()),IFERROR(VLOOKUP(LEFT($N2723,3),LCTT_MAP!$A$7:$C$66,IF($M2723="THU",2,3),FALSE()),IFERROR(VLOOKUP(LEFT($N2723,2),LCTT_MAP!$A$7:$C$66,IF($M2723="THU",2,3),FALSE()),IFERROR(VLOOKUP(LEFT($N2723,1),LCTT_MAP!$A$7:$C$66,IF($M2723="THU",2,3),FALSE()),IF($M2723="THU","06","07")))))))</f>
        <v/>
      </c>
      <c r="P2723" s="117">
        <f>P2722+IF(AND($H2723&lt;&gt;"",OR(LEFT($F2723,LEN(SC_TK))=SC_TK,LEFT($G2723,LEN(SC_TK))=SC_TK)),1,0)</f>
        <v/>
      </c>
    </row>
    <row r="2724" ht="15" customHeight="1" s="78">
      <c r="A2724" s="95">
        <f>IF($H2724="","",ROW()-6)</f>
        <v/>
      </c>
      <c r="B2724" s="114" t="n"/>
      <c r="C2724" s="102" t="n"/>
      <c r="D2724" s="114" t="n"/>
      <c r="E2724" s="103" t="n"/>
      <c r="F2724" s="102" t="n"/>
      <c r="G2724" s="102" t="n"/>
      <c r="H2724" s="115" t="n"/>
      <c r="I2724" s="102" t="n"/>
      <c r="J2724" s="102" t="n"/>
      <c r="K2724" s="103" t="n"/>
      <c r="L2724" s="116">
        <f>IF($H2724="","",TRIM(IF(COUNTIF(DMTK!$A$7:$A$250,$F2724)=0,"TK Nợ sai! ","")&amp;IF(COUNTIF(DMTK!$A$7:$A$250,$G2724)=0,"TK Có sai! ","")&amp;IF(N($H2724)&lt;=0,"Tiền phải &gt; 0! ","")&amp;IF($B2724="","Thiếu ngày! ","")&amp;IF(AND(OR(LEFT($F2724,3)="131",LEFT($G2724,3)="131",LEFT($F2724,3)="331",LEFT($G2724,3)="331"),$I2724=""),"Thiếu Mã ĐT! ","")&amp;IF(AND($I2724&lt;&gt;"",COUNTIF(DM_DT!$A$7:$A$306,$I2724)=0),"Mã ĐT chưa khai báo! ","")))</f>
        <v/>
      </c>
      <c r="M2724" s="117">
        <f>IF($H2724="","",IF(AND(OR(LEFT($F2724,3)="111",LEFT($F2724,3)="112",LEFT($F2724,3)="113"),OR(LEFT($G2724,3)="111",LEFT($G2724,3)="112",LEFT($G2724,3)="113")),"NB",IF(OR(LEFT($F2724,3)="111",LEFT($F2724,3)="112",LEFT($F2724,3)="113"),"THU",IF(OR(LEFT($G2724,3)="111",LEFT($G2724,3)="112",LEFT($G2724,3)="113"),"CHI",""))))</f>
        <v/>
      </c>
      <c r="N2724" s="117">
        <f>IF($M2724="THU",$G2724,IF($M2724="CHI",$F2724,""))</f>
        <v/>
      </c>
      <c r="O2724" s="117">
        <f>IF(OR($M2724="",$M2724="NB"),"",IF($J2724&lt;&gt;"",TEXT($J2724,"00"),IFERROR(VLOOKUP(LEFT($N2724,4),LCTT_MAP!$A$7:$C$66,IF($M2724="THU",2,3),FALSE()),IFERROR(VLOOKUP(LEFT($N2724,3),LCTT_MAP!$A$7:$C$66,IF($M2724="THU",2,3),FALSE()),IFERROR(VLOOKUP(LEFT($N2724,2),LCTT_MAP!$A$7:$C$66,IF($M2724="THU",2,3),FALSE()),IFERROR(VLOOKUP(LEFT($N2724,1),LCTT_MAP!$A$7:$C$66,IF($M2724="THU",2,3),FALSE()),IF($M2724="THU","06","07")))))))</f>
        <v/>
      </c>
      <c r="P2724" s="117">
        <f>P2723+IF(AND($H2724&lt;&gt;"",OR(LEFT($F2724,LEN(SC_TK))=SC_TK,LEFT($G2724,LEN(SC_TK))=SC_TK)),1,0)</f>
        <v/>
      </c>
    </row>
    <row r="2725" ht="15" customHeight="1" s="78">
      <c r="A2725" s="95">
        <f>IF($H2725="","",ROW()-6)</f>
        <v/>
      </c>
      <c r="B2725" s="114" t="n"/>
      <c r="C2725" s="102" t="n"/>
      <c r="D2725" s="114" t="n"/>
      <c r="E2725" s="103" t="n"/>
      <c r="F2725" s="102" t="n"/>
      <c r="G2725" s="102" t="n"/>
      <c r="H2725" s="115" t="n"/>
      <c r="I2725" s="102" t="n"/>
      <c r="J2725" s="102" t="n"/>
      <c r="K2725" s="103" t="n"/>
      <c r="L2725" s="116">
        <f>IF($H2725="","",TRIM(IF(COUNTIF(DMTK!$A$7:$A$250,$F2725)=0,"TK Nợ sai! ","")&amp;IF(COUNTIF(DMTK!$A$7:$A$250,$G2725)=0,"TK Có sai! ","")&amp;IF(N($H2725)&lt;=0,"Tiền phải &gt; 0! ","")&amp;IF($B2725="","Thiếu ngày! ","")&amp;IF(AND(OR(LEFT($F2725,3)="131",LEFT($G2725,3)="131",LEFT($F2725,3)="331",LEFT($G2725,3)="331"),$I2725=""),"Thiếu Mã ĐT! ","")&amp;IF(AND($I2725&lt;&gt;"",COUNTIF(DM_DT!$A$7:$A$306,$I2725)=0),"Mã ĐT chưa khai báo! ","")))</f>
        <v/>
      </c>
      <c r="M2725" s="117">
        <f>IF($H2725="","",IF(AND(OR(LEFT($F2725,3)="111",LEFT($F2725,3)="112",LEFT($F2725,3)="113"),OR(LEFT($G2725,3)="111",LEFT($G2725,3)="112",LEFT($G2725,3)="113")),"NB",IF(OR(LEFT($F2725,3)="111",LEFT($F2725,3)="112",LEFT($F2725,3)="113"),"THU",IF(OR(LEFT($G2725,3)="111",LEFT($G2725,3)="112",LEFT($G2725,3)="113"),"CHI",""))))</f>
        <v/>
      </c>
      <c r="N2725" s="117">
        <f>IF($M2725="THU",$G2725,IF($M2725="CHI",$F2725,""))</f>
        <v/>
      </c>
      <c r="O2725" s="117">
        <f>IF(OR($M2725="",$M2725="NB"),"",IF($J2725&lt;&gt;"",TEXT($J2725,"00"),IFERROR(VLOOKUP(LEFT($N2725,4),LCTT_MAP!$A$7:$C$66,IF($M2725="THU",2,3),FALSE()),IFERROR(VLOOKUP(LEFT($N2725,3),LCTT_MAP!$A$7:$C$66,IF($M2725="THU",2,3),FALSE()),IFERROR(VLOOKUP(LEFT($N2725,2),LCTT_MAP!$A$7:$C$66,IF($M2725="THU",2,3),FALSE()),IFERROR(VLOOKUP(LEFT($N2725,1),LCTT_MAP!$A$7:$C$66,IF($M2725="THU",2,3),FALSE()),IF($M2725="THU","06","07")))))))</f>
        <v/>
      </c>
      <c r="P2725" s="117">
        <f>P2724+IF(AND($H2725&lt;&gt;"",OR(LEFT($F2725,LEN(SC_TK))=SC_TK,LEFT($G2725,LEN(SC_TK))=SC_TK)),1,0)</f>
        <v/>
      </c>
    </row>
    <row r="2726" ht="15" customHeight="1" s="78">
      <c r="A2726" s="95">
        <f>IF($H2726="","",ROW()-6)</f>
        <v/>
      </c>
      <c r="B2726" s="114" t="n"/>
      <c r="C2726" s="102" t="n"/>
      <c r="D2726" s="114" t="n"/>
      <c r="E2726" s="103" t="n"/>
      <c r="F2726" s="102" t="n"/>
      <c r="G2726" s="102" t="n"/>
      <c r="H2726" s="115" t="n"/>
      <c r="I2726" s="102" t="n"/>
      <c r="J2726" s="102" t="n"/>
      <c r="K2726" s="103" t="n"/>
      <c r="L2726" s="116">
        <f>IF($H2726="","",TRIM(IF(COUNTIF(DMTK!$A$7:$A$250,$F2726)=0,"TK Nợ sai! ","")&amp;IF(COUNTIF(DMTK!$A$7:$A$250,$G2726)=0,"TK Có sai! ","")&amp;IF(N($H2726)&lt;=0,"Tiền phải &gt; 0! ","")&amp;IF($B2726="","Thiếu ngày! ","")&amp;IF(AND(OR(LEFT($F2726,3)="131",LEFT($G2726,3)="131",LEFT($F2726,3)="331",LEFT($G2726,3)="331"),$I2726=""),"Thiếu Mã ĐT! ","")&amp;IF(AND($I2726&lt;&gt;"",COUNTIF(DM_DT!$A$7:$A$306,$I2726)=0),"Mã ĐT chưa khai báo! ","")))</f>
        <v/>
      </c>
      <c r="M2726" s="117">
        <f>IF($H2726="","",IF(AND(OR(LEFT($F2726,3)="111",LEFT($F2726,3)="112",LEFT($F2726,3)="113"),OR(LEFT($G2726,3)="111",LEFT($G2726,3)="112",LEFT($G2726,3)="113")),"NB",IF(OR(LEFT($F2726,3)="111",LEFT($F2726,3)="112",LEFT($F2726,3)="113"),"THU",IF(OR(LEFT($G2726,3)="111",LEFT($G2726,3)="112",LEFT($G2726,3)="113"),"CHI",""))))</f>
        <v/>
      </c>
      <c r="N2726" s="117">
        <f>IF($M2726="THU",$G2726,IF($M2726="CHI",$F2726,""))</f>
        <v/>
      </c>
      <c r="O2726" s="117">
        <f>IF(OR($M2726="",$M2726="NB"),"",IF($J2726&lt;&gt;"",TEXT($J2726,"00"),IFERROR(VLOOKUP(LEFT($N2726,4),LCTT_MAP!$A$7:$C$66,IF($M2726="THU",2,3),FALSE()),IFERROR(VLOOKUP(LEFT($N2726,3),LCTT_MAP!$A$7:$C$66,IF($M2726="THU",2,3),FALSE()),IFERROR(VLOOKUP(LEFT($N2726,2),LCTT_MAP!$A$7:$C$66,IF($M2726="THU",2,3),FALSE()),IFERROR(VLOOKUP(LEFT($N2726,1),LCTT_MAP!$A$7:$C$66,IF($M2726="THU",2,3),FALSE()),IF($M2726="THU","06","07")))))))</f>
        <v/>
      </c>
      <c r="P2726" s="117">
        <f>P2725+IF(AND($H2726&lt;&gt;"",OR(LEFT($F2726,LEN(SC_TK))=SC_TK,LEFT($G2726,LEN(SC_TK))=SC_TK)),1,0)</f>
        <v/>
      </c>
    </row>
    <row r="2727" ht="15" customHeight="1" s="78">
      <c r="A2727" s="95">
        <f>IF($H2727="","",ROW()-6)</f>
        <v/>
      </c>
      <c r="B2727" s="114" t="n"/>
      <c r="C2727" s="102" t="n"/>
      <c r="D2727" s="114" t="n"/>
      <c r="E2727" s="103" t="n"/>
      <c r="F2727" s="102" t="n"/>
      <c r="G2727" s="102" t="n"/>
      <c r="H2727" s="115" t="n"/>
      <c r="I2727" s="102" t="n"/>
      <c r="J2727" s="102" t="n"/>
      <c r="K2727" s="103" t="n"/>
      <c r="L2727" s="116">
        <f>IF($H2727="","",TRIM(IF(COUNTIF(DMTK!$A$7:$A$250,$F2727)=0,"TK Nợ sai! ","")&amp;IF(COUNTIF(DMTK!$A$7:$A$250,$G2727)=0,"TK Có sai! ","")&amp;IF(N($H2727)&lt;=0,"Tiền phải &gt; 0! ","")&amp;IF($B2727="","Thiếu ngày! ","")&amp;IF(AND(OR(LEFT($F2727,3)="131",LEFT($G2727,3)="131",LEFT($F2727,3)="331",LEFT($G2727,3)="331"),$I2727=""),"Thiếu Mã ĐT! ","")&amp;IF(AND($I2727&lt;&gt;"",COUNTIF(DM_DT!$A$7:$A$306,$I2727)=0),"Mã ĐT chưa khai báo! ","")))</f>
        <v/>
      </c>
      <c r="M2727" s="117">
        <f>IF($H2727="","",IF(AND(OR(LEFT($F2727,3)="111",LEFT($F2727,3)="112",LEFT($F2727,3)="113"),OR(LEFT($G2727,3)="111",LEFT($G2727,3)="112",LEFT($G2727,3)="113")),"NB",IF(OR(LEFT($F2727,3)="111",LEFT($F2727,3)="112",LEFT($F2727,3)="113"),"THU",IF(OR(LEFT($G2727,3)="111",LEFT($G2727,3)="112",LEFT($G2727,3)="113"),"CHI",""))))</f>
        <v/>
      </c>
      <c r="N2727" s="117">
        <f>IF($M2727="THU",$G2727,IF($M2727="CHI",$F2727,""))</f>
        <v/>
      </c>
      <c r="O2727" s="117">
        <f>IF(OR($M2727="",$M2727="NB"),"",IF($J2727&lt;&gt;"",TEXT($J2727,"00"),IFERROR(VLOOKUP(LEFT($N2727,4),LCTT_MAP!$A$7:$C$66,IF($M2727="THU",2,3),FALSE()),IFERROR(VLOOKUP(LEFT($N2727,3),LCTT_MAP!$A$7:$C$66,IF($M2727="THU",2,3),FALSE()),IFERROR(VLOOKUP(LEFT($N2727,2),LCTT_MAP!$A$7:$C$66,IF($M2727="THU",2,3),FALSE()),IFERROR(VLOOKUP(LEFT($N2727,1),LCTT_MAP!$A$7:$C$66,IF($M2727="THU",2,3),FALSE()),IF($M2727="THU","06","07")))))))</f>
        <v/>
      </c>
      <c r="P2727" s="117">
        <f>P2726+IF(AND($H2727&lt;&gt;"",OR(LEFT($F2727,LEN(SC_TK))=SC_TK,LEFT($G2727,LEN(SC_TK))=SC_TK)),1,0)</f>
        <v/>
      </c>
    </row>
    <row r="2728" ht="15" customHeight="1" s="78">
      <c r="A2728" s="95">
        <f>IF($H2728="","",ROW()-6)</f>
        <v/>
      </c>
      <c r="B2728" s="114" t="n"/>
      <c r="C2728" s="102" t="n"/>
      <c r="D2728" s="114" t="n"/>
      <c r="E2728" s="103" t="n"/>
      <c r="F2728" s="102" t="n"/>
      <c r="G2728" s="102" t="n"/>
      <c r="H2728" s="115" t="n"/>
      <c r="I2728" s="102" t="n"/>
      <c r="J2728" s="102" t="n"/>
      <c r="K2728" s="103" t="n"/>
      <c r="L2728" s="116">
        <f>IF($H2728="","",TRIM(IF(COUNTIF(DMTK!$A$7:$A$250,$F2728)=0,"TK Nợ sai! ","")&amp;IF(COUNTIF(DMTK!$A$7:$A$250,$G2728)=0,"TK Có sai! ","")&amp;IF(N($H2728)&lt;=0,"Tiền phải &gt; 0! ","")&amp;IF($B2728="","Thiếu ngày! ","")&amp;IF(AND(OR(LEFT($F2728,3)="131",LEFT($G2728,3)="131",LEFT($F2728,3)="331",LEFT($G2728,3)="331"),$I2728=""),"Thiếu Mã ĐT! ","")&amp;IF(AND($I2728&lt;&gt;"",COUNTIF(DM_DT!$A$7:$A$306,$I2728)=0),"Mã ĐT chưa khai báo! ","")))</f>
        <v/>
      </c>
      <c r="M2728" s="117">
        <f>IF($H2728="","",IF(AND(OR(LEFT($F2728,3)="111",LEFT($F2728,3)="112",LEFT($F2728,3)="113"),OR(LEFT($G2728,3)="111",LEFT($G2728,3)="112",LEFT($G2728,3)="113")),"NB",IF(OR(LEFT($F2728,3)="111",LEFT($F2728,3)="112",LEFT($F2728,3)="113"),"THU",IF(OR(LEFT($G2728,3)="111",LEFT($G2728,3)="112",LEFT($G2728,3)="113"),"CHI",""))))</f>
        <v/>
      </c>
      <c r="N2728" s="117">
        <f>IF($M2728="THU",$G2728,IF($M2728="CHI",$F2728,""))</f>
        <v/>
      </c>
      <c r="O2728" s="117">
        <f>IF(OR($M2728="",$M2728="NB"),"",IF($J2728&lt;&gt;"",TEXT($J2728,"00"),IFERROR(VLOOKUP(LEFT($N2728,4),LCTT_MAP!$A$7:$C$66,IF($M2728="THU",2,3),FALSE()),IFERROR(VLOOKUP(LEFT($N2728,3),LCTT_MAP!$A$7:$C$66,IF($M2728="THU",2,3),FALSE()),IFERROR(VLOOKUP(LEFT($N2728,2),LCTT_MAP!$A$7:$C$66,IF($M2728="THU",2,3),FALSE()),IFERROR(VLOOKUP(LEFT($N2728,1),LCTT_MAP!$A$7:$C$66,IF($M2728="THU",2,3),FALSE()),IF($M2728="THU","06","07")))))))</f>
        <v/>
      </c>
      <c r="P2728" s="117">
        <f>P2727+IF(AND($H2728&lt;&gt;"",OR(LEFT($F2728,LEN(SC_TK))=SC_TK,LEFT($G2728,LEN(SC_TK))=SC_TK)),1,0)</f>
        <v/>
      </c>
    </row>
    <row r="2729" ht="15" customHeight="1" s="78">
      <c r="A2729" s="95">
        <f>IF($H2729="","",ROW()-6)</f>
        <v/>
      </c>
      <c r="B2729" s="114" t="n"/>
      <c r="C2729" s="102" t="n"/>
      <c r="D2729" s="114" t="n"/>
      <c r="E2729" s="103" t="n"/>
      <c r="F2729" s="102" t="n"/>
      <c r="G2729" s="102" t="n"/>
      <c r="H2729" s="115" t="n"/>
      <c r="I2729" s="102" t="n"/>
      <c r="J2729" s="102" t="n"/>
      <c r="K2729" s="103" t="n"/>
      <c r="L2729" s="116">
        <f>IF($H2729="","",TRIM(IF(COUNTIF(DMTK!$A$7:$A$250,$F2729)=0,"TK Nợ sai! ","")&amp;IF(COUNTIF(DMTK!$A$7:$A$250,$G2729)=0,"TK Có sai! ","")&amp;IF(N($H2729)&lt;=0,"Tiền phải &gt; 0! ","")&amp;IF($B2729="","Thiếu ngày! ","")&amp;IF(AND(OR(LEFT($F2729,3)="131",LEFT($G2729,3)="131",LEFT($F2729,3)="331",LEFT($G2729,3)="331"),$I2729=""),"Thiếu Mã ĐT! ","")&amp;IF(AND($I2729&lt;&gt;"",COUNTIF(DM_DT!$A$7:$A$306,$I2729)=0),"Mã ĐT chưa khai báo! ","")))</f>
        <v/>
      </c>
      <c r="M2729" s="117">
        <f>IF($H2729="","",IF(AND(OR(LEFT($F2729,3)="111",LEFT($F2729,3)="112",LEFT($F2729,3)="113"),OR(LEFT($G2729,3)="111",LEFT($G2729,3)="112",LEFT($G2729,3)="113")),"NB",IF(OR(LEFT($F2729,3)="111",LEFT($F2729,3)="112",LEFT($F2729,3)="113"),"THU",IF(OR(LEFT($G2729,3)="111",LEFT($G2729,3)="112",LEFT($G2729,3)="113"),"CHI",""))))</f>
        <v/>
      </c>
      <c r="N2729" s="117">
        <f>IF($M2729="THU",$G2729,IF($M2729="CHI",$F2729,""))</f>
        <v/>
      </c>
      <c r="O2729" s="117">
        <f>IF(OR($M2729="",$M2729="NB"),"",IF($J2729&lt;&gt;"",TEXT($J2729,"00"),IFERROR(VLOOKUP(LEFT($N2729,4),LCTT_MAP!$A$7:$C$66,IF($M2729="THU",2,3),FALSE()),IFERROR(VLOOKUP(LEFT($N2729,3),LCTT_MAP!$A$7:$C$66,IF($M2729="THU",2,3),FALSE()),IFERROR(VLOOKUP(LEFT($N2729,2),LCTT_MAP!$A$7:$C$66,IF($M2729="THU",2,3),FALSE()),IFERROR(VLOOKUP(LEFT($N2729,1),LCTT_MAP!$A$7:$C$66,IF($M2729="THU",2,3),FALSE()),IF($M2729="THU","06","07")))))))</f>
        <v/>
      </c>
      <c r="P2729" s="117">
        <f>P2728+IF(AND($H2729&lt;&gt;"",OR(LEFT($F2729,LEN(SC_TK))=SC_TK,LEFT($G2729,LEN(SC_TK))=SC_TK)),1,0)</f>
        <v/>
      </c>
    </row>
    <row r="2730" ht="15" customHeight="1" s="78">
      <c r="A2730" s="95">
        <f>IF($H2730="","",ROW()-6)</f>
        <v/>
      </c>
      <c r="B2730" s="114" t="n"/>
      <c r="C2730" s="102" t="n"/>
      <c r="D2730" s="114" t="n"/>
      <c r="E2730" s="103" t="n"/>
      <c r="F2730" s="102" t="n"/>
      <c r="G2730" s="102" t="n"/>
      <c r="H2730" s="115" t="n"/>
      <c r="I2730" s="102" t="n"/>
      <c r="J2730" s="102" t="n"/>
      <c r="K2730" s="103" t="n"/>
      <c r="L2730" s="116">
        <f>IF($H2730="","",TRIM(IF(COUNTIF(DMTK!$A$7:$A$250,$F2730)=0,"TK Nợ sai! ","")&amp;IF(COUNTIF(DMTK!$A$7:$A$250,$G2730)=0,"TK Có sai! ","")&amp;IF(N($H2730)&lt;=0,"Tiền phải &gt; 0! ","")&amp;IF($B2730="","Thiếu ngày! ","")&amp;IF(AND(OR(LEFT($F2730,3)="131",LEFT($G2730,3)="131",LEFT($F2730,3)="331",LEFT($G2730,3)="331"),$I2730=""),"Thiếu Mã ĐT! ","")&amp;IF(AND($I2730&lt;&gt;"",COUNTIF(DM_DT!$A$7:$A$306,$I2730)=0),"Mã ĐT chưa khai báo! ","")))</f>
        <v/>
      </c>
      <c r="M2730" s="117">
        <f>IF($H2730="","",IF(AND(OR(LEFT($F2730,3)="111",LEFT($F2730,3)="112",LEFT($F2730,3)="113"),OR(LEFT($G2730,3)="111",LEFT($G2730,3)="112",LEFT($G2730,3)="113")),"NB",IF(OR(LEFT($F2730,3)="111",LEFT($F2730,3)="112",LEFT($F2730,3)="113"),"THU",IF(OR(LEFT($G2730,3)="111",LEFT($G2730,3)="112",LEFT($G2730,3)="113"),"CHI",""))))</f>
        <v/>
      </c>
      <c r="N2730" s="117">
        <f>IF($M2730="THU",$G2730,IF($M2730="CHI",$F2730,""))</f>
        <v/>
      </c>
      <c r="O2730" s="117">
        <f>IF(OR($M2730="",$M2730="NB"),"",IF($J2730&lt;&gt;"",TEXT($J2730,"00"),IFERROR(VLOOKUP(LEFT($N2730,4),LCTT_MAP!$A$7:$C$66,IF($M2730="THU",2,3),FALSE()),IFERROR(VLOOKUP(LEFT($N2730,3),LCTT_MAP!$A$7:$C$66,IF($M2730="THU",2,3),FALSE()),IFERROR(VLOOKUP(LEFT($N2730,2),LCTT_MAP!$A$7:$C$66,IF($M2730="THU",2,3),FALSE()),IFERROR(VLOOKUP(LEFT($N2730,1),LCTT_MAP!$A$7:$C$66,IF($M2730="THU",2,3),FALSE()),IF($M2730="THU","06","07")))))))</f>
        <v/>
      </c>
      <c r="P2730" s="117">
        <f>P2729+IF(AND($H2730&lt;&gt;"",OR(LEFT($F2730,LEN(SC_TK))=SC_TK,LEFT($G2730,LEN(SC_TK))=SC_TK)),1,0)</f>
        <v/>
      </c>
    </row>
    <row r="2731" ht="15" customHeight="1" s="78">
      <c r="A2731" s="95">
        <f>IF($H2731="","",ROW()-6)</f>
        <v/>
      </c>
      <c r="B2731" s="114" t="n"/>
      <c r="C2731" s="102" t="n"/>
      <c r="D2731" s="114" t="n"/>
      <c r="E2731" s="103" t="n"/>
      <c r="F2731" s="102" t="n"/>
      <c r="G2731" s="102" t="n"/>
      <c r="H2731" s="115" t="n"/>
      <c r="I2731" s="102" t="n"/>
      <c r="J2731" s="102" t="n"/>
      <c r="K2731" s="103" t="n"/>
      <c r="L2731" s="116">
        <f>IF($H2731="","",TRIM(IF(COUNTIF(DMTK!$A$7:$A$250,$F2731)=0,"TK Nợ sai! ","")&amp;IF(COUNTIF(DMTK!$A$7:$A$250,$G2731)=0,"TK Có sai! ","")&amp;IF(N($H2731)&lt;=0,"Tiền phải &gt; 0! ","")&amp;IF($B2731="","Thiếu ngày! ","")&amp;IF(AND(OR(LEFT($F2731,3)="131",LEFT($G2731,3)="131",LEFT($F2731,3)="331",LEFT($G2731,3)="331"),$I2731=""),"Thiếu Mã ĐT! ","")&amp;IF(AND($I2731&lt;&gt;"",COUNTIF(DM_DT!$A$7:$A$306,$I2731)=0),"Mã ĐT chưa khai báo! ","")))</f>
        <v/>
      </c>
      <c r="M2731" s="117">
        <f>IF($H2731="","",IF(AND(OR(LEFT($F2731,3)="111",LEFT($F2731,3)="112",LEFT($F2731,3)="113"),OR(LEFT($G2731,3)="111",LEFT($G2731,3)="112",LEFT($G2731,3)="113")),"NB",IF(OR(LEFT($F2731,3)="111",LEFT($F2731,3)="112",LEFT($F2731,3)="113"),"THU",IF(OR(LEFT($G2731,3)="111",LEFT($G2731,3)="112",LEFT($G2731,3)="113"),"CHI",""))))</f>
        <v/>
      </c>
      <c r="N2731" s="117">
        <f>IF($M2731="THU",$G2731,IF($M2731="CHI",$F2731,""))</f>
        <v/>
      </c>
      <c r="O2731" s="117">
        <f>IF(OR($M2731="",$M2731="NB"),"",IF($J2731&lt;&gt;"",TEXT($J2731,"00"),IFERROR(VLOOKUP(LEFT($N2731,4),LCTT_MAP!$A$7:$C$66,IF($M2731="THU",2,3),FALSE()),IFERROR(VLOOKUP(LEFT($N2731,3),LCTT_MAP!$A$7:$C$66,IF($M2731="THU",2,3),FALSE()),IFERROR(VLOOKUP(LEFT($N2731,2),LCTT_MAP!$A$7:$C$66,IF($M2731="THU",2,3),FALSE()),IFERROR(VLOOKUP(LEFT($N2731,1),LCTT_MAP!$A$7:$C$66,IF($M2731="THU",2,3),FALSE()),IF($M2731="THU","06","07")))))))</f>
        <v/>
      </c>
      <c r="P2731" s="117">
        <f>P2730+IF(AND($H2731&lt;&gt;"",OR(LEFT($F2731,LEN(SC_TK))=SC_TK,LEFT($G2731,LEN(SC_TK))=SC_TK)),1,0)</f>
        <v/>
      </c>
    </row>
    <row r="2732" ht="15" customHeight="1" s="78">
      <c r="A2732" s="95">
        <f>IF($H2732="","",ROW()-6)</f>
        <v/>
      </c>
      <c r="B2732" s="114" t="n"/>
      <c r="C2732" s="102" t="n"/>
      <c r="D2732" s="114" t="n"/>
      <c r="E2732" s="103" t="n"/>
      <c r="F2732" s="102" t="n"/>
      <c r="G2732" s="102" t="n"/>
      <c r="H2732" s="115" t="n"/>
      <c r="I2732" s="102" t="n"/>
      <c r="J2732" s="102" t="n"/>
      <c r="K2732" s="103" t="n"/>
      <c r="L2732" s="116">
        <f>IF($H2732="","",TRIM(IF(COUNTIF(DMTK!$A$7:$A$250,$F2732)=0,"TK Nợ sai! ","")&amp;IF(COUNTIF(DMTK!$A$7:$A$250,$G2732)=0,"TK Có sai! ","")&amp;IF(N($H2732)&lt;=0,"Tiền phải &gt; 0! ","")&amp;IF($B2732="","Thiếu ngày! ","")&amp;IF(AND(OR(LEFT($F2732,3)="131",LEFT($G2732,3)="131",LEFT($F2732,3)="331",LEFT($G2732,3)="331"),$I2732=""),"Thiếu Mã ĐT! ","")&amp;IF(AND($I2732&lt;&gt;"",COUNTIF(DM_DT!$A$7:$A$306,$I2732)=0),"Mã ĐT chưa khai báo! ","")))</f>
        <v/>
      </c>
      <c r="M2732" s="117">
        <f>IF($H2732="","",IF(AND(OR(LEFT($F2732,3)="111",LEFT($F2732,3)="112",LEFT($F2732,3)="113"),OR(LEFT($G2732,3)="111",LEFT($G2732,3)="112",LEFT($G2732,3)="113")),"NB",IF(OR(LEFT($F2732,3)="111",LEFT($F2732,3)="112",LEFT($F2732,3)="113"),"THU",IF(OR(LEFT($G2732,3)="111",LEFT($G2732,3)="112",LEFT($G2732,3)="113"),"CHI",""))))</f>
        <v/>
      </c>
      <c r="N2732" s="117">
        <f>IF($M2732="THU",$G2732,IF($M2732="CHI",$F2732,""))</f>
        <v/>
      </c>
      <c r="O2732" s="117">
        <f>IF(OR($M2732="",$M2732="NB"),"",IF($J2732&lt;&gt;"",TEXT($J2732,"00"),IFERROR(VLOOKUP(LEFT($N2732,4),LCTT_MAP!$A$7:$C$66,IF($M2732="THU",2,3),FALSE()),IFERROR(VLOOKUP(LEFT($N2732,3),LCTT_MAP!$A$7:$C$66,IF($M2732="THU",2,3),FALSE()),IFERROR(VLOOKUP(LEFT($N2732,2),LCTT_MAP!$A$7:$C$66,IF($M2732="THU",2,3),FALSE()),IFERROR(VLOOKUP(LEFT($N2732,1),LCTT_MAP!$A$7:$C$66,IF($M2732="THU",2,3),FALSE()),IF($M2732="THU","06","07")))))))</f>
        <v/>
      </c>
      <c r="P2732" s="117">
        <f>P2731+IF(AND($H2732&lt;&gt;"",OR(LEFT($F2732,LEN(SC_TK))=SC_TK,LEFT($G2732,LEN(SC_TK))=SC_TK)),1,0)</f>
        <v/>
      </c>
    </row>
    <row r="2733" ht="15" customHeight="1" s="78">
      <c r="A2733" s="95">
        <f>IF($H2733="","",ROW()-6)</f>
        <v/>
      </c>
      <c r="B2733" s="114" t="n"/>
      <c r="C2733" s="102" t="n"/>
      <c r="D2733" s="114" t="n"/>
      <c r="E2733" s="103" t="n"/>
      <c r="F2733" s="102" t="n"/>
      <c r="G2733" s="102" t="n"/>
      <c r="H2733" s="115" t="n"/>
      <c r="I2733" s="102" t="n"/>
      <c r="J2733" s="102" t="n"/>
      <c r="K2733" s="103" t="n"/>
      <c r="L2733" s="116">
        <f>IF($H2733="","",TRIM(IF(COUNTIF(DMTK!$A$7:$A$250,$F2733)=0,"TK Nợ sai! ","")&amp;IF(COUNTIF(DMTK!$A$7:$A$250,$G2733)=0,"TK Có sai! ","")&amp;IF(N($H2733)&lt;=0,"Tiền phải &gt; 0! ","")&amp;IF($B2733="","Thiếu ngày! ","")&amp;IF(AND(OR(LEFT($F2733,3)="131",LEFT($G2733,3)="131",LEFT($F2733,3)="331",LEFT($G2733,3)="331"),$I2733=""),"Thiếu Mã ĐT! ","")&amp;IF(AND($I2733&lt;&gt;"",COUNTIF(DM_DT!$A$7:$A$306,$I2733)=0),"Mã ĐT chưa khai báo! ","")))</f>
        <v/>
      </c>
      <c r="M2733" s="117">
        <f>IF($H2733="","",IF(AND(OR(LEFT($F2733,3)="111",LEFT($F2733,3)="112",LEFT($F2733,3)="113"),OR(LEFT($G2733,3)="111",LEFT($G2733,3)="112",LEFT($G2733,3)="113")),"NB",IF(OR(LEFT($F2733,3)="111",LEFT($F2733,3)="112",LEFT($F2733,3)="113"),"THU",IF(OR(LEFT($G2733,3)="111",LEFT($G2733,3)="112",LEFT($G2733,3)="113"),"CHI",""))))</f>
        <v/>
      </c>
      <c r="N2733" s="117">
        <f>IF($M2733="THU",$G2733,IF($M2733="CHI",$F2733,""))</f>
        <v/>
      </c>
      <c r="O2733" s="117">
        <f>IF(OR($M2733="",$M2733="NB"),"",IF($J2733&lt;&gt;"",TEXT($J2733,"00"),IFERROR(VLOOKUP(LEFT($N2733,4),LCTT_MAP!$A$7:$C$66,IF($M2733="THU",2,3),FALSE()),IFERROR(VLOOKUP(LEFT($N2733,3),LCTT_MAP!$A$7:$C$66,IF($M2733="THU",2,3),FALSE()),IFERROR(VLOOKUP(LEFT($N2733,2),LCTT_MAP!$A$7:$C$66,IF($M2733="THU",2,3),FALSE()),IFERROR(VLOOKUP(LEFT($N2733,1),LCTT_MAP!$A$7:$C$66,IF($M2733="THU",2,3),FALSE()),IF($M2733="THU","06","07")))))))</f>
        <v/>
      </c>
      <c r="P2733" s="117">
        <f>P2732+IF(AND($H2733&lt;&gt;"",OR(LEFT($F2733,LEN(SC_TK))=SC_TK,LEFT($G2733,LEN(SC_TK))=SC_TK)),1,0)</f>
        <v/>
      </c>
    </row>
    <row r="2734" ht="15" customHeight="1" s="78">
      <c r="A2734" s="95">
        <f>IF($H2734="","",ROW()-6)</f>
        <v/>
      </c>
      <c r="B2734" s="114" t="n"/>
      <c r="C2734" s="102" t="n"/>
      <c r="D2734" s="114" t="n"/>
      <c r="E2734" s="103" t="n"/>
      <c r="F2734" s="102" t="n"/>
      <c r="G2734" s="102" t="n"/>
      <c r="H2734" s="115" t="n"/>
      <c r="I2734" s="102" t="n"/>
      <c r="J2734" s="102" t="n"/>
      <c r="K2734" s="103" t="n"/>
      <c r="L2734" s="116">
        <f>IF($H2734="","",TRIM(IF(COUNTIF(DMTK!$A$7:$A$250,$F2734)=0,"TK Nợ sai! ","")&amp;IF(COUNTIF(DMTK!$A$7:$A$250,$G2734)=0,"TK Có sai! ","")&amp;IF(N($H2734)&lt;=0,"Tiền phải &gt; 0! ","")&amp;IF($B2734="","Thiếu ngày! ","")&amp;IF(AND(OR(LEFT($F2734,3)="131",LEFT($G2734,3)="131",LEFT($F2734,3)="331",LEFT($G2734,3)="331"),$I2734=""),"Thiếu Mã ĐT! ","")&amp;IF(AND($I2734&lt;&gt;"",COUNTIF(DM_DT!$A$7:$A$306,$I2734)=0),"Mã ĐT chưa khai báo! ","")))</f>
        <v/>
      </c>
      <c r="M2734" s="117">
        <f>IF($H2734="","",IF(AND(OR(LEFT($F2734,3)="111",LEFT($F2734,3)="112",LEFT($F2734,3)="113"),OR(LEFT($G2734,3)="111",LEFT($G2734,3)="112",LEFT($G2734,3)="113")),"NB",IF(OR(LEFT($F2734,3)="111",LEFT($F2734,3)="112",LEFT($F2734,3)="113"),"THU",IF(OR(LEFT($G2734,3)="111",LEFT($G2734,3)="112",LEFT($G2734,3)="113"),"CHI",""))))</f>
        <v/>
      </c>
      <c r="N2734" s="117">
        <f>IF($M2734="THU",$G2734,IF($M2734="CHI",$F2734,""))</f>
        <v/>
      </c>
      <c r="O2734" s="117">
        <f>IF(OR($M2734="",$M2734="NB"),"",IF($J2734&lt;&gt;"",TEXT($J2734,"00"),IFERROR(VLOOKUP(LEFT($N2734,4),LCTT_MAP!$A$7:$C$66,IF($M2734="THU",2,3),FALSE()),IFERROR(VLOOKUP(LEFT($N2734,3),LCTT_MAP!$A$7:$C$66,IF($M2734="THU",2,3),FALSE()),IFERROR(VLOOKUP(LEFT($N2734,2),LCTT_MAP!$A$7:$C$66,IF($M2734="THU",2,3),FALSE()),IFERROR(VLOOKUP(LEFT($N2734,1),LCTT_MAP!$A$7:$C$66,IF($M2734="THU",2,3),FALSE()),IF($M2734="THU","06","07")))))))</f>
        <v/>
      </c>
      <c r="P2734" s="117">
        <f>P2733+IF(AND($H2734&lt;&gt;"",OR(LEFT($F2734,LEN(SC_TK))=SC_TK,LEFT($G2734,LEN(SC_TK))=SC_TK)),1,0)</f>
        <v/>
      </c>
    </row>
    <row r="2735" ht="15" customHeight="1" s="78">
      <c r="A2735" s="95">
        <f>IF($H2735="","",ROW()-6)</f>
        <v/>
      </c>
      <c r="B2735" s="114" t="n"/>
      <c r="C2735" s="102" t="n"/>
      <c r="D2735" s="114" t="n"/>
      <c r="E2735" s="103" t="n"/>
      <c r="F2735" s="102" t="n"/>
      <c r="G2735" s="102" t="n"/>
      <c r="H2735" s="115" t="n"/>
      <c r="I2735" s="102" t="n"/>
      <c r="J2735" s="102" t="n"/>
      <c r="K2735" s="103" t="n"/>
      <c r="L2735" s="116">
        <f>IF($H2735="","",TRIM(IF(COUNTIF(DMTK!$A$7:$A$250,$F2735)=0,"TK Nợ sai! ","")&amp;IF(COUNTIF(DMTK!$A$7:$A$250,$G2735)=0,"TK Có sai! ","")&amp;IF(N($H2735)&lt;=0,"Tiền phải &gt; 0! ","")&amp;IF($B2735="","Thiếu ngày! ","")&amp;IF(AND(OR(LEFT($F2735,3)="131",LEFT($G2735,3)="131",LEFT($F2735,3)="331",LEFT($G2735,3)="331"),$I2735=""),"Thiếu Mã ĐT! ","")&amp;IF(AND($I2735&lt;&gt;"",COUNTIF(DM_DT!$A$7:$A$306,$I2735)=0),"Mã ĐT chưa khai báo! ","")))</f>
        <v/>
      </c>
      <c r="M2735" s="117">
        <f>IF($H2735="","",IF(AND(OR(LEFT($F2735,3)="111",LEFT($F2735,3)="112",LEFT($F2735,3)="113"),OR(LEFT($G2735,3)="111",LEFT($G2735,3)="112",LEFT($G2735,3)="113")),"NB",IF(OR(LEFT($F2735,3)="111",LEFT($F2735,3)="112",LEFT($F2735,3)="113"),"THU",IF(OR(LEFT($G2735,3)="111",LEFT($G2735,3)="112",LEFT($G2735,3)="113"),"CHI",""))))</f>
        <v/>
      </c>
      <c r="N2735" s="117">
        <f>IF($M2735="THU",$G2735,IF($M2735="CHI",$F2735,""))</f>
        <v/>
      </c>
      <c r="O2735" s="117">
        <f>IF(OR($M2735="",$M2735="NB"),"",IF($J2735&lt;&gt;"",TEXT($J2735,"00"),IFERROR(VLOOKUP(LEFT($N2735,4),LCTT_MAP!$A$7:$C$66,IF($M2735="THU",2,3),FALSE()),IFERROR(VLOOKUP(LEFT($N2735,3),LCTT_MAP!$A$7:$C$66,IF($M2735="THU",2,3),FALSE()),IFERROR(VLOOKUP(LEFT($N2735,2),LCTT_MAP!$A$7:$C$66,IF($M2735="THU",2,3),FALSE()),IFERROR(VLOOKUP(LEFT($N2735,1),LCTT_MAP!$A$7:$C$66,IF($M2735="THU",2,3),FALSE()),IF($M2735="THU","06","07")))))))</f>
        <v/>
      </c>
      <c r="P2735" s="117">
        <f>P2734+IF(AND($H2735&lt;&gt;"",OR(LEFT($F2735,LEN(SC_TK))=SC_TK,LEFT($G2735,LEN(SC_TK))=SC_TK)),1,0)</f>
        <v/>
      </c>
    </row>
    <row r="2736" ht="15" customHeight="1" s="78">
      <c r="A2736" s="95">
        <f>IF($H2736="","",ROW()-6)</f>
        <v/>
      </c>
      <c r="B2736" s="114" t="n"/>
      <c r="C2736" s="102" t="n"/>
      <c r="D2736" s="114" t="n"/>
      <c r="E2736" s="103" t="n"/>
      <c r="F2736" s="102" t="n"/>
      <c r="G2736" s="102" t="n"/>
      <c r="H2736" s="115" t="n"/>
      <c r="I2736" s="102" t="n"/>
      <c r="J2736" s="102" t="n"/>
      <c r="K2736" s="103" t="n"/>
      <c r="L2736" s="116">
        <f>IF($H2736="","",TRIM(IF(COUNTIF(DMTK!$A$7:$A$250,$F2736)=0,"TK Nợ sai! ","")&amp;IF(COUNTIF(DMTK!$A$7:$A$250,$G2736)=0,"TK Có sai! ","")&amp;IF(N($H2736)&lt;=0,"Tiền phải &gt; 0! ","")&amp;IF($B2736="","Thiếu ngày! ","")&amp;IF(AND(OR(LEFT($F2736,3)="131",LEFT($G2736,3)="131",LEFT($F2736,3)="331",LEFT($G2736,3)="331"),$I2736=""),"Thiếu Mã ĐT! ","")&amp;IF(AND($I2736&lt;&gt;"",COUNTIF(DM_DT!$A$7:$A$306,$I2736)=0),"Mã ĐT chưa khai báo! ","")))</f>
        <v/>
      </c>
      <c r="M2736" s="117">
        <f>IF($H2736="","",IF(AND(OR(LEFT($F2736,3)="111",LEFT($F2736,3)="112",LEFT($F2736,3)="113"),OR(LEFT($G2736,3)="111",LEFT($G2736,3)="112",LEFT($G2736,3)="113")),"NB",IF(OR(LEFT($F2736,3)="111",LEFT($F2736,3)="112",LEFT($F2736,3)="113"),"THU",IF(OR(LEFT($G2736,3)="111",LEFT($G2736,3)="112",LEFT($G2736,3)="113"),"CHI",""))))</f>
        <v/>
      </c>
      <c r="N2736" s="117">
        <f>IF($M2736="THU",$G2736,IF($M2736="CHI",$F2736,""))</f>
        <v/>
      </c>
      <c r="O2736" s="117">
        <f>IF(OR($M2736="",$M2736="NB"),"",IF($J2736&lt;&gt;"",TEXT($J2736,"00"),IFERROR(VLOOKUP(LEFT($N2736,4),LCTT_MAP!$A$7:$C$66,IF($M2736="THU",2,3),FALSE()),IFERROR(VLOOKUP(LEFT($N2736,3),LCTT_MAP!$A$7:$C$66,IF($M2736="THU",2,3),FALSE()),IFERROR(VLOOKUP(LEFT($N2736,2),LCTT_MAP!$A$7:$C$66,IF($M2736="THU",2,3),FALSE()),IFERROR(VLOOKUP(LEFT($N2736,1),LCTT_MAP!$A$7:$C$66,IF($M2736="THU",2,3),FALSE()),IF($M2736="THU","06","07")))))))</f>
        <v/>
      </c>
      <c r="P2736" s="117">
        <f>P2735+IF(AND($H2736&lt;&gt;"",OR(LEFT($F2736,LEN(SC_TK))=SC_TK,LEFT($G2736,LEN(SC_TK))=SC_TK)),1,0)</f>
        <v/>
      </c>
    </row>
    <row r="2737" ht="15" customHeight="1" s="78">
      <c r="A2737" s="95">
        <f>IF($H2737="","",ROW()-6)</f>
        <v/>
      </c>
      <c r="B2737" s="114" t="n"/>
      <c r="C2737" s="102" t="n"/>
      <c r="D2737" s="114" t="n"/>
      <c r="E2737" s="103" t="n"/>
      <c r="F2737" s="102" t="n"/>
      <c r="G2737" s="102" t="n"/>
      <c r="H2737" s="115" t="n"/>
      <c r="I2737" s="102" t="n"/>
      <c r="J2737" s="102" t="n"/>
      <c r="K2737" s="103" t="n"/>
      <c r="L2737" s="116">
        <f>IF($H2737="","",TRIM(IF(COUNTIF(DMTK!$A$7:$A$250,$F2737)=0,"TK Nợ sai! ","")&amp;IF(COUNTIF(DMTK!$A$7:$A$250,$G2737)=0,"TK Có sai! ","")&amp;IF(N($H2737)&lt;=0,"Tiền phải &gt; 0! ","")&amp;IF($B2737="","Thiếu ngày! ","")&amp;IF(AND(OR(LEFT($F2737,3)="131",LEFT($G2737,3)="131",LEFT($F2737,3)="331",LEFT($G2737,3)="331"),$I2737=""),"Thiếu Mã ĐT! ","")&amp;IF(AND($I2737&lt;&gt;"",COUNTIF(DM_DT!$A$7:$A$306,$I2737)=0),"Mã ĐT chưa khai báo! ","")))</f>
        <v/>
      </c>
      <c r="M2737" s="117">
        <f>IF($H2737="","",IF(AND(OR(LEFT($F2737,3)="111",LEFT($F2737,3)="112",LEFT($F2737,3)="113"),OR(LEFT($G2737,3)="111",LEFT($G2737,3)="112",LEFT($G2737,3)="113")),"NB",IF(OR(LEFT($F2737,3)="111",LEFT($F2737,3)="112",LEFT($F2737,3)="113"),"THU",IF(OR(LEFT($G2737,3)="111",LEFT($G2737,3)="112",LEFT($G2737,3)="113"),"CHI",""))))</f>
        <v/>
      </c>
      <c r="N2737" s="117">
        <f>IF($M2737="THU",$G2737,IF($M2737="CHI",$F2737,""))</f>
        <v/>
      </c>
      <c r="O2737" s="117">
        <f>IF(OR($M2737="",$M2737="NB"),"",IF($J2737&lt;&gt;"",TEXT($J2737,"00"),IFERROR(VLOOKUP(LEFT($N2737,4),LCTT_MAP!$A$7:$C$66,IF($M2737="THU",2,3),FALSE()),IFERROR(VLOOKUP(LEFT($N2737,3),LCTT_MAP!$A$7:$C$66,IF($M2737="THU",2,3),FALSE()),IFERROR(VLOOKUP(LEFT($N2737,2),LCTT_MAP!$A$7:$C$66,IF($M2737="THU",2,3),FALSE()),IFERROR(VLOOKUP(LEFT($N2737,1),LCTT_MAP!$A$7:$C$66,IF($M2737="THU",2,3),FALSE()),IF($M2737="THU","06","07")))))))</f>
        <v/>
      </c>
      <c r="P2737" s="117">
        <f>P2736+IF(AND($H2737&lt;&gt;"",OR(LEFT($F2737,LEN(SC_TK))=SC_TK,LEFT($G2737,LEN(SC_TK))=SC_TK)),1,0)</f>
        <v/>
      </c>
    </row>
    <row r="2738" ht="15" customHeight="1" s="78">
      <c r="A2738" s="95">
        <f>IF($H2738="","",ROW()-6)</f>
        <v/>
      </c>
      <c r="B2738" s="114" t="n"/>
      <c r="C2738" s="102" t="n"/>
      <c r="D2738" s="114" t="n"/>
      <c r="E2738" s="103" t="n"/>
      <c r="F2738" s="102" t="n"/>
      <c r="G2738" s="102" t="n"/>
      <c r="H2738" s="115" t="n"/>
      <c r="I2738" s="102" t="n"/>
      <c r="J2738" s="102" t="n"/>
      <c r="K2738" s="103" t="n"/>
      <c r="L2738" s="116">
        <f>IF($H2738="","",TRIM(IF(COUNTIF(DMTK!$A$7:$A$250,$F2738)=0,"TK Nợ sai! ","")&amp;IF(COUNTIF(DMTK!$A$7:$A$250,$G2738)=0,"TK Có sai! ","")&amp;IF(N($H2738)&lt;=0,"Tiền phải &gt; 0! ","")&amp;IF($B2738="","Thiếu ngày! ","")&amp;IF(AND(OR(LEFT($F2738,3)="131",LEFT($G2738,3)="131",LEFT($F2738,3)="331",LEFT($G2738,3)="331"),$I2738=""),"Thiếu Mã ĐT! ","")&amp;IF(AND($I2738&lt;&gt;"",COUNTIF(DM_DT!$A$7:$A$306,$I2738)=0),"Mã ĐT chưa khai báo! ","")))</f>
        <v/>
      </c>
      <c r="M2738" s="117">
        <f>IF($H2738="","",IF(AND(OR(LEFT($F2738,3)="111",LEFT($F2738,3)="112",LEFT($F2738,3)="113"),OR(LEFT($G2738,3)="111",LEFT($G2738,3)="112",LEFT($G2738,3)="113")),"NB",IF(OR(LEFT($F2738,3)="111",LEFT($F2738,3)="112",LEFT($F2738,3)="113"),"THU",IF(OR(LEFT($G2738,3)="111",LEFT($G2738,3)="112",LEFT($G2738,3)="113"),"CHI",""))))</f>
        <v/>
      </c>
      <c r="N2738" s="117">
        <f>IF($M2738="THU",$G2738,IF($M2738="CHI",$F2738,""))</f>
        <v/>
      </c>
      <c r="O2738" s="117">
        <f>IF(OR($M2738="",$M2738="NB"),"",IF($J2738&lt;&gt;"",TEXT($J2738,"00"),IFERROR(VLOOKUP(LEFT($N2738,4),LCTT_MAP!$A$7:$C$66,IF($M2738="THU",2,3),FALSE()),IFERROR(VLOOKUP(LEFT($N2738,3),LCTT_MAP!$A$7:$C$66,IF($M2738="THU",2,3),FALSE()),IFERROR(VLOOKUP(LEFT($N2738,2),LCTT_MAP!$A$7:$C$66,IF($M2738="THU",2,3),FALSE()),IFERROR(VLOOKUP(LEFT($N2738,1),LCTT_MAP!$A$7:$C$66,IF($M2738="THU",2,3),FALSE()),IF($M2738="THU","06","07")))))))</f>
        <v/>
      </c>
      <c r="P2738" s="117">
        <f>P2737+IF(AND($H2738&lt;&gt;"",OR(LEFT($F2738,LEN(SC_TK))=SC_TK,LEFT($G2738,LEN(SC_TK))=SC_TK)),1,0)</f>
        <v/>
      </c>
    </row>
    <row r="2739" ht="15" customHeight="1" s="78">
      <c r="A2739" s="95">
        <f>IF($H2739="","",ROW()-6)</f>
        <v/>
      </c>
      <c r="B2739" s="114" t="n"/>
      <c r="C2739" s="102" t="n"/>
      <c r="D2739" s="114" t="n"/>
      <c r="E2739" s="103" t="n"/>
      <c r="F2739" s="102" t="n"/>
      <c r="G2739" s="102" t="n"/>
      <c r="H2739" s="115" t="n"/>
      <c r="I2739" s="102" t="n"/>
      <c r="J2739" s="102" t="n"/>
      <c r="K2739" s="103" t="n"/>
      <c r="L2739" s="116">
        <f>IF($H2739="","",TRIM(IF(COUNTIF(DMTK!$A$7:$A$250,$F2739)=0,"TK Nợ sai! ","")&amp;IF(COUNTIF(DMTK!$A$7:$A$250,$G2739)=0,"TK Có sai! ","")&amp;IF(N($H2739)&lt;=0,"Tiền phải &gt; 0! ","")&amp;IF($B2739="","Thiếu ngày! ","")&amp;IF(AND(OR(LEFT($F2739,3)="131",LEFT($G2739,3)="131",LEFT($F2739,3)="331",LEFT($G2739,3)="331"),$I2739=""),"Thiếu Mã ĐT! ","")&amp;IF(AND($I2739&lt;&gt;"",COUNTIF(DM_DT!$A$7:$A$306,$I2739)=0),"Mã ĐT chưa khai báo! ","")))</f>
        <v/>
      </c>
      <c r="M2739" s="117">
        <f>IF($H2739="","",IF(AND(OR(LEFT($F2739,3)="111",LEFT($F2739,3)="112",LEFT($F2739,3)="113"),OR(LEFT($G2739,3)="111",LEFT($G2739,3)="112",LEFT($G2739,3)="113")),"NB",IF(OR(LEFT($F2739,3)="111",LEFT($F2739,3)="112",LEFT($F2739,3)="113"),"THU",IF(OR(LEFT($G2739,3)="111",LEFT($G2739,3)="112",LEFT($G2739,3)="113"),"CHI",""))))</f>
        <v/>
      </c>
      <c r="N2739" s="117">
        <f>IF($M2739="THU",$G2739,IF($M2739="CHI",$F2739,""))</f>
        <v/>
      </c>
      <c r="O2739" s="117">
        <f>IF(OR($M2739="",$M2739="NB"),"",IF($J2739&lt;&gt;"",TEXT($J2739,"00"),IFERROR(VLOOKUP(LEFT($N2739,4),LCTT_MAP!$A$7:$C$66,IF($M2739="THU",2,3),FALSE()),IFERROR(VLOOKUP(LEFT($N2739,3),LCTT_MAP!$A$7:$C$66,IF($M2739="THU",2,3),FALSE()),IFERROR(VLOOKUP(LEFT($N2739,2),LCTT_MAP!$A$7:$C$66,IF($M2739="THU",2,3),FALSE()),IFERROR(VLOOKUP(LEFT($N2739,1),LCTT_MAP!$A$7:$C$66,IF($M2739="THU",2,3),FALSE()),IF($M2739="THU","06","07")))))))</f>
        <v/>
      </c>
      <c r="P2739" s="117">
        <f>P2738+IF(AND($H2739&lt;&gt;"",OR(LEFT($F2739,LEN(SC_TK))=SC_TK,LEFT($G2739,LEN(SC_TK))=SC_TK)),1,0)</f>
        <v/>
      </c>
    </row>
    <row r="2740" ht="15" customHeight="1" s="78">
      <c r="A2740" s="95">
        <f>IF($H2740="","",ROW()-6)</f>
        <v/>
      </c>
      <c r="B2740" s="114" t="n"/>
      <c r="C2740" s="102" t="n"/>
      <c r="D2740" s="114" t="n"/>
      <c r="E2740" s="103" t="n"/>
      <c r="F2740" s="102" t="n"/>
      <c r="G2740" s="102" t="n"/>
      <c r="H2740" s="115" t="n"/>
      <c r="I2740" s="102" t="n"/>
      <c r="J2740" s="102" t="n"/>
      <c r="K2740" s="103" t="n"/>
      <c r="L2740" s="116">
        <f>IF($H2740="","",TRIM(IF(COUNTIF(DMTK!$A$7:$A$250,$F2740)=0,"TK Nợ sai! ","")&amp;IF(COUNTIF(DMTK!$A$7:$A$250,$G2740)=0,"TK Có sai! ","")&amp;IF(N($H2740)&lt;=0,"Tiền phải &gt; 0! ","")&amp;IF($B2740="","Thiếu ngày! ","")&amp;IF(AND(OR(LEFT($F2740,3)="131",LEFT($G2740,3)="131",LEFT($F2740,3)="331",LEFT($G2740,3)="331"),$I2740=""),"Thiếu Mã ĐT! ","")&amp;IF(AND($I2740&lt;&gt;"",COUNTIF(DM_DT!$A$7:$A$306,$I2740)=0),"Mã ĐT chưa khai báo! ","")))</f>
        <v/>
      </c>
      <c r="M2740" s="117">
        <f>IF($H2740="","",IF(AND(OR(LEFT($F2740,3)="111",LEFT($F2740,3)="112",LEFT($F2740,3)="113"),OR(LEFT($G2740,3)="111",LEFT($G2740,3)="112",LEFT($G2740,3)="113")),"NB",IF(OR(LEFT($F2740,3)="111",LEFT($F2740,3)="112",LEFT($F2740,3)="113"),"THU",IF(OR(LEFT($G2740,3)="111",LEFT($G2740,3)="112",LEFT($G2740,3)="113"),"CHI",""))))</f>
        <v/>
      </c>
      <c r="N2740" s="117">
        <f>IF($M2740="THU",$G2740,IF($M2740="CHI",$F2740,""))</f>
        <v/>
      </c>
      <c r="O2740" s="117">
        <f>IF(OR($M2740="",$M2740="NB"),"",IF($J2740&lt;&gt;"",TEXT($J2740,"00"),IFERROR(VLOOKUP(LEFT($N2740,4),LCTT_MAP!$A$7:$C$66,IF($M2740="THU",2,3),FALSE()),IFERROR(VLOOKUP(LEFT($N2740,3),LCTT_MAP!$A$7:$C$66,IF($M2740="THU",2,3),FALSE()),IFERROR(VLOOKUP(LEFT($N2740,2),LCTT_MAP!$A$7:$C$66,IF($M2740="THU",2,3),FALSE()),IFERROR(VLOOKUP(LEFT($N2740,1),LCTT_MAP!$A$7:$C$66,IF($M2740="THU",2,3),FALSE()),IF($M2740="THU","06","07")))))))</f>
        <v/>
      </c>
      <c r="P2740" s="117">
        <f>P2739+IF(AND($H2740&lt;&gt;"",OR(LEFT($F2740,LEN(SC_TK))=SC_TK,LEFT($G2740,LEN(SC_TK))=SC_TK)),1,0)</f>
        <v/>
      </c>
    </row>
    <row r="2741" ht="15" customHeight="1" s="78">
      <c r="A2741" s="95">
        <f>IF($H2741="","",ROW()-6)</f>
        <v/>
      </c>
      <c r="B2741" s="114" t="n"/>
      <c r="C2741" s="102" t="n"/>
      <c r="D2741" s="114" t="n"/>
      <c r="E2741" s="103" t="n"/>
      <c r="F2741" s="102" t="n"/>
      <c r="G2741" s="102" t="n"/>
      <c r="H2741" s="115" t="n"/>
      <c r="I2741" s="102" t="n"/>
      <c r="J2741" s="102" t="n"/>
      <c r="K2741" s="103" t="n"/>
      <c r="L2741" s="116">
        <f>IF($H2741="","",TRIM(IF(COUNTIF(DMTK!$A$7:$A$250,$F2741)=0,"TK Nợ sai! ","")&amp;IF(COUNTIF(DMTK!$A$7:$A$250,$G2741)=0,"TK Có sai! ","")&amp;IF(N($H2741)&lt;=0,"Tiền phải &gt; 0! ","")&amp;IF($B2741="","Thiếu ngày! ","")&amp;IF(AND(OR(LEFT($F2741,3)="131",LEFT($G2741,3)="131",LEFT($F2741,3)="331",LEFT($G2741,3)="331"),$I2741=""),"Thiếu Mã ĐT! ","")&amp;IF(AND($I2741&lt;&gt;"",COUNTIF(DM_DT!$A$7:$A$306,$I2741)=0),"Mã ĐT chưa khai báo! ","")))</f>
        <v/>
      </c>
      <c r="M2741" s="117">
        <f>IF($H2741="","",IF(AND(OR(LEFT($F2741,3)="111",LEFT($F2741,3)="112",LEFT($F2741,3)="113"),OR(LEFT($G2741,3)="111",LEFT($G2741,3)="112",LEFT($G2741,3)="113")),"NB",IF(OR(LEFT($F2741,3)="111",LEFT($F2741,3)="112",LEFT($F2741,3)="113"),"THU",IF(OR(LEFT($G2741,3)="111",LEFT($G2741,3)="112",LEFT($G2741,3)="113"),"CHI",""))))</f>
        <v/>
      </c>
      <c r="N2741" s="117">
        <f>IF($M2741="THU",$G2741,IF($M2741="CHI",$F2741,""))</f>
        <v/>
      </c>
      <c r="O2741" s="117">
        <f>IF(OR($M2741="",$M2741="NB"),"",IF($J2741&lt;&gt;"",TEXT($J2741,"00"),IFERROR(VLOOKUP(LEFT($N2741,4),LCTT_MAP!$A$7:$C$66,IF($M2741="THU",2,3),FALSE()),IFERROR(VLOOKUP(LEFT($N2741,3),LCTT_MAP!$A$7:$C$66,IF($M2741="THU",2,3),FALSE()),IFERROR(VLOOKUP(LEFT($N2741,2),LCTT_MAP!$A$7:$C$66,IF($M2741="THU",2,3),FALSE()),IFERROR(VLOOKUP(LEFT($N2741,1),LCTT_MAP!$A$7:$C$66,IF($M2741="THU",2,3),FALSE()),IF($M2741="THU","06","07")))))))</f>
        <v/>
      </c>
      <c r="P2741" s="117">
        <f>P2740+IF(AND($H2741&lt;&gt;"",OR(LEFT($F2741,LEN(SC_TK))=SC_TK,LEFT($G2741,LEN(SC_TK))=SC_TK)),1,0)</f>
        <v/>
      </c>
    </row>
    <row r="2742" ht="15" customHeight="1" s="78">
      <c r="A2742" s="95">
        <f>IF($H2742="","",ROW()-6)</f>
        <v/>
      </c>
      <c r="B2742" s="114" t="n"/>
      <c r="C2742" s="102" t="n"/>
      <c r="D2742" s="114" t="n"/>
      <c r="E2742" s="103" t="n"/>
      <c r="F2742" s="102" t="n"/>
      <c r="G2742" s="102" t="n"/>
      <c r="H2742" s="115" t="n"/>
      <c r="I2742" s="102" t="n"/>
      <c r="J2742" s="102" t="n"/>
      <c r="K2742" s="103" t="n"/>
      <c r="L2742" s="116">
        <f>IF($H2742="","",TRIM(IF(COUNTIF(DMTK!$A$7:$A$250,$F2742)=0,"TK Nợ sai! ","")&amp;IF(COUNTIF(DMTK!$A$7:$A$250,$G2742)=0,"TK Có sai! ","")&amp;IF(N($H2742)&lt;=0,"Tiền phải &gt; 0! ","")&amp;IF($B2742="","Thiếu ngày! ","")&amp;IF(AND(OR(LEFT($F2742,3)="131",LEFT($G2742,3)="131",LEFT($F2742,3)="331",LEFT($G2742,3)="331"),$I2742=""),"Thiếu Mã ĐT! ","")&amp;IF(AND($I2742&lt;&gt;"",COUNTIF(DM_DT!$A$7:$A$306,$I2742)=0),"Mã ĐT chưa khai báo! ","")))</f>
        <v/>
      </c>
      <c r="M2742" s="117">
        <f>IF($H2742="","",IF(AND(OR(LEFT($F2742,3)="111",LEFT($F2742,3)="112",LEFT($F2742,3)="113"),OR(LEFT($G2742,3)="111",LEFT($G2742,3)="112",LEFT($G2742,3)="113")),"NB",IF(OR(LEFT($F2742,3)="111",LEFT($F2742,3)="112",LEFT($F2742,3)="113"),"THU",IF(OR(LEFT($G2742,3)="111",LEFT($G2742,3)="112",LEFT($G2742,3)="113"),"CHI",""))))</f>
        <v/>
      </c>
      <c r="N2742" s="117">
        <f>IF($M2742="THU",$G2742,IF($M2742="CHI",$F2742,""))</f>
        <v/>
      </c>
      <c r="O2742" s="117">
        <f>IF(OR($M2742="",$M2742="NB"),"",IF($J2742&lt;&gt;"",TEXT($J2742,"00"),IFERROR(VLOOKUP(LEFT($N2742,4),LCTT_MAP!$A$7:$C$66,IF($M2742="THU",2,3),FALSE()),IFERROR(VLOOKUP(LEFT($N2742,3),LCTT_MAP!$A$7:$C$66,IF($M2742="THU",2,3),FALSE()),IFERROR(VLOOKUP(LEFT($N2742,2),LCTT_MAP!$A$7:$C$66,IF($M2742="THU",2,3),FALSE()),IFERROR(VLOOKUP(LEFT($N2742,1),LCTT_MAP!$A$7:$C$66,IF($M2742="THU",2,3),FALSE()),IF($M2742="THU","06","07")))))))</f>
        <v/>
      </c>
      <c r="P2742" s="117">
        <f>P2741+IF(AND($H2742&lt;&gt;"",OR(LEFT($F2742,LEN(SC_TK))=SC_TK,LEFT($G2742,LEN(SC_TK))=SC_TK)),1,0)</f>
        <v/>
      </c>
    </row>
    <row r="2743" ht="15" customHeight="1" s="78">
      <c r="A2743" s="95">
        <f>IF($H2743="","",ROW()-6)</f>
        <v/>
      </c>
      <c r="B2743" s="114" t="n"/>
      <c r="C2743" s="102" t="n"/>
      <c r="D2743" s="114" t="n"/>
      <c r="E2743" s="103" t="n"/>
      <c r="F2743" s="102" t="n"/>
      <c r="G2743" s="102" t="n"/>
      <c r="H2743" s="115" t="n"/>
      <c r="I2743" s="102" t="n"/>
      <c r="J2743" s="102" t="n"/>
      <c r="K2743" s="103" t="n"/>
      <c r="L2743" s="116">
        <f>IF($H2743="","",TRIM(IF(COUNTIF(DMTK!$A$7:$A$250,$F2743)=0,"TK Nợ sai! ","")&amp;IF(COUNTIF(DMTK!$A$7:$A$250,$G2743)=0,"TK Có sai! ","")&amp;IF(N($H2743)&lt;=0,"Tiền phải &gt; 0! ","")&amp;IF($B2743="","Thiếu ngày! ","")&amp;IF(AND(OR(LEFT($F2743,3)="131",LEFT($G2743,3)="131",LEFT($F2743,3)="331",LEFT($G2743,3)="331"),$I2743=""),"Thiếu Mã ĐT! ","")&amp;IF(AND($I2743&lt;&gt;"",COUNTIF(DM_DT!$A$7:$A$306,$I2743)=0),"Mã ĐT chưa khai báo! ","")))</f>
        <v/>
      </c>
      <c r="M2743" s="117">
        <f>IF($H2743="","",IF(AND(OR(LEFT($F2743,3)="111",LEFT($F2743,3)="112",LEFT($F2743,3)="113"),OR(LEFT($G2743,3)="111",LEFT($G2743,3)="112",LEFT($G2743,3)="113")),"NB",IF(OR(LEFT($F2743,3)="111",LEFT($F2743,3)="112",LEFT($F2743,3)="113"),"THU",IF(OR(LEFT($G2743,3)="111",LEFT($G2743,3)="112",LEFT($G2743,3)="113"),"CHI",""))))</f>
        <v/>
      </c>
      <c r="N2743" s="117">
        <f>IF($M2743="THU",$G2743,IF($M2743="CHI",$F2743,""))</f>
        <v/>
      </c>
      <c r="O2743" s="117">
        <f>IF(OR($M2743="",$M2743="NB"),"",IF($J2743&lt;&gt;"",TEXT($J2743,"00"),IFERROR(VLOOKUP(LEFT($N2743,4),LCTT_MAP!$A$7:$C$66,IF($M2743="THU",2,3),FALSE()),IFERROR(VLOOKUP(LEFT($N2743,3),LCTT_MAP!$A$7:$C$66,IF($M2743="THU",2,3),FALSE()),IFERROR(VLOOKUP(LEFT($N2743,2),LCTT_MAP!$A$7:$C$66,IF($M2743="THU",2,3),FALSE()),IFERROR(VLOOKUP(LEFT($N2743,1),LCTT_MAP!$A$7:$C$66,IF($M2743="THU",2,3),FALSE()),IF($M2743="THU","06","07")))))))</f>
        <v/>
      </c>
      <c r="P2743" s="117">
        <f>P2742+IF(AND($H2743&lt;&gt;"",OR(LEFT($F2743,LEN(SC_TK))=SC_TK,LEFT($G2743,LEN(SC_TK))=SC_TK)),1,0)</f>
        <v/>
      </c>
    </row>
    <row r="2744" ht="15" customHeight="1" s="78">
      <c r="A2744" s="95">
        <f>IF($H2744="","",ROW()-6)</f>
        <v/>
      </c>
      <c r="B2744" s="114" t="n"/>
      <c r="C2744" s="102" t="n"/>
      <c r="D2744" s="114" t="n"/>
      <c r="E2744" s="103" t="n"/>
      <c r="F2744" s="102" t="n"/>
      <c r="G2744" s="102" t="n"/>
      <c r="H2744" s="115" t="n"/>
      <c r="I2744" s="102" t="n"/>
      <c r="J2744" s="102" t="n"/>
      <c r="K2744" s="103" t="n"/>
      <c r="L2744" s="116">
        <f>IF($H2744="","",TRIM(IF(COUNTIF(DMTK!$A$7:$A$250,$F2744)=0,"TK Nợ sai! ","")&amp;IF(COUNTIF(DMTK!$A$7:$A$250,$G2744)=0,"TK Có sai! ","")&amp;IF(N($H2744)&lt;=0,"Tiền phải &gt; 0! ","")&amp;IF($B2744="","Thiếu ngày! ","")&amp;IF(AND(OR(LEFT($F2744,3)="131",LEFT($G2744,3)="131",LEFT($F2744,3)="331",LEFT($G2744,3)="331"),$I2744=""),"Thiếu Mã ĐT! ","")&amp;IF(AND($I2744&lt;&gt;"",COUNTIF(DM_DT!$A$7:$A$306,$I2744)=0),"Mã ĐT chưa khai báo! ","")))</f>
        <v/>
      </c>
      <c r="M2744" s="117">
        <f>IF($H2744="","",IF(AND(OR(LEFT($F2744,3)="111",LEFT($F2744,3)="112",LEFT($F2744,3)="113"),OR(LEFT($G2744,3)="111",LEFT($G2744,3)="112",LEFT($G2744,3)="113")),"NB",IF(OR(LEFT($F2744,3)="111",LEFT($F2744,3)="112",LEFT($F2744,3)="113"),"THU",IF(OR(LEFT($G2744,3)="111",LEFT($G2744,3)="112",LEFT($G2744,3)="113"),"CHI",""))))</f>
        <v/>
      </c>
      <c r="N2744" s="117">
        <f>IF($M2744="THU",$G2744,IF($M2744="CHI",$F2744,""))</f>
        <v/>
      </c>
      <c r="O2744" s="117">
        <f>IF(OR($M2744="",$M2744="NB"),"",IF($J2744&lt;&gt;"",TEXT($J2744,"00"),IFERROR(VLOOKUP(LEFT($N2744,4),LCTT_MAP!$A$7:$C$66,IF($M2744="THU",2,3),FALSE()),IFERROR(VLOOKUP(LEFT($N2744,3),LCTT_MAP!$A$7:$C$66,IF($M2744="THU",2,3),FALSE()),IFERROR(VLOOKUP(LEFT($N2744,2),LCTT_MAP!$A$7:$C$66,IF($M2744="THU",2,3),FALSE()),IFERROR(VLOOKUP(LEFT($N2744,1),LCTT_MAP!$A$7:$C$66,IF($M2744="THU",2,3),FALSE()),IF($M2744="THU","06","07")))))))</f>
        <v/>
      </c>
      <c r="P2744" s="117">
        <f>P2743+IF(AND($H2744&lt;&gt;"",OR(LEFT($F2744,LEN(SC_TK))=SC_TK,LEFT($G2744,LEN(SC_TK))=SC_TK)),1,0)</f>
        <v/>
      </c>
    </row>
    <row r="2745" ht="15" customHeight="1" s="78">
      <c r="A2745" s="95">
        <f>IF($H2745="","",ROW()-6)</f>
        <v/>
      </c>
      <c r="B2745" s="114" t="n"/>
      <c r="C2745" s="102" t="n"/>
      <c r="D2745" s="114" t="n"/>
      <c r="E2745" s="103" t="n"/>
      <c r="F2745" s="102" t="n"/>
      <c r="G2745" s="102" t="n"/>
      <c r="H2745" s="115" t="n"/>
      <c r="I2745" s="102" t="n"/>
      <c r="J2745" s="102" t="n"/>
      <c r="K2745" s="103" t="n"/>
      <c r="L2745" s="116">
        <f>IF($H2745="","",TRIM(IF(COUNTIF(DMTK!$A$7:$A$250,$F2745)=0,"TK Nợ sai! ","")&amp;IF(COUNTIF(DMTK!$A$7:$A$250,$G2745)=0,"TK Có sai! ","")&amp;IF(N($H2745)&lt;=0,"Tiền phải &gt; 0! ","")&amp;IF($B2745="","Thiếu ngày! ","")&amp;IF(AND(OR(LEFT($F2745,3)="131",LEFT($G2745,3)="131",LEFT($F2745,3)="331",LEFT($G2745,3)="331"),$I2745=""),"Thiếu Mã ĐT! ","")&amp;IF(AND($I2745&lt;&gt;"",COUNTIF(DM_DT!$A$7:$A$306,$I2745)=0),"Mã ĐT chưa khai báo! ","")))</f>
        <v/>
      </c>
      <c r="M2745" s="117">
        <f>IF($H2745="","",IF(AND(OR(LEFT($F2745,3)="111",LEFT($F2745,3)="112",LEFT($F2745,3)="113"),OR(LEFT($G2745,3)="111",LEFT($G2745,3)="112",LEFT($G2745,3)="113")),"NB",IF(OR(LEFT($F2745,3)="111",LEFT($F2745,3)="112",LEFT($F2745,3)="113"),"THU",IF(OR(LEFT($G2745,3)="111",LEFT($G2745,3)="112",LEFT($G2745,3)="113"),"CHI",""))))</f>
        <v/>
      </c>
      <c r="N2745" s="117">
        <f>IF($M2745="THU",$G2745,IF($M2745="CHI",$F2745,""))</f>
        <v/>
      </c>
      <c r="O2745" s="117">
        <f>IF(OR($M2745="",$M2745="NB"),"",IF($J2745&lt;&gt;"",TEXT($J2745,"00"),IFERROR(VLOOKUP(LEFT($N2745,4),LCTT_MAP!$A$7:$C$66,IF($M2745="THU",2,3),FALSE()),IFERROR(VLOOKUP(LEFT($N2745,3),LCTT_MAP!$A$7:$C$66,IF($M2745="THU",2,3),FALSE()),IFERROR(VLOOKUP(LEFT($N2745,2),LCTT_MAP!$A$7:$C$66,IF($M2745="THU",2,3),FALSE()),IFERROR(VLOOKUP(LEFT($N2745,1),LCTT_MAP!$A$7:$C$66,IF($M2745="THU",2,3),FALSE()),IF($M2745="THU","06","07")))))))</f>
        <v/>
      </c>
      <c r="P2745" s="117">
        <f>P2744+IF(AND($H2745&lt;&gt;"",OR(LEFT($F2745,LEN(SC_TK))=SC_TK,LEFT($G2745,LEN(SC_TK))=SC_TK)),1,0)</f>
        <v/>
      </c>
    </row>
    <row r="2746" ht="15" customHeight="1" s="78">
      <c r="A2746" s="95">
        <f>IF($H2746="","",ROW()-6)</f>
        <v/>
      </c>
      <c r="B2746" s="114" t="n"/>
      <c r="C2746" s="102" t="n"/>
      <c r="D2746" s="114" t="n"/>
      <c r="E2746" s="103" t="n"/>
      <c r="F2746" s="102" t="n"/>
      <c r="G2746" s="102" t="n"/>
      <c r="H2746" s="115" t="n"/>
      <c r="I2746" s="102" t="n"/>
      <c r="J2746" s="102" t="n"/>
      <c r="K2746" s="103" t="n"/>
      <c r="L2746" s="116">
        <f>IF($H2746="","",TRIM(IF(COUNTIF(DMTK!$A$7:$A$250,$F2746)=0,"TK Nợ sai! ","")&amp;IF(COUNTIF(DMTK!$A$7:$A$250,$G2746)=0,"TK Có sai! ","")&amp;IF(N($H2746)&lt;=0,"Tiền phải &gt; 0! ","")&amp;IF($B2746="","Thiếu ngày! ","")&amp;IF(AND(OR(LEFT($F2746,3)="131",LEFT($G2746,3)="131",LEFT($F2746,3)="331",LEFT($G2746,3)="331"),$I2746=""),"Thiếu Mã ĐT! ","")&amp;IF(AND($I2746&lt;&gt;"",COUNTIF(DM_DT!$A$7:$A$306,$I2746)=0),"Mã ĐT chưa khai báo! ","")))</f>
        <v/>
      </c>
      <c r="M2746" s="117">
        <f>IF($H2746="","",IF(AND(OR(LEFT($F2746,3)="111",LEFT($F2746,3)="112",LEFT($F2746,3)="113"),OR(LEFT($G2746,3)="111",LEFT($G2746,3)="112",LEFT($G2746,3)="113")),"NB",IF(OR(LEFT($F2746,3)="111",LEFT($F2746,3)="112",LEFT($F2746,3)="113"),"THU",IF(OR(LEFT($G2746,3)="111",LEFT($G2746,3)="112",LEFT($G2746,3)="113"),"CHI",""))))</f>
        <v/>
      </c>
      <c r="N2746" s="117">
        <f>IF($M2746="THU",$G2746,IF($M2746="CHI",$F2746,""))</f>
        <v/>
      </c>
      <c r="O2746" s="117">
        <f>IF(OR($M2746="",$M2746="NB"),"",IF($J2746&lt;&gt;"",TEXT($J2746,"00"),IFERROR(VLOOKUP(LEFT($N2746,4),LCTT_MAP!$A$7:$C$66,IF($M2746="THU",2,3),FALSE()),IFERROR(VLOOKUP(LEFT($N2746,3),LCTT_MAP!$A$7:$C$66,IF($M2746="THU",2,3),FALSE()),IFERROR(VLOOKUP(LEFT($N2746,2),LCTT_MAP!$A$7:$C$66,IF($M2746="THU",2,3),FALSE()),IFERROR(VLOOKUP(LEFT($N2746,1),LCTT_MAP!$A$7:$C$66,IF($M2746="THU",2,3),FALSE()),IF($M2746="THU","06","07")))))))</f>
        <v/>
      </c>
      <c r="P2746" s="117">
        <f>P2745+IF(AND($H2746&lt;&gt;"",OR(LEFT($F2746,LEN(SC_TK))=SC_TK,LEFT($G2746,LEN(SC_TK))=SC_TK)),1,0)</f>
        <v/>
      </c>
    </row>
    <row r="2747" ht="15" customHeight="1" s="78">
      <c r="A2747" s="95">
        <f>IF($H2747="","",ROW()-6)</f>
        <v/>
      </c>
      <c r="B2747" s="114" t="n"/>
      <c r="C2747" s="102" t="n"/>
      <c r="D2747" s="114" t="n"/>
      <c r="E2747" s="103" t="n"/>
      <c r="F2747" s="102" t="n"/>
      <c r="G2747" s="102" t="n"/>
      <c r="H2747" s="115" t="n"/>
      <c r="I2747" s="102" t="n"/>
      <c r="J2747" s="102" t="n"/>
      <c r="K2747" s="103" t="n"/>
      <c r="L2747" s="116">
        <f>IF($H2747="","",TRIM(IF(COUNTIF(DMTK!$A$7:$A$250,$F2747)=0,"TK Nợ sai! ","")&amp;IF(COUNTIF(DMTK!$A$7:$A$250,$G2747)=0,"TK Có sai! ","")&amp;IF(N($H2747)&lt;=0,"Tiền phải &gt; 0! ","")&amp;IF($B2747="","Thiếu ngày! ","")&amp;IF(AND(OR(LEFT($F2747,3)="131",LEFT($G2747,3)="131",LEFT($F2747,3)="331",LEFT($G2747,3)="331"),$I2747=""),"Thiếu Mã ĐT! ","")&amp;IF(AND($I2747&lt;&gt;"",COUNTIF(DM_DT!$A$7:$A$306,$I2747)=0),"Mã ĐT chưa khai báo! ","")))</f>
        <v/>
      </c>
      <c r="M2747" s="117">
        <f>IF($H2747="","",IF(AND(OR(LEFT($F2747,3)="111",LEFT($F2747,3)="112",LEFT($F2747,3)="113"),OR(LEFT($G2747,3)="111",LEFT($G2747,3)="112",LEFT($G2747,3)="113")),"NB",IF(OR(LEFT($F2747,3)="111",LEFT($F2747,3)="112",LEFT($F2747,3)="113"),"THU",IF(OR(LEFT($G2747,3)="111",LEFT($G2747,3)="112",LEFT($G2747,3)="113"),"CHI",""))))</f>
        <v/>
      </c>
      <c r="N2747" s="117">
        <f>IF($M2747="THU",$G2747,IF($M2747="CHI",$F2747,""))</f>
        <v/>
      </c>
      <c r="O2747" s="117">
        <f>IF(OR($M2747="",$M2747="NB"),"",IF($J2747&lt;&gt;"",TEXT($J2747,"00"),IFERROR(VLOOKUP(LEFT($N2747,4),LCTT_MAP!$A$7:$C$66,IF($M2747="THU",2,3),FALSE()),IFERROR(VLOOKUP(LEFT($N2747,3),LCTT_MAP!$A$7:$C$66,IF($M2747="THU",2,3),FALSE()),IFERROR(VLOOKUP(LEFT($N2747,2),LCTT_MAP!$A$7:$C$66,IF($M2747="THU",2,3),FALSE()),IFERROR(VLOOKUP(LEFT($N2747,1),LCTT_MAP!$A$7:$C$66,IF($M2747="THU",2,3),FALSE()),IF($M2747="THU","06","07")))))))</f>
        <v/>
      </c>
      <c r="P2747" s="117">
        <f>P2746+IF(AND($H2747&lt;&gt;"",OR(LEFT($F2747,LEN(SC_TK))=SC_TK,LEFT($G2747,LEN(SC_TK))=SC_TK)),1,0)</f>
        <v/>
      </c>
    </row>
    <row r="2748" ht="15" customHeight="1" s="78">
      <c r="A2748" s="95">
        <f>IF($H2748="","",ROW()-6)</f>
        <v/>
      </c>
      <c r="B2748" s="114" t="n"/>
      <c r="C2748" s="102" t="n"/>
      <c r="D2748" s="114" t="n"/>
      <c r="E2748" s="103" t="n"/>
      <c r="F2748" s="102" t="n"/>
      <c r="G2748" s="102" t="n"/>
      <c r="H2748" s="115" t="n"/>
      <c r="I2748" s="102" t="n"/>
      <c r="J2748" s="102" t="n"/>
      <c r="K2748" s="103" t="n"/>
      <c r="L2748" s="116">
        <f>IF($H2748="","",TRIM(IF(COUNTIF(DMTK!$A$7:$A$250,$F2748)=0,"TK Nợ sai! ","")&amp;IF(COUNTIF(DMTK!$A$7:$A$250,$G2748)=0,"TK Có sai! ","")&amp;IF(N($H2748)&lt;=0,"Tiền phải &gt; 0! ","")&amp;IF($B2748="","Thiếu ngày! ","")&amp;IF(AND(OR(LEFT($F2748,3)="131",LEFT($G2748,3)="131",LEFT($F2748,3)="331",LEFT($G2748,3)="331"),$I2748=""),"Thiếu Mã ĐT! ","")&amp;IF(AND($I2748&lt;&gt;"",COUNTIF(DM_DT!$A$7:$A$306,$I2748)=0),"Mã ĐT chưa khai báo! ","")))</f>
        <v/>
      </c>
      <c r="M2748" s="117">
        <f>IF($H2748="","",IF(AND(OR(LEFT($F2748,3)="111",LEFT($F2748,3)="112",LEFT($F2748,3)="113"),OR(LEFT($G2748,3)="111",LEFT($G2748,3)="112",LEFT($G2748,3)="113")),"NB",IF(OR(LEFT($F2748,3)="111",LEFT($F2748,3)="112",LEFT($F2748,3)="113"),"THU",IF(OR(LEFT($G2748,3)="111",LEFT($G2748,3)="112",LEFT($G2748,3)="113"),"CHI",""))))</f>
        <v/>
      </c>
      <c r="N2748" s="117">
        <f>IF($M2748="THU",$G2748,IF($M2748="CHI",$F2748,""))</f>
        <v/>
      </c>
      <c r="O2748" s="117">
        <f>IF(OR($M2748="",$M2748="NB"),"",IF($J2748&lt;&gt;"",TEXT($J2748,"00"),IFERROR(VLOOKUP(LEFT($N2748,4),LCTT_MAP!$A$7:$C$66,IF($M2748="THU",2,3),FALSE()),IFERROR(VLOOKUP(LEFT($N2748,3),LCTT_MAP!$A$7:$C$66,IF($M2748="THU",2,3),FALSE()),IFERROR(VLOOKUP(LEFT($N2748,2),LCTT_MAP!$A$7:$C$66,IF($M2748="THU",2,3),FALSE()),IFERROR(VLOOKUP(LEFT($N2748,1),LCTT_MAP!$A$7:$C$66,IF($M2748="THU",2,3),FALSE()),IF($M2748="THU","06","07")))))))</f>
        <v/>
      </c>
      <c r="P2748" s="117">
        <f>P2747+IF(AND($H2748&lt;&gt;"",OR(LEFT($F2748,LEN(SC_TK))=SC_TK,LEFT($G2748,LEN(SC_TK))=SC_TK)),1,0)</f>
        <v/>
      </c>
    </row>
    <row r="2749" ht="15" customHeight="1" s="78">
      <c r="A2749" s="95">
        <f>IF($H2749="","",ROW()-6)</f>
        <v/>
      </c>
      <c r="B2749" s="114" t="n"/>
      <c r="C2749" s="102" t="n"/>
      <c r="D2749" s="114" t="n"/>
      <c r="E2749" s="103" t="n"/>
      <c r="F2749" s="102" t="n"/>
      <c r="G2749" s="102" t="n"/>
      <c r="H2749" s="115" t="n"/>
      <c r="I2749" s="102" t="n"/>
      <c r="J2749" s="102" t="n"/>
      <c r="K2749" s="103" t="n"/>
      <c r="L2749" s="116">
        <f>IF($H2749="","",TRIM(IF(COUNTIF(DMTK!$A$7:$A$250,$F2749)=0,"TK Nợ sai! ","")&amp;IF(COUNTIF(DMTK!$A$7:$A$250,$G2749)=0,"TK Có sai! ","")&amp;IF(N($H2749)&lt;=0,"Tiền phải &gt; 0! ","")&amp;IF($B2749="","Thiếu ngày! ","")&amp;IF(AND(OR(LEFT($F2749,3)="131",LEFT($G2749,3)="131",LEFT($F2749,3)="331",LEFT($G2749,3)="331"),$I2749=""),"Thiếu Mã ĐT! ","")&amp;IF(AND($I2749&lt;&gt;"",COUNTIF(DM_DT!$A$7:$A$306,$I2749)=0),"Mã ĐT chưa khai báo! ","")))</f>
        <v/>
      </c>
      <c r="M2749" s="117">
        <f>IF($H2749="","",IF(AND(OR(LEFT($F2749,3)="111",LEFT($F2749,3)="112",LEFT($F2749,3)="113"),OR(LEFT($G2749,3)="111",LEFT($G2749,3)="112",LEFT($G2749,3)="113")),"NB",IF(OR(LEFT($F2749,3)="111",LEFT($F2749,3)="112",LEFT($F2749,3)="113"),"THU",IF(OR(LEFT($G2749,3)="111",LEFT($G2749,3)="112",LEFT($G2749,3)="113"),"CHI",""))))</f>
        <v/>
      </c>
      <c r="N2749" s="117">
        <f>IF($M2749="THU",$G2749,IF($M2749="CHI",$F2749,""))</f>
        <v/>
      </c>
      <c r="O2749" s="117">
        <f>IF(OR($M2749="",$M2749="NB"),"",IF($J2749&lt;&gt;"",TEXT($J2749,"00"),IFERROR(VLOOKUP(LEFT($N2749,4),LCTT_MAP!$A$7:$C$66,IF($M2749="THU",2,3),FALSE()),IFERROR(VLOOKUP(LEFT($N2749,3),LCTT_MAP!$A$7:$C$66,IF($M2749="THU",2,3),FALSE()),IFERROR(VLOOKUP(LEFT($N2749,2),LCTT_MAP!$A$7:$C$66,IF($M2749="THU",2,3),FALSE()),IFERROR(VLOOKUP(LEFT($N2749,1),LCTT_MAP!$A$7:$C$66,IF($M2749="THU",2,3),FALSE()),IF($M2749="THU","06","07")))))))</f>
        <v/>
      </c>
      <c r="P2749" s="117">
        <f>P2748+IF(AND($H2749&lt;&gt;"",OR(LEFT($F2749,LEN(SC_TK))=SC_TK,LEFT($G2749,LEN(SC_TK))=SC_TK)),1,0)</f>
        <v/>
      </c>
    </row>
    <row r="2750" ht="15" customHeight="1" s="78">
      <c r="A2750" s="95">
        <f>IF($H2750="","",ROW()-6)</f>
        <v/>
      </c>
      <c r="B2750" s="114" t="n"/>
      <c r="C2750" s="102" t="n"/>
      <c r="D2750" s="114" t="n"/>
      <c r="E2750" s="103" t="n"/>
      <c r="F2750" s="102" t="n"/>
      <c r="G2750" s="102" t="n"/>
      <c r="H2750" s="115" t="n"/>
      <c r="I2750" s="102" t="n"/>
      <c r="J2750" s="102" t="n"/>
      <c r="K2750" s="103" t="n"/>
      <c r="L2750" s="116">
        <f>IF($H2750="","",TRIM(IF(COUNTIF(DMTK!$A$7:$A$250,$F2750)=0,"TK Nợ sai! ","")&amp;IF(COUNTIF(DMTK!$A$7:$A$250,$G2750)=0,"TK Có sai! ","")&amp;IF(N($H2750)&lt;=0,"Tiền phải &gt; 0! ","")&amp;IF($B2750="","Thiếu ngày! ","")&amp;IF(AND(OR(LEFT($F2750,3)="131",LEFT($G2750,3)="131",LEFT($F2750,3)="331",LEFT($G2750,3)="331"),$I2750=""),"Thiếu Mã ĐT! ","")&amp;IF(AND($I2750&lt;&gt;"",COUNTIF(DM_DT!$A$7:$A$306,$I2750)=0),"Mã ĐT chưa khai báo! ","")))</f>
        <v/>
      </c>
      <c r="M2750" s="117">
        <f>IF($H2750="","",IF(AND(OR(LEFT($F2750,3)="111",LEFT($F2750,3)="112",LEFT($F2750,3)="113"),OR(LEFT($G2750,3)="111",LEFT($G2750,3)="112",LEFT($G2750,3)="113")),"NB",IF(OR(LEFT($F2750,3)="111",LEFT($F2750,3)="112",LEFT($F2750,3)="113"),"THU",IF(OR(LEFT($G2750,3)="111",LEFT($G2750,3)="112",LEFT($G2750,3)="113"),"CHI",""))))</f>
        <v/>
      </c>
      <c r="N2750" s="117">
        <f>IF($M2750="THU",$G2750,IF($M2750="CHI",$F2750,""))</f>
        <v/>
      </c>
      <c r="O2750" s="117">
        <f>IF(OR($M2750="",$M2750="NB"),"",IF($J2750&lt;&gt;"",TEXT($J2750,"00"),IFERROR(VLOOKUP(LEFT($N2750,4),LCTT_MAP!$A$7:$C$66,IF($M2750="THU",2,3),FALSE()),IFERROR(VLOOKUP(LEFT($N2750,3),LCTT_MAP!$A$7:$C$66,IF($M2750="THU",2,3),FALSE()),IFERROR(VLOOKUP(LEFT($N2750,2),LCTT_MAP!$A$7:$C$66,IF($M2750="THU",2,3),FALSE()),IFERROR(VLOOKUP(LEFT($N2750,1),LCTT_MAP!$A$7:$C$66,IF($M2750="THU",2,3),FALSE()),IF($M2750="THU","06","07")))))))</f>
        <v/>
      </c>
      <c r="P2750" s="117">
        <f>P2749+IF(AND($H2750&lt;&gt;"",OR(LEFT($F2750,LEN(SC_TK))=SC_TK,LEFT($G2750,LEN(SC_TK))=SC_TK)),1,0)</f>
        <v/>
      </c>
    </row>
    <row r="2751" ht="15" customHeight="1" s="78">
      <c r="A2751" s="95">
        <f>IF($H2751="","",ROW()-6)</f>
        <v/>
      </c>
      <c r="B2751" s="114" t="n"/>
      <c r="C2751" s="102" t="n"/>
      <c r="D2751" s="114" t="n"/>
      <c r="E2751" s="103" t="n"/>
      <c r="F2751" s="102" t="n"/>
      <c r="G2751" s="102" t="n"/>
      <c r="H2751" s="115" t="n"/>
      <c r="I2751" s="102" t="n"/>
      <c r="J2751" s="102" t="n"/>
      <c r="K2751" s="103" t="n"/>
      <c r="L2751" s="116">
        <f>IF($H2751="","",TRIM(IF(COUNTIF(DMTK!$A$7:$A$250,$F2751)=0,"TK Nợ sai! ","")&amp;IF(COUNTIF(DMTK!$A$7:$A$250,$G2751)=0,"TK Có sai! ","")&amp;IF(N($H2751)&lt;=0,"Tiền phải &gt; 0! ","")&amp;IF($B2751="","Thiếu ngày! ","")&amp;IF(AND(OR(LEFT($F2751,3)="131",LEFT($G2751,3)="131",LEFT($F2751,3)="331",LEFT($G2751,3)="331"),$I2751=""),"Thiếu Mã ĐT! ","")&amp;IF(AND($I2751&lt;&gt;"",COUNTIF(DM_DT!$A$7:$A$306,$I2751)=0),"Mã ĐT chưa khai báo! ","")))</f>
        <v/>
      </c>
      <c r="M2751" s="117">
        <f>IF($H2751="","",IF(AND(OR(LEFT($F2751,3)="111",LEFT($F2751,3)="112",LEFT($F2751,3)="113"),OR(LEFT($G2751,3)="111",LEFT($G2751,3)="112",LEFT($G2751,3)="113")),"NB",IF(OR(LEFT($F2751,3)="111",LEFT($F2751,3)="112",LEFT($F2751,3)="113"),"THU",IF(OR(LEFT($G2751,3)="111",LEFT($G2751,3)="112",LEFT($G2751,3)="113"),"CHI",""))))</f>
        <v/>
      </c>
      <c r="N2751" s="117">
        <f>IF($M2751="THU",$G2751,IF($M2751="CHI",$F2751,""))</f>
        <v/>
      </c>
      <c r="O2751" s="117">
        <f>IF(OR($M2751="",$M2751="NB"),"",IF($J2751&lt;&gt;"",TEXT($J2751,"00"),IFERROR(VLOOKUP(LEFT($N2751,4),LCTT_MAP!$A$7:$C$66,IF($M2751="THU",2,3),FALSE()),IFERROR(VLOOKUP(LEFT($N2751,3),LCTT_MAP!$A$7:$C$66,IF($M2751="THU",2,3),FALSE()),IFERROR(VLOOKUP(LEFT($N2751,2),LCTT_MAP!$A$7:$C$66,IF($M2751="THU",2,3),FALSE()),IFERROR(VLOOKUP(LEFT($N2751,1),LCTT_MAP!$A$7:$C$66,IF($M2751="THU",2,3),FALSE()),IF($M2751="THU","06","07")))))))</f>
        <v/>
      </c>
      <c r="P2751" s="117">
        <f>P2750+IF(AND($H2751&lt;&gt;"",OR(LEFT($F2751,LEN(SC_TK))=SC_TK,LEFT($G2751,LEN(SC_TK))=SC_TK)),1,0)</f>
        <v/>
      </c>
    </row>
    <row r="2752" ht="15" customHeight="1" s="78">
      <c r="A2752" s="95">
        <f>IF($H2752="","",ROW()-6)</f>
        <v/>
      </c>
      <c r="B2752" s="114" t="n"/>
      <c r="C2752" s="102" t="n"/>
      <c r="D2752" s="114" t="n"/>
      <c r="E2752" s="103" t="n"/>
      <c r="F2752" s="102" t="n"/>
      <c r="G2752" s="102" t="n"/>
      <c r="H2752" s="115" t="n"/>
      <c r="I2752" s="102" t="n"/>
      <c r="J2752" s="102" t="n"/>
      <c r="K2752" s="103" t="n"/>
      <c r="L2752" s="116">
        <f>IF($H2752="","",TRIM(IF(COUNTIF(DMTK!$A$7:$A$250,$F2752)=0,"TK Nợ sai! ","")&amp;IF(COUNTIF(DMTK!$A$7:$A$250,$G2752)=0,"TK Có sai! ","")&amp;IF(N($H2752)&lt;=0,"Tiền phải &gt; 0! ","")&amp;IF($B2752="","Thiếu ngày! ","")&amp;IF(AND(OR(LEFT($F2752,3)="131",LEFT($G2752,3)="131",LEFT($F2752,3)="331",LEFT($G2752,3)="331"),$I2752=""),"Thiếu Mã ĐT! ","")&amp;IF(AND($I2752&lt;&gt;"",COUNTIF(DM_DT!$A$7:$A$306,$I2752)=0),"Mã ĐT chưa khai báo! ","")))</f>
        <v/>
      </c>
      <c r="M2752" s="117">
        <f>IF($H2752="","",IF(AND(OR(LEFT($F2752,3)="111",LEFT($F2752,3)="112",LEFT($F2752,3)="113"),OR(LEFT($G2752,3)="111",LEFT($G2752,3)="112",LEFT($G2752,3)="113")),"NB",IF(OR(LEFT($F2752,3)="111",LEFT($F2752,3)="112",LEFT($F2752,3)="113"),"THU",IF(OR(LEFT($G2752,3)="111",LEFT($G2752,3)="112",LEFT($G2752,3)="113"),"CHI",""))))</f>
        <v/>
      </c>
      <c r="N2752" s="117">
        <f>IF($M2752="THU",$G2752,IF($M2752="CHI",$F2752,""))</f>
        <v/>
      </c>
      <c r="O2752" s="117">
        <f>IF(OR($M2752="",$M2752="NB"),"",IF($J2752&lt;&gt;"",TEXT($J2752,"00"),IFERROR(VLOOKUP(LEFT($N2752,4),LCTT_MAP!$A$7:$C$66,IF($M2752="THU",2,3),FALSE()),IFERROR(VLOOKUP(LEFT($N2752,3),LCTT_MAP!$A$7:$C$66,IF($M2752="THU",2,3),FALSE()),IFERROR(VLOOKUP(LEFT($N2752,2),LCTT_MAP!$A$7:$C$66,IF($M2752="THU",2,3),FALSE()),IFERROR(VLOOKUP(LEFT($N2752,1),LCTT_MAP!$A$7:$C$66,IF($M2752="THU",2,3),FALSE()),IF($M2752="THU","06","07")))))))</f>
        <v/>
      </c>
      <c r="P2752" s="117">
        <f>P2751+IF(AND($H2752&lt;&gt;"",OR(LEFT($F2752,LEN(SC_TK))=SC_TK,LEFT($G2752,LEN(SC_TK))=SC_TK)),1,0)</f>
        <v/>
      </c>
    </row>
    <row r="2753" ht="15" customHeight="1" s="78">
      <c r="A2753" s="95">
        <f>IF($H2753="","",ROW()-6)</f>
        <v/>
      </c>
      <c r="B2753" s="114" t="n"/>
      <c r="C2753" s="102" t="n"/>
      <c r="D2753" s="114" t="n"/>
      <c r="E2753" s="103" t="n"/>
      <c r="F2753" s="102" t="n"/>
      <c r="G2753" s="102" t="n"/>
      <c r="H2753" s="115" t="n"/>
      <c r="I2753" s="102" t="n"/>
      <c r="J2753" s="102" t="n"/>
      <c r="K2753" s="103" t="n"/>
      <c r="L2753" s="116">
        <f>IF($H2753="","",TRIM(IF(COUNTIF(DMTK!$A$7:$A$250,$F2753)=0,"TK Nợ sai! ","")&amp;IF(COUNTIF(DMTK!$A$7:$A$250,$G2753)=0,"TK Có sai! ","")&amp;IF(N($H2753)&lt;=0,"Tiền phải &gt; 0! ","")&amp;IF($B2753="","Thiếu ngày! ","")&amp;IF(AND(OR(LEFT($F2753,3)="131",LEFT($G2753,3)="131",LEFT($F2753,3)="331",LEFT($G2753,3)="331"),$I2753=""),"Thiếu Mã ĐT! ","")&amp;IF(AND($I2753&lt;&gt;"",COUNTIF(DM_DT!$A$7:$A$306,$I2753)=0),"Mã ĐT chưa khai báo! ","")))</f>
        <v/>
      </c>
      <c r="M2753" s="117">
        <f>IF($H2753="","",IF(AND(OR(LEFT($F2753,3)="111",LEFT($F2753,3)="112",LEFT($F2753,3)="113"),OR(LEFT($G2753,3)="111",LEFT($G2753,3)="112",LEFT($G2753,3)="113")),"NB",IF(OR(LEFT($F2753,3)="111",LEFT($F2753,3)="112",LEFT($F2753,3)="113"),"THU",IF(OR(LEFT($G2753,3)="111",LEFT($G2753,3)="112",LEFT($G2753,3)="113"),"CHI",""))))</f>
        <v/>
      </c>
      <c r="N2753" s="117">
        <f>IF($M2753="THU",$G2753,IF($M2753="CHI",$F2753,""))</f>
        <v/>
      </c>
      <c r="O2753" s="117">
        <f>IF(OR($M2753="",$M2753="NB"),"",IF($J2753&lt;&gt;"",TEXT($J2753,"00"),IFERROR(VLOOKUP(LEFT($N2753,4),LCTT_MAP!$A$7:$C$66,IF($M2753="THU",2,3),FALSE()),IFERROR(VLOOKUP(LEFT($N2753,3),LCTT_MAP!$A$7:$C$66,IF($M2753="THU",2,3),FALSE()),IFERROR(VLOOKUP(LEFT($N2753,2),LCTT_MAP!$A$7:$C$66,IF($M2753="THU",2,3),FALSE()),IFERROR(VLOOKUP(LEFT($N2753,1),LCTT_MAP!$A$7:$C$66,IF($M2753="THU",2,3),FALSE()),IF($M2753="THU","06","07")))))))</f>
        <v/>
      </c>
      <c r="P2753" s="117">
        <f>P2752+IF(AND($H2753&lt;&gt;"",OR(LEFT($F2753,LEN(SC_TK))=SC_TK,LEFT($G2753,LEN(SC_TK))=SC_TK)),1,0)</f>
        <v/>
      </c>
    </row>
    <row r="2754" ht="15" customHeight="1" s="78">
      <c r="A2754" s="95">
        <f>IF($H2754="","",ROW()-6)</f>
        <v/>
      </c>
      <c r="B2754" s="114" t="n"/>
      <c r="C2754" s="102" t="n"/>
      <c r="D2754" s="114" t="n"/>
      <c r="E2754" s="103" t="n"/>
      <c r="F2754" s="102" t="n"/>
      <c r="G2754" s="102" t="n"/>
      <c r="H2754" s="115" t="n"/>
      <c r="I2754" s="102" t="n"/>
      <c r="J2754" s="102" t="n"/>
      <c r="K2754" s="103" t="n"/>
      <c r="L2754" s="116">
        <f>IF($H2754="","",TRIM(IF(COUNTIF(DMTK!$A$7:$A$250,$F2754)=0,"TK Nợ sai! ","")&amp;IF(COUNTIF(DMTK!$A$7:$A$250,$G2754)=0,"TK Có sai! ","")&amp;IF(N($H2754)&lt;=0,"Tiền phải &gt; 0! ","")&amp;IF($B2754="","Thiếu ngày! ","")&amp;IF(AND(OR(LEFT($F2754,3)="131",LEFT($G2754,3)="131",LEFT($F2754,3)="331",LEFT($G2754,3)="331"),$I2754=""),"Thiếu Mã ĐT! ","")&amp;IF(AND($I2754&lt;&gt;"",COUNTIF(DM_DT!$A$7:$A$306,$I2754)=0),"Mã ĐT chưa khai báo! ","")))</f>
        <v/>
      </c>
      <c r="M2754" s="117">
        <f>IF($H2754="","",IF(AND(OR(LEFT($F2754,3)="111",LEFT($F2754,3)="112",LEFT($F2754,3)="113"),OR(LEFT($G2754,3)="111",LEFT($G2754,3)="112",LEFT($G2754,3)="113")),"NB",IF(OR(LEFT($F2754,3)="111",LEFT($F2754,3)="112",LEFT($F2754,3)="113"),"THU",IF(OR(LEFT($G2754,3)="111",LEFT($G2754,3)="112",LEFT($G2754,3)="113"),"CHI",""))))</f>
        <v/>
      </c>
      <c r="N2754" s="117">
        <f>IF($M2754="THU",$G2754,IF($M2754="CHI",$F2754,""))</f>
        <v/>
      </c>
      <c r="O2754" s="117">
        <f>IF(OR($M2754="",$M2754="NB"),"",IF($J2754&lt;&gt;"",TEXT($J2754,"00"),IFERROR(VLOOKUP(LEFT($N2754,4),LCTT_MAP!$A$7:$C$66,IF($M2754="THU",2,3),FALSE()),IFERROR(VLOOKUP(LEFT($N2754,3),LCTT_MAP!$A$7:$C$66,IF($M2754="THU",2,3),FALSE()),IFERROR(VLOOKUP(LEFT($N2754,2),LCTT_MAP!$A$7:$C$66,IF($M2754="THU",2,3),FALSE()),IFERROR(VLOOKUP(LEFT($N2754,1),LCTT_MAP!$A$7:$C$66,IF($M2754="THU",2,3),FALSE()),IF($M2754="THU","06","07")))))))</f>
        <v/>
      </c>
      <c r="P2754" s="117">
        <f>P2753+IF(AND($H2754&lt;&gt;"",OR(LEFT($F2754,LEN(SC_TK))=SC_TK,LEFT($G2754,LEN(SC_TK))=SC_TK)),1,0)</f>
        <v/>
      </c>
    </row>
    <row r="2755" ht="15" customHeight="1" s="78">
      <c r="A2755" s="95">
        <f>IF($H2755="","",ROW()-6)</f>
        <v/>
      </c>
      <c r="B2755" s="114" t="n"/>
      <c r="C2755" s="102" t="n"/>
      <c r="D2755" s="114" t="n"/>
      <c r="E2755" s="103" t="n"/>
      <c r="F2755" s="102" t="n"/>
      <c r="G2755" s="102" t="n"/>
      <c r="H2755" s="115" t="n"/>
      <c r="I2755" s="102" t="n"/>
      <c r="J2755" s="102" t="n"/>
      <c r="K2755" s="103" t="n"/>
      <c r="L2755" s="116">
        <f>IF($H2755="","",TRIM(IF(COUNTIF(DMTK!$A$7:$A$250,$F2755)=0,"TK Nợ sai! ","")&amp;IF(COUNTIF(DMTK!$A$7:$A$250,$G2755)=0,"TK Có sai! ","")&amp;IF(N($H2755)&lt;=0,"Tiền phải &gt; 0! ","")&amp;IF($B2755="","Thiếu ngày! ","")&amp;IF(AND(OR(LEFT($F2755,3)="131",LEFT($G2755,3)="131",LEFT($F2755,3)="331",LEFT($G2755,3)="331"),$I2755=""),"Thiếu Mã ĐT! ","")&amp;IF(AND($I2755&lt;&gt;"",COUNTIF(DM_DT!$A$7:$A$306,$I2755)=0),"Mã ĐT chưa khai báo! ","")))</f>
        <v/>
      </c>
      <c r="M2755" s="117">
        <f>IF($H2755="","",IF(AND(OR(LEFT($F2755,3)="111",LEFT($F2755,3)="112",LEFT($F2755,3)="113"),OR(LEFT($G2755,3)="111",LEFT($G2755,3)="112",LEFT($G2755,3)="113")),"NB",IF(OR(LEFT($F2755,3)="111",LEFT($F2755,3)="112",LEFT($F2755,3)="113"),"THU",IF(OR(LEFT($G2755,3)="111",LEFT($G2755,3)="112",LEFT($G2755,3)="113"),"CHI",""))))</f>
        <v/>
      </c>
      <c r="N2755" s="117">
        <f>IF($M2755="THU",$G2755,IF($M2755="CHI",$F2755,""))</f>
        <v/>
      </c>
      <c r="O2755" s="117">
        <f>IF(OR($M2755="",$M2755="NB"),"",IF($J2755&lt;&gt;"",TEXT($J2755,"00"),IFERROR(VLOOKUP(LEFT($N2755,4),LCTT_MAP!$A$7:$C$66,IF($M2755="THU",2,3),FALSE()),IFERROR(VLOOKUP(LEFT($N2755,3),LCTT_MAP!$A$7:$C$66,IF($M2755="THU",2,3),FALSE()),IFERROR(VLOOKUP(LEFT($N2755,2),LCTT_MAP!$A$7:$C$66,IF($M2755="THU",2,3),FALSE()),IFERROR(VLOOKUP(LEFT($N2755,1),LCTT_MAP!$A$7:$C$66,IF($M2755="THU",2,3),FALSE()),IF($M2755="THU","06","07")))))))</f>
        <v/>
      </c>
      <c r="P2755" s="117">
        <f>P2754+IF(AND($H2755&lt;&gt;"",OR(LEFT($F2755,LEN(SC_TK))=SC_TK,LEFT($G2755,LEN(SC_TK))=SC_TK)),1,0)</f>
        <v/>
      </c>
    </row>
    <row r="2756" ht="15" customHeight="1" s="78">
      <c r="A2756" s="95">
        <f>IF($H2756="","",ROW()-6)</f>
        <v/>
      </c>
      <c r="B2756" s="114" t="n"/>
      <c r="C2756" s="102" t="n"/>
      <c r="D2756" s="114" t="n"/>
      <c r="E2756" s="103" t="n"/>
      <c r="F2756" s="102" t="n"/>
      <c r="G2756" s="102" t="n"/>
      <c r="H2756" s="115" t="n"/>
      <c r="I2756" s="102" t="n"/>
      <c r="J2756" s="102" t="n"/>
      <c r="K2756" s="103" t="n"/>
      <c r="L2756" s="116">
        <f>IF($H2756="","",TRIM(IF(COUNTIF(DMTK!$A$7:$A$250,$F2756)=0,"TK Nợ sai! ","")&amp;IF(COUNTIF(DMTK!$A$7:$A$250,$G2756)=0,"TK Có sai! ","")&amp;IF(N($H2756)&lt;=0,"Tiền phải &gt; 0! ","")&amp;IF($B2756="","Thiếu ngày! ","")&amp;IF(AND(OR(LEFT($F2756,3)="131",LEFT($G2756,3)="131",LEFT($F2756,3)="331",LEFT($G2756,3)="331"),$I2756=""),"Thiếu Mã ĐT! ","")&amp;IF(AND($I2756&lt;&gt;"",COUNTIF(DM_DT!$A$7:$A$306,$I2756)=0),"Mã ĐT chưa khai báo! ","")))</f>
        <v/>
      </c>
      <c r="M2756" s="117">
        <f>IF($H2756="","",IF(AND(OR(LEFT($F2756,3)="111",LEFT($F2756,3)="112",LEFT($F2756,3)="113"),OR(LEFT($G2756,3)="111",LEFT($G2756,3)="112",LEFT($G2756,3)="113")),"NB",IF(OR(LEFT($F2756,3)="111",LEFT($F2756,3)="112",LEFT($F2756,3)="113"),"THU",IF(OR(LEFT($G2756,3)="111",LEFT($G2756,3)="112",LEFT($G2756,3)="113"),"CHI",""))))</f>
        <v/>
      </c>
      <c r="N2756" s="117">
        <f>IF($M2756="THU",$G2756,IF($M2756="CHI",$F2756,""))</f>
        <v/>
      </c>
      <c r="O2756" s="117">
        <f>IF(OR($M2756="",$M2756="NB"),"",IF($J2756&lt;&gt;"",TEXT($J2756,"00"),IFERROR(VLOOKUP(LEFT($N2756,4),LCTT_MAP!$A$7:$C$66,IF($M2756="THU",2,3),FALSE()),IFERROR(VLOOKUP(LEFT($N2756,3),LCTT_MAP!$A$7:$C$66,IF($M2756="THU",2,3),FALSE()),IFERROR(VLOOKUP(LEFT($N2756,2),LCTT_MAP!$A$7:$C$66,IF($M2756="THU",2,3),FALSE()),IFERROR(VLOOKUP(LEFT($N2756,1),LCTT_MAP!$A$7:$C$66,IF($M2756="THU",2,3),FALSE()),IF($M2756="THU","06","07")))))))</f>
        <v/>
      </c>
      <c r="P2756" s="117">
        <f>P2755+IF(AND($H2756&lt;&gt;"",OR(LEFT($F2756,LEN(SC_TK))=SC_TK,LEFT($G2756,LEN(SC_TK))=SC_TK)),1,0)</f>
        <v/>
      </c>
    </row>
    <row r="2757" ht="15" customHeight="1" s="78">
      <c r="A2757" s="95">
        <f>IF($H2757="","",ROW()-6)</f>
        <v/>
      </c>
      <c r="B2757" s="114" t="n"/>
      <c r="C2757" s="102" t="n"/>
      <c r="D2757" s="114" t="n"/>
      <c r="E2757" s="103" t="n"/>
      <c r="F2757" s="102" t="n"/>
      <c r="G2757" s="102" t="n"/>
      <c r="H2757" s="115" t="n"/>
      <c r="I2757" s="102" t="n"/>
      <c r="J2757" s="102" t="n"/>
      <c r="K2757" s="103" t="n"/>
      <c r="L2757" s="116">
        <f>IF($H2757="","",TRIM(IF(COUNTIF(DMTK!$A$7:$A$250,$F2757)=0,"TK Nợ sai! ","")&amp;IF(COUNTIF(DMTK!$A$7:$A$250,$G2757)=0,"TK Có sai! ","")&amp;IF(N($H2757)&lt;=0,"Tiền phải &gt; 0! ","")&amp;IF($B2757="","Thiếu ngày! ","")&amp;IF(AND(OR(LEFT($F2757,3)="131",LEFT($G2757,3)="131",LEFT($F2757,3)="331",LEFT($G2757,3)="331"),$I2757=""),"Thiếu Mã ĐT! ","")&amp;IF(AND($I2757&lt;&gt;"",COUNTIF(DM_DT!$A$7:$A$306,$I2757)=0),"Mã ĐT chưa khai báo! ","")))</f>
        <v/>
      </c>
      <c r="M2757" s="117">
        <f>IF($H2757="","",IF(AND(OR(LEFT($F2757,3)="111",LEFT($F2757,3)="112",LEFT($F2757,3)="113"),OR(LEFT($G2757,3)="111",LEFT($G2757,3)="112",LEFT($G2757,3)="113")),"NB",IF(OR(LEFT($F2757,3)="111",LEFT($F2757,3)="112",LEFT($F2757,3)="113"),"THU",IF(OR(LEFT($G2757,3)="111",LEFT($G2757,3)="112",LEFT($G2757,3)="113"),"CHI",""))))</f>
        <v/>
      </c>
      <c r="N2757" s="117">
        <f>IF($M2757="THU",$G2757,IF($M2757="CHI",$F2757,""))</f>
        <v/>
      </c>
      <c r="O2757" s="117">
        <f>IF(OR($M2757="",$M2757="NB"),"",IF($J2757&lt;&gt;"",TEXT($J2757,"00"),IFERROR(VLOOKUP(LEFT($N2757,4),LCTT_MAP!$A$7:$C$66,IF($M2757="THU",2,3),FALSE()),IFERROR(VLOOKUP(LEFT($N2757,3),LCTT_MAP!$A$7:$C$66,IF($M2757="THU",2,3),FALSE()),IFERROR(VLOOKUP(LEFT($N2757,2),LCTT_MAP!$A$7:$C$66,IF($M2757="THU",2,3),FALSE()),IFERROR(VLOOKUP(LEFT($N2757,1),LCTT_MAP!$A$7:$C$66,IF($M2757="THU",2,3),FALSE()),IF($M2757="THU","06","07")))))))</f>
        <v/>
      </c>
      <c r="P2757" s="117">
        <f>P2756+IF(AND($H2757&lt;&gt;"",OR(LEFT($F2757,LEN(SC_TK))=SC_TK,LEFT($G2757,LEN(SC_TK))=SC_TK)),1,0)</f>
        <v/>
      </c>
    </row>
    <row r="2758" ht="15" customHeight="1" s="78">
      <c r="A2758" s="95">
        <f>IF($H2758="","",ROW()-6)</f>
        <v/>
      </c>
      <c r="B2758" s="114" t="n"/>
      <c r="C2758" s="102" t="n"/>
      <c r="D2758" s="114" t="n"/>
      <c r="E2758" s="103" t="n"/>
      <c r="F2758" s="102" t="n"/>
      <c r="G2758" s="102" t="n"/>
      <c r="H2758" s="115" t="n"/>
      <c r="I2758" s="102" t="n"/>
      <c r="J2758" s="102" t="n"/>
      <c r="K2758" s="103" t="n"/>
      <c r="L2758" s="116">
        <f>IF($H2758="","",TRIM(IF(COUNTIF(DMTK!$A$7:$A$250,$F2758)=0,"TK Nợ sai! ","")&amp;IF(COUNTIF(DMTK!$A$7:$A$250,$G2758)=0,"TK Có sai! ","")&amp;IF(N($H2758)&lt;=0,"Tiền phải &gt; 0! ","")&amp;IF($B2758="","Thiếu ngày! ","")&amp;IF(AND(OR(LEFT($F2758,3)="131",LEFT($G2758,3)="131",LEFT($F2758,3)="331",LEFT($G2758,3)="331"),$I2758=""),"Thiếu Mã ĐT! ","")&amp;IF(AND($I2758&lt;&gt;"",COUNTIF(DM_DT!$A$7:$A$306,$I2758)=0),"Mã ĐT chưa khai báo! ","")))</f>
        <v/>
      </c>
      <c r="M2758" s="117">
        <f>IF($H2758="","",IF(AND(OR(LEFT($F2758,3)="111",LEFT($F2758,3)="112",LEFT($F2758,3)="113"),OR(LEFT($G2758,3)="111",LEFT($G2758,3)="112",LEFT($G2758,3)="113")),"NB",IF(OR(LEFT($F2758,3)="111",LEFT($F2758,3)="112",LEFT($F2758,3)="113"),"THU",IF(OR(LEFT($G2758,3)="111",LEFT($G2758,3)="112",LEFT($G2758,3)="113"),"CHI",""))))</f>
        <v/>
      </c>
      <c r="N2758" s="117">
        <f>IF($M2758="THU",$G2758,IF($M2758="CHI",$F2758,""))</f>
        <v/>
      </c>
      <c r="O2758" s="117">
        <f>IF(OR($M2758="",$M2758="NB"),"",IF($J2758&lt;&gt;"",TEXT($J2758,"00"),IFERROR(VLOOKUP(LEFT($N2758,4),LCTT_MAP!$A$7:$C$66,IF($M2758="THU",2,3),FALSE()),IFERROR(VLOOKUP(LEFT($N2758,3),LCTT_MAP!$A$7:$C$66,IF($M2758="THU",2,3),FALSE()),IFERROR(VLOOKUP(LEFT($N2758,2),LCTT_MAP!$A$7:$C$66,IF($M2758="THU",2,3),FALSE()),IFERROR(VLOOKUP(LEFT($N2758,1),LCTT_MAP!$A$7:$C$66,IF($M2758="THU",2,3),FALSE()),IF($M2758="THU","06","07")))))))</f>
        <v/>
      </c>
      <c r="P2758" s="117">
        <f>P2757+IF(AND($H2758&lt;&gt;"",OR(LEFT($F2758,LEN(SC_TK))=SC_TK,LEFT($G2758,LEN(SC_TK))=SC_TK)),1,0)</f>
        <v/>
      </c>
    </row>
    <row r="2759" ht="15" customHeight="1" s="78">
      <c r="A2759" s="95">
        <f>IF($H2759="","",ROW()-6)</f>
        <v/>
      </c>
      <c r="B2759" s="114" t="n"/>
      <c r="C2759" s="102" t="n"/>
      <c r="D2759" s="114" t="n"/>
      <c r="E2759" s="103" t="n"/>
      <c r="F2759" s="102" t="n"/>
      <c r="G2759" s="102" t="n"/>
      <c r="H2759" s="115" t="n"/>
      <c r="I2759" s="102" t="n"/>
      <c r="J2759" s="102" t="n"/>
      <c r="K2759" s="103" t="n"/>
      <c r="L2759" s="116">
        <f>IF($H2759="","",TRIM(IF(COUNTIF(DMTK!$A$7:$A$250,$F2759)=0,"TK Nợ sai! ","")&amp;IF(COUNTIF(DMTK!$A$7:$A$250,$G2759)=0,"TK Có sai! ","")&amp;IF(N($H2759)&lt;=0,"Tiền phải &gt; 0! ","")&amp;IF($B2759="","Thiếu ngày! ","")&amp;IF(AND(OR(LEFT($F2759,3)="131",LEFT($G2759,3)="131",LEFT($F2759,3)="331",LEFT($G2759,3)="331"),$I2759=""),"Thiếu Mã ĐT! ","")&amp;IF(AND($I2759&lt;&gt;"",COUNTIF(DM_DT!$A$7:$A$306,$I2759)=0),"Mã ĐT chưa khai báo! ","")))</f>
        <v/>
      </c>
      <c r="M2759" s="117">
        <f>IF($H2759="","",IF(AND(OR(LEFT($F2759,3)="111",LEFT($F2759,3)="112",LEFT($F2759,3)="113"),OR(LEFT($G2759,3)="111",LEFT($G2759,3)="112",LEFT($G2759,3)="113")),"NB",IF(OR(LEFT($F2759,3)="111",LEFT($F2759,3)="112",LEFT($F2759,3)="113"),"THU",IF(OR(LEFT($G2759,3)="111",LEFT($G2759,3)="112",LEFT($G2759,3)="113"),"CHI",""))))</f>
        <v/>
      </c>
      <c r="N2759" s="117">
        <f>IF($M2759="THU",$G2759,IF($M2759="CHI",$F2759,""))</f>
        <v/>
      </c>
      <c r="O2759" s="117">
        <f>IF(OR($M2759="",$M2759="NB"),"",IF($J2759&lt;&gt;"",TEXT($J2759,"00"),IFERROR(VLOOKUP(LEFT($N2759,4),LCTT_MAP!$A$7:$C$66,IF($M2759="THU",2,3),FALSE()),IFERROR(VLOOKUP(LEFT($N2759,3),LCTT_MAP!$A$7:$C$66,IF($M2759="THU",2,3),FALSE()),IFERROR(VLOOKUP(LEFT($N2759,2),LCTT_MAP!$A$7:$C$66,IF($M2759="THU",2,3),FALSE()),IFERROR(VLOOKUP(LEFT($N2759,1),LCTT_MAP!$A$7:$C$66,IF($M2759="THU",2,3),FALSE()),IF($M2759="THU","06","07")))))))</f>
        <v/>
      </c>
      <c r="P2759" s="117">
        <f>P2758+IF(AND($H2759&lt;&gt;"",OR(LEFT($F2759,LEN(SC_TK))=SC_TK,LEFT($G2759,LEN(SC_TK))=SC_TK)),1,0)</f>
        <v/>
      </c>
    </row>
    <row r="2760" ht="15" customHeight="1" s="78">
      <c r="A2760" s="95">
        <f>IF($H2760="","",ROW()-6)</f>
        <v/>
      </c>
      <c r="B2760" s="114" t="n"/>
      <c r="C2760" s="102" t="n"/>
      <c r="D2760" s="114" t="n"/>
      <c r="E2760" s="103" t="n"/>
      <c r="F2760" s="102" t="n"/>
      <c r="G2760" s="102" t="n"/>
      <c r="H2760" s="115" t="n"/>
      <c r="I2760" s="102" t="n"/>
      <c r="J2760" s="102" t="n"/>
      <c r="K2760" s="103" t="n"/>
      <c r="L2760" s="116">
        <f>IF($H2760="","",TRIM(IF(COUNTIF(DMTK!$A$7:$A$250,$F2760)=0,"TK Nợ sai! ","")&amp;IF(COUNTIF(DMTK!$A$7:$A$250,$G2760)=0,"TK Có sai! ","")&amp;IF(N($H2760)&lt;=0,"Tiền phải &gt; 0! ","")&amp;IF($B2760="","Thiếu ngày! ","")&amp;IF(AND(OR(LEFT($F2760,3)="131",LEFT($G2760,3)="131",LEFT($F2760,3)="331",LEFT($G2760,3)="331"),$I2760=""),"Thiếu Mã ĐT! ","")&amp;IF(AND($I2760&lt;&gt;"",COUNTIF(DM_DT!$A$7:$A$306,$I2760)=0),"Mã ĐT chưa khai báo! ","")))</f>
        <v/>
      </c>
      <c r="M2760" s="117">
        <f>IF($H2760="","",IF(AND(OR(LEFT($F2760,3)="111",LEFT($F2760,3)="112",LEFT($F2760,3)="113"),OR(LEFT($G2760,3)="111",LEFT($G2760,3)="112",LEFT($G2760,3)="113")),"NB",IF(OR(LEFT($F2760,3)="111",LEFT($F2760,3)="112",LEFT($F2760,3)="113"),"THU",IF(OR(LEFT($G2760,3)="111",LEFT($G2760,3)="112",LEFT($G2760,3)="113"),"CHI",""))))</f>
        <v/>
      </c>
      <c r="N2760" s="117">
        <f>IF($M2760="THU",$G2760,IF($M2760="CHI",$F2760,""))</f>
        <v/>
      </c>
      <c r="O2760" s="117">
        <f>IF(OR($M2760="",$M2760="NB"),"",IF($J2760&lt;&gt;"",TEXT($J2760,"00"),IFERROR(VLOOKUP(LEFT($N2760,4),LCTT_MAP!$A$7:$C$66,IF($M2760="THU",2,3),FALSE()),IFERROR(VLOOKUP(LEFT($N2760,3),LCTT_MAP!$A$7:$C$66,IF($M2760="THU",2,3),FALSE()),IFERROR(VLOOKUP(LEFT($N2760,2),LCTT_MAP!$A$7:$C$66,IF($M2760="THU",2,3),FALSE()),IFERROR(VLOOKUP(LEFT($N2760,1),LCTT_MAP!$A$7:$C$66,IF($M2760="THU",2,3),FALSE()),IF($M2760="THU","06","07")))))))</f>
        <v/>
      </c>
      <c r="P2760" s="117">
        <f>P2759+IF(AND($H2760&lt;&gt;"",OR(LEFT($F2760,LEN(SC_TK))=SC_TK,LEFT($G2760,LEN(SC_TK))=SC_TK)),1,0)</f>
        <v/>
      </c>
    </row>
    <row r="2761" ht="15" customHeight="1" s="78">
      <c r="A2761" s="95">
        <f>IF($H2761="","",ROW()-6)</f>
        <v/>
      </c>
      <c r="B2761" s="114" t="n"/>
      <c r="C2761" s="102" t="n"/>
      <c r="D2761" s="114" t="n"/>
      <c r="E2761" s="103" t="n"/>
      <c r="F2761" s="102" t="n"/>
      <c r="G2761" s="102" t="n"/>
      <c r="H2761" s="115" t="n"/>
      <c r="I2761" s="102" t="n"/>
      <c r="J2761" s="102" t="n"/>
      <c r="K2761" s="103" t="n"/>
      <c r="L2761" s="116">
        <f>IF($H2761="","",TRIM(IF(COUNTIF(DMTK!$A$7:$A$250,$F2761)=0,"TK Nợ sai! ","")&amp;IF(COUNTIF(DMTK!$A$7:$A$250,$G2761)=0,"TK Có sai! ","")&amp;IF(N($H2761)&lt;=0,"Tiền phải &gt; 0! ","")&amp;IF($B2761="","Thiếu ngày! ","")&amp;IF(AND(OR(LEFT($F2761,3)="131",LEFT($G2761,3)="131",LEFT($F2761,3)="331",LEFT($G2761,3)="331"),$I2761=""),"Thiếu Mã ĐT! ","")&amp;IF(AND($I2761&lt;&gt;"",COUNTIF(DM_DT!$A$7:$A$306,$I2761)=0),"Mã ĐT chưa khai báo! ","")))</f>
        <v/>
      </c>
      <c r="M2761" s="117">
        <f>IF($H2761="","",IF(AND(OR(LEFT($F2761,3)="111",LEFT($F2761,3)="112",LEFT($F2761,3)="113"),OR(LEFT($G2761,3)="111",LEFT($G2761,3)="112",LEFT($G2761,3)="113")),"NB",IF(OR(LEFT($F2761,3)="111",LEFT($F2761,3)="112",LEFT($F2761,3)="113"),"THU",IF(OR(LEFT($G2761,3)="111",LEFT($G2761,3)="112",LEFT($G2761,3)="113"),"CHI",""))))</f>
        <v/>
      </c>
      <c r="N2761" s="117">
        <f>IF($M2761="THU",$G2761,IF($M2761="CHI",$F2761,""))</f>
        <v/>
      </c>
      <c r="O2761" s="117">
        <f>IF(OR($M2761="",$M2761="NB"),"",IF($J2761&lt;&gt;"",TEXT($J2761,"00"),IFERROR(VLOOKUP(LEFT($N2761,4),LCTT_MAP!$A$7:$C$66,IF($M2761="THU",2,3),FALSE()),IFERROR(VLOOKUP(LEFT($N2761,3),LCTT_MAP!$A$7:$C$66,IF($M2761="THU",2,3),FALSE()),IFERROR(VLOOKUP(LEFT($N2761,2),LCTT_MAP!$A$7:$C$66,IF($M2761="THU",2,3),FALSE()),IFERROR(VLOOKUP(LEFT($N2761,1),LCTT_MAP!$A$7:$C$66,IF($M2761="THU",2,3),FALSE()),IF($M2761="THU","06","07")))))))</f>
        <v/>
      </c>
      <c r="P2761" s="117">
        <f>P2760+IF(AND($H2761&lt;&gt;"",OR(LEFT($F2761,LEN(SC_TK))=SC_TK,LEFT($G2761,LEN(SC_TK))=SC_TK)),1,0)</f>
        <v/>
      </c>
    </row>
    <row r="2762" ht="15" customHeight="1" s="78">
      <c r="A2762" s="95">
        <f>IF($H2762="","",ROW()-6)</f>
        <v/>
      </c>
      <c r="B2762" s="114" t="n"/>
      <c r="C2762" s="102" t="n"/>
      <c r="D2762" s="114" t="n"/>
      <c r="E2762" s="103" t="n"/>
      <c r="F2762" s="102" t="n"/>
      <c r="G2762" s="102" t="n"/>
      <c r="H2762" s="115" t="n"/>
      <c r="I2762" s="102" t="n"/>
      <c r="J2762" s="102" t="n"/>
      <c r="K2762" s="103" t="n"/>
      <c r="L2762" s="116">
        <f>IF($H2762="","",TRIM(IF(COUNTIF(DMTK!$A$7:$A$250,$F2762)=0,"TK Nợ sai! ","")&amp;IF(COUNTIF(DMTK!$A$7:$A$250,$G2762)=0,"TK Có sai! ","")&amp;IF(N($H2762)&lt;=0,"Tiền phải &gt; 0! ","")&amp;IF($B2762="","Thiếu ngày! ","")&amp;IF(AND(OR(LEFT($F2762,3)="131",LEFT($G2762,3)="131",LEFT($F2762,3)="331",LEFT($G2762,3)="331"),$I2762=""),"Thiếu Mã ĐT! ","")&amp;IF(AND($I2762&lt;&gt;"",COUNTIF(DM_DT!$A$7:$A$306,$I2762)=0),"Mã ĐT chưa khai báo! ","")))</f>
        <v/>
      </c>
      <c r="M2762" s="117">
        <f>IF($H2762="","",IF(AND(OR(LEFT($F2762,3)="111",LEFT($F2762,3)="112",LEFT($F2762,3)="113"),OR(LEFT($G2762,3)="111",LEFT($G2762,3)="112",LEFT($G2762,3)="113")),"NB",IF(OR(LEFT($F2762,3)="111",LEFT($F2762,3)="112",LEFT($F2762,3)="113"),"THU",IF(OR(LEFT($G2762,3)="111",LEFT($G2762,3)="112",LEFT($G2762,3)="113"),"CHI",""))))</f>
        <v/>
      </c>
      <c r="N2762" s="117">
        <f>IF($M2762="THU",$G2762,IF($M2762="CHI",$F2762,""))</f>
        <v/>
      </c>
      <c r="O2762" s="117">
        <f>IF(OR($M2762="",$M2762="NB"),"",IF($J2762&lt;&gt;"",TEXT($J2762,"00"),IFERROR(VLOOKUP(LEFT($N2762,4),LCTT_MAP!$A$7:$C$66,IF($M2762="THU",2,3),FALSE()),IFERROR(VLOOKUP(LEFT($N2762,3),LCTT_MAP!$A$7:$C$66,IF($M2762="THU",2,3),FALSE()),IFERROR(VLOOKUP(LEFT($N2762,2),LCTT_MAP!$A$7:$C$66,IF($M2762="THU",2,3),FALSE()),IFERROR(VLOOKUP(LEFT($N2762,1),LCTT_MAP!$A$7:$C$66,IF($M2762="THU",2,3),FALSE()),IF($M2762="THU","06","07")))))))</f>
        <v/>
      </c>
      <c r="P2762" s="117">
        <f>P2761+IF(AND($H2762&lt;&gt;"",OR(LEFT($F2762,LEN(SC_TK))=SC_TK,LEFT($G2762,LEN(SC_TK))=SC_TK)),1,0)</f>
        <v/>
      </c>
    </row>
    <row r="2763" ht="15" customHeight="1" s="78">
      <c r="A2763" s="95">
        <f>IF($H2763="","",ROW()-6)</f>
        <v/>
      </c>
      <c r="B2763" s="114" t="n"/>
      <c r="C2763" s="102" t="n"/>
      <c r="D2763" s="114" t="n"/>
      <c r="E2763" s="103" t="n"/>
      <c r="F2763" s="102" t="n"/>
      <c r="G2763" s="102" t="n"/>
      <c r="H2763" s="115" t="n"/>
      <c r="I2763" s="102" t="n"/>
      <c r="J2763" s="102" t="n"/>
      <c r="K2763" s="103" t="n"/>
      <c r="L2763" s="116">
        <f>IF($H2763="","",TRIM(IF(COUNTIF(DMTK!$A$7:$A$250,$F2763)=0,"TK Nợ sai! ","")&amp;IF(COUNTIF(DMTK!$A$7:$A$250,$G2763)=0,"TK Có sai! ","")&amp;IF(N($H2763)&lt;=0,"Tiền phải &gt; 0! ","")&amp;IF($B2763="","Thiếu ngày! ","")&amp;IF(AND(OR(LEFT($F2763,3)="131",LEFT($G2763,3)="131",LEFT($F2763,3)="331",LEFT($G2763,3)="331"),$I2763=""),"Thiếu Mã ĐT! ","")&amp;IF(AND($I2763&lt;&gt;"",COUNTIF(DM_DT!$A$7:$A$306,$I2763)=0),"Mã ĐT chưa khai báo! ","")))</f>
        <v/>
      </c>
      <c r="M2763" s="117">
        <f>IF($H2763="","",IF(AND(OR(LEFT($F2763,3)="111",LEFT($F2763,3)="112",LEFT($F2763,3)="113"),OR(LEFT($G2763,3)="111",LEFT($G2763,3)="112",LEFT($G2763,3)="113")),"NB",IF(OR(LEFT($F2763,3)="111",LEFT($F2763,3)="112",LEFT($F2763,3)="113"),"THU",IF(OR(LEFT($G2763,3)="111",LEFT($G2763,3)="112",LEFT($G2763,3)="113"),"CHI",""))))</f>
        <v/>
      </c>
      <c r="N2763" s="117">
        <f>IF($M2763="THU",$G2763,IF($M2763="CHI",$F2763,""))</f>
        <v/>
      </c>
      <c r="O2763" s="117">
        <f>IF(OR($M2763="",$M2763="NB"),"",IF($J2763&lt;&gt;"",TEXT($J2763,"00"),IFERROR(VLOOKUP(LEFT($N2763,4),LCTT_MAP!$A$7:$C$66,IF($M2763="THU",2,3),FALSE()),IFERROR(VLOOKUP(LEFT($N2763,3),LCTT_MAP!$A$7:$C$66,IF($M2763="THU",2,3),FALSE()),IFERROR(VLOOKUP(LEFT($N2763,2),LCTT_MAP!$A$7:$C$66,IF($M2763="THU",2,3),FALSE()),IFERROR(VLOOKUP(LEFT($N2763,1),LCTT_MAP!$A$7:$C$66,IF($M2763="THU",2,3),FALSE()),IF($M2763="THU","06","07")))))))</f>
        <v/>
      </c>
      <c r="P2763" s="117">
        <f>P2762+IF(AND($H2763&lt;&gt;"",OR(LEFT($F2763,LEN(SC_TK))=SC_TK,LEFT($G2763,LEN(SC_TK))=SC_TK)),1,0)</f>
        <v/>
      </c>
    </row>
    <row r="2764" ht="15" customHeight="1" s="78">
      <c r="A2764" s="95">
        <f>IF($H2764="","",ROW()-6)</f>
        <v/>
      </c>
      <c r="B2764" s="114" t="n"/>
      <c r="C2764" s="102" t="n"/>
      <c r="D2764" s="114" t="n"/>
      <c r="E2764" s="103" t="n"/>
      <c r="F2764" s="102" t="n"/>
      <c r="G2764" s="102" t="n"/>
      <c r="H2764" s="115" t="n"/>
      <c r="I2764" s="102" t="n"/>
      <c r="J2764" s="102" t="n"/>
      <c r="K2764" s="103" t="n"/>
      <c r="L2764" s="116">
        <f>IF($H2764="","",TRIM(IF(COUNTIF(DMTK!$A$7:$A$250,$F2764)=0,"TK Nợ sai! ","")&amp;IF(COUNTIF(DMTK!$A$7:$A$250,$G2764)=0,"TK Có sai! ","")&amp;IF(N($H2764)&lt;=0,"Tiền phải &gt; 0! ","")&amp;IF($B2764="","Thiếu ngày! ","")&amp;IF(AND(OR(LEFT($F2764,3)="131",LEFT($G2764,3)="131",LEFT($F2764,3)="331",LEFT($G2764,3)="331"),$I2764=""),"Thiếu Mã ĐT! ","")&amp;IF(AND($I2764&lt;&gt;"",COUNTIF(DM_DT!$A$7:$A$306,$I2764)=0),"Mã ĐT chưa khai báo! ","")))</f>
        <v/>
      </c>
      <c r="M2764" s="117">
        <f>IF($H2764="","",IF(AND(OR(LEFT($F2764,3)="111",LEFT($F2764,3)="112",LEFT($F2764,3)="113"),OR(LEFT($G2764,3)="111",LEFT($G2764,3)="112",LEFT($G2764,3)="113")),"NB",IF(OR(LEFT($F2764,3)="111",LEFT($F2764,3)="112",LEFT($F2764,3)="113"),"THU",IF(OR(LEFT($G2764,3)="111",LEFT($G2764,3)="112",LEFT($G2764,3)="113"),"CHI",""))))</f>
        <v/>
      </c>
      <c r="N2764" s="117">
        <f>IF($M2764="THU",$G2764,IF($M2764="CHI",$F2764,""))</f>
        <v/>
      </c>
      <c r="O2764" s="117">
        <f>IF(OR($M2764="",$M2764="NB"),"",IF($J2764&lt;&gt;"",TEXT($J2764,"00"),IFERROR(VLOOKUP(LEFT($N2764,4),LCTT_MAP!$A$7:$C$66,IF($M2764="THU",2,3),FALSE()),IFERROR(VLOOKUP(LEFT($N2764,3),LCTT_MAP!$A$7:$C$66,IF($M2764="THU",2,3),FALSE()),IFERROR(VLOOKUP(LEFT($N2764,2),LCTT_MAP!$A$7:$C$66,IF($M2764="THU",2,3),FALSE()),IFERROR(VLOOKUP(LEFT($N2764,1),LCTT_MAP!$A$7:$C$66,IF($M2764="THU",2,3),FALSE()),IF($M2764="THU","06","07")))))))</f>
        <v/>
      </c>
      <c r="P2764" s="117">
        <f>P2763+IF(AND($H2764&lt;&gt;"",OR(LEFT($F2764,LEN(SC_TK))=SC_TK,LEFT($G2764,LEN(SC_TK))=SC_TK)),1,0)</f>
        <v/>
      </c>
    </row>
    <row r="2765" ht="15" customHeight="1" s="78">
      <c r="A2765" s="95">
        <f>IF($H2765="","",ROW()-6)</f>
        <v/>
      </c>
      <c r="B2765" s="114" t="n"/>
      <c r="C2765" s="102" t="n"/>
      <c r="D2765" s="114" t="n"/>
      <c r="E2765" s="103" t="n"/>
      <c r="F2765" s="102" t="n"/>
      <c r="G2765" s="102" t="n"/>
      <c r="H2765" s="115" t="n"/>
      <c r="I2765" s="102" t="n"/>
      <c r="J2765" s="102" t="n"/>
      <c r="K2765" s="103" t="n"/>
      <c r="L2765" s="116">
        <f>IF($H2765="","",TRIM(IF(COUNTIF(DMTK!$A$7:$A$250,$F2765)=0,"TK Nợ sai! ","")&amp;IF(COUNTIF(DMTK!$A$7:$A$250,$G2765)=0,"TK Có sai! ","")&amp;IF(N($H2765)&lt;=0,"Tiền phải &gt; 0! ","")&amp;IF($B2765="","Thiếu ngày! ","")&amp;IF(AND(OR(LEFT($F2765,3)="131",LEFT($G2765,3)="131",LEFT($F2765,3)="331",LEFT($G2765,3)="331"),$I2765=""),"Thiếu Mã ĐT! ","")&amp;IF(AND($I2765&lt;&gt;"",COUNTIF(DM_DT!$A$7:$A$306,$I2765)=0),"Mã ĐT chưa khai báo! ","")))</f>
        <v/>
      </c>
      <c r="M2765" s="117">
        <f>IF($H2765="","",IF(AND(OR(LEFT($F2765,3)="111",LEFT($F2765,3)="112",LEFT($F2765,3)="113"),OR(LEFT($G2765,3)="111",LEFT($G2765,3)="112",LEFT($G2765,3)="113")),"NB",IF(OR(LEFT($F2765,3)="111",LEFT($F2765,3)="112",LEFT($F2765,3)="113"),"THU",IF(OR(LEFT($G2765,3)="111",LEFT($G2765,3)="112",LEFT($G2765,3)="113"),"CHI",""))))</f>
        <v/>
      </c>
      <c r="N2765" s="117">
        <f>IF($M2765="THU",$G2765,IF($M2765="CHI",$F2765,""))</f>
        <v/>
      </c>
      <c r="O2765" s="117">
        <f>IF(OR($M2765="",$M2765="NB"),"",IF($J2765&lt;&gt;"",TEXT($J2765,"00"),IFERROR(VLOOKUP(LEFT($N2765,4),LCTT_MAP!$A$7:$C$66,IF($M2765="THU",2,3),FALSE()),IFERROR(VLOOKUP(LEFT($N2765,3),LCTT_MAP!$A$7:$C$66,IF($M2765="THU",2,3),FALSE()),IFERROR(VLOOKUP(LEFT($N2765,2),LCTT_MAP!$A$7:$C$66,IF($M2765="THU",2,3),FALSE()),IFERROR(VLOOKUP(LEFT($N2765,1),LCTT_MAP!$A$7:$C$66,IF($M2765="THU",2,3),FALSE()),IF($M2765="THU","06","07")))))))</f>
        <v/>
      </c>
      <c r="P2765" s="117">
        <f>P2764+IF(AND($H2765&lt;&gt;"",OR(LEFT($F2765,LEN(SC_TK))=SC_TK,LEFT($G2765,LEN(SC_TK))=SC_TK)),1,0)</f>
        <v/>
      </c>
    </row>
    <row r="2766" ht="15" customHeight="1" s="78">
      <c r="A2766" s="95">
        <f>IF($H2766="","",ROW()-6)</f>
        <v/>
      </c>
      <c r="B2766" s="114" t="n"/>
      <c r="C2766" s="102" t="n"/>
      <c r="D2766" s="114" t="n"/>
      <c r="E2766" s="103" t="n"/>
      <c r="F2766" s="102" t="n"/>
      <c r="G2766" s="102" t="n"/>
      <c r="H2766" s="115" t="n"/>
      <c r="I2766" s="102" t="n"/>
      <c r="J2766" s="102" t="n"/>
      <c r="K2766" s="103" t="n"/>
      <c r="L2766" s="116">
        <f>IF($H2766="","",TRIM(IF(COUNTIF(DMTK!$A$7:$A$250,$F2766)=0,"TK Nợ sai! ","")&amp;IF(COUNTIF(DMTK!$A$7:$A$250,$G2766)=0,"TK Có sai! ","")&amp;IF(N($H2766)&lt;=0,"Tiền phải &gt; 0! ","")&amp;IF($B2766="","Thiếu ngày! ","")&amp;IF(AND(OR(LEFT($F2766,3)="131",LEFT($G2766,3)="131",LEFT($F2766,3)="331",LEFT($G2766,3)="331"),$I2766=""),"Thiếu Mã ĐT! ","")&amp;IF(AND($I2766&lt;&gt;"",COUNTIF(DM_DT!$A$7:$A$306,$I2766)=0),"Mã ĐT chưa khai báo! ","")))</f>
        <v/>
      </c>
      <c r="M2766" s="117">
        <f>IF($H2766="","",IF(AND(OR(LEFT($F2766,3)="111",LEFT($F2766,3)="112",LEFT($F2766,3)="113"),OR(LEFT($G2766,3)="111",LEFT($G2766,3)="112",LEFT($G2766,3)="113")),"NB",IF(OR(LEFT($F2766,3)="111",LEFT($F2766,3)="112",LEFT($F2766,3)="113"),"THU",IF(OR(LEFT($G2766,3)="111",LEFT($G2766,3)="112",LEFT($G2766,3)="113"),"CHI",""))))</f>
        <v/>
      </c>
      <c r="N2766" s="117">
        <f>IF($M2766="THU",$G2766,IF($M2766="CHI",$F2766,""))</f>
        <v/>
      </c>
      <c r="O2766" s="117">
        <f>IF(OR($M2766="",$M2766="NB"),"",IF($J2766&lt;&gt;"",TEXT($J2766,"00"),IFERROR(VLOOKUP(LEFT($N2766,4),LCTT_MAP!$A$7:$C$66,IF($M2766="THU",2,3),FALSE()),IFERROR(VLOOKUP(LEFT($N2766,3),LCTT_MAP!$A$7:$C$66,IF($M2766="THU",2,3),FALSE()),IFERROR(VLOOKUP(LEFT($N2766,2),LCTT_MAP!$A$7:$C$66,IF($M2766="THU",2,3),FALSE()),IFERROR(VLOOKUP(LEFT($N2766,1),LCTT_MAP!$A$7:$C$66,IF($M2766="THU",2,3),FALSE()),IF($M2766="THU","06","07")))))))</f>
        <v/>
      </c>
      <c r="P2766" s="117">
        <f>P2765+IF(AND($H2766&lt;&gt;"",OR(LEFT($F2766,LEN(SC_TK))=SC_TK,LEFT($G2766,LEN(SC_TK))=SC_TK)),1,0)</f>
        <v/>
      </c>
    </row>
    <row r="2767" ht="15" customHeight="1" s="78">
      <c r="A2767" s="95">
        <f>IF($H2767="","",ROW()-6)</f>
        <v/>
      </c>
      <c r="B2767" s="114" t="n"/>
      <c r="C2767" s="102" t="n"/>
      <c r="D2767" s="114" t="n"/>
      <c r="E2767" s="103" t="n"/>
      <c r="F2767" s="102" t="n"/>
      <c r="G2767" s="102" t="n"/>
      <c r="H2767" s="115" t="n"/>
      <c r="I2767" s="102" t="n"/>
      <c r="J2767" s="102" t="n"/>
      <c r="K2767" s="103" t="n"/>
      <c r="L2767" s="116">
        <f>IF($H2767="","",TRIM(IF(COUNTIF(DMTK!$A$7:$A$250,$F2767)=0,"TK Nợ sai! ","")&amp;IF(COUNTIF(DMTK!$A$7:$A$250,$G2767)=0,"TK Có sai! ","")&amp;IF(N($H2767)&lt;=0,"Tiền phải &gt; 0! ","")&amp;IF($B2767="","Thiếu ngày! ","")&amp;IF(AND(OR(LEFT($F2767,3)="131",LEFT($G2767,3)="131",LEFT($F2767,3)="331",LEFT($G2767,3)="331"),$I2767=""),"Thiếu Mã ĐT! ","")&amp;IF(AND($I2767&lt;&gt;"",COUNTIF(DM_DT!$A$7:$A$306,$I2767)=0),"Mã ĐT chưa khai báo! ","")))</f>
        <v/>
      </c>
      <c r="M2767" s="117">
        <f>IF($H2767="","",IF(AND(OR(LEFT($F2767,3)="111",LEFT($F2767,3)="112",LEFT($F2767,3)="113"),OR(LEFT($G2767,3)="111",LEFT($G2767,3)="112",LEFT($G2767,3)="113")),"NB",IF(OR(LEFT($F2767,3)="111",LEFT($F2767,3)="112",LEFT($F2767,3)="113"),"THU",IF(OR(LEFT($G2767,3)="111",LEFT($G2767,3)="112",LEFT($G2767,3)="113"),"CHI",""))))</f>
        <v/>
      </c>
      <c r="N2767" s="117">
        <f>IF($M2767="THU",$G2767,IF($M2767="CHI",$F2767,""))</f>
        <v/>
      </c>
      <c r="O2767" s="117">
        <f>IF(OR($M2767="",$M2767="NB"),"",IF($J2767&lt;&gt;"",TEXT($J2767,"00"),IFERROR(VLOOKUP(LEFT($N2767,4),LCTT_MAP!$A$7:$C$66,IF($M2767="THU",2,3),FALSE()),IFERROR(VLOOKUP(LEFT($N2767,3),LCTT_MAP!$A$7:$C$66,IF($M2767="THU",2,3),FALSE()),IFERROR(VLOOKUP(LEFT($N2767,2),LCTT_MAP!$A$7:$C$66,IF($M2767="THU",2,3),FALSE()),IFERROR(VLOOKUP(LEFT($N2767,1),LCTT_MAP!$A$7:$C$66,IF($M2767="THU",2,3),FALSE()),IF($M2767="THU","06","07")))))))</f>
        <v/>
      </c>
      <c r="P2767" s="117">
        <f>P2766+IF(AND($H2767&lt;&gt;"",OR(LEFT($F2767,LEN(SC_TK))=SC_TK,LEFT($G2767,LEN(SC_TK))=SC_TK)),1,0)</f>
        <v/>
      </c>
    </row>
    <row r="2768" ht="15" customHeight="1" s="78">
      <c r="A2768" s="95">
        <f>IF($H2768="","",ROW()-6)</f>
        <v/>
      </c>
      <c r="B2768" s="114" t="n"/>
      <c r="C2768" s="102" t="n"/>
      <c r="D2768" s="114" t="n"/>
      <c r="E2768" s="103" t="n"/>
      <c r="F2768" s="102" t="n"/>
      <c r="G2768" s="102" t="n"/>
      <c r="H2768" s="115" t="n"/>
      <c r="I2768" s="102" t="n"/>
      <c r="J2768" s="102" t="n"/>
      <c r="K2768" s="103" t="n"/>
      <c r="L2768" s="116">
        <f>IF($H2768="","",TRIM(IF(COUNTIF(DMTK!$A$7:$A$250,$F2768)=0,"TK Nợ sai! ","")&amp;IF(COUNTIF(DMTK!$A$7:$A$250,$G2768)=0,"TK Có sai! ","")&amp;IF(N($H2768)&lt;=0,"Tiền phải &gt; 0! ","")&amp;IF($B2768="","Thiếu ngày! ","")&amp;IF(AND(OR(LEFT($F2768,3)="131",LEFT($G2768,3)="131",LEFT($F2768,3)="331",LEFT($G2768,3)="331"),$I2768=""),"Thiếu Mã ĐT! ","")&amp;IF(AND($I2768&lt;&gt;"",COUNTIF(DM_DT!$A$7:$A$306,$I2768)=0),"Mã ĐT chưa khai báo! ","")))</f>
        <v/>
      </c>
      <c r="M2768" s="117">
        <f>IF($H2768="","",IF(AND(OR(LEFT($F2768,3)="111",LEFT($F2768,3)="112",LEFT($F2768,3)="113"),OR(LEFT($G2768,3)="111",LEFT($G2768,3)="112",LEFT($G2768,3)="113")),"NB",IF(OR(LEFT($F2768,3)="111",LEFT($F2768,3)="112",LEFT($F2768,3)="113"),"THU",IF(OR(LEFT($G2768,3)="111",LEFT($G2768,3)="112",LEFT($G2768,3)="113"),"CHI",""))))</f>
        <v/>
      </c>
      <c r="N2768" s="117">
        <f>IF($M2768="THU",$G2768,IF($M2768="CHI",$F2768,""))</f>
        <v/>
      </c>
      <c r="O2768" s="117">
        <f>IF(OR($M2768="",$M2768="NB"),"",IF($J2768&lt;&gt;"",TEXT($J2768,"00"),IFERROR(VLOOKUP(LEFT($N2768,4),LCTT_MAP!$A$7:$C$66,IF($M2768="THU",2,3),FALSE()),IFERROR(VLOOKUP(LEFT($N2768,3),LCTT_MAP!$A$7:$C$66,IF($M2768="THU",2,3),FALSE()),IFERROR(VLOOKUP(LEFT($N2768,2),LCTT_MAP!$A$7:$C$66,IF($M2768="THU",2,3),FALSE()),IFERROR(VLOOKUP(LEFT($N2768,1),LCTT_MAP!$A$7:$C$66,IF($M2768="THU",2,3),FALSE()),IF($M2768="THU","06","07")))))))</f>
        <v/>
      </c>
      <c r="P2768" s="117">
        <f>P2767+IF(AND($H2768&lt;&gt;"",OR(LEFT($F2768,LEN(SC_TK))=SC_TK,LEFT($G2768,LEN(SC_TK))=SC_TK)),1,0)</f>
        <v/>
      </c>
    </row>
    <row r="2769" ht="15" customHeight="1" s="78">
      <c r="A2769" s="95">
        <f>IF($H2769="","",ROW()-6)</f>
        <v/>
      </c>
      <c r="B2769" s="114" t="n"/>
      <c r="C2769" s="102" t="n"/>
      <c r="D2769" s="114" t="n"/>
      <c r="E2769" s="103" t="n"/>
      <c r="F2769" s="102" t="n"/>
      <c r="G2769" s="102" t="n"/>
      <c r="H2769" s="115" t="n"/>
      <c r="I2769" s="102" t="n"/>
      <c r="J2769" s="102" t="n"/>
      <c r="K2769" s="103" t="n"/>
      <c r="L2769" s="116">
        <f>IF($H2769="","",TRIM(IF(COUNTIF(DMTK!$A$7:$A$250,$F2769)=0,"TK Nợ sai! ","")&amp;IF(COUNTIF(DMTK!$A$7:$A$250,$G2769)=0,"TK Có sai! ","")&amp;IF(N($H2769)&lt;=0,"Tiền phải &gt; 0! ","")&amp;IF($B2769="","Thiếu ngày! ","")&amp;IF(AND(OR(LEFT($F2769,3)="131",LEFT($G2769,3)="131",LEFT($F2769,3)="331",LEFT($G2769,3)="331"),$I2769=""),"Thiếu Mã ĐT! ","")&amp;IF(AND($I2769&lt;&gt;"",COUNTIF(DM_DT!$A$7:$A$306,$I2769)=0),"Mã ĐT chưa khai báo! ","")))</f>
        <v/>
      </c>
      <c r="M2769" s="117">
        <f>IF($H2769="","",IF(AND(OR(LEFT($F2769,3)="111",LEFT($F2769,3)="112",LEFT($F2769,3)="113"),OR(LEFT($G2769,3)="111",LEFT($G2769,3)="112",LEFT($G2769,3)="113")),"NB",IF(OR(LEFT($F2769,3)="111",LEFT($F2769,3)="112",LEFT($F2769,3)="113"),"THU",IF(OR(LEFT($G2769,3)="111",LEFT($G2769,3)="112",LEFT($G2769,3)="113"),"CHI",""))))</f>
        <v/>
      </c>
      <c r="N2769" s="117">
        <f>IF($M2769="THU",$G2769,IF($M2769="CHI",$F2769,""))</f>
        <v/>
      </c>
      <c r="O2769" s="117">
        <f>IF(OR($M2769="",$M2769="NB"),"",IF($J2769&lt;&gt;"",TEXT($J2769,"00"),IFERROR(VLOOKUP(LEFT($N2769,4),LCTT_MAP!$A$7:$C$66,IF($M2769="THU",2,3),FALSE()),IFERROR(VLOOKUP(LEFT($N2769,3),LCTT_MAP!$A$7:$C$66,IF($M2769="THU",2,3),FALSE()),IFERROR(VLOOKUP(LEFT($N2769,2),LCTT_MAP!$A$7:$C$66,IF($M2769="THU",2,3),FALSE()),IFERROR(VLOOKUP(LEFT($N2769,1),LCTT_MAP!$A$7:$C$66,IF($M2769="THU",2,3),FALSE()),IF($M2769="THU","06","07")))))))</f>
        <v/>
      </c>
      <c r="P2769" s="117">
        <f>P2768+IF(AND($H2769&lt;&gt;"",OR(LEFT($F2769,LEN(SC_TK))=SC_TK,LEFT($G2769,LEN(SC_TK))=SC_TK)),1,0)</f>
        <v/>
      </c>
    </row>
    <row r="2770" ht="15" customHeight="1" s="78">
      <c r="A2770" s="95">
        <f>IF($H2770="","",ROW()-6)</f>
        <v/>
      </c>
      <c r="B2770" s="114" t="n"/>
      <c r="C2770" s="102" t="n"/>
      <c r="D2770" s="114" t="n"/>
      <c r="E2770" s="103" t="n"/>
      <c r="F2770" s="102" t="n"/>
      <c r="G2770" s="102" t="n"/>
      <c r="H2770" s="115" t="n"/>
      <c r="I2770" s="102" t="n"/>
      <c r="J2770" s="102" t="n"/>
      <c r="K2770" s="103" t="n"/>
      <c r="L2770" s="116">
        <f>IF($H2770="","",TRIM(IF(COUNTIF(DMTK!$A$7:$A$250,$F2770)=0,"TK Nợ sai! ","")&amp;IF(COUNTIF(DMTK!$A$7:$A$250,$G2770)=0,"TK Có sai! ","")&amp;IF(N($H2770)&lt;=0,"Tiền phải &gt; 0! ","")&amp;IF($B2770="","Thiếu ngày! ","")&amp;IF(AND(OR(LEFT($F2770,3)="131",LEFT($G2770,3)="131",LEFT($F2770,3)="331",LEFT($G2770,3)="331"),$I2770=""),"Thiếu Mã ĐT! ","")&amp;IF(AND($I2770&lt;&gt;"",COUNTIF(DM_DT!$A$7:$A$306,$I2770)=0),"Mã ĐT chưa khai báo! ","")))</f>
        <v/>
      </c>
      <c r="M2770" s="117">
        <f>IF($H2770="","",IF(AND(OR(LEFT($F2770,3)="111",LEFT($F2770,3)="112",LEFT($F2770,3)="113"),OR(LEFT($G2770,3)="111",LEFT($G2770,3)="112",LEFT($G2770,3)="113")),"NB",IF(OR(LEFT($F2770,3)="111",LEFT($F2770,3)="112",LEFT($F2770,3)="113"),"THU",IF(OR(LEFT($G2770,3)="111",LEFT($G2770,3)="112",LEFT($G2770,3)="113"),"CHI",""))))</f>
        <v/>
      </c>
      <c r="N2770" s="117">
        <f>IF($M2770="THU",$G2770,IF($M2770="CHI",$F2770,""))</f>
        <v/>
      </c>
      <c r="O2770" s="117">
        <f>IF(OR($M2770="",$M2770="NB"),"",IF($J2770&lt;&gt;"",TEXT($J2770,"00"),IFERROR(VLOOKUP(LEFT($N2770,4),LCTT_MAP!$A$7:$C$66,IF($M2770="THU",2,3),FALSE()),IFERROR(VLOOKUP(LEFT($N2770,3),LCTT_MAP!$A$7:$C$66,IF($M2770="THU",2,3),FALSE()),IFERROR(VLOOKUP(LEFT($N2770,2),LCTT_MAP!$A$7:$C$66,IF($M2770="THU",2,3),FALSE()),IFERROR(VLOOKUP(LEFT($N2770,1),LCTT_MAP!$A$7:$C$66,IF($M2770="THU",2,3),FALSE()),IF($M2770="THU","06","07")))))))</f>
        <v/>
      </c>
      <c r="P2770" s="117">
        <f>P2769+IF(AND($H2770&lt;&gt;"",OR(LEFT($F2770,LEN(SC_TK))=SC_TK,LEFT($G2770,LEN(SC_TK))=SC_TK)),1,0)</f>
        <v/>
      </c>
    </row>
    <row r="2771" ht="15" customHeight="1" s="78">
      <c r="A2771" s="95">
        <f>IF($H2771="","",ROW()-6)</f>
        <v/>
      </c>
      <c r="B2771" s="114" t="n"/>
      <c r="C2771" s="102" t="n"/>
      <c r="D2771" s="114" t="n"/>
      <c r="E2771" s="103" t="n"/>
      <c r="F2771" s="102" t="n"/>
      <c r="G2771" s="102" t="n"/>
      <c r="H2771" s="115" t="n"/>
      <c r="I2771" s="102" t="n"/>
      <c r="J2771" s="102" t="n"/>
      <c r="K2771" s="103" t="n"/>
      <c r="L2771" s="116">
        <f>IF($H2771="","",TRIM(IF(COUNTIF(DMTK!$A$7:$A$250,$F2771)=0,"TK Nợ sai! ","")&amp;IF(COUNTIF(DMTK!$A$7:$A$250,$G2771)=0,"TK Có sai! ","")&amp;IF(N($H2771)&lt;=0,"Tiền phải &gt; 0! ","")&amp;IF($B2771="","Thiếu ngày! ","")&amp;IF(AND(OR(LEFT($F2771,3)="131",LEFT($G2771,3)="131",LEFT($F2771,3)="331",LEFT($G2771,3)="331"),$I2771=""),"Thiếu Mã ĐT! ","")&amp;IF(AND($I2771&lt;&gt;"",COUNTIF(DM_DT!$A$7:$A$306,$I2771)=0),"Mã ĐT chưa khai báo! ","")))</f>
        <v/>
      </c>
      <c r="M2771" s="117">
        <f>IF($H2771="","",IF(AND(OR(LEFT($F2771,3)="111",LEFT($F2771,3)="112",LEFT($F2771,3)="113"),OR(LEFT($G2771,3)="111",LEFT($G2771,3)="112",LEFT($G2771,3)="113")),"NB",IF(OR(LEFT($F2771,3)="111",LEFT($F2771,3)="112",LEFT($F2771,3)="113"),"THU",IF(OR(LEFT($G2771,3)="111",LEFT($G2771,3)="112",LEFT($G2771,3)="113"),"CHI",""))))</f>
        <v/>
      </c>
      <c r="N2771" s="117">
        <f>IF($M2771="THU",$G2771,IF($M2771="CHI",$F2771,""))</f>
        <v/>
      </c>
      <c r="O2771" s="117">
        <f>IF(OR($M2771="",$M2771="NB"),"",IF($J2771&lt;&gt;"",TEXT($J2771,"00"),IFERROR(VLOOKUP(LEFT($N2771,4),LCTT_MAP!$A$7:$C$66,IF($M2771="THU",2,3),FALSE()),IFERROR(VLOOKUP(LEFT($N2771,3),LCTT_MAP!$A$7:$C$66,IF($M2771="THU",2,3),FALSE()),IFERROR(VLOOKUP(LEFT($N2771,2),LCTT_MAP!$A$7:$C$66,IF($M2771="THU",2,3),FALSE()),IFERROR(VLOOKUP(LEFT($N2771,1),LCTT_MAP!$A$7:$C$66,IF($M2771="THU",2,3),FALSE()),IF($M2771="THU","06","07")))))))</f>
        <v/>
      </c>
      <c r="P2771" s="117">
        <f>P2770+IF(AND($H2771&lt;&gt;"",OR(LEFT($F2771,LEN(SC_TK))=SC_TK,LEFT($G2771,LEN(SC_TK))=SC_TK)),1,0)</f>
        <v/>
      </c>
    </row>
    <row r="2772" ht="15" customHeight="1" s="78">
      <c r="A2772" s="95">
        <f>IF($H2772="","",ROW()-6)</f>
        <v/>
      </c>
      <c r="B2772" s="114" t="n"/>
      <c r="C2772" s="102" t="n"/>
      <c r="D2772" s="114" t="n"/>
      <c r="E2772" s="103" t="n"/>
      <c r="F2772" s="102" t="n"/>
      <c r="G2772" s="102" t="n"/>
      <c r="H2772" s="115" t="n"/>
      <c r="I2772" s="102" t="n"/>
      <c r="J2772" s="102" t="n"/>
      <c r="K2772" s="103" t="n"/>
      <c r="L2772" s="116">
        <f>IF($H2772="","",TRIM(IF(COUNTIF(DMTK!$A$7:$A$250,$F2772)=0,"TK Nợ sai! ","")&amp;IF(COUNTIF(DMTK!$A$7:$A$250,$G2772)=0,"TK Có sai! ","")&amp;IF(N($H2772)&lt;=0,"Tiền phải &gt; 0! ","")&amp;IF($B2772="","Thiếu ngày! ","")&amp;IF(AND(OR(LEFT($F2772,3)="131",LEFT($G2772,3)="131",LEFT($F2772,3)="331",LEFT($G2772,3)="331"),$I2772=""),"Thiếu Mã ĐT! ","")&amp;IF(AND($I2772&lt;&gt;"",COUNTIF(DM_DT!$A$7:$A$306,$I2772)=0),"Mã ĐT chưa khai báo! ","")))</f>
        <v/>
      </c>
      <c r="M2772" s="117">
        <f>IF($H2772="","",IF(AND(OR(LEFT($F2772,3)="111",LEFT($F2772,3)="112",LEFT($F2772,3)="113"),OR(LEFT($G2772,3)="111",LEFT($G2772,3)="112",LEFT($G2772,3)="113")),"NB",IF(OR(LEFT($F2772,3)="111",LEFT($F2772,3)="112",LEFT($F2772,3)="113"),"THU",IF(OR(LEFT($G2772,3)="111",LEFT($G2772,3)="112",LEFT($G2772,3)="113"),"CHI",""))))</f>
        <v/>
      </c>
      <c r="N2772" s="117">
        <f>IF($M2772="THU",$G2772,IF($M2772="CHI",$F2772,""))</f>
        <v/>
      </c>
      <c r="O2772" s="117">
        <f>IF(OR($M2772="",$M2772="NB"),"",IF($J2772&lt;&gt;"",TEXT($J2772,"00"),IFERROR(VLOOKUP(LEFT($N2772,4),LCTT_MAP!$A$7:$C$66,IF($M2772="THU",2,3),FALSE()),IFERROR(VLOOKUP(LEFT($N2772,3),LCTT_MAP!$A$7:$C$66,IF($M2772="THU",2,3),FALSE()),IFERROR(VLOOKUP(LEFT($N2772,2),LCTT_MAP!$A$7:$C$66,IF($M2772="THU",2,3),FALSE()),IFERROR(VLOOKUP(LEFT($N2772,1),LCTT_MAP!$A$7:$C$66,IF($M2772="THU",2,3),FALSE()),IF($M2772="THU","06","07")))))))</f>
        <v/>
      </c>
      <c r="P2772" s="117">
        <f>P2771+IF(AND($H2772&lt;&gt;"",OR(LEFT($F2772,LEN(SC_TK))=SC_TK,LEFT($G2772,LEN(SC_TK))=SC_TK)),1,0)</f>
        <v/>
      </c>
    </row>
    <row r="2773" ht="15" customHeight="1" s="78">
      <c r="A2773" s="95">
        <f>IF($H2773="","",ROW()-6)</f>
        <v/>
      </c>
      <c r="B2773" s="114" t="n"/>
      <c r="C2773" s="102" t="n"/>
      <c r="D2773" s="114" t="n"/>
      <c r="E2773" s="103" t="n"/>
      <c r="F2773" s="102" t="n"/>
      <c r="G2773" s="102" t="n"/>
      <c r="H2773" s="115" t="n"/>
      <c r="I2773" s="102" t="n"/>
      <c r="J2773" s="102" t="n"/>
      <c r="K2773" s="103" t="n"/>
      <c r="L2773" s="116">
        <f>IF($H2773="","",TRIM(IF(COUNTIF(DMTK!$A$7:$A$250,$F2773)=0,"TK Nợ sai! ","")&amp;IF(COUNTIF(DMTK!$A$7:$A$250,$G2773)=0,"TK Có sai! ","")&amp;IF(N($H2773)&lt;=0,"Tiền phải &gt; 0! ","")&amp;IF($B2773="","Thiếu ngày! ","")&amp;IF(AND(OR(LEFT($F2773,3)="131",LEFT($G2773,3)="131",LEFT($F2773,3)="331",LEFT($G2773,3)="331"),$I2773=""),"Thiếu Mã ĐT! ","")&amp;IF(AND($I2773&lt;&gt;"",COUNTIF(DM_DT!$A$7:$A$306,$I2773)=0),"Mã ĐT chưa khai báo! ","")))</f>
        <v/>
      </c>
      <c r="M2773" s="117">
        <f>IF($H2773="","",IF(AND(OR(LEFT($F2773,3)="111",LEFT($F2773,3)="112",LEFT($F2773,3)="113"),OR(LEFT($G2773,3)="111",LEFT($G2773,3)="112",LEFT($G2773,3)="113")),"NB",IF(OR(LEFT($F2773,3)="111",LEFT($F2773,3)="112",LEFT($F2773,3)="113"),"THU",IF(OR(LEFT($G2773,3)="111",LEFT($G2773,3)="112",LEFT($G2773,3)="113"),"CHI",""))))</f>
        <v/>
      </c>
      <c r="N2773" s="117">
        <f>IF($M2773="THU",$G2773,IF($M2773="CHI",$F2773,""))</f>
        <v/>
      </c>
      <c r="O2773" s="117">
        <f>IF(OR($M2773="",$M2773="NB"),"",IF($J2773&lt;&gt;"",TEXT($J2773,"00"),IFERROR(VLOOKUP(LEFT($N2773,4),LCTT_MAP!$A$7:$C$66,IF($M2773="THU",2,3),FALSE()),IFERROR(VLOOKUP(LEFT($N2773,3),LCTT_MAP!$A$7:$C$66,IF($M2773="THU",2,3),FALSE()),IFERROR(VLOOKUP(LEFT($N2773,2),LCTT_MAP!$A$7:$C$66,IF($M2773="THU",2,3),FALSE()),IFERROR(VLOOKUP(LEFT($N2773,1),LCTT_MAP!$A$7:$C$66,IF($M2773="THU",2,3),FALSE()),IF($M2773="THU","06","07")))))))</f>
        <v/>
      </c>
      <c r="P2773" s="117">
        <f>P2772+IF(AND($H2773&lt;&gt;"",OR(LEFT($F2773,LEN(SC_TK))=SC_TK,LEFT($G2773,LEN(SC_TK))=SC_TK)),1,0)</f>
        <v/>
      </c>
    </row>
    <row r="2774" ht="15" customHeight="1" s="78">
      <c r="A2774" s="95">
        <f>IF($H2774="","",ROW()-6)</f>
        <v/>
      </c>
      <c r="B2774" s="114" t="n"/>
      <c r="C2774" s="102" t="n"/>
      <c r="D2774" s="114" t="n"/>
      <c r="E2774" s="103" t="n"/>
      <c r="F2774" s="102" t="n"/>
      <c r="G2774" s="102" t="n"/>
      <c r="H2774" s="115" t="n"/>
      <c r="I2774" s="102" t="n"/>
      <c r="J2774" s="102" t="n"/>
      <c r="K2774" s="103" t="n"/>
      <c r="L2774" s="116">
        <f>IF($H2774="","",TRIM(IF(COUNTIF(DMTK!$A$7:$A$250,$F2774)=0,"TK Nợ sai! ","")&amp;IF(COUNTIF(DMTK!$A$7:$A$250,$G2774)=0,"TK Có sai! ","")&amp;IF(N($H2774)&lt;=0,"Tiền phải &gt; 0! ","")&amp;IF($B2774="","Thiếu ngày! ","")&amp;IF(AND(OR(LEFT($F2774,3)="131",LEFT($G2774,3)="131",LEFT($F2774,3)="331",LEFT($G2774,3)="331"),$I2774=""),"Thiếu Mã ĐT! ","")&amp;IF(AND($I2774&lt;&gt;"",COUNTIF(DM_DT!$A$7:$A$306,$I2774)=0),"Mã ĐT chưa khai báo! ","")))</f>
        <v/>
      </c>
      <c r="M2774" s="117">
        <f>IF($H2774="","",IF(AND(OR(LEFT($F2774,3)="111",LEFT($F2774,3)="112",LEFT($F2774,3)="113"),OR(LEFT($G2774,3)="111",LEFT($G2774,3)="112",LEFT($G2774,3)="113")),"NB",IF(OR(LEFT($F2774,3)="111",LEFT($F2774,3)="112",LEFT($F2774,3)="113"),"THU",IF(OR(LEFT($G2774,3)="111",LEFT($G2774,3)="112",LEFT($G2774,3)="113"),"CHI",""))))</f>
        <v/>
      </c>
      <c r="N2774" s="117">
        <f>IF($M2774="THU",$G2774,IF($M2774="CHI",$F2774,""))</f>
        <v/>
      </c>
      <c r="O2774" s="117">
        <f>IF(OR($M2774="",$M2774="NB"),"",IF($J2774&lt;&gt;"",TEXT($J2774,"00"),IFERROR(VLOOKUP(LEFT($N2774,4),LCTT_MAP!$A$7:$C$66,IF($M2774="THU",2,3),FALSE()),IFERROR(VLOOKUP(LEFT($N2774,3),LCTT_MAP!$A$7:$C$66,IF($M2774="THU",2,3),FALSE()),IFERROR(VLOOKUP(LEFT($N2774,2),LCTT_MAP!$A$7:$C$66,IF($M2774="THU",2,3),FALSE()),IFERROR(VLOOKUP(LEFT($N2774,1),LCTT_MAP!$A$7:$C$66,IF($M2774="THU",2,3),FALSE()),IF($M2774="THU","06","07")))))))</f>
        <v/>
      </c>
      <c r="P2774" s="117">
        <f>P2773+IF(AND($H2774&lt;&gt;"",OR(LEFT($F2774,LEN(SC_TK))=SC_TK,LEFT($G2774,LEN(SC_TK))=SC_TK)),1,0)</f>
        <v/>
      </c>
    </row>
    <row r="2775" ht="15" customHeight="1" s="78">
      <c r="A2775" s="95">
        <f>IF($H2775="","",ROW()-6)</f>
        <v/>
      </c>
      <c r="B2775" s="114" t="n"/>
      <c r="C2775" s="102" t="n"/>
      <c r="D2775" s="114" t="n"/>
      <c r="E2775" s="103" t="n"/>
      <c r="F2775" s="102" t="n"/>
      <c r="G2775" s="102" t="n"/>
      <c r="H2775" s="115" t="n"/>
      <c r="I2775" s="102" t="n"/>
      <c r="J2775" s="102" t="n"/>
      <c r="K2775" s="103" t="n"/>
      <c r="L2775" s="116">
        <f>IF($H2775="","",TRIM(IF(COUNTIF(DMTK!$A$7:$A$250,$F2775)=0,"TK Nợ sai! ","")&amp;IF(COUNTIF(DMTK!$A$7:$A$250,$G2775)=0,"TK Có sai! ","")&amp;IF(N($H2775)&lt;=0,"Tiền phải &gt; 0! ","")&amp;IF($B2775="","Thiếu ngày! ","")&amp;IF(AND(OR(LEFT($F2775,3)="131",LEFT($G2775,3)="131",LEFT($F2775,3)="331",LEFT($G2775,3)="331"),$I2775=""),"Thiếu Mã ĐT! ","")&amp;IF(AND($I2775&lt;&gt;"",COUNTIF(DM_DT!$A$7:$A$306,$I2775)=0),"Mã ĐT chưa khai báo! ","")))</f>
        <v/>
      </c>
      <c r="M2775" s="117">
        <f>IF($H2775="","",IF(AND(OR(LEFT($F2775,3)="111",LEFT($F2775,3)="112",LEFT($F2775,3)="113"),OR(LEFT($G2775,3)="111",LEFT($G2775,3)="112",LEFT($G2775,3)="113")),"NB",IF(OR(LEFT($F2775,3)="111",LEFT($F2775,3)="112",LEFT($F2775,3)="113"),"THU",IF(OR(LEFT($G2775,3)="111",LEFT($G2775,3)="112",LEFT($G2775,3)="113"),"CHI",""))))</f>
        <v/>
      </c>
      <c r="N2775" s="117">
        <f>IF($M2775="THU",$G2775,IF($M2775="CHI",$F2775,""))</f>
        <v/>
      </c>
      <c r="O2775" s="117">
        <f>IF(OR($M2775="",$M2775="NB"),"",IF($J2775&lt;&gt;"",TEXT($J2775,"00"),IFERROR(VLOOKUP(LEFT($N2775,4),LCTT_MAP!$A$7:$C$66,IF($M2775="THU",2,3),FALSE()),IFERROR(VLOOKUP(LEFT($N2775,3),LCTT_MAP!$A$7:$C$66,IF($M2775="THU",2,3),FALSE()),IFERROR(VLOOKUP(LEFT($N2775,2),LCTT_MAP!$A$7:$C$66,IF($M2775="THU",2,3),FALSE()),IFERROR(VLOOKUP(LEFT($N2775,1),LCTT_MAP!$A$7:$C$66,IF($M2775="THU",2,3),FALSE()),IF($M2775="THU","06","07")))))))</f>
        <v/>
      </c>
      <c r="P2775" s="117">
        <f>P2774+IF(AND($H2775&lt;&gt;"",OR(LEFT($F2775,LEN(SC_TK))=SC_TK,LEFT($G2775,LEN(SC_TK))=SC_TK)),1,0)</f>
        <v/>
      </c>
    </row>
    <row r="2776" ht="15" customHeight="1" s="78">
      <c r="A2776" s="95">
        <f>IF($H2776="","",ROW()-6)</f>
        <v/>
      </c>
      <c r="B2776" s="114" t="n"/>
      <c r="C2776" s="102" t="n"/>
      <c r="D2776" s="114" t="n"/>
      <c r="E2776" s="103" t="n"/>
      <c r="F2776" s="102" t="n"/>
      <c r="G2776" s="102" t="n"/>
      <c r="H2776" s="115" t="n"/>
      <c r="I2776" s="102" t="n"/>
      <c r="J2776" s="102" t="n"/>
      <c r="K2776" s="103" t="n"/>
      <c r="L2776" s="116">
        <f>IF($H2776="","",TRIM(IF(COUNTIF(DMTK!$A$7:$A$250,$F2776)=0,"TK Nợ sai! ","")&amp;IF(COUNTIF(DMTK!$A$7:$A$250,$G2776)=0,"TK Có sai! ","")&amp;IF(N($H2776)&lt;=0,"Tiền phải &gt; 0! ","")&amp;IF($B2776="","Thiếu ngày! ","")&amp;IF(AND(OR(LEFT($F2776,3)="131",LEFT($G2776,3)="131",LEFT($F2776,3)="331",LEFT($G2776,3)="331"),$I2776=""),"Thiếu Mã ĐT! ","")&amp;IF(AND($I2776&lt;&gt;"",COUNTIF(DM_DT!$A$7:$A$306,$I2776)=0),"Mã ĐT chưa khai báo! ","")))</f>
        <v/>
      </c>
      <c r="M2776" s="117">
        <f>IF($H2776="","",IF(AND(OR(LEFT($F2776,3)="111",LEFT($F2776,3)="112",LEFT($F2776,3)="113"),OR(LEFT($G2776,3)="111",LEFT($G2776,3)="112",LEFT($G2776,3)="113")),"NB",IF(OR(LEFT($F2776,3)="111",LEFT($F2776,3)="112",LEFT($F2776,3)="113"),"THU",IF(OR(LEFT($G2776,3)="111",LEFT($G2776,3)="112",LEFT($G2776,3)="113"),"CHI",""))))</f>
        <v/>
      </c>
      <c r="N2776" s="117">
        <f>IF($M2776="THU",$G2776,IF($M2776="CHI",$F2776,""))</f>
        <v/>
      </c>
      <c r="O2776" s="117">
        <f>IF(OR($M2776="",$M2776="NB"),"",IF($J2776&lt;&gt;"",TEXT($J2776,"00"),IFERROR(VLOOKUP(LEFT($N2776,4),LCTT_MAP!$A$7:$C$66,IF($M2776="THU",2,3),FALSE()),IFERROR(VLOOKUP(LEFT($N2776,3),LCTT_MAP!$A$7:$C$66,IF($M2776="THU",2,3),FALSE()),IFERROR(VLOOKUP(LEFT($N2776,2),LCTT_MAP!$A$7:$C$66,IF($M2776="THU",2,3),FALSE()),IFERROR(VLOOKUP(LEFT($N2776,1),LCTT_MAP!$A$7:$C$66,IF($M2776="THU",2,3),FALSE()),IF($M2776="THU","06","07")))))))</f>
        <v/>
      </c>
      <c r="P2776" s="117">
        <f>P2775+IF(AND($H2776&lt;&gt;"",OR(LEFT($F2776,LEN(SC_TK))=SC_TK,LEFT($G2776,LEN(SC_TK))=SC_TK)),1,0)</f>
        <v/>
      </c>
    </row>
    <row r="2777" ht="15" customHeight="1" s="78">
      <c r="A2777" s="95">
        <f>IF($H2777="","",ROW()-6)</f>
        <v/>
      </c>
      <c r="B2777" s="114" t="n"/>
      <c r="C2777" s="102" t="n"/>
      <c r="D2777" s="114" t="n"/>
      <c r="E2777" s="103" t="n"/>
      <c r="F2777" s="102" t="n"/>
      <c r="G2777" s="102" t="n"/>
      <c r="H2777" s="115" t="n"/>
      <c r="I2777" s="102" t="n"/>
      <c r="J2777" s="102" t="n"/>
      <c r="K2777" s="103" t="n"/>
      <c r="L2777" s="116">
        <f>IF($H2777="","",TRIM(IF(COUNTIF(DMTK!$A$7:$A$250,$F2777)=0,"TK Nợ sai! ","")&amp;IF(COUNTIF(DMTK!$A$7:$A$250,$G2777)=0,"TK Có sai! ","")&amp;IF(N($H2777)&lt;=0,"Tiền phải &gt; 0! ","")&amp;IF($B2777="","Thiếu ngày! ","")&amp;IF(AND(OR(LEFT($F2777,3)="131",LEFT($G2777,3)="131",LEFT($F2777,3)="331",LEFT($G2777,3)="331"),$I2777=""),"Thiếu Mã ĐT! ","")&amp;IF(AND($I2777&lt;&gt;"",COUNTIF(DM_DT!$A$7:$A$306,$I2777)=0),"Mã ĐT chưa khai báo! ","")))</f>
        <v/>
      </c>
      <c r="M2777" s="117">
        <f>IF($H2777="","",IF(AND(OR(LEFT($F2777,3)="111",LEFT($F2777,3)="112",LEFT($F2777,3)="113"),OR(LEFT($G2777,3)="111",LEFT($G2777,3)="112",LEFT($G2777,3)="113")),"NB",IF(OR(LEFT($F2777,3)="111",LEFT($F2777,3)="112",LEFT($F2777,3)="113"),"THU",IF(OR(LEFT($G2777,3)="111",LEFT($G2777,3)="112",LEFT($G2777,3)="113"),"CHI",""))))</f>
        <v/>
      </c>
      <c r="N2777" s="117">
        <f>IF($M2777="THU",$G2777,IF($M2777="CHI",$F2777,""))</f>
        <v/>
      </c>
      <c r="O2777" s="117">
        <f>IF(OR($M2777="",$M2777="NB"),"",IF($J2777&lt;&gt;"",TEXT($J2777,"00"),IFERROR(VLOOKUP(LEFT($N2777,4),LCTT_MAP!$A$7:$C$66,IF($M2777="THU",2,3),FALSE()),IFERROR(VLOOKUP(LEFT($N2777,3),LCTT_MAP!$A$7:$C$66,IF($M2777="THU",2,3),FALSE()),IFERROR(VLOOKUP(LEFT($N2777,2),LCTT_MAP!$A$7:$C$66,IF($M2777="THU",2,3),FALSE()),IFERROR(VLOOKUP(LEFT($N2777,1),LCTT_MAP!$A$7:$C$66,IF($M2777="THU",2,3),FALSE()),IF($M2777="THU","06","07")))))))</f>
        <v/>
      </c>
      <c r="P2777" s="117">
        <f>P2776+IF(AND($H2777&lt;&gt;"",OR(LEFT($F2777,LEN(SC_TK))=SC_TK,LEFT($G2777,LEN(SC_TK))=SC_TK)),1,0)</f>
        <v/>
      </c>
    </row>
    <row r="2778" ht="15" customHeight="1" s="78">
      <c r="A2778" s="95">
        <f>IF($H2778="","",ROW()-6)</f>
        <v/>
      </c>
      <c r="B2778" s="114" t="n"/>
      <c r="C2778" s="102" t="n"/>
      <c r="D2778" s="114" t="n"/>
      <c r="E2778" s="103" t="n"/>
      <c r="F2778" s="102" t="n"/>
      <c r="G2778" s="102" t="n"/>
      <c r="H2778" s="115" t="n"/>
      <c r="I2778" s="102" t="n"/>
      <c r="J2778" s="102" t="n"/>
      <c r="K2778" s="103" t="n"/>
      <c r="L2778" s="116">
        <f>IF($H2778="","",TRIM(IF(COUNTIF(DMTK!$A$7:$A$250,$F2778)=0,"TK Nợ sai! ","")&amp;IF(COUNTIF(DMTK!$A$7:$A$250,$G2778)=0,"TK Có sai! ","")&amp;IF(N($H2778)&lt;=0,"Tiền phải &gt; 0! ","")&amp;IF($B2778="","Thiếu ngày! ","")&amp;IF(AND(OR(LEFT($F2778,3)="131",LEFT($G2778,3)="131",LEFT($F2778,3)="331",LEFT($G2778,3)="331"),$I2778=""),"Thiếu Mã ĐT! ","")&amp;IF(AND($I2778&lt;&gt;"",COUNTIF(DM_DT!$A$7:$A$306,$I2778)=0),"Mã ĐT chưa khai báo! ","")))</f>
        <v/>
      </c>
      <c r="M2778" s="117">
        <f>IF($H2778="","",IF(AND(OR(LEFT($F2778,3)="111",LEFT($F2778,3)="112",LEFT($F2778,3)="113"),OR(LEFT($G2778,3)="111",LEFT($G2778,3)="112",LEFT($G2778,3)="113")),"NB",IF(OR(LEFT($F2778,3)="111",LEFT($F2778,3)="112",LEFT($F2778,3)="113"),"THU",IF(OR(LEFT($G2778,3)="111",LEFT($G2778,3)="112",LEFT($G2778,3)="113"),"CHI",""))))</f>
        <v/>
      </c>
      <c r="N2778" s="117">
        <f>IF($M2778="THU",$G2778,IF($M2778="CHI",$F2778,""))</f>
        <v/>
      </c>
      <c r="O2778" s="117">
        <f>IF(OR($M2778="",$M2778="NB"),"",IF($J2778&lt;&gt;"",TEXT($J2778,"00"),IFERROR(VLOOKUP(LEFT($N2778,4),LCTT_MAP!$A$7:$C$66,IF($M2778="THU",2,3),FALSE()),IFERROR(VLOOKUP(LEFT($N2778,3),LCTT_MAP!$A$7:$C$66,IF($M2778="THU",2,3),FALSE()),IFERROR(VLOOKUP(LEFT($N2778,2),LCTT_MAP!$A$7:$C$66,IF($M2778="THU",2,3),FALSE()),IFERROR(VLOOKUP(LEFT($N2778,1),LCTT_MAP!$A$7:$C$66,IF($M2778="THU",2,3),FALSE()),IF($M2778="THU","06","07")))))))</f>
        <v/>
      </c>
      <c r="P2778" s="117">
        <f>P2777+IF(AND($H2778&lt;&gt;"",OR(LEFT($F2778,LEN(SC_TK))=SC_TK,LEFT($G2778,LEN(SC_TK))=SC_TK)),1,0)</f>
        <v/>
      </c>
    </row>
    <row r="2779" ht="15" customHeight="1" s="78">
      <c r="A2779" s="95">
        <f>IF($H2779="","",ROW()-6)</f>
        <v/>
      </c>
      <c r="B2779" s="114" t="n"/>
      <c r="C2779" s="102" t="n"/>
      <c r="D2779" s="114" t="n"/>
      <c r="E2779" s="103" t="n"/>
      <c r="F2779" s="102" t="n"/>
      <c r="G2779" s="102" t="n"/>
      <c r="H2779" s="115" t="n"/>
      <c r="I2779" s="102" t="n"/>
      <c r="J2779" s="102" t="n"/>
      <c r="K2779" s="103" t="n"/>
      <c r="L2779" s="116">
        <f>IF($H2779="","",TRIM(IF(COUNTIF(DMTK!$A$7:$A$250,$F2779)=0,"TK Nợ sai! ","")&amp;IF(COUNTIF(DMTK!$A$7:$A$250,$G2779)=0,"TK Có sai! ","")&amp;IF(N($H2779)&lt;=0,"Tiền phải &gt; 0! ","")&amp;IF($B2779="","Thiếu ngày! ","")&amp;IF(AND(OR(LEFT($F2779,3)="131",LEFT($G2779,3)="131",LEFT($F2779,3)="331",LEFT($G2779,3)="331"),$I2779=""),"Thiếu Mã ĐT! ","")&amp;IF(AND($I2779&lt;&gt;"",COUNTIF(DM_DT!$A$7:$A$306,$I2779)=0),"Mã ĐT chưa khai báo! ","")))</f>
        <v/>
      </c>
      <c r="M2779" s="117">
        <f>IF($H2779="","",IF(AND(OR(LEFT($F2779,3)="111",LEFT($F2779,3)="112",LEFT($F2779,3)="113"),OR(LEFT($G2779,3)="111",LEFT($G2779,3)="112",LEFT($G2779,3)="113")),"NB",IF(OR(LEFT($F2779,3)="111",LEFT($F2779,3)="112",LEFT($F2779,3)="113"),"THU",IF(OR(LEFT($G2779,3)="111",LEFT($G2779,3)="112",LEFT($G2779,3)="113"),"CHI",""))))</f>
        <v/>
      </c>
      <c r="N2779" s="117">
        <f>IF($M2779="THU",$G2779,IF($M2779="CHI",$F2779,""))</f>
        <v/>
      </c>
      <c r="O2779" s="117">
        <f>IF(OR($M2779="",$M2779="NB"),"",IF($J2779&lt;&gt;"",TEXT($J2779,"00"),IFERROR(VLOOKUP(LEFT($N2779,4),LCTT_MAP!$A$7:$C$66,IF($M2779="THU",2,3),FALSE()),IFERROR(VLOOKUP(LEFT($N2779,3),LCTT_MAP!$A$7:$C$66,IF($M2779="THU",2,3),FALSE()),IFERROR(VLOOKUP(LEFT($N2779,2),LCTT_MAP!$A$7:$C$66,IF($M2779="THU",2,3),FALSE()),IFERROR(VLOOKUP(LEFT($N2779,1),LCTT_MAP!$A$7:$C$66,IF($M2779="THU",2,3),FALSE()),IF($M2779="THU","06","07")))))))</f>
        <v/>
      </c>
      <c r="P2779" s="117">
        <f>P2778+IF(AND($H2779&lt;&gt;"",OR(LEFT($F2779,LEN(SC_TK))=SC_TK,LEFT($G2779,LEN(SC_TK))=SC_TK)),1,0)</f>
        <v/>
      </c>
    </row>
    <row r="2780" ht="15" customHeight="1" s="78">
      <c r="A2780" s="95">
        <f>IF($H2780="","",ROW()-6)</f>
        <v/>
      </c>
      <c r="B2780" s="114" t="n"/>
      <c r="C2780" s="102" t="n"/>
      <c r="D2780" s="114" t="n"/>
      <c r="E2780" s="103" t="n"/>
      <c r="F2780" s="102" t="n"/>
      <c r="G2780" s="102" t="n"/>
      <c r="H2780" s="115" t="n"/>
      <c r="I2780" s="102" t="n"/>
      <c r="J2780" s="102" t="n"/>
      <c r="K2780" s="103" t="n"/>
      <c r="L2780" s="116">
        <f>IF($H2780="","",TRIM(IF(COUNTIF(DMTK!$A$7:$A$250,$F2780)=0,"TK Nợ sai! ","")&amp;IF(COUNTIF(DMTK!$A$7:$A$250,$G2780)=0,"TK Có sai! ","")&amp;IF(N($H2780)&lt;=0,"Tiền phải &gt; 0! ","")&amp;IF($B2780="","Thiếu ngày! ","")&amp;IF(AND(OR(LEFT($F2780,3)="131",LEFT($G2780,3)="131",LEFT($F2780,3)="331",LEFT($G2780,3)="331"),$I2780=""),"Thiếu Mã ĐT! ","")&amp;IF(AND($I2780&lt;&gt;"",COUNTIF(DM_DT!$A$7:$A$306,$I2780)=0),"Mã ĐT chưa khai báo! ","")))</f>
        <v/>
      </c>
      <c r="M2780" s="117">
        <f>IF($H2780="","",IF(AND(OR(LEFT($F2780,3)="111",LEFT($F2780,3)="112",LEFT($F2780,3)="113"),OR(LEFT($G2780,3)="111",LEFT($G2780,3)="112",LEFT($G2780,3)="113")),"NB",IF(OR(LEFT($F2780,3)="111",LEFT($F2780,3)="112",LEFT($F2780,3)="113"),"THU",IF(OR(LEFT($G2780,3)="111",LEFT($G2780,3)="112",LEFT($G2780,3)="113"),"CHI",""))))</f>
        <v/>
      </c>
      <c r="N2780" s="117">
        <f>IF($M2780="THU",$G2780,IF($M2780="CHI",$F2780,""))</f>
        <v/>
      </c>
      <c r="O2780" s="117">
        <f>IF(OR($M2780="",$M2780="NB"),"",IF($J2780&lt;&gt;"",TEXT($J2780,"00"),IFERROR(VLOOKUP(LEFT($N2780,4),LCTT_MAP!$A$7:$C$66,IF($M2780="THU",2,3),FALSE()),IFERROR(VLOOKUP(LEFT($N2780,3),LCTT_MAP!$A$7:$C$66,IF($M2780="THU",2,3),FALSE()),IFERROR(VLOOKUP(LEFT($N2780,2),LCTT_MAP!$A$7:$C$66,IF($M2780="THU",2,3),FALSE()),IFERROR(VLOOKUP(LEFT($N2780,1),LCTT_MAP!$A$7:$C$66,IF($M2780="THU",2,3),FALSE()),IF($M2780="THU","06","07")))))))</f>
        <v/>
      </c>
      <c r="P2780" s="117">
        <f>P2779+IF(AND($H2780&lt;&gt;"",OR(LEFT($F2780,LEN(SC_TK))=SC_TK,LEFT($G2780,LEN(SC_TK))=SC_TK)),1,0)</f>
        <v/>
      </c>
    </row>
    <row r="2781" ht="15" customHeight="1" s="78">
      <c r="A2781" s="95">
        <f>IF($H2781="","",ROW()-6)</f>
        <v/>
      </c>
      <c r="B2781" s="114" t="n"/>
      <c r="C2781" s="102" t="n"/>
      <c r="D2781" s="114" t="n"/>
      <c r="E2781" s="103" t="n"/>
      <c r="F2781" s="102" t="n"/>
      <c r="G2781" s="102" t="n"/>
      <c r="H2781" s="115" t="n"/>
      <c r="I2781" s="102" t="n"/>
      <c r="J2781" s="102" t="n"/>
      <c r="K2781" s="103" t="n"/>
      <c r="L2781" s="116">
        <f>IF($H2781="","",TRIM(IF(COUNTIF(DMTK!$A$7:$A$250,$F2781)=0,"TK Nợ sai! ","")&amp;IF(COUNTIF(DMTK!$A$7:$A$250,$G2781)=0,"TK Có sai! ","")&amp;IF(N($H2781)&lt;=0,"Tiền phải &gt; 0! ","")&amp;IF($B2781="","Thiếu ngày! ","")&amp;IF(AND(OR(LEFT($F2781,3)="131",LEFT($G2781,3)="131",LEFT($F2781,3)="331",LEFT($G2781,3)="331"),$I2781=""),"Thiếu Mã ĐT! ","")&amp;IF(AND($I2781&lt;&gt;"",COUNTIF(DM_DT!$A$7:$A$306,$I2781)=0),"Mã ĐT chưa khai báo! ","")))</f>
        <v/>
      </c>
      <c r="M2781" s="117">
        <f>IF($H2781="","",IF(AND(OR(LEFT($F2781,3)="111",LEFT($F2781,3)="112",LEFT($F2781,3)="113"),OR(LEFT($G2781,3)="111",LEFT($G2781,3)="112",LEFT($G2781,3)="113")),"NB",IF(OR(LEFT($F2781,3)="111",LEFT($F2781,3)="112",LEFT($F2781,3)="113"),"THU",IF(OR(LEFT($G2781,3)="111",LEFT($G2781,3)="112",LEFT($G2781,3)="113"),"CHI",""))))</f>
        <v/>
      </c>
      <c r="N2781" s="117">
        <f>IF($M2781="THU",$G2781,IF($M2781="CHI",$F2781,""))</f>
        <v/>
      </c>
      <c r="O2781" s="117">
        <f>IF(OR($M2781="",$M2781="NB"),"",IF($J2781&lt;&gt;"",TEXT($J2781,"00"),IFERROR(VLOOKUP(LEFT($N2781,4),LCTT_MAP!$A$7:$C$66,IF($M2781="THU",2,3),FALSE()),IFERROR(VLOOKUP(LEFT($N2781,3),LCTT_MAP!$A$7:$C$66,IF($M2781="THU",2,3),FALSE()),IFERROR(VLOOKUP(LEFT($N2781,2),LCTT_MAP!$A$7:$C$66,IF($M2781="THU",2,3),FALSE()),IFERROR(VLOOKUP(LEFT($N2781,1),LCTT_MAP!$A$7:$C$66,IF($M2781="THU",2,3),FALSE()),IF($M2781="THU","06","07")))))))</f>
        <v/>
      </c>
      <c r="P2781" s="117">
        <f>P2780+IF(AND($H2781&lt;&gt;"",OR(LEFT($F2781,LEN(SC_TK))=SC_TK,LEFT($G2781,LEN(SC_TK))=SC_TK)),1,0)</f>
        <v/>
      </c>
    </row>
    <row r="2782" ht="15" customHeight="1" s="78">
      <c r="A2782" s="95">
        <f>IF($H2782="","",ROW()-6)</f>
        <v/>
      </c>
      <c r="B2782" s="114" t="n"/>
      <c r="C2782" s="102" t="n"/>
      <c r="D2782" s="114" t="n"/>
      <c r="E2782" s="103" t="n"/>
      <c r="F2782" s="102" t="n"/>
      <c r="G2782" s="102" t="n"/>
      <c r="H2782" s="115" t="n"/>
      <c r="I2782" s="102" t="n"/>
      <c r="J2782" s="102" t="n"/>
      <c r="K2782" s="103" t="n"/>
      <c r="L2782" s="116">
        <f>IF($H2782="","",TRIM(IF(COUNTIF(DMTK!$A$7:$A$250,$F2782)=0,"TK Nợ sai! ","")&amp;IF(COUNTIF(DMTK!$A$7:$A$250,$G2782)=0,"TK Có sai! ","")&amp;IF(N($H2782)&lt;=0,"Tiền phải &gt; 0! ","")&amp;IF($B2782="","Thiếu ngày! ","")&amp;IF(AND(OR(LEFT($F2782,3)="131",LEFT($G2782,3)="131",LEFT($F2782,3)="331",LEFT($G2782,3)="331"),$I2782=""),"Thiếu Mã ĐT! ","")&amp;IF(AND($I2782&lt;&gt;"",COUNTIF(DM_DT!$A$7:$A$306,$I2782)=0),"Mã ĐT chưa khai báo! ","")))</f>
        <v/>
      </c>
      <c r="M2782" s="117">
        <f>IF($H2782="","",IF(AND(OR(LEFT($F2782,3)="111",LEFT($F2782,3)="112",LEFT($F2782,3)="113"),OR(LEFT($G2782,3)="111",LEFT($G2782,3)="112",LEFT($G2782,3)="113")),"NB",IF(OR(LEFT($F2782,3)="111",LEFT($F2782,3)="112",LEFT($F2782,3)="113"),"THU",IF(OR(LEFT($G2782,3)="111",LEFT($G2782,3)="112",LEFT($G2782,3)="113"),"CHI",""))))</f>
        <v/>
      </c>
      <c r="N2782" s="117">
        <f>IF($M2782="THU",$G2782,IF($M2782="CHI",$F2782,""))</f>
        <v/>
      </c>
      <c r="O2782" s="117">
        <f>IF(OR($M2782="",$M2782="NB"),"",IF($J2782&lt;&gt;"",TEXT($J2782,"00"),IFERROR(VLOOKUP(LEFT($N2782,4),LCTT_MAP!$A$7:$C$66,IF($M2782="THU",2,3),FALSE()),IFERROR(VLOOKUP(LEFT($N2782,3),LCTT_MAP!$A$7:$C$66,IF($M2782="THU",2,3),FALSE()),IFERROR(VLOOKUP(LEFT($N2782,2),LCTT_MAP!$A$7:$C$66,IF($M2782="THU",2,3),FALSE()),IFERROR(VLOOKUP(LEFT($N2782,1),LCTT_MAP!$A$7:$C$66,IF($M2782="THU",2,3),FALSE()),IF($M2782="THU","06","07")))))))</f>
        <v/>
      </c>
      <c r="P2782" s="117">
        <f>P2781+IF(AND($H2782&lt;&gt;"",OR(LEFT($F2782,LEN(SC_TK))=SC_TK,LEFT($G2782,LEN(SC_TK))=SC_TK)),1,0)</f>
        <v/>
      </c>
    </row>
    <row r="2783" ht="15" customHeight="1" s="78">
      <c r="A2783" s="95">
        <f>IF($H2783="","",ROW()-6)</f>
        <v/>
      </c>
      <c r="B2783" s="114" t="n"/>
      <c r="C2783" s="102" t="n"/>
      <c r="D2783" s="114" t="n"/>
      <c r="E2783" s="103" t="n"/>
      <c r="F2783" s="102" t="n"/>
      <c r="G2783" s="102" t="n"/>
      <c r="H2783" s="115" t="n"/>
      <c r="I2783" s="102" t="n"/>
      <c r="J2783" s="102" t="n"/>
      <c r="K2783" s="103" t="n"/>
      <c r="L2783" s="116">
        <f>IF($H2783="","",TRIM(IF(COUNTIF(DMTK!$A$7:$A$250,$F2783)=0,"TK Nợ sai! ","")&amp;IF(COUNTIF(DMTK!$A$7:$A$250,$G2783)=0,"TK Có sai! ","")&amp;IF(N($H2783)&lt;=0,"Tiền phải &gt; 0! ","")&amp;IF($B2783="","Thiếu ngày! ","")&amp;IF(AND(OR(LEFT($F2783,3)="131",LEFT($G2783,3)="131",LEFT($F2783,3)="331",LEFT($G2783,3)="331"),$I2783=""),"Thiếu Mã ĐT! ","")&amp;IF(AND($I2783&lt;&gt;"",COUNTIF(DM_DT!$A$7:$A$306,$I2783)=0),"Mã ĐT chưa khai báo! ","")))</f>
        <v/>
      </c>
      <c r="M2783" s="117">
        <f>IF($H2783="","",IF(AND(OR(LEFT($F2783,3)="111",LEFT($F2783,3)="112",LEFT($F2783,3)="113"),OR(LEFT($G2783,3)="111",LEFT($G2783,3)="112",LEFT($G2783,3)="113")),"NB",IF(OR(LEFT($F2783,3)="111",LEFT($F2783,3)="112",LEFT($F2783,3)="113"),"THU",IF(OR(LEFT($G2783,3)="111",LEFT($G2783,3)="112",LEFT($G2783,3)="113"),"CHI",""))))</f>
        <v/>
      </c>
      <c r="N2783" s="117">
        <f>IF($M2783="THU",$G2783,IF($M2783="CHI",$F2783,""))</f>
        <v/>
      </c>
      <c r="O2783" s="117">
        <f>IF(OR($M2783="",$M2783="NB"),"",IF($J2783&lt;&gt;"",TEXT($J2783,"00"),IFERROR(VLOOKUP(LEFT($N2783,4),LCTT_MAP!$A$7:$C$66,IF($M2783="THU",2,3),FALSE()),IFERROR(VLOOKUP(LEFT($N2783,3),LCTT_MAP!$A$7:$C$66,IF($M2783="THU",2,3),FALSE()),IFERROR(VLOOKUP(LEFT($N2783,2),LCTT_MAP!$A$7:$C$66,IF($M2783="THU",2,3),FALSE()),IFERROR(VLOOKUP(LEFT($N2783,1),LCTT_MAP!$A$7:$C$66,IF($M2783="THU",2,3),FALSE()),IF($M2783="THU","06","07")))))))</f>
        <v/>
      </c>
      <c r="P2783" s="117">
        <f>P2782+IF(AND($H2783&lt;&gt;"",OR(LEFT($F2783,LEN(SC_TK))=SC_TK,LEFT($G2783,LEN(SC_TK))=SC_TK)),1,0)</f>
        <v/>
      </c>
    </row>
    <row r="2784" ht="15" customHeight="1" s="78">
      <c r="A2784" s="95">
        <f>IF($H2784="","",ROW()-6)</f>
        <v/>
      </c>
      <c r="B2784" s="114" t="n"/>
      <c r="C2784" s="102" t="n"/>
      <c r="D2784" s="114" t="n"/>
      <c r="E2784" s="103" t="n"/>
      <c r="F2784" s="102" t="n"/>
      <c r="G2784" s="102" t="n"/>
      <c r="H2784" s="115" t="n"/>
      <c r="I2784" s="102" t="n"/>
      <c r="J2784" s="102" t="n"/>
      <c r="K2784" s="103" t="n"/>
      <c r="L2784" s="116">
        <f>IF($H2784="","",TRIM(IF(COUNTIF(DMTK!$A$7:$A$250,$F2784)=0,"TK Nợ sai! ","")&amp;IF(COUNTIF(DMTK!$A$7:$A$250,$G2784)=0,"TK Có sai! ","")&amp;IF(N($H2784)&lt;=0,"Tiền phải &gt; 0! ","")&amp;IF($B2784="","Thiếu ngày! ","")&amp;IF(AND(OR(LEFT($F2784,3)="131",LEFT($G2784,3)="131",LEFT($F2784,3)="331",LEFT($G2784,3)="331"),$I2784=""),"Thiếu Mã ĐT! ","")&amp;IF(AND($I2784&lt;&gt;"",COUNTIF(DM_DT!$A$7:$A$306,$I2784)=0),"Mã ĐT chưa khai báo! ","")))</f>
        <v/>
      </c>
      <c r="M2784" s="117">
        <f>IF($H2784="","",IF(AND(OR(LEFT($F2784,3)="111",LEFT($F2784,3)="112",LEFT($F2784,3)="113"),OR(LEFT($G2784,3)="111",LEFT($G2784,3)="112",LEFT($G2784,3)="113")),"NB",IF(OR(LEFT($F2784,3)="111",LEFT($F2784,3)="112",LEFT($F2784,3)="113"),"THU",IF(OR(LEFT($G2784,3)="111",LEFT($G2784,3)="112",LEFT($G2784,3)="113"),"CHI",""))))</f>
        <v/>
      </c>
      <c r="N2784" s="117">
        <f>IF($M2784="THU",$G2784,IF($M2784="CHI",$F2784,""))</f>
        <v/>
      </c>
      <c r="O2784" s="117">
        <f>IF(OR($M2784="",$M2784="NB"),"",IF($J2784&lt;&gt;"",TEXT($J2784,"00"),IFERROR(VLOOKUP(LEFT($N2784,4),LCTT_MAP!$A$7:$C$66,IF($M2784="THU",2,3),FALSE()),IFERROR(VLOOKUP(LEFT($N2784,3),LCTT_MAP!$A$7:$C$66,IF($M2784="THU",2,3),FALSE()),IFERROR(VLOOKUP(LEFT($N2784,2),LCTT_MAP!$A$7:$C$66,IF($M2784="THU",2,3),FALSE()),IFERROR(VLOOKUP(LEFT($N2784,1),LCTT_MAP!$A$7:$C$66,IF($M2784="THU",2,3),FALSE()),IF($M2784="THU","06","07")))))))</f>
        <v/>
      </c>
      <c r="P2784" s="117">
        <f>P2783+IF(AND($H2784&lt;&gt;"",OR(LEFT($F2784,LEN(SC_TK))=SC_TK,LEFT($G2784,LEN(SC_TK))=SC_TK)),1,0)</f>
        <v/>
      </c>
    </row>
    <row r="2785" ht="15" customHeight="1" s="78">
      <c r="A2785" s="95">
        <f>IF($H2785="","",ROW()-6)</f>
        <v/>
      </c>
      <c r="B2785" s="114" t="n"/>
      <c r="C2785" s="102" t="n"/>
      <c r="D2785" s="114" t="n"/>
      <c r="E2785" s="103" t="n"/>
      <c r="F2785" s="102" t="n"/>
      <c r="G2785" s="102" t="n"/>
      <c r="H2785" s="115" t="n"/>
      <c r="I2785" s="102" t="n"/>
      <c r="J2785" s="102" t="n"/>
      <c r="K2785" s="103" t="n"/>
      <c r="L2785" s="116">
        <f>IF($H2785="","",TRIM(IF(COUNTIF(DMTK!$A$7:$A$250,$F2785)=0,"TK Nợ sai! ","")&amp;IF(COUNTIF(DMTK!$A$7:$A$250,$G2785)=0,"TK Có sai! ","")&amp;IF(N($H2785)&lt;=0,"Tiền phải &gt; 0! ","")&amp;IF($B2785="","Thiếu ngày! ","")&amp;IF(AND(OR(LEFT($F2785,3)="131",LEFT($G2785,3)="131",LEFT($F2785,3)="331",LEFT($G2785,3)="331"),$I2785=""),"Thiếu Mã ĐT! ","")&amp;IF(AND($I2785&lt;&gt;"",COUNTIF(DM_DT!$A$7:$A$306,$I2785)=0),"Mã ĐT chưa khai báo! ","")))</f>
        <v/>
      </c>
      <c r="M2785" s="117">
        <f>IF($H2785="","",IF(AND(OR(LEFT($F2785,3)="111",LEFT($F2785,3)="112",LEFT($F2785,3)="113"),OR(LEFT($G2785,3)="111",LEFT($G2785,3)="112",LEFT($G2785,3)="113")),"NB",IF(OR(LEFT($F2785,3)="111",LEFT($F2785,3)="112",LEFT($F2785,3)="113"),"THU",IF(OR(LEFT($G2785,3)="111",LEFT($G2785,3)="112",LEFT($G2785,3)="113"),"CHI",""))))</f>
        <v/>
      </c>
      <c r="N2785" s="117">
        <f>IF($M2785="THU",$G2785,IF($M2785="CHI",$F2785,""))</f>
        <v/>
      </c>
      <c r="O2785" s="117">
        <f>IF(OR($M2785="",$M2785="NB"),"",IF($J2785&lt;&gt;"",TEXT($J2785,"00"),IFERROR(VLOOKUP(LEFT($N2785,4),LCTT_MAP!$A$7:$C$66,IF($M2785="THU",2,3),FALSE()),IFERROR(VLOOKUP(LEFT($N2785,3),LCTT_MAP!$A$7:$C$66,IF($M2785="THU",2,3),FALSE()),IFERROR(VLOOKUP(LEFT($N2785,2),LCTT_MAP!$A$7:$C$66,IF($M2785="THU",2,3),FALSE()),IFERROR(VLOOKUP(LEFT($N2785,1),LCTT_MAP!$A$7:$C$66,IF($M2785="THU",2,3),FALSE()),IF($M2785="THU","06","07")))))))</f>
        <v/>
      </c>
      <c r="P2785" s="117">
        <f>P2784+IF(AND($H2785&lt;&gt;"",OR(LEFT($F2785,LEN(SC_TK))=SC_TK,LEFT($G2785,LEN(SC_TK))=SC_TK)),1,0)</f>
        <v/>
      </c>
    </row>
    <row r="2786" ht="15" customHeight="1" s="78">
      <c r="A2786" s="95">
        <f>IF($H2786="","",ROW()-6)</f>
        <v/>
      </c>
      <c r="B2786" s="114" t="n"/>
      <c r="C2786" s="102" t="n"/>
      <c r="D2786" s="114" t="n"/>
      <c r="E2786" s="103" t="n"/>
      <c r="F2786" s="102" t="n"/>
      <c r="G2786" s="102" t="n"/>
      <c r="H2786" s="115" t="n"/>
      <c r="I2786" s="102" t="n"/>
      <c r="J2786" s="102" t="n"/>
      <c r="K2786" s="103" t="n"/>
      <c r="L2786" s="116">
        <f>IF($H2786="","",TRIM(IF(COUNTIF(DMTK!$A$7:$A$250,$F2786)=0,"TK Nợ sai! ","")&amp;IF(COUNTIF(DMTK!$A$7:$A$250,$G2786)=0,"TK Có sai! ","")&amp;IF(N($H2786)&lt;=0,"Tiền phải &gt; 0! ","")&amp;IF($B2786="","Thiếu ngày! ","")&amp;IF(AND(OR(LEFT($F2786,3)="131",LEFT($G2786,3)="131",LEFT($F2786,3)="331",LEFT($G2786,3)="331"),$I2786=""),"Thiếu Mã ĐT! ","")&amp;IF(AND($I2786&lt;&gt;"",COUNTIF(DM_DT!$A$7:$A$306,$I2786)=0),"Mã ĐT chưa khai báo! ","")))</f>
        <v/>
      </c>
      <c r="M2786" s="117">
        <f>IF($H2786="","",IF(AND(OR(LEFT($F2786,3)="111",LEFT($F2786,3)="112",LEFT($F2786,3)="113"),OR(LEFT($G2786,3)="111",LEFT($G2786,3)="112",LEFT($G2786,3)="113")),"NB",IF(OR(LEFT($F2786,3)="111",LEFT($F2786,3)="112",LEFT($F2786,3)="113"),"THU",IF(OR(LEFT($G2786,3)="111",LEFT($G2786,3)="112",LEFT($G2786,3)="113"),"CHI",""))))</f>
        <v/>
      </c>
      <c r="N2786" s="117">
        <f>IF($M2786="THU",$G2786,IF($M2786="CHI",$F2786,""))</f>
        <v/>
      </c>
      <c r="O2786" s="117">
        <f>IF(OR($M2786="",$M2786="NB"),"",IF($J2786&lt;&gt;"",TEXT($J2786,"00"),IFERROR(VLOOKUP(LEFT($N2786,4),LCTT_MAP!$A$7:$C$66,IF($M2786="THU",2,3),FALSE()),IFERROR(VLOOKUP(LEFT($N2786,3),LCTT_MAP!$A$7:$C$66,IF($M2786="THU",2,3),FALSE()),IFERROR(VLOOKUP(LEFT($N2786,2),LCTT_MAP!$A$7:$C$66,IF($M2786="THU",2,3),FALSE()),IFERROR(VLOOKUP(LEFT($N2786,1),LCTT_MAP!$A$7:$C$66,IF($M2786="THU",2,3),FALSE()),IF($M2786="THU","06","07")))))))</f>
        <v/>
      </c>
      <c r="P2786" s="117">
        <f>P2785+IF(AND($H2786&lt;&gt;"",OR(LEFT($F2786,LEN(SC_TK))=SC_TK,LEFT($G2786,LEN(SC_TK))=SC_TK)),1,0)</f>
        <v/>
      </c>
    </row>
    <row r="2787" ht="15" customHeight="1" s="78">
      <c r="A2787" s="95">
        <f>IF($H2787="","",ROW()-6)</f>
        <v/>
      </c>
      <c r="B2787" s="114" t="n"/>
      <c r="C2787" s="102" t="n"/>
      <c r="D2787" s="114" t="n"/>
      <c r="E2787" s="103" t="n"/>
      <c r="F2787" s="102" t="n"/>
      <c r="G2787" s="102" t="n"/>
      <c r="H2787" s="115" t="n"/>
      <c r="I2787" s="102" t="n"/>
      <c r="J2787" s="102" t="n"/>
      <c r="K2787" s="103" t="n"/>
      <c r="L2787" s="116">
        <f>IF($H2787="","",TRIM(IF(COUNTIF(DMTK!$A$7:$A$250,$F2787)=0,"TK Nợ sai! ","")&amp;IF(COUNTIF(DMTK!$A$7:$A$250,$G2787)=0,"TK Có sai! ","")&amp;IF(N($H2787)&lt;=0,"Tiền phải &gt; 0! ","")&amp;IF($B2787="","Thiếu ngày! ","")&amp;IF(AND(OR(LEFT($F2787,3)="131",LEFT($G2787,3)="131",LEFT($F2787,3)="331",LEFT($G2787,3)="331"),$I2787=""),"Thiếu Mã ĐT! ","")&amp;IF(AND($I2787&lt;&gt;"",COUNTIF(DM_DT!$A$7:$A$306,$I2787)=0),"Mã ĐT chưa khai báo! ","")))</f>
        <v/>
      </c>
      <c r="M2787" s="117">
        <f>IF($H2787="","",IF(AND(OR(LEFT($F2787,3)="111",LEFT($F2787,3)="112",LEFT($F2787,3)="113"),OR(LEFT($G2787,3)="111",LEFT($G2787,3)="112",LEFT($G2787,3)="113")),"NB",IF(OR(LEFT($F2787,3)="111",LEFT($F2787,3)="112",LEFT($F2787,3)="113"),"THU",IF(OR(LEFT($G2787,3)="111",LEFT($G2787,3)="112",LEFT($G2787,3)="113"),"CHI",""))))</f>
        <v/>
      </c>
      <c r="N2787" s="117">
        <f>IF($M2787="THU",$G2787,IF($M2787="CHI",$F2787,""))</f>
        <v/>
      </c>
      <c r="O2787" s="117">
        <f>IF(OR($M2787="",$M2787="NB"),"",IF($J2787&lt;&gt;"",TEXT($J2787,"00"),IFERROR(VLOOKUP(LEFT($N2787,4),LCTT_MAP!$A$7:$C$66,IF($M2787="THU",2,3),FALSE()),IFERROR(VLOOKUP(LEFT($N2787,3),LCTT_MAP!$A$7:$C$66,IF($M2787="THU",2,3),FALSE()),IFERROR(VLOOKUP(LEFT($N2787,2),LCTT_MAP!$A$7:$C$66,IF($M2787="THU",2,3),FALSE()),IFERROR(VLOOKUP(LEFT($N2787,1),LCTT_MAP!$A$7:$C$66,IF($M2787="THU",2,3),FALSE()),IF($M2787="THU","06","07")))))))</f>
        <v/>
      </c>
      <c r="P2787" s="117">
        <f>P2786+IF(AND($H2787&lt;&gt;"",OR(LEFT($F2787,LEN(SC_TK))=SC_TK,LEFT($G2787,LEN(SC_TK))=SC_TK)),1,0)</f>
        <v/>
      </c>
    </row>
    <row r="2788" ht="15" customHeight="1" s="78">
      <c r="A2788" s="95">
        <f>IF($H2788="","",ROW()-6)</f>
        <v/>
      </c>
      <c r="B2788" s="114" t="n"/>
      <c r="C2788" s="102" t="n"/>
      <c r="D2788" s="114" t="n"/>
      <c r="E2788" s="103" t="n"/>
      <c r="F2788" s="102" t="n"/>
      <c r="G2788" s="102" t="n"/>
      <c r="H2788" s="115" t="n"/>
      <c r="I2788" s="102" t="n"/>
      <c r="J2788" s="102" t="n"/>
      <c r="K2788" s="103" t="n"/>
      <c r="L2788" s="116">
        <f>IF($H2788="","",TRIM(IF(COUNTIF(DMTK!$A$7:$A$250,$F2788)=0,"TK Nợ sai! ","")&amp;IF(COUNTIF(DMTK!$A$7:$A$250,$G2788)=0,"TK Có sai! ","")&amp;IF(N($H2788)&lt;=0,"Tiền phải &gt; 0! ","")&amp;IF($B2788="","Thiếu ngày! ","")&amp;IF(AND(OR(LEFT($F2788,3)="131",LEFT($G2788,3)="131",LEFT($F2788,3)="331",LEFT($G2788,3)="331"),$I2788=""),"Thiếu Mã ĐT! ","")&amp;IF(AND($I2788&lt;&gt;"",COUNTIF(DM_DT!$A$7:$A$306,$I2788)=0),"Mã ĐT chưa khai báo! ","")))</f>
        <v/>
      </c>
      <c r="M2788" s="117">
        <f>IF($H2788="","",IF(AND(OR(LEFT($F2788,3)="111",LEFT($F2788,3)="112",LEFT($F2788,3)="113"),OR(LEFT($G2788,3)="111",LEFT($G2788,3)="112",LEFT($G2788,3)="113")),"NB",IF(OR(LEFT($F2788,3)="111",LEFT($F2788,3)="112",LEFT($F2788,3)="113"),"THU",IF(OR(LEFT($G2788,3)="111",LEFT($G2788,3)="112",LEFT($G2788,3)="113"),"CHI",""))))</f>
        <v/>
      </c>
      <c r="N2788" s="117">
        <f>IF($M2788="THU",$G2788,IF($M2788="CHI",$F2788,""))</f>
        <v/>
      </c>
      <c r="O2788" s="117">
        <f>IF(OR($M2788="",$M2788="NB"),"",IF($J2788&lt;&gt;"",TEXT($J2788,"00"),IFERROR(VLOOKUP(LEFT($N2788,4),LCTT_MAP!$A$7:$C$66,IF($M2788="THU",2,3),FALSE()),IFERROR(VLOOKUP(LEFT($N2788,3),LCTT_MAP!$A$7:$C$66,IF($M2788="THU",2,3),FALSE()),IFERROR(VLOOKUP(LEFT($N2788,2),LCTT_MAP!$A$7:$C$66,IF($M2788="THU",2,3),FALSE()),IFERROR(VLOOKUP(LEFT($N2788,1),LCTT_MAP!$A$7:$C$66,IF($M2788="THU",2,3),FALSE()),IF($M2788="THU","06","07")))))))</f>
        <v/>
      </c>
      <c r="P2788" s="117">
        <f>P2787+IF(AND($H2788&lt;&gt;"",OR(LEFT($F2788,LEN(SC_TK))=SC_TK,LEFT($G2788,LEN(SC_TK))=SC_TK)),1,0)</f>
        <v/>
      </c>
    </row>
    <row r="2789" ht="15" customHeight="1" s="78">
      <c r="A2789" s="95">
        <f>IF($H2789="","",ROW()-6)</f>
        <v/>
      </c>
      <c r="B2789" s="114" t="n"/>
      <c r="C2789" s="102" t="n"/>
      <c r="D2789" s="114" t="n"/>
      <c r="E2789" s="103" t="n"/>
      <c r="F2789" s="102" t="n"/>
      <c r="G2789" s="102" t="n"/>
      <c r="H2789" s="115" t="n"/>
      <c r="I2789" s="102" t="n"/>
      <c r="J2789" s="102" t="n"/>
      <c r="K2789" s="103" t="n"/>
      <c r="L2789" s="116">
        <f>IF($H2789="","",TRIM(IF(COUNTIF(DMTK!$A$7:$A$250,$F2789)=0,"TK Nợ sai! ","")&amp;IF(COUNTIF(DMTK!$A$7:$A$250,$G2789)=0,"TK Có sai! ","")&amp;IF(N($H2789)&lt;=0,"Tiền phải &gt; 0! ","")&amp;IF($B2789="","Thiếu ngày! ","")&amp;IF(AND(OR(LEFT($F2789,3)="131",LEFT($G2789,3)="131",LEFT($F2789,3)="331",LEFT($G2789,3)="331"),$I2789=""),"Thiếu Mã ĐT! ","")&amp;IF(AND($I2789&lt;&gt;"",COUNTIF(DM_DT!$A$7:$A$306,$I2789)=0),"Mã ĐT chưa khai báo! ","")))</f>
        <v/>
      </c>
      <c r="M2789" s="117">
        <f>IF($H2789="","",IF(AND(OR(LEFT($F2789,3)="111",LEFT($F2789,3)="112",LEFT($F2789,3)="113"),OR(LEFT($G2789,3)="111",LEFT($G2789,3)="112",LEFT($G2789,3)="113")),"NB",IF(OR(LEFT($F2789,3)="111",LEFT($F2789,3)="112",LEFT($F2789,3)="113"),"THU",IF(OR(LEFT($G2789,3)="111",LEFT($G2789,3)="112",LEFT($G2789,3)="113"),"CHI",""))))</f>
        <v/>
      </c>
      <c r="N2789" s="117">
        <f>IF($M2789="THU",$G2789,IF($M2789="CHI",$F2789,""))</f>
        <v/>
      </c>
      <c r="O2789" s="117">
        <f>IF(OR($M2789="",$M2789="NB"),"",IF($J2789&lt;&gt;"",TEXT($J2789,"00"),IFERROR(VLOOKUP(LEFT($N2789,4),LCTT_MAP!$A$7:$C$66,IF($M2789="THU",2,3),FALSE()),IFERROR(VLOOKUP(LEFT($N2789,3),LCTT_MAP!$A$7:$C$66,IF($M2789="THU",2,3),FALSE()),IFERROR(VLOOKUP(LEFT($N2789,2),LCTT_MAP!$A$7:$C$66,IF($M2789="THU",2,3),FALSE()),IFERROR(VLOOKUP(LEFT($N2789,1),LCTT_MAP!$A$7:$C$66,IF($M2789="THU",2,3),FALSE()),IF($M2789="THU","06","07")))))))</f>
        <v/>
      </c>
      <c r="P2789" s="117">
        <f>P2788+IF(AND($H2789&lt;&gt;"",OR(LEFT($F2789,LEN(SC_TK))=SC_TK,LEFT($G2789,LEN(SC_TK))=SC_TK)),1,0)</f>
        <v/>
      </c>
    </row>
    <row r="2790" ht="15" customHeight="1" s="78">
      <c r="A2790" s="95">
        <f>IF($H2790="","",ROW()-6)</f>
        <v/>
      </c>
      <c r="B2790" s="114" t="n"/>
      <c r="C2790" s="102" t="n"/>
      <c r="D2790" s="114" t="n"/>
      <c r="E2790" s="103" t="n"/>
      <c r="F2790" s="102" t="n"/>
      <c r="G2790" s="102" t="n"/>
      <c r="H2790" s="115" t="n"/>
      <c r="I2790" s="102" t="n"/>
      <c r="J2790" s="102" t="n"/>
      <c r="K2790" s="103" t="n"/>
      <c r="L2790" s="116">
        <f>IF($H2790="","",TRIM(IF(COUNTIF(DMTK!$A$7:$A$250,$F2790)=0,"TK Nợ sai! ","")&amp;IF(COUNTIF(DMTK!$A$7:$A$250,$G2790)=0,"TK Có sai! ","")&amp;IF(N($H2790)&lt;=0,"Tiền phải &gt; 0! ","")&amp;IF($B2790="","Thiếu ngày! ","")&amp;IF(AND(OR(LEFT($F2790,3)="131",LEFT($G2790,3)="131",LEFT($F2790,3)="331",LEFT($G2790,3)="331"),$I2790=""),"Thiếu Mã ĐT! ","")&amp;IF(AND($I2790&lt;&gt;"",COUNTIF(DM_DT!$A$7:$A$306,$I2790)=0),"Mã ĐT chưa khai báo! ","")))</f>
        <v/>
      </c>
      <c r="M2790" s="117">
        <f>IF($H2790="","",IF(AND(OR(LEFT($F2790,3)="111",LEFT($F2790,3)="112",LEFT($F2790,3)="113"),OR(LEFT($G2790,3)="111",LEFT($G2790,3)="112",LEFT($G2790,3)="113")),"NB",IF(OR(LEFT($F2790,3)="111",LEFT($F2790,3)="112",LEFT($F2790,3)="113"),"THU",IF(OR(LEFT($G2790,3)="111",LEFT($G2790,3)="112",LEFT($G2790,3)="113"),"CHI",""))))</f>
        <v/>
      </c>
      <c r="N2790" s="117">
        <f>IF($M2790="THU",$G2790,IF($M2790="CHI",$F2790,""))</f>
        <v/>
      </c>
      <c r="O2790" s="117">
        <f>IF(OR($M2790="",$M2790="NB"),"",IF($J2790&lt;&gt;"",TEXT($J2790,"00"),IFERROR(VLOOKUP(LEFT($N2790,4),LCTT_MAP!$A$7:$C$66,IF($M2790="THU",2,3),FALSE()),IFERROR(VLOOKUP(LEFT($N2790,3),LCTT_MAP!$A$7:$C$66,IF($M2790="THU",2,3),FALSE()),IFERROR(VLOOKUP(LEFT($N2790,2),LCTT_MAP!$A$7:$C$66,IF($M2790="THU",2,3),FALSE()),IFERROR(VLOOKUP(LEFT($N2790,1),LCTT_MAP!$A$7:$C$66,IF($M2790="THU",2,3),FALSE()),IF($M2790="THU","06","07")))))))</f>
        <v/>
      </c>
      <c r="P2790" s="117">
        <f>P2789+IF(AND($H2790&lt;&gt;"",OR(LEFT($F2790,LEN(SC_TK))=SC_TK,LEFT($G2790,LEN(SC_TK))=SC_TK)),1,0)</f>
        <v/>
      </c>
    </row>
    <row r="2791" ht="15" customHeight="1" s="78">
      <c r="A2791" s="95">
        <f>IF($H2791="","",ROW()-6)</f>
        <v/>
      </c>
      <c r="B2791" s="114" t="n"/>
      <c r="C2791" s="102" t="n"/>
      <c r="D2791" s="114" t="n"/>
      <c r="E2791" s="103" t="n"/>
      <c r="F2791" s="102" t="n"/>
      <c r="G2791" s="102" t="n"/>
      <c r="H2791" s="115" t="n"/>
      <c r="I2791" s="102" t="n"/>
      <c r="J2791" s="102" t="n"/>
      <c r="K2791" s="103" t="n"/>
      <c r="L2791" s="116">
        <f>IF($H2791="","",TRIM(IF(COUNTIF(DMTK!$A$7:$A$250,$F2791)=0,"TK Nợ sai! ","")&amp;IF(COUNTIF(DMTK!$A$7:$A$250,$G2791)=0,"TK Có sai! ","")&amp;IF(N($H2791)&lt;=0,"Tiền phải &gt; 0! ","")&amp;IF($B2791="","Thiếu ngày! ","")&amp;IF(AND(OR(LEFT($F2791,3)="131",LEFT($G2791,3)="131",LEFT($F2791,3)="331",LEFT($G2791,3)="331"),$I2791=""),"Thiếu Mã ĐT! ","")&amp;IF(AND($I2791&lt;&gt;"",COUNTIF(DM_DT!$A$7:$A$306,$I2791)=0),"Mã ĐT chưa khai báo! ","")))</f>
        <v/>
      </c>
      <c r="M2791" s="117">
        <f>IF($H2791="","",IF(AND(OR(LEFT($F2791,3)="111",LEFT($F2791,3)="112",LEFT($F2791,3)="113"),OR(LEFT($G2791,3)="111",LEFT($G2791,3)="112",LEFT($G2791,3)="113")),"NB",IF(OR(LEFT($F2791,3)="111",LEFT($F2791,3)="112",LEFT($F2791,3)="113"),"THU",IF(OR(LEFT($G2791,3)="111",LEFT($G2791,3)="112",LEFT($G2791,3)="113"),"CHI",""))))</f>
        <v/>
      </c>
      <c r="N2791" s="117">
        <f>IF($M2791="THU",$G2791,IF($M2791="CHI",$F2791,""))</f>
        <v/>
      </c>
      <c r="O2791" s="117">
        <f>IF(OR($M2791="",$M2791="NB"),"",IF($J2791&lt;&gt;"",TEXT($J2791,"00"),IFERROR(VLOOKUP(LEFT($N2791,4),LCTT_MAP!$A$7:$C$66,IF($M2791="THU",2,3),FALSE()),IFERROR(VLOOKUP(LEFT($N2791,3),LCTT_MAP!$A$7:$C$66,IF($M2791="THU",2,3),FALSE()),IFERROR(VLOOKUP(LEFT($N2791,2),LCTT_MAP!$A$7:$C$66,IF($M2791="THU",2,3),FALSE()),IFERROR(VLOOKUP(LEFT($N2791,1),LCTT_MAP!$A$7:$C$66,IF($M2791="THU",2,3),FALSE()),IF($M2791="THU","06","07")))))))</f>
        <v/>
      </c>
      <c r="P2791" s="117">
        <f>P2790+IF(AND($H2791&lt;&gt;"",OR(LEFT($F2791,LEN(SC_TK))=SC_TK,LEFT($G2791,LEN(SC_TK))=SC_TK)),1,0)</f>
        <v/>
      </c>
    </row>
    <row r="2792" ht="15" customHeight="1" s="78">
      <c r="A2792" s="95">
        <f>IF($H2792="","",ROW()-6)</f>
        <v/>
      </c>
      <c r="B2792" s="114" t="n"/>
      <c r="C2792" s="102" t="n"/>
      <c r="D2792" s="114" t="n"/>
      <c r="E2792" s="103" t="n"/>
      <c r="F2792" s="102" t="n"/>
      <c r="G2792" s="102" t="n"/>
      <c r="H2792" s="115" t="n"/>
      <c r="I2792" s="102" t="n"/>
      <c r="J2792" s="102" t="n"/>
      <c r="K2792" s="103" t="n"/>
      <c r="L2792" s="116">
        <f>IF($H2792="","",TRIM(IF(COUNTIF(DMTK!$A$7:$A$250,$F2792)=0,"TK Nợ sai! ","")&amp;IF(COUNTIF(DMTK!$A$7:$A$250,$G2792)=0,"TK Có sai! ","")&amp;IF(N($H2792)&lt;=0,"Tiền phải &gt; 0! ","")&amp;IF($B2792="","Thiếu ngày! ","")&amp;IF(AND(OR(LEFT($F2792,3)="131",LEFT($G2792,3)="131",LEFT($F2792,3)="331",LEFT($G2792,3)="331"),$I2792=""),"Thiếu Mã ĐT! ","")&amp;IF(AND($I2792&lt;&gt;"",COUNTIF(DM_DT!$A$7:$A$306,$I2792)=0),"Mã ĐT chưa khai báo! ","")))</f>
        <v/>
      </c>
      <c r="M2792" s="117">
        <f>IF($H2792="","",IF(AND(OR(LEFT($F2792,3)="111",LEFT($F2792,3)="112",LEFT($F2792,3)="113"),OR(LEFT($G2792,3)="111",LEFT($G2792,3)="112",LEFT($G2792,3)="113")),"NB",IF(OR(LEFT($F2792,3)="111",LEFT($F2792,3)="112",LEFT($F2792,3)="113"),"THU",IF(OR(LEFT($G2792,3)="111",LEFT($G2792,3)="112",LEFT($G2792,3)="113"),"CHI",""))))</f>
        <v/>
      </c>
      <c r="N2792" s="117">
        <f>IF($M2792="THU",$G2792,IF($M2792="CHI",$F2792,""))</f>
        <v/>
      </c>
      <c r="O2792" s="117">
        <f>IF(OR($M2792="",$M2792="NB"),"",IF($J2792&lt;&gt;"",TEXT($J2792,"00"),IFERROR(VLOOKUP(LEFT($N2792,4),LCTT_MAP!$A$7:$C$66,IF($M2792="THU",2,3),FALSE()),IFERROR(VLOOKUP(LEFT($N2792,3),LCTT_MAP!$A$7:$C$66,IF($M2792="THU",2,3),FALSE()),IFERROR(VLOOKUP(LEFT($N2792,2),LCTT_MAP!$A$7:$C$66,IF($M2792="THU",2,3),FALSE()),IFERROR(VLOOKUP(LEFT($N2792,1),LCTT_MAP!$A$7:$C$66,IF($M2792="THU",2,3),FALSE()),IF($M2792="THU","06","07")))))))</f>
        <v/>
      </c>
      <c r="P2792" s="117">
        <f>P2791+IF(AND($H2792&lt;&gt;"",OR(LEFT($F2792,LEN(SC_TK))=SC_TK,LEFT($G2792,LEN(SC_TK))=SC_TK)),1,0)</f>
        <v/>
      </c>
    </row>
    <row r="2793" ht="15" customHeight="1" s="78">
      <c r="A2793" s="95">
        <f>IF($H2793="","",ROW()-6)</f>
        <v/>
      </c>
      <c r="B2793" s="114" t="n"/>
      <c r="C2793" s="102" t="n"/>
      <c r="D2793" s="114" t="n"/>
      <c r="E2793" s="103" t="n"/>
      <c r="F2793" s="102" t="n"/>
      <c r="G2793" s="102" t="n"/>
      <c r="H2793" s="115" t="n"/>
      <c r="I2793" s="102" t="n"/>
      <c r="J2793" s="102" t="n"/>
      <c r="K2793" s="103" t="n"/>
      <c r="L2793" s="116">
        <f>IF($H2793="","",TRIM(IF(COUNTIF(DMTK!$A$7:$A$250,$F2793)=0,"TK Nợ sai! ","")&amp;IF(COUNTIF(DMTK!$A$7:$A$250,$G2793)=0,"TK Có sai! ","")&amp;IF(N($H2793)&lt;=0,"Tiền phải &gt; 0! ","")&amp;IF($B2793="","Thiếu ngày! ","")&amp;IF(AND(OR(LEFT($F2793,3)="131",LEFT($G2793,3)="131",LEFT($F2793,3)="331",LEFT($G2793,3)="331"),$I2793=""),"Thiếu Mã ĐT! ","")&amp;IF(AND($I2793&lt;&gt;"",COUNTIF(DM_DT!$A$7:$A$306,$I2793)=0),"Mã ĐT chưa khai báo! ","")))</f>
        <v/>
      </c>
      <c r="M2793" s="117">
        <f>IF($H2793="","",IF(AND(OR(LEFT($F2793,3)="111",LEFT($F2793,3)="112",LEFT($F2793,3)="113"),OR(LEFT($G2793,3)="111",LEFT($G2793,3)="112",LEFT($G2793,3)="113")),"NB",IF(OR(LEFT($F2793,3)="111",LEFT($F2793,3)="112",LEFT($F2793,3)="113"),"THU",IF(OR(LEFT($G2793,3)="111",LEFT($G2793,3)="112",LEFT($G2793,3)="113"),"CHI",""))))</f>
        <v/>
      </c>
      <c r="N2793" s="117">
        <f>IF($M2793="THU",$G2793,IF($M2793="CHI",$F2793,""))</f>
        <v/>
      </c>
      <c r="O2793" s="117">
        <f>IF(OR($M2793="",$M2793="NB"),"",IF($J2793&lt;&gt;"",TEXT($J2793,"00"),IFERROR(VLOOKUP(LEFT($N2793,4),LCTT_MAP!$A$7:$C$66,IF($M2793="THU",2,3),FALSE()),IFERROR(VLOOKUP(LEFT($N2793,3),LCTT_MAP!$A$7:$C$66,IF($M2793="THU",2,3),FALSE()),IFERROR(VLOOKUP(LEFT($N2793,2),LCTT_MAP!$A$7:$C$66,IF($M2793="THU",2,3),FALSE()),IFERROR(VLOOKUP(LEFT($N2793,1),LCTT_MAP!$A$7:$C$66,IF($M2793="THU",2,3),FALSE()),IF($M2793="THU","06","07")))))))</f>
        <v/>
      </c>
      <c r="P2793" s="117">
        <f>P2792+IF(AND($H2793&lt;&gt;"",OR(LEFT($F2793,LEN(SC_TK))=SC_TK,LEFT($G2793,LEN(SC_TK))=SC_TK)),1,0)</f>
        <v/>
      </c>
    </row>
    <row r="2794" ht="15" customHeight="1" s="78">
      <c r="A2794" s="95">
        <f>IF($H2794="","",ROW()-6)</f>
        <v/>
      </c>
      <c r="B2794" s="114" t="n"/>
      <c r="C2794" s="102" t="n"/>
      <c r="D2794" s="114" t="n"/>
      <c r="E2794" s="103" t="n"/>
      <c r="F2794" s="102" t="n"/>
      <c r="G2794" s="102" t="n"/>
      <c r="H2794" s="115" t="n"/>
      <c r="I2794" s="102" t="n"/>
      <c r="J2794" s="102" t="n"/>
      <c r="K2794" s="103" t="n"/>
      <c r="L2794" s="116">
        <f>IF($H2794="","",TRIM(IF(COUNTIF(DMTK!$A$7:$A$250,$F2794)=0,"TK Nợ sai! ","")&amp;IF(COUNTIF(DMTK!$A$7:$A$250,$G2794)=0,"TK Có sai! ","")&amp;IF(N($H2794)&lt;=0,"Tiền phải &gt; 0! ","")&amp;IF($B2794="","Thiếu ngày! ","")&amp;IF(AND(OR(LEFT($F2794,3)="131",LEFT($G2794,3)="131",LEFT($F2794,3)="331",LEFT($G2794,3)="331"),$I2794=""),"Thiếu Mã ĐT! ","")&amp;IF(AND($I2794&lt;&gt;"",COUNTIF(DM_DT!$A$7:$A$306,$I2794)=0),"Mã ĐT chưa khai báo! ","")))</f>
        <v/>
      </c>
      <c r="M2794" s="117">
        <f>IF($H2794="","",IF(AND(OR(LEFT($F2794,3)="111",LEFT($F2794,3)="112",LEFT($F2794,3)="113"),OR(LEFT($G2794,3)="111",LEFT($G2794,3)="112",LEFT($G2794,3)="113")),"NB",IF(OR(LEFT($F2794,3)="111",LEFT($F2794,3)="112",LEFT($F2794,3)="113"),"THU",IF(OR(LEFT($G2794,3)="111",LEFT($G2794,3)="112",LEFT($G2794,3)="113"),"CHI",""))))</f>
        <v/>
      </c>
      <c r="N2794" s="117">
        <f>IF($M2794="THU",$G2794,IF($M2794="CHI",$F2794,""))</f>
        <v/>
      </c>
      <c r="O2794" s="117">
        <f>IF(OR($M2794="",$M2794="NB"),"",IF($J2794&lt;&gt;"",TEXT($J2794,"00"),IFERROR(VLOOKUP(LEFT($N2794,4),LCTT_MAP!$A$7:$C$66,IF($M2794="THU",2,3),FALSE()),IFERROR(VLOOKUP(LEFT($N2794,3),LCTT_MAP!$A$7:$C$66,IF($M2794="THU",2,3),FALSE()),IFERROR(VLOOKUP(LEFT($N2794,2),LCTT_MAP!$A$7:$C$66,IF($M2794="THU",2,3),FALSE()),IFERROR(VLOOKUP(LEFT($N2794,1),LCTT_MAP!$A$7:$C$66,IF($M2794="THU",2,3),FALSE()),IF($M2794="THU","06","07")))))))</f>
        <v/>
      </c>
      <c r="P2794" s="117">
        <f>P2793+IF(AND($H2794&lt;&gt;"",OR(LEFT($F2794,LEN(SC_TK))=SC_TK,LEFT($G2794,LEN(SC_TK))=SC_TK)),1,0)</f>
        <v/>
      </c>
    </row>
    <row r="2795" ht="15" customHeight="1" s="78">
      <c r="A2795" s="95">
        <f>IF($H2795="","",ROW()-6)</f>
        <v/>
      </c>
      <c r="B2795" s="114" t="n"/>
      <c r="C2795" s="102" t="n"/>
      <c r="D2795" s="114" t="n"/>
      <c r="E2795" s="103" t="n"/>
      <c r="F2795" s="102" t="n"/>
      <c r="G2795" s="102" t="n"/>
      <c r="H2795" s="115" t="n"/>
      <c r="I2795" s="102" t="n"/>
      <c r="J2795" s="102" t="n"/>
      <c r="K2795" s="103" t="n"/>
      <c r="L2795" s="116">
        <f>IF($H2795="","",TRIM(IF(COUNTIF(DMTK!$A$7:$A$250,$F2795)=0,"TK Nợ sai! ","")&amp;IF(COUNTIF(DMTK!$A$7:$A$250,$G2795)=0,"TK Có sai! ","")&amp;IF(N($H2795)&lt;=0,"Tiền phải &gt; 0! ","")&amp;IF($B2795="","Thiếu ngày! ","")&amp;IF(AND(OR(LEFT($F2795,3)="131",LEFT($G2795,3)="131",LEFT($F2795,3)="331",LEFT($G2795,3)="331"),$I2795=""),"Thiếu Mã ĐT! ","")&amp;IF(AND($I2795&lt;&gt;"",COUNTIF(DM_DT!$A$7:$A$306,$I2795)=0),"Mã ĐT chưa khai báo! ","")))</f>
        <v/>
      </c>
      <c r="M2795" s="117">
        <f>IF($H2795="","",IF(AND(OR(LEFT($F2795,3)="111",LEFT($F2795,3)="112",LEFT($F2795,3)="113"),OR(LEFT($G2795,3)="111",LEFT($G2795,3)="112",LEFT($G2795,3)="113")),"NB",IF(OR(LEFT($F2795,3)="111",LEFT($F2795,3)="112",LEFT($F2795,3)="113"),"THU",IF(OR(LEFT($G2795,3)="111",LEFT($G2795,3)="112",LEFT($G2795,3)="113"),"CHI",""))))</f>
        <v/>
      </c>
      <c r="N2795" s="117">
        <f>IF($M2795="THU",$G2795,IF($M2795="CHI",$F2795,""))</f>
        <v/>
      </c>
      <c r="O2795" s="117">
        <f>IF(OR($M2795="",$M2795="NB"),"",IF($J2795&lt;&gt;"",TEXT($J2795,"00"),IFERROR(VLOOKUP(LEFT($N2795,4),LCTT_MAP!$A$7:$C$66,IF($M2795="THU",2,3),FALSE()),IFERROR(VLOOKUP(LEFT($N2795,3),LCTT_MAP!$A$7:$C$66,IF($M2795="THU",2,3),FALSE()),IFERROR(VLOOKUP(LEFT($N2795,2),LCTT_MAP!$A$7:$C$66,IF($M2795="THU",2,3),FALSE()),IFERROR(VLOOKUP(LEFT($N2795,1),LCTT_MAP!$A$7:$C$66,IF($M2795="THU",2,3),FALSE()),IF($M2795="THU","06","07")))))))</f>
        <v/>
      </c>
      <c r="P2795" s="117">
        <f>P2794+IF(AND($H2795&lt;&gt;"",OR(LEFT($F2795,LEN(SC_TK))=SC_TK,LEFT($G2795,LEN(SC_TK))=SC_TK)),1,0)</f>
        <v/>
      </c>
    </row>
    <row r="2796" ht="15" customHeight="1" s="78">
      <c r="A2796" s="95">
        <f>IF($H2796="","",ROW()-6)</f>
        <v/>
      </c>
      <c r="B2796" s="114" t="n"/>
      <c r="C2796" s="102" t="n"/>
      <c r="D2796" s="114" t="n"/>
      <c r="E2796" s="103" t="n"/>
      <c r="F2796" s="102" t="n"/>
      <c r="G2796" s="102" t="n"/>
      <c r="H2796" s="115" t="n"/>
      <c r="I2796" s="102" t="n"/>
      <c r="J2796" s="102" t="n"/>
      <c r="K2796" s="103" t="n"/>
      <c r="L2796" s="116">
        <f>IF($H2796="","",TRIM(IF(COUNTIF(DMTK!$A$7:$A$250,$F2796)=0,"TK Nợ sai! ","")&amp;IF(COUNTIF(DMTK!$A$7:$A$250,$G2796)=0,"TK Có sai! ","")&amp;IF(N($H2796)&lt;=0,"Tiền phải &gt; 0! ","")&amp;IF($B2796="","Thiếu ngày! ","")&amp;IF(AND(OR(LEFT($F2796,3)="131",LEFT($G2796,3)="131",LEFT($F2796,3)="331",LEFT($G2796,3)="331"),$I2796=""),"Thiếu Mã ĐT! ","")&amp;IF(AND($I2796&lt;&gt;"",COUNTIF(DM_DT!$A$7:$A$306,$I2796)=0),"Mã ĐT chưa khai báo! ","")))</f>
        <v/>
      </c>
      <c r="M2796" s="117">
        <f>IF($H2796="","",IF(AND(OR(LEFT($F2796,3)="111",LEFT($F2796,3)="112",LEFT($F2796,3)="113"),OR(LEFT($G2796,3)="111",LEFT($G2796,3)="112",LEFT($G2796,3)="113")),"NB",IF(OR(LEFT($F2796,3)="111",LEFT($F2796,3)="112",LEFT($F2796,3)="113"),"THU",IF(OR(LEFT($G2796,3)="111",LEFT($G2796,3)="112",LEFT($G2796,3)="113"),"CHI",""))))</f>
        <v/>
      </c>
      <c r="N2796" s="117">
        <f>IF($M2796="THU",$G2796,IF($M2796="CHI",$F2796,""))</f>
        <v/>
      </c>
      <c r="O2796" s="117">
        <f>IF(OR($M2796="",$M2796="NB"),"",IF($J2796&lt;&gt;"",TEXT($J2796,"00"),IFERROR(VLOOKUP(LEFT($N2796,4),LCTT_MAP!$A$7:$C$66,IF($M2796="THU",2,3),FALSE()),IFERROR(VLOOKUP(LEFT($N2796,3),LCTT_MAP!$A$7:$C$66,IF($M2796="THU",2,3),FALSE()),IFERROR(VLOOKUP(LEFT($N2796,2),LCTT_MAP!$A$7:$C$66,IF($M2796="THU",2,3),FALSE()),IFERROR(VLOOKUP(LEFT($N2796,1),LCTT_MAP!$A$7:$C$66,IF($M2796="THU",2,3),FALSE()),IF($M2796="THU","06","07")))))))</f>
        <v/>
      </c>
      <c r="P2796" s="117">
        <f>P2795+IF(AND($H2796&lt;&gt;"",OR(LEFT($F2796,LEN(SC_TK))=SC_TK,LEFT($G2796,LEN(SC_TK))=SC_TK)),1,0)</f>
        <v/>
      </c>
    </row>
    <row r="2797" ht="15" customHeight="1" s="78">
      <c r="A2797" s="95">
        <f>IF($H2797="","",ROW()-6)</f>
        <v/>
      </c>
      <c r="B2797" s="114" t="n"/>
      <c r="C2797" s="102" t="n"/>
      <c r="D2797" s="114" t="n"/>
      <c r="E2797" s="103" t="n"/>
      <c r="F2797" s="102" t="n"/>
      <c r="G2797" s="102" t="n"/>
      <c r="H2797" s="115" t="n"/>
      <c r="I2797" s="102" t="n"/>
      <c r="J2797" s="102" t="n"/>
      <c r="K2797" s="103" t="n"/>
      <c r="L2797" s="116">
        <f>IF($H2797="","",TRIM(IF(COUNTIF(DMTK!$A$7:$A$250,$F2797)=0,"TK Nợ sai! ","")&amp;IF(COUNTIF(DMTK!$A$7:$A$250,$G2797)=0,"TK Có sai! ","")&amp;IF(N($H2797)&lt;=0,"Tiền phải &gt; 0! ","")&amp;IF($B2797="","Thiếu ngày! ","")&amp;IF(AND(OR(LEFT($F2797,3)="131",LEFT($G2797,3)="131",LEFT($F2797,3)="331",LEFT($G2797,3)="331"),$I2797=""),"Thiếu Mã ĐT! ","")&amp;IF(AND($I2797&lt;&gt;"",COUNTIF(DM_DT!$A$7:$A$306,$I2797)=0),"Mã ĐT chưa khai báo! ","")))</f>
        <v/>
      </c>
      <c r="M2797" s="117">
        <f>IF($H2797="","",IF(AND(OR(LEFT($F2797,3)="111",LEFT($F2797,3)="112",LEFT($F2797,3)="113"),OR(LEFT($G2797,3)="111",LEFT($G2797,3)="112",LEFT($G2797,3)="113")),"NB",IF(OR(LEFT($F2797,3)="111",LEFT($F2797,3)="112",LEFT($F2797,3)="113"),"THU",IF(OR(LEFT($G2797,3)="111",LEFT($G2797,3)="112",LEFT($G2797,3)="113"),"CHI",""))))</f>
        <v/>
      </c>
      <c r="N2797" s="117">
        <f>IF($M2797="THU",$G2797,IF($M2797="CHI",$F2797,""))</f>
        <v/>
      </c>
      <c r="O2797" s="117">
        <f>IF(OR($M2797="",$M2797="NB"),"",IF($J2797&lt;&gt;"",TEXT($J2797,"00"),IFERROR(VLOOKUP(LEFT($N2797,4),LCTT_MAP!$A$7:$C$66,IF($M2797="THU",2,3),FALSE()),IFERROR(VLOOKUP(LEFT($N2797,3),LCTT_MAP!$A$7:$C$66,IF($M2797="THU",2,3),FALSE()),IFERROR(VLOOKUP(LEFT($N2797,2),LCTT_MAP!$A$7:$C$66,IF($M2797="THU",2,3),FALSE()),IFERROR(VLOOKUP(LEFT($N2797,1),LCTT_MAP!$A$7:$C$66,IF($M2797="THU",2,3),FALSE()),IF($M2797="THU","06","07")))))))</f>
        <v/>
      </c>
      <c r="P2797" s="117">
        <f>P2796+IF(AND($H2797&lt;&gt;"",OR(LEFT($F2797,LEN(SC_TK))=SC_TK,LEFT($G2797,LEN(SC_TK))=SC_TK)),1,0)</f>
        <v/>
      </c>
    </row>
    <row r="2798" ht="15" customHeight="1" s="78">
      <c r="A2798" s="95">
        <f>IF($H2798="","",ROW()-6)</f>
        <v/>
      </c>
      <c r="B2798" s="114" t="n"/>
      <c r="C2798" s="102" t="n"/>
      <c r="D2798" s="114" t="n"/>
      <c r="E2798" s="103" t="n"/>
      <c r="F2798" s="102" t="n"/>
      <c r="G2798" s="102" t="n"/>
      <c r="H2798" s="115" t="n"/>
      <c r="I2798" s="102" t="n"/>
      <c r="J2798" s="102" t="n"/>
      <c r="K2798" s="103" t="n"/>
      <c r="L2798" s="116">
        <f>IF($H2798="","",TRIM(IF(COUNTIF(DMTK!$A$7:$A$250,$F2798)=0,"TK Nợ sai! ","")&amp;IF(COUNTIF(DMTK!$A$7:$A$250,$G2798)=0,"TK Có sai! ","")&amp;IF(N($H2798)&lt;=0,"Tiền phải &gt; 0! ","")&amp;IF($B2798="","Thiếu ngày! ","")&amp;IF(AND(OR(LEFT($F2798,3)="131",LEFT($G2798,3)="131",LEFT($F2798,3)="331",LEFT($G2798,3)="331"),$I2798=""),"Thiếu Mã ĐT! ","")&amp;IF(AND($I2798&lt;&gt;"",COUNTIF(DM_DT!$A$7:$A$306,$I2798)=0),"Mã ĐT chưa khai báo! ","")))</f>
        <v/>
      </c>
      <c r="M2798" s="117">
        <f>IF($H2798="","",IF(AND(OR(LEFT($F2798,3)="111",LEFT($F2798,3)="112",LEFT($F2798,3)="113"),OR(LEFT($G2798,3)="111",LEFT($G2798,3)="112",LEFT($G2798,3)="113")),"NB",IF(OR(LEFT($F2798,3)="111",LEFT($F2798,3)="112",LEFT($F2798,3)="113"),"THU",IF(OR(LEFT($G2798,3)="111",LEFT($G2798,3)="112",LEFT($G2798,3)="113"),"CHI",""))))</f>
        <v/>
      </c>
      <c r="N2798" s="117">
        <f>IF($M2798="THU",$G2798,IF($M2798="CHI",$F2798,""))</f>
        <v/>
      </c>
      <c r="O2798" s="117">
        <f>IF(OR($M2798="",$M2798="NB"),"",IF($J2798&lt;&gt;"",TEXT($J2798,"00"),IFERROR(VLOOKUP(LEFT($N2798,4),LCTT_MAP!$A$7:$C$66,IF($M2798="THU",2,3),FALSE()),IFERROR(VLOOKUP(LEFT($N2798,3),LCTT_MAP!$A$7:$C$66,IF($M2798="THU",2,3),FALSE()),IFERROR(VLOOKUP(LEFT($N2798,2),LCTT_MAP!$A$7:$C$66,IF($M2798="THU",2,3),FALSE()),IFERROR(VLOOKUP(LEFT($N2798,1),LCTT_MAP!$A$7:$C$66,IF($M2798="THU",2,3),FALSE()),IF($M2798="THU","06","07")))))))</f>
        <v/>
      </c>
      <c r="P2798" s="117">
        <f>P2797+IF(AND($H2798&lt;&gt;"",OR(LEFT($F2798,LEN(SC_TK))=SC_TK,LEFT($G2798,LEN(SC_TK))=SC_TK)),1,0)</f>
        <v/>
      </c>
    </row>
    <row r="2799" ht="15" customHeight="1" s="78">
      <c r="A2799" s="95">
        <f>IF($H2799="","",ROW()-6)</f>
        <v/>
      </c>
      <c r="B2799" s="114" t="n"/>
      <c r="C2799" s="102" t="n"/>
      <c r="D2799" s="114" t="n"/>
      <c r="E2799" s="103" t="n"/>
      <c r="F2799" s="102" t="n"/>
      <c r="G2799" s="102" t="n"/>
      <c r="H2799" s="115" t="n"/>
      <c r="I2799" s="102" t="n"/>
      <c r="J2799" s="102" t="n"/>
      <c r="K2799" s="103" t="n"/>
      <c r="L2799" s="116">
        <f>IF($H2799="","",TRIM(IF(COUNTIF(DMTK!$A$7:$A$250,$F2799)=0,"TK Nợ sai! ","")&amp;IF(COUNTIF(DMTK!$A$7:$A$250,$G2799)=0,"TK Có sai! ","")&amp;IF(N($H2799)&lt;=0,"Tiền phải &gt; 0! ","")&amp;IF($B2799="","Thiếu ngày! ","")&amp;IF(AND(OR(LEFT($F2799,3)="131",LEFT($G2799,3)="131",LEFT($F2799,3)="331",LEFT($G2799,3)="331"),$I2799=""),"Thiếu Mã ĐT! ","")&amp;IF(AND($I2799&lt;&gt;"",COUNTIF(DM_DT!$A$7:$A$306,$I2799)=0),"Mã ĐT chưa khai báo! ","")))</f>
        <v/>
      </c>
      <c r="M2799" s="117">
        <f>IF($H2799="","",IF(AND(OR(LEFT($F2799,3)="111",LEFT($F2799,3)="112",LEFT($F2799,3)="113"),OR(LEFT($G2799,3)="111",LEFT($G2799,3)="112",LEFT($G2799,3)="113")),"NB",IF(OR(LEFT($F2799,3)="111",LEFT($F2799,3)="112",LEFT($F2799,3)="113"),"THU",IF(OR(LEFT($G2799,3)="111",LEFT($G2799,3)="112",LEFT($G2799,3)="113"),"CHI",""))))</f>
        <v/>
      </c>
      <c r="N2799" s="117">
        <f>IF($M2799="THU",$G2799,IF($M2799="CHI",$F2799,""))</f>
        <v/>
      </c>
      <c r="O2799" s="117">
        <f>IF(OR($M2799="",$M2799="NB"),"",IF($J2799&lt;&gt;"",TEXT($J2799,"00"),IFERROR(VLOOKUP(LEFT($N2799,4),LCTT_MAP!$A$7:$C$66,IF($M2799="THU",2,3),FALSE()),IFERROR(VLOOKUP(LEFT($N2799,3),LCTT_MAP!$A$7:$C$66,IF($M2799="THU",2,3),FALSE()),IFERROR(VLOOKUP(LEFT($N2799,2),LCTT_MAP!$A$7:$C$66,IF($M2799="THU",2,3),FALSE()),IFERROR(VLOOKUP(LEFT($N2799,1),LCTT_MAP!$A$7:$C$66,IF($M2799="THU",2,3),FALSE()),IF($M2799="THU","06","07")))))))</f>
        <v/>
      </c>
      <c r="P2799" s="117">
        <f>P2798+IF(AND($H2799&lt;&gt;"",OR(LEFT($F2799,LEN(SC_TK))=SC_TK,LEFT($G2799,LEN(SC_TK))=SC_TK)),1,0)</f>
        <v/>
      </c>
    </row>
    <row r="2800" ht="15" customHeight="1" s="78">
      <c r="A2800" s="95">
        <f>IF($H2800="","",ROW()-6)</f>
        <v/>
      </c>
      <c r="B2800" s="114" t="n"/>
      <c r="C2800" s="102" t="n"/>
      <c r="D2800" s="114" t="n"/>
      <c r="E2800" s="103" t="n"/>
      <c r="F2800" s="102" t="n"/>
      <c r="G2800" s="102" t="n"/>
      <c r="H2800" s="115" t="n"/>
      <c r="I2800" s="102" t="n"/>
      <c r="J2800" s="102" t="n"/>
      <c r="K2800" s="103" t="n"/>
      <c r="L2800" s="116">
        <f>IF($H2800="","",TRIM(IF(COUNTIF(DMTK!$A$7:$A$250,$F2800)=0,"TK Nợ sai! ","")&amp;IF(COUNTIF(DMTK!$A$7:$A$250,$G2800)=0,"TK Có sai! ","")&amp;IF(N($H2800)&lt;=0,"Tiền phải &gt; 0! ","")&amp;IF($B2800="","Thiếu ngày! ","")&amp;IF(AND(OR(LEFT($F2800,3)="131",LEFT($G2800,3)="131",LEFT($F2800,3)="331",LEFT($G2800,3)="331"),$I2800=""),"Thiếu Mã ĐT! ","")&amp;IF(AND($I2800&lt;&gt;"",COUNTIF(DM_DT!$A$7:$A$306,$I2800)=0),"Mã ĐT chưa khai báo! ","")))</f>
        <v/>
      </c>
      <c r="M2800" s="117">
        <f>IF($H2800="","",IF(AND(OR(LEFT($F2800,3)="111",LEFT($F2800,3)="112",LEFT($F2800,3)="113"),OR(LEFT($G2800,3)="111",LEFT($G2800,3)="112",LEFT($G2800,3)="113")),"NB",IF(OR(LEFT($F2800,3)="111",LEFT($F2800,3)="112",LEFT($F2800,3)="113"),"THU",IF(OR(LEFT($G2800,3)="111",LEFT($G2800,3)="112",LEFT($G2800,3)="113"),"CHI",""))))</f>
        <v/>
      </c>
      <c r="N2800" s="117">
        <f>IF($M2800="THU",$G2800,IF($M2800="CHI",$F2800,""))</f>
        <v/>
      </c>
      <c r="O2800" s="117">
        <f>IF(OR($M2800="",$M2800="NB"),"",IF($J2800&lt;&gt;"",TEXT($J2800,"00"),IFERROR(VLOOKUP(LEFT($N2800,4),LCTT_MAP!$A$7:$C$66,IF($M2800="THU",2,3),FALSE()),IFERROR(VLOOKUP(LEFT($N2800,3),LCTT_MAP!$A$7:$C$66,IF($M2800="THU",2,3),FALSE()),IFERROR(VLOOKUP(LEFT($N2800,2),LCTT_MAP!$A$7:$C$66,IF($M2800="THU",2,3),FALSE()),IFERROR(VLOOKUP(LEFT($N2800,1),LCTT_MAP!$A$7:$C$66,IF($M2800="THU",2,3),FALSE()),IF($M2800="THU","06","07")))))))</f>
        <v/>
      </c>
      <c r="P2800" s="117">
        <f>P2799+IF(AND($H2800&lt;&gt;"",OR(LEFT($F2800,LEN(SC_TK))=SC_TK,LEFT($G2800,LEN(SC_TK))=SC_TK)),1,0)</f>
        <v/>
      </c>
    </row>
    <row r="2801" ht="15" customHeight="1" s="78">
      <c r="A2801" s="95">
        <f>IF($H2801="","",ROW()-6)</f>
        <v/>
      </c>
      <c r="B2801" s="114" t="n"/>
      <c r="C2801" s="102" t="n"/>
      <c r="D2801" s="114" t="n"/>
      <c r="E2801" s="103" t="n"/>
      <c r="F2801" s="102" t="n"/>
      <c r="G2801" s="102" t="n"/>
      <c r="H2801" s="115" t="n"/>
      <c r="I2801" s="102" t="n"/>
      <c r="J2801" s="102" t="n"/>
      <c r="K2801" s="103" t="n"/>
      <c r="L2801" s="116">
        <f>IF($H2801="","",TRIM(IF(COUNTIF(DMTK!$A$7:$A$250,$F2801)=0,"TK Nợ sai! ","")&amp;IF(COUNTIF(DMTK!$A$7:$A$250,$G2801)=0,"TK Có sai! ","")&amp;IF(N($H2801)&lt;=0,"Tiền phải &gt; 0! ","")&amp;IF($B2801="","Thiếu ngày! ","")&amp;IF(AND(OR(LEFT($F2801,3)="131",LEFT($G2801,3)="131",LEFT($F2801,3)="331",LEFT($G2801,3)="331"),$I2801=""),"Thiếu Mã ĐT! ","")&amp;IF(AND($I2801&lt;&gt;"",COUNTIF(DM_DT!$A$7:$A$306,$I2801)=0),"Mã ĐT chưa khai báo! ","")))</f>
        <v/>
      </c>
      <c r="M2801" s="117">
        <f>IF($H2801="","",IF(AND(OR(LEFT($F2801,3)="111",LEFT($F2801,3)="112",LEFT($F2801,3)="113"),OR(LEFT($G2801,3)="111",LEFT($G2801,3)="112",LEFT($G2801,3)="113")),"NB",IF(OR(LEFT($F2801,3)="111",LEFT($F2801,3)="112",LEFT($F2801,3)="113"),"THU",IF(OR(LEFT($G2801,3)="111",LEFT($G2801,3)="112",LEFT($G2801,3)="113"),"CHI",""))))</f>
        <v/>
      </c>
      <c r="N2801" s="117">
        <f>IF($M2801="THU",$G2801,IF($M2801="CHI",$F2801,""))</f>
        <v/>
      </c>
      <c r="O2801" s="117">
        <f>IF(OR($M2801="",$M2801="NB"),"",IF($J2801&lt;&gt;"",TEXT($J2801,"00"),IFERROR(VLOOKUP(LEFT($N2801,4),LCTT_MAP!$A$7:$C$66,IF($M2801="THU",2,3),FALSE()),IFERROR(VLOOKUP(LEFT($N2801,3),LCTT_MAP!$A$7:$C$66,IF($M2801="THU",2,3),FALSE()),IFERROR(VLOOKUP(LEFT($N2801,2),LCTT_MAP!$A$7:$C$66,IF($M2801="THU",2,3),FALSE()),IFERROR(VLOOKUP(LEFT($N2801,1),LCTT_MAP!$A$7:$C$66,IF($M2801="THU",2,3),FALSE()),IF($M2801="THU","06","07")))))))</f>
        <v/>
      </c>
      <c r="P2801" s="117">
        <f>P2800+IF(AND($H2801&lt;&gt;"",OR(LEFT($F2801,LEN(SC_TK))=SC_TK,LEFT($G2801,LEN(SC_TK))=SC_TK)),1,0)</f>
        <v/>
      </c>
    </row>
    <row r="2802" ht="15" customHeight="1" s="78">
      <c r="A2802" s="95">
        <f>IF($H2802="","",ROW()-6)</f>
        <v/>
      </c>
      <c r="B2802" s="114" t="n"/>
      <c r="C2802" s="102" t="n"/>
      <c r="D2802" s="114" t="n"/>
      <c r="E2802" s="103" t="n"/>
      <c r="F2802" s="102" t="n"/>
      <c r="G2802" s="102" t="n"/>
      <c r="H2802" s="115" t="n"/>
      <c r="I2802" s="102" t="n"/>
      <c r="J2802" s="102" t="n"/>
      <c r="K2802" s="103" t="n"/>
      <c r="L2802" s="116">
        <f>IF($H2802="","",TRIM(IF(COUNTIF(DMTK!$A$7:$A$250,$F2802)=0,"TK Nợ sai! ","")&amp;IF(COUNTIF(DMTK!$A$7:$A$250,$G2802)=0,"TK Có sai! ","")&amp;IF(N($H2802)&lt;=0,"Tiền phải &gt; 0! ","")&amp;IF($B2802="","Thiếu ngày! ","")&amp;IF(AND(OR(LEFT($F2802,3)="131",LEFT($G2802,3)="131",LEFT($F2802,3)="331",LEFT($G2802,3)="331"),$I2802=""),"Thiếu Mã ĐT! ","")&amp;IF(AND($I2802&lt;&gt;"",COUNTIF(DM_DT!$A$7:$A$306,$I2802)=0),"Mã ĐT chưa khai báo! ","")))</f>
        <v/>
      </c>
      <c r="M2802" s="117">
        <f>IF($H2802="","",IF(AND(OR(LEFT($F2802,3)="111",LEFT($F2802,3)="112",LEFT($F2802,3)="113"),OR(LEFT($G2802,3)="111",LEFT($G2802,3)="112",LEFT($G2802,3)="113")),"NB",IF(OR(LEFT($F2802,3)="111",LEFT($F2802,3)="112",LEFT($F2802,3)="113"),"THU",IF(OR(LEFT($G2802,3)="111",LEFT($G2802,3)="112",LEFT($G2802,3)="113"),"CHI",""))))</f>
        <v/>
      </c>
      <c r="N2802" s="117">
        <f>IF($M2802="THU",$G2802,IF($M2802="CHI",$F2802,""))</f>
        <v/>
      </c>
      <c r="O2802" s="117">
        <f>IF(OR($M2802="",$M2802="NB"),"",IF($J2802&lt;&gt;"",TEXT($J2802,"00"),IFERROR(VLOOKUP(LEFT($N2802,4),LCTT_MAP!$A$7:$C$66,IF($M2802="THU",2,3),FALSE()),IFERROR(VLOOKUP(LEFT($N2802,3),LCTT_MAP!$A$7:$C$66,IF($M2802="THU",2,3),FALSE()),IFERROR(VLOOKUP(LEFT($N2802,2),LCTT_MAP!$A$7:$C$66,IF($M2802="THU",2,3),FALSE()),IFERROR(VLOOKUP(LEFT($N2802,1),LCTT_MAP!$A$7:$C$66,IF($M2802="THU",2,3),FALSE()),IF($M2802="THU","06","07")))))))</f>
        <v/>
      </c>
      <c r="P2802" s="117">
        <f>P2801+IF(AND($H2802&lt;&gt;"",OR(LEFT($F2802,LEN(SC_TK))=SC_TK,LEFT($G2802,LEN(SC_TK))=SC_TK)),1,0)</f>
        <v/>
      </c>
    </row>
    <row r="2803" ht="15" customHeight="1" s="78">
      <c r="A2803" s="95">
        <f>IF($H2803="","",ROW()-6)</f>
        <v/>
      </c>
      <c r="B2803" s="114" t="n"/>
      <c r="C2803" s="102" t="n"/>
      <c r="D2803" s="114" t="n"/>
      <c r="E2803" s="103" t="n"/>
      <c r="F2803" s="102" t="n"/>
      <c r="G2803" s="102" t="n"/>
      <c r="H2803" s="115" t="n"/>
      <c r="I2803" s="102" t="n"/>
      <c r="J2803" s="102" t="n"/>
      <c r="K2803" s="103" t="n"/>
      <c r="L2803" s="116">
        <f>IF($H2803="","",TRIM(IF(COUNTIF(DMTK!$A$7:$A$250,$F2803)=0,"TK Nợ sai! ","")&amp;IF(COUNTIF(DMTK!$A$7:$A$250,$G2803)=0,"TK Có sai! ","")&amp;IF(N($H2803)&lt;=0,"Tiền phải &gt; 0! ","")&amp;IF($B2803="","Thiếu ngày! ","")&amp;IF(AND(OR(LEFT($F2803,3)="131",LEFT($G2803,3)="131",LEFT($F2803,3)="331",LEFT($G2803,3)="331"),$I2803=""),"Thiếu Mã ĐT! ","")&amp;IF(AND($I2803&lt;&gt;"",COUNTIF(DM_DT!$A$7:$A$306,$I2803)=0),"Mã ĐT chưa khai báo! ","")))</f>
        <v/>
      </c>
      <c r="M2803" s="117">
        <f>IF($H2803="","",IF(AND(OR(LEFT($F2803,3)="111",LEFT($F2803,3)="112",LEFT($F2803,3)="113"),OR(LEFT($G2803,3)="111",LEFT($G2803,3)="112",LEFT($G2803,3)="113")),"NB",IF(OR(LEFT($F2803,3)="111",LEFT($F2803,3)="112",LEFT($F2803,3)="113"),"THU",IF(OR(LEFT($G2803,3)="111",LEFT($G2803,3)="112",LEFT($G2803,3)="113"),"CHI",""))))</f>
        <v/>
      </c>
      <c r="N2803" s="117">
        <f>IF($M2803="THU",$G2803,IF($M2803="CHI",$F2803,""))</f>
        <v/>
      </c>
      <c r="O2803" s="117">
        <f>IF(OR($M2803="",$M2803="NB"),"",IF($J2803&lt;&gt;"",TEXT($J2803,"00"),IFERROR(VLOOKUP(LEFT($N2803,4),LCTT_MAP!$A$7:$C$66,IF($M2803="THU",2,3),FALSE()),IFERROR(VLOOKUP(LEFT($N2803,3),LCTT_MAP!$A$7:$C$66,IF($M2803="THU",2,3),FALSE()),IFERROR(VLOOKUP(LEFT($N2803,2),LCTT_MAP!$A$7:$C$66,IF($M2803="THU",2,3),FALSE()),IFERROR(VLOOKUP(LEFT($N2803,1),LCTT_MAP!$A$7:$C$66,IF($M2803="THU",2,3),FALSE()),IF($M2803="THU","06","07")))))))</f>
        <v/>
      </c>
      <c r="P2803" s="117">
        <f>P2802+IF(AND($H2803&lt;&gt;"",OR(LEFT($F2803,LEN(SC_TK))=SC_TK,LEFT($G2803,LEN(SC_TK))=SC_TK)),1,0)</f>
        <v/>
      </c>
    </row>
    <row r="2804" ht="15" customHeight="1" s="78">
      <c r="A2804" s="95">
        <f>IF($H2804="","",ROW()-6)</f>
        <v/>
      </c>
      <c r="B2804" s="114" t="n"/>
      <c r="C2804" s="102" t="n"/>
      <c r="D2804" s="114" t="n"/>
      <c r="E2804" s="103" t="n"/>
      <c r="F2804" s="102" t="n"/>
      <c r="G2804" s="102" t="n"/>
      <c r="H2804" s="115" t="n"/>
      <c r="I2804" s="102" t="n"/>
      <c r="J2804" s="102" t="n"/>
      <c r="K2804" s="103" t="n"/>
      <c r="L2804" s="116">
        <f>IF($H2804="","",TRIM(IF(COUNTIF(DMTK!$A$7:$A$250,$F2804)=0,"TK Nợ sai! ","")&amp;IF(COUNTIF(DMTK!$A$7:$A$250,$G2804)=0,"TK Có sai! ","")&amp;IF(N($H2804)&lt;=0,"Tiền phải &gt; 0! ","")&amp;IF($B2804="","Thiếu ngày! ","")&amp;IF(AND(OR(LEFT($F2804,3)="131",LEFT($G2804,3)="131",LEFT($F2804,3)="331",LEFT($G2804,3)="331"),$I2804=""),"Thiếu Mã ĐT! ","")&amp;IF(AND($I2804&lt;&gt;"",COUNTIF(DM_DT!$A$7:$A$306,$I2804)=0),"Mã ĐT chưa khai báo! ","")))</f>
        <v/>
      </c>
      <c r="M2804" s="117">
        <f>IF($H2804="","",IF(AND(OR(LEFT($F2804,3)="111",LEFT($F2804,3)="112",LEFT($F2804,3)="113"),OR(LEFT($G2804,3)="111",LEFT($G2804,3)="112",LEFT($G2804,3)="113")),"NB",IF(OR(LEFT($F2804,3)="111",LEFT($F2804,3)="112",LEFT($F2804,3)="113"),"THU",IF(OR(LEFT($G2804,3)="111",LEFT($G2804,3)="112",LEFT($G2804,3)="113"),"CHI",""))))</f>
        <v/>
      </c>
      <c r="N2804" s="117">
        <f>IF($M2804="THU",$G2804,IF($M2804="CHI",$F2804,""))</f>
        <v/>
      </c>
      <c r="O2804" s="117">
        <f>IF(OR($M2804="",$M2804="NB"),"",IF($J2804&lt;&gt;"",TEXT($J2804,"00"),IFERROR(VLOOKUP(LEFT($N2804,4),LCTT_MAP!$A$7:$C$66,IF($M2804="THU",2,3),FALSE()),IFERROR(VLOOKUP(LEFT($N2804,3),LCTT_MAP!$A$7:$C$66,IF($M2804="THU",2,3),FALSE()),IFERROR(VLOOKUP(LEFT($N2804,2),LCTT_MAP!$A$7:$C$66,IF($M2804="THU",2,3),FALSE()),IFERROR(VLOOKUP(LEFT($N2804,1),LCTT_MAP!$A$7:$C$66,IF($M2804="THU",2,3),FALSE()),IF($M2804="THU","06","07")))))))</f>
        <v/>
      </c>
      <c r="P2804" s="117">
        <f>P2803+IF(AND($H2804&lt;&gt;"",OR(LEFT($F2804,LEN(SC_TK))=SC_TK,LEFT($G2804,LEN(SC_TK))=SC_TK)),1,0)</f>
        <v/>
      </c>
    </row>
    <row r="2805" ht="15" customHeight="1" s="78">
      <c r="A2805" s="95">
        <f>IF($H2805="","",ROW()-6)</f>
        <v/>
      </c>
      <c r="B2805" s="114" t="n"/>
      <c r="C2805" s="102" t="n"/>
      <c r="D2805" s="114" t="n"/>
      <c r="E2805" s="103" t="n"/>
      <c r="F2805" s="102" t="n"/>
      <c r="G2805" s="102" t="n"/>
      <c r="H2805" s="115" t="n"/>
      <c r="I2805" s="102" t="n"/>
      <c r="J2805" s="102" t="n"/>
      <c r="K2805" s="103" t="n"/>
      <c r="L2805" s="116">
        <f>IF($H2805="","",TRIM(IF(COUNTIF(DMTK!$A$7:$A$250,$F2805)=0,"TK Nợ sai! ","")&amp;IF(COUNTIF(DMTK!$A$7:$A$250,$G2805)=0,"TK Có sai! ","")&amp;IF(N($H2805)&lt;=0,"Tiền phải &gt; 0! ","")&amp;IF($B2805="","Thiếu ngày! ","")&amp;IF(AND(OR(LEFT($F2805,3)="131",LEFT($G2805,3)="131",LEFT($F2805,3)="331",LEFT($G2805,3)="331"),$I2805=""),"Thiếu Mã ĐT! ","")&amp;IF(AND($I2805&lt;&gt;"",COUNTIF(DM_DT!$A$7:$A$306,$I2805)=0),"Mã ĐT chưa khai báo! ","")))</f>
        <v/>
      </c>
      <c r="M2805" s="117">
        <f>IF($H2805="","",IF(AND(OR(LEFT($F2805,3)="111",LEFT($F2805,3)="112",LEFT($F2805,3)="113"),OR(LEFT($G2805,3)="111",LEFT($G2805,3)="112",LEFT($G2805,3)="113")),"NB",IF(OR(LEFT($F2805,3)="111",LEFT($F2805,3)="112",LEFT($F2805,3)="113"),"THU",IF(OR(LEFT($G2805,3)="111",LEFT($G2805,3)="112",LEFT($G2805,3)="113"),"CHI",""))))</f>
        <v/>
      </c>
      <c r="N2805" s="117">
        <f>IF($M2805="THU",$G2805,IF($M2805="CHI",$F2805,""))</f>
        <v/>
      </c>
      <c r="O2805" s="117">
        <f>IF(OR($M2805="",$M2805="NB"),"",IF($J2805&lt;&gt;"",TEXT($J2805,"00"),IFERROR(VLOOKUP(LEFT($N2805,4),LCTT_MAP!$A$7:$C$66,IF($M2805="THU",2,3),FALSE()),IFERROR(VLOOKUP(LEFT($N2805,3),LCTT_MAP!$A$7:$C$66,IF($M2805="THU",2,3),FALSE()),IFERROR(VLOOKUP(LEFT($N2805,2),LCTT_MAP!$A$7:$C$66,IF($M2805="THU",2,3),FALSE()),IFERROR(VLOOKUP(LEFT($N2805,1),LCTT_MAP!$A$7:$C$66,IF($M2805="THU",2,3),FALSE()),IF($M2805="THU","06","07")))))))</f>
        <v/>
      </c>
      <c r="P2805" s="117">
        <f>P2804+IF(AND($H2805&lt;&gt;"",OR(LEFT($F2805,LEN(SC_TK))=SC_TK,LEFT($G2805,LEN(SC_TK))=SC_TK)),1,0)</f>
        <v/>
      </c>
    </row>
    <row r="2806" ht="15" customHeight="1" s="78">
      <c r="A2806" s="95">
        <f>IF($H2806="","",ROW()-6)</f>
        <v/>
      </c>
      <c r="B2806" s="114" t="n"/>
      <c r="C2806" s="102" t="n"/>
      <c r="D2806" s="114" t="n"/>
      <c r="E2806" s="103" t="n"/>
      <c r="F2806" s="102" t="n"/>
      <c r="G2806" s="102" t="n"/>
      <c r="H2806" s="115" t="n"/>
      <c r="I2806" s="102" t="n"/>
      <c r="J2806" s="102" t="n"/>
      <c r="K2806" s="103" t="n"/>
      <c r="L2806" s="116">
        <f>IF($H2806="","",TRIM(IF(COUNTIF(DMTK!$A$7:$A$250,$F2806)=0,"TK Nợ sai! ","")&amp;IF(COUNTIF(DMTK!$A$7:$A$250,$G2806)=0,"TK Có sai! ","")&amp;IF(N($H2806)&lt;=0,"Tiền phải &gt; 0! ","")&amp;IF($B2806="","Thiếu ngày! ","")&amp;IF(AND(OR(LEFT($F2806,3)="131",LEFT($G2806,3)="131",LEFT($F2806,3)="331",LEFT($G2806,3)="331"),$I2806=""),"Thiếu Mã ĐT! ","")&amp;IF(AND($I2806&lt;&gt;"",COUNTIF(DM_DT!$A$7:$A$306,$I2806)=0),"Mã ĐT chưa khai báo! ","")))</f>
        <v/>
      </c>
      <c r="M2806" s="117">
        <f>IF($H2806="","",IF(AND(OR(LEFT($F2806,3)="111",LEFT($F2806,3)="112",LEFT($F2806,3)="113"),OR(LEFT($G2806,3)="111",LEFT($G2806,3)="112",LEFT($G2806,3)="113")),"NB",IF(OR(LEFT($F2806,3)="111",LEFT($F2806,3)="112",LEFT($F2806,3)="113"),"THU",IF(OR(LEFT($G2806,3)="111",LEFT($G2806,3)="112",LEFT($G2806,3)="113"),"CHI",""))))</f>
        <v/>
      </c>
      <c r="N2806" s="117">
        <f>IF($M2806="THU",$G2806,IF($M2806="CHI",$F2806,""))</f>
        <v/>
      </c>
      <c r="O2806" s="117">
        <f>IF(OR($M2806="",$M2806="NB"),"",IF($J2806&lt;&gt;"",TEXT($J2806,"00"),IFERROR(VLOOKUP(LEFT($N2806,4),LCTT_MAP!$A$7:$C$66,IF($M2806="THU",2,3),FALSE()),IFERROR(VLOOKUP(LEFT($N2806,3),LCTT_MAP!$A$7:$C$66,IF($M2806="THU",2,3),FALSE()),IFERROR(VLOOKUP(LEFT($N2806,2),LCTT_MAP!$A$7:$C$66,IF($M2806="THU",2,3),FALSE()),IFERROR(VLOOKUP(LEFT($N2806,1),LCTT_MAP!$A$7:$C$66,IF($M2806="THU",2,3),FALSE()),IF($M2806="THU","06","07")))))))</f>
        <v/>
      </c>
      <c r="P2806" s="117">
        <f>P2805+IF(AND($H2806&lt;&gt;"",OR(LEFT($F2806,LEN(SC_TK))=SC_TK,LEFT($G2806,LEN(SC_TK))=SC_TK)),1,0)</f>
        <v/>
      </c>
    </row>
    <row r="2807" ht="15" customHeight="1" s="78">
      <c r="A2807" s="95">
        <f>IF($H2807="","",ROW()-6)</f>
        <v/>
      </c>
      <c r="B2807" s="114" t="n"/>
      <c r="C2807" s="102" t="n"/>
      <c r="D2807" s="114" t="n"/>
      <c r="E2807" s="103" t="n"/>
      <c r="F2807" s="102" t="n"/>
      <c r="G2807" s="102" t="n"/>
      <c r="H2807" s="115" t="n"/>
      <c r="I2807" s="102" t="n"/>
      <c r="J2807" s="102" t="n"/>
      <c r="K2807" s="103" t="n"/>
      <c r="L2807" s="116">
        <f>IF($H2807="","",TRIM(IF(COUNTIF(DMTK!$A$7:$A$250,$F2807)=0,"TK Nợ sai! ","")&amp;IF(COUNTIF(DMTK!$A$7:$A$250,$G2807)=0,"TK Có sai! ","")&amp;IF(N($H2807)&lt;=0,"Tiền phải &gt; 0! ","")&amp;IF($B2807="","Thiếu ngày! ","")&amp;IF(AND(OR(LEFT($F2807,3)="131",LEFT($G2807,3)="131",LEFT($F2807,3)="331",LEFT($G2807,3)="331"),$I2807=""),"Thiếu Mã ĐT! ","")&amp;IF(AND($I2807&lt;&gt;"",COUNTIF(DM_DT!$A$7:$A$306,$I2807)=0),"Mã ĐT chưa khai báo! ","")))</f>
        <v/>
      </c>
      <c r="M2807" s="117">
        <f>IF($H2807="","",IF(AND(OR(LEFT($F2807,3)="111",LEFT($F2807,3)="112",LEFT($F2807,3)="113"),OR(LEFT($G2807,3)="111",LEFT($G2807,3)="112",LEFT($G2807,3)="113")),"NB",IF(OR(LEFT($F2807,3)="111",LEFT($F2807,3)="112",LEFT($F2807,3)="113"),"THU",IF(OR(LEFT($G2807,3)="111",LEFT($G2807,3)="112",LEFT($G2807,3)="113"),"CHI",""))))</f>
        <v/>
      </c>
      <c r="N2807" s="117">
        <f>IF($M2807="THU",$G2807,IF($M2807="CHI",$F2807,""))</f>
        <v/>
      </c>
      <c r="O2807" s="117">
        <f>IF(OR($M2807="",$M2807="NB"),"",IF($J2807&lt;&gt;"",TEXT($J2807,"00"),IFERROR(VLOOKUP(LEFT($N2807,4),LCTT_MAP!$A$7:$C$66,IF($M2807="THU",2,3),FALSE()),IFERROR(VLOOKUP(LEFT($N2807,3),LCTT_MAP!$A$7:$C$66,IF($M2807="THU",2,3),FALSE()),IFERROR(VLOOKUP(LEFT($N2807,2),LCTT_MAP!$A$7:$C$66,IF($M2807="THU",2,3),FALSE()),IFERROR(VLOOKUP(LEFT($N2807,1),LCTT_MAP!$A$7:$C$66,IF($M2807="THU",2,3),FALSE()),IF($M2807="THU","06","07")))))))</f>
        <v/>
      </c>
      <c r="P2807" s="117">
        <f>P2806+IF(AND($H2807&lt;&gt;"",OR(LEFT($F2807,LEN(SC_TK))=SC_TK,LEFT($G2807,LEN(SC_TK))=SC_TK)),1,0)</f>
        <v/>
      </c>
    </row>
    <row r="2808" ht="15" customHeight="1" s="78">
      <c r="A2808" s="95">
        <f>IF($H2808="","",ROW()-6)</f>
        <v/>
      </c>
      <c r="B2808" s="114" t="n"/>
      <c r="C2808" s="102" t="n"/>
      <c r="D2808" s="114" t="n"/>
      <c r="E2808" s="103" t="n"/>
      <c r="F2808" s="102" t="n"/>
      <c r="G2808" s="102" t="n"/>
      <c r="H2808" s="115" t="n"/>
      <c r="I2808" s="102" t="n"/>
      <c r="J2808" s="102" t="n"/>
      <c r="K2808" s="103" t="n"/>
      <c r="L2808" s="116">
        <f>IF($H2808="","",TRIM(IF(COUNTIF(DMTK!$A$7:$A$250,$F2808)=0,"TK Nợ sai! ","")&amp;IF(COUNTIF(DMTK!$A$7:$A$250,$G2808)=0,"TK Có sai! ","")&amp;IF(N($H2808)&lt;=0,"Tiền phải &gt; 0! ","")&amp;IF($B2808="","Thiếu ngày! ","")&amp;IF(AND(OR(LEFT($F2808,3)="131",LEFT($G2808,3)="131",LEFT($F2808,3)="331",LEFT($G2808,3)="331"),$I2808=""),"Thiếu Mã ĐT! ","")&amp;IF(AND($I2808&lt;&gt;"",COUNTIF(DM_DT!$A$7:$A$306,$I2808)=0),"Mã ĐT chưa khai báo! ","")))</f>
        <v/>
      </c>
      <c r="M2808" s="117">
        <f>IF($H2808="","",IF(AND(OR(LEFT($F2808,3)="111",LEFT($F2808,3)="112",LEFT($F2808,3)="113"),OR(LEFT($G2808,3)="111",LEFT($G2808,3)="112",LEFT($G2808,3)="113")),"NB",IF(OR(LEFT($F2808,3)="111",LEFT($F2808,3)="112",LEFT($F2808,3)="113"),"THU",IF(OR(LEFT($G2808,3)="111",LEFT($G2808,3)="112",LEFT($G2808,3)="113"),"CHI",""))))</f>
        <v/>
      </c>
      <c r="N2808" s="117">
        <f>IF($M2808="THU",$G2808,IF($M2808="CHI",$F2808,""))</f>
        <v/>
      </c>
      <c r="O2808" s="117">
        <f>IF(OR($M2808="",$M2808="NB"),"",IF($J2808&lt;&gt;"",TEXT($J2808,"00"),IFERROR(VLOOKUP(LEFT($N2808,4),LCTT_MAP!$A$7:$C$66,IF($M2808="THU",2,3),FALSE()),IFERROR(VLOOKUP(LEFT($N2808,3),LCTT_MAP!$A$7:$C$66,IF($M2808="THU",2,3),FALSE()),IFERROR(VLOOKUP(LEFT($N2808,2),LCTT_MAP!$A$7:$C$66,IF($M2808="THU",2,3),FALSE()),IFERROR(VLOOKUP(LEFT($N2808,1),LCTT_MAP!$A$7:$C$66,IF($M2808="THU",2,3),FALSE()),IF($M2808="THU","06","07")))))))</f>
        <v/>
      </c>
      <c r="P2808" s="117">
        <f>P2807+IF(AND($H2808&lt;&gt;"",OR(LEFT($F2808,LEN(SC_TK))=SC_TK,LEFT($G2808,LEN(SC_TK))=SC_TK)),1,0)</f>
        <v/>
      </c>
    </row>
    <row r="2809" ht="15" customHeight="1" s="78">
      <c r="A2809" s="95">
        <f>IF($H2809="","",ROW()-6)</f>
        <v/>
      </c>
      <c r="B2809" s="114" t="n"/>
      <c r="C2809" s="102" t="n"/>
      <c r="D2809" s="114" t="n"/>
      <c r="E2809" s="103" t="n"/>
      <c r="F2809" s="102" t="n"/>
      <c r="G2809" s="102" t="n"/>
      <c r="H2809" s="115" t="n"/>
      <c r="I2809" s="102" t="n"/>
      <c r="J2809" s="102" t="n"/>
      <c r="K2809" s="103" t="n"/>
      <c r="L2809" s="116">
        <f>IF($H2809="","",TRIM(IF(COUNTIF(DMTK!$A$7:$A$250,$F2809)=0,"TK Nợ sai! ","")&amp;IF(COUNTIF(DMTK!$A$7:$A$250,$G2809)=0,"TK Có sai! ","")&amp;IF(N($H2809)&lt;=0,"Tiền phải &gt; 0! ","")&amp;IF($B2809="","Thiếu ngày! ","")&amp;IF(AND(OR(LEFT($F2809,3)="131",LEFT($G2809,3)="131",LEFT($F2809,3)="331",LEFT($G2809,3)="331"),$I2809=""),"Thiếu Mã ĐT! ","")&amp;IF(AND($I2809&lt;&gt;"",COUNTIF(DM_DT!$A$7:$A$306,$I2809)=0),"Mã ĐT chưa khai báo! ","")))</f>
        <v/>
      </c>
      <c r="M2809" s="117">
        <f>IF($H2809="","",IF(AND(OR(LEFT($F2809,3)="111",LEFT($F2809,3)="112",LEFT($F2809,3)="113"),OR(LEFT($G2809,3)="111",LEFT($G2809,3)="112",LEFT($G2809,3)="113")),"NB",IF(OR(LEFT($F2809,3)="111",LEFT($F2809,3)="112",LEFT($F2809,3)="113"),"THU",IF(OR(LEFT($G2809,3)="111",LEFT($G2809,3)="112",LEFT($G2809,3)="113"),"CHI",""))))</f>
        <v/>
      </c>
      <c r="N2809" s="117">
        <f>IF($M2809="THU",$G2809,IF($M2809="CHI",$F2809,""))</f>
        <v/>
      </c>
      <c r="O2809" s="117">
        <f>IF(OR($M2809="",$M2809="NB"),"",IF($J2809&lt;&gt;"",TEXT($J2809,"00"),IFERROR(VLOOKUP(LEFT($N2809,4),LCTT_MAP!$A$7:$C$66,IF($M2809="THU",2,3),FALSE()),IFERROR(VLOOKUP(LEFT($N2809,3),LCTT_MAP!$A$7:$C$66,IF($M2809="THU",2,3),FALSE()),IFERROR(VLOOKUP(LEFT($N2809,2),LCTT_MAP!$A$7:$C$66,IF($M2809="THU",2,3),FALSE()),IFERROR(VLOOKUP(LEFT($N2809,1),LCTT_MAP!$A$7:$C$66,IF($M2809="THU",2,3),FALSE()),IF($M2809="THU","06","07")))))))</f>
        <v/>
      </c>
      <c r="P2809" s="117">
        <f>P2808+IF(AND($H2809&lt;&gt;"",OR(LEFT($F2809,LEN(SC_TK))=SC_TK,LEFT($G2809,LEN(SC_TK))=SC_TK)),1,0)</f>
        <v/>
      </c>
    </row>
    <row r="2810" ht="15" customHeight="1" s="78">
      <c r="A2810" s="95">
        <f>IF($H2810="","",ROW()-6)</f>
        <v/>
      </c>
      <c r="B2810" s="114" t="n"/>
      <c r="C2810" s="102" t="n"/>
      <c r="D2810" s="114" t="n"/>
      <c r="E2810" s="103" t="n"/>
      <c r="F2810" s="102" t="n"/>
      <c r="G2810" s="102" t="n"/>
      <c r="H2810" s="115" t="n"/>
      <c r="I2810" s="102" t="n"/>
      <c r="J2810" s="102" t="n"/>
      <c r="K2810" s="103" t="n"/>
      <c r="L2810" s="116">
        <f>IF($H2810="","",TRIM(IF(COUNTIF(DMTK!$A$7:$A$250,$F2810)=0,"TK Nợ sai! ","")&amp;IF(COUNTIF(DMTK!$A$7:$A$250,$G2810)=0,"TK Có sai! ","")&amp;IF(N($H2810)&lt;=0,"Tiền phải &gt; 0! ","")&amp;IF($B2810="","Thiếu ngày! ","")&amp;IF(AND(OR(LEFT($F2810,3)="131",LEFT($G2810,3)="131",LEFT($F2810,3)="331",LEFT($G2810,3)="331"),$I2810=""),"Thiếu Mã ĐT! ","")&amp;IF(AND($I2810&lt;&gt;"",COUNTIF(DM_DT!$A$7:$A$306,$I2810)=0),"Mã ĐT chưa khai báo! ","")))</f>
        <v/>
      </c>
      <c r="M2810" s="117">
        <f>IF($H2810="","",IF(AND(OR(LEFT($F2810,3)="111",LEFT($F2810,3)="112",LEFT($F2810,3)="113"),OR(LEFT($G2810,3)="111",LEFT($G2810,3)="112",LEFT($G2810,3)="113")),"NB",IF(OR(LEFT($F2810,3)="111",LEFT($F2810,3)="112",LEFT($F2810,3)="113"),"THU",IF(OR(LEFT($G2810,3)="111",LEFT($G2810,3)="112",LEFT($G2810,3)="113"),"CHI",""))))</f>
        <v/>
      </c>
      <c r="N2810" s="117">
        <f>IF($M2810="THU",$G2810,IF($M2810="CHI",$F2810,""))</f>
        <v/>
      </c>
      <c r="O2810" s="117">
        <f>IF(OR($M2810="",$M2810="NB"),"",IF($J2810&lt;&gt;"",TEXT($J2810,"00"),IFERROR(VLOOKUP(LEFT($N2810,4),LCTT_MAP!$A$7:$C$66,IF($M2810="THU",2,3),FALSE()),IFERROR(VLOOKUP(LEFT($N2810,3),LCTT_MAP!$A$7:$C$66,IF($M2810="THU",2,3),FALSE()),IFERROR(VLOOKUP(LEFT($N2810,2),LCTT_MAP!$A$7:$C$66,IF($M2810="THU",2,3),FALSE()),IFERROR(VLOOKUP(LEFT($N2810,1),LCTT_MAP!$A$7:$C$66,IF($M2810="THU",2,3),FALSE()),IF($M2810="THU","06","07")))))))</f>
        <v/>
      </c>
      <c r="P2810" s="117">
        <f>P2809+IF(AND($H2810&lt;&gt;"",OR(LEFT($F2810,LEN(SC_TK))=SC_TK,LEFT($G2810,LEN(SC_TK))=SC_TK)),1,0)</f>
        <v/>
      </c>
    </row>
    <row r="2811" ht="15" customHeight="1" s="78">
      <c r="A2811" s="95">
        <f>IF($H2811="","",ROW()-6)</f>
        <v/>
      </c>
      <c r="B2811" s="114" t="n"/>
      <c r="C2811" s="102" t="n"/>
      <c r="D2811" s="114" t="n"/>
      <c r="E2811" s="103" t="n"/>
      <c r="F2811" s="102" t="n"/>
      <c r="G2811" s="102" t="n"/>
      <c r="H2811" s="115" t="n"/>
      <c r="I2811" s="102" t="n"/>
      <c r="J2811" s="102" t="n"/>
      <c r="K2811" s="103" t="n"/>
      <c r="L2811" s="116">
        <f>IF($H2811="","",TRIM(IF(COUNTIF(DMTK!$A$7:$A$250,$F2811)=0,"TK Nợ sai! ","")&amp;IF(COUNTIF(DMTK!$A$7:$A$250,$G2811)=0,"TK Có sai! ","")&amp;IF(N($H2811)&lt;=0,"Tiền phải &gt; 0! ","")&amp;IF($B2811="","Thiếu ngày! ","")&amp;IF(AND(OR(LEFT($F2811,3)="131",LEFT($G2811,3)="131",LEFT($F2811,3)="331",LEFT($G2811,3)="331"),$I2811=""),"Thiếu Mã ĐT! ","")&amp;IF(AND($I2811&lt;&gt;"",COUNTIF(DM_DT!$A$7:$A$306,$I2811)=0),"Mã ĐT chưa khai báo! ","")))</f>
        <v/>
      </c>
      <c r="M2811" s="117">
        <f>IF($H2811="","",IF(AND(OR(LEFT($F2811,3)="111",LEFT($F2811,3)="112",LEFT($F2811,3)="113"),OR(LEFT($G2811,3)="111",LEFT($G2811,3)="112",LEFT($G2811,3)="113")),"NB",IF(OR(LEFT($F2811,3)="111",LEFT($F2811,3)="112",LEFT($F2811,3)="113"),"THU",IF(OR(LEFT($G2811,3)="111",LEFT($G2811,3)="112",LEFT($G2811,3)="113"),"CHI",""))))</f>
        <v/>
      </c>
      <c r="N2811" s="117">
        <f>IF($M2811="THU",$G2811,IF($M2811="CHI",$F2811,""))</f>
        <v/>
      </c>
      <c r="O2811" s="117">
        <f>IF(OR($M2811="",$M2811="NB"),"",IF($J2811&lt;&gt;"",TEXT($J2811,"00"),IFERROR(VLOOKUP(LEFT($N2811,4),LCTT_MAP!$A$7:$C$66,IF($M2811="THU",2,3),FALSE()),IFERROR(VLOOKUP(LEFT($N2811,3),LCTT_MAP!$A$7:$C$66,IF($M2811="THU",2,3),FALSE()),IFERROR(VLOOKUP(LEFT($N2811,2),LCTT_MAP!$A$7:$C$66,IF($M2811="THU",2,3),FALSE()),IFERROR(VLOOKUP(LEFT($N2811,1),LCTT_MAP!$A$7:$C$66,IF($M2811="THU",2,3),FALSE()),IF($M2811="THU","06","07")))))))</f>
        <v/>
      </c>
      <c r="P2811" s="117">
        <f>P2810+IF(AND($H2811&lt;&gt;"",OR(LEFT($F2811,LEN(SC_TK))=SC_TK,LEFT($G2811,LEN(SC_TK))=SC_TK)),1,0)</f>
        <v/>
      </c>
    </row>
    <row r="2812" ht="15" customHeight="1" s="78">
      <c r="A2812" s="95">
        <f>IF($H2812="","",ROW()-6)</f>
        <v/>
      </c>
      <c r="B2812" s="114" t="n"/>
      <c r="C2812" s="102" t="n"/>
      <c r="D2812" s="114" t="n"/>
      <c r="E2812" s="103" t="n"/>
      <c r="F2812" s="102" t="n"/>
      <c r="G2812" s="102" t="n"/>
      <c r="H2812" s="115" t="n"/>
      <c r="I2812" s="102" t="n"/>
      <c r="J2812" s="102" t="n"/>
      <c r="K2812" s="103" t="n"/>
      <c r="L2812" s="116">
        <f>IF($H2812="","",TRIM(IF(COUNTIF(DMTK!$A$7:$A$250,$F2812)=0,"TK Nợ sai! ","")&amp;IF(COUNTIF(DMTK!$A$7:$A$250,$G2812)=0,"TK Có sai! ","")&amp;IF(N($H2812)&lt;=0,"Tiền phải &gt; 0! ","")&amp;IF($B2812="","Thiếu ngày! ","")&amp;IF(AND(OR(LEFT($F2812,3)="131",LEFT($G2812,3)="131",LEFT($F2812,3)="331",LEFT($G2812,3)="331"),$I2812=""),"Thiếu Mã ĐT! ","")&amp;IF(AND($I2812&lt;&gt;"",COUNTIF(DM_DT!$A$7:$A$306,$I2812)=0),"Mã ĐT chưa khai báo! ","")))</f>
        <v/>
      </c>
      <c r="M2812" s="117">
        <f>IF($H2812="","",IF(AND(OR(LEFT($F2812,3)="111",LEFT($F2812,3)="112",LEFT($F2812,3)="113"),OR(LEFT($G2812,3)="111",LEFT($G2812,3)="112",LEFT($G2812,3)="113")),"NB",IF(OR(LEFT($F2812,3)="111",LEFT($F2812,3)="112",LEFT($F2812,3)="113"),"THU",IF(OR(LEFT($G2812,3)="111",LEFT($G2812,3)="112",LEFT($G2812,3)="113"),"CHI",""))))</f>
        <v/>
      </c>
      <c r="N2812" s="117">
        <f>IF($M2812="THU",$G2812,IF($M2812="CHI",$F2812,""))</f>
        <v/>
      </c>
      <c r="O2812" s="117">
        <f>IF(OR($M2812="",$M2812="NB"),"",IF($J2812&lt;&gt;"",TEXT($J2812,"00"),IFERROR(VLOOKUP(LEFT($N2812,4),LCTT_MAP!$A$7:$C$66,IF($M2812="THU",2,3),FALSE()),IFERROR(VLOOKUP(LEFT($N2812,3),LCTT_MAP!$A$7:$C$66,IF($M2812="THU",2,3),FALSE()),IFERROR(VLOOKUP(LEFT($N2812,2),LCTT_MAP!$A$7:$C$66,IF($M2812="THU",2,3),FALSE()),IFERROR(VLOOKUP(LEFT($N2812,1),LCTT_MAP!$A$7:$C$66,IF($M2812="THU",2,3),FALSE()),IF($M2812="THU","06","07")))))))</f>
        <v/>
      </c>
      <c r="P2812" s="117">
        <f>P2811+IF(AND($H2812&lt;&gt;"",OR(LEFT($F2812,LEN(SC_TK))=SC_TK,LEFT($G2812,LEN(SC_TK))=SC_TK)),1,0)</f>
        <v/>
      </c>
    </row>
    <row r="2813" ht="15" customHeight="1" s="78">
      <c r="A2813" s="95">
        <f>IF($H2813="","",ROW()-6)</f>
        <v/>
      </c>
      <c r="B2813" s="114" t="n"/>
      <c r="C2813" s="102" t="n"/>
      <c r="D2813" s="114" t="n"/>
      <c r="E2813" s="103" t="n"/>
      <c r="F2813" s="102" t="n"/>
      <c r="G2813" s="102" t="n"/>
      <c r="H2813" s="115" t="n"/>
      <c r="I2813" s="102" t="n"/>
      <c r="J2813" s="102" t="n"/>
      <c r="K2813" s="103" t="n"/>
      <c r="L2813" s="116">
        <f>IF($H2813="","",TRIM(IF(COUNTIF(DMTK!$A$7:$A$250,$F2813)=0,"TK Nợ sai! ","")&amp;IF(COUNTIF(DMTK!$A$7:$A$250,$G2813)=0,"TK Có sai! ","")&amp;IF(N($H2813)&lt;=0,"Tiền phải &gt; 0! ","")&amp;IF($B2813="","Thiếu ngày! ","")&amp;IF(AND(OR(LEFT($F2813,3)="131",LEFT($G2813,3)="131",LEFT($F2813,3)="331",LEFT($G2813,3)="331"),$I2813=""),"Thiếu Mã ĐT! ","")&amp;IF(AND($I2813&lt;&gt;"",COUNTIF(DM_DT!$A$7:$A$306,$I2813)=0),"Mã ĐT chưa khai báo! ","")))</f>
        <v/>
      </c>
      <c r="M2813" s="117">
        <f>IF($H2813="","",IF(AND(OR(LEFT($F2813,3)="111",LEFT($F2813,3)="112",LEFT($F2813,3)="113"),OR(LEFT($G2813,3)="111",LEFT($G2813,3)="112",LEFT($G2813,3)="113")),"NB",IF(OR(LEFT($F2813,3)="111",LEFT($F2813,3)="112",LEFT($F2813,3)="113"),"THU",IF(OR(LEFT($G2813,3)="111",LEFT($G2813,3)="112",LEFT($G2813,3)="113"),"CHI",""))))</f>
        <v/>
      </c>
      <c r="N2813" s="117">
        <f>IF($M2813="THU",$G2813,IF($M2813="CHI",$F2813,""))</f>
        <v/>
      </c>
      <c r="O2813" s="117">
        <f>IF(OR($M2813="",$M2813="NB"),"",IF($J2813&lt;&gt;"",TEXT($J2813,"00"),IFERROR(VLOOKUP(LEFT($N2813,4),LCTT_MAP!$A$7:$C$66,IF($M2813="THU",2,3),FALSE()),IFERROR(VLOOKUP(LEFT($N2813,3),LCTT_MAP!$A$7:$C$66,IF($M2813="THU",2,3),FALSE()),IFERROR(VLOOKUP(LEFT($N2813,2),LCTT_MAP!$A$7:$C$66,IF($M2813="THU",2,3),FALSE()),IFERROR(VLOOKUP(LEFT($N2813,1),LCTT_MAP!$A$7:$C$66,IF($M2813="THU",2,3),FALSE()),IF($M2813="THU","06","07")))))))</f>
        <v/>
      </c>
      <c r="P2813" s="117">
        <f>P2812+IF(AND($H2813&lt;&gt;"",OR(LEFT($F2813,LEN(SC_TK))=SC_TK,LEFT($G2813,LEN(SC_TK))=SC_TK)),1,0)</f>
        <v/>
      </c>
    </row>
    <row r="2814" ht="15" customHeight="1" s="78">
      <c r="A2814" s="95">
        <f>IF($H2814="","",ROW()-6)</f>
        <v/>
      </c>
      <c r="B2814" s="114" t="n"/>
      <c r="C2814" s="102" t="n"/>
      <c r="D2814" s="114" t="n"/>
      <c r="E2814" s="103" t="n"/>
      <c r="F2814" s="102" t="n"/>
      <c r="G2814" s="102" t="n"/>
      <c r="H2814" s="115" t="n"/>
      <c r="I2814" s="102" t="n"/>
      <c r="J2814" s="102" t="n"/>
      <c r="K2814" s="103" t="n"/>
      <c r="L2814" s="116">
        <f>IF($H2814="","",TRIM(IF(COUNTIF(DMTK!$A$7:$A$250,$F2814)=0,"TK Nợ sai! ","")&amp;IF(COUNTIF(DMTK!$A$7:$A$250,$G2814)=0,"TK Có sai! ","")&amp;IF(N($H2814)&lt;=0,"Tiền phải &gt; 0! ","")&amp;IF($B2814="","Thiếu ngày! ","")&amp;IF(AND(OR(LEFT($F2814,3)="131",LEFT($G2814,3)="131",LEFT($F2814,3)="331",LEFT($G2814,3)="331"),$I2814=""),"Thiếu Mã ĐT! ","")&amp;IF(AND($I2814&lt;&gt;"",COUNTIF(DM_DT!$A$7:$A$306,$I2814)=0),"Mã ĐT chưa khai báo! ","")))</f>
        <v/>
      </c>
      <c r="M2814" s="117">
        <f>IF($H2814="","",IF(AND(OR(LEFT($F2814,3)="111",LEFT($F2814,3)="112",LEFT($F2814,3)="113"),OR(LEFT($G2814,3)="111",LEFT($G2814,3)="112",LEFT($G2814,3)="113")),"NB",IF(OR(LEFT($F2814,3)="111",LEFT($F2814,3)="112",LEFT($F2814,3)="113"),"THU",IF(OR(LEFT($G2814,3)="111",LEFT($G2814,3)="112",LEFT($G2814,3)="113"),"CHI",""))))</f>
        <v/>
      </c>
      <c r="N2814" s="117">
        <f>IF($M2814="THU",$G2814,IF($M2814="CHI",$F2814,""))</f>
        <v/>
      </c>
      <c r="O2814" s="117">
        <f>IF(OR($M2814="",$M2814="NB"),"",IF($J2814&lt;&gt;"",TEXT($J2814,"00"),IFERROR(VLOOKUP(LEFT($N2814,4),LCTT_MAP!$A$7:$C$66,IF($M2814="THU",2,3),FALSE()),IFERROR(VLOOKUP(LEFT($N2814,3),LCTT_MAP!$A$7:$C$66,IF($M2814="THU",2,3),FALSE()),IFERROR(VLOOKUP(LEFT($N2814,2),LCTT_MAP!$A$7:$C$66,IF($M2814="THU",2,3),FALSE()),IFERROR(VLOOKUP(LEFT($N2814,1),LCTT_MAP!$A$7:$C$66,IF($M2814="THU",2,3),FALSE()),IF($M2814="THU","06","07")))))))</f>
        <v/>
      </c>
      <c r="P2814" s="117">
        <f>P2813+IF(AND($H2814&lt;&gt;"",OR(LEFT($F2814,LEN(SC_TK))=SC_TK,LEFT($G2814,LEN(SC_TK))=SC_TK)),1,0)</f>
        <v/>
      </c>
    </row>
    <row r="2815" ht="15" customHeight="1" s="78">
      <c r="A2815" s="95">
        <f>IF($H2815="","",ROW()-6)</f>
        <v/>
      </c>
      <c r="B2815" s="114" t="n"/>
      <c r="C2815" s="102" t="n"/>
      <c r="D2815" s="114" t="n"/>
      <c r="E2815" s="103" t="n"/>
      <c r="F2815" s="102" t="n"/>
      <c r="G2815" s="102" t="n"/>
      <c r="H2815" s="115" t="n"/>
      <c r="I2815" s="102" t="n"/>
      <c r="J2815" s="102" t="n"/>
      <c r="K2815" s="103" t="n"/>
      <c r="L2815" s="116">
        <f>IF($H2815="","",TRIM(IF(COUNTIF(DMTK!$A$7:$A$250,$F2815)=0,"TK Nợ sai! ","")&amp;IF(COUNTIF(DMTK!$A$7:$A$250,$G2815)=0,"TK Có sai! ","")&amp;IF(N($H2815)&lt;=0,"Tiền phải &gt; 0! ","")&amp;IF($B2815="","Thiếu ngày! ","")&amp;IF(AND(OR(LEFT($F2815,3)="131",LEFT($G2815,3)="131",LEFT($F2815,3)="331",LEFT($G2815,3)="331"),$I2815=""),"Thiếu Mã ĐT! ","")&amp;IF(AND($I2815&lt;&gt;"",COUNTIF(DM_DT!$A$7:$A$306,$I2815)=0),"Mã ĐT chưa khai báo! ","")))</f>
        <v/>
      </c>
      <c r="M2815" s="117">
        <f>IF($H2815="","",IF(AND(OR(LEFT($F2815,3)="111",LEFT($F2815,3)="112",LEFT($F2815,3)="113"),OR(LEFT($G2815,3)="111",LEFT($G2815,3)="112",LEFT($G2815,3)="113")),"NB",IF(OR(LEFT($F2815,3)="111",LEFT($F2815,3)="112",LEFT($F2815,3)="113"),"THU",IF(OR(LEFT($G2815,3)="111",LEFT($G2815,3)="112",LEFT($G2815,3)="113"),"CHI",""))))</f>
        <v/>
      </c>
      <c r="N2815" s="117">
        <f>IF($M2815="THU",$G2815,IF($M2815="CHI",$F2815,""))</f>
        <v/>
      </c>
      <c r="O2815" s="117">
        <f>IF(OR($M2815="",$M2815="NB"),"",IF($J2815&lt;&gt;"",TEXT($J2815,"00"),IFERROR(VLOOKUP(LEFT($N2815,4),LCTT_MAP!$A$7:$C$66,IF($M2815="THU",2,3),FALSE()),IFERROR(VLOOKUP(LEFT($N2815,3),LCTT_MAP!$A$7:$C$66,IF($M2815="THU",2,3),FALSE()),IFERROR(VLOOKUP(LEFT($N2815,2),LCTT_MAP!$A$7:$C$66,IF($M2815="THU",2,3),FALSE()),IFERROR(VLOOKUP(LEFT($N2815,1),LCTT_MAP!$A$7:$C$66,IF($M2815="THU",2,3),FALSE()),IF($M2815="THU","06","07")))))))</f>
        <v/>
      </c>
      <c r="P2815" s="117">
        <f>P2814+IF(AND($H2815&lt;&gt;"",OR(LEFT($F2815,LEN(SC_TK))=SC_TK,LEFT($G2815,LEN(SC_TK))=SC_TK)),1,0)</f>
        <v/>
      </c>
    </row>
    <row r="2816" ht="15" customHeight="1" s="78">
      <c r="A2816" s="95">
        <f>IF($H2816="","",ROW()-6)</f>
        <v/>
      </c>
      <c r="B2816" s="114" t="n"/>
      <c r="C2816" s="102" t="n"/>
      <c r="D2816" s="114" t="n"/>
      <c r="E2816" s="103" t="n"/>
      <c r="F2816" s="102" t="n"/>
      <c r="G2816" s="102" t="n"/>
      <c r="H2816" s="115" t="n"/>
      <c r="I2816" s="102" t="n"/>
      <c r="J2816" s="102" t="n"/>
      <c r="K2816" s="103" t="n"/>
      <c r="L2816" s="116">
        <f>IF($H2816="","",TRIM(IF(COUNTIF(DMTK!$A$7:$A$250,$F2816)=0,"TK Nợ sai! ","")&amp;IF(COUNTIF(DMTK!$A$7:$A$250,$G2816)=0,"TK Có sai! ","")&amp;IF(N($H2816)&lt;=0,"Tiền phải &gt; 0! ","")&amp;IF($B2816="","Thiếu ngày! ","")&amp;IF(AND(OR(LEFT($F2816,3)="131",LEFT($G2816,3)="131",LEFT($F2816,3)="331",LEFT($G2816,3)="331"),$I2816=""),"Thiếu Mã ĐT! ","")&amp;IF(AND($I2816&lt;&gt;"",COUNTIF(DM_DT!$A$7:$A$306,$I2816)=0),"Mã ĐT chưa khai báo! ","")))</f>
        <v/>
      </c>
      <c r="M2816" s="117">
        <f>IF($H2816="","",IF(AND(OR(LEFT($F2816,3)="111",LEFT($F2816,3)="112",LEFT($F2816,3)="113"),OR(LEFT($G2816,3)="111",LEFT($G2816,3)="112",LEFT($G2816,3)="113")),"NB",IF(OR(LEFT($F2816,3)="111",LEFT($F2816,3)="112",LEFT($F2816,3)="113"),"THU",IF(OR(LEFT($G2816,3)="111",LEFT($G2816,3)="112",LEFT($G2816,3)="113"),"CHI",""))))</f>
        <v/>
      </c>
      <c r="N2816" s="117">
        <f>IF($M2816="THU",$G2816,IF($M2816="CHI",$F2816,""))</f>
        <v/>
      </c>
      <c r="O2816" s="117">
        <f>IF(OR($M2816="",$M2816="NB"),"",IF($J2816&lt;&gt;"",TEXT($J2816,"00"),IFERROR(VLOOKUP(LEFT($N2816,4),LCTT_MAP!$A$7:$C$66,IF($M2816="THU",2,3),FALSE()),IFERROR(VLOOKUP(LEFT($N2816,3),LCTT_MAP!$A$7:$C$66,IF($M2816="THU",2,3),FALSE()),IFERROR(VLOOKUP(LEFT($N2816,2),LCTT_MAP!$A$7:$C$66,IF($M2816="THU",2,3),FALSE()),IFERROR(VLOOKUP(LEFT($N2816,1),LCTT_MAP!$A$7:$C$66,IF($M2816="THU",2,3),FALSE()),IF($M2816="THU","06","07")))))))</f>
        <v/>
      </c>
      <c r="P2816" s="117">
        <f>P2815+IF(AND($H2816&lt;&gt;"",OR(LEFT($F2816,LEN(SC_TK))=SC_TK,LEFT($G2816,LEN(SC_TK))=SC_TK)),1,0)</f>
        <v/>
      </c>
    </row>
    <row r="2817" ht="15" customHeight="1" s="78">
      <c r="A2817" s="95">
        <f>IF($H2817="","",ROW()-6)</f>
        <v/>
      </c>
      <c r="B2817" s="114" t="n"/>
      <c r="C2817" s="102" t="n"/>
      <c r="D2817" s="114" t="n"/>
      <c r="E2817" s="103" t="n"/>
      <c r="F2817" s="102" t="n"/>
      <c r="G2817" s="102" t="n"/>
      <c r="H2817" s="115" t="n"/>
      <c r="I2817" s="102" t="n"/>
      <c r="J2817" s="102" t="n"/>
      <c r="K2817" s="103" t="n"/>
      <c r="L2817" s="116">
        <f>IF($H2817="","",TRIM(IF(COUNTIF(DMTK!$A$7:$A$250,$F2817)=0,"TK Nợ sai! ","")&amp;IF(COUNTIF(DMTK!$A$7:$A$250,$G2817)=0,"TK Có sai! ","")&amp;IF(N($H2817)&lt;=0,"Tiền phải &gt; 0! ","")&amp;IF($B2817="","Thiếu ngày! ","")&amp;IF(AND(OR(LEFT($F2817,3)="131",LEFT($G2817,3)="131",LEFT($F2817,3)="331",LEFT($G2817,3)="331"),$I2817=""),"Thiếu Mã ĐT! ","")&amp;IF(AND($I2817&lt;&gt;"",COUNTIF(DM_DT!$A$7:$A$306,$I2817)=0),"Mã ĐT chưa khai báo! ","")))</f>
        <v/>
      </c>
      <c r="M2817" s="117">
        <f>IF($H2817="","",IF(AND(OR(LEFT($F2817,3)="111",LEFT($F2817,3)="112",LEFT($F2817,3)="113"),OR(LEFT($G2817,3)="111",LEFT($G2817,3)="112",LEFT($G2817,3)="113")),"NB",IF(OR(LEFT($F2817,3)="111",LEFT($F2817,3)="112",LEFT($F2817,3)="113"),"THU",IF(OR(LEFT($G2817,3)="111",LEFT($G2817,3)="112",LEFT($G2817,3)="113"),"CHI",""))))</f>
        <v/>
      </c>
      <c r="N2817" s="117">
        <f>IF($M2817="THU",$G2817,IF($M2817="CHI",$F2817,""))</f>
        <v/>
      </c>
      <c r="O2817" s="117">
        <f>IF(OR($M2817="",$M2817="NB"),"",IF($J2817&lt;&gt;"",TEXT($J2817,"00"),IFERROR(VLOOKUP(LEFT($N2817,4),LCTT_MAP!$A$7:$C$66,IF($M2817="THU",2,3),FALSE()),IFERROR(VLOOKUP(LEFT($N2817,3),LCTT_MAP!$A$7:$C$66,IF($M2817="THU",2,3),FALSE()),IFERROR(VLOOKUP(LEFT($N2817,2),LCTT_MAP!$A$7:$C$66,IF($M2817="THU",2,3),FALSE()),IFERROR(VLOOKUP(LEFT($N2817,1),LCTT_MAP!$A$7:$C$66,IF($M2817="THU",2,3),FALSE()),IF($M2817="THU","06","07")))))))</f>
        <v/>
      </c>
      <c r="P2817" s="117">
        <f>P2816+IF(AND($H2817&lt;&gt;"",OR(LEFT($F2817,LEN(SC_TK))=SC_TK,LEFT($G2817,LEN(SC_TK))=SC_TK)),1,0)</f>
        <v/>
      </c>
    </row>
    <row r="2818" ht="15" customHeight="1" s="78">
      <c r="A2818" s="95">
        <f>IF($H2818="","",ROW()-6)</f>
        <v/>
      </c>
      <c r="B2818" s="114" t="n"/>
      <c r="C2818" s="102" t="n"/>
      <c r="D2818" s="114" t="n"/>
      <c r="E2818" s="103" t="n"/>
      <c r="F2818" s="102" t="n"/>
      <c r="G2818" s="102" t="n"/>
      <c r="H2818" s="115" t="n"/>
      <c r="I2818" s="102" t="n"/>
      <c r="J2818" s="102" t="n"/>
      <c r="K2818" s="103" t="n"/>
      <c r="L2818" s="116">
        <f>IF($H2818="","",TRIM(IF(COUNTIF(DMTK!$A$7:$A$250,$F2818)=0,"TK Nợ sai! ","")&amp;IF(COUNTIF(DMTK!$A$7:$A$250,$G2818)=0,"TK Có sai! ","")&amp;IF(N($H2818)&lt;=0,"Tiền phải &gt; 0! ","")&amp;IF($B2818="","Thiếu ngày! ","")&amp;IF(AND(OR(LEFT($F2818,3)="131",LEFT($G2818,3)="131",LEFT($F2818,3)="331",LEFT($G2818,3)="331"),$I2818=""),"Thiếu Mã ĐT! ","")&amp;IF(AND($I2818&lt;&gt;"",COUNTIF(DM_DT!$A$7:$A$306,$I2818)=0),"Mã ĐT chưa khai báo! ","")))</f>
        <v/>
      </c>
      <c r="M2818" s="117">
        <f>IF($H2818="","",IF(AND(OR(LEFT($F2818,3)="111",LEFT($F2818,3)="112",LEFT($F2818,3)="113"),OR(LEFT($G2818,3)="111",LEFT($G2818,3)="112",LEFT($G2818,3)="113")),"NB",IF(OR(LEFT($F2818,3)="111",LEFT($F2818,3)="112",LEFT($F2818,3)="113"),"THU",IF(OR(LEFT($G2818,3)="111",LEFT($G2818,3)="112",LEFT($G2818,3)="113"),"CHI",""))))</f>
        <v/>
      </c>
      <c r="N2818" s="117">
        <f>IF($M2818="THU",$G2818,IF($M2818="CHI",$F2818,""))</f>
        <v/>
      </c>
      <c r="O2818" s="117">
        <f>IF(OR($M2818="",$M2818="NB"),"",IF($J2818&lt;&gt;"",TEXT($J2818,"00"),IFERROR(VLOOKUP(LEFT($N2818,4),LCTT_MAP!$A$7:$C$66,IF($M2818="THU",2,3),FALSE()),IFERROR(VLOOKUP(LEFT($N2818,3),LCTT_MAP!$A$7:$C$66,IF($M2818="THU",2,3),FALSE()),IFERROR(VLOOKUP(LEFT($N2818,2),LCTT_MAP!$A$7:$C$66,IF($M2818="THU",2,3),FALSE()),IFERROR(VLOOKUP(LEFT($N2818,1),LCTT_MAP!$A$7:$C$66,IF($M2818="THU",2,3),FALSE()),IF($M2818="THU","06","07")))))))</f>
        <v/>
      </c>
      <c r="P2818" s="117">
        <f>P2817+IF(AND($H2818&lt;&gt;"",OR(LEFT($F2818,LEN(SC_TK))=SC_TK,LEFT($G2818,LEN(SC_TK))=SC_TK)),1,0)</f>
        <v/>
      </c>
    </row>
    <row r="2819" ht="15" customHeight="1" s="78">
      <c r="A2819" s="95">
        <f>IF($H2819="","",ROW()-6)</f>
        <v/>
      </c>
      <c r="B2819" s="114" t="n"/>
      <c r="C2819" s="102" t="n"/>
      <c r="D2819" s="114" t="n"/>
      <c r="E2819" s="103" t="n"/>
      <c r="F2819" s="102" t="n"/>
      <c r="G2819" s="102" t="n"/>
      <c r="H2819" s="115" t="n"/>
      <c r="I2819" s="102" t="n"/>
      <c r="J2819" s="102" t="n"/>
      <c r="K2819" s="103" t="n"/>
      <c r="L2819" s="116">
        <f>IF($H2819="","",TRIM(IF(COUNTIF(DMTK!$A$7:$A$250,$F2819)=0,"TK Nợ sai! ","")&amp;IF(COUNTIF(DMTK!$A$7:$A$250,$G2819)=0,"TK Có sai! ","")&amp;IF(N($H2819)&lt;=0,"Tiền phải &gt; 0! ","")&amp;IF($B2819="","Thiếu ngày! ","")&amp;IF(AND(OR(LEFT($F2819,3)="131",LEFT($G2819,3)="131",LEFT($F2819,3)="331",LEFT($G2819,3)="331"),$I2819=""),"Thiếu Mã ĐT! ","")&amp;IF(AND($I2819&lt;&gt;"",COUNTIF(DM_DT!$A$7:$A$306,$I2819)=0),"Mã ĐT chưa khai báo! ","")))</f>
        <v/>
      </c>
      <c r="M2819" s="117">
        <f>IF($H2819="","",IF(AND(OR(LEFT($F2819,3)="111",LEFT($F2819,3)="112",LEFT($F2819,3)="113"),OR(LEFT($G2819,3)="111",LEFT($G2819,3)="112",LEFT($G2819,3)="113")),"NB",IF(OR(LEFT($F2819,3)="111",LEFT($F2819,3)="112",LEFT($F2819,3)="113"),"THU",IF(OR(LEFT($G2819,3)="111",LEFT($G2819,3)="112",LEFT($G2819,3)="113"),"CHI",""))))</f>
        <v/>
      </c>
      <c r="N2819" s="117">
        <f>IF($M2819="THU",$G2819,IF($M2819="CHI",$F2819,""))</f>
        <v/>
      </c>
      <c r="O2819" s="117">
        <f>IF(OR($M2819="",$M2819="NB"),"",IF($J2819&lt;&gt;"",TEXT($J2819,"00"),IFERROR(VLOOKUP(LEFT($N2819,4),LCTT_MAP!$A$7:$C$66,IF($M2819="THU",2,3),FALSE()),IFERROR(VLOOKUP(LEFT($N2819,3),LCTT_MAP!$A$7:$C$66,IF($M2819="THU",2,3),FALSE()),IFERROR(VLOOKUP(LEFT($N2819,2),LCTT_MAP!$A$7:$C$66,IF($M2819="THU",2,3),FALSE()),IFERROR(VLOOKUP(LEFT($N2819,1),LCTT_MAP!$A$7:$C$66,IF($M2819="THU",2,3),FALSE()),IF($M2819="THU","06","07")))))))</f>
        <v/>
      </c>
      <c r="P2819" s="117">
        <f>P2818+IF(AND($H2819&lt;&gt;"",OR(LEFT($F2819,LEN(SC_TK))=SC_TK,LEFT($G2819,LEN(SC_TK))=SC_TK)),1,0)</f>
        <v/>
      </c>
    </row>
    <row r="2820" ht="15" customHeight="1" s="78">
      <c r="A2820" s="95">
        <f>IF($H2820="","",ROW()-6)</f>
        <v/>
      </c>
      <c r="B2820" s="114" t="n"/>
      <c r="C2820" s="102" t="n"/>
      <c r="D2820" s="114" t="n"/>
      <c r="E2820" s="103" t="n"/>
      <c r="F2820" s="102" t="n"/>
      <c r="G2820" s="102" t="n"/>
      <c r="H2820" s="115" t="n"/>
      <c r="I2820" s="102" t="n"/>
      <c r="J2820" s="102" t="n"/>
      <c r="K2820" s="103" t="n"/>
      <c r="L2820" s="116">
        <f>IF($H2820="","",TRIM(IF(COUNTIF(DMTK!$A$7:$A$250,$F2820)=0,"TK Nợ sai! ","")&amp;IF(COUNTIF(DMTK!$A$7:$A$250,$G2820)=0,"TK Có sai! ","")&amp;IF(N($H2820)&lt;=0,"Tiền phải &gt; 0! ","")&amp;IF($B2820="","Thiếu ngày! ","")&amp;IF(AND(OR(LEFT($F2820,3)="131",LEFT($G2820,3)="131",LEFT($F2820,3)="331",LEFT($G2820,3)="331"),$I2820=""),"Thiếu Mã ĐT! ","")&amp;IF(AND($I2820&lt;&gt;"",COUNTIF(DM_DT!$A$7:$A$306,$I2820)=0),"Mã ĐT chưa khai báo! ","")))</f>
        <v/>
      </c>
      <c r="M2820" s="117">
        <f>IF($H2820="","",IF(AND(OR(LEFT($F2820,3)="111",LEFT($F2820,3)="112",LEFT($F2820,3)="113"),OR(LEFT($G2820,3)="111",LEFT($G2820,3)="112",LEFT($G2820,3)="113")),"NB",IF(OR(LEFT($F2820,3)="111",LEFT($F2820,3)="112",LEFT($F2820,3)="113"),"THU",IF(OR(LEFT($G2820,3)="111",LEFT($G2820,3)="112",LEFT($G2820,3)="113"),"CHI",""))))</f>
        <v/>
      </c>
      <c r="N2820" s="117">
        <f>IF($M2820="THU",$G2820,IF($M2820="CHI",$F2820,""))</f>
        <v/>
      </c>
      <c r="O2820" s="117">
        <f>IF(OR($M2820="",$M2820="NB"),"",IF($J2820&lt;&gt;"",TEXT($J2820,"00"),IFERROR(VLOOKUP(LEFT($N2820,4),LCTT_MAP!$A$7:$C$66,IF($M2820="THU",2,3),FALSE()),IFERROR(VLOOKUP(LEFT($N2820,3),LCTT_MAP!$A$7:$C$66,IF($M2820="THU",2,3),FALSE()),IFERROR(VLOOKUP(LEFT($N2820,2),LCTT_MAP!$A$7:$C$66,IF($M2820="THU",2,3),FALSE()),IFERROR(VLOOKUP(LEFT($N2820,1),LCTT_MAP!$A$7:$C$66,IF($M2820="THU",2,3),FALSE()),IF($M2820="THU","06","07")))))))</f>
        <v/>
      </c>
      <c r="P2820" s="117">
        <f>P2819+IF(AND($H2820&lt;&gt;"",OR(LEFT($F2820,LEN(SC_TK))=SC_TK,LEFT($G2820,LEN(SC_TK))=SC_TK)),1,0)</f>
        <v/>
      </c>
    </row>
    <row r="2821" ht="15" customHeight="1" s="78">
      <c r="A2821" s="95">
        <f>IF($H2821="","",ROW()-6)</f>
        <v/>
      </c>
      <c r="B2821" s="114" t="n"/>
      <c r="C2821" s="102" t="n"/>
      <c r="D2821" s="114" t="n"/>
      <c r="E2821" s="103" t="n"/>
      <c r="F2821" s="102" t="n"/>
      <c r="G2821" s="102" t="n"/>
      <c r="H2821" s="115" t="n"/>
      <c r="I2821" s="102" t="n"/>
      <c r="J2821" s="102" t="n"/>
      <c r="K2821" s="103" t="n"/>
      <c r="L2821" s="116">
        <f>IF($H2821="","",TRIM(IF(COUNTIF(DMTK!$A$7:$A$250,$F2821)=0,"TK Nợ sai! ","")&amp;IF(COUNTIF(DMTK!$A$7:$A$250,$G2821)=0,"TK Có sai! ","")&amp;IF(N($H2821)&lt;=0,"Tiền phải &gt; 0! ","")&amp;IF($B2821="","Thiếu ngày! ","")&amp;IF(AND(OR(LEFT($F2821,3)="131",LEFT($G2821,3)="131",LEFT($F2821,3)="331",LEFT($G2821,3)="331"),$I2821=""),"Thiếu Mã ĐT! ","")&amp;IF(AND($I2821&lt;&gt;"",COUNTIF(DM_DT!$A$7:$A$306,$I2821)=0),"Mã ĐT chưa khai báo! ","")))</f>
        <v/>
      </c>
      <c r="M2821" s="117">
        <f>IF($H2821="","",IF(AND(OR(LEFT($F2821,3)="111",LEFT($F2821,3)="112",LEFT($F2821,3)="113"),OR(LEFT($G2821,3)="111",LEFT($G2821,3)="112",LEFT($G2821,3)="113")),"NB",IF(OR(LEFT($F2821,3)="111",LEFT($F2821,3)="112",LEFT($F2821,3)="113"),"THU",IF(OR(LEFT($G2821,3)="111",LEFT($G2821,3)="112",LEFT($G2821,3)="113"),"CHI",""))))</f>
        <v/>
      </c>
      <c r="N2821" s="117">
        <f>IF($M2821="THU",$G2821,IF($M2821="CHI",$F2821,""))</f>
        <v/>
      </c>
      <c r="O2821" s="117">
        <f>IF(OR($M2821="",$M2821="NB"),"",IF($J2821&lt;&gt;"",TEXT($J2821,"00"),IFERROR(VLOOKUP(LEFT($N2821,4),LCTT_MAP!$A$7:$C$66,IF($M2821="THU",2,3),FALSE()),IFERROR(VLOOKUP(LEFT($N2821,3),LCTT_MAP!$A$7:$C$66,IF($M2821="THU",2,3),FALSE()),IFERROR(VLOOKUP(LEFT($N2821,2),LCTT_MAP!$A$7:$C$66,IF($M2821="THU",2,3),FALSE()),IFERROR(VLOOKUP(LEFT($N2821,1),LCTT_MAP!$A$7:$C$66,IF($M2821="THU",2,3),FALSE()),IF($M2821="THU","06","07")))))))</f>
        <v/>
      </c>
      <c r="P2821" s="117">
        <f>P2820+IF(AND($H2821&lt;&gt;"",OR(LEFT($F2821,LEN(SC_TK))=SC_TK,LEFT($G2821,LEN(SC_TK))=SC_TK)),1,0)</f>
        <v/>
      </c>
    </row>
    <row r="2822" ht="15" customHeight="1" s="78">
      <c r="A2822" s="95">
        <f>IF($H2822="","",ROW()-6)</f>
        <v/>
      </c>
      <c r="B2822" s="114" t="n"/>
      <c r="C2822" s="102" t="n"/>
      <c r="D2822" s="114" t="n"/>
      <c r="E2822" s="103" t="n"/>
      <c r="F2822" s="102" t="n"/>
      <c r="G2822" s="102" t="n"/>
      <c r="H2822" s="115" t="n"/>
      <c r="I2822" s="102" t="n"/>
      <c r="J2822" s="102" t="n"/>
      <c r="K2822" s="103" t="n"/>
      <c r="L2822" s="116">
        <f>IF($H2822="","",TRIM(IF(COUNTIF(DMTK!$A$7:$A$250,$F2822)=0,"TK Nợ sai! ","")&amp;IF(COUNTIF(DMTK!$A$7:$A$250,$G2822)=0,"TK Có sai! ","")&amp;IF(N($H2822)&lt;=0,"Tiền phải &gt; 0! ","")&amp;IF($B2822="","Thiếu ngày! ","")&amp;IF(AND(OR(LEFT($F2822,3)="131",LEFT($G2822,3)="131",LEFT($F2822,3)="331",LEFT($G2822,3)="331"),$I2822=""),"Thiếu Mã ĐT! ","")&amp;IF(AND($I2822&lt;&gt;"",COUNTIF(DM_DT!$A$7:$A$306,$I2822)=0),"Mã ĐT chưa khai báo! ","")))</f>
        <v/>
      </c>
      <c r="M2822" s="117">
        <f>IF($H2822="","",IF(AND(OR(LEFT($F2822,3)="111",LEFT($F2822,3)="112",LEFT($F2822,3)="113"),OR(LEFT($G2822,3)="111",LEFT($G2822,3)="112",LEFT($G2822,3)="113")),"NB",IF(OR(LEFT($F2822,3)="111",LEFT($F2822,3)="112",LEFT($F2822,3)="113"),"THU",IF(OR(LEFT($G2822,3)="111",LEFT($G2822,3)="112",LEFT($G2822,3)="113"),"CHI",""))))</f>
        <v/>
      </c>
      <c r="N2822" s="117">
        <f>IF($M2822="THU",$G2822,IF($M2822="CHI",$F2822,""))</f>
        <v/>
      </c>
      <c r="O2822" s="117">
        <f>IF(OR($M2822="",$M2822="NB"),"",IF($J2822&lt;&gt;"",TEXT($J2822,"00"),IFERROR(VLOOKUP(LEFT($N2822,4),LCTT_MAP!$A$7:$C$66,IF($M2822="THU",2,3),FALSE()),IFERROR(VLOOKUP(LEFT($N2822,3),LCTT_MAP!$A$7:$C$66,IF($M2822="THU",2,3),FALSE()),IFERROR(VLOOKUP(LEFT($N2822,2),LCTT_MAP!$A$7:$C$66,IF($M2822="THU",2,3),FALSE()),IFERROR(VLOOKUP(LEFT($N2822,1),LCTT_MAP!$A$7:$C$66,IF($M2822="THU",2,3),FALSE()),IF($M2822="THU","06","07")))))))</f>
        <v/>
      </c>
      <c r="P2822" s="117">
        <f>P2821+IF(AND($H2822&lt;&gt;"",OR(LEFT($F2822,LEN(SC_TK))=SC_TK,LEFT($G2822,LEN(SC_TK))=SC_TK)),1,0)</f>
        <v/>
      </c>
    </row>
    <row r="2823" ht="15" customHeight="1" s="78">
      <c r="A2823" s="95">
        <f>IF($H2823="","",ROW()-6)</f>
        <v/>
      </c>
      <c r="B2823" s="114" t="n"/>
      <c r="C2823" s="102" t="n"/>
      <c r="D2823" s="114" t="n"/>
      <c r="E2823" s="103" t="n"/>
      <c r="F2823" s="102" t="n"/>
      <c r="G2823" s="102" t="n"/>
      <c r="H2823" s="115" t="n"/>
      <c r="I2823" s="102" t="n"/>
      <c r="J2823" s="102" t="n"/>
      <c r="K2823" s="103" t="n"/>
      <c r="L2823" s="116">
        <f>IF($H2823="","",TRIM(IF(COUNTIF(DMTK!$A$7:$A$250,$F2823)=0,"TK Nợ sai! ","")&amp;IF(COUNTIF(DMTK!$A$7:$A$250,$G2823)=0,"TK Có sai! ","")&amp;IF(N($H2823)&lt;=0,"Tiền phải &gt; 0! ","")&amp;IF($B2823="","Thiếu ngày! ","")&amp;IF(AND(OR(LEFT($F2823,3)="131",LEFT($G2823,3)="131",LEFT($F2823,3)="331",LEFT($G2823,3)="331"),$I2823=""),"Thiếu Mã ĐT! ","")&amp;IF(AND($I2823&lt;&gt;"",COUNTIF(DM_DT!$A$7:$A$306,$I2823)=0),"Mã ĐT chưa khai báo! ","")))</f>
        <v/>
      </c>
      <c r="M2823" s="117">
        <f>IF($H2823="","",IF(AND(OR(LEFT($F2823,3)="111",LEFT($F2823,3)="112",LEFT($F2823,3)="113"),OR(LEFT($G2823,3)="111",LEFT($G2823,3)="112",LEFT($G2823,3)="113")),"NB",IF(OR(LEFT($F2823,3)="111",LEFT($F2823,3)="112",LEFT($F2823,3)="113"),"THU",IF(OR(LEFT($G2823,3)="111",LEFT($G2823,3)="112",LEFT($G2823,3)="113"),"CHI",""))))</f>
        <v/>
      </c>
      <c r="N2823" s="117">
        <f>IF($M2823="THU",$G2823,IF($M2823="CHI",$F2823,""))</f>
        <v/>
      </c>
      <c r="O2823" s="117">
        <f>IF(OR($M2823="",$M2823="NB"),"",IF($J2823&lt;&gt;"",TEXT($J2823,"00"),IFERROR(VLOOKUP(LEFT($N2823,4),LCTT_MAP!$A$7:$C$66,IF($M2823="THU",2,3),FALSE()),IFERROR(VLOOKUP(LEFT($N2823,3),LCTT_MAP!$A$7:$C$66,IF($M2823="THU",2,3),FALSE()),IFERROR(VLOOKUP(LEFT($N2823,2),LCTT_MAP!$A$7:$C$66,IF($M2823="THU",2,3),FALSE()),IFERROR(VLOOKUP(LEFT($N2823,1),LCTT_MAP!$A$7:$C$66,IF($M2823="THU",2,3),FALSE()),IF($M2823="THU","06","07")))))))</f>
        <v/>
      </c>
      <c r="P2823" s="117">
        <f>P2822+IF(AND($H2823&lt;&gt;"",OR(LEFT($F2823,LEN(SC_TK))=SC_TK,LEFT($G2823,LEN(SC_TK))=SC_TK)),1,0)</f>
        <v/>
      </c>
    </row>
    <row r="2824" ht="15" customHeight="1" s="78">
      <c r="A2824" s="95">
        <f>IF($H2824="","",ROW()-6)</f>
        <v/>
      </c>
      <c r="B2824" s="114" t="n"/>
      <c r="C2824" s="102" t="n"/>
      <c r="D2824" s="114" t="n"/>
      <c r="E2824" s="103" t="n"/>
      <c r="F2824" s="102" t="n"/>
      <c r="G2824" s="102" t="n"/>
      <c r="H2824" s="115" t="n"/>
      <c r="I2824" s="102" t="n"/>
      <c r="J2824" s="102" t="n"/>
      <c r="K2824" s="103" t="n"/>
      <c r="L2824" s="116">
        <f>IF($H2824="","",TRIM(IF(COUNTIF(DMTK!$A$7:$A$250,$F2824)=0,"TK Nợ sai! ","")&amp;IF(COUNTIF(DMTK!$A$7:$A$250,$G2824)=0,"TK Có sai! ","")&amp;IF(N($H2824)&lt;=0,"Tiền phải &gt; 0! ","")&amp;IF($B2824="","Thiếu ngày! ","")&amp;IF(AND(OR(LEFT($F2824,3)="131",LEFT($G2824,3)="131",LEFT($F2824,3)="331",LEFT($G2824,3)="331"),$I2824=""),"Thiếu Mã ĐT! ","")&amp;IF(AND($I2824&lt;&gt;"",COUNTIF(DM_DT!$A$7:$A$306,$I2824)=0),"Mã ĐT chưa khai báo! ","")))</f>
        <v/>
      </c>
      <c r="M2824" s="117">
        <f>IF($H2824="","",IF(AND(OR(LEFT($F2824,3)="111",LEFT($F2824,3)="112",LEFT($F2824,3)="113"),OR(LEFT($G2824,3)="111",LEFT($G2824,3)="112",LEFT($G2824,3)="113")),"NB",IF(OR(LEFT($F2824,3)="111",LEFT($F2824,3)="112",LEFT($F2824,3)="113"),"THU",IF(OR(LEFT($G2824,3)="111",LEFT($G2824,3)="112",LEFT($G2824,3)="113"),"CHI",""))))</f>
        <v/>
      </c>
      <c r="N2824" s="117">
        <f>IF($M2824="THU",$G2824,IF($M2824="CHI",$F2824,""))</f>
        <v/>
      </c>
      <c r="O2824" s="117">
        <f>IF(OR($M2824="",$M2824="NB"),"",IF($J2824&lt;&gt;"",TEXT($J2824,"00"),IFERROR(VLOOKUP(LEFT($N2824,4),LCTT_MAP!$A$7:$C$66,IF($M2824="THU",2,3),FALSE()),IFERROR(VLOOKUP(LEFT($N2824,3),LCTT_MAP!$A$7:$C$66,IF($M2824="THU",2,3),FALSE()),IFERROR(VLOOKUP(LEFT($N2824,2),LCTT_MAP!$A$7:$C$66,IF($M2824="THU",2,3),FALSE()),IFERROR(VLOOKUP(LEFT($N2824,1),LCTT_MAP!$A$7:$C$66,IF($M2824="THU",2,3),FALSE()),IF($M2824="THU","06","07")))))))</f>
        <v/>
      </c>
      <c r="P2824" s="117">
        <f>P2823+IF(AND($H2824&lt;&gt;"",OR(LEFT($F2824,LEN(SC_TK))=SC_TK,LEFT($G2824,LEN(SC_TK))=SC_TK)),1,0)</f>
        <v/>
      </c>
    </row>
    <row r="2825" ht="15" customHeight="1" s="78">
      <c r="A2825" s="95">
        <f>IF($H2825="","",ROW()-6)</f>
        <v/>
      </c>
      <c r="B2825" s="114" t="n"/>
      <c r="C2825" s="102" t="n"/>
      <c r="D2825" s="114" t="n"/>
      <c r="E2825" s="103" t="n"/>
      <c r="F2825" s="102" t="n"/>
      <c r="G2825" s="102" t="n"/>
      <c r="H2825" s="115" t="n"/>
      <c r="I2825" s="102" t="n"/>
      <c r="J2825" s="102" t="n"/>
      <c r="K2825" s="103" t="n"/>
      <c r="L2825" s="116">
        <f>IF($H2825="","",TRIM(IF(COUNTIF(DMTK!$A$7:$A$250,$F2825)=0,"TK Nợ sai! ","")&amp;IF(COUNTIF(DMTK!$A$7:$A$250,$G2825)=0,"TK Có sai! ","")&amp;IF(N($H2825)&lt;=0,"Tiền phải &gt; 0! ","")&amp;IF($B2825="","Thiếu ngày! ","")&amp;IF(AND(OR(LEFT($F2825,3)="131",LEFT($G2825,3)="131",LEFT($F2825,3)="331",LEFT($G2825,3)="331"),$I2825=""),"Thiếu Mã ĐT! ","")&amp;IF(AND($I2825&lt;&gt;"",COUNTIF(DM_DT!$A$7:$A$306,$I2825)=0),"Mã ĐT chưa khai báo! ","")))</f>
        <v/>
      </c>
      <c r="M2825" s="117">
        <f>IF($H2825="","",IF(AND(OR(LEFT($F2825,3)="111",LEFT($F2825,3)="112",LEFT($F2825,3)="113"),OR(LEFT($G2825,3)="111",LEFT($G2825,3)="112",LEFT($G2825,3)="113")),"NB",IF(OR(LEFT($F2825,3)="111",LEFT($F2825,3)="112",LEFT($F2825,3)="113"),"THU",IF(OR(LEFT($G2825,3)="111",LEFT($G2825,3)="112",LEFT($G2825,3)="113"),"CHI",""))))</f>
        <v/>
      </c>
      <c r="N2825" s="117">
        <f>IF($M2825="THU",$G2825,IF($M2825="CHI",$F2825,""))</f>
        <v/>
      </c>
      <c r="O2825" s="117">
        <f>IF(OR($M2825="",$M2825="NB"),"",IF($J2825&lt;&gt;"",TEXT($J2825,"00"),IFERROR(VLOOKUP(LEFT($N2825,4),LCTT_MAP!$A$7:$C$66,IF($M2825="THU",2,3),FALSE()),IFERROR(VLOOKUP(LEFT($N2825,3),LCTT_MAP!$A$7:$C$66,IF($M2825="THU",2,3),FALSE()),IFERROR(VLOOKUP(LEFT($N2825,2),LCTT_MAP!$A$7:$C$66,IF($M2825="THU",2,3),FALSE()),IFERROR(VLOOKUP(LEFT($N2825,1),LCTT_MAP!$A$7:$C$66,IF($M2825="THU",2,3),FALSE()),IF($M2825="THU","06","07")))))))</f>
        <v/>
      </c>
      <c r="P2825" s="117">
        <f>P2824+IF(AND($H2825&lt;&gt;"",OR(LEFT($F2825,LEN(SC_TK))=SC_TK,LEFT($G2825,LEN(SC_TK))=SC_TK)),1,0)</f>
        <v/>
      </c>
    </row>
    <row r="2826" ht="15" customHeight="1" s="78">
      <c r="A2826" s="95">
        <f>IF($H2826="","",ROW()-6)</f>
        <v/>
      </c>
      <c r="B2826" s="114" t="n"/>
      <c r="C2826" s="102" t="n"/>
      <c r="D2826" s="114" t="n"/>
      <c r="E2826" s="103" t="n"/>
      <c r="F2826" s="102" t="n"/>
      <c r="G2826" s="102" t="n"/>
      <c r="H2826" s="115" t="n"/>
      <c r="I2826" s="102" t="n"/>
      <c r="J2826" s="102" t="n"/>
      <c r="K2826" s="103" t="n"/>
      <c r="L2826" s="116">
        <f>IF($H2826="","",TRIM(IF(COUNTIF(DMTK!$A$7:$A$250,$F2826)=0,"TK Nợ sai! ","")&amp;IF(COUNTIF(DMTK!$A$7:$A$250,$G2826)=0,"TK Có sai! ","")&amp;IF(N($H2826)&lt;=0,"Tiền phải &gt; 0! ","")&amp;IF($B2826="","Thiếu ngày! ","")&amp;IF(AND(OR(LEFT($F2826,3)="131",LEFT($G2826,3)="131",LEFT($F2826,3)="331",LEFT($G2826,3)="331"),$I2826=""),"Thiếu Mã ĐT! ","")&amp;IF(AND($I2826&lt;&gt;"",COUNTIF(DM_DT!$A$7:$A$306,$I2826)=0),"Mã ĐT chưa khai báo! ","")))</f>
        <v/>
      </c>
      <c r="M2826" s="117">
        <f>IF($H2826="","",IF(AND(OR(LEFT($F2826,3)="111",LEFT($F2826,3)="112",LEFT($F2826,3)="113"),OR(LEFT($G2826,3)="111",LEFT($G2826,3)="112",LEFT($G2826,3)="113")),"NB",IF(OR(LEFT($F2826,3)="111",LEFT($F2826,3)="112",LEFT($F2826,3)="113"),"THU",IF(OR(LEFT($G2826,3)="111",LEFT($G2826,3)="112",LEFT($G2826,3)="113"),"CHI",""))))</f>
        <v/>
      </c>
      <c r="N2826" s="117">
        <f>IF($M2826="THU",$G2826,IF($M2826="CHI",$F2826,""))</f>
        <v/>
      </c>
      <c r="O2826" s="117">
        <f>IF(OR($M2826="",$M2826="NB"),"",IF($J2826&lt;&gt;"",TEXT($J2826,"00"),IFERROR(VLOOKUP(LEFT($N2826,4),LCTT_MAP!$A$7:$C$66,IF($M2826="THU",2,3),FALSE()),IFERROR(VLOOKUP(LEFT($N2826,3),LCTT_MAP!$A$7:$C$66,IF($M2826="THU",2,3),FALSE()),IFERROR(VLOOKUP(LEFT($N2826,2),LCTT_MAP!$A$7:$C$66,IF($M2826="THU",2,3),FALSE()),IFERROR(VLOOKUP(LEFT($N2826,1),LCTT_MAP!$A$7:$C$66,IF($M2826="THU",2,3),FALSE()),IF($M2826="THU","06","07")))))))</f>
        <v/>
      </c>
      <c r="P2826" s="117">
        <f>P2825+IF(AND($H2826&lt;&gt;"",OR(LEFT($F2826,LEN(SC_TK))=SC_TK,LEFT($G2826,LEN(SC_TK))=SC_TK)),1,0)</f>
        <v/>
      </c>
    </row>
    <row r="2827" ht="15" customHeight="1" s="78">
      <c r="A2827" s="95">
        <f>IF($H2827="","",ROW()-6)</f>
        <v/>
      </c>
      <c r="B2827" s="114" t="n"/>
      <c r="C2827" s="102" t="n"/>
      <c r="D2827" s="114" t="n"/>
      <c r="E2827" s="103" t="n"/>
      <c r="F2827" s="102" t="n"/>
      <c r="G2827" s="102" t="n"/>
      <c r="H2827" s="115" t="n"/>
      <c r="I2827" s="102" t="n"/>
      <c r="J2827" s="102" t="n"/>
      <c r="K2827" s="103" t="n"/>
      <c r="L2827" s="116">
        <f>IF($H2827="","",TRIM(IF(COUNTIF(DMTK!$A$7:$A$250,$F2827)=0,"TK Nợ sai! ","")&amp;IF(COUNTIF(DMTK!$A$7:$A$250,$G2827)=0,"TK Có sai! ","")&amp;IF(N($H2827)&lt;=0,"Tiền phải &gt; 0! ","")&amp;IF($B2827="","Thiếu ngày! ","")&amp;IF(AND(OR(LEFT($F2827,3)="131",LEFT($G2827,3)="131",LEFT($F2827,3)="331",LEFT($G2827,3)="331"),$I2827=""),"Thiếu Mã ĐT! ","")&amp;IF(AND($I2827&lt;&gt;"",COUNTIF(DM_DT!$A$7:$A$306,$I2827)=0),"Mã ĐT chưa khai báo! ","")))</f>
        <v/>
      </c>
      <c r="M2827" s="117">
        <f>IF($H2827="","",IF(AND(OR(LEFT($F2827,3)="111",LEFT($F2827,3)="112",LEFT($F2827,3)="113"),OR(LEFT($G2827,3)="111",LEFT($G2827,3)="112",LEFT($G2827,3)="113")),"NB",IF(OR(LEFT($F2827,3)="111",LEFT($F2827,3)="112",LEFT($F2827,3)="113"),"THU",IF(OR(LEFT($G2827,3)="111",LEFT($G2827,3)="112",LEFT($G2827,3)="113"),"CHI",""))))</f>
        <v/>
      </c>
      <c r="N2827" s="117">
        <f>IF($M2827="THU",$G2827,IF($M2827="CHI",$F2827,""))</f>
        <v/>
      </c>
      <c r="O2827" s="117">
        <f>IF(OR($M2827="",$M2827="NB"),"",IF($J2827&lt;&gt;"",TEXT($J2827,"00"),IFERROR(VLOOKUP(LEFT($N2827,4),LCTT_MAP!$A$7:$C$66,IF($M2827="THU",2,3),FALSE()),IFERROR(VLOOKUP(LEFT($N2827,3),LCTT_MAP!$A$7:$C$66,IF($M2827="THU",2,3),FALSE()),IFERROR(VLOOKUP(LEFT($N2827,2),LCTT_MAP!$A$7:$C$66,IF($M2827="THU",2,3),FALSE()),IFERROR(VLOOKUP(LEFT($N2827,1),LCTT_MAP!$A$7:$C$66,IF($M2827="THU",2,3),FALSE()),IF($M2827="THU","06","07")))))))</f>
        <v/>
      </c>
      <c r="P2827" s="117">
        <f>P2826+IF(AND($H2827&lt;&gt;"",OR(LEFT($F2827,LEN(SC_TK))=SC_TK,LEFT($G2827,LEN(SC_TK))=SC_TK)),1,0)</f>
        <v/>
      </c>
    </row>
    <row r="2828" ht="15" customHeight="1" s="78">
      <c r="A2828" s="95">
        <f>IF($H2828="","",ROW()-6)</f>
        <v/>
      </c>
      <c r="B2828" s="114" t="n"/>
      <c r="C2828" s="102" t="n"/>
      <c r="D2828" s="114" t="n"/>
      <c r="E2828" s="103" t="n"/>
      <c r="F2828" s="102" t="n"/>
      <c r="G2828" s="102" t="n"/>
      <c r="H2828" s="115" t="n"/>
      <c r="I2828" s="102" t="n"/>
      <c r="J2828" s="102" t="n"/>
      <c r="K2828" s="103" t="n"/>
      <c r="L2828" s="116">
        <f>IF($H2828="","",TRIM(IF(COUNTIF(DMTK!$A$7:$A$250,$F2828)=0,"TK Nợ sai! ","")&amp;IF(COUNTIF(DMTK!$A$7:$A$250,$G2828)=0,"TK Có sai! ","")&amp;IF(N($H2828)&lt;=0,"Tiền phải &gt; 0! ","")&amp;IF($B2828="","Thiếu ngày! ","")&amp;IF(AND(OR(LEFT($F2828,3)="131",LEFT($G2828,3)="131",LEFT($F2828,3)="331",LEFT($G2828,3)="331"),$I2828=""),"Thiếu Mã ĐT! ","")&amp;IF(AND($I2828&lt;&gt;"",COUNTIF(DM_DT!$A$7:$A$306,$I2828)=0),"Mã ĐT chưa khai báo! ","")))</f>
        <v/>
      </c>
      <c r="M2828" s="117">
        <f>IF($H2828="","",IF(AND(OR(LEFT($F2828,3)="111",LEFT($F2828,3)="112",LEFT($F2828,3)="113"),OR(LEFT($G2828,3)="111",LEFT($G2828,3)="112",LEFT($G2828,3)="113")),"NB",IF(OR(LEFT($F2828,3)="111",LEFT($F2828,3)="112",LEFT($F2828,3)="113"),"THU",IF(OR(LEFT($G2828,3)="111",LEFT($G2828,3)="112",LEFT($G2828,3)="113"),"CHI",""))))</f>
        <v/>
      </c>
      <c r="N2828" s="117">
        <f>IF($M2828="THU",$G2828,IF($M2828="CHI",$F2828,""))</f>
        <v/>
      </c>
      <c r="O2828" s="117">
        <f>IF(OR($M2828="",$M2828="NB"),"",IF($J2828&lt;&gt;"",TEXT($J2828,"00"),IFERROR(VLOOKUP(LEFT($N2828,4),LCTT_MAP!$A$7:$C$66,IF($M2828="THU",2,3),FALSE()),IFERROR(VLOOKUP(LEFT($N2828,3),LCTT_MAP!$A$7:$C$66,IF($M2828="THU",2,3),FALSE()),IFERROR(VLOOKUP(LEFT($N2828,2),LCTT_MAP!$A$7:$C$66,IF($M2828="THU",2,3),FALSE()),IFERROR(VLOOKUP(LEFT($N2828,1),LCTT_MAP!$A$7:$C$66,IF($M2828="THU",2,3),FALSE()),IF($M2828="THU","06","07")))))))</f>
        <v/>
      </c>
      <c r="P2828" s="117">
        <f>P2827+IF(AND($H2828&lt;&gt;"",OR(LEFT($F2828,LEN(SC_TK))=SC_TK,LEFT($G2828,LEN(SC_TK))=SC_TK)),1,0)</f>
        <v/>
      </c>
    </row>
    <row r="2829" ht="15" customHeight="1" s="78">
      <c r="A2829" s="95">
        <f>IF($H2829="","",ROW()-6)</f>
        <v/>
      </c>
      <c r="B2829" s="114" t="n"/>
      <c r="C2829" s="102" t="n"/>
      <c r="D2829" s="114" t="n"/>
      <c r="E2829" s="103" t="n"/>
      <c r="F2829" s="102" t="n"/>
      <c r="G2829" s="102" t="n"/>
      <c r="H2829" s="115" t="n"/>
      <c r="I2829" s="102" t="n"/>
      <c r="J2829" s="102" t="n"/>
      <c r="K2829" s="103" t="n"/>
      <c r="L2829" s="116">
        <f>IF($H2829="","",TRIM(IF(COUNTIF(DMTK!$A$7:$A$250,$F2829)=0,"TK Nợ sai! ","")&amp;IF(COUNTIF(DMTK!$A$7:$A$250,$G2829)=0,"TK Có sai! ","")&amp;IF(N($H2829)&lt;=0,"Tiền phải &gt; 0! ","")&amp;IF($B2829="","Thiếu ngày! ","")&amp;IF(AND(OR(LEFT($F2829,3)="131",LEFT($G2829,3)="131",LEFT($F2829,3)="331",LEFT($G2829,3)="331"),$I2829=""),"Thiếu Mã ĐT! ","")&amp;IF(AND($I2829&lt;&gt;"",COUNTIF(DM_DT!$A$7:$A$306,$I2829)=0),"Mã ĐT chưa khai báo! ","")))</f>
        <v/>
      </c>
      <c r="M2829" s="117">
        <f>IF($H2829="","",IF(AND(OR(LEFT($F2829,3)="111",LEFT($F2829,3)="112",LEFT($F2829,3)="113"),OR(LEFT($G2829,3)="111",LEFT($G2829,3)="112",LEFT($G2829,3)="113")),"NB",IF(OR(LEFT($F2829,3)="111",LEFT($F2829,3)="112",LEFT($F2829,3)="113"),"THU",IF(OR(LEFT($G2829,3)="111",LEFT($G2829,3)="112",LEFT($G2829,3)="113"),"CHI",""))))</f>
        <v/>
      </c>
      <c r="N2829" s="117">
        <f>IF($M2829="THU",$G2829,IF($M2829="CHI",$F2829,""))</f>
        <v/>
      </c>
      <c r="O2829" s="117">
        <f>IF(OR($M2829="",$M2829="NB"),"",IF($J2829&lt;&gt;"",TEXT($J2829,"00"),IFERROR(VLOOKUP(LEFT($N2829,4),LCTT_MAP!$A$7:$C$66,IF($M2829="THU",2,3),FALSE()),IFERROR(VLOOKUP(LEFT($N2829,3),LCTT_MAP!$A$7:$C$66,IF($M2829="THU",2,3),FALSE()),IFERROR(VLOOKUP(LEFT($N2829,2),LCTT_MAP!$A$7:$C$66,IF($M2829="THU",2,3),FALSE()),IFERROR(VLOOKUP(LEFT($N2829,1),LCTT_MAP!$A$7:$C$66,IF($M2829="THU",2,3),FALSE()),IF($M2829="THU","06","07")))))))</f>
        <v/>
      </c>
      <c r="P2829" s="117">
        <f>P2828+IF(AND($H2829&lt;&gt;"",OR(LEFT($F2829,LEN(SC_TK))=SC_TK,LEFT($G2829,LEN(SC_TK))=SC_TK)),1,0)</f>
        <v/>
      </c>
    </row>
    <row r="2830" ht="15" customHeight="1" s="78">
      <c r="A2830" s="95">
        <f>IF($H2830="","",ROW()-6)</f>
        <v/>
      </c>
      <c r="B2830" s="114" t="n"/>
      <c r="C2830" s="102" t="n"/>
      <c r="D2830" s="114" t="n"/>
      <c r="E2830" s="103" t="n"/>
      <c r="F2830" s="102" t="n"/>
      <c r="G2830" s="102" t="n"/>
      <c r="H2830" s="115" t="n"/>
      <c r="I2830" s="102" t="n"/>
      <c r="J2830" s="102" t="n"/>
      <c r="K2830" s="103" t="n"/>
      <c r="L2830" s="116">
        <f>IF($H2830="","",TRIM(IF(COUNTIF(DMTK!$A$7:$A$250,$F2830)=0,"TK Nợ sai! ","")&amp;IF(COUNTIF(DMTK!$A$7:$A$250,$G2830)=0,"TK Có sai! ","")&amp;IF(N($H2830)&lt;=0,"Tiền phải &gt; 0! ","")&amp;IF($B2830="","Thiếu ngày! ","")&amp;IF(AND(OR(LEFT($F2830,3)="131",LEFT($G2830,3)="131",LEFT($F2830,3)="331",LEFT($G2830,3)="331"),$I2830=""),"Thiếu Mã ĐT! ","")&amp;IF(AND($I2830&lt;&gt;"",COUNTIF(DM_DT!$A$7:$A$306,$I2830)=0),"Mã ĐT chưa khai báo! ","")))</f>
        <v/>
      </c>
      <c r="M2830" s="117">
        <f>IF($H2830="","",IF(AND(OR(LEFT($F2830,3)="111",LEFT($F2830,3)="112",LEFT($F2830,3)="113"),OR(LEFT($G2830,3)="111",LEFT($G2830,3)="112",LEFT($G2830,3)="113")),"NB",IF(OR(LEFT($F2830,3)="111",LEFT($F2830,3)="112",LEFT($F2830,3)="113"),"THU",IF(OR(LEFT($G2830,3)="111",LEFT($G2830,3)="112",LEFT($G2830,3)="113"),"CHI",""))))</f>
        <v/>
      </c>
      <c r="N2830" s="117">
        <f>IF($M2830="THU",$G2830,IF($M2830="CHI",$F2830,""))</f>
        <v/>
      </c>
      <c r="O2830" s="117">
        <f>IF(OR($M2830="",$M2830="NB"),"",IF($J2830&lt;&gt;"",TEXT($J2830,"00"),IFERROR(VLOOKUP(LEFT($N2830,4),LCTT_MAP!$A$7:$C$66,IF($M2830="THU",2,3),FALSE()),IFERROR(VLOOKUP(LEFT($N2830,3),LCTT_MAP!$A$7:$C$66,IF($M2830="THU",2,3),FALSE()),IFERROR(VLOOKUP(LEFT($N2830,2),LCTT_MAP!$A$7:$C$66,IF($M2830="THU",2,3),FALSE()),IFERROR(VLOOKUP(LEFT($N2830,1),LCTT_MAP!$A$7:$C$66,IF($M2830="THU",2,3),FALSE()),IF($M2830="THU","06","07")))))))</f>
        <v/>
      </c>
      <c r="P2830" s="117">
        <f>P2829+IF(AND($H2830&lt;&gt;"",OR(LEFT($F2830,LEN(SC_TK))=SC_TK,LEFT($G2830,LEN(SC_TK))=SC_TK)),1,0)</f>
        <v/>
      </c>
    </row>
    <row r="2831" ht="15" customHeight="1" s="78">
      <c r="A2831" s="95">
        <f>IF($H2831="","",ROW()-6)</f>
        <v/>
      </c>
      <c r="B2831" s="114" t="n"/>
      <c r="C2831" s="102" t="n"/>
      <c r="D2831" s="114" t="n"/>
      <c r="E2831" s="103" t="n"/>
      <c r="F2831" s="102" t="n"/>
      <c r="G2831" s="102" t="n"/>
      <c r="H2831" s="115" t="n"/>
      <c r="I2831" s="102" t="n"/>
      <c r="J2831" s="102" t="n"/>
      <c r="K2831" s="103" t="n"/>
      <c r="L2831" s="116">
        <f>IF($H2831="","",TRIM(IF(COUNTIF(DMTK!$A$7:$A$250,$F2831)=0,"TK Nợ sai! ","")&amp;IF(COUNTIF(DMTK!$A$7:$A$250,$G2831)=0,"TK Có sai! ","")&amp;IF(N($H2831)&lt;=0,"Tiền phải &gt; 0! ","")&amp;IF($B2831="","Thiếu ngày! ","")&amp;IF(AND(OR(LEFT($F2831,3)="131",LEFT($G2831,3)="131",LEFT($F2831,3)="331",LEFT($G2831,3)="331"),$I2831=""),"Thiếu Mã ĐT! ","")&amp;IF(AND($I2831&lt;&gt;"",COUNTIF(DM_DT!$A$7:$A$306,$I2831)=0),"Mã ĐT chưa khai báo! ","")))</f>
        <v/>
      </c>
      <c r="M2831" s="117">
        <f>IF($H2831="","",IF(AND(OR(LEFT($F2831,3)="111",LEFT($F2831,3)="112",LEFT($F2831,3)="113"),OR(LEFT($G2831,3)="111",LEFT($G2831,3)="112",LEFT($G2831,3)="113")),"NB",IF(OR(LEFT($F2831,3)="111",LEFT($F2831,3)="112",LEFT($F2831,3)="113"),"THU",IF(OR(LEFT($G2831,3)="111",LEFT($G2831,3)="112",LEFT($G2831,3)="113"),"CHI",""))))</f>
        <v/>
      </c>
      <c r="N2831" s="117">
        <f>IF($M2831="THU",$G2831,IF($M2831="CHI",$F2831,""))</f>
        <v/>
      </c>
      <c r="O2831" s="117">
        <f>IF(OR($M2831="",$M2831="NB"),"",IF($J2831&lt;&gt;"",TEXT($J2831,"00"),IFERROR(VLOOKUP(LEFT($N2831,4),LCTT_MAP!$A$7:$C$66,IF($M2831="THU",2,3),FALSE()),IFERROR(VLOOKUP(LEFT($N2831,3),LCTT_MAP!$A$7:$C$66,IF($M2831="THU",2,3),FALSE()),IFERROR(VLOOKUP(LEFT($N2831,2),LCTT_MAP!$A$7:$C$66,IF($M2831="THU",2,3),FALSE()),IFERROR(VLOOKUP(LEFT($N2831,1),LCTT_MAP!$A$7:$C$66,IF($M2831="THU",2,3),FALSE()),IF($M2831="THU","06","07")))))))</f>
        <v/>
      </c>
      <c r="P2831" s="117">
        <f>P2830+IF(AND($H2831&lt;&gt;"",OR(LEFT($F2831,LEN(SC_TK))=SC_TK,LEFT($G2831,LEN(SC_TK))=SC_TK)),1,0)</f>
        <v/>
      </c>
    </row>
    <row r="2832" ht="15" customHeight="1" s="78">
      <c r="A2832" s="95">
        <f>IF($H2832="","",ROW()-6)</f>
        <v/>
      </c>
      <c r="B2832" s="114" t="n"/>
      <c r="C2832" s="102" t="n"/>
      <c r="D2832" s="114" t="n"/>
      <c r="E2832" s="103" t="n"/>
      <c r="F2832" s="102" t="n"/>
      <c r="G2832" s="102" t="n"/>
      <c r="H2832" s="115" t="n"/>
      <c r="I2832" s="102" t="n"/>
      <c r="J2832" s="102" t="n"/>
      <c r="K2832" s="103" t="n"/>
      <c r="L2832" s="116">
        <f>IF($H2832="","",TRIM(IF(COUNTIF(DMTK!$A$7:$A$250,$F2832)=0,"TK Nợ sai! ","")&amp;IF(COUNTIF(DMTK!$A$7:$A$250,$G2832)=0,"TK Có sai! ","")&amp;IF(N($H2832)&lt;=0,"Tiền phải &gt; 0! ","")&amp;IF($B2832="","Thiếu ngày! ","")&amp;IF(AND(OR(LEFT($F2832,3)="131",LEFT($G2832,3)="131",LEFT($F2832,3)="331",LEFT($G2832,3)="331"),$I2832=""),"Thiếu Mã ĐT! ","")&amp;IF(AND($I2832&lt;&gt;"",COUNTIF(DM_DT!$A$7:$A$306,$I2832)=0),"Mã ĐT chưa khai báo! ","")))</f>
        <v/>
      </c>
      <c r="M2832" s="117">
        <f>IF($H2832="","",IF(AND(OR(LEFT($F2832,3)="111",LEFT($F2832,3)="112",LEFT($F2832,3)="113"),OR(LEFT($G2832,3)="111",LEFT($G2832,3)="112",LEFT($G2832,3)="113")),"NB",IF(OR(LEFT($F2832,3)="111",LEFT($F2832,3)="112",LEFT($F2832,3)="113"),"THU",IF(OR(LEFT($G2832,3)="111",LEFT($G2832,3)="112",LEFT($G2832,3)="113"),"CHI",""))))</f>
        <v/>
      </c>
      <c r="N2832" s="117">
        <f>IF($M2832="THU",$G2832,IF($M2832="CHI",$F2832,""))</f>
        <v/>
      </c>
      <c r="O2832" s="117">
        <f>IF(OR($M2832="",$M2832="NB"),"",IF($J2832&lt;&gt;"",TEXT($J2832,"00"),IFERROR(VLOOKUP(LEFT($N2832,4),LCTT_MAP!$A$7:$C$66,IF($M2832="THU",2,3),FALSE()),IFERROR(VLOOKUP(LEFT($N2832,3),LCTT_MAP!$A$7:$C$66,IF($M2832="THU",2,3),FALSE()),IFERROR(VLOOKUP(LEFT($N2832,2),LCTT_MAP!$A$7:$C$66,IF($M2832="THU",2,3),FALSE()),IFERROR(VLOOKUP(LEFT($N2832,1),LCTT_MAP!$A$7:$C$66,IF($M2832="THU",2,3),FALSE()),IF($M2832="THU","06","07")))))))</f>
        <v/>
      </c>
      <c r="P2832" s="117">
        <f>P2831+IF(AND($H2832&lt;&gt;"",OR(LEFT($F2832,LEN(SC_TK))=SC_TK,LEFT($G2832,LEN(SC_TK))=SC_TK)),1,0)</f>
        <v/>
      </c>
    </row>
    <row r="2833" ht="15" customHeight="1" s="78">
      <c r="A2833" s="95">
        <f>IF($H2833="","",ROW()-6)</f>
        <v/>
      </c>
      <c r="B2833" s="114" t="n"/>
      <c r="C2833" s="102" t="n"/>
      <c r="D2833" s="114" t="n"/>
      <c r="E2833" s="103" t="n"/>
      <c r="F2833" s="102" t="n"/>
      <c r="G2833" s="102" t="n"/>
      <c r="H2833" s="115" t="n"/>
      <c r="I2833" s="102" t="n"/>
      <c r="J2833" s="102" t="n"/>
      <c r="K2833" s="103" t="n"/>
      <c r="L2833" s="116">
        <f>IF($H2833="","",TRIM(IF(COUNTIF(DMTK!$A$7:$A$250,$F2833)=0,"TK Nợ sai! ","")&amp;IF(COUNTIF(DMTK!$A$7:$A$250,$G2833)=0,"TK Có sai! ","")&amp;IF(N($H2833)&lt;=0,"Tiền phải &gt; 0! ","")&amp;IF($B2833="","Thiếu ngày! ","")&amp;IF(AND(OR(LEFT($F2833,3)="131",LEFT($G2833,3)="131",LEFT($F2833,3)="331",LEFT($G2833,3)="331"),$I2833=""),"Thiếu Mã ĐT! ","")&amp;IF(AND($I2833&lt;&gt;"",COUNTIF(DM_DT!$A$7:$A$306,$I2833)=0),"Mã ĐT chưa khai báo! ","")))</f>
        <v/>
      </c>
      <c r="M2833" s="117">
        <f>IF($H2833="","",IF(AND(OR(LEFT($F2833,3)="111",LEFT($F2833,3)="112",LEFT($F2833,3)="113"),OR(LEFT($G2833,3)="111",LEFT($G2833,3)="112",LEFT($G2833,3)="113")),"NB",IF(OR(LEFT($F2833,3)="111",LEFT($F2833,3)="112",LEFT($F2833,3)="113"),"THU",IF(OR(LEFT($G2833,3)="111",LEFT($G2833,3)="112",LEFT($G2833,3)="113"),"CHI",""))))</f>
        <v/>
      </c>
      <c r="N2833" s="117">
        <f>IF($M2833="THU",$G2833,IF($M2833="CHI",$F2833,""))</f>
        <v/>
      </c>
      <c r="O2833" s="117">
        <f>IF(OR($M2833="",$M2833="NB"),"",IF($J2833&lt;&gt;"",TEXT($J2833,"00"),IFERROR(VLOOKUP(LEFT($N2833,4),LCTT_MAP!$A$7:$C$66,IF($M2833="THU",2,3),FALSE()),IFERROR(VLOOKUP(LEFT($N2833,3),LCTT_MAP!$A$7:$C$66,IF($M2833="THU",2,3),FALSE()),IFERROR(VLOOKUP(LEFT($N2833,2),LCTT_MAP!$A$7:$C$66,IF($M2833="THU",2,3),FALSE()),IFERROR(VLOOKUP(LEFT($N2833,1),LCTT_MAP!$A$7:$C$66,IF($M2833="THU",2,3),FALSE()),IF($M2833="THU","06","07")))))))</f>
        <v/>
      </c>
      <c r="P2833" s="117">
        <f>P2832+IF(AND($H2833&lt;&gt;"",OR(LEFT($F2833,LEN(SC_TK))=SC_TK,LEFT($G2833,LEN(SC_TK))=SC_TK)),1,0)</f>
        <v/>
      </c>
    </row>
    <row r="2834" ht="15" customHeight="1" s="78">
      <c r="A2834" s="95">
        <f>IF($H2834="","",ROW()-6)</f>
        <v/>
      </c>
      <c r="B2834" s="114" t="n"/>
      <c r="C2834" s="102" t="n"/>
      <c r="D2834" s="114" t="n"/>
      <c r="E2834" s="103" t="n"/>
      <c r="F2834" s="102" t="n"/>
      <c r="G2834" s="102" t="n"/>
      <c r="H2834" s="115" t="n"/>
      <c r="I2834" s="102" t="n"/>
      <c r="J2834" s="102" t="n"/>
      <c r="K2834" s="103" t="n"/>
      <c r="L2834" s="116">
        <f>IF($H2834="","",TRIM(IF(COUNTIF(DMTK!$A$7:$A$250,$F2834)=0,"TK Nợ sai! ","")&amp;IF(COUNTIF(DMTK!$A$7:$A$250,$G2834)=0,"TK Có sai! ","")&amp;IF(N($H2834)&lt;=0,"Tiền phải &gt; 0! ","")&amp;IF($B2834="","Thiếu ngày! ","")&amp;IF(AND(OR(LEFT($F2834,3)="131",LEFT($G2834,3)="131",LEFT($F2834,3)="331",LEFT($G2834,3)="331"),$I2834=""),"Thiếu Mã ĐT! ","")&amp;IF(AND($I2834&lt;&gt;"",COUNTIF(DM_DT!$A$7:$A$306,$I2834)=0),"Mã ĐT chưa khai báo! ","")))</f>
        <v/>
      </c>
      <c r="M2834" s="117">
        <f>IF($H2834="","",IF(AND(OR(LEFT($F2834,3)="111",LEFT($F2834,3)="112",LEFT($F2834,3)="113"),OR(LEFT($G2834,3)="111",LEFT($G2834,3)="112",LEFT($G2834,3)="113")),"NB",IF(OR(LEFT($F2834,3)="111",LEFT($F2834,3)="112",LEFT($F2834,3)="113"),"THU",IF(OR(LEFT($G2834,3)="111",LEFT($G2834,3)="112",LEFT($G2834,3)="113"),"CHI",""))))</f>
        <v/>
      </c>
      <c r="N2834" s="117">
        <f>IF($M2834="THU",$G2834,IF($M2834="CHI",$F2834,""))</f>
        <v/>
      </c>
      <c r="O2834" s="117">
        <f>IF(OR($M2834="",$M2834="NB"),"",IF($J2834&lt;&gt;"",TEXT($J2834,"00"),IFERROR(VLOOKUP(LEFT($N2834,4),LCTT_MAP!$A$7:$C$66,IF($M2834="THU",2,3),FALSE()),IFERROR(VLOOKUP(LEFT($N2834,3),LCTT_MAP!$A$7:$C$66,IF($M2834="THU",2,3),FALSE()),IFERROR(VLOOKUP(LEFT($N2834,2),LCTT_MAP!$A$7:$C$66,IF($M2834="THU",2,3),FALSE()),IFERROR(VLOOKUP(LEFT($N2834,1),LCTT_MAP!$A$7:$C$66,IF($M2834="THU",2,3),FALSE()),IF($M2834="THU","06","07")))))))</f>
        <v/>
      </c>
      <c r="P2834" s="117">
        <f>P2833+IF(AND($H2834&lt;&gt;"",OR(LEFT($F2834,LEN(SC_TK))=SC_TK,LEFT($G2834,LEN(SC_TK))=SC_TK)),1,0)</f>
        <v/>
      </c>
    </row>
    <row r="2835" ht="15" customHeight="1" s="78">
      <c r="A2835" s="95">
        <f>IF($H2835="","",ROW()-6)</f>
        <v/>
      </c>
      <c r="B2835" s="114" t="n"/>
      <c r="C2835" s="102" t="n"/>
      <c r="D2835" s="114" t="n"/>
      <c r="E2835" s="103" t="n"/>
      <c r="F2835" s="102" t="n"/>
      <c r="G2835" s="102" t="n"/>
      <c r="H2835" s="115" t="n"/>
      <c r="I2835" s="102" t="n"/>
      <c r="J2835" s="102" t="n"/>
      <c r="K2835" s="103" t="n"/>
      <c r="L2835" s="116">
        <f>IF($H2835="","",TRIM(IF(COUNTIF(DMTK!$A$7:$A$250,$F2835)=0,"TK Nợ sai! ","")&amp;IF(COUNTIF(DMTK!$A$7:$A$250,$G2835)=0,"TK Có sai! ","")&amp;IF(N($H2835)&lt;=0,"Tiền phải &gt; 0! ","")&amp;IF($B2835="","Thiếu ngày! ","")&amp;IF(AND(OR(LEFT($F2835,3)="131",LEFT($G2835,3)="131",LEFT($F2835,3)="331",LEFT($G2835,3)="331"),$I2835=""),"Thiếu Mã ĐT! ","")&amp;IF(AND($I2835&lt;&gt;"",COUNTIF(DM_DT!$A$7:$A$306,$I2835)=0),"Mã ĐT chưa khai báo! ","")))</f>
        <v/>
      </c>
      <c r="M2835" s="117">
        <f>IF($H2835="","",IF(AND(OR(LEFT($F2835,3)="111",LEFT($F2835,3)="112",LEFT($F2835,3)="113"),OR(LEFT($G2835,3)="111",LEFT($G2835,3)="112",LEFT($G2835,3)="113")),"NB",IF(OR(LEFT($F2835,3)="111",LEFT($F2835,3)="112",LEFT($F2835,3)="113"),"THU",IF(OR(LEFT($G2835,3)="111",LEFT($G2835,3)="112",LEFT($G2835,3)="113"),"CHI",""))))</f>
        <v/>
      </c>
      <c r="N2835" s="117">
        <f>IF($M2835="THU",$G2835,IF($M2835="CHI",$F2835,""))</f>
        <v/>
      </c>
      <c r="O2835" s="117">
        <f>IF(OR($M2835="",$M2835="NB"),"",IF($J2835&lt;&gt;"",TEXT($J2835,"00"),IFERROR(VLOOKUP(LEFT($N2835,4),LCTT_MAP!$A$7:$C$66,IF($M2835="THU",2,3),FALSE()),IFERROR(VLOOKUP(LEFT($N2835,3),LCTT_MAP!$A$7:$C$66,IF($M2835="THU",2,3),FALSE()),IFERROR(VLOOKUP(LEFT($N2835,2),LCTT_MAP!$A$7:$C$66,IF($M2835="THU",2,3),FALSE()),IFERROR(VLOOKUP(LEFT($N2835,1),LCTT_MAP!$A$7:$C$66,IF($M2835="THU",2,3),FALSE()),IF($M2835="THU","06","07")))))))</f>
        <v/>
      </c>
      <c r="P2835" s="117">
        <f>P2834+IF(AND($H2835&lt;&gt;"",OR(LEFT($F2835,LEN(SC_TK))=SC_TK,LEFT($G2835,LEN(SC_TK))=SC_TK)),1,0)</f>
        <v/>
      </c>
    </row>
    <row r="2836" ht="15" customHeight="1" s="78">
      <c r="A2836" s="95">
        <f>IF($H2836="","",ROW()-6)</f>
        <v/>
      </c>
      <c r="B2836" s="114" t="n"/>
      <c r="C2836" s="102" t="n"/>
      <c r="D2836" s="114" t="n"/>
      <c r="E2836" s="103" t="n"/>
      <c r="F2836" s="102" t="n"/>
      <c r="G2836" s="102" t="n"/>
      <c r="H2836" s="115" t="n"/>
      <c r="I2836" s="102" t="n"/>
      <c r="J2836" s="102" t="n"/>
      <c r="K2836" s="103" t="n"/>
      <c r="L2836" s="116">
        <f>IF($H2836="","",TRIM(IF(COUNTIF(DMTK!$A$7:$A$250,$F2836)=0,"TK Nợ sai! ","")&amp;IF(COUNTIF(DMTK!$A$7:$A$250,$G2836)=0,"TK Có sai! ","")&amp;IF(N($H2836)&lt;=0,"Tiền phải &gt; 0! ","")&amp;IF($B2836="","Thiếu ngày! ","")&amp;IF(AND(OR(LEFT($F2836,3)="131",LEFT($G2836,3)="131",LEFT($F2836,3)="331",LEFT($G2836,3)="331"),$I2836=""),"Thiếu Mã ĐT! ","")&amp;IF(AND($I2836&lt;&gt;"",COUNTIF(DM_DT!$A$7:$A$306,$I2836)=0),"Mã ĐT chưa khai báo! ","")))</f>
        <v/>
      </c>
      <c r="M2836" s="117">
        <f>IF($H2836="","",IF(AND(OR(LEFT($F2836,3)="111",LEFT($F2836,3)="112",LEFT($F2836,3)="113"),OR(LEFT($G2836,3)="111",LEFT($G2836,3)="112",LEFT($G2836,3)="113")),"NB",IF(OR(LEFT($F2836,3)="111",LEFT($F2836,3)="112",LEFT($F2836,3)="113"),"THU",IF(OR(LEFT($G2836,3)="111",LEFT($G2836,3)="112",LEFT($G2836,3)="113"),"CHI",""))))</f>
        <v/>
      </c>
      <c r="N2836" s="117">
        <f>IF($M2836="THU",$G2836,IF($M2836="CHI",$F2836,""))</f>
        <v/>
      </c>
      <c r="O2836" s="117">
        <f>IF(OR($M2836="",$M2836="NB"),"",IF($J2836&lt;&gt;"",TEXT($J2836,"00"),IFERROR(VLOOKUP(LEFT($N2836,4),LCTT_MAP!$A$7:$C$66,IF($M2836="THU",2,3),FALSE()),IFERROR(VLOOKUP(LEFT($N2836,3),LCTT_MAP!$A$7:$C$66,IF($M2836="THU",2,3),FALSE()),IFERROR(VLOOKUP(LEFT($N2836,2),LCTT_MAP!$A$7:$C$66,IF($M2836="THU",2,3),FALSE()),IFERROR(VLOOKUP(LEFT($N2836,1),LCTT_MAP!$A$7:$C$66,IF($M2836="THU",2,3),FALSE()),IF($M2836="THU","06","07")))))))</f>
        <v/>
      </c>
      <c r="P2836" s="117">
        <f>P2835+IF(AND($H2836&lt;&gt;"",OR(LEFT($F2836,LEN(SC_TK))=SC_TK,LEFT($G2836,LEN(SC_TK))=SC_TK)),1,0)</f>
        <v/>
      </c>
    </row>
    <row r="2837" ht="15" customHeight="1" s="78">
      <c r="A2837" s="95">
        <f>IF($H2837="","",ROW()-6)</f>
        <v/>
      </c>
      <c r="B2837" s="114" t="n"/>
      <c r="C2837" s="102" t="n"/>
      <c r="D2837" s="114" t="n"/>
      <c r="E2837" s="103" t="n"/>
      <c r="F2837" s="102" t="n"/>
      <c r="G2837" s="102" t="n"/>
      <c r="H2837" s="115" t="n"/>
      <c r="I2837" s="102" t="n"/>
      <c r="J2837" s="102" t="n"/>
      <c r="K2837" s="103" t="n"/>
      <c r="L2837" s="116">
        <f>IF($H2837="","",TRIM(IF(COUNTIF(DMTK!$A$7:$A$250,$F2837)=0,"TK Nợ sai! ","")&amp;IF(COUNTIF(DMTK!$A$7:$A$250,$G2837)=0,"TK Có sai! ","")&amp;IF(N($H2837)&lt;=0,"Tiền phải &gt; 0! ","")&amp;IF($B2837="","Thiếu ngày! ","")&amp;IF(AND(OR(LEFT($F2837,3)="131",LEFT($G2837,3)="131",LEFT($F2837,3)="331",LEFT($G2837,3)="331"),$I2837=""),"Thiếu Mã ĐT! ","")&amp;IF(AND($I2837&lt;&gt;"",COUNTIF(DM_DT!$A$7:$A$306,$I2837)=0),"Mã ĐT chưa khai báo! ","")))</f>
        <v/>
      </c>
      <c r="M2837" s="117">
        <f>IF($H2837="","",IF(AND(OR(LEFT($F2837,3)="111",LEFT($F2837,3)="112",LEFT($F2837,3)="113"),OR(LEFT($G2837,3)="111",LEFT($G2837,3)="112",LEFT($G2837,3)="113")),"NB",IF(OR(LEFT($F2837,3)="111",LEFT($F2837,3)="112",LEFT($F2837,3)="113"),"THU",IF(OR(LEFT($G2837,3)="111",LEFT($G2837,3)="112",LEFT($G2837,3)="113"),"CHI",""))))</f>
        <v/>
      </c>
      <c r="N2837" s="117">
        <f>IF($M2837="THU",$G2837,IF($M2837="CHI",$F2837,""))</f>
        <v/>
      </c>
      <c r="O2837" s="117">
        <f>IF(OR($M2837="",$M2837="NB"),"",IF($J2837&lt;&gt;"",TEXT($J2837,"00"),IFERROR(VLOOKUP(LEFT($N2837,4),LCTT_MAP!$A$7:$C$66,IF($M2837="THU",2,3),FALSE()),IFERROR(VLOOKUP(LEFT($N2837,3),LCTT_MAP!$A$7:$C$66,IF($M2837="THU",2,3),FALSE()),IFERROR(VLOOKUP(LEFT($N2837,2),LCTT_MAP!$A$7:$C$66,IF($M2837="THU",2,3),FALSE()),IFERROR(VLOOKUP(LEFT($N2837,1),LCTT_MAP!$A$7:$C$66,IF($M2837="THU",2,3),FALSE()),IF($M2837="THU","06","07")))))))</f>
        <v/>
      </c>
      <c r="P2837" s="117">
        <f>P2836+IF(AND($H2837&lt;&gt;"",OR(LEFT($F2837,LEN(SC_TK))=SC_TK,LEFT($G2837,LEN(SC_TK))=SC_TK)),1,0)</f>
        <v/>
      </c>
    </row>
    <row r="2838" ht="15" customHeight="1" s="78">
      <c r="A2838" s="95">
        <f>IF($H2838="","",ROW()-6)</f>
        <v/>
      </c>
      <c r="B2838" s="114" t="n"/>
      <c r="C2838" s="102" t="n"/>
      <c r="D2838" s="114" t="n"/>
      <c r="E2838" s="103" t="n"/>
      <c r="F2838" s="102" t="n"/>
      <c r="G2838" s="102" t="n"/>
      <c r="H2838" s="115" t="n"/>
      <c r="I2838" s="102" t="n"/>
      <c r="J2838" s="102" t="n"/>
      <c r="K2838" s="103" t="n"/>
      <c r="L2838" s="116">
        <f>IF($H2838="","",TRIM(IF(COUNTIF(DMTK!$A$7:$A$250,$F2838)=0,"TK Nợ sai! ","")&amp;IF(COUNTIF(DMTK!$A$7:$A$250,$G2838)=0,"TK Có sai! ","")&amp;IF(N($H2838)&lt;=0,"Tiền phải &gt; 0! ","")&amp;IF($B2838="","Thiếu ngày! ","")&amp;IF(AND(OR(LEFT($F2838,3)="131",LEFT($G2838,3)="131",LEFT($F2838,3)="331",LEFT($G2838,3)="331"),$I2838=""),"Thiếu Mã ĐT! ","")&amp;IF(AND($I2838&lt;&gt;"",COUNTIF(DM_DT!$A$7:$A$306,$I2838)=0),"Mã ĐT chưa khai báo! ","")))</f>
        <v/>
      </c>
      <c r="M2838" s="117">
        <f>IF($H2838="","",IF(AND(OR(LEFT($F2838,3)="111",LEFT($F2838,3)="112",LEFT($F2838,3)="113"),OR(LEFT($G2838,3)="111",LEFT($G2838,3)="112",LEFT($G2838,3)="113")),"NB",IF(OR(LEFT($F2838,3)="111",LEFT($F2838,3)="112",LEFT($F2838,3)="113"),"THU",IF(OR(LEFT($G2838,3)="111",LEFT($G2838,3)="112",LEFT($G2838,3)="113"),"CHI",""))))</f>
        <v/>
      </c>
      <c r="N2838" s="117">
        <f>IF($M2838="THU",$G2838,IF($M2838="CHI",$F2838,""))</f>
        <v/>
      </c>
      <c r="O2838" s="117">
        <f>IF(OR($M2838="",$M2838="NB"),"",IF($J2838&lt;&gt;"",TEXT($J2838,"00"),IFERROR(VLOOKUP(LEFT($N2838,4),LCTT_MAP!$A$7:$C$66,IF($M2838="THU",2,3),FALSE()),IFERROR(VLOOKUP(LEFT($N2838,3),LCTT_MAP!$A$7:$C$66,IF($M2838="THU",2,3),FALSE()),IFERROR(VLOOKUP(LEFT($N2838,2),LCTT_MAP!$A$7:$C$66,IF($M2838="THU",2,3),FALSE()),IFERROR(VLOOKUP(LEFT($N2838,1),LCTT_MAP!$A$7:$C$66,IF($M2838="THU",2,3),FALSE()),IF($M2838="THU","06","07")))))))</f>
        <v/>
      </c>
      <c r="P2838" s="117">
        <f>P2837+IF(AND($H2838&lt;&gt;"",OR(LEFT($F2838,LEN(SC_TK))=SC_TK,LEFT($G2838,LEN(SC_TK))=SC_TK)),1,0)</f>
        <v/>
      </c>
    </row>
    <row r="2839" ht="15" customHeight="1" s="78">
      <c r="A2839" s="95">
        <f>IF($H2839="","",ROW()-6)</f>
        <v/>
      </c>
      <c r="B2839" s="114" t="n"/>
      <c r="C2839" s="102" t="n"/>
      <c r="D2839" s="114" t="n"/>
      <c r="E2839" s="103" t="n"/>
      <c r="F2839" s="102" t="n"/>
      <c r="G2839" s="102" t="n"/>
      <c r="H2839" s="115" t="n"/>
      <c r="I2839" s="102" t="n"/>
      <c r="J2839" s="102" t="n"/>
      <c r="K2839" s="103" t="n"/>
      <c r="L2839" s="116">
        <f>IF($H2839="","",TRIM(IF(COUNTIF(DMTK!$A$7:$A$250,$F2839)=0,"TK Nợ sai! ","")&amp;IF(COUNTIF(DMTK!$A$7:$A$250,$G2839)=0,"TK Có sai! ","")&amp;IF(N($H2839)&lt;=0,"Tiền phải &gt; 0! ","")&amp;IF($B2839="","Thiếu ngày! ","")&amp;IF(AND(OR(LEFT($F2839,3)="131",LEFT($G2839,3)="131",LEFT($F2839,3)="331",LEFT($G2839,3)="331"),$I2839=""),"Thiếu Mã ĐT! ","")&amp;IF(AND($I2839&lt;&gt;"",COUNTIF(DM_DT!$A$7:$A$306,$I2839)=0),"Mã ĐT chưa khai báo! ","")))</f>
        <v/>
      </c>
      <c r="M2839" s="117">
        <f>IF($H2839="","",IF(AND(OR(LEFT($F2839,3)="111",LEFT($F2839,3)="112",LEFT($F2839,3)="113"),OR(LEFT($G2839,3)="111",LEFT($G2839,3)="112",LEFT($G2839,3)="113")),"NB",IF(OR(LEFT($F2839,3)="111",LEFT($F2839,3)="112",LEFT($F2839,3)="113"),"THU",IF(OR(LEFT($G2839,3)="111",LEFT($G2839,3)="112",LEFT($G2839,3)="113"),"CHI",""))))</f>
        <v/>
      </c>
      <c r="N2839" s="117">
        <f>IF($M2839="THU",$G2839,IF($M2839="CHI",$F2839,""))</f>
        <v/>
      </c>
      <c r="O2839" s="117">
        <f>IF(OR($M2839="",$M2839="NB"),"",IF($J2839&lt;&gt;"",TEXT($J2839,"00"),IFERROR(VLOOKUP(LEFT($N2839,4),LCTT_MAP!$A$7:$C$66,IF($M2839="THU",2,3),FALSE()),IFERROR(VLOOKUP(LEFT($N2839,3),LCTT_MAP!$A$7:$C$66,IF($M2839="THU",2,3),FALSE()),IFERROR(VLOOKUP(LEFT($N2839,2),LCTT_MAP!$A$7:$C$66,IF($M2839="THU",2,3),FALSE()),IFERROR(VLOOKUP(LEFT($N2839,1),LCTT_MAP!$A$7:$C$66,IF($M2839="THU",2,3),FALSE()),IF($M2839="THU","06","07")))))))</f>
        <v/>
      </c>
      <c r="P2839" s="117">
        <f>P2838+IF(AND($H2839&lt;&gt;"",OR(LEFT($F2839,LEN(SC_TK))=SC_TK,LEFT($G2839,LEN(SC_TK))=SC_TK)),1,0)</f>
        <v/>
      </c>
    </row>
    <row r="2840" ht="15" customHeight="1" s="78">
      <c r="A2840" s="95">
        <f>IF($H2840="","",ROW()-6)</f>
        <v/>
      </c>
      <c r="B2840" s="114" t="n"/>
      <c r="C2840" s="102" t="n"/>
      <c r="D2840" s="114" t="n"/>
      <c r="E2840" s="103" t="n"/>
      <c r="F2840" s="102" t="n"/>
      <c r="G2840" s="102" t="n"/>
      <c r="H2840" s="115" t="n"/>
      <c r="I2840" s="102" t="n"/>
      <c r="J2840" s="102" t="n"/>
      <c r="K2840" s="103" t="n"/>
      <c r="L2840" s="116">
        <f>IF($H2840="","",TRIM(IF(COUNTIF(DMTK!$A$7:$A$250,$F2840)=0,"TK Nợ sai! ","")&amp;IF(COUNTIF(DMTK!$A$7:$A$250,$G2840)=0,"TK Có sai! ","")&amp;IF(N($H2840)&lt;=0,"Tiền phải &gt; 0! ","")&amp;IF($B2840="","Thiếu ngày! ","")&amp;IF(AND(OR(LEFT($F2840,3)="131",LEFT($G2840,3)="131",LEFT($F2840,3)="331",LEFT($G2840,3)="331"),$I2840=""),"Thiếu Mã ĐT! ","")&amp;IF(AND($I2840&lt;&gt;"",COUNTIF(DM_DT!$A$7:$A$306,$I2840)=0),"Mã ĐT chưa khai báo! ","")))</f>
        <v/>
      </c>
      <c r="M2840" s="117">
        <f>IF($H2840="","",IF(AND(OR(LEFT($F2840,3)="111",LEFT($F2840,3)="112",LEFT($F2840,3)="113"),OR(LEFT($G2840,3)="111",LEFT($G2840,3)="112",LEFT($G2840,3)="113")),"NB",IF(OR(LEFT($F2840,3)="111",LEFT($F2840,3)="112",LEFT($F2840,3)="113"),"THU",IF(OR(LEFT($G2840,3)="111",LEFT($G2840,3)="112",LEFT($G2840,3)="113"),"CHI",""))))</f>
        <v/>
      </c>
      <c r="N2840" s="117">
        <f>IF($M2840="THU",$G2840,IF($M2840="CHI",$F2840,""))</f>
        <v/>
      </c>
      <c r="O2840" s="117">
        <f>IF(OR($M2840="",$M2840="NB"),"",IF($J2840&lt;&gt;"",TEXT($J2840,"00"),IFERROR(VLOOKUP(LEFT($N2840,4),LCTT_MAP!$A$7:$C$66,IF($M2840="THU",2,3),FALSE()),IFERROR(VLOOKUP(LEFT($N2840,3),LCTT_MAP!$A$7:$C$66,IF($M2840="THU",2,3),FALSE()),IFERROR(VLOOKUP(LEFT($N2840,2),LCTT_MAP!$A$7:$C$66,IF($M2840="THU",2,3),FALSE()),IFERROR(VLOOKUP(LEFT($N2840,1),LCTT_MAP!$A$7:$C$66,IF($M2840="THU",2,3),FALSE()),IF($M2840="THU","06","07")))))))</f>
        <v/>
      </c>
      <c r="P2840" s="117">
        <f>P2839+IF(AND($H2840&lt;&gt;"",OR(LEFT($F2840,LEN(SC_TK))=SC_TK,LEFT($G2840,LEN(SC_TK))=SC_TK)),1,0)</f>
        <v/>
      </c>
    </row>
    <row r="2841" ht="15" customHeight="1" s="78">
      <c r="A2841" s="95">
        <f>IF($H2841="","",ROW()-6)</f>
        <v/>
      </c>
      <c r="B2841" s="114" t="n"/>
      <c r="C2841" s="102" t="n"/>
      <c r="D2841" s="114" t="n"/>
      <c r="E2841" s="103" t="n"/>
      <c r="F2841" s="102" t="n"/>
      <c r="G2841" s="102" t="n"/>
      <c r="H2841" s="115" t="n"/>
      <c r="I2841" s="102" t="n"/>
      <c r="J2841" s="102" t="n"/>
      <c r="K2841" s="103" t="n"/>
      <c r="L2841" s="116">
        <f>IF($H2841="","",TRIM(IF(COUNTIF(DMTK!$A$7:$A$250,$F2841)=0,"TK Nợ sai! ","")&amp;IF(COUNTIF(DMTK!$A$7:$A$250,$G2841)=0,"TK Có sai! ","")&amp;IF(N($H2841)&lt;=0,"Tiền phải &gt; 0! ","")&amp;IF($B2841="","Thiếu ngày! ","")&amp;IF(AND(OR(LEFT($F2841,3)="131",LEFT($G2841,3)="131",LEFT($F2841,3)="331",LEFT($G2841,3)="331"),$I2841=""),"Thiếu Mã ĐT! ","")&amp;IF(AND($I2841&lt;&gt;"",COUNTIF(DM_DT!$A$7:$A$306,$I2841)=0),"Mã ĐT chưa khai báo! ","")))</f>
        <v/>
      </c>
      <c r="M2841" s="117">
        <f>IF($H2841="","",IF(AND(OR(LEFT($F2841,3)="111",LEFT($F2841,3)="112",LEFT($F2841,3)="113"),OR(LEFT($G2841,3)="111",LEFT($G2841,3)="112",LEFT($G2841,3)="113")),"NB",IF(OR(LEFT($F2841,3)="111",LEFT($F2841,3)="112",LEFT($F2841,3)="113"),"THU",IF(OR(LEFT($G2841,3)="111",LEFT($G2841,3)="112",LEFT($G2841,3)="113"),"CHI",""))))</f>
        <v/>
      </c>
      <c r="N2841" s="117">
        <f>IF($M2841="THU",$G2841,IF($M2841="CHI",$F2841,""))</f>
        <v/>
      </c>
      <c r="O2841" s="117">
        <f>IF(OR($M2841="",$M2841="NB"),"",IF($J2841&lt;&gt;"",TEXT($J2841,"00"),IFERROR(VLOOKUP(LEFT($N2841,4),LCTT_MAP!$A$7:$C$66,IF($M2841="THU",2,3),FALSE()),IFERROR(VLOOKUP(LEFT($N2841,3),LCTT_MAP!$A$7:$C$66,IF($M2841="THU",2,3),FALSE()),IFERROR(VLOOKUP(LEFT($N2841,2),LCTT_MAP!$A$7:$C$66,IF($M2841="THU",2,3),FALSE()),IFERROR(VLOOKUP(LEFT($N2841,1),LCTT_MAP!$A$7:$C$66,IF($M2841="THU",2,3),FALSE()),IF($M2841="THU","06","07")))))))</f>
        <v/>
      </c>
      <c r="P2841" s="117">
        <f>P2840+IF(AND($H2841&lt;&gt;"",OR(LEFT($F2841,LEN(SC_TK))=SC_TK,LEFT($G2841,LEN(SC_TK))=SC_TK)),1,0)</f>
        <v/>
      </c>
    </row>
    <row r="2842" ht="15" customHeight="1" s="78">
      <c r="A2842" s="95">
        <f>IF($H2842="","",ROW()-6)</f>
        <v/>
      </c>
      <c r="B2842" s="114" t="n"/>
      <c r="C2842" s="102" t="n"/>
      <c r="D2842" s="114" t="n"/>
      <c r="E2842" s="103" t="n"/>
      <c r="F2842" s="102" t="n"/>
      <c r="G2842" s="102" t="n"/>
      <c r="H2842" s="115" t="n"/>
      <c r="I2842" s="102" t="n"/>
      <c r="J2842" s="102" t="n"/>
      <c r="K2842" s="103" t="n"/>
      <c r="L2842" s="116">
        <f>IF($H2842="","",TRIM(IF(COUNTIF(DMTK!$A$7:$A$250,$F2842)=0,"TK Nợ sai! ","")&amp;IF(COUNTIF(DMTK!$A$7:$A$250,$G2842)=0,"TK Có sai! ","")&amp;IF(N($H2842)&lt;=0,"Tiền phải &gt; 0! ","")&amp;IF($B2842="","Thiếu ngày! ","")&amp;IF(AND(OR(LEFT($F2842,3)="131",LEFT($G2842,3)="131",LEFT($F2842,3)="331",LEFT($G2842,3)="331"),$I2842=""),"Thiếu Mã ĐT! ","")&amp;IF(AND($I2842&lt;&gt;"",COUNTIF(DM_DT!$A$7:$A$306,$I2842)=0),"Mã ĐT chưa khai báo! ","")))</f>
        <v/>
      </c>
      <c r="M2842" s="117">
        <f>IF($H2842="","",IF(AND(OR(LEFT($F2842,3)="111",LEFT($F2842,3)="112",LEFT($F2842,3)="113"),OR(LEFT($G2842,3)="111",LEFT($G2842,3)="112",LEFT($G2842,3)="113")),"NB",IF(OR(LEFT($F2842,3)="111",LEFT($F2842,3)="112",LEFT($F2842,3)="113"),"THU",IF(OR(LEFT($G2842,3)="111",LEFT($G2842,3)="112",LEFT($G2842,3)="113"),"CHI",""))))</f>
        <v/>
      </c>
      <c r="N2842" s="117">
        <f>IF($M2842="THU",$G2842,IF($M2842="CHI",$F2842,""))</f>
        <v/>
      </c>
      <c r="O2842" s="117">
        <f>IF(OR($M2842="",$M2842="NB"),"",IF($J2842&lt;&gt;"",TEXT($J2842,"00"),IFERROR(VLOOKUP(LEFT($N2842,4),LCTT_MAP!$A$7:$C$66,IF($M2842="THU",2,3),FALSE()),IFERROR(VLOOKUP(LEFT($N2842,3),LCTT_MAP!$A$7:$C$66,IF($M2842="THU",2,3),FALSE()),IFERROR(VLOOKUP(LEFT($N2842,2),LCTT_MAP!$A$7:$C$66,IF($M2842="THU",2,3),FALSE()),IFERROR(VLOOKUP(LEFT($N2842,1),LCTT_MAP!$A$7:$C$66,IF($M2842="THU",2,3),FALSE()),IF($M2842="THU","06","07")))))))</f>
        <v/>
      </c>
      <c r="P2842" s="117">
        <f>P2841+IF(AND($H2842&lt;&gt;"",OR(LEFT($F2842,LEN(SC_TK))=SC_TK,LEFT($G2842,LEN(SC_TK))=SC_TK)),1,0)</f>
        <v/>
      </c>
    </row>
    <row r="2843" ht="15" customHeight="1" s="78">
      <c r="A2843" s="95">
        <f>IF($H2843="","",ROW()-6)</f>
        <v/>
      </c>
      <c r="B2843" s="114" t="n"/>
      <c r="C2843" s="102" t="n"/>
      <c r="D2843" s="114" t="n"/>
      <c r="E2843" s="103" t="n"/>
      <c r="F2843" s="102" t="n"/>
      <c r="G2843" s="102" t="n"/>
      <c r="H2843" s="115" t="n"/>
      <c r="I2843" s="102" t="n"/>
      <c r="J2843" s="102" t="n"/>
      <c r="K2843" s="103" t="n"/>
      <c r="L2843" s="116">
        <f>IF($H2843="","",TRIM(IF(COUNTIF(DMTK!$A$7:$A$250,$F2843)=0,"TK Nợ sai! ","")&amp;IF(COUNTIF(DMTK!$A$7:$A$250,$G2843)=0,"TK Có sai! ","")&amp;IF(N($H2843)&lt;=0,"Tiền phải &gt; 0! ","")&amp;IF($B2843="","Thiếu ngày! ","")&amp;IF(AND(OR(LEFT($F2843,3)="131",LEFT($G2843,3)="131",LEFT($F2843,3)="331",LEFT($G2843,3)="331"),$I2843=""),"Thiếu Mã ĐT! ","")&amp;IF(AND($I2843&lt;&gt;"",COUNTIF(DM_DT!$A$7:$A$306,$I2843)=0),"Mã ĐT chưa khai báo! ","")))</f>
        <v/>
      </c>
      <c r="M2843" s="117">
        <f>IF($H2843="","",IF(AND(OR(LEFT($F2843,3)="111",LEFT($F2843,3)="112",LEFT($F2843,3)="113"),OR(LEFT($G2843,3)="111",LEFT($G2843,3)="112",LEFT($G2843,3)="113")),"NB",IF(OR(LEFT($F2843,3)="111",LEFT($F2843,3)="112",LEFT($F2843,3)="113"),"THU",IF(OR(LEFT($G2843,3)="111",LEFT($G2843,3)="112",LEFT($G2843,3)="113"),"CHI",""))))</f>
        <v/>
      </c>
      <c r="N2843" s="117">
        <f>IF($M2843="THU",$G2843,IF($M2843="CHI",$F2843,""))</f>
        <v/>
      </c>
      <c r="O2843" s="117">
        <f>IF(OR($M2843="",$M2843="NB"),"",IF($J2843&lt;&gt;"",TEXT($J2843,"00"),IFERROR(VLOOKUP(LEFT($N2843,4),LCTT_MAP!$A$7:$C$66,IF($M2843="THU",2,3),FALSE()),IFERROR(VLOOKUP(LEFT($N2843,3),LCTT_MAP!$A$7:$C$66,IF($M2843="THU",2,3),FALSE()),IFERROR(VLOOKUP(LEFT($N2843,2),LCTT_MAP!$A$7:$C$66,IF($M2843="THU",2,3),FALSE()),IFERROR(VLOOKUP(LEFT($N2843,1),LCTT_MAP!$A$7:$C$66,IF($M2843="THU",2,3),FALSE()),IF($M2843="THU","06","07")))))))</f>
        <v/>
      </c>
      <c r="P2843" s="117">
        <f>P2842+IF(AND($H2843&lt;&gt;"",OR(LEFT($F2843,LEN(SC_TK))=SC_TK,LEFT($G2843,LEN(SC_TK))=SC_TK)),1,0)</f>
        <v/>
      </c>
    </row>
    <row r="2844" ht="15" customHeight="1" s="78">
      <c r="A2844" s="95">
        <f>IF($H2844="","",ROW()-6)</f>
        <v/>
      </c>
      <c r="B2844" s="114" t="n"/>
      <c r="C2844" s="102" t="n"/>
      <c r="D2844" s="114" t="n"/>
      <c r="E2844" s="103" t="n"/>
      <c r="F2844" s="102" t="n"/>
      <c r="G2844" s="102" t="n"/>
      <c r="H2844" s="115" t="n"/>
      <c r="I2844" s="102" t="n"/>
      <c r="J2844" s="102" t="n"/>
      <c r="K2844" s="103" t="n"/>
      <c r="L2844" s="116">
        <f>IF($H2844="","",TRIM(IF(COUNTIF(DMTK!$A$7:$A$250,$F2844)=0,"TK Nợ sai! ","")&amp;IF(COUNTIF(DMTK!$A$7:$A$250,$G2844)=0,"TK Có sai! ","")&amp;IF(N($H2844)&lt;=0,"Tiền phải &gt; 0! ","")&amp;IF($B2844="","Thiếu ngày! ","")&amp;IF(AND(OR(LEFT($F2844,3)="131",LEFT($G2844,3)="131",LEFT($F2844,3)="331",LEFT($G2844,3)="331"),$I2844=""),"Thiếu Mã ĐT! ","")&amp;IF(AND($I2844&lt;&gt;"",COUNTIF(DM_DT!$A$7:$A$306,$I2844)=0),"Mã ĐT chưa khai báo! ","")))</f>
        <v/>
      </c>
      <c r="M2844" s="117">
        <f>IF($H2844="","",IF(AND(OR(LEFT($F2844,3)="111",LEFT($F2844,3)="112",LEFT($F2844,3)="113"),OR(LEFT($G2844,3)="111",LEFT($G2844,3)="112",LEFT($G2844,3)="113")),"NB",IF(OR(LEFT($F2844,3)="111",LEFT($F2844,3)="112",LEFT($F2844,3)="113"),"THU",IF(OR(LEFT($G2844,3)="111",LEFT($G2844,3)="112",LEFT($G2844,3)="113"),"CHI",""))))</f>
        <v/>
      </c>
      <c r="N2844" s="117">
        <f>IF($M2844="THU",$G2844,IF($M2844="CHI",$F2844,""))</f>
        <v/>
      </c>
      <c r="O2844" s="117">
        <f>IF(OR($M2844="",$M2844="NB"),"",IF($J2844&lt;&gt;"",TEXT($J2844,"00"),IFERROR(VLOOKUP(LEFT($N2844,4),LCTT_MAP!$A$7:$C$66,IF($M2844="THU",2,3),FALSE()),IFERROR(VLOOKUP(LEFT($N2844,3),LCTT_MAP!$A$7:$C$66,IF($M2844="THU",2,3),FALSE()),IFERROR(VLOOKUP(LEFT($N2844,2),LCTT_MAP!$A$7:$C$66,IF($M2844="THU",2,3),FALSE()),IFERROR(VLOOKUP(LEFT($N2844,1),LCTT_MAP!$A$7:$C$66,IF($M2844="THU",2,3),FALSE()),IF($M2844="THU","06","07")))))))</f>
        <v/>
      </c>
      <c r="P2844" s="117">
        <f>P2843+IF(AND($H2844&lt;&gt;"",OR(LEFT($F2844,LEN(SC_TK))=SC_TK,LEFT($G2844,LEN(SC_TK))=SC_TK)),1,0)</f>
        <v/>
      </c>
    </row>
    <row r="2845" ht="15" customHeight="1" s="78">
      <c r="A2845" s="95">
        <f>IF($H2845="","",ROW()-6)</f>
        <v/>
      </c>
      <c r="B2845" s="114" t="n"/>
      <c r="C2845" s="102" t="n"/>
      <c r="D2845" s="114" t="n"/>
      <c r="E2845" s="103" t="n"/>
      <c r="F2845" s="102" t="n"/>
      <c r="G2845" s="102" t="n"/>
      <c r="H2845" s="115" t="n"/>
      <c r="I2845" s="102" t="n"/>
      <c r="J2845" s="102" t="n"/>
      <c r="K2845" s="103" t="n"/>
      <c r="L2845" s="116">
        <f>IF($H2845="","",TRIM(IF(COUNTIF(DMTK!$A$7:$A$250,$F2845)=0,"TK Nợ sai! ","")&amp;IF(COUNTIF(DMTK!$A$7:$A$250,$G2845)=0,"TK Có sai! ","")&amp;IF(N($H2845)&lt;=0,"Tiền phải &gt; 0! ","")&amp;IF($B2845="","Thiếu ngày! ","")&amp;IF(AND(OR(LEFT($F2845,3)="131",LEFT($G2845,3)="131",LEFT($F2845,3)="331",LEFT($G2845,3)="331"),$I2845=""),"Thiếu Mã ĐT! ","")&amp;IF(AND($I2845&lt;&gt;"",COUNTIF(DM_DT!$A$7:$A$306,$I2845)=0),"Mã ĐT chưa khai báo! ","")))</f>
        <v/>
      </c>
      <c r="M2845" s="117">
        <f>IF($H2845="","",IF(AND(OR(LEFT($F2845,3)="111",LEFT($F2845,3)="112",LEFT($F2845,3)="113"),OR(LEFT($G2845,3)="111",LEFT($G2845,3)="112",LEFT($G2845,3)="113")),"NB",IF(OR(LEFT($F2845,3)="111",LEFT($F2845,3)="112",LEFT($F2845,3)="113"),"THU",IF(OR(LEFT($G2845,3)="111",LEFT($G2845,3)="112",LEFT($G2845,3)="113"),"CHI",""))))</f>
        <v/>
      </c>
      <c r="N2845" s="117">
        <f>IF($M2845="THU",$G2845,IF($M2845="CHI",$F2845,""))</f>
        <v/>
      </c>
      <c r="O2845" s="117">
        <f>IF(OR($M2845="",$M2845="NB"),"",IF($J2845&lt;&gt;"",TEXT($J2845,"00"),IFERROR(VLOOKUP(LEFT($N2845,4),LCTT_MAP!$A$7:$C$66,IF($M2845="THU",2,3),FALSE()),IFERROR(VLOOKUP(LEFT($N2845,3),LCTT_MAP!$A$7:$C$66,IF($M2845="THU",2,3),FALSE()),IFERROR(VLOOKUP(LEFT($N2845,2),LCTT_MAP!$A$7:$C$66,IF($M2845="THU",2,3),FALSE()),IFERROR(VLOOKUP(LEFT($N2845,1),LCTT_MAP!$A$7:$C$66,IF($M2845="THU",2,3),FALSE()),IF($M2845="THU","06","07")))))))</f>
        <v/>
      </c>
      <c r="P2845" s="117">
        <f>P2844+IF(AND($H2845&lt;&gt;"",OR(LEFT($F2845,LEN(SC_TK))=SC_TK,LEFT($G2845,LEN(SC_TK))=SC_TK)),1,0)</f>
        <v/>
      </c>
    </row>
    <row r="2846" ht="15" customHeight="1" s="78">
      <c r="A2846" s="95">
        <f>IF($H2846="","",ROW()-6)</f>
        <v/>
      </c>
      <c r="B2846" s="114" t="n"/>
      <c r="C2846" s="102" t="n"/>
      <c r="D2846" s="114" t="n"/>
      <c r="E2846" s="103" t="n"/>
      <c r="F2846" s="102" t="n"/>
      <c r="G2846" s="102" t="n"/>
      <c r="H2846" s="115" t="n"/>
      <c r="I2846" s="102" t="n"/>
      <c r="J2846" s="102" t="n"/>
      <c r="K2846" s="103" t="n"/>
      <c r="L2846" s="116">
        <f>IF($H2846="","",TRIM(IF(COUNTIF(DMTK!$A$7:$A$250,$F2846)=0,"TK Nợ sai! ","")&amp;IF(COUNTIF(DMTK!$A$7:$A$250,$G2846)=0,"TK Có sai! ","")&amp;IF(N($H2846)&lt;=0,"Tiền phải &gt; 0! ","")&amp;IF($B2846="","Thiếu ngày! ","")&amp;IF(AND(OR(LEFT($F2846,3)="131",LEFT($G2846,3)="131",LEFT($F2846,3)="331",LEFT($G2846,3)="331"),$I2846=""),"Thiếu Mã ĐT! ","")&amp;IF(AND($I2846&lt;&gt;"",COUNTIF(DM_DT!$A$7:$A$306,$I2846)=0),"Mã ĐT chưa khai báo! ","")))</f>
        <v/>
      </c>
      <c r="M2846" s="117">
        <f>IF($H2846="","",IF(AND(OR(LEFT($F2846,3)="111",LEFT($F2846,3)="112",LEFT($F2846,3)="113"),OR(LEFT($G2846,3)="111",LEFT($G2846,3)="112",LEFT($G2846,3)="113")),"NB",IF(OR(LEFT($F2846,3)="111",LEFT($F2846,3)="112",LEFT($F2846,3)="113"),"THU",IF(OR(LEFT($G2846,3)="111",LEFT($G2846,3)="112",LEFT($G2846,3)="113"),"CHI",""))))</f>
        <v/>
      </c>
      <c r="N2846" s="117">
        <f>IF($M2846="THU",$G2846,IF($M2846="CHI",$F2846,""))</f>
        <v/>
      </c>
      <c r="O2846" s="117">
        <f>IF(OR($M2846="",$M2846="NB"),"",IF($J2846&lt;&gt;"",TEXT($J2846,"00"),IFERROR(VLOOKUP(LEFT($N2846,4),LCTT_MAP!$A$7:$C$66,IF($M2846="THU",2,3),FALSE()),IFERROR(VLOOKUP(LEFT($N2846,3),LCTT_MAP!$A$7:$C$66,IF($M2846="THU",2,3),FALSE()),IFERROR(VLOOKUP(LEFT($N2846,2),LCTT_MAP!$A$7:$C$66,IF($M2846="THU",2,3),FALSE()),IFERROR(VLOOKUP(LEFT($N2846,1),LCTT_MAP!$A$7:$C$66,IF($M2846="THU",2,3),FALSE()),IF($M2846="THU","06","07")))))))</f>
        <v/>
      </c>
      <c r="P2846" s="117">
        <f>P2845+IF(AND($H2846&lt;&gt;"",OR(LEFT($F2846,LEN(SC_TK))=SC_TK,LEFT($G2846,LEN(SC_TK))=SC_TK)),1,0)</f>
        <v/>
      </c>
    </row>
    <row r="2847" ht="15" customHeight="1" s="78">
      <c r="A2847" s="95">
        <f>IF($H2847="","",ROW()-6)</f>
        <v/>
      </c>
      <c r="B2847" s="114" t="n"/>
      <c r="C2847" s="102" t="n"/>
      <c r="D2847" s="114" t="n"/>
      <c r="E2847" s="103" t="n"/>
      <c r="F2847" s="102" t="n"/>
      <c r="G2847" s="102" t="n"/>
      <c r="H2847" s="115" t="n"/>
      <c r="I2847" s="102" t="n"/>
      <c r="J2847" s="102" t="n"/>
      <c r="K2847" s="103" t="n"/>
      <c r="L2847" s="116">
        <f>IF($H2847="","",TRIM(IF(COUNTIF(DMTK!$A$7:$A$250,$F2847)=0,"TK Nợ sai! ","")&amp;IF(COUNTIF(DMTK!$A$7:$A$250,$G2847)=0,"TK Có sai! ","")&amp;IF(N($H2847)&lt;=0,"Tiền phải &gt; 0! ","")&amp;IF($B2847="","Thiếu ngày! ","")&amp;IF(AND(OR(LEFT($F2847,3)="131",LEFT($G2847,3)="131",LEFT($F2847,3)="331",LEFT($G2847,3)="331"),$I2847=""),"Thiếu Mã ĐT! ","")&amp;IF(AND($I2847&lt;&gt;"",COUNTIF(DM_DT!$A$7:$A$306,$I2847)=0),"Mã ĐT chưa khai báo! ","")))</f>
        <v/>
      </c>
      <c r="M2847" s="117">
        <f>IF($H2847="","",IF(AND(OR(LEFT($F2847,3)="111",LEFT($F2847,3)="112",LEFT($F2847,3)="113"),OR(LEFT($G2847,3)="111",LEFT($G2847,3)="112",LEFT($G2847,3)="113")),"NB",IF(OR(LEFT($F2847,3)="111",LEFT($F2847,3)="112",LEFT($F2847,3)="113"),"THU",IF(OR(LEFT($G2847,3)="111",LEFT($G2847,3)="112",LEFT($G2847,3)="113"),"CHI",""))))</f>
        <v/>
      </c>
      <c r="N2847" s="117">
        <f>IF($M2847="THU",$G2847,IF($M2847="CHI",$F2847,""))</f>
        <v/>
      </c>
      <c r="O2847" s="117">
        <f>IF(OR($M2847="",$M2847="NB"),"",IF($J2847&lt;&gt;"",TEXT($J2847,"00"),IFERROR(VLOOKUP(LEFT($N2847,4),LCTT_MAP!$A$7:$C$66,IF($M2847="THU",2,3),FALSE()),IFERROR(VLOOKUP(LEFT($N2847,3),LCTT_MAP!$A$7:$C$66,IF($M2847="THU",2,3),FALSE()),IFERROR(VLOOKUP(LEFT($N2847,2),LCTT_MAP!$A$7:$C$66,IF($M2847="THU",2,3),FALSE()),IFERROR(VLOOKUP(LEFT($N2847,1),LCTT_MAP!$A$7:$C$66,IF($M2847="THU",2,3),FALSE()),IF($M2847="THU","06","07")))))))</f>
        <v/>
      </c>
      <c r="P2847" s="117">
        <f>P2846+IF(AND($H2847&lt;&gt;"",OR(LEFT($F2847,LEN(SC_TK))=SC_TK,LEFT($G2847,LEN(SC_TK))=SC_TK)),1,0)</f>
        <v/>
      </c>
    </row>
    <row r="2848" ht="15" customHeight="1" s="78">
      <c r="A2848" s="95">
        <f>IF($H2848="","",ROW()-6)</f>
        <v/>
      </c>
      <c r="B2848" s="114" t="n"/>
      <c r="C2848" s="102" t="n"/>
      <c r="D2848" s="114" t="n"/>
      <c r="E2848" s="103" t="n"/>
      <c r="F2848" s="102" t="n"/>
      <c r="G2848" s="102" t="n"/>
      <c r="H2848" s="115" t="n"/>
      <c r="I2848" s="102" t="n"/>
      <c r="J2848" s="102" t="n"/>
      <c r="K2848" s="103" t="n"/>
      <c r="L2848" s="116">
        <f>IF($H2848="","",TRIM(IF(COUNTIF(DMTK!$A$7:$A$250,$F2848)=0,"TK Nợ sai! ","")&amp;IF(COUNTIF(DMTK!$A$7:$A$250,$G2848)=0,"TK Có sai! ","")&amp;IF(N($H2848)&lt;=0,"Tiền phải &gt; 0! ","")&amp;IF($B2848="","Thiếu ngày! ","")&amp;IF(AND(OR(LEFT($F2848,3)="131",LEFT($G2848,3)="131",LEFT($F2848,3)="331",LEFT($G2848,3)="331"),$I2848=""),"Thiếu Mã ĐT! ","")&amp;IF(AND($I2848&lt;&gt;"",COUNTIF(DM_DT!$A$7:$A$306,$I2848)=0),"Mã ĐT chưa khai báo! ","")))</f>
        <v/>
      </c>
      <c r="M2848" s="117">
        <f>IF($H2848="","",IF(AND(OR(LEFT($F2848,3)="111",LEFT($F2848,3)="112",LEFT($F2848,3)="113"),OR(LEFT($G2848,3)="111",LEFT($G2848,3)="112",LEFT($G2848,3)="113")),"NB",IF(OR(LEFT($F2848,3)="111",LEFT($F2848,3)="112",LEFT($F2848,3)="113"),"THU",IF(OR(LEFT($G2848,3)="111",LEFT($G2848,3)="112",LEFT($G2848,3)="113"),"CHI",""))))</f>
        <v/>
      </c>
      <c r="N2848" s="117">
        <f>IF($M2848="THU",$G2848,IF($M2848="CHI",$F2848,""))</f>
        <v/>
      </c>
      <c r="O2848" s="117">
        <f>IF(OR($M2848="",$M2848="NB"),"",IF($J2848&lt;&gt;"",TEXT($J2848,"00"),IFERROR(VLOOKUP(LEFT($N2848,4),LCTT_MAP!$A$7:$C$66,IF($M2848="THU",2,3),FALSE()),IFERROR(VLOOKUP(LEFT($N2848,3),LCTT_MAP!$A$7:$C$66,IF($M2848="THU",2,3),FALSE()),IFERROR(VLOOKUP(LEFT($N2848,2),LCTT_MAP!$A$7:$C$66,IF($M2848="THU",2,3),FALSE()),IFERROR(VLOOKUP(LEFT($N2848,1),LCTT_MAP!$A$7:$C$66,IF($M2848="THU",2,3),FALSE()),IF($M2848="THU","06","07")))))))</f>
        <v/>
      </c>
      <c r="P2848" s="117">
        <f>P2847+IF(AND($H2848&lt;&gt;"",OR(LEFT($F2848,LEN(SC_TK))=SC_TK,LEFT($G2848,LEN(SC_TK))=SC_TK)),1,0)</f>
        <v/>
      </c>
    </row>
    <row r="2849" ht="15" customHeight="1" s="78">
      <c r="A2849" s="95">
        <f>IF($H2849="","",ROW()-6)</f>
        <v/>
      </c>
      <c r="B2849" s="114" t="n"/>
      <c r="C2849" s="102" t="n"/>
      <c r="D2849" s="114" t="n"/>
      <c r="E2849" s="103" t="n"/>
      <c r="F2849" s="102" t="n"/>
      <c r="G2849" s="102" t="n"/>
      <c r="H2849" s="115" t="n"/>
      <c r="I2849" s="102" t="n"/>
      <c r="J2849" s="102" t="n"/>
      <c r="K2849" s="103" t="n"/>
      <c r="L2849" s="116">
        <f>IF($H2849="","",TRIM(IF(COUNTIF(DMTK!$A$7:$A$250,$F2849)=0,"TK Nợ sai! ","")&amp;IF(COUNTIF(DMTK!$A$7:$A$250,$G2849)=0,"TK Có sai! ","")&amp;IF(N($H2849)&lt;=0,"Tiền phải &gt; 0! ","")&amp;IF($B2849="","Thiếu ngày! ","")&amp;IF(AND(OR(LEFT($F2849,3)="131",LEFT($G2849,3)="131",LEFT($F2849,3)="331",LEFT($G2849,3)="331"),$I2849=""),"Thiếu Mã ĐT! ","")&amp;IF(AND($I2849&lt;&gt;"",COUNTIF(DM_DT!$A$7:$A$306,$I2849)=0),"Mã ĐT chưa khai báo! ","")))</f>
        <v/>
      </c>
      <c r="M2849" s="117">
        <f>IF($H2849="","",IF(AND(OR(LEFT($F2849,3)="111",LEFT($F2849,3)="112",LEFT($F2849,3)="113"),OR(LEFT($G2849,3)="111",LEFT($G2849,3)="112",LEFT($G2849,3)="113")),"NB",IF(OR(LEFT($F2849,3)="111",LEFT($F2849,3)="112",LEFT($F2849,3)="113"),"THU",IF(OR(LEFT($G2849,3)="111",LEFT($G2849,3)="112",LEFT($G2849,3)="113"),"CHI",""))))</f>
        <v/>
      </c>
      <c r="N2849" s="117">
        <f>IF($M2849="THU",$G2849,IF($M2849="CHI",$F2849,""))</f>
        <v/>
      </c>
      <c r="O2849" s="117">
        <f>IF(OR($M2849="",$M2849="NB"),"",IF($J2849&lt;&gt;"",TEXT($J2849,"00"),IFERROR(VLOOKUP(LEFT($N2849,4),LCTT_MAP!$A$7:$C$66,IF($M2849="THU",2,3),FALSE()),IFERROR(VLOOKUP(LEFT($N2849,3),LCTT_MAP!$A$7:$C$66,IF($M2849="THU",2,3),FALSE()),IFERROR(VLOOKUP(LEFT($N2849,2),LCTT_MAP!$A$7:$C$66,IF($M2849="THU",2,3),FALSE()),IFERROR(VLOOKUP(LEFT($N2849,1),LCTT_MAP!$A$7:$C$66,IF($M2849="THU",2,3),FALSE()),IF($M2849="THU","06","07")))))))</f>
        <v/>
      </c>
      <c r="P2849" s="117">
        <f>P2848+IF(AND($H2849&lt;&gt;"",OR(LEFT($F2849,LEN(SC_TK))=SC_TK,LEFT($G2849,LEN(SC_TK))=SC_TK)),1,0)</f>
        <v/>
      </c>
    </row>
    <row r="2850" ht="15" customHeight="1" s="78">
      <c r="A2850" s="95">
        <f>IF($H2850="","",ROW()-6)</f>
        <v/>
      </c>
      <c r="B2850" s="114" t="n"/>
      <c r="C2850" s="102" t="n"/>
      <c r="D2850" s="114" t="n"/>
      <c r="E2850" s="103" t="n"/>
      <c r="F2850" s="102" t="n"/>
      <c r="G2850" s="102" t="n"/>
      <c r="H2850" s="115" t="n"/>
      <c r="I2850" s="102" t="n"/>
      <c r="J2850" s="102" t="n"/>
      <c r="K2850" s="103" t="n"/>
      <c r="L2850" s="116">
        <f>IF($H2850="","",TRIM(IF(COUNTIF(DMTK!$A$7:$A$250,$F2850)=0,"TK Nợ sai! ","")&amp;IF(COUNTIF(DMTK!$A$7:$A$250,$G2850)=0,"TK Có sai! ","")&amp;IF(N($H2850)&lt;=0,"Tiền phải &gt; 0! ","")&amp;IF($B2850="","Thiếu ngày! ","")&amp;IF(AND(OR(LEFT($F2850,3)="131",LEFT($G2850,3)="131",LEFT($F2850,3)="331",LEFT($G2850,3)="331"),$I2850=""),"Thiếu Mã ĐT! ","")&amp;IF(AND($I2850&lt;&gt;"",COUNTIF(DM_DT!$A$7:$A$306,$I2850)=0),"Mã ĐT chưa khai báo! ","")))</f>
        <v/>
      </c>
      <c r="M2850" s="117">
        <f>IF($H2850="","",IF(AND(OR(LEFT($F2850,3)="111",LEFT($F2850,3)="112",LEFT($F2850,3)="113"),OR(LEFT($G2850,3)="111",LEFT($G2850,3)="112",LEFT($G2850,3)="113")),"NB",IF(OR(LEFT($F2850,3)="111",LEFT($F2850,3)="112",LEFT($F2850,3)="113"),"THU",IF(OR(LEFT($G2850,3)="111",LEFT($G2850,3)="112",LEFT($G2850,3)="113"),"CHI",""))))</f>
        <v/>
      </c>
      <c r="N2850" s="117">
        <f>IF($M2850="THU",$G2850,IF($M2850="CHI",$F2850,""))</f>
        <v/>
      </c>
      <c r="O2850" s="117">
        <f>IF(OR($M2850="",$M2850="NB"),"",IF($J2850&lt;&gt;"",TEXT($J2850,"00"),IFERROR(VLOOKUP(LEFT($N2850,4),LCTT_MAP!$A$7:$C$66,IF($M2850="THU",2,3),FALSE()),IFERROR(VLOOKUP(LEFT($N2850,3),LCTT_MAP!$A$7:$C$66,IF($M2850="THU",2,3),FALSE()),IFERROR(VLOOKUP(LEFT($N2850,2),LCTT_MAP!$A$7:$C$66,IF($M2850="THU",2,3),FALSE()),IFERROR(VLOOKUP(LEFT($N2850,1),LCTT_MAP!$A$7:$C$66,IF($M2850="THU",2,3),FALSE()),IF($M2850="THU","06","07")))))))</f>
        <v/>
      </c>
      <c r="P2850" s="117">
        <f>P2849+IF(AND($H2850&lt;&gt;"",OR(LEFT($F2850,LEN(SC_TK))=SC_TK,LEFT($G2850,LEN(SC_TK))=SC_TK)),1,0)</f>
        <v/>
      </c>
    </row>
    <row r="2851" ht="15" customHeight="1" s="78">
      <c r="A2851" s="95">
        <f>IF($H2851="","",ROW()-6)</f>
        <v/>
      </c>
      <c r="B2851" s="114" t="n"/>
      <c r="C2851" s="102" t="n"/>
      <c r="D2851" s="114" t="n"/>
      <c r="E2851" s="103" t="n"/>
      <c r="F2851" s="102" t="n"/>
      <c r="G2851" s="102" t="n"/>
      <c r="H2851" s="115" t="n"/>
      <c r="I2851" s="102" t="n"/>
      <c r="J2851" s="102" t="n"/>
      <c r="K2851" s="103" t="n"/>
      <c r="L2851" s="116">
        <f>IF($H2851="","",TRIM(IF(COUNTIF(DMTK!$A$7:$A$250,$F2851)=0,"TK Nợ sai! ","")&amp;IF(COUNTIF(DMTK!$A$7:$A$250,$G2851)=0,"TK Có sai! ","")&amp;IF(N($H2851)&lt;=0,"Tiền phải &gt; 0! ","")&amp;IF($B2851="","Thiếu ngày! ","")&amp;IF(AND(OR(LEFT($F2851,3)="131",LEFT($G2851,3)="131",LEFT($F2851,3)="331",LEFT($G2851,3)="331"),$I2851=""),"Thiếu Mã ĐT! ","")&amp;IF(AND($I2851&lt;&gt;"",COUNTIF(DM_DT!$A$7:$A$306,$I2851)=0),"Mã ĐT chưa khai báo! ","")))</f>
        <v/>
      </c>
      <c r="M2851" s="117">
        <f>IF($H2851="","",IF(AND(OR(LEFT($F2851,3)="111",LEFT($F2851,3)="112",LEFT($F2851,3)="113"),OR(LEFT($G2851,3)="111",LEFT($G2851,3)="112",LEFT($G2851,3)="113")),"NB",IF(OR(LEFT($F2851,3)="111",LEFT($F2851,3)="112",LEFT($F2851,3)="113"),"THU",IF(OR(LEFT($G2851,3)="111",LEFT($G2851,3)="112",LEFT($G2851,3)="113"),"CHI",""))))</f>
        <v/>
      </c>
      <c r="N2851" s="117">
        <f>IF($M2851="THU",$G2851,IF($M2851="CHI",$F2851,""))</f>
        <v/>
      </c>
      <c r="O2851" s="117">
        <f>IF(OR($M2851="",$M2851="NB"),"",IF($J2851&lt;&gt;"",TEXT($J2851,"00"),IFERROR(VLOOKUP(LEFT($N2851,4),LCTT_MAP!$A$7:$C$66,IF($M2851="THU",2,3),FALSE()),IFERROR(VLOOKUP(LEFT($N2851,3),LCTT_MAP!$A$7:$C$66,IF($M2851="THU",2,3),FALSE()),IFERROR(VLOOKUP(LEFT($N2851,2),LCTT_MAP!$A$7:$C$66,IF($M2851="THU",2,3),FALSE()),IFERROR(VLOOKUP(LEFT($N2851,1),LCTT_MAP!$A$7:$C$66,IF($M2851="THU",2,3),FALSE()),IF($M2851="THU","06","07")))))))</f>
        <v/>
      </c>
      <c r="P2851" s="117">
        <f>P2850+IF(AND($H2851&lt;&gt;"",OR(LEFT($F2851,LEN(SC_TK))=SC_TK,LEFT($G2851,LEN(SC_TK))=SC_TK)),1,0)</f>
        <v/>
      </c>
    </row>
    <row r="2852" ht="15" customHeight="1" s="78">
      <c r="A2852" s="95">
        <f>IF($H2852="","",ROW()-6)</f>
        <v/>
      </c>
      <c r="B2852" s="114" t="n"/>
      <c r="C2852" s="102" t="n"/>
      <c r="D2852" s="114" t="n"/>
      <c r="E2852" s="103" t="n"/>
      <c r="F2852" s="102" t="n"/>
      <c r="G2852" s="102" t="n"/>
      <c r="H2852" s="115" t="n"/>
      <c r="I2852" s="102" t="n"/>
      <c r="J2852" s="102" t="n"/>
      <c r="K2852" s="103" t="n"/>
      <c r="L2852" s="116">
        <f>IF($H2852="","",TRIM(IF(COUNTIF(DMTK!$A$7:$A$250,$F2852)=0,"TK Nợ sai! ","")&amp;IF(COUNTIF(DMTK!$A$7:$A$250,$G2852)=0,"TK Có sai! ","")&amp;IF(N($H2852)&lt;=0,"Tiền phải &gt; 0! ","")&amp;IF($B2852="","Thiếu ngày! ","")&amp;IF(AND(OR(LEFT($F2852,3)="131",LEFT($G2852,3)="131",LEFT($F2852,3)="331",LEFT($G2852,3)="331"),$I2852=""),"Thiếu Mã ĐT! ","")&amp;IF(AND($I2852&lt;&gt;"",COUNTIF(DM_DT!$A$7:$A$306,$I2852)=0),"Mã ĐT chưa khai báo! ","")))</f>
        <v/>
      </c>
      <c r="M2852" s="117">
        <f>IF($H2852="","",IF(AND(OR(LEFT($F2852,3)="111",LEFT($F2852,3)="112",LEFT($F2852,3)="113"),OR(LEFT($G2852,3)="111",LEFT($G2852,3)="112",LEFT($G2852,3)="113")),"NB",IF(OR(LEFT($F2852,3)="111",LEFT($F2852,3)="112",LEFT($F2852,3)="113"),"THU",IF(OR(LEFT($G2852,3)="111",LEFT($G2852,3)="112",LEFT($G2852,3)="113"),"CHI",""))))</f>
        <v/>
      </c>
      <c r="N2852" s="117">
        <f>IF($M2852="THU",$G2852,IF($M2852="CHI",$F2852,""))</f>
        <v/>
      </c>
      <c r="O2852" s="117">
        <f>IF(OR($M2852="",$M2852="NB"),"",IF($J2852&lt;&gt;"",TEXT($J2852,"00"),IFERROR(VLOOKUP(LEFT($N2852,4),LCTT_MAP!$A$7:$C$66,IF($M2852="THU",2,3),FALSE()),IFERROR(VLOOKUP(LEFT($N2852,3),LCTT_MAP!$A$7:$C$66,IF($M2852="THU",2,3),FALSE()),IFERROR(VLOOKUP(LEFT($N2852,2),LCTT_MAP!$A$7:$C$66,IF($M2852="THU",2,3),FALSE()),IFERROR(VLOOKUP(LEFT($N2852,1),LCTT_MAP!$A$7:$C$66,IF($M2852="THU",2,3),FALSE()),IF($M2852="THU","06","07")))))))</f>
        <v/>
      </c>
      <c r="P2852" s="117">
        <f>P2851+IF(AND($H2852&lt;&gt;"",OR(LEFT($F2852,LEN(SC_TK))=SC_TK,LEFT($G2852,LEN(SC_TK))=SC_TK)),1,0)</f>
        <v/>
      </c>
    </row>
    <row r="2853" ht="15" customHeight="1" s="78">
      <c r="A2853" s="95">
        <f>IF($H2853="","",ROW()-6)</f>
        <v/>
      </c>
      <c r="B2853" s="114" t="n"/>
      <c r="C2853" s="102" t="n"/>
      <c r="D2853" s="114" t="n"/>
      <c r="E2853" s="103" t="n"/>
      <c r="F2853" s="102" t="n"/>
      <c r="G2853" s="102" t="n"/>
      <c r="H2853" s="115" t="n"/>
      <c r="I2853" s="102" t="n"/>
      <c r="J2853" s="102" t="n"/>
      <c r="K2853" s="103" t="n"/>
      <c r="L2853" s="116">
        <f>IF($H2853="","",TRIM(IF(COUNTIF(DMTK!$A$7:$A$250,$F2853)=0,"TK Nợ sai! ","")&amp;IF(COUNTIF(DMTK!$A$7:$A$250,$G2853)=0,"TK Có sai! ","")&amp;IF(N($H2853)&lt;=0,"Tiền phải &gt; 0! ","")&amp;IF($B2853="","Thiếu ngày! ","")&amp;IF(AND(OR(LEFT($F2853,3)="131",LEFT($G2853,3)="131",LEFT($F2853,3)="331",LEFT($G2853,3)="331"),$I2853=""),"Thiếu Mã ĐT! ","")&amp;IF(AND($I2853&lt;&gt;"",COUNTIF(DM_DT!$A$7:$A$306,$I2853)=0),"Mã ĐT chưa khai báo! ","")))</f>
        <v/>
      </c>
      <c r="M2853" s="117">
        <f>IF($H2853="","",IF(AND(OR(LEFT($F2853,3)="111",LEFT($F2853,3)="112",LEFT($F2853,3)="113"),OR(LEFT($G2853,3)="111",LEFT($G2853,3)="112",LEFT($G2853,3)="113")),"NB",IF(OR(LEFT($F2853,3)="111",LEFT($F2853,3)="112",LEFT($F2853,3)="113"),"THU",IF(OR(LEFT($G2853,3)="111",LEFT($G2853,3)="112",LEFT($G2853,3)="113"),"CHI",""))))</f>
        <v/>
      </c>
      <c r="N2853" s="117">
        <f>IF($M2853="THU",$G2853,IF($M2853="CHI",$F2853,""))</f>
        <v/>
      </c>
      <c r="O2853" s="117">
        <f>IF(OR($M2853="",$M2853="NB"),"",IF($J2853&lt;&gt;"",TEXT($J2853,"00"),IFERROR(VLOOKUP(LEFT($N2853,4),LCTT_MAP!$A$7:$C$66,IF($M2853="THU",2,3),FALSE()),IFERROR(VLOOKUP(LEFT($N2853,3),LCTT_MAP!$A$7:$C$66,IF($M2853="THU",2,3),FALSE()),IFERROR(VLOOKUP(LEFT($N2853,2),LCTT_MAP!$A$7:$C$66,IF($M2853="THU",2,3),FALSE()),IFERROR(VLOOKUP(LEFT($N2853,1),LCTT_MAP!$A$7:$C$66,IF($M2853="THU",2,3),FALSE()),IF($M2853="THU","06","07")))))))</f>
        <v/>
      </c>
      <c r="P2853" s="117">
        <f>P2852+IF(AND($H2853&lt;&gt;"",OR(LEFT($F2853,LEN(SC_TK))=SC_TK,LEFT($G2853,LEN(SC_TK))=SC_TK)),1,0)</f>
        <v/>
      </c>
    </row>
    <row r="2854" ht="15" customHeight="1" s="78">
      <c r="A2854" s="95">
        <f>IF($H2854="","",ROW()-6)</f>
        <v/>
      </c>
      <c r="B2854" s="114" t="n"/>
      <c r="C2854" s="102" t="n"/>
      <c r="D2854" s="114" t="n"/>
      <c r="E2854" s="103" t="n"/>
      <c r="F2854" s="102" t="n"/>
      <c r="G2854" s="102" t="n"/>
      <c r="H2854" s="115" t="n"/>
      <c r="I2854" s="102" t="n"/>
      <c r="J2854" s="102" t="n"/>
      <c r="K2854" s="103" t="n"/>
      <c r="L2854" s="116">
        <f>IF($H2854="","",TRIM(IF(COUNTIF(DMTK!$A$7:$A$250,$F2854)=0,"TK Nợ sai! ","")&amp;IF(COUNTIF(DMTK!$A$7:$A$250,$G2854)=0,"TK Có sai! ","")&amp;IF(N($H2854)&lt;=0,"Tiền phải &gt; 0! ","")&amp;IF($B2854="","Thiếu ngày! ","")&amp;IF(AND(OR(LEFT($F2854,3)="131",LEFT($G2854,3)="131",LEFT($F2854,3)="331",LEFT($G2854,3)="331"),$I2854=""),"Thiếu Mã ĐT! ","")&amp;IF(AND($I2854&lt;&gt;"",COUNTIF(DM_DT!$A$7:$A$306,$I2854)=0),"Mã ĐT chưa khai báo! ","")))</f>
        <v/>
      </c>
      <c r="M2854" s="117">
        <f>IF($H2854="","",IF(AND(OR(LEFT($F2854,3)="111",LEFT($F2854,3)="112",LEFT($F2854,3)="113"),OR(LEFT($G2854,3)="111",LEFT($G2854,3)="112",LEFT($G2854,3)="113")),"NB",IF(OR(LEFT($F2854,3)="111",LEFT($F2854,3)="112",LEFT($F2854,3)="113"),"THU",IF(OR(LEFT($G2854,3)="111",LEFT($G2854,3)="112",LEFT($G2854,3)="113"),"CHI",""))))</f>
        <v/>
      </c>
      <c r="N2854" s="117">
        <f>IF($M2854="THU",$G2854,IF($M2854="CHI",$F2854,""))</f>
        <v/>
      </c>
      <c r="O2854" s="117">
        <f>IF(OR($M2854="",$M2854="NB"),"",IF($J2854&lt;&gt;"",TEXT($J2854,"00"),IFERROR(VLOOKUP(LEFT($N2854,4),LCTT_MAP!$A$7:$C$66,IF($M2854="THU",2,3),FALSE()),IFERROR(VLOOKUP(LEFT($N2854,3),LCTT_MAP!$A$7:$C$66,IF($M2854="THU",2,3),FALSE()),IFERROR(VLOOKUP(LEFT($N2854,2),LCTT_MAP!$A$7:$C$66,IF($M2854="THU",2,3),FALSE()),IFERROR(VLOOKUP(LEFT($N2854,1),LCTT_MAP!$A$7:$C$66,IF($M2854="THU",2,3),FALSE()),IF($M2854="THU","06","07")))))))</f>
        <v/>
      </c>
      <c r="P2854" s="117">
        <f>P2853+IF(AND($H2854&lt;&gt;"",OR(LEFT($F2854,LEN(SC_TK))=SC_TK,LEFT($G2854,LEN(SC_TK))=SC_TK)),1,0)</f>
        <v/>
      </c>
    </row>
    <row r="2855" ht="15" customHeight="1" s="78">
      <c r="A2855" s="95">
        <f>IF($H2855="","",ROW()-6)</f>
        <v/>
      </c>
      <c r="B2855" s="114" t="n"/>
      <c r="C2855" s="102" t="n"/>
      <c r="D2855" s="114" t="n"/>
      <c r="E2855" s="103" t="n"/>
      <c r="F2855" s="102" t="n"/>
      <c r="G2855" s="102" t="n"/>
      <c r="H2855" s="115" t="n"/>
      <c r="I2855" s="102" t="n"/>
      <c r="J2855" s="102" t="n"/>
      <c r="K2855" s="103" t="n"/>
      <c r="L2855" s="116">
        <f>IF($H2855="","",TRIM(IF(COUNTIF(DMTK!$A$7:$A$250,$F2855)=0,"TK Nợ sai! ","")&amp;IF(COUNTIF(DMTK!$A$7:$A$250,$G2855)=0,"TK Có sai! ","")&amp;IF(N($H2855)&lt;=0,"Tiền phải &gt; 0! ","")&amp;IF($B2855="","Thiếu ngày! ","")&amp;IF(AND(OR(LEFT($F2855,3)="131",LEFT($G2855,3)="131",LEFT($F2855,3)="331",LEFT($G2855,3)="331"),$I2855=""),"Thiếu Mã ĐT! ","")&amp;IF(AND($I2855&lt;&gt;"",COUNTIF(DM_DT!$A$7:$A$306,$I2855)=0),"Mã ĐT chưa khai báo! ","")))</f>
        <v/>
      </c>
      <c r="M2855" s="117">
        <f>IF($H2855="","",IF(AND(OR(LEFT($F2855,3)="111",LEFT($F2855,3)="112",LEFT($F2855,3)="113"),OR(LEFT($G2855,3)="111",LEFT($G2855,3)="112",LEFT($G2855,3)="113")),"NB",IF(OR(LEFT($F2855,3)="111",LEFT($F2855,3)="112",LEFT($F2855,3)="113"),"THU",IF(OR(LEFT($G2855,3)="111",LEFT($G2855,3)="112",LEFT($G2855,3)="113"),"CHI",""))))</f>
        <v/>
      </c>
      <c r="N2855" s="117">
        <f>IF($M2855="THU",$G2855,IF($M2855="CHI",$F2855,""))</f>
        <v/>
      </c>
      <c r="O2855" s="117">
        <f>IF(OR($M2855="",$M2855="NB"),"",IF($J2855&lt;&gt;"",TEXT($J2855,"00"),IFERROR(VLOOKUP(LEFT($N2855,4),LCTT_MAP!$A$7:$C$66,IF($M2855="THU",2,3),FALSE()),IFERROR(VLOOKUP(LEFT($N2855,3),LCTT_MAP!$A$7:$C$66,IF($M2855="THU",2,3),FALSE()),IFERROR(VLOOKUP(LEFT($N2855,2),LCTT_MAP!$A$7:$C$66,IF($M2855="THU",2,3),FALSE()),IFERROR(VLOOKUP(LEFT($N2855,1),LCTT_MAP!$A$7:$C$66,IF($M2855="THU",2,3),FALSE()),IF($M2855="THU","06","07")))))))</f>
        <v/>
      </c>
      <c r="P2855" s="117">
        <f>P2854+IF(AND($H2855&lt;&gt;"",OR(LEFT($F2855,LEN(SC_TK))=SC_TK,LEFT($G2855,LEN(SC_TK))=SC_TK)),1,0)</f>
        <v/>
      </c>
    </row>
    <row r="2856" ht="15" customHeight="1" s="78">
      <c r="A2856" s="95">
        <f>IF($H2856="","",ROW()-6)</f>
        <v/>
      </c>
      <c r="B2856" s="114" t="n"/>
      <c r="C2856" s="102" t="n"/>
      <c r="D2856" s="114" t="n"/>
      <c r="E2856" s="103" t="n"/>
      <c r="F2856" s="102" t="n"/>
      <c r="G2856" s="102" t="n"/>
      <c r="H2856" s="115" t="n"/>
      <c r="I2856" s="102" t="n"/>
      <c r="J2856" s="102" t="n"/>
      <c r="K2856" s="103" t="n"/>
      <c r="L2856" s="116">
        <f>IF($H2856="","",TRIM(IF(COUNTIF(DMTK!$A$7:$A$250,$F2856)=0,"TK Nợ sai! ","")&amp;IF(COUNTIF(DMTK!$A$7:$A$250,$G2856)=0,"TK Có sai! ","")&amp;IF(N($H2856)&lt;=0,"Tiền phải &gt; 0! ","")&amp;IF($B2856="","Thiếu ngày! ","")&amp;IF(AND(OR(LEFT($F2856,3)="131",LEFT($G2856,3)="131",LEFT($F2856,3)="331",LEFT($G2856,3)="331"),$I2856=""),"Thiếu Mã ĐT! ","")&amp;IF(AND($I2856&lt;&gt;"",COUNTIF(DM_DT!$A$7:$A$306,$I2856)=0),"Mã ĐT chưa khai báo! ","")))</f>
        <v/>
      </c>
      <c r="M2856" s="117">
        <f>IF($H2856="","",IF(AND(OR(LEFT($F2856,3)="111",LEFT($F2856,3)="112",LEFT($F2856,3)="113"),OR(LEFT($G2856,3)="111",LEFT($G2856,3)="112",LEFT($G2856,3)="113")),"NB",IF(OR(LEFT($F2856,3)="111",LEFT($F2856,3)="112",LEFT($F2856,3)="113"),"THU",IF(OR(LEFT($G2856,3)="111",LEFT($G2856,3)="112",LEFT($G2856,3)="113"),"CHI",""))))</f>
        <v/>
      </c>
      <c r="N2856" s="117">
        <f>IF($M2856="THU",$G2856,IF($M2856="CHI",$F2856,""))</f>
        <v/>
      </c>
      <c r="O2856" s="117">
        <f>IF(OR($M2856="",$M2856="NB"),"",IF($J2856&lt;&gt;"",TEXT($J2856,"00"),IFERROR(VLOOKUP(LEFT($N2856,4),LCTT_MAP!$A$7:$C$66,IF($M2856="THU",2,3),FALSE()),IFERROR(VLOOKUP(LEFT($N2856,3),LCTT_MAP!$A$7:$C$66,IF($M2856="THU",2,3),FALSE()),IFERROR(VLOOKUP(LEFT($N2856,2),LCTT_MAP!$A$7:$C$66,IF($M2856="THU",2,3),FALSE()),IFERROR(VLOOKUP(LEFT($N2856,1),LCTT_MAP!$A$7:$C$66,IF($M2856="THU",2,3),FALSE()),IF($M2856="THU","06","07")))))))</f>
        <v/>
      </c>
      <c r="P2856" s="117">
        <f>P2855+IF(AND($H2856&lt;&gt;"",OR(LEFT($F2856,LEN(SC_TK))=SC_TK,LEFT($G2856,LEN(SC_TK))=SC_TK)),1,0)</f>
        <v/>
      </c>
    </row>
    <row r="2857" ht="15" customHeight="1" s="78">
      <c r="A2857" s="95">
        <f>IF($H2857="","",ROW()-6)</f>
        <v/>
      </c>
      <c r="B2857" s="114" t="n"/>
      <c r="C2857" s="102" t="n"/>
      <c r="D2857" s="114" t="n"/>
      <c r="E2857" s="103" t="n"/>
      <c r="F2857" s="102" t="n"/>
      <c r="G2857" s="102" t="n"/>
      <c r="H2857" s="115" t="n"/>
      <c r="I2857" s="102" t="n"/>
      <c r="J2857" s="102" t="n"/>
      <c r="K2857" s="103" t="n"/>
      <c r="L2857" s="116">
        <f>IF($H2857="","",TRIM(IF(COUNTIF(DMTK!$A$7:$A$250,$F2857)=0,"TK Nợ sai! ","")&amp;IF(COUNTIF(DMTK!$A$7:$A$250,$G2857)=0,"TK Có sai! ","")&amp;IF(N($H2857)&lt;=0,"Tiền phải &gt; 0! ","")&amp;IF($B2857="","Thiếu ngày! ","")&amp;IF(AND(OR(LEFT($F2857,3)="131",LEFT($G2857,3)="131",LEFT($F2857,3)="331",LEFT($G2857,3)="331"),$I2857=""),"Thiếu Mã ĐT! ","")&amp;IF(AND($I2857&lt;&gt;"",COUNTIF(DM_DT!$A$7:$A$306,$I2857)=0),"Mã ĐT chưa khai báo! ","")))</f>
        <v/>
      </c>
      <c r="M2857" s="117">
        <f>IF($H2857="","",IF(AND(OR(LEFT($F2857,3)="111",LEFT($F2857,3)="112",LEFT($F2857,3)="113"),OR(LEFT($G2857,3)="111",LEFT($G2857,3)="112",LEFT($G2857,3)="113")),"NB",IF(OR(LEFT($F2857,3)="111",LEFT($F2857,3)="112",LEFT($F2857,3)="113"),"THU",IF(OR(LEFT($G2857,3)="111",LEFT($G2857,3)="112",LEFT($G2857,3)="113"),"CHI",""))))</f>
        <v/>
      </c>
      <c r="N2857" s="117">
        <f>IF($M2857="THU",$G2857,IF($M2857="CHI",$F2857,""))</f>
        <v/>
      </c>
      <c r="O2857" s="117">
        <f>IF(OR($M2857="",$M2857="NB"),"",IF($J2857&lt;&gt;"",TEXT($J2857,"00"),IFERROR(VLOOKUP(LEFT($N2857,4),LCTT_MAP!$A$7:$C$66,IF($M2857="THU",2,3),FALSE()),IFERROR(VLOOKUP(LEFT($N2857,3),LCTT_MAP!$A$7:$C$66,IF($M2857="THU",2,3),FALSE()),IFERROR(VLOOKUP(LEFT($N2857,2),LCTT_MAP!$A$7:$C$66,IF($M2857="THU",2,3),FALSE()),IFERROR(VLOOKUP(LEFT($N2857,1),LCTT_MAP!$A$7:$C$66,IF($M2857="THU",2,3),FALSE()),IF($M2857="THU","06","07")))))))</f>
        <v/>
      </c>
      <c r="P2857" s="117">
        <f>P2856+IF(AND($H2857&lt;&gt;"",OR(LEFT($F2857,LEN(SC_TK))=SC_TK,LEFT($G2857,LEN(SC_TK))=SC_TK)),1,0)</f>
        <v/>
      </c>
    </row>
    <row r="2858" ht="15" customHeight="1" s="78">
      <c r="A2858" s="95">
        <f>IF($H2858="","",ROW()-6)</f>
        <v/>
      </c>
      <c r="B2858" s="114" t="n"/>
      <c r="C2858" s="102" t="n"/>
      <c r="D2858" s="114" t="n"/>
      <c r="E2858" s="103" t="n"/>
      <c r="F2858" s="102" t="n"/>
      <c r="G2858" s="102" t="n"/>
      <c r="H2858" s="115" t="n"/>
      <c r="I2858" s="102" t="n"/>
      <c r="J2858" s="102" t="n"/>
      <c r="K2858" s="103" t="n"/>
      <c r="L2858" s="116">
        <f>IF($H2858="","",TRIM(IF(COUNTIF(DMTK!$A$7:$A$250,$F2858)=0,"TK Nợ sai! ","")&amp;IF(COUNTIF(DMTK!$A$7:$A$250,$G2858)=0,"TK Có sai! ","")&amp;IF(N($H2858)&lt;=0,"Tiền phải &gt; 0! ","")&amp;IF($B2858="","Thiếu ngày! ","")&amp;IF(AND(OR(LEFT($F2858,3)="131",LEFT($G2858,3)="131",LEFT($F2858,3)="331",LEFT($G2858,3)="331"),$I2858=""),"Thiếu Mã ĐT! ","")&amp;IF(AND($I2858&lt;&gt;"",COUNTIF(DM_DT!$A$7:$A$306,$I2858)=0),"Mã ĐT chưa khai báo! ","")))</f>
        <v/>
      </c>
      <c r="M2858" s="117">
        <f>IF($H2858="","",IF(AND(OR(LEFT($F2858,3)="111",LEFT($F2858,3)="112",LEFT($F2858,3)="113"),OR(LEFT($G2858,3)="111",LEFT($G2858,3)="112",LEFT($G2858,3)="113")),"NB",IF(OR(LEFT($F2858,3)="111",LEFT($F2858,3)="112",LEFT($F2858,3)="113"),"THU",IF(OR(LEFT($G2858,3)="111",LEFT($G2858,3)="112",LEFT($G2858,3)="113"),"CHI",""))))</f>
        <v/>
      </c>
      <c r="N2858" s="117">
        <f>IF($M2858="THU",$G2858,IF($M2858="CHI",$F2858,""))</f>
        <v/>
      </c>
      <c r="O2858" s="117">
        <f>IF(OR($M2858="",$M2858="NB"),"",IF($J2858&lt;&gt;"",TEXT($J2858,"00"),IFERROR(VLOOKUP(LEFT($N2858,4),LCTT_MAP!$A$7:$C$66,IF($M2858="THU",2,3),FALSE()),IFERROR(VLOOKUP(LEFT($N2858,3),LCTT_MAP!$A$7:$C$66,IF($M2858="THU",2,3),FALSE()),IFERROR(VLOOKUP(LEFT($N2858,2),LCTT_MAP!$A$7:$C$66,IF($M2858="THU",2,3),FALSE()),IFERROR(VLOOKUP(LEFT($N2858,1),LCTT_MAP!$A$7:$C$66,IF($M2858="THU",2,3),FALSE()),IF($M2858="THU","06","07")))))))</f>
        <v/>
      </c>
      <c r="P2858" s="117">
        <f>P2857+IF(AND($H2858&lt;&gt;"",OR(LEFT($F2858,LEN(SC_TK))=SC_TK,LEFT($G2858,LEN(SC_TK))=SC_TK)),1,0)</f>
        <v/>
      </c>
    </row>
    <row r="2859" ht="15" customHeight="1" s="78">
      <c r="A2859" s="95">
        <f>IF($H2859="","",ROW()-6)</f>
        <v/>
      </c>
      <c r="B2859" s="114" t="n"/>
      <c r="C2859" s="102" t="n"/>
      <c r="D2859" s="114" t="n"/>
      <c r="E2859" s="103" t="n"/>
      <c r="F2859" s="102" t="n"/>
      <c r="G2859" s="102" t="n"/>
      <c r="H2859" s="115" t="n"/>
      <c r="I2859" s="102" t="n"/>
      <c r="J2859" s="102" t="n"/>
      <c r="K2859" s="103" t="n"/>
      <c r="L2859" s="116">
        <f>IF($H2859="","",TRIM(IF(COUNTIF(DMTK!$A$7:$A$250,$F2859)=0,"TK Nợ sai! ","")&amp;IF(COUNTIF(DMTK!$A$7:$A$250,$G2859)=0,"TK Có sai! ","")&amp;IF(N($H2859)&lt;=0,"Tiền phải &gt; 0! ","")&amp;IF($B2859="","Thiếu ngày! ","")&amp;IF(AND(OR(LEFT($F2859,3)="131",LEFT($G2859,3)="131",LEFT($F2859,3)="331",LEFT($G2859,3)="331"),$I2859=""),"Thiếu Mã ĐT! ","")&amp;IF(AND($I2859&lt;&gt;"",COUNTIF(DM_DT!$A$7:$A$306,$I2859)=0),"Mã ĐT chưa khai báo! ","")))</f>
        <v/>
      </c>
      <c r="M2859" s="117">
        <f>IF($H2859="","",IF(AND(OR(LEFT($F2859,3)="111",LEFT($F2859,3)="112",LEFT($F2859,3)="113"),OR(LEFT($G2859,3)="111",LEFT($G2859,3)="112",LEFT($G2859,3)="113")),"NB",IF(OR(LEFT($F2859,3)="111",LEFT($F2859,3)="112",LEFT($F2859,3)="113"),"THU",IF(OR(LEFT($G2859,3)="111",LEFT($G2859,3)="112",LEFT($G2859,3)="113"),"CHI",""))))</f>
        <v/>
      </c>
      <c r="N2859" s="117">
        <f>IF($M2859="THU",$G2859,IF($M2859="CHI",$F2859,""))</f>
        <v/>
      </c>
      <c r="O2859" s="117">
        <f>IF(OR($M2859="",$M2859="NB"),"",IF($J2859&lt;&gt;"",TEXT($J2859,"00"),IFERROR(VLOOKUP(LEFT($N2859,4),LCTT_MAP!$A$7:$C$66,IF($M2859="THU",2,3),FALSE()),IFERROR(VLOOKUP(LEFT($N2859,3),LCTT_MAP!$A$7:$C$66,IF($M2859="THU",2,3),FALSE()),IFERROR(VLOOKUP(LEFT($N2859,2),LCTT_MAP!$A$7:$C$66,IF($M2859="THU",2,3),FALSE()),IFERROR(VLOOKUP(LEFT($N2859,1),LCTT_MAP!$A$7:$C$66,IF($M2859="THU",2,3),FALSE()),IF($M2859="THU","06","07")))))))</f>
        <v/>
      </c>
      <c r="P2859" s="117">
        <f>P2858+IF(AND($H2859&lt;&gt;"",OR(LEFT($F2859,LEN(SC_TK))=SC_TK,LEFT($G2859,LEN(SC_TK))=SC_TK)),1,0)</f>
        <v/>
      </c>
    </row>
    <row r="2860" ht="15" customHeight="1" s="78">
      <c r="A2860" s="95">
        <f>IF($H2860="","",ROW()-6)</f>
        <v/>
      </c>
      <c r="B2860" s="114" t="n"/>
      <c r="C2860" s="102" t="n"/>
      <c r="D2860" s="114" t="n"/>
      <c r="E2860" s="103" t="n"/>
      <c r="F2860" s="102" t="n"/>
      <c r="G2860" s="102" t="n"/>
      <c r="H2860" s="115" t="n"/>
      <c r="I2860" s="102" t="n"/>
      <c r="J2860" s="102" t="n"/>
      <c r="K2860" s="103" t="n"/>
      <c r="L2860" s="116">
        <f>IF($H2860="","",TRIM(IF(COUNTIF(DMTK!$A$7:$A$250,$F2860)=0,"TK Nợ sai! ","")&amp;IF(COUNTIF(DMTK!$A$7:$A$250,$G2860)=0,"TK Có sai! ","")&amp;IF(N($H2860)&lt;=0,"Tiền phải &gt; 0! ","")&amp;IF($B2860="","Thiếu ngày! ","")&amp;IF(AND(OR(LEFT($F2860,3)="131",LEFT($G2860,3)="131",LEFT($F2860,3)="331",LEFT($G2860,3)="331"),$I2860=""),"Thiếu Mã ĐT! ","")&amp;IF(AND($I2860&lt;&gt;"",COUNTIF(DM_DT!$A$7:$A$306,$I2860)=0),"Mã ĐT chưa khai báo! ","")))</f>
        <v/>
      </c>
      <c r="M2860" s="117">
        <f>IF($H2860="","",IF(AND(OR(LEFT($F2860,3)="111",LEFT($F2860,3)="112",LEFT($F2860,3)="113"),OR(LEFT($G2860,3)="111",LEFT($G2860,3)="112",LEFT($G2860,3)="113")),"NB",IF(OR(LEFT($F2860,3)="111",LEFT($F2860,3)="112",LEFT($F2860,3)="113"),"THU",IF(OR(LEFT($G2860,3)="111",LEFT($G2860,3)="112",LEFT($G2860,3)="113"),"CHI",""))))</f>
        <v/>
      </c>
      <c r="N2860" s="117">
        <f>IF($M2860="THU",$G2860,IF($M2860="CHI",$F2860,""))</f>
        <v/>
      </c>
      <c r="O2860" s="117">
        <f>IF(OR($M2860="",$M2860="NB"),"",IF($J2860&lt;&gt;"",TEXT($J2860,"00"),IFERROR(VLOOKUP(LEFT($N2860,4),LCTT_MAP!$A$7:$C$66,IF($M2860="THU",2,3),FALSE()),IFERROR(VLOOKUP(LEFT($N2860,3),LCTT_MAP!$A$7:$C$66,IF($M2860="THU",2,3),FALSE()),IFERROR(VLOOKUP(LEFT($N2860,2),LCTT_MAP!$A$7:$C$66,IF($M2860="THU",2,3),FALSE()),IFERROR(VLOOKUP(LEFT($N2860,1),LCTT_MAP!$A$7:$C$66,IF($M2860="THU",2,3),FALSE()),IF($M2860="THU","06","07")))))))</f>
        <v/>
      </c>
      <c r="P2860" s="117">
        <f>P2859+IF(AND($H2860&lt;&gt;"",OR(LEFT($F2860,LEN(SC_TK))=SC_TK,LEFT($G2860,LEN(SC_TK))=SC_TK)),1,0)</f>
        <v/>
      </c>
    </row>
    <row r="2861" ht="15" customHeight="1" s="78">
      <c r="A2861" s="95">
        <f>IF($H2861="","",ROW()-6)</f>
        <v/>
      </c>
      <c r="B2861" s="114" t="n"/>
      <c r="C2861" s="102" t="n"/>
      <c r="D2861" s="114" t="n"/>
      <c r="E2861" s="103" t="n"/>
      <c r="F2861" s="102" t="n"/>
      <c r="G2861" s="102" t="n"/>
      <c r="H2861" s="115" t="n"/>
      <c r="I2861" s="102" t="n"/>
      <c r="J2861" s="102" t="n"/>
      <c r="K2861" s="103" t="n"/>
      <c r="L2861" s="116">
        <f>IF($H2861="","",TRIM(IF(COUNTIF(DMTK!$A$7:$A$250,$F2861)=0,"TK Nợ sai! ","")&amp;IF(COUNTIF(DMTK!$A$7:$A$250,$G2861)=0,"TK Có sai! ","")&amp;IF(N($H2861)&lt;=0,"Tiền phải &gt; 0! ","")&amp;IF($B2861="","Thiếu ngày! ","")&amp;IF(AND(OR(LEFT($F2861,3)="131",LEFT($G2861,3)="131",LEFT($F2861,3)="331",LEFT($G2861,3)="331"),$I2861=""),"Thiếu Mã ĐT! ","")&amp;IF(AND($I2861&lt;&gt;"",COUNTIF(DM_DT!$A$7:$A$306,$I2861)=0),"Mã ĐT chưa khai báo! ","")))</f>
        <v/>
      </c>
      <c r="M2861" s="117">
        <f>IF($H2861="","",IF(AND(OR(LEFT($F2861,3)="111",LEFT($F2861,3)="112",LEFT($F2861,3)="113"),OR(LEFT($G2861,3)="111",LEFT($G2861,3)="112",LEFT($G2861,3)="113")),"NB",IF(OR(LEFT($F2861,3)="111",LEFT($F2861,3)="112",LEFT($F2861,3)="113"),"THU",IF(OR(LEFT($G2861,3)="111",LEFT($G2861,3)="112",LEFT($G2861,3)="113"),"CHI",""))))</f>
        <v/>
      </c>
      <c r="N2861" s="117">
        <f>IF($M2861="THU",$G2861,IF($M2861="CHI",$F2861,""))</f>
        <v/>
      </c>
      <c r="O2861" s="117">
        <f>IF(OR($M2861="",$M2861="NB"),"",IF($J2861&lt;&gt;"",TEXT($J2861,"00"),IFERROR(VLOOKUP(LEFT($N2861,4),LCTT_MAP!$A$7:$C$66,IF($M2861="THU",2,3),FALSE()),IFERROR(VLOOKUP(LEFT($N2861,3),LCTT_MAP!$A$7:$C$66,IF($M2861="THU",2,3),FALSE()),IFERROR(VLOOKUP(LEFT($N2861,2),LCTT_MAP!$A$7:$C$66,IF($M2861="THU",2,3),FALSE()),IFERROR(VLOOKUP(LEFT($N2861,1),LCTT_MAP!$A$7:$C$66,IF($M2861="THU",2,3),FALSE()),IF($M2861="THU","06","07")))))))</f>
        <v/>
      </c>
      <c r="P2861" s="117">
        <f>P2860+IF(AND($H2861&lt;&gt;"",OR(LEFT($F2861,LEN(SC_TK))=SC_TK,LEFT($G2861,LEN(SC_TK))=SC_TK)),1,0)</f>
        <v/>
      </c>
    </row>
    <row r="2862" ht="15" customHeight="1" s="78">
      <c r="A2862" s="95">
        <f>IF($H2862="","",ROW()-6)</f>
        <v/>
      </c>
      <c r="B2862" s="114" t="n"/>
      <c r="C2862" s="102" t="n"/>
      <c r="D2862" s="114" t="n"/>
      <c r="E2862" s="103" t="n"/>
      <c r="F2862" s="102" t="n"/>
      <c r="G2862" s="102" t="n"/>
      <c r="H2862" s="115" t="n"/>
      <c r="I2862" s="102" t="n"/>
      <c r="J2862" s="102" t="n"/>
      <c r="K2862" s="103" t="n"/>
      <c r="L2862" s="116">
        <f>IF($H2862="","",TRIM(IF(COUNTIF(DMTK!$A$7:$A$250,$F2862)=0,"TK Nợ sai! ","")&amp;IF(COUNTIF(DMTK!$A$7:$A$250,$G2862)=0,"TK Có sai! ","")&amp;IF(N($H2862)&lt;=0,"Tiền phải &gt; 0! ","")&amp;IF($B2862="","Thiếu ngày! ","")&amp;IF(AND(OR(LEFT($F2862,3)="131",LEFT($G2862,3)="131",LEFT($F2862,3)="331",LEFT($G2862,3)="331"),$I2862=""),"Thiếu Mã ĐT! ","")&amp;IF(AND($I2862&lt;&gt;"",COUNTIF(DM_DT!$A$7:$A$306,$I2862)=0),"Mã ĐT chưa khai báo! ","")))</f>
        <v/>
      </c>
      <c r="M2862" s="117">
        <f>IF($H2862="","",IF(AND(OR(LEFT($F2862,3)="111",LEFT($F2862,3)="112",LEFT($F2862,3)="113"),OR(LEFT($G2862,3)="111",LEFT($G2862,3)="112",LEFT($G2862,3)="113")),"NB",IF(OR(LEFT($F2862,3)="111",LEFT($F2862,3)="112",LEFT($F2862,3)="113"),"THU",IF(OR(LEFT($G2862,3)="111",LEFT($G2862,3)="112",LEFT($G2862,3)="113"),"CHI",""))))</f>
        <v/>
      </c>
      <c r="N2862" s="117">
        <f>IF($M2862="THU",$G2862,IF($M2862="CHI",$F2862,""))</f>
        <v/>
      </c>
      <c r="O2862" s="117">
        <f>IF(OR($M2862="",$M2862="NB"),"",IF($J2862&lt;&gt;"",TEXT($J2862,"00"),IFERROR(VLOOKUP(LEFT($N2862,4),LCTT_MAP!$A$7:$C$66,IF($M2862="THU",2,3),FALSE()),IFERROR(VLOOKUP(LEFT($N2862,3),LCTT_MAP!$A$7:$C$66,IF($M2862="THU",2,3),FALSE()),IFERROR(VLOOKUP(LEFT($N2862,2),LCTT_MAP!$A$7:$C$66,IF($M2862="THU",2,3),FALSE()),IFERROR(VLOOKUP(LEFT($N2862,1),LCTT_MAP!$A$7:$C$66,IF($M2862="THU",2,3),FALSE()),IF($M2862="THU","06","07")))))))</f>
        <v/>
      </c>
      <c r="P2862" s="117">
        <f>P2861+IF(AND($H2862&lt;&gt;"",OR(LEFT($F2862,LEN(SC_TK))=SC_TK,LEFT($G2862,LEN(SC_TK))=SC_TK)),1,0)</f>
        <v/>
      </c>
    </row>
    <row r="2863" ht="15" customHeight="1" s="78">
      <c r="A2863" s="95">
        <f>IF($H2863="","",ROW()-6)</f>
        <v/>
      </c>
      <c r="B2863" s="114" t="n"/>
      <c r="C2863" s="102" t="n"/>
      <c r="D2863" s="114" t="n"/>
      <c r="E2863" s="103" t="n"/>
      <c r="F2863" s="102" t="n"/>
      <c r="G2863" s="102" t="n"/>
      <c r="H2863" s="115" t="n"/>
      <c r="I2863" s="102" t="n"/>
      <c r="J2863" s="102" t="n"/>
      <c r="K2863" s="103" t="n"/>
      <c r="L2863" s="116">
        <f>IF($H2863="","",TRIM(IF(COUNTIF(DMTK!$A$7:$A$250,$F2863)=0,"TK Nợ sai! ","")&amp;IF(COUNTIF(DMTK!$A$7:$A$250,$G2863)=0,"TK Có sai! ","")&amp;IF(N($H2863)&lt;=0,"Tiền phải &gt; 0! ","")&amp;IF($B2863="","Thiếu ngày! ","")&amp;IF(AND(OR(LEFT($F2863,3)="131",LEFT($G2863,3)="131",LEFT($F2863,3)="331",LEFT($G2863,3)="331"),$I2863=""),"Thiếu Mã ĐT! ","")&amp;IF(AND($I2863&lt;&gt;"",COUNTIF(DM_DT!$A$7:$A$306,$I2863)=0),"Mã ĐT chưa khai báo! ","")))</f>
        <v/>
      </c>
      <c r="M2863" s="117">
        <f>IF($H2863="","",IF(AND(OR(LEFT($F2863,3)="111",LEFT($F2863,3)="112",LEFT($F2863,3)="113"),OR(LEFT($G2863,3)="111",LEFT($G2863,3)="112",LEFT($G2863,3)="113")),"NB",IF(OR(LEFT($F2863,3)="111",LEFT($F2863,3)="112",LEFT($F2863,3)="113"),"THU",IF(OR(LEFT($G2863,3)="111",LEFT($G2863,3)="112",LEFT($G2863,3)="113"),"CHI",""))))</f>
        <v/>
      </c>
      <c r="N2863" s="117">
        <f>IF($M2863="THU",$G2863,IF($M2863="CHI",$F2863,""))</f>
        <v/>
      </c>
      <c r="O2863" s="117">
        <f>IF(OR($M2863="",$M2863="NB"),"",IF($J2863&lt;&gt;"",TEXT($J2863,"00"),IFERROR(VLOOKUP(LEFT($N2863,4),LCTT_MAP!$A$7:$C$66,IF($M2863="THU",2,3),FALSE()),IFERROR(VLOOKUP(LEFT($N2863,3),LCTT_MAP!$A$7:$C$66,IF($M2863="THU",2,3),FALSE()),IFERROR(VLOOKUP(LEFT($N2863,2),LCTT_MAP!$A$7:$C$66,IF($M2863="THU",2,3),FALSE()),IFERROR(VLOOKUP(LEFT($N2863,1),LCTT_MAP!$A$7:$C$66,IF($M2863="THU",2,3),FALSE()),IF($M2863="THU","06","07")))))))</f>
        <v/>
      </c>
      <c r="P2863" s="117">
        <f>P2862+IF(AND($H2863&lt;&gt;"",OR(LEFT($F2863,LEN(SC_TK))=SC_TK,LEFT($G2863,LEN(SC_TK))=SC_TK)),1,0)</f>
        <v/>
      </c>
    </row>
    <row r="2864" ht="15" customHeight="1" s="78">
      <c r="A2864" s="95">
        <f>IF($H2864="","",ROW()-6)</f>
        <v/>
      </c>
      <c r="B2864" s="114" t="n"/>
      <c r="C2864" s="102" t="n"/>
      <c r="D2864" s="114" t="n"/>
      <c r="E2864" s="103" t="n"/>
      <c r="F2864" s="102" t="n"/>
      <c r="G2864" s="102" t="n"/>
      <c r="H2864" s="115" t="n"/>
      <c r="I2864" s="102" t="n"/>
      <c r="J2864" s="102" t="n"/>
      <c r="K2864" s="103" t="n"/>
      <c r="L2864" s="116">
        <f>IF($H2864="","",TRIM(IF(COUNTIF(DMTK!$A$7:$A$250,$F2864)=0,"TK Nợ sai! ","")&amp;IF(COUNTIF(DMTK!$A$7:$A$250,$G2864)=0,"TK Có sai! ","")&amp;IF(N($H2864)&lt;=0,"Tiền phải &gt; 0! ","")&amp;IF($B2864="","Thiếu ngày! ","")&amp;IF(AND(OR(LEFT($F2864,3)="131",LEFT($G2864,3)="131",LEFT($F2864,3)="331",LEFT($G2864,3)="331"),$I2864=""),"Thiếu Mã ĐT! ","")&amp;IF(AND($I2864&lt;&gt;"",COUNTIF(DM_DT!$A$7:$A$306,$I2864)=0),"Mã ĐT chưa khai báo! ","")))</f>
        <v/>
      </c>
      <c r="M2864" s="117">
        <f>IF($H2864="","",IF(AND(OR(LEFT($F2864,3)="111",LEFT($F2864,3)="112",LEFT($F2864,3)="113"),OR(LEFT($G2864,3)="111",LEFT($G2864,3)="112",LEFT($G2864,3)="113")),"NB",IF(OR(LEFT($F2864,3)="111",LEFT($F2864,3)="112",LEFT($F2864,3)="113"),"THU",IF(OR(LEFT($G2864,3)="111",LEFT($G2864,3)="112",LEFT($G2864,3)="113"),"CHI",""))))</f>
        <v/>
      </c>
      <c r="N2864" s="117">
        <f>IF($M2864="THU",$G2864,IF($M2864="CHI",$F2864,""))</f>
        <v/>
      </c>
      <c r="O2864" s="117">
        <f>IF(OR($M2864="",$M2864="NB"),"",IF($J2864&lt;&gt;"",TEXT($J2864,"00"),IFERROR(VLOOKUP(LEFT($N2864,4),LCTT_MAP!$A$7:$C$66,IF($M2864="THU",2,3),FALSE()),IFERROR(VLOOKUP(LEFT($N2864,3),LCTT_MAP!$A$7:$C$66,IF($M2864="THU",2,3),FALSE()),IFERROR(VLOOKUP(LEFT($N2864,2),LCTT_MAP!$A$7:$C$66,IF($M2864="THU",2,3),FALSE()),IFERROR(VLOOKUP(LEFT($N2864,1),LCTT_MAP!$A$7:$C$66,IF($M2864="THU",2,3),FALSE()),IF($M2864="THU","06","07")))))))</f>
        <v/>
      </c>
      <c r="P2864" s="117">
        <f>P2863+IF(AND($H2864&lt;&gt;"",OR(LEFT($F2864,LEN(SC_TK))=SC_TK,LEFT($G2864,LEN(SC_TK))=SC_TK)),1,0)</f>
        <v/>
      </c>
    </row>
    <row r="2865" ht="15" customHeight="1" s="78">
      <c r="A2865" s="95">
        <f>IF($H2865="","",ROW()-6)</f>
        <v/>
      </c>
      <c r="B2865" s="114" t="n"/>
      <c r="C2865" s="102" t="n"/>
      <c r="D2865" s="114" t="n"/>
      <c r="E2865" s="103" t="n"/>
      <c r="F2865" s="102" t="n"/>
      <c r="G2865" s="102" t="n"/>
      <c r="H2865" s="115" t="n"/>
      <c r="I2865" s="102" t="n"/>
      <c r="J2865" s="102" t="n"/>
      <c r="K2865" s="103" t="n"/>
      <c r="L2865" s="116">
        <f>IF($H2865="","",TRIM(IF(COUNTIF(DMTK!$A$7:$A$250,$F2865)=0,"TK Nợ sai! ","")&amp;IF(COUNTIF(DMTK!$A$7:$A$250,$G2865)=0,"TK Có sai! ","")&amp;IF(N($H2865)&lt;=0,"Tiền phải &gt; 0! ","")&amp;IF($B2865="","Thiếu ngày! ","")&amp;IF(AND(OR(LEFT($F2865,3)="131",LEFT($G2865,3)="131",LEFT($F2865,3)="331",LEFT($G2865,3)="331"),$I2865=""),"Thiếu Mã ĐT! ","")&amp;IF(AND($I2865&lt;&gt;"",COUNTIF(DM_DT!$A$7:$A$306,$I2865)=0),"Mã ĐT chưa khai báo! ","")))</f>
        <v/>
      </c>
      <c r="M2865" s="117">
        <f>IF($H2865="","",IF(AND(OR(LEFT($F2865,3)="111",LEFT($F2865,3)="112",LEFT($F2865,3)="113"),OR(LEFT($G2865,3)="111",LEFT($G2865,3)="112",LEFT($G2865,3)="113")),"NB",IF(OR(LEFT($F2865,3)="111",LEFT($F2865,3)="112",LEFT($F2865,3)="113"),"THU",IF(OR(LEFT($G2865,3)="111",LEFT($G2865,3)="112",LEFT($G2865,3)="113"),"CHI",""))))</f>
        <v/>
      </c>
      <c r="N2865" s="117">
        <f>IF($M2865="THU",$G2865,IF($M2865="CHI",$F2865,""))</f>
        <v/>
      </c>
      <c r="O2865" s="117">
        <f>IF(OR($M2865="",$M2865="NB"),"",IF($J2865&lt;&gt;"",TEXT($J2865,"00"),IFERROR(VLOOKUP(LEFT($N2865,4),LCTT_MAP!$A$7:$C$66,IF($M2865="THU",2,3),FALSE()),IFERROR(VLOOKUP(LEFT($N2865,3),LCTT_MAP!$A$7:$C$66,IF($M2865="THU",2,3),FALSE()),IFERROR(VLOOKUP(LEFT($N2865,2),LCTT_MAP!$A$7:$C$66,IF($M2865="THU",2,3),FALSE()),IFERROR(VLOOKUP(LEFT($N2865,1),LCTT_MAP!$A$7:$C$66,IF($M2865="THU",2,3),FALSE()),IF($M2865="THU","06","07")))))))</f>
        <v/>
      </c>
      <c r="P2865" s="117">
        <f>P2864+IF(AND($H2865&lt;&gt;"",OR(LEFT($F2865,LEN(SC_TK))=SC_TK,LEFT($G2865,LEN(SC_TK))=SC_TK)),1,0)</f>
        <v/>
      </c>
    </row>
    <row r="2866" ht="15" customHeight="1" s="78">
      <c r="A2866" s="95">
        <f>IF($H2866="","",ROW()-6)</f>
        <v/>
      </c>
      <c r="B2866" s="114" t="n"/>
      <c r="C2866" s="102" t="n"/>
      <c r="D2866" s="114" t="n"/>
      <c r="E2866" s="103" t="n"/>
      <c r="F2866" s="102" t="n"/>
      <c r="G2866" s="102" t="n"/>
      <c r="H2866" s="115" t="n"/>
      <c r="I2866" s="102" t="n"/>
      <c r="J2866" s="102" t="n"/>
      <c r="K2866" s="103" t="n"/>
      <c r="L2866" s="116">
        <f>IF($H2866="","",TRIM(IF(COUNTIF(DMTK!$A$7:$A$250,$F2866)=0,"TK Nợ sai! ","")&amp;IF(COUNTIF(DMTK!$A$7:$A$250,$G2866)=0,"TK Có sai! ","")&amp;IF(N($H2866)&lt;=0,"Tiền phải &gt; 0! ","")&amp;IF($B2866="","Thiếu ngày! ","")&amp;IF(AND(OR(LEFT($F2866,3)="131",LEFT($G2866,3)="131",LEFT($F2866,3)="331",LEFT($G2866,3)="331"),$I2866=""),"Thiếu Mã ĐT! ","")&amp;IF(AND($I2866&lt;&gt;"",COUNTIF(DM_DT!$A$7:$A$306,$I2866)=0),"Mã ĐT chưa khai báo! ","")))</f>
        <v/>
      </c>
      <c r="M2866" s="117">
        <f>IF($H2866="","",IF(AND(OR(LEFT($F2866,3)="111",LEFT($F2866,3)="112",LEFT($F2866,3)="113"),OR(LEFT($G2866,3)="111",LEFT($G2866,3)="112",LEFT($G2866,3)="113")),"NB",IF(OR(LEFT($F2866,3)="111",LEFT($F2866,3)="112",LEFT($F2866,3)="113"),"THU",IF(OR(LEFT($G2866,3)="111",LEFT($G2866,3)="112",LEFT($G2866,3)="113"),"CHI",""))))</f>
        <v/>
      </c>
      <c r="N2866" s="117">
        <f>IF($M2866="THU",$G2866,IF($M2866="CHI",$F2866,""))</f>
        <v/>
      </c>
      <c r="O2866" s="117">
        <f>IF(OR($M2866="",$M2866="NB"),"",IF($J2866&lt;&gt;"",TEXT($J2866,"00"),IFERROR(VLOOKUP(LEFT($N2866,4),LCTT_MAP!$A$7:$C$66,IF($M2866="THU",2,3),FALSE()),IFERROR(VLOOKUP(LEFT($N2866,3),LCTT_MAP!$A$7:$C$66,IF($M2866="THU",2,3),FALSE()),IFERROR(VLOOKUP(LEFT($N2866,2),LCTT_MAP!$A$7:$C$66,IF($M2866="THU",2,3),FALSE()),IFERROR(VLOOKUP(LEFT($N2866,1),LCTT_MAP!$A$7:$C$66,IF($M2866="THU",2,3),FALSE()),IF($M2866="THU","06","07")))))))</f>
        <v/>
      </c>
      <c r="P2866" s="117">
        <f>P2865+IF(AND($H2866&lt;&gt;"",OR(LEFT($F2866,LEN(SC_TK))=SC_TK,LEFT($G2866,LEN(SC_TK))=SC_TK)),1,0)</f>
        <v/>
      </c>
    </row>
    <row r="2867" ht="15" customHeight="1" s="78">
      <c r="A2867" s="95">
        <f>IF($H2867="","",ROW()-6)</f>
        <v/>
      </c>
      <c r="B2867" s="114" t="n"/>
      <c r="C2867" s="102" t="n"/>
      <c r="D2867" s="114" t="n"/>
      <c r="E2867" s="103" t="n"/>
      <c r="F2867" s="102" t="n"/>
      <c r="G2867" s="102" t="n"/>
      <c r="H2867" s="115" t="n"/>
      <c r="I2867" s="102" t="n"/>
      <c r="J2867" s="102" t="n"/>
      <c r="K2867" s="103" t="n"/>
      <c r="L2867" s="116">
        <f>IF($H2867="","",TRIM(IF(COUNTIF(DMTK!$A$7:$A$250,$F2867)=0,"TK Nợ sai! ","")&amp;IF(COUNTIF(DMTK!$A$7:$A$250,$G2867)=0,"TK Có sai! ","")&amp;IF(N($H2867)&lt;=0,"Tiền phải &gt; 0! ","")&amp;IF($B2867="","Thiếu ngày! ","")&amp;IF(AND(OR(LEFT($F2867,3)="131",LEFT($G2867,3)="131",LEFT($F2867,3)="331",LEFT($G2867,3)="331"),$I2867=""),"Thiếu Mã ĐT! ","")&amp;IF(AND($I2867&lt;&gt;"",COUNTIF(DM_DT!$A$7:$A$306,$I2867)=0),"Mã ĐT chưa khai báo! ","")))</f>
        <v/>
      </c>
      <c r="M2867" s="117">
        <f>IF($H2867="","",IF(AND(OR(LEFT($F2867,3)="111",LEFT($F2867,3)="112",LEFT($F2867,3)="113"),OR(LEFT($G2867,3)="111",LEFT($G2867,3)="112",LEFT($G2867,3)="113")),"NB",IF(OR(LEFT($F2867,3)="111",LEFT($F2867,3)="112",LEFT($F2867,3)="113"),"THU",IF(OR(LEFT($G2867,3)="111",LEFT($G2867,3)="112",LEFT($G2867,3)="113"),"CHI",""))))</f>
        <v/>
      </c>
      <c r="N2867" s="117">
        <f>IF($M2867="THU",$G2867,IF($M2867="CHI",$F2867,""))</f>
        <v/>
      </c>
      <c r="O2867" s="117">
        <f>IF(OR($M2867="",$M2867="NB"),"",IF($J2867&lt;&gt;"",TEXT($J2867,"00"),IFERROR(VLOOKUP(LEFT($N2867,4),LCTT_MAP!$A$7:$C$66,IF($M2867="THU",2,3),FALSE()),IFERROR(VLOOKUP(LEFT($N2867,3),LCTT_MAP!$A$7:$C$66,IF($M2867="THU",2,3),FALSE()),IFERROR(VLOOKUP(LEFT($N2867,2),LCTT_MAP!$A$7:$C$66,IF($M2867="THU",2,3),FALSE()),IFERROR(VLOOKUP(LEFT($N2867,1),LCTT_MAP!$A$7:$C$66,IF($M2867="THU",2,3),FALSE()),IF($M2867="THU","06","07")))))))</f>
        <v/>
      </c>
      <c r="P2867" s="117">
        <f>P2866+IF(AND($H2867&lt;&gt;"",OR(LEFT($F2867,LEN(SC_TK))=SC_TK,LEFT($G2867,LEN(SC_TK))=SC_TK)),1,0)</f>
        <v/>
      </c>
    </row>
    <row r="2868" ht="15" customHeight="1" s="78">
      <c r="A2868" s="95">
        <f>IF($H2868="","",ROW()-6)</f>
        <v/>
      </c>
      <c r="B2868" s="114" t="n"/>
      <c r="C2868" s="102" t="n"/>
      <c r="D2868" s="114" t="n"/>
      <c r="E2868" s="103" t="n"/>
      <c r="F2868" s="102" t="n"/>
      <c r="G2868" s="102" t="n"/>
      <c r="H2868" s="115" t="n"/>
      <c r="I2868" s="102" t="n"/>
      <c r="J2868" s="102" t="n"/>
      <c r="K2868" s="103" t="n"/>
      <c r="L2868" s="116">
        <f>IF($H2868="","",TRIM(IF(COUNTIF(DMTK!$A$7:$A$250,$F2868)=0,"TK Nợ sai! ","")&amp;IF(COUNTIF(DMTK!$A$7:$A$250,$G2868)=0,"TK Có sai! ","")&amp;IF(N($H2868)&lt;=0,"Tiền phải &gt; 0! ","")&amp;IF($B2868="","Thiếu ngày! ","")&amp;IF(AND(OR(LEFT($F2868,3)="131",LEFT($G2868,3)="131",LEFT($F2868,3)="331",LEFT($G2868,3)="331"),$I2868=""),"Thiếu Mã ĐT! ","")&amp;IF(AND($I2868&lt;&gt;"",COUNTIF(DM_DT!$A$7:$A$306,$I2868)=0),"Mã ĐT chưa khai báo! ","")))</f>
        <v/>
      </c>
      <c r="M2868" s="117">
        <f>IF($H2868="","",IF(AND(OR(LEFT($F2868,3)="111",LEFT($F2868,3)="112",LEFT($F2868,3)="113"),OR(LEFT($G2868,3)="111",LEFT($G2868,3)="112",LEFT($G2868,3)="113")),"NB",IF(OR(LEFT($F2868,3)="111",LEFT($F2868,3)="112",LEFT($F2868,3)="113"),"THU",IF(OR(LEFT($G2868,3)="111",LEFT($G2868,3)="112",LEFT($G2868,3)="113"),"CHI",""))))</f>
        <v/>
      </c>
      <c r="N2868" s="117">
        <f>IF($M2868="THU",$G2868,IF($M2868="CHI",$F2868,""))</f>
        <v/>
      </c>
      <c r="O2868" s="117">
        <f>IF(OR($M2868="",$M2868="NB"),"",IF($J2868&lt;&gt;"",TEXT($J2868,"00"),IFERROR(VLOOKUP(LEFT($N2868,4),LCTT_MAP!$A$7:$C$66,IF($M2868="THU",2,3),FALSE()),IFERROR(VLOOKUP(LEFT($N2868,3),LCTT_MAP!$A$7:$C$66,IF($M2868="THU",2,3),FALSE()),IFERROR(VLOOKUP(LEFT($N2868,2),LCTT_MAP!$A$7:$C$66,IF($M2868="THU",2,3),FALSE()),IFERROR(VLOOKUP(LEFT($N2868,1),LCTT_MAP!$A$7:$C$66,IF($M2868="THU",2,3),FALSE()),IF($M2868="THU","06","07")))))))</f>
        <v/>
      </c>
      <c r="P2868" s="117">
        <f>P2867+IF(AND($H2868&lt;&gt;"",OR(LEFT($F2868,LEN(SC_TK))=SC_TK,LEFT($G2868,LEN(SC_TK))=SC_TK)),1,0)</f>
        <v/>
      </c>
    </row>
    <row r="2869" ht="15" customHeight="1" s="78">
      <c r="A2869" s="95">
        <f>IF($H2869="","",ROW()-6)</f>
        <v/>
      </c>
      <c r="B2869" s="114" t="n"/>
      <c r="C2869" s="102" t="n"/>
      <c r="D2869" s="114" t="n"/>
      <c r="E2869" s="103" t="n"/>
      <c r="F2869" s="102" t="n"/>
      <c r="G2869" s="102" t="n"/>
      <c r="H2869" s="115" t="n"/>
      <c r="I2869" s="102" t="n"/>
      <c r="J2869" s="102" t="n"/>
      <c r="K2869" s="103" t="n"/>
      <c r="L2869" s="116">
        <f>IF($H2869="","",TRIM(IF(COUNTIF(DMTK!$A$7:$A$250,$F2869)=0,"TK Nợ sai! ","")&amp;IF(COUNTIF(DMTK!$A$7:$A$250,$G2869)=0,"TK Có sai! ","")&amp;IF(N($H2869)&lt;=0,"Tiền phải &gt; 0! ","")&amp;IF($B2869="","Thiếu ngày! ","")&amp;IF(AND(OR(LEFT($F2869,3)="131",LEFT($G2869,3)="131",LEFT($F2869,3)="331",LEFT($G2869,3)="331"),$I2869=""),"Thiếu Mã ĐT! ","")&amp;IF(AND($I2869&lt;&gt;"",COUNTIF(DM_DT!$A$7:$A$306,$I2869)=0),"Mã ĐT chưa khai báo! ","")))</f>
        <v/>
      </c>
      <c r="M2869" s="117">
        <f>IF($H2869="","",IF(AND(OR(LEFT($F2869,3)="111",LEFT($F2869,3)="112",LEFT($F2869,3)="113"),OR(LEFT($G2869,3)="111",LEFT($G2869,3)="112",LEFT($G2869,3)="113")),"NB",IF(OR(LEFT($F2869,3)="111",LEFT($F2869,3)="112",LEFT($F2869,3)="113"),"THU",IF(OR(LEFT($G2869,3)="111",LEFT($G2869,3)="112",LEFT($G2869,3)="113"),"CHI",""))))</f>
        <v/>
      </c>
      <c r="N2869" s="117">
        <f>IF($M2869="THU",$G2869,IF($M2869="CHI",$F2869,""))</f>
        <v/>
      </c>
      <c r="O2869" s="117">
        <f>IF(OR($M2869="",$M2869="NB"),"",IF($J2869&lt;&gt;"",TEXT($J2869,"00"),IFERROR(VLOOKUP(LEFT($N2869,4),LCTT_MAP!$A$7:$C$66,IF($M2869="THU",2,3),FALSE()),IFERROR(VLOOKUP(LEFT($N2869,3),LCTT_MAP!$A$7:$C$66,IF($M2869="THU",2,3),FALSE()),IFERROR(VLOOKUP(LEFT($N2869,2),LCTT_MAP!$A$7:$C$66,IF($M2869="THU",2,3),FALSE()),IFERROR(VLOOKUP(LEFT($N2869,1),LCTT_MAP!$A$7:$C$66,IF($M2869="THU",2,3),FALSE()),IF($M2869="THU","06","07")))))))</f>
        <v/>
      </c>
      <c r="P2869" s="117">
        <f>P2868+IF(AND($H2869&lt;&gt;"",OR(LEFT($F2869,LEN(SC_TK))=SC_TK,LEFT($G2869,LEN(SC_TK))=SC_TK)),1,0)</f>
        <v/>
      </c>
    </row>
    <row r="2870" ht="15" customHeight="1" s="78">
      <c r="A2870" s="95">
        <f>IF($H2870="","",ROW()-6)</f>
        <v/>
      </c>
      <c r="B2870" s="114" t="n"/>
      <c r="C2870" s="102" t="n"/>
      <c r="D2870" s="114" t="n"/>
      <c r="E2870" s="103" t="n"/>
      <c r="F2870" s="102" t="n"/>
      <c r="G2870" s="102" t="n"/>
      <c r="H2870" s="115" t="n"/>
      <c r="I2870" s="102" t="n"/>
      <c r="J2870" s="102" t="n"/>
      <c r="K2870" s="103" t="n"/>
      <c r="L2870" s="116">
        <f>IF($H2870="","",TRIM(IF(COUNTIF(DMTK!$A$7:$A$250,$F2870)=0,"TK Nợ sai! ","")&amp;IF(COUNTIF(DMTK!$A$7:$A$250,$G2870)=0,"TK Có sai! ","")&amp;IF(N($H2870)&lt;=0,"Tiền phải &gt; 0! ","")&amp;IF($B2870="","Thiếu ngày! ","")&amp;IF(AND(OR(LEFT($F2870,3)="131",LEFT($G2870,3)="131",LEFT($F2870,3)="331",LEFT($G2870,3)="331"),$I2870=""),"Thiếu Mã ĐT! ","")&amp;IF(AND($I2870&lt;&gt;"",COUNTIF(DM_DT!$A$7:$A$306,$I2870)=0),"Mã ĐT chưa khai báo! ","")))</f>
        <v/>
      </c>
      <c r="M2870" s="117">
        <f>IF($H2870="","",IF(AND(OR(LEFT($F2870,3)="111",LEFT($F2870,3)="112",LEFT($F2870,3)="113"),OR(LEFT($G2870,3)="111",LEFT($G2870,3)="112",LEFT($G2870,3)="113")),"NB",IF(OR(LEFT($F2870,3)="111",LEFT($F2870,3)="112",LEFT($F2870,3)="113"),"THU",IF(OR(LEFT($G2870,3)="111",LEFT($G2870,3)="112",LEFT($G2870,3)="113"),"CHI",""))))</f>
        <v/>
      </c>
      <c r="N2870" s="117">
        <f>IF($M2870="THU",$G2870,IF($M2870="CHI",$F2870,""))</f>
        <v/>
      </c>
      <c r="O2870" s="117">
        <f>IF(OR($M2870="",$M2870="NB"),"",IF($J2870&lt;&gt;"",TEXT($J2870,"00"),IFERROR(VLOOKUP(LEFT($N2870,4),LCTT_MAP!$A$7:$C$66,IF($M2870="THU",2,3),FALSE()),IFERROR(VLOOKUP(LEFT($N2870,3),LCTT_MAP!$A$7:$C$66,IF($M2870="THU",2,3),FALSE()),IFERROR(VLOOKUP(LEFT($N2870,2),LCTT_MAP!$A$7:$C$66,IF($M2870="THU",2,3),FALSE()),IFERROR(VLOOKUP(LEFT($N2870,1),LCTT_MAP!$A$7:$C$66,IF($M2870="THU",2,3),FALSE()),IF($M2870="THU","06","07")))))))</f>
        <v/>
      </c>
      <c r="P2870" s="117">
        <f>P2869+IF(AND($H2870&lt;&gt;"",OR(LEFT($F2870,LEN(SC_TK))=SC_TK,LEFT($G2870,LEN(SC_TK))=SC_TK)),1,0)</f>
        <v/>
      </c>
    </row>
    <row r="2871" ht="15" customHeight="1" s="78">
      <c r="A2871" s="95">
        <f>IF($H2871="","",ROW()-6)</f>
        <v/>
      </c>
      <c r="B2871" s="114" t="n"/>
      <c r="C2871" s="102" t="n"/>
      <c r="D2871" s="114" t="n"/>
      <c r="E2871" s="103" t="n"/>
      <c r="F2871" s="102" t="n"/>
      <c r="G2871" s="102" t="n"/>
      <c r="H2871" s="115" t="n"/>
      <c r="I2871" s="102" t="n"/>
      <c r="J2871" s="102" t="n"/>
      <c r="K2871" s="103" t="n"/>
      <c r="L2871" s="116">
        <f>IF($H2871="","",TRIM(IF(COUNTIF(DMTK!$A$7:$A$250,$F2871)=0,"TK Nợ sai! ","")&amp;IF(COUNTIF(DMTK!$A$7:$A$250,$G2871)=0,"TK Có sai! ","")&amp;IF(N($H2871)&lt;=0,"Tiền phải &gt; 0! ","")&amp;IF($B2871="","Thiếu ngày! ","")&amp;IF(AND(OR(LEFT($F2871,3)="131",LEFT($G2871,3)="131",LEFT($F2871,3)="331",LEFT($G2871,3)="331"),$I2871=""),"Thiếu Mã ĐT! ","")&amp;IF(AND($I2871&lt;&gt;"",COUNTIF(DM_DT!$A$7:$A$306,$I2871)=0),"Mã ĐT chưa khai báo! ","")))</f>
        <v/>
      </c>
      <c r="M2871" s="117">
        <f>IF($H2871="","",IF(AND(OR(LEFT($F2871,3)="111",LEFT($F2871,3)="112",LEFT($F2871,3)="113"),OR(LEFT($G2871,3)="111",LEFT($G2871,3)="112",LEFT($G2871,3)="113")),"NB",IF(OR(LEFT($F2871,3)="111",LEFT($F2871,3)="112",LEFT($F2871,3)="113"),"THU",IF(OR(LEFT($G2871,3)="111",LEFT($G2871,3)="112",LEFT($G2871,3)="113"),"CHI",""))))</f>
        <v/>
      </c>
      <c r="N2871" s="117">
        <f>IF($M2871="THU",$G2871,IF($M2871="CHI",$F2871,""))</f>
        <v/>
      </c>
      <c r="O2871" s="117">
        <f>IF(OR($M2871="",$M2871="NB"),"",IF($J2871&lt;&gt;"",TEXT($J2871,"00"),IFERROR(VLOOKUP(LEFT($N2871,4),LCTT_MAP!$A$7:$C$66,IF($M2871="THU",2,3),FALSE()),IFERROR(VLOOKUP(LEFT($N2871,3),LCTT_MAP!$A$7:$C$66,IF($M2871="THU",2,3),FALSE()),IFERROR(VLOOKUP(LEFT($N2871,2),LCTT_MAP!$A$7:$C$66,IF($M2871="THU",2,3),FALSE()),IFERROR(VLOOKUP(LEFT($N2871,1),LCTT_MAP!$A$7:$C$66,IF($M2871="THU",2,3),FALSE()),IF($M2871="THU","06","07")))))))</f>
        <v/>
      </c>
      <c r="P2871" s="117">
        <f>P2870+IF(AND($H2871&lt;&gt;"",OR(LEFT($F2871,LEN(SC_TK))=SC_TK,LEFT($G2871,LEN(SC_TK))=SC_TK)),1,0)</f>
        <v/>
      </c>
    </row>
    <row r="2872" ht="15" customHeight="1" s="78">
      <c r="A2872" s="95">
        <f>IF($H2872="","",ROW()-6)</f>
        <v/>
      </c>
      <c r="B2872" s="114" t="n"/>
      <c r="C2872" s="102" t="n"/>
      <c r="D2872" s="114" t="n"/>
      <c r="E2872" s="103" t="n"/>
      <c r="F2872" s="102" t="n"/>
      <c r="G2872" s="102" t="n"/>
      <c r="H2872" s="115" t="n"/>
      <c r="I2872" s="102" t="n"/>
      <c r="J2872" s="102" t="n"/>
      <c r="K2872" s="103" t="n"/>
      <c r="L2872" s="116">
        <f>IF($H2872="","",TRIM(IF(COUNTIF(DMTK!$A$7:$A$250,$F2872)=0,"TK Nợ sai! ","")&amp;IF(COUNTIF(DMTK!$A$7:$A$250,$G2872)=0,"TK Có sai! ","")&amp;IF(N($H2872)&lt;=0,"Tiền phải &gt; 0! ","")&amp;IF($B2872="","Thiếu ngày! ","")&amp;IF(AND(OR(LEFT($F2872,3)="131",LEFT($G2872,3)="131",LEFT($F2872,3)="331",LEFT($G2872,3)="331"),$I2872=""),"Thiếu Mã ĐT! ","")&amp;IF(AND($I2872&lt;&gt;"",COUNTIF(DM_DT!$A$7:$A$306,$I2872)=0),"Mã ĐT chưa khai báo! ","")))</f>
        <v/>
      </c>
      <c r="M2872" s="117">
        <f>IF($H2872="","",IF(AND(OR(LEFT($F2872,3)="111",LEFT($F2872,3)="112",LEFT($F2872,3)="113"),OR(LEFT($G2872,3)="111",LEFT($G2872,3)="112",LEFT($G2872,3)="113")),"NB",IF(OR(LEFT($F2872,3)="111",LEFT($F2872,3)="112",LEFT($F2872,3)="113"),"THU",IF(OR(LEFT($G2872,3)="111",LEFT($G2872,3)="112",LEFT($G2872,3)="113"),"CHI",""))))</f>
        <v/>
      </c>
      <c r="N2872" s="117">
        <f>IF($M2872="THU",$G2872,IF($M2872="CHI",$F2872,""))</f>
        <v/>
      </c>
      <c r="O2872" s="117">
        <f>IF(OR($M2872="",$M2872="NB"),"",IF($J2872&lt;&gt;"",TEXT($J2872,"00"),IFERROR(VLOOKUP(LEFT($N2872,4),LCTT_MAP!$A$7:$C$66,IF($M2872="THU",2,3),FALSE()),IFERROR(VLOOKUP(LEFT($N2872,3),LCTT_MAP!$A$7:$C$66,IF($M2872="THU",2,3),FALSE()),IFERROR(VLOOKUP(LEFT($N2872,2),LCTT_MAP!$A$7:$C$66,IF($M2872="THU",2,3),FALSE()),IFERROR(VLOOKUP(LEFT($N2872,1),LCTT_MAP!$A$7:$C$66,IF($M2872="THU",2,3),FALSE()),IF($M2872="THU","06","07")))))))</f>
        <v/>
      </c>
      <c r="P2872" s="117">
        <f>P2871+IF(AND($H2872&lt;&gt;"",OR(LEFT($F2872,LEN(SC_TK))=SC_TK,LEFT($G2872,LEN(SC_TK))=SC_TK)),1,0)</f>
        <v/>
      </c>
    </row>
    <row r="2873" ht="15" customHeight="1" s="78">
      <c r="A2873" s="95">
        <f>IF($H2873="","",ROW()-6)</f>
        <v/>
      </c>
      <c r="B2873" s="114" t="n"/>
      <c r="C2873" s="102" t="n"/>
      <c r="D2873" s="114" t="n"/>
      <c r="E2873" s="103" t="n"/>
      <c r="F2873" s="102" t="n"/>
      <c r="G2873" s="102" t="n"/>
      <c r="H2873" s="115" t="n"/>
      <c r="I2873" s="102" t="n"/>
      <c r="J2873" s="102" t="n"/>
      <c r="K2873" s="103" t="n"/>
      <c r="L2873" s="116">
        <f>IF($H2873="","",TRIM(IF(COUNTIF(DMTK!$A$7:$A$250,$F2873)=0,"TK Nợ sai! ","")&amp;IF(COUNTIF(DMTK!$A$7:$A$250,$G2873)=0,"TK Có sai! ","")&amp;IF(N($H2873)&lt;=0,"Tiền phải &gt; 0! ","")&amp;IF($B2873="","Thiếu ngày! ","")&amp;IF(AND(OR(LEFT($F2873,3)="131",LEFT($G2873,3)="131",LEFT($F2873,3)="331",LEFT($G2873,3)="331"),$I2873=""),"Thiếu Mã ĐT! ","")&amp;IF(AND($I2873&lt;&gt;"",COUNTIF(DM_DT!$A$7:$A$306,$I2873)=0),"Mã ĐT chưa khai báo! ","")))</f>
        <v/>
      </c>
      <c r="M2873" s="117">
        <f>IF($H2873="","",IF(AND(OR(LEFT($F2873,3)="111",LEFT($F2873,3)="112",LEFT($F2873,3)="113"),OR(LEFT($G2873,3)="111",LEFT($G2873,3)="112",LEFT($G2873,3)="113")),"NB",IF(OR(LEFT($F2873,3)="111",LEFT($F2873,3)="112",LEFT($F2873,3)="113"),"THU",IF(OR(LEFT($G2873,3)="111",LEFT($G2873,3)="112",LEFT($G2873,3)="113"),"CHI",""))))</f>
        <v/>
      </c>
      <c r="N2873" s="117">
        <f>IF($M2873="THU",$G2873,IF($M2873="CHI",$F2873,""))</f>
        <v/>
      </c>
      <c r="O2873" s="117">
        <f>IF(OR($M2873="",$M2873="NB"),"",IF($J2873&lt;&gt;"",TEXT($J2873,"00"),IFERROR(VLOOKUP(LEFT($N2873,4),LCTT_MAP!$A$7:$C$66,IF($M2873="THU",2,3),FALSE()),IFERROR(VLOOKUP(LEFT($N2873,3),LCTT_MAP!$A$7:$C$66,IF($M2873="THU",2,3),FALSE()),IFERROR(VLOOKUP(LEFT($N2873,2),LCTT_MAP!$A$7:$C$66,IF($M2873="THU",2,3),FALSE()),IFERROR(VLOOKUP(LEFT($N2873,1),LCTT_MAP!$A$7:$C$66,IF($M2873="THU",2,3),FALSE()),IF($M2873="THU","06","07")))))))</f>
        <v/>
      </c>
      <c r="P2873" s="117">
        <f>P2872+IF(AND($H2873&lt;&gt;"",OR(LEFT($F2873,LEN(SC_TK))=SC_TK,LEFT($G2873,LEN(SC_TK))=SC_TK)),1,0)</f>
        <v/>
      </c>
    </row>
    <row r="2874" ht="15" customHeight="1" s="78">
      <c r="A2874" s="95">
        <f>IF($H2874="","",ROW()-6)</f>
        <v/>
      </c>
      <c r="B2874" s="114" t="n"/>
      <c r="C2874" s="102" t="n"/>
      <c r="D2874" s="114" t="n"/>
      <c r="E2874" s="103" t="n"/>
      <c r="F2874" s="102" t="n"/>
      <c r="G2874" s="102" t="n"/>
      <c r="H2874" s="115" t="n"/>
      <c r="I2874" s="102" t="n"/>
      <c r="J2874" s="102" t="n"/>
      <c r="K2874" s="103" t="n"/>
      <c r="L2874" s="116">
        <f>IF($H2874="","",TRIM(IF(COUNTIF(DMTK!$A$7:$A$250,$F2874)=0,"TK Nợ sai! ","")&amp;IF(COUNTIF(DMTK!$A$7:$A$250,$G2874)=0,"TK Có sai! ","")&amp;IF(N($H2874)&lt;=0,"Tiền phải &gt; 0! ","")&amp;IF($B2874="","Thiếu ngày! ","")&amp;IF(AND(OR(LEFT($F2874,3)="131",LEFT($G2874,3)="131",LEFT($F2874,3)="331",LEFT($G2874,3)="331"),$I2874=""),"Thiếu Mã ĐT! ","")&amp;IF(AND($I2874&lt;&gt;"",COUNTIF(DM_DT!$A$7:$A$306,$I2874)=0),"Mã ĐT chưa khai báo! ","")))</f>
        <v/>
      </c>
      <c r="M2874" s="117">
        <f>IF($H2874="","",IF(AND(OR(LEFT($F2874,3)="111",LEFT($F2874,3)="112",LEFT($F2874,3)="113"),OR(LEFT($G2874,3)="111",LEFT($G2874,3)="112",LEFT($G2874,3)="113")),"NB",IF(OR(LEFT($F2874,3)="111",LEFT($F2874,3)="112",LEFT($F2874,3)="113"),"THU",IF(OR(LEFT($G2874,3)="111",LEFT($G2874,3)="112",LEFT($G2874,3)="113"),"CHI",""))))</f>
        <v/>
      </c>
      <c r="N2874" s="117">
        <f>IF($M2874="THU",$G2874,IF($M2874="CHI",$F2874,""))</f>
        <v/>
      </c>
      <c r="O2874" s="117">
        <f>IF(OR($M2874="",$M2874="NB"),"",IF($J2874&lt;&gt;"",TEXT($J2874,"00"),IFERROR(VLOOKUP(LEFT($N2874,4),LCTT_MAP!$A$7:$C$66,IF($M2874="THU",2,3),FALSE()),IFERROR(VLOOKUP(LEFT($N2874,3),LCTT_MAP!$A$7:$C$66,IF($M2874="THU",2,3),FALSE()),IFERROR(VLOOKUP(LEFT($N2874,2),LCTT_MAP!$A$7:$C$66,IF($M2874="THU",2,3),FALSE()),IFERROR(VLOOKUP(LEFT($N2874,1),LCTT_MAP!$A$7:$C$66,IF($M2874="THU",2,3),FALSE()),IF($M2874="THU","06","07")))))))</f>
        <v/>
      </c>
      <c r="P2874" s="117">
        <f>P2873+IF(AND($H2874&lt;&gt;"",OR(LEFT($F2874,LEN(SC_TK))=SC_TK,LEFT($G2874,LEN(SC_TK))=SC_TK)),1,0)</f>
        <v/>
      </c>
    </row>
    <row r="2875" ht="15" customHeight="1" s="78">
      <c r="A2875" s="95">
        <f>IF($H2875="","",ROW()-6)</f>
        <v/>
      </c>
      <c r="B2875" s="114" t="n"/>
      <c r="C2875" s="102" t="n"/>
      <c r="D2875" s="114" t="n"/>
      <c r="E2875" s="103" t="n"/>
      <c r="F2875" s="102" t="n"/>
      <c r="G2875" s="102" t="n"/>
      <c r="H2875" s="115" t="n"/>
      <c r="I2875" s="102" t="n"/>
      <c r="J2875" s="102" t="n"/>
      <c r="K2875" s="103" t="n"/>
      <c r="L2875" s="116">
        <f>IF($H2875="","",TRIM(IF(COUNTIF(DMTK!$A$7:$A$250,$F2875)=0,"TK Nợ sai! ","")&amp;IF(COUNTIF(DMTK!$A$7:$A$250,$G2875)=0,"TK Có sai! ","")&amp;IF(N($H2875)&lt;=0,"Tiền phải &gt; 0! ","")&amp;IF($B2875="","Thiếu ngày! ","")&amp;IF(AND(OR(LEFT($F2875,3)="131",LEFT($G2875,3)="131",LEFT($F2875,3)="331",LEFT($G2875,3)="331"),$I2875=""),"Thiếu Mã ĐT! ","")&amp;IF(AND($I2875&lt;&gt;"",COUNTIF(DM_DT!$A$7:$A$306,$I2875)=0),"Mã ĐT chưa khai báo! ","")))</f>
        <v/>
      </c>
      <c r="M2875" s="117">
        <f>IF($H2875="","",IF(AND(OR(LEFT($F2875,3)="111",LEFT($F2875,3)="112",LEFT($F2875,3)="113"),OR(LEFT($G2875,3)="111",LEFT($G2875,3)="112",LEFT($G2875,3)="113")),"NB",IF(OR(LEFT($F2875,3)="111",LEFT($F2875,3)="112",LEFT($F2875,3)="113"),"THU",IF(OR(LEFT($G2875,3)="111",LEFT($G2875,3)="112",LEFT($G2875,3)="113"),"CHI",""))))</f>
        <v/>
      </c>
      <c r="N2875" s="117">
        <f>IF($M2875="THU",$G2875,IF($M2875="CHI",$F2875,""))</f>
        <v/>
      </c>
      <c r="O2875" s="117">
        <f>IF(OR($M2875="",$M2875="NB"),"",IF($J2875&lt;&gt;"",TEXT($J2875,"00"),IFERROR(VLOOKUP(LEFT($N2875,4),LCTT_MAP!$A$7:$C$66,IF($M2875="THU",2,3),FALSE()),IFERROR(VLOOKUP(LEFT($N2875,3),LCTT_MAP!$A$7:$C$66,IF($M2875="THU",2,3),FALSE()),IFERROR(VLOOKUP(LEFT($N2875,2),LCTT_MAP!$A$7:$C$66,IF($M2875="THU",2,3),FALSE()),IFERROR(VLOOKUP(LEFT($N2875,1),LCTT_MAP!$A$7:$C$66,IF($M2875="THU",2,3),FALSE()),IF($M2875="THU","06","07")))))))</f>
        <v/>
      </c>
      <c r="P2875" s="117">
        <f>P2874+IF(AND($H2875&lt;&gt;"",OR(LEFT($F2875,LEN(SC_TK))=SC_TK,LEFT($G2875,LEN(SC_TK))=SC_TK)),1,0)</f>
        <v/>
      </c>
    </row>
    <row r="2876" ht="15" customHeight="1" s="78">
      <c r="A2876" s="95">
        <f>IF($H2876="","",ROW()-6)</f>
        <v/>
      </c>
      <c r="B2876" s="114" t="n"/>
      <c r="C2876" s="102" t="n"/>
      <c r="D2876" s="114" t="n"/>
      <c r="E2876" s="103" t="n"/>
      <c r="F2876" s="102" t="n"/>
      <c r="G2876" s="102" t="n"/>
      <c r="H2876" s="115" t="n"/>
      <c r="I2876" s="102" t="n"/>
      <c r="J2876" s="102" t="n"/>
      <c r="K2876" s="103" t="n"/>
      <c r="L2876" s="116">
        <f>IF($H2876="","",TRIM(IF(COUNTIF(DMTK!$A$7:$A$250,$F2876)=0,"TK Nợ sai! ","")&amp;IF(COUNTIF(DMTK!$A$7:$A$250,$G2876)=0,"TK Có sai! ","")&amp;IF(N($H2876)&lt;=0,"Tiền phải &gt; 0! ","")&amp;IF($B2876="","Thiếu ngày! ","")&amp;IF(AND(OR(LEFT($F2876,3)="131",LEFT($G2876,3)="131",LEFT($F2876,3)="331",LEFT($G2876,3)="331"),$I2876=""),"Thiếu Mã ĐT! ","")&amp;IF(AND($I2876&lt;&gt;"",COUNTIF(DM_DT!$A$7:$A$306,$I2876)=0),"Mã ĐT chưa khai báo! ","")))</f>
        <v/>
      </c>
      <c r="M2876" s="117">
        <f>IF($H2876="","",IF(AND(OR(LEFT($F2876,3)="111",LEFT($F2876,3)="112",LEFT($F2876,3)="113"),OR(LEFT($G2876,3)="111",LEFT($G2876,3)="112",LEFT($G2876,3)="113")),"NB",IF(OR(LEFT($F2876,3)="111",LEFT($F2876,3)="112",LEFT($F2876,3)="113"),"THU",IF(OR(LEFT($G2876,3)="111",LEFT($G2876,3)="112",LEFT($G2876,3)="113"),"CHI",""))))</f>
        <v/>
      </c>
      <c r="N2876" s="117">
        <f>IF($M2876="THU",$G2876,IF($M2876="CHI",$F2876,""))</f>
        <v/>
      </c>
      <c r="O2876" s="117">
        <f>IF(OR($M2876="",$M2876="NB"),"",IF($J2876&lt;&gt;"",TEXT($J2876,"00"),IFERROR(VLOOKUP(LEFT($N2876,4),LCTT_MAP!$A$7:$C$66,IF($M2876="THU",2,3),FALSE()),IFERROR(VLOOKUP(LEFT($N2876,3),LCTT_MAP!$A$7:$C$66,IF($M2876="THU",2,3),FALSE()),IFERROR(VLOOKUP(LEFT($N2876,2),LCTT_MAP!$A$7:$C$66,IF($M2876="THU",2,3),FALSE()),IFERROR(VLOOKUP(LEFT($N2876,1),LCTT_MAP!$A$7:$C$66,IF($M2876="THU",2,3),FALSE()),IF($M2876="THU","06","07")))))))</f>
        <v/>
      </c>
      <c r="P2876" s="117">
        <f>P2875+IF(AND($H2876&lt;&gt;"",OR(LEFT($F2876,LEN(SC_TK))=SC_TK,LEFT($G2876,LEN(SC_TK))=SC_TK)),1,0)</f>
        <v/>
      </c>
    </row>
    <row r="2877" ht="15" customHeight="1" s="78">
      <c r="A2877" s="95">
        <f>IF($H2877="","",ROW()-6)</f>
        <v/>
      </c>
      <c r="B2877" s="114" t="n"/>
      <c r="C2877" s="102" t="n"/>
      <c r="D2877" s="114" t="n"/>
      <c r="E2877" s="103" t="n"/>
      <c r="F2877" s="102" t="n"/>
      <c r="G2877" s="102" t="n"/>
      <c r="H2877" s="115" t="n"/>
      <c r="I2877" s="102" t="n"/>
      <c r="J2877" s="102" t="n"/>
      <c r="K2877" s="103" t="n"/>
      <c r="L2877" s="116">
        <f>IF($H2877="","",TRIM(IF(COUNTIF(DMTK!$A$7:$A$250,$F2877)=0,"TK Nợ sai! ","")&amp;IF(COUNTIF(DMTK!$A$7:$A$250,$G2877)=0,"TK Có sai! ","")&amp;IF(N($H2877)&lt;=0,"Tiền phải &gt; 0! ","")&amp;IF($B2877="","Thiếu ngày! ","")&amp;IF(AND(OR(LEFT($F2877,3)="131",LEFT($G2877,3)="131",LEFT($F2877,3)="331",LEFT($G2877,3)="331"),$I2877=""),"Thiếu Mã ĐT! ","")&amp;IF(AND($I2877&lt;&gt;"",COUNTIF(DM_DT!$A$7:$A$306,$I2877)=0),"Mã ĐT chưa khai báo! ","")))</f>
        <v/>
      </c>
      <c r="M2877" s="117">
        <f>IF($H2877="","",IF(AND(OR(LEFT($F2877,3)="111",LEFT($F2877,3)="112",LEFT($F2877,3)="113"),OR(LEFT($G2877,3)="111",LEFT($G2877,3)="112",LEFT($G2877,3)="113")),"NB",IF(OR(LEFT($F2877,3)="111",LEFT($F2877,3)="112",LEFT($F2877,3)="113"),"THU",IF(OR(LEFT($G2877,3)="111",LEFT($G2877,3)="112",LEFT($G2877,3)="113"),"CHI",""))))</f>
        <v/>
      </c>
      <c r="N2877" s="117">
        <f>IF($M2877="THU",$G2877,IF($M2877="CHI",$F2877,""))</f>
        <v/>
      </c>
      <c r="O2877" s="117">
        <f>IF(OR($M2877="",$M2877="NB"),"",IF($J2877&lt;&gt;"",TEXT($J2877,"00"),IFERROR(VLOOKUP(LEFT($N2877,4),LCTT_MAP!$A$7:$C$66,IF($M2877="THU",2,3),FALSE()),IFERROR(VLOOKUP(LEFT($N2877,3),LCTT_MAP!$A$7:$C$66,IF($M2877="THU",2,3),FALSE()),IFERROR(VLOOKUP(LEFT($N2877,2),LCTT_MAP!$A$7:$C$66,IF($M2877="THU",2,3),FALSE()),IFERROR(VLOOKUP(LEFT($N2877,1),LCTT_MAP!$A$7:$C$66,IF($M2877="THU",2,3),FALSE()),IF($M2877="THU","06","07")))))))</f>
        <v/>
      </c>
      <c r="P2877" s="117">
        <f>P2876+IF(AND($H2877&lt;&gt;"",OR(LEFT($F2877,LEN(SC_TK))=SC_TK,LEFT($G2877,LEN(SC_TK))=SC_TK)),1,0)</f>
        <v/>
      </c>
    </row>
    <row r="2878" ht="15" customHeight="1" s="78">
      <c r="A2878" s="95">
        <f>IF($H2878="","",ROW()-6)</f>
        <v/>
      </c>
      <c r="B2878" s="114" t="n"/>
      <c r="C2878" s="102" t="n"/>
      <c r="D2878" s="114" t="n"/>
      <c r="E2878" s="103" t="n"/>
      <c r="F2878" s="102" t="n"/>
      <c r="G2878" s="102" t="n"/>
      <c r="H2878" s="115" t="n"/>
      <c r="I2878" s="102" t="n"/>
      <c r="J2878" s="102" t="n"/>
      <c r="K2878" s="103" t="n"/>
      <c r="L2878" s="116">
        <f>IF($H2878="","",TRIM(IF(COUNTIF(DMTK!$A$7:$A$250,$F2878)=0,"TK Nợ sai! ","")&amp;IF(COUNTIF(DMTK!$A$7:$A$250,$G2878)=0,"TK Có sai! ","")&amp;IF(N($H2878)&lt;=0,"Tiền phải &gt; 0! ","")&amp;IF($B2878="","Thiếu ngày! ","")&amp;IF(AND(OR(LEFT($F2878,3)="131",LEFT($G2878,3)="131",LEFT($F2878,3)="331",LEFT($G2878,3)="331"),$I2878=""),"Thiếu Mã ĐT! ","")&amp;IF(AND($I2878&lt;&gt;"",COUNTIF(DM_DT!$A$7:$A$306,$I2878)=0),"Mã ĐT chưa khai báo! ","")))</f>
        <v/>
      </c>
      <c r="M2878" s="117">
        <f>IF($H2878="","",IF(AND(OR(LEFT($F2878,3)="111",LEFT($F2878,3)="112",LEFT($F2878,3)="113"),OR(LEFT($G2878,3)="111",LEFT($G2878,3)="112",LEFT($G2878,3)="113")),"NB",IF(OR(LEFT($F2878,3)="111",LEFT($F2878,3)="112",LEFT($F2878,3)="113"),"THU",IF(OR(LEFT($G2878,3)="111",LEFT($G2878,3)="112",LEFT($G2878,3)="113"),"CHI",""))))</f>
        <v/>
      </c>
      <c r="N2878" s="117">
        <f>IF($M2878="THU",$G2878,IF($M2878="CHI",$F2878,""))</f>
        <v/>
      </c>
      <c r="O2878" s="117">
        <f>IF(OR($M2878="",$M2878="NB"),"",IF($J2878&lt;&gt;"",TEXT($J2878,"00"),IFERROR(VLOOKUP(LEFT($N2878,4),LCTT_MAP!$A$7:$C$66,IF($M2878="THU",2,3),FALSE()),IFERROR(VLOOKUP(LEFT($N2878,3),LCTT_MAP!$A$7:$C$66,IF($M2878="THU",2,3),FALSE()),IFERROR(VLOOKUP(LEFT($N2878,2),LCTT_MAP!$A$7:$C$66,IF($M2878="THU",2,3),FALSE()),IFERROR(VLOOKUP(LEFT($N2878,1),LCTT_MAP!$A$7:$C$66,IF($M2878="THU",2,3),FALSE()),IF($M2878="THU","06","07")))))))</f>
        <v/>
      </c>
      <c r="P2878" s="117">
        <f>P2877+IF(AND($H2878&lt;&gt;"",OR(LEFT($F2878,LEN(SC_TK))=SC_TK,LEFT($G2878,LEN(SC_TK))=SC_TK)),1,0)</f>
        <v/>
      </c>
    </row>
    <row r="2879" ht="15" customHeight="1" s="78">
      <c r="A2879" s="95">
        <f>IF($H2879="","",ROW()-6)</f>
        <v/>
      </c>
      <c r="B2879" s="114" t="n"/>
      <c r="C2879" s="102" t="n"/>
      <c r="D2879" s="114" t="n"/>
      <c r="E2879" s="103" t="n"/>
      <c r="F2879" s="102" t="n"/>
      <c r="G2879" s="102" t="n"/>
      <c r="H2879" s="115" t="n"/>
      <c r="I2879" s="102" t="n"/>
      <c r="J2879" s="102" t="n"/>
      <c r="K2879" s="103" t="n"/>
      <c r="L2879" s="116">
        <f>IF($H2879="","",TRIM(IF(COUNTIF(DMTK!$A$7:$A$250,$F2879)=0,"TK Nợ sai! ","")&amp;IF(COUNTIF(DMTK!$A$7:$A$250,$G2879)=0,"TK Có sai! ","")&amp;IF(N($H2879)&lt;=0,"Tiền phải &gt; 0! ","")&amp;IF($B2879="","Thiếu ngày! ","")&amp;IF(AND(OR(LEFT($F2879,3)="131",LEFT($G2879,3)="131",LEFT($F2879,3)="331",LEFT($G2879,3)="331"),$I2879=""),"Thiếu Mã ĐT! ","")&amp;IF(AND($I2879&lt;&gt;"",COUNTIF(DM_DT!$A$7:$A$306,$I2879)=0),"Mã ĐT chưa khai báo! ","")))</f>
        <v/>
      </c>
      <c r="M2879" s="117">
        <f>IF($H2879="","",IF(AND(OR(LEFT($F2879,3)="111",LEFT($F2879,3)="112",LEFT($F2879,3)="113"),OR(LEFT($G2879,3)="111",LEFT($G2879,3)="112",LEFT($G2879,3)="113")),"NB",IF(OR(LEFT($F2879,3)="111",LEFT($F2879,3)="112",LEFT($F2879,3)="113"),"THU",IF(OR(LEFT($G2879,3)="111",LEFT($G2879,3)="112",LEFT($G2879,3)="113"),"CHI",""))))</f>
        <v/>
      </c>
      <c r="N2879" s="117">
        <f>IF($M2879="THU",$G2879,IF($M2879="CHI",$F2879,""))</f>
        <v/>
      </c>
      <c r="O2879" s="117">
        <f>IF(OR($M2879="",$M2879="NB"),"",IF($J2879&lt;&gt;"",TEXT($J2879,"00"),IFERROR(VLOOKUP(LEFT($N2879,4),LCTT_MAP!$A$7:$C$66,IF($M2879="THU",2,3),FALSE()),IFERROR(VLOOKUP(LEFT($N2879,3),LCTT_MAP!$A$7:$C$66,IF($M2879="THU",2,3),FALSE()),IFERROR(VLOOKUP(LEFT($N2879,2),LCTT_MAP!$A$7:$C$66,IF($M2879="THU",2,3),FALSE()),IFERROR(VLOOKUP(LEFT($N2879,1),LCTT_MAP!$A$7:$C$66,IF($M2879="THU",2,3),FALSE()),IF($M2879="THU","06","07")))))))</f>
        <v/>
      </c>
      <c r="P2879" s="117">
        <f>P2878+IF(AND($H2879&lt;&gt;"",OR(LEFT($F2879,LEN(SC_TK))=SC_TK,LEFT($G2879,LEN(SC_TK))=SC_TK)),1,0)</f>
        <v/>
      </c>
    </row>
    <row r="2880" ht="15" customHeight="1" s="78">
      <c r="A2880" s="95">
        <f>IF($H2880="","",ROW()-6)</f>
        <v/>
      </c>
      <c r="B2880" s="114" t="n"/>
      <c r="C2880" s="102" t="n"/>
      <c r="D2880" s="114" t="n"/>
      <c r="E2880" s="103" t="n"/>
      <c r="F2880" s="102" t="n"/>
      <c r="G2880" s="102" t="n"/>
      <c r="H2880" s="115" t="n"/>
      <c r="I2880" s="102" t="n"/>
      <c r="J2880" s="102" t="n"/>
      <c r="K2880" s="103" t="n"/>
      <c r="L2880" s="116">
        <f>IF($H2880="","",TRIM(IF(COUNTIF(DMTK!$A$7:$A$250,$F2880)=0,"TK Nợ sai! ","")&amp;IF(COUNTIF(DMTK!$A$7:$A$250,$G2880)=0,"TK Có sai! ","")&amp;IF(N($H2880)&lt;=0,"Tiền phải &gt; 0! ","")&amp;IF($B2880="","Thiếu ngày! ","")&amp;IF(AND(OR(LEFT($F2880,3)="131",LEFT($G2880,3)="131",LEFT($F2880,3)="331",LEFT($G2880,3)="331"),$I2880=""),"Thiếu Mã ĐT! ","")&amp;IF(AND($I2880&lt;&gt;"",COUNTIF(DM_DT!$A$7:$A$306,$I2880)=0),"Mã ĐT chưa khai báo! ","")))</f>
        <v/>
      </c>
      <c r="M2880" s="117">
        <f>IF($H2880="","",IF(AND(OR(LEFT($F2880,3)="111",LEFT($F2880,3)="112",LEFT($F2880,3)="113"),OR(LEFT($G2880,3)="111",LEFT($G2880,3)="112",LEFT($G2880,3)="113")),"NB",IF(OR(LEFT($F2880,3)="111",LEFT($F2880,3)="112",LEFT($F2880,3)="113"),"THU",IF(OR(LEFT($G2880,3)="111",LEFT($G2880,3)="112",LEFT($G2880,3)="113"),"CHI",""))))</f>
        <v/>
      </c>
      <c r="N2880" s="117">
        <f>IF($M2880="THU",$G2880,IF($M2880="CHI",$F2880,""))</f>
        <v/>
      </c>
      <c r="O2880" s="117">
        <f>IF(OR($M2880="",$M2880="NB"),"",IF($J2880&lt;&gt;"",TEXT($J2880,"00"),IFERROR(VLOOKUP(LEFT($N2880,4),LCTT_MAP!$A$7:$C$66,IF($M2880="THU",2,3),FALSE()),IFERROR(VLOOKUP(LEFT($N2880,3),LCTT_MAP!$A$7:$C$66,IF($M2880="THU",2,3),FALSE()),IFERROR(VLOOKUP(LEFT($N2880,2),LCTT_MAP!$A$7:$C$66,IF($M2880="THU",2,3),FALSE()),IFERROR(VLOOKUP(LEFT($N2880,1),LCTT_MAP!$A$7:$C$66,IF($M2880="THU",2,3),FALSE()),IF($M2880="THU","06","07")))))))</f>
        <v/>
      </c>
      <c r="P2880" s="117">
        <f>P2879+IF(AND($H2880&lt;&gt;"",OR(LEFT($F2880,LEN(SC_TK))=SC_TK,LEFT($G2880,LEN(SC_TK))=SC_TK)),1,0)</f>
        <v/>
      </c>
    </row>
    <row r="2881" ht="15" customHeight="1" s="78">
      <c r="A2881" s="95">
        <f>IF($H2881="","",ROW()-6)</f>
        <v/>
      </c>
      <c r="B2881" s="114" t="n"/>
      <c r="C2881" s="102" t="n"/>
      <c r="D2881" s="114" t="n"/>
      <c r="E2881" s="103" t="n"/>
      <c r="F2881" s="102" t="n"/>
      <c r="G2881" s="102" t="n"/>
      <c r="H2881" s="115" t="n"/>
      <c r="I2881" s="102" t="n"/>
      <c r="J2881" s="102" t="n"/>
      <c r="K2881" s="103" t="n"/>
      <c r="L2881" s="116">
        <f>IF($H2881="","",TRIM(IF(COUNTIF(DMTK!$A$7:$A$250,$F2881)=0,"TK Nợ sai! ","")&amp;IF(COUNTIF(DMTK!$A$7:$A$250,$G2881)=0,"TK Có sai! ","")&amp;IF(N($H2881)&lt;=0,"Tiền phải &gt; 0! ","")&amp;IF($B2881="","Thiếu ngày! ","")&amp;IF(AND(OR(LEFT($F2881,3)="131",LEFT($G2881,3)="131",LEFT($F2881,3)="331",LEFT($G2881,3)="331"),$I2881=""),"Thiếu Mã ĐT! ","")&amp;IF(AND($I2881&lt;&gt;"",COUNTIF(DM_DT!$A$7:$A$306,$I2881)=0),"Mã ĐT chưa khai báo! ","")))</f>
        <v/>
      </c>
      <c r="M2881" s="117">
        <f>IF($H2881="","",IF(AND(OR(LEFT($F2881,3)="111",LEFT($F2881,3)="112",LEFT($F2881,3)="113"),OR(LEFT($G2881,3)="111",LEFT($G2881,3)="112",LEFT($G2881,3)="113")),"NB",IF(OR(LEFT($F2881,3)="111",LEFT($F2881,3)="112",LEFT($F2881,3)="113"),"THU",IF(OR(LEFT($G2881,3)="111",LEFT($G2881,3)="112",LEFT($G2881,3)="113"),"CHI",""))))</f>
        <v/>
      </c>
      <c r="N2881" s="117">
        <f>IF($M2881="THU",$G2881,IF($M2881="CHI",$F2881,""))</f>
        <v/>
      </c>
      <c r="O2881" s="117">
        <f>IF(OR($M2881="",$M2881="NB"),"",IF($J2881&lt;&gt;"",TEXT($J2881,"00"),IFERROR(VLOOKUP(LEFT($N2881,4),LCTT_MAP!$A$7:$C$66,IF($M2881="THU",2,3),FALSE()),IFERROR(VLOOKUP(LEFT($N2881,3),LCTT_MAP!$A$7:$C$66,IF($M2881="THU",2,3),FALSE()),IFERROR(VLOOKUP(LEFT($N2881,2),LCTT_MAP!$A$7:$C$66,IF($M2881="THU",2,3),FALSE()),IFERROR(VLOOKUP(LEFT($N2881,1),LCTT_MAP!$A$7:$C$66,IF($M2881="THU",2,3),FALSE()),IF($M2881="THU","06","07")))))))</f>
        <v/>
      </c>
      <c r="P2881" s="117">
        <f>P2880+IF(AND($H2881&lt;&gt;"",OR(LEFT($F2881,LEN(SC_TK))=SC_TK,LEFT($G2881,LEN(SC_TK))=SC_TK)),1,0)</f>
        <v/>
      </c>
    </row>
    <row r="2882" ht="15" customHeight="1" s="78">
      <c r="A2882" s="95">
        <f>IF($H2882="","",ROW()-6)</f>
        <v/>
      </c>
      <c r="B2882" s="114" t="n"/>
      <c r="C2882" s="102" t="n"/>
      <c r="D2882" s="114" t="n"/>
      <c r="E2882" s="103" t="n"/>
      <c r="F2882" s="102" t="n"/>
      <c r="G2882" s="102" t="n"/>
      <c r="H2882" s="115" t="n"/>
      <c r="I2882" s="102" t="n"/>
      <c r="J2882" s="102" t="n"/>
      <c r="K2882" s="103" t="n"/>
      <c r="L2882" s="116">
        <f>IF($H2882="","",TRIM(IF(COUNTIF(DMTK!$A$7:$A$250,$F2882)=0,"TK Nợ sai! ","")&amp;IF(COUNTIF(DMTK!$A$7:$A$250,$G2882)=0,"TK Có sai! ","")&amp;IF(N($H2882)&lt;=0,"Tiền phải &gt; 0! ","")&amp;IF($B2882="","Thiếu ngày! ","")&amp;IF(AND(OR(LEFT($F2882,3)="131",LEFT($G2882,3)="131",LEFT($F2882,3)="331",LEFT($G2882,3)="331"),$I2882=""),"Thiếu Mã ĐT! ","")&amp;IF(AND($I2882&lt;&gt;"",COUNTIF(DM_DT!$A$7:$A$306,$I2882)=0),"Mã ĐT chưa khai báo! ","")))</f>
        <v/>
      </c>
      <c r="M2882" s="117">
        <f>IF($H2882="","",IF(AND(OR(LEFT($F2882,3)="111",LEFT($F2882,3)="112",LEFT($F2882,3)="113"),OR(LEFT($G2882,3)="111",LEFT($G2882,3)="112",LEFT($G2882,3)="113")),"NB",IF(OR(LEFT($F2882,3)="111",LEFT($F2882,3)="112",LEFT($F2882,3)="113"),"THU",IF(OR(LEFT($G2882,3)="111",LEFT($G2882,3)="112",LEFT($G2882,3)="113"),"CHI",""))))</f>
        <v/>
      </c>
      <c r="N2882" s="117">
        <f>IF($M2882="THU",$G2882,IF($M2882="CHI",$F2882,""))</f>
        <v/>
      </c>
      <c r="O2882" s="117">
        <f>IF(OR($M2882="",$M2882="NB"),"",IF($J2882&lt;&gt;"",TEXT($J2882,"00"),IFERROR(VLOOKUP(LEFT($N2882,4),LCTT_MAP!$A$7:$C$66,IF($M2882="THU",2,3),FALSE()),IFERROR(VLOOKUP(LEFT($N2882,3),LCTT_MAP!$A$7:$C$66,IF($M2882="THU",2,3),FALSE()),IFERROR(VLOOKUP(LEFT($N2882,2),LCTT_MAP!$A$7:$C$66,IF($M2882="THU",2,3),FALSE()),IFERROR(VLOOKUP(LEFT($N2882,1),LCTT_MAP!$A$7:$C$66,IF($M2882="THU",2,3),FALSE()),IF($M2882="THU","06","07")))))))</f>
        <v/>
      </c>
      <c r="P2882" s="117">
        <f>P2881+IF(AND($H2882&lt;&gt;"",OR(LEFT($F2882,LEN(SC_TK))=SC_TK,LEFT($G2882,LEN(SC_TK))=SC_TK)),1,0)</f>
        <v/>
      </c>
    </row>
    <row r="2883" ht="15" customHeight="1" s="78">
      <c r="A2883" s="95">
        <f>IF($H2883="","",ROW()-6)</f>
        <v/>
      </c>
      <c r="B2883" s="114" t="n"/>
      <c r="C2883" s="102" t="n"/>
      <c r="D2883" s="114" t="n"/>
      <c r="E2883" s="103" t="n"/>
      <c r="F2883" s="102" t="n"/>
      <c r="G2883" s="102" t="n"/>
      <c r="H2883" s="115" t="n"/>
      <c r="I2883" s="102" t="n"/>
      <c r="J2883" s="102" t="n"/>
      <c r="K2883" s="103" t="n"/>
      <c r="L2883" s="116">
        <f>IF($H2883="","",TRIM(IF(COUNTIF(DMTK!$A$7:$A$250,$F2883)=0,"TK Nợ sai! ","")&amp;IF(COUNTIF(DMTK!$A$7:$A$250,$G2883)=0,"TK Có sai! ","")&amp;IF(N($H2883)&lt;=0,"Tiền phải &gt; 0! ","")&amp;IF($B2883="","Thiếu ngày! ","")&amp;IF(AND(OR(LEFT($F2883,3)="131",LEFT($G2883,3)="131",LEFT($F2883,3)="331",LEFT($G2883,3)="331"),$I2883=""),"Thiếu Mã ĐT! ","")&amp;IF(AND($I2883&lt;&gt;"",COUNTIF(DM_DT!$A$7:$A$306,$I2883)=0),"Mã ĐT chưa khai báo! ","")))</f>
        <v/>
      </c>
      <c r="M2883" s="117">
        <f>IF($H2883="","",IF(AND(OR(LEFT($F2883,3)="111",LEFT($F2883,3)="112",LEFT($F2883,3)="113"),OR(LEFT($G2883,3)="111",LEFT($G2883,3)="112",LEFT($G2883,3)="113")),"NB",IF(OR(LEFT($F2883,3)="111",LEFT($F2883,3)="112",LEFT($F2883,3)="113"),"THU",IF(OR(LEFT($G2883,3)="111",LEFT($G2883,3)="112",LEFT($G2883,3)="113"),"CHI",""))))</f>
        <v/>
      </c>
      <c r="N2883" s="117">
        <f>IF($M2883="THU",$G2883,IF($M2883="CHI",$F2883,""))</f>
        <v/>
      </c>
      <c r="O2883" s="117">
        <f>IF(OR($M2883="",$M2883="NB"),"",IF($J2883&lt;&gt;"",TEXT($J2883,"00"),IFERROR(VLOOKUP(LEFT($N2883,4),LCTT_MAP!$A$7:$C$66,IF($M2883="THU",2,3),FALSE()),IFERROR(VLOOKUP(LEFT($N2883,3),LCTT_MAP!$A$7:$C$66,IF($M2883="THU",2,3),FALSE()),IFERROR(VLOOKUP(LEFT($N2883,2),LCTT_MAP!$A$7:$C$66,IF($M2883="THU",2,3),FALSE()),IFERROR(VLOOKUP(LEFT($N2883,1),LCTT_MAP!$A$7:$C$66,IF($M2883="THU",2,3),FALSE()),IF($M2883="THU","06","07")))))))</f>
        <v/>
      </c>
      <c r="P2883" s="117">
        <f>P2882+IF(AND($H2883&lt;&gt;"",OR(LEFT($F2883,LEN(SC_TK))=SC_TK,LEFT($G2883,LEN(SC_TK))=SC_TK)),1,0)</f>
        <v/>
      </c>
    </row>
    <row r="2884" ht="15" customHeight="1" s="78">
      <c r="A2884" s="95">
        <f>IF($H2884="","",ROW()-6)</f>
        <v/>
      </c>
      <c r="B2884" s="114" t="n"/>
      <c r="C2884" s="102" t="n"/>
      <c r="D2884" s="114" t="n"/>
      <c r="E2884" s="103" t="n"/>
      <c r="F2884" s="102" t="n"/>
      <c r="G2884" s="102" t="n"/>
      <c r="H2884" s="115" t="n"/>
      <c r="I2884" s="102" t="n"/>
      <c r="J2884" s="102" t="n"/>
      <c r="K2884" s="103" t="n"/>
      <c r="L2884" s="116">
        <f>IF($H2884="","",TRIM(IF(COUNTIF(DMTK!$A$7:$A$250,$F2884)=0,"TK Nợ sai! ","")&amp;IF(COUNTIF(DMTK!$A$7:$A$250,$G2884)=0,"TK Có sai! ","")&amp;IF(N($H2884)&lt;=0,"Tiền phải &gt; 0! ","")&amp;IF($B2884="","Thiếu ngày! ","")&amp;IF(AND(OR(LEFT($F2884,3)="131",LEFT($G2884,3)="131",LEFT($F2884,3)="331",LEFT($G2884,3)="331"),$I2884=""),"Thiếu Mã ĐT! ","")&amp;IF(AND($I2884&lt;&gt;"",COUNTIF(DM_DT!$A$7:$A$306,$I2884)=0),"Mã ĐT chưa khai báo! ","")))</f>
        <v/>
      </c>
      <c r="M2884" s="117">
        <f>IF($H2884="","",IF(AND(OR(LEFT($F2884,3)="111",LEFT($F2884,3)="112",LEFT($F2884,3)="113"),OR(LEFT($G2884,3)="111",LEFT($G2884,3)="112",LEFT($G2884,3)="113")),"NB",IF(OR(LEFT($F2884,3)="111",LEFT($F2884,3)="112",LEFT($F2884,3)="113"),"THU",IF(OR(LEFT($G2884,3)="111",LEFT($G2884,3)="112",LEFT($G2884,3)="113"),"CHI",""))))</f>
        <v/>
      </c>
      <c r="N2884" s="117">
        <f>IF($M2884="THU",$G2884,IF($M2884="CHI",$F2884,""))</f>
        <v/>
      </c>
      <c r="O2884" s="117">
        <f>IF(OR($M2884="",$M2884="NB"),"",IF($J2884&lt;&gt;"",TEXT($J2884,"00"),IFERROR(VLOOKUP(LEFT($N2884,4),LCTT_MAP!$A$7:$C$66,IF($M2884="THU",2,3),FALSE()),IFERROR(VLOOKUP(LEFT($N2884,3),LCTT_MAP!$A$7:$C$66,IF($M2884="THU",2,3),FALSE()),IFERROR(VLOOKUP(LEFT($N2884,2),LCTT_MAP!$A$7:$C$66,IF($M2884="THU",2,3),FALSE()),IFERROR(VLOOKUP(LEFT($N2884,1),LCTT_MAP!$A$7:$C$66,IF($M2884="THU",2,3),FALSE()),IF($M2884="THU","06","07")))))))</f>
        <v/>
      </c>
      <c r="P2884" s="117">
        <f>P2883+IF(AND($H2884&lt;&gt;"",OR(LEFT($F2884,LEN(SC_TK))=SC_TK,LEFT($G2884,LEN(SC_TK))=SC_TK)),1,0)</f>
        <v/>
      </c>
    </row>
    <row r="2885" ht="15" customHeight="1" s="78">
      <c r="A2885" s="95">
        <f>IF($H2885="","",ROW()-6)</f>
        <v/>
      </c>
      <c r="B2885" s="114" t="n"/>
      <c r="C2885" s="102" t="n"/>
      <c r="D2885" s="114" t="n"/>
      <c r="E2885" s="103" t="n"/>
      <c r="F2885" s="102" t="n"/>
      <c r="G2885" s="102" t="n"/>
      <c r="H2885" s="115" t="n"/>
      <c r="I2885" s="102" t="n"/>
      <c r="J2885" s="102" t="n"/>
      <c r="K2885" s="103" t="n"/>
      <c r="L2885" s="116">
        <f>IF($H2885="","",TRIM(IF(COUNTIF(DMTK!$A$7:$A$250,$F2885)=0,"TK Nợ sai! ","")&amp;IF(COUNTIF(DMTK!$A$7:$A$250,$G2885)=0,"TK Có sai! ","")&amp;IF(N($H2885)&lt;=0,"Tiền phải &gt; 0! ","")&amp;IF($B2885="","Thiếu ngày! ","")&amp;IF(AND(OR(LEFT($F2885,3)="131",LEFT($G2885,3)="131",LEFT($F2885,3)="331",LEFT($G2885,3)="331"),$I2885=""),"Thiếu Mã ĐT! ","")&amp;IF(AND($I2885&lt;&gt;"",COUNTIF(DM_DT!$A$7:$A$306,$I2885)=0),"Mã ĐT chưa khai báo! ","")))</f>
        <v/>
      </c>
      <c r="M2885" s="117">
        <f>IF($H2885="","",IF(AND(OR(LEFT($F2885,3)="111",LEFT($F2885,3)="112",LEFT($F2885,3)="113"),OR(LEFT($G2885,3)="111",LEFT($G2885,3)="112",LEFT($G2885,3)="113")),"NB",IF(OR(LEFT($F2885,3)="111",LEFT($F2885,3)="112",LEFT($F2885,3)="113"),"THU",IF(OR(LEFT($G2885,3)="111",LEFT($G2885,3)="112",LEFT($G2885,3)="113"),"CHI",""))))</f>
        <v/>
      </c>
      <c r="N2885" s="117">
        <f>IF($M2885="THU",$G2885,IF($M2885="CHI",$F2885,""))</f>
        <v/>
      </c>
      <c r="O2885" s="117">
        <f>IF(OR($M2885="",$M2885="NB"),"",IF($J2885&lt;&gt;"",TEXT($J2885,"00"),IFERROR(VLOOKUP(LEFT($N2885,4),LCTT_MAP!$A$7:$C$66,IF($M2885="THU",2,3),FALSE()),IFERROR(VLOOKUP(LEFT($N2885,3),LCTT_MAP!$A$7:$C$66,IF($M2885="THU",2,3),FALSE()),IFERROR(VLOOKUP(LEFT($N2885,2),LCTT_MAP!$A$7:$C$66,IF($M2885="THU",2,3),FALSE()),IFERROR(VLOOKUP(LEFT($N2885,1),LCTT_MAP!$A$7:$C$66,IF($M2885="THU",2,3),FALSE()),IF($M2885="THU","06","07")))))))</f>
        <v/>
      </c>
      <c r="P2885" s="117">
        <f>P2884+IF(AND($H2885&lt;&gt;"",OR(LEFT($F2885,LEN(SC_TK))=SC_TK,LEFT($G2885,LEN(SC_TK))=SC_TK)),1,0)</f>
        <v/>
      </c>
    </row>
    <row r="2886" ht="15" customHeight="1" s="78">
      <c r="A2886" s="95">
        <f>IF($H2886="","",ROW()-6)</f>
        <v/>
      </c>
      <c r="B2886" s="114" t="n"/>
      <c r="C2886" s="102" t="n"/>
      <c r="D2886" s="114" t="n"/>
      <c r="E2886" s="103" t="n"/>
      <c r="F2886" s="102" t="n"/>
      <c r="G2886" s="102" t="n"/>
      <c r="H2886" s="115" t="n"/>
      <c r="I2886" s="102" t="n"/>
      <c r="J2886" s="102" t="n"/>
      <c r="K2886" s="103" t="n"/>
      <c r="L2886" s="116">
        <f>IF($H2886="","",TRIM(IF(COUNTIF(DMTK!$A$7:$A$250,$F2886)=0,"TK Nợ sai! ","")&amp;IF(COUNTIF(DMTK!$A$7:$A$250,$G2886)=0,"TK Có sai! ","")&amp;IF(N($H2886)&lt;=0,"Tiền phải &gt; 0! ","")&amp;IF($B2886="","Thiếu ngày! ","")&amp;IF(AND(OR(LEFT($F2886,3)="131",LEFT($G2886,3)="131",LEFT($F2886,3)="331",LEFT($G2886,3)="331"),$I2886=""),"Thiếu Mã ĐT! ","")&amp;IF(AND($I2886&lt;&gt;"",COUNTIF(DM_DT!$A$7:$A$306,$I2886)=0),"Mã ĐT chưa khai báo! ","")))</f>
        <v/>
      </c>
      <c r="M2886" s="117">
        <f>IF($H2886="","",IF(AND(OR(LEFT($F2886,3)="111",LEFT($F2886,3)="112",LEFT($F2886,3)="113"),OR(LEFT($G2886,3)="111",LEFT($G2886,3)="112",LEFT($G2886,3)="113")),"NB",IF(OR(LEFT($F2886,3)="111",LEFT($F2886,3)="112",LEFT($F2886,3)="113"),"THU",IF(OR(LEFT($G2886,3)="111",LEFT($G2886,3)="112",LEFT($G2886,3)="113"),"CHI",""))))</f>
        <v/>
      </c>
      <c r="N2886" s="117">
        <f>IF($M2886="THU",$G2886,IF($M2886="CHI",$F2886,""))</f>
        <v/>
      </c>
      <c r="O2886" s="117">
        <f>IF(OR($M2886="",$M2886="NB"),"",IF($J2886&lt;&gt;"",TEXT($J2886,"00"),IFERROR(VLOOKUP(LEFT($N2886,4),LCTT_MAP!$A$7:$C$66,IF($M2886="THU",2,3),FALSE()),IFERROR(VLOOKUP(LEFT($N2886,3),LCTT_MAP!$A$7:$C$66,IF($M2886="THU",2,3),FALSE()),IFERROR(VLOOKUP(LEFT($N2886,2),LCTT_MAP!$A$7:$C$66,IF($M2886="THU",2,3),FALSE()),IFERROR(VLOOKUP(LEFT($N2886,1),LCTT_MAP!$A$7:$C$66,IF($M2886="THU",2,3),FALSE()),IF($M2886="THU","06","07")))))))</f>
        <v/>
      </c>
      <c r="P2886" s="117">
        <f>P2885+IF(AND($H2886&lt;&gt;"",OR(LEFT($F2886,LEN(SC_TK))=SC_TK,LEFT($G2886,LEN(SC_TK))=SC_TK)),1,0)</f>
        <v/>
      </c>
    </row>
    <row r="2887" ht="15" customHeight="1" s="78">
      <c r="A2887" s="95">
        <f>IF($H2887="","",ROW()-6)</f>
        <v/>
      </c>
      <c r="B2887" s="114" t="n"/>
      <c r="C2887" s="102" t="n"/>
      <c r="D2887" s="114" t="n"/>
      <c r="E2887" s="103" t="n"/>
      <c r="F2887" s="102" t="n"/>
      <c r="G2887" s="102" t="n"/>
      <c r="H2887" s="115" t="n"/>
      <c r="I2887" s="102" t="n"/>
      <c r="J2887" s="102" t="n"/>
      <c r="K2887" s="103" t="n"/>
      <c r="L2887" s="116">
        <f>IF($H2887="","",TRIM(IF(COUNTIF(DMTK!$A$7:$A$250,$F2887)=0,"TK Nợ sai! ","")&amp;IF(COUNTIF(DMTK!$A$7:$A$250,$G2887)=0,"TK Có sai! ","")&amp;IF(N($H2887)&lt;=0,"Tiền phải &gt; 0! ","")&amp;IF($B2887="","Thiếu ngày! ","")&amp;IF(AND(OR(LEFT($F2887,3)="131",LEFT($G2887,3)="131",LEFT($F2887,3)="331",LEFT($G2887,3)="331"),$I2887=""),"Thiếu Mã ĐT! ","")&amp;IF(AND($I2887&lt;&gt;"",COUNTIF(DM_DT!$A$7:$A$306,$I2887)=0),"Mã ĐT chưa khai báo! ","")))</f>
        <v/>
      </c>
      <c r="M2887" s="117">
        <f>IF($H2887="","",IF(AND(OR(LEFT($F2887,3)="111",LEFT($F2887,3)="112",LEFT($F2887,3)="113"),OR(LEFT($G2887,3)="111",LEFT($G2887,3)="112",LEFT($G2887,3)="113")),"NB",IF(OR(LEFT($F2887,3)="111",LEFT($F2887,3)="112",LEFT($F2887,3)="113"),"THU",IF(OR(LEFT($G2887,3)="111",LEFT($G2887,3)="112",LEFT($G2887,3)="113"),"CHI",""))))</f>
        <v/>
      </c>
      <c r="N2887" s="117">
        <f>IF($M2887="THU",$G2887,IF($M2887="CHI",$F2887,""))</f>
        <v/>
      </c>
      <c r="O2887" s="117">
        <f>IF(OR($M2887="",$M2887="NB"),"",IF($J2887&lt;&gt;"",TEXT($J2887,"00"),IFERROR(VLOOKUP(LEFT($N2887,4),LCTT_MAP!$A$7:$C$66,IF($M2887="THU",2,3),FALSE()),IFERROR(VLOOKUP(LEFT($N2887,3),LCTT_MAP!$A$7:$C$66,IF($M2887="THU",2,3),FALSE()),IFERROR(VLOOKUP(LEFT($N2887,2),LCTT_MAP!$A$7:$C$66,IF($M2887="THU",2,3),FALSE()),IFERROR(VLOOKUP(LEFT($N2887,1),LCTT_MAP!$A$7:$C$66,IF($M2887="THU",2,3),FALSE()),IF($M2887="THU","06","07")))))))</f>
        <v/>
      </c>
      <c r="P2887" s="117">
        <f>P2886+IF(AND($H2887&lt;&gt;"",OR(LEFT($F2887,LEN(SC_TK))=SC_TK,LEFT($G2887,LEN(SC_TK))=SC_TK)),1,0)</f>
        <v/>
      </c>
    </row>
    <row r="2888" ht="15" customHeight="1" s="78">
      <c r="A2888" s="95">
        <f>IF($H2888="","",ROW()-6)</f>
        <v/>
      </c>
      <c r="B2888" s="114" t="n"/>
      <c r="C2888" s="102" t="n"/>
      <c r="D2888" s="114" t="n"/>
      <c r="E2888" s="103" t="n"/>
      <c r="F2888" s="102" t="n"/>
      <c r="G2888" s="102" t="n"/>
      <c r="H2888" s="115" t="n"/>
      <c r="I2888" s="102" t="n"/>
      <c r="J2888" s="102" t="n"/>
      <c r="K2888" s="103" t="n"/>
      <c r="L2888" s="116">
        <f>IF($H2888="","",TRIM(IF(COUNTIF(DMTK!$A$7:$A$250,$F2888)=0,"TK Nợ sai! ","")&amp;IF(COUNTIF(DMTK!$A$7:$A$250,$G2888)=0,"TK Có sai! ","")&amp;IF(N($H2888)&lt;=0,"Tiền phải &gt; 0! ","")&amp;IF($B2888="","Thiếu ngày! ","")&amp;IF(AND(OR(LEFT($F2888,3)="131",LEFT($G2888,3)="131",LEFT($F2888,3)="331",LEFT($G2888,3)="331"),$I2888=""),"Thiếu Mã ĐT! ","")&amp;IF(AND($I2888&lt;&gt;"",COUNTIF(DM_DT!$A$7:$A$306,$I2888)=0),"Mã ĐT chưa khai báo! ","")))</f>
        <v/>
      </c>
      <c r="M2888" s="117">
        <f>IF($H2888="","",IF(AND(OR(LEFT($F2888,3)="111",LEFT($F2888,3)="112",LEFT($F2888,3)="113"),OR(LEFT($G2888,3)="111",LEFT($G2888,3)="112",LEFT($G2888,3)="113")),"NB",IF(OR(LEFT($F2888,3)="111",LEFT($F2888,3)="112",LEFT($F2888,3)="113"),"THU",IF(OR(LEFT($G2888,3)="111",LEFT($G2888,3)="112",LEFT($G2888,3)="113"),"CHI",""))))</f>
        <v/>
      </c>
      <c r="N2888" s="117">
        <f>IF($M2888="THU",$G2888,IF($M2888="CHI",$F2888,""))</f>
        <v/>
      </c>
      <c r="O2888" s="117">
        <f>IF(OR($M2888="",$M2888="NB"),"",IF($J2888&lt;&gt;"",TEXT($J2888,"00"),IFERROR(VLOOKUP(LEFT($N2888,4),LCTT_MAP!$A$7:$C$66,IF($M2888="THU",2,3),FALSE()),IFERROR(VLOOKUP(LEFT($N2888,3),LCTT_MAP!$A$7:$C$66,IF($M2888="THU",2,3),FALSE()),IFERROR(VLOOKUP(LEFT($N2888,2),LCTT_MAP!$A$7:$C$66,IF($M2888="THU",2,3),FALSE()),IFERROR(VLOOKUP(LEFT($N2888,1),LCTT_MAP!$A$7:$C$66,IF($M2888="THU",2,3),FALSE()),IF($M2888="THU","06","07")))))))</f>
        <v/>
      </c>
      <c r="P2888" s="117">
        <f>P2887+IF(AND($H2888&lt;&gt;"",OR(LEFT($F2888,LEN(SC_TK))=SC_TK,LEFT($G2888,LEN(SC_TK))=SC_TK)),1,0)</f>
        <v/>
      </c>
    </row>
    <row r="2889" ht="15" customHeight="1" s="78">
      <c r="A2889" s="95">
        <f>IF($H2889="","",ROW()-6)</f>
        <v/>
      </c>
      <c r="B2889" s="114" t="n"/>
      <c r="C2889" s="102" t="n"/>
      <c r="D2889" s="114" t="n"/>
      <c r="E2889" s="103" t="n"/>
      <c r="F2889" s="102" t="n"/>
      <c r="G2889" s="102" t="n"/>
      <c r="H2889" s="115" t="n"/>
      <c r="I2889" s="102" t="n"/>
      <c r="J2889" s="102" t="n"/>
      <c r="K2889" s="103" t="n"/>
      <c r="L2889" s="116">
        <f>IF($H2889="","",TRIM(IF(COUNTIF(DMTK!$A$7:$A$250,$F2889)=0,"TK Nợ sai! ","")&amp;IF(COUNTIF(DMTK!$A$7:$A$250,$G2889)=0,"TK Có sai! ","")&amp;IF(N($H2889)&lt;=0,"Tiền phải &gt; 0! ","")&amp;IF($B2889="","Thiếu ngày! ","")&amp;IF(AND(OR(LEFT($F2889,3)="131",LEFT($G2889,3)="131",LEFT($F2889,3)="331",LEFT($G2889,3)="331"),$I2889=""),"Thiếu Mã ĐT! ","")&amp;IF(AND($I2889&lt;&gt;"",COUNTIF(DM_DT!$A$7:$A$306,$I2889)=0),"Mã ĐT chưa khai báo! ","")))</f>
        <v/>
      </c>
      <c r="M2889" s="117">
        <f>IF($H2889="","",IF(AND(OR(LEFT($F2889,3)="111",LEFT($F2889,3)="112",LEFT($F2889,3)="113"),OR(LEFT($G2889,3)="111",LEFT($G2889,3)="112",LEFT($G2889,3)="113")),"NB",IF(OR(LEFT($F2889,3)="111",LEFT($F2889,3)="112",LEFT($F2889,3)="113"),"THU",IF(OR(LEFT($G2889,3)="111",LEFT($G2889,3)="112",LEFT($G2889,3)="113"),"CHI",""))))</f>
        <v/>
      </c>
      <c r="N2889" s="117">
        <f>IF($M2889="THU",$G2889,IF($M2889="CHI",$F2889,""))</f>
        <v/>
      </c>
      <c r="O2889" s="117">
        <f>IF(OR($M2889="",$M2889="NB"),"",IF($J2889&lt;&gt;"",TEXT($J2889,"00"),IFERROR(VLOOKUP(LEFT($N2889,4),LCTT_MAP!$A$7:$C$66,IF($M2889="THU",2,3),FALSE()),IFERROR(VLOOKUP(LEFT($N2889,3),LCTT_MAP!$A$7:$C$66,IF($M2889="THU",2,3),FALSE()),IFERROR(VLOOKUP(LEFT($N2889,2),LCTT_MAP!$A$7:$C$66,IF($M2889="THU",2,3),FALSE()),IFERROR(VLOOKUP(LEFT($N2889,1),LCTT_MAP!$A$7:$C$66,IF($M2889="THU",2,3),FALSE()),IF($M2889="THU","06","07")))))))</f>
        <v/>
      </c>
      <c r="P2889" s="117">
        <f>P2888+IF(AND($H2889&lt;&gt;"",OR(LEFT($F2889,LEN(SC_TK))=SC_TK,LEFT($G2889,LEN(SC_TK))=SC_TK)),1,0)</f>
        <v/>
      </c>
    </row>
    <row r="2890" ht="15" customHeight="1" s="78">
      <c r="A2890" s="95">
        <f>IF($H2890="","",ROW()-6)</f>
        <v/>
      </c>
      <c r="B2890" s="114" t="n"/>
      <c r="C2890" s="102" t="n"/>
      <c r="D2890" s="114" t="n"/>
      <c r="E2890" s="103" t="n"/>
      <c r="F2890" s="102" t="n"/>
      <c r="G2890" s="102" t="n"/>
      <c r="H2890" s="115" t="n"/>
      <c r="I2890" s="102" t="n"/>
      <c r="J2890" s="102" t="n"/>
      <c r="K2890" s="103" t="n"/>
      <c r="L2890" s="116">
        <f>IF($H2890="","",TRIM(IF(COUNTIF(DMTK!$A$7:$A$250,$F2890)=0,"TK Nợ sai! ","")&amp;IF(COUNTIF(DMTK!$A$7:$A$250,$G2890)=0,"TK Có sai! ","")&amp;IF(N($H2890)&lt;=0,"Tiền phải &gt; 0! ","")&amp;IF($B2890="","Thiếu ngày! ","")&amp;IF(AND(OR(LEFT($F2890,3)="131",LEFT($G2890,3)="131",LEFT($F2890,3)="331",LEFT($G2890,3)="331"),$I2890=""),"Thiếu Mã ĐT! ","")&amp;IF(AND($I2890&lt;&gt;"",COUNTIF(DM_DT!$A$7:$A$306,$I2890)=0),"Mã ĐT chưa khai báo! ","")))</f>
        <v/>
      </c>
      <c r="M2890" s="117">
        <f>IF($H2890="","",IF(AND(OR(LEFT($F2890,3)="111",LEFT($F2890,3)="112",LEFT($F2890,3)="113"),OR(LEFT($G2890,3)="111",LEFT($G2890,3)="112",LEFT($G2890,3)="113")),"NB",IF(OR(LEFT($F2890,3)="111",LEFT($F2890,3)="112",LEFT($F2890,3)="113"),"THU",IF(OR(LEFT($G2890,3)="111",LEFT($G2890,3)="112",LEFT($G2890,3)="113"),"CHI",""))))</f>
        <v/>
      </c>
      <c r="N2890" s="117">
        <f>IF($M2890="THU",$G2890,IF($M2890="CHI",$F2890,""))</f>
        <v/>
      </c>
      <c r="O2890" s="117">
        <f>IF(OR($M2890="",$M2890="NB"),"",IF($J2890&lt;&gt;"",TEXT($J2890,"00"),IFERROR(VLOOKUP(LEFT($N2890,4),LCTT_MAP!$A$7:$C$66,IF($M2890="THU",2,3),FALSE()),IFERROR(VLOOKUP(LEFT($N2890,3),LCTT_MAP!$A$7:$C$66,IF($M2890="THU",2,3),FALSE()),IFERROR(VLOOKUP(LEFT($N2890,2),LCTT_MAP!$A$7:$C$66,IF($M2890="THU",2,3),FALSE()),IFERROR(VLOOKUP(LEFT($N2890,1),LCTT_MAP!$A$7:$C$66,IF($M2890="THU",2,3),FALSE()),IF($M2890="THU","06","07")))))))</f>
        <v/>
      </c>
      <c r="P2890" s="117">
        <f>P2889+IF(AND($H2890&lt;&gt;"",OR(LEFT($F2890,LEN(SC_TK))=SC_TK,LEFT($G2890,LEN(SC_TK))=SC_TK)),1,0)</f>
        <v/>
      </c>
    </row>
    <row r="2891" ht="15" customHeight="1" s="78">
      <c r="A2891" s="95">
        <f>IF($H2891="","",ROW()-6)</f>
        <v/>
      </c>
      <c r="B2891" s="114" t="n"/>
      <c r="C2891" s="102" t="n"/>
      <c r="D2891" s="114" t="n"/>
      <c r="E2891" s="103" t="n"/>
      <c r="F2891" s="102" t="n"/>
      <c r="G2891" s="102" t="n"/>
      <c r="H2891" s="115" t="n"/>
      <c r="I2891" s="102" t="n"/>
      <c r="J2891" s="102" t="n"/>
      <c r="K2891" s="103" t="n"/>
      <c r="L2891" s="116">
        <f>IF($H2891="","",TRIM(IF(COUNTIF(DMTK!$A$7:$A$250,$F2891)=0,"TK Nợ sai! ","")&amp;IF(COUNTIF(DMTK!$A$7:$A$250,$G2891)=0,"TK Có sai! ","")&amp;IF(N($H2891)&lt;=0,"Tiền phải &gt; 0! ","")&amp;IF($B2891="","Thiếu ngày! ","")&amp;IF(AND(OR(LEFT($F2891,3)="131",LEFT($G2891,3)="131",LEFT($F2891,3)="331",LEFT($G2891,3)="331"),$I2891=""),"Thiếu Mã ĐT! ","")&amp;IF(AND($I2891&lt;&gt;"",COUNTIF(DM_DT!$A$7:$A$306,$I2891)=0),"Mã ĐT chưa khai báo! ","")))</f>
        <v/>
      </c>
      <c r="M2891" s="117">
        <f>IF($H2891="","",IF(AND(OR(LEFT($F2891,3)="111",LEFT($F2891,3)="112",LEFT($F2891,3)="113"),OR(LEFT($G2891,3)="111",LEFT($G2891,3)="112",LEFT($G2891,3)="113")),"NB",IF(OR(LEFT($F2891,3)="111",LEFT($F2891,3)="112",LEFT($F2891,3)="113"),"THU",IF(OR(LEFT($G2891,3)="111",LEFT($G2891,3)="112",LEFT($G2891,3)="113"),"CHI",""))))</f>
        <v/>
      </c>
      <c r="N2891" s="117">
        <f>IF($M2891="THU",$G2891,IF($M2891="CHI",$F2891,""))</f>
        <v/>
      </c>
      <c r="O2891" s="117">
        <f>IF(OR($M2891="",$M2891="NB"),"",IF($J2891&lt;&gt;"",TEXT($J2891,"00"),IFERROR(VLOOKUP(LEFT($N2891,4),LCTT_MAP!$A$7:$C$66,IF($M2891="THU",2,3),FALSE()),IFERROR(VLOOKUP(LEFT($N2891,3),LCTT_MAP!$A$7:$C$66,IF($M2891="THU",2,3),FALSE()),IFERROR(VLOOKUP(LEFT($N2891,2),LCTT_MAP!$A$7:$C$66,IF($M2891="THU",2,3),FALSE()),IFERROR(VLOOKUP(LEFT($N2891,1),LCTT_MAP!$A$7:$C$66,IF($M2891="THU",2,3),FALSE()),IF($M2891="THU","06","07")))))))</f>
        <v/>
      </c>
      <c r="P2891" s="117">
        <f>P2890+IF(AND($H2891&lt;&gt;"",OR(LEFT($F2891,LEN(SC_TK))=SC_TK,LEFT($G2891,LEN(SC_TK))=SC_TK)),1,0)</f>
        <v/>
      </c>
    </row>
    <row r="2892" ht="15" customHeight="1" s="78">
      <c r="A2892" s="95">
        <f>IF($H2892="","",ROW()-6)</f>
        <v/>
      </c>
      <c r="B2892" s="114" t="n"/>
      <c r="C2892" s="102" t="n"/>
      <c r="D2892" s="114" t="n"/>
      <c r="E2892" s="103" t="n"/>
      <c r="F2892" s="102" t="n"/>
      <c r="G2892" s="102" t="n"/>
      <c r="H2892" s="115" t="n"/>
      <c r="I2892" s="102" t="n"/>
      <c r="J2892" s="102" t="n"/>
      <c r="K2892" s="103" t="n"/>
      <c r="L2892" s="116">
        <f>IF($H2892="","",TRIM(IF(COUNTIF(DMTK!$A$7:$A$250,$F2892)=0,"TK Nợ sai! ","")&amp;IF(COUNTIF(DMTK!$A$7:$A$250,$G2892)=0,"TK Có sai! ","")&amp;IF(N($H2892)&lt;=0,"Tiền phải &gt; 0! ","")&amp;IF($B2892="","Thiếu ngày! ","")&amp;IF(AND(OR(LEFT($F2892,3)="131",LEFT($G2892,3)="131",LEFT($F2892,3)="331",LEFT($G2892,3)="331"),$I2892=""),"Thiếu Mã ĐT! ","")&amp;IF(AND($I2892&lt;&gt;"",COUNTIF(DM_DT!$A$7:$A$306,$I2892)=0),"Mã ĐT chưa khai báo! ","")))</f>
        <v/>
      </c>
      <c r="M2892" s="117">
        <f>IF($H2892="","",IF(AND(OR(LEFT($F2892,3)="111",LEFT($F2892,3)="112",LEFT($F2892,3)="113"),OR(LEFT($G2892,3)="111",LEFT($G2892,3)="112",LEFT($G2892,3)="113")),"NB",IF(OR(LEFT($F2892,3)="111",LEFT($F2892,3)="112",LEFT($F2892,3)="113"),"THU",IF(OR(LEFT($G2892,3)="111",LEFT($G2892,3)="112",LEFT($G2892,3)="113"),"CHI",""))))</f>
        <v/>
      </c>
      <c r="N2892" s="117">
        <f>IF($M2892="THU",$G2892,IF($M2892="CHI",$F2892,""))</f>
        <v/>
      </c>
      <c r="O2892" s="117">
        <f>IF(OR($M2892="",$M2892="NB"),"",IF($J2892&lt;&gt;"",TEXT($J2892,"00"),IFERROR(VLOOKUP(LEFT($N2892,4),LCTT_MAP!$A$7:$C$66,IF($M2892="THU",2,3),FALSE()),IFERROR(VLOOKUP(LEFT($N2892,3),LCTT_MAP!$A$7:$C$66,IF($M2892="THU",2,3),FALSE()),IFERROR(VLOOKUP(LEFT($N2892,2),LCTT_MAP!$A$7:$C$66,IF($M2892="THU",2,3),FALSE()),IFERROR(VLOOKUP(LEFT($N2892,1),LCTT_MAP!$A$7:$C$66,IF($M2892="THU",2,3),FALSE()),IF($M2892="THU","06","07")))))))</f>
        <v/>
      </c>
      <c r="P2892" s="117">
        <f>P2891+IF(AND($H2892&lt;&gt;"",OR(LEFT($F2892,LEN(SC_TK))=SC_TK,LEFT($G2892,LEN(SC_TK))=SC_TK)),1,0)</f>
        <v/>
      </c>
    </row>
    <row r="2893" ht="15" customHeight="1" s="78">
      <c r="A2893" s="95">
        <f>IF($H2893="","",ROW()-6)</f>
        <v/>
      </c>
      <c r="B2893" s="114" t="n"/>
      <c r="C2893" s="102" t="n"/>
      <c r="D2893" s="114" t="n"/>
      <c r="E2893" s="103" t="n"/>
      <c r="F2893" s="102" t="n"/>
      <c r="G2893" s="102" t="n"/>
      <c r="H2893" s="115" t="n"/>
      <c r="I2893" s="102" t="n"/>
      <c r="J2893" s="102" t="n"/>
      <c r="K2893" s="103" t="n"/>
      <c r="L2893" s="116">
        <f>IF($H2893="","",TRIM(IF(COUNTIF(DMTK!$A$7:$A$250,$F2893)=0,"TK Nợ sai! ","")&amp;IF(COUNTIF(DMTK!$A$7:$A$250,$G2893)=0,"TK Có sai! ","")&amp;IF(N($H2893)&lt;=0,"Tiền phải &gt; 0! ","")&amp;IF($B2893="","Thiếu ngày! ","")&amp;IF(AND(OR(LEFT($F2893,3)="131",LEFT($G2893,3)="131",LEFT($F2893,3)="331",LEFT($G2893,3)="331"),$I2893=""),"Thiếu Mã ĐT! ","")&amp;IF(AND($I2893&lt;&gt;"",COUNTIF(DM_DT!$A$7:$A$306,$I2893)=0),"Mã ĐT chưa khai báo! ","")))</f>
        <v/>
      </c>
      <c r="M2893" s="117">
        <f>IF($H2893="","",IF(AND(OR(LEFT($F2893,3)="111",LEFT($F2893,3)="112",LEFT($F2893,3)="113"),OR(LEFT($G2893,3)="111",LEFT($G2893,3)="112",LEFT($G2893,3)="113")),"NB",IF(OR(LEFT($F2893,3)="111",LEFT($F2893,3)="112",LEFT($F2893,3)="113"),"THU",IF(OR(LEFT($G2893,3)="111",LEFT($G2893,3)="112",LEFT($G2893,3)="113"),"CHI",""))))</f>
        <v/>
      </c>
      <c r="N2893" s="117">
        <f>IF($M2893="THU",$G2893,IF($M2893="CHI",$F2893,""))</f>
        <v/>
      </c>
      <c r="O2893" s="117">
        <f>IF(OR($M2893="",$M2893="NB"),"",IF($J2893&lt;&gt;"",TEXT($J2893,"00"),IFERROR(VLOOKUP(LEFT($N2893,4),LCTT_MAP!$A$7:$C$66,IF($M2893="THU",2,3),FALSE()),IFERROR(VLOOKUP(LEFT($N2893,3),LCTT_MAP!$A$7:$C$66,IF($M2893="THU",2,3),FALSE()),IFERROR(VLOOKUP(LEFT($N2893,2),LCTT_MAP!$A$7:$C$66,IF($M2893="THU",2,3),FALSE()),IFERROR(VLOOKUP(LEFT($N2893,1),LCTT_MAP!$A$7:$C$66,IF($M2893="THU",2,3),FALSE()),IF($M2893="THU","06","07")))))))</f>
        <v/>
      </c>
      <c r="P2893" s="117">
        <f>P2892+IF(AND($H2893&lt;&gt;"",OR(LEFT($F2893,LEN(SC_TK))=SC_TK,LEFT($G2893,LEN(SC_TK))=SC_TK)),1,0)</f>
        <v/>
      </c>
    </row>
    <row r="2894" ht="15" customHeight="1" s="78">
      <c r="A2894" s="95">
        <f>IF($H2894="","",ROW()-6)</f>
        <v/>
      </c>
      <c r="B2894" s="114" t="n"/>
      <c r="C2894" s="102" t="n"/>
      <c r="D2894" s="114" t="n"/>
      <c r="E2894" s="103" t="n"/>
      <c r="F2894" s="102" t="n"/>
      <c r="G2894" s="102" t="n"/>
      <c r="H2894" s="115" t="n"/>
      <c r="I2894" s="102" t="n"/>
      <c r="J2894" s="102" t="n"/>
      <c r="K2894" s="103" t="n"/>
      <c r="L2894" s="116">
        <f>IF($H2894="","",TRIM(IF(COUNTIF(DMTK!$A$7:$A$250,$F2894)=0,"TK Nợ sai! ","")&amp;IF(COUNTIF(DMTK!$A$7:$A$250,$G2894)=0,"TK Có sai! ","")&amp;IF(N($H2894)&lt;=0,"Tiền phải &gt; 0! ","")&amp;IF($B2894="","Thiếu ngày! ","")&amp;IF(AND(OR(LEFT($F2894,3)="131",LEFT($G2894,3)="131",LEFT($F2894,3)="331",LEFT($G2894,3)="331"),$I2894=""),"Thiếu Mã ĐT! ","")&amp;IF(AND($I2894&lt;&gt;"",COUNTIF(DM_DT!$A$7:$A$306,$I2894)=0),"Mã ĐT chưa khai báo! ","")))</f>
        <v/>
      </c>
      <c r="M2894" s="117">
        <f>IF($H2894="","",IF(AND(OR(LEFT($F2894,3)="111",LEFT($F2894,3)="112",LEFT($F2894,3)="113"),OR(LEFT($G2894,3)="111",LEFT($G2894,3)="112",LEFT($G2894,3)="113")),"NB",IF(OR(LEFT($F2894,3)="111",LEFT($F2894,3)="112",LEFT($F2894,3)="113"),"THU",IF(OR(LEFT($G2894,3)="111",LEFT($G2894,3)="112",LEFT($G2894,3)="113"),"CHI",""))))</f>
        <v/>
      </c>
      <c r="N2894" s="117">
        <f>IF($M2894="THU",$G2894,IF($M2894="CHI",$F2894,""))</f>
        <v/>
      </c>
      <c r="O2894" s="117">
        <f>IF(OR($M2894="",$M2894="NB"),"",IF($J2894&lt;&gt;"",TEXT($J2894,"00"),IFERROR(VLOOKUP(LEFT($N2894,4),LCTT_MAP!$A$7:$C$66,IF($M2894="THU",2,3),FALSE()),IFERROR(VLOOKUP(LEFT($N2894,3),LCTT_MAP!$A$7:$C$66,IF($M2894="THU",2,3),FALSE()),IFERROR(VLOOKUP(LEFT($N2894,2),LCTT_MAP!$A$7:$C$66,IF($M2894="THU",2,3),FALSE()),IFERROR(VLOOKUP(LEFT($N2894,1),LCTT_MAP!$A$7:$C$66,IF($M2894="THU",2,3),FALSE()),IF($M2894="THU","06","07")))))))</f>
        <v/>
      </c>
      <c r="P2894" s="117">
        <f>P2893+IF(AND($H2894&lt;&gt;"",OR(LEFT($F2894,LEN(SC_TK))=SC_TK,LEFT($G2894,LEN(SC_TK))=SC_TK)),1,0)</f>
        <v/>
      </c>
    </row>
    <row r="2895" ht="15" customHeight="1" s="78">
      <c r="A2895" s="95">
        <f>IF($H2895="","",ROW()-6)</f>
        <v/>
      </c>
      <c r="B2895" s="114" t="n"/>
      <c r="C2895" s="102" t="n"/>
      <c r="D2895" s="114" t="n"/>
      <c r="E2895" s="103" t="n"/>
      <c r="F2895" s="102" t="n"/>
      <c r="G2895" s="102" t="n"/>
      <c r="H2895" s="115" t="n"/>
      <c r="I2895" s="102" t="n"/>
      <c r="J2895" s="102" t="n"/>
      <c r="K2895" s="103" t="n"/>
      <c r="L2895" s="116">
        <f>IF($H2895="","",TRIM(IF(COUNTIF(DMTK!$A$7:$A$250,$F2895)=0,"TK Nợ sai! ","")&amp;IF(COUNTIF(DMTK!$A$7:$A$250,$G2895)=0,"TK Có sai! ","")&amp;IF(N($H2895)&lt;=0,"Tiền phải &gt; 0! ","")&amp;IF($B2895="","Thiếu ngày! ","")&amp;IF(AND(OR(LEFT($F2895,3)="131",LEFT($G2895,3)="131",LEFT($F2895,3)="331",LEFT($G2895,3)="331"),$I2895=""),"Thiếu Mã ĐT! ","")&amp;IF(AND($I2895&lt;&gt;"",COUNTIF(DM_DT!$A$7:$A$306,$I2895)=0),"Mã ĐT chưa khai báo! ","")))</f>
        <v/>
      </c>
      <c r="M2895" s="117">
        <f>IF($H2895="","",IF(AND(OR(LEFT($F2895,3)="111",LEFT($F2895,3)="112",LEFT($F2895,3)="113"),OR(LEFT($G2895,3)="111",LEFT($G2895,3)="112",LEFT($G2895,3)="113")),"NB",IF(OR(LEFT($F2895,3)="111",LEFT($F2895,3)="112",LEFT($F2895,3)="113"),"THU",IF(OR(LEFT($G2895,3)="111",LEFT($G2895,3)="112",LEFT($G2895,3)="113"),"CHI",""))))</f>
        <v/>
      </c>
      <c r="N2895" s="117">
        <f>IF($M2895="THU",$G2895,IF($M2895="CHI",$F2895,""))</f>
        <v/>
      </c>
      <c r="O2895" s="117">
        <f>IF(OR($M2895="",$M2895="NB"),"",IF($J2895&lt;&gt;"",TEXT($J2895,"00"),IFERROR(VLOOKUP(LEFT($N2895,4),LCTT_MAP!$A$7:$C$66,IF($M2895="THU",2,3),FALSE()),IFERROR(VLOOKUP(LEFT($N2895,3),LCTT_MAP!$A$7:$C$66,IF($M2895="THU",2,3),FALSE()),IFERROR(VLOOKUP(LEFT($N2895,2),LCTT_MAP!$A$7:$C$66,IF($M2895="THU",2,3),FALSE()),IFERROR(VLOOKUP(LEFT($N2895,1),LCTT_MAP!$A$7:$C$66,IF($M2895="THU",2,3),FALSE()),IF($M2895="THU","06","07")))))))</f>
        <v/>
      </c>
      <c r="P2895" s="117">
        <f>P2894+IF(AND($H2895&lt;&gt;"",OR(LEFT($F2895,LEN(SC_TK))=SC_TK,LEFT($G2895,LEN(SC_TK))=SC_TK)),1,0)</f>
        <v/>
      </c>
    </row>
    <row r="2896" ht="15" customHeight="1" s="78">
      <c r="A2896" s="95">
        <f>IF($H2896="","",ROW()-6)</f>
        <v/>
      </c>
      <c r="B2896" s="114" t="n"/>
      <c r="C2896" s="102" t="n"/>
      <c r="D2896" s="114" t="n"/>
      <c r="E2896" s="103" t="n"/>
      <c r="F2896" s="102" t="n"/>
      <c r="G2896" s="102" t="n"/>
      <c r="H2896" s="115" t="n"/>
      <c r="I2896" s="102" t="n"/>
      <c r="J2896" s="102" t="n"/>
      <c r="K2896" s="103" t="n"/>
      <c r="L2896" s="116">
        <f>IF($H2896="","",TRIM(IF(COUNTIF(DMTK!$A$7:$A$250,$F2896)=0,"TK Nợ sai! ","")&amp;IF(COUNTIF(DMTK!$A$7:$A$250,$G2896)=0,"TK Có sai! ","")&amp;IF(N($H2896)&lt;=0,"Tiền phải &gt; 0! ","")&amp;IF($B2896="","Thiếu ngày! ","")&amp;IF(AND(OR(LEFT($F2896,3)="131",LEFT($G2896,3)="131",LEFT($F2896,3)="331",LEFT($G2896,3)="331"),$I2896=""),"Thiếu Mã ĐT! ","")&amp;IF(AND($I2896&lt;&gt;"",COUNTIF(DM_DT!$A$7:$A$306,$I2896)=0),"Mã ĐT chưa khai báo! ","")))</f>
        <v/>
      </c>
      <c r="M2896" s="117">
        <f>IF($H2896="","",IF(AND(OR(LEFT($F2896,3)="111",LEFT($F2896,3)="112",LEFT($F2896,3)="113"),OR(LEFT($G2896,3)="111",LEFT($G2896,3)="112",LEFT($G2896,3)="113")),"NB",IF(OR(LEFT($F2896,3)="111",LEFT($F2896,3)="112",LEFT($F2896,3)="113"),"THU",IF(OR(LEFT($G2896,3)="111",LEFT($G2896,3)="112",LEFT($G2896,3)="113"),"CHI",""))))</f>
        <v/>
      </c>
      <c r="N2896" s="117">
        <f>IF($M2896="THU",$G2896,IF($M2896="CHI",$F2896,""))</f>
        <v/>
      </c>
      <c r="O2896" s="117">
        <f>IF(OR($M2896="",$M2896="NB"),"",IF($J2896&lt;&gt;"",TEXT($J2896,"00"),IFERROR(VLOOKUP(LEFT($N2896,4),LCTT_MAP!$A$7:$C$66,IF($M2896="THU",2,3),FALSE()),IFERROR(VLOOKUP(LEFT($N2896,3),LCTT_MAP!$A$7:$C$66,IF($M2896="THU",2,3),FALSE()),IFERROR(VLOOKUP(LEFT($N2896,2),LCTT_MAP!$A$7:$C$66,IF($M2896="THU",2,3),FALSE()),IFERROR(VLOOKUP(LEFT($N2896,1),LCTT_MAP!$A$7:$C$66,IF($M2896="THU",2,3),FALSE()),IF($M2896="THU","06","07")))))))</f>
        <v/>
      </c>
      <c r="P2896" s="117">
        <f>P2895+IF(AND($H2896&lt;&gt;"",OR(LEFT($F2896,LEN(SC_TK))=SC_TK,LEFT($G2896,LEN(SC_TK))=SC_TK)),1,0)</f>
        <v/>
      </c>
    </row>
    <row r="2897" ht="15" customHeight="1" s="78">
      <c r="A2897" s="95">
        <f>IF($H2897="","",ROW()-6)</f>
        <v/>
      </c>
      <c r="B2897" s="114" t="n"/>
      <c r="C2897" s="102" t="n"/>
      <c r="D2897" s="114" t="n"/>
      <c r="E2897" s="103" t="n"/>
      <c r="F2897" s="102" t="n"/>
      <c r="G2897" s="102" t="n"/>
      <c r="H2897" s="115" t="n"/>
      <c r="I2897" s="102" t="n"/>
      <c r="J2897" s="102" t="n"/>
      <c r="K2897" s="103" t="n"/>
      <c r="L2897" s="116">
        <f>IF($H2897="","",TRIM(IF(COUNTIF(DMTK!$A$7:$A$250,$F2897)=0,"TK Nợ sai! ","")&amp;IF(COUNTIF(DMTK!$A$7:$A$250,$G2897)=0,"TK Có sai! ","")&amp;IF(N($H2897)&lt;=0,"Tiền phải &gt; 0! ","")&amp;IF($B2897="","Thiếu ngày! ","")&amp;IF(AND(OR(LEFT($F2897,3)="131",LEFT($G2897,3)="131",LEFT($F2897,3)="331",LEFT($G2897,3)="331"),$I2897=""),"Thiếu Mã ĐT! ","")&amp;IF(AND($I2897&lt;&gt;"",COUNTIF(DM_DT!$A$7:$A$306,$I2897)=0),"Mã ĐT chưa khai báo! ","")))</f>
        <v/>
      </c>
      <c r="M2897" s="117">
        <f>IF($H2897="","",IF(AND(OR(LEFT($F2897,3)="111",LEFT($F2897,3)="112",LEFT($F2897,3)="113"),OR(LEFT($G2897,3)="111",LEFT($G2897,3)="112",LEFT($G2897,3)="113")),"NB",IF(OR(LEFT($F2897,3)="111",LEFT($F2897,3)="112",LEFT($F2897,3)="113"),"THU",IF(OR(LEFT($G2897,3)="111",LEFT($G2897,3)="112",LEFT($G2897,3)="113"),"CHI",""))))</f>
        <v/>
      </c>
      <c r="N2897" s="117">
        <f>IF($M2897="THU",$G2897,IF($M2897="CHI",$F2897,""))</f>
        <v/>
      </c>
      <c r="O2897" s="117">
        <f>IF(OR($M2897="",$M2897="NB"),"",IF($J2897&lt;&gt;"",TEXT($J2897,"00"),IFERROR(VLOOKUP(LEFT($N2897,4),LCTT_MAP!$A$7:$C$66,IF($M2897="THU",2,3),FALSE()),IFERROR(VLOOKUP(LEFT($N2897,3),LCTT_MAP!$A$7:$C$66,IF($M2897="THU",2,3),FALSE()),IFERROR(VLOOKUP(LEFT($N2897,2),LCTT_MAP!$A$7:$C$66,IF($M2897="THU",2,3),FALSE()),IFERROR(VLOOKUP(LEFT($N2897,1),LCTT_MAP!$A$7:$C$66,IF($M2897="THU",2,3),FALSE()),IF($M2897="THU","06","07")))))))</f>
        <v/>
      </c>
      <c r="P2897" s="117">
        <f>P2896+IF(AND($H2897&lt;&gt;"",OR(LEFT($F2897,LEN(SC_TK))=SC_TK,LEFT($G2897,LEN(SC_TK))=SC_TK)),1,0)</f>
        <v/>
      </c>
    </row>
    <row r="2898" ht="15" customHeight="1" s="78">
      <c r="A2898" s="95">
        <f>IF($H2898="","",ROW()-6)</f>
        <v/>
      </c>
      <c r="B2898" s="114" t="n"/>
      <c r="C2898" s="102" t="n"/>
      <c r="D2898" s="114" t="n"/>
      <c r="E2898" s="103" t="n"/>
      <c r="F2898" s="102" t="n"/>
      <c r="G2898" s="102" t="n"/>
      <c r="H2898" s="115" t="n"/>
      <c r="I2898" s="102" t="n"/>
      <c r="J2898" s="102" t="n"/>
      <c r="K2898" s="103" t="n"/>
      <c r="L2898" s="116">
        <f>IF($H2898="","",TRIM(IF(COUNTIF(DMTK!$A$7:$A$250,$F2898)=0,"TK Nợ sai! ","")&amp;IF(COUNTIF(DMTK!$A$7:$A$250,$G2898)=0,"TK Có sai! ","")&amp;IF(N($H2898)&lt;=0,"Tiền phải &gt; 0! ","")&amp;IF($B2898="","Thiếu ngày! ","")&amp;IF(AND(OR(LEFT($F2898,3)="131",LEFT($G2898,3)="131",LEFT($F2898,3)="331",LEFT($G2898,3)="331"),$I2898=""),"Thiếu Mã ĐT! ","")&amp;IF(AND($I2898&lt;&gt;"",COUNTIF(DM_DT!$A$7:$A$306,$I2898)=0),"Mã ĐT chưa khai báo! ","")))</f>
        <v/>
      </c>
      <c r="M2898" s="117">
        <f>IF($H2898="","",IF(AND(OR(LEFT($F2898,3)="111",LEFT($F2898,3)="112",LEFT($F2898,3)="113"),OR(LEFT($G2898,3)="111",LEFT($G2898,3)="112",LEFT($G2898,3)="113")),"NB",IF(OR(LEFT($F2898,3)="111",LEFT($F2898,3)="112",LEFT($F2898,3)="113"),"THU",IF(OR(LEFT($G2898,3)="111",LEFT($G2898,3)="112",LEFT($G2898,3)="113"),"CHI",""))))</f>
        <v/>
      </c>
      <c r="N2898" s="117">
        <f>IF($M2898="THU",$G2898,IF($M2898="CHI",$F2898,""))</f>
        <v/>
      </c>
      <c r="O2898" s="117">
        <f>IF(OR($M2898="",$M2898="NB"),"",IF($J2898&lt;&gt;"",TEXT($J2898,"00"),IFERROR(VLOOKUP(LEFT($N2898,4),LCTT_MAP!$A$7:$C$66,IF($M2898="THU",2,3),FALSE()),IFERROR(VLOOKUP(LEFT($N2898,3),LCTT_MAP!$A$7:$C$66,IF($M2898="THU",2,3),FALSE()),IFERROR(VLOOKUP(LEFT($N2898,2),LCTT_MAP!$A$7:$C$66,IF($M2898="THU",2,3),FALSE()),IFERROR(VLOOKUP(LEFT($N2898,1),LCTT_MAP!$A$7:$C$66,IF($M2898="THU",2,3),FALSE()),IF($M2898="THU","06","07")))))))</f>
        <v/>
      </c>
      <c r="P2898" s="117">
        <f>P2897+IF(AND($H2898&lt;&gt;"",OR(LEFT($F2898,LEN(SC_TK))=SC_TK,LEFT($G2898,LEN(SC_TK))=SC_TK)),1,0)</f>
        <v/>
      </c>
    </row>
    <row r="2899" ht="15" customHeight="1" s="78">
      <c r="A2899" s="95">
        <f>IF($H2899="","",ROW()-6)</f>
        <v/>
      </c>
      <c r="B2899" s="114" t="n"/>
      <c r="C2899" s="102" t="n"/>
      <c r="D2899" s="114" t="n"/>
      <c r="E2899" s="103" t="n"/>
      <c r="F2899" s="102" t="n"/>
      <c r="G2899" s="102" t="n"/>
      <c r="H2899" s="115" t="n"/>
      <c r="I2899" s="102" t="n"/>
      <c r="J2899" s="102" t="n"/>
      <c r="K2899" s="103" t="n"/>
      <c r="L2899" s="116">
        <f>IF($H2899="","",TRIM(IF(COUNTIF(DMTK!$A$7:$A$250,$F2899)=0,"TK Nợ sai! ","")&amp;IF(COUNTIF(DMTK!$A$7:$A$250,$G2899)=0,"TK Có sai! ","")&amp;IF(N($H2899)&lt;=0,"Tiền phải &gt; 0! ","")&amp;IF($B2899="","Thiếu ngày! ","")&amp;IF(AND(OR(LEFT($F2899,3)="131",LEFT($G2899,3)="131",LEFT($F2899,3)="331",LEFT($G2899,3)="331"),$I2899=""),"Thiếu Mã ĐT! ","")&amp;IF(AND($I2899&lt;&gt;"",COUNTIF(DM_DT!$A$7:$A$306,$I2899)=0),"Mã ĐT chưa khai báo! ","")))</f>
        <v/>
      </c>
      <c r="M2899" s="117">
        <f>IF($H2899="","",IF(AND(OR(LEFT($F2899,3)="111",LEFT($F2899,3)="112",LEFT($F2899,3)="113"),OR(LEFT($G2899,3)="111",LEFT($G2899,3)="112",LEFT($G2899,3)="113")),"NB",IF(OR(LEFT($F2899,3)="111",LEFT($F2899,3)="112",LEFT($F2899,3)="113"),"THU",IF(OR(LEFT($G2899,3)="111",LEFT($G2899,3)="112",LEFT($G2899,3)="113"),"CHI",""))))</f>
        <v/>
      </c>
      <c r="N2899" s="117">
        <f>IF($M2899="THU",$G2899,IF($M2899="CHI",$F2899,""))</f>
        <v/>
      </c>
      <c r="O2899" s="117">
        <f>IF(OR($M2899="",$M2899="NB"),"",IF($J2899&lt;&gt;"",TEXT($J2899,"00"),IFERROR(VLOOKUP(LEFT($N2899,4),LCTT_MAP!$A$7:$C$66,IF($M2899="THU",2,3),FALSE()),IFERROR(VLOOKUP(LEFT($N2899,3),LCTT_MAP!$A$7:$C$66,IF($M2899="THU",2,3),FALSE()),IFERROR(VLOOKUP(LEFT($N2899,2),LCTT_MAP!$A$7:$C$66,IF($M2899="THU",2,3),FALSE()),IFERROR(VLOOKUP(LEFT($N2899,1),LCTT_MAP!$A$7:$C$66,IF($M2899="THU",2,3),FALSE()),IF($M2899="THU","06","07")))))))</f>
        <v/>
      </c>
      <c r="P2899" s="117">
        <f>P2898+IF(AND($H2899&lt;&gt;"",OR(LEFT($F2899,LEN(SC_TK))=SC_TK,LEFT($G2899,LEN(SC_TK))=SC_TK)),1,0)</f>
        <v/>
      </c>
    </row>
    <row r="2900" ht="15" customHeight="1" s="78">
      <c r="A2900" s="95">
        <f>IF($H2900="","",ROW()-6)</f>
        <v/>
      </c>
      <c r="B2900" s="114" t="n"/>
      <c r="C2900" s="102" t="n"/>
      <c r="D2900" s="114" t="n"/>
      <c r="E2900" s="103" t="n"/>
      <c r="F2900" s="102" t="n"/>
      <c r="G2900" s="102" t="n"/>
      <c r="H2900" s="115" t="n"/>
      <c r="I2900" s="102" t="n"/>
      <c r="J2900" s="102" t="n"/>
      <c r="K2900" s="103" t="n"/>
      <c r="L2900" s="116">
        <f>IF($H2900="","",TRIM(IF(COUNTIF(DMTK!$A$7:$A$250,$F2900)=0,"TK Nợ sai! ","")&amp;IF(COUNTIF(DMTK!$A$7:$A$250,$G2900)=0,"TK Có sai! ","")&amp;IF(N($H2900)&lt;=0,"Tiền phải &gt; 0! ","")&amp;IF($B2900="","Thiếu ngày! ","")&amp;IF(AND(OR(LEFT($F2900,3)="131",LEFT($G2900,3)="131",LEFT($F2900,3)="331",LEFT($G2900,3)="331"),$I2900=""),"Thiếu Mã ĐT! ","")&amp;IF(AND($I2900&lt;&gt;"",COUNTIF(DM_DT!$A$7:$A$306,$I2900)=0),"Mã ĐT chưa khai báo! ","")))</f>
        <v/>
      </c>
      <c r="M2900" s="117">
        <f>IF($H2900="","",IF(AND(OR(LEFT($F2900,3)="111",LEFT($F2900,3)="112",LEFT($F2900,3)="113"),OR(LEFT($G2900,3)="111",LEFT($G2900,3)="112",LEFT($G2900,3)="113")),"NB",IF(OR(LEFT($F2900,3)="111",LEFT($F2900,3)="112",LEFT($F2900,3)="113"),"THU",IF(OR(LEFT($G2900,3)="111",LEFT($G2900,3)="112",LEFT($G2900,3)="113"),"CHI",""))))</f>
        <v/>
      </c>
      <c r="N2900" s="117">
        <f>IF($M2900="THU",$G2900,IF($M2900="CHI",$F2900,""))</f>
        <v/>
      </c>
      <c r="O2900" s="117">
        <f>IF(OR($M2900="",$M2900="NB"),"",IF($J2900&lt;&gt;"",TEXT($J2900,"00"),IFERROR(VLOOKUP(LEFT($N2900,4),LCTT_MAP!$A$7:$C$66,IF($M2900="THU",2,3),FALSE()),IFERROR(VLOOKUP(LEFT($N2900,3),LCTT_MAP!$A$7:$C$66,IF($M2900="THU",2,3),FALSE()),IFERROR(VLOOKUP(LEFT($N2900,2),LCTT_MAP!$A$7:$C$66,IF($M2900="THU",2,3),FALSE()),IFERROR(VLOOKUP(LEFT($N2900,1),LCTT_MAP!$A$7:$C$66,IF($M2900="THU",2,3),FALSE()),IF($M2900="THU","06","07")))))))</f>
        <v/>
      </c>
      <c r="P2900" s="117">
        <f>P2899+IF(AND($H2900&lt;&gt;"",OR(LEFT($F2900,LEN(SC_TK))=SC_TK,LEFT($G2900,LEN(SC_TK))=SC_TK)),1,0)</f>
        <v/>
      </c>
    </row>
    <row r="2901" ht="15" customHeight="1" s="78">
      <c r="A2901" s="95">
        <f>IF($H2901="","",ROW()-6)</f>
        <v/>
      </c>
      <c r="B2901" s="114" t="n"/>
      <c r="C2901" s="102" t="n"/>
      <c r="D2901" s="114" t="n"/>
      <c r="E2901" s="103" t="n"/>
      <c r="F2901" s="102" t="n"/>
      <c r="G2901" s="102" t="n"/>
      <c r="H2901" s="115" t="n"/>
      <c r="I2901" s="102" t="n"/>
      <c r="J2901" s="102" t="n"/>
      <c r="K2901" s="103" t="n"/>
      <c r="L2901" s="116">
        <f>IF($H2901="","",TRIM(IF(COUNTIF(DMTK!$A$7:$A$250,$F2901)=0,"TK Nợ sai! ","")&amp;IF(COUNTIF(DMTK!$A$7:$A$250,$G2901)=0,"TK Có sai! ","")&amp;IF(N($H2901)&lt;=0,"Tiền phải &gt; 0! ","")&amp;IF($B2901="","Thiếu ngày! ","")&amp;IF(AND(OR(LEFT($F2901,3)="131",LEFT($G2901,3)="131",LEFT($F2901,3)="331",LEFT($G2901,3)="331"),$I2901=""),"Thiếu Mã ĐT! ","")&amp;IF(AND($I2901&lt;&gt;"",COUNTIF(DM_DT!$A$7:$A$306,$I2901)=0),"Mã ĐT chưa khai báo! ","")))</f>
        <v/>
      </c>
      <c r="M2901" s="117">
        <f>IF($H2901="","",IF(AND(OR(LEFT($F2901,3)="111",LEFT($F2901,3)="112",LEFT($F2901,3)="113"),OR(LEFT($G2901,3)="111",LEFT($G2901,3)="112",LEFT($G2901,3)="113")),"NB",IF(OR(LEFT($F2901,3)="111",LEFT($F2901,3)="112",LEFT($F2901,3)="113"),"THU",IF(OR(LEFT($G2901,3)="111",LEFT($G2901,3)="112",LEFT($G2901,3)="113"),"CHI",""))))</f>
        <v/>
      </c>
      <c r="N2901" s="117">
        <f>IF($M2901="THU",$G2901,IF($M2901="CHI",$F2901,""))</f>
        <v/>
      </c>
      <c r="O2901" s="117">
        <f>IF(OR($M2901="",$M2901="NB"),"",IF($J2901&lt;&gt;"",TEXT($J2901,"00"),IFERROR(VLOOKUP(LEFT($N2901,4),LCTT_MAP!$A$7:$C$66,IF($M2901="THU",2,3),FALSE()),IFERROR(VLOOKUP(LEFT($N2901,3),LCTT_MAP!$A$7:$C$66,IF($M2901="THU",2,3),FALSE()),IFERROR(VLOOKUP(LEFT($N2901,2),LCTT_MAP!$A$7:$C$66,IF($M2901="THU",2,3),FALSE()),IFERROR(VLOOKUP(LEFT($N2901,1),LCTT_MAP!$A$7:$C$66,IF($M2901="THU",2,3),FALSE()),IF($M2901="THU","06","07")))))))</f>
        <v/>
      </c>
      <c r="P2901" s="117">
        <f>P2900+IF(AND($H2901&lt;&gt;"",OR(LEFT($F2901,LEN(SC_TK))=SC_TK,LEFT($G2901,LEN(SC_TK))=SC_TK)),1,0)</f>
        <v/>
      </c>
    </row>
    <row r="2902" ht="15" customHeight="1" s="78">
      <c r="A2902" s="95">
        <f>IF($H2902="","",ROW()-6)</f>
        <v/>
      </c>
      <c r="B2902" s="114" t="n"/>
      <c r="C2902" s="102" t="n"/>
      <c r="D2902" s="114" t="n"/>
      <c r="E2902" s="103" t="n"/>
      <c r="F2902" s="102" t="n"/>
      <c r="G2902" s="102" t="n"/>
      <c r="H2902" s="115" t="n"/>
      <c r="I2902" s="102" t="n"/>
      <c r="J2902" s="102" t="n"/>
      <c r="K2902" s="103" t="n"/>
      <c r="L2902" s="116">
        <f>IF($H2902="","",TRIM(IF(COUNTIF(DMTK!$A$7:$A$250,$F2902)=0,"TK Nợ sai! ","")&amp;IF(COUNTIF(DMTK!$A$7:$A$250,$G2902)=0,"TK Có sai! ","")&amp;IF(N($H2902)&lt;=0,"Tiền phải &gt; 0! ","")&amp;IF($B2902="","Thiếu ngày! ","")&amp;IF(AND(OR(LEFT($F2902,3)="131",LEFT($G2902,3)="131",LEFT($F2902,3)="331",LEFT($G2902,3)="331"),$I2902=""),"Thiếu Mã ĐT! ","")&amp;IF(AND($I2902&lt;&gt;"",COUNTIF(DM_DT!$A$7:$A$306,$I2902)=0),"Mã ĐT chưa khai báo! ","")))</f>
        <v/>
      </c>
      <c r="M2902" s="117">
        <f>IF($H2902="","",IF(AND(OR(LEFT($F2902,3)="111",LEFT($F2902,3)="112",LEFT($F2902,3)="113"),OR(LEFT($G2902,3)="111",LEFT($G2902,3)="112",LEFT($G2902,3)="113")),"NB",IF(OR(LEFT($F2902,3)="111",LEFT($F2902,3)="112",LEFT($F2902,3)="113"),"THU",IF(OR(LEFT($G2902,3)="111",LEFT($G2902,3)="112",LEFT($G2902,3)="113"),"CHI",""))))</f>
        <v/>
      </c>
      <c r="N2902" s="117">
        <f>IF($M2902="THU",$G2902,IF($M2902="CHI",$F2902,""))</f>
        <v/>
      </c>
      <c r="O2902" s="117">
        <f>IF(OR($M2902="",$M2902="NB"),"",IF($J2902&lt;&gt;"",TEXT($J2902,"00"),IFERROR(VLOOKUP(LEFT($N2902,4),LCTT_MAP!$A$7:$C$66,IF($M2902="THU",2,3),FALSE()),IFERROR(VLOOKUP(LEFT($N2902,3),LCTT_MAP!$A$7:$C$66,IF($M2902="THU",2,3),FALSE()),IFERROR(VLOOKUP(LEFT($N2902,2),LCTT_MAP!$A$7:$C$66,IF($M2902="THU",2,3),FALSE()),IFERROR(VLOOKUP(LEFT($N2902,1),LCTT_MAP!$A$7:$C$66,IF($M2902="THU",2,3),FALSE()),IF($M2902="THU","06","07")))))))</f>
        <v/>
      </c>
      <c r="P2902" s="117">
        <f>P2901+IF(AND($H2902&lt;&gt;"",OR(LEFT($F2902,LEN(SC_TK))=SC_TK,LEFT($G2902,LEN(SC_TK))=SC_TK)),1,0)</f>
        <v/>
      </c>
    </row>
    <row r="2903" ht="15" customHeight="1" s="78">
      <c r="A2903" s="95">
        <f>IF($H2903="","",ROW()-6)</f>
        <v/>
      </c>
      <c r="B2903" s="114" t="n"/>
      <c r="C2903" s="102" t="n"/>
      <c r="D2903" s="114" t="n"/>
      <c r="E2903" s="103" t="n"/>
      <c r="F2903" s="102" t="n"/>
      <c r="G2903" s="102" t="n"/>
      <c r="H2903" s="115" t="n"/>
      <c r="I2903" s="102" t="n"/>
      <c r="J2903" s="102" t="n"/>
      <c r="K2903" s="103" t="n"/>
      <c r="L2903" s="116">
        <f>IF($H2903="","",TRIM(IF(COUNTIF(DMTK!$A$7:$A$250,$F2903)=0,"TK Nợ sai! ","")&amp;IF(COUNTIF(DMTK!$A$7:$A$250,$G2903)=0,"TK Có sai! ","")&amp;IF(N($H2903)&lt;=0,"Tiền phải &gt; 0! ","")&amp;IF($B2903="","Thiếu ngày! ","")&amp;IF(AND(OR(LEFT($F2903,3)="131",LEFT($G2903,3)="131",LEFT($F2903,3)="331",LEFT($G2903,3)="331"),$I2903=""),"Thiếu Mã ĐT! ","")&amp;IF(AND($I2903&lt;&gt;"",COUNTIF(DM_DT!$A$7:$A$306,$I2903)=0),"Mã ĐT chưa khai báo! ","")))</f>
        <v/>
      </c>
      <c r="M2903" s="117">
        <f>IF($H2903="","",IF(AND(OR(LEFT($F2903,3)="111",LEFT($F2903,3)="112",LEFT($F2903,3)="113"),OR(LEFT($G2903,3)="111",LEFT($G2903,3)="112",LEFT($G2903,3)="113")),"NB",IF(OR(LEFT($F2903,3)="111",LEFT($F2903,3)="112",LEFT($F2903,3)="113"),"THU",IF(OR(LEFT($G2903,3)="111",LEFT($G2903,3)="112",LEFT($G2903,3)="113"),"CHI",""))))</f>
        <v/>
      </c>
      <c r="N2903" s="117">
        <f>IF($M2903="THU",$G2903,IF($M2903="CHI",$F2903,""))</f>
        <v/>
      </c>
      <c r="O2903" s="117">
        <f>IF(OR($M2903="",$M2903="NB"),"",IF($J2903&lt;&gt;"",TEXT($J2903,"00"),IFERROR(VLOOKUP(LEFT($N2903,4),LCTT_MAP!$A$7:$C$66,IF($M2903="THU",2,3),FALSE()),IFERROR(VLOOKUP(LEFT($N2903,3),LCTT_MAP!$A$7:$C$66,IF($M2903="THU",2,3),FALSE()),IFERROR(VLOOKUP(LEFT($N2903,2),LCTT_MAP!$A$7:$C$66,IF($M2903="THU",2,3),FALSE()),IFERROR(VLOOKUP(LEFT($N2903,1),LCTT_MAP!$A$7:$C$66,IF($M2903="THU",2,3),FALSE()),IF($M2903="THU","06","07")))))))</f>
        <v/>
      </c>
      <c r="P2903" s="117">
        <f>P2902+IF(AND($H2903&lt;&gt;"",OR(LEFT($F2903,LEN(SC_TK))=SC_TK,LEFT($G2903,LEN(SC_TK))=SC_TK)),1,0)</f>
        <v/>
      </c>
    </row>
    <row r="2904" ht="15" customHeight="1" s="78">
      <c r="A2904" s="95">
        <f>IF($H2904="","",ROW()-6)</f>
        <v/>
      </c>
      <c r="B2904" s="114" t="n"/>
      <c r="C2904" s="102" t="n"/>
      <c r="D2904" s="114" t="n"/>
      <c r="E2904" s="103" t="n"/>
      <c r="F2904" s="102" t="n"/>
      <c r="G2904" s="102" t="n"/>
      <c r="H2904" s="115" t="n"/>
      <c r="I2904" s="102" t="n"/>
      <c r="J2904" s="102" t="n"/>
      <c r="K2904" s="103" t="n"/>
      <c r="L2904" s="116">
        <f>IF($H2904="","",TRIM(IF(COUNTIF(DMTK!$A$7:$A$250,$F2904)=0,"TK Nợ sai! ","")&amp;IF(COUNTIF(DMTK!$A$7:$A$250,$G2904)=0,"TK Có sai! ","")&amp;IF(N($H2904)&lt;=0,"Tiền phải &gt; 0! ","")&amp;IF($B2904="","Thiếu ngày! ","")&amp;IF(AND(OR(LEFT($F2904,3)="131",LEFT($G2904,3)="131",LEFT($F2904,3)="331",LEFT($G2904,3)="331"),$I2904=""),"Thiếu Mã ĐT! ","")&amp;IF(AND($I2904&lt;&gt;"",COUNTIF(DM_DT!$A$7:$A$306,$I2904)=0),"Mã ĐT chưa khai báo! ","")))</f>
        <v/>
      </c>
      <c r="M2904" s="117">
        <f>IF($H2904="","",IF(AND(OR(LEFT($F2904,3)="111",LEFT($F2904,3)="112",LEFT($F2904,3)="113"),OR(LEFT($G2904,3)="111",LEFT($G2904,3)="112",LEFT($G2904,3)="113")),"NB",IF(OR(LEFT($F2904,3)="111",LEFT($F2904,3)="112",LEFT($F2904,3)="113"),"THU",IF(OR(LEFT($G2904,3)="111",LEFT($G2904,3)="112",LEFT($G2904,3)="113"),"CHI",""))))</f>
        <v/>
      </c>
      <c r="N2904" s="117">
        <f>IF($M2904="THU",$G2904,IF($M2904="CHI",$F2904,""))</f>
        <v/>
      </c>
      <c r="O2904" s="117">
        <f>IF(OR($M2904="",$M2904="NB"),"",IF($J2904&lt;&gt;"",TEXT($J2904,"00"),IFERROR(VLOOKUP(LEFT($N2904,4),LCTT_MAP!$A$7:$C$66,IF($M2904="THU",2,3),FALSE()),IFERROR(VLOOKUP(LEFT($N2904,3),LCTT_MAP!$A$7:$C$66,IF($M2904="THU",2,3),FALSE()),IFERROR(VLOOKUP(LEFT($N2904,2),LCTT_MAP!$A$7:$C$66,IF($M2904="THU",2,3),FALSE()),IFERROR(VLOOKUP(LEFT($N2904,1),LCTT_MAP!$A$7:$C$66,IF($M2904="THU",2,3),FALSE()),IF($M2904="THU","06","07")))))))</f>
        <v/>
      </c>
      <c r="P2904" s="117">
        <f>P2903+IF(AND($H2904&lt;&gt;"",OR(LEFT($F2904,LEN(SC_TK))=SC_TK,LEFT($G2904,LEN(SC_TK))=SC_TK)),1,0)</f>
        <v/>
      </c>
    </row>
    <row r="2905" ht="15" customHeight="1" s="78">
      <c r="A2905" s="95">
        <f>IF($H2905="","",ROW()-6)</f>
        <v/>
      </c>
      <c r="B2905" s="114" t="n"/>
      <c r="C2905" s="102" t="n"/>
      <c r="D2905" s="114" t="n"/>
      <c r="E2905" s="103" t="n"/>
      <c r="F2905" s="102" t="n"/>
      <c r="G2905" s="102" t="n"/>
      <c r="H2905" s="115" t="n"/>
      <c r="I2905" s="102" t="n"/>
      <c r="J2905" s="102" t="n"/>
      <c r="K2905" s="103" t="n"/>
      <c r="L2905" s="116">
        <f>IF($H2905="","",TRIM(IF(COUNTIF(DMTK!$A$7:$A$250,$F2905)=0,"TK Nợ sai! ","")&amp;IF(COUNTIF(DMTK!$A$7:$A$250,$G2905)=0,"TK Có sai! ","")&amp;IF(N($H2905)&lt;=0,"Tiền phải &gt; 0! ","")&amp;IF($B2905="","Thiếu ngày! ","")&amp;IF(AND(OR(LEFT($F2905,3)="131",LEFT($G2905,3)="131",LEFT($F2905,3)="331",LEFT($G2905,3)="331"),$I2905=""),"Thiếu Mã ĐT! ","")&amp;IF(AND($I2905&lt;&gt;"",COUNTIF(DM_DT!$A$7:$A$306,$I2905)=0),"Mã ĐT chưa khai báo! ","")))</f>
        <v/>
      </c>
      <c r="M2905" s="117">
        <f>IF($H2905="","",IF(AND(OR(LEFT($F2905,3)="111",LEFT($F2905,3)="112",LEFT($F2905,3)="113"),OR(LEFT($G2905,3)="111",LEFT($G2905,3)="112",LEFT($G2905,3)="113")),"NB",IF(OR(LEFT($F2905,3)="111",LEFT($F2905,3)="112",LEFT($F2905,3)="113"),"THU",IF(OR(LEFT($G2905,3)="111",LEFT($G2905,3)="112",LEFT($G2905,3)="113"),"CHI",""))))</f>
        <v/>
      </c>
      <c r="N2905" s="117">
        <f>IF($M2905="THU",$G2905,IF($M2905="CHI",$F2905,""))</f>
        <v/>
      </c>
      <c r="O2905" s="117">
        <f>IF(OR($M2905="",$M2905="NB"),"",IF($J2905&lt;&gt;"",TEXT($J2905,"00"),IFERROR(VLOOKUP(LEFT($N2905,4),LCTT_MAP!$A$7:$C$66,IF($M2905="THU",2,3),FALSE()),IFERROR(VLOOKUP(LEFT($N2905,3),LCTT_MAP!$A$7:$C$66,IF($M2905="THU",2,3),FALSE()),IFERROR(VLOOKUP(LEFT($N2905,2),LCTT_MAP!$A$7:$C$66,IF($M2905="THU",2,3),FALSE()),IFERROR(VLOOKUP(LEFT($N2905,1),LCTT_MAP!$A$7:$C$66,IF($M2905="THU",2,3),FALSE()),IF($M2905="THU","06","07")))))))</f>
        <v/>
      </c>
      <c r="P2905" s="117">
        <f>P2904+IF(AND($H2905&lt;&gt;"",OR(LEFT($F2905,LEN(SC_TK))=SC_TK,LEFT($G2905,LEN(SC_TK))=SC_TK)),1,0)</f>
        <v/>
      </c>
    </row>
    <row r="2906" ht="15" customHeight="1" s="78">
      <c r="A2906" s="95">
        <f>IF($H2906="","",ROW()-6)</f>
        <v/>
      </c>
      <c r="B2906" s="114" t="n"/>
      <c r="C2906" s="102" t="n"/>
      <c r="D2906" s="114" t="n"/>
      <c r="E2906" s="103" t="n"/>
      <c r="F2906" s="102" t="n"/>
      <c r="G2906" s="102" t="n"/>
      <c r="H2906" s="115" t="n"/>
      <c r="I2906" s="102" t="n"/>
      <c r="J2906" s="102" t="n"/>
      <c r="K2906" s="103" t="n"/>
      <c r="L2906" s="116">
        <f>IF($H2906="","",TRIM(IF(COUNTIF(DMTK!$A$7:$A$250,$F2906)=0,"TK Nợ sai! ","")&amp;IF(COUNTIF(DMTK!$A$7:$A$250,$G2906)=0,"TK Có sai! ","")&amp;IF(N($H2906)&lt;=0,"Tiền phải &gt; 0! ","")&amp;IF($B2906="","Thiếu ngày! ","")&amp;IF(AND(OR(LEFT($F2906,3)="131",LEFT($G2906,3)="131",LEFT($F2906,3)="331",LEFT($G2906,3)="331"),$I2906=""),"Thiếu Mã ĐT! ","")&amp;IF(AND($I2906&lt;&gt;"",COUNTIF(DM_DT!$A$7:$A$306,$I2906)=0),"Mã ĐT chưa khai báo! ","")))</f>
        <v/>
      </c>
      <c r="M2906" s="117">
        <f>IF($H2906="","",IF(AND(OR(LEFT($F2906,3)="111",LEFT($F2906,3)="112",LEFT($F2906,3)="113"),OR(LEFT($G2906,3)="111",LEFT($G2906,3)="112",LEFT($G2906,3)="113")),"NB",IF(OR(LEFT($F2906,3)="111",LEFT($F2906,3)="112",LEFT($F2906,3)="113"),"THU",IF(OR(LEFT($G2906,3)="111",LEFT($G2906,3)="112",LEFT($G2906,3)="113"),"CHI",""))))</f>
        <v/>
      </c>
      <c r="N2906" s="117">
        <f>IF($M2906="THU",$G2906,IF($M2906="CHI",$F2906,""))</f>
        <v/>
      </c>
      <c r="O2906" s="117">
        <f>IF(OR($M2906="",$M2906="NB"),"",IF($J2906&lt;&gt;"",TEXT($J2906,"00"),IFERROR(VLOOKUP(LEFT($N2906,4),LCTT_MAP!$A$7:$C$66,IF($M2906="THU",2,3),FALSE()),IFERROR(VLOOKUP(LEFT($N2906,3),LCTT_MAP!$A$7:$C$66,IF($M2906="THU",2,3),FALSE()),IFERROR(VLOOKUP(LEFT($N2906,2),LCTT_MAP!$A$7:$C$66,IF($M2906="THU",2,3),FALSE()),IFERROR(VLOOKUP(LEFT($N2906,1),LCTT_MAP!$A$7:$C$66,IF($M2906="THU",2,3),FALSE()),IF($M2906="THU","06","07")))))))</f>
        <v/>
      </c>
      <c r="P2906" s="117">
        <f>P2905+IF(AND($H2906&lt;&gt;"",OR(LEFT($F2906,LEN(SC_TK))=SC_TK,LEFT($G2906,LEN(SC_TK))=SC_TK)),1,0)</f>
        <v/>
      </c>
    </row>
    <row r="2907" ht="15" customHeight="1" s="78">
      <c r="A2907" s="95">
        <f>IF($H2907="","",ROW()-6)</f>
        <v/>
      </c>
      <c r="B2907" s="114" t="n"/>
      <c r="C2907" s="102" t="n"/>
      <c r="D2907" s="114" t="n"/>
      <c r="E2907" s="103" t="n"/>
      <c r="F2907" s="102" t="n"/>
      <c r="G2907" s="102" t="n"/>
      <c r="H2907" s="115" t="n"/>
      <c r="I2907" s="102" t="n"/>
      <c r="J2907" s="102" t="n"/>
      <c r="K2907" s="103" t="n"/>
      <c r="L2907" s="116">
        <f>IF($H2907="","",TRIM(IF(COUNTIF(DMTK!$A$7:$A$250,$F2907)=0,"TK Nợ sai! ","")&amp;IF(COUNTIF(DMTK!$A$7:$A$250,$G2907)=0,"TK Có sai! ","")&amp;IF(N($H2907)&lt;=0,"Tiền phải &gt; 0! ","")&amp;IF($B2907="","Thiếu ngày! ","")&amp;IF(AND(OR(LEFT($F2907,3)="131",LEFT($G2907,3)="131",LEFT($F2907,3)="331",LEFT($G2907,3)="331"),$I2907=""),"Thiếu Mã ĐT! ","")&amp;IF(AND($I2907&lt;&gt;"",COUNTIF(DM_DT!$A$7:$A$306,$I2907)=0),"Mã ĐT chưa khai báo! ","")))</f>
        <v/>
      </c>
      <c r="M2907" s="117">
        <f>IF($H2907="","",IF(AND(OR(LEFT($F2907,3)="111",LEFT($F2907,3)="112",LEFT($F2907,3)="113"),OR(LEFT($G2907,3)="111",LEFT($G2907,3)="112",LEFT($G2907,3)="113")),"NB",IF(OR(LEFT($F2907,3)="111",LEFT($F2907,3)="112",LEFT($F2907,3)="113"),"THU",IF(OR(LEFT($G2907,3)="111",LEFT($G2907,3)="112",LEFT($G2907,3)="113"),"CHI",""))))</f>
        <v/>
      </c>
      <c r="N2907" s="117">
        <f>IF($M2907="THU",$G2907,IF($M2907="CHI",$F2907,""))</f>
        <v/>
      </c>
      <c r="O2907" s="117">
        <f>IF(OR($M2907="",$M2907="NB"),"",IF($J2907&lt;&gt;"",TEXT($J2907,"00"),IFERROR(VLOOKUP(LEFT($N2907,4),LCTT_MAP!$A$7:$C$66,IF($M2907="THU",2,3),FALSE()),IFERROR(VLOOKUP(LEFT($N2907,3),LCTT_MAP!$A$7:$C$66,IF($M2907="THU",2,3),FALSE()),IFERROR(VLOOKUP(LEFT($N2907,2),LCTT_MAP!$A$7:$C$66,IF($M2907="THU",2,3),FALSE()),IFERROR(VLOOKUP(LEFT($N2907,1),LCTT_MAP!$A$7:$C$66,IF($M2907="THU",2,3),FALSE()),IF($M2907="THU","06","07")))))))</f>
        <v/>
      </c>
      <c r="P2907" s="117">
        <f>P2906+IF(AND($H2907&lt;&gt;"",OR(LEFT($F2907,LEN(SC_TK))=SC_TK,LEFT($G2907,LEN(SC_TK))=SC_TK)),1,0)</f>
        <v/>
      </c>
    </row>
    <row r="2908" ht="15" customHeight="1" s="78">
      <c r="A2908" s="95">
        <f>IF($H2908="","",ROW()-6)</f>
        <v/>
      </c>
      <c r="B2908" s="114" t="n"/>
      <c r="C2908" s="102" t="n"/>
      <c r="D2908" s="114" t="n"/>
      <c r="E2908" s="103" t="n"/>
      <c r="F2908" s="102" t="n"/>
      <c r="G2908" s="102" t="n"/>
      <c r="H2908" s="115" t="n"/>
      <c r="I2908" s="102" t="n"/>
      <c r="J2908" s="102" t="n"/>
      <c r="K2908" s="103" t="n"/>
      <c r="L2908" s="116">
        <f>IF($H2908="","",TRIM(IF(COUNTIF(DMTK!$A$7:$A$250,$F2908)=0,"TK Nợ sai! ","")&amp;IF(COUNTIF(DMTK!$A$7:$A$250,$G2908)=0,"TK Có sai! ","")&amp;IF(N($H2908)&lt;=0,"Tiền phải &gt; 0! ","")&amp;IF($B2908="","Thiếu ngày! ","")&amp;IF(AND(OR(LEFT($F2908,3)="131",LEFT($G2908,3)="131",LEFT($F2908,3)="331",LEFT($G2908,3)="331"),$I2908=""),"Thiếu Mã ĐT! ","")&amp;IF(AND($I2908&lt;&gt;"",COUNTIF(DM_DT!$A$7:$A$306,$I2908)=0),"Mã ĐT chưa khai báo! ","")))</f>
        <v/>
      </c>
      <c r="M2908" s="117">
        <f>IF($H2908="","",IF(AND(OR(LEFT($F2908,3)="111",LEFT($F2908,3)="112",LEFT($F2908,3)="113"),OR(LEFT($G2908,3)="111",LEFT($G2908,3)="112",LEFT($G2908,3)="113")),"NB",IF(OR(LEFT($F2908,3)="111",LEFT($F2908,3)="112",LEFT($F2908,3)="113"),"THU",IF(OR(LEFT($G2908,3)="111",LEFT($G2908,3)="112",LEFT($G2908,3)="113"),"CHI",""))))</f>
        <v/>
      </c>
      <c r="N2908" s="117">
        <f>IF($M2908="THU",$G2908,IF($M2908="CHI",$F2908,""))</f>
        <v/>
      </c>
      <c r="O2908" s="117">
        <f>IF(OR($M2908="",$M2908="NB"),"",IF($J2908&lt;&gt;"",TEXT($J2908,"00"),IFERROR(VLOOKUP(LEFT($N2908,4),LCTT_MAP!$A$7:$C$66,IF($M2908="THU",2,3),FALSE()),IFERROR(VLOOKUP(LEFT($N2908,3),LCTT_MAP!$A$7:$C$66,IF($M2908="THU",2,3),FALSE()),IFERROR(VLOOKUP(LEFT($N2908,2),LCTT_MAP!$A$7:$C$66,IF($M2908="THU",2,3),FALSE()),IFERROR(VLOOKUP(LEFT($N2908,1),LCTT_MAP!$A$7:$C$66,IF($M2908="THU",2,3),FALSE()),IF($M2908="THU","06","07")))))))</f>
        <v/>
      </c>
      <c r="P2908" s="117">
        <f>P2907+IF(AND($H2908&lt;&gt;"",OR(LEFT($F2908,LEN(SC_TK))=SC_TK,LEFT($G2908,LEN(SC_TK))=SC_TK)),1,0)</f>
        <v/>
      </c>
    </row>
    <row r="2909" ht="15" customHeight="1" s="78">
      <c r="A2909" s="95">
        <f>IF($H2909="","",ROW()-6)</f>
        <v/>
      </c>
      <c r="B2909" s="114" t="n"/>
      <c r="C2909" s="102" t="n"/>
      <c r="D2909" s="114" t="n"/>
      <c r="E2909" s="103" t="n"/>
      <c r="F2909" s="102" t="n"/>
      <c r="G2909" s="102" t="n"/>
      <c r="H2909" s="115" t="n"/>
      <c r="I2909" s="102" t="n"/>
      <c r="J2909" s="102" t="n"/>
      <c r="K2909" s="103" t="n"/>
      <c r="L2909" s="116">
        <f>IF($H2909="","",TRIM(IF(COUNTIF(DMTK!$A$7:$A$250,$F2909)=0,"TK Nợ sai! ","")&amp;IF(COUNTIF(DMTK!$A$7:$A$250,$G2909)=0,"TK Có sai! ","")&amp;IF(N($H2909)&lt;=0,"Tiền phải &gt; 0! ","")&amp;IF($B2909="","Thiếu ngày! ","")&amp;IF(AND(OR(LEFT($F2909,3)="131",LEFT($G2909,3)="131",LEFT($F2909,3)="331",LEFT($G2909,3)="331"),$I2909=""),"Thiếu Mã ĐT! ","")&amp;IF(AND($I2909&lt;&gt;"",COUNTIF(DM_DT!$A$7:$A$306,$I2909)=0),"Mã ĐT chưa khai báo! ","")))</f>
        <v/>
      </c>
      <c r="M2909" s="117">
        <f>IF($H2909="","",IF(AND(OR(LEFT($F2909,3)="111",LEFT($F2909,3)="112",LEFT($F2909,3)="113"),OR(LEFT($G2909,3)="111",LEFT($G2909,3)="112",LEFT($G2909,3)="113")),"NB",IF(OR(LEFT($F2909,3)="111",LEFT($F2909,3)="112",LEFT($F2909,3)="113"),"THU",IF(OR(LEFT($G2909,3)="111",LEFT($G2909,3)="112",LEFT($G2909,3)="113"),"CHI",""))))</f>
        <v/>
      </c>
      <c r="N2909" s="117">
        <f>IF($M2909="THU",$G2909,IF($M2909="CHI",$F2909,""))</f>
        <v/>
      </c>
      <c r="O2909" s="117">
        <f>IF(OR($M2909="",$M2909="NB"),"",IF($J2909&lt;&gt;"",TEXT($J2909,"00"),IFERROR(VLOOKUP(LEFT($N2909,4),LCTT_MAP!$A$7:$C$66,IF($M2909="THU",2,3),FALSE()),IFERROR(VLOOKUP(LEFT($N2909,3),LCTT_MAP!$A$7:$C$66,IF($M2909="THU",2,3),FALSE()),IFERROR(VLOOKUP(LEFT($N2909,2),LCTT_MAP!$A$7:$C$66,IF($M2909="THU",2,3),FALSE()),IFERROR(VLOOKUP(LEFT($N2909,1),LCTT_MAP!$A$7:$C$66,IF($M2909="THU",2,3),FALSE()),IF($M2909="THU","06","07")))))))</f>
        <v/>
      </c>
      <c r="P2909" s="117">
        <f>P2908+IF(AND($H2909&lt;&gt;"",OR(LEFT($F2909,LEN(SC_TK))=SC_TK,LEFT($G2909,LEN(SC_TK))=SC_TK)),1,0)</f>
        <v/>
      </c>
    </row>
    <row r="2910" ht="15" customHeight="1" s="78">
      <c r="A2910" s="95">
        <f>IF($H2910="","",ROW()-6)</f>
        <v/>
      </c>
      <c r="B2910" s="114" t="n"/>
      <c r="C2910" s="102" t="n"/>
      <c r="D2910" s="114" t="n"/>
      <c r="E2910" s="103" t="n"/>
      <c r="F2910" s="102" t="n"/>
      <c r="G2910" s="102" t="n"/>
      <c r="H2910" s="115" t="n"/>
      <c r="I2910" s="102" t="n"/>
      <c r="J2910" s="102" t="n"/>
      <c r="K2910" s="103" t="n"/>
      <c r="L2910" s="116">
        <f>IF($H2910="","",TRIM(IF(COUNTIF(DMTK!$A$7:$A$250,$F2910)=0,"TK Nợ sai! ","")&amp;IF(COUNTIF(DMTK!$A$7:$A$250,$G2910)=0,"TK Có sai! ","")&amp;IF(N($H2910)&lt;=0,"Tiền phải &gt; 0! ","")&amp;IF($B2910="","Thiếu ngày! ","")&amp;IF(AND(OR(LEFT($F2910,3)="131",LEFT($G2910,3)="131",LEFT($F2910,3)="331",LEFT($G2910,3)="331"),$I2910=""),"Thiếu Mã ĐT! ","")&amp;IF(AND($I2910&lt;&gt;"",COUNTIF(DM_DT!$A$7:$A$306,$I2910)=0),"Mã ĐT chưa khai báo! ","")))</f>
        <v/>
      </c>
      <c r="M2910" s="117">
        <f>IF($H2910="","",IF(AND(OR(LEFT($F2910,3)="111",LEFT($F2910,3)="112",LEFT($F2910,3)="113"),OR(LEFT($G2910,3)="111",LEFT($G2910,3)="112",LEFT($G2910,3)="113")),"NB",IF(OR(LEFT($F2910,3)="111",LEFT($F2910,3)="112",LEFT($F2910,3)="113"),"THU",IF(OR(LEFT($G2910,3)="111",LEFT($G2910,3)="112",LEFT($G2910,3)="113"),"CHI",""))))</f>
        <v/>
      </c>
      <c r="N2910" s="117">
        <f>IF($M2910="THU",$G2910,IF($M2910="CHI",$F2910,""))</f>
        <v/>
      </c>
      <c r="O2910" s="117">
        <f>IF(OR($M2910="",$M2910="NB"),"",IF($J2910&lt;&gt;"",TEXT($J2910,"00"),IFERROR(VLOOKUP(LEFT($N2910,4),LCTT_MAP!$A$7:$C$66,IF($M2910="THU",2,3),FALSE()),IFERROR(VLOOKUP(LEFT($N2910,3),LCTT_MAP!$A$7:$C$66,IF($M2910="THU",2,3),FALSE()),IFERROR(VLOOKUP(LEFT($N2910,2),LCTT_MAP!$A$7:$C$66,IF($M2910="THU",2,3),FALSE()),IFERROR(VLOOKUP(LEFT($N2910,1),LCTT_MAP!$A$7:$C$66,IF($M2910="THU",2,3),FALSE()),IF($M2910="THU","06","07")))))))</f>
        <v/>
      </c>
      <c r="P2910" s="117">
        <f>P2909+IF(AND($H2910&lt;&gt;"",OR(LEFT($F2910,LEN(SC_TK))=SC_TK,LEFT($G2910,LEN(SC_TK))=SC_TK)),1,0)</f>
        <v/>
      </c>
    </row>
    <row r="2911" ht="15" customHeight="1" s="78">
      <c r="A2911" s="95">
        <f>IF($H2911="","",ROW()-6)</f>
        <v/>
      </c>
      <c r="B2911" s="114" t="n"/>
      <c r="C2911" s="102" t="n"/>
      <c r="D2911" s="114" t="n"/>
      <c r="E2911" s="103" t="n"/>
      <c r="F2911" s="102" t="n"/>
      <c r="G2911" s="102" t="n"/>
      <c r="H2911" s="115" t="n"/>
      <c r="I2911" s="102" t="n"/>
      <c r="J2911" s="102" t="n"/>
      <c r="K2911" s="103" t="n"/>
      <c r="L2911" s="116">
        <f>IF($H2911="","",TRIM(IF(COUNTIF(DMTK!$A$7:$A$250,$F2911)=0,"TK Nợ sai! ","")&amp;IF(COUNTIF(DMTK!$A$7:$A$250,$G2911)=0,"TK Có sai! ","")&amp;IF(N($H2911)&lt;=0,"Tiền phải &gt; 0! ","")&amp;IF($B2911="","Thiếu ngày! ","")&amp;IF(AND(OR(LEFT($F2911,3)="131",LEFT($G2911,3)="131",LEFT($F2911,3)="331",LEFT($G2911,3)="331"),$I2911=""),"Thiếu Mã ĐT! ","")&amp;IF(AND($I2911&lt;&gt;"",COUNTIF(DM_DT!$A$7:$A$306,$I2911)=0),"Mã ĐT chưa khai báo! ","")))</f>
        <v/>
      </c>
      <c r="M2911" s="117">
        <f>IF($H2911="","",IF(AND(OR(LEFT($F2911,3)="111",LEFT($F2911,3)="112",LEFT($F2911,3)="113"),OR(LEFT($G2911,3)="111",LEFT($G2911,3)="112",LEFT($G2911,3)="113")),"NB",IF(OR(LEFT($F2911,3)="111",LEFT($F2911,3)="112",LEFT($F2911,3)="113"),"THU",IF(OR(LEFT($G2911,3)="111",LEFT($G2911,3)="112",LEFT($G2911,3)="113"),"CHI",""))))</f>
        <v/>
      </c>
      <c r="N2911" s="117">
        <f>IF($M2911="THU",$G2911,IF($M2911="CHI",$F2911,""))</f>
        <v/>
      </c>
      <c r="O2911" s="117">
        <f>IF(OR($M2911="",$M2911="NB"),"",IF($J2911&lt;&gt;"",TEXT($J2911,"00"),IFERROR(VLOOKUP(LEFT($N2911,4),LCTT_MAP!$A$7:$C$66,IF($M2911="THU",2,3),FALSE()),IFERROR(VLOOKUP(LEFT($N2911,3),LCTT_MAP!$A$7:$C$66,IF($M2911="THU",2,3),FALSE()),IFERROR(VLOOKUP(LEFT($N2911,2),LCTT_MAP!$A$7:$C$66,IF($M2911="THU",2,3),FALSE()),IFERROR(VLOOKUP(LEFT($N2911,1),LCTT_MAP!$A$7:$C$66,IF($M2911="THU",2,3),FALSE()),IF($M2911="THU","06","07")))))))</f>
        <v/>
      </c>
      <c r="P2911" s="117">
        <f>P2910+IF(AND($H2911&lt;&gt;"",OR(LEFT($F2911,LEN(SC_TK))=SC_TK,LEFT($G2911,LEN(SC_TK))=SC_TK)),1,0)</f>
        <v/>
      </c>
    </row>
    <row r="2912" ht="15" customHeight="1" s="78">
      <c r="A2912" s="95">
        <f>IF($H2912="","",ROW()-6)</f>
        <v/>
      </c>
      <c r="B2912" s="114" t="n"/>
      <c r="C2912" s="102" t="n"/>
      <c r="D2912" s="114" t="n"/>
      <c r="E2912" s="103" t="n"/>
      <c r="F2912" s="102" t="n"/>
      <c r="G2912" s="102" t="n"/>
      <c r="H2912" s="115" t="n"/>
      <c r="I2912" s="102" t="n"/>
      <c r="J2912" s="102" t="n"/>
      <c r="K2912" s="103" t="n"/>
      <c r="L2912" s="116">
        <f>IF($H2912="","",TRIM(IF(COUNTIF(DMTK!$A$7:$A$250,$F2912)=0,"TK Nợ sai! ","")&amp;IF(COUNTIF(DMTK!$A$7:$A$250,$G2912)=0,"TK Có sai! ","")&amp;IF(N($H2912)&lt;=0,"Tiền phải &gt; 0! ","")&amp;IF($B2912="","Thiếu ngày! ","")&amp;IF(AND(OR(LEFT($F2912,3)="131",LEFT($G2912,3)="131",LEFT($F2912,3)="331",LEFT($G2912,3)="331"),$I2912=""),"Thiếu Mã ĐT! ","")&amp;IF(AND($I2912&lt;&gt;"",COUNTIF(DM_DT!$A$7:$A$306,$I2912)=0),"Mã ĐT chưa khai báo! ","")))</f>
        <v/>
      </c>
      <c r="M2912" s="117">
        <f>IF($H2912="","",IF(AND(OR(LEFT($F2912,3)="111",LEFT($F2912,3)="112",LEFT($F2912,3)="113"),OR(LEFT($G2912,3)="111",LEFT($G2912,3)="112",LEFT($G2912,3)="113")),"NB",IF(OR(LEFT($F2912,3)="111",LEFT($F2912,3)="112",LEFT($F2912,3)="113"),"THU",IF(OR(LEFT($G2912,3)="111",LEFT($G2912,3)="112",LEFT($G2912,3)="113"),"CHI",""))))</f>
        <v/>
      </c>
      <c r="N2912" s="117">
        <f>IF($M2912="THU",$G2912,IF($M2912="CHI",$F2912,""))</f>
        <v/>
      </c>
      <c r="O2912" s="117">
        <f>IF(OR($M2912="",$M2912="NB"),"",IF($J2912&lt;&gt;"",TEXT($J2912,"00"),IFERROR(VLOOKUP(LEFT($N2912,4),LCTT_MAP!$A$7:$C$66,IF($M2912="THU",2,3),FALSE()),IFERROR(VLOOKUP(LEFT($N2912,3),LCTT_MAP!$A$7:$C$66,IF($M2912="THU",2,3),FALSE()),IFERROR(VLOOKUP(LEFT($N2912,2),LCTT_MAP!$A$7:$C$66,IF($M2912="THU",2,3),FALSE()),IFERROR(VLOOKUP(LEFT($N2912,1),LCTT_MAP!$A$7:$C$66,IF($M2912="THU",2,3),FALSE()),IF($M2912="THU","06","07")))))))</f>
        <v/>
      </c>
      <c r="P2912" s="117">
        <f>P2911+IF(AND($H2912&lt;&gt;"",OR(LEFT($F2912,LEN(SC_TK))=SC_TK,LEFT($G2912,LEN(SC_TK))=SC_TK)),1,0)</f>
        <v/>
      </c>
    </row>
    <row r="2913" ht="15" customHeight="1" s="78">
      <c r="A2913" s="95">
        <f>IF($H2913="","",ROW()-6)</f>
        <v/>
      </c>
      <c r="B2913" s="114" t="n"/>
      <c r="C2913" s="102" t="n"/>
      <c r="D2913" s="114" t="n"/>
      <c r="E2913" s="103" t="n"/>
      <c r="F2913" s="102" t="n"/>
      <c r="G2913" s="102" t="n"/>
      <c r="H2913" s="115" t="n"/>
      <c r="I2913" s="102" t="n"/>
      <c r="J2913" s="102" t="n"/>
      <c r="K2913" s="103" t="n"/>
      <c r="L2913" s="116">
        <f>IF($H2913="","",TRIM(IF(COUNTIF(DMTK!$A$7:$A$250,$F2913)=0,"TK Nợ sai! ","")&amp;IF(COUNTIF(DMTK!$A$7:$A$250,$G2913)=0,"TK Có sai! ","")&amp;IF(N($H2913)&lt;=0,"Tiền phải &gt; 0! ","")&amp;IF($B2913="","Thiếu ngày! ","")&amp;IF(AND(OR(LEFT($F2913,3)="131",LEFT($G2913,3)="131",LEFT($F2913,3)="331",LEFT($G2913,3)="331"),$I2913=""),"Thiếu Mã ĐT! ","")&amp;IF(AND($I2913&lt;&gt;"",COUNTIF(DM_DT!$A$7:$A$306,$I2913)=0),"Mã ĐT chưa khai báo! ","")))</f>
        <v/>
      </c>
      <c r="M2913" s="117">
        <f>IF($H2913="","",IF(AND(OR(LEFT($F2913,3)="111",LEFT($F2913,3)="112",LEFT($F2913,3)="113"),OR(LEFT($G2913,3)="111",LEFT($G2913,3)="112",LEFT($G2913,3)="113")),"NB",IF(OR(LEFT($F2913,3)="111",LEFT($F2913,3)="112",LEFT($F2913,3)="113"),"THU",IF(OR(LEFT($G2913,3)="111",LEFT($G2913,3)="112",LEFT($G2913,3)="113"),"CHI",""))))</f>
        <v/>
      </c>
      <c r="N2913" s="117">
        <f>IF($M2913="THU",$G2913,IF($M2913="CHI",$F2913,""))</f>
        <v/>
      </c>
      <c r="O2913" s="117">
        <f>IF(OR($M2913="",$M2913="NB"),"",IF($J2913&lt;&gt;"",TEXT($J2913,"00"),IFERROR(VLOOKUP(LEFT($N2913,4),LCTT_MAP!$A$7:$C$66,IF($M2913="THU",2,3),FALSE()),IFERROR(VLOOKUP(LEFT($N2913,3),LCTT_MAP!$A$7:$C$66,IF($M2913="THU",2,3),FALSE()),IFERROR(VLOOKUP(LEFT($N2913,2),LCTT_MAP!$A$7:$C$66,IF($M2913="THU",2,3),FALSE()),IFERROR(VLOOKUP(LEFT($N2913,1),LCTT_MAP!$A$7:$C$66,IF($M2913="THU",2,3),FALSE()),IF($M2913="THU","06","07")))))))</f>
        <v/>
      </c>
      <c r="P2913" s="117">
        <f>P2912+IF(AND($H2913&lt;&gt;"",OR(LEFT($F2913,LEN(SC_TK))=SC_TK,LEFT($G2913,LEN(SC_TK))=SC_TK)),1,0)</f>
        <v/>
      </c>
    </row>
    <row r="2914" ht="15" customHeight="1" s="78">
      <c r="A2914" s="95">
        <f>IF($H2914="","",ROW()-6)</f>
        <v/>
      </c>
      <c r="B2914" s="114" t="n"/>
      <c r="C2914" s="102" t="n"/>
      <c r="D2914" s="114" t="n"/>
      <c r="E2914" s="103" t="n"/>
      <c r="F2914" s="102" t="n"/>
      <c r="G2914" s="102" t="n"/>
      <c r="H2914" s="115" t="n"/>
      <c r="I2914" s="102" t="n"/>
      <c r="J2914" s="102" t="n"/>
      <c r="K2914" s="103" t="n"/>
      <c r="L2914" s="116">
        <f>IF($H2914="","",TRIM(IF(COUNTIF(DMTK!$A$7:$A$250,$F2914)=0,"TK Nợ sai! ","")&amp;IF(COUNTIF(DMTK!$A$7:$A$250,$G2914)=0,"TK Có sai! ","")&amp;IF(N($H2914)&lt;=0,"Tiền phải &gt; 0! ","")&amp;IF($B2914="","Thiếu ngày! ","")&amp;IF(AND(OR(LEFT($F2914,3)="131",LEFT($G2914,3)="131",LEFT($F2914,3)="331",LEFT($G2914,3)="331"),$I2914=""),"Thiếu Mã ĐT! ","")&amp;IF(AND($I2914&lt;&gt;"",COUNTIF(DM_DT!$A$7:$A$306,$I2914)=0),"Mã ĐT chưa khai báo! ","")))</f>
        <v/>
      </c>
      <c r="M2914" s="117">
        <f>IF($H2914="","",IF(AND(OR(LEFT($F2914,3)="111",LEFT($F2914,3)="112",LEFT($F2914,3)="113"),OR(LEFT($G2914,3)="111",LEFT($G2914,3)="112",LEFT($G2914,3)="113")),"NB",IF(OR(LEFT($F2914,3)="111",LEFT($F2914,3)="112",LEFT($F2914,3)="113"),"THU",IF(OR(LEFT($G2914,3)="111",LEFT($G2914,3)="112",LEFT($G2914,3)="113"),"CHI",""))))</f>
        <v/>
      </c>
      <c r="N2914" s="117">
        <f>IF($M2914="THU",$G2914,IF($M2914="CHI",$F2914,""))</f>
        <v/>
      </c>
      <c r="O2914" s="117">
        <f>IF(OR($M2914="",$M2914="NB"),"",IF($J2914&lt;&gt;"",TEXT($J2914,"00"),IFERROR(VLOOKUP(LEFT($N2914,4),LCTT_MAP!$A$7:$C$66,IF($M2914="THU",2,3),FALSE()),IFERROR(VLOOKUP(LEFT($N2914,3),LCTT_MAP!$A$7:$C$66,IF($M2914="THU",2,3),FALSE()),IFERROR(VLOOKUP(LEFT($N2914,2),LCTT_MAP!$A$7:$C$66,IF($M2914="THU",2,3),FALSE()),IFERROR(VLOOKUP(LEFT($N2914,1),LCTT_MAP!$A$7:$C$66,IF($M2914="THU",2,3),FALSE()),IF($M2914="THU","06","07")))))))</f>
        <v/>
      </c>
      <c r="P2914" s="117">
        <f>P2913+IF(AND($H2914&lt;&gt;"",OR(LEFT($F2914,LEN(SC_TK))=SC_TK,LEFT($G2914,LEN(SC_TK))=SC_TK)),1,0)</f>
        <v/>
      </c>
    </row>
    <row r="2915" ht="15" customHeight="1" s="78">
      <c r="A2915" s="95">
        <f>IF($H2915="","",ROW()-6)</f>
        <v/>
      </c>
      <c r="B2915" s="114" t="n"/>
      <c r="C2915" s="102" t="n"/>
      <c r="D2915" s="114" t="n"/>
      <c r="E2915" s="103" t="n"/>
      <c r="F2915" s="102" t="n"/>
      <c r="G2915" s="102" t="n"/>
      <c r="H2915" s="115" t="n"/>
      <c r="I2915" s="102" t="n"/>
      <c r="J2915" s="102" t="n"/>
      <c r="K2915" s="103" t="n"/>
      <c r="L2915" s="116">
        <f>IF($H2915="","",TRIM(IF(COUNTIF(DMTK!$A$7:$A$250,$F2915)=0,"TK Nợ sai! ","")&amp;IF(COUNTIF(DMTK!$A$7:$A$250,$G2915)=0,"TK Có sai! ","")&amp;IF(N($H2915)&lt;=0,"Tiền phải &gt; 0! ","")&amp;IF($B2915="","Thiếu ngày! ","")&amp;IF(AND(OR(LEFT($F2915,3)="131",LEFT($G2915,3)="131",LEFT($F2915,3)="331",LEFT($G2915,3)="331"),$I2915=""),"Thiếu Mã ĐT! ","")&amp;IF(AND($I2915&lt;&gt;"",COUNTIF(DM_DT!$A$7:$A$306,$I2915)=0),"Mã ĐT chưa khai báo! ","")))</f>
        <v/>
      </c>
      <c r="M2915" s="117">
        <f>IF($H2915="","",IF(AND(OR(LEFT($F2915,3)="111",LEFT($F2915,3)="112",LEFT($F2915,3)="113"),OR(LEFT($G2915,3)="111",LEFT($G2915,3)="112",LEFT($G2915,3)="113")),"NB",IF(OR(LEFT($F2915,3)="111",LEFT($F2915,3)="112",LEFT($F2915,3)="113"),"THU",IF(OR(LEFT($G2915,3)="111",LEFT($G2915,3)="112",LEFT($G2915,3)="113"),"CHI",""))))</f>
        <v/>
      </c>
      <c r="N2915" s="117">
        <f>IF($M2915="THU",$G2915,IF($M2915="CHI",$F2915,""))</f>
        <v/>
      </c>
      <c r="O2915" s="117">
        <f>IF(OR($M2915="",$M2915="NB"),"",IF($J2915&lt;&gt;"",TEXT($J2915,"00"),IFERROR(VLOOKUP(LEFT($N2915,4),LCTT_MAP!$A$7:$C$66,IF($M2915="THU",2,3),FALSE()),IFERROR(VLOOKUP(LEFT($N2915,3),LCTT_MAP!$A$7:$C$66,IF($M2915="THU",2,3),FALSE()),IFERROR(VLOOKUP(LEFT($N2915,2),LCTT_MAP!$A$7:$C$66,IF($M2915="THU",2,3),FALSE()),IFERROR(VLOOKUP(LEFT($N2915,1),LCTT_MAP!$A$7:$C$66,IF($M2915="THU",2,3),FALSE()),IF($M2915="THU","06","07")))))))</f>
        <v/>
      </c>
      <c r="P2915" s="117">
        <f>P2914+IF(AND($H2915&lt;&gt;"",OR(LEFT($F2915,LEN(SC_TK))=SC_TK,LEFT($G2915,LEN(SC_TK))=SC_TK)),1,0)</f>
        <v/>
      </c>
    </row>
    <row r="2916" ht="15" customHeight="1" s="78">
      <c r="A2916" s="95">
        <f>IF($H2916="","",ROW()-6)</f>
        <v/>
      </c>
      <c r="B2916" s="114" t="n"/>
      <c r="C2916" s="102" t="n"/>
      <c r="D2916" s="114" t="n"/>
      <c r="E2916" s="103" t="n"/>
      <c r="F2916" s="102" t="n"/>
      <c r="G2916" s="102" t="n"/>
      <c r="H2916" s="115" t="n"/>
      <c r="I2916" s="102" t="n"/>
      <c r="J2916" s="102" t="n"/>
      <c r="K2916" s="103" t="n"/>
      <c r="L2916" s="116">
        <f>IF($H2916="","",TRIM(IF(COUNTIF(DMTK!$A$7:$A$250,$F2916)=0,"TK Nợ sai! ","")&amp;IF(COUNTIF(DMTK!$A$7:$A$250,$G2916)=0,"TK Có sai! ","")&amp;IF(N($H2916)&lt;=0,"Tiền phải &gt; 0! ","")&amp;IF($B2916="","Thiếu ngày! ","")&amp;IF(AND(OR(LEFT($F2916,3)="131",LEFT($G2916,3)="131",LEFT($F2916,3)="331",LEFT($G2916,3)="331"),$I2916=""),"Thiếu Mã ĐT! ","")&amp;IF(AND($I2916&lt;&gt;"",COUNTIF(DM_DT!$A$7:$A$306,$I2916)=0),"Mã ĐT chưa khai báo! ","")))</f>
        <v/>
      </c>
      <c r="M2916" s="117">
        <f>IF($H2916="","",IF(AND(OR(LEFT($F2916,3)="111",LEFT($F2916,3)="112",LEFT($F2916,3)="113"),OR(LEFT($G2916,3)="111",LEFT($G2916,3)="112",LEFT($G2916,3)="113")),"NB",IF(OR(LEFT($F2916,3)="111",LEFT($F2916,3)="112",LEFT($F2916,3)="113"),"THU",IF(OR(LEFT($G2916,3)="111",LEFT($G2916,3)="112",LEFT($G2916,3)="113"),"CHI",""))))</f>
        <v/>
      </c>
      <c r="N2916" s="117">
        <f>IF($M2916="THU",$G2916,IF($M2916="CHI",$F2916,""))</f>
        <v/>
      </c>
      <c r="O2916" s="117">
        <f>IF(OR($M2916="",$M2916="NB"),"",IF($J2916&lt;&gt;"",TEXT($J2916,"00"),IFERROR(VLOOKUP(LEFT($N2916,4),LCTT_MAP!$A$7:$C$66,IF($M2916="THU",2,3),FALSE()),IFERROR(VLOOKUP(LEFT($N2916,3),LCTT_MAP!$A$7:$C$66,IF($M2916="THU",2,3),FALSE()),IFERROR(VLOOKUP(LEFT($N2916,2),LCTT_MAP!$A$7:$C$66,IF($M2916="THU",2,3),FALSE()),IFERROR(VLOOKUP(LEFT($N2916,1),LCTT_MAP!$A$7:$C$66,IF($M2916="THU",2,3),FALSE()),IF($M2916="THU","06","07")))))))</f>
        <v/>
      </c>
      <c r="P2916" s="117">
        <f>P2915+IF(AND($H2916&lt;&gt;"",OR(LEFT($F2916,LEN(SC_TK))=SC_TK,LEFT($G2916,LEN(SC_TK))=SC_TK)),1,0)</f>
        <v/>
      </c>
    </row>
    <row r="2917" ht="15" customHeight="1" s="78">
      <c r="A2917" s="95">
        <f>IF($H2917="","",ROW()-6)</f>
        <v/>
      </c>
      <c r="B2917" s="114" t="n"/>
      <c r="C2917" s="102" t="n"/>
      <c r="D2917" s="114" t="n"/>
      <c r="E2917" s="103" t="n"/>
      <c r="F2917" s="102" t="n"/>
      <c r="G2917" s="102" t="n"/>
      <c r="H2917" s="115" t="n"/>
      <c r="I2917" s="102" t="n"/>
      <c r="J2917" s="102" t="n"/>
      <c r="K2917" s="103" t="n"/>
      <c r="L2917" s="116">
        <f>IF($H2917="","",TRIM(IF(COUNTIF(DMTK!$A$7:$A$250,$F2917)=0,"TK Nợ sai! ","")&amp;IF(COUNTIF(DMTK!$A$7:$A$250,$G2917)=0,"TK Có sai! ","")&amp;IF(N($H2917)&lt;=0,"Tiền phải &gt; 0! ","")&amp;IF($B2917="","Thiếu ngày! ","")&amp;IF(AND(OR(LEFT($F2917,3)="131",LEFT($G2917,3)="131",LEFT($F2917,3)="331",LEFT($G2917,3)="331"),$I2917=""),"Thiếu Mã ĐT! ","")&amp;IF(AND($I2917&lt;&gt;"",COUNTIF(DM_DT!$A$7:$A$306,$I2917)=0),"Mã ĐT chưa khai báo! ","")))</f>
        <v/>
      </c>
      <c r="M2917" s="117">
        <f>IF($H2917="","",IF(AND(OR(LEFT($F2917,3)="111",LEFT($F2917,3)="112",LEFT($F2917,3)="113"),OR(LEFT($G2917,3)="111",LEFT($G2917,3)="112",LEFT($G2917,3)="113")),"NB",IF(OR(LEFT($F2917,3)="111",LEFT($F2917,3)="112",LEFT($F2917,3)="113"),"THU",IF(OR(LEFT($G2917,3)="111",LEFT($G2917,3)="112",LEFT($G2917,3)="113"),"CHI",""))))</f>
        <v/>
      </c>
      <c r="N2917" s="117">
        <f>IF($M2917="THU",$G2917,IF($M2917="CHI",$F2917,""))</f>
        <v/>
      </c>
      <c r="O2917" s="117">
        <f>IF(OR($M2917="",$M2917="NB"),"",IF($J2917&lt;&gt;"",TEXT($J2917,"00"),IFERROR(VLOOKUP(LEFT($N2917,4),LCTT_MAP!$A$7:$C$66,IF($M2917="THU",2,3),FALSE()),IFERROR(VLOOKUP(LEFT($N2917,3),LCTT_MAP!$A$7:$C$66,IF($M2917="THU",2,3),FALSE()),IFERROR(VLOOKUP(LEFT($N2917,2),LCTT_MAP!$A$7:$C$66,IF($M2917="THU",2,3),FALSE()),IFERROR(VLOOKUP(LEFT($N2917,1),LCTT_MAP!$A$7:$C$66,IF($M2917="THU",2,3),FALSE()),IF($M2917="THU","06","07")))))))</f>
        <v/>
      </c>
      <c r="P2917" s="117">
        <f>P2916+IF(AND($H2917&lt;&gt;"",OR(LEFT($F2917,LEN(SC_TK))=SC_TK,LEFT($G2917,LEN(SC_TK))=SC_TK)),1,0)</f>
        <v/>
      </c>
    </row>
    <row r="2918" ht="15" customHeight="1" s="78">
      <c r="A2918" s="95">
        <f>IF($H2918="","",ROW()-6)</f>
        <v/>
      </c>
      <c r="B2918" s="114" t="n"/>
      <c r="C2918" s="102" t="n"/>
      <c r="D2918" s="114" t="n"/>
      <c r="E2918" s="103" t="n"/>
      <c r="F2918" s="102" t="n"/>
      <c r="G2918" s="102" t="n"/>
      <c r="H2918" s="115" t="n"/>
      <c r="I2918" s="102" t="n"/>
      <c r="J2918" s="102" t="n"/>
      <c r="K2918" s="103" t="n"/>
      <c r="L2918" s="116">
        <f>IF($H2918="","",TRIM(IF(COUNTIF(DMTK!$A$7:$A$250,$F2918)=0,"TK Nợ sai! ","")&amp;IF(COUNTIF(DMTK!$A$7:$A$250,$G2918)=0,"TK Có sai! ","")&amp;IF(N($H2918)&lt;=0,"Tiền phải &gt; 0! ","")&amp;IF($B2918="","Thiếu ngày! ","")&amp;IF(AND(OR(LEFT($F2918,3)="131",LEFT($G2918,3)="131",LEFT($F2918,3)="331",LEFT($G2918,3)="331"),$I2918=""),"Thiếu Mã ĐT! ","")&amp;IF(AND($I2918&lt;&gt;"",COUNTIF(DM_DT!$A$7:$A$306,$I2918)=0),"Mã ĐT chưa khai báo! ","")))</f>
        <v/>
      </c>
      <c r="M2918" s="117">
        <f>IF($H2918="","",IF(AND(OR(LEFT($F2918,3)="111",LEFT($F2918,3)="112",LEFT($F2918,3)="113"),OR(LEFT($G2918,3)="111",LEFT($G2918,3)="112",LEFT($G2918,3)="113")),"NB",IF(OR(LEFT($F2918,3)="111",LEFT($F2918,3)="112",LEFT($F2918,3)="113"),"THU",IF(OR(LEFT($G2918,3)="111",LEFT($G2918,3)="112",LEFT($G2918,3)="113"),"CHI",""))))</f>
        <v/>
      </c>
      <c r="N2918" s="117">
        <f>IF($M2918="THU",$G2918,IF($M2918="CHI",$F2918,""))</f>
        <v/>
      </c>
      <c r="O2918" s="117">
        <f>IF(OR($M2918="",$M2918="NB"),"",IF($J2918&lt;&gt;"",TEXT($J2918,"00"),IFERROR(VLOOKUP(LEFT($N2918,4),LCTT_MAP!$A$7:$C$66,IF($M2918="THU",2,3),FALSE()),IFERROR(VLOOKUP(LEFT($N2918,3),LCTT_MAP!$A$7:$C$66,IF($M2918="THU",2,3),FALSE()),IFERROR(VLOOKUP(LEFT($N2918,2),LCTT_MAP!$A$7:$C$66,IF($M2918="THU",2,3),FALSE()),IFERROR(VLOOKUP(LEFT($N2918,1),LCTT_MAP!$A$7:$C$66,IF($M2918="THU",2,3),FALSE()),IF($M2918="THU","06","07")))))))</f>
        <v/>
      </c>
      <c r="P2918" s="117">
        <f>P2917+IF(AND($H2918&lt;&gt;"",OR(LEFT($F2918,LEN(SC_TK))=SC_TK,LEFT($G2918,LEN(SC_TK))=SC_TK)),1,0)</f>
        <v/>
      </c>
    </row>
    <row r="2919" ht="15" customHeight="1" s="78">
      <c r="A2919" s="95">
        <f>IF($H2919="","",ROW()-6)</f>
        <v/>
      </c>
      <c r="B2919" s="114" t="n"/>
      <c r="C2919" s="102" t="n"/>
      <c r="D2919" s="114" t="n"/>
      <c r="E2919" s="103" t="n"/>
      <c r="F2919" s="102" t="n"/>
      <c r="G2919" s="102" t="n"/>
      <c r="H2919" s="115" t="n"/>
      <c r="I2919" s="102" t="n"/>
      <c r="J2919" s="102" t="n"/>
      <c r="K2919" s="103" t="n"/>
      <c r="L2919" s="116">
        <f>IF($H2919="","",TRIM(IF(COUNTIF(DMTK!$A$7:$A$250,$F2919)=0,"TK Nợ sai! ","")&amp;IF(COUNTIF(DMTK!$A$7:$A$250,$G2919)=0,"TK Có sai! ","")&amp;IF(N($H2919)&lt;=0,"Tiền phải &gt; 0! ","")&amp;IF($B2919="","Thiếu ngày! ","")&amp;IF(AND(OR(LEFT($F2919,3)="131",LEFT($G2919,3)="131",LEFT($F2919,3)="331",LEFT($G2919,3)="331"),$I2919=""),"Thiếu Mã ĐT! ","")&amp;IF(AND($I2919&lt;&gt;"",COUNTIF(DM_DT!$A$7:$A$306,$I2919)=0),"Mã ĐT chưa khai báo! ","")))</f>
        <v/>
      </c>
      <c r="M2919" s="117">
        <f>IF($H2919="","",IF(AND(OR(LEFT($F2919,3)="111",LEFT($F2919,3)="112",LEFT($F2919,3)="113"),OR(LEFT($G2919,3)="111",LEFT($G2919,3)="112",LEFT($G2919,3)="113")),"NB",IF(OR(LEFT($F2919,3)="111",LEFT($F2919,3)="112",LEFT($F2919,3)="113"),"THU",IF(OR(LEFT($G2919,3)="111",LEFT($G2919,3)="112",LEFT($G2919,3)="113"),"CHI",""))))</f>
        <v/>
      </c>
      <c r="N2919" s="117">
        <f>IF($M2919="THU",$G2919,IF($M2919="CHI",$F2919,""))</f>
        <v/>
      </c>
      <c r="O2919" s="117">
        <f>IF(OR($M2919="",$M2919="NB"),"",IF($J2919&lt;&gt;"",TEXT($J2919,"00"),IFERROR(VLOOKUP(LEFT($N2919,4),LCTT_MAP!$A$7:$C$66,IF($M2919="THU",2,3),FALSE()),IFERROR(VLOOKUP(LEFT($N2919,3),LCTT_MAP!$A$7:$C$66,IF($M2919="THU",2,3),FALSE()),IFERROR(VLOOKUP(LEFT($N2919,2),LCTT_MAP!$A$7:$C$66,IF($M2919="THU",2,3),FALSE()),IFERROR(VLOOKUP(LEFT($N2919,1),LCTT_MAP!$A$7:$C$66,IF($M2919="THU",2,3),FALSE()),IF($M2919="THU","06","07")))))))</f>
        <v/>
      </c>
      <c r="P2919" s="117">
        <f>P2918+IF(AND($H2919&lt;&gt;"",OR(LEFT($F2919,LEN(SC_TK))=SC_TK,LEFT($G2919,LEN(SC_TK))=SC_TK)),1,0)</f>
        <v/>
      </c>
    </row>
    <row r="2920" ht="15" customHeight="1" s="78">
      <c r="A2920" s="95">
        <f>IF($H2920="","",ROW()-6)</f>
        <v/>
      </c>
      <c r="B2920" s="114" t="n"/>
      <c r="C2920" s="102" t="n"/>
      <c r="D2920" s="114" t="n"/>
      <c r="E2920" s="103" t="n"/>
      <c r="F2920" s="102" t="n"/>
      <c r="G2920" s="102" t="n"/>
      <c r="H2920" s="115" t="n"/>
      <c r="I2920" s="102" t="n"/>
      <c r="J2920" s="102" t="n"/>
      <c r="K2920" s="103" t="n"/>
      <c r="L2920" s="116">
        <f>IF($H2920="","",TRIM(IF(COUNTIF(DMTK!$A$7:$A$250,$F2920)=0,"TK Nợ sai! ","")&amp;IF(COUNTIF(DMTK!$A$7:$A$250,$G2920)=0,"TK Có sai! ","")&amp;IF(N($H2920)&lt;=0,"Tiền phải &gt; 0! ","")&amp;IF($B2920="","Thiếu ngày! ","")&amp;IF(AND(OR(LEFT($F2920,3)="131",LEFT($G2920,3)="131",LEFT($F2920,3)="331",LEFT($G2920,3)="331"),$I2920=""),"Thiếu Mã ĐT! ","")&amp;IF(AND($I2920&lt;&gt;"",COUNTIF(DM_DT!$A$7:$A$306,$I2920)=0),"Mã ĐT chưa khai báo! ","")))</f>
        <v/>
      </c>
      <c r="M2920" s="117">
        <f>IF($H2920="","",IF(AND(OR(LEFT($F2920,3)="111",LEFT($F2920,3)="112",LEFT($F2920,3)="113"),OR(LEFT($G2920,3)="111",LEFT($G2920,3)="112",LEFT($G2920,3)="113")),"NB",IF(OR(LEFT($F2920,3)="111",LEFT($F2920,3)="112",LEFT($F2920,3)="113"),"THU",IF(OR(LEFT($G2920,3)="111",LEFT($G2920,3)="112",LEFT($G2920,3)="113"),"CHI",""))))</f>
        <v/>
      </c>
      <c r="N2920" s="117">
        <f>IF($M2920="THU",$G2920,IF($M2920="CHI",$F2920,""))</f>
        <v/>
      </c>
      <c r="O2920" s="117">
        <f>IF(OR($M2920="",$M2920="NB"),"",IF($J2920&lt;&gt;"",TEXT($J2920,"00"),IFERROR(VLOOKUP(LEFT($N2920,4),LCTT_MAP!$A$7:$C$66,IF($M2920="THU",2,3),FALSE()),IFERROR(VLOOKUP(LEFT($N2920,3),LCTT_MAP!$A$7:$C$66,IF($M2920="THU",2,3),FALSE()),IFERROR(VLOOKUP(LEFT($N2920,2),LCTT_MAP!$A$7:$C$66,IF($M2920="THU",2,3),FALSE()),IFERROR(VLOOKUP(LEFT($N2920,1),LCTT_MAP!$A$7:$C$66,IF($M2920="THU",2,3),FALSE()),IF($M2920="THU","06","07")))))))</f>
        <v/>
      </c>
      <c r="P2920" s="117">
        <f>P2919+IF(AND($H2920&lt;&gt;"",OR(LEFT($F2920,LEN(SC_TK))=SC_TK,LEFT($G2920,LEN(SC_TK))=SC_TK)),1,0)</f>
        <v/>
      </c>
    </row>
    <row r="2921" ht="15" customHeight="1" s="78">
      <c r="A2921" s="95">
        <f>IF($H2921="","",ROW()-6)</f>
        <v/>
      </c>
      <c r="B2921" s="114" t="n"/>
      <c r="C2921" s="102" t="n"/>
      <c r="D2921" s="114" t="n"/>
      <c r="E2921" s="103" t="n"/>
      <c r="F2921" s="102" t="n"/>
      <c r="G2921" s="102" t="n"/>
      <c r="H2921" s="115" t="n"/>
      <c r="I2921" s="102" t="n"/>
      <c r="J2921" s="102" t="n"/>
      <c r="K2921" s="103" t="n"/>
      <c r="L2921" s="116">
        <f>IF($H2921="","",TRIM(IF(COUNTIF(DMTK!$A$7:$A$250,$F2921)=0,"TK Nợ sai! ","")&amp;IF(COUNTIF(DMTK!$A$7:$A$250,$G2921)=0,"TK Có sai! ","")&amp;IF(N($H2921)&lt;=0,"Tiền phải &gt; 0! ","")&amp;IF($B2921="","Thiếu ngày! ","")&amp;IF(AND(OR(LEFT($F2921,3)="131",LEFT($G2921,3)="131",LEFT($F2921,3)="331",LEFT($G2921,3)="331"),$I2921=""),"Thiếu Mã ĐT! ","")&amp;IF(AND($I2921&lt;&gt;"",COUNTIF(DM_DT!$A$7:$A$306,$I2921)=0),"Mã ĐT chưa khai báo! ","")))</f>
        <v/>
      </c>
      <c r="M2921" s="117">
        <f>IF($H2921="","",IF(AND(OR(LEFT($F2921,3)="111",LEFT($F2921,3)="112",LEFT($F2921,3)="113"),OR(LEFT($G2921,3)="111",LEFT($G2921,3)="112",LEFT($G2921,3)="113")),"NB",IF(OR(LEFT($F2921,3)="111",LEFT($F2921,3)="112",LEFT($F2921,3)="113"),"THU",IF(OR(LEFT($G2921,3)="111",LEFT($G2921,3)="112",LEFT($G2921,3)="113"),"CHI",""))))</f>
        <v/>
      </c>
      <c r="N2921" s="117">
        <f>IF($M2921="THU",$G2921,IF($M2921="CHI",$F2921,""))</f>
        <v/>
      </c>
      <c r="O2921" s="117">
        <f>IF(OR($M2921="",$M2921="NB"),"",IF($J2921&lt;&gt;"",TEXT($J2921,"00"),IFERROR(VLOOKUP(LEFT($N2921,4),LCTT_MAP!$A$7:$C$66,IF($M2921="THU",2,3),FALSE()),IFERROR(VLOOKUP(LEFT($N2921,3),LCTT_MAP!$A$7:$C$66,IF($M2921="THU",2,3),FALSE()),IFERROR(VLOOKUP(LEFT($N2921,2),LCTT_MAP!$A$7:$C$66,IF($M2921="THU",2,3),FALSE()),IFERROR(VLOOKUP(LEFT($N2921,1),LCTT_MAP!$A$7:$C$66,IF($M2921="THU",2,3),FALSE()),IF($M2921="THU","06","07")))))))</f>
        <v/>
      </c>
      <c r="P2921" s="117">
        <f>P2920+IF(AND($H2921&lt;&gt;"",OR(LEFT($F2921,LEN(SC_TK))=SC_TK,LEFT($G2921,LEN(SC_TK))=SC_TK)),1,0)</f>
        <v/>
      </c>
    </row>
    <row r="2922" ht="15" customHeight="1" s="78">
      <c r="A2922" s="95">
        <f>IF($H2922="","",ROW()-6)</f>
        <v/>
      </c>
      <c r="B2922" s="114" t="n"/>
      <c r="C2922" s="102" t="n"/>
      <c r="D2922" s="114" t="n"/>
      <c r="E2922" s="103" t="n"/>
      <c r="F2922" s="102" t="n"/>
      <c r="G2922" s="102" t="n"/>
      <c r="H2922" s="115" t="n"/>
      <c r="I2922" s="102" t="n"/>
      <c r="J2922" s="102" t="n"/>
      <c r="K2922" s="103" t="n"/>
      <c r="L2922" s="116">
        <f>IF($H2922="","",TRIM(IF(COUNTIF(DMTK!$A$7:$A$250,$F2922)=0,"TK Nợ sai! ","")&amp;IF(COUNTIF(DMTK!$A$7:$A$250,$G2922)=0,"TK Có sai! ","")&amp;IF(N($H2922)&lt;=0,"Tiền phải &gt; 0! ","")&amp;IF($B2922="","Thiếu ngày! ","")&amp;IF(AND(OR(LEFT($F2922,3)="131",LEFT($G2922,3)="131",LEFT($F2922,3)="331",LEFT($G2922,3)="331"),$I2922=""),"Thiếu Mã ĐT! ","")&amp;IF(AND($I2922&lt;&gt;"",COUNTIF(DM_DT!$A$7:$A$306,$I2922)=0),"Mã ĐT chưa khai báo! ","")))</f>
        <v/>
      </c>
      <c r="M2922" s="117">
        <f>IF($H2922="","",IF(AND(OR(LEFT($F2922,3)="111",LEFT($F2922,3)="112",LEFT($F2922,3)="113"),OR(LEFT($G2922,3)="111",LEFT($G2922,3)="112",LEFT($G2922,3)="113")),"NB",IF(OR(LEFT($F2922,3)="111",LEFT($F2922,3)="112",LEFT($F2922,3)="113"),"THU",IF(OR(LEFT($G2922,3)="111",LEFT($G2922,3)="112",LEFT($G2922,3)="113"),"CHI",""))))</f>
        <v/>
      </c>
      <c r="N2922" s="117">
        <f>IF($M2922="THU",$G2922,IF($M2922="CHI",$F2922,""))</f>
        <v/>
      </c>
      <c r="O2922" s="117">
        <f>IF(OR($M2922="",$M2922="NB"),"",IF($J2922&lt;&gt;"",TEXT($J2922,"00"),IFERROR(VLOOKUP(LEFT($N2922,4),LCTT_MAP!$A$7:$C$66,IF($M2922="THU",2,3),FALSE()),IFERROR(VLOOKUP(LEFT($N2922,3),LCTT_MAP!$A$7:$C$66,IF($M2922="THU",2,3),FALSE()),IFERROR(VLOOKUP(LEFT($N2922,2),LCTT_MAP!$A$7:$C$66,IF($M2922="THU",2,3),FALSE()),IFERROR(VLOOKUP(LEFT($N2922,1),LCTT_MAP!$A$7:$C$66,IF($M2922="THU",2,3),FALSE()),IF($M2922="THU","06","07")))))))</f>
        <v/>
      </c>
      <c r="P2922" s="117">
        <f>P2921+IF(AND($H2922&lt;&gt;"",OR(LEFT($F2922,LEN(SC_TK))=SC_TK,LEFT($G2922,LEN(SC_TK))=SC_TK)),1,0)</f>
        <v/>
      </c>
    </row>
    <row r="2923" ht="15" customHeight="1" s="78">
      <c r="A2923" s="95">
        <f>IF($H2923="","",ROW()-6)</f>
        <v/>
      </c>
      <c r="B2923" s="114" t="n"/>
      <c r="C2923" s="102" t="n"/>
      <c r="D2923" s="114" t="n"/>
      <c r="E2923" s="103" t="n"/>
      <c r="F2923" s="102" t="n"/>
      <c r="G2923" s="102" t="n"/>
      <c r="H2923" s="115" t="n"/>
      <c r="I2923" s="102" t="n"/>
      <c r="J2923" s="102" t="n"/>
      <c r="K2923" s="103" t="n"/>
      <c r="L2923" s="116">
        <f>IF($H2923="","",TRIM(IF(COUNTIF(DMTK!$A$7:$A$250,$F2923)=0,"TK Nợ sai! ","")&amp;IF(COUNTIF(DMTK!$A$7:$A$250,$G2923)=0,"TK Có sai! ","")&amp;IF(N($H2923)&lt;=0,"Tiền phải &gt; 0! ","")&amp;IF($B2923="","Thiếu ngày! ","")&amp;IF(AND(OR(LEFT($F2923,3)="131",LEFT($G2923,3)="131",LEFT($F2923,3)="331",LEFT($G2923,3)="331"),$I2923=""),"Thiếu Mã ĐT! ","")&amp;IF(AND($I2923&lt;&gt;"",COUNTIF(DM_DT!$A$7:$A$306,$I2923)=0),"Mã ĐT chưa khai báo! ","")))</f>
        <v/>
      </c>
      <c r="M2923" s="117">
        <f>IF($H2923="","",IF(AND(OR(LEFT($F2923,3)="111",LEFT($F2923,3)="112",LEFT($F2923,3)="113"),OR(LEFT($G2923,3)="111",LEFT($G2923,3)="112",LEFT($G2923,3)="113")),"NB",IF(OR(LEFT($F2923,3)="111",LEFT($F2923,3)="112",LEFT($F2923,3)="113"),"THU",IF(OR(LEFT($G2923,3)="111",LEFT($G2923,3)="112",LEFT($G2923,3)="113"),"CHI",""))))</f>
        <v/>
      </c>
      <c r="N2923" s="117">
        <f>IF($M2923="THU",$G2923,IF($M2923="CHI",$F2923,""))</f>
        <v/>
      </c>
      <c r="O2923" s="117">
        <f>IF(OR($M2923="",$M2923="NB"),"",IF($J2923&lt;&gt;"",TEXT($J2923,"00"),IFERROR(VLOOKUP(LEFT($N2923,4),LCTT_MAP!$A$7:$C$66,IF($M2923="THU",2,3),FALSE()),IFERROR(VLOOKUP(LEFT($N2923,3),LCTT_MAP!$A$7:$C$66,IF($M2923="THU",2,3),FALSE()),IFERROR(VLOOKUP(LEFT($N2923,2),LCTT_MAP!$A$7:$C$66,IF($M2923="THU",2,3),FALSE()),IFERROR(VLOOKUP(LEFT($N2923,1),LCTT_MAP!$A$7:$C$66,IF($M2923="THU",2,3),FALSE()),IF($M2923="THU","06","07")))))))</f>
        <v/>
      </c>
      <c r="P2923" s="117">
        <f>P2922+IF(AND($H2923&lt;&gt;"",OR(LEFT($F2923,LEN(SC_TK))=SC_TK,LEFT($G2923,LEN(SC_TK))=SC_TK)),1,0)</f>
        <v/>
      </c>
    </row>
    <row r="2924" ht="15" customHeight="1" s="78">
      <c r="A2924" s="95">
        <f>IF($H2924="","",ROW()-6)</f>
        <v/>
      </c>
      <c r="B2924" s="114" t="n"/>
      <c r="C2924" s="102" t="n"/>
      <c r="D2924" s="114" t="n"/>
      <c r="E2924" s="103" t="n"/>
      <c r="F2924" s="102" t="n"/>
      <c r="G2924" s="102" t="n"/>
      <c r="H2924" s="115" t="n"/>
      <c r="I2924" s="102" t="n"/>
      <c r="J2924" s="102" t="n"/>
      <c r="K2924" s="103" t="n"/>
      <c r="L2924" s="116">
        <f>IF($H2924="","",TRIM(IF(COUNTIF(DMTK!$A$7:$A$250,$F2924)=0,"TK Nợ sai! ","")&amp;IF(COUNTIF(DMTK!$A$7:$A$250,$G2924)=0,"TK Có sai! ","")&amp;IF(N($H2924)&lt;=0,"Tiền phải &gt; 0! ","")&amp;IF($B2924="","Thiếu ngày! ","")&amp;IF(AND(OR(LEFT($F2924,3)="131",LEFT($G2924,3)="131",LEFT($F2924,3)="331",LEFT($G2924,3)="331"),$I2924=""),"Thiếu Mã ĐT! ","")&amp;IF(AND($I2924&lt;&gt;"",COUNTIF(DM_DT!$A$7:$A$306,$I2924)=0),"Mã ĐT chưa khai báo! ","")))</f>
        <v/>
      </c>
      <c r="M2924" s="117">
        <f>IF($H2924="","",IF(AND(OR(LEFT($F2924,3)="111",LEFT($F2924,3)="112",LEFT($F2924,3)="113"),OR(LEFT($G2924,3)="111",LEFT($G2924,3)="112",LEFT($G2924,3)="113")),"NB",IF(OR(LEFT($F2924,3)="111",LEFT($F2924,3)="112",LEFT($F2924,3)="113"),"THU",IF(OR(LEFT($G2924,3)="111",LEFT($G2924,3)="112",LEFT($G2924,3)="113"),"CHI",""))))</f>
        <v/>
      </c>
      <c r="N2924" s="117">
        <f>IF($M2924="THU",$G2924,IF($M2924="CHI",$F2924,""))</f>
        <v/>
      </c>
      <c r="O2924" s="117">
        <f>IF(OR($M2924="",$M2924="NB"),"",IF($J2924&lt;&gt;"",TEXT($J2924,"00"),IFERROR(VLOOKUP(LEFT($N2924,4),LCTT_MAP!$A$7:$C$66,IF($M2924="THU",2,3),FALSE()),IFERROR(VLOOKUP(LEFT($N2924,3),LCTT_MAP!$A$7:$C$66,IF($M2924="THU",2,3),FALSE()),IFERROR(VLOOKUP(LEFT($N2924,2),LCTT_MAP!$A$7:$C$66,IF($M2924="THU",2,3),FALSE()),IFERROR(VLOOKUP(LEFT($N2924,1),LCTT_MAP!$A$7:$C$66,IF($M2924="THU",2,3),FALSE()),IF($M2924="THU","06","07")))))))</f>
        <v/>
      </c>
      <c r="P2924" s="117">
        <f>P2923+IF(AND($H2924&lt;&gt;"",OR(LEFT($F2924,LEN(SC_TK))=SC_TK,LEFT($G2924,LEN(SC_TK))=SC_TK)),1,0)</f>
        <v/>
      </c>
    </row>
    <row r="2925" ht="15" customHeight="1" s="78">
      <c r="A2925" s="95">
        <f>IF($H2925="","",ROW()-6)</f>
        <v/>
      </c>
      <c r="B2925" s="114" t="n"/>
      <c r="C2925" s="102" t="n"/>
      <c r="D2925" s="114" t="n"/>
      <c r="E2925" s="103" t="n"/>
      <c r="F2925" s="102" t="n"/>
      <c r="G2925" s="102" t="n"/>
      <c r="H2925" s="115" t="n"/>
      <c r="I2925" s="102" t="n"/>
      <c r="J2925" s="102" t="n"/>
      <c r="K2925" s="103" t="n"/>
      <c r="L2925" s="116">
        <f>IF($H2925="","",TRIM(IF(COUNTIF(DMTK!$A$7:$A$250,$F2925)=0,"TK Nợ sai! ","")&amp;IF(COUNTIF(DMTK!$A$7:$A$250,$G2925)=0,"TK Có sai! ","")&amp;IF(N($H2925)&lt;=0,"Tiền phải &gt; 0! ","")&amp;IF($B2925="","Thiếu ngày! ","")&amp;IF(AND(OR(LEFT($F2925,3)="131",LEFT($G2925,3)="131",LEFT($F2925,3)="331",LEFT($G2925,3)="331"),$I2925=""),"Thiếu Mã ĐT! ","")&amp;IF(AND($I2925&lt;&gt;"",COUNTIF(DM_DT!$A$7:$A$306,$I2925)=0),"Mã ĐT chưa khai báo! ","")))</f>
        <v/>
      </c>
      <c r="M2925" s="117">
        <f>IF($H2925="","",IF(AND(OR(LEFT($F2925,3)="111",LEFT($F2925,3)="112",LEFT($F2925,3)="113"),OR(LEFT($G2925,3)="111",LEFT($G2925,3)="112",LEFT($G2925,3)="113")),"NB",IF(OR(LEFT($F2925,3)="111",LEFT($F2925,3)="112",LEFT($F2925,3)="113"),"THU",IF(OR(LEFT($G2925,3)="111",LEFT($G2925,3)="112",LEFT($G2925,3)="113"),"CHI",""))))</f>
        <v/>
      </c>
      <c r="N2925" s="117">
        <f>IF($M2925="THU",$G2925,IF($M2925="CHI",$F2925,""))</f>
        <v/>
      </c>
      <c r="O2925" s="117">
        <f>IF(OR($M2925="",$M2925="NB"),"",IF($J2925&lt;&gt;"",TEXT($J2925,"00"),IFERROR(VLOOKUP(LEFT($N2925,4),LCTT_MAP!$A$7:$C$66,IF($M2925="THU",2,3),FALSE()),IFERROR(VLOOKUP(LEFT($N2925,3),LCTT_MAP!$A$7:$C$66,IF($M2925="THU",2,3),FALSE()),IFERROR(VLOOKUP(LEFT($N2925,2),LCTT_MAP!$A$7:$C$66,IF($M2925="THU",2,3),FALSE()),IFERROR(VLOOKUP(LEFT($N2925,1),LCTT_MAP!$A$7:$C$66,IF($M2925="THU",2,3),FALSE()),IF($M2925="THU","06","07")))))))</f>
        <v/>
      </c>
      <c r="P2925" s="117">
        <f>P2924+IF(AND($H2925&lt;&gt;"",OR(LEFT($F2925,LEN(SC_TK))=SC_TK,LEFT($G2925,LEN(SC_TK))=SC_TK)),1,0)</f>
        <v/>
      </c>
    </row>
    <row r="2926" ht="15" customHeight="1" s="78">
      <c r="A2926" s="95">
        <f>IF($H2926="","",ROW()-6)</f>
        <v/>
      </c>
      <c r="B2926" s="114" t="n"/>
      <c r="C2926" s="102" t="n"/>
      <c r="D2926" s="114" t="n"/>
      <c r="E2926" s="103" t="n"/>
      <c r="F2926" s="102" t="n"/>
      <c r="G2926" s="102" t="n"/>
      <c r="H2926" s="115" t="n"/>
      <c r="I2926" s="102" t="n"/>
      <c r="J2926" s="102" t="n"/>
      <c r="K2926" s="103" t="n"/>
      <c r="L2926" s="116">
        <f>IF($H2926="","",TRIM(IF(COUNTIF(DMTK!$A$7:$A$250,$F2926)=0,"TK Nợ sai! ","")&amp;IF(COUNTIF(DMTK!$A$7:$A$250,$G2926)=0,"TK Có sai! ","")&amp;IF(N($H2926)&lt;=0,"Tiền phải &gt; 0! ","")&amp;IF($B2926="","Thiếu ngày! ","")&amp;IF(AND(OR(LEFT($F2926,3)="131",LEFT($G2926,3)="131",LEFT($F2926,3)="331",LEFT($G2926,3)="331"),$I2926=""),"Thiếu Mã ĐT! ","")&amp;IF(AND($I2926&lt;&gt;"",COUNTIF(DM_DT!$A$7:$A$306,$I2926)=0),"Mã ĐT chưa khai báo! ","")))</f>
        <v/>
      </c>
      <c r="M2926" s="117">
        <f>IF($H2926="","",IF(AND(OR(LEFT($F2926,3)="111",LEFT($F2926,3)="112",LEFT($F2926,3)="113"),OR(LEFT($G2926,3)="111",LEFT($G2926,3)="112",LEFT($G2926,3)="113")),"NB",IF(OR(LEFT($F2926,3)="111",LEFT($F2926,3)="112",LEFT($F2926,3)="113"),"THU",IF(OR(LEFT($G2926,3)="111",LEFT($G2926,3)="112",LEFT($G2926,3)="113"),"CHI",""))))</f>
        <v/>
      </c>
      <c r="N2926" s="117">
        <f>IF($M2926="THU",$G2926,IF($M2926="CHI",$F2926,""))</f>
        <v/>
      </c>
      <c r="O2926" s="117">
        <f>IF(OR($M2926="",$M2926="NB"),"",IF($J2926&lt;&gt;"",TEXT($J2926,"00"),IFERROR(VLOOKUP(LEFT($N2926,4),LCTT_MAP!$A$7:$C$66,IF($M2926="THU",2,3),FALSE()),IFERROR(VLOOKUP(LEFT($N2926,3),LCTT_MAP!$A$7:$C$66,IF($M2926="THU",2,3),FALSE()),IFERROR(VLOOKUP(LEFT($N2926,2),LCTT_MAP!$A$7:$C$66,IF($M2926="THU",2,3),FALSE()),IFERROR(VLOOKUP(LEFT($N2926,1),LCTT_MAP!$A$7:$C$66,IF($M2926="THU",2,3),FALSE()),IF($M2926="THU","06","07")))))))</f>
        <v/>
      </c>
      <c r="P2926" s="117">
        <f>P2925+IF(AND($H2926&lt;&gt;"",OR(LEFT($F2926,LEN(SC_TK))=SC_TK,LEFT($G2926,LEN(SC_TK))=SC_TK)),1,0)</f>
        <v/>
      </c>
    </row>
    <row r="2927" ht="15" customHeight="1" s="78">
      <c r="A2927" s="95">
        <f>IF($H2927="","",ROW()-6)</f>
        <v/>
      </c>
      <c r="B2927" s="114" t="n"/>
      <c r="C2927" s="102" t="n"/>
      <c r="D2927" s="114" t="n"/>
      <c r="E2927" s="103" t="n"/>
      <c r="F2927" s="102" t="n"/>
      <c r="G2927" s="102" t="n"/>
      <c r="H2927" s="115" t="n"/>
      <c r="I2927" s="102" t="n"/>
      <c r="J2927" s="102" t="n"/>
      <c r="K2927" s="103" t="n"/>
      <c r="L2927" s="116">
        <f>IF($H2927="","",TRIM(IF(COUNTIF(DMTK!$A$7:$A$250,$F2927)=0,"TK Nợ sai! ","")&amp;IF(COUNTIF(DMTK!$A$7:$A$250,$G2927)=0,"TK Có sai! ","")&amp;IF(N($H2927)&lt;=0,"Tiền phải &gt; 0! ","")&amp;IF($B2927="","Thiếu ngày! ","")&amp;IF(AND(OR(LEFT($F2927,3)="131",LEFT($G2927,3)="131",LEFT($F2927,3)="331",LEFT($G2927,3)="331"),$I2927=""),"Thiếu Mã ĐT! ","")&amp;IF(AND($I2927&lt;&gt;"",COUNTIF(DM_DT!$A$7:$A$306,$I2927)=0),"Mã ĐT chưa khai báo! ","")))</f>
        <v/>
      </c>
      <c r="M2927" s="117">
        <f>IF($H2927="","",IF(AND(OR(LEFT($F2927,3)="111",LEFT($F2927,3)="112",LEFT($F2927,3)="113"),OR(LEFT($G2927,3)="111",LEFT($G2927,3)="112",LEFT($G2927,3)="113")),"NB",IF(OR(LEFT($F2927,3)="111",LEFT($F2927,3)="112",LEFT($F2927,3)="113"),"THU",IF(OR(LEFT($G2927,3)="111",LEFT($G2927,3)="112",LEFT($G2927,3)="113"),"CHI",""))))</f>
        <v/>
      </c>
      <c r="N2927" s="117">
        <f>IF($M2927="THU",$G2927,IF($M2927="CHI",$F2927,""))</f>
        <v/>
      </c>
      <c r="O2927" s="117">
        <f>IF(OR($M2927="",$M2927="NB"),"",IF($J2927&lt;&gt;"",TEXT($J2927,"00"),IFERROR(VLOOKUP(LEFT($N2927,4),LCTT_MAP!$A$7:$C$66,IF($M2927="THU",2,3),FALSE()),IFERROR(VLOOKUP(LEFT($N2927,3),LCTT_MAP!$A$7:$C$66,IF($M2927="THU",2,3),FALSE()),IFERROR(VLOOKUP(LEFT($N2927,2),LCTT_MAP!$A$7:$C$66,IF($M2927="THU",2,3),FALSE()),IFERROR(VLOOKUP(LEFT($N2927,1),LCTT_MAP!$A$7:$C$66,IF($M2927="THU",2,3),FALSE()),IF($M2927="THU","06","07")))))))</f>
        <v/>
      </c>
      <c r="P2927" s="117">
        <f>P2926+IF(AND($H2927&lt;&gt;"",OR(LEFT($F2927,LEN(SC_TK))=SC_TK,LEFT($G2927,LEN(SC_TK))=SC_TK)),1,0)</f>
        <v/>
      </c>
    </row>
    <row r="2928" ht="15" customHeight="1" s="78">
      <c r="A2928" s="95">
        <f>IF($H2928="","",ROW()-6)</f>
        <v/>
      </c>
      <c r="B2928" s="114" t="n"/>
      <c r="C2928" s="102" t="n"/>
      <c r="D2928" s="114" t="n"/>
      <c r="E2928" s="103" t="n"/>
      <c r="F2928" s="102" t="n"/>
      <c r="G2928" s="102" t="n"/>
      <c r="H2928" s="115" t="n"/>
      <c r="I2928" s="102" t="n"/>
      <c r="J2928" s="102" t="n"/>
      <c r="K2928" s="103" t="n"/>
      <c r="L2928" s="116">
        <f>IF($H2928="","",TRIM(IF(COUNTIF(DMTK!$A$7:$A$250,$F2928)=0,"TK Nợ sai! ","")&amp;IF(COUNTIF(DMTK!$A$7:$A$250,$G2928)=0,"TK Có sai! ","")&amp;IF(N($H2928)&lt;=0,"Tiền phải &gt; 0! ","")&amp;IF($B2928="","Thiếu ngày! ","")&amp;IF(AND(OR(LEFT($F2928,3)="131",LEFT($G2928,3)="131",LEFT($F2928,3)="331",LEFT($G2928,3)="331"),$I2928=""),"Thiếu Mã ĐT! ","")&amp;IF(AND($I2928&lt;&gt;"",COUNTIF(DM_DT!$A$7:$A$306,$I2928)=0),"Mã ĐT chưa khai báo! ","")))</f>
        <v/>
      </c>
      <c r="M2928" s="117">
        <f>IF($H2928="","",IF(AND(OR(LEFT($F2928,3)="111",LEFT($F2928,3)="112",LEFT($F2928,3)="113"),OR(LEFT($G2928,3)="111",LEFT($G2928,3)="112",LEFT($G2928,3)="113")),"NB",IF(OR(LEFT($F2928,3)="111",LEFT($F2928,3)="112",LEFT($F2928,3)="113"),"THU",IF(OR(LEFT($G2928,3)="111",LEFT($G2928,3)="112",LEFT($G2928,3)="113"),"CHI",""))))</f>
        <v/>
      </c>
      <c r="N2928" s="117">
        <f>IF($M2928="THU",$G2928,IF($M2928="CHI",$F2928,""))</f>
        <v/>
      </c>
      <c r="O2928" s="117">
        <f>IF(OR($M2928="",$M2928="NB"),"",IF($J2928&lt;&gt;"",TEXT($J2928,"00"),IFERROR(VLOOKUP(LEFT($N2928,4),LCTT_MAP!$A$7:$C$66,IF($M2928="THU",2,3),FALSE()),IFERROR(VLOOKUP(LEFT($N2928,3),LCTT_MAP!$A$7:$C$66,IF($M2928="THU",2,3),FALSE()),IFERROR(VLOOKUP(LEFT($N2928,2),LCTT_MAP!$A$7:$C$66,IF($M2928="THU",2,3),FALSE()),IFERROR(VLOOKUP(LEFT($N2928,1),LCTT_MAP!$A$7:$C$66,IF($M2928="THU",2,3),FALSE()),IF($M2928="THU","06","07")))))))</f>
        <v/>
      </c>
      <c r="P2928" s="117">
        <f>P2927+IF(AND($H2928&lt;&gt;"",OR(LEFT($F2928,LEN(SC_TK))=SC_TK,LEFT($G2928,LEN(SC_TK))=SC_TK)),1,0)</f>
        <v/>
      </c>
    </row>
    <row r="2929" ht="15" customHeight="1" s="78">
      <c r="A2929" s="95">
        <f>IF($H2929="","",ROW()-6)</f>
        <v/>
      </c>
      <c r="B2929" s="114" t="n"/>
      <c r="C2929" s="102" t="n"/>
      <c r="D2929" s="114" t="n"/>
      <c r="E2929" s="103" t="n"/>
      <c r="F2929" s="102" t="n"/>
      <c r="G2929" s="102" t="n"/>
      <c r="H2929" s="115" t="n"/>
      <c r="I2929" s="102" t="n"/>
      <c r="J2929" s="102" t="n"/>
      <c r="K2929" s="103" t="n"/>
      <c r="L2929" s="116">
        <f>IF($H2929="","",TRIM(IF(COUNTIF(DMTK!$A$7:$A$250,$F2929)=0,"TK Nợ sai! ","")&amp;IF(COUNTIF(DMTK!$A$7:$A$250,$G2929)=0,"TK Có sai! ","")&amp;IF(N($H2929)&lt;=0,"Tiền phải &gt; 0! ","")&amp;IF($B2929="","Thiếu ngày! ","")&amp;IF(AND(OR(LEFT($F2929,3)="131",LEFT($G2929,3)="131",LEFT($F2929,3)="331",LEFT($G2929,3)="331"),$I2929=""),"Thiếu Mã ĐT! ","")&amp;IF(AND($I2929&lt;&gt;"",COUNTIF(DM_DT!$A$7:$A$306,$I2929)=0),"Mã ĐT chưa khai báo! ","")))</f>
        <v/>
      </c>
      <c r="M2929" s="117">
        <f>IF($H2929="","",IF(AND(OR(LEFT($F2929,3)="111",LEFT($F2929,3)="112",LEFT($F2929,3)="113"),OR(LEFT($G2929,3)="111",LEFT($G2929,3)="112",LEFT($G2929,3)="113")),"NB",IF(OR(LEFT($F2929,3)="111",LEFT($F2929,3)="112",LEFT($F2929,3)="113"),"THU",IF(OR(LEFT($G2929,3)="111",LEFT($G2929,3)="112",LEFT($G2929,3)="113"),"CHI",""))))</f>
        <v/>
      </c>
      <c r="N2929" s="117">
        <f>IF($M2929="THU",$G2929,IF($M2929="CHI",$F2929,""))</f>
        <v/>
      </c>
      <c r="O2929" s="117">
        <f>IF(OR($M2929="",$M2929="NB"),"",IF($J2929&lt;&gt;"",TEXT($J2929,"00"),IFERROR(VLOOKUP(LEFT($N2929,4),LCTT_MAP!$A$7:$C$66,IF($M2929="THU",2,3),FALSE()),IFERROR(VLOOKUP(LEFT($N2929,3),LCTT_MAP!$A$7:$C$66,IF($M2929="THU",2,3),FALSE()),IFERROR(VLOOKUP(LEFT($N2929,2),LCTT_MAP!$A$7:$C$66,IF($M2929="THU",2,3),FALSE()),IFERROR(VLOOKUP(LEFT($N2929,1),LCTT_MAP!$A$7:$C$66,IF($M2929="THU",2,3),FALSE()),IF($M2929="THU","06","07")))))))</f>
        <v/>
      </c>
      <c r="P2929" s="117">
        <f>P2928+IF(AND($H2929&lt;&gt;"",OR(LEFT($F2929,LEN(SC_TK))=SC_TK,LEFT($G2929,LEN(SC_TK))=SC_TK)),1,0)</f>
        <v/>
      </c>
    </row>
    <row r="2930" ht="15" customHeight="1" s="78">
      <c r="A2930" s="95">
        <f>IF($H2930="","",ROW()-6)</f>
        <v/>
      </c>
      <c r="B2930" s="114" t="n"/>
      <c r="C2930" s="102" t="n"/>
      <c r="D2930" s="114" t="n"/>
      <c r="E2930" s="103" t="n"/>
      <c r="F2930" s="102" t="n"/>
      <c r="G2930" s="102" t="n"/>
      <c r="H2930" s="115" t="n"/>
      <c r="I2930" s="102" t="n"/>
      <c r="J2930" s="102" t="n"/>
      <c r="K2930" s="103" t="n"/>
      <c r="L2930" s="116">
        <f>IF($H2930="","",TRIM(IF(COUNTIF(DMTK!$A$7:$A$250,$F2930)=0,"TK Nợ sai! ","")&amp;IF(COUNTIF(DMTK!$A$7:$A$250,$G2930)=0,"TK Có sai! ","")&amp;IF(N($H2930)&lt;=0,"Tiền phải &gt; 0! ","")&amp;IF($B2930="","Thiếu ngày! ","")&amp;IF(AND(OR(LEFT($F2930,3)="131",LEFT($G2930,3)="131",LEFT($F2930,3)="331",LEFT($G2930,3)="331"),$I2930=""),"Thiếu Mã ĐT! ","")&amp;IF(AND($I2930&lt;&gt;"",COUNTIF(DM_DT!$A$7:$A$306,$I2930)=0),"Mã ĐT chưa khai báo! ","")))</f>
        <v/>
      </c>
      <c r="M2930" s="117">
        <f>IF($H2930="","",IF(AND(OR(LEFT($F2930,3)="111",LEFT($F2930,3)="112",LEFT($F2930,3)="113"),OR(LEFT($G2930,3)="111",LEFT($G2930,3)="112",LEFT($G2930,3)="113")),"NB",IF(OR(LEFT($F2930,3)="111",LEFT($F2930,3)="112",LEFT($F2930,3)="113"),"THU",IF(OR(LEFT($G2930,3)="111",LEFT($G2930,3)="112",LEFT($G2930,3)="113"),"CHI",""))))</f>
        <v/>
      </c>
      <c r="N2930" s="117">
        <f>IF($M2930="THU",$G2930,IF($M2930="CHI",$F2930,""))</f>
        <v/>
      </c>
      <c r="O2930" s="117">
        <f>IF(OR($M2930="",$M2930="NB"),"",IF($J2930&lt;&gt;"",TEXT($J2930,"00"),IFERROR(VLOOKUP(LEFT($N2930,4),LCTT_MAP!$A$7:$C$66,IF($M2930="THU",2,3),FALSE()),IFERROR(VLOOKUP(LEFT($N2930,3),LCTT_MAP!$A$7:$C$66,IF($M2930="THU",2,3),FALSE()),IFERROR(VLOOKUP(LEFT($N2930,2),LCTT_MAP!$A$7:$C$66,IF($M2930="THU",2,3),FALSE()),IFERROR(VLOOKUP(LEFT($N2930,1),LCTT_MAP!$A$7:$C$66,IF($M2930="THU",2,3),FALSE()),IF($M2930="THU","06","07")))))))</f>
        <v/>
      </c>
      <c r="P2930" s="117">
        <f>P2929+IF(AND($H2930&lt;&gt;"",OR(LEFT($F2930,LEN(SC_TK))=SC_TK,LEFT($G2930,LEN(SC_TK))=SC_TK)),1,0)</f>
        <v/>
      </c>
    </row>
    <row r="2931" ht="15" customHeight="1" s="78">
      <c r="A2931" s="95">
        <f>IF($H2931="","",ROW()-6)</f>
        <v/>
      </c>
      <c r="B2931" s="114" t="n"/>
      <c r="C2931" s="102" t="n"/>
      <c r="D2931" s="114" t="n"/>
      <c r="E2931" s="103" t="n"/>
      <c r="F2931" s="102" t="n"/>
      <c r="G2931" s="102" t="n"/>
      <c r="H2931" s="115" t="n"/>
      <c r="I2931" s="102" t="n"/>
      <c r="J2931" s="102" t="n"/>
      <c r="K2931" s="103" t="n"/>
      <c r="L2931" s="116">
        <f>IF($H2931="","",TRIM(IF(COUNTIF(DMTK!$A$7:$A$250,$F2931)=0,"TK Nợ sai! ","")&amp;IF(COUNTIF(DMTK!$A$7:$A$250,$G2931)=0,"TK Có sai! ","")&amp;IF(N($H2931)&lt;=0,"Tiền phải &gt; 0! ","")&amp;IF($B2931="","Thiếu ngày! ","")&amp;IF(AND(OR(LEFT($F2931,3)="131",LEFT($G2931,3)="131",LEFT($F2931,3)="331",LEFT($G2931,3)="331"),$I2931=""),"Thiếu Mã ĐT! ","")&amp;IF(AND($I2931&lt;&gt;"",COUNTIF(DM_DT!$A$7:$A$306,$I2931)=0),"Mã ĐT chưa khai báo! ","")))</f>
        <v/>
      </c>
      <c r="M2931" s="117">
        <f>IF($H2931="","",IF(AND(OR(LEFT($F2931,3)="111",LEFT($F2931,3)="112",LEFT($F2931,3)="113"),OR(LEFT($G2931,3)="111",LEFT($G2931,3)="112",LEFT($G2931,3)="113")),"NB",IF(OR(LEFT($F2931,3)="111",LEFT($F2931,3)="112",LEFT($F2931,3)="113"),"THU",IF(OR(LEFT($G2931,3)="111",LEFT($G2931,3)="112",LEFT($G2931,3)="113"),"CHI",""))))</f>
        <v/>
      </c>
      <c r="N2931" s="117">
        <f>IF($M2931="THU",$G2931,IF($M2931="CHI",$F2931,""))</f>
        <v/>
      </c>
      <c r="O2931" s="117">
        <f>IF(OR($M2931="",$M2931="NB"),"",IF($J2931&lt;&gt;"",TEXT($J2931,"00"),IFERROR(VLOOKUP(LEFT($N2931,4),LCTT_MAP!$A$7:$C$66,IF($M2931="THU",2,3),FALSE()),IFERROR(VLOOKUP(LEFT($N2931,3),LCTT_MAP!$A$7:$C$66,IF($M2931="THU",2,3),FALSE()),IFERROR(VLOOKUP(LEFT($N2931,2),LCTT_MAP!$A$7:$C$66,IF($M2931="THU",2,3),FALSE()),IFERROR(VLOOKUP(LEFT($N2931,1),LCTT_MAP!$A$7:$C$66,IF($M2931="THU",2,3),FALSE()),IF($M2931="THU","06","07")))))))</f>
        <v/>
      </c>
      <c r="P2931" s="117">
        <f>P2930+IF(AND($H2931&lt;&gt;"",OR(LEFT($F2931,LEN(SC_TK))=SC_TK,LEFT($G2931,LEN(SC_TK))=SC_TK)),1,0)</f>
        <v/>
      </c>
    </row>
    <row r="2932" ht="15" customHeight="1" s="78">
      <c r="A2932" s="95">
        <f>IF($H2932="","",ROW()-6)</f>
        <v/>
      </c>
      <c r="B2932" s="114" t="n"/>
      <c r="C2932" s="102" t="n"/>
      <c r="D2932" s="114" t="n"/>
      <c r="E2932" s="103" t="n"/>
      <c r="F2932" s="102" t="n"/>
      <c r="G2932" s="102" t="n"/>
      <c r="H2932" s="115" t="n"/>
      <c r="I2932" s="102" t="n"/>
      <c r="J2932" s="102" t="n"/>
      <c r="K2932" s="103" t="n"/>
      <c r="L2932" s="116">
        <f>IF($H2932="","",TRIM(IF(COUNTIF(DMTK!$A$7:$A$250,$F2932)=0,"TK Nợ sai! ","")&amp;IF(COUNTIF(DMTK!$A$7:$A$250,$G2932)=0,"TK Có sai! ","")&amp;IF(N($H2932)&lt;=0,"Tiền phải &gt; 0! ","")&amp;IF($B2932="","Thiếu ngày! ","")&amp;IF(AND(OR(LEFT($F2932,3)="131",LEFT($G2932,3)="131",LEFT($F2932,3)="331",LEFT($G2932,3)="331"),$I2932=""),"Thiếu Mã ĐT! ","")&amp;IF(AND($I2932&lt;&gt;"",COUNTIF(DM_DT!$A$7:$A$306,$I2932)=0),"Mã ĐT chưa khai báo! ","")))</f>
        <v/>
      </c>
      <c r="M2932" s="117">
        <f>IF($H2932="","",IF(AND(OR(LEFT($F2932,3)="111",LEFT($F2932,3)="112",LEFT($F2932,3)="113"),OR(LEFT($G2932,3)="111",LEFT($G2932,3)="112",LEFT($G2932,3)="113")),"NB",IF(OR(LEFT($F2932,3)="111",LEFT($F2932,3)="112",LEFT($F2932,3)="113"),"THU",IF(OR(LEFT($G2932,3)="111",LEFT($G2932,3)="112",LEFT($G2932,3)="113"),"CHI",""))))</f>
        <v/>
      </c>
      <c r="N2932" s="117">
        <f>IF($M2932="THU",$G2932,IF($M2932="CHI",$F2932,""))</f>
        <v/>
      </c>
      <c r="O2932" s="117">
        <f>IF(OR($M2932="",$M2932="NB"),"",IF($J2932&lt;&gt;"",TEXT($J2932,"00"),IFERROR(VLOOKUP(LEFT($N2932,4),LCTT_MAP!$A$7:$C$66,IF($M2932="THU",2,3),FALSE()),IFERROR(VLOOKUP(LEFT($N2932,3),LCTT_MAP!$A$7:$C$66,IF($M2932="THU",2,3),FALSE()),IFERROR(VLOOKUP(LEFT($N2932,2),LCTT_MAP!$A$7:$C$66,IF($M2932="THU",2,3),FALSE()),IFERROR(VLOOKUP(LEFT($N2932,1),LCTT_MAP!$A$7:$C$66,IF($M2932="THU",2,3),FALSE()),IF($M2932="THU","06","07")))))))</f>
        <v/>
      </c>
      <c r="P2932" s="117">
        <f>P2931+IF(AND($H2932&lt;&gt;"",OR(LEFT($F2932,LEN(SC_TK))=SC_TK,LEFT($G2932,LEN(SC_TK))=SC_TK)),1,0)</f>
        <v/>
      </c>
    </row>
    <row r="2933" ht="15" customHeight="1" s="78">
      <c r="A2933" s="95">
        <f>IF($H2933="","",ROW()-6)</f>
        <v/>
      </c>
      <c r="B2933" s="114" t="n"/>
      <c r="C2933" s="102" t="n"/>
      <c r="D2933" s="114" t="n"/>
      <c r="E2933" s="103" t="n"/>
      <c r="F2933" s="102" t="n"/>
      <c r="G2933" s="102" t="n"/>
      <c r="H2933" s="115" t="n"/>
      <c r="I2933" s="102" t="n"/>
      <c r="J2933" s="102" t="n"/>
      <c r="K2933" s="103" t="n"/>
      <c r="L2933" s="116">
        <f>IF($H2933="","",TRIM(IF(COUNTIF(DMTK!$A$7:$A$250,$F2933)=0,"TK Nợ sai! ","")&amp;IF(COUNTIF(DMTK!$A$7:$A$250,$G2933)=0,"TK Có sai! ","")&amp;IF(N($H2933)&lt;=0,"Tiền phải &gt; 0! ","")&amp;IF($B2933="","Thiếu ngày! ","")&amp;IF(AND(OR(LEFT($F2933,3)="131",LEFT($G2933,3)="131",LEFT($F2933,3)="331",LEFT($G2933,3)="331"),$I2933=""),"Thiếu Mã ĐT! ","")&amp;IF(AND($I2933&lt;&gt;"",COUNTIF(DM_DT!$A$7:$A$306,$I2933)=0),"Mã ĐT chưa khai báo! ","")))</f>
        <v/>
      </c>
      <c r="M2933" s="117">
        <f>IF($H2933="","",IF(AND(OR(LEFT($F2933,3)="111",LEFT($F2933,3)="112",LEFT($F2933,3)="113"),OR(LEFT($G2933,3)="111",LEFT($G2933,3)="112",LEFT($G2933,3)="113")),"NB",IF(OR(LEFT($F2933,3)="111",LEFT($F2933,3)="112",LEFT($F2933,3)="113"),"THU",IF(OR(LEFT($G2933,3)="111",LEFT($G2933,3)="112",LEFT($G2933,3)="113"),"CHI",""))))</f>
        <v/>
      </c>
      <c r="N2933" s="117">
        <f>IF($M2933="THU",$G2933,IF($M2933="CHI",$F2933,""))</f>
        <v/>
      </c>
      <c r="O2933" s="117">
        <f>IF(OR($M2933="",$M2933="NB"),"",IF($J2933&lt;&gt;"",TEXT($J2933,"00"),IFERROR(VLOOKUP(LEFT($N2933,4),LCTT_MAP!$A$7:$C$66,IF($M2933="THU",2,3),FALSE()),IFERROR(VLOOKUP(LEFT($N2933,3),LCTT_MAP!$A$7:$C$66,IF($M2933="THU",2,3),FALSE()),IFERROR(VLOOKUP(LEFT($N2933,2),LCTT_MAP!$A$7:$C$66,IF($M2933="THU",2,3),FALSE()),IFERROR(VLOOKUP(LEFT($N2933,1),LCTT_MAP!$A$7:$C$66,IF($M2933="THU",2,3),FALSE()),IF($M2933="THU","06","07")))))))</f>
        <v/>
      </c>
      <c r="P2933" s="117">
        <f>P2932+IF(AND($H2933&lt;&gt;"",OR(LEFT($F2933,LEN(SC_TK))=SC_TK,LEFT($G2933,LEN(SC_TK))=SC_TK)),1,0)</f>
        <v/>
      </c>
    </row>
    <row r="2934" ht="15" customHeight="1" s="78">
      <c r="A2934" s="95">
        <f>IF($H2934="","",ROW()-6)</f>
        <v/>
      </c>
      <c r="B2934" s="114" t="n"/>
      <c r="C2934" s="102" t="n"/>
      <c r="D2934" s="114" t="n"/>
      <c r="E2934" s="103" t="n"/>
      <c r="F2934" s="102" t="n"/>
      <c r="G2934" s="102" t="n"/>
      <c r="H2934" s="115" t="n"/>
      <c r="I2934" s="102" t="n"/>
      <c r="J2934" s="102" t="n"/>
      <c r="K2934" s="103" t="n"/>
      <c r="L2934" s="116">
        <f>IF($H2934="","",TRIM(IF(COUNTIF(DMTK!$A$7:$A$250,$F2934)=0,"TK Nợ sai! ","")&amp;IF(COUNTIF(DMTK!$A$7:$A$250,$G2934)=0,"TK Có sai! ","")&amp;IF(N($H2934)&lt;=0,"Tiền phải &gt; 0! ","")&amp;IF($B2934="","Thiếu ngày! ","")&amp;IF(AND(OR(LEFT($F2934,3)="131",LEFT($G2934,3)="131",LEFT($F2934,3)="331",LEFT($G2934,3)="331"),$I2934=""),"Thiếu Mã ĐT! ","")&amp;IF(AND($I2934&lt;&gt;"",COUNTIF(DM_DT!$A$7:$A$306,$I2934)=0),"Mã ĐT chưa khai báo! ","")))</f>
        <v/>
      </c>
      <c r="M2934" s="117">
        <f>IF($H2934="","",IF(AND(OR(LEFT($F2934,3)="111",LEFT($F2934,3)="112",LEFT($F2934,3)="113"),OR(LEFT($G2934,3)="111",LEFT($G2934,3)="112",LEFT($G2934,3)="113")),"NB",IF(OR(LEFT($F2934,3)="111",LEFT($F2934,3)="112",LEFT($F2934,3)="113"),"THU",IF(OR(LEFT($G2934,3)="111",LEFT($G2934,3)="112",LEFT($G2934,3)="113"),"CHI",""))))</f>
        <v/>
      </c>
      <c r="N2934" s="117">
        <f>IF($M2934="THU",$G2934,IF($M2934="CHI",$F2934,""))</f>
        <v/>
      </c>
      <c r="O2934" s="117">
        <f>IF(OR($M2934="",$M2934="NB"),"",IF($J2934&lt;&gt;"",TEXT($J2934,"00"),IFERROR(VLOOKUP(LEFT($N2934,4),LCTT_MAP!$A$7:$C$66,IF($M2934="THU",2,3),FALSE()),IFERROR(VLOOKUP(LEFT($N2934,3),LCTT_MAP!$A$7:$C$66,IF($M2934="THU",2,3),FALSE()),IFERROR(VLOOKUP(LEFT($N2934,2),LCTT_MAP!$A$7:$C$66,IF($M2934="THU",2,3),FALSE()),IFERROR(VLOOKUP(LEFT($N2934,1),LCTT_MAP!$A$7:$C$66,IF($M2934="THU",2,3),FALSE()),IF($M2934="THU","06","07")))))))</f>
        <v/>
      </c>
      <c r="P2934" s="117">
        <f>P2933+IF(AND($H2934&lt;&gt;"",OR(LEFT($F2934,LEN(SC_TK))=SC_TK,LEFT($G2934,LEN(SC_TK))=SC_TK)),1,0)</f>
        <v/>
      </c>
    </row>
    <row r="2935" ht="15" customHeight="1" s="78">
      <c r="A2935" s="95">
        <f>IF($H2935="","",ROW()-6)</f>
        <v/>
      </c>
      <c r="B2935" s="114" t="n"/>
      <c r="C2935" s="102" t="n"/>
      <c r="D2935" s="114" t="n"/>
      <c r="E2935" s="103" t="n"/>
      <c r="F2935" s="102" t="n"/>
      <c r="G2935" s="102" t="n"/>
      <c r="H2935" s="115" t="n"/>
      <c r="I2935" s="102" t="n"/>
      <c r="J2935" s="102" t="n"/>
      <c r="K2935" s="103" t="n"/>
      <c r="L2935" s="116">
        <f>IF($H2935="","",TRIM(IF(COUNTIF(DMTK!$A$7:$A$250,$F2935)=0,"TK Nợ sai! ","")&amp;IF(COUNTIF(DMTK!$A$7:$A$250,$G2935)=0,"TK Có sai! ","")&amp;IF(N($H2935)&lt;=0,"Tiền phải &gt; 0! ","")&amp;IF($B2935="","Thiếu ngày! ","")&amp;IF(AND(OR(LEFT($F2935,3)="131",LEFT($G2935,3)="131",LEFT($F2935,3)="331",LEFT($G2935,3)="331"),$I2935=""),"Thiếu Mã ĐT! ","")&amp;IF(AND($I2935&lt;&gt;"",COUNTIF(DM_DT!$A$7:$A$306,$I2935)=0),"Mã ĐT chưa khai báo! ","")))</f>
        <v/>
      </c>
      <c r="M2935" s="117">
        <f>IF($H2935="","",IF(AND(OR(LEFT($F2935,3)="111",LEFT($F2935,3)="112",LEFT($F2935,3)="113"),OR(LEFT($G2935,3)="111",LEFT($G2935,3)="112",LEFT($G2935,3)="113")),"NB",IF(OR(LEFT($F2935,3)="111",LEFT($F2935,3)="112",LEFT($F2935,3)="113"),"THU",IF(OR(LEFT($G2935,3)="111",LEFT($G2935,3)="112",LEFT($G2935,3)="113"),"CHI",""))))</f>
        <v/>
      </c>
      <c r="N2935" s="117">
        <f>IF($M2935="THU",$G2935,IF($M2935="CHI",$F2935,""))</f>
        <v/>
      </c>
      <c r="O2935" s="117">
        <f>IF(OR($M2935="",$M2935="NB"),"",IF($J2935&lt;&gt;"",TEXT($J2935,"00"),IFERROR(VLOOKUP(LEFT($N2935,4),LCTT_MAP!$A$7:$C$66,IF($M2935="THU",2,3),FALSE()),IFERROR(VLOOKUP(LEFT($N2935,3),LCTT_MAP!$A$7:$C$66,IF($M2935="THU",2,3),FALSE()),IFERROR(VLOOKUP(LEFT($N2935,2),LCTT_MAP!$A$7:$C$66,IF($M2935="THU",2,3),FALSE()),IFERROR(VLOOKUP(LEFT($N2935,1),LCTT_MAP!$A$7:$C$66,IF($M2935="THU",2,3),FALSE()),IF($M2935="THU","06","07")))))))</f>
        <v/>
      </c>
      <c r="P2935" s="117">
        <f>P2934+IF(AND($H2935&lt;&gt;"",OR(LEFT($F2935,LEN(SC_TK))=SC_TK,LEFT($G2935,LEN(SC_TK))=SC_TK)),1,0)</f>
        <v/>
      </c>
    </row>
    <row r="2936" ht="15" customHeight="1" s="78">
      <c r="A2936" s="95">
        <f>IF($H2936="","",ROW()-6)</f>
        <v/>
      </c>
      <c r="B2936" s="114" t="n"/>
      <c r="C2936" s="102" t="n"/>
      <c r="D2936" s="114" t="n"/>
      <c r="E2936" s="103" t="n"/>
      <c r="F2936" s="102" t="n"/>
      <c r="G2936" s="102" t="n"/>
      <c r="H2936" s="115" t="n"/>
      <c r="I2936" s="102" t="n"/>
      <c r="J2936" s="102" t="n"/>
      <c r="K2936" s="103" t="n"/>
      <c r="L2936" s="116">
        <f>IF($H2936="","",TRIM(IF(COUNTIF(DMTK!$A$7:$A$250,$F2936)=0,"TK Nợ sai! ","")&amp;IF(COUNTIF(DMTK!$A$7:$A$250,$G2936)=0,"TK Có sai! ","")&amp;IF(N($H2936)&lt;=0,"Tiền phải &gt; 0! ","")&amp;IF($B2936="","Thiếu ngày! ","")&amp;IF(AND(OR(LEFT($F2936,3)="131",LEFT($G2936,3)="131",LEFT($F2936,3)="331",LEFT($G2936,3)="331"),$I2936=""),"Thiếu Mã ĐT! ","")&amp;IF(AND($I2936&lt;&gt;"",COUNTIF(DM_DT!$A$7:$A$306,$I2936)=0),"Mã ĐT chưa khai báo! ","")))</f>
        <v/>
      </c>
      <c r="M2936" s="117">
        <f>IF($H2936="","",IF(AND(OR(LEFT($F2936,3)="111",LEFT($F2936,3)="112",LEFT($F2936,3)="113"),OR(LEFT($G2936,3)="111",LEFT($G2936,3)="112",LEFT($G2936,3)="113")),"NB",IF(OR(LEFT($F2936,3)="111",LEFT($F2936,3)="112",LEFT($F2936,3)="113"),"THU",IF(OR(LEFT($G2936,3)="111",LEFT($G2936,3)="112",LEFT($G2936,3)="113"),"CHI",""))))</f>
        <v/>
      </c>
      <c r="N2936" s="117">
        <f>IF($M2936="THU",$G2936,IF($M2936="CHI",$F2936,""))</f>
        <v/>
      </c>
      <c r="O2936" s="117">
        <f>IF(OR($M2936="",$M2936="NB"),"",IF($J2936&lt;&gt;"",TEXT($J2936,"00"),IFERROR(VLOOKUP(LEFT($N2936,4),LCTT_MAP!$A$7:$C$66,IF($M2936="THU",2,3),FALSE()),IFERROR(VLOOKUP(LEFT($N2936,3),LCTT_MAP!$A$7:$C$66,IF($M2936="THU",2,3),FALSE()),IFERROR(VLOOKUP(LEFT($N2936,2),LCTT_MAP!$A$7:$C$66,IF($M2936="THU",2,3),FALSE()),IFERROR(VLOOKUP(LEFT($N2936,1),LCTT_MAP!$A$7:$C$66,IF($M2936="THU",2,3),FALSE()),IF($M2936="THU","06","07")))))))</f>
        <v/>
      </c>
      <c r="P2936" s="117">
        <f>P2935+IF(AND($H2936&lt;&gt;"",OR(LEFT($F2936,LEN(SC_TK))=SC_TK,LEFT($G2936,LEN(SC_TK))=SC_TK)),1,0)</f>
        <v/>
      </c>
    </row>
    <row r="2937" ht="15" customHeight="1" s="78">
      <c r="A2937" s="95">
        <f>IF($H2937="","",ROW()-6)</f>
        <v/>
      </c>
      <c r="B2937" s="114" t="n"/>
      <c r="C2937" s="102" t="n"/>
      <c r="D2937" s="114" t="n"/>
      <c r="E2937" s="103" t="n"/>
      <c r="F2937" s="102" t="n"/>
      <c r="G2937" s="102" t="n"/>
      <c r="H2937" s="115" t="n"/>
      <c r="I2937" s="102" t="n"/>
      <c r="J2937" s="102" t="n"/>
      <c r="K2937" s="103" t="n"/>
      <c r="L2937" s="116">
        <f>IF($H2937="","",TRIM(IF(COUNTIF(DMTK!$A$7:$A$250,$F2937)=0,"TK Nợ sai! ","")&amp;IF(COUNTIF(DMTK!$A$7:$A$250,$G2937)=0,"TK Có sai! ","")&amp;IF(N($H2937)&lt;=0,"Tiền phải &gt; 0! ","")&amp;IF($B2937="","Thiếu ngày! ","")&amp;IF(AND(OR(LEFT($F2937,3)="131",LEFT($G2937,3)="131",LEFT($F2937,3)="331",LEFT($G2937,3)="331"),$I2937=""),"Thiếu Mã ĐT! ","")&amp;IF(AND($I2937&lt;&gt;"",COUNTIF(DM_DT!$A$7:$A$306,$I2937)=0),"Mã ĐT chưa khai báo! ","")))</f>
        <v/>
      </c>
      <c r="M2937" s="117">
        <f>IF($H2937="","",IF(AND(OR(LEFT($F2937,3)="111",LEFT($F2937,3)="112",LEFT($F2937,3)="113"),OR(LEFT($G2937,3)="111",LEFT($G2937,3)="112",LEFT($G2937,3)="113")),"NB",IF(OR(LEFT($F2937,3)="111",LEFT($F2937,3)="112",LEFT($F2937,3)="113"),"THU",IF(OR(LEFT($G2937,3)="111",LEFT($G2937,3)="112",LEFT($G2937,3)="113"),"CHI",""))))</f>
        <v/>
      </c>
      <c r="N2937" s="117">
        <f>IF($M2937="THU",$G2937,IF($M2937="CHI",$F2937,""))</f>
        <v/>
      </c>
      <c r="O2937" s="117">
        <f>IF(OR($M2937="",$M2937="NB"),"",IF($J2937&lt;&gt;"",TEXT($J2937,"00"),IFERROR(VLOOKUP(LEFT($N2937,4),LCTT_MAP!$A$7:$C$66,IF($M2937="THU",2,3),FALSE()),IFERROR(VLOOKUP(LEFT($N2937,3),LCTT_MAP!$A$7:$C$66,IF($M2937="THU",2,3),FALSE()),IFERROR(VLOOKUP(LEFT($N2937,2),LCTT_MAP!$A$7:$C$66,IF($M2937="THU",2,3),FALSE()),IFERROR(VLOOKUP(LEFT($N2937,1),LCTT_MAP!$A$7:$C$66,IF($M2937="THU",2,3),FALSE()),IF($M2937="THU","06","07")))))))</f>
        <v/>
      </c>
      <c r="P2937" s="117">
        <f>P2936+IF(AND($H2937&lt;&gt;"",OR(LEFT($F2937,LEN(SC_TK))=SC_TK,LEFT($G2937,LEN(SC_TK))=SC_TK)),1,0)</f>
        <v/>
      </c>
    </row>
    <row r="2938" ht="15" customHeight="1" s="78">
      <c r="A2938" s="95">
        <f>IF($H2938="","",ROW()-6)</f>
        <v/>
      </c>
      <c r="B2938" s="114" t="n"/>
      <c r="C2938" s="102" t="n"/>
      <c r="D2938" s="114" t="n"/>
      <c r="E2938" s="103" t="n"/>
      <c r="F2938" s="102" t="n"/>
      <c r="G2938" s="102" t="n"/>
      <c r="H2938" s="115" t="n"/>
      <c r="I2938" s="102" t="n"/>
      <c r="J2938" s="102" t="n"/>
      <c r="K2938" s="103" t="n"/>
      <c r="L2938" s="116">
        <f>IF($H2938="","",TRIM(IF(COUNTIF(DMTK!$A$7:$A$250,$F2938)=0,"TK Nợ sai! ","")&amp;IF(COUNTIF(DMTK!$A$7:$A$250,$G2938)=0,"TK Có sai! ","")&amp;IF(N($H2938)&lt;=0,"Tiền phải &gt; 0! ","")&amp;IF($B2938="","Thiếu ngày! ","")&amp;IF(AND(OR(LEFT($F2938,3)="131",LEFT($G2938,3)="131",LEFT($F2938,3)="331",LEFT($G2938,3)="331"),$I2938=""),"Thiếu Mã ĐT! ","")&amp;IF(AND($I2938&lt;&gt;"",COUNTIF(DM_DT!$A$7:$A$306,$I2938)=0),"Mã ĐT chưa khai báo! ","")))</f>
        <v/>
      </c>
      <c r="M2938" s="117">
        <f>IF($H2938="","",IF(AND(OR(LEFT($F2938,3)="111",LEFT($F2938,3)="112",LEFT($F2938,3)="113"),OR(LEFT($G2938,3)="111",LEFT($G2938,3)="112",LEFT($G2938,3)="113")),"NB",IF(OR(LEFT($F2938,3)="111",LEFT($F2938,3)="112",LEFT($F2938,3)="113"),"THU",IF(OR(LEFT($G2938,3)="111",LEFT($G2938,3)="112",LEFT($G2938,3)="113"),"CHI",""))))</f>
        <v/>
      </c>
      <c r="N2938" s="117">
        <f>IF($M2938="THU",$G2938,IF($M2938="CHI",$F2938,""))</f>
        <v/>
      </c>
      <c r="O2938" s="117">
        <f>IF(OR($M2938="",$M2938="NB"),"",IF($J2938&lt;&gt;"",TEXT($J2938,"00"),IFERROR(VLOOKUP(LEFT($N2938,4),LCTT_MAP!$A$7:$C$66,IF($M2938="THU",2,3),FALSE()),IFERROR(VLOOKUP(LEFT($N2938,3),LCTT_MAP!$A$7:$C$66,IF($M2938="THU",2,3),FALSE()),IFERROR(VLOOKUP(LEFT($N2938,2),LCTT_MAP!$A$7:$C$66,IF($M2938="THU",2,3),FALSE()),IFERROR(VLOOKUP(LEFT($N2938,1),LCTT_MAP!$A$7:$C$66,IF($M2938="THU",2,3),FALSE()),IF($M2938="THU","06","07")))))))</f>
        <v/>
      </c>
      <c r="P2938" s="117">
        <f>P2937+IF(AND($H2938&lt;&gt;"",OR(LEFT($F2938,LEN(SC_TK))=SC_TK,LEFT($G2938,LEN(SC_TK))=SC_TK)),1,0)</f>
        <v/>
      </c>
    </row>
    <row r="2939" ht="15" customHeight="1" s="78">
      <c r="A2939" s="95">
        <f>IF($H2939="","",ROW()-6)</f>
        <v/>
      </c>
      <c r="B2939" s="114" t="n"/>
      <c r="C2939" s="102" t="n"/>
      <c r="D2939" s="114" t="n"/>
      <c r="E2939" s="103" t="n"/>
      <c r="F2939" s="102" t="n"/>
      <c r="G2939" s="102" t="n"/>
      <c r="H2939" s="115" t="n"/>
      <c r="I2939" s="102" t="n"/>
      <c r="J2939" s="102" t="n"/>
      <c r="K2939" s="103" t="n"/>
      <c r="L2939" s="116">
        <f>IF($H2939="","",TRIM(IF(COUNTIF(DMTK!$A$7:$A$250,$F2939)=0,"TK Nợ sai! ","")&amp;IF(COUNTIF(DMTK!$A$7:$A$250,$G2939)=0,"TK Có sai! ","")&amp;IF(N($H2939)&lt;=0,"Tiền phải &gt; 0! ","")&amp;IF($B2939="","Thiếu ngày! ","")&amp;IF(AND(OR(LEFT($F2939,3)="131",LEFT($G2939,3)="131",LEFT($F2939,3)="331",LEFT($G2939,3)="331"),$I2939=""),"Thiếu Mã ĐT! ","")&amp;IF(AND($I2939&lt;&gt;"",COUNTIF(DM_DT!$A$7:$A$306,$I2939)=0),"Mã ĐT chưa khai báo! ","")))</f>
        <v/>
      </c>
      <c r="M2939" s="117">
        <f>IF($H2939="","",IF(AND(OR(LEFT($F2939,3)="111",LEFT($F2939,3)="112",LEFT($F2939,3)="113"),OR(LEFT($G2939,3)="111",LEFT($G2939,3)="112",LEFT($G2939,3)="113")),"NB",IF(OR(LEFT($F2939,3)="111",LEFT($F2939,3)="112",LEFT($F2939,3)="113"),"THU",IF(OR(LEFT($G2939,3)="111",LEFT($G2939,3)="112",LEFT($G2939,3)="113"),"CHI",""))))</f>
        <v/>
      </c>
      <c r="N2939" s="117">
        <f>IF($M2939="THU",$G2939,IF($M2939="CHI",$F2939,""))</f>
        <v/>
      </c>
      <c r="O2939" s="117">
        <f>IF(OR($M2939="",$M2939="NB"),"",IF($J2939&lt;&gt;"",TEXT($J2939,"00"),IFERROR(VLOOKUP(LEFT($N2939,4),LCTT_MAP!$A$7:$C$66,IF($M2939="THU",2,3),FALSE()),IFERROR(VLOOKUP(LEFT($N2939,3),LCTT_MAP!$A$7:$C$66,IF($M2939="THU",2,3),FALSE()),IFERROR(VLOOKUP(LEFT($N2939,2),LCTT_MAP!$A$7:$C$66,IF($M2939="THU",2,3),FALSE()),IFERROR(VLOOKUP(LEFT($N2939,1),LCTT_MAP!$A$7:$C$66,IF($M2939="THU",2,3),FALSE()),IF($M2939="THU","06","07")))))))</f>
        <v/>
      </c>
      <c r="P2939" s="117">
        <f>P2938+IF(AND($H2939&lt;&gt;"",OR(LEFT($F2939,LEN(SC_TK))=SC_TK,LEFT($G2939,LEN(SC_TK))=SC_TK)),1,0)</f>
        <v/>
      </c>
    </row>
    <row r="2940" ht="15" customHeight="1" s="78">
      <c r="A2940" s="95">
        <f>IF($H2940="","",ROW()-6)</f>
        <v/>
      </c>
      <c r="B2940" s="114" t="n"/>
      <c r="C2940" s="102" t="n"/>
      <c r="D2940" s="114" t="n"/>
      <c r="E2940" s="103" t="n"/>
      <c r="F2940" s="102" t="n"/>
      <c r="G2940" s="102" t="n"/>
      <c r="H2940" s="115" t="n"/>
      <c r="I2940" s="102" t="n"/>
      <c r="J2940" s="102" t="n"/>
      <c r="K2940" s="103" t="n"/>
      <c r="L2940" s="116">
        <f>IF($H2940="","",TRIM(IF(COUNTIF(DMTK!$A$7:$A$250,$F2940)=0,"TK Nợ sai! ","")&amp;IF(COUNTIF(DMTK!$A$7:$A$250,$G2940)=0,"TK Có sai! ","")&amp;IF(N($H2940)&lt;=0,"Tiền phải &gt; 0! ","")&amp;IF($B2940="","Thiếu ngày! ","")&amp;IF(AND(OR(LEFT($F2940,3)="131",LEFT($G2940,3)="131",LEFT($F2940,3)="331",LEFT($G2940,3)="331"),$I2940=""),"Thiếu Mã ĐT! ","")&amp;IF(AND($I2940&lt;&gt;"",COUNTIF(DM_DT!$A$7:$A$306,$I2940)=0),"Mã ĐT chưa khai báo! ","")))</f>
        <v/>
      </c>
      <c r="M2940" s="117">
        <f>IF($H2940="","",IF(AND(OR(LEFT($F2940,3)="111",LEFT($F2940,3)="112",LEFT($F2940,3)="113"),OR(LEFT($G2940,3)="111",LEFT($G2940,3)="112",LEFT($G2940,3)="113")),"NB",IF(OR(LEFT($F2940,3)="111",LEFT($F2940,3)="112",LEFT($F2940,3)="113"),"THU",IF(OR(LEFT($G2940,3)="111",LEFT($G2940,3)="112",LEFT($G2940,3)="113"),"CHI",""))))</f>
        <v/>
      </c>
      <c r="N2940" s="117">
        <f>IF($M2940="THU",$G2940,IF($M2940="CHI",$F2940,""))</f>
        <v/>
      </c>
      <c r="O2940" s="117">
        <f>IF(OR($M2940="",$M2940="NB"),"",IF($J2940&lt;&gt;"",TEXT($J2940,"00"),IFERROR(VLOOKUP(LEFT($N2940,4),LCTT_MAP!$A$7:$C$66,IF($M2940="THU",2,3),FALSE()),IFERROR(VLOOKUP(LEFT($N2940,3),LCTT_MAP!$A$7:$C$66,IF($M2940="THU",2,3),FALSE()),IFERROR(VLOOKUP(LEFT($N2940,2),LCTT_MAP!$A$7:$C$66,IF($M2940="THU",2,3),FALSE()),IFERROR(VLOOKUP(LEFT($N2940,1),LCTT_MAP!$A$7:$C$66,IF($M2940="THU",2,3),FALSE()),IF($M2940="THU","06","07")))))))</f>
        <v/>
      </c>
      <c r="P2940" s="117">
        <f>P2939+IF(AND($H2940&lt;&gt;"",OR(LEFT($F2940,LEN(SC_TK))=SC_TK,LEFT($G2940,LEN(SC_TK))=SC_TK)),1,0)</f>
        <v/>
      </c>
    </row>
    <row r="2941" ht="15" customHeight="1" s="78">
      <c r="A2941" s="95">
        <f>IF($H2941="","",ROW()-6)</f>
        <v/>
      </c>
      <c r="B2941" s="114" t="n"/>
      <c r="C2941" s="102" t="n"/>
      <c r="D2941" s="114" t="n"/>
      <c r="E2941" s="103" t="n"/>
      <c r="F2941" s="102" t="n"/>
      <c r="G2941" s="102" t="n"/>
      <c r="H2941" s="115" t="n"/>
      <c r="I2941" s="102" t="n"/>
      <c r="J2941" s="102" t="n"/>
      <c r="K2941" s="103" t="n"/>
      <c r="L2941" s="116">
        <f>IF($H2941="","",TRIM(IF(COUNTIF(DMTK!$A$7:$A$250,$F2941)=0,"TK Nợ sai! ","")&amp;IF(COUNTIF(DMTK!$A$7:$A$250,$G2941)=0,"TK Có sai! ","")&amp;IF(N($H2941)&lt;=0,"Tiền phải &gt; 0! ","")&amp;IF($B2941="","Thiếu ngày! ","")&amp;IF(AND(OR(LEFT($F2941,3)="131",LEFT($G2941,3)="131",LEFT($F2941,3)="331",LEFT($G2941,3)="331"),$I2941=""),"Thiếu Mã ĐT! ","")&amp;IF(AND($I2941&lt;&gt;"",COUNTIF(DM_DT!$A$7:$A$306,$I2941)=0),"Mã ĐT chưa khai báo! ","")))</f>
        <v/>
      </c>
      <c r="M2941" s="117">
        <f>IF($H2941="","",IF(AND(OR(LEFT($F2941,3)="111",LEFT($F2941,3)="112",LEFT($F2941,3)="113"),OR(LEFT($G2941,3)="111",LEFT($G2941,3)="112",LEFT($G2941,3)="113")),"NB",IF(OR(LEFT($F2941,3)="111",LEFT($F2941,3)="112",LEFT($F2941,3)="113"),"THU",IF(OR(LEFT($G2941,3)="111",LEFT($G2941,3)="112",LEFT($G2941,3)="113"),"CHI",""))))</f>
        <v/>
      </c>
      <c r="N2941" s="117">
        <f>IF($M2941="THU",$G2941,IF($M2941="CHI",$F2941,""))</f>
        <v/>
      </c>
      <c r="O2941" s="117">
        <f>IF(OR($M2941="",$M2941="NB"),"",IF($J2941&lt;&gt;"",TEXT($J2941,"00"),IFERROR(VLOOKUP(LEFT($N2941,4),LCTT_MAP!$A$7:$C$66,IF($M2941="THU",2,3),FALSE()),IFERROR(VLOOKUP(LEFT($N2941,3),LCTT_MAP!$A$7:$C$66,IF($M2941="THU",2,3),FALSE()),IFERROR(VLOOKUP(LEFT($N2941,2),LCTT_MAP!$A$7:$C$66,IF($M2941="THU",2,3),FALSE()),IFERROR(VLOOKUP(LEFT($N2941,1),LCTT_MAP!$A$7:$C$66,IF($M2941="THU",2,3),FALSE()),IF($M2941="THU","06","07")))))))</f>
        <v/>
      </c>
      <c r="P2941" s="117">
        <f>P2940+IF(AND($H2941&lt;&gt;"",OR(LEFT($F2941,LEN(SC_TK))=SC_TK,LEFT($G2941,LEN(SC_TK))=SC_TK)),1,0)</f>
        <v/>
      </c>
    </row>
    <row r="2942" ht="15" customHeight="1" s="78">
      <c r="A2942" s="95">
        <f>IF($H2942="","",ROW()-6)</f>
        <v/>
      </c>
      <c r="B2942" s="114" t="n"/>
      <c r="C2942" s="102" t="n"/>
      <c r="D2942" s="114" t="n"/>
      <c r="E2942" s="103" t="n"/>
      <c r="F2942" s="102" t="n"/>
      <c r="G2942" s="102" t="n"/>
      <c r="H2942" s="115" t="n"/>
      <c r="I2942" s="102" t="n"/>
      <c r="J2942" s="102" t="n"/>
      <c r="K2942" s="103" t="n"/>
      <c r="L2942" s="116">
        <f>IF($H2942="","",TRIM(IF(COUNTIF(DMTK!$A$7:$A$250,$F2942)=0,"TK Nợ sai! ","")&amp;IF(COUNTIF(DMTK!$A$7:$A$250,$G2942)=0,"TK Có sai! ","")&amp;IF(N($H2942)&lt;=0,"Tiền phải &gt; 0! ","")&amp;IF($B2942="","Thiếu ngày! ","")&amp;IF(AND(OR(LEFT($F2942,3)="131",LEFT($G2942,3)="131",LEFT($F2942,3)="331",LEFT($G2942,3)="331"),$I2942=""),"Thiếu Mã ĐT! ","")&amp;IF(AND($I2942&lt;&gt;"",COUNTIF(DM_DT!$A$7:$A$306,$I2942)=0),"Mã ĐT chưa khai báo! ","")))</f>
        <v/>
      </c>
      <c r="M2942" s="117">
        <f>IF($H2942="","",IF(AND(OR(LEFT($F2942,3)="111",LEFT($F2942,3)="112",LEFT($F2942,3)="113"),OR(LEFT($G2942,3)="111",LEFT($G2942,3)="112",LEFT($G2942,3)="113")),"NB",IF(OR(LEFT($F2942,3)="111",LEFT($F2942,3)="112",LEFT($F2942,3)="113"),"THU",IF(OR(LEFT($G2942,3)="111",LEFT($G2942,3)="112",LEFT($G2942,3)="113"),"CHI",""))))</f>
        <v/>
      </c>
      <c r="N2942" s="117">
        <f>IF($M2942="THU",$G2942,IF($M2942="CHI",$F2942,""))</f>
        <v/>
      </c>
      <c r="O2942" s="117">
        <f>IF(OR($M2942="",$M2942="NB"),"",IF($J2942&lt;&gt;"",TEXT($J2942,"00"),IFERROR(VLOOKUP(LEFT($N2942,4),LCTT_MAP!$A$7:$C$66,IF($M2942="THU",2,3),FALSE()),IFERROR(VLOOKUP(LEFT($N2942,3),LCTT_MAP!$A$7:$C$66,IF($M2942="THU",2,3),FALSE()),IFERROR(VLOOKUP(LEFT($N2942,2),LCTT_MAP!$A$7:$C$66,IF($M2942="THU",2,3),FALSE()),IFERROR(VLOOKUP(LEFT($N2942,1),LCTT_MAP!$A$7:$C$66,IF($M2942="THU",2,3),FALSE()),IF($M2942="THU","06","07")))))))</f>
        <v/>
      </c>
      <c r="P2942" s="117">
        <f>P2941+IF(AND($H2942&lt;&gt;"",OR(LEFT($F2942,LEN(SC_TK))=SC_TK,LEFT($G2942,LEN(SC_TK))=SC_TK)),1,0)</f>
        <v/>
      </c>
    </row>
    <row r="2943" ht="15" customHeight="1" s="78">
      <c r="A2943" s="95">
        <f>IF($H2943="","",ROW()-6)</f>
        <v/>
      </c>
      <c r="B2943" s="114" t="n"/>
      <c r="C2943" s="102" t="n"/>
      <c r="D2943" s="114" t="n"/>
      <c r="E2943" s="103" t="n"/>
      <c r="F2943" s="102" t="n"/>
      <c r="G2943" s="102" t="n"/>
      <c r="H2943" s="115" t="n"/>
      <c r="I2943" s="102" t="n"/>
      <c r="J2943" s="102" t="n"/>
      <c r="K2943" s="103" t="n"/>
      <c r="L2943" s="116">
        <f>IF($H2943="","",TRIM(IF(COUNTIF(DMTK!$A$7:$A$250,$F2943)=0,"TK Nợ sai! ","")&amp;IF(COUNTIF(DMTK!$A$7:$A$250,$G2943)=0,"TK Có sai! ","")&amp;IF(N($H2943)&lt;=0,"Tiền phải &gt; 0! ","")&amp;IF($B2943="","Thiếu ngày! ","")&amp;IF(AND(OR(LEFT($F2943,3)="131",LEFT($G2943,3)="131",LEFT($F2943,3)="331",LEFT($G2943,3)="331"),$I2943=""),"Thiếu Mã ĐT! ","")&amp;IF(AND($I2943&lt;&gt;"",COUNTIF(DM_DT!$A$7:$A$306,$I2943)=0),"Mã ĐT chưa khai báo! ","")))</f>
        <v/>
      </c>
      <c r="M2943" s="117">
        <f>IF($H2943="","",IF(AND(OR(LEFT($F2943,3)="111",LEFT($F2943,3)="112",LEFT($F2943,3)="113"),OR(LEFT($G2943,3)="111",LEFT($G2943,3)="112",LEFT($G2943,3)="113")),"NB",IF(OR(LEFT($F2943,3)="111",LEFT($F2943,3)="112",LEFT($F2943,3)="113"),"THU",IF(OR(LEFT($G2943,3)="111",LEFT($G2943,3)="112",LEFT($G2943,3)="113"),"CHI",""))))</f>
        <v/>
      </c>
      <c r="N2943" s="117">
        <f>IF($M2943="THU",$G2943,IF($M2943="CHI",$F2943,""))</f>
        <v/>
      </c>
      <c r="O2943" s="117">
        <f>IF(OR($M2943="",$M2943="NB"),"",IF($J2943&lt;&gt;"",TEXT($J2943,"00"),IFERROR(VLOOKUP(LEFT($N2943,4),LCTT_MAP!$A$7:$C$66,IF($M2943="THU",2,3),FALSE()),IFERROR(VLOOKUP(LEFT($N2943,3),LCTT_MAP!$A$7:$C$66,IF($M2943="THU",2,3),FALSE()),IFERROR(VLOOKUP(LEFT($N2943,2),LCTT_MAP!$A$7:$C$66,IF($M2943="THU",2,3),FALSE()),IFERROR(VLOOKUP(LEFT($N2943,1),LCTT_MAP!$A$7:$C$66,IF($M2943="THU",2,3),FALSE()),IF($M2943="THU","06","07")))))))</f>
        <v/>
      </c>
      <c r="P2943" s="117">
        <f>P2942+IF(AND($H2943&lt;&gt;"",OR(LEFT($F2943,LEN(SC_TK))=SC_TK,LEFT($G2943,LEN(SC_TK))=SC_TK)),1,0)</f>
        <v/>
      </c>
    </row>
    <row r="2944" ht="15" customHeight="1" s="78">
      <c r="A2944" s="95">
        <f>IF($H2944="","",ROW()-6)</f>
        <v/>
      </c>
      <c r="B2944" s="114" t="n"/>
      <c r="C2944" s="102" t="n"/>
      <c r="D2944" s="114" t="n"/>
      <c r="E2944" s="103" t="n"/>
      <c r="F2944" s="102" t="n"/>
      <c r="G2944" s="102" t="n"/>
      <c r="H2944" s="115" t="n"/>
      <c r="I2944" s="102" t="n"/>
      <c r="J2944" s="102" t="n"/>
      <c r="K2944" s="103" t="n"/>
      <c r="L2944" s="116">
        <f>IF($H2944="","",TRIM(IF(COUNTIF(DMTK!$A$7:$A$250,$F2944)=0,"TK Nợ sai! ","")&amp;IF(COUNTIF(DMTK!$A$7:$A$250,$G2944)=0,"TK Có sai! ","")&amp;IF(N($H2944)&lt;=0,"Tiền phải &gt; 0! ","")&amp;IF($B2944="","Thiếu ngày! ","")&amp;IF(AND(OR(LEFT($F2944,3)="131",LEFT($G2944,3)="131",LEFT($F2944,3)="331",LEFT($G2944,3)="331"),$I2944=""),"Thiếu Mã ĐT! ","")&amp;IF(AND($I2944&lt;&gt;"",COUNTIF(DM_DT!$A$7:$A$306,$I2944)=0),"Mã ĐT chưa khai báo! ","")))</f>
        <v/>
      </c>
      <c r="M2944" s="117">
        <f>IF($H2944="","",IF(AND(OR(LEFT($F2944,3)="111",LEFT($F2944,3)="112",LEFT($F2944,3)="113"),OR(LEFT($G2944,3)="111",LEFT($G2944,3)="112",LEFT($G2944,3)="113")),"NB",IF(OR(LEFT($F2944,3)="111",LEFT($F2944,3)="112",LEFT($F2944,3)="113"),"THU",IF(OR(LEFT($G2944,3)="111",LEFT($G2944,3)="112",LEFT($G2944,3)="113"),"CHI",""))))</f>
        <v/>
      </c>
      <c r="N2944" s="117">
        <f>IF($M2944="THU",$G2944,IF($M2944="CHI",$F2944,""))</f>
        <v/>
      </c>
      <c r="O2944" s="117">
        <f>IF(OR($M2944="",$M2944="NB"),"",IF($J2944&lt;&gt;"",TEXT($J2944,"00"),IFERROR(VLOOKUP(LEFT($N2944,4),LCTT_MAP!$A$7:$C$66,IF($M2944="THU",2,3),FALSE()),IFERROR(VLOOKUP(LEFT($N2944,3),LCTT_MAP!$A$7:$C$66,IF($M2944="THU",2,3),FALSE()),IFERROR(VLOOKUP(LEFT($N2944,2),LCTT_MAP!$A$7:$C$66,IF($M2944="THU",2,3),FALSE()),IFERROR(VLOOKUP(LEFT($N2944,1),LCTT_MAP!$A$7:$C$66,IF($M2944="THU",2,3),FALSE()),IF($M2944="THU","06","07")))))))</f>
        <v/>
      </c>
      <c r="P2944" s="117">
        <f>P2943+IF(AND($H2944&lt;&gt;"",OR(LEFT($F2944,LEN(SC_TK))=SC_TK,LEFT($G2944,LEN(SC_TK))=SC_TK)),1,0)</f>
        <v/>
      </c>
    </row>
    <row r="2945" ht="15" customHeight="1" s="78">
      <c r="A2945" s="95">
        <f>IF($H2945="","",ROW()-6)</f>
        <v/>
      </c>
      <c r="B2945" s="114" t="n"/>
      <c r="C2945" s="102" t="n"/>
      <c r="D2945" s="114" t="n"/>
      <c r="E2945" s="103" t="n"/>
      <c r="F2945" s="102" t="n"/>
      <c r="G2945" s="102" t="n"/>
      <c r="H2945" s="115" t="n"/>
      <c r="I2945" s="102" t="n"/>
      <c r="J2945" s="102" t="n"/>
      <c r="K2945" s="103" t="n"/>
      <c r="L2945" s="116">
        <f>IF($H2945="","",TRIM(IF(COUNTIF(DMTK!$A$7:$A$250,$F2945)=0,"TK Nợ sai! ","")&amp;IF(COUNTIF(DMTK!$A$7:$A$250,$G2945)=0,"TK Có sai! ","")&amp;IF(N($H2945)&lt;=0,"Tiền phải &gt; 0! ","")&amp;IF($B2945="","Thiếu ngày! ","")&amp;IF(AND(OR(LEFT($F2945,3)="131",LEFT($G2945,3)="131",LEFT($F2945,3)="331",LEFT($G2945,3)="331"),$I2945=""),"Thiếu Mã ĐT! ","")&amp;IF(AND($I2945&lt;&gt;"",COUNTIF(DM_DT!$A$7:$A$306,$I2945)=0),"Mã ĐT chưa khai báo! ","")))</f>
        <v/>
      </c>
      <c r="M2945" s="117">
        <f>IF($H2945="","",IF(AND(OR(LEFT($F2945,3)="111",LEFT($F2945,3)="112",LEFT($F2945,3)="113"),OR(LEFT($G2945,3)="111",LEFT($G2945,3)="112",LEFT($G2945,3)="113")),"NB",IF(OR(LEFT($F2945,3)="111",LEFT($F2945,3)="112",LEFT($F2945,3)="113"),"THU",IF(OR(LEFT($G2945,3)="111",LEFT($G2945,3)="112",LEFT($G2945,3)="113"),"CHI",""))))</f>
        <v/>
      </c>
      <c r="N2945" s="117">
        <f>IF($M2945="THU",$G2945,IF($M2945="CHI",$F2945,""))</f>
        <v/>
      </c>
      <c r="O2945" s="117">
        <f>IF(OR($M2945="",$M2945="NB"),"",IF($J2945&lt;&gt;"",TEXT($J2945,"00"),IFERROR(VLOOKUP(LEFT($N2945,4),LCTT_MAP!$A$7:$C$66,IF($M2945="THU",2,3),FALSE()),IFERROR(VLOOKUP(LEFT($N2945,3),LCTT_MAP!$A$7:$C$66,IF($M2945="THU",2,3),FALSE()),IFERROR(VLOOKUP(LEFT($N2945,2),LCTT_MAP!$A$7:$C$66,IF($M2945="THU",2,3),FALSE()),IFERROR(VLOOKUP(LEFT($N2945,1),LCTT_MAP!$A$7:$C$66,IF($M2945="THU",2,3),FALSE()),IF($M2945="THU","06","07")))))))</f>
        <v/>
      </c>
      <c r="P2945" s="117">
        <f>P2944+IF(AND($H2945&lt;&gt;"",OR(LEFT($F2945,LEN(SC_TK))=SC_TK,LEFT($G2945,LEN(SC_TK))=SC_TK)),1,0)</f>
        <v/>
      </c>
    </row>
    <row r="2946" ht="15" customHeight="1" s="78">
      <c r="A2946" s="95">
        <f>IF($H2946="","",ROW()-6)</f>
        <v/>
      </c>
      <c r="B2946" s="114" t="n"/>
      <c r="C2946" s="102" t="n"/>
      <c r="D2946" s="114" t="n"/>
      <c r="E2946" s="103" t="n"/>
      <c r="F2946" s="102" t="n"/>
      <c r="G2946" s="102" t="n"/>
      <c r="H2946" s="115" t="n"/>
      <c r="I2946" s="102" t="n"/>
      <c r="J2946" s="102" t="n"/>
      <c r="K2946" s="103" t="n"/>
      <c r="L2946" s="116">
        <f>IF($H2946="","",TRIM(IF(COUNTIF(DMTK!$A$7:$A$250,$F2946)=0,"TK Nợ sai! ","")&amp;IF(COUNTIF(DMTK!$A$7:$A$250,$G2946)=0,"TK Có sai! ","")&amp;IF(N($H2946)&lt;=0,"Tiền phải &gt; 0! ","")&amp;IF($B2946="","Thiếu ngày! ","")&amp;IF(AND(OR(LEFT($F2946,3)="131",LEFT($G2946,3)="131",LEFT($F2946,3)="331",LEFT($G2946,3)="331"),$I2946=""),"Thiếu Mã ĐT! ","")&amp;IF(AND($I2946&lt;&gt;"",COUNTIF(DM_DT!$A$7:$A$306,$I2946)=0),"Mã ĐT chưa khai báo! ","")))</f>
        <v/>
      </c>
      <c r="M2946" s="117">
        <f>IF($H2946="","",IF(AND(OR(LEFT($F2946,3)="111",LEFT($F2946,3)="112",LEFT($F2946,3)="113"),OR(LEFT($G2946,3)="111",LEFT($G2946,3)="112",LEFT($G2946,3)="113")),"NB",IF(OR(LEFT($F2946,3)="111",LEFT($F2946,3)="112",LEFT($F2946,3)="113"),"THU",IF(OR(LEFT($G2946,3)="111",LEFT($G2946,3)="112",LEFT($G2946,3)="113"),"CHI",""))))</f>
        <v/>
      </c>
      <c r="N2946" s="117">
        <f>IF($M2946="THU",$G2946,IF($M2946="CHI",$F2946,""))</f>
        <v/>
      </c>
      <c r="O2946" s="117">
        <f>IF(OR($M2946="",$M2946="NB"),"",IF($J2946&lt;&gt;"",TEXT($J2946,"00"),IFERROR(VLOOKUP(LEFT($N2946,4),LCTT_MAP!$A$7:$C$66,IF($M2946="THU",2,3),FALSE()),IFERROR(VLOOKUP(LEFT($N2946,3),LCTT_MAP!$A$7:$C$66,IF($M2946="THU",2,3),FALSE()),IFERROR(VLOOKUP(LEFT($N2946,2),LCTT_MAP!$A$7:$C$66,IF($M2946="THU",2,3),FALSE()),IFERROR(VLOOKUP(LEFT($N2946,1),LCTT_MAP!$A$7:$C$66,IF($M2946="THU",2,3),FALSE()),IF($M2946="THU","06","07")))))))</f>
        <v/>
      </c>
      <c r="P2946" s="117">
        <f>P2945+IF(AND($H2946&lt;&gt;"",OR(LEFT($F2946,LEN(SC_TK))=SC_TK,LEFT($G2946,LEN(SC_TK))=SC_TK)),1,0)</f>
        <v/>
      </c>
    </row>
    <row r="2947" ht="15" customHeight="1" s="78">
      <c r="A2947" s="95">
        <f>IF($H2947="","",ROW()-6)</f>
        <v/>
      </c>
      <c r="B2947" s="114" t="n"/>
      <c r="C2947" s="102" t="n"/>
      <c r="D2947" s="114" t="n"/>
      <c r="E2947" s="103" t="n"/>
      <c r="F2947" s="102" t="n"/>
      <c r="G2947" s="102" t="n"/>
      <c r="H2947" s="115" t="n"/>
      <c r="I2947" s="102" t="n"/>
      <c r="J2947" s="102" t="n"/>
      <c r="K2947" s="103" t="n"/>
      <c r="L2947" s="116">
        <f>IF($H2947="","",TRIM(IF(COUNTIF(DMTK!$A$7:$A$250,$F2947)=0,"TK Nợ sai! ","")&amp;IF(COUNTIF(DMTK!$A$7:$A$250,$G2947)=0,"TK Có sai! ","")&amp;IF(N($H2947)&lt;=0,"Tiền phải &gt; 0! ","")&amp;IF($B2947="","Thiếu ngày! ","")&amp;IF(AND(OR(LEFT($F2947,3)="131",LEFT($G2947,3)="131",LEFT($F2947,3)="331",LEFT($G2947,3)="331"),$I2947=""),"Thiếu Mã ĐT! ","")&amp;IF(AND($I2947&lt;&gt;"",COUNTIF(DM_DT!$A$7:$A$306,$I2947)=0),"Mã ĐT chưa khai báo! ","")))</f>
        <v/>
      </c>
      <c r="M2947" s="117">
        <f>IF($H2947="","",IF(AND(OR(LEFT($F2947,3)="111",LEFT($F2947,3)="112",LEFT($F2947,3)="113"),OR(LEFT($G2947,3)="111",LEFT($G2947,3)="112",LEFT($G2947,3)="113")),"NB",IF(OR(LEFT($F2947,3)="111",LEFT($F2947,3)="112",LEFT($F2947,3)="113"),"THU",IF(OR(LEFT($G2947,3)="111",LEFT($G2947,3)="112",LEFT($G2947,3)="113"),"CHI",""))))</f>
        <v/>
      </c>
      <c r="N2947" s="117">
        <f>IF($M2947="THU",$G2947,IF($M2947="CHI",$F2947,""))</f>
        <v/>
      </c>
      <c r="O2947" s="117">
        <f>IF(OR($M2947="",$M2947="NB"),"",IF($J2947&lt;&gt;"",TEXT($J2947,"00"),IFERROR(VLOOKUP(LEFT($N2947,4),LCTT_MAP!$A$7:$C$66,IF($M2947="THU",2,3),FALSE()),IFERROR(VLOOKUP(LEFT($N2947,3),LCTT_MAP!$A$7:$C$66,IF($M2947="THU",2,3),FALSE()),IFERROR(VLOOKUP(LEFT($N2947,2),LCTT_MAP!$A$7:$C$66,IF($M2947="THU",2,3),FALSE()),IFERROR(VLOOKUP(LEFT($N2947,1),LCTT_MAP!$A$7:$C$66,IF($M2947="THU",2,3),FALSE()),IF($M2947="THU","06","07")))))))</f>
        <v/>
      </c>
      <c r="P2947" s="117">
        <f>P2946+IF(AND($H2947&lt;&gt;"",OR(LEFT($F2947,LEN(SC_TK))=SC_TK,LEFT($G2947,LEN(SC_TK))=SC_TK)),1,0)</f>
        <v/>
      </c>
    </row>
    <row r="2948" ht="15" customHeight="1" s="78">
      <c r="A2948" s="95">
        <f>IF($H2948="","",ROW()-6)</f>
        <v/>
      </c>
      <c r="B2948" s="114" t="n"/>
      <c r="C2948" s="102" t="n"/>
      <c r="D2948" s="114" t="n"/>
      <c r="E2948" s="103" t="n"/>
      <c r="F2948" s="102" t="n"/>
      <c r="G2948" s="102" t="n"/>
      <c r="H2948" s="115" t="n"/>
      <c r="I2948" s="102" t="n"/>
      <c r="J2948" s="102" t="n"/>
      <c r="K2948" s="103" t="n"/>
      <c r="L2948" s="116">
        <f>IF($H2948="","",TRIM(IF(COUNTIF(DMTK!$A$7:$A$250,$F2948)=0,"TK Nợ sai! ","")&amp;IF(COUNTIF(DMTK!$A$7:$A$250,$G2948)=0,"TK Có sai! ","")&amp;IF(N($H2948)&lt;=0,"Tiền phải &gt; 0! ","")&amp;IF($B2948="","Thiếu ngày! ","")&amp;IF(AND(OR(LEFT($F2948,3)="131",LEFT($G2948,3)="131",LEFT($F2948,3)="331",LEFT($G2948,3)="331"),$I2948=""),"Thiếu Mã ĐT! ","")&amp;IF(AND($I2948&lt;&gt;"",COUNTIF(DM_DT!$A$7:$A$306,$I2948)=0),"Mã ĐT chưa khai báo! ","")))</f>
        <v/>
      </c>
      <c r="M2948" s="117">
        <f>IF($H2948="","",IF(AND(OR(LEFT($F2948,3)="111",LEFT($F2948,3)="112",LEFT($F2948,3)="113"),OR(LEFT($G2948,3)="111",LEFT($G2948,3)="112",LEFT($G2948,3)="113")),"NB",IF(OR(LEFT($F2948,3)="111",LEFT($F2948,3)="112",LEFT($F2948,3)="113"),"THU",IF(OR(LEFT($G2948,3)="111",LEFT($G2948,3)="112",LEFT($G2948,3)="113"),"CHI",""))))</f>
        <v/>
      </c>
      <c r="N2948" s="117">
        <f>IF($M2948="THU",$G2948,IF($M2948="CHI",$F2948,""))</f>
        <v/>
      </c>
      <c r="O2948" s="117">
        <f>IF(OR($M2948="",$M2948="NB"),"",IF($J2948&lt;&gt;"",TEXT($J2948,"00"),IFERROR(VLOOKUP(LEFT($N2948,4),LCTT_MAP!$A$7:$C$66,IF($M2948="THU",2,3),FALSE()),IFERROR(VLOOKUP(LEFT($N2948,3),LCTT_MAP!$A$7:$C$66,IF($M2948="THU",2,3),FALSE()),IFERROR(VLOOKUP(LEFT($N2948,2),LCTT_MAP!$A$7:$C$66,IF($M2948="THU",2,3),FALSE()),IFERROR(VLOOKUP(LEFT($N2948,1),LCTT_MAP!$A$7:$C$66,IF($M2948="THU",2,3),FALSE()),IF($M2948="THU","06","07")))))))</f>
        <v/>
      </c>
      <c r="P2948" s="117">
        <f>P2947+IF(AND($H2948&lt;&gt;"",OR(LEFT($F2948,LEN(SC_TK))=SC_TK,LEFT($G2948,LEN(SC_TK))=SC_TK)),1,0)</f>
        <v/>
      </c>
    </row>
    <row r="2949" ht="15" customHeight="1" s="78">
      <c r="A2949" s="95">
        <f>IF($H2949="","",ROW()-6)</f>
        <v/>
      </c>
      <c r="B2949" s="114" t="n"/>
      <c r="C2949" s="102" t="n"/>
      <c r="D2949" s="114" t="n"/>
      <c r="E2949" s="103" t="n"/>
      <c r="F2949" s="102" t="n"/>
      <c r="G2949" s="102" t="n"/>
      <c r="H2949" s="115" t="n"/>
      <c r="I2949" s="102" t="n"/>
      <c r="J2949" s="102" t="n"/>
      <c r="K2949" s="103" t="n"/>
      <c r="L2949" s="116">
        <f>IF($H2949="","",TRIM(IF(COUNTIF(DMTK!$A$7:$A$250,$F2949)=0,"TK Nợ sai! ","")&amp;IF(COUNTIF(DMTK!$A$7:$A$250,$G2949)=0,"TK Có sai! ","")&amp;IF(N($H2949)&lt;=0,"Tiền phải &gt; 0! ","")&amp;IF($B2949="","Thiếu ngày! ","")&amp;IF(AND(OR(LEFT($F2949,3)="131",LEFT($G2949,3)="131",LEFT($F2949,3)="331",LEFT($G2949,3)="331"),$I2949=""),"Thiếu Mã ĐT! ","")&amp;IF(AND($I2949&lt;&gt;"",COUNTIF(DM_DT!$A$7:$A$306,$I2949)=0),"Mã ĐT chưa khai báo! ","")))</f>
        <v/>
      </c>
      <c r="M2949" s="117">
        <f>IF($H2949="","",IF(AND(OR(LEFT($F2949,3)="111",LEFT($F2949,3)="112",LEFT($F2949,3)="113"),OR(LEFT($G2949,3)="111",LEFT($G2949,3)="112",LEFT($G2949,3)="113")),"NB",IF(OR(LEFT($F2949,3)="111",LEFT($F2949,3)="112",LEFT($F2949,3)="113"),"THU",IF(OR(LEFT($G2949,3)="111",LEFT($G2949,3)="112",LEFT($G2949,3)="113"),"CHI",""))))</f>
        <v/>
      </c>
      <c r="N2949" s="117">
        <f>IF($M2949="THU",$G2949,IF($M2949="CHI",$F2949,""))</f>
        <v/>
      </c>
      <c r="O2949" s="117">
        <f>IF(OR($M2949="",$M2949="NB"),"",IF($J2949&lt;&gt;"",TEXT($J2949,"00"),IFERROR(VLOOKUP(LEFT($N2949,4),LCTT_MAP!$A$7:$C$66,IF($M2949="THU",2,3),FALSE()),IFERROR(VLOOKUP(LEFT($N2949,3),LCTT_MAP!$A$7:$C$66,IF($M2949="THU",2,3),FALSE()),IFERROR(VLOOKUP(LEFT($N2949,2),LCTT_MAP!$A$7:$C$66,IF($M2949="THU",2,3),FALSE()),IFERROR(VLOOKUP(LEFT($N2949,1),LCTT_MAP!$A$7:$C$66,IF($M2949="THU",2,3),FALSE()),IF($M2949="THU","06","07")))))))</f>
        <v/>
      </c>
      <c r="P2949" s="117">
        <f>P2948+IF(AND($H2949&lt;&gt;"",OR(LEFT($F2949,LEN(SC_TK))=SC_TK,LEFT($G2949,LEN(SC_TK))=SC_TK)),1,0)</f>
        <v/>
      </c>
    </row>
    <row r="2950" ht="15" customHeight="1" s="78">
      <c r="A2950" s="95">
        <f>IF($H2950="","",ROW()-6)</f>
        <v/>
      </c>
      <c r="B2950" s="114" t="n"/>
      <c r="C2950" s="102" t="n"/>
      <c r="D2950" s="114" t="n"/>
      <c r="E2950" s="103" t="n"/>
      <c r="F2950" s="102" t="n"/>
      <c r="G2950" s="102" t="n"/>
      <c r="H2950" s="115" t="n"/>
      <c r="I2950" s="102" t="n"/>
      <c r="J2950" s="102" t="n"/>
      <c r="K2950" s="103" t="n"/>
      <c r="L2950" s="116">
        <f>IF($H2950="","",TRIM(IF(COUNTIF(DMTK!$A$7:$A$250,$F2950)=0,"TK Nợ sai! ","")&amp;IF(COUNTIF(DMTK!$A$7:$A$250,$G2950)=0,"TK Có sai! ","")&amp;IF(N($H2950)&lt;=0,"Tiền phải &gt; 0! ","")&amp;IF($B2950="","Thiếu ngày! ","")&amp;IF(AND(OR(LEFT($F2950,3)="131",LEFT($G2950,3)="131",LEFT($F2950,3)="331",LEFT($G2950,3)="331"),$I2950=""),"Thiếu Mã ĐT! ","")&amp;IF(AND($I2950&lt;&gt;"",COUNTIF(DM_DT!$A$7:$A$306,$I2950)=0),"Mã ĐT chưa khai báo! ","")))</f>
        <v/>
      </c>
      <c r="M2950" s="117">
        <f>IF($H2950="","",IF(AND(OR(LEFT($F2950,3)="111",LEFT($F2950,3)="112",LEFT($F2950,3)="113"),OR(LEFT($G2950,3)="111",LEFT($G2950,3)="112",LEFT($G2950,3)="113")),"NB",IF(OR(LEFT($F2950,3)="111",LEFT($F2950,3)="112",LEFT($F2950,3)="113"),"THU",IF(OR(LEFT($G2950,3)="111",LEFT($G2950,3)="112",LEFT($G2950,3)="113"),"CHI",""))))</f>
        <v/>
      </c>
      <c r="N2950" s="117">
        <f>IF($M2950="THU",$G2950,IF($M2950="CHI",$F2950,""))</f>
        <v/>
      </c>
      <c r="O2950" s="117">
        <f>IF(OR($M2950="",$M2950="NB"),"",IF($J2950&lt;&gt;"",TEXT($J2950,"00"),IFERROR(VLOOKUP(LEFT($N2950,4),LCTT_MAP!$A$7:$C$66,IF($M2950="THU",2,3),FALSE()),IFERROR(VLOOKUP(LEFT($N2950,3),LCTT_MAP!$A$7:$C$66,IF($M2950="THU",2,3),FALSE()),IFERROR(VLOOKUP(LEFT($N2950,2),LCTT_MAP!$A$7:$C$66,IF($M2950="THU",2,3),FALSE()),IFERROR(VLOOKUP(LEFT($N2950,1),LCTT_MAP!$A$7:$C$66,IF($M2950="THU",2,3),FALSE()),IF($M2950="THU","06","07")))))))</f>
        <v/>
      </c>
      <c r="P2950" s="117">
        <f>P2949+IF(AND($H2950&lt;&gt;"",OR(LEFT($F2950,LEN(SC_TK))=SC_TK,LEFT($G2950,LEN(SC_TK))=SC_TK)),1,0)</f>
        <v/>
      </c>
    </row>
    <row r="2951" ht="15" customHeight="1" s="78">
      <c r="A2951" s="95">
        <f>IF($H2951="","",ROW()-6)</f>
        <v/>
      </c>
      <c r="B2951" s="114" t="n"/>
      <c r="C2951" s="102" t="n"/>
      <c r="D2951" s="114" t="n"/>
      <c r="E2951" s="103" t="n"/>
      <c r="F2951" s="102" t="n"/>
      <c r="G2951" s="102" t="n"/>
      <c r="H2951" s="115" t="n"/>
      <c r="I2951" s="102" t="n"/>
      <c r="J2951" s="102" t="n"/>
      <c r="K2951" s="103" t="n"/>
      <c r="L2951" s="116">
        <f>IF($H2951="","",TRIM(IF(COUNTIF(DMTK!$A$7:$A$250,$F2951)=0,"TK Nợ sai! ","")&amp;IF(COUNTIF(DMTK!$A$7:$A$250,$G2951)=0,"TK Có sai! ","")&amp;IF(N($H2951)&lt;=0,"Tiền phải &gt; 0! ","")&amp;IF($B2951="","Thiếu ngày! ","")&amp;IF(AND(OR(LEFT($F2951,3)="131",LEFT($G2951,3)="131",LEFT($F2951,3)="331",LEFT($G2951,3)="331"),$I2951=""),"Thiếu Mã ĐT! ","")&amp;IF(AND($I2951&lt;&gt;"",COUNTIF(DM_DT!$A$7:$A$306,$I2951)=0),"Mã ĐT chưa khai báo! ","")))</f>
        <v/>
      </c>
      <c r="M2951" s="117">
        <f>IF($H2951="","",IF(AND(OR(LEFT($F2951,3)="111",LEFT($F2951,3)="112",LEFT($F2951,3)="113"),OR(LEFT($G2951,3)="111",LEFT($G2951,3)="112",LEFT($G2951,3)="113")),"NB",IF(OR(LEFT($F2951,3)="111",LEFT($F2951,3)="112",LEFT($F2951,3)="113"),"THU",IF(OR(LEFT($G2951,3)="111",LEFT($G2951,3)="112",LEFT($G2951,3)="113"),"CHI",""))))</f>
        <v/>
      </c>
      <c r="N2951" s="117">
        <f>IF($M2951="THU",$G2951,IF($M2951="CHI",$F2951,""))</f>
        <v/>
      </c>
      <c r="O2951" s="117">
        <f>IF(OR($M2951="",$M2951="NB"),"",IF($J2951&lt;&gt;"",TEXT($J2951,"00"),IFERROR(VLOOKUP(LEFT($N2951,4),LCTT_MAP!$A$7:$C$66,IF($M2951="THU",2,3),FALSE()),IFERROR(VLOOKUP(LEFT($N2951,3),LCTT_MAP!$A$7:$C$66,IF($M2951="THU",2,3),FALSE()),IFERROR(VLOOKUP(LEFT($N2951,2),LCTT_MAP!$A$7:$C$66,IF($M2951="THU",2,3),FALSE()),IFERROR(VLOOKUP(LEFT($N2951,1),LCTT_MAP!$A$7:$C$66,IF($M2951="THU",2,3),FALSE()),IF($M2951="THU","06","07")))))))</f>
        <v/>
      </c>
      <c r="P2951" s="117">
        <f>P2950+IF(AND($H2951&lt;&gt;"",OR(LEFT($F2951,LEN(SC_TK))=SC_TK,LEFT($G2951,LEN(SC_TK))=SC_TK)),1,0)</f>
        <v/>
      </c>
    </row>
    <row r="2952" ht="15" customHeight="1" s="78">
      <c r="A2952" s="95">
        <f>IF($H2952="","",ROW()-6)</f>
        <v/>
      </c>
      <c r="B2952" s="114" t="n"/>
      <c r="C2952" s="102" t="n"/>
      <c r="D2952" s="114" t="n"/>
      <c r="E2952" s="103" t="n"/>
      <c r="F2952" s="102" t="n"/>
      <c r="G2952" s="102" t="n"/>
      <c r="H2952" s="115" t="n"/>
      <c r="I2952" s="102" t="n"/>
      <c r="J2952" s="102" t="n"/>
      <c r="K2952" s="103" t="n"/>
      <c r="L2952" s="116">
        <f>IF($H2952="","",TRIM(IF(COUNTIF(DMTK!$A$7:$A$250,$F2952)=0,"TK Nợ sai! ","")&amp;IF(COUNTIF(DMTK!$A$7:$A$250,$G2952)=0,"TK Có sai! ","")&amp;IF(N($H2952)&lt;=0,"Tiền phải &gt; 0! ","")&amp;IF($B2952="","Thiếu ngày! ","")&amp;IF(AND(OR(LEFT($F2952,3)="131",LEFT($G2952,3)="131",LEFT($F2952,3)="331",LEFT($G2952,3)="331"),$I2952=""),"Thiếu Mã ĐT! ","")&amp;IF(AND($I2952&lt;&gt;"",COUNTIF(DM_DT!$A$7:$A$306,$I2952)=0),"Mã ĐT chưa khai báo! ","")))</f>
        <v/>
      </c>
      <c r="M2952" s="117">
        <f>IF($H2952="","",IF(AND(OR(LEFT($F2952,3)="111",LEFT($F2952,3)="112",LEFT($F2952,3)="113"),OR(LEFT($G2952,3)="111",LEFT($G2952,3)="112",LEFT($G2952,3)="113")),"NB",IF(OR(LEFT($F2952,3)="111",LEFT($F2952,3)="112",LEFT($F2952,3)="113"),"THU",IF(OR(LEFT($G2952,3)="111",LEFT($G2952,3)="112",LEFT($G2952,3)="113"),"CHI",""))))</f>
        <v/>
      </c>
      <c r="N2952" s="117">
        <f>IF($M2952="THU",$G2952,IF($M2952="CHI",$F2952,""))</f>
        <v/>
      </c>
      <c r="O2952" s="117">
        <f>IF(OR($M2952="",$M2952="NB"),"",IF($J2952&lt;&gt;"",TEXT($J2952,"00"),IFERROR(VLOOKUP(LEFT($N2952,4),LCTT_MAP!$A$7:$C$66,IF($M2952="THU",2,3),FALSE()),IFERROR(VLOOKUP(LEFT($N2952,3),LCTT_MAP!$A$7:$C$66,IF($M2952="THU",2,3),FALSE()),IFERROR(VLOOKUP(LEFT($N2952,2),LCTT_MAP!$A$7:$C$66,IF($M2952="THU",2,3),FALSE()),IFERROR(VLOOKUP(LEFT($N2952,1),LCTT_MAP!$A$7:$C$66,IF($M2952="THU",2,3),FALSE()),IF($M2952="THU","06","07")))))))</f>
        <v/>
      </c>
      <c r="P2952" s="117">
        <f>P2951+IF(AND($H2952&lt;&gt;"",OR(LEFT($F2952,LEN(SC_TK))=SC_TK,LEFT($G2952,LEN(SC_TK))=SC_TK)),1,0)</f>
        <v/>
      </c>
    </row>
    <row r="2953" ht="15" customHeight="1" s="78">
      <c r="A2953" s="95">
        <f>IF($H2953="","",ROW()-6)</f>
        <v/>
      </c>
      <c r="B2953" s="114" t="n"/>
      <c r="C2953" s="102" t="n"/>
      <c r="D2953" s="114" t="n"/>
      <c r="E2953" s="103" t="n"/>
      <c r="F2953" s="102" t="n"/>
      <c r="G2953" s="102" t="n"/>
      <c r="H2953" s="115" t="n"/>
      <c r="I2953" s="102" t="n"/>
      <c r="J2953" s="102" t="n"/>
      <c r="K2953" s="103" t="n"/>
      <c r="L2953" s="116">
        <f>IF($H2953="","",TRIM(IF(COUNTIF(DMTK!$A$7:$A$250,$F2953)=0,"TK Nợ sai! ","")&amp;IF(COUNTIF(DMTK!$A$7:$A$250,$G2953)=0,"TK Có sai! ","")&amp;IF(N($H2953)&lt;=0,"Tiền phải &gt; 0! ","")&amp;IF($B2953="","Thiếu ngày! ","")&amp;IF(AND(OR(LEFT($F2953,3)="131",LEFT($G2953,3)="131",LEFT($F2953,3)="331",LEFT($G2953,3)="331"),$I2953=""),"Thiếu Mã ĐT! ","")&amp;IF(AND($I2953&lt;&gt;"",COUNTIF(DM_DT!$A$7:$A$306,$I2953)=0),"Mã ĐT chưa khai báo! ","")))</f>
        <v/>
      </c>
      <c r="M2953" s="117">
        <f>IF($H2953="","",IF(AND(OR(LEFT($F2953,3)="111",LEFT($F2953,3)="112",LEFT($F2953,3)="113"),OR(LEFT($G2953,3)="111",LEFT($G2953,3)="112",LEFT($G2953,3)="113")),"NB",IF(OR(LEFT($F2953,3)="111",LEFT($F2953,3)="112",LEFT($F2953,3)="113"),"THU",IF(OR(LEFT($G2953,3)="111",LEFT($G2953,3)="112",LEFT($G2953,3)="113"),"CHI",""))))</f>
        <v/>
      </c>
      <c r="N2953" s="117">
        <f>IF($M2953="THU",$G2953,IF($M2953="CHI",$F2953,""))</f>
        <v/>
      </c>
      <c r="O2953" s="117">
        <f>IF(OR($M2953="",$M2953="NB"),"",IF($J2953&lt;&gt;"",TEXT($J2953,"00"),IFERROR(VLOOKUP(LEFT($N2953,4),LCTT_MAP!$A$7:$C$66,IF($M2953="THU",2,3),FALSE()),IFERROR(VLOOKUP(LEFT($N2953,3),LCTT_MAP!$A$7:$C$66,IF($M2953="THU",2,3),FALSE()),IFERROR(VLOOKUP(LEFT($N2953,2),LCTT_MAP!$A$7:$C$66,IF($M2953="THU",2,3),FALSE()),IFERROR(VLOOKUP(LEFT($N2953,1),LCTT_MAP!$A$7:$C$66,IF($M2953="THU",2,3),FALSE()),IF($M2953="THU","06","07")))))))</f>
        <v/>
      </c>
      <c r="P2953" s="117">
        <f>P2952+IF(AND($H2953&lt;&gt;"",OR(LEFT($F2953,LEN(SC_TK))=SC_TK,LEFT($G2953,LEN(SC_TK))=SC_TK)),1,0)</f>
        <v/>
      </c>
    </row>
    <row r="2954" ht="15" customHeight="1" s="78">
      <c r="A2954" s="95">
        <f>IF($H2954="","",ROW()-6)</f>
        <v/>
      </c>
      <c r="B2954" s="114" t="n"/>
      <c r="C2954" s="102" t="n"/>
      <c r="D2954" s="114" t="n"/>
      <c r="E2954" s="103" t="n"/>
      <c r="F2954" s="102" t="n"/>
      <c r="G2954" s="102" t="n"/>
      <c r="H2954" s="115" t="n"/>
      <c r="I2954" s="102" t="n"/>
      <c r="J2954" s="102" t="n"/>
      <c r="K2954" s="103" t="n"/>
      <c r="L2954" s="116">
        <f>IF($H2954="","",TRIM(IF(COUNTIF(DMTK!$A$7:$A$250,$F2954)=0,"TK Nợ sai! ","")&amp;IF(COUNTIF(DMTK!$A$7:$A$250,$G2954)=0,"TK Có sai! ","")&amp;IF(N($H2954)&lt;=0,"Tiền phải &gt; 0! ","")&amp;IF($B2954="","Thiếu ngày! ","")&amp;IF(AND(OR(LEFT($F2954,3)="131",LEFT($G2954,3)="131",LEFT($F2954,3)="331",LEFT($G2954,3)="331"),$I2954=""),"Thiếu Mã ĐT! ","")&amp;IF(AND($I2954&lt;&gt;"",COUNTIF(DM_DT!$A$7:$A$306,$I2954)=0),"Mã ĐT chưa khai báo! ","")))</f>
        <v/>
      </c>
      <c r="M2954" s="117">
        <f>IF($H2954="","",IF(AND(OR(LEFT($F2954,3)="111",LEFT($F2954,3)="112",LEFT($F2954,3)="113"),OR(LEFT($G2954,3)="111",LEFT($G2954,3)="112",LEFT($G2954,3)="113")),"NB",IF(OR(LEFT($F2954,3)="111",LEFT($F2954,3)="112",LEFT($F2954,3)="113"),"THU",IF(OR(LEFT($G2954,3)="111",LEFT($G2954,3)="112",LEFT($G2954,3)="113"),"CHI",""))))</f>
        <v/>
      </c>
      <c r="N2954" s="117">
        <f>IF($M2954="THU",$G2954,IF($M2954="CHI",$F2954,""))</f>
        <v/>
      </c>
      <c r="O2954" s="117">
        <f>IF(OR($M2954="",$M2954="NB"),"",IF($J2954&lt;&gt;"",TEXT($J2954,"00"),IFERROR(VLOOKUP(LEFT($N2954,4),LCTT_MAP!$A$7:$C$66,IF($M2954="THU",2,3),FALSE()),IFERROR(VLOOKUP(LEFT($N2954,3),LCTT_MAP!$A$7:$C$66,IF($M2954="THU",2,3),FALSE()),IFERROR(VLOOKUP(LEFT($N2954,2),LCTT_MAP!$A$7:$C$66,IF($M2954="THU",2,3),FALSE()),IFERROR(VLOOKUP(LEFT($N2954,1),LCTT_MAP!$A$7:$C$66,IF($M2954="THU",2,3),FALSE()),IF($M2954="THU","06","07")))))))</f>
        <v/>
      </c>
      <c r="P2954" s="117">
        <f>P2953+IF(AND($H2954&lt;&gt;"",OR(LEFT($F2954,LEN(SC_TK))=SC_TK,LEFT($G2954,LEN(SC_TK))=SC_TK)),1,0)</f>
        <v/>
      </c>
    </row>
    <row r="2955" ht="15" customHeight="1" s="78">
      <c r="A2955" s="95">
        <f>IF($H2955="","",ROW()-6)</f>
        <v/>
      </c>
      <c r="B2955" s="114" t="n"/>
      <c r="C2955" s="102" t="n"/>
      <c r="D2955" s="114" t="n"/>
      <c r="E2955" s="103" t="n"/>
      <c r="F2955" s="102" t="n"/>
      <c r="G2955" s="102" t="n"/>
      <c r="H2955" s="115" t="n"/>
      <c r="I2955" s="102" t="n"/>
      <c r="J2955" s="102" t="n"/>
      <c r="K2955" s="103" t="n"/>
      <c r="L2955" s="116">
        <f>IF($H2955="","",TRIM(IF(COUNTIF(DMTK!$A$7:$A$250,$F2955)=0,"TK Nợ sai! ","")&amp;IF(COUNTIF(DMTK!$A$7:$A$250,$G2955)=0,"TK Có sai! ","")&amp;IF(N($H2955)&lt;=0,"Tiền phải &gt; 0! ","")&amp;IF($B2955="","Thiếu ngày! ","")&amp;IF(AND(OR(LEFT($F2955,3)="131",LEFT($G2955,3)="131",LEFT($F2955,3)="331",LEFT($G2955,3)="331"),$I2955=""),"Thiếu Mã ĐT! ","")&amp;IF(AND($I2955&lt;&gt;"",COUNTIF(DM_DT!$A$7:$A$306,$I2955)=0),"Mã ĐT chưa khai báo! ","")))</f>
        <v/>
      </c>
      <c r="M2955" s="117">
        <f>IF($H2955="","",IF(AND(OR(LEFT($F2955,3)="111",LEFT($F2955,3)="112",LEFT($F2955,3)="113"),OR(LEFT($G2955,3)="111",LEFT($G2955,3)="112",LEFT($G2955,3)="113")),"NB",IF(OR(LEFT($F2955,3)="111",LEFT($F2955,3)="112",LEFT($F2955,3)="113"),"THU",IF(OR(LEFT($G2955,3)="111",LEFT($G2955,3)="112",LEFT($G2955,3)="113"),"CHI",""))))</f>
        <v/>
      </c>
      <c r="N2955" s="117">
        <f>IF($M2955="THU",$G2955,IF($M2955="CHI",$F2955,""))</f>
        <v/>
      </c>
      <c r="O2955" s="117">
        <f>IF(OR($M2955="",$M2955="NB"),"",IF($J2955&lt;&gt;"",TEXT($J2955,"00"),IFERROR(VLOOKUP(LEFT($N2955,4),LCTT_MAP!$A$7:$C$66,IF($M2955="THU",2,3),FALSE()),IFERROR(VLOOKUP(LEFT($N2955,3),LCTT_MAP!$A$7:$C$66,IF($M2955="THU",2,3),FALSE()),IFERROR(VLOOKUP(LEFT($N2955,2),LCTT_MAP!$A$7:$C$66,IF($M2955="THU",2,3),FALSE()),IFERROR(VLOOKUP(LEFT($N2955,1),LCTT_MAP!$A$7:$C$66,IF($M2955="THU",2,3),FALSE()),IF($M2955="THU","06","07")))))))</f>
        <v/>
      </c>
      <c r="P2955" s="117">
        <f>P2954+IF(AND($H2955&lt;&gt;"",OR(LEFT($F2955,LEN(SC_TK))=SC_TK,LEFT($G2955,LEN(SC_TK))=SC_TK)),1,0)</f>
        <v/>
      </c>
    </row>
    <row r="2956" ht="15" customHeight="1" s="78">
      <c r="A2956" s="95">
        <f>IF($H2956="","",ROW()-6)</f>
        <v/>
      </c>
      <c r="B2956" s="114" t="n"/>
      <c r="C2956" s="102" t="n"/>
      <c r="D2956" s="114" t="n"/>
      <c r="E2956" s="103" t="n"/>
      <c r="F2956" s="102" t="n"/>
      <c r="G2956" s="102" t="n"/>
      <c r="H2956" s="115" t="n"/>
      <c r="I2956" s="102" t="n"/>
      <c r="J2956" s="102" t="n"/>
      <c r="K2956" s="103" t="n"/>
      <c r="L2956" s="116">
        <f>IF($H2956="","",TRIM(IF(COUNTIF(DMTK!$A$7:$A$250,$F2956)=0,"TK Nợ sai! ","")&amp;IF(COUNTIF(DMTK!$A$7:$A$250,$G2956)=0,"TK Có sai! ","")&amp;IF(N($H2956)&lt;=0,"Tiền phải &gt; 0! ","")&amp;IF($B2956="","Thiếu ngày! ","")&amp;IF(AND(OR(LEFT($F2956,3)="131",LEFT($G2956,3)="131",LEFT($F2956,3)="331",LEFT($G2956,3)="331"),$I2956=""),"Thiếu Mã ĐT! ","")&amp;IF(AND($I2956&lt;&gt;"",COUNTIF(DM_DT!$A$7:$A$306,$I2956)=0),"Mã ĐT chưa khai báo! ","")))</f>
        <v/>
      </c>
      <c r="M2956" s="117">
        <f>IF($H2956="","",IF(AND(OR(LEFT($F2956,3)="111",LEFT($F2956,3)="112",LEFT($F2956,3)="113"),OR(LEFT($G2956,3)="111",LEFT($G2956,3)="112",LEFT($G2956,3)="113")),"NB",IF(OR(LEFT($F2956,3)="111",LEFT($F2956,3)="112",LEFT($F2956,3)="113"),"THU",IF(OR(LEFT($G2956,3)="111",LEFT($G2956,3)="112",LEFT($G2956,3)="113"),"CHI",""))))</f>
        <v/>
      </c>
      <c r="N2956" s="117">
        <f>IF($M2956="THU",$G2956,IF($M2956="CHI",$F2956,""))</f>
        <v/>
      </c>
      <c r="O2956" s="117">
        <f>IF(OR($M2956="",$M2956="NB"),"",IF($J2956&lt;&gt;"",TEXT($J2956,"00"),IFERROR(VLOOKUP(LEFT($N2956,4),LCTT_MAP!$A$7:$C$66,IF($M2956="THU",2,3),FALSE()),IFERROR(VLOOKUP(LEFT($N2956,3),LCTT_MAP!$A$7:$C$66,IF($M2956="THU",2,3),FALSE()),IFERROR(VLOOKUP(LEFT($N2956,2),LCTT_MAP!$A$7:$C$66,IF($M2956="THU",2,3),FALSE()),IFERROR(VLOOKUP(LEFT($N2956,1),LCTT_MAP!$A$7:$C$66,IF($M2956="THU",2,3),FALSE()),IF($M2956="THU","06","07")))))))</f>
        <v/>
      </c>
      <c r="P2956" s="117">
        <f>P2955+IF(AND($H2956&lt;&gt;"",OR(LEFT($F2956,LEN(SC_TK))=SC_TK,LEFT($G2956,LEN(SC_TK))=SC_TK)),1,0)</f>
        <v/>
      </c>
    </row>
    <row r="2957" ht="15" customHeight="1" s="78">
      <c r="A2957" s="95">
        <f>IF($H2957="","",ROW()-6)</f>
        <v/>
      </c>
      <c r="B2957" s="114" t="n"/>
      <c r="C2957" s="102" t="n"/>
      <c r="D2957" s="114" t="n"/>
      <c r="E2957" s="103" t="n"/>
      <c r="F2957" s="102" t="n"/>
      <c r="G2957" s="102" t="n"/>
      <c r="H2957" s="115" t="n"/>
      <c r="I2957" s="102" t="n"/>
      <c r="J2957" s="102" t="n"/>
      <c r="K2957" s="103" t="n"/>
      <c r="L2957" s="116">
        <f>IF($H2957="","",TRIM(IF(COUNTIF(DMTK!$A$7:$A$250,$F2957)=0,"TK Nợ sai! ","")&amp;IF(COUNTIF(DMTK!$A$7:$A$250,$G2957)=0,"TK Có sai! ","")&amp;IF(N($H2957)&lt;=0,"Tiền phải &gt; 0! ","")&amp;IF($B2957="","Thiếu ngày! ","")&amp;IF(AND(OR(LEFT($F2957,3)="131",LEFT($G2957,3)="131",LEFT($F2957,3)="331",LEFT($G2957,3)="331"),$I2957=""),"Thiếu Mã ĐT! ","")&amp;IF(AND($I2957&lt;&gt;"",COUNTIF(DM_DT!$A$7:$A$306,$I2957)=0),"Mã ĐT chưa khai báo! ","")))</f>
        <v/>
      </c>
      <c r="M2957" s="117">
        <f>IF($H2957="","",IF(AND(OR(LEFT($F2957,3)="111",LEFT($F2957,3)="112",LEFT($F2957,3)="113"),OR(LEFT($G2957,3)="111",LEFT($G2957,3)="112",LEFT($G2957,3)="113")),"NB",IF(OR(LEFT($F2957,3)="111",LEFT($F2957,3)="112",LEFT($F2957,3)="113"),"THU",IF(OR(LEFT($G2957,3)="111",LEFT($G2957,3)="112",LEFT($G2957,3)="113"),"CHI",""))))</f>
        <v/>
      </c>
      <c r="N2957" s="117">
        <f>IF($M2957="THU",$G2957,IF($M2957="CHI",$F2957,""))</f>
        <v/>
      </c>
      <c r="O2957" s="117">
        <f>IF(OR($M2957="",$M2957="NB"),"",IF($J2957&lt;&gt;"",TEXT($J2957,"00"),IFERROR(VLOOKUP(LEFT($N2957,4),LCTT_MAP!$A$7:$C$66,IF($M2957="THU",2,3),FALSE()),IFERROR(VLOOKUP(LEFT($N2957,3),LCTT_MAP!$A$7:$C$66,IF($M2957="THU",2,3),FALSE()),IFERROR(VLOOKUP(LEFT($N2957,2),LCTT_MAP!$A$7:$C$66,IF($M2957="THU",2,3),FALSE()),IFERROR(VLOOKUP(LEFT($N2957,1),LCTT_MAP!$A$7:$C$66,IF($M2957="THU",2,3),FALSE()),IF($M2957="THU","06","07")))))))</f>
        <v/>
      </c>
      <c r="P2957" s="117">
        <f>P2956+IF(AND($H2957&lt;&gt;"",OR(LEFT($F2957,LEN(SC_TK))=SC_TK,LEFT($G2957,LEN(SC_TK))=SC_TK)),1,0)</f>
        <v/>
      </c>
    </row>
    <row r="2958" ht="15" customHeight="1" s="78">
      <c r="A2958" s="95">
        <f>IF($H2958="","",ROW()-6)</f>
        <v/>
      </c>
      <c r="B2958" s="114" t="n"/>
      <c r="C2958" s="102" t="n"/>
      <c r="D2958" s="114" t="n"/>
      <c r="E2958" s="103" t="n"/>
      <c r="F2958" s="102" t="n"/>
      <c r="G2958" s="102" t="n"/>
      <c r="H2958" s="115" t="n"/>
      <c r="I2958" s="102" t="n"/>
      <c r="J2958" s="102" t="n"/>
      <c r="K2958" s="103" t="n"/>
      <c r="L2958" s="116">
        <f>IF($H2958="","",TRIM(IF(COUNTIF(DMTK!$A$7:$A$250,$F2958)=0,"TK Nợ sai! ","")&amp;IF(COUNTIF(DMTK!$A$7:$A$250,$G2958)=0,"TK Có sai! ","")&amp;IF(N($H2958)&lt;=0,"Tiền phải &gt; 0! ","")&amp;IF($B2958="","Thiếu ngày! ","")&amp;IF(AND(OR(LEFT($F2958,3)="131",LEFT($G2958,3)="131",LEFT($F2958,3)="331",LEFT($G2958,3)="331"),$I2958=""),"Thiếu Mã ĐT! ","")&amp;IF(AND($I2958&lt;&gt;"",COUNTIF(DM_DT!$A$7:$A$306,$I2958)=0),"Mã ĐT chưa khai báo! ","")))</f>
        <v/>
      </c>
      <c r="M2958" s="117">
        <f>IF($H2958="","",IF(AND(OR(LEFT($F2958,3)="111",LEFT($F2958,3)="112",LEFT($F2958,3)="113"),OR(LEFT($G2958,3)="111",LEFT($G2958,3)="112",LEFT($G2958,3)="113")),"NB",IF(OR(LEFT($F2958,3)="111",LEFT($F2958,3)="112",LEFT($F2958,3)="113"),"THU",IF(OR(LEFT($G2958,3)="111",LEFT($G2958,3)="112",LEFT($G2958,3)="113"),"CHI",""))))</f>
        <v/>
      </c>
      <c r="N2958" s="117">
        <f>IF($M2958="THU",$G2958,IF($M2958="CHI",$F2958,""))</f>
        <v/>
      </c>
      <c r="O2958" s="117">
        <f>IF(OR($M2958="",$M2958="NB"),"",IF($J2958&lt;&gt;"",TEXT($J2958,"00"),IFERROR(VLOOKUP(LEFT($N2958,4),LCTT_MAP!$A$7:$C$66,IF($M2958="THU",2,3),FALSE()),IFERROR(VLOOKUP(LEFT($N2958,3),LCTT_MAP!$A$7:$C$66,IF($M2958="THU",2,3),FALSE()),IFERROR(VLOOKUP(LEFT($N2958,2),LCTT_MAP!$A$7:$C$66,IF($M2958="THU",2,3),FALSE()),IFERROR(VLOOKUP(LEFT($N2958,1),LCTT_MAP!$A$7:$C$66,IF($M2958="THU",2,3),FALSE()),IF($M2958="THU","06","07")))))))</f>
        <v/>
      </c>
      <c r="P2958" s="117">
        <f>P2957+IF(AND($H2958&lt;&gt;"",OR(LEFT($F2958,LEN(SC_TK))=SC_TK,LEFT($G2958,LEN(SC_TK))=SC_TK)),1,0)</f>
        <v/>
      </c>
    </row>
    <row r="2959" ht="15" customHeight="1" s="78">
      <c r="A2959" s="95">
        <f>IF($H2959="","",ROW()-6)</f>
        <v/>
      </c>
      <c r="B2959" s="114" t="n"/>
      <c r="C2959" s="102" t="n"/>
      <c r="D2959" s="114" t="n"/>
      <c r="E2959" s="103" t="n"/>
      <c r="F2959" s="102" t="n"/>
      <c r="G2959" s="102" t="n"/>
      <c r="H2959" s="115" t="n"/>
      <c r="I2959" s="102" t="n"/>
      <c r="J2959" s="102" t="n"/>
      <c r="K2959" s="103" t="n"/>
      <c r="L2959" s="116">
        <f>IF($H2959="","",TRIM(IF(COUNTIF(DMTK!$A$7:$A$250,$F2959)=0,"TK Nợ sai! ","")&amp;IF(COUNTIF(DMTK!$A$7:$A$250,$G2959)=0,"TK Có sai! ","")&amp;IF(N($H2959)&lt;=0,"Tiền phải &gt; 0! ","")&amp;IF($B2959="","Thiếu ngày! ","")&amp;IF(AND(OR(LEFT($F2959,3)="131",LEFT($G2959,3)="131",LEFT($F2959,3)="331",LEFT($G2959,3)="331"),$I2959=""),"Thiếu Mã ĐT! ","")&amp;IF(AND($I2959&lt;&gt;"",COUNTIF(DM_DT!$A$7:$A$306,$I2959)=0),"Mã ĐT chưa khai báo! ","")))</f>
        <v/>
      </c>
      <c r="M2959" s="117">
        <f>IF($H2959="","",IF(AND(OR(LEFT($F2959,3)="111",LEFT($F2959,3)="112",LEFT($F2959,3)="113"),OR(LEFT($G2959,3)="111",LEFT($G2959,3)="112",LEFT($G2959,3)="113")),"NB",IF(OR(LEFT($F2959,3)="111",LEFT($F2959,3)="112",LEFT($F2959,3)="113"),"THU",IF(OR(LEFT($G2959,3)="111",LEFT($G2959,3)="112",LEFT($G2959,3)="113"),"CHI",""))))</f>
        <v/>
      </c>
      <c r="N2959" s="117">
        <f>IF($M2959="THU",$G2959,IF($M2959="CHI",$F2959,""))</f>
        <v/>
      </c>
      <c r="O2959" s="117">
        <f>IF(OR($M2959="",$M2959="NB"),"",IF($J2959&lt;&gt;"",TEXT($J2959,"00"),IFERROR(VLOOKUP(LEFT($N2959,4),LCTT_MAP!$A$7:$C$66,IF($M2959="THU",2,3),FALSE()),IFERROR(VLOOKUP(LEFT($N2959,3),LCTT_MAP!$A$7:$C$66,IF($M2959="THU",2,3),FALSE()),IFERROR(VLOOKUP(LEFT($N2959,2),LCTT_MAP!$A$7:$C$66,IF($M2959="THU",2,3),FALSE()),IFERROR(VLOOKUP(LEFT($N2959,1),LCTT_MAP!$A$7:$C$66,IF($M2959="THU",2,3),FALSE()),IF($M2959="THU","06","07")))))))</f>
        <v/>
      </c>
      <c r="P2959" s="117">
        <f>P2958+IF(AND($H2959&lt;&gt;"",OR(LEFT($F2959,LEN(SC_TK))=SC_TK,LEFT($G2959,LEN(SC_TK))=SC_TK)),1,0)</f>
        <v/>
      </c>
    </row>
    <row r="2960" ht="15" customHeight="1" s="78">
      <c r="A2960" s="95">
        <f>IF($H2960="","",ROW()-6)</f>
        <v/>
      </c>
      <c r="B2960" s="114" t="n"/>
      <c r="C2960" s="102" t="n"/>
      <c r="D2960" s="114" t="n"/>
      <c r="E2960" s="103" t="n"/>
      <c r="F2960" s="102" t="n"/>
      <c r="G2960" s="102" t="n"/>
      <c r="H2960" s="115" t="n"/>
      <c r="I2960" s="102" t="n"/>
      <c r="J2960" s="102" t="n"/>
      <c r="K2960" s="103" t="n"/>
      <c r="L2960" s="116">
        <f>IF($H2960="","",TRIM(IF(COUNTIF(DMTK!$A$7:$A$250,$F2960)=0,"TK Nợ sai! ","")&amp;IF(COUNTIF(DMTK!$A$7:$A$250,$G2960)=0,"TK Có sai! ","")&amp;IF(N($H2960)&lt;=0,"Tiền phải &gt; 0! ","")&amp;IF($B2960="","Thiếu ngày! ","")&amp;IF(AND(OR(LEFT($F2960,3)="131",LEFT($G2960,3)="131",LEFT($F2960,3)="331",LEFT($G2960,3)="331"),$I2960=""),"Thiếu Mã ĐT! ","")&amp;IF(AND($I2960&lt;&gt;"",COUNTIF(DM_DT!$A$7:$A$306,$I2960)=0),"Mã ĐT chưa khai báo! ","")))</f>
        <v/>
      </c>
      <c r="M2960" s="117">
        <f>IF($H2960="","",IF(AND(OR(LEFT($F2960,3)="111",LEFT($F2960,3)="112",LEFT($F2960,3)="113"),OR(LEFT($G2960,3)="111",LEFT($G2960,3)="112",LEFT($G2960,3)="113")),"NB",IF(OR(LEFT($F2960,3)="111",LEFT($F2960,3)="112",LEFT($F2960,3)="113"),"THU",IF(OR(LEFT($G2960,3)="111",LEFT($G2960,3)="112",LEFT($G2960,3)="113"),"CHI",""))))</f>
        <v/>
      </c>
      <c r="N2960" s="117">
        <f>IF($M2960="THU",$G2960,IF($M2960="CHI",$F2960,""))</f>
        <v/>
      </c>
      <c r="O2960" s="117">
        <f>IF(OR($M2960="",$M2960="NB"),"",IF($J2960&lt;&gt;"",TEXT($J2960,"00"),IFERROR(VLOOKUP(LEFT($N2960,4),LCTT_MAP!$A$7:$C$66,IF($M2960="THU",2,3),FALSE()),IFERROR(VLOOKUP(LEFT($N2960,3),LCTT_MAP!$A$7:$C$66,IF($M2960="THU",2,3),FALSE()),IFERROR(VLOOKUP(LEFT($N2960,2),LCTT_MAP!$A$7:$C$66,IF($M2960="THU",2,3),FALSE()),IFERROR(VLOOKUP(LEFT($N2960,1),LCTT_MAP!$A$7:$C$66,IF($M2960="THU",2,3),FALSE()),IF($M2960="THU","06","07")))))))</f>
        <v/>
      </c>
      <c r="P2960" s="117">
        <f>P2959+IF(AND($H2960&lt;&gt;"",OR(LEFT($F2960,LEN(SC_TK))=SC_TK,LEFT($G2960,LEN(SC_TK))=SC_TK)),1,0)</f>
        <v/>
      </c>
    </row>
    <row r="2961" ht="15" customHeight="1" s="78">
      <c r="A2961" s="95">
        <f>IF($H2961="","",ROW()-6)</f>
        <v/>
      </c>
      <c r="B2961" s="114" t="n"/>
      <c r="C2961" s="102" t="n"/>
      <c r="D2961" s="114" t="n"/>
      <c r="E2961" s="103" t="n"/>
      <c r="F2961" s="102" t="n"/>
      <c r="G2961" s="102" t="n"/>
      <c r="H2961" s="115" t="n"/>
      <c r="I2961" s="102" t="n"/>
      <c r="J2961" s="102" t="n"/>
      <c r="K2961" s="103" t="n"/>
      <c r="L2961" s="116">
        <f>IF($H2961="","",TRIM(IF(COUNTIF(DMTK!$A$7:$A$250,$F2961)=0,"TK Nợ sai! ","")&amp;IF(COUNTIF(DMTK!$A$7:$A$250,$G2961)=0,"TK Có sai! ","")&amp;IF(N($H2961)&lt;=0,"Tiền phải &gt; 0! ","")&amp;IF($B2961="","Thiếu ngày! ","")&amp;IF(AND(OR(LEFT($F2961,3)="131",LEFT($G2961,3)="131",LEFT($F2961,3)="331",LEFT($G2961,3)="331"),$I2961=""),"Thiếu Mã ĐT! ","")&amp;IF(AND($I2961&lt;&gt;"",COUNTIF(DM_DT!$A$7:$A$306,$I2961)=0),"Mã ĐT chưa khai báo! ","")))</f>
        <v/>
      </c>
      <c r="M2961" s="117">
        <f>IF($H2961="","",IF(AND(OR(LEFT($F2961,3)="111",LEFT($F2961,3)="112",LEFT($F2961,3)="113"),OR(LEFT($G2961,3)="111",LEFT($G2961,3)="112",LEFT($G2961,3)="113")),"NB",IF(OR(LEFT($F2961,3)="111",LEFT($F2961,3)="112",LEFT($F2961,3)="113"),"THU",IF(OR(LEFT($G2961,3)="111",LEFT($G2961,3)="112",LEFT($G2961,3)="113"),"CHI",""))))</f>
        <v/>
      </c>
      <c r="N2961" s="117">
        <f>IF($M2961="THU",$G2961,IF($M2961="CHI",$F2961,""))</f>
        <v/>
      </c>
      <c r="O2961" s="117">
        <f>IF(OR($M2961="",$M2961="NB"),"",IF($J2961&lt;&gt;"",TEXT($J2961,"00"),IFERROR(VLOOKUP(LEFT($N2961,4),LCTT_MAP!$A$7:$C$66,IF($M2961="THU",2,3),FALSE()),IFERROR(VLOOKUP(LEFT($N2961,3),LCTT_MAP!$A$7:$C$66,IF($M2961="THU",2,3),FALSE()),IFERROR(VLOOKUP(LEFT($N2961,2),LCTT_MAP!$A$7:$C$66,IF($M2961="THU",2,3),FALSE()),IFERROR(VLOOKUP(LEFT($N2961,1),LCTT_MAP!$A$7:$C$66,IF($M2961="THU",2,3),FALSE()),IF($M2961="THU","06","07")))))))</f>
        <v/>
      </c>
      <c r="P2961" s="117">
        <f>P2960+IF(AND($H2961&lt;&gt;"",OR(LEFT($F2961,LEN(SC_TK))=SC_TK,LEFT($G2961,LEN(SC_TK))=SC_TK)),1,0)</f>
        <v/>
      </c>
    </row>
    <row r="2962" ht="15" customHeight="1" s="78">
      <c r="A2962" s="95">
        <f>IF($H2962="","",ROW()-6)</f>
        <v/>
      </c>
      <c r="B2962" s="114" t="n"/>
      <c r="C2962" s="102" t="n"/>
      <c r="D2962" s="114" t="n"/>
      <c r="E2962" s="103" t="n"/>
      <c r="F2962" s="102" t="n"/>
      <c r="G2962" s="102" t="n"/>
      <c r="H2962" s="115" t="n"/>
      <c r="I2962" s="102" t="n"/>
      <c r="J2962" s="102" t="n"/>
      <c r="K2962" s="103" t="n"/>
      <c r="L2962" s="116">
        <f>IF($H2962="","",TRIM(IF(COUNTIF(DMTK!$A$7:$A$250,$F2962)=0,"TK Nợ sai! ","")&amp;IF(COUNTIF(DMTK!$A$7:$A$250,$G2962)=0,"TK Có sai! ","")&amp;IF(N($H2962)&lt;=0,"Tiền phải &gt; 0! ","")&amp;IF($B2962="","Thiếu ngày! ","")&amp;IF(AND(OR(LEFT($F2962,3)="131",LEFT($G2962,3)="131",LEFT($F2962,3)="331",LEFT($G2962,3)="331"),$I2962=""),"Thiếu Mã ĐT! ","")&amp;IF(AND($I2962&lt;&gt;"",COUNTIF(DM_DT!$A$7:$A$306,$I2962)=0),"Mã ĐT chưa khai báo! ","")))</f>
        <v/>
      </c>
      <c r="M2962" s="117">
        <f>IF($H2962="","",IF(AND(OR(LEFT($F2962,3)="111",LEFT($F2962,3)="112",LEFT($F2962,3)="113"),OR(LEFT($G2962,3)="111",LEFT($G2962,3)="112",LEFT($G2962,3)="113")),"NB",IF(OR(LEFT($F2962,3)="111",LEFT($F2962,3)="112",LEFT($F2962,3)="113"),"THU",IF(OR(LEFT($G2962,3)="111",LEFT($G2962,3)="112",LEFT($G2962,3)="113"),"CHI",""))))</f>
        <v/>
      </c>
      <c r="N2962" s="117">
        <f>IF($M2962="THU",$G2962,IF($M2962="CHI",$F2962,""))</f>
        <v/>
      </c>
      <c r="O2962" s="117">
        <f>IF(OR($M2962="",$M2962="NB"),"",IF($J2962&lt;&gt;"",TEXT($J2962,"00"),IFERROR(VLOOKUP(LEFT($N2962,4),LCTT_MAP!$A$7:$C$66,IF($M2962="THU",2,3),FALSE()),IFERROR(VLOOKUP(LEFT($N2962,3),LCTT_MAP!$A$7:$C$66,IF($M2962="THU",2,3),FALSE()),IFERROR(VLOOKUP(LEFT($N2962,2),LCTT_MAP!$A$7:$C$66,IF($M2962="THU",2,3),FALSE()),IFERROR(VLOOKUP(LEFT($N2962,1),LCTT_MAP!$A$7:$C$66,IF($M2962="THU",2,3),FALSE()),IF($M2962="THU","06","07")))))))</f>
        <v/>
      </c>
      <c r="P2962" s="117">
        <f>P2961+IF(AND($H2962&lt;&gt;"",OR(LEFT($F2962,LEN(SC_TK))=SC_TK,LEFT($G2962,LEN(SC_TK))=SC_TK)),1,0)</f>
        <v/>
      </c>
    </row>
    <row r="2963" ht="15" customHeight="1" s="78">
      <c r="A2963" s="95">
        <f>IF($H2963="","",ROW()-6)</f>
        <v/>
      </c>
      <c r="B2963" s="114" t="n"/>
      <c r="C2963" s="102" t="n"/>
      <c r="D2963" s="114" t="n"/>
      <c r="E2963" s="103" t="n"/>
      <c r="F2963" s="102" t="n"/>
      <c r="G2963" s="102" t="n"/>
      <c r="H2963" s="115" t="n"/>
      <c r="I2963" s="102" t="n"/>
      <c r="J2963" s="102" t="n"/>
      <c r="K2963" s="103" t="n"/>
      <c r="L2963" s="116">
        <f>IF($H2963="","",TRIM(IF(COUNTIF(DMTK!$A$7:$A$250,$F2963)=0,"TK Nợ sai! ","")&amp;IF(COUNTIF(DMTK!$A$7:$A$250,$G2963)=0,"TK Có sai! ","")&amp;IF(N($H2963)&lt;=0,"Tiền phải &gt; 0! ","")&amp;IF($B2963="","Thiếu ngày! ","")&amp;IF(AND(OR(LEFT($F2963,3)="131",LEFT($G2963,3)="131",LEFT($F2963,3)="331",LEFT($G2963,3)="331"),$I2963=""),"Thiếu Mã ĐT! ","")&amp;IF(AND($I2963&lt;&gt;"",COUNTIF(DM_DT!$A$7:$A$306,$I2963)=0),"Mã ĐT chưa khai báo! ","")))</f>
        <v/>
      </c>
      <c r="M2963" s="117">
        <f>IF($H2963="","",IF(AND(OR(LEFT($F2963,3)="111",LEFT($F2963,3)="112",LEFT($F2963,3)="113"),OR(LEFT($G2963,3)="111",LEFT($G2963,3)="112",LEFT($G2963,3)="113")),"NB",IF(OR(LEFT($F2963,3)="111",LEFT($F2963,3)="112",LEFT($F2963,3)="113"),"THU",IF(OR(LEFT($G2963,3)="111",LEFT($G2963,3)="112",LEFT($G2963,3)="113"),"CHI",""))))</f>
        <v/>
      </c>
      <c r="N2963" s="117">
        <f>IF($M2963="THU",$G2963,IF($M2963="CHI",$F2963,""))</f>
        <v/>
      </c>
      <c r="O2963" s="117">
        <f>IF(OR($M2963="",$M2963="NB"),"",IF($J2963&lt;&gt;"",TEXT($J2963,"00"),IFERROR(VLOOKUP(LEFT($N2963,4),LCTT_MAP!$A$7:$C$66,IF($M2963="THU",2,3),FALSE()),IFERROR(VLOOKUP(LEFT($N2963,3),LCTT_MAP!$A$7:$C$66,IF($M2963="THU",2,3),FALSE()),IFERROR(VLOOKUP(LEFT($N2963,2),LCTT_MAP!$A$7:$C$66,IF($M2963="THU",2,3),FALSE()),IFERROR(VLOOKUP(LEFT($N2963,1),LCTT_MAP!$A$7:$C$66,IF($M2963="THU",2,3),FALSE()),IF($M2963="THU","06","07")))))))</f>
        <v/>
      </c>
      <c r="P2963" s="117">
        <f>P2962+IF(AND($H2963&lt;&gt;"",OR(LEFT($F2963,LEN(SC_TK))=SC_TK,LEFT($G2963,LEN(SC_TK))=SC_TK)),1,0)</f>
        <v/>
      </c>
    </row>
    <row r="2964" ht="15" customHeight="1" s="78">
      <c r="A2964" s="95">
        <f>IF($H2964="","",ROW()-6)</f>
        <v/>
      </c>
      <c r="B2964" s="114" t="n"/>
      <c r="C2964" s="102" t="n"/>
      <c r="D2964" s="114" t="n"/>
      <c r="E2964" s="103" t="n"/>
      <c r="F2964" s="102" t="n"/>
      <c r="G2964" s="102" t="n"/>
      <c r="H2964" s="115" t="n"/>
      <c r="I2964" s="102" t="n"/>
      <c r="J2964" s="102" t="n"/>
      <c r="K2964" s="103" t="n"/>
      <c r="L2964" s="116">
        <f>IF($H2964="","",TRIM(IF(COUNTIF(DMTK!$A$7:$A$250,$F2964)=0,"TK Nợ sai! ","")&amp;IF(COUNTIF(DMTK!$A$7:$A$250,$G2964)=0,"TK Có sai! ","")&amp;IF(N($H2964)&lt;=0,"Tiền phải &gt; 0! ","")&amp;IF($B2964="","Thiếu ngày! ","")&amp;IF(AND(OR(LEFT($F2964,3)="131",LEFT($G2964,3)="131",LEFT($F2964,3)="331",LEFT($G2964,3)="331"),$I2964=""),"Thiếu Mã ĐT! ","")&amp;IF(AND($I2964&lt;&gt;"",COUNTIF(DM_DT!$A$7:$A$306,$I2964)=0),"Mã ĐT chưa khai báo! ","")))</f>
        <v/>
      </c>
      <c r="M2964" s="117">
        <f>IF($H2964="","",IF(AND(OR(LEFT($F2964,3)="111",LEFT($F2964,3)="112",LEFT($F2964,3)="113"),OR(LEFT($G2964,3)="111",LEFT($G2964,3)="112",LEFT($G2964,3)="113")),"NB",IF(OR(LEFT($F2964,3)="111",LEFT($F2964,3)="112",LEFT($F2964,3)="113"),"THU",IF(OR(LEFT($G2964,3)="111",LEFT($G2964,3)="112",LEFT($G2964,3)="113"),"CHI",""))))</f>
        <v/>
      </c>
      <c r="N2964" s="117">
        <f>IF($M2964="THU",$G2964,IF($M2964="CHI",$F2964,""))</f>
        <v/>
      </c>
      <c r="O2964" s="117">
        <f>IF(OR($M2964="",$M2964="NB"),"",IF($J2964&lt;&gt;"",TEXT($J2964,"00"),IFERROR(VLOOKUP(LEFT($N2964,4),LCTT_MAP!$A$7:$C$66,IF($M2964="THU",2,3),FALSE()),IFERROR(VLOOKUP(LEFT($N2964,3),LCTT_MAP!$A$7:$C$66,IF($M2964="THU",2,3),FALSE()),IFERROR(VLOOKUP(LEFT($N2964,2),LCTT_MAP!$A$7:$C$66,IF($M2964="THU",2,3),FALSE()),IFERROR(VLOOKUP(LEFT($N2964,1),LCTT_MAP!$A$7:$C$66,IF($M2964="THU",2,3),FALSE()),IF($M2964="THU","06","07")))))))</f>
        <v/>
      </c>
      <c r="P2964" s="117">
        <f>P2963+IF(AND($H2964&lt;&gt;"",OR(LEFT($F2964,LEN(SC_TK))=SC_TK,LEFT($G2964,LEN(SC_TK))=SC_TK)),1,0)</f>
        <v/>
      </c>
    </row>
    <row r="2965" ht="15" customHeight="1" s="78">
      <c r="A2965" s="95">
        <f>IF($H2965="","",ROW()-6)</f>
        <v/>
      </c>
      <c r="B2965" s="114" t="n"/>
      <c r="C2965" s="102" t="n"/>
      <c r="D2965" s="114" t="n"/>
      <c r="E2965" s="103" t="n"/>
      <c r="F2965" s="102" t="n"/>
      <c r="G2965" s="102" t="n"/>
      <c r="H2965" s="115" t="n"/>
      <c r="I2965" s="102" t="n"/>
      <c r="J2965" s="102" t="n"/>
      <c r="K2965" s="103" t="n"/>
      <c r="L2965" s="116">
        <f>IF($H2965="","",TRIM(IF(COUNTIF(DMTK!$A$7:$A$250,$F2965)=0,"TK Nợ sai! ","")&amp;IF(COUNTIF(DMTK!$A$7:$A$250,$G2965)=0,"TK Có sai! ","")&amp;IF(N($H2965)&lt;=0,"Tiền phải &gt; 0! ","")&amp;IF($B2965="","Thiếu ngày! ","")&amp;IF(AND(OR(LEFT($F2965,3)="131",LEFT($G2965,3)="131",LEFT($F2965,3)="331",LEFT($G2965,3)="331"),$I2965=""),"Thiếu Mã ĐT! ","")&amp;IF(AND($I2965&lt;&gt;"",COUNTIF(DM_DT!$A$7:$A$306,$I2965)=0),"Mã ĐT chưa khai báo! ","")))</f>
        <v/>
      </c>
      <c r="M2965" s="117">
        <f>IF($H2965="","",IF(AND(OR(LEFT($F2965,3)="111",LEFT($F2965,3)="112",LEFT($F2965,3)="113"),OR(LEFT($G2965,3)="111",LEFT($G2965,3)="112",LEFT($G2965,3)="113")),"NB",IF(OR(LEFT($F2965,3)="111",LEFT($F2965,3)="112",LEFT($F2965,3)="113"),"THU",IF(OR(LEFT($G2965,3)="111",LEFT($G2965,3)="112",LEFT($G2965,3)="113"),"CHI",""))))</f>
        <v/>
      </c>
      <c r="N2965" s="117">
        <f>IF($M2965="THU",$G2965,IF($M2965="CHI",$F2965,""))</f>
        <v/>
      </c>
      <c r="O2965" s="117">
        <f>IF(OR($M2965="",$M2965="NB"),"",IF($J2965&lt;&gt;"",TEXT($J2965,"00"),IFERROR(VLOOKUP(LEFT($N2965,4),LCTT_MAP!$A$7:$C$66,IF($M2965="THU",2,3),FALSE()),IFERROR(VLOOKUP(LEFT($N2965,3),LCTT_MAP!$A$7:$C$66,IF($M2965="THU",2,3),FALSE()),IFERROR(VLOOKUP(LEFT($N2965,2),LCTT_MAP!$A$7:$C$66,IF($M2965="THU",2,3),FALSE()),IFERROR(VLOOKUP(LEFT($N2965,1),LCTT_MAP!$A$7:$C$66,IF($M2965="THU",2,3),FALSE()),IF($M2965="THU","06","07")))))))</f>
        <v/>
      </c>
      <c r="P2965" s="117">
        <f>P2964+IF(AND($H2965&lt;&gt;"",OR(LEFT($F2965,LEN(SC_TK))=SC_TK,LEFT($G2965,LEN(SC_TK))=SC_TK)),1,0)</f>
        <v/>
      </c>
    </row>
    <row r="2966" ht="15" customHeight="1" s="78">
      <c r="A2966" s="95">
        <f>IF($H2966="","",ROW()-6)</f>
        <v/>
      </c>
      <c r="B2966" s="114" t="n"/>
      <c r="C2966" s="102" t="n"/>
      <c r="D2966" s="114" t="n"/>
      <c r="E2966" s="103" t="n"/>
      <c r="F2966" s="102" t="n"/>
      <c r="G2966" s="102" t="n"/>
      <c r="H2966" s="115" t="n"/>
      <c r="I2966" s="102" t="n"/>
      <c r="J2966" s="102" t="n"/>
      <c r="K2966" s="103" t="n"/>
      <c r="L2966" s="116">
        <f>IF($H2966="","",TRIM(IF(COUNTIF(DMTK!$A$7:$A$250,$F2966)=0,"TK Nợ sai! ","")&amp;IF(COUNTIF(DMTK!$A$7:$A$250,$G2966)=0,"TK Có sai! ","")&amp;IF(N($H2966)&lt;=0,"Tiền phải &gt; 0! ","")&amp;IF($B2966="","Thiếu ngày! ","")&amp;IF(AND(OR(LEFT($F2966,3)="131",LEFT($G2966,3)="131",LEFT($F2966,3)="331",LEFT($G2966,3)="331"),$I2966=""),"Thiếu Mã ĐT! ","")&amp;IF(AND($I2966&lt;&gt;"",COUNTIF(DM_DT!$A$7:$A$306,$I2966)=0),"Mã ĐT chưa khai báo! ","")))</f>
        <v/>
      </c>
      <c r="M2966" s="117">
        <f>IF($H2966="","",IF(AND(OR(LEFT($F2966,3)="111",LEFT($F2966,3)="112",LEFT($F2966,3)="113"),OR(LEFT($G2966,3)="111",LEFT($G2966,3)="112",LEFT($G2966,3)="113")),"NB",IF(OR(LEFT($F2966,3)="111",LEFT($F2966,3)="112",LEFT($F2966,3)="113"),"THU",IF(OR(LEFT($G2966,3)="111",LEFT($G2966,3)="112",LEFT($G2966,3)="113"),"CHI",""))))</f>
        <v/>
      </c>
      <c r="N2966" s="117">
        <f>IF($M2966="THU",$G2966,IF($M2966="CHI",$F2966,""))</f>
        <v/>
      </c>
      <c r="O2966" s="117">
        <f>IF(OR($M2966="",$M2966="NB"),"",IF($J2966&lt;&gt;"",TEXT($J2966,"00"),IFERROR(VLOOKUP(LEFT($N2966,4),LCTT_MAP!$A$7:$C$66,IF($M2966="THU",2,3),FALSE()),IFERROR(VLOOKUP(LEFT($N2966,3),LCTT_MAP!$A$7:$C$66,IF($M2966="THU",2,3),FALSE()),IFERROR(VLOOKUP(LEFT($N2966,2),LCTT_MAP!$A$7:$C$66,IF($M2966="THU",2,3),FALSE()),IFERROR(VLOOKUP(LEFT($N2966,1),LCTT_MAP!$A$7:$C$66,IF($M2966="THU",2,3),FALSE()),IF($M2966="THU","06","07")))))))</f>
        <v/>
      </c>
      <c r="P2966" s="117">
        <f>P2965+IF(AND($H2966&lt;&gt;"",OR(LEFT($F2966,LEN(SC_TK))=SC_TK,LEFT($G2966,LEN(SC_TK))=SC_TK)),1,0)</f>
        <v/>
      </c>
    </row>
    <row r="2967" ht="15" customHeight="1" s="78">
      <c r="A2967" s="95">
        <f>IF($H2967="","",ROW()-6)</f>
        <v/>
      </c>
      <c r="B2967" s="114" t="n"/>
      <c r="C2967" s="102" t="n"/>
      <c r="D2967" s="114" t="n"/>
      <c r="E2967" s="103" t="n"/>
      <c r="F2967" s="102" t="n"/>
      <c r="G2967" s="102" t="n"/>
      <c r="H2967" s="115" t="n"/>
      <c r="I2967" s="102" t="n"/>
      <c r="J2967" s="102" t="n"/>
      <c r="K2967" s="103" t="n"/>
      <c r="L2967" s="116">
        <f>IF($H2967="","",TRIM(IF(COUNTIF(DMTK!$A$7:$A$250,$F2967)=0,"TK Nợ sai! ","")&amp;IF(COUNTIF(DMTK!$A$7:$A$250,$G2967)=0,"TK Có sai! ","")&amp;IF(N($H2967)&lt;=0,"Tiền phải &gt; 0! ","")&amp;IF($B2967="","Thiếu ngày! ","")&amp;IF(AND(OR(LEFT($F2967,3)="131",LEFT($G2967,3)="131",LEFT($F2967,3)="331",LEFT($G2967,3)="331"),$I2967=""),"Thiếu Mã ĐT! ","")&amp;IF(AND($I2967&lt;&gt;"",COUNTIF(DM_DT!$A$7:$A$306,$I2967)=0),"Mã ĐT chưa khai báo! ","")))</f>
        <v/>
      </c>
      <c r="M2967" s="117">
        <f>IF($H2967="","",IF(AND(OR(LEFT($F2967,3)="111",LEFT($F2967,3)="112",LEFT($F2967,3)="113"),OR(LEFT($G2967,3)="111",LEFT($G2967,3)="112",LEFT($G2967,3)="113")),"NB",IF(OR(LEFT($F2967,3)="111",LEFT($F2967,3)="112",LEFT($F2967,3)="113"),"THU",IF(OR(LEFT($G2967,3)="111",LEFT($G2967,3)="112",LEFT($G2967,3)="113"),"CHI",""))))</f>
        <v/>
      </c>
      <c r="N2967" s="117">
        <f>IF($M2967="THU",$G2967,IF($M2967="CHI",$F2967,""))</f>
        <v/>
      </c>
      <c r="O2967" s="117">
        <f>IF(OR($M2967="",$M2967="NB"),"",IF($J2967&lt;&gt;"",TEXT($J2967,"00"),IFERROR(VLOOKUP(LEFT($N2967,4),LCTT_MAP!$A$7:$C$66,IF($M2967="THU",2,3),FALSE()),IFERROR(VLOOKUP(LEFT($N2967,3),LCTT_MAP!$A$7:$C$66,IF($M2967="THU",2,3),FALSE()),IFERROR(VLOOKUP(LEFT($N2967,2),LCTT_MAP!$A$7:$C$66,IF($M2967="THU",2,3),FALSE()),IFERROR(VLOOKUP(LEFT($N2967,1),LCTT_MAP!$A$7:$C$66,IF($M2967="THU",2,3),FALSE()),IF($M2967="THU","06","07")))))))</f>
        <v/>
      </c>
      <c r="P2967" s="117">
        <f>P2966+IF(AND($H2967&lt;&gt;"",OR(LEFT($F2967,LEN(SC_TK))=SC_TK,LEFT($G2967,LEN(SC_TK))=SC_TK)),1,0)</f>
        <v/>
      </c>
    </row>
    <row r="2968" ht="15" customHeight="1" s="78">
      <c r="A2968" s="95">
        <f>IF($H2968="","",ROW()-6)</f>
        <v/>
      </c>
      <c r="B2968" s="114" t="n"/>
      <c r="C2968" s="102" t="n"/>
      <c r="D2968" s="114" t="n"/>
      <c r="E2968" s="103" t="n"/>
      <c r="F2968" s="102" t="n"/>
      <c r="G2968" s="102" t="n"/>
      <c r="H2968" s="115" t="n"/>
      <c r="I2968" s="102" t="n"/>
      <c r="J2968" s="102" t="n"/>
      <c r="K2968" s="103" t="n"/>
      <c r="L2968" s="116">
        <f>IF($H2968="","",TRIM(IF(COUNTIF(DMTK!$A$7:$A$250,$F2968)=0,"TK Nợ sai! ","")&amp;IF(COUNTIF(DMTK!$A$7:$A$250,$G2968)=0,"TK Có sai! ","")&amp;IF(N($H2968)&lt;=0,"Tiền phải &gt; 0! ","")&amp;IF($B2968="","Thiếu ngày! ","")&amp;IF(AND(OR(LEFT($F2968,3)="131",LEFT($G2968,3)="131",LEFT($F2968,3)="331",LEFT($G2968,3)="331"),$I2968=""),"Thiếu Mã ĐT! ","")&amp;IF(AND($I2968&lt;&gt;"",COUNTIF(DM_DT!$A$7:$A$306,$I2968)=0),"Mã ĐT chưa khai báo! ","")))</f>
        <v/>
      </c>
      <c r="M2968" s="117">
        <f>IF($H2968="","",IF(AND(OR(LEFT($F2968,3)="111",LEFT($F2968,3)="112",LEFT($F2968,3)="113"),OR(LEFT($G2968,3)="111",LEFT($G2968,3)="112",LEFT($G2968,3)="113")),"NB",IF(OR(LEFT($F2968,3)="111",LEFT($F2968,3)="112",LEFT($F2968,3)="113"),"THU",IF(OR(LEFT($G2968,3)="111",LEFT($G2968,3)="112",LEFT($G2968,3)="113"),"CHI",""))))</f>
        <v/>
      </c>
      <c r="N2968" s="117">
        <f>IF($M2968="THU",$G2968,IF($M2968="CHI",$F2968,""))</f>
        <v/>
      </c>
      <c r="O2968" s="117">
        <f>IF(OR($M2968="",$M2968="NB"),"",IF($J2968&lt;&gt;"",TEXT($J2968,"00"),IFERROR(VLOOKUP(LEFT($N2968,4),LCTT_MAP!$A$7:$C$66,IF($M2968="THU",2,3),FALSE()),IFERROR(VLOOKUP(LEFT($N2968,3),LCTT_MAP!$A$7:$C$66,IF($M2968="THU",2,3),FALSE()),IFERROR(VLOOKUP(LEFT($N2968,2),LCTT_MAP!$A$7:$C$66,IF($M2968="THU",2,3),FALSE()),IFERROR(VLOOKUP(LEFT($N2968,1),LCTT_MAP!$A$7:$C$66,IF($M2968="THU",2,3),FALSE()),IF($M2968="THU","06","07")))))))</f>
        <v/>
      </c>
      <c r="P2968" s="117">
        <f>P2967+IF(AND($H2968&lt;&gt;"",OR(LEFT($F2968,LEN(SC_TK))=SC_TK,LEFT($G2968,LEN(SC_TK))=SC_TK)),1,0)</f>
        <v/>
      </c>
    </row>
    <row r="2969" ht="15" customHeight="1" s="78">
      <c r="A2969" s="95">
        <f>IF($H2969="","",ROW()-6)</f>
        <v/>
      </c>
      <c r="B2969" s="114" t="n"/>
      <c r="C2969" s="102" t="n"/>
      <c r="D2969" s="114" t="n"/>
      <c r="E2969" s="103" t="n"/>
      <c r="F2969" s="102" t="n"/>
      <c r="G2969" s="102" t="n"/>
      <c r="H2969" s="115" t="n"/>
      <c r="I2969" s="102" t="n"/>
      <c r="J2969" s="102" t="n"/>
      <c r="K2969" s="103" t="n"/>
      <c r="L2969" s="116">
        <f>IF($H2969="","",TRIM(IF(COUNTIF(DMTK!$A$7:$A$250,$F2969)=0,"TK Nợ sai! ","")&amp;IF(COUNTIF(DMTK!$A$7:$A$250,$G2969)=0,"TK Có sai! ","")&amp;IF(N($H2969)&lt;=0,"Tiền phải &gt; 0! ","")&amp;IF($B2969="","Thiếu ngày! ","")&amp;IF(AND(OR(LEFT($F2969,3)="131",LEFT($G2969,3)="131",LEFT($F2969,3)="331",LEFT($G2969,3)="331"),$I2969=""),"Thiếu Mã ĐT! ","")&amp;IF(AND($I2969&lt;&gt;"",COUNTIF(DM_DT!$A$7:$A$306,$I2969)=0),"Mã ĐT chưa khai báo! ","")))</f>
        <v/>
      </c>
      <c r="M2969" s="117">
        <f>IF($H2969="","",IF(AND(OR(LEFT($F2969,3)="111",LEFT($F2969,3)="112",LEFT($F2969,3)="113"),OR(LEFT($G2969,3)="111",LEFT($G2969,3)="112",LEFT($G2969,3)="113")),"NB",IF(OR(LEFT($F2969,3)="111",LEFT($F2969,3)="112",LEFT($F2969,3)="113"),"THU",IF(OR(LEFT($G2969,3)="111",LEFT($G2969,3)="112",LEFT($G2969,3)="113"),"CHI",""))))</f>
        <v/>
      </c>
      <c r="N2969" s="117">
        <f>IF($M2969="THU",$G2969,IF($M2969="CHI",$F2969,""))</f>
        <v/>
      </c>
      <c r="O2969" s="117">
        <f>IF(OR($M2969="",$M2969="NB"),"",IF($J2969&lt;&gt;"",TEXT($J2969,"00"),IFERROR(VLOOKUP(LEFT($N2969,4),LCTT_MAP!$A$7:$C$66,IF($M2969="THU",2,3),FALSE()),IFERROR(VLOOKUP(LEFT($N2969,3),LCTT_MAP!$A$7:$C$66,IF($M2969="THU",2,3),FALSE()),IFERROR(VLOOKUP(LEFT($N2969,2),LCTT_MAP!$A$7:$C$66,IF($M2969="THU",2,3),FALSE()),IFERROR(VLOOKUP(LEFT($N2969,1),LCTT_MAP!$A$7:$C$66,IF($M2969="THU",2,3),FALSE()),IF($M2969="THU","06","07")))))))</f>
        <v/>
      </c>
      <c r="P2969" s="117">
        <f>P2968+IF(AND($H2969&lt;&gt;"",OR(LEFT($F2969,LEN(SC_TK))=SC_TK,LEFT($G2969,LEN(SC_TK))=SC_TK)),1,0)</f>
        <v/>
      </c>
    </row>
    <row r="2970" ht="15" customHeight="1" s="78">
      <c r="A2970" s="95">
        <f>IF($H2970="","",ROW()-6)</f>
        <v/>
      </c>
      <c r="B2970" s="114" t="n"/>
      <c r="C2970" s="102" t="n"/>
      <c r="D2970" s="114" t="n"/>
      <c r="E2970" s="103" t="n"/>
      <c r="F2970" s="102" t="n"/>
      <c r="G2970" s="102" t="n"/>
      <c r="H2970" s="115" t="n"/>
      <c r="I2970" s="102" t="n"/>
      <c r="J2970" s="102" t="n"/>
      <c r="K2970" s="103" t="n"/>
      <c r="L2970" s="116">
        <f>IF($H2970="","",TRIM(IF(COUNTIF(DMTK!$A$7:$A$250,$F2970)=0,"TK Nợ sai! ","")&amp;IF(COUNTIF(DMTK!$A$7:$A$250,$G2970)=0,"TK Có sai! ","")&amp;IF(N($H2970)&lt;=0,"Tiền phải &gt; 0! ","")&amp;IF($B2970="","Thiếu ngày! ","")&amp;IF(AND(OR(LEFT($F2970,3)="131",LEFT($G2970,3)="131",LEFT($F2970,3)="331",LEFT($G2970,3)="331"),$I2970=""),"Thiếu Mã ĐT! ","")&amp;IF(AND($I2970&lt;&gt;"",COUNTIF(DM_DT!$A$7:$A$306,$I2970)=0),"Mã ĐT chưa khai báo! ","")))</f>
        <v/>
      </c>
      <c r="M2970" s="117">
        <f>IF($H2970="","",IF(AND(OR(LEFT($F2970,3)="111",LEFT($F2970,3)="112",LEFT($F2970,3)="113"),OR(LEFT($G2970,3)="111",LEFT($G2970,3)="112",LEFT($G2970,3)="113")),"NB",IF(OR(LEFT($F2970,3)="111",LEFT($F2970,3)="112",LEFT($F2970,3)="113"),"THU",IF(OR(LEFT($G2970,3)="111",LEFT($G2970,3)="112",LEFT($G2970,3)="113"),"CHI",""))))</f>
        <v/>
      </c>
      <c r="N2970" s="117">
        <f>IF($M2970="THU",$G2970,IF($M2970="CHI",$F2970,""))</f>
        <v/>
      </c>
      <c r="O2970" s="117">
        <f>IF(OR($M2970="",$M2970="NB"),"",IF($J2970&lt;&gt;"",TEXT($J2970,"00"),IFERROR(VLOOKUP(LEFT($N2970,4),LCTT_MAP!$A$7:$C$66,IF($M2970="THU",2,3),FALSE()),IFERROR(VLOOKUP(LEFT($N2970,3),LCTT_MAP!$A$7:$C$66,IF($M2970="THU",2,3),FALSE()),IFERROR(VLOOKUP(LEFT($N2970,2),LCTT_MAP!$A$7:$C$66,IF($M2970="THU",2,3),FALSE()),IFERROR(VLOOKUP(LEFT($N2970,1),LCTT_MAP!$A$7:$C$66,IF($M2970="THU",2,3),FALSE()),IF($M2970="THU","06","07")))))))</f>
        <v/>
      </c>
      <c r="P2970" s="117">
        <f>P2969+IF(AND($H2970&lt;&gt;"",OR(LEFT($F2970,LEN(SC_TK))=SC_TK,LEFT($G2970,LEN(SC_TK))=SC_TK)),1,0)</f>
        <v/>
      </c>
    </row>
    <row r="2971" ht="15" customHeight="1" s="78">
      <c r="A2971" s="95">
        <f>IF($H2971="","",ROW()-6)</f>
        <v/>
      </c>
      <c r="B2971" s="114" t="n"/>
      <c r="C2971" s="102" t="n"/>
      <c r="D2971" s="114" t="n"/>
      <c r="E2971" s="103" t="n"/>
      <c r="F2971" s="102" t="n"/>
      <c r="G2971" s="102" t="n"/>
      <c r="H2971" s="115" t="n"/>
      <c r="I2971" s="102" t="n"/>
      <c r="J2971" s="102" t="n"/>
      <c r="K2971" s="103" t="n"/>
      <c r="L2971" s="116">
        <f>IF($H2971="","",TRIM(IF(COUNTIF(DMTK!$A$7:$A$250,$F2971)=0,"TK Nợ sai! ","")&amp;IF(COUNTIF(DMTK!$A$7:$A$250,$G2971)=0,"TK Có sai! ","")&amp;IF(N($H2971)&lt;=0,"Tiền phải &gt; 0! ","")&amp;IF($B2971="","Thiếu ngày! ","")&amp;IF(AND(OR(LEFT($F2971,3)="131",LEFT($G2971,3)="131",LEFT($F2971,3)="331",LEFT($G2971,3)="331"),$I2971=""),"Thiếu Mã ĐT! ","")&amp;IF(AND($I2971&lt;&gt;"",COUNTIF(DM_DT!$A$7:$A$306,$I2971)=0),"Mã ĐT chưa khai báo! ","")))</f>
        <v/>
      </c>
      <c r="M2971" s="117">
        <f>IF($H2971="","",IF(AND(OR(LEFT($F2971,3)="111",LEFT($F2971,3)="112",LEFT($F2971,3)="113"),OR(LEFT($G2971,3)="111",LEFT($G2971,3)="112",LEFT($G2971,3)="113")),"NB",IF(OR(LEFT($F2971,3)="111",LEFT($F2971,3)="112",LEFT($F2971,3)="113"),"THU",IF(OR(LEFT($G2971,3)="111",LEFT($G2971,3)="112",LEFT($G2971,3)="113"),"CHI",""))))</f>
        <v/>
      </c>
      <c r="N2971" s="117">
        <f>IF($M2971="THU",$G2971,IF($M2971="CHI",$F2971,""))</f>
        <v/>
      </c>
      <c r="O2971" s="117">
        <f>IF(OR($M2971="",$M2971="NB"),"",IF($J2971&lt;&gt;"",TEXT($J2971,"00"),IFERROR(VLOOKUP(LEFT($N2971,4),LCTT_MAP!$A$7:$C$66,IF($M2971="THU",2,3),FALSE()),IFERROR(VLOOKUP(LEFT($N2971,3),LCTT_MAP!$A$7:$C$66,IF($M2971="THU",2,3),FALSE()),IFERROR(VLOOKUP(LEFT($N2971,2),LCTT_MAP!$A$7:$C$66,IF($M2971="THU",2,3),FALSE()),IFERROR(VLOOKUP(LEFT($N2971,1),LCTT_MAP!$A$7:$C$66,IF($M2971="THU",2,3),FALSE()),IF($M2971="THU","06","07")))))))</f>
        <v/>
      </c>
      <c r="P2971" s="117">
        <f>P2970+IF(AND($H2971&lt;&gt;"",OR(LEFT($F2971,LEN(SC_TK))=SC_TK,LEFT($G2971,LEN(SC_TK))=SC_TK)),1,0)</f>
        <v/>
      </c>
    </row>
    <row r="2972" ht="15" customHeight="1" s="78">
      <c r="A2972" s="95">
        <f>IF($H2972="","",ROW()-6)</f>
        <v/>
      </c>
      <c r="B2972" s="114" t="n"/>
      <c r="C2972" s="102" t="n"/>
      <c r="D2972" s="114" t="n"/>
      <c r="E2972" s="103" t="n"/>
      <c r="F2972" s="102" t="n"/>
      <c r="G2972" s="102" t="n"/>
      <c r="H2972" s="115" t="n"/>
      <c r="I2972" s="102" t="n"/>
      <c r="J2972" s="102" t="n"/>
      <c r="K2972" s="103" t="n"/>
      <c r="L2972" s="116">
        <f>IF($H2972="","",TRIM(IF(COUNTIF(DMTK!$A$7:$A$250,$F2972)=0,"TK Nợ sai! ","")&amp;IF(COUNTIF(DMTK!$A$7:$A$250,$G2972)=0,"TK Có sai! ","")&amp;IF(N($H2972)&lt;=0,"Tiền phải &gt; 0! ","")&amp;IF($B2972="","Thiếu ngày! ","")&amp;IF(AND(OR(LEFT($F2972,3)="131",LEFT($G2972,3)="131",LEFT($F2972,3)="331",LEFT($G2972,3)="331"),$I2972=""),"Thiếu Mã ĐT! ","")&amp;IF(AND($I2972&lt;&gt;"",COUNTIF(DM_DT!$A$7:$A$306,$I2972)=0),"Mã ĐT chưa khai báo! ","")))</f>
        <v/>
      </c>
      <c r="M2972" s="117">
        <f>IF($H2972="","",IF(AND(OR(LEFT($F2972,3)="111",LEFT($F2972,3)="112",LEFT($F2972,3)="113"),OR(LEFT($G2972,3)="111",LEFT($G2972,3)="112",LEFT($G2972,3)="113")),"NB",IF(OR(LEFT($F2972,3)="111",LEFT($F2972,3)="112",LEFT($F2972,3)="113"),"THU",IF(OR(LEFT($G2972,3)="111",LEFT($G2972,3)="112",LEFT($G2972,3)="113"),"CHI",""))))</f>
        <v/>
      </c>
      <c r="N2972" s="117">
        <f>IF($M2972="THU",$G2972,IF($M2972="CHI",$F2972,""))</f>
        <v/>
      </c>
      <c r="O2972" s="117">
        <f>IF(OR($M2972="",$M2972="NB"),"",IF($J2972&lt;&gt;"",TEXT($J2972,"00"),IFERROR(VLOOKUP(LEFT($N2972,4),LCTT_MAP!$A$7:$C$66,IF($M2972="THU",2,3),FALSE()),IFERROR(VLOOKUP(LEFT($N2972,3),LCTT_MAP!$A$7:$C$66,IF($M2972="THU",2,3),FALSE()),IFERROR(VLOOKUP(LEFT($N2972,2),LCTT_MAP!$A$7:$C$66,IF($M2972="THU",2,3),FALSE()),IFERROR(VLOOKUP(LEFT($N2972,1),LCTT_MAP!$A$7:$C$66,IF($M2972="THU",2,3),FALSE()),IF($M2972="THU","06","07")))))))</f>
        <v/>
      </c>
      <c r="P2972" s="117">
        <f>P2971+IF(AND($H2972&lt;&gt;"",OR(LEFT($F2972,LEN(SC_TK))=SC_TK,LEFT($G2972,LEN(SC_TK))=SC_TK)),1,0)</f>
        <v/>
      </c>
    </row>
    <row r="2973" ht="15" customHeight="1" s="78">
      <c r="A2973" s="95">
        <f>IF($H2973="","",ROW()-6)</f>
        <v/>
      </c>
      <c r="B2973" s="114" t="n"/>
      <c r="C2973" s="102" t="n"/>
      <c r="D2973" s="114" t="n"/>
      <c r="E2973" s="103" t="n"/>
      <c r="F2973" s="102" t="n"/>
      <c r="G2973" s="102" t="n"/>
      <c r="H2973" s="115" t="n"/>
      <c r="I2973" s="102" t="n"/>
      <c r="J2973" s="102" t="n"/>
      <c r="K2973" s="103" t="n"/>
      <c r="L2973" s="116">
        <f>IF($H2973="","",TRIM(IF(COUNTIF(DMTK!$A$7:$A$250,$F2973)=0,"TK Nợ sai! ","")&amp;IF(COUNTIF(DMTK!$A$7:$A$250,$G2973)=0,"TK Có sai! ","")&amp;IF(N($H2973)&lt;=0,"Tiền phải &gt; 0! ","")&amp;IF($B2973="","Thiếu ngày! ","")&amp;IF(AND(OR(LEFT($F2973,3)="131",LEFT($G2973,3)="131",LEFT($F2973,3)="331",LEFT($G2973,3)="331"),$I2973=""),"Thiếu Mã ĐT! ","")&amp;IF(AND($I2973&lt;&gt;"",COUNTIF(DM_DT!$A$7:$A$306,$I2973)=0),"Mã ĐT chưa khai báo! ","")))</f>
        <v/>
      </c>
      <c r="M2973" s="117">
        <f>IF($H2973="","",IF(AND(OR(LEFT($F2973,3)="111",LEFT($F2973,3)="112",LEFT($F2973,3)="113"),OR(LEFT($G2973,3)="111",LEFT($G2973,3)="112",LEFT($G2973,3)="113")),"NB",IF(OR(LEFT($F2973,3)="111",LEFT($F2973,3)="112",LEFT($F2973,3)="113"),"THU",IF(OR(LEFT($G2973,3)="111",LEFT($G2973,3)="112",LEFT($G2973,3)="113"),"CHI",""))))</f>
        <v/>
      </c>
      <c r="N2973" s="117">
        <f>IF($M2973="THU",$G2973,IF($M2973="CHI",$F2973,""))</f>
        <v/>
      </c>
      <c r="O2973" s="117">
        <f>IF(OR($M2973="",$M2973="NB"),"",IF($J2973&lt;&gt;"",TEXT($J2973,"00"),IFERROR(VLOOKUP(LEFT($N2973,4),LCTT_MAP!$A$7:$C$66,IF($M2973="THU",2,3),FALSE()),IFERROR(VLOOKUP(LEFT($N2973,3),LCTT_MAP!$A$7:$C$66,IF($M2973="THU",2,3),FALSE()),IFERROR(VLOOKUP(LEFT($N2973,2),LCTT_MAP!$A$7:$C$66,IF($M2973="THU",2,3),FALSE()),IFERROR(VLOOKUP(LEFT($N2973,1),LCTT_MAP!$A$7:$C$66,IF($M2973="THU",2,3),FALSE()),IF($M2973="THU","06","07")))))))</f>
        <v/>
      </c>
      <c r="P2973" s="117">
        <f>P2972+IF(AND($H2973&lt;&gt;"",OR(LEFT($F2973,LEN(SC_TK))=SC_TK,LEFT($G2973,LEN(SC_TK))=SC_TK)),1,0)</f>
        <v/>
      </c>
    </row>
    <row r="2974" ht="15" customHeight="1" s="78">
      <c r="A2974" s="95">
        <f>IF($H2974="","",ROW()-6)</f>
        <v/>
      </c>
      <c r="B2974" s="114" t="n"/>
      <c r="C2974" s="102" t="n"/>
      <c r="D2974" s="114" t="n"/>
      <c r="E2974" s="103" t="n"/>
      <c r="F2974" s="102" t="n"/>
      <c r="G2974" s="102" t="n"/>
      <c r="H2974" s="115" t="n"/>
      <c r="I2974" s="102" t="n"/>
      <c r="J2974" s="102" t="n"/>
      <c r="K2974" s="103" t="n"/>
      <c r="L2974" s="116">
        <f>IF($H2974="","",TRIM(IF(COUNTIF(DMTK!$A$7:$A$250,$F2974)=0,"TK Nợ sai! ","")&amp;IF(COUNTIF(DMTK!$A$7:$A$250,$G2974)=0,"TK Có sai! ","")&amp;IF(N($H2974)&lt;=0,"Tiền phải &gt; 0! ","")&amp;IF($B2974="","Thiếu ngày! ","")&amp;IF(AND(OR(LEFT($F2974,3)="131",LEFT($G2974,3)="131",LEFT($F2974,3)="331",LEFT($G2974,3)="331"),$I2974=""),"Thiếu Mã ĐT! ","")&amp;IF(AND($I2974&lt;&gt;"",COUNTIF(DM_DT!$A$7:$A$306,$I2974)=0),"Mã ĐT chưa khai báo! ","")))</f>
        <v/>
      </c>
      <c r="M2974" s="117">
        <f>IF($H2974="","",IF(AND(OR(LEFT($F2974,3)="111",LEFT($F2974,3)="112",LEFT($F2974,3)="113"),OR(LEFT($G2974,3)="111",LEFT($G2974,3)="112",LEFT($G2974,3)="113")),"NB",IF(OR(LEFT($F2974,3)="111",LEFT($F2974,3)="112",LEFT($F2974,3)="113"),"THU",IF(OR(LEFT($G2974,3)="111",LEFT($G2974,3)="112",LEFT($G2974,3)="113"),"CHI",""))))</f>
        <v/>
      </c>
      <c r="N2974" s="117">
        <f>IF($M2974="THU",$G2974,IF($M2974="CHI",$F2974,""))</f>
        <v/>
      </c>
      <c r="O2974" s="117">
        <f>IF(OR($M2974="",$M2974="NB"),"",IF($J2974&lt;&gt;"",TEXT($J2974,"00"),IFERROR(VLOOKUP(LEFT($N2974,4),LCTT_MAP!$A$7:$C$66,IF($M2974="THU",2,3),FALSE()),IFERROR(VLOOKUP(LEFT($N2974,3),LCTT_MAP!$A$7:$C$66,IF($M2974="THU",2,3),FALSE()),IFERROR(VLOOKUP(LEFT($N2974,2),LCTT_MAP!$A$7:$C$66,IF($M2974="THU",2,3),FALSE()),IFERROR(VLOOKUP(LEFT($N2974,1),LCTT_MAP!$A$7:$C$66,IF($M2974="THU",2,3),FALSE()),IF($M2974="THU","06","07")))))))</f>
        <v/>
      </c>
      <c r="P2974" s="117">
        <f>P2973+IF(AND($H2974&lt;&gt;"",OR(LEFT($F2974,LEN(SC_TK))=SC_TK,LEFT($G2974,LEN(SC_TK))=SC_TK)),1,0)</f>
        <v/>
      </c>
    </row>
    <row r="2975" ht="15" customHeight="1" s="78">
      <c r="A2975" s="95">
        <f>IF($H2975="","",ROW()-6)</f>
        <v/>
      </c>
      <c r="B2975" s="114" t="n"/>
      <c r="C2975" s="102" t="n"/>
      <c r="D2975" s="114" t="n"/>
      <c r="E2975" s="103" t="n"/>
      <c r="F2975" s="102" t="n"/>
      <c r="G2975" s="102" t="n"/>
      <c r="H2975" s="115" t="n"/>
      <c r="I2975" s="102" t="n"/>
      <c r="J2975" s="102" t="n"/>
      <c r="K2975" s="103" t="n"/>
      <c r="L2975" s="116">
        <f>IF($H2975="","",TRIM(IF(COUNTIF(DMTK!$A$7:$A$250,$F2975)=0,"TK Nợ sai! ","")&amp;IF(COUNTIF(DMTK!$A$7:$A$250,$G2975)=0,"TK Có sai! ","")&amp;IF(N($H2975)&lt;=0,"Tiền phải &gt; 0! ","")&amp;IF($B2975="","Thiếu ngày! ","")&amp;IF(AND(OR(LEFT($F2975,3)="131",LEFT($G2975,3)="131",LEFT($F2975,3)="331",LEFT($G2975,3)="331"),$I2975=""),"Thiếu Mã ĐT! ","")&amp;IF(AND($I2975&lt;&gt;"",COUNTIF(DM_DT!$A$7:$A$306,$I2975)=0),"Mã ĐT chưa khai báo! ","")))</f>
        <v/>
      </c>
      <c r="M2975" s="117">
        <f>IF($H2975="","",IF(AND(OR(LEFT($F2975,3)="111",LEFT($F2975,3)="112",LEFT($F2975,3)="113"),OR(LEFT($G2975,3)="111",LEFT($G2975,3)="112",LEFT($G2975,3)="113")),"NB",IF(OR(LEFT($F2975,3)="111",LEFT($F2975,3)="112",LEFT($F2975,3)="113"),"THU",IF(OR(LEFT($G2975,3)="111",LEFT($G2975,3)="112",LEFT($G2975,3)="113"),"CHI",""))))</f>
        <v/>
      </c>
      <c r="N2975" s="117">
        <f>IF($M2975="THU",$G2975,IF($M2975="CHI",$F2975,""))</f>
        <v/>
      </c>
      <c r="O2975" s="117">
        <f>IF(OR($M2975="",$M2975="NB"),"",IF($J2975&lt;&gt;"",TEXT($J2975,"00"),IFERROR(VLOOKUP(LEFT($N2975,4),LCTT_MAP!$A$7:$C$66,IF($M2975="THU",2,3),FALSE()),IFERROR(VLOOKUP(LEFT($N2975,3),LCTT_MAP!$A$7:$C$66,IF($M2975="THU",2,3),FALSE()),IFERROR(VLOOKUP(LEFT($N2975,2),LCTT_MAP!$A$7:$C$66,IF($M2975="THU",2,3),FALSE()),IFERROR(VLOOKUP(LEFT($N2975,1),LCTT_MAP!$A$7:$C$66,IF($M2975="THU",2,3),FALSE()),IF($M2975="THU","06","07")))))))</f>
        <v/>
      </c>
      <c r="P2975" s="117">
        <f>P2974+IF(AND($H2975&lt;&gt;"",OR(LEFT($F2975,LEN(SC_TK))=SC_TK,LEFT($G2975,LEN(SC_TK))=SC_TK)),1,0)</f>
        <v/>
      </c>
    </row>
    <row r="2976" ht="15" customHeight="1" s="78">
      <c r="A2976" s="95">
        <f>IF($H2976="","",ROW()-6)</f>
        <v/>
      </c>
      <c r="B2976" s="114" t="n"/>
      <c r="C2976" s="102" t="n"/>
      <c r="D2976" s="114" t="n"/>
      <c r="E2976" s="103" t="n"/>
      <c r="F2976" s="102" t="n"/>
      <c r="G2976" s="102" t="n"/>
      <c r="H2976" s="115" t="n"/>
      <c r="I2976" s="102" t="n"/>
      <c r="J2976" s="102" t="n"/>
      <c r="K2976" s="103" t="n"/>
      <c r="L2976" s="116">
        <f>IF($H2976="","",TRIM(IF(COUNTIF(DMTK!$A$7:$A$250,$F2976)=0,"TK Nợ sai! ","")&amp;IF(COUNTIF(DMTK!$A$7:$A$250,$G2976)=0,"TK Có sai! ","")&amp;IF(N($H2976)&lt;=0,"Tiền phải &gt; 0! ","")&amp;IF($B2976="","Thiếu ngày! ","")&amp;IF(AND(OR(LEFT($F2976,3)="131",LEFT($G2976,3)="131",LEFT($F2976,3)="331",LEFT($G2976,3)="331"),$I2976=""),"Thiếu Mã ĐT! ","")&amp;IF(AND($I2976&lt;&gt;"",COUNTIF(DM_DT!$A$7:$A$306,$I2976)=0),"Mã ĐT chưa khai báo! ","")))</f>
        <v/>
      </c>
      <c r="M2976" s="117">
        <f>IF($H2976="","",IF(AND(OR(LEFT($F2976,3)="111",LEFT($F2976,3)="112",LEFT($F2976,3)="113"),OR(LEFT($G2976,3)="111",LEFT($G2976,3)="112",LEFT($G2976,3)="113")),"NB",IF(OR(LEFT($F2976,3)="111",LEFT($F2976,3)="112",LEFT($F2976,3)="113"),"THU",IF(OR(LEFT($G2976,3)="111",LEFT($G2976,3)="112",LEFT($G2976,3)="113"),"CHI",""))))</f>
        <v/>
      </c>
      <c r="N2976" s="117">
        <f>IF($M2976="THU",$G2976,IF($M2976="CHI",$F2976,""))</f>
        <v/>
      </c>
      <c r="O2976" s="117">
        <f>IF(OR($M2976="",$M2976="NB"),"",IF($J2976&lt;&gt;"",TEXT($J2976,"00"),IFERROR(VLOOKUP(LEFT($N2976,4),LCTT_MAP!$A$7:$C$66,IF($M2976="THU",2,3),FALSE()),IFERROR(VLOOKUP(LEFT($N2976,3),LCTT_MAP!$A$7:$C$66,IF($M2976="THU",2,3),FALSE()),IFERROR(VLOOKUP(LEFT($N2976,2),LCTT_MAP!$A$7:$C$66,IF($M2976="THU",2,3),FALSE()),IFERROR(VLOOKUP(LEFT($N2976,1),LCTT_MAP!$A$7:$C$66,IF($M2976="THU",2,3),FALSE()),IF($M2976="THU","06","07")))))))</f>
        <v/>
      </c>
      <c r="P2976" s="117">
        <f>P2975+IF(AND($H2976&lt;&gt;"",OR(LEFT($F2976,LEN(SC_TK))=SC_TK,LEFT($G2976,LEN(SC_TK))=SC_TK)),1,0)</f>
        <v/>
      </c>
    </row>
    <row r="2977" ht="15" customHeight="1" s="78">
      <c r="A2977" s="95">
        <f>IF($H2977="","",ROW()-6)</f>
        <v/>
      </c>
      <c r="B2977" s="114" t="n"/>
      <c r="C2977" s="102" t="n"/>
      <c r="D2977" s="114" t="n"/>
      <c r="E2977" s="103" t="n"/>
      <c r="F2977" s="102" t="n"/>
      <c r="G2977" s="102" t="n"/>
      <c r="H2977" s="115" t="n"/>
      <c r="I2977" s="102" t="n"/>
      <c r="J2977" s="102" t="n"/>
      <c r="K2977" s="103" t="n"/>
      <c r="L2977" s="116">
        <f>IF($H2977="","",TRIM(IF(COUNTIF(DMTK!$A$7:$A$250,$F2977)=0,"TK Nợ sai! ","")&amp;IF(COUNTIF(DMTK!$A$7:$A$250,$G2977)=0,"TK Có sai! ","")&amp;IF(N($H2977)&lt;=0,"Tiền phải &gt; 0! ","")&amp;IF($B2977="","Thiếu ngày! ","")&amp;IF(AND(OR(LEFT($F2977,3)="131",LEFT($G2977,3)="131",LEFT($F2977,3)="331",LEFT($G2977,3)="331"),$I2977=""),"Thiếu Mã ĐT! ","")&amp;IF(AND($I2977&lt;&gt;"",COUNTIF(DM_DT!$A$7:$A$306,$I2977)=0),"Mã ĐT chưa khai báo! ","")))</f>
        <v/>
      </c>
      <c r="M2977" s="117">
        <f>IF($H2977="","",IF(AND(OR(LEFT($F2977,3)="111",LEFT($F2977,3)="112",LEFT($F2977,3)="113"),OR(LEFT($G2977,3)="111",LEFT($G2977,3)="112",LEFT($G2977,3)="113")),"NB",IF(OR(LEFT($F2977,3)="111",LEFT($F2977,3)="112",LEFT($F2977,3)="113"),"THU",IF(OR(LEFT($G2977,3)="111",LEFT($G2977,3)="112",LEFT($G2977,3)="113"),"CHI",""))))</f>
        <v/>
      </c>
      <c r="N2977" s="117">
        <f>IF($M2977="THU",$G2977,IF($M2977="CHI",$F2977,""))</f>
        <v/>
      </c>
      <c r="O2977" s="117">
        <f>IF(OR($M2977="",$M2977="NB"),"",IF($J2977&lt;&gt;"",TEXT($J2977,"00"),IFERROR(VLOOKUP(LEFT($N2977,4),LCTT_MAP!$A$7:$C$66,IF($M2977="THU",2,3),FALSE()),IFERROR(VLOOKUP(LEFT($N2977,3),LCTT_MAP!$A$7:$C$66,IF($M2977="THU",2,3),FALSE()),IFERROR(VLOOKUP(LEFT($N2977,2),LCTT_MAP!$A$7:$C$66,IF($M2977="THU",2,3),FALSE()),IFERROR(VLOOKUP(LEFT($N2977,1),LCTT_MAP!$A$7:$C$66,IF($M2977="THU",2,3),FALSE()),IF($M2977="THU","06","07")))))))</f>
        <v/>
      </c>
      <c r="P2977" s="117">
        <f>P2976+IF(AND($H2977&lt;&gt;"",OR(LEFT($F2977,LEN(SC_TK))=SC_TK,LEFT($G2977,LEN(SC_TK))=SC_TK)),1,0)</f>
        <v/>
      </c>
    </row>
    <row r="2978" ht="15" customHeight="1" s="78">
      <c r="A2978" s="95">
        <f>IF($H2978="","",ROW()-6)</f>
        <v/>
      </c>
      <c r="B2978" s="114" t="n"/>
      <c r="C2978" s="102" t="n"/>
      <c r="D2978" s="114" t="n"/>
      <c r="E2978" s="103" t="n"/>
      <c r="F2978" s="102" t="n"/>
      <c r="G2978" s="102" t="n"/>
      <c r="H2978" s="115" t="n"/>
      <c r="I2978" s="102" t="n"/>
      <c r="J2978" s="102" t="n"/>
      <c r="K2978" s="103" t="n"/>
      <c r="L2978" s="116">
        <f>IF($H2978="","",TRIM(IF(COUNTIF(DMTK!$A$7:$A$250,$F2978)=0,"TK Nợ sai! ","")&amp;IF(COUNTIF(DMTK!$A$7:$A$250,$G2978)=0,"TK Có sai! ","")&amp;IF(N($H2978)&lt;=0,"Tiền phải &gt; 0! ","")&amp;IF($B2978="","Thiếu ngày! ","")&amp;IF(AND(OR(LEFT($F2978,3)="131",LEFT($G2978,3)="131",LEFT($F2978,3)="331",LEFT($G2978,3)="331"),$I2978=""),"Thiếu Mã ĐT! ","")&amp;IF(AND($I2978&lt;&gt;"",COUNTIF(DM_DT!$A$7:$A$306,$I2978)=0),"Mã ĐT chưa khai báo! ","")))</f>
        <v/>
      </c>
      <c r="M2978" s="117">
        <f>IF($H2978="","",IF(AND(OR(LEFT($F2978,3)="111",LEFT($F2978,3)="112",LEFT($F2978,3)="113"),OR(LEFT($G2978,3)="111",LEFT($G2978,3)="112",LEFT($G2978,3)="113")),"NB",IF(OR(LEFT($F2978,3)="111",LEFT($F2978,3)="112",LEFT($F2978,3)="113"),"THU",IF(OR(LEFT($G2978,3)="111",LEFT($G2978,3)="112",LEFT($G2978,3)="113"),"CHI",""))))</f>
        <v/>
      </c>
      <c r="N2978" s="117">
        <f>IF($M2978="THU",$G2978,IF($M2978="CHI",$F2978,""))</f>
        <v/>
      </c>
      <c r="O2978" s="117">
        <f>IF(OR($M2978="",$M2978="NB"),"",IF($J2978&lt;&gt;"",TEXT($J2978,"00"),IFERROR(VLOOKUP(LEFT($N2978,4),LCTT_MAP!$A$7:$C$66,IF($M2978="THU",2,3),FALSE()),IFERROR(VLOOKUP(LEFT($N2978,3),LCTT_MAP!$A$7:$C$66,IF($M2978="THU",2,3),FALSE()),IFERROR(VLOOKUP(LEFT($N2978,2),LCTT_MAP!$A$7:$C$66,IF($M2978="THU",2,3),FALSE()),IFERROR(VLOOKUP(LEFT($N2978,1),LCTT_MAP!$A$7:$C$66,IF($M2978="THU",2,3),FALSE()),IF($M2978="THU","06","07")))))))</f>
        <v/>
      </c>
      <c r="P2978" s="117">
        <f>P2977+IF(AND($H2978&lt;&gt;"",OR(LEFT($F2978,LEN(SC_TK))=SC_TK,LEFT($G2978,LEN(SC_TK))=SC_TK)),1,0)</f>
        <v/>
      </c>
    </row>
    <row r="2979" ht="15" customHeight="1" s="78">
      <c r="A2979" s="95">
        <f>IF($H2979="","",ROW()-6)</f>
        <v/>
      </c>
      <c r="B2979" s="114" t="n"/>
      <c r="C2979" s="102" t="n"/>
      <c r="D2979" s="114" t="n"/>
      <c r="E2979" s="103" t="n"/>
      <c r="F2979" s="102" t="n"/>
      <c r="G2979" s="102" t="n"/>
      <c r="H2979" s="115" t="n"/>
      <c r="I2979" s="102" t="n"/>
      <c r="J2979" s="102" t="n"/>
      <c r="K2979" s="103" t="n"/>
      <c r="L2979" s="116">
        <f>IF($H2979="","",TRIM(IF(COUNTIF(DMTK!$A$7:$A$250,$F2979)=0,"TK Nợ sai! ","")&amp;IF(COUNTIF(DMTK!$A$7:$A$250,$G2979)=0,"TK Có sai! ","")&amp;IF(N($H2979)&lt;=0,"Tiền phải &gt; 0! ","")&amp;IF($B2979="","Thiếu ngày! ","")&amp;IF(AND(OR(LEFT($F2979,3)="131",LEFT($G2979,3)="131",LEFT($F2979,3)="331",LEFT($G2979,3)="331"),$I2979=""),"Thiếu Mã ĐT! ","")&amp;IF(AND($I2979&lt;&gt;"",COUNTIF(DM_DT!$A$7:$A$306,$I2979)=0),"Mã ĐT chưa khai báo! ","")))</f>
        <v/>
      </c>
      <c r="M2979" s="117">
        <f>IF($H2979="","",IF(AND(OR(LEFT($F2979,3)="111",LEFT($F2979,3)="112",LEFT($F2979,3)="113"),OR(LEFT($G2979,3)="111",LEFT($G2979,3)="112",LEFT($G2979,3)="113")),"NB",IF(OR(LEFT($F2979,3)="111",LEFT($F2979,3)="112",LEFT($F2979,3)="113"),"THU",IF(OR(LEFT($G2979,3)="111",LEFT($G2979,3)="112",LEFT($G2979,3)="113"),"CHI",""))))</f>
        <v/>
      </c>
      <c r="N2979" s="117">
        <f>IF($M2979="THU",$G2979,IF($M2979="CHI",$F2979,""))</f>
        <v/>
      </c>
      <c r="O2979" s="117">
        <f>IF(OR($M2979="",$M2979="NB"),"",IF($J2979&lt;&gt;"",TEXT($J2979,"00"),IFERROR(VLOOKUP(LEFT($N2979,4),LCTT_MAP!$A$7:$C$66,IF($M2979="THU",2,3),FALSE()),IFERROR(VLOOKUP(LEFT($N2979,3),LCTT_MAP!$A$7:$C$66,IF($M2979="THU",2,3),FALSE()),IFERROR(VLOOKUP(LEFT($N2979,2),LCTT_MAP!$A$7:$C$66,IF($M2979="THU",2,3),FALSE()),IFERROR(VLOOKUP(LEFT($N2979,1),LCTT_MAP!$A$7:$C$66,IF($M2979="THU",2,3),FALSE()),IF($M2979="THU","06","07")))))))</f>
        <v/>
      </c>
      <c r="P2979" s="117">
        <f>P2978+IF(AND($H2979&lt;&gt;"",OR(LEFT($F2979,LEN(SC_TK))=SC_TK,LEFT($G2979,LEN(SC_TK))=SC_TK)),1,0)</f>
        <v/>
      </c>
    </row>
    <row r="2980" ht="15" customHeight="1" s="78">
      <c r="A2980" s="95">
        <f>IF($H2980="","",ROW()-6)</f>
        <v/>
      </c>
      <c r="B2980" s="114" t="n"/>
      <c r="C2980" s="102" t="n"/>
      <c r="D2980" s="114" t="n"/>
      <c r="E2980" s="103" t="n"/>
      <c r="F2980" s="102" t="n"/>
      <c r="G2980" s="102" t="n"/>
      <c r="H2980" s="115" t="n"/>
      <c r="I2980" s="102" t="n"/>
      <c r="J2980" s="102" t="n"/>
      <c r="K2980" s="103" t="n"/>
      <c r="L2980" s="116">
        <f>IF($H2980="","",TRIM(IF(COUNTIF(DMTK!$A$7:$A$250,$F2980)=0,"TK Nợ sai! ","")&amp;IF(COUNTIF(DMTK!$A$7:$A$250,$G2980)=0,"TK Có sai! ","")&amp;IF(N($H2980)&lt;=0,"Tiền phải &gt; 0! ","")&amp;IF($B2980="","Thiếu ngày! ","")&amp;IF(AND(OR(LEFT($F2980,3)="131",LEFT($G2980,3)="131",LEFT($F2980,3)="331",LEFT($G2980,3)="331"),$I2980=""),"Thiếu Mã ĐT! ","")&amp;IF(AND($I2980&lt;&gt;"",COUNTIF(DM_DT!$A$7:$A$306,$I2980)=0),"Mã ĐT chưa khai báo! ","")))</f>
        <v/>
      </c>
      <c r="M2980" s="117">
        <f>IF($H2980="","",IF(AND(OR(LEFT($F2980,3)="111",LEFT($F2980,3)="112",LEFT($F2980,3)="113"),OR(LEFT($G2980,3)="111",LEFT($G2980,3)="112",LEFT($G2980,3)="113")),"NB",IF(OR(LEFT($F2980,3)="111",LEFT($F2980,3)="112",LEFT($F2980,3)="113"),"THU",IF(OR(LEFT($G2980,3)="111",LEFT($G2980,3)="112",LEFT($G2980,3)="113"),"CHI",""))))</f>
        <v/>
      </c>
      <c r="N2980" s="117">
        <f>IF($M2980="THU",$G2980,IF($M2980="CHI",$F2980,""))</f>
        <v/>
      </c>
      <c r="O2980" s="117">
        <f>IF(OR($M2980="",$M2980="NB"),"",IF($J2980&lt;&gt;"",TEXT($J2980,"00"),IFERROR(VLOOKUP(LEFT($N2980,4),LCTT_MAP!$A$7:$C$66,IF($M2980="THU",2,3),FALSE()),IFERROR(VLOOKUP(LEFT($N2980,3),LCTT_MAP!$A$7:$C$66,IF($M2980="THU",2,3),FALSE()),IFERROR(VLOOKUP(LEFT($N2980,2),LCTT_MAP!$A$7:$C$66,IF($M2980="THU",2,3),FALSE()),IFERROR(VLOOKUP(LEFT($N2980,1),LCTT_MAP!$A$7:$C$66,IF($M2980="THU",2,3),FALSE()),IF($M2980="THU","06","07")))))))</f>
        <v/>
      </c>
      <c r="P2980" s="117">
        <f>P2979+IF(AND($H2980&lt;&gt;"",OR(LEFT($F2980,LEN(SC_TK))=SC_TK,LEFT($G2980,LEN(SC_TK))=SC_TK)),1,0)</f>
        <v/>
      </c>
    </row>
    <row r="2981" ht="15" customHeight="1" s="78">
      <c r="A2981" s="95">
        <f>IF($H2981="","",ROW()-6)</f>
        <v/>
      </c>
      <c r="B2981" s="114" t="n"/>
      <c r="C2981" s="102" t="n"/>
      <c r="D2981" s="114" t="n"/>
      <c r="E2981" s="103" t="n"/>
      <c r="F2981" s="102" t="n"/>
      <c r="G2981" s="102" t="n"/>
      <c r="H2981" s="115" t="n"/>
      <c r="I2981" s="102" t="n"/>
      <c r="J2981" s="102" t="n"/>
      <c r="K2981" s="103" t="n"/>
      <c r="L2981" s="116">
        <f>IF($H2981="","",TRIM(IF(COUNTIF(DMTK!$A$7:$A$250,$F2981)=0,"TK Nợ sai! ","")&amp;IF(COUNTIF(DMTK!$A$7:$A$250,$G2981)=0,"TK Có sai! ","")&amp;IF(N($H2981)&lt;=0,"Tiền phải &gt; 0! ","")&amp;IF($B2981="","Thiếu ngày! ","")&amp;IF(AND(OR(LEFT($F2981,3)="131",LEFT($G2981,3)="131",LEFT($F2981,3)="331",LEFT($G2981,3)="331"),$I2981=""),"Thiếu Mã ĐT! ","")&amp;IF(AND($I2981&lt;&gt;"",COUNTIF(DM_DT!$A$7:$A$306,$I2981)=0),"Mã ĐT chưa khai báo! ","")))</f>
        <v/>
      </c>
      <c r="M2981" s="117">
        <f>IF($H2981="","",IF(AND(OR(LEFT($F2981,3)="111",LEFT($F2981,3)="112",LEFT($F2981,3)="113"),OR(LEFT($G2981,3)="111",LEFT($G2981,3)="112",LEFT($G2981,3)="113")),"NB",IF(OR(LEFT($F2981,3)="111",LEFT($F2981,3)="112",LEFT($F2981,3)="113"),"THU",IF(OR(LEFT($G2981,3)="111",LEFT($G2981,3)="112",LEFT($G2981,3)="113"),"CHI",""))))</f>
        <v/>
      </c>
      <c r="N2981" s="117">
        <f>IF($M2981="THU",$G2981,IF($M2981="CHI",$F2981,""))</f>
        <v/>
      </c>
      <c r="O2981" s="117">
        <f>IF(OR($M2981="",$M2981="NB"),"",IF($J2981&lt;&gt;"",TEXT($J2981,"00"),IFERROR(VLOOKUP(LEFT($N2981,4),LCTT_MAP!$A$7:$C$66,IF($M2981="THU",2,3),FALSE()),IFERROR(VLOOKUP(LEFT($N2981,3),LCTT_MAP!$A$7:$C$66,IF($M2981="THU",2,3),FALSE()),IFERROR(VLOOKUP(LEFT($N2981,2),LCTT_MAP!$A$7:$C$66,IF($M2981="THU",2,3),FALSE()),IFERROR(VLOOKUP(LEFT($N2981,1),LCTT_MAP!$A$7:$C$66,IF($M2981="THU",2,3),FALSE()),IF($M2981="THU","06","07")))))))</f>
        <v/>
      </c>
      <c r="P2981" s="117">
        <f>P2980+IF(AND($H2981&lt;&gt;"",OR(LEFT($F2981,LEN(SC_TK))=SC_TK,LEFT($G2981,LEN(SC_TK))=SC_TK)),1,0)</f>
        <v/>
      </c>
    </row>
    <row r="2982" ht="15" customHeight="1" s="78">
      <c r="A2982" s="95">
        <f>IF($H2982="","",ROW()-6)</f>
        <v/>
      </c>
      <c r="B2982" s="114" t="n"/>
      <c r="C2982" s="102" t="n"/>
      <c r="D2982" s="114" t="n"/>
      <c r="E2982" s="103" t="n"/>
      <c r="F2982" s="102" t="n"/>
      <c r="G2982" s="102" t="n"/>
      <c r="H2982" s="115" t="n"/>
      <c r="I2982" s="102" t="n"/>
      <c r="J2982" s="102" t="n"/>
      <c r="K2982" s="103" t="n"/>
      <c r="L2982" s="116">
        <f>IF($H2982="","",TRIM(IF(COUNTIF(DMTK!$A$7:$A$250,$F2982)=0,"TK Nợ sai! ","")&amp;IF(COUNTIF(DMTK!$A$7:$A$250,$G2982)=0,"TK Có sai! ","")&amp;IF(N($H2982)&lt;=0,"Tiền phải &gt; 0! ","")&amp;IF($B2982="","Thiếu ngày! ","")&amp;IF(AND(OR(LEFT($F2982,3)="131",LEFT($G2982,3)="131",LEFT($F2982,3)="331",LEFT($G2982,3)="331"),$I2982=""),"Thiếu Mã ĐT! ","")&amp;IF(AND($I2982&lt;&gt;"",COUNTIF(DM_DT!$A$7:$A$306,$I2982)=0),"Mã ĐT chưa khai báo! ","")))</f>
        <v/>
      </c>
      <c r="M2982" s="117">
        <f>IF($H2982="","",IF(AND(OR(LEFT($F2982,3)="111",LEFT($F2982,3)="112",LEFT($F2982,3)="113"),OR(LEFT($G2982,3)="111",LEFT($G2982,3)="112",LEFT($G2982,3)="113")),"NB",IF(OR(LEFT($F2982,3)="111",LEFT($F2982,3)="112",LEFT($F2982,3)="113"),"THU",IF(OR(LEFT($G2982,3)="111",LEFT($G2982,3)="112",LEFT($G2982,3)="113"),"CHI",""))))</f>
        <v/>
      </c>
      <c r="N2982" s="117">
        <f>IF($M2982="THU",$G2982,IF($M2982="CHI",$F2982,""))</f>
        <v/>
      </c>
      <c r="O2982" s="117">
        <f>IF(OR($M2982="",$M2982="NB"),"",IF($J2982&lt;&gt;"",TEXT($J2982,"00"),IFERROR(VLOOKUP(LEFT($N2982,4),LCTT_MAP!$A$7:$C$66,IF($M2982="THU",2,3),FALSE()),IFERROR(VLOOKUP(LEFT($N2982,3),LCTT_MAP!$A$7:$C$66,IF($M2982="THU",2,3),FALSE()),IFERROR(VLOOKUP(LEFT($N2982,2),LCTT_MAP!$A$7:$C$66,IF($M2982="THU",2,3),FALSE()),IFERROR(VLOOKUP(LEFT($N2982,1),LCTT_MAP!$A$7:$C$66,IF($M2982="THU",2,3),FALSE()),IF($M2982="THU","06","07")))))))</f>
        <v/>
      </c>
      <c r="P2982" s="117">
        <f>P2981+IF(AND($H2982&lt;&gt;"",OR(LEFT($F2982,LEN(SC_TK))=SC_TK,LEFT($G2982,LEN(SC_TK))=SC_TK)),1,0)</f>
        <v/>
      </c>
    </row>
    <row r="2983" ht="15" customHeight="1" s="78">
      <c r="A2983" s="95">
        <f>IF($H2983="","",ROW()-6)</f>
        <v/>
      </c>
      <c r="B2983" s="114" t="n"/>
      <c r="C2983" s="102" t="n"/>
      <c r="D2983" s="114" t="n"/>
      <c r="E2983" s="103" t="n"/>
      <c r="F2983" s="102" t="n"/>
      <c r="G2983" s="102" t="n"/>
      <c r="H2983" s="115" t="n"/>
      <c r="I2983" s="102" t="n"/>
      <c r="J2983" s="102" t="n"/>
      <c r="K2983" s="103" t="n"/>
      <c r="L2983" s="116">
        <f>IF($H2983="","",TRIM(IF(COUNTIF(DMTK!$A$7:$A$250,$F2983)=0,"TK Nợ sai! ","")&amp;IF(COUNTIF(DMTK!$A$7:$A$250,$G2983)=0,"TK Có sai! ","")&amp;IF(N($H2983)&lt;=0,"Tiền phải &gt; 0! ","")&amp;IF($B2983="","Thiếu ngày! ","")&amp;IF(AND(OR(LEFT($F2983,3)="131",LEFT($G2983,3)="131",LEFT($F2983,3)="331",LEFT($G2983,3)="331"),$I2983=""),"Thiếu Mã ĐT! ","")&amp;IF(AND($I2983&lt;&gt;"",COUNTIF(DM_DT!$A$7:$A$306,$I2983)=0),"Mã ĐT chưa khai báo! ","")))</f>
        <v/>
      </c>
      <c r="M2983" s="117">
        <f>IF($H2983="","",IF(AND(OR(LEFT($F2983,3)="111",LEFT($F2983,3)="112",LEFT($F2983,3)="113"),OR(LEFT($G2983,3)="111",LEFT($G2983,3)="112",LEFT($G2983,3)="113")),"NB",IF(OR(LEFT($F2983,3)="111",LEFT($F2983,3)="112",LEFT($F2983,3)="113"),"THU",IF(OR(LEFT($G2983,3)="111",LEFT($G2983,3)="112",LEFT($G2983,3)="113"),"CHI",""))))</f>
        <v/>
      </c>
      <c r="N2983" s="117">
        <f>IF($M2983="THU",$G2983,IF($M2983="CHI",$F2983,""))</f>
        <v/>
      </c>
      <c r="O2983" s="117">
        <f>IF(OR($M2983="",$M2983="NB"),"",IF($J2983&lt;&gt;"",TEXT($J2983,"00"),IFERROR(VLOOKUP(LEFT($N2983,4),LCTT_MAP!$A$7:$C$66,IF($M2983="THU",2,3),FALSE()),IFERROR(VLOOKUP(LEFT($N2983,3),LCTT_MAP!$A$7:$C$66,IF($M2983="THU",2,3),FALSE()),IFERROR(VLOOKUP(LEFT($N2983,2),LCTT_MAP!$A$7:$C$66,IF($M2983="THU",2,3),FALSE()),IFERROR(VLOOKUP(LEFT($N2983,1),LCTT_MAP!$A$7:$C$66,IF($M2983="THU",2,3),FALSE()),IF($M2983="THU","06","07")))))))</f>
        <v/>
      </c>
      <c r="P2983" s="117">
        <f>P2982+IF(AND($H2983&lt;&gt;"",OR(LEFT($F2983,LEN(SC_TK))=SC_TK,LEFT($G2983,LEN(SC_TK))=SC_TK)),1,0)</f>
        <v/>
      </c>
    </row>
    <row r="2984" ht="15" customHeight="1" s="78">
      <c r="A2984" s="95">
        <f>IF($H2984="","",ROW()-6)</f>
        <v/>
      </c>
      <c r="B2984" s="114" t="n"/>
      <c r="C2984" s="102" t="n"/>
      <c r="D2984" s="114" t="n"/>
      <c r="E2984" s="103" t="n"/>
      <c r="F2984" s="102" t="n"/>
      <c r="G2984" s="102" t="n"/>
      <c r="H2984" s="115" t="n"/>
      <c r="I2984" s="102" t="n"/>
      <c r="J2984" s="102" t="n"/>
      <c r="K2984" s="103" t="n"/>
      <c r="L2984" s="116">
        <f>IF($H2984="","",TRIM(IF(COUNTIF(DMTK!$A$7:$A$250,$F2984)=0,"TK Nợ sai! ","")&amp;IF(COUNTIF(DMTK!$A$7:$A$250,$G2984)=0,"TK Có sai! ","")&amp;IF(N($H2984)&lt;=0,"Tiền phải &gt; 0! ","")&amp;IF($B2984="","Thiếu ngày! ","")&amp;IF(AND(OR(LEFT($F2984,3)="131",LEFT($G2984,3)="131",LEFT($F2984,3)="331",LEFT($G2984,3)="331"),$I2984=""),"Thiếu Mã ĐT! ","")&amp;IF(AND($I2984&lt;&gt;"",COUNTIF(DM_DT!$A$7:$A$306,$I2984)=0),"Mã ĐT chưa khai báo! ","")))</f>
        <v/>
      </c>
      <c r="M2984" s="117">
        <f>IF($H2984="","",IF(AND(OR(LEFT($F2984,3)="111",LEFT($F2984,3)="112",LEFT($F2984,3)="113"),OR(LEFT($G2984,3)="111",LEFT($G2984,3)="112",LEFT($G2984,3)="113")),"NB",IF(OR(LEFT($F2984,3)="111",LEFT($F2984,3)="112",LEFT($F2984,3)="113"),"THU",IF(OR(LEFT($G2984,3)="111",LEFT($G2984,3)="112",LEFT($G2984,3)="113"),"CHI",""))))</f>
        <v/>
      </c>
      <c r="N2984" s="117">
        <f>IF($M2984="THU",$G2984,IF($M2984="CHI",$F2984,""))</f>
        <v/>
      </c>
      <c r="O2984" s="117">
        <f>IF(OR($M2984="",$M2984="NB"),"",IF($J2984&lt;&gt;"",TEXT($J2984,"00"),IFERROR(VLOOKUP(LEFT($N2984,4),LCTT_MAP!$A$7:$C$66,IF($M2984="THU",2,3),FALSE()),IFERROR(VLOOKUP(LEFT($N2984,3),LCTT_MAP!$A$7:$C$66,IF($M2984="THU",2,3),FALSE()),IFERROR(VLOOKUP(LEFT($N2984,2),LCTT_MAP!$A$7:$C$66,IF($M2984="THU",2,3),FALSE()),IFERROR(VLOOKUP(LEFT($N2984,1),LCTT_MAP!$A$7:$C$66,IF($M2984="THU",2,3),FALSE()),IF($M2984="THU","06","07")))))))</f>
        <v/>
      </c>
      <c r="P2984" s="117">
        <f>P2983+IF(AND($H2984&lt;&gt;"",OR(LEFT($F2984,LEN(SC_TK))=SC_TK,LEFT($G2984,LEN(SC_TK))=SC_TK)),1,0)</f>
        <v/>
      </c>
    </row>
    <row r="2985" ht="15" customHeight="1" s="78">
      <c r="A2985" s="95">
        <f>IF($H2985="","",ROW()-6)</f>
        <v/>
      </c>
      <c r="B2985" s="114" t="n"/>
      <c r="C2985" s="102" t="n"/>
      <c r="D2985" s="114" t="n"/>
      <c r="E2985" s="103" t="n"/>
      <c r="F2985" s="102" t="n"/>
      <c r="G2985" s="102" t="n"/>
      <c r="H2985" s="115" t="n"/>
      <c r="I2985" s="102" t="n"/>
      <c r="J2985" s="102" t="n"/>
      <c r="K2985" s="103" t="n"/>
      <c r="L2985" s="116">
        <f>IF($H2985="","",TRIM(IF(COUNTIF(DMTK!$A$7:$A$250,$F2985)=0,"TK Nợ sai! ","")&amp;IF(COUNTIF(DMTK!$A$7:$A$250,$G2985)=0,"TK Có sai! ","")&amp;IF(N($H2985)&lt;=0,"Tiền phải &gt; 0! ","")&amp;IF($B2985="","Thiếu ngày! ","")&amp;IF(AND(OR(LEFT($F2985,3)="131",LEFT($G2985,3)="131",LEFT($F2985,3)="331",LEFT($G2985,3)="331"),$I2985=""),"Thiếu Mã ĐT! ","")&amp;IF(AND($I2985&lt;&gt;"",COUNTIF(DM_DT!$A$7:$A$306,$I2985)=0),"Mã ĐT chưa khai báo! ","")))</f>
        <v/>
      </c>
      <c r="M2985" s="117">
        <f>IF($H2985="","",IF(AND(OR(LEFT($F2985,3)="111",LEFT($F2985,3)="112",LEFT($F2985,3)="113"),OR(LEFT($G2985,3)="111",LEFT($G2985,3)="112",LEFT($G2985,3)="113")),"NB",IF(OR(LEFT($F2985,3)="111",LEFT($F2985,3)="112",LEFT($F2985,3)="113"),"THU",IF(OR(LEFT($G2985,3)="111",LEFT($G2985,3)="112",LEFT($G2985,3)="113"),"CHI",""))))</f>
        <v/>
      </c>
      <c r="N2985" s="117">
        <f>IF($M2985="THU",$G2985,IF($M2985="CHI",$F2985,""))</f>
        <v/>
      </c>
      <c r="O2985" s="117">
        <f>IF(OR($M2985="",$M2985="NB"),"",IF($J2985&lt;&gt;"",TEXT($J2985,"00"),IFERROR(VLOOKUP(LEFT($N2985,4),LCTT_MAP!$A$7:$C$66,IF($M2985="THU",2,3),FALSE()),IFERROR(VLOOKUP(LEFT($N2985,3),LCTT_MAP!$A$7:$C$66,IF($M2985="THU",2,3),FALSE()),IFERROR(VLOOKUP(LEFT($N2985,2),LCTT_MAP!$A$7:$C$66,IF($M2985="THU",2,3),FALSE()),IFERROR(VLOOKUP(LEFT($N2985,1),LCTT_MAP!$A$7:$C$66,IF($M2985="THU",2,3),FALSE()),IF($M2985="THU","06","07")))))))</f>
        <v/>
      </c>
      <c r="P2985" s="117">
        <f>P2984+IF(AND($H2985&lt;&gt;"",OR(LEFT($F2985,LEN(SC_TK))=SC_TK,LEFT($G2985,LEN(SC_TK))=SC_TK)),1,0)</f>
        <v/>
      </c>
    </row>
    <row r="2986" ht="15" customHeight="1" s="78">
      <c r="A2986" s="95">
        <f>IF($H2986="","",ROW()-6)</f>
        <v/>
      </c>
      <c r="B2986" s="114" t="n"/>
      <c r="C2986" s="102" t="n"/>
      <c r="D2986" s="114" t="n"/>
      <c r="E2986" s="103" t="n"/>
      <c r="F2986" s="102" t="n"/>
      <c r="G2986" s="102" t="n"/>
      <c r="H2986" s="115" t="n"/>
      <c r="I2986" s="102" t="n"/>
      <c r="J2986" s="102" t="n"/>
      <c r="K2986" s="103" t="n"/>
      <c r="L2986" s="116">
        <f>IF($H2986="","",TRIM(IF(COUNTIF(DMTK!$A$7:$A$250,$F2986)=0,"TK Nợ sai! ","")&amp;IF(COUNTIF(DMTK!$A$7:$A$250,$G2986)=0,"TK Có sai! ","")&amp;IF(N($H2986)&lt;=0,"Tiền phải &gt; 0! ","")&amp;IF($B2986="","Thiếu ngày! ","")&amp;IF(AND(OR(LEFT($F2986,3)="131",LEFT($G2986,3)="131",LEFT($F2986,3)="331",LEFT($G2986,3)="331"),$I2986=""),"Thiếu Mã ĐT! ","")&amp;IF(AND($I2986&lt;&gt;"",COUNTIF(DM_DT!$A$7:$A$306,$I2986)=0),"Mã ĐT chưa khai báo! ","")))</f>
        <v/>
      </c>
      <c r="M2986" s="117">
        <f>IF($H2986="","",IF(AND(OR(LEFT($F2986,3)="111",LEFT($F2986,3)="112",LEFT($F2986,3)="113"),OR(LEFT($G2986,3)="111",LEFT($G2986,3)="112",LEFT($G2986,3)="113")),"NB",IF(OR(LEFT($F2986,3)="111",LEFT($F2986,3)="112",LEFT($F2986,3)="113"),"THU",IF(OR(LEFT($G2986,3)="111",LEFT($G2986,3)="112",LEFT($G2986,3)="113"),"CHI",""))))</f>
        <v/>
      </c>
      <c r="N2986" s="117">
        <f>IF($M2986="THU",$G2986,IF($M2986="CHI",$F2986,""))</f>
        <v/>
      </c>
      <c r="O2986" s="117">
        <f>IF(OR($M2986="",$M2986="NB"),"",IF($J2986&lt;&gt;"",TEXT($J2986,"00"),IFERROR(VLOOKUP(LEFT($N2986,4),LCTT_MAP!$A$7:$C$66,IF($M2986="THU",2,3),FALSE()),IFERROR(VLOOKUP(LEFT($N2986,3),LCTT_MAP!$A$7:$C$66,IF($M2986="THU",2,3),FALSE()),IFERROR(VLOOKUP(LEFT($N2986,2),LCTT_MAP!$A$7:$C$66,IF($M2986="THU",2,3),FALSE()),IFERROR(VLOOKUP(LEFT($N2986,1),LCTT_MAP!$A$7:$C$66,IF($M2986="THU",2,3),FALSE()),IF($M2986="THU","06","07")))))))</f>
        <v/>
      </c>
      <c r="P2986" s="117">
        <f>P2985+IF(AND($H2986&lt;&gt;"",OR(LEFT($F2986,LEN(SC_TK))=SC_TK,LEFT($G2986,LEN(SC_TK))=SC_TK)),1,0)</f>
        <v/>
      </c>
    </row>
    <row r="2987" ht="15" customHeight="1" s="78">
      <c r="A2987" s="95">
        <f>IF($H2987="","",ROW()-6)</f>
        <v/>
      </c>
      <c r="B2987" s="114" t="n"/>
      <c r="C2987" s="102" t="n"/>
      <c r="D2987" s="114" t="n"/>
      <c r="E2987" s="103" t="n"/>
      <c r="F2987" s="102" t="n"/>
      <c r="G2987" s="102" t="n"/>
      <c r="H2987" s="115" t="n"/>
      <c r="I2987" s="102" t="n"/>
      <c r="J2987" s="102" t="n"/>
      <c r="K2987" s="103" t="n"/>
      <c r="L2987" s="116">
        <f>IF($H2987="","",TRIM(IF(COUNTIF(DMTK!$A$7:$A$250,$F2987)=0,"TK Nợ sai! ","")&amp;IF(COUNTIF(DMTK!$A$7:$A$250,$G2987)=0,"TK Có sai! ","")&amp;IF(N($H2987)&lt;=0,"Tiền phải &gt; 0! ","")&amp;IF($B2987="","Thiếu ngày! ","")&amp;IF(AND(OR(LEFT($F2987,3)="131",LEFT($G2987,3)="131",LEFT($F2987,3)="331",LEFT($G2987,3)="331"),$I2987=""),"Thiếu Mã ĐT! ","")&amp;IF(AND($I2987&lt;&gt;"",COUNTIF(DM_DT!$A$7:$A$306,$I2987)=0),"Mã ĐT chưa khai báo! ","")))</f>
        <v/>
      </c>
      <c r="M2987" s="117">
        <f>IF($H2987="","",IF(AND(OR(LEFT($F2987,3)="111",LEFT($F2987,3)="112",LEFT($F2987,3)="113"),OR(LEFT($G2987,3)="111",LEFT($G2987,3)="112",LEFT($G2987,3)="113")),"NB",IF(OR(LEFT($F2987,3)="111",LEFT($F2987,3)="112",LEFT($F2987,3)="113"),"THU",IF(OR(LEFT($G2987,3)="111",LEFT($G2987,3)="112",LEFT($G2987,3)="113"),"CHI",""))))</f>
        <v/>
      </c>
      <c r="N2987" s="117">
        <f>IF($M2987="THU",$G2987,IF($M2987="CHI",$F2987,""))</f>
        <v/>
      </c>
      <c r="O2987" s="117">
        <f>IF(OR($M2987="",$M2987="NB"),"",IF($J2987&lt;&gt;"",TEXT($J2987,"00"),IFERROR(VLOOKUP(LEFT($N2987,4),LCTT_MAP!$A$7:$C$66,IF($M2987="THU",2,3),FALSE()),IFERROR(VLOOKUP(LEFT($N2987,3),LCTT_MAP!$A$7:$C$66,IF($M2987="THU",2,3),FALSE()),IFERROR(VLOOKUP(LEFT($N2987,2),LCTT_MAP!$A$7:$C$66,IF($M2987="THU",2,3),FALSE()),IFERROR(VLOOKUP(LEFT($N2987,1),LCTT_MAP!$A$7:$C$66,IF($M2987="THU",2,3),FALSE()),IF($M2987="THU","06","07")))))))</f>
        <v/>
      </c>
      <c r="P2987" s="117">
        <f>P2986+IF(AND($H2987&lt;&gt;"",OR(LEFT($F2987,LEN(SC_TK))=SC_TK,LEFT($G2987,LEN(SC_TK))=SC_TK)),1,0)</f>
        <v/>
      </c>
    </row>
    <row r="2988" ht="15" customHeight="1" s="78">
      <c r="A2988" s="95">
        <f>IF($H2988="","",ROW()-6)</f>
        <v/>
      </c>
      <c r="B2988" s="114" t="n"/>
      <c r="C2988" s="102" t="n"/>
      <c r="D2988" s="114" t="n"/>
      <c r="E2988" s="103" t="n"/>
      <c r="F2988" s="102" t="n"/>
      <c r="G2988" s="102" t="n"/>
      <c r="H2988" s="115" t="n"/>
      <c r="I2988" s="102" t="n"/>
      <c r="J2988" s="102" t="n"/>
      <c r="K2988" s="103" t="n"/>
      <c r="L2988" s="116">
        <f>IF($H2988="","",TRIM(IF(COUNTIF(DMTK!$A$7:$A$250,$F2988)=0,"TK Nợ sai! ","")&amp;IF(COUNTIF(DMTK!$A$7:$A$250,$G2988)=0,"TK Có sai! ","")&amp;IF(N($H2988)&lt;=0,"Tiền phải &gt; 0! ","")&amp;IF($B2988="","Thiếu ngày! ","")&amp;IF(AND(OR(LEFT($F2988,3)="131",LEFT($G2988,3)="131",LEFT($F2988,3)="331",LEFT($G2988,3)="331"),$I2988=""),"Thiếu Mã ĐT! ","")&amp;IF(AND($I2988&lt;&gt;"",COUNTIF(DM_DT!$A$7:$A$306,$I2988)=0),"Mã ĐT chưa khai báo! ","")))</f>
        <v/>
      </c>
      <c r="M2988" s="117">
        <f>IF($H2988="","",IF(AND(OR(LEFT($F2988,3)="111",LEFT($F2988,3)="112",LEFT($F2988,3)="113"),OR(LEFT($G2988,3)="111",LEFT($G2988,3)="112",LEFT($G2988,3)="113")),"NB",IF(OR(LEFT($F2988,3)="111",LEFT($F2988,3)="112",LEFT($F2988,3)="113"),"THU",IF(OR(LEFT($G2988,3)="111",LEFT($G2988,3)="112",LEFT($G2988,3)="113"),"CHI",""))))</f>
        <v/>
      </c>
      <c r="N2988" s="117">
        <f>IF($M2988="THU",$G2988,IF($M2988="CHI",$F2988,""))</f>
        <v/>
      </c>
      <c r="O2988" s="117">
        <f>IF(OR($M2988="",$M2988="NB"),"",IF($J2988&lt;&gt;"",TEXT($J2988,"00"),IFERROR(VLOOKUP(LEFT($N2988,4),LCTT_MAP!$A$7:$C$66,IF($M2988="THU",2,3),FALSE()),IFERROR(VLOOKUP(LEFT($N2988,3),LCTT_MAP!$A$7:$C$66,IF($M2988="THU",2,3),FALSE()),IFERROR(VLOOKUP(LEFT($N2988,2),LCTT_MAP!$A$7:$C$66,IF($M2988="THU",2,3),FALSE()),IFERROR(VLOOKUP(LEFT($N2988,1),LCTT_MAP!$A$7:$C$66,IF($M2988="THU",2,3),FALSE()),IF($M2988="THU","06","07")))))))</f>
        <v/>
      </c>
      <c r="P2988" s="117">
        <f>P2987+IF(AND($H2988&lt;&gt;"",OR(LEFT($F2988,LEN(SC_TK))=SC_TK,LEFT($G2988,LEN(SC_TK))=SC_TK)),1,0)</f>
        <v/>
      </c>
    </row>
    <row r="2989" ht="15" customHeight="1" s="78">
      <c r="A2989" s="95">
        <f>IF($H2989="","",ROW()-6)</f>
        <v/>
      </c>
      <c r="B2989" s="114" t="n"/>
      <c r="C2989" s="102" t="n"/>
      <c r="D2989" s="114" t="n"/>
      <c r="E2989" s="103" t="n"/>
      <c r="F2989" s="102" t="n"/>
      <c r="G2989" s="102" t="n"/>
      <c r="H2989" s="115" t="n"/>
      <c r="I2989" s="102" t="n"/>
      <c r="J2989" s="102" t="n"/>
      <c r="K2989" s="103" t="n"/>
      <c r="L2989" s="116">
        <f>IF($H2989="","",TRIM(IF(COUNTIF(DMTK!$A$7:$A$250,$F2989)=0,"TK Nợ sai! ","")&amp;IF(COUNTIF(DMTK!$A$7:$A$250,$G2989)=0,"TK Có sai! ","")&amp;IF(N($H2989)&lt;=0,"Tiền phải &gt; 0! ","")&amp;IF($B2989="","Thiếu ngày! ","")&amp;IF(AND(OR(LEFT($F2989,3)="131",LEFT($G2989,3)="131",LEFT($F2989,3)="331",LEFT($G2989,3)="331"),$I2989=""),"Thiếu Mã ĐT! ","")&amp;IF(AND($I2989&lt;&gt;"",COUNTIF(DM_DT!$A$7:$A$306,$I2989)=0),"Mã ĐT chưa khai báo! ","")))</f>
        <v/>
      </c>
      <c r="M2989" s="117">
        <f>IF($H2989="","",IF(AND(OR(LEFT($F2989,3)="111",LEFT($F2989,3)="112",LEFT($F2989,3)="113"),OR(LEFT($G2989,3)="111",LEFT($G2989,3)="112",LEFT($G2989,3)="113")),"NB",IF(OR(LEFT($F2989,3)="111",LEFT($F2989,3)="112",LEFT($F2989,3)="113"),"THU",IF(OR(LEFT($G2989,3)="111",LEFT($G2989,3)="112",LEFT($G2989,3)="113"),"CHI",""))))</f>
        <v/>
      </c>
      <c r="N2989" s="117">
        <f>IF($M2989="THU",$G2989,IF($M2989="CHI",$F2989,""))</f>
        <v/>
      </c>
      <c r="O2989" s="117">
        <f>IF(OR($M2989="",$M2989="NB"),"",IF($J2989&lt;&gt;"",TEXT($J2989,"00"),IFERROR(VLOOKUP(LEFT($N2989,4),LCTT_MAP!$A$7:$C$66,IF($M2989="THU",2,3),FALSE()),IFERROR(VLOOKUP(LEFT($N2989,3),LCTT_MAP!$A$7:$C$66,IF($M2989="THU",2,3),FALSE()),IFERROR(VLOOKUP(LEFT($N2989,2),LCTT_MAP!$A$7:$C$66,IF($M2989="THU",2,3),FALSE()),IFERROR(VLOOKUP(LEFT($N2989,1),LCTT_MAP!$A$7:$C$66,IF($M2989="THU",2,3),FALSE()),IF($M2989="THU","06","07")))))))</f>
        <v/>
      </c>
      <c r="P2989" s="117">
        <f>P2988+IF(AND($H2989&lt;&gt;"",OR(LEFT($F2989,LEN(SC_TK))=SC_TK,LEFT($G2989,LEN(SC_TK))=SC_TK)),1,0)</f>
        <v/>
      </c>
    </row>
    <row r="2990" ht="15" customHeight="1" s="78">
      <c r="A2990" s="95">
        <f>IF($H2990="","",ROW()-6)</f>
        <v/>
      </c>
      <c r="B2990" s="114" t="n"/>
      <c r="C2990" s="102" t="n"/>
      <c r="D2990" s="114" t="n"/>
      <c r="E2990" s="103" t="n"/>
      <c r="F2990" s="102" t="n"/>
      <c r="G2990" s="102" t="n"/>
      <c r="H2990" s="115" t="n"/>
      <c r="I2990" s="102" t="n"/>
      <c r="J2990" s="102" t="n"/>
      <c r="K2990" s="103" t="n"/>
      <c r="L2990" s="116">
        <f>IF($H2990="","",TRIM(IF(COUNTIF(DMTK!$A$7:$A$250,$F2990)=0,"TK Nợ sai! ","")&amp;IF(COUNTIF(DMTK!$A$7:$A$250,$G2990)=0,"TK Có sai! ","")&amp;IF(N($H2990)&lt;=0,"Tiền phải &gt; 0! ","")&amp;IF($B2990="","Thiếu ngày! ","")&amp;IF(AND(OR(LEFT($F2990,3)="131",LEFT($G2990,3)="131",LEFT($F2990,3)="331",LEFT($G2990,3)="331"),$I2990=""),"Thiếu Mã ĐT! ","")&amp;IF(AND($I2990&lt;&gt;"",COUNTIF(DM_DT!$A$7:$A$306,$I2990)=0),"Mã ĐT chưa khai báo! ","")))</f>
        <v/>
      </c>
      <c r="M2990" s="117">
        <f>IF($H2990="","",IF(AND(OR(LEFT($F2990,3)="111",LEFT($F2990,3)="112",LEFT($F2990,3)="113"),OR(LEFT($G2990,3)="111",LEFT($G2990,3)="112",LEFT($G2990,3)="113")),"NB",IF(OR(LEFT($F2990,3)="111",LEFT($F2990,3)="112",LEFT($F2990,3)="113"),"THU",IF(OR(LEFT($G2990,3)="111",LEFT($G2990,3)="112",LEFT($G2990,3)="113"),"CHI",""))))</f>
        <v/>
      </c>
      <c r="N2990" s="117">
        <f>IF($M2990="THU",$G2990,IF($M2990="CHI",$F2990,""))</f>
        <v/>
      </c>
      <c r="O2990" s="117">
        <f>IF(OR($M2990="",$M2990="NB"),"",IF($J2990&lt;&gt;"",TEXT($J2990,"00"),IFERROR(VLOOKUP(LEFT($N2990,4),LCTT_MAP!$A$7:$C$66,IF($M2990="THU",2,3),FALSE()),IFERROR(VLOOKUP(LEFT($N2990,3),LCTT_MAP!$A$7:$C$66,IF($M2990="THU",2,3),FALSE()),IFERROR(VLOOKUP(LEFT($N2990,2),LCTT_MAP!$A$7:$C$66,IF($M2990="THU",2,3),FALSE()),IFERROR(VLOOKUP(LEFT($N2990,1),LCTT_MAP!$A$7:$C$66,IF($M2990="THU",2,3),FALSE()),IF($M2990="THU","06","07")))))))</f>
        <v/>
      </c>
      <c r="P2990" s="117">
        <f>P2989+IF(AND($H2990&lt;&gt;"",OR(LEFT($F2990,LEN(SC_TK))=SC_TK,LEFT($G2990,LEN(SC_TK))=SC_TK)),1,0)</f>
        <v/>
      </c>
    </row>
    <row r="2991" ht="15" customHeight="1" s="78">
      <c r="A2991" s="95">
        <f>IF($H2991="","",ROW()-6)</f>
        <v/>
      </c>
      <c r="B2991" s="114" t="n"/>
      <c r="C2991" s="102" t="n"/>
      <c r="D2991" s="114" t="n"/>
      <c r="E2991" s="103" t="n"/>
      <c r="F2991" s="102" t="n"/>
      <c r="G2991" s="102" t="n"/>
      <c r="H2991" s="115" t="n"/>
      <c r="I2991" s="102" t="n"/>
      <c r="J2991" s="102" t="n"/>
      <c r="K2991" s="103" t="n"/>
      <c r="L2991" s="116">
        <f>IF($H2991="","",TRIM(IF(COUNTIF(DMTK!$A$7:$A$250,$F2991)=0,"TK Nợ sai! ","")&amp;IF(COUNTIF(DMTK!$A$7:$A$250,$G2991)=0,"TK Có sai! ","")&amp;IF(N($H2991)&lt;=0,"Tiền phải &gt; 0! ","")&amp;IF($B2991="","Thiếu ngày! ","")&amp;IF(AND(OR(LEFT($F2991,3)="131",LEFT($G2991,3)="131",LEFT($F2991,3)="331",LEFT($G2991,3)="331"),$I2991=""),"Thiếu Mã ĐT! ","")&amp;IF(AND($I2991&lt;&gt;"",COUNTIF(DM_DT!$A$7:$A$306,$I2991)=0),"Mã ĐT chưa khai báo! ","")))</f>
        <v/>
      </c>
      <c r="M2991" s="117">
        <f>IF($H2991="","",IF(AND(OR(LEFT($F2991,3)="111",LEFT($F2991,3)="112",LEFT($F2991,3)="113"),OR(LEFT($G2991,3)="111",LEFT($G2991,3)="112",LEFT($G2991,3)="113")),"NB",IF(OR(LEFT($F2991,3)="111",LEFT($F2991,3)="112",LEFT($F2991,3)="113"),"THU",IF(OR(LEFT($G2991,3)="111",LEFT($G2991,3)="112",LEFT($G2991,3)="113"),"CHI",""))))</f>
        <v/>
      </c>
      <c r="N2991" s="117">
        <f>IF($M2991="THU",$G2991,IF($M2991="CHI",$F2991,""))</f>
        <v/>
      </c>
      <c r="O2991" s="117">
        <f>IF(OR($M2991="",$M2991="NB"),"",IF($J2991&lt;&gt;"",TEXT($J2991,"00"),IFERROR(VLOOKUP(LEFT($N2991,4),LCTT_MAP!$A$7:$C$66,IF($M2991="THU",2,3),FALSE()),IFERROR(VLOOKUP(LEFT($N2991,3),LCTT_MAP!$A$7:$C$66,IF($M2991="THU",2,3),FALSE()),IFERROR(VLOOKUP(LEFT($N2991,2),LCTT_MAP!$A$7:$C$66,IF($M2991="THU",2,3),FALSE()),IFERROR(VLOOKUP(LEFT($N2991,1),LCTT_MAP!$A$7:$C$66,IF($M2991="THU",2,3),FALSE()),IF($M2991="THU","06","07")))))))</f>
        <v/>
      </c>
      <c r="P2991" s="117">
        <f>P2990+IF(AND($H2991&lt;&gt;"",OR(LEFT($F2991,LEN(SC_TK))=SC_TK,LEFT($G2991,LEN(SC_TK))=SC_TK)),1,0)</f>
        <v/>
      </c>
    </row>
    <row r="2992" ht="15" customHeight="1" s="78">
      <c r="A2992" s="95">
        <f>IF($H2992="","",ROW()-6)</f>
        <v/>
      </c>
      <c r="B2992" s="114" t="n"/>
      <c r="C2992" s="102" t="n"/>
      <c r="D2992" s="114" t="n"/>
      <c r="E2992" s="103" t="n"/>
      <c r="F2992" s="102" t="n"/>
      <c r="G2992" s="102" t="n"/>
      <c r="H2992" s="115" t="n"/>
      <c r="I2992" s="102" t="n"/>
      <c r="J2992" s="102" t="n"/>
      <c r="K2992" s="103" t="n"/>
      <c r="L2992" s="116">
        <f>IF($H2992="","",TRIM(IF(COUNTIF(DMTK!$A$7:$A$250,$F2992)=0,"TK Nợ sai! ","")&amp;IF(COUNTIF(DMTK!$A$7:$A$250,$G2992)=0,"TK Có sai! ","")&amp;IF(N($H2992)&lt;=0,"Tiền phải &gt; 0! ","")&amp;IF($B2992="","Thiếu ngày! ","")&amp;IF(AND(OR(LEFT($F2992,3)="131",LEFT($G2992,3)="131",LEFT($F2992,3)="331",LEFT($G2992,3)="331"),$I2992=""),"Thiếu Mã ĐT! ","")&amp;IF(AND($I2992&lt;&gt;"",COUNTIF(DM_DT!$A$7:$A$306,$I2992)=0),"Mã ĐT chưa khai báo! ","")))</f>
        <v/>
      </c>
      <c r="M2992" s="117">
        <f>IF($H2992="","",IF(AND(OR(LEFT($F2992,3)="111",LEFT($F2992,3)="112",LEFT($F2992,3)="113"),OR(LEFT($G2992,3)="111",LEFT($G2992,3)="112",LEFT($G2992,3)="113")),"NB",IF(OR(LEFT($F2992,3)="111",LEFT($F2992,3)="112",LEFT($F2992,3)="113"),"THU",IF(OR(LEFT($G2992,3)="111",LEFT($G2992,3)="112",LEFT($G2992,3)="113"),"CHI",""))))</f>
        <v/>
      </c>
      <c r="N2992" s="117">
        <f>IF($M2992="THU",$G2992,IF($M2992="CHI",$F2992,""))</f>
        <v/>
      </c>
      <c r="O2992" s="117">
        <f>IF(OR($M2992="",$M2992="NB"),"",IF($J2992&lt;&gt;"",TEXT($J2992,"00"),IFERROR(VLOOKUP(LEFT($N2992,4),LCTT_MAP!$A$7:$C$66,IF($M2992="THU",2,3),FALSE()),IFERROR(VLOOKUP(LEFT($N2992,3),LCTT_MAP!$A$7:$C$66,IF($M2992="THU",2,3),FALSE()),IFERROR(VLOOKUP(LEFT($N2992,2),LCTT_MAP!$A$7:$C$66,IF($M2992="THU",2,3),FALSE()),IFERROR(VLOOKUP(LEFT($N2992,1),LCTT_MAP!$A$7:$C$66,IF($M2992="THU",2,3),FALSE()),IF($M2992="THU","06","07")))))))</f>
        <v/>
      </c>
      <c r="P2992" s="117">
        <f>P2991+IF(AND($H2992&lt;&gt;"",OR(LEFT($F2992,LEN(SC_TK))=SC_TK,LEFT($G2992,LEN(SC_TK))=SC_TK)),1,0)</f>
        <v/>
      </c>
    </row>
    <row r="2993" ht="15" customHeight="1" s="78">
      <c r="A2993" s="95">
        <f>IF($H2993="","",ROW()-6)</f>
        <v/>
      </c>
      <c r="B2993" s="114" t="n"/>
      <c r="C2993" s="102" t="n"/>
      <c r="D2993" s="114" t="n"/>
      <c r="E2993" s="103" t="n"/>
      <c r="F2993" s="102" t="n"/>
      <c r="G2993" s="102" t="n"/>
      <c r="H2993" s="115" t="n"/>
      <c r="I2993" s="102" t="n"/>
      <c r="J2993" s="102" t="n"/>
      <c r="K2993" s="103" t="n"/>
      <c r="L2993" s="116">
        <f>IF($H2993="","",TRIM(IF(COUNTIF(DMTK!$A$7:$A$250,$F2993)=0,"TK Nợ sai! ","")&amp;IF(COUNTIF(DMTK!$A$7:$A$250,$G2993)=0,"TK Có sai! ","")&amp;IF(N($H2993)&lt;=0,"Tiền phải &gt; 0! ","")&amp;IF($B2993="","Thiếu ngày! ","")&amp;IF(AND(OR(LEFT($F2993,3)="131",LEFT($G2993,3)="131",LEFT($F2993,3)="331",LEFT($G2993,3)="331"),$I2993=""),"Thiếu Mã ĐT! ","")&amp;IF(AND($I2993&lt;&gt;"",COUNTIF(DM_DT!$A$7:$A$306,$I2993)=0),"Mã ĐT chưa khai báo! ","")))</f>
        <v/>
      </c>
      <c r="M2993" s="117">
        <f>IF($H2993="","",IF(AND(OR(LEFT($F2993,3)="111",LEFT($F2993,3)="112",LEFT($F2993,3)="113"),OR(LEFT($G2993,3)="111",LEFT($G2993,3)="112",LEFT($G2993,3)="113")),"NB",IF(OR(LEFT($F2993,3)="111",LEFT($F2993,3)="112",LEFT($F2993,3)="113"),"THU",IF(OR(LEFT($G2993,3)="111",LEFT($G2993,3)="112",LEFT($G2993,3)="113"),"CHI",""))))</f>
        <v/>
      </c>
      <c r="N2993" s="117">
        <f>IF($M2993="THU",$G2993,IF($M2993="CHI",$F2993,""))</f>
        <v/>
      </c>
      <c r="O2993" s="117">
        <f>IF(OR($M2993="",$M2993="NB"),"",IF($J2993&lt;&gt;"",TEXT($J2993,"00"),IFERROR(VLOOKUP(LEFT($N2993,4),LCTT_MAP!$A$7:$C$66,IF($M2993="THU",2,3),FALSE()),IFERROR(VLOOKUP(LEFT($N2993,3),LCTT_MAP!$A$7:$C$66,IF($M2993="THU",2,3),FALSE()),IFERROR(VLOOKUP(LEFT($N2993,2),LCTT_MAP!$A$7:$C$66,IF($M2993="THU",2,3),FALSE()),IFERROR(VLOOKUP(LEFT($N2993,1),LCTT_MAP!$A$7:$C$66,IF($M2993="THU",2,3),FALSE()),IF($M2993="THU","06","07")))))))</f>
        <v/>
      </c>
      <c r="P2993" s="117">
        <f>P2992+IF(AND($H2993&lt;&gt;"",OR(LEFT($F2993,LEN(SC_TK))=SC_TK,LEFT($G2993,LEN(SC_TK))=SC_TK)),1,0)</f>
        <v/>
      </c>
    </row>
    <row r="2994" ht="15" customHeight="1" s="78">
      <c r="A2994" s="95">
        <f>IF($H2994="","",ROW()-6)</f>
        <v/>
      </c>
      <c r="B2994" s="114" t="n"/>
      <c r="C2994" s="102" t="n"/>
      <c r="D2994" s="114" t="n"/>
      <c r="E2994" s="103" t="n"/>
      <c r="F2994" s="102" t="n"/>
      <c r="G2994" s="102" t="n"/>
      <c r="H2994" s="115" t="n"/>
      <c r="I2994" s="102" t="n"/>
      <c r="J2994" s="102" t="n"/>
      <c r="K2994" s="103" t="n"/>
      <c r="L2994" s="116">
        <f>IF($H2994="","",TRIM(IF(COUNTIF(DMTK!$A$7:$A$250,$F2994)=0,"TK Nợ sai! ","")&amp;IF(COUNTIF(DMTK!$A$7:$A$250,$G2994)=0,"TK Có sai! ","")&amp;IF(N($H2994)&lt;=0,"Tiền phải &gt; 0! ","")&amp;IF($B2994="","Thiếu ngày! ","")&amp;IF(AND(OR(LEFT($F2994,3)="131",LEFT($G2994,3)="131",LEFT($F2994,3)="331",LEFT($G2994,3)="331"),$I2994=""),"Thiếu Mã ĐT! ","")&amp;IF(AND($I2994&lt;&gt;"",COUNTIF(DM_DT!$A$7:$A$306,$I2994)=0),"Mã ĐT chưa khai báo! ","")))</f>
        <v/>
      </c>
      <c r="M2994" s="117">
        <f>IF($H2994="","",IF(AND(OR(LEFT($F2994,3)="111",LEFT($F2994,3)="112",LEFT($F2994,3)="113"),OR(LEFT($G2994,3)="111",LEFT($G2994,3)="112",LEFT($G2994,3)="113")),"NB",IF(OR(LEFT($F2994,3)="111",LEFT($F2994,3)="112",LEFT($F2994,3)="113"),"THU",IF(OR(LEFT($G2994,3)="111",LEFT($G2994,3)="112",LEFT($G2994,3)="113"),"CHI",""))))</f>
        <v/>
      </c>
      <c r="N2994" s="117">
        <f>IF($M2994="THU",$G2994,IF($M2994="CHI",$F2994,""))</f>
        <v/>
      </c>
      <c r="O2994" s="117">
        <f>IF(OR($M2994="",$M2994="NB"),"",IF($J2994&lt;&gt;"",TEXT($J2994,"00"),IFERROR(VLOOKUP(LEFT($N2994,4),LCTT_MAP!$A$7:$C$66,IF($M2994="THU",2,3),FALSE()),IFERROR(VLOOKUP(LEFT($N2994,3),LCTT_MAP!$A$7:$C$66,IF($M2994="THU",2,3),FALSE()),IFERROR(VLOOKUP(LEFT($N2994,2),LCTT_MAP!$A$7:$C$66,IF($M2994="THU",2,3),FALSE()),IFERROR(VLOOKUP(LEFT($N2994,1),LCTT_MAP!$A$7:$C$66,IF($M2994="THU",2,3),FALSE()),IF($M2994="THU","06","07")))))))</f>
        <v/>
      </c>
      <c r="P2994" s="117">
        <f>P2993+IF(AND($H2994&lt;&gt;"",OR(LEFT($F2994,LEN(SC_TK))=SC_TK,LEFT($G2994,LEN(SC_TK))=SC_TK)),1,0)</f>
        <v/>
      </c>
    </row>
    <row r="2995" ht="15" customHeight="1" s="78">
      <c r="A2995" s="95">
        <f>IF($H2995="","",ROW()-6)</f>
        <v/>
      </c>
      <c r="B2995" s="114" t="n"/>
      <c r="C2995" s="102" t="n"/>
      <c r="D2995" s="114" t="n"/>
      <c r="E2995" s="103" t="n"/>
      <c r="F2995" s="102" t="n"/>
      <c r="G2995" s="102" t="n"/>
      <c r="H2995" s="115" t="n"/>
      <c r="I2995" s="102" t="n"/>
      <c r="J2995" s="102" t="n"/>
      <c r="K2995" s="103" t="n"/>
      <c r="L2995" s="116">
        <f>IF($H2995="","",TRIM(IF(COUNTIF(DMTK!$A$7:$A$250,$F2995)=0,"TK Nợ sai! ","")&amp;IF(COUNTIF(DMTK!$A$7:$A$250,$G2995)=0,"TK Có sai! ","")&amp;IF(N($H2995)&lt;=0,"Tiền phải &gt; 0! ","")&amp;IF($B2995="","Thiếu ngày! ","")&amp;IF(AND(OR(LEFT($F2995,3)="131",LEFT($G2995,3)="131",LEFT($F2995,3)="331",LEFT($G2995,3)="331"),$I2995=""),"Thiếu Mã ĐT! ","")&amp;IF(AND($I2995&lt;&gt;"",COUNTIF(DM_DT!$A$7:$A$306,$I2995)=0),"Mã ĐT chưa khai báo! ","")))</f>
        <v/>
      </c>
      <c r="M2995" s="117">
        <f>IF($H2995="","",IF(AND(OR(LEFT($F2995,3)="111",LEFT($F2995,3)="112",LEFT($F2995,3)="113"),OR(LEFT($G2995,3)="111",LEFT($G2995,3)="112",LEFT($G2995,3)="113")),"NB",IF(OR(LEFT($F2995,3)="111",LEFT($F2995,3)="112",LEFT($F2995,3)="113"),"THU",IF(OR(LEFT($G2995,3)="111",LEFT($G2995,3)="112",LEFT($G2995,3)="113"),"CHI",""))))</f>
        <v/>
      </c>
      <c r="N2995" s="117">
        <f>IF($M2995="THU",$G2995,IF($M2995="CHI",$F2995,""))</f>
        <v/>
      </c>
      <c r="O2995" s="117">
        <f>IF(OR($M2995="",$M2995="NB"),"",IF($J2995&lt;&gt;"",TEXT($J2995,"00"),IFERROR(VLOOKUP(LEFT($N2995,4),LCTT_MAP!$A$7:$C$66,IF($M2995="THU",2,3),FALSE()),IFERROR(VLOOKUP(LEFT($N2995,3),LCTT_MAP!$A$7:$C$66,IF($M2995="THU",2,3),FALSE()),IFERROR(VLOOKUP(LEFT($N2995,2),LCTT_MAP!$A$7:$C$66,IF($M2995="THU",2,3),FALSE()),IFERROR(VLOOKUP(LEFT($N2995,1),LCTT_MAP!$A$7:$C$66,IF($M2995="THU",2,3),FALSE()),IF($M2995="THU","06","07")))))))</f>
        <v/>
      </c>
      <c r="P2995" s="117">
        <f>P2994+IF(AND($H2995&lt;&gt;"",OR(LEFT($F2995,LEN(SC_TK))=SC_TK,LEFT($G2995,LEN(SC_TK))=SC_TK)),1,0)</f>
        <v/>
      </c>
    </row>
    <row r="2996" ht="15" customHeight="1" s="78">
      <c r="A2996" s="95">
        <f>IF($H2996="","",ROW()-6)</f>
        <v/>
      </c>
      <c r="B2996" s="114" t="n"/>
      <c r="C2996" s="102" t="n"/>
      <c r="D2996" s="114" t="n"/>
      <c r="E2996" s="103" t="n"/>
      <c r="F2996" s="102" t="n"/>
      <c r="G2996" s="102" t="n"/>
      <c r="H2996" s="115" t="n"/>
      <c r="I2996" s="102" t="n"/>
      <c r="J2996" s="102" t="n"/>
      <c r="K2996" s="103" t="n"/>
      <c r="L2996" s="116">
        <f>IF($H2996="","",TRIM(IF(COUNTIF(DMTK!$A$7:$A$250,$F2996)=0,"TK Nợ sai! ","")&amp;IF(COUNTIF(DMTK!$A$7:$A$250,$G2996)=0,"TK Có sai! ","")&amp;IF(N($H2996)&lt;=0,"Tiền phải &gt; 0! ","")&amp;IF($B2996="","Thiếu ngày! ","")&amp;IF(AND(OR(LEFT($F2996,3)="131",LEFT($G2996,3)="131",LEFT($F2996,3)="331",LEFT($G2996,3)="331"),$I2996=""),"Thiếu Mã ĐT! ","")&amp;IF(AND($I2996&lt;&gt;"",COUNTIF(DM_DT!$A$7:$A$306,$I2996)=0),"Mã ĐT chưa khai báo! ","")))</f>
        <v/>
      </c>
      <c r="M2996" s="117">
        <f>IF($H2996="","",IF(AND(OR(LEFT($F2996,3)="111",LEFT($F2996,3)="112",LEFT($F2996,3)="113"),OR(LEFT($G2996,3)="111",LEFT($G2996,3)="112",LEFT($G2996,3)="113")),"NB",IF(OR(LEFT($F2996,3)="111",LEFT($F2996,3)="112",LEFT($F2996,3)="113"),"THU",IF(OR(LEFT($G2996,3)="111",LEFT($G2996,3)="112",LEFT($G2996,3)="113"),"CHI",""))))</f>
        <v/>
      </c>
      <c r="N2996" s="117">
        <f>IF($M2996="THU",$G2996,IF($M2996="CHI",$F2996,""))</f>
        <v/>
      </c>
      <c r="O2996" s="117">
        <f>IF(OR($M2996="",$M2996="NB"),"",IF($J2996&lt;&gt;"",TEXT($J2996,"00"),IFERROR(VLOOKUP(LEFT($N2996,4),LCTT_MAP!$A$7:$C$66,IF($M2996="THU",2,3),FALSE()),IFERROR(VLOOKUP(LEFT($N2996,3),LCTT_MAP!$A$7:$C$66,IF($M2996="THU",2,3),FALSE()),IFERROR(VLOOKUP(LEFT($N2996,2),LCTT_MAP!$A$7:$C$66,IF($M2996="THU",2,3),FALSE()),IFERROR(VLOOKUP(LEFT($N2996,1),LCTT_MAP!$A$7:$C$66,IF($M2996="THU",2,3),FALSE()),IF($M2996="THU","06","07")))))))</f>
        <v/>
      </c>
      <c r="P2996" s="117">
        <f>P2995+IF(AND($H2996&lt;&gt;"",OR(LEFT($F2996,LEN(SC_TK))=SC_TK,LEFT($G2996,LEN(SC_TK))=SC_TK)),1,0)</f>
        <v/>
      </c>
    </row>
    <row r="2997" ht="15" customHeight="1" s="78">
      <c r="A2997" s="95">
        <f>IF($H2997="","",ROW()-6)</f>
        <v/>
      </c>
      <c r="B2997" s="114" t="n"/>
      <c r="C2997" s="102" t="n"/>
      <c r="D2997" s="114" t="n"/>
      <c r="E2997" s="103" t="n"/>
      <c r="F2997" s="102" t="n"/>
      <c r="G2997" s="102" t="n"/>
      <c r="H2997" s="115" t="n"/>
      <c r="I2997" s="102" t="n"/>
      <c r="J2997" s="102" t="n"/>
      <c r="K2997" s="103" t="n"/>
      <c r="L2997" s="116">
        <f>IF($H2997="","",TRIM(IF(COUNTIF(DMTK!$A$7:$A$250,$F2997)=0,"TK Nợ sai! ","")&amp;IF(COUNTIF(DMTK!$A$7:$A$250,$G2997)=0,"TK Có sai! ","")&amp;IF(N($H2997)&lt;=0,"Tiền phải &gt; 0! ","")&amp;IF($B2997="","Thiếu ngày! ","")&amp;IF(AND(OR(LEFT($F2997,3)="131",LEFT($G2997,3)="131",LEFT($F2997,3)="331",LEFT($G2997,3)="331"),$I2997=""),"Thiếu Mã ĐT! ","")&amp;IF(AND($I2997&lt;&gt;"",COUNTIF(DM_DT!$A$7:$A$306,$I2997)=0),"Mã ĐT chưa khai báo! ","")))</f>
        <v/>
      </c>
      <c r="M2997" s="117">
        <f>IF($H2997="","",IF(AND(OR(LEFT($F2997,3)="111",LEFT($F2997,3)="112",LEFT($F2997,3)="113"),OR(LEFT($G2997,3)="111",LEFT($G2997,3)="112",LEFT($G2997,3)="113")),"NB",IF(OR(LEFT($F2997,3)="111",LEFT($F2997,3)="112",LEFT($F2997,3)="113"),"THU",IF(OR(LEFT($G2997,3)="111",LEFT($G2997,3)="112",LEFT($G2997,3)="113"),"CHI",""))))</f>
        <v/>
      </c>
      <c r="N2997" s="117">
        <f>IF($M2997="THU",$G2997,IF($M2997="CHI",$F2997,""))</f>
        <v/>
      </c>
      <c r="O2997" s="117">
        <f>IF(OR($M2997="",$M2997="NB"),"",IF($J2997&lt;&gt;"",TEXT($J2997,"00"),IFERROR(VLOOKUP(LEFT($N2997,4),LCTT_MAP!$A$7:$C$66,IF($M2997="THU",2,3),FALSE()),IFERROR(VLOOKUP(LEFT($N2997,3),LCTT_MAP!$A$7:$C$66,IF($M2997="THU",2,3),FALSE()),IFERROR(VLOOKUP(LEFT($N2997,2),LCTT_MAP!$A$7:$C$66,IF($M2997="THU",2,3),FALSE()),IFERROR(VLOOKUP(LEFT($N2997,1),LCTT_MAP!$A$7:$C$66,IF($M2997="THU",2,3),FALSE()),IF($M2997="THU","06","07")))))))</f>
        <v/>
      </c>
      <c r="P2997" s="117">
        <f>P2996+IF(AND($H2997&lt;&gt;"",OR(LEFT($F2997,LEN(SC_TK))=SC_TK,LEFT($G2997,LEN(SC_TK))=SC_TK)),1,0)</f>
        <v/>
      </c>
    </row>
    <row r="2998" ht="15" customHeight="1" s="78">
      <c r="A2998" s="95">
        <f>IF($H2998="","",ROW()-6)</f>
        <v/>
      </c>
      <c r="B2998" s="114" t="n"/>
      <c r="C2998" s="102" t="n"/>
      <c r="D2998" s="114" t="n"/>
      <c r="E2998" s="103" t="n"/>
      <c r="F2998" s="102" t="n"/>
      <c r="G2998" s="102" t="n"/>
      <c r="H2998" s="115" t="n"/>
      <c r="I2998" s="102" t="n"/>
      <c r="J2998" s="102" t="n"/>
      <c r="K2998" s="103" t="n"/>
      <c r="L2998" s="116">
        <f>IF($H2998="","",TRIM(IF(COUNTIF(DMTK!$A$7:$A$250,$F2998)=0,"TK Nợ sai! ","")&amp;IF(COUNTIF(DMTK!$A$7:$A$250,$G2998)=0,"TK Có sai! ","")&amp;IF(N($H2998)&lt;=0,"Tiền phải &gt; 0! ","")&amp;IF($B2998="","Thiếu ngày! ","")&amp;IF(AND(OR(LEFT($F2998,3)="131",LEFT($G2998,3)="131",LEFT($F2998,3)="331",LEFT($G2998,3)="331"),$I2998=""),"Thiếu Mã ĐT! ","")&amp;IF(AND($I2998&lt;&gt;"",COUNTIF(DM_DT!$A$7:$A$306,$I2998)=0),"Mã ĐT chưa khai báo! ","")))</f>
        <v/>
      </c>
      <c r="M2998" s="117">
        <f>IF($H2998="","",IF(AND(OR(LEFT($F2998,3)="111",LEFT($F2998,3)="112",LEFT($F2998,3)="113"),OR(LEFT($G2998,3)="111",LEFT($G2998,3)="112",LEFT($G2998,3)="113")),"NB",IF(OR(LEFT($F2998,3)="111",LEFT($F2998,3)="112",LEFT($F2998,3)="113"),"THU",IF(OR(LEFT($G2998,3)="111",LEFT($G2998,3)="112",LEFT($G2998,3)="113"),"CHI",""))))</f>
        <v/>
      </c>
      <c r="N2998" s="117">
        <f>IF($M2998="THU",$G2998,IF($M2998="CHI",$F2998,""))</f>
        <v/>
      </c>
      <c r="O2998" s="117">
        <f>IF(OR($M2998="",$M2998="NB"),"",IF($J2998&lt;&gt;"",TEXT($J2998,"00"),IFERROR(VLOOKUP(LEFT($N2998,4),LCTT_MAP!$A$7:$C$66,IF($M2998="THU",2,3),FALSE()),IFERROR(VLOOKUP(LEFT($N2998,3),LCTT_MAP!$A$7:$C$66,IF($M2998="THU",2,3),FALSE()),IFERROR(VLOOKUP(LEFT($N2998,2),LCTT_MAP!$A$7:$C$66,IF($M2998="THU",2,3),FALSE()),IFERROR(VLOOKUP(LEFT($N2998,1),LCTT_MAP!$A$7:$C$66,IF($M2998="THU",2,3),FALSE()),IF($M2998="THU","06","07")))))))</f>
        <v/>
      </c>
      <c r="P2998" s="117">
        <f>P2997+IF(AND($H2998&lt;&gt;"",OR(LEFT($F2998,LEN(SC_TK))=SC_TK,LEFT($G2998,LEN(SC_TK))=SC_TK)),1,0)</f>
        <v/>
      </c>
    </row>
    <row r="2999" ht="15" customHeight="1" s="78">
      <c r="A2999" s="95">
        <f>IF($H2999="","",ROW()-6)</f>
        <v/>
      </c>
      <c r="B2999" s="114" t="n"/>
      <c r="C2999" s="102" t="n"/>
      <c r="D2999" s="114" t="n"/>
      <c r="E2999" s="103" t="n"/>
      <c r="F2999" s="102" t="n"/>
      <c r="G2999" s="102" t="n"/>
      <c r="H2999" s="115" t="n"/>
      <c r="I2999" s="102" t="n"/>
      <c r="J2999" s="102" t="n"/>
      <c r="K2999" s="103" t="n"/>
      <c r="L2999" s="116">
        <f>IF($H2999="","",TRIM(IF(COUNTIF(DMTK!$A$7:$A$250,$F2999)=0,"TK Nợ sai! ","")&amp;IF(COUNTIF(DMTK!$A$7:$A$250,$G2999)=0,"TK Có sai! ","")&amp;IF(N($H2999)&lt;=0,"Tiền phải &gt; 0! ","")&amp;IF($B2999="","Thiếu ngày! ","")&amp;IF(AND(OR(LEFT($F2999,3)="131",LEFT($G2999,3)="131",LEFT($F2999,3)="331",LEFT($G2999,3)="331"),$I2999=""),"Thiếu Mã ĐT! ","")&amp;IF(AND($I2999&lt;&gt;"",COUNTIF(DM_DT!$A$7:$A$306,$I2999)=0),"Mã ĐT chưa khai báo! ","")))</f>
        <v/>
      </c>
      <c r="M2999" s="117">
        <f>IF($H2999="","",IF(AND(OR(LEFT($F2999,3)="111",LEFT($F2999,3)="112",LEFT($F2999,3)="113"),OR(LEFT($G2999,3)="111",LEFT($G2999,3)="112",LEFT($G2999,3)="113")),"NB",IF(OR(LEFT($F2999,3)="111",LEFT($F2999,3)="112",LEFT($F2999,3)="113"),"THU",IF(OR(LEFT($G2999,3)="111",LEFT($G2999,3)="112",LEFT($G2999,3)="113"),"CHI",""))))</f>
        <v/>
      </c>
      <c r="N2999" s="117">
        <f>IF($M2999="THU",$G2999,IF($M2999="CHI",$F2999,""))</f>
        <v/>
      </c>
      <c r="O2999" s="117">
        <f>IF(OR($M2999="",$M2999="NB"),"",IF($J2999&lt;&gt;"",TEXT($J2999,"00"),IFERROR(VLOOKUP(LEFT($N2999,4),LCTT_MAP!$A$7:$C$66,IF($M2999="THU",2,3),FALSE()),IFERROR(VLOOKUP(LEFT($N2999,3),LCTT_MAP!$A$7:$C$66,IF($M2999="THU",2,3),FALSE()),IFERROR(VLOOKUP(LEFT($N2999,2),LCTT_MAP!$A$7:$C$66,IF($M2999="THU",2,3),FALSE()),IFERROR(VLOOKUP(LEFT($N2999,1),LCTT_MAP!$A$7:$C$66,IF($M2999="THU",2,3),FALSE()),IF($M2999="THU","06","07")))))))</f>
        <v/>
      </c>
      <c r="P2999" s="117">
        <f>P2998+IF(AND($H2999&lt;&gt;"",OR(LEFT($F2999,LEN(SC_TK))=SC_TK,LEFT($G2999,LEN(SC_TK))=SC_TK)),1,0)</f>
        <v/>
      </c>
    </row>
    <row r="3000" ht="15" customHeight="1" s="78">
      <c r="A3000" s="95">
        <f>IF($H3000="","",ROW()-6)</f>
        <v/>
      </c>
      <c r="B3000" s="114" t="n"/>
      <c r="C3000" s="102" t="n"/>
      <c r="D3000" s="114" t="n"/>
      <c r="E3000" s="103" t="n"/>
      <c r="F3000" s="102" t="n"/>
      <c r="G3000" s="102" t="n"/>
      <c r="H3000" s="115" t="n"/>
      <c r="I3000" s="102" t="n"/>
      <c r="J3000" s="102" t="n"/>
      <c r="K3000" s="103" t="n"/>
      <c r="L3000" s="116">
        <f>IF($H3000="","",TRIM(IF(COUNTIF(DMTK!$A$7:$A$250,$F3000)=0,"TK Nợ sai! ","")&amp;IF(COUNTIF(DMTK!$A$7:$A$250,$G3000)=0,"TK Có sai! ","")&amp;IF(N($H3000)&lt;=0,"Tiền phải &gt; 0! ","")&amp;IF($B3000="","Thiếu ngày! ","")&amp;IF(AND(OR(LEFT($F3000,3)="131",LEFT($G3000,3)="131",LEFT($F3000,3)="331",LEFT($G3000,3)="331"),$I3000=""),"Thiếu Mã ĐT! ","")&amp;IF(AND($I3000&lt;&gt;"",COUNTIF(DM_DT!$A$7:$A$306,$I3000)=0),"Mã ĐT chưa khai báo! ","")))</f>
        <v/>
      </c>
      <c r="M3000" s="117">
        <f>IF($H3000="","",IF(AND(OR(LEFT($F3000,3)="111",LEFT($F3000,3)="112",LEFT($F3000,3)="113"),OR(LEFT($G3000,3)="111",LEFT($G3000,3)="112",LEFT($G3000,3)="113")),"NB",IF(OR(LEFT($F3000,3)="111",LEFT($F3000,3)="112",LEFT($F3000,3)="113"),"THU",IF(OR(LEFT($G3000,3)="111",LEFT($G3000,3)="112",LEFT($G3000,3)="113"),"CHI",""))))</f>
        <v/>
      </c>
      <c r="N3000" s="117">
        <f>IF($M3000="THU",$G3000,IF($M3000="CHI",$F3000,""))</f>
        <v/>
      </c>
      <c r="O3000" s="117">
        <f>IF(OR($M3000="",$M3000="NB"),"",IF($J3000&lt;&gt;"",TEXT($J3000,"00"),IFERROR(VLOOKUP(LEFT($N3000,4),LCTT_MAP!$A$7:$C$66,IF($M3000="THU",2,3),FALSE()),IFERROR(VLOOKUP(LEFT($N3000,3),LCTT_MAP!$A$7:$C$66,IF($M3000="THU",2,3),FALSE()),IFERROR(VLOOKUP(LEFT($N3000,2),LCTT_MAP!$A$7:$C$66,IF($M3000="THU",2,3),FALSE()),IFERROR(VLOOKUP(LEFT($N3000,1),LCTT_MAP!$A$7:$C$66,IF($M3000="THU",2,3),FALSE()),IF($M3000="THU","06","07")))))))</f>
        <v/>
      </c>
      <c r="P3000" s="117">
        <f>P2999+IF(AND($H3000&lt;&gt;"",OR(LEFT($F3000,LEN(SC_TK))=SC_TK,LEFT($G3000,LEN(SC_TK))=SC_TK)),1,0)</f>
        <v/>
      </c>
    </row>
    <row r="3001" ht="15" customHeight="1" s="78">
      <c r="A3001" s="95">
        <f>IF($H3001="","",ROW()-6)</f>
        <v/>
      </c>
      <c r="B3001" s="114" t="n"/>
      <c r="C3001" s="102" t="n"/>
      <c r="D3001" s="114" t="n"/>
      <c r="E3001" s="103" t="n"/>
      <c r="F3001" s="102" t="n"/>
      <c r="G3001" s="102" t="n"/>
      <c r="H3001" s="115" t="n"/>
      <c r="I3001" s="102" t="n"/>
      <c r="J3001" s="102" t="n"/>
      <c r="K3001" s="103" t="n"/>
      <c r="L3001" s="116">
        <f>IF($H3001="","",TRIM(IF(COUNTIF(DMTK!$A$7:$A$250,$F3001)=0,"TK Nợ sai! ","")&amp;IF(COUNTIF(DMTK!$A$7:$A$250,$G3001)=0,"TK Có sai! ","")&amp;IF(N($H3001)&lt;=0,"Tiền phải &gt; 0! ","")&amp;IF($B3001="","Thiếu ngày! ","")&amp;IF(AND(OR(LEFT($F3001,3)="131",LEFT($G3001,3)="131",LEFT($F3001,3)="331",LEFT($G3001,3)="331"),$I3001=""),"Thiếu Mã ĐT! ","")&amp;IF(AND($I3001&lt;&gt;"",COUNTIF(DM_DT!$A$7:$A$306,$I3001)=0),"Mã ĐT chưa khai báo! ","")))</f>
        <v/>
      </c>
      <c r="M3001" s="117">
        <f>IF($H3001="","",IF(AND(OR(LEFT($F3001,3)="111",LEFT($F3001,3)="112",LEFT($F3001,3)="113"),OR(LEFT($G3001,3)="111",LEFT($G3001,3)="112",LEFT($G3001,3)="113")),"NB",IF(OR(LEFT($F3001,3)="111",LEFT($F3001,3)="112",LEFT($F3001,3)="113"),"THU",IF(OR(LEFT($G3001,3)="111",LEFT($G3001,3)="112",LEFT($G3001,3)="113"),"CHI",""))))</f>
        <v/>
      </c>
      <c r="N3001" s="117">
        <f>IF($M3001="THU",$G3001,IF($M3001="CHI",$F3001,""))</f>
        <v/>
      </c>
      <c r="O3001" s="117">
        <f>IF(OR($M3001="",$M3001="NB"),"",IF($J3001&lt;&gt;"",TEXT($J3001,"00"),IFERROR(VLOOKUP(LEFT($N3001,4),LCTT_MAP!$A$7:$C$66,IF($M3001="THU",2,3),FALSE()),IFERROR(VLOOKUP(LEFT($N3001,3),LCTT_MAP!$A$7:$C$66,IF($M3001="THU",2,3),FALSE()),IFERROR(VLOOKUP(LEFT($N3001,2),LCTT_MAP!$A$7:$C$66,IF($M3001="THU",2,3),FALSE()),IFERROR(VLOOKUP(LEFT($N3001,1),LCTT_MAP!$A$7:$C$66,IF($M3001="THU",2,3),FALSE()),IF($M3001="THU","06","07")))))))</f>
        <v/>
      </c>
      <c r="P3001" s="117">
        <f>P3000+IF(AND($H3001&lt;&gt;"",OR(LEFT($F3001,LEN(SC_TK))=SC_TK,LEFT($G3001,LEN(SC_TK))=SC_TK)),1,0)</f>
        <v/>
      </c>
    </row>
    <row r="3002" ht="15" customHeight="1" s="78">
      <c r="A3002" s="95">
        <f>IF($H3002="","",ROW()-6)</f>
        <v/>
      </c>
      <c r="B3002" s="114" t="n"/>
      <c r="C3002" s="102" t="n"/>
      <c r="D3002" s="114" t="n"/>
      <c r="E3002" s="103" t="n"/>
      <c r="F3002" s="102" t="n"/>
      <c r="G3002" s="102" t="n"/>
      <c r="H3002" s="115" t="n"/>
      <c r="I3002" s="102" t="n"/>
      <c r="J3002" s="102" t="n"/>
      <c r="K3002" s="103" t="n"/>
      <c r="L3002" s="116">
        <f>IF($H3002="","",TRIM(IF(COUNTIF(DMTK!$A$7:$A$250,$F3002)=0,"TK Nợ sai! ","")&amp;IF(COUNTIF(DMTK!$A$7:$A$250,$G3002)=0,"TK Có sai! ","")&amp;IF(N($H3002)&lt;=0,"Tiền phải &gt; 0! ","")&amp;IF($B3002="","Thiếu ngày! ","")&amp;IF(AND(OR(LEFT($F3002,3)="131",LEFT($G3002,3)="131",LEFT($F3002,3)="331",LEFT($G3002,3)="331"),$I3002=""),"Thiếu Mã ĐT! ","")&amp;IF(AND($I3002&lt;&gt;"",COUNTIF(DM_DT!$A$7:$A$306,$I3002)=0),"Mã ĐT chưa khai báo! ","")))</f>
        <v/>
      </c>
      <c r="M3002" s="117">
        <f>IF($H3002="","",IF(AND(OR(LEFT($F3002,3)="111",LEFT($F3002,3)="112",LEFT($F3002,3)="113"),OR(LEFT($G3002,3)="111",LEFT($G3002,3)="112",LEFT($G3002,3)="113")),"NB",IF(OR(LEFT($F3002,3)="111",LEFT($F3002,3)="112",LEFT($F3002,3)="113"),"THU",IF(OR(LEFT($G3002,3)="111",LEFT($G3002,3)="112",LEFT($G3002,3)="113"),"CHI",""))))</f>
        <v/>
      </c>
      <c r="N3002" s="117">
        <f>IF($M3002="THU",$G3002,IF($M3002="CHI",$F3002,""))</f>
        <v/>
      </c>
      <c r="O3002" s="117">
        <f>IF(OR($M3002="",$M3002="NB"),"",IF($J3002&lt;&gt;"",TEXT($J3002,"00"),IFERROR(VLOOKUP(LEFT($N3002,4),LCTT_MAP!$A$7:$C$66,IF($M3002="THU",2,3),FALSE()),IFERROR(VLOOKUP(LEFT($N3002,3),LCTT_MAP!$A$7:$C$66,IF($M3002="THU",2,3),FALSE()),IFERROR(VLOOKUP(LEFT($N3002,2),LCTT_MAP!$A$7:$C$66,IF($M3002="THU",2,3),FALSE()),IFERROR(VLOOKUP(LEFT($N3002,1),LCTT_MAP!$A$7:$C$66,IF($M3002="THU",2,3),FALSE()),IF($M3002="THU","06","07")))))))</f>
        <v/>
      </c>
      <c r="P3002" s="117">
        <f>P3001+IF(AND($H3002&lt;&gt;"",OR(LEFT($F3002,LEN(SC_TK))=SC_TK,LEFT($G3002,LEN(SC_TK))=SC_TK)),1,0)</f>
        <v/>
      </c>
    </row>
    <row r="3003" ht="15" customHeight="1" s="78">
      <c r="A3003" s="95">
        <f>IF($H3003="","",ROW()-6)</f>
        <v/>
      </c>
      <c r="B3003" s="114" t="n"/>
      <c r="C3003" s="102" t="n"/>
      <c r="D3003" s="114" t="n"/>
      <c r="E3003" s="103" t="n"/>
      <c r="F3003" s="102" t="n"/>
      <c r="G3003" s="102" t="n"/>
      <c r="H3003" s="115" t="n"/>
      <c r="I3003" s="102" t="n"/>
      <c r="J3003" s="102" t="n"/>
      <c r="K3003" s="103" t="n"/>
      <c r="L3003" s="116">
        <f>IF($H3003="","",TRIM(IF(COUNTIF(DMTK!$A$7:$A$250,$F3003)=0,"TK Nợ sai! ","")&amp;IF(COUNTIF(DMTK!$A$7:$A$250,$G3003)=0,"TK Có sai! ","")&amp;IF(N($H3003)&lt;=0,"Tiền phải &gt; 0! ","")&amp;IF($B3003="","Thiếu ngày! ","")&amp;IF(AND(OR(LEFT($F3003,3)="131",LEFT($G3003,3)="131",LEFT($F3003,3)="331",LEFT($G3003,3)="331"),$I3003=""),"Thiếu Mã ĐT! ","")&amp;IF(AND($I3003&lt;&gt;"",COUNTIF(DM_DT!$A$7:$A$306,$I3003)=0),"Mã ĐT chưa khai báo! ","")))</f>
        <v/>
      </c>
      <c r="M3003" s="117">
        <f>IF($H3003="","",IF(AND(OR(LEFT($F3003,3)="111",LEFT($F3003,3)="112",LEFT($F3003,3)="113"),OR(LEFT($G3003,3)="111",LEFT($G3003,3)="112",LEFT($G3003,3)="113")),"NB",IF(OR(LEFT($F3003,3)="111",LEFT($F3003,3)="112",LEFT($F3003,3)="113"),"THU",IF(OR(LEFT($G3003,3)="111",LEFT($G3003,3)="112",LEFT($G3003,3)="113"),"CHI",""))))</f>
        <v/>
      </c>
      <c r="N3003" s="117">
        <f>IF($M3003="THU",$G3003,IF($M3003="CHI",$F3003,""))</f>
        <v/>
      </c>
      <c r="O3003" s="117">
        <f>IF(OR($M3003="",$M3003="NB"),"",IF($J3003&lt;&gt;"",TEXT($J3003,"00"),IFERROR(VLOOKUP(LEFT($N3003,4),LCTT_MAP!$A$7:$C$66,IF($M3003="THU",2,3),FALSE()),IFERROR(VLOOKUP(LEFT($N3003,3),LCTT_MAP!$A$7:$C$66,IF($M3003="THU",2,3),FALSE()),IFERROR(VLOOKUP(LEFT($N3003,2),LCTT_MAP!$A$7:$C$66,IF($M3003="THU",2,3),FALSE()),IFERROR(VLOOKUP(LEFT($N3003,1),LCTT_MAP!$A$7:$C$66,IF($M3003="THU",2,3),FALSE()),IF($M3003="THU","06","07")))))))</f>
        <v/>
      </c>
      <c r="P3003" s="117">
        <f>P3002+IF(AND($H3003&lt;&gt;"",OR(LEFT($F3003,LEN(SC_TK))=SC_TK,LEFT($G3003,LEN(SC_TK))=SC_TK)),1,0)</f>
        <v/>
      </c>
    </row>
    <row r="3004" ht="15" customHeight="1" s="78">
      <c r="A3004" s="95">
        <f>IF($H3004="","",ROW()-6)</f>
        <v/>
      </c>
      <c r="B3004" s="114" t="n"/>
      <c r="C3004" s="102" t="n"/>
      <c r="D3004" s="114" t="n"/>
      <c r="E3004" s="103" t="n"/>
      <c r="F3004" s="102" t="n"/>
      <c r="G3004" s="102" t="n"/>
      <c r="H3004" s="115" t="n"/>
      <c r="I3004" s="102" t="n"/>
      <c r="J3004" s="102" t="n"/>
      <c r="K3004" s="103" t="n"/>
      <c r="L3004" s="116">
        <f>IF($H3004="","",TRIM(IF(COUNTIF(DMTK!$A$7:$A$250,$F3004)=0,"TK Nợ sai! ","")&amp;IF(COUNTIF(DMTK!$A$7:$A$250,$G3004)=0,"TK Có sai! ","")&amp;IF(N($H3004)&lt;=0,"Tiền phải &gt; 0! ","")&amp;IF($B3004="","Thiếu ngày! ","")&amp;IF(AND(OR(LEFT($F3004,3)="131",LEFT($G3004,3)="131",LEFT($F3004,3)="331",LEFT($G3004,3)="331"),$I3004=""),"Thiếu Mã ĐT! ","")&amp;IF(AND($I3004&lt;&gt;"",COUNTIF(DM_DT!$A$7:$A$306,$I3004)=0),"Mã ĐT chưa khai báo! ","")))</f>
        <v/>
      </c>
      <c r="M3004" s="117">
        <f>IF($H3004="","",IF(AND(OR(LEFT($F3004,3)="111",LEFT($F3004,3)="112",LEFT($F3004,3)="113"),OR(LEFT($G3004,3)="111",LEFT($G3004,3)="112",LEFT($G3004,3)="113")),"NB",IF(OR(LEFT($F3004,3)="111",LEFT($F3004,3)="112",LEFT($F3004,3)="113"),"THU",IF(OR(LEFT($G3004,3)="111",LEFT($G3004,3)="112",LEFT($G3004,3)="113"),"CHI",""))))</f>
        <v/>
      </c>
      <c r="N3004" s="117">
        <f>IF($M3004="THU",$G3004,IF($M3004="CHI",$F3004,""))</f>
        <v/>
      </c>
      <c r="O3004" s="117">
        <f>IF(OR($M3004="",$M3004="NB"),"",IF($J3004&lt;&gt;"",TEXT($J3004,"00"),IFERROR(VLOOKUP(LEFT($N3004,4),LCTT_MAP!$A$7:$C$66,IF($M3004="THU",2,3),FALSE()),IFERROR(VLOOKUP(LEFT($N3004,3),LCTT_MAP!$A$7:$C$66,IF($M3004="THU",2,3),FALSE()),IFERROR(VLOOKUP(LEFT($N3004,2),LCTT_MAP!$A$7:$C$66,IF($M3004="THU",2,3),FALSE()),IFERROR(VLOOKUP(LEFT($N3004,1),LCTT_MAP!$A$7:$C$66,IF($M3004="THU",2,3),FALSE()),IF($M3004="THU","06","07")))))))</f>
        <v/>
      </c>
      <c r="P3004" s="117">
        <f>P3003+IF(AND($H3004&lt;&gt;"",OR(LEFT($F3004,LEN(SC_TK))=SC_TK,LEFT($G3004,LEN(SC_TK))=SC_TK)),1,0)</f>
        <v/>
      </c>
    </row>
    <row r="3005" ht="15" customHeight="1" s="78">
      <c r="A3005" s="95">
        <f>IF($H3005="","",ROW()-6)</f>
        <v/>
      </c>
      <c r="B3005" s="114" t="n"/>
      <c r="C3005" s="102" t="n"/>
      <c r="D3005" s="114" t="n"/>
      <c r="E3005" s="103" t="n"/>
      <c r="F3005" s="102" t="n"/>
      <c r="G3005" s="102" t="n"/>
      <c r="H3005" s="115" t="n"/>
      <c r="I3005" s="102" t="n"/>
      <c r="J3005" s="102" t="n"/>
      <c r="K3005" s="103" t="n"/>
      <c r="L3005" s="116">
        <f>IF($H3005="","",TRIM(IF(COUNTIF(DMTK!$A$7:$A$250,$F3005)=0,"TK Nợ sai! ","")&amp;IF(COUNTIF(DMTK!$A$7:$A$250,$G3005)=0,"TK Có sai! ","")&amp;IF(N($H3005)&lt;=0,"Tiền phải &gt; 0! ","")&amp;IF($B3005="","Thiếu ngày! ","")&amp;IF(AND(OR(LEFT($F3005,3)="131",LEFT($G3005,3)="131",LEFT($F3005,3)="331",LEFT($G3005,3)="331"),$I3005=""),"Thiếu Mã ĐT! ","")&amp;IF(AND($I3005&lt;&gt;"",COUNTIF(DM_DT!$A$7:$A$306,$I3005)=0),"Mã ĐT chưa khai báo! ","")))</f>
        <v/>
      </c>
      <c r="M3005" s="117">
        <f>IF($H3005="","",IF(AND(OR(LEFT($F3005,3)="111",LEFT($F3005,3)="112",LEFT($F3005,3)="113"),OR(LEFT($G3005,3)="111",LEFT($G3005,3)="112",LEFT($G3005,3)="113")),"NB",IF(OR(LEFT($F3005,3)="111",LEFT($F3005,3)="112",LEFT($F3005,3)="113"),"THU",IF(OR(LEFT($G3005,3)="111",LEFT($G3005,3)="112",LEFT($G3005,3)="113"),"CHI",""))))</f>
        <v/>
      </c>
      <c r="N3005" s="117">
        <f>IF($M3005="THU",$G3005,IF($M3005="CHI",$F3005,""))</f>
        <v/>
      </c>
      <c r="O3005" s="117">
        <f>IF(OR($M3005="",$M3005="NB"),"",IF($J3005&lt;&gt;"",TEXT($J3005,"00"),IFERROR(VLOOKUP(LEFT($N3005,4),LCTT_MAP!$A$7:$C$66,IF($M3005="THU",2,3),FALSE()),IFERROR(VLOOKUP(LEFT($N3005,3),LCTT_MAP!$A$7:$C$66,IF($M3005="THU",2,3),FALSE()),IFERROR(VLOOKUP(LEFT($N3005,2),LCTT_MAP!$A$7:$C$66,IF($M3005="THU",2,3),FALSE()),IFERROR(VLOOKUP(LEFT($N3005,1),LCTT_MAP!$A$7:$C$66,IF($M3005="THU",2,3),FALSE()),IF($M3005="THU","06","07")))))))</f>
        <v/>
      </c>
      <c r="P3005" s="117">
        <f>P3004+IF(AND($H3005&lt;&gt;"",OR(LEFT($F3005,LEN(SC_TK))=SC_TK,LEFT($G3005,LEN(SC_TK))=SC_TK)),1,0)</f>
        <v/>
      </c>
    </row>
    <row r="3006" ht="15" customHeight="1" s="78">
      <c r="A3006" s="95">
        <f>IF($H3006="","",ROW()-6)</f>
        <v/>
      </c>
      <c r="B3006" s="114" t="n"/>
      <c r="C3006" s="102" t="n"/>
      <c r="D3006" s="114" t="n"/>
      <c r="E3006" s="103" t="n"/>
      <c r="F3006" s="102" t="n"/>
      <c r="G3006" s="102" t="n"/>
      <c r="H3006" s="115" t="n"/>
      <c r="I3006" s="102" t="n"/>
      <c r="J3006" s="102" t="n"/>
      <c r="K3006" s="103" t="n"/>
      <c r="L3006" s="116">
        <f>IF($H3006="","",TRIM(IF(COUNTIF(DMTK!$A$7:$A$250,$F3006)=0,"TK Nợ sai! ","")&amp;IF(COUNTIF(DMTK!$A$7:$A$250,$G3006)=0,"TK Có sai! ","")&amp;IF(N($H3006)&lt;=0,"Tiền phải &gt; 0! ","")&amp;IF($B3006="","Thiếu ngày! ","")&amp;IF(AND(OR(LEFT($F3006,3)="131",LEFT($G3006,3)="131",LEFT($F3006,3)="331",LEFT($G3006,3)="331"),$I3006=""),"Thiếu Mã ĐT! ","")&amp;IF(AND($I3006&lt;&gt;"",COUNTIF(DM_DT!$A$7:$A$306,$I3006)=0),"Mã ĐT chưa khai báo! ","")))</f>
        <v/>
      </c>
      <c r="M3006" s="117">
        <f>IF($H3006="","",IF(AND(OR(LEFT($F3006,3)="111",LEFT($F3006,3)="112",LEFT($F3006,3)="113"),OR(LEFT($G3006,3)="111",LEFT($G3006,3)="112",LEFT($G3006,3)="113")),"NB",IF(OR(LEFT($F3006,3)="111",LEFT($F3006,3)="112",LEFT($F3006,3)="113"),"THU",IF(OR(LEFT($G3006,3)="111",LEFT($G3006,3)="112",LEFT($G3006,3)="113"),"CHI",""))))</f>
        <v/>
      </c>
      <c r="N3006" s="117">
        <f>IF($M3006="THU",$G3006,IF($M3006="CHI",$F3006,""))</f>
        <v/>
      </c>
      <c r="O3006" s="117">
        <f>IF(OR($M3006="",$M3006="NB"),"",IF($J3006&lt;&gt;"",TEXT($J3006,"00"),IFERROR(VLOOKUP(LEFT($N3006,4),LCTT_MAP!$A$7:$C$66,IF($M3006="THU",2,3),FALSE()),IFERROR(VLOOKUP(LEFT($N3006,3),LCTT_MAP!$A$7:$C$66,IF($M3006="THU",2,3),FALSE()),IFERROR(VLOOKUP(LEFT($N3006,2),LCTT_MAP!$A$7:$C$66,IF($M3006="THU",2,3),FALSE()),IFERROR(VLOOKUP(LEFT($N3006,1),LCTT_MAP!$A$7:$C$66,IF($M3006="THU",2,3),FALSE()),IF($M3006="THU","06","07")))))))</f>
        <v/>
      </c>
      <c r="P3006" s="117">
        <f>P3005+IF(AND($H3006&lt;&gt;"",OR(LEFT($F3006,LEN(SC_TK))=SC_TK,LEFT($G3006,LEN(SC_TK))=SC_TK)),1,0)</f>
        <v/>
      </c>
    </row>
  </sheetData>
  <sheetProtection selectLockedCells="0" selectUnlockedCells="0" sheet="1" objects="0" insertRows="1" insertHyperlinks="1" autoFilter="0" scenarios="0" formatColumns="0" deleteColumns="1" insertColumns="1" pivotTables="1" deleteRows="1" formatCells="0" formatRows="0" sort="0"/>
  <autoFilter ref="A6:L3006"/>
  <mergeCells count="1">
    <mergeCell ref="A2:L2"/>
  </mergeCells>
  <conditionalFormatting sqref="L7:L3006">
    <cfRule type="expression" rank="0" priority="2" equalAverage="0" aboveAverage="0" dxfId="6" text="" percent="0" bottom="0">
      <formula>$L7&lt;&gt;""</formula>
    </cfRule>
  </conditionalFormatting>
  <dataValidations count="3">
    <dataValidation sqref="F7:G3006" showDropDown="0" showInputMessage="0" showErrorMessage="1" allowBlank="1" errorTitle="TK không có trong danh mục" error="Chọn TK trong DMTK (hoặc thêm TK chi tiết vào DMTK trước)" type="list" errorStyle="stop" operator="between">
      <formula1>DMTK!$A$7:$A$250</formula1>
      <formula2>0</formula2>
    </dataValidation>
    <dataValidation sqref="I7:I3006" showDropDown="0" showInputMessage="0" showErrorMessage="1" allowBlank="1" errorTitle="Mã ĐT chưa khai báo" error="Khai báo trong sheet DM_DT trước khi dùng" type="list" errorStyle="stop" operator="between">
      <formula1>DM_DT!$A$7:$A$306</formula1>
      <formula2>0</formula2>
    </dataValidation>
    <dataValidation sqref="J7:J3006" showDropDown="0" showInputMessage="0" showErrorMessage="1" allowBlank="1" errorTitle="Mã LCTT không hợp lệ" error="Dùng mã chỉ tiêu của Báo cáo LCTT: 01-07, 21-27, 31-36" type="list" errorStyle="stop" operator="between">
      <formula1>"01,02,03,04,05,06,07,21,22,23,24,25,26,27,31,32,33,34,35,36"</formula1>
      <formula2>0</formula2>
    </dataValidation>
  </dataValidations>
  <printOptions horizontalCentered="0" verticalCentered="0" headings="0" gridLines="0" gridLinesSet="1"/>
  <pageMargins left="0.75" right="0.75" top="1" bottom="1" header="0.511811023622047" footer="0.5"/>
  <pageSetup orientation="landscape" paperSize="9" scale="100" fitToHeight="0" fitToWidth="1" pageOrder="downThenOver" blackAndWhite="0" draft="0" horizontalDpi="300" verticalDpi="300" copies="1"/>
  <headerFooter differentOddEven="0" differentFirst="0">
    <oddHeader/>
    <oddFooter>&amp;L&amp;8 &amp;K808080Mr Wick Kiểm toán — Phần mềm kế toán TT 99/2025&amp;R&amp;8 &amp;K808080Trang &amp;P/&amp;N</oddFooter>
    <evenHeader/>
    <evenFooter/>
    <firstHeader/>
    <firstFooter/>
  </headerFooter>
</worksheet>
</file>

<file path=xl/worksheets/sheet7.xml><?xml version="1.0" encoding="utf-8"?>
<worksheet xmlns="http://schemas.openxmlformats.org/spreadsheetml/2006/main">
  <sheetPr filterMode="0">
    <outlinePr summaryBelow="1" summaryRight="1"/>
    <pageSetUpPr fitToPage="1"/>
  </sheetPr>
  <dimension ref="A1:V252"/>
  <sheetViews>
    <sheetView showFormulas="0" showGridLines="1" showRowColHeaders="1" showZeros="1" rightToLeft="0" tabSelected="0" showOutlineSymbols="1" defaultGridColor="1" view="normal" topLeftCell="A1" colorId="64" zoomScale="100" zoomScaleNormal="100" zoomScalePageLayoutView="100" workbookViewId="0">
      <pane xSplit="3" ySplit="7" topLeftCell="D8" activePane="bottomRight" state="frozen"/>
      <selection pane="topLeft" activeCell="A1" activeCellId="0" sqref="A1"/>
      <selection pane="topRight" activeCell="D1" activeCellId="0" sqref="D1"/>
      <selection pane="bottomLeft" activeCell="A8" activeCellId="0" sqref="A8"/>
      <selection pane="bottomRight" activeCell="A1" activeCellId="0" sqref="A1"/>
    </sheetView>
  </sheetViews>
  <sheetFormatPr baseColWidth="8" defaultColWidth="8.6796875" defaultRowHeight="15" zeroHeight="0" outlineLevelRow="0"/>
  <cols>
    <col width="9" customWidth="1" style="77" min="1" max="1"/>
    <col width="44" customWidth="1" style="77" min="2" max="2"/>
    <col width="5" customWidth="1" style="77" min="3" max="3"/>
    <col width="15" customWidth="1" style="77" min="4" max="9"/>
    <col width="2" customWidth="1" style="77" min="10" max="10"/>
    <col hidden="1" width="13" customWidth="1" style="77" min="11" max="22"/>
  </cols>
  <sheetData>
    <row r="1" ht="15" customHeight="1" s="78">
      <c r="A1" s="88">
        <f>TT_DN!$C$5</f>
        <v/>
      </c>
      <c r="H1" s="118" t="inlineStr">
        <is>
          <t>Mẫu số S06-DN</t>
        </is>
      </c>
    </row>
    <row r="2" ht="53.7" customHeight="1" s="78">
      <c r="A2" s="89">
        <f>TT_DN!$C$7</f>
        <v/>
      </c>
      <c r="H2" s="117" t="inlineStr">
        <is>
          <t>(Ban hành kèm theo Thông tư số 99/2025/TT-BTC ngày 27/10/2025 của Bộ Tài chính)</t>
        </is>
      </c>
    </row>
    <row r="3" ht="17.35" customHeight="1" s="78">
      <c r="A3" s="84" t="inlineStr">
        <is>
          <t>BẢNG CÂN ĐỐI SỐ PHÁT SINH</t>
        </is>
      </c>
    </row>
    <row r="4" ht="15" customHeight="1" s="78">
      <c r="A4" s="119">
        <f>CONCATENATE("Kỳ: từ ",TEXT(TU_NGAY,"DD/MM/YYYY")," đến ",TEXT(DEN_NGAY,"DD/MM/YYYY")," — Đơn vị tính: Đồng Việt Nam")</f>
        <v/>
      </c>
    </row>
    <row r="5"/>
    <row r="6" ht="15" customHeight="1" s="78">
      <c r="A6" s="92" t="inlineStr">
        <is>
          <t>Số hiệu TK</t>
        </is>
      </c>
      <c r="B6" s="92" t="inlineStr">
        <is>
          <t>Tên tài khoản</t>
        </is>
      </c>
      <c r="C6" s="92" t="inlineStr">
        <is>
          <t>Cấp</t>
        </is>
      </c>
      <c r="D6" s="92" t="inlineStr">
        <is>
          <t>Số dư đầu kỳ</t>
        </is>
      </c>
      <c r="E6" s="120" t="n"/>
      <c r="F6" s="92" t="inlineStr">
        <is>
          <t>Số phát sinh trong kỳ</t>
        </is>
      </c>
      <c r="G6" s="120" t="n"/>
      <c r="H6" s="92" t="inlineStr">
        <is>
          <t>Số dư cuối kỳ</t>
        </is>
      </c>
      <c r="I6" s="120" t="n"/>
    </row>
    <row r="7" ht="15" customHeight="1" s="78">
      <c r="A7" s="121" t="n"/>
      <c r="B7" s="121" t="n"/>
      <c r="C7" s="121" t="n"/>
      <c r="D7" s="92" t="inlineStr">
        <is>
          <t>Nợ</t>
        </is>
      </c>
      <c r="E7" s="92" t="inlineStr">
        <is>
          <t>Có</t>
        </is>
      </c>
      <c r="F7" s="92" t="inlineStr">
        <is>
          <t>Nợ</t>
        </is>
      </c>
      <c r="G7" s="92" t="inlineStr">
        <is>
          <t>Có</t>
        </is>
      </c>
      <c r="H7" s="92" t="inlineStr">
        <is>
          <t>Nợ</t>
        </is>
      </c>
      <c r="I7" s="92" t="inlineStr">
        <is>
          <t>Có</t>
        </is>
      </c>
      <c r="K7" s="113" t="inlineStr">
        <is>
          <t>SDĐK Nợ</t>
        </is>
      </c>
      <c r="L7" s="113" t="inlineStr">
        <is>
          <t>SDĐK Có</t>
        </is>
      </c>
      <c r="M7" s="113" t="inlineStr">
        <is>
          <t>PSNợ trước kỳ</t>
        </is>
      </c>
      <c r="N7" s="113" t="inlineStr">
        <is>
          <t>PSCó trước kỳ</t>
        </is>
      </c>
      <c r="O7" s="113" t="inlineStr">
        <is>
          <t>PSNợ kỳ</t>
        </is>
      </c>
      <c r="P7" s="113" t="inlineStr">
        <is>
          <t>PSCó kỳ</t>
        </is>
      </c>
      <c r="Q7" s="113" t="inlineStr">
        <is>
          <t>Net ĐK</t>
        </is>
      </c>
      <c r="R7" s="113" t="inlineStr">
        <is>
          <t>uĐK Nợ</t>
        </is>
      </c>
      <c r="S7" s="113" t="inlineStr">
        <is>
          <t>uĐK Có</t>
        </is>
      </c>
      <c r="T7" s="113" t="inlineStr">
        <is>
          <t>Net CK</t>
        </is>
      </c>
      <c r="U7" s="113" t="inlineStr">
        <is>
          <t>uCK Nợ</t>
        </is>
      </c>
      <c r="V7" s="113" t="inlineStr">
        <is>
          <t>uCK Có</t>
        </is>
      </c>
    </row>
    <row r="8" ht="15" customHeight="1" s="78">
      <c r="A8" s="93" t="inlineStr">
        <is>
          <t>111</t>
        </is>
      </c>
      <c r="B8" s="94" t="inlineStr">
        <is>
          <t>Tiền mặt</t>
        </is>
      </c>
      <c r="C8" s="122" t="n">
        <v>1</v>
      </c>
      <c r="D8" s="123">
        <f>IF($A8="","",SUMIF($A$8:$A$251,$A8&amp;"*",R$8:R$251))</f>
        <v/>
      </c>
      <c r="E8" s="123">
        <f>IF($A8="","",SUMIF($A$8:$A$251,$A8&amp;"*",S$8:S$251))</f>
        <v/>
      </c>
      <c r="F8" s="123">
        <f>IF($A8="","",SUMIF($A$8:$A$251,$A8&amp;"*",O$8:O$251))</f>
        <v/>
      </c>
      <c r="G8" s="123">
        <f>IF($A8="","",SUMIF($A$8:$A$251,$A8&amp;"*",P$8:P$251))</f>
        <v/>
      </c>
      <c r="H8" s="123">
        <f>IF($A8="","",SUMIF($A$8:$A$251,$A8&amp;"*",U$8:U$251))</f>
        <v/>
      </c>
      <c r="I8" s="123">
        <f>IF($A8="","",SUMIF($A$8:$A$251,$A8&amp;"*",V$8:V$251))</f>
        <v/>
      </c>
      <c r="K8" s="124">
        <f>IF($A8="",0,SUMIFS(SDDK!$C$8:$C$251,SDDK!$A$8:$A$251,$A8))</f>
        <v/>
      </c>
      <c r="L8" s="124">
        <f>IF($A8="",0,SUMIFS(SDDK!$D$8:$D$251,SDDK!$A$8:$A$251,$A8))</f>
        <v/>
      </c>
      <c r="M8" s="124">
        <f>IF($A8="",0,SUMIFS(NKC!$H$7:$H$3006,NKC!$F$7:$F$3006,$A8,NKC!$B$7:$B$3006,"&lt;"&amp;TU_NGAY))</f>
        <v/>
      </c>
      <c r="N8" s="124">
        <f>IF($A8="",0,SUMIFS(NKC!$H$7:$H$3006,NKC!$G$7:$G$3006,$A8,NKC!$B$7:$B$3006,"&lt;"&amp;TU_NGAY))</f>
        <v/>
      </c>
      <c r="O8" s="124">
        <f>IF($A8="",0,SUMIFS(NKC!$H$7:$H$3006,NKC!$F$7:$F$3006,$A8,NKC!$B$7:$B$3006,"&gt;="&amp;TU_NGAY,NKC!$B$7:$B$3006,"&lt;="&amp;DEN_NGAY))</f>
        <v/>
      </c>
      <c r="P8" s="124">
        <f>IF($A8="",0,SUMIFS(NKC!$H$7:$H$3006,NKC!$G$7:$G$3006,$A8,NKC!$B$7:$B$3006,"&gt;="&amp;TU_NGAY,NKC!$B$7:$B$3006,"&lt;="&amp;DEN_NGAY))</f>
        <v/>
      </c>
      <c r="Q8" s="124">
        <f>K8-L8+M8-N8</f>
        <v/>
      </c>
      <c r="R8" s="124">
        <f>MAX(Q8,0)</f>
        <v/>
      </c>
      <c r="S8" s="124">
        <f>MAX(-Q8,0)</f>
        <v/>
      </c>
      <c r="T8" s="124">
        <f>Q8+O8-P8</f>
        <v/>
      </c>
      <c r="U8" s="124">
        <f>MAX(T8,0)</f>
        <v/>
      </c>
      <c r="V8" s="124">
        <f>MAX(-T8,0)</f>
        <v/>
      </c>
    </row>
    <row r="9" ht="15" customHeight="1" s="78">
      <c r="A9" s="93" t="inlineStr">
        <is>
          <t>112</t>
        </is>
      </c>
      <c r="B9" s="94" t="inlineStr">
        <is>
          <t>Tiền gửi không kỳ hạn</t>
        </is>
      </c>
      <c r="C9" s="122" t="n">
        <v>1</v>
      </c>
      <c r="D9" s="123">
        <f>IF($A9="","",SUMIF($A$8:$A$251,$A9&amp;"*",R$8:R$251))</f>
        <v/>
      </c>
      <c r="E9" s="123">
        <f>IF($A9="","",SUMIF($A$8:$A$251,$A9&amp;"*",S$8:S$251))</f>
        <v/>
      </c>
      <c r="F9" s="123">
        <f>IF($A9="","",SUMIF($A$8:$A$251,$A9&amp;"*",O$8:O$251))</f>
        <v/>
      </c>
      <c r="G9" s="123">
        <f>IF($A9="","",SUMIF($A$8:$A$251,$A9&amp;"*",P$8:P$251))</f>
        <v/>
      </c>
      <c r="H9" s="123">
        <f>IF($A9="","",SUMIF($A$8:$A$251,$A9&amp;"*",U$8:U$251))</f>
        <v/>
      </c>
      <c r="I9" s="123">
        <f>IF($A9="","",SUMIF($A$8:$A$251,$A9&amp;"*",V$8:V$251))</f>
        <v/>
      </c>
      <c r="K9" s="124">
        <f>IF($A9="",0,SUMIFS(SDDK!$C$8:$C$251,SDDK!$A$8:$A$251,$A9))</f>
        <v/>
      </c>
      <c r="L9" s="124">
        <f>IF($A9="",0,SUMIFS(SDDK!$D$8:$D$251,SDDK!$A$8:$A$251,$A9))</f>
        <v/>
      </c>
      <c r="M9" s="124">
        <f>IF($A9="",0,SUMIFS(NKC!$H$7:$H$3006,NKC!$F$7:$F$3006,$A9,NKC!$B$7:$B$3006,"&lt;"&amp;TU_NGAY))</f>
        <v/>
      </c>
      <c r="N9" s="124">
        <f>IF($A9="",0,SUMIFS(NKC!$H$7:$H$3006,NKC!$G$7:$G$3006,$A9,NKC!$B$7:$B$3006,"&lt;"&amp;TU_NGAY))</f>
        <v/>
      </c>
      <c r="O9" s="124">
        <f>IF($A9="",0,SUMIFS(NKC!$H$7:$H$3006,NKC!$F$7:$F$3006,$A9,NKC!$B$7:$B$3006,"&gt;="&amp;TU_NGAY,NKC!$B$7:$B$3006,"&lt;="&amp;DEN_NGAY))</f>
        <v/>
      </c>
      <c r="P9" s="124">
        <f>IF($A9="",0,SUMIFS(NKC!$H$7:$H$3006,NKC!$G$7:$G$3006,$A9,NKC!$B$7:$B$3006,"&gt;="&amp;TU_NGAY,NKC!$B$7:$B$3006,"&lt;="&amp;DEN_NGAY))</f>
        <v/>
      </c>
      <c r="Q9" s="124">
        <f>K9-L9+M9-N9</f>
        <v/>
      </c>
      <c r="R9" s="124">
        <f>MAX(Q9,0)</f>
        <v/>
      </c>
      <c r="S9" s="124">
        <f>MAX(-Q9,0)</f>
        <v/>
      </c>
      <c r="T9" s="124">
        <f>Q9+O9-P9</f>
        <v/>
      </c>
      <c r="U9" s="124">
        <f>MAX(T9,0)</f>
        <v/>
      </c>
      <c r="V9" s="124">
        <f>MAX(-T9,0)</f>
        <v/>
      </c>
    </row>
    <row r="10" ht="15" customHeight="1" s="78">
      <c r="A10" s="93" t="inlineStr">
        <is>
          <t>113</t>
        </is>
      </c>
      <c r="B10" s="94" t="inlineStr">
        <is>
          <t>Tiền đang chuyển</t>
        </is>
      </c>
      <c r="C10" s="122" t="n">
        <v>1</v>
      </c>
      <c r="D10" s="123">
        <f>IF($A10="","",SUMIF($A$8:$A$251,$A10&amp;"*",R$8:R$251))</f>
        <v/>
      </c>
      <c r="E10" s="123">
        <f>IF($A10="","",SUMIF($A$8:$A$251,$A10&amp;"*",S$8:S$251))</f>
        <v/>
      </c>
      <c r="F10" s="123">
        <f>IF($A10="","",SUMIF($A$8:$A$251,$A10&amp;"*",O$8:O$251))</f>
        <v/>
      </c>
      <c r="G10" s="123">
        <f>IF($A10="","",SUMIF($A$8:$A$251,$A10&amp;"*",P$8:P$251))</f>
        <v/>
      </c>
      <c r="H10" s="123">
        <f>IF($A10="","",SUMIF($A$8:$A$251,$A10&amp;"*",U$8:U$251))</f>
        <v/>
      </c>
      <c r="I10" s="123">
        <f>IF($A10="","",SUMIF($A$8:$A$251,$A10&amp;"*",V$8:V$251))</f>
        <v/>
      </c>
      <c r="K10" s="124">
        <f>IF($A10="",0,SUMIFS(SDDK!$C$8:$C$251,SDDK!$A$8:$A$251,$A10))</f>
        <v/>
      </c>
      <c r="L10" s="124">
        <f>IF($A10="",0,SUMIFS(SDDK!$D$8:$D$251,SDDK!$A$8:$A$251,$A10))</f>
        <v/>
      </c>
      <c r="M10" s="124">
        <f>IF($A10="",0,SUMIFS(NKC!$H$7:$H$3006,NKC!$F$7:$F$3006,$A10,NKC!$B$7:$B$3006,"&lt;"&amp;TU_NGAY))</f>
        <v/>
      </c>
      <c r="N10" s="124">
        <f>IF($A10="",0,SUMIFS(NKC!$H$7:$H$3006,NKC!$G$7:$G$3006,$A10,NKC!$B$7:$B$3006,"&lt;"&amp;TU_NGAY))</f>
        <v/>
      </c>
      <c r="O10" s="124">
        <f>IF($A10="",0,SUMIFS(NKC!$H$7:$H$3006,NKC!$F$7:$F$3006,$A10,NKC!$B$7:$B$3006,"&gt;="&amp;TU_NGAY,NKC!$B$7:$B$3006,"&lt;="&amp;DEN_NGAY))</f>
        <v/>
      </c>
      <c r="P10" s="124">
        <f>IF($A10="",0,SUMIFS(NKC!$H$7:$H$3006,NKC!$G$7:$G$3006,$A10,NKC!$B$7:$B$3006,"&gt;="&amp;TU_NGAY,NKC!$B$7:$B$3006,"&lt;="&amp;DEN_NGAY))</f>
        <v/>
      </c>
      <c r="Q10" s="124">
        <f>K10-L10+M10-N10</f>
        <v/>
      </c>
      <c r="R10" s="124">
        <f>MAX(Q10,0)</f>
        <v/>
      </c>
      <c r="S10" s="124">
        <f>MAX(-Q10,0)</f>
        <v/>
      </c>
      <c r="T10" s="124">
        <f>Q10+O10-P10</f>
        <v/>
      </c>
      <c r="U10" s="124">
        <f>MAX(T10,0)</f>
        <v/>
      </c>
      <c r="V10" s="124">
        <f>MAX(-T10,0)</f>
        <v/>
      </c>
    </row>
    <row r="11" ht="15" customHeight="1" s="78">
      <c r="A11" s="93" t="inlineStr">
        <is>
          <t>121</t>
        </is>
      </c>
      <c r="B11" s="94" t="inlineStr">
        <is>
          <t>Chứng khoán kinh doanh</t>
        </is>
      </c>
      <c r="C11" s="122" t="n">
        <v>1</v>
      </c>
      <c r="D11" s="123">
        <f>IF($A11="","",SUMIF($A$8:$A$251,$A11&amp;"*",R$8:R$251))</f>
        <v/>
      </c>
      <c r="E11" s="123">
        <f>IF($A11="","",SUMIF($A$8:$A$251,$A11&amp;"*",S$8:S$251))</f>
        <v/>
      </c>
      <c r="F11" s="123">
        <f>IF($A11="","",SUMIF($A$8:$A$251,$A11&amp;"*",O$8:O$251))</f>
        <v/>
      </c>
      <c r="G11" s="123">
        <f>IF($A11="","",SUMIF($A$8:$A$251,$A11&amp;"*",P$8:P$251))</f>
        <v/>
      </c>
      <c r="H11" s="123">
        <f>IF($A11="","",SUMIF($A$8:$A$251,$A11&amp;"*",U$8:U$251))</f>
        <v/>
      </c>
      <c r="I11" s="123">
        <f>IF($A11="","",SUMIF($A$8:$A$251,$A11&amp;"*",V$8:V$251))</f>
        <v/>
      </c>
      <c r="K11" s="124">
        <f>IF($A11="",0,SUMIFS(SDDK!$C$8:$C$251,SDDK!$A$8:$A$251,$A11))</f>
        <v/>
      </c>
      <c r="L11" s="124">
        <f>IF($A11="",0,SUMIFS(SDDK!$D$8:$D$251,SDDK!$A$8:$A$251,$A11))</f>
        <v/>
      </c>
      <c r="M11" s="124">
        <f>IF($A11="",0,SUMIFS(NKC!$H$7:$H$3006,NKC!$F$7:$F$3006,$A11,NKC!$B$7:$B$3006,"&lt;"&amp;TU_NGAY))</f>
        <v/>
      </c>
      <c r="N11" s="124">
        <f>IF($A11="",0,SUMIFS(NKC!$H$7:$H$3006,NKC!$G$7:$G$3006,$A11,NKC!$B$7:$B$3006,"&lt;"&amp;TU_NGAY))</f>
        <v/>
      </c>
      <c r="O11" s="124">
        <f>IF($A11="",0,SUMIFS(NKC!$H$7:$H$3006,NKC!$F$7:$F$3006,$A11,NKC!$B$7:$B$3006,"&gt;="&amp;TU_NGAY,NKC!$B$7:$B$3006,"&lt;="&amp;DEN_NGAY))</f>
        <v/>
      </c>
      <c r="P11" s="124">
        <f>IF($A11="",0,SUMIFS(NKC!$H$7:$H$3006,NKC!$G$7:$G$3006,$A11,NKC!$B$7:$B$3006,"&gt;="&amp;TU_NGAY,NKC!$B$7:$B$3006,"&lt;="&amp;DEN_NGAY))</f>
        <v/>
      </c>
      <c r="Q11" s="124">
        <f>K11-L11+M11-N11</f>
        <v/>
      </c>
      <c r="R11" s="124">
        <f>MAX(Q11,0)</f>
        <v/>
      </c>
      <c r="S11" s="124">
        <f>MAX(-Q11,0)</f>
        <v/>
      </c>
      <c r="T11" s="124">
        <f>Q11+O11-P11</f>
        <v/>
      </c>
      <c r="U11" s="124">
        <f>MAX(T11,0)</f>
        <v/>
      </c>
      <c r="V11" s="124">
        <f>MAX(-T11,0)</f>
        <v/>
      </c>
    </row>
    <row r="12" ht="15" customHeight="1" s="78">
      <c r="A12" s="93" t="inlineStr">
        <is>
          <t>128</t>
        </is>
      </c>
      <c r="B12" s="94" t="inlineStr">
        <is>
          <t>Đầu tư nắm giữ đến ngày đáo hạn</t>
        </is>
      </c>
      <c r="C12" s="122" t="n">
        <v>1</v>
      </c>
      <c r="D12" s="123">
        <f>IF($A12="","",SUMIF($A$8:$A$251,$A12&amp;"*",R$8:R$251))</f>
        <v/>
      </c>
      <c r="E12" s="123">
        <f>IF($A12="","",SUMIF($A$8:$A$251,$A12&amp;"*",S$8:S$251))</f>
        <v/>
      </c>
      <c r="F12" s="123">
        <f>IF($A12="","",SUMIF($A$8:$A$251,$A12&amp;"*",O$8:O$251))</f>
        <v/>
      </c>
      <c r="G12" s="123">
        <f>IF($A12="","",SUMIF($A$8:$A$251,$A12&amp;"*",P$8:P$251))</f>
        <v/>
      </c>
      <c r="H12" s="123">
        <f>IF($A12="","",SUMIF($A$8:$A$251,$A12&amp;"*",U$8:U$251))</f>
        <v/>
      </c>
      <c r="I12" s="123">
        <f>IF($A12="","",SUMIF($A$8:$A$251,$A12&amp;"*",V$8:V$251))</f>
        <v/>
      </c>
      <c r="K12" s="124">
        <f>IF($A12="",0,SUMIFS(SDDK!$C$8:$C$251,SDDK!$A$8:$A$251,$A12))</f>
        <v/>
      </c>
      <c r="L12" s="124">
        <f>IF($A12="",0,SUMIFS(SDDK!$D$8:$D$251,SDDK!$A$8:$A$251,$A12))</f>
        <v/>
      </c>
      <c r="M12" s="124">
        <f>IF($A12="",0,SUMIFS(NKC!$H$7:$H$3006,NKC!$F$7:$F$3006,$A12,NKC!$B$7:$B$3006,"&lt;"&amp;TU_NGAY))</f>
        <v/>
      </c>
      <c r="N12" s="124">
        <f>IF($A12="",0,SUMIFS(NKC!$H$7:$H$3006,NKC!$G$7:$G$3006,$A12,NKC!$B$7:$B$3006,"&lt;"&amp;TU_NGAY))</f>
        <v/>
      </c>
      <c r="O12" s="124">
        <f>IF($A12="",0,SUMIFS(NKC!$H$7:$H$3006,NKC!$F$7:$F$3006,$A12,NKC!$B$7:$B$3006,"&gt;="&amp;TU_NGAY,NKC!$B$7:$B$3006,"&lt;="&amp;DEN_NGAY))</f>
        <v/>
      </c>
      <c r="P12" s="124">
        <f>IF($A12="",0,SUMIFS(NKC!$H$7:$H$3006,NKC!$G$7:$G$3006,$A12,NKC!$B$7:$B$3006,"&gt;="&amp;TU_NGAY,NKC!$B$7:$B$3006,"&lt;="&amp;DEN_NGAY))</f>
        <v/>
      </c>
      <c r="Q12" s="124">
        <f>K12-L12+M12-N12</f>
        <v/>
      </c>
      <c r="R12" s="124">
        <f>MAX(Q12,0)</f>
        <v/>
      </c>
      <c r="S12" s="124">
        <f>MAX(-Q12,0)</f>
        <v/>
      </c>
      <c r="T12" s="124">
        <f>Q12+O12-P12</f>
        <v/>
      </c>
      <c r="U12" s="124">
        <f>MAX(T12,0)</f>
        <v/>
      </c>
      <c r="V12" s="124">
        <f>MAX(-T12,0)</f>
        <v/>
      </c>
    </row>
    <row r="13" ht="15" customHeight="1" s="78">
      <c r="A13" s="96" t="inlineStr">
        <is>
          <t>1281</t>
        </is>
      </c>
      <c r="B13" s="97" t="inlineStr">
        <is>
          <t>Tiền gửi có kỳ hạn</t>
        </is>
      </c>
      <c r="C13" s="122" t="n">
        <v>2</v>
      </c>
      <c r="D13" s="125">
        <f>IF($A13="","",SUMIF($A$8:$A$251,$A13&amp;"*",R$8:R$251))</f>
        <v/>
      </c>
      <c r="E13" s="125">
        <f>IF($A13="","",SUMIF($A$8:$A$251,$A13&amp;"*",S$8:S$251))</f>
        <v/>
      </c>
      <c r="F13" s="125">
        <f>IF($A13="","",SUMIF($A$8:$A$251,$A13&amp;"*",O$8:O$251))</f>
        <v/>
      </c>
      <c r="G13" s="125">
        <f>IF($A13="","",SUMIF($A$8:$A$251,$A13&amp;"*",P$8:P$251))</f>
        <v/>
      </c>
      <c r="H13" s="125">
        <f>IF($A13="","",SUMIF($A$8:$A$251,$A13&amp;"*",U$8:U$251))</f>
        <v/>
      </c>
      <c r="I13" s="125">
        <f>IF($A13="","",SUMIF($A$8:$A$251,$A13&amp;"*",V$8:V$251))</f>
        <v/>
      </c>
      <c r="K13" s="124">
        <f>IF($A13="",0,SUMIFS(SDDK!$C$8:$C$251,SDDK!$A$8:$A$251,$A13))</f>
        <v/>
      </c>
      <c r="L13" s="124">
        <f>IF($A13="",0,SUMIFS(SDDK!$D$8:$D$251,SDDK!$A$8:$A$251,$A13))</f>
        <v/>
      </c>
      <c r="M13" s="124">
        <f>IF($A13="",0,SUMIFS(NKC!$H$7:$H$3006,NKC!$F$7:$F$3006,$A13,NKC!$B$7:$B$3006,"&lt;"&amp;TU_NGAY))</f>
        <v/>
      </c>
      <c r="N13" s="124">
        <f>IF($A13="",0,SUMIFS(NKC!$H$7:$H$3006,NKC!$G$7:$G$3006,$A13,NKC!$B$7:$B$3006,"&lt;"&amp;TU_NGAY))</f>
        <v/>
      </c>
      <c r="O13" s="124">
        <f>IF($A13="",0,SUMIFS(NKC!$H$7:$H$3006,NKC!$F$7:$F$3006,$A13,NKC!$B$7:$B$3006,"&gt;="&amp;TU_NGAY,NKC!$B$7:$B$3006,"&lt;="&amp;DEN_NGAY))</f>
        <v/>
      </c>
      <c r="P13" s="124">
        <f>IF($A13="",0,SUMIFS(NKC!$H$7:$H$3006,NKC!$G$7:$G$3006,$A13,NKC!$B$7:$B$3006,"&gt;="&amp;TU_NGAY,NKC!$B$7:$B$3006,"&lt;="&amp;DEN_NGAY))</f>
        <v/>
      </c>
      <c r="Q13" s="124">
        <f>K13-L13+M13-N13</f>
        <v/>
      </c>
      <c r="R13" s="124">
        <f>MAX(Q13,0)</f>
        <v/>
      </c>
      <c r="S13" s="124">
        <f>MAX(-Q13,0)</f>
        <v/>
      </c>
      <c r="T13" s="124">
        <f>Q13+O13-P13</f>
        <v/>
      </c>
      <c r="U13" s="124">
        <f>MAX(T13,0)</f>
        <v/>
      </c>
      <c r="V13" s="124">
        <f>MAX(-T13,0)</f>
        <v/>
      </c>
    </row>
    <row r="14" ht="15" customHeight="1" s="78">
      <c r="A14" s="96" t="inlineStr">
        <is>
          <t>1282</t>
        </is>
      </c>
      <c r="B14" s="97" t="inlineStr">
        <is>
          <t>Trái phiếu</t>
        </is>
      </c>
      <c r="C14" s="122" t="n">
        <v>2</v>
      </c>
      <c r="D14" s="125">
        <f>IF($A14="","",SUMIF($A$8:$A$251,$A14&amp;"*",R$8:R$251))</f>
        <v/>
      </c>
      <c r="E14" s="125">
        <f>IF($A14="","",SUMIF($A$8:$A$251,$A14&amp;"*",S$8:S$251))</f>
        <v/>
      </c>
      <c r="F14" s="125">
        <f>IF($A14="","",SUMIF($A$8:$A$251,$A14&amp;"*",O$8:O$251))</f>
        <v/>
      </c>
      <c r="G14" s="125">
        <f>IF($A14="","",SUMIF($A$8:$A$251,$A14&amp;"*",P$8:P$251))</f>
        <v/>
      </c>
      <c r="H14" s="125">
        <f>IF($A14="","",SUMIF($A$8:$A$251,$A14&amp;"*",U$8:U$251))</f>
        <v/>
      </c>
      <c r="I14" s="125">
        <f>IF($A14="","",SUMIF($A$8:$A$251,$A14&amp;"*",V$8:V$251))</f>
        <v/>
      </c>
      <c r="K14" s="124">
        <f>IF($A14="",0,SUMIFS(SDDK!$C$8:$C$251,SDDK!$A$8:$A$251,$A14))</f>
        <v/>
      </c>
      <c r="L14" s="124">
        <f>IF($A14="",0,SUMIFS(SDDK!$D$8:$D$251,SDDK!$A$8:$A$251,$A14))</f>
        <v/>
      </c>
      <c r="M14" s="124">
        <f>IF($A14="",0,SUMIFS(NKC!$H$7:$H$3006,NKC!$F$7:$F$3006,$A14,NKC!$B$7:$B$3006,"&lt;"&amp;TU_NGAY))</f>
        <v/>
      </c>
      <c r="N14" s="124">
        <f>IF($A14="",0,SUMIFS(NKC!$H$7:$H$3006,NKC!$G$7:$G$3006,$A14,NKC!$B$7:$B$3006,"&lt;"&amp;TU_NGAY))</f>
        <v/>
      </c>
      <c r="O14" s="124">
        <f>IF($A14="",0,SUMIFS(NKC!$H$7:$H$3006,NKC!$F$7:$F$3006,$A14,NKC!$B$7:$B$3006,"&gt;="&amp;TU_NGAY,NKC!$B$7:$B$3006,"&lt;="&amp;DEN_NGAY))</f>
        <v/>
      </c>
      <c r="P14" s="124">
        <f>IF($A14="",0,SUMIFS(NKC!$H$7:$H$3006,NKC!$G$7:$G$3006,$A14,NKC!$B$7:$B$3006,"&gt;="&amp;TU_NGAY,NKC!$B$7:$B$3006,"&lt;="&amp;DEN_NGAY))</f>
        <v/>
      </c>
      <c r="Q14" s="124">
        <f>K14-L14+M14-N14</f>
        <v/>
      </c>
      <c r="R14" s="124">
        <f>MAX(Q14,0)</f>
        <v/>
      </c>
      <c r="S14" s="124">
        <f>MAX(-Q14,0)</f>
        <v/>
      </c>
      <c r="T14" s="124">
        <f>Q14+O14-P14</f>
        <v/>
      </c>
      <c r="U14" s="124">
        <f>MAX(T14,0)</f>
        <v/>
      </c>
      <c r="V14" s="124">
        <f>MAX(-T14,0)</f>
        <v/>
      </c>
    </row>
    <row r="15" ht="15" customHeight="1" s="78">
      <c r="A15" s="96" t="inlineStr">
        <is>
          <t>1283</t>
        </is>
      </c>
      <c r="B15" s="97" t="inlineStr">
        <is>
          <t>Cho vay</t>
        </is>
      </c>
      <c r="C15" s="122" t="n">
        <v>2</v>
      </c>
      <c r="D15" s="125">
        <f>IF($A15="","",SUMIF($A$8:$A$251,$A15&amp;"*",R$8:R$251))</f>
        <v/>
      </c>
      <c r="E15" s="125">
        <f>IF($A15="","",SUMIF($A$8:$A$251,$A15&amp;"*",S$8:S$251))</f>
        <v/>
      </c>
      <c r="F15" s="125">
        <f>IF($A15="","",SUMIF($A$8:$A$251,$A15&amp;"*",O$8:O$251))</f>
        <v/>
      </c>
      <c r="G15" s="125">
        <f>IF($A15="","",SUMIF($A$8:$A$251,$A15&amp;"*",P$8:P$251))</f>
        <v/>
      </c>
      <c r="H15" s="125">
        <f>IF($A15="","",SUMIF($A$8:$A$251,$A15&amp;"*",U$8:U$251))</f>
        <v/>
      </c>
      <c r="I15" s="125">
        <f>IF($A15="","",SUMIF($A$8:$A$251,$A15&amp;"*",V$8:V$251))</f>
        <v/>
      </c>
      <c r="K15" s="124">
        <f>IF($A15="",0,SUMIFS(SDDK!$C$8:$C$251,SDDK!$A$8:$A$251,$A15))</f>
        <v/>
      </c>
      <c r="L15" s="124">
        <f>IF($A15="",0,SUMIFS(SDDK!$D$8:$D$251,SDDK!$A$8:$A$251,$A15))</f>
        <v/>
      </c>
      <c r="M15" s="124">
        <f>IF($A15="",0,SUMIFS(NKC!$H$7:$H$3006,NKC!$F$7:$F$3006,$A15,NKC!$B$7:$B$3006,"&lt;"&amp;TU_NGAY))</f>
        <v/>
      </c>
      <c r="N15" s="124">
        <f>IF($A15="",0,SUMIFS(NKC!$H$7:$H$3006,NKC!$G$7:$G$3006,$A15,NKC!$B$7:$B$3006,"&lt;"&amp;TU_NGAY))</f>
        <v/>
      </c>
      <c r="O15" s="124">
        <f>IF($A15="",0,SUMIFS(NKC!$H$7:$H$3006,NKC!$F$7:$F$3006,$A15,NKC!$B$7:$B$3006,"&gt;="&amp;TU_NGAY,NKC!$B$7:$B$3006,"&lt;="&amp;DEN_NGAY))</f>
        <v/>
      </c>
      <c r="P15" s="124">
        <f>IF($A15="",0,SUMIFS(NKC!$H$7:$H$3006,NKC!$G$7:$G$3006,$A15,NKC!$B$7:$B$3006,"&gt;="&amp;TU_NGAY,NKC!$B$7:$B$3006,"&lt;="&amp;DEN_NGAY))</f>
        <v/>
      </c>
      <c r="Q15" s="124">
        <f>K15-L15+M15-N15</f>
        <v/>
      </c>
      <c r="R15" s="124">
        <f>MAX(Q15,0)</f>
        <v/>
      </c>
      <c r="S15" s="124">
        <f>MAX(-Q15,0)</f>
        <v/>
      </c>
      <c r="T15" s="124">
        <f>Q15+O15-P15</f>
        <v/>
      </c>
      <c r="U15" s="124">
        <f>MAX(T15,0)</f>
        <v/>
      </c>
      <c r="V15" s="124">
        <f>MAX(-T15,0)</f>
        <v/>
      </c>
    </row>
    <row r="16" ht="15" customHeight="1" s="78">
      <c r="A16" s="96" t="inlineStr">
        <is>
          <t>1288</t>
        </is>
      </c>
      <c r="B16" s="97" t="inlineStr">
        <is>
          <t>Các khoản đầu tư khác nắm giữ đến ngày đáo hạn</t>
        </is>
      </c>
      <c r="C16" s="122" t="n">
        <v>2</v>
      </c>
      <c r="D16" s="125">
        <f>IF($A16="","",SUMIF($A$8:$A$251,$A16&amp;"*",R$8:R$251))</f>
        <v/>
      </c>
      <c r="E16" s="125">
        <f>IF($A16="","",SUMIF($A$8:$A$251,$A16&amp;"*",S$8:S$251))</f>
        <v/>
      </c>
      <c r="F16" s="125">
        <f>IF($A16="","",SUMIF($A$8:$A$251,$A16&amp;"*",O$8:O$251))</f>
        <v/>
      </c>
      <c r="G16" s="125">
        <f>IF($A16="","",SUMIF($A$8:$A$251,$A16&amp;"*",P$8:P$251))</f>
        <v/>
      </c>
      <c r="H16" s="125">
        <f>IF($A16="","",SUMIF($A$8:$A$251,$A16&amp;"*",U$8:U$251))</f>
        <v/>
      </c>
      <c r="I16" s="125">
        <f>IF($A16="","",SUMIF($A$8:$A$251,$A16&amp;"*",V$8:V$251))</f>
        <v/>
      </c>
      <c r="K16" s="124">
        <f>IF($A16="",0,SUMIFS(SDDK!$C$8:$C$251,SDDK!$A$8:$A$251,$A16))</f>
        <v/>
      </c>
      <c r="L16" s="124">
        <f>IF($A16="",0,SUMIFS(SDDK!$D$8:$D$251,SDDK!$A$8:$A$251,$A16))</f>
        <v/>
      </c>
      <c r="M16" s="124">
        <f>IF($A16="",0,SUMIFS(NKC!$H$7:$H$3006,NKC!$F$7:$F$3006,$A16,NKC!$B$7:$B$3006,"&lt;"&amp;TU_NGAY))</f>
        <v/>
      </c>
      <c r="N16" s="124">
        <f>IF($A16="",0,SUMIFS(NKC!$H$7:$H$3006,NKC!$G$7:$G$3006,$A16,NKC!$B$7:$B$3006,"&lt;"&amp;TU_NGAY))</f>
        <v/>
      </c>
      <c r="O16" s="124">
        <f>IF($A16="",0,SUMIFS(NKC!$H$7:$H$3006,NKC!$F$7:$F$3006,$A16,NKC!$B$7:$B$3006,"&gt;="&amp;TU_NGAY,NKC!$B$7:$B$3006,"&lt;="&amp;DEN_NGAY))</f>
        <v/>
      </c>
      <c r="P16" s="124">
        <f>IF($A16="",0,SUMIFS(NKC!$H$7:$H$3006,NKC!$G$7:$G$3006,$A16,NKC!$B$7:$B$3006,"&gt;="&amp;TU_NGAY,NKC!$B$7:$B$3006,"&lt;="&amp;DEN_NGAY))</f>
        <v/>
      </c>
      <c r="Q16" s="124">
        <f>K16-L16+M16-N16</f>
        <v/>
      </c>
      <c r="R16" s="124">
        <f>MAX(Q16,0)</f>
        <v/>
      </c>
      <c r="S16" s="124">
        <f>MAX(-Q16,0)</f>
        <v/>
      </c>
      <c r="T16" s="124">
        <f>Q16+O16-P16</f>
        <v/>
      </c>
      <c r="U16" s="124">
        <f>MAX(T16,0)</f>
        <v/>
      </c>
      <c r="V16" s="124">
        <f>MAX(-T16,0)</f>
        <v/>
      </c>
    </row>
    <row r="17" ht="15" customHeight="1" s="78">
      <c r="A17" s="93" t="inlineStr">
        <is>
          <t>131</t>
        </is>
      </c>
      <c r="B17" s="94" t="inlineStr">
        <is>
          <t>Phải thu của khách hàng</t>
        </is>
      </c>
      <c r="C17" s="122" t="n">
        <v>1</v>
      </c>
      <c r="D17" s="123">
        <f>IF($A17="","",SUMIF($A$8:$A$251,$A17&amp;"*",R$8:R$251))</f>
        <v/>
      </c>
      <c r="E17" s="123">
        <f>IF($A17="","",SUMIF($A$8:$A$251,$A17&amp;"*",S$8:S$251))</f>
        <v/>
      </c>
      <c r="F17" s="123">
        <f>IF($A17="","",SUMIF($A$8:$A$251,$A17&amp;"*",O$8:O$251))</f>
        <v/>
      </c>
      <c r="G17" s="123">
        <f>IF($A17="","",SUMIF($A$8:$A$251,$A17&amp;"*",P$8:P$251))</f>
        <v/>
      </c>
      <c r="H17" s="123">
        <f>IF($A17="","",SUMIF($A$8:$A$251,$A17&amp;"*",U$8:U$251))</f>
        <v/>
      </c>
      <c r="I17" s="123">
        <f>IF($A17="","",SUMIF($A$8:$A$251,$A17&amp;"*",V$8:V$251))</f>
        <v/>
      </c>
      <c r="K17" s="124">
        <f>IF($A17="",0,SUMIFS(SDDK!$C$8:$C$251,SDDK!$A$8:$A$251,$A17))</f>
        <v/>
      </c>
      <c r="L17" s="124">
        <f>IF($A17="",0,SUMIFS(SDDK!$D$8:$D$251,SDDK!$A$8:$A$251,$A17))</f>
        <v/>
      </c>
      <c r="M17" s="124">
        <f>IF($A17="",0,SUMIFS(NKC!$H$7:$H$3006,NKC!$F$7:$F$3006,$A17,NKC!$B$7:$B$3006,"&lt;"&amp;TU_NGAY))</f>
        <v/>
      </c>
      <c r="N17" s="124">
        <f>IF($A17="",0,SUMIFS(NKC!$H$7:$H$3006,NKC!$G$7:$G$3006,$A17,NKC!$B$7:$B$3006,"&lt;"&amp;TU_NGAY))</f>
        <v/>
      </c>
      <c r="O17" s="124">
        <f>IF($A17="",0,SUMIFS(NKC!$H$7:$H$3006,NKC!$F$7:$F$3006,$A17,NKC!$B$7:$B$3006,"&gt;="&amp;TU_NGAY,NKC!$B$7:$B$3006,"&lt;="&amp;DEN_NGAY))</f>
        <v/>
      </c>
      <c r="P17" s="124">
        <f>IF($A17="",0,SUMIFS(NKC!$H$7:$H$3006,NKC!$G$7:$G$3006,$A17,NKC!$B$7:$B$3006,"&gt;="&amp;TU_NGAY,NKC!$B$7:$B$3006,"&lt;="&amp;DEN_NGAY))</f>
        <v/>
      </c>
      <c r="Q17" s="124">
        <f>K17-L17+M17-N17</f>
        <v/>
      </c>
      <c r="R17" s="124">
        <f>SUMIFS(SDDK!$D$256:$D$375,SDDK!$A$256:$A$375,$A17)</f>
        <v/>
      </c>
      <c r="S17" s="124">
        <f>SUMIFS(SDDK!$E$256:$E$375,SDDK!$A$256:$A$375,$A17)</f>
        <v/>
      </c>
      <c r="T17" s="124">
        <f>Q17+O17-P17</f>
        <v/>
      </c>
      <c r="U17" s="124">
        <f>CONGNO!$G$308</f>
        <v/>
      </c>
      <c r="V17" s="124">
        <f>CONGNO!$H$308</f>
        <v/>
      </c>
    </row>
    <row r="18" ht="15" customHeight="1" s="78">
      <c r="A18" s="93" t="inlineStr">
        <is>
          <t>133</t>
        </is>
      </c>
      <c r="B18" s="94" t="inlineStr">
        <is>
          <t>Thuế GTGT được khấu trừ</t>
        </is>
      </c>
      <c r="C18" s="122" t="n">
        <v>1</v>
      </c>
      <c r="D18" s="123">
        <f>IF($A18="","",SUMIF($A$8:$A$251,$A18&amp;"*",R$8:R$251))</f>
        <v/>
      </c>
      <c r="E18" s="123">
        <f>IF($A18="","",SUMIF($A$8:$A$251,$A18&amp;"*",S$8:S$251))</f>
        <v/>
      </c>
      <c r="F18" s="123">
        <f>IF($A18="","",SUMIF($A$8:$A$251,$A18&amp;"*",O$8:O$251))</f>
        <v/>
      </c>
      <c r="G18" s="123">
        <f>IF($A18="","",SUMIF($A$8:$A$251,$A18&amp;"*",P$8:P$251))</f>
        <v/>
      </c>
      <c r="H18" s="123">
        <f>IF($A18="","",SUMIF($A$8:$A$251,$A18&amp;"*",U$8:U$251))</f>
        <v/>
      </c>
      <c r="I18" s="123">
        <f>IF($A18="","",SUMIF($A$8:$A$251,$A18&amp;"*",V$8:V$251))</f>
        <v/>
      </c>
      <c r="K18" s="124">
        <f>IF($A18="",0,SUMIFS(SDDK!$C$8:$C$251,SDDK!$A$8:$A$251,$A18))</f>
        <v/>
      </c>
      <c r="L18" s="124">
        <f>IF($A18="",0,SUMIFS(SDDK!$D$8:$D$251,SDDK!$A$8:$A$251,$A18))</f>
        <v/>
      </c>
      <c r="M18" s="124">
        <f>IF($A18="",0,SUMIFS(NKC!$H$7:$H$3006,NKC!$F$7:$F$3006,$A18,NKC!$B$7:$B$3006,"&lt;"&amp;TU_NGAY))</f>
        <v/>
      </c>
      <c r="N18" s="124">
        <f>IF($A18="",0,SUMIFS(NKC!$H$7:$H$3006,NKC!$G$7:$G$3006,$A18,NKC!$B$7:$B$3006,"&lt;"&amp;TU_NGAY))</f>
        <v/>
      </c>
      <c r="O18" s="124">
        <f>IF($A18="",0,SUMIFS(NKC!$H$7:$H$3006,NKC!$F$7:$F$3006,$A18,NKC!$B$7:$B$3006,"&gt;="&amp;TU_NGAY,NKC!$B$7:$B$3006,"&lt;="&amp;DEN_NGAY))</f>
        <v/>
      </c>
      <c r="P18" s="124">
        <f>IF($A18="",0,SUMIFS(NKC!$H$7:$H$3006,NKC!$G$7:$G$3006,$A18,NKC!$B$7:$B$3006,"&gt;="&amp;TU_NGAY,NKC!$B$7:$B$3006,"&lt;="&amp;DEN_NGAY))</f>
        <v/>
      </c>
      <c r="Q18" s="124">
        <f>K18-L18+M18-N18</f>
        <v/>
      </c>
      <c r="R18" s="124">
        <f>MAX(Q18,0)</f>
        <v/>
      </c>
      <c r="S18" s="124">
        <f>MAX(-Q18,0)</f>
        <v/>
      </c>
      <c r="T18" s="124">
        <f>Q18+O18-P18</f>
        <v/>
      </c>
      <c r="U18" s="124">
        <f>MAX(T18,0)</f>
        <v/>
      </c>
      <c r="V18" s="124">
        <f>MAX(-T18,0)</f>
        <v/>
      </c>
    </row>
    <row r="19" ht="15" customHeight="1" s="78">
      <c r="A19" s="96" t="inlineStr">
        <is>
          <t>1331</t>
        </is>
      </c>
      <c r="B19" s="97" t="inlineStr">
        <is>
          <t>Thuế GTGT được khấu trừ của hàng hóa, dịch vụ</t>
        </is>
      </c>
      <c r="C19" s="122" t="n">
        <v>2</v>
      </c>
      <c r="D19" s="125">
        <f>IF($A19="","",SUMIF($A$8:$A$251,$A19&amp;"*",R$8:R$251))</f>
        <v/>
      </c>
      <c r="E19" s="125">
        <f>IF($A19="","",SUMIF($A$8:$A$251,$A19&amp;"*",S$8:S$251))</f>
        <v/>
      </c>
      <c r="F19" s="125">
        <f>IF($A19="","",SUMIF($A$8:$A$251,$A19&amp;"*",O$8:O$251))</f>
        <v/>
      </c>
      <c r="G19" s="125">
        <f>IF($A19="","",SUMIF($A$8:$A$251,$A19&amp;"*",P$8:P$251))</f>
        <v/>
      </c>
      <c r="H19" s="125">
        <f>IF($A19="","",SUMIF($A$8:$A$251,$A19&amp;"*",U$8:U$251))</f>
        <v/>
      </c>
      <c r="I19" s="125">
        <f>IF($A19="","",SUMIF($A$8:$A$251,$A19&amp;"*",V$8:V$251))</f>
        <v/>
      </c>
      <c r="K19" s="124">
        <f>IF($A19="",0,SUMIFS(SDDK!$C$8:$C$251,SDDK!$A$8:$A$251,$A19))</f>
        <v/>
      </c>
      <c r="L19" s="124">
        <f>IF($A19="",0,SUMIFS(SDDK!$D$8:$D$251,SDDK!$A$8:$A$251,$A19))</f>
        <v/>
      </c>
      <c r="M19" s="124">
        <f>IF($A19="",0,SUMIFS(NKC!$H$7:$H$3006,NKC!$F$7:$F$3006,$A19,NKC!$B$7:$B$3006,"&lt;"&amp;TU_NGAY))</f>
        <v/>
      </c>
      <c r="N19" s="124">
        <f>IF($A19="",0,SUMIFS(NKC!$H$7:$H$3006,NKC!$G$7:$G$3006,$A19,NKC!$B$7:$B$3006,"&lt;"&amp;TU_NGAY))</f>
        <v/>
      </c>
      <c r="O19" s="124">
        <f>IF($A19="",0,SUMIFS(NKC!$H$7:$H$3006,NKC!$F$7:$F$3006,$A19,NKC!$B$7:$B$3006,"&gt;="&amp;TU_NGAY,NKC!$B$7:$B$3006,"&lt;="&amp;DEN_NGAY))</f>
        <v/>
      </c>
      <c r="P19" s="124">
        <f>IF($A19="",0,SUMIFS(NKC!$H$7:$H$3006,NKC!$G$7:$G$3006,$A19,NKC!$B$7:$B$3006,"&gt;="&amp;TU_NGAY,NKC!$B$7:$B$3006,"&lt;="&amp;DEN_NGAY))</f>
        <v/>
      </c>
      <c r="Q19" s="124">
        <f>K19-L19+M19-N19</f>
        <v/>
      </c>
      <c r="R19" s="124">
        <f>MAX(Q19,0)</f>
        <v/>
      </c>
      <c r="S19" s="124">
        <f>MAX(-Q19,0)</f>
        <v/>
      </c>
      <c r="T19" s="124">
        <f>Q19+O19-P19</f>
        <v/>
      </c>
      <c r="U19" s="124">
        <f>MAX(T19,0)</f>
        <v/>
      </c>
      <c r="V19" s="124">
        <f>MAX(-T19,0)</f>
        <v/>
      </c>
    </row>
    <row r="20" ht="15" customHeight="1" s="78">
      <c r="A20" s="96" t="inlineStr">
        <is>
          <t>1332</t>
        </is>
      </c>
      <c r="B20" s="97" t="inlineStr">
        <is>
          <t>Thuế GTGT được khấu trừ của TSCĐ</t>
        </is>
      </c>
      <c r="C20" s="122" t="n">
        <v>2</v>
      </c>
      <c r="D20" s="125">
        <f>IF($A20="","",SUMIF($A$8:$A$251,$A20&amp;"*",R$8:R$251))</f>
        <v/>
      </c>
      <c r="E20" s="125">
        <f>IF($A20="","",SUMIF($A$8:$A$251,$A20&amp;"*",S$8:S$251))</f>
        <v/>
      </c>
      <c r="F20" s="125">
        <f>IF($A20="","",SUMIF($A$8:$A$251,$A20&amp;"*",O$8:O$251))</f>
        <v/>
      </c>
      <c r="G20" s="125">
        <f>IF($A20="","",SUMIF($A$8:$A$251,$A20&amp;"*",P$8:P$251))</f>
        <v/>
      </c>
      <c r="H20" s="125">
        <f>IF($A20="","",SUMIF($A$8:$A$251,$A20&amp;"*",U$8:U$251))</f>
        <v/>
      </c>
      <c r="I20" s="125">
        <f>IF($A20="","",SUMIF($A$8:$A$251,$A20&amp;"*",V$8:V$251))</f>
        <v/>
      </c>
      <c r="K20" s="124">
        <f>IF($A20="",0,SUMIFS(SDDK!$C$8:$C$251,SDDK!$A$8:$A$251,$A20))</f>
        <v/>
      </c>
      <c r="L20" s="124">
        <f>IF($A20="",0,SUMIFS(SDDK!$D$8:$D$251,SDDK!$A$8:$A$251,$A20))</f>
        <v/>
      </c>
      <c r="M20" s="124">
        <f>IF($A20="",0,SUMIFS(NKC!$H$7:$H$3006,NKC!$F$7:$F$3006,$A20,NKC!$B$7:$B$3006,"&lt;"&amp;TU_NGAY))</f>
        <v/>
      </c>
      <c r="N20" s="124">
        <f>IF($A20="",0,SUMIFS(NKC!$H$7:$H$3006,NKC!$G$7:$G$3006,$A20,NKC!$B$7:$B$3006,"&lt;"&amp;TU_NGAY))</f>
        <v/>
      </c>
      <c r="O20" s="124">
        <f>IF($A20="",0,SUMIFS(NKC!$H$7:$H$3006,NKC!$F$7:$F$3006,$A20,NKC!$B$7:$B$3006,"&gt;="&amp;TU_NGAY,NKC!$B$7:$B$3006,"&lt;="&amp;DEN_NGAY))</f>
        <v/>
      </c>
      <c r="P20" s="124">
        <f>IF($A20="",0,SUMIFS(NKC!$H$7:$H$3006,NKC!$G$7:$G$3006,$A20,NKC!$B$7:$B$3006,"&gt;="&amp;TU_NGAY,NKC!$B$7:$B$3006,"&lt;="&amp;DEN_NGAY))</f>
        <v/>
      </c>
      <c r="Q20" s="124">
        <f>K20-L20+M20-N20</f>
        <v/>
      </c>
      <c r="R20" s="124">
        <f>MAX(Q20,0)</f>
        <v/>
      </c>
      <c r="S20" s="124">
        <f>MAX(-Q20,0)</f>
        <v/>
      </c>
      <c r="T20" s="124">
        <f>Q20+O20-P20</f>
        <v/>
      </c>
      <c r="U20" s="124">
        <f>MAX(T20,0)</f>
        <v/>
      </c>
      <c r="V20" s="124">
        <f>MAX(-T20,0)</f>
        <v/>
      </c>
    </row>
    <row r="21" ht="15" customHeight="1" s="78">
      <c r="A21" s="93" t="inlineStr">
        <is>
          <t>136</t>
        </is>
      </c>
      <c r="B21" s="94" t="inlineStr">
        <is>
          <t>Phải thu nội bộ</t>
        </is>
      </c>
      <c r="C21" s="122" t="n">
        <v>1</v>
      </c>
      <c r="D21" s="123">
        <f>IF($A21="","",SUMIF($A$8:$A$251,$A21&amp;"*",R$8:R$251))</f>
        <v/>
      </c>
      <c r="E21" s="123">
        <f>IF($A21="","",SUMIF($A$8:$A$251,$A21&amp;"*",S$8:S$251))</f>
        <v/>
      </c>
      <c r="F21" s="123">
        <f>IF($A21="","",SUMIF($A$8:$A$251,$A21&amp;"*",O$8:O$251))</f>
        <v/>
      </c>
      <c r="G21" s="123">
        <f>IF($A21="","",SUMIF($A$8:$A$251,$A21&amp;"*",P$8:P$251))</f>
        <v/>
      </c>
      <c r="H21" s="123">
        <f>IF($A21="","",SUMIF($A$8:$A$251,$A21&amp;"*",U$8:U$251))</f>
        <v/>
      </c>
      <c r="I21" s="123">
        <f>IF($A21="","",SUMIF($A$8:$A$251,$A21&amp;"*",V$8:V$251))</f>
        <v/>
      </c>
      <c r="K21" s="124">
        <f>IF($A21="",0,SUMIFS(SDDK!$C$8:$C$251,SDDK!$A$8:$A$251,$A21))</f>
        <v/>
      </c>
      <c r="L21" s="124">
        <f>IF($A21="",0,SUMIFS(SDDK!$D$8:$D$251,SDDK!$A$8:$A$251,$A21))</f>
        <v/>
      </c>
      <c r="M21" s="124">
        <f>IF($A21="",0,SUMIFS(NKC!$H$7:$H$3006,NKC!$F$7:$F$3006,$A21,NKC!$B$7:$B$3006,"&lt;"&amp;TU_NGAY))</f>
        <v/>
      </c>
      <c r="N21" s="124">
        <f>IF($A21="",0,SUMIFS(NKC!$H$7:$H$3006,NKC!$G$7:$G$3006,$A21,NKC!$B$7:$B$3006,"&lt;"&amp;TU_NGAY))</f>
        <v/>
      </c>
      <c r="O21" s="124">
        <f>IF($A21="",0,SUMIFS(NKC!$H$7:$H$3006,NKC!$F$7:$F$3006,$A21,NKC!$B$7:$B$3006,"&gt;="&amp;TU_NGAY,NKC!$B$7:$B$3006,"&lt;="&amp;DEN_NGAY))</f>
        <v/>
      </c>
      <c r="P21" s="124">
        <f>IF($A21="",0,SUMIFS(NKC!$H$7:$H$3006,NKC!$G$7:$G$3006,$A21,NKC!$B$7:$B$3006,"&gt;="&amp;TU_NGAY,NKC!$B$7:$B$3006,"&lt;="&amp;DEN_NGAY))</f>
        <v/>
      </c>
      <c r="Q21" s="124">
        <f>K21-L21+M21-N21</f>
        <v/>
      </c>
      <c r="R21" s="124">
        <f>MAX(Q21,0)</f>
        <v/>
      </c>
      <c r="S21" s="124">
        <f>MAX(-Q21,0)</f>
        <v/>
      </c>
      <c r="T21" s="124">
        <f>Q21+O21-P21</f>
        <v/>
      </c>
      <c r="U21" s="124">
        <f>MAX(T21,0)</f>
        <v/>
      </c>
      <c r="V21" s="124">
        <f>MAX(-T21,0)</f>
        <v/>
      </c>
    </row>
    <row r="22" ht="15" customHeight="1" s="78">
      <c r="A22" s="96" t="inlineStr">
        <is>
          <t>1361</t>
        </is>
      </c>
      <c r="B22" s="97" t="inlineStr">
        <is>
          <t>Vốn kinh doanh ở đơn vị trực thuộc</t>
        </is>
      </c>
      <c r="C22" s="122" t="n">
        <v>2</v>
      </c>
      <c r="D22" s="125">
        <f>IF($A22="","",SUMIF($A$8:$A$251,$A22&amp;"*",R$8:R$251))</f>
        <v/>
      </c>
      <c r="E22" s="125">
        <f>IF($A22="","",SUMIF($A$8:$A$251,$A22&amp;"*",S$8:S$251))</f>
        <v/>
      </c>
      <c r="F22" s="125">
        <f>IF($A22="","",SUMIF($A$8:$A$251,$A22&amp;"*",O$8:O$251))</f>
        <v/>
      </c>
      <c r="G22" s="125">
        <f>IF($A22="","",SUMIF($A$8:$A$251,$A22&amp;"*",P$8:P$251))</f>
        <v/>
      </c>
      <c r="H22" s="125">
        <f>IF($A22="","",SUMIF($A$8:$A$251,$A22&amp;"*",U$8:U$251))</f>
        <v/>
      </c>
      <c r="I22" s="125">
        <f>IF($A22="","",SUMIF($A$8:$A$251,$A22&amp;"*",V$8:V$251))</f>
        <v/>
      </c>
      <c r="K22" s="124">
        <f>IF($A22="",0,SUMIFS(SDDK!$C$8:$C$251,SDDK!$A$8:$A$251,$A22))</f>
        <v/>
      </c>
      <c r="L22" s="124">
        <f>IF($A22="",0,SUMIFS(SDDK!$D$8:$D$251,SDDK!$A$8:$A$251,$A22))</f>
        <v/>
      </c>
      <c r="M22" s="124">
        <f>IF($A22="",0,SUMIFS(NKC!$H$7:$H$3006,NKC!$F$7:$F$3006,$A22,NKC!$B$7:$B$3006,"&lt;"&amp;TU_NGAY))</f>
        <v/>
      </c>
      <c r="N22" s="124">
        <f>IF($A22="",0,SUMIFS(NKC!$H$7:$H$3006,NKC!$G$7:$G$3006,$A22,NKC!$B$7:$B$3006,"&lt;"&amp;TU_NGAY))</f>
        <v/>
      </c>
      <c r="O22" s="124">
        <f>IF($A22="",0,SUMIFS(NKC!$H$7:$H$3006,NKC!$F$7:$F$3006,$A22,NKC!$B$7:$B$3006,"&gt;="&amp;TU_NGAY,NKC!$B$7:$B$3006,"&lt;="&amp;DEN_NGAY))</f>
        <v/>
      </c>
      <c r="P22" s="124">
        <f>IF($A22="",0,SUMIFS(NKC!$H$7:$H$3006,NKC!$G$7:$G$3006,$A22,NKC!$B$7:$B$3006,"&gt;="&amp;TU_NGAY,NKC!$B$7:$B$3006,"&lt;="&amp;DEN_NGAY))</f>
        <v/>
      </c>
      <c r="Q22" s="124">
        <f>K22-L22+M22-N22</f>
        <v/>
      </c>
      <c r="R22" s="124">
        <f>MAX(Q22,0)</f>
        <v/>
      </c>
      <c r="S22" s="124">
        <f>MAX(-Q22,0)</f>
        <v/>
      </c>
      <c r="T22" s="124">
        <f>Q22+O22-P22</f>
        <v/>
      </c>
      <c r="U22" s="124">
        <f>MAX(T22,0)</f>
        <v/>
      </c>
      <c r="V22" s="124">
        <f>MAX(-T22,0)</f>
        <v/>
      </c>
    </row>
    <row r="23" ht="15" customHeight="1" s="78">
      <c r="A23" s="96" t="inlineStr">
        <is>
          <t>1362</t>
        </is>
      </c>
      <c r="B23" s="97" t="inlineStr">
        <is>
          <t>Phải thu nội bộ về chênh lệch tỷ giá</t>
        </is>
      </c>
      <c r="C23" s="122" t="n">
        <v>2</v>
      </c>
      <c r="D23" s="125">
        <f>IF($A23="","",SUMIF($A$8:$A$251,$A23&amp;"*",R$8:R$251))</f>
        <v/>
      </c>
      <c r="E23" s="125">
        <f>IF($A23="","",SUMIF($A$8:$A$251,$A23&amp;"*",S$8:S$251))</f>
        <v/>
      </c>
      <c r="F23" s="125">
        <f>IF($A23="","",SUMIF($A$8:$A$251,$A23&amp;"*",O$8:O$251))</f>
        <v/>
      </c>
      <c r="G23" s="125">
        <f>IF($A23="","",SUMIF($A$8:$A$251,$A23&amp;"*",P$8:P$251))</f>
        <v/>
      </c>
      <c r="H23" s="125">
        <f>IF($A23="","",SUMIF($A$8:$A$251,$A23&amp;"*",U$8:U$251))</f>
        <v/>
      </c>
      <c r="I23" s="125">
        <f>IF($A23="","",SUMIF($A$8:$A$251,$A23&amp;"*",V$8:V$251))</f>
        <v/>
      </c>
      <c r="K23" s="124">
        <f>IF($A23="",0,SUMIFS(SDDK!$C$8:$C$251,SDDK!$A$8:$A$251,$A23))</f>
        <v/>
      </c>
      <c r="L23" s="124">
        <f>IF($A23="",0,SUMIFS(SDDK!$D$8:$D$251,SDDK!$A$8:$A$251,$A23))</f>
        <v/>
      </c>
      <c r="M23" s="124">
        <f>IF($A23="",0,SUMIFS(NKC!$H$7:$H$3006,NKC!$F$7:$F$3006,$A23,NKC!$B$7:$B$3006,"&lt;"&amp;TU_NGAY))</f>
        <v/>
      </c>
      <c r="N23" s="124">
        <f>IF($A23="",0,SUMIFS(NKC!$H$7:$H$3006,NKC!$G$7:$G$3006,$A23,NKC!$B$7:$B$3006,"&lt;"&amp;TU_NGAY))</f>
        <v/>
      </c>
      <c r="O23" s="124">
        <f>IF($A23="",0,SUMIFS(NKC!$H$7:$H$3006,NKC!$F$7:$F$3006,$A23,NKC!$B$7:$B$3006,"&gt;="&amp;TU_NGAY,NKC!$B$7:$B$3006,"&lt;="&amp;DEN_NGAY))</f>
        <v/>
      </c>
      <c r="P23" s="124">
        <f>IF($A23="",0,SUMIFS(NKC!$H$7:$H$3006,NKC!$G$7:$G$3006,$A23,NKC!$B$7:$B$3006,"&gt;="&amp;TU_NGAY,NKC!$B$7:$B$3006,"&lt;="&amp;DEN_NGAY))</f>
        <v/>
      </c>
      <c r="Q23" s="124">
        <f>K23-L23+M23-N23</f>
        <v/>
      </c>
      <c r="R23" s="124">
        <f>MAX(Q23,0)</f>
        <v/>
      </c>
      <c r="S23" s="124">
        <f>MAX(-Q23,0)</f>
        <v/>
      </c>
      <c r="T23" s="124">
        <f>Q23+O23-P23</f>
        <v/>
      </c>
      <c r="U23" s="124">
        <f>MAX(T23,0)</f>
        <v/>
      </c>
      <c r="V23" s="124">
        <f>MAX(-T23,0)</f>
        <v/>
      </c>
    </row>
    <row r="24" ht="25.35" customHeight="1" s="78">
      <c r="A24" s="96" t="inlineStr">
        <is>
          <t>1363</t>
        </is>
      </c>
      <c r="B24" s="97" t="inlineStr">
        <is>
          <t>Phải thu nội bộ về chi phí đi vay đủ điều kiện được vốn hoá</t>
        </is>
      </c>
      <c r="C24" s="122" t="n">
        <v>2</v>
      </c>
      <c r="D24" s="125">
        <f>IF($A24="","",SUMIF($A$8:$A$251,$A24&amp;"*",R$8:R$251))</f>
        <v/>
      </c>
      <c r="E24" s="125">
        <f>IF($A24="","",SUMIF($A$8:$A$251,$A24&amp;"*",S$8:S$251))</f>
        <v/>
      </c>
      <c r="F24" s="125">
        <f>IF($A24="","",SUMIF($A$8:$A$251,$A24&amp;"*",O$8:O$251))</f>
        <v/>
      </c>
      <c r="G24" s="125">
        <f>IF($A24="","",SUMIF($A$8:$A$251,$A24&amp;"*",P$8:P$251))</f>
        <v/>
      </c>
      <c r="H24" s="125">
        <f>IF($A24="","",SUMIF($A$8:$A$251,$A24&amp;"*",U$8:U$251))</f>
        <v/>
      </c>
      <c r="I24" s="125">
        <f>IF($A24="","",SUMIF($A$8:$A$251,$A24&amp;"*",V$8:V$251))</f>
        <v/>
      </c>
      <c r="K24" s="124">
        <f>IF($A24="",0,SUMIFS(SDDK!$C$8:$C$251,SDDK!$A$8:$A$251,$A24))</f>
        <v/>
      </c>
      <c r="L24" s="124">
        <f>IF($A24="",0,SUMIFS(SDDK!$D$8:$D$251,SDDK!$A$8:$A$251,$A24))</f>
        <v/>
      </c>
      <c r="M24" s="124">
        <f>IF($A24="",0,SUMIFS(NKC!$H$7:$H$3006,NKC!$F$7:$F$3006,$A24,NKC!$B$7:$B$3006,"&lt;"&amp;TU_NGAY))</f>
        <v/>
      </c>
      <c r="N24" s="124">
        <f>IF($A24="",0,SUMIFS(NKC!$H$7:$H$3006,NKC!$G$7:$G$3006,$A24,NKC!$B$7:$B$3006,"&lt;"&amp;TU_NGAY))</f>
        <v/>
      </c>
      <c r="O24" s="124">
        <f>IF($A24="",0,SUMIFS(NKC!$H$7:$H$3006,NKC!$F$7:$F$3006,$A24,NKC!$B$7:$B$3006,"&gt;="&amp;TU_NGAY,NKC!$B$7:$B$3006,"&lt;="&amp;DEN_NGAY))</f>
        <v/>
      </c>
      <c r="P24" s="124">
        <f>IF($A24="",0,SUMIFS(NKC!$H$7:$H$3006,NKC!$G$7:$G$3006,$A24,NKC!$B$7:$B$3006,"&gt;="&amp;TU_NGAY,NKC!$B$7:$B$3006,"&lt;="&amp;DEN_NGAY))</f>
        <v/>
      </c>
      <c r="Q24" s="124">
        <f>K24-L24+M24-N24</f>
        <v/>
      </c>
      <c r="R24" s="124">
        <f>MAX(Q24,0)</f>
        <v/>
      </c>
      <c r="S24" s="124">
        <f>MAX(-Q24,0)</f>
        <v/>
      </c>
      <c r="T24" s="124">
        <f>Q24+O24-P24</f>
        <v/>
      </c>
      <c r="U24" s="124">
        <f>MAX(T24,0)</f>
        <v/>
      </c>
      <c r="V24" s="124">
        <f>MAX(-T24,0)</f>
        <v/>
      </c>
    </row>
    <row r="25" ht="15" customHeight="1" s="78">
      <c r="A25" s="96" t="inlineStr">
        <is>
          <t>1368</t>
        </is>
      </c>
      <c r="B25" s="97" t="inlineStr">
        <is>
          <t>Phải thu nội bộ khác</t>
        </is>
      </c>
      <c r="C25" s="122" t="n">
        <v>2</v>
      </c>
      <c r="D25" s="125">
        <f>IF($A25="","",SUMIF($A$8:$A$251,$A25&amp;"*",R$8:R$251))</f>
        <v/>
      </c>
      <c r="E25" s="125">
        <f>IF($A25="","",SUMIF($A$8:$A$251,$A25&amp;"*",S$8:S$251))</f>
        <v/>
      </c>
      <c r="F25" s="125">
        <f>IF($A25="","",SUMIF($A$8:$A$251,$A25&amp;"*",O$8:O$251))</f>
        <v/>
      </c>
      <c r="G25" s="125">
        <f>IF($A25="","",SUMIF($A$8:$A$251,$A25&amp;"*",P$8:P$251))</f>
        <v/>
      </c>
      <c r="H25" s="125">
        <f>IF($A25="","",SUMIF($A$8:$A$251,$A25&amp;"*",U$8:U$251))</f>
        <v/>
      </c>
      <c r="I25" s="125">
        <f>IF($A25="","",SUMIF($A$8:$A$251,$A25&amp;"*",V$8:V$251))</f>
        <v/>
      </c>
      <c r="K25" s="124">
        <f>IF($A25="",0,SUMIFS(SDDK!$C$8:$C$251,SDDK!$A$8:$A$251,$A25))</f>
        <v/>
      </c>
      <c r="L25" s="124">
        <f>IF($A25="",0,SUMIFS(SDDK!$D$8:$D$251,SDDK!$A$8:$A$251,$A25))</f>
        <v/>
      </c>
      <c r="M25" s="124">
        <f>IF($A25="",0,SUMIFS(NKC!$H$7:$H$3006,NKC!$F$7:$F$3006,$A25,NKC!$B$7:$B$3006,"&lt;"&amp;TU_NGAY))</f>
        <v/>
      </c>
      <c r="N25" s="124">
        <f>IF($A25="",0,SUMIFS(NKC!$H$7:$H$3006,NKC!$G$7:$G$3006,$A25,NKC!$B$7:$B$3006,"&lt;"&amp;TU_NGAY))</f>
        <v/>
      </c>
      <c r="O25" s="124">
        <f>IF($A25="",0,SUMIFS(NKC!$H$7:$H$3006,NKC!$F$7:$F$3006,$A25,NKC!$B$7:$B$3006,"&gt;="&amp;TU_NGAY,NKC!$B$7:$B$3006,"&lt;="&amp;DEN_NGAY))</f>
        <v/>
      </c>
      <c r="P25" s="124">
        <f>IF($A25="",0,SUMIFS(NKC!$H$7:$H$3006,NKC!$G$7:$G$3006,$A25,NKC!$B$7:$B$3006,"&gt;="&amp;TU_NGAY,NKC!$B$7:$B$3006,"&lt;="&amp;DEN_NGAY))</f>
        <v/>
      </c>
      <c r="Q25" s="124">
        <f>K25-L25+M25-N25</f>
        <v/>
      </c>
      <c r="R25" s="124">
        <f>MAX(Q25,0)</f>
        <v/>
      </c>
      <c r="S25" s="124">
        <f>MAX(-Q25,0)</f>
        <v/>
      </c>
      <c r="T25" s="124">
        <f>Q25+O25-P25</f>
        <v/>
      </c>
      <c r="U25" s="124">
        <f>MAX(T25,0)</f>
        <v/>
      </c>
      <c r="V25" s="124">
        <f>MAX(-T25,0)</f>
        <v/>
      </c>
    </row>
    <row r="26" ht="15" customHeight="1" s="78">
      <c r="A26" s="93" t="inlineStr">
        <is>
          <t>138</t>
        </is>
      </c>
      <c r="B26" s="94" t="inlineStr">
        <is>
          <t>Phải thu khác</t>
        </is>
      </c>
      <c r="C26" s="122" t="n">
        <v>1</v>
      </c>
      <c r="D26" s="123">
        <f>IF($A26="","",SUMIF($A$8:$A$251,$A26&amp;"*",R$8:R$251))</f>
        <v/>
      </c>
      <c r="E26" s="123">
        <f>IF($A26="","",SUMIF($A$8:$A$251,$A26&amp;"*",S$8:S$251))</f>
        <v/>
      </c>
      <c r="F26" s="123">
        <f>IF($A26="","",SUMIF($A$8:$A$251,$A26&amp;"*",O$8:O$251))</f>
        <v/>
      </c>
      <c r="G26" s="123">
        <f>IF($A26="","",SUMIF($A$8:$A$251,$A26&amp;"*",P$8:P$251))</f>
        <v/>
      </c>
      <c r="H26" s="123">
        <f>IF($A26="","",SUMIF($A$8:$A$251,$A26&amp;"*",U$8:U$251))</f>
        <v/>
      </c>
      <c r="I26" s="123">
        <f>IF($A26="","",SUMIF($A$8:$A$251,$A26&amp;"*",V$8:V$251))</f>
        <v/>
      </c>
      <c r="K26" s="124">
        <f>IF($A26="",0,SUMIFS(SDDK!$C$8:$C$251,SDDK!$A$8:$A$251,$A26))</f>
        <v/>
      </c>
      <c r="L26" s="124">
        <f>IF($A26="",0,SUMIFS(SDDK!$D$8:$D$251,SDDK!$A$8:$A$251,$A26))</f>
        <v/>
      </c>
      <c r="M26" s="124">
        <f>IF($A26="",0,SUMIFS(NKC!$H$7:$H$3006,NKC!$F$7:$F$3006,$A26,NKC!$B$7:$B$3006,"&lt;"&amp;TU_NGAY))</f>
        <v/>
      </c>
      <c r="N26" s="124">
        <f>IF($A26="",0,SUMIFS(NKC!$H$7:$H$3006,NKC!$G$7:$G$3006,$A26,NKC!$B$7:$B$3006,"&lt;"&amp;TU_NGAY))</f>
        <v/>
      </c>
      <c r="O26" s="124">
        <f>IF($A26="",0,SUMIFS(NKC!$H$7:$H$3006,NKC!$F$7:$F$3006,$A26,NKC!$B$7:$B$3006,"&gt;="&amp;TU_NGAY,NKC!$B$7:$B$3006,"&lt;="&amp;DEN_NGAY))</f>
        <v/>
      </c>
      <c r="P26" s="124">
        <f>IF($A26="",0,SUMIFS(NKC!$H$7:$H$3006,NKC!$G$7:$G$3006,$A26,NKC!$B$7:$B$3006,"&gt;="&amp;TU_NGAY,NKC!$B$7:$B$3006,"&lt;="&amp;DEN_NGAY))</f>
        <v/>
      </c>
      <c r="Q26" s="124">
        <f>K26-L26+M26-N26</f>
        <v/>
      </c>
      <c r="R26" s="124">
        <f>MAX(Q26,0)</f>
        <v/>
      </c>
      <c r="S26" s="124">
        <f>MAX(-Q26,0)</f>
        <v/>
      </c>
      <c r="T26" s="124">
        <f>Q26+O26-P26</f>
        <v/>
      </c>
      <c r="U26" s="124">
        <f>MAX(T26,0)</f>
        <v/>
      </c>
      <c r="V26" s="124">
        <f>MAX(-T26,0)</f>
        <v/>
      </c>
    </row>
    <row r="27" ht="15" customHeight="1" s="78">
      <c r="A27" s="96" t="inlineStr">
        <is>
          <t>1381</t>
        </is>
      </c>
      <c r="B27" s="97" t="inlineStr">
        <is>
          <t>Tài sản thiếu chờ xử lý</t>
        </is>
      </c>
      <c r="C27" s="122" t="n">
        <v>2</v>
      </c>
      <c r="D27" s="125">
        <f>IF($A27="","",SUMIF($A$8:$A$251,$A27&amp;"*",R$8:R$251))</f>
        <v/>
      </c>
      <c r="E27" s="125">
        <f>IF($A27="","",SUMIF($A$8:$A$251,$A27&amp;"*",S$8:S$251))</f>
        <v/>
      </c>
      <c r="F27" s="125">
        <f>IF($A27="","",SUMIF($A$8:$A$251,$A27&amp;"*",O$8:O$251))</f>
        <v/>
      </c>
      <c r="G27" s="125">
        <f>IF($A27="","",SUMIF($A$8:$A$251,$A27&amp;"*",P$8:P$251))</f>
        <v/>
      </c>
      <c r="H27" s="125">
        <f>IF($A27="","",SUMIF($A$8:$A$251,$A27&amp;"*",U$8:U$251))</f>
        <v/>
      </c>
      <c r="I27" s="125">
        <f>IF($A27="","",SUMIF($A$8:$A$251,$A27&amp;"*",V$8:V$251))</f>
        <v/>
      </c>
      <c r="K27" s="124">
        <f>IF($A27="",0,SUMIFS(SDDK!$C$8:$C$251,SDDK!$A$8:$A$251,$A27))</f>
        <v/>
      </c>
      <c r="L27" s="124">
        <f>IF($A27="",0,SUMIFS(SDDK!$D$8:$D$251,SDDK!$A$8:$A$251,$A27))</f>
        <v/>
      </c>
      <c r="M27" s="124">
        <f>IF($A27="",0,SUMIFS(NKC!$H$7:$H$3006,NKC!$F$7:$F$3006,$A27,NKC!$B$7:$B$3006,"&lt;"&amp;TU_NGAY))</f>
        <v/>
      </c>
      <c r="N27" s="124">
        <f>IF($A27="",0,SUMIFS(NKC!$H$7:$H$3006,NKC!$G$7:$G$3006,$A27,NKC!$B$7:$B$3006,"&lt;"&amp;TU_NGAY))</f>
        <v/>
      </c>
      <c r="O27" s="124">
        <f>IF($A27="",0,SUMIFS(NKC!$H$7:$H$3006,NKC!$F$7:$F$3006,$A27,NKC!$B$7:$B$3006,"&gt;="&amp;TU_NGAY,NKC!$B$7:$B$3006,"&lt;="&amp;DEN_NGAY))</f>
        <v/>
      </c>
      <c r="P27" s="124">
        <f>IF($A27="",0,SUMIFS(NKC!$H$7:$H$3006,NKC!$G$7:$G$3006,$A27,NKC!$B$7:$B$3006,"&gt;="&amp;TU_NGAY,NKC!$B$7:$B$3006,"&lt;="&amp;DEN_NGAY))</f>
        <v/>
      </c>
      <c r="Q27" s="124">
        <f>K27-L27+M27-N27</f>
        <v/>
      </c>
      <c r="R27" s="124">
        <f>MAX(Q27,0)</f>
        <v/>
      </c>
      <c r="S27" s="124">
        <f>MAX(-Q27,0)</f>
        <v/>
      </c>
      <c r="T27" s="124">
        <f>Q27+O27-P27</f>
        <v/>
      </c>
      <c r="U27" s="124">
        <f>MAX(T27,0)</f>
        <v/>
      </c>
      <c r="V27" s="124">
        <f>MAX(-T27,0)</f>
        <v/>
      </c>
    </row>
    <row r="28" ht="15" customHeight="1" s="78">
      <c r="A28" s="96" t="inlineStr">
        <is>
          <t>1383</t>
        </is>
      </c>
      <c r="B28" s="97" t="inlineStr">
        <is>
          <t>Thuế TTĐB của hàng nhập khẩu</t>
        </is>
      </c>
      <c r="C28" s="122" t="n">
        <v>2</v>
      </c>
      <c r="D28" s="125">
        <f>IF($A28="","",SUMIF($A$8:$A$251,$A28&amp;"*",R$8:R$251))</f>
        <v/>
      </c>
      <c r="E28" s="125">
        <f>IF($A28="","",SUMIF($A$8:$A$251,$A28&amp;"*",S$8:S$251))</f>
        <v/>
      </c>
      <c r="F28" s="125">
        <f>IF($A28="","",SUMIF($A$8:$A$251,$A28&amp;"*",O$8:O$251))</f>
        <v/>
      </c>
      <c r="G28" s="125">
        <f>IF($A28="","",SUMIF($A$8:$A$251,$A28&amp;"*",P$8:P$251))</f>
        <v/>
      </c>
      <c r="H28" s="125">
        <f>IF($A28="","",SUMIF($A$8:$A$251,$A28&amp;"*",U$8:U$251))</f>
        <v/>
      </c>
      <c r="I28" s="125">
        <f>IF($A28="","",SUMIF($A$8:$A$251,$A28&amp;"*",V$8:V$251))</f>
        <v/>
      </c>
      <c r="K28" s="124">
        <f>IF($A28="",0,SUMIFS(SDDK!$C$8:$C$251,SDDK!$A$8:$A$251,$A28))</f>
        <v/>
      </c>
      <c r="L28" s="124">
        <f>IF($A28="",0,SUMIFS(SDDK!$D$8:$D$251,SDDK!$A$8:$A$251,$A28))</f>
        <v/>
      </c>
      <c r="M28" s="124">
        <f>IF($A28="",0,SUMIFS(NKC!$H$7:$H$3006,NKC!$F$7:$F$3006,$A28,NKC!$B$7:$B$3006,"&lt;"&amp;TU_NGAY))</f>
        <v/>
      </c>
      <c r="N28" s="124">
        <f>IF($A28="",0,SUMIFS(NKC!$H$7:$H$3006,NKC!$G$7:$G$3006,$A28,NKC!$B$7:$B$3006,"&lt;"&amp;TU_NGAY))</f>
        <v/>
      </c>
      <c r="O28" s="124">
        <f>IF($A28="",0,SUMIFS(NKC!$H$7:$H$3006,NKC!$F$7:$F$3006,$A28,NKC!$B$7:$B$3006,"&gt;="&amp;TU_NGAY,NKC!$B$7:$B$3006,"&lt;="&amp;DEN_NGAY))</f>
        <v/>
      </c>
      <c r="P28" s="124">
        <f>IF($A28="",0,SUMIFS(NKC!$H$7:$H$3006,NKC!$G$7:$G$3006,$A28,NKC!$B$7:$B$3006,"&gt;="&amp;TU_NGAY,NKC!$B$7:$B$3006,"&lt;="&amp;DEN_NGAY))</f>
        <v/>
      </c>
      <c r="Q28" s="124">
        <f>K28-L28+M28-N28</f>
        <v/>
      </c>
      <c r="R28" s="124">
        <f>MAX(Q28,0)</f>
        <v/>
      </c>
      <c r="S28" s="124">
        <f>MAX(-Q28,0)</f>
        <v/>
      </c>
      <c r="T28" s="124">
        <f>Q28+O28-P28</f>
        <v/>
      </c>
      <c r="U28" s="124">
        <f>MAX(T28,0)</f>
        <v/>
      </c>
      <c r="V28" s="124">
        <f>MAX(-T28,0)</f>
        <v/>
      </c>
    </row>
    <row r="29" ht="15" customHeight="1" s="78">
      <c r="A29" s="96" t="inlineStr">
        <is>
          <t>1388</t>
        </is>
      </c>
      <c r="B29" s="97" t="inlineStr">
        <is>
          <t>Phải thu khác</t>
        </is>
      </c>
      <c r="C29" s="122" t="n">
        <v>2</v>
      </c>
      <c r="D29" s="125">
        <f>IF($A29="","",SUMIF($A$8:$A$251,$A29&amp;"*",R$8:R$251))</f>
        <v/>
      </c>
      <c r="E29" s="125">
        <f>IF($A29="","",SUMIF($A$8:$A$251,$A29&amp;"*",S$8:S$251))</f>
        <v/>
      </c>
      <c r="F29" s="125">
        <f>IF($A29="","",SUMIF($A$8:$A$251,$A29&amp;"*",O$8:O$251))</f>
        <v/>
      </c>
      <c r="G29" s="125">
        <f>IF($A29="","",SUMIF($A$8:$A$251,$A29&amp;"*",P$8:P$251))</f>
        <v/>
      </c>
      <c r="H29" s="125">
        <f>IF($A29="","",SUMIF($A$8:$A$251,$A29&amp;"*",U$8:U$251))</f>
        <v/>
      </c>
      <c r="I29" s="125">
        <f>IF($A29="","",SUMIF($A$8:$A$251,$A29&amp;"*",V$8:V$251))</f>
        <v/>
      </c>
      <c r="K29" s="124">
        <f>IF($A29="",0,SUMIFS(SDDK!$C$8:$C$251,SDDK!$A$8:$A$251,$A29))</f>
        <v/>
      </c>
      <c r="L29" s="124">
        <f>IF($A29="",0,SUMIFS(SDDK!$D$8:$D$251,SDDK!$A$8:$A$251,$A29))</f>
        <v/>
      </c>
      <c r="M29" s="124">
        <f>IF($A29="",0,SUMIFS(NKC!$H$7:$H$3006,NKC!$F$7:$F$3006,$A29,NKC!$B$7:$B$3006,"&lt;"&amp;TU_NGAY))</f>
        <v/>
      </c>
      <c r="N29" s="124">
        <f>IF($A29="",0,SUMIFS(NKC!$H$7:$H$3006,NKC!$G$7:$G$3006,$A29,NKC!$B$7:$B$3006,"&lt;"&amp;TU_NGAY))</f>
        <v/>
      </c>
      <c r="O29" s="124">
        <f>IF($A29="",0,SUMIFS(NKC!$H$7:$H$3006,NKC!$F$7:$F$3006,$A29,NKC!$B$7:$B$3006,"&gt;="&amp;TU_NGAY,NKC!$B$7:$B$3006,"&lt;="&amp;DEN_NGAY))</f>
        <v/>
      </c>
      <c r="P29" s="124">
        <f>IF($A29="",0,SUMIFS(NKC!$H$7:$H$3006,NKC!$G$7:$G$3006,$A29,NKC!$B$7:$B$3006,"&gt;="&amp;TU_NGAY,NKC!$B$7:$B$3006,"&lt;="&amp;DEN_NGAY))</f>
        <v/>
      </c>
      <c r="Q29" s="124">
        <f>K29-L29+M29-N29</f>
        <v/>
      </c>
      <c r="R29" s="124">
        <f>MAX(Q29,0)</f>
        <v/>
      </c>
      <c r="S29" s="124">
        <f>MAX(-Q29,0)</f>
        <v/>
      </c>
      <c r="T29" s="124">
        <f>Q29+O29-P29</f>
        <v/>
      </c>
      <c r="U29" s="124">
        <f>MAX(T29,0)</f>
        <v/>
      </c>
      <c r="V29" s="124">
        <f>MAX(-T29,0)</f>
        <v/>
      </c>
    </row>
    <row r="30" ht="15" customHeight="1" s="78">
      <c r="A30" s="93" t="inlineStr">
        <is>
          <t>141</t>
        </is>
      </c>
      <c r="B30" s="94" t="inlineStr">
        <is>
          <t>Tạm ứng</t>
        </is>
      </c>
      <c r="C30" s="122" t="n">
        <v>1</v>
      </c>
      <c r="D30" s="123">
        <f>IF($A30="","",SUMIF($A$8:$A$251,$A30&amp;"*",R$8:R$251))</f>
        <v/>
      </c>
      <c r="E30" s="123">
        <f>IF($A30="","",SUMIF($A$8:$A$251,$A30&amp;"*",S$8:S$251))</f>
        <v/>
      </c>
      <c r="F30" s="123">
        <f>IF($A30="","",SUMIF($A$8:$A$251,$A30&amp;"*",O$8:O$251))</f>
        <v/>
      </c>
      <c r="G30" s="123">
        <f>IF($A30="","",SUMIF($A$8:$A$251,$A30&amp;"*",P$8:P$251))</f>
        <v/>
      </c>
      <c r="H30" s="123">
        <f>IF($A30="","",SUMIF($A$8:$A$251,$A30&amp;"*",U$8:U$251))</f>
        <v/>
      </c>
      <c r="I30" s="123">
        <f>IF($A30="","",SUMIF($A$8:$A$251,$A30&amp;"*",V$8:V$251))</f>
        <v/>
      </c>
      <c r="K30" s="124">
        <f>IF($A30="",0,SUMIFS(SDDK!$C$8:$C$251,SDDK!$A$8:$A$251,$A30))</f>
        <v/>
      </c>
      <c r="L30" s="124">
        <f>IF($A30="",0,SUMIFS(SDDK!$D$8:$D$251,SDDK!$A$8:$A$251,$A30))</f>
        <v/>
      </c>
      <c r="M30" s="124">
        <f>IF($A30="",0,SUMIFS(NKC!$H$7:$H$3006,NKC!$F$7:$F$3006,$A30,NKC!$B$7:$B$3006,"&lt;"&amp;TU_NGAY))</f>
        <v/>
      </c>
      <c r="N30" s="124">
        <f>IF($A30="",0,SUMIFS(NKC!$H$7:$H$3006,NKC!$G$7:$G$3006,$A30,NKC!$B$7:$B$3006,"&lt;"&amp;TU_NGAY))</f>
        <v/>
      </c>
      <c r="O30" s="124">
        <f>IF($A30="",0,SUMIFS(NKC!$H$7:$H$3006,NKC!$F$7:$F$3006,$A30,NKC!$B$7:$B$3006,"&gt;="&amp;TU_NGAY,NKC!$B$7:$B$3006,"&lt;="&amp;DEN_NGAY))</f>
        <v/>
      </c>
      <c r="P30" s="124">
        <f>IF($A30="",0,SUMIFS(NKC!$H$7:$H$3006,NKC!$G$7:$G$3006,$A30,NKC!$B$7:$B$3006,"&gt;="&amp;TU_NGAY,NKC!$B$7:$B$3006,"&lt;="&amp;DEN_NGAY))</f>
        <v/>
      </c>
      <c r="Q30" s="124">
        <f>K30-L30+M30-N30</f>
        <v/>
      </c>
      <c r="R30" s="124">
        <f>MAX(Q30,0)</f>
        <v/>
      </c>
      <c r="S30" s="124">
        <f>MAX(-Q30,0)</f>
        <v/>
      </c>
      <c r="T30" s="124">
        <f>Q30+O30-P30</f>
        <v/>
      </c>
      <c r="U30" s="124">
        <f>MAX(T30,0)</f>
        <v/>
      </c>
      <c r="V30" s="124">
        <f>MAX(-T30,0)</f>
        <v/>
      </c>
    </row>
    <row r="31" ht="15" customHeight="1" s="78">
      <c r="A31" s="93" t="inlineStr">
        <is>
          <t>151</t>
        </is>
      </c>
      <c r="B31" s="94" t="inlineStr">
        <is>
          <t>Hàng mua đang đi đường</t>
        </is>
      </c>
      <c r="C31" s="122" t="n">
        <v>1</v>
      </c>
      <c r="D31" s="123">
        <f>IF($A31="","",SUMIF($A$8:$A$251,$A31&amp;"*",R$8:R$251))</f>
        <v/>
      </c>
      <c r="E31" s="123">
        <f>IF($A31="","",SUMIF($A$8:$A$251,$A31&amp;"*",S$8:S$251))</f>
        <v/>
      </c>
      <c r="F31" s="123">
        <f>IF($A31="","",SUMIF($A$8:$A$251,$A31&amp;"*",O$8:O$251))</f>
        <v/>
      </c>
      <c r="G31" s="123">
        <f>IF($A31="","",SUMIF($A$8:$A$251,$A31&amp;"*",P$8:P$251))</f>
        <v/>
      </c>
      <c r="H31" s="123">
        <f>IF($A31="","",SUMIF($A$8:$A$251,$A31&amp;"*",U$8:U$251))</f>
        <v/>
      </c>
      <c r="I31" s="123">
        <f>IF($A31="","",SUMIF($A$8:$A$251,$A31&amp;"*",V$8:V$251))</f>
        <v/>
      </c>
      <c r="K31" s="124">
        <f>IF($A31="",0,SUMIFS(SDDK!$C$8:$C$251,SDDK!$A$8:$A$251,$A31))</f>
        <v/>
      </c>
      <c r="L31" s="124">
        <f>IF($A31="",0,SUMIFS(SDDK!$D$8:$D$251,SDDK!$A$8:$A$251,$A31))</f>
        <v/>
      </c>
      <c r="M31" s="124">
        <f>IF($A31="",0,SUMIFS(NKC!$H$7:$H$3006,NKC!$F$7:$F$3006,$A31,NKC!$B$7:$B$3006,"&lt;"&amp;TU_NGAY))</f>
        <v/>
      </c>
      <c r="N31" s="124">
        <f>IF($A31="",0,SUMIFS(NKC!$H$7:$H$3006,NKC!$G$7:$G$3006,$A31,NKC!$B$7:$B$3006,"&lt;"&amp;TU_NGAY))</f>
        <v/>
      </c>
      <c r="O31" s="124">
        <f>IF($A31="",0,SUMIFS(NKC!$H$7:$H$3006,NKC!$F$7:$F$3006,$A31,NKC!$B$7:$B$3006,"&gt;="&amp;TU_NGAY,NKC!$B$7:$B$3006,"&lt;="&amp;DEN_NGAY))</f>
        <v/>
      </c>
      <c r="P31" s="124">
        <f>IF($A31="",0,SUMIFS(NKC!$H$7:$H$3006,NKC!$G$7:$G$3006,$A31,NKC!$B$7:$B$3006,"&gt;="&amp;TU_NGAY,NKC!$B$7:$B$3006,"&lt;="&amp;DEN_NGAY))</f>
        <v/>
      </c>
      <c r="Q31" s="124">
        <f>K31-L31+M31-N31</f>
        <v/>
      </c>
      <c r="R31" s="124">
        <f>MAX(Q31,0)</f>
        <v/>
      </c>
      <c r="S31" s="124">
        <f>MAX(-Q31,0)</f>
        <v/>
      </c>
      <c r="T31" s="124">
        <f>Q31+O31-P31</f>
        <v/>
      </c>
      <c r="U31" s="124">
        <f>MAX(T31,0)</f>
        <v/>
      </c>
      <c r="V31" s="124">
        <f>MAX(-T31,0)</f>
        <v/>
      </c>
    </row>
    <row r="32" ht="15" customHeight="1" s="78">
      <c r="A32" s="93" t="inlineStr">
        <is>
          <t>152</t>
        </is>
      </c>
      <c r="B32" s="94" t="inlineStr">
        <is>
          <t>Nguyên liệu, vật liệu</t>
        </is>
      </c>
      <c r="C32" s="122" t="n">
        <v>1</v>
      </c>
      <c r="D32" s="123">
        <f>IF($A32="","",SUMIF($A$8:$A$251,$A32&amp;"*",R$8:R$251))</f>
        <v/>
      </c>
      <c r="E32" s="123">
        <f>IF($A32="","",SUMIF($A$8:$A$251,$A32&amp;"*",S$8:S$251))</f>
        <v/>
      </c>
      <c r="F32" s="123">
        <f>IF($A32="","",SUMIF($A$8:$A$251,$A32&amp;"*",O$8:O$251))</f>
        <v/>
      </c>
      <c r="G32" s="123">
        <f>IF($A32="","",SUMIF($A$8:$A$251,$A32&amp;"*",P$8:P$251))</f>
        <v/>
      </c>
      <c r="H32" s="123">
        <f>IF($A32="","",SUMIF($A$8:$A$251,$A32&amp;"*",U$8:U$251))</f>
        <v/>
      </c>
      <c r="I32" s="123">
        <f>IF($A32="","",SUMIF($A$8:$A$251,$A32&amp;"*",V$8:V$251))</f>
        <v/>
      </c>
      <c r="K32" s="124">
        <f>IF($A32="",0,SUMIFS(SDDK!$C$8:$C$251,SDDK!$A$8:$A$251,$A32))</f>
        <v/>
      </c>
      <c r="L32" s="124">
        <f>IF($A32="",0,SUMIFS(SDDK!$D$8:$D$251,SDDK!$A$8:$A$251,$A32))</f>
        <v/>
      </c>
      <c r="M32" s="124">
        <f>IF($A32="",0,SUMIFS(NKC!$H$7:$H$3006,NKC!$F$7:$F$3006,$A32,NKC!$B$7:$B$3006,"&lt;"&amp;TU_NGAY))</f>
        <v/>
      </c>
      <c r="N32" s="124">
        <f>IF($A32="",0,SUMIFS(NKC!$H$7:$H$3006,NKC!$G$7:$G$3006,$A32,NKC!$B$7:$B$3006,"&lt;"&amp;TU_NGAY))</f>
        <v/>
      </c>
      <c r="O32" s="124">
        <f>IF($A32="",0,SUMIFS(NKC!$H$7:$H$3006,NKC!$F$7:$F$3006,$A32,NKC!$B$7:$B$3006,"&gt;="&amp;TU_NGAY,NKC!$B$7:$B$3006,"&lt;="&amp;DEN_NGAY))</f>
        <v/>
      </c>
      <c r="P32" s="124">
        <f>IF($A32="",0,SUMIFS(NKC!$H$7:$H$3006,NKC!$G$7:$G$3006,$A32,NKC!$B$7:$B$3006,"&gt;="&amp;TU_NGAY,NKC!$B$7:$B$3006,"&lt;="&amp;DEN_NGAY))</f>
        <v/>
      </c>
      <c r="Q32" s="124">
        <f>K32-L32+M32-N32</f>
        <v/>
      </c>
      <c r="R32" s="124">
        <f>MAX(Q32,0)</f>
        <v/>
      </c>
      <c r="S32" s="124">
        <f>MAX(-Q32,0)</f>
        <v/>
      </c>
      <c r="T32" s="124">
        <f>Q32+O32-P32</f>
        <v/>
      </c>
      <c r="U32" s="124">
        <f>MAX(T32,0)</f>
        <v/>
      </c>
      <c r="V32" s="124">
        <f>MAX(-T32,0)</f>
        <v/>
      </c>
    </row>
    <row r="33" ht="15" customHeight="1" s="78">
      <c r="A33" s="93" t="inlineStr">
        <is>
          <t>153</t>
        </is>
      </c>
      <c r="B33" s="94" t="inlineStr">
        <is>
          <t>Công cụ, dụng cụ</t>
        </is>
      </c>
      <c r="C33" s="122" t="n">
        <v>1</v>
      </c>
      <c r="D33" s="123">
        <f>IF($A33="","",SUMIF($A$8:$A$251,$A33&amp;"*",R$8:R$251))</f>
        <v/>
      </c>
      <c r="E33" s="123">
        <f>IF($A33="","",SUMIF($A$8:$A$251,$A33&amp;"*",S$8:S$251))</f>
        <v/>
      </c>
      <c r="F33" s="123">
        <f>IF($A33="","",SUMIF($A$8:$A$251,$A33&amp;"*",O$8:O$251))</f>
        <v/>
      </c>
      <c r="G33" s="123">
        <f>IF($A33="","",SUMIF($A$8:$A$251,$A33&amp;"*",P$8:P$251))</f>
        <v/>
      </c>
      <c r="H33" s="123">
        <f>IF($A33="","",SUMIF($A$8:$A$251,$A33&amp;"*",U$8:U$251))</f>
        <v/>
      </c>
      <c r="I33" s="123">
        <f>IF($A33="","",SUMIF($A$8:$A$251,$A33&amp;"*",V$8:V$251))</f>
        <v/>
      </c>
      <c r="K33" s="124">
        <f>IF($A33="",0,SUMIFS(SDDK!$C$8:$C$251,SDDK!$A$8:$A$251,$A33))</f>
        <v/>
      </c>
      <c r="L33" s="124">
        <f>IF($A33="",0,SUMIFS(SDDK!$D$8:$D$251,SDDK!$A$8:$A$251,$A33))</f>
        <v/>
      </c>
      <c r="M33" s="124">
        <f>IF($A33="",0,SUMIFS(NKC!$H$7:$H$3006,NKC!$F$7:$F$3006,$A33,NKC!$B$7:$B$3006,"&lt;"&amp;TU_NGAY))</f>
        <v/>
      </c>
      <c r="N33" s="124">
        <f>IF($A33="",0,SUMIFS(NKC!$H$7:$H$3006,NKC!$G$7:$G$3006,$A33,NKC!$B$7:$B$3006,"&lt;"&amp;TU_NGAY))</f>
        <v/>
      </c>
      <c r="O33" s="124">
        <f>IF($A33="",0,SUMIFS(NKC!$H$7:$H$3006,NKC!$F$7:$F$3006,$A33,NKC!$B$7:$B$3006,"&gt;="&amp;TU_NGAY,NKC!$B$7:$B$3006,"&lt;="&amp;DEN_NGAY))</f>
        <v/>
      </c>
      <c r="P33" s="124">
        <f>IF($A33="",0,SUMIFS(NKC!$H$7:$H$3006,NKC!$G$7:$G$3006,$A33,NKC!$B$7:$B$3006,"&gt;="&amp;TU_NGAY,NKC!$B$7:$B$3006,"&lt;="&amp;DEN_NGAY))</f>
        <v/>
      </c>
      <c r="Q33" s="124">
        <f>K33-L33+M33-N33</f>
        <v/>
      </c>
      <c r="R33" s="124">
        <f>MAX(Q33,0)</f>
        <v/>
      </c>
      <c r="S33" s="124">
        <f>MAX(-Q33,0)</f>
        <v/>
      </c>
      <c r="T33" s="124">
        <f>Q33+O33-P33</f>
        <v/>
      </c>
      <c r="U33" s="124">
        <f>MAX(T33,0)</f>
        <v/>
      </c>
      <c r="V33" s="124">
        <f>MAX(-T33,0)</f>
        <v/>
      </c>
    </row>
    <row r="34" ht="15" customHeight="1" s="78">
      <c r="A34" s="93" t="inlineStr">
        <is>
          <t>154</t>
        </is>
      </c>
      <c r="B34" s="94" t="inlineStr">
        <is>
          <t>Chi phí sản xuất, kinh doanh dở dang</t>
        </is>
      </c>
      <c r="C34" s="122" t="n">
        <v>1</v>
      </c>
      <c r="D34" s="123">
        <f>IF($A34="","",SUMIF($A$8:$A$251,$A34&amp;"*",R$8:R$251))</f>
        <v/>
      </c>
      <c r="E34" s="123">
        <f>IF($A34="","",SUMIF($A$8:$A$251,$A34&amp;"*",S$8:S$251))</f>
        <v/>
      </c>
      <c r="F34" s="123">
        <f>IF($A34="","",SUMIF($A$8:$A$251,$A34&amp;"*",O$8:O$251))</f>
        <v/>
      </c>
      <c r="G34" s="123">
        <f>IF($A34="","",SUMIF($A$8:$A$251,$A34&amp;"*",P$8:P$251))</f>
        <v/>
      </c>
      <c r="H34" s="123">
        <f>IF($A34="","",SUMIF($A$8:$A$251,$A34&amp;"*",U$8:U$251))</f>
        <v/>
      </c>
      <c r="I34" s="123">
        <f>IF($A34="","",SUMIF($A$8:$A$251,$A34&amp;"*",V$8:V$251))</f>
        <v/>
      </c>
      <c r="K34" s="124">
        <f>IF($A34="",0,SUMIFS(SDDK!$C$8:$C$251,SDDK!$A$8:$A$251,$A34))</f>
        <v/>
      </c>
      <c r="L34" s="124">
        <f>IF($A34="",0,SUMIFS(SDDK!$D$8:$D$251,SDDK!$A$8:$A$251,$A34))</f>
        <v/>
      </c>
      <c r="M34" s="124">
        <f>IF($A34="",0,SUMIFS(NKC!$H$7:$H$3006,NKC!$F$7:$F$3006,$A34,NKC!$B$7:$B$3006,"&lt;"&amp;TU_NGAY))</f>
        <v/>
      </c>
      <c r="N34" s="124">
        <f>IF($A34="",0,SUMIFS(NKC!$H$7:$H$3006,NKC!$G$7:$G$3006,$A34,NKC!$B$7:$B$3006,"&lt;"&amp;TU_NGAY))</f>
        <v/>
      </c>
      <c r="O34" s="124">
        <f>IF($A34="",0,SUMIFS(NKC!$H$7:$H$3006,NKC!$F$7:$F$3006,$A34,NKC!$B$7:$B$3006,"&gt;="&amp;TU_NGAY,NKC!$B$7:$B$3006,"&lt;="&amp;DEN_NGAY))</f>
        <v/>
      </c>
      <c r="P34" s="124">
        <f>IF($A34="",0,SUMIFS(NKC!$H$7:$H$3006,NKC!$G$7:$G$3006,$A34,NKC!$B$7:$B$3006,"&gt;="&amp;TU_NGAY,NKC!$B$7:$B$3006,"&lt;="&amp;DEN_NGAY))</f>
        <v/>
      </c>
      <c r="Q34" s="124">
        <f>K34-L34+M34-N34</f>
        <v/>
      </c>
      <c r="R34" s="124">
        <f>MAX(Q34,0)</f>
        <v/>
      </c>
      <c r="S34" s="124">
        <f>MAX(-Q34,0)</f>
        <v/>
      </c>
      <c r="T34" s="124">
        <f>Q34+O34-P34</f>
        <v/>
      </c>
      <c r="U34" s="124">
        <f>MAX(T34,0)</f>
        <v/>
      </c>
      <c r="V34" s="124">
        <f>MAX(-T34,0)</f>
        <v/>
      </c>
    </row>
    <row r="35" ht="15" customHeight="1" s="78">
      <c r="A35" s="93" t="inlineStr">
        <is>
          <t>155</t>
        </is>
      </c>
      <c r="B35" s="94" t="inlineStr">
        <is>
          <t>Sản phẩm</t>
        </is>
      </c>
      <c r="C35" s="122" t="n">
        <v>1</v>
      </c>
      <c r="D35" s="123">
        <f>IF($A35="","",SUMIF($A$8:$A$251,$A35&amp;"*",R$8:R$251))</f>
        <v/>
      </c>
      <c r="E35" s="123">
        <f>IF($A35="","",SUMIF($A$8:$A$251,$A35&amp;"*",S$8:S$251))</f>
        <v/>
      </c>
      <c r="F35" s="123">
        <f>IF($A35="","",SUMIF($A$8:$A$251,$A35&amp;"*",O$8:O$251))</f>
        <v/>
      </c>
      <c r="G35" s="123">
        <f>IF($A35="","",SUMIF($A$8:$A$251,$A35&amp;"*",P$8:P$251))</f>
        <v/>
      </c>
      <c r="H35" s="123">
        <f>IF($A35="","",SUMIF($A$8:$A$251,$A35&amp;"*",U$8:U$251))</f>
        <v/>
      </c>
      <c r="I35" s="123">
        <f>IF($A35="","",SUMIF($A$8:$A$251,$A35&amp;"*",V$8:V$251))</f>
        <v/>
      </c>
      <c r="K35" s="124">
        <f>IF($A35="",0,SUMIFS(SDDK!$C$8:$C$251,SDDK!$A$8:$A$251,$A35))</f>
        <v/>
      </c>
      <c r="L35" s="124">
        <f>IF($A35="",0,SUMIFS(SDDK!$D$8:$D$251,SDDK!$A$8:$A$251,$A35))</f>
        <v/>
      </c>
      <c r="M35" s="124">
        <f>IF($A35="",0,SUMIFS(NKC!$H$7:$H$3006,NKC!$F$7:$F$3006,$A35,NKC!$B$7:$B$3006,"&lt;"&amp;TU_NGAY))</f>
        <v/>
      </c>
      <c r="N35" s="124">
        <f>IF($A35="",0,SUMIFS(NKC!$H$7:$H$3006,NKC!$G$7:$G$3006,$A35,NKC!$B$7:$B$3006,"&lt;"&amp;TU_NGAY))</f>
        <v/>
      </c>
      <c r="O35" s="124">
        <f>IF($A35="",0,SUMIFS(NKC!$H$7:$H$3006,NKC!$F$7:$F$3006,$A35,NKC!$B$7:$B$3006,"&gt;="&amp;TU_NGAY,NKC!$B$7:$B$3006,"&lt;="&amp;DEN_NGAY))</f>
        <v/>
      </c>
      <c r="P35" s="124">
        <f>IF($A35="",0,SUMIFS(NKC!$H$7:$H$3006,NKC!$G$7:$G$3006,$A35,NKC!$B$7:$B$3006,"&gt;="&amp;TU_NGAY,NKC!$B$7:$B$3006,"&lt;="&amp;DEN_NGAY))</f>
        <v/>
      </c>
      <c r="Q35" s="124">
        <f>K35-L35+M35-N35</f>
        <v/>
      </c>
      <c r="R35" s="124">
        <f>MAX(Q35,0)</f>
        <v/>
      </c>
      <c r="S35" s="124">
        <f>MAX(-Q35,0)</f>
        <v/>
      </c>
      <c r="T35" s="124">
        <f>Q35+O35-P35</f>
        <v/>
      </c>
      <c r="U35" s="124">
        <f>MAX(T35,0)</f>
        <v/>
      </c>
      <c r="V35" s="124">
        <f>MAX(-T35,0)</f>
        <v/>
      </c>
    </row>
    <row r="36" ht="15" customHeight="1" s="78">
      <c r="A36" s="93" t="inlineStr">
        <is>
          <t>156</t>
        </is>
      </c>
      <c r="B36" s="94" t="inlineStr">
        <is>
          <t>Hàng hóa</t>
        </is>
      </c>
      <c r="C36" s="122" t="n">
        <v>1</v>
      </c>
      <c r="D36" s="123">
        <f>IF($A36="","",SUMIF($A$8:$A$251,$A36&amp;"*",R$8:R$251))</f>
        <v/>
      </c>
      <c r="E36" s="123">
        <f>IF($A36="","",SUMIF($A$8:$A$251,$A36&amp;"*",S$8:S$251))</f>
        <v/>
      </c>
      <c r="F36" s="123">
        <f>IF($A36="","",SUMIF($A$8:$A$251,$A36&amp;"*",O$8:O$251))</f>
        <v/>
      </c>
      <c r="G36" s="123">
        <f>IF($A36="","",SUMIF($A$8:$A$251,$A36&amp;"*",P$8:P$251))</f>
        <v/>
      </c>
      <c r="H36" s="123">
        <f>IF($A36="","",SUMIF($A$8:$A$251,$A36&amp;"*",U$8:U$251))</f>
        <v/>
      </c>
      <c r="I36" s="123">
        <f>IF($A36="","",SUMIF($A$8:$A$251,$A36&amp;"*",V$8:V$251))</f>
        <v/>
      </c>
      <c r="K36" s="124">
        <f>IF($A36="",0,SUMIFS(SDDK!$C$8:$C$251,SDDK!$A$8:$A$251,$A36))</f>
        <v/>
      </c>
      <c r="L36" s="124">
        <f>IF($A36="",0,SUMIFS(SDDK!$D$8:$D$251,SDDK!$A$8:$A$251,$A36))</f>
        <v/>
      </c>
      <c r="M36" s="124">
        <f>IF($A36="",0,SUMIFS(NKC!$H$7:$H$3006,NKC!$F$7:$F$3006,$A36,NKC!$B$7:$B$3006,"&lt;"&amp;TU_NGAY))</f>
        <v/>
      </c>
      <c r="N36" s="124">
        <f>IF($A36="",0,SUMIFS(NKC!$H$7:$H$3006,NKC!$G$7:$G$3006,$A36,NKC!$B$7:$B$3006,"&lt;"&amp;TU_NGAY))</f>
        <v/>
      </c>
      <c r="O36" s="124">
        <f>IF($A36="",0,SUMIFS(NKC!$H$7:$H$3006,NKC!$F$7:$F$3006,$A36,NKC!$B$7:$B$3006,"&gt;="&amp;TU_NGAY,NKC!$B$7:$B$3006,"&lt;="&amp;DEN_NGAY))</f>
        <v/>
      </c>
      <c r="P36" s="124">
        <f>IF($A36="",0,SUMIFS(NKC!$H$7:$H$3006,NKC!$G$7:$G$3006,$A36,NKC!$B$7:$B$3006,"&gt;="&amp;TU_NGAY,NKC!$B$7:$B$3006,"&lt;="&amp;DEN_NGAY))</f>
        <v/>
      </c>
      <c r="Q36" s="124">
        <f>K36-L36+M36-N36</f>
        <v/>
      </c>
      <c r="R36" s="124">
        <f>MAX(Q36,0)</f>
        <v/>
      </c>
      <c r="S36" s="124">
        <f>MAX(-Q36,0)</f>
        <v/>
      </c>
      <c r="T36" s="124">
        <f>Q36+O36-P36</f>
        <v/>
      </c>
      <c r="U36" s="124">
        <f>MAX(T36,0)</f>
        <v/>
      </c>
      <c r="V36" s="124">
        <f>MAX(-T36,0)</f>
        <v/>
      </c>
    </row>
    <row r="37" ht="15" customHeight="1" s="78">
      <c r="A37" s="93" t="inlineStr">
        <is>
          <t>157</t>
        </is>
      </c>
      <c r="B37" s="94" t="inlineStr">
        <is>
          <t>Hàng gửi đi bán</t>
        </is>
      </c>
      <c r="C37" s="122" t="n">
        <v>1</v>
      </c>
      <c r="D37" s="123">
        <f>IF($A37="","",SUMIF($A$8:$A$251,$A37&amp;"*",R$8:R$251))</f>
        <v/>
      </c>
      <c r="E37" s="123">
        <f>IF($A37="","",SUMIF($A$8:$A$251,$A37&amp;"*",S$8:S$251))</f>
        <v/>
      </c>
      <c r="F37" s="123">
        <f>IF($A37="","",SUMIF($A$8:$A$251,$A37&amp;"*",O$8:O$251))</f>
        <v/>
      </c>
      <c r="G37" s="123">
        <f>IF($A37="","",SUMIF($A$8:$A$251,$A37&amp;"*",P$8:P$251))</f>
        <v/>
      </c>
      <c r="H37" s="123">
        <f>IF($A37="","",SUMIF($A$8:$A$251,$A37&amp;"*",U$8:U$251))</f>
        <v/>
      </c>
      <c r="I37" s="123">
        <f>IF($A37="","",SUMIF($A$8:$A$251,$A37&amp;"*",V$8:V$251))</f>
        <v/>
      </c>
      <c r="K37" s="124">
        <f>IF($A37="",0,SUMIFS(SDDK!$C$8:$C$251,SDDK!$A$8:$A$251,$A37))</f>
        <v/>
      </c>
      <c r="L37" s="124">
        <f>IF($A37="",0,SUMIFS(SDDK!$D$8:$D$251,SDDK!$A$8:$A$251,$A37))</f>
        <v/>
      </c>
      <c r="M37" s="124">
        <f>IF($A37="",0,SUMIFS(NKC!$H$7:$H$3006,NKC!$F$7:$F$3006,$A37,NKC!$B$7:$B$3006,"&lt;"&amp;TU_NGAY))</f>
        <v/>
      </c>
      <c r="N37" s="124">
        <f>IF($A37="",0,SUMIFS(NKC!$H$7:$H$3006,NKC!$G$7:$G$3006,$A37,NKC!$B$7:$B$3006,"&lt;"&amp;TU_NGAY))</f>
        <v/>
      </c>
      <c r="O37" s="124">
        <f>IF($A37="",0,SUMIFS(NKC!$H$7:$H$3006,NKC!$F$7:$F$3006,$A37,NKC!$B$7:$B$3006,"&gt;="&amp;TU_NGAY,NKC!$B$7:$B$3006,"&lt;="&amp;DEN_NGAY))</f>
        <v/>
      </c>
      <c r="P37" s="124">
        <f>IF($A37="",0,SUMIFS(NKC!$H$7:$H$3006,NKC!$G$7:$G$3006,$A37,NKC!$B$7:$B$3006,"&gt;="&amp;TU_NGAY,NKC!$B$7:$B$3006,"&lt;="&amp;DEN_NGAY))</f>
        <v/>
      </c>
      <c r="Q37" s="124">
        <f>K37-L37+M37-N37</f>
        <v/>
      </c>
      <c r="R37" s="124">
        <f>MAX(Q37,0)</f>
        <v/>
      </c>
      <c r="S37" s="124">
        <f>MAX(-Q37,0)</f>
        <v/>
      </c>
      <c r="T37" s="124">
        <f>Q37+O37-P37</f>
        <v/>
      </c>
      <c r="U37" s="124">
        <f>MAX(T37,0)</f>
        <v/>
      </c>
      <c r="V37" s="124">
        <f>MAX(-T37,0)</f>
        <v/>
      </c>
    </row>
    <row r="38" ht="15" customHeight="1" s="78">
      <c r="A38" s="93" t="inlineStr">
        <is>
          <t>158</t>
        </is>
      </c>
      <c r="B38" s="94" t="inlineStr">
        <is>
          <t>Nguyên liệu, vật tư tại kho bảo thuế</t>
        </is>
      </c>
      <c r="C38" s="122" t="n">
        <v>1</v>
      </c>
      <c r="D38" s="123">
        <f>IF($A38="","",SUMIF($A$8:$A$251,$A38&amp;"*",R$8:R$251))</f>
        <v/>
      </c>
      <c r="E38" s="123">
        <f>IF($A38="","",SUMIF($A$8:$A$251,$A38&amp;"*",S$8:S$251))</f>
        <v/>
      </c>
      <c r="F38" s="123">
        <f>IF($A38="","",SUMIF($A$8:$A$251,$A38&amp;"*",O$8:O$251))</f>
        <v/>
      </c>
      <c r="G38" s="123">
        <f>IF($A38="","",SUMIF($A$8:$A$251,$A38&amp;"*",P$8:P$251))</f>
        <v/>
      </c>
      <c r="H38" s="123">
        <f>IF($A38="","",SUMIF($A$8:$A$251,$A38&amp;"*",U$8:U$251))</f>
        <v/>
      </c>
      <c r="I38" s="123">
        <f>IF($A38="","",SUMIF($A$8:$A$251,$A38&amp;"*",V$8:V$251))</f>
        <v/>
      </c>
      <c r="K38" s="124">
        <f>IF($A38="",0,SUMIFS(SDDK!$C$8:$C$251,SDDK!$A$8:$A$251,$A38))</f>
        <v/>
      </c>
      <c r="L38" s="124">
        <f>IF($A38="",0,SUMIFS(SDDK!$D$8:$D$251,SDDK!$A$8:$A$251,$A38))</f>
        <v/>
      </c>
      <c r="M38" s="124">
        <f>IF($A38="",0,SUMIFS(NKC!$H$7:$H$3006,NKC!$F$7:$F$3006,$A38,NKC!$B$7:$B$3006,"&lt;"&amp;TU_NGAY))</f>
        <v/>
      </c>
      <c r="N38" s="124">
        <f>IF($A38="",0,SUMIFS(NKC!$H$7:$H$3006,NKC!$G$7:$G$3006,$A38,NKC!$B$7:$B$3006,"&lt;"&amp;TU_NGAY))</f>
        <v/>
      </c>
      <c r="O38" s="124">
        <f>IF($A38="",0,SUMIFS(NKC!$H$7:$H$3006,NKC!$F$7:$F$3006,$A38,NKC!$B$7:$B$3006,"&gt;="&amp;TU_NGAY,NKC!$B$7:$B$3006,"&lt;="&amp;DEN_NGAY))</f>
        <v/>
      </c>
      <c r="P38" s="124">
        <f>IF($A38="",0,SUMIFS(NKC!$H$7:$H$3006,NKC!$G$7:$G$3006,$A38,NKC!$B$7:$B$3006,"&gt;="&amp;TU_NGAY,NKC!$B$7:$B$3006,"&lt;="&amp;DEN_NGAY))</f>
        <v/>
      </c>
      <c r="Q38" s="124">
        <f>K38-L38+M38-N38</f>
        <v/>
      </c>
      <c r="R38" s="124">
        <f>MAX(Q38,0)</f>
        <v/>
      </c>
      <c r="S38" s="124">
        <f>MAX(-Q38,0)</f>
        <v/>
      </c>
      <c r="T38" s="124">
        <f>Q38+O38-P38</f>
        <v/>
      </c>
      <c r="U38" s="124">
        <f>MAX(T38,0)</f>
        <v/>
      </c>
      <c r="V38" s="124">
        <f>MAX(-T38,0)</f>
        <v/>
      </c>
    </row>
    <row r="39" ht="15" customHeight="1" s="78">
      <c r="A39" s="93" t="inlineStr">
        <is>
          <t>171</t>
        </is>
      </c>
      <c r="B39" s="94" t="inlineStr">
        <is>
          <t>Giao dịch mua, bán lại trái phiếu chính phủ</t>
        </is>
      </c>
      <c r="C39" s="122" t="n">
        <v>1</v>
      </c>
      <c r="D39" s="123">
        <f>IF($A39="","",SUMIF($A$8:$A$251,$A39&amp;"*",R$8:R$251))</f>
        <v/>
      </c>
      <c r="E39" s="123">
        <f>IF($A39="","",SUMIF($A$8:$A$251,$A39&amp;"*",S$8:S$251))</f>
        <v/>
      </c>
      <c r="F39" s="123">
        <f>IF($A39="","",SUMIF($A$8:$A$251,$A39&amp;"*",O$8:O$251))</f>
        <v/>
      </c>
      <c r="G39" s="123">
        <f>IF($A39="","",SUMIF($A$8:$A$251,$A39&amp;"*",P$8:P$251))</f>
        <v/>
      </c>
      <c r="H39" s="123">
        <f>IF($A39="","",SUMIF($A$8:$A$251,$A39&amp;"*",U$8:U$251))</f>
        <v/>
      </c>
      <c r="I39" s="123">
        <f>IF($A39="","",SUMIF($A$8:$A$251,$A39&amp;"*",V$8:V$251))</f>
        <v/>
      </c>
      <c r="K39" s="124">
        <f>IF($A39="",0,SUMIFS(SDDK!$C$8:$C$251,SDDK!$A$8:$A$251,$A39))</f>
        <v/>
      </c>
      <c r="L39" s="124">
        <f>IF($A39="",0,SUMIFS(SDDK!$D$8:$D$251,SDDK!$A$8:$A$251,$A39))</f>
        <v/>
      </c>
      <c r="M39" s="124">
        <f>IF($A39="",0,SUMIFS(NKC!$H$7:$H$3006,NKC!$F$7:$F$3006,$A39,NKC!$B$7:$B$3006,"&lt;"&amp;TU_NGAY))</f>
        <v/>
      </c>
      <c r="N39" s="124">
        <f>IF($A39="",0,SUMIFS(NKC!$H$7:$H$3006,NKC!$G$7:$G$3006,$A39,NKC!$B$7:$B$3006,"&lt;"&amp;TU_NGAY))</f>
        <v/>
      </c>
      <c r="O39" s="124">
        <f>IF($A39="",0,SUMIFS(NKC!$H$7:$H$3006,NKC!$F$7:$F$3006,$A39,NKC!$B$7:$B$3006,"&gt;="&amp;TU_NGAY,NKC!$B$7:$B$3006,"&lt;="&amp;DEN_NGAY))</f>
        <v/>
      </c>
      <c r="P39" s="124">
        <f>IF($A39="",0,SUMIFS(NKC!$H$7:$H$3006,NKC!$G$7:$G$3006,$A39,NKC!$B$7:$B$3006,"&gt;="&amp;TU_NGAY,NKC!$B$7:$B$3006,"&lt;="&amp;DEN_NGAY))</f>
        <v/>
      </c>
      <c r="Q39" s="124">
        <f>K39-L39+M39-N39</f>
        <v/>
      </c>
      <c r="R39" s="124">
        <f>MAX(Q39,0)</f>
        <v/>
      </c>
      <c r="S39" s="124">
        <f>MAX(-Q39,0)</f>
        <v/>
      </c>
      <c r="T39" s="124">
        <f>Q39+O39-P39</f>
        <v/>
      </c>
      <c r="U39" s="124">
        <f>MAX(T39,0)</f>
        <v/>
      </c>
      <c r="V39" s="124">
        <f>MAX(-T39,0)</f>
        <v/>
      </c>
    </row>
    <row r="40" ht="15" customHeight="1" s="78">
      <c r="A40" s="93" t="inlineStr">
        <is>
          <t>211</t>
        </is>
      </c>
      <c r="B40" s="94" t="inlineStr">
        <is>
          <t>Tài sản cố định hữu hình</t>
        </is>
      </c>
      <c r="C40" s="122" t="n">
        <v>1</v>
      </c>
      <c r="D40" s="123">
        <f>IF($A40="","",SUMIF($A$8:$A$251,$A40&amp;"*",R$8:R$251))</f>
        <v/>
      </c>
      <c r="E40" s="123">
        <f>IF($A40="","",SUMIF($A$8:$A$251,$A40&amp;"*",S$8:S$251))</f>
        <v/>
      </c>
      <c r="F40" s="123">
        <f>IF($A40="","",SUMIF($A$8:$A$251,$A40&amp;"*",O$8:O$251))</f>
        <v/>
      </c>
      <c r="G40" s="123">
        <f>IF($A40="","",SUMIF($A$8:$A$251,$A40&amp;"*",P$8:P$251))</f>
        <v/>
      </c>
      <c r="H40" s="123">
        <f>IF($A40="","",SUMIF($A$8:$A$251,$A40&amp;"*",U$8:U$251))</f>
        <v/>
      </c>
      <c r="I40" s="123">
        <f>IF($A40="","",SUMIF($A$8:$A$251,$A40&amp;"*",V$8:V$251))</f>
        <v/>
      </c>
      <c r="K40" s="124">
        <f>IF($A40="",0,SUMIFS(SDDK!$C$8:$C$251,SDDK!$A$8:$A$251,$A40))</f>
        <v/>
      </c>
      <c r="L40" s="124">
        <f>IF($A40="",0,SUMIFS(SDDK!$D$8:$D$251,SDDK!$A$8:$A$251,$A40))</f>
        <v/>
      </c>
      <c r="M40" s="124">
        <f>IF($A40="",0,SUMIFS(NKC!$H$7:$H$3006,NKC!$F$7:$F$3006,$A40,NKC!$B$7:$B$3006,"&lt;"&amp;TU_NGAY))</f>
        <v/>
      </c>
      <c r="N40" s="124">
        <f>IF($A40="",0,SUMIFS(NKC!$H$7:$H$3006,NKC!$G$7:$G$3006,$A40,NKC!$B$7:$B$3006,"&lt;"&amp;TU_NGAY))</f>
        <v/>
      </c>
      <c r="O40" s="124">
        <f>IF($A40="",0,SUMIFS(NKC!$H$7:$H$3006,NKC!$F$7:$F$3006,$A40,NKC!$B$7:$B$3006,"&gt;="&amp;TU_NGAY,NKC!$B$7:$B$3006,"&lt;="&amp;DEN_NGAY))</f>
        <v/>
      </c>
      <c r="P40" s="124">
        <f>IF($A40="",0,SUMIFS(NKC!$H$7:$H$3006,NKC!$G$7:$G$3006,$A40,NKC!$B$7:$B$3006,"&gt;="&amp;TU_NGAY,NKC!$B$7:$B$3006,"&lt;="&amp;DEN_NGAY))</f>
        <v/>
      </c>
      <c r="Q40" s="124">
        <f>K40-L40+M40-N40</f>
        <v/>
      </c>
      <c r="R40" s="124">
        <f>MAX(Q40,0)</f>
        <v/>
      </c>
      <c r="S40" s="124">
        <f>MAX(-Q40,0)</f>
        <v/>
      </c>
      <c r="T40" s="124">
        <f>Q40+O40-P40</f>
        <v/>
      </c>
      <c r="U40" s="124">
        <f>MAX(T40,0)</f>
        <v/>
      </c>
      <c r="V40" s="124">
        <f>MAX(-T40,0)</f>
        <v/>
      </c>
    </row>
    <row r="41" ht="15" customHeight="1" s="78">
      <c r="A41" s="93" t="inlineStr">
        <is>
          <t>212</t>
        </is>
      </c>
      <c r="B41" s="94" t="inlineStr">
        <is>
          <t>Tài sản cố định thuê tài chính</t>
        </is>
      </c>
      <c r="C41" s="122" t="n">
        <v>1</v>
      </c>
      <c r="D41" s="123">
        <f>IF($A41="","",SUMIF($A$8:$A$251,$A41&amp;"*",R$8:R$251))</f>
        <v/>
      </c>
      <c r="E41" s="123">
        <f>IF($A41="","",SUMIF($A$8:$A$251,$A41&amp;"*",S$8:S$251))</f>
        <v/>
      </c>
      <c r="F41" s="123">
        <f>IF($A41="","",SUMIF($A$8:$A$251,$A41&amp;"*",O$8:O$251))</f>
        <v/>
      </c>
      <c r="G41" s="123">
        <f>IF($A41="","",SUMIF($A$8:$A$251,$A41&amp;"*",P$8:P$251))</f>
        <v/>
      </c>
      <c r="H41" s="123">
        <f>IF($A41="","",SUMIF($A$8:$A$251,$A41&amp;"*",U$8:U$251))</f>
        <v/>
      </c>
      <c r="I41" s="123">
        <f>IF($A41="","",SUMIF($A$8:$A$251,$A41&amp;"*",V$8:V$251))</f>
        <v/>
      </c>
      <c r="K41" s="124">
        <f>IF($A41="",0,SUMIFS(SDDK!$C$8:$C$251,SDDK!$A$8:$A$251,$A41))</f>
        <v/>
      </c>
      <c r="L41" s="124">
        <f>IF($A41="",0,SUMIFS(SDDK!$D$8:$D$251,SDDK!$A$8:$A$251,$A41))</f>
        <v/>
      </c>
      <c r="M41" s="124">
        <f>IF($A41="",0,SUMIFS(NKC!$H$7:$H$3006,NKC!$F$7:$F$3006,$A41,NKC!$B$7:$B$3006,"&lt;"&amp;TU_NGAY))</f>
        <v/>
      </c>
      <c r="N41" s="124">
        <f>IF($A41="",0,SUMIFS(NKC!$H$7:$H$3006,NKC!$G$7:$G$3006,$A41,NKC!$B$7:$B$3006,"&lt;"&amp;TU_NGAY))</f>
        <v/>
      </c>
      <c r="O41" s="124">
        <f>IF($A41="",0,SUMIFS(NKC!$H$7:$H$3006,NKC!$F$7:$F$3006,$A41,NKC!$B$7:$B$3006,"&gt;="&amp;TU_NGAY,NKC!$B$7:$B$3006,"&lt;="&amp;DEN_NGAY))</f>
        <v/>
      </c>
      <c r="P41" s="124">
        <f>IF($A41="",0,SUMIFS(NKC!$H$7:$H$3006,NKC!$G$7:$G$3006,$A41,NKC!$B$7:$B$3006,"&gt;="&amp;TU_NGAY,NKC!$B$7:$B$3006,"&lt;="&amp;DEN_NGAY))</f>
        <v/>
      </c>
      <c r="Q41" s="124">
        <f>K41-L41+M41-N41</f>
        <v/>
      </c>
      <c r="R41" s="124">
        <f>MAX(Q41,0)</f>
        <v/>
      </c>
      <c r="S41" s="124">
        <f>MAX(-Q41,0)</f>
        <v/>
      </c>
      <c r="T41" s="124">
        <f>Q41+O41-P41</f>
        <v/>
      </c>
      <c r="U41" s="124">
        <f>MAX(T41,0)</f>
        <v/>
      </c>
      <c r="V41" s="124">
        <f>MAX(-T41,0)</f>
        <v/>
      </c>
    </row>
    <row r="42" ht="15" customHeight="1" s="78">
      <c r="A42" s="93" t="inlineStr">
        <is>
          <t>213</t>
        </is>
      </c>
      <c r="B42" s="94" t="inlineStr">
        <is>
          <t>Tài sản cố định vô hình</t>
        </is>
      </c>
      <c r="C42" s="122" t="n">
        <v>1</v>
      </c>
      <c r="D42" s="123">
        <f>IF($A42="","",SUMIF($A$8:$A$251,$A42&amp;"*",R$8:R$251))</f>
        <v/>
      </c>
      <c r="E42" s="123">
        <f>IF($A42="","",SUMIF($A$8:$A$251,$A42&amp;"*",S$8:S$251))</f>
        <v/>
      </c>
      <c r="F42" s="123">
        <f>IF($A42="","",SUMIF($A$8:$A$251,$A42&amp;"*",O$8:O$251))</f>
        <v/>
      </c>
      <c r="G42" s="123">
        <f>IF($A42="","",SUMIF($A$8:$A$251,$A42&amp;"*",P$8:P$251))</f>
        <v/>
      </c>
      <c r="H42" s="123">
        <f>IF($A42="","",SUMIF($A$8:$A$251,$A42&amp;"*",U$8:U$251))</f>
        <v/>
      </c>
      <c r="I42" s="123">
        <f>IF($A42="","",SUMIF($A$8:$A$251,$A42&amp;"*",V$8:V$251))</f>
        <v/>
      </c>
      <c r="K42" s="124">
        <f>IF($A42="",0,SUMIFS(SDDK!$C$8:$C$251,SDDK!$A$8:$A$251,$A42))</f>
        <v/>
      </c>
      <c r="L42" s="124">
        <f>IF($A42="",0,SUMIFS(SDDK!$D$8:$D$251,SDDK!$A$8:$A$251,$A42))</f>
        <v/>
      </c>
      <c r="M42" s="124">
        <f>IF($A42="",0,SUMIFS(NKC!$H$7:$H$3006,NKC!$F$7:$F$3006,$A42,NKC!$B$7:$B$3006,"&lt;"&amp;TU_NGAY))</f>
        <v/>
      </c>
      <c r="N42" s="124">
        <f>IF($A42="",0,SUMIFS(NKC!$H$7:$H$3006,NKC!$G$7:$G$3006,$A42,NKC!$B$7:$B$3006,"&lt;"&amp;TU_NGAY))</f>
        <v/>
      </c>
      <c r="O42" s="124">
        <f>IF($A42="",0,SUMIFS(NKC!$H$7:$H$3006,NKC!$F$7:$F$3006,$A42,NKC!$B$7:$B$3006,"&gt;="&amp;TU_NGAY,NKC!$B$7:$B$3006,"&lt;="&amp;DEN_NGAY))</f>
        <v/>
      </c>
      <c r="P42" s="124">
        <f>IF($A42="",0,SUMIFS(NKC!$H$7:$H$3006,NKC!$G$7:$G$3006,$A42,NKC!$B$7:$B$3006,"&gt;="&amp;TU_NGAY,NKC!$B$7:$B$3006,"&lt;="&amp;DEN_NGAY))</f>
        <v/>
      </c>
      <c r="Q42" s="124">
        <f>K42-L42+M42-N42</f>
        <v/>
      </c>
      <c r="R42" s="124">
        <f>MAX(Q42,0)</f>
        <v/>
      </c>
      <c r="S42" s="124">
        <f>MAX(-Q42,0)</f>
        <v/>
      </c>
      <c r="T42" s="124">
        <f>Q42+O42-P42</f>
        <v/>
      </c>
      <c r="U42" s="124">
        <f>MAX(T42,0)</f>
        <v/>
      </c>
      <c r="V42" s="124">
        <f>MAX(-T42,0)</f>
        <v/>
      </c>
    </row>
    <row r="43" ht="15" customHeight="1" s="78">
      <c r="A43" s="93" t="inlineStr">
        <is>
          <t>214</t>
        </is>
      </c>
      <c r="B43" s="94" t="inlineStr">
        <is>
          <t>Hao mòn tài sản cố định</t>
        </is>
      </c>
      <c r="C43" s="122" t="n">
        <v>1</v>
      </c>
      <c r="D43" s="123">
        <f>IF($A43="","",SUMIF($A$8:$A$251,$A43&amp;"*",R$8:R$251))</f>
        <v/>
      </c>
      <c r="E43" s="123">
        <f>IF($A43="","",SUMIF($A$8:$A$251,$A43&amp;"*",S$8:S$251))</f>
        <v/>
      </c>
      <c r="F43" s="123">
        <f>IF($A43="","",SUMIF($A$8:$A$251,$A43&amp;"*",O$8:O$251))</f>
        <v/>
      </c>
      <c r="G43" s="123">
        <f>IF($A43="","",SUMIF($A$8:$A$251,$A43&amp;"*",P$8:P$251))</f>
        <v/>
      </c>
      <c r="H43" s="123">
        <f>IF($A43="","",SUMIF($A$8:$A$251,$A43&amp;"*",U$8:U$251))</f>
        <v/>
      </c>
      <c r="I43" s="123">
        <f>IF($A43="","",SUMIF($A$8:$A$251,$A43&amp;"*",V$8:V$251))</f>
        <v/>
      </c>
      <c r="K43" s="124">
        <f>IF($A43="",0,SUMIFS(SDDK!$C$8:$C$251,SDDK!$A$8:$A$251,$A43))</f>
        <v/>
      </c>
      <c r="L43" s="124">
        <f>IF($A43="",0,SUMIFS(SDDK!$D$8:$D$251,SDDK!$A$8:$A$251,$A43))</f>
        <v/>
      </c>
      <c r="M43" s="124">
        <f>IF($A43="",0,SUMIFS(NKC!$H$7:$H$3006,NKC!$F$7:$F$3006,$A43,NKC!$B$7:$B$3006,"&lt;"&amp;TU_NGAY))</f>
        <v/>
      </c>
      <c r="N43" s="124">
        <f>IF($A43="",0,SUMIFS(NKC!$H$7:$H$3006,NKC!$G$7:$G$3006,$A43,NKC!$B$7:$B$3006,"&lt;"&amp;TU_NGAY))</f>
        <v/>
      </c>
      <c r="O43" s="124">
        <f>IF($A43="",0,SUMIFS(NKC!$H$7:$H$3006,NKC!$F$7:$F$3006,$A43,NKC!$B$7:$B$3006,"&gt;="&amp;TU_NGAY,NKC!$B$7:$B$3006,"&lt;="&amp;DEN_NGAY))</f>
        <v/>
      </c>
      <c r="P43" s="124">
        <f>IF($A43="",0,SUMIFS(NKC!$H$7:$H$3006,NKC!$G$7:$G$3006,$A43,NKC!$B$7:$B$3006,"&gt;="&amp;TU_NGAY,NKC!$B$7:$B$3006,"&lt;="&amp;DEN_NGAY))</f>
        <v/>
      </c>
      <c r="Q43" s="124">
        <f>K43-L43+M43-N43</f>
        <v/>
      </c>
      <c r="R43" s="124">
        <f>MAX(Q43,0)</f>
        <v/>
      </c>
      <c r="S43" s="124">
        <f>MAX(-Q43,0)</f>
        <v/>
      </c>
      <c r="T43" s="124">
        <f>Q43+O43-P43</f>
        <v/>
      </c>
      <c r="U43" s="124">
        <f>MAX(T43,0)</f>
        <v/>
      </c>
      <c r="V43" s="124">
        <f>MAX(-T43,0)</f>
        <v/>
      </c>
    </row>
    <row r="44" ht="15" customHeight="1" s="78">
      <c r="A44" s="96" t="inlineStr">
        <is>
          <t>2141</t>
        </is>
      </c>
      <c r="B44" s="97" t="inlineStr">
        <is>
          <t>Hao mòn TSCĐ hữu hình</t>
        </is>
      </c>
      <c r="C44" s="122" t="n">
        <v>2</v>
      </c>
      <c r="D44" s="125">
        <f>IF($A44="","",SUMIF($A$8:$A$251,$A44&amp;"*",R$8:R$251))</f>
        <v/>
      </c>
      <c r="E44" s="125">
        <f>IF($A44="","",SUMIF($A$8:$A$251,$A44&amp;"*",S$8:S$251))</f>
        <v/>
      </c>
      <c r="F44" s="125">
        <f>IF($A44="","",SUMIF($A$8:$A$251,$A44&amp;"*",O$8:O$251))</f>
        <v/>
      </c>
      <c r="G44" s="125">
        <f>IF($A44="","",SUMIF($A$8:$A$251,$A44&amp;"*",P$8:P$251))</f>
        <v/>
      </c>
      <c r="H44" s="125">
        <f>IF($A44="","",SUMIF($A$8:$A$251,$A44&amp;"*",U$8:U$251))</f>
        <v/>
      </c>
      <c r="I44" s="125">
        <f>IF($A44="","",SUMIF($A$8:$A$251,$A44&amp;"*",V$8:V$251))</f>
        <v/>
      </c>
      <c r="K44" s="124">
        <f>IF($A44="",0,SUMIFS(SDDK!$C$8:$C$251,SDDK!$A$8:$A$251,$A44))</f>
        <v/>
      </c>
      <c r="L44" s="124">
        <f>IF($A44="",0,SUMIFS(SDDK!$D$8:$D$251,SDDK!$A$8:$A$251,$A44))</f>
        <v/>
      </c>
      <c r="M44" s="124">
        <f>IF($A44="",0,SUMIFS(NKC!$H$7:$H$3006,NKC!$F$7:$F$3006,$A44,NKC!$B$7:$B$3006,"&lt;"&amp;TU_NGAY))</f>
        <v/>
      </c>
      <c r="N44" s="124">
        <f>IF($A44="",0,SUMIFS(NKC!$H$7:$H$3006,NKC!$G$7:$G$3006,$A44,NKC!$B$7:$B$3006,"&lt;"&amp;TU_NGAY))</f>
        <v/>
      </c>
      <c r="O44" s="124">
        <f>IF($A44="",0,SUMIFS(NKC!$H$7:$H$3006,NKC!$F$7:$F$3006,$A44,NKC!$B$7:$B$3006,"&gt;="&amp;TU_NGAY,NKC!$B$7:$B$3006,"&lt;="&amp;DEN_NGAY))</f>
        <v/>
      </c>
      <c r="P44" s="124">
        <f>IF($A44="",0,SUMIFS(NKC!$H$7:$H$3006,NKC!$G$7:$G$3006,$A44,NKC!$B$7:$B$3006,"&gt;="&amp;TU_NGAY,NKC!$B$7:$B$3006,"&lt;="&amp;DEN_NGAY))</f>
        <v/>
      </c>
      <c r="Q44" s="124">
        <f>K44-L44+M44-N44</f>
        <v/>
      </c>
      <c r="R44" s="124">
        <f>MAX(Q44,0)</f>
        <v/>
      </c>
      <c r="S44" s="124">
        <f>MAX(-Q44,0)</f>
        <v/>
      </c>
      <c r="T44" s="124">
        <f>Q44+O44-P44</f>
        <v/>
      </c>
      <c r="U44" s="124">
        <f>MAX(T44,0)</f>
        <v/>
      </c>
      <c r="V44" s="124">
        <f>MAX(-T44,0)</f>
        <v/>
      </c>
    </row>
    <row r="45" ht="15" customHeight="1" s="78">
      <c r="A45" s="96" t="inlineStr">
        <is>
          <t>2142</t>
        </is>
      </c>
      <c r="B45" s="97" t="inlineStr">
        <is>
          <t>Hao mòn TSCĐ thuê tài chính</t>
        </is>
      </c>
      <c r="C45" s="122" t="n">
        <v>2</v>
      </c>
      <c r="D45" s="125">
        <f>IF($A45="","",SUMIF($A$8:$A$251,$A45&amp;"*",R$8:R$251))</f>
        <v/>
      </c>
      <c r="E45" s="125">
        <f>IF($A45="","",SUMIF($A$8:$A$251,$A45&amp;"*",S$8:S$251))</f>
        <v/>
      </c>
      <c r="F45" s="125">
        <f>IF($A45="","",SUMIF($A$8:$A$251,$A45&amp;"*",O$8:O$251))</f>
        <v/>
      </c>
      <c r="G45" s="125">
        <f>IF($A45="","",SUMIF($A$8:$A$251,$A45&amp;"*",P$8:P$251))</f>
        <v/>
      </c>
      <c r="H45" s="125">
        <f>IF($A45="","",SUMIF($A$8:$A$251,$A45&amp;"*",U$8:U$251))</f>
        <v/>
      </c>
      <c r="I45" s="125">
        <f>IF($A45="","",SUMIF($A$8:$A$251,$A45&amp;"*",V$8:V$251))</f>
        <v/>
      </c>
      <c r="K45" s="124">
        <f>IF($A45="",0,SUMIFS(SDDK!$C$8:$C$251,SDDK!$A$8:$A$251,$A45))</f>
        <v/>
      </c>
      <c r="L45" s="124">
        <f>IF($A45="",0,SUMIFS(SDDK!$D$8:$D$251,SDDK!$A$8:$A$251,$A45))</f>
        <v/>
      </c>
      <c r="M45" s="124">
        <f>IF($A45="",0,SUMIFS(NKC!$H$7:$H$3006,NKC!$F$7:$F$3006,$A45,NKC!$B$7:$B$3006,"&lt;"&amp;TU_NGAY))</f>
        <v/>
      </c>
      <c r="N45" s="124">
        <f>IF($A45="",0,SUMIFS(NKC!$H$7:$H$3006,NKC!$G$7:$G$3006,$A45,NKC!$B$7:$B$3006,"&lt;"&amp;TU_NGAY))</f>
        <v/>
      </c>
      <c r="O45" s="124">
        <f>IF($A45="",0,SUMIFS(NKC!$H$7:$H$3006,NKC!$F$7:$F$3006,$A45,NKC!$B$7:$B$3006,"&gt;="&amp;TU_NGAY,NKC!$B$7:$B$3006,"&lt;="&amp;DEN_NGAY))</f>
        <v/>
      </c>
      <c r="P45" s="124">
        <f>IF($A45="",0,SUMIFS(NKC!$H$7:$H$3006,NKC!$G$7:$G$3006,$A45,NKC!$B$7:$B$3006,"&gt;="&amp;TU_NGAY,NKC!$B$7:$B$3006,"&lt;="&amp;DEN_NGAY))</f>
        <v/>
      </c>
      <c r="Q45" s="124">
        <f>K45-L45+M45-N45</f>
        <v/>
      </c>
      <c r="R45" s="124">
        <f>MAX(Q45,0)</f>
        <v/>
      </c>
      <c r="S45" s="124">
        <f>MAX(-Q45,0)</f>
        <v/>
      </c>
      <c r="T45" s="124">
        <f>Q45+O45-P45</f>
        <v/>
      </c>
      <c r="U45" s="124">
        <f>MAX(T45,0)</f>
        <v/>
      </c>
      <c r="V45" s="124">
        <f>MAX(-T45,0)</f>
        <v/>
      </c>
    </row>
    <row r="46" ht="15" customHeight="1" s="78">
      <c r="A46" s="96" t="inlineStr">
        <is>
          <t>2143</t>
        </is>
      </c>
      <c r="B46" s="97" t="inlineStr">
        <is>
          <t>Hao mòn TSCĐ vô hình</t>
        </is>
      </c>
      <c r="C46" s="122" t="n">
        <v>2</v>
      </c>
      <c r="D46" s="125">
        <f>IF($A46="","",SUMIF($A$8:$A$251,$A46&amp;"*",R$8:R$251))</f>
        <v/>
      </c>
      <c r="E46" s="125">
        <f>IF($A46="","",SUMIF($A$8:$A$251,$A46&amp;"*",S$8:S$251))</f>
        <v/>
      </c>
      <c r="F46" s="125">
        <f>IF($A46="","",SUMIF($A$8:$A$251,$A46&amp;"*",O$8:O$251))</f>
        <v/>
      </c>
      <c r="G46" s="125">
        <f>IF($A46="","",SUMIF($A$8:$A$251,$A46&amp;"*",P$8:P$251))</f>
        <v/>
      </c>
      <c r="H46" s="125">
        <f>IF($A46="","",SUMIF($A$8:$A$251,$A46&amp;"*",U$8:U$251))</f>
        <v/>
      </c>
      <c r="I46" s="125">
        <f>IF($A46="","",SUMIF($A$8:$A$251,$A46&amp;"*",V$8:V$251))</f>
        <v/>
      </c>
      <c r="K46" s="124">
        <f>IF($A46="",0,SUMIFS(SDDK!$C$8:$C$251,SDDK!$A$8:$A$251,$A46))</f>
        <v/>
      </c>
      <c r="L46" s="124">
        <f>IF($A46="",0,SUMIFS(SDDK!$D$8:$D$251,SDDK!$A$8:$A$251,$A46))</f>
        <v/>
      </c>
      <c r="M46" s="124">
        <f>IF($A46="",0,SUMIFS(NKC!$H$7:$H$3006,NKC!$F$7:$F$3006,$A46,NKC!$B$7:$B$3006,"&lt;"&amp;TU_NGAY))</f>
        <v/>
      </c>
      <c r="N46" s="124">
        <f>IF($A46="",0,SUMIFS(NKC!$H$7:$H$3006,NKC!$G$7:$G$3006,$A46,NKC!$B$7:$B$3006,"&lt;"&amp;TU_NGAY))</f>
        <v/>
      </c>
      <c r="O46" s="124">
        <f>IF($A46="",0,SUMIFS(NKC!$H$7:$H$3006,NKC!$F$7:$F$3006,$A46,NKC!$B$7:$B$3006,"&gt;="&amp;TU_NGAY,NKC!$B$7:$B$3006,"&lt;="&amp;DEN_NGAY))</f>
        <v/>
      </c>
      <c r="P46" s="124">
        <f>IF($A46="",0,SUMIFS(NKC!$H$7:$H$3006,NKC!$G$7:$G$3006,$A46,NKC!$B$7:$B$3006,"&gt;="&amp;TU_NGAY,NKC!$B$7:$B$3006,"&lt;="&amp;DEN_NGAY))</f>
        <v/>
      </c>
      <c r="Q46" s="124">
        <f>K46-L46+M46-N46</f>
        <v/>
      </c>
      <c r="R46" s="124">
        <f>MAX(Q46,0)</f>
        <v/>
      </c>
      <c r="S46" s="124">
        <f>MAX(-Q46,0)</f>
        <v/>
      </c>
      <c r="T46" s="124">
        <f>Q46+O46-P46</f>
        <v/>
      </c>
      <c r="U46" s="124">
        <f>MAX(T46,0)</f>
        <v/>
      </c>
      <c r="V46" s="124">
        <f>MAX(-T46,0)</f>
        <v/>
      </c>
    </row>
    <row r="47" ht="15" customHeight="1" s="78">
      <c r="A47" s="96" t="inlineStr">
        <is>
          <t>2147</t>
        </is>
      </c>
      <c r="B47" s="97" t="inlineStr">
        <is>
          <t>Hao mòn bất động sản đầu tư</t>
        </is>
      </c>
      <c r="C47" s="122" t="n">
        <v>2</v>
      </c>
      <c r="D47" s="125">
        <f>IF($A47="","",SUMIF($A$8:$A$251,$A47&amp;"*",R$8:R$251))</f>
        <v/>
      </c>
      <c r="E47" s="125">
        <f>IF($A47="","",SUMIF($A$8:$A$251,$A47&amp;"*",S$8:S$251))</f>
        <v/>
      </c>
      <c r="F47" s="125">
        <f>IF($A47="","",SUMIF($A$8:$A$251,$A47&amp;"*",O$8:O$251))</f>
        <v/>
      </c>
      <c r="G47" s="125">
        <f>IF($A47="","",SUMIF($A$8:$A$251,$A47&amp;"*",P$8:P$251))</f>
        <v/>
      </c>
      <c r="H47" s="125">
        <f>IF($A47="","",SUMIF($A$8:$A$251,$A47&amp;"*",U$8:U$251))</f>
        <v/>
      </c>
      <c r="I47" s="125">
        <f>IF($A47="","",SUMIF($A$8:$A$251,$A47&amp;"*",V$8:V$251))</f>
        <v/>
      </c>
      <c r="K47" s="124">
        <f>IF($A47="",0,SUMIFS(SDDK!$C$8:$C$251,SDDK!$A$8:$A$251,$A47))</f>
        <v/>
      </c>
      <c r="L47" s="124">
        <f>IF($A47="",0,SUMIFS(SDDK!$D$8:$D$251,SDDK!$A$8:$A$251,$A47))</f>
        <v/>
      </c>
      <c r="M47" s="124">
        <f>IF($A47="",0,SUMIFS(NKC!$H$7:$H$3006,NKC!$F$7:$F$3006,$A47,NKC!$B$7:$B$3006,"&lt;"&amp;TU_NGAY))</f>
        <v/>
      </c>
      <c r="N47" s="124">
        <f>IF($A47="",0,SUMIFS(NKC!$H$7:$H$3006,NKC!$G$7:$G$3006,$A47,NKC!$B$7:$B$3006,"&lt;"&amp;TU_NGAY))</f>
        <v/>
      </c>
      <c r="O47" s="124">
        <f>IF($A47="",0,SUMIFS(NKC!$H$7:$H$3006,NKC!$F$7:$F$3006,$A47,NKC!$B$7:$B$3006,"&gt;="&amp;TU_NGAY,NKC!$B$7:$B$3006,"&lt;="&amp;DEN_NGAY))</f>
        <v/>
      </c>
      <c r="P47" s="124">
        <f>IF($A47="",0,SUMIFS(NKC!$H$7:$H$3006,NKC!$G$7:$G$3006,$A47,NKC!$B$7:$B$3006,"&gt;="&amp;TU_NGAY,NKC!$B$7:$B$3006,"&lt;="&amp;DEN_NGAY))</f>
        <v/>
      </c>
      <c r="Q47" s="124">
        <f>K47-L47+M47-N47</f>
        <v/>
      </c>
      <c r="R47" s="124">
        <f>MAX(Q47,0)</f>
        <v/>
      </c>
      <c r="S47" s="124">
        <f>MAX(-Q47,0)</f>
        <v/>
      </c>
      <c r="T47" s="124">
        <f>Q47+O47-P47</f>
        <v/>
      </c>
      <c r="U47" s="124">
        <f>MAX(T47,0)</f>
        <v/>
      </c>
      <c r="V47" s="124">
        <f>MAX(-T47,0)</f>
        <v/>
      </c>
    </row>
    <row r="48" ht="15" customHeight="1" s="78">
      <c r="A48" s="93" t="inlineStr">
        <is>
          <t>215</t>
        </is>
      </c>
      <c r="B48" s="94" t="inlineStr">
        <is>
          <t>Tài sản sinh học</t>
        </is>
      </c>
      <c r="C48" s="122" t="n">
        <v>1</v>
      </c>
      <c r="D48" s="123">
        <f>IF($A48="","",SUMIF($A$8:$A$251,$A48&amp;"*",R$8:R$251))</f>
        <v/>
      </c>
      <c r="E48" s="123">
        <f>IF($A48="","",SUMIF($A$8:$A$251,$A48&amp;"*",S$8:S$251))</f>
        <v/>
      </c>
      <c r="F48" s="123">
        <f>IF($A48="","",SUMIF($A$8:$A$251,$A48&amp;"*",O$8:O$251))</f>
        <v/>
      </c>
      <c r="G48" s="123">
        <f>IF($A48="","",SUMIF($A$8:$A$251,$A48&amp;"*",P$8:P$251))</f>
        <v/>
      </c>
      <c r="H48" s="123">
        <f>IF($A48="","",SUMIF($A$8:$A$251,$A48&amp;"*",U$8:U$251))</f>
        <v/>
      </c>
      <c r="I48" s="123">
        <f>IF($A48="","",SUMIF($A$8:$A$251,$A48&amp;"*",V$8:V$251))</f>
        <v/>
      </c>
      <c r="K48" s="124">
        <f>IF($A48="",0,SUMIFS(SDDK!$C$8:$C$251,SDDK!$A$8:$A$251,$A48))</f>
        <v/>
      </c>
      <c r="L48" s="124">
        <f>IF($A48="",0,SUMIFS(SDDK!$D$8:$D$251,SDDK!$A$8:$A$251,$A48))</f>
        <v/>
      </c>
      <c r="M48" s="124">
        <f>IF($A48="",0,SUMIFS(NKC!$H$7:$H$3006,NKC!$F$7:$F$3006,$A48,NKC!$B$7:$B$3006,"&lt;"&amp;TU_NGAY))</f>
        <v/>
      </c>
      <c r="N48" s="124">
        <f>IF($A48="",0,SUMIFS(NKC!$H$7:$H$3006,NKC!$G$7:$G$3006,$A48,NKC!$B$7:$B$3006,"&lt;"&amp;TU_NGAY))</f>
        <v/>
      </c>
      <c r="O48" s="124">
        <f>IF($A48="",0,SUMIFS(NKC!$H$7:$H$3006,NKC!$F$7:$F$3006,$A48,NKC!$B$7:$B$3006,"&gt;="&amp;TU_NGAY,NKC!$B$7:$B$3006,"&lt;="&amp;DEN_NGAY))</f>
        <v/>
      </c>
      <c r="P48" s="124">
        <f>IF($A48="",0,SUMIFS(NKC!$H$7:$H$3006,NKC!$G$7:$G$3006,$A48,NKC!$B$7:$B$3006,"&gt;="&amp;TU_NGAY,NKC!$B$7:$B$3006,"&lt;="&amp;DEN_NGAY))</f>
        <v/>
      </c>
      <c r="Q48" s="124">
        <f>K48-L48+M48-N48</f>
        <v/>
      </c>
      <c r="R48" s="124">
        <f>MAX(Q48,0)</f>
        <v/>
      </c>
      <c r="S48" s="124">
        <f>MAX(-Q48,0)</f>
        <v/>
      </c>
      <c r="T48" s="124">
        <f>Q48+O48-P48</f>
        <v/>
      </c>
      <c r="U48" s="124">
        <f>MAX(T48,0)</f>
        <v/>
      </c>
      <c r="V48" s="124">
        <f>MAX(-T48,0)</f>
        <v/>
      </c>
    </row>
    <row r="49" ht="15" customHeight="1" s="78">
      <c r="A49" s="96" t="inlineStr">
        <is>
          <t>2151</t>
        </is>
      </c>
      <c r="B49" s="97" t="inlineStr">
        <is>
          <t>Súc vật nuôi cho sản phẩm định kỳ</t>
        </is>
      </c>
      <c r="C49" s="122" t="n">
        <v>2</v>
      </c>
      <c r="D49" s="125">
        <f>IF($A49="","",SUMIF($A$8:$A$251,$A49&amp;"*",R$8:R$251))</f>
        <v/>
      </c>
      <c r="E49" s="125">
        <f>IF($A49="","",SUMIF($A$8:$A$251,$A49&amp;"*",S$8:S$251))</f>
        <v/>
      </c>
      <c r="F49" s="125">
        <f>IF($A49="","",SUMIF($A$8:$A$251,$A49&amp;"*",O$8:O$251))</f>
        <v/>
      </c>
      <c r="G49" s="125">
        <f>IF($A49="","",SUMIF($A$8:$A$251,$A49&amp;"*",P$8:P$251))</f>
        <v/>
      </c>
      <c r="H49" s="125">
        <f>IF($A49="","",SUMIF($A$8:$A$251,$A49&amp;"*",U$8:U$251))</f>
        <v/>
      </c>
      <c r="I49" s="125">
        <f>IF($A49="","",SUMIF($A$8:$A$251,$A49&amp;"*",V$8:V$251))</f>
        <v/>
      </c>
      <c r="K49" s="124">
        <f>IF($A49="",0,SUMIFS(SDDK!$C$8:$C$251,SDDK!$A$8:$A$251,$A49))</f>
        <v/>
      </c>
      <c r="L49" s="124">
        <f>IF($A49="",0,SUMIFS(SDDK!$D$8:$D$251,SDDK!$A$8:$A$251,$A49))</f>
        <v/>
      </c>
      <c r="M49" s="124">
        <f>IF($A49="",0,SUMIFS(NKC!$H$7:$H$3006,NKC!$F$7:$F$3006,$A49,NKC!$B$7:$B$3006,"&lt;"&amp;TU_NGAY))</f>
        <v/>
      </c>
      <c r="N49" s="124">
        <f>IF($A49="",0,SUMIFS(NKC!$H$7:$H$3006,NKC!$G$7:$G$3006,$A49,NKC!$B$7:$B$3006,"&lt;"&amp;TU_NGAY))</f>
        <v/>
      </c>
      <c r="O49" s="124">
        <f>IF($A49="",0,SUMIFS(NKC!$H$7:$H$3006,NKC!$F$7:$F$3006,$A49,NKC!$B$7:$B$3006,"&gt;="&amp;TU_NGAY,NKC!$B$7:$B$3006,"&lt;="&amp;DEN_NGAY))</f>
        <v/>
      </c>
      <c r="P49" s="124">
        <f>IF($A49="",0,SUMIFS(NKC!$H$7:$H$3006,NKC!$G$7:$G$3006,$A49,NKC!$B$7:$B$3006,"&gt;="&amp;TU_NGAY,NKC!$B$7:$B$3006,"&lt;="&amp;DEN_NGAY))</f>
        <v/>
      </c>
      <c r="Q49" s="124">
        <f>K49-L49+M49-N49</f>
        <v/>
      </c>
      <c r="R49" s="124">
        <f>MAX(Q49,0)</f>
        <v/>
      </c>
      <c r="S49" s="124">
        <f>MAX(-Q49,0)</f>
        <v/>
      </c>
      <c r="T49" s="124">
        <f>Q49+O49-P49</f>
        <v/>
      </c>
      <c r="U49" s="124">
        <f>MAX(T49,0)</f>
        <v/>
      </c>
      <c r="V49" s="124">
        <f>MAX(-T49,0)</f>
        <v/>
      </c>
    </row>
    <row r="50" ht="15" customHeight="1" s="78">
      <c r="A50" s="96" t="inlineStr">
        <is>
          <t>21511</t>
        </is>
      </c>
      <c r="B50" s="97" t="inlineStr">
        <is>
          <t>Súc vật chưa trưởng thành</t>
        </is>
      </c>
      <c r="C50" s="122" t="n">
        <v>3</v>
      </c>
      <c r="D50" s="125">
        <f>IF($A50="","",SUMIF($A$8:$A$251,$A50&amp;"*",R$8:R$251))</f>
        <v/>
      </c>
      <c r="E50" s="125">
        <f>IF($A50="","",SUMIF($A$8:$A$251,$A50&amp;"*",S$8:S$251))</f>
        <v/>
      </c>
      <c r="F50" s="125">
        <f>IF($A50="","",SUMIF($A$8:$A$251,$A50&amp;"*",O$8:O$251))</f>
        <v/>
      </c>
      <c r="G50" s="125">
        <f>IF($A50="","",SUMIF($A$8:$A$251,$A50&amp;"*",P$8:P$251))</f>
        <v/>
      </c>
      <c r="H50" s="125">
        <f>IF($A50="","",SUMIF($A$8:$A$251,$A50&amp;"*",U$8:U$251))</f>
        <v/>
      </c>
      <c r="I50" s="125">
        <f>IF($A50="","",SUMIF($A$8:$A$251,$A50&amp;"*",V$8:V$251))</f>
        <v/>
      </c>
      <c r="K50" s="124">
        <f>IF($A50="",0,SUMIFS(SDDK!$C$8:$C$251,SDDK!$A$8:$A$251,$A50))</f>
        <v/>
      </c>
      <c r="L50" s="124">
        <f>IF($A50="",0,SUMIFS(SDDK!$D$8:$D$251,SDDK!$A$8:$A$251,$A50))</f>
        <v/>
      </c>
      <c r="M50" s="124">
        <f>IF($A50="",0,SUMIFS(NKC!$H$7:$H$3006,NKC!$F$7:$F$3006,$A50,NKC!$B$7:$B$3006,"&lt;"&amp;TU_NGAY))</f>
        <v/>
      </c>
      <c r="N50" s="124">
        <f>IF($A50="",0,SUMIFS(NKC!$H$7:$H$3006,NKC!$G$7:$G$3006,$A50,NKC!$B$7:$B$3006,"&lt;"&amp;TU_NGAY))</f>
        <v/>
      </c>
      <c r="O50" s="124">
        <f>IF($A50="",0,SUMIFS(NKC!$H$7:$H$3006,NKC!$F$7:$F$3006,$A50,NKC!$B$7:$B$3006,"&gt;="&amp;TU_NGAY,NKC!$B$7:$B$3006,"&lt;="&amp;DEN_NGAY))</f>
        <v/>
      </c>
      <c r="P50" s="124">
        <f>IF($A50="",0,SUMIFS(NKC!$H$7:$H$3006,NKC!$G$7:$G$3006,$A50,NKC!$B$7:$B$3006,"&gt;="&amp;TU_NGAY,NKC!$B$7:$B$3006,"&lt;="&amp;DEN_NGAY))</f>
        <v/>
      </c>
      <c r="Q50" s="124">
        <f>K50-L50+M50-N50</f>
        <v/>
      </c>
      <c r="R50" s="124">
        <f>MAX(Q50,0)</f>
        <v/>
      </c>
      <c r="S50" s="124">
        <f>MAX(-Q50,0)</f>
        <v/>
      </c>
      <c r="T50" s="124">
        <f>Q50+O50-P50</f>
        <v/>
      </c>
      <c r="U50" s="124">
        <f>MAX(T50,0)</f>
        <v/>
      </c>
      <c r="V50" s="124">
        <f>MAX(-T50,0)</f>
        <v/>
      </c>
    </row>
    <row r="51" ht="15" customHeight="1" s="78">
      <c r="A51" s="96" t="inlineStr">
        <is>
          <t>21512</t>
        </is>
      </c>
      <c r="B51" s="97" t="inlineStr">
        <is>
          <t>Súc vật đã trưởng thành</t>
        </is>
      </c>
      <c r="C51" s="122" t="n">
        <v>3</v>
      </c>
      <c r="D51" s="125">
        <f>IF($A51="","",SUMIF($A$8:$A$251,$A51&amp;"*",R$8:R$251))</f>
        <v/>
      </c>
      <c r="E51" s="125">
        <f>IF($A51="","",SUMIF($A$8:$A$251,$A51&amp;"*",S$8:S$251))</f>
        <v/>
      </c>
      <c r="F51" s="125">
        <f>IF($A51="","",SUMIF($A$8:$A$251,$A51&amp;"*",O$8:O$251))</f>
        <v/>
      </c>
      <c r="G51" s="125">
        <f>IF($A51="","",SUMIF($A$8:$A$251,$A51&amp;"*",P$8:P$251))</f>
        <v/>
      </c>
      <c r="H51" s="125">
        <f>IF($A51="","",SUMIF($A$8:$A$251,$A51&amp;"*",U$8:U$251))</f>
        <v/>
      </c>
      <c r="I51" s="125">
        <f>IF($A51="","",SUMIF($A$8:$A$251,$A51&amp;"*",V$8:V$251))</f>
        <v/>
      </c>
      <c r="K51" s="124">
        <f>IF($A51="",0,SUMIFS(SDDK!$C$8:$C$251,SDDK!$A$8:$A$251,$A51))</f>
        <v/>
      </c>
      <c r="L51" s="124">
        <f>IF($A51="",0,SUMIFS(SDDK!$D$8:$D$251,SDDK!$A$8:$A$251,$A51))</f>
        <v/>
      </c>
      <c r="M51" s="124">
        <f>IF($A51="",0,SUMIFS(NKC!$H$7:$H$3006,NKC!$F$7:$F$3006,$A51,NKC!$B$7:$B$3006,"&lt;"&amp;TU_NGAY))</f>
        <v/>
      </c>
      <c r="N51" s="124">
        <f>IF($A51="",0,SUMIFS(NKC!$H$7:$H$3006,NKC!$G$7:$G$3006,$A51,NKC!$B$7:$B$3006,"&lt;"&amp;TU_NGAY))</f>
        <v/>
      </c>
      <c r="O51" s="124">
        <f>IF($A51="",0,SUMIFS(NKC!$H$7:$H$3006,NKC!$F$7:$F$3006,$A51,NKC!$B$7:$B$3006,"&gt;="&amp;TU_NGAY,NKC!$B$7:$B$3006,"&lt;="&amp;DEN_NGAY))</f>
        <v/>
      </c>
      <c r="P51" s="124">
        <f>IF($A51="",0,SUMIFS(NKC!$H$7:$H$3006,NKC!$G$7:$G$3006,$A51,NKC!$B$7:$B$3006,"&gt;="&amp;TU_NGAY,NKC!$B$7:$B$3006,"&lt;="&amp;DEN_NGAY))</f>
        <v/>
      </c>
      <c r="Q51" s="124">
        <f>K51-L51+M51-N51</f>
        <v/>
      </c>
      <c r="R51" s="124">
        <f>MAX(Q51,0)</f>
        <v/>
      </c>
      <c r="S51" s="124">
        <f>MAX(-Q51,0)</f>
        <v/>
      </c>
      <c r="T51" s="124">
        <f>Q51+O51-P51</f>
        <v/>
      </c>
      <c r="U51" s="124">
        <f>MAX(T51,0)</f>
        <v/>
      </c>
      <c r="V51" s="124">
        <f>MAX(-T51,0)</f>
        <v/>
      </c>
    </row>
    <row r="52" ht="15" customHeight="1" s="78">
      <c r="A52" s="96" t="inlineStr">
        <is>
          <t>215121</t>
        </is>
      </c>
      <c r="B52" s="97" t="inlineStr">
        <is>
          <t>Nguyên giá</t>
        </is>
      </c>
      <c r="C52" s="122" t="n">
        <v>4</v>
      </c>
      <c r="D52" s="125">
        <f>IF($A52="","",SUMIF($A$8:$A$251,$A52&amp;"*",R$8:R$251))</f>
        <v/>
      </c>
      <c r="E52" s="125">
        <f>IF($A52="","",SUMIF($A$8:$A$251,$A52&amp;"*",S$8:S$251))</f>
        <v/>
      </c>
      <c r="F52" s="125">
        <f>IF($A52="","",SUMIF($A$8:$A$251,$A52&amp;"*",O$8:O$251))</f>
        <v/>
      </c>
      <c r="G52" s="125">
        <f>IF($A52="","",SUMIF($A$8:$A$251,$A52&amp;"*",P$8:P$251))</f>
        <v/>
      </c>
      <c r="H52" s="125">
        <f>IF($A52="","",SUMIF($A$8:$A$251,$A52&amp;"*",U$8:U$251))</f>
        <v/>
      </c>
      <c r="I52" s="125">
        <f>IF($A52="","",SUMIF($A$8:$A$251,$A52&amp;"*",V$8:V$251))</f>
        <v/>
      </c>
      <c r="K52" s="124">
        <f>IF($A52="",0,SUMIFS(SDDK!$C$8:$C$251,SDDK!$A$8:$A$251,$A52))</f>
        <v/>
      </c>
      <c r="L52" s="124">
        <f>IF($A52="",0,SUMIFS(SDDK!$D$8:$D$251,SDDK!$A$8:$A$251,$A52))</f>
        <v/>
      </c>
      <c r="M52" s="124">
        <f>IF($A52="",0,SUMIFS(NKC!$H$7:$H$3006,NKC!$F$7:$F$3006,$A52,NKC!$B$7:$B$3006,"&lt;"&amp;TU_NGAY))</f>
        <v/>
      </c>
      <c r="N52" s="124">
        <f>IF($A52="",0,SUMIFS(NKC!$H$7:$H$3006,NKC!$G$7:$G$3006,$A52,NKC!$B$7:$B$3006,"&lt;"&amp;TU_NGAY))</f>
        <v/>
      </c>
      <c r="O52" s="124">
        <f>IF($A52="",0,SUMIFS(NKC!$H$7:$H$3006,NKC!$F$7:$F$3006,$A52,NKC!$B$7:$B$3006,"&gt;="&amp;TU_NGAY,NKC!$B$7:$B$3006,"&lt;="&amp;DEN_NGAY))</f>
        <v/>
      </c>
      <c r="P52" s="124">
        <f>IF($A52="",0,SUMIFS(NKC!$H$7:$H$3006,NKC!$G$7:$G$3006,$A52,NKC!$B$7:$B$3006,"&gt;="&amp;TU_NGAY,NKC!$B$7:$B$3006,"&lt;="&amp;DEN_NGAY))</f>
        <v/>
      </c>
      <c r="Q52" s="124">
        <f>K52-L52+M52-N52</f>
        <v/>
      </c>
      <c r="R52" s="124">
        <f>MAX(Q52,0)</f>
        <v/>
      </c>
      <c r="S52" s="124">
        <f>MAX(-Q52,0)</f>
        <v/>
      </c>
      <c r="T52" s="124">
        <f>Q52+O52-P52</f>
        <v/>
      </c>
      <c r="U52" s="124">
        <f>MAX(T52,0)</f>
        <v/>
      </c>
      <c r="V52" s="124">
        <f>MAX(-T52,0)</f>
        <v/>
      </c>
    </row>
    <row r="53" ht="15" customHeight="1" s="78">
      <c r="A53" s="96" t="inlineStr">
        <is>
          <t>215122</t>
        </is>
      </c>
      <c r="B53" s="97" t="inlineStr">
        <is>
          <t>Giá trị khấu hao lũy kế</t>
        </is>
      </c>
      <c r="C53" s="122" t="n">
        <v>4</v>
      </c>
      <c r="D53" s="125">
        <f>IF($A53="","",SUMIF($A$8:$A$251,$A53&amp;"*",R$8:R$251))</f>
        <v/>
      </c>
      <c r="E53" s="125">
        <f>IF($A53="","",SUMIF($A$8:$A$251,$A53&amp;"*",S$8:S$251))</f>
        <v/>
      </c>
      <c r="F53" s="125">
        <f>IF($A53="","",SUMIF($A$8:$A$251,$A53&amp;"*",O$8:O$251))</f>
        <v/>
      </c>
      <c r="G53" s="125">
        <f>IF($A53="","",SUMIF($A$8:$A$251,$A53&amp;"*",P$8:P$251))</f>
        <v/>
      </c>
      <c r="H53" s="125">
        <f>IF($A53="","",SUMIF($A$8:$A$251,$A53&amp;"*",U$8:U$251))</f>
        <v/>
      </c>
      <c r="I53" s="125">
        <f>IF($A53="","",SUMIF($A$8:$A$251,$A53&amp;"*",V$8:V$251))</f>
        <v/>
      </c>
      <c r="K53" s="124">
        <f>IF($A53="",0,SUMIFS(SDDK!$C$8:$C$251,SDDK!$A$8:$A$251,$A53))</f>
        <v/>
      </c>
      <c r="L53" s="124">
        <f>IF($A53="",0,SUMIFS(SDDK!$D$8:$D$251,SDDK!$A$8:$A$251,$A53))</f>
        <v/>
      </c>
      <c r="M53" s="124">
        <f>IF($A53="",0,SUMIFS(NKC!$H$7:$H$3006,NKC!$F$7:$F$3006,$A53,NKC!$B$7:$B$3006,"&lt;"&amp;TU_NGAY))</f>
        <v/>
      </c>
      <c r="N53" s="124">
        <f>IF($A53="",0,SUMIFS(NKC!$H$7:$H$3006,NKC!$G$7:$G$3006,$A53,NKC!$B$7:$B$3006,"&lt;"&amp;TU_NGAY))</f>
        <v/>
      </c>
      <c r="O53" s="124">
        <f>IF($A53="",0,SUMIFS(NKC!$H$7:$H$3006,NKC!$F$7:$F$3006,$A53,NKC!$B$7:$B$3006,"&gt;="&amp;TU_NGAY,NKC!$B$7:$B$3006,"&lt;="&amp;DEN_NGAY))</f>
        <v/>
      </c>
      <c r="P53" s="124">
        <f>IF($A53="",0,SUMIFS(NKC!$H$7:$H$3006,NKC!$G$7:$G$3006,$A53,NKC!$B$7:$B$3006,"&gt;="&amp;TU_NGAY,NKC!$B$7:$B$3006,"&lt;="&amp;DEN_NGAY))</f>
        <v/>
      </c>
      <c r="Q53" s="124">
        <f>K53-L53+M53-N53</f>
        <v/>
      </c>
      <c r="R53" s="124">
        <f>MAX(Q53,0)</f>
        <v/>
      </c>
      <c r="S53" s="124">
        <f>MAX(-Q53,0)</f>
        <v/>
      </c>
      <c r="T53" s="124">
        <f>Q53+O53-P53</f>
        <v/>
      </c>
      <c r="U53" s="124">
        <f>MAX(T53,0)</f>
        <v/>
      </c>
      <c r="V53" s="124">
        <f>MAX(-T53,0)</f>
        <v/>
      </c>
    </row>
    <row r="54" ht="15" customHeight="1" s="78">
      <c r="A54" s="96" t="inlineStr">
        <is>
          <t>2152</t>
        </is>
      </c>
      <c r="B54" s="97" t="inlineStr">
        <is>
          <t>Súc vật nuôi lấy sản phẩm một lần</t>
        </is>
      </c>
      <c r="C54" s="122" t="n">
        <v>2</v>
      </c>
      <c r="D54" s="125">
        <f>IF($A54="","",SUMIF($A$8:$A$251,$A54&amp;"*",R$8:R$251))</f>
        <v/>
      </c>
      <c r="E54" s="125">
        <f>IF($A54="","",SUMIF($A$8:$A$251,$A54&amp;"*",S$8:S$251))</f>
        <v/>
      </c>
      <c r="F54" s="125">
        <f>IF($A54="","",SUMIF($A$8:$A$251,$A54&amp;"*",O$8:O$251))</f>
        <v/>
      </c>
      <c r="G54" s="125">
        <f>IF($A54="","",SUMIF($A$8:$A$251,$A54&amp;"*",P$8:P$251))</f>
        <v/>
      </c>
      <c r="H54" s="125">
        <f>IF($A54="","",SUMIF($A$8:$A$251,$A54&amp;"*",U$8:U$251))</f>
        <v/>
      </c>
      <c r="I54" s="125">
        <f>IF($A54="","",SUMIF($A$8:$A$251,$A54&amp;"*",V$8:V$251))</f>
        <v/>
      </c>
      <c r="K54" s="124">
        <f>IF($A54="",0,SUMIFS(SDDK!$C$8:$C$251,SDDK!$A$8:$A$251,$A54))</f>
        <v/>
      </c>
      <c r="L54" s="124">
        <f>IF($A54="",0,SUMIFS(SDDK!$D$8:$D$251,SDDK!$A$8:$A$251,$A54))</f>
        <v/>
      </c>
      <c r="M54" s="124">
        <f>IF($A54="",0,SUMIFS(NKC!$H$7:$H$3006,NKC!$F$7:$F$3006,$A54,NKC!$B$7:$B$3006,"&lt;"&amp;TU_NGAY))</f>
        <v/>
      </c>
      <c r="N54" s="124">
        <f>IF($A54="",0,SUMIFS(NKC!$H$7:$H$3006,NKC!$G$7:$G$3006,$A54,NKC!$B$7:$B$3006,"&lt;"&amp;TU_NGAY))</f>
        <v/>
      </c>
      <c r="O54" s="124">
        <f>IF($A54="",0,SUMIFS(NKC!$H$7:$H$3006,NKC!$F$7:$F$3006,$A54,NKC!$B$7:$B$3006,"&gt;="&amp;TU_NGAY,NKC!$B$7:$B$3006,"&lt;="&amp;DEN_NGAY))</f>
        <v/>
      </c>
      <c r="P54" s="124">
        <f>IF($A54="",0,SUMIFS(NKC!$H$7:$H$3006,NKC!$G$7:$G$3006,$A54,NKC!$B$7:$B$3006,"&gt;="&amp;TU_NGAY,NKC!$B$7:$B$3006,"&lt;="&amp;DEN_NGAY))</f>
        <v/>
      </c>
      <c r="Q54" s="124">
        <f>K54-L54+M54-N54</f>
        <v/>
      </c>
      <c r="R54" s="124">
        <f>MAX(Q54,0)</f>
        <v/>
      </c>
      <c r="S54" s="124">
        <f>MAX(-Q54,0)</f>
        <v/>
      </c>
      <c r="T54" s="124">
        <f>Q54+O54-P54</f>
        <v/>
      </c>
      <c r="U54" s="124">
        <f>MAX(T54,0)</f>
        <v/>
      </c>
      <c r="V54" s="124">
        <f>MAX(-T54,0)</f>
        <v/>
      </c>
    </row>
    <row r="55" ht="15" customHeight="1" s="78">
      <c r="A55" s="96" t="inlineStr">
        <is>
          <t>2153</t>
        </is>
      </c>
      <c r="B55" s="97" t="inlineStr">
        <is>
          <t>Cây trồng theo mùa vụ hoặc lấy sản phẩm một lần</t>
        </is>
      </c>
      <c r="C55" s="122" t="n">
        <v>2</v>
      </c>
      <c r="D55" s="125">
        <f>IF($A55="","",SUMIF($A$8:$A$251,$A55&amp;"*",R$8:R$251))</f>
        <v/>
      </c>
      <c r="E55" s="125">
        <f>IF($A55="","",SUMIF($A$8:$A$251,$A55&amp;"*",S$8:S$251))</f>
        <v/>
      </c>
      <c r="F55" s="125">
        <f>IF($A55="","",SUMIF($A$8:$A$251,$A55&amp;"*",O$8:O$251))</f>
        <v/>
      </c>
      <c r="G55" s="125">
        <f>IF($A55="","",SUMIF($A$8:$A$251,$A55&amp;"*",P$8:P$251))</f>
        <v/>
      </c>
      <c r="H55" s="125">
        <f>IF($A55="","",SUMIF($A$8:$A$251,$A55&amp;"*",U$8:U$251))</f>
        <v/>
      </c>
      <c r="I55" s="125">
        <f>IF($A55="","",SUMIF($A$8:$A$251,$A55&amp;"*",V$8:V$251))</f>
        <v/>
      </c>
      <c r="K55" s="124">
        <f>IF($A55="",0,SUMIFS(SDDK!$C$8:$C$251,SDDK!$A$8:$A$251,$A55))</f>
        <v/>
      </c>
      <c r="L55" s="124">
        <f>IF($A55="",0,SUMIFS(SDDK!$D$8:$D$251,SDDK!$A$8:$A$251,$A55))</f>
        <v/>
      </c>
      <c r="M55" s="124">
        <f>IF($A55="",0,SUMIFS(NKC!$H$7:$H$3006,NKC!$F$7:$F$3006,$A55,NKC!$B$7:$B$3006,"&lt;"&amp;TU_NGAY))</f>
        <v/>
      </c>
      <c r="N55" s="124">
        <f>IF($A55="",0,SUMIFS(NKC!$H$7:$H$3006,NKC!$G$7:$G$3006,$A55,NKC!$B$7:$B$3006,"&lt;"&amp;TU_NGAY))</f>
        <v/>
      </c>
      <c r="O55" s="124">
        <f>IF($A55="",0,SUMIFS(NKC!$H$7:$H$3006,NKC!$F$7:$F$3006,$A55,NKC!$B$7:$B$3006,"&gt;="&amp;TU_NGAY,NKC!$B$7:$B$3006,"&lt;="&amp;DEN_NGAY))</f>
        <v/>
      </c>
      <c r="P55" s="124">
        <f>IF($A55="",0,SUMIFS(NKC!$H$7:$H$3006,NKC!$G$7:$G$3006,$A55,NKC!$B$7:$B$3006,"&gt;="&amp;TU_NGAY,NKC!$B$7:$B$3006,"&lt;="&amp;DEN_NGAY))</f>
        <v/>
      </c>
      <c r="Q55" s="124">
        <f>K55-L55+M55-N55</f>
        <v/>
      </c>
      <c r="R55" s="124">
        <f>MAX(Q55,0)</f>
        <v/>
      </c>
      <c r="S55" s="124">
        <f>MAX(-Q55,0)</f>
        <v/>
      </c>
      <c r="T55" s="124">
        <f>Q55+O55-P55</f>
        <v/>
      </c>
      <c r="U55" s="124">
        <f>MAX(T55,0)</f>
        <v/>
      </c>
      <c r="V55" s="124">
        <f>MAX(-T55,0)</f>
        <v/>
      </c>
    </row>
    <row r="56" ht="15" customHeight="1" s="78">
      <c r="A56" s="93" t="inlineStr">
        <is>
          <t>217</t>
        </is>
      </c>
      <c r="B56" s="94" t="inlineStr">
        <is>
          <t>Bất động sản đầu tư</t>
        </is>
      </c>
      <c r="C56" s="122" t="n">
        <v>1</v>
      </c>
      <c r="D56" s="123">
        <f>IF($A56="","",SUMIF($A$8:$A$251,$A56&amp;"*",R$8:R$251))</f>
        <v/>
      </c>
      <c r="E56" s="123">
        <f>IF($A56="","",SUMIF($A$8:$A$251,$A56&amp;"*",S$8:S$251))</f>
        <v/>
      </c>
      <c r="F56" s="123">
        <f>IF($A56="","",SUMIF($A$8:$A$251,$A56&amp;"*",O$8:O$251))</f>
        <v/>
      </c>
      <c r="G56" s="123">
        <f>IF($A56="","",SUMIF($A$8:$A$251,$A56&amp;"*",P$8:P$251))</f>
        <v/>
      </c>
      <c r="H56" s="123">
        <f>IF($A56="","",SUMIF($A$8:$A$251,$A56&amp;"*",U$8:U$251))</f>
        <v/>
      </c>
      <c r="I56" s="123">
        <f>IF($A56="","",SUMIF($A$8:$A$251,$A56&amp;"*",V$8:V$251))</f>
        <v/>
      </c>
      <c r="K56" s="124">
        <f>IF($A56="",0,SUMIFS(SDDK!$C$8:$C$251,SDDK!$A$8:$A$251,$A56))</f>
        <v/>
      </c>
      <c r="L56" s="124">
        <f>IF($A56="",0,SUMIFS(SDDK!$D$8:$D$251,SDDK!$A$8:$A$251,$A56))</f>
        <v/>
      </c>
      <c r="M56" s="124">
        <f>IF($A56="",0,SUMIFS(NKC!$H$7:$H$3006,NKC!$F$7:$F$3006,$A56,NKC!$B$7:$B$3006,"&lt;"&amp;TU_NGAY))</f>
        <v/>
      </c>
      <c r="N56" s="124">
        <f>IF($A56="",0,SUMIFS(NKC!$H$7:$H$3006,NKC!$G$7:$G$3006,$A56,NKC!$B$7:$B$3006,"&lt;"&amp;TU_NGAY))</f>
        <v/>
      </c>
      <c r="O56" s="124">
        <f>IF($A56="",0,SUMIFS(NKC!$H$7:$H$3006,NKC!$F$7:$F$3006,$A56,NKC!$B$7:$B$3006,"&gt;="&amp;TU_NGAY,NKC!$B$7:$B$3006,"&lt;="&amp;DEN_NGAY))</f>
        <v/>
      </c>
      <c r="P56" s="124">
        <f>IF($A56="",0,SUMIFS(NKC!$H$7:$H$3006,NKC!$G$7:$G$3006,$A56,NKC!$B$7:$B$3006,"&gt;="&amp;TU_NGAY,NKC!$B$7:$B$3006,"&lt;="&amp;DEN_NGAY))</f>
        <v/>
      </c>
      <c r="Q56" s="124">
        <f>K56-L56+M56-N56</f>
        <v/>
      </c>
      <c r="R56" s="124">
        <f>MAX(Q56,0)</f>
        <v/>
      </c>
      <c r="S56" s="124">
        <f>MAX(-Q56,0)</f>
        <v/>
      </c>
      <c r="T56" s="124">
        <f>Q56+O56-P56</f>
        <v/>
      </c>
      <c r="U56" s="124">
        <f>MAX(T56,0)</f>
        <v/>
      </c>
      <c r="V56" s="124">
        <f>MAX(-T56,0)</f>
        <v/>
      </c>
    </row>
    <row r="57" ht="15" customHeight="1" s="78">
      <c r="A57" s="93" t="inlineStr">
        <is>
          <t>221</t>
        </is>
      </c>
      <c r="B57" s="94" t="inlineStr">
        <is>
          <t>Đầu tư vào công ty con</t>
        </is>
      </c>
      <c r="C57" s="122" t="n">
        <v>1</v>
      </c>
      <c r="D57" s="123">
        <f>IF($A57="","",SUMIF($A$8:$A$251,$A57&amp;"*",R$8:R$251))</f>
        <v/>
      </c>
      <c r="E57" s="123">
        <f>IF($A57="","",SUMIF($A$8:$A$251,$A57&amp;"*",S$8:S$251))</f>
        <v/>
      </c>
      <c r="F57" s="123">
        <f>IF($A57="","",SUMIF($A$8:$A$251,$A57&amp;"*",O$8:O$251))</f>
        <v/>
      </c>
      <c r="G57" s="123">
        <f>IF($A57="","",SUMIF($A$8:$A$251,$A57&amp;"*",P$8:P$251))</f>
        <v/>
      </c>
      <c r="H57" s="123">
        <f>IF($A57="","",SUMIF($A$8:$A$251,$A57&amp;"*",U$8:U$251))</f>
        <v/>
      </c>
      <c r="I57" s="123">
        <f>IF($A57="","",SUMIF($A$8:$A$251,$A57&amp;"*",V$8:V$251))</f>
        <v/>
      </c>
      <c r="K57" s="124">
        <f>IF($A57="",0,SUMIFS(SDDK!$C$8:$C$251,SDDK!$A$8:$A$251,$A57))</f>
        <v/>
      </c>
      <c r="L57" s="124">
        <f>IF($A57="",0,SUMIFS(SDDK!$D$8:$D$251,SDDK!$A$8:$A$251,$A57))</f>
        <v/>
      </c>
      <c r="M57" s="124">
        <f>IF($A57="",0,SUMIFS(NKC!$H$7:$H$3006,NKC!$F$7:$F$3006,$A57,NKC!$B$7:$B$3006,"&lt;"&amp;TU_NGAY))</f>
        <v/>
      </c>
      <c r="N57" s="124">
        <f>IF($A57="",0,SUMIFS(NKC!$H$7:$H$3006,NKC!$G$7:$G$3006,$A57,NKC!$B$7:$B$3006,"&lt;"&amp;TU_NGAY))</f>
        <v/>
      </c>
      <c r="O57" s="124">
        <f>IF($A57="",0,SUMIFS(NKC!$H$7:$H$3006,NKC!$F$7:$F$3006,$A57,NKC!$B$7:$B$3006,"&gt;="&amp;TU_NGAY,NKC!$B$7:$B$3006,"&lt;="&amp;DEN_NGAY))</f>
        <v/>
      </c>
      <c r="P57" s="124">
        <f>IF($A57="",0,SUMIFS(NKC!$H$7:$H$3006,NKC!$G$7:$G$3006,$A57,NKC!$B$7:$B$3006,"&gt;="&amp;TU_NGAY,NKC!$B$7:$B$3006,"&lt;="&amp;DEN_NGAY))</f>
        <v/>
      </c>
      <c r="Q57" s="124">
        <f>K57-L57+M57-N57</f>
        <v/>
      </c>
      <c r="R57" s="124">
        <f>MAX(Q57,0)</f>
        <v/>
      </c>
      <c r="S57" s="124">
        <f>MAX(-Q57,0)</f>
        <v/>
      </c>
      <c r="T57" s="124">
        <f>Q57+O57-P57</f>
        <v/>
      </c>
      <c r="U57" s="124">
        <f>MAX(T57,0)</f>
        <v/>
      </c>
      <c r="V57" s="124">
        <f>MAX(-T57,0)</f>
        <v/>
      </c>
    </row>
    <row r="58" ht="15" customHeight="1" s="78">
      <c r="A58" s="93" t="inlineStr">
        <is>
          <t>222</t>
        </is>
      </c>
      <c r="B58" s="94" t="inlineStr">
        <is>
          <t>Đầu tư vào công ty liên doanh, liên kết</t>
        </is>
      </c>
      <c r="C58" s="122" t="n">
        <v>1</v>
      </c>
      <c r="D58" s="123">
        <f>IF($A58="","",SUMIF($A$8:$A$251,$A58&amp;"*",R$8:R$251))</f>
        <v/>
      </c>
      <c r="E58" s="123">
        <f>IF($A58="","",SUMIF($A$8:$A$251,$A58&amp;"*",S$8:S$251))</f>
        <v/>
      </c>
      <c r="F58" s="123">
        <f>IF($A58="","",SUMIF($A$8:$A$251,$A58&amp;"*",O$8:O$251))</f>
        <v/>
      </c>
      <c r="G58" s="123">
        <f>IF($A58="","",SUMIF($A$8:$A$251,$A58&amp;"*",P$8:P$251))</f>
        <v/>
      </c>
      <c r="H58" s="123">
        <f>IF($A58="","",SUMIF($A$8:$A$251,$A58&amp;"*",U$8:U$251))</f>
        <v/>
      </c>
      <c r="I58" s="123">
        <f>IF($A58="","",SUMIF($A$8:$A$251,$A58&amp;"*",V$8:V$251))</f>
        <v/>
      </c>
      <c r="K58" s="124">
        <f>IF($A58="",0,SUMIFS(SDDK!$C$8:$C$251,SDDK!$A$8:$A$251,$A58))</f>
        <v/>
      </c>
      <c r="L58" s="124">
        <f>IF($A58="",0,SUMIFS(SDDK!$D$8:$D$251,SDDK!$A$8:$A$251,$A58))</f>
        <v/>
      </c>
      <c r="M58" s="124">
        <f>IF($A58="",0,SUMIFS(NKC!$H$7:$H$3006,NKC!$F$7:$F$3006,$A58,NKC!$B$7:$B$3006,"&lt;"&amp;TU_NGAY))</f>
        <v/>
      </c>
      <c r="N58" s="124">
        <f>IF($A58="",0,SUMIFS(NKC!$H$7:$H$3006,NKC!$G$7:$G$3006,$A58,NKC!$B$7:$B$3006,"&lt;"&amp;TU_NGAY))</f>
        <v/>
      </c>
      <c r="O58" s="124">
        <f>IF($A58="",0,SUMIFS(NKC!$H$7:$H$3006,NKC!$F$7:$F$3006,$A58,NKC!$B$7:$B$3006,"&gt;="&amp;TU_NGAY,NKC!$B$7:$B$3006,"&lt;="&amp;DEN_NGAY))</f>
        <v/>
      </c>
      <c r="P58" s="124">
        <f>IF($A58="",0,SUMIFS(NKC!$H$7:$H$3006,NKC!$G$7:$G$3006,$A58,NKC!$B$7:$B$3006,"&gt;="&amp;TU_NGAY,NKC!$B$7:$B$3006,"&lt;="&amp;DEN_NGAY))</f>
        <v/>
      </c>
      <c r="Q58" s="124">
        <f>K58-L58+M58-N58</f>
        <v/>
      </c>
      <c r="R58" s="124">
        <f>MAX(Q58,0)</f>
        <v/>
      </c>
      <c r="S58" s="124">
        <f>MAX(-Q58,0)</f>
        <v/>
      </c>
      <c r="T58" s="124">
        <f>Q58+O58-P58</f>
        <v/>
      </c>
      <c r="U58" s="124">
        <f>MAX(T58,0)</f>
        <v/>
      </c>
      <c r="V58" s="124">
        <f>MAX(-T58,0)</f>
        <v/>
      </c>
    </row>
    <row r="59" ht="15" customHeight="1" s="78">
      <c r="A59" s="93" t="inlineStr">
        <is>
          <t>228</t>
        </is>
      </c>
      <c r="B59" s="94" t="inlineStr">
        <is>
          <t>Đầu tư khác</t>
        </is>
      </c>
      <c r="C59" s="122" t="n">
        <v>1</v>
      </c>
      <c r="D59" s="123">
        <f>IF($A59="","",SUMIF($A$8:$A$251,$A59&amp;"*",R$8:R$251))</f>
        <v/>
      </c>
      <c r="E59" s="123">
        <f>IF($A59="","",SUMIF($A$8:$A$251,$A59&amp;"*",S$8:S$251))</f>
        <v/>
      </c>
      <c r="F59" s="123">
        <f>IF($A59="","",SUMIF($A$8:$A$251,$A59&amp;"*",O$8:O$251))</f>
        <v/>
      </c>
      <c r="G59" s="123">
        <f>IF($A59="","",SUMIF($A$8:$A$251,$A59&amp;"*",P$8:P$251))</f>
        <v/>
      </c>
      <c r="H59" s="123">
        <f>IF($A59="","",SUMIF($A$8:$A$251,$A59&amp;"*",U$8:U$251))</f>
        <v/>
      </c>
      <c r="I59" s="123">
        <f>IF($A59="","",SUMIF($A$8:$A$251,$A59&amp;"*",V$8:V$251))</f>
        <v/>
      </c>
      <c r="K59" s="124">
        <f>IF($A59="",0,SUMIFS(SDDK!$C$8:$C$251,SDDK!$A$8:$A$251,$A59))</f>
        <v/>
      </c>
      <c r="L59" s="124">
        <f>IF($A59="",0,SUMIFS(SDDK!$D$8:$D$251,SDDK!$A$8:$A$251,$A59))</f>
        <v/>
      </c>
      <c r="M59" s="124">
        <f>IF($A59="",0,SUMIFS(NKC!$H$7:$H$3006,NKC!$F$7:$F$3006,$A59,NKC!$B$7:$B$3006,"&lt;"&amp;TU_NGAY))</f>
        <v/>
      </c>
      <c r="N59" s="124">
        <f>IF($A59="",0,SUMIFS(NKC!$H$7:$H$3006,NKC!$G$7:$G$3006,$A59,NKC!$B$7:$B$3006,"&lt;"&amp;TU_NGAY))</f>
        <v/>
      </c>
      <c r="O59" s="124">
        <f>IF($A59="",0,SUMIFS(NKC!$H$7:$H$3006,NKC!$F$7:$F$3006,$A59,NKC!$B$7:$B$3006,"&gt;="&amp;TU_NGAY,NKC!$B$7:$B$3006,"&lt;="&amp;DEN_NGAY))</f>
        <v/>
      </c>
      <c r="P59" s="124">
        <f>IF($A59="",0,SUMIFS(NKC!$H$7:$H$3006,NKC!$G$7:$G$3006,$A59,NKC!$B$7:$B$3006,"&gt;="&amp;TU_NGAY,NKC!$B$7:$B$3006,"&lt;="&amp;DEN_NGAY))</f>
        <v/>
      </c>
      <c r="Q59" s="124">
        <f>K59-L59+M59-N59</f>
        <v/>
      </c>
      <c r="R59" s="124">
        <f>MAX(Q59,0)</f>
        <v/>
      </c>
      <c r="S59" s="124">
        <f>MAX(-Q59,0)</f>
        <v/>
      </c>
      <c r="T59" s="124">
        <f>Q59+O59-P59</f>
        <v/>
      </c>
      <c r="U59" s="124">
        <f>MAX(T59,0)</f>
        <v/>
      </c>
      <c r="V59" s="124">
        <f>MAX(-T59,0)</f>
        <v/>
      </c>
    </row>
    <row r="60" ht="15" customHeight="1" s="78">
      <c r="A60" s="96" t="inlineStr">
        <is>
          <t>2281</t>
        </is>
      </c>
      <c r="B60" s="97" t="inlineStr">
        <is>
          <t>Đầu tư góp vốn vào đơn vị khác</t>
        </is>
      </c>
      <c r="C60" s="122" t="n">
        <v>2</v>
      </c>
      <c r="D60" s="125">
        <f>IF($A60="","",SUMIF($A$8:$A$251,$A60&amp;"*",R$8:R$251))</f>
        <v/>
      </c>
      <c r="E60" s="125">
        <f>IF($A60="","",SUMIF($A$8:$A$251,$A60&amp;"*",S$8:S$251))</f>
        <v/>
      </c>
      <c r="F60" s="125">
        <f>IF($A60="","",SUMIF($A$8:$A$251,$A60&amp;"*",O$8:O$251))</f>
        <v/>
      </c>
      <c r="G60" s="125">
        <f>IF($A60="","",SUMIF($A$8:$A$251,$A60&amp;"*",P$8:P$251))</f>
        <v/>
      </c>
      <c r="H60" s="125">
        <f>IF($A60="","",SUMIF($A$8:$A$251,$A60&amp;"*",U$8:U$251))</f>
        <v/>
      </c>
      <c r="I60" s="125">
        <f>IF($A60="","",SUMIF($A$8:$A$251,$A60&amp;"*",V$8:V$251))</f>
        <v/>
      </c>
      <c r="K60" s="124">
        <f>IF($A60="",0,SUMIFS(SDDK!$C$8:$C$251,SDDK!$A$8:$A$251,$A60))</f>
        <v/>
      </c>
      <c r="L60" s="124">
        <f>IF($A60="",0,SUMIFS(SDDK!$D$8:$D$251,SDDK!$A$8:$A$251,$A60))</f>
        <v/>
      </c>
      <c r="M60" s="124">
        <f>IF($A60="",0,SUMIFS(NKC!$H$7:$H$3006,NKC!$F$7:$F$3006,$A60,NKC!$B$7:$B$3006,"&lt;"&amp;TU_NGAY))</f>
        <v/>
      </c>
      <c r="N60" s="124">
        <f>IF($A60="",0,SUMIFS(NKC!$H$7:$H$3006,NKC!$G$7:$G$3006,$A60,NKC!$B$7:$B$3006,"&lt;"&amp;TU_NGAY))</f>
        <v/>
      </c>
      <c r="O60" s="124">
        <f>IF($A60="",0,SUMIFS(NKC!$H$7:$H$3006,NKC!$F$7:$F$3006,$A60,NKC!$B$7:$B$3006,"&gt;="&amp;TU_NGAY,NKC!$B$7:$B$3006,"&lt;="&amp;DEN_NGAY))</f>
        <v/>
      </c>
      <c r="P60" s="124">
        <f>IF($A60="",0,SUMIFS(NKC!$H$7:$H$3006,NKC!$G$7:$G$3006,$A60,NKC!$B$7:$B$3006,"&gt;="&amp;TU_NGAY,NKC!$B$7:$B$3006,"&lt;="&amp;DEN_NGAY))</f>
        <v/>
      </c>
      <c r="Q60" s="124">
        <f>K60-L60+M60-N60</f>
        <v/>
      </c>
      <c r="R60" s="124">
        <f>MAX(Q60,0)</f>
        <v/>
      </c>
      <c r="S60" s="124">
        <f>MAX(-Q60,0)</f>
        <v/>
      </c>
      <c r="T60" s="124">
        <f>Q60+O60-P60</f>
        <v/>
      </c>
      <c r="U60" s="124">
        <f>MAX(T60,0)</f>
        <v/>
      </c>
      <c r="V60" s="124">
        <f>MAX(-T60,0)</f>
        <v/>
      </c>
    </row>
    <row r="61" ht="15" customHeight="1" s="78">
      <c r="A61" s="96" t="inlineStr">
        <is>
          <t>2288</t>
        </is>
      </c>
      <c r="B61" s="97" t="inlineStr">
        <is>
          <t>Đầu tư khác</t>
        </is>
      </c>
      <c r="C61" s="122" t="n">
        <v>2</v>
      </c>
      <c r="D61" s="125">
        <f>IF($A61="","",SUMIF($A$8:$A$251,$A61&amp;"*",R$8:R$251))</f>
        <v/>
      </c>
      <c r="E61" s="125">
        <f>IF($A61="","",SUMIF($A$8:$A$251,$A61&amp;"*",S$8:S$251))</f>
        <v/>
      </c>
      <c r="F61" s="125">
        <f>IF($A61="","",SUMIF($A$8:$A$251,$A61&amp;"*",O$8:O$251))</f>
        <v/>
      </c>
      <c r="G61" s="125">
        <f>IF($A61="","",SUMIF($A$8:$A$251,$A61&amp;"*",P$8:P$251))</f>
        <v/>
      </c>
      <c r="H61" s="125">
        <f>IF($A61="","",SUMIF($A$8:$A$251,$A61&amp;"*",U$8:U$251))</f>
        <v/>
      </c>
      <c r="I61" s="125">
        <f>IF($A61="","",SUMIF($A$8:$A$251,$A61&amp;"*",V$8:V$251))</f>
        <v/>
      </c>
      <c r="K61" s="124">
        <f>IF($A61="",0,SUMIFS(SDDK!$C$8:$C$251,SDDK!$A$8:$A$251,$A61))</f>
        <v/>
      </c>
      <c r="L61" s="124">
        <f>IF($A61="",0,SUMIFS(SDDK!$D$8:$D$251,SDDK!$A$8:$A$251,$A61))</f>
        <v/>
      </c>
      <c r="M61" s="124">
        <f>IF($A61="",0,SUMIFS(NKC!$H$7:$H$3006,NKC!$F$7:$F$3006,$A61,NKC!$B$7:$B$3006,"&lt;"&amp;TU_NGAY))</f>
        <v/>
      </c>
      <c r="N61" s="124">
        <f>IF($A61="",0,SUMIFS(NKC!$H$7:$H$3006,NKC!$G$7:$G$3006,$A61,NKC!$B$7:$B$3006,"&lt;"&amp;TU_NGAY))</f>
        <v/>
      </c>
      <c r="O61" s="124">
        <f>IF($A61="",0,SUMIFS(NKC!$H$7:$H$3006,NKC!$F$7:$F$3006,$A61,NKC!$B$7:$B$3006,"&gt;="&amp;TU_NGAY,NKC!$B$7:$B$3006,"&lt;="&amp;DEN_NGAY))</f>
        <v/>
      </c>
      <c r="P61" s="124">
        <f>IF($A61="",0,SUMIFS(NKC!$H$7:$H$3006,NKC!$G$7:$G$3006,$A61,NKC!$B$7:$B$3006,"&gt;="&amp;TU_NGAY,NKC!$B$7:$B$3006,"&lt;="&amp;DEN_NGAY))</f>
        <v/>
      </c>
      <c r="Q61" s="124">
        <f>K61-L61+M61-N61</f>
        <v/>
      </c>
      <c r="R61" s="124">
        <f>MAX(Q61,0)</f>
        <v/>
      </c>
      <c r="S61" s="124">
        <f>MAX(-Q61,0)</f>
        <v/>
      </c>
      <c r="T61" s="124">
        <f>Q61+O61-P61</f>
        <v/>
      </c>
      <c r="U61" s="124">
        <f>MAX(T61,0)</f>
        <v/>
      </c>
      <c r="V61" s="124">
        <f>MAX(-T61,0)</f>
        <v/>
      </c>
    </row>
    <row r="62" ht="15" customHeight="1" s="78">
      <c r="A62" s="93" t="inlineStr">
        <is>
          <t>229</t>
        </is>
      </c>
      <c r="B62" s="94" t="inlineStr">
        <is>
          <t>Dự phòng tổn thất tài sản</t>
        </is>
      </c>
      <c r="C62" s="122" t="n">
        <v>1</v>
      </c>
      <c r="D62" s="123">
        <f>IF($A62="","",SUMIF($A$8:$A$251,$A62&amp;"*",R$8:R$251))</f>
        <v/>
      </c>
      <c r="E62" s="123">
        <f>IF($A62="","",SUMIF($A$8:$A$251,$A62&amp;"*",S$8:S$251))</f>
        <v/>
      </c>
      <c r="F62" s="123">
        <f>IF($A62="","",SUMIF($A$8:$A$251,$A62&amp;"*",O$8:O$251))</f>
        <v/>
      </c>
      <c r="G62" s="123">
        <f>IF($A62="","",SUMIF($A$8:$A$251,$A62&amp;"*",P$8:P$251))</f>
        <v/>
      </c>
      <c r="H62" s="123">
        <f>IF($A62="","",SUMIF($A$8:$A$251,$A62&amp;"*",U$8:U$251))</f>
        <v/>
      </c>
      <c r="I62" s="123">
        <f>IF($A62="","",SUMIF($A$8:$A$251,$A62&amp;"*",V$8:V$251))</f>
        <v/>
      </c>
      <c r="K62" s="124">
        <f>IF($A62="",0,SUMIFS(SDDK!$C$8:$C$251,SDDK!$A$8:$A$251,$A62))</f>
        <v/>
      </c>
      <c r="L62" s="124">
        <f>IF($A62="",0,SUMIFS(SDDK!$D$8:$D$251,SDDK!$A$8:$A$251,$A62))</f>
        <v/>
      </c>
      <c r="M62" s="124">
        <f>IF($A62="",0,SUMIFS(NKC!$H$7:$H$3006,NKC!$F$7:$F$3006,$A62,NKC!$B$7:$B$3006,"&lt;"&amp;TU_NGAY))</f>
        <v/>
      </c>
      <c r="N62" s="124">
        <f>IF($A62="",0,SUMIFS(NKC!$H$7:$H$3006,NKC!$G$7:$G$3006,$A62,NKC!$B$7:$B$3006,"&lt;"&amp;TU_NGAY))</f>
        <v/>
      </c>
      <c r="O62" s="124">
        <f>IF($A62="",0,SUMIFS(NKC!$H$7:$H$3006,NKC!$F$7:$F$3006,$A62,NKC!$B$7:$B$3006,"&gt;="&amp;TU_NGAY,NKC!$B$7:$B$3006,"&lt;="&amp;DEN_NGAY))</f>
        <v/>
      </c>
      <c r="P62" s="124">
        <f>IF($A62="",0,SUMIFS(NKC!$H$7:$H$3006,NKC!$G$7:$G$3006,$A62,NKC!$B$7:$B$3006,"&gt;="&amp;TU_NGAY,NKC!$B$7:$B$3006,"&lt;="&amp;DEN_NGAY))</f>
        <v/>
      </c>
      <c r="Q62" s="124">
        <f>K62-L62+M62-N62</f>
        <v/>
      </c>
      <c r="R62" s="124">
        <f>MAX(Q62,0)</f>
        <v/>
      </c>
      <c r="S62" s="124">
        <f>MAX(-Q62,0)</f>
        <v/>
      </c>
      <c r="T62" s="124">
        <f>Q62+O62-P62</f>
        <v/>
      </c>
      <c r="U62" s="124">
        <f>MAX(T62,0)</f>
        <v/>
      </c>
      <c r="V62" s="124">
        <f>MAX(-T62,0)</f>
        <v/>
      </c>
    </row>
    <row r="63" ht="15" customHeight="1" s="78">
      <c r="A63" s="96" t="inlineStr">
        <is>
          <t>2291</t>
        </is>
      </c>
      <c r="B63" s="97" t="inlineStr">
        <is>
          <t>Dự phòng giảm giá chứng khoán kinh doanh</t>
        </is>
      </c>
      <c r="C63" s="122" t="n">
        <v>2</v>
      </c>
      <c r="D63" s="125">
        <f>IF($A63="","",SUMIF($A$8:$A$251,$A63&amp;"*",R$8:R$251))</f>
        <v/>
      </c>
      <c r="E63" s="125">
        <f>IF($A63="","",SUMIF($A$8:$A$251,$A63&amp;"*",S$8:S$251))</f>
        <v/>
      </c>
      <c r="F63" s="125">
        <f>IF($A63="","",SUMIF($A$8:$A$251,$A63&amp;"*",O$8:O$251))</f>
        <v/>
      </c>
      <c r="G63" s="125">
        <f>IF($A63="","",SUMIF($A$8:$A$251,$A63&amp;"*",P$8:P$251))</f>
        <v/>
      </c>
      <c r="H63" s="125">
        <f>IF($A63="","",SUMIF($A$8:$A$251,$A63&amp;"*",U$8:U$251))</f>
        <v/>
      </c>
      <c r="I63" s="125">
        <f>IF($A63="","",SUMIF($A$8:$A$251,$A63&amp;"*",V$8:V$251))</f>
        <v/>
      </c>
      <c r="K63" s="124">
        <f>IF($A63="",0,SUMIFS(SDDK!$C$8:$C$251,SDDK!$A$8:$A$251,$A63))</f>
        <v/>
      </c>
      <c r="L63" s="124">
        <f>IF($A63="",0,SUMIFS(SDDK!$D$8:$D$251,SDDK!$A$8:$A$251,$A63))</f>
        <v/>
      </c>
      <c r="M63" s="124">
        <f>IF($A63="",0,SUMIFS(NKC!$H$7:$H$3006,NKC!$F$7:$F$3006,$A63,NKC!$B$7:$B$3006,"&lt;"&amp;TU_NGAY))</f>
        <v/>
      </c>
      <c r="N63" s="124">
        <f>IF($A63="",0,SUMIFS(NKC!$H$7:$H$3006,NKC!$G$7:$G$3006,$A63,NKC!$B$7:$B$3006,"&lt;"&amp;TU_NGAY))</f>
        <v/>
      </c>
      <c r="O63" s="124">
        <f>IF($A63="",0,SUMIFS(NKC!$H$7:$H$3006,NKC!$F$7:$F$3006,$A63,NKC!$B$7:$B$3006,"&gt;="&amp;TU_NGAY,NKC!$B$7:$B$3006,"&lt;="&amp;DEN_NGAY))</f>
        <v/>
      </c>
      <c r="P63" s="124">
        <f>IF($A63="",0,SUMIFS(NKC!$H$7:$H$3006,NKC!$G$7:$G$3006,$A63,NKC!$B$7:$B$3006,"&gt;="&amp;TU_NGAY,NKC!$B$7:$B$3006,"&lt;="&amp;DEN_NGAY))</f>
        <v/>
      </c>
      <c r="Q63" s="124">
        <f>K63-L63+M63-N63</f>
        <v/>
      </c>
      <c r="R63" s="124">
        <f>MAX(Q63,0)</f>
        <v/>
      </c>
      <c r="S63" s="124">
        <f>MAX(-Q63,0)</f>
        <v/>
      </c>
      <c r="T63" s="124">
        <f>Q63+O63-P63</f>
        <v/>
      </c>
      <c r="U63" s="124">
        <f>MAX(T63,0)</f>
        <v/>
      </c>
      <c r="V63" s="124">
        <f>MAX(-T63,0)</f>
        <v/>
      </c>
    </row>
    <row r="64" ht="15" customHeight="1" s="78">
      <c r="A64" s="96" t="inlineStr">
        <is>
          <t>2292</t>
        </is>
      </c>
      <c r="B64" s="97" t="inlineStr">
        <is>
          <t>Dự phòng tổn thất đầu tư vào đơn vị khác</t>
        </is>
      </c>
      <c r="C64" s="122" t="n">
        <v>2</v>
      </c>
      <c r="D64" s="125">
        <f>IF($A64="","",SUMIF($A$8:$A$251,$A64&amp;"*",R$8:R$251))</f>
        <v/>
      </c>
      <c r="E64" s="125">
        <f>IF($A64="","",SUMIF($A$8:$A$251,$A64&amp;"*",S$8:S$251))</f>
        <v/>
      </c>
      <c r="F64" s="125">
        <f>IF($A64="","",SUMIF($A$8:$A$251,$A64&amp;"*",O$8:O$251))</f>
        <v/>
      </c>
      <c r="G64" s="125">
        <f>IF($A64="","",SUMIF($A$8:$A$251,$A64&amp;"*",P$8:P$251))</f>
        <v/>
      </c>
      <c r="H64" s="125">
        <f>IF($A64="","",SUMIF($A$8:$A$251,$A64&amp;"*",U$8:U$251))</f>
        <v/>
      </c>
      <c r="I64" s="125">
        <f>IF($A64="","",SUMIF($A$8:$A$251,$A64&amp;"*",V$8:V$251))</f>
        <v/>
      </c>
      <c r="K64" s="124">
        <f>IF($A64="",0,SUMIFS(SDDK!$C$8:$C$251,SDDK!$A$8:$A$251,$A64))</f>
        <v/>
      </c>
      <c r="L64" s="124">
        <f>IF($A64="",0,SUMIFS(SDDK!$D$8:$D$251,SDDK!$A$8:$A$251,$A64))</f>
        <v/>
      </c>
      <c r="M64" s="124">
        <f>IF($A64="",0,SUMIFS(NKC!$H$7:$H$3006,NKC!$F$7:$F$3006,$A64,NKC!$B$7:$B$3006,"&lt;"&amp;TU_NGAY))</f>
        <v/>
      </c>
      <c r="N64" s="124">
        <f>IF($A64="",0,SUMIFS(NKC!$H$7:$H$3006,NKC!$G$7:$G$3006,$A64,NKC!$B$7:$B$3006,"&lt;"&amp;TU_NGAY))</f>
        <v/>
      </c>
      <c r="O64" s="124">
        <f>IF($A64="",0,SUMIFS(NKC!$H$7:$H$3006,NKC!$F$7:$F$3006,$A64,NKC!$B$7:$B$3006,"&gt;="&amp;TU_NGAY,NKC!$B$7:$B$3006,"&lt;="&amp;DEN_NGAY))</f>
        <v/>
      </c>
      <c r="P64" s="124">
        <f>IF($A64="",0,SUMIFS(NKC!$H$7:$H$3006,NKC!$G$7:$G$3006,$A64,NKC!$B$7:$B$3006,"&gt;="&amp;TU_NGAY,NKC!$B$7:$B$3006,"&lt;="&amp;DEN_NGAY))</f>
        <v/>
      </c>
      <c r="Q64" s="124">
        <f>K64-L64+M64-N64</f>
        <v/>
      </c>
      <c r="R64" s="124">
        <f>MAX(Q64,0)</f>
        <v/>
      </c>
      <c r="S64" s="124">
        <f>MAX(-Q64,0)</f>
        <v/>
      </c>
      <c r="T64" s="124">
        <f>Q64+O64-P64</f>
        <v/>
      </c>
      <c r="U64" s="124">
        <f>MAX(T64,0)</f>
        <v/>
      </c>
      <c r="V64" s="124">
        <f>MAX(-T64,0)</f>
        <v/>
      </c>
    </row>
    <row r="65" ht="15" customHeight="1" s="78">
      <c r="A65" s="96" t="inlineStr">
        <is>
          <t>2293</t>
        </is>
      </c>
      <c r="B65" s="97" t="inlineStr">
        <is>
          <t>Dự phòng phải thu khó đòi</t>
        </is>
      </c>
      <c r="C65" s="122" t="n">
        <v>2</v>
      </c>
      <c r="D65" s="125">
        <f>IF($A65="","",SUMIF($A$8:$A$251,$A65&amp;"*",R$8:R$251))</f>
        <v/>
      </c>
      <c r="E65" s="125">
        <f>IF($A65="","",SUMIF($A$8:$A$251,$A65&amp;"*",S$8:S$251))</f>
        <v/>
      </c>
      <c r="F65" s="125">
        <f>IF($A65="","",SUMIF($A$8:$A$251,$A65&amp;"*",O$8:O$251))</f>
        <v/>
      </c>
      <c r="G65" s="125">
        <f>IF($A65="","",SUMIF($A$8:$A$251,$A65&amp;"*",P$8:P$251))</f>
        <v/>
      </c>
      <c r="H65" s="125">
        <f>IF($A65="","",SUMIF($A$8:$A$251,$A65&amp;"*",U$8:U$251))</f>
        <v/>
      </c>
      <c r="I65" s="125">
        <f>IF($A65="","",SUMIF($A$8:$A$251,$A65&amp;"*",V$8:V$251))</f>
        <v/>
      </c>
      <c r="K65" s="124">
        <f>IF($A65="",0,SUMIFS(SDDK!$C$8:$C$251,SDDK!$A$8:$A$251,$A65))</f>
        <v/>
      </c>
      <c r="L65" s="124">
        <f>IF($A65="",0,SUMIFS(SDDK!$D$8:$D$251,SDDK!$A$8:$A$251,$A65))</f>
        <v/>
      </c>
      <c r="M65" s="124">
        <f>IF($A65="",0,SUMIFS(NKC!$H$7:$H$3006,NKC!$F$7:$F$3006,$A65,NKC!$B$7:$B$3006,"&lt;"&amp;TU_NGAY))</f>
        <v/>
      </c>
      <c r="N65" s="124">
        <f>IF($A65="",0,SUMIFS(NKC!$H$7:$H$3006,NKC!$G$7:$G$3006,$A65,NKC!$B$7:$B$3006,"&lt;"&amp;TU_NGAY))</f>
        <v/>
      </c>
      <c r="O65" s="124">
        <f>IF($A65="",0,SUMIFS(NKC!$H$7:$H$3006,NKC!$F$7:$F$3006,$A65,NKC!$B$7:$B$3006,"&gt;="&amp;TU_NGAY,NKC!$B$7:$B$3006,"&lt;="&amp;DEN_NGAY))</f>
        <v/>
      </c>
      <c r="P65" s="124">
        <f>IF($A65="",0,SUMIFS(NKC!$H$7:$H$3006,NKC!$G$7:$G$3006,$A65,NKC!$B$7:$B$3006,"&gt;="&amp;TU_NGAY,NKC!$B$7:$B$3006,"&lt;="&amp;DEN_NGAY))</f>
        <v/>
      </c>
      <c r="Q65" s="124">
        <f>K65-L65+M65-N65</f>
        <v/>
      </c>
      <c r="R65" s="124">
        <f>MAX(Q65,0)</f>
        <v/>
      </c>
      <c r="S65" s="124">
        <f>MAX(-Q65,0)</f>
        <v/>
      </c>
      <c r="T65" s="124">
        <f>Q65+O65-P65</f>
        <v/>
      </c>
      <c r="U65" s="124">
        <f>MAX(T65,0)</f>
        <v/>
      </c>
      <c r="V65" s="124">
        <f>MAX(-T65,0)</f>
        <v/>
      </c>
    </row>
    <row r="66" ht="15" customHeight="1" s="78">
      <c r="A66" s="96" t="inlineStr">
        <is>
          <t>2294</t>
        </is>
      </c>
      <c r="B66" s="97" t="inlineStr">
        <is>
          <t>Dự phòng giảm giá hàng tồn kho</t>
        </is>
      </c>
      <c r="C66" s="122" t="n">
        <v>2</v>
      </c>
      <c r="D66" s="125">
        <f>IF($A66="","",SUMIF($A$8:$A$251,$A66&amp;"*",R$8:R$251))</f>
        <v/>
      </c>
      <c r="E66" s="125">
        <f>IF($A66="","",SUMIF($A$8:$A$251,$A66&amp;"*",S$8:S$251))</f>
        <v/>
      </c>
      <c r="F66" s="125">
        <f>IF($A66="","",SUMIF($A$8:$A$251,$A66&amp;"*",O$8:O$251))</f>
        <v/>
      </c>
      <c r="G66" s="125">
        <f>IF($A66="","",SUMIF($A$8:$A$251,$A66&amp;"*",P$8:P$251))</f>
        <v/>
      </c>
      <c r="H66" s="125">
        <f>IF($A66="","",SUMIF($A$8:$A$251,$A66&amp;"*",U$8:U$251))</f>
        <v/>
      </c>
      <c r="I66" s="125">
        <f>IF($A66="","",SUMIF($A$8:$A$251,$A66&amp;"*",V$8:V$251))</f>
        <v/>
      </c>
      <c r="K66" s="124">
        <f>IF($A66="",0,SUMIFS(SDDK!$C$8:$C$251,SDDK!$A$8:$A$251,$A66))</f>
        <v/>
      </c>
      <c r="L66" s="124">
        <f>IF($A66="",0,SUMIFS(SDDK!$D$8:$D$251,SDDK!$A$8:$A$251,$A66))</f>
        <v/>
      </c>
      <c r="M66" s="124">
        <f>IF($A66="",0,SUMIFS(NKC!$H$7:$H$3006,NKC!$F$7:$F$3006,$A66,NKC!$B$7:$B$3006,"&lt;"&amp;TU_NGAY))</f>
        <v/>
      </c>
      <c r="N66" s="124">
        <f>IF($A66="",0,SUMIFS(NKC!$H$7:$H$3006,NKC!$G$7:$G$3006,$A66,NKC!$B$7:$B$3006,"&lt;"&amp;TU_NGAY))</f>
        <v/>
      </c>
      <c r="O66" s="124">
        <f>IF($A66="",0,SUMIFS(NKC!$H$7:$H$3006,NKC!$F$7:$F$3006,$A66,NKC!$B$7:$B$3006,"&gt;="&amp;TU_NGAY,NKC!$B$7:$B$3006,"&lt;="&amp;DEN_NGAY))</f>
        <v/>
      </c>
      <c r="P66" s="124">
        <f>IF($A66="",0,SUMIFS(NKC!$H$7:$H$3006,NKC!$G$7:$G$3006,$A66,NKC!$B$7:$B$3006,"&gt;="&amp;TU_NGAY,NKC!$B$7:$B$3006,"&lt;="&amp;DEN_NGAY))</f>
        <v/>
      </c>
      <c r="Q66" s="124">
        <f>K66-L66+M66-N66</f>
        <v/>
      </c>
      <c r="R66" s="124">
        <f>MAX(Q66,0)</f>
        <v/>
      </c>
      <c r="S66" s="124">
        <f>MAX(-Q66,0)</f>
        <v/>
      </c>
      <c r="T66" s="124">
        <f>Q66+O66-P66</f>
        <v/>
      </c>
      <c r="U66" s="124">
        <f>MAX(T66,0)</f>
        <v/>
      </c>
      <c r="V66" s="124">
        <f>MAX(-T66,0)</f>
        <v/>
      </c>
    </row>
    <row r="67" ht="15" customHeight="1" s="78">
      <c r="A67" s="96" t="inlineStr">
        <is>
          <t>2295</t>
        </is>
      </c>
      <c r="B67" s="97" t="inlineStr">
        <is>
          <t>Dự phòng tổn thất tài sản sinh học</t>
        </is>
      </c>
      <c r="C67" s="122" t="n">
        <v>2</v>
      </c>
      <c r="D67" s="125">
        <f>IF($A67="","",SUMIF($A$8:$A$251,$A67&amp;"*",R$8:R$251))</f>
        <v/>
      </c>
      <c r="E67" s="125">
        <f>IF($A67="","",SUMIF($A$8:$A$251,$A67&amp;"*",S$8:S$251))</f>
        <v/>
      </c>
      <c r="F67" s="125">
        <f>IF($A67="","",SUMIF($A$8:$A$251,$A67&amp;"*",O$8:O$251))</f>
        <v/>
      </c>
      <c r="G67" s="125">
        <f>IF($A67="","",SUMIF($A$8:$A$251,$A67&amp;"*",P$8:P$251))</f>
        <v/>
      </c>
      <c r="H67" s="125">
        <f>IF($A67="","",SUMIF($A$8:$A$251,$A67&amp;"*",U$8:U$251))</f>
        <v/>
      </c>
      <c r="I67" s="125">
        <f>IF($A67="","",SUMIF($A$8:$A$251,$A67&amp;"*",V$8:V$251))</f>
        <v/>
      </c>
      <c r="K67" s="124">
        <f>IF($A67="",0,SUMIFS(SDDK!$C$8:$C$251,SDDK!$A$8:$A$251,$A67))</f>
        <v/>
      </c>
      <c r="L67" s="124">
        <f>IF($A67="",0,SUMIFS(SDDK!$D$8:$D$251,SDDK!$A$8:$A$251,$A67))</f>
        <v/>
      </c>
      <c r="M67" s="124">
        <f>IF($A67="",0,SUMIFS(NKC!$H$7:$H$3006,NKC!$F$7:$F$3006,$A67,NKC!$B$7:$B$3006,"&lt;"&amp;TU_NGAY))</f>
        <v/>
      </c>
      <c r="N67" s="124">
        <f>IF($A67="",0,SUMIFS(NKC!$H$7:$H$3006,NKC!$G$7:$G$3006,$A67,NKC!$B$7:$B$3006,"&lt;"&amp;TU_NGAY))</f>
        <v/>
      </c>
      <c r="O67" s="124">
        <f>IF($A67="",0,SUMIFS(NKC!$H$7:$H$3006,NKC!$F$7:$F$3006,$A67,NKC!$B$7:$B$3006,"&gt;="&amp;TU_NGAY,NKC!$B$7:$B$3006,"&lt;="&amp;DEN_NGAY))</f>
        <v/>
      </c>
      <c r="P67" s="124">
        <f>IF($A67="",0,SUMIFS(NKC!$H$7:$H$3006,NKC!$G$7:$G$3006,$A67,NKC!$B$7:$B$3006,"&gt;="&amp;TU_NGAY,NKC!$B$7:$B$3006,"&lt;="&amp;DEN_NGAY))</f>
        <v/>
      </c>
      <c r="Q67" s="124">
        <f>K67-L67+M67-N67</f>
        <v/>
      </c>
      <c r="R67" s="124">
        <f>MAX(Q67,0)</f>
        <v/>
      </c>
      <c r="S67" s="124">
        <f>MAX(-Q67,0)</f>
        <v/>
      </c>
      <c r="T67" s="124">
        <f>Q67+O67-P67</f>
        <v/>
      </c>
      <c r="U67" s="124">
        <f>MAX(T67,0)</f>
        <v/>
      </c>
      <c r="V67" s="124">
        <f>MAX(-T67,0)</f>
        <v/>
      </c>
    </row>
    <row r="68" ht="15" customHeight="1" s="78">
      <c r="A68" s="93" t="inlineStr">
        <is>
          <t>241</t>
        </is>
      </c>
      <c r="B68" s="94" t="inlineStr">
        <is>
          <t>Xây dựng cơ bản dở dang</t>
        </is>
      </c>
      <c r="C68" s="122" t="n">
        <v>1</v>
      </c>
      <c r="D68" s="123">
        <f>IF($A68="","",SUMIF($A$8:$A$251,$A68&amp;"*",R$8:R$251))</f>
        <v/>
      </c>
      <c r="E68" s="123">
        <f>IF($A68="","",SUMIF($A$8:$A$251,$A68&amp;"*",S$8:S$251))</f>
        <v/>
      </c>
      <c r="F68" s="123">
        <f>IF($A68="","",SUMIF($A$8:$A$251,$A68&amp;"*",O$8:O$251))</f>
        <v/>
      </c>
      <c r="G68" s="123">
        <f>IF($A68="","",SUMIF($A$8:$A$251,$A68&amp;"*",P$8:P$251))</f>
        <v/>
      </c>
      <c r="H68" s="123">
        <f>IF($A68="","",SUMIF($A$8:$A$251,$A68&amp;"*",U$8:U$251))</f>
        <v/>
      </c>
      <c r="I68" s="123">
        <f>IF($A68="","",SUMIF($A$8:$A$251,$A68&amp;"*",V$8:V$251))</f>
        <v/>
      </c>
      <c r="K68" s="124">
        <f>IF($A68="",0,SUMIFS(SDDK!$C$8:$C$251,SDDK!$A$8:$A$251,$A68))</f>
        <v/>
      </c>
      <c r="L68" s="124">
        <f>IF($A68="",0,SUMIFS(SDDK!$D$8:$D$251,SDDK!$A$8:$A$251,$A68))</f>
        <v/>
      </c>
      <c r="M68" s="124">
        <f>IF($A68="",0,SUMIFS(NKC!$H$7:$H$3006,NKC!$F$7:$F$3006,$A68,NKC!$B$7:$B$3006,"&lt;"&amp;TU_NGAY))</f>
        <v/>
      </c>
      <c r="N68" s="124">
        <f>IF($A68="",0,SUMIFS(NKC!$H$7:$H$3006,NKC!$G$7:$G$3006,$A68,NKC!$B$7:$B$3006,"&lt;"&amp;TU_NGAY))</f>
        <v/>
      </c>
      <c r="O68" s="124">
        <f>IF($A68="",0,SUMIFS(NKC!$H$7:$H$3006,NKC!$F$7:$F$3006,$A68,NKC!$B$7:$B$3006,"&gt;="&amp;TU_NGAY,NKC!$B$7:$B$3006,"&lt;="&amp;DEN_NGAY))</f>
        <v/>
      </c>
      <c r="P68" s="124">
        <f>IF($A68="",0,SUMIFS(NKC!$H$7:$H$3006,NKC!$G$7:$G$3006,$A68,NKC!$B$7:$B$3006,"&gt;="&amp;TU_NGAY,NKC!$B$7:$B$3006,"&lt;="&amp;DEN_NGAY))</f>
        <v/>
      </c>
      <c r="Q68" s="124">
        <f>K68-L68+M68-N68</f>
        <v/>
      </c>
      <c r="R68" s="124">
        <f>MAX(Q68,0)</f>
        <v/>
      </c>
      <c r="S68" s="124">
        <f>MAX(-Q68,0)</f>
        <v/>
      </c>
      <c r="T68" s="124">
        <f>Q68+O68-P68</f>
        <v/>
      </c>
      <c r="U68" s="124">
        <f>MAX(T68,0)</f>
        <v/>
      </c>
      <c r="V68" s="124">
        <f>MAX(-T68,0)</f>
        <v/>
      </c>
    </row>
    <row r="69" ht="15" customHeight="1" s="78">
      <c r="A69" s="96" t="inlineStr">
        <is>
          <t>2411</t>
        </is>
      </c>
      <c r="B69" s="97" t="inlineStr">
        <is>
          <t>Mua sắm TSCĐ</t>
        </is>
      </c>
      <c r="C69" s="122" t="n">
        <v>2</v>
      </c>
      <c r="D69" s="125">
        <f>IF($A69="","",SUMIF($A$8:$A$251,$A69&amp;"*",R$8:R$251))</f>
        <v/>
      </c>
      <c r="E69" s="125">
        <f>IF($A69="","",SUMIF($A$8:$A$251,$A69&amp;"*",S$8:S$251))</f>
        <v/>
      </c>
      <c r="F69" s="125">
        <f>IF($A69="","",SUMIF($A$8:$A$251,$A69&amp;"*",O$8:O$251))</f>
        <v/>
      </c>
      <c r="G69" s="125">
        <f>IF($A69="","",SUMIF($A$8:$A$251,$A69&amp;"*",P$8:P$251))</f>
        <v/>
      </c>
      <c r="H69" s="125">
        <f>IF($A69="","",SUMIF($A$8:$A$251,$A69&amp;"*",U$8:U$251))</f>
        <v/>
      </c>
      <c r="I69" s="125">
        <f>IF($A69="","",SUMIF($A$8:$A$251,$A69&amp;"*",V$8:V$251))</f>
        <v/>
      </c>
      <c r="K69" s="124">
        <f>IF($A69="",0,SUMIFS(SDDK!$C$8:$C$251,SDDK!$A$8:$A$251,$A69))</f>
        <v/>
      </c>
      <c r="L69" s="124">
        <f>IF($A69="",0,SUMIFS(SDDK!$D$8:$D$251,SDDK!$A$8:$A$251,$A69))</f>
        <v/>
      </c>
      <c r="M69" s="124">
        <f>IF($A69="",0,SUMIFS(NKC!$H$7:$H$3006,NKC!$F$7:$F$3006,$A69,NKC!$B$7:$B$3006,"&lt;"&amp;TU_NGAY))</f>
        <v/>
      </c>
      <c r="N69" s="124">
        <f>IF($A69="",0,SUMIFS(NKC!$H$7:$H$3006,NKC!$G$7:$G$3006,$A69,NKC!$B$7:$B$3006,"&lt;"&amp;TU_NGAY))</f>
        <v/>
      </c>
      <c r="O69" s="124">
        <f>IF($A69="",0,SUMIFS(NKC!$H$7:$H$3006,NKC!$F$7:$F$3006,$A69,NKC!$B$7:$B$3006,"&gt;="&amp;TU_NGAY,NKC!$B$7:$B$3006,"&lt;="&amp;DEN_NGAY))</f>
        <v/>
      </c>
      <c r="P69" s="124">
        <f>IF($A69="",0,SUMIFS(NKC!$H$7:$H$3006,NKC!$G$7:$G$3006,$A69,NKC!$B$7:$B$3006,"&gt;="&amp;TU_NGAY,NKC!$B$7:$B$3006,"&lt;="&amp;DEN_NGAY))</f>
        <v/>
      </c>
      <c r="Q69" s="124">
        <f>K69-L69+M69-N69</f>
        <v/>
      </c>
      <c r="R69" s="124">
        <f>MAX(Q69,0)</f>
        <v/>
      </c>
      <c r="S69" s="124">
        <f>MAX(-Q69,0)</f>
        <v/>
      </c>
      <c r="T69" s="124">
        <f>Q69+O69-P69</f>
        <v/>
      </c>
      <c r="U69" s="124">
        <f>MAX(T69,0)</f>
        <v/>
      </c>
      <c r="V69" s="124">
        <f>MAX(-T69,0)</f>
        <v/>
      </c>
    </row>
    <row r="70" ht="15" customHeight="1" s="78">
      <c r="A70" s="96" t="inlineStr">
        <is>
          <t>2412</t>
        </is>
      </c>
      <c r="B70" s="97" t="inlineStr">
        <is>
          <t>Xây dựng cơ bản</t>
        </is>
      </c>
      <c r="C70" s="122" t="n">
        <v>2</v>
      </c>
      <c r="D70" s="125">
        <f>IF($A70="","",SUMIF($A$8:$A$251,$A70&amp;"*",R$8:R$251))</f>
        <v/>
      </c>
      <c r="E70" s="125">
        <f>IF($A70="","",SUMIF($A$8:$A$251,$A70&amp;"*",S$8:S$251))</f>
        <v/>
      </c>
      <c r="F70" s="125">
        <f>IF($A70="","",SUMIF($A$8:$A$251,$A70&amp;"*",O$8:O$251))</f>
        <v/>
      </c>
      <c r="G70" s="125">
        <f>IF($A70="","",SUMIF($A$8:$A$251,$A70&amp;"*",P$8:P$251))</f>
        <v/>
      </c>
      <c r="H70" s="125">
        <f>IF($A70="","",SUMIF($A$8:$A$251,$A70&amp;"*",U$8:U$251))</f>
        <v/>
      </c>
      <c r="I70" s="125">
        <f>IF($A70="","",SUMIF($A$8:$A$251,$A70&amp;"*",V$8:V$251))</f>
        <v/>
      </c>
      <c r="K70" s="124">
        <f>IF($A70="",0,SUMIFS(SDDK!$C$8:$C$251,SDDK!$A$8:$A$251,$A70))</f>
        <v/>
      </c>
      <c r="L70" s="124">
        <f>IF($A70="",0,SUMIFS(SDDK!$D$8:$D$251,SDDK!$A$8:$A$251,$A70))</f>
        <v/>
      </c>
      <c r="M70" s="124">
        <f>IF($A70="",0,SUMIFS(NKC!$H$7:$H$3006,NKC!$F$7:$F$3006,$A70,NKC!$B$7:$B$3006,"&lt;"&amp;TU_NGAY))</f>
        <v/>
      </c>
      <c r="N70" s="124">
        <f>IF($A70="",0,SUMIFS(NKC!$H$7:$H$3006,NKC!$G$7:$G$3006,$A70,NKC!$B$7:$B$3006,"&lt;"&amp;TU_NGAY))</f>
        <v/>
      </c>
      <c r="O70" s="124">
        <f>IF($A70="",0,SUMIFS(NKC!$H$7:$H$3006,NKC!$F$7:$F$3006,$A70,NKC!$B$7:$B$3006,"&gt;="&amp;TU_NGAY,NKC!$B$7:$B$3006,"&lt;="&amp;DEN_NGAY))</f>
        <v/>
      </c>
      <c r="P70" s="124">
        <f>IF($A70="",0,SUMIFS(NKC!$H$7:$H$3006,NKC!$G$7:$G$3006,$A70,NKC!$B$7:$B$3006,"&gt;="&amp;TU_NGAY,NKC!$B$7:$B$3006,"&lt;="&amp;DEN_NGAY))</f>
        <v/>
      </c>
      <c r="Q70" s="124">
        <f>K70-L70+M70-N70</f>
        <v/>
      </c>
      <c r="R70" s="124">
        <f>MAX(Q70,0)</f>
        <v/>
      </c>
      <c r="S70" s="124">
        <f>MAX(-Q70,0)</f>
        <v/>
      </c>
      <c r="T70" s="124">
        <f>Q70+O70-P70</f>
        <v/>
      </c>
      <c r="U70" s="124">
        <f>MAX(T70,0)</f>
        <v/>
      </c>
      <c r="V70" s="124">
        <f>MAX(-T70,0)</f>
        <v/>
      </c>
    </row>
    <row r="71" ht="15" customHeight="1" s="78">
      <c r="A71" s="96" t="inlineStr">
        <is>
          <t>2413</t>
        </is>
      </c>
      <c r="B71" s="97" t="inlineStr">
        <is>
          <t>Sửa chữa, bảo dưỡng định kỳ TSCĐ</t>
        </is>
      </c>
      <c r="C71" s="122" t="n">
        <v>2</v>
      </c>
      <c r="D71" s="125">
        <f>IF($A71="","",SUMIF($A$8:$A$251,$A71&amp;"*",R$8:R$251))</f>
        <v/>
      </c>
      <c r="E71" s="125">
        <f>IF($A71="","",SUMIF($A$8:$A$251,$A71&amp;"*",S$8:S$251))</f>
        <v/>
      </c>
      <c r="F71" s="125">
        <f>IF($A71="","",SUMIF($A$8:$A$251,$A71&amp;"*",O$8:O$251))</f>
        <v/>
      </c>
      <c r="G71" s="125">
        <f>IF($A71="","",SUMIF($A$8:$A$251,$A71&amp;"*",P$8:P$251))</f>
        <v/>
      </c>
      <c r="H71" s="125">
        <f>IF($A71="","",SUMIF($A$8:$A$251,$A71&amp;"*",U$8:U$251))</f>
        <v/>
      </c>
      <c r="I71" s="125">
        <f>IF($A71="","",SUMIF($A$8:$A$251,$A71&amp;"*",V$8:V$251))</f>
        <v/>
      </c>
      <c r="K71" s="124">
        <f>IF($A71="",0,SUMIFS(SDDK!$C$8:$C$251,SDDK!$A$8:$A$251,$A71))</f>
        <v/>
      </c>
      <c r="L71" s="124">
        <f>IF($A71="",0,SUMIFS(SDDK!$D$8:$D$251,SDDK!$A$8:$A$251,$A71))</f>
        <v/>
      </c>
      <c r="M71" s="124">
        <f>IF($A71="",0,SUMIFS(NKC!$H$7:$H$3006,NKC!$F$7:$F$3006,$A71,NKC!$B$7:$B$3006,"&lt;"&amp;TU_NGAY))</f>
        <v/>
      </c>
      <c r="N71" s="124">
        <f>IF($A71="",0,SUMIFS(NKC!$H$7:$H$3006,NKC!$G$7:$G$3006,$A71,NKC!$B$7:$B$3006,"&lt;"&amp;TU_NGAY))</f>
        <v/>
      </c>
      <c r="O71" s="124">
        <f>IF($A71="",0,SUMIFS(NKC!$H$7:$H$3006,NKC!$F$7:$F$3006,$A71,NKC!$B$7:$B$3006,"&gt;="&amp;TU_NGAY,NKC!$B$7:$B$3006,"&lt;="&amp;DEN_NGAY))</f>
        <v/>
      </c>
      <c r="P71" s="124">
        <f>IF($A71="",0,SUMIFS(NKC!$H$7:$H$3006,NKC!$G$7:$G$3006,$A71,NKC!$B$7:$B$3006,"&gt;="&amp;TU_NGAY,NKC!$B$7:$B$3006,"&lt;="&amp;DEN_NGAY))</f>
        <v/>
      </c>
      <c r="Q71" s="124">
        <f>K71-L71+M71-N71</f>
        <v/>
      </c>
      <c r="R71" s="124">
        <f>MAX(Q71,0)</f>
        <v/>
      </c>
      <c r="S71" s="124">
        <f>MAX(-Q71,0)</f>
        <v/>
      </c>
      <c r="T71" s="124">
        <f>Q71+O71-P71</f>
        <v/>
      </c>
      <c r="U71" s="124">
        <f>MAX(T71,0)</f>
        <v/>
      </c>
      <c r="V71" s="124">
        <f>MAX(-T71,0)</f>
        <v/>
      </c>
    </row>
    <row r="72" ht="15" customHeight="1" s="78">
      <c r="A72" s="96" t="inlineStr">
        <is>
          <t>2414</t>
        </is>
      </c>
      <c r="B72" s="97" t="inlineStr">
        <is>
          <t>Nâng cấp, cải tạo TSCĐ</t>
        </is>
      </c>
      <c r="C72" s="122" t="n">
        <v>2</v>
      </c>
      <c r="D72" s="125">
        <f>IF($A72="","",SUMIF($A$8:$A$251,$A72&amp;"*",R$8:R$251))</f>
        <v/>
      </c>
      <c r="E72" s="125">
        <f>IF($A72="","",SUMIF($A$8:$A$251,$A72&amp;"*",S$8:S$251))</f>
        <v/>
      </c>
      <c r="F72" s="125">
        <f>IF($A72="","",SUMIF($A$8:$A$251,$A72&amp;"*",O$8:O$251))</f>
        <v/>
      </c>
      <c r="G72" s="125">
        <f>IF($A72="","",SUMIF($A$8:$A$251,$A72&amp;"*",P$8:P$251))</f>
        <v/>
      </c>
      <c r="H72" s="125">
        <f>IF($A72="","",SUMIF($A$8:$A$251,$A72&amp;"*",U$8:U$251))</f>
        <v/>
      </c>
      <c r="I72" s="125">
        <f>IF($A72="","",SUMIF($A$8:$A$251,$A72&amp;"*",V$8:V$251))</f>
        <v/>
      </c>
      <c r="K72" s="124">
        <f>IF($A72="",0,SUMIFS(SDDK!$C$8:$C$251,SDDK!$A$8:$A$251,$A72))</f>
        <v/>
      </c>
      <c r="L72" s="124">
        <f>IF($A72="",0,SUMIFS(SDDK!$D$8:$D$251,SDDK!$A$8:$A$251,$A72))</f>
        <v/>
      </c>
      <c r="M72" s="124">
        <f>IF($A72="",0,SUMIFS(NKC!$H$7:$H$3006,NKC!$F$7:$F$3006,$A72,NKC!$B$7:$B$3006,"&lt;"&amp;TU_NGAY))</f>
        <v/>
      </c>
      <c r="N72" s="124">
        <f>IF($A72="",0,SUMIFS(NKC!$H$7:$H$3006,NKC!$G$7:$G$3006,$A72,NKC!$B$7:$B$3006,"&lt;"&amp;TU_NGAY))</f>
        <v/>
      </c>
      <c r="O72" s="124">
        <f>IF($A72="",0,SUMIFS(NKC!$H$7:$H$3006,NKC!$F$7:$F$3006,$A72,NKC!$B$7:$B$3006,"&gt;="&amp;TU_NGAY,NKC!$B$7:$B$3006,"&lt;="&amp;DEN_NGAY))</f>
        <v/>
      </c>
      <c r="P72" s="124">
        <f>IF($A72="",0,SUMIFS(NKC!$H$7:$H$3006,NKC!$G$7:$G$3006,$A72,NKC!$B$7:$B$3006,"&gt;="&amp;TU_NGAY,NKC!$B$7:$B$3006,"&lt;="&amp;DEN_NGAY))</f>
        <v/>
      </c>
      <c r="Q72" s="124">
        <f>K72-L72+M72-N72</f>
        <v/>
      </c>
      <c r="R72" s="124">
        <f>MAX(Q72,0)</f>
        <v/>
      </c>
      <c r="S72" s="124">
        <f>MAX(-Q72,0)</f>
        <v/>
      </c>
      <c r="T72" s="124">
        <f>Q72+O72-P72</f>
        <v/>
      </c>
      <c r="U72" s="124">
        <f>MAX(T72,0)</f>
        <v/>
      </c>
      <c r="V72" s="124">
        <f>MAX(-T72,0)</f>
        <v/>
      </c>
    </row>
    <row r="73" ht="15" customHeight="1" s="78">
      <c r="A73" s="93" t="inlineStr">
        <is>
          <t>242</t>
        </is>
      </c>
      <c r="B73" s="94" t="inlineStr">
        <is>
          <t>Chi phí chờ phân bổ</t>
        </is>
      </c>
      <c r="C73" s="122" t="n">
        <v>1</v>
      </c>
      <c r="D73" s="123">
        <f>IF($A73="","",SUMIF($A$8:$A$251,$A73&amp;"*",R$8:R$251))</f>
        <v/>
      </c>
      <c r="E73" s="123">
        <f>IF($A73="","",SUMIF($A$8:$A$251,$A73&amp;"*",S$8:S$251))</f>
        <v/>
      </c>
      <c r="F73" s="123">
        <f>IF($A73="","",SUMIF($A$8:$A$251,$A73&amp;"*",O$8:O$251))</f>
        <v/>
      </c>
      <c r="G73" s="123">
        <f>IF($A73="","",SUMIF($A$8:$A$251,$A73&amp;"*",P$8:P$251))</f>
        <v/>
      </c>
      <c r="H73" s="123">
        <f>IF($A73="","",SUMIF($A$8:$A$251,$A73&amp;"*",U$8:U$251))</f>
        <v/>
      </c>
      <c r="I73" s="123">
        <f>IF($A73="","",SUMIF($A$8:$A$251,$A73&amp;"*",V$8:V$251))</f>
        <v/>
      </c>
      <c r="K73" s="124">
        <f>IF($A73="",0,SUMIFS(SDDK!$C$8:$C$251,SDDK!$A$8:$A$251,$A73))</f>
        <v/>
      </c>
      <c r="L73" s="124">
        <f>IF($A73="",0,SUMIFS(SDDK!$D$8:$D$251,SDDK!$A$8:$A$251,$A73))</f>
        <v/>
      </c>
      <c r="M73" s="124">
        <f>IF($A73="",0,SUMIFS(NKC!$H$7:$H$3006,NKC!$F$7:$F$3006,$A73,NKC!$B$7:$B$3006,"&lt;"&amp;TU_NGAY))</f>
        <v/>
      </c>
      <c r="N73" s="124">
        <f>IF($A73="",0,SUMIFS(NKC!$H$7:$H$3006,NKC!$G$7:$G$3006,$A73,NKC!$B$7:$B$3006,"&lt;"&amp;TU_NGAY))</f>
        <v/>
      </c>
      <c r="O73" s="124">
        <f>IF($A73="",0,SUMIFS(NKC!$H$7:$H$3006,NKC!$F$7:$F$3006,$A73,NKC!$B$7:$B$3006,"&gt;="&amp;TU_NGAY,NKC!$B$7:$B$3006,"&lt;="&amp;DEN_NGAY))</f>
        <v/>
      </c>
      <c r="P73" s="124">
        <f>IF($A73="",0,SUMIFS(NKC!$H$7:$H$3006,NKC!$G$7:$G$3006,$A73,NKC!$B$7:$B$3006,"&gt;="&amp;TU_NGAY,NKC!$B$7:$B$3006,"&lt;="&amp;DEN_NGAY))</f>
        <v/>
      </c>
      <c r="Q73" s="124">
        <f>K73-L73+M73-N73</f>
        <v/>
      </c>
      <c r="R73" s="124">
        <f>MAX(Q73,0)</f>
        <v/>
      </c>
      <c r="S73" s="124">
        <f>MAX(-Q73,0)</f>
        <v/>
      </c>
      <c r="T73" s="124">
        <f>Q73+O73-P73</f>
        <v/>
      </c>
      <c r="U73" s="124">
        <f>MAX(T73,0)</f>
        <v/>
      </c>
      <c r="V73" s="124">
        <f>MAX(-T73,0)</f>
        <v/>
      </c>
    </row>
    <row r="74" ht="15" customHeight="1" s="78">
      <c r="A74" s="93" t="inlineStr">
        <is>
          <t>243</t>
        </is>
      </c>
      <c r="B74" s="94" t="inlineStr">
        <is>
          <t>Tài sản thuế thu nhập hoãn lại</t>
        </is>
      </c>
      <c r="C74" s="122" t="n">
        <v>1</v>
      </c>
      <c r="D74" s="123">
        <f>IF($A74="","",SUMIF($A$8:$A$251,$A74&amp;"*",R$8:R$251))</f>
        <v/>
      </c>
      <c r="E74" s="123">
        <f>IF($A74="","",SUMIF($A$8:$A$251,$A74&amp;"*",S$8:S$251))</f>
        <v/>
      </c>
      <c r="F74" s="123">
        <f>IF($A74="","",SUMIF($A$8:$A$251,$A74&amp;"*",O$8:O$251))</f>
        <v/>
      </c>
      <c r="G74" s="123">
        <f>IF($A74="","",SUMIF($A$8:$A$251,$A74&amp;"*",P$8:P$251))</f>
        <v/>
      </c>
      <c r="H74" s="123">
        <f>IF($A74="","",SUMIF($A$8:$A$251,$A74&amp;"*",U$8:U$251))</f>
        <v/>
      </c>
      <c r="I74" s="123">
        <f>IF($A74="","",SUMIF($A$8:$A$251,$A74&amp;"*",V$8:V$251))</f>
        <v/>
      </c>
      <c r="K74" s="124">
        <f>IF($A74="",0,SUMIFS(SDDK!$C$8:$C$251,SDDK!$A$8:$A$251,$A74))</f>
        <v/>
      </c>
      <c r="L74" s="124">
        <f>IF($A74="",0,SUMIFS(SDDK!$D$8:$D$251,SDDK!$A$8:$A$251,$A74))</f>
        <v/>
      </c>
      <c r="M74" s="124">
        <f>IF($A74="",0,SUMIFS(NKC!$H$7:$H$3006,NKC!$F$7:$F$3006,$A74,NKC!$B$7:$B$3006,"&lt;"&amp;TU_NGAY))</f>
        <v/>
      </c>
      <c r="N74" s="124">
        <f>IF($A74="",0,SUMIFS(NKC!$H$7:$H$3006,NKC!$G$7:$G$3006,$A74,NKC!$B$7:$B$3006,"&lt;"&amp;TU_NGAY))</f>
        <v/>
      </c>
      <c r="O74" s="124">
        <f>IF($A74="",0,SUMIFS(NKC!$H$7:$H$3006,NKC!$F$7:$F$3006,$A74,NKC!$B$7:$B$3006,"&gt;="&amp;TU_NGAY,NKC!$B$7:$B$3006,"&lt;="&amp;DEN_NGAY))</f>
        <v/>
      </c>
      <c r="P74" s="124">
        <f>IF($A74="",0,SUMIFS(NKC!$H$7:$H$3006,NKC!$G$7:$G$3006,$A74,NKC!$B$7:$B$3006,"&gt;="&amp;TU_NGAY,NKC!$B$7:$B$3006,"&lt;="&amp;DEN_NGAY))</f>
        <v/>
      </c>
      <c r="Q74" s="124">
        <f>K74-L74+M74-N74</f>
        <v/>
      </c>
      <c r="R74" s="124">
        <f>MAX(Q74,0)</f>
        <v/>
      </c>
      <c r="S74" s="124">
        <f>MAX(-Q74,0)</f>
        <v/>
      </c>
      <c r="T74" s="124">
        <f>Q74+O74-P74</f>
        <v/>
      </c>
      <c r="U74" s="124">
        <f>MAX(T74,0)</f>
        <v/>
      </c>
      <c r="V74" s="124">
        <f>MAX(-T74,0)</f>
        <v/>
      </c>
    </row>
    <row r="75" ht="15" customHeight="1" s="78">
      <c r="A75" s="93" t="inlineStr">
        <is>
          <t>244</t>
        </is>
      </c>
      <c r="B75" s="94" t="inlineStr">
        <is>
          <t>Ký quỹ, ký cược</t>
        </is>
      </c>
      <c r="C75" s="122" t="n">
        <v>1</v>
      </c>
      <c r="D75" s="123">
        <f>IF($A75="","",SUMIF($A$8:$A$251,$A75&amp;"*",R$8:R$251))</f>
        <v/>
      </c>
      <c r="E75" s="123">
        <f>IF($A75="","",SUMIF($A$8:$A$251,$A75&amp;"*",S$8:S$251))</f>
        <v/>
      </c>
      <c r="F75" s="123">
        <f>IF($A75="","",SUMIF($A$8:$A$251,$A75&amp;"*",O$8:O$251))</f>
        <v/>
      </c>
      <c r="G75" s="123">
        <f>IF($A75="","",SUMIF($A$8:$A$251,$A75&amp;"*",P$8:P$251))</f>
        <v/>
      </c>
      <c r="H75" s="123">
        <f>IF($A75="","",SUMIF($A$8:$A$251,$A75&amp;"*",U$8:U$251))</f>
        <v/>
      </c>
      <c r="I75" s="123">
        <f>IF($A75="","",SUMIF($A$8:$A$251,$A75&amp;"*",V$8:V$251))</f>
        <v/>
      </c>
      <c r="K75" s="124">
        <f>IF($A75="",0,SUMIFS(SDDK!$C$8:$C$251,SDDK!$A$8:$A$251,$A75))</f>
        <v/>
      </c>
      <c r="L75" s="124">
        <f>IF($A75="",0,SUMIFS(SDDK!$D$8:$D$251,SDDK!$A$8:$A$251,$A75))</f>
        <v/>
      </c>
      <c r="M75" s="124">
        <f>IF($A75="",0,SUMIFS(NKC!$H$7:$H$3006,NKC!$F$7:$F$3006,$A75,NKC!$B$7:$B$3006,"&lt;"&amp;TU_NGAY))</f>
        <v/>
      </c>
      <c r="N75" s="124">
        <f>IF($A75="",0,SUMIFS(NKC!$H$7:$H$3006,NKC!$G$7:$G$3006,$A75,NKC!$B$7:$B$3006,"&lt;"&amp;TU_NGAY))</f>
        <v/>
      </c>
      <c r="O75" s="124">
        <f>IF($A75="",0,SUMIFS(NKC!$H$7:$H$3006,NKC!$F$7:$F$3006,$A75,NKC!$B$7:$B$3006,"&gt;="&amp;TU_NGAY,NKC!$B$7:$B$3006,"&lt;="&amp;DEN_NGAY))</f>
        <v/>
      </c>
      <c r="P75" s="124">
        <f>IF($A75="",0,SUMIFS(NKC!$H$7:$H$3006,NKC!$G$7:$G$3006,$A75,NKC!$B$7:$B$3006,"&gt;="&amp;TU_NGAY,NKC!$B$7:$B$3006,"&lt;="&amp;DEN_NGAY))</f>
        <v/>
      </c>
      <c r="Q75" s="124">
        <f>K75-L75+M75-N75</f>
        <v/>
      </c>
      <c r="R75" s="124">
        <f>MAX(Q75,0)</f>
        <v/>
      </c>
      <c r="S75" s="124">
        <f>MAX(-Q75,0)</f>
        <v/>
      </c>
      <c r="T75" s="124">
        <f>Q75+O75-P75</f>
        <v/>
      </c>
      <c r="U75" s="124">
        <f>MAX(T75,0)</f>
        <v/>
      </c>
      <c r="V75" s="124">
        <f>MAX(-T75,0)</f>
        <v/>
      </c>
    </row>
    <row r="76" ht="15" customHeight="1" s="78">
      <c r="A76" s="93" t="inlineStr">
        <is>
          <t>331</t>
        </is>
      </c>
      <c r="B76" s="94" t="inlineStr">
        <is>
          <t>Phải trả cho người bán</t>
        </is>
      </c>
      <c r="C76" s="122" t="n">
        <v>1</v>
      </c>
      <c r="D76" s="123">
        <f>IF($A76="","",SUMIF($A$8:$A$251,$A76&amp;"*",R$8:R$251))</f>
        <v/>
      </c>
      <c r="E76" s="123">
        <f>IF($A76="","",SUMIF($A$8:$A$251,$A76&amp;"*",S$8:S$251))</f>
        <v/>
      </c>
      <c r="F76" s="123">
        <f>IF($A76="","",SUMIF($A$8:$A$251,$A76&amp;"*",O$8:O$251))</f>
        <v/>
      </c>
      <c r="G76" s="123">
        <f>IF($A76="","",SUMIF($A$8:$A$251,$A76&amp;"*",P$8:P$251))</f>
        <v/>
      </c>
      <c r="H76" s="123">
        <f>IF($A76="","",SUMIF($A$8:$A$251,$A76&amp;"*",U$8:U$251))</f>
        <v/>
      </c>
      <c r="I76" s="123">
        <f>IF($A76="","",SUMIF($A$8:$A$251,$A76&amp;"*",V$8:V$251))</f>
        <v/>
      </c>
      <c r="K76" s="124">
        <f>IF($A76="",0,SUMIFS(SDDK!$C$8:$C$251,SDDK!$A$8:$A$251,$A76))</f>
        <v/>
      </c>
      <c r="L76" s="124">
        <f>IF($A76="",0,SUMIFS(SDDK!$D$8:$D$251,SDDK!$A$8:$A$251,$A76))</f>
        <v/>
      </c>
      <c r="M76" s="124">
        <f>IF($A76="",0,SUMIFS(NKC!$H$7:$H$3006,NKC!$F$7:$F$3006,$A76,NKC!$B$7:$B$3006,"&lt;"&amp;TU_NGAY))</f>
        <v/>
      </c>
      <c r="N76" s="124">
        <f>IF($A76="",0,SUMIFS(NKC!$H$7:$H$3006,NKC!$G$7:$G$3006,$A76,NKC!$B$7:$B$3006,"&lt;"&amp;TU_NGAY))</f>
        <v/>
      </c>
      <c r="O76" s="124">
        <f>IF($A76="",0,SUMIFS(NKC!$H$7:$H$3006,NKC!$F$7:$F$3006,$A76,NKC!$B$7:$B$3006,"&gt;="&amp;TU_NGAY,NKC!$B$7:$B$3006,"&lt;="&amp;DEN_NGAY))</f>
        <v/>
      </c>
      <c r="P76" s="124">
        <f>IF($A76="",0,SUMIFS(NKC!$H$7:$H$3006,NKC!$G$7:$G$3006,$A76,NKC!$B$7:$B$3006,"&gt;="&amp;TU_NGAY,NKC!$B$7:$B$3006,"&lt;="&amp;DEN_NGAY))</f>
        <v/>
      </c>
      <c r="Q76" s="124">
        <f>K76-L76+M76-N76</f>
        <v/>
      </c>
      <c r="R76" s="124">
        <f>SUMIFS(SDDK!$D$256:$D$375,SDDK!$A$256:$A$375,$A76)</f>
        <v/>
      </c>
      <c r="S76" s="124">
        <f>SUMIFS(SDDK!$E$256:$E$375,SDDK!$A$256:$A$375,$A76)</f>
        <v/>
      </c>
      <c r="T76" s="124">
        <f>Q76+O76-P76</f>
        <v/>
      </c>
      <c r="U76" s="124">
        <f>CONGNO!$G$613</f>
        <v/>
      </c>
      <c r="V76" s="124">
        <f>CONGNO!$H$613</f>
        <v/>
      </c>
    </row>
    <row r="77" ht="15" customHeight="1" s="78">
      <c r="A77" s="93" t="inlineStr">
        <is>
          <t>332</t>
        </is>
      </c>
      <c r="B77" s="94" t="inlineStr">
        <is>
          <t>Phải trả cổ tức, lợi nhuận</t>
        </is>
      </c>
      <c r="C77" s="122" t="n">
        <v>1</v>
      </c>
      <c r="D77" s="123">
        <f>IF($A77="","",SUMIF($A$8:$A$251,$A77&amp;"*",R$8:R$251))</f>
        <v/>
      </c>
      <c r="E77" s="123">
        <f>IF($A77="","",SUMIF($A$8:$A$251,$A77&amp;"*",S$8:S$251))</f>
        <v/>
      </c>
      <c r="F77" s="123">
        <f>IF($A77="","",SUMIF($A$8:$A$251,$A77&amp;"*",O$8:O$251))</f>
        <v/>
      </c>
      <c r="G77" s="123">
        <f>IF($A77="","",SUMIF($A$8:$A$251,$A77&amp;"*",P$8:P$251))</f>
        <v/>
      </c>
      <c r="H77" s="123">
        <f>IF($A77="","",SUMIF($A$8:$A$251,$A77&amp;"*",U$8:U$251))</f>
        <v/>
      </c>
      <c r="I77" s="123">
        <f>IF($A77="","",SUMIF($A$8:$A$251,$A77&amp;"*",V$8:V$251))</f>
        <v/>
      </c>
      <c r="K77" s="124">
        <f>IF($A77="",0,SUMIFS(SDDK!$C$8:$C$251,SDDK!$A$8:$A$251,$A77))</f>
        <v/>
      </c>
      <c r="L77" s="124">
        <f>IF($A77="",0,SUMIFS(SDDK!$D$8:$D$251,SDDK!$A$8:$A$251,$A77))</f>
        <v/>
      </c>
      <c r="M77" s="124">
        <f>IF($A77="",0,SUMIFS(NKC!$H$7:$H$3006,NKC!$F$7:$F$3006,$A77,NKC!$B$7:$B$3006,"&lt;"&amp;TU_NGAY))</f>
        <v/>
      </c>
      <c r="N77" s="124">
        <f>IF($A77="",0,SUMIFS(NKC!$H$7:$H$3006,NKC!$G$7:$G$3006,$A77,NKC!$B$7:$B$3006,"&lt;"&amp;TU_NGAY))</f>
        <v/>
      </c>
      <c r="O77" s="124">
        <f>IF($A77="",0,SUMIFS(NKC!$H$7:$H$3006,NKC!$F$7:$F$3006,$A77,NKC!$B$7:$B$3006,"&gt;="&amp;TU_NGAY,NKC!$B$7:$B$3006,"&lt;="&amp;DEN_NGAY))</f>
        <v/>
      </c>
      <c r="P77" s="124">
        <f>IF($A77="",0,SUMIFS(NKC!$H$7:$H$3006,NKC!$G$7:$G$3006,$A77,NKC!$B$7:$B$3006,"&gt;="&amp;TU_NGAY,NKC!$B$7:$B$3006,"&lt;="&amp;DEN_NGAY))</f>
        <v/>
      </c>
      <c r="Q77" s="124">
        <f>K77-L77+M77-N77</f>
        <v/>
      </c>
      <c r="R77" s="124">
        <f>MAX(Q77,0)</f>
        <v/>
      </c>
      <c r="S77" s="124">
        <f>MAX(-Q77,0)</f>
        <v/>
      </c>
      <c r="T77" s="124">
        <f>Q77+O77-P77</f>
        <v/>
      </c>
      <c r="U77" s="124">
        <f>MAX(T77,0)</f>
        <v/>
      </c>
      <c r="V77" s="124">
        <f>MAX(-T77,0)</f>
        <v/>
      </c>
    </row>
    <row r="78" ht="15" customHeight="1" s="78">
      <c r="A78" s="93" t="inlineStr">
        <is>
          <t>333</t>
        </is>
      </c>
      <c r="B78" s="94" t="inlineStr">
        <is>
          <t>Thuế và các khoản phải nộp Nhà nước</t>
        </is>
      </c>
      <c r="C78" s="122" t="n">
        <v>1</v>
      </c>
      <c r="D78" s="123">
        <f>IF($A78="","",SUMIF($A$8:$A$251,$A78&amp;"*",R$8:R$251))</f>
        <v/>
      </c>
      <c r="E78" s="123">
        <f>IF($A78="","",SUMIF($A$8:$A$251,$A78&amp;"*",S$8:S$251))</f>
        <v/>
      </c>
      <c r="F78" s="123">
        <f>IF($A78="","",SUMIF($A$8:$A$251,$A78&amp;"*",O$8:O$251))</f>
        <v/>
      </c>
      <c r="G78" s="123">
        <f>IF($A78="","",SUMIF($A$8:$A$251,$A78&amp;"*",P$8:P$251))</f>
        <v/>
      </c>
      <c r="H78" s="123">
        <f>IF($A78="","",SUMIF($A$8:$A$251,$A78&amp;"*",U$8:U$251))</f>
        <v/>
      </c>
      <c r="I78" s="123">
        <f>IF($A78="","",SUMIF($A$8:$A$251,$A78&amp;"*",V$8:V$251))</f>
        <v/>
      </c>
      <c r="K78" s="124">
        <f>IF($A78="",0,SUMIFS(SDDK!$C$8:$C$251,SDDK!$A$8:$A$251,$A78))</f>
        <v/>
      </c>
      <c r="L78" s="124">
        <f>IF($A78="",0,SUMIFS(SDDK!$D$8:$D$251,SDDK!$A$8:$A$251,$A78))</f>
        <v/>
      </c>
      <c r="M78" s="124">
        <f>IF($A78="",0,SUMIFS(NKC!$H$7:$H$3006,NKC!$F$7:$F$3006,$A78,NKC!$B$7:$B$3006,"&lt;"&amp;TU_NGAY))</f>
        <v/>
      </c>
      <c r="N78" s="124">
        <f>IF($A78="",0,SUMIFS(NKC!$H$7:$H$3006,NKC!$G$7:$G$3006,$A78,NKC!$B$7:$B$3006,"&lt;"&amp;TU_NGAY))</f>
        <v/>
      </c>
      <c r="O78" s="124">
        <f>IF($A78="",0,SUMIFS(NKC!$H$7:$H$3006,NKC!$F$7:$F$3006,$A78,NKC!$B$7:$B$3006,"&gt;="&amp;TU_NGAY,NKC!$B$7:$B$3006,"&lt;="&amp;DEN_NGAY))</f>
        <v/>
      </c>
      <c r="P78" s="124">
        <f>IF($A78="",0,SUMIFS(NKC!$H$7:$H$3006,NKC!$G$7:$G$3006,$A78,NKC!$B$7:$B$3006,"&gt;="&amp;TU_NGAY,NKC!$B$7:$B$3006,"&lt;="&amp;DEN_NGAY))</f>
        <v/>
      </c>
      <c r="Q78" s="124">
        <f>K78-L78+M78-N78</f>
        <v/>
      </c>
      <c r="R78" s="124">
        <f>MAX(Q78,0)</f>
        <v/>
      </c>
      <c r="S78" s="124">
        <f>MAX(-Q78,0)</f>
        <v/>
      </c>
      <c r="T78" s="124">
        <f>Q78+O78-P78</f>
        <v/>
      </c>
      <c r="U78" s="124">
        <f>MAX(T78,0)</f>
        <v/>
      </c>
      <c r="V78" s="124">
        <f>MAX(-T78,0)</f>
        <v/>
      </c>
    </row>
    <row r="79" ht="15" customHeight="1" s="78">
      <c r="A79" s="96" t="inlineStr">
        <is>
          <t>3331</t>
        </is>
      </c>
      <c r="B79" s="97" t="inlineStr">
        <is>
          <t>Thuế giá trị gia tăng phải nộp</t>
        </is>
      </c>
      <c r="C79" s="122" t="n">
        <v>2</v>
      </c>
      <c r="D79" s="125">
        <f>IF($A79="","",SUMIF($A$8:$A$251,$A79&amp;"*",R$8:R$251))</f>
        <v/>
      </c>
      <c r="E79" s="125">
        <f>IF($A79="","",SUMIF($A$8:$A$251,$A79&amp;"*",S$8:S$251))</f>
        <v/>
      </c>
      <c r="F79" s="125">
        <f>IF($A79="","",SUMIF($A$8:$A$251,$A79&amp;"*",O$8:O$251))</f>
        <v/>
      </c>
      <c r="G79" s="125">
        <f>IF($A79="","",SUMIF($A$8:$A$251,$A79&amp;"*",P$8:P$251))</f>
        <v/>
      </c>
      <c r="H79" s="125">
        <f>IF($A79="","",SUMIF($A$8:$A$251,$A79&amp;"*",U$8:U$251))</f>
        <v/>
      </c>
      <c r="I79" s="125">
        <f>IF($A79="","",SUMIF($A$8:$A$251,$A79&amp;"*",V$8:V$251))</f>
        <v/>
      </c>
      <c r="K79" s="124">
        <f>IF($A79="",0,SUMIFS(SDDK!$C$8:$C$251,SDDK!$A$8:$A$251,$A79))</f>
        <v/>
      </c>
      <c r="L79" s="124">
        <f>IF($A79="",0,SUMIFS(SDDK!$D$8:$D$251,SDDK!$A$8:$A$251,$A79))</f>
        <v/>
      </c>
      <c r="M79" s="124">
        <f>IF($A79="",0,SUMIFS(NKC!$H$7:$H$3006,NKC!$F$7:$F$3006,$A79,NKC!$B$7:$B$3006,"&lt;"&amp;TU_NGAY))</f>
        <v/>
      </c>
      <c r="N79" s="124">
        <f>IF($A79="",0,SUMIFS(NKC!$H$7:$H$3006,NKC!$G$7:$G$3006,$A79,NKC!$B$7:$B$3006,"&lt;"&amp;TU_NGAY))</f>
        <v/>
      </c>
      <c r="O79" s="124">
        <f>IF($A79="",0,SUMIFS(NKC!$H$7:$H$3006,NKC!$F$7:$F$3006,$A79,NKC!$B$7:$B$3006,"&gt;="&amp;TU_NGAY,NKC!$B$7:$B$3006,"&lt;="&amp;DEN_NGAY))</f>
        <v/>
      </c>
      <c r="P79" s="124">
        <f>IF($A79="",0,SUMIFS(NKC!$H$7:$H$3006,NKC!$G$7:$G$3006,$A79,NKC!$B$7:$B$3006,"&gt;="&amp;TU_NGAY,NKC!$B$7:$B$3006,"&lt;="&amp;DEN_NGAY))</f>
        <v/>
      </c>
      <c r="Q79" s="124">
        <f>K79-L79+M79-N79</f>
        <v/>
      </c>
      <c r="R79" s="124">
        <f>MAX(Q79,0)</f>
        <v/>
      </c>
      <c r="S79" s="124">
        <f>MAX(-Q79,0)</f>
        <v/>
      </c>
      <c r="T79" s="124">
        <f>Q79+O79-P79</f>
        <v/>
      </c>
      <c r="U79" s="124">
        <f>MAX(T79,0)</f>
        <v/>
      </c>
      <c r="V79" s="124">
        <f>MAX(-T79,0)</f>
        <v/>
      </c>
    </row>
    <row r="80" ht="15" customHeight="1" s="78">
      <c r="A80" s="96" t="inlineStr">
        <is>
          <t>33311</t>
        </is>
      </c>
      <c r="B80" s="97" t="inlineStr">
        <is>
          <t>Thuế GTGT đầu ra</t>
        </is>
      </c>
      <c r="C80" s="122" t="n">
        <v>3</v>
      </c>
      <c r="D80" s="125">
        <f>IF($A80="","",SUMIF($A$8:$A$251,$A80&amp;"*",R$8:R$251))</f>
        <v/>
      </c>
      <c r="E80" s="125">
        <f>IF($A80="","",SUMIF($A$8:$A$251,$A80&amp;"*",S$8:S$251))</f>
        <v/>
      </c>
      <c r="F80" s="125">
        <f>IF($A80="","",SUMIF($A$8:$A$251,$A80&amp;"*",O$8:O$251))</f>
        <v/>
      </c>
      <c r="G80" s="125">
        <f>IF($A80="","",SUMIF($A$8:$A$251,$A80&amp;"*",P$8:P$251))</f>
        <v/>
      </c>
      <c r="H80" s="125">
        <f>IF($A80="","",SUMIF($A$8:$A$251,$A80&amp;"*",U$8:U$251))</f>
        <v/>
      </c>
      <c r="I80" s="125">
        <f>IF($A80="","",SUMIF($A$8:$A$251,$A80&amp;"*",V$8:V$251))</f>
        <v/>
      </c>
      <c r="K80" s="124">
        <f>IF($A80="",0,SUMIFS(SDDK!$C$8:$C$251,SDDK!$A$8:$A$251,$A80))</f>
        <v/>
      </c>
      <c r="L80" s="124">
        <f>IF($A80="",0,SUMIFS(SDDK!$D$8:$D$251,SDDK!$A$8:$A$251,$A80))</f>
        <v/>
      </c>
      <c r="M80" s="124">
        <f>IF($A80="",0,SUMIFS(NKC!$H$7:$H$3006,NKC!$F$7:$F$3006,$A80,NKC!$B$7:$B$3006,"&lt;"&amp;TU_NGAY))</f>
        <v/>
      </c>
      <c r="N80" s="124">
        <f>IF($A80="",0,SUMIFS(NKC!$H$7:$H$3006,NKC!$G$7:$G$3006,$A80,NKC!$B$7:$B$3006,"&lt;"&amp;TU_NGAY))</f>
        <v/>
      </c>
      <c r="O80" s="124">
        <f>IF($A80="",0,SUMIFS(NKC!$H$7:$H$3006,NKC!$F$7:$F$3006,$A80,NKC!$B$7:$B$3006,"&gt;="&amp;TU_NGAY,NKC!$B$7:$B$3006,"&lt;="&amp;DEN_NGAY))</f>
        <v/>
      </c>
      <c r="P80" s="124">
        <f>IF($A80="",0,SUMIFS(NKC!$H$7:$H$3006,NKC!$G$7:$G$3006,$A80,NKC!$B$7:$B$3006,"&gt;="&amp;TU_NGAY,NKC!$B$7:$B$3006,"&lt;="&amp;DEN_NGAY))</f>
        <v/>
      </c>
      <c r="Q80" s="124">
        <f>K80-L80+M80-N80</f>
        <v/>
      </c>
      <c r="R80" s="124">
        <f>MAX(Q80,0)</f>
        <v/>
      </c>
      <c r="S80" s="124">
        <f>MAX(-Q80,0)</f>
        <v/>
      </c>
      <c r="T80" s="124">
        <f>Q80+O80-P80</f>
        <v/>
      </c>
      <c r="U80" s="124">
        <f>MAX(T80,0)</f>
        <v/>
      </c>
      <c r="V80" s="124">
        <f>MAX(-T80,0)</f>
        <v/>
      </c>
    </row>
    <row r="81" ht="15" customHeight="1" s="78">
      <c r="A81" s="96" t="inlineStr">
        <is>
          <t>33312</t>
        </is>
      </c>
      <c r="B81" s="97" t="inlineStr">
        <is>
          <t>Thuế GTGT hàng nhập khẩu</t>
        </is>
      </c>
      <c r="C81" s="122" t="n">
        <v>3</v>
      </c>
      <c r="D81" s="125">
        <f>IF($A81="","",SUMIF($A$8:$A$251,$A81&amp;"*",R$8:R$251))</f>
        <v/>
      </c>
      <c r="E81" s="125">
        <f>IF($A81="","",SUMIF($A$8:$A$251,$A81&amp;"*",S$8:S$251))</f>
        <v/>
      </c>
      <c r="F81" s="125">
        <f>IF($A81="","",SUMIF($A$8:$A$251,$A81&amp;"*",O$8:O$251))</f>
        <v/>
      </c>
      <c r="G81" s="125">
        <f>IF($A81="","",SUMIF($A$8:$A$251,$A81&amp;"*",P$8:P$251))</f>
        <v/>
      </c>
      <c r="H81" s="125">
        <f>IF($A81="","",SUMIF($A$8:$A$251,$A81&amp;"*",U$8:U$251))</f>
        <v/>
      </c>
      <c r="I81" s="125">
        <f>IF($A81="","",SUMIF($A$8:$A$251,$A81&amp;"*",V$8:V$251))</f>
        <v/>
      </c>
      <c r="K81" s="124">
        <f>IF($A81="",0,SUMIFS(SDDK!$C$8:$C$251,SDDK!$A$8:$A$251,$A81))</f>
        <v/>
      </c>
      <c r="L81" s="124">
        <f>IF($A81="",0,SUMIFS(SDDK!$D$8:$D$251,SDDK!$A$8:$A$251,$A81))</f>
        <v/>
      </c>
      <c r="M81" s="124">
        <f>IF($A81="",0,SUMIFS(NKC!$H$7:$H$3006,NKC!$F$7:$F$3006,$A81,NKC!$B$7:$B$3006,"&lt;"&amp;TU_NGAY))</f>
        <v/>
      </c>
      <c r="N81" s="124">
        <f>IF($A81="",0,SUMIFS(NKC!$H$7:$H$3006,NKC!$G$7:$G$3006,$A81,NKC!$B$7:$B$3006,"&lt;"&amp;TU_NGAY))</f>
        <v/>
      </c>
      <c r="O81" s="124">
        <f>IF($A81="",0,SUMIFS(NKC!$H$7:$H$3006,NKC!$F$7:$F$3006,$A81,NKC!$B$7:$B$3006,"&gt;="&amp;TU_NGAY,NKC!$B$7:$B$3006,"&lt;="&amp;DEN_NGAY))</f>
        <v/>
      </c>
      <c r="P81" s="124">
        <f>IF($A81="",0,SUMIFS(NKC!$H$7:$H$3006,NKC!$G$7:$G$3006,$A81,NKC!$B$7:$B$3006,"&gt;="&amp;TU_NGAY,NKC!$B$7:$B$3006,"&lt;="&amp;DEN_NGAY))</f>
        <v/>
      </c>
      <c r="Q81" s="124">
        <f>K81-L81+M81-N81</f>
        <v/>
      </c>
      <c r="R81" s="124">
        <f>MAX(Q81,0)</f>
        <v/>
      </c>
      <c r="S81" s="124">
        <f>MAX(-Q81,0)</f>
        <v/>
      </c>
      <c r="T81" s="124">
        <f>Q81+O81-P81</f>
        <v/>
      </c>
      <c r="U81" s="124">
        <f>MAX(T81,0)</f>
        <v/>
      </c>
      <c r="V81" s="124">
        <f>MAX(-T81,0)</f>
        <v/>
      </c>
    </row>
    <row r="82" ht="15" customHeight="1" s="78">
      <c r="A82" s="96" t="inlineStr">
        <is>
          <t>3332</t>
        </is>
      </c>
      <c r="B82" s="97" t="inlineStr">
        <is>
          <t>Thuế tiêu thụ đặc biệt</t>
        </is>
      </c>
      <c r="C82" s="122" t="n">
        <v>2</v>
      </c>
      <c r="D82" s="125">
        <f>IF($A82="","",SUMIF($A$8:$A$251,$A82&amp;"*",R$8:R$251))</f>
        <v/>
      </c>
      <c r="E82" s="125">
        <f>IF($A82="","",SUMIF($A$8:$A$251,$A82&amp;"*",S$8:S$251))</f>
        <v/>
      </c>
      <c r="F82" s="125">
        <f>IF($A82="","",SUMIF($A$8:$A$251,$A82&amp;"*",O$8:O$251))</f>
        <v/>
      </c>
      <c r="G82" s="125">
        <f>IF($A82="","",SUMIF($A$8:$A$251,$A82&amp;"*",P$8:P$251))</f>
        <v/>
      </c>
      <c r="H82" s="125">
        <f>IF($A82="","",SUMIF($A$8:$A$251,$A82&amp;"*",U$8:U$251))</f>
        <v/>
      </c>
      <c r="I82" s="125">
        <f>IF($A82="","",SUMIF($A$8:$A$251,$A82&amp;"*",V$8:V$251))</f>
        <v/>
      </c>
      <c r="K82" s="124">
        <f>IF($A82="",0,SUMIFS(SDDK!$C$8:$C$251,SDDK!$A$8:$A$251,$A82))</f>
        <v/>
      </c>
      <c r="L82" s="124">
        <f>IF($A82="",0,SUMIFS(SDDK!$D$8:$D$251,SDDK!$A$8:$A$251,$A82))</f>
        <v/>
      </c>
      <c r="M82" s="124">
        <f>IF($A82="",0,SUMIFS(NKC!$H$7:$H$3006,NKC!$F$7:$F$3006,$A82,NKC!$B$7:$B$3006,"&lt;"&amp;TU_NGAY))</f>
        <v/>
      </c>
      <c r="N82" s="124">
        <f>IF($A82="",0,SUMIFS(NKC!$H$7:$H$3006,NKC!$G$7:$G$3006,$A82,NKC!$B$7:$B$3006,"&lt;"&amp;TU_NGAY))</f>
        <v/>
      </c>
      <c r="O82" s="124">
        <f>IF($A82="",0,SUMIFS(NKC!$H$7:$H$3006,NKC!$F$7:$F$3006,$A82,NKC!$B$7:$B$3006,"&gt;="&amp;TU_NGAY,NKC!$B$7:$B$3006,"&lt;="&amp;DEN_NGAY))</f>
        <v/>
      </c>
      <c r="P82" s="124">
        <f>IF($A82="",0,SUMIFS(NKC!$H$7:$H$3006,NKC!$G$7:$G$3006,$A82,NKC!$B$7:$B$3006,"&gt;="&amp;TU_NGAY,NKC!$B$7:$B$3006,"&lt;="&amp;DEN_NGAY))</f>
        <v/>
      </c>
      <c r="Q82" s="124">
        <f>K82-L82+M82-N82</f>
        <v/>
      </c>
      <c r="R82" s="124">
        <f>MAX(Q82,0)</f>
        <v/>
      </c>
      <c r="S82" s="124">
        <f>MAX(-Q82,0)</f>
        <v/>
      </c>
      <c r="T82" s="124">
        <f>Q82+O82-P82</f>
        <v/>
      </c>
      <c r="U82" s="124">
        <f>MAX(T82,0)</f>
        <v/>
      </c>
      <c r="V82" s="124">
        <f>MAX(-T82,0)</f>
        <v/>
      </c>
    </row>
    <row r="83" ht="15" customHeight="1" s="78">
      <c r="A83" s="96" t="inlineStr">
        <is>
          <t>3333</t>
        </is>
      </c>
      <c r="B83" s="97" t="inlineStr">
        <is>
          <t>Thuế xuất, nhập khẩu</t>
        </is>
      </c>
      <c r="C83" s="122" t="n">
        <v>2</v>
      </c>
      <c r="D83" s="125">
        <f>IF($A83="","",SUMIF($A$8:$A$251,$A83&amp;"*",R$8:R$251))</f>
        <v/>
      </c>
      <c r="E83" s="125">
        <f>IF($A83="","",SUMIF($A$8:$A$251,$A83&amp;"*",S$8:S$251))</f>
        <v/>
      </c>
      <c r="F83" s="125">
        <f>IF($A83="","",SUMIF($A$8:$A$251,$A83&amp;"*",O$8:O$251))</f>
        <v/>
      </c>
      <c r="G83" s="125">
        <f>IF($A83="","",SUMIF($A$8:$A$251,$A83&amp;"*",P$8:P$251))</f>
        <v/>
      </c>
      <c r="H83" s="125">
        <f>IF($A83="","",SUMIF($A$8:$A$251,$A83&amp;"*",U$8:U$251))</f>
        <v/>
      </c>
      <c r="I83" s="125">
        <f>IF($A83="","",SUMIF($A$8:$A$251,$A83&amp;"*",V$8:V$251))</f>
        <v/>
      </c>
      <c r="K83" s="124">
        <f>IF($A83="",0,SUMIFS(SDDK!$C$8:$C$251,SDDK!$A$8:$A$251,$A83))</f>
        <v/>
      </c>
      <c r="L83" s="124">
        <f>IF($A83="",0,SUMIFS(SDDK!$D$8:$D$251,SDDK!$A$8:$A$251,$A83))</f>
        <v/>
      </c>
      <c r="M83" s="124">
        <f>IF($A83="",0,SUMIFS(NKC!$H$7:$H$3006,NKC!$F$7:$F$3006,$A83,NKC!$B$7:$B$3006,"&lt;"&amp;TU_NGAY))</f>
        <v/>
      </c>
      <c r="N83" s="124">
        <f>IF($A83="",0,SUMIFS(NKC!$H$7:$H$3006,NKC!$G$7:$G$3006,$A83,NKC!$B$7:$B$3006,"&lt;"&amp;TU_NGAY))</f>
        <v/>
      </c>
      <c r="O83" s="124">
        <f>IF($A83="",0,SUMIFS(NKC!$H$7:$H$3006,NKC!$F$7:$F$3006,$A83,NKC!$B$7:$B$3006,"&gt;="&amp;TU_NGAY,NKC!$B$7:$B$3006,"&lt;="&amp;DEN_NGAY))</f>
        <v/>
      </c>
      <c r="P83" s="124">
        <f>IF($A83="",0,SUMIFS(NKC!$H$7:$H$3006,NKC!$G$7:$G$3006,$A83,NKC!$B$7:$B$3006,"&gt;="&amp;TU_NGAY,NKC!$B$7:$B$3006,"&lt;="&amp;DEN_NGAY))</f>
        <v/>
      </c>
      <c r="Q83" s="124">
        <f>K83-L83+M83-N83</f>
        <v/>
      </c>
      <c r="R83" s="124">
        <f>MAX(Q83,0)</f>
        <v/>
      </c>
      <c r="S83" s="124">
        <f>MAX(-Q83,0)</f>
        <v/>
      </c>
      <c r="T83" s="124">
        <f>Q83+O83-P83</f>
        <v/>
      </c>
      <c r="U83" s="124">
        <f>MAX(T83,0)</f>
        <v/>
      </c>
      <c r="V83" s="124">
        <f>MAX(-T83,0)</f>
        <v/>
      </c>
    </row>
    <row r="84" ht="15" customHeight="1" s="78">
      <c r="A84" s="96" t="inlineStr">
        <is>
          <t>3334</t>
        </is>
      </c>
      <c r="B84" s="97" t="inlineStr">
        <is>
          <t>Thuế thu nhập doanh nghiệp</t>
        </is>
      </c>
      <c r="C84" s="122" t="n">
        <v>2</v>
      </c>
      <c r="D84" s="125">
        <f>IF($A84="","",SUMIF($A$8:$A$251,$A84&amp;"*",R$8:R$251))</f>
        <v/>
      </c>
      <c r="E84" s="125">
        <f>IF($A84="","",SUMIF($A$8:$A$251,$A84&amp;"*",S$8:S$251))</f>
        <v/>
      </c>
      <c r="F84" s="125">
        <f>IF($A84="","",SUMIF($A$8:$A$251,$A84&amp;"*",O$8:O$251))</f>
        <v/>
      </c>
      <c r="G84" s="125">
        <f>IF($A84="","",SUMIF($A$8:$A$251,$A84&amp;"*",P$8:P$251))</f>
        <v/>
      </c>
      <c r="H84" s="125">
        <f>IF($A84="","",SUMIF($A$8:$A$251,$A84&amp;"*",U$8:U$251))</f>
        <v/>
      </c>
      <c r="I84" s="125">
        <f>IF($A84="","",SUMIF($A$8:$A$251,$A84&amp;"*",V$8:V$251))</f>
        <v/>
      </c>
      <c r="K84" s="124">
        <f>IF($A84="",0,SUMIFS(SDDK!$C$8:$C$251,SDDK!$A$8:$A$251,$A84))</f>
        <v/>
      </c>
      <c r="L84" s="124">
        <f>IF($A84="",0,SUMIFS(SDDK!$D$8:$D$251,SDDK!$A$8:$A$251,$A84))</f>
        <v/>
      </c>
      <c r="M84" s="124">
        <f>IF($A84="",0,SUMIFS(NKC!$H$7:$H$3006,NKC!$F$7:$F$3006,$A84,NKC!$B$7:$B$3006,"&lt;"&amp;TU_NGAY))</f>
        <v/>
      </c>
      <c r="N84" s="124">
        <f>IF($A84="",0,SUMIFS(NKC!$H$7:$H$3006,NKC!$G$7:$G$3006,$A84,NKC!$B$7:$B$3006,"&lt;"&amp;TU_NGAY))</f>
        <v/>
      </c>
      <c r="O84" s="124">
        <f>IF($A84="",0,SUMIFS(NKC!$H$7:$H$3006,NKC!$F$7:$F$3006,$A84,NKC!$B$7:$B$3006,"&gt;="&amp;TU_NGAY,NKC!$B$7:$B$3006,"&lt;="&amp;DEN_NGAY))</f>
        <v/>
      </c>
      <c r="P84" s="124">
        <f>IF($A84="",0,SUMIFS(NKC!$H$7:$H$3006,NKC!$G$7:$G$3006,$A84,NKC!$B$7:$B$3006,"&gt;="&amp;TU_NGAY,NKC!$B$7:$B$3006,"&lt;="&amp;DEN_NGAY))</f>
        <v/>
      </c>
      <c r="Q84" s="124">
        <f>K84-L84+M84-N84</f>
        <v/>
      </c>
      <c r="R84" s="124">
        <f>MAX(Q84,0)</f>
        <v/>
      </c>
      <c r="S84" s="124">
        <f>MAX(-Q84,0)</f>
        <v/>
      </c>
      <c r="T84" s="124">
        <f>Q84+O84-P84</f>
        <v/>
      </c>
      <c r="U84" s="124">
        <f>MAX(T84,0)</f>
        <v/>
      </c>
      <c r="V84" s="124">
        <f>MAX(-T84,0)</f>
        <v/>
      </c>
    </row>
    <row r="85" ht="15" customHeight="1" s="78">
      <c r="A85" s="96" t="inlineStr">
        <is>
          <t>3335</t>
        </is>
      </c>
      <c r="B85" s="97" t="inlineStr">
        <is>
          <t>Thuế thu nhập cá nhân</t>
        </is>
      </c>
      <c r="C85" s="122" t="n">
        <v>2</v>
      </c>
      <c r="D85" s="125">
        <f>IF($A85="","",SUMIF($A$8:$A$251,$A85&amp;"*",R$8:R$251))</f>
        <v/>
      </c>
      <c r="E85" s="125">
        <f>IF($A85="","",SUMIF($A$8:$A$251,$A85&amp;"*",S$8:S$251))</f>
        <v/>
      </c>
      <c r="F85" s="125">
        <f>IF($A85="","",SUMIF($A$8:$A$251,$A85&amp;"*",O$8:O$251))</f>
        <v/>
      </c>
      <c r="G85" s="125">
        <f>IF($A85="","",SUMIF($A$8:$A$251,$A85&amp;"*",P$8:P$251))</f>
        <v/>
      </c>
      <c r="H85" s="125">
        <f>IF($A85="","",SUMIF($A$8:$A$251,$A85&amp;"*",U$8:U$251))</f>
        <v/>
      </c>
      <c r="I85" s="125">
        <f>IF($A85="","",SUMIF($A$8:$A$251,$A85&amp;"*",V$8:V$251))</f>
        <v/>
      </c>
      <c r="K85" s="124">
        <f>IF($A85="",0,SUMIFS(SDDK!$C$8:$C$251,SDDK!$A$8:$A$251,$A85))</f>
        <v/>
      </c>
      <c r="L85" s="124">
        <f>IF($A85="",0,SUMIFS(SDDK!$D$8:$D$251,SDDK!$A$8:$A$251,$A85))</f>
        <v/>
      </c>
      <c r="M85" s="124">
        <f>IF($A85="",0,SUMIFS(NKC!$H$7:$H$3006,NKC!$F$7:$F$3006,$A85,NKC!$B$7:$B$3006,"&lt;"&amp;TU_NGAY))</f>
        <v/>
      </c>
      <c r="N85" s="124">
        <f>IF($A85="",0,SUMIFS(NKC!$H$7:$H$3006,NKC!$G$7:$G$3006,$A85,NKC!$B$7:$B$3006,"&lt;"&amp;TU_NGAY))</f>
        <v/>
      </c>
      <c r="O85" s="124">
        <f>IF($A85="",0,SUMIFS(NKC!$H$7:$H$3006,NKC!$F$7:$F$3006,$A85,NKC!$B$7:$B$3006,"&gt;="&amp;TU_NGAY,NKC!$B$7:$B$3006,"&lt;="&amp;DEN_NGAY))</f>
        <v/>
      </c>
      <c r="P85" s="124">
        <f>IF($A85="",0,SUMIFS(NKC!$H$7:$H$3006,NKC!$G$7:$G$3006,$A85,NKC!$B$7:$B$3006,"&gt;="&amp;TU_NGAY,NKC!$B$7:$B$3006,"&lt;="&amp;DEN_NGAY))</f>
        <v/>
      </c>
      <c r="Q85" s="124">
        <f>K85-L85+M85-N85</f>
        <v/>
      </c>
      <c r="R85" s="124">
        <f>MAX(Q85,0)</f>
        <v/>
      </c>
      <c r="S85" s="124">
        <f>MAX(-Q85,0)</f>
        <v/>
      </c>
      <c r="T85" s="124">
        <f>Q85+O85-P85</f>
        <v/>
      </c>
      <c r="U85" s="124">
        <f>MAX(T85,0)</f>
        <v/>
      </c>
      <c r="V85" s="124">
        <f>MAX(-T85,0)</f>
        <v/>
      </c>
    </row>
    <row r="86" ht="15" customHeight="1" s="78">
      <c r="A86" s="96" t="inlineStr">
        <is>
          <t>3336</t>
        </is>
      </c>
      <c r="B86" s="97" t="inlineStr">
        <is>
          <t>Thuế tài nguyên</t>
        </is>
      </c>
      <c r="C86" s="122" t="n">
        <v>2</v>
      </c>
      <c r="D86" s="125">
        <f>IF($A86="","",SUMIF($A$8:$A$251,$A86&amp;"*",R$8:R$251))</f>
        <v/>
      </c>
      <c r="E86" s="125">
        <f>IF($A86="","",SUMIF($A$8:$A$251,$A86&amp;"*",S$8:S$251))</f>
        <v/>
      </c>
      <c r="F86" s="125">
        <f>IF($A86="","",SUMIF($A$8:$A$251,$A86&amp;"*",O$8:O$251))</f>
        <v/>
      </c>
      <c r="G86" s="125">
        <f>IF($A86="","",SUMIF($A$8:$A$251,$A86&amp;"*",P$8:P$251))</f>
        <v/>
      </c>
      <c r="H86" s="125">
        <f>IF($A86="","",SUMIF($A$8:$A$251,$A86&amp;"*",U$8:U$251))</f>
        <v/>
      </c>
      <c r="I86" s="125">
        <f>IF($A86="","",SUMIF($A$8:$A$251,$A86&amp;"*",V$8:V$251))</f>
        <v/>
      </c>
      <c r="K86" s="124">
        <f>IF($A86="",0,SUMIFS(SDDK!$C$8:$C$251,SDDK!$A$8:$A$251,$A86))</f>
        <v/>
      </c>
      <c r="L86" s="124">
        <f>IF($A86="",0,SUMIFS(SDDK!$D$8:$D$251,SDDK!$A$8:$A$251,$A86))</f>
        <v/>
      </c>
      <c r="M86" s="124">
        <f>IF($A86="",0,SUMIFS(NKC!$H$7:$H$3006,NKC!$F$7:$F$3006,$A86,NKC!$B$7:$B$3006,"&lt;"&amp;TU_NGAY))</f>
        <v/>
      </c>
      <c r="N86" s="124">
        <f>IF($A86="",0,SUMIFS(NKC!$H$7:$H$3006,NKC!$G$7:$G$3006,$A86,NKC!$B$7:$B$3006,"&lt;"&amp;TU_NGAY))</f>
        <v/>
      </c>
      <c r="O86" s="124">
        <f>IF($A86="",0,SUMIFS(NKC!$H$7:$H$3006,NKC!$F$7:$F$3006,$A86,NKC!$B$7:$B$3006,"&gt;="&amp;TU_NGAY,NKC!$B$7:$B$3006,"&lt;="&amp;DEN_NGAY))</f>
        <v/>
      </c>
      <c r="P86" s="124">
        <f>IF($A86="",0,SUMIFS(NKC!$H$7:$H$3006,NKC!$G$7:$G$3006,$A86,NKC!$B$7:$B$3006,"&gt;="&amp;TU_NGAY,NKC!$B$7:$B$3006,"&lt;="&amp;DEN_NGAY))</f>
        <v/>
      </c>
      <c r="Q86" s="124">
        <f>K86-L86+M86-N86</f>
        <v/>
      </c>
      <c r="R86" s="124">
        <f>MAX(Q86,0)</f>
        <v/>
      </c>
      <c r="S86" s="124">
        <f>MAX(-Q86,0)</f>
        <v/>
      </c>
      <c r="T86" s="124">
        <f>Q86+O86-P86</f>
        <v/>
      </c>
      <c r="U86" s="124">
        <f>MAX(T86,0)</f>
        <v/>
      </c>
      <c r="V86" s="124">
        <f>MAX(-T86,0)</f>
        <v/>
      </c>
    </row>
    <row r="87" ht="15" customHeight="1" s="78">
      <c r="A87" s="96" t="inlineStr">
        <is>
          <t>3337</t>
        </is>
      </c>
      <c r="B87" s="97" t="inlineStr">
        <is>
          <t>Thuế nhà đất, tiền thuê đất</t>
        </is>
      </c>
      <c r="C87" s="122" t="n">
        <v>2</v>
      </c>
      <c r="D87" s="125">
        <f>IF($A87="","",SUMIF($A$8:$A$251,$A87&amp;"*",R$8:R$251))</f>
        <v/>
      </c>
      <c r="E87" s="125">
        <f>IF($A87="","",SUMIF($A$8:$A$251,$A87&amp;"*",S$8:S$251))</f>
        <v/>
      </c>
      <c r="F87" s="125">
        <f>IF($A87="","",SUMIF($A$8:$A$251,$A87&amp;"*",O$8:O$251))</f>
        <v/>
      </c>
      <c r="G87" s="125">
        <f>IF($A87="","",SUMIF($A$8:$A$251,$A87&amp;"*",P$8:P$251))</f>
        <v/>
      </c>
      <c r="H87" s="125">
        <f>IF($A87="","",SUMIF($A$8:$A$251,$A87&amp;"*",U$8:U$251))</f>
        <v/>
      </c>
      <c r="I87" s="125">
        <f>IF($A87="","",SUMIF($A$8:$A$251,$A87&amp;"*",V$8:V$251))</f>
        <v/>
      </c>
      <c r="K87" s="124">
        <f>IF($A87="",0,SUMIFS(SDDK!$C$8:$C$251,SDDK!$A$8:$A$251,$A87))</f>
        <v/>
      </c>
      <c r="L87" s="124">
        <f>IF($A87="",0,SUMIFS(SDDK!$D$8:$D$251,SDDK!$A$8:$A$251,$A87))</f>
        <v/>
      </c>
      <c r="M87" s="124">
        <f>IF($A87="",0,SUMIFS(NKC!$H$7:$H$3006,NKC!$F$7:$F$3006,$A87,NKC!$B$7:$B$3006,"&lt;"&amp;TU_NGAY))</f>
        <v/>
      </c>
      <c r="N87" s="124">
        <f>IF($A87="",0,SUMIFS(NKC!$H$7:$H$3006,NKC!$G$7:$G$3006,$A87,NKC!$B$7:$B$3006,"&lt;"&amp;TU_NGAY))</f>
        <v/>
      </c>
      <c r="O87" s="124">
        <f>IF($A87="",0,SUMIFS(NKC!$H$7:$H$3006,NKC!$F$7:$F$3006,$A87,NKC!$B$7:$B$3006,"&gt;="&amp;TU_NGAY,NKC!$B$7:$B$3006,"&lt;="&amp;DEN_NGAY))</f>
        <v/>
      </c>
      <c r="P87" s="124">
        <f>IF($A87="",0,SUMIFS(NKC!$H$7:$H$3006,NKC!$G$7:$G$3006,$A87,NKC!$B$7:$B$3006,"&gt;="&amp;TU_NGAY,NKC!$B$7:$B$3006,"&lt;="&amp;DEN_NGAY))</f>
        <v/>
      </c>
      <c r="Q87" s="124">
        <f>K87-L87+M87-N87</f>
        <v/>
      </c>
      <c r="R87" s="124">
        <f>MAX(Q87,0)</f>
        <v/>
      </c>
      <c r="S87" s="124">
        <f>MAX(-Q87,0)</f>
        <v/>
      </c>
      <c r="T87" s="124">
        <f>Q87+O87-P87</f>
        <v/>
      </c>
      <c r="U87" s="124">
        <f>MAX(T87,0)</f>
        <v/>
      </c>
      <c r="V87" s="124">
        <f>MAX(-T87,0)</f>
        <v/>
      </c>
    </row>
    <row r="88" ht="15" customHeight="1" s="78">
      <c r="A88" s="96" t="inlineStr">
        <is>
          <t>3338</t>
        </is>
      </c>
      <c r="B88" s="97" t="inlineStr">
        <is>
          <t>Thuế bảo vệ môi trường và các loại thuế khác</t>
        </is>
      </c>
      <c r="C88" s="122" t="n">
        <v>2</v>
      </c>
      <c r="D88" s="125">
        <f>IF($A88="","",SUMIF($A$8:$A$251,$A88&amp;"*",R$8:R$251))</f>
        <v/>
      </c>
      <c r="E88" s="125">
        <f>IF($A88="","",SUMIF($A$8:$A$251,$A88&amp;"*",S$8:S$251))</f>
        <v/>
      </c>
      <c r="F88" s="125">
        <f>IF($A88="","",SUMIF($A$8:$A$251,$A88&amp;"*",O$8:O$251))</f>
        <v/>
      </c>
      <c r="G88" s="125">
        <f>IF($A88="","",SUMIF($A$8:$A$251,$A88&amp;"*",P$8:P$251))</f>
        <v/>
      </c>
      <c r="H88" s="125">
        <f>IF($A88="","",SUMIF($A$8:$A$251,$A88&amp;"*",U$8:U$251))</f>
        <v/>
      </c>
      <c r="I88" s="125">
        <f>IF($A88="","",SUMIF($A$8:$A$251,$A88&amp;"*",V$8:V$251))</f>
        <v/>
      </c>
      <c r="K88" s="124">
        <f>IF($A88="",0,SUMIFS(SDDK!$C$8:$C$251,SDDK!$A$8:$A$251,$A88))</f>
        <v/>
      </c>
      <c r="L88" s="124">
        <f>IF($A88="",0,SUMIFS(SDDK!$D$8:$D$251,SDDK!$A$8:$A$251,$A88))</f>
        <v/>
      </c>
      <c r="M88" s="124">
        <f>IF($A88="",0,SUMIFS(NKC!$H$7:$H$3006,NKC!$F$7:$F$3006,$A88,NKC!$B$7:$B$3006,"&lt;"&amp;TU_NGAY))</f>
        <v/>
      </c>
      <c r="N88" s="124">
        <f>IF($A88="",0,SUMIFS(NKC!$H$7:$H$3006,NKC!$G$7:$G$3006,$A88,NKC!$B$7:$B$3006,"&lt;"&amp;TU_NGAY))</f>
        <v/>
      </c>
      <c r="O88" s="124">
        <f>IF($A88="",0,SUMIFS(NKC!$H$7:$H$3006,NKC!$F$7:$F$3006,$A88,NKC!$B$7:$B$3006,"&gt;="&amp;TU_NGAY,NKC!$B$7:$B$3006,"&lt;="&amp;DEN_NGAY))</f>
        <v/>
      </c>
      <c r="P88" s="124">
        <f>IF($A88="",0,SUMIFS(NKC!$H$7:$H$3006,NKC!$G$7:$G$3006,$A88,NKC!$B$7:$B$3006,"&gt;="&amp;TU_NGAY,NKC!$B$7:$B$3006,"&lt;="&amp;DEN_NGAY))</f>
        <v/>
      </c>
      <c r="Q88" s="124">
        <f>K88-L88+M88-N88</f>
        <v/>
      </c>
      <c r="R88" s="124">
        <f>MAX(Q88,0)</f>
        <v/>
      </c>
      <c r="S88" s="124">
        <f>MAX(-Q88,0)</f>
        <v/>
      </c>
      <c r="T88" s="124">
        <f>Q88+O88-P88</f>
        <v/>
      </c>
      <c r="U88" s="124">
        <f>MAX(T88,0)</f>
        <v/>
      </c>
      <c r="V88" s="124">
        <f>MAX(-T88,0)</f>
        <v/>
      </c>
    </row>
    <row r="89" ht="15" customHeight="1" s="78">
      <c r="A89" s="96" t="inlineStr">
        <is>
          <t>33381</t>
        </is>
      </c>
      <c r="B89" s="97" t="inlineStr">
        <is>
          <t>Thuế bảo vệ môi trường</t>
        </is>
      </c>
      <c r="C89" s="122" t="n">
        <v>3</v>
      </c>
      <c r="D89" s="125">
        <f>IF($A89="","",SUMIF($A$8:$A$251,$A89&amp;"*",R$8:R$251))</f>
        <v/>
      </c>
      <c r="E89" s="125">
        <f>IF($A89="","",SUMIF($A$8:$A$251,$A89&amp;"*",S$8:S$251))</f>
        <v/>
      </c>
      <c r="F89" s="125">
        <f>IF($A89="","",SUMIF($A$8:$A$251,$A89&amp;"*",O$8:O$251))</f>
        <v/>
      </c>
      <c r="G89" s="125">
        <f>IF($A89="","",SUMIF($A$8:$A$251,$A89&amp;"*",P$8:P$251))</f>
        <v/>
      </c>
      <c r="H89" s="125">
        <f>IF($A89="","",SUMIF($A$8:$A$251,$A89&amp;"*",U$8:U$251))</f>
        <v/>
      </c>
      <c r="I89" s="125">
        <f>IF($A89="","",SUMIF($A$8:$A$251,$A89&amp;"*",V$8:V$251))</f>
        <v/>
      </c>
      <c r="K89" s="124">
        <f>IF($A89="",0,SUMIFS(SDDK!$C$8:$C$251,SDDK!$A$8:$A$251,$A89))</f>
        <v/>
      </c>
      <c r="L89" s="124">
        <f>IF($A89="",0,SUMIFS(SDDK!$D$8:$D$251,SDDK!$A$8:$A$251,$A89))</f>
        <v/>
      </c>
      <c r="M89" s="124">
        <f>IF($A89="",0,SUMIFS(NKC!$H$7:$H$3006,NKC!$F$7:$F$3006,$A89,NKC!$B$7:$B$3006,"&lt;"&amp;TU_NGAY))</f>
        <v/>
      </c>
      <c r="N89" s="124">
        <f>IF($A89="",0,SUMIFS(NKC!$H$7:$H$3006,NKC!$G$7:$G$3006,$A89,NKC!$B$7:$B$3006,"&lt;"&amp;TU_NGAY))</f>
        <v/>
      </c>
      <c r="O89" s="124">
        <f>IF($A89="",0,SUMIFS(NKC!$H$7:$H$3006,NKC!$F$7:$F$3006,$A89,NKC!$B$7:$B$3006,"&gt;="&amp;TU_NGAY,NKC!$B$7:$B$3006,"&lt;="&amp;DEN_NGAY))</f>
        <v/>
      </c>
      <c r="P89" s="124">
        <f>IF($A89="",0,SUMIFS(NKC!$H$7:$H$3006,NKC!$G$7:$G$3006,$A89,NKC!$B$7:$B$3006,"&gt;="&amp;TU_NGAY,NKC!$B$7:$B$3006,"&lt;="&amp;DEN_NGAY))</f>
        <v/>
      </c>
      <c r="Q89" s="124">
        <f>K89-L89+M89-N89</f>
        <v/>
      </c>
      <c r="R89" s="124">
        <f>MAX(Q89,0)</f>
        <v/>
      </c>
      <c r="S89" s="124">
        <f>MAX(-Q89,0)</f>
        <v/>
      </c>
      <c r="T89" s="124">
        <f>Q89+O89-P89</f>
        <v/>
      </c>
      <c r="U89" s="124">
        <f>MAX(T89,0)</f>
        <v/>
      </c>
      <c r="V89" s="124">
        <f>MAX(-T89,0)</f>
        <v/>
      </c>
    </row>
    <row r="90" ht="15" customHeight="1" s="78">
      <c r="A90" s="96" t="inlineStr">
        <is>
          <t>33382</t>
        </is>
      </c>
      <c r="B90" s="97" t="inlineStr">
        <is>
          <t>Các loại thuế khác</t>
        </is>
      </c>
      <c r="C90" s="122" t="n">
        <v>3</v>
      </c>
      <c r="D90" s="125">
        <f>IF($A90="","",SUMIF($A$8:$A$251,$A90&amp;"*",R$8:R$251))</f>
        <v/>
      </c>
      <c r="E90" s="125">
        <f>IF($A90="","",SUMIF($A$8:$A$251,$A90&amp;"*",S$8:S$251))</f>
        <v/>
      </c>
      <c r="F90" s="125">
        <f>IF($A90="","",SUMIF($A$8:$A$251,$A90&amp;"*",O$8:O$251))</f>
        <v/>
      </c>
      <c r="G90" s="125">
        <f>IF($A90="","",SUMIF($A$8:$A$251,$A90&amp;"*",P$8:P$251))</f>
        <v/>
      </c>
      <c r="H90" s="125">
        <f>IF($A90="","",SUMIF($A$8:$A$251,$A90&amp;"*",U$8:U$251))</f>
        <v/>
      </c>
      <c r="I90" s="125">
        <f>IF($A90="","",SUMIF($A$8:$A$251,$A90&amp;"*",V$8:V$251))</f>
        <v/>
      </c>
      <c r="K90" s="124">
        <f>IF($A90="",0,SUMIFS(SDDK!$C$8:$C$251,SDDK!$A$8:$A$251,$A90))</f>
        <v/>
      </c>
      <c r="L90" s="124">
        <f>IF($A90="",0,SUMIFS(SDDK!$D$8:$D$251,SDDK!$A$8:$A$251,$A90))</f>
        <v/>
      </c>
      <c r="M90" s="124">
        <f>IF($A90="",0,SUMIFS(NKC!$H$7:$H$3006,NKC!$F$7:$F$3006,$A90,NKC!$B$7:$B$3006,"&lt;"&amp;TU_NGAY))</f>
        <v/>
      </c>
      <c r="N90" s="124">
        <f>IF($A90="",0,SUMIFS(NKC!$H$7:$H$3006,NKC!$G$7:$G$3006,$A90,NKC!$B$7:$B$3006,"&lt;"&amp;TU_NGAY))</f>
        <v/>
      </c>
      <c r="O90" s="124">
        <f>IF($A90="",0,SUMIFS(NKC!$H$7:$H$3006,NKC!$F$7:$F$3006,$A90,NKC!$B$7:$B$3006,"&gt;="&amp;TU_NGAY,NKC!$B$7:$B$3006,"&lt;="&amp;DEN_NGAY))</f>
        <v/>
      </c>
      <c r="P90" s="124">
        <f>IF($A90="",0,SUMIFS(NKC!$H$7:$H$3006,NKC!$G$7:$G$3006,$A90,NKC!$B$7:$B$3006,"&gt;="&amp;TU_NGAY,NKC!$B$7:$B$3006,"&lt;="&amp;DEN_NGAY))</f>
        <v/>
      </c>
      <c r="Q90" s="124">
        <f>K90-L90+M90-N90</f>
        <v/>
      </c>
      <c r="R90" s="124">
        <f>MAX(Q90,0)</f>
        <v/>
      </c>
      <c r="S90" s="124">
        <f>MAX(-Q90,0)</f>
        <v/>
      </c>
      <c r="T90" s="124">
        <f>Q90+O90-P90</f>
        <v/>
      </c>
      <c r="U90" s="124">
        <f>MAX(T90,0)</f>
        <v/>
      </c>
      <c r="V90" s="124">
        <f>MAX(-T90,0)</f>
        <v/>
      </c>
    </row>
    <row r="91" ht="15" customHeight="1" s="78">
      <c r="A91" s="96" t="inlineStr">
        <is>
          <t>3339</t>
        </is>
      </c>
      <c r="B91" s="97" t="inlineStr">
        <is>
          <t>Phí, lệ phí và các khoản phải nộp khác</t>
        </is>
      </c>
      <c r="C91" s="122" t="n">
        <v>2</v>
      </c>
      <c r="D91" s="125">
        <f>IF($A91="","",SUMIF($A$8:$A$251,$A91&amp;"*",R$8:R$251))</f>
        <v/>
      </c>
      <c r="E91" s="125">
        <f>IF($A91="","",SUMIF($A$8:$A$251,$A91&amp;"*",S$8:S$251))</f>
        <v/>
      </c>
      <c r="F91" s="125">
        <f>IF($A91="","",SUMIF($A$8:$A$251,$A91&amp;"*",O$8:O$251))</f>
        <v/>
      </c>
      <c r="G91" s="125">
        <f>IF($A91="","",SUMIF($A$8:$A$251,$A91&amp;"*",P$8:P$251))</f>
        <v/>
      </c>
      <c r="H91" s="125">
        <f>IF($A91="","",SUMIF($A$8:$A$251,$A91&amp;"*",U$8:U$251))</f>
        <v/>
      </c>
      <c r="I91" s="125">
        <f>IF($A91="","",SUMIF($A$8:$A$251,$A91&amp;"*",V$8:V$251))</f>
        <v/>
      </c>
      <c r="K91" s="124">
        <f>IF($A91="",0,SUMIFS(SDDK!$C$8:$C$251,SDDK!$A$8:$A$251,$A91))</f>
        <v/>
      </c>
      <c r="L91" s="124">
        <f>IF($A91="",0,SUMIFS(SDDK!$D$8:$D$251,SDDK!$A$8:$A$251,$A91))</f>
        <v/>
      </c>
      <c r="M91" s="124">
        <f>IF($A91="",0,SUMIFS(NKC!$H$7:$H$3006,NKC!$F$7:$F$3006,$A91,NKC!$B$7:$B$3006,"&lt;"&amp;TU_NGAY))</f>
        <v/>
      </c>
      <c r="N91" s="124">
        <f>IF($A91="",0,SUMIFS(NKC!$H$7:$H$3006,NKC!$G$7:$G$3006,$A91,NKC!$B$7:$B$3006,"&lt;"&amp;TU_NGAY))</f>
        <v/>
      </c>
      <c r="O91" s="124">
        <f>IF($A91="",0,SUMIFS(NKC!$H$7:$H$3006,NKC!$F$7:$F$3006,$A91,NKC!$B$7:$B$3006,"&gt;="&amp;TU_NGAY,NKC!$B$7:$B$3006,"&lt;="&amp;DEN_NGAY))</f>
        <v/>
      </c>
      <c r="P91" s="124">
        <f>IF($A91="",0,SUMIFS(NKC!$H$7:$H$3006,NKC!$G$7:$G$3006,$A91,NKC!$B$7:$B$3006,"&gt;="&amp;TU_NGAY,NKC!$B$7:$B$3006,"&lt;="&amp;DEN_NGAY))</f>
        <v/>
      </c>
      <c r="Q91" s="124">
        <f>K91-L91+M91-N91</f>
        <v/>
      </c>
      <c r="R91" s="124">
        <f>MAX(Q91,0)</f>
        <v/>
      </c>
      <c r="S91" s="124">
        <f>MAX(-Q91,0)</f>
        <v/>
      </c>
      <c r="T91" s="124">
        <f>Q91+O91-P91</f>
        <v/>
      </c>
      <c r="U91" s="124">
        <f>MAX(T91,0)</f>
        <v/>
      </c>
      <c r="V91" s="124">
        <f>MAX(-T91,0)</f>
        <v/>
      </c>
    </row>
    <row r="92" ht="15" customHeight="1" s="78">
      <c r="A92" s="93" t="inlineStr">
        <is>
          <t>334</t>
        </is>
      </c>
      <c r="B92" s="94" t="inlineStr">
        <is>
          <t>Phải trả người lao động</t>
        </is>
      </c>
      <c r="C92" s="122" t="n">
        <v>1</v>
      </c>
      <c r="D92" s="123">
        <f>IF($A92="","",SUMIF($A$8:$A$251,$A92&amp;"*",R$8:R$251))</f>
        <v/>
      </c>
      <c r="E92" s="123">
        <f>IF($A92="","",SUMIF($A$8:$A$251,$A92&amp;"*",S$8:S$251))</f>
        <v/>
      </c>
      <c r="F92" s="123">
        <f>IF($A92="","",SUMIF($A$8:$A$251,$A92&amp;"*",O$8:O$251))</f>
        <v/>
      </c>
      <c r="G92" s="123">
        <f>IF($A92="","",SUMIF($A$8:$A$251,$A92&amp;"*",P$8:P$251))</f>
        <v/>
      </c>
      <c r="H92" s="123">
        <f>IF($A92="","",SUMIF($A$8:$A$251,$A92&amp;"*",U$8:U$251))</f>
        <v/>
      </c>
      <c r="I92" s="123">
        <f>IF($A92="","",SUMIF($A$8:$A$251,$A92&amp;"*",V$8:V$251))</f>
        <v/>
      </c>
      <c r="K92" s="124">
        <f>IF($A92="",0,SUMIFS(SDDK!$C$8:$C$251,SDDK!$A$8:$A$251,$A92))</f>
        <v/>
      </c>
      <c r="L92" s="124">
        <f>IF($A92="",0,SUMIFS(SDDK!$D$8:$D$251,SDDK!$A$8:$A$251,$A92))</f>
        <v/>
      </c>
      <c r="M92" s="124">
        <f>IF($A92="",0,SUMIFS(NKC!$H$7:$H$3006,NKC!$F$7:$F$3006,$A92,NKC!$B$7:$B$3006,"&lt;"&amp;TU_NGAY))</f>
        <v/>
      </c>
      <c r="N92" s="124">
        <f>IF($A92="",0,SUMIFS(NKC!$H$7:$H$3006,NKC!$G$7:$G$3006,$A92,NKC!$B$7:$B$3006,"&lt;"&amp;TU_NGAY))</f>
        <v/>
      </c>
      <c r="O92" s="124">
        <f>IF($A92="",0,SUMIFS(NKC!$H$7:$H$3006,NKC!$F$7:$F$3006,$A92,NKC!$B$7:$B$3006,"&gt;="&amp;TU_NGAY,NKC!$B$7:$B$3006,"&lt;="&amp;DEN_NGAY))</f>
        <v/>
      </c>
      <c r="P92" s="124">
        <f>IF($A92="",0,SUMIFS(NKC!$H$7:$H$3006,NKC!$G$7:$G$3006,$A92,NKC!$B$7:$B$3006,"&gt;="&amp;TU_NGAY,NKC!$B$7:$B$3006,"&lt;="&amp;DEN_NGAY))</f>
        <v/>
      </c>
      <c r="Q92" s="124">
        <f>K92-L92+M92-N92</f>
        <v/>
      </c>
      <c r="R92" s="124">
        <f>MAX(Q92,0)</f>
        <v/>
      </c>
      <c r="S92" s="124">
        <f>MAX(-Q92,0)</f>
        <v/>
      </c>
      <c r="T92" s="124">
        <f>Q92+O92-P92</f>
        <v/>
      </c>
      <c r="U92" s="124">
        <f>MAX(T92,0)</f>
        <v/>
      </c>
      <c r="V92" s="124">
        <f>MAX(-T92,0)</f>
        <v/>
      </c>
    </row>
    <row r="93" ht="15" customHeight="1" s="78">
      <c r="A93" s="93" t="inlineStr">
        <is>
          <t>335</t>
        </is>
      </c>
      <c r="B93" s="94" t="inlineStr">
        <is>
          <t>Chi phí phải trả</t>
        </is>
      </c>
      <c r="C93" s="122" t="n">
        <v>1</v>
      </c>
      <c r="D93" s="123">
        <f>IF($A93="","",SUMIF($A$8:$A$251,$A93&amp;"*",R$8:R$251))</f>
        <v/>
      </c>
      <c r="E93" s="123">
        <f>IF($A93="","",SUMIF($A$8:$A$251,$A93&amp;"*",S$8:S$251))</f>
        <v/>
      </c>
      <c r="F93" s="123">
        <f>IF($A93="","",SUMIF($A$8:$A$251,$A93&amp;"*",O$8:O$251))</f>
        <v/>
      </c>
      <c r="G93" s="123">
        <f>IF($A93="","",SUMIF($A$8:$A$251,$A93&amp;"*",P$8:P$251))</f>
        <v/>
      </c>
      <c r="H93" s="123">
        <f>IF($A93="","",SUMIF($A$8:$A$251,$A93&amp;"*",U$8:U$251))</f>
        <v/>
      </c>
      <c r="I93" s="123">
        <f>IF($A93="","",SUMIF($A$8:$A$251,$A93&amp;"*",V$8:V$251))</f>
        <v/>
      </c>
      <c r="K93" s="124">
        <f>IF($A93="",0,SUMIFS(SDDK!$C$8:$C$251,SDDK!$A$8:$A$251,$A93))</f>
        <v/>
      </c>
      <c r="L93" s="124">
        <f>IF($A93="",0,SUMIFS(SDDK!$D$8:$D$251,SDDK!$A$8:$A$251,$A93))</f>
        <v/>
      </c>
      <c r="M93" s="124">
        <f>IF($A93="",0,SUMIFS(NKC!$H$7:$H$3006,NKC!$F$7:$F$3006,$A93,NKC!$B$7:$B$3006,"&lt;"&amp;TU_NGAY))</f>
        <v/>
      </c>
      <c r="N93" s="124">
        <f>IF($A93="",0,SUMIFS(NKC!$H$7:$H$3006,NKC!$G$7:$G$3006,$A93,NKC!$B$7:$B$3006,"&lt;"&amp;TU_NGAY))</f>
        <v/>
      </c>
      <c r="O93" s="124">
        <f>IF($A93="",0,SUMIFS(NKC!$H$7:$H$3006,NKC!$F$7:$F$3006,$A93,NKC!$B$7:$B$3006,"&gt;="&amp;TU_NGAY,NKC!$B$7:$B$3006,"&lt;="&amp;DEN_NGAY))</f>
        <v/>
      </c>
      <c r="P93" s="124">
        <f>IF($A93="",0,SUMIFS(NKC!$H$7:$H$3006,NKC!$G$7:$G$3006,$A93,NKC!$B$7:$B$3006,"&gt;="&amp;TU_NGAY,NKC!$B$7:$B$3006,"&lt;="&amp;DEN_NGAY))</f>
        <v/>
      </c>
      <c r="Q93" s="124">
        <f>K93-L93+M93-N93</f>
        <v/>
      </c>
      <c r="R93" s="124">
        <f>MAX(Q93,0)</f>
        <v/>
      </c>
      <c r="S93" s="124">
        <f>MAX(-Q93,0)</f>
        <v/>
      </c>
      <c r="T93" s="124">
        <f>Q93+O93-P93</f>
        <v/>
      </c>
      <c r="U93" s="124">
        <f>MAX(T93,0)</f>
        <v/>
      </c>
      <c r="V93" s="124">
        <f>MAX(-T93,0)</f>
        <v/>
      </c>
    </row>
    <row r="94" ht="15" customHeight="1" s="78">
      <c r="A94" s="93" t="inlineStr">
        <is>
          <t>336</t>
        </is>
      </c>
      <c r="B94" s="94" t="inlineStr">
        <is>
          <t>Phải trả nội bộ</t>
        </is>
      </c>
      <c r="C94" s="122" t="n">
        <v>1</v>
      </c>
      <c r="D94" s="123">
        <f>IF($A94="","",SUMIF($A$8:$A$251,$A94&amp;"*",R$8:R$251))</f>
        <v/>
      </c>
      <c r="E94" s="123">
        <f>IF($A94="","",SUMIF($A$8:$A$251,$A94&amp;"*",S$8:S$251))</f>
        <v/>
      </c>
      <c r="F94" s="123">
        <f>IF($A94="","",SUMIF($A$8:$A$251,$A94&amp;"*",O$8:O$251))</f>
        <v/>
      </c>
      <c r="G94" s="123">
        <f>IF($A94="","",SUMIF($A$8:$A$251,$A94&amp;"*",P$8:P$251))</f>
        <v/>
      </c>
      <c r="H94" s="123">
        <f>IF($A94="","",SUMIF($A$8:$A$251,$A94&amp;"*",U$8:U$251))</f>
        <v/>
      </c>
      <c r="I94" s="123">
        <f>IF($A94="","",SUMIF($A$8:$A$251,$A94&amp;"*",V$8:V$251))</f>
        <v/>
      </c>
      <c r="K94" s="124">
        <f>IF($A94="",0,SUMIFS(SDDK!$C$8:$C$251,SDDK!$A$8:$A$251,$A94))</f>
        <v/>
      </c>
      <c r="L94" s="124">
        <f>IF($A94="",0,SUMIFS(SDDK!$D$8:$D$251,SDDK!$A$8:$A$251,$A94))</f>
        <v/>
      </c>
      <c r="M94" s="124">
        <f>IF($A94="",0,SUMIFS(NKC!$H$7:$H$3006,NKC!$F$7:$F$3006,$A94,NKC!$B$7:$B$3006,"&lt;"&amp;TU_NGAY))</f>
        <v/>
      </c>
      <c r="N94" s="124">
        <f>IF($A94="",0,SUMIFS(NKC!$H$7:$H$3006,NKC!$G$7:$G$3006,$A94,NKC!$B$7:$B$3006,"&lt;"&amp;TU_NGAY))</f>
        <v/>
      </c>
      <c r="O94" s="124">
        <f>IF($A94="",0,SUMIFS(NKC!$H$7:$H$3006,NKC!$F$7:$F$3006,$A94,NKC!$B$7:$B$3006,"&gt;="&amp;TU_NGAY,NKC!$B$7:$B$3006,"&lt;="&amp;DEN_NGAY))</f>
        <v/>
      </c>
      <c r="P94" s="124">
        <f>IF($A94="",0,SUMIFS(NKC!$H$7:$H$3006,NKC!$G$7:$G$3006,$A94,NKC!$B$7:$B$3006,"&gt;="&amp;TU_NGAY,NKC!$B$7:$B$3006,"&lt;="&amp;DEN_NGAY))</f>
        <v/>
      </c>
      <c r="Q94" s="124">
        <f>K94-L94+M94-N94</f>
        <v/>
      </c>
      <c r="R94" s="124">
        <f>MAX(Q94,0)</f>
        <v/>
      </c>
      <c r="S94" s="124">
        <f>MAX(-Q94,0)</f>
        <v/>
      </c>
      <c r="T94" s="124">
        <f>Q94+O94-P94</f>
        <v/>
      </c>
      <c r="U94" s="124">
        <f>MAX(T94,0)</f>
        <v/>
      </c>
      <c r="V94" s="124">
        <f>MAX(-T94,0)</f>
        <v/>
      </c>
    </row>
    <row r="95" ht="15" customHeight="1" s="78">
      <c r="A95" s="96" t="inlineStr">
        <is>
          <t>3361</t>
        </is>
      </c>
      <c r="B95" s="97" t="inlineStr">
        <is>
          <t>Phải trả nội bộ về vốn kinh doanh</t>
        </is>
      </c>
      <c r="C95" s="122" t="n">
        <v>2</v>
      </c>
      <c r="D95" s="125">
        <f>IF($A95="","",SUMIF($A$8:$A$251,$A95&amp;"*",R$8:R$251))</f>
        <v/>
      </c>
      <c r="E95" s="125">
        <f>IF($A95="","",SUMIF($A$8:$A$251,$A95&amp;"*",S$8:S$251))</f>
        <v/>
      </c>
      <c r="F95" s="125">
        <f>IF($A95="","",SUMIF($A$8:$A$251,$A95&amp;"*",O$8:O$251))</f>
        <v/>
      </c>
      <c r="G95" s="125">
        <f>IF($A95="","",SUMIF($A$8:$A$251,$A95&amp;"*",P$8:P$251))</f>
        <v/>
      </c>
      <c r="H95" s="125">
        <f>IF($A95="","",SUMIF($A$8:$A$251,$A95&amp;"*",U$8:U$251))</f>
        <v/>
      </c>
      <c r="I95" s="125">
        <f>IF($A95="","",SUMIF($A$8:$A$251,$A95&amp;"*",V$8:V$251))</f>
        <v/>
      </c>
      <c r="K95" s="124">
        <f>IF($A95="",0,SUMIFS(SDDK!$C$8:$C$251,SDDK!$A$8:$A$251,$A95))</f>
        <v/>
      </c>
      <c r="L95" s="124">
        <f>IF($A95="",0,SUMIFS(SDDK!$D$8:$D$251,SDDK!$A$8:$A$251,$A95))</f>
        <v/>
      </c>
      <c r="M95" s="124">
        <f>IF($A95="",0,SUMIFS(NKC!$H$7:$H$3006,NKC!$F$7:$F$3006,$A95,NKC!$B$7:$B$3006,"&lt;"&amp;TU_NGAY))</f>
        <v/>
      </c>
      <c r="N95" s="124">
        <f>IF($A95="",0,SUMIFS(NKC!$H$7:$H$3006,NKC!$G$7:$G$3006,$A95,NKC!$B$7:$B$3006,"&lt;"&amp;TU_NGAY))</f>
        <v/>
      </c>
      <c r="O95" s="124">
        <f>IF($A95="",0,SUMIFS(NKC!$H$7:$H$3006,NKC!$F$7:$F$3006,$A95,NKC!$B$7:$B$3006,"&gt;="&amp;TU_NGAY,NKC!$B$7:$B$3006,"&lt;="&amp;DEN_NGAY))</f>
        <v/>
      </c>
      <c r="P95" s="124">
        <f>IF($A95="",0,SUMIFS(NKC!$H$7:$H$3006,NKC!$G$7:$G$3006,$A95,NKC!$B$7:$B$3006,"&gt;="&amp;TU_NGAY,NKC!$B$7:$B$3006,"&lt;="&amp;DEN_NGAY))</f>
        <v/>
      </c>
      <c r="Q95" s="124">
        <f>K95-L95+M95-N95</f>
        <v/>
      </c>
      <c r="R95" s="124">
        <f>MAX(Q95,0)</f>
        <v/>
      </c>
      <c r="S95" s="124">
        <f>MAX(-Q95,0)</f>
        <v/>
      </c>
      <c r="T95" s="124">
        <f>Q95+O95-P95</f>
        <v/>
      </c>
      <c r="U95" s="124">
        <f>MAX(T95,0)</f>
        <v/>
      </c>
      <c r="V95" s="124">
        <f>MAX(-T95,0)</f>
        <v/>
      </c>
    </row>
    <row r="96" ht="15" customHeight="1" s="78">
      <c r="A96" s="96" t="inlineStr">
        <is>
          <t>3362</t>
        </is>
      </c>
      <c r="B96" s="97" t="inlineStr">
        <is>
          <t>Phải trả nội bộ về chênh lệch tỷ giá</t>
        </is>
      </c>
      <c r="C96" s="122" t="n">
        <v>2</v>
      </c>
      <c r="D96" s="125">
        <f>IF($A96="","",SUMIF($A$8:$A$251,$A96&amp;"*",R$8:R$251))</f>
        <v/>
      </c>
      <c r="E96" s="125">
        <f>IF($A96="","",SUMIF($A$8:$A$251,$A96&amp;"*",S$8:S$251))</f>
        <v/>
      </c>
      <c r="F96" s="125">
        <f>IF($A96="","",SUMIF($A$8:$A$251,$A96&amp;"*",O$8:O$251))</f>
        <v/>
      </c>
      <c r="G96" s="125">
        <f>IF($A96="","",SUMIF($A$8:$A$251,$A96&amp;"*",P$8:P$251))</f>
        <v/>
      </c>
      <c r="H96" s="125">
        <f>IF($A96="","",SUMIF($A$8:$A$251,$A96&amp;"*",U$8:U$251))</f>
        <v/>
      </c>
      <c r="I96" s="125">
        <f>IF($A96="","",SUMIF($A$8:$A$251,$A96&amp;"*",V$8:V$251))</f>
        <v/>
      </c>
      <c r="K96" s="124">
        <f>IF($A96="",0,SUMIFS(SDDK!$C$8:$C$251,SDDK!$A$8:$A$251,$A96))</f>
        <v/>
      </c>
      <c r="L96" s="124">
        <f>IF($A96="",0,SUMIFS(SDDK!$D$8:$D$251,SDDK!$A$8:$A$251,$A96))</f>
        <v/>
      </c>
      <c r="M96" s="124">
        <f>IF($A96="",0,SUMIFS(NKC!$H$7:$H$3006,NKC!$F$7:$F$3006,$A96,NKC!$B$7:$B$3006,"&lt;"&amp;TU_NGAY))</f>
        <v/>
      </c>
      <c r="N96" s="124">
        <f>IF($A96="",0,SUMIFS(NKC!$H$7:$H$3006,NKC!$G$7:$G$3006,$A96,NKC!$B$7:$B$3006,"&lt;"&amp;TU_NGAY))</f>
        <v/>
      </c>
      <c r="O96" s="124">
        <f>IF($A96="",0,SUMIFS(NKC!$H$7:$H$3006,NKC!$F$7:$F$3006,$A96,NKC!$B$7:$B$3006,"&gt;="&amp;TU_NGAY,NKC!$B$7:$B$3006,"&lt;="&amp;DEN_NGAY))</f>
        <v/>
      </c>
      <c r="P96" s="124">
        <f>IF($A96="",0,SUMIFS(NKC!$H$7:$H$3006,NKC!$G$7:$G$3006,$A96,NKC!$B$7:$B$3006,"&gt;="&amp;TU_NGAY,NKC!$B$7:$B$3006,"&lt;="&amp;DEN_NGAY))</f>
        <v/>
      </c>
      <c r="Q96" s="124">
        <f>K96-L96+M96-N96</f>
        <v/>
      </c>
      <c r="R96" s="124">
        <f>MAX(Q96,0)</f>
        <v/>
      </c>
      <c r="S96" s="124">
        <f>MAX(-Q96,0)</f>
        <v/>
      </c>
      <c r="T96" s="124">
        <f>Q96+O96-P96</f>
        <v/>
      </c>
      <c r="U96" s="124">
        <f>MAX(T96,0)</f>
        <v/>
      </c>
      <c r="V96" s="124">
        <f>MAX(-T96,0)</f>
        <v/>
      </c>
    </row>
    <row r="97" ht="25.35" customHeight="1" s="78">
      <c r="A97" s="96" t="inlineStr">
        <is>
          <t>3363</t>
        </is>
      </c>
      <c r="B97" s="97" t="inlineStr">
        <is>
          <t>Phải trả nội bộ về chi phí đi vay đủ điều kiện được vốn hóa</t>
        </is>
      </c>
      <c r="C97" s="122" t="n">
        <v>2</v>
      </c>
      <c r="D97" s="125">
        <f>IF($A97="","",SUMIF($A$8:$A$251,$A97&amp;"*",R$8:R$251))</f>
        <v/>
      </c>
      <c r="E97" s="125">
        <f>IF($A97="","",SUMIF($A$8:$A$251,$A97&amp;"*",S$8:S$251))</f>
        <v/>
      </c>
      <c r="F97" s="125">
        <f>IF($A97="","",SUMIF($A$8:$A$251,$A97&amp;"*",O$8:O$251))</f>
        <v/>
      </c>
      <c r="G97" s="125">
        <f>IF($A97="","",SUMIF($A$8:$A$251,$A97&amp;"*",P$8:P$251))</f>
        <v/>
      </c>
      <c r="H97" s="125">
        <f>IF($A97="","",SUMIF($A$8:$A$251,$A97&amp;"*",U$8:U$251))</f>
        <v/>
      </c>
      <c r="I97" s="125">
        <f>IF($A97="","",SUMIF($A$8:$A$251,$A97&amp;"*",V$8:V$251))</f>
        <v/>
      </c>
      <c r="K97" s="124">
        <f>IF($A97="",0,SUMIFS(SDDK!$C$8:$C$251,SDDK!$A$8:$A$251,$A97))</f>
        <v/>
      </c>
      <c r="L97" s="124">
        <f>IF($A97="",0,SUMIFS(SDDK!$D$8:$D$251,SDDK!$A$8:$A$251,$A97))</f>
        <v/>
      </c>
      <c r="M97" s="124">
        <f>IF($A97="",0,SUMIFS(NKC!$H$7:$H$3006,NKC!$F$7:$F$3006,$A97,NKC!$B$7:$B$3006,"&lt;"&amp;TU_NGAY))</f>
        <v/>
      </c>
      <c r="N97" s="124">
        <f>IF($A97="",0,SUMIFS(NKC!$H$7:$H$3006,NKC!$G$7:$G$3006,$A97,NKC!$B$7:$B$3006,"&lt;"&amp;TU_NGAY))</f>
        <v/>
      </c>
      <c r="O97" s="124">
        <f>IF($A97="",0,SUMIFS(NKC!$H$7:$H$3006,NKC!$F$7:$F$3006,$A97,NKC!$B$7:$B$3006,"&gt;="&amp;TU_NGAY,NKC!$B$7:$B$3006,"&lt;="&amp;DEN_NGAY))</f>
        <v/>
      </c>
      <c r="P97" s="124">
        <f>IF($A97="",0,SUMIFS(NKC!$H$7:$H$3006,NKC!$G$7:$G$3006,$A97,NKC!$B$7:$B$3006,"&gt;="&amp;TU_NGAY,NKC!$B$7:$B$3006,"&lt;="&amp;DEN_NGAY))</f>
        <v/>
      </c>
      <c r="Q97" s="124">
        <f>K97-L97+M97-N97</f>
        <v/>
      </c>
      <c r="R97" s="124">
        <f>MAX(Q97,0)</f>
        <v/>
      </c>
      <c r="S97" s="124">
        <f>MAX(-Q97,0)</f>
        <v/>
      </c>
      <c r="T97" s="124">
        <f>Q97+O97-P97</f>
        <v/>
      </c>
      <c r="U97" s="124">
        <f>MAX(T97,0)</f>
        <v/>
      </c>
      <c r="V97" s="124">
        <f>MAX(-T97,0)</f>
        <v/>
      </c>
    </row>
    <row r="98" ht="15" customHeight="1" s="78">
      <c r="A98" s="96" t="inlineStr">
        <is>
          <t>3368</t>
        </is>
      </c>
      <c r="B98" s="97" t="inlineStr">
        <is>
          <t>Phải trả nội bộ khác</t>
        </is>
      </c>
      <c r="C98" s="122" t="n">
        <v>2</v>
      </c>
      <c r="D98" s="125">
        <f>IF($A98="","",SUMIF($A$8:$A$251,$A98&amp;"*",R$8:R$251))</f>
        <v/>
      </c>
      <c r="E98" s="125">
        <f>IF($A98="","",SUMIF($A$8:$A$251,$A98&amp;"*",S$8:S$251))</f>
        <v/>
      </c>
      <c r="F98" s="125">
        <f>IF($A98="","",SUMIF($A$8:$A$251,$A98&amp;"*",O$8:O$251))</f>
        <v/>
      </c>
      <c r="G98" s="125">
        <f>IF($A98="","",SUMIF($A$8:$A$251,$A98&amp;"*",P$8:P$251))</f>
        <v/>
      </c>
      <c r="H98" s="125">
        <f>IF($A98="","",SUMIF($A$8:$A$251,$A98&amp;"*",U$8:U$251))</f>
        <v/>
      </c>
      <c r="I98" s="125">
        <f>IF($A98="","",SUMIF($A$8:$A$251,$A98&amp;"*",V$8:V$251))</f>
        <v/>
      </c>
      <c r="K98" s="124">
        <f>IF($A98="",0,SUMIFS(SDDK!$C$8:$C$251,SDDK!$A$8:$A$251,$A98))</f>
        <v/>
      </c>
      <c r="L98" s="124">
        <f>IF($A98="",0,SUMIFS(SDDK!$D$8:$D$251,SDDK!$A$8:$A$251,$A98))</f>
        <v/>
      </c>
      <c r="M98" s="124">
        <f>IF($A98="",0,SUMIFS(NKC!$H$7:$H$3006,NKC!$F$7:$F$3006,$A98,NKC!$B$7:$B$3006,"&lt;"&amp;TU_NGAY))</f>
        <v/>
      </c>
      <c r="N98" s="124">
        <f>IF($A98="",0,SUMIFS(NKC!$H$7:$H$3006,NKC!$G$7:$G$3006,$A98,NKC!$B$7:$B$3006,"&lt;"&amp;TU_NGAY))</f>
        <v/>
      </c>
      <c r="O98" s="124">
        <f>IF($A98="",0,SUMIFS(NKC!$H$7:$H$3006,NKC!$F$7:$F$3006,$A98,NKC!$B$7:$B$3006,"&gt;="&amp;TU_NGAY,NKC!$B$7:$B$3006,"&lt;="&amp;DEN_NGAY))</f>
        <v/>
      </c>
      <c r="P98" s="124">
        <f>IF($A98="",0,SUMIFS(NKC!$H$7:$H$3006,NKC!$G$7:$G$3006,$A98,NKC!$B$7:$B$3006,"&gt;="&amp;TU_NGAY,NKC!$B$7:$B$3006,"&lt;="&amp;DEN_NGAY))</f>
        <v/>
      </c>
      <c r="Q98" s="124">
        <f>K98-L98+M98-N98</f>
        <v/>
      </c>
      <c r="R98" s="124">
        <f>MAX(Q98,0)</f>
        <v/>
      </c>
      <c r="S98" s="124">
        <f>MAX(-Q98,0)</f>
        <v/>
      </c>
      <c r="T98" s="124">
        <f>Q98+O98-P98</f>
        <v/>
      </c>
      <c r="U98" s="124">
        <f>MAX(T98,0)</f>
        <v/>
      </c>
      <c r="V98" s="124">
        <f>MAX(-T98,0)</f>
        <v/>
      </c>
    </row>
    <row r="99" ht="15" customHeight="1" s="78">
      <c r="A99" s="93" t="inlineStr">
        <is>
          <t>337</t>
        </is>
      </c>
      <c r="B99" s="94" t="inlineStr">
        <is>
          <t>Thanh toán theo tiến độ hợp đồng xây dựng</t>
        </is>
      </c>
      <c r="C99" s="122" t="n">
        <v>1</v>
      </c>
      <c r="D99" s="123">
        <f>IF($A99="","",SUMIF($A$8:$A$251,$A99&amp;"*",R$8:R$251))</f>
        <v/>
      </c>
      <c r="E99" s="123">
        <f>IF($A99="","",SUMIF($A$8:$A$251,$A99&amp;"*",S$8:S$251))</f>
        <v/>
      </c>
      <c r="F99" s="123">
        <f>IF($A99="","",SUMIF($A$8:$A$251,$A99&amp;"*",O$8:O$251))</f>
        <v/>
      </c>
      <c r="G99" s="123">
        <f>IF($A99="","",SUMIF($A$8:$A$251,$A99&amp;"*",P$8:P$251))</f>
        <v/>
      </c>
      <c r="H99" s="123">
        <f>IF($A99="","",SUMIF($A$8:$A$251,$A99&amp;"*",U$8:U$251))</f>
        <v/>
      </c>
      <c r="I99" s="123">
        <f>IF($A99="","",SUMIF($A$8:$A$251,$A99&amp;"*",V$8:V$251))</f>
        <v/>
      </c>
      <c r="K99" s="124">
        <f>IF($A99="",0,SUMIFS(SDDK!$C$8:$C$251,SDDK!$A$8:$A$251,$A99))</f>
        <v/>
      </c>
      <c r="L99" s="124">
        <f>IF($A99="",0,SUMIFS(SDDK!$D$8:$D$251,SDDK!$A$8:$A$251,$A99))</f>
        <v/>
      </c>
      <c r="M99" s="124">
        <f>IF($A99="",0,SUMIFS(NKC!$H$7:$H$3006,NKC!$F$7:$F$3006,$A99,NKC!$B$7:$B$3006,"&lt;"&amp;TU_NGAY))</f>
        <v/>
      </c>
      <c r="N99" s="124">
        <f>IF($A99="",0,SUMIFS(NKC!$H$7:$H$3006,NKC!$G$7:$G$3006,$A99,NKC!$B$7:$B$3006,"&lt;"&amp;TU_NGAY))</f>
        <v/>
      </c>
      <c r="O99" s="124">
        <f>IF($A99="",0,SUMIFS(NKC!$H$7:$H$3006,NKC!$F$7:$F$3006,$A99,NKC!$B$7:$B$3006,"&gt;="&amp;TU_NGAY,NKC!$B$7:$B$3006,"&lt;="&amp;DEN_NGAY))</f>
        <v/>
      </c>
      <c r="P99" s="124">
        <f>IF($A99="",0,SUMIFS(NKC!$H$7:$H$3006,NKC!$G$7:$G$3006,$A99,NKC!$B$7:$B$3006,"&gt;="&amp;TU_NGAY,NKC!$B$7:$B$3006,"&lt;="&amp;DEN_NGAY))</f>
        <v/>
      </c>
      <c r="Q99" s="124">
        <f>K99-L99+M99-N99</f>
        <v/>
      </c>
      <c r="R99" s="124">
        <f>MAX(Q99,0)</f>
        <v/>
      </c>
      <c r="S99" s="124">
        <f>MAX(-Q99,0)</f>
        <v/>
      </c>
      <c r="T99" s="124">
        <f>Q99+O99-P99</f>
        <v/>
      </c>
      <c r="U99" s="124">
        <f>MAX(T99,0)</f>
        <v/>
      </c>
      <c r="V99" s="124">
        <f>MAX(-T99,0)</f>
        <v/>
      </c>
    </row>
    <row r="100" ht="15" customHeight="1" s="78">
      <c r="A100" s="93" t="inlineStr">
        <is>
          <t>338</t>
        </is>
      </c>
      <c r="B100" s="94" t="inlineStr">
        <is>
          <t>Phải trả, phải nộp khác</t>
        </is>
      </c>
      <c r="C100" s="122" t="n">
        <v>1</v>
      </c>
      <c r="D100" s="123">
        <f>IF($A100="","",SUMIF($A$8:$A$251,$A100&amp;"*",R$8:R$251))</f>
        <v/>
      </c>
      <c r="E100" s="123">
        <f>IF($A100="","",SUMIF($A$8:$A$251,$A100&amp;"*",S$8:S$251))</f>
        <v/>
      </c>
      <c r="F100" s="123">
        <f>IF($A100="","",SUMIF($A$8:$A$251,$A100&amp;"*",O$8:O$251))</f>
        <v/>
      </c>
      <c r="G100" s="123">
        <f>IF($A100="","",SUMIF($A$8:$A$251,$A100&amp;"*",P$8:P$251))</f>
        <v/>
      </c>
      <c r="H100" s="123">
        <f>IF($A100="","",SUMIF($A$8:$A$251,$A100&amp;"*",U$8:U$251))</f>
        <v/>
      </c>
      <c r="I100" s="123">
        <f>IF($A100="","",SUMIF($A$8:$A$251,$A100&amp;"*",V$8:V$251))</f>
        <v/>
      </c>
      <c r="K100" s="124">
        <f>IF($A100="",0,SUMIFS(SDDK!$C$8:$C$251,SDDK!$A$8:$A$251,$A100))</f>
        <v/>
      </c>
      <c r="L100" s="124">
        <f>IF($A100="",0,SUMIFS(SDDK!$D$8:$D$251,SDDK!$A$8:$A$251,$A100))</f>
        <v/>
      </c>
      <c r="M100" s="124">
        <f>IF($A100="",0,SUMIFS(NKC!$H$7:$H$3006,NKC!$F$7:$F$3006,$A100,NKC!$B$7:$B$3006,"&lt;"&amp;TU_NGAY))</f>
        <v/>
      </c>
      <c r="N100" s="124">
        <f>IF($A100="",0,SUMIFS(NKC!$H$7:$H$3006,NKC!$G$7:$G$3006,$A100,NKC!$B$7:$B$3006,"&lt;"&amp;TU_NGAY))</f>
        <v/>
      </c>
      <c r="O100" s="124">
        <f>IF($A100="",0,SUMIFS(NKC!$H$7:$H$3006,NKC!$F$7:$F$3006,$A100,NKC!$B$7:$B$3006,"&gt;="&amp;TU_NGAY,NKC!$B$7:$B$3006,"&lt;="&amp;DEN_NGAY))</f>
        <v/>
      </c>
      <c r="P100" s="124">
        <f>IF($A100="",0,SUMIFS(NKC!$H$7:$H$3006,NKC!$G$7:$G$3006,$A100,NKC!$B$7:$B$3006,"&gt;="&amp;TU_NGAY,NKC!$B$7:$B$3006,"&lt;="&amp;DEN_NGAY))</f>
        <v/>
      </c>
      <c r="Q100" s="124">
        <f>K100-L100+M100-N100</f>
        <v/>
      </c>
      <c r="R100" s="124">
        <f>MAX(Q100,0)</f>
        <v/>
      </c>
      <c r="S100" s="124">
        <f>MAX(-Q100,0)</f>
        <v/>
      </c>
      <c r="T100" s="124">
        <f>Q100+O100-P100</f>
        <v/>
      </c>
      <c r="U100" s="124">
        <f>MAX(T100,0)</f>
        <v/>
      </c>
      <c r="V100" s="124">
        <f>MAX(-T100,0)</f>
        <v/>
      </c>
    </row>
    <row r="101" ht="15" customHeight="1" s="78">
      <c r="A101" s="96" t="inlineStr">
        <is>
          <t>3381</t>
        </is>
      </c>
      <c r="B101" s="97" t="inlineStr">
        <is>
          <t>Tài sản thừa chờ giải quyết</t>
        </is>
      </c>
      <c r="C101" s="122" t="n">
        <v>2</v>
      </c>
      <c r="D101" s="125">
        <f>IF($A101="","",SUMIF($A$8:$A$251,$A101&amp;"*",R$8:R$251))</f>
        <v/>
      </c>
      <c r="E101" s="125">
        <f>IF($A101="","",SUMIF($A$8:$A$251,$A101&amp;"*",S$8:S$251))</f>
        <v/>
      </c>
      <c r="F101" s="125">
        <f>IF($A101="","",SUMIF($A$8:$A$251,$A101&amp;"*",O$8:O$251))</f>
        <v/>
      </c>
      <c r="G101" s="125">
        <f>IF($A101="","",SUMIF($A$8:$A$251,$A101&amp;"*",P$8:P$251))</f>
        <v/>
      </c>
      <c r="H101" s="125">
        <f>IF($A101="","",SUMIF($A$8:$A$251,$A101&amp;"*",U$8:U$251))</f>
        <v/>
      </c>
      <c r="I101" s="125">
        <f>IF($A101="","",SUMIF($A$8:$A$251,$A101&amp;"*",V$8:V$251))</f>
        <v/>
      </c>
      <c r="K101" s="124">
        <f>IF($A101="",0,SUMIFS(SDDK!$C$8:$C$251,SDDK!$A$8:$A$251,$A101))</f>
        <v/>
      </c>
      <c r="L101" s="124">
        <f>IF($A101="",0,SUMIFS(SDDK!$D$8:$D$251,SDDK!$A$8:$A$251,$A101))</f>
        <v/>
      </c>
      <c r="M101" s="124">
        <f>IF($A101="",0,SUMIFS(NKC!$H$7:$H$3006,NKC!$F$7:$F$3006,$A101,NKC!$B$7:$B$3006,"&lt;"&amp;TU_NGAY))</f>
        <v/>
      </c>
      <c r="N101" s="124">
        <f>IF($A101="",0,SUMIFS(NKC!$H$7:$H$3006,NKC!$G$7:$G$3006,$A101,NKC!$B$7:$B$3006,"&lt;"&amp;TU_NGAY))</f>
        <v/>
      </c>
      <c r="O101" s="124">
        <f>IF($A101="",0,SUMIFS(NKC!$H$7:$H$3006,NKC!$F$7:$F$3006,$A101,NKC!$B$7:$B$3006,"&gt;="&amp;TU_NGAY,NKC!$B$7:$B$3006,"&lt;="&amp;DEN_NGAY))</f>
        <v/>
      </c>
      <c r="P101" s="124">
        <f>IF($A101="",0,SUMIFS(NKC!$H$7:$H$3006,NKC!$G$7:$G$3006,$A101,NKC!$B$7:$B$3006,"&gt;="&amp;TU_NGAY,NKC!$B$7:$B$3006,"&lt;="&amp;DEN_NGAY))</f>
        <v/>
      </c>
      <c r="Q101" s="124">
        <f>K101-L101+M101-N101</f>
        <v/>
      </c>
      <c r="R101" s="124">
        <f>MAX(Q101,0)</f>
        <v/>
      </c>
      <c r="S101" s="124">
        <f>MAX(-Q101,0)</f>
        <v/>
      </c>
      <c r="T101" s="124">
        <f>Q101+O101-P101</f>
        <v/>
      </c>
      <c r="U101" s="124">
        <f>MAX(T101,0)</f>
        <v/>
      </c>
      <c r="V101" s="124">
        <f>MAX(-T101,0)</f>
        <v/>
      </c>
    </row>
    <row r="102" ht="15" customHeight="1" s="78">
      <c r="A102" s="96" t="inlineStr">
        <is>
          <t>3382</t>
        </is>
      </c>
      <c r="B102" s="97" t="inlineStr">
        <is>
          <t>Kinh phí công đoàn</t>
        </is>
      </c>
      <c r="C102" s="122" t="n">
        <v>2</v>
      </c>
      <c r="D102" s="125">
        <f>IF($A102="","",SUMIF($A$8:$A$251,$A102&amp;"*",R$8:R$251))</f>
        <v/>
      </c>
      <c r="E102" s="125">
        <f>IF($A102="","",SUMIF($A$8:$A$251,$A102&amp;"*",S$8:S$251))</f>
        <v/>
      </c>
      <c r="F102" s="125">
        <f>IF($A102="","",SUMIF($A$8:$A$251,$A102&amp;"*",O$8:O$251))</f>
        <v/>
      </c>
      <c r="G102" s="125">
        <f>IF($A102="","",SUMIF($A$8:$A$251,$A102&amp;"*",P$8:P$251))</f>
        <v/>
      </c>
      <c r="H102" s="125">
        <f>IF($A102="","",SUMIF($A$8:$A$251,$A102&amp;"*",U$8:U$251))</f>
        <v/>
      </c>
      <c r="I102" s="125">
        <f>IF($A102="","",SUMIF($A$8:$A$251,$A102&amp;"*",V$8:V$251))</f>
        <v/>
      </c>
      <c r="K102" s="124">
        <f>IF($A102="",0,SUMIFS(SDDK!$C$8:$C$251,SDDK!$A$8:$A$251,$A102))</f>
        <v/>
      </c>
      <c r="L102" s="124">
        <f>IF($A102="",0,SUMIFS(SDDK!$D$8:$D$251,SDDK!$A$8:$A$251,$A102))</f>
        <v/>
      </c>
      <c r="M102" s="124">
        <f>IF($A102="",0,SUMIFS(NKC!$H$7:$H$3006,NKC!$F$7:$F$3006,$A102,NKC!$B$7:$B$3006,"&lt;"&amp;TU_NGAY))</f>
        <v/>
      </c>
      <c r="N102" s="124">
        <f>IF($A102="",0,SUMIFS(NKC!$H$7:$H$3006,NKC!$G$7:$G$3006,$A102,NKC!$B$7:$B$3006,"&lt;"&amp;TU_NGAY))</f>
        <v/>
      </c>
      <c r="O102" s="124">
        <f>IF($A102="",0,SUMIFS(NKC!$H$7:$H$3006,NKC!$F$7:$F$3006,$A102,NKC!$B$7:$B$3006,"&gt;="&amp;TU_NGAY,NKC!$B$7:$B$3006,"&lt;="&amp;DEN_NGAY))</f>
        <v/>
      </c>
      <c r="P102" s="124">
        <f>IF($A102="",0,SUMIFS(NKC!$H$7:$H$3006,NKC!$G$7:$G$3006,$A102,NKC!$B$7:$B$3006,"&gt;="&amp;TU_NGAY,NKC!$B$7:$B$3006,"&lt;="&amp;DEN_NGAY))</f>
        <v/>
      </c>
      <c r="Q102" s="124">
        <f>K102-L102+M102-N102</f>
        <v/>
      </c>
      <c r="R102" s="124">
        <f>MAX(Q102,0)</f>
        <v/>
      </c>
      <c r="S102" s="124">
        <f>MAX(-Q102,0)</f>
        <v/>
      </c>
      <c r="T102" s="124">
        <f>Q102+O102-P102</f>
        <v/>
      </c>
      <c r="U102" s="124">
        <f>MAX(T102,0)</f>
        <v/>
      </c>
      <c r="V102" s="124">
        <f>MAX(-T102,0)</f>
        <v/>
      </c>
    </row>
    <row r="103" ht="15" customHeight="1" s="78">
      <c r="A103" s="96" t="inlineStr">
        <is>
          <t>3383</t>
        </is>
      </c>
      <c r="B103" s="97" t="inlineStr">
        <is>
          <t>Bảo hiểm xã hội</t>
        </is>
      </c>
      <c r="C103" s="122" t="n">
        <v>2</v>
      </c>
      <c r="D103" s="125">
        <f>IF($A103="","",SUMIF($A$8:$A$251,$A103&amp;"*",R$8:R$251))</f>
        <v/>
      </c>
      <c r="E103" s="125">
        <f>IF($A103="","",SUMIF($A$8:$A$251,$A103&amp;"*",S$8:S$251))</f>
        <v/>
      </c>
      <c r="F103" s="125">
        <f>IF($A103="","",SUMIF($A$8:$A$251,$A103&amp;"*",O$8:O$251))</f>
        <v/>
      </c>
      <c r="G103" s="125">
        <f>IF($A103="","",SUMIF($A$8:$A$251,$A103&amp;"*",P$8:P$251))</f>
        <v/>
      </c>
      <c r="H103" s="125">
        <f>IF($A103="","",SUMIF($A$8:$A$251,$A103&amp;"*",U$8:U$251))</f>
        <v/>
      </c>
      <c r="I103" s="125">
        <f>IF($A103="","",SUMIF($A$8:$A$251,$A103&amp;"*",V$8:V$251))</f>
        <v/>
      </c>
      <c r="K103" s="124">
        <f>IF($A103="",0,SUMIFS(SDDK!$C$8:$C$251,SDDK!$A$8:$A$251,$A103))</f>
        <v/>
      </c>
      <c r="L103" s="124">
        <f>IF($A103="",0,SUMIFS(SDDK!$D$8:$D$251,SDDK!$A$8:$A$251,$A103))</f>
        <v/>
      </c>
      <c r="M103" s="124">
        <f>IF($A103="",0,SUMIFS(NKC!$H$7:$H$3006,NKC!$F$7:$F$3006,$A103,NKC!$B$7:$B$3006,"&lt;"&amp;TU_NGAY))</f>
        <v/>
      </c>
      <c r="N103" s="124">
        <f>IF($A103="",0,SUMIFS(NKC!$H$7:$H$3006,NKC!$G$7:$G$3006,$A103,NKC!$B$7:$B$3006,"&lt;"&amp;TU_NGAY))</f>
        <v/>
      </c>
      <c r="O103" s="124">
        <f>IF($A103="",0,SUMIFS(NKC!$H$7:$H$3006,NKC!$F$7:$F$3006,$A103,NKC!$B$7:$B$3006,"&gt;="&amp;TU_NGAY,NKC!$B$7:$B$3006,"&lt;="&amp;DEN_NGAY))</f>
        <v/>
      </c>
      <c r="P103" s="124">
        <f>IF($A103="",0,SUMIFS(NKC!$H$7:$H$3006,NKC!$G$7:$G$3006,$A103,NKC!$B$7:$B$3006,"&gt;="&amp;TU_NGAY,NKC!$B$7:$B$3006,"&lt;="&amp;DEN_NGAY))</f>
        <v/>
      </c>
      <c r="Q103" s="124">
        <f>K103-L103+M103-N103</f>
        <v/>
      </c>
      <c r="R103" s="124">
        <f>MAX(Q103,0)</f>
        <v/>
      </c>
      <c r="S103" s="124">
        <f>MAX(-Q103,0)</f>
        <v/>
      </c>
      <c r="T103" s="124">
        <f>Q103+O103-P103</f>
        <v/>
      </c>
      <c r="U103" s="124">
        <f>MAX(T103,0)</f>
        <v/>
      </c>
      <c r="V103" s="124">
        <f>MAX(-T103,0)</f>
        <v/>
      </c>
    </row>
    <row r="104" ht="15" customHeight="1" s="78">
      <c r="A104" s="96" t="inlineStr">
        <is>
          <t>3384</t>
        </is>
      </c>
      <c r="B104" s="97" t="inlineStr">
        <is>
          <t>Bảo hiểm y tế</t>
        </is>
      </c>
      <c r="C104" s="122" t="n">
        <v>2</v>
      </c>
      <c r="D104" s="125">
        <f>IF($A104="","",SUMIF($A$8:$A$251,$A104&amp;"*",R$8:R$251))</f>
        <v/>
      </c>
      <c r="E104" s="125">
        <f>IF($A104="","",SUMIF($A$8:$A$251,$A104&amp;"*",S$8:S$251))</f>
        <v/>
      </c>
      <c r="F104" s="125">
        <f>IF($A104="","",SUMIF($A$8:$A$251,$A104&amp;"*",O$8:O$251))</f>
        <v/>
      </c>
      <c r="G104" s="125">
        <f>IF($A104="","",SUMIF($A$8:$A$251,$A104&amp;"*",P$8:P$251))</f>
        <v/>
      </c>
      <c r="H104" s="125">
        <f>IF($A104="","",SUMIF($A$8:$A$251,$A104&amp;"*",U$8:U$251))</f>
        <v/>
      </c>
      <c r="I104" s="125">
        <f>IF($A104="","",SUMIF($A$8:$A$251,$A104&amp;"*",V$8:V$251))</f>
        <v/>
      </c>
      <c r="K104" s="124">
        <f>IF($A104="",0,SUMIFS(SDDK!$C$8:$C$251,SDDK!$A$8:$A$251,$A104))</f>
        <v/>
      </c>
      <c r="L104" s="124">
        <f>IF($A104="",0,SUMIFS(SDDK!$D$8:$D$251,SDDK!$A$8:$A$251,$A104))</f>
        <v/>
      </c>
      <c r="M104" s="124">
        <f>IF($A104="",0,SUMIFS(NKC!$H$7:$H$3006,NKC!$F$7:$F$3006,$A104,NKC!$B$7:$B$3006,"&lt;"&amp;TU_NGAY))</f>
        <v/>
      </c>
      <c r="N104" s="124">
        <f>IF($A104="",0,SUMIFS(NKC!$H$7:$H$3006,NKC!$G$7:$G$3006,$A104,NKC!$B$7:$B$3006,"&lt;"&amp;TU_NGAY))</f>
        <v/>
      </c>
      <c r="O104" s="124">
        <f>IF($A104="",0,SUMIFS(NKC!$H$7:$H$3006,NKC!$F$7:$F$3006,$A104,NKC!$B$7:$B$3006,"&gt;="&amp;TU_NGAY,NKC!$B$7:$B$3006,"&lt;="&amp;DEN_NGAY))</f>
        <v/>
      </c>
      <c r="P104" s="124">
        <f>IF($A104="",0,SUMIFS(NKC!$H$7:$H$3006,NKC!$G$7:$G$3006,$A104,NKC!$B$7:$B$3006,"&gt;="&amp;TU_NGAY,NKC!$B$7:$B$3006,"&lt;="&amp;DEN_NGAY))</f>
        <v/>
      </c>
      <c r="Q104" s="124">
        <f>K104-L104+M104-N104</f>
        <v/>
      </c>
      <c r="R104" s="124">
        <f>MAX(Q104,0)</f>
        <v/>
      </c>
      <c r="S104" s="124">
        <f>MAX(-Q104,0)</f>
        <v/>
      </c>
      <c r="T104" s="124">
        <f>Q104+O104-P104</f>
        <v/>
      </c>
      <c r="U104" s="124">
        <f>MAX(T104,0)</f>
        <v/>
      </c>
      <c r="V104" s="124">
        <f>MAX(-T104,0)</f>
        <v/>
      </c>
    </row>
    <row r="105" ht="15" customHeight="1" s="78">
      <c r="A105" s="96" t="inlineStr">
        <is>
          <t>3386</t>
        </is>
      </c>
      <c r="B105" s="97" t="inlineStr">
        <is>
          <t>Bảo hiểm thất nghiệp</t>
        </is>
      </c>
      <c r="C105" s="122" t="n">
        <v>2</v>
      </c>
      <c r="D105" s="125">
        <f>IF($A105="","",SUMIF($A$8:$A$251,$A105&amp;"*",R$8:R$251))</f>
        <v/>
      </c>
      <c r="E105" s="125">
        <f>IF($A105="","",SUMIF($A$8:$A$251,$A105&amp;"*",S$8:S$251))</f>
        <v/>
      </c>
      <c r="F105" s="125">
        <f>IF($A105="","",SUMIF($A$8:$A$251,$A105&amp;"*",O$8:O$251))</f>
        <v/>
      </c>
      <c r="G105" s="125">
        <f>IF($A105="","",SUMIF($A$8:$A$251,$A105&amp;"*",P$8:P$251))</f>
        <v/>
      </c>
      <c r="H105" s="125">
        <f>IF($A105="","",SUMIF($A$8:$A$251,$A105&amp;"*",U$8:U$251))</f>
        <v/>
      </c>
      <c r="I105" s="125">
        <f>IF($A105="","",SUMIF($A$8:$A$251,$A105&amp;"*",V$8:V$251))</f>
        <v/>
      </c>
      <c r="K105" s="124">
        <f>IF($A105="",0,SUMIFS(SDDK!$C$8:$C$251,SDDK!$A$8:$A$251,$A105))</f>
        <v/>
      </c>
      <c r="L105" s="124">
        <f>IF($A105="",0,SUMIFS(SDDK!$D$8:$D$251,SDDK!$A$8:$A$251,$A105))</f>
        <v/>
      </c>
      <c r="M105" s="124">
        <f>IF($A105="",0,SUMIFS(NKC!$H$7:$H$3006,NKC!$F$7:$F$3006,$A105,NKC!$B$7:$B$3006,"&lt;"&amp;TU_NGAY))</f>
        <v/>
      </c>
      <c r="N105" s="124">
        <f>IF($A105="",0,SUMIFS(NKC!$H$7:$H$3006,NKC!$G$7:$G$3006,$A105,NKC!$B$7:$B$3006,"&lt;"&amp;TU_NGAY))</f>
        <v/>
      </c>
      <c r="O105" s="124">
        <f>IF($A105="",0,SUMIFS(NKC!$H$7:$H$3006,NKC!$F$7:$F$3006,$A105,NKC!$B$7:$B$3006,"&gt;="&amp;TU_NGAY,NKC!$B$7:$B$3006,"&lt;="&amp;DEN_NGAY))</f>
        <v/>
      </c>
      <c r="P105" s="124">
        <f>IF($A105="",0,SUMIFS(NKC!$H$7:$H$3006,NKC!$G$7:$G$3006,$A105,NKC!$B$7:$B$3006,"&gt;="&amp;TU_NGAY,NKC!$B$7:$B$3006,"&lt;="&amp;DEN_NGAY))</f>
        <v/>
      </c>
      <c r="Q105" s="124">
        <f>K105-L105+M105-N105</f>
        <v/>
      </c>
      <c r="R105" s="124">
        <f>MAX(Q105,0)</f>
        <v/>
      </c>
      <c r="S105" s="124">
        <f>MAX(-Q105,0)</f>
        <v/>
      </c>
      <c r="T105" s="124">
        <f>Q105+O105-P105</f>
        <v/>
      </c>
      <c r="U105" s="124">
        <f>MAX(T105,0)</f>
        <v/>
      </c>
      <c r="V105" s="124">
        <f>MAX(-T105,0)</f>
        <v/>
      </c>
    </row>
    <row r="106" ht="15" customHeight="1" s="78">
      <c r="A106" s="96" t="inlineStr">
        <is>
          <t>3387</t>
        </is>
      </c>
      <c r="B106" s="97" t="inlineStr">
        <is>
          <t>Doanh thu chờ phân bổ</t>
        </is>
      </c>
      <c r="C106" s="122" t="n">
        <v>2</v>
      </c>
      <c r="D106" s="125">
        <f>IF($A106="","",SUMIF($A$8:$A$251,$A106&amp;"*",R$8:R$251))</f>
        <v/>
      </c>
      <c r="E106" s="125">
        <f>IF($A106="","",SUMIF($A$8:$A$251,$A106&amp;"*",S$8:S$251))</f>
        <v/>
      </c>
      <c r="F106" s="125">
        <f>IF($A106="","",SUMIF($A$8:$A$251,$A106&amp;"*",O$8:O$251))</f>
        <v/>
      </c>
      <c r="G106" s="125">
        <f>IF($A106="","",SUMIF($A$8:$A$251,$A106&amp;"*",P$8:P$251))</f>
        <v/>
      </c>
      <c r="H106" s="125">
        <f>IF($A106="","",SUMIF($A$8:$A$251,$A106&amp;"*",U$8:U$251))</f>
        <v/>
      </c>
      <c r="I106" s="125">
        <f>IF($A106="","",SUMIF($A$8:$A$251,$A106&amp;"*",V$8:V$251))</f>
        <v/>
      </c>
      <c r="K106" s="124">
        <f>IF($A106="",0,SUMIFS(SDDK!$C$8:$C$251,SDDK!$A$8:$A$251,$A106))</f>
        <v/>
      </c>
      <c r="L106" s="124">
        <f>IF($A106="",0,SUMIFS(SDDK!$D$8:$D$251,SDDK!$A$8:$A$251,$A106))</f>
        <v/>
      </c>
      <c r="M106" s="124">
        <f>IF($A106="",0,SUMIFS(NKC!$H$7:$H$3006,NKC!$F$7:$F$3006,$A106,NKC!$B$7:$B$3006,"&lt;"&amp;TU_NGAY))</f>
        <v/>
      </c>
      <c r="N106" s="124">
        <f>IF($A106="",0,SUMIFS(NKC!$H$7:$H$3006,NKC!$G$7:$G$3006,$A106,NKC!$B$7:$B$3006,"&lt;"&amp;TU_NGAY))</f>
        <v/>
      </c>
      <c r="O106" s="124">
        <f>IF($A106="",0,SUMIFS(NKC!$H$7:$H$3006,NKC!$F$7:$F$3006,$A106,NKC!$B$7:$B$3006,"&gt;="&amp;TU_NGAY,NKC!$B$7:$B$3006,"&lt;="&amp;DEN_NGAY))</f>
        <v/>
      </c>
      <c r="P106" s="124">
        <f>IF($A106="",0,SUMIFS(NKC!$H$7:$H$3006,NKC!$G$7:$G$3006,$A106,NKC!$B$7:$B$3006,"&gt;="&amp;TU_NGAY,NKC!$B$7:$B$3006,"&lt;="&amp;DEN_NGAY))</f>
        <v/>
      </c>
      <c r="Q106" s="124">
        <f>K106-L106+M106-N106</f>
        <v/>
      </c>
      <c r="R106" s="124">
        <f>MAX(Q106,0)</f>
        <v/>
      </c>
      <c r="S106" s="124">
        <f>MAX(-Q106,0)</f>
        <v/>
      </c>
      <c r="T106" s="124">
        <f>Q106+O106-P106</f>
        <v/>
      </c>
      <c r="U106" s="124">
        <f>MAX(T106,0)</f>
        <v/>
      </c>
      <c r="V106" s="124">
        <f>MAX(-T106,0)</f>
        <v/>
      </c>
    </row>
    <row r="107" ht="15" customHeight="1" s="78">
      <c r="A107" s="96" t="inlineStr">
        <is>
          <t>3388</t>
        </is>
      </c>
      <c r="B107" s="97" t="inlineStr">
        <is>
          <t>Phải trả, phải nộp khác</t>
        </is>
      </c>
      <c r="C107" s="122" t="n">
        <v>2</v>
      </c>
      <c r="D107" s="125">
        <f>IF($A107="","",SUMIF($A$8:$A$251,$A107&amp;"*",R$8:R$251))</f>
        <v/>
      </c>
      <c r="E107" s="125">
        <f>IF($A107="","",SUMIF($A$8:$A$251,$A107&amp;"*",S$8:S$251))</f>
        <v/>
      </c>
      <c r="F107" s="125">
        <f>IF($A107="","",SUMIF($A$8:$A$251,$A107&amp;"*",O$8:O$251))</f>
        <v/>
      </c>
      <c r="G107" s="125">
        <f>IF($A107="","",SUMIF($A$8:$A$251,$A107&amp;"*",P$8:P$251))</f>
        <v/>
      </c>
      <c r="H107" s="125">
        <f>IF($A107="","",SUMIF($A$8:$A$251,$A107&amp;"*",U$8:U$251))</f>
        <v/>
      </c>
      <c r="I107" s="125">
        <f>IF($A107="","",SUMIF($A$8:$A$251,$A107&amp;"*",V$8:V$251))</f>
        <v/>
      </c>
      <c r="K107" s="124">
        <f>IF($A107="",0,SUMIFS(SDDK!$C$8:$C$251,SDDK!$A$8:$A$251,$A107))</f>
        <v/>
      </c>
      <c r="L107" s="124">
        <f>IF($A107="",0,SUMIFS(SDDK!$D$8:$D$251,SDDK!$A$8:$A$251,$A107))</f>
        <v/>
      </c>
      <c r="M107" s="124">
        <f>IF($A107="",0,SUMIFS(NKC!$H$7:$H$3006,NKC!$F$7:$F$3006,$A107,NKC!$B$7:$B$3006,"&lt;"&amp;TU_NGAY))</f>
        <v/>
      </c>
      <c r="N107" s="124">
        <f>IF($A107="",0,SUMIFS(NKC!$H$7:$H$3006,NKC!$G$7:$G$3006,$A107,NKC!$B$7:$B$3006,"&lt;"&amp;TU_NGAY))</f>
        <v/>
      </c>
      <c r="O107" s="124">
        <f>IF($A107="",0,SUMIFS(NKC!$H$7:$H$3006,NKC!$F$7:$F$3006,$A107,NKC!$B$7:$B$3006,"&gt;="&amp;TU_NGAY,NKC!$B$7:$B$3006,"&lt;="&amp;DEN_NGAY))</f>
        <v/>
      </c>
      <c r="P107" s="124">
        <f>IF($A107="",0,SUMIFS(NKC!$H$7:$H$3006,NKC!$G$7:$G$3006,$A107,NKC!$B$7:$B$3006,"&gt;="&amp;TU_NGAY,NKC!$B$7:$B$3006,"&lt;="&amp;DEN_NGAY))</f>
        <v/>
      </c>
      <c r="Q107" s="124">
        <f>K107-L107+M107-N107</f>
        <v/>
      </c>
      <c r="R107" s="124">
        <f>MAX(Q107,0)</f>
        <v/>
      </c>
      <c r="S107" s="124">
        <f>MAX(-Q107,0)</f>
        <v/>
      </c>
      <c r="T107" s="124">
        <f>Q107+O107-P107</f>
        <v/>
      </c>
      <c r="U107" s="124">
        <f>MAX(T107,0)</f>
        <v/>
      </c>
      <c r="V107" s="124">
        <f>MAX(-T107,0)</f>
        <v/>
      </c>
    </row>
    <row r="108" ht="15" customHeight="1" s="78">
      <c r="A108" s="93" t="inlineStr">
        <is>
          <t>341</t>
        </is>
      </c>
      <c r="B108" s="94" t="inlineStr">
        <is>
          <t>Vay và nợ thuê tài chính</t>
        </is>
      </c>
      <c r="C108" s="122" t="n">
        <v>1</v>
      </c>
      <c r="D108" s="123">
        <f>IF($A108="","",SUMIF($A$8:$A$251,$A108&amp;"*",R$8:R$251))</f>
        <v/>
      </c>
      <c r="E108" s="123">
        <f>IF($A108="","",SUMIF($A$8:$A$251,$A108&amp;"*",S$8:S$251))</f>
        <v/>
      </c>
      <c r="F108" s="123">
        <f>IF($A108="","",SUMIF($A$8:$A$251,$A108&amp;"*",O$8:O$251))</f>
        <v/>
      </c>
      <c r="G108" s="123">
        <f>IF($A108="","",SUMIF($A$8:$A$251,$A108&amp;"*",P$8:P$251))</f>
        <v/>
      </c>
      <c r="H108" s="123">
        <f>IF($A108="","",SUMIF($A$8:$A$251,$A108&amp;"*",U$8:U$251))</f>
        <v/>
      </c>
      <c r="I108" s="123">
        <f>IF($A108="","",SUMIF($A$8:$A$251,$A108&amp;"*",V$8:V$251))</f>
        <v/>
      </c>
      <c r="K108" s="124">
        <f>IF($A108="",0,SUMIFS(SDDK!$C$8:$C$251,SDDK!$A$8:$A$251,$A108))</f>
        <v/>
      </c>
      <c r="L108" s="124">
        <f>IF($A108="",0,SUMIFS(SDDK!$D$8:$D$251,SDDK!$A$8:$A$251,$A108))</f>
        <v/>
      </c>
      <c r="M108" s="124">
        <f>IF($A108="",0,SUMIFS(NKC!$H$7:$H$3006,NKC!$F$7:$F$3006,$A108,NKC!$B$7:$B$3006,"&lt;"&amp;TU_NGAY))</f>
        <v/>
      </c>
      <c r="N108" s="124">
        <f>IF($A108="",0,SUMIFS(NKC!$H$7:$H$3006,NKC!$G$7:$G$3006,$A108,NKC!$B$7:$B$3006,"&lt;"&amp;TU_NGAY))</f>
        <v/>
      </c>
      <c r="O108" s="124">
        <f>IF($A108="",0,SUMIFS(NKC!$H$7:$H$3006,NKC!$F$7:$F$3006,$A108,NKC!$B$7:$B$3006,"&gt;="&amp;TU_NGAY,NKC!$B$7:$B$3006,"&lt;="&amp;DEN_NGAY))</f>
        <v/>
      </c>
      <c r="P108" s="124">
        <f>IF($A108="",0,SUMIFS(NKC!$H$7:$H$3006,NKC!$G$7:$G$3006,$A108,NKC!$B$7:$B$3006,"&gt;="&amp;TU_NGAY,NKC!$B$7:$B$3006,"&lt;="&amp;DEN_NGAY))</f>
        <v/>
      </c>
      <c r="Q108" s="124">
        <f>K108-L108+M108-N108</f>
        <v/>
      </c>
      <c r="R108" s="124">
        <f>MAX(Q108,0)</f>
        <v/>
      </c>
      <c r="S108" s="124">
        <f>MAX(-Q108,0)</f>
        <v/>
      </c>
      <c r="T108" s="124">
        <f>Q108+O108-P108</f>
        <v/>
      </c>
      <c r="U108" s="124">
        <f>MAX(T108,0)</f>
        <v/>
      </c>
      <c r="V108" s="124">
        <f>MAX(-T108,0)</f>
        <v/>
      </c>
    </row>
    <row r="109" ht="15" customHeight="1" s="78">
      <c r="A109" s="96" t="inlineStr">
        <is>
          <t>3411</t>
        </is>
      </c>
      <c r="B109" s="97" t="inlineStr">
        <is>
          <t>Các khoản đi vay</t>
        </is>
      </c>
      <c r="C109" s="122" t="n">
        <v>2</v>
      </c>
      <c r="D109" s="125">
        <f>IF($A109="","",SUMIF($A$8:$A$251,$A109&amp;"*",R$8:R$251))</f>
        <v/>
      </c>
      <c r="E109" s="125">
        <f>IF($A109="","",SUMIF($A$8:$A$251,$A109&amp;"*",S$8:S$251))</f>
        <v/>
      </c>
      <c r="F109" s="125">
        <f>IF($A109="","",SUMIF($A$8:$A$251,$A109&amp;"*",O$8:O$251))</f>
        <v/>
      </c>
      <c r="G109" s="125">
        <f>IF($A109="","",SUMIF($A$8:$A$251,$A109&amp;"*",P$8:P$251))</f>
        <v/>
      </c>
      <c r="H109" s="125">
        <f>IF($A109="","",SUMIF($A$8:$A$251,$A109&amp;"*",U$8:U$251))</f>
        <v/>
      </c>
      <c r="I109" s="125">
        <f>IF($A109="","",SUMIF($A$8:$A$251,$A109&amp;"*",V$8:V$251))</f>
        <v/>
      </c>
      <c r="K109" s="124">
        <f>IF($A109="",0,SUMIFS(SDDK!$C$8:$C$251,SDDK!$A$8:$A$251,$A109))</f>
        <v/>
      </c>
      <c r="L109" s="124">
        <f>IF($A109="",0,SUMIFS(SDDK!$D$8:$D$251,SDDK!$A$8:$A$251,$A109))</f>
        <v/>
      </c>
      <c r="M109" s="124">
        <f>IF($A109="",0,SUMIFS(NKC!$H$7:$H$3006,NKC!$F$7:$F$3006,$A109,NKC!$B$7:$B$3006,"&lt;"&amp;TU_NGAY))</f>
        <v/>
      </c>
      <c r="N109" s="124">
        <f>IF($A109="",0,SUMIFS(NKC!$H$7:$H$3006,NKC!$G$7:$G$3006,$A109,NKC!$B$7:$B$3006,"&lt;"&amp;TU_NGAY))</f>
        <v/>
      </c>
      <c r="O109" s="124">
        <f>IF($A109="",0,SUMIFS(NKC!$H$7:$H$3006,NKC!$F$7:$F$3006,$A109,NKC!$B$7:$B$3006,"&gt;="&amp;TU_NGAY,NKC!$B$7:$B$3006,"&lt;="&amp;DEN_NGAY))</f>
        <v/>
      </c>
      <c r="P109" s="124">
        <f>IF($A109="",0,SUMIFS(NKC!$H$7:$H$3006,NKC!$G$7:$G$3006,$A109,NKC!$B$7:$B$3006,"&gt;="&amp;TU_NGAY,NKC!$B$7:$B$3006,"&lt;="&amp;DEN_NGAY))</f>
        <v/>
      </c>
      <c r="Q109" s="124">
        <f>K109-L109+M109-N109</f>
        <v/>
      </c>
      <c r="R109" s="124">
        <f>MAX(Q109,0)</f>
        <v/>
      </c>
      <c r="S109" s="124">
        <f>MAX(-Q109,0)</f>
        <v/>
      </c>
      <c r="T109" s="124">
        <f>Q109+O109-P109</f>
        <v/>
      </c>
      <c r="U109" s="124">
        <f>MAX(T109,0)</f>
        <v/>
      </c>
      <c r="V109" s="124">
        <f>MAX(-T109,0)</f>
        <v/>
      </c>
    </row>
    <row r="110" ht="15" customHeight="1" s="78">
      <c r="A110" s="96" t="inlineStr">
        <is>
          <t>3412</t>
        </is>
      </c>
      <c r="B110" s="97" t="inlineStr">
        <is>
          <t>Nợ thuê tài chính</t>
        </is>
      </c>
      <c r="C110" s="122" t="n">
        <v>2</v>
      </c>
      <c r="D110" s="125">
        <f>IF($A110="","",SUMIF($A$8:$A$251,$A110&amp;"*",R$8:R$251))</f>
        <v/>
      </c>
      <c r="E110" s="125">
        <f>IF($A110="","",SUMIF($A$8:$A$251,$A110&amp;"*",S$8:S$251))</f>
        <v/>
      </c>
      <c r="F110" s="125">
        <f>IF($A110="","",SUMIF($A$8:$A$251,$A110&amp;"*",O$8:O$251))</f>
        <v/>
      </c>
      <c r="G110" s="125">
        <f>IF($A110="","",SUMIF($A$8:$A$251,$A110&amp;"*",P$8:P$251))</f>
        <v/>
      </c>
      <c r="H110" s="125">
        <f>IF($A110="","",SUMIF($A$8:$A$251,$A110&amp;"*",U$8:U$251))</f>
        <v/>
      </c>
      <c r="I110" s="125">
        <f>IF($A110="","",SUMIF($A$8:$A$251,$A110&amp;"*",V$8:V$251))</f>
        <v/>
      </c>
      <c r="K110" s="124">
        <f>IF($A110="",0,SUMIFS(SDDK!$C$8:$C$251,SDDK!$A$8:$A$251,$A110))</f>
        <v/>
      </c>
      <c r="L110" s="124">
        <f>IF($A110="",0,SUMIFS(SDDK!$D$8:$D$251,SDDK!$A$8:$A$251,$A110))</f>
        <v/>
      </c>
      <c r="M110" s="124">
        <f>IF($A110="",0,SUMIFS(NKC!$H$7:$H$3006,NKC!$F$7:$F$3006,$A110,NKC!$B$7:$B$3006,"&lt;"&amp;TU_NGAY))</f>
        <v/>
      </c>
      <c r="N110" s="124">
        <f>IF($A110="",0,SUMIFS(NKC!$H$7:$H$3006,NKC!$G$7:$G$3006,$A110,NKC!$B$7:$B$3006,"&lt;"&amp;TU_NGAY))</f>
        <v/>
      </c>
      <c r="O110" s="124">
        <f>IF($A110="",0,SUMIFS(NKC!$H$7:$H$3006,NKC!$F$7:$F$3006,$A110,NKC!$B$7:$B$3006,"&gt;="&amp;TU_NGAY,NKC!$B$7:$B$3006,"&lt;="&amp;DEN_NGAY))</f>
        <v/>
      </c>
      <c r="P110" s="124">
        <f>IF($A110="",0,SUMIFS(NKC!$H$7:$H$3006,NKC!$G$7:$G$3006,$A110,NKC!$B$7:$B$3006,"&gt;="&amp;TU_NGAY,NKC!$B$7:$B$3006,"&lt;="&amp;DEN_NGAY))</f>
        <v/>
      </c>
      <c r="Q110" s="124">
        <f>K110-L110+M110-N110</f>
        <v/>
      </c>
      <c r="R110" s="124">
        <f>MAX(Q110,0)</f>
        <v/>
      </c>
      <c r="S110" s="124">
        <f>MAX(-Q110,0)</f>
        <v/>
      </c>
      <c r="T110" s="124">
        <f>Q110+O110-P110</f>
        <v/>
      </c>
      <c r="U110" s="124">
        <f>MAX(T110,0)</f>
        <v/>
      </c>
      <c r="V110" s="124">
        <f>MAX(-T110,0)</f>
        <v/>
      </c>
    </row>
    <row r="111" ht="15" customHeight="1" s="78">
      <c r="A111" s="93" t="inlineStr">
        <is>
          <t>343</t>
        </is>
      </c>
      <c r="B111" s="94" t="inlineStr">
        <is>
          <t>Trái phiếu phát hành</t>
        </is>
      </c>
      <c r="C111" s="122" t="n">
        <v>1</v>
      </c>
      <c r="D111" s="123">
        <f>IF($A111="","",SUMIF($A$8:$A$251,$A111&amp;"*",R$8:R$251))</f>
        <v/>
      </c>
      <c r="E111" s="123">
        <f>IF($A111="","",SUMIF($A$8:$A$251,$A111&amp;"*",S$8:S$251))</f>
        <v/>
      </c>
      <c r="F111" s="123">
        <f>IF($A111="","",SUMIF($A$8:$A$251,$A111&amp;"*",O$8:O$251))</f>
        <v/>
      </c>
      <c r="G111" s="123">
        <f>IF($A111="","",SUMIF($A$8:$A$251,$A111&amp;"*",P$8:P$251))</f>
        <v/>
      </c>
      <c r="H111" s="123">
        <f>IF($A111="","",SUMIF($A$8:$A$251,$A111&amp;"*",U$8:U$251))</f>
        <v/>
      </c>
      <c r="I111" s="123">
        <f>IF($A111="","",SUMIF($A$8:$A$251,$A111&amp;"*",V$8:V$251))</f>
        <v/>
      </c>
      <c r="K111" s="124">
        <f>IF($A111="",0,SUMIFS(SDDK!$C$8:$C$251,SDDK!$A$8:$A$251,$A111))</f>
        <v/>
      </c>
      <c r="L111" s="124">
        <f>IF($A111="",0,SUMIFS(SDDK!$D$8:$D$251,SDDK!$A$8:$A$251,$A111))</f>
        <v/>
      </c>
      <c r="M111" s="124">
        <f>IF($A111="",0,SUMIFS(NKC!$H$7:$H$3006,NKC!$F$7:$F$3006,$A111,NKC!$B$7:$B$3006,"&lt;"&amp;TU_NGAY))</f>
        <v/>
      </c>
      <c r="N111" s="124">
        <f>IF($A111="",0,SUMIFS(NKC!$H$7:$H$3006,NKC!$G$7:$G$3006,$A111,NKC!$B$7:$B$3006,"&lt;"&amp;TU_NGAY))</f>
        <v/>
      </c>
      <c r="O111" s="124">
        <f>IF($A111="",0,SUMIFS(NKC!$H$7:$H$3006,NKC!$F$7:$F$3006,$A111,NKC!$B$7:$B$3006,"&gt;="&amp;TU_NGAY,NKC!$B$7:$B$3006,"&lt;="&amp;DEN_NGAY))</f>
        <v/>
      </c>
      <c r="P111" s="124">
        <f>IF($A111="",0,SUMIFS(NKC!$H$7:$H$3006,NKC!$G$7:$G$3006,$A111,NKC!$B$7:$B$3006,"&gt;="&amp;TU_NGAY,NKC!$B$7:$B$3006,"&lt;="&amp;DEN_NGAY))</f>
        <v/>
      </c>
      <c r="Q111" s="124">
        <f>K111-L111+M111-N111</f>
        <v/>
      </c>
      <c r="R111" s="124">
        <f>MAX(Q111,0)</f>
        <v/>
      </c>
      <c r="S111" s="124">
        <f>MAX(-Q111,0)</f>
        <v/>
      </c>
      <c r="T111" s="124">
        <f>Q111+O111-P111</f>
        <v/>
      </c>
      <c r="U111" s="124">
        <f>MAX(T111,0)</f>
        <v/>
      </c>
      <c r="V111" s="124">
        <f>MAX(-T111,0)</f>
        <v/>
      </c>
    </row>
    <row r="112" ht="15" customHeight="1" s="78">
      <c r="A112" s="96" t="inlineStr">
        <is>
          <t>3431</t>
        </is>
      </c>
      <c r="B112" s="97" t="inlineStr">
        <is>
          <t>Trái phiếu thường</t>
        </is>
      </c>
      <c r="C112" s="122" t="n">
        <v>2</v>
      </c>
      <c r="D112" s="125">
        <f>IF($A112="","",SUMIF($A$8:$A$251,$A112&amp;"*",R$8:R$251))</f>
        <v/>
      </c>
      <c r="E112" s="125">
        <f>IF($A112="","",SUMIF($A$8:$A$251,$A112&amp;"*",S$8:S$251))</f>
        <v/>
      </c>
      <c r="F112" s="125">
        <f>IF($A112="","",SUMIF($A$8:$A$251,$A112&amp;"*",O$8:O$251))</f>
        <v/>
      </c>
      <c r="G112" s="125">
        <f>IF($A112="","",SUMIF($A$8:$A$251,$A112&amp;"*",P$8:P$251))</f>
        <v/>
      </c>
      <c r="H112" s="125">
        <f>IF($A112="","",SUMIF($A$8:$A$251,$A112&amp;"*",U$8:U$251))</f>
        <v/>
      </c>
      <c r="I112" s="125">
        <f>IF($A112="","",SUMIF($A$8:$A$251,$A112&amp;"*",V$8:V$251))</f>
        <v/>
      </c>
      <c r="K112" s="124">
        <f>IF($A112="",0,SUMIFS(SDDK!$C$8:$C$251,SDDK!$A$8:$A$251,$A112))</f>
        <v/>
      </c>
      <c r="L112" s="124">
        <f>IF($A112="",0,SUMIFS(SDDK!$D$8:$D$251,SDDK!$A$8:$A$251,$A112))</f>
        <v/>
      </c>
      <c r="M112" s="124">
        <f>IF($A112="",0,SUMIFS(NKC!$H$7:$H$3006,NKC!$F$7:$F$3006,$A112,NKC!$B$7:$B$3006,"&lt;"&amp;TU_NGAY))</f>
        <v/>
      </c>
      <c r="N112" s="124">
        <f>IF($A112="",0,SUMIFS(NKC!$H$7:$H$3006,NKC!$G$7:$G$3006,$A112,NKC!$B$7:$B$3006,"&lt;"&amp;TU_NGAY))</f>
        <v/>
      </c>
      <c r="O112" s="124">
        <f>IF($A112="",0,SUMIFS(NKC!$H$7:$H$3006,NKC!$F$7:$F$3006,$A112,NKC!$B$7:$B$3006,"&gt;="&amp;TU_NGAY,NKC!$B$7:$B$3006,"&lt;="&amp;DEN_NGAY))</f>
        <v/>
      </c>
      <c r="P112" s="124">
        <f>IF($A112="",0,SUMIFS(NKC!$H$7:$H$3006,NKC!$G$7:$G$3006,$A112,NKC!$B$7:$B$3006,"&gt;="&amp;TU_NGAY,NKC!$B$7:$B$3006,"&lt;="&amp;DEN_NGAY))</f>
        <v/>
      </c>
      <c r="Q112" s="124">
        <f>K112-L112+M112-N112</f>
        <v/>
      </c>
      <c r="R112" s="124">
        <f>MAX(Q112,0)</f>
        <v/>
      </c>
      <c r="S112" s="124">
        <f>MAX(-Q112,0)</f>
        <v/>
      </c>
      <c r="T112" s="124">
        <f>Q112+O112-P112</f>
        <v/>
      </c>
      <c r="U112" s="124">
        <f>MAX(T112,0)</f>
        <v/>
      </c>
      <c r="V112" s="124">
        <f>MAX(-T112,0)</f>
        <v/>
      </c>
    </row>
    <row r="113" ht="15" customHeight="1" s="78">
      <c r="A113" s="96" t="inlineStr">
        <is>
          <t>3432</t>
        </is>
      </c>
      <c r="B113" s="97" t="inlineStr">
        <is>
          <t>Trái phiếu chuyển đổi</t>
        </is>
      </c>
      <c r="C113" s="122" t="n">
        <v>2</v>
      </c>
      <c r="D113" s="125">
        <f>IF($A113="","",SUMIF($A$8:$A$251,$A113&amp;"*",R$8:R$251))</f>
        <v/>
      </c>
      <c r="E113" s="125">
        <f>IF($A113="","",SUMIF($A$8:$A$251,$A113&amp;"*",S$8:S$251))</f>
        <v/>
      </c>
      <c r="F113" s="125">
        <f>IF($A113="","",SUMIF($A$8:$A$251,$A113&amp;"*",O$8:O$251))</f>
        <v/>
      </c>
      <c r="G113" s="125">
        <f>IF($A113="","",SUMIF($A$8:$A$251,$A113&amp;"*",P$8:P$251))</f>
        <v/>
      </c>
      <c r="H113" s="125">
        <f>IF($A113="","",SUMIF($A$8:$A$251,$A113&amp;"*",U$8:U$251))</f>
        <v/>
      </c>
      <c r="I113" s="125">
        <f>IF($A113="","",SUMIF($A$8:$A$251,$A113&amp;"*",V$8:V$251))</f>
        <v/>
      </c>
      <c r="K113" s="124">
        <f>IF($A113="",0,SUMIFS(SDDK!$C$8:$C$251,SDDK!$A$8:$A$251,$A113))</f>
        <v/>
      </c>
      <c r="L113" s="124">
        <f>IF($A113="",0,SUMIFS(SDDK!$D$8:$D$251,SDDK!$A$8:$A$251,$A113))</f>
        <v/>
      </c>
      <c r="M113" s="124">
        <f>IF($A113="",0,SUMIFS(NKC!$H$7:$H$3006,NKC!$F$7:$F$3006,$A113,NKC!$B$7:$B$3006,"&lt;"&amp;TU_NGAY))</f>
        <v/>
      </c>
      <c r="N113" s="124">
        <f>IF($A113="",0,SUMIFS(NKC!$H$7:$H$3006,NKC!$G$7:$G$3006,$A113,NKC!$B$7:$B$3006,"&lt;"&amp;TU_NGAY))</f>
        <v/>
      </c>
      <c r="O113" s="124">
        <f>IF($A113="",0,SUMIFS(NKC!$H$7:$H$3006,NKC!$F$7:$F$3006,$A113,NKC!$B$7:$B$3006,"&gt;="&amp;TU_NGAY,NKC!$B$7:$B$3006,"&lt;="&amp;DEN_NGAY))</f>
        <v/>
      </c>
      <c r="P113" s="124">
        <f>IF($A113="",0,SUMIFS(NKC!$H$7:$H$3006,NKC!$G$7:$G$3006,$A113,NKC!$B$7:$B$3006,"&gt;="&amp;TU_NGAY,NKC!$B$7:$B$3006,"&lt;="&amp;DEN_NGAY))</f>
        <v/>
      </c>
      <c r="Q113" s="124">
        <f>K113-L113+M113-N113</f>
        <v/>
      </c>
      <c r="R113" s="124">
        <f>MAX(Q113,0)</f>
        <v/>
      </c>
      <c r="S113" s="124">
        <f>MAX(-Q113,0)</f>
        <v/>
      </c>
      <c r="T113" s="124">
        <f>Q113+O113-P113</f>
        <v/>
      </c>
      <c r="U113" s="124">
        <f>MAX(T113,0)</f>
        <v/>
      </c>
      <c r="V113" s="124">
        <f>MAX(-T113,0)</f>
        <v/>
      </c>
    </row>
    <row r="114" ht="15" customHeight="1" s="78">
      <c r="A114" s="93" t="inlineStr">
        <is>
          <t>344</t>
        </is>
      </c>
      <c r="B114" s="94" t="inlineStr">
        <is>
          <t>Nhận ký quỹ, ký cược</t>
        </is>
      </c>
      <c r="C114" s="122" t="n">
        <v>1</v>
      </c>
      <c r="D114" s="123">
        <f>IF($A114="","",SUMIF($A$8:$A$251,$A114&amp;"*",R$8:R$251))</f>
        <v/>
      </c>
      <c r="E114" s="123">
        <f>IF($A114="","",SUMIF($A$8:$A$251,$A114&amp;"*",S$8:S$251))</f>
        <v/>
      </c>
      <c r="F114" s="123">
        <f>IF($A114="","",SUMIF($A$8:$A$251,$A114&amp;"*",O$8:O$251))</f>
        <v/>
      </c>
      <c r="G114" s="123">
        <f>IF($A114="","",SUMIF($A$8:$A$251,$A114&amp;"*",P$8:P$251))</f>
        <v/>
      </c>
      <c r="H114" s="123">
        <f>IF($A114="","",SUMIF($A$8:$A$251,$A114&amp;"*",U$8:U$251))</f>
        <v/>
      </c>
      <c r="I114" s="123">
        <f>IF($A114="","",SUMIF($A$8:$A$251,$A114&amp;"*",V$8:V$251))</f>
        <v/>
      </c>
      <c r="K114" s="124">
        <f>IF($A114="",0,SUMIFS(SDDK!$C$8:$C$251,SDDK!$A$8:$A$251,$A114))</f>
        <v/>
      </c>
      <c r="L114" s="124">
        <f>IF($A114="",0,SUMIFS(SDDK!$D$8:$D$251,SDDK!$A$8:$A$251,$A114))</f>
        <v/>
      </c>
      <c r="M114" s="124">
        <f>IF($A114="",0,SUMIFS(NKC!$H$7:$H$3006,NKC!$F$7:$F$3006,$A114,NKC!$B$7:$B$3006,"&lt;"&amp;TU_NGAY))</f>
        <v/>
      </c>
      <c r="N114" s="124">
        <f>IF($A114="",0,SUMIFS(NKC!$H$7:$H$3006,NKC!$G$7:$G$3006,$A114,NKC!$B$7:$B$3006,"&lt;"&amp;TU_NGAY))</f>
        <v/>
      </c>
      <c r="O114" s="124">
        <f>IF($A114="",0,SUMIFS(NKC!$H$7:$H$3006,NKC!$F$7:$F$3006,$A114,NKC!$B$7:$B$3006,"&gt;="&amp;TU_NGAY,NKC!$B$7:$B$3006,"&lt;="&amp;DEN_NGAY))</f>
        <v/>
      </c>
      <c r="P114" s="124">
        <f>IF($A114="",0,SUMIFS(NKC!$H$7:$H$3006,NKC!$G$7:$G$3006,$A114,NKC!$B$7:$B$3006,"&gt;="&amp;TU_NGAY,NKC!$B$7:$B$3006,"&lt;="&amp;DEN_NGAY))</f>
        <v/>
      </c>
      <c r="Q114" s="124">
        <f>K114-L114+M114-N114</f>
        <v/>
      </c>
      <c r="R114" s="124">
        <f>MAX(Q114,0)</f>
        <v/>
      </c>
      <c r="S114" s="124">
        <f>MAX(-Q114,0)</f>
        <v/>
      </c>
      <c r="T114" s="124">
        <f>Q114+O114-P114</f>
        <v/>
      </c>
      <c r="U114" s="124">
        <f>MAX(T114,0)</f>
        <v/>
      </c>
      <c r="V114" s="124">
        <f>MAX(-T114,0)</f>
        <v/>
      </c>
    </row>
    <row r="115" ht="15" customHeight="1" s="78">
      <c r="A115" s="93" t="inlineStr">
        <is>
          <t>347</t>
        </is>
      </c>
      <c r="B115" s="94" t="inlineStr">
        <is>
          <t>Thuế thu nhập hoãn lại phải trả</t>
        </is>
      </c>
      <c r="C115" s="122" t="n">
        <v>1</v>
      </c>
      <c r="D115" s="123">
        <f>IF($A115="","",SUMIF($A$8:$A$251,$A115&amp;"*",R$8:R$251))</f>
        <v/>
      </c>
      <c r="E115" s="123">
        <f>IF($A115="","",SUMIF($A$8:$A$251,$A115&amp;"*",S$8:S$251))</f>
        <v/>
      </c>
      <c r="F115" s="123">
        <f>IF($A115="","",SUMIF($A$8:$A$251,$A115&amp;"*",O$8:O$251))</f>
        <v/>
      </c>
      <c r="G115" s="123">
        <f>IF($A115="","",SUMIF($A$8:$A$251,$A115&amp;"*",P$8:P$251))</f>
        <v/>
      </c>
      <c r="H115" s="123">
        <f>IF($A115="","",SUMIF($A$8:$A$251,$A115&amp;"*",U$8:U$251))</f>
        <v/>
      </c>
      <c r="I115" s="123">
        <f>IF($A115="","",SUMIF($A$8:$A$251,$A115&amp;"*",V$8:V$251))</f>
        <v/>
      </c>
      <c r="K115" s="124">
        <f>IF($A115="",0,SUMIFS(SDDK!$C$8:$C$251,SDDK!$A$8:$A$251,$A115))</f>
        <v/>
      </c>
      <c r="L115" s="124">
        <f>IF($A115="",0,SUMIFS(SDDK!$D$8:$D$251,SDDK!$A$8:$A$251,$A115))</f>
        <v/>
      </c>
      <c r="M115" s="124">
        <f>IF($A115="",0,SUMIFS(NKC!$H$7:$H$3006,NKC!$F$7:$F$3006,$A115,NKC!$B$7:$B$3006,"&lt;"&amp;TU_NGAY))</f>
        <v/>
      </c>
      <c r="N115" s="124">
        <f>IF($A115="",0,SUMIFS(NKC!$H$7:$H$3006,NKC!$G$7:$G$3006,$A115,NKC!$B$7:$B$3006,"&lt;"&amp;TU_NGAY))</f>
        <v/>
      </c>
      <c r="O115" s="124">
        <f>IF($A115="",0,SUMIFS(NKC!$H$7:$H$3006,NKC!$F$7:$F$3006,$A115,NKC!$B$7:$B$3006,"&gt;="&amp;TU_NGAY,NKC!$B$7:$B$3006,"&lt;="&amp;DEN_NGAY))</f>
        <v/>
      </c>
      <c r="P115" s="124">
        <f>IF($A115="",0,SUMIFS(NKC!$H$7:$H$3006,NKC!$G$7:$G$3006,$A115,NKC!$B$7:$B$3006,"&gt;="&amp;TU_NGAY,NKC!$B$7:$B$3006,"&lt;="&amp;DEN_NGAY))</f>
        <v/>
      </c>
      <c r="Q115" s="124">
        <f>K115-L115+M115-N115</f>
        <v/>
      </c>
      <c r="R115" s="124">
        <f>MAX(Q115,0)</f>
        <v/>
      </c>
      <c r="S115" s="124">
        <f>MAX(-Q115,0)</f>
        <v/>
      </c>
      <c r="T115" s="124">
        <f>Q115+O115-P115</f>
        <v/>
      </c>
      <c r="U115" s="124">
        <f>MAX(T115,0)</f>
        <v/>
      </c>
      <c r="V115" s="124">
        <f>MAX(-T115,0)</f>
        <v/>
      </c>
    </row>
    <row r="116" ht="15" customHeight="1" s="78">
      <c r="A116" s="93" t="inlineStr">
        <is>
          <t>352</t>
        </is>
      </c>
      <c r="B116" s="94" t="inlineStr">
        <is>
          <t>Dự phòng phải trả</t>
        </is>
      </c>
      <c r="C116" s="122" t="n">
        <v>1</v>
      </c>
      <c r="D116" s="123">
        <f>IF($A116="","",SUMIF($A$8:$A$251,$A116&amp;"*",R$8:R$251))</f>
        <v/>
      </c>
      <c r="E116" s="123">
        <f>IF($A116="","",SUMIF($A$8:$A$251,$A116&amp;"*",S$8:S$251))</f>
        <v/>
      </c>
      <c r="F116" s="123">
        <f>IF($A116="","",SUMIF($A$8:$A$251,$A116&amp;"*",O$8:O$251))</f>
        <v/>
      </c>
      <c r="G116" s="123">
        <f>IF($A116="","",SUMIF($A$8:$A$251,$A116&amp;"*",P$8:P$251))</f>
        <v/>
      </c>
      <c r="H116" s="123">
        <f>IF($A116="","",SUMIF($A$8:$A$251,$A116&amp;"*",U$8:U$251))</f>
        <v/>
      </c>
      <c r="I116" s="123">
        <f>IF($A116="","",SUMIF($A$8:$A$251,$A116&amp;"*",V$8:V$251))</f>
        <v/>
      </c>
      <c r="K116" s="124">
        <f>IF($A116="",0,SUMIFS(SDDK!$C$8:$C$251,SDDK!$A$8:$A$251,$A116))</f>
        <v/>
      </c>
      <c r="L116" s="124">
        <f>IF($A116="",0,SUMIFS(SDDK!$D$8:$D$251,SDDK!$A$8:$A$251,$A116))</f>
        <v/>
      </c>
      <c r="M116" s="124">
        <f>IF($A116="",0,SUMIFS(NKC!$H$7:$H$3006,NKC!$F$7:$F$3006,$A116,NKC!$B$7:$B$3006,"&lt;"&amp;TU_NGAY))</f>
        <v/>
      </c>
      <c r="N116" s="124">
        <f>IF($A116="",0,SUMIFS(NKC!$H$7:$H$3006,NKC!$G$7:$G$3006,$A116,NKC!$B$7:$B$3006,"&lt;"&amp;TU_NGAY))</f>
        <v/>
      </c>
      <c r="O116" s="124">
        <f>IF($A116="",0,SUMIFS(NKC!$H$7:$H$3006,NKC!$F$7:$F$3006,$A116,NKC!$B$7:$B$3006,"&gt;="&amp;TU_NGAY,NKC!$B$7:$B$3006,"&lt;="&amp;DEN_NGAY))</f>
        <v/>
      </c>
      <c r="P116" s="124">
        <f>IF($A116="",0,SUMIFS(NKC!$H$7:$H$3006,NKC!$G$7:$G$3006,$A116,NKC!$B$7:$B$3006,"&gt;="&amp;TU_NGAY,NKC!$B$7:$B$3006,"&lt;="&amp;DEN_NGAY))</f>
        <v/>
      </c>
      <c r="Q116" s="124">
        <f>K116-L116+M116-N116</f>
        <v/>
      </c>
      <c r="R116" s="124">
        <f>MAX(Q116,0)</f>
        <v/>
      </c>
      <c r="S116" s="124">
        <f>MAX(-Q116,0)</f>
        <v/>
      </c>
      <c r="T116" s="124">
        <f>Q116+O116-P116</f>
        <v/>
      </c>
      <c r="U116" s="124">
        <f>MAX(T116,0)</f>
        <v/>
      </c>
      <c r="V116" s="124">
        <f>MAX(-T116,0)</f>
        <v/>
      </c>
    </row>
    <row r="117" ht="15" customHeight="1" s="78">
      <c r="A117" s="96" t="inlineStr">
        <is>
          <t>3521</t>
        </is>
      </c>
      <c r="B117" s="97" t="inlineStr">
        <is>
          <t>Dự phòng bảo hành sản phẩm, hàng hóa</t>
        </is>
      </c>
      <c r="C117" s="122" t="n">
        <v>2</v>
      </c>
      <c r="D117" s="125">
        <f>IF($A117="","",SUMIF($A$8:$A$251,$A117&amp;"*",R$8:R$251))</f>
        <v/>
      </c>
      <c r="E117" s="125">
        <f>IF($A117="","",SUMIF($A$8:$A$251,$A117&amp;"*",S$8:S$251))</f>
        <v/>
      </c>
      <c r="F117" s="125">
        <f>IF($A117="","",SUMIF($A$8:$A$251,$A117&amp;"*",O$8:O$251))</f>
        <v/>
      </c>
      <c r="G117" s="125">
        <f>IF($A117="","",SUMIF($A$8:$A$251,$A117&amp;"*",P$8:P$251))</f>
        <v/>
      </c>
      <c r="H117" s="125">
        <f>IF($A117="","",SUMIF($A$8:$A$251,$A117&amp;"*",U$8:U$251))</f>
        <v/>
      </c>
      <c r="I117" s="125">
        <f>IF($A117="","",SUMIF($A$8:$A$251,$A117&amp;"*",V$8:V$251))</f>
        <v/>
      </c>
      <c r="K117" s="124">
        <f>IF($A117="",0,SUMIFS(SDDK!$C$8:$C$251,SDDK!$A$8:$A$251,$A117))</f>
        <v/>
      </c>
      <c r="L117" s="124">
        <f>IF($A117="",0,SUMIFS(SDDK!$D$8:$D$251,SDDK!$A$8:$A$251,$A117))</f>
        <v/>
      </c>
      <c r="M117" s="124">
        <f>IF($A117="",0,SUMIFS(NKC!$H$7:$H$3006,NKC!$F$7:$F$3006,$A117,NKC!$B$7:$B$3006,"&lt;"&amp;TU_NGAY))</f>
        <v/>
      </c>
      <c r="N117" s="124">
        <f>IF($A117="",0,SUMIFS(NKC!$H$7:$H$3006,NKC!$G$7:$G$3006,$A117,NKC!$B$7:$B$3006,"&lt;"&amp;TU_NGAY))</f>
        <v/>
      </c>
      <c r="O117" s="124">
        <f>IF($A117="",0,SUMIFS(NKC!$H$7:$H$3006,NKC!$F$7:$F$3006,$A117,NKC!$B$7:$B$3006,"&gt;="&amp;TU_NGAY,NKC!$B$7:$B$3006,"&lt;="&amp;DEN_NGAY))</f>
        <v/>
      </c>
      <c r="P117" s="124">
        <f>IF($A117="",0,SUMIFS(NKC!$H$7:$H$3006,NKC!$G$7:$G$3006,$A117,NKC!$B$7:$B$3006,"&gt;="&amp;TU_NGAY,NKC!$B$7:$B$3006,"&lt;="&amp;DEN_NGAY))</f>
        <v/>
      </c>
      <c r="Q117" s="124">
        <f>K117-L117+M117-N117</f>
        <v/>
      </c>
      <c r="R117" s="124">
        <f>MAX(Q117,0)</f>
        <v/>
      </c>
      <c r="S117" s="124">
        <f>MAX(-Q117,0)</f>
        <v/>
      </c>
      <c r="T117" s="124">
        <f>Q117+O117-P117</f>
        <v/>
      </c>
      <c r="U117" s="124">
        <f>MAX(T117,0)</f>
        <v/>
      </c>
      <c r="V117" s="124">
        <f>MAX(-T117,0)</f>
        <v/>
      </c>
    </row>
    <row r="118" ht="15" customHeight="1" s="78">
      <c r="A118" s="96" t="inlineStr">
        <is>
          <t>3522</t>
        </is>
      </c>
      <c r="B118" s="97" t="inlineStr">
        <is>
          <t>Dự phòng bảo hành công trình xây dựng</t>
        </is>
      </c>
      <c r="C118" s="122" t="n">
        <v>2</v>
      </c>
      <c r="D118" s="125">
        <f>IF($A118="","",SUMIF($A$8:$A$251,$A118&amp;"*",R$8:R$251))</f>
        <v/>
      </c>
      <c r="E118" s="125">
        <f>IF($A118="","",SUMIF($A$8:$A$251,$A118&amp;"*",S$8:S$251))</f>
        <v/>
      </c>
      <c r="F118" s="125">
        <f>IF($A118="","",SUMIF($A$8:$A$251,$A118&amp;"*",O$8:O$251))</f>
        <v/>
      </c>
      <c r="G118" s="125">
        <f>IF($A118="","",SUMIF($A$8:$A$251,$A118&amp;"*",P$8:P$251))</f>
        <v/>
      </c>
      <c r="H118" s="125">
        <f>IF($A118="","",SUMIF($A$8:$A$251,$A118&amp;"*",U$8:U$251))</f>
        <v/>
      </c>
      <c r="I118" s="125">
        <f>IF($A118="","",SUMIF($A$8:$A$251,$A118&amp;"*",V$8:V$251))</f>
        <v/>
      </c>
      <c r="K118" s="124">
        <f>IF($A118="",0,SUMIFS(SDDK!$C$8:$C$251,SDDK!$A$8:$A$251,$A118))</f>
        <v/>
      </c>
      <c r="L118" s="124">
        <f>IF($A118="",0,SUMIFS(SDDK!$D$8:$D$251,SDDK!$A$8:$A$251,$A118))</f>
        <v/>
      </c>
      <c r="M118" s="124">
        <f>IF($A118="",0,SUMIFS(NKC!$H$7:$H$3006,NKC!$F$7:$F$3006,$A118,NKC!$B$7:$B$3006,"&lt;"&amp;TU_NGAY))</f>
        <v/>
      </c>
      <c r="N118" s="124">
        <f>IF($A118="",0,SUMIFS(NKC!$H$7:$H$3006,NKC!$G$7:$G$3006,$A118,NKC!$B$7:$B$3006,"&lt;"&amp;TU_NGAY))</f>
        <v/>
      </c>
      <c r="O118" s="124">
        <f>IF($A118="",0,SUMIFS(NKC!$H$7:$H$3006,NKC!$F$7:$F$3006,$A118,NKC!$B$7:$B$3006,"&gt;="&amp;TU_NGAY,NKC!$B$7:$B$3006,"&lt;="&amp;DEN_NGAY))</f>
        <v/>
      </c>
      <c r="P118" s="124">
        <f>IF($A118="",0,SUMIFS(NKC!$H$7:$H$3006,NKC!$G$7:$G$3006,$A118,NKC!$B$7:$B$3006,"&gt;="&amp;TU_NGAY,NKC!$B$7:$B$3006,"&lt;="&amp;DEN_NGAY))</f>
        <v/>
      </c>
      <c r="Q118" s="124">
        <f>K118-L118+M118-N118</f>
        <v/>
      </c>
      <c r="R118" s="124">
        <f>MAX(Q118,0)</f>
        <v/>
      </c>
      <c r="S118" s="124">
        <f>MAX(-Q118,0)</f>
        <v/>
      </c>
      <c r="T118" s="124">
        <f>Q118+O118-P118</f>
        <v/>
      </c>
      <c r="U118" s="124">
        <f>MAX(T118,0)</f>
        <v/>
      </c>
      <c r="V118" s="124">
        <f>MAX(-T118,0)</f>
        <v/>
      </c>
    </row>
    <row r="119" ht="15" customHeight="1" s="78">
      <c r="A119" s="96" t="inlineStr">
        <is>
          <t>3523</t>
        </is>
      </c>
      <c r="B119" s="97" t="inlineStr">
        <is>
          <t>Dự phòng tái cơ cấu doanh nghiệp</t>
        </is>
      </c>
      <c r="C119" s="122" t="n">
        <v>2</v>
      </c>
      <c r="D119" s="125">
        <f>IF($A119="","",SUMIF($A$8:$A$251,$A119&amp;"*",R$8:R$251))</f>
        <v/>
      </c>
      <c r="E119" s="125">
        <f>IF($A119="","",SUMIF($A$8:$A$251,$A119&amp;"*",S$8:S$251))</f>
        <v/>
      </c>
      <c r="F119" s="125">
        <f>IF($A119="","",SUMIF($A$8:$A$251,$A119&amp;"*",O$8:O$251))</f>
        <v/>
      </c>
      <c r="G119" s="125">
        <f>IF($A119="","",SUMIF($A$8:$A$251,$A119&amp;"*",P$8:P$251))</f>
        <v/>
      </c>
      <c r="H119" s="125">
        <f>IF($A119="","",SUMIF($A$8:$A$251,$A119&amp;"*",U$8:U$251))</f>
        <v/>
      </c>
      <c r="I119" s="125">
        <f>IF($A119="","",SUMIF($A$8:$A$251,$A119&amp;"*",V$8:V$251))</f>
        <v/>
      </c>
      <c r="K119" s="124">
        <f>IF($A119="",0,SUMIFS(SDDK!$C$8:$C$251,SDDK!$A$8:$A$251,$A119))</f>
        <v/>
      </c>
      <c r="L119" s="124">
        <f>IF($A119="",0,SUMIFS(SDDK!$D$8:$D$251,SDDK!$A$8:$A$251,$A119))</f>
        <v/>
      </c>
      <c r="M119" s="124">
        <f>IF($A119="",0,SUMIFS(NKC!$H$7:$H$3006,NKC!$F$7:$F$3006,$A119,NKC!$B$7:$B$3006,"&lt;"&amp;TU_NGAY))</f>
        <v/>
      </c>
      <c r="N119" s="124">
        <f>IF($A119="",0,SUMIFS(NKC!$H$7:$H$3006,NKC!$G$7:$G$3006,$A119,NKC!$B$7:$B$3006,"&lt;"&amp;TU_NGAY))</f>
        <v/>
      </c>
      <c r="O119" s="124">
        <f>IF($A119="",0,SUMIFS(NKC!$H$7:$H$3006,NKC!$F$7:$F$3006,$A119,NKC!$B$7:$B$3006,"&gt;="&amp;TU_NGAY,NKC!$B$7:$B$3006,"&lt;="&amp;DEN_NGAY))</f>
        <v/>
      </c>
      <c r="P119" s="124">
        <f>IF($A119="",0,SUMIFS(NKC!$H$7:$H$3006,NKC!$G$7:$G$3006,$A119,NKC!$B$7:$B$3006,"&gt;="&amp;TU_NGAY,NKC!$B$7:$B$3006,"&lt;="&amp;DEN_NGAY))</f>
        <v/>
      </c>
      <c r="Q119" s="124">
        <f>K119-L119+M119-N119</f>
        <v/>
      </c>
      <c r="R119" s="124">
        <f>MAX(Q119,0)</f>
        <v/>
      </c>
      <c r="S119" s="124">
        <f>MAX(-Q119,0)</f>
        <v/>
      </c>
      <c r="T119" s="124">
        <f>Q119+O119-P119</f>
        <v/>
      </c>
      <c r="U119" s="124">
        <f>MAX(T119,0)</f>
        <v/>
      </c>
      <c r="V119" s="124">
        <f>MAX(-T119,0)</f>
        <v/>
      </c>
    </row>
    <row r="120" ht="15" customHeight="1" s="78">
      <c r="A120" s="96" t="inlineStr">
        <is>
          <t>3525</t>
        </is>
      </c>
      <c r="B120" s="97" t="inlineStr">
        <is>
          <t>Dự phòng phải trả khác</t>
        </is>
      </c>
      <c r="C120" s="122" t="n">
        <v>2</v>
      </c>
      <c r="D120" s="125">
        <f>IF($A120="","",SUMIF($A$8:$A$251,$A120&amp;"*",R$8:R$251))</f>
        <v/>
      </c>
      <c r="E120" s="125">
        <f>IF($A120="","",SUMIF($A$8:$A$251,$A120&amp;"*",S$8:S$251))</f>
        <v/>
      </c>
      <c r="F120" s="125">
        <f>IF($A120="","",SUMIF($A$8:$A$251,$A120&amp;"*",O$8:O$251))</f>
        <v/>
      </c>
      <c r="G120" s="125">
        <f>IF($A120="","",SUMIF($A$8:$A$251,$A120&amp;"*",P$8:P$251))</f>
        <v/>
      </c>
      <c r="H120" s="125">
        <f>IF($A120="","",SUMIF($A$8:$A$251,$A120&amp;"*",U$8:U$251))</f>
        <v/>
      </c>
      <c r="I120" s="125">
        <f>IF($A120="","",SUMIF($A$8:$A$251,$A120&amp;"*",V$8:V$251))</f>
        <v/>
      </c>
      <c r="K120" s="124">
        <f>IF($A120="",0,SUMIFS(SDDK!$C$8:$C$251,SDDK!$A$8:$A$251,$A120))</f>
        <v/>
      </c>
      <c r="L120" s="124">
        <f>IF($A120="",0,SUMIFS(SDDK!$D$8:$D$251,SDDK!$A$8:$A$251,$A120))</f>
        <v/>
      </c>
      <c r="M120" s="124">
        <f>IF($A120="",0,SUMIFS(NKC!$H$7:$H$3006,NKC!$F$7:$F$3006,$A120,NKC!$B$7:$B$3006,"&lt;"&amp;TU_NGAY))</f>
        <v/>
      </c>
      <c r="N120" s="124">
        <f>IF($A120="",0,SUMIFS(NKC!$H$7:$H$3006,NKC!$G$7:$G$3006,$A120,NKC!$B$7:$B$3006,"&lt;"&amp;TU_NGAY))</f>
        <v/>
      </c>
      <c r="O120" s="124">
        <f>IF($A120="",0,SUMIFS(NKC!$H$7:$H$3006,NKC!$F$7:$F$3006,$A120,NKC!$B$7:$B$3006,"&gt;="&amp;TU_NGAY,NKC!$B$7:$B$3006,"&lt;="&amp;DEN_NGAY))</f>
        <v/>
      </c>
      <c r="P120" s="124">
        <f>IF($A120="",0,SUMIFS(NKC!$H$7:$H$3006,NKC!$G$7:$G$3006,$A120,NKC!$B$7:$B$3006,"&gt;="&amp;TU_NGAY,NKC!$B$7:$B$3006,"&lt;="&amp;DEN_NGAY))</f>
        <v/>
      </c>
      <c r="Q120" s="124">
        <f>K120-L120+M120-N120</f>
        <v/>
      </c>
      <c r="R120" s="124">
        <f>MAX(Q120,0)</f>
        <v/>
      </c>
      <c r="S120" s="124">
        <f>MAX(-Q120,0)</f>
        <v/>
      </c>
      <c r="T120" s="124">
        <f>Q120+O120-P120</f>
        <v/>
      </c>
      <c r="U120" s="124">
        <f>MAX(T120,0)</f>
        <v/>
      </c>
      <c r="V120" s="124">
        <f>MAX(-T120,0)</f>
        <v/>
      </c>
    </row>
    <row r="121" ht="15" customHeight="1" s="78">
      <c r="A121" s="93" t="inlineStr">
        <is>
          <t>353</t>
        </is>
      </c>
      <c r="B121" s="94" t="inlineStr">
        <is>
          <t>Quỹ khen thưởng, phúc lợi</t>
        </is>
      </c>
      <c r="C121" s="122" t="n">
        <v>1</v>
      </c>
      <c r="D121" s="123">
        <f>IF($A121="","",SUMIF($A$8:$A$251,$A121&amp;"*",R$8:R$251))</f>
        <v/>
      </c>
      <c r="E121" s="123">
        <f>IF($A121="","",SUMIF($A$8:$A$251,$A121&amp;"*",S$8:S$251))</f>
        <v/>
      </c>
      <c r="F121" s="123">
        <f>IF($A121="","",SUMIF($A$8:$A$251,$A121&amp;"*",O$8:O$251))</f>
        <v/>
      </c>
      <c r="G121" s="123">
        <f>IF($A121="","",SUMIF($A$8:$A$251,$A121&amp;"*",P$8:P$251))</f>
        <v/>
      </c>
      <c r="H121" s="123">
        <f>IF($A121="","",SUMIF($A$8:$A$251,$A121&amp;"*",U$8:U$251))</f>
        <v/>
      </c>
      <c r="I121" s="123">
        <f>IF($A121="","",SUMIF($A$8:$A$251,$A121&amp;"*",V$8:V$251))</f>
        <v/>
      </c>
      <c r="K121" s="124">
        <f>IF($A121="",0,SUMIFS(SDDK!$C$8:$C$251,SDDK!$A$8:$A$251,$A121))</f>
        <v/>
      </c>
      <c r="L121" s="124">
        <f>IF($A121="",0,SUMIFS(SDDK!$D$8:$D$251,SDDK!$A$8:$A$251,$A121))</f>
        <v/>
      </c>
      <c r="M121" s="124">
        <f>IF($A121="",0,SUMIFS(NKC!$H$7:$H$3006,NKC!$F$7:$F$3006,$A121,NKC!$B$7:$B$3006,"&lt;"&amp;TU_NGAY))</f>
        <v/>
      </c>
      <c r="N121" s="124">
        <f>IF($A121="",0,SUMIFS(NKC!$H$7:$H$3006,NKC!$G$7:$G$3006,$A121,NKC!$B$7:$B$3006,"&lt;"&amp;TU_NGAY))</f>
        <v/>
      </c>
      <c r="O121" s="124">
        <f>IF($A121="",0,SUMIFS(NKC!$H$7:$H$3006,NKC!$F$7:$F$3006,$A121,NKC!$B$7:$B$3006,"&gt;="&amp;TU_NGAY,NKC!$B$7:$B$3006,"&lt;="&amp;DEN_NGAY))</f>
        <v/>
      </c>
      <c r="P121" s="124">
        <f>IF($A121="",0,SUMIFS(NKC!$H$7:$H$3006,NKC!$G$7:$G$3006,$A121,NKC!$B$7:$B$3006,"&gt;="&amp;TU_NGAY,NKC!$B$7:$B$3006,"&lt;="&amp;DEN_NGAY))</f>
        <v/>
      </c>
      <c r="Q121" s="124">
        <f>K121-L121+M121-N121</f>
        <v/>
      </c>
      <c r="R121" s="124">
        <f>MAX(Q121,0)</f>
        <v/>
      </c>
      <c r="S121" s="124">
        <f>MAX(-Q121,0)</f>
        <v/>
      </c>
      <c r="T121" s="124">
        <f>Q121+O121-P121</f>
        <v/>
      </c>
      <c r="U121" s="124">
        <f>MAX(T121,0)</f>
        <v/>
      </c>
      <c r="V121" s="124">
        <f>MAX(-T121,0)</f>
        <v/>
      </c>
    </row>
    <row r="122" ht="15" customHeight="1" s="78">
      <c r="A122" s="96" t="inlineStr">
        <is>
          <t>3531</t>
        </is>
      </c>
      <c r="B122" s="97" t="inlineStr">
        <is>
          <t>Quỹ khen thưởng</t>
        </is>
      </c>
      <c r="C122" s="122" t="n">
        <v>2</v>
      </c>
      <c r="D122" s="125">
        <f>IF($A122="","",SUMIF($A$8:$A$251,$A122&amp;"*",R$8:R$251))</f>
        <v/>
      </c>
      <c r="E122" s="125">
        <f>IF($A122="","",SUMIF($A$8:$A$251,$A122&amp;"*",S$8:S$251))</f>
        <v/>
      </c>
      <c r="F122" s="125">
        <f>IF($A122="","",SUMIF($A$8:$A$251,$A122&amp;"*",O$8:O$251))</f>
        <v/>
      </c>
      <c r="G122" s="125">
        <f>IF($A122="","",SUMIF($A$8:$A$251,$A122&amp;"*",P$8:P$251))</f>
        <v/>
      </c>
      <c r="H122" s="125">
        <f>IF($A122="","",SUMIF($A$8:$A$251,$A122&amp;"*",U$8:U$251))</f>
        <v/>
      </c>
      <c r="I122" s="125">
        <f>IF($A122="","",SUMIF($A$8:$A$251,$A122&amp;"*",V$8:V$251))</f>
        <v/>
      </c>
      <c r="K122" s="124">
        <f>IF($A122="",0,SUMIFS(SDDK!$C$8:$C$251,SDDK!$A$8:$A$251,$A122))</f>
        <v/>
      </c>
      <c r="L122" s="124">
        <f>IF($A122="",0,SUMIFS(SDDK!$D$8:$D$251,SDDK!$A$8:$A$251,$A122))</f>
        <v/>
      </c>
      <c r="M122" s="124">
        <f>IF($A122="",0,SUMIFS(NKC!$H$7:$H$3006,NKC!$F$7:$F$3006,$A122,NKC!$B$7:$B$3006,"&lt;"&amp;TU_NGAY))</f>
        <v/>
      </c>
      <c r="N122" s="124">
        <f>IF($A122="",0,SUMIFS(NKC!$H$7:$H$3006,NKC!$G$7:$G$3006,$A122,NKC!$B$7:$B$3006,"&lt;"&amp;TU_NGAY))</f>
        <v/>
      </c>
      <c r="O122" s="124">
        <f>IF($A122="",0,SUMIFS(NKC!$H$7:$H$3006,NKC!$F$7:$F$3006,$A122,NKC!$B$7:$B$3006,"&gt;="&amp;TU_NGAY,NKC!$B$7:$B$3006,"&lt;="&amp;DEN_NGAY))</f>
        <v/>
      </c>
      <c r="P122" s="124">
        <f>IF($A122="",0,SUMIFS(NKC!$H$7:$H$3006,NKC!$G$7:$G$3006,$A122,NKC!$B$7:$B$3006,"&gt;="&amp;TU_NGAY,NKC!$B$7:$B$3006,"&lt;="&amp;DEN_NGAY))</f>
        <v/>
      </c>
      <c r="Q122" s="124">
        <f>K122-L122+M122-N122</f>
        <v/>
      </c>
      <c r="R122" s="124">
        <f>MAX(Q122,0)</f>
        <v/>
      </c>
      <c r="S122" s="124">
        <f>MAX(-Q122,0)</f>
        <v/>
      </c>
      <c r="T122" s="124">
        <f>Q122+O122-P122</f>
        <v/>
      </c>
      <c r="U122" s="124">
        <f>MAX(T122,0)</f>
        <v/>
      </c>
      <c r="V122" s="124">
        <f>MAX(-T122,0)</f>
        <v/>
      </c>
    </row>
    <row r="123" ht="15" customHeight="1" s="78">
      <c r="A123" s="96" t="inlineStr">
        <is>
          <t>3532</t>
        </is>
      </c>
      <c r="B123" s="97" t="inlineStr">
        <is>
          <t>Quỹ phúc lợi</t>
        </is>
      </c>
      <c r="C123" s="122" t="n">
        <v>2</v>
      </c>
      <c r="D123" s="125">
        <f>IF($A123="","",SUMIF($A$8:$A$251,$A123&amp;"*",R$8:R$251))</f>
        <v/>
      </c>
      <c r="E123" s="125">
        <f>IF($A123="","",SUMIF($A$8:$A$251,$A123&amp;"*",S$8:S$251))</f>
        <v/>
      </c>
      <c r="F123" s="125">
        <f>IF($A123="","",SUMIF($A$8:$A$251,$A123&amp;"*",O$8:O$251))</f>
        <v/>
      </c>
      <c r="G123" s="125">
        <f>IF($A123="","",SUMIF($A$8:$A$251,$A123&amp;"*",P$8:P$251))</f>
        <v/>
      </c>
      <c r="H123" s="125">
        <f>IF($A123="","",SUMIF($A$8:$A$251,$A123&amp;"*",U$8:U$251))</f>
        <v/>
      </c>
      <c r="I123" s="125">
        <f>IF($A123="","",SUMIF($A$8:$A$251,$A123&amp;"*",V$8:V$251))</f>
        <v/>
      </c>
      <c r="K123" s="124">
        <f>IF($A123="",0,SUMIFS(SDDK!$C$8:$C$251,SDDK!$A$8:$A$251,$A123))</f>
        <v/>
      </c>
      <c r="L123" s="124">
        <f>IF($A123="",0,SUMIFS(SDDK!$D$8:$D$251,SDDK!$A$8:$A$251,$A123))</f>
        <v/>
      </c>
      <c r="M123" s="124">
        <f>IF($A123="",0,SUMIFS(NKC!$H$7:$H$3006,NKC!$F$7:$F$3006,$A123,NKC!$B$7:$B$3006,"&lt;"&amp;TU_NGAY))</f>
        <v/>
      </c>
      <c r="N123" s="124">
        <f>IF($A123="",0,SUMIFS(NKC!$H$7:$H$3006,NKC!$G$7:$G$3006,$A123,NKC!$B$7:$B$3006,"&lt;"&amp;TU_NGAY))</f>
        <v/>
      </c>
      <c r="O123" s="124">
        <f>IF($A123="",0,SUMIFS(NKC!$H$7:$H$3006,NKC!$F$7:$F$3006,$A123,NKC!$B$7:$B$3006,"&gt;="&amp;TU_NGAY,NKC!$B$7:$B$3006,"&lt;="&amp;DEN_NGAY))</f>
        <v/>
      </c>
      <c r="P123" s="124">
        <f>IF($A123="",0,SUMIFS(NKC!$H$7:$H$3006,NKC!$G$7:$G$3006,$A123,NKC!$B$7:$B$3006,"&gt;="&amp;TU_NGAY,NKC!$B$7:$B$3006,"&lt;="&amp;DEN_NGAY))</f>
        <v/>
      </c>
      <c r="Q123" s="124">
        <f>K123-L123+M123-N123</f>
        <v/>
      </c>
      <c r="R123" s="124">
        <f>MAX(Q123,0)</f>
        <v/>
      </c>
      <c r="S123" s="124">
        <f>MAX(-Q123,0)</f>
        <v/>
      </c>
      <c r="T123" s="124">
        <f>Q123+O123-P123</f>
        <v/>
      </c>
      <c r="U123" s="124">
        <f>MAX(T123,0)</f>
        <v/>
      </c>
      <c r="V123" s="124">
        <f>MAX(-T123,0)</f>
        <v/>
      </c>
    </row>
    <row r="124" ht="15" customHeight="1" s="78">
      <c r="A124" s="96" t="inlineStr">
        <is>
          <t>3533</t>
        </is>
      </c>
      <c r="B124" s="97" t="inlineStr">
        <is>
          <t>Quỹ phúc lợi đã hình thành TSCĐ</t>
        </is>
      </c>
      <c r="C124" s="122" t="n">
        <v>2</v>
      </c>
      <c r="D124" s="125">
        <f>IF($A124="","",SUMIF($A$8:$A$251,$A124&amp;"*",R$8:R$251))</f>
        <v/>
      </c>
      <c r="E124" s="125">
        <f>IF($A124="","",SUMIF($A$8:$A$251,$A124&amp;"*",S$8:S$251))</f>
        <v/>
      </c>
      <c r="F124" s="125">
        <f>IF($A124="","",SUMIF($A$8:$A$251,$A124&amp;"*",O$8:O$251))</f>
        <v/>
      </c>
      <c r="G124" s="125">
        <f>IF($A124="","",SUMIF($A$8:$A$251,$A124&amp;"*",P$8:P$251))</f>
        <v/>
      </c>
      <c r="H124" s="125">
        <f>IF($A124="","",SUMIF($A$8:$A$251,$A124&amp;"*",U$8:U$251))</f>
        <v/>
      </c>
      <c r="I124" s="125">
        <f>IF($A124="","",SUMIF($A$8:$A$251,$A124&amp;"*",V$8:V$251))</f>
        <v/>
      </c>
      <c r="K124" s="124">
        <f>IF($A124="",0,SUMIFS(SDDK!$C$8:$C$251,SDDK!$A$8:$A$251,$A124))</f>
        <v/>
      </c>
      <c r="L124" s="124">
        <f>IF($A124="",0,SUMIFS(SDDK!$D$8:$D$251,SDDK!$A$8:$A$251,$A124))</f>
        <v/>
      </c>
      <c r="M124" s="124">
        <f>IF($A124="",0,SUMIFS(NKC!$H$7:$H$3006,NKC!$F$7:$F$3006,$A124,NKC!$B$7:$B$3006,"&lt;"&amp;TU_NGAY))</f>
        <v/>
      </c>
      <c r="N124" s="124">
        <f>IF($A124="",0,SUMIFS(NKC!$H$7:$H$3006,NKC!$G$7:$G$3006,$A124,NKC!$B$7:$B$3006,"&lt;"&amp;TU_NGAY))</f>
        <v/>
      </c>
      <c r="O124" s="124">
        <f>IF($A124="",0,SUMIFS(NKC!$H$7:$H$3006,NKC!$F$7:$F$3006,$A124,NKC!$B$7:$B$3006,"&gt;="&amp;TU_NGAY,NKC!$B$7:$B$3006,"&lt;="&amp;DEN_NGAY))</f>
        <v/>
      </c>
      <c r="P124" s="124">
        <f>IF($A124="",0,SUMIFS(NKC!$H$7:$H$3006,NKC!$G$7:$G$3006,$A124,NKC!$B$7:$B$3006,"&gt;="&amp;TU_NGAY,NKC!$B$7:$B$3006,"&lt;="&amp;DEN_NGAY))</f>
        <v/>
      </c>
      <c r="Q124" s="124">
        <f>K124-L124+M124-N124</f>
        <v/>
      </c>
      <c r="R124" s="124">
        <f>MAX(Q124,0)</f>
        <v/>
      </c>
      <c r="S124" s="124">
        <f>MAX(-Q124,0)</f>
        <v/>
      </c>
      <c r="T124" s="124">
        <f>Q124+O124-P124</f>
        <v/>
      </c>
      <c r="U124" s="124">
        <f>MAX(T124,0)</f>
        <v/>
      </c>
      <c r="V124" s="124">
        <f>MAX(-T124,0)</f>
        <v/>
      </c>
    </row>
    <row r="125" ht="15" customHeight="1" s="78">
      <c r="A125" s="96" t="inlineStr">
        <is>
          <t>3534</t>
        </is>
      </c>
      <c r="B125" s="97" t="inlineStr">
        <is>
          <t>Quỹ thưởng ban quản lý điều hành công ty</t>
        </is>
      </c>
      <c r="C125" s="122" t="n">
        <v>2</v>
      </c>
      <c r="D125" s="125">
        <f>IF($A125="","",SUMIF($A$8:$A$251,$A125&amp;"*",R$8:R$251))</f>
        <v/>
      </c>
      <c r="E125" s="125">
        <f>IF($A125="","",SUMIF($A$8:$A$251,$A125&amp;"*",S$8:S$251))</f>
        <v/>
      </c>
      <c r="F125" s="125">
        <f>IF($A125="","",SUMIF($A$8:$A$251,$A125&amp;"*",O$8:O$251))</f>
        <v/>
      </c>
      <c r="G125" s="125">
        <f>IF($A125="","",SUMIF($A$8:$A$251,$A125&amp;"*",P$8:P$251))</f>
        <v/>
      </c>
      <c r="H125" s="125">
        <f>IF($A125="","",SUMIF($A$8:$A$251,$A125&amp;"*",U$8:U$251))</f>
        <v/>
      </c>
      <c r="I125" s="125">
        <f>IF($A125="","",SUMIF($A$8:$A$251,$A125&amp;"*",V$8:V$251))</f>
        <v/>
      </c>
      <c r="K125" s="124">
        <f>IF($A125="",0,SUMIFS(SDDK!$C$8:$C$251,SDDK!$A$8:$A$251,$A125))</f>
        <v/>
      </c>
      <c r="L125" s="124">
        <f>IF($A125="",0,SUMIFS(SDDK!$D$8:$D$251,SDDK!$A$8:$A$251,$A125))</f>
        <v/>
      </c>
      <c r="M125" s="124">
        <f>IF($A125="",0,SUMIFS(NKC!$H$7:$H$3006,NKC!$F$7:$F$3006,$A125,NKC!$B$7:$B$3006,"&lt;"&amp;TU_NGAY))</f>
        <v/>
      </c>
      <c r="N125" s="124">
        <f>IF($A125="",0,SUMIFS(NKC!$H$7:$H$3006,NKC!$G$7:$G$3006,$A125,NKC!$B$7:$B$3006,"&lt;"&amp;TU_NGAY))</f>
        <v/>
      </c>
      <c r="O125" s="124">
        <f>IF($A125="",0,SUMIFS(NKC!$H$7:$H$3006,NKC!$F$7:$F$3006,$A125,NKC!$B$7:$B$3006,"&gt;="&amp;TU_NGAY,NKC!$B$7:$B$3006,"&lt;="&amp;DEN_NGAY))</f>
        <v/>
      </c>
      <c r="P125" s="124">
        <f>IF($A125="",0,SUMIFS(NKC!$H$7:$H$3006,NKC!$G$7:$G$3006,$A125,NKC!$B$7:$B$3006,"&gt;="&amp;TU_NGAY,NKC!$B$7:$B$3006,"&lt;="&amp;DEN_NGAY))</f>
        <v/>
      </c>
      <c r="Q125" s="124">
        <f>K125-L125+M125-N125</f>
        <v/>
      </c>
      <c r="R125" s="124">
        <f>MAX(Q125,0)</f>
        <v/>
      </c>
      <c r="S125" s="124">
        <f>MAX(-Q125,0)</f>
        <v/>
      </c>
      <c r="T125" s="124">
        <f>Q125+O125-P125</f>
        <v/>
      </c>
      <c r="U125" s="124">
        <f>MAX(T125,0)</f>
        <v/>
      </c>
      <c r="V125" s="124">
        <f>MAX(-T125,0)</f>
        <v/>
      </c>
    </row>
    <row r="126" ht="15" customHeight="1" s="78">
      <c r="A126" s="93" t="inlineStr">
        <is>
          <t>356</t>
        </is>
      </c>
      <c r="B126" s="94" t="inlineStr">
        <is>
          <t>Quỹ phát triển khoa học và công nghệ</t>
        </is>
      </c>
      <c r="C126" s="122" t="n">
        <v>1</v>
      </c>
      <c r="D126" s="123">
        <f>IF($A126="","",SUMIF($A$8:$A$251,$A126&amp;"*",R$8:R$251))</f>
        <v/>
      </c>
      <c r="E126" s="123">
        <f>IF($A126="","",SUMIF($A$8:$A$251,$A126&amp;"*",S$8:S$251))</f>
        <v/>
      </c>
      <c r="F126" s="123">
        <f>IF($A126="","",SUMIF($A$8:$A$251,$A126&amp;"*",O$8:O$251))</f>
        <v/>
      </c>
      <c r="G126" s="123">
        <f>IF($A126="","",SUMIF($A$8:$A$251,$A126&amp;"*",P$8:P$251))</f>
        <v/>
      </c>
      <c r="H126" s="123">
        <f>IF($A126="","",SUMIF($A$8:$A$251,$A126&amp;"*",U$8:U$251))</f>
        <v/>
      </c>
      <c r="I126" s="123">
        <f>IF($A126="","",SUMIF($A$8:$A$251,$A126&amp;"*",V$8:V$251))</f>
        <v/>
      </c>
      <c r="K126" s="124">
        <f>IF($A126="",0,SUMIFS(SDDK!$C$8:$C$251,SDDK!$A$8:$A$251,$A126))</f>
        <v/>
      </c>
      <c r="L126" s="124">
        <f>IF($A126="",0,SUMIFS(SDDK!$D$8:$D$251,SDDK!$A$8:$A$251,$A126))</f>
        <v/>
      </c>
      <c r="M126" s="124">
        <f>IF($A126="",0,SUMIFS(NKC!$H$7:$H$3006,NKC!$F$7:$F$3006,$A126,NKC!$B$7:$B$3006,"&lt;"&amp;TU_NGAY))</f>
        <v/>
      </c>
      <c r="N126" s="124">
        <f>IF($A126="",0,SUMIFS(NKC!$H$7:$H$3006,NKC!$G$7:$G$3006,$A126,NKC!$B$7:$B$3006,"&lt;"&amp;TU_NGAY))</f>
        <v/>
      </c>
      <c r="O126" s="124">
        <f>IF($A126="",0,SUMIFS(NKC!$H$7:$H$3006,NKC!$F$7:$F$3006,$A126,NKC!$B$7:$B$3006,"&gt;="&amp;TU_NGAY,NKC!$B$7:$B$3006,"&lt;="&amp;DEN_NGAY))</f>
        <v/>
      </c>
      <c r="P126" s="124">
        <f>IF($A126="",0,SUMIFS(NKC!$H$7:$H$3006,NKC!$G$7:$G$3006,$A126,NKC!$B$7:$B$3006,"&gt;="&amp;TU_NGAY,NKC!$B$7:$B$3006,"&lt;="&amp;DEN_NGAY))</f>
        <v/>
      </c>
      <c r="Q126" s="124">
        <f>K126-L126+M126-N126</f>
        <v/>
      </c>
      <c r="R126" s="124">
        <f>MAX(Q126,0)</f>
        <v/>
      </c>
      <c r="S126" s="124">
        <f>MAX(-Q126,0)</f>
        <v/>
      </c>
      <c r="T126" s="124">
        <f>Q126+O126-P126</f>
        <v/>
      </c>
      <c r="U126" s="124">
        <f>MAX(T126,0)</f>
        <v/>
      </c>
      <c r="V126" s="124">
        <f>MAX(-T126,0)</f>
        <v/>
      </c>
    </row>
    <row r="127" ht="15" customHeight="1" s="78">
      <c r="A127" s="96" t="inlineStr">
        <is>
          <t>3561</t>
        </is>
      </c>
      <c r="B127" s="97" t="inlineStr">
        <is>
          <t>Quỹ phát triển khoa học và công nghệ</t>
        </is>
      </c>
      <c r="C127" s="122" t="n">
        <v>2</v>
      </c>
      <c r="D127" s="125">
        <f>IF($A127="","",SUMIF($A$8:$A$251,$A127&amp;"*",R$8:R$251))</f>
        <v/>
      </c>
      <c r="E127" s="125">
        <f>IF($A127="","",SUMIF($A$8:$A$251,$A127&amp;"*",S$8:S$251))</f>
        <v/>
      </c>
      <c r="F127" s="125">
        <f>IF($A127="","",SUMIF($A$8:$A$251,$A127&amp;"*",O$8:O$251))</f>
        <v/>
      </c>
      <c r="G127" s="125">
        <f>IF($A127="","",SUMIF($A$8:$A$251,$A127&amp;"*",P$8:P$251))</f>
        <v/>
      </c>
      <c r="H127" s="125">
        <f>IF($A127="","",SUMIF($A$8:$A$251,$A127&amp;"*",U$8:U$251))</f>
        <v/>
      </c>
      <c r="I127" s="125">
        <f>IF($A127="","",SUMIF($A$8:$A$251,$A127&amp;"*",V$8:V$251))</f>
        <v/>
      </c>
      <c r="K127" s="124">
        <f>IF($A127="",0,SUMIFS(SDDK!$C$8:$C$251,SDDK!$A$8:$A$251,$A127))</f>
        <v/>
      </c>
      <c r="L127" s="124">
        <f>IF($A127="",0,SUMIFS(SDDK!$D$8:$D$251,SDDK!$A$8:$A$251,$A127))</f>
        <v/>
      </c>
      <c r="M127" s="124">
        <f>IF($A127="",0,SUMIFS(NKC!$H$7:$H$3006,NKC!$F$7:$F$3006,$A127,NKC!$B$7:$B$3006,"&lt;"&amp;TU_NGAY))</f>
        <v/>
      </c>
      <c r="N127" s="124">
        <f>IF($A127="",0,SUMIFS(NKC!$H$7:$H$3006,NKC!$G$7:$G$3006,$A127,NKC!$B$7:$B$3006,"&lt;"&amp;TU_NGAY))</f>
        <v/>
      </c>
      <c r="O127" s="124">
        <f>IF($A127="",0,SUMIFS(NKC!$H$7:$H$3006,NKC!$F$7:$F$3006,$A127,NKC!$B$7:$B$3006,"&gt;="&amp;TU_NGAY,NKC!$B$7:$B$3006,"&lt;="&amp;DEN_NGAY))</f>
        <v/>
      </c>
      <c r="P127" s="124">
        <f>IF($A127="",0,SUMIFS(NKC!$H$7:$H$3006,NKC!$G$7:$G$3006,$A127,NKC!$B$7:$B$3006,"&gt;="&amp;TU_NGAY,NKC!$B$7:$B$3006,"&lt;="&amp;DEN_NGAY))</f>
        <v/>
      </c>
      <c r="Q127" s="124">
        <f>K127-L127+M127-N127</f>
        <v/>
      </c>
      <c r="R127" s="124">
        <f>MAX(Q127,0)</f>
        <v/>
      </c>
      <c r="S127" s="124">
        <f>MAX(-Q127,0)</f>
        <v/>
      </c>
      <c r="T127" s="124">
        <f>Q127+O127-P127</f>
        <v/>
      </c>
      <c r="U127" s="124">
        <f>MAX(T127,0)</f>
        <v/>
      </c>
      <c r="V127" s="124">
        <f>MAX(-T127,0)</f>
        <v/>
      </c>
    </row>
    <row r="128" ht="25.35" customHeight="1" s="78">
      <c r="A128" s="96" t="inlineStr">
        <is>
          <t>3562</t>
        </is>
      </c>
      <c r="B128" s="97" t="inlineStr">
        <is>
          <t>Quỹ phát triển khoa học và công nghệ đã hình thành tài sản</t>
        </is>
      </c>
      <c r="C128" s="122" t="n">
        <v>2</v>
      </c>
      <c r="D128" s="125">
        <f>IF($A128="","",SUMIF($A$8:$A$251,$A128&amp;"*",R$8:R$251))</f>
        <v/>
      </c>
      <c r="E128" s="125">
        <f>IF($A128="","",SUMIF($A$8:$A$251,$A128&amp;"*",S$8:S$251))</f>
        <v/>
      </c>
      <c r="F128" s="125">
        <f>IF($A128="","",SUMIF($A$8:$A$251,$A128&amp;"*",O$8:O$251))</f>
        <v/>
      </c>
      <c r="G128" s="125">
        <f>IF($A128="","",SUMIF($A$8:$A$251,$A128&amp;"*",P$8:P$251))</f>
        <v/>
      </c>
      <c r="H128" s="125">
        <f>IF($A128="","",SUMIF($A$8:$A$251,$A128&amp;"*",U$8:U$251))</f>
        <v/>
      </c>
      <c r="I128" s="125">
        <f>IF($A128="","",SUMIF($A$8:$A$251,$A128&amp;"*",V$8:V$251))</f>
        <v/>
      </c>
      <c r="K128" s="124">
        <f>IF($A128="",0,SUMIFS(SDDK!$C$8:$C$251,SDDK!$A$8:$A$251,$A128))</f>
        <v/>
      </c>
      <c r="L128" s="124">
        <f>IF($A128="",0,SUMIFS(SDDK!$D$8:$D$251,SDDK!$A$8:$A$251,$A128))</f>
        <v/>
      </c>
      <c r="M128" s="124">
        <f>IF($A128="",0,SUMIFS(NKC!$H$7:$H$3006,NKC!$F$7:$F$3006,$A128,NKC!$B$7:$B$3006,"&lt;"&amp;TU_NGAY))</f>
        <v/>
      </c>
      <c r="N128" s="124">
        <f>IF($A128="",0,SUMIFS(NKC!$H$7:$H$3006,NKC!$G$7:$G$3006,$A128,NKC!$B$7:$B$3006,"&lt;"&amp;TU_NGAY))</f>
        <v/>
      </c>
      <c r="O128" s="124">
        <f>IF($A128="",0,SUMIFS(NKC!$H$7:$H$3006,NKC!$F$7:$F$3006,$A128,NKC!$B$7:$B$3006,"&gt;="&amp;TU_NGAY,NKC!$B$7:$B$3006,"&lt;="&amp;DEN_NGAY))</f>
        <v/>
      </c>
      <c r="P128" s="124">
        <f>IF($A128="",0,SUMIFS(NKC!$H$7:$H$3006,NKC!$G$7:$G$3006,$A128,NKC!$B$7:$B$3006,"&gt;="&amp;TU_NGAY,NKC!$B$7:$B$3006,"&lt;="&amp;DEN_NGAY))</f>
        <v/>
      </c>
      <c r="Q128" s="124">
        <f>K128-L128+M128-N128</f>
        <v/>
      </c>
      <c r="R128" s="124">
        <f>MAX(Q128,0)</f>
        <v/>
      </c>
      <c r="S128" s="124">
        <f>MAX(-Q128,0)</f>
        <v/>
      </c>
      <c r="T128" s="124">
        <f>Q128+O128-P128</f>
        <v/>
      </c>
      <c r="U128" s="124">
        <f>MAX(T128,0)</f>
        <v/>
      </c>
      <c r="V128" s="124">
        <f>MAX(-T128,0)</f>
        <v/>
      </c>
    </row>
    <row r="129" ht="15" customHeight="1" s="78">
      <c r="A129" s="93" t="inlineStr">
        <is>
          <t>357</t>
        </is>
      </c>
      <c r="B129" s="94" t="inlineStr">
        <is>
          <t>Quỹ bình ổn giá</t>
        </is>
      </c>
      <c r="C129" s="122" t="n">
        <v>1</v>
      </c>
      <c r="D129" s="123">
        <f>IF($A129="","",SUMIF($A$8:$A$251,$A129&amp;"*",R$8:R$251))</f>
        <v/>
      </c>
      <c r="E129" s="123">
        <f>IF($A129="","",SUMIF($A$8:$A$251,$A129&amp;"*",S$8:S$251))</f>
        <v/>
      </c>
      <c r="F129" s="123">
        <f>IF($A129="","",SUMIF($A$8:$A$251,$A129&amp;"*",O$8:O$251))</f>
        <v/>
      </c>
      <c r="G129" s="123">
        <f>IF($A129="","",SUMIF($A$8:$A$251,$A129&amp;"*",P$8:P$251))</f>
        <v/>
      </c>
      <c r="H129" s="123">
        <f>IF($A129="","",SUMIF($A$8:$A$251,$A129&amp;"*",U$8:U$251))</f>
        <v/>
      </c>
      <c r="I129" s="123">
        <f>IF($A129="","",SUMIF($A$8:$A$251,$A129&amp;"*",V$8:V$251))</f>
        <v/>
      </c>
      <c r="K129" s="124">
        <f>IF($A129="",0,SUMIFS(SDDK!$C$8:$C$251,SDDK!$A$8:$A$251,$A129))</f>
        <v/>
      </c>
      <c r="L129" s="124">
        <f>IF($A129="",0,SUMIFS(SDDK!$D$8:$D$251,SDDK!$A$8:$A$251,$A129))</f>
        <v/>
      </c>
      <c r="M129" s="124">
        <f>IF($A129="",0,SUMIFS(NKC!$H$7:$H$3006,NKC!$F$7:$F$3006,$A129,NKC!$B$7:$B$3006,"&lt;"&amp;TU_NGAY))</f>
        <v/>
      </c>
      <c r="N129" s="124">
        <f>IF($A129="",0,SUMIFS(NKC!$H$7:$H$3006,NKC!$G$7:$G$3006,$A129,NKC!$B$7:$B$3006,"&lt;"&amp;TU_NGAY))</f>
        <v/>
      </c>
      <c r="O129" s="124">
        <f>IF($A129="",0,SUMIFS(NKC!$H$7:$H$3006,NKC!$F$7:$F$3006,$A129,NKC!$B$7:$B$3006,"&gt;="&amp;TU_NGAY,NKC!$B$7:$B$3006,"&lt;="&amp;DEN_NGAY))</f>
        <v/>
      </c>
      <c r="P129" s="124">
        <f>IF($A129="",0,SUMIFS(NKC!$H$7:$H$3006,NKC!$G$7:$G$3006,$A129,NKC!$B$7:$B$3006,"&gt;="&amp;TU_NGAY,NKC!$B$7:$B$3006,"&lt;="&amp;DEN_NGAY))</f>
        <v/>
      </c>
      <c r="Q129" s="124">
        <f>K129-L129+M129-N129</f>
        <v/>
      </c>
      <c r="R129" s="124">
        <f>MAX(Q129,0)</f>
        <v/>
      </c>
      <c r="S129" s="124">
        <f>MAX(-Q129,0)</f>
        <v/>
      </c>
      <c r="T129" s="124">
        <f>Q129+O129-P129</f>
        <v/>
      </c>
      <c r="U129" s="124">
        <f>MAX(T129,0)</f>
        <v/>
      </c>
      <c r="V129" s="124">
        <f>MAX(-T129,0)</f>
        <v/>
      </c>
    </row>
    <row r="130" ht="15" customHeight="1" s="78">
      <c r="A130" s="93" t="inlineStr">
        <is>
          <t>411</t>
        </is>
      </c>
      <c r="B130" s="94" t="inlineStr">
        <is>
          <t>Vốn đầu tư của chủ sở hữu</t>
        </is>
      </c>
      <c r="C130" s="122" t="n">
        <v>1</v>
      </c>
      <c r="D130" s="123">
        <f>IF($A130="","",SUMIF($A$8:$A$251,$A130&amp;"*",R$8:R$251))</f>
        <v/>
      </c>
      <c r="E130" s="123">
        <f>IF($A130="","",SUMIF($A$8:$A$251,$A130&amp;"*",S$8:S$251))</f>
        <v/>
      </c>
      <c r="F130" s="123">
        <f>IF($A130="","",SUMIF($A$8:$A$251,$A130&amp;"*",O$8:O$251))</f>
        <v/>
      </c>
      <c r="G130" s="123">
        <f>IF($A130="","",SUMIF($A$8:$A$251,$A130&amp;"*",P$8:P$251))</f>
        <v/>
      </c>
      <c r="H130" s="123">
        <f>IF($A130="","",SUMIF($A$8:$A$251,$A130&amp;"*",U$8:U$251))</f>
        <v/>
      </c>
      <c r="I130" s="123">
        <f>IF($A130="","",SUMIF($A$8:$A$251,$A130&amp;"*",V$8:V$251))</f>
        <v/>
      </c>
      <c r="K130" s="124">
        <f>IF($A130="",0,SUMIFS(SDDK!$C$8:$C$251,SDDK!$A$8:$A$251,$A130))</f>
        <v/>
      </c>
      <c r="L130" s="124">
        <f>IF($A130="",0,SUMIFS(SDDK!$D$8:$D$251,SDDK!$A$8:$A$251,$A130))</f>
        <v/>
      </c>
      <c r="M130" s="124">
        <f>IF($A130="",0,SUMIFS(NKC!$H$7:$H$3006,NKC!$F$7:$F$3006,$A130,NKC!$B$7:$B$3006,"&lt;"&amp;TU_NGAY))</f>
        <v/>
      </c>
      <c r="N130" s="124">
        <f>IF($A130="",0,SUMIFS(NKC!$H$7:$H$3006,NKC!$G$7:$G$3006,$A130,NKC!$B$7:$B$3006,"&lt;"&amp;TU_NGAY))</f>
        <v/>
      </c>
      <c r="O130" s="124">
        <f>IF($A130="",0,SUMIFS(NKC!$H$7:$H$3006,NKC!$F$7:$F$3006,$A130,NKC!$B$7:$B$3006,"&gt;="&amp;TU_NGAY,NKC!$B$7:$B$3006,"&lt;="&amp;DEN_NGAY))</f>
        <v/>
      </c>
      <c r="P130" s="124">
        <f>IF($A130="",0,SUMIFS(NKC!$H$7:$H$3006,NKC!$G$7:$G$3006,$A130,NKC!$B$7:$B$3006,"&gt;="&amp;TU_NGAY,NKC!$B$7:$B$3006,"&lt;="&amp;DEN_NGAY))</f>
        <v/>
      </c>
      <c r="Q130" s="124">
        <f>K130-L130+M130-N130</f>
        <v/>
      </c>
      <c r="R130" s="124">
        <f>MAX(Q130,0)</f>
        <v/>
      </c>
      <c r="S130" s="124">
        <f>MAX(-Q130,0)</f>
        <v/>
      </c>
      <c r="T130" s="124">
        <f>Q130+O130-P130</f>
        <v/>
      </c>
      <c r="U130" s="124">
        <f>MAX(T130,0)</f>
        <v/>
      </c>
      <c r="V130" s="124">
        <f>MAX(-T130,0)</f>
        <v/>
      </c>
    </row>
    <row r="131" ht="15" customHeight="1" s="78">
      <c r="A131" s="96" t="inlineStr">
        <is>
          <t>4111</t>
        </is>
      </c>
      <c r="B131" s="97" t="inlineStr">
        <is>
          <t>Vốn góp của chủ sở hữu</t>
        </is>
      </c>
      <c r="C131" s="122" t="n">
        <v>2</v>
      </c>
      <c r="D131" s="125">
        <f>IF($A131="","",SUMIF($A$8:$A$251,$A131&amp;"*",R$8:R$251))</f>
        <v/>
      </c>
      <c r="E131" s="125">
        <f>IF($A131="","",SUMIF($A$8:$A$251,$A131&amp;"*",S$8:S$251))</f>
        <v/>
      </c>
      <c r="F131" s="125">
        <f>IF($A131="","",SUMIF($A$8:$A$251,$A131&amp;"*",O$8:O$251))</f>
        <v/>
      </c>
      <c r="G131" s="125">
        <f>IF($A131="","",SUMIF($A$8:$A$251,$A131&amp;"*",P$8:P$251))</f>
        <v/>
      </c>
      <c r="H131" s="125">
        <f>IF($A131="","",SUMIF($A$8:$A$251,$A131&amp;"*",U$8:U$251))</f>
        <v/>
      </c>
      <c r="I131" s="125">
        <f>IF($A131="","",SUMIF($A$8:$A$251,$A131&amp;"*",V$8:V$251))</f>
        <v/>
      </c>
      <c r="K131" s="124">
        <f>IF($A131="",0,SUMIFS(SDDK!$C$8:$C$251,SDDK!$A$8:$A$251,$A131))</f>
        <v/>
      </c>
      <c r="L131" s="124">
        <f>IF($A131="",0,SUMIFS(SDDK!$D$8:$D$251,SDDK!$A$8:$A$251,$A131))</f>
        <v/>
      </c>
      <c r="M131" s="124">
        <f>IF($A131="",0,SUMIFS(NKC!$H$7:$H$3006,NKC!$F$7:$F$3006,$A131,NKC!$B$7:$B$3006,"&lt;"&amp;TU_NGAY))</f>
        <v/>
      </c>
      <c r="N131" s="124">
        <f>IF($A131="",0,SUMIFS(NKC!$H$7:$H$3006,NKC!$G$7:$G$3006,$A131,NKC!$B$7:$B$3006,"&lt;"&amp;TU_NGAY))</f>
        <v/>
      </c>
      <c r="O131" s="124">
        <f>IF($A131="",0,SUMIFS(NKC!$H$7:$H$3006,NKC!$F$7:$F$3006,$A131,NKC!$B$7:$B$3006,"&gt;="&amp;TU_NGAY,NKC!$B$7:$B$3006,"&lt;="&amp;DEN_NGAY))</f>
        <v/>
      </c>
      <c r="P131" s="124">
        <f>IF($A131="",0,SUMIFS(NKC!$H$7:$H$3006,NKC!$G$7:$G$3006,$A131,NKC!$B$7:$B$3006,"&gt;="&amp;TU_NGAY,NKC!$B$7:$B$3006,"&lt;="&amp;DEN_NGAY))</f>
        <v/>
      </c>
      <c r="Q131" s="124">
        <f>K131-L131+M131-N131</f>
        <v/>
      </c>
      <c r="R131" s="124">
        <f>MAX(Q131,0)</f>
        <v/>
      </c>
      <c r="S131" s="124">
        <f>MAX(-Q131,0)</f>
        <v/>
      </c>
      <c r="T131" s="124">
        <f>Q131+O131-P131</f>
        <v/>
      </c>
      <c r="U131" s="124">
        <f>MAX(T131,0)</f>
        <v/>
      </c>
      <c r="V131" s="124">
        <f>MAX(-T131,0)</f>
        <v/>
      </c>
    </row>
    <row r="132" ht="15" customHeight="1" s="78">
      <c r="A132" s="96" t="inlineStr">
        <is>
          <t>41111</t>
        </is>
      </c>
      <c r="B132" s="97" t="inlineStr">
        <is>
          <t>Cổ phiếu phổ thông có quyền biểu quyết</t>
        </is>
      </c>
      <c r="C132" s="122" t="n">
        <v>3</v>
      </c>
      <c r="D132" s="125">
        <f>IF($A132="","",SUMIF($A$8:$A$251,$A132&amp;"*",R$8:R$251))</f>
        <v/>
      </c>
      <c r="E132" s="125">
        <f>IF($A132="","",SUMIF($A$8:$A$251,$A132&amp;"*",S$8:S$251))</f>
        <v/>
      </c>
      <c r="F132" s="125">
        <f>IF($A132="","",SUMIF($A$8:$A$251,$A132&amp;"*",O$8:O$251))</f>
        <v/>
      </c>
      <c r="G132" s="125">
        <f>IF($A132="","",SUMIF($A$8:$A$251,$A132&amp;"*",P$8:P$251))</f>
        <v/>
      </c>
      <c r="H132" s="125">
        <f>IF($A132="","",SUMIF($A$8:$A$251,$A132&amp;"*",U$8:U$251))</f>
        <v/>
      </c>
      <c r="I132" s="125">
        <f>IF($A132="","",SUMIF($A$8:$A$251,$A132&amp;"*",V$8:V$251))</f>
        <v/>
      </c>
      <c r="K132" s="124">
        <f>IF($A132="",0,SUMIFS(SDDK!$C$8:$C$251,SDDK!$A$8:$A$251,$A132))</f>
        <v/>
      </c>
      <c r="L132" s="124">
        <f>IF($A132="",0,SUMIFS(SDDK!$D$8:$D$251,SDDK!$A$8:$A$251,$A132))</f>
        <v/>
      </c>
      <c r="M132" s="124">
        <f>IF($A132="",0,SUMIFS(NKC!$H$7:$H$3006,NKC!$F$7:$F$3006,$A132,NKC!$B$7:$B$3006,"&lt;"&amp;TU_NGAY))</f>
        <v/>
      </c>
      <c r="N132" s="124">
        <f>IF($A132="",0,SUMIFS(NKC!$H$7:$H$3006,NKC!$G$7:$G$3006,$A132,NKC!$B$7:$B$3006,"&lt;"&amp;TU_NGAY))</f>
        <v/>
      </c>
      <c r="O132" s="124">
        <f>IF($A132="",0,SUMIFS(NKC!$H$7:$H$3006,NKC!$F$7:$F$3006,$A132,NKC!$B$7:$B$3006,"&gt;="&amp;TU_NGAY,NKC!$B$7:$B$3006,"&lt;="&amp;DEN_NGAY))</f>
        <v/>
      </c>
      <c r="P132" s="124">
        <f>IF($A132="",0,SUMIFS(NKC!$H$7:$H$3006,NKC!$G$7:$G$3006,$A132,NKC!$B$7:$B$3006,"&gt;="&amp;TU_NGAY,NKC!$B$7:$B$3006,"&lt;="&amp;DEN_NGAY))</f>
        <v/>
      </c>
      <c r="Q132" s="124">
        <f>K132-L132+M132-N132</f>
        <v/>
      </c>
      <c r="R132" s="124">
        <f>MAX(Q132,0)</f>
        <v/>
      </c>
      <c r="S132" s="124">
        <f>MAX(-Q132,0)</f>
        <v/>
      </c>
      <c r="T132" s="124">
        <f>Q132+O132-P132</f>
        <v/>
      </c>
      <c r="U132" s="124">
        <f>MAX(T132,0)</f>
        <v/>
      </c>
      <c r="V132" s="124">
        <f>MAX(-T132,0)</f>
        <v/>
      </c>
    </row>
    <row r="133" ht="15" customHeight="1" s="78">
      <c r="A133" s="96" t="inlineStr">
        <is>
          <t>41112</t>
        </is>
      </c>
      <c r="B133" s="97" t="inlineStr">
        <is>
          <t>Cổ phiếu ưu đãi</t>
        </is>
      </c>
      <c r="C133" s="122" t="n">
        <v>3</v>
      </c>
      <c r="D133" s="125">
        <f>IF($A133="","",SUMIF($A$8:$A$251,$A133&amp;"*",R$8:R$251))</f>
        <v/>
      </c>
      <c r="E133" s="125">
        <f>IF($A133="","",SUMIF($A$8:$A$251,$A133&amp;"*",S$8:S$251))</f>
        <v/>
      </c>
      <c r="F133" s="125">
        <f>IF($A133="","",SUMIF($A$8:$A$251,$A133&amp;"*",O$8:O$251))</f>
        <v/>
      </c>
      <c r="G133" s="125">
        <f>IF($A133="","",SUMIF($A$8:$A$251,$A133&amp;"*",P$8:P$251))</f>
        <v/>
      </c>
      <c r="H133" s="125">
        <f>IF($A133="","",SUMIF($A$8:$A$251,$A133&amp;"*",U$8:U$251))</f>
        <v/>
      </c>
      <c r="I133" s="125">
        <f>IF($A133="","",SUMIF($A$8:$A$251,$A133&amp;"*",V$8:V$251))</f>
        <v/>
      </c>
      <c r="K133" s="124">
        <f>IF($A133="",0,SUMIFS(SDDK!$C$8:$C$251,SDDK!$A$8:$A$251,$A133))</f>
        <v/>
      </c>
      <c r="L133" s="124">
        <f>IF($A133="",0,SUMIFS(SDDK!$D$8:$D$251,SDDK!$A$8:$A$251,$A133))</f>
        <v/>
      </c>
      <c r="M133" s="124">
        <f>IF($A133="",0,SUMIFS(NKC!$H$7:$H$3006,NKC!$F$7:$F$3006,$A133,NKC!$B$7:$B$3006,"&lt;"&amp;TU_NGAY))</f>
        <v/>
      </c>
      <c r="N133" s="124">
        <f>IF($A133="",0,SUMIFS(NKC!$H$7:$H$3006,NKC!$G$7:$G$3006,$A133,NKC!$B$7:$B$3006,"&lt;"&amp;TU_NGAY))</f>
        <v/>
      </c>
      <c r="O133" s="124">
        <f>IF($A133="",0,SUMIFS(NKC!$H$7:$H$3006,NKC!$F$7:$F$3006,$A133,NKC!$B$7:$B$3006,"&gt;="&amp;TU_NGAY,NKC!$B$7:$B$3006,"&lt;="&amp;DEN_NGAY))</f>
        <v/>
      </c>
      <c r="P133" s="124">
        <f>IF($A133="",0,SUMIFS(NKC!$H$7:$H$3006,NKC!$G$7:$G$3006,$A133,NKC!$B$7:$B$3006,"&gt;="&amp;TU_NGAY,NKC!$B$7:$B$3006,"&lt;="&amp;DEN_NGAY))</f>
        <v/>
      </c>
      <c r="Q133" s="124">
        <f>K133-L133+M133-N133</f>
        <v/>
      </c>
      <c r="R133" s="124">
        <f>MAX(Q133,0)</f>
        <v/>
      </c>
      <c r="S133" s="124">
        <f>MAX(-Q133,0)</f>
        <v/>
      </c>
      <c r="T133" s="124">
        <f>Q133+O133-P133</f>
        <v/>
      </c>
      <c r="U133" s="124">
        <f>MAX(T133,0)</f>
        <v/>
      </c>
      <c r="V133" s="124">
        <f>MAX(-T133,0)</f>
        <v/>
      </c>
    </row>
    <row r="134" ht="15" customHeight="1" s="78">
      <c r="A134" s="96" t="inlineStr">
        <is>
          <t>4112</t>
        </is>
      </c>
      <c r="B134" s="97" t="inlineStr">
        <is>
          <t>Thặng dư vốn</t>
        </is>
      </c>
      <c r="C134" s="122" t="n">
        <v>2</v>
      </c>
      <c r="D134" s="125">
        <f>IF($A134="","",SUMIF($A$8:$A$251,$A134&amp;"*",R$8:R$251))</f>
        <v/>
      </c>
      <c r="E134" s="125">
        <f>IF($A134="","",SUMIF($A$8:$A$251,$A134&amp;"*",S$8:S$251))</f>
        <v/>
      </c>
      <c r="F134" s="125">
        <f>IF($A134="","",SUMIF($A$8:$A$251,$A134&amp;"*",O$8:O$251))</f>
        <v/>
      </c>
      <c r="G134" s="125">
        <f>IF($A134="","",SUMIF($A$8:$A$251,$A134&amp;"*",P$8:P$251))</f>
        <v/>
      </c>
      <c r="H134" s="125">
        <f>IF($A134="","",SUMIF($A$8:$A$251,$A134&amp;"*",U$8:U$251))</f>
        <v/>
      </c>
      <c r="I134" s="125">
        <f>IF($A134="","",SUMIF($A$8:$A$251,$A134&amp;"*",V$8:V$251))</f>
        <v/>
      </c>
      <c r="K134" s="124">
        <f>IF($A134="",0,SUMIFS(SDDK!$C$8:$C$251,SDDK!$A$8:$A$251,$A134))</f>
        <v/>
      </c>
      <c r="L134" s="124">
        <f>IF($A134="",0,SUMIFS(SDDK!$D$8:$D$251,SDDK!$A$8:$A$251,$A134))</f>
        <v/>
      </c>
      <c r="M134" s="124">
        <f>IF($A134="",0,SUMIFS(NKC!$H$7:$H$3006,NKC!$F$7:$F$3006,$A134,NKC!$B$7:$B$3006,"&lt;"&amp;TU_NGAY))</f>
        <v/>
      </c>
      <c r="N134" s="124">
        <f>IF($A134="",0,SUMIFS(NKC!$H$7:$H$3006,NKC!$G$7:$G$3006,$A134,NKC!$B$7:$B$3006,"&lt;"&amp;TU_NGAY))</f>
        <v/>
      </c>
      <c r="O134" s="124">
        <f>IF($A134="",0,SUMIFS(NKC!$H$7:$H$3006,NKC!$F$7:$F$3006,$A134,NKC!$B$7:$B$3006,"&gt;="&amp;TU_NGAY,NKC!$B$7:$B$3006,"&lt;="&amp;DEN_NGAY))</f>
        <v/>
      </c>
      <c r="P134" s="124">
        <f>IF($A134="",0,SUMIFS(NKC!$H$7:$H$3006,NKC!$G$7:$G$3006,$A134,NKC!$B$7:$B$3006,"&gt;="&amp;TU_NGAY,NKC!$B$7:$B$3006,"&lt;="&amp;DEN_NGAY))</f>
        <v/>
      </c>
      <c r="Q134" s="124">
        <f>K134-L134+M134-N134</f>
        <v/>
      </c>
      <c r="R134" s="124">
        <f>MAX(Q134,0)</f>
        <v/>
      </c>
      <c r="S134" s="124">
        <f>MAX(-Q134,0)</f>
        <v/>
      </c>
      <c r="T134" s="124">
        <f>Q134+O134-P134</f>
        <v/>
      </c>
      <c r="U134" s="124">
        <f>MAX(T134,0)</f>
        <v/>
      </c>
      <c r="V134" s="124">
        <f>MAX(-T134,0)</f>
        <v/>
      </c>
    </row>
    <row r="135" ht="15" customHeight="1" s="78">
      <c r="A135" s="96" t="inlineStr">
        <is>
          <t>4113</t>
        </is>
      </c>
      <c r="B135" s="97" t="inlineStr">
        <is>
          <t>Quyền chọn chuyển đổi trái phiếu</t>
        </is>
      </c>
      <c r="C135" s="122" t="n">
        <v>2</v>
      </c>
      <c r="D135" s="125">
        <f>IF($A135="","",SUMIF($A$8:$A$251,$A135&amp;"*",R$8:R$251))</f>
        <v/>
      </c>
      <c r="E135" s="125">
        <f>IF($A135="","",SUMIF($A$8:$A$251,$A135&amp;"*",S$8:S$251))</f>
        <v/>
      </c>
      <c r="F135" s="125">
        <f>IF($A135="","",SUMIF($A$8:$A$251,$A135&amp;"*",O$8:O$251))</f>
        <v/>
      </c>
      <c r="G135" s="125">
        <f>IF($A135="","",SUMIF($A$8:$A$251,$A135&amp;"*",P$8:P$251))</f>
        <v/>
      </c>
      <c r="H135" s="125">
        <f>IF($A135="","",SUMIF($A$8:$A$251,$A135&amp;"*",U$8:U$251))</f>
        <v/>
      </c>
      <c r="I135" s="125">
        <f>IF($A135="","",SUMIF($A$8:$A$251,$A135&amp;"*",V$8:V$251))</f>
        <v/>
      </c>
      <c r="K135" s="124">
        <f>IF($A135="",0,SUMIFS(SDDK!$C$8:$C$251,SDDK!$A$8:$A$251,$A135))</f>
        <v/>
      </c>
      <c r="L135" s="124">
        <f>IF($A135="",0,SUMIFS(SDDK!$D$8:$D$251,SDDK!$A$8:$A$251,$A135))</f>
        <v/>
      </c>
      <c r="M135" s="124">
        <f>IF($A135="",0,SUMIFS(NKC!$H$7:$H$3006,NKC!$F$7:$F$3006,$A135,NKC!$B$7:$B$3006,"&lt;"&amp;TU_NGAY))</f>
        <v/>
      </c>
      <c r="N135" s="124">
        <f>IF($A135="",0,SUMIFS(NKC!$H$7:$H$3006,NKC!$G$7:$G$3006,$A135,NKC!$B$7:$B$3006,"&lt;"&amp;TU_NGAY))</f>
        <v/>
      </c>
      <c r="O135" s="124">
        <f>IF($A135="",0,SUMIFS(NKC!$H$7:$H$3006,NKC!$F$7:$F$3006,$A135,NKC!$B$7:$B$3006,"&gt;="&amp;TU_NGAY,NKC!$B$7:$B$3006,"&lt;="&amp;DEN_NGAY))</f>
        <v/>
      </c>
      <c r="P135" s="124">
        <f>IF($A135="",0,SUMIFS(NKC!$H$7:$H$3006,NKC!$G$7:$G$3006,$A135,NKC!$B$7:$B$3006,"&gt;="&amp;TU_NGAY,NKC!$B$7:$B$3006,"&lt;="&amp;DEN_NGAY))</f>
        <v/>
      </c>
      <c r="Q135" s="124">
        <f>K135-L135+M135-N135</f>
        <v/>
      </c>
      <c r="R135" s="124">
        <f>MAX(Q135,0)</f>
        <v/>
      </c>
      <c r="S135" s="124">
        <f>MAX(-Q135,0)</f>
        <v/>
      </c>
      <c r="T135" s="124">
        <f>Q135+O135-P135</f>
        <v/>
      </c>
      <c r="U135" s="124">
        <f>MAX(T135,0)</f>
        <v/>
      </c>
      <c r="V135" s="124">
        <f>MAX(-T135,0)</f>
        <v/>
      </c>
    </row>
    <row r="136" ht="15" customHeight="1" s="78">
      <c r="A136" s="96" t="inlineStr">
        <is>
          <t>4118</t>
        </is>
      </c>
      <c r="B136" s="97" t="inlineStr">
        <is>
          <t>Vốn khác</t>
        </is>
      </c>
      <c r="C136" s="122" t="n">
        <v>2</v>
      </c>
      <c r="D136" s="125">
        <f>IF($A136="","",SUMIF($A$8:$A$251,$A136&amp;"*",R$8:R$251))</f>
        <v/>
      </c>
      <c r="E136" s="125">
        <f>IF($A136="","",SUMIF($A$8:$A$251,$A136&amp;"*",S$8:S$251))</f>
        <v/>
      </c>
      <c r="F136" s="125">
        <f>IF($A136="","",SUMIF($A$8:$A$251,$A136&amp;"*",O$8:O$251))</f>
        <v/>
      </c>
      <c r="G136" s="125">
        <f>IF($A136="","",SUMIF($A$8:$A$251,$A136&amp;"*",P$8:P$251))</f>
        <v/>
      </c>
      <c r="H136" s="125">
        <f>IF($A136="","",SUMIF($A$8:$A$251,$A136&amp;"*",U$8:U$251))</f>
        <v/>
      </c>
      <c r="I136" s="125">
        <f>IF($A136="","",SUMIF($A$8:$A$251,$A136&amp;"*",V$8:V$251))</f>
        <v/>
      </c>
      <c r="K136" s="124">
        <f>IF($A136="",0,SUMIFS(SDDK!$C$8:$C$251,SDDK!$A$8:$A$251,$A136))</f>
        <v/>
      </c>
      <c r="L136" s="124">
        <f>IF($A136="",0,SUMIFS(SDDK!$D$8:$D$251,SDDK!$A$8:$A$251,$A136))</f>
        <v/>
      </c>
      <c r="M136" s="124">
        <f>IF($A136="",0,SUMIFS(NKC!$H$7:$H$3006,NKC!$F$7:$F$3006,$A136,NKC!$B$7:$B$3006,"&lt;"&amp;TU_NGAY))</f>
        <v/>
      </c>
      <c r="N136" s="124">
        <f>IF($A136="",0,SUMIFS(NKC!$H$7:$H$3006,NKC!$G$7:$G$3006,$A136,NKC!$B$7:$B$3006,"&lt;"&amp;TU_NGAY))</f>
        <v/>
      </c>
      <c r="O136" s="124">
        <f>IF($A136="",0,SUMIFS(NKC!$H$7:$H$3006,NKC!$F$7:$F$3006,$A136,NKC!$B$7:$B$3006,"&gt;="&amp;TU_NGAY,NKC!$B$7:$B$3006,"&lt;="&amp;DEN_NGAY))</f>
        <v/>
      </c>
      <c r="P136" s="124">
        <f>IF($A136="",0,SUMIFS(NKC!$H$7:$H$3006,NKC!$G$7:$G$3006,$A136,NKC!$B$7:$B$3006,"&gt;="&amp;TU_NGAY,NKC!$B$7:$B$3006,"&lt;="&amp;DEN_NGAY))</f>
        <v/>
      </c>
      <c r="Q136" s="124">
        <f>K136-L136+M136-N136</f>
        <v/>
      </c>
      <c r="R136" s="124">
        <f>MAX(Q136,0)</f>
        <v/>
      </c>
      <c r="S136" s="124">
        <f>MAX(-Q136,0)</f>
        <v/>
      </c>
      <c r="T136" s="124">
        <f>Q136+O136-P136</f>
        <v/>
      </c>
      <c r="U136" s="124">
        <f>MAX(T136,0)</f>
        <v/>
      </c>
      <c r="V136" s="124">
        <f>MAX(-T136,0)</f>
        <v/>
      </c>
    </row>
    <row r="137" ht="15" customHeight="1" s="78">
      <c r="A137" s="93" t="inlineStr">
        <is>
          <t>412</t>
        </is>
      </c>
      <c r="B137" s="94" t="inlineStr">
        <is>
          <t>Chênh lệch đánh giá lại tài sản</t>
        </is>
      </c>
      <c r="C137" s="122" t="n">
        <v>1</v>
      </c>
      <c r="D137" s="123">
        <f>IF($A137="","",SUMIF($A$8:$A$251,$A137&amp;"*",R$8:R$251))</f>
        <v/>
      </c>
      <c r="E137" s="123">
        <f>IF($A137="","",SUMIF($A$8:$A$251,$A137&amp;"*",S$8:S$251))</f>
        <v/>
      </c>
      <c r="F137" s="123">
        <f>IF($A137="","",SUMIF($A$8:$A$251,$A137&amp;"*",O$8:O$251))</f>
        <v/>
      </c>
      <c r="G137" s="123">
        <f>IF($A137="","",SUMIF($A$8:$A$251,$A137&amp;"*",P$8:P$251))</f>
        <v/>
      </c>
      <c r="H137" s="123">
        <f>IF($A137="","",SUMIF($A$8:$A$251,$A137&amp;"*",U$8:U$251))</f>
        <v/>
      </c>
      <c r="I137" s="123">
        <f>IF($A137="","",SUMIF($A$8:$A$251,$A137&amp;"*",V$8:V$251))</f>
        <v/>
      </c>
      <c r="K137" s="124">
        <f>IF($A137="",0,SUMIFS(SDDK!$C$8:$C$251,SDDK!$A$8:$A$251,$A137))</f>
        <v/>
      </c>
      <c r="L137" s="124">
        <f>IF($A137="",0,SUMIFS(SDDK!$D$8:$D$251,SDDK!$A$8:$A$251,$A137))</f>
        <v/>
      </c>
      <c r="M137" s="124">
        <f>IF($A137="",0,SUMIFS(NKC!$H$7:$H$3006,NKC!$F$7:$F$3006,$A137,NKC!$B$7:$B$3006,"&lt;"&amp;TU_NGAY))</f>
        <v/>
      </c>
      <c r="N137" s="124">
        <f>IF($A137="",0,SUMIFS(NKC!$H$7:$H$3006,NKC!$G$7:$G$3006,$A137,NKC!$B$7:$B$3006,"&lt;"&amp;TU_NGAY))</f>
        <v/>
      </c>
      <c r="O137" s="124">
        <f>IF($A137="",0,SUMIFS(NKC!$H$7:$H$3006,NKC!$F$7:$F$3006,$A137,NKC!$B$7:$B$3006,"&gt;="&amp;TU_NGAY,NKC!$B$7:$B$3006,"&lt;="&amp;DEN_NGAY))</f>
        <v/>
      </c>
      <c r="P137" s="124">
        <f>IF($A137="",0,SUMIFS(NKC!$H$7:$H$3006,NKC!$G$7:$G$3006,$A137,NKC!$B$7:$B$3006,"&gt;="&amp;TU_NGAY,NKC!$B$7:$B$3006,"&lt;="&amp;DEN_NGAY))</f>
        <v/>
      </c>
      <c r="Q137" s="124">
        <f>K137-L137+M137-N137</f>
        <v/>
      </c>
      <c r="R137" s="124">
        <f>MAX(Q137,0)</f>
        <v/>
      </c>
      <c r="S137" s="124">
        <f>MAX(-Q137,0)</f>
        <v/>
      </c>
      <c r="T137" s="124">
        <f>Q137+O137-P137</f>
        <v/>
      </c>
      <c r="U137" s="124">
        <f>MAX(T137,0)</f>
        <v/>
      </c>
      <c r="V137" s="124">
        <f>MAX(-T137,0)</f>
        <v/>
      </c>
    </row>
    <row r="138" ht="15" customHeight="1" s="78">
      <c r="A138" s="93" t="inlineStr">
        <is>
          <t>413</t>
        </is>
      </c>
      <c r="B138" s="94" t="inlineStr">
        <is>
          <t>Chênh lệch tỷ giá hối đoái</t>
        </is>
      </c>
      <c r="C138" s="122" t="n">
        <v>1</v>
      </c>
      <c r="D138" s="123">
        <f>IF($A138="","",SUMIF($A$8:$A$251,$A138&amp;"*",R$8:R$251))</f>
        <v/>
      </c>
      <c r="E138" s="123">
        <f>IF($A138="","",SUMIF($A$8:$A$251,$A138&amp;"*",S$8:S$251))</f>
        <v/>
      </c>
      <c r="F138" s="123">
        <f>IF($A138="","",SUMIF($A$8:$A$251,$A138&amp;"*",O$8:O$251))</f>
        <v/>
      </c>
      <c r="G138" s="123">
        <f>IF($A138="","",SUMIF($A$8:$A$251,$A138&amp;"*",P$8:P$251))</f>
        <v/>
      </c>
      <c r="H138" s="123">
        <f>IF($A138="","",SUMIF($A$8:$A$251,$A138&amp;"*",U$8:U$251))</f>
        <v/>
      </c>
      <c r="I138" s="123">
        <f>IF($A138="","",SUMIF($A$8:$A$251,$A138&amp;"*",V$8:V$251))</f>
        <v/>
      </c>
      <c r="K138" s="124">
        <f>IF($A138="",0,SUMIFS(SDDK!$C$8:$C$251,SDDK!$A$8:$A$251,$A138))</f>
        <v/>
      </c>
      <c r="L138" s="124">
        <f>IF($A138="",0,SUMIFS(SDDK!$D$8:$D$251,SDDK!$A$8:$A$251,$A138))</f>
        <v/>
      </c>
      <c r="M138" s="124">
        <f>IF($A138="",0,SUMIFS(NKC!$H$7:$H$3006,NKC!$F$7:$F$3006,$A138,NKC!$B$7:$B$3006,"&lt;"&amp;TU_NGAY))</f>
        <v/>
      </c>
      <c r="N138" s="124">
        <f>IF($A138="",0,SUMIFS(NKC!$H$7:$H$3006,NKC!$G$7:$G$3006,$A138,NKC!$B$7:$B$3006,"&lt;"&amp;TU_NGAY))</f>
        <v/>
      </c>
      <c r="O138" s="124">
        <f>IF($A138="",0,SUMIFS(NKC!$H$7:$H$3006,NKC!$F$7:$F$3006,$A138,NKC!$B$7:$B$3006,"&gt;="&amp;TU_NGAY,NKC!$B$7:$B$3006,"&lt;="&amp;DEN_NGAY))</f>
        <v/>
      </c>
      <c r="P138" s="124">
        <f>IF($A138="",0,SUMIFS(NKC!$H$7:$H$3006,NKC!$G$7:$G$3006,$A138,NKC!$B$7:$B$3006,"&gt;="&amp;TU_NGAY,NKC!$B$7:$B$3006,"&lt;="&amp;DEN_NGAY))</f>
        <v/>
      </c>
      <c r="Q138" s="124">
        <f>K138-L138+M138-N138</f>
        <v/>
      </c>
      <c r="R138" s="124">
        <f>MAX(Q138,0)</f>
        <v/>
      </c>
      <c r="S138" s="124">
        <f>MAX(-Q138,0)</f>
        <v/>
      </c>
      <c r="T138" s="124">
        <f>Q138+O138-P138</f>
        <v/>
      </c>
      <c r="U138" s="124">
        <f>MAX(T138,0)</f>
        <v/>
      </c>
      <c r="V138" s="124">
        <f>MAX(-T138,0)</f>
        <v/>
      </c>
    </row>
    <row r="139" ht="15" customHeight="1" s="78">
      <c r="A139" s="93" t="inlineStr">
        <is>
          <t>414</t>
        </is>
      </c>
      <c r="B139" s="94" t="inlineStr">
        <is>
          <t>Quỹ đầu tư phát triển</t>
        </is>
      </c>
      <c r="C139" s="122" t="n">
        <v>1</v>
      </c>
      <c r="D139" s="123">
        <f>IF($A139="","",SUMIF($A$8:$A$251,$A139&amp;"*",R$8:R$251))</f>
        <v/>
      </c>
      <c r="E139" s="123">
        <f>IF($A139="","",SUMIF($A$8:$A$251,$A139&amp;"*",S$8:S$251))</f>
        <v/>
      </c>
      <c r="F139" s="123">
        <f>IF($A139="","",SUMIF($A$8:$A$251,$A139&amp;"*",O$8:O$251))</f>
        <v/>
      </c>
      <c r="G139" s="123">
        <f>IF($A139="","",SUMIF($A$8:$A$251,$A139&amp;"*",P$8:P$251))</f>
        <v/>
      </c>
      <c r="H139" s="123">
        <f>IF($A139="","",SUMIF($A$8:$A$251,$A139&amp;"*",U$8:U$251))</f>
        <v/>
      </c>
      <c r="I139" s="123">
        <f>IF($A139="","",SUMIF($A$8:$A$251,$A139&amp;"*",V$8:V$251))</f>
        <v/>
      </c>
      <c r="K139" s="124">
        <f>IF($A139="",0,SUMIFS(SDDK!$C$8:$C$251,SDDK!$A$8:$A$251,$A139))</f>
        <v/>
      </c>
      <c r="L139" s="124">
        <f>IF($A139="",0,SUMIFS(SDDK!$D$8:$D$251,SDDK!$A$8:$A$251,$A139))</f>
        <v/>
      </c>
      <c r="M139" s="124">
        <f>IF($A139="",0,SUMIFS(NKC!$H$7:$H$3006,NKC!$F$7:$F$3006,$A139,NKC!$B$7:$B$3006,"&lt;"&amp;TU_NGAY))</f>
        <v/>
      </c>
      <c r="N139" s="124">
        <f>IF($A139="",0,SUMIFS(NKC!$H$7:$H$3006,NKC!$G$7:$G$3006,$A139,NKC!$B$7:$B$3006,"&lt;"&amp;TU_NGAY))</f>
        <v/>
      </c>
      <c r="O139" s="124">
        <f>IF($A139="",0,SUMIFS(NKC!$H$7:$H$3006,NKC!$F$7:$F$3006,$A139,NKC!$B$7:$B$3006,"&gt;="&amp;TU_NGAY,NKC!$B$7:$B$3006,"&lt;="&amp;DEN_NGAY))</f>
        <v/>
      </c>
      <c r="P139" s="124">
        <f>IF($A139="",0,SUMIFS(NKC!$H$7:$H$3006,NKC!$G$7:$G$3006,$A139,NKC!$B$7:$B$3006,"&gt;="&amp;TU_NGAY,NKC!$B$7:$B$3006,"&lt;="&amp;DEN_NGAY))</f>
        <v/>
      </c>
      <c r="Q139" s="124">
        <f>K139-L139+M139-N139</f>
        <v/>
      </c>
      <c r="R139" s="124">
        <f>MAX(Q139,0)</f>
        <v/>
      </c>
      <c r="S139" s="124">
        <f>MAX(-Q139,0)</f>
        <v/>
      </c>
      <c r="T139" s="124">
        <f>Q139+O139-P139</f>
        <v/>
      </c>
      <c r="U139" s="124">
        <f>MAX(T139,0)</f>
        <v/>
      </c>
      <c r="V139" s="124">
        <f>MAX(-T139,0)</f>
        <v/>
      </c>
    </row>
    <row r="140" ht="15" customHeight="1" s="78">
      <c r="A140" s="93" t="inlineStr">
        <is>
          <t>418</t>
        </is>
      </c>
      <c r="B140" s="94" t="inlineStr">
        <is>
          <t>Các quỹ khác thuộc vốn chủ sở hữu</t>
        </is>
      </c>
      <c r="C140" s="122" t="n">
        <v>1</v>
      </c>
      <c r="D140" s="123">
        <f>IF($A140="","",SUMIF($A$8:$A$251,$A140&amp;"*",R$8:R$251))</f>
        <v/>
      </c>
      <c r="E140" s="123">
        <f>IF($A140="","",SUMIF($A$8:$A$251,$A140&amp;"*",S$8:S$251))</f>
        <v/>
      </c>
      <c r="F140" s="123">
        <f>IF($A140="","",SUMIF($A$8:$A$251,$A140&amp;"*",O$8:O$251))</f>
        <v/>
      </c>
      <c r="G140" s="123">
        <f>IF($A140="","",SUMIF($A$8:$A$251,$A140&amp;"*",P$8:P$251))</f>
        <v/>
      </c>
      <c r="H140" s="123">
        <f>IF($A140="","",SUMIF($A$8:$A$251,$A140&amp;"*",U$8:U$251))</f>
        <v/>
      </c>
      <c r="I140" s="123">
        <f>IF($A140="","",SUMIF($A$8:$A$251,$A140&amp;"*",V$8:V$251))</f>
        <v/>
      </c>
      <c r="K140" s="124">
        <f>IF($A140="",0,SUMIFS(SDDK!$C$8:$C$251,SDDK!$A$8:$A$251,$A140))</f>
        <v/>
      </c>
      <c r="L140" s="124">
        <f>IF($A140="",0,SUMIFS(SDDK!$D$8:$D$251,SDDK!$A$8:$A$251,$A140))</f>
        <v/>
      </c>
      <c r="M140" s="124">
        <f>IF($A140="",0,SUMIFS(NKC!$H$7:$H$3006,NKC!$F$7:$F$3006,$A140,NKC!$B$7:$B$3006,"&lt;"&amp;TU_NGAY))</f>
        <v/>
      </c>
      <c r="N140" s="124">
        <f>IF($A140="",0,SUMIFS(NKC!$H$7:$H$3006,NKC!$G$7:$G$3006,$A140,NKC!$B$7:$B$3006,"&lt;"&amp;TU_NGAY))</f>
        <v/>
      </c>
      <c r="O140" s="124">
        <f>IF($A140="",0,SUMIFS(NKC!$H$7:$H$3006,NKC!$F$7:$F$3006,$A140,NKC!$B$7:$B$3006,"&gt;="&amp;TU_NGAY,NKC!$B$7:$B$3006,"&lt;="&amp;DEN_NGAY))</f>
        <v/>
      </c>
      <c r="P140" s="124">
        <f>IF($A140="",0,SUMIFS(NKC!$H$7:$H$3006,NKC!$G$7:$G$3006,$A140,NKC!$B$7:$B$3006,"&gt;="&amp;TU_NGAY,NKC!$B$7:$B$3006,"&lt;="&amp;DEN_NGAY))</f>
        <v/>
      </c>
      <c r="Q140" s="124">
        <f>K140-L140+M140-N140</f>
        <v/>
      </c>
      <c r="R140" s="124">
        <f>MAX(Q140,0)</f>
        <v/>
      </c>
      <c r="S140" s="124">
        <f>MAX(-Q140,0)</f>
        <v/>
      </c>
      <c r="T140" s="124">
        <f>Q140+O140-P140</f>
        <v/>
      </c>
      <c r="U140" s="124">
        <f>MAX(T140,0)</f>
        <v/>
      </c>
      <c r="V140" s="124">
        <f>MAX(-T140,0)</f>
        <v/>
      </c>
    </row>
    <row r="141" ht="15" customHeight="1" s="78">
      <c r="A141" s="93" t="inlineStr">
        <is>
          <t>419</t>
        </is>
      </c>
      <c r="B141" s="94" t="inlineStr">
        <is>
          <t>Cổ phiếu mua lại của chính mình</t>
        </is>
      </c>
      <c r="C141" s="122" t="n">
        <v>1</v>
      </c>
      <c r="D141" s="123">
        <f>IF($A141="","",SUMIF($A$8:$A$251,$A141&amp;"*",R$8:R$251))</f>
        <v/>
      </c>
      <c r="E141" s="123">
        <f>IF($A141="","",SUMIF($A$8:$A$251,$A141&amp;"*",S$8:S$251))</f>
        <v/>
      </c>
      <c r="F141" s="123">
        <f>IF($A141="","",SUMIF($A$8:$A$251,$A141&amp;"*",O$8:O$251))</f>
        <v/>
      </c>
      <c r="G141" s="123">
        <f>IF($A141="","",SUMIF($A$8:$A$251,$A141&amp;"*",P$8:P$251))</f>
        <v/>
      </c>
      <c r="H141" s="123">
        <f>IF($A141="","",SUMIF($A$8:$A$251,$A141&amp;"*",U$8:U$251))</f>
        <v/>
      </c>
      <c r="I141" s="123">
        <f>IF($A141="","",SUMIF($A$8:$A$251,$A141&amp;"*",V$8:V$251))</f>
        <v/>
      </c>
      <c r="K141" s="124">
        <f>IF($A141="",0,SUMIFS(SDDK!$C$8:$C$251,SDDK!$A$8:$A$251,$A141))</f>
        <v/>
      </c>
      <c r="L141" s="124">
        <f>IF($A141="",0,SUMIFS(SDDK!$D$8:$D$251,SDDK!$A$8:$A$251,$A141))</f>
        <v/>
      </c>
      <c r="M141" s="124">
        <f>IF($A141="",0,SUMIFS(NKC!$H$7:$H$3006,NKC!$F$7:$F$3006,$A141,NKC!$B$7:$B$3006,"&lt;"&amp;TU_NGAY))</f>
        <v/>
      </c>
      <c r="N141" s="124">
        <f>IF($A141="",0,SUMIFS(NKC!$H$7:$H$3006,NKC!$G$7:$G$3006,$A141,NKC!$B$7:$B$3006,"&lt;"&amp;TU_NGAY))</f>
        <v/>
      </c>
      <c r="O141" s="124">
        <f>IF($A141="",0,SUMIFS(NKC!$H$7:$H$3006,NKC!$F$7:$F$3006,$A141,NKC!$B$7:$B$3006,"&gt;="&amp;TU_NGAY,NKC!$B$7:$B$3006,"&lt;="&amp;DEN_NGAY))</f>
        <v/>
      </c>
      <c r="P141" s="124">
        <f>IF($A141="",0,SUMIFS(NKC!$H$7:$H$3006,NKC!$G$7:$G$3006,$A141,NKC!$B$7:$B$3006,"&gt;="&amp;TU_NGAY,NKC!$B$7:$B$3006,"&lt;="&amp;DEN_NGAY))</f>
        <v/>
      </c>
      <c r="Q141" s="124">
        <f>K141-L141+M141-N141</f>
        <v/>
      </c>
      <c r="R141" s="124">
        <f>MAX(Q141,0)</f>
        <v/>
      </c>
      <c r="S141" s="124">
        <f>MAX(-Q141,0)</f>
        <v/>
      </c>
      <c r="T141" s="124">
        <f>Q141+O141-P141</f>
        <v/>
      </c>
      <c r="U141" s="124">
        <f>MAX(T141,0)</f>
        <v/>
      </c>
      <c r="V141" s="124">
        <f>MAX(-T141,0)</f>
        <v/>
      </c>
    </row>
    <row r="142" ht="15" customHeight="1" s="78">
      <c r="A142" s="93" t="inlineStr">
        <is>
          <t>421</t>
        </is>
      </c>
      <c r="B142" s="94" t="inlineStr">
        <is>
          <t>Lợi nhuận sau thuế chưa phân phối</t>
        </is>
      </c>
      <c r="C142" s="122" t="n">
        <v>1</v>
      </c>
      <c r="D142" s="123">
        <f>IF($A142="","",SUMIF($A$8:$A$251,$A142&amp;"*",R$8:R$251))</f>
        <v/>
      </c>
      <c r="E142" s="123">
        <f>IF($A142="","",SUMIF($A$8:$A$251,$A142&amp;"*",S$8:S$251))</f>
        <v/>
      </c>
      <c r="F142" s="123">
        <f>IF($A142="","",SUMIF($A$8:$A$251,$A142&amp;"*",O$8:O$251))</f>
        <v/>
      </c>
      <c r="G142" s="123">
        <f>IF($A142="","",SUMIF($A$8:$A$251,$A142&amp;"*",P$8:P$251))</f>
        <v/>
      </c>
      <c r="H142" s="123">
        <f>IF($A142="","",SUMIF($A$8:$A$251,$A142&amp;"*",U$8:U$251))</f>
        <v/>
      </c>
      <c r="I142" s="123">
        <f>IF($A142="","",SUMIF($A$8:$A$251,$A142&amp;"*",V$8:V$251))</f>
        <v/>
      </c>
      <c r="K142" s="124">
        <f>IF($A142="",0,SUMIFS(SDDK!$C$8:$C$251,SDDK!$A$8:$A$251,$A142))</f>
        <v/>
      </c>
      <c r="L142" s="124">
        <f>IF($A142="",0,SUMIFS(SDDK!$D$8:$D$251,SDDK!$A$8:$A$251,$A142))</f>
        <v/>
      </c>
      <c r="M142" s="124">
        <f>IF($A142="",0,SUMIFS(NKC!$H$7:$H$3006,NKC!$F$7:$F$3006,$A142,NKC!$B$7:$B$3006,"&lt;"&amp;TU_NGAY))</f>
        <v/>
      </c>
      <c r="N142" s="124">
        <f>IF($A142="",0,SUMIFS(NKC!$H$7:$H$3006,NKC!$G$7:$G$3006,$A142,NKC!$B$7:$B$3006,"&lt;"&amp;TU_NGAY))</f>
        <v/>
      </c>
      <c r="O142" s="124">
        <f>IF($A142="",0,SUMIFS(NKC!$H$7:$H$3006,NKC!$F$7:$F$3006,$A142,NKC!$B$7:$B$3006,"&gt;="&amp;TU_NGAY,NKC!$B$7:$B$3006,"&lt;="&amp;DEN_NGAY))</f>
        <v/>
      </c>
      <c r="P142" s="124">
        <f>IF($A142="",0,SUMIFS(NKC!$H$7:$H$3006,NKC!$G$7:$G$3006,$A142,NKC!$B$7:$B$3006,"&gt;="&amp;TU_NGAY,NKC!$B$7:$B$3006,"&lt;="&amp;DEN_NGAY))</f>
        <v/>
      </c>
      <c r="Q142" s="124">
        <f>K142-L142+M142-N142</f>
        <v/>
      </c>
      <c r="R142" s="124">
        <f>MAX(Q142,0)</f>
        <v/>
      </c>
      <c r="S142" s="124">
        <f>MAX(-Q142,0)</f>
        <v/>
      </c>
      <c r="T142" s="124">
        <f>Q142+O142-P142</f>
        <v/>
      </c>
      <c r="U142" s="124">
        <f>MAX(T142,0)</f>
        <v/>
      </c>
      <c r="V142" s="124">
        <f>MAX(-T142,0)</f>
        <v/>
      </c>
    </row>
    <row r="143" ht="25.35" customHeight="1" s="78">
      <c r="A143" s="96" t="inlineStr">
        <is>
          <t>4211</t>
        </is>
      </c>
      <c r="B143" s="97" t="inlineStr">
        <is>
          <t>Lợi nhuận sau thuế chưa phân phối lũy kế đến cuối năm trước</t>
        </is>
      </c>
      <c r="C143" s="122" t="n">
        <v>2</v>
      </c>
      <c r="D143" s="125">
        <f>IF($A143="","",SUMIF($A$8:$A$251,$A143&amp;"*",R$8:R$251))</f>
        <v/>
      </c>
      <c r="E143" s="125">
        <f>IF($A143="","",SUMIF($A$8:$A$251,$A143&amp;"*",S$8:S$251))</f>
        <v/>
      </c>
      <c r="F143" s="125">
        <f>IF($A143="","",SUMIF($A$8:$A$251,$A143&amp;"*",O$8:O$251))</f>
        <v/>
      </c>
      <c r="G143" s="125">
        <f>IF($A143="","",SUMIF($A$8:$A$251,$A143&amp;"*",P$8:P$251))</f>
        <v/>
      </c>
      <c r="H143" s="125">
        <f>IF($A143="","",SUMIF($A$8:$A$251,$A143&amp;"*",U$8:U$251))</f>
        <v/>
      </c>
      <c r="I143" s="125">
        <f>IF($A143="","",SUMIF($A$8:$A$251,$A143&amp;"*",V$8:V$251))</f>
        <v/>
      </c>
      <c r="K143" s="124">
        <f>IF($A143="",0,SUMIFS(SDDK!$C$8:$C$251,SDDK!$A$8:$A$251,$A143))</f>
        <v/>
      </c>
      <c r="L143" s="124">
        <f>IF($A143="",0,SUMIFS(SDDK!$D$8:$D$251,SDDK!$A$8:$A$251,$A143))</f>
        <v/>
      </c>
      <c r="M143" s="124">
        <f>IF($A143="",0,SUMIFS(NKC!$H$7:$H$3006,NKC!$F$7:$F$3006,$A143,NKC!$B$7:$B$3006,"&lt;"&amp;TU_NGAY))</f>
        <v/>
      </c>
      <c r="N143" s="124">
        <f>IF($A143="",0,SUMIFS(NKC!$H$7:$H$3006,NKC!$G$7:$G$3006,$A143,NKC!$B$7:$B$3006,"&lt;"&amp;TU_NGAY))</f>
        <v/>
      </c>
      <c r="O143" s="124">
        <f>IF($A143="",0,SUMIFS(NKC!$H$7:$H$3006,NKC!$F$7:$F$3006,$A143,NKC!$B$7:$B$3006,"&gt;="&amp;TU_NGAY,NKC!$B$7:$B$3006,"&lt;="&amp;DEN_NGAY))</f>
        <v/>
      </c>
      <c r="P143" s="124">
        <f>IF($A143="",0,SUMIFS(NKC!$H$7:$H$3006,NKC!$G$7:$G$3006,$A143,NKC!$B$7:$B$3006,"&gt;="&amp;TU_NGAY,NKC!$B$7:$B$3006,"&lt;="&amp;DEN_NGAY))</f>
        <v/>
      </c>
      <c r="Q143" s="124">
        <f>K143-L143+M143-N143</f>
        <v/>
      </c>
      <c r="R143" s="124">
        <f>MAX(Q143,0)</f>
        <v/>
      </c>
      <c r="S143" s="124">
        <f>MAX(-Q143,0)</f>
        <v/>
      </c>
      <c r="T143" s="124">
        <f>Q143+O143-P143</f>
        <v/>
      </c>
      <c r="U143" s="124">
        <f>MAX(T143,0)</f>
        <v/>
      </c>
      <c r="V143" s="124">
        <f>MAX(-T143,0)</f>
        <v/>
      </c>
    </row>
    <row r="144" ht="15" customHeight="1" s="78">
      <c r="A144" s="96" t="inlineStr">
        <is>
          <t>4212</t>
        </is>
      </c>
      <c r="B144" s="97" t="inlineStr">
        <is>
          <t>Lợi nhuận sau thuế chưa phân phối năm nay</t>
        </is>
      </c>
      <c r="C144" s="122" t="n">
        <v>2</v>
      </c>
      <c r="D144" s="125">
        <f>IF($A144="","",SUMIF($A$8:$A$251,$A144&amp;"*",R$8:R$251))</f>
        <v/>
      </c>
      <c r="E144" s="125">
        <f>IF($A144="","",SUMIF($A$8:$A$251,$A144&amp;"*",S$8:S$251))</f>
        <v/>
      </c>
      <c r="F144" s="125">
        <f>IF($A144="","",SUMIF($A$8:$A$251,$A144&amp;"*",O$8:O$251))</f>
        <v/>
      </c>
      <c r="G144" s="125">
        <f>IF($A144="","",SUMIF($A$8:$A$251,$A144&amp;"*",P$8:P$251))</f>
        <v/>
      </c>
      <c r="H144" s="125">
        <f>IF($A144="","",SUMIF($A$8:$A$251,$A144&amp;"*",U$8:U$251))</f>
        <v/>
      </c>
      <c r="I144" s="125">
        <f>IF($A144="","",SUMIF($A$8:$A$251,$A144&amp;"*",V$8:V$251))</f>
        <v/>
      </c>
      <c r="K144" s="124">
        <f>IF($A144="",0,SUMIFS(SDDK!$C$8:$C$251,SDDK!$A$8:$A$251,$A144))</f>
        <v/>
      </c>
      <c r="L144" s="124">
        <f>IF($A144="",0,SUMIFS(SDDK!$D$8:$D$251,SDDK!$A$8:$A$251,$A144))</f>
        <v/>
      </c>
      <c r="M144" s="124">
        <f>IF($A144="",0,SUMIFS(NKC!$H$7:$H$3006,NKC!$F$7:$F$3006,$A144,NKC!$B$7:$B$3006,"&lt;"&amp;TU_NGAY))</f>
        <v/>
      </c>
      <c r="N144" s="124">
        <f>IF($A144="",0,SUMIFS(NKC!$H$7:$H$3006,NKC!$G$7:$G$3006,$A144,NKC!$B$7:$B$3006,"&lt;"&amp;TU_NGAY))</f>
        <v/>
      </c>
      <c r="O144" s="124">
        <f>IF($A144="",0,SUMIFS(NKC!$H$7:$H$3006,NKC!$F$7:$F$3006,$A144,NKC!$B$7:$B$3006,"&gt;="&amp;TU_NGAY,NKC!$B$7:$B$3006,"&lt;="&amp;DEN_NGAY))</f>
        <v/>
      </c>
      <c r="P144" s="124">
        <f>IF($A144="",0,SUMIFS(NKC!$H$7:$H$3006,NKC!$G$7:$G$3006,$A144,NKC!$B$7:$B$3006,"&gt;="&amp;TU_NGAY,NKC!$B$7:$B$3006,"&lt;="&amp;DEN_NGAY))</f>
        <v/>
      </c>
      <c r="Q144" s="124">
        <f>K144-L144+M144-N144</f>
        <v/>
      </c>
      <c r="R144" s="124">
        <f>MAX(Q144,0)</f>
        <v/>
      </c>
      <c r="S144" s="124">
        <f>MAX(-Q144,0)</f>
        <v/>
      </c>
      <c r="T144" s="124">
        <f>Q144+O144-P144</f>
        <v/>
      </c>
      <c r="U144" s="124">
        <f>MAX(T144,0)</f>
        <v/>
      </c>
      <c r="V144" s="124">
        <f>MAX(-T144,0)</f>
        <v/>
      </c>
    </row>
    <row r="145" ht="15" customHeight="1" s="78">
      <c r="A145" s="93" t="inlineStr">
        <is>
          <t>511</t>
        </is>
      </c>
      <c r="B145" s="94" t="inlineStr">
        <is>
          <t>Doanh thu bán hàng và cung cấp dịch vụ</t>
        </is>
      </c>
      <c r="C145" s="122" t="n">
        <v>1</v>
      </c>
      <c r="D145" s="123">
        <f>IF($A145="","",SUMIF($A$8:$A$251,$A145&amp;"*",R$8:R$251))</f>
        <v/>
      </c>
      <c r="E145" s="123">
        <f>IF($A145="","",SUMIF($A$8:$A$251,$A145&amp;"*",S$8:S$251))</f>
        <v/>
      </c>
      <c r="F145" s="123">
        <f>IF($A145="","",SUMIF($A$8:$A$251,$A145&amp;"*",O$8:O$251))</f>
        <v/>
      </c>
      <c r="G145" s="123">
        <f>IF($A145="","",SUMIF($A$8:$A$251,$A145&amp;"*",P$8:P$251))</f>
        <v/>
      </c>
      <c r="H145" s="123">
        <f>IF($A145="","",SUMIF($A$8:$A$251,$A145&amp;"*",U$8:U$251))</f>
        <v/>
      </c>
      <c r="I145" s="123">
        <f>IF($A145="","",SUMIF($A$8:$A$251,$A145&amp;"*",V$8:V$251))</f>
        <v/>
      </c>
      <c r="K145" s="124">
        <f>IF($A145="",0,SUMIFS(SDDK!$C$8:$C$251,SDDK!$A$8:$A$251,$A145))</f>
        <v/>
      </c>
      <c r="L145" s="124">
        <f>IF($A145="",0,SUMIFS(SDDK!$D$8:$D$251,SDDK!$A$8:$A$251,$A145))</f>
        <v/>
      </c>
      <c r="M145" s="124">
        <f>IF($A145="",0,SUMIFS(NKC!$H$7:$H$3006,NKC!$F$7:$F$3006,$A145,NKC!$B$7:$B$3006,"&lt;"&amp;TU_NGAY))</f>
        <v/>
      </c>
      <c r="N145" s="124">
        <f>IF($A145="",0,SUMIFS(NKC!$H$7:$H$3006,NKC!$G$7:$G$3006,$A145,NKC!$B$7:$B$3006,"&lt;"&amp;TU_NGAY))</f>
        <v/>
      </c>
      <c r="O145" s="124">
        <f>IF($A145="",0,SUMIFS(NKC!$H$7:$H$3006,NKC!$F$7:$F$3006,$A145,NKC!$B$7:$B$3006,"&gt;="&amp;TU_NGAY,NKC!$B$7:$B$3006,"&lt;="&amp;DEN_NGAY))</f>
        <v/>
      </c>
      <c r="P145" s="124">
        <f>IF($A145="",0,SUMIFS(NKC!$H$7:$H$3006,NKC!$G$7:$G$3006,$A145,NKC!$B$7:$B$3006,"&gt;="&amp;TU_NGAY,NKC!$B$7:$B$3006,"&lt;="&amp;DEN_NGAY))</f>
        <v/>
      </c>
      <c r="Q145" s="124">
        <f>K145-L145+M145-N145</f>
        <v/>
      </c>
      <c r="R145" s="124">
        <f>MAX(Q145,0)</f>
        <v/>
      </c>
      <c r="S145" s="124">
        <f>MAX(-Q145,0)</f>
        <v/>
      </c>
      <c r="T145" s="124">
        <f>Q145+O145-P145</f>
        <v/>
      </c>
      <c r="U145" s="124">
        <f>MAX(T145,0)</f>
        <v/>
      </c>
      <c r="V145" s="124">
        <f>MAX(-T145,0)</f>
        <v/>
      </c>
    </row>
    <row r="146" ht="15" customHeight="1" s="78">
      <c r="A146" s="93" t="inlineStr">
        <is>
          <t>515</t>
        </is>
      </c>
      <c r="B146" s="94" t="inlineStr">
        <is>
          <t>Doanh thu hoạt động tài chính</t>
        </is>
      </c>
      <c r="C146" s="122" t="n">
        <v>1</v>
      </c>
      <c r="D146" s="123">
        <f>IF($A146="","",SUMIF($A$8:$A$251,$A146&amp;"*",R$8:R$251))</f>
        <v/>
      </c>
      <c r="E146" s="123">
        <f>IF($A146="","",SUMIF($A$8:$A$251,$A146&amp;"*",S$8:S$251))</f>
        <v/>
      </c>
      <c r="F146" s="123">
        <f>IF($A146="","",SUMIF($A$8:$A$251,$A146&amp;"*",O$8:O$251))</f>
        <v/>
      </c>
      <c r="G146" s="123">
        <f>IF($A146="","",SUMIF($A$8:$A$251,$A146&amp;"*",P$8:P$251))</f>
        <v/>
      </c>
      <c r="H146" s="123">
        <f>IF($A146="","",SUMIF($A$8:$A$251,$A146&amp;"*",U$8:U$251))</f>
        <v/>
      </c>
      <c r="I146" s="123">
        <f>IF($A146="","",SUMIF($A$8:$A$251,$A146&amp;"*",V$8:V$251))</f>
        <v/>
      </c>
      <c r="K146" s="124">
        <f>IF($A146="",0,SUMIFS(SDDK!$C$8:$C$251,SDDK!$A$8:$A$251,$A146))</f>
        <v/>
      </c>
      <c r="L146" s="124">
        <f>IF($A146="",0,SUMIFS(SDDK!$D$8:$D$251,SDDK!$A$8:$A$251,$A146))</f>
        <v/>
      </c>
      <c r="M146" s="124">
        <f>IF($A146="",0,SUMIFS(NKC!$H$7:$H$3006,NKC!$F$7:$F$3006,$A146,NKC!$B$7:$B$3006,"&lt;"&amp;TU_NGAY))</f>
        <v/>
      </c>
      <c r="N146" s="124">
        <f>IF($A146="",0,SUMIFS(NKC!$H$7:$H$3006,NKC!$G$7:$G$3006,$A146,NKC!$B$7:$B$3006,"&lt;"&amp;TU_NGAY))</f>
        <v/>
      </c>
      <c r="O146" s="124">
        <f>IF($A146="",0,SUMIFS(NKC!$H$7:$H$3006,NKC!$F$7:$F$3006,$A146,NKC!$B$7:$B$3006,"&gt;="&amp;TU_NGAY,NKC!$B$7:$B$3006,"&lt;="&amp;DEN_NGAY))</f>
        <v/>
      </c>
      <c r="P146" s="124">
        <f>IF($A146="",0,SUMIFS(NKC!$H$7:$H$3006,NKC!$G$7:$G$3006,$A146,NKC!$B$7:$B$3006,"&gt;="&amp;TU_NGAY,NKC!$B$7:$B$3006,"&lt;="&amp;DEN_NGAY))</f>
        <v/>
      </c>
      <c r="Q146" s="124">
        <f>K146-L146+M146-N146</f>
        <v/>
      </c>
      <c r="R146" s="124">
        <f>MAX(Q146,0)</f>
        <v/>
      </c>
      <c r="S146" s="124">
        <f>MAX(-Q146,0)</f>
        <v/>
      </c>
      <c r="T146" s="124">
        <f>Q146+O146-P146</f>
        <v/>
      </c>
      <c r="U146" s="124">
        <f>MAX(T146,0)</f>
        <v/>
      </c>
      <c r="V146" s="124">
        <f>MAX(-T146,0)</f>
        <v/>
      </c>
    </row>
    <row r="147" ht="15" customHeight="1" s="78">
      <c r="A147" s="93" t="inlineStr">
        <is>
          <t>521</t>
        </is>
      </c>
      <c r="B147" s="94" t="inlineStr">
        <is>
          <t>Các khoản giảm trừ doanh thu</t>
        </is>
      </c>
      <c r="C147" s="122" t="n">
        <v>1</v>
      </c>
      <c r="D147" s="123">
        <f>IF($A147="","",SUMIF($A$8:$A$251,$A147&amp;"*",R$8:R$251))</f>
        <v/>
      </c>
      <c r="E147" s="123">
        <f>IF($A147="","",SUMIF($A$8:$A$251,$A147&amp;"*",S$8:S$251))</f>
        <v/>
      </c>
      <c r="F147" s="123">
        <f>IF($A147="","",SUMIF($A$8:$A$251,$A147&amp;"*",O$8:O$251))</f>
        <v/>
      </c>
      <c r="G147" s="123">
        <f>IF($A147="","",SUMIF($A$8:$A$251,$A147&amp;"*",P$8:P$251))</f>
        <v/>
      </c>
      <c r="H147" s="123">
        <f>IF($A147="","",SUMIF($A$8:$A$251,$A147&amp;"*",U$8:U$251))</f>
        <v/>
      </c>
      <c r="I147" s="123">
        <f>IF($A147="","",SUMIF($A$8:$A$251,$A147&amp;"*",V$8:V$251))</f>
        <v/>
      </c>
      <c r="K147" s="124">
        <f>IF($A147="",0,SUMIFS(SDDK!$C$8:$C$251,SDDK!$A$8:$A$251,$A147))</f>
        <v/>
      </c>
      <c r="L147" s="124">
        <f>IF($A147="",0,SUMIFS(SDDK!$D$8:$D$251,SDDK!$A$8:$A$251,$A147))</f>
        <v/>
      </c>
      <c r="M147" s="124">
        <f>IF($A147="",0,SUMIFS(NKC!$H$7:$H$3006,NKC!$F$7:$F$3006,$A147,NKC!$B$7:$B$3006,"&lt;"&amp;TU_NGAY))</f>
        <v/>
      </c>
      <c r="N147" s="124">
        <f>IF($A147="",0,SUMIFS(NKC!$H$7:$H$3006,NKC!$G$7:$G$3006,$A147,NKC!$B$7:$B$3006,"&lt;"&amp;TU_NGAY))</f>
        <v/>
      </c>
      <c r="O147" s="124">
        <f>IF($A147="",0,SUMIFS(NKC!$H$7:$H$3006,NKC!$F$7:$F$3006,$A147,NKC!$B$7:$B$3006,"&gt;="&amp;TU_NGAY,NKC!$B$7:$B$3006,"&lt;="&amp;DEN_NGAY))</f>
        <v/>
      </c>
      <c r="P147" s="124">
        <f>IF($A147="",0,SUMIFS(NKC!$H$7:$H$3006,NKC!$G$7:$G$3006,$A147,NKC!$B$7:$B$3006,"&gt;="&amp;TU_NGAY,NKC!$B$7:$B$3006,"&lt;="&amp;DEN_NGAY))</f>
        <v/>
      </c>
      <c r="Q147" s="124">
        <f>K147-L147+M147-N147</f>
        <v/>
      </c>
      <c r="R147" s="124">
        <f>MAX(Q147,0)</f>
        <v/>
      </c>
      <c r="S147" s="124">
        <f>MAX(-Q147,0)</f>
        <v/>
      </c>
      <c r="T147" s="124">
        <f>Q147+O147-P147</f>
        <v/>
      </c>
      <c r="U147" s="124">
        <f>MAX(T147,0)</f>
        <v/>
      </c>
      <c r="V147" s="124">
        <f>MAX(-T147,0)</f>
        <v/>
      </c>
    </row>
    <row r="148" ht="15" customHeight="1" s="78">
      <c r="A148" s="93" t="inlineStr">
        <is>
          <t>621</t>
        </is>
      </c>
      <c r="B148" s="94" t="inlineStr">
        <is>
          <t>Chi phí nguyên liệu, vật liệu trực tiếp</t>
        </is>
      </c>
      <c r="C148" s="122" t="n">
        <v>1</v>
      </c>
      <c r="D148" s="123">
        <f>IF($A148="","",SUMIF($A$8:$A$251,$A148&amp;"*",R$8:R$251))</f>
        <v/>
      </c>
      <c r="E148" s="123">
        <f>IF($A148="","",SUMIF($A$8:$A$251,$A148&amp;"*",S$8:S$251))</f>
        <v/>
      </c>
      <c r="F148" s="123">
        <f>IF($A148="","",SUMIF($A$8:$A$251,$A148&amp;"*",O$8:O$251))</f>
        <v/>
      </c>
      <c r="G148" s="123">
        <f>IF($A148="","",SUMIF($A$8:$A$251,$A148&amp;"*",P$8:P$251))</f>
        <v/>
      </c>
      <c r="H148" s="123">
        <f>IF($A148="","",SUMIF($A$8:$A$251,$A148&amp;"*",U$8:U$251))</f>
        <v/>
      </c>
      <c r="I148" s="123">
        <f>IF($A148="","",SUMIF($A$8:$A$251,$A148&amp;"*",V$8:V$251))</f>
        <v/>
      </c>
      <c r="K148" s="124">
        <f>IF($A148="",0,SUMIFS(SDDK!$C$8:$C$251,SDDK!$A$8:$A$251,$A148))</f>
        <v/>
      </c>
      <c r="L148" s="124">
        <f>IF($A148="",0,SUMIFS(SDDK!$D$8:$D$251,SDDK!$A$8:$A$251,$A148))</f>
        <v/>
      </c>
      <c r="M148" s="124">
        <f>IF($A148="",0,SUMIFS(NKC!$H$7:$H$3006,NKC!$F$7:$F$3006,$A148,NKC!$B$7:$B$3006,"&lt;"&amp;TU_NGAY))</f>
        <v/>
      </c>
      <c r="N148" s="124">
        <f>IF($A148="",0,SUMIFS(NKC!$H$7:$H$3006,NKC!$G$7:$G$3006,$A148,NKC!$B$7:$B$3006,"&lt;"&amp;TU_NGAY))</f>
        <v/>
      </c>
      <c r="O148" s="124">
        <f>IF($A148="",0,SUMIFS(NKC!$H$7:$H$3006,NKC!$F$7:$F$3006,$A148,NKC!$B$7:$B$3006,"&gt;="&amp;TU_NGAY,NKC!$B$7:$B$3006,"&lt;="&amp;DEN_NGAY))</f>
        <v/>
      </c>
      <c r="P148" s="124">
        <f>IF($A148="",0,SUMIFS(NKC!$H$7:$H$3006,NKC!$G$7:$G$3006,$A148,NKC!$B$7:$B$3006,"&gt;="&amp;TU_NGAY,NKC!$B$7:$B$3006,"&lt;="&amp;DEN_NGAY))</f>
        <v/>
      </c>
      <c r="Q148" s="124">
        <f>K148-L148+M148-N148</f>
        <v/>
      </c>
      <c r="R148" s="124">
        <f>MAX(Q148,0)</f>
        <v/>
      </c>
      <c r="S148" s="124">
        <f>MAX(-Q148,0)</f>
        <v/>
      </c>
      <c r="T148" s="124">
        <f>Q148+O148-P148</f>
        <v/>
      </c>
      <c r="U148" s="124">
        <f>MAX(T148,0)</f>
        <v/>
      </c>
      <c r="V148" s="124">
        <f>MAX(-T148,0)</f>
        <v/>
      </c>
    </row>
    <row r="149" ht="15" customHeight="1" s="78">
      <c r="A149" s="93" t="inlineStr">
        <is>
          <t>622</t>
        </is>
      </c>
      <c r="B149" s="94" t="inlineStr">
        <is>
          <t>Chi phí nhân công trực tiếp</t>
        </is>
      </c>
      <c r="C149" s="122" t="n">
        <v>1</v>
      </c>
      <c r="D149" s="123">
        <f>IF($A149="","",SUMIF($A$8:$A$251,$A149&amp;"*",R$8:R$251))</f>
        <v/>
      </c>
      <c r="E149" s="123">
        <f>IF($A149="","",SUMIF($A$8:$A$251,$A149&amp;"*",S$8:S$251))</f>
        <v/>
      </c>
      <c r="F149" s="123">
        <f>IF($A149="","",SUMIF($A$8:$A$251,$A149&amp;"*",O$8:O$251))</f>
        <v/>
      </c>
      <c r="G149" s="123">
        <f>IF($A149="","",SUMIF($A$8:$A$251,$A149&amp;"*",P$8:P$251))</f>
        <v/>
      </c>
      <c r="H149" s="123">
        <f>IF($A149="","",SUMIF($A$8:$A$251,$A149&amp;"*",U$8:U$251))</f>
        <v/>
      </c>
      <c r="I149" s="123">
        <f>IF($A149="","",SUMIF($A$8:$A$251,$A149&amp;"*",V$8:V$251))</f>
        <v/>
      </c>
      <c r="K149" s="124">
        <f>IF($A149="",0,SUMIFS(SDDK!$C$8:$C$251,SDDK!$A$8:$A$251,$A149))</f>
        <v/>
      </c>
      <c r="L149" s="124">
        <f>IF($A149="",0,SUMIFS(SDDK!$D$8:$D$251,SDDK!$A$8:$A$251,$A149))</f>
        <v/>
      </c>
      <c r="M149" s="124">
        <f>IF($A149="",0,SUMIFS(NKC!$H$7:$H$3006,NKC!$F$7:$F$3006,$A149,NKC!$B$7:$B$3006,"&lt;"&amp;TU_NGAY))</f>
        <v/>
      </c>
      <c r="N149" s="124">
        <f>IF($A149="",0,SUMIFS(NKC!$H$7:$H$3006,NKC!$G$7:$G$3006,$A149,NKC!$B$7:$B$3006,"&lt;"&amp;TU_NGAY))</f>
        <v/>
      </c>
      <c r="O149" s="124">
        <f>IF($A149="",0,SUMIFS(NKC!$H$7:$H$3006,NKC!$F$7:$F$3006,$A149,NKC!$B$7:$B$3006,"&gt;="&amp;TU_NGAY,NKC!$B$7:$B$3006,"&lt;="&amp;DEN_NGAY))</f>
        <v/>
      </c>
      <c r="P149" s="124">
        <f>IF($A149="",0,SUMIFS(NKC!$H$7:$H$3006,NKC!$G$7:$G$3006,$A149,NKC!$B$7:$B$3006,"&gt;="&amp;TU_NGAY,NKC!$B$7:$B$3006,"&lt;="&amp;DEN_NGAY))</f>
        <v/>
      </c>
      <c r="Q149" s="124">
        <f>K149-L149+M149-N149</f>
        <v/>
      </c>
      <c r="R149" s="124">
        <f>MAX(Q149,0)</f>
        <v/>
      </c>
      <c r="S149" s="124">
        <f>MAX(-Q149,0)</f>
        <v/>
      </c>
      <c r="T149" s="124">
        <f>Q149+O149-P149</f>
        <v/>
      </c>
      <c r="U149" s="124">
        <f>MAX(T149,0)</f>
        <v/>
      </c>
      <c r="V149" s="124">
        <f>MAX(-T149,0)</f>
        <v/>
      </c>
    </row>
    <row r="150" ht="15" customHeight="1" s="78">
      <c r="A150" s="93" t="inlineStr">
        <is>
          <t>623</t>
        </is>
      </c>
      <c r="B150" s="94" t="inlineStr">
        <is>
          <t>Chi phí sử dụng máy thi công</t>
        </is>
      </c>
      <c r="C150" s="122" t="n">
        <v>1</v>
      </c>
      <c r="D150" s="123">
        <f>IF($A150="","",SUMIF($A$8:$A$251,$A150&amp;"*",R$8:R$251))</f>
        <v/>
      </c>
      <c r="E150" s="123">
        <f>IF($A150="","",SUMIF($A$8:$A$251,$A150&amp;"*",S$8:S$251))</f>
        <v/>
      </c>
      <c r="F150" s="123">
        <f>IF($A150="","",SUMIF($A$8:$A$251,$A150&amp;"*",O$8:O$251))</f>
        <v/>
      </c>
      <c r="G150" s="123">
        <f>IF($A150="","",SUMIF($A$8:$A$251,$A150&amp;"*",P$8:P$251))</f>
        <v/>
      </c>
      <c r="H150" s="123">
        <f>IF($A150="","",SUMIF($A$8:$A$251,$A150&amp;"*",U$8:U$251))</f>
        <v/>
      </c>
      <c r="I150" s="123">
        <f>IF($A150="","",SUMIF($A$8:$A$251,$A150&amp;"*",V$8:V$251))</f>
        <v/>
      </c>
      <c r="K150" s="124">
        <f>IF($A150="",0,SUMIFS(SDDK!$C$8:$C$251,SDDK!$A$8:$A$251,$A150))</f>
        <v/>
      </c>
      <c r="L150" s="124">
        <f>IF($A150="",0,SUMIFS(SDDK!$D$8:$D$251,SDDK!$A$8:$A$251,$A150))</f>
        <v/>
      </c>
      <c r="M150" s="124">
        <f>IF($A150="",0,SUMIFS(NKC!$H$7:$H$3006,NKC!$F$7:$F$3006,$A150,NKC!$B$7:$B$3006,"&lt;"&amp;TU_NGAY))</f>
        <v/>
      </c>
      <c r="N150" s="124">
        <f>IF($A150="",0,SUMIFS(NKC!$H$7:$H$3006,NKC!$G$7:$G$3006,$A150,NKC!$B$7:$B$3006,"&lt;"&amp;TU_NGAY))</f>
        <v/>
      </c>
      <c r="O150" s="124">
        <f>IF($A150="",0,SUMIFS(NKC!$H$7:$H$3006,NKC!$F$7:$F$3006,$A150,NKC!$B$7:$B$3006,"&gt;="&amp;TU_NGAY,NKC!$B$7:$B$3006,"&lt;="&amp;DEN_NGAY))</f>
        <v/>
      </c>
      <c r="P150" s="124">
        <f>IF($A150="",0,SUMIFS(NKC!$H$7:$H$3006,NKC!$G$7:$G$3006,$A150,NKC!$B$7:$B$3006,"&gt;="&amp;TU_NGAY,NKC!$B$7:$B$3006,"&lt;="&amp;DEN_NGAY))</f>
        <v/>
      </c>
      <c r="Q150" s="124">
        <f>K150-L150+M150-N150</f>
        <v/>
      </c>
      <c r="R150" s="124">
        <f>MAX(Q150,0)</f>
        <v/>
      </c>
      <c r="S150" s="124">
        <f>MAX(-Q150,0)</f>
        <v/>
      </c>
      <c r="T150" s="124">
        <f>Q150+O150-P150</f>
        <v/>
      </c>
      <c r="U150" s="124">
        <f>MAX(T150,0)</f>
        <v/>
      </c>
      <c r="V150" s="124">
        <f>MAX(-T150,0)</f>
        <v/>
      </c>
    </row>
    <row r="151" ht="15" customHeight="1" s="78">
      <c r="A151" s="96" t="inlineStr">
        <is>
          <t>6231</t>
        </is>
      </c>
      <c r="B151" s="97" t="inlineStr">
        <is>
          <t>Chi phí nhân công</t>
        </is>
      </c>
      <c r="C151" s="122" t="n">
        <v>2</v>
      </c>
      <c r="D151" s="125">
        <f>IF($A151="","",SUMIF($A$8:$A$251,$A151&amp;"*",R$8:R$251))</f>
        <v/>
      </c>
      <c r="E151" s="125">
        <f>IF($A151="","",SUMIF($A$8:$A$251,$A151&amp;"*",S$8:S$251))</f>
        <v/>
      </c>
      <c r="F151" s="125">
        <f>IF($A151="","",SUMIF($A$8:$A$251,$A151&amp;"*",O$8:O$251))</f>
        <v/>
      </c>
      <c r="G151" s="125">
        <f>IF($A151="","",SUMIF($A$8:$A$251,$A151&amp;"*",P$8:P$251))</f>
        <v/>
      </c>
      <c r="H151" s="125">
        <f>IF($A151="","",SUMIF($A$8:$A$251,$A151&amp;"*",U$8:U$251))</f>
        <v/>
      </c>
      <c r="I151" s="125">
        <f>IF($A151="","",SUMIF($A$8:$A$251,$A151&amp;"*",V$8:V$251))</f>
        <v/>
      </c>
      <c r="K151" s="124">
        <f>IF($A151="",0,SUMIFS(SDDK!$C$8:$C$251,SDDK!$A$8:$A$251,$A151))</f>
        <v/>
      </c>
      <c r="L151" s="124">
        <f>IF($A151="",0,SUMIFS(SDDK!$D$8:$D$251,SDDK!$A$8:$A$251,$A151))</f>
        <v/>
      </c>
      <c r="M151" s="124">
        <f>IF($A151="",0,SUMIFS(NKC!$H$7:$H$3006,NKC!$F$7:$F$3006,$A151,NKC!$B$7:$B$3006,"&lt;"&amp;TU_NGAY))</f>
        <v/>
      </c>
      <c r="N151" s="124">
        <f>IF($A151="",0,SUMIFS(NKC!$H$7:$H$3006,NKC!$G$7:$G$3006,$A151,NKC!$B$7:$B$3006,"&lt;"&amp;TU_NGAY))</f>
        <v/>
      </c>
      <c r="O151" s="124">
        <f>IF($A151="",0,SUMIFS(NKC!$H$7:$H$3006,NKC!$F$7:$F$3006,$A151,NKC!$B$7:$B$3006,"&gt;="&amp;TU_NGAY,NKC!$B$7:$B$3006,"&lt;="&amp;DEN_NGAY))</f>
        <v/>
      </c>
      <c r="P151" s="124">
        <f>IF($A151="",0,SUMIFS(NKC!$H$7:$H$3006,NKC!$G$7:$G$3006,$A151,NKC!$B$7:$B$3006,"&gt;="&amp;TU_NGAY,NKC!$B$7:$B$3006,"&lt;="&amp;DEN_NGAY))</f>
        <v/>
      </c>
      <c r="Q151" s="124">
        <f>K151-L151+M151-N151</f>
        <v/>
      </c>
      <c r="R151" s="124">
        <f>MAX(Q151,0)</f>
        <v/>
      </c>
      <c r="S151" s="124">
        <f>MAX(-Q151,0)</f>
        <v/>
      </c>
      <c r="T151" s="124">
        <f>Q151+O151-P151</f>
        <v/>
      </c>
      <c r="U151" s="124">
        <f>MAX(T151,0)</f>
        <v/>
      </c>
      <c r="V151" s="124">
        <f>MAX(-T151,0)</f>
        <v/>
      </c>
    </row>
    <row r="152" ht="15" customHeight="1" s="78">
      <c r="A152" s="96" t="inlineStr">
        <is>
          <t>6232</t>
        </is>
      </c>
      <c r="B152" s="97" t="inlineStr">
        <is>
          <t>Chi phí vật liệu</t>
        </is>
      </c>
      <c r="C152" s="122" t="n">
        <v>2</v>
      </c>
      <c r="D152" s="125">
        <f>IF($A152="","",SUMIF($A$8:$A$251,$A152&amp;"*",R$8:R$251))</f>
        <v/>
      </c>
      <c r="E152" s="125">
        <f>IF($A152="","",SUMIF($A$8:$A$251,$A152&amp;"*",S$8:S$251))</f>
        <v/>
      </c>
      <c r="F152" s="125">
        <f>IF($A152="","",SUMIF($A$8:$A$251,$A152&amp;"*",O$8:O$251))</f>
        <v/>
      </c>
      <c r="G152" s="125">
        <f>IF($A152="","",SUMIF($A$8:$A$251,$A152&amp;"*",P$8:P$251))</f>
        <v/>
      </c>
      <c r="H152" s="125">
        <f>IF($A152="","",SUMIF($A$8:$A$251,$A152&amp;"*",U$8:U$251))</f>
        <v/>
      </c>
      <c r="I152" s="125">
        <f>IF($A152="","",SUMIF($A$8:$A$251,$A152&amp;"*",V$8:V$251))</f>
        <v/>
      </c>
      <c r="K152" s="124">
        <f>IF($A152="",0,SUMIFS(SDDK!$C$8:$C$251,SDDK!$A$8:$A$251,$A152))</f>
        <v/>
      </c>
      <c r="L152" s="124">
        <f>IF($A152="",0,SUMIFS(SDDK!$D$8:$D$251,SDDK!$A$8:$A$251,$A152))</f>
        <v/>
      </c>
      <c r="M152" s="124">
        <f>IF($A152="",0,SUMIFS(NKC!$H$7:$H$3006,NKC!$F$7:$F$3006,$A152,NKC!$B$7:$B$3006,"&lt;"&amp;TU_NGAY))</f>
        <v/>
      </c>
      <c r="N152" s="124">
        <f>IF($A152="",0,SUMIFS(NKC!$H$7:$H$3006,NKC!$G$7:$G$3006,$A152,NKC!$B$7:$B$3006,"&lt;"&amp;TU_NGAY))</f>
        <v/>
      </c>
      <c r="O152" s="124">
        <f>IF($A152="",0,SUMIFS(NKC!$H$7:$H$3006,NKC!$F$7:$F$3006,$A152,NKC!$B$7:$B$3006,"&gt;="&amp;TU_NGAY,NKC!$B$7:$B$3006,"&lt;="&amp;DEN_NGAY))</f>
        <v/>
      </c>
      <c r="P152" s="124">
        <f>IF($A152="",0,SUMIFS(NKC!$H$7:$H$3006,NKC!$G$7:$G$3006,$A152,NKC!$B$7:$B$3006,"&gt;="&amp;TU_NGAY,NKC!$B$7:$B$3006,"&lt;="&amp;DEN_NGAY))</f>
        <v/>
      </c>
      <c r="Q152" s="124">
        <f>K152-L152+M152-N152</f>
        <v/>
      </c>
      <c r="R152" s="124">
        <f>MAX(Q152,0)</f>
        <v/>
      </c>
      <c r="S152" s="124">
        <f>MAX(-Q152,0)</f>
        <v/>
      </c>
      <c r="T152" s="124">
        <f>Q152+O152-P152</f>
        <v/>
      </c>
      <c r="U152" s="124">
        <f>MAX(T152,0)</f>
        <v/>
      </c>
      <c r="V152" s="124">
        <f>MAX(-T152,0)</f>
        <v/>
      </c>
    </row>
    <row r="153" ht="15" customHeight="1" s="78">
      <c r="A153" s="96" t="inlineStr">
        <is>
          <t>6233</t>
        </is>
      </c>
      <c r="B153" s="97" t="inlineStr">
        <is>
          <t>Chi phí dụng cụ sản xuất</t>
        </is>
      </c>
      <c r="C153" s="122" t="n">
        <v>2</v>
      </c>
      <c r="D153" s="125">
        <f>IF($A153="","",SUMIF($A$8:$A$251,$A153&amp;"*",R$8:R$251))</f>
        <v/>
      </c>
      <c r="E153" s="125">
        <f>IF($A153="","",SUMIF($A$8:$A$251,$A153&amp;"*",S$8:S$251))</f>
        <v/>
      </c>
      <c r="F153" s="125">
        <f>IF($A153="","",SUMIF($A$8:$A$251,$A153&amp;"*",O$8:O$251))</f>
        <v/>
      </c>
      <c r="G153" s="125">
        <f>IF($A153="","",SUMIF($A$8:$A$251,$A153&amp;"*",P$8:P$251))</f>
        <v/>
      </c>
      <c r="H153" s="125">
        <f>IF($A153="","",SUMIF($A$8:$A$251,$A153&amp;"*",U$8:U$251))</f>
        <v/>
      </c>
      <c r="I153" s="125">
        <f>IF($A153="","",SUMIF($A$8:$A$251,$A153&amp;"*",V$8:V$251))</f>
        <v/>
      </c>
      <c r="K153" s="124">
        <f>IF($A153="",0,SUMIFS(SDDK!$C$8:$C$251,SDDK!$A$8:$A$251,$A153))</f>
        <v/>
      </c>
      <c r="L153" s="124">
        <f>IF($A153="",0,SUMIFS(SDDK!$D$8:$D$251,SDDK!$A$8:$A$251,$A153))</f>
        <v/>
      </c>
      <c r="M153" s="124">
        <f>IF($A153="",0,SUMIFS(NKC!$H$7:$H$3006,NKC!$F$7:$F$3006,$A153,NKC!$B$7:$B$3006,"&lt;"&amp;TU_NGAY))</f>
        <v/>
      </c>
      <c r="N153" s="124">
        <f>IF($A153="",0,SUMIFS(NKC!$H$7:$H$3006,NKC!$G$7:$G$3006,$A153,NKC!$B$7:$B$3006,"&lt;"&amp;TU_NGAY))</f>
        <v/>
      </c>
      <c r="O153" s="124">
        <f>IF($A153="",0,SUMIFS(NKC!$H$7:$H$3006,NKC!$F$7:$F$3006,$A153,NKC!$B$7:$B$3006,"&gt;="&amp;TU_NGAY,NKC!$B$7:$B$3006,"&lt;="&amp;DEN_NGAY))</f>
        <v/>
      </c>
      <c r="P153" s="124">
        <f>IF($A153="",0,SUMIFS(NKC!$H$7:$H$3006,NKC!$G$7:$G$3006,$A153,NKC!$B$7:$B$3006,"&gt;="&amp;TU_NGAY,NKC!$B$7:$B$3006,"&lt;="&amp;DEN_NGAY))</f>
        <v/>
      </c>
      <c r="Q153" s="124">
        <f>K153-L153+M153-N153</f>
        <v/>
      </c>
      <c r="R153" s="124">
        <f>MAX(Q153,0)</f>
        <v/>
      </c>
      <c r="S153" s="124">
        <f>MAX(-Q153,0)</f>
        <v/>
      </c>
      <c r="T153" s="124">
        <f>Q153+O153-P153</f>
        <v/>
      </c>
      <c r="U153" s="124">
        <f>MAX(T153,0)</f>
        <v/>
      </c>
      <c r="V153" s="124">
        <f>MAX(-T153,0)</f>
        <v/>
      </c>
    </row>
    <row r="154" ht="15" customHeight="1" s="78">
      <c r="A154" s="96" t="inlineStr">
        <is>
          <t>6234</t>
        </is>
      </c>
      <c r="B154" s="97" t="inlineStr">
        <is>
          <t>Chi phí khấu hao máy thi công</t>
        </is>
      </c>
      <c r="C154" s="122" t="n">
        <v>2</v>
      </c>
      <c r="D154" s="125">
        <f>IF($A154="","",SUMIF($A$8:$A$251,$A154&amp;"*",R$8:R$251))</f>
        <v/>
      </c>
      <c r="E154" s="125">
        <f>IF($A154="","",SUMIF($A$8:$A$251,$A154&amp;"*",S$8:S$251))</f>
        <v/>
      </c>
      <c r="F154" s="125">
        <f>IF($A154="","",SUMIF($A$8:$A$251,$A154&amp;"*",O$8:O$251))</f>
        <v/>
      </c>
      <c r="G154" s="125">
        <f>IF($A154="","",SUMIF($A$8:$A$251,$A154&amp;"*",P$8:P$251))</f>
        <v/>
      </c>
      <c r="H154" s="125">
        <f>IF($A154="","",SUMIF($A$8:$A$251,$A154&amp;"*",U$8:U$251))</f>
        <v/>
      </c>
      <c r="I154" s="125">
        <f>IF($A154="","",SUMIF($A$8:$A$251,$A154&amp;"*",V$8:V$251))</f>
        <v/>
      </c>
      <c r="K154" s="124">
        <f>IF($A154="",0,SUMIFS(SDDK!$C$8:$C$251,SDDK!$A$8:$A$251,$A154))</f>
        <v/>
      </c>
      <c r="L154" s="124">
        <f>IF($A154="",0,SUMIFS(SDDK!$D$8:$D$251,SDDK!$A$8:$A$251,$A154))</f>
        <v/>
      </c>
      <c r="M154" s="124">
        <f>IF($A154="",0,SUMIFS(NKC!$H$7:$H$3006,NKC!$F$7:$F$3006,$A154,NKC!$B$7:$B$3006,"&lt;"&amp;TU_NGAY))</f>
        <v/>
      </c>
      <c r="N154" s="124">
        <f>IF($A154="",0,SUMIFS(NKC!$H$7:$H$3006,NKC!$G$7:$G$3006,$A154,NKC!$B$7:$B$3006,"&lt;"&amp;TU_NGAY))</f>
        <v/>
      </c>
      <c r="O154" s="124">
        <f>IF($A154="",0,SUMIFS(NKC!$H$7:$H$3006,NKC!$F$7:$F$3006,$A154,NKC!$B$7:$B$3006,"&gt;="&amp;TU_NGAY,NKC!$B$7:$B$3006,"&lt;="&amp;DEN_NGAY))</f>
        <v/>
      </c>
      <c r="P154" s="124">
        <f>IF($A154="",0,SUMIFS(NKC!$H$7:$H$3006,NKC!$G$7:$G$3006,$A154,NKC!$B$7:$B$3006,"&gt;="&amp;TU_NGAY,NKC!$B$7:$B$3006,"&lt;="&amp;DEN_NGAY))</f>
        <v/>
      </c>
      <c r="Q154" s="124">
        <f>K154-L154+M154-N154</f>
        <v/>
      </c>
      <c r="R154" s="124">
        <f>MAX(Q154,0)</f>
        <v/>
      </c>
      <c r="S154" s="124">
        <f>MAX(-Q154,0)</f>
        <v/>
      </c>
      <c r="T154" s="124">
        <f>Q154+O154-P154</f>
        <v/>
      </c>
      <c r="U154" s="124">
        <f>MAX(T154,0)</f>
        <v/>
      </c>
      <c r="V154" s="124">
        <f>MAX(-T154,0)</f>
        <v/>
      </c>
    </row>
    <row r="155" ht="15" customHeight="1" s="78">
      <c r="A155" s="96" t="inlineStr">
        <is>
          <t>6237</t>
        </is>
      </c>
      <c r="B155" s="97" t="inlineStr">
        <is>
          <t>Chi phí dịch vụ mua ngoài</t>
        </is>
      </c>
      <c r="C155" s="122" t="n">
        <v>2</v>
      </c>
      <c r="D155" s="125">
        <f>IF($A155="","",SUMIF($A$8:$A$251,$A155&amp;"*",R$8:R$251))</f>
        <v/>
      </c>
      <c r="E155" s="125">
        <f>IF($A155="","",SUMIF($A$8:$A$251,$A155&amp;"*",S$8:S$251))</f>
        <v/>
      </c>
      <c r="F155" s="125">
        <f>IF($A155="","",SUMIF($A$8:$A$251,$A155&amp;"*",O$8:O$251))</f>
        <v/>
      </c>
      <c r="G155" s="125">
        <f>IF($A155="","",SUMIF($A$8:$A$251,$A155&amp;"*",P$8:P$251))</f>
        <v/>
      </c>
      <c r="H155" s="125">
        <f>IF($A155="","",SUMIF($A$8:$A$251,$A155&amp;"*",U$8:U$251))</f>
        <v/>
      </c>
      <c r="I155" s="125">
        <f>IF($A155="","",SUMIF($A$8:$A$251,$A155&amp;"*",V$8:V$251))</f>
        <v/>
      </c>
      <c r="K155" s="124">
        <f>IF($A155="",0,SUMIFS(SDDK!$C$8:$C$251,SDDK!$A$8:$A$251,$A155))</f>
        <v/>
      </c>
      <c r="L155" s="124">
        <f>IF($A155="",0,SUMIFS(SDDK!$D$8:$D$251,SDDK!$A$8:$A$251,$A155))</f>
        <v/>
      </c>
      <c r="M155" s="124">
        <f>IF($A155="",0,SUMIFS(NKC!$H$7:$H$3006,NKC!$F$7:$F$3006,$A155,NKC!$B$7:$B$3006,"&lt;"&amp;TU_NGAY))</f>
        <v/>
      </c>
      <c r="N155" s="124">
        <f>IF($A155="",0,SUMIFS(NKC!$H$7:$H$3006,NKC!$G$7:$G$3006,$A155,NKC!$B$7:$B$3006,"&lt;"&amp;TU_NGAY))</f>
        <v/>
      </c>
      <c r="O155" s="124">
        <f>IF($A155="",0,SUMIFS(NKC!$H$7:$H$3006,NKC!$F$7:$F$3006,$A155,NKC!$B$7:$B$3006,"&gt;="&amp;TU_NGAY,NKC!$B$7:$B$3006,"&lt;="&amp;DEN_NGAY))</f>
        <v/>
      </c>
      <c r="P155" s="124">
        <f>IF($A155="",0,SUMIFS(NKC!$H$7:$H$3006,NKC!$G$7:$G$3006,$A155,NKC!$B$7:$B$3006,"&gt;="&amp;TU_NGAY,NKC!$B$7:$B$3006,"&lt;="&amp;DEN_NGAY))</f>
        <v/>
      </c>
      <c r="Q155" s="124">
        <f>K155-L155+M155-N155</f>
        <v/>
      </c>
      <c r="R155" s="124">
        <f>MAX(Q155,0)</f>
        <v/>
      </c>
      <c r="S155" s="124">
        <f>MAX(-Q155,0)</f>
        <v/>
      </c>
      <c r="T155" s="124">
        <f>Q155+O155-P155</f>
        <v/>
      </c>
      <c r="U155" s="124">
        <f>MAX(T155,0)</f>
        <v/>
      </c>
      <c r="V155" s="124">
        <f>MAX(-T155,0)</f>
        <v/>
      </c>
    </row>
    <row r="156" ht="15" customHeight="1" s="78">
      <c r="A156" s="96" t="inlineStr">
        <is>
          <t>6238</t>
        </is>
      </c>
      <c r="B156" s="97" t="inlineStr">
        <is>
          <t>Chi phí bằng tiền khác</t>
        </is>
      </c>
      <c r="C156" s="122" t="n">
        <v>2</v>
      </c>
      <c r="D156" s="125">
        <f>IF($A156="","",SUMIF($A$8:$A$251,$A156&amp;"*",R$8:R$251))</f>
        <v/>
      </c>
      <c r="E156" s="125">
        <f>IF($A156="","",SUMIF($A$8:$A$251,$A156&amp;"*",S$8:S$251))</f>
        <v/>
      </c>
      <c r="F156" s="125">
        <f>IF($A156="","",SUMIF($A$8:$A$251,$A156&amp;"*",O$8:O$251))</f>
        <v/>
      </c>
      <c r="G156" s="125">
        <f>IF($A156="","",SUMIF($A$8:$A$251,$A156&amp;"*",P$8:P$251))</f>
        <v/>
      </c>
      <c r="H156" s="125">
        <f>IF($A156="","",SUMIF($A$8:$A$251,$A156&amp;"*",U$8:U$251))</f>
        <v/>
      </c>
      <c r="I156" s="125">
        <f>IF($A156="","",SUMIF($A$8:$A$251,$A156&amp;"*",V$8:V$251))</f>
        <v/>
      </c>
      <c r="K156" s="124">
        <f>IF($A156="",0,SUMIFS(SDDK!$C$8:$C$251,SDDK!$A$8:$A$251,$A156))</f>
        <v/>
      </c>
      <c r="L156" s="124">
        <f>IF($A156="",0,SUMIFS(SDDK!$D$8:$D$251,SDDK!$A$8:$A$251,$A156))</f>
        <v/>
      </c>
      <c r="M156" s="124">
        <f>IF($A156="",0,SUMIFS(NKC!$H$7:$H$3006,NKC!$F$7:$F$3006,$A156,NKC!$B$7:$B$3006,"&lt;"&amp;TU_NGAY))</f>
        <v/>
      </c>
      <c r="N156" s="124">
        <f>IF($A156="",0,SUMIFS(NKC!$H$7:$H$3006,NKC!$G$7:$G$3006,$A156,NKC!$B$7:$B$3006,"&lt;"&amp;TU_NGAY))</f>
        <v/>
      </c>
      <c r="O156" s="124">
        <f>IF($A156="",0,SUMIFS(NKC!$H$7:$H$3006,NKC!$F$7:$F$3006,$A156,NKC!$B$7:$B$3006,"&gt;="&amp;TU_NGAY,NKC!$B$7:$B$3006,"&lt;="&amp;DEN_NGAY))</f>
        <v/>
      </c>
      <c r="P156" s="124">
        <f>IF($A156="",0,SUMIFS(NKC!$H$7:$H$3006,NKC!$G$7:$G$3006,$A156,NKC!$B$7:$B$3006,"&gt;="&amp;TU_NGAY,NKC!$B$7:$B$3006,"&lt;="&amp;DEN_NGAY))</f>
        <v/>
      </c>
      <c r="Q156" s="124">
        <f>K156-L156+M156-N156</f>
        <v/>
      </c>
      <c r="R156" s="124">
        <f>MAX(Q156,0)</f>
        <v/>
      </c>
      <c r="S156" s="124">
        <f>MAX(-Q156,0)</f>
        <v/>
      </c>
      <c r="T156" s="124">
        <f>Q156+O156-P156</f>
        <v/>
      </c>
      <c r="U156" s="124">
        <f>MAX(T156,0)</f>
        <v/>
      </c>
      <c r="V156" s="124">
        <f>MAX(-T156,0)</f>
        <v/>
      </c>
    </row>
    <row r="157" ht="15" customHeight="1" s="78">
      <c r="A157" s="93" t="inlineStr">
        <is>
          <t>627</t>
        </is>
      </c>
      <c r="B157" s="94" t="inlineStr">
        <is>
          <t>Chi phí sản xuất chung</t>
        </is>
      </c>
      <c r="C157" s="122" t="n">
        <v>1</v>
      </c>
      <c r="D157" s="123">
        <f>IF($A157="","",SUMIF($A$8:$A$251,$A157&amp;"*",R$8:R$251))</f>
        <v/>
      </c>
      <c r="E157" s="123">
        <f>IF($A157="","",SUMIF($A$8:$A$251,$A157&amp;"*",S$8:S$251))</f>
        <v/>
      </c>
      <c r="F157" s="123">
        <f>IF($A157="","",SUMIF($A$8:$A$251,$A157&amp;"*",O$8:O$251))</f>
        <v/>
      </c>
      <c r="G157" s="123">
        <f>IF($A157="","",SUMIF($A$8:$A$251,$A157&amp;"*",P$8:P$251))</f>
        <v/>
      </c>
      <c r="H157" s="123">
        <f>IF($A157="","",SUMIF($A$8:$A$251,$A157&amp;"*",U$8:U$251))</f>
        <v/>
      </c>
      <c r="I157" s="123">
        <f>IF($A157="","",SUMIF($A$8:$A$251,$A157&amp;"*",V$8:V$251))</f>
        <v/>
      </c>
      <c r="K157" s="124">
        <f>IF($A157="",0,SUMIFS(SDDK!$C$8:$C$251,SDDK!$A$8:$A$251,$A157))</f>
        <v/>
      </c>
      <c r="L157" s="124">
        <f>IF($A157="",0,SUMIFS(SDDK!$D$8:$D$251,SDDK!$A$8:$A$251,$A157))</f>
        <v/>
      </c>
      <c r="M157" s="124">
        <f>IF($A157="",0,SUMIFS(NKC!$H$7:$H$3006,NKC!$F$7:$F$3006,$A157,NKC!$B$7:$B$3006,"&lt;"&amp;TU_NGAY))</f>
        <v/>
      </c>
      <c r="N157" s="124">
        <f>IF($A157="",0,SUMIFS(NKC!$H$7:$H$3006,NKC!$G$7:$G$3006,$A157,NKC!$B$7:$B$3006,"&lt;"&amp;TU_NGAY))</f>
        <v/>
      </c>
      <c r="O157" s="124">
        <f>IF($A157="",0,SUMIFS(NKC!$H$7:$H$3006,NKC!$F$7:$F$3006,$A157,NKC!$B$7:$B$3006,"&gt;="&amp;TU_NGAY,NKC!$B$7:$B$3006,"&lt;="&amp;DEN_NGAY))</f>
        <v/>
      </c>
      <c r="P157" s="124">
        <f>IF($A157="",0,SUMIFS(NKC!$H$7:$H$3006,NKC!$G$7:$G$3006,$A157,NKC!$B$7:$B$3006,"&gt;="&amp;TU_NGAY,NKC!$B$7:$B$3006,"&lt;="&amp;DEN_NGAY))</f>
        <v/>
      </c>
      <c r="Q157" s="124">
        <f>K157-L157+M157-N157</f>
        <v/>
      </c>
      <c r="R157" s="124">
        <f>MAX(Q157,0)</f>
        <v/>
      </c>
      <c r="S157" s="124">
        <f>MAX(-Q157,0)</f>
        <v/>
      </c>
      <c r="T157" s="124">
        <f>Q157+O157-P157</f>
        <v/>
      </c>
      <c r="U157" s="124">
        <f>MAX(T157,0)</f>
        <v/>
      </c>
      <c r="V157" s="124">
        <f>MAX(-T157,0)</f>
        <v/>
      </c>
    </row>
    <row r="158" ht="15" customHeight="1" s="78">
      <c r="A158" s="96" t="inlineStr">
        <is>
          <t>6271</t>
        </is>
      </c>
      <c r="B158" s="97" t="inlineStr">
        <is>
          <t>Chi phí nhân viên phân xưởng</t>
        </is>
      </c>
      <c r="C158" s="122" t="n">
        <v>2</v>
      </c>
      <c r="D158" s="125">
        <f>IF($A158="","",SUMIF($A$8:$A$251,$A158&amp;"*",R$8:R$251))</f>
        <v/>
      </c>
      <c r="E158" s="125">
        <f>IF($A158="","",SUMIF($A$8:$A$251,$A158&amp;"*",S$8:S$251))</f>
        <v/>
      </c>
      <c r="F158" s="125">
        <f>IF($A158="","",SUMIF($A$8:$A$251,$A158&amp;"*",O$8:O$251))</f>
        <v/>
      </c>
      <c r="G158" s="125">
        <f>IF($A158="","",SUMIF($A$8:$A$251,$A158&amp;"*",P$8:P$251))</f>
        <v/>
      </c>
      <c r="H158" s="125">
        <f>IF($A158="","",SUMIF($A$8:$A$251,$A158&amp;"*",U$8:U$251))</f>
        <v/>
      </c>
      <c r="I158" s="125">
        <f>IF($A158="","",SUMIF($A$8:$A$251,$A158&amp;"*",V$8:V$251))</f>
        <v/>
      </c>
      <c r="K158" s="124">
        <f>IF($A158="",0,SUMIFS(SDDK!$C$8:$C$251,SDDK!$A$8:$A$251,$A158))</f>
        <v/>
      </c>
      <c r="L158" s="124">
        <f>IF($A158="",0,SUMIFS(SDDK!$D$8:$D$251,SDDK!$A$8:$A$251,$A158))</f>
        <v/>
      </c>
      <c r="M158" s="124">
        <f>IF($A158="",0,SUMIFS(NKC!$H$7:$H$3006,NKC!$F$7:$F$3006,$A158,NKC!$B$7:$B$3006,"&lt;"&amp;TU_NGAY))</f>
        <v/>
      </c>
      <c r="N158" s="124">
        <f>IF($A158="",0,SUMIFS(NKC!$H$7:$H$3006,NKC!$G$7:$G$3006,$A158,NKC!$B$7:$B$3006,"&lt;"&amp;TU_NGAY))</f>
        <v/>
      </c>
      <c r="O158" s="124">
        <f>IF($A158="",0,SUMIFS(NKC!$H$7:$H$3006,NKC!$F$7:$F$3006,$A158,NKC!$B$7:$B$3006,"&gt;="&amp;TU_NGAY,NKC!$B$7:$B$3006,"&lt;="&amp;DEN_NGAY))</f>
        <v/>
      </c>
      <c r="P158" s="124">
        <f>IF($A158="",0,SUMIFS(NKC!$H$7:$H$3006,NKC!$G$7:$G$3006,$A158,NKC!$B$7:$B$3006,"&gt;="&amp;TU_NGAY,NKC!$B$7:$B$3006,"&lt;="&amp;DEN_NGAY))</f>
        <v/>
      </c>
      <c r="Q158" s="124">
        <f>K158-L158+M158-N158</f>
        <v/>
      </c>
      <c r="R158" s="124">
        <f>MAX(Q158,0)</f>
        <v/>
      </c>
      <c r="S158" s="124">
        <f>MAX(-Q158,0)</f>
        <v/>
      </c>
      <c r="T158" s="124">
        <f>Q158+O158-P158</f>
        <v/>
      </c>
      <c r="U158" s="124">
        <f>MAX(T158,0)</f>
        <v/>
      </c>
      <c r="V158" s="124">
        <f>MAX(-T158,0)</f>
        <v/>
      </c>
    </row>
    <row r="159" ht="15" customHeight="1" s="78">
      <c r="A159" s="96" t="inlineStr">
        <is>
          <t>6272</t>
        </is>
      </c>
      <c r="B159" s="97" t="inlineStr">
        <is>
          <t>Chi phí vật liệu</t>
        </is>
      </c>
      <c r="C159" s="122" t="n">
        <v>2</v>
      </c>
      <c r="D159" s="125">
        <f>IF($A159="","",SUMIF($A$8:$A$251,$A159&amp;"*",R$8:R$251))</f>
        <v/>
      </c>
      <c r="E159" s="125">
        <f>IF($A159="","",SUMIF($A$8:$A$251,$A159&amp;"*",S$8:S$251))</f>
        <v/>
      </c>
      <c r="F159" s="125">
        <f>IF($A159="","",SUMIF($A$8:$A$251,$A159&amp;"*",O$8:O$251))</f>
        <v/>
      </c>
      <c r="G159" s="125">
        <f>IF($A159="","",SUMIF($A$8:$A$251,$A159&amp;"*",P$8:P$251))</f>
        <v/>
      </c>
      <c r="H159" s="125">
        <f>IF($A159="","",SUMIF($A$8:$A$251,$A159&amp;"*",U$8:U$251))</f>
        <v/>
      </c>
      <c r="I159" s="125">
        <f>IF($A159="","",SUMIF($A$8:$A$251,$A159&amp;"*",V$8:V$251))</f>
        <v/>
      </c>
      <c r="K159" s="124">
        <f>IF($A159="",0,SUMIFS(SDDK!$C$8:$C$251,SDDK!$A$8:$A$251,$A159))</f>
        <v/>
      </c>
      <c r="L159" s="124">
        <f>IF($A159="",0,SUMIFS(SDDK!$D$8:$D$251,SDDK!$A$8:$A$251,$A159))</f>
        <v/>
      </c>
      <c r="M159" s="124">
        <f>IF($A159="",0,SUMIFS(NKC!$H$7:$H$3006,NKC!$F$7:$F$3006,$A159,NKC!$B$7:$B$3006,"&lt;"&amp;TU_NGAY))</f>
        <v/>
      </c>
      <c r="N159" s="124">
        <f>IF($A159="",0,SUMIFS(NKC!$H$7:$H$3006,NKC!$G$7:$G$3006,$A159,NKC!$B$7:$B$3006,"&lt;"&amp;TU_NGAY))</f>
        <v/>
      </c>
      <c r="O159" s="124">
        <f>IF($A159="",0,SUMIFS(NKC!$H$7:$H$3006,NKC!$F$7:$F$3006,$A159,NKC!$B$7:$B$3006,"&gt;="&amp;TU_NGAY,NKC!$B$7:$B$3006,"&lt;="&amp;DEN_NGAY))</f>
        <v/>
      </c>
      <c r="P159" s="124">
        <f>IF($A159="",0,SUMIFS(NKC!$H$7:$H$3006,NKC!$G$7:$G$3006,$A159,NKC!$B$7:$B$3006,"&gt;="&amp;TU_NGAY,NKC!$B$7:$B$3006,"&lt;="&amp;DEN_NGAY))</f>
        <v/>
      </c>
      <c r="Q159" s="124">
        <f>K159-L159+M159-N159</f>
        <v/>
      </c>
      <c r="R159" s="124">
        <f>MAX(Q159,0)</f>
        <v/>
      </c>
      <c r="S159" s="124">
        <f>MAX(-Q159,0)</f>
        <v/>
      </c>
      <c r="T159" s="124">
        <f>Q159+O159-P159</f>
        <v/>
      </c>
      <c r="U159" s="124">
        <f>MAX(T159,0)</f>
        <v/>
      </c>
      <c r="V159" s="124">
        <f>MAX(-T159,0)</f>
        <v/>
      </c>
    </row>
    <row r="160" ht="15" customHeight="1" s="78">
      <c r="A160" s="96" t="inlineStr">
        <is>
          <t>6273</t>
        </is>
      </c>
      <c r="B160" s="97" t="inlineStr">
        <is>
          <t>Chi phí dụng cụ sản xuất</t>
        </is>
      </c>
      <c r="C160" s="122" t="n">
        <v>2</v>
      </c>
      <c r="D160" s="125">
        <f>IF($A160="","",SUMIF($A$8:$A$251,$A160&amp;"*",R$8:R$251))</f>
        <v/>
      </c>
      <c r="E160" s="125">
        <f>IF($A160="","",SUMIF($A$8:$A$251,$A160&amp;"*",S$8:S$251))</f>
        <v/>
      </c>
      <c r="F160" s="125">
        <f>IF($A160="","",SUMIF($A$8:$A$251,$A160&amp;"*",O$8:O$251))</f>
        <v/>
      </c>
      <c r="G160" s="125">
        <f>IF($A160="","",SUMIF($A$8:$A$251,$A160&amp;"*",P$8:P$251))</f>
        <v/>
      </c>
      <c r="H160" s="125">
        <f>IF($A160="","",SUMIF($A$8:$A$251,$A160&amp;"*",U$8:U$251))</f>
        <v/>
      </c>
      <c r="I160" s="125">
        <f>IF($A160="","",SUMIF($A$8:$A$251,$A160&amp;"*",V$8:V$251))</f>
        <v/>
      </c>
      <c r="K160" s="124">
        <f>IF($A160="",0,SUMIFS(SDDK!$C$8:$C$251,SDDK!$A$8:$A$251,$A160))</f>
        <v/>
      </c>
      <c r="L160" s="124">
        <f>IF($A160="",0,SUMIFS(SDDK!$D$8:$D$251,SDDK!$A$8:$A$251,$A160))</f>
        <v/>
      </c>
      <c r="M160" s="124">
        <f>IF($A160="",0,SUMIFS(NKC!$H$7:$H$3006,NKC!$F$7:$F$3006,$A160,NKC!$B$7:$B$3006,"&lt;"&amp;TU_NGAY))</f>
        <v/>
      </c>
      <c r="N160" s="124">
        <f>IF($A160="",0,SUMIFS(NKC!$H$7:$H$3006,NKC!$G$7:$G$3006,$A160,NKC!$B$7:$B$3006,"&lt;"&amp;TU_NGAY))</f>
        <v/>
      </c>
      <c r="O160" s="124">
        <f>IF($A160="",0,SUMIFS(NKC!$H$7:$H$3006,NKC!$F$7:$F$3006,$A160,NKC!$B$7:$B$3006,"&gt;="&amp;TU_NGAY,NKC!$B$7:$B$3006,"&lt;="&amp;DEN_NGAY))</f>
        <v/>
      </c>
      <c r="P160" s="124">
        <f>IF($A160="",0,SUMIFS(NKC!$H$7:$H$3006,NKC!$G$7:$G$3006,$A160,NKC!$B$7:$B$3006,"&gt;="&amp;TU_NGAY,NKC!$B$7:$B$3006,"&lt;="&amp;DEN_NGAY))</f>
        <v/>
      </c>
      <c r="Q160" s="124">
        <f>K160-L160+M160-N160</f>
        <v/>
      </c>
      <c r="R160" s="124">
        <f>MAX(Q160,0)</f>
        <v/>
      </c>
      <c r="S160" s="124">
        <f>MAX(-Q160,0)</f>
        <v/>
      </c>
      <c r="T160" s="124">
        <f>Q160+O160-P160</f>
        <v/>
      </c>
      <c r="U160" s="124">
        <f>MAX(T160,0)</f>
        <v/>
      </c>
      <c r="V160" s="124">
        <f>MAX(-T160,0)</f>
        <v/>
      </c>
    </row>
    <row r="161" ht="15" customHeight="1" s="78">
      <c r="A161" s="96" t="inlineStr">
        <is>
          <t>6274</t>
        </is>
      </c>
      <c r="B161" s="97" t="inlineStr">
        <is>
          <t>Chi phí khấu hao TSCĐ</t>
        </is>
      </c>
      <c r="C161" s="122" t="n">
        <v>2</v>
      </c>
      <c r="D161" s="125">
        <f>IF($A161="","",SUMIF($A$8:$A$251,$A161&amp;"*",R$8:R$251))</f>
        <v/>
      </c>
      <c r="E161" s="125">
        <f>IF($A161="","",SUMIF($A$8:$A$251,$A161&amp;"*",S$8:S$251))</f>
        <v/>
      </c>
      <c r="F161" s="125">
        <f>IF($A161="","",SUMIF($A$8:$A$251,$A161&amp;"*",O$8:O$251))</f>
        <v/>
      </c>
      <c r="G161" s="125">
        <f>IF($A161="","",SUMIF($A$8:$A$251,$A161&amp;"*",P$8:P$251))</f>
        <v/>
      </c>
      <c r="H161" s="125">
        <f>IF($A161="","",SUMIF($A$8:$A$251,$A161&amp;"*",U$8:U$251))</f>
        <v/>
      </c>
      <c r="I161" s="125">
        <f>IF($A161="","",SUMIF($A$8:$A$251,$A161&amp;"*",V$8:V$251))</f>
        <v/>
      </c>
      <c r="K161" s="124">
        <f>IF($A161="",0,SUMIFS(SDDK!$C$8:$C$251,SDDK!$A$8:$A$251,$A161))</f>
        <v/>
      </c>
      <c r="L161" s="124">
        <f>IF($A161="",0,SUMIFS(SDDK!$D$8:$D$251,SDDK!$A$8:$A$251,$A161))</f>
        <v/>
      </c>
      <c r="M161" s="124">
        <f>IF($A161="",0,SUMIFS(NKC!$H$7:$H$3006,NKC!$F$7:$F$3006,$A161,NKC!$B$7:$B$3006,"&lt;"&amp;TU_NGAY))</f>
        <v/>
      </c>
      <c r="N161" s="124">
        <f>IF($A161="",0,SUMIFS(NKC!$H$7:$H$3006,NKC!$G$7:$G$3006,$A161,NKC!$B$7:$B$3006,"&lt;"&amp;TU_NGAY))</f>
        <v/>
      </c>
      <c r="O161" s="124">
        <f>IF($A161="",0,SUMIFS(NKC!$H$7:$H$3006,NKC!$F$7:$F$3006,$A161,NKC!$B$7:$B$3006,"&gt;="&amp;TU_NGAY,NKC!$B$7:$B$3006,"&lt;="&amp;DEN_NGAY))</f>
        <v/>
      </c>
      <c r="P161" s="124">
        <f>IF($A161="",0,SUMIFS(NKC!$H$7:$H$3006,NKC!$G$7:$G$3006,$A161,NKC!$B$7:$B$3006,"&gt;="&amp;TU_NGAY,NKC!$B$7:$B$3006,"&lt;="&amp;DEN_NGAY))</f>
        <v/>
      </c>
      <c r="Q161" s="124">
        <f>K161-L161+M161-N161</f>
        <v/>
      </c>
      <c r="R161" s="124">
        <f>MAX(Q161,0)</f>
        <v/>
      </c>
      <c r="S161" s="124">
        <f>MAX(-Q161,0)</f>
        <v/>
      </c>
      <c r="T161" s="124">
        <f>Q161+O161-P161</f>
        <v/>
      </c>
      <c r="U161" s="124">
        <f>MAX(T161,0)</f>
        <v/>
      </c>
      <c r="V161" s="124">
        <f>MAX(-T161,0)</f>
        <v/>
      </c>
    </row>
    <row r="162" ht="15" customHeight="1" s="78">
      <c r="A162" s="96" t="inlineStr">
        <is>
          <t>6275</t>
        </is>
      </c>
      <c r="B162" s="97" t="inlineStr">
        <is>
          <t>Thuế, phí, lệ phí</t>
        </is>
      </c>
      <c r="C162" s="122" t="n">
        <v>2</v>
      </c>
      <c r="D162" s="125">
        <f>IF($A162="","",SUMIF($A$8:$A$251,$A162&amp;"*",R$8:R$251))</f>
        <v/>
      </c>
      <c r="E162" s="125">
        <f>IF($A162="","",SUMIF($A$8:$A$251,$A162&amp;"*",S$8:S$251))</f>
        <v/>
      </c>
      <c r="F162" s="125">
        <f>IF($A162="","",SUMIF($A$8:$A$251,$A162&amp;"*",O$8:O$251))</f>
        <v/>
      </c>
      <c r="G162" s="125">
        <f>IF($A162="","",SUMIF($A$8:$A$251,$A162&amp;"*",P$8:P$251))</f>
        <v/>
      </c>
      <c r="H162" s="125">
        <f>IF($A162="","",SUMIF($A$8:$A$251,$A162&amp;"*",U$8:U$251))</f>
        <v/>
      </c>
      <c r="I162" s="125">
        <f>IF($A162="","",SUMIF($A$8:$A$251,$A162&amp;"*",V$8:V$251))</f>
        <v/>
      </c>
      <c r="K162" s="124">
        <f>IF($A162="",0,SUMIFS(SDDK!$C$8:$C$251,SDDK!$A$8:$A$251,$A162))</f>
        <v/>
      </c>
      <c r="L162" s="124">
        <f>IF($A162="",0,SUMIFS(SDDK!$D$8:$D$251,SDDK!$A$8:$A$251,$A162))</f>
        <v/>
      </c>
      <c r="M162" s="124">
        <f>IF($A162="",0,SUMIFS(NKC!$H$7:$H$3006,NKC!$F$7:$F$3006,$A162,NKC!$B$7:$B$3006,"&lt;"&amp;TU_NGAY))</f>
        <v/>
      </c>
      <c r="N162" s="124">
        <f>IF($A162="",0,SUMIFS(NKC!$H$7:$H$3006,NKC!$G$7:$G$3006,$A162,NKC!$B$7:$B$3006,"&lt;"&amp;TU_NGAY))</f>
        <v/>
      </c>
      <c r="O162" s="124">
        <f>IF($A162="",0,SUMIFS(NKC!$H$7:$H$3006,NKC!$F$7:$F$3006,$A162,NKC!$B$7:$B$3006,"&gt;="&amp;TU_NGAY,NKC!$B$7:$B$3006,"&lt;="&amp;DEN_NGAY))</f>
        <v/>
      </c>
      <c r="P162" s="124">
        <f>IF($A162="",0,SUMIFS(NKC!$H$7:$H$3006,NKC!$G$7:$G$3006,$A162,NKC!$B$7:$B$3006,"&gt;="&amp;TU_NGAY,NKC!$B$7:$B$3006,"&lt;="&amp;DEN_NGAY))</f>
        <v/>
      </c>
      <c r="Q162" s="124">
        <f>K162-L162+M162-N162</f>
        <v/>
      </c>
      <c r="R162" s="124">
        <f>MAX(Q162,0)</f>
        <v/>
      </c>
      <c r="S162" s="124">
        <f>MAX(-Q162,0)</f>
        <v/>
      </c>
      <c r="T162" s="124">
        <f>Q162+O162-P162</f>
        <v/>
      </c>
      <c r="U162" s="124">
        <f>MAX(T162,0)</f>
        <v/>
      </c>
      <c r="V162" s="124">
        <f>MAX(-T162,0)</f>
        <v/>
      </c>
    </row>
    <row r="163" ht="15" customHeight="1" s="78">
      <c r="A163" s="96" t="inlineStr">
        <is>
          <t>6277</t>
        </is>
      </c>
      <c r="B163" s="97" t="inlineStr">
        <is>
          <t>Chi phí dịch vụ mua ngoài</t>
        </is>
      </c>
      <c r="C163" s="122" t="n">
        <v>2</v>
      </c>
      <c r="D163" s="125">
        <f>IF($A163="","",SUMIF($A$8:$A$251,$A163&amp;"*",R$8:R$251))</f>
        <v/>
      </c>
      <c r="E163" s="125">
        <f>IF($A163="","",SUMIF($A$8:$A$251,$A163&amp;"*",S$8:S$251))</f>
        <v/>
      </c>
      <c r="F163" s="125">
        <f>IF($A163="","",SUMIF($A$8:$A$251,$A163&amp;"*",O$8:O$251))</f>
        <v/>
      </c>
      <c r="G163" s="125">
        <f>IF($A163="","",SUMIF($A$8:$A$251,$A163&amp;"*",P$8:P$251))</f>
        <v/>
      </c>
      <c r="H163" s="125">
        <f>IF($A163="","",SUMIF($A$8:$A$251,$A163&amp;"*",U$8:U$251))</f>
        <v/>
      </c>
      <c r="I163" s="125">
        <f>IF($A163="","",SUMIF($A$8:$A$251,$A163&amp;"*",V$8:V$251))</f>
        <v/>
      </c>
      <c r="K163" s="124">
        <f>IF($A163="",0,SUMIFS(SDDK!$C$8:$C$251,SDDK!$A$8:$A$251,$A163))</f>
        <v/>
      </c>
      <c r="L163" s="124">
        <f>IF($A163="",0,SUMIFS(SDDK!$D$8:$D$251,SDDK!$A$8:$A$251,$A163))</f>
        <v/>
      </c>
      <c r="M163" s="124">
        <f>IF($A163="",0,SUMIFS(NKC!$H$7:$H$3006,NKC!$F$7:$F$3006,$A163,NKC!$B$7:$B$3006,"&lt;"&amp;TU_NGAY))</f>
        <v/>
      </c>
      <c r="N163" s="124">
        <f>IF($A163="",0,SUMIFS(NKC!$H$7:$H$3006,NKC!$G$7:$G$3006,$A163,NKC!$B$7:$B$3006,"&lt;"&amp;TU_NGAY))</f>
        <v/>
      </c>
      <c r="O163" s="124">
        <f>IF($A163="",0,SUMIFS(NKC!$H$7:$H$3006,NKC!$F$7:$F$3006,$A163,NKC!$B$7:$B$3006,"&gt;="&amp;TU_NGAY,NKC!$B$7:$B$3006,"&lt;="&amp;DEN_NGAY))</f>
        <v/>
      </c>
      <c r="P163" s="124">
        <f>IF($A163="",0,SUMIFS(NKC!$H$7:$H$3006,NKC!$G$7:$G$3006,$A163,NKC!$B$7:$B$3006,"&gt;="&amp;TU_NGAY,NKC!$B$7:$B$3006,"&lt;="&amp;DEN_NGAY))</f>
        <v/>
      </c>
      <c r="Q163" s="124">
        <f>K163-L163+M163-N163</f>
        <v/>
      </c>
      <c r="R163" s="124">
        <f>MAX(Q163,0)</f>
        <v/>
      </c>
      <c r="S163" s="124">
        <f>MAX(-Q163,0)</f>
        <v/>
      </c>
      <c r="T163" s="124">
        <f>Q163+O163-P163</f>
        <v/>
      </c>
      <c r="U163" s="124">
        <f>MAX(T163,0)</f>
        <v/>
      </c>
      <c r="V163" s="124">
        <f>MAX(-T163,0)</f>
        <v/>
      </c>
    </row>
    <row r="164" ht="15" customHeight="1" s="78">
      <c r="A164" s="96" t="inlineStr">
        <is>
          <t>6278</t>
        </is>
      </c>
      <c r="B164" s="97" t="inlineStr">
        <is>
          <t>Chi phí bằng tiền khác</t>
        </is>
      </c>
      <c r="C164" s="122" t="n">
        <v>2</v>
      </c>
      <c r="D164" s="125">
        <f>IF($A164="","",SUMIF($A$8:$A$251,$A164&amp;"*",R$8:R$251))</f>
        <v/>
      </c>
      <c r="E164" s="125">
        <f>IF($A164="","",SUMIF($A$8:$A$251,$A164&amp;"*",S$8:S$251))</f>
        <v/>
      </c>
      <c r="F164" s="125">
        <f>IF($A164="","",SUMIF($A$8:$A$251,$A164&amp;"*",O$8:O$251))</f>
        <v/>
      </c>
      <c r="G164" s="125">
        <f>IF($A164="","",SUMIF($A$8:$A$251,$A164&amp;"*",P$8:P$251))</f>
        <v/>
      </c>
      <c r="H164" s="125">
        <f>IF($A164="","",SUMIF($A$8:$A$251,$A164&amp;"*",U$8:U$251))</f>
        <v/>
      </c>
      <c r="I164" s="125">
        <f>IF($A164="","",SUMIF($A$8:$A$251,$A164&amp;"*",V$8:V$251))</f>
        <v/>
      </c>
      <c r="K164" s="124">
        <f>IF($A164="",0,SUMIFS(SDDK!$C$8:$C$251,SDDK!$A$8:$A$251,$A164))</f>
        <v/>
      </c>
      <c r="L164" s="124">
        <f>IF($A164="",0,SUMIFS(SDDK!$D$8:$D$251,SDDK!$A$8:$A$251,$A164))</f>
        <v/>
      </c>
      <c r="M164" s="124">
        <f>IF($A164="",0,SUMIFS(NKC!$H$7:$H$3006,NKC!$F$7:$F$3006,$A164,NKC!$B$7:$B$3006,"&lt;"&amp;TU_NGAY))</f>
        <v/>
      </c>
      <c r="N164" s="124">
        <f>IF($A164="",0,SUMIFS(NKC!$H$7:$H$3006,NKC!$G$7:$G$3006,$A164,NKC!$B$7:$B$3006,"&lt;"&amp;TU_NGAY))</f>
        <v/>
      </c>
      <c r="O164" s="124">
        <f>IF($A164="",0,SUMIFS(NKC!$H$7:$H$3006,NKC!$F$7:$F$3006,$A164,NKC!$B$7:$B$3006,"&gt;="&amp;TU_NGAY,NKC!$B$7:$B$3006,"&lt;="&amp;DEN_NGAY))</f>
        <v/>
      </c>
      <c r="P164" s="124">
        <f>IF($A164="",0,SUMIFS(NKC!$H$7:$H$3006,NKC!$G$7:$G$3006,$A164,NKC!$B$7:$B$3006,"&gt;="&amp;TU_NGAY,NKC!$B$7:$B$3006,"&lt;="&amp;DEN_NGAY))</f>
        <v/>
      </c>
      <c r="Q164" s="124">
        <f>K164-L164+M164-N164</f>
        <v/>
      </c>
      <c r="R164" s="124">
        <f>MAX(Q164,0)</f>
        <v/>
      </c>
      <c r="S164" s="124">
        <f>MAX(-Q164,0)</f>
        <v/>
      </c>
      <c r="T164" s="124">
        <f>Q164+O164-P164</f>
        <v/>
      </c>
      <c r="U164" s="124">
        <f>MAX(T164,0)</f>
        <v/>
      </c>
      <c r="V164" s="124">
        <f>MAX(-T164,0)</f>
        <v/>
      </c>
    </row>
    <row r="165" ht="15" customHeight="1" s="78">
      <c r="A165" s="93" t="inlineStr">
        <is>
          <t>632</t>
        </is>
      </c>
      <c r="B165" s="94" t="inlineStr">
        <is>
          <t>Giá vốn hàng bán</t>
        </is>
      </c>
      <c r="C165" s="122" t="n">
        <v>1</v>
      </c>
      <c r="D165" s="123">
        <f>IF($A165="","",SUMIF($A$8:$A$251,$A165&amp;"*",R$8:R$251))</f>
        <v/>
      </c>
      <c r="E165" s="123">
        <f>IF($A165="","",SUMIF($A$8:$A$251,$A165&amp;"*",S$8:S$251))</f>
        <v/>
      </c>
      <c r="F165" s="123">
        <f>IF($A165="","",SUMIF($A$8:$A$251,$A165&amp;"*",O$8:O$251))</f>
        <v/>
      </c>
      <c r="G165" s="123">
        <f>IF($A165="","",SUMIF($A$8:$A$251,$A165&amp;"*",P$8:P$251))</f>
        <v/>
      </c>
      <c r="H165" s="123">
        <f>IF($A165="","",SUMIF($A$8:$A$251,$A165&amp;"*",U$8:U$251))</f>
        <v/>
      </c>
      <c r="I165" s="123">
        <f>IF($A165="","",SUMIF($A$8:$A$251,$A165&amp;"*",V$8:V$251))</f>
        <v/>
      </c>
      <c r="K165" s="124">
        <f>IF($A165="",0,SUMIFS(SDDK!$C$8:$C$251,SDDK!$A$8:$A$251,$A165))</f>
        <v/>
      </c>
      <c r="L165" s="124">
        <f>IF($A165="",0,SUMIFS(SDDK!$D$8:$D$251,SDDK!$A$8:$A$251,$A165))</f>
        <v/>
      </c>
      <c r="M165" s="124">
        <f>IF($A165="",0,SUMIFS(NKC!$H$7:$H$3006,NKC!$F$7:$F$3006,$A165,NKC!$B$7:$B$3006,"&lt;"&amp;TU_NGAY))</f>
        <v/>
      </c>
      <c r="N165" s="124">
        <f>IF($A165="",0,SUMIFS(NKC!$H$7:$H$3006,NKC!$G$7:$G$3006,$A165,NKC!$B$7:$B$3006,"&lt;"&amp;TU_NGAY))</f>
        <v/>
      </c>
      <c r="O165" s="124">
        <f>IF($A165="",0,SUMIFS(NKC!$H$7:$H$3006,NKC!$F$7:$F$3006,$A165,NKC!$B$7:$B$3006,"&gt;="&amp;TU_NGAY,NKC!$B$7:$B$3006,"&lt;="&amp;DEN_NGAY))</f>
        <v/>
      </c>
      <c r="P165" s="124">
        <f>IF($A165="",0,SUMIFS(NKC!$H$7:$H$3006,NKC!$G$7:$G$3006,$A165,NKC!$B$7:$B$3006,"&gt;="&amp;TU_NGAY,NKC!$B$7:$B$3006,"&lt;="&amp;DEN_NGAY))</f>
        <v/>
      </c>
      <c r="Q165" s="124">
        <f>K165-L165+M165-N165</f>
        <v/>
      </c>
      <c r="R165" s="124">
        <f>MAX(Q165,0)</f>
        <v/>
      </c>
      <c r="S165" s="124">
        <f>MAX(-Q165,0)</f>
        <v/>
      </c>
      <c r="T165" s="124">
        <f>Q165+O165-P165</f>
        <v/>
      </c>
      <c r="U165" s="124">
        <f>MAX(T165,0)</f>
        <v/>
      </c>
      <c r="V165" s="124">
        <f>MAX(-T165,0)</f>
        <v/>
      </c>
    </row>
    <row r="166" ht="15" customHeight="1" s="78">
      <c r="A166" s="93" t="inlineStr">
        <is>
          <t>635</t>
        </is>
      </c>
      <c r="B166" s="94" t="inlineStr">
        <is>
          <t>Chi phí tài chính</t>
        </is>
      </c>
      <c r="C166" s="122" t="n">
        <v>1</v>
      </c>
      <c r="D166" s="123">
        <f>IF($A166="","",SUMIF($A$8:$A$251,$A166&amp;"*",R$8:R$251))</f>
        <v/>
      </c>
      <c r="E166" s="123">
        <f>IF($A166="","",SUMIF($A$8:$A$251,$A166&amp;"*",S$8:S$251))</f>
        <v/>
      </c>
      <c r="F166" s="123">
        <f>IF($A166="","",SUMIF($A$8:$A$251,$A166&amp;"*",O$8:O$251))</f>
        <v/>
      </c>
      <c r="G166" s="123">
        <f>IF($A166="","",SUMIF($A$8:$A$251,$A166&amp;"*",P$8:P$251))</f>
        <v/>
      </c>
      <c r="H166" s="123">
        <f>IF($A166="","",SUMIF($A$8:$A$251,$A166&amp;"*",U$8:U$251))</f>
        <v/>
      </c>
      <c r="I166" s="123">
        <f>IF($A166="","",SUMIF($A$8:$A$251,$A166&amp;"*",V$8:V$251))</f>
        <v/>
      </c>
      <c r="K166" s="124">
        <f>IF($A166="",0,SUMIFS(SDDK!$C$8:$C$251,SDDK!$A$8:$A$251,$A166))</f>
        <v/>
      </c>
      <c r="L166" s="124">
        <f>IF($A166="",0,SUMIFS(SDDK!$D$8:$D$251,SDDK!$A$8:$A$251,$A166))</f>
        <v/>
      </c>
      <c r="M166" s="124">
        <f>IF($A166="",0,SUMIFS(NKC!$H$7:$H$3006,NKC!$F$7:$F$3006,$A166,NKC!$B$7:$B$3006,"&lt;"&amp;TU_NGAY))</f>
        <v/>
      </c>
      <c r="N166" s="124">
        <f>IF($A166="",0,SUMIFS(NKC!$H$7:$H$3006,NKC!$G$7:$G$3006,$A166,NKC!$B$7:$B$3006,"&lt;"&amp;TU_NGAY))</f>
        <v/>
      </c>
      <c r="O166" s="124">
        <f>IF($A166="",0,SUMIFS(NKC!$H$7:$H$3006,NKC!$F$7:$F$3006,$A166,NKC!$B$7:$B$3006,"&gt;="&amp;TU_NGAY,NKC!$B$7:$B$3006,"&lt;="&amp;DEN_NGAY))</f>
        <v/>
      </c>
      <c r="P166" s="124">
        <f>IF($A166="",0,SUMIFS(NKC!$H$7:$H$3006,NKC!$G$7:$G$3006,$A166,NKC!$B$7:$B$3006,"&gt;="&amp;TU_NGAY,NKC!$B$7:$B$3006,"&lt;="&amp;DEN_NGAY))</f>
        <v/>
      </c>
      <c r="Q166" s="124">
        <f>K166-L166+M166-N166</f>
        <v/>
      </c>
      <c r="R166" s="124">
        <f>MAX(Q166,0)</f>
        <v/>
      </c>
      <c r="S166" s="124">
        <f>MAX(-Q166,0)</f>
        <v/>
      </c>
      <c r="T166" s="124">
        <f>Q166+O166-P166</f>
        <v/>
      </c>
      <c r="U166" s="124">
        <f>MAX(T166,0)</f>
        <v/>
      </c>
      <c r="V166" s="124">
        <f>MAX(-T166,0)</f>
        <v/>
      </c>
    </row>
    <row r="167" ht="15" customHeight="1" s="78">
      <c r="A167" s="93" t="inlineStr">
        <is>
          <t>641</t>
        </is>
      </c>
      <c r="B167" s="94" t="inlineStr">
        <is>
          <t>Chi phí bán hàng</t>
        </is>
      </c>
      <c r="C167" s="122" t="n">
        <v>1</v>
      </c>
      <c r="D167" s="123">
        <f>IF($A167="","",SUMIF($A$8:$A$251,$A167&amp;"*",R$8:R$251))</f>
        <v/>
      </c>
      <c r="E167" s="123">
        <f>IF($A167="","",SUMIF($A$8:$A$251,$A167&amp;"*",S$8:S$251))</f>
        <v/>
      </c>
      <c r="F167" s="123">
        <f>IF($A167="","",SUMIF($A$8:$A$251,$A167&amp;"*",O$8:O$251))</f>
        <v/>
      </c>
      <c r="G167" s="123">
        <f>IF($A167="","",SUMIF($A$8:$A$251,$A167&amp;"*",P$8:P$251))</f>
        <v/>
      </c>
      <c r="H167" s="123">
        <f>IF($A167="","",SUMIF($A$8:$A$251,$A167&amp;"*",U$8:U$251))</f>
        <v/>
      </c>
      <c r="I167" s="123">
        <f>IF($A167="","",SUMIF($A$8:$A$251,$A167&amp;"*",V$8:V$251))</f>
        <v/>
      </c>
      <c r="K167" s="124">
        <f>IF($A167="",0,SUMIFS(SDDK!$C$8:$C$251,SDDK!$A$8:$A$251,$A167))</f>
        <v/>
      </c>
      <c r="L167" s="124">
        <f>IF($A167="",0,SUMIFS(SDDK!$D$8:$D$251,SDDK!$A$8:$A$251,$A167))</f>
        <v/>
      </c>
      <c r="M167" s="124">
        <f>IF($A167="",0,SUMIFS(NKC!$H$7:$H$3006,NKC!$F$7:$F$3006,$A167,NKC!$B$7:$B$3006,"&lt;"&amp;TU_NGAY))</f>
        <v/>
      </c>
      <c r="N167" s="124">
        <f>IF($A167="",0,SUMIFS(NKC!$H$7:$H$3006,NKC!$G$7:$G$3006,$A167,NKC!$B$7:$B$3006,"&lt;"&amp;TU_NGAY))</f>
        <v/>
      </c>
      <c r="O167" s="124">
        <f>IF($A167="",0,SUMIFS(NKC!$H$7:$H$3006,NKC!$F$7:$F$3006,$A167,NKC!$B$7:$B$3006,"&gt;="&amp;TU_NGAY,NKC!$B$7:$B$3006,"&lt;="&amp;DEN_NGAY))</f>
        <v/>
      </c>
      <c r="P167" s="124">
        <f>IF($A167="",0,SUMIFS(NKC!$H$7:$H$3006,NKC!$G$7:$G$3006,$A167,NKC!$B$7:$B$3006,"&gt;="&amp;TU_NGAY,NKC!$B$7:$B$3006,"&lt;="&amp;DEN_NGAY))</f>
        <v/>
      </c>
      <c r="Q167" s="124">
        <f>K167-L167+M167-N167</f>
        <v/>
      </c>
      <c r="R167" s="124">
        <f>MAX(Q167,0)</f>
        <v/>
      </c>
      <c r="S167" s="124">
        <f>MAX(-Q167,0)</f>
        <v/>
      </c>
      <c r="T167" s="124">
        <f>Q167+O167-P167</f>
        <v/>
      </c>
      <c r="U167" s="124">
        <f>MAX(T167,0)</f>
        <v/>
      </c>
      <c r="V167" s="124">
        <f>MAX(-T167,0)</f>
        <v/>
      </c>
    </row>
    <row r="168" ht="15" customHeight="1" s="78">
      <c r="A168" s="96" t="inlineStr">
        <is>
          <t>6411</t>
        </is>
      </c>
      <c r="B168" s="97" t="inlineStr">
        <is>
          <t>Chi phí nhân viên</t>
        </is>
      </c>
      <c r="C168" s="122" t="n">
        <v>2</v>
      </c>
      <c r="D168" s="125">
        <f>IF($A168="","",SUMIF($A$8:$A$251,$A168&amp;"*",R$8:R$251))</f>
        <v/>
      </c>
      <c r="E168" s="125">
        <f>IF($A168="","",SUMIF($A$8:$A$251,$A168&amp;"*",S$8:S$251))</f>
        <v/>
      </c>
      <c r="F168" s="125">
        <f>IF($A168="","",SUMIF($A$8:$A$251,$A168&amp;"*",O$8:O$251))</f>
        <v/>
      </c>
      <c r="G168" s="125">
        <f>IF($A168="","",SUMIF($A$8:$A$251,$A168&amp;"*",P$8:P$251))</f>
        <v/>
      </c>
      <c r="H168" s="125">
        <f>IF($A168="","",SUMIF($A$8:$A$251,$A168&amp;"*",U$8:U$251))</f>
        <v/>
      </c>
      <c r="I168" s="125">
        <f>IF($A168="","",SUMIF($A$8:$A$251,$A168&amp;"*",V$8:V$251))</f>
        <v/>
      </c>
      <c r="K168" s="124">
        <f>IF($A168="",0,SUMIFS(SDDK!$C$8:$C$251,SDDK!$A$8:$A$251,$A168))</f>
        <v/>
      </c>
      <c r="L168" s="124">
        <f>IF($A168="",0,SUMIFS(SDDK!$D$8:$D$251,SDDK!$A$8:$A$251,$A168))</f>
        <v/>
      </c>
      <c r="M168" s="124">
        <f>IF($A168="",0,SUMIFS(NKC!$H$7:$H$3006,NKC!$F$7:$F$3006,$A168,NKC!$B$7:$B$3006,"&lt;"&amp;TU_NGAY))</f>
        <v/>
      </c>
      <c r="N168" s="124">
        <f>IF($A168="",0,SUMIFS(NKC!$H$7:$H$3006,NKC!$G$7:$G$3006,$A168,NKC!$B$7:$B$3006,"&lt;"&amp;TU_NGAY))</f>
        <v/>
      </c>
      <c r="O168" s="124">
        <f>IF($A168="",0,SUMIFS(NKC!$H$7:$H$3006,NKC!$F$7:$F$3006,$A168,NKC!$B$7:$B$3006,"&gt;="&amp;TU_NGAY,NKC!$B$7:$B$3006,"&lt;="&amp;DEN_NGAY))</f>
        <v/>
      </c>
      <c r="P168" s="124">
        <f>IF($A168="",0,SUMIFS(NKC!$H$7:$H$3006,NKC!$G$7:$G$3006,$A168,NKC!$B$7:$B$3006,"&gt;="&amp;TU_NGAY,NKC!$B$7:$B$3006,"&lt;="&amp;DEN_NGAY))</f>
        <v/>
      </c>
      <c r="Q168" s="124">
        <f>K168-L168+M168-N168</f>
        <v/>
      </c>
      <c r="R168" s="124">
        <f>MAX(Q168,0)</f>
        <v/>
      </c>
      <c r="S168" s="124">
        <f>MAX(-Q168,0)</f>
        <v/>
      </c>
      <c r="T168" s="124">
        <f>Q168+O168-P168</f>
        <v/>
      </c>
      <c r="U168" s="124">
        <f>MAX(T168,0)</f>
        <v/>
      </c>
      <c r="V168" s="124">
        <f>MAX(-T168,0)</f>
        <v/>
      </c>
    </row>
    <row r="169" ht="15" customHeight="1" s="78">
      <c r="A169" s="96" t="inlineStr">
        <is>
          <t>6412</t>
        </is>
      </c>
      <c r="B169" s="97" t="inlineStr">
        <is>
          <t>Chi phí vật liệu, bao bì</t>
        </is>
      </c>
      <c r="C169" s="122" t="n">
        <v>2</v>
      </c>
      <c r="D169" s="125">
        <f>IF($A169="","",SUMIF($A$8:$A$251,$A169&amp;"*",R$8:R$251))</f>
        <v/>
      </c>
      <c r="E169" s="125">
        <f>IF($A169="","",SUMIF($A$8:$A$251,$A169&amp;"*",S$8:S$251))</f>
        <v/>
      </c>
      <c r="F169" s="125">
        <f>IF($A169="","",SUMIF($A$8:$A$251,$A169&amp;"*",O$8:O$251))</f>
        <v/>
      </c>
      <c r="G169" s="125">
        <f>IF($A169="","",SUMIF($A$8:$A$251,$A169&amp;"*",P$8:P$251))</f>
        <v/>
      </c>
      <c r="H169" s="125">
        <f>IF($A169="","",SUMIF($A$8:$A$251,$A169&amp;"*",U$8:U$251))</f>
        <v/>
      </c>
      <c r="I169" s="125">
        <f>IF($A169="","",SUMIF($A$8:$A$251,$A169&amp;"*",V$8:V$251))</f>
        <v/>
      </c>
      <c r="K169" s="124">
        <f>IF($A169="",0,SUMIFS(SDDK!$C$8:$C$251,SDDK!$A$8:$A$251,$A169))</f>
        <v/>
      </c>
      <c r="L169" s="124">
        <f>IF($A169="",0,SUMIFS(SDDK!$D$8:$D$251,SDDK!$A$8:$A$251,$A169))</f>
        <v/>
      </c>
      <c r="M169" s="124">
        <f>IF($A169="",0,SUMIFS(NKC!$H$7:$H$3006,NKC!$F$7:$F$3006,$A169,NKC!$B$7:$B$3006,"&lt;"&amp;TU_NGAY))</f>
        <v/>
      </c>
      <c r="N169" s="124">
        <f>IF($A169="",0,SUMIFS(NKC!$H$7:$H$3006,NKC!$G$7:$G$3006,$A169,NKC!$B$7:$B$3006,"&lt;"&amp;TU_NGAY))</f>
        <v/>
      </c>
      <c r="O169" s="124">
        <f>IF($A169="",0,SUMIFS(NKC!$H$7:$H$3006,NKC!$F$7:$F$3006,$A169,NKC!$B$7:$B$3006,"&gt;="&amp;TU_NGAY,NKC!$B$7:$B$3006,"&lt;="&amp;DEN_NGAY))</f>
        <v/>
      </c>
      <c r="P169" s="124">
        <f>IF($A169="",0,SUMIFS(NKC!$H$7:$H$3006,NKC!$G$7:$G$3006,$A169,NKC!$B$7:$B$3006,"&gt;="&amp;TU_NGAY,NKC!$B$7:$B$3006,"&lt;="&amp;DEN_NGAY))</f>
        <v/>
      </c>
      <c r="Q169" s="124">
        <f>K169-L169+M169-N169</f>
        <v/>
      </c>
      <c r="R169" s="124">
        <f>MAX(Q169,0)</f>
        <v/>
      </c>
      <c r="S169" s="124">
        <f>MAX(-Q169,0)</f>
        <v/>
      </c>
      <c r="T169" s="124">
        <f>Q169+O169-P169</f>
        <v/>
      </c>
      <c r="U169" s="124">
        <f>MAX(T169,0)</f>
        <v/>
      </c>
      <c r="V169" s="124">
        <f>MAX(-T169,0)</f>
        <v/>
      </c>
    </row>
    <row r="170" ht="15" customHeight="1" s="78">
      <c r="A170" s="96" t="inlineStr">
        <is>
          <t>6413</t>
        </is>
      </c>
      <c r="B170" s="97" t="inlineStr">
        <is>
          <t>Chi phí dụng cụ, đồ dùng</t>
        </is>
      </c>
      <c r="C170" s="122" t="n">
        <v>2</v>
      </c>
      <c r="D170" s="125">
        <f>IF($A170="","",SUMIF($A$8:$A$251,$A170&amp;"*",R$8:R$251))</f>
        <v/>
      </c>
      <c r="E170" s="125">
        <f>IF($A170="","",SUMIF($A$8:$A$251,$A170&amp;"*",S$8:S$251))</f>
        <v/>
      </c>
      <c r="F170" s="125">
        <f>IF($A170="","",SUMIF($A$8:$A$251,$A170&amp;"*",O$8:O$251))</f>
        <v/>
      </c>
      <c r="G170" s="125">
        <f>IF($A170="","",SUMIF($A$8:$A$251,$A170&amp;"*",P$8:P$251))</f>
        <v/>
      </c>
      <c r="H170" s="125">
        <f>IF($A170="","",SUMIF($A$8:$A$251,$A170&amp;"*",U$8:U$251))</f>
        <v/>
      </c>
      <c r="I170" s="125">
        <f>IF($A170="","",SUMIF($A$8:$A$251,$A170&amp;"*",V$8:V$251))</f>
        <v/>
      </c>
      <c r="K170" s="124">
        <f>IF($A170="",0,SUMIFS(SDDK!$C$8:$C$251,SDDK!$A$8:$A$251,$A170))</f>
        <v/>
      </c>
      <c r="L170" s="124">
        <f>IF($A170="",0,SUMIFS(SDDK!$D$8:$D$251,SDDK!$A$8:$A$251,$A170))</f>
        <v/>
      </c>
      <c r="M170" s="124">
        <f>IF($A170="",0,SUMIFS(NKC!$H$7:$H$3006,NKC!$F$7:$F$3006,$A170,NKC!$B$7:$B$3006,"&lt;"&amp;TU_NGAY))</f>
        <v/>
      </c>
      <c r="N170" s="124">
        <f>IF($A170="",0,SUMIFS(NKC!$H$7:$H$3006,NKC!$G$7:$G$3006,$A170,NKC!$B$7:$B$3006,"&lt;"&amp;TU_NGAY))</f>
        <v/>
      </c>
      <c r="O170" s="124">
        <f>IF($A170="",0,SUMIFS(NKC!$H$7:$H$3006,NKC!$F$7:$F$3006,$A170,NKC!$B$7:$B$3006,"&gt;="&amp;TU_NGAY,NKC!$B$7:$B$3006,"&lt;="&amp;DEN_NGAY))</f>
        <v/>
      </c>
      <c r="P170" s="124">
        <f>IF($A170="",0,SUMIFS(NKC!$H$7:$H$3006,NKC!$G$7:$G$3006,$A170,NKC!$B$7:$B$3006,"&gt;="&amp;TU_NGAY,NKC!$B$7:$B$3006,"&lt;="&amp;DEN_NGAY))</f>
        <v/>
      </c>
      <c r="Q170" s="124">
        <f>K170-L170+M170-N170</f>
        <v/>
      </c>
      <c r="R170" s="124">
        <f>MAX(Q170,0)</f>
        <v/>
      </c>
      <c r="S170" s="124">
        <f>MAX(-Q170,0)</f>
        <v/>
      </c>
      <c r="T170" s="124">
        <f>Q170+O170-P170</f>
        <v/>
      </c>
      <c r="U170" s="124">
        <f>MAX(T170,0)</f>
        <v/>
      </c>
      <c r="V170" s="124">
        <f>MAX(-T170,0)</f>
        <v/>
      </c>
    </row>
    <row r="171" ht="15" customHeight="1" s="78">
      <c r="A171" s="96" t="inlineStr">
        <is>
          <t>6414</t>
        </is>
      </c>
      <c r="B171" s="97" t="inlineStr">
        <is>
          <t>Chi phí khấu hao TSCĐ</t>
        </is>
      </c>
      <c r="C171" s="122" t="n">
        <v>2</v>
      </c>
      <c r="D171" s="125">
        <f>IF($A171="","",SUMIF($A$8:$A$251,$A171&amp;"*",R$8:R$251))</f>
        <v/>
      </c>
      <c r="E171" s="125">
        <f>IF($A171="","",SUMIF($A$8:$A$251,$A171&amp;"*",S$8:S$251))</f>
        <v/>
      </c>
      <c r="F171" s="125">
        <f>IF($A171="","",SUMIF($A$8:$A$251,$A171&amp;"*",O$8:O$251))</f>
        <v/>
      </c>
      <c r="G171" s="125">
        <f>IF($A171="","",SUMIF($A$8:$A$251,$A171&amp;"*",P$8:P$251))</f>
        <v/>
      </c>
      <c r="H171" s="125">
        <f>IF($A171="","",SUMIF($A$8:$A$251,$A171&amp;"*",U$8:U$251))</f>
        <v/>
      </c>
      <c r="I171" s="125">
        <f>IF($A171="","",SUMIF($A$8:$A$251,$A171&amp;"*",V$8:V$251))</f>
        <v/>
      </c>
      <c r="K171" s="124">
        <f>IF($A171="",0,SUMIFS(SDDK!$C$8:$C$251,SDDK!$A$8:$A$251,$A171))</f>
        <v/>
      </c>
      <c r="L171" s="124">
        <f>IF($A171="",0,SUMIFS(SDDK!$D$8:$D$251,SDDK!$A$8:$A$251,$A171))</f>
        <v/>
      </c>
      <c r="M171" s="124">
        <f>IF($A171="",0,SUMIFS(NKC!$H$7:$H$3006,NKC!$F$7:$F$3006,$A171,NKC!$B$7:$B$3006,"&lt;"&amp;TU_NGAY))</f>
        <v/>
      </c>
      <c r="N171" s="124">
        <f>IF($A171="",0,SUMIFS(NKC!$H$7:$H$3006,NKC!$G$7:$G$3006,$A171,NKC!$B$7:$B$3006,"&lt;"&amp;TU_NGAY))</f>
        <v/>
      </c>
      <c r="O171" s="124">
        <f>IF($A171="",0,SUMIFS(NKC!$H$7:$H$3006,NKC!$F$7:$F$3006,$A171,NKC!$B$7:$B$3006,"&gt;="&amp;TU_NGAY,NKC!$B$7:$B$3006,"&lt;="&amp;DEN_NGAY))</f>
        <v/>
      </c>
      <c r="P171" s="124">
        <f>IF($A171="",0,SUMIFS(NKC!$H$7:$H$3006,NKC!$G$7:$G$3006,$A171,NKC!$B$7:$B$3006,"&gt;="&amp;TU_NGAY,NKC!$B$7:$B$3006,"&lt;="&amp;DEN_NGAY))</f>
        <v/>
      </c>
      <c r="Q171" s="124">
        <f>K171-L171+M171-N171</f>
        <v/>
      </c>
      <c r="R171" s="124">
        <f>MAX(Q171,0)</f>
        <v/>
      </c>
      <c r="S171" s="124">
        <f>MAX(-Q171,0)</f>
        <v/>
      </c>
      <c r="T171" s="124">
        <f>Q171+O171-P171</f>
        <v/>
      </c>
      <c r="U171" s="124">
        <f>MAX(T171,0)</f>
        <v/>
      </c>
      <c r="V171" s="124">
        <f>MAX(-T171,0)</f>
        <v/>
      </c>
    </row>
    <row r="172" ht="15" customHeight="1" s="78">
      <c r="A172" s="96" t="inlineStr">
        <is>
          <t>6415</t>
        </is>
      </c>
      <c r="B172" s="97" t="inlineStr">
        <is>
          <t>Thuế, phí, lệ phí</t>
        </is>
      </c>
      <c r="C172" s="122" t="n">
        <v>2</v>
      </c>
      <c r="D172" s="125">
        <f>IF($A172="","",SUMIF($A$8:$A$251,$A172&amp;"*",R$8:R$251))</f>
        <v/>
      </c>
      <c r="E172" s="125">
        <f>IF($A172="","",SUMIF($A$8:$A$251,$A172&amp;"*",S$8:S$251))</f>
        <v/>
      </c>
      <c r="F172" s="125">
        <f>IF($A172="","",SUMIF($A$8:$A$251,$A172&amp;"*",O$8:O$251))</f>
        <v/>
      </c>
      <c r="G172" s="125">
        <f>IF($A172="","",SUMIF($A$8:$A$251,$A172&amp;"*",P$8:P$251))</f>
        <v/>
      </c>
      <c r="H172" s="125">
        <f>IF($A172="","",SUMIF($A$8:$A$251,$A172&amp;"*",U$8:U$251))</f>
        <v/>
      </c>
      <c r="I172" s="125">
        <f>IF($A172="","",SUMIF($A$8:$A$251,$A172&amp;"*",V$8:V$251))</f>
        <v/>
      </c>
      <c r="K172" s="124">
        <f>IF($A172="",0,SUMIFS(SDDK!$C$8:$C$251,SDDK!$A$8:$A$251,$A172))</f>
        <v/>
      </c>
      <c r="L172" s="124">
        <f>IF($A172="",0,SUMIFS(SDDK!$D$8:$D$251,SDDK!$A$8:$A$251,$A172))</f>
        <v/>
      </c>
      <c r="M172" s="124">
        <f>IF($A172="",0,SUMIFS(NKC!$H$7:$H$3006,NKC!$F$7:$F$3006,$A172,NKC!$B$7:$B$3006,"&lt;"&amp;TU_NGAY))</f>
        <v/>
      </c>
      <c r="N172" s="124">
        <f>IF($A172="",0,SUMIFS(NKC!$H$7:$H$3006,NKC!$G$7:$G$3006,$A172,NKC!$B$7:$B$3006,"&lt;"&amp;TU_NGAY))</f>
        <v/>
      </c>
      <c r="O172" s="124">
        <f>IF($A172="",0,SUMIFS(NKC!$H$7:$H$3006,NKC!$F$7:$F$3006,$A172,NKC!$B$7:$B$3006,"&gt;="&amp;TU_NGAY,NKC!$B$7:$B$3006,"&lt;="&amp;DEN_NGAY))</f>
        <v/>
      </c>
      <c r="P172" s="124">
        <f>IF($A172="",0,SUMIFS(NKC!$H$7:$H$3006,NKC!$G$7:$G$3006,$A172,NKC!$B$7:$B$3006,"&gt;="&amp;TU_NGAY,NKC!$B$7:$B$3006,"&lt;="&amp;DEN_NGAY))</f>
        <v/>
      </c>
      <c r="Q172" s="124">
        <f>K172-L172+M172-N172</f>
        <v/>
      </c>
      <c r="R172" s="124">
        <f>MAX(Q172,0)</f>
        <v/>
      </c>
      <c r="S172" s="124">
        <f>MAX(-Q172,0)</f>
        <v/>
      </c>
      <c r="T172" s="124">
        <f>Q172+O172-P172</f>
        <v/>
      </c>
      <c r="U172" s="124">
        <f>MAX(T172,0)</f>
        <v/>
      </c>
      <c r="V172" s="124">
        <f>MAX(-T172,0)</f>
        <v/>
      </c>
    </row>
    <row r="173" ht="15" customHeight="1" s="78">
      <c r="A173" s="96" t="inlineStr">
        <is>
          <t>6417</t>
        </is>
      </c>
      <c r="B173" s="97" t="inlineStr">
        <is>
          <t>Chi phí dịch vụ mua ngoài</t>
        </is>
      </c>
      <c r="C173" s="122" t="n">
        <v>2</v>
      </c>
      <c r="D173" s="125">
        <f>IF($A173="","",SUMIF($A$8:$A$251,$A173&amp;"*",R$8:R$251))</f>
        <v/>
      </c>
      <c r="E173" s="125">
        <f>IF($A173="","",SUMIF($A$8:$A$251,$A173&amp;"*",S$8:S$251))</f>
        <v/>
      </c>
      <c r="F173" s="125">
        <f>IF($A173="","",SUMIF($A$8:$A$251,$A173&amp;"*",O$8:O$251))</f>
        <v/>
      </c>
      <c r="G173" s="125">
        <f>IF($A173="","",SUMIF($A$8:$A$251,$A173&amp;"*",P$8:P$251))</f>
        <v/>
      </c>
      <c r="H173" s="125">
        <f>IF($A173="","",SUMIF($A$8:$A$251,$A173&amp;"*",U$8:U$251))</f>
        <v/>
      </c>
      <c r="I173" s="125">
        <f>IF($A173="","",SUMIF($A$8:$A$251,$A173&amp;"*",V$8:V$251))</f>
        <v/>
      </c>
      <c r="K173" s="124">
        <f>IF($A173="",0,SUMIFS(SDDK!$C$8:$C$251,SDDK!$A$8:$A$251,$A173))</f>
        <v/>
      </c>
      <c r="L173" s="124">
        <f>IF($A173="",0,SUMIFS(SDDK!$D$8:$D$251,SDDK!$A$8:$A$251,$A173))</f>
        <v/>
      </c>
      <c r="M173" s="124">
        <f>IF($A173="",0,SUMIFS(NKC!$H$7:$H$3006,NKC!$F$7:$F$3006,$A173,NKC!$B$7:$B$3006,"&lt;"&amp;TU_NGAY))</f>
        <v/>
      </c>
      <c r="N173" s="124">
        <f>IF($A173="",0,SUMIFS(NKC!$H$7:$H$3006,NKC!$G$7:$G$3006,$A173,NKC!$B$7:$B$3006,"&lt;"&amp;TU_NGAY))</f>
        <v/>
      </c>
      <c r="O173" s="124">
        <f>IF($A173="",0,SUMIFS(NKC!$H$7:$H$3006,NKC!$F$7:$F$3006,$A173,NKC!$B$7:$B$3006,"&gt;="&amp;TU_NGAY,NKC!$B$7:$B$3006,"&lt;="&amp;DEN_NGAY))</f>
        <v/>
      </c>
      <c r="P173" s="124">
        <f>IF($A173="",0,SUMIFS(NKC!$H$7:$H$3006,NKC!$G$7:$G$3006,$A173,NKC!$B$7:$B$3006,"&gt;="&amp;TU_NGAY,NKC!$B$7:$B$3006,"&lt;="&amp;DEN_NGAY))</f>
        <v/>
      </c>
      <c r="Q173" s="124">
        <f>K173-L173+M173-N173</f>
        <v/>
      </c>
      <c r="R173" s="124">
        <f>MAX(Q173,0)</f>
        <v/>
      </c>
      <c r="S173" s="124">
        <f>MAX(-Q173,0)</f>
        <v/>
      </c>
      <c r="T173" s="124">
        <f>Q173+O173-P173</f>
        <v/>
      </c>
      <c r="U173" s="124">
        <f>MAX(T173,0)</f>
        <v/>
      </c>
      <c r="V173" s="124">
        <f>MAX(-T173,0)</f>
        <v/>
      </c>
    </row>
    <row r="174" ht="15" customHeight="1" s="78">
      <c r="A174" s="96" t="inlineStr">
        <is>
          <t>6418</t>
        </is>
      </c>
      <c r="B174" s="97" t="inlineStr">
        <is>
          <t>Chi phí bằng tiền khác</t>
        </is>
      </c>
      <c r="C174" s="122" t="n">
        <v>2</v>
      </c>
      <c r="D174" s="125">
        <f>IF($A174="","",SUMIF($A$8:$A$251,$A174&amp;"*",R$8:R$251))</f>
        <v/>
      </c>
      <c r="E174" s="125">
        <f>IF($A174="","",SUMIF($A$8:$A$251,$A174&amp;"*",S$8:S$251))</f>
        <v/>
      </c>
      <c r="F174" s="125">
        <f>IF($A174="","",SUMIF($A$8:$A$251,$A174&amp;"*",O$8:O$251))</f>
        <v/>
      </c>
      <c r="G174" s="125">
        <f>IF($A174="","",SUMIF($A$8:$A$251,$A174&amp;"*",P$8:P$251))</f>
        <v/>
      </c>
      <c r="H174" s="125">
        <f>IF($A174="","",SUMIF($A$8:$A$251,$A174&amp;"*",U$8:U$251))</f>
        <v/>
      </c>
      <c r="I174" s="125">
        <f>IF($A174="","",SUMIF($A$8:$A$251,$A174&amp;"*",V$8:V$251))</f>
        <v/>
      </c>
      <c r="K174" s="124">
        <f>IF($A174="",0,SUMIFS(SDDK!$C$8:$C$251,SDDK!$A$8:$A$251,$A174))</f>
        <v/>
      </c>
      <c r="L174" s="124">
        <f>IF($A174="",0,SUMIFS(SDDK!$D$8:$D$251,SDDK!$A$8:$A$251,$A174))</f>
        <v/>
      </c>
      <c r="M174" s="124">
        <f>IF($A174="",0,SUMIFS(NKC!$H$7:$H$3006,NKC!$F$7:$F$3006,$A174,NKC!$B$7:$B$3006,"&lt;"&amp;TU_NGAY))</f>
        <v/>
      </c>
      <c r="N174" s="124">
        <f>IF($A174="",0,SUMIFS(NKC!$H$7:$H$3006,NKC!$G$7:$G$3006,$A174,NKC!$B$7:$B$3006,"&lt;"&amp;TU_NGAY))</f>
        <v/>
      </c>
      <c r="O174" s="124">
        <f>IF($A174="",0,SUMIFS(NKC!$H$7:$H$3006,NKC!$F$7:$F$3006,$A174,NKC!$B$7:$B$3006,"&gt;="&amp;TU_NGAY,NKC!$B$7:$B$3006,"&lt;="&amp;DEN_NGAY))</f>
        <v/>
      </c>
      <c r="P174" s="124">
        <f>IF($A174="",0,SUMIFS(NKC!$H$7:$H$3006,NKC!$G$7:$G$3006,$A174,NKC!$B$7:$B$3006,"&gt;="&amp;TU_NGAY,NKC!$B$7:$B$3006,"&lt;="&amp;DEN_NGAY))</f>
        <v/>
      </c>
      <c r="Q174" s="124">
        <f>K174-L174+M174-N174</f>
        <v/>
      </c>
      <c r="R174" s="124">
        <f>MAX(Q174,0)</f>
        <v/>
      </c>
      <c r="S174" s="124">
        <f>MAX(-Q174,0)</f>
        <v/>
      </c>
      <c r="T174" s="124">
        <f>Q174+O174-P174</f>
        <v/>
      </c>
      <c r="U174" s="124">
        <f>MAX(T174,0)</f>
        <v/>
      </c>
      <c r="V174" s="124">
        <f>MAX(-T174,0)</f>
        <v/>
      </c>
    </row>
    <row r="175" ht="15" customHeight="1" s="78">
      <c r="A175" s="93" t="inlineStr">
        <is>
          <t>642</t>
        </is>
      </c>
      <c r="B175" s="94" t="inlineStr">
        <is>
          <t>Chi phí quản lý doanh nghiệp</t>
        </is>
      </c>
      <c r="C175" s="122" t="n">
        <v>1</v>
      </c>
      <c r="D175" s="123">
        <f>IF($A175="","",SUMIF($A$8:$A$251,$A175&amp;"*",R$8:R$251))</f>
        <v/>
      </c>
      <c r="E175" s="123">
        <f>IF($A175="","",SUMIF($A$8:$A$251,$A175&amp;"*",S$8:S$251))</f>
        <v/>
      </c>
      <c r="F175" s="123">
        <f>IF($A175="","",SUMIF($A$8:$A$251,$A175&amp;"*",O$8:O$251))</f>
        <v/>
      </c>
      <c r="G175" s="123">
        <f>IF($A175="","",SUMIF($A$8:$A$251,$A175&amp;"*",P$8:P$251))</f>
        <v/>
      </c>
      <c r="H175" s="123">
        <f>IF($A175="","",SUMIF($A$8:$A$251,$A175&amp;"*",U$8:U$251))</f>
        <v/>
      </c>
      <c r="I175" s="123">
        <f>IF($A175="","",SUMIF($A$8:$A$251,$A175&amp;"*",V$8:V$251))</f>
        <v/>
      </c>
      <c r="K175" s="124">
        <f>IF($A175="",0,SUMIFS(SDDK!$C$8:$C$251,SDDK!$A$8:$A$251,$A175))</f>
        <v/>
      </c>
      <c r="L175" s="124">
        <f>IF($A175="",0,SUMIFS(SDDK!$D$8:$D$251,SDDK!$A$8:$A$251,$A175))</f>
        <v/>
      </c>
      <c r="M175" s="124">
        <f>IF($A175="",0,SUMIFS(NKC!$H$7:$H$3006,NKC!$F$7:$F$3006,$A175,NKC!$B$7:$B$3006,"&lt;"&amp;TU_NGAY))</f>
        <v/>
      </c>
      <c r="N175" s="124">
        <f>IF($A175="",0,SUMIFS(NKC!$H$7:$H$3006,NKC!$G$7:$G$3006,$A175,NKC!$B$7:$B$3006,"&lt;"&amp;TU_NGAY))</f>
        <v/>
      </c>
      <c r="O175" s="124">
        <f>IF($A175="",0,SUMIFS(NKC!$H$7:$H$3006,NKC!$F$7:$F$3006,$A175,NKC!$B$7:$B$3006,"&gt;="&amp;TU_NGAY,NKC!$B$7:$B$3006,"&lt;="&amp;DEN_NGAY))</f>
        <v/>
      </c>
      <c r="P175" s="124">
        <f>IF($A175="",0,SUMIFS(NKC!$H$7:$H$3006,NKC!$G$7:$G$3006,$A175,NKC!$B$7:$B$3006,"&gt;="&amp;TU_NGAY,NKC!$B$7:$B$3006,"&lt;="&amp;DEN_NGAY))</f>
        <v/>
      </c>
      <c r="Q175" s="124">
        <f>K175-L175+M175-N175</f>
        <v/>
      </c>
      <c r="R175" s="124">
        <f>MAX(Q175,0)</f>
        <v/>
      </c>
      <c r="S175" s="124">
        <f>MAX(-Q175,0)</f>
        <v/>
      </c>
      <c r="T175" s="124">
        <f>Q175+O175-P175</f>
        <v/>
      </c>
      <c r="U175" s="124">
        <f>MAX(T175,0)</f>
        <v/>
      </c>
      <c r="V175" s="124">
        <f>MAX(-T175,0)</f>
        <v/>
      </c>
    </row>
    <row r="176" ht="15" customHeight="1" s="78">
      <c r="A176" s="96" t="inlineStr">
        <is>
          <t>6421</t>
        </is>
      </c>
      <c r="B176" s="97" t="inlineStr">
        <is>
          <t>Chi phí nhân viên quản lý</t>
        </is>
      </c>
      <c r="C176" s="122" t="n">
        <v>2</v>
      </c>
      <c r="D176" s="125">
        <f>IF($A176="","",SUMIF($A$8:$A$251,$A176&amp;"*",R$8:R$251))</f>
        <v/>
      </c>
      <c r="E176" s="125">
        <f>IF($A176="","",SUMIF($A$8:$A$251,$A176&amp;"*",S$8:S$251))</f>
        <v/>
      </c>
      <c r="F176" s="125">
        <f>IF($A176="","",SUMIF($A$8:$A$251,$A176&amp;"*",O$8:O$251))</f>
        <v/>
      </c>
      <c r="G176" s="125">
        <f>IF($A176="","",SUMIF($A$8:$A$251,$A176&amp;"*",P$8:P$251))</f>
        <v/>
      </c>
      <c r="H176" s="125">
        <f>IF($A176="","",SUMIF($A$8:$A$251,$A176&amp;"*",U$8:U$251))</f>
        <v/>
      </c>
      <c r="I176" s="125">
        <f>IF($A176="","",SUMIF($A$8:$A$251,$A176&amp;"*",V$8:V$251))</f>
        <v/>
      </c>
      <c r="K176" s="124">
        <f>IF($A176="",0,SUMIFS(SDDK!$C$8:$C$251,SDDK!$A$8:$A$251,$A176))</f>
        <v/>
      </c>
      <c r="L176" s="124">
        <f>IF($A176="",0,SUMIFS(SDDK!$D$8:$D$251,SDDK!$A$8:$A$251,$A176))</f>
        <v/>
      </c>
      <c r="M176" s="124">
        <f>IF($A176="",0,SUMIFS(NKC!$H$7:$H$3006,NKC!$F$7:$F$3006,$A176,NKC!$B$7:$B$3006,"&lt;"&amp;TU_NGAY))</f>
        <v/>
      </c>
      <c r="N176" s="124">
        <f>IF($A176="",0,SUMIFS(NKC!$H$7:$H$3006,NKC!$G$7:$G$3006,$A176,NKC!$B$7:$B$3006,"&lt;"&amp;TU_NGAY))</f>
        <v/>
      </c>
      <c r="O176" s="124">
        <f>IF($A176="",0,SUMIFS(NKC!$H$7:$H$3006,NKC!$F$7:$F$3006,$A176,NKC!$B$7:$B$3006,"&gt;="&amp;TU_NGAY,NKC!$B$7:$B$3006,"&lt;="&amp;DEN_NGAY))</f>
        <v/>
      </c>
      <c r="P176" s="124">
        <f>IF($A176="",0,SUMIFS(NKC!$H$7:$H$3006,NKC!$G$7:$G$3006,$A176,NKC!$B$7:$B$3006,"&gt;="&amp;TU_NGAY,NKC!$B$7:$B$3006,"&lt;="&amp;DEN_NGAY))</f>
        <v/>
      </c>
      <c r="Q176" s="124">
        <f>K176-L176+M176-N176</f>
        <v/>
      </c>
      <c r="R176" s="124">
        <f>MAX(Q176,0)</f>
        <v/>
      </c>
      <c r="S176" s="124">
        <f>MAX(-Q176,0)</f>
        <v/>
      </c>
      <c r="T176" s="124">
        <f>Q176+O176-P176</f>
        <v/>
      </c>
      <c r="U176" s="124">
        <f>MAX(T176,0)</f>
        <v/>
      </c>
      <c r="V176" s="124">
        <f>MAX(-T176,0)</f>
        <v/>
      </c>
    </row>
    <row r="177" ht="15" customHeight="1" s="78">
      <c r="A177" s="96" t="inlineStr">
        <is>
          <t>6422</t>
        </is>
      </c>
      <c r="B177" s="97" t="inlineStr">
        <is>
          <t>Chi phí vật liệu quản lý</t>
        </is>
      </c>
      <c r="C177" s="122" t="n">
        <v>2</v>
      </c>
      <c r="D177" s="125">
        <f>IF($A177="","",SUMIF($A$8:$A$251,$A177&amp;"*",R$8:R$251))</f>
        <v/>
      </c>
      <c r="E177" s="125">
        <f>IF($A177="","",SUMIF($A$8:$A$251,$A177&amp;"*",S$8:S$251))</f>
        <v/>
      </c>
      <c r="F177" s="125">
        <f>IF($A177="","",SUMIF($A$8:$A$251,$A177&amp;"*",O$8:O$251))</f>
        <v/>
      </c>
      <c r="G177" s="125">
        <f>IF($A177="","",SUMIF($A$8:$A$251,$A177&amp;"*",P$8:P$251))</f>
        <v/>
      </c>
      <c r="H177" s="125">
        <f>IF($A177="","",SUMIF($A$8:$A$251,$A177&amp;"*",U$8:U$251))</f>
        <v/>
      </c>
      <c r="I177" s="125">
        <f>IF($A177="","",SUMIF($A$8:$A$251,$A177&amp;"*",V$8:V$251))</f>
        <v/>
      </c>
      <c r="K177" s="124">
        <f>IF($A177="",0,SUMIFS(SDDK!$C$8:$C$251,SDDK!$A$8:$A$251,$A177))</f>
        <v/>
      </c>
      <c r="L177" s="124">
        <f>IF($A177="",0,SUMIFS(SDDK!$D$8:$D$251,SDDK!$A$8:$A$251,$A177))</f>
        <v/>
      </c>
      <c r="M177" s="124">
        <f>IF($A177="",0,SUMIFS(NKC!$H$7:$H$3006,NKC!$F$7:$F$3006,$A177,NKC!$B$7:$B$3006,"&lt;"&amp;TU_NGAY))</f>
        <v/>
      </c>
      <c r="N177" s="124">
        <f>IF($A177="",0,SUMIFS(NKC!$H$7:$H$3006,NKC!$G$7:$G$3006,$A177,NKC!$B$7:$B$3006,"&lt;"&amp;TU_NGAY))</f>
        <v/>
      </c>
      <c r="O177" s="124">
        <f>IF($A177="",0,SUMIFS(NKC!$H$7:$H$3006,NKC!$F$7:$F$3006,$A177,NKC!$B$7:$B$3006,"&gt;="&amp;TU_NGAY,NKC!$B$7:$B$3006,"&lt;="&amp;DEN_NGAY))</f>
        <v/>
      </c>
      <c r="P177" s="124">
        <f>IF($A177="",0,SUMIFS(NKC!$H$7:$H$3006,NKC!$G$7:$G$3006,$A177,NKC!$B$7:$B$3006,"&gt;="&amp;TU_NGAY,NKC!$B$7:$B$3006,"&lt;="&amp;DEN_NGAY))</f>
        <v/>
      </c>
      <c r="Q177" s="124">
        <f>K177-L177+M177-N177</f>
        <v/>
      </c>
      <c r="R177" s="124">
        <f>MAX(Q177,0)</f>
        <v/>
      </c>
      <c r="S177" s="124">
        <f>MAX(-Q177,0)</f>
        <v/>
      </c>
      <c r="T177" s="124">
        <f>Q177+O177-P177</f>
        <v/>
      </c>
      <c r="U177" s="124">
        <f>MAX(T177,0)</f>
        <v/>
      </c>
      <c r="V177" s="124">
        <f>MAX(-T177,0)</f>
        <v/>
      </c>
    </row>
    <row r="178" ht="15" customHeight="1" s="78">
      <c r="A178" s="96" t="inlineStr">
        <is>
          <t>6423</t>
        </is>
      </c>
      <c r="B178" s="97" t="inlineStr">
        <is>
          <t>Chi phí đồ dùng văn phòng</t>
        </is>
      </c>
      <c r="C178" s="122" t="n">
        <v>2</v>
      </c>
      <c r="D178" s="125">
        <f>IF($A178="","",SUMIF($A$8:$A$251,$A178&amp;"*",R$8:R$251))</f>
        <v/>
      </c>
      <c r="E178" s="125">
        <f>IF($A178="","",SUMIF($A$8:$A$251,$A178&amp;"*",S$8:S$251))</f>
        <v/>
      </c>
      <c r="F178" s="125">
        <f>IF($A178="","",SUMIF($A$8:$A$251,$A178&amp;"*",O$8:O$251))</f>
        <v/>
      </c>
      <c r="G178" s="125">
        <f>IF($A178="","",SUMIF($A$8:$A$251,$A178&amp;"*",P$8:P$251))</f>
        <v/>
      </c>
      <c r="H178" s="125">
        <f>IF($A178="","",SUMIF($A$8:$A$251,$A178&amp;"*",U$8:U$251))</f>
        <v/>
      </c>
      <c r="I178" s="125">
        <f>IF($A178="","",SUMIF($A$8:$A$251,$A178&amp;"*",V$8:V$251))</f>
        <v/>
      </c>
      <c r="K178" s="124">
        <f>IF($A178="",0,SUMIFS(SDDK!$C$8:$C$251,SDDK!$A$8:$A$251,$A178))</f>
        <v/>
      </c>
      <c r="L178" s="124">
        <f>IF($A178="",0,SUMIFS(SDDK!$D$8:$D$251,SDDK!$A$8:$A$251,$A178))</f>
        <v/>
      </c>
      <c r="M178" s="124">
        <f>IF($A178="",0,SUMIFS(NKC!$H$7:$H$3006,NKC!$F$7:$F$3006,$A178,NKC!$B$7:$B$3006,"&lt;"&amp;TU_NGAY))</f>
        <v/>
      </c>
      <c r="N178" s="124">
        <f>IF($A178="",0,SUMIFS(NKC!$H$7:$H$3006,NKC!$G$7:$G$3006,$A178,NKC!$B$7:$B$3006,"&lt;"&amp;TU_NGAY))</f>
        <v/>
      </c>
      <c r="O178" s="124">
        <f>IF($A178="",0,SUMIFS(NKC!$H$7:$H$3006,NKC!$F$7:$F$3006,$A178,NKC!$B$7:$B$3006,"&gt;="&amp;TU_NGAY,NKC!$B$7:$B$3006,"&lt;="&amp;DEN_NGAY))</f>
        <v/>
      </c>
      <c r="P178" s="124">
        <f>IF($A178="",0,SUMIFS(NKC!$H$7:$H$3006,NKC!$G$7:$G$3006,$A178,NKC!$B$7:$B$3006,"&gt;="&amp;TU_NGAY,NKC!$B$7:$B$3006,"&lt;="&amp;DEN_NGAY))</f>
        <v/>
      </c>
      <c r="Q178" s="124">
        <f>K178-L178+M178-N178</f>
        <v/>
      </c>
      <c r="R178" s="124">
        <f>MAX(Q178,0)</f>
        <v/>
      </c>
      <c r="S178" s="124">
        <f>MAX(-Q178,0)</f>
        <v/>
      </c>
      <c r="T178" s="124">
        <f>Q178+O178-P178</f>
        <v/>
      </c>
      <c r="U178" s="124">
        <f>MAX(T178,0)</f>
        <v/>
      </c>
      <c r="V178" s="124">
        <f>MAX(-T178,0)</f>
        <v/>
      </c>
    </row>
    <row r="179" ht="15" customHeight="1" s="78">
      <c r="A179" s="96" t="inlineStr">
        <is>
          <t>6424</t>
        </is>
      </c>
      <c r="B179" s="97" t="inlineStr">
        <is>
          <t>Chi phí khấu hao TSCĐ</t>
        </is>
      </c>
      <c r="C179" s="122" t="n">
        <v>2</v>
      </c>
      <c r="D179" s="125">
        <f>IF($A179="","",SUMIF($A$8:$A$251,$A179&amp;"*",R$8:R$251))</f>
        <v/>
      </c>
      <c r="E179" s="125">
        <f>IF($A179="","",SUMIF($A$8:$A$251,$A179&amp;"*",S$8:S$251))</f>
        <v/>
      </c>
      <c r="F179" s="125">
        <f>IF($A179="","",SUMIF($A$8:$A$251,$A179&amp;"*",O$8:O$251))</f>
        <v/>
      </c>
      <c r="G179" s="125">
        <f>IF($A179="","",SUMIF($A$8:$A$251,$A179&amp;"*",P$8:P$251))</f>
        <v/>
      </c>
      <c r="H179" s="125">
        <f>IF($A179="","",SUMIF($A$8:$A$251,$A179&amp;"*",U$8:U$251))</f>
        <v/>
      </c>
      <c r="I179" s="125">
        <f>IF($A179="","",SUMIF($A$8:$A$251,$A179&amp;"*",V$8:V$251))</f>
        <v/>
      </c>
      <c r="K179" s="124">
        <f>IF($A179="",0,SUMIFS(SDDK!$C$8:$C$251,SDDK!$A$8:$A$251,$A179))</f>
        <v/>
      </c>
      <c r="L179" s="124">
        <f>IF($A179="",0,SUMIFS(SDDK!$D$8:$D$251,SDDK!$A$8:$A$251,$A179))</f>
        <v/>
      </c>
      <c r="M179" s="124">
        <f>IF($A179="",0,SUMIFS(NKC!$H$7:$H$3006,NKC!$F$7:$F$3006,$A179,NKC!$B$7:$B$3006,"&lt;"&amp;TU_NGAY))</f>
        <v/>
      </c>
      <c r="N179" s="124">
        <f>IF($A179="",0,SUMIFS(NKC!$H$7:$H$3006,NKC!$G$7:$G$3006,$A179,NKC!$B$7:$B$3006,"&lt;"&amp;TU_NGAY))</f>
        <v/>
      </c>
      <c r="O179" s="124">
        <f>IF($A179="",0,SUMIFS(NKC!$H$7:$H$3006,NKC!$F$7:$F$3006,$A179,NKC!$B$7:$B$3006,"&gt;="&amp;TU_NGAY,NKC!$B$7:$B$3006,"&lt;="&amp;DEN_NGAY))</f>
        <v/>
      </c>
      <c r="P179" s="124">
        <f>IF($A179="",0,SUMIFS(NKC!$H$7:$H$3006,NKC!$G$7:$G$3006,$A179,NKC!$B$7:$B$3006,"&gt;="&amp;TU_NGAY,NKC!$B$7:$B$3006,"&lt;="&amp;DEN_NGAY))</f>
        <v/>
      </c>
      <c r="Q179" s="124">
        <f>K179-L179+M179-N179</f>
        <v/>
      </c>
      <c r="R179" s="124">
        <f>MAX(Q179,0)</f>
        <v/>
      </c>
      <c r="S179" s="124">
        <f>MAX(-Q179,0)</f>
        <v/>
      </c>
      <c r="T179" s="124">
        <f>Q179+O179-P179</f>
        <v/>
      </c>
      <c r="U179" s="124">
        <f>MAX(T179,0)</f>
        <v/>
      </c>
      <c r="V179" s="124">
        <f>MAX(-T179,0)</f>
        <v/>
      </c>
    </row>
    <row r="180" ht="15" customHeight="1" s="78">
      <c r="A180" s="96" t="inlineStr">
        <is>
          <t>6425</t>
        </is>
      </c>
      <c r="B180" s="97" t="inlineStr">
        <is>
          <t>Thuế, phí và lệ phí</t>
        </is>
      </c>
      <c r="C180" s="122" t="n">
        <v>2</v>
      </c>
      <c r="D180" s="125">
        <f>IF($A180="","",SUMIF($A$8:$A$251,$A180&amp;"*",R$8:R$251))</f>
        <v/>
      </c>
      <c r="E180" s="125">
        <f>IF($A180="","",SUMIF($A$8:$A$251,$A180&amp;"*",S$8:S$251))</f>
        <v/>
      </c>
      <c r="F180" s="125">
        <f>IF($A180="","",SUMIF($A$8:$A$251,$A180&amp;"*",O$8:O$251))</f>
        <v/>
      </c>
      <c r="G180" s="125">
        <f>IF($A180="","",SUMIF($A$8:$A$251,$A180&amp;"*",P$8:P$251))</f>
        <v/>
      </c>
      <c r="H180" s="125">
        <f>IF($A180="","",SUMIF($A$8:$A$251,$A180&amp;"*",U$8:U$251))</f>
        <v/>
      </c>
      <c r="I180" s="125">
        <f>IF($A180="","",SUMIF($A$8:$A$251,$A180&amp;"*",V$8:V$251))</f>
        <v/>
      </c>
      <c r="K180" s="124">
        <f>IF($A180="",0,SUMIFS(SDDK!$C$8:$C$251,SDDK!$A$8:$A$251,$A180))</f>
        <v/>
      </c>
      <c r="L180" s="124">
        <f>IF($A180="",0,SUMIFS(SDDK!$D$8:$D$251,SDDK!$A$8:$A$251,$A180))</f>
        <v/>
      </c>
      <c r="M180" s="124">
        <f>IF($A180="",0,SUMIFS(NKC!$H$7:$H$3006,NKC!$F$7:$F$3006,$A180,NKC!$B$7:$B$3006,"&lt;"&amp;TU_NGAY))</f>
        <v/>
      </c>
      <c r="N180" s="124">
        <f>IF($A180="",0,SUMIFS(NKC!$H$7:$H$3006,NKC!$G$7:$G$3006,$A180,NKC!$B$7:$B$3006,"&lt;"&amp;TU_NGAY))</f>
        <v/>
      </c>
      <c r="O180" s="124">
        <f>IF($A180="",0,SUMIFS(NKC!$H$7:$H$3006,NKC!$F$7:$F$3006,$A180,NKC!$B$7:$B$3006,"&gt;="&amp;TU_NGAY,NKC!$B$7:$B$3006,"&lt;="&amp;DEN_NGAY))</f>
        <v/>
      </c>
      <c r="P180" s="124">
        <f>IF($A180="",0,SUMIFS(NKC!$H$7:$H$3006,NKC!$G$7:$G$3006,$A180,NKC!$B$7:$B$3006,"&gt;="&amp;TU_NGAY,NKC!$B$7:$B$3006,"&lt;="&amp;DEN_NGAY))</f>
        <v/>
      </c>
      <c r="Q180" s="124">
        <f>K180-L180+M180-N180</f>
        <v/>
      </c>
      <c r="R180" s="124">
        <f>MAX(Q180,0)</f>
        <v/>
      </c>
      <c r="S180" s="124">
        <f>MAX(-Q180,0)</f>
        <v/>
      </c>
      <c r="T180" s="124">
        <f>Q180+O180-P180</f>
        <v/>
      </c>
      <c r="U180" s="124">
        <f>MAX(T180,0)</f>
        <v/>
      </c>
      <c r="V180" s="124">
        <f>MAX(-T180,0)</f>
        <v/>
      </c>
    </row>
    <row r="181" ht="15" customHeight="1" s="78">
      <c r="A181" s="96" t="inlineStr">
        <is>
          <t>6426</t>
        </is>
      </c>
      <c r="B181" s="97" t="inlineStr">
        <is>
          <t>Chi phí dự phòng</t>
        </is>
      </c>
      <c r="C181" s="122" t="n">
        <v>2</v>
      </c>
      <c r="D181" s="125">
        <f>IF($A181="","",SUMIF($A$8:$A$251,$A181&amp;"*",R$8:R$251))</f>
        <v/>
      </c>
      <c r="E181" s="125">
        <f>IF($A181="","",SUMIF($A$8:$A$251,$A181&amp;"*",S$8:S$251))</f>
        <v/>
      </c>
      <c r="F181" s="125">
        <f>IF($A181="","",SUMIF($A$8:$A$251,$A181&amp;"*",O$8:O$251))</f>
        <v/>
      </c>
      <c r="G181" s="125">
        <f>IF($A181="","",SUMIF($A$8:$A$251,$A181&amp;"*",P$8:P$251))</f>
        <v/>
      </c>
      <c r="H181" s="125">
        <f>IF($A181="","",SUMIF($A$8:$A$251,$A181&amp;"*",U$8:U$251))</f>
        <v/>
      </c>
      <c r="I181" s="125">
        <f>IF($A181="","",SUMIF($A$8:$A$251,$A181&amp;"*",V$8:V$251))</f>
        <v/>
      </c>
      <c r="K181" s="124">
        <f>IF($A181="",0,SUMIFS(SDDK!$C$8:$C$251,SDDK!$A$8:$A$251,$A181))</f>
        <v/>
      </c>
      <c r="L181" s="124">
        <f>IF($A181="",0,SUMIFS(SDDK!$D$8:$D$251,SDDK!$A$8:$A$251,$A181))</f>
        <v/>
      </c>
      <c r="M181" s="124">
        <f>IF($A181="",0,SUMIFS(NKC!$H$7:$H$3006,NKC!$F$7:$F$3006,$A181,NKC!$B$7:$B$3006,"&lt;"&amp;TU_NGAY))</f>
        <v/>
      </c>
      <c r="N181" s="124">
        <f>IF($A181="",0,SUMIFS(NKC!$H$7:$H$3006,NKC!$G$7:$G$3006,$A181,NKC!$B$7:$B$3006,"&lt;"&amp;TU_NGAY))</f>
        <v/>
      </c>
      <c r="O181" s="124">
        <f>IF($A181="",0,SUMIFS(NKC!$H$7:$H$3006,NKC!$F$7:$F$3006,$A181,NKC!$B$7:$B$3006,"&gt;="&amp;TU_NGAY,NKC!$B$7:$B$3006,"&lt;="&amp;DEN_NGAY))</f>
        <v/>
      </c>
      <c r="P181" s="124">
        <f>IF($A181="",0,SUMIFS(NKC!$H$7:$H$3006,NKC!$G$7:$G$3006,$A181,NKC!$B$7:$B$3006,"&gt;="&amp;TU_NGAY,NKC!$B$7:$B$3006,"&lt;="&amp;DEN_NGAY))</f>
        <v/>
      </c>
      <c r="Q181" s="124">
        <f>K181-L181+M181-N181</f>
        <v/>
      </c>
      <c r="R181" s="124">
        <f>MAX(Q181,0)</f>
        <v/>
      </c>
      <c r="S181" s="124">
        <f>MAX(-Q181,0)</f>
        <v/>
      </c>
      <c r="T181" s="124">
        <f>Q181+O181-P181</f>
        <v/>
      </c>
      <c r="U181" s="124">
        <f>MAX(T181,0)</f>
        <v/>
      </c>
      <c r="V181" s="124">
        <f>MAX(-T181,0)</f>
        <v/>
      </c>
    </row>
    <row r="182" ht="15" customHeight="1" s="78">
      <c r="A182" s="96" t="inlineStr">
        <is>
          <t>6427</t>
        </is>
      </c>
      <c r="B182" s="97" t="inlineStr">
        <is>
          <t>Chi phí dịch vụ mua ngoài</t>
        </is>
      </c>
      <c r="C182" s="122" t="n">
        <v>2</v>
      </c>
      <c r="D182" s="125">
        <f>IF($A182="","",SUMIF($A$8:$A$251,$A182&amp;"*",R$8:R$251))</f>
        <v/>
      </c>
      <c r="E182" s="125">
        <f>IF($A182="","",SUMIF($A$8:$A$251,$A182&amp;"*",S$8:S$251))</f>
        <v/>
      </c>
      <c r="F182" s="125">
        <f>IF($A182="","",SUMIF($A$8:$A$251,$A182&amp;"*",O$8:O$251))</f>
        <v/>
      </c>
      <c r="G182" s="125">
        <f>IF($A182="","",SUMIF($A$8:$A$251,$A182&amp;"*",P$8:P$251))</f>
        <v/>
      </c>
      <c r="H182" s="125">
        <f>IF($A182="","",SUMIF($A$8:$A$251,$A182&amp;"*",U$8:U$251))</f>
        <v/>
      </c>
      <c r="I182" s="125">
        <f>IF($A182="","",SUMIF($A$8:$A$251,$A182&amp;"*",V$8:V$251))</f>
        <v/>
      </c>
      <c r="K182" s="124">
        <f>IF($A182="",0,SUMIFS(SDDK!$C$8:$C$251,SDDK!$A$8:$A$251,$A182))</f>
        <v/>
      </c>
      <c r="L182" s="124">
        <f>IF($A182="",0,SUMIFS(SDDK!$D$8:$D$251,SDDK!$A$8:$A$251,$A182))</f>
        <v/>
      </c>
      <c r="M182" s="124">
        <f>IF($A182="",0,SUMIFS(NKC!$H$7:$H$3006,NKC!$F$7:$F$3006,$A182,NKC!$B$7:$B$3006,"&lt;"&amp;TU_NGAY))</f>
        <v/>
      </c>
      <c r="N182" s="124">
        <f>IF($A182="",0,SUMIFS(NKC!$H$7:$H$3006,NKC!$G$7:$G$3006,$A182,NKC!$B$7:$B$3006,"&lt;"&amp;TU_NGAY))</f>
        <v/>
      </c>
      <c r="O182" s="124">
        <f>IF($A182="",0,SUMIFS(NKC!$H$7:$H$3006,NKC!$F$7:$F$3006,$A182,NKC!$B$7:$B$3006,"&gt;="&amp;TU_NGAY,NKC!$B$7:$B$3006,"&lt;="&amp;DEN_NGAY))</f>
        <v/>
      </c>
      <c r="P182" s="124">
        <f>IF($A182="",0,SUMIFS(NKC!$H$7:$H$3006,NKC!$G$7:$G$3006,$A182,NKC!$B$7:$B$3006,"&gt;="&amp;TU_NGAY,NKC!$B$7:$B$3006,"&lt;="&amp;DEN_NGAY))</f>
        <v/>
      </c>
      <c r="Q182" s="124">
        <f>K182-L182+M182-N182</f>
        <v/>
      </c>
      <c r="R182" s="124">
        <f>MAX(Q182,0)</f>
        <v/>
      </c>
      <c r="S182" s="124">
        <f>MAX(-Q182,0)</f>
        <v/>
      </c>
      <c r="T182" s="124">
        <f>Q182+O182-P182</f>
        <v/>
      </c>
      <c r="U182" s="124">
        <f>MAX(T182,0)</f>
        <v/>
      </c>
      <c r="V182" s="124">
        <f>MAX(-T182,0)</f>
        <v/>
      </c>
    </row>
    <row r="183" ht="15" customHeight="1" s="78">
      <c r="A183" s="96" t="inlineStr">
        <is>
          <t>6428</t>
        </is>
      </c>
      <c r="B183" s="97" t="inlineStr">
        <is>
          <t>Chi phí bằng tiền khác</t>
        </is>
      </c>
      <c r="C183" s="122" t="n">
        <v>2</v>
      </c>
      <c r="D183" s="125">
        <f>IF($A183="","",SUMIF($A$8:$A$251,$A183&amp;"*",R$8:R$251))</f>
        <v/>
      </c>
      <c r="E183" s="125">
        <f>IF($A183="","",SUMIF($A$8:$A$251,$A183&amp;"*",S$8:S$251))</f>
        <v/>
      </c>
      <c r="F183" s="125">
        <f>IF($A183="","",SUMIF($A$8:$A$251,$A183&amp;"*",O$8:O$251))</f>
        <v/>
      </c>
      <c r="G183" s="125">
        <f>IF($A183="","",SUMIF($A$8:$A$251,$A183&amp;"*",P$8:P$251))</f>
        <v/>
      </c>
      <c r="H183" s="125">
        <f>IF($A183="","",SUMIF($A$8:$A$251,$A183&amp;"*",U$8:U$251))</f>
        <v/>
      </c>
      <c r="I183" s="125">
        <f>IF($A183="","",SUMIF($A$8:$A$251,$A183&amp;"*",V$8:V$251))</f>
        <v/>
      </c>
      <c r="K183" s="124">
        <f>IF($A183="",0,SUMIFS(SDDK!$C$8:$C$251,SDDK!$A$8:$A$251,$A183))</f>
        <v/>
      </c>
      <c r="L183" s="124">
        <f>IF($A183="",0,SUMIFS(SDDK!$D$8:$D$251,SDDK!$A$8:$A$251,$A183))</f>
        <v/>
      </c>
      <c r="M183" s="124">
        <f>IF($A183="",0,SUMIFS(NKC!$H$7:$H$3006,NKC!$F$7:$F$3006,$A183,NKC!$B$7:$B$3006,"&lt;"&amp;TU_NGAY))</f>
        <v/>
      </c>
      <c r="N183" s="124">
        <f>IF($A183="",0,SUMIFS(NKC!$H$7:$H$3006,NKC!$G$7:$G$3006,$A183,NKC!$B$7:$B$3006,"&lt;"&amp;TU_NGAY))</f>
        <v/>
      </c>
      <c r="O183" s="124">
        <f>IF($A183="",0,SUMIFS(NKC!$H$7:$H$3006,NKC!$F$7:$F$3006,$A183,NKC!$B$7:$B$3006,"&gt;="&amp;TU_NGAY,NKC!$B$7:$B$3006,"&lt;="&amp;DEN_NGAY))</f>
        <v/>
      </c>
      <c r="P183" s="124">
        <f>IF($A183="",0,SUMIFS(NKC!$H$7:$H$3006,NKC!$G$7:$G$3006,$A183,NKC!$B$7:$B$3006,"&gt;="&amp;TU_NGAY,NKC!$B$7:$B$3006,"&lt;="&amp;DEN_NGAY))</f>
        <v/>
      </c>
      <c r="Q183" s="124">
        <f>K183-L183+M183-N183</f>
        <v/>
      </c>
      <c r="R183" s="124">
        <f>MAX(Q183,0)</f>
        <v/>
      </c>
      <c r="S183" s="124">
        <f>MAX(-Q183,0)</f>
        <v/>
      </c>
      <c r="T183" s="124">
        <f>Q183+O183-P183</f>
        <v/>
      </c>
      <c r="U183" s="124">
        <f>MAX(T183,0)</f>
        <v/>
      </c>
      <c r="V183" s="124">
        <f>MAX(-T183,0)</f>
        <v/>
      </c>
    </row>
    <row r="184" ht="15" customHeight="1" s="78">
      <c r="A184" s="93" t="inlineStr">
        <is>
          <t>711</t>
        </is>
      </c>
      <c r="B184" s="94" t="inlineStr">
        <is>
          <t>Thu nhập khác</t>
        </is>
      </c>
      <c r="C184" s="122" t="n">
        <v>1</v>
      </c>
      <c r="D184" s="123">
        <f>IF($A184="","",SUMIF($A$8:$A$251,$A184&amp;"*",R$8:R$251))</f>
        <v/>
      </c>
      <c r="E184" s="123">
        <f>IF($A184="","",SUMIF($A$8:$A$251,$A184&amp;"*",S$8:S$251))</f>
        <v/>
      </c>
      <c r="F184" s="123">
        <f>IF($A184="","",SUMIF($A$8:$A$251,$A184&amp;"*",O$8:O$251))</f>
        <v/>
      </c>
      <c r="G184" s="123">
        <f>IF($A184="","",SUMIF($A$8:$A$251,$A184&amp;"*",P$8:P$251))</f>
        <v/>
      </c>
      <c r="H184" s="123">
        <f>IF($A184="","",SUMIF($A$8:$A$251,$A184&amp;"*",U$8:U$251))</f>
        <v/>
      </c>
      <c r="I184" s="123">
        <f>IF($A184="","",SUMIF($A$8:$A$251,$A184&amp;"*",V$8:V$251))</f>
        <v/>
      </c>
      <c r="K184" s="124">
        <f>IF($A184="",0,SUMIFS(SDDK!$C$8:$C$251,SDDK!$A$8:$A$251,$A184))</f>
        <v/>
      </c>
      <c r="L184" s="124">
        <f>IF($A184="",0,SUMIFS(SDDK!$D$8:$D$251,SDDK!$A$8:$A$251,$A184))</f>
        <v/>
      </c>
      <c r="M184" s="124">
        <f>IF($A184="",0,SUMIFS(NKC!$H$7:$H$3006,NKC!$F$7:$F$3006,$A184,NKC!$B$7:$B$3006,"&lt;"&amp;TU_NGAY))</f>
        <v/>
      </c>
      <c r="N184" s="124">
        <f>IF($A184="",0,SUMIFS(NKC!$H$7:$H$3006,NKC!$G$7:$G$3006,$A184,NKC!$B$7:$B$3006,"&lt;"&amp;TU_NGAY))</f>
        <v/>
      </c>
      <c r="O184" s="124">
        <f>IF($A184="",0,SUMIFS(NKC!$H$7:$H$3006,NKC!$F$7:$F$3006,$A184,NKC!$B$7:$B$3006,"&gt;="&amp;TU_NGAY,NKC!$B$7:$B$3006,"&lt;="&amp;DEN_NGAY))</f>
        <v/>
      </c>
      <c r="P184" s="124">
        <f>IF($A184="",0,SUMIFS(NKC!$H$7:$H$3006,NKC!$G$7:$G$3006,$A184,NKC!$B$7:$B$3006,"&gt;="&amp;TU_NGAY,NKC!$B$7:$B$3006,"&lt;="&amp;DEN_NGAY))</f>
        <v/>
      </c>
      <c r="Q184" s="124">
        <f>K184-L184+M184-N184</f>
        <v/>
      </c>
      <c r="R184" s="124">
        <f>MAX(Q184,0)</f>
        <v/>
      </c>
      <c r="S184" s="124">
        <f>MAX(-Q184,0)</f>
        <v/>
      </c>
      <c r="T184" s="124">
        <f>Q184+O184-P184</f>
        <v/>
      </c>
      <c r="U184" s="124">
        <f>MAX(T184,0)</f>
        <v/>
      </c>
      <c r="V184" s="124">
        <f>MAX(-T184,0)</f>
        <v/>
      </c>
    </row>
    <row r="185" ht="15" customHeight="1" s="78">
      <c r="A185" s="93" t="inlineStr">
        <is>
          <t>811</t>
        </is>
      </c>
      <c r="B185" s="94" t="inlineStr">
        <is>
          <t>Chi phí khác</t>
        </is>
      </c>
      <c r="C185" s="122" t="n">
        <v>1</v>
      </c>
      <c r="D185" s="123">
        <f>IF($A185="","",SUMIF($A$8:$A$251,$A185&amp;"*",R$8:R$251))</f>
        <v/>
      </c>
      <c r="E185" s="123">
        <f>IF($A185="","",SUMIF($A$8:$A$251,$A185&amp;"*",S$8:S$251))</f>
        <v/>
      </c>
      <c r="F185" s="123">
        <f>IF($A185="","",SUMIF($A$8:$A$251,$A185&amp;"*",O$8:O$251))</f>
        <v/>
      </c>
      <c r="G185" s="123">
        <f>IF($A185="","",SUMIF($A$8:$A$251,$A185&amp;"*",P$8:P$251))</f>
        <v/>
      </c>
      <c r="H185" s="123">
        <f>IF($A185="","",SUMIF($A$8:$A$251,$A185&amp;"*",U$8:U$251))</f>
        <v/>
      </c>
      <c r="I185" s="123">
        <f>IF($A185="","",SUMIF($A$8:$A$251,$A185&amp;"*",V$8:V$251))</f>
        <v/>
      </c>
      <c r="K185" s="124">
        <f>IF($A185="",0,SUMIFS(SDDK!$C$8:$C$251,SDDK!$A$8:$A$251,$A185))</f>
        <v/>
      </c>
      <c r="L185" s="124">
        <f>IF($A185="",0,SUMIFS(SDDK!$D$8:$D$251,SDDK!$A$8:$A$251,$A185))</f>
        <v/>
      </c>
      <c r="M185" s="124">
        <f>IF($A185="",0,SUMIFS(NKC!$H$7:$H$3006,NKC!$F$7:$F$3006,$A185,NKC!$B$7:$B$3006,"&lt;"&amp;TU_NGAY))</f>
        <v/>
      </c>
      <c r="N185" s="124">
        <f>IF($A185="",0,SUMIFS(NKC!$H$7:$H$3006,NKC!$G$7:$G$3006,$A185,NKC!$B$7:$B$3006,"&lt;"&amp;TU_NGAY))</f>
        <v/>
      </c>
      <c r="O185" s="124">
        <f>IF($A185="",0,SUMIFS(NKC!$H$7:$H$3006,NKC!$F$7:$F$3006,$A185,NKC!$B$7:$B$3006,"&gt;="&amp;TU_NGAY,NKC!$B$7:$B$3006,"&lt;="&amp;DEN_NGAY))</f>
        <v/>
      </c>
      <c r="P185" s="124">
        <f>IF($A185="",0,SUMIFS(NKC!$H$7:$H$3006,NKC!$G$7:$G$3006,$A185,NKC!$B$7:$B$3006,"&gt;="&amp;TU_NGAY,NKC!$B$7:$B$3006,"&lt;="&amp;DEN_NGAY))</f>
        <v/>
      </c>
      <c r="Q185" s="124">
        <f>K185-L185+M185-N185</f>
        <v/>
      </c>
      <c r="R185" s="124">
        <f>MAX(Q185,0)</f>
        <v/>
      </c>
      <c r="S185" s="124">
        <f>MAX(-Q185,0)</f>
        <v/>
      </c>
      <c r="T185" s="124">
        <f>Q185+O185-P185</f>
        <v/>
      </c>
      <c r="U185" s="124">
        <f>MAX(T185,0)</f>
        <v/>
      </c>
      <c r="V185" s="124">
        <f>MAX(-T185,0)</f>
        <v/>
      </c>
    </row>
    <row r="186" ht="15" customHeight="1" s="78">
      <c r="A186" s="93" t="inlineStr">
        <is>
          <t>821</t>
        </is>
      </c>
      <c r="B186" s="94" t="inlineStr">
        <is>
          <t>Chi phí thuế thu nhập doanh nghiệp</t>
        </is>
      </c>
      <c r="C186" s="122" t="n">
        <v>1</v>
      </c>
      <c r="D186" s="123">
        <f>IF($A186="","",SUMIF($A$8:$A$251,$A186&amp;"*",R$8:R$251))</f>
        <v/>
      </c>
      <c r="E186" s="123">
        <f>IF($A186="","",SUMIF($A$8:$A$251,$A186&amp;"*",S$8:S$251))</f>
        <v/>
      </c>
      <c r="F186" s="123">
        <f>IF($A186="","",SUMIF($A$8:$A$251,$A186&amp;"*",O$8:O$251))</f>
        <v/>
      </c>
      <c r="G186" s="123">
        <f>IF($A186="","",SUMIF($A$8:$A$251,$A186&amp;"*",P$8:P$251))</f>
        <v/>
      </c>
      <c r="H186" s="123">
        <f>IF($A186="","",SUMIF($A$8:$A$251,$A186&amp;"*",U$8:U$251))</f>
        <v/>
      </c>
      <c r="I186" s="123">
        <f>IF($A186="","",SUMIF($A$8:$A$251,$A186&amp;"*",V$8:V$251))</f>
        <v/>
      </c>
      <c r="K186" s="124">
        <f>IF($A186="",0,SUMIFS(SDDK!$C$8:$C$251,SDDK!$A$8:$A$251,$A186))</f>
        <v/>
      </c>
      <c r="L186" s="124">
        <f>IF($A186="",0,SUMIFS(SDDK!$D$8:$D$251,SDDK!$A$8:$A$251,$A186))</f>
        <v/>
      </c>
      <c r="M186" s="124">
        <f>IF($A186="",0,SUMIFS(NKC!$H$7:$H$3006,NKC!$F$7:$F$3006,$A186,NKC!$B$7:$B$3006,"&lt;"&amp;TU_NGAY))</f>
        <v/>
      </c>
      <c r="N186" s="124">
        <f>IF($A186="",0,SUMIFS(NKC!$H$7:$H$3006,NKC!$G$7:$G$3006,$A186,NKC!$B$7:$B$3006,"&lt;"&amp;TU_NGAY))</f>
        <v/>
      </c>
      <c r="O186" s="124">
        <f>IF($A186="",0,SUMIFS(NKC!$H$7:$H$3006,NKC!$F$7:$F$3006,$A186,NKC!$B$7:$B$3006,"&gt;="&amp;TU_NGAY,NKC!$B$7:$B$3006,"&lt;="&amp;DEN_NGAY))</f>
        <v/>
      </c>
      <c r="P186" s="124">
        <f>IF($A186="",0,SUMIFS(NKC!$H$7:$H$3006,NKC!$G$7:$G$3006,$A186,NKC!$B$7:$B$3006,"&gt;="&amp;TU_NGAY,NKC!$B$7:$B$3006,"&lt;="&amp;DEN_NGAY))</f>
        <v/>
      </c>
      <c r="Q186" s="124">
        <f>K186-L186+M186-N186</f>
        <v/>
      </c>
      <c r="R186" s="124">
        <f>MAX(Q186,0)</f>
        <v/>
      </c>
      <c r="S186" s="124">
        <f>MAX(-Q186,0)</f>
        <v/>
      </c>
      <c r="T186" s="124">
        <f>Q186+O186-P186</f>
        <v/>
      </c>
      <c r="U186" s="124">
        <f>MAX(T186,0)</f>
        <v/>
      </c>
      <c r="V186" s="124">
        <f>MAX(-T186,0)</f>
        <v/>
      </c>
    </row>
    <row r="187" ht="15" customHeight="1" s="78">
      <c r="A187" s="96" t="inlineStr">
        <is>
          <t>8211</t>
        </is>
      </c>
      <c r="B187" s="97" t="inlineStr">
        <is>
          <t>Chi phí thuế TNDN hiện hành</t>
        </is>
      </c>
      <c r="C187" s="122" t="n">
        <v>2</v>
      </c>
      <c r="D187" s="125">
        <f>IF($A187="","",SUMIF($A$8:$A$251,$A187&amp;"*",R$8:R$251))</f>
        <v/>
      </c>
      <c r="E187" s="125">
        <f>IF($A187="","",SUMIF($A$8:$A$251,$A187&amp;"*",S$8:S$251))</f>
        <v/>
      </c>
      <c r="F187" s="125">
        <f>IF($A187="","",SUMIF($A$8:$A$251,$A187&amp;"*",O$8:O$251))</f>
        <v/>
      </c>
      <c r="G187" s="125">
        <f>IF($A187="","",SUMIF($A$8:$A$251,$A187&amp;"*",P$8:P$251))</f>
        <v/>
      </c>
      <c r="H187" s="125">
        <f>IF($A187="","",SUMIF($A$8:$A$251,$A187&amp;"*",U$8:U$251))</f>
        <v/>
      </c>
      <c r="I187" s="125">
        <f>IF($A187="","",SUMIF($A$8:$A$251,$A187&amp;"*",V$8:V$251))</f>
        <v/>
      </c>
      <c r="K187" s="124">
        <f>IF($A187="",0,SUMIFS(SDDK!$C$8:$C$251,SDDK!$A$8:$A$251,$A187))</f>
        <v/>
      </c>
      <c r="L187" s="124">
        <f>IF($A187="",0,SUMIFS(SDDK!$D$8:$D$251,SDDK!$A$8:$A$251,$A187))</f>
        <v/>
      </c>
      <c r="M187" s="124">
        <f>IF($A187="",0,SUMIFS(NKC!$H$7:$H$3006,NKC!$F$7:$F$3006,$A187,NKC!$B$7:$B$3006,"&lt;"&amp;TU_NGAY))</f>
        <v/>
      </c>
      <c r="N187" s="124">
        <f>IF($A187="",0,SUMIFS(NKC!$H$7:$H$3006,NKC!$G$7:$G$3006,$A187,NKC!$B$7:$B$3006,"&lt;"&amp;TU_NGAY))</f>
        <v/>
      </c>
      <c r="O187" s="124">
        <f>IF($A187="",0,SUMIFS(NKC!$H$7:$H$3006,NKC!$F$7:$F$3006,$A187,NKC!$B$7:$B$3006,"&gt;="&amp;TU_NGAY,NKC!$B$7:$B$3006,"&lt;="&amp;DEN_NGAY))</f>
        <v/>
      </c>
      <c r="P187" s="124">
        <f>IF($A187="",0,SUMIFS(NKC!$H$7:$H$3006,NKC!$G$7:$G$3006,$A187,NKC!$B$7:$B$3006,"&gt;="&amp;TU_NGAY,NKC!$B$7:$B$3006,"&lt;="&amp;DEN_NGAY))</f>
        <v/>
      </c>
      <c r="Q187" s="124">
        <f>K187-L187+M187-N187</f>
        <v/>
      </c>
      <c r="R187" s="124">
        <f>MAX(Q187,0)</f>
        <v/>
      </c>
      <c r="S187" s="124">
        <f>MAX(-Q187,0)</f>
        <v/>
      </c>
      <c r="T187" s="124">
        <f>Q187+O187-P187</f>
        <v/>
      </c>
      <c r="U187" s="124">
        <f>MAX(T187,0)</f>
        <v/>
      </c>
      <c r="V187" s="124">
        <f>MAX(-T187,0)</f>
        <v/>
      </c>
    </row>
    <row r="188" ht="25.35" customHeight="1" s="78">
      <c r="A188" s="96" t="inlineStr">
        <is>
          <t>82111</t>
        </is>
      </c>
      <c r="B188" s="97" t="inlineStr">
        <is>
          <t>Chi phí thuế TNDN theo quy định của pháp luật thuế TNDN</t>
        </is>
      </c>
      <c r="C188" s="122" t="n">
        <v>3</v>
      </c>
      <c r="D188" s="125">
        <f>IF($A188="","",SUMIF($A$8:$A$251,$A188&amp;"*",R$8:R$251))</f>
        <v/>
      </c>
      <c r="E188" s="125">
        <f>IF($A188="","",SUMIF($A$8:$A$251,$A188&amp;"*",S$8:S$251))</f>
        <v/>
      </c>
      <c r="F188" s="125">
        <f>IF($A188="","",SUMIF($A$8:$A$251,$A188&amp;"*",O$8:O$251))</f>
        <v/>
      </c>
      <c r="G188" s="125">
        <f>IF($A188="","",SUMIF($A$8:$A$251,$A188&amp;"*",P$8:P$251))</f>
        <v/>
      </c>
      <c r="H188" s="125">
        <f>IF($A188="","",SUMIF($A$8:$A$251,$A188&amp;"*",U$8:U$251))</f>
        <v/>
      </c>
      <c r="I188" s="125">
        <f>IF($A188="","",SUMIF($A$8:$A$251,$A188&amp;"*",V$8:V$251))</f>
        <v/>
      </c>
      <c r="K188" s="124">
        <f>IF($A188="",0,SUMIFS(SDDK!$C$8:$C$251,SDDK!$A$8:$A$251,$A188))</f>
        <v/>
      </c>
      <c r="L188" s="124">
        <f>IF($A188="",0,SUMIFS(SDDK!$D$8:$D$251,SDDK!$A$8:$A$251,$A188))</f>
        <v/>
      </c>
      <c r="M188" s="124">
        <f>IF($A188="",0,SUMIFS(NKC!$H$7:$H$3006,NKC!$F$7:$F$3006,$A188,NKC!$B$7:$B$3006,"&lt;"&amp;TU_NGAY))</f>
        <v/>
      </c>
      <c r="N188" s="124">
        <f>IF($A188="",0,SUMIFS(NKC!$H$7:$H$3006,NKC!$G$7:$G$3006,$A188,NKC!$B$7:$B$3006,"&lt;"&amp;TU_NGAY))</f>
        <v/>
      </c>
      <c r="O188" s="124">
        <f>IF($A188="",0,SUMIFS(NKC!$H$7:$H$3006,NKC!$F$7:$F$3006,$A188,NKC!$B$7:$B$3006,"&gt;="&amp;TU_NGAY,NKC!$B$7:$B$3006,"&lt;="&amp;DEN_NGAY))</f>
        <v/>
      </c>
      <c r="P188" s="124">
        <f>IF($A188="",0,SUMIFS(NKC!$H$7:$H$3006,NKC!$G$7:$G$3006,$A188,NKC!$B$7:$B$3006,"&gt;="&amp;TU_NGAY,NKC!$B$7:$B$3006,"&lt;="&amp;DEN_NGAY))</f>
        <v/>
      </c>
      <c r="Q188" s="124">
        <f>K188-L188+M188-N188</f>
        <v/>
      </c>
      <c r="R188" s="124">
        <f>MAX(Q188,0)</f>
        <v/>
      </c>
      <c r="S188" s="124">
        <f>MAX(-Q188,0)</f>
        <v/>
      </c>
      <c r="T188" s="124">
        <f>Q188+O188-P188</f>
        <v/>
      </c>
      <c r="U188" s="124">
        <f>MAX(T188,0)</f>
        <v/>
      </c>
      <c r="V188" s="124">
        <f>MAX(-T188,0)</f>
        <v/>
      </c>
    </row>
    <row r="189" ht="25.35" customHeight="1" s="78">
      <c r="A189" s="96" t="inlineStr">
        <is>
          <t>82112</t>
        </is>
      </c>
      <c r="B189" s="97" t="inlineStr">
        <is>
          <t>Chi phí thuế TNDN bổ sung theo quy định về thuế tối thiểu toàn cầu</t>
        </is>
      </c>
      <c r="C189" s="122" t="n">
        <v>3</v>
      </c>
      <c r="D189" s="125">
        <f>IF($A189="","",SUMIF($A$8:$A$251,$A189&amp;"*",R$8:R$251))</f>
        <v/>
      </c>
      <c r="E189" s="125">
        <f>IF($A189="","",SUMIF($A$8:$A$251,$A189&amp;"*",S$8:S$251))</f>
        <v/>
      </c>
      <c r="F189" s="125">
        <f>IF($A189="","",SUMIF($A$8:$A$251,$A189&amp;"*",O$8:O$251))</f>
        <v/>
      </c>
      <c r="G189" s="125">
        <f>IF($A189="","",SUMIF($A$8:$A$251,$A189&amp;"*",P$8:P$251))</f>
        <v/>
      </c>
      <c r="H189" s="125">
        <f>IF($A189="","",SUMIF($A$8:$A$251,$A189&amp;"*",U$8:U$251))</f>
        <v/>
      </c>
      <c r="I189" s="125">
        <f>IF($A189="","",SUMIF($A$8:$A$251,$A189&amp;"*",V$8:V$251))</f>
        <v/>
      </c>
      <c r="K189" s="124">
        <f>IF($A189="",0,SUMIFS(SDDK!$C$8:$C$251,SDDK!$A$8:$A$251,$A189))</f>
        <v/>
      </c>
      <c r="L189" s="124">
        <f>IF($A189="",0,SUMIFS(SDDK!$D$8:$D$251,SDDK!$A$8:$A$251,$A189))</f>
        <v/>
      </c>
      <c r="M189" s="124">
        <f>IF($A189="",0,SUMIFS(NKC!$H$7:$H$3006,NKC!$F$7:$F$3006,$A189,NKC!$B$7:$B$3006,"&lt;"&amp;TU_NGAY))</f>
        <v/>
      </c>
      <c r="N189" s="124">
        <f>IF($A189="",0,SUMIFS(NKC!$H$7:$H$3006,NKC!$G$7:$G$3006,$A189,NKC!$B$7:$B$3006,"&lt;"&amp;TU_NGAY))</f>
        <v/>
      </c>
      <c r="O189" s="124">
        <f>IF($A189="",0,SUMIFS(NKC!$H$7:$H$3006,NKC!$F$7:$F$3006,$A189,NKC!$B$7:$B$3006,"&gt;="&amp;TU_NGAY,NKC!$B$7:$B$3006,"&lt;="&amp;DEN_NGAY))</f>
        <v/>
      </c>
      <c r="P189" s="124">
        <f>IF($A189="",0,SUMIFS(NKC!$H$7:$H$3006,NKC!$G$7:$G$3006,$A189,NKC!$B$7:$B$3006,"&gt;="&amp;TU_NGAY,NKC!$B$7:$B$3006,"&lt;="&amp;DEN_NGAY))</f>
        <v/>
      </c>
      <c r="Q189" s="124">
        <f>K189-L189+M189-N189</f>
        <v/>
      </c>
      <c r="R189" s="124">
        <f>MAX(Q189,0)</f>
        <v/>
      </c>
      <c r="S189" s="124">
        <f>MAX(-Q189,0)</f>
        <v/>
      </c>
      <c r="T189" s="124">
        <f>Q189+O189-P189</f>
        <v/>
      </c>
      <c r="U189" s="124">
        <f>MAX(T189,0)</f>
        <v/>
      </c>
      <c r="V189" s="124">
        <f>MAX(-T189,0)</f>
        <v/>
      </c>
    </row>
    <row r="190" ht="15" customHeight="1" s="78">
      <c r="A190" s="96" t="inlineStr">
        <is>
          <t>8212</t>
        </is>
      </c>
      <c r="B190" s="97" t="inlineStr">
        <is>
          <t>Chi phí thuế TNDN hoãn lại</t>
        </is>
      </c>
      <c r="C190" s="122" t="n">
        <v>2</v>
      </c>
      <c r="D190" s="125">
        <f>IF($A190="","",SUMIF($A$8:$A$251,$A190&amp;"*",R$8:R$251))</f>
        <v/>
      </c>
      <c r="E190" s="125">
        <f>IF($A190="","",SUMIF($A$8:$A$251,$A190&amp;"*",S$8:S$251))</f>
        <v/>
      </c>
      <c r="F190" s="125">
        <f>IF($A190="","",SUMIF($A$8:$A$251,$A190&amp;"*",O$8:O$251))</f>
        <v/>
      </c>
      <c r="G190" s="125">
        <f>IF($A190="","",SUMIF($A$8:$A$251,$A190&amp;"*",P$8:P$251))</f>
        <v/>
      </c>
      <c r="H190" s="125">
        <f>IF($A190="","",SUMIF($A$8:$A$251,$A190&amp;"*",U$8:U$251))</f>
        <v/>
      </c>
      <c r="I190" s="125">
        <f>IF($A190="","",SUMIF($A$8:$A$251,$A190&amp;"*",V$8:V$251))</f>
        <v/>
      </c>
      <c r="K190" s="124">
        <f>IF($A190="",0,SUMIFS(SDDK!$C$8:$C$251,SDDK!$A$8:$A$251,$A190))</f>
        <v/>
      </c>
      <c r="L190" s="124">
        <f>IF($A190="",0,SUMIFS(SDDK!$D$8:$D$251,SDDK!$A$8:$A$251,$A190))</f>
        <v/>
      </c>
      <c r="M190" s="124">
        <f>IF($A190="",0,SUMIFS(NKC!$H$7:$H$3006,NKC!$F$7:$F$3006,$A190,NKC!$B$7:$B$3006,"&lt;"&amp;TU_NGAY))</f>
        <v/>
      </c>
      <c r="N190" s="124">
        <f>IF($A190="",0,SUMIFS(NKC!$H$7:$H$3006,NKC!$G$7:$G$3006,$A190,NKC!$B$7:$B$3006,"&lt;"&amp;TU_NGAY))</f>
        <v/>
      </c>
      <c r="O190" s="124">
        <f>IF($A190="",0,SUMIFS(NKC!$H$7:$H$3006,NKC!$F$7:$F$3006,$A190,NKC!$B$7:$B$3006,"&gt;="&amp;TU_NGAY,NKC!$B$7:$B$3006,"&lt;="&amp;DEN_NGAY))</f>
        <v/>
      </c>
      <c r="P190" s="124">
        <f>IF($A190="",0,SUMIFS(NKC!$H$7:$H$3006,NKC!$G$7:$G$3006,$A190,NKC!$B$7:$B$3006,"&gt;="&amp;TU_NGAY,NKC!$B$7:$B$3006,"&lt;="&amp;DEN_NGAY))</f>
        <v/>
      </c>
      <c r="Q190" s="124">
        <f>K190-L190+M190-N190</f>
        <v/>
      </c>
      <c r="R190" s="124">
        <f>MAX(Q190,0)</f>
        <v/>
      </c>
      <c r="S190" s="124">
        <f>MAX(-Q190,0)</f>
        <v/>
      </c>
      <c r="T190" s="124">
        <f>Q190+O190-P190</f>
        <v/>
      </c>
      <c r="U190" s="124">
        <f>MAX(T190,0)</f>
        <v/>
      </c>
      <c r="V190" s="124">
        <f>MAX(-T190,0)</f>
        <v/>
      </c>
    </row>
    <row r="191" ht="15" customHeight="1" s="78">
      <c r="A191" s="93" t="inlineStr">
        <is>
          <t>911</t>
        </is>
      </c>
      <c r="B191" s="94" t="inlineStr">
        <is>
          <t>Xác định kết quả kinh doanh</t>
        </is>
      </c>
      <c r="C191" s="122" t="n">
        <v>1</v>
      </c>
      <c r="D191" s="123">
        <f>IF($A191="","",SUMIF($A$8:$A$251,$A191&amp;"*",R$8:R$251))</f>
        <v/>
      </c>
      <c r="E191" s="123">
        <f>IF($A191="","",SUMIF($A$8:$A$251,$A191&amp;"*",S$8:S$251))</f>
        <v/>
      </c>
      <c r="F191" s="123">
        <f>IF($A191="","",SUMIF($A$8:$A$251,$A191&amp;"*",O$8:O$251))</f>
        <v/>
      </c>
      <c r="G191" s="123">
        <f>IF($A191="","",SUMIF($A$8:$A$251,$A191&amp;"*",P$8:P$251))</f>
        <v/>
      </c>
      <c r="H191" s="123">
        <f>IF($A191="","",SUMIF($A$8:$A$251,$A191&amp;"*",U$8:U$251))</f>
        <v/>
      </c>
      <c r="I191" s="123">
        <f>IF($A191="","",SUMIF($A$8:$A$251,$A191&amp;"*",V$8:V$251))</f>
        <v/>
      </c>
      <c r="K191" s="124">
        <f>IF($A191="",0,SUMIFS(SDDK!$C$8:$C$251,SDDK!$A$8:$A$251,$A191))</f>
        <v/>
      </c>
      <c r="L191" s="124">
        <f>IF($A191="",0,SUMIFS(SDDK!$D$8:$D$251,SDDK!$A$8:$A$251,$A191))</f>
        <v/>
      </c>
      <c r="M191" s="124">
        <f>IF($A191="",0,SUMIFS(NKC!$H$7:$H$3006,NKC!$F$7:$F$3006,$A191,NKC!$B$7:$B$3006,"&lt;"&amp;TU_NGAY))</f>
        <v/>
      </c>
      <c r="N191" s="124">
        <f>IF($A191="",0,SUMIFS(NKC!$H$7:$H$3006,NKC!$G$7:$G$3006,$A191,NKC!$B$7:$B$3006,"&lt;"&amp;TU_NGAY))</f>
        <v/>
      </c>
      <c r="O191" s="124">
        <f>IF($A191="",0,SUMIFS(NKC!$H$7:$H$3006,NKC!$F$7:$F$3006,$A191,NKC!$B$7:$B$3006,"&gt;="&amp;TU_NGAY,NKC!$B$7:$B$3006,"&lt;="&amp;DEN_NGAY))</f>
        <v/>
      </c>
      <c r="P191" s="124">
        <f>IF($A191="",0,SUMIFS(NKC!$H$7:$H$3006,NKC!$G$7:$G$3006,$A191,NKC!$B$7:$B$3006,"&gt;="&amp;TU_NGAY,NKC!$B$7:$B$3006,"&lt;="&amp;DEN_NGAY))</f>
        <v/>
      </c>
      <c r="Q191" s="124">
        <f>K191-L191+M191-N191</f>
        <v/>
      </c>
      <c r="R191" s="124">
        <f>MAX(Q191,0)</f>
        <v/>
      </c>
      <c r="S191" s="124">
        <f>MAX(-Q191,0)</f>
        <v/>
      </c>
      <c r="T191" s="124">
        <f>Q191+O191-P191</f>
        <v/>
      </c>
      <c r="U191" s="124">
        <f>MAX(T191,0)</f>
        <v/>
      </c>
      <c r="V191" s="124">
        <f>MAX(-T191,0)</f>
        <v/>
      </c>
    </row>
    <row r="192" ht="15" customHeight="1" s="78">
      <c r="A192" s="96">
        <f>IF(DMTK!$A191="","",DMTK!$A191&amp;"")</f>
        <v/>
      </c>
      <c r="B192" s="97">
        <f>IF(DMTK!$B191="","",DMTK!$B191)</f>
        <v/>
      </c>
      <c r="C192" s="122" t="n"/>
      <c r="D192" s="125">
        <f>IF($A192="","",SUMIF($A$8:$A$251,$A192&amp;"*",R$8:R$251))</f>
        <v/>
      </c>
      <c r="E192" s="125">
        <f>IF($A192="","",SUMIF($A$8:$A$251,$A192&amp;"*",S$8:S$251))</f>
        <v/>
      </c>
      <c r="F192" s="125">
        <f>IF($A192="","",SUMIF($A$8:$A$251,$A192&amp;"*",O$8:O$251))</f>
        <v/>
      </c>
      <c r="G192" s="125">
        <f>IF($A192="","",SUMIF($A$8:$A$251,$A192&amp;"*",P$8:P$251))</f>
        <v/>
      </c>
      <c r="H192" s="125">
        <f>IF($A192="","",SUMIF($A$8:$A$251,$A192&amp;"*",U$8:U$251))</f>
        <v/>
      </c>
      <c r="I192" s="125">
        <f>IF($A192="","",SUMIF($A$8:$A$251,$A192&amp;"*",V$8:V$251))</f>
        <v/>
      </c>
      <c r="K192" s="124">
        <f>IF($A192="",0,SUMIFS(SDDK!$C$8:$C$251,SDDK!$A$8:$A$251,$A192))</f>
        <v/>
      </c>
      <c r="L192" s="124">
        <f>IF($A192="",0,SUMIFS(SDDK!$D$8:$D$251,SDDK!$A$8:$A$251,$A192))</f>
        <v/>
      </c>
      <c r="M192" s="124">
        <f>IF($A192="",0,SUMIFS(NKC!$H$7:$H$3006,NKC!$F$7:$F$3006,$A192,NKC!$B$7:$B$3006,"&lt;"&amp;TU_NGAY))</f>
        <v/>
      </c>
      <c r="N192" s="124">
        <f>IF($A192="",0,SUMIFS(NKC!$H$7:$H$3006,NKC!$G$7:$G$3006,$A192,NKC!$B$7:$B$3006,"&lt;"&amp;TU_NGAY))</f>
        <v/>
      </c>
      <c r="O192" s="124">
        <f>IF($A192="",0,SUMIFS(NKC!$H$7:$H$3006,NKC!$F$7:$F$3006,$A192,NKC!$B$7:$B$3006,"&gt;="&amp;TU_NGAY,NKC!$B$7:$B$3006,"&lt;="&amp;DEN_NGAY))</f>
        <v/>
      </c>
      <c r="P192" s="124">
        <f>IF($A192="",0,SUMIFS(NKC!$H$7:$H$3006,NKC!$G$7:$G$3006,$A192,NKC!$B$7:$B$3006,"&gt;="&amp;TU_NGAY,NKC!$B$7:$B$3006,"&lt;="&amp;DEN_NGAY))</f>
        <v/>
      </c>
      <c r="Q192" s="124">
        <f>K192-L192+M192-N192</f>
        <v/>
      </c>
      <c r="R192" s="124">
        <f>MAX(Q192,0)</f>
        <v/>
      </c>
      <c r="S192" s="124">
        <f>MAX(-Q192,0)</f>
        <v/>
      </c>
      <c r="T192" s="124">
        <f>Q192+O192-P192</f>
        <v/>
      </c>
      <c r="U192" s="124">
        <f>MAX(T192,0)</f>
        <v/>
      </c>
      <c r="V192" s="124">
        <f>MAX(-T192,0)</f>
        <v/>
      </c>
    </row>
    <row r="193" ht="15" customHeight="1" s="78">
      <c r="A193" s="96">
        <f>IF(DMTK!$A192="","",DMTK!$A192&amp;"")</f>
        <v/>
      </c>
      <c r="B193" s="97">
        <f>IF(DMTK!$B192="","",DMTK!$B192)</f>
        <v/>
      </c>
      <c r="C193" s="122" t="n"/>
      <c r="D193" s="125">
        <f>IF($A193="","",SUMIF($A$8:$A$251,$A193&amp;"*",R$8:R$251))</f>
        <v/>
      </c>
      <c r="E193" s="125">
        <f>IF($A193="","",SUMIF($A$8:$A$251,$A193&amp;"*",S$8:S$251))</f>
        <v/>
      </c>
      <c r="F193" s="125">
        <f>IF($A193="","",SUMIF($A$8:$A$251,$A193&amp;"*",O$8:O$251))</f>
        <v/>
      </c>
      <c r="G193" s="125">
        <f>IF($A193="","",SUMIF($A$8:$A$251,$A193&amp;"*",P$8:P$251))</f>
        <v/>
      </c>
      <c r="H193" s="125">
        <f>IF($A193="","",SUMIF($A$8:$A$251,$A193&amp;"*",U$8:U$251))</f>
        <v/>
      </c>
      <c r="I193" s="125">
        <f>IF($A193="","",SUMIF($A$8:$A$251,$A193&amp;"*",V$8:V$251))</f>
        <v/>
      </c>
      <c r="K193" s="124">
        <f>IF($A193="",0,SUMIFS(SDDK!$C$8:$C$251,SDDK!$A$8:$A$251,$A193))</f>
        <v/>
      </c>
      <c r="L193" s="124">
        <f>IF($A193="",0,SUMIFS(SDDK!$D$8:$D$251,SDDK!$A$8:$A$251,$A193))</f>
        <v/>
      </c>
      <c r="M193" s="124">
        <f>IF($A193="",0,SUMIFS(NKC!$H$7:$H$3006,NKC!$F$7:$F$3006,$A193,NKC!$B$7:$B$3006,"&lt;"&amp;TU_NGAY))</f>
        <v/>
      </c>
      <c r="N193" s="124">
        <f>IF($A193="",0,SUMIFS(NKC!$H$7:$H$3006,NKC!$G$7:$G$3006,$A193,NKC!$B$7:$B$3006,"&lt;"&amp;TU_NGAY))</f>
        <v/>
      </c>
      <c r="O193" s="124">
        <f>IF($A193="",0,SUMIFS(NKC!$H$7:$H$3006,NKC!$F$7:$F$3006,$A193,NKC!$B$7:$B$3006,"&gt;="&amp;TU_NGAY,NKC!$B$7:$B$3006,"&lt;="&amp;DEN_NGAY))</f>
        <v/>
      </c>
      <c r="P193" s="124">
        <f>IF($A193="",0,SUMIFS(NKC!$H$7:$H$3006,NKC!$G$7:$G$3006,$A193,NKC!$B$7:$B$3006,"&gt;="&amp;TU_NGAY,NKC!$B$7:$B$3006,"&lt;="&amp;DEN_NGAY))</f>
        <v/>
      </c>
      <c r="Q193" s="124">
        <f>K193-L193+M193-N193</f>
        <v/>
      </c>
      <c r="R193" s="124">
        <f>MAX(Q193,0)</f>
        <v/>
      </c>
      <c r="S193" s="124">
        <f>MAX(-Q193,0)</f>
        <v/>
      </c>
      <c r="T193" s="124">
        <f>Q193+O193-P193</f>
        <v/>
      </c>
      <c r="U193" s="124">
        <f>MAX(T193,0)</f>
        <v/>
      </c>
      <c r="V193" s="124">
        <f>MAX(-T193,0)</f>
        <v/>
      </c>
    </row>
    <row r="194" ht="15" customHeight="1" s="78">
      <c r="A194" s="96">
        <f>IF(DMTK!$A193="","",DMTK!$A193&amp;"")</f>
        <v/>
      </c>
      <c r="B194" s="97">
        <f>IF(DMTK!$B193="","",DMTK!$B193)</f>
        <v/>
      </c>
      <c r="C194" s="122" t="n"/>
      <c r="D194" s="125">
        <f>IF($A194="","",SUMIF($A$8:$A$251,$A194&amp;"*",R$8:R$251))</f>
        <v/>
      </c>
      <c r="E194" s="125">
        <f>IF($A194="","",SUMIF($A$8:$A$251,$A194&amp;"*",S$8:S$251))</f>
        <v/>
      </c>
      <c r="F194" s="125">
        <f>IF($A194="","",SUMIF($A$8:$A$251,$A194&amp;"*",O$8:O$251))</f>
        <v/>
      </c>
      <c r="G194" s="125">
        <f>IF($A194="","",SUMIF($A$8:$A$251,$A194&amp;"*",P$8:P$251))</f>
        <v/>
      </c>
      <c r="H194" s="125">
        <f>IF($A194="","",SUMIF($A$8:$A$251,$A194&amp;"*",U$8:U$251))</f>
        <v/>
      </c>
      <c r="I194" s="125">
        <f>IF($A194="","",SUMIF($A$8:$A$251,$A194&amp;"*",V$8:V$251))</f>
        <v/>
      </c>
      <c r="K194" s="124">
        <f>IF($A194="",0,SUMIFS(SDDK!$C$8:$C$251,SDDK!$A$8:$A$251,$A194))</f>
        <v/>
      </c>
      <c r="L194" s="124">
        <f>IF($A194="",0,SUMIFS(SDDK!$D$8:$D$251,SDDK!$A$8:$A$251,$A194))</f>
        <v/>
      </c>
      <c r="M194" s="124">
        <f>IF($A194="",0,SUMIFS(NKC!$H$7:$H$3006,NKC!$F$7:$F$3006,$A194,NKC!$B$7:$B$3006,"&lt;"&amp;TU_NGAY))</f>
        <v/>
      </c>
      <c r="N194" s="124">
        <f>IF($A194="",0,SUMIFS(NKC!$H$7:$H$3006,NKC!$G$7:$G$3006,$A194,NKC!$B$7:$B$3006,"&lt;"&amp;TU_NGAY))</f>
        <v/>
      </c>
      <c r="O194" s="124">
        <f>IF($A194="",0,SUMIFS(NKC!$H$7:$H$3006,NKC!$F$7:$F$3006,$A194,NKC!$B$7:$B$3006,"&gt;="&amp;TU_NGAY,NKC!$B$7:$B$3006,"&lt;="&amp;DEN_NGAY))</f>
        <v/>
      </c>
      <c r="P194" s="124">
        <f>IF($A194="",0,SUMIFS(NKC!$H$7:$H$3006,NKC!$G$7:$G$3006,$A194,NKC!$B$7:$B$3006,"&gt;="&amp;TU_NGAY,NKC!$B$7:$B$3006,"&lt;="&amp;DEN_NGAY))</f>
        <v/>
      </c>
      <c r="Q194" s="124">
        <f>K194-L194+M194-N194</f>
        <v/>
      </c>
      <c r="R194" s="124">
        <f>MAX(Q194,0)</f>
        <v/>
      </c>
      <c r="S194" s="124">
        <f>MAX(-Q194,0)</f>
        <v/>
      </c>
      <c r="T194" s="124">
        <f>Q194+O194-P194</f>
        <v/>
      </c>
      <c r="U194" s="124">
        <f>MAX(T194,0)</f>
        <v/>
      </c>
      <c r="V194" s="124">
        <f>MAX(-T194,0)</f>
        <v/>
      </c>
    </row>
    <row r="195" ht="15" customHeight="1" s="78">
      <c r="A195" s="96">
        <f>IF(DMTK!$A194="","",DMTK!$A194&amp;"")</f>
        <v/>
      </c>
      <c r="B195" s="97">
        <f>IF(DMTK!$B194="","",DMTK!$B194)</f>
        <v/>
      </c>
      <c r="C195" s="122" t="n"/>
      <c r="D195" s="125">
        <f>IF($A195="","",SUMIF($A$8:$A$251,$A195&amp;"*",R$8:R$251))</f>
        <v/>
      </c>
      <c r="E195" s="125">
        <f>IF($A195="","",SUMIF($A$8:$A$251,$A195&amp;"*",S$8:S$251))</f>
        <v/>
      </c>
      <c r="F195" s="125">
        <f>IF($A195="","",SUMIF($A$8:$A$251,$A195&amp;"*",O$8:O$251))</f>
        <v/>
      </c>
      <c r="G195" s="125">
        <f>IF($A195="","",SUMIF($A$8:$A$251,$A195&amp;"*",P$8:P$251))</f>
        <v/>
      </c>
      <c r="H195" s="125">
        <f>IF($A195="","",SUMIF($A$8:$A$251,$A195&amp;"*",U$8:U$251))</f>
        <v/>
      </c>
      <c r="I195" s="125">
        <f>IF($A195="","",SUMIF($A$8:$A$251,$A195&amp;"*",V$8:V$251))</f>
        <v/>
      </c>
      <c r="K195" s="124">
        <f>IF($A195="",0,SUMIFS(SDDK!$C$8:$C$251,SDDK!$A$8:$A$251,$A195))</f>
        <v/>
      </c>
      <c r="L195" s="124">
        <f>IF($A195="",0,SUMIFS(SDDK!$D$8:$D$251,SDDK!$A$8:$A$251,$A195))</f>
        <v/>
      </c>
      <c r="M195" s="124">
        <f>IF($A195="",0,SUMIFS(NKC!$H$7:$H$3006,NKC!$F$7:$F$3006,$A195,NKC!$B$7:$B$3006,"&lt;"&amp;TU_NGAY))</f>
        <v/>
      </c>
      <c r="N195" s="124">
        <f>IF($A195="",0,SUMIFS(NKC!$H$7:$H$3006,NKC!$G$7:$G$3006,$A195,NKC!$B$7:$B$3006,"&lt;"&amp;TU_NGAY))</f>
        <v/>
      </c>
      <c r="O195" s="124">
        <f>IF($A195="",0,SUMIFS(NKC!$H$7:$H$3006,NKC!$F$7:$F$3006,$A195,NKC!$B$7:$B$3006,"&gt;="&amp;TU_NGAY,NKC!$B$7:$B$3006,"&lt;="&amp;DEN_NGAY))</f>
        <v/>
      </c>
      <c r="P195" s="124">
        <f>IF($A195="",0,SUMIFS(NKC!$H$7:$H$3006,NKC!$G$7:$G$3006,$A195,NKC!$B$7:$B$3006,"&gt;="&amp;TU_NGAY,NKC!$B$7:$B$3006,"&lt;="&amp;DEN_NGAY))</f>
        <v/>
      </c>
      <c r="Q195" s="124">
        <f>K195-L195+M195-N195</f>
        <v/>
      </c>
      <c r="R195" s="124">
        <f>MAX(Q195,0)</f>
        <v/>
      </c>
      <c r="S195" s="124">
        <f>MAX(-Q195,0)</f>
        <v/>
      </c>
      <c r="T195" s="124">
        <f>Q195+O195-P195</f>
        <v/>
      </c>
      <c r="U195" s="124">
        <f>MAX(T195,0)</f>
        <v/>
      </c>
      <c r="V195" s="124">
        <f>MAX(-T195,0)</f>
        <v/>
      </c>
    </row>
    <row r="196" ht="15" customHeight="1" s="78">
      <c r="A196" s="96">
        <f>IF(DMTK!$A195="","",DMTK!$A195&amp;"")</f>
        <v/>
      </c>
      <c r="B196" s="97">
        <f>IF(DMTK!$B195="","",DMTK!$B195)</f>
        <v/>
      </c>
      <c r="C196" s="122" t="n"/>
      <c r="D196" s="125">
        <f>IF($A196="","",SUMIF($A$8:$A$251,$A196&amp;"*",R$8:R$251))</f>
        <v/>
      </c>
      <c r="E196" s="125">
        <f>IF($A196="","",SUMIF($A$8:$A$251,$A196&amp;"*",S$8:S$251))</f>
        <v/>
      </c>
      <c r="F196" s="125">
        <f>IF($A196="","",SUMIF($A$8:$A$251,$A196&amp;"*",O$8:O$251))</f>
        <v/>
      </c>
      <c r="G196" s="125">
        <f>IF($A196="","",SUMIF($A$8:$A$251,$A196&amp;"*",P$8:P$251))</f>
        <v/>
      </c>
      <c r="H196" s="125">
        <f>IF($A196="","",SUMIF($A$8:$A$251,$A196&amp;"*",U$8:U$251))</f>
        <v/>
      </c>
      <c r="I196" s="125">
        <f>IF($A196="","",SUMIF($A$8:$A$251,$A196&amp;"*",V$8:V$251))</f>
        <v/>
      </c>
      <c r="K196" s="124">
        <f>IF($A196="",0,SUMIFS(SDDK!$C$8:$C$251,SDDK!$A$8:$A$251,$A196))</f>
        <v/>
      </c>
      <c r="L196" s="124">
        <f>IF($A196="",0,SUMIFS(SDDK!$D$8:$D$251,SDDK!$A$8:$A$251,$A196))</f>
        <v/>
      </c>
      <c r="M196" s="124">
        <f>IF($A196="",0,SUMIFS(NKC!$H$7:$H$3006,NKC!$F$7:$F$3006,$A196,NKC!$B$7:$B$3006,"&lt;"&amp;TU_NGAY))</f>
        <v/>
      </c>
      <c r="N196" s="124">
        <f>IF($A196="",0,SUMIFS(NKC!$H$7:$H$3006,NKC!$G$7:$G$3006,$A196,NKC!$B$7:$B$3006,"&lt;"&amp;TU_NGAY))</f>
        <v/>
      </c>
      <c r="O196" s="124">
        <f>IF($A196="",0,SUMIFS(NKC!$H$7:$H$3006,NKC!$F$7:$F$3006,$A196,NKC!$B$7:$B$3006,"&gt;="&amp;TU_NGAY,NKC!$B$7:$B$3006,"&lt;="&amp;DEN_NGAY))</f>
        <v/>
      </c>
      <c r="P196" s="124">
        <f>IF($A196="",0,SUMIFS(NKC!$H$7:$H$3006,NKC!$G$7:$G$3006,$A196,NKC!$B$7:$B$3006,"&gt;="&amp;TU_NGAY,NKC!$B$7:$B$3006,"&lt;="&amp;DEN_NGAY))</f>
        <v/>
      </c>
      <c r="Q196" s="124">
        <f>K196-L196+M196-N196</f>
        <v/>
      </c>
      <c r="R196" s="124">
        <f>MAX(Q196,0)</f>
        <v/>
      </c>
      <c r="S196" s="124">
        <f>MAX(-Q196,0)</f>
        <v/>
      </c>
      <c r="T196" s="124">
        <f>Q196+O196-P196</f>
        <v/>
      </c>
      <c r="U196" s="124">
        <f>MAX(T196,0)</f>
        <v/>
      </c>
      <c r="V196" s="124">
        <f>MAX(-T196,0)</f>
        <v/>
      </c>
    </row>
    <row r="197" ht="15" customHeight="1" s="78">
      <c r="A197" s="96">
        <f>IF(DMTK!$A196="","",DMTK!$A196&amp;"")</f>
        <v/>
      </c>
      <c r="B197" s="97">
        <f>IF(DMTK!$B196="","",DMTK!$B196)</f>
        <v/>
      </c>
      <c r="C197" s="122" t="n"/>
      <c r="D197" s="125">
        <f>IF($A197="","",SUMIF($A$8:$A$251,$A197&amp;"*",R$8:R$251))</f>
        <v/>
      </c>
      <c r="E197" s="125">
        <f>IF($A197="","",SUMIF($A$8:$A$251,$A197&amp;"*",S$8:S$251))</f>
        <v/>
      </c>
      <c r="F197" s="125">
        <f>IF($A197="","",SUMIF($A$8:$A$251,$A197&amp;"*",O$8:O$251))</f>
        <v/>
      </c>
      <c r="G197" s="125">
        <f>IF($A197="","",SUMIF($A$8:$A$251,$A197&amp;"*",P$8:P$251))</f>
        <v/>
      </c>
      <c r="H197" s="125">
        <f>IF($A197="","",SUMIF($A$8:$A$251,$A197&amp;"*",U$8:U$251))</f>
        <v/>
      </c>
      <c r="I197" s="125">
        <f>IF($A197="","",SUMIF($A$8:$A$251,$A197&amp;"*",V$8:V$251))</f>
        <v/>
      </c>
      <c r="K197" s="124">
        <f>IF($A197="",0,SUMIFS(SDDK!$C$8:$C$251,SDDK!$A$8:$A$251,$A197))</f>
        <v/>
      </c>
      <c r="L197" s="124">
        <f>IF($A197="",0,SUMIFS(SDDK!$D$8:$D$251,SDDK!$A$8:$A$251,$A197))</f>
        <v/>
      </c>
      <c r="M197" s="124">
        <f>IF($A197="",0,SUMIFS(NKC!$H$7:$H$3006,NKC!$F$7:$F$3006,$A197,NKC!$B$7:$B$3006,"&lt;"&amp;TU_NGAY))</f>
        <v/>
      </c>
      <c r="N197" s="124">
        <f>IF($A197="",0,SUMIFS(NKC!$H$7:$H$3006,NKC!$G$7:$G$3006,$A197,NKC!$B$7:$B$3006,"&lt;"&amp;TU_NGAY))</f>
        <v/>
      </c>
      <c r="O197" s="124">
        <f>IF($A197="",0,SUMIFS(NKC!$H$7:$H$3006,NKC!$F$7:$F$3006,$A197,NKC!$B$7:$B$3006,"&gt;="&amp;TU_NGAY,NKC!$B$7:$B$3006,"&lt;="&amp;DEN_NGAY))</f>
        <v/>
      </c>
      <c r="P197" s="124">
        <f>IF($A197="",0,SUMIFS(NKC!$H$7:$H$3006,NKC!$G$7:$G$3006,$A197,NKC!$B$7:$B$3006,"&gt;="&amp;TU_NGAY,NKC!$B$7:$B$3006,"&lt;="&amp;DEN_NGAY))</f>
        <v/>
      </c>
      <c r="Q197" s="124">
        <f>K197-L197+M197-N197</f>
        <v/>
      </c>
      <c r="R197" s="124">
        <f>MAX(Q197,0)</f>
        <v/>
      </c>
      <c r="S197" s="124">
        <f>MAX(-Q197,0)</f>
        <v/>
      </c>
      <c r="T197" s="124">
        <f>Q197+O197-P197</f>
        <v/>
      </c>
      <c r="U197" s="124">
        <f>MAX(T197,0)</f>
        <v/>
      </c>
      <c r="V197" s="124">
        <f>MAX(-T197,0)</f>
        <v/>
      </c>
    </row>
    <row r="198" ht="15" customHeight="1" s="78">
      <c r="A198" s="96">
        <f>IF(DMTK!$A197="","",DMTK!$A197&amp;"")</f>
        <v/>
      </c>
      <c r="B198" s="97">
        <f>IF(DMTK!$B197="","",DMTK!$B197)</f>
        <v/>
      </c>
      <c r="C198" s="122" t="n"/>
      <c r="D198" s="125">
        <f>IF($A198="","",SUMIF($A$8:$A$251,$A198&amp;"*",R$8:R$251))</f>
        <v/>
      </c>
      <c r="E198" s="125">
        <f>IF($A198="","",SUMIF($A$8:$A$251,$A198&amp;"*",S$8:S$251))</f>
        <v/>
      </c>
      <c r="F198" s="125">
        <f>IF($A198="","",SUMIF($A$8:$A$251,$A198&amp;"*",O$8:O$251))</f>
        <v/>
      </c>
      <c r="G198" s="125">
        <f>IF($A198="","",SUMIF($A$8:$A$251,$A198&amp;"*",P$8:P$251))</f>
        <v/>
      </c>
      <c r="H198" s="125">
        <f>IF($A198="","",SUMIF($A$8:$A$251,$A198&amp;"*",U$8:U$251))</f>
        <v/>
      </c>
      <c r="I198" s="125">
        <f>IF($A198="","",SUMIF($A$8:$A$251,$A198&amp;"*",V$8:V$251))</f>
        <v/>
      </c>
      <c r="K198" s="124">
        <f>IF($A198="",0,SUMIFS(SDDK!$C$8:$C$251,SDDK!$A$8:$A$251,$A198))</f>
        <v/>
      </c>
      <c r="L198" s="124">
        <f>IF($A198="",0,SUMIFS(SDDK!$D$8:$D$251,SDDK!$A$8:$A$251,$A198))</f>
        <v/>
      </c>
      <c r="M198" s="124">
        <f>IF($A198="",0,SUMIFS(NKC!$H$7:$H$3006,NKC!$F$7:$F$3006,$A198,NKC!$B$7:$B$3006,"&lt;"&amp;TU_NGAY))</f>
        <v/>
      </c>
      <c r="N198" s="124">
        <f>IF($A198="",0,SUMIFS(NKC!$H$7:$H$3006,NKC!$G$7:$G$3006,$A198,NKC!$B$7:$B$3006,"&lt;"&amp;TU_NGAY))</f>
        <v/>
      </c>
      <c r="O198" s="124">
        <f>IF($A198="",0,SUMIFS(NKC!$H$7:$H$3006,NKC!$F$7:$F$3006,$A198,NKC!$B$7:$B$3006,"&gt;="&amp;TU_NGAY,NKC!$B$7:$B$3006,"&lt;="&amp;DEN_NGAY))</f>
        <v/>
      </c>
      <c r="P198" s="124">
        <f>IF($A198="",0,SUMIFS(NKC!$H$7:$H$3006,NKC!$G$7:$G$3006,$A198,NKC!$B$7:$B$3006,"&gt;="&amp;TU_NGAY,NKC!$B$7:$B$3006,"&lt;="&amp;DEN_NGAY))</f>
        <v/>
      </c>
      <c r="Q198" s="124">
        <f>K198-L198+M198-N198</f>
        <v/>
      </c>
      <c r="R198" s="124">
        <f>MAX(Q198,0)</f>
        <v/>
      </c>
      <c r="S198" s="124">
        <f>MAX(-Q198,0)</f>
        <v/>
      </c>
      <c r="T198" s="124">
        <f>Q198+O198-P198</f>
        <v/>
      </c>
      <c r="U198" s="124">
        <f>MAX(T198,0)</f>
        <v/>
      </c>
      <c r="V198" s="124">
        <f>MAX(-T198,0)</f>
        <v/>
      </c>
    </row>
    <row r="199" ht="15" customHeight="1" s="78">
      <c r="A199" s="96">
        <f>IF(DMTK!$A198="","",DMTK!$A198&amp;"")</f>
        <v/>
      </c>
      <c r="B199" s="97">
        <f>IF(DMTK!$B198="","",DMTK!$B198)</f>
        <v/>
      </c>
      <c r="C199" s="122" t="n"/>
      <c r="D199" s="125">
        <f>IF($A199="","",SUMIF($A$8:$A$251,$A199&amp;"*",R$8:R$251))</f>
        <v/>
      </c>
      <c r="E199" s="125">
        <f>IF($A199="","",SUMIF($A$8:$A$251,$A199&amp;"*",S$8:S$251))</f>
        <v/>
      </c>
      <c r="F199" s="125">
        <f>IF($A199="","",SUMIF($A$8:$A$251,$A199&amp;"*",O$8:O$251))</f>
        <v/>
      </c>
      <c r="G199" s="125">
        <f>IF($A199="","",SUMIF($A$8:$A$251,$A199&amp;"*",P$8:P$251))</f>
        <v/>
      </c>
      <c r="H199" s="125">
        <f>IF($A199="","",SUMIF($A$8:$A$251,$A199&amp;"*",U$8:U$251))</f>
        <v/>
      </c>
      <c r="I199" s="125">
        <f>IF($A199="","",SUMIF($A$8:$A$251,$A199&amp;"*",V$8:V$251))</f>
        <v/>
      </c>
      <c r="K199" s="124">
        <f>IF($A199="",0,SUMIFS(SDDK!$C$8:$C$251,SDDK!$A$8:$A$251,$A199))</f>
        <v/>
      </c>
      <c r="L199" s="124">
        <f>IF($A199="",0,SUMIFS(SDDK!$D$8:$D$251,SDDK!$A$8:$A$251,$A199))</f>
        <v/>
      </c>
      <c r="M199" s="124">
        <f>IF($A199="",0,SUMIFS(NKC!$H$7:$H$3006,NKC!$F$7:$F$3006,$A199,NKC!$B$7:$B$3006,"&lt;"&amp;TU_NGAY))</f>
        <v/>
      </c>
      <c r="N199" s="124">
        <f>IF($A199="",0,SUMIFS(NKC!$H$7:$H$3006,NKC!$G$7:$G$3006,$A199,NKC!$B$7:$B$3006,"&lt;"&amp;TU_NGAY))</f>
        <v/>
      </c>
      <c r="O199" s="124">
        <f>IF($A199="",0,SUMIFS(NKC!$H$7:$H$3006,NKC!$F$7:$F$3006,$A199,NKC!$B$7:$B$3006,"&gt;="&amp;TU_NGAY,NKC!$B$7:$B$3006,"&lt;="&amp;DEN_NGAY))</f>
        <v/>
      </c>
      <c r="P199" s="124">
        <f>IF($A199="",0,SUMIFS(NKC!$H$7:$H$3006,NKC!$G$7:$G$3006,$A199,NKC!$B$7:$B$3006,"&gt;="&amp;TU_NGAY,NKC!$B$7:$B$3006,"&lt;="&amp;DEN_NGAY))</f>
        <v/>
      </c>
      <c r="Q199" s="124">
        <f>K199-L199+M199-N199</f>
        <v/>
      </c>
      <c r="R199" s="124">
        <f>MAX(Q199,0)</f>
        <v/>
      </c>
      <c r="S199" s="124">
        <f>MAX(-Q199,0)</f>
        <v/>
      </c>
      <c r="T199" s="124">
        <f>Q199+O199-P199</f>
        <v/>
      </c>
      <c r="U199" s="124">
        <f>MAX(T199,0)</f>
        <v/>
      </c>
      <c r="V199" s="124">
        <f>MAX(-T199,0)</f>
        <v/>
      </c>
    </row>
    <row r="200" ht="15" customHeight="1" s="78">
      <c r="A200" s="96">
        <f>IF(DMTK!$A199="","",DMTK!$A199&amp;"")</f>
        <v/>
      </c>
      <c r="B200" s="97">
        <f>IF(DMTK!$B199="","",DMTK!$B199)</f>
        <v/>
      </c>
      <c r="C200" s="122" t="n"/>
      <c r="D200" s="125">
        <f>IF($A200="","",SUMIF($A$8:$A$251,$A200&amp;"*",R$8:R$251))</f>
        <v/>
      </c>
      <c r="E200" s="125">
        <f>IF($A200="","",SUMIF($A$8:$A$251,$A200&amp;"*",S$8:S$251))</f>
        <v/>
      </c>
      <c r="F200" s="125">
        <f>IF($A200="","",SUMIF($A$8:$A$251,$A200&amp;"*",O$8:O$251))</f>
        <v/>
      </c>
      <c r="G200" s="125">
        <f>IF($A200="","",SUMIF($A$8:$A$251,$A200&amp;"*",P$8:P$251))</f>
        <v/>
      </c>
      <c r="H200" s="125">
        <f>IF($A200="","",SUMIF($A$8:$A$251,$A200&amp;"*",U$8:U$251))</f>
        <v/>
      </c>
      <c r="I200" s="125">
        <f>IF($A200="","",SUMIF($A$8:$A$251,$A200&amp;"*",V$8:V$251))</f>
        <v/>
      </c>
      <c r="K200" s="124">
        <f>IF($A200="",0,SUMIFS(SDDK!$C$8:$C$251,SDDK!$A$8:$A$251,$A200))</f>
        <v/>
      </c>
      <c r="L200" s="124">
        <f>IF($A200="",0,SUMIFS(SDDK!$D$8:$D$251,SDDK!$A$8:$A$251,$A200))</f>
        <v/>
      </c>
      <c r="M200" s="124">
        <f>IF($A200="",0,SUMIFS(NKC!$H$7:$H$3006,NKC!$F$7:$F$3006,$A200,NKC!$B$7:$B$3006,"&lt;"&amp;TU_NGAY))</f>
        <v/>
      </c>
      <c r="N200" s="124">
        <f>IF($A200="",0,SUMIFS(NKC!$H$7:$H$3006,NKC!$G$7:$G$3006,$A200,NKC!$B$7:$B$3006,"&lt;"&amp;TU_NGAY))</f>
        <v/>
      </c>
      <c r="O200" s="124">
        <f>IF($A200="",0,SUMIFS(NKC!$H$7:$H$3006,NKC!$F$7:$F$3006,$A200,NKC!$B$7:$B$3006,"&gt;="&amp;TU_NGAY,NKC!$B$7:$B$3006,"&lt;="&amp;DEN_NGAY))</f>
        <v/>
      </c>
      <c r="P200" s="124">
        <f>IF($A200="",0,SUMIFS(NKC!$H$7:$H$3006,NKC!$G$7:$G$3006,$A200,NKC!$B$7:$B$3006,"&gt;="&amp;TU_NGAY,NKC!$B$7:$B$3006,"&lt;="&amp;DEN_NGAY))</f>
        <v/>
      </c>
      <c r="Q200" s="124">
        <f>K200-L200+M200-N200</f>
        <v/>
      </c>
      <c r="R200" s="124">
        <f>MAX(Q200,0)</f>
        <v/>
      </c>
      <c r="S200" s="124">
        <f>MAX(-Q200,0)</f>
        <v/>
      </c>
      <c r="T200" s="124">
        <f>Q200+O200-P200</f>
        <v/>
      </c>
      <c r="U200" s="124">
        <f>MAX(T200,0)</f>
        <v/>
      </c>
      <c r="V200" s="124">
        <f>MAX(-T200,0)</f>
        <v/>
      </c>
    </row>
    <row r="201" ht="15" customHeight="1" s="78">
      <c r="A201" s="96">
        <f>IF(DMTK!$A200="","",DMTK!$A200&amp;"")</f>
        <v/>
      </c>
      <c r="B201" s="97">
        <f>IF(DMTK!$B200="","",DMTK!$B200)</f>
        <v/>
      </c>
      <c r="C201" s="122" t="n"/>
      <c r="D201" s="125">
        <f>IF($A201="","",SUMIF($A$8:$A$251,$A201&amp;"*",R$8:R$251))</f>
        <v/>
      </c>
      <c r="E201" s="125">
        <f>IF($A201="","",SUMIF($A$8:$A$251,$A201&amp;"*",S$8:S$251))</f>
        <v/>
      </c>
      <c r="F201" s="125">
        <f>IF($A201="","",SUMIF($A$8:$A$251,$A201&amp;"*",O$8:O$251))</f>
        <v/>
      </c>
      <c r="G201" s="125">
        <f>IF($A201="","",SUMIF($A$8:$A$251,$A201&amp;"*",P$8:P$251))</f>
        <v/>
      </c>
      <c r="H201" s="125">
        <f>IF($A201="","",SUMIF($A$8:$A$251,$A201&amp;"*",U$8:U$251))</f>
        <v/>
      </c>
      <c r="I201" s="125">
        <f>IF($A201="","",SUMIF($A$8:$A$251,$A201&amp;"*",V$8:V$251))</f>
        <v/>
      </c>
      <c r="K201" s="124">
        <f>IF($A201="",0,SUMIFS(SDDK!$C$8:$C$251,SDDK!$A$8:$A$251,$A201))</f>
        <v/>
      </c>
      <c r="L201" s="124">
        <f>IF($A201="",0,SUMIFS(SDDK!$D$8:$D$251,SDDK!$A$8:$A$251,$A201))</f>
        <v/>
      </c>
      <c r="M201" s="124">
        <f>IF($A201="",0,SUMIFS(NKC!$H$7:$H$3006,NKC!$F$7:$F$3006,$A201,NKC!$B$7:$B$3006,"&lt;"&amp;TU_NGAY))</f>
        <v/>
      </c>
      <c r="N201" s="124">
        <f>IF($A201="",0,SUMIFS(NKC!$H$7:$H$3006,NKC!$G$7:$G$3006,$A201,NKC!$B$7:$B$3006,"&lt;"&amp;TU_NGAY))</f>
        <v/>
      </c>
      <c r="O201" s="124">
        <f>IF($A201="",0,SUMIFS(NKC!$H$7:$H$3006,NKC!$F$7:$F$3006,$A201,NKC!$B$7:$B$3006,"&gt;="&amp;TU_NGAY,NKC!$B$7:$B$3006,"&lt;="&amp;DEN_NGAY))</f>
        <v/>
      </c>
      <c r="P201" s="124">
        <f>IF($A201="",0,SUMIFS(NKC!$H$7:$H$3006,NKC!$G$7:$G$3006,$A201,NKC!$B$7:$B$3006,"&gt;="&amp;TU_NGAY,NKC!$B$7:$B$3006,"&lt;="&amp;DEN_NGAY))</f>
        <v/>
      </c>
      <c r="Q201" s="124">
        <f>K201-L201+M201-N201</f>
        <v/>
      </c>
      <c r="R201" s="124">
        <f>MAX(Q201,0)</f>
        <v/>
      </c>
      <c r="S201" s="124">
        <f>MAX(-Q201,0)</f>
        <v/>
      </c>
      <c r="T201" s="124">
        <f>Q201+O201-P201</f>
        <v/>
      </c>
      <c r="U201" s="124">
        <f>MAX(T201,0)</f>
        <v/>
      </c>
      <c r="V201" s="124">
        <f>MAX(-T201,0)</f>
        <v/>
      </c>
    </row>
    <row r="202" ht="15" customHeight="1" s="78">
      <c r="A202" s="96">
        <f>IF(DMTK!$A201="","",DMTK!$A201&amp;"")</f>
        <v/>
      </c>
      <c r="B202" s="97">
        <f>IF(DMTK!$B201="","",DMTK!$B201)</f>
        <v/>
      </c>
      <c r="C202" s="122" t="n"/>
      <c r="D202" s="125">
        <f>IF($A202="","",SUMIF($A$8:$A$251,$A202&amp;"*",R$8:R$251))</f>
        <v/>
      </c>
      <c r="E202" s="125">
        <f>IF($A202="","",SUMIF($A$8:$A$251,$A202&amp;"*",S$8:S$251))</f>
        <v/>
      </c>
      <c r="F202" s="125">
        <f>IF($A202="","",SUMIF($A$8:$A$251,$A202&amp;"*",O$8:O$251))</f>
        <v/>
      </c>
      <c r="G202" s="125">
        <f>IF($A202="","",SUMIF($A$8:$A$251,$A202&amp;"*",P$8:P$251))</f>
        <v/>
      </c>
      <c r="H202" s="125">
        <f>IF($A202="","",SUMIF($A$8:$A$251,$A202&amp;"*",U$8:U$251))</f>
        <v/>
      </c>
      <c r="I202" s="125">
        <f>IF($A202="","",SUMIF($A$8:$A$251,$A202&amp;"*",V$8:V$251))</f>
        <v/>
      </c>
      <c r="K202" s="124">
        <f>IF($A202="",0,SUMIFS(SDDK!$C$8:$C$251,SDDK!$A$8:$A$251,$A202))</f>
        <v/>
      </c>
      <c r="L202" s="124">
        <f>IF($A202="",0,SUMIFS(SDDK!$D$8:$D$251,SDDK!$A$8:$A$251,$A202))</f>
        <v/>
      </c>
      <c r="M202" s="124">
        <f>IF($A202="",0,SUMIFS(NKC!$H$7:$H$3006,NKC!$F$7:$F$3006,$A202,NKC!$B$7:$B$3006,"&lt;"&amp;TU_NGAY))</f>
        <v/>
      </c>
      <c r="N202" s="124">
        <f>IF($A202="",0,SUMIFS(NKC!$H$7:$H$3006,NKC!$G$7:$G$3006,$A202,NKC!$B$7:$B$3006,"&lt;"&amp;TU_NGAY))</f>
        <v/>
      </c>
      <c r="O202" s="124">
        <f>IF($A202="",0,SUMIFS(NKC!$H$7:$H$3006,NKC!$F$7:$F$3006,$A202,NKC!$B$7:$B$3006,"&gt;="&amp;TU_NGAY,NKC!$B$7:$B$3006,"&lt;="&amp;DEN_NGAY))</f>
        <v/>
      </c>
      <c r="P202" s="124">
        <f>IF($A202="",0,SUMIFS(NKC!$H$7:$H$3006,NKC!$G$7:$G$3006,$A202,NKC!$B$7:$B$3006,"&gt;="&amp;TU_NGAY,NKC!$B$7:$B$3006,"&lt;="&amp;DEN_NGAY))</f>
        <v/>
      </c>
      <c r="Q202" s="124">
        <f>K202-L202+M202-N202</f>
        <v/>
      </c>
      <c r="R202" s="124">
        <f>MAX(Q202,0)</f>
        <v/>
      </c>
      <c r="S202" s="124">
        <f>MAX(-Q202,0)</f>
        <v/>
      </c>
      <c r="T202" s="124">
        <f>Q202+O202-P202</f>
        <v/>
      </c>
      <c r="U202" s="124">
        <f>MAX(T202,0)</f>
        <v/>
      </c>
      <c r="V202" s="124">
        <f>MAX(-T202,0)</f>
        <v/>
      </c>
    </row>
    <row r="203" ht="15" customHeight="1" s="78">
      <c r="A203" s="96">
        <f>IF(DMTK!$A202="","",DMTK!$A202&amp;"")</f>
        <v/>
      </c>
      <c r="B203" s="97">
        <f>IF(DMTK!$B202="","",DMTK!$B202)</f>
        <v/>
      </c>
      <c r="C203" s="122" t="n"/>
      <c r="D203" s="125">
        <f>IF($A203="","",SUMIF($A$8:$A$251,$A203&amp;"*",R$8:R$251))</f>
        <v/>
      </c>
      <c r="E203" s="125">
        <f>IF($A203="","",SUMIF($A$8:$A$251,$A203&amp;"*",S$8:S$251))</f>
        <v/>
      </c>
      <c r="F203" s="125">
        <f>IF($A203="","",SUMIF($A$8:$A$251,$A203&amp;"*",O$8:O$251))</f>
        <v/>
      </c>
      <c r="G203" s="125">
        <f>IF($A203="","",SUMIF($A$8:$A$251,$A203&amp;"*",P$8:P$251))</f>
        <v/>
      </c>
      <c r="H203" s="125">
        <f>IF($A203="","",SUMIF($A$8:$A$251,$A203&amp;"*",U$8:U$251))</f>
        <v/>
      </c>
      <c r="I203" s="125">
        <f>IF($A203="","",SUMIF($A$8:$A$251,$A203&amp;"*",V$8:V$251))</f>
        <v/>
      </c>
      <c r="K203" s="124">
        <f>IF($A203="",0,SUMIFS(SDDK!$C$8:$C$251,SDDK!$A$8:$A$251,$A203))</f>
        <v/>
      </c>
      <c r="L203" s="124">
        <f>IF($A203="",0,SUMIFS(SDDK!$D$8:$D$251,SDDK!$A$8:$A$251,$A203))</f>
        <v/>
      </c>
      <c r="M203" s="124">
        <f>IF($A203="",0,SUMIFS(NKC!$H$7:$H$3006,NKC!$F$7:$F$3006,$A203,NKC!$B$7:$B$3006,"&lt;"&amp;TU_NGAY))</f>
        <v/>
      </c>
      <c r="N203" s="124">
        <f>IF($A203="",0,SUMIFS(NKC!$H$7:$H$3006,NKC!$G$7:$G$3006,$A203,NKC!$B$7:$B$3006,"&lt;"&amp;TU_NGAY))</f>
        <v/>
      </c>
      <c r="O203" s="124">
        <f>IF($A203="",0,SUMIFS(NKC!$H$7:$H$3006,NKC!$F$7:$F$3006,$A203,NKC!$B$7:$B$3006,"&gt;="&amp;TU_NGAY,NKC!$B$7:$B$3006,"&lt;="&amp;DEN_NGAY))</f>
        <v/>
      </c>
      <c r="P203" s="124">
        <f>IF($A203="",0,SUMIFS(NKC!$H$7:$H$3006,NKC!$G$7:$G$3006,$A203,NKC!$B$7:$B$3006,"&gt;="&amp;TU_NGAY,NKC!$B$7:$B$3006,"&lt;="&amp;DEN_NGAY))</f>
        <v/>
      </c>
      <c r="Q203" s="124">
        <f>K203-L203+M203-N203</f>
        <v/>
      </c>
      <c r="R203" s="124">
        <f>MAX(Q203,0)</f>
        <v/>
      </c>
      <c r="S203" s="124">
        <f>MAX(-Q203,0)</f>
        <v/>
      </c>
      <c r="T203" s="124">
        <f>Q203+O203-P203</f>
        <v/>
      </c>
      <c r="U203" s="124">
        <f>MAX(T203,0)</f>
        <v/>
      </c>
      <c r="V203" s="124">
        <f>MAX(-T203,0)</f>
        <v/>
      </c>
    </row>
    <row r="204" ht="15" customHeight="1" s="78">
      <c r="A204" s="96">
        <f>IF(DMTK!$A203="","",DMTK!$A203&amp;"")</f>
        <v/>
      </c>
      <c r="B204" s="97">
        <f>IF(DMTK!$B203="","",DMTK!$B203)</f>
        <v/>
      </c>
      <c r="C204" s="122" t="n"/>
      <c r="D204" s="125">
        <f>IF($A204="","",SUMIF($A$8:$A$251,$A204&amp;"*",R$8:R$251))</f>
        <v/>
      </c>
      <c r="E204" s="125">
        <f>IF($A204="","",SUMIF($A$8:$A$251,$A204&amp;"*",S$8:S$251))</f>
        <v/>
      </c>
      <c r="F204" s="125">
        <f>IF($A204="","",SUMIF($A$8:$A$251,$A204&amp;"*",O$8:O$251))</f>
        <v/>
      </c>
      <c r="G204" s="125">
        <f>IF($A204="","",SUMIF($A$8:$A$251,$A204&amp;"*",P$8:P$251))</f>
        <v/>
      </c>
      <c r="H204" s="125">
        <f>IF($A204="","",SUMIF($A$8:$A$251,$A204&amp;"*",U$8:U$251))</f>
        <v/>
      </c>
      <c r="I204" s="125">
        <f>IF($A204="","",SUMIF($A$8:$A$251,$A204&amp;"*",V$8:V$251))</f>
        <v/>
      </c>
      <c r="K204" s="124">
        <f>IF($A204="",0,SUMIFS(SDDK!$C$8:$C$251,SDDK!$A$8:$A$251,$A204))</f>
        <v/>
      </c>
      <c r="L204" s="124">
        <f>IF($A204="",0,SUMIFS(SDDK!$D$8:$D$251,SDDK!$A$8:$A$251,$A204))</f>
        <v/>
      </c>
      <c r="M204" s="124">
        <f>IF($A204="",0,SUMIFS(NKC!$H$7:$H$3006,NKC!$F$7:$F$3006,$A204,NKC!$B$7:$B$3006,"&lt;"&amp;TU_NGAY))</f>
        <v/>
      </c>
      <c r="N204" s="124">
        <f>IF($A204="",0,SUMIFS(NKC!$H$7:$H$3006,NKC!$G$7:$G$3006,$A204,NKC!$B$7:$B$3006,"&lt;"&amp;TU_NGAY))</f>
        <v/>
      </c>
      <c r="O204" s="124">
        <f>IF($A204="",0,SUMIFS(NKC!$H$7:$H$3006,NKC!$F$7:$F$3006,$A204,NKC!$B$7:$B$3006,"&gt;="&amp;TU_NGAY,NKC!$B$7:$B$3006,"&lt;="&amp;DEN_NGAY))</f>
        <v/>
      </c>
      <c r="P204" s="124">
        <f>IF($A204="",0,SUMIFS(NKC!$H$7:$H$3006,NKC!$G$7:$G$3006,$A204,NKC!$B$7:$B$3006,"&gt;="&amp;TU_NGAY,NKC!$B$7:$B$3006,"&lt;="&amp;DEN_NGAY))</f>
        <v/>
      </c>
      <c r="Q204" s="124">
        <f>K204-L204+M204-N204</f>
        <v/>
      </c>
      <c r="R204" s="124">
        <f>MAX(Q204,0)</f>
        <v/>
      </c>
      <c r="S204" s="124">
        <f>MAX(-Q204,0)</f>
        <v/>
      </c>
      <c r="T204" s="124">
        <f>Q204+O204-P204</f>
        <v/>
      </c>
      <c r="U204" s="124">
        <f>MAX(T204,0)</f>
        <v/>
      </c>
      <c r="V204" s="124">
        <f>MAX(-T204,0)</f>
        <v/>
      </c>
    </row>
    <row r="205" ht="15" customHeight="1" s="78">
      <c r="A205" s="96">
        <f>IF(DMTK!$A204="","",DMTK!$A204&amp;"")</f>
        <v/>
      </c>
      <c r="B205" s="97">
        <f>IF(DMTK!$B204="","",DMTK!$B204)</f>
        <v/>
      </c>
      <c r="C205" s="122" t="n"/>
      <c r="D205" s="125">
        <f>IF($A205="","",SUMIF($A$8:$A$251,$A205&amp;"*",R$8:R$251))</f>
        <v/>
      </c>
      <c r="E205" s="125">
        <f>IF($A205="","",SUMIF($A$8:$A$251,$A205&amp;"*",S$8:S$251))</f>
        <v/>
      </c>
      <c r="F205" s="125">
        <f>IF($A205="","",SUMIF($A$8:$A$251,$A205&amp;"*",O$8:O$251))</f>
        <v/>
      </c>
      <c r="G205" s="125">
        <f>IF($A205="","",SUMIF($A$8:$A$251,$A205&amp;"*",P$8:P$251))</f>
        <v/>
      </c>
      <c r="H205" s="125">
        <f>IF($A205="","",SUMIF($A$8:$A$251,$A205&amp;"*",U$8:U$251))</f>
        <v/>
      </c>
      <c r="I205" s="125">
        <f>IF($A205="","",SUMIF($A$8:$A$251,$A205&amp;"*",V$8:V$251))</f>
        <v/>
      </c>
      <c r="K205" s="124">
        <f>IF($A205="",0,SUMIFS(SDDK!$C$8:$C$251,SDDK!$A$8:$A$251,$A205))</f>
        <v/>
      </c>
      <c r="L205" s="124">
        <f>IF($A205="",0,SUMIFS(SDDK!$D$8:$D$251,SDDK!$A$8:$A$251,$A205))</f>
        <v/>
      </c>
      <c r="M205" s="124">
        <f>IF($A205="",0,SUMIFS(NKC!$H$7:$H$3006,NKC!$F$7:$F$3006,$A205,NKC!$B$7:$B$3006,"&lt;"&amp;TU_NGAY))</f>
        <v/>
      </c>
      <c r="N205" s="124">
        <f>IF($A205="",0,SUMIFS(NKC!$H$7:$H$3006,NKC!$G$7:$G$3006,$A205,NKC!$B$7:$B$3006,"&lt;"&amp;TU_NGAY))</f>
        <v/>
      </c>
      <c r="O205" s="124">
        <f>IF($A205="",0,SUMIFS(NKC!$H$7:$H$3006,NKC!$F$7:$F$3006,$A205,NKC!$B$7:$B$3006,"&gt;="&amp;TU_NGAY,NKC!$B$7:$B$3006,"&lt;="&amp;DEN_NGAY))</f>
        <v/>
      </c>
      <c r="P205" s="124">
        <f>IF($A205="",0,SUMIFS(NKC!$H$7:$H$3006,NKC!$G$7:$G$3006,$A205,NKC!$B$7:$B$3006,"&gt;="&amp;TU_NGAY,NKC!$B$7:$B$3006,"&lt;="&amp;DEN_NGAY))</f>
        <v/>
      </c>
      <c r="Q205" s="124">
        <f>K205-L205+M205-N205</f>
        <v/>
      </c>
      <c r="R205" s="124">
        <f>MAX(Q205,0)</f>
        <v/>
      </c>
      <c r="S205" s="124">
        <f>MAX(-Q205,0)</f>
        <v/>
      </c>
      <c r="T205" s="124">
        <f>Q205+O205-P205</f>
        <v/>
      </c>
      <c r="U205" s="124">
        <f>MAX(T205,0)</f>
        <v/>
      </c>
      <c r="V205" s="124">
        <f>MAX(-T205,0)</f>
        <v/>
      </c>
    </row>
    <row r="206" ht="15" customHeight="1" s="78">
      <c r="A206" s="96">
        <f>IF(DMTK!$A205="","",DMTK!$A205&amp;"")</f>
        <v/>
      </c>
      <c r="B206" s="97">
        <f>IF(DMTK!$B205="","",DMTK!$B205)</f>
        <v/>
      </c>
      <c r="C206" s="122" t="n"/>
      <c r="D206" s="125">
        <f>IF($A206="","",SUMIF($A$8:$A$251,$A206&amp;"*",R$8:R$251))</f>
        <v/>
      </c>
      <c r="E206" s="125">
        <f>IF($A206="","",SUMIF($A$8:$A$251,$A206&amp;"*",S$8:S$251))</f>
        <v/>
      </c>
      <c r="F206" s="125">
        <f>IF($A206="","",SUMIF($A$8:$A$251,$A206&amp;"*",O$8:O$251))</f>
        <v/>
      </c>
      <c r="G206" s="125">
        <f>IF($A206="","",SUMIF($A$8:$A$251,$A206&amp;"*",P$8:P$251))</f>
        <v/>
      </c>
      <c r="H206" s="125">
        <f>IF($A206="","",SUMIF($A$8:$A$251,$A206&amp;"*",U$8:U$251))</f>
        <v/>
      </c>
      <c r="I206" s="125">
        <f>IF($A206="","",SUMIF($A$8:$A$251,$A206&amp;"*",V$8:V$251))</f>
        <v/>
      </c>
      <c r="K206" s="124">
        <f>IF($A206="",0,SUMIFS(SDDK!$C$8:$C$251,SDDK!$A$8:$A$251,$A206))</f>
        <v/>
      </c>
      <c r="L206" s="124">
        <f>IF($A206="",0,SUMIFS(SDDK!$D$8:$D$251,SDDK!$A$8:$A$251,$A206))</f>
        <v/>
      </c>
      <c r="M206" s="124">
        <f>IF($A206="",0,SUMIFS(NKC!$H$7:$H$3006,NKC!$F$7:$F$3006,$A206,NKC!$B$7:$B$3006,"&lt;"&amp;TU_NGAY))</f>
        <v/>
      </c>
      <c r="N206" s="124">
        <f>IF($A206="",0,SUMIFS(NKC!$H$7:$H$3006,NKC!$G$7:$G$3006,$A206,NKC!$B$7:$B$3006,"&lt;"&amp;TU_NGAY))</f>
        <v/>
      </c>
      <c r="O206" s="124">
        <f>IF($A206="",0,SUMIFS(NKC!$H$7:$H$3006,NKC!$F$7:$F$3006,$A206,NKC!$B$7:$B$3006,"&gt;="&amp;TU_NGAY,NKC!$B$7:$B$3006,"&lt;="&amp;DEN_NGAY))</f>
        <v/>
      </c>
      <c r="P206" s="124">
        <f>IF($A206="",0,SUMIFS(NKC!$H$7:$H$3006,NKC!$G$7:$G$3006,$A206,NKC!$B$7:$B$3006,"&gt;="&amp;TU_NGAY,NKC!$B$7:$B$3006,"&lt;="&amp;DEN_NGAY))</f>
        <v/>
      </c>
      <c r="Q206" s="124">
        <f>K206-L206+M206-N206</f>
        <v/>
      </c>
      <c r="R206" s="124">
        <f>MAX(Q206,0)</f>
        <v/>
      </c>
      <c r="S206" s="124">
        <f>MAX(-Q206,0)</f>
        <v/>
      </c>
      <c r="T206" s="124">
        <f>Q206+O206-P206</f>
        <v/>
      </c>
      <c r="U206" s="124">
        <f>MAX(T206,0)</f>
        <v/>
      </c>
      <c r="V206" s="124">
        <f>MAX(-T206,0)</f>
        <v/>
      </c>
    </row>
    <row r="207" ht="15" customHeight="1" s="78">
      <c r="A207" s="96">
        <f>IF(DMTK!$A206="","",DMTK!$A206&amp;"")</f>
        <v/>
      </c>
      <c r="B207" s="97">
        <f>IF(DMTK!$B206="","",DMTK!$B206)</f>
        <v/>
      </c>
      <c r="C207" s="122" t="n"/>
      <c r="D207" s="125">
        <f>IF($A207="","",SUMIF($A$8:$A$251,$A207&amp;"*",R$8:R$251))</f>
        <v/>
      </c>
      <c r="E207" s="125">
        <f>IF($A207="","",SUMIF($A$8:$A$251,$A207&amp;"*",S$8:S$251))</f>
        <v/>
      </c>
      <c r="F207" s="125">
        <f>IF($A207="","",SUMIF($A$8:$A$251,$A207&amp;"*",O$8:O$251))</f>
        <v/>
      </c>
      <c r="G207" s="125">
        <f>IF($A207="","",SUMIF($A$8:$A$251,$A207&amp;"*",P$8:P$251))</f>
        <v/>
      </c>
      <c r="H207" s="125">
        <f>IF($A207="","",SUMIF($A$8:$A$251,$A207&amp;"*",U$8:U$251))</f>
        <v/>
      </c>
      <c r="I207" s="125">
        <f>IF($A207="","",SUMIF($A$8:$A$251,$A207&amp;"*",V$8:V$251))</f>
        <v/>
      </c>
      <c r="K207" s="124">
        <f>IF($A207="",0,SUMIFS(SDDK!$C$8:$C$251,SDDK!$A$8:$A$251,$A207))</f>
        <v/>
      </c>
      <c r="L207" s="124">
        <f>IF($A207="",0,SUMIFS(SDDK!$D$8:$D$251,SDDK!$A$8:$A$251,$A207))</f>
        <v/>
      </c>
      <c r="M207" s="124">
        <f>IF($A207="",0,SUMIFS(NKC!$H$7:$H$3006,NKC!$F$7:$F$3006,$A207,NKC!$B$7:$B$3006,"&lt;"&amp;TU_NGAY))</f>
        <v/>
      </c>
      <c r="N207" s="124">
        <f>IF($A207="",0,SUMIFS(NKC!$H$7:$H$3006,NKC!$G$7:$G$3006,$A207,NKC!$B$7:$B$3006,"&lt;"&amp;TU_NGAY))</f>
        <v/>
      </c>
      <c r="O207" s="124">
        <f>IF($A207="",0,SUMIFS(NKC!$H$7:$H$3006,NKC!$F$7:$F$3006,$A207,NKC!$B$7:$B$3006,"&gt;="&amp;TU_NGAY,NKC!$B$7:$B$3006,"&lt;="&amp;DEN_NGAY))</f>
        <v/>
      </c>
      <c r="P207" s="124">
        <f>IF($A207="",0,SUMIFS(NKC!$H$7:$H$3006,NKC!$G$7:$G$3006,$A207,NKC!$B$7:$B$3006,"&gt;="&amp;TU_NGAY,NKC!$B$7:$B$3006,"&lt;="&amp;DEN_NGAY))</f>
        <v/>
      </c>
      <c r="Q207" s="124">
        <f>K207-L207+M207-N207</f>
        <v/>
      </c>
      <c r="R207" s="124">
        <f>MAX(Q207,0)</f>
        <v/>
      </c>
      <c r="S207" s="124">
        <f>MAX(-Q207,0)</f>
        <v/>
      </c>
      <c r="T207" s="124">
        <f>Q207+O207-P207</f>
        <v/>
      </c>
      <c r="U207" s="124">
        <f>MAX(T207,0)</f>
        <v/>
      </c>
      <c r="V207" s="124">
        <f>MAX(-T207,0)</f>
        <v/>
      </c>
    </row>
    <row r="208" ht="15" customHeight="1" s="78">
      <c r="A208" s="96">
        <f>IF(DMTK!$A207="","",DMTK!$A207&amp;"")</f>
        <v/>
      </c>
      <c r="B208" s="97">
        <f>IF(DMTK!$B207="","",DMTK!$B207)</f>
        <v/>
      </c>
      <c r="C208" s="122" t="n"/>
      <c r="D208" s="125">
        <f>IF($A208="","",SUMIF($A$8:$A$251,$A208&amp;"*",R$8:R$251))</f>
        <v/>
      </c>
      <c r="E208" s="125">
        <f>IF($A208="","",SUMIF($A$8:$A$251,$A208&amp;"*",S$8:S$251))</f>
        <v/>
      </c>
      <c r="F208" s="125">
        <f>IF($A208="","",SUMIF($A$8:$A$251,$A208&amp;"*",O$8:O$251))</f>
        <v/>
      </c>
      <c r="G208" s="125">
        <f>IF($A208="","",SUMIF($A$8:$A$251,$A208&amp;"*",P$8:P$251))</f>
        <v/>
      </c>
      <c r="H208" s="125">
        <f>IF($A208="","",SUMIF($A$8:$A$251,$A208&amp;"*",U$8:U$251))</f>
        <v/>
      </c>
      <c r="I208" s="125">
        <f>IF($A208="","",SUMIF($A$8:$A$251,$A208&amp;"*",V$8:V$251))</f>
        <v/>
      </c>
      <c r="K208" s="124">
        <f>IF($A208="",0,SUMIFS(SDDK!$C$8:$C$251,SDDK!$A$8:$A$251,$A208))</f>
        <v/>
      </c>
      <c r="L208" s="124">
        <f>IF($A208="",0,SUMIFS(SDDK!$D$8:$D$251,SDDK!$A$8:$A$251,$A208))</f>
        <v/>
      </c>
      <c r="M208" s="124">
        <f>IF($A208="",0,SUMIFS(NKC!$H$7:$H$3006,NKC!$F$7:$F$3006,$A208,NKC!$B$7:$B$3006,"&lt;"&amp;TU_NGAY))</f>
        <v/>
      </c>
      <c r="N208" s="124">
        <f>IF($A208="",0,SUMIFS(NKC!$H$7:$H$3006,NKC!$G$7:$G$3006,$A208,NKC!$B$7:$B$3006,"&lt;"&amp;TU_NGAY))</f>
        <v/>
      </c>
      <c r="O208" s="124">
        <f>IF($A208="",0,SUMIFS(NKC!$H$7:$H$3006,NKC!$F$7:$F$3006,$A208,NKC!$B$7:$B$3006,"&gt;="&amp;TU_NGAY,NKC!$B$7:$B$3006,"&lt;="&amp;DEN_NGAY))</f>
        <v/>
      </c>
      <c r="P208" s="124">
        <f>IF($A208="",0,SUMIFS(NKC!$H$7:$H$3006,NKC!$G$7:$G$3006,$A208,NKC!$B$7:$B$3006,"&gt;="&amp;TU_NGAY,NKC!$B$7:$B$3006,"&lt;="&amp;DEN_NGAY))</f>
        <v/>
      </c>
      <c r="Q208" s="124">
        <f>K208-L208+M208-N208</f>
        <v/>
      </c>
      <c r="R208" s="124">
        <f>MAX(Q208,0)</f>
        <v/>
      </c>
      <c r="S208" s="124">
        <f>MAX(-Q208,0)</f>
        <v/>
      </c>
      <c r="T208" s="124">
        <f>Q208+O208-P208</f>
        <v/>
      </c>
      <c r="U208" s="124">
        <f>MAX(T208,0)</f>
        <v/>
      </c>
      <c r="V208" s="124">
        <f>MAX(-T208,0)</f>
        <v/>
      </c>
    </row>
    <row r="209" ht="15" customHeight="1" s="78">
      <c r="A209" s="96">
        <f>IF(DMTK!$A208="","",DMTK!$A208&amp;"")</f>
        <v/>
      </c>
      <c r="B209" s="97">
        <f>IF(DMTK!$B208="","",DMTK!$B208)</f>
        <v/>
      </c>
      <c r="C209" s="122" t="n"/>
      <c r="D209" s="125">
        <f>IF($A209="","",SUMIF($A$8:$A$251,$A209&amp;"*",R$8:R$251))</f>
        <v/>
      </c>
      <c r="E209" s="125">
        <f>IF($A209="","",SUMIF($A$8:$A$251,$A209&amp;"*",S$8:S$251))</f>
        <v/>
      </c>
      <c r="F209" s="125">
        <f>IF($A209="","",SUMIF($A$8:$A$251,$A209&amp;"*",O$8:O$251))</f>
        <v/>
      </c>
      <c r="G209" s="125">
        <f>IF($A209="","",SUMIF($A$8:$A$251,$A209&amp;"*",P$8:P$251))</f>
        <v/>
      </c>
      <c r="H209" s="125">
        <f>IF($A209="","",SUMIF($A$8:$A$251,$A209&amp;"*",U$8:U$251))</f>
        <v/>
      </c>
      <c r="I209" s="125">
        <f>IF($A209="","",SUMIF($A$8:$A$251,$A209&amp;"*",V$8:V$251))</f>
        <v/>
      </c>
      <c r="K209" s="124">
        <f>IF($A209="",0,SUMIFS(SDDK!$C$8:$C$251,SDDK!$A$8:$A$251,$A209))</f>
        <v/>
      </c>
      <c r="L209" s="124">
        <f>IF($A209="",0,SUMIFS(SDDK!$D$8:$D$251,SDDK!$A$8:$A$251,$A209))</f>
        <v/>
      </c>
      <c r="M209" s="124">
        <f>IF($A209="",0,SUMIFS(NKC!$H$7:$H$3006,NKC!$F$7:$F$3006,$A209,NKC!$B$7:$B$3006,"&lt;"&amp;TU_NGAY))</f>
        <v/>
      </c>
      <c r="N209" s="124">
        <f>IF($A209="",0,SUMIFS(NKC!$H$7:$H$3006,NKC!$G$7:$G$3006,$A209,NKC!$B$7:$B$3006,"&lt;"&amp;TU_NGAY))</f>
        <v/>
      </c>
      <c r="O209" s="124">
        <f>IF($A209="",0,SUMIFS(NKC!$H$7:$H$3006,NKC!$F$7:$F$3006,$A209,NKC!$B$7:$B$3006,"&gt;="&amp;TU_NGAY,NKC!$B$7:$B$3006,"&lt;="&amp;DEN_NGAY))</f>
        <v/>
      </c>
      <c r="P209" s="124">
        <f>IF($A209="",0,SUMIFS(NKC!$H$7:$H$3006,NKC!$G$7:$G$3006,$A209,NKC!$B$7:$B$3006,"&gt;="&amp;TU_NGAY,NKC!$B$7:$B$3006,"&lt;="&amp;DEN_NGAY))</f>
        <v/>
      </c>
      <c r="Q209" s="124">
        <f>K209-L209+M209-N209</f>
        <v/>
      </c>
      <c r="R209" s="124">
        <f>MAX(Q209,0)</f>
        <v/>
      </c>
      <c r="S209" s="124">
        <f>MAX(-Q209,0)</f>
        <v/>
      </c>
      <c r="T209" s="124">
        <f>Q209+O209-P209</f>
        <v/>
      </c>
      <c r="U209" s="124">
        <f>MAX(T209,0)</f>
        <v/>
      </c>
      <c r="V209" s="124">
        <f>MAX(-T209,0)</f>
        <v/>
      </c>
    </row>
    <row r="210" ht="15" customHeight="1" s="78">
      <c r="A210" s="96">
        <f>IF(DMTK!$A209="","",DMTK!$A209&amp;"")</f>
        <v/>
      </c>
      <c r="B210" s="97">
        <f>IF(DMTK!$B209="","",DMTK!$B209)</f>
        <v/>
      </c>
      <c r="C210" s="122" t="n"/>
      <c r="D210" s="125">
        <f>IF($A210="","",SUMIF($A$8:$A$251,$A210&amp;"*",R$8:R$251))</f>
        <v/>
      </c>
      <c r="E210" s="125">
        <f>IF($A210="","",SUMIF($A$8:$A$251,$A210&amp;"*",S$8:S$251))</f>
        <v/>
      </c>
      <c r="F210" s="125">
        <f>IF($A210="","",SUMIF($A$8:$A$251,$A210&amp;"*",O$8:O$251))</f>
        <v/>
      </c>
      <c r="G210" s="125">
        <f>IF($A210="","",SUMIF($A$8:$A$251,$A210&amp;"*",P$8:P$251))</f>
        <v/>
      </c>
      <c r="H210" s="125">
        <f>IF($A210="","",SUMIF($A$8:$A$251,$A210&amp;"*",U$8:U$251))</f>
        <v/>
      </c>
      <c r="I210" s="125">
        <f>IF($A210="","",SUMIF($A$8:$A$251,$A210&amp;"*",V$8:V$251))</f>
        <v/>
      </c>
      <c r="K210" s="124">
        <f>IF($A210="",0,SUMIFS(SDDK!$C$8:$C$251,SDDK!$A$8:$A$251,$A210))</f>
        <v/>
      </c>
      <c r="L210" s="124">
        <f>IF($A210="",0,SUMIFS(SDDK!$D$8:$D$251,SDDK!$A$8:$A$251,$A210))</f>
        <v/>
      </c>
      <c r="M210" s="124">
        <f>IF($A210="",0,SUMIFS(NKC!$H$7:$H$3006,NKC!$F$7:$F$3006,$A210,NKC!$B$7:$B$3006,"&lt;"&amp;TU_NGAY))</f>
        <v/>
      </c>
      <c r="N210" s="124">
        <f>IF($A210="",0,SUMIFS(NKC!$H$7:$H$3006,NKC!$G$7:$G$3006,$A210,NKC!$B$7:$B$3006,"&lt;"&amp;TU_NGAY))</f>
        <v/>
      </c>
      <c r="O210" s="124">
        <f>IF($A210="",0,SUMIFS(NKC!$H$7:$H$3006,NKC!$F$7:$F$3006,$A210,NKC!$B$7:$B$3006,"&gt;="&amp;TU_NGAY,NKC!$B$7:$B$3006,"&lt;="&amp;DEN_NGAY))</f>
        <v/>
      </c>
      <c r="P210" s="124">
        <f>IF($A210="",0,SUMIFS(NKC!$H$7:$H$3006,NKC!$G$7:$G$3006,$A210,NKC!$B$7:$B$3006,"&gt;="&amp;TU_NGAY,NKC!$B$7:$B$3006,"&lt;="&amp;DEN_NGAY))</f>
        <v/>
      </c>
      <c r="Q210" s="124">
        <f>K210-L210+M210-N210</f>
        <v/>
      </c>
      <c r="R210" s="124">
        <f>MAX(Q210,0)</f>
        <v/>
      </c>
      <c r="S210" s="124">
        <f>MAX(-Q210,0)</f>
        <v/>
      </c>
      <c r="T210" s="124">
        <f>Q210+O210-P210</f>
        <v/>
      </c>
      <c r="U210" s="124">
        <f>MAX(T210,0)</f>
        <v/>
      </c>
      <c r="V210" s="124">
        <f>MAX(-T210,0)</f>
        <v/>
      </c>
    </row>
    <row r="211" ht="15" customHeight="1" s="78">
      <c r="A211" s="96">
        <f>IF(DMTK!$A210="","",DMTK!$A210&amp;"")</f>
        <v/>
      </c>
      <c r="B211" s="97">
        <f>IF(DMTK!$B210="","",DMTK!$B210)</f>
        <v/>
      </c>
      <c r="C211" s="122" t="n"/>
      <c r="D211" s="125">
        <f>IF($A211="","",SUMIF($A$8:$A$251,$A211&amp;"*",R$8:R$251))</f>
        <v/>
      </c>
      <c r="E211" s="125">
        <f>IF($A211="","",SUMIF($A$8:$A$251,$A211&amp;"*",S$8:S$251))</f>
        <v/>
      </c>
      <c r="F211" s="125">
        <f>IF($A211="","",SUMIF($A$8:$A$251,$A211&amp;"*",O$8:O$251))</f>
        <v/>
      </c>
      <c r="G211" s="125">
        <f>IF($A211="","",SUMIF($A$8:$A$251,$A211&amp;"*",P$8:P$251))</f>
        <v/>
      </c>
      <c r="H211" s="125">
        <f>IF($A211="","",SUMIF($A$8:$A$251,$A211&amp;"*",U$8:U$251))</f>
        <v/>
      </c>
      <c r="I211" s="125">
        <f>IF($A211="","",SUMIF($A$8:$A$251,$A211&amp;"*",V$8:V$251))</f>
        <v/>
      </c>
      <c r="K211" s="124">
        <f>IF($A211="",0,SUMIFS(SDDK!$C$8:$C$251,SDDK!$A$8:$A$251,$A211))</f>
        <v/>
      </c>
      <c r="L211" s="124">
        <f>IF($A211="",0,SUMIFS(SDDK!$D$8:$D$251,SDDK!$A$8:$A$251,$A211))</f>
        <v/>
      </c>
      <c r="M211" s="124">
        <f>IF($A211="",0,SUMIFS(NKC!$H$7:$H$3006,NKC!$F$7:$F$3006,$A211,NKC!$B$7:$B$3006,"&lt;"&amp;TU_NGAY))</f>
        <v/>
      </c>
      <c r="N211" s="124">
        <f>IF($A211="",0,SUMIFS(NKC!$H$7:$H$3006,NKC!$G$7:$G$3006,$A211,NKC!$B$7:$B$3006,"&lt;"&amp;TU_NGAY))</f>
        <v/>
      </c>
      <c r="O211" s="124">
        <f>IF($A211="",0,SUMIFS(NKC!$H$7:$H$3006,NKC!$F$7:$F$3006,$A211,NKC!$B$7:$B$3006,"&gt;="&amp;TU_NGAY,NKC!$B$7:$B$3006,"&lt;="&amp;DEN_NGAY))</f>
        <v/>
      </c>
      <c r="P211" s="124">
        <f>IF($A211="",0,SUMIFS(NKC!$H$7:$H$3006,NKC!$G$7:$G$3006,$A211,NKC!$B$7:$B$3006,"&gt;="&amp;TU_NGAY,NKC!$B$7:$B$3006,"&lt;="&amp;DEN_NGAY))</f>
        <v/>
      </c>
      <c r="Q211" s="124">
        <f>K211-L211+M211-N211</f>
        <v/>
      </c>
      <c r="R211" s="124">
        <f>MAX(Q211,0)</f>
        <v/>
      </c>
      <c r="S211" s="124">
        <f>MAX(-Q211,0)</f>
        <v/>
      </c>
      <c r="T211" s="124">
        <f>Q211+O211-P211</f>
        <v/>
      </c>
      <c r="U211" s="124">
        <f>MAX(T211,0)</f>
        <v/>
      </c>
      <c r="V211" s="124">
        <f>MAX(-T211,0)</f>
        <v/>
      </c>
    </row>
    <row r="212" ht="15" customHeight="1" s="78">
      <c r="A212" s="96">
        <f>IF(DMTK!$A211="","",DMTK!$A211&amp;"")</f>
        <v/>
      </c>
      <c r="B212" s="97">
        <f>IF(DMTK!$B211="","",DMTK!$B211)</f>
        <v/>
      </c>
      <c r="C212" s="122" t="n"/>
      <c r="D212" s="125">
        <f>IF($A212="","",SUMIF($A$8:$A$251,$A212&amp;"*",R$8:R$251))</f>
        <v/>
      </c>
      <c r="E212" s="125">
        <f>IF($A212="","",SUMIF($A$8:$A$251,$A212&amp;"*",S$8:S$251))</f>
        <v/>
      </c>
      <c r="F212" s="125">
        <f>IF($A212="","",SUMIF($A$8:$A$251,$A212&amp;"*",O$8:O$251))</f>
        <v/>
      </c>
      <c r="G212" s="125">
        <f>IF($A212="","",SUMIF($A$8:$A$251,$A212&amp;"*",P$8:P$251))</f>
        <v/>
      </c>
      <c r="H212" s="125">
        <f>IF($A212="","",SUMIF($A$8:$A$251,$A212&amp;"*",U$8:U$251))</f>
        <v/>
      </c>
      <c r="I212" s="125">
        <f>IF($A212="","",SUMIF($A$8:$A$251,$A212&amp;"*",V$8:V$251))</f>
        <v/>
      </c>
      <c r="K212" s="124">
        <f>IF($A212="",0,SUMIFS(SDDK!$C$8:$C$251,SDDK!$A$8:$A$251,$A212))</f>
        <v/>
      </c>
      <c r="L212" s="124">
        <f>IF($A212="",0,SUMIFS(SDDK!$D$8:$D$251,SDDK!$A$8:$A$251,$A212))</f>
        <v/>
      </c>
      <c r="M212" s="124">
        <f>IF($A212="",0,SUMIFS(NKC!$H$7:$H$3006,NKC!$F$7:$F$3006,$A212,NKC!$B$7:$B$3006,"&lt;"&amp;TU_NGAY))</f>
        <v/>
      </c>
      <c r="N212" s="124">
        <f>IF($A212="",0,SUMIFS(NKC!$H$7:$H$3006,NKC!$G$7:$G$3006,$A212,NKC!$B$7:$B$3006,"&lt;"&amp;TU_NGAY))</f>
        <v/>
      </c>
      <c r="O212" s="124">
        <f>IF($A212="",0,SUMIFS(NKC!$H$7:$H$3006,NKC!$F$7:$F$3006,$A212,NKC!$B$7:$B$3006,"&gt;="&amp;TU_NGAY,NKC!$B$7:$B$3006,"&lt;="&amp;DEN_NGAY))</f>
        <v/>
      </c>
      <c r="P212" s="124">
        <f>IF($A212="",0,SUMIFS(NKC!$H$7:$H$3006,NKC!$G$7:$G$3006,$A212,NKC!$B$7:$B$3006,"&gt;="&amp;TU_NGAY,NKC!$B$7:$B$3006,"&lt;="&amp;DEN_NGAY))</f>
        <v/>
      </c>
      <c r="Q212" s="124">
        <f>K212-L212+M212-N212</f>
        <v/>
      </c>
      <c r="R212" s="124">
        <f>MAX(Q212,0)</f>
        <v/>
      </c>
      <c r="S212" s="124">
        <f>MAX(-Q212,0)</f>
        <v/>
      </c>
      <c r="T212" s="124">
        <f>Q212+O212-P212</f>
        <v/>
      </c>
      <c r="U212" s="124">
        <f>MAX(T212,0)</f>
        <v/>
      </c>
      <c r="V212" s="124">
        <f>MAX(-T212,0)</f>
        <v/>
      </c>
    </row>
    <row r="213" ht="15" customHeight="1" s="78">
      <c r="A213" s="96">
        <f>IF(DMTK!$A212="","",DMTK!$A212&amp;"")</f>
        <v/>
      </c>
      <c r="B213" s="97">
        <f>IF(DMTK!$B212="","",DMTK!$B212)</f>
        <v/>
      </c>
      <c r="C213" s="122" t="n"/>
      <c r="D213" s="125">
        <f>IF($A213="","",SUMIF($A$8:$A$251,$A213&amp;"*",R$8:R$251))</f>
        <v/>
      </c>
      <c r="E213" s="125">
        <f>IF($A213="","",SUMIF($A$8:$A$251,$A213&amp;"*",S$8:S$251))</f>
        <v/>
      </c>
      <c r="F213" s="125">
        <f>IF($A213="","",SUMIF($A$8:$A$251,$A213&amp;"*",O$8:O$251))</f>
        <v/>
      </c>
      <c r="G213" s="125">
        <f>IF($A213="","",SUMIF($A$8:$A$251,$A213&amp;"*",P$8:P$251))</f>
        <v/>
      </c>
      <c r="H213" s="125">
        <f>IF($A213="","",SUMIF($A$8:$A$251,$A213&amp;"*",U$8:U$251))</f>
        <v/>
      </c>
      <c r="I213" s="125">
        <f>IF($A213="","",SUMIF($A$8:$A$251,$A213&amp;"*",V$8:V$251))</f>
        <v/>
      </c>
      <c r="K213" s="124">
        <f>IF($A213="",0,SUMIFS(SDDK!$C$8:$C$251,SDDK!$A$8:$A$251,$A213))</f>
        <v/>
      </c>
      <c r="L213" s="124">
        <f>IF($A213="",0,SUMIFS(SDDK!$D$8:$D$251,SDDK!$A$8:$A$251,$A213))</f>
        <v/>
      </c>
      <c r="M213" s="124">
        <f>IF($A213="",0,SUMIFS(NKC!$H$7:$H$3006,NKC!$F$7:$F$3006,$A213,NKC!$B$7:$B$3006,"&lt;"&amp;TU_NGAY))</f>
        <v/>
      </c>
      <c r="N213" s="124">
        <f>IF($A213="",0,SUMIFS(NKC!$H$7:$H$3006,NKC!$G$7:$G$3006,$A213,NKC!$B$7:$B$3006,"&lt;"&amp;TU_NGAY))</f>
        <v/>
      </c>
      <c r="O213" s="124">
        <f>IF($A213="",0,SUMIFS(NKC!$H$7:$H$3006,NKC!$F$7:$F$3006,$A213,NKC!$B$7:$B$3006,"&gt;="&amp;TU_NGAY,NKC!$B$7:$B$3006,"&lt;="&amp;DEN_NGAY))</f>
        <v/>
      </c>
      <c r="P213" s="124">
        <f>IF($A213="",0,SUMIFS(NKC!$H$7:$H$3006,NKC!$G$7:$G$3006,$A213,NKC!$B$7:$B$3006,"&gt;="&amp;TU_NGAY,NKC!$B$7:$B$3006,"&lt;="&amp;DEN_NGAY))</f>
        <v/>
      </c>
      <c r="Q213" s="124">
        <f>K213-L213+M213-N213</f>
        <v/>
      </c>
      <c r="R213" s="124">
        <f>MAX(Q213,0)</f>
        <v/>
      </c>
      <c r="S213" s="124">
        <f>MAX(-Q213,0)</f>
        <v/>
      </c>
      <c r="T213" s="124">
        <f>Q213+O213-P213</f>
        <v/>
      </c>
      <c r="U213" s="124">
        <f>MAX(T213,0)</f>
        <v/>
      </c>
      <c r="V213" s="124">
        <f>MAX(-T213,0)</f>
        <v/>
      </c>
    </row>
    <row r="214" ht="15" customHeight="1" s="78">
      <c r="A214" s="96">
        <f>IF(DMTK!$A213="","",DMTK!$A213&amp;"")</f>
        <v/>
      </c>
      <c r="B214" s="97">
        <f>IF(DMTK!$B213="","",DMTK!$B213)</f>
        <v/>
      </c>
      <c r="C214" s="122" t="n"/>
      <c r="D214" s="125">
        <f>IF($A214="","",SUMIF($A$8:$A$251,$A214&amp;"*",R$8:R$251))</f>
        <v/>
      </c>
      <c r="E214" s="125">
        <f>IF($A214="","",SUMIF($A$8:$A$251,$A214&amp;"*",S$8:S$251))</f>
        <v/>
      </c>
      <c r="F214" s="125">
        <f>IF($A214="","",SUMIF($A$8:$A$251,$A214&amp;"*",O$8:O$251))</f>
        <v/>
      </c>
      <c r="G214" s="125">
        <f>IF($A214="","",SUMIF($A$8:$A$251,$A214&amp;"*",P$8:P$251))</f>
        <v/>
      </c>
      <c r="H214" s="125">
        <f>IF($A214="","",SUMIF($A$8:$A$251,$A214&amp;"*",U$8:U$251))</f>
        <v/>
      </c>
      <c r="I214" s="125">
        <f>IF($A214="","",SUMIF($A$8:$A$251,$A214&amp;"*",V$8:V$251))</f>
        <v/>
      </c>
      <c r="K214" s="124">
        <f>IF($A214="",0,SUMIFS(SDDK!$C$8:$C$251,SDDK!$A$8:$A$251,$A214))</f>
        <v/>
      </c>
      <c r="L214" s="124">
        <f>IF($A214="",0,SUMIFS(SDDK!$D$8:$D$251,SDDK!$A$8:$A$251,$A214))</f>
        <v/>
      </c>
      <c r="M214" s="124">
        <f>IF($A214="",0,SUMIFS(NKC!$H$7:$H$3006,NKC!$F$7:$F$3006,$A214,NKC!$B$7:$B$3006,"&lt;"&amp;TU_NGAY))</f>
        <v/>
      </c>
      <c r="N214" s="124">
        <f>IF($A214="",0,SUMIFS(NKC!$H$7:$H$3006,NKC!$G$7:$G$3006,$A214,NKC!$B$7:$B$3006,"&lt;"&amp;TU_NGAY))</f>
        <v/>
      </c>
      <c r="O214" s="124">
        <f>IF($A214="",0,SUMIFS(NKC!$H$7:$H$3006,NKC!$F$7:$F$3006,$A214,NKC!$B$7:$B$3006,"&gt;="&amp;TU_NGAY,NKC!$B$7:$B$3006,"&lt;="&amp;DEN_NGAY))</f>
        <v/>
      </c>
      <c r="P214" s="124">
        <f>IF($A214="",0,SUMIFS(NKC!$H$7:$H$3006,NKC!$G$7:$G$3006,$A214,NKC!$B$7:$B$3006,"&gt;="&amp;TU_NGAY,NKC!$B$7:$B$3006,"&lt;="&amp;DEN_NGAY))</f>
        <v/>
      </c>
      <c r="Q214" s="124">
        <f>K214-L214+M214-N214</f>
        <v/>
      </c>
      <c r="R214" s="124">
        <f>MAX(Q214,0)</f>
        <v/>
      </c>
      <c r="S214" s="124">
        <f>MAX(-Q214,0)</f>
        <v/>
      </c>
      <c r="T214" s="124">
        <f>Q214+O214-P214</f>
        <v/>
      </c>
      <c r="U214" s="124">
        <f>MAX(T214,0)</f>
        <v/>
      </c>
      <c r="V214" s="124">
        <f>MAX(-T214,0)</f>
        <v/>
      </c>
    </row>
    <row r="215" ht="15" customHeight="1" s="78">
      <c r="A215" s="96">
        <f>IF(DMTK!$A214="","",DMTK!$A214&amp;"")</f>
        <v/>
      </c>
      <c r="B215" s="97">
        <f>IF(DMTK!$B214="","",DMTK!$B214)</f>
        <v/>
      </c>
      <c r="C215" s="122" t="n"/>
      <c r="D215" s="125">
        <f>IF($A215="","",SUMIF($A$8:$A$251,$A215&amp;"*",R$8:R$251))</f>
        <v/>
      </c>
      <c r="E215" s="125">
        <f>IF($A215="","",SUMIF($A$8:$A$251,$A215&amp;"*",S$8:S$251))</f>
        <v/>
      </c>
      <c r="F215" s="125">
        <f>IF($A215="","",SUMIF($A$8:$A$251,$A215&amp;"*",O$8:O$251))</f>
        <v/>
      </c>
      <c r="G215" s="125">
        <f>IF($A215="","",SUMIF($A$8:$A$251,$A215&amp;"*",P$8:P$251))</f>
        <v/>
      </c>
      <c r="H215" s="125">
        <f>IF($A215="","",SUMIF($A$8:$A$251,$A215&amp;"*",U$8:U$251))</f>
        <v/>
      </c>
      <c r="I215" s="125">
        <f>IF($A215="","",SUMIF($A$8:$A$251,$A215&amp;"*",V$8:V$251))</f>
        <v/>
      </c>
      <c r="K215" s="124">
        <f>IF($A215="",0,SUMIFS(SDDK!$C$8:$C$251,SDDK!$A$8:$A$251,$A215))</f>
        <v/>
      </c>
      <c r="L215" s="124">
        <f>IF($A215="",0,SUMIFS(SDDK!$D$8:$D$251,SDDK!$A$8:$A$251,$A215))</f>
        <v/>
      </c>
      <c r="M215" s="124">
        <f>IF($A215="",0,SUMIFS(NKC!$H$7:$H$3006,NKC!$F$7:$F$3006,$A215,NKC!$B$7:$B$3006,"&lt;"&amp;TU_NGAY))</f>
        <v/>
      </c>
      <c r="N215" s="124">
        <f>IF($A215="",0,SUMIFS(NKC!$H$7:$H$3006,NKC!$G$7:$G$3006,$A215,NKC!$B$7:$B$3006,"&lt;"&amp;TU_NGAY))</f>
        <v/>
      </c>
      <c r="O215" s="124">
        <f>IF($A215="",0,SUMIFS(NKC!$H$7:$H$3006,NKC!$F$7:$F$3006,$A215,NKC!$B$7:$B$3006,"&gt;="&amp;TU_NGAY,NKC!$B$7:$B$3006,"&lt;="&amp;DEN_NGAY))</f>
        <v/>
      </c>
      <c r="P215" s="124">
        <f>IF($A215="",0,SUMIFS(NKC!$H$7:$H$3006,NKC!$G$7:$G$3006,$A215,NKC!$B$7:$B$3006,"&gt;="&amp;TU_NGAY,NKC!$B$7:$B$3006,"&lt;="&amp;DEN_NGAY))</f>
        <v/>
      </c>
      <c r="Q215" s="124">
        <f>K215-L215+M215-N215</f>
        <v/>
      </c>
      <c r="R215" s="124">
        <f>MAX(Q215,0)</f>
        <v/>
      </c>
      <c r="S215" s="124">
        <f>MAX(-Q215,0)</f>
        <v/>
      </c>
      <c r="T215" s="124">
        <f>Q215+O215-P215</f>
        <v/>
      </c>
      <c r="U215" s="124">
        <f>MAX(T215,0)</f>
        <v/>
      </c>
      <c r="V215" s="124">
        <f>MAX(-T215,0)</f>
        <v/>
      </c>
    </row>
    <row r="216" ht="15" customHeight="1" s="78">
      <c r="A216" s="96">
        <f>IF(DMTK!$A215="","",DMTK!$A215&amp;"")</f>
        <v/>
      </c>
      <c r="B216" s="97">
        <f>IF(DMTK!$B215="","",DMTK!$B215)</f>
        <v/>
      </c>
      <c r="C216" s="122" t="n"/>
      <c r="D216" s="125">
        <f>IF($A216="","",SUMIF($A$8:$A$251,$A216&amp;"*",R$8:R$251))</f>
        <v/>
      </c>
      <c r="E216" s="125">
        <f>IF($A216="","",SUMIF($A$8:$A$251,$A216&amp;"*",S$8:S$251))</f>
        <v/>
      </c>
      <c r="F216" s="125">
        <f>IF($A216="","",SUMIF($A$8:$A$251,$A216&amp;"*",O$8:O$251))</f>
        <v/>
      </c>
      <c r="G216" s="125">
        <f>IF($A216="","",SUMIF($A$8:$A$251,$A216&amp;"*",P$8:P$251))</f>
        <v/>
      </c>
      <c r="H216" s="125">
        <f>IF($A216="","",SUMIF($A$8:$A$251,$A216&amp;"*",U$8:U$251))</f>
        <v/>
      </c>
      <c r="I216" s="125">
        <f>IF($A216="","",SUMIF($A$8:$A$251,$A216&amp;"*",V$8:V$251))</f>
        <v/>
      </c>
      <c r="K216" s="124">
        <f>IF($A216="",0,SUMIFS(SDDK!$C$8:$C$251,SDDK!$A$8:$A$251,$A216))</f>
        <v/>
      </c>
      <c r="L216" s="124">
        <f>IF($A216="",0,SUMIFS(SDDK!$D$8:$D$251,SDDK!$A$8:$A$251,$A216))</f>
        <v/>
      </c>
      <c r="M216" s="124">
        <f>IF($A216="",0,SUMIFS(NKC!$H$7:$H$3006,NKC!$F$7:$F$3006,$A216,NKC!$B$7:$B$3006,"&lt;"&amp;TU_NGAY))</f>
        <v/>
      </c>
      <c r="N216" s="124">
        <f>IF($A216="",0,SUMIFS(NKC!$H$7:$H$3006,NKC!$G$7:$G$3006,$A216,NKC!$B$7:$B$3006,"&lt;"&amp;TU_NGAY))</f>
        <v/>
      </c>
      <c r="O216" s="124">
        <f>IF($A216="",0,SUMIFS(NKC!$H$7:$H$3006,NKC!$F$7:$F$3006,$A216,NKC!$B$7:$B$3006,"&gt;="&amp;TU_NGAY,NKC!$B$7:$B$3006,"&lt;="&amp;DEN_NGAY))</f>
        <v/>
      </c>
      <c r="P216" s="124">
        <f>IF($A216="",0,SUMIFS(NKC!$H$7:$H$3006,NKC!$G$7:$G$3006,$A216,NKC!$B$7:$B$3006,"&gt;="&amp;TU_NGAY,NKC!$B$7:$B$3006,"&lt;="&amp;DEN_NGAY))</f>
        <v/>
      </c>
      <c r="Q216" s="124">
        <f>K216-L216+M216-N216</f>
        <v/>
      </c>
      <c r="R216" s="124">
        <f>MAX(Q216,0)</f>
        <v/>
      </c>
      <c r="S216" s="124">
        <f>MAX(-Q216,0)</f>
        <v/>
      </c>
      <c r="T216" s="124">
        <f>Q216+O216-P216</f>
        <v/>
      </c>
      <c r="U216" s="124">
        <f>MAX(T216,0)</f>
        <v/>
      </c>
      <c r="V216" s="124">
        <f>MAX(-T216,0)</f>
        <v/>
      </c>
    </row>
    <row r="217" ht="15" customHeight="1" s="78">
      <c r="A217" s="96">
        <f>IF(DMTK!$A216="","",DMTK!$A216&amp;"")</f>
        <v/>
      </c>
      <c r="B217" s="97">
        <f>IF(DMTK!$B216="","",DMTK!$B216)</f>
        <v/>
      </c>
      <c r="C217" s="122" t="n"/>
      <c r="D217" s="125">
        <f>IF($A217="","",SUMIF($A$8:$A$251,$A217&amp;"*",R$8:R$251))</f>
        <v/>
      </c>
      <c r="E217" s="125">
        <f>IF($A217="","",SUMIF($A$8:$A$251,$A217&amp;"*",S$8:S$251))</f>
        <v/>
      </c>
      <c r="F217" s="125">
        <f>IF($A217="","",SUMIF($A$8:$A$251,$A217&amp;"*",O$8:O$251))</f>
        <v/>
      </c>
      <c r="G217" s="125">
        <f>IF($A217="","",SUMIF($A$8:$A$251,$A217&amp;"*",P$8:P$251))</f>
        <v/>
      </c>
      <c r="H217" s="125">
        <f>IF($A217="","",SUMIF($A$8:$A$251,$A217&amp;"*",U$8:U$251))</f>
        <v/>
      </c>
      <c r="I217" s="125">
        <f>IF($A217="","",SUMIF($A$8:$A$251,$A217&amp;"*",V$8:V$251))</f>
        <v/>
      </c>
      <c r="K217" s="124">
        <f>IF($A217="",0,SUMIFS(SDDK!$C$8:$C$251,SDDK!$A$8:$A$251,$A217))</f>
        <v/>
      </c>
      <c r="L217" s="124">
        <f>IF($A217="",0,SUMIFS(SDDK!$D$8:$D$251,SDDK!$A$8:$A$251,$A217))</f>
        <v/>
      </c>
      <c r="M217" s="124">
        <f>IF($A217="",0,SUMIFS(NKC!$H$7:$H$3006,NKC!$F$7:$F$3006,$A217,NKC!$B$7:$B$3006,"&lt;"&amp;TU_NGAY))</f>
        <v/>
      </c>
      <c r="N217" s="124">
        <f>IF($A217="",0,SUMIFS(NKC!$H$7:$H$3006,NKC!$G$7:$G$3006,$A217,NKC!$B$7:$B$3006,"&lt;"&amp;TU_NGAY))</f>
        <v/>
      </c>
      <c r="O217" s="124">
        <f>IF($A217="",0,SUMIFS(NKC!$H$7:$H$3006,NKC!$F$7:$F$3006,$A217,NKC!$B$7:$B$3006,"&gt;="&amp;TU_NGAY,NKC!$B$7:$B$3006,"&lt;="&amp;DEN_NGAY))</f>
        <v/>
      </c>
      <c r="P217" s="124">
        <f>IF($A217="",0,SUMIFS(NKC!$H$7:$H$3006,NKC!$G$7:$G$3006,$A217,NKC!$B$7:$B$3006,"&gt;="&amp;TU_NGAY,NKC!$B$7:$B$3006,"&lt;="&amp;DEN_NGAY))</f>
        <v/>
      </c>
      <c r="Q217" s="124">
        <f>K217-L217+M217-N217</f>
        <v/>
      </c>
      <c r="R217" s="124">
        <f>MAX(Q217,0)</f>
        <v/>
      </c>
      <c r="S217" s="124">
        <f>MAX(-Q217,0)</f>
        <v/>
      </c>
      <c r="T217" s="124">
        <f>Q217+O217-P217</f>
        <v/>
      </c>
      <c r="U217" s="124">
        <f>MAX(T217,0)</f>
        <v/>
      </c>
      <c r="V217" s="124">
        <f>MAX(-T217,0)</f>
        <v/>
      </c>
    </row>
    <row r="218" ht="15" customHeight="1" s="78">
      <c r="A218" s="96">
        <f>IF(DMTK!$A217="","",DMTK!$A217&amp;"")</f>
        <v/>
      </c>
      <c r="B218" s="97">
        <f>IF(DMTK!$B217="","",DMTK!$B217)</f>
        <v/>
      </c>
      <c r="C218" s="122" t="n"/>
      <c r="D218" s="125">
        <f>IF($A218="","",SUMIF($A$8:$A$251,$A218&amp;"*",R$8:R$251))</f>
        <v/>
      </c>
      <c r="E218" s="125">
        <f>IF($A218="","",SUMIF($A$8:$A$251,$A218&amp;"*",S$8:S$251))</f>
        <v/>
      </c>
      <c r="F218" s="125">
        <f>IF($A218="","",SUMIF($A$8:$A$251,$A218&amp;"*",O$8:O$251))</f>
        <v/>
      </c>
      <c r="G218" s="125">
        <f>IF($A218="","",SUMIF($A$8:$A$251,$A218&amp;"*",P$8:P$251))</f>
        <v/>
      </c>
      <c r="H218" s="125">
        <f>IF($A218="","",SUMIF($A$8:$A$251,$A218&amp;"*",U$8:U$251))</f>
        <v/>
      </c>
      <c r="I218" s="125">
        <f>IF($A218="","",SUMIF($A$8:$A$251,$A218&amp;"*",V$8:V$251))</f>
        <v/>
      </c>
      <c r="K218" s="124">
        <f>IF($A218="",0,SUMIFS(SDDK!$C$8:$C$251,SDDK!$A$8:$A$251,$A218))</f>
        <v/>
      </c>
      <c r="L218" s="124">
        <f>IF($A218="",0,SUMIFS(SDDK!$D$8:$D$251,SDDK!$A$8:$A$251,$A218))</f>
        <v/>
      </c>
      <c r="M218" s="124">
        <f>IF($A218="",0,SUMIFS(NKC!$H$7:$H$3006,NKC!$F$7:$F$3006,$A218,NKC!$B$7:$B$3006,"&lt;"&amp;TU_NGAY))</f>
        <v/>
      </c>
      <c r="N218" s="124">
        <f>IF($A218="",0,SUMIFS(NKC!$H$7:$H$3006,NKC!$G$7:$G$3006,$A218,NKC!$B$7:$B$3006,"&lt;"&amp;TU_NGAY))</f>
        <v/>
      </c>
      <c r="O218" s="124">
        <f>IF($A218="",0,SUMIFS(NKC!$H$7:$H$3006,NKC!$F$7:$F$3006,$A218,NKC!$B$7:$B$3006,"&gt;="&amp;TU_NGAY,NKC!$B$7:$B$3006,"&lt;="&amp;DEN_NGAY))</f>
        <v/>
      </c>
      <c r="P218" s="124">
        <f>IF($A218="",0,SUMIFS(NKC!$H$7:$H$3006,NKC!$G$7:$G$3006,$A218,NKC!$B$7:$B$3006,"&gt;="&amp;TU_NGAY,NKC!$B$7:$B$3006,"&lt;="&amp;DEN_NGAY))</f>
        <v/>
      </c>
      <c r="Q218" s="124">
        <f>K218-L218+M218-N218</f>
        <v/>
      </c>
      <c r="R218" s="124">
        <f>MAX(Q218,0)</f>
        <v/>
      </c>
      <c r="S218" s="124">
        <f>MAX(-Q218,0)</f>
        <v/>
      </c>
      <c r="T218" s="124">
        <f>Q218+O218-P218</f>
        <v/>
      </c>
      <c r="U218" s="124">
        <f>MAX(T218,0)</f>
        <v/>
      </c>
      <c r="V218" s="124">
        <f>MAX(-T218,0)</f>
        <v/>
      </c>
    </row>
    <row r="219" ht="15" customHeight="1" s="78">
      <c r="A219" s="96">
        <f>IF(DMTK!$A218="","",DMTK!$A218&amp;"")</f>
        <v/>
      </c>
      <c r="B219" s="97">
        <f>IF(DMTK!$B218="","",DMTK!$B218)</f>
        <v/>
      </c>
      <c r="C219" s="122" t="n"/>
      <c r="D219" s="125">
        <f>IF($A219="","",SUMIF($A$8:$A$251,$A219&amp;"*",R$8:R$251))</f>
        <v/>
      </c>
      <c r="E219" s="125">
        <f>IF($A219="","",SUMIF($A$8:$A$251,$A219&amp;"*",S$8:S$251))</f>
        <v/>
      </c>
      <c r="F219" s="125">
        <f>IF($A219="","",SUMIF($A$8:$A$251,$A219&amp;"*",O$8:O$251))</f>
        <v/>
      </c>
      <c r="G219" s="125">
        <f>IF($A219="","",SUMIF($A$8:$A$251,$A219&amp;"*",P$8:P$251))</f>
        <v/>
      </c>
      <c r="H219" s="125">
        <f>IF($A219="","",SUMIF($A$8:$A$251,$A219&amp;"*",U$8:U$251))</f>
        <v/>
      </c>
      <c r="I219" s="125">
        <f>IF($A219="","",SUMIF($A$8:$A$251,$A219&amp;"*",V$8:V$251))</f>
        <v/>
      </c>
      <c r="K219" s="124">
        <f>IF($A219="",0,SUMIFS(SDDK!$C$8:$C$251,SDDK!$A$8:$A$251,$A219))</f>
        <v/>
      </c>
      <c r="L219" s="124">
        <f>IF($A219="",0,SUMIFS(SDDK!$D$8:$D$251,SDDK!$A$8:$A$251,$A219))</f>
        <v/>
      </c>
      <c r="M219" s="124">
        <f>IF($A219="",0,SUMIFS(NKC!$H$7:$H$3006,NKC!$F$7:$F$3006,$A219,NKC!$B$7:$B$3006,"&lt;"&amp;TU_NGAY))</f>
        <v/>
      </c>
      <c r="N219" s="124">
        <f>IF($A219="",0,SUMIFS(NKC!$H$7:$H$3006,NKC!$G$7:$G$3006,$A219,NKC!$B$7:$B$3006,"&lt;"&amp;TU_NGAY))</f>
        <v/>
      </c>
      <c r="O219" s="124">
        <f>IF($A219="",0,SUMIFS(NKC!$H$7:$H$3006,NKC!$F$7:$F$3006,$A219,NKC!$B$7:$B$3006,"&gt;="&amp;TU_NGAY,NKC!$B$7:$B$3006,"&lt;="&amp;DEN_NGAY))</f>
        <v/>
      </c>
      <c r="P219" s="124">
        <f>IF($A219="",0,SUMIFS(NKC!$H$7:$H$3006,NKC!$G$7:$G$3006,$A219,NKC!$B$7:$B$3006,"&gt;="&amp;TU_NGAY,NKC!$B$7:$B$3006,"&lt;="&amp;DEN_NGAY))</f>
        <v/>
      </c>
      <c r="Q219" s="124">
        <f>K219-L219+M219-N219</f>
        <v/>
      </c>
      <c r="R219" s="124">
        <f>MAX(Q219,0)</f>
        <v/>
      </c>
      <c r="S219" s="124">
        <f>MAX(-Q219,0)</f>
        <v/>
      </c>
      <c r="T219" s="124">
        <f>Q219+O219-P219</f>
        <v/>
      </c>
      <c r="U219" s="124">
        <f>MAX(T219,0)</f>
        <v/>
      </c>
      <c r="V219" s="124">
        <f>MAX(-T219,0)</f>
        <v/>
      </c>
    </row>
    <row r="220" ht="15" customHeight="1" s="78">
      <c r="A220" s="96">
        <f>IF(DMTK!$A219="","",DMTK!$A219&amp;"")</f>
        <v/>
      </c>
      <c r="B220" s="97">
        <f>IF(DMTK!$B219="","",DMTK!$B219)</f>
        <v/>
      </c>
      <c r="C220" s="122" t="n"/>
      <c r="D220" s="125">
        <f>IF($A220="","",SUMIF($A$8:$A$251,$A220&amp;"*",R$8:R$251))</f>
        <v/>
      </c>
      <c r="E220" s="125">
        <f>IF($A220="","",SUMIF($A$8:$A$251,$A220&amp;"*",S$8:S$251))</f>
        <v/>
      </c>
      <c r="F220" s="125">
        <f>IF($A220="","",SUMIF($A$8:$A$251,$A220&amp;"*",O$8:O$251))</f>
        <v/>
      </c>
      <c r="G220" s="125">
        <f>IF($A220="","",SUMIF($A$8:$A$251,$A220&amp;"*",P$8:P$251))</f>
        <v/>
      </c>
      <c r="H220" s="125">
        <f>IF($A220="","",SUMIF($A$8:$A$251,$A220&amp;"*",U$8:U$251))</f>
        <v/>
      </c>
      <c r="I220" s="125">
        <f>IF($A220="","",SUMIF($A$8:$A$251,$A220&amp;"*",V$8:V$251))</f>
        <v/>
      </c>
      <c r="K220" s="124">
        <f>IF($A220="",0,SUMIFS(SDDK!$C$8:$C$251,SDDK!$A$8:$A$251,$A220))</f>
        <v/>
      </c>
      <c r="L220" s="124">
        <f>IF($A220="",0,SUMIFS(SDDK!$D$8:$D$251,SDDK!$A$8:$A$251,$A220))</f>
        <v/>
      </c>
      <c r="M220" s="124">
        <f>IF($A220="",0,SUMIFS(NKC!$H$7:$H$3006,NKC!$F$7:$F$3006,$A220,NKC!$B$7:$B$3006,"&lt;"&amp;TU_NGAY))</f>
        <v/>
      </c>
      <c r="N220" s="124">
        <f>IF($A220="",0,SUMIFS(NKC!$H$7:$H$3006,NKC!$G$7:$G$3006,$A220,NKC!$B$7:$B$3006,"&lt;"&amp;TU_NGAY))</f>
        <v/>
      </c>
      <c r="O220" s="124">
        <f>IF($A220="",0,SUMIFS(NKC!$H$7:$H$3006,NKC!$F$7:$F$3006,$A220,NKC!$B$7:$B$3006,"&gt;="&amp;TU_NGAY,NKC!$B$7:$B$3006,"&lt;="&amp;DEN_NGAY))</f>
        <v/>
      </c>
      <c r="P220" s="124">
        <f>IF($A220="",0,SUMIFS(NKC!$H$7:$H$3006,NKC!$G$7:$G$3006,$A220,NKC!$B$7:$B$3006,"&gt;="&amp;TU_NGAY,NKC!$B$7:$B$3006,"&lt;="&amp;DEN_NGAY))</f>
        <v/>
      </c>
      <c r="Q220" s="124">
        <f>K220-L220+M220-N220</f>
        <v/>
      </c>
      <c r="R220" s="124">
        <f>MAX(Q220,0)</f>
        <v/>
      </c>
      <c r="S220" s="124">
        <f>MAX(-Q220,0)</f>
        <v/>
      </c>
      <c r="T220" s="124">
        <f>Q220+O220-P220</f>
        <v/>
      </c>
      <c r="U220" s="124">
        <f>MAX(T220,0)</f>
        <v/>
      </c>
      <c r="V220" s="124">
        <f>MAX(-T220,0)</f>
        <v/>
      </c>
    </row>
    <row r="221" ht="15" customHeight="1" s="78">
      <c r="A221" s="96">
        <f>IF(DMTK!$A220="","",DMTK!$A220&amp;"")</f>
        <v/>
      </c>
      <c r="B221" s="97">
        <f>IF(DMTK!$B220="","",DMTK!$B220)</f>
        <v/>
      </c>
      <c r="C221" s="122" t="n"/>
      <c r="D221" s="125">
        <f>IF($A221="","",SUMIF($A$8:$A$251,$A221&amp;"*",R$8:R$251))</f>
        <v/>
      </c>
      <c r="E221" s="125">
        <f>IF($A221="","",SUMIF($A$8:$A$251,$A221&amp;"*",S$8:S$251))</f>
        <v/>
      </c>
      <c r="F221" s="125">
        <f>IF($A221="","",SUMIF($A$8:$A$251,$A221&amp;"*",O$8:O$251))</f>
        <v/>
      </c>
      <c r="G221" s="125">
        <f>IF($A221="","",SUMIF($A$8:$A$251,$A221&amp;"*",P$8:P$251))</f>
        <v/>
      </c>
      <c r="H221" s="125">
        <f>IF($A221="","",SUMIF($A$8:$A$251,$A221&amp;"*",U$8:U$251))</f>
        <v/>
      </c>
      <c r="I221" s="125">
        <f>IF($A221="","",SUMIF($A$8:$A$251,$A221&amp;"*",V$8:V$251))</f>
        <v/>
      </c>
      <c r="K221" s="124">
        <f>IF($A221="",0,SUMIFS(SDDK!$C$8:$C$251,SDDK!$A$8:$A$251,$A221))</f>
        <v/>
      </c>
      <c r="L221" s="124">
        <f>IF($A221="",0,SUMIFS(SDDK!$D$8:$D$251,SDDK!$A$8:$A$251,$A221))</f>
        <v/>
      </c>
      <c r="M221" s="124">
        <f>IF($A221="",0,SUMIFS(NKC!$H$7:$H$3006,NKC!$F$7:$F$3006,$A221,NKC!$B$7:$B$3006,"&lt;"&amp;TU_NGAY))</f>
        <v/>
      </c>
      <c r="N221" s="124">
        <f>IF($A221="",0,SUMIFS(NKC!$H$7:$H$3006,NKC!$G$7:$G$3006,$A221,NKC!$B$7:$B$3006,"&lt;"&amp;TU_NGAY))</f>
        <v/>
      </c>
      <c r="O221" s="124">
        <f>IF($A221="",0,SUMIFS(NKC!$H$7:$H$3006,NKC!$F$7:$F$3006,$A221,NKC!$B$7:$B$3006,"&gt;="&amp;TU_NGAY,NKC!$B$7:$B$3006,"&lt;="&amp;DEN_NGAY))</f>
        <v/>
      </c>
      <c r="P221" s="124">
        <f>IF($A221="",0,SUMIFS(NKC!$H$7:$H$3006,NKC!$G$7:$G$3006,$A221,NKC!$B$7:$B$3006,"&gt;="&amp;TU_NGAY,NKC!$B$7:$B$3006,"&lt;="&amp;DEN_NGAY))</f>
        <v/>
      </c>
      <c r="Q221" s="124">
        <f>K221-L221+M221-N221</f>
        <v/>
      </c>
      <c r="R221" s="124">
        <f>MAX(Q221,0)</f>
        <v/>
      </c>
      <c r="S221" s="124">
        <f>MAX(-Q221,0)</f>
        <v/>
      </c>
      <c r="T221" s="124">
        <f>Q221+O221-P221</f>
        <v/>
      </c>
      <c r="U221" s="124">
        <f>MAX(T221,0)</f>
        <v/>
      </c>
      <c r="V221" s="124">
        <f>MAX(-T221,0)</f>
        <v/>
      </c>
    </row>
    <row r="222" ht="15" customHeight="1" s="78">
      <c r="A222" s="96">
        <f>IF(DMTK!$A221="","",DMTK!$A221&amp;"")</f>
        <v/>
      </c>
      <c r="B222" s="97">
        <f>IF(DMTK!$B221="","",DMTK!$B221)</f>
        <v/>
      </c>
      <c r="C222" s="122" t="n"/>
      <c r="D222" s="125">
        <f>IF($A222="","",SUMIF($A$8:$A$251,$A222&amp;"*",R$8:R$251))</f>
        <v/>
      </c>
      <c r="E222" s="125">
        <f>IF($A222="","",SUMIF($A$8:$A$251,$A222&amp;"*",S$8:S$251))</f>
        <v/>
      </c>
      <c r="F222" s="125">
        <f>IF($A222="","",SUMIF($A$8:$A$251,$A222&amp;"*",O$8:O$251))</f>
        <v/>
      </c>
      <c r="G222" s="125">
        <f>IF($A222="","",SUMIF($A$8:$A$251,$A222&amp;"*",P$8:P$251))</f>
        <v/>
      </c>
      <c r="H222" s="125">
        <f>IF($A222="","",SUMIF($A$8:$A$251,$A222&amp;"*",U$8:U$251))</f>
        <v/>
      </c>
      <c r="I222" s="125">
        <f>IF($A222="","",SUMIF($A$8:$A$251,$A222&amp;"*",V$8:V$251))</f>
        <v/>
      </c>
      <c r="K222" s="124">
        <f>IF($A222="",0,SUMIFS(SDDK!$C$8:$C$251,SDDK!$A$8:$A$251,$A222))</f>
        <v/>
      </c>
      <c r="L222" s="124">
        <f>IF($A222="",0,SUMIFS(SDDK!$D$8:$D$251,SDDK!$A$8:$A$251,$A222))</f>
        <v/>
      </c>
      <c r="M222" s="124">
        <f>IF($A222="",0,SUMIFS(NKC!$H$7:$H$3006,NKC!$F$7:$F$3006,$A222,NKC!$B$7:$B$3006,"&lt;"&amp;TU_NGAY))</f>
        <v/>
      </c>
      <c r="N222" s="124">
        <f>IF($A222="",0,SUMIFS(NKC!$H$7:$H$3006,NKC!$G$7:$G$3006,$A222,NKC!$B$7:$B$3006,"&lt;"&amp;TU_NGAY))</f>
        <v/>
      </c>
      <c r="O222" s="124">
        <f>IF($A222="",0,SUMIFS(NKC!$H$7:$H$3006,NKC!$F$7:$F$3006,$A222,NKC!$B$7:$B$3006,"&gt;="&amp;TU_NGAY,NKC!$B$7:$B$3006,"&lt;="&amp;DEN_NGAY))</f>
        <v/>
      </c>
      <c r="P222" s="124">
        <f>IF($A222="",0,SUMIFS(NKC!$H$7:$H$3006,NKC!$G$7:$G$3006,$A222,NKC!$B$7:$B$3006,"&gt;="&amp;TU_NGAY,NKC!$B$7:$B$3006,"&lt;="&amp;DEN_NGAY))</f>
        <v/>
      </c>
      <c r="Q222" s="124">
        <f>K222-L222+M222-N222</f>
        <v/>
      </c>
      <c r="R222" s="124">
        <f>MAX(Q222,0)</f>
        <v/>
      </c>
      <c r="S222" s="124">
        <f>MAX(-Q222,0)</f>
        <v/>
      </c>
      <c r="T222" s="124">
        <f>Q222+O222-P222</f>
        <v/>
      </c>
      <c r="U222" s="124">
        <f>MAX(T222,0)</f>
        <v/>
      </c>
      <c r="V222" s="124">
        <f>MAX(-T222,0)</f>
        <v/>
      </c>
    </row>
    <row r="223" ht="15" customHeight="1" s="78">
      <c r="A223" s="96">
        <f>IF(DMTK!$A222="","",DMTK!$A222&amp;"")</f>
        <v/>
      </c>
      <c r="B223" s="97">
        <f>IF(DMTK!$B222="","",DMTK!$B222)</f>
        <v/>
      </c>
      <c r="C223" s="122" t="n"/>
      <c r="D223" s="125">
        <f>IF($A223="","",SUMIF($A$8:$A$251,$A223&amp;"*",R$8:R$251))</f>
        <v/>
      </c>
      <c r="E223" s="125">
        <f>IF($A223="","",SUMIF($A$8:$A$251,$A223&amp;"*",S$8:S$251))</f>
        <v/>
      </c>
      <c r="F223" s="125">
        <f>IF($A223="","",SUMIF($A$8:$A$251,$A223&amp;"*",O$8:O$251))</f>
        <v/>
      </c>
      <c r="G223" s="125">
        <f>IF($A223="","",SUMIF($A$8:$A$251,$A223&amp;"*",P$8:P$251))</f>
        <v/>
      </c>
      <c r="H223" s="125">
        <f>IF($A223="","",SUMIF($A$8:$A$251,$A223&amp;"*",U$8:U$251))</f>
        <v/>
      </c>
      <c r="I223" s="125">
        <f>IF($A223="","",SUMIF($A$8:$A$251,$A223&amp;"*",V$8:V$251))</f>
        <v/>
      </c>
      <c r="K223" s="124">
        <f>IF($A223="",0,SUMIFS(SDDK!$C$8:$C$251,SDDK!$A$8:$A$251,$A223))</f>
        <v/>
      </c>
      <c r="L223" s="124">
        <f>IF($A223="",0,SUMIFS(SDDK!$D$8:$D$251,SDDK!$A$8:$A$251,$A223))</f>
        <v/>
      </c>
      <c r="M223" s="124">
        <f>IF($A223="",0,SUMIFS(NKC!$H$7:$H$3006,NKC!$F$7:$F$3006,$A223,NKC!$B$7:$B$3006,"&lt;"&amp;TU_NGAY))</f>
        <v/>
      </c>
      <c r="N223" s="124">
        <f>IF($A223="",0,SUMIFS(NKC!$H$7:$H$3006,NKC!$G$7:$G$3006,$A223,NKC!$B$7:$B$3006,"&lt;"&amp;TU_NGAY))</f>
        <v/>
      </c>
      <c r="O223" s="124">
        <f>IF($A223="",0,SUMIFS(NKC!$H$7:$H$3006,NKC!$F$7:$F$3006,$A223,NKC!$B$7:$B$3006,"&gt;="&amp;TU_NGAY,NKC!$B$7:$B$3006,"&lt;="&amp;DEN_NGAY))</f>
        <v/>
      </c>
      <c r="P223" s="124">
        <f>IF($A223="",0,SUMIFS(NKC!$H$7:$H$3006,NKC!$G$7:$G$3006,$A223,NKC!$B$7:$B$3006,"&gt;="&amp;TU_NGAY,NKC!$B$7:$B$3006,"&lt;="&amp;DEN_NGAY))</f>
        <v/>
      </c>
      <c r="Q223" s="124">
        <f>K223-L223+M223-N223</f>
        <v/>
      </c>
      <c r="R223" s="124">
        <f>MAX(Q223,0)</f>
        <v/>
      </c>
      <c r="S223" s="124">
        <f>MAX(-Q223,0)</f>
        <v/>
      </c>
      <c r="T223" s="124">
        <f>Q223+O223-P223</f>
        <v/>
      </c>
      <c r="U223" s="124">
        <f>MAX(T223,0)</f>
        <v/>
      </c>
      <c r="V223" s="124">
        <f>MAX(-T223,0)</f>
        <v/>
      </c>
    </row>
    <row r="224" ht="15" customHeight="1" s="78">
      <c r="A224" s="96">
        <f>IF(DMTK!$A223="","",DMTK!$A223&amp;"")</f>
        <v/>
      </c>
      <c r="B224" s="97">
        <f>IF(DMTK!$B223="","",DMTK!$B223)</f>
        <v/>
      </c>
      <c r="C224" s="122" t="n"/>
      <c r="D224" s="125">
        <f>IF($A224="","",SUMIF($A$8:$A$251,$A224&amp;"*",R$8:R$251))</f>
        <v/>
      </c>
      <c r="E224" s="125">
        <f>IF($A224="","",SUMIF($A$8:$A$251,$A224&amp;"*",S$8:S$251))</f>
        <v/>
      </c>
      <c r="F224" s="125">
        <f>IF($A224="","",SUMIF($A$8:$A$251,$A224&amp;"*",O$8:O$251))</f>
        <v/>
      </c>
      <c r="G224" s="125">
        <f>IF($A224="","",SUMIF($A$8:$A$251,$A224&amp;"*",P$8:P$251))</f>
        <v/>
      </c>
      <c r="H224" s="125">
        <f>IF($A224="","",SUMIF($A$8:$A$251,$A224&amp;"*",U$8:U$251))</f>
        <v/>
      </c>
      <c r="I224" s="125">
        <f>IF($A224="","",SUMIF($A$8:$A$251,$A224&amp;"*",V$8:V$251))</f>
        <v/>
      </c>
      <c r="K224" s="124">
        <f>IF($A224="",0,SUMIFS(SDDK!$C$8:$C$251,SDDK!$A$8:$A$251,$A224))</f>
        <v/>
      </c>
      <c r="L224" s="124">
        <f>IF($A224="",0,SUMIFS(SDDK!$D$8:$D$251,SDDK!$A$8:$A$251,$A224))</f>
        <v/>
      </c>
      <c r="M224" s="124">
        <f>IF($A224="",0,SUMIFS(NKC!$H$7:$H$3006,NKC!$F$7:$F$3006,$A224,NKC!$B$7:$B$3006,"&lt;"&amp;TU_NGAY))</f>
        <v/>
      </c>
      <c r="N224" s="124">
        <f>IF($A224="",0,SUMIFS(NKC!$H$7:$H$3006,NKC!$G$7:$G$3006,$A224,NKC!$B$7:$B$3006,"&lt;"&amp;TU_NGAY))</f>
        <v/>
      </c>
      <c r="O224" s="124">
        <f>IF($A224="",0,SUMIFS(NKC!$H$7:$H$3006,NKC!$F$7:$F$3006,$A224,NKC!$B$7:$B$3006,"&gt;="&amp;TU_NGAY,NKC!$B$7:$B$3006,"&lt;="&amp;DEN_NGAY))</f>
        <v/>
      </c>
      <c r="P224" s="124">
        <f>IF($A224="",0,SUMIFS(NKC!$H$7:$H$3006,NKC!$G$7:$G$3006,$A224,NKC!$B$7:$B$3006,"&gt;="&amp;TU_NGAY,NKC!$B$7:$B$3006,"&lt;="&amp;DEN_NGAY))</f>
        <v/>
      </c>
      <c r="Q224" s="124">
        <f>K224-L224+M224-N224</f>
        <v/>
      </c>
      <c r="R224" s="124">
        <f>MAX(Q224,0)</f>
        <v/>
      </c>
      <c r="S224" s="124">
        <f>MAX(-Q224,0)</f>
        <v/>
      </c>
      <c r="T224" s="124">
        <f>Q224+O224-P224</f>
        <v/>
      </c>
      <c r="U224" s="124">
        <f>MAX(T224,0)</f>
        <v/>
      </c>
      <c r="V224" s="124">
        <f>MAX(-T224,0)</f>
        <v/>
      </c>
    </row>
    <row r="225" ht="15" customHeight="1" s="78">
      <c r="A225" s="96">
        <f>IF(DMTK!$A224="","",DMTK!$A224&amp;"")</f>
        <v/>
      </c>
      <c r="B225" s="97">
        <f>IF(DMTK!$B224="","",DMTK!$B224)</f>
        <v/>
      </c>
      <c r="C225" s="122" t="n"/>
      <c r="D225" s="125">
        <f>IF($A225="","",SUMIF($A$8:$A$251,$A225&amp;"*",R$8:R$251))</f>
        <v/>
      </c>
      <c r="E225" s="125">
        <f>IF($A225="","",SUMIF($A$8:$A$251,$A225&amp;"*",S$8:S$251))</f>
        <v/>
      </c>
      <c r="F225" s="125">
        <f>IF($A225="","",SUMIF($A$8:$A$251,$A225&amp;"*",O$8:O$251))</f>
        <v/>
      </c>
      <c r="G225" s="125">
        <f>IF($A225="","",SUMIF($A$8:$A$251,$A225&amp;"*",P$8:P$251))</f>
        <v/>
      </c>
      <c r="H225" s="125">
        <f>IF($A225="","",SUMIF($A$8:$A$251,$A225&amp;"*",U$8:U$251))</f>
        <v/>
      </c>
      <c r="I225" s="125">
        <f>IF($A225="","",SUMIF($A$8:$A$251,$A225&amp;"*",V$8:V$251))</f>
        <v/>
      </c>
      <c r="K225" s="124">
        <f>IF($A225="",0,SUMIFS(SDDK!$C$8:$C$251,SDDK!$A$8:$A$251,$A225))</f>
        <v/>
      </c>
      <c r="L225" s="124">
        <f>IF($A225="",0,SUMIFS(SDDK!$D$8:$D$251,SDDK!$A$8:$A$251,$A225))</f>
        <v/>
      </c>
      <c r="M225" s="124">
        <f>IF($A225="",0,SUMIFS(NKC!$H$7:$H$3006,NKC!$F$7:$F$3006,$A225,NKC!$B$7:$B$3006,"&lt;"&amp;TU_NGAY))</f>
        <v/>
      </c>
      <c r="N225" s="124">
        <f>IF($A225="",0,SUMIFS(NKC!$H$7:$H$3006,NKC!$G$7:$G$3006,$A225,NKC!$B$7:$B$3006,"&lt;"&amp;TU_NGAY))</f>
        <v/>
      </c>
      <c r="O225" s="124">
        <f>IF($A225="",0,SUMIFS(NKC!$H$7:$H$3006,NKC!$F$7:$F$3006,$A225,NKC!$B$7:$B$3006,"&gt;="&amp;TU_NGAY,NKC!$B$7:$B$3006,"&lt;="&amp;DEN_NGAY))</f>
        <v/>
      </c>
      <c r="P225" s="124">
        <f>IF($A225="",0,SUMIFS(NKC!$H$7:$H$3006,NKC!$G$7:$G$3006,$A225,NKC!$B$7:$B$3006,"&gt;="&amp;TU_NGAY,NKC!$B$7:$B$3006,"&lt;="&amp;DEN_NGAY))</f>
        <v/>
      </c>
      <c r="Q225" s="124">
        <f>K225-L225+M225-N225</f>
        <v/>
      </c>
      <c r="R225" s="124">
        <f>MAX(Q225,0)</f>
        <v/>
      </c>
      <c r="S225" s="124">
        <f>MAX(-Q225,0)</f>
        <v/>
      </c>
      <c r="T225" s="124">
        <f>Q225+O225-P225</f>
        <v/>
      </c>
      <c r="U225" s="124">
        <f>MAX(T225,0)</f>
        <v/>
      </c>
      <c r="V225" s="124">
        <f>MAX(-T225,0)</f>
        <v/>
      </c>
    </row>
    <row r="226" ht="15" customHeight="1" s="78">
      <c r="A226" s="96">
        <f>IF(DMTK!$A225="","",DMTK!$A225&amp;"")</f>
        <v/>
      </c>
      <c r="B226" s="97">
        <f>IF(DMTK!$B225="","",DMTK!$B225)</f>
        <v/>
      </c>
      <c r="C226" s="122" t="n"/>
      <c r="D226" s="125">
        <f>IF($A226="","",SUMIF($A$8:$A$251,$A226&amp;"*",R$8:R$251))</f>
        <v/>
      </c>
      <c r="E226" s="125">
        <f>IF($A226="","",SUMIF($A$8:$A$251,$A226&amp;"*",S$8:S$251))</f>
        <v/>
      </c>
      <c r="F226" s="125">
        <f>IF($A226="","",SUMIF($A$8:$A$251,$A226&amp;"*",O$8:O$251))</f>
        <v/>
      </c>
      <c r="G226" s="125">
        <f>IF($A226="","",SUMIF($A$8:$A$251,$A226&amp;"*",P$8:P$251))</f>
        <v/>
      </c>
      <c r="H226" s="125">
        <f>IF($A226="","",SUMIF($A$8:$A$251,$A226&amp;"*",U$8:U$251))</f>
        <v/>
      </c>
      <c r="I226" s="125">
        <f>IF($A226="","",SUMIF($A$8:$A$251,$A226&amp;"*",V$8:V$251))</f>
        <v/>
      </c>
      <c r="K226" s="124">
        <f>IF($A226="",0,SUMIFS(SDDK!$C$8:$C$251,SDDK!$A$8:$A$251,$A226))</f>
        <v/>
      </c>
      <c r="L226" s="124">
        <f>IF($A226="",0,SUMIFS(SDDK!$D$8:$D$251,SDDK!$A$8:$A$251,$A226))</f>
        <v/>
      </c>
      <c r="M226" s="124">
        <f>IF($A226="",0,SUMIFS(NKC!$H$7:$H$3006,NKC!$F$7:$F$3006,$A226,NKC!$B$7:$B$3006,"&lt;"&amp;TU_NGAY))</f>
        <v/>
      </c>
      <c r="N226" s="124">
        <f>IF($A226="",0,SUMIFS(NKC!$H$7:$H$3006,NKC!$G$7:$G$3006,$A226,NKC!$B$7:$B$3006,"&lt;"&amp;TU_NGAY))</f>
        <v/>
      </c>
      <c r="O226" s="124">
        <f>IF($A226="",0,SUMIFS(NKC!$H$7:$H$3006,NKC!$F$7:$F$3006,$A226,NKC!$B$7:$B$3006,"&gt;="&amp;TU_NGAY,NKC!$B$7:$B$3006,"&lt;="&amp;DEN_NGAY))</f>
        <v/>
      </c>
      <c r="P226" s="124">
        <f>IF($A226="",0,SUMIFS(NKC!$H$7:$H$3006,NKC!$G$7:$G$3006,$A226,NKC!$B$7:$B$3006,"&gt;="&amp;TU_NGAY,NKC!$B$7:$B$3006,"&lt;="&amp;DEN_NGAY))</f>
        <v/>
      </c>
      <c r="Q226" s="124">
        <f>K226-L226+M226-N226</f>
        <v/>
      </c>
      <c r="R226" s="124">
        <f>MAX(Q226,0)</f>
        <v/>
      </c>
      <c r="S226" s="124">
        <f>MAX(-Q226,0)</f>
        <v/>
      </c>
      <c r="T226" s="124">
        <f>Q226+O226-P226</f>
        <v/>
      </c>
      <c r="U226" s="124">
        <f>MAX(T226,0)</f>
        <v/>
      </c>
      <c r="V226" s="124">
        <f>MAX(-T226,0)</f>
        <v/>
      </c>
    </row>
    <row r="227" ht="15" customHeight="1" s="78">
      <c r="A227" s="96">
        <f>IF(DMTK!$A226="","",DMTK!$A226&amp;"")</f>
        <v/>
      </c>
      <c r="B227" s="97">
        <f>IF(DMTK!$B226="","",DMTK!$B226)</f>
        <v/>
      </c>
      <c r="C227" s="122" t="n"/>
      <c r="D227" s="125">
        <f>IF($A227="","",SUMIF($A$8:$A$251,$A227&amp;"*",R$8:R$251))</f>
        <v/>
      </c>
      <c r="E227" s="125">
        <f>IF($A227="","",SUMIF($A$8:$A$251,$A227&amp;"*",S$8:S$251))</f>
        <v/>
      </c>
      <c r="F227" s="125">
        <f>IF($A227="","",SUMIF($A$8:$A$251,$A227&amp;"*",O$8:O$251))</f>
        <v/>
      </c>
      <c r="G227" s="125">
        <f>IF($A227="","",SUMIF($A$8:$A$251,$A227&amp;"*",P$8:P$251))</f>
        <v/>
      </c>
      <c r="H227" s="125">
        <f>IF($A227="","",SUMIF($A$8:$A$251,$A227&amp;"*",U$8:U$251))</f>
        <v/>
      </c>
      <c r="I227" s="125">
        <f>IF($A227="","",SUMIF($A$8:$A$251,$A227&amp;"*",V$8:V$251))</f>
        <v/>
      </c>
      <c r="K227" s="124">
        <f>IF($A227="",0,SUMIFS(SDDK!$C$8:$C$251,SDDK!$A$8:$A$251,$A227))</f>
        <v/>
      </c>
      <c r="L227" s="124">
        <f>IF($A227="",0,SUMIFS(SDDK!$D$8:$D$251,SDDK!$A$8:$A$251,$A227))</f>
        <v/>
      </c>
      <c r="M227" s="124">
        <f>IF($A227="",0,SUMIFS(NKC!$H$7:$H$3006,NKC!$F$7:$F$3006,$A227,NKC!$B$7:$B$3006,"&lt;"&amp;TU_NGAY))</f>
        <v/>
      </c>
      <c r="N227" s="124">
        <f>IF($A227="",0,SUMIFS(NKC!$H$7:$H$3006,NKC!$G$7:$G$3006,$A227,NKC!$B$7:$B$3006,"&lt;"&amp;TU_NGAY))</f>
        <v/>
      </c>
      <c r="O227" s="124">
        <f>IF($A227="",0,SUMIFS(NKC!$H$7:$H$3006,NKC!$F$7:$F$3006,$A227,NKC!$B$7:$B$3006,"&gt;="&amp;TU_NGAY,NKC!$B$7:$B$3006,"&lt;="&amp;DEN_NGAY))</f>
        <v/>
      </c>
      <c r="P227" s="124">
        <f>IF($A227="",0,SUMIFS(NKC!$H$7:$H$3006,NKC!$G$7:$G$3006,$A227,NKC!$B$7:$B$3006,"&gt;="&amp;TU_NGAY,NKC!$B$7:$B$3006,"&lt;="&amp;DEN_NGAY))</f>
        <v/>
      </c>
      <c r="Q227" s="124">
        <f>K227-L227+M227-N227</f>
        <v/>
      </c>
      <c r="R227" s="124">
        <f>MAX(Q227,0)</f>
        <v/>
      </c>
      <c r="S227" s="124">
        <f>MAX(-Q227,0)</f>
        <v/>
      </c>
      <c r="T227" s="124">
        <f>Q227+O227-P227</f>
        <v/>
      </c>
      <c r="U227" s="124">
        <f>MAX(T227,0)</f>
        <v/>
      </c>
      <c r="V227" s="124">
        <f>MAX(-T227,0)</f>
        <v/>
      </c>
    </row>
    <row r="228" ht="15" customHeight="1" s="78">
      <c r="A228" s="96">
        <f>IF(DMTK!$A227="","",DMTK!$A227&amp;"")</f>
        <v/>
      </c>
      <c r="B228" s="97">
        <f>IF(DMTK!$B227="","",DMTK!$B227)</f>
        <v/>
      </c>
      <c r="C228" s="122" t="n"/>
      <c r="D228" s="125">
        <f>IF($A228="","",SUMIF($A$8:$A$251,$A228&amp;"*",R$8:R$251))</f>
        <v/>
      </c>
      <c r="E228" s="125">
        <f>IF($A228="","",SUMIF($A$8:$A$251,$A228&amp;"*",S$8:S$251))</f>
        <v/>
      </c>
      <c r="F228" s="125">
        <f>IF($A228="","",SUMIF($A$8:$A$251,$A228&amp;"*",O$8:O$251))</f>
        <v/>
      </c>
      <c r="G228" s="125">
        <f>IF($A228="","",SUMIF($A$8:$A$251,$A228&amp;"*",P$8:P$251))</f>
        <v/>
      </c>
      <c r="H228" s="125">
        <f>IF($A228="","",SUMIF($A$8:$A$251,$A228&amp;"*",U$8:U$251))</f>
        <v/>
      </c>
      <c r="I228" s="125">
        <f>IF($A228="","",SUMIF($A$8:$A$251,$A228&amp;"*",V$8:V$251))</f>
        <v/>
      </c>
      <c r="K228" s="124">
        <f>IF($A228="",0,SUMIFS(SDDK!$C$8:$C$251,SDDK!$A$8:$A$251,$A228))</f>
        <v/>
      </c>
      <c r="L228" s="124">
        <f>IF($A228="",0,SUMIFS(SDDK!$D$8:$D$251,SDDK!$A$8:$A$251,$A228))</f>
        <v/>
      </c>
      <c r="M228" s="124">
        <f>IF($A228="",0,SUMIFS(NKC!$H$7:$H$3006,NKC!$F$7:$F$3006,$A228,NKC!$B$7:$B$3006,"&lt;"&amp;TU_NGAY))</f>
        <v/>
      </c>
      <c r="N228" s="124">
        <f>IF($A228="",0,SUMIFS(NKC!$H$7:$H$3006,NKC!$G$7:$G$3006,$A228,NKC!$B$7:$B$3006,"&lt;"&amp;TU_NGAY))</f>
        <v/>
      </c>
      <c r="O228" s="124">
        <f>IF($A228="",0,SUMIFS(NKC!$H$7:$H$3006,NKC!$F$7:$F$3006,$A228,NKC!$B$7:$B$3006,"&gt;="&amp;TU_NGAY,NKC!$B$7:$B$3006,"&lt;="&amp;DEN_NGAY))</f>
        <v/>
      </c>
      <c r="P228" s="124">
        <f>IF($A228="",0,SUMIFS(NKC!$H$7:$H$3006,NKC!$G$7:$G$3006,$A228,NKC!$B$7:$B$3006,"&gt;="&amp;TU_NGAY,NKC!$B$7:$B$3006,"&lt;="&amp;DEN_NGAY))</f>
        <v/>
      </c>
      <c r="Q228" s="124">
        <f>K228-L228+M228-N228</f>
        <v/>
      </c>
      <c r="R228" s="124">
        <f>MAX(Q228,0)</f>
        <v/>
      </c>
      <c r="S228" s="124">
        <f>MAX(-Q228,0)</f>
        <v/>
      </c>
      <c r="T228" s="124">
        <f>Q228+O228-P228</f>
        <v/>
      </c>
      <c r="U228" s="124">
        <f>MAX(T228,0)</f>
        <v/>
      </c>
      <c r="V228" s="124">
        <f>MAX(-T228,0)</f>
        <v/>
      </c>
    </row>
    <row r="229" ht="15" customHeight="1" s="78">
      <c r="A229" s="96">
        <f>IF(DMTK!$A228="","",DMTK!$A228&amp;"")</f>
        <v/>
      </c>
      <c r="B229" s="97">
        <f>IF(DMTK!$B228="","",DMTK!$B228)</f>
        <v/>
      </c>
      <c r="C229" s="122" t="n"/>
      <c r="D229" s="125">
        <f>IF($A229="","",SUMIF($A$8:$A$251,$A229&amp;"*",R$8:R$251))</f>
        <v/>
      </c>
      <c r="E229" s="125">
        <f>IF($A229="","",SUMIF($A$8:$A$251,$A229&amp;"*",S$8:S$251))</f>
        <v/>
      </c>
      <c r="F229" s="125">
        <f>IF($A229="","",SUMIF($A$8:$A$251,$A229&amp;"*",O$8:O$251))</f>
        <v/>
      </c>
      <c r="G229" s="125">
        <f>IF($A229="","",SUMIF($A$8:$A$251,$A229&amp;"*",P$8:P$251))</f>
        <v/>
      </c>
      <c r="H229" s="125">
        <f>IF($A229="","",SUMIF($A$8:$A$251,$A229&amp;"*",U$8:U$251))</f>
        <v/>
      </c>
      <c r="I229" s="125">
        <f>IF($A229="","",SUMIF($A$8:$A$251,$A229&amp;"*",V$8:V$251))</f>
        <v/>
      </c>
      <c r="K229" s="124">
        <f>IF($A229="",0,SUMIFS(SDDK!$C$8:$C$251,SDDK!$A$8:$A$251,$A229))</f>
        <v/>
      </c>
      <c r="L229" s="124">
        <f>IF($A229="",0,SUMIFS(SDDK!$D$8:$D$251,SDDK!$A$8:$A$251,$A229))</f>
        <v/>
      </c>
      <c r="M229" s="124">
        <f>IF($A229="",0,SUMIFS(NKC!$H$7:$H$3006,NKC!$F$7:$F$3006,$A229,NKC!$B$7:$B$3006,"&lt;"&amp;TU_NGAY))</f>
        <v/>
      </c>
      <c r="N229" s="124">
        <f>IF($A229="",0,SUMIFS(NKC!$H$7:$H$3006,NKC!$G$7:$G$3006,$A229,NKC!$B$7:$B$3006,"&lt;"&amp;TU_NGAY))</f>
        <v/>
      </c>
      <c r="O229" s="124">
        <f>IF($A229="",0,SUMIFS(NKC!$H$7:$H$3006,NKC!$F$7:$F$3006,$A229,NKC!$B$7:$B$3006,"&gt;="&amp;TU_NGAY,NKC!$B$7:$B$3006,"&lt;="&amp;DEN_NGAY))</f>
        <v/>
      </c>
      <c r="P229" s="124">
        <f>IF($A229="",0,SUMIFS(NKC!$H$7:$H$3006,NKC!$G$7:$G$3006,$A229,NKC!$B$7:$B$3006,"&gt;="&amp;TU_NGAY,NKC!$B$7:$B$3006,"&lt;="&amp;DEN_NGAY))</f>
        <v/>
      </c>
      <c r="Q229" s="124">
        <f>K229-L229+M229-N229</f>
        <v/>
      </c>
      <c r="R229" s="124">
        <f>MAX(Q229,0)</f>
        <v/>
      </c>
      <c r="S229" s="124">
        <f>MAX(-Q229,0)</f>
        <v/>
      </c>
      <c r="T229" s="124">
        <f>Q229+O229-P229</f>
        <v/>
      </c>
      <c r="U229" s="124">
        <f>MAX(T229,0)</f>
        <v/>
      </c>
      <c r="V229" s="124">
        <f>MAX(-T229,0)</f>
        <v/>
      </c>
    </row>
    <row r="230" ht="15" customHeight="1" s="78">
      <c r="A230" s="96">
        <f>IF(DMTK!$A229="","",DMTK!$A229&amp;"")</f>
        <v/>
      </c>
      <c r="B230" s="97">
        <f>IF(DMTK!$B229="","",DMTK!$B229)</f>
        <v/>
      </c>
      <c r="C230" s="122" t="n"/>
      <c r="D230" s="125">
        <f>IF($A230="","",SUMIF($A$8:$A$251,$A230&amp;"*",R$8:R$251))</f>
        <v/>
      </c>
      <c r="E230" s="125">
        <f>IF($A230="","",SUMIF($A$8:$A$251,$A230&amp;"*",S$8:S$251))</f>
        <v/>
      </c>
      <c r="F230" s="125">
        <f>IF($A230="","",SUMIF($A$8:$A$251,$A230&amp;"*",O$8:O$251))</f>
        <v/>
      </c>
      <c r="G230" s="125">
        <f>IF($A230="","",SUMIF($A$8:$A$251,$A230&amp;"*",P$8:P$251))</f>
        <v/>
      </c>
      <c r="H230" s="125">
        <f>IF($A230="","",SUMIF($A$8:$A$251,$A230&amp;"*",U$8:U$251))</f>
        <v/>
      </c>
      <c r="I230" s="125">
        <f>IF($A230="","",SUMIF($A$8:$A$251,$A230&amp;"*",V$8:V$251))</f>
        <v/>
      </c>
      <c r="K230" s="124">
        <f>IF($A230="",0,SUMIFS(SDDK!$C$8:$C$251,SDDK!$A$8:$A$251,$A230))</f>
        <v/>
      </c>
      <c r="L230" s="124">
        <f>IF($A230="",0,SUMIFS(SDDK!$D$8:$D$251,SDDK!$A$8:$A$251,$A230))</f>
        <v/>
      </c>
      <c r="M230" s="124">
        <f>IF($A230="",0,SUMIFS(NKC!$H$7:$H$3006,NKC!$F$7:$F$3006,$A230,NKC!$B$7:$B$3006,"&lt;"&amp;TU_NGAY))</f>
        <v/>
      </c>
      <c r="N230" s="124">
        <f>IF($A230="",0,SUMIFS(NKC!$H$7:$H$3006,NKC!$G$7:$G$3006,$A230,NKC!$B$7:$B$3006,"&lt;"&amp;TU_NGAY))</f>
        <v/>
      </c>
      <c r="O230" s="124">
        <f>IF($A230="",0,SUMIFS(NKC!$H$7:$H$3006,NKC!$F$7:$F$3006,$A230,NKC!$B$7:$B$3006,"&gt;="&amp;TU_NGAY,NKC!$B$7:$B$3006,"&lt;="&amp;DEN_NGAY))</f>
        <v/>
      </c>
      <c r="P230" s="124">
        <f>IF($A230="",0,SUMIFS(NKC!$H$7:$H$3006,NKC!$G$7:$G$3006,$A230,NKC!$B$7:$B$3006,"&gt;="&amp;TU_NGAY,NKC!$B$7:$B$3006,"&lt;="&amp;DEN_NGAY))</f>
        <v/>
      </c>
      <c r="Q230" s="124">
        <f>K230-L230+M230-N230</f>
        <v/>
      </c>
      <c r="R230" s="124">
        <f>MAX(Q230,0)</f>
        <v/>
      </c>
      <c r="S230" s="124">
        <f>MAX(-Q230,0)</f>
        <v/>
      </c>
      <c r="T230" s="124">
        <f>Q230+O230-P230</f>
        <v/>
      </c>
      <c r="U230" s="124">
        <f>MAX(T230,0)</f>
        <v/>
      </c>
      <c r="V230" s="124">
        <f>MAX(-T230,0)</f>
        <v/>
      </c>
    </row>
    <row r="231" ht="15" customHeight="1" s="78">
      <c r="A231" s="96">
        <f>IF(DMTK!$A230="","",DMTK!$A230&amp;"")</f>
        <v/>
      </c>
      <c r="B231" s="97">
        <f>IF(DMTK!$B230="","",DMTK!$B230)</f>
        <v/>
      </c>
      <c r="C231" s="122" t="n"/>
      <c r="D231" s="125">
        <f>IF($A231="","",SUMIF($A$8:$A$251,$A231&amp;"*",R$8:R$251))</f>
        <v/>
      </c>
      <c r="E231" s="125">
        <f>IF($A231="","",SUMIF($A$8:$A$251,$A231&amp;"*",S$8:S$251))</f>
        <v/>
      </c>
      <c r="F231" s="125">
        <f>IF($A231="","",SUMIF($A$8:$A$251,$A231&amp;"*",O$8:O$251))</f>
        <v/>
      </c>
      <c r="G231" s="125">
        <f>IF($A231="","",SUMIF($A$8:$A$251,$A231&amp;"*",P$8:P$251))</f>
        <v/>
      </c>
      <c r="H231" s="125">
        <f>IF($A231="","",SUMIF($A$8:$A$251,$A231&amp;"*",U$8:U$251))</f>
        <v/>
      </c>
      <c r="I231" s="125">
        <f>IF($A231="","",SUMIF($A$8:$A$251,$A231&amp;"*",V$8:V$251))</f>
        <v/>
      </c>
      <c r="K231" s="124">
        <f>IF($A231="",0,SUMIFS(SDDK!$C$8:$C$251,SDDK!$A$8:$A$251,$A231))</f>
        <v/>
      </c>
      <c r="L231" s="124">
        <f>IF($A231="",0,SUMIFS(SDDK!$D$8:$D$251,SDDK!$A$8:$A$251,$A231))</f>
        <v/>
      </c>
      <c r="M231" s="124">
        <f>IF($A231="",0,SUMIFS(NKC!$H$7:$H$3006,NKC!$F$7:$F$3006,$A231,NKC!$B$7:$B$3006,"&lt;"&amp;TU_NGAY))</f>
        <v/>
      </c>
      <c r="N231" s="124">
        <f>IF($A231="",0,SUMIFS(NKC!$H$7:$H$3006,NKC!$G$7:$G$3006,$A231,NKC!$B$7:$B$3006,"&lt;"&amp;TU_NGAY))</f>
        <v/>
      </c>
      <c r="O231" s="124">
        <f>IF($A231="",0,SUMIFS(NKC!$H$7:$H$3006,NKC!$F$7:$F$3006,$A231,NKC!$B$7:$B$3006,"&gt;="&amp;TU_NGAY,NKC!$B$7:$B$3006,"&lt;="&amp;DEN_NGAY))</f>
        <v/>
      </c>
      <c r="P231" s="124">
        <f>IF($A231="",0,SUMIFS(NKC!$H$7:$H$3006,NKC!$G$7:$G$3006,$A231,NKC!$B$7:$B$3006,"&gt;="&amp;TU_NGAY,NKC!$B$7:$B$3006,"&lt;="&amp;DEN_NGAY))</f>
        <v/>
      </c>
      <c r="Q231" s="124">
        <f>K231-L231+M231-N231</f>
        <v/>
      </c>
      <c r="R231" s="124">
        <f>MAX(Q231,0)</f>
        <v/>
      </c>
      <c r="S231" s="124">
        <f>MAX(-Q231,0)</f>
        <v/>
      </c>
      <c r="T231" s="124">
        <f>Q231+O231-P231</f>
        <v/>
      </c>
      <c r="U231" s="124">
        <f>MAX(T231,0)</f>
        <v/>
      </c>
      <c r="V231" s="124">
        <f>MAX(-T231,0)</f>
        <v/>
      </c>
    </row>
    <row r="232" ht="15" customHeight="1" s="78">
      <c r="A232" s="96">
        <f>IF(DMTK!$A231="","",DMTK!$A231&amp;"")</f>
        <v/>
      </c>
      <c r="B232" s="97">
        <f>IF(DMTK!$B231="","",DMTK!$B231)</f>
        <v/>
      </c>
      <c r="C232" s="122" t="n"/>
      <c r="D232" s="125">
        <f>IF($A232="","",SUMIF($A$8:$A$251,$A232&amp;"*",R$8:R$251))</f>
        <v/>
      </c>
      <c r="E232" s="125">
        <f>IF($A232="","",SUMIF($A$8:$A$251,$A232&amp;"*",S$8:S$251))</f>
        <v/>
      </c>
      <c r="F232" s="125">
        <f>IF($A232="","",SUMIF($A$8:$A$251,$A232&amp;"*",O$8:O$251))</f>
        <v/>
      </c>
      <c r="G232" s="125">
        <f>IF($A232="","",SUMIF($A$8:$A$251,$A232&amp;"*",P$8:P$251))</f>
        <v/>
      </c>
      <c r="H232" s="125">
        <f>IF($A232="","",SUMIF($A$8:$A$251,$A232&amp;"*",U$8:U$251))</f>
        <v/>
      </c>
      <c r="I232" s="125">
        <f>IF($A232="","",SUMIF($A$8:$A$251,$A232&amp;"*",V$8:V$251))</f>
        <v/>
      </c>
      <c r="K232" s="124">
        <f>IF($A232="",0,SUMIFS(SDDK!$C$8:$C$251,SDDK!$A$8:$A$251,$A232))</f>
        <v/>
      </c>
      <c r="L232" s="124">
        <f>IF($A232="",0,SUMIFS(SDDK!$D$8:$D$251,SDDK!$A$8:$A$251,$A232))</f>
        <v/>
      </c>
      <c r="M232" s="124">
        <f>IF($A232="",0,SUMIFS(NKC!$H$7:$H$3006,NKC!$F$7:$F$3006,$A232,NKC!$B$7:$B$3006,"&lt;"&amp;TU_NGAY))</f>
        <v/>
      </c>
      <c r="N232" s="124">
        <f>IF($A232="",0,SUMIFS(NKC!$H$7:$H$3006,NKC!$G$7:$G$3006,$A232,NKC!$B$7:$B$3006,"&lt;"&amp;TU_NGAY))</f>
        <v/>
      </c>
      <c r="O232" s="124">
        <f>IF($A232="",0,SUMIFS(NKC!$H$7:$H$3006,NKC!$F$7:$F$3006,$A232,NKC!$B$7:$B$3006,"&gt;="&amp;TU_NGAY,NKC!$B$7:$B$3006,"&lt;="&amp;DEN_NGAY))</f>
        <v/>
      </c>
      <c r="P232" s="124">
        <f>IF($A232="",0,SUMIFS(NKC!$H$7:$H$3006,NKC!$G$7:$G$3006,$A232,NKC!$B$7:$B$3006,"&gt;="&amp;TU_NGAY,NKC!$B$7:$B$3006,"&lt;="&amp;DEN_NGAY))</f>
        <v/>
      </c>
      <c r="Q232" s="124">
        <f>K232-L232+M232-N232</f>
        <v/>
      </c>
      <c r="R232" s="124">
        <f>MAX(Q232,0)</f>
        <v/>
      </c>
      <c r="S232" s="124">
        <f>MAX(-Q232,0)</f>
        <v/>
      </c>
      <c r="T232" s="124">
        <f>Q232+O232-P232</f>
        <v/>
      </c>
      <c r="U232" s="124">
        <f>MAX(T232,0)</f>
        <v/>
      </c>
      <c r="V232" s="124">
        <f>MAX(-T232,0)</f>
        <v/>
      </c>
    </row>
    <row r="233" ht="15" customHeight="1" s="78">
      <c r="A233" s="96">
        <f>IF(DMTK!$A232="","",DMTK!$A232&amp;"")</f>
        <v/>
      </c>
      <c r="B233" s="97">
        <f>IF(DMTK!$B232="","",DMTK!$B232)</f>
        <v/>
      </c>
      <c r="C233" s="122" t="n"/>
      <c r="D233" s="125">
        <f>IF($A233="","",SUMIF($A$8:$A$251,$A233&amp;"*",R$8:R$251))</f>
        <v/>
      </c>
      <c r="E233" s="125">
        <f>IF($A233="","",SUMIF($A$8:$A$251,$A233&amp;"*",S$8:S$251))</f>
        <v/>
      </c>
      <c r="F233" s="125">
        <f>IF($A233="","",SUMIF($A$8:$A$251,$A233&amp;"*",O$8:O$251))</f>
        <v/>
      </c>
      <c r="G233" s="125">
        <f>IF($A233="","",SUMIF($A$8:$A$251,$A233&amp;"*",P$8:P$251))</f>
        <v/>
      </c>
      <c r="H233" s="125">
        <f>IF($A233="","",SUMIF($A$8:$A$251,$A233&amp;"*",U$8:U$251))</f>
        <v/>
      </c>
      <c r="I233" s="125">
        <f>IF($A233="","",SUMIF($A$8:$A$251,$A233&amp;"*",V$8:V$251))</f>
        <v/>
      </c>
      <c r="K233" s="124">
        <f>IF($A233="",0,SUMIFS(SDDK!$C$8:$C$251,SDDK!$A$8:$A$251,$A233))</f>
        <v/>
      </c>
      <c r="L233" s="124">
        <f>IF($A233="",0,SUMIFS(SDDK!$D$8:$D$251,SDDK!$A$8:$A$251,$A233))</f>
        <v/>
      </c>
      <c r="M233" s="124">
        <f>IF($A233="",0,SUMIFS(NKC!$H$7:$H$3006,NKC!$F$7:$F$3006,$A233,NKC!$B$7:$B$3006,"&lt;"&amp;TU_NGAY))</f>
        <v/>
      </c>
      <c r="N233" s="124">
        <f>IF($A233="",0,SUMIFS(NKC!$H$7:$H$3006,NKC!$G$7:$G$3006,$A233,NKC!$B$7:$B$3006,"&lt;"&amp;TU_NGAY))</f>
        <v/>
      </c>
      <c r="O233" s="124">
        <f>IF($A233="",0,SUMIFS(NKC!$H$7:$H$3006,NKC!$F$7:$F$3006,$A233,NKC!$B$7:$B$3006,"&gt;="&amp;TU_NGAY,NKC!$B$7:$B$3006,"&lt;="&amp;DEN_NGAY))</f>
        <v/>
      </c>
      <c r="P233" s="124">
        <f>IF($A233="",0,SUMIFS(NKC!$H$7:$H$3006,NKC!$G$7:$G$3006,$A233,NKC!$B$7:$B$3006,"&gt;="&amp;TU_NGAY,NKC!$B$7:$B$3006,"&lt;="&amp;DEN_NGAY))</f>
        <v/>
      </c>
      <c r="Q233" s="124">
        <f>K233-L233+M233-N233</f>
        <v/>
      </c>
      <c r="R233" s="124">
        <f>MAX(Q233,0)</f>
        <v/>
      </c>
      <c r="S233" s="124">
        <f>MAX(-Q233,0)</f>
        <v/>
      </c>
      <c r="T233" s="124">
        <f>Q233+O233-P233</f>
        <v/>
      </c>
      <c r="U233" s="124">
        <f>MAX(T233,0)</f>
        <v/>
      </c>
      <c r="V233" s="124">
        <f>MAX(-T233,0)</f>
        <v/>
      </c>
    </row>
    <row r="234" ht="15" customHeight="1" s="78">
      <c r="A234" s="96">
        <f>IF(DMTK!$A233="","",DMTK!$A233&amp;"")</f>
        <v/>
      </c>
      <c r="B234" s="97">
        <f>IF(DMTK!$B233="","",DMTK!$B233)</f>
        <v/>
      </c>
      <c r="C234" s="122" t="n"/>
      <c r="D234" s="125">
        <f>IF($A234="","",SUMIF($A$8:$A$251,$A234&amp;"*",R$8:R$251))</f>
        <v/>
      </c>
      <c r="E234" s="125">
        <f>IF($A234="","",SUMIF($A$8:$A$251,$A234&amp;"*",S$8:S$251))</f>
        <v/>
      </c>
      <c r="F234" s="125">
        <f>IF($A234="","",SUMIF($A$8:$A$251,$A234&amp;"*",O$8:O$251))</f>
        <v/>
      </c>
      <c r="G234" s="125">
        <f>IF($A234="","",SUMIF($A$8:$A$251,$A234&amp;"*",P$8:P$251))</f>
        <v/>
      </c>
      <c r="H234" s="125">
        <f>IF($A234="","",SUMIF($A$8:$A$251,$A234&amp;"*",U$8:U$251))</f>
        <v/>
      </c>
      <c r="I234" s="125">
        <f>IF($A234="","",SUMIF($A$8:$A$251,$A234&amp;"*",V$8:V$251))</f>
        <v/>
      </c>
      <c r="K234" s="124">
        <f>IF($A234="",0,SUMIFS(SDDK!$C$8:$C$251,SDDK!$A$8:$A$251,$A234))</f>
        <v/>
      </c>
      <c r="L234" s="124">
        <f>IF($A234="",0,SUMIFS(SDDK!$D$8:$D$251,SDDK!$A$8:$A$251,$A234))</f>
        <v/>
      </c>
      <c r="M234" s="124">
        <f>IF($A234="",0,SUMIFS(NKC!$H$7:$H$3006,NKC!$F$7:$F$3006,$A234,NKC!$B$7:$B$3006,"&lt;"&amp;TU_NGAY))</f>
        <v/>
      </c>
      <c r="N234" s="124">
        <f>IF($A234="",0,SUMIFS(NKC!$H$7:$H$3006,NKC!$G$7:$G$3006,$A234,NKC!$B$7:$B$3006,"&lt;"&amp;TU_NGAY))</f>
        <v/>
      </c>
      <c r="O234" s="124">
        <f>IF($A234="",0,SUMIFS(NKC!$H$7:$H$3006,NKC!$F$7:$F$3006,$A234,NKC!$B$7:$B$3006,"&gt;="&amp;TU_NGAY,NKC!$B$7:$B$3006,"&lt;="&amp;DEN_NGAY))</f>
        <v/>
      </c>
      <c r="P234" s="124">
        <f>IF($A234="",0,SUMIFS(NKC!$H$7:$H$3006,NKC!$G$7:$G$3006,$A234,NKC!$B$7:$B$3006,"&gt;="&amp;TU_NGAY,NKC!$B$7:$B$3006,"&lt;="&amp;DEN_NGAY))</f>
        <v/>
      </c>
      <c r="Q234" s="124">
        <f>K234-L234+M234-N234</f>
        <v/>
      </c>
      <c r="R234" s="124">
        <f>MAX(Q234,0)</f>
        <v/>
      </c>
      <c r="S234" s="124">
        <f>MAX(-Q234,0)</f>
        <v/>
      </c>
      <c r="T234" s="124">
        <f>Q234+O234-P234</f>
        <v/>
      </c>
      <c r="U234" s="124">
        <f>MAX(T234,0)</f>
        <v/>
      </c>
      <c r="V234" s="124">
        <f>MAX(-T234,0)</f>
        <v/>
      </c>
    </row>
    <row r="235" ht="15" customHeight="1" s="78">
      <c r="A235" s="96">
        <f>IF(DMTK!$A234="","",DMTK!$A234&amp;"")</f>
        <v/>
      </c>
      <c r="B235" s="97">
        <f>IF(DMTK!$B234="","",DMTK!$B234)</f>
        <v/>
      </c>
      <c r="C235" s="122" t="n"/>
      <c r="D235" s="125">
        <f>IF($A235="","",SUMIF($A$8:$A$251,$A235&amp;"*",R$8:R$251))</f>
        <v/>
      </c>
      <c r="E235" s="125">
        <f>IF($A235="","",SUMIF($A$8:$A$251,$A235&amp;"*",S$8:S$251))</f>
        <v/>
      </c>
      <c r="F235" s="125">
        <f>IF($A235="","",SUMIF($A$8:$A$251,$A235&amp;"*",O$8:O$251))</f>
        <v/>
      </c>
      <c r="G235" s="125">
        <f>IF($A235="","",SUMIF($A$8:$A$251,$A235&amp;"*",P$8:P$251))</f>
        <v/>
      </c>
      <c r="H235" s="125">
        <f>IF($A235="","",SUMIF($A$8:$A$251,$A235&amp;"*",U$8:U$251))</f>
        <v/>
      </c>
      <c r="I235" s="125">
        <f>IF($A235="","",SUMIF($A$8:$A$251,$A235&amp;"*",V$8:V$251))</f>
        <v/>
      </c>
      <c r="K235" s="124">
        <f>IF($A235="",0,SUMIFS(SDDK!$C$8:$C$251,SDDK!$A$8:$A$251,$A235))</f>
        <v/>
      </c>
      <c r="L235" s="124">
        <f>IF($A235="",0,SUMIFS(SDDK!$D$8:$D$251,SDDK!$A$8:$A$251,$A235))</f>
        <v/>
      </c>
      <c r="M235" s="124">
        <f>IF($A235="",0,SUMIFS(NKC!$H$7:$H$3006,NKC!$F$7:$F$3006,$A235,NKC!$B$7:$B$3006,"&lt;"&amp;TU_NGAY))</f>
        <v/>
      </c>
      <c r="N235" s="124">
        <f>IF($A235="",0,SUMIFS(NKC!$H$7:$H$3006,NKC!$G$7:$G$3006,$A235,NKC!$B$7:$B$3006,"&lt;"&amp;TU_NGAY))</f>
        <v/>
      </c>
      <c r="O235" s="124">
        <f>IF($A235="",0,SUMIFS(NKC!$H$7:$H$3006,NKC!$F$7:$F$3006,$A235,NKC!$B$7:$B$3006,"&gt;="&amp;TU_NGAY,NKC!$B$7:$B$3006,"&lt;="&amp;DEN_NGAY))</f>
        <v/>
      </c>
      <c r="P235" s="124">
        <f>IF($A235="",0,SUMIFS(NKC!$H$7:$H$3006,NKC!$G$7:$G$3006,$A235,NKC!$B$7:$B$3006,"&gt;="&amp;TU_NGAY,NKC!$B$7:$B$3006,"&lt;="&amp;DEN_NGAY))</f>
        <v/>
      </c>
      <c r="Q235" s="124">
        <f>K235-L235+M235-N235</f>
        <v/>
      </c>
      <c r="R235" s="124">
        <f>MAX(Q235,0)</f>
        <v/>
      </c>
      <c r="S235" s="124">
        <f>MAX(-Q235,0)</f>
        <v/>
      </c>
      <c r="T235" s="124">
        <f>Q235+O235-P235</f>
        <v/>
      </c>
      <c r="U235" s="124">
        <f>MAX(T235,0)</f>
        <v/>
      </c>
      <c r="V235" s="124">
        <f>MAX(-T235,0)</f>
        <v/>
      </c>
    </row>
    <row r="236" ht="15" customHeight="1" s="78">
      <c r="A236" s="96">
        <f>IF(DMTK!$A235="","",DMTK!$A235&amp;"")</f>
        <v/>
      </c>
      <c r="B236" s="97">
        <f>IF(DMTK!$B235="","",DMTK!$B235)</f>
        <v/>
      </c>
      <c r="C236" s="122" t="n"/>
      <c r="D236" s="125">
        <f>IF($A236="","",SUMIF($A$8:$A$251,$A236&amp;"*",R$8:R$251))</f>
        <v/>
      </c>
      <c r="E236" s="125">
        <f>IF($A236="","",SUMIF($A$8:$A$251,$A236&amp;"*",S$8:S$251))</f>
        <v/>
      </c>
      <c r="F236" s="125">
        <f>IF($A236="","",SUMIF($A$8:$A$251,$A236&amp;"*",O$8:O$251))</f>
        <v/>
      </c>
      <c r="G236" s="125">
        <f>IF($A236="","",SUMIF($A$8:$A$251,$A236&amp;"*",P$8:P$251))</f>
        <v/>
      </c>
      <c r="H236" s="125">
        <f>IF($A236="","",SUMIF($A$8:$A$251,$A236&amp;"*",U$8:U$251))</f>
        <v/>
      </c>
      <c r="I236" s="125">
        <f>IF($A236="","",SUMIF($A$8:$A$251,$A236&amp;"*",V$8:V$251))</f>
        <v/>
      </c>
      <c r="K236" s="124">
        <f>IF($A236="",0,SUMIFS(SDDK!$C$8:$C$251,SDDK!$A$8:$A$251,$A236))</f>
        <v/>
      </c>
      <c r="L236" s="124">
        <f>IF($A236="",0,SUMIFS(SDDK!$D$8:$D$251,SDDK!$A$8:$A$251,$A236))</f>
        <v/>
      </c>
      <c r="M236" s="124">
        <f>IF($A236="",0,SUMIFS(NKC!$H$7:$H$3006,NKC!$F$7:$F$3006,$A236,NKC!$B$7:$B$3006,"&lt;"&amp;TU_NGAY))</f>
        <v/>
      </c>
      <c r="N236" s="124">
        <f>IF($A236="",0,SUMIFS(NKC!$H$7:$H$3006,NKC!$G$7:$G$3006,$A236,NKC!$B$7:$B$3006,"&lt;"&amp;TU_NGAY))</f>
        <v/>
      </c>
      <c r="O236" s="124">
        <f>IF($A236="",0,SUMIFS(NKC!$H$7:$H$3006,NKC!$F$7:$F$3006,$A236,NKC!$B$7:$B$3006,"&gt;="&amp;TU_NGAY,NKC!$B$7:$B$3006,"&lt;="&amp;DEN_NGAY))</f>
        <v/>
      </c>
      <c r="P236" s="124">
        <f>IF($A236="",0,SUMIFS(NKC!$H$7:$H$3006,NKC!$G$7:$G$3006,$A236,NKC!$B$7:$B$3006,"&gt;="&amp;TU_NGAY,NKC!$B$7:$B$3006,"&lt;="&amp;DEN_NGAY))</f>
        <v/>
      </c>
      <c r="Q236" s="124">
        <f>K236-L236+M236-N236</f>
        <v/>
      </c>
      <c r="R236" s="124">
        <f>MAX(Q236,0)</f>
        <v/>
      </c>
      <c r="S236" s="124">
        <f>MAX(-Q236,0)</f>
        <v/>
      </c>
      <c r="T236" s="124">
        <f>Q236+O236-P236</f>
        <v/>
      </c>
      <c r="U236" s="124">
        <f>MAX(T236,0)</f>
        <v/>
      </c>
      <c r="V236" s="124">
        <f>MAX(-T236,0)</f>
        <v/>
      </c>
    </row>
    <row r="237" ht="15" customHeight="1" s="78">
      <c r="A237" s="96">
        <f>IF(DMTK!$A236="","",DMTK!$A236&amp;"")</f>
        <v/>
      </c>
      <c r="B237" s="97">
        <f>IF(DMTK!$B236="","",DMTK!$B236)</f>
        <v/>
      </c>
      <c r="C237" s="122" t="n"/>
      <c r="D237" s="125">
        <f>IF($A237="","",SUMIF($A$8:$A$251,$A237&amp;"*",R$8:R$251))</f>
        <v/>
      </c>
      <c r="E237" s="125">
        <f>IF($A237="","",SUMIF($A$8:$A$251,$A237&amp;"*",S$8:S$251))</f>
        <v/>
      </c>
      <c r="F237" s="125">
        <f>IF($A237="","",SUMIF($A$8:$A$251,$A237&amp;"*",O$8:O$251))</f>
        <v/>
      </c>
      <c r="G237" s="125">
        <f>IF($A237="","",SUMIF($A$8:$A$251,$A237&amp;"*",P$8:P$251))</f>
        <v/>
      </c>
      <c r="H237" s="125">
        <f>IF($A237="","",SUMIF($A$8:$A$251,$A237&amp;"*",U$8:U$251))</f>
        <v/>
      </c>
      <c r="I237" s="125">
        <f>IF($A237="","",SUMIF($A$8:$A$251,$A237&amp;"*",V$8:V$251))</f>
        <v/>
      </c>
      <c r="K237" s="124">
        <f>IF($A237="",0,SUMIFS(SDDK!$C$8:$C$251,SDDK!$A$8:$A$251,$A237))</f>
        <v/>
      </c>
      <c r="L237" s="124">
        <f>IF($A237="",0,SUMIFS(SDDK!$D$8:$D$251,SDDK!$A$8:$A$251,$A237))</f>
        <v/>
      </c>
      <c r="M237" s="124">
        <f>IF($A237="",0,SUMIFS(NKC!$H$7:$H$3006,NKC!$F$7:$F$3006,$A237,NKC!$B$7:$B$3006,"&lt;"&amp;TU_NGAY))</f>
        <v/>
      </c>
      <c r="N237" s="124">
        <f>IF($A237="",0,SUMIFS(NKC!$H$7:$H$3006,NKC!$G$7:$G$3006,$A237,NKC!$B$7:$B$3006,"&lt;"&amp;TU_NGAY))</f>
        <v/>
      </c>
      <c r="O237" s="124">
        <f>IF($A237="",0,SUMIFS(NKC!$H$7:$H$3006,NKC!$F$7:$F$3006,$A237,NKC!$B$7:$B$3006,"&gt;="&amp;TU_NGAY,NKC!$B$7:$B$3006,"&lt;="&amp;DEN_NGAY))</f>
        <v/>
      </c>
      <c r="P237" s="124">
        <f>IF($A237="",0,SUMIFS(NKC!$H$7:$H$3006,NKC!$G$7:$G$3006,$A237,NKC!$B$7:$B$3006,"&gt;="&amp;TU_NGAY,NKC!$B$7:$B$3006,"&lt;="&amp;DEN_NGAY))</f>
        <v/>
      </c>
      <c r="Q237" s="124">
        <f>K237-L237+M237-N237</f>
        <v/>
      </c>
      <c r="R237" s="124">
        <f>MAX(Q237,0)</f>
        <v/>
      </c>
      <c r="S237" s="124">
        <f>MAX(-Q237,0)</f>
        <v/>
      </c>
      <c r="T237" s="124">
        <f>Q237+O237-P237</f>
        <v/>
      </c>
      <c r="U237" s="124">
        <f>MAX(T237,0)</f>
        <v/>
      </c>
      <c r="V237" s="124">
        <f>MAX(-T237,0)</f>
        <v/>
      </c>
    </row>
    <row r="238" ht="15" customHeight="1" s="78">
      <c r="A238" s="96">
        <f>IF(DMTK!$A237="","",DMTK!$A237&amp;"")</f>
        <v/>
      </c>
      <c r="B238" s="97">
        <f>IF(DMTK!$B237="","",DMTK!$B237)</f>
        <v/>
      </c>
      <c r="C238" s="122" t="n"/>
      <c r="D238" s="125">
        <f>IF($A238="","",SUMIF($A$8:$A$251,$A238&amp;"*",R$8:R$251))</f>
        <v/>
      </c>
      <c r="E238" s="125">
        <f>IF($A238="","",SUMIF($A$8:$A$251,$A238&amp;"*",S$8:S$251))</f>
        <v/>
      </c>
      <c r="F238" s="125">
        <f>IF($A238="","",SUMIF($A$8:$A$251,$A238&amp;"*",O$8:O$251))</f>
        <v/>
      </c>
      <c r="G238" s="125">
        <f>IF($A238="","",SUMIF($A$8:$A$251,$A238&amp;"*",P$8:P$251))</f>
        <v/>
      </c>
      <c r="H238" s="125">
        <f>IF($A238="","",SUMIF($A$8:$A$251,$A238&amp;"*",U$8:U$251))</f>
        <v/>
      </c>
      <c r="I238" s="125">
        <f>IF($A238="","",SUMIF($A$8:$A$251,$A238&amp;"*",V$8:V$251))</f>
        <v/>
      </c>
      <c r="K238" s="124">
        <f>IF($A238="",0,SUMIFS(SDDK!$C$8:$C$251,SDDK!$A$8:$A$251,$A238))</f>
        <v/>
      </c>
      <c r="L238" s="124">
        <f>IF($A238="",0,SUMIFS(SDDK!$D$8:$D$251,SDDK!$A$8:$A$251,$A238))</f>
        <v/>
      </c>
      <c r="M238" s="124">
        <f>IF($A238="",0,SUMIFS(NKC!$H$7:$H$3006,NKC!$F$7:$F$3006,$A238,NKC!$B$7:$B$3006,"&lt;"&amp;TU_NGAY))</f>
        <v/>
      </c>
      <c r="N238" s="124">
        <f>IF($A238="",0,SUMIFS(NKC!$H$7:$H$3006,NKC!$G$7:$G$3006,$A238,NKC!$B$7:$B$3006,"&lt;"&amp;TU_NGAY))</f>
        <v/>
      </c>
      <c r="O238" s="124">
        <f>IF($A238="",0,SUMIFS(NKC!$H$7:$H$3006,NKC!$F$7:$F$3006,$A238,NKC!$B$7:$B$3006,"&gt;="&amp;TU_NGAY,NKC!$B$7:$B$3006,"&lt;="&amp;DEN_NGAY))</f>
        <v/>
      </c>
      <c r="P238" s="124">
        <f>IF($A238="",0,SUMIFS(NKC!$H$7:$H$3006,NKC!$G$7:$G$3006,$A238,NKC!$B$7:$B$3006,"&gt;="&amp;TU_NGAY,NKC!$B$7:$B$3006,"&lt;="&amp;DEN_NGAY))</f>
        <v/>
      </c>
      <c r="Q238" s="124">
        <f>K238-L238+M238-N238</f>
        <v/>
      </c>
      <c r="R238" s="124">
        <f>MAX(Q238,0)</f>
        <v/>
      </c>
      <c r="S238" s="124">
        <f>MAX(-Q238,0)</f>
        <v/>
      </c>
      <c r="T238" s="124">
        <f>Q238+O238-P238</f>
        <v/>
      </c>
      <c r="U238" s="124">
        <f>MAX(T238,0)</f>
        <v/>
      </c>
      <c r="V238" s="124">
        <f>MAX(-T238,0)</f>
        <v/>
      </c>
    </row>
    <row r="239" ht="15" customHeight="1" s="78">
      <c r="A239" s="96">
        <f>IF(DMTK!$A238="","",DMTK!$A238&amp;"")</f>
        <v/>
      </c>
      <c r="B239" s="97">
        <f>IF(DMTK!$B238="","",DMTK!$B238)</f>
        <v/>
      </c>
      <c r="C239" s="122" t="n"/>
      <c r="D239" s="125">
        <f>IF($A239="","",SUMIF($A$8:$A$251,$A239&amp;"*",R$8:R$251))</f>
        <v/>
      </c>
      <c r="E239" s="125">
        <f>IF($A239="","",SUMIF($A$8:$A$251,$A239&amp;"*",S$8:S$251))</f>
        <v/>
      </c>
      <c r="F239" s="125">
        <f>IF($A239="","",SUMIF($A$8:$A$251,$A239&amp;"*",O$8:O$251))</f>
        <v/>
      </c>
      <c r="G239" s="125">
        <f>IF($A239="","",SUMIF($A$8:$A$251,$A239&amp;"*",P$8:P$251))</f>
        <v/>
      </c>
      <c r="H239" s="125">
        <f>IF($A239="","",SUMIF($A$8:$A$251,$A239&amp;"*",U$8:U$251))</f>
        <v/>
      </c>
      <c r="I239" s="125">
        <f>IF($A239="","",SUMIF($A$8:$A$251,$A239&amp;"*",V$8:V$251))</f>
        <v/>
      </c>
      <c r="K239" s="124">
        <f>IF($A239="",0,SUMIFS(SDDK!$C$8:$C$251,SDDK!$A$8:$A$251,$A239))</f>
        <v/>
      </c>
      <c r="L239" s="124">
        <f>IF($A239="",0,SUMIFS(SDDK!$D$8:$D$251,SDDK!$A$8:$A$251,$A239))</f>
        <v/>
      </c>
      <c r="M239" s="124">
        <f>IF($A239="",0,SUMIFS(NKC!$H$7:$H$3006,NKC!$F$7:$F$3006,$A239,NKC!$B$7:$B$3006,"&lt;"&amp;TU_NGAY))</f>
        <v/>
      </c>
      <c r="N239" s="124">
        <f>IF($A239="",0,SUMIFS(NKC!$H$7:$H$3006,NKC!$G$7:$G$3006,$A239,NKC!$B$7:$B$3006,"&lt;"&amp;TU_NGAY))</f>
        <v/>
      </c>
      <c r="O239" s="124">
        <f>IF($A239="",0,SUMIFS(NKC!$H$7:$H$3006,NKC!$F$7:$F$3006,$A239,NKC!$B$7:$B$3006,"&gt;="&amp;TU_NGAY,NKC!$B$7:$B$3006,"&lt;="&amp;DEN_NGAY))</f>
        <v/>
      </c>
      <c r="P239" s="124">
        <f>IF($A239="",0,SUMIFS(NKC!$H$7:$H$3006,NKC!$G$7:$G$3006,$A239,NKC!$B$7:$B$3006,"&gt;="&amp;TU_NGAY,NKC!$B$7:$B$3006,"&lt;="&amp;DEN_NGAY))</f>
        <v/>
      </c>
      <c r="Q239" s="124">
        <f>K239-L239+M239-N239</f>
        <v/>
      </c>
      <c r="R239" s="124">
        <f>MAX(Q239,0)</f>
        <v/>
      </c>
      <c r="S239" s="124">
        <f>MAX(-Q239,0)</f>
        <v/>
      </c>
      <c r="T239" s="124">
        <f>Q239+O239-P239</f>
        <v/>
      </c>
      <c r="U239" s="124">
        <f>MAX(T239,0)</f>
        <v/>
      </c>
      <c r="V239" s="124">
        <f>MAX(-T239,0)</f>
        <v/>
      </c>
    </row>
    <row r="240" ht="15" customHeight="1" s="78">
      <c r="A240" s="96">
        <f>IF(DMTK!$A239="","",DMTK!$A239&amp;"")</f>
        <v/>
      </c>
      <c r="B240" s="97">
        <f>IF(DMTK!$B239="","",DMTK!$B239)</f>
        <v/>
      </c>
      <c r="C240" s="122" t="n"/>
      <c r="D240" s="125">
        <f>IF($A240="","",SUMIF($A$8:$A$251,$A240&amp;"*",R$8:R$251))</f>
        <v/>
      </c>
      <c r="E240" s="125">
        <f>IF($A240="","",SUMIF($A$8:$A$251,$A240&amp;"*",S$8:S$251))</f>
        <v/>
      </c>
      <c r="F240" s="125">
        <f>IF($A240="","",SUMIF($A$8:$A$251,$A240&amp;"*",O$8:O$251))</f>
        <v/>
      </c>
      <c r="G240" s="125">
        <f>IF($A240="","",SUMIF($A$8:$A$251,$A240&amp;"*",P$8:P$251))</f>
        <v/>
      </c>
      <c r="H240" s="125">
        <f>IF($A240="","",SUMIF($A$8:$A$251,$A240&amp;"*",U$8:U$251))</f>
        <v/>
      </c>
      <c r="I240" s="125">
        <f>IF($A240="","",SUMIF($A$8:$A$251,$A240&amp;"*",V$8:V$251))</f>
        <v/>
      </c>
      <c r="K240" s="124">
        <f>IF($A240="",0,SUMIFS(SDDK!$C$8:$C$251,SDDK!$A$8:$A$251,$A240))</f>
        <v/>
      </c>
      <c r="L240" s="124">
        <f>IF($A240="",0,SUMIFS(SDDK!$D$8:$D$251,SDDK!$A$8:$A$251,$A240))</f>
        <v/>
      </c>
      <c r="M240" s="124">
        <f>IF($A240="",0,SUMIFS(NKC!$H$7:$H$3006,NKC!$F$7:$F$3006,$A240,NKC!$B$7:$B$3006,"&lt;"&amp;TU_NGAY))</f>
        <v/>
      </c>
      <c r="N240" s="124">
        <f>IF($A240="",0,SUMIFS(NKC!$H$7:$H$3006,NKC!$G$7:$G$3006,$A240,NKC!$B$7:$B$3006,"&lt;"&amp;TU_NGAY))</f>
        <v/>
      </c>
      <c r="O240" s="124">
        <f>IF($A240="",0,SUMIFS(NKC!$H$7:$H$3006,NKC!$F$7:$F$3006,$A240,NKC!$B$7:$B$3006,"&gt;="&amp;TU_NGAY,NKC!$B$7:$B$3006,"&lt;="&amp;DEN_NGAY))</f>
        <v/>
      </c>
      <c r="P240" s="124">
        <f>IF($A240="",0,SUMIFS(NKC!$H$7:$H$3006,NKC!$G$7:$G$3006,$A240,NKC!$B$7:$B$3006,"&gt;="&amp;TU_NGAY,NKC!$B$7:$B$3006,"&lt;="&amp;DEN_NGAY))</f>
        <v/>
      </c>
      <c r="Q240" s="124">
        <f>K240-L240+M240-N240</f>
        <v/>
      </c>
      <c r="R240" s="124">
        <f>MAX(Q240,0)</f>
        <v/>
      </c>
      <c r="S240" s="124">
        <f>MAX(-Q240,0)</f>
        <v/>
      </c>
      <c r="T240" s="124">
        <f>Q240+O240-P240</f>
        <v/>
      </c>
      <c r="U240" s="124">
        <f>MAX(T240,0)</f>
        <v/>
      </c>
      <c r="V240" s="124">
        <f>MAX(-T240,0)</f>
        <v/>
      </c>
    </row>
    <row r="241" ht="15" customHeight="1" s="78">
      <c r="A241" s="96">
        <f>IF(DMTK!$A240="","",DMTK!$A240&amp;"")</f>
        <v/>
      </c>
      <c r="B241" s="97">
        <f>IF(DMTK!$B240="","",DMTK!$B240)</f>
        <v/>
      </c>
      <c r="C241" s="122" t="n"/>
      <c r="D241" s="125">
        <f>IF($A241="","",SUMIF($A$8:$A$251,$A241&amp;"*",R$8:R$251))</f>
        <v/>
      </c>
      <c r="E241" s="125">
        <f>IF($A241="","",SUMIF($A$8:$A$251,$A241&amp;"*",S$8:S$251))</f>
        <v/>
      </c>
      <c r="F241" s="125">
        <f>IF($A241="","",SUMIF($A$8:$A$251,$A241&amp;"*",O$8:O$251))</f>
        <v/>
      </c>
      <c r="G241" s="125">
        <f>IF($A241="","",SUMIF($A$8:$A$251,$A241&amp;"*",P$8:P$251))</f>
        <v/>
      </c>
      <c r="H241" s="125">
        <f>IF($A241="","",SUMIF($A$8:$A$251,$A241&amp;"*",U$8:U$251))</f>
        <v/>
      </c>
      <c r="I241" s="125">
        <f>IF($A241="","",SUMIF($A$8:$A$251,$A241&amp;"*",V$8:V$251))</f>
        <v/>
      </c>
      <c r="K241" s="124">
        <f>IF($A241="",0,SUMIFS(SDDK!$C$8:$C$251,SDDK!$A$8:$A$251,$A241))</f>
        <v/>
      </c>
      <c r="L241" s="124">
        <f>IF($A241="",0,SUMIFS(SDDK!$D$8:$D$251,SDDK!$A$8:$A$251,$A241))</f>
        <v/>
      </c>
      <c r="M241" s="124">
        <f>IF($A241="",0,SUMIFS(NKC!$H$7:$H$3006,NKC!$F$7:$F$3006,$A241,NKC!$B$7:$B$3006,"&lt;"&amp;TU_NGAY))</f>
        <v/>
      </c>
      <c r="N241" s="124">
        <f>IF($A241="",0,SUMIFS(NKC!$H$7:$H$3006,NKC!$G$7:$G$3006,$A241,NKC!$B$7:$B$3006,"&lt;"&amp;TU_NGAY))</f>
        <v/>
      </c>
      <c r="O241" s="124">
        <f>IF($A241="",0,SUMIFS(NKC!$H$7:$H$3006,NKC!$F$7:$F$3006,$A241,NKC!$B$7:$B$3006,"&gt;="&amp;TU_NGAY,NKC!$B$7:$B$3006,"&lt;="&amp;DEN_NGAY))</f>
        <v/>
      </c>
      <c r="P241" s="124">
        <f>IF($A241="",0,SUMIFS(NKC!$H$7:$H$3006,NKC!$G$7:$G$3006,$A241,NKC!$B$7:$B$3006,"&gt;="&amp;TU_NGAY,NKC!$B$7:$B$3006,"&lt;="&amp;DEN_NGAY))</f>
        <v/>
      </c>
      <c r="Q241" s="124">
        <f>K241-L241+M241-N241</f>
        <v/>
      </c>
      <c r="R241" s="124">
        <f>MAX(Q241,0)</f>
        <v/>
      </c>
      <c r="S241" s="124">
        <f>MAX(-Q241,0)</f>
        <v/>
      </c>
      <c r="T241" s="124">
        <f>Q241+O241-P241</f>
        <v/>
      </c>
      <c r="U241" s="124">
        <f>MAX(T241,0)</f>
        <v/>
      </c>
      <c r="V241" s="124">
        <f>MAX(-T241,0)</f>
        <v/>
      </c>
    </row>
    <row r="242" ht="15" customHeight="1" s="78">
      <c r="A242" s="96">
        <f>IF(DMTK!$A241="","",DMTK!$A241&amp;"")</f>
        <v/>
      </c>
      <c r="B242" s="97">
        <f>IF(DMTK!$B241="","",DMTK!$B241)</f>
        <v/>
      </c>
      <c r="C242" s="122" t="n"/>
      <c r="D242" s="125">
        <f>IF($A242="","",SUMIF($A$8:$A$251,$A242&amp;"*",R$8:R$251))</f>
        <v/>
      </c>
      <c r="E242" s="125">
        <f>IF($A242="","",SUMIF($A$8:$A$251,$A242&amp;"*",S$8:S$251))</f>
        <v/>
      </c>
      <c r="F242" s="125">
        <f>IF($A242="","",SUMIF($A$8:$A$251,$A242&amp;"*",O$8:O$251))</f>
        <v/>
      </c>
      <c r="G242" s="125">
        <f>IF($A242="","",SUMIF($A$8:$A$251,$A242&amp;"*",P$8:P$251))</f>
        <v/>
      </c>
      <c r="H242" s="125">
        <f>IF($A242="","",SUMIF($A$8:$A$251,$A242&amp;"*",U$8:U$251))</f>
        <v/>
      </c>
      <c r="I242" s="125">
        <f>IF($A242="","",SUMIF($A$8:$A$251,$A242&amp;"*",V$8:V$251))</f>
        <v/>
      </c>
      <c r="K242" s="124">
        <f>IF($A242="",0,SUMIFS(SDDK!$C$8:$C$251,SDDK!$A$8:$A$251,$A242))</f>
        <v/>
      </c>
      <c r="L242" s="124">
        <f>IF($A242="",0,SUMIFS(SDDK!$D$8:$D$251,SDDK!$A$8:$A$251,$A242))</f>
        <v/>
      </c>
      <c r="M242" s="124">
        <f>IF($A242="",0,SUMIFS(NKC!$H$7:$H$3006,NKC!$F$7:$F$3006,$A242,NKC!$B$7:$B$3006,"&lt;"&amp;TU_NGAY))</f>
        <v/>
      </c>
      <c r="N242" s="124">
        <f>IF($A242="",0,SUMIFS(NKC!$H$7:$H$3006,NKC!$G$7:$G$3006,$A242,NKC!$B$7:$B$3006,"&lt;"&amp;TU_NGAY))</f>
        <v/>
      </c>
      <c r="O242" s="124">
        <f>IF($A242="",0,SUMIFS(NKC!$H$7:$H$3006,NKC!$F$7:$F$3006,$A242,NKC!$B$7:$B$3006,"&gt;="&amp;TU_NGAY,NKC!$B$7:$B$3006,"&lt;="&amp;DEN_NGAY))</f>
        <v/>
      </c>
      <c r="P242" s="124">
        <f>IF($A242="",0,SUMIFS(NKC!$H$7:$H$3006,NKC!$G$7:$G$3006,$A242,NKC!$B$7:$B$3006,"&gt;="&amp;TU_NGAY,NKC!$B$7:$B$3006,"&lt;="&amp;DEN_NGAY))</f>
        <v/>
      </c>
      <c r="Q242" s="124">
        <f>K242-L242+M242-N242</f>
        <v/>
      </c>
      <c r="R242" s="124">
        <f>MAX(Q242,0)</f>
        <v/>
      </c>
      <c r="S242" s="124">
        <f>MAX(-Q242,0)</f>
        <v/>
      </c>
      <c r="T242" s="124">
        <f>Q242+O242-P242</f>
        <v/>
      </c>
      <c r="U242" s="124">
        <f>MAX(T242,0)</f>
        <v/>
      </c>
      <c r="V242" s="124">
        <f>MAX(-T242,0)</f>
        <v/>
      </c>
    </row>
    <row r="243" ht="15" customHeight="1" s="78">
      <c r="A243" s="96">
        <f>IF(DMTK!$A242="","",DMTK!$A242&amp;"")</f>
        <v/>
      </c>
      <c r="B243" s="97">
        <f>IF(DMTK!$B242="","",DMTK!$B242)</f>
        <v/>
      </c>
      <c r="C243" s="122" t="n"/>
      <c r="D243" s="125">
        <f>IF($A243="","",SUMIF($A$8:$A$251,$A243&amp;"*",R$8:R$251))</f>
        <v/>
      </c>
      <c r="E243" s="125">
        <f>IF($A243="","",SUMIF($A$8:$A$251,$A243&amp;"*",S$8:S$251))</f>
        <v/>
      </c>
      <c r="F243" s="125">
        <f>IF($A243="","",SUMIF($A$8:$A$251,$A243&amp;"*",O$8:O$251))</f>
        <v/>
      </c>
      <c r="G243" s="125">
        <f>IF($A243="","",SUMIF($A$8:$A$251,$A243&amp;"*",P$8:P$251))</f>
        <v/>
      </c>
      <c r="H243" s="125">
        <f>IF($A243="","",SUMIF($A$8:$A$251,$A243&amp;"*",U$8:U$251))</f>
        <v/>
      </c>
      <c r="I243" s="125">
        <f>IF($A243="","",SUMIF($A$8:$A$251,$A243&amp;"*",V$8:V$251))</f>
        <v/>
      </c>
      <c r="K243" s="124">
        <f>IF($A243="",0,SUMIFS(SDDK!$C$8:$C$251,SDDK!$A$8:$A$251,$A243))</f>
        <v/>
      </c>
      <c r="L243" s="124">
        <f>IF($A243="",0,SUMIFS(SDDK!$D$8:$D$251,SDDK!$A$8:$A$251,$A243))</f>
        <v/>
      </c>
      <c r="M243" s="124">
        <f>IF($A243="",0,SUMIFS(NKC!$H$7:$H$3006,NKC!$F$7:$F$3006,$A243,NKC!$B$7:$B$3006,"&lt;"&amp;TU_NGAY))</f>
        <v/>
      </c>
      <c r="N243" s="124">
        <f>IF($A243="",0,SUMIFS(NKC!$H$7:$H$3006,NKC!$G$7:$G$3006,$A243,NKC!$B$7:$B$3006,"&lt;"&amp;TU_NGAY))</f>
        <v/>
      </c>
      <c r="O243" s="124">
        <f>IF($A243="",0,SUMIFS(NKC!$H$7:$H$3006,NKC!$F$7:$F$3006,$A243,NKC!$B$7:$B$3006,"&gt;="&amp;TU_NGAY,NKC!$B$7:$B$3006,"&lt;="&amp;DEN_NGAY))</f>
        <v/>
      </c>
      <c r="P243" s="124">
        <f>IF($A243="",0,SUMIFS(NKC!$H$7:$H$3006,NKC!$G$7:$G$3006,$A243,NKC!$B$7:$B$3006,"&gt;="&amp;TU_NGAY,NKC!$B$7:$B$3006,"&lt;="&amp;DEN_NGAY))</f>
        <v/>
      </c>
      <c r="Q243" s="124">
        <f>K243-L243+M243-N243</f>
        <v/>
      </c>
      <c r="R243" s="124">
        <f>MAX(Q243,0)</f>
        <v/>
      </c>
      <c r="S243" s="124">
        <f>MAX(-Q243,0)</f>
        <v/>
      </c>
      <c r="T243" s="124">
        <f>Q243+O243-P243</f>
        <v/>
      </c>
      <c r="U243" s="124">
        <f>MAX(T243,0)</f>
        <v/>
      </c>
      <c r="V243" s="124">
        <f>MAX(-T243,0)</f>
        <v/>
      </c>
    </row>
    <row r="244" ht="15" customHeight="1" s="78">
      <c r="A244" s="96">
        <f>IF(DMTK!$A243="","",DMTK!$A243&amp;"")</f>
        <v/>
      </c>
      <c r="B244" s="97">
        <f>IF(DMTK!$B243="","",DMTK!$B243)</f>
        <v/>
      </c>
      <c r="C244" s="122" t="n"/>
      <c r="D244" s="125">
        <f>IF($A244="","",SUMIF($A$8:$A$251,$A244&amp;"*",R$8:R$251))</f>
        <v/>
      </c>
      <c r="E244" s="125">
        <f>IF($A244="","",SUMIF($A$8:$A$251,$A244&amp;"*",S$8:S$251))</f>
        <v/>
      </c>
      <c r="F244" s="125">
        <f>IF($A244="","",SUMIF($A$8:$A$251,$A244&amp;"*",O$8:O$251))</f>
        <v/>
      </c>
      <c r="G244" s="125">
        <f>IF($A244="","",SUMIF($A$8:$A$251,$A244&amp;"*",P$8:P$251))</f>
        <v/>
      </c>
      <c r="H244" s="125">
        <f>IF($A244="","",SUMIF($A$8:$A$251,$A244&amp;"*",U$8:U$251))</f>
        <v/>
      </c>
      <c r="I244" s="125">
        <f>IF($A244="","",SUMIF($A$8:$A$251,$A244&amp;"*",V$8:V$251))</f>
        <v/>
      </c>
      <c r="K244" s="124">
        <f>IF($A244="",0,SUMIFS(SDDK!$C$8:$C$251,SDDK!$A$8:$A$251,$A244))</f>
        <v/>
      </c>
      <c r="L244" s="124">
        <f>IF($A244="",0,SUMIFS(SDDK!$D$8:$D$251,SDDK!$A$8:$A$251,$A244))</f>
        <v/>
      </c>
      <c r="M244" s="124">
        <f>IF($A244="",0,SUMIFS(NKC!$H$7:$H$3006,NKC!$F$7:$F$3006,$A244,NKC!$B$7:$B$3006,"&lt;"&amp;TU_NGAY))</f>
        <v/>
      </c>
      <c r="N244" s="124">
        <f>IF($A244="",0,SUMIFS(NKC!$H$7:$H$3006,NKC!$G$7:$G$3006,$A244,NKC!$B$7:$B$3006,"&lt;"&amp;TU_NGAY))</f>
        <v/>
      </c>
      <c r="O244" s="124">
        <f>IF($A244="",0,SUMIFS(NKC!$H$7:$H$3006,NKC!$F$7:$F$3006,$A244,NKC!$B$7:$B$3006,"&gt;="&amp;TU_NGAY,NKC!$B$7:$B$3006,"&lt;="&amp;DEN_NGAY))</f>
        <v/>
      </c>
      <c r="P244" s="124">
        <f>IF($A244="",0,SUMIFS(NKC!$H$7:$H$3006,NKC!$G$7:$G$3006,$A244,NKC!$B$7:$B$3006,"&gt;="&amp;TU_NGAY,NKC!$B$7:$B$3006,"&lt;="&amp;DEN_NGAY))</f>
        <v/>
      </c>
      <c r="Q244" s="124">
        <f>K244-L244+M244-N244</f>
        <v/>
      </c>
      <c r="R244" s="124">
        <f>MAX(Q244,0)</f>
        <v/>
      </c>
      <c r="S244" s="124">
        <f>MAX(-Q244,0)</f>
        <v/>
      </c>
      <c r="T244" s="124">
        <f>Q244+O244-P244</f>
        <v/>
      </c>
      <c r="U244" s="124">
        <f>MAX(T244,0)</f>
        <v/>
      </c>
      <c r="V244" s="124">
        <f>MAX(-T244,0)</f>
        <v/>
      </c>
    </row>
    <row r="245" ht="15" customHeight="1" s="78">
      <c r="A245" s="96">
        <f>IF(DMTK!$A244="","",DMTK!$A244&amp;"")</f>
        <v/>
      </c>
      <c r="B245" s="97">
        <f>IF(DMTK!$B244="","",DMTK!$B244)</f>
        <v/>
      </c>
      <c r="C245" s="122" t="n"/>
      <c r="D245" s="125">
        <f>IF($A245="","",SUMIF($A$8:$A$251,$A245&amp;"*",R$8:R$251))</f>
        <v/>
      </c>
      <c r="E245" s="125">
        <f>IF($A245="","",SUMIF($A$8:$A$251,$A245&amp;"*",S$8:S$251))</f>
        <v/>
      </c>
      <c r="F245" s="125">
        <f>IF($A245="","",SUMIF($A$8:$A$251,$A245&amp;"*",O$8:O$251))</f>
        <v/>
      </c>
      <c r="G245" s="125">
        <f>IF($A245="","",SUMIF($A$8:$A$251,$A245&amp;"*",P$8:P$251))</f>
        <v/>
      </c>
      <c r="H245" s="125">
        <f>IF($A245="","",SUMIF($A$8:$A$251,$A245&amp;"*",U$8:U$251))</f>
        <v/>
      </c>
      <c r="I245" s="125">
        <f>IF($A245="","",SUMIF($A$8:$A$251,$A245&amp;"*",V$8:V$251))</f>
        <v/>
      </c>
      <c r="K245" s="124">
        <f>IF($A245="",0,SUMIFS(SDDK!$C$8:$C$251,SDDK!$A$8:$A$251,$A245))</f>
        <v/>
      </c>
      <c r="L245" s="124">
        <f>IF($A245="",0,SUMIFS(SDDK!$D$8:$D$251,SDDK!$A$8:$A$251,$A245))</f>
        <v/>
      </c>
      <c r="M245" s="124">
        <f>IF($A245="",0,SUMIFS(NKC!$H$7:$H$3006,NKC!$F$7:$F$3006,$A245,NKC!$B$7:$B$3006,"&lt;"&amp;TU_NGAY))</f>
        <v/>
      </c>
      <c r="N245" s="124">
        <f>IF($A245="",0,SUMIFS(NKC!$H$7:$H$3006,NKC!$G$7:$G$3006,$A245,NKC!$B$7:$B$3006,"&lt;"&amp;TU_NGAY))</f>
        <v/>
      </c>
      <c r="O245" s="124">
        <f>IF($A245="",0,SUMIFS(NKC!$H$7:$H$3006,NKC!$F$7:$F$3006,$A245,NKC!$B$7:$B$3006,"&gt;="&amp;TU_NGAY,NKC!$B$7:$B$3006,"&lt;="&amp;DEN_NGAY))</f>
        <v/>
      </c>
      <c r="P245" s="124">
        <f>IF($A245="",0,SUMIFS(NKC!$H$7:$H$3006,NKC!$G$7:$G$3006,$A245,NKC!$B$7:$B$3006,"&gt;="&amp;TU_NGAY,NKC!$B$7:$B$3006,"&lt;="&amp;DEN_NGAY))</f>
        <v/>
      </c>
      <c r="Q245" s="124">
        <f>K245-L245+M245-N245</f>
        <v/>
      </c>
      <c r="R245" s="124">
        <f>MAX(Q245,0)</f>
        <v/>
      </c>
      <c r="S245" s="124">
        <f>MAX(-Q245,0)</f>
        <v/>
      </c>
      <c r="T245" s="124">
        <f>Q245+O245-P245</f>
        <v/>
      </c>
      <c r="U245" s="124">
        <f>MAX(T245,0)</f>
        <v/>
      </c>
      <c r="V245" s="124">
        <f>MAX(-T245,0)</f>
        <v/>
      </c>
    </row>
    <row r="246" ht="15" customHeight="1" s="78">
      <c r="A246" s="96">
        <f>IF(DMTK!$A245="","",DMTK!$A245&amp;"")</f>
        <v/>
      </c>
      <c r="B246" s="97">
        <f>IF(DMTK!$B245="","",DMTK!$B245)</f>
        <v/>
      </c>
      <c r="C246" s="122" t="n"/>
      <c r="D246" s="125">
        <f>IF($A246="","",SUMIF($A$8:$A$251,$A246&amp;"*",R$8:R$251))</f>
        <v/>
      </c>
      <c r="E246" s="125">
        <f>IF($A246="","",SUMIF($A$8:$A$251,$A246&amp;"*",S$8:S$251))</f>
        <v/>
      </c>
      <c r="F246" s="125">
        <f>IF($A246="","",SUMIF($A$8:$A$251,$A246&amp;"*",O$8:O$251))</f>
        <v/>
      </c>
      <c r="G246" s="125">
        <f>IF($A246="","",SUMIF($A$8:$A$251,$A246&amp;"*",P$8:P$251))</f>
        <v/>
      </c>
      <c r="H246" s="125">
        <f>IF($A246="","",SUMIF($A$8:$A$251,$A246&amp;"*",U$8:U$251))</f>
        <v/>
      </c>
      <c r="I246" s="125">
        <f>IF($A246="","",SUMIF($A$8:$A$251,$A246&amp;"*",V$8:V$251))</f>
        <v/>
      </c>
      <c r="K246" s="124">
        <f>IF($A246="",0,SUMIFS(SDDK!$C$8:$C$251,SDDK!$A$8:$A$251,$A246))</f>
        <v/>
      </c>
      <c r="L246" s="124">
        <f>IF($A246="",0,SUMIFS(SDDK!$D$8:$D$251,SDDK!$A$8:$A$251,$A246))</f>
        <v/>
      </c>
      <c r="M246" s="124">
        <f>IF($A246="",0,SUMIFS(NKC!$H$7:$H$3006,NKC!$F$7:$F$3006,$A246,NKC!$B$7:$B$3006,"&lt;"&amp;TU_NGAY))</f>
        <v/>
      </c>
      <c r="N246" s="124">
        <f>IF($A246="",0,SUMIFS(NKC!$H$7:$H$3006,NKC!$G$7:$G$3006,$A246,NKC!$B$7:$B$3006,"&lt;"&amp;TU_NGAY))</f>
        <v/>
      </c>
      <c r="O246" s="124">
        <f>IF($A246="",0,SUMIFS(NKC!$H$7:$H$3006,NKC!$F$7:$F$3006,$A246,NKC!$B$7:$B$3006,"&gt;="&amp;TU_NGAY,NKC!$B$7:$B$3006,"&lt;="&amp;DEN_NGAY))</f>
        <v/>
      </c>
      <c r="P246" s="124">
        <f>IF($A246="",0,SUMIFS(NKC!$H$7:$H$3006,NKC!$G$7:$G$3006,$A246,NKC!$B$7:$B$3006,"&gt;="&amp;TU_NGAY,NKC!$B$7:$B$3006,"&lt;="&amp;DEN_NGAY))</f>
        <v/>
      </c>
      <c r="Q246" s="124">
        <f>K246-L246+M246-N246</f>
        <v/>
      </c>
      <c r="R246" s="124">
        <f>MAX(Q246,0)</f>
        <v/>
      </c>
      <c r="S246" s="124">
        <f>MAX(-Q246,0)</f>
        <v/>
      </c>
      <c r="T246" s="124">
        <f>Q246+O246-P246</f>
        <v/>
      </c>
      <c r="U246" s="124">
        <f>MAX(T246,0)</f>
        <v/>
      </c>
      <c r="V246" s="124">
        <f>MAX(-T246,0)</f>
        <v/>
      </c>
    </row>
    <row r="247" ht="15" customHeight="1" s="78">
      <c r="A247" s="96">
        <f>IF(DMTK!$A246="","",DMTK!$A246&amp;"")</f>
        <v/>
      </c>
      <c r="B247" s="97">
        <f>IF(DMTK!$B246="","",DMTK!$B246)</f>
        <v/>
      </c>
      <c r="C247" s="122" t="n"/>
      <c r="D247" s="125">
        <f>IF($A247="","",SUMIF($A$8:$A$251,$A247&amp;"*",R$8:R$251))</f>
        <v/>
      </c>
      <c r="E247" s="125">
        <f>IF($A247="","",SUMIF($A$8:$A$251,$A247&amp;"*",S$8:S$251))</f>
        <v/>
      </c>
      <c r="F247" s="125">
        <f>IF($A247="","",SUMIF($A$8:$A$251,$A247&amp;"*",O$8:O$251))</f>
        <v/>
      </c>
      <c r="G247" s="125">
        <f>IF($A247="","",SUMIF($A$8:$A$251,$A247&amp;"*",P$8:P$251))</f>
        <v/>
      </c>
      <c r="H247" s="125">
        <f>IF($A247="","",SUMIF($A$8:$A$251,$A247&amp;"*",U$8:U$251))</f>
        <v/>
      </c>
      <c r="I247" s="125">
        <f>IF($A247="","",SUMIF($A$8:$A$251,$A247&amp;"*",V$8:V$251))</f>
        <v/>
      </c>
      <c r="K247" s="124">
        <f>IF($A247="",0,SUMIFS(SDDK!$C$8:$C$251,SDDK!$A$8:$A$251,$A247))</f>
        <v/>
      </c>
      <c r="L247" s="124">
        <f>IF($A247="",0,SUMIFS(SDDK!$D$8:$D$251,SDDK!$A$8:$A$251,$A247))</f>
        <v/>
      </c>
      <c r="M247" s="124">
        <f>IF($A247="",0,SUMIFS(NKC!$H$7:$H$3006,NKC!$F$7:$F$3006,$A247,NKC!$B$7:$B$3006,"&lt;"&amp;TU_NGAY))</f>
        <v/>
      </c>
      <c r="N247" s="124">
        <f>IF($A247="",0,SUMIFS(NKC!$H$7:$H$3006,NKC!$G$7:$G$3006,$A247,NKC!$B$7:$B$3006,"&lt;"&amp;TU_NGAY))</f>
        <v/>
      </c>
      <c r="O247" s="124">
        <f>IF($A247="",0,SUMIFS(NKC!$H$7:$H$3006,NKC!$F$7:$F$3006,$A247,NKC!$B$7:$B$3006,"&gt;="&amp;TU_NGAY,NKC!$B$7:$B$3006,"&lt;="&amp;DEN_NGAY))</f>
        <v/>
      </c>
      <c r="P247" s="124">
        <f>IF($A247="",0,SUMIFS(NKC!$H$7:$H$3006,NKC!$G$7:$G$3006,$A247,NKC!$B$7:$B$3006,"&gt;="&amp;TU_NGAY,NKC!$B$7:$B$3006,"&lt;="&amp;DEN_NGAY))</f>
        <v/>
      </c>
      <c r="Q247" s="124">
        <f>K247-L247+M247-N247</f>
        <v/>
      </c>
      <c r="R247" s="124">
        <f>MAX(Q247,0)</f>
        <v/>
      </c>
      <c r="S247" s="124">
        <f>MAX(-Q247,0)</f>
        <v/>
      </c>
      <c r="T247" s="124">
        <f>Q247+O247-P247</f>
        <v/>
      </c>
      <c r="U247" s="124">
        <f>MAX(T247,0)</f>
        <v/>
      </c>
      <c r="V247" s="124">
        <f>MAX(-T247,0)</f>
        <v/>
      </c>
    </row>
    <row r="248" ht="15" customHeight="1" s="78">
      <c r="A248" s="96">
        <f>IF(DMTK!$A247="","",DMTK!$A247&amp;"")</f>
        <v/>
      </c>
      <c r="B248" s="97">
        <f>IF(DMTK!$B247="","",DMTK!$B247)</f>
        <v/>
      </c>
      <c r="C248" s="122" t="n"/>
      <c r="D248" s="125">
        <f>IF($A248="","",SUMIF($A$8:$A$251,$A248&amp;"*",R$8:R$251))</f>
        <v/>
      </c>
      <c r="E248" s="125">
        <f>IF($A248="","",SUMIF($A$8:$A$251,$A248&amp;"*",S$8:S$251))</f>
        <v/>
      </c>
      <c r="F248" s="125">
        <f>IF($A248="","",SUMIF($A$8:$A$251,$A248&amp;"*",O$8:O$251))</f>
        <v/>
      </c>
      <c r="G248" s="125">
        <f>IF($A248="","",SUMIF($A$8:$A$251,$A248&amp;"*",P$8:P$251))</f>
        <v/>
      </c>
      <c r="H248" s="125">
        <f>IF($A248="","",SUMIF($A$8:$A$251,$A248&amp;"*",U$8:U$251))</f>
        <v/>
      </c>
      <c r="I248" s="125">
        <f>IF($A248="","",SUMIF($A$8:$A$251,$A248&amp;"*",V$8:V$251))</f>
        <v/>
      </c>
      <c r="K248" s="124">
        <f>IF($A248="",0,SUMIFS(SDDK!$C$8:$C$251,SDDK!$A$8:$A$251,$A248))</f>
        <v/>
      </c>
      <c r="L248" s="124">
        <f>IF($A248="",0,SUMIFS(SDDK!$D$8:$D$251,SDDK!$A$8:$A$251,$A248))</f>
        <v/>
      </c>
      <c r="M248" s="124">
        <f>IF($A248="",0,SUMIFS(NKC!$H$7:$H$3006,NKC!$F$7:$F$3006,$A248,NKC!$B$7:$B$3006,"&lt;"&amp;TU_NGAY))</f>
        <v/>
      </c>
      <c r="N248" s="124">
        <f>IF($A248="",0,SUMIFS(NKC!$H$7:$H$3006,NKC!$G$7:$G$3006,$A248,NKC!$B$7:$B$3006,"&lt;"&amp;TU_NGAY))</f>
        <v/>
      </c>
      <c r="O248" s="124">
        <f>IF($A248="",0,SUMIFS(NKC!$H$7:$H$3006,NKC!$F$7:$F$3006,$A248,NKC!$B$7:$B$3006,"&gt;="&amp;TU_NGAY,NKC!$B$7:$B$3006,"&lt;="&amp;DEN_NGAY))</f>
        <v/>
      </c>
      <c r="P248" s="124">
        <f>IF($A248="",0,SUMIFS(NKC!$H$7:$H$3006,NKC!$G$7:$G$3006,$A248,NKC!$B$7:$B$3006,"&gt;="&amp;TU_NGAY,NKC!$B$7:$B$3006,"&lt;="&amp;DEN_NGAY))</f>
        <v/>
      </c>
      <c r="Q248" s="124">
        <f>K248-L248+M248-N248</f>
        <v/>
      </c>
      <c r="R248" s="124">
        <f>MAX(Q248,0)</f>
        <v/>
      </c>
      <c r="S248" s="124">
        <f>MAX(-Q248,0)</f>
        <v/>
      </c>
      <c r="T248" s="124">
        <f>Q248+O248-P248</f>
        <v/>
      </c>
      <c r="U248" s="124">
        <f>MAX(T248,0)</f>
        <v/>
      </c>
      <c r="V248" s="124">
        <f>MAX(-T248,0)</f>
        <v/>
      </c>
    </row>
    <row r="249" ht="15" customHeight="1" s="78">
      <c r="A249" s="96">
        <f>IF(DMTK!$A248="","",DMTK!$A248&amp;"")</f>
        <v/>
      </c>
      <c r="B249" s="97">
        <f>IF(DMTK!$B248="","",DMTK!$B248)</f>
        <v/>
      </c>
      <c r="C249" s="122" t="n"/>
      <c r="D249" s="125">
        <f>IF($A249="","",SUMIF($A$8:$A$251,$A249&amp;"*",R$8:R$251))</f>
        <v/>
      </c>
      <c r="E249" s="125">
        <f>IF($A249="","",SUMIF($A$8:$A$251,$A249&amp;"*",S$8:S$251))</f>
        <v/>
      </c>
      <c r="F249" s="125">
        <f>IF($A249="","",SUMIF($A$8:$A$251,$A249&amp;"*",O$8:O$251))</f>
        <v/>
      </c>
      <c r="G249" s="125">
        <f>IF($A249="","",SUMIF($A$8:$A$251,$A249&amp;"*",P$8:P$251))</f>
        <v/>
      </c>
      <c r="H249" s="125">
        <f>IF($A249="","",SUMIF($A$8:$A$251,$A249&amp;"*",U$8:U$251))</f>
        <v/>
      </c>
      <c r="I249" s="125">
        <f>IF($A249="","",SUMIF($A$8:$A$251,$A249&amp;"*",V$8:V$251))</f>
        <v/>
      </c>
      <c r="K249" s="124">
        <f>IF($A249="",0,SUMIFS(SDDK!$C$8:$C$251,SDDK!$A$8:$A$251,$A249))</f>
        <v/>
      </c>
      <c r="L249" s="124">
        <f>IF($A249="",0,SUMIFS(SDDK!$D$8:$D$251,SDDK!$A$8:$A$251,$A249))</f>
        <v/>
      </c>
      <c r="M249" s="124">
        <f>IF($A249="",0,SUMIFS(NKC!$H$7:$H$3006,NKC!$F$7:$F$3006,$A249,NKC!$B$7:$B$3006,"&lt;"&amp;TU_NGAY))</f>
        <v/>
      </c>
      <c r="N249" s="124">
        <f>IF($A249="",0,SUMIFS(NKC!$H$7:$H$3006,NKC!$G$7:$G$3006,$A249,NKC!$B$7:$B$3006,"&lt;"&amp;TU_NGAY))</f>
        <v/>
      </c>
      <c r="O249" s="124">
        <f>IF($A249="",0,SUMIFS(NKC!$H$7:$H$3006,NKC!$F$7:$F$3006,$A249,NKC!$B$7:$B$3006,"&gt;="&amp;TU_NGAY,NKC!$B$7:$B$3006,"&lt;="&amp;DEN_NGAY))</f>
        <v/>
      </c>
      <c r="P249" s="124">
        <f>IF($A249="",0,SUMIFS(NKC!$H$7:$H$3006,NKC!$G$7:$G$3006,$A249,NKC!$B$7:$B$3006,"&gt;="&amp;TU_NGAY,NKC!$B$7:$B$3006,"&lt;="&amp;DEN_NGAY))</f>
        <v/>
      </c>
      <c r="Q249" s="124">
        <f>K249-L249+M249-N249</f>
        <v/>
      </c>
      <c r="R249" s="124">
        <f>MAX(Q249,0)</f>
        <v/>
      </c>
      <c r="S249" s="124">
        <f>MAX(-Q249,0)</f>
        <v/>
      </c>
      <c r="T249" s="124">
        <f>Q249+O249-P249</f>
        <v/>
      </c>
      <c r="U249" s="124">
        <f>MAX(T249,0)</f>
        <v/>
      </c>
      <c r="V249" s="124">
        <f>MAX(-T249,0)</f>
        <v/>
      </c>
    </row>
    <row r="250" ht="15" customHeight="1" s="78">
      <c r="A250" s="96">
        <f>IF(DMTK!$A249="","",DMTK!$A249&amp;"")</f>
        <v/>
      </c>
      <c r="B250" s="97">
        <f>IF(DMTK!$B249="","",DMTK!$B249)</f>
        <v/>
      </c>
      <c r="C250" s="122" t="n"/>
      <c r="D250" s="125">
        <f>IF($A250="","",SUMIF($A$8:$A$251,$A250&amp;"*",R$8:R$251))</f>
        <v/>
      </c>
      <c r="E250" s="125">
        <f>IF($A250="","",SUMIF($A$8:$A$251,$A250&amp;"*",S$8:S$251))</f>
        <v/>
      </c>
      <c r="F250" s="125">
        <f>IF($A250="","",SUMIF($A$8:$A$251,$A250&amp;"*",O$8:O$251))</f>
        <v/>
      </c>
      <c r="G250" s="125">
        <f>IF($A250="","",SUMIF($A$8:$A$251,$A250&amp;"*",P$8:P$251))</f>
        <v/>
      </c>
      <c r="H250" s="125">
        <f>IF($A250="","",SUMIF($A$8:$A$251,$A250&amp;"*",U$8:U$251))</f>
        <v/>
      </c>
      <c r="I250" s="125">
        <f>IF($A250="","",SUMIF($A$8:$A$251,$A250&amp;"*",V$8:V$251))</f>
        <v/>
      </c>
      <c r="K250" s="124">
        <f>IF($A250="",0,SUMIFS(SDDK!$C$8:$C$251,SDDK!$A$8:$A$251,$A250))</f>
        <v/>
      </c>
      <c r="L250" s="124">
        <f>IF($A250="",0,SUMIFS(SDDK!$D$8:$D$251,SDDK!$A$8:$A$251,$A250))</f>
        <v/>
      </c>
      <c r="M250" s="124">
        <f>IF($A250="",0,SUMIFS(NKC!$H$7:$H$3006,NKC!$F$7:$F$3006,$A250,NKC!$B$7:$B$3006,"&lt;"&amp;TU_NGAY))</f>
        <v/>
      </c>
      <c r="N250" s="124">
        <f>IF($A250="",0,SUMIFS(NKC!$H$7:$H$3006,NKC!$G$7:$G$3006,$A250,NKC!$B$7:$B$3006,"&lt;"&amp;TU_NGAY))</f>
        <v/>
      </c>
      <c r="O250" s="124">
        <f>IF($A250="",0,SUMIFS(NKC!$H$7:$H$3006,NKC!$F$7:$F$3006,$A250,NKC!$B$7:$B$3006,"&gt;="&amp;TU_NGAY,NKC!$B$7:$B$3006,"&lt;="&amp;DEN_NGAY))</f>
        <v/>
      </c>
      <c r="P250" s="124">
        <f>IF($A250="",0,SUMIFS(NKC!$H$7:$H$3006,NKC!$G$7:$G$3006,$A250,NKC!$B$7:$B$3006,"&gt;="&amp;TU_NGAY,NKC!$B$7:$B$3006,"&lt;="&amp;DEN_NGAY))</f>
        <v/>
      </c>
      <c r="Q250" s="124">
        <f>K250-L250+M250-N250</f>
        <v/>
      </c>
      <c r="R250" s="124">
        <f>MAX(Q250,0)</f>
        <v/>
      </c>
      <c r="S250" s="124">
        <f>MAX(-Q250,0)</f>
        <v/>
      </c>
      <c r="T250" s="124">
        <f>Q250+O250-P250</f>
        <v/>
      </c>
      <c r="U250" s="124">
        <f>MAX(T250,0)</f>
        <v/>
      </c>
      <c r="V250" s="124">
        <f>MAX(-T250,0)</f>
        <v/>
      </c>
    </row>
    <row r="251" ht="15" customHeight="1" s="78">
      <c r="A251" s="96">
        <f>IF(DMTK!$A250="","",DMTK!$A250&amp;"")</f>
        <v/>
      </c>
      <c r="B251" s="97">
        <f>IF(DMTK!$B250="","",DMTK!$B250)</f>
        <v/>
      </c>
      <c r="C251" s="122" t="n"/>
      <c r="D251" s="125">
        <f>IF($A251="","",SUMIF($A$8:$A$251,$A251&amp;"*",R$8:R$251))</f>
        <v/>
      </c>
      <c r="E251" s="125">
        <f>IF($A251="","",SUMIF($A$8:$A$251,$A251&amp;"*",S$8:S$251))</f>
        <v/>
      </c>
      <c r="F251" s="125">
        <f>IF($A251="","",SUMIF($A$8:$A$251,$A251&amp;"*",O$8:O$251))</f>
        <v/>
      </c>
      <c r="G251" s="125">
        <f>IF($A251="","",SUMIF($A$8:$A$251,$A251&amp;"*",P$8:P$251))</f>
        <v/>
      </c>
      <c r="H251" s="125">
        <f>IF($A251="","",SUMIF($A$8:$A$251,$A251&amp;"*",U$8:U$251))</f>
        <v/>
      </c>
      <c r="I251" s="125">
        <f>IF($A251="","",SUMIF($A$8:$A$251,$A251&amp;"*",V$8:V$251))</f>
        <v/>
      </c>
      <c r="K251" s="124">
        <f>IF($A251="",0,SUMIFS(SDDK!$C$8:$C$251,SDDK!$A$8:$A$251,$A251))</f>
        <v/>
      </c>
      <c r="L251" s="124">
        <f>IF($A251="",0,SUMIFS(SDDK!$D$8:$D$251,SDDK!$A$8:$A$251,$A251))</f>
        <v/>
      </c>
      <c r="M251" s="124">
        <f>IF($A251="",0,SUMIFS(NKC!$H$7:$H$3006,NKC!$F$7:$F$3006,$A251,NKC!$B$7:$B$3006,"&lt;"&amp;TU_NGAY))</f>
        <v/>
      </c>
      <c r="N251" s="124">
        <f>IF($A251="",0,SUMIFS(NKC!$H$7:$H$3006,NKC!$G$7:$G$3006,$A251,NKC!$B$7:$B$3006,"&lt;"&amp;TU_NGAY))</f>
        <v/>
      </c>
      <c r="O251" s="124">
        <f>IF($A251="",0,SUMIFS(NKC!$H$7:$H$3006,NKC!$F$7:$F$3006,$A251,NKC!$B$7:$B$3006,"&gt;="&amp;TU_NGAY,NKC!$B$7:$B$3006,"&lt;="&amp;DEN_NGAY))</f>
        <v/>
      </c>
      <c r="P251" s="124">
        <f>IF($A251="",0,SUMIFS(NKC!$H$7:$H$3006,NKC!$G$7:$G$3006,$A251,NKC!$B$7:$B$3006,"&gt;="&amp;TU_NGAY,NKC!$B$7:$B$3006,"&lt;="&amp;DEN_NGAY))</f>
        <v/>
      </c>
      <c r="Q251" s="124">
        <f>K251-L251+M251-N251</f>
        <v/>
      </c>
      <c r="R251" s="124">
        <f>MAX(Q251,0)</f>
        <v/>
      </c>
      <c r="S251" s="124">
        <f>MAX(-Q251,0)</f>
        <v/>
      </c>
      <c r="T251" s="124">
        <f>Q251+O251-P251</f>
        <v/>
      </c>
      <c r="U251" s="124">
        <f>MAX(T251,0)</f>
        <v/>
      </c>
      <c r="V251" s="124">
        <f>MAX(-T251,0)</f>
        <v/>
      </c>
    </row>
    <row r="252" ht="15" customHeight="1" s="78">
      <c r="A252" s="126" t="inlineStr">
        <is>
          <t>TỔNG</t>
        </is>
      </c>
      <c r="B252" s="127" t="inlineStr">
        <is>
          <t>Cộng các tài khoản cấp 1</t>
        </is>
      </c>
      <c r="C252" s="126" t="n"/>
      <c r="D252" s="105">
        <f>SUMIFS(D$8:D$191,$C$8:$C$191,1)</f>
        <v/>
      </c>
      <c r="E252" s="105">
        <f>SUMIFS(E$8:E$191,$C$8:$C$191,1)</f>
        <v/>
      </c>
      <c r="F252" s="105">
        <f>SUMIFS(F$8:F$191,$C$8:$C$191,1)</f>
        <v/>
      </c>
      <c r="G252" s="105">
        <f>SUMIFS(G$8:G$191,$C$8:$C$191,1)</f>
        <v/>
      </c>
      <c r="H252" s="105">
        <f>SUMIFS(H$8:H$191,$C$8:$C$191,1)</f>
        <v/>
      </c>
      <c r="I252" s="105">
        <f>SUMIFS(I$8:I$191,$C$8:$C$191,1)</f>
        <v/>
      </c>
    </row>
  </sheetData>
  <sheetProtection selectLockedCells="0" selectUnlockedCells="0" sheet="1" objects="0" insertRows="1" insertHyperlinks="1" autoFilter="0" scenarios="0" formatColumns="0" deleteColumns="1" insertColumns="1" pivotTables="1" deleteRows="1" formatCells="0" formatRows="0" sort="0"/>
  <mergeCells count="8">
    <mergeCell ref="D6:E6"/>
    <mergeCell ref="H6:I6"/>
    <mergeCell ref="A4:I4"/>
    <mergeCell ref="F6:G6"/>
    <mergeCell ref="A3:I3"/>
    <mergeCell ref="C6:C7"/>
    <mergeCell ref="A6:A7"/>
    <mergeCell ref="B6:B7"/>
  </mergeCells>
  <printOptions horizontalCentered="0" verticalCentered="0" headings="0" gridLines="0" gridLinesSet="1"/>
  <pageMargins left="0.75" right="0.75" top="1" bottom="1" header="0.511811023622047" footer="0.5"/>
  <pageSetup orientation="landscape" paperSize="9" scale="100" fitToHeight="0" fitToWidth="1" pageOrder="downThenOver" blackAndWhite="0" draft="0" horizontalDpi="300" verticalDpi="300" copies="1"/>
  <headerFooter differentOddEven="0" differentFirst="0">
    <oddHeader/>
    <oddFooter>&amp;L&amp;8 &amp;K808080Mr Wick Kiểm toán — Phần mềm kế toán TT 99/2025&amp;R&amp;8 &amp;K808080Trang &amp;P/&amp;N</oddFooter>
    <evenHeader/>
    <evenFooter/>
    <firstHeader/>
    <firstFooter/>
  </headerFooter>
</worksheet>
</file>

<file path=xl/worksheets/sheet8.xml><?xml version="1.0" encoding="utf-8"?>
<worksheet xmlns="http://schemas.openxmlformats.org/spreadsheetml/2006/main">
  <sheetPr filterMode="0">
    <outlinePr summaryBelow="1" summaryRight="1"/>
    <pageSetUpPr fitToPage="1"/>
  </sheetPr>
  <dimension ref="A1:J809"/>
  <sheetViews>
    <sheetView showFormulas="0" showGridLines="1" showRowColHeaders="1" showZeros="1" rightToLeft="0" tabSelected="0" showOutlineSymbols="1" defaultGridColor="1"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77" min="1" max="3"/>
    <col width="50" customWidth="1" style="77" min="4" max="4"/>
    <col width="11" customWidth="1" style="77" min="5" max="5"/>
    <col width="16" customWidth="1" style="77" min="6" max="7"/>
    <col width="17" customWidth="1" style="77" min="8" max="8"/>
    <col hidden="1" width="8" customWidth="1" style="77" min="10" max="10"/>
  </cols>
  <sheetData>
    <row r="1" ht="15" customHeight="1" s="78">
      <c r="A1" s="88">
        <f>TT_DN!$C$5</f>
        <v/>
      </c>
      <c r="F1" s="118" t="inlineStr">
        <is>
          <t>Mẫu số S03b-DN</t>
        </is>
      </c>
    </row>
    <row r="2" ht="53.7" customHeight="1" s="78">
      <c r="A2" s="89">
        <f>TT_DN!$C$7</f>
        <v/>
      </c>
      <c r="F2" s="117" t="inlineStr">
        <is>
          <t>(Ban hành kèm theo Thông tư số 99/2025/TT-BTC ngày 27/10/2025 của Bộ Tài chính)</t>
        </is>
      </c>
    </row>
    <row r="3" ht="17.35" customHeight="1" s="78">
      <c r="A3" s="84" t="inlineStr">
        <is>
          <t>SỔ CÁI TÀI KHOẢN</t>
        </is>
      </c>
    </row>
    <row r="4"/>
    <row r="5" ht="15" customHeight="1" s="78">
      <c r="A5" s="104" t="inlineStr">
        <is>
          <t>Chọn tài khoản:</t>
        </is>
      </c>
      <c r="B5" s="99" t="inlineStr">
        <is>
          <t>112</t>
        </is>
      </c>
      <c r="C5" s="106">
        <f>IFERROR(INDEX(DMTK!$B$7:$B$250,MATCH($B$5,DMTK!$A$7:$A$250,0)),"—")</f>
        <v/>
      </c>
      <c r="G5" s="128" t="inlineStr">
        <is>
          <t>Dư đầu năm (Nợ +/Có -):</t>
        </is>
      </c>
      <c r="H5" s="129">
        <f>INDEX(CDPS!$D$8:$D$251,MATCH($B$5,CDPS!$A$8:$A$251,0))-INDEX(CDPS!$E$8:$E$251,MATCH($B$5,CDPS!$A$8:$A$251,0))</f>
        <v/>
      </c>
    </row>
    <row r="6"/>
    <row r="7" ht="27.75" customHeight="1" s="78">
      <c r="A7" s="92" t="inlineStr">
        <is>
          <t>Ngày ghi sổ</t>
        </is>
      </c>
      <c r="B7" s="92" t="inlineStr">
        <is>
          <t>Số CT</t>
        </is>
      </c>
      <c r="C7" s="92" t="inlineStr">
        <is>
          <t>Ngày CT</t>
        </is>
      </c>
      <c r="D7" s="92" t="inlineStr">
        <is>
          <t>Diễn giải</t>
        </is>
      </c>
      <c r="E7" s="92" t="inlineStr">
        <is>
          <t>TK đối ứng</t>
        </is>
      </c>
      <c r="F7" s="92" t="inlineStr">
        <is>
          <t>PS Nợ</t>
        </is>
      </c>
      <c r="G7" s="92" t="inlineStr">
        <is>
          <t>PS Có</t>
        </is>
      </c>
      <c r="H7" s="92" t="inlineStr">
        <is>
          <t>Số dư (Nợ +/Có -)</t>
        </is>
      </c>
      <c r="J7" s="130" t="inlineStr">
        <is>
          <t>idx</t>
        </is>
      </c>
    </row>
    <row r="8" ht="15" customHeight="1" s="78">
      <c r="A8" s="131">
        <f>IF($J8="","",INDEX(NKC!$B$7:$B$3006,$J8))</f>
        <v/>
      </c>
      <c r="B8" s="95">
        <f>IF($J8="","",INDEX(NKC!$C$7:$C$3006,$J8))</f>
        <v/>
      </c>
      <c r="C8" s="131">
        <f>IF($J8="","",INDEX(NKC!$D$7:$D$3006,$J8))</f>
        <v/>
      </c>
      <c r="D8" s="97">
        <f>IF($J8="","",INDEX(NKC!$E$7:$E$3006,$J8))</f>
        <v/>
      </c>
      <c r="E8" s="95">
        <f>IF($J8="","",IF(LEFT(INDEX(NKC!$F$7:$F$3006,$J8),LEN($B$5))=$B$5,INDEX(NKC!$G$7:$G$3006,$J8),INDEX(NKC!$F$7:$F$3006,$J8)))</f>
        <v/>
      </c>
      <c r="F8" s="125">
        <f>IF($J8="","",IF(LEFT(INDEX(NKC!$F$7:$F$3006,$J8),LEN($B$5))=$B$5,INDEX(NKC!$H$7:$H$3006,$J8),""))</f>
        <v/>
      </c>
      <c r="G8" s="125">
        <f>IF($J8="","",IF(LEFT(INDEX(NKC!$G$7:$G$3006,$J8),LEN($B$5))=$B$5,INDEX(NKC!$H$7:$H$3006,$J8),""))</f>
        <v/>
      </c>
      <c r="H8" s="132">
        <f>IF($J8="","",$H$5+N(F8)-N(G8))</f>
        <v/>
      </c>
      <c r="J8" s="117">
        <f>IFERROR(MATCH(1,NKC!$P$7:$P$3006,0),"")</f>
        <v/>
      </c>
    </row>
    <row r="9" ht="15" customHeight="1" s="78">
      <c r="A9" s="131">
        <f>IF($J9="","",INDEX(NKC!$B$7:$B$3006,$J9))</f>
        <v/>
      </c>
      <c r="B9" s="95">
        <f>IF($J9="","",INDEX(NKC!$C$7:$C$3006,$J9))</f>
        <v/>
      </c>
      <c r="C9" s="131">
        <f>IF($J9="","",INDEX(NKC!$D$7:$D$3006,$J9))</f>
        <v/>
      </c>
      <c r="D9" s="97">
        <f>IF($J9="","",INDEX(NKC!$E$7:$E$3006,$J9))</f>
        <v/>
      </c>
      <c r="E9" s="95">
        <f>IF($J9="","",IF(LEFT(INDEX(NKC!$F$7:$F$3006,$J9),LEN($B$5))=$B$5,INDEX(NKC!$G$7:$G$3006,$J9),INDEX(NKC!$F$7:$F$3006,$J9)))</f>
        <v/>
      </c>
      <c r="F9" s="125">
        <f>IF($J9="","",IF(LEFT(INDEX(NKC!$F$7:$F$3006,$J9),LEN($B$5))=$B$5,INDEX(NKC!$H$7:$H$3006,$J9),""))</f>
        <v/>
      </c>
      <c r="G9" s="125">
        <f>IF($J9="","",IF(LEFT(INDEX(NKC!$G$7:$G$3006,$J9),LEN($B$5))=$B$5,INDEX(NKC!$H$7:$H$3006,$J9),""))</f>
        <v/>
      </c>
      <c r="H9" s="132">
        <f>IF($J9="","",H8+N(F9)-N(G9))</f>
        <v/>
      </c>
      <c r="J9" s="117">
        <f>IFERROR(MATCH(2,NKC!$P$7:$P$3006,0),"")</f>
        <v/>
      </c>
    </row>
    <row r="10" ht="15" customHeight="1" s="78">
      <c r="A10" s="131">
        <f>IF($J10="","",INDEX(NKC!$B$7:$B$3006,$J10))</f>
        <v/>
      </c>
      <c r="B10" s="95">
        <f>IF($J10="","",INDEX(NKC!$C$7:$C$3006,$J10))</f>
        <v/>
      </c>
      <c r="C10" s="131">
        <f>IF($J10="","",INDEX(NKC!$D$7:$D$3006,$J10))</f>
        <v/>
      </c>
      <c r="D10" s="97">
        <f>IF($J10="","",INDEX(NKC!$E$7:$E$3006,$J10))</f>
        <v/>
      </c>
      <c r="E10" s="95">
        <f>IF($J10="","",IF(LEFT(INDEX(NKC!$F$7:$F$3006,$J10),LEN($B$5))=$B$5,INDEX(NKC!$G$7:$G$3006,$J10),INDEX(NKC!$F$7:$F$3006,$J10)))</f>
        <v/>
      </c>
      <c r="F10" s="125">
        <f>IF($J10="","",IF(LEFT(INDEX(NKC!$F$7:$F$3006,$J10),LEN($B$5))=$B$5,INDEX(NKC!$H$7:$H$3006,$J10),""))</f>
        <v/>
      </c>
      <c r="G10" s="125">
        <f>IF($J10="","",IF(LEFT(INDEX(NKC!$G$7:$G$3006,$J10),LEN($B$5))=$B$5,INDEX(NKC!$H$7:$H$3006,$J10),""))</f>
        <v/>
      </c>
      <c r="H10" s="132">
        <f>IF($J10="","",H9+N(F10)-N(G10))</f>
        <v/>
      </c>
      <c r="J10" s="117">
        <f>IFERROR(MATCH(3,NKC!$P$7:$P$3006,0),"")</f>
        <v/>
      </c>
    </row>
    <row r="11" ht="15" customHeight="1" s="78">
      <c r="A11" s="131">
        <f>IF($J11="","",INDEX(NKC!$B$7:$B$3006,$J11))</f>
        <v/>
      </c>
      <c r="B11" s="95">
        <f>IF($J11="","",INDEX(NKC!$C$7:$C$3006,$J11))</f>
        <v/>
      </c>
      <c r="C11" s="131">
        <f>IF($J11="","",INDEX(NKC!$D$7:$D$3006,$J11))</f>
        <v/>
      </c>
      <c r="D11" s="97">
        <f>IF($J11="","",INDEX(NKC!$E$7:$E$3006,$J11))</f>
        <v/>
      </c>
      <c r="E11" s="95">
        <f>IF($J11="","",IF(LEFT(INDEX(NKC!$F$7:$F$3006,$J11),LEN($B$5))=$B$5,INDEX(NKC!$G$7:$G$3006,$J11),INDEX(NKC!$F$7:$F$3006,$J11)))</f>
        <v/>
      </c>
      <c r="F11" s="125">
        <f>IF($J11="","",IF(LEFT(INDEX(NKC!$F$7:$F$3006,$J11),LEN($B$5))=$B$5,INDEX(NKC!$H$7:$H$3006,$J11),""))</f>
        <v/>
      </c>
      <c r="G11" s="125">
        <f>IF($J11="","",IF(LEFT(INDEX(NKC!$G$7:$G$3006,$J11),LEN($B$5))=$B$5,INDEX(NKC!$H$7:$H$3006,$J11),""))</f>
        <v/>
      </c>
      <c r="H11" s="132">
        <f>IF($J11="","",H10+N(F11)-N(G11))</f>
        <v/>
      </c>
      <c r="J11" s="117">
        <f>IFERROR(MATCH(4,NKC!$P$7:$P$3006,0),"")</f>
        <v/>
      </c>
    </row>
    <row r="12" ht="15" customHeight="1" s="78">
      <c r="A12" s="131">
        <f>IF($J12="","",INDEX(NKC!$B$7:$B$3006,$J12))</f>
        <v/>
      </c>
      <c r="B12" s="95">
        <f>IF($J12="","",INDEX(NKC!$C$7:$C$3006,$J12))</f>
        <v/>
      </c>
      <c r="C12" s="131">
        <f>IF($J12="","",INDEX(NKC!$D$7:$D$3006,$J12))</f>
        <v/>
      </c>
      <c r="D12" s="97">
        <f>IF($J12="","",INDEX(NKC!$E$7:$E$3006,$J12))</f>
        <v/>
      </c>
      <c r="E12" s="95">
        <f>IF($J12="","",IF(LEFT(INDEX(NKC!$F$7:$F$3006,$J12),LEN($B$5))=$B$5,INDEX(NKC!$G$7:$G$3006,$J12),INDEX(NKC!$F$7:$F$3006,$J12)))</f>
        <v/>
      </c>
      <c r="F12" s="125">
        <f>IF($J12="","",IF(LEFT(INDEX(NKC!$F$7:$F$3006,$J12),LEN($B$5))=$B$5,INDEX(NKC!$H$7:$H$3006,$J12),""))</f>
        <v/>
      </c>
      <c r="G12" s="125">
        <f>IF($J12="","",IF(LEFT(INDEX(NKC!$G$7:$G$3006,$J12),LEN($B$5))=$B$5,INDEX(NKC!$H$7:$H$3006,$J12),""))</f>
        <v/>
      </c>
      <c r="H12" s="132">
        <f>IF($J12="","",H11+N(F12)-N(G12))</f>
        <v/>
      </c>
      <c r="J12" s="117">
        <f>IFERROR(MATCH(5,NKC!$P$7:$P$3006,0),"")</f>
        <v/>
      </c>
    </row>
    <row r="13" ht="15" customHeight="1" s="78">
      <c r="A13" s="131">
        <f>IF($J13="","",INDEX(NKC!$B$7:$B$3006,$J13))</f>
        <v/>
      </c>
      <c r="B13" s="95">
        <f>IF($J13="","",INDEX(NKC!$C$7:$C$3006,$J13))</f>
        <v/>
      </c>
      <c r="C13" s="131">
        <f>IF($J13="","",INDEX(NKC!$D$7:$D$3006,$J13))</f>
        <v/>
      </c>
      <c r="D13" s="97">
        <f>IF($J13="","",INDEX(NKC!$E$7:$E$3006,$J13))</f>
        <v/>
      </c>
      <c r="E13" s="95">
        <f>IF($J13="","",IF(LEFT(INDEX(NKC!$F$7:$F$3006,$J13),LEN($B$5))=$B$5,INDEX(NKC!$G$7:$G$3006,$J13),INDEX(NKC!$F$7:$F$3006,$J13)))</f>
        <v/>
      </c>
      <c r="F13" s="125">
        <f>IF($J13="","",IF(LEFT(INDEX(NKC!$F$7:$F$3006,$J13),LEN($B$5))=$B$5,INDEX(NKC!$H$7:$H$3006,$J13),""))</f>
        <v/>
      </c>
      <c r="G13" s="125">
        <f>IF($J13="","",IF(LEFT(INDEX(NKC!$G$7:$G$3006,$J13),LEN($B$5))=$B$5,INDEX(NKC!$H$7:$H$3006,$J13),""))</f>
        <v/>
      </c>
      <c r="H13" s="132">
        <f>IF($J13="","",H12+N(F13)-N(G13))</f>
        <v/>
      </c>
      <c r="J13" s="117">
        <f>IFERROR(MATCH(6,NKC!$P$7:$P$3006,0),"")</f>
        <v/>
      </c>
    </row>
    <row r="14" ht="15" customHeight="1" s="78">
      <c r="A14" s="131">
        <f>IF($J14="","",INDEX(NKC!$B$7:$B$3006,$J14))</f>
        <v/>
      </c>
      <c r="B14" s="95">
        <f>IF($J14="","",INDEX(NKC!$C$7:$C$3006,$J14))</f>
        <v/>
      </c>
      <c r="C14" s="131">
        <f>IF($J14="","",INDEX(NKC!$D$7:$D$3006,$J14))</f>
        <v/>
      </c>
      <c r="D14" s="97">
        <f>IF($J14="","",INDEX(NKC!$E$7:$E$3006,$J14))</f>
        <v/>
      </c>
      <c r="E14" s="95">
        <f>IF($J14="","",IF(LEFT(INDEX(NKC!$F$7:$F$3006,$J14),LEN($B$5))=$B$5,INDEX(NKC!$G$7:$G$3006,$J14),INDEX(NKC!$F$7:$F$3006,$J14)))</f>
        <v/>
      </c>
      <c r="F14" s="125">
        <f>IF($J14="","",IF(LEFT(INDEX(NKC!$F$7:$F$3006,$J14),LEN($B$5))=$B$5,INDEX(NKC!$H$7:$H$3006,$J14),""))</f>
        <v/>
      </c>
      <c r="G14" s="125">
        <f>IF($J14="","",IF(LEFT(INDEX(NKC!$G$7:$G$3006,$J14),LEN($B$5))=$B$5,INDEX(NKC!$H$7:$H$3006,$J14),""))</f>
        <v/>
      </c>
      <c r="H14" s="132">
        <f>IF($J14="","",H13+N(F14)-N(G14))</f>
        <v/>
      </c>
      <c r="J14" s="117">
        <f>IFERROR(MATCH(7,NKC!$P$7:$P$3006,0),"")</f>
        <v/>
      </c>
    </row>
    <row r="15" ht="15" customHeight="1" s="78">
      <c r="A15" s="131">
        <f>IF($J15="","",INDEX(NKC!$B$7:$B$3006,$J15))</f>
        <v/>
      </c>
      <c r="B15" s="95">
        <f>IF($J15="","",INDEX(NKC!$C$7:$C$3006,$J15))</f>
        <v/>
      </c>
      <c r="C15" s="131">
        <f>IF($J15="","",INDEX(NKC!$D$7:$D$3006,$J15))</f>
        <v/>
      </c>
      <c r="D15" s="97">
        <f>IF($J15="","",INDEX(NKC!$E$7:$E$3006,$J15))</f>
        <v/>
      </c>
      <c r="E15" s="95">
        <f>IF($J15="","",IF(LEFT(INDEX(NKC!$F$7:$F$3006,$J15),LEN($B$5))=$B$5,INDEX(NKC!$G$7:$G$3006,$J15),INDEX(NKC!$F$7:$F$3006,$J15)))</f>
        <v/>
      </c>
      <c r="F15" s="125">
        <f>IF($J15="","",IF(LEFT(INDEX(NKC!$F$7:$F$3006,$J15),LEN($B$5))=$B$5,INDEX(NKC!$H$7:$H$3006,$J15),""))</f>
        <v/>
      </c>
      <c r="G15" s="125">
        <f>IF($J15="","",IF(LEFT(INDEX(NKC!$G$7:$G$3006,$J15),LEN($B$5))=$B$5,INDEX(NKC!$H$7:$H$3006,$J15),""))</f>
        <v/>
      </c>
      <c r="H15" s="132">
        <f>IF($J15="","",H14+N(F15)-N(G15))</f>
        <v/>
      </c>
      <c r="J15" s="117">
        <f>IFERROR(MATCH(8,NKC!$P$7:$P$3006,0),"")</f>
        <v/>
      </c>
    </row>
    <row r="16" ht="15" customHeight="1" s="78">
      <c r="A16" s="131">
        <f>IF($J16="","",INDEX(NKC!$B$7:$B$3006,$J16))</f>
        <v/>
      </c>
      <c r="B16" s="95">
        <f>IF($J16="","",INDEX(NKC!$C$7:$C$3006,$J16))</f>
        <v/>
      </c>
      <c r="C16" s="131">
        <f>IF($J16="","",INDEX(NKC!$D$7:$D$3006,$J16))</f>
        <v/>
      </c>
      <c r="D16" s="97">
        <f>IF($J16="","",INDEX(NKC!$E$7:$E$3006,$J16))</f>
        <v/>
      </c>
      <c r="E16" s="95">
        <f>IF($J16="","",IF(LEFT(INDEX(NKC!$F$7:$F$3006,$J16),LEN($B$5))=$B$5,INDEX(NKC!$G$7:$G$3006,$J16),INDEX(NKC!$F$7:$F$3006,$J16)))</f>
        <v/>
      </c>
      <c r="F16" s="125">
        <f>IF($J16="","",IF(LEFT(INDEX(NKC!$F$7:$F$3006,$J16),LEN($B$5))=$B$5,INDEX(NKC!$H$7:$H$3006,$J16),""))</f>
        <v/>
      </c>
      <c r="G16" s="125">
        <f>IF($J16="","",IF(LEFT(INDEX(NKC!$G$7:$G$3006,$J16),LEN($B$5))=$B$5,INDEX(NKC!$H$7:$H$3006,$J16),""))</f>
        <v/>
      </c>
      <c r="H16" s="132">
        <f>IF($J16="","",H15+N(F16)-N(G16))</f>
        <v/>
      </c>
      <c r="J16" s="117">
        <f>IFERROR(MATCH(9,NKC!$P$7:$P$3006,0),"")</f>
        <v/>
      </c>
    </row>
    <row r="17" ht="15" customHeight="1" s="78">
      <c r="A17" s="131">
        <f>IF($J17="","",INDEX(NKC!$B$7:$B$3006,$J17))</f>
        <v/>
      </c>
      <c r="B17" s="95">
        <f>IF($J17="","",INDEX(NKC!$C$7:$C$3006,$J17))</f>
        <v/>
      </c>
      <c r="C17" s="131">
        <f>IF($J17="","",INDEX(NKC!$D$7:$D$3006,$J17))</f>
        <v/>
      </c>
      <c r="D17" s="97">
        <f>IF($J17="","",INDEX(NKC!$E$7:$E$3006,$J17))</f>
        <v/>
      </c>
      <c r="E17" s="95">
        <f>IF($J17="","",IF(LEFT(INDEX(NKC!$F$7:$F$3006,$J17),LEN($B$5))=$B$5,INDEX(NKC!$G$7:$G$3006,$J17),INDEX(NKC!$F$7:$F$3006,$J17)))</f>
        <v/>
      </c>
      <c r="F17" s="125">
        <f>IF($J17="","",IF(LEFT(INDEX(NKC!$F$7:$F$3006,$J17),LEN($B$5))=$B$5,INDEX(NKC!$H$7:$H$3006,$J17),""))</f>
        <v/>
      </c>
      <c r="G17" s="125">
        <f>IF($J17="","",IF(LEFT(INDEX(NKC!$G$7:$G$3006,$J17),LEN($B$5))=$B$5,INDEX(NKC!$H$7:$H$3006,$J17),""))</f>
        <v/>
      </c>
      <c r="H17" s="132">
        <f>IF($J17="","",H16+N(F17)-N(G17))</f>
        <v/>
      </c>
      <c r="J17" s="117">
        <f>IFERROR(MATCH(10,NKC!$P$7:$P$3006,0),"")</f>
        <v/>
      </c>
    </row>
    <row r="18" ht="15" customHeight="1" s="78">
      <c r="A18" s="131">
        <f>IF($J18="","",INDEX(NKC!$B$7:$B$3006,$J18))</f>
        <v/>
      </c>
      <c r="B18" s="95">
        <f>IF($J18="","",INDEX(NKC!$C$7:$C$3006,$J18))</f>
        <v/>
      </c>
      <c r="C18" s="131">
        <f>IF($J18="","",INDEX(NKC!$D$7:$D$3006,$J18))</f>
        <v/>
      </c>
      <c r="D18" s="97">
        <f>IF($J18="","",INDEX(NKC!$E$7:$E$3006,$J18))</f>
        <v/>
      </c>
      <c r="E18" s="95">
        <f>IF($J18="","",IF(LEFT(INDEX(NKC!$F$7:$F$3006,$J18),LEN($B$5))=$B$5,INDEX(NKC!$G$7:$G$3006,$J18),INDEX(NKC!$F$7:$F$3006,$J18)))</f>
        <v/>
      </c>
      <c r="F18" s="125">
        <f>IF($J18="","",IF(LEFT(INDEX(NKC!$F$7:$F$3006,$J18),LEN($B$5))=$B$5,INDEX(NKC!$H$7:$H$3006,$J18),""))</f>
        <v/>
      </c>
      <c r="G18" s="125">
        <f>IF($J18="","",IF(LEFT(INDEX(NKC!$G$7:$G$3006,$J18),LEN($B$5))=$B$5,INDEX(NKC!$H$7:$H$3006,$J18),""))</f>
        <v/>
      </c>
      <c r="H18" s="132">
        <f>IF($J18="","",H17+N(F18)-N(G18))</f>
        <v/>
      </c>
      <c r="J18" s="117">
        <f>IFERROR(MATCH(11,NKC!$P$7:$P$3006,0),"")</f>
        <v/>
      </c>
    </row>
    <row r="19" ht="15" customHeight="1" s="78">
      <c r="A19" s="131">
        <f>IF($J19="","",INDEX(NKC!$B$7:$B$3006,$J19))</f>
        <v/>
      </c>
      <c r="B19" s="95">
        <f>IF($J19="","",INDEX(NKC!$C$7:$C$3006,$J19))</f>
        <v/>
      </c>
      <c r="C19" s="131">
        <f>IF($J19="","",INDEX(NKC!$D$7:$D$3006,$J19))</f>
        <v/>
      </c>
      <c r="D19" s="97">
        <f>IF($J19="","",INDEX(NKC!$E$7:$E$3006,$J19))</f>
        <v/>
      </c>
      <c r="E19" s="95">
        <f>IF($J19="","",IF(LEFT(INDEX(NKC!$F$7:$F$3006,$J19),LEN($B$5))=$B$5,INDEX(NKC!$G$7:$G$3006,$J19),INDEX(NKC!$F$7:$F$3006,$J19)))</f>
        <v/>
      </c>
      <c r="F19" s="125">
        <f>IF($J19="","",IF(LEFT(INDEX(NKC!$F$7:$F$3006,$J19),LEN($B$5))=$B$5,INDEX(NKC!$H$7:$H$3006,$J19),""))</f>
        <v/>
      </c>
      <c r="G19" s="125">
        <f>IF($J19="","",IF(LEFT(INDEX(NKC!$G$7:$G$3006,$J19),LEN($B$5))=$B$5,INDEX(NKC!$H$7:$H$3006,$J19),""))</f>
        <v/>
      </c>
      <c r="H19" s="132">
        <f>IF($J19="","",H18+N(F19)-N(G19))</f>
        <v/>
      </c>
      <c r="J19" s="117">
        <f>IFERROR(MATCH(12,NKC!$P$7:$P$3006,0),"")</f>
        <v/>
      </c>
    </row>
    <row r="20" ht="15" customHeight="1" s="78">
      <c r="A20" s="131">
        <f>IF($J20="","",INDEX(NKC!$B$7:$B$3006,$J20))</f>
        <v/>
      </c>
      <c r="B20" s="95">
        <f>IF($J20="","",INDEX(NKC!$C$7:$C$3006,$J20))</f>
        <v/>
      </c>
      <c r="C20" s="131">
        <f>IF($J20="","",INDEX(NKC!$D$7:$D$3006,$J20))</f>
        <v/>
      </c>
      <c r="D20" s="97">
        <f>IF($J20="","",INDEX(NKC!$E$7:$E$3006,$J20))</f>
        <v/>
      </c>
      <c r="E20" s="95">
        <f>IF($J20="","",IF(LEFT(INDEX(NKC!$F$7:$F$3006,$J20),LEN($B$5))=$B$5,INDEX(NKC!$G$7:$G$3006,$J20),INDEX(NKC!$F$7:$F$3006,$J20)))</f>
        <v/>
      </c>
      <c r="F20" s="125">
        <f>IF($J20="","",IF(LEFT(INDEX(NKC!$F$7:$F$3006,$J20),LEN($B$5))=$B$5,INDEX(NKC!$H$7:$H$3006,$J20),""))</f>
        <v/>
      </c>
      <c r="G20" s="125">
        <f>IF($J20="","",IF(LEFT(INDEX(NKC!$G$7:$G$3006,$J20),LEN($B$5))=$B$5,INDEX(NKC!$H$7:$H$3006,$J20),""))</f>
        <v/>
      </c>
      <c r="H20" s="132">
        <f>IF($J20="","",H19+N(F20)-N(G20))</f>
        <v/>
      </c>
      <c r="J20" s="117">
        <f>IFERROR(MATCH(13,NKC!$P$7:$P$3006,0),"")</f>
        <v/>
      </c>
    </row>
    <row r="21" ht="15" customHeight="1" s="78">
      <c r="A21" s="131">
        <f>IF($J21="","",INDEX(NKC!$B$7:$B$3006,$J21))</f>
        <v/>
      </c>
      <c r="B21" s="95">
        <f>IF($J21="","",INDEX(NKC!$C$7:$C$3006,$J21))</f>
        <v/>
      </c>
      <c r="C21" s="131">
        <f>IF($J21="","",INDEX(NKC!$D$7:$D$3006,$J21))</f>
        <v/>
      </c>
      <c r="D21" s="97">
        <f>IF($J21="","",INDEX(NKC!$E$7:$E$3006,$J21))</f>
        <v/>
      </c>
      <c r="E21" s="95">
        <f>IF($J21="","",IF(LEFT(INDEX(NKC!$F$7:$F$3006,$J21),LEN($B$5))=$B$5,INDEX(NKC!$G$7:$G$3006,$J21),INDEX(NKC!$F$7:$F$3006,$J21)))</f>
        <v/>
      </c>
      <c r="F21" s="125">
        <f>IF($J21="","",IF(LEFT(INDEX(NKC!$F$7:$F$3006,$J21),LEN($B$5))=$B$5,INDEX(NKC!$H$7:$H$3006,$J21),""))</f>
        <v/>
      </c>
      <c r="G21" s="125">
        <f>IF($J21="","",IF(LEFT(INDEX(NKC!$G$7:$G$3006,$J21),LEN($B$5))=$B$5,INDEX(NKC!$H$7:$H$3006,$J21),""))</f>
        <v/>
      </c>
      <c r="H21" s="132">
        <f>IF($J21="","",H20+N(F21)-N(G21))</f>
        <v/>
      </c>
      <c r="J21" s="117">
        <f>IFERROR(MATCH(14,NKC!$P$7:$P$3006,0),"")</f>
        <v/>
      </c>
    </row>
    <row r="22" ht="15" customHeight="1" s="78">
      <c r="A22" s="131">
        <f>IF($J22="","",INDEX(NKC!$B$7:$B$3006,$J22))</f>
        <v/>
      </c>
      <c r="B22" s="95">
        <f>IF($J22="","",INDEX(NKC!$C$7:$C$3006,$J22))</f>
        <v/>
      </c>
      <c r="C22" s="131">
        <f>IF($J22="","",INDEX(NKC!$D$7:$D$3006,$J22))</f>
        <v/>
      </c>
      <c r="D22" s="97">
        <f>IF($J22="","",INDEX(NKC!$E$7:$E$3006,$J22))</f>
        <v/>
      </c>
      <c r="E22" s="95">
        <f>IF($J22="","",IF(LEFT(INDEX(NKC!$F$7:$F$3006,$J22),LEN($B$5))=$B$5,INDEX(NKC!$G$7:$G$3006,$J22),INDEX(NKC!$F$7:$F$3006,$J22)))</f>
        <v/>
      </c>
      <c r="F22" s="125">
        <f>IF($J22="","",IF(LEFT(INDEX(NKC!$F$7:$F$3006,$J22),LEN($B$5))=$B$5,INDEX(NKC!$H$7:$H$3006,$J22),""))</f>
        <v/>
      </c>
      <c r="G22" s="125">
        <f>IF($J22="","",IF(LEFT(INDEX(NKC!$G$7:$G$3006,$J22),LEN($B$5))=$B$5,INDEX(NKC!$H$7:$H$3006,$J22),""))</f>
        <v/>
      </c>
      <c r="H22" s="132">
        <f>IF($J22="","",H21+N(F22)-N(G22))</f>
        <v/>
      </c>
      <c r="J22" s="117">
        <f>IFERROR(MATCH(15,NKC!$P$7:$P$3006,0),"")</f>
        <v/>
      </c>
    </row>
    <row r="23" ht="15" customHeight="1" s="78">
      <c r="A23" s="131">
        <f>IF($J23="","",INDEX(NKC!$B$7:$B$3006,$J23))</f>
        <v/>
      </c>
      <c r="B23" s="95">
        <f>IF($J23="","",INDEX(NKC!$C$7:$C$3006,$J23))</f>
        <v/>
      </c>
      <c r="C23" s="131">
        <f>IF($J23="","",INDEX(NKC!$D$7:$D$3006,$J23))</f>
        <v/>
      </c>
      <c r="D23" s="97">
        <f>IF($J23="","",INDEX(NKC!$E$7:$E$3006,$J23))</f>
        <v/>
      </c>
      <c r="E23" s="95">
        <f>IF($J23="","",IF(LEFT(INDEX(NKC!$F$7:$F$3006,$J23),LEN($B$5))=$B$5,INDEX(NKC!$G$7:$G$3006,$J23),INDEX(NKC!$F$7:$F$3006,$J23)))</f>
        <v/>
      </c>
      <c r="F23" s="125">
        <f>IF($J23="","",IF(LEFT(INDEX(NKC!$F$7:$F$3006,$J23),LEN($B$5))=$B$5,INDEX(NKC!$H$7:$H$3006,$J23),""))</f>
        <v/>
      </c>
      <c r="G23" s="125">
        <f>IF($J23="","",IF(LEFT(INDEX(NKC!$G$7:$G$3006,$J23),LEN($B$5))=$B$5,INDEX(NKC!$H$7:$H$3006,$J23),""))</f>
        <v/>
      </c>
      <c r="H23" s="132">
        <f>IF($J23="","",H22+N(F23)-N(G23))</f>
        <v/>
      </c>
      <c r="J23" s="117">
        <f>IFERROR(MATCH(16,NKC!$P$7:$P$3006,0),"")</f>
        <v/>
      </c>
    </row>
    <row r="24" ht="15" customHeight="1" s="78">
      <c r="A24" s="131">
        <f>IF($J24="","",INDEX(NKC!$B$7:$B$3006,$J24))</f>
        <v/>
      </c>
      <c r="B24" s="95">
        <f>IF($J24="","",INDEX(NKC!$C$7:$C$3006,$J24))</f>
        <v/>
      </c>
      <c r="C24" s="131">
        <f>IF($J24="","",INDEX(NKC!$D$7:$D$3006,$J24))</f>
        <v/>
      </c>
      <c r="D24" s="97">
        <f>IF($J24="","",INDEX(NKC!$E$7:$E$3006,$J24))</f>
        <v/>
      </c>
      <c r="E24" s="95">
        <f>IF($J24="","",IF(LEFT(INDEX(NKC!$F$7:$F$3006,$J24),LEN($B$5))=$B$5,INDEX(NKC!$G$7:$G$3006,$J24),INDEX(NKC!$F$7:$F$3006,$J24)))</f>
        <v/>
      </c>
      <c r="F24" s="125">
        <f>IF($J24="","",IF(LEFT(INDEX(NKC!$F$7:$F$3006,$J24),LEN($B$5))=$B$5,INDEX(NKC!$H$7:$H$3006,$J24),""))</f>
        <v/>
      </c>
      <c r="G24" s="125">
        <f>IF($J24="","",IF(LEFT(INDEX(NKC!$G$7:$G$3006,$J24),LEN($B$5))=$B$5,INDEX(NKC!$H$7:$H$3006,$J24),""))</f>
        <v/>
      </c>
      <c r="H24" s="132">
        <f>IF($J24="","",H23+N(F24)-N(G24))</f>
        <v/>
      </c>
      <c r="J24" s="117">
        <f>IFERROR(MATCH(17,NKC!$P$7:$P$3006,0),"")</f>
        <v/>
      </c>
    </row>
    <row r="25" ht="15" customHeight="1" s="78">
      <c r="A25" s="131">
        <f>IF($J25="","",INDEX(NKC!$B$7:$B$3006,$J25))</f>
        <v/>
      </c>
      <c r="B25" s="95">
        <f>IF($J25="","",INDEX(NKC!$C$7:$C$3006,$J25))</f>
        <v/>
      </c>
      <c r="C25" s="131">
        <f>IF($J25="","",INDEX(NKC!$D$7:$D$3006,$J25))</f>
        <v/>
      </c>
      <c r="D25" s="97">
        <f>IF($J25="","",INDEX(NKC!$E$7:$E$3006,$J25))</f>
        <v/>
      </c>
      <c r="E25" s="95">
        <f>IF($J25="","",IF(LEFT(INDEX(NKC!$F$7:$F$3006,$J25),LEN($B$5))=$B$5,INDEX(NKC!$G$7:$G$3006,$J25),INDEX(NKC!$F$7:$F$3006,$J25)))</f>
        <v/>
      </c>
      <c r="F25" s="125">
        <f>IF($J25="","",IF(LEFT(INDEX(NKC!$F$7:$F$3006,$J25),LEN($B$5))=$B$5,INDEX(NKC!$H$7:$H$3006,$J25),""))</f>
        <v/>
      </c>
      <c r="G25" s="125">
        <f>IF($J25="","",IF(LEFT(INDEX(NKC!$G$7:$G$3006,$J25),LEN($B$5))=$B$5,INDEX(NKC!$H$7:$H$3006,$J25),""))</f>
        <v/>
      </c>
      <c r="H25" s="132">
        <f>IF($J25="","",H24+N(F25)-N(G25))</f>
        <v/>
      </c>
      <c r="J25" s="117">
        <f>IFERROR(MATCH(18,NKC!$P$7:$P$3006,0),"")</f>
        <v/>
      </c>
    </row>
    <row r="26" ht="15" customHeight="1" s="78">
      <c r="A26" s="131">
        <f>IF($J26="","",INDEX(NKC!$B$7:$B$3006,$J26))</f>
        <v/>
      </c>
      <c r="B26" s="95">
        <f>IF($J26="","",INDEX(NKC!$C$7:$C$3006,$J26))</f>
        <v/>
      </c>
      <c r="C26" s="131">
        <f>IF($J26="","",INDEX(NKC!$D$7:$D$3006,$J26))</f>
        <v/>
      </c>
      <c r="D26" s="97">
        <f>IF($J26="","",INDEX(NKC!$E$7:$E$3006,$J26))</f>
        <v/>
      </c>
      <c r="E26" s="95">
        <f>IF($J26="","",IF(LEFT(INDEX(NKC!$F$7:$F$3006,$J26),LEN($B$5))=$B$5,INDEX(NKC!$G$7:$G$3006,$J26),INDEX(NKC!$F$7:$F$3006,$J26)))</f>
        <v/>
      </c>
      <c r="F26" s="125">
        <f>IF($J26="","",IF(LEFT(INDEX(NKC!$F$7:$F$3006,$J26),LEN($B$5))=$B$5,INDEX(NKC!$H$7:$H$3006,$J26),""))</f>
        <v/>
      </c>
      <c r="G26" s="125">
        <f>IF($J26="","",IF(LEFT(INDEX(NKC!$G$7:$G$3006,$J26),LEN($B$5))=$B$5,INDEX(NKC!$H$7:$H$3006,$J26),""))</f>
        <v/>
      </c>
      <c r="H26" s="132">
        <f>IF($J26="","",H25+N(F26)-N(G26))</f>
        <v/>
      </c>
      <c r="J26" s="117">
        <f>IFERROR(MATCH(19,NKC!$P$7:$P$3006,0),"")</f>
        <v/>
      </c>
    </row>
    <row r="27" ht="15" customHeight="1" s="78">
      <c r="A27" s="131">
        <f>IF($J27="","",INDEX(NKC!$B$7:$B$3006,$J27))</f>
        <v/>
      </c>
      <c r="B27" s="95">
        <f>IF($J27="","",INDEX(NKC!$C$7:$C$3006,$J27))</f>
        <v/>
      </c>
      <c r="C27" s="131">
        <f>IF($J27="","",INDEX(NKC!$D$7:$D$3006,$J27))</f>
        <v/>
      </c>
      <c r="D27" s="97">
        <f>IF($J27="","",INDEX(NKC!$E$7:$E$3006,$J27))</f>
        <v/>
      </c>
      <c r="E27" s="95">
        <f>IF($J27="","",IF(LEFT(INDEX(NKC!$F$7:$F$3006,$J27),LEN($B$5))=$B$5,INDEX(NKC!$G$7:$G$3006,$J27),INDEX(NKC!$F$7:$F$3006,$J27)))</f>
        <v/>
      </c>
      <c r="F27" s="125">
        <f>IF($J27="","",IF(LEFT(INDEX(NKC!$F$7:$F$3006,$J27),LEN($B$5))=$B$5,INDEX(NKC!$H$7:$H$3006,$J27),""))</f>
        <v/>
      </c>
      <c r="G27" s="125">
        <f>IF($J27="","",IF(LEFT(INDEX(NKC!$G$7:$G$3006,$J27),LEN($B$5))=$B$5,INDEX(NKC!$H$7:$H$3006,$J27),""))</f>
        <v/>
      </c>
      <c r="H27" s="132">
        <f>IF($J27="","",H26+N(F27)-N(G27))</f>
        <v/>
      </c>
      <c r="J27" s="117">
        <f>IFERROR(MATCH(20,NKC!$P$7:$P$3006,0),"")</f>
        <v/>
      </c>
    </row>
    <row r="28" ht="15" customHeight="1" s="78">
      <c r="A28" s="131">
        <f>IF($J28="","",INDEX(NKC!$B$7:$B$3006,$J28))</f>
        <v/>
      </c>
      <c r="B28" s="95">
        <f>IF($J28="","",INDEX(NKC!$C$7:$C$3006,$J28))</f>
        <v/>
      </c>
      <c r="C28" s="131">
        <f>IF($J28="","",INDEX(NKC!$D$7:$D$3006,$J28))</f>
        <v/>
      </c>
      <c r="D28" s="97">
        <f>IF($J28="","",INDEX(NKC!$E$7:$E$3006,$J28))</f>
        <v/>
      </c>
      <c r="E28" s="95">
        <f>IF($J28="","",IF(LEFT(INDEX(NKC!$F$7:$F$3006,$J28),LEN($B$5))=$B$5,INDEX(NKC!$G$7:$G$3006,$J28),INDEX(NKC!$F$7:$F$3006,$J28)))</f>
        <v/>
      </c>
      <c r="F28" s="125">
        <f>IF($J28="","",IF(LEFT(INDEX(NKC!$F$7:$F$3006,$J28),LEN($B$5))=$B$5,INDEX(NKC!$H$7:$H$3006,$J28),""))</f>
        <v/>
      </c>
      <c r="G28" s="125">
        <f>IF($J28="","",IF(LEFT(INDEX(NKC!$G$7:$G$3006,$J28),LEN($B$5))=$B$5,INDEX(NKC!$H$7:$H$3006,$J28),""))</f>
        <v/>
      </c>
      <c r="H28" s="132">
        <f>IF($J28="","",H27+N(F28)-N(G28))</f>
        <v/>
      </c>
      <c r="J28" s="117">
        <f>IFERROR(MATCH(21,NKC!$P$7:$P$3006,0),"")</f>
        <v/>
      </c>
    </row>
    <row r="29" ht="15" customHeight="1" s="78">
      <c r="A29" s="131">
        <f>IF($J29="","",INDEX(NKC!$B$7:$B$3006,$J29))</f>
        <v/>
      </c>
      <c r="B29" s="95">
        <f>IF($J29="","",INDEX(NKC!$C$7:$C$3006,$J29))</f>
        <v/>
      </c>
      <c r="C29" s="131">
        <f>IF($J29="","",INDEX(NKC!$D$7:$D$3006,$J29))</f>
        <v/>
      </c>
      <c r="D29" s="97">
        <f>IF($J29="","",INDEX(NKC!$E$7:$E$3006,$J29))</f>
        <v/>
      </c>
      <c r="E29" s="95">
        <f>IF($J29="","",IF(LEFT(INDEX(NKC!$F$7:$F$3006,$J29),LEN($B$5))=$B$5,INDEX(NKC!$G$7:$G$3006,$J29),INDEX(NKC!$F$7:$F$3006,$J29)))</f>
        <v/>
      </c>
      <c r="F29" s="125">
        <f>IF($J29="","",IF(LEFT(INDEX(NKC!$F$7:$F$3006,$J29),LEN($B$5))=$B$5,INDEX(NKC!$H$7:$H$3006,$J29),""))</f>
        <v/>
      </c>
      <c r="G29" s="125">
        <f>IF($J29="","",IF(LEFT(INDEX(NKC!$G$7:$G$3006,$J29),LEN($B$5))=$B$5,INDEX(NKC!$H$7:$H$3006,$J29),""))</f>
        <v/>
      </c>
      <c r="H29" s="132">
        <f>IF($J29="","",H28+N(F29)-N(G29))</f>
        <v/>
      </c>
      <c r="J29" s="117">
        <f>IFERROR(MATCH(22,NKC!$P$7:$P$3006,0),"")</f>
        <v/>
      </c>
    </row>
    <row r="30" ht="15" customHeight="1" s="78">
      <c r="A30" s="131">
        <f>IF($J30="","",INDEX(NKC!$B$7:$B$3006,$J30))</f>
        <v/>
      </c>
      <c r="B30" s="95">
        <f>IF($J30="","",INDEX(NKC!$C$7:$C$3006,$J30))</f>
        <v/>
      </c>
      <c r="C30" s="131">
        <f>IF($J30="","",INDEX(NKC!$D$7:$D$3006,$J30))</f>
        <v/>
      </c>
      <c r="D30" s="97">
        <f>IF($J30="","",INDEX(NKC!$E$7:$E$3006,$J30))</f>
        <v/>
      </c>
      <c r="E30" s="95">
        <f>IF($J30="","",IF(LEFT(INDEX(NKC!$F$7:$F$3006,$J30),LEN($B$5))=$B$5,INDEX(NKC!$G$7:$G$3006,$J30),INDEX(NKC!$F$7:$F$3006,$J30)))</f>
        <v/>
      </c>
      <c r="F30" s="125">
        <f>IF($J30="","",IF(LEFT(INDEX(NKC!$F$7:$F$3006,$J30),LEN($B$5))=$B$5,INDEX(NKC!$H$7:$H$3006,$J30),""))</f>
        <v/>
      </c>
      <c r="G30" s="125">
        <f>IF($J30="","",IF(LEFT(INDEX(NKC!$G$7:$G$3006,$J30),LEN($B$5))=$B$5,INDEX(NKC!$H$7:$H$3006,$J30),""))</f>
        <v/>
      </c>
      <c r="H30" s="132">
        <f>IF($J30="","",H29+N(F30)-N(G30))</f>
        <v/>
      </c>
      <c r="J30" s="117">
        <f>IFERROR(MATCH(23,NKC!$P$7:$P$3006,0),"")</f>
        <v/>
      </c>
    </row>
    <row r="31" ht="15" customHeight="1" s="78">
      <c r="A31" s="131">
        <f>IF($J31="","",INDEX(NKC!$B$7:$B$3006,$J31))</f>
        <v/>
      </c>
      <c r="B31" s="95">
        <f>IF($J31="","",INDEX(NKC!$C$7:$C$3006,$J31))</f>
        <v/>
      </c>
      <c r="C31" s="131">
        <f>IF($J31="","",INDEX(NKC!$D$7:$D$3006,$J31))</f>
        <v/>
      </c>
      <c r="D31" s="97">
        <f>IF($J31="","",INDEX(NKC!$E$7:$E$3006,$J31))</f>
        <v/>
      </c>
      <c r="E31" s="95">
        <f>IF($J31="","",IF(LEFT(INDEX(NKC!$F$7:$F$3006,$J31),LEN($B$5))=$B$5,INDEX(NKC!$G$7:$G$3006,$J31),INDEX(NKC!$F$7:$F$3006,$J31)))</f>
        <v/>
      </c>
      <c r="F31" s="125">
        <f>IF($J31="","",IF(LEFT(INDEX(NKC!$F$7:$F$3006,$J31),LEN($B$5))=$B$5,INDEX(NKC!$H$7:$H$3006,$J31),""))</f>
        <v/>
      </c>
      <c r="G31" s="125">
        <f>IF($J31="","",IF(LEFT(INDEX(NKC!$G$7:$G$3006,$J31),LEN($B$5))=$B$5,INDEX(NKC!$H$7:$H$3006,$J31),""))</f>
        <v/>
      </c>
      <c r="H31" s="132">
        <f>IF($J31="","",H30+N(F31)-N(G31))</f>
        <v/>
      </c>
      <c r="J31" s="117">
        <f>IFERROR(MATCH(24,NKC!$P$7:$P$3006,0),"")</f>
        <v/>
      </c>
    </row>
    <row r="32" ht="15" customHeight="1" s="78">
      <c r="A32" s="131">
        <f>IF($J32="","",INDEX(NKC!$B$7:$B$3006,$J32))</f>
        <v/>
      </c>
      <c r="B32" s="95">
        <f>IF($J32="","",INDEX(NKC!$C$7:$C$3006,$J32))</f>
        <v/>
      </c>
      <c r="C32" s="131">
        <f>IF($J32="","",INDEX(NKC!$D$7:$D$3006,$J32))</f>
        <v/>
      </c>
      <c r="D32" s="97">
        <f>IF($J32="","",INDEX(NKC!$E$7:$E$3006,$J32))</f>
        <v/>
      </c>
      <c r="E32" s="95">
        <f>IF($J32="","",IF(LEFT(INDEX(NKC!$F$7:$F$3006,$J32),LEN($B$5))=$B$5,INDEX(NKC!$G$7:$G$3006,$J32),INDEX(NKC!$F$7:$F$3006,$J32)))</f>
        <v/>
      </c>
      <c r="F32" s="125">
        <f>IF($J32="","",IF(LEFT(INDEX(NKC!$F$7:$F$3006,$J32),LEN($B$5))=$B$5,INDEX(NKC!$H$7:$H$3006,$J32),""))</f>
        <v/>
      </c>
      <c r="G32" s="125">
        <f>IF($J32="","",IF(LEFT(INDEX(NKC!$G$7:$G$3006,$J32),LEN($B$5))=$B$5,INDEX(NKC!$H$7:$H$3006,$J32),""))</f>
        <v/>
      </c>
      <c r="H32" s="132">
        <f>IF($J32="","",H31+N(F32)-N(G32))</f>
        <v/>
      </c>
      <c r="J32" s="117">
        <f>IFERROR(MATCH(25,NKC!$P$7:$P$3006,0),"")</f>
        <v/>
      </c>
    </row>
    <row r="33" ht="15" customHeight="1" s="78">
      <c r="A33" s="131">
        <f>IF($J33="","",INDEX(NKC!$B$7:$B$3006,$J33))</f>
        <v/>
      </c>
      <c r="B33" s="95">
        <f>IF($J33="","",INDEX(NKC!$C$7:$C$3006,$J33))</f>
        <v/>
      </c>
      <c r="C33" s="131">
        <f>IF($J33="","",INDEX(NKC!$D$7:$D$3006,$J33))</f>
        <v/>
      </c>
      <c r="D33" s="97">
        <f>IF($J33="","",INDEX(NKC!$E$7:$E$3006,$J33))</f>
        <v/>
      </c>
      <c r="E33" s="95">
        <f>IF($J33="","",IF(LEFT(INDEX(NKC!$F$7:$F$3006,$J33),LEN($B$5))=$B$5,INDEX(NKC!$G$7:$G$3006,$J33),INDEX(NKC!$F$7:$F$3006,$J33)))</f>
        <v/>
      </c>
      <c r="F33" s="125">
        <f>IF($J33="","",IF(LEFT(INDEX(NKC!$F$7:$F$3006,$J33),LEN($B$5))=$B$5,INDEX(NKC!$H$7:$H$3006,$J33),""))</f>
        <v/>
      </c>
      <c r="G33" s="125">
        <f>IF($J33="","",IF(LEFT(INDEX(NKC!$G$7:$G$3006,$J33),LEN($B$5))=$B$5,INDEX(NKC!$H$7:$H$3006,$J33),""))</f>
        <v/>
      </c>
      <c r="H33" s="132">
        <f>IF($J33="","",H32+N(F33)-N(G33))</f>
        <v/>
      </c>
      <c r="J33" s="117">
        <f>IFERROR(MATCH(26,NKC!$P$7:$P$3006,0),"")</f>
        <v/>
      </c>
    </row>
    <row r="34" ht="15" customHeight="1" s="78">
      <c r="A34" s="131">
        <f>IF($J34="","",INDEX(NKC!$B$7:$B$3006,$J34))</f>
        <v/>
      </c>
      <c r="B34" s="95">
        <f>IF($J34="","",INDEX(NKC!$C$7:$C$3006,$J34))</f>
        <v/>
      </c>
      <c r="C34" s="131">
        <f>IF($J34="","",INDEX(NKC!$D$7:$D$3006,$J34))</f>
        <v/>
      </c>
      <c r="D34" s="97">
        <f>IF($J34="","",INDEX(NKC!$E$7:$E$3006,$J34))</f>
        <v/>
      </c>
      <c r="E34" s="95">
        <f>IF($J34="","",IF(LEFT(INDEX(NKC!$F$7:$F$3006,$J34),LEN($B$5))=$B$5,INDEX(NKC!$G$7:$G$3006,$J34),INDEX(NKC!$F$7:$F$3006,$J34)))</f>
        <v/>
      </c>
      <c r="F34" s="125">
        <f>IF($J34="","",IF(LEFT(INDEX(NKC!$F$7:$F$3006,$J34),LEN($B$5))=$B$5,INDEX(NKC!$H$7:$H$3006,$J34),""))</f>
        <v/>
      </c>
      <c r="G34" s="125">
        <f>IF($J34="","",IF(LEFT(INDEX(NKC!$G$7:$G$3006,$J34),LEN($B$5))=$B$5,INDEX(NKC!$H$7:$H$3006,$J34),""))</f>
        <v/>
      </c>
      <c r="H34" s="132">
        <f>IF($J34="","",H33+N(F34)-N(G34))</f>
        <v/>
      </c>
      <c r="J34" s="117">
        <f>IFERROR(MATCH(27,NKC!$P$7:$P$3006,0),"")</f>
        <v/>
      </c>
    </row>
    <row r="35" ht="15" customHeight="1" s="78">
      <c r="A35" s="131">
        <f>IF($J35="","",INDEX(NKC!$B$7:$B$3006,$J35))</f>
        <v/>
      </c>
      <c r="B35" s="95">
        <f>IF($J35="","",INDEX(NKC!$C$7:$C$3006,$J35))</f>
        <v/>
      </c>
      <c r="C35" s="131">
        <f>IF($J35="","",INDEX(NKC!$D$7:$D$3006,$J35))</f>
        <v/>
      </c>
      <c r="D35" s="97">
        <f>IF($J35="","",INDEX(NKC!$E$7:$E$3006,$J35))</f>
        <v/>
      </c>
      <c r="E35" s="95">
        <f>IF($J35="","",IF(LEFT(INDEX(NKC!$F$7:$F$3006,$J35),LEN($B$5))=$B$5,INDEX(NKC!$G$7:$G$3006,$J35),INDEX(NKC!$F$7:$F$3006,$J35)))</f>
        <v/>
      </c>
      <c r="F35" s="125">
        <f>IF($J35="","",IF(LEFT(INDEX(NKC!$F$7:$F$3006,$J35),LEN($B$5))=$B$5,INDEX(NKC!$H$7:$H$3006,$J35),""))</f>
        <v/>
      </c>
      <c r="G35" s="125">
        <f>IF($J35="","",IF(LEFT(INDEX(NKC!$G$7:$G$3006,$J35),LEN($B$5))=$B$5,INDEX(NKC!$H$7:$H$3006,$J35),""))</f>
        <v/>
      </c>
      <c r="H35" s="132">
        <f>IF($J35="","",H34+N(F35)-N(G35))</f>
        <v/>
      </c>
      <c r="J35" s="117">
        <f>IFERROR(MATCH(28,NKC!$P$7:$P$3006,0),"")</f>
        <v/>
      </c>
    </row>
    <row r="36" ht="15" customHeight="1" s="78">
      <c r="A36" s="131">
        <f>IF($J36="","",INDEX(NKC!$B$7:$B$3006,$J36))</f>
        <v/>
      </c>
      <c r="B36" s="95">
        <f>IF($J36="","",INDEX(NKC!$C$7:$C$3006,$J36))</f>
        <v/>
      </c>
      <c r="C36" s="131">
        <f>IF($J36="","",INDEX(NKC!$D$7:$D$3006,$J36))</f>
        <v/>
      </c>
      <c r="D36" s="97">
        <f>IF($J36="","",INDEX(NKC!$E$7:$E$3006,$J36))</f>
        <v/>
      </c>
      <c r="E36" s="95">
        <f>IF($J36="","",IF(LEFT(INDEX(NKC!$F$7:$F$3006,$J36),LEN($B$5))=$B$5,INDEX(NKC!$G$7:$G$3006,$J36),INDEX(NKC!$F$7:$F$3006,$J36)))</f>
        <v/>
      </c>
      <c r="F36" s="125">
        <f>IF($J36="","",IF(LEFT(INDEX(NKC!$F$7:$F$3006,$J36),LEN($B$5))=$B$5,INDEX(NKC!$H$7:$H$3006,$J36),""))</f>
        <v/>
      </c>
      <c r="G36" s="125">
        <f>IF($J36="","",IF(LEFT(INDEX(NKC!$G$7:$G$3006,$J36),LEN($B$5))=$B$5,INDEX(NKC!$H$7:$H$3006,$J36),""))</f>
        <v/>
      </c>
      <c r="H36" s="132">
        <f>IF($J36="","",H35+N(F36)-N(G36))</f>
        <v/>
      </c>
      <c r="J36" s="117">
        <f>IFERROR(MATCH(29,NKC!$P$7:$P$3006,0),"")</f>
        <v/>
      </c>
    </row>
    <row r="37" ht="15" customHeight="1" s="78">
      <c r="A37" s="131">
        <f>IF($J37="","",INDEX(NKC!$B$7:$B$3006,$J37))</f>
        <v/>
      </c>
      <c r="B37" s="95">
        <f>IF($J37="","",INDEX(NKC!$C$7:$C$3006,$J37))</f>
        <v/>
      </c>
      <c r="C37" s="131">
        <f>IF($J37="","",INDEX(NKC!$D$7:$D$3006,$J37))</f>
        <v/>
      </c>
      <c r="D37" s="97">
        <f>IF($J37="","",INDEX(NKC!$E$7:$E$3006,$J37))</f>
        <v/>
      </c>
      <c r="E37" s="95">
        <f>IF($J37="","",IF(LEFT(INDEX(NKC!$F$7:$F$3006,$J37),LEN($B$5))=$B$5,INDEX(NKC!$G$7:$G$3006,$J37),INDEX(NKC!$F$7:$F$3006,$J37)))</f>
        <v/>
      </c>
      <c r="F37" s="125">
        <f>IF($J37="","",IF(LEFT(INDEX(NKC!$F$7:$F$3006,$J37),LEN($B$5))=$B$5,INDEX(NKC!$H$7:$H$3006,$J37),""))</f>
        <v/>
      </c>
      <c r="G37" s="125">
        <f>IF($J37="","",IF(LEFT(INDEX(NKC!$G$7:$G$3006,$J37),LEN($B$5))=$B$5,INDEX(NKC!$H$7:$H$3006,$J37),""))</f>
        <v/>
      </c>
      <c r="H37" s="132">
        <f>IF($J37="","",H36+N(F37)-N(G37))</f>
        <v/>
      </c>
      <c r="J37" s="117">
        <f>IFERROR(MATCH(30,NKC!$P$7:$P$3006,0),"")</f>
        <v/>
      </c>
    </row>
    <row r="38" ht="15" customHeight="1" s="78">
      <c r="A38" s="131">
        <f>IF($J38="","",INDEX(NKC!$B$7:$B$3006,$J38))</f>
        <v/>
      </c>
      <c r="B38" s="95">
        <f>IF($J38="","",INDEX(NKC!$C$7:$C$3006,$J38))</f>
        <v/>
      </c>
      <c r="C38" s="131">
        <f>IF($J38="","",INDEX(NKC!$D$7:$D$3006,$J38))</f>
        <v/>
      </c>
      <c r="D38" s="97">
        <f>IF($J38="","",INDEX(NKC!$E$7:$E$3006,$J38))</f>
        <v/>
      </c>
      <c r="E38" s="95">
        <f>IF($J38="","",IF(LEFT(INDEX(NKC!$F$7:$F$3006,$J38),LEN($B$5))=$B$5,INDEX(NKC!$G$7:$G$3006,$J38),INDEX(NKC!$F$7:$F$3006,$J38)))</f>
        <v/>
      </c>
      <c r="F38" s="125">
        <f>IF($J38="","",IF(LEFT(INDEX(NKC!$F$7:$F$3006,$J38),LEN($B$5))=$B$5,INDEX(NKC!$H$7:$H$3006,$J38),""))</f>
        <v/>
      </c>
      <c r="G38" s="125">
        <f>IF($J38="","",IF(LEFT(INDEX(NKC!$G$7:$G$3006,$J38),LEN($B$5))=$B$5,INDEX(NKC!$H$7:$H$3006,$J38),""))</f>
        <v/>
      </c>
      <c r="H38" s="132">
        <f>IF($J38="","",H37+N(F38)-N(G38))</f>
        <v/>
      </c>
      <c r="J38" s="117">
        <f>IFERROR(MATCH(31,NKC!$P$7:$P$3006,0),"")</f>
        <v/>
      </c>
    </row>
    <row r="39" ht="15" customHeight="1" s="78">
      <c r="A39" s="131">
        <f>IF($J39="","",INDEX(NKC!$B$7:$B$3006,$J39))</f>
        <v/>
      </c>
      <c r="B39" s="95">
        <f>IF($J39="","",INDEX(NKC!$C$7:$C$3006,$J39))</f>
        <v/>
      </c>
      <c r="C39" s="131">
        <f>IF($J39="","",INDEX(NKC!$D$7:$D$3006,$J39))</f>
        <v/>
      </c>
      <c r="D39" s="97">
        <f>IF($J39="","",INDEX(NKC!$E$7:$E$3006,$J39))</f>
        <v/>
      </c>
      <c r="E39" s="95">
        <f>IF($J39="","",IF(LEFT(INDEX(NKC!$F$7:$F$3006,$J39),LEN($B$5))=$B$5,INDEX(NKC!$G$7:$G$3006,$J39),INDEX(NKC!$F$7:$F$3006,$J39)))</f>
        <v/>
      </c>
      <c r="F39" s="125">
        <f>IF($J39="","",IF(LEFT(INDEX(NKC!$F$7:$F$3006,$J39),LEN($B$5))=$B$5,INDEX(NKC!$H$7:$H$3006,$J39),""))</f>
        <v/>
      </c>
      <c r="G39" s="125">
        <f>IF($J39="","",IF(LEFT(INDEX(NKC!$G$7:$G$3006,$J39),LEN($B$5))=$B$5,INDEX(NKC!$H$7:$H$3006,$J39),""))</f>
        <v/>
      </c>
      <c r="H39" s="132">
        <f>IF($J39="","",H38+N(F39)-N(G39))</f>
        <v/>
      </c>
      <c r="J39" s="117">
        <f>IFERROR(MATCH(32,NKC!$P$7:$P$3006,0),"")</f>
        <v/>
      </c>
    </row>
    <row r="40" ht="15" customHeight="1" s="78">
      <c r="A40" s="131">
        <f>IF($J40="","",INDEX(NKC!$B$7:$B$3006,$J40))</f>
        <v/>
      </c>
      <c r="B40" s="95">
        <f>IF($J40="","",INDEX(NKC!$C$7:$C$3006,$J40))</f>
        <v/>
      </c>
      <c r="C40" s="131">
        <f>IF($J40="","",INDEX(NKC!$D$7:$D$3006,$J40))</f>
        <v/>
      </c>
      <c r="D40" s="97">
        <f>IF($J40="","",INDEX(NKC!$E$7:$E$3006,$J40))</f>
        <v/>
      </c>
      <c r="E40" s="95">
        <f>IF($J40="","",IF(LEFT(INDEX(NKC!$F$7:$F$3006,$J40),LEN($B$5))=$B$5,INDEX(NKC!$G$7:$G$3006,$J40),INDEX(NKC!$F$7:$F$3006,$J40)))</f>
        <v/>
      </c>
      <c r="F40" s="125">
        <f>IF($J40="","",IF(LEFT(INDEX(NKC!$F$7:$F$3006,$J40),LEN($B$5))=$B$5,INDEX(NKC!$H$7:$H$3006,$J40),""))</f>
        <v/>
      </c>
      <c r="G40" s="125">
        <f>IF($J40="","",IF(LEFT(INDEX(NKC!$G$7:$G$3006,$J40),LEN($B$5))=$B$5,INDEX(NKC!$H$7:$H$3006,$J40),""))</f>
        <v/>
      </c>
      <c r="H40" s="132">
        <f>IF($J40="","",H39+N(F40)-N(G40))</f>
        <v/>
      </c>
      <c r="J40" s="117">
        <f>IFERROR(MATCH(33,NKC!$P$7:$P$3006,0),"")</f>
        <v/>
      </c>
    </row>
    <row r="41" ht="15" customHeight="1" s="78">
      <c r="A41" s="131">
        <f>IF($J41="","",INDEX(NKC!$B$7:$B$3006,$J41))</f>
        <v/>
      </c>
      <c r="B41" s="95">
        <f>IF($J41="","",INDEX(NKC!$C$7:$C$3006,$J41))</f>
        <v/>
      </c>
      <c r="C41" s="131">
        <f>IF($J41="","",INDEX(NKC!$D$7:$D$3006,$J41))</f>
        <v/>
      </c>
      <c r="D41" s="97">
        <f>IF($J41="","",INDEX(NKC!$E$7:$E$3006,$J41))</f>
        <v/>
      </c>
      <c r="E41" s="95">
        <f>IF($J41="","",IF(LEFT(INDEX(NKC!$F$7:$F$3006,$J41),LEN($B$5))=$B$5,INDEX(NKC!$G$7:$G$3006,$J41),INDEX(NKC!$F$7:$F$3006,$J41)))</f>
        <v/>
      </c>
      <c r="F41" s="125">
        <f>IF($J41="","",IF(LEFT(INDEX(NKC!$F$7:$F$3006,$J41),LEN($B$5))=$B$5,INDEX(NKC!$H$7:$H$3006,$J41),""))</f>
        <v/>
      </c>
      <c r="G41" s="125">
        <f>IF($J41="","",IF(LEFT(INDEX(NKC!$G$7:$G$3006,$J41),LEN($B$5))=$B$5,INDEX(NKC!$H$7:$H$3006,$J41),""))</f>
        <v/>
      </c>
      <c r="H41" s="132">
        <f>IF($J41="","",H40+N(F41)-N(G41))</f>
        <v/>
      </c>
      <c r="J41" s="117">
        <f>IFERROR(MATCH(34,NKC!$P$7:$P$3006,0),"")</f>
        <v/>
      </c>
    </row>
    <row r="42" ht="15" customHeight="1" s="78">
      <c r="A42" s="131">
        <f>IF($J42="","",INDEX(NKC!$B$7:$B$3006,$J42))</f>
        <v/>
      </c>
      <c r="B42" s="95">
        <f>IF($J42="","",INDEX(NKC!$C$7:$C$3006,$J42))</f>
        <v/>
      </c>
      <c r="C42" s="131">
        <f>IF($J42="","",INDEX(NKC!$D$7:$D$3006,$J42))</f>
        <v/>
      </c>
      <c r="D42" s="97">
        <f>IF($J42="","",INDEX(NKC!$E$7:$E$3006,$J42))</f>
        <v/>
      </c>
      <c r="E42" s="95">
        <f>IF($J42="","",IF(LEFT(INDEX(NKC!$F$7:$F$3006,$J42),LEN($B$5))=$B$5,INDEX(NKC!$G$7:$G$3006,$J42),INDEX(NKC!$F$7:$F$3006,$J42)))</f>
        <v/>
      </c>
      <c r="F42" s="125">
        <f>IF($J42="","",IF(LEFT(INDEX(NKC!$F$7:$F$3006,$J42),LEN($B$5))=$B$5,INDEX(NKC!$H$7:$H$3006,$J42),""))</f>
        <v/>
      </c>
      <c r="G42" s="125">
        <f>IF($J42="","",IF(LEFT(INDEX(NKC!$G$7:$G$3006,$J42),LEN($B$5))=$B$5,INDEX(NKC!$H$7:$H$3006,$J42),""))</f>
        <v/>
      </c>
      <c r="H42" s="132">
        <f>IF($J42="","",H41+N(F42)-N(G42))</f>
        <v/>
      </c>
      <c r="J42" s="117">
        <f>IFERROR(MATCH(35,NKC!$P$7:$P$3006,0),"")</f>
        <v/>
      </c>
    </row>
    <row r="43" ht="15" customHeight="1" s="78">
      <c r="A43" s="131">
        <f>IF($J43="","",INDEX(NKC!$B$7:$B$3006,$J43))</f>
        <v/>
      </c>
      <c r="B43" s="95">
        <f>IF($J43="","",INDEX(NKC!$C$7:$C$3006,$J43))</f>
        <v/>
      </c>
      <c r="C43" s="131">
        <f>IF($J43="","",INDEX(NKC!$D$7:$D$3006,$J43))</f>
        <v/>
      </c>
      <c r="D43" s="97">
        <f>IF($J43="","",INDEX(NKC!$E$7:$E$3006,$J43))</f>
        <v/>
      </c>
      <c r="E43" s="95">
        <f>IF($J43="","",IF(LEFT(INDEX(NKC!$F$7:$F$3006,$J43),LEN($B$5))=$B$5,INDEX(NKC!$G$7:$G$3006,$J43),INDEX(NKC!$F$7:$F$3006,$J43)))</f>
        <v/>
      </c>
      <c r="F43" s="125">
        <f>IF($J43="","",IF(LEFT(INDEX(NKC!$F$7:$F$3006,$J43),LEN($B$5))=$B$5,INDEX(NKC!$H$7:$H$3006,$J43),""))</f>
        <v/>
      </c>
      <c r="G43" s="125">
        <f>IF($J43="","",IF(LEFT(INDEX(NKC!$G$7:$G$3006,$J43),LEN($B$5))=$B$5,INDEX(NKC!$H$7:$H$3006,$J43),""))</f>
        <v/>
      </c>
      <c r="H43" s="132">
        <f>IF($J43="","",H42+N(F43)-N(G43))</f>
        <v/>
      </c>
      <c r="J43" s="117">
        <f>IFERROR(MATCH(36,NKC!$P$7:$P$3006,0),"")</f>
        <v/>
      </c>
    </row>
    <row r="44" ht="15" customHeight="1" s="78">
      <c r="A44" s="131">
        <f>IF($J44="","",INDEX(NKC!$B$7:$B$3006,$J44))</f>
        <v/>
      </c>
      <c r="B44" s="95">
        <f>IF($J44="","",INDEX(NKC!$C$7:$C$3006,$J44))</f>
        <v/>
      </c>
      <c r="C44" s="131">
        <f>IF($J44="","",INDEX(NKC!$D$7:$D$3006,$J44))</f>
        <v/>
      </c>
      <c r="D44" s="97">
        <f>IF($J44="","",INDEX(NKC!$E$7:$E$3006,$J44))</f>
        <v/>
      </c>
      <c r="E44" s="95">
        <f>IF($J44="","",IF(LEFT(INDEX(NKC!$F$7:$F$3006,$J44),LEN($B$5))=$B$5,INDEX(NKC!$G$7:$G$3006,$J44),INDEX(NKC!$F$7:$F$3006,$J44)))</f>
        <v/>
      </c>
      <c r="F44" s="125">
        <f>IF($J44="","",IF(LEFT(INDEX(NKC!$F$7:$F$3006,$J44),LEN($B$5))=$B$5,INDEX(NKC!$H$7:$H$3006,$J44),""))</f>
        <v/>
      </c>
      <c r="G44" s="125">
        <f>IF($J44="","",IF(LEFT(INDEX(NKC!$G$7:$G$3006,$J44),LEN($B$5))=$B$5,INDEX(NKC!$H$7:$H$3006,$J44),""))</f>
        <v/>
      </c>
      <c r="H44" s="132">
        <f>IF($J44="","",H43+N(F44)-N(G44))</f>
        <v/>
      </c>
      <c r="J44" s="117">
        <f>IFERROR(MATCH(37,NKC!$P$7:$P$3006,0),"")</f>
        <v/>
      </c>
    </row>
    <row r="45" ht="15" customHeight="1" s="78">
      <c r="A45" s="131">
        <f>IF($J45="","",INDEX(NKC!$B$7:$B$3006,$J45))</f>
        <v/>
      </c>
      <c r="B45" s="95">
        <f>IF($J45="","",INDEX(NKC!$C$7:$C$3006,$J45))</f>
        <v/>
      </c>
      <c r="C45" s="131">
        <f>IF($J45="","",INDEX(NKC!$D$7:$D$3006,$J45))</f>
        <v/>
      </c>
      <c r="D45" s="97">
        <f>IF($J45="","",INDEX(NKC!$E$7:$E$3006,$J45))</f>
        <v/>
      </c>
      <c r="E45" s="95">
        <f>IF($J45="","",IF(LEFT(INDEX(NKC!$F$7:$F$3006,$J45),LEN($B$5))=$B$5,INDEX(NKC!$G$7:$G$3006,$J45),INDEX(NKC!$F$7:$F$3006,$J45)))</f>
        <v/>
      </c>
      <c r="F45" s="125">
        <f>IF($J45="","",IF(LEFT(INDEX(NKC!$F$7:$F$3006,$J45),LEN($B$5))=$B$5,INDEX(NKC!$H$7:$H$3006,$J45),""))</f>
        <v/>
      </c>
      <c r="G45" s="125">
        <f>IF($J45="","",IF(LEFT(INDEX(NKC!$G$7:$G$3006,$J45),LEN($B$5))=$B$5,INDEX(NKC!$H$7:$H$3006,$J45),""))</f>
        <v/>
      </c>
      <c r="H45" s="132">
        <f>IF($J45="","",H44+N(F45)-N(G45))</f>
        <v/>
      </c>
      <c r="J45" s="117">
        <f>IFERROR(MATCH(38,NKC!$P$7:$P$3006,0),"")</f>
        <v/>
      </c>
    </row>
    <row r="46" ht="15" customHeight="1" s="78">
      <c r="A46" s="131">
        <f>IF($J46="","",INDEX(NKC!$B$7:$B$3006,$J46))</f>
        <v/>
      </c>
      <c r="B46" s="95">
        <f>IF($J46="","",INDEX(NKC!$C$7:$C$3006,$J46))</f>
        <v/>
      </c>
      <c r="C46" s="131">
        <f>IF($J46="","",INDEX(NKC!$D$7:$D$3006,$J46))</f>
        <v/>
      </c>
      <c r="D46" s="97">
        <f>IF($J46="","",INDEX(NKC!$E$7:$E$3006,$J46))</f>
        <v/>
      </c>
      <c r="E46" s="95">
        <f>IF($J46="","",IF(LEFT(INDEX(NKC!$F$7:$F$3006,$J46),LEN($B$5))=$B$5,INDEX(NKC!$G$7:$G$3006,$J46),INDEX(NKC!$F$7:$F$3006,$J46)))</f>
        <v/>
      </c>
      <c r="F46" s="125">
        <f>IF($J46="","",IF(LEFT(INDEX(NKC!$F$7:$F$3006,$J46),LEN($B$5))=$B$5,INDEX(NKC!$H$7:$H$3006,$J46),""))</f>
        <v/>
      </c>
      <c r="G46" s="125">
        <f>IF($J46="","",IF(LEFT(INDEX(NKC!$G$7:$G$3006,$J46),LEN($B$5))=$B$5,INDEX(NKC!$H$7:$H$3006,$J46),""))</f>
        <v/>
      </c>
      <c r="H46" s="132">
        <f>IF($J46="","",H45+N(F46)-N(G46))</f>
        <v/>
      </c>
      <c r="J46" s="117">
        <f>IFERROR(MATCH(39,NKC!$P$7:$P$3006,0),"")</f>
        <v/>
      </c>
    </row>
    <row r="47" ht="15" customHeight="1" s="78">
      <c r="A47" s="131">
        <f>IF($J47="","",INDEX(NKC!$B$7:$B$3006,$J47))</f>
        <v/>
      </c>
      <c r="B47" s="95">
        <f>IF($J47="","",INDEX(NKC!$C$7:$C$3006,$J47))</f>
        <v/>
      </c>
      <c r="C47" s="131">
        <f>IF($J47="","",INDEX(NKC!$D$7:$D$3006,$J47))</f>
        <v/>
      </c>
      <c r="D47" s="97">
        <f>IF($J47="","",INDEX(NKC!$E$7:$E$3006,$J47))</f>
        <v/>
      </c>
      <c r="E47" s="95">
        <f>IF($J47="","",IF(LEFT(INDEX(NKC!$F$7:$F$3006,$J47),LEN($B$5))=$B$5,INDEX(NKC!$G$7:$G$3006,$J47),INDEX(NKC!$F$7:$F$3006,$J47)))</f>
        <v/>
      </c>
      <c r="F47" s="125">
        <f>IF($J47="","",IF(LEFT(INDEX(NKC!$F$7:$F$3006,$J47),LEN($B$5))=$B$5,INDEX(NKC!$H$7:$H$3006,$J47),""))</f>
        <v/>
      </c>
      <c r="G47" s="125">
        <f>IF($J47="","",IF(LEFT(INDEX(NKC!$G$7:$G$3006,$J47),LEN($B$5))=$B$5,INDEX(NKC!$H$7:$H$3006,$J47),""))</f>
        <v/>
      </c>
      <c r="H47" s="132">
        <f>IF($J47="","",H46+N(F47)-N(G47))</f>
        <v/>
      </c>
      <c r="J47" s="117">
        <f>IFERROR(MATCH(40,NKC!$P$7:$P$3006,0),"")</f>
        <v/>
      </c>
    </row>
    <row r="48" ht="15" customHeight="1" s="78">
      <c r="A48" s="131">
        <f>IF($J48="","",INDEX(NKC!$B$7:$B$3006,$J48))</f>
        <v/>
      </c>
      <c r="B48" s="95">
        <f>IF($J48="","",INDEX(NKC!$C$7:$C$3006,$J48))</f>
        <v/>
      </c>
      <c r="C48" s="131">
        <f>IF($J48="","",INDEX(NKC!$D$7:$D$3006,$J48))</f>
        <v/>
      </c>
      <c r="D48" s="97">
        <f>IF($J48="","",INDEX(NKC!$E$7:$E$3006,$J48))</f>
        <v/>
      </c>
      <c r="E48" s="95">
        <f>IF($J48="","",IF(LEFT(INDEX(NKC!$F$7:$F$3006,$J48),LEN($B$5))=$B$5,INDEX(NKC!$G$7:$G$3006,$J48),INDEX(NKC!$F$7:$F$3006,$J48)))</f>
        <v/>
      </c>
      <c r="F48" s="125">
        <f>IF($J48="","",IF(LEFT(INDEX(NKC!$F$7:$F$3006,$J48),LEN($B$5))=$B$5,INDEX(NKC!$H$7:$H$3006,$J48),""))</f>
        <v/>
      </c>
      <c r="G48" s="125">
        <f>IF($J48="","",IF(LEFT(INDEX(NKC!$G$7:$G$3006,$J48),LEN($B$5))=$B$5,INDEX(NKC!$H$7:$H$3006,$J48),""))</f>
        <v/>
      </c>
      <c r="H48" s="132">
        <f>IF($J48="","",H47+N(F48)-N(G48))</f>
        <v/>
      </c>
      <c r="J48" s="117">
        <f>IFERROR(MATCH(41,NKC!$P$7:$P$3006,0),"")</f>
        <v/>
      </c>
    </row>
    <row r="49" ht="15" customHeight="1" s="78">
      <c r="A49" s="131">
        <f>IF($J49="","",INDEX(NKC!$B$7:$B$3006,$J49))</f>
        <v/>
      </c>
      <c r="B49" s="95">
        <f>IF($J49="","",INDEX(NKC!$C$7:$C$3006,$J49))</f>
        <v/>
      </c>
      <c r="C49" s="131">
        <f>IF($J49="","",INDEX(NKC!$D$7:$D$3006,$J49))</f>
        <v/>
      </c>
      <c r="D49" s="97">
        <f>IF($J49="","",INDEX(NKC!$E$7:$E$3006,$J49))</f>
        <v/>
      </c>
      <c r="E49" s="95">
        <f>IF($J49="","",IF(LEFT(INDEX(NKC!$F$7:$F$3006,$J49),LEN($B$5))=$B$5,INDEX(NKC!$G$7:$G$3006,$J49),INDEX(NKC!$F$7:$F$3006,$J49)))</f>
        <v/>
      </c>
      <c r="F49" s="125">
        <f>IF($J49="","",IF(LEFT(INDEX(NKC!$F$7:$F$3006,$J49),LEN($B$5))=$B$5,INDEX(NKC!$H$7:$H$3006,$J49),""))</f>
        <v/>
      </c>
      <c r="G49" s="125">
        <f>IF($J49="","",IF(LEFT(INDEX(NKC!$G$7:$G$3006,$J49),LEN($B$5))=$B$5,INDEX(NKC!$H$7:$H$3006,$J49),""))</f>
        <v/>
      </c>
      <c r="H49" s="132">
        <f>IF($J49="","",H48+N(F49)-N(G49))</f>
        <v/>
      </c>
      <c r="J49" s="117">
        <f>IFERROR(MATCH(42,NKC!$P$7:$P$3006,0),"")</f>
        <v/>
      </c>
    </row>
    <row r="50" ht="15" customHeight="1" s="78">
      <c r="A50" s="131">
        <f>IF($J50="","",INDEX(NKC!$B$7:$B$3006,$J50))</f>
        <v/>
      </c>
      <c r="B50" s="95">
        <f>IF($J50="","",INDEX(NKC!$C$7:$C$3006,$J50))</f>
        <v/>
      </c>
      <c r="C50" s="131">
        <f>IF($J50="","",INDEX(NKC!$D$7:$D$3006,$J50))</f>
        <v/>
      </c>
      <c r="D50" s="97">
        <f>IF($J50="","",INDEX(NKC!$E$7:$E$3006,$J50))</f>
        <v/>
      </c>
      <c r="E50" s="95">
        <f>IF($J50="","",IF(LEFT(INDEX(NKC!$F$7:$F$3006,$J50),LEN($B$5))=$B$5,INDEX(NKC!$G$7:$G$3006,$J50),INDEX(NKC!$F$7:$F$3006,$J50)))</f>
        <v/>
      </c>
      <c r="F50" s="125">
        <f>IF($J50="","",IF(LEFT(INDEX(NKC!$F$7:$F$3006,$J50),LEN($B$5))=$B$5,INDEX(NKC!$H$7:$H$3006,$J50),""))</f>
        <v/>
      </c>
      <c r="G50" s="125">
        <f>IF($J50="","",IF(LEFT(INDEX(NKC!$G$7:$G$3006,$J50),LEN($B$5))=$B$5,INDEX(NKC!$H$7:$H$3006,$J50),""))</f>
        <v/>
      </c>
      <c r="H50" s="132">
        <f>IF($J50="","",H49+N(F50)-N(G50))</f>
        <v/>
      </c>
      <c r="J50" s="117">
        <f>IFERROR(MATCH(43,NKC!$P$7:$P$3006,0),"")</f>
        <v/>
      </c>
    </row>
    <row r="51" ht="15" customHeight="1" s="78">
      <c r="A51" s="131">
        <f>IF($J51="","",INDEX(NKC!$B$7:$B$3006,$J51))</f>
        <v/>
      </c>
      <c r="B51" s="95">
        <f>IF($J51="","",INDEX(NKC!$C$7:$C$3006,$J51))</f>
        <v/>
      </c>
      <c r="C51" s="131">
        <f>IF($J51="","",INDEX(NKC!$D$7:$D$3006,$J51))</f>
        <v/>
      </c>
      <c r="D51" s="97">
        <f>IF($J51="","",INDEX(NKC!$E$7:$E$3006,$J51))</f>
        <v/>
      </c>
      <c r="E51" s="95">
        <f>IF($J51="","",IF(LEFT(INDEX(NKC!$F$7:$F$3006,$J51),LEN($B$5))=$B$5,INDEX(NKC!$G$7:$G$3006,$J51),INDEX(NKC!$F$7:$F$3006,$J51)))</f>
        <v/>
      </c>
      <c r="F51" s="125">
        <f>IF($J51="","",IF(LEFT(INDEX(NKC!$F$7:$F$3006,$J51),LEN($B$5))=$B$5,INDEX(NKC!$H$7:$H$3006,$J51),""))</f>
        <v/>
      </c>
      <c r="G51" s="125">
        <f>IF($J51="","",IF(LEFT(INDEX(NKC!$G$7:$G$3006,$J51),LEN($B$5))=$B$5,INDEX(NKC!$H$7:$H$3006,$J51),""))</f>
        <v/>
      </c>
      <c r="H51" s="132">
        <f>IF($J51="","",H50+N(F51)-N(G51))</f>
        <v/>
      </c>
      <c r="J51" s="117">
        <f>IFERROR(MATCH(44,NKC!$P$7:$P$3006,0),"")</f>
        <v/>
      </c>
    </row>
    <row r="52" ht="15" customHeight="1" s="78">
      <c r="A52" s="131">
        <f>IF($J52="","",INDEX(NKC!$B$7:$B$3006,$J52))</f>
        <v/>
      </c>
      <c r="B52" s="95">
        <f>IF($J52="","",INDEX(NKC!$C$7:$C$3006,$J52))</f>
        <v/>
      </c>
      <c r="C52" s="131">
        <f>IF($J52="","",INDEX(NKC!$D$7:$D$3006,$J52))</f>
        <v/>
      </c>
      <c r="D52" s="97">
        <f>IF($J52="","",INDEX(NKC!$E$7:$E$3006,$J52))</f>
        <v/>
      </c>
      <c r="E52" s="95">
        <f>IF($J52="","",IF(LEFT(INDEX(NKC!$F$7:$F$3006,$J52),LEN($B$5))=$B$5,INDEX(NKC!$G$7:$G$3006,$J52),INDEX(NKC!$F$7:$F$3006,$J52)))</f>
        <v/>
      </c>
      <c r="F52" s="125">
        <f>IF($J52="","",IF(LEFT(INDEX(NKC!$F$7:$F$3006,$J52),LEN($B$5))=$B$5,INDEX(NKC!$H$7:$H$3006,$J52),""))</f>
        <v/>
      </c>
      <c r="G52" s="125">
        <f>IF($J52="","",IF(LEFT(INDEX(NKC!$G$7:$G$3006,$J52),LEN($B$5))=$B$5,INDEX(NKC!$H$7:$H$3006,$J52),""))</f>
        <v/>
      </c>
      <c r="H52" s="132">
        <f>IF($J52="","",H51+N(F52)-N(G52))</f>
        <v/>
      </c>
      <c r="J52" s="117">
        <f>IFERROR(MATCH(45,NKC!$P$7:$P$3006,0),"")</f>
        <v/>
      </c>
    </row>
    <row r="53" ht="15" customHeight="1" s="78">
      <c r="A53" s="131">
        <f>IF($J53="","",INDEX(NKC!$B$7:$B$3006,$J53))</f>
        <v/>
      </c>
      <c r="B53" s="95">
        <f>IF($J53="","",INDEX(NKC!$C$7:$C$3006,$J53))</f>
        <v/>
      </c>
      <c r="C53" s="131">
        <f>IF($J53="","",INDEX(NKC!$D$7:$D$3006,$J53))</f>
        <v/>
      </c>
      <c r="D53" s="97">
        <f>IF($J53="","",INDEX(NKC!$E$7:$E$3006,$J53))</f>
        <v/>
      </c>
      <c r="E53" s="95">
        <f>IF($J53="","",IF(LEFT(INDEX(NKC!$F$7:$F$3006,$J53),LEN($B$5))=$B$5,INDEX(NKC!$G$7:$G$3006,$J53),INDEX(NKC!$F$7:$F$3006,$J53)))</f>
        <v/>
      </c>
      <c r="F53" s="125">
        <f>IF($J53="","",IF(LEFT(INDEX(NKC!$F$7:$F$3006,$J53),LEN($B$5))=$B$5,INDEX(NKC!$H$7:$H$3006,$J53),""))</f>
        <v/>
      </c>
      <c r="G53" s="125">
        <f>IF($J53="","",IF(LEFT(INDEX(NKC!$G$7:$G$3006,$J53),LEN($B$5))=$B$5,INDEX(NKC!$H$7:$H$3006,$J53),""))</f>
        <v/>
      </c>
      <c r="H53" s="132">
        <f>IF($J53="","",H52+N(F53)-N(G53))</f>
        <v/>
      </c>
      <c r="J53" s="117">
        <f>IFERROR(MATCH(46,NKC!$P$7:$P$3006,0),"")</f>
        <v/>
      </c>
    </row>
    <row r="54" ht="15" customHeight="1" s="78">
      <c r="A54" s="131">
        <f>IF($J54="","",INDEX(NKC!$B$7:$B$3006,$J54))</f>
        <v/>
      </c>
      <c r="B54" s="95">
        <f>IF($J54="","",INDEX(NKC!$C$7:$C$3006,$J54))</f>
        <v/>
      </c>
      <c r="C54" s="131">
        <f>IF($J54="","",INDEX(NKC!$D$7:$D$3006,$J54))</f>
        <v/>
      </c>
      <c r="D54" s="97">
        <f>IF($J54="","",INDEX(NKC!$E$7:$E$3006,$J54))</f>
        <v/>
      </c>
      <c r="E54" s="95">
        <f>IF($J54="","",IF(LEFT(INDEX(NKC!$F$7:$F$3006,$J54),LEN($B$5))=$B$5,INDEX(NKC!$G$7:$G$3006,$J54),INDEX(NKC!$F$7:$F$3006,$J54)))</f>
        <v/>
      </c>
      <c r="F54" s="125">
        <f>IF($J54="","",IF(LEFT(INDEX(NKC!$F$7:$F$3006,$J54),LEN($B$5))=$B$5,INDEX(NKC!$H$7:$H$3006,$J54),""))</f>
        <v/>
      </c>
      <c r="G54" s="125">
        <f>IF($J54="","",IF(LEFT(INDEX(NKC!$G$7:$G$3006,$J54),LEN($B$5))=$B$5,INDEX(NKC!$H$7:$H$3006,$J54),""))</f>
        <v/>
      </c>
      <c r="H54" s="132">
        <f>IF($J54="","",H53+N(F54)-N(G54))</f>
        <v/>
      </c>
      <c r="J54" s="117">
        <f>IFERROR(MATCH(47,NKC!$P$7:$P$3006,0),"")</f>
        <v/>
      </c>
    </row>
    <row r="55" ht="15" customHeight="1" s="78">
      <c r="A55" s="131">
        <f>IF($J55="","",INDEX(NKC!$B$7:$B$3006,$J55))</f>
        <v/>
      </c>
      <c r="B55" s="95">
        <f>IF($J55="","",INDEX(NKC!$C$7:$C$3006,$J55))</f>
        <v/>
      </c>
      <c r="C55" s="131">
        <f>IF($J55="","",INDEX(NKC!$D$7:$D$3006,$J55))</f>
        <v/>
      </c>
      <c r="D55" s="97">
        <f>IF($J55="","",INDEX(NKC!$E$7:$E$3006,$J55))</f>
        <v/>
      </c>
      <c r="E55" s="95">
        <f>IF($J55="","",IF(LEFT(INDEX(NKC!$F$7:$F$3006,$J55),LEN($B$5))=$B$5,INDEX(NKC!$G$7:$G$3006,$J55),INDEX(NKC!$F$7:$F$3006,$J55)))</f>
        <v/>
      </c>
      <c r="F55" s="125">
        <f>IF($J55="","",IF(LEFT(INDEX(NKC!$F$7:$F$3006,$J55),LEN($B$5))=$B$5,INDEX(NKC!$H$7:$H$3006,$J55),""))</f>
        <v/>
      </c>
      <c r="G55" s="125">
        <f>IF($J55="","",IF(LEFT(INDEX(NKC!$G$7:$G$3006,$J55),LEN($B$5))=$B$5,INDEX(NKC!$H$7:$H$3006,$J55),""))</f>
        <v/>
      </c>
      <c r="H55" s="132">
        <f>IF($J55="","",H54+N(F55)-N(G55))</f>
        <v/>
      </c>
      <c r="J55" s="117">
        <f>IFERROR(MATCH(48,NKC!$P$7:$P$3006,0),"")</f>
        <v/>
      </c>
    </row>
    <row r="56" ht="15" customHeight="1" s="78">
      <c r="A56" s="131">
        <f>IF($J56="","",INDEX(NKC!$B$7:$B$3006,$J56))</f>
        <v/>
      </c>
      <c r="B56" s="95">
        <f>IF($J56="","",INDEX(NKC!$C$7:$C$3006,$J56))</f>
        <v/>
      </c>
      <c r="C56" s="131">
        <f>IF($J56="","",INDEX(NKC!$D$7:$D$3006,$J56))</f>
        <v/>
      </c>
      <c r="D56" s="97">
        <f>IF($J56="","",INDEX(NKC!$E$7:$E$3006,$J56))</f>
        <v/>
      </c>
      <c r="E56" s="95">
        <f>IF($J56="","",IF(LEFT(INDEX(NKC!$F$7:$F$3006,$J56),LEN($B$5))=$B$5,INDEX(NKC!$G$7:$G$3006,$J56),INDEX(NKC!$F$7:$F$3006,$J56)))</f>
        <v/>
      </c>
      <c r="F56" s="125">
        <f>IF($J56="","",IF(LEFT(INDEX(NKC!$F$7:$F$3006,$J56),LEN($B$5))=$B$5,INDEX(NKC!$H$7:$H$3006,$J56),""))</f>
        <v/>
      </c>
      <c r="G56" s="125">
        <f>IF($J56="","",IF(LEFT(INDEX(NKC!$G$7:$G$3006,$J56),LEN($B$5))=$B$5,INDEX(NKC!$H$7:$H$3006,$J56),""))</f>
        <v/>
      </c>
      <c r="H56" s="132">
        <f>IF($J56="","",H55+N(F56)-N(G56))</f>
        <v/>
      </c>
      <c r="J56" s="117">
        <f>IFERROR(MATCH(49,NKC!$P$7:$P$3006,0),"")</f>
        <v/>
      </c>
    </row>
    <row r="57" ht="15" customHeight="1" s="78">
      <c r="A57" s="131">
        <f>IF($J57="","",INDEX(NKC!$B$7:$B$3006,$J57))</f>
        <v/>
      </c>
      <c r="B57" s="95">
        <f>IF($J57="","",INDEX(NKC!$C$7:$C$3006,$J57))</f>
        <v/>
      </c>
      <c r="C57" s="131">
        <f>IF($J57="","",INDEX(NKC!$D$7:$D$3006,$J57))</f>
        <v/>
      </c>
      <c r="D57" s="97">
        <f>IF($J57="","",INDEX(NKC!$E$7:$E$3006,$J57))</f>
        <v/>
      </c>
      <c r="E57" s="95">
        <f>IF($J57="","",IF(LEFT(INDEX(NKC!$F$7:$F$3006,$J57),LEN($B$5))=$B$5,INDEX(NKC!$G$7:$G$3006,$J57),INDEX(NKC!$F$7:$F$3006,$J57)))</f>
        <v/>
      </c>
      <c r="F57" s="125">
        <f>IF($J57="","",IF(LEFT(INDEX(NKC!$F$7:$F$3006,$J57),LEN($B$5))=$B$5,INDEX(NKC!$H$7:$H$3006,$J57),""))</f>
        <v/>
      </c>
      <c r="G57" s="125">
        <f>IF($J57="","",IF(LEFT(INDEX(NKC!$G$7:$G$3006,$J57),LEN($B$5))=$B$5,INDEX(NKC!$H$7:$H$3006,$J57),""))</f>
        <v/>
      </c>
      <c r="H57" s="132">
        <f>IF($J57="","",H56+N(F57)-N(G57))</f>
        <v/>
      </c>
      <c r="J57" s="117">
        <f>IFERROR(MATCH(50,NKC!$P$7:$P$3006,0),"")</f>
        <v/>
      </c>
    </row>
    <row r="58" ht="15" customHeight="1" s="78">
      <c r="A58" s="131">
        <f>IF($J58="","",INDEX(NKC!$B$7:$B$3006,$J58))</f>
        <v/>
      </c>
      <c r="B58" s="95">
        <f>IF($J58="","",INDEX(NKC!$C$7:$C$3006,$J58))</f>
        <v/>
      </c>
      <c r="C58" s="131">
        <f>IF($J58="","",INDEX(NKC!$D$7:$D$3006,$J58))</f>
        <v/>
      </c>
      <c r="D58" s="97">
        <f>IF($J58="","",INDEX(NKC!$E$7:$E$3006,$J58))</f>
        <v/>
      </c>
      <c r="E58" s="95">
        <f>IF($J58="","",IF(LEFT(INDEX(NKC!$F$7:$F$3006,$J58),LEN($B$5))=$B$5,INDEX(NKC!$G$7:$G$3006,$J58),INDEX(NKC!$F$7:$F$3006,$J58)))</f>
        <v/>
      </c>
      <c r="F58" s="125">
        <f>IF($J58="","",IF(LEFT(INDEX(NKC!$F$7:$F$3006,$J58),LEN($B$5))=$B$5,INDEX(NKC!$H$7:$H$3006,$J58),""))</f>
        <v/>
      </c>
      <c r="G58" s="125">
        <f>IF($J58="","",IF(LEFT(INDEX(NKC!$G$7:$G$3006,$J58),LEN($B$5))=$B$5,INDEX(NKC!$H$7:$H$3006,$J58),""))</f>
        <v/>
      </c>
      <c r="H58" s="132">
        <f>IF($J58="","",H57+N(F58)-N(G58))</f>
        <v/>
      </c>
      <c r="J58" s="117">
        <f>IFERROR(MATCH(51,NKC!$P$7:$P$3006,0),"")</f>
        <v/>
      </c>
    </row>
    <row r="59" ht="15" customHeight="1" s="78">
      <c r="A59" s="131">
        <f>IF($J59="","",INDEX(NKC!$B$7:$B$3006,$J59))</f>
        <v/>
      </c>
      <c r="B59" s="95">
        <f>IF($J59="","",INDEX(NKC!$C$7:$C$3006,$J59))</f>
        <v/>
      </c>
      <c r="C59" s="131">
        <f>IF($J59="","",INDEX(NKC!$D$7:$D$3006,$J59))</f>
        <v/>
      </c>
      <c r="D59" s="97">
        <f>IF($J59="","",INDEX(NKC!$E$7:$E$3006,$J59))</f>
        <v/>
      </c>
      <c r="E59" s="95">
        <f>IF($J59="","",IF(LEFT(INDEX(NKC!$F$7:$F$3006,$J59),LEN($B$5))=$B$5,INDEX(NKC!$G$7:$G$3006,$J59),INDEX(NKC!$F$7:$F$3006,$J59)))</f>
        <v/>
      </c>
      <c r="F59" s="125">
        <f>IF($J59="","",IF(LEFT(INDEX(NKC!$F$7:$F$3006,$J59),LEN($B$5))=$B$5,INDEX(NKC!$H$7:$H$3006,$J59),""))</f>
        <v/>
      </c>
      <c r="G59" s="125">
        <f>IF($J59="","",IF(LEFT(INDEX(NKC!$G$7:$G$3006,$J59),LEN($B$5))=$B$5,INDEX(NKC!$H$7:$H$3006,$J59),""))</f>
        <v/>
      </c>
      <c r="H59" s="132">
        <f>IF($J59="","",H58+N(F59)-N(G59))</f>
        <v/>
      </c>
      <c r="J59" s="117">
        <f>IFERROR(MATCH(52,NKC!$P$7:$P$3006,0),"")</f>
        <v/>
      </c>
    </row>
    <row r="60" ht="15" customHeight="1" s="78">
      <c r="A60" s="131">
        <f>IF($J60="","",INDEX(NKC!$B$7:$B$3006,$J60))</f>
        <v/>
      </c>
      <c r="B60" s="95">
        <f>IF($J60="","",INDEX(NKC!$C$7:$C$3006,$J60))</f>
        <v/>
      </c>
      <c r="C60" s="131">
        <f>IF($J60="","",INDEX(NKC!$D$7:$D$3006,$J60))</f>
        <v/>
      </c>
      <c r="D60" s="97">
        <f>IF($J60="","",INDEX(NKC!$E$7:$E$3006,$J60))</f>
        <v/>
      </c>
      <c r="E60" s="95">
        <f>IF($J60="","",IF(LEFT(INDEX(NKC!$F$7:$F$3006,$J60),LEN($B$5))=$B$5,INDEX(NKC!$G$7:$G$3006,$J60),INDEX(NKC!$F$7:$F$3006,$J60)))</f>
        <v/>
      </c>
      <c r="F60" s="125">
        <f>IF($J60="","",IF(LEFT(INDEX(NKC!$F$7:$F$3006,$J60),LEN($B$5))=$B$5,INDEX(NKC!$H$7:$H$3006,$J60),""))</f>
        <v/>
      </c>
      <c r="G60" s="125">
        <f>IF($J60="","",IF(LEFT(INDEX(NKC!$G$7:$G$3006,$J60),LEN($B$5))=$B$5,INDEX(NKC!$H$7:$H$3006,$J60),""))</f>
        <v/>
      </c>
      <c r="H60" s="132">
        <f>IF($J60="","",H59+N(F60)-N(G60))</f>
        <v/>
      </c>
      <c r="J60" s="117">
        <f>IFERROR(MATCH(53,NKC!$P$7:$P$3006,0),"")</f>
        <v/>
      </c>
    </row>
    <row r="61" ht="15" customHeight="1" s="78">
      <c r="A61" s="131">
        <f>IF($J61="","",INDEX(NKC!$B$7:$B$3006,$J61))</f>
        <v/>
      </c>
      <c r="B61" s="95">
        <f>IF($J61="","",INDEX(NKC!$C$7:$C$3006,$J61))</f>
        <v/>
      </c>
      <c r="C61" s="131">
        <f>IF($J61="","",INDEX(NKC!$D$7:$D$3006,$J61))</f>
        <v/>
      </c>
      <c r="D61" s="97">
        <f>IF($J61="","",INDEX(NKC!$E$7:$E$3006,$J61))</f>
        <v/>
      </c>
      <c r="E61" s="95">
        <f>IF($J61="","",IF(LEFT(INDEX(NKC!$F$7:$F$3006,$J61),LEN($B$5))=$B$5,INDEX(NKC!$G$7:$G$3006,$J61),INDEX(NKC!$F$7:$F$3006,$J61)))</f>
        <v/>
      </c>
      <c r="F61" s="125">
        <f>IF($J61="","",IF(LEFT(INDEX(NKC!$F$7:$F$3006,$J61),LEN($B$5))=$B$5,INDEX(NKC!$H$7:$H$3006,$J61),""))</f>
        <v/>
      </c>
      <c r="G61" s="125">
        <f>IF($J61="","",IF(LEFT(INDEX(NKC!$G$7:$G$3006,$J61),LEN($B$5))=$B$5,INDEX(NKC!$H$7:$H$3006,$J61),""))</f>
        <v/>
      </c>
      <c r="H61" s="132">
        <f>IF($J61="","",H60+N(F61)-N(G61))</f>
        <v/>
      </c>
      <c r="J61" s="117">
        <f>IFERROR(MATCH(54,NKC!$P$7:$P$3006,0),"")</f>
        <v/>
      </c>
    </row>
    <row r="62" ht="15" customHeight="1" s="78">
      <c r="A62" s="131">
        <f>IF($J62="","",INDEX(NKC!$B$7:$B$3006,$J62))</f>
        <v/>
      </c>
      <c r="B62" s="95">
        <f>IF($J62="","",INDEX(NKC!$C$7:$C$3006,$J62))</f>
        <v/>
      </c>
      <c r="C62" s="131">
        <f>IF($J62="","",INDEX(NKC!$D$7:$D$3006,$J62))</f>
        <v/>
      </c>
      <c r="D62" s="97">
        <f>IF($J62="","",INDEX(NKC!$E$7:$E$3006,$J62))</f>
        <v/>
      </c>
      <c r="E62" s="95">
        <f>IF($J62="","",IF(LEFT(INDEX(NKC!$F$7:$F$3006,$J62),LEN($B$5))=$B$5,INDEX(NKC!$G$7:$G$3006,$J62),INDEX(NKC!$F$7:$F$3006,$J62)))</f>
        <v/>
      </c>
      <c r="F62" s="125">
        <f>IF($J62="","",IF(LEFT(INDEX(NKC!$F$7:$F$3006,$J62),LEN($B$5))=$B$5,INDEX(NKC!$H$7:$H$3006,$J62),""))</f>
        <v/>
      </c>
      <c r="G62" s="125">
        <f>IF($J62="","",IF(LEFT(INDEX(NKC!$G$7:$G$3006,$J62),LEN($B$5))=$B$5,INDEX(NKC!$H$7:$H$3006,$J62),""))</f>
        <v/>
      </c>
      <c r="H62" s="132">
        <f>IF($J62="","",H61+N(F62)-N(G62))</f>
        <v/>
      </c>
      <c r="J62" s="117">
        <f>IFERROR(MATCH(55,NKC!$P$7:$P$3006,0),"")</f>
        <v/>
      </c>
    </row>
    <row r="63" ht="15" customHeight="1" s="78">
      <c r="A63" s="131">
        <f>IF($J63="","",INDEX(NKC!$B$7:$B$3006,$J63))</f>
        <v/>
      </c>
      <c r="B63" s="95">
        <f>IF($J63="","",INDEX(NKC!$C$7:$C$3006,$J63))</f>
        <v/>
      </c>
      <c r="C63" s="131">
        <f>IF($J63="","",INDEX(NKC!$D$7:$D$3006,$J63))</f>
        <v/>
      </c>
      <c r="D63" s="97">
        <f>IF($J63="","",INDEX(NKC!$E$7:$E$3006,$J63))</f>
        <v/>
      </c>
      <c r="E63" s="95">
        <f>IF($J63="","",IF(LEFT(INDEX(NKC!$F$7:$F$3006,$J63),LEN($B$5))=$B$5,INDEX(NKC!$G$7:$G$3006,$J63),INDEX(NKC!$F$7:$F$3006,$J63)))</f>
        <v/>
      </c>
      <c r="F63" s="125">
        <f>IF($J63="","",IF(LEFT(INDEX(NKC!$F$7:$F$3006,$J63),LEN($B$5))=$B$5,INDEX(NKC!$H$7:$H$3006,$J63),""))</f>
        <v/>
      </c>
      <c r="G63" s="125">
        <f>IF($J63="","",IF(LEFT(INDEX(NKC!$G$7:$G$3006,$J63),LEN($B$5))=$B$5,INDEX(NKC!$H$7:$H$3006,$J63),""))</f>
        <v/>
      </c>
      <c r="H63" s="132">
        <f>IF($J63="","",H62+N(F63)-N(G63))</f>
        <v/>
      </c>
      <c r="J63" s="117">
        <f>IFERROR(MATCH(56,NKC!$P$7:$P$3006,0),"")</f>
        <v/>
      </c>
    </row>
    <row r="64" ht="15" customHeight="1" s="78">
      <c r="A64" s="131">
        <f>IF($J64="","",INDEX(NKC!$B$7:$B$3006,$J64))</f>
        <v/>
      </c>
      <c r="B64" s="95">
        <f>IF($J64="","",INDEX(NKC!$C$7:$C$3006,$J64))</f>
        <v/>
      </c>
      <c r="C64" s="131">
        <f>IF($J64="","",INDEX(NKC!$D$7:$D$3006,$J64))</f>
        <v/>
      </c>
      <c r="D64" s="97">
        <f>IF($J64="","",INDEX(NKC!$E$7:$E$3006,$J64))</f>
        <v/>
      </c>
      <c r="E64" s="95">
        <f>IF($J64="","",IF(LEFT(INDEX(NKC!$F$7:$F$3006,$J64),LEN($B$5))=$B$5,INDEX(NKC!$G$7:$G$3006,$J64),INDEX(NKC!$F$7:$F$3006,$J64)))</f>
        <v/>
      </c>
      <c r="F64" s="125">
        <f>IF($J64="","",IF(LEFT(INDEX(NKC!$F$7:$F$3006,$J64),LEN($B$5))=$B$5,INDEX(NKC!$H$7:$H$3006,$J64),""))</f>
        <v/>
      </c>
      <c r="G64" s="125">
        <f>IF($J64="","",IF(LEFT(INDEX(NKC!$G$7:$G$3006,$J64),LEN($B$5))=$B$5,INDEX(NKC!$H$7:$H$3006,$J64),""))</f>
        <v/>
      </c>
      <c r="H64" s="132">
        <f>IF($J64="","",H63+N(F64)-N(G64))</f>
        <v/>
      </c>
      <c r="J64" s="117">
        <f>IFERROR(MATCH(57,NKC!$P$7:$P$3006,0),"")</f>
        <v/>
      </c>
    </row>
    <row r="65" ht="15" customHeight="1" s="78">
      <c r="A65" s="131">
        <f>IF($J65="","",INDEX(NKC!$B$7:$B$3006,$J65))</f>
        <v/>
      </c>
      <c r="B65" s="95">
        <f>IF($J65="","",INDEX(NKC!$C$7:$C$3006,$J65))</f>
        <v/>
      </c>
      <c r="C65" s="131">
        <f>IF($J65="","",INDEX(NKC!$D$7:$D$3006,$J65))</f>
        <v/>
      </c>
      <c r="D65" s="97">
        <f>IF($J65="","",INDEX(NKC!$E$7:$E$3006,$J65))</f>
        <v/>
      </c>
      <c r="E65" s="95">
        <f>IF($J65="","",IF(LEFT(INDEX(NKC!$F$7:$F$3006,$J65),LEN($B$5))=$B$5,INDEX(NKC!$G$7:$G$3006,$J65),INDEX(NKC!$F$7:$F$3006,$J65)))</f>
        <v/>
      </c>
      <c r="F65" s="125">
        <f>IF($J65="","",IF(LEFT(INDEX(NKC!$F$7:$F$3006,$J65),LEN($B$5))=$B$5,INDEX(NKC!$H$7:$H$3006,$J65),""))</f>
        <v/>
      </c>
      <c r="G65" s="125">
        <f>IF($J65="","",IF(LEFT(INDEX(NKC!$G$7:$G$3006,$J65),LEN($B$5))=$B$5,INDEX(NKC!$H$7:$H$3006,$J65),""))</f>
        <v/>
      </c>
      <c r="H65" s="132">
        <f>IF($J65="","",H64+N(F65)-N(G65))</f>
        <v/>
      </c>
      <c r="J65" s="117">
        <f>IFERROR(MATCH(58,NKC!$P$7:$P$3006,0),"")</f>
        <v/>
      </c>
    </row>
    <row r="66" ht="15" customHeight="1" s="78">
      <c r="A66" s="131">
        <f>IF($J66="","",INDEX(NKC!$B$7:$B$3006,$J66))</f>
        <v/>
      </c>
      <c r="B66" s="95">
        <f>IF($J66="","",INDEX(NKC!$C$7:$C$3006,$J66))</f>
        <v/>
      </c>
      <c r="C66" s="131">
        <f>IF($J66="","",INDEX(NKC!$D$7:$D$3006,$J66))</f>
        <v/>
      </c>
      <c r="D66" s="97">
        <f>IF($J66="","",INDEX(NKC!$E$7:$E$3006,$J66))</f>
        <v/>
      </c>
      <c r="E66" s="95">
        <f>IF($J66="","",IF(LEFT(INDEX(NKC!$F$7:$F$3006,$J66),LEN($B$5))=$B$5,INDEX(NKC!$G$7:$G$3006,$J66),INDEX(NKC!$F$7:$F$3006,$J66)))</f>
        <v/>
      </c>
      <c r="F66" s="125">
        <f>IF($J66="","",IF(LEFT(INDEX(NKC!$F$7:$F$3006,$J66),LEN($B$5))=$B$5,INDEX(NKC!$H$7:$H$3006,$J66),""))</f>
        <v/>
      </c>
      <c r="G66" s="125">
        <f>IF($J66="","",IF(LEFT(INDEX(NKC!$G$7:$G$3006,$J66),LEN($B$5))=$B$5,INDEX(NKC!$H$7:$H$3006,$J66),""))</f>
        <v/>
      </c>
      <c r="H66" s="132">
        <f>IF($J66="","",H65+N(F66)-N(G66))</f>
        <v/>
      </c>
      <c r="J66" s="117">
        <f>IFERROR(MATCH(59,NKC!$P$7:$P$3006,0),"")</f>
        <v/>
      </c>
    </row>
    <row r="67" ht="15" customHeight="1" s="78">
      <c r="A67" s="131">
        <f>IF($J67="","",INDEX(NKC!$B$7:$B$3006,$J67))</f>
        <v/>
      </c>
      <c r="B67" s="95">
        <f>IF($J67="","",INDEX(NKC!$C$7:$C$3006,$J67))</f>
        <v/>
      </c>
      <c r="C67" s="131">
        <f>IF($J67="","",INDEX(NKC!$D$7:$D$3006,$J67))</f>
        <v/>
      </c>
      <c r="D67" s="97">
        <f>IF($J67="","",INDEX(NKC!$E$7:$E$3006,$J67))</f>
        <v/>
      </c>
      <c r="E67" s="95">
        <f>IF($J67="","",IF(LEFT(INDEX(NKC!$F$7:$F$3006,$J67),LEN($B$5))=$B$5,INDEX(NKC!$G$7:$G$3006,$J67),INDEX(NKC!$F$7:$F$3006,$J67)))</f>
        <v/>
      </c>
      <c r="F67" s="125">
        <f>IF($J67="","",IF(LEFT(INDEX(NKC!$F$7:$F$3006,$J67),LEN($B$5))=$B$5,INDEX(NKC!$H$7:$H$3006,$J67),""))</f>
        <v/>
      </c>
      <c r="G67" s="125">
        <f>IF($J67="","",IF(LEFT(INDEX(NKC!$G$7:$G$3006,$J67),LEN($B$5))=$B$5,INDEX(NKC!$H$7:$H$3006,$J67),""))</f>
        <v/>
      </c>
      <c r="H67" s="132">
        <f>IF($J67="","",H66+N(F67)-N(G67))</f>
        <v/>
      </c>
      <c r="J67" s="117">
        <f>IFERROR(MATCH(60,NKC!$P$7:$P$3006,0),"")</f>
        <v/>
      </c>
    </row>
    <row r="68" ht="15" customHeight="1" s="78">
      <c r="A68" s="131">
        <f>IF($J68="","",INDEX(NKC!$B$7:$B$3006,$J68))</f>
        <v/>
      </c>
      <c r="B68" s="95">
        <f>IF($J68="","",INDEX(NKC!$C$7:$C$3006,$J68))</f>
        <v/>
      </c>
      <c r="C68" s="131">
        <f>IF($J68="","",INDEX(NKC!$D$7:$D$3006,$J68))</f>
        <v/>
      </c>
      <c r="D68" s="97">
        <f>IF($J68="","",INDEX(NKC!$E$7:$E$3006,$J68))</f>
        <v/>
      </c>
      <c r="E68" s="95">
        <f>IF($J68="","",IF(LEFT(INDEX(NKC!$F$7:$F$3006,$J68),LEN($B$5))=$B$5,INDEX(NKC!$G$7:$G$3006,$J68),INDEX(NKC!$F$7:$F$3006,$J68)))</f>
        <v/>
      </c>
      <c r="F68" s="125">
        <f>IF($J68="","",IF(LEFT(INDEX(NKC!$F$7:$F$3006,$J68),LEN($B$5))=$B$5,INDEX(NKC!$H$7:$H$3006,$J68),""))</f>
        <v/>
      </c>
      <c r="G68" s="125">
        <f>IF($J68="","",IF(LEFT(INDEX(NKC!$G$7:$G$3006,$J68),LEN($B$5))=$B$5,INDEX(NKC!$H$7:$H$3006,$J68),""))</f>
        <v/>
      </c>
      <c r="H68" s="132">
        <f>IF($J68="","",H67+N(F68)-N(G68))</f>
        <v/>
      </c>
      <c r="J68" s="117">
        <f>IFERROR(MATCH(61,NKC!$P$7:$P$3006,0),"")</f>
        <v/>
      </c>
    </row>
    <row r="69" ht="15" customHeight="1" s="78">
      <c r="A69" s="131">
        <f>IF($J69="","",INDEX(NKC!$B$7:$B$3006,$J69))</f>
        <v/>
      </c>
      <c r="B69" s="95">
        <f>IF($J69="","",INDEX(NKC!$C$7:$C$3006,$J69))</f>
        <v/>
      </c>
      <c r="C69" s="131">
        <f>IF($J69="","",INDEX(NKC!$D$7:$D$3006,$J69))</f>
        <v/>
      </c>
      <c r="D69" s="97">
        <f>IF($J69="","",INDEX(NKC!$E$7:$E$3006,$J69))</f>
        <v/>
      </c>
      <c r="E69" s="95">
        <f>IF($J69="","",IF(LEFT(INDEX(NKC!$F$7:$F$3006,$J69),LEN($B$5))=$B$5,INDEX(NKC!$G$7:$G$3006,$J69),INDEX(NKC!$F$7:$F$3006,$J69)))</f>
        <v/>
      </c>
      <c r="F69" s="125">
        <f>IF($J69="","",IF(LEFT(INDEX(NKC!$F$7:$F$3006,$J69),LEN($B$5))=$B$5,INDEX(NKC!$H$7:$H$3006,$J69),""))</f>
        <v/>
      </c>
      <c r="G69" s="125">
        <f>IF($J69="","",IF(LEFT(INDEX(NKC!$G$7:$G$3006,$J69),LEN($B$5))=$B$5,INDEX(NKC!$H$7:$H$3006,$J69),""))</f>
        <v/>
      </c>
      <c r="H69" s="132">
        <f>IF($J69="","",H68+N(F69)-N(G69))</f>
        <v/>
      </c>
      <c r="J69" s="117">
        <f>IFERROR(MATCH(62,NKC!$P$7:$P$3006,0),"")</f>
        <v/>
      </c>
    </row>
    <row r="70" ht="15" customHeight="1" s="78">
      <c r="A70" s="131">
        <f>IF($J70="","",INDEX(NKC!$B$7:$B$3006,$J70))</f>
        <v/>
      </c>
      <c r="B70" s="95">
        <f>IF($J70="","",INDEX(NKC!$C$7:$C$3006,$J70))</f>
        <v/>
      </c>
      <c r="C70" s="131">
        <f>IF($J70="","",INDEX(NKC!$D$7:$D$3006,$J70))</f>
        <v/>
      </c>
      <c r="D70" s="97">
        <f>IF($J70="","",INDEX(NKC!$E$7:$E$3006,$J70))</f>
        <v/>
      </c>
      <c r="E70" s="95">
        <f>IF($J70="","",IF(LEFT(INDEX(NKC!$F$7:$F$3006,$J70),LEN($B$5))=$B$5,INDEX(NKC!$G$7:$G$3006,$J70),INDEX(NKC!$F$7:$F$3006,$J70)))</f>
        <v/>
      </c>
      <c r="F70" s="125">
        <f>IF($J70="","",IF(LEFT(INDEX(NKC!$F$7:$F$3006,$J70),LEN($B$5))=$B$5,INDEX(NKC!$H$7:$H$3006,$J70),""))</f>
        <v/>
      </c>
      <c r="G70" s="125">
        <f>IF($J70="","",IF(LEFT(INDEX(NKC!$G$7:$G$3006,$J70),LEN($B$5))=$B$5,INDEX(NKC!$H$7:$H$3006,$J70),""))</f>
        <v/>
      </c>
      <c r="H70" s="132">
        <f>IF($J70="","",H69+N(F70)-N(G70))</f>
        <v/>
      </c>
      <c r="J70" s="117">
        <f>IFERROR(MATCH(63,NKC!$P$7:$P$3006,0),"")</f>
        <v/>
      </c>
    </row>
    <row r="71" ht="15" customHeight="1" s="78">
      <c r="A71" s="131">
        <f>IF($J71="","",INDEX(NKC!$B$7:$B$3006,$J71))</f>
        <v/>
      </c>
      <c r="B71" s="95">
        <f>IF($J71="","",INDEX(NKC!$C$7:$C$3006,$J71))</f>
        <v/>
      </c>
      <c r="C71" s="131">
        <f>IF($J71="","",INDEX(NKC!$D$7:$D$3006,$J71))</f>
        <v/>
      </c>
      <c r="D71" s="97">
        <f>IF($J71="","",INDEX(NKC!$E$7:$E$3006,$J71))</f>
        <v/>
      </c>
      <c r="E71" s="95">
        <f>IF($J71="","",IF(LEFT(INDEX(NKC!$F$7:$F$3006,$J71),LEN($B$5))=$B$5,INDEX(NKC!$G$7:$G$3006,$J71),INDEX(NKC!$F$7:$F$3006,$J71)))</f>
        <v/>
      </c>
      <c r="F71" s="125">
        <f>IF($J71="","",IF(LEFT(INDEX(NKC!$F$7:$F$3006,$J71),LEN($B$5))=$B$5,INDEX(NKC!$H$7:$H$3006,$J71),""))</f>
        <v/>
      </c>
      <c r="G71" s="125">
        <f>IF($J71="","",IF(LEFT(INDEX(NKC!$G$7:$G$3006,$J71),LEN($B$5))=$B$5,INDEX(NKC!$H$7:$H$3006,$J71),""))</f>
        <v/>
      </c>
      <c r="H71" s="132">
        <f>IF($J71="","",H70+N(F71)-N(G71))</f>
        <v/>
      </c>
      <c r="J71" s="117">
        <f>IFERROR(MATCH(64,NKC!$P$7:$P$3006,0),"")</f>
        <v/>
      </c>
    </row>
    <row r="72" ht="15" customHeight="1" s="78">
      <c r="A72" s="131">
        <f>IF($J72="","",INDEX(NKC!$B$7:$B$3006,$J72))</f>
        <v/>
      </c>
      <c r="B72" s="95">
        <f>IF($J72="","",INDEX(NKC!$C$7:$C$3006,$J72))</f>
        <v/>
      </c>
      <c r="C72" s="131">
        <f>IF($J72="","",INDEX(NKC!$D$7:$D$3006,$J72))</f>
        <v/>
      </c>
      <c r="D72" s="97">
        <f>IF($J72="","",INDEX(NKC!$E$7:$E$3006,$J72))</f>
        <v/>
      </c>
      <c r="E72" s="95">
        <f>IF($J72="","",IF(LEFT(INDEX(NKC!$F$7:$F$3006,$J72),LEN($B$5))=$B$5,INDEX(NKC!$G$7:$G$3006,$J72),INDEX(NKC!$F$7:$F$3006,$J72)))</f>
        <v/>
      </c>
      <c r="F72" s="125">
        <f>IF($J72="","",IF(LEFT(INDEX(NKC!$F$7:$F$3006,$J72),LEN($B$5))=$B$5,INDEX(NKC!$H$7:$H$3006,$J72),""))</f>
        <v/>
      </c>
      <c r="G72" s="125">
        <f>IF($J72="","",IF(LEFT(INDEX(NKC!$G$7:$G$3006,$J72),LEN($B$5))=$B$5,INDEX(NKC!$H$7:$H$3006,$J72),""))</f>
        <v/>
      </c>
      <c r="H72" s="132">
        <f>IF($J72="","",H71+N(F72)-N(G72))</f>
        <v/>
      </c>
      <c r="J72" s="117">
        <f>IFERROR(MATCH(65,NKC!$P$7:$P$3006,0),"")</f>
        <v/>
      </c>
    </row>
    <row r="73" ht="15" customHeight="1" s="78">
      <c r="A73" s="131">
        <f>IF($J73="","",INDEX(NKC!$B$7:$B$3006,$J73))</f>
        <v/>
      </c>
      <c r="B73" s="95">
        <f>IF($J73="","",INDEX(NKC!$C$7:$C$3006,$J73))</f>
        <v/>
      </c>
      <c r="C73" s="131">
        <f>IF($J73="","",INDEX(NKC!$D$7:$D$3006,$J73))</f>
        <v/>
      </c>
      <c r="D73" s="97">
        <f>IF($J73="","",INDEX(NKC!$E$7:$E$3006,$J73))</f>
        <v/>
      </c>
      <c r="E73" s="95">
        <f>IF($J73="","",IF(LEFT(INDEX(NKC!$F$7:$F$3006,$J73),LEN($B$5))=$B$5,INDEX(NKC!$G$7:$G$3006,$J73),INDEX(NKC!$F$7:$F$3006,$J73)))</f>
        <v/>
      </c>
      <c r="F73" s="125">
        <f>IF($J73="","",IF(LEFT(INDEX(NKC!$F$7:$F$3006,$J73),LEN($B$5))=$B$5,INDEX(NKC!$H$7:$H$3006,$J73),""))</f>
        <v/>
      </c>
      <c r="G73" s="125">
        <f>IF($J73="","",IF(LEFT(INDEX(NKC!$G$7:$G$3006,$J73),LEN($B$5))=$B$5,INDEX(NKC!$H$7:$H$3006,$J73),""))</f>
        <v/>
      </c>
      <c r="H73" s="132">
        <f>IF($J73="","",H72+N(F73)-N(G73))</f>
        <v/>
      </c>
      <c r="J73" s="117">
        <f>IFERROR(MATCH(66,NKC!$P$7:$P$3006,0),"")</f>
        <v/>
      </c>
    </row>
    <row r="74" ht="15" customHeight="1" s="78">
      <c r="A74" s="131">
        <f>IF($J74="","",INDEX(NKC!$B$7:$B$3006,$J74))</f>
        <v/>
      </c>
      <c r="B74" s="95">
        <f>IF($J74="","",INDEX(NKC!$C$7:$C$3006,$J74))</f>
        <v/>
      </c>
      <c r="C74" s="131">
        <f>IF($J74="","",INDEX(NKC!$D$7:$D$3006,$J74))</f>
        <v/>
      </c>
      <c r="D74" s="97">
        <f>IF($J74="","",INDEX(NKC!$E$7:$E$3006,$J74))</f>
        <v/>
      </c>
      <c r="E74" s="95">
        <f>IF($J74="","",IF(LEFT(INDEX(NKC!$F$7:$F$3006,$J74),LEN($B$5))=$B$5,INDEX(NKC!$G$7:$G$3006,$J74),INDEX(NKC!$F$7:$F$3006,$J74)))</f>
        <v/>
      </c>
      <c r="F74" s="125">
        <f>IF($J74="","",IF(LEFT(INDEX(NKC!$F$7:$F$3006,$J74),LEN($B$5))=$B$5,INDEX(NKC!$H$7:$H$3006,$J74),""))</f>
        <v/>
      </c>
      <c r="G74" s="125">
        <f>IF($J74="","",IF(LEFT(INDEX(NKC!$G$7:$G$3006,$J74),LEN($B$5))=$B$5,INDEX(NKC!$H$7:$H$3006,$J74),""))</f>
        <v/>
      </c>
      <c r="H74" s="132">
        <f>IF($J74="","",H73+N(F74)-N(G74))</f>
        <v/>
      </c>
      <c r="J74" s="117">
        <f>IFERROR(MATCH(67,NKC!$P$7:$P$3006,0),"")</f>
        <v/>
      </c>
    </row>
    <row r="75" ht="15" customHeight="1" s="78">
      <c r="A75" s="131">
        <f>IF($J75="","",INDEX(NKC!$B$7:$B$3006,$J75))</f>
        <v/>
      </c>
      <c r="B75" s="95">
        <f>IF($J75="","",INDEX(NKC!$C$7:$C$3006,$J75))</f>
        <v/>
      </c>
      <c r="C75" s="131">
        <f>IF($J75="","",INDEX(NKC!$D$7:$D$3006,$J75))</f>
        <v/>
      </c>
      <c r="D75" s="97">
        <f>IF($J75="","",INDEX(NKC!$E$7:$E$3006,$J75))</f>
        <v/>
      </c>
      <c r="E75" s="95">
        <f>IF($J75="","",IF(LEFT(INDEX(NKC!$F$7:$F$3006,$J75),LEN($B$5))=$B$5,INDEX(NKC!$G$7:$G$3006,$J75),INDEX(NKC!$F$7:$F$3006,$J75)))</f>
        <v/>
      </c>
      <c r="F75" s="125">
        <f>IF($J75="","",IF(LEFT(INDEX(NKC!$F$7:$F$3006,$J75),LEN($B$5))=$B$5,INDEX(NKC!$H$7:$H$3006,$J75),""))</f>
        <v/>
      </c>
      <c r="G75" s="125">
        <f>IF($J75="","",IF(LEFT(INDEX(NKC!$G$7:$G$3006,$J75),LEN($B$5))=$B$5,INDEX(NKC!$H$7:$H$3006,$J75),""))</f>
        <v/>
      </c>
      <c r="H75" s="132">
        <f>IF($J75="","",H74+N(F75)-N(G75))</f>
        <v/>
      </c>
      <c r="J75" s="117">
        <f>IFERROR(MATCH(68,NKC!$P$7:$P$3006,0),"")</f>
        <v/>
      </c>
    </row>
    <row r="76" ht="15" customHeight="1" s="78">
      <c r="A76" s="131">
        <f>IF($J76="","",INDEX(NKC!$B$7:$B$3006,$J76))</f>
        <v/>
      </c>
      <c r="B76" s="95">
        <f>IF($J76="","",INDEX(NKC!$C$7:$C$3006,$J76))</f>
        <v/>
      </c>
      <c r="C76" s="131">
        <f>IF($J76="","",INDEX(NKC!$D$7:$D$3006,$J76))</f>
        <v/>
      </c>
      <c r="D76" s="97">
        <f>IF($J76="","",INDEX(NKC!$E$7:$E$3006,$J76))</f>
        <v/>
      </c>
      <c r="E76" s="95">
        <f>IF($J76="","",IF(LEFT(INDEX(NKC!$F$7:$F$3006,$J76),LEN($B$5))=$B$5,INDEX(NKC!$G$7:$G$3006,$J76),INDEX(NKC!$F$7:$F$3006,$J76)))</f>
        <v/>
      </c>
      <c r="F76" s="125">
        <f>IF($J76="","",IF(LEFT(INDEX(NKC!$F$7:$F$3006,$J76),LEN($B$5))=$B$5,INDEX(NKC!$H$7:$H$3006,$J76),""))</f>
        <v/>
      </c>
      <c r="G76" s="125">
        <f>IF($J76="","",IF(LEFT(INDEX(NKC!$G$7:$G$3006,$J76),LEN($B$5))=$B$5,INDEX(NKC!$H$7:$H$3006,$J76),""))</f>
        <v/>
      </c>
      <c r="H76" s="132">
        <f>IF($J76="","",H75+N(F76)-N(G76))</f>
        <v/>
      </c>
      <c r="J76" s="117">
        <f>IFERROR(MATCH(69,NKC!$P$7:$P$3006,0),"")</f>
        <v/>
      </c>
    </row>
    <row r="77" ht="15" customHeight="1" s="78">
      <c r="A77" s="131">
        <f>IF($J77="","",INDEX(NKC!$B$7:$B$3006,$J77))</f>
        <v/>
      </c>
      <c r="B77" s="95">
        <f>IF($J77="","",INDEX(NKC!$C$7:$C$3006,$J77))</f>
        <v/>
      </c>
      <c r="C77" s="131">
        <f>IF($J77="","",INDEX(NKC!$D$7:$D$3006,$J77))</f>
        <v/>
      </c>
      <c r="D77" s="97">
        <f>IF($J77="","",INDEX(NKC!$E$7:$E$3006,$J77))</f>
        <v/>
      </c>
      <c r="E77" s="95">
        <f>IF($J77="","",IF(LEFT(INDEX(NKC!$F$7:$F$3006,$J77),LEN($B$5))=$B$5,INDEX(NKC!$G$7:$G$3006,$J77),INDEX(NKC!$F$7:$F$3006,$J77)))</f>
        <v/>
      </c>
      <c r="F77" s="125">
        <f>IF($J77="","",IF(LEFT(INDEX(NKC!$F$7:$F$3006,$J77),LEN($B$5))=$B$5,INDEX(NKC!$H$7:$H$3006,$J77),""))</f>
        <v/>
      </c>
      <c r="G77" s="125">
        <f>IF($J77="","",IF(LEFT(INDEX(NKC!$G$7:$G$3006,$J77),LEN($B$5))=$B$5,INDEX(NKC!$H$7:$H$3006,$J77),""))</f>
        <v/>
      </c>
      <c r="H77" s="132">
        <f>IF($J77="","",H76+N(F77)-N(G77))</f>
        <v/>
      </c>
      <c r="J77" s="117">
        <f>IFERROR(MATCH(70,NKC!$P$7:$P$3006,0),"")</f>
        <v/>
      </c>
    </row>
    <row r="78" ht="15" customHeight="1" s="78">
      <c r="A78" s="131">
        <f>IF($J78="","",INDEX(NKC!$B$7:$B$3006,$J78))</f>
        <v/>
      </c>
      <c r="B78" s="95">
        <f>IF($J78="","",INDEX(NKC!$C$7:$C$3006,$J78))</f>
        <v/>
      </c>
      <c r="C78" s="131">
        <f>IF($J78="","",INDEX(NKC!$D$7:$D$3006,$J78))</f>
        <v/>
      </c>
      <c r="D78" s="97">
        <f>IF($J78="","",INDEX(NKC!$E$7:$E$3006,$J78))</f>
        <v/>
      </c>
      <c r="E78" s="95">
        <f>IF($J78="","",IF(LEFT(INDEX(NKC!$F$7:$F$3006,$J78),LEN($B$5))=$B$5,INDEX(NKC!$G$7:$G$3006,$J78),INDEX(NKC!$F$7:$F$3006,$J78)))</f>
        <v/>
      </c>
      <c r="F78" s="125">
        <f>IF($J78="","",IF(LEFT(INDEX(NKC!$F$7:$F$3006,$J78),LEN($B$5))=$B$5,INDEX(NKC!$H$7:$H$3006,$J78),""))</f>
        <v/>
      </c>
      <c r="G78" s="125">
        <f>IF($J78="","",IF(LEFT(INDEX(NKC!$G$7:$G$3006,$J78),LEN($B$5))=$B$5,INDEX(NKC!$H$7:$H$3006,$J78),""))</f>
        <v/>
      </c>
      <c r="H78" s="132">
        <f>IF($J78="","",H77+N(F78)-N(G78))</f>
        <v/>
      </c>
      <c r="J78" s="117">
        <f>IFERROR(MATCH(71,NKC!$P$7:$P$3006,0),"")</f>
        <v/>
      </c>
    </row>
    <row r="79" ht="15" customHeight="1" s="78">
      <c r="A79" s="131">
        <f>IF($J79="","",INDEX(NKC!$B$7:$B$3006,$J79))</f>
        <v/>
      </c>
      <c r="B79" s="95">
        <f>IF($J79="","",INDEX(NKC!$C$7:$C$3006,$J79))</f>
        <v/>
      </c>
      <c r="C79" s="131">
        <f>IF($J79="","",INDEX(NKC!$D$7:$D$3006,$J79))</f>
        <v/>
      </c>
      <c r="D79" s="97">
        <f>IF($J79="","",INDEX(NKC!$E$7:$E$3006,$J79))</f>
        <v/>
      </c>
      <c r="E79" s="95">
        <f>IF($J79="","",IF(LEFT(INDEX(NKC!$F$7:$F$3006,$J79),LEN($B$5))=$B$5,INDEX(NKC!$G$7:$G$3006,$J79),INDEX(NKC!$F$7:$F$3006,$J79)))</f>
        <v/>
      </c>
      <c r="F79" s="125">
        <f>IF($J79="","",IF(LEFT(INDEX(NKC!$F$7:$F$3006,$J79),LEN($B$5))=$B$5,INDEX(NKC!$H$7:$H$3006,$J79),""))</f>
        <v/>
      </c>
      <c r="G79" s="125">
        <f>IF($J79="","",IF(LEFT(INDEX(NKC!$G$7:$G$3006,$J79),LEN($B$5))=$B$5,INDEX(NKC!$H$7:$H$3006,$J79),""))</f>
        <v/>
      </c>
      <c r="H79" s="132">
        <f>IF($J79="","",H78+N(F79)-N(G79))</f>
        <v/>
      </c>
      <c r="J79" s="117">
        <f>IFERROR(MATCH(72,NKC!$P$7:$P$3006,0),"")</f>
        <v/>
      </c>
    </row>
    <row r="80" ht="15" customHeight="1" s="78">
      <c r="A80" s="131">
        <f>IF($J80="","",INDEX(NKC!$B$7:$B$3006,$J80))</f>
        <v/>
      </c>
      <c r="B80" s="95">
        <f>IF($J80="","",INDEX(NKC!$C$7:$C$3006,$J80))</f>
        <v/>
      </c>
      <c r="C80" s="131">
        <f>IF($J80="","",INDEX(NKC!$D$7:$D$3006,$J80))</f>
        <v/>
      </c>
      <c r="D80" s="97">
        <f>IF($J80="","",INDEX(NKC!$E$7:$E$3006,$J80))</f>
        <v/>
      </c>
      <c r="E80" s="95">
        <f>IF($J80="","",IF(LEFT(INDEX(NKC!$F$7:$F$3006,$J80),LEN($B$5))=$B$5,INDEX(NKC!$G$7:$G$3006,$J80),INDEX(NKC!$F$7:$F$3006,$J80)))</f>
        <v/>
      </c>
      <c r="F80" s="125">
        <f>IF($J80="","",IF(LEFT(INDEX(NKC!$F$7:$F$3006,$J80),LEN($B$5))=$B$5,INDEX(NKC!$H$7:$H$3006,$J80),""))</f>
        <v/>
      </c>
      <c r="G80" s="125">
        <f>IF($J80="","",IF(LEFT(INDEX(NKC!$G$7:$G$3006,$J80),LEN($B$5))=$B$5,INDEX(NKC!$H$7:$H$3006,$J80),""))</f>
        <v/>
      </c>
      <c r="H80" s="132">
        <f>IF($J80="","",H79+N(F80)-N(G80))</f>
        <v/>
      </c>
      <c r="J80" s="117">
        <f>IFERROR(MATCH(73,NKC!$P$7:$P$3006,0),"")</f>
        <v/>
      </c>
    </row>
    <row r="81" ht="15" customHeight="1" s="78">
      <c r="A81" s="131">
        <f>IF($J81="","",INDEX(NKC!$B$7:$B$3006,$J81))</f>
        <v/>
      </c>
      <c r="B81" s="95">
        <f>IF($J81="","",INDEX(NKC!$C$7:$C$3006,$J81))</f>
        <v/>
      </c>
      <c r="C81" s="131">
        <f>IF($J81="","",INDEX(NKC!$D$7:$D$3006,$J81))</f>
        <v/>
      </c>
      <c r="D81" s="97">
        <f>IF($J81="","",INDEX(NKC!$E$7:$E$3006,$J81))</f>
        <v/>
      </c>
      <c r="E81" s="95">
        <f>IF($J81="","",IF(LEFT(INDEX(NKC!$F$7:$F$3006,$J81),LEN($B$5))=$B$5,INDEX(NKC!$G$7:$G$3006,$J81),INDEX(NKC!$F$7:$F$3006,$J81)))</f>
        <v/>
      </c>
      <c r="F81" s="125">
        <f>IF($J81="","",IF(LEFT(INDEX(NKC!$F$7:$F$3006,$J81),LEN($B$5))=$B$5,INDEX(NKC!$H$7:$H$3006,$J81),""))</f>
        <v/>
      </c>
      <c r="G81" s="125">
        <f>IF($J81="","",IF(LEFT(INDEX(NKC!$G$7:$G$3006,$J81),LEN($B$5))=$B$5,INDEX(NKC!$H$7:$H$3006,$J81),""))</f>
        <v/>
      </c>
      <c r="H81" s="132">
        <f>IF($J81="","",H80+N(F81)-N(G81))</f>
        <v/>
      </c>
      <c r="J81" s="117">
        <f>IFERROR(MATCH(74,NKC!$P$7:$P$3006,0),"")</f>
        <v/>
      </c>
    </row>
    <row r="82" ht="15" customHeight="1" s="78">
      <c r="A82" s="131">
        <f>IF($J82="","",INDEX(NKC!$B$7:$B$3006,$J82))</f>
        <v/>
      </c>
      <c r="B82" s="95">
        <f>IF($J82="","",INDEX(NKC!$C$7:$C$3006,$J82))</f>
        <v/>
      </c>
      <c r="C82" s="131">
        <f>IF($J82="","",INDEX(NKC!$D$7:$D$3006,$J82))</f>
        <v/>
      </c>
      <c r="D82" s="97">
        <f>IF($J82="","",INDEX(NKC!$E$7:$E$3006,$J82))</f>
        <v/>
      </c>
      <c r="E82" s="95">
        <f>IF($J82="","",IF(LEFT(INDEX(NKC!$F$7:$F$3006,$J82),LEN($B$5))=$B$5,INDEX(NKC!$G$7:$G$3006,$J82),INDEX(NKC!$F$7:$F$3006,$J82)))</f>
        <v/>
      </c>
      <c r="F82" s="125">
        <f>IF($J82="","",IF(LEFT(INDEX(NKC!$F$7:$F$3006,$J82),LEN($B$5))=$B$5,INDEX(NKC!$H$7:$H$3006,$J82),""))</f>
        <v/>
      </c>
      <c r="G82" s="125">
        <f>IF($J82="","",IF(LEFT(INDEX(NKC!$G$7:$G$3006,$J82),LEN($B$5))=$B$5,INDEX(NKC!$H$7:$H$3006,$J82),""))</f>
        <v/>
      </c>
      <c r="H82" s="132">
        <f>IF($J82="","",H81+N(F82)-N(G82))</f>
        <v/>
      </c>
      <c r="J82" s="117">
        <f>IFERROR(MATCH(75,NKC!$P$7:$P$3006,0),"")</f>
        <v/>
      </c>
    </row>
    <row r="83" ht="15" customHeight="1" s="78">
      <c r="A83" s="131">
        <f>IF($J83="","",INDEX(NKC!$B$7:$B$3006,$J83))</f>
        <v/>
      </c>
      <c r="B83" s="95">
        <f>IF($J83="","",INDEX(NKC!$C$7:$C$3006,$J83))</f>
        <v/>
      </c>
      <c r="C83" s="131">
        <f>IF($J83="","",INDEX(NKC!$D$7:$D$3006,$J83))</f>
        <v/>
      </c>
      <c r="D83" s="97">
        <f>IF($J83="","",INDEX(NKC!$E$7:$E$3006,$J83))</f>
        <v/>
      </c>
      <c r="E83" s="95">
        <f>IF($J83="","",IF(LEFT(INDEX(NKC!$F$7:$F$3006,$J83),LEN($B$5))=$B$5,INDEX(NKC!$G$7:$G$3006,$J83),INDEX(NKC!$F$7:$F$3006,$J83)))</f>
        <v/>
      </c>
      <c r="F83" s="125">
        <f>IF($J83="","",IF(LEFT(INDEX(NKC!$F$7:$F$3006,$J83),LEN($B$5))=$B$5,INDEX(NKC!$H$7:$H$3006,$J83),""))</f>
        <v/>
      </c>
      <c r="G83" s="125">
        <f>IF($J83="","",IF(LEFT(INDEX(NKC!$G$7:$G$3006,$J83),LEN($B$5))=$B$5,INDEX(NKC!$H$7:$H$3006,$J83),""))</f>
        <v/>
      </c>
      <c r="H83" s="132">
        <f>IF($J83="","",H82+N(F83)-N(G83))</f>
        <v/>
      </c>
      <c r="J83" s="117">
        <f>IFERROR(MATCH(76,NKC!$P$7:$P$3006,0),"")</f>
        <v/>
      </c>
    </row>
    <row r="84" ht="15" customHeight="1" s="78">
      <c r="A84" s="131">
        <f>IF($J84="","",INDEX(NKC!$B$7:$B$3006,$J84))</f>
        <v/>
      </c>
      <c r="B84" s="95">
        <f>IF($J84="","",INDEX(NKC!$C$7:$C$3006,$J84))</f>
        <v/>
      </c>
      <c r="C84" s="131">
        <f>IF($J84="","",INDEX(NKC!$D$7:$D$3006,$J84))</f>
        <v/>
      </c>
      <c r="D84" s="97">
        <f>IF($J84="","",INDEX(NKC!$E$7:$E$3006,$J84))</f>
        <v/>
      </c>
      <c r="E84" s="95">
        <f>IF($J84="","",IF(LEFT(INDEX(NKC!$F$7:$F$3006,$J84),LEN($B$5))=$B$5,INDEX(NKC!$G$7:$G$3006,$J84),INDEX(NKC!$F$7:$F$3006,$J84)))</f>
        <v/>
      </c>
      <c r="F84" s="125">
        <f>IF($J84="","",IF(LEFT(INDEX(NKC!$F$7:$F$3006,$J84),LEN($B$5))=$B$5,INDEX(NKC!$H$7:$H$3006,$J84),""))</f>
        <v/>
      </c>
      <c r="G84" s="125">
        <f>IF($J84="","",IF(LEFT(INDEX(NKC!$G$7:$G$3006,$J84),LEN($B$5))=$B$5,INDEX(NKC!$H$7:$H$3006,$J84),""))</f>
        <v/>
      </c>
      <c r="H84" s="132">
        <f>IF($J84="","",H83+N(F84)-N(G84))</f>
        <v/>
      </c>
      <c r="J84" s="117">
        <f>IFERROR(MATCH(77,NKC!$P$7:$P$3006,0),"")</f>
        <v/>
      </c>
    </row>
    <row r="85" ht="15" customHeight="1" s="78">
      <c r="A85" s="131">
        <f>IF($J85="","",INDEX(NKC!$B$7:$B$3006,$J85))</f>
        <v/>
      </c>
      <c r="B85" s="95">
        <f>IF($J85="","",INDEX(NKC!$C$7:$C$3006,$J85))</f>
        <v/>
      </c>
      <c r="C85" s="131">
        <f>IF($J85="","",INDEX(NKC!$D$7:$D$3006,$J85))</f>
        <v/>
      </c>
      <c r="D85" s="97">
        <f>IF($J85="","",INDEX(NKC!$E$7:$E$3006,$J85))</f>
        <v/>
      </c>
      <c r="E85" s="95">
        <f>IF($J85="","",IF(LEFT(INDEX(NKC!$F$7:$F$3006,$J85),LEN($B$5))=$B$5,INDEX(NKC!$G$7:$G$3006,$J85),INDEX(NKC!$F$7:$F$3006,$J85)))</f>
        <v/>
      </c>
      <c r="F85" s="125">
        <f>IF($J85="","",IF(LEFT(INDEX(NKC!$F$7:$F$3006,$J85),LEN($B$5))=$B$5,INDEX(NKC!$H$7:$H$3006,$J85),""))</f>
        <v/>
      </c>
      <c r="G85" s="125">
        <f>IF($J85="","",IF(LEFT(INDEX(NKC!$G$7:$G$3006,$J85),LEN($B$5))=$B$5,INDEX(NKC!$H$7:$H$3006,$J85),""))</f>
        <v/>
      </c>
      <c r="H85" s="132">
        <f>IF($J85="","",H84+N(F85)-N(G85))</f>
        <v/>
      </c>
      <c r="J85" s="117">
        <f>IFERROR(MATCH(78,NKC!$P$7:$P$3006,0),"")</f>
        <v/>
      </c>
    </row>
    <row r="86" ht="15" customHeight="1" s="78">
      <c r="A86" s="131">
        <f>IF($J86="","",INDEX(NKC!$B$7:$B$3006,$J86))</f>
        <v/>
      </c>
      <c r="B86" s="95">
        <f>IF($J86="","",INDEX(NKC!$C$7:$C$3006,$J86))</f>
        <v/>
      </c>
      <c r="C86" s="131">
        <f>IF($J86="","",INDEX(NKC!$D$7:$D$3006,$J86))</f>
        <v/>
      </c>
      <c r="D86" s="97">
        <f>IF($J86="","",INDEX(NKC!$E$7:$E$3006,$J86))</f>
        <v/>
      </c>
      <c r="E86" s="95">
        <f>IF($J86="","",IF(LEFT(INDEX(NKC!$F$7:$F$3006,$J86),LEN($B$5))=$B$5,INDEX(NKC!$G$7:$G$3006,$J86),INDEX(NKC!$F$7:$F$3006,$J86)))</f>
        <v/>
      </c>
      <c r="F86" s="125">
        <f>IF($J86="","",IF(LEFT(INDEX(NKC!$F$7:$F$3006,$J86),LEN($B$5))=$B$5,INDEX(NKC!$H$7:$H$3006,$J86),""))</f>
        <v/>
      </c>
      <c r="G86" s="125">
        <f>IF($J86="","",IF(LEFT(INDEX(NKC!$G$7:$G$3006,$J86),LEN($B$5))=$B$5,INDEX(NKC!$H$7:$H$3006,$J86),""))</f>
        <v/>
      </c>
      <c r="H86" s="132">
        <f>IF($J86="","",H85+N(F86)-N(G86))</f>
        <v/>
      </c>
      <c r="J86" s="117">
        <f>IFERROR(MATCH(79,NKC!$P$7:$P$3006,0),"")</f>
        <v/>
      </c>
    </row>
    <row r="87" ht="15" customHeight="1" s="78">
      <c r="A87" s="131">
        <f>IF($J87="","",INDEX(NKC!$B$7:$B$3006,$J87))</f>
        <v/>
      </c>
      <c r="B87" s="95">
        <f>IF($J87="","",INDEX(NKC!$C$7:$C$3006,$J87))</f>
        <v/>
      </c>
      <c r="C87" s="131">
        <f>IF($J87="","",INDEX(NKC!$D$7:$D$3006,$J87))</f>
        <v/>
      </c>
      <c r="D87" s="97">
        <f>IF($J87="","",INDEX(NKC!$E$7:$E$3006,$J87))</f>
        <v/>
      </c>
      <c r="E87" s="95">
        <f>IF($J87="","",IF(LEFT(INDEX(NKC!$F$7:$F$3006,$J87),LEN($B$5))=$B$5,INDEX(NKC!$G$7:$G$3006,$J87),INDEX(NKC!$F$7:$F$3006,$J87)))</f>
        <v/>
      </c>
      <c r="F87" s="125">
        <f>IF($J87="","",IF(LEFT(INDEX(NKC!$F$7:$F$3006,$J87),LEN($B$5))=$B$5,INDEX(NKC!$H$7:$H$3006,$J87),""))</f>
        <v/>
      </c>
      <c r="G87" s="125">
        <f>IF($J87="","",IF(LEFT(INDEX(NKC!$G$7:$G$3006,$J87),LEN($B$5))=$B$5,INDEX(NKC!$H$7:$H$3006,$J87),""))</f>
        <v/>
      </c>
      <c r="H87" s="132">
        <f>IF($J87="","",H86+N(F87)-N(G87))</f>
        <v/>
      </c>
      <c r="J87" s="117">
        <f>IFERROR(MATCH(80,NKC!$P$7:$P$3006,0),"")</f>
        <v/>
      </c>
    </row>
    <row r="88" ht="15" customHeight="1" s="78">
      <c r="A88" s="131">
        <f>IF($J88="","",INDEX(NKC!$B$7:$B$3006,$J88))</f>
        <v/>
      </c>
      <c r="B88" s="95">
        <f>IF($J88="","",INDEX(NKC!$C$7:$C$3006,$J88))</f>
        <v/>
      </c>
      <c r="C88" s="131">
        <f>IF($J88="","",INDEX(NKC!$D$7:$D$3006,$J88))</f>
        <v/>
      </c>
      <c r="D88" s="97">
        <f>IF($J88="","",INDEX(NKC!$E$7:$E$3006,$J88))</f>
        <v/>
      </c>
      <c r="E88" s="95">
        <f>IF($J88="","",IF(LEFT(INDEX(NKC!$F$7:$F$3006,$J88),LEN($B$5))=$B$5,INDEX(NKC!$G$7:$G$3006,$J88),INDEX(NKC!$F$7:$F$3006,$J88)))</f>
        <v/>
      </c>
      <c r="F88" s="125">
        <f>IF($J88="","",IF(LEFT(INDEX(NKC!$F$7:$F$3006,$J88),LEN($B$5))=$B$5,INDEX(NKC!$H$7:$H$3006,$J88),""))</f>
        <v/>
      </c>
      <c r="G88" s="125">
        <f>IF($J88="","",IF(LEFT(INDEX(NKC!$G$7:$G$3006,$J88),LEN($B$5))=$B$5,INDEX(NKC!$H$7:$H$3006,$J88),""))</f>
        <v/>
      </c>
      <c r="H88" s="132">
        <f>IF($J88="","",H87+N(F88)-N(G88))</f>
        <v/>
      </c>
      <c r="J88" s="117">
        <f>IFERROR(MATCH(81,NKC!$P$7:$P$3006,0),"")</f>
        <v/>
      </c>
    </row>
    <row r="89" ht="15" customHeight="1" s="78">
      <c r="A89" s="131">
        <f>IF($J89="","",INDEX(NKC!$B$7:$B$3006,$J89))</f>
        <v/>
      </c>
      <c r="B89" s="95">
        <f>IF($J89="","",INDEX(NKC!$C$7:$C$3006,$J89))</f>
        <v/>
      </c>
      <c r="C89" s="131">
        <f>IF($J89="","",INDEX(NKC!$D$7:$D$3006,$J89))</f>
        <v/>
      </c>
      <c r="D89" s="97">
        <f>IF($J89="","",INDEX(NKC!$E$7:$E$3006,$J89))</f>
        <v/>
      </c>
      <c r="E89" s="95">
        <f>IF($J89="","",IF(LEFT(INDEX(NKC!$F$7:$F$3006,$J89),LEN($B$5))=$B$5,INDEX(NKC!$G$7:$G$3006,$J89),INDEX(NKC!$F$7:$F$3006,$J89)))</f>
        <v/>
      </c>
      <c r="F89" s="125">
        <f>IF($J89="","",IF(LEFT(INDEX(NKC!$F$7:$F$3006,$J89),LEN($B$5))=$B$5,INDEX(NKC!$H$7:$H$3006,$J89),""))</f>
        <v/>
      </c>
      <c r="G89" s="125">
        <f>IF($J89="","",IF(LEFT(INDEX(NKC!$G$7:$G$3006,$J89),LEN($B$5))=$B$5,INDEX(NKC!$H$7:$H$3006,$J89),""))</f>
        <v/>
      </c>
      <c r="H89" s="132">
        <f>IF($J89="","",H88+N(F89)-N(G89))</f>
        <v/>
      </c>
      <c r="J89" s="117">
        <f>IFERROR(MATCH(82,NKC!$P$7:$P$3006,0),"")</f>
        <v/>
      </c>
    </row>
    <row r="90" ht="15" customHeight="1" s="78">
      <c r="A90" s="131">
        <f>IF($J90="","",INDEX(NKC!$B$7:$B$3006,$J90))</f>
        <v/>
      </c>
      <c r="B90" s="95">
        <f>IF($J90="","",INDEX(NKC!$C$7:$C$3006,$J90))</f>
        <v/>
      </c>
      <c r="C90" s="131">
        <f>IF($J90="","",INDEX(NKC!$D$7:$D$3006,$J90))</f>
        <v/>
      </c>
      <c r="D90" s="97">
        <f>IF($J90="","",INDEX(NKC!$E$7:$E$3006,$J90))</f>
        <v/>
      </c>
      <c r="E90" s="95">
        <f>IF($J90="","",IF(LEFT(INDEX(NKC!$F$7:$F$3006,$J90),LEN($B$5))=$B$5,INDEX(NKC!$G$7:$G$3006,$J90),INDEX(NKC!$F$7:$F$3006,$J90)))</f>
        <v/>
      </c>
      <c r="F90" s="125">
        <f>IF($J90="","",IF(LEFT(INDEX(NKC!$F$7:$F$3006,$J90),LEN($B$5))=$B$5,INDEX(NKC!$H$7:$H$3006,$J90),""))</f>
        <v/>
      </c>
      <c r="G90" s="125">
        <f>IF($J90="","",IF(LEFT(INDEX(NKC!$G$7:$G$3006,$J90),LEN($B$5))=$B$5,INDEX(NKC!$H$7:$H$3006,$J90),""))</f>
        <v/>
      </c>
      <c r="H90" s="132">
        <f>IF($J90="","",H89+N(F90)-N(G90))</f>
        <v/>
      </c>
      <c r="J90" s="117">
        <f>IFERROR(MATCH(83,NKC!$P$7:$P$3006,0),"")</f>
        <v/>
      </c>
    </row>
    <row r="91" ht="15" customHeight="1" s="78">
      <c r="A91" s="131">
        <f>IF($J91="","",INDEX(NKC!$B$7:$B$3006,$J91))</f>
        <v/>
      </c>
      <c r="B91" s="95">
        <f>IF($J91="","",INDEX(NKC!$C$7:$C$3006,$J91))</f>
        <v/>
      </c>
      <c r="C91" s="131">
        <f>IF($J91="","",INDEX(NKC!$D$7:$D$3006,$J91))</f>
        <v/>
      </c>
      <c r="D91" s="97">
        <f>IF($J91="","",INDEX(NKC!$E$7:$E$3006,$J91))</f>
        <v/>
      </c>
      <c r="E91" s="95">
        <f>IF($J91="","",IF(LEFT(INDEX(NKC!$F$7:$F$3006,$J91),LEN($B$5))=$B$5,INDEX(NKC!$G$7:$G$3006,$J91),INDEX(NKC!$F$7:$F$3006,$J91)))</f>
        <v/>
      </c>
      <c r="F91" s="125">
        <f>IF($J91="","",IF(LEFT(INDEX(NKC!$F$7:$F$3006,$J91),LEN($B$5))=$B$5,INDEX(NKC!$H$7:$H$3006,$J91),""))</f>
        <v/>
      </c>
      <c r="G91" s="125">
        <f>IF($J91="","",IF(LEFT(INDEX(NKC!$G$7:$G$3006,$J91),LEN($B$5))=$B$5,INDEX(NKC!$H$7:$H$3006,$J91),""))</f>
        <v/>
      </c>
      <c r="H91" s="132">
        <f>IF($J91="","",H90+N(F91)-N(G91))</f>
        <v/>
      </c>
      <c r="J91" s="117">
        <f>IFERROR(MATCH(84,NKC!$P$7:$P$3006,0),"")</f>
        <v/>
      </c>
    </row>
    <row r="92" ht="15" customHeight="1" s="78">
      <c r="A92" s="131">
        <f>IF($J92="","",INDEX(NKC!$B$7:$B$3006,$J92))</f>
        <v/>
      </c>
      <c r="B92" s="95">
        <f>IF($J92="","",INDEX(NKC!$C$7:$C$3006,$J92))</f>
        <v/>
      </c>
      <c r="C92" s="131">
        <f>IF($J92="","",INDEX(NKC!$D$7:$D$3006,$J92))</f>
        <v/>
      </c>
      <c r="D92" s="97">
        <f>IF($J92="","",INDEX(NKC!$E$7:$E$3006,$J92))</f>
        <v/>
      </c>
      <c r="E92" s="95">
        <f>IF($J92="","",IF(LEFT(INDEX(NKC!$F$7:$F$3006,$J92),LEN($B$5))=$B$5,INDEX(NKC!$G$7:$G$3006,$J92),INDEX(NKC!$F$7:$F$3006,$J92)))</f>
        <v/>
      </c>
      <c r="F92" s="125">
        <f>IF($J92="","",IF(LEFT(INDEX(NKC!$F$7:$F$3006,$J92),LEN($B$5))=$B$5,INDEX(NKC!$H$7:$H$3006,$J92),""))</f>
        <v/>
      </c>
      <c r="G92" s="125">
        <f>IF($J92="","",IF(LEFT(INDEX(NKC!$G$7:$G$3006,$J92),LEN($B$5))=$B$5,INDEX(NKC!$H$7:$H$3006,$J92),""))</f>
        <v/>
      </c>
      <c r="H92" s="132">
        <f>IF($J92="","",H91+N(F92)-N(G92))</f>
        <v/>
      </c>
      <c r="J92" s="117">
        <f>IFERROR(MATCH(85,NKC!$P$7:$P$3006,0),"")</f>
        <v/>
      </c>
    </row>
    <row r="93" ht="15" customHeight="1" s="78">
      <c r="A93" s="131">
        <f>IF($J93="","",INDEX(NKC!$B$7:$B$3006,$J93))</f>
        <v/>
      </c>
      <c r="B93" s="95">
        <f>IF($J93="","",INDEX(NKC!$C$7:$C$3006,$J93))</f>
        <v/>
      </c>
      <c r="C93" s="131">
        <f>IF($J93="","",INDEX(NKC!$D$7:$D$3006,$J93))</f>
        <v/>
      </c>
      <c r="D93" s="97">
        <f>IF($J93="","",INDEX(NKC!$E$7:$E$3006,$J93))</f>
        <v/>
      </c>
      <c r="E93" s="95">
        <f>IF($J93="","",IF(LEFT(INDEX(NKC!$F$7:$F$3006,$J93),LEN($B$5))=$B$5,INDEX(NKC!$G$7:$G$3006,$J93),INDEX(NKC!$F$7:$F$3006,$J93)))</f>
        <v/>
      </c>
      <c r="F93" s="125">
        <f>IF($J93="","",IF(LEFT(INDEX(NKC!$F$7:$F$3006,$J93),LEN($B$5))=$B$5,INDEX(NKC!$H$7:$H$3006,$J93),""))</f>
        <v/>
      </c>
      <c r="G93" s="125">
        <f>IF($J93="","",IF(LEFT(INDEX(NKC!$G$7:$G$3006,$J93),LEN($B$5))=$B$5,INDEX(NKC!$H$7:$H$3006,$J93),""))</f>
        <v/>
      </c>
      <c r="H93" s="132">
        <f>IF($J93="","",H92+N(F93)-N(G93))</f>
        <v/>
      </c>
      <c r="J93" s="117">
        <f>IFERROR(MATCH(86,NKC!$P$7:$P$3006,0),"")</f>
        <v/>
      </c>
    </row>
    <row r="94" ht="15" customHeight="1" s="78">
      <c r="A94" s="131">
        <f>IF($J94="","",INDEX(NKC!$B$7:$B$3006,$J94))</f>
        <v/>
      </c>
      <c r="B94" s="95">
        <f>IF($J94="","",INDEX(NKC!$C$7:$C$3006,$J94))</f>
        <v/>
      </c>
      <c r="C94" s="131">
        <f>IF($J94="","",INDEX(NKC!$D$7:$D$3006,$J94))</f>
        <v/>
      </c>
      <c r="D94" s="97">
        <f>IF($J94="","",INDEX(NKC!$E$7:$E$3006,$J94))</f>
        <v/>
      </c>
      <c r="E94" s="95">
        <f>IF($J94="","",IF(LEFT(INDEX(NKC!$F$7:$F$3006,$J94),LEN($B$5))=$B$5,INDEX(NKC!$G$7:$G$3006,$J94),INDEX(NKC!$F$7:$F$3006,$J94)))</f>
        <v/>
      </c>
      <c r="F94" s="125">
        <f>IF($J94="","",IF(LEFT(INDEX(NKC!$F$7:$F$3006,$J94),LEN($B$5))=$B$5,INDEX(NKC!$H$7:$H$3006,$J94),""))</f>
        <v/>
      </c>
      <c r="G94" s="125">
        <f>IF($J94="","",IF(LEFT(INDEX(NKC!$G$7:$G$3006,$J94),LEN($B$5))=$B$5,INDEX(NKC!$H$7:$H$3006,$J94),""))</f>
        <v/>
      </c>
      <c r="H94" s="132">
        <f>IF($J94="","",H93+N(F94)-N(G94))</f>
        <v/>
      </c>
      <c r="J94" s="117">
        <f>IFERROR(MATCH(87,NKC!$P$7:$P$3006,0),"")</f>
        <v/>
      </c>
    </row>
    <row r="95" ht="15" customHeight="1" s="78">
      <c r="A95" s="131">
        <f>IF($J95="","",INDEX(NKC!$B$7:$B$3006,$J95))</f>
        <v/>
      </c>
      <c r="B95" s="95">
        <f>IF($J95="","",INDEX(NKC!$C$7:$C$3006,$J95))</f>
        <v/>
      </c>
      <c r="C95" s="131">
        <f>IF($J95="","",INDEX(NKC!$D$7:$D$3006,$J95))</f>
        <v/>
      </c>
      <c r="D95" s="97">
        <f>IF($J95="","",INDEX(NKC!$E$7:$E$3006,$J95))</f>
        <v/>
      </c>
      <c r="E95" s="95">
        <f>IF($J95="","",IF(LEFT(INDEX(NKC!$F$7:$F$3006,$J95),LEN($B$5))=$B$5,INDEX(NKC!$G$7:$G$3006,$J95),INDEX(NKC!$F$7:$F$3006,$J95)))</f>
        <v/>
      </c>
      <c r="F95" s="125">
        <f>IF($J95="","",IF(LEFT(INDEX(NKC!$F$7:$F$3006,$J95),LEN($B$5))=$B$5,INDEX(NKC!$H$7:$H$3006,$J95),""))</f>
        <v/>
      </c>
      <c r="G95" s="125">
        <f>IF($J95="","",IF(LEFT(INDEX(NKC!$G$7:$G$3006,$J95),LEN($B$5))=$B$5,INDEX(NKC!$H$7:$H$3006,$J95),""))</f>
        <v/>
      </c>
      <c r="H95" s="132">
        <f>IF($J95="","",H94+N(F95)-N(G95))</f>
        <v/>
      </c>
      <c r="J95" s="117">
        <f>IFERROR(MATCH(88,NKC!$P$7:$P$3006,0),"")</f>
        <v/>
      </c>
    </row>
    <row r="96" ht="15" customHeight="1" s="78">
      <c r="A96" s="131">
        <f>IF($J96="","",INDEX(NKC!$B$7:$B$3006,$J96))</f>
        <v/>
      </c>
      <c r="B96" s="95">
        <f>IF($J96="","",INDEX(NKC!$C$7:$C$3006,$J96))</f>
        <v/>
      </c>
      <c r="C96" s="131">
        <f>IF($J96="","",INDEX(NKC!$D$7:$D$3006,$J96))</f>
        <v/>
      </c>
      <c r="D96" s="97">
        <f>IF($J96="","",INDEX(NKC!$E$7:$E$3006,$J96))</f>
        <v/>
      </c>
      <c r="E96" s="95">
        <f>IF($J96="","",IF(LEFT(INDEX(NKC!$F$7:$F$3006,$J96),LEN($B$5))=$B$5,INDEX(NKC!$G$7:$G$3006,$J96),INDEX(NKC!$F$7:$F$3006,$J96)))</f>
        <v/>
      </c>
      <c r="F96" s="125">
        <f>IF($J96="","",IF(LEFT(INDEX(NKC!$F$7:$F$3006,$J96),LEN($B$5))=$B$5,INDEX(NKC!$H$7:$H$3006,$J96),""))</f>
        <v/>
      </c>
      <c r="G96" s="125">
        <f>IF($J96="","",IF(LEFT(INDEX(NKC!$G$7:$G$3006,$J96),LEN($B$5))=$B$5,INDEX(NKC!$H$7:$H$3006,$J96),""))</f>
        <v/>
      </c>
      <c r="H96" s="132">
        <f>IF($J96="","",H95+N(F96)-N(G96))</f>
        <v/>
      </c>
      <c r="J96" s="117">
        <f>IFERROR(MATCH(89,NKC!$P$7:$P$3006,0),"")</f>
        <v/>
      </c>
    </row>
    <row r="97" ht="15" customHeight="1" s="78">
      <c r="A97" s="131">
        <f>IF($J97="","",INDEX(NKC!$B$7:$B$3006,$J97))</f>
        <v/>
      </c>
      <c r="B97" s="95">
        <f>IF($J97="","",INDEX(NKC!$C$7:$C$3006,$J97))</f>
        <v/>
      </c>
      <c r="C97" s="131">
        <f>IF($J97="","",INDEX(NKC!$D$7:$D$3006,$J97))</f>
        <v/>
      </c>
      <c r="D97" s="97">
        <f>IF($J97="","",INDEX(NKC!$E$7:$E$3006,$J97))</f>
        <v/>
      </c>
      <c r="E97" s="95">
        <f>IF($J97="","",IF(LEFT(INDEX(NKC!$F$7:$F$3006,$J97),LEN($B$5))=$B$5,INDEX(NKC!$G$7:$G$3006,$J97),INDEX(NKC!$F$7:$F$3006,$J97)))</f>
        <v/>
      </c>
      <c r="F97" s="125">
        <f>IF($J97="","",IF(LEFT(INDEX(NKC!$F$7:$F$3006,$J97),LEN($B$5))=$B$5,INDEX(NKC!$H$7:$H$3006,$J97),""))</f>
        <v/>
      </c>
      <c r="G97" s="125">
        <f>IF($J97="","",IF(LEFT(INDEX(NKC!$G$7:$G$3006,$J97),LEN($B$5))=$B$5,INDEX(NKC!$H$7:$H$3006,$J97),""))</f>
        <v/>
      </c>
      <c r="H97" s="132">
        <f>IF($J97="","",H96+N(F97)-N(G97))</f>
        <v/>
      </c>
      <c r="J97" s="117">
        <f>IFERROR(MATCH(90,NKC!$P$7:$P$3006,0),"")</f>
        <v/>
      </c>
    </row>
    <row r="98" ht="15" customHeight="1" s="78">
      <c r="A98" s="131">
        <f>IF($J98="","",INDEX(NKC!$B$7:$B$3006,$J98))</f>
        <v/>
      </c>
      <c r="B98" s="95">
        <f>IF($J98="","",INDEX(NKC!$C$7:$C$3006,$J98))</f>
        <v/>
      </c>
      <c r="C98" s="131">
        <f>IF($J98="","",INDEX(NKC!$D$7:$D$3006,$J98))</f>
        <v/>
      </c>
      <c r="D98" s="97">
        <f>IF($J98="","",INDEX(NKC!$E$7:$E$3006,$J98))</f>
        <v/>
      </c>
      <c r="E98" s="95">
        <f>IF($J98="","",IF(LEFT(INDEX(NKC!$F$7:$F$3006,$J98),LEN($B$5))=$B$5,INDEX(NKC!$G$7:$G$3006,$J98),INDEX(NKC!$F$7:$F$3006,$J98)))</f>
        <v/>
      </c>
      <c r="F98" s="125">
        <f>IF($J98="","",IF(LEFT(INDEX(NKC!$F$7:$F$3006,$J98),LEN($B$5))=$B$5,INDEX(NKC!$H$7:$H$3006,$J98),""))</f>
        <v/>
      </c>
      <c r="G98" s="125">
        <f>IF($J98="","",IF(LEFT(INDEX(NKC!$G$7:$G$3006,$J98),LEN($B$5))=$B$5,INDEX(NKC!$H$7:$H$3006,$J98),""))</f>
        <v/>
      </c>
      <c r="H98" s="132">
        <f>IF($J98="","",H97+N(F98)-N(G98))</f>
        <v/>
      </c>
      <c r="J98" s="117">
        <f>IFERROR(MATCH(91,NKC!$P$7:$P$3006,0),"")</f>
        <v/>
      </c>
    </row>
    <row r="99" ht="15" customHeight="1" s="78">
      <c r="A99" s="131">
        <f>IF($J99="","",INDEX(NKC!$B$7:$B$3006,$J99))</f>
        <v/>
      </c>
      <c r="B99" s="95">
        <f>IF($J99="","",INDEX(NKC!$C$7:$C$3006,$J99))</f>
        <v/>
      </c>
      <c r="C99" s="131">
        <f>IF($J99="","",INDEX(NKC!$D$7:$D$3006,$J99))</f>
        <v/>
      </c>
      <c r="D99" s="97">
        <f>IF($J99="","",INDEX(NKC!$E$7:$E$3006,$J99))</f>
        <v/>
      </c>
      <c r="E99" s="95">
        <f>IF($J99="","",IF(LEFT(INDEX(NKC!$F$7:$F$3006,$J99),LEN($B$5))=$B$5,INDEX(NKC!$G$7:$G$3006,$J99),INDEX(NKC!$F$7:$F$3006,$J99)))</f>
        <v/>
      </c>
      <c r="F99" s="125">
        <f>IF($J99="","",IF(LEFT(INDEX(NKC!$F$7:$F$3006,$J99),LEN($B$5))=$B$5,INDEX(NKC!$H$7:$H$3006,$J99),""))</f>
        <v/>
      </c>
      <c r="G99" s="125">
        <f>IF($J99="","",IF(LEFT(INDEX(NKC!$G$7:$G$3006,$J99),LEN($B$5))=$B$5,INDEX(NKC!$H$7:$H$3006,$J99),""))</f>
        <v/>
      </c>
      <c r="H99" s="132">
        <f>IF($J99="","",H98+N(F99)-N(G99))</f>
        <v/>
      </c>
      <c r="J99" s="117">
        <f>IFERROR(MATCH(92,NKC!$P$7:$P$3006,0),"")</f>
        <v/>
      </c>
    </row>
    <row r="100" ht="15" customHeight="1" s="78">
      <c r="A100" s="131">
        <f>IF($J100="","",INDEX(NKC!$B$7:$B$3006,$J100))</f>
        <v/>
      </c>
      <c r="B100" s="95">
        <f>IF($J100="","",INDEX(NKC!$C$7:$C$3006,$J100))</f>
        <v/>
      </c>
      <c r="C100" s="131">
        <f>IF($J100="","",INDEX(NKC!$D$7:$D$3006,$J100))</f>
        <v/>
      </c>
      <c r="D100" s="97">
        <f>IF($J100="","",INDEX(NKC!$E$7:$E$3006,$J100))</f>
        <v/>
      </c>
      <c r="E100" s="95">
        <f>IF($J100="","",IF(LEFT(INDEX(NKC!$F$7:$F$3006,$J100),LEN($B$5))=$B$5,INDEX(NKC!$G$7:$G$3006,$J100),INDEX(NKC!$F$7:$F$3006,$J100)))</f>
        <v/>
      </c>
      <c r="F100" s="125">
        <f>IF($J100="","",IF(LEFT(INDEX(NKC!$F$7:$F$3006,$J100),LEN($B$5))=$B$5,INDEX(NKC!$H$7:$H$3006,$J100),""))</f>
        <v/>
      </c>
      <c r="G100" s="125">
        <f>IF($J100="","",IF(LEFT(INDEX(NKC!$G$7:$G$3006,$J100),LEN($B$5))=$B$5,INDEX(NKC!$H$7:$H$3006,$J100),""))</f>
        <v/>
      </c>
      <c r="H100" s="132">
        <f>IF($J100="","",H99+N(F100)-N(G100))</f>
        <v/>
      </c>
      <c r="J100" s="117">
        <f>IFERROR(MATCH(93,NKC!$P$7:$P$3006,0),"")</f>
        <v/>
      </c>
    </row>
    <row r="101" ht="15" customHeight="1" s="78">
      <c r="A101" s="131">
        <f>IF($J101="","",INDEX(NKC!$B$7:$B$3006,$J101))</f>
        <v/>
      </c>
      <c r="B101" s="95">
        <f>IF($J101="","",INDEX(NKC!$C$7:$C$3006,$J101))</f>
        <v/>
      </c>
      <c r="C101" s="131">
        <f>IF($J101="","",INDEX(NKC!$D$7:$D$3006,$J101))</f>
        <v/>
      </c>
      <c r="D101" s="97">
        <f>IF($J101="","",INDEX(NKC!$E$7:$E$3006,$J101))</f>
        <v/>
      </c>
      <c r="E101" s="95">
        <f>IF($J101="","",IF(LEFT(INDEX(NKC!$F$7:$F$3006,$J101),LEN($B$5))=$B$5,INDEX(NKC!$G$7:$G$3006,$J101),INDEX(NKC!$F$7:$F$3006,$J101)))</f>
        <v/>
      </c>
      <c r="F101" s="125">
        <f>IF($J101="","",IF(LEFT(INDEX(NKC!$F$7:$F$3006,$J101),LEN($B$5))=$B$5,INDEX(NKC!$H$7:$H$3006,$J101),""))</f>
        <v/>
      </c>
      <c r="G101" s="125">
        <f>IF($J101="","",IF(LEFT(INDEX(NKC!$G$7:$G$3006,$J101),LEN($B$5))=$B$5,INDEX(NKC!$H$7:$H$3006,$J101),""))</f>
        <v/>
      </c>
      <c r="H101" s="132">
        <f>IF($J101="","",H100+N(F101)-N(G101))</f>
        <v/>
      </c>
      <c r="J101" s="117">
        <f>IFERROR(MATCH(94,NKC!$P$7:$P$3006,0),"")</f>
        <v/>
      </c>
    </row>
    <row r="102" ht="15" customHeight="1" s="78">
      <c r="A102" s="131">
        <f>IF($J102="","",INDEX(NKC!$B$7:$B$3006,$J102))</f>
        <v/>
      </c>
      <c r="B102" s="95">
        <f>IF($J102="","",INDEX(NKC!$C$7:$C$3006,$J102))</f>
        <v/>
      </c>
      <c r="C102" s="131">
        <f>IF($J102="","",INDEX(NKC!$D$7:$D$3006,$J102))</f>
        <v/>
      </c>
      <c r="D102" s="97">
        <f>IF($J102="","",INDEX(NKC!$E$7:$E$3006,$J102))</f>
        <v/>
      </c>
      <c r="E102" s="95">
        <f>IF($J102="","",IF(LEFT(INDEX(NKC!$F$7:$F$3006,$J102),LEN($B$5))=$B$5,INDEX(NKC!$G$7:$G$3006,$J102),INDEX(NKC!$F$7:$F$3006,$J102)))</f>
        <v/>
      </c>
      <c r="F102" s="125">
        <f>IF($J102="","",IF(LEFT(INDEX(NKC!$F$7:$F$3006,$J102),LEN($B$5))=$B$5,INDEX(NKC!$H$7:$H$3006,$J102),""))</f>
        <v/>
      </c>
      <c r="G102" s="125">
        <f>IF($J102="","",IF(LEFT(INDEX(NKC!$G$7:$G$3006,$J102),LEN($B$5))=$B$5,INDEX(NKC!$H$7:$H$3006,$J102),""))</f>
        <v/>
      </c>
      <c r="H102" s="132">
        <f>IF($J102="","",H101+N(F102)-N(G102))</f>
        <v/>
      </c>
      <c r="J102" s="117">
        <f>IFERROR(MATCH(95,NKC!$P$7:$P$3006,0),"")</f>
        <v/>
      </c>
    </row>
    <row r="103" ht="15" customHeight="1" s="78">
      <c r="A103" s="131">
        <f>IF($J103="","",INDEX(NKC!$B$7:$B$3006,$J103))</f>
        <v/>
      </c>
      <c r="B103" s="95">
        <f>IF($J103="","",INDEX(NKC!$C$7:$C$3006,$J103))</f>
        <v/>
      </c>
      <c r="C103" s="131">
        <f>IF($J103="","",INDEX(NKC!$D$7:$D$3006,$J103))</f>
        <v/>
      </c>
      <c r="D103" s="97">
        <f>IF($J103="","",INDEX(NKC!$E$7:$E$3006,$J103))</f>
        <v/>
      </c>
      <c r="E103" s="95">
        <f>IF($J103="","",IF(LEFT(INDEX(NKC!$F$7:$F$3006,$J103),LEN($B$5))=$B$5,INDEX(NKC!$G$7:$G$3006,$J103),INDEX(NKC!$F$7:$F$3006,$J103)))</f>
        <v/>
      </c>
      <c r="F103" s="125">
        <f>IF($J103="","",IF(LEFT(INDEX(NKC!$F$7:$F$3006,$J103),LEN($B$5))=$B$5,INDEX(NKC!$H$7:$H$3006,$J103),""))</f>
        <v/>
      </c>
      <c r="G103" s="125">
        <f>IF($J103="","",IF(LEFT(INDEX(NKC!$G$7:$G$3006,$J103),LEN($B$5))=$B$5,INDEX(NKC!$H$7:$H$3006,$J103),""))</f>
        <v/>
      </c>
      <c r="H103" s="132">
        <f>IF($J103="","",H102+N(F103)-N(G103))</f>
        <v/>
      </c>
      <c r="J103" s="117">
        <f>IFERROR(MATCH(96,NKC!$P$7:$P$3006,0),"")</f>
        <v/>
      </c>
    </row>
    <row r="104" ht="15" customHeight="1" s="78">
      <c r="A104" s="131">
        <f>IF($J104="","",INDEX(NKC!$B$7:$B$3006,$J104))</f>
        <v/>
      </c>
      <c r="B104" s="95">
        <f>IF($J104="","",INDEX(NKC!$C$7:$C$3006,$J104))</f>
        <v/>
      </c>
      <c r="C104" s="131">
        <f>IF($J104="","",INDEX(NKC!$D$7:$D$3006,$J104))</f>
        <v/>
      </c>
      <c r="D104" s="97">
        <f>IF($J104="","",INDEX(NKC!$E$7:$E$3006,$J104))</f>
        <v/>
      </c>
      <c r="E104" s="95">
        <f>IF($J104="","",IF(LEFT(INDEX(NKC!$F$7:$F$3006,$J104),LEN($B$5))=$B$5,INDEX(NKC!$G$7:$G$3006,$J104),INDEX(NKC!$F$7:$F$3006,$J104)))</f>
        <v/>
      </c>
      <c r="F104" s="125">
        <f>IF($J104="","",IF(LEFT(INDEX(NKC!$F$7:$F$3006,$J104),LEN($B$5))=$B$5,INDEX(NKC!$H$7:$H$3006,$J104),""))</f>
        <v/>
      </c>
      <c r="G104" s="125">
        <f>IF($J104="","",IF(LEFT(INDEX(NKC!$G$7:$G$3006,$J104),LEN($B$5))=$B$5,INDEX(NKC!$H$7:$H$3006,$J104),""))</f>
        <v/>
      </c>
      <c r="H104" s="132">
        <f>IF($J104="","",H103+N(F104)-N(G104))</f>
        <v/>
      </c>
      <c r="J104" s="117">
        <f>IFERROR(MATCH(97,NKC!$P$7:$P$3006,0),"")</f>
        <v/>
      </c>
    </row>
    <row r="105" ht="15" customHeight="1" s="78">
      <c r="A105" s="131">
        <f>IF($J105="","",INDEX(NKC!$B$7:$B$3006,$J105))</f>
        <v/>
      </c>
      <c r="B105" s="95">
        <f>IF($J105="","",INDEX(NKC!$C$7:$C$3006,$J105))</f>
        <v/>
      </c>
      <c r="C105" s="131">
        <f>IF($J105="","",INDEX(NKC!$D$7:$D$3006,$J105))</f>
        <v/>
      </c>
      <c r="D105" s="97">
        <f>IF($J105="","",INDEX(NKC!$E$7:$E$3006,$J105))</f>
        <v/>
      </c>
      <c r="E105" s="95">
        <f>IF($J105="","",IF(LEFT(INDEX(NKC!$F$7:$F$3006,$J105),LEN($B$5))=$B$5,INDEX(NKC!$G$7:$G$3006,$J105),INDEX(NKC!$F$7:$F$3006,$J105)))</f>
        <v/>
      </c>
      <c r="F105" s="125">
        <f>IF($J105="","",IF(LEFT(INDEX(NKC!$F$7:$F$3006,$J105),LEN($B$5))=$B$5,INDEX(NKC!$H$7:$H$3006,$J105),""))</f>
        <v/>
      </c>
      <c r="G105" s="125">
        <f>IF($J105="","",IF(LEFT(INDEX(NKC!$G$7:$G$3006,$J105),LEN($B$5))=$B$5,INDEX(NKC!$H$7:$H$3006,$J105),""))</f>
        <v/>
      </c>
      <c r="H105" s="132">
        <f>IF($J105="","",H104+N(F105)-N(G105))</f>
        <v/>
      </c>
      <c r="J105" s="117">
        <f>IFERROR(MATCH(98,NKC!$P$7:$P$3006,0),"")</f>
        <v/>
      </c>
    </row>
    <row r="106" ht="15" customHeight="1" s="78">
      <c r="A106" s="131">
        <f>IF($J106="","",INDEX(NKC!$B$7:$B$3006,$J106))</f>
        <v/>
      </c>
      <c r="B106" s="95">
        <f>IF($J106="","",INDEX(NKC!$C$7:$C$3006,$J106))</f>
        <v/>
      </c>
      <c r="C106" s="131">
        <f>IF($J106="","",INDEX(NKC!$D$7:$D$3006,$J106))</f>
        <v/>
      </c>
      <c r="D106" s="97">
        <f>IF($J106="","",INDEX(NKC!$E$7:$E$3006,$J106))</f>
        <v/>
      </c>
      <c r="E106" s="95">
        <f>IF($J106="","",IF(LEFT(INDEX(NKC!$F$7:$F$3006,$J106),LEN($B$5))=$B$5,INDEX(NKC!$G$7:$G$3006,$J106),INDEX(NKC!$F$7:$F$3006,$J106)))</f>
        <v/>
      </c>
      <c r="F106" s="125">
        <f>IF($J106="","",IF(LEFT(INDEX(NKC!$F$7:$F$3006,$J106),LEN($B$5))=$B$5,INDEX(NKC!$H$7:$H$3006,$J106),""))</f>
        <v/>
      </c>
      <c r="G106" s="125">
        <f>IF($J106="","",IF(LEFT(INDEX(NKC!$G$7:$G$3006,$J106),LEN($B$5))=$B$5,INDEX(NKC!$H$7:$H$3006,$J106),""))</f>
        <v/>
      </c>
      <c r="H106" s="132">
        <f>IF($J106="","",H105+N(F106)-N(G106))</f>
        <v/>
      </c>
      <c r="J106" s="117">
        <f>IFERROR(MATCH(99,NKC!$P$7:$P$3006,0),"")</f>
        <v/>
      </c>
    </row>
    <row r="107" ht="15" customHeight="1" s="78">
      <c r="A107" s="131">
        <f>IF($J107="","",INDEX(NKC!$B$7:$B$3006,$J107))</f>
        <v/>
      </c>
      <c r="B107" s="95">
        <f>IF($J107="","",INDEX(NKC!$C$7:$C$3006,$J107))</f>
        <v/>
      </c>
      <c r="C107" s="131">
        <f>IF($J107="","",INDEX(NKC!$D$7:$D$3006,$J107))</f>
        <v/>
      </c>
      <c r="D107" s="97">
        <f>IF($J107="","",INDEX(NKC!$E$7:$E$3006,$J107))</f>
        <v/>
      </c>
      <c r="E107" s="95">
        <f>IF($J107="","",IF(LEFT(INDEX(NKC!$F$7:$F$3006,$J107),LEN($B$5))=$B$5,INDEX(NKC!$G$7:$G$3006,$J107),INDEX(NKC!$F$7:$F$3006,$J107)))</f>
        <v/>
      </c>
      <c r="F107" s="125">
        <f>IF($J107="","",IF(LEFT(INDEX(NKC!$F$7:$F$3006,$J107),LEN($B$5))=$B$5,INDEX(NKC!$H$7:$H$3006,$J107),""))</f>
        <v/>
      </c>
      <c r="G107" s="125">
        <f>IF($J107="","",IF(LEFT(INDEX(NKC!$G$7:$G$3006,$J107),LEN($B$5))=$B$5,INDEX(NKC!$H$7:$H$3006,$J107),""))</f>
        <v/>
      </c>
      <c r="H107" s="132">
        <f>IF($J107="","",H106+N(F107)-N(G107))</f>
        <v/>
      </c>
      <c r="J107" s="117">
        <f>IFERROR(MATCH(100,NKC!$P$7:$P$3006,0),"")</f>
        <v/>
      </c>
    </row>
    <row r="108" ht="15" customHeight="1" s="78">
      <c r="A108" s="131">
        <f>IF($J108="","",INDEX(NKC!$B$7:$B$3006,$J108))</f>
        <v/>
      </c>
      <c r="B108" s="95">
        <f>IF($J108="","",INDEX(NKC!$C$7:$C$3006,$J108))</f>
        <v/>
      </c>
      <c r="C108" s="131">
        <f>IF($J108="","",INDEX(NKC!$D$7:$D$3006,$J108))</f>
        <v/>
      </c>
      <c r="D108" s="97">
        <f>IF($J108="","",INDEX(NKC!$E$7:$E$3006,$J108))</f>
        <v/>
      </c>
      <c r="E108" s="95">
        <f>IF($J108="","",IF(LEFT(INDEX(NKC!$F$7:$F$3006,$J108),LEN($B$5))=$B$5,INDEX(NKC!$G$7:$G$3006,$J108),INDEX(NKC!$F$7:$F$3006,$J108)))</f>
        <v/>
      </c>
      <c r="F108" s="125">
        <f>IF($J108="","",IF(LEFT(INDEX(NKC!$F$7:$F$3006,$J108),LEN($B$5))=$B$5,INDEX(NKC!$H$7:$H$3006,$J108),""))</f>
        <v/>
      </c>
      <c r="G108" s="125">
        <f>IF($J108="","",IF(LEFT(INDEX(NKC!$G$7:$G$3006,$J108),LEN($B$5))=$B$5,INDEX(NKC!$H$7:$H$3006,$J108),""))</f>
        <v/>
      </c>
      <c r="H108" s="132">
        <f>IF($J108="","",H107+N(F108)-N(G108))</f>
        <v/>
      </c>
      <c r="J108" s="117">
        <f>IFERROR(MATCH(101,NKC!$P$7:$P$3006,0),"")</f>
        <v/>
      </c>
    </row>
    <row r="109" ht="15" customHeight="1" s="78">
      <c r="A109" s="131">
        <f>IF($J109="","",INDEX(NKC!$B$7:$B$3006,$J109))</f>
        <v/>
      </c>
      <c r="B109" s="95">
        <f>IF($J109="","",INDEX(NKC!$C$7:$C$3006,$J109))</f>
        <v/>
      </c>
      <c r="C109" s="131">
        <f>IF($J109="","",INDEX(NKC!$D$7:$D$3006,$J109))</f>
        <v/>
      </c>
      <c r="D109" s="97">
        <f>IF($J109="","",INDEX(NKC!$E$7:$E$3006,$J109))</f>
        <v/>
      </c>
      <c r="E109" s="95">
        <f>IF($J109="","",IF(LEFT(INDEX(NKC!$F$7:$F$3006,$J109),LEN($B$5))=$B$5,INDEX(NKC!$G$7:$G$3006,$J109),INDEX(NKC!$F$7:$F$3006,$J109)))</f>
        <v/>
      </c>
      <c r="F109" s="125">
        <f>IF($J109="","",IF(LEFT(INDEX(NKC!$F$7:$F$3006,$J109),LEN($B$5))=$B$5,INDEX(NKC!$H$7:$H$3006,$J109),""))</f>
        <v/>
      </c>
      <c r="G109" s="125">
        <f>IF($J109="","",IF(LEFT(INDEX(NKC!$G$7:$G$3006,$J109),LEN($B$5))=$B$5,INDEX(NKC!$H$7:$H$3006,$J109),""))</f>
        <v/>
      </c>
      <c r="H109" s="132">
        <f>IF($J109="","",H108+N(F109)-N(G109))</f>
        <v/>
      </c>
      <c r="J109" s="117">
        <f>IFERROR(MATCH(102,NKC!$P$7:$P$3006,0),"")</f>
        <v/>
      </c>
    </row>
    <row r="110" ht="15" customHeight="1" s="78">
      <c r="A110" s="131">
        <f>IF($J110="","",INDEX(NKC!$B$7:$B$3006,$J110))</f>
        <v/>
      </c>
      <c r="B110" s="95">
        <f>IF($J110="","",INDEX(NKC!$C$7:$C$3006,$J110))</f>
        <v/>
      </c>
      <c r="C110" s="131">
        <f>IF($J110="","",INDEX(NKC!$D$7:$D$3006,$J110))</f>
        <v/>
      </c>
      <c r="D110" s="97">
        <f>IF($J110="","",INDEX(NKC!$E$7:$E$3006,$J110))</f>
        <v/>
      </c>
      <c r="E110" s="95">
        <f>IF($J110="","",IF(LEFT(INDEX(NKC!$F$7:$F$3006,$J110),LEN($B$5))=$B$5,INDEX(NKC!$G$7:$G$3006,$J110),INDEX(NKC!$F$7:$F$3006,$J110)))</f>
        <v/>
      </c>
      <c r="F110" s="125">
        <f>IF($J110="","",IF(LEFT(INDEX(NKC!$F$7:$F$3006,$J110),LEN($B$5))=$B$5,INDEX(NKC!$H$7:$H$3006,$J110),""))</f>
        <v/>
      </c>
      <c r="G110" s="125">
        <f>IF($J110="","",IF(LEFT(INDEX(NKC!$G$7:$G$3006,$J110),LEN($B$5))=$B$5,INDEX(NKC!$H$7:$H$3006,$J110),""))</f>
        <v/>
      </c>
      <c r="H110" s="132">
        <f>IF($J110="","",H109+N(F110)-N(G110))</f>
        <v/>
      </c>
      <c r="J110" s="117">
        <f>IFERROR(MATCH(103,NKC!$P$7:$P$3006,0),"")</f>
        <v/>
      </c>
    </row>
    <row r="111" ht="15" customHeight="1" s="78">
      <c r="A111" s="131">
        <f>IF($J111="","",INDEX(NKC!$B$7:$B$3006,$J111))</f>
        <v/>
      </c>
      <c r="B111" s="95">
        <f>IF($J111="","",INDEX(NKC!$C$7:$C$3006,$J111))</f>
        <v/>
      </c>
      <c r="C111" s="131">
        <f>IF($J111="","",INDEX(NKC!$D$7:$D$3006,$J111))</f>
        <v/>
      </c>
      <c r="D111" s="97">
        <f>IF($J111="","",INDEX(NKC!$E$7:$E$3006,$J111))</f>
        <v/>
      </c>
      <c r="E111" s="95">
        <f>IF($J111="","",IF(LEFT(INDEX(NKC!$F$7:$F$3006,$J111),LEN($B$5))=$B$5,INDEX(NKC!$G$7:$G$3006,$J111),INDEX(NKC!$F$7:$F$3006,$J111)))</f>
        <v/>
      </c>
      <c r="F111" s="125">
        <f>IF($J111="","",IF(LEFT(INDEX(NKC!$F$7:$F$3006,$J111),LEN($B$5))=$B$5,INDEX(NKC!$H$7:$H$3006,$J111),""))</f>
        <v/>
      </c>
      <c r="G111" s="125">
        <f>IF($J111="","",IF(LEFT(INDEX(NKC!$G$7:$G$3006,$J111),LEN($B$5))=$B$5,INDEX(NKC!$H$7:$H$3006,$J111),""))</f>
        <v/>
      </c>
      <c r="H111" s="132">
        <f>IF($J111="","",H110+N(F111)-N(G111))</f>
        <v/>
      </c>
      <c r="J111" s="117">
        <f>IFERROR(MATCH(104,NKC!$P$7:$P$3006,0),"")</f>
        <v/>
      </c>
    </row>
    <row r="112" ht="15" customHeight="1" s="78">
      <c r="A112" s="131">
        <f>IF($J112="","",INDEX(NKC!$B$7:$B$3006,$J112))</f>
        <v/>
      </c>
      <c r="B112" s="95">
        <f>IF($J112="","",INDEX(NKC!$C$7:$C$3006,$J112))</f>
        <v/>
      </c>
      <c r="C112" s="131">
        <f>IF($J112="","",INDEX(NKC!$D$7:$D$3006,$J112))</f>
        <v/>
      </c>
      <c r="D112" s="97">
        <f>IF($J112="","",INDEX(NKC!$E$7:$E$3006,$J112))</f>
        <v/>
      </c>
      <c r="E112" s="95">
        <f>IF($J112="","",IF(LEFT(INDEX(NKC!$F$7:$F$3006,$J112),LEN($B$5))=$B$5,INDEX(NKC!$G$7:$G$3006,$J112),INDEX(NKC!$F$7:$F$3006,$J112)))</f>
        <v/>
      </c>
      <c r="F112" s="125">
        <f>IF($J112="","",IF(LEFT(INDEX(NKC!$F$7:$F$3006,$J112),LEN($B$5))=$B$5,INDEX(NKC!$H$7:$H$3006,$J112),""))</f>
        <v/>
      </c>
      <c r="G112" s="125">
        <f>IF($J112="","",IF(LEFT(INDEX(NKC!$G$7:$G$3006,$J112),LEN($B$5))=$B$5,INDEX(NKC!$H$7:$H$3006,$J112),""))</f>
        <v/>
      </c>
      <c r="H112" s="132">
        <f>IF($J112="","",H111+N(F112)-N(G112))</f>
        <v/>
      </c>
      <c r="J112" s="117">
        <f>IFERROR(MATCH(105,NKC!$P$7:$P$3006,0),"")</f>
        <v/>
      </c>
    </row>
    <row r="113" ht="15" customHeight="1" s="78">
      <c r="A113" s="131">
        <f>IF($J113="","",INDEX(NKC!$B$7:$B$3006,$J113))</f>
        <v/>
      </c>
      <c r="B113" s="95">
        <f>IF($J113="","",INDEX(NKC!$C$7:$C$3006,$J113))</f>
        <v/>
      </c>
      <c r="C113" s="131">
        <f>IF($J113="","",INDEX(NKC!$D$7:$D$3006,$J113))</f>
        <v/>
      </c>
      <c r="D113" s="97">
        <f>IF($J113="","",INDEX(NKC!$E$7:$E$3006,$J113))</f>
        <v/>
      </c>
      <c r="E113" s="95">
        <f>IF($J113="","",IF(LEFT(INDEX(NKC!$F$7:$F$3006,$J113),LEN($B$5))=$B$5,INDEX(NKC!$G$7:$G$3006,$J113),INDEX(NKC!$F$7:$F$3006,$J113)))</f>
        <v/>
      </c>
      <c r="F113" s="125">
        <f>IF($J113="","",IF(LEFT(INDEX(NKC!$F$7:$F$3006,$J113),LEN($B$5))=$B$5,INDEX(NKC!$H$7:$H$3006,$J113),""))</f>
        <v/>
      </c>
      <c r="G113" s="125">
        <f>IF($J113="","",IF(LEFT(INDEX(NKC!$G$7:$G$3006,$J113),LEN($B$5))=$B$5,INDEX(NKC!$H$7:$H$3006,$J113),""))</f>
        <v/>
      </c>
      <c r="H113" s="132">
        <f>IF($J113="","",H112+N(F113)-N(G113))</f>
        <v/>
      </c>
      <c r="J113" s="117">
        <f>IFERROR(MATCH(106,NKC!$P$7:$P$3006,0),"")</f>
        <v/>
      </c>
    </row>
    <row r="114" ht="15" customHeight="1" s="78">
      <c r="A114" s="131">
        <f>IF($J114="","",INDEX(NKC!$B$7:$B$3006,$J114))</f>
        <v/>
      </c>
      <c r="B114" s="95">
        <f>IF($J114="","",INDEX(NKC!$C$7:$C$3006,$J114))</f>
        <v/>
      </c>
      <c r="C114" s="131">
        <f>IF($J114="","",INDEX(NKC!$D$7:$D$3006,$J114))</f>
        <v/>
      </c>
      <c r="D114" s="97">
        <f>IF($J114="","",INDEX(NKC!$E$7:$E$3006,$J114))</f>
        <v/>
      </c>
      <c r="E114" s="95">
        <f>IF($J114="","",IF(LEFT(INDEX(NKC!$F$7:$F$3006,$J114),LEN($B$5))=$B$5,INDEX(NKC!$G$7:$G$3006,$J114),INDEX(NKC!$F$7:$F$3006,$J114)))</f>
        <v/>
      </c>
      <c r="F114" s="125">
        <f>IF($J114="","",IF(LEFT(INDEX(NKC!$F$7:$F$3006,$J114),LEN($B$5))=$B$5,INDEX(NKC!$H$7:$H$3006,$J114),""))</f>
        <v/>
      </c>
      <c r="G114" s="125">
        <f>IF($J114="","",IF(LEFT(INDEX(NKC!$G$7:$G$3006,$J114),LEN($B$5))=$B$5,INDEX(NKC!$H$7:$H$3006,$J114),""))</f>
        <v/>
      </c>
      <c r="H114" s="132">
        <f>IF($J114="","",H113+N(F114)-N(G114))</f>
        <v/>
      </c>
      <c r="J114" s="117">
        <f>IFERROR(MATCH(107,NKC!$P$7:$P$3006,0),"")</f>
        <v/>
      </c>
    </row>
    <row r="115" ht="15" customHeight="1" s="78">
      <c r="A115" s="131">
        <f>IF($J115="","",INDEX(NKC!$B$7:$B$3006,$J115))</f>
        <v/>
      </c>
      <c r="B115" s="95">
        <f>IF($J115="","",INDEX(NKC!$C$7:$C$3006,$J115))</f>
        <v/>
      </c>
      <c r="C115" s="131">
        <f>IF($J115="","",INDEX(NKC!$D$7:$D$3006,$J115))</f>
        <v/>
      </c>
      <c r="D115" s="97">
        <f>IF($J115="","",INDEX(NKC!$E$7:$E$3006,$J115))</f>
        <v/>
      </c>
      <c r="E115" s="95">
        <f>IF($J115="","",IF(LEFT(INDEX(NKC!$F$7:$F$3006,$J115),LEN($B$5))=$B$5,INDEX(NKC!$G$7:$G$3006,$J115),INDEX(NKC!$F$7:$F$3006,$J115)))</f>
        <v/>
      </c>
      <c r="F115" s="125">
        <f>IF($J115="","",IF(LEFT(INDEX(NKC!$F$7:$F$3006,$J115),LEN($B$5))=$B$5,INDEX(NKC!$H$7:$H$3006,$J115),""))</f>
        <v/>
      </c>
      <c r="G115" s="125">
        <f>IF($J115="","",IF(LEFT(INDEX(NKC!$G$7:$G$3006,$J115),LEN($B$5))=$B$5,INDEX(NKC!$H$7:$H$3006,$J115),""))</f>
        <v/>
      </c>
      <c r="H115" s="132">
        <f>IF($J115="","",H114+N(F115)-N(G115))</f>
        <v/>
      </c>
      <c r="J115" s="117">
        <f>IFERROR(MATCH(108,NKC!$P$7:$P$3006,0),"")</f>
        <v/>
      </c>
    </row>
    <row r="116" ht="15" customHeight="1" s="78">
      <c r="A116" s="131">
        <f>IF($J116="","",INDEX(NKC!$B$7:$B$3006,$J116))</f>
        <v/>
      </c>
      <c r="B116" s="95">
        <f>IF($J116="","",INDEX(NKC!$C$7:$C$3006,$J116))</f>
        <v/>
      </c>
      <c r="C116" s="131">
        <f>IF($J116="","",INDEX(NKC!$D$7:$D$3006,$J116))</f>
        <v/>
      </c>
      <c r="D116" s="97">
        <f>IF($J116="","",INDEX(NKC!$E$7:$E$3006,$J116))</f>
        <v/>
      </c>
      <c r="E116" s="95">
        <f>IF($J116="","",IF(LEFT(INDEX(NKC!$F$7:$F$3006,$J116),LEN($B$5))=$B$5,INDEX(NKC!$G$7:$G$3006,$J116),INDEX(NKC!$F$7:$F$3006,$J116)))</f>
        <v/>
      </c>
      <c r="F116" s="125">
        <f>IF($J116="","",IF(LEFT(INDEX(NKC!$F$7:$F$3006,$J116),LEN($B$5))=$B$5,INDEX(NKC!$H$7:$H$3006,$J116),""))</f>
        <v/>
      </c>
      <c r="G116" s="125">
        <f>IF($J116="","",IF(LEFT(INDEX(NKC!$G$7:$G$3006,$J116),LEN($B$5))=$B$5,INDEX(NKC!$H$7:$H$3006,$J116),""))</f>
        <v/>
      </c>
      <c r="H116" s="132">
        <f>IF($J116="","",H115+N(F116)-N(G116))</f>
        <v/>
      </c>
      <c r="J116" s="117">
        <f>IFERROR(MATCH(109,NKC!$P$7:$P$3006,0),"")</f>
        <v/>
      </c>
    </row>
    <row r="117" ht="15" customHeight="1" s="78">
      <c r="A117" s="131">
        <f>IF($J117="","",INDEX(NKC!$B$7:$B$3006,$J117))</f>
        <v/>
      </c>
      <c r="B117" s="95">
        <f>IF($J117="","",INDEX(NKC!$C$7:$C$3006,$J117))</f>
        <v/>
      </c>
      <c r="C117" s="131">
        <f>IF($J117="","",INDEX(NKC!$D$7:$D$3006,$J117))</f>
        <v/>
      </c>
      <c r="D117" s="97">
        <f>IF($J117="","",INDEX(NKC!$E$7:$E$3006,$J117))</f>
        <v/>
      </c>
      <c r="E117" s="95">
        <f>IF($J117="","",IF(LEFT(INDEX(NKC!$F$7:$F$3006,$J117),LEN($B$5))=$B$5,INDEX(NKC!$G$7:$G$3006,$J117),INDEX(NKC!$F$7:$F$3006,$J117)))</f>
        <v/>
      </c>
      <c r="F117" s="125">
        <f>IF($J117="","",IF(LEFT(INDEX(NKC!$F$7:$F$3006,$J117),LEN($B$5))=$B$5,INDEX(NKC!$H$7:$H$3006,$J117),""))</f>
        <v/>
      </c>
      <c r="G117" s="125">
        <f>IF($J117="","",IF(LEFT(INDEX(NKC!$G$7:$G$3006,$J117),LEN($B$5))=$B$5,INDEX(NKC!$H$7:$H$3006,$J117),""))</f>
        <v/>
      </c>
      <c r="H117" s="132">
        <f>IF($J117="","",H116+N(F117)-N(G117))</f>
        <v/>
      </c>
      <c r="J117" s="117">
        <f>IFERROR(MATCH(110,NKC!$P$7:$P$3006,0),"")</f>
        <v/>
      </c>
    </row>
    <row r="118" ht="15" customHeight="1" s="78">
      <c r="A118" s="131">
        <f>IF($J118="","",INDEX(NKC!$B$7:$B$3006,$J118))</f>
        <v/>
      </c>
      <c r="B118" s="95">
        <f>IF($J118="","",INDEX(NKC!$C$7:$C$3006,$J118))</f>
        <v/>
      </c>
      <c r="C118" s="131">
        <f>IF($J118="","",INDEX(NKC!$D$7:$D$3006,$J118))</f>
        <v/>
      </c>
      <c r="D118" s="97">
        <f>IF($J118="","",INDEX(NKC!$E$7:$E$3006,$J118))</f>
        <v/>
      </c>
      <c r="E118" s="95">
        <f>IF($J118="","",IF(LEFT(INDEX(NKC!$F$7:$F$3006,$J118),LEN($B$5))=$B$5,INDEX(NKC!$G$7:$G$3006,$J118),INDEX(NKC!$F$7:$F$3006,$J118)))</f>
        <v/>
      </c>
      <c r="F118" s="125">
        <f>IF($J118="","",IF(LEFT(INDEX(NKC!$F$7:$F$3006,$J118),LEN($B$5))=$B$5,INDEX(NKC!$H$7:$H$3006,$J118),""))</f>
        <v/>
      </c>
      <c r="G118" s="125">
        <f>IF($J118="","",IF(LEFT(INDEX(NKC!$G$7:$G$3006,$J118),LEN($B$5))=$B$5,INDEX(NKC!$H$7:$H$3006,$J118),""))</f>
        <v/>
      </c>
      <c r="H118" s="132">
        <f>IF($J118="","",H117+N(F118)-N(G118))</f>
        <v/>
      </c>
      <c r="J118" s="117">
        <f>IFERROR(MATCH(111,NKC!$P$7:$P$3006,0),"")</f>
        <v/>
      </c>
    </row>
    <row r="119" ht="15" customHeight="1" s="78">
      <c r="A119" s="131">
        <f>IF($J119="","",INDEX(NKC!$B$7:$B$3006,$J119))</f>
        <v/>
      </c>
      <c r="B119" s="95">
        <f>IF($J119="","",INDEX(NKC!$C$7:$C$3006,$J119))</f>
        <v/>
      </c>
      <c r="C119" s="131">
        <f>IF($J119="","",INDEX(NKC!$D$7:$D$3006,$J119))</f>
        <v/>
      </c>
      <c r="D119" s="97">
        <f>IF($J119="","",INDEX(NKC!$E$7:$E$3006,$J119))</f>
        <v/>
      </c>
      <c r="E119" s="95">
        <f>IF($J119="","",IF(LEFT(INDEX(NKC!$F$7:$F$3006,$J119),LEN($B$5))=$B$5,INDEX(NKC!$G$7:$G$3006,$J119),INDEX(NKC!$F$7:$F$3006,$J119)))</f>
        <v/>
      </c>
      <c r="F119" s="125">
        <f>IF($J119="","",IF(LEFT(INDEX(NKC!$F$7:$F$3006,$J119),LEN($B$5))=$B$5,INDEX(NKC!$H$7:$H$3006,$J119),""))</f>
        <v/>
      </c>
      <c r="G119" s="125">
        <f>IF($J119="","",IF(LEFT(INDEX(NKC!$G$7:$G$3006,$J119),LEN($B$5))=$B$5,INDEX(NKC!$H$7:$H$3006,$J119),""))</f>
        <v/>
      </c>
      <c r="H119" s="132">
        <f>IF($J119="","",H118+N(F119)-N(G119))</f>
        <v/>
      </c>
      <c r="J119" s="117">
        <f>IFERROR(MATCH(112,NKC!$P$7:$P$3006,0),"")</f>
        <v/>
      </c>
    </row>
    <row r="120" ht="15" customHeight="1" s="78">
      <c r="A120" s="131">
        <f>IF($J120="","",INDEX(NKC!$B$7:$B$3006,$J120))</f>
        <v/>
      </c>
      <c r="B120" s="95">
        <f>IF($J120="","",INDEX(NKC!$C$7:$C$3006,$J120))</f>
        <v/>
      </c>
      <c r="C120" s="131">
        <f>IF($J120="","",INDEX(NKC!$D$7:$D$3006,$J120))</f>
        <v/>
      </c>
      <c r="D120" s="97">
        <f>IF($J120="","",INDEX(NKC!$E$7:$E$3006,$J120))</f>
        <v/>
      </c>
      <c r="E120" s="95">
        <f>IF($J120="","",IF(LEFT(INDEX(NKC!$F$7:$F$3006,$J120),LEN($B$5))=$B$5,INDEX(NKC!$G$7:$G$3006,$J120),INDEX(NKC!$F$7:$F$3006,$J120)))</f>
        <v/>
      </c>
      <c r="F120" s="125">
        <f>IF($J120="","",IF(LEFT(INDEX(NKC!$F$7:$F$3006,$J120),LEN($B$5))=$B$5,INDEX(NKC!$H$7:$H$3006,$J120),""))</f>
        <v/>
      </c>
      <c r="G120" s="125">
        <f>IF($J120="","",IF(LEFT(INDEX(NKC!$G$7:$G$3006,$J120),LEN($B$5))=$B$5,INDEX(NKC!$H$7:$H$3006,$J120),""))</f>
        <v/>
      </c>
      <c r="H120" s="132">
        <f>IF($J120="","",H119+N(F120)-N(G120))</f>
        <v/>
      </c>
      <c r="J120" s="117">
        <f>IFERROR(MATCH(113,NKC!$P$7:$P$3006,0),"")</f>
        <v/>
      </c>
    </row>
    <row r="121" ht="15" customHeight="1" s="78">
      <c r="A121" s="131">
        <f>IF($J121="","",INDEX(NKC!$B$7:$B$3006,$J121))</f>
        <v/>
      </c>
      <c r="B121" s="95">
        <f>IF($J121="","",INDEX(NKC!$C$7:$C$3006,$J121))</f>
        <v/>
      </c>
      <c r="C121" s="131">
        <f>IF($J121="","",INDEX(NKC!$D$7:$D$3006,$J121))</f>
        <v/>
      </c>
      <c r="D121" s="97">
        <f>IF($J121="","",INDEX(NKC!$E$7:$E$3006,$J121))</f>
        <v/>
      </c>
      <c r="E121" s="95">
        <f>IF($J121="","",IF(LEFT(INDEX(NKC!$F$7:$F$3006,$J121),LEN($B$5))=$B$5,INDEX(NKC!$G$7:$G$3006,$J121),INDEX(NKC!$F$7:$F$3006,$J121)))</f>
        <v/>
      </c>
      <c r="F121" s="125">
        <f>IF($J121="","",IF(LEFT(INDEX(NKC!$F$7:$F$3006,$J121),LEN($B$5))=$B$5,INDEX(NKC!$H$7:$H$3006,$J121),""))</f>
        <v/>
      </c>
      <c r="G121" s="125">
        <f>IF($J121="","",IF(LEFT(INDEX(NKC!$G$7:$G$3006,$J121),LEN($B$5))=$B$5,INDEX(NKC!$H$7:$H$3006,$J121),""))</f>
        <v/>
      </c>
      <c r="H121" s="132">
        <f>IF($J121="","",H120+N(F121)-N(G121))</f>
        <v/>
      </c>
      <c r="J121" s="117">
        <f>IFERROR(MATCH(114,NKC!$P$7:$P$3006,0),"")</f>
        <v/>
      </c>
    </row>
    <row r="122" ht="15" customHeight="1" s="78">
      <c r="A122" s="131">
        <f>IF($J122="","",INDEX(NKC!$B$7:$B$3006,$J122))</f>
        <v/>
      </c>
      <c r="B122" s="95">
        <f>IF($J122="","",INDEX(NKC!$C$7:$C$3006,$J122))</f>
        <v/>
      </c>
      <c r="C122" s="131">
        <f>IF($J122="","",INDEX(NKC!$D$7:$D$3006,$J122))</f>
        <v/>
      </c>
      <c r="D122" s="97">
        <f>IF($J122="","",INDEX(NKC!$E$7:$E$3006,$J122))</f>
        <v/>
      </c>
      <c r="E122" s="95">
        <f>IF($J122="","",IF(LEFT(INDEX(NKC!$F$7:$F$3006,$J122),LEN($B$5))=$B$5,INDEX(NKC!$G$7:$G$3006,$J122),INDEX(NKC!$F$7:$F$3006,$J122)))</f>
        <v/>
      </c>
      <c r="F122" s="125">
        <f>IF($J122="","",IF(LEFT(INDEX(NKC!$F$7:$F$3006,$J122),LEN($B$5))=$B$5,INDEX(NKC!$H$7:$H$3006,$J122),""))</f>
        <v/>
      </c>
      <c r="G122" s="125">
        <f>IF($J122="","",IF(LEFT(INDEX(NKC!$G$7:$G$3006,$J122),LEN($B$5))=$B$5,INDEX(NKC!$H$7:$H$3006,$J122),""))</f>
        <v/>
      </c>
      <c r="H122" s="132">
        <f>IF($J122="","",H121+N(F122)-N(G122))</f>
        <v/>
      </c>
      <c r="J122" s="117">
        <f>IFERROR(MATCH(115,NKC!$P$7:$P$3006,0),"")</f>
        <v/>
      </c>
    </row>
    <row r="123" ht="15" customHeight="1" s="78">
      <c r="A123" s="131">
        <f>IF($J123="","",INDEX(NKC!$B$7:$B$3006,$J123))</f>
        <v/>
      </c>
      <c r="B123" s="95">
        <f>IF($J123="","",INDEX(NKC!$C$7:$C$3006,$J123))</f>
        <v/>
      </c>
      <c r="C123" s="131">
        <f>IF($J123="","",INDEX(NKC!$D$7:$D$3006,$J123))</f>
        <v/>
      </c>
      <c r="D123" s="97">
        <f>IF($J123="","",INDEX(NKC!$E$7:$E$3006,$J123))</f>
        <v/>
      </c>
      <c r="E123" s="95">
        <f>IF($J123="","",IF(LEFT(INDEX(NKC!$F$7:$F$3006,$J123),LEN($B$5))=$B$5,INDEX(NKC!$G$7:$G$3006,$J123),INDEX(NKC!$F$7:$F$3006,$J123)))</f>
        <v/>
      </c>
      <c r="F123" s="125">
        <f>IF($J123="","",IF(LEFT(INDEX(NKC!$F$7:$F$3006,$J123),LEN($B$5))=$B$5,INDEX(NKC!$H$7:$H$3006,$J123),""))</f>
        <v/>
      </c>
      <c r="G123" s="125">
        <f>IF($J123="","",IF(LEFT(INDEX(NKC!$G$7:$G$3006,$J123),LEN($B$5))=$B$5,INDEX(NKC!$H$7:$H$3006,$J123),""))</f>
        <v/>
      </c>
      <c r="H123" s="132">
        <f>IF($J123="","",H122+N(F123)-N(G123))</f>
        <v/>
      </c>
      <c r="J123" s="117">
        <f>IFERROR(MATCH(116,NKC!$P$7:$P$3006,0),"")</f>
        <v/>
      </c>
    </row>
    <row r="124" ht="15" customHeight="1" s="78">
      <c r="A124" s="131">
        <f>IF($J124="","",INDEX(NKC!$B$7:$B$3006,$J124))</f>
        <v/>
      </c>
      <c r="B124" s="95">
        <f>IF($J124="","",INDEX(NKC!$C$7:$C$3006,$J124))</f>
        <v/>
      </c>
      <c r="C124" s="131">
        <f>IF($J124="","",INDEX(NKC!$D$7:$D$3006,$J124))</f>
        <v/>
      </c>
      <c r="D124" s="97">
        <f>IF($J124="","",INDEX(NKC!$E$7:$E$3006,$J124))</f>
        <v/>
      </c>
      <c r="E124" s="95">
        <f>IF($J124="","",IF(LEFT(INDEX(NKC!$F$7:$F$3006,$J124),LEN($B$5))=$B$5,INDEX(NKC!$G$7:$G$3006,$J124),INDEX(NKC!$F$7:$F$3006,$J124)))</f>
        <v/>
      </c>
      <c r="F124" s="125">
        <f>IF($J124="","",IF(LEFT(INDEX(NKC!$F$7:$F$3006,$J124),LEN($B$5))=$B$5,INDEX(NKC!$H$7:$H$3006,$J124),""))</f>
        <v/>
      </c>
      <c r="G124" s="125">
        <f>IF($J124="","",IF(LEFT(INDEX(NKC!$G$7:$G$3006,$J124),LEN($B$5))=$B$5,INDEX(NKC!$H$7:$H$3006,$J124),""))</f>
        <v/>
      </c>
      <c r="H124" s="132">
        <f>IF($J124="","",H123+N(F124)-N(G124))</f>
        <v/>
      </c>
      <c r="J124" s="117">
        <f>IFERROR(MATCH(117,NKC!$P$7:$P$3006,0),"")</f>
        <v/>
      </c>
    </row>
    <row r="125" ht="15" customHeight="1" s="78">
      <c r="A125" s="131">
        <f>IF($J125="","",INDEX(NKC!$B$7:$B$3006,$J125))</f>
        <v/>
      </c>
      <c r="B125" s="95">
        <f>IF($J125="","",INDEX(NKC!$C$7:$C$3006,$J125))</f>
        <v/>
      </c>
      <c r="C125" s="131">
        <f>IF($J125="","",INDEX(NKC!$D$7:$D$3006,$J125))</f>
        <v/>
      </c>
      <c r="D125" s="97">
        <f>IF($J125="","",INDEX(NKC!$E$7:$E$3006,$J125))</f>
        <v/>
      </c>
      <c r="E125" s="95">
        <f>IF($J125="","",IF(LEFT(INDEX(NKC!$F$7:$F$3006,$J125),LEN($B$5))=$B$5,INDEX(NKC!$G$7:$G$3006,$J125),INDEX(NKC!$F$7:$F$3006,$J125)))</f>
        <v/>
      </c>
      <c r="F125" s="125">
        <f>IF($J125="","",IF(LEFT(INDEX(NKC!$F$7:$F$3006,$J125),LEN($B$5))=$B$5,INDEX(NKC!$H$7:$H$3006,$J125),""))</f>
        <v/>
      </c>
      <c r="G125" s="125">
        <f>IF($J125="","",IF(LEFT(INDEX(NKC!$G$7:$G$3006,$J125),LEN($B$5))=$B$5,INDEX(NKC!$H$7:$H$3006,$J125),""))</f>
        <v/>
      </c>
      <c r="H125" s="132">
        <f>IF($J125="","",H124+N(F125)-N(G125))</f>
        <v/>
      </c>
      <c r="J125" s="117">
        <f>IFERROR(MATCH(118,NKC!$P$7:$P$3006,0),"")</f>
        <v/>
      </c>
    </row>
    <row r="126" ht="15" customHeight="1" s="78">
      <c r="A126" s="131">
        <f>IF($J126="","",INDEX(NKC!$B$7:$B$3006,$J126))</f>
        <v/>
      </c>
      <c r="B126" s="95">
        <f>IF($J126="","",INDEX(NKC!$C$7:$C$3006,$J126))</f>
        <v/>
      </c>
      <c r="C126" s="131">
        <f>IF($J126="","",INDEX(NKC!$D$7:$D$3006,$J126))</f>
        <v/>
      </c>
      <c r="D126" s="97">
        <f>IF($J126="","",INDEX(NKC!$E$7:$E$3006,$J126))</f>
        <v/>
      </c>
      <c r="E126" s="95">
        <f>IF($J126="","",IF(LEFT(INDEX(NKC!$F$7:$F$3006,$J126),LEN($B$5))=$B$5,INDEX(NKC!$G$7:$G$3006,$J126),INDEX(NKC!$F$7:$F$3006,$J126)))</f>
        <v/>
      </c>
      <c r="F126" s="125">
        <f>IF($J126="","",IF(LEFT(INDEX(NKC!$F$7:$F$3006,$J126),LEN($B$5))=$B$5,INDEX(NKC!$H$7:$H$3006,$J126),""))</f>
        <v/>
      </c>
      <c r="G126" s="125">
        <f>IF($J126="","",IF(LEFT(INDEX(NKC!$G$7:$G$3006,$J126),LEN($B$5))=$B$5,INDEX(NKC!$H$7:$H$3006,$J126),""))</f>
        <v/>
      </c>
      <c r="H126" s="132">
        <f>IF($J126="","",H125+N(F126)-N(G126))</f>
        <v/>
      </c>
      <c r="J126" s="117">
        <f>IFERROR(MATCH(119,NKC!$P$7:$P$3006,0),"")</f>
        <v/>
      </c>
    </row>
    <row r="127" ht="15" customHeight="1" s="78">
      <c r="A127" s="131">
        <f>IF($J127="","",INDEX(NKC!$B$7:$B$3006,$J127))</f>
        <v/>
      </c>
      <c r="B127" s="95">
        <f>IF($J127="","",INDEX(NKC!$C$7:$C$3006,$J127))</f>
        <v/>
      </c>
      <c r="C127" s="131">
        <f>IF($J127="","",INDEX(NKC!$D$7:$D$3006,$J127))</f>
        <v/>
      </c>
      <c r="D127" s="97">
        <f>IF($J127="","",INDEX(NKC!$E$7:$E$3006,$J127))</f>
        <v/>
      </c>
      <c r="E127" s="95">
        <f>IF($J127="","",IF(LEFT(INDEX(NKC!$F$7:$F$3006,$J127),LEN($B$5))=$B$5,INDEX(NKC!$G$7:$G$3006,$J127),INDEX(NKC!$F$7:$F$3006,$J127)))</f>
        <v/>
      </c>
      <c r="F127" s="125">
        <f>IF($J127="","",IF(LEFT(INDEX(NKC!$F$7:$F$3006,$J127),LEN($B$5))=$B$5,INDEX(NKC!$H$7:$H$3006,$J127),""))</f>
        <v/>
      </c>
      <c r="G127" s="125">
        <f>IF($J127="","",IF(LEFT(INDEX(NKC!$G$7:$G$3006,$J127),LEN($B$5))=$B$5,INDEX(NKC!$H$7:$H$3006,$J127),""))</f>
        <v/>
      </c>
      <c r="H127" s="132">
        <f>IF($J127="","",H126+N(F127)-N(G127))</f>
        <v/>
      </c>
      <c r="J127" s="117">
        <f>IFERROR(MATCH(120,NKC!$P$7:$P$3006,0),"")</f>
        <v/>
      </c>
    </row>
    <row r="128" ht="15" customHeight="1" s="78">
      <c r="A128" s="131">
        <f>IF($J128="","",INDEX(NKC!$B$7:$B$3006,$J128))</f>
        <v/>
      </c>
      <c r="B128" s="95">
        <f>IF($J128="","",INDEX(NKC!$C$7:$C$3006,$J128))</f>
        <v/>
      </c>
      <c r="C128" s="131">
        <f>IF($J128="","",INDEX(NKC!$D$7:$D$3006,$J128))</f>
        <v/>
      </c>
      <c r="D128" s="97">
        <f>IF($J128="","",INDEX(NKC!$E$7:$E$3006,$J128))</f>
        <v/>
      </c>
      <c r="E128" s="95">
        <f>IF($J128="","",IF(LEFT(INDEX(NKC!$F$7:$F$3006,$J128),LEN($B$5))=$B$5,INDEX(NKC!$G$7:$G$3006,$J128),INDEX(NKC!$F$7:$F$3006,$J128)))</f>
        <v/>
      </c>
      <c r="F128" s="125">
        <f>IF($J128="","",IF(LEFT(INDEX(NKC!$F$7:$F$3006,$J128),LEN($B$5))=$B$5,INDEX(NKC!$H$7:$H$3006,$J128),""))</f>
        <v/>
      </c>
      <c r="G128" s="125">
        <f>IF($J128="","",IF(LEFT(INDEX(NKC!$G$7:$G$3006,$J128),LEN($B$5))=$B$5,INDEX(NKC!$H$7:$H$3006,$J128),""))</f>
        <v/>
      </c>
      <c r="H128" s="132">
        <f>IF($J128="","",H127+N(F128)-N(G128))</f>
        <v/>
      </c>
      <c r="J128" s="117">
        <f>IFERROR(MATCH(121,NKC!$P$7:$P$3006,0),"")</f>
        <v/>
      </c>
    </row>
    <row r="129" ht="15" customHeight="1" s="78">
      <c r="A129" s="131">
        <f>IF($J129="","",INDEX(NKC!$B$7:$B$3006,$J129))</f>
        <v/>
      </c>
      <c r="B129" s="95">
        <f>IF($J129="","",INDEX(NKC!$C$7:$C$3006,$J129))</f>
        <v/>
      </c>
      <c r="C129" s="131">
        <f>IF($J129="","",INDEX(NKC!$D$7:$D$3006,$J129))</f>
        <v/>
      </c>
      <c r="D129" s="97">
        <f>IF($J129="","",INDEX(NKC!$E$7:$E$3006,$J129))</f>
        <v/>
      </c>
      <c r="E129" s="95">
        <f>IF($J129="","",IF(LEFT(INDEX(NKC!$F$7:$F$3006,$J129),LEN($B$5))=$B$5,INDEX(NKC!$G$7:$G$3006,$J129),INDEX(NKC!$F$7:$F$3006,$J129)))</f>
        <v/>
      </c>
      <c r="F129" s="125">
        <f>IF($J129="","",IF(LEFT(INDEX(NKC!$F$7:$F$3006,$J129),LEN($B$5))=$B$5,INDEX(NKC!$H$7:$H$3006,$J129),""))</f>
        <v/>
      </c>
      <c r="G129" s="125">
        <f>IF($J129="","",IF(LEFT(INDEX(NKC!$G$7:$G$3006,$J129),LEN($B$5))=$B$5,INDEX(NKC!$H$7:$H$3006,$J129),""))</f>
        <v/>
      </c>
      <c r="H129" s="132">
        <f>IF($J129="","",H128+N(F129)-N(G129))</f>
        <v/>
      </c>
      <c r="J129" s="117">
        <f>IFERROR(MATCH(122,NKC!$P$7:$P$3006,0),"")</f>
        <v/>
      </c>
    </row>
    <row r="130" ht="15" customHeight="1" s="78">
      <c r="A130" s="131">
        <f>IF($J130="","",INDEX(NKC!$B$7:$B$3006,$J130))</f>
        <v/>
      </c>
      <c r="B130" s="95">
        <f>IF($J130="","",INDEX(NKC!$C$7:$C$3006,$J130))</f>
        <v/>
      </c>
      <c r="C130" s="131">
        <f>IF($J130="","",INDEX(NKC!$D$7:$D$3006,$J130))</f>
        <v/>
      </c>
      <c r="D130" s="97">
        <f>IF($J130="","",INDEX(NKC!$E$7:$E$3006,$J130))</f>
        <v/>
      </c>
      <c r="E130" s="95">
        <f>IF($J130="","",IF(LEFT(INDEX(NKC!$F$7:$F$3006,$J130),LEN($B$5))=$B$5,INDEX(NKC!$G$7:$G$3006,$J130),INDEX(NKC!$F$7:$F$3006,$J130)))</f>
        <v/>
      </c>
      <c r="F130" s="125">
        <f>IF($J130="","",IF(LEFT(INDEX(NKC!$F$7:$F$3006,$J130),LEN($B$5))=$B$5,INDEX(NKC!$H$7:$H$3006,$J130),""))</f>
        <v/>
      </c>
      <c r="G130" s="125">
        <f>IF($J130="","",IF(LEFT(INDEX(NKC!$G$7:$G$3006,$J130),LEN($B$5))=$B$5,INDEX(NKC!$H$7:$H$3006,$J130),""))</f>
        <v/>
      </c>
      <c r="H130" s="132">
        <f>IF($J130="","",H129+N(F130)-N(G130))</f>
        <v/>
      </c>
      <c r="J130" s="117">
        <f>IFERROR(MATCH(123,NKC!$P$7:$P$3006,0),"")</f>
        <v/>
      </c>
    </row>
    <row r="131" ht="15" customHeight="1" s="78">
      <c r="A131" s="131">
        <f>IF($J131="","",INDEX(NKC!$B$7:$B$3006,$J131))</f>
        <v/>
      </c>
      <c r="B131" s="95">
        <f>IF($J131="","",INDEX(NKC!$C$7:$C$3006,$J131))</f>
        <v/>
      </c>
      <c r="C131" s="131">
        <f>IF($J131="","",INDEX(NKC!$D$7:$D$3006,$J131))</f>
        <v/>
      </c>
      <c r="D131" s="97">
        <f>IF($J131="","",INDEX(NKC!$E$7:$E$3006,$J131))</f>
        <v/>
      </c>
      <c r="E131" s="95">
        <f>IF($J131="","",IF(LEFT(INDEX(NKC!$F$7:$F$3006,$J131),LEN($B$5))=$B$5,INDEX(NKC!$G$7:$G$3006,$J131),INDEX(NKC!$F$7:$F$3006,$J131)))</f>
        <v/>
      </c>
      <c r="F131" s="125">
        <f>IF($J131="","",IF(LEFT(INDEX(NKC!$F$7:$F$3006,$J131),LEN($B$5))=$B$5,INDEX(NKC!$H$7:$H$3006,$J131),""))</f>
        <v/>
      </c>
      <c r="G131" s="125">
        <f>IF($J131="","",IF(LEFT(INDEX(NKC!$G$7:$G$3006,$J131),LEN($B$5))=$B$5,INDEX(NKC!$H$7:$H$3006,$J131),""))</f>
        <v/>
      </c>
      <c r="H131" s="132">
        <f>IF($J131="","",H130+N(F131)-N(G131))</f>
        <v/>
      </c>
      <c r="J131" s="117">
        <f>IFERROR(MATCH(124,NKC!$P$7:$P$3006,0),"")</f>
        <v/>
      </c>
    </row>
    <row r="132" ht="15" customHeight="1" s="78">
      <c r="A132" s="131">
        <f>IF($J132="","",INDEX(NKC!$B$7:$B$3006,$J132))</f>
        <v/>
      </c>
      <c r="B132" s="95">
        <f>IF($J132="","",INDEX(NKC!$C$7:$C$3006,$J132))</f>
        <v/>
      </c>
      <c r="C132" s="131">
        <f>IF($J132="","",INDEX(NKC!$D$7:$D$3006,$J132))</f>
        <v/>
      </c>
      <c r="D132" s="97">
        <f>IF($J132="","",INDEX(NKC!$E$7:$E$3006,$J132))</f>
        <v/>
      </c>
      <c r="E132" s="95">
        <f>IF($J132="","",IF(LEFT(INDEX(NKC!$F$7:$F$3006,$J132),LEN($B$5))=$B$5,INDEX(NKC!$G$7:$G$3006,$J132),INDEX(NKC!$F$7:$F$3006,$J132)))</f>
        <v/>
      </c>
      <c r="F132" s="125">
        <f>IF($J132="","",IF(LEFT(INDEX(NKC!$F$7:$F$3006,$J132),LEN($B$5))=$B$5,INDEX(NKC!$H$7:$H$3006,$J132),""))</f>
        <v/>
      </c>
      <c r="G132" s="125">
        <f>IF($J132="","",IF(LEFT(INDEX(NKC!$G$7:$G$3006,$J132),LEN($B$5))=$B$5,INDEX(NKC!$H$7:$H$3006,$J132),""))</f>
        <v/>
      </c>
      <c r="H132" s="132">
        <f>IF($J132="","",H131+N(F132)-N(G132))</f>
        <v/>
      </c>
      <c r="J132" s="117">
        <f>IFERROR(MATCH(125,NKC!$P$7:$P$3006,0),"")</f>
        <v/>
      </c>
    </row>
    <row r="133" ht="15" customHeight="1" s="78">
      <c r="A133" s="131">
        <f>IF($J133="","",INDEX(NKC!$B$7:$B$3006,$J133))</f>
        <v/>
      </c>
      <c r="B133" s="95">
        <f>IF($J133="","",INDEX(NKC!$C$7:$C$3006,$J133))</f>
        <v/>
      </c>
      <c r="C133" s="131">
        <f>IF($J133="","",INDEX(NKC!$D$7:$D$3006,$J133))</f>
        <v/>
      </c>
      <c r="D133" s="97">
        <f>IF($J133="","",INDEX(NKC!$E$7:$E$3006,$J133))</f>
        <v/>
      </c>
      <c r="E133" s="95">
        <f>IF($J133="","",IF(LEFT(INDEX(NKC!$F$7:$F$3006,$J133),LEN($B$5))=$B$5,INDEX(NKC!$G$7:$G$3006,$J133),INDEX(NKC!$F$7:$F$3006,$J133)))</f>
        <v/>
      </c>
      <c r="F133" s="125">
        <f>IF($J133="","",IF(LEFT(INDEX(NKC!$F$7:$F$3006,$J133),LEN($B$5))=$B$5,INDEX(NKC!$H$7:$H$3006,$J133),""))</f>
        <v/>
      </c>
      <c r="G133" s="125">
        <f>IF($J133="","",IF(LEFT(INDEX(NKC!$G$7:$G$3006,$J133),LEN($B$5))=$B$5,INDEX(NKC!$H$7:$H$3006,$J133),""))</f>
        <v/>
      </c>
      <c r="H133" s="132">
        <f>IF($J133="","",H132+N(F133)-N(G133))</f>
        <v/>
      </c>
      <c r="J133" s="117">
        <f>IFERROR(MATCH(126,NKC!$P$7:$P$3006,0),"")</f>
        <v/>
      </c>
    </row>
    <row r="134" ht="15" customHeight="1" s="78">
      <c r="A134" s="131">
        <f>IF($J134="","",INDEX(NKC!$B$7:$B$3006,$J134))</f>
        <v/>
      </c>
      <c r="B134" s="95">
        <f>IF($J134="","",INDEX(NKC!$C$7:$C$3006,$J134))</f>
        <v/>
      </c>
      <c r="C134" s="131">
        <f>IF($J134="","",INDEX(NKC!$D$7:$D$3006,$J134))</f>
        <v/>
      </c>
      <c r="D134" s="97">
        <f>IF($J134="","",INDEX(NKC!$E$7:$E$3006,$J134))</f>
        <v/>
      </c>
      <c r="E134" s="95">
        <f>IF($J134="","",IF(LEFT(INDEX(NKC!$F$7:$F$3006,$J134),LEN($B$5))=$B$5,INDEX(NKC!$G$7:$G$3006,$J134),INDEX(NKC!$F$7:$F$3006,$J134)))</f>
        <v/>
      </c>
      <c r="F134" s="125">
        <f>IF($J134="","",IF(LEFT(INDEX(NKC!$F$7:$F$3006,$J134),LEN($B$5))=$B$5,INDEX(NKC!$H$7:$H$3006,$J134),""))</f>
        <v/>
      </c>
      <c r="G134" s="125">
        <f>IF($J134="","",IF(LEFT(INDEX(NKC!$G$7:$G$3006,$J134),LEN($B$5))=$B$5,INDEX(NKC!$H$7:$H$3006,$J134),""))</f>
        <v/>
      </c>
      <c r="H134" s="132">
        <f>IF($J134="","",H133+N(F134)-N(G134))</f>
        <v/>
      </c>
      <c r="J134" s="117">
        <f>IFERROR(MATCH(127,NKC!$P$7:$P$3006,0),"")</f>
        <v/>
      </c>
    </row>
    <row r="135" ht="15" customHeight="1" s="78">
      <c r="A135" s="131">
        <f>IF($J135="","",INDEX(NKC!$B$7:$B$3006,$J135))</f>
        <v/>
      </c>
      <c r="B135" s="95">
        <f>IF($J135="","",INDEX(NKC!$C$7:$C$3006,$J135))</f>
        <v/>
      </c>
      <c r="C135" s="131">
        <f>IF($J135="","",INDEX(NKC!$D$7:$D$3006,$J135))</f>
        <v/>
      </c>
      <c r="D135" s="97">
        <f>IF($J135="","",INDEX(NKC!$E$7:$E$3006,$J135))</f>
        <v/>
      </c>
      <c r="E135" s="95">
        <f>IF($J135="","",IF(LEFT(INDEX(NKC!$F$7:$F$3006,$J135),LEN($B$5))=$B$5,INDEX(NKC!$G$7:$G$3006,$J135),INDEX(NKC!$F$7:$F$3006,$J135)))</f>
        <v/>
      </c>
      <c r="F135" s="125">
        <f>IF($J135="","",IF(LEFT(INDEX(NKC!$F$7:$F$3006,$J135),LEN($B$5))=$B$5,INDEX(NKC!$H$7:$H$3006,$J135),""))</f>
        <v/>
      </c>
      <c r="G135" s="125">
        <f>IF($J135="","",IF(LEFT(INDEX(NKC!$G$7:$G$3006,$J135),LEN($B$5))=$B$5,INDEX(NKC!$H$7:$H$3006,$J135),""))</f>
        <v/>
      </c>
      <c r="H135" s="132">
        <f>IF($J135="","",H134+N(F135)-N(G135))</f>
        <v/>
      </c>
      <c r="J135" s="117">
        <f>IFERROR(MATCH(128,NKC!$P$7:$P$3006,0),"")</f>
        <v/>
      </c>
    </row>
    <row r="136" ht="15" customHeight="1" s="78">
      <c r="A136" s="131">
        <f>IF($J136="","",INDEX(NKC!$B$7:$B$3006,$J136))</f>
        <v/>
      </c>
      <c r="B136" s="95">
        <f>IF($J136="","",INDEX(NKC!$C$7:$C$3006,$J136))</f>
        <v/>
      </c>
      <c r="C136" s="131">
        <f>IF($J136="","",INDEX(NKC!$D$7:$D$3006,$J136))</f>
        <v/>
      </c>
      <c r="D136" s="97">
        <f>IF($J136="","",INDEX(NKC!$E$7:$E$3006,$J136))</f>
        <v/>
      </c>
      <c r="E136" s="95">
        <f>IF($J136="","",IF(LEFT(INDEX(NKC!$F$7:$F$3006,$J136),LEN($B$5))=$B$5,INDEX(NKC!$G$7:$G$3006,$J136),INDEX(NKC!$F$7:$F$3006,$J136)))</f>
        <v/>
      </c>
      <c r="F136" s="125">
        <f>IF($J136="","",IF(LEFT(INDEX(NKC!$F$7:$F$3006,$J136),LEN($B$5))=$B$5,INDEX(NKC!$H$7:$H$3006,$J136),""))</f>
        <v/>
      </c>
      <c r="G136" s="125">
        <f>IF($J136="","",IF(LEFT(INDEX(NKC!$G$7:$G$3006,$J136),LEN($B$5))=$B$5,INDEX(NKC!$H$7:$H$3006,$J136),""))</f>
        <v/>
      </c>
      <c r="H136" s="132">
        <f>IF($J136="","",H135+N(F136)-N(G136))</f>
        <v/>
      </c>
      <c r="J136" s="117">
        <f>IFERROR(MATCH(129,NKC!$P$7:$P$3006,0),"")</f>
        <v/>
      </c>
    </row>
    <row r="137" ht="15" customHeight="1" s="78">
      <c r="A137" s="131">
        <f>IF($J137="","",INDEX(NKC!$B$7:$B$3006,$J137))</f>
        <v/>
      </c>
      <c r="B137" s="95">
        <f>IF($J137="","",INDEX(NKC!$C$7:$C$3006,$J137))</f>
        <v/>
      </c>
      <c r="C137" s="131">
        <f>IF($J137="","",INDEX(NKC!$D$7:$D$3006,$J137))</f>
        <v/>
      </c>
      <c r="D137" s="97">
        <f>IF($J137="","",INDEX(NKC!$E$7:$E$3006,$J137))</f>
        <v/>
      </c>
      <c r="E137" s="95">
        <f>IF($J137="","",IF(LEFT(INDEX(NKC!$F$7:$F$3006,$J137),LEN($B$5))=$B$5,INDEX(NKC!$G$7:$G$3006,$J137),INDEX(NKC!$F$7:$F$3006,$J137)))</f>
        <v/>
      </c>
      <c r="F137" s="125">
        <f>IF($J137="","",IF(LEFT(INDEX(NKC!$F$7:$F$3006,$J137),LEN($B$5))=$B$5,INDEX(NKC!$H$7:$H$3006,$J137),""))</f>
        <v/>
      </c>
      <c r="G137" s="125">
        <f>IF($J137="","",IF(LEFT(INDEX(NKC!$G$7:$G$3006,$J137),LEN($B$5))=$B$5,INDEX(NKC!$H$7:$H$3006,$J137),""))</f>
        <v/>
      </c>
      <c r="H137" s="132">
        <f>IF($J137="","",H136+N(F137)-N(G137))</f>
        <v/>
      </c>
      <c r="J137" s="117">
        <f>IFERROR(MATCH(130,NKC!$P$7:$P$3006,0),"")</f>
        <v/>
      </c>
    </row>
    <row r="138" ht="15" customHeight="1" s="78">
      <c r="A138" s="131">
        <f>IF($J138="","",INDEX(NKC!$B$7:$B$3006,$J138))</f>
        <v/>
      </c>
      <c r="B138" s="95">
        <f>IF($J138="","",INDEX(NKC!$C$7:$C$3006,$J138))</f>
        <v/>
      </c>
      <c r="C138" s="131">
        <f>IF($J138="","",INDEX(NKC!$D$7:$D$3006,$J138))</f>
        <v/>
      </c>
      <c r="D138" s="97">
        <f>IF($J138="","",INDEX(NKC!$E$7:$E$3006,$J138))</f>
        <v/>
      </c>
      <c r="E138" s="95">
        <f>IF($J138="","",IF(LEFT(INDEX(NKC!$F$7:$F$3006,$J138),LEN($B$5))=$B$5,INDEX(NKC!$G$7:$G$3006,$J138),INDEX(NKC!$F$7:$F$3006,$J138)))</f>
        <v/>
      </c>
      <c r="F138" s="125">
        <f>IF($J138="","",IF(LEFT(INDEX(NKC!$F$7:$F$3006,$J138),LEN($B$5))=$B$5,INDEX(NKC!$H$7:$H$3006,$J138),""))</f>
        <v/>
      </c>
      <c r="G138" s="125">
        <f>IF($J138="","",IF(LEFT(INDEX(NKC!$G$7:$G$3006,$J138),LEN($B$5))=$B$5,INDEX(NKC!$H$7:$H$3006,$J138),""))</f>
        <v/>
      </c>
      <c r="H138" s="132">
        <f>IF($J138="","",H137+N(F138)-N(G138))</f>
        <v/>
      </c>
      <c r="J138" s="117">
        <f>IFERROR(MATCH(131,NKC!$P$7:$P$3006,0),"")</f>
        <v/>
      </c>
    </row>
    <row r="139" ht="15" customHeight="1" s="78">
      <c r="A139" s="131">
        <f>IF($J139="","",INDEX(NKC!$B$7:$B$3006,$J139))</f>
        <v/>
      </c>
      <c r="B139" s="95">
        <f>IF($J139="","",INDEX(NKC!$C$7:$C$3006,$J139))</f>
        <v/>
      </c>
      <c r="C139" s="131">
        <f>IF($J139="","",INDEX(NKC!$D$7:$D$3006,$J139))</f>
        <v/>
      </c>
      <c r="D139" s="97">
        <f>IF($J139="","",INDEX(NKC!$E$7:$E$3006,$J139))</f>
        <v/>
      </c>
      <c r="E139" s="95">
        <f>IF($J139="","",IF(LEFT(INDEX(NKC!$F$7:$F$3006,$J139),LEN($B$5))=$B$5,INDEX(NKC!$G$7:$G$3006,$J139),INDEX(NKC!$F$7:$F$3006,$J139)))</f>
        <v/>
      </c>
      <c r="F139" s="125">
        <f>IF($J139="","",IF(LEFT(INDEX(NKC!$F$7:$F$3006,$J139),LEN($B$5))=$B$5,INDEX(NKC!$H$7:$H$3006,$J139),""))</f>
        <v/>
      </c>
      <c r="G139" s="125">
        <f>IF($J139="","",IF(LEFT(INDEX(NKC!$G$7:$G$3006,$J139),LEN($B$5))=$B$5,INDEX(NKC!$H$7:$H$3006,$J139),""))</f>
        <v/>
      </c>
      <c r="H139" s="132">
        <f>IF($J139="","",H138+N(F139)-N(G139))</f>
        <v/>
      </c>
      <c r="J139" s="117">
        <f>IFERROR(MATCH(132,NKC!$P$7:$P$3006,0),"")</f>
        <v/>
      </c>
    </row>
    <row r="140" ht="15" customHeight="1" s="78">
      <c r="A140" s="131">
        <f>IF($J140="","",INDEX(NKC!$B$7:$B$3006,$J140))</f>
        <v/>
      </c>
      <c r="B140" s="95">
        <f>IF($J140="","",INDEX(NKC!$C$7:$C$3006,$J140))</f>
        <v/>
      </c>
      <c r="C140" s="131">
        <f>IF($J140="","",INDEX(NKC!$D$7:$D$3006,$J140))</f>
        <v/>
      </c>
      <c r="D140" s="97">
        <f>IF($J140="","",INDEX(NKC!$E$7:$E$3006,$J140))</f>
        <v/>
      </c>
      <c r="E140" s="95">
        <f>IF($J140="","",IF(LEFT(INDEX(NKC!$F$7:$F$3006,$J140),LEN($B$5))=$B$5,INDEX(NKC!$G$7:$G$3006,$J140),INDEX(NKC!$F$7:$F$3006,$J140)))</f>
        <v/>
      </c>
      <c r="F140" s="125">
        <f>IF($J140="","",IF(LEFT(INDEX(NKC!$F$7:$F$3006,$J140),LEN($B$5))=$B$5,INDEX(NKC!$H$7:$H$3006,$J140),""))</f>
        <v/>
      </c>
      <c r="G140" s="125">
        <f>IF($J140="","",IF(LEFT(INDEX(NKC!$G$7:$G$3006,$J140),LEN($B$5))=$B$5,INDEX(NKC!$H$7:$H$3006,$J140),""))</f>
        <v/>
      </c>
      <c r="H140" s="132">
        <f>IF($J140="","",H139+N(F140)-N(G140))</f>
        <v/>
      </c>
      <c r="J140" s="117">
        <f>IFERROR(MATCH(133,NKC!$P$7:$P$3006,0),"")</f>
        <v/>
      </c>
    </row>
    <row r="141" ht="15" customHeight="1" s="78">
      <c r="A141" s="131">
        <f>IF($J141="","",INDEX(NKC!$B$7:$B$3006,$J141))</f>
        <v/>
      </c>
      <c r="B141" s="95">
        <f>IF($J141="","",INDEX(NKC!$C$7:$C$3006,$J141))</f>
        <v/>
      </c>
      <c r="C141" s="131">
        <f>IF($J141="","",INDEX(NKC!$D$7:$D$3006,$J141))</f>
        <v/>
      </c>
      <c r="D141" s="97">
        <f>IF($J141="","",INDEX(NKC!$E$7:$E$3006,$J141))</f>
        <v/>
      </c>
      <c r="E141" s="95">
        <f>IF($J141="","",IF(LEFT(INDEX(NKC!$F$7:$F$3006,$J141),LEN($B$5))=$B$5,INDEX(NKC!$G$7:$G$3006,$J141),INDEX(NKC!$F$7:$F$3006,$J141)))</f>
        <v/>
      </c>
      <c r="F141" s="125">
        <f>IF($J141="","",IF(LEFT(INDEX(NKC!$F$7:$F$3006,$J141),LEN($B$5))=$B$5,INDEX(NKC!$H$7:$H$3006,$J141),""))</f>
        <v/>
      </c>
      <c r="G141" s="125">
        <f>IF($J141="","",IF(LEFT(INDEX(NKC!$G$7:$G$3006,$J141),LEN($B$5))=$B$5,INDEX(NKC!$H$7:$H$3006,$J141),""))</f>
        <v/>
      </c>
      <c r="H141" s="132">
        <f>IF($J141="","",H140+N(F141)-N(G141))</f>
        <v/>
      </c>
      <c r="J141" s="117">
        <f>IFERROR(MATCH(134,NKC!$P$7:$P$3006,0),"")</f>
        <v/>
      </c>
    </row>
    <row r="142" ht="15" customHeight="1" s="78">
      <c r="A142" s="131">
        <f>IF($J142="","",INDEX(NKC!$B$7:$B$3006,$J142))</f>
        <v/>
      </c>
      <c r="B142" s="95">
        <f>IF($J142="","",INDEX(NKC!$C$7:$C$3006,$J142))</f>
        <v/>
      </c>
      <c r="C142" s="131">
        <f>IF($J142="","",INDEX(NKC!$D$7:$D$3006,$J142))</f>
        <v/>
      </c>
      <c r="D142" s="97">
        <f>IF($J142="","",INDEX(NKC!$E$7:$E$3006,$J142))</f>
        <v/>
      </c>
      <c r="E142" s="95">
        <f>IF($J142="","",IF(LEFT(INDEX(NKC!$F$7:$F$3006,$J142),LEN($B$5))=$B$5,INDEX(NKC!$G$7:$G$3006,$J142),INDEX(NKC!$F$7:$F$3006,$J142)))</f>
        <v/>
      </c>
      <c r="F142" s="125">
        <f>IF($J142="","",IF(LEFT(INDEX(NKC!$F$7:$F$3006,$J142),LEN($B$5))=$B$5,INDEX(NKC!$H$7:$H$3006,$J142),""))</f>
        <v/>
      </c>
      <c r="G142" s="125">
        <f>IF($J142="","",IF(LEFT(INDEX(NKC!$G$7:$G$3006,$J142),LEN($B$5))=$B$5,INDEX(NKC!$H$7:$H$3006,$J142),""))</f>
        <v/>
      </c>
      <c r="H142" s="132">
        <f>IF($J142="","",H141+N(F142)-N(G142))</f>
        <v/>
      </c>
      <c r="J142" s="117">
        <f>IFERROR(MATCH(135,NKC!$P$7:$P$3006,0),"")</f>
        <v/>
      </c>
    </row>
    <row r="143" ht="15" customHeight="1" s="78">
      <c r="A143" s="131">
        <f>IF($J143="","",INDEX(NKC!$B$7:$B$3006,$J143))</f>
        <v/>
      </c>
      <c r="B143" s="95">
        <f>IF($J143="","",INDEX(NKC!$C$7:$C$3006,$J143))</f>
        <v/>
      </c>
      <c r="C143" s="131">
        <f>IF($J143="","",INDEX(NKC!$D$7:$D$3006,$J143))</f>
        <v/>
      </c>
      <c r="D143" s="97">
        <f>IF($J143="","",INDEX(NKC!$E$7:$E$3006,$J143))</f>
        <v/>
      </c>
      <c r="E143" s="95">
        <f>IF($J143="","",IF(LEFT(INDEX(NKC!$F$7:$F$3006,$J143),LEN($B$5))=$B$5,INDEX(NKC!$G$7:$G$3006,$J143),INDEX(NKC!$F$7:$F$3006,$J143)))</f>
        <v/>
      </c>
      <c r="F143" s="125">
        <f>IF($J143="","",IF(LEFT(INDEX(NKC!$F$7:$F$3006,$J143),LEN($B$5))=$B$5,INDEX(NKC!$H$7:$H$3006,$J143),""))</f>
        <v/>
      </c>
      <c r="G143" s="125">
        <f>IF($J143="","",IF(LEFT(INDEX(NKC!$G$7:$G$3006,$J143),LEN($B$5))=$B$5,INDEX(NKC!$H$7:$H$3006,$J143),""))</f>
        <v/>
      </c>
      <c r="H143" s="132">
        <f>IF($J143="","",H142+N(F143)-N(G143))</f>
        <v/>
      </c>
      <c r="J143" s="117">
        <f>IFERROR(MATCH(136,NKC!$P$7:$P$3006,0),"")</f>
        <v/>
      </c>
    </row>
    <row r="144" ht="15" customHeight="1" s="78">
      <c r="A144" s="131">
        <f>IF($J144="","",INDEX(NKC!$B$7:$B$3006,$J144))</f>
        <v/>
      </c>
      <c r="B144" s="95">
        <f>IF($J144="","",INDEX(NKC!$C$7:$C$3006,$J144))</f>
        <v/>
      </c>
      <c r="C144" s="131">
        <f>IF($J144="","",INDEX(NKC!$D$7:$D$3006,$J144))</f>
        <v/>
      </c>
      <c r="D144" s="97">
        <f>IF($J144="","",INDEX(NKC!$E$7:$E$3006,$J144))</f>
        <v/>
      </c>
      <c r="E144" s="95">
        <f>IF($J144="","",IF(LEFT(INDEX(NKC!$F$7:$F$3006,$J144),LEN($B$5))=$B$5,INDEX(NKC!$G$7:$G$3006,$J144),INDEX(NKC!$F$7:$F$3006,$J144)))</f>
        <v/>
      </c>
      <c r="F144" s="125">
        <f>IF($J144="","",IF(LEFT(INDEX(NKC!$F$7:$F$3006,$J144),LEN($B$5))=$B$5,INDEX(NKC!$H$7:$H$3006,$J144),""))</f>
        <v/>
      </c>
      <c r="G144" s="125">
        <f>IF($J144="","",IF(LEFT(INDEX(NKC!$G$7:$G$3006,$J144),LEN($B$5))=$B$5,INDEX(NKC!$H$7:$H$3006,$J144),""))</f>
        <v/>
      </c>
      <c r="H144" s="132">
        <f>IF($J144="","",H143+N(F144)-N(G144))</f>
        <v/>
      </c>
      <c r="J144" s="117">
        <f>IFERROR(MATCH(137,NKC!$P$7:$P$3006,0),"")</f>
        <v/>
      </c>
    </row>
    <row r="145" ht="15" customHeight="1" s="78">
      <c r="A145" s="131">
        <f>IF($J145="","",INDEX(NKC!$B$7:$B$3006,$J145))</f>
        <v/>
      </c>
      <c r="B145" s="95">
        <f>IF($J145="","",INDEX(NKC!$C$7:$C$3006,$J145))</f>
        <v/>
      </c>
      <c r="C145" s="131">
        <f>IF($J145="","",INDEX(NKC!$D$7:$D$3006,$J145))</f>
        <v/>
      </c>
      <c r="D145" s="97">
        <f>IF($J145="","",INDEX(NKC!$E$7:$E$3006,$J145))</f>
        <v/>
      </c>
      <c r="E145" s="95">
        <f>IF($J145="","",IF(LEFT(INDEX(NKC!$F$7:$F$3006,$J145),LEN($B$5))=$B$5,INDEX(NKC!$G$7:$G$3006,$J145),INDEX(NKC!$F$7:$F$3006,$J145)))</f>
        <v/>
      </c>
      <c r="F145" s="125">
        <f>IF($J145="","",IF(LEFT(INDEX(NKC!$F$7:$F$3006,$J145),LEN($B$5))=$B$5,INDEX(NKC!$H$7:$H$3006,$J145),""))</f>
        <v/>
      </c>
      <c r="G145" s="125">
        <f>IF($J145="","",IF(LEFT(INDEX(NKC!$G$7:$G$3006,$J145),LEN($B$5))=$B$5,INDEX(NKC!$H$7:$H$3006,$J145),""))</f>
        <v/>
      </c>
      <c r="H145" s="132">
        <f>IF($J145="","",H144+N(F145)-N(G145))</f>
        <v/>
      </c>
      <c r="J145" s="117">
        <f>IFERROR(MATCH(138,NKC!$P$7:$P$3006,0),"")</f>
        <v/>
      </c>
    </row>
    <row r="146" ht="15" customHeight="1" s="78">
      <c r="A146" s="131">
        <f>IF($J146="","",INDEX(NKC!$B$7:$B$3006,$J146))</f>
        <v/>
      </c>
      <c r="B146" s="95">
        <f>IF($J146="","",INDEX(NKC!$C$7:$C$3006,$J146))</f>
        <v/>
      </c>
      <c r="C146" s="131">
        <f>IF($J146="","",INDEX(NKC!$D$7:$D$3006,$J146))</f>
        <v/>
      </c>
      <c r="D146" s="97">
        <f>IF($J146="","",INDEX(NKC!$E$7:$E$3006,$J146))</f>
        <v/>
      </c>
      <c r="E146" s="95">
        <f>IF($J146="","",IF(LEFT(INDEX(NKC!$F$7:$F$3006,$J146),LEN($B$5))=$B$5,INDEX(NKC!$G$7:$G$3006,$J146),INDEX(NKC!$F$7:$F$3006,$J146)))</f>
        <v/>
      </c>
      <c r="F146" s="125">
        <f>IF($J146="","",IF(LEFT(INDEX(NKC!$F$7:$F$3006,$J146),LEN($B$5))=$B$5,INDEX(NKC!$H$7:$H$3006,$J146),""))</f>
        <v/>
      </c>
      <c r="G146" s="125">
        <f>IF($J146="","",IF(LEFT(INDEX(NKC!$G$7:$G$3006,$J146),LEN($B$5))=$B$5,INDEX(NKC!$H$7:$H$3006,$J146),""))</f>
        <v/>
      </c>
      <c r="H146" s="132">
        <f>IF($J146="","",H145+N(F146)-N(G146))</f>
        <v/>
      </c>
      <c r="J146" s="117">
        <f>IFERROR(MATCH(139,NKC!$P$7:$P$3006,0),"")</f>
        <v/>
      </c>
    </row>
    <row r="147" ht="15" customHeight="1" s="78">
      <c r="A147" s="131">
        <f>IF($J147="","",INDEX(NKC!$B$7:$B$3006,$J147))</f>
        <v/>
      </c>
      <c r="B147" s="95">
        <f>IF($J147="","",INDEX(NKC!$C$7:$C$3006,$J147))</f>
        <v/>
      </c>
      <c r="C147" s="131">
        <f>IF($J147="","",INDEX(NKC!$D$7:$D$3006,$J147))</f>
        <v/>
      </c>
      <c r="D147" s="97">
        <f>IF($J147="","",INDEX(NKC!$E$7:$E$3006,$J147))</f>
        <v/>
      </c>
      <c r="E147" s="95">
        <f>IF($J147="","",IF(LEFT(INDEX(NKC!$F$7:$F$3006,$J147),LEN($B$5))=$B$5,INDEX(NKC!$G$7:$G$3006,$J147),INDEX(NKC!$F$7:$F$3006,$J147)))</f>
        <v/>
      </c>
      <c r="F147" s="125">
        <f>IF($J147="","",IF(LEFT(INDEX(NKC!$F$7:$F$3006,$J147),LEN($B$5))=$B$5,INDEX(NKC!$H$7:$H$3006,$J147),""))</f>
        <v/>
      </c>
      <c r="G147" s="125">
        <f>IF($J147="","",IF(LEFT(INDEX(NKC!$G$7:$G$3006,$J147),LEN($B$5))=$B$5,INDEX(NKC!$H$7:$H$3006,$J147),""))</f>
        <v/>
      </c>
      <c r="H147" s="132">
        <f>IF($J147="","",H146+N(F147)-N(G147))</f>
        <v/>
      </c>
      <c r="J147" s="117">
        <f>IFERROR(MATCH(140,NKC!$P$7:$P$3006,0),"")</f>
        <v/>
      </c>
    </row>
    <row r="148" ht="15" customHeight="1" s="78">
      <c r="A148" s="131">
        <f>IF($J148="","",INDEX(NKC!$B$7:$B$3006,$J148))</f>
        <v/>
      </c>
      <c r="B148" s="95">
        <f>IF($J148="","",INDEX(NKC!$C$7:$C$3006,$J148))</f>
        <v/>
      </c>
      <c r="C148" s="131">
        <f>IF($J148="","",INDEX(NKC!$D$7:$D$3006,$J148))</f>
        <v/>
      </c>
      <c r="D148" s="97">
        <f>IF($J148="","",INDEX(NKC!$E$7:$E$3006,$J148))</f>
        <v/>
      </c>
      <c r="E148" s="95">
        <f>IF($J148="","",IF(LEFT(INDEX(NKC!$F$7:$F$3006,$J148),LEN($B$5))=$B$5,INDEX(NKC!$G$7:$G$3006,$J148),INDEX(NKC!$F$7:$F$3006,$J148)))</f>
        <v/>
      </c>
      <c r="F148" s="125">
        <f>IF($J148="","",IF(LEFT(INDEX(NKC!$F$7:$F$3006,$J148),LEN($B$5))=$B$5,INDEX(NKC!$H$7:$H$3006,$J148),""))</f>
        <v/>
      </c>
      <c r="G148" s="125">
        <f>IF($J148="","",IF(LEFT(INDEX(NKC!$G$7:$G$3006,$J148),LEN($B$5))=$B$5,INDEX(NKC!$H$7:$H$3006,$J148),""))</f>
        <v/>
      </c>
      <c r="H148" s="132">
        <f>IF($J148="","",H147+N(F148)-N(G148))</f>
        <v/>
      </c>
      <c r="J148" s="117">
        <f>IFERROR(MATCH(141,NKC!$P$7:$P$3006,0),"")</f>
        <v/>
      </c>
    </row>
    <row r="149" ht="15" customHeight="1" s="78">
      <c r="A149" s="131">
        <f>IF($J149="","",INDEX(NKC!$B$7:$B$3006,$J149))</f>
        <v/>
      </c>
      <c r="B149" s="95">
        <f>IF($J149="","",INDEX(NKC!$C$7:$C$3006,$J149))</f>
        <v/>
      </c>
      <c r="C149" s="131">
        <f>IF($J149="","",INDEX(NKC!$D$7:$D$3006,$J149))</f>
        <v/>
      </c>
      <c r="D149" s="97">
        <f>IF($J149="","",INDEX(NKC!$E$7:$E$3006,$J149))</f>
        <v/>
      </c>
      <c r="E149" s="95">
        <f>IF($J149="","",IF(LEFT(INDEX(NKC!$F$7:$F$3006,$J149),LEN($B$5))=$B$5,INDEX(NKC!$G$7:$G$3006,$J149),INDEX(NKC!$F$7:$F$3006,$J149)))</f>
        <v/>
      </c>
      <c r="F149" s="125">
        <f>IF($J149="","",IF(LEFT(INDEX(NKC!$F$7:$F$3006,$J149),LEN($B$5))=$B$5,INDEX(NKC!$H$7:$H$3006,$J149),""))</f>
        <v/>
      </c>
      <c r="G149" s="125">
        <f>IF($J149="","",IF(LEFT(INDEX(NKC!$G$7:$G$3006,$J149),LEN($B$5))=$B$5,INDEX(NKC!$H$7:$H$3006,$J149),""))</f>
        <v/>
      </c>
      <c r="H149" s="132">
        <f>IF($J149="","",H148+N(F149)-N(G149))</f>
        <v/>
      </c>
      <c r="J149" s="117">
        <f>IFERROR(MATCH(142,NKC!$P$7:$P$3006,0),"")</f>
        <v/>
      </c>
    </row>
    <row r="150" ht="15" customHeight="1" s="78">
      <c r="A150" s="131">
        <f>IF($J150="","",INDEX(NKC!$B$7:$B$3006,$J150))</f>
        <v/>
      </c>
      <c r="B150" s="95">
        <f>IF($J150="","",INDEX(NKC!$C$7:$C$3006,$J150))</f>
        <v/>
      </c>
      <c r="C150" s="131">
        <f>IF($J150="","",INDEX(NKC!$D$7:$D$3006,$J150))</f>
        <v/>
      </c>
      <c r="D150" s="97">
        <f>IF($J150="","",INDEX(NKC!$E$7:$E$3006,$J150))</f>
        <v/>
      </c>
      <c r="E150" s="95">
        <f>IF($J150="","",IF(LEFT(INDEX(NKC!$F$7:$F$3006,$J150),LEN($B$5))=$B$5,INDEX(NKC!$G$7:$G$3006,$J150),INDEX(NKC!$F$7:$F$3006,$J150)))</f>
        <v/>
      </c>
      <c r="F150" s="125">
        <f>IF($J150="","",IF(LEFT(INDEX(NKC!$F$7:$F$3006,$J150),LEN($B$5))=$B$5,INDEX(NKC!$H$7:$H$3006,$J150),""))</f>
        <v/>
      </c>
      <c r="G150" s="125">
        <f>IF($J150="","",IF(LEFT(INDEX(NKC!$G$7:$G$3006,$J150),LEN($B$5))=$B$5,INDEX(NKC!$H$7:$H$3006,$J150),""))</f>
        <v/>
      </c>
      <c r="H150" s="132">
        <f>IF($J150="","",H149+N(F150)-N(G150))</f>
        <v/>
      </c>
      <c r="J150" s="117">
        <f>IFERROR(MATCH(143,NKC!$P$7:$P$3006,0),"")</f>
        <v/>
      </c>
    </row>
    <row r="151" ht="15" customHeight="1" s="78">
      <c r="A151" s="131">
        <f>IF($J151="","",INDEX(NKC!$B$7:$B$3006,$J151))</f>
        <v/>
      </c>
      <c r="B151" s="95">
        <f>IF($J151="","",INDEX(NKC!$C$7:$C$3006,$J151))</f>
        <v/>
      </c>
      <c r="C151" s="131">
        <f>IF($J151="","",INDEX(NKC!$D$7:$D$3006,$J151))</f>
        <v/>
      </c>
      <c r="D151" s="97">
        <f>IF($J151="","",INDEX(NKC!$E$7:$E$3006,$J151))</f>
        <v/>
      </c>
      <c r="E151" s="95">
        <f>IF($J151="","",IF(LEFT(INDEX(NKC!$F$7:$F$3006,$J151),LEN($B$5))=$B$5,INDEX(NKC!$G$7:$G$3006,$J151),INDEX(NKC!$F$7:$F$3006,$J151)))</f>
        <v/>
      </c>
      <c r="F151" s="125">
        <f>IF($J151="","",IF(LEFT(INDEX(NKC!$F$7:$F$3006,$J151),LEN($B$5))=$B$5,INDEX(NKC!$H$7:$H$3006,$J151),""))</f>
        <v/>
      </c>
      <c r="G151" s="125">
        <f>IF($J151="","",IF(LEFT(INDEX(NKC!$G$7:$G$3006,$J151),LEN($B$5))=$B$5,INDEX(NKC!$H$7:$H$3006,$J151),""))</f>
        <v/>
      </c>
      <c r="H151" s="132">
        <f>IF($J151="","",H150+N(F151)-N(G151))</f>
        <v/>
      </c>
      <c r="J151" s="117">
        <f>IFERROR(MATCH(144,NKC!$P$7:$P$3006,0),"")</f>
        <v/>
      </c>
    </row>
    <row r="152" ht="15" customHeight="1" s="78">
      <c r="A152" s="131">
        <f>IF($J152="","",INDEX(NKC!$B$7:$B$3006,$J152))</f>
        <v/>
      </c>
      <c r="B152" s="95">
        <f>IF($J152="","",INDEX(NKC!$C$7:$C$3006,$J152))</f>
        <v/>
      </c>
      <c r="C152" s="131">
        <f>IF($J152="","",INDEX(NKC!$D$7:$D$3006,$J152))</f>
        <v/>
      </c>
      <c r="D152" s="97">
        <f>IF($J152="","",INDEX(NKC!$E$7:$E$3006,$J152))</f>
        <v/>
      </c>
      <c r="E152" s="95">
        <f>IF($J152="","",IF(LEFT(INDEX(NKC!$F$7:$F$3006,$J152),LEN($B$5))=$B$5,INDEX(NKC!$G$7:$G$3006,$J152),INDEX(NKC!$F$7:$F$3006,$J152)))</f>
        <v/>
      </c>
      <c r="F152" s="125">
        <f>IF($J152="","",IF(LEFT(INDEX(NKC!$F$7:$F$3006,$J152),LEN($B$5))=$B$5,INDEX(NKC!$H$7:$H$3006,$J152),""))</f>
        <v/>
      </c>
      <c r="G152" s="125">
        <f>IF($J152="","",IF(LEFT(INDEX(NKC!$G$7:$G$3006,$J152),LEN($B$5))=$B$5,INDEX(NKC!$H$7:$H$3006,$J152),""))</f>
        <v/>
      </c>
      <c r="H152" s="132">
        <f>IF($J152="","",H151+N(F152)-N(G152))</f>
        <v/>
      </c>
      <c r="J152" s="117">
        <f>IFERROR(MATCH(145,NKC!$P$7:$P$3006,0),"")</f>
        <v/>
      </c>
    </row>
    <row r="153" ht="15" customHeight="1" s="78">
      <c r="A153" s="131">
        <f>IF($J153="","",INDEX(NKC!$B$7:$B$3006,$J153))</f>
        <v/>
      </c>
      <c r="B153" s="95">
        <f>IF($J153="","",INDEX(NKC!$C$7:$C$3006,$J153))</f>
        <v/>
      </c>
      <c r="C153" s="131">
        <f>IF($J153="","",INDEX(NKC!$D$7:$D$3006,$J153))</f>
        <v/>
      </c>
      <c r="D153" s="97">
        <f>IF($J153="","",INDEX(NKC!$E$7:$E$3006,$J153))</f>
        <v/>
      </c>
      <c r="E153" s="95">
        <f>IF($J153="","",IF(LEFT(INDEX(NKC!$F$7:$F$3006,$J153),LEN($B$5))=$B$5,INDEX(NKC!$G$7:$G$3006,$J153),INDEX(NKC!$F$7:$F$3006,$J153)))</f>
        <v/>
      </c>
      <c r="F153" s="125">
        <f>IF($J153="","",IF(LEFT(INDEX(NKC!$F$7:$F$3006,$J153),LEN($B$5))=$B$5,INDEX(NKC!$H$7:$H$3006,$J153),""))</f>
        <v/>
      </c>
      <c r="G153" s="125">
        <f>IF($J153="","",IF(LEFT(INDEX(NKC!$G$7:$G$3006,$J153),LEN($B$5))=$B$5,INDEX(NKC!$H$7:$H$3006,$J153),""))</f>
        <v/>
      </c>
      <c r="H153" s="132">
        <f>IF($J153="","",H152+N(F153)-N(G153))</f>
        <v/>
      </c>
      <c r="J153" s="117">
        <f>IFERROR(MATCH(146,NKC!$P$7:$P$3006,0),"")</f>
        <v/>
      </c>
    </row>
    <row r="154" ht="15" customHeight="1" s="78">
      <c r="A154" s="131">
        <f>IF($J154="","",INDEX(NKC!$B$7:$B$3006,$J154))</f>
        <v/>
      </c>
      <c r="B154" s="95">
        <f>IF($J154="","",INDEX(NKC!$C$7:$C$3006,$J154))</f>
        <v/>
      </c>
      <c r="C154" s="131">
        <f>IF($J154="","",INDEX(NKC!$D$7:$D$3006,$J154))</f>
        <v/>
      </c>
      <c r="D154" s="97">
        <f>IF($J154="","",INDEX(NKC!$E$7:$E$3006,$J154))</f>
        <v/>
      </c>
      <c r="E154" s="95">
        <f>IF($J154="","",IF(LEFT(INDEX(NKC!$F$7:$F$3006,$J154),LEN($B$5))=$B$5,INDEX(NKC!$G$7:$G$3006,$J154),INDEX(NKC!$F$7:$F$3006,$J154)))</f>
        <v/>
      </c>
      <c r="F154" s="125">
        <f>IF($J154="","",IF(LEFT(INDEX(NKC!$F$7:$F$3006,$J154),LEN($B$5))=$B$5,INDEX(NKC!$H$7:$H$3006,$J154),""))</f>
        <v/>
      </c>
      <c r="G154" s="125">
        <f>IF($J154="","",IF(LEFT(INDEX(NKC!$G$7:$G$3006,$J154),LEN($B$5))=$B$5,INDEX(NKC!$H$7:$H$3006,$J154),""))</f>
        <v/>
      </c>
      <c r="H154" s="132">
        <f>IF($J154="","",H153+N(F154)-N(G154))</f>
        <v/>
      </c>
      <c r="J154" s="117">
        <f>IFERROR(MATCH(147,NKC!$P$7:$P$3006,0),"")</f>
        <v/>
      </c>
    </row>
    <row r="155" ht="15" customHeight="1" s="78">
      <c r="A155" s="131">
        <f>IF($J155="","",INDEX(NKC!$B$7:$B$3006,$J155))</f>
        <v/>
      </c>
      <c r="B155" s="95">
        <f>IF($J155="","",INDEX(NKC!$C$7:$C$3006,$J155))</f>
        <v/>
      </c>
      <c r="C155" s="131">
        <f>IF($J155="","",INDEX(NKC!$D$7:$D$3006,$J155))</f>
        <v/>
      </c>
      <c r="D155" s="97">
        <f>IF($J155="","",INDEX(NKC!$E$7:$E$3006,$J155))</f>
        <v/>
      </c>
      <c r="E155" s="95">
        <f>IF($J155="","",IF(LEFT(INDEX(NKC!$F$7:$F$3006,$J155),LEN($B$5))=$B$5,INDEX(NKC!$G$7:$G$3006,$J155),INDEX(NKC!$F$7:$F$3006,$J155)))</f>
        <v/>
      </c>
      <c r="F155" s="125">
        <f>IF($J155="","",IF(LEFT(INDEX(NKC!$F$7:$F$3006,$J155),LEN($B$5))=$B$5,INDEX(NKC!$H$7:$H$3006,$J155),""))</f>
        <v/>
      </c>
      <c r="G155" s="125">
        <f>IF($J155="","",IF(LEFT(INDEX(NKC!$G$7:$G$3006,$J155),LEN($B$5))=$B$5,INDEX(NKC!$H$7:$H$3006,$J155),""))</f>
        <v/>
      </c>
      <c r="H155" s="132">
        <f>IF($J155="","",H154+N(F155)-N(G155))</f>
        <v/>
      </c>
      <c r="J155" s="117">
        <f>IFERROR(MATCH(148,NKC!$P$7:$P$3006,0),"")</f>
        <v/>
      </c>
    </row>
    <row r="156" ht="15" customHeight="1" s="78">
      <c r="A156" s="131">
        <f>IF($J156="","",INDEX(NKC!$B$7:$B$3006,$J156))</f>
        <v/>
      </c>
      <c r="B156" s="95">
        <f>IF($J156="","",INDEX(NKC!$C$7:$C$3006,$J156))</f>
        <v/>
      </c>
      <c r="C156" s="131">
        <f>IF($J156="","",INDEX(NKC!$D$7:$D$3006,$J156))</f>
        <v/>
      </c>
      <c r="D156" s="97">
        <f>IF($J156="","",INDEX(NKC!$E$7:$E$3006,$J156))</f>
        <v/>
      </c>
      <c r="E156" s="95">
        <f>IF($J156="","",IF(LEFT(INDEX(NKC!$F$7:$F$3006,$J156),LEN($B$5))=$B$5,INDEX(NKC!$G$7:$G$3006,$J156),INDEX(NKC!$F$7:$F$3006,$J156)))</f>
        <v/>
      </c>
      <c r="F156" s="125">
        <f>IF($J156="","",IF(LEFT(INDEX(NKC!$F$7:$F$3006,$J156),LEN($B$5))=$B$5,INDEX(NKC!$H$7:$H$3006,$J156),""))</f>
        <v/>
      </c>
      <c r="G156" s="125">
        <f>IF($J156="","",IF(LEFT(INDEX(NKC!$G$7:$G$3006,$J156),LEN($B$5))=$B$5,INDEX(NKC!$H$7:$H$3006,$J156),""))</f>
        <v/>
      </c>
      <c r="H156" s="132">
        <f>IF($J156="","",H155+N(F156)-N(G156))</f>
        <v/>
      </c>
      <c r="J156" s="117">
        <f>IFERROR(MATCH(149,NKC!$P$7:$P$3006,0),"")</f>
        <v/>
      </c>
    </row>
    <row r="157" ht="15" customHeight="1" s="78">
      <c r="A157" s="131">
        <f>IF($J157="","",INDEX(NKC!$B$7:$B$3006,$J157))</f>
        <v/>
      </c>
      <c r="B157" s="95">
        <f>IF($J157="","",INDEX(NKC!$C$7:$C$3006,$J157))</f>
        <v/>
      </c>
      <c r="C157" s="131">
        <f>IF($J157="","",INDEX(NKC!$D$7:$D$3006,$J157))</f>
        <v/>
      </c>
      <c r="D157" s="97">
        <f>IF($J157="","",INDEX(NKC!$E$7:$E$3006,$J157))</f>
        <v/>
      </c>
      <c r="E157" s="95">
        <f>IF($J157="","",IF(LEFT(INDEX(NKC!$F$7:$F$3006,$J157),LEN($B$5))=$B$5,INDEX(NKC!$G$7:$G$3006,$J157),INDEX(NKC!$F$7:$F$3006,$J157)))</f>
        <v/>
      </c>
      <c r="F157" s="125">
        <f>IF($J157="","",IF(LEFT(INDEX(NKC!$F$7:$F$3006,$J157),LEN($B$5))=$B$5,INDEX(NKC!$H$7:$H$3006,$J157),""))</f>
        <v/>
      </c>
      <c r="G157" s="125">
        <f>IF($J157="","",IF(LEFT(INDEX(NKC!$G$7:$G$3006,$J157),LEN($B$5))=$B$5,INDEX(NKC!$H$7:$H$3006,$J157),""))</f>
        <v/>
      </c>
      <c r="H157" s="132">
        <f>IF($J157="","",H156+N(F157)-N(G157))</f>
        <v/>
      </c>
      <c r="J157" s="117">
        <f>IFERROR(MATCH(150,NKC!$P$7:$P$3006,0),"")</f>
        <v/>
      </c>
    </row>
    <row r="158" ht="15" customHeight="1" s="78">
      <c r="A158" s="131">
        <f>IF($J158="","",INDEX(NKC!$B$7:$B$3006,$J158))</f>
        <v/>
      </c>
      <c r="B158" s="95">
        <f>IF($J158="","",INDEX(NKC!$C$7:$C$3006,$J158))</f>
        <v/>
      </c>
      <c r="C158" s="131">
        <f>IF($J158="","",INDEX(NKC!$D$7:$D$3006,$J158))</f>
        <v/>
      </c>
      <c r="D158" s="97">
        <f>IF($J158="","",INDEX(NKC!$E$7:$E$3006,$J158))</f>
        <v/>
      </c>
      <c r="E158" s="95">
        <f>IF($J158="","",IF(LEFT(INDEX(NKC!$F$7:$F$3006,$J158),LEN($B$5))=$B$5,INDEX(NKC!$G$7:$G$3006,$J158),INDEX(NKC!$F$7:$F$3006,$J158)))</f>
        <v/>
      </c>
      <c r="F158" s="125">
        <f>IF($J158="","",IF(LEFT(INDEX(NKC!$F$7:$F$3006,$J158),LEN($B$5))=$B$5,INDEX(NKC!$H$7:$H$3006,$J158),""))</f>
        <v/>
      </c>
      <c r="G158" s="125">
        <f>IF($J158="","",IF(LEFT(INDEX(NKC!$G$7:$G$3006,$J158),LEN($B$5))=$B$5,INDEX(NKC!$H$7:$H$3006,$J158),""))</f>
        <v/>
      </c>
      <c r="H158" s="132">
        <f>IF($J158="","",H157+N(F158)-N(G158))</f>
        <v/>
      </c>
      <c r="J158" s="117">
        <f>IFERROR(MATCH(151,NKC!$P$7:$P$3006,0),"")</f>
        <v/>
      </c>
    </row>
    <row r="159" ht="15" customHeight="1" s="78">
      <c r="A159" s="131">
        <f>IF($J159="","",INDEX(NKC!$B$7:$B$3006,$J159))</f>
        <v/>
      </c>
      <c r="B159" s="95">
        <f>IF($J159="","",INDEX(NKC!$C$7:$C$3006,$J159))</f>
        <v/>
      </c>
      <c r="C159" s="131">
        <f>IF($J159="","",INDEX(NKC!$D$7:$D$3006,$J159))</f>
        <v/>
      </c>
      <c r="D159" s="97">
        <f>IF($J159="","",INDEX(NKC!$E$7:$E$3006,$J159))</f>
        <v/>
      </c>
      <c r="E159" s="95">
        <f>IF($J159="","",IF(LEFT(INDEX(NKC!$F$7:$F$3006,$J159),LEN($B$5))=$B$5,INDEX(NKC!$G$7:$G$3006,$J159),INDEX(NKC!$F$7:$F$3006,$J159)))</f>
        <v/>
      </c>
      <c r="F159" s="125">
        <f>IF($J159="","",IF(LEFT(INDEX(NKC!$F$7:$F$3006,$J159),LEN($B$5))=$B$5,INDEX(NKC!$H$7:$H$3006,$J159),""))</f>
        <v/>
      </c>
      <c r="G159" s="125">
        <f>IF($J159="","",IF(LEFT(INDEX(NKC!$G$7:$G$3006,$J159),LEN($B$5))=$B$5,INDEX(NKC!$H$7:$H$3006,$J159),""))</f>
        <v/>
      </c>
      <c r="H159" s="132">
        <f>IF($J159="","",H158+N(F159)-N(G159))</f>
        <v/>
      </c>
      <c r="J159" s="117">
        <f>IFERROR(MATCH(152,NKC!$P$7:$P$3006,0),"")</f>
        <v/>
      </c>
    </row>
    <row r="160" ht="15" customHeight="1" s="78">
      <c r="A160" s="131">
        <f>IF($J160="","",INDEX(NKC!$B$7:$B$3006,$J160))</f>
        <v/>
      </c>
      <c r="B160" s="95">
        <f>IF($J160="","",INDEX(NKC!$C$7:$C$3006,$J160))</f>
        <v/>
      </c>
      <c r="C160" s="131">
        <f>IF($J160="","",INDEX(NKC!$D$7:$D$3006,$J160))</f>
        <v/>
      </c>
      <c r="D160" s="97">
        <f>IF($J160="","",INDEX(NKC!$E$7:$E$3006,$J160))</f>
        <v/>
      </c>
      <c r="E160" s="95">
        <f>IF($J160="","",IF(LEFT(INDEX(NKC!$F$7:$F$3006,$J160),LEN($B$5))=$B$5,INDEX(NKC!$G$7:$G$3006,$J160),INDEX(NKC!$F$7:$F$3006,$J160)))</f>
        <v/>
      </c>
      <c r="F160" s="125">
        <f>IF($J160="","",IF(LEFT(INDEX(NKC!$F$7:$F$3006,$J160),LEN($B$5))=$B$5,INDEX(NKC!$H$7:$H$3006,$J160),""))</f>
        <v/>
      </c>
      <c r="G160" s="125">
        <f>IF($J160="","",IF(LEFT(INDEX(NKC!$G$7:$G$3006,$J160),LEN($B$5))=$B$5,INDEX(NKC!$H$7:$H$3006,$J160),""))</f>
        <v/>
      </c>
      <c r="H160" s="132">
        <f>IF($J160="","",H159+N(F160)-N(G160))</f>
        <v/>
      </c>
      <c r="J160" s="117">
        <f>IFERROR(MATCH(153,NKC!$P$7:$P$3006,0),"")</f>
        <v/>
      </c>
    </row>
    <row r="161" ht="15" customHeight="1" s="78">
      <c r="A161" s="131">
        <f>IF($J161="","",INDEX(NKC!$B$7:$B$3006,$J161))</f>
        <v/>
      </c>
      <c r="B161" s="95">
        <f>IF($J161="","",INDEX(NKC!$C$7:$C$3006,$J161))</f>
        <v/>
      </c>
      <c r="C161" s="131">
        <f>IF($J161="","",INDEX(NKC!$D$7:$D$3006,$J161))</f>
        <v/>
      </c>
      <c r="D161" s="97">
        <f>IF($J161="","",INDEX(NKC!$E$7:$E$3006,$J161))</f>
        <v/>
      </c>
      <c r="E161" s="95">
        <f>IF($J161="","",IF(LEFT(INDEX(NKC!$F$7:$F$3006,$J161),LEN($B$5))=$B$5,INDEX(NKC!$G$7:$G$3006,$J161),INDEX(NKC!$F$7:$F$3006,$J161)))</f>
        <v/>
      </c>
      <c r="F161" s="125">
        <f>IF($J161="","",IF(LEFT(INDEX(NKC!$F$7:$F$3006,$J161),LEN($B$5))=$B$5,INDEX(NKC!$H$7:$H$3006,$J161),""))</f>
        <v/>
      </c>
      <c r="G161" s="125">
        <f>IF($J161="","",IF(LEFT(INDEX(NKC!$G$7:$G$3006,$J161),LEN($B$5))=$B$5,INDEX(NKC!$H$7:$H$3006,$J161),""))</f>
        <v/>
      </c>
      <c r="H161" s="132">
        <f>IF($J161="","",H160+N(F161)-N(G161))</f>
        <v/>
      </c>
      <c r="J161" s="117">
        <f>IFERROR(MATCH(154,NKC!$P$7:$P$3006,0),"")</f>
        <v/>
      </c>
    </row>
    <row r="162" ht="15" customHeight="1" s="78">
      <c r="A162" s="131">
        <f>IF($J162="","",INDEX(NKC!$B$7:$B$3006,$J162))</f>
        <v/>
      </c>
      <c r="B162" s="95">
        <f>IF($J162="","",INDEX(NKC!$C$7:$C$3006,$J162))</f>
        <v/>
      </c>
      <c r="C162" s="131">
        <f>IF($J162="","",INDEX(NKC!$D$7:$D$3006,$J162))</f>
        <v/>
      </c>
      <c r="D162" s="97">
        <f>IF($J162="","",INDEX(NKC!$E$7:$E$3006,$J162))</f>
        <v/>
      </c>
      <c r="E162" s="95">
        <f>IF($J162="","",IF(LEFT(INDEX(NKC!$F$7:$F$3006,$J162),LEN($B$5))=$B$5,INDEX(NKC!$G$7:$G$3006,$J162),INDEX(NKC!$F$7:$F$3006,$J162)))</f>
        <v/>
      </c>
      <c r="F162" s="125">
        <f>IF($J162="","",IF(LEFT(INDEX(NKC!$F$7:$F$3006,$J162),LEN($B$5))=$B$5,INDEX(NKC!$H$7:$H$3006,$J162),""))</f>
        <v/>
      </c>
      <c r="G162" s="125">
        <f>IF($J162="","",IF(LEFT(INDEX(NKC!$G$7:$G$3006,$J162),LEN($B$5))=$B$5,INDEX(NKC!$H$7:$H$3006,$J162),""))</f>
        <v/>
      </c>
      <c r="H162" s="132">
        <f>IF($J162="","",H161+N(F162)-N(G162))</f>
        <v/>
      </c>
      <c r="J162" s="117">
        <f>IFERROR(MATCH(155,NKC!$P$7:$P$3006,0),"")</f>
        <v/>
      </c>
    </row>
    <row r="163" ht="15" customHeight="1" s="78">
      <c r="A163" s="131">
        <f>IF($J163="","",INDEX(NKC!$B$7:$B$3006,$J163))</f>
        <v/>
      </c>
      <c r="B163" s="95">
        <f>IF($J163="","",INDEX(NKC!$C$7:$C$3006,$J163))</f>
        <v/>
      </c>
      <c r="C163" s="131">
        <f>IF($J163="","",INDEX(NKC!$D$7:$D$3006,$J163))</f>
        <v/>
      </c>
      <c r="D163" s="97">
        <f>IF($J163="","",INDEX(NKC!$E$7:$E$3006,$J163))</f>
        <v/>
      </c>
      <c r="E163" s="95">
        <f>IF($J163="","",IF(LEFT(INDEX(NKC!$F$7:$F$3006,$J163),LEN($B$5))=$B$5,INDEX(NKC!$G$7:$G$3006,$J163),INDEX(NKC!$F$7:$F$3006,$J163)))</f>
        <v/>
      </c>
      <c r="F163" s="125">
        <f>IF($J163="","",IF(LEFT(INDEX(NKC!$F$7:$F$3006,$J163),LEN($B$5))=$B$5,INDEX(NKC!$H$7:$H$3006,$J163),""))</f>
        <v/>
      </c>
      <c r="G163" s="125">
        <f>IF($J163="","",IF(LEFT(INDEX(NKC!$G$7:$G$3006,$J163),LEN($B$5))=$B$5,INDEX(NKC!$H$7:$H$3006,$J163),""))</f>
        <v/>
      </c>
      <c r="H163" s="132">
        <f>IF($J163="","",H162+N(F163)-N(G163))</f>
        <v/>
      </c>
      <c r="J163" s="117">
        <f>IFERROR(MATCH(156,NKC!$P$7:$P$3006,0),"")</f>
        <v/>
      </c>
    </row>
    <row r="164" ht="15" customHeight="1" s="78">
      <c r="A164" s="131">
        <f>IF($J164="","",INDEX(NKC!$B$7:$B$3006,$J164))</f>
        <v/>
      </c>
      <c r="B164" s="95">
        <f>IF($J164="","",INDEX(NKC!$C$7:$C$3006,$J164))</f>
        <v/>
      </c>
      <c r="C164" s="131">
        <f>IF($J164="","",INDEX(NKC!$D$7:$D$3006,$J164))</f>
        <v/>
      </c>
      <c r="D164" s="97">
        <f>IF($J164="","",INDEX(NKC!$E$7:$E$3006,$J164))</f>
        <v/>
      </c>
      <c r="E164" s="95">
        <f>IF($J164="","",IF(LEFT(INDEX(NKC!$F$7:$F$3006,$J164),LEN($B$5))=$B$5,INDEX(NKC!$G$7:$G$3006,$J164),INDEX(NKC!$F$7:$F$3006,$J164)))</f>
        <v/>
      </c>
      <c r="F164" s="125">
        <f>IF($J164="","",IF(LEFT(INDEX(NKC!$F$7:$F$3006,$J164),LEN($B$5))=$B$5,INDEX(NKC!$H$7:$H$3006,$J164),""))</f>
        <v/>
      </c>
      <c r="G164" s="125">
        <f>IF($J164="","",IF(LEFT(INDEX(NKC!$G$7:$G$3006,$J164),LEN($B$5))=$B$5,INDEX(NKC!$H$7:$H$3006,$J164),""))</f>
        <v/>
      </c>
      <c r="H164" s="132">
        <f>IF($J164="","",H163+N(F164)-N(G164))</f>
        <v/>
      </c>
      <c r="J164" s="117">
        <f>IFERROR(MATCH(157,NKC!$P$7:$P$3006,0),"")</f>
        <v/>
      </c>
    </row>
    <row r="165" ht="15" customHeight="1" s="78">
      <c r="A165" s="131">
        <f>IF($J165="","",INDEX(NKC!$B$7:$B$3006,$J165))</f>
        <v/>
      </c>
      <c r="B165" s="95">
        <f>IF($J165="","",INDEX(NKC!$C$7:$C$3006,$J165))</f>
        <v/>
      </c>
      <c r="C165" s="131">
        <f>IF($J165="","",INDEX(NKC!$D$7:$D$3006,$J165))</f>
        <v/>
      </c>
      <c r="D165" s="97">
        <f>IF($J165="","",INDEX(NKC!$E$7:$E$3006,$J165))</f>
        <v/>
      </c>
      <c r="E165" s="95">
        <f>IF($J165="","",IF(LEFT(INDEX(NKC!$F$7:$F$3006,$J165),LEN($B$5))=$B$5,INDEX(NKC!$G$7:$G$3006,$J165),INDEX(NKC!$F$7:$F$3006,$J165)))</f>
        <v/>
      </c>
      <c r="F165" s="125">
        <f>IF($J165="","",IF(LEFT(INDEX(NKC!$F$7:$F$3006,$J165),LEN($B$5))=$B$5,INDEX(NKC!$H$7:$H$3006,$J165),""))</f>
        <v/>
      </c>
      <c r="G165" s="125">
        <f>IF($J165="","",IF(LEFT(INDEX(NKC!$G$7:$G$3006,$J165),LEN($B$5))=$B$5,INDEX(NKC!$H$7:$H$3006,$J165),""))</f>
        <v/>
      </c>
      <c r="H165" s="132">
        <f>IF($J165="","",H164+N(F165)-N(G165))</f>
        <v/>
      </c>
      <c r="J165" s="117">
        <f>IFERROR(MATCH(158,NKC!$P$7:$P$3006,0),"")</f>
        <v/>
      </c>
    </row>
    <row r="166" ht="15" customHeight="1" s="78">
      <c r="A166" s="131">
        <f>IF($J166="","",INDEX(NKC!$B$7:$B$3006,$J166))</f>
        <v/>
      </c>
      <c r="B166" s="95">
        <f>IF($J166="","",INDEX(NKC!$C$7:$C$3006,$J166))</f>
        <v/>
      </c>
      <c r="C166" s="131">
        <f>IF($J166="","",INDEX(NKC!$D$7:$D$3006,$J166))</f>
        <v/>
      </c>
      <c r="D166" s="97">
        <f>IF($J166="","",INDEX(NKC!$E$7:$E$3006,$J166))</f>
        <v/>
      </c>
      <c r="E166" s="95">
        <f>IF($J166="","",IF(LEFT(INDEX(NKC!$F$7:$F$3006,$J166),LEN($B$5))=$B$5,INDEX(NKC!$G$7:$G$3006,$J166),INDEX(NKC!$F$7:$F$3006,$J166)))</f>
        <v/>
      </c>
      <c r="F166" s="125">
        <f>IF($J166="","",IF(LEFT(INDEX(NKC!$F$7:$F$3006,$J166),LEN($B$5))=$B$5,INDEX(NKC!$H$7:$H$3006,$J166),""))</f>
        <v/>
      </c>
      <c r="G166" s="125">
        <f>IF($J166="","",IF(LEFT(INDEX(NKC!$G$7:$G$3006,$J166),LEN($B$5))=$B$5,INDEX(NKC!$H$7:$H$3006,$J166),""))</f>
        <v/>
      </c>
      <c r="H166" s="132">
        <f>IF($J166="","",H165+N(F166)-N(G166))</f>
        <v/>
      </c>
      <c r="J166" s="117">
        <f>IFERROR(MATCH(159,NKC!$P$7:$P$3006,0),"")</f>
        <v/>
      </c>
    </row>
    <row r="167" ht="15" customHeight="1" s="78">
      <c r="A167" s="131">
        <f>IF($J167="","",INDEX(NKC!$B$7:$B$3006,$J167))</f>
        <v/>
      </c>
      <c r="B167" s="95">
        <f>IF($J167="","",INDEX(NKC!$C$7:$C$3006,$J167))</f>
        <v/>
      </c>
      <c r="C167" s="131">
        <f>IF($J167="","",INDEX(NKC!$D$7:$D$3006,$J167))</f>
        <v/>
      </c>
      <c r="D167" s="97">
        <f>IF($J167="","",INDEX(NKC!$E$7:$E$3006,$J167))</f>
        <v/>
      </c>
      <c r="E167" s="95">
        <f>IF($J167="","",IF(LEFT(INDEX(NKC!$F$7:$F$3006,$J167),LEN($B$5))=$B$5,INDEX(NKC!$G$7:$G$3006,$J167),INDEX(NKC!$F$7:$F$3006,$J167)))</f>
        <v/>
      </c>
      <c r="F167" s="125">
        <f>IF($J167="","",IF(LEFT(INDEX(NKC!$F$7:$F$3006,$J167),LEN($B$5))=$B$5,INDEX(NKC!$H$7:$H$3006,$J167),""))</f>
        <v/>
      </c>
      <c r="G167" s="125">
        <f>IF($J167="","",IF(LEFT(INDEX(NKC!$G$7:$G$3006,$J167),LEN($B$5))=$B$5,INDEX(NKC!$H$7:$H$3006,$J167),""))</f>
        <v/>
      </c>
      <c r="H167" s="132">
        <f>IF($J167="","",H166+N(F167)-N(G167))</f>
        <v/>
      </c>
      <c r="J167" s="117">
        <f>IFERROR(MATCH(160,NKC!$P$7:$P$3006,0),"")</f>
        <v/>
      </c>
    </row>
    <row r="168" ht="15" customHeight="1" s="78">
      <c r="A168" s="131">
        <f>IF($J168="","",INDEX(NKC!$B$7:$B$3006,$J168))</f>
        <v/>
      </c>
      <c r="B168" s="95">
        <f>IF($J168="","",INDEX(NKC!$C$7:$C$3006,$J168))</f>
        <v/>
      </c>
      <c r="C168" s="131">
        <f>IF($J168="","",INDEX(NKC!$D$7:$D$3006,$J168))</f>
        <v/>
      </c>
      <c r="D168" s="97">
        <f>IF($J168="","",INDEX(NKC!$E$7:$E$3006,$J168))</f>
        <v/>
      </c>
      <c r="E168" s="95">
        <f>IF($J168="","",IF(LEFT(INDEX(NKC!$F$7:$F$3006,$J168),LEN($B$5))=$B$5,INDEX(NKC!$G$7:$G$3006,$J168),INDEX(NKC!$F$7:$F$3006,$J168)))</f>
        <v/>
      </c>
      <c r="F168" s="125">
        <f>IF($J168="","",IF(LEFT(INDEX(NKC!$F$7:$F$3006,$J168),LEN($B$5))=$B$5,INDEX(NKC!$H$7:$H$3006,$J168),""))</f>
        <v/>
      </c>
      <c r="G168" s="125">
        <f>IF($J168="","",IF(LEFT(INDEX(NKC!$G$7:$G$3006,$J168),LEN($B$5))=$B$5,INDEX(NKC!$H$7:$H$3006,$J168),""))</f>
        <v/>
      </c>
      <c r="H168" s="132">
        <f>IF($J168="","",H167+N(F168)-N(G168))</f>
        <v/>
      </c>
      <c r="J168" s="117">
        <f>IFERROR(MATCH(161,NKC!$P$7:$P$3006,0),"")</f>
        <v/>
      </c>
    </row>
    <row r="169" ht="15" customHeight="1" s="78">
      <c r="A169" s="131">
        <f>IF($J169="","",INDEX(NKC!$B$7:$B$3006,$J169))</f>
        <v/>
      </c>
      <c r="B169" s="95">
        <f>IF($J169="","",INDEX(NKC!$C$7:$C$3006,$J169))</f>
        <v/>
      </c>
      <c r="C169" s="131">
        <f>IF($J169="","",INDEX(NKC!$D$7:$D$3006,$J169))</f>
        <v/>
      </c>
      <c r="D169" s="97">
        <f>IF($J169="","",INDEX(NKC!$E$7:$E$3006,$J169))</f>
        <v/>
      </c>
      <c r="E169" s="95">
        <f>IF($J169="","",IF(LEFT(INDEX(NKC!$F$7:$F$3006,$J169),LEN($B$5))=$B$5,INDEX(NKC!$G$7:$G$3006,$J169),INDEX(NKC!$F$7:$F$3006,$J169)))</f>
        <v/>
      </c>
      <c r="F169" s="125">
        <f>IF($J169="","",IF(LEFT(INDEX(NKC!$F$7:$F$3006,$J169),LEN($B$5))=$B$5,INDEX(NKC!$H$7:$H$3006,$J169),""))</f>
        <v/>
      </c>
      <c r="G169" s="125">
        <f>IF($J169="","",IF(LEFT(INDEX(NKC!$G$7:$G$3006,$J169),LEN($B$5))=$B$5,INDEX(NKC!$H$7:$H$3006,$J169),""))</f>
        <v/>
      </c>
      <c r="H169" s="132">
        <f>IF($J169="","",H168+N(F169)-N(G169))</f>
        <v/>
      </c>
      <c r="J169" s="117">
        <f>IFERROR(MATCH(162,NKC!$P$7:$P$3006,0),"")</f>
        <v/>
      </c>
    </row>
    <row r="170" ht="15" customHeight="1" s="78">
      <c r="A170" s="131">
        <f>IF($J170="","",INDEX(NKC!$B$7:$B$3006,$J170))</f>
        <v/>
      </c>
      <c r="B170" s="95">
        <f>IF($J170="","",INDEX(NKC!$C$7:$C$3006,$J170))</f>
        <v/>
      </c>
      <c r="C170" s="131">
        <f>IF($J170="","",INDEX(NKC!$D$7:$D$3006,$J170))</f>
        <v/>
      </c>
      <c r="D170" s="97">
        <f>IF($J170="","",INDEX(NKC!$E$7:$E$3006,$J170))</f>
        <v/>
      </c>
      <c r="E170" s="95">
        <f>IF($J170="","",IF(LEFT(INDEX(NKC!$F$7:$F$3006,$J170),LEN($B$5))=$B$5,INDEX(NKC!$G$7:$G$3006,$J170),INDEX(NKC!$F$7:$F$3006,$J170)))</f>
        <v/>
      </c>
      <c r="F170" s="125">
        <f>IF($J170="","",IF(LEFT(INDEX(NKC!$F$7:$F$3006,$J170),LEN($B$5))=$B$5,INDEX(NKC!$H$7:$H$3006,$J170),""))</f>
        <v/>
      </c>
      <c r="G170" s="125">
        <f>IF($J170="","",IF(LEFT(INDEX(NKC!$G$7:$G$3006,$J170),LEN($B$5))=$B$5,INDEX(NKC!$H$7:$H$3006,$J170),""))</f>
        <v/>
      </c>
      <c r="H170" s="132">
        <f>IF($J170="","",H169+N(F170)-N(G170))</f>
        <v/>
      </c>
      <c r="J170" s="117">
        <f>IFERROR(MATCH(163,NKC!$P$7:$P$3006,0),"")</f>
        <v/>
      </c>
    </row>
    <row r="171" ht="15" customHeight="1" s="78">
      <c r="A171" s="131">
        <f>IF($J171="","",INDEX(NKC!$B$7:$B$3006,$J171))</f>
        <v/>
      </c>
      <c r="B171" s="95">
        <f>IF($J171="","",INDEX(NKC!$C$7:$C$3006,$J171))</f>
        <v/>
      </c>
      <c r="C171" s="131">
        <f>IF($J171="","",INDEX(NKC!$D$7:$D$3006,$J171))</f>
        <v/>
      </c>
      <c r="D171" s="97">
        <f>IF($J171="","",INDEX(NKC!$E$7:$E$3006,$J171))</f>
        <v/>
      </c>
      <c r="E171" s="95">
        <f>IF($J171="","",IF(LEFT(INDEX(NKC!$F$7:$F$3006,$J171),LEN($B$5))=$B$5,INDEX(NKC!$G$7:$G$3006,$J171),INDEX(NKC!$F$7:$F$3006,$J171)))</f>
        <v/>
      </c>
      <c r="F171" s="125">
        <f>IF($J171="","",IF(LEFT(INDEX(NKC!$F$7:$F$3006,$J171),LEN($B$5))=$B$5,INDEX(NKC!$H$7:$H$3006,$J171),""))</f>
        <v/>
      </c>
      <c r="G171" s="125">
        <f>IF($J171="","",IF(LEFT(INDEX(NKC!$G$7:$G$3006,$J171),LEN($B$5))=$B$5,INDEX(NKC!$H$7:$H$3006,$J171),""))</f>
        <v/>
      </c>
      <c r="H171" s="132">
        <f>IF($J171="","",H170+N(F171)-N(G171))</f>
        <v/>
      </c>
      <c r="J171" s="117">
        <f>IFERROR(MATCH(164,NKC!$P$7:$P$3006,0),"")</f>
        <v/>
      </c>
    </row>
    <row r="172" ht="15" customHeight="1" s="78">
      <c r="A172" s="131">
        <f>IF($J172="","",INDEX(NKC!$B$7:$B$3006,$J172))</f>
        <v/>
      </c>
      <c r="B172" s="95">
        <f>IF($J172="","",INDEX(NKC!$C$7:$C$3006,$J172))</f>
        <v/>
      </c>
      <c r="C172" s="131">
        <f>IF($J172="","",INDEX(NKC!$D$7:$D$3006,$J172))</f>
        <v/>
      </c>
      <c r="D172" s="97">
        <f>IF($J172="","",INDEX(NKC!$E$7:$E$3006,$J172))</f>
        <v/>
      </c>
      <c r="E172" s="95">
        <f>IF($J172="","",IF(LEFT(INDEX(NKC!$F$7:$F$3006,$J172),LEN($B$5))=$B$5,INDEX(NKC!$G$7:$G$3006,$J172),INDEX(NKC!$F$7:$F$3006,$J172)))</f>
        <v/>
      </c>
      <c r="F172" s="125">
        <f>IF($J172="","",IF(LEFT(INDEX(NKC!$F$7:$F$3006,$J172),LEN($B$5))=$B$5,INDEX(NKC!$H$7:$H$3006,$J172),""))</f>
        <v/>
      </c>
      <c r="G172" s="125">
        <f>IF($J172="","",IF(LEFT(INDEX(NKC!$G$7:$G$3006,$J172),LEN($B$5))=$B$5,INDEX(NKC!$H$7:$H$3006,$J172),""))</f>
        <v/>
      </c>
      <c r="H172" s="132">
        <f>IF($J172="","",H171+N(F172)-N(G172))</f>
        <v/>
      </c>
      <c r="J172" s="117">
        <f>IFERROR(MATCH(165,NKC!$P$7:$P$3006,0),"")</f>
        <v/>
      </c>
    </row>
    <row r="173" ht="15" customHeight="1" s="78">
      <c r="A173" s="131">
        <f>IF($J173="","",INDEX(NKC!$B$7:$B$3006,$J173))</f>
        <v/>
      </c>
      <c r="B173" s="95">
        <f>IF($J173="","",INDEX(NKC!$C$7:$C$3006,$J173))</f>
        <v/>
      </c>
      <c r="C173" s="131">
        <f>IF($J173="","",INDEX(NKC!$D$7:$D$3006,$J173))</f>
        <v/>
      </c>
      <c r="D173" s="97">
        <f>IF($J173="","",INDEX(NKC!$E$7:$E$3006,$J173))</f>
        <v/>
      </c>
      <c r="E173" s="95">
        <f>IF($J173="","",IF(LEFT(INDEX(NKC!$F$7:$F$3006,$J173),LEN($B$5))=$B$5,INDEX(NKC!$G$7:$G$3006,$J173),INDEX(NKC!$F$7:$F$3006,$J173)))</f>
        <v/>
      </c>
      <c r="F173" s="125">
        <f>IF($J173="","",IF(LEFT(INDEX(NKC!$F$7:$F$3006,$J173),LEN($B$5))=$B$5,INDEX(NKC!$H$7:$H$3006,$J173),""))</f>
        <v/>
      </c>
      <c r="G173" s="125">
        <f>IF($J173="","",IF(LEFT(INDEX(NKC!$G$7:$G$3006,$J173),LEN($B$5))=$B$5,INDEX(NKC!$H$7:$H$3006,$J173),""))</f>
        <v/>
      </c>
      <c r="H173" s="132">
        <f>IF($J173="","",H172+N(F173)-N(G173))</f>
        <v/>
      </c>
      <c r="J173" s="117">
        <f>IFERROR(MATCH(166,NKC!$P$7:$P$3006,0),"")</f>
        <v/>
      </c>
    </row>
    <row r="174" ht="15" customHeight="1" s="78">
      <c r="A174" s="131">
        <f>IF($J174="","",INDEX(NKC!$B$7:$B$3006,$J174))</f>
        <v/>
      </c>
      <c r="B174" s="95">
        <f>IF($J174="","",INDEX(NKC!$C$7:$C$3006,$J174))</f>
        <v/>
      </c>
      <c r="C174" s="131">
        <f>IF($J174="","",INDEX(NKC!$D$7:$D$3006,$J174))</f>
        <v/>
      </c>
      <c r="D174" s="97">
        <f>IF($J174="","",INDEX(NKC!$E$7:$E$3006,$J174))</f>
        <v/>
      </c>
      <c r="E174" s="95">
        <f>IF($J174="","",IF(LEFT(INDEX(NKC!$F$7:$F$3006,$J174),LEN($B$5))=$B$5,INDEX(NKC!$G$7:$G$3006,$J174),INDEX(NKC!$F$7:$F$3006,$J174)))</f>
        <v/>
      </c>
      <c r="F174" s="125">
        <f>IF($J174="","",IF(LEFT(INDEX(NKC!$F$7:$F$3006,$J174),LEN($B$5))=$B$5,INDEX(NKC!$H$7:$H$3006,$J174),""))</f>
        <v/>
      </c>
      <c r="G174" s="125">
        <f>IF($J174="","",IF(LEFT(INDEX(NKC!$G$7:$G$3006,$J174),LEN($B$5))=$B$5,INDEX(NKC!$H$7:$H$3006,$J174),""))</f>
        <v/>
      </c>
      <c r="H174" s="132">
        <f>IF($J174="","",H173+N(F174)-N(G174))</f>
        <v/>
      </c>
      <c r="J174" s="117">
        <f>IFERROR(MATCH(167,NKC!$P$7:$P$3006,0),"")</f>
        <v/>
      </c>
    </row>
    <row r="175" ht="15" customHeight="1" s="78">
      <c r="A175" s="131">
        <f>IF($J175="","",INDEX(NKC!$B$7:$B$3006,$J175))</f>
        <v/>
      </c>
      <c r="B175" s="95">
        <f>IF($J175="","",INDEX(NKC!$C$7:$C$3006,$J175))</f>
        <v/>
      </c>
      <c r="C175" s="131">
        <f>IF($J175="","",INDEX(NKC!$D$7:$D$3006,$J175))</f>
        <v/>
      </c>
      <c r="D175" s="97">
        <f>IF($J175="","",INDEX(NKC!$E$7:$E$3006,$J175))</f>
        <v/>
      </c>
      <c r="E175" s="95">
        <f>IF($J175="","",IF(LEFT(INDEX(NKC!$F$7:$F$3006,$J175),LEN($B$5))=$B$5,INDEX(NKC!$G$7:$G$3006,$J175),INDEX(NKC!$F$7:$F$3006,$J175)))</f>
        <v/>
      </c>
      <c r="F175" s="125">
        <f>IF($J175="","",IF(LEFT(INDEX(NKC!$F$7:$F$3006,$J175),LEN($B$5))=$B$5,INDEX(NKC!$H$7:$H$3006,$J175),""))</f>
        <v/>
      </c>
      <c r="G175" s="125">
        <f>IF($J175="","",IF(LEFT(INDEX(NKC!$G$7:$G$3006,$J175),LEN($B$5))=$B$5,INDEX(NKC!$H$7:$H$3006,$J175),""))</f>
        <v/>
      </c>
      <c r="H175" s="132">
        <f>IF($J175="","",H174+N(F175)-N(G175))</f>
        <v/>
      </c>
      <c r="J175" s="117">
        <f>IFERROR(MATCH(168,NKC!$P$7:$P$3006,0),"")</f>
        <v/>
      </c>
    </row>
    <row r="176" ht="15" customHeight="1" s="78">
      <c r="A176" s="131">
        <f>IF($J176="","",INDEX(NKC!$B$7:$B$3006,$J176))</f>
        <v/>
      </c>
      <c r="B176" s="95">
        <f>IF($J176="","",INDEX(NKC!$C$7:$C$3006,$J176))</f>
        <v/>
      </c>
      <c r="C176" s="131">
        <f>IF($J176="","",INDEX(NKC!$D$7:$D$3006,$J176))</f>
        <v/>
      </c>
      <c r="D176" s="97">
        <f>IF($J176="","",INDEX(NKC!$E$7:$E$3006,$J176))</f>
        <v/>
      </c>
      <c r="E176" s="95">
        <f>IF($J176="","",IF(LEFT(INDEX(NKC!$F$7:$F$3006,$J176),LEN($B$5))=$B$5,INDEX(NKC!$G$7:$G$3006,$J176),INDEX(NKC!$F$7:$F$3006,$J176)))</f>
        <v/>
      </c>
      <c r="F176" s="125">
        <f>IF($J176="","",IF(LEFT(INDEX(NKC!$F$7:$F$3006,$J176),LEN($B$5))=$B$5,INDEX(NKC!$H$7:$H$3006,$J176),""))</f>
        <v/>
      </c>
      <c r="G176" s="125">
        <f>IF($J176="","",IF(LEFT(INDEX(NKC!$G$7:$G$3006,$J176),LEN($B$5))=$B$5,INDEX(NKC!$H$7:$H$3006,$J176),""))</f>
        <v/>
      </c>
      <c r="H176" s="132">
        <f>IF($J176="","",H175+N(F176)-N(G176))</f>
        <v/>
      </c>
      <c r="J176" s="117">
        <f>IFERROR(MATCH(169,NKC!$P$7:$P$3006,0),"")</f>
        <v/>
      </c>
    </row>
    <row r="177" ht="15" customHeight="1" s="78">
      <c r="A177" s="131">
        <f>IF($J177="","",INDEX(NKC!$B$7:$B$3006,$J177))</f>
        <v/>
      </c>
      <c r="B177" s="95">
        <f>IF($J177="","",INDEX(NKC!$C$7:$C$3006,$J177))</f>
        <v/>
      </c>
      <c r="C177" s="131">
        <f>IF($J177="","",INDEX(NKC!$D$7:$D$3006,$J177))</f>
        <v/>
      </c>
      <c r="D177" s="97">
        <f>IF($J177="","",INDEX(NKC!$E$7:$E$3006,$J177))</f>
        <v/>
      </c>
      <c r="E177" s="95">
        <f>IF($J177="","",IF(LEFT(INDEX(NKC!$F$7:$F$3006,$J177),LEN($B$5))=$B$5,INDEX(NKC!$G$7:$G$3006,$J177),INDEX(NKC!$F$7:$F$3006,$J177)))</f>
        <v/>
      </c>
      <c r="F177" s="125">
        <f>IF($J177="","",IF(LEFT(INDEX(NKC!$F$7:$F$3006,$J177),LEN($B$5))=$B$5,INDEX(NKC!$H$7:$H$3006,$J177),""))</f>
        <v/>
      </c>
      <c r="G177" s="125">
        <f>IF($J177="","",IF(LEFT(INDEX(NKC!$G$7:$G$3006,$J177),LEN($B$5))=$B$5,INDEX(NKC!$H$7:$H$3006,$J177),""))</f>
        <v/>
      </c>
      <c r="H177" s="132">
        <f>IF($J177="","",H176+N(F177)-N(G177))</f>
        <v/>
      </c>
      <c r="J177" s="117">
        <f>IFERROR(MATCH(170,NKC!$P$7:$P$3006,0),"")</f>
        <v/>
      </c>
    </row>
    <row r="178" ht="15" customHeight="1" s="78">
      <c r="A178" s="131">
        <f>IF($J178="","",INDEX(NKC!$B$7:$B$3006,$J178))</f>
        <v/>
      </c>
      <c r="B178" s="95">
        <f>IF($J178="","",INDEX(NKC!$C$7:$C$3006,$J178))</f>
        <v/>
      </c>
      <c r="C178" s="131">
        <f>IF($J178="","",INDEX(NKC!$D$7:$D$3006,$J178))</f>
        <v/>
      </c>
      <c r="D178" s="97">
        <f>IF($J178="","",INDEX(NKC!$E$7:$E$3006,$J178))</f>
        <v/>
      </c>
      <c r="E178" s="95">
        <f>IF($J178="","",IF(LEFT(INDEX(NKC!$F$7:$F$3006,$J178),LEN($B$5))=$B$5,INDEX(NKC!$G$7:$G$3006,$J178),INDEX(NKC!$F$7:$F$3006,$J178)))</f>
        <v/>
      </c>
      <c r="F178" s="125">
        <f>IF($J178="","",IF(LEFT(INDEX(NKC!$F$7:$F$3006,$J178),LEN($B$5))=$B$5,INDEX(NKC!$H$7:$H$3006,$J178),""))</f>
        <v/>
      </c>
      <c r="G178" s="125">
        <f>IF($J178="","",IF(LEFT(INDEX(NKC!$G$7:$G$3006,$J178),LEN($B$5))=$B$5,INDEX(NKC!$H$7:$H$3006,$J178),""))</f>
        <v/>
      </c>
      <c r="H178" s="132">
        <f>IF($J178="","",H177+N(F178)-N(G178))</f>
        <v/>
      </c>
      <c r="J178" s="117">
        <f>IFERROR(MATCH(171,NKC!$P$7:$P$3006,0),"")</f>
        <v/>
      </c>
    </row>
    <row r="179" ht="15" customHeight="1" s="78">
      <c r="A179" s="131">
        <f>IF($J179="","",INDEX(NKC!$B$7:$B$3006,$J179))</f>
        <v/>
      </c>
      <c r="B179" s="95">
        <f>IF($J179="","",INDEX(NKC!$C$7:$C$3006,$J179))</f>
        <v/>
      </c>
      <c r="C179" s="131">
        <f>IF($J179="","",INDEX(NKC!$D$7:$D$3006,$J179))</f>
        <v/>
      </c>
      <c r="D179" s="97">
        <f>IF($J179="","",INDEX(NKC!$E$7:$E$3006,$J179))</f>
        <v/>
      </c>
      <c r="E179" s="95">
        <f>IF($J179="","",IF(LEFT(INDEX(NKC!$F$7:$F$3006,$J179),LEN($B$5))=$B$5,INDEX(NKC!$G$7:$G$3006,$J179),INDEX(NKC!$F$7:$F$3006,$J179)))</f>
        <v/>
      </c>
      <c r="F179" s="125">
        <f>IF($J179="","",IF(LEFT(INDEX(NKC!$F$7:$F$3006,$J179),LEN($B$5))=$B$5,INDEX(NKC!$H$7:$H$3006,$J179),""))</f>
        <v/>
      </c>
      <c r="G179" s="125">
        <f>IF($J179="","",IF(LEFT(INDEX(NKC!$G$7:$G$3006,$J179),LEN($B$5))=$B$5,INDEX(NKC!$H$7:$H$3006,$J179),""))</f>
        <v/>
      </c>
      <c r="H179" s="132">
        <f>IF($J179="","",H178+N(F179)-N(G179))</f>
        <v/>
      </c>
      <c r="J179" s="117">
        <f>IFERROR(MATCH(172,NKC!$P$7:$P$3006,0),"")</f>
        <v/>
      </c>
    </row>
    <row r="180" ht="15" customHeight="1" s="78">
      <c r="A180" s="131">
        <f>IF($J180="","",INDEX(NKC!$B$7:$B$3006,$J180))</f>
        <v/>
      </c>
      <c r="B180" s="95">
        <f>IF($J180="","",INDEX(NKC!$C$7:$C$3006,$J180))</f>
        <v/>
      </c>
      <c r="C180" s="131">
        <f>IF($J180="","",INDEX(NKC!$D$7:$D$3006,$J180))</f>
        <v/>
      </c>
      <c r="D180" s="97">
        <f>IF($J180="","",INDEX(NKC!$E$7:$E$3006,$J180))</f>
        <v/>
      </c>
      <c r="E180" s="95">
        <f>IF($J180="","",IF(LEFT(INDEX(NKC!$F$7:$F$3006,$J180),LEN($B$5))=$B$5,INDEX(NKC!$G$7:$G$3006,$J180),INDEX(NKC!$F$7:$F$3006,$J180)))</f>
        <v/>
      </c>
      <c r="F180" s="125">
        <f>IF($J180="","",IF(LEFT(INDEX(NKC!$F$7:$F$3006,$J180),LEN($B$5))=$B$5,INDEX(NKC!$H$7:$H$3006,$J180),""))</f>
        <v/>
      </c>
      <c r="G180" s="125">
        <f>IF($J180="","",IF(LEFT(INDEX(NKC!$G$7:$G$3006,$J180),LEN($B$5))=$B$5,INDEX(NKC!$H$7:$H$3006,$J180),""))</f>
        <v/>
      </c>
      <c r="H180" s="132">
        <f>IF($J180="","",H179+N(F180)-N(G180))</f>
        <v/>
      </c>
      <c r="J180" s="117">
        <f>IFERROR(MATCH(173,NKC!$P$7:$P$3006,0),"")</f>
        <v/>
      </c>
    </row>
    <row r="181" ht="15" customHeight="1" s="78">
      <c r="A181" s="131">
        <f>IF($J181="","",INDEX(NKC!$B$7:$B$3006,$J181))</f>
        <v/>
      </c>
      <c r="B181" s="95">
        <f>IF($J181="","",INDEX(NKC!$C$7:$C$3006,$J181))</f>
        <v/>
      </c>
      <c r="C181" s="131">
        <f>IF($J181="","",INDEX(NKC!$D$7:$D$3006,$J181))</f>
        <v/>
      </c>
      <c r="D181" s="97">
        <f>IF($J181="","",INDEX(NKC!$E$7:$E$3006,$J181))</f>
        <v/>
      </c>
      <c r="E181" s="95">
        <f>IF($J181="","",IF(LEFT(INDEX(NKC!$F$7:$F$3006,$J181),LEN($B$5))=$B$5,INDEX(NKC!$G$7:$G$3006,$J181),INDEX(NKC!$F$7:$F$3006,$J181)))</f>
        <v/>
      </c>
      <c r="F181" s="125">
        <f>IF($J181="","",IF(LEFT(INDEX(NKC!$F$7:$F$3006,$J181),LEN($B$5))=$B$5,INDEX(NKC!$H$7:$H$3006,$J181),""))</f>
        <v/>
      </c>
      <c r="G181" s="125">
        <f>IF($J181="","",IF(LEFT(INDEX(NKC!$G$7:$G$3006,$J181),LEN($B$5))=$B$5,INDEX(NKC!$H$7:$H$3006,$J181),""))</f>
        <v/>
      </c>
      <c r="H181" s="132">
        <f>IF($J181="","",H180+N(F181)-N(G181))</f>
        <v/>
      </c>
      <c r="J181" s="117">
        <f>IFERROR(MATCH(174,NKC!$P$7:$P$3006,0),"")</f>
        <v/>
      </c>
    </row>
    <row r="182" ht="15" customHeight="1" s="78">
      <c r="A182" s="131">
        <f>IF($J182="","",INDEX(NKC!$B$7:$B$3006,$J182))</f>
        <v/>
      </c>
      <c r="B182" s="95">
        <f>IF($J182="","",INDEX(NKC!$C$7:$C$3006,$J182))</f>
        <v/>
      </c>
      <c r="C182" s="131">
        <f>IF($J182="","",INDEX(NKC!$D$7:$D$3006,$J182))</f>
        <v/>
      </c>
      <c r="D182" s="97">
        <f>IF($J182="","",INDEX(NKC!$E$7:$E$3006,$J182))</f>
        <v/>
      </c>
      <c r="E182" s="95">
        <f>IF($J182="","",IF(LEFT(INDEX(NKC!$F$7:$F$3006,$J182),LEN($B$5))=$B$5,INDEX(NKC!$G$7:$G$3006,$J182),INDEX(NKC!$F$7:$F$3006,$J182)))</f>
        <v/>
      </c>
      <c r="F182" s="125">
        <f>IF($J182="","",IF(LEFT(INDEX(NKC!$F$7:$F$3006,$J182),LEN($B$5))=$B$5,INDEX(NKC!$H$7:$H$3006,$J182),""))</f>
        <v/>
      </c>
      <c r="G182" s="125">
        <f>IF($J182="","",IF(LEFT(INDEX(NKC!$G$7:$G$3006,$J182),LEN($B$5))=$B$5,INDEX(NKC!$H$7:$H$3006,$J182),""))</f>
        <v/>
      </c>
      <c r="H182" s="132">
        <f>IF($J182="","",H181+N(F182)-N(G182))</f>
        <v/>
      </c>
      <c r="J182" s="117">
        <f>IFERROR(MATCH(175,NKC!$P$7:$P$3006,0),"")</f>
        <v/>
      </c>
    </row>
    <row r="183" ht="15" customHeight="1" s="78">
      <c r="A183" s="131">
        <f>IF($J183="","",INDEX(NKC!$B$7:$B$3006,$J183))</f>
        <v/>
      </c>
      <c r="B183" s="95">
        <f>IF($J183="","",INDEX(NKC!$C$7:$C$3006,$J183))</f>
        <v/>
      </c>
      <c r="C183" s="131">
        <f>IF($J183="","",INDEX(NKC!$D$7:$D$3006,$J183))</f>
        <v/>
      </c>
      <c r="D183" s="97">
        <f>IF($J183="","",INDEX(NKC!$E$7:$E$3006,$J183))</f>
        <v/>
      </c>
      <c r="E183" s="95">
        <f>IF($J183="","",IF(LEFT(INDEX(NKC!$F$7:$F$3006,$J183),LEN($B$5))=$B$5,INDEX(NKC!$G$7:$G$3006,$J183),INDEX(NKC!$F$7:$F$3006,$J183)))</f>
        <v/>
      </c>
      <c r="F183" s="125">
        <f>IF($J183="","",IF(LEFT(INDEX(NKC!$F$7:$F$3006,$J183),LEN($B$5))=$B$5,INDEX(NKC!$H$7:$H$3006,$J183),""))</f>
        <v/>
      </c>
      <c r="G183" s="125">
        <f>IF($J183="","",IF(LEFT(INDEX(NKC!$G$7:$G$3006,$J183),LEN($B$5))=$B$5,INDEX(NKC!$H$7:$H$3006,$J183),""))</f>
        <v/>
      </c>
      <c r="H183" s="132">
        <f>IF($J183="","",H182+N(F183)-N(G183))</f>
        <v/>
      </c>
      <c r="J183" s="117">
        <f>IFERROR(MATCH(176,NKC!$P$7:$P$3006,0),"")</f>
        <v/>
      </c>
    </row>
    <row r="184" ht="15" customHeight="1" s="78">
      <c r="A184" s="131">
        <f>IF($J184="","",INDEX(NKC!$B$7:$B$3006,$J184))</f>
        <v/>
      </c>
      <c r="B184" s="95">
        <f>IF($J184="","",INDEX(NKC!$C$7:$C$3006,$J184))</f>
        <v/>
      </c>
      <c r="C184" s="131">
        <f>IF($J184="","",INDEX(NKC!$D$7:$D$3006,$J184))</f>
        <v/>
      </c>
      <c r="D184" s="97">
        <f>IF($J184="","",INDEX(NKC!$E$7:$E$3006,$J184))</f>
        <v/>
      </c>
      <c r="E184" s="95">
        <f>IF($J184="","",IF(LEFT(INDEX(NKC!$F$7:$F$3006,$J184),LEN($B$5))=$B$5,INDEX(NKC!$G$7:$G$3006,$J184),INDEX(NKC!$F$7:$F$3006,$J184)))</f>
        <v/>
      </c>
      <c r="F184" s="125">
        <f>IF($J184="","",IF(LEFT(INDEX(NKC!$F$7:$F$3006,$J184),LEN($B$5))=$B$5,INDEX(NKC!$H$7:$H$3006,$J184),""))</f>
        <v/>
      </c>
      <c r="G184" s="125">
        <f>IF($J184="","",IF(LEFT(INDEX(NKC!$G$7:$G$3006,$J184),LEN($B$5))=$B$5,INDEX(NKC!$H$7:$H$3006,$J184),""))</f>
        <v/>
      </c>
      <c r="H184" s="132">
        <f>IF($J184="","",H183+N(F184)-N(G184))</f>
        <v/>
      </c>
      <c r="J184" s="117">
        <f>IFERROR(MATCH(177,NKC!$P$7:$P$3006,0),"")</f>
        <v/>
      </c>
    </row>
    <row r="185" ht="15" customHeight="1" s="78">
      <c r="A185" s="131">
        <f>IF($J185="","",INDEX(NKC!$B$7:$B$3006,$J185))</f>
        <v/>
      </c>
      <c r="B185" s="95">
        <f>IF($J185="","",INDEX(NKC!$C$7:$C$3006,$J185))</f>
        <v/>
      </c>
      <c r="C185" s="131">
        <f>IF($J185="","",INDEX(NKC!$D$7:$D$3006,$J185))</f>
        <v/>
      </c>
      <c r="D185" s="97">
        <f>IF($J185="","",INDEX(NKC!$E$7:$E$3006,$J185))</f>
        <v/>
      </c>
      <c r="E185" s="95">
        <f>IF($J185="","",IF(LEFT(INDEX(NKC!$F$7:$F$3006,$J185),LEN($B$5))=$B$5,INDEX(NKC!$G$7:$G$3006,$J185),INDEX(NKC!$F$7:$F$3006,$J185)))</f>
        <v/>
      </c>
      <c r="F185" s="125">
        <f>IF($J185="","",IF(LEFT(INDEX(NKC!$F$7:$F$3006,$J185),LEN($B$5))=$B$5,INDEX(NKC!$H$7:$H$3006,$J185),""))</f>
        <v/>
      </c>
      <c r="G185" s="125">
        <f>IF($J185="","",IF(LEFT(INDEX(NKC!$G$7:$G$3006,$J185),LEN($B$5))=$B$5,INDEX(NKC!$H$7:$H$3006,$J185),""))</f>
        <v/>
      </c>
      <c r="H185" s="132">
        <f>IF($J185="","",H184+N(F185)-N(G185))</f>
        <v/>
      </c>
      <c r="J185" s="117">
        <f>IFERROR(MATCH(178,NKC!$P$7:$P$3006,0),"")</f>
        <v/>
      </c>
    </row>
    <row r="186" ht="15" customHeight="1" s="78">
      <c r="A186" s="131">
        <f>IF($J186="","",INDEX(NKC!$B$7:$B$3006,$J186))</f>
        <v/>
      </c>
      <c r="B186" s="95">
        <f>IF($J186="","",INDEX(NKC!$C$7:$C$3006,$J186))</f>
        <v/>
      </c>
      <c r="C186" s="131">
        <f>IF($J186="","",INDEX(NKC!$D$7:$D$3006,$J186))</f>
        <v/>
      </c>
      <c r="D186" s="97">
        <f>IF($J186="","",INDEX(NKC!$E$7:$E$3006,$J186))</f>
        <v/>
      </c>
      <c r="E186" s="95">
        <f>IF($J186="","",IF(LEFT(INDEX(NKC!$F$7:$F$3006,$J186),LEN($B$5))=$B$5,INDEX(NKC!$G$7:$G$3006,$J186),INDEX(NKC!$F$7:$F$3006,$J186)))</f>
        <v/>
      </c>
      <c r="F186" s="125">
        <f>IF($J186="","",IF(LEFT(INDEX(NKC!$F$7:$F$3006,$J186),LEN($B$5))=$B$5,INDEX(NKC!$H$7:$H$3006,$J186),""))</f>
        <v/>
      </c>
      <c r="G186" s="125">
        <f>IF($J186="","",IF(LEFT(INDEX(NKC!$G$7:$G$3006,$J186),LEN($B$5))=$B$5,INDEX(NKC!$H$7:$H$3006,$J186),""))</f>
        <v/>
      </c>
      <c r="H186" s="132">
        <f>IF($J186="","",H185+N(F186)-N(G186))</f>
        <v/>
      </c>
      <c r="J186" s="117">
        <f>IFERROR(MATCH(179,NKC!$P$7:$P$3006,0),"")</f>
        <v/>
      </c>
    </row>
    <row r="187" ht="15" customHeight="1" s="78">
      <c r="A187" s="131">
        <f>IF($J187="","",INDEX(NKC!$B$7:$B$3006,$J187))</f>
        <v/>
      </c>
      <c r="B187" s="95">
        <f>IF($J187="","",INDEX(NKC!$C$7:$C$3006,$J187))</f>
        <v/>
      </c>
      <c r="C187" s="131">
        <f>IF($J187="","",INDEX(NKC!$D$7:$D$3006,$J187))</f>
        <v/>
      </c>
      <c r="D187" s="97">
        <f>IF($J187="","",INDEX(NKC!$E$7:$E$3006,$J187))</f>
        <v/>
      </c>
      <c r="E187" s="95">
        <f>IF($J187="","",IF(LEFT(INDEX(NKC!$F$7:$F$3006,$J187),LEN($B$5))=$B$5,INDEX(NKC!$G$7:$G$3006,$J187),INDEX(NKC!$F$7:$F$3006,$J187)))</f>
        <v/>
      </c>
      <c r="F187" s="125">
        <f>IF($J187="","",IF(LEFT(INDEX(NKC!$F$7:$F$3006,$J187),LEN($B$5))=$B$5,INDEX(NKC!$H$7:$H$3006,$J187),""))</f>
        <v/>
      </c>
      <c r="G187" s="125">
        <f>IF($J187="","",IF(LEFT(INDEX(NKC!$G$7:$G$3006,$J187),LEN($B$5))=$B$5,INDEX(NKC!$H$7:$H$3006,$J187),""))</f>
        <v/>
      </c>
      <c r="H187" s="132">
        <f>IF($J187="","",H186+N(F187)-N(G187))</f>
        <v/>
      </c>
      <c r="J187" s="117">
        <f>IFERROR(MATCH(180,NKC!$P$7:$P$3006,0),"")</f>
        <v/>
      </c>
    </row>
    <row r="188" ht="15" customHeight="1" s="78">
      <c r="A188" s="131">
        <f>IF($J188="","",INDEX(NKC!$B$7:$B$3006,$J188))</f>
        <v/>
      </c>
      <c r="B188" s="95">
        <f>IF($J188="","",INDEX(NKC!$C$7:$C$3006,$J188))</f>
        <v/>
      </c>
      <c r="C188" s="131">
        <f>IF($J188="","",INDEX(NKC!$D$7:$D$3006,$J188))</f>
        <v/>
      </c>
      <c r="D188" s="97">
        <f>IF($J188="","",INDEX(NKC!$E$7:$E$3006,$J188))</f>
        <v/>
      </c>
      <c r="E188" s="95">
        <f>IF($J188="","",IF(LEFT(INDEX(NKC!$F$7:$F$3006,$J188),LEN($B$5))=$B$5,INDEX(NKC!$G$7:$G$3006,$J188),INDEX(NKC!$F$7:$F$3006,$J188)))</f>
        <v/>
      </c>
      <c r="F188" s="125">
        <f>IF($J188="","",IF(LEFT(INDEX(NKC!$F$7:$F$3006,$J188),LEN($B$5))=$B$5,INDEX(NKC!$H$7:$H$3006,$J188),""))</f>
        <v/>
      </c>
      <c r="G188" s="125">
        <f>IF($J188="","",IF(LEFT(INDEX(NKC!$G$7:$G$3006,$J188),LEN($B$5))=$B$5,INDEX(NKC!$H$7:$H$3006,$J188),""))</f>
        <v/>
      </c>
      <c r="H188" s="132">
        <f>IF($J188="","",H187+N(F188)-N(G188))</f>
        <v/>
      </c>
      <c r="J188" s="117">
        <f>IFERROR(MATCH(181,NKC!$P$7:$P$3006,0),"")</f>
        <v/>
      </c>
    </row>
    <row r="189" ht="15" customHeight="1" s="78">
      <c r="A189" s="131">
        <f>IF($J189="","",INDEX(NKC!$B$7:$B$3006,$J189))</f>
        <v/>
      </c>
      <c r="B189" s="95">
        <f>IF($J189="","",INDEX(NKC!$C$7:$C$3006,$J189))</f>
        <v/>
      </c>
      <c r="C189" s="131">
        <f>IF($J189="","",INDEX(NKC!$D$7:$D$3006,$J189))</f>
        <v/>
      </c>
      <c r="D189" s="97">
        <f>IF($J189="","",INDEX(NKC!$E$7:$E$3006,$J189))</f>
        <v/>
      </c>
      <c r="E189" s="95">
        <f>IF($J189="","",IF(LEFT(INDEX(NKC!$F$7:$F$3006,$J189),LEN($B$5))=$B$5,INDEX(NKC!$G$7:$G$3006,$J189),INDEX(NKC!$F$7:$F$3006,$J189)))</f>
        <v/>
      </c>
      <c r="F189" s="125">
        <f>IF($J189="","",IF(LEFT(INDEX(NKC!$F$7:$F$3006,$J189),LEN($B$5))=$B$5,INDEX(NKC!$H$7:$H$3006,$J189),""))</f>
        <v/>
      </c>
      <c r="G189" s="125">
        <f>IF($J189="","",IF(LEFT(INDEX(NKC!$G$7:$G$3006,$J189),LEN($B$5))=$B$5,INDEX(NKC!$H$7:$H$3006,$J189),""))</f>
        <v/>
      </c>
      <c r="H189" s="132">
        <f>IF($J189="","",H188+N(F189)-N(G189))</f>
        <v/>
      </c>
      <c r="J189" s="117">
        <f>IFERROR(MATCH(182,NKC!$P$7:$P$3006,0),"")</f>
        <v/>
      </c>
    </row>
    <row r="190" ht="15" customHeight="1" s="78">
      <c r="A190" s="131">
        <f>IF($J190="","",INDEX(NKC!$B$7:$B$3006,$J190))</f>
        <v/>
      </c>
      <c r="B190" s="95">
        <f>IF($J190="","",INDEX(NKC!$C$7:$C$3006,$J190))</f>
        <v/>
      </c>
      <c r="C190" s="131">
        <f>IF($J190="","",INDEX(NKC!$D$7:$D$3006,$J190))</f>
        <v/>
      </c>
      <c r="D190" s="97">
        <f>IF($J190="","",INDEX(NKC!$E$7:$E$3006,$J190))</f>
        <v/>
      </c>
      <c r="E190" s="95">
        <f>IF($J190="","",IF(LEFT(INDEX(NKC!$F$7:$F$3006,$J190),LEN($B$5))=$B$5,INDEX(NKC!$G$7:$G$3006,$J190),INDEX(NKC!$F$7:$F$3006,$J190)))</f>
        <v/>
      </c>
      <c r="F190" s="125">
        <f>IF($J190="","",IF(LEFT(INDEX(NKC!$F$7:$F$3006,$J190),LEN($B$5))=$B$5,INDEX(NKC!$H$7:$H$3006,$J190),""))</f>
        <v/>
      </c>
      <c r="G190" s="125">
        <f>IF($J190="","",IF(LEFT(INDEX(NKC!$G$7:$G$3006,$J190),LEN($B$5))=$B$5,INDEX(NKC!$H$7:$H$3006,$J190),""))</f>
        <v/>
      </c>
      <c r="H190" s="132">
        <f>IF($J190="","",H189+N(F190)-N(G190))</f>
        <v/>
      </c>
      <c r="J190" s="117">
        <f>IFERROR(MATCH(183,NKC!$P$7:$P$3006,0),"")</f>
        <v/>
      </c>
    </row>
    <row r="191" ht="15" customHeight="1" s="78">
      <c r="A191" s="131">
        <f>IF($J191="","",INDEX(NKC!$B$7:$B$3006,$J191))</f>
        <v/>
      </c>
      <c r="B191" s="95">
        <f>IF($J191="","",INDEX(NKC!$C$7:$C$3006,$J191))</f>
        <v/>
      </c>
      <c r="C191" s="131">
        <f>IF($J191="","",INDEX(NKC!$D$7:$D$3006,$J191))</f>
        <v/>
      </c>
      <c r="D191" s="97">
        <f>IF($J191="","",INDEX(NKC!$E$7:$E$3006,$J191))</f>
        <v/>
      </c>
      <c r="E191" s="95">
        <f>IF($J191="","",IF(LEFT(INDEX(NKC!$F$7:$F$3006,$J191),LEN($B$5))=$B$5,INDEX(NKC!$G$7:$G$3006,$J191),INDEX(NKC!$F$7:$F$3006,$J191)))</f>
        <v/>
      </c>
      <c r="F191" s="125">
        <f>IF($J191="","",IF(LEFT(INDEX(NKC!$F$7:$F$3006,$J191),LEN($B$5))=$B$5,INDEX(NKC!$H$7:$H$3006,$J191),""))</f>
        <v/>
      </c>
      <c r="G191" s="125">
        <f>IF($J191="","",IF(LEFT(INDEX(NKC!$G$7:$G$3006,$J191),LEN($B$5))=$B$5,INDEX(NKC!$H$7:$H$3006,$J191),""))</f>
        <v/>
      </c>
      <c r="H191" s="132">
        <f>IF($J191="","",H190+N(F191)-N(G191))</f>
        <v/>
      </c>
      <c r="J191" s="117">
        <f>IFERROR(MATCH(184,NKC!$P$7:$P$3006,0),"")</f>
        <v/>
      </c>
    </row>
    <row r="192" ht="15" customHeight="1" s="78">
      <c r="A192" s="131">
        <f>IF($J192="","",INDEX(NKC!$B$7:$B$3006,$J192))</f>
        <v/>
      </c>
      <c r="B192" s="95">
        <f>IF($J192="","",INDEX(NKC!$C$7:$C$3006,$J192))</f>
        <v/>
      </c>
      <c r="C192" s="131">
        <f>IF($J192="","",INDEX(NKC!$D$7:$D$3006,$J192))</f>
        <v/>
      </c>
      <c r="D192" s="97">
        <f>IF($J192="","",INDEX(NKC!$E$7:$E$3006,$J192))</f>
        <v/>
      </c>
      <c r="E192" s="95">
        <f>IF($J192="","",IF(LEFT(INDEX(NKC!$F$7:$F$3006,$J192),LEN($B$5))=$B$5,INDEX(NKC!$G$7:$G$3006,$J192),INDEX(NKC!$F$7:$F$3006,$J192)))</f>
        <v/>
      </c>
      <c r="F192" s="125">
        <f>IF($J192="","",IF(LEFT(INDEX(NKC!$F$7:$F$3006,$J192),LEN($B$5))=$B$5,INDEX(NKC!$H$7:$H$3006,$J192),""))</f>
        <v/>
      </c>
      <c r="G192" s="125">
        <f>IF($J192="","",IF(LEFT(INDEX(NKC!$G$7:$G$3006,$J192),LEN($B$5))=$B$5,INDEX(NKC!$H$7:$H$3006,$J192),""))</f>
        <v/>
      </c>
      <c r="H192" s="132">
        <f>IF($J192="","",H191+N(F192)-N(G192))</f>
        <v/>
      </c>
      <c r="J192" s="117">
        <f>IFERROR(MATCH(185,NKC!$P$7:$P$3006,0),"")</f>
        <v/>
      </c>
    </row>
    <row r="193" ht="15" customHeight="1" s="78">
      <c r="A193" s="131">
        <f>IF($J193="","",INDEX(NKC!$B$7:$B$3006,$J193))</f>
        <v/>
      </c>
      <c r="B193" s="95">
        <f>IF($J193="","",INDEX(NKC!$C$7:$C$3006,$J193))</f>
        <v/>
      </c>
      <c r="C193" s="131">
        <f>IF($J193="","",INDEX(NKC!$D$7:$D$3006,$J193))</f>
        <v/>
      </c>
      <c r="D193" s="97">
        <f>IF($J193="","",INDEX(NKC!$E$7:$E$3006,$J193))</f>
        <v/>
      </c>
      <c r="E193" s="95">
        <f>IF($J193="","",IF(LEFT(INDEX(NKC!$F$7:$F$3006,$J193),LEN($B$5))=$B$5,INDEX(NKC!$G$7:$G$3006,$J193),INDEX(NKC!$F$7:$F$3006,$J193)))</f>
        <v/>
      </c>
      <c r="F193" s="125">
        <f>IF($J193="","",IF(LEFT(INDEX(NKC!$F$7:$F$3006,$J193),LEN($B$5))=$B$5,INDEX(NKC!$H$7:$H$3006,$J193),""))</f>
        <v/>
      </c>
      <c r="G193" s="125">
        <f>IF($J193="","",IF(LEFT(INDEX(NKC!$G$7:$G$3006,$J193),LEN($B$5))=$B$5,INDEX(NKC!$H$7:$H$3006,$J193),""))</f>
        <v/>
      </c>
      <c r="H193" s="132">
        <f>IF($J193="","",H192+N(F193)-N(G193))</f>
        <v/>
      </c>
      <c r="J193" s="117">
        <f>IFERROR(MATCH(186,NKC!$P$7:$P$3006,0),"")</f>
        <v/>
      </c>
    </row>
    <row r="194" ht="15" customHeight="1" s="78">
      <c r="A194" s="131">
        <f>IF($J194="","",INDEX(NKC!$B$7:$B$3006,$J194))</f>
        <v/>
      </c>
      <c r="B194" s="95">
        <f>IF($J194="","",INDEX(NKC!$C$7:$C$3006,$J194))</f>
        <v/>
      </c>
      <c r="C194" s="131">
        <f>IF($J194="","",INDEX(NKC!$D$7:$D$3006,$J194))</f>
        <v/>
      </c>
      <c r="D194" s="97">
        <f>IF($J194="","",INDEX(NKC!$E$7:$E$3006,$J194))</f>
        <v/>
      </c>
      <c r="E194" s="95">
        <f>IF($J194="","",IF(LEFT(INDEX(NKC!$F$7:$F$3006,$J194),LEN($B$5))=$B$5,INDEX(NKC!$G$7:$G$3006,$J194),INDEX(NKC!$F$7:$F$3006,$J194)))</f>
        <v/>
      </c>
      <c r="F194" s="125">
        <f>IF($J194="","",IF(LEFT(INDEX(NKC!$F$7:$F$3006,$J194),LEN($B$5))=$B$5,INDEX(NKC!$H$7:$H$3006,$J194),""))</f>
        <v/>
      </c>
      <c r="G194" s="125">
        <f>IF($J194="","",IF(LEFT(INDEX(NKC!$G$7:$G$3006,$J194),LEN($B$5))=$B$5,INDEX(NKC!$H$7:$H$3006,$J194),""))</f>
        <v/>
      </c>
      <c r="H194" s="132">
        <f>IF($J194="","",H193+N(F194)-N(G194))</f>
        <v/>
      </c>
      <c r="J194" s="117">
        <f>IFERROR(MATCH(187,NKC!$P$7:$P$3006,0),"")</f>
        <v/>
      </c>
    </row>
    <row r="195" ht="15" customHeight="1" s="78">
      <c r="A195" s="131">
        <f>IF($J195="","",INDEX(NKC!$B$7:$B$3006,$J195))</f>
        <v/>
      </c>
      <c r="B195" s="95">
        <f>IF($J195="","",INDEX(NKC!$C$7:$C$3006,$J195))</f>
        <v/>
      </c>
      <c r="C195" s="131">
        <f>IF($J195="","",INDEX(NKC!$D$7:$D$3006,$J195))</f>
        <v/>
      </c>
      <c r="D195" s="97">
        <f>IF($J195="","",INDEX(NKC!$E$7:$E$3006,$J195))</f>
        <v/>
      </c>
      <c r="E195" s="95">
        <f>IF($J195="","",IF(LEFT(INDEX(NKC!$F$7:$F$3006,$J195),LEN($B$5))=$B$5,INDEX(NKC!$G$7:$G$3006,$J195),INDEX(NKC!$F$7:$F$3006,$J195)))</f>
        <v/>
      </c>
      <c r="F195" s="125">
        <f>IF($J195="","",IF(LEFT(INDEX(NKC!$F$7:$F$3006,$J195),LEN($B$5))=$B$5,INDEX(NKC!$H$7:$H$3006,$J195),""))</f>
        <v/>
      </c>
      <c r="G195" s="125">
        <f>IF($J195="","",IF(LEFT(INDEX(NKC!$G$7:$G$3006,$J195),LEN($B$5))=$B$5,INDEX(NKC!$H$7:$H$3006,$J195),""))</f>
        <v/>
      </c>
      <c r="H195" s="132">
        <f>IF($J195="","",H194+N(F195)-N(G195))</f>
        <v/>
      </c>
      <c r="J195" s="117">
        <f>IFERROR(MATCH(188,NKC!$P$7:$P$3006,0),"")</f>
        <v/>
      </c>
    </row>
    <row r="196" ht="15" customHeight="1" s="78">
      <c r="A196" s="131">
        <f>IF($J196="","",INDEX(NKC!$B$7:$B$3006,$J196))</f>
        <v/>
      </c>
      <c r="B196" s="95">
        <f>IF($J196="","",INDEX(NKC!$C$7:$C$3006,$J196))</f>
        <v/>
      </c>
      <c r="C196" s="131">
        <f>IF($J196="","",INDEX(NKC!$D$7:$D$3006,$J196))</f>
        <v/>
      </c>
      <c r="D196" s="97">
        <f>IF($J196="","",INDEX(NKC!$E$7:$E$3006,$J196))</f>
        <v/>
      </c>
      <c r="E196" s="95">
        <f>IF($J196="","",IF(LEFT(INDEX(NKC!$F$7:$F$3006,$J196),LEN($B$5))=$B$5,INDEX(NKC!$G$7:$G$3006,$J196),INDEX(NKC!$F$7:$F$3006,$J196)))</f>
        <v/>
      </c>
      <c r="F196" s="125">
        <f>IF($J196="","",IF(LEFT(INDEX(NKC!$F$7:$F$3006,$J196),LEN($B$5))=$B$5,INDEX(NKC!$H$7:$H$3006,$J196),""))</f>
        <v/>
      </c>
      <c r="G196" s="125">
        <f>IF($J196="","",IF(LEFT(INDEX(NKC!$G$7:$G$3006,$J196),LEN($B$5))=$B$5,INDEX(NKC!$H$7:$H$3006,$J196),""))</f>
        <v/>
      </c>
      <c r="H196" s="132">
        <f>IF($J196="","",H195+N(F196)-N(G196))</f>
        <v/>
      </c>
      <c r="J196" s="117">
        <f>IFERROR(MATCH(189,NKC!$P$7:$P$3006,0),"")</f>
        <v/>
      </c>
    </row>
    <row r="197" ht="15" customHeight="1" s="78">
      <c r="A197" s="131">
        <f>IF($J197="","",INDEX(NKC!$B$7:$B$3006,$J197))</f>
        <v/>
      </c>
      <c r="B197" s="95">
        <f>IF($J197="","",INDEX(NKC!$C$7:$C$3006,$J197))</f>
        <v/>
      </c>
      <c r="C197" s="131">
        <f>IF($J197="","",INDEX(NKC!$D$7:$D$3006,$J197))</f>
        <v/>
      </c>
      <c r="D197" s="97">
        <f>IF($J197="","",INDEX(NKC!$E$7:$E$3006,$J197))</f>
        <v/>
      </c>
      <c r="E197" s="95">
        <f>IF($J197="","",IF(LEFT(INDEX(NKC!$F$7:$F$3006,$J197),LEN($B$5))=$B$5,INDEX(NKC!$G$7:$G$3006,$J197),INDEX(NKC!$F$7:$F$3006,$J197)))</f>
        <v/>
      </c>
      <c r="F197" s="125">
        <f>IF($J197="","",IF(LEFT(INDEX(NKC!$F$7:$F$3006,$J197),LEN($B$5))=$B$5,INDEX(NKC!$H$7:$H$3006,$J197),""))</f>
        <v/>
      </c>
      <c r="G197" s="125">
        <f>IF($J197="","",IF(LEFT(INDEX(NKC!$G$7:$G$3006,$J197),LEN($B$5))=$B$5,INDEX(NKC!$H$7:$H$3006,$J197),""))</f>
        <v/>
      </c>
      <c r="H197" s="132">
        <f>IF($J197="","",H196+N(F197)-N(G197))</f>
        <v/>
      </c>
      <c r="J197" s="117">
        <f>IFERROR(MATCH(190,NKC!$P$7:$P$3006,0),"")</f>
        <v/>
      </c>
    </row>
    <row r="198" ht="15" customHeight="1" s="78">
      <c r="A198" s="131">
        <f>IF($J198="","",INDEX(NKC!$B$7:$B$3006,$J198))</f>
        <v/>
      </c>
      <c r="B198" s="95">
        <f>IF($J198="","",INDEX(NKC!$C$7:$C$3006,$J198))</f>
        <v/>
      </c>
      <c r="C198" s="131">
        <f>IF($J198="","",INDEX(NKC!$D$7:$D$3006,$J198))</f>
        <v/>
      </c>
      <c r="D198" s="97">
        <f>IF($J198="","",INDEX(NKC!$E$7:$E$3006,$J198))</f>
        <v/>
      </c>
      <c r="E198" s="95">
        <f>IF($J198="","",IF(LEFT(INDEX(NKC!$F$7:$F$3006,$J198),LEN($B$5))=$B$5,INDEX(NKC!$G$7:$G$3006,$J198),INDEX(NKC!$F$7:$F$3006,$J198)))</f>
        <v/>
      </c>
      <c r="F198" s="125">
        <f>IF($J198="","",IF(LEFT(INDEX(NKC!$F$7:$F$3006,$J198),LEN($B$5))=$B$5,INDEX(NKC!$H$7:$H$3006,$J198),""))</f>
        <v/>
      </c>
      <c r="G198" s="125">
        <f>IF($J198="","",IF(LEFT(INDEX(NKC!$G$7:$G$3006,$J198),LEN($B$5))=$B$5,INDEX(NKC!$H$7:$H$3006,$J198),""))</f>
        <v/>
      </c>
      <c r="H198" s="132">
        <f>IF($J198="","",H197+N(F198)-N(G198))</f>
        <v/>
      </c>
      <c r="J198" s="117">
        <f>IFERROR(MATCH(191,NKC!$P$7:$P$3006,0),"")</f>
        <v/>
      </c>
    </row>
    <row r="199" ht="15" customHeight="1" s="78">
      <c r="A199" s="131">
        <f>IF($J199="","",INDEX(NKC!$B$7:$B$3006,$J199))</f>
        <v/>
      </c>
      <c r="B199" s="95">
        <f>IF($J199="","",INDEX(NKC!$C$7:$C$3006,$J199))</f>
        <v/>
      </c>
      <c r="C199" s="131">
        <f>IF($J199="","",INDEX(NKC!$D$7:$D$3006,$J199))</f>
        <v/>
      </c>
      <c r="D199" s="97">
        <f>IF($J199="","",INDEX(NKC!$E$7:$E$3006,$J199))</f>
        <v/>
      </c>
      <c r="E199" s="95">
        <f>IF($J199="","",IF(LEFT(INDEX(NKC!$F$7:$F$3006,$J199),LEN($B$5))=$B$5,INDEX(NKC!$G$7:$G$3006,$J199),INDEX(NKC!$F$7:$F$3006,$J199)))</f>
        <v/>
      </c>
      <c r="F199" s="125">
        <f>IF($J199="","",IF(LEFT(INDEX(NKC!$F$7:$F$3006,$J199),LEN($B$5))=$B$5,INDEX(NKC!$H$7:$H$3006,$J199),""))</f>
        <v/>
      </c>
      <c r="G199" s="125">
        <f>IF($J199="","",IF(LEFT(INDEX(NKC!$G$7:$G$3006,$J199),LEN($B$5))=$B$5,INDEX(NKC!$H$7:$H$3006,$J199),""))</f>
        <v/>
      </c>
      <c r="H199" s="132">
        <f>IF($J199="","",H198+N(F199)-N(G199))</f>
        <v/>
      </c>
      <c r="J199" s="117">
        <f>IFERROR(MATCH(192,NKC!$P$7:$P$3006,0),"")</f>
        <v/>
      </c>
    </row>
    <row r="200" ht="15" customHeight="1" s="78">
      <c r="A200" s="131">
        <f>IF($J200="","",INDEX(NKC!$B$7:$B$3006,$J200))</f>
        <v/>
      </c>
      <c r="B200" s="95">
        <f>IF($J200="","",INDEX(NKC!$C$7:$C$3006,$J200))</f>
        <v/>
      </c>
      <c r="C200" s="131">
        <f>IF($J200="","",INDEX(NKC!$D$7:$D$3006,$J200))</f>
        <v/>
      </c>
      <c r="D200" s="97">
        <f>IF($J200="","",INDEX(NKC!$E$7:$E$3006,$J200))</f>
        <v/>
      </c>
      <c r="E200" s="95">
        <f>IF($J200="","",IF(LEFT(INDEX(NKC!$F$7:$F$3006,$J200),LEN($B$5))=$B$5,INDEX(NKC!$G$7:$G$3006,$J200),INDEX(NKC!$F$7:$F$3006,$J200)))</f>
        <v/>
      </c>
      <c r="F200" s="125">
        <f>IF($J200="","",IF(LEFT(INDEX(NKC!$F$7:$F$3006,$J200),LEN($B$5))=$B$5,INDEX(NKC!$H$7:$H$3006,$J200),""))</f>
        <v/>
      </c>
      <c r="G200" s="125">
        <f>IF($J200="","",IF(LEFT(INDEX(NKC!$G$7:$G$3006,$J200),LEN($B$5))=$B$5,INDEX(NKC!$H$7:$H$3006,$J200),""))</f>
        <v/>
      </c>
      <c r="H200" s="132">
        <f>IF($J200="","",H199+N(F200)-N(G200))</f>
        <v/>
      </c>
      <c r="J200" s="117">
        <f>IFERROR(MATCH(193,NKC!$P$7:$P$3006,0),"")</f>
        <v/>
      </c>
    </row>
    <row r="201" ht="15" customHeight="1" s="78">
      <c r="A201" s="131">
        <f>IF($J201="","",INDEX(NKC!$B$7:$B$3006,$J201))</f>
        <v/>
      </c>
      <c r="B201" s="95">
        <f>IF($J201="","",INDEX(NKC!$C$7:$C$3006,$J201))</f>
        <v/>
      </c>
      <c r="C201" s="131">
        <f>IF($J201="","",INDEX(NKC!$D$7:$D$3006,$J201))</f>
        <v/>
      </c>
      <c r="D201" s="97">
        <f>IF($J201="","",INDEX(NKC!$E$7:$E$3006,$J201))</f>
        <v/>
      </c>
      <c r="E201" s="95">
        <f>IF($J201="","",IF(LEFT(INDEX(NKC!$F$7:$F$3006,$J201),LEN($B$5))=$B$5,INDEX(NKC!$G$7:$G$3006,$J201),INDEX(NKC!$F$7:$F$3006,$J201)))</f>
        <v/>
      </c>
      <c r="F201" s="125">
        <f>IF($J201="","",IF(LEFT(INDEX(NKC!$F$7:$F$3006,$J201),LEN($B$5))=$B$5,INDEX(NKC!$H$7:$H$3006,$J201),""))</f>
        <v/>
      </c>
      <c r="G201" s="125">
        <f>IF($J201="","",IF(LEFT(INDEX(NKC!$G$7:$G$3006,$J201),LEN($B$5))=$B$5,INDEX(NKC!$H$7:$H$3006,$J201),""))</f>
        <v/>
      </c>
      <c r="H201" s="132">
        <f>IF($J201="","",H200+N(F201)-N(G201))</f>
        <v/>
      </c>
      <c r="J201" s="117">
        <f>IFERROR(MATCH(194,NKC!$P$7:$P$3006,0),"")</f>
        <v/>
      </c>
    </row>
    <row r="202" ht="15" customHeight="1" s="78">
      <c r="A202" s="131">
        <f>IF($J202="","",INDEX(NKC!$B$7:$B$3006,$J202))</f>
        <v/>
      </c>
      <c r="B202" s="95">
        <f>IF($J202="","",INDEX(NKC!$C$7:$C$3006,$J202))</f>
        <v/>
      </c>
      <c r="C202" s="131">
        <f>IF($J202="","",INDEX(NKC!$D$7:$D$3006,$J202))</f>
        <v/>
      </c>
      <c r="D202" s="97">
        <f>IF($J202="","",INDEX(NKC!$E$7:$E$3006,$J202))</f>
        <v/>
      </c>
      <c r="E202" s="95">
        <f>IF($J202="","",IF(LEFT(INDEX(NKC!$F$7:$F$3006,$J202),LEN($B$5))=$B$5,INDEX(NKC!$G$7:$G$3006,$J202),INDEX(NKC!$F$7:$F$3006,$J202)))</f>
        <v/>
      </c>
      <c r="F202" s="125">
        <f>IF($J202="","",IF(LEFT(INDEX(NKC!$F$7:$F$3006,$J202),LEN($B$5))=$B$5,INDEX(NKC!$H$7:$H$3006,$J202),""))</f>
        <v/>
      </c>
      <c r="G202" s="125">
        <f>IF($J202="","",IF(LEFT(INDEX(NKC!$G$7:$G$3006,$J202),LEN($B$5))=$B$5,INDEX(NKC!$H$7:$H$3006,$J202),""))</f>
        <v/>
      </c>
      <c r="H202" s="132">
        <f>IF($J202="","",H201+N(F202)-N(G202))</f>
        <v/>
      </c>
      <c r="J202" s="117">
        <f>IFERROR(MATCH(195,NKC!$P$7:$P$3006,0),"")</f>
        <v/>
      </c>
    </row>
    <row r="203" ht="15" customHeight="1" s="78">
      <c r="A203" s="131">
        <f>IF($J203="","",INDEX(NKC!$B$7:$B$3006,$J203))</f>
        <v/>
      </c>
      <c r="B203" s="95">
        <f>IF($J203="","",INDEX(NKC!$C$7:$C$3006,$J203))</f>
        <v/>
      </c>
      <c r="C203" s="131">
        <f>IF($J203="","",INDEX(NKC!$D$7:$D$3006,$J203))</f>
        <v/>
      </c>
      <c r="D203" s="97">
        <f>IF($J203="","",INDEX(NKC!$E$7:$E$3006,$J203))</f>
        <v/>
      </c>
      <c r="E203" s="95">
        <f>IF($J203="","",IF(LEFT(INDEX(NKC!$F$7:$F$3006,$J203),LEN($B$5))=$B$5,INDEX(NKC!$G$7:$G$3006,$J203),INDEX(NKC!$F$7:$F$3006,$J203)))</f>
        <v/>
      </c>
      <c r="F203" s="125">
        <f>IF($J203="","",IF(LEFT(INDEX(NKC!$F$7:$F$3006,$J203),LEN($B$5))=$B$5,INDEX(NKC!$H$7:$H$3006,$J203),""))</f>
        <v/>
      </c>
      <c r="G203" s="125">
        <f>IF($J203="","",IF(LEFT(INDEX(NKC!$G$7:$G$3006,$J203),LEN($B$5))=$B$5,INDEX(NKC!$H$7:$H$3006,$J203),""))</f>
        <v/>
      </c>
      <c r="H203" s="132">
        <f>IF($J203="","",H202+N(F203)-N(G203))</f>
        <v/>
      </c>
      <c r="J203" s="117">
        <f>IFERROR(MATCH(196,NKC!$P$7:$P$3006,0),"")</f>
        <v/>
      </c>
    </row>
    <row r="204" ht="15" customHeight="1" s="78">
      <c r="A204" s="131">
        <f>IF($J204="","",INDEX(NKC!$B$7:$B$3006,$J204))</f>
        <v/>
      </c>
      <c r="B204" s="95">
        <f>IF($J204="","",INDEX(NKC!$C$7:$C$3006,$J204))</f>
        <v/>
      </c>
      <c r="C204" s="131">
        <f>IF($J204="","",INDEX(NKC!$D$7:$D$3006,$J204))</f>
        <v/>
      </c>
      <c r="D204" s="97">
        <f>IF($J204="","",INDEX(NKC!$E$7:$E$3006,$J204))</f>
        <v/>
      </c>
      <c r="E204" s="95">
        <f>IF($J204="","",IF(LEFT(INDEX(NKC!$F$7:$F$3006,$J204),LEN($B$5))=$B$5,INDEX(NKC!$G$7:$G$3006,$J204),INDEX(NKC!$F$7:$F$3006,$J204)))</f>
        <v/>
      </c>
      <c r="F204" s="125">
        <f>IF($J204="","",IF(LEFT(INDEX(NKC!$F$7:$F$3006,$J204),LEN($B$5))=$B$5,INDEX(NKC!$H$7:$H$3006,$J204),""))</f>
        <v/>
      </c>
      <c r="G204" s="125">
        <f>IF($J204="","",IF(LEFT(INDEX(NKC!$G$7:$G$3006,$J204),LEN($B$5))=$B$5,INDEX(NKC!$H$7:$H$3006,$J204),""))</f>
        <v/>
      </c>
      <c r="H204" s="132">
        <f>IF($J204="","",H203+N(F204)-N(G204))</f>
        <v/>
      </c>
      <c r="J204" s="117">
        <f>IFERROR(MATCH(197,NKC!$P$7:$P$3006,0),"")</f>
        <v/>
      </c>
    </row>
    <row r="205" ht="15" customHeight="1" s="78">
      <c r="A205" s="131">
        <f>IF($J205="","",INDEX(NKC!$B$7:$B$3006,$J205))</f>
        <v/>
      </c>
      <c r="B205" s="95">
        <f>IF($J205="","",INDEX(NKC!$C$7:$C$3006,$J205))</f>
        <v/>
      </c>
      <c r="C205" s="131">
        <f>IF($J205="","",INDEX(NKC!$D$7:$D$3006,$J205))</f>
        <v/>
      </c>
      <c r="D205" s="97">
        <f>IF($J205="","",INDEX(NKC!$E$7:$E$3006,$J205))</f>
        <v/>
      </c>
      <c r="E205" s="95">
        <f>IF($J205="","",IF(LEFT(INDEX(NKC!$F$7:$F$3006,$J205),LEN($B$5))=$B$5,INDEX(NKC!$G$7:$G$3006,$J205),INDEX(NKC!$F$7:$F$3006,$J205)))</f>
        <v/>
      </c>
      <c r="F205" s="125">
        <f>IF($J205="","",IF(LEFT(INDEX(NKC!$F$7:$F$3006,$J205),LEN($B$5))=$B$5,INDEX(NKC!$H$7:$H$3006,$J205),""))</f>
        <v/>
      </c>
      <c r="G205" s="125">
        <f>IF($J205="","",IF(LEFT(INDEX(NKC!$G$7:$G$3006,$J205),LEN($B$5))=$B$5,INDEX(NKC!$H$7:$H$3006,$J205),""))</f>
        <v/>
      </c>
      <c r="H205" s="132">
        <f>IF($J205="","",H204+N(F205)-N(G205))</f>
        <v/>
      </c>
      <c r="J205" s="117">
        <f>IFERROR(MATCH(198,NKC!$P$7:$P$3006,0),"")</f>
        <v/>
      </c>
    </row>
    <row r="206" ht="15" customHeight="1" s="78">
      <c r="A206" s="131">
        <f>IF($J206="","",INDEX(NKC!$B$7:$B$3006,$J206))</f>
        <v/>
      </c>
      <c r="B206" s="95">
        <f>IF($J206="","",INDEX(NKC!$C$7:$C$3006,$J206))</f>
        <v/>
      </c>
      <c r="C206" s="131">
        <f>IF($J206="","",INDEX(NKC!$D$7:$D$3006,$J206))</f>
        <v/>
      </c>
      <c r="D206" s="97">
        <f>IF($J206="","",INDEX(NKC!$E$7:$E$3006,$J206))</f>
        <v/>
      </c>
      <c r="E206" s="95">
        <f>IF($J206="","",IF(LEFT(INDEX(NKC!$F$7:$F$3006,$J206),LEN($B$5))=$B$5,INDEX(NKC!$G$7:$G$3006,$J206),INDEX(NKC!$F$7:$F$3006,$J206)))</f>
        <v/>
      </c>
      <c r="F206" s="125">
        <f>IF($J206="","",IF(LEFT(INDEX(NKC!$F$7:$F$3006,$J206),LEN($B$5))=$B$5,INDEX(NKC!$H$7:$H$3006,$J206),""))</f>
        <v/>
      </c>
      <c r="G206" s="125">
        <f>IF($J206="","",IF(LEFT(INDEX(NKC!$G$7:$G$3006,$J206),LEN($B$5))=$B$5,INDEX(NKC!$H$7:$H$3006,$J206),""))</f>
        <v/>
      </c>
      <c r="H206" s="132">
        <f>IF($J206="","",H205+N(F206)-N(G206))</f>
        <v/>
      </c>
      <c r="J206" s="117">
        <f>IFERROR(MATCH(199,NKC!$P$7:$P$3006,0),"")</f>
        <v/>
      </c>
    </row>
    <row r="207" ht="15" customHeight="1" s="78">
      <c r="A207" s="131">
        <f>IF($J207="","",INDEX(NKC!$B$7:$B$3006,$J207))</f>
        <v/>
      </c>
      <c r="B207" s="95">
        <f>IF($J207="","",INDEX(NKC!$C$7:$C$3006,$J207))</f>
        <v/>
      </c>
      <c r="C207" s="131">
        <f>IF($J207="","",INDEX(NKC!$D$7:$D$3006,$J207))</f>
        <v/>
      </c>
      <c r="D207" s="97">
        <f>IF($J207="","",INDEX(NKC!$E$7:$E$3006,$J207))</f>
        <v/>
      </c>
      <c r="E207" s="95">
        <f>IF($J207="","",IF(LEFT(INDEX(NKC!$F$7:$F$3006,$J207),LEN($B$5))=$B$5,INDEX(NKC!$G$7:$G$3006,$J207),INDEX(NKC!$F$7:$F$3006,$J207)))</f>
        <v/>
      </c>
      <c r="F207" s="125">
        <f>IF($J207="","",IF(LEFT(INDEX(NKC!$F$7:$F$3006,$J207),LEN($B$5))=$B$5,INDEX(NKC!$H$7:$H$3006,$J207),""))</f>
        <v/>
      </c>
      <c r="G207" s="125">
        <f>IF($J207="","",IF(LEFT(INDEX(NKC!$G$7:$G$3006,$J207),LEN($B$5))=$B$5,INDEX(NKC!$H$7:$H$3006,$J207),""))</f>
        <v/>
      </c>
      <c r="H207" s="132">
        <f>IF($J207="","",H206+N(F207)-N(G207))</f>
        <v/>
      </c>
      <c r="J207" s="117">
        <f>IFERROR(MATCH(200,NKC!$P$7:$P$3006,0),"")</f>
        <v/>
      </c>
    </row>
    <row r="208" ht="15" customHeight="1" s="78">
      <c r="A208" s="131">
        <f>IF($J208="","",INDEX(NKC!$B$7:$B$3006,$J208))</f>
        <v/>
      </c>
      <c r="B208" s="95">
        <f>IF($J208="","",INDEX(NKC!$C$7:$C$3006,$J208))</f>
        <v/>
      </c>
      <c r="C208" s="131">
        <f>IF($J208="","",INDEX(NKC!$D$7:$D$3006,$J208))</f>
        <v/>
      </c>
      <c r="D208" s="97">
        <f>IF($J208="","",INDEX(NKC!$E$7:$E$3006,$J208))</f>
        <v/>
      </c>
      <c r="E208" s="95">
        <f>IF($J208="","",IF(LEFT(INDEX(NKC!$F$7:$F$3006,$J208),LEN($B$5))=$B$5,INDEX(NKC!$G$7:$G$3006,$J208),INDEX(NKC!$F$7:$F$3006,$J208)))</f>
        <v/>
      </c>
      <c r="F208" s="125">
        <f>IF($J208="","",IF(LEFT(INDEX(NKC!$F$7:$F$3006,$J208),LEN($B$5))=$B$5,INDEX(NKC!$H$7:$H$3006,$J208),""))</f>
        <v/>
      </c>
      <c r="G208" s="125">
        <f>IF($J208="","",IF(LEFT(INDEX(NKC!$G$7:$G$3006,$J208),LEN($B$5))=$B$5,INDEX(NKC!$H$7:$H$3006,$J208),""))</f>
        <v/>
      </c>
      <c r="H208" s="132">
        <f>IF($J208="","",H207+N(F208)-N(G208))</f>
        <v/>
      </c>
      <c r="J208" s="117">
        <f>IFERROR(MATCH(201,NKC!$P$7:$P$3006,0),"")</f>
        <v/>
      </c>
    </row>
    <row r="209" ht="15" customHeight="1" s="78">
      <c r="A209" s="131">
        <f>IF($J209="","",INDEX(NKC!$B$7:$B$3006,$J209))</f>
        <v/>
      </c>
      <c r="B209" s="95">
        <f>IF($J209="","",INDEX(NKC!$C$7:$C$3006,$J209))</f>
        <v/>
      </c>
      <c r="C209" s="131">
        <f>IF($J209="","",INDEX(NKC!$D$7:$D$3006,$J209))</f>
        <v/>
      </c>
      <c r="D209" s="97">
        <f>IF($J209="","",INDEX(NKC!$E$7:$E$3006,$J209))</f>
        <v/>
      </c>
      <c r="E209" s="95">
        <f>IF($J209="","",IF(LEFT(INDEX(NKC!$F$7:$F$3006,$J209),LEN($B$5))=$B$5,INDEX(NKC!$G$7:$G$3006,$J209),INDEX(NKC!$F$7:$F$3006,$J209)))</f>
        <v/>
      </c>
      <c r="F209" s="125">
        <f>IF($J209="","",IF(LEFT(INDEX(NKC!$F$7:$F$3006,$J209),LEN($B$5))=$B$5,INDEX(NKC!$H$7:$H$3006,$J209),""))</f>
        <v/>
      </c>
      <c r="G209" s="125">
        <f>IF($J209="","",IF(LEFT(INDEX(NKC!$G$7:$G$3006,$J209),LEN($B$5))=$B$5,INDEX(NKC!$H$7:$H$3006,$J209),""))</f>
        <v/>
      </c>
      <c r="H209" s="132">
        <f>IF($J209="","",H208+N(F209)-N(G209))</f>
        <v/>
      </c>
      <c r="J209" s="117">
        <f>IFERROR(MATCH(202,NKC!$P$7:$P$3006,0),"")</f>
        <v/>
      </c>
    </row>
    <row r="210" ht="15" customHeight="1" s="78">
      <c r="A210" s="131">
        <f>IF($J210="","",INDEX(NKC!$B$7:$B$3006,$J210))</f>
        <v/>
      </c>
      <c r="B210" s="95">
        <f>IF($J210="","",INDEX(NKC!$C$7:$C$3006,$J210))</f>
        <v/>
      </c>
      <c r="C210" s="131">
        <f>IF($J210="","",INDEX(NKC!$D$7:$D$3006,$J210))</f>
        <v/>
      </c>
      <c r="D210" s="97">
        <f>IF($J210="","",INDEX(NKC!$E$7:$E$3006,$J210))</f>
        <v/>
      </c>
      <c r="E210" s="95">
        <f>IF($J210="","",IF(LEFT(INDEX(NKC!$F$7:$F$3006,$J210),LEN($B$5))=$B$5,INDEX(NKC!$G$7:$G$3006,$J210),INDEX(NKC!$F$7:$F$3006,$J210)))</f>
        <v/>
      </c>
      <c r="F210" s="125">
        <f>IF($J210="","",IF(LEFT(INDEX(NKC!$F$7:$F$3006,$J210),LEN($B$5))=$B$5,INDEX(NKC!$H$7:$H$3006,$J210),""))</f>
        <v/>
      </c>
      <c r="G210" s="125">
        <f>IF($J210="","",IF(LEFT(INDEX(NKC!$G$7:$G$3006,$J210),LEN($B$5))=$B$5,INDEX(NKC!$H$7:$H$3006,$J210),""))</f>
        <v/>
      </c>
      <c r="H210" s="132">
        <f>IF($J210="","",H209+N(F210)-N(G210))</f>
        <v/>
      </c>
      <c r="J210" s="117">
        <f>IFERROR(MATCH(203,NKC!$P$7:$P$3006,0),"")</f>
        <v/>
      </c>
    </row>
    <row r="211" ht="15" customHeight="1" s="78">
      <c r="A211" s="131">
        <f>IF($J211="","",INDEX(NKC!$B$7:$B$3006,$J211))</f>
        <v/>
      </c>
      <c r="B211" s="95">
        <f>IF($J211="","",INDEX(NKC!$C$7:$C$3006,$J211))</f>
        <v/>
      </c>
      <c r="C211" s="131">
        <f>IF($J211="","",INDEX(NKC!$D$7:$D$3006,$J211))</f>
        <v/>
      </c>
      <c r="D211" s="97">
        <f>IF($J211="","",INDEX(NKC!$E$7:$E$3006,$J211))</f>
        <v/>
      </c>
      <c r="E211" s="95">
        <f>IF($J211="","",IF(LEFT(INDEX(NKC!$F$7:$F$3006,$J211),LEN($B$5))=$B$5,INDEX(NKC!$G$7:$G$3006,$J211),INDEX(NKC!$F$7:$F$3006,$J211)))</f>
        <v/>
      </c>
      <c r="F211" s="125">
        <f>IF($J211="","",IF(LEFT(INDEX(NKC!$F$7:$F$3006,$J211),LEN($B$5))=$B$5,INDEX(NKC!$H$7:$H$3006,$J211),""))</f>
        <v/>
      </c>
      <c r="G211" s="125">
        <f>IF($J211="","",IF(LEFT(INDEX(NKC!$G$7:$G$3006,$J211),LEN($B$5))=$B$5,INDEX(NKC!$H$7:$H$3006,$J211),""))</f>
        <v/>
      </c>
      <c r="H211" s="132">
        <f>IF($J211="","",H210+N(F211)-N(G211))</f>
        <v/>
      </c>
      <c r="J211" s="117">
        <f>IFERROR(MATCH(204,NKC!$P$7:$P$3006,0),"")</f>
        <v/>
      </c>
    </row>
    <row r="212" ht="15" customHeight="1" s="78">
      <c r="A212" s="131">
        <f>IF($J212="","",INDEX(NKC!$B$7:$B$3006,$J212))</f>
        <v/>
      </c>
      <c r="B212" s="95">
        <f>IF($J212="","",INDEX(NKC!$C$7:$C$3006,$J212))</f>
        <v/>
      </c>
      <c r="C212" s="131">
        <f>IF($J212="","",INDEX(NKC!$D$7:$D$3006,$J212))</f>
        <v/>
      </c>
      <c r="D212" s="97">
        <f>IF($J212="","",INDEX(NKC!$E$7:$E$3006,$J212))</f>
        <v/>
      </c>
      <c r="E212" s="95">
        <f>IF($J212="","",IF(LEFT(INDEX(NKC!$F$7:$F$3006,$J212),LEN($B$5))=$B$5,INDEX(NKC!$G$7:$G$3006,$J212),INDEX(NKC!$F$7:$F$3006,$J212)))</f>
        <v/>
      </c>
      <c r="F212" s="125">
        <f>IF($J212="","",IF(LEFT(INDEX(NKC!$F$7:$F$3006,$J212),LEN($B$5))=$B$5,INDEX(NKC!$H$7:$H$3006,$J212),""))</f>
        <v/>
      </c>
      <c r="G212" s="125">
        <f>IF($J212="","",IF(LEFT(INDEX(NKC!$G$7:$G$3006,$J212),LEN($B$5))=$B$5,INDEX(NKC!$H$7:$H$3006,$J212),""))</f>
        <v/>
      </c>
      <c r="H212" s="132">
        <f>IF($J212="","",H211+N(F212)-N(G212))</f>
        <v/>
      </c>
      <c r="J212" s="117">
        <f>IFERROR(MATCH(205,NKC!$P$7:$P$3006,0),"")</f>
        <v/>
      </c>
    </row>
    <row r="213" ht="15" customHeight="1" s="78">
      <c r="A213" s="131">
        <f>IF($J213="","",INDEX(NKC!$B$7:$B$3006,$J213))</f>
        <v/>
      </c>
      <c r="B213" s="95">
        <f>IF($J213="","",INDEX(NKC!$C$7:$C$3006,$J213))</f>
        <v/>
      </c>
      <c r="C213" s="131">
        <f>IF($J213="","",INDEX(NKC!$D$7:$D$3006,$J213))</f>
        <v/>
      </c>
      <c r="D213" s="97">
        <f>IF($J213="","",INDEX(NKC!$E$7:$E$3006,$J213))</f>
        <v/>
      </c>
      <c r="E213" s="95">
        <f>IF($J213="","",IF(LEFT(INDEX(NKC!$F$7:$F$3006,$J213),LEN($B$5))=$B$5,INDEX(NKC!$G$7:$G$3006,$J213),INDEX(NKC!$F$7:$F$3006,$J213)))</f>
        <v/>
      </c>
      <c r="F213" s="125">
        <f>IF($J213="","",IF(LEFT(INDEX(NKC!$F$7:$F$3006,$J213),LEN($B$5))=$B$5,INDEX(NKC!$H$7:$H$3006,$J213),""))</f>
        <v/>
      </c>
      <c r="G213" s="125">
        <f>IF($J213="","",IF(LEFT(INDEX(NKC!$G$7:$G$3006,$J213),LEN($B$5))=$B$5,INDEX(NKC!$H$7:$H$3006,$J213),""))</f>
        <v/>
      </c>
      <c r="H213" s="132">
        <f>IF($J213="","",H212+N(F213)-N(G213))</f>
        <v/>
      </c>
      <c r="J213" s="117">
        <f>IFERROR(MATCH(206,NKC!$P$7:$P$3006,0),"")</f>
        <v/>
      </c>
    </row>
    <row r="214" ht="15" customHeight="1" s="78">
      <c r="A214" s="131">
        <f>IF($J214="","",INDEX(NKC!$B$7:$B$3006,$J214))</f>
        <v/>
      </c>
      <c r="B214" s="95">
        <f>IF($J214="","",INDEX(NKC!$C$7:$C$3006,$J214))</f>
        <v/>
      </c>
      <c r="C214" s="131">
        <f>IF($J214="","",INDEX(NKC!$D$7:$D$3006,$J214))</f>
        <v/>
      </c>
      <c r="D214" s="97">
        <f>IF($J214="","",INDEX(NKC!$E$7:$E$3006,$J214))</f>
        <v/>
      </c>
      <c r="E214" s="95">
        <f>IF($J214="","",IF(LEFT(INDEX(NKC!$F$7:$F$3006,$J214),LEN($B$5))=$B$5,INDEX(NKC!$G$7:$G$3006,$J214),INDEX(NKC!$F$7:$F$3006,$J214)))</f>
        <v/>
      </c>
      <c r="F214" s="125">
        <f>IF($J214="","",IF(LEFT(INDEX(NKC!$F$7:$F$3006,$J214),LEN($B$5))=$B$5,INDEX(NKC!$H$7:$H$3006,$J214),""))</f>
        <v/>
      </c>
      <c r="G214" s="125">
        <f>IF($J214="","",IF(LEFT(INDEX(NKC!$G$7:$G$3006,$J214),LEN($B$5))=$B$5,INDEX(NKC!$H$7:$H$3006,$J214),""))</f>
        <v/>
      </c>
      <c r="H214" s="132">
        <f>IF($J214="","",H213+N(F214)-N(G214))</f>
        <v/>
      </c>
      <c r="J214" s="117">
        <f>IFERROR(MATCH(207,NKC!$P$7:$P$3006,0),"")</f>
        <v/>
      </c>
    </row>
    <row r="215" ht="15" customHeight="1" s="78">
      <c r="A215" s="131">
        <f>IF($J215="","",INDEX(NKC!$B$7:$B$3006,$J215))</f>
        <v/>
      </c>
      <c r="B215" s="95">
        <f>IF($J215="","",INDEX(NKC!$C$7:$C$3006,$J215))</f>
        <v/>
      </c>
      <c r="C215" s="131">
        <f>IF($J215="","",INDEX(NKC!$D$7:$D$3006,$J215))</f>
        <v/>
      </c>
      <c r="D215" s="97">
        <f>IF($J215="","",INDEX(NKC!$E$7:$E$3006,$J215))</f>
        <v/>
      </c>
      <c r="E215" s="95">
        <f>IF($J215="","",IF(LEFT(INDEX(NKC!$F$7:$F$3006,$J215),LEN($B$5))=$B$5,INDEX(NKC!$G$7:$G$3006,$J215),INDEX(NKC!$F$7:$F$3006,$J215)))</f>
        <v/>
      </c>
      <c r="F215" s="125">
        <f>IF($J215="","",IF(LEFT(INDEX(NKC!$F$7:$F$3006,$J215),LEN($B$5))=$B$5,INDEX(NKC!$H$7:$H$3006,$J215),""))</f>
        <v/>
      </c>
      <c r="G215" s="125">
        <f>IF($J215="","",IF(LEFT(INDEX(NKC!$G$7:$G$3006,$J215),LEN($B$5))=$B$5,INDEX(NKC!$H$7:$H$3006,$J215),""))</f>
        <v/>
      </c>
      <c r="H215" s="132">
        <f>IF($J215="","",H214+N(F215)-N(G215))</f>
        <v/>
      </c>
      <c r="J215" s="117">
        <f>IFERROR(MATCH(208,NKC!$P$7:$P$3006,0),"")</f>
        <v/>
      </c>
    </row>
    <row r="216" ht="15" customHeight="1" s="78">
      <c r="A216" s="131">
        <f>IF($J216="","",INDEX(NKC!$B$7:$B$3006,$J216))</f>
        <v/>
      </c>
      <c r="B216" s="95">
        <f>IF($J216="","",INDEX(NKC!$C$7:$C$3006,$J216))</f>
        <v/>
      </c>
      <c r="C216" s="131">
        <f>IF($J216="","",INDEX(NKC!$D$7:$D$3006,$J216))</f>
        <v/>
      </c>
      <c r="D216" s="97">
        <f>IF($J216="","",INDEX(NKC!$E$7:$E$3006,$J216))</f>
        <v/>
      </c>
      <c r="E216" s="95">
        <f>IF($J216="","",IF(LEFT(INDEX(NKC!$F$7:$F$3006,$J216),LEN($B$5))=$B$5,INDEX(NKC!$G$7:$G$3006,$J216),INDEX(NKC!$F$7:$F$3006,$J216)))</f>
        <v/>
      </c>
      <c r="F216" s="125">
        <f>IF($J216="","",IF(LEFT(INDEX(NKC!$F$7:$F$3006,$J216),LEN($B$5))=$B$5,INDEX(NKC!$H$7:$H$3006,$J216),""))</f>
        <v/>
      </c>
      <c r="G216" s="125">
        <f>IF($J216="","",IF(LEFT(INDEX(NKC!$G$7:$G$3006,$J216),LEN($B$5))=$B$5,INDEX(NKC!$H$7:$H$3006,$J216),""))</f>
        <v/>
      </c>
      <c r="H216" s="132">
        <f>IF($J216="","",H215+N(F216)-N(G216))</f>
        <v/>
      </c>
      <c r="J216" s="117">
        <f>IFERROR(MATCH(209,NKC!$P$7:$P$3006,0),"")</f>
        <v/>
      </c>
    </row>
    <row r="217" ht="15" customHeight="1" s="78">
      <c r="A217" s="131">
        <f>IF($J217="","",INDEX(NKC!$B$7:$B$3006,$J217))</f>
        <v/>
      </c>
      <c r="B217" s="95">
        <f>IF($J217="","",INDEX(NKC!$C$7:$C$3006,$J217))</f>
        <v/>
      </c>
      <c r="C217" s="131">
        <f>IF($J217="","",INDEX(NKC!$D$7:$D$3006,$J217))</f>
        <v/>
      </c>
      <c r="D217" s="97">
        <f>IF($J217="","",INDEX(NKC!$E$7:$E$3006,$J217))</f>
        <v/>
      </c>
      <c r="E217" s="95">
        <f>IF($J217="","",IF(LEFT(INDEX(NKC!$F$7:$F$3006,$J217),LEN($B$5))=$B$5,INDEX(NKC!$G$7:$G$3006,$J217),INDEX(NKC!$F$7:$F$3006,$J217)))</f>
        <v/>
      </c>
      <c r="F217" s="125">
        <f>IF($J217="","",IF(LEFT(INDEX(NKC!$F$7:$F$3006,$J217),LEN($B$5))=$B$5,INDEX(NKC!$H$7:$H$3006,$J217),""))</f>
        <v/>
      </c>
      <c r="G217" s="125">
        <f>IF($J217="","",IF(LEFT(INDEX(NKC!$G$7:$G$3006,$J217),LEN($B$5))=$B$5,INDEX(NKC!$H$7:$H$3006,$J217),""))</f>
        <v/>
      </c>
      <c r="H217" s="132">
        <f>IF($J217="","",H216+N(F217)-N(G217))</f>
        <v/>
      </c>
      <c r="J217" s="117">
        <f>IFERROR(MATCH(210,NKC!$P$7:$P$3006,0),"")</f>
        <v/>
      </c>
    </row>
    <row r="218" ht="15" customHeight="1" s="78">
      <c r="A218" s="131">
        <f>IF($J218="","",INDEX(NKC!$B$7:$B$3006,$J218))</f>
        <v/>
      </c>
      <c r="B218" s="95">
        <f>IF($J218="","",INDEX(NKC!$C$7:$C$3006,$J218))</f>
        <v/>
      </c>
      <c r="C218" s="131">
        <f>IF($J218="","",INDEX(NKC!$D$7:$D$3006,$J218))</f>
        <v/>
      </c>
      <c r="D218" s="97">
        <f>IF($J218="","",INDEX(NKC!$E$7:$E$3006,$J218))</f>
        <v/>
      </c>
      <c r="E218" s="95">
        <f>IF($J218="","",IF(LEFT(INDEX(NKC!$F$7:$F$3006,$J218),LEN($B$5))=$B$5,INDEX(NKC!$G$7:$G$3006,$J218),INDEX(NKC!$F$7:$F$3006,$J218)))</f>
        <v/>
      </c>
      <c r="F218" s="125">
        <f>IF($J218="","",IF(LEFT(INDEX(NKC!$F$7:$F$3006,$J218),LEN($B$5))=$B$5,INDEX(NKC!$H$7:$H$3006,$J218),""))</f>
        <v/>
      </c>
      <c r="G218" s="125">
        <f>IF($J218="","",IF(LEFT(INDEX(NKC!$G$7:$G$3006,$J218),LEN($B$5))=$B$5,INDEX(NKC!$H$7:$H$3006,$J218),""))</f>
        <v/>
      </c>
      <c r="H218" s="132">
        <f>IF($J218="","",H217+N(F218)-N(G218))</f>
        <v/>
      </c>
      <c r="J218" s="117">
        <f>IFERROR(MATCH(211,NKC!$P$7:$P$3006,0),"")</f>
        <v/>
      </c>
    </row>
    <row r="219" ht="15" customHeight="1" s="78">
      <c r="A219" s="131">
        <f>IF($J219="","",INDEX(NKC!$B$7:$B$3006,$J219))</f>
        <v/>
      </c>
      <c r="B219" s="95">
        <f>IF($J219="","",INDEX(NKC!$C$7:$C$3006,$J219))</f>
        <v/>
      </c>
      <c r="C219" s="131">
        <f>IF($J219="","",INDEX(NKC!$D$7:$D$3006,$J219))</f>
        <v/>
      </c>
      <c r="D219" s="97">
        <f>IF($J219="","",INDEX(NKC!$E$7:$E$3006,$J219))</f>
        <v/>
      </c>
      <c r="E219" s="95">
        <f>IF($J219="","",IF(LEFT(INDEX(NKC!$F$7:$F$3006,$J219),LEN($B$5))=$B$5,INDEX(NKC!$G$7:$G$3006,$J219),INDEX(NKC!$F$7:$F$3006,$J219)))</f>
        <v/>
      </c>
      <c r="F219" s="125">
        <f>IF($J219="","",IF(LEFT(INDEX(NKC!$F$7:$F$3006,$J219),LEN($B$5))=$B$5,INDEX(NKC!$H$7:$H$3006,$J219),""))</f>
        <v/>
      </c>
      <c r="G219" s="125">
        <f>IF($J219="","",IF(LEFT(INDEX(NKC!$G$7:$G$3006,$J219),LEN($B$5))=$B$5,INDEX(NKC!$H$7:$H$3006,$J219),""))</f>
        <v/>
      </c>
      <c r="H219" s="132">
        <f>IF($J219="","",H218+N(F219)-N(G219))</f>
        <v/>
      </c>
      <c r="J219" s="117">
        <f>IFERROR(MATCH(212,NKC!$P$7:$P$3006,0),"")</f>
        <v/>
      </c>
    </row>
    <row r="220" ht="15" customHeight="1" s="78">
      <c r="A220" s="131">
        <f>IF($J220="","",INDEX(NKC!$B$7:$B$3006,$J220))</f>
        <v/>
      </c>
      <c r="B220" s="95">
        <f>IF($J220="","",INDEX(NKC!$C$7:$C$3006,$J220))</f>
        <v/>
      </c>
      <c r="C220" s="131">
        <f>IF($J220="","",INDEX(NKC!$D$7:$D$3006,$J220))</f>
        <v/>
      </c>
      <c r="D220" s="97">
        <f>IF($J220="","",INDEX(NKC!$E$7:$E$3006,$J220))</f>
        <v/>
      </c>
      <c r="E220" s="95">
        <f>IF($J220="","",IF(LEFT(INDEX(NKC!$F$7:$F$3006,$J220),LEN($B$5))=$B$5,INDEX(NKC!$G$7:$G$3006,$J220),INDEX(NKC!$F$7:$F$3006,$J220)))</f>
        <v/>
      </c>
      <c r="F220" s="125">
        <f>IF($J220="","",IF(LEFT(INDEX(NKC!$F$7:$F$3006,$J220),LEN($B$5))=$B$5,INDEX(NKC!$H$7:$H$3006,$J220),""))</f>
        <v/>
      </c>
      <c r="G220" s="125">
        <f>IF($J220="","",IF(LEFT(INDEX(NKC!$G$7:$G$3006,$J220),LEN($B$5))=$B$5,INDEX(NKC!$H$7:$H$3006,$J220),""))</f>
        <v/>
      </c>
      <c r="H220" s="132">
        <f>IF($J220="","",H219+N(F220)-N(G220))</f>
        <v/>
      </c>
      <c r="J220" s="117">
        <f>IFERROR(MATCH(213,NKC!$P$7:$P$3006,0),"")</f>
        <v/>
      </c>
    </row>
    <row r="221" ht="15" customHeight="1" s="78">
      <c r="A221" s="131">
        <f>IF($J221="","",INDEX(NKC!$B$7:$B$3006,$J221))</f>
        <v/>
      </c>
      <c r="B221" s="95">
        <f>IF($J221="","",INDEX(NKC!$C$7:$C$3006,$J221))</f>
        <v/>
      </c>
      <c r="C221" s="131">
        <f>IF($J221="","",INDEX(NKC!$D$7:$D$3006,$J221))</f>
        <v/>
      </c>
      <c r="D221" s="97">
        <f>IF($J221="","",INDEX(NKC!$E$7:$E$3006,$J221))</f>
        <v/>
      </c>
      <c r="E221" s="95">
        <f>IF($J221="","",IF(LEFT(INDEX(NKC!$F$7:$F$3006,$J221),LEN($B$5))=$B$5,INDEX(NKC!$G$7:$G$3006,$J221),INDEX(NKC!$F$7:$F$3006,$J221)))</f>
        <v/>
      </c>
      <c r="F221" s="125">
        <f>IF($J221="","",IF(LEFT(INDEX(NKC!$F$7:$F$3006,$J221),LEN($B$5))=$B$5,INDEX(NKC!$H$7:$H$3006,$J221),""))</f>
        <v/>
      </c>
      <c r="G221" s="125">
        <f>IF($J221="","",IF(LEFT(INDEX(NKC!$G$7:$G$3006,$J221),LEN($B$5))=$B$5,INDEX(NKC!$H$7:$H$3006,$J221),""))</f>
        <v/>
      </c>
      <c r="H221" s="132">
        <f>IF($J221="","",H220+N(F221)-N(G221))</f>
        <v/>
      </c>
      <c r="J221" s="117">
        <f>IFERROR(MATCH(214,NKC!$P$7:$P$3006,0),"")</f>
        <v/>
      </c>
    </row>
    <row r="222" ht="15" customHeight="1" s="78">
      <c r="A222" s="131">
        <f>IF($J222="","",INDEX(NKC!$B$7:$B$3006,$J222))</f>
        <v/>
      </c>
      <c r="B222" s="95">
        <f>IF($J222="","",INDEX(NKC!$C$7:$C$3006,$J222))</f>
        <v/>
      </c>
      <c r="C222" s="131">
        <f>IF($J222="","",INDEX(NKC!$D$7:$D$3006,$J222))</f>
        <v/>
      </c>
      <c r="D222" s="97">
        <f>IF($J222="","",INDEX(NKC!$E$7:$E$3006,$J222))</f>
        <v/>
      </c>
      <c r="E222" s="95">
        <f>IF($J222="","",IF(LEFT(INDEX(NKC!$F$7:$F$3006,$J222),LEN($B$5))=$B$5,INDEX(NKC!$G$7:$G$3006,$J222),INDEX(NKC!$F$7:$F$3006,$J222)))</f>
        <v/>
      </c>
      <c r="F222" s="125">
        <f>IF($J222="","",IF(LEFT(INDEX(NKC!$F$7:$F$3006,$J222),LEN($B$5))=$B$5,INDEX(NKC!$H$7:$H$3006,$J222),""))</f>
        <v/>
      </c>
      <c r="G222" s="125">
        <f>IF($J222="","",IF(LEFT(INDEX(NKC!$G$7:$G$3006,$J222),LEN($B$5))=$B$5,INDEX(NKC!$H$7:$H$3006,$J222),""))</f>
        <v/>
      </c>
      <c r="H222" s="132">
        <f>IF($J222="","",H221+N(F222)-N(G222))</f>
        <v/>
      </c>
      <c r="J222" s="117">
        <f>IFERROR(MATCH(215,NKC!$P$7:$P$3006,0),"")</f>
        <v/>
      </c>
    </row>
    <row r="223" ht="15" customHeight="1" s="78">
      <c r="A223" s="131">
        <f>IF($J223="","",INDEX(NKC!$B$7:$B$3006,$J223))</f>
        <v/>
      </c>
      <c r="B223" s="95">
        <f>IF($J223="","",INDEX(NKC!$C$7:$C$3006,$J223))</f>
        <v/>
      </c>
      <c r="C223" s="131">
        <f>IF($J223="","",INDEX(NKC!$D$7:$D$3006,$J223))</f>
        <v/>
      </c>
      <c r="D223" s="97">
        <f>IF($J223="","",INDEX(NKC!$E$7:$E$3006,$J223))</f>
        <v/>
      </c>
      <c r="E223" s="95">
        <f>IF($J223="","",IF(LEFT(INDEX(NKC!$F$7:$F$3006,$J223),LEN($B$5))=$B$5,INDEX(NKC!$G$7:$G$3006,$J223),INDEX(NKC!$F$7:$F$3006,$J223)))</f>
        <v/>
      </c>
      <c r="F223" s="125">
        <f>IF($J223="","",IF(LEFT(INDEX(NKC!$F$7:$F$3006,$J223),LEN($B$5))=$B$5,INDEX(NKC!$H$7:$H$3006,$J223),""))</f>
        <v/>
      </c>
      <c r="G223" s="125">
        <f>IF($J223="","",IF(LEFT(INDEX(NKC!$G$7:$G$3006,$J223),LEN($B$5))=$B$5,INDEX(NKC!$H$7:$H$3006,$J223),""))</f>
        <v/>
      </c>
      <c r="H223" s="132">
        <f>IF($J223="","",H222+N(F223)-N(G223))</f>
        <v/>
      </c>
      <c r="J223" s="117">
        <f>IFERROR(MATCH(216,NKC!$P$7:$P$3006,0),"")</f>
        <v/>
      </c>
    </row>
    <row r="224" ht="15" customHeight="1" s="78">
      <c r="A224" s="131">
        <f>IF($J224="","",INDEX(NKC!$B$7:$B$3006,$J224))</f>
        <v/>
      </c>
      <c r="B224" s="95">
        <f>IF($J224="","",INDEX(NKC!$C$7:$C$3006,$J224))</f>
        <v/>
      </c>
      <c r="C224" s="131">
        <f>IF($J224="","",INDEX(NKC!$D$7:$D$3006,$J224))</f>
        <v/>
      </c>
      <c r="D224" s="97">
        <f>IF($J224="","",INDEX(NKC!$E$7:$E$3006,$J224))</f>
        <v/>
      </c>
      <c r="E224" s="95">
        <f>IF($J224="","",IF(LEFT(INDEX(NKC!$F$7:$F$3006,$J224),LEN($B$5))=$B$5,INDEX(NKC!$G$7:$G$3006,$J224),INDEX(NKC!$F$7:$F$3006,$J224)))</f>
        <v/>
      </c>
      <c r="F224" s="125">
        <f>IF($J224="","",IF(LEFT(INDEX(NKC!$F$7:$F$3006,$J224),LEN($B$5))=$B$5,INDEX(NKC!$H$7:$H$3006,$J224),""))</f>
        <v/>
      </c>
      <c r="G224" s="125">
        <f>IF($J224="","",IF(LEFT(INDEX(NKC!$G$7:$G$3006,$J224),LEN($B$5))=$B$5,INDEX(NKC!$H$7:$H$3006,$J224),""))</f>
        <v/>
      </c>
      <c r="H224" s="132">
        <f>IF($J224="","",H223+N(F224)-N(G224))</f>
        <v/>
      </c>
      <c r="J224" s="117">
        <f>IFERROR(MATCH(217,NKC!$P$7:$P$3006,0),"")</f>
        <v/>
      </c>
    </row>
    <row r="225" ht="15" customHeight="1" s="78">
      <c r="A225" s="131">
        <f>IF($J225="","",INDEX(NKC!$B$7:$B$3006,$J225))</f>
        <v/>
      </c>
      <c r="B225" s="95">
        <f>IF($J225="","",INDEX(NKC!$C$7:$C$3006,$J225))</f>
        <v/>
      </c>
      <c r="C225" s="131">
        <f>IF($J225="","",INDEX(NKC!$D$7:$D$3006,$J225))</f>
        <v/>
      </c>
      <c r="D225" s="97">
        <f>IF($J225="","",INDEX(NKC!$E$7:$E$3006,$J225))</f>
        <v/>
      </c>
      <c r="E225" s="95">
        <f>IF($J225="","",IF(LEFT(INDEX(NKC!$F$7:$F$3006,$J225),LEN($B$5))=$B$5,INDEX(NKC!$G$7:$G$3006,$J225),INDEX(NKC!$F$7:$F$3006,$J225)))</f>
        <v/>
      </c>
      <c r="F225" s="125">
        <f>IF($J225="","",IF(LEFT(INDEX(NKC!$F$7:$F$3006,$J225),LEN($B$5))=$B$5,INDEX(NKC!$H$7:$H$3006,$J225),""))</f>
        <v/>
      </c>
      <c r="G225" s="125">
        <f>IF($J225="","",IF(LEFT(INDEX(NKC!$G$7:$G$3006,$J225),LEN($B$5))=$B$5,INDEX(NKC!$H$7:$H$3006,$J225),""))</f>
        <v/>
      </c>
      <c r="H225" s="132">
        <f>IF($J225="","",H224+N(F225)-N(G225))</f>
        <v/>
      </c>
      <c r="J225" s="117">
        <f>IFERROR(MATCH(218,NKC!$P$7:$P$3006,0),"")</f>
        <v/>
      </c>
    </row>
    <row r="226" ht="15" customHeight="1" s="78">
      <c r="A226" s="131">
        <f>IF($J226="","",INDEX(NKC!$B$7:$B$3006,$J226))</f>
        <v/>
      </c>
      <c r="B226" s="95">
        <f>IF($J226="","",INDEX(NKC!$C$7:$C$3006,$J226))</f>
        <v/>
      </c>
      <c r="C226" s="131">
        <f>IF($J226="","",INDEX(NKC!$D$7:$D$3006,$J226))</f>
        <v/>
      </c>
      <c r="D226" s="97">
        <f>IF($J226="","",INDEX(NKC!$E$7:$E$3006,$J226))</f>
        <v/>
      </c>
      <c r="E226" s="95">
        <f>IF($J226="","",IF(LEFT(INDEX(NKC!$F$7:$F$3006,$J226),LEN($B$5))=$B$5,INDEX(NKC!$G$7:$G$3006,$J226),INDEX(NKC!$F$7:$F$3006,$J226)))</f>
        <v/>
      </c>
      <c r="F226" s="125">
        <f>IF($J226="","",IF(LEFT(INDEX(NKC!$F$7:$F$3006,$J226),LEN($B$5))=$B$5,INDEX(NKC!$H$7:$H$3006,$J226),""))</f>
        <v/>
      </c>
      <c r="G226" s="125">
        <f>IF($J226="","",IF(LEFT(INDEX(NKC!$G$7:$G$3006,$J226),LEN($B$5))=$B$5,INDEX(NKC!$H$7:$H$3006,$J226),""))</f>
        <v/>
      </c>
      <c r="H226" s="132">
        <f>IF($J226="","",H225+N(F226)-N(G226))</f>
        <v/>
      </c>
      <c r="J226" s="117">
        <f>IFERROR(MATCH(219,NKC!$P$7:$P$3006,0),"")</f>
        <v/>
      </c>
    </row>
    <row r="227" ht="15" customHeight="1" s="78">
      <c r="A227" s="131">
        <f>IF($J227="","",INDEX(NKC!$B$7:$B$3006,$J227))</f>
        <v/>
      </c>
      <c r="B227" s="95">
        <f>IF($J227="","",INDEX(NKC!$C$7:$C$3006,$J227))</f>
        <v/>
      </c>
      <c r="C227" s="131">
        <f>IF($J227="","",INDEX(NKC!$D$7:$D$3006,$J227))</f>
        <v/>
      </c>
      <c r="D227" s="97">
        <f>IF($J227="","",INDEX(NKC!$E$7:$E$3006,$J227))</f>
        <v/>
      </c>
      <c r="E227" s="95">
        <f>IF($J227="","",IF(LEFT(INDEX(NKC!$F$7:$F$3006,$J227),LEN($B$5))=$B$5,INDEX(NKC!$G$7:$G$3006,$J227),INDEX(NKC!$F$7:$F$3006,$J227)))</f>
        <v/>
      </c>
      <c r="F227" s="125">
        <f>IF($J227="","",IF(LEFT(INDEX(NKC!$F$7:$F$3006,$J227),LEN($B$5))=$B$5,INDEX(NKC!$H$7:$H$3006,$J227),""))</f>
        <v/>
      </c>
      <c r="G227" s="125">
        <f>IF($J227="","",IF(LEFT(INDEX(NKC!$G$7:$G$3006,$J227),LEN($B$5))=$B$5,INDEX(NKC!$H$7:$H$3006,$J227),""))</f>
        <v/>
      </c>
      <c r="H227" s="132">
        <f>IF($J227="","",H226+N(F227)-N(G227))</f>
        <v/>
      </c>
      <c r="J227" s="117">
        <f>IFERROR(MATCH(220,NKC!$P$7:$P$3006,0),"")</f>
        <v/>
      </c>
    </row>
    <row r="228" ht="15" customHeight="1" s="78">
      <c r="A228" s="131">
        <f>IF($J228="","",INDEX(NKC!$B$7:$B$3006,$J228))</f>
        <v/>
      </c>
      <c r="B228" s="95">
        <f>IF($J228="","",INDEX(NKC!$C$7:$C$3006,$J228))</f>
        <v/>
      </c>
      <c r="C228" s="131">
        <f>IF($J228="","",INDEX(NKC!$D$7:$D$3006,$J228))</f>
        <v/>
      </c>
      <c r="D228" s="97">
        <f>IF($J228="","",INDEX(NKC!$E$7:$E$3006,$J228))</f>
        <v/>
      </c>
      <c r="E228" s="95">
        <f>IF($J228="","",IF(LEFT(INDEX(NKC!$F$7:$F$3006,$J228),LEN($B$5))=$B$5,INDEX(NKC!$G$7:$G$3006,$J228),INDEX(NKC!$F$7:$F$3006,$J228)))</f>
        <v/>
      </c>
      <c r="F228" s="125">
        <f>IF($J228="","",IF(LEFT(INDEX(NKC!$F$7:$F$3006,$J228),LEN($B$5))=$B$5,INDEX(NKC!$H$7:$H$3006,$J228),""))</f>
        <v/>
      </c>
      <c r="G228" s="125">
        <f>IF($J228="","",IF(LEFT(INDEX(NKC!$G$7:$G$3006,$J228),LEN($B$5))=$B$5,INDEX(NKC!$H$7:$H$3006,$J228),""))</f>
        <v/>
      </c>
      <c r="H228" s="132">
        <f>IF($J228="","",H227+N(F228)-N(G228))</f>
        <v/>
      </c>
      <c r="J228" s="117">
        <f>IFERROR(MATCH(221,NKC!$P$7:$P$3006,0),"")</f>
        <v/>
      </c>
    </row>
    <row r="229" ht="15" customHeight="1" s="78">
      <c r="A229" s="131">
        <f>IF($J229="","",INDEX(NKC!$B$7:$B$3006,$J229))</f>
        <v/>
      </c>
      <c r="B229" s="95">
        <f>IF($J229="","",INDEX(NKC!$C$7:$C$3006,$J229))</f>
        <v/>
      </c>
      <c r="C229" s="131">
        <f>IF($J229="","",INDEX(NKC!$D$7:$D$3006,$J229))</f>
        <v/>
      </c>
      <c r="D229" s="97">
        <f>IF($J229="","",INDEX(NKC!$E$7:$E$3006,$J229))</f>
        <v/>
      </c>
      <c r="E229" s="95">
        <f>IF($J229="","",IF(LEFT(INDEX(NKC!$F$7:$F$3006,$J229),LEN($B$5))=$B$5,INDEX(NKC!$G$7:$G$3006,$J229),INDEX(NKC!$F$7:$F$3006,$J229)))</f>
        <v/>
      </c>
      <c r="F229" s="125">
        <f>IF($J229="","",IF(LEFT(INDEX(NKC!$F$7:$F$3006,$J229),LEN($B$5))=$B$5,INDEX(NKC!$H$7:$H$3006,$J229),""))</f>
        <v/>
      </c>
      <c r="G229" s="125">
        <f>IF($J229="","",IF(LEFT(INDEX(NKC!$G$7:$G$3006,$J229),LEN($B$5))=$B$5,INDEX(NKC!$H$7:$H$3006,$J229),""))</f>
        <v/>
      </c>
      <c r="H229" s="132">
        <f>IF($J229="","",H228+N(F229)-N(G229))</f>
        <v/>
      </c>
      <c r="J229" s="117">
        <f>IFERROR(MATCH(222,NKC!$P$7:$P$3006,0),"")</f>
        <v/>
      </c>
    </row>
    <row r="230" ht="15" customHeight="1" s="78">
      <c r="A230" s="131">
        <f>IF($J230="","",INDEX(NKC!$B$7:$B$3006,$J230))</f>
        <v/>
      </c>
      <c r="B230" s="95">
        <f>IF($J230="","",INDEX(NKC!$C$7:$C$3006,$J230))</f>
        <v/>
      </c>
      <c r="C230" s="131">
        <f>IF($J230="","",INDEX(NKC!$D$7:$D$3006,$J230))</f>
        <v/>
      </c>
      <c r="D230" s="97">
        <f>IF($J230="","",INDEX(NKC!$E$7:$E$3006,$J230))</f>
        <v/>
      </c>
      <c r="E230" s="95">
        <f>IF($J230="","",IF(LEFT(INDEX(NKC!$F$7:$F$3006,$J230),LEN($B$5))=$B$5,INDEX(NKC!$G$7:$G$3006,$J230),INDEX(NKC!$F$7:$F$3006,$J230)))</f>
        <v/>
      </c>
      <c r="F230" s="125">
        <f>IF($J230="","",IF(LEFT(INDEX(NKC!$F$7:$F$3006,$J230),LEN($B$5))=$B$5,INDEX(NKC!$H$7:$H$3006,$J230),""))</f>
        <v/>
      </c>
      <c r="G230" s="125">
        <f>IF($J230="","",IF(LEFT(INDEX(NKC!$G$7:$G$3006,$J230),LEN($B$5))=$B$5,INDEX(NKC!$H$7:$H$3006,$J230),""))</f>
        <v/>
      </c>
      <c r="H230" s="132">
        <f>IF($J230="","",H229+N(F230)-N(G230))</f>
        <v/>
      </c>
      <c r="J230" s="117">
        <f>IFERROR(MATCH(223,NKC!$P$7:$P$3006,0),"")</f>
        <v/>
      </c>
    </row>
    <row r="231" ht="15" customHeight="1" s="78">
      <c r="A231" s="131">
        <f>IF($J231="","",INDEX(NKC!$B$7:$B$3006,$J231))</f>
        <v/>
      </c>
      <c r="B231" s="95">
        <f>IF($J231="","",INDEX(NKC!$C$7:$C$3006,$J231))</f>
        <v/>
      </c>
      <c r="C231" s="131">
        <f>IF($J231="","",INDEX(NKC!$D$7:$D$3006,$J231))</f>
        <v/>
      </c>
      <c r="D231" s="97">
        <f>IF($J231="","",INDEX(NKC!$E$7:$E$3006,$J231))</f>
        <v/>
      </c>
      <c r="E231" s="95">
        <f>IF($J231="","",IF(LEFT(INDEX(NKC!$F$7:$F$3006,$J231),LEN($B$5))=$B$5,INDEX(NKC!$G$7:$G$3006,$J231),INDEX(NKC!$F$7:$F$3006,$J231)))</f>
        <v/>
      </c>
      <c r="F231" s="125">
        <f>IF($J231="","",IF(LEFT(INDEX(NKC!$F$7:$F$3006,$J231),LEN($B$5))=$B$5,INDEX(NKC!$H$7:$H$3006,$J231),""))</f>
        <v/>
      </c>
      <c r="G231" s="125">
        <f>IF($J231="","",IF(LEFT(INDEX(NKC!$G$7:$G$3006,$J231),LEN($B$5))=$B$5,INDEX(NKC!$H$7:$H$3006,$J231),""))</f>
        <v/>
      </c>
      <c r="H231" s="132">
        <f>IF($J231="","",H230+N(F231)-N(G231))</f>
        <v/>
      </c>
      <c r="J231" s="117">
        <f>IFERROR(MATCH(224,NKC!$P$7:$P$3006,0),"")</f>
        <v/>
      </c>
    </row>
    <row r="232" ht="15" customHeight="1" s="78">
      <c r="A232" s="131">
        <f>IF($J232="","",INDEX(NKC!$B$7:$B$3006,$J232))</f>
        <v/>
      </c>
      <c r="B232" s="95">
        <f>IF($J232="","",INDEX(NKC!$C$7:$C$3006,$J232))</f>
        <v/>
      </c>
      <c r="C232" s="131">
        <f>IF($J232="","",INDEX(NKC!$D$7:$D$3006,$J232))</f>
        <v/>
      </c>
      <c r="D232" s="97">
        <f>IF($J232="","",INDEX(NKC!$E$7:$E$3006,$J232))</f>
        <v/>
      </c>
      <c r="E232" s="95">
        <f>IF($J232="","",IF(LEFT(INDEX(NKC!$F$7:$F$3006,$J232),LEN($B$5))=$B$5,INDEX(NKC!$G$7:$G$3006,$J232),INDEX(NKC!$F$7:$F$3006,$J232)))</f>
        <v/>
      </c>
      <c r="F232" s="125">
        <f>IF($J232="","",IF(LEFT(INDEX(NKC!$F$7:$F$3006,$J232),LEN($B$5))=$B$5,INDEX(NKC!$H$7:$H$3006,$J232),""))</f>
        <v/>
      </c>
      <c r="G232" s="125">
        <f>IF($J232="","",IF(LEFT(INDEX(NKC!$G$7:$G$3006,$J232),LEN($B$5))=$B$5,INDEX(NKC!$H$7:$H$3006,$J232),""))</f>
        <v/>
      </c>
      <c r="H232" s="132">
        <f>IF($J232="","",H231+N(F232)-N(G232))</f>
        <v/>
      </c>
      <c r="J232" s="117">
        <f>IFERROR(MATCH(225,NKC!$P$7:$P$3006,0),"")</f>
        <v/>
      </c>
    </row>
    <row r="233" ht="15" customHeight="1" s="78">
      <c r="A233" s="131">
        <f>IF($J233="","",INDEX(NKC!$B$7:$B$3006,$J233))</f>
        <v/>
      </c>
      <c r="B233" s="95">
        <f>IF($J233="","",INDEX(NKC!$C$7:$C$3006,$J233))</f>
        <v/>
      </c>
      <c r="C233" s="131">
        <f>IF($J233="","",INDEX(NKC!$D$7:$D$3006,$J233))</f>
        <v/>
      </c>
      <c r="D233" s="97">
        <f>IF($J233="","",INDEX(NKC!$E$7:$E$3006,$J233))</f>
        <v/>
      </c>
      <c r="E233" s="95">
        <f>IF($J233="","",IF(LEFT(INDEX(NKC!$F$7:$F$3006,$J233),LEN($B$5))=$B$5,INDEX(NKC!$G$7:$G$3006,$J233),INDEX(NKC!$F$7:$F$3006,$J233)))</f>
        <v/>
      </c>
      <c r="F233" s="125">
        <f>IF($J233="","",IF(LEFT(INDEX(NKC!$F$7:$F$3006,$J233),LEN($B$5))=$B$5,INDEX(NKC!$H$7:$H$3006,$J233),""))</f>
        <v/>
      </c>
      <c r="G233" s="125">
        <f>IF($J233="","",IF(LEFT(INDEX(NKC!$G$7:$G$3006,$J233),LEN($B$5))=$B$5,INDEX(NKC!$H$7:$H$3006,$J233),""))</f>
        <v/>
      </c>
      <c r="H233" s="132">
        <f>IF($J233="","",H232+N(F233)-N(G233))</f>
        <v/>
      </c>
      <c r="J233" s="117">
        <f>IFERROR(MATCH(226,NKC!$P$7:$P$3006,0),"")</f>
        <v/>
      </c>
    </row>
    <row r="234" ht="15" customHeight="1" s="78">
      <c r="A234" s="131">
        <f>IF($J234="","",INDEX(NKC!$B$7:$B$3006,$J234))</f>
        <v/>
      </c>
      <c r="B234" s="95">
        <f>IF($J234="","",INDEX(NKC!$C$7:$C$3006,$J234))</f>
        <v/>
      </c>
      <c r="C234" s="131">
        <f>IF($J234="","",INDEX(NKC!$D$7:$D$3006,$J234))</f>
        <v/>
      </c>
      <c r="D234" s="97">
        <f>IF($J234="","",INDEX(NKC!$E$7:$E$3006,$J234))</f>
        <v/>
      </c>
      <c r="E234" s="95">
        <f>IF($J234="","",IF(LEFT(INDEX(NKC!$F$7:$F$3006,$J234),LEN($B$5))=$B$5,INDEX(NKC!$G$7:$G$3006,$J234),INDEX(NKC!$F$7:$F$3006,$J234)))</f>
        <v/>
      </c>
      <c r="F234" s="125">
        <f>IF($J234="","",IF(LEFT(INDEX(NKC!$F$7:$F$3006,$J234),LEN($B$5))=$B$5,INDEX(NKC!$H$7:$H$3006,$J234),""))</f>
        <v/>
      </c>
      <c r="G234" s="125">
        <f>IF($J234="","",IF(LEFT(INDEX(NKC!$G$7:$G$3006,$J234),LEN($B$5))=$B$5,INDEX(NKC!$H$7:$H$3006,$J234),""))</f>
        <v/>
      </c>
      <c r="H234" s="132">
        <f>IF($J234="","",H233+N(F234)-N(G234))</f>
        <v/>
      </c>
      <c r="J234" s="117">
        <f>IFERROR(MATCH(227,NKC!$P$7:$P$3006,0),"")</f>
        <v/>
      </c>
    </row>
    <row r="235" ht="15" customHeight="1" s="78">
      <c r="A235" s="131">
        <f>IF($J235="","",INDEX(NKC!$B$7:$B$3006,$J235))</f>
        <v/>
      </c>
      <c r="B235" s="95">
        <f>IF($J235="","",INDEX(NKC!$C$7:$C$3006,$J235))</f>
        <v/>
      </c>
      <c r="C235" s="131">
        <f>IF($J235="","",INDEX(NKC!$D$7:$D$3006,$J235))</f>
        <v/>
      </c>
      <c r="D235" s="97">
        <f>IF($J235="","",INDEX(NKC!$E$7:$E$3006,$J235))</f>
        <v/>
      </c>
      <c r="E235" s="95">
        <f>IF($J235="","",IF(LEFT(INDEX(NKC!$F$7:$F$3006,$J235),LEN($B$5))=$B$5,INDEX(NKC!$G$7:$G$3006,$J235),INDEX(NKC!$F$7:$F$3006,$J235)))</f>
        <v/>
      </c>
      <c r="F235" s="125">
        <f>IF($J235="","",IF(LEFT(INDEX(NKC!$F$7:$F$3006,$J235),LEN($B$5))=$B$5,INDEX(NKC!$H$7:$H$3006,$J235),""))</f>
        <v/>
      </c>
      <c r="G235" s="125">
        <f>IF($J235="","",IF(LEFT(INDEX(NKC!$G$7:$G$3006,$J235),LEN($B$5))=$B$5,INDEX(NKC!$H$7:$H$3006,$J235),""))</f>
        <v/>
      </c>
      <c r="H235" s="132">
        <f>IF($J235="","",H234+N(F235)-N(G235))</f>
        <v/>
      </c>
      <c r="J235" s="117">
        <f>IFERROR(MATCH(228,NKC!$P$7:$P$3006,0),"")</f>
        <v/>
      </c>
    </row>
    <row r="236" ht="15" customHeight="1" s="78">
      <c r="A236" s="131">
        <f>IF($J236="","",INDEX(NKC!$B$7:$B$3006,$J236))</f>
        <v/>
      </c>
      <c r="B236" s="95">
        <f>IF($J236="","",INDEX(NKC!$C$7:$C$3006,$J236))</f>
        <v/>
      </c>
      <c r="C236" s="131">
        <f>IF($J236="","",INDEX(NKC!$D$7:$D$3006,$J236))</f>
        <v/>
      </c>
      <c r="D236" s="97">
        <f>IF($J236="","",INDEX(NKC!$E$7:$E$3006,$J236))</f>
        <v/>
      </c>
      <c r="E236" s="95">
        <f>IF($J236="","",IF(LEFT(INDEX(NKC!$F$7:$F$3006,$J236),LEN($B$5))=$B$5,INDEX(NKC!$G$7:$G$3006,$J236),INDEX(NKC!$F$7:$F$3006,$J236)))</f>
        <v/>
      </c>
      <c r="F236" s="125">
        <f>IF($J236="","",IF(LEFT(INDEX(NKC!$F$7:$F$3006,$J236),LEN($B$5))=$B$5,INDEX(NKC!$H$7:$H$3006,$J236),""))</f>
        <v/>
      </c>
      <c r="G236" s="125">
        <f>IF($J236="","",IF(LEFT(INDEX(NKC!$G$7:$G$3006,$J236),LEN($B$5))=$B$5,INDEX(NKC!$H$7:$H$3006,$J236),""))</f>
        <v/>
      </c>
      <c r="H236" s="132">
        <f>IF($J236="","",H235+N(F236)-N(G236))</f>
        <v/>
      </c>
      <c r="J236" s="117">
        <f>IFERROR(MATCH(229,NKC!$P$7:$P$3006,0),"")</f>
        <v/>
      </c>
    </row>
    <row r="237" ht="15" customHeight="1" s="78">
      <c r="A237" s="131">
        <f>IF($J237="","",INDEX(NKC!$B$7:$B$3006,$J237))</f>
        <v/>
      </c>
      <c r="B237" s="95">
        <f>IF($J237="","",INDEX(NKC!$C$7:$C$3006,$J237))</f>
        <v/>
      </c>
      <c r="C237" s="131">
        <f>IF($J237="","",INDEX(NKC!$D$7:$D$3006,$J237))</f>
        <v/>
      </c>
      <c r="D237" s="97">
        <f>IF($J237="","",INDEX(NKC!$E$7:$E$3006,$J237))</f>
        <v/>
      </c>
      <c r="E237" s="95">
        <f>IF($J237="","",IF(LEFT(INDEX(NKC!$F$7:$F$3006,$J237),LEN($B$5))=$B$5,INDEX(NKC!$G$7:$G$3006,$J237),INDEX(NKC!$F$7:$F$3006,$J237)))</f>
        <v/>
      </c>
      <c r="F237" s="125">
        <f>IF($J237="","",IF(LEFT(INDEX(NKC!$F$7:$F$3006,$J237),LEN($B$5))=$B$5,INDEX(NKC!$H$7:$H$3006,$J237),""))</f>
        <v/>
      </c>
      <c r="G237" s="125">
        <f>IF($J237="","",IF(LEFT(INDEX(NKC!$G$7:$G$3006,$J237),LEN($B$5))=$B$5,INDEX(NKC!$H$7:$H$3006,$J237),""))</f>
        <v/>
      </c>
      <c r="H237" s="132">
        <f>IF($J237="","",H236+N(F237)-N(G237))</f>
        <v/>
      </c>
      <c r="J237" s="117">
        <f>IFERROR(MATCH(230,NKC!$P$7:$P$3006,0),"")</f>
        <v/>
      </c>
    </row>
    <row r="238" ht="15" customHeight="1" s="78">
      <c r="A238" s="131">
        <f>IF($J238="","",INDEX(NKC!$B$7:$B$3006,$J238))</f>
        <v/>
      </c>
      <c r="B238" s="95">
        <f>IF($J238="","",INDEX(NKC!$C$7:$C$3006,$J238))</f>
        <v/>
      </c>
      <c r="C238" s="131">
        <f>IF($J238="","",INDEX(NKC!$D$7:$D$3006,$J238))</f>
        <v/>
      </c>
      <c r="D238" s="97">
        <f>IF($J238="","",INDEX(NKC!$E$7:$E$3006,$J238))</f>
        <v/>
      </c>
      <c r="E238" s="95">
        <f>IF($J238="","",IF(LEFT(INDEX(NKC!$F$7:$F$3006,$J238),LEN($B$5))=$B$5,INDEX(NKC!$G$7:$G$3006,$J238),INDEX(NKC!$F$7:$F$3006,$J238)))</f>
        <v/>
      </c>
      <c r="F238" s="125">
        <f>IF($J238="","",IF(LEFT(INDEX(NKC!$F$7:$F$3006,$J238),LEN($B$5))=$B$5,INDEX(NKC!$H$7:$H$3006,$J238),""))</f>
        <v/>
      </c>
      <c r="G238" s="125">
        <f>IF($J238="","",IF(LEFT(INDEX(NKC!$G$7:$G$3006,$J238),LEN($B$5))=$B$5,INDEX(NKC!$H$7:$H$3006,$J238),""))</f>
        <v/>
      </c>
      <c r="H238" s="132">
        <f>IF($J238="","",H237+N(F238)-N(G238))</f>
        <v/>
      </c>
      <c r="J238" s="117">
        <f>IFERROR(MATCH(231,NKC!$P$7:$P$3006,0),"")</f>
        <v/>
      </c>
    </row>
    <row r="239" ht="15" customHeight="1" s="78">
      <c r="A239" s="131">
        <f>IF($J239="","",INDEX(NKC!$B$7:$B$3006,$J239))</f>
        <v/>
      </c>
      <c r="B239" s="95">
        <f>IF($J239="","",INDEX(NKC!$C$7:$C$3006,$J239))</f>
        <v/>
      </c>
      <c r="C239" s="131">
        <f>IF($J239="","",INDEX(NKC!$D$7:$D$3006,$J239))</f>
        <v/>
      </c>
      <c r="D239" s="97">
        <f>IF($J239="","",INDEX(NKC!$E$7:$E$3006,$J239))</f>
        <v/>
      </c>
      <c r="E239" s="95">
        <f>IF($J239="","",IF(LEFT(INDEX(NKC!$F$7:$F$3006,$J239),LEN($B$5))=$B$5,INDEX(NKC!$G$7:$G$3006,$J239),INDEX(NKC!$F$7:$F$3006,$J239)))</f>
        <v/>
      </c>
      <c r="F239" s="125">
        <f>IF($J239="","",IF(LEFT(INDEX(NKC!$F$7:$F$3006,$J239),LEN($B$5))=$B$5,INDEX(NKC!$H$7:$H$3006,$J239),""))</f>
        <v/>
      </c>
      <c r="G239" s="125">
        <f>IF($J239="","",IF(LEFT(INDEX(NKC!$G$7:$G$3006,$J239),LEN($B$5))=$B$5,INDEX(NKC!$H$7:$H$3006,$J239),""))</f>
        <v/>
      </c>
      <c r="H239" s="132">
        <f>IF($J239="","",H238+N(F239)-N(G239))</f>
        <v/>
      </c>
      <c r="J239" s="117">
        <f>IFERROR(MATCH(232,NKC!$P$7:$P$3006,0),"")</f>
        <v/>
      </c>
    </row>
    <row r="240" ht="15" customHeight="1" s="78">
      <c r="A240" s="131">
        <f>IF($J240="","",INDEX(NKC!$B$7:$B$3006,$J240))</f>
        <v/>
      </c>
      <c r="B240" s="95">
        <f>IF($J240="","",INDEX(NKC!$C$7:$C$3006,$J240))</f>
        <v/>
      </c>
      <c r="C240" s="131">
        <f>IF($J240="","",INDEX(NKC!$D$7:$D$3006,$J240))</f>
        <v/>
      </c>
      <c r="D240" s="97">
        <f>IF($J240="","",INDEX(NKC!$E$7:$E$3006,$J240))</f>
        <v/>
      </c>
      <c r="E240" s="95">
        <f>IF($J240="","",IF(LEFT(INDEX(NKC!$F$7:$F$3006,$J240),LEN($B$5))=$B$5,INDEX(NKC!$G$7:$G$3006,$J240),INDEX(NKC!$F$7:$F$3006,$J240)))</f>
        <v/>
      </c>
      <c r="F240" s="125">
        <f>IF($J240="","",IF(LEFT(INDEX(NKC!$F$7:$F$3006,$J240),LEN($B$5))=$B$5,INDEX(NKC!$H$7:$H$3006,$J240),""))</f>
        <v/>
      </c>
      <c r="G240" s="125">
        <f>IF($J240="","",IF(LEFT(INDEX(NKC!$G$7:$G$3006,$J240),LEN($B$5))=$B$5,INDEX(NKC!$H$7:$H$3006,$J240),""))</f>
        <v/>
      </c>
      <c r="H240" s="132">
        <f>IF($J240="","",H239+N(F240)-N(G240))</f>
        <v/>
      </c>
      <c r="J240" s="117">
        <f>IFERROR(MATCH(233,NKC!$P$7:$P$3006,0),"")</f>
        <v/>
      </c>
    </row>
    <row r="241" ht="15" customHeight="1" s="78">
      <c r="A241" s="131">
        <f>IF($J241="","",INDEX(NKC!$B$7:$B$3006,$J241))</f>
        <v/>
      </c>
      <c r="B241" s="95">
        <f>IF($J241="","",INDEX(NKC!$C$7:$C$3006,$J241))</f>
        <v/>
      </c>
      <c r="C241" s="131">
        <f>IF($J241="","",INDEX(NKC!$D$7:$D$3006,$J241))</f>
        <v/>
      </c>
      <c r="D241" s="97">
        <f>IF($J241="","",INDEX(NKC!$E$7:$E$3006,$J241))</f>
        <v/>
      </c>
      <c r="E241" s="95">
        <f>IF($J241="","",IF(LEFT(INDEX(NKC!$F$7:$F$3006,$J241),LEN($B$5))=$B$5,INDEX(NKC!$G$7:$G$3006,$J241),INDEX(NKC!$F$7:$F$3006,$J241)))</f>
        <v/>
      </c>
      <c r="F241" s="125">
        <f>IF($J241="","",IF(LEFT(INDEX(NKC!$F$7:$F$3006,$J241),LEN($B$5))=$B$5,INDEX(NKC!$H$7:$H$3006,$J241),""))</f>
        <v/>
      </c>
      <c r="G241" s="125">
        <f>IF($J241="","",IF(LEFT(INDEX(NKC!$G$7:$G$3006,$J241),LEN($B$5))=$B$5,INDEX(NKC!$H$7:$H$3006,$J241),""))</f>
        <v/>
      </c>
      <c r="H241" s="132">
        <f>IF($J241="","",H240+N(F241)-N(G241))</f>
        <v/>
      </c>
      <c r="J241" s="117">
        <f>IFERROR(MATCH(234,NKC!$P$7:$P$3006,0),"")</f>
        <v/>
      </c>
    </row>
    <row r="242" ht="15" customHeight="1" s="78">
      <c r="A242" s="131">
        <f>IF($J242="","",INDEX(NKC!$B$7:$B$3006,$J242))</f>
        <v/>
      </c>
      <c r="B242" s="95">
        <f>IF($J242="","",INDEX(NKC!$C$7:$C$3006,$J242))</f>
        <v/>
      </c>
      <c r="C242" s="131">
        <f>IF($J242="","",INDEX(NKC!$D$7:$D$3006,$J242))</f>
        <v/>
      </c>
      <c r="D242" s="97">
        <f>IF($J242="","",INDEX(NKC!$E$7:$E$3006,$J242))</f>
        <v/>
      </c>
      <c r="E242" s="95">
        <f>IF($J242="","",IF(LEFT(INDEX(NKC!$F$7:$F$3006,$J242),LEN($B$5))=$B$5,INDEX(NKC!$G$7:$G$3006,$J242),INDEX(NKC!$F$7:$F$3006,$J242)))</f>
        <v/>
      </c>
      <c r="F242" s="125">
        <f>IF($J242="","",IF(LEFT(INDEX(NKC!$F$7:$F$3006,$J242),LEN($B$5))=$B$5,INDEX(NKC!$H$7:$H$3006,$J242),""))</f>
        <v/>
      </c>
      <c r="G242" s="125">
        <f>IF($J242="","",IF(LEFT(INDEX(NKC!$G$7:$G$3006,$J242),LEN($B$5))=$B$5,INDEX(NKC!$H$7:$H$3006,$J242),""))</f>
        <v/>
      </c>
      <c r="H242" s="132">
        <f>IF($J242="","",H241+N(F242)-N(G242))</f>
        <v/>
      </c>
      <c r="J242" s="117">
        <f>IFERROR(MATCH(235,NKC!$P$7:$P$3006,0),"")</f>
        <v/>
      </c>
    </row>
    <row r="243" ht="15" customHeight="1" s="78">
      <c r="A243" s="131">
        <f>IF($J243="","",INDEX(NKC!$B$7:$B$3006,$J243))</f>
        <v/>
      </c>
      <c r="B243" s="95">
        <f>IF($J243="","",INDEX(NKC!$C$7:$C$3006,$J243))</f>
        <v/>
      </c>
      <c r="C243" s="131">
        <f>IF($J243="","",INDEX(NKC!$D$7:$D$3006,$J243))</f>
        <v/>
      </c>
      <c r="D243" s="97">
        <f>IF($J243="","",INDEX(NKC!$E$7:$E$3006,$J243))</f>
        <v/>
      </c>
      <c r="E243" s="95">
        <f>IF($J243="","",IF(LEFT(INDEX(NKC!$F$7:$F$3006,$J243),LEN($B$5))=$B$5,INDEX(NKC!$G$7:$G$3006,$J243),INDEX(NKC!$F$7:$F$3006,$J243)))</f>
        <v/>
      </c>
      <c r="F243" s="125">
        <f>IF($J243="","",IF(LEFT(INDEX(NKC!$F$7:$F$3006,$J243),LEN($B$5))=$B$5,INDEX(NKC!$H$7:$H$3006,$J243),""))</f>
        <v/>
      </c>
      <c r="G243" s="125">
        <f>IF($J243="","",IF(LEFT(INDEX(NKC!$G$7:$G$3006,$J243),LEN($B$5))=$B$5,INDEX(NKC!$H$7:$H$3006,$J243),""))</f>
        <v/>
      </c>
      <c r="H243" s="132">
        <f>IF($J243="","",H242+N(F243)-N(G243))</f>
        <v/>
      </c>
      <c r="J243" s="117">
        <f>IFERROR(MATCH(236,NKC!$P$7:$P$3006,0),"")</f>
        <v/>
      </c>
    </row>
    <row r="244" ht="15" customHeight="1" s="78">
      <c r="A244" s="131">
        <f>IF($J244="","",INDEX(NKC!$B$7:$B$3006,$J244))</f>
        <v/>
      </c>
      <c r="B244" s="95">
        <f>IF($J244="","",INDEX(NKC!$C$7:$C$3006,$J244))</f>
        <v/>
      </c>
      <c r="C244" s="131">
        <f>IF($J244="","",INDEX(NKC!$D$7:$D$3006,$J244))</f>
        <v/>
      </c>
      <c r="D244" s="97">
        <f>IF($J244="","",INDEX(NKC!$E$7:$E$3006,$J244))</f>
        <v/>
      </c>
      <c r="E244" s="95">
        <f>IF($J244="","",IF(LEFT(INDEX(NKC!$F$7:$F$3006,$J244),LEN($B$5))=$B$5,INDEX(NKC!$G$7:$G$3006,$J244),INDEX(NKC!$F$7:$F$3006,$J244)))</f>
        <v/>
      </c>
      <c r="F244" s="125">
        <f>IF($J244="","",IF(LEFT(INDEX(NKC!$F$7:$F$3006,$J244),LEN($B$5))=$B$5,INDEX(NKC!$H$7:$H$3006,$J244),""))</f>
        <v/>
      </c>
      <c r="G244" s="125">
        <f>IF($J244="","",IF(LEFT(INDEX(NKC!$G$7:$G$3006,$J244),LEN($B$5))=$B$5,INDEX(NKC!$H$7:$H$3006,$J244),""))</f>
        <v/>
      </c>
      <c r="H244" s="132">
        <f>IF($J244="","",H243+N(F244)-N(G244))</f>
        <v/>
      </c>
      <c r="J244" s="117">
        <f>IFERROR(MATCH(237,NKC!$P$7:$P$3006,0),"")</f>
        <v/>
      </c>
    </row>
    <row r="245" ht="15" customHeight="1" s="78">
      <c r="A245" s="131">
        <f>IF($J245="","",INDEX(NKC!$B$7:$B$3006,$J245))</f>
        <v/>
      </c>
      <c r="B245" s="95">
        <f>IF($J245="","",INDEX(NKC!$C$7:$C$3006,$J245))</f>
        <v/>
      </c>
      <c r="C245" s="131">
        <f>IF($J245="","",INDEX(NKC!$D$7:$D$3006,$J245))</f>
        <v/>
      </c>
      <c r="D245" s="97">
        <f>IF($J245="","",INDEX(NKC!$E$7:$E$3006,$J245))</f>
        <v/>
      </c>
      <c r="E245" s="95">
        <f>IF($J245="","",IF(LEFT(INDEX(NKC!$F$7:$F$3006,$J245),LEN($B$5))=$B$5,INDEX(NKC!$G$7:$G$3006,$J245),INDEX(NKC!$F$7:$F$3006,$J245)))</f>
        <v/>
      </c>
      <c r="F245" s="125">
        <f>IF($J245="","",IF(LEFT(INDEX(NKC!$F$7:$F$3006,$J245),LEN($B$5))=$B$5,INDEX(NKC!$H$7:$H$3006,$J245),""))</f>
        <v/>
      </c>
      <c r="G245" s="125">
        <f>IF($J245="","",IF(LEFT(INDEX(NKC!$G$7:$G$3006,$J245),LEN($B$5))=$B$5,INDEX(NKC!$H$7:$H$3006,$J245),""))</f>
        <v/>
      </c>
      <c r="H245" s="132">
        <f>IF($J245="","",H244+N(F245)-N(G245))</f>
        <v/>
      </c>
      <c r="J245" s="117">
        <f>IFERROR(MATCH(238,NKC!$P$7:$P$3006,0),"")</f>
        <v/>
      </c>
    </row>
    <row r="246" ht="15" customHeight="1" s="78">
      <c r="A246" s="131">
        <f>IF($J246="","",INDEX(NKC!$B$7:$B$3006,$J246))</f>
        <v/>
      </c>
      <c r="B246" s="95">
        <f>IF($J246="","",INDEX(NKC!$C$7:$C$3006,$J246))</f>
        <v/>
      </c>
      <c r="C246" s="131">
        <f>IF($J246="","",INDEX(NKC!$D$7:$D$3006,$J246))</f>
        <v/>
      </c>
      <c r="D246" s="97">
        <f>IF($J246="","",INDEX(NKC!$E$7:$E$3006,$J246))</f>
        <v/>
      </c>
      <c r="E246" s="95">
        <f>IF($J246="","",IF(LEFT(INDEX(NKC!$F$7:$F$3006,$J246),LEN($B$5))=$B$5,INDEX(NKC!$G$7:$G$3006,$J246),INDEX(NKC!$F$7:$F$3006,$J246)))</f>
        <v/>
      </c>
      <c r="F246" s="125">
        <f>IF($J246="","",IF(LEFT(INDEX(NKC!$F$7:$F$3006,$J246),LEN($B$5))=$B$5,INDEX(NKC!$H$7:$H$3006,$J246),""))</f>
        <v/>
      </c>
      <c r="G246" s="125">
        <f>IF($J246="","",IF(LEFT(INDEX(NKC!$G$7:$G$3006,$J246),LEN($B$5))=$B$5,INDEX(NKC!$H$7:$H$3006,$J246),""))</f>
        <v/>
      </c>
      <c r="H246" s="132">
        <f>IF($J246="","",H245+N(F246)-N(G246))</f>
        <v/>
      </c>
      <c r="J246" s="117">
        <f>IFERROR(MATCH(239,NKC!$P$7:$P$3006,0),"")</f>
        <v/>
      </c>
    </row>
    <row r="247" ht="15" customHeight="1" s="78">
      <c r="A247" s="131">
        <f>IF($J247="","",INDEX(NKC!$B$7:$B$3006,$J247))</f>
        <v/>
      </c>
      <c r="B247" s="95">
        <f>IF($J247="","",INDEX(NKC!$C$7:$C$3006,$J247))</f>
        <v/>
      </c>
      <c r="C247" s="131">
        <f>IF($J247="","",INDEX(NKC!$D$7:$D$3006,$J247))</f>
        <v/>
      </c>
      <c r="D247" s="97">
        <f>IF($J247="","",INDEX(NKC!$E$7:$E$3006,$J247))</f>
        <v/>
      </c>
      <c r="E247" s="95">
        <f>IF($J247="","",IF(LEFT(INDEX(NKC!$F$7:$F$3006,$J247),LEN($B$5))=$B$5,INDEX(NKC!$G$7:$G$3006,$J247),INDEX(NKC!$F$7:$F$3006,$J247)))</f>
        <v/>
      </c>
      <c r="F247" s="125">
        <f>IF($J247="","",IF(LEFT(INDEX(NKC!$F$7:$F$3006,$J247),LEN($B$5))=$B$5,INDEX(NKC!$H$7:$H$3006,$J247),""))</f>
        <v/>
      </c>
      <c r="G247" s="125">
        <f>IF($J247="","",IF(LEFT(INDEX(NKC!$G$7:$G$3006,$J247),LEN($B$5))=$B$5,INDEX(NKC!$H$7:$H$3006,$J247),""))</f>
        <v/>
      </c>
      <c r="H247" s="132">
        <f>IF($J247="","",H246+N(F247)-N(G247))</f>
        <v/>
      </c>
      <c r="J247" s="117">
        <f>IFERROR(MATCH(240,NKC!$P$7:$P$3006,0),"")</f>
        <v/>
      </c>
    </row>
    <row r="248" ht="15" customHeight="1" s="78">
      <c r="A248" s="131">
        <f>IF($J248="","",INDEX(NKC!$B$7:$B$3006,$J248))</f>
        <v/>
      </c>
      <c r="B248" s="95">
        <f>IF($J248="","",INDEX(NKC!$C$7:$C$3006,$J248))</f>
        <v/>
      </c>
      <c r="C248" s="131">
        <f>IF($J248="","",INDEX(NKC!$D$7:$D$3006,$J248))</f>
        <v/>
      </c>
      <c r="D248" s="97">
        <f>IF($J248="","",INDEX(NKC!$E$7:$E$3006,$J248))</f>
        <v/>
      </c>
      <c r="E248" s="95">
        <f>IF($J248="","",IF(LEFT(INDEX(NKC!$F$7:$F$3006,$J248),LEN($B$5))=$B$5,INDEX(NKC!$G$7:$G$3006,$J248),INDEX(NKC!$F$7:$F$3006,$J248)))</f>
        <v/>
      </c>
      <c r="F248" s="125">
        <f>IF($J248="","",IF(LEFT(INDEX(NKC!$F$7:$F$3006,$J248),LEN($B$5))=$B$5,INDEX(NKC!$H$7:$H$3006,$J248),""))</f>
        <v/>
      </c>
      <c r="G248" s="125">
        <f>IF($J248="","",IF(LEFT(INDEX(NKC!$G$7:$G$3006,$J248),LEN($B$5))=$B$5,INDEX(NKC!$H$7:$H$3006,$J248),""))</f>
        <v/>
      </c>
      <c r="H248" s="132">
        <f>IF($J248="","",H247+N(F248)-N(G248))</f>
        <v/>
      </c>
      <c r="J248" s="117">
        <f>IFERROR(MATCH(241,NKC!$P$7:$P$3006,0),"")</f>
        <v/>
      </c>
    </row>
    <row r="249" ht="15" customHeight="1" s="78">
      <c r="A249" s="131">
        <f>IF($J249="","",INDEX(NKC!$B$7:$B$3006,$J249))</f>
        <v/>
      </c>
      <c r="B249" s="95">
        <f>IF($J249="","",INDEX(NKC!$C$7:$C$3006,$J249))</f>
        <v/>
      </c>
      <c r="C249" s="131">
        <f>IF($J249="","",INDEX(NKC!$D$7:$D$3006,$J249))</f>
        <v/>
      </c>
      <c r="D249" s="97">
        <f>IF($J249="","",INDEX(NKC!$E$7:$E$3006,$J249))</f>
        <v/>
      </c>
      <c r="E249" s="95">
        <f>IF($J249="","",IF(LEFT(INDEX(NKC!$F$7:$F$3006,$J249),LEN($B$5))=$B$5,INDEX(NKC!$G$7:$G$3006,$J249),INDEX(NKC!$F$7:$F$3006,$J249)))</f>
        <v/>
      </c>
      <c r="F249" s="125">
        <f>IF($J249="","",IF(LEFT(INDEX(NKC!$F$7:$F$3006,$J249),LEN($B$5))=$B$5,INDEX(NKC!$H$7:$H$3006,$J249),""))</f>
        <v/>
      </c>
      <c r="G249" s="125">
        <f>IF($J249="","",IF(LEFT(INDEX(NKC!$G$7:$G$3006,$J249),LEN($B$5))=$B$5,INDEX(NKC!$H$7:$H$3006,$J249),""))</f>
        <v/>
      </c>
      <c r="H249" s="132">
        <f>IF($J249="","",H248+N(F249)-N(G249))</f>
        <v/>
      </c>
      <c r="J249" s="117">
        <f>IFERROR(MATCH(242,NKC!$P$7:$P$3006,0),"")</f>
        <v/>
      </c>
    </row>
    <row r="250" ht="15" customHeight="1" s="78">
      <c r="A250" s="131">
        <f>IF($J250="","",INDEX(NKC!$B$7:$B$3006,$J250))</f>
        <v/>
      </c>
      <c r="B250" s="95">
        <f>IF($J250="","",INDEX(NKC!$C$7:$C$3006,$J250))</f>
        <v/>
      </c>
      <c r="C250" s="131">
        <f>IF($J250="","",INDEX(NKC!$D$7:$D$3006,$J250))</f>
        <v/>
      </c>
      <c r="D250" s="97">
        <f>IF($J250="","",INDEX(NKC!$E$7:$E$3006,$J250))</f>
        <v/>
      </c>
      <c r="E250" s="95">
        <f>IF($J250="","",IF(LEFT(INDEX(NKC!$F$7:$F$3006,$J250),LEN($B$5))=$B$5,INDEX(NKC!$G$7:$G$3006,$J250),INDEX(NKC!$F$7:$F$3006,$J250)))</f>
        <v/>
      </c>
      <c r="F250" s="125">
        <f>IF($J250="","",IF(LEFT(INDEX(NKC!$F$7:$F$3006,$J250),LEN($B$5))=$B$5,INDEX(NKC!$H$7:$H$3006,$J250),""))</f>
        <v/>
      </c>
      <c r="G250" s="125">
        <f>IF($J250="","",IF(LEFT(INDEX(NKC!$G$7:$G$3006,$J250),LEN($B$5))=$B$5,INDEX(NKC!$H$7:$H$3006,$J250),""))</f>
        <v/>
      </c>
      <c r="H250" s="132">
        <f>IF($J250="","",H249+N(F250)-N(G250))</f>
        <v/>
      </c>
      <c r="J250" s="117">
        <f>IFERROR(MATCH(243,NKC!$P$7:$P$3006,0),"")</f>
        <v/>
      </c>
    </row>
    <row r="251" ht="15" customHeight="1" s="78">
      <c r="A251" s="131">
        <f>IF($J251="","",INDEX(NKC!$B$7:$B$3006,$J251))</f>
        <v/>
      </c>
      <c r="B251" s="95">
        <f>IF($J251="","",INDEX(NKC!$C$7:$C$3006,$J251))</f>
        <v/>
      </c>
      <c r="C251" s="131">
        <f>IF($J251="","",INDEX(NKC!$D$7:$D$3006,$J251))</f>
        <v/>
      </c>
      <c r="D251" s="97">
        <f>IF($J251="","",INDEX(NKC!$E$7:$E$3006,$J251))</f>
        <v/>
      </c>
      <c r="E251" s="95">
        <f>IF($J251="","",IF(LEFT(INDEX(NKC!$F$7:$F$3006,$J251),LEN($B$5))=$B$5,INDEX(NKC!$G$7:$G$3006,$J251),INDEX(NKC!$F$7:$F$3006,$J251)))</f>
        <v/>
      </c>
      <c r="F251" s="125">
        <f>IF($J251="","",IF(LEFT(INDEX(NKC!$F$7:$F$3006,$J251),LEN($B$5))=$B$5,INDEX(NKC!$H$7:$H$3006,$J251),""))</f>
        <v/>
      </c>
      <c r="G251" s="125">
        <f>IF($J251="","",IF(LEFT(INDEX(NKC!$G$7:$G$3006,$J251),LEN($B$5))=$B$5,INDEX(NKC!$H$7:$H$3006,$J251),""))</f>
        <v/>
      </c>
      <c r="H251" s="132">
        <f>IF($J251="","",H250+N(F251)-N(G251))</f>
        <v/>
      </c>
      <c r="J251" s="117">
        <f>IFERROR(MATCH(244,NKC!$P$7:$P$3006,0),"")</f>
        <v/>
      </c>
    </row>
    <row r="252" ht="15" customHeight="1" s="78">
      <c r="A252" s="131">
        <f>IF($J252="","",INDEX(NKC!$B$7:$B$3006,$J252))</f>
        <v/>
      </c>
      <c r="B252" s="95">
        <f>IF($J252="","",INDEX(NKC!$C$7:$C$3006,$J252))</f>
        <v/>
      </c>
      <c r="C252" s="131">
        <f>IF($J252="","",INDEX(NKC!$D$7:$D$3006,$J252))</f>
        <v/>
      </c>
      <c r="D252" s="97">
        <f>IF($J252="","",INDEX(NKC!$E$7:$E$3006,$J252))</f>
        <v/>
      </c>
      <c r="E252" s="95">
        <f>IF($J252="","",IF(LEFT(INDEX(NKC!$F$7:$F$3006,$J252),LEN($B$5))=$B$5,INDEX(NKC!$G$7:$G$3006,$J252),INDEX(NKC!$F$7:$F$3006,$J252)))</f>
        <v/>
      </c>
      <c r="F252" s="125">
        <f>IF($J252="","",IF(LEFT(INDEX(NKC!$F$7:$F$3006,$J252),LEN($B$5))=$B$5,INDEX(NKC!$H$7:$H$3006,$J252),""))</f>
        <v/>
      </c>
      <c r="G252" s="125">
        <f>IF($J252="","",IF(LEFT(INDEX(NKC!$G$7:$G$3006,$J252),LEN($B$5))=$B$5,INDEX(NKC!$H$7:$H$3006,$J252),""))</f>
        <v/>
      </c>
      <c r="H252" s="132">
        <f>IF($J252="","",H251+N(F252)-N(G252))</f>
        <v/>
      </c>
      <c r="J252" s="117">
        <f>IFERROR(MATCH(245,NKC!$P$7:$P$3006,0),"")</f>
        <v/>
      </c>
    </row>
    <row r="253" ht="15" customHeight="1" s="78">
      <c r="A253" s="131">
        <f>IF($J253="","",INDEX(NKC!$B$7:$B$3006,$J253))</f>
        <v/>
      </c>
      <c r="B253" s="95">
        <f>IF($J253="","",INDEX(NKC!$C$7:$C$3006,$J253))</f>
        <v/>
      </c>
      <c r="C253" s="131">
        <f>IF($J253="","",INDEX(NKC!$D$7:$D$3006,$J253))</f>
        <v/>
      </c>
      <c r="D253" s="97">
        <f>IF($J253="","",INDEX(NKC!$E$7:$E$3006,$J253))</f>
        <v/>
      </c>
      <c r="E253" s="95">
        <f>IF($J253="","",IF(LEFT(INDEX(NKC!$F$7:$F$3006,$J253),LEN($B$5))=$B$5,INDEX(NKC!$G$7:$G$3006,$J253),INDEX(NKC!$F$7:$F$3006,$J253)))</f>
        <v/>
      </c>
      <c r="F253" s="125">
        <f>IF($J253="","",IF(LEFT(INDEX(NKC!$F$7:$F$3006,$J253),LEN($B$5))=$B$5,INDEX(NKC!$H$7:$H$3006,$J253),""))</f>
        <v/>
      </c>
      <c r="G253" s="125">
        <f>IF($J253="","",IF(LEFT(INDEX(NKC!$G$7:$G$3006,$J253),LEN($B$5))=$B$5,INDEX(NKC!$H$7:$H$3006,$J253),""))</f>
        <v/>
      </c>
      <c r="H253" s="132">
        <f>IF($J253="","",H252+N(F253)-N(G253))</f>
        <v/>
      </c>
      <c r="J253" s="117">
        <f>IFERROR(MATCH(246,NKC!$P$7:$P$3006,0),"")</f>
        <v/>
      </c>
    </row>
    <row r="254" ht="15" customHeight="1" s="78">
      <c r="A254" s="131">
        <f>IF($J254="","",INDEX(NKC!$B$7:$B$3006,$J254))</f>
        <v/>
      </c>
      <c r="B254" s="95">
        <f>IF($J254="","",INDEX(NKC!$C$7:$C$3006,$J254))</f>
        <v/>
      </c>
      <c r="C254" s="131">
        <f>IF($J254="","",INDEX(NKC!$D$7:$D$3006,$J254))</f>
        <v/>
      </c>
      <c r="D254" s="97">
        <f>IF($J254="","",INDEX(NKC!$E$7:$E$3006,$J254))</f>
        <v/>
      </c>
      <c r="E254" s="95">
        <f>IF($J254="","",IF(LEFT(INDEX(NKC!$F$7:$F$3006,$J254),LEN($B$5))=$B$5,INDEX(NKC!$G$7:$G$3006,$J254),INDEX(NKC!$F$7:$F$3006,$J254)))</f>
        <v/>
      </c>
      <c r="F254" s="125">
        <f>IF($J254="","",IF(LEFT(INDEX(NKC!$F$7:$F$3006,$J254),LEN($B$5))=$B$5,INDEX(NKC!$H$7:$H$3006,$J254),""))</f>
        <v/>
      </c>
      <c r="G254" s="125">
        <f>IF($J254="","",IF(LEFT(INDEX(NKC!$G$7:$G$3006,$J254),LEN($B$5))=$B$5,INDEX(NKC!$H$7:$H$3006,$J254),""))</f>
        <v/>
      </c>
      <c r="H254" s="132">
        <f>IF($J254="","",H253+N(F254)-N(G254))</f>
        <v/>
      </c>
      <c r="J254" s="117">
        <f>IFERROR(MATCH(247,NKC!$P$7:$P$3006,0),"")</f>
        <v/>
      </c>
    </row>
    <row r="255" ht="15" customHeight="1" s="78">
      <c r="A255" s="131">
        <f>IF($J255="","",INDEX(NKC!$B$7:$B$3006,$J255))</f>
        <v/>
      </c>
      <c r="B255" s="95">
        <f>IF($J255="","",INDEX(NKC!$C$7:$C$3006,$J255))</f>
        <v/>
      </c>
      <c r="C255" s="131">
        <f>IF($J255="","",INDEX(NKC!$D$7:$D$3006,$J255))</f>
        <v/>
      </c>
      <c r="D255" s="97">
        <f>IF($J255="","",INDEX(NKC!$E$7:$E$3006,$J255))</f>
        <v/>
      </c>
      <c r="E255" s="95">
        <f>IF($J255="","",IF(LEFT(INDEX(NKC!$F$7:$F$3006,$J255),LEN($B$5))=$B$5,INDEX(NKC!$G$7:$G$3006,$J255),INDEX(NKC!$F$7:$F$3006,$J255)))</f>
        <v/>
      </c>
      <c r="F255" s="125">
        <f>IF($J255="","",IF(LEFT(INDEX(NKC!$F$7:$F$3006,$J255),LEN($B$5))=$B$5,INDEX(NKC!$H$7:$H$3006,$J255),""))</f>
        <v/>
      </c>
      <c r="G255" s="125">
        <f>IF($J255="","",IF(LEFT(INDEX(NKC!$G$7:$G$3006,$J255),LEN($B$5))=$B$5,INDEX(NKC!$H$7:$H$3006,$J255),""))</f>
        <v/>
      </c>
      <c r="H255" s="132">
        <f>IF($J255="","",H254+N(F255)-N(G255))</f>
        <v/>
      </c>
      <c r="J255" s="117">
        <f>IFERROR(MATCH(248,NKC!$P$7:$P$3006,0),"")</f>
        <v/>
      </c>
    </row>
    <row r="256" ht="15" customHeight="1" s="78">
      <c r="A256" s="131">
        <f>IF($J256="","",INDEX(NKC!$B$7:$B$3006,$J256))</f>
        <v/>
      </c>
      <c r="B256" s="95">
        <f>IF($J256="","",INDEX(NKC!$C$7:$C$3006,$J256))</f>
        <v/>
      </c>
      <c r="C256" s="131">
        <f>IF($J256="","",INDEX(NKC!$D$7:$D$3006,$J256))</f>
        <v/>
      </c>
      <c r="D256" s="97">
        <f>IF($J256="","",INDEX(NKC!$E$7:$E$3006,$J256))</f>
        <v/>
      </c>
      <c r="E256" s="95">
        <f>IF($J256="","",IF(LEFT(INDEX(NKC!$F$7:$F$3006,$J256),LEN($B$5))=$B$5,INDEX(NKC!$G$7:$G$3006,$J256),INDEX(NKC!$F$7:$F$3006,$J256)))</f>
        <v/>
      </c>
      <c r="F256" s="125">
        <f>IF($J256="","",IF(LEFT(INDEX(NKC!$F$7:$F$3006,$J256),LEN($B$5))=$B$5,INDEX(NKC!$H$7:$H$3006,$J256),""))</f>
        <v/>
      </c>
      <c r="G256" s="125">
        <f>IF($J256="","",IF(LEFT(INDEX(NKC!$G$7:$G$3006,$J256),LEN($B$5))=$B$5,INDEX(NKC!$H$7:$H$3006,$J256),""))</f>
        <v/>
      </c>
      <c r="H256" s="132">
        <f>IF($J256="","",H255+N(F256)-N(G256))</f>
        <v/>
      </c>
      <c r="J256" s="117">
        <f>IFERROR(MATCH(249,NKC!$P$7:$P$3006,0),"")</f>
        <v/>
      </c>
    </row>
    <row r="257" ht="15" customHeight="1" s="78">
      <c r="A257" s="131">
        <f>IF($J257="","",INDEX(NKC!$B$7:$B$3006,$J257))</f>
        <v/>
      </c>
      <c r="B257" s="95">
        <f>IF($J257="","",INDEX(NKC!$C$7:$C$3006,$J257))</f>
        <v/>
      </c>
      <c r="C257" s="131">
        <f>IF($J257="","",INDEX(NKC!$D$7:$D$3006,$J257))</f>
        <v/>
      </c>
      <c r="D257" s="97">
        <f>IF($J257="","",INDEX(NKC!$E$7:$E$3006,$J257))</f>
        <v/>
      </c>
      <c r="E257" s="95">
        <f>IF($J257="","",IF(LEFT(INDEX(NKC!$F$7:$F$3006,$J257),LEN($B$5))=$B$5,INDEX(NKC!$G$7:$G$3006,$J257),INDEX(NKC!$F$7:$F$3006,$J257)))</f>
        <v/>
      </c>
      <c r="F257" s="125">
        <f>IF($J257="","",IF(LEFT(INDEX(NKC!$F$7:$F$3006,$J257),LEN($B$5))=$B$5,INDEX(NKC!$H$7:$H$3006,$J257),""))</f>
        <v/>
      </c>
      <c r="G257" s="125">
        <f>IF($J257="","",IF(LEFT(INDEX(NKC!$G$7:$G$3006,$J257),LEN($B$5))=$B$5,INDEX(NKC!$H$7:$H$3006,$J257),""))</f>
        <v/>
      </c>
      <c r="H257" s="132">
        <f>IF($J257="","",H256+N(F257)-N(G257))</f>
        <v/>
      </c>
      <c r="J257" s="117">
        <f>IFERROR(MATCH(250,NKC!$P$7:$P$3006,0),"")</f>
        <v/>
      </c>
    </row>
    <row r="258" ht="15" customHeight="1" s="78">
      <c r="A258" s="131">
        <f>IF($J258="","",INDEX(NKC!$B$7:$B$3006,$J258))</f>
        <v/>
      </c>
      <c r="B258" s="95">
        <f>IF($J258="","",INDEX(NKC!$C$7:$C$3006,$J258))</f>
        <v/>
      </c>
      <c r="C258" s="131">
        <f>IF($J258="","",INDEX(NKC!$D$7:$D$3006,$J258))</f>
        <v/>
      </c>
      <c r="D258" s="97">
        <f>IF($J258="","",INDEX(NKC!$E$7:$E$3006,$J258))</f>
        <v/>
      </c>
      <c r="E258" s="95">
        <f>IF($J258="","",IF(LEFT(INDEX(NKC!$F$7:$F$3006,$J258),LEN($B$5))=$B$5,INDEX(NKC!$G$7:$G$3006,$J258),INDEX(NKC!$F$7:$F$3006,$J258)))</f>
        <v/>
      </c>
      <c r="F258" s="125">
        <f>IF($J258="","",IF(LEFT(INDEX(NKC!$F$7:$F$3006,$J258),LEN($B$5))=$B$5,INDEX(NKC!$H$7:$H$3006,$J258),""))</f>
        <v/>
      </c>
      <c r="G258" s="125">
        <f>IF($J258="","",IF(LEFT(INDEX(NKC!$G$7:$G$3006,$J258),LEN($B$5))=$B$5,INDEX(NKC!$H$7:$H$3006,$J258),""))</f>
        <v/>
      </c>
      <c r="H258" s="132">
        <f>IF($J258="","",H257+N(F258)-N(G258))</f>
        <v/>
      </c>
      <c r="J258" s="117">
        <f>IFERROR(MATCH(251,NKC!$P$7:$P$3006,0),"")</f>
        <v/>
      </c>
    </row>
    <row r="259" ht="15" customHeight="1" s="78">
      <c r="A259" s="131">
        <f>IF($J259="","",INDEX(NKC!$B$7:$B$3006,$J259))</f>
        <v/>
      </c>
      <c r="B259" s="95">
        <f>IF($J259="","",INDEX(NKC!$C$7:$C$3006,$J259))</f>
        <v/>
      </c>
      <c r="C259" s="131">
        <f>IF($J259="","",INDEX(NKC!$D$7:$D$3006,$J259))</f>
        <v/>
      </c>
      <c r="D259" s="97">
        <f>IF($J259="","",INDEX(NKC!$E$7:$E$3006,$J259))</f>
        <v/>
      </c>
      <c r="E259" s="95">
        <f>IF($J259="","",IF(LEFT(INDEX(NKC!$F$7:$F$3006,$J259),LEN($B$5))=$B$5,INDEX(NKC!$G$7:$G$3006,$J259),INDEX(NKC!$F$7:$F$3006,$J259)))</f>
        <v/>
      </c>
      <c r="F259" s="125">
        <f>IF($J259="","",IF(LEFT(INDEX(NKC!$F$7:$F$3006,$J259),LEN($B$5))=$B$5,INDEX(NKC!$H$7:$H$3006,$J259),""))</f>
        <v/>
      </c>
      <c r="G259" s="125">
        <f>IF($J259="","",IF(LEFT(INDEX(NKC!$G$7:$G$3006,$J259),LEN($B$5))=$B$5,INDEX(NKC!$H$7:$H$3006,$J259),""))</f>
        <v/>
      </c>
      <c r="H259" s="132">
        <f>IF($J259="","",H258+N(F259)-N(G259))</f>
        <v/>
      </c>
      <c r="J259" s="117">
        <f>IFERROR(MATCH(252,NKC!$P$7:$P$3006,0),"")</f>
        <v/>
      </c>
    </row>
    <row r="260" ht="15" customHeight="1" s="78">
      <c r="A260" s="131">
        <f>IF($J260="","",INDEX(NKC!$B$7:$B$3006,$J260))</f>
        <v/>
      </c>
      <c r="B260" s="95">
        <f>IF($J260="","",INDEX(NKC!$C$7:$C$3006,$J260))</f>
        <v/>
      </c>
      <c r="C260" s="131">
        <f>IF($J260="","",INDEX(NKC!$D$7:$D$3006,$J260))</f>
        <v/>
      </c>
      <c r="D260" s="97">
        <f>IF($J260="","",INDEX(NKC!$E$7:$E$3006,$J260))</f>
        <v/>
      </c>
      <c r="E260" s="95">
        <f>IF($J260="","",IF(LEFT(INDEX(NKC!$F$7:$F$3006,$J260),LEN($B$5))=$B$5,INDEX(NKC!$G$7:$G$3006,$J260),INDEX(NKC!$F$7:$F$3006,$J260)))</f>
        <v/>
      </c>
      <c r="F260" s="125">
        <f>IF($J260="","",IF(LEFT(INDEX(NKC!$F$7:$F$3006,$J260),LEN($B$5))=$B$5,INDEX(NKC!$H$7:$H$3006,$J260),""))</f>
        <v/>
      </c>
      <c r="G260" s="125">
        <f>IF($J260="","",IF(LEFT(INDEX(NKC!$G$7:$G$3006,$J260),LEN($B$5))=$B$5,INDEX(NKC!$H$7:$H$3006,$J260),""))</f>
        <v/>
      </c>
      <c r="H260" s="132">
        <f>IF($J260="","",H259+N(F260)-N(G260))</f>
        <v/>
      </c>
      <c r="J260" s="117">
        <f>IFERROR(MATCH(253,NKC!$P$7:$P$3006,0),"")</f>
        <v/>
      </c>
    </row>
    <row r="261" ht="15" customHeight="1" s="78">
      <c r="A261" s="131">
        <f>IF($J261="","",INDEX(NKC!$B$7:$B$3006,$J261))</f>
        <v/>
      </c>
      <c r="B261" s="95">
        <f>IF($J261="","",INDEX(NKC!$C$7:$C$3006,$J261))</f>
        <v/>
      </c>
      <c r="C261" s="131">
        <f>IF($J261="","",INDEX(NKC!$D$7:$D$3006,$J261))</f>
        <v/>
      </c>
      <c r="D261" s="97">
        <f>IF($J261="","",INDEX(NKC!$E$7:$E$3006,$J261))</f>
        <v/>
      </c>
      <c r="E261" s="95">
        <f>IF($J261="","",IF(LEFT(INDEX(NKC!$F$7:$F$3006,$J261),LEN($B$5))=$B$5,INDEX(NKC!$G$7:$G$3006,$J261),INDEX(NKC!$F$7:$F$3006,$J261)))</f>
        <v/>
      </c>
      <c r="F261" s="125">
        <f>IF($J261="","",IF(LEFT(INDEX(NKC!$F$7:$F$3006,$J261),LEN($B$5))=$B$5,INDEX(NKC!$H$7:$H$3006,$J261),""))</f>
        <v/>
      </c>
      <c r="G261" s="125">
        <f>IF($J261="","",IF(LEFT(INDEX(NKC!$G$7:$G$3006,$J261),LEN($B$5))=$B$5,INDEX(NKC!$H$7:$H$3006,$J261),""))</f>
        <v/>
      </c>
      <c r="H261" s="132">
        <f>IF($J261="","",H260+N(F261)-N(G261))</f>
        <v/>
      </c>
      <c r="J261" s="117">
        <f>IFERROR(MATCH(254,NKC!$P$7:$P$3006,0),"")</f>
        <v/>
      </c>
    </row>
    <row r="262" ht="15" customHeight="1" s="78">
      <c r="A262" s="131">
        <f>IF($J262="","",INDEX(NKC!$B$7:$B$3006,$J262))</f>
        <v/>
      </c>
      <c r="B262" s="95">
        <f>IF($J262="","",INDEX(NKC!$C$7:$C$3006,$J262))</f>
        <v/>
      </c>
      <c r="C262" s="131">
        <f>IF($J262="","",INDEX(NKC!$D$7:$D$3006,$J262))</f>
        <v/>
      </c>
      <c r="D262" s="97">
        <f>IF($J262="","",INDEX(NKC!$E$7:$E$3006,$J262))</f>
        <v/>
      </c>
      <c r="E262" s="95">
        <f>IF($J262="","",IF(LEFT(INDEX(NKC!$F$7:$F$3006,$J262),LEN($B$5))=$B$5,INDEX(NKC!$G$7:$G$3006,$J262),INDEX(NKC!$F$7:$F$3006,$J262)))</f>
        <v/>
      </c>
      <c r="F262" s="125">
        <f>IF($J262="","",IF(LEFT(INDEX(NKC!$F$7:$F$3006,$J262),LEN($B$5))=$B$5,INDEX(NKC!$H$7:$H$3006,$J262),""))</f>
        <v/>
      </c>
      <c r="G262" s="125">
        <f>IF($J262="","",IF(LEFT(INDEX(NKC!$G$7:$G$3006,$J262),LEN($B$5))=$B$5,INDEX(NKC!$H$7:$H$3006,$J262),""))</f>
        <v/>
      </c>
      <c r="H262" s="132">
        <f>IF($J262="","",H261+N(F262)-N(G262))</f>
        <v/>
      </c>
      <c r="J262" s="117">
        <f>IFERROR(MATCH(255,NKC!$P$7:$P$3006,0),"")</f>
        <v/>
      </c>
    </row>
    <row r="263" ht="15" customHeight="1" s="78">
      <c r="A263" s="131">
        <f>IF($J263="","",INDEX(NKC!$B$7:$B$3006,$J263))</f>
        <v/>
      </c>
      <c r="B263" s="95">
        <f>IF($J263="","",INDEX(NKC!$C$7:$C$3006,$J263))</f>
        <v/>
      </c>
      <c r="C263" s="131">
        <f>IF($J263="","",INDEX(NKC!$D$7:$D$3006,$J263))</f>
        <v/>
      </c>
      <c r="D263" s="97">
        <f>IF($J263="","",INDEX(NKC!$E$7:$E$3006,$J263))</f>
        <v/>
      </c>
      <c r="E263" s="95">
        <f>IF($J263="","",IF(LEFT(INDEX(NKC!$F$7:$F$3006,$J263),LEN($B$5))=$B$5,INDEX(NKC!$G$7:$G$3006,$J263),INDEX(NKC!$F$7:$F$3006,$J263)))</f>
        <v/>
      </c>
      <c r="F263" s="125">
        <f>IF($J263="","",IF(LEFT(INDEX(NKC!$F$7:$F$3006,$J263),LEN($B$5))=$B$5,INDEX(NKC!$H$7:$H$3006,$J263),""))</f>
        <v/>
      </c>
      <c r="G263" s="125">
        <f>IF($J263="","",IF(LEFT(INDEX(NKC!$G$7:$G$3006,$J263),LEN($B$5))=$B$5,INDEX(NKC!$H$7:$H$3006,$J263),""))</f>
        <v/>
      </c>
      <c r="H263" s="132">
        <f>IF($J263="","",H262+N(F263)-N(G263))</f>
        <v/>
      </c>
      <c r="J263" s="117">
        <f>IFERROR(MATCH(256,NKC!$P$7:$P$3006,0),"")</f>
        <v/>
      </c>
    </row>
    <row r="264" ht="15" customHeight="1" s="78">
      <c r="A264" s="131">
        <f>IF($J264="","",INDEX(NKC!$B$7:$B$3006,$J264))</f>
        <v/>
      </c>
      <c r="B264" s="95">
        <f>IF($J264="","",INDEX(NKC!$C$7:$C$3006,$J264))</f>
        <v/>
      </c>
      <c r="C264" s="131">
        <f>IF($J264="","",INDEX(NKC!$D$7:$D$3006,$J264))</f>
        <v/>
      </c>
      <c r="D264" s="97">
        <f>IF($J264="","",INDEX(NKC!$E$7:$E$3006,$J264))</f>
        <v/>
      </c>
      <c r="E264" s="95">
        <f>IF($J264="","",IF(LEFT(INDEX(NKC!$F$7:$F$3006,$J264),LEN($B$5))=$B$5,INDEX(NKC!$G$7:$G$3006,$J264),INDEX(NKC!$F$7:$F$3006,$J264)))</f>
        <v/>
      </c>
      <c r="F264" s="125">
        <f>IF($J264="","",IF(LEFT(INDEX(NKC!$F$7:$F$3006,$J264),LEN($B$5))=$B$5,INDEX(NKC!$H$7:$H$3006,$J264),""))</f>
        <v/>
      </c>
      <c r="G264" s="125">
        <f>IF($J264="","",IF(LEFT(INDEX(NKC!$G$7:$G$3006,$J264),LEN($B$5))=$B$5,INDEX(NKC!$H$7:$H$3006,$J264),""))</f>
        <v/>
      </c>
      <c r="H264" s="132">
        <f>IF($J264="","",H263+N(F264)-N(G264))</f>
        <v/>
      </c>
      <c r="J264" s="117">
        <f>IFERROR(MATCH(257,NKC!$P$7:$P$3006,0),"")</f>
        <v/>
      </c>
    </row>
    <row r="265" ht="15" customHeight="1" s="78">
      <c r="A265" s="131">
        <f>IF($J265="","",INDEX(NKC!$B$7:$B$3006,$J265))</f>
        <v/>
      </c>
      <c r="B265" s="95">
        <f>IF($J265="","",INDEX(NKC!$C$7:$C$3006,$J265))</f>
        <v/>
      </c>
      <c r="C265" s="131">
        <f>IF($J265="","",INDEX(NKC!$D$7:$D$3006,$J265))</f>
        <v/>
      </c>
      <c r="D265" s="97">
        <f>IF($J265="","",INDEX(NKC!$E$7:$E$3006,$J265))</f>
        <v/>
      </c>
      <c r="E265" s="95">
        <f>IF($J265="","",IF(LEFT(INDEX(NKC!$F$7:$F$3006,$J265),LEN($B$5))=$B$5,INDEX(NKC!$G$7:$G$3006,$J265),INDEX(NKC!$F$7:$F$3006,$J265)))</f>
        <v/>
      </c>
      <c r="F265" s="125">
        <f>IF($J265="","",IF(LEFT(INDEX(NKC!$F$7:$F$3006,$J265),LEN($B$5))=$B$5,INDEX(NKC!$H$7:$H$3006,$J265),""))</f>
        <v/>
      </c>
      <c r="G265" s="125">
        <f>IF($J265="","",IF(LEFT(INDEX(NKC!$G$7:$G$3006,$J265),LEN($B$5))=$B$5,INDEX(NKC!$H$7:$H$3006,$J265),""))</f>
        <v/>
      </c>
      <c r="H265" s="132">
        <f>IF($J265="","",H264+N(F265)-N(G265))</f>
        <v/>
      </c>
      <c r="J265" s="117">
        <f>IFERROR(MATCH(258,NKC!$P$7:$P$3006,0),"")</f>
        <v/>
      </c>
    </row>
    <row r="266" ht="15" customHeight="1" s="78">
      <c r="A266" s="131">
        <f>IF($J266="","",INDEX(NKC!$B$7:$B$3006,$J266))</f>
        <v/>
      </c>
      <c r="B266" s="95">
        <f>IF($J266="","",INDEX(NKC!$C$7:$C$3006,$J266))</f>
        <v/>
      </c>
      <c r="C266" s="131">
        <f>IF($J266="","",INDEX(NKC!$D$7:$D$3006,$J266))</f>
        <v/>
      </c>
      <c r="D266" s="97">
        <f>IF($J266="","",INDEX(NKC!$E$7:$E$3006,$J266))</f>
        <v/>
      </c>
      <c r="E266" s="95">
        <f>IF($J266="","",IF(LEFT(INDEX(NKC!$F$7:$F$3006,$J266),LEN($B$5))=$B$5,INDEX(NKC!$G$7:$G$3006,$J266),INDEX(NKC!$F$7:$F$3006,$J266)))</f>
        <v/>
      </c>
      <c r="F266" s="125">
        <f>IF($J266="","",IF(LEFT(INDEX(NKC!$F$7:$F$3006,$J266),LEN($B$5))=$B$5,INDEX(NKC!$H$7:$H$3006,$J266),""))</f>
        <v/>
      </c>
      <c r="G266" s="125">
        <f>IF($J266="","",IF(LEFT(INDEX(NKC!$G$7:$G$3006,$J266),LEN($B$5))=$B$5,INDEX(NKC!$H$7:$H$3006,$J266),""))</f>
        <v/>
      </c>
      <c r="H266" s="132">
        <f>IF($J266="","",H265+N(F266)-N(G266))</f>
        <v/>
      </c>
      <c r="J266" s="117">
        <f>IFERROR(MATCH(259,NKC!$P$7:$P$3006,0),"")</f>
        <v/>
      </c>
    </row>
    <row r="267" ht="15" customHeight="1" s="78">
      <c r="A267" s="131">
        <f>IF($J267="","",INDEX(NKC!$B$7:$B$3006,$J267))</f>
        <v/>
      </c>
      <c r="B267" s="95">
        <f>IF($J267="","",INDEX(NKC!$C$7:$C$3006,$J267))</f>
        <v/>
      </c>
      <c r="C267" s="131">
        <f>IF($J267="","",INDEX(NKC!$D$7:$D$3006,$J267))</f>
        <v/>
      </c>
      <c r="D267" s="97">
        <f>IF($J267="","",INDEX(NKC!$E$7:$E$3006,$J267))</f>
        <v/>
      </c>
      <c r="E267" s="95">
        <f>IF($J267="","",IF(LEFT(INDEX(NKC!$F$7:$F$3006,$J267),LEN($B$5))=$B$5,INDEX(NKC!$G$7:$G$3006,$J267),INDEX(NKC!$F$7:$F$3006,$J267)))</f>
        <v/>
      </c>
      <c r="F267" s="125">
        <f>IF($J267="","",IF(LEFT(INDEX(NKC!$F$7:$F$3006,$J267),LEN($B$5))=$B$5,INDEX(NKC!$H$7:$H$3006,$J267),""))</f>
        <v/>
      </c>
      <c r="G267" s="125">
        <f>IF($J267="","",IF(LEFT(INDEX(NKC!$G$7:$G$3006,$J267),LEN($B$5))=$B$5,INDEX(NKC!$H$7:$H$3006,$J267),""))</f>
        <v/>
      </c>
      <c r="H267" s="132">
        <f>IF($J267="","",H266+N(F267)-N(G267))</f>
        <v/>
      </c>
      <c r="J267" s="117">
        <f>IFERROR(MATCH(260,NKC!$P$7:$P$3006,0),"")</f>
        <v/>
      </c>
    </row>
    <row r="268" ht="15" customHeight="1" s="78">
      <c r="A268" s="131">
        <f>IF($J268="","",INDEX(NKC!$B$7:$B$3006,$J268))</f>
        <v/>
      </c>
      <c r="B268" s="95">
        <f>IF($J268="","",INDEX(NKC!$C$7:$C$3006,$J268))</f>
        <v/>
      </c>
      <c r="C268" s="131">
        <f>IF($J268="","",INDEX(NKC!$D$7:$D$3006,$J268))</f>
        <v/>
      </c>
      <c r="D268" s="97">
        <f>IF($J268="","",INDEX(NKC!$E$7:$E$3006,$J268))</f>
        <v/>
      </c>
      <c r="E268" s="95">
        <f>IF($J268="","",IF(LEFT(INDEX(NKC!$F$7:$F$3006,$J268),LEN($B$5))=$B$5,INDEX(NKC!$G$7:$G$3006,$J268),INDEX(NKC!$F$7:$F$3006,$J268)))</f>
        <v/>
      </c>
      <c r="F268" s="125">
        <f>IF($J268="","",IF(LEFT(INDEX(NKC!$F$7:$F$3006,$J268),LEN($B$5))=$B$5,INDEX(NKC!$H$7:$H$3006,$J268),""))</f>
        <v/>
      </c>
      <c r="G268" s="125">
        <f>IF($J268="","",IF(LEFT(INDEX(NKC!$G$7:$G$3006,$J268),LEN($B$5))=$B$5,INDEX(NKC!$H$7:$H$3006,$J268),""))</f>
        <v/>
      </c>
      <c r="H268" s="132">
        <f>IF($J268="","",H267+N(F268)-N(G268))</f>
        <v/>
      </c>
      <c r="J268" s="117">
        <f>IFERROR(MATCH(261,NKC!$P$7:$P$3006,0),"")</f>
        <v/>
      </c>
    </row>
    <row r="269" ht="15" customHeight="1" s="78">
      <c r="A269" s="131">
        <f>IF($J269="","",INDEX(NKC!$B$7:$B$3006,$J269))</f>
        <v/>
      </c>
      <c r="B269" s="95">
        <f>IF($J269="","",INDEX(NKC!$C$7:$C$3006,$J269))</f>
        <v/>
      </c>
      <c r="C269" s="131">
        <f>IF($J269="","",INDEX(NKC!$D$7:$D$3006,$J269))</f>
        <v/>
      </c>
      <c r="D269" s="97">
        <f>IF($J269="","",INDEX(NKC!$E$7:$E$3006,$J269))</f>
        <v/>
      </c>
      <c r="E269" s="95">
        <f>IF($J269="","",IF(LEFT(INDEX(NKC!$F$7:$F$3006,$J269),LEN($B$5))=$B$5,INDEX(NKC!$G$7:$G$3006,$J269),INDEX(NKC!$F$7:$F$3006,$J269)))</f>
        <v/>
      </c>
      <c r="F269" s="125">
        <f>IF($J269="","",IF(LEFT(INDEX(NKC!$F$7:$F$3006,$J269),LEN($B$5))=$B$5,INDEX(NKC!$H$7:$H$3006,$J269),""))</f>
        <v/>
      </c>
      <c r="G269" s="125">
        <f>IF($J269="","",IF(LEFT(INDEX(NKC!$G$7:$G$3006,$J269),LEN($B$5))=$B$5,INDEX(NKC!$H$7:$H$3006,$J269),""))</f>
        <v/>
      </c>
      <c r="H269" s="132">
        <f>IF($J269="","",H268+N(F269)-N(G269))</f>
        <v/>
      </c>
      <c r="J269" s="117">
        <f>IFERROR(MATCH(262,NKC!$P$7:$P$3006,0),"")</f>
        <v/>
      </c>
    </row>
    <row r="270" ht="15" customHeight="1" s="78">
      <c r="A270" s="131">
        <f>IF($J270="","",INDEX(NKC!$B$7:$B$3006,$J270))</f>
        <v/>
      </c>
      <c r="B270" s="95">
        <f>IF($J270="","",INDEX(NKC!$C$7:$C$3006,$J270))</f>
        <v/>
      </c>
      <c r="C270" s="131">
        <f>IF($J270="","",INDEX(NKC!$D$7:$D$3006,$J270))</f>
        <v/>
      </c>
      <c r="D270" s="97">
        <f>IF($J270="","",INDEX(NKC!$E$7:$E$3006,$J270))</f>
        <v/>
      </c>
      <c r="E270" s="95">
        <f>IF($J270="","",IF(LEFT(INDEX(NKC!$F$7:$F$3006,$J270),LEN($B$5))=$B$5,INDEX(NKC!$G$7:$G$3006,$J270),INDEX(NKC!$F$7:$F$3006,$J270)))</f>
        <v/>
      </c>
      <c r="F270" s="125">
        <f>IF($J270="","",IF(LEFT(INDEX(NKC!$F$7:$F$3006,$J270),LEN($B$5))=$B$5,INDEX(NKC!$H$7:$H$3006,$J270),""))</f>
        <v/>
      </c>
      <c r="G270" s="125">
        <f>IF($J270="","",IF(LEFT(INDEX(NKC!$G$7:$G$3006,$J270),LEN($B$5))=$B$5,INDEX(NKC!$H$7:$H$3006,$J270),""))</f>
        <v/>
      </c>
      <c r="H270" s="132">
        <f>IF($J270="","",H269+N(F270)-N(G270))</f>
        <v/>
      </c>
      <c r="J270" s="117">
        <f>IFERROR(MATCH(263,NKC!$P$7:$P$3006,0),"")</f>
        <v/>
      </c>
    </row>
    <row r="271" ht="15" customHeight="1" s="78">
      <c r="A271" s="131">
        <f>IF($J271="","",INDEX(NKC!$B$7:$B$3006,$J271))</f>
        <v/>
      </c>
      <c r="B271" s="95">
        <f>IF($J271="","",INDEX(NKC!$C$7:$C$3006,$J271))</f>
        <v/>
      </c>
      <c r="C271" s="131">
        <f>IF($J271="","",INDEX(NKC!$D$7:$D$3006,$J271))</f>
        <v/>
      </c>
      <c r="D271" s="97">
        <f>IF($J271="","",INDEX(NKC!$E$7:$E$3006,$J271))</f>
        <v/>
      </c>
      <c r="E271" s="95">
        <f>IF($J271="","",IF(LEFT(INDEX(NKC!$F$7:$F$3006,$J271),LEN($B$5))=$B$5,INDEX(NKC!$G$7:$G$3006,$J271),INDEX(NKC!$F$7:$F$3006,$J271)))</f>
        <v/>
      </c>
      <c r="F271" s="125">
        <f>IF($J271="","",IF(LEFT(INDEX(NKC!$F$7:$F$3006,$J271),LEN($B$5))=$B$5,INDEX(NKC!$H$7:$H$3006,$J271),""))</f>
        <v/>
      </c>
      <c r="G271" s="125">
        <f>IF($J271="","",IF(LEFT(INDEX(NKC!$G$7:$G$3006,$J271),LEN($B$5))=$B$5,INDEX(NKC!$H$7:$H$3006,$J271),""))</f>
        <v/>
      </c>
      <c r="H271" s="132">
        <f>IF($J271="","",H270+N(F271)-N(G271))</f>
        <v/>
      </c>
      <c r="J271" s="117">
        <f>IFERROR(MATCH(264,NKC!$P$7:$P$3006,0),"")</f>
        <v/>
      </c>
    </row>
    <row r="272" ht="15" customHeight="1" s="78">
      <c r="A272" s="131">
        <f>IF($J272="","",INDEX(NKC!$B$7:$B$3006,$J272))</f>
        <v/>
      </c>
      <c r="B272" s="95">
        <f>IF($J272="","",INDEX(NKC!$C$7:$C$3006,$J272))</f>
        <v/>
      </c>
      <c r="C272" s="131">
        <f>IF($J272="","",INDEX(NKC!$D$7:$D$3006,$J272))</f>
        <v/>
      </c>
      <c r="D272" s="97">
        <f>IF($J272="","",INDEX(NKC!$E$7:$E$3006,$J272))</f>
        <v/>
      </c>
      <c r="E272" s="95">
        <f>IF($J272="","",IF(LEFT(INDEX(NKC!$F$7:$F$3006,$J272),LEN($B$5))=$B$5,INDEX(NKC!$G$7:$G$3006,$J272),INDEX(NKC!$F$7:$F$3006,$J272)))</f>
        <v/>
      </c>
      <c r="F272" s="125">
        <f>IF($J272="","",IF(LEFT(INDEX(NKC!$F$7:$F$3006,$J272),LEN($B$5))=$B$5,INDEX(NKC!$H$7:$H$3006,$J272),""))</f>
        <v/>
      </c>
      <c r="G272" s="125">
        <f>IF($J272="","",IF(LEFT(INDEX(NKC!$G$7:$G$3006,$J272),LEN($B$5))=$B$5,INDEX(NKC!$H$7:$H$3006,$J272),""))</f>
        <v/>
      </c>
      <c r="H272" s="132">
        <f>IF($J272="","",H271+N(F272)-N(G272))</f>
        <v/>
      </c>
      <c r="J272" s="117">
        <f>IFERROR(MATCH(265,NKC!$P$7:$P$3006,0),"")</f>
        <v/>
      </c>
    </row>
    <row r="273" ht="15" customHeight="1" s="78">
      <c r="A273" s="131">
        <f>IF($J273="","",INDEX(NKC!$B$7:$B$3006,$J273))</f>
        <v/>
      </c>
      <c r="B273" s="95">
        <f>IF($J273="","",INDEX(NKC!$C$7:$C$3006,$J273))</f>
        <v/>
      </c>
      <c r="C273" s="131">
        <f>IF($J273="","",INDEX(NKC!$D$7:$D$3006,$J273))</f>
        <v/>
      </c>
      <c r="D273" s="97">
        <f>IF($J273="","",INDEX(NKC!$E$7:$E$3006,$J273))</f>
        <v/>
      </c>
      <c r="E273" s="95">
        <f>IF($J273="","",IF(LEFT(INDEX(NKC!$F$7:$F$3006,$J273),LEN($B$5))=$B$5,INDEX(NKC!$G$7:$G$3006,$J273),INDEX(NKC!$F$7:$F$3006,$J273)))</f>
        <v/>
      </c>
      <c r="F273" s="125">
        <f>IF($J273="","",IF(LEFT(INDEX(NKC!$F$7:$F$3006,$J273),LEN($B$5))=$B$5,INDEX(NKC!$H$7:$H$3006,$J273),""))</f>
        <v/>
      </c>
      <c r="G273" s="125">
        <f>IF($J273="","",IF(LEFT(INDEX(NKC!$G$7:$G$3006,$J273),LEN($B$5))=$B$5,INDEX(NKC!$H$7:$H$3006,$J273),""))</f>
        <v/>
      </c>
      <c r="H273" s="132">
        <f>IF($J273="","",H272+N(F273)-N(G273))</f>
        <v/>
      </c>
      <c r="J273" s="117">
        <f>IFERROR(MATCH(266,NKC!$P$7:$P$3006,0),"")</f>
        <v/>
      </c>
    </row>
    <row r="274" ht="15" customHeight="1" s="78">
      <c r="A274" s="131">
        <f>IF($J274="","",INDEX(NKC!$B$7:$B$3006,$J274))</f>
        <v/>
      </c>
      <c r="B274" s="95">
        <f>IF($J274="","",INDEX(NKC!$C$7:$C$3006,$J274))</f>
        <v/>
      </c>
      <c r="C274" s="131">
        <f>IF($J274="","",INDEX(NKC!$D$7:$D$3006,$J274))</f>
        <v/>
      </c>
      <c r="D274" s="97">
        <f>IF($J274="","",INDEX(NKC!$E$7:$E$3006,$J274))</f>
        <v/>
      </c>
      <c r="E274" s="95">
        <f>IF($J274="","",IF(LEFT(INDEX(NKC!$F$7:$F$3006,$J274),LEN($B$5))=$B$5,INDEX(NKC!$G$7:$G$3006,$J274),INDEX(NKC!$F$7:$F$3006,$J274)))</f>
        <v/>
      </c>
      <c r="F274" s="125">
        <f>IF($J274="","",IF(LEFT(INDEX(NKC!$F$7:$F$3006,$J274),LEN($B$5))=$B$5,INDEX(NKC!$H$7:$H$3006,$J274),""))</f>
        <v/>
      </c>
      <c r="G274" s="125">
        <f>IF($J274="","",IF(LEFT(INDEX(NKC!$G$7:$G$3006,$J274),LEN($B$5))=$B$5,INDEX(NKC!$H$7:$H$3006,$J274),""))</f>
        <v/>
      </c>
      <c r="H274" s="132">
        <f>IF($J274="","",H273+N(F274)-N(G274))</f>
        <v/>
      </c>
      <c r="J274" s="117">
        <f>IFERROR(MATCH(267,NKC!$P$7:$P$3006,0),"")</f>
        <v/>
      </c>
    </row>
    <row r="275" ht="15" customHeight="1" s="78">
      <c r="A275" s="131">
        <f>IF($J275="","",INDEX(NKC!$B$7:$B$3006,$J275))</f>
        <v/>
      </c>
      <c r="B275" s="95">
        <f>IF($J275="","",INDEX(NKC!$C$7:$C$3006,$J275))</f>
        <v/>
      </c>
      <c r="C275" s="131">
        <f>IF($J275="","",INDEX(NKC!$D$7:$D$3006,$J275))</f>
        <v/>
      </c>
      <c r="D275" s="97">
        <f>IF($J275="","",INDEX(NKC!$E$7:$E$3006,$J275))</f>
        <v/>
      </c>
      <c r="E275" s="95">
        <f>IF($J275="","",IF(LEFT(INDEX(NKC!$F$7:$F$3006,$J275),LEN($B$5))=$B$5,INDEX(NKC!$G$7:$G$3006,$J275),INDEX(NKC!$F$7:$F$3006,$J275)))</f>
        <v/>
      </c>
      <c r="F275" s="125">
        <f>IF($J275="","",IF(LEFT(INDEX(NKC!$F$7:$F$3006,$J275),LEN($B$5))=$B$5,INDEX(NKC!$H$7:$H$3006,$J275),""))</f>
        <v/>
      </c>
      <c r="G275" s="125">
        <f>IF($J275="","",IF(LEFT(INDEX(NKC!$G$7:$G$3006,$J275),LEN($B$5))=$B$5,INDEX(NKC!$H$7:$H$3006,$J275),""))</f>
        <v/>
      </c>
      <c r="H275" s="132">
        <f>IF($J275="","",H274+N(F275)-N(G275))</f>
        <v/>
      </c>
      <c r="J275" s="117">
        <f>IFERROR(MATCH(268,NKC!$P$7:$P$3006,0),"")</f>
        <v/>
      </c>
    </row>
    <row r="276" ht="15" customHeight="1" s="78">
      <c r="A276" s="131">
        <f>IF($J276="","",INDEX(NKC!$B$7:$B$3006,$J276))</f>
        <v/>
      </c>
      <c r="B276" s="95">
        <f>IF($J276="","",INDEX(NKC!$C$7:$C$3006,$J276))</f>
        <v/>
      </c>
      <c r="C276" s="131">
        <f>IF($J276="","",INDEX(NKC!$D$7:$D$3006,$J276))</f>
        <v/>
      </c>
      <c r="D276" s="97">
        <f>IF($J276="","",INDEX(NKC!$E$7:$E$3006,$J276))</f>
        <v/>
      </c>
      <c r="E276" s="95">
        <f>IF($J276="","",IF(LEFT(INDEX(NKC!$F$7:$F$3006,$J276),LEN($B$5))=$B$5,INDEX(NKC!$G$7:$G$3006,$J276),INDEX(NKC!$F$7:$F$3006,$J276)))</f>
        <v/>
      </c>
      <c r="F276" s="125">
        <f>IF($J276="","",IF(LEFT(INDEX(NKC!$F$7:$F$3006,$J276),LEN($B$5))=$B$5,INDEX(NKC!$H$7:$H$3006,$J276),""))</f>
        <v/>
      </c>
      <c r="G276" s="125">
        <f>IF($J276="","",IF(LEFT(INDEX(NKC!$G$7:$G$3006,$J276),LEN($B$5))=$B$5,INDEX(NKC!$H$7:$H$3006,$J276),""))</f>
        <v/>
      </c>
      <c r="H276" s="132">
        <f>IF($J276="","",H275+N(F276)-N(G276))</f>
        <v/>
      </c>
      <c r="J276" s="117">
        <f>IFERROR(MATCH(269,NKC!$P$7:$P$3006,0),"")</f>
        <v/>
      </c>
    </row>
    <row r="277" ht="15" customHeight="1" s="78">
      <c r="A277" s="131">
        <f>IF($J277="","",INDEX(NKC!$B$7:$B$3006,$J277))</f>
        <v/>
      </c>
      <c r="B277" s="95">
        <f>IF($J277="","",INDEX(NKC!$C$7:$C$3006,$J277))</f>
        <v/>
      </c>
      <c r="C277" s="131">
        <f>IF($J277="","",INDEX(NKC!$D$7:$D$3006,$J277))</f>
        <v/>
      </c>
      <c r="D277" s="97">
        <f>IF($J277="","",INDEX(NKC!$E$7:$E$3006,$J277))</f>
        <v/>
      </c>
      <c r="E277" s="95">
        <f>IF($J277="","",IF(LEFT(INDEX(NKC!$F$7:$F$3006,$J277),LEN($B$5))=$B$5,INDEX(NKC!$G$7:$G$3006,$J277),INDEX(NKC!$F$7:$F$3006,$J277)))</f>
        <v/>
      </c>
      <c r="F277" s="125">
        <f>IF($J277="","",IF(LEFT(INDEX(NKC!$F$7:$F$3006,$J277),LEN($B$5))=$B$5,INDEX(NKC!$H$7:$H$3006,$J277),""))</f>
        <v/>
      </c>
      <c r="G277" s="125">
        <f>IF($J277="","",IF(LEFT(INDEX(NKC!$G$7:$G$3006,$J277),LEN($B$5))=$B$5,INDEX(NKC!$H$7:$H$3006,$J277),""))</f>
        <v/>
      </c>
      <c r="H277" s="132">
        <f>IF($J277="","",H276+N(F277)-N(G277))</f>
        <v/>
      </c>
      <c r="J277" s="117">
        <f>IFERROR(MATCH(270,NKC!$P$7:$P$3006,0),"")</f>
        <v/>
      </c>
    </row>
    <row r="278" ht="15" customHeight="1" s="78">
      <c r="A278" s="131">
        <f>IF($J278="","",INDEX(NKC!$B$7:$B$3006,$J278))</f>
        <v/>
      </c>
      <c r="B278" s="95">
        <f>IF($J278="","",INDEX(NKC!$C$7:$C$3006,$J278))</f>
        <v/>
      </c>
      <c r="C278" s="131">
        <f>IF($J278="","",INDEX(NKC!$D$7:$D$3006,$J278))</f>
        <v/>
      </c>
      <c r="D278" s="97">
        <f>IF($J278="","",INDEX(NKC!$E$7:$E$3006,$J278))</f>
        <v/>
      </c>
      <c r="E278" s="95">
        <f>IF($J278="","",IF(LEFT(INDEX(NKC!$F$7:$F$3006,$J278),LEN($B$5))=$B$5,INDEX(NKC!$G$7:$G$3006,$J278),INDEX(NKC!$F$7:$F$3006,$J278)))</f>
        <v/>
      </c>
      <c r="F278" s="125">
        <f>IF($J278="","",IF(LEFT(INDEX(NKC!$F$7:$F$3006,$J278),LEN($B$5))=$B$5,INDEX(NKC!$H$7:$H$3006,$J278),""))</f>
        <v/>
      </c>
      <c r="G278" s="125">
        <f>IF($J278="","",IF(LEFT(INDEX(NKC!$G$7:$G$3006,$J278),LEN($B$5))=$B$5,INDEX(NKC!$H$7:$H$3006,$J278),""))</f>
        <v/>
      </c>
      <c r="H278" s="132">
        <f>IF($J278="","",H277+N(F278)-N(G278))</f>
        <v/>
      </c>
      <c r="J278" s="117">
        <f>IFERROR(MATCH(271,NKC!$P$7:$P$3006,0),"")</f>
        <v/>
      </c>
    </row>
    <row r="279" ht="15" customHeight="1" s="78">
      <c r="A279" s="131">
        <f>IF($J279="","",INDEX(NKC!$B$7:$B$3006,$J279))</f>
        <v/>
      </c>
      <c r="B279" s="95">
        <f>IF($J279="","",INDEX(NKC!$C$7:$C$3006,$J279))</f>
        <v/>
      </c>
      <c r="C279" s="131">
        <f>IF($J279="","",INDEX(NKC!$D$7:$D$3006,$J279))</f>
        <v/>
      </c>
      <c r="D279" s="97">
        <f>IF($J279="","",INDEX(NKC!$E$7:$E$3006,$J279))</f>
        <v/>
      </c>
      <c r="E279" s="95">
        <f>IF($J279="","",IF(LEFT(INDEX(NKC!$F$7:$F$3006,$J279),LEN($B$5))=$B$5,INDEX(NKC!$G$7:$G$3006,$J279),INDEX(NKC!$F$7:$F$3006,$J279)))</f>
        <v/>
      </c>
      <c r="F279" s="125">
        <f>IF($J279="","",IF(LEFT(INDEX(NKC!$F$7:$F$3006,$J279),LEN($B$5))=$B$5,INDEX(NKC!$H$7:$H$3006,$J279),""))</f>
        <v/>
      </c>
      <c r="G279" s="125">
        <f>IF($J279="","",IF(LEFT(INDEX(NKC!$G$7:$G$3006,$J279),LEN($B$5))=$B$5,INDEX(NKC!$H$7:$H$3006,$J279),""))</f>
        <v/>
      </c>
      <c r="H279" s="132">
        <f>IF($J279="","",H278+N(F279)-N(G279))</f>
        <v/>
      </c>
      <c r="J279" s="117">
        <f>IFERROR(MATCH(272,NKC!$P$7:$P$3006,0),"")</f>
        <v/>
      </c>
    </row>
    <row r="280" ht="15" customHeight="1" s="78">
      <c r="A280" s="131">
        <f>IF($J280="","",INDEX(NKC!$B$7:$B$3006,$J280))</f>
        <v/>
      </c>
      <c r="B280" s="95">
        <f>IF($J280="","",INDEX(NKC!$C$7:$C$3006,$J280))</f>
        <v/>
      </c>
      <c r="C280" s="131">
        <f>IF($J280="","",INDEX(NKC!$D$7:$D$3006,$J280))</f>
        <v/>
      </c>
      <c r="D280" s="97">
        <f>IF($J280="","",INDEX(NKC!$E$7:$E$3006,$J280))</f>
        <v/>
      </c>
      <c r="E280" s="95">
        <f>IF($J280="","",IF(LEFT(INDEX(NKC!$F$7:$F$3006,$J280),LEN($B$5))=$B$5,INDEX(NKC!$G$7:$G$3006,$J280),INDEX(NKC!$F$7:$F$3006,$J280)))</f>
        <v/>
      </c>
      <c r="F280" s="125">
        <f>IF($J280="","",IF(LEFT(INDEX(NKC!$F$7:$F$3006,$J280),LEN($B$5))=$B$5,INDEX(NKC!$H$7:$H$3006,$J280),""))</f>
        <v/>
      </c>
      <c r="G280" s="125">
        <f>IF($J280="","",IF(LEFT(INDEX(NKC!$G$7:$G$3006,$J280),LEN($B$5))=$B$5,INDEX(NKC!$H$7:$H$3006,$J280),""))</f>
        <v/>
      </c>
      <c r="H280" s="132">
        <f>IF($J280="","",H279+N(F280)-N(G280))</f>
        <v/>
      </c>
      <c r="J280" s="117">
        <f>IFERROR(MATCH(273,NKC!$P$7:$P$3006,0),"")</f>
        <v/>
      </c>
    </row>
    <row r="281" ht="15" customHeight="1" s="78">
      <c r="A281" s="131">
        <f>IF($J281="","",INDEX(NKC!$B$7:$B$3006,$J281))</f>
        <v/>
      </c>
      <c r="B281" s="95">
        <f>IF($J281="","",INDEX(NKC!$C$7:$C$3006,$J281))</f>
        <v/>
      </c>
      <c r="C281" s="131">
        <f>IF($J281="","",INDEX(NKC!$D$7:$D$3006,$J281))</f>
        <v/>
      </c>
      <c r="D281" s="97">
        <f>IF($J281="","",INDEX(NKC!$E$7:$E$3006,$J281))</f>
        <v/>
      </c>
      <c r="E281" s="95">
        <f>IF($J281="","",IF(LEFT(INDEX(NKC!$F$7:$F$3006,$J281),LEN($B$5))=$B$5,INDEX(NKC!$G$7:$G$3006,$J281),INDEX(NKC!$F$7:$F$3006,$J281)))</f>
        <v/>
      </c>
      <c r="F281" s="125">
        <f>IF($J281="","",IF(LEFT(INDEX(NKC!$F$7:$F$3006,$J281),LEN($B$5))=$B$5,INDEX(NKC!$H$7:$H$3006,$J281),""))</f>
        <v/>
      </c>
      <c r="G281" s="125">
        <f>IF($J281="","",IF(LEFT(INDEX(NKC!$G$7:$G$3006,$J281),LEN($B$5))=$B$5,INDEX(NKC!$H$7:$H$3006,$J281),""))</f>
        <v/>
      </c>
      <c r="H281" s="132">
        <f>IF($J281="","",H280+N(F281)-N(G281))</f>
        <v/>
      </c>
      <c r="J281" s="117">
        <f>IFERROR(MATCH(274,NKC!$P$7:$P$3006,0),"")</f>
        <v/>
      </c>
    </row>
    <row r="282" ht="15" customHeight="1" s="78">
      <c r="A282" s="131">
        <f>IF($J282="","",INDEX(NKC!$B$7:$B$3006,$J282))</f>
        <v/>
      </c>
      <c r="B282" s="95">
        <f>IF($J282="","",INDEX(NKC!$C$7:$C$3006,$J282))</f>
        <v/>
      </c>
      <c r="C282" s="131">
        <f>IF($J282="","",INDEX(NKC!$D$7:$D$3006,$J282))</f>
        <v/>
      </c>
      <c r="D282" s="97">
        <f>IF($J282="","",INDEX(NKC!$E$7:$E$3006,$J282))</f>
        <v/>
      </c>
      <c r="E282" s="95">
        <f>IF($J282="","",IF(LEFT(INDEX(NKC!$F$7:$F$3006,$J282),LEN($B$5))=$B$5,INDEX(NKC!$G$7:$G$3006,$J282),INDEX(NKC!$F$7:$F$3006,$J282)))</f>
        <v/>
      </c>
      <c r="F282" s="125">
        <f>IF($J282="","",IF(LEFT(INDEX(NKC!$F$7:$F$3006,$J282),LEN($B$5))=$B$5,INDEX(NKC!$H$7:$H$3006,$J282),""))</f>
        <v/>
      </c>
      <c r="G282" s="125">
        <f>IF($J282="","",IF(LEFT(INDEX(NKC!$G$7:$G$3006,$J282),LEN($B$5))=$B$5,INDEX(NKC!$H$7:$H$3006,$J282),""))</f>
        <v/>
      </c>
      <c r="H282" s="132">
        <f>IF($J282="","",H281+N(F282)-N(G282))</f>
        <v/>
      </c>
      <c r="J282" s="117">
        <f>IFERROR(MATCH(275,NKC!$P$7:$P$3006,0),"")</f>
        <v/>
      </c>
    </row>
    <row r="283" ht="15" customHeight="1" s="78">
      <c r="A283" s="131">
        <f>IF($J283="","",INDEX(NKC!$B$7:$B$3006,$J283))</f>
        <v/>
      </c>
      <c r="B283" s="95">
        <f>IF($J283="","",INDEX(NKC!$C$7:$C$3006,$J283))</f>
        <v/>
      </c>
      <c r="C283" s="131">
        <f>IF($J283="","",INDEX(NKC!$D$7:$D$3006,$J283))</f>
        <v/>
      </c>
      <c r="D283" s="97">
        <f>IF($J283="","",INDEX(NKC!$E$7:$E$3006,$J283))</f>
        <v/>
      </c>
      <c r="E283" s="95">
        <f>IF($J283="","",IF(LEFT(INDEX(NKC!$F$7:$F$3006,$J283),LEN($B$5))=$B$5,INDEX(NKC!$G$7:$G$3006,$J283),INDEX(NKC!$F$7:$F$3006,$J283)))</f>
        <v/>
      </c>
      <c r="F283" s="125">
        <f>IF($J283="","",IF(LEFT(INDEX(NKC!$F$7:$F$3006,$J283),LEN($B$5))=$B$5,INDEX(NKC!$H$7:$H$3006,$J283),""))</f>
        <v/>
      </c>
      <c r="G283" s="125">
        <f>IF($J283="","",IF(LEFT(INDEX(NKC!$G$7:$G$3006,$J283),LEN($B$5))=$B$5,INDEX(NKC!$H$7:$H$3006,$J283),""))</f>
        <v/>
      </c>
      <c r="H283" s="132">
        <f>IF($J283="","",H282+N(F283)-N(G283))</f>
        <v/>
      </c>
      <c r="J283" s="117">
        <f>IFERROR(MATCH(276,NKC!$P$7:$P$3006,0),"")</f>
        <v/>
      </c>
    </row>
    <row r="284" ht="15" customHeight="1" s="78">
      <c r="A284" s="131">
        <f>IF($J284="","",INDEX(NKC!$B$7:$B$3006,$J284))</f>
        <v/>
      </c>
      <c r="B284" s="95">
        <f>IF($J284="","",INDEX(NKC!$C$7:$C$3006,$J284))</f>
        <v/>
      </c>
      <c r="C284" s="131">
        <f>IF($J284="","",INDEX(NKC!$D$7:$D$3006,$J284))</f>
        <v/>
      </c>
      <c r="D284" s="97">
        <f>IF($J284="","",INDEX(NKC!$E$7:$E$3006,$J284))</f>
        <v/>
      </c>
      <c r="E284" s="95">
        <f>IF($J284="","",IF(LEFT(INDEX(NKC!$F$7:$F$3006,$J284),LEN($B$5))=$B$5,INDEX(NKC!$G$7:$G$3006,$J284),INDEX(NKC!$F$7:$F$3006,$J284)))</f>
        <v/>
      </c>
      <c r="F284" s="125">
        <f>IF($J284="","",IF(LEFT(INDEX(NKC!$F$7:$F$3006,$J284),LEN($B$5))=$B$5,INDEX(NKC!$H$7:$H$3006,$J284),""))</f>
        <v/>
      </c>
      <c r="G284" s="125">
        <f>IF($J284="","",IF(LEFT(INDEX(NKC!$G$7:$G$3006,$J284),LEN($B$5))=$B$5,INDEX(NKC!$H$7:$H$3006,$J284),""))</f>
        <v/>
      </c>
      <c r="H284" s="132">
        <f>IF($J284="","",H283+N(F284)-N(G284))</f>
        <v/>
      </c>
      <c r="J284" s="117">
        <f>IFERROR(MATCH(277,NKC!$P$7:$P$3006,0),"")</f>
        <v/>
      </c>
    </row>
    <row r="285" ht="15" customHeight="1" s="78">
      <c r="A285" s="131">
        <f>IF($J285="","",INDEX(NKC!$B$7:$B$3006,$J285))</f>
        <v/>
      </c>
      <c r="B285" s="95">
        <f>IF($J285="","",INDEX(NKC!$C$7:$C$3006,$J285))</f>
        <v/>
      </c>
      <c r="C285" s="131">
        <f>IF($J285="","",INDEX(NKC!$D$7:$D$3006,$J285))</f>
        <v/>
      </c>
      <c r="D285" s="97">
        <f>IF($J285="","",INDEX(NKC!$E$7:$E$3006,$J285))</f>
        <v/>
      </c>
      <c r="E285" s="95">
        <f>IF($J285="","",IF(LEFT(INDEX(NKC!$F$7:$F$3006,$J285),LEN($B$5))=$B$5,INDEX(NKC!$G$7:$G$3006,$J285),INDEX(NKC!$F$7:$F$3006,$J285)))</f>
        <v/>
      </c>
      <c r="F285" s="125">
        <f>IF($J285="","",IF(LEFT(INDEX(NKC!$F$7:$F$3006,$J285),LEN($B$5))=$B$5,INDEX(NKC!$H$7:$H$3006,$J285),""))</f>
        <v/>
      </c>
      <c r="G285" s="125">
        <f>IF($J285="","",IF(LEFT(INDEX(NKC!$G$7:$G$3006,$J285),LEN($B$5))=$B$5,INDEX(NKC!$H$7:$H$3006,$J285),""))</f>
        <v/>
      </c>
      <c r="H285" s="132">
        <f>IF($J285="","",H284+N(F285)-N(G285))</f>
        <v/>
      </c>
      <c r="J285" s="117">
        <f>IFERROR(MATCH(278,NKC!$P$7:$P$3006,0),"")</f>
        <v/>
      </c>
    </row>
    <row r="286" ht="15" customHeight="1" s="78">
      <c r="A286" s="131">
        <f>IF($J286="","",INDEX(NKC!$B$7:$B$3006,$J286))</f>
        <v/>
      </c>
      <c r="B286" s="95">
        <f>IF($J286="","",INDEX(NKC!$C$7:$C$3006,$J286))</f>
        <v/>
      </c>
      <c r="C286" s="131">
        <f>IF($J286="","",INDEX(NKC!$D$7:$D$3006,$J286))</f>
        <v/>
      </c>
      <c r="D286" s="97">
        <f>IF($J286="","",INDEX(NKC!$E$7:$E$3006,$J286))</f>
        <v/>
      </c>
      <c r="E286" s="95">
        <f>IF($J286="","",IF(LEFT(INDEX(NKC!$F$7:$F$3006,$J286),LEN($B$5))=$B$5,INDEX(NKC!$G$7:$G$3006,$J286),INDEX(NKC!$F$7:$F$3006,$J286)))</f>
        <v/>
      </c>
      <c r="F286" s="125">
        <f>IF($J286="","",IF(LEFT(INDEX(NKC!$F$7:$F$3006,$J286),LEN($B$5))=$B$5,INDEX(NKC!$H$7:$H$3006,$J286),""))</f>
        <v/>
      </c>
      <c r="G286" s="125">
        <f>IF($J286="","",IF(LEFT(INDEX(NKC!$G$7:$G$3006,$J286),LEN($B$5))=$B$5,INDEX(NKC!$H$7:$H$3006,$J286),""))</f>
        <v/>
      </c>
      <c r="H286" s="132">
        <f>IF($J286="","",H285+N(F286)-N(G286))</f>
        <v/>
      </c>
      <c r="J286" s="117">
        <f>IFERROR(MATCH(279,NKC!$P$7:$P$3006,0),"")</f>
        <v/>
      </c>
    </row>
    <row r="287" ht="15" customHeight="1" s="78">
      <c r="A287" s="131">
        <f>IF($J287="","",INDEX(NKC!$B$7:$B$3006,$J287))</f>
        <v/>
      </c>
      <c r="B287" s="95">
        <f>IF($J287="","",INDEX(NKC!$C$7:$C$3006,$J287))</f>
        <v/>
      </c>
      <c r="C287" s="131">
        <f>IF($J287="","",INDEX(NKC!$D$7:$D$3006,$J287))</f>
        <v/>
      </c>
      <c r="D287" s="97">
        <f>IF($J287="","",INDEX(NKC!$E$7:$E$3006,$J287))</f>
        <v/>
      </c>
      <c r="E287" s="95">
        <f>IF($J287="","",IF(LEFT(INDEX(NKC!$F$7:$F$3006,$J287),LEN($B$5))=$B$5,INDEX(NKC!$G$7:$G$3006,$J287),INDEX(NKC!$F$7:$F$3006,$J287)))</f>
        <v/>
      </c>
      <c r="F287" s="125">
        <f>IF($J287="","",IF(LEFT(INDEX(NKC!$F$7:$F$3006,$J287),LEN($B$5))=$B$5,INDEX(NKC!$H$7:$H$3006,$J287),""))</f>
        <v/>
      </c>
      <c r="G287" s="125">
        <f>IF($J287="","",IF(LEFT(INDEX(NKC!$G$7:$G$3006,$J287),LEN($B$5))=$B$5,INDEX(NKC!$H$7:$H$3006,$J287),""))</f>
        <v/>
      </c>
      <c r="H287" s="132">
        <f>IF($J287="","",H286+N(F287)-N(G287))</f>
        <v/>
      </c>
      <c r="J287" s="117">
        <f>IFERROR(MATCH(280,NKC!$P$7:$P$3006,0),"")</f>
        <v/>
      </c>
    </row>
    <row r="288" ht="15" customHeight="1" s="78">
      <c r="A288" s="131">
        <f>IF($J288="","",INDEX(NKC!$B$7:$B$3006,$J288))</f>
        <v/>
      </c>
      <c r="B288" s="95">
        <f>IF($J288="","",INDEX(NKC!$C$7:$C$3006,$J288))</f>
        <v/>
      </c>
      <c r="C288" s="131">
        <f>IF($J288="","",INDEX(NKC!$D$7:$D$3006,$J288))</f>
        <v/>
      </c>
      <c r="D288" s="97">
        <f>IF($J288="","",INDEX(NKC!$E$7:$E$3006,$J288))</f>
        <v/>
      </c>
      <c r="E288" s="95">
        <f>IF($J288="","",IF(LEFT(INDEX(NKC!$F$7:$F$3006,$J288),LEN($B$5))=$B$5,INDEX(NKC!$G$7:$G$3006,$J288),INDEX(NKC!$F$7:$F$3006,$J288)))</f>
        <v/>
      </c>
      <c r="F288" s="125">
        <f>IF($J288="","",IF(LEFT(INDEX(NKC!$F$7:$F$3006,$J288),LEN($B$5))=$B$5,INDEX(NKC!$H$7:$H$3006,$J288),""))</f>
        <v/>
      </c>
      <c r="G288" s="125">
        <f>IF($J288="","",IF(LEFT(INDEX(NKC!$G$7:$G$3006,$J288),LEN($B$5))=$B$5,INDEX(NKC!$H$7:$H$3006,$J288),""))</f>
        <v/>
      </c>
      <c r="H288" s="132">
        <f>IF($J288="","",H287+N(F288)-N(G288))</f>
        <v/>
      </c>
      <c r="J288" s="117">
        <f>IFERROR(MATCH(281,NKC!$P$7:$P$3006,0),"")</f>
        <v/>
      </c>
    </row>
    <row r="289" ht="15" customHeight="1" s="78">
      <c r="A289" s="131">
        <f>IF($J289="","",INDEX(NKC!$B$7:$B$3006,$J289))</f>
        <v/>
      </c>
      <c r="B289" s="95">
        <f>IF($J289="","",INDEX(NKC!$C$7:$C$3006,$J289))</f>
        <v/>
      </c>
      <c r="C289" s="131">
        <f>IF($J289="","",INDEX(NKC!$D$7:$D$3006,$J289))</f>
        <v/>
      </c>
      <c r="D289" s="97">
        <f>IF($J289="","",INDEX(NKC!$E$7:$E$3006,$J289))</f>
        <v/>
      </c>
      <c r="E289" s="95">
        <f>IF($J289="","",IF(LEFT(INDEX(NKC!$F$7:$F$3006,$J289),LEN($B$5))=$B$5,INDEX(NKC!$G$7:$G$3006,$J289),INDEX(NKC!$F$7:$F$3006,$J289)))</f>
        <v/>
      </c>
      <c r="F289" s="125">
        <f>IF($J289="","",IF(LEFT(INDEX(NKC!$F$7:$F$3006,$J289),LEN($B$5))=$B$5,INDEX(NKC!$H$7:$H$3006,$J289),""))</f>
        <v/>
      </c>
      <c r="G289" s="125">
        <f>IF($J289="","",IF(LEFT(INDEX(NKC!$G$7:$G$3006,$J289),LEN($B$5))=$B$5,INDEX(NKC!$H$7:$H$3006,$J289),""))</f>
        <v/>
      </c>
      <c r="H289" s="132">
        <f>IF($J289="","",H288+N(F289)-N(G289))</f>
        <v/>
      </c>
      <c r="J289" s="117">
        <f>IFERROR(MATCH(282,NKC!$P$7:$P$3006,0),"")</f>
        <v/>
      </c>
    </row>
    <row r="290" ht="15" customHeight="1" s="78">
      <c r="A290" s="131">
        <f>IF($J290="","",INDEX(NKC!$B$7:$B$3006,$J290))</f>
        <v/>
      </c>
      <c r="B290" s="95">
        <f>IF($J290="","",INDEX(NKC!$C$7:$C$3006,$J290))</f>
        <v/>
      </c>
      <c r="C290" s="131">
        <f>IF($J290="","",INDEX(NKC!$D$7:$D$3006,$J290))</f>
        <v/>
      </c>
      <c r="D290" s="97">
        <f>IF($J290="","",INDEX(NKC!$E$7:$E$3006,$J290))</f>
        <v/>
      </c>
      <c r="E290" s="95">
        <f>IF($J290="","",IF(LEFT(INDEX(NKC!$F$7:$F$3006,$J290),LEN($B$5))=$B$5,INDEX(NKC!$G$7:$G$3006,$J290),INDEX(NKC!$F$7:$F$3006,$J290)))</f>
        <v/>
      </c>
      <c r="F290" s="125">
        <f>IF($J290="","",IF(LEFT(INDEX(NKC!$F$7:$F$3006,$J290),LEN($B$5))=$B$5,INDEX(NKC!$H$7:$H$3006,$J290),""))</f>
        <v/>
      </c>
      <c r="G290" s="125">
        <f>IF($J290="","",IF(LEFT(INDEX(NKC!$G$7:$G$3006,$J290),LEN($B$5))=$B$5,INDEX(NKC!$H$7:$H$3006,$J290),""))</f>
        <v/>
      </c>
      <c r="H290" s="132">
        <f>IF($J290="","",H289+N(F290)-N(G290))</f>
        <v/>
      </c>
      <c r="J290" s="117">
        <f>IFERROR(MATCH(283,NKC!$P$7:$P$3006,0),"")</f>
        <v/>
      </c>
    </row>
    <row r="291" ht="15" customHeight="1" s="78">
      <c r="A291" s="131">
        <f>IF($J291="","",INDEX(NKC!$B$7:$B$3006,$J291))</f>
        <v/>
      </c>
      <c r="B291" s="95">
        <f>IF($J291="","",INDEX(NKC!$C$7:$C$3006,$J291))</f>
        <v/>
      </c>
      <c r="C291" s="131">
        <f>IF($J291="","",INDEX(NKC!$D$7:$D$3006,$J291))</f>
        <v/>
      </c>
      <c r="D291" s="97">
        <f>IF($J291="","",INDEX(NKC!$E$7:$E$3006,$J291))</f>
        <v/>
      </c>
      <c r="E291" s="95">
        <f>IF($J291="","",IF(LEFT(INDEX(NKC!$F$7:$F$3006,$J291),LEN($B$5))=$B$5,INDEX(NKC!$G$7:$G$3006,$J291),INDEX(NKC!$F$7:$F$3006,$J291)))</f>
        <v/>
      </c>
      <c r="F291" s="125">
        <f>IF($J291="","",IF(LEFT(INDEX(NKC!$F$7:$F$3006,$J291),LEN($B$5))=$B$5,INDEX(NKC!$H$7:$H$3006,$J291),""))</f>
        <v/>
      </c>
      <c r="G291" s="125">
        <f>IF($J291="","",IF(LEFT(INDEX(NKC!$G$7:$G$3006,$J291),LEN($B$5))=$B$5,INDEX(NKC!$H$7:$H$3006,$J291),""))</f>
        <v/>
      </c>
      <c r="H291" s="132">
        <f>IF($J291="","",H290+N(F291)-N(G291))</f>
        <v/>
      </c>
      <c r="J291" s="117">
        <f>IFERROR(MATCH(284,NKC!$P$7:$P$3006,0),"")</f>
        <v/>
      </c>
    </row>
    <row r="292" ht="15" customHeight="1" s="78">
      <c r="A292" s="131">
        <f>IF($J292="","",INDEX(NKC!$B$7:$B$3006,$J292))</f>
        <v/>
      </c>
      <c r="B292" s="95">
        <f>IF($J292="","",INDEX(NKC!$C$7:$C$3006,$J292))</f>
        <v/>
      </c>
      <c r="C292" s="131">
        <f>IF($J292="","",INDEX(NKC!$D$7:$D$3006,$J292))</f>
        <v/>
      </c>
      <c r="D292" s="97">
        <f>IF($J292="","",INDEX(NKC!$E$7:$E$3006,$J292))</f>
        <v/>
      </c>
      <c r="E292" s="95">
        <f>IF($J292="","",IF(LEFT(INDEX(NKC!$F$7:$F$3006,$J292),LEN($B$5))=$B$5,INDEX(NKC!$G$7:$G$3006,$J292),INDEX(NKC!$F$7:$F$3006,$J292)))</f>
        <v/>
      </c>
      <c r="F292" s="125">
        <f>IF($J292="","",IF(LEFT(INDEX(NKC!$F$7:$F$3006,$J292),LEN($B$5))=$B$5,INDEX(NKC!$H$7:$H$3006,$J292),""))</f>
        <v/>
      </c>
      <c r="G292" s="125">
        <f>IF($J292="","",IF(LEFT(INDEX(NKC!$G$7:$G$3006,$J292),LEN($B$5))=$B$5,INDEX(NKC!$H$7:$H$3006,$J292),""))</f>
        <v/>
      </c>
      <c r="H292" s="132">
        <f>IF($J292="","",H291+N(F292)-N(G292))</f>
        <v/>
      </c>
      <c r="J292" s="117">
        <f>IFERROR(MATCH(285,NKC!$P$7:$P$3006,0),"")</f>
        <v/>
      </c>
    </row>
    <row r="293" ht="15" customHeight="1" s="78">
      <c r="A293" s="131">
        <f>IF($J293="","",INDEX(NKC!$B$7:$B$3006,$J293))</f>
        <v/>
      </c>
      <c r="B293" s="95">
        <f>IF($J293="","",INDEX(NKC!$C$7:$C$3006,$J293))</f>
        <v/>
      </c>
      <c r="C293" s="131">
        <f>IF($J293="","",INDEX(NKC!$D$7:$D$3006,$J293))</f>
        <v/>
      </c>
      <c r="D293" s="97">
        <f>IF($J293="","",INDEX(NKC!$E$7:$E$3006,$J293))</f>
        <v/>
      </c>
      <c r="E293" s="95">
        <f>IF($J293="","",IF(LEFT(INDEX(NKC!$F$7:$F$3006,$J293),LEN($B$5))=$B$5,INDEX(NKC!$G$7:$G$3006,$J293),INDEX(NKC!$F$7:$F$3006,$J293)))</f>
        <v/>
      </c>
      <c r="F293" s="125">
        <f>IF($J293="","",IF(LEFT(INDEX(NKC!$F$7:$F$3006,$J293),LEN($B$5))=$B$5,INDEX(NKC!$H$7:$H$3006,$J293),""))</f>
        <v/>
      </c>
      <c r="G293" s="125">
        <f>IF($J293="","",IF(LEFT(INDEX(NKC!$G$7:$G$3006,$J293),LEN($B$5))=$B$5,INDEX(NKC!$H$7:$H$3006,$J293),""))</f>
        <v/>
      </c>
      <c r="H293" s="132">
        <f>IF($J293="","",H292+N(F293)-N(G293))</f>
        <v/>
      </c>
      <c r="J293" s="117">
        <f>IFERROR(MATCH(286,NKC!$P$7:$P$3006,0),"")</f>
        <v/>
      </c>
    </row>
    <row r="294" ht="15" customHeight="1" s="78">
      <c r="A294" s="131">
        <f>IF($J294="","",INDEX(NKC!$B$7:$B$3006,$J294))</f>
        <v/>
      </c>
      <c r="B294" s="95">
        <f>IF($J294="","",INDEX(NKC!$C$7:$C$3006,$J294))</f>
        <v/>
      </c>
      <c r="C294" s="131">
        <f>IF($J294="","",INDEX(NKC!$D$7:$D$3006,$J294))</f>
        <v/>
      </c>
      <c r="D294" s="97">
        <f>IF($J294="","",INDEX(NKC!$E$7:$E$3006,$J294))</f>
        <v/>
      </c>
      <c r="E294" s="95">
        <f>IF($J294="","",IF(LEFT(INDEX(NKC!$F$7:$F$3006,$J294),LEN($B$5))=$B$5,INDEX(NKC!$G$7:$G$3006,$J294),INDEX(NKC!$F$7:$F$3006,$J294)))</f>
        <v/>
      </c>
      <c r="F294" s="125">
        <f>IF($J294="","",IF(LEFT(INDEX(NKC!$F$7:$F$3006,$J294),LEN($B$5))=$B$5,INDEX(NKC!$H$7:$H$3006,$J294),""))</f>
        <v/>
      </c>
      <c r="G294" s="125">
        <f>IF($J294="","",IF(LEFT(INDEX(NKC!$G$7:$G$3006,$J294),LEN($B$5))=$B$5,INDEX(NKC!$H$7:$H$3006,$J294),""))</f>
        <v/>
      </c>
      <c r="H294" s="132">
        <f>IF($J294="","",H293+N(F294)-N(G294))</f>
        <v/>
      </c>
      <c r="J294" s="117">
        <f>IFERROR(MATCH(287,NKC!$P$7:$P$3006,0),"")</f>
        <v/>
      </c>
    </row>
    <row r="295" ht="15" customHeight="1" s="78">
      <c r="A295" s="131">
        <f>IF($J295="","",INDEX(NKC!$B$7:$B$3006,$J295))</f>
        <v/>
      </c>
      <c r="B295" s="95">
        <f>IF($J295="","",INDEX(NKC!$C$7:$C$3006,$J295))</f>
        <v/>
      </c>
      <c r="C295" s="131">
        <f>IF($J295="","",INDEX(NKC!$D$7:$D$3006,$J295))</f>
        <v/>
      </c>
      <c r="D295" s="97">
        <f>IF($J295="","",INDEX(NKC!$E$7:$E$3006,$J295))</f>
        <v/>
      </c>
      <c r="E295" s="95">
        <f>IF($J295="","",IF(LEFT(INDEX(NKC!$F$7:$F$3006,$J295),LEN($B$5))=$B$5,INDEX(NKC!$G$7:$G$3006,$J295),INDEX(NKC!$F$7:$F$3006,$J295)))</f>
        <v/>
      </c>
      <c r="F295" s="125">
        <f>IF($J295="","",IF(LEFT(INDEX(NKC!$F$7:$F$3006,$J295),LEN($B$5))=$B$5,INDEX(NKC!$H$7:$H$3006,$J295),""))</f>
        <v/>
      </c>
      <c r="G295" s="125">
        <f>IF($J295="","",IF(LEFT(INDEX(NKC!$G$7:$G$3006,$J295),LEN($B$5))=$B$5,INDEX(NKC!$H$7:$H$3006,$J295),""))</f>
        <v/>
      </c>
      <c r="H295" s="132">
        <f>IF($J295="","",H294+N(F295)-N(G295))</f>
        <v/>
      </c>
      <c r="J295" s="117">
        <f>IFERROR(MATCH(288,NKC!$P$7:$P$3006,0),"")</f>
        <v/>
      </c>
    </row>
    <row r="296" ht="15" customHeight="1" s="78">
      <c r="A296" s="131">
        <f>IF($J296="","",INDEX(NKC!$B$7:$B$3006,$J296))</f>
        <v/>
      </c>
      <c r="B296" s="95">
        <f>IF($J296="","",INDEX(NKC!$C$7:$C$3006,$J296))</f>
        <v/>
      </c>
      <c r="C296" s="131">
        <f>IF($J296="","",INDEX(NKC!$D$7:$D$3006,$J296))</f>
        <v/>
      </c>
      <c r="D296" s="97">
        <f>IF($J296="","",INDEX(NKC!$E$7:$E$3006,$J296))</f>
        <v/>
      </c>
      <c r="E296" s="95">
        <f>IF($J296="","",IF(LEFT(INDEX(NKC!$F$7:$F$3006,$J296),LEN($B$5))=$B$5,INDEX(NKC!$G$7:$G$3006,$J296),INDEX(NKC!$F$7:$F$3006,$J296)))</f>
        <v/>
      </c>
      <c r="F296" s="125">
        <f>IF($J296="","",IF(LEFT(INDEX(NKC!$F$7:$F$3006,$J296),LEN($B$5))=$B$5,INDEX(NKC!$H$7:$H$3006,$J296),""))</f>
        <v/>
      </c>
      <c r="G296" s="125">
        <f>IF($J296="","",IF(LEFT(INDEX(NKC!$G$7:$G$3006,$J296),LEN($B$5))=$B$5,INDEX(NKC!$H$7:$H$3006,$J296),""))</f>
        <v/>
      </c>
      <c r="H296" s="132">
        <f>IF($J296="","",H295+N(F296)-N(G296))</f>
        <v/>
      </c>
      <c r="J296" s="117">
        <f>IFERROR(MATCH(289,NKC!$P$7:$P$3006,0),"")</f>
        <v/>
      </c>
    </row>
    <row r="297" ht="15" customHeight="1" s="78">
      <c r="A297" s="131">
        <f>IF($J297="","",INDEX(NKC!$B$7:$B$3006,$J297))</f>
        <v/>
      </c>
      <c r="B297" s="95">
        <f>IF($J297="","",INDEX(NKC!$C$7:$C$3006,$J297))</f>
        <v/>
      </c>
      <c r="C297" s="131">
        <f>IF($J297="","",INDEX(NKC!$D$7:$D$3006,$J297))</f>
        <v/>
      </c>
      <c r="D297" s="97">
        <f>IF($J297="","",INDEX(NKC!$E$7:$E$3006,$J297))</f>
        <v/>
      </c>
      <c r="E297" s="95">
        <f>IF($J297="","",IF(LEFT(INDEX(NKC!$F$7:$F$3006,$J297),LEN($B$5))=$B$5,INDEX(NKC!$G$7:$G$3006,$J297),INDEX(NKC!$F$7:$F$3006,$J297)))</f>
        <v/>
      </c>
      <c r="F297" s="125">
        <f>IF($J297="","",IF(LEFT(INDEX(NKC!$F$7:$F$3006,$J297),LEN($B$5))=$B$5,INDEX(NKC!$H$7:$H$3006,$J297),""))</f>
        <v/>
      </c>
      <c r="G297" s="125">
        <f>IF($J297="","",IF(LEFT(INDEX(NKC!$G$7:$G$3006,$J297),LEN($B$5))=$B$5,INDEX(NKC!$H$7:$H$3006,$J297),""))</f>
        <v/>
      </c>
      <c r="H297" s="132">
        <f>IF($J297="","",H296+N(F297)-N(G297))</f>
        <v/>
      </c>
      <c r="J297" s="117">
        <f>IFERROR(MATCH(290,NKC!$P$7:$P$3006,0),"")</f>
        <v/>
      </c>
    </row>
    <row r="298" ht="15" customHeight="1" s="78">
      <c r="A298" s="131">
        <f>IF($J298="","",INDEX(NKC!$B$7:$B$3006,$J298))</f>
        <v/>
      </c>
      <c r="B298" s="95">
        <f>IF($J298="","",INDEX(NKC!$C$7:$C$3006,$J298))</f>
        <v/>
      </c>
      <c r="C298" s="131">
        <f>IF($J298="","",INDEX(NKC!$D$7:$D$3006,$J298))</f>
        <v/>
      </c>
      <c r="D298" s="97">
        <f>IF($J298="","",INDEX(NKC!$E$7:$E$3006,$J298))</f>
        <v/>
      </c>
      <c r="E298" s="95">
        <f>IF($J298="","",IF(LEFT(INDEX(NKC!$F$7:$F$3006,$J298),LEN($B$5))=$B$5,INDEX(NKC!$G$7:$G$3006,$J298),INDEX(NKC!$F$7:$F$3006,$J298)))</f>
        <v/>
      </c>
      <c r="F298" s="125">
        <f>IF($J298="","",IF(LEFT(INDEX(NKC!$F$7:$F$3006,$J298),LEN($B$5))=$B$5,INDEX(NKC!$H$7:$H$3006,$J298),""))</f>
        <v/>
      </c>
      <c r="G298" s="125">
        <f>IF($J298="","",IF(LEFT(INDEX(NKC!$G$7:$G$3006,$J298),LEN($B$5))=$B$5,INDEX(NKC!$H$7:$H$3006,$J298),""))</f>
        <v/>
      </c>
      <c r="H298" s="132">
        <f>IF($J298="","",H297+N(F298)-N(G298))</f>
        <v/>
      </c>
      <c r="J298" s="117">
        <f>IFERROR(MATCH(291,NKC!$P$7:$P$3006,0),"")</f>
        <v/>
      </c>
    </row>
    <row r="299" ht="15" customHeight="1" s="78">
      <c r="A299" s="131">
        <f>IF($J299="","",INDEX(NKC!$B$7:$B$3006,$J299))</f>
        <v/>
      </c>
      <c r="B299" s="95">
        <f>IF($J299="","",INDEX(NKC!$C$7:$C$3006,$J299))</f>
        <v/>
      </c>
      <c r="C299" s="131">
        <f>IF($J299="","",INDEX(NKC!$D$7:$D$3006,$J299))</f>
        <v/>
      </c>
      <c r="D299" s="97">
        <f>IF($J299="","",INDEX(NKC!$E$7:$E$3006,$J299))</f>
        <v/>
      </c>
      <c r="E299" s="95">
        <f>IF($J299="","",IF(LEFT(INDEX(NKC!$F$7:$F$3006,$J299),LEN($B$5))=$B$5,INDEX(NKC!$G$7:$G$3006,$J299),INDEX(NKC!$F$7:$F$3006,$J299)))</f>
        <v/>
      </c>
      <c r="F299" s="125">
        <f>IF($J299="","",IF(LEFT(INDEX(NKC!$F$7:$F$3006,$J299),LEN($B$5))=$B$5,INDEX(NKC!$H$7:$H$3006,$J299),""))</f>
        <v/>
      </c>
      <c r="G299" s="125">
        <f>IF($J299="","",IF(LEFT(INDEX(NKC!$G$7:$G$3006,$J299),LEN($B$5))=$B$5,INDEX(NKC!$H$7:$H$3006,$J299),""))</f>
        <v/>
      </c>
      <c r="H299" s="132">
        <f>IF($J299="","",H298+N(F299)-N(G299))</f>
        <v/>
      </c>
      <c r="J299" s="117">
        <f>IFERROR(MATCH(292,NKC!$P$7:$P$3006,0),"")</f>
        <v/>
      </c>
    </row>
    <row r="300" ht="15" customHeight="1" s="78">
      <c r="A300" s="131">
        <f>IF($J300="","",INDEX(NKC!$B$7:$B$3006,$J300))</f>
        <v/>
      </c>
      <c r="B300" s="95">
        <f>IF($J300="","",INDEX(NKC!$C$7:$C$3006,$J300))</f>
        <v/>
      </c>
      <c r="C300" s="131">
        <f>IF($J300="","",INDEX(NKC!$D$7:$D$3006,$J300))</f>
        <v/>
      </c>
      <c r="D300" s="97">
        <f>IF($J300="","",INDEX(NKC!$E$7:$E$3006,$J300))</f>
        <v/>
      </c>
      <c r="E300" s="95">
        <f>IF($J300="","",IF(LEFT(INDEX(NKC!$F$7:$F$3006,$J300),LEN($B$5))=$B$5,INDEX(NKC!$G$7:$G$3006,$J300),INDEX(NKC!$F$7:$F$3006,$J300)))</f>
        <v/>
      </c>
      <c r="F300" s="125">
        <f>IF($J300="","",IF(LEFT(INDEX(NKC!$F$7:$F$3006,$J300),LEN($B$5))=$B$5,INDEX(NKC!$H$7:$H$3006,$J300),""))</f>
        <v/>
      </c>
      <c r="G300" s="125">
        <f>IF($J300="","",IF(LEFT(INDEX(NKC!$G$7:$G$3006,$J300),LEN($B$5))=$B$5,INDEX(NKC!$H$7:$H$3006,$J300),""))</f>
        <v/>
      </c>
      <c r="H300" s="132">
        <f>IF($J300="","",H299+N(F300)-N(G300))</f>
        <v/>
      </c>
      <c r="J300" s="117">
        <f>IFERROR(MATCH(293,NKC!$P$7:$P$3006,0),"")</f>
        <v/>
      </c>
    </row>
    <row r="301" ht="15" customHeight="1" s="78">
      <c r="A301" s="131">
        <f>IF($J301="","",INDEX(NKC!$B$7:$B$3006,$J301))</f>
        <v/>
      </c>
      <c r="B301" s="95">
        <f>IF($J301="","",INDEX(NKC!$C$7:$C$3006,$J301))</f>
        <v/>
      </c>
      <c r="C301" s="131">
        <f>IF($J301="","",INDEX(NKC!$D$7:$D$3006,$J301))</f>
        <v/>
      </c>
      <c r="D301" s="97">
        <f>IF($J301="","",INDEX(NKC!$E$7:$E$3006,$J301))</f>
        <v/>
      </c>
      <c r="E301" s="95">
        <f>IF($J301="","",IF(LEFT(INDEX(NKC!$F$7:$F$3006,$J301),LEN($B$5))=$B$5,INDEX(NKC!$G$7:$G$3006,$J301),INDEX(NKC!$F$7:$F$3006,$J301)))</f>
        <v/>
      </c>
      <c r="F301" s="125">
        <f>IF($J301="","",IF(LEFT(INDEX(NKC!$F$7:$F$3006,$J301),LEN($B$5))=$B$5,INDEX(NKC!$H$7:$H$3006,$J301),""))</f>
        <v/>
      </c>
      <c r="G301" s="125">
        <f>IF($J301="","",IF(LEFT(INDEX(NKC!$G$7:$G$3006,$J301),LEN($B$5))=$B$5,INDEX(NKC!$H$7:$H$3006,$J301),""))</f>
        <v/>
      </c>
      <c r="H301" s="132">
        <f>IF($J301="","",H300+N(F301)-N(G301))</f>
        <v/>
      </c>
      <c r="J301" s="117">
        <f>IFERROR(MATCH(294,NKC!$P$7:$P$3006,0),"")</f>
        <v/>
      </c>
    </row>
    <row r="302" ht="15" customHeight="1" s="78">
      <c r="A302" s="131">
        <f>IF($J302="","",INDEX(NKC!$B$7:$B$3006,$J302))</f>
        <v/>
      </c>
      <c r="B302" s="95">
        <f>IF($J302="","",INDEX(NKC!$C$7:$C$3006,$J302))</f>
        <v/>
      </c>
      <c r="C302" s="131">
        <f>IF($J302="","",INDEX(NKC!$D$7:$D$3006,$J302))</f>
        <v/>
      </c>
      <c r="D302" s="97">
        <f>IF($J302="","",INDEX(NKC!$E$7:$E$3006,$J302))</f>
        <v/>
      </c>
      <c r="E302" s="95">
        <f>IF($J302="","",IF(LEFT(INDEX(NKC!$F$7:$F$3006,$J302),LEN($B$5))=$B$5,INDEX(NKC!$G$7:$G$3006,$J302),INDEX(NKC!$F$7:$F$3006,$J302)))</f>
        <v/>
      </c>
      <c r="F302" s="125">
        <f>IF($J302="","",IF(LEFT(INDEX(NKC!$F$7:$F$3006,$J302),LEN($B$5))=$B$5,INDEX(NKC!$H$7:$H$3006,$J302),""))</f>
        <v/>
      </c>
      <c r="G302" s="125">
        <f>IF($J302="","",IF(LEFT(INDEX(NKC!$G$7:$G$3006,$J302),LEN($B$5))=$B$5,INDEX(NKC!$H$7:$H$3006,$J302),""))</f>
        <v/>
      </c>
      <c r="H302" s="132">
        <f>IF($J302="","",H301+N(F302)-N(G302))</f>
        <v/>
      </c>
      <c r="J302" s="117">
        <f>IFERROR(MATCH(295,NKC!$P$7:$P$3006,0),"")</f>
        <v/>
      </c>
    </row>
    <row r="303" ht="15" customHeight="1" s="78">
      <c r="A303" s="131">
        <f>IF($J303="","",INDEX(NKC!$B$7:$B$3006,$J303))</f>
        <v/>
      </c>
      <c r="B303" s="95">
        <f>IF($J303="","",INDEX(NKC!$C$7:$C$3006,$J303))</f>
        <v/>
      </c>
      <c r="C303" s="131">
        <f>IF($J303="","",INDEX(NKC!$D$7:$D$3006,$J303))</f>
        <v/>
      </c>
      <c r="D303" s="97">
        <f>IF($J303="","",INDEX(NKC!$E$7:$E$3006,$J303))</f>
        <v/>
      </c>
      <c r="E303" s="95">
        <f>IF($J303="","",IF(LEFT(INDEX(NKC!$F$7:$F$3006,$J303),LEN($B$5))=$B$5,INDEX(NKC!$G$7:$G$3006,$J303),INDEX(NKC!$F$7:$F$3006,$J303)))</f>
        <v/>
      </c>
      <c r="F303" s="125">
        <f>IF($J303="","",IF(LEFT(INDEX(NKC!$F$7:$F$3006,$J303),LEN($B$5))=$B$5,INDEX(NKC!$H$7:$H$3006,$J303),""))</f>
        <v/>
      </c>
      <c r="G303" s="125">
        <f>IF($J303="","",IF(LEFT(INDEX(NKC!$G$7:$G$3006,$J303),LEN($B$5))=$B$5,INDEX(NKC!$H$7:$H$3006,$J303),""))</f>
        <v/>
      </c>
      <c r="H303" s="132">
        <f>IF($J303="","",H302+N(F303)-N(G303))</f>
        <v/>
      </c>
      <c r="J303" s="117">
        <f>IFERROR(MATCH(296,NKC!$P$7:$P$3006,0),"")</f>
        <v/>
      </c>
    </row>
    <row r="304" ht="15" customHeight="1" s="78">
      <c r="A304" s="131">
        <f>IF($J304="","",INDEX(NKC!$B$7:$B$3006,$J304))</f>
        <v/>
      </c>
      <c r="B304" s="95">
        <f>IF($J304="","",INDEX(NKC!$C$7:$C$3006,$J304))</f>
        <v/>
      </c>
      <c r="C304" s="131">
        <f>IF($J304="","",INDEX(NKC!$D$7:$D$3006,$J304))</f>
        <v/>
      </c>
      <c r="D304" s="97">
        <f>IF($J304="","",INDEX(NKC!$E$7:$E$3006,$J304))</f>
        <v/>
      </c>
      <c r="E304" s="95">
        <f>IF($J304="","",IF(LEFT(INDEX(NKC!$F$7:$F$3006,$J304),LEN($B$5))=$B$5,INDEX(NKC!$G$7:$G$3006,$J304),INDEX(NKC!$F$7:$F$3006,$J304)))</f>
        <v/>
      </c>
      <c r="F304" s="125">
        <f>IF($J304="","",IF(LEFT(INDEX(NKC!$F$7:$F$3006,$J304),LEN($B$5))=$B$5,INDEX(NKC!$H$7:$H$3006,$J304),""))</f>
        <v/>
      </c>
      <c r="G304" s="125">
        <f>IF($J304="","",IF(LEFT(INDEX(NKC!$G$7:$G$3006,$J304),LEN($B$5))=$B$5,INDEX(NKC!$H$7:$H$3006,$J304),""))</f>
        <v/>
      </c>
      <c r="H304" s="132">
        <f>IF($J304="","",H303+N(F304)-N(G304))</f>
        <v/>
      </c>
      <c r="J304" s="117">
        <f>IFERROR(MATCH(297,NKC!$P$7:$P$3006,0),"")</f>
        <v/>
      </c>
    </row>
    <row r="305" ht="15" customHeight="1" s="78">
      <c r="A305" s="131">
        <f>IF($J305="","",INDEX(NKC!$B$7:$B$3006,$J305))</f>
        <v/>
      </c>
      <c r="B305" s="95">
        <f>IF($J305="","",INDEX(NKC!$C$7:$C$3006,$J305))</f>
        <v/>
      </c>
      <c r="C305" s="131">
        <f>IF($J305="","",INDEX(NKC!$D$7:$D$3006,$J305))</f>
        <v/>
      </c>
      <c r="D305" s="97">
        <f>IF($J305="","",INDEX(NKC!$E$7:$E$3006,$J305))</f>
        <v/>
      </c>
      <c r="E305" s="95">
        <f>IF($J305="","",IF(LEFT(INDEX(NKC!$F$7:$F$3006,$J305),LEN($B$5))=$B$5,INDEX(NKC!$G$7:$G$3006,$J305),INDEX(NKC!$F$7:$F$3006,$J305)))</f>
        <v/>
      </c>
      <c r="F305" s="125">
        <f>IF($J305="","",IF(LEFT(INDEX(NKC!$F$7:$F$3006,$J305),LEN($B$5))=$B$5,INDEX(NKC!$H$7:$H$3006,$J305),""))</f>
        <v/>
      </c>
      <c r="G305" s="125">
        <f>IF($J305="","",IF(LEFT(INDEX(NKC!$G$7:$G$3006,$J305),LEN($B$5))=$B$5,INDEX(NKC!$H$7:$H$3006,$J305),""))</f>
        <v/>
      </c>
      <c r="H305" s="132">
        <f>IF($J305="","",H304+N(F305)-N(G305))</f>
        <v/>
      </c>
      <c r="J305" s="117">
        <f>IFERROR(MATCH(298,NKC!$P$7:$P$3006,0),"")</f>
        <v/>
      </c>
    </row>
    <row r="306" ht="15" customHeight="1" s="78">
      <c r="A306" s="131">
        <f>IF($J306="","",INDEX(NKC!$B$7:$B$3006,$J306))</f>
        <v/>
      </c>
      <c r="B306" s="95">
        <f>IF($J306="","",INDEX(NKC!$C$7:$C$3006,$J306))</f>
        <v/>
      </c>
      <c r="C306" s="131">
        <f>IF($J306="","",INDEX(NKC!$D$7:$D$3006,$J306))</f>
        <v/>
      </c>
      <c r="D306" s="97">
        <f>IF($J306="","",INDEX(NKC!$E$7:$E$3006,$J306))</f>
        <v/>
      </c>
      <c r="E306" s="95">
        <f>IF($J306="","",IF(LEFT(INDEX(NKC!$F$7:$F$3006,$J306),LEN($B$5))=$B$5,INDEX(NKC!$G$7:$G$3006,$J306),INDEX(NKC!$F$7:$F$3006,$J306)))</f>
        <v/>
      </c>
      <c r="F306" s="125">
        <f>IF($J306="","",IF(LEFT(INDEX(NKC!$F$7:$F$3006,$J306),LEN($B$5))=$B$5,INDEX(NKC!$H$7:$H$3006,$J306),""))</f>
        <v/>
      </c>
      <c r="G306" s="125">
        <f>IF($J306="","",IF(LEFT(INDEX(NKC!$G$7:$G$3006,$J306),LEN($B$5))=$B$5,INDEX(NKC!$H$7:$H$3006,$J306),""))</f>
        <v/>
      </c>
      <c r="H306" s="132">
        <f>IF($J306="","",H305+N(F306)-N(G306))</f>
        <v/>
      </c>
      <c r="J306" s="117">
        <f>IFERROR(MATCH(299,NKC!$P$7:$P$3006,0),"")</f>
        <v/>
      </c>
    </row>
    <row r="307" ht="15" customHeight="1" s="78">
      <c r="A307" s="131">
        <f>IF($J307="","",INDEX(NKC!$B$7:$B$3006,$J307))</f>
        <v/>
      </c>
      <c r="B307" s="95">
        <f>IF($J307="","",INDEX(NKC!$C$7:$C$3006,$J307))</f>
        <v/>
      </c>
      <c r="C307" s="131">
        <f>IF($J307="","",INDEX(NKC!$D$7:$D$3006,$J307))</f>
        <v/>
      </c>
      <c r="D307" s="97">
        <f>IF($J307="","",INDEX(NKC!$E$7:$E$3006,$J307))</f>
        <v/>
      </c>
      <c r="E307" s="95">
        <f>IF($J307="","",IF(LEFT(INDEX(NKC!$F$7:$F$3006,$J307),LEN($B$5))=$B$5,INDEX(NKC!$G$7:$G$3006,$J307),INDEX(NKC!$F$7:$F$3006,$J307)))</f>
        <v/>
      </c>
      <c r="F307" s="125">
        <f>IF($J307="","",IF(LEFT(INDEX(NKC!$F$7:$F$3006,$J307),LEN($B$5))=$B$5,INDEX(NKC!$H$7:$H$3006,$J307),""))</f>
        <v/>
      </c>
      <c r="G307" s="125">
        <f>IF($J307="","",IF(LEFT(INDEX(NKC!$G$7:$G$3006,$J307),LEN($B$5))=$B$5,INDEX(NKC!$H$7:$H$3006,$J307),""))</f>
        <v/>
      </c>
      <c r="H307" s="132">
        <f>IF($J307="","",H306+N(F307)-N(G307))</f>
        <v/>
      </c>
      <c r="J307" s="117">
        <f>IFERROR(MATCH(300,NKC!$P$7:$P$3006,0),"")</f>
        <v/>
      </c>
    </row>
    <row r="308" ht="15" customHeight="1" s="78">
      <c r="A308" s="131">
        <f>IF($J308="","",INDEX(NKC!$B$7:$B$3006,$J308))</f>
        <v/>
      </c>
      <c r="B308" s="95">
        <f>IF($J308="","",INDEX(NKC!$C$7:$C$3006,$J308))</f>
        <v/>
      </c>
      <c r="C308" s="131">
        <f>IF($J308="","",INDEX(NKC!$D$7:$D$3006,$J308))</f>
        <v/>
      </c>
      <c r="D308" s="97">
        <f>IF($J308="","",INDEX(NKC!$E$7:$E$3006,$J308))</f>
        <v/>
      </c>
      <c r="E308" s="95">
        <f>IF($J308="","",IF(LEFT(INDEX(NKC!$F$7:$F$3006,$J308),LEN($B$5))=$B$5,INDEX(NKC!$G$7:$G$3006,$J308),INDEX(NKC!$F$7:$F$3006,$J308)))</f>
        <v/>
      </c>
      <c r="F308" s="125">
        <f>IF($J308="","",IF(LEFT(INDEX(NKC!$F$7:$F$3006,$J308),LEN($B$5))=$B$5,INDEX(NKC!$H$7:$H$3006,$J308),""))</f>
        <v/>
      </c>
      <c r="G308" s="125">
        <f>IF($J308="","",IF(LEFT(INDEX(NKC!$G$7:$G$3006,$J308),LEN($B$5))=$B$5,INDEX(NKC!$H$7:$H$3006,$J308),""))</f>
        <v/>
      </c>
      <c r="H308" s="132">
        <f>IF($J308="","",H307+N(F308)-N(G308))</f>
        <v/>
      </c>
      <c r="J308" s="117">
        <f>IFERROR(MATCH(301,NKC!$P$7:$P$3006,0),"")</f>
        <v/>
      </c>
    </row>
    <row r="309" ht="15" customHeight="1" s="78">
      <c r="A309" s="131">
        <f>IF($J309="","",INDEX(NKC!$B$7:$B$3006,$J309))</f>
        <v/>
      </c>
      <c r="B309" s="95">
        <f>IF($J309="","",INDEX(NKC!$C$7:$C$3006,$J309))</f>
        <v/>
      </c>
      <c r="C309" s="131">
        <f>IF($J309="","",INDEX(NKC!$D$7:$D$3006,$J309))</f>
        <v/>
      </c>
      <c r="D309" s="97">
        <f>IF($J309="","",INDEX(NKC!$E$7:$E$3006,$J309))</f>
        <v/>
      </c>
      <c r="E309" s="95">
        <f>IF($J309="","",IF(LEFT(INDEX(NKC!$F$7:$F$3006,$J309),LEN($B$5))=$B$5,INDEX(NKC!$G$7:$G$3006,$J309),INDEX(NKC!$F$7:$F$3006,$J309)))</f>
        <v/>
      </c>
      <c r="F309" s="125">
        <f>IF($J309="","",IF(LEFT(INDEX(NKC!$F$7:$F$3006,$J309),LEN($B$5))=$B$5,INDEX(NKC!$H$7:$H$3006,$J309),""))</f>
        <v/>
      </c>
      <c r="G309" s="125">
        <f>IF($J309="","",IF(LEFT(INDEX(NKC!$G$7:$G$3006,$J309),LEN($B$5))=$B$5,INDEX(NKC!$H$7:$H$3006,$J309),""))</f>
        <v/>
      </c>
      <c r="H309" s="132">
        <f>IF($J309="","",H308+N(F309)-N(G309))</f>
        <v/>
      </c>
      <c r="J309" s="117">
        <f>IFERROR(MATCH(302,NKC!$P$7:$P$3006,0),"")</f>
        <v/>
      </c>
    </row>
    <row r="310" ht="15" customHeight="1" s="78">
      <c r="A310" s="131">
        <f>IF($J310="","",INDEX(NKC!$B$7:$B$3006,$J310))</f>
        <v/>
      </c>
      <c r="B310" s="95">
        <f>IF($J310="","",INDEX(NKC!$C$7:$C$3006,$J310))</f>
        <v/>
      </c>
      <c r="C310" s="131">
        <f>IF($J310="","",INDEX(NKC!$D$7:$D$3006,$J310))</f>
        <v/>
      </c>
      <c r="D310" s="97">
        <f>IF($J310="","",INDEX(NKC!$E$7:$E$3006,$J310))</f>
        <v/>
      </c>
      <c r="E310" s="95">
        <f>IF($J310="","",IF(LEFT(INDEX(NKC!$F$7:$F$3006,$J310),LEN($B$5))=$B$5,INDEX(NKC!$G$7:$G$3006,$J310),INDEX(NKC!$F$7:$F$3006,$J310)))</f>
        <v/>
      </c>
      <c r="F310" s="125">
        <f>IF($J310="","",IF(LEFT(INDEX(NKC!$F$7:$F$3006,$J310),LEN($B$5))=$B$5,INDEX(NKC!$H$7:$H$3006,$J310),""))</f>
        <v/>
      </c>
      <c r="G310" s="125">
        <f>IF($J310="","",IF(LEFT(INDEX(NKC!$G$7:$G$3006,$J310),LEN($B$5))=$B$5,INDEX(NKC!$H$7:$H$3006,$J310),""))</f>
        <v/>
      </c>
      <c r="H310" s="132">
        <f>IF($J310="","",H309+N(F310)-N(G310))</f>
        <v/>
      </c>
      <c r="J310" s="117">
        <f>IFERROR(MATCH(303,NKC!$P$7:$P$3006,0),"")</f>
        <v/>
      </c>
    </row>
    <row r="311" ht="15" customHeight="1" s="78">
      <c r="A311" s="131">
        <f>IF($J311="","",INDEX(NKC!$B$7:$B$3006,$J311))</f>
        <v/>
      </c>
      <c r="B311" s="95">
        <f>IF($J311="","",INDEX(NKC!$C$7:$C$3006,$J311))</f>
        <v/>
      </c>
      <c r="C311" s="131">
        <f>IF($J311="","",INDEX(NKC!$D$7:$D$3006,$J311))</f>
        <v/>
      </c>
      <c r="D311" s="97">
        <f>IF($J311="","",INDEX(NKC!$E$7:$E$3006,$J311))</f>
        <v/>
      </c>
      <c r="E311" s="95">
        <f>IF($J311="","",IF(LEFT(INDEX(NKC!$F$7:$F$3006,$J311),LEN($B$5))=$B$5,INDEX(NKC!$G$7:$G$3006,$J311),INDEX(NKC!$F$7:$F$3006,$J311)))</f>
        <v/>
      </c>
      <c r="F311" s="125">
        <f>IF($J311="","",IF(LEFT(INDEX(NKC!$F$7:$F$3006,$J311),LEN($B$5))=$B$5,INDEX(NKC!$H$7:$H$3006,$J311),""))</f>
        <v/>
      </c>
      <c r="G311" s="125">
        <f>IF($J311="","",IF(LEFT(INDEX(NKC!$G$7:$G$3006,$J311),LEN($B$5))=$B$5,INDEX(NKC!$H$7:$H$3006,$J311),""))</f>
        <v/>
      </c>
      <c r="H311" s="132">
        <f>IF($J311="","",H310+N(F311)-N(G311))</f>
        <v/>
      </c>
      <c r="J311" s="117">
        <f>IFERROR(MATCH(304,NKC!$P$7:$P$3006,0),"")</f>
        <v/>
      </c>
    </row>
    <row r="312" ht="15" customHeight="1" s="78">
      <c r="A312" s="131">
        <f>IF($J312="","",INDEX(NKC!$B$7:$B$3006,$J312))</f>
        <v/>
      </c>
      <c r="B312" s="95">
        <f>IF($J312="","",INDEX(NKC!$C$7:$C$3006,$J312))</f>
        <v/>
      </c>
      <c r="C312" s="131">
        <f>IF($J312="","",INDEX(NKC!$D$7:$D$3006,$J312))</f>
        <v/>
      </c>
      <c r="D312" s="97">
        <f>IF($J312="","",INDEX(NKC!$E$7:$E$3006,$J312))</f>
        <v/>
      </c>
      <c r="E312" s="95">
        <f>IF($J312="","",IF(LEFT(INDEX(NKC!$F$7:$F$3006,$J312),LEN($B$5))=$B$5,INDEX(NKC!$G$7:$G$3006,$J312),INDEX(NKC!$F$7:$F$3006,$J312)))</f>
        <v/>
      </c>
      <c r="F312" s="125">
        <f>IF($J312="","",IF(LEFT(INDEX(NKC!$F$7:$F$3006,$J312),LEN($B$5))=$B$5,INDEX(NKC!$H$7:$H$3006,$J312),""))</f>
        <v/>
      </c>
      <c r="G312" s="125">
        <f>IF($J312="","",IF(LEFT(INDEX(NKC!$G$7:$G$3006,$J312),LEN($B$5))=$B$5,INDEX(NKC!$H$7:$H$3006,$J312),""))</f>
        <v/>
      </c>
      <c r="H312" s="132">
        <f>IF($J312="","",H311+N(F312)-N(G312))</f>
        <v/>
      </c>
      <c r="J312" s="117">
        <f>IFERROR(MATCH(305,NKC!$P$7:$P$3006,0),"")</f>
        <v/>
      </c>
    </row>
    <row r="313" ht="15" customHeight="1" s="78">
      <c r="A313" s="131">
        <f>IF($J313="","",INDEX(NKC!$B$7:$B$3006,$J313))</f>
        <v/>
      </c>
      <c r="B313" s="95">
        <f>IF($J313="","",INDEX(NKC!$C$7:$C$3006,$J313))</f>
        <v/>
      </c>
      <c r="C313" s="131">
        <f>IF($J313="","",INDEX(NKC!$D$7:$D$3006,$J313))</f>
        <v/>
      </c>
      <c r="D313" s="97">
        <f>IF($J313="","",INDEX(NKC!$E$7:$E$3006,$J313))</f>
        <v/>
      </c>
      <c r="E313" s="95">
        <f>IF($J313="","",IF(LEFT(INDEX(NKC!$F$7:$F$3006,$J313),LEN($B$5))=$B$5,INDEX(NKC!$G$7:$G$3006,$J313),INDEX(NKC!$F$7:$F$3006,$J313)))</f>
        <v/>
      </c>
      <c r="F313" s="125">
        <f>IF($J313="","",IF(LEFT(INDEX(NKC!$F$7:$F$3006,$J313),LEN($B$5))=$B$5,INDEX(NKC!$H$7:$H$3006,$J313),""))</f>
        <v/>
      </c>
      <c r="G313" s="125">
        <f>IF($J313="","",IF(LEFT(INDEX(NKC!$G$7:$G$3006,$J313),LEN($B$5))=$B$5,INDEX(NKC!$H$7:$H$3006,$J313),""))</f>
        <v/>
      </c>
      <c r="H313" s="132">
        <f>IF($J313="","",H312+N(F313)-N(G313))</f>
        <v/>
      </c>
      <c r="J313" s="117">
        <f>IFERROR(MATCH(306,NKC!$P$7:$P$3006,0),"")</f>
        <v/>
      </c>
    </row>
    <row r="314" ht="15" customHeight="1" s="78">
      <c r="A314" s="131">
        <f>IF($J314="","",INDEX(NKC!$B$7:$B$3006,$J314))</f>
        <v/>
      </c>
      <c r="B314" s="95">
        <f>IF($J314="","",INDEX(NKC!$C$7:$C$3006,$J314))</f>
        <v/>
      </c>
      <c r="C314" s="131">
        <f>IF($J314="","",INDEX(NKC!$D$7:$D$3006,$J314))</f>
        <v/>
      </c>
      <c r="D314" s="97">
        <f>IF($J314="","",INDEX(NKC!$E$7:$E$3006,$J314))</f>
        <v/>
      </c>
      <c r="E314" s="95">
        <f>IF($J314="","",IF(LEFT(INDEX(NKC!$F$7:$F$3006,$J314),LEN($B$5))=$B$5,INDEX(NKC!$G$7:$G$3006,$J314),INDEX(NKC!$F$7:$F$3006,$J314)))</f>
        <v/>
      </c>
      <c r="F314" s="125">
        <f>IF($J314="","",IF(LEFT(INDEX(NKC!$F$7:$F$3006,$J314),LEN($B$5))=$B$5,INDEX(NKC!$H$7:$H$3006,$J314),""))</f>
        <v/>
      </c>
      <c r="G314" s="125">
        <f>IF($J314="","",IF(LEFT(INDEX(NKC!$G$7:$G$3006,$J314),LEN($B$5))=$B$5,INDEX(NKC!$H$7:$H$3006,$J314),""))</f>
        <v/>
      </c>
      <c r="H314" s="132">
        <f>IF($J314="","",H313+N(F314)-N(G314))</f>
        <v/>
      </c>
      <c r="J314" s="117">
        <f>IFERROR(MATCH(307,NKC!$P$7:$P$3006,0),"")</f>
        <v/>
      </c>
    </row>
    <row r="315" ht="15" customHeight="1" s="78">
      <c r="A315" s="131">
        <f>IF($J315="","",INDEX(NKC!$B$7:$B$3006,$J315))</f>
        <v/>
      </c>
      <c r="B315" s="95">
        <f>IF($J315="","",INDEX(NKC!$C$7:$C$3006,$J315))</f>
        <v/>
      </c>
      <c r="C315" s="131">
        <f>IF($J315="","",INDEX(NKC!$D$7:$D$3006,$J315))</f>
        <v/>
      </c>
      <c r="D315" s="97">
        <f>IF($J315="","",INDEX(NKC!$E$7:$E$3006,$J315))</f>
        <v/>
      </c>
      <c r="E315" s="95">
        <f>IF($J315="","",IF(LEFT(INDEX(NKC!$F$7:$F$3006,$J315),LEN($B$5))=$B$5,INDEX(NKC!$G$7:$G$3006,$J315),INDEX(NKC!$F$7:$F$3006,$J315)))</f>
        <v/>
      </c>
      <c r="F315" s="125">
        <f>IF($J315="","",IF(LEFT(INDEX(NKC!$F$7:$F$3006,$J315),LEN($B$5))=$B$5,INDEX(NKC!$H$7:$H$3006,$J315),""))</f>
        <v/>
      </c>
      <c r="G315" s="125">
        <f>IF($J315="","",IF(LEFT(INDEX(NKC!$G$7:$G$3006,$J315),LEN($B$5))=$B$5,INDEX(NKC!$H$7:$H$3006,$J315),""))</f>
        <v/>
      </c>
      <c r="H315" s="132">
        <f>IF($J315="","",H314+N(F315)-N(G315))</f>
        <v/>
      </c>
      <c r="J315" s="117">
        <f>IFERROR(MATCH(308,NKC!$P$7:$P$3006,0),"")</f>
        <v/>
      </c>
    </row>
    <row r="316" ht="15" customHeight="1" s="78">
      <c r="A316" s="131">
        <f>IF($J316="","",INDEX(NKC!$B$7:$B$3006,$J316))</f>
        <v/>
      </c>
      <c r="B316" s="95">
        <f>IF($J316="","",INDEX(NKC!$C$7:$C$3006,$J316))</f>
        <v/>
      </c>
      <c r="C316" s="131">
        <f>IF($J316="","",INDEX(NKC!$D$7:$D$3006,$J316))</f>
        <v/>
      </c>
      <c r="D316" s="97">
        <f>IF($J316="","",INDEX(NKC!$E$7:$E$3006,$J316))</f>
        <v/>
      </c>
      <c r="E316" s="95">
        <f>IF($J316="","",IF(LEFT(INDEX(NKC!$F$7:$F$3006,$J316),LEN($B$5))=$B$5,INDEX(NKC!$G$7:$G$3006,$J316),INDEX(NKC!$F$7:$F$3006,$J316)))</f>
        <v/>
      </c>
      <c r="F316" s="125">
        <f>IF($J316="","",IF(LEFT(INDEX(NKC!$F$7:$F$3006,$J316),LEN($B$5))=$B$5,INDEX(NKC!$H$7:$H$3006,$J316),""))</f>
        <v/>
      </c>
      <c r="G316" s="125">
        <f>IF($J316="","",IF(LEFT(INDEX(NKC!$G$7:$G$3006,$J316),LEN($B$5))=$B$5,INDEX(NKC!$H$7:$H$3006,$J316),""))</f>
        <v/>
      </c>
      <c r="H316" s="132">
        <f>IF($J316="","",H315+N(F316)-N(G316))</f>
        <v/>
      </c>
      <c r="J316" s="117">
        <f>IFERROR(MATCH(309,NKC!$P$7:$P$3006,0),"")</f>
        <v/>
      </c>
    </row>
    <row r="317" ht="15" customHeight="1" s="78">
      <c r="A317" s="131">
        <f>IF($J317="","",INDEX(NKC!$B$7:$B$3006,$J317))</f>
        <v/>
      </c>
      <c r="B317" s="95">
        <f>IF($J317="","",INDEX(NKC!$C$7:$C$3006,$J317))</f>
        <v/>
      </c>
      <c r="C317" s="131">
        <f>IF($J317="","",INDEX(NKC!$D$7:$D$3006,$J317))</f>
        <v/>
      </c>
      <c r="D317" s="97">
        <f>IF($J317="","",INDEX(NKC!$E$7:$E$3006,$J317))</f>
        <v/>
      </c>
      <c r="E317" s="95">
        <f>IF($J317="","",IF(LEFT(INDEX(NKC!$F$7:$F$3006,$J317),LEN($B$5))=$B$5,INDEX(NKC!$G$7:$G$3006,$J317),INDEX(NKC!$F$7:$F$3006,$J317)))</f>
        <v/>
      </c>
      <c r="F317" s="125">
        <f>IF($J317="","",IF(LEFT(INDEX(NKC!$F$7:$F$3006,$J317),LEN($B$5))=$B$5,INDEX(NKC!$H$7:$H$3006,$J317),""))</f>
        <v/>
      </c>
      <c r="G317" s="125">
        <f>IF($J317="","",IF(LEFT(INDEX(NKC!$G$7:$G$3006,$J317),LEN($B$5))=$B$5,INDEX(NKC!$H$7:$H$3006,$J317),""))</f>
        <v/>
      </c>
      <c r="H317" s="132">
        <f>IF($J317="","",H316+N(F317)-N(G317))</f>
        <v/>
      </c>
      <c r="J317" s="117">
        <f>IFERROR(MATCH(310,NKC!$P$7:$P$3006,0),"")</f>
        <v/>
      </c>
    </row>
    <row r="318" ht="15" customHeight="1" s="78">
      <c r="A318" s="131">
        <f>IF($J318="","",INDEX(NKC!$B$7:$B$3006,$J318))</f>
        <v/>
      </c>
      <c r="B318" s="95">
        <f>IF($J318="","",INDEX(NKC!$C$7:$C$3006,$J318))</f>
        <v/>
      </c>
      <c r="C318" s="131">
        <f>IF($J318="","",INDEX(NKC!$D$7:$D$3006,$J318))</f>
        <v/>
      </c>
      <c r="D318" s="97">
        <f>IF($J318="","",INDEX(NKC!$E$7:$E$3006,$J318))</f>
        <v/>
      </c>
      <c r="E318" s="95">
        <f>IF($J318="","",IF(LEFT(INDEX(NKC!$F$7:$F$3006,$J318),LEN($B$5))=$B$5,INDEX(NKC!$G$7:$G$3006,$J318),INDEX(NKC!$F$7:$F$3006,$J318)))</f>
        <v/>
      </c>
      <c r="F318" s="125">
        <f>IF($J318="","",IF(LEFT(INDEX(NKC!$F$7:$F$3006,$J318),LEN($B$5))=$B$5,INDEX(NKC!$H$7:$H$3006,$J318),""))</f>
        <v/>
      </c>
      <c r="G318" s="125">
        <f>IF($J318="","",IF(LEFT(INDEX(NKC!$G$7:$G$3006,$J318),LEN($B$5))=$B$5,INDEX(NKC!$H$7:$H$3006,$J318),""))</f>
        <v/>
      </c>
      <c r="H318" s="132">
        <f>IF($J318="","",H317+N(F318)-N(G318))</f>
        <v/>
      </c>
      <c r="J318" s="117">
        <f>IFERROR(MATCH(311,NKC!$P$7:$P$3006,0),"")</f>
        <v/>
      </c>
    </row>
    <row r="319" ht="15" customHeight="1" s="78">
      <c r="A319" s="131">
        <f>IF($J319="","",INDEX(NKC!$B$7:$B$3006,$J319))</f>
        <v/>
      </c>
      <c r="B319" s="95">
        <f>IF($J319="","",INDEX(NKC!$C$7:$C$3006,$J319))</f>
        <v/>
      </c>
      <c r="C319" s="131">
        <f>IF($J319="","",INDEX(NKC!$D$7:$D$3006,$J319))</f>
        <v/>
      </c>
      <c r="D319" s="97">
        <f>IF($J319="","",INDEX(NKC!$E$7:$E$3006,$J319))</f>
        <v/>
      </c>
      <c r="E319" s="95">
        <f>IF($J319="","",IF(LEFT(INDEX(NKC!$F$7:$F$3006,$J319),LEN($B$5))=$B$5,INDEX(NKC!$G$7:$G$3006,$J319),INDEX(NKC!$F$7:$F$3006,$J319)))</f>
        <v/>
      </c>
      <c r="F319" s="125">
        <f>IF($J319="","",IF(LEFT(INDEX(NKC!$F$7:$F$3006,$J319),LEN($B$5))=$B$5,INDEX(NKC!$H$7:$H$3006,$J319),""))</f>
        <v/>
      </c>
      <c r="G319" s="125">
        <f>IF($J319="","",IF(LEFT(INDEX(NKC!$G$7:$G$3006,$J319),LEN($B$5))=$B$5,INDEX(NKC!$H$7:$H$3006,$J319),""))</f>
        <v/>
      </c>
      <c r="H319" s="132">
        <f>IF($J319="","",H318+N(F319)-N(G319))</f>
        <v/>
      </c>
      <c r="J319" s="117">
        <f>IFERROR(MATCH(312,NKC!$P$7:$P$3006,0),"")</f>
        <v/>
      </c>
    </row>
    <row r="320" ht="15" customHeight="1" s="78">
      <c r="A320" s="131">
        <f>IF($J320="","",INDEX(NKC!$B$7:$B$3006,$J320))</f>
        <v/>
      </c>
      <c r="B320" s="95">
        <f>IF($J320="","",INDEX(NKC!$C$7:$C$3006,$J320))</f>
        <v/>
      </c>
      <c r="C320" s="131">
        <f>IF($J320="","",INDEX(NKC!$D$7:$D$3006,$J320))</f>
        <v/>
      </c>
      <c r="D320" s="97">
        <f>IF($J320="","",INDEX(NKC!$E$7:$E$3006,$J320))</f>
        <v/>
      </c>
      <c r="E320" s="95">
        <f>IF($J320="","",IF(LEFT(INDEX(NKC!$F$7:$F$3006,$J320),LEN($B$5))=$B$5,INDEX(NKC!$G$7:$G$3006,$J320),INDEX(NKC!$F$7:$F$3006,$J320)))</f>
        <v/>
      </c>
      <c r="F320" s="125">
        <f>IF($J320="","",IF(LEFT(INDEX(NKC!$F$7:$F$3006,$J320),LEN($B$5))=$B$5,INDEX(NKC!$H$7:$H$3006,$J320),""))</f>
        <v/>
      </c>
      <c r="G320" s="125">
        <f>IF($J320="","",IF(LEFT(INDEX(NKC!$G$7:$G$3006,$J320),LEN($B$5))=$B$5,INDEX(NKC!$H$7:$H$3006,$J320),""))</f>
        <v/>
      </c>
      <c r="H320" s="132">
        <f>IF($J320="","",H319+N(F320)-N(G320))</f>
        <v/>
      </c>
      <c r="J320" s="117">
        <f>IFERROR(MATCH(313,NKC!$P$7:$P$3006,0),"")</f>
        <v/>
      </c>
    </row>
    <row r="321" ht="15" customHeight="1" s="78">
      <c r="A321" s="131">
        <f>IF($J321="","",INDEX(NKC!$B$7:$B$3006,$J321))</f>
        <v/>
      </c>
      <c r="B321" s="95">
        <f>IF($J321="","",INDEX(NKC!$C$7:$C$3006,$J321))</f>
        <v/>
      </c>
      <c r="C321" s="131">
        <f>IF($J321="","",INDEX(NKC!$D$7:$D$3006,$J321))</f>
        <v/>
      </c>
      <c r="D321" s="97">
        <f>IF($J321="","",INDEX(NKC!$E$7:$E$3006,$J321))</f>
        <v/>
      </c>
      <c r="E321" s="95">
        <f>IF($J321="","",IF(LEFT(INDEX(NKC!$F$7:$F$3006,$J321),LEN($B$5))=$B$5,INDEX(NKC!$G$7:$G$3006,$J321),INDEX(NKC!$F$7:$F$3006,$J321)))</f>
        <v/>
      </c>
      <c r="F321" s="125">
        <f>IF($J321="","",IF(LEFT(INDEX(NKC!$F$7:$F$3006,$J321),LEN($B$5))=$B$5,INDEX(NKC!$H$7:$H$3006,$J321),""))</f>
        <v/>
      </c>
      <c r="G321" s="125">
        <f>IF($J321="","",IF(LEFT(INDEX(NKC!$G$7:$G$3006,$J321),LEN($B$5))=$B$5,INDEX(NKC!$H$7:$H$3006,$J321),""))</f>
        <v/>
      </c>
      <c r="H321" s="132">
        <f>IF($J321="","",H320+N(F321)-N(G321))</f>
        <v/>
      </c>
      <c r="J321" s="117">
        <f>IFERROR(MATCH(314,NKC!$P$7:$P$3006,0),"")</f>
        <v/>
      </c>
    </row>
    <row r="322" ht="15" customHeight="1" s="78">
      <c r="A322" s="131">
        <f>IF($J322="","",INDEX(NKC!$B$7:$B$3006,$J322))</f>
        <v/>
      </c>
      <c r="B322" s="95">
        <f>IF($J322="","",INDEX(NKC!$C$7:$C$3006,$J322))</f>
        <v/>
      </c>
      <c r="C322" s="131">
        <f>IF($J322="","",INDEX(NKC!$D$7:$D$3006,$J322))</f>
        <v/>
      </c>
      <c r="D322" s="97">
        <f>IF($J322="","",INDEX(NKC!$E$7:$E$3006,$J322))</f>
        <v/>
      </c>
      <c r="E322" s="95">
        <f>IF($J322="","",IF(LEFT(INDEX(NKC!$F$7:$F$3006,$J322),LEN($B$5))=$B$5,INDEX(NKC!$G$7:$G$3006,$J322),INDEX(NKC!$F$7:$F$3006,$J322)))</f>
        <v/>
      </c>
      <c r="F322" s="125">
        <f>IF($J322="","",IF(LEFT(INDEX(NKC!$F$7:$F$3006,$J322),LEN($B$5))=$B$5,INDEX(NKC!$H$7:$H$3006,$J322),""))</f>
        <v/>
      </c>
      <c r="G322" s="125">
        <f>IF($J322="","",IF(LEFT(INDEX(NKC!$G$7:$G$3006,$J322),LEN($B$5))=$B$5,INDEX(NKC!$H$7:$H$3006,$J322),""))</f>
        <v/>
      </c>
      <c r="H322" s="132">
        <f>IF($J322="","",H321+N(F322)-N(G322))</f>
        <v/>
      </c>
      <c r="J322" s="117">
        <f>IFERROR(MATCH(315,NKC!$P$7:$P$3006,0),"")</f>
        <v/>
      </c>
    </row>
    <row r="323" ht="15" customHeight="1" s="78">
      <c r="A323" s="131">
        <f>IF($J323="","",INDEX(NKC!$B$7:$B$3006,$J323))</f>
        <v/>
      </c>
      <c r="B323" s="95">
        <f>IF($J323="","",INDEX(NKC!$C$7:$C$3006,$J323))</f>
        <v/>
      </c>
      <c r="C323" s="131">
        <f>IF($J323="","",INDEX(NKC!$D$7:$D$3006,$J323))</f>
        <v/>
      </c>
      <c r="D323" s="97">
        <f>IF($J323="","",INDEX(NKC!$E$7:$E$3006,$J323))</f>
        <v/>
      </c>
      <c r="E323" s="95">
        <f>IF($J323="","",IF(LEFT(INDEX(NKC!$F$7:$F$3006,$J323),LEN($B$5))=$B$5,INDEX(NKC!$G$7:$G$3006,$J323),INDEX(NKC!$F$7:$F$3006,$J323)))</f>
        <v/>
      </c>
      <c r="F323" s="125">
        <f>IF($J323="","",IF(LEFT(INDEX(NKC!$F$7:$F$3006,$J323),LEN($B$5))=$B$5,INDEX(NKC!$H$7:$H$3006,$J323),""))</f>
        <v/>
      </c>
      <c r="G323" s="125">
        <f>IF($J323="","",IF(LEFT(INDEX(NKC!$G$7:$G$3006,$J323),LEN($B$5))=$B$5,INDEX(NKC!$H$7:$H$3006,$J323),""))</f>
        <v/>
      </c>
      <c r="H323" s="132">
        <f>IF($J323="","",H322+N(F323)-N(G323))</f>
        <v/>
      </c>
      <c r="J323" s="117">
        <f>IFERROR(MATCH(316,NKC!$P$7:$P$3006,0),"")</f>
        <v/>
      </c>
    </row>
    <row r="324" ht="15" customHeight="1" s="78">
      <c r="A324" s="131">
        <f>IF($J324="","",INDEX(NKC!$B$7:$B$3006,$J324))</f>
        <v/>
      </c>
      <c r="B324" s="95">
        <f>IF($J324="","",INDEX(NKC!$C$7:$C$3006,$J324))</f>
        <v/>
      </c>
      <c r="C324" s="131">
        <f>IF($J324="","",INDEX(NKC!$D$7:$D$3006,$J324))</f>
        <v/>
      </c>
      <c r="D324" s="97">
        <f>IF($J324="","",INDEX(NKC!$E$7:$E$3006,$J324))</f>
        <v/>
      </c>
      <c r="E324" s="95">
        <f>IF($J324="","",IF(LEFT(INDEX(NKC!$F$7:$F$3006,$J324),LEN($B$5))=$B$5,INDEX(NKC!$G$7:$G$3006,$J324),INDEX(NKC!$F$7:$F$3006,$J324)))</f>
        <v/>
      </c>
      <c r="F324" s="125">
        <f>IF($J324="","",IF(LEFT(INDEX(NKC!$F$7:$F$3006,$J324),LEN($B$5))=$B$5,INDEX(NKC!$H$7:$H$3006,$J324),""))</f>
        <v/>
      </c>
      <c r="G324" s="125">
        <f>IF($J324="","",IF(LEFT(INDEX(NKC!$G$7:$G$3006,$J324),LEN($B$5))=$B$5,INDEX(NKC!$H$7:$H$3006,$J324),""))</f>
        <v/>
      </c>
      <c r="H324" s="132">
        <f>IF($J324="","",H323+N(F324)-N(G324))</f>
        <v/>
      </c>
      <c r="J324" s="117">
        <f>IFERROR(MATCH(317,NKC!$P$7:$P$3006,0),"")</f>
        <v/>
      </c>
    </row>
    <row r="325" ht="15" customHeight="1" s="78">
      <c r="A325" s="131">
        <f>IF($J325="","",INDEX(NKC!$B$7:$B$3006,$J325))</f>
        <v/>
      </c>
      <c r="B325" s="95">
        <f>IF($J325="","",INDEX(NKC!$C$7:$C$3006,$J325))</f>
        <v/>
      </c>
      <c r="C325" s="131">
        <f>IF($J325="","",INDEX(NKC!$D$7:$D$3006,$J325))</f>
        <v/>
      </c>
      <c r="D325" s="97">
        <f>IF($J325="","",INDEX(NKC!$E$7:$E$3006,$J325))</f>
        <v/>
      </c>
      <c r="E325" s="95">
        <f>IF($J325="","",IF(LEFT(INDEX(NKC!$F$7:$F$3006,$J325),LEN($B$5))=$B$5,INDEX(NKC!$G$7:$G$3006,$J325),INDEX(NKC!$F$7:$F$3006,$J325)))</f>
        <v/>
      </c>
      <c r="F325" s="125">
        <f>IF($J325="","",IF(LEFT(INDEX(NKC!$F$7:$F$3006,$J325),LEN($B$5))=$B$5,INDEX(NKC!$H$7:$H$3006,$J325),""))</f>
        <v/>
      </c>
      <c r="G325" s="125">
        <f>IF($J325="","",IF(LEFT(INDEX(NKC!$G$7:$G$3006,$J325),LEN($B$5))=$B$5,INDEX(NKC!$H$7:$H$3006,$J325),""))</f>
        <v/>
      </c>
      <c r="H325" s="132">
        <f>IF($J325="","",H324+N(F325)-N(G325))</f>
        <v/>
      </c>
      <c r="J325" s="117">
        <f>IFERROR(MATCH(318,NKC!$P$7:$P$3006,0),"")</f>
        <v/>
      </c>
    </row>
    <row r="326" ht="15" customHeight="1" s="78">
      <c r="A326" s="131">
        <f>IF($J326="","",INDEX(NKC!$B$7:$B$3006,$J326))</f>
        <v/>
      </c>
      <c r="B326" s="95">
        <f>IF($J326="","",INDEX(NKC!$C$7:$C$3006,$J326))</f>
        <v/>
      </c>
      <c r="C326" s="131">
        <f>IF($J326="","",INDEX(NKC!$D$7:$D$3006,$J326))</f>
        <v/>
      </c>
      <c r="D326" s="97">
        <f>IF($J326="","",INDEX(NKC!$E$7:$E$3006,$J326))</f>
        <v/>
      </c>
      <c r="E326" s="95">
        <f>IF($J326="","",IF(LEFT(INDEX(NKC!$F$7:$F$3006,$J326),LEN($B$5))=$B$5,INDEX(NKC!$G$7:$G$3006,$J326),INDEX(NKC!$F$7:$F$3006,$J326)))</f>
        <v/>
      </c>
      <c r="F326" s="125">
        <f>IF($J326="","",IF(LEFT(INDEX(NKC!$F$7:$F$3006,$J326),LEN($B$5))=$B$5,INDEX(NKC!$H$7:$H$3006,$J326),""))</f>
        <v/>
      </c>
      <c r="G326" s="125">
        <f>IF($J326="","",IF(LEFT(INDEX(NKC!$G$7:$G$3006,$J326),LEN($B$5))=$B$5,INDEX(NKC!$H$7:$H$3006,$J326),""))</f>
        <v/>
      </c>
      <c r="H326" s="132">
        <f>IF($J326="","",H325+N(F326)-N(G326))</f>
        <v/>
      </c>
      <c r="J326" s="117">
        <f>IFERROR(MATCH(319,NKC!$P$7:$P$3006,0),"")</f>
        <v/>
      </c>
    </row>
    <row r="327" ht="15" customHeight="1" s="78">
      <c r="A327" s="131">
        <f>IF($J327="","",INDEX(NKC!$B$7:$B$3006,$J327))</f>
        <v/>
      </c>
      <c r="B327" s="95">
        <f>IF($J327="","",INDEX(NKC!$C$7:$C$3006,$J327))</f>
        <v/>
      </c>
      <c r="C327" s="131">
        <f>IF($J327="","",INDEX(NKC!$D$7:$D$3006,$J327))</f>
        <v/>
      </c>
      <c r="D327" s="97">
        <f>IF($J327="","",INDEX(NKC!$E$7:$E$3006,$J327))</f>
        <v/>
      </c>
      <c r="E327" s="95">
        <f>IF($J327="","",IF(LEFT(INDEX(NKC!$F$7:$F$3006,$J327),LEN($B$5))=$B$5,INDEX(NKC!$G$7:$G$3006,$J327),INDEX(NKC!$F$7:$F$3006,$J327)))</f>
        <v/>
      </c>
      <c r="F327" s="125">
        <f>IF($J327="","",IF(LEFT(INDEX(NKC!$F$7:$F$3006,$J327),LEN($B$5))=$B$5,INDEX(NKC!$H$7:$H$3006,$J327),""))</f>
        <v/>
      </c>
      <c r="G327" s="125">
        <f>IF($J327="","",IF(LEFT(INDEX(NKC!$G$7:$G$3006,$J327),LEN($B$5))=$B$5,INDEX(NKC!$H$7:$H$3006,$J327),""))</f>
        <v/>
      </c>
      <c r="H327" s="132">
        <f>IF($J327="","",H326+N(F327)-N(G327))</f>
        <v/>
      </c>
      <c r="J327" s="117">
        <f>IFERROR(MATCH(320,NKC!$P$7:$P$3006,0),"")</f>
        <v/>
      </c>
    </row>
    <row r="328" ht="15" customHeight="1" s="78">
      <c r="A328" s="131">
        <f>IF($J328="","",INDEX(NKC!$B$7:$B$3006,$J328))</f>
        <v/>
      </c>
      <c r="B328" s="95">
        <f>IF($J328="","",INDEX(NKC!$C$7:$C$3006,$J328))</f>
        <v/>
      </c>
      <c r="C328" s="131">
        <f>IF($J328="","",INDEX(NKC!$D$7:$D$3006,$J328))</f>
        <v/>
      </c>
      <c r="D328" s="97">
        <f>IF($J328="","",INDEX(NKC!$E$7:$E$3006,$J328))</f>
        <v/>
      </c>
      <c r="E328" s="95">
        <f>IF($J328="","",IF(LEFT(INDEX(NKC!$F$7:$F$3006,$J328),LEN($B$5))=$B$5,INDEX(NKC!$G$7:$G$3006,$J328),INDEX(NKC!$F$7:$F$3006,$J328)))</f>
        <v/>
      </c>
      <c r="F328" s="125">
        <f>IF($J328="","",IF(LEFT(INDEX(NKC!$F$7:$F$3006,$J328),LEN($B$5))=$B$5,INDEX(NKC!$H$7:$H$3006,$J328),""))</f>
        <v/>
      </c>
      <c r="G328" s="125">
        <f>IF($J328="","",IF(LEFT(INDEX(NKC!$G$7:$G$3006,$J328),LEN($B$5))=$B$5,INDEX(NKC!$H$7:$H$3006,$J328),""))</f>
        <v/>
      </c>
      <c r="H328" s="132">
        <f>IF($J328="","",H327+N(F328)-N(G328))</f>
        <v/>
      </c>
      <c r="J328" s="117">
        <f>IFERROR(MATCH(321,NKC!$P$7:$P$3006,0),"")</f>
        <v/>
      </c>
    </row>
    <row r="329" ht="15" customHeight="1" s="78">
      <c r="A329" s="131">
        <f>IF($J329="","",INDEX(NKC!$B$7:$B$3006,$J329))</f>
        <v/>
      </c>
      <c r="B329" s="95">
        <f>IF($J329="","",INDEX(NKC!$C$7:$C$3006,$J329))</f>
        <v/>
      </c>
      <c r="C329" s="131">
        <f>IF($J329="","",INDEX(NKC!$D$7:$D$3006,$J329))</f>
        <v/>
      </c>
      <c r="D329" s="97">
        <f>IF($J329="","",INDEX(NKC!$E$7:$E$3006,$J329))</f>
        <v/>
      </c>
      <c r="E329" s="95">
        <f>IF($J329="","",IF(LEFT(INDEX(NKC!$F$7:$F$3006,$J329),LEN($B$5))=$B$5,INDEX(NKC!$G$7:$G$3006,$J329),INDEX(NKC!$F$7:$F$3006,$J329)))</f>
        <v/>
      </c>
      <c r="F329" s="125">
        <f>IF($J329="","",IF(LEFT(INDEX(NKC!$F$7:$F$3006,$J329),LEN($B$5))=$B$5,INDEX(NKC!$H$7:$H$3006,$J329),""))</f>
        <v/>
      </c>
      <c r="G329" s="125">
        <f>IF($J329="","",IF(LEFT(INDEX(NKC!$G$7:$G$3006,$J329),LEN($B$5))=$B$5,INDEX(NKC!$H$7:$H$3006,$J329),""))</f>
        <v/>
      </c>
      <c r="H329" s="132">
        <f>IF($J329="","",H328+N(F329)-N(G329))</f>
        <v/>
      </c>
      <c r="J329" s="117">
        <f>IFERROR(MATCH(322,NKC!$P$7:$P$3006,0),"")</f>
        <v/>
      </c>
    </row>
    <row r="330" ht="15" customHeight="1" s="78">
      <c r="A330" s="131">
        <f>IF($J330="","",INDEX(NKC!$B$7:$B$3006,$J330))</f>
        <v/>
      </c>
      <c r="B330" s="95">
        <f>IF($J330="","",INDEX(NKC!$C$7:$C$3006,$J330))</f>
        <v/>
      </c>
      <c r="C330" s="131">
        <f>IF($J330="","",INDEX(NKC!$D$7:$D$3006,$J330))</f>
        <v/>
      </c>
      <c r="D330" s="97">
        <f>IF($J330="","",INDEX(NKC!$E$7:$E$3006,$J330))</f>
        <v/>
      </c>
      <c r="E330" s="95">
        <f>IF($J330="","",IF(LEFT(INDEX(NKC!$F$7:$F$3006,$J330),LEN($B$5))=$B$5,INDEX(NKC!$G$7:$G$3006,$J330),INDEX(NKC!$F$7:$F$3006,$J330)))</f>
        <v/>
      </c>
      <c r="F330" s="125">
        <f>IF($J330="","",IF(LEFT(INDEX(NKC!$F$7:$F$3006,$J330),LEN($B$5))=$B$5,INDEX(NKC!$H$7:$H$3006,$J330),""))</f>
        <v/>
      </c>
      <c r="G330" s="125">
        <f>IF($J330="","",IF(LEFT(INDEX(NKC!$G$7:$G$3006,$J330),LEN($B$5))=$B$5,INDEX(NKC!$H$7:$H$3006,$J330),""))</f>
        <v/>
      </c>
      <c r="H330" s="132">
        <f>IF($J330="","",H329+N(F330)-N(G330))</f>
        <v/>
      </c>
      <c r="J330" s="117">
        <f>IFERROR(MATCH(323,NKC!$P$7:$P$3006,0),"")</f>
        <v/>
      </c>
    </row>
    <row r="331" ht="15" customHeight="1" s="78">
      <c r="A331" s="131">
        <f>IF($J331="","",INDEX(NKC!$B$7:$B$3006,$J331))</f>
        <v/>
      </c>
      <c r="B331" s="95">
        <f>IF($J331="","",INDEX(NKC!$C$7:$C$3006,$J331))</f>
        <v/>
      </c>
      <c r="C331" s="131">
        <f>IF($J331="","",INDEX(NKC!$D$7:$D$3006,$J331))</f>
        <v/>
      </c>
      <c r="D331" s="97">
        <f>IF($J331="","",INDEX(NKC!$E$7:$E$3006,$J331))</f>
        <v/>
      </c>
      <c r="E331" s="95">
        <f>IF($J331="","",IF(LEFT(INDEX(NKC!$F$7:$F$3006,$J331),LEN($B$5))=$B$5,INDEX(NKC!$G$7:$G$3006,$J331),INDEX(NKC!$F$7:$F$3006,$J331)))</f>
        <v/>
      </c>
      <c r="F331" s="125">
        <f>IF($J331="","",IF(LEFT(INDEX(NKC!$F$7:$F$3006,$J331),LEN($B$5))=$B$5,INDEX(NKC!$H$7:$H$3006,$J331),""))</f>
        <v/>
      </c>
      <c r="G331" s="125">
        <f>IF($J331="","",IF(LEFT(INDEX(NKC!$G$7:$G$3006,$J331),LEN($B$5))=$B$5,INDEX(NKC!$H$7:$H$3006,$J331),""))</f>
        <v/>
      </c>
      <c r="H331" s="132">
        <f>IF($J331="","",H330+N(F331)-N(G331))</f>
        <v/>
      </c>
      <c r="J331" s="117">
        <f>IFERROR(MATCH(324,NKC!$P$7:$P$3006,0),"")</f>
        <v/>
      </c>
    </row>
    <row r="332" ht="15" customHeight="1" s="78">
      <c r="A332" s="131">
        <f>IF($J332="","",INDEX(NKC!$B$7:$B$3006,$J332))</f>
        <v/>
      </c>
      <c r="B332" s="95">
        <f>IF($J332="","",INDEX(NKC!$C$7:$C$3006,$J332))</f>
        <v/>
      </c>
      <c r="C332" s="131">
        <f>IF($J332="","",INDEX(NKC!$D$7:$D$3006,$J332))</f>
        <v/>
      </c>
      <c r="D332" s="97">
        <f>IF($J332="","",INDEX(NKC!$E$7:$E$3006,$J332))</f>
        <v/>
      </c>
      <c r="E332" s="95">
        <f>IF($J332="","",IF(LEFT(INDEX(NKC!$F$7:$F$3006,$J332),LEN($B$5))=$B$5,INDEX(NKC!$G$7:$G$3006,$J332),INDEX(NKC!$F$7:$F$3006,$J332)))</f>
        <v/>
      </c>
      <c r="F332" s="125">
        <f>IF($J332="","",IF(LEFT(INDEX(NKC!$F$7:$F$3006,$J332),LEN($B$5))=$B$5,INDEX(NKC!$H$7:$H$3006,$J332),""))</f>
        <v/>
      </c>
      <c r="G332" s="125">
        <f>IF($J332="","",IF(LEFT(INDEX(NKC!$G$7:$G$3006,$J332),LEN($B$5))=$B$5,INDEX(NKC!$H$7:$H$3006,$J332),""))</f>
        <v/>
      </c>
      <c r="H332" s="132">
        <f>IF($J332="","",H331+N(F332)-N(G332))</f>
        <v/>
      </c>
      <c r="J332" s="117">
        <f>IFERROR(MATCH(325,NKC!$P$7:$P$3006,0),"")</f>
        <v/>
      </c>
    </row>
    <row r="333" ht="15" customHeight="1" s="78">
      <c r="A333" s="131">
        <f>IF($J333="","",INDEX(NKC!$B$7:$B$3006,$J333))</f>
        <v/>
      </c>
      <c r="B333" s="95">
        <f>IF($J333="","",INDEX(NKC!$C$7:$C$3006,$J333))</f>
        <v/>
      </c>
      <c r="C333" s="131">
        <f>IF($J333="","",INDEX(NKC!$D$7:$D$3006,$J333))</f>
        <v/>
      </c>
      <c r="D333" s="97">
        <f>IF($J333="","",INDEX(NKC!$E$7:$E$3006,$J333))</f>
        <v/>
      </c>
      <c r="E333" s="95">
        <f>IF($J333="","",IF(LEFT(INDEX(NKC!$F$7:$F$3006,$J333),LEN($B$5))=$B$5,INDEX(NKC!$G$7:$G$3006,$J333),INDEX(NKC!$F$7:$F$3006,$J333)))</f>
        <v/>
      </c>
      <c r="F333" s="125">
        <f>IF($J333="","",IF(LEFT(INDEX(NKC!$F$7:$F$3006,$J333),LEN($B$5))=$B$5,INDEX(NKC!$H$7:$H$3006,$J333),""))</f>
        <v/>
      </c>
      <c r="G333" s="125">
        <f>IF($J333="","",IF(LEFT(INDEX(NKC!$G$7:$G$3006,$J333),LEN($B$5))=$B$5,INDEX(NKC!$H$7:$H$3006,$J333),""))</f>
        <v/>
      </c>
      <c r="H333" s="132">
        <f>IF($J333="","",H332+N(F333)-N(G333))</f>
        <v/>
      </c>
      <c r="J333" s="117">
        <f>IFERROR(MATCH(326,NKC!$P$7:$P$3006,0),"")</f>
        <v/>
      </c>
    </row>
    <row r="334" ht="15" customHeight="1" s="78">
      <c r="A334" s="131">
        <f>IF($J334="","",INDEX(NKC!$B$7:$B$3006,$J334))</f>
        <v/>
      </c>
      <c r="B334" s="95">
        <f>IF($J334="","",INDEX(NKC!$C$7:$C$3006,$J334))</f>
        <v/>
      </c>
      <c r="C334" s="131">
        <f>IF($J334="","",INDEX(NKC!$D$7:$D$3006,$J334))</f>
        <v/>
      </c>
      <c r="D334" s="97">
        <f>IF($J334="","",INDEX(NKC!$E$7:$E$3006,$J334))</f>
        <v/>
      </c>
      <c r="E334" s="95">
        <f>IF($J334="","",IF(LEFT(INDEX(NKC!$F$7:$F$3006,$J334),LEN($B$5))=$B$5,INDEX(NKC!$G$7:$G$3006,$J334),INDEX(NKC!$F$7:$F$3006,$J334)))</f>
        <v/>
      </c>
      <c r="F334" s="125">
        <f>IF($J334="","",IF(LEFT(INDEX(NKC!$F$7:$F$3006,$J334),LEN($B$5))=$B$5,INDEX(NKC!$H$7:$H$3006,$J334),""))</f>
        <v/>
      </c>
      <c r="G334" s="125">
        <f>IF($J334="","",IF(LEFT(INDEX(NKC!$G$7:$G$3006,$J334),LEN($B$5))=$B$5,INDEX(NKC!$H$7:$H$3006,$J334),""))</f>
        <v/>
      </c>
      <c r="H334" s="132">
        <f>IF($J334="","",H333+N(F334)-N(G334))</f>
        <v/>
      </c>
      <c r="J334" s="117">
        <f>IFERROR(MATCH(327,NKC!$P$7:$P$3006,0),"")</f>
        <v/>
      </c>
    </row>
    <row r="335" ht="15" customHeight="1" s="78">
      <c r="A335" s="131">
        <f>IF($J335="","",INDEX(NKC!$B$7:$B$3006,$J335))</f>
        <v/>
      </c>
      <c r="B335" s="95">
        <f>IF($J335="","",INDEX(NKC!$C$7:$C$3006,$J335))</f>
        <v/>
      </c>
      <c r="C335" s="131">
        <f>IF($J335="","",INDEX(NKC!$D$7:$D$3006,$J335))</f>
        <v/>
      </c>
      <c r="D335" s="97">
        <f>IF($J335="","",INDEX(NKC!$E$7:$E$3006,$J335))</f>
        <v/>
      </c>
      <c r="E335" s="95">
        <f>IF($J335="","",IF(LEFT(INDEX(NKC!$F$7:$F$3006,$J335),LEN($B$5))=$B$5,INDEX(NKC!$G$7:$G$3006,$J335),INDEX(NKC!$F$7:$F$3006,$J335)))</f>
        <v/>
      </c>
      <c r="F335" s="125">
        <f>IF($J335="","",IF(LEFT(INDEX(NKC!$F$7:$F$3006,$J335),LEN($B$5))=$B$5,INDEX(NKC!$H$7:$H$3006,$J335),""))</f>
        <v/>
      </c>
      <c r="G335" s="125">
        <f>IF($J335="","",IF(LEFT(INDEX(NKC!$G$7:$G$3006,$J335),LEN($B$5))=$B$5,INDEX(NKC!$H$7:$H$3006,$J335),""))</f>
        <v/>
      </c>
      <c r="H335" s="132">
        <f>IF($J335="","",H334+N(F335)-N(G335))</f>
        <v/>
      </c>
      <c r="J335" s="117">
        <f>IFERROR(MATCH(328,NKC!$P$7:$P$3006,0),"")</f>
        <v/>
      </c>
    </row>
    <row r="336" ht="15" customHeight="1" s="78">
      <c r="A336" s="131">
        <f>IF($J336="","",INDEX(NKC!$B$7:$B$3006,$J336))</f>
        <v/>
      </c>
      <c r="B336" s="95">
        <f>IF($J336="","",INDEX(NKC!$C$7:$C$3006,$J336))</f>
        <v/>
      </c>
      <c r="C336" s="131">
        <f>IF($J336="","",INDEX(NKC!$D$7:$D$3006,$J336))</f>
        <v/>
      </c>
      <c r="D336" s="97">
        <f>IF($J336="","",INDEX(NKC!$E$7:$E$3006,$J336))</f>
        <v/>
      </c>
      <c r="E336" s="95">
        <f>IF($J336="","",IF(LEFT(INDEX(NKC!$F$7:$F$3006,$J336),LEN($B$5))=$B$5,INDEX(NKC!$G$7:$G$3006,$J336),INDEX(NKC!$F$7:$F$3006,$J336)))</f>
        <v/>
      </c>
      <c r="F336" s="125">
        <f>IF($J336="","",IF(LEFT(INDEX(NKC!$F$7:$F$3006,$J336),LEN($B$5))=$B$5,INDEX(NKC!$H$7:$H$3006,$J336),""))</f>
        <v/>
      </c>
      <c r="G336" s="125">
        <f>IF($J336="","",IF(LEFT(INDEX(NKC!$G$7:$G$3006,$J336),LEN($B$5))=$B$5,INDEX(NKC!$H$7:$H$3006,$J336),""))</f>
        <v/>
      </c>
      <c r="H336" s="132">
        <f>IF($J336="","",H335+N(F336)-N(G336))</f>
        <v/>
      </c>
      <c r="J336" s="117">
        <f>IFERROR(MATCH(329,NKC!$P$7:$P$3006,0),"")</f>
        <v/>
      </c>
    </row>
    <row r="337" ht="15" customHeight="1" s="78">
      <c r="A337" s="131">
        <f>IF($J337="","",INDEX(NKC!$B$7:$B$3006,$J337))</f>
        <v/>
      </c>
      <c r="B337" s="95">
        <f>IF($J337="","",INDEX(NKC!$C$7:$C$3006,$J337))</f>
        <v/>
      </c>
      <c r="C337" s="131">
        <f>IF($J337="","",INDEX(NKC!$D$7:$D$3006,$J337))</f>
        <v/>
      </c>
      <c r="D337" s="97">
        <f>IF($J337="","",INDEX(NKC!$E$7:$E$3006,$J337))</f>
        <v/>
      </c>
      <c r="E337" s="95">
        <f>IF($J337="","",IF(LEFT(INDEX(NKC!$F$7:$F$3006,$J337),LEN($B$5))=$B$5,INDEX(NKC!$G$7:$G$3006,$J337),INDEX(NKC!$F$7:$F$3006,$J337)))</f>
        <v/>
      </c>
      <c r="F337" s="125">
        <f>IF($J337="","",IF(LEFT(INDEX(NKC!$F$7:$F$3006,$J337),LEN($B$5))=$B$5,INDEX(NKC!$H$7:$H$3006,$J337),""))</f>
        <v/>
      </c>
      <c r="G337" s="125">
        <f>IF($J337="","",IF(LEFT(INDEX(NKC!$G$7:$G$3006,$J337),LEN($B$5))=$B$5,INDEX(NKC!$H$7:$H$3006,$J337),""))</f>
        <v/>
      </c>
      <c r="H337" s="132">
        <f>IF($J337="","",H336+N(F337)-N(G337))</f>
        <v/>
      </c>
      <c r="J337" s="117">
        <f>IFERROR(MATCH(330,NKC!$P$7:$P$3006,0),"")</f>
        <v/>
      </c>
    </row>
    <row r="338" ht="15" customHeight="1" s="78">
      <c r="A338" s="131">
        <f>IF($J338="","",INDEX(NKC!$B$7:$B$3006,$J338))</f>
        <v/>
      </c>
      <c r="B338" s="95">
        <f>IF($J338="","",INDEX(NKC!$C$7:$C$3006,$J338))</f>
        <v/>
      </c>
      <c r="C338" s="131">
        <f>IF($J338="","",INDEX(NKC!$D$7:$D$3006,$J338))</f>
        <v/>
      </c>
      <c r="D338" s="97">
        <f>IF($J338="","",INDEX(NKC!$E$7:$E$3006,$J338))</f>
        <v/>
      </c>
      <c r="E338" s="95">
        <f>IF($J338="","",IF(LEFT(INDEX(NKC!$F$7:$F$3006,$J338),LEN($B$5))=$B$5,INDEX(NKC!$G$7:$G$3006,$J338),INDEX(NKC!$F$7:$F$3006,$J338)))</f>
        <v/>
      </c>
      <c r="F338" s="125">
        <f>IF($J338="","",IF(LEFT(INDEX(NKC!$F$7:$F$3006,$J338),LEN($B$5))=$B$5,INDEX(NKC!$H$7:$H$3006,$J338),""))</f>
        <v/>
      </c>
      <c r="G338" s="125">
        <f>IF($J338="","",IF(LEFT(INDEX(NKC!$G$7:$G$3006,$J338),LEN($B$5))=$B$5,INDEX(NKC!$H$7:$H$3006,$J338),""))</f>
        <v/>
      </c>
      <c r="H338" s="132">
        <f>IF($J338="","",H337+N(F338)-N(G338))</f>
        <v/>
      </c>
      <c r="J338" s="117">
        <f>IFERROR(MATCH(331,NKC!$P$7:$P$3006,0),"")</f>
        <v/>
      </c>
    </row>
    <row r="339" ht="15" customHeight="1" s="78">
      <c r="A339" s="131">
        <f>IF($J339="","",INDEX(NKC!$B$7:$B$3006,$J339))</f>
        <v/>
      </c>
      <c r="B339" s="95">
        <f>IF($J339="","",INDEX(NKC!$C$7:$C$3006,$J339))</f>
        <v/>
      </c>
      <c r="C339" s="131">
        <f>IF($J339="","",INDEX(NKC!$D$7:$D$3006,$J339))</f>
        <v/>
      </c>
      <c r="D339" s="97">
        <f>IF($J339="","",INDEX(NKC!$E$7:$E$3006,$J339))</f>
        <v/>
      </c>
      <c r="E339" s="95">
        <f>IF($J339="","",IF(LEFT(INDEX(NKC!$F$7:$F$3006,$J339),LEN($B$5))=$B$5,INDEX(NKC!$G$7:$G$3006,$J339),INDEX(NKC!$F$7:$F$3006,$J339)))</f>
        <v/>
      </c>
      <c r="F339" s="125">
        <f>IF($J339="","",IF(LEFT(INDEX(NKC!$F$7:$F$3006,$J339),LEN($B$5))=$B$5,INDEX(NKC!$H$7:$H$3006,$J339),""))</f>
        <v/>
      </c>
      <c r="G339" s="125">
        <f>IF($J339="","",IF(LEFT(INDEX(NKC!$G$7:$G$3006,$J339),LEN($B$5))=$B$5,INDEX(NKC!$H$7:$H$3006,$J339),""))</f>
        <v/>
      </c>
      <c r="H339" s="132">
        <f>IF($J339="","",H338+N(F339)-N(G339))</f>
        <v/>
      </c>
      <c r="J339" s="117">
        <f>IFERROR(MATCH(332,NKC!$P$7:$P$3006,0),"")</f>
        <v/>
      </c>
    </row>
    <row r="340" ht="15" customHeight="1" s="78">
      <c r="A340" s="131">
        <f>IF($J340="","",INDEX(NKC!$B$7:$B$3006,$J340))</f>
        <v/>
      </c>
      <c r="B340" s="95">
        <f>IF($J340="","",INDEX(NKC!$C$7:$C$3006,$J340))</f>
        <v/>
      </c>
      <c r="C340" s="131">
        <f>IF($J340="","",INDEX(NKC!$D$7:$D$3006,$J340))</f>
        <v/>
      </c>
      <c r="D340" s="97">
        <f>IF($J340="","",INDEX(NKC!$E$7:$E$3006,$J340))</f>
        <v/>
      </c>
      <c r="E340" s="95">
        <f>IF($J340="","",IF(LEFT(INDEX(NKC!$F$7:$F$3006,$J340),LEN($B$5))=$B$5,INDEX(NKC!$G$7:$G$3006,$J340),INDEX(NKC!$F$7:$F$3006,$J340)))</f>
        <v/>
      </c>
      <c r="F340" s="125">
        <f>IF($J340="","",IF(LEFT(INDEX(NKC!$F$7:$F$3006,$J340),LEN($B$5))=$B$5,INDEX(NKC!$H$7:$H$3006,$J340),""))</f>
        <v/>
      </c>
      <c r="G340" s="125">
        <f>IF($J340="","",IF(LEFT(INDEX(NKC!$G$7:$G$3006,$J340),LEN($B$5))=$B$5,INDEX(NKC!$H$7:$H$3006,$J340),""))</f>
        <v/>
      </c>
      <c r="H340" s="132">
        <f>IF($J340="","",H339+N(F340)-N(G340))</f>
        <v/>
      </c>
      <c r="J340" s="117">
        <f>IFERROR(MATCH(333,NKC!$P$7:$P$3006,0),"")</f>
        <v/>
      </c>
    </row>
    <row r="341" ht="15" customHeight="1" s="78">
      <c r="A341" s="131">
        <f>IF($J341="","",INDEX(NKC!$B$7:$B$3006,$J341))</f>
        <v/>
      </c>
      <c r="B341" s="95">
        <f>IF($J341="","",INDEX(NKC!$C$7:$C$3006,$J341))</f>
        <v/>
      </c>
      <c r="C341" s="131">
        <f>IF($J341="","",INDEX(NKC!$D$7:$D$3006,$J341))</f>
        <v/>
      </c>
      <c r="D341" s="97">
        <f>IF($J341="","",INDEX(NKC!$E$7:$E$3006,$J341))</f>
        <v/>
      </c>
      <c r="E341" s="95">
        <f>IF($J341="","",IF(LEFT(INDEX(NKC!$F$7:$F$3006,$J341),LEN($B$5))=$B$5,INDEX(NKC!$G$7:$G$3006,$J341),INDEX(NKC!$F$7:$F$3006,$J341)))</f>
        <v/>
      </c>
      <c r="F341" s="125">
        <f>IF($J341="","",IF(LEFT(INDEX(NKC!$F$7:$F$3006,$J341),LEN($B$5))=$B$5,INDEX(NKC!$H$7:$H$3006,$J341),""))</f>
        <v/>
      </c>
      <c r="G341" s="125">
        <f>IF($J341="","",IF(LEFT(INDEX(NKC!$G$7:$G$3006,$J341),LEN($B$5))=$B$5,INDEX(NKC!$H$7:$H$3006,$J341),""))</f>
        <v/>
      </c>
      <c r="H341" s="132">
        <f>IF($J341="","",H340+N(F341)-N(G341))</f>
        <v/>
      </c>
      <c r="J341" s="117">
        <f>IFERROR(MATCH(334,NKC!$P$7:$P$3006,0),"")</f>
        <v/>
      </c>
    </row>
    <row r="342" ht="15" customHeight="1" s="78">
      <c r="A342" s="131">
        <f>IF($J342="","",INDEX(NKC!$B$7:$B$3006,$J342))</f>
        <v/>
      </c>
      <c r="B342" s="95">
        <f>IF($J342="","",INDEX(NKC!$C$7:$C$3006,$J342))</f>
        <v/>
      </c>
      <c r="C342" s="131">
        <f>IF($J342="","",INDEX(NKC!$D$7:$D$3006,$J342))</f>
        <v/>
      </c>
      <c r="D342" s="97">
        <f>IF($J342="","",INDEX(NKC!$E$7:$E$3006,$J342))</f>
        <v/>
      </c>
      <c r="E342" s="95">
        <f>IF($J342="","",IF(LEFT(INDEX(NKC!$F$7:$F$3006,$J342),LEN($B$5))=$B$5,INDEX(NKC!$G$7:$G$3006,$J342),INDEX(NKC!$F$7:$F$3006,$J342)))</f>
        <v/>
      </c>
      <c r="F342" s="125">
        <f>IF($J342="","",IF(LEFT(INDEX(NKC!$F$7:$F$3006,$J342),LEN($B$5))=$B$5,INDEX(NKC!$H$7:$H$3006,$J342),""))</f>
        <v/>
      </c>
      <c r="G342" s="125">
        <f>IF($J342="","",IF(LEFT(INDEX(NKC!$G$7:$G$3006,$J342),LEN($B$5))=$B$5,INDEX(NKC!$H$7:$H$3006,$J342),""))</f>
        <v/>
      </c>
      <c r="H342" s="132">
        <f>IF($J342="","",H341+N(F342)-N(G342))</f>
        <v/>
      </c>
      <c r="J342" s="117">
        <f>IFERROR(MATCH(335,NKC!$P$7:$P$3006,0),"")</f>
        <v/>
      </c>
    </row>
    <row r="343" ht="15" customHeight="1" s="78">
      <c r="A343" s="131">
        <f>IF($J343="","",INDEX(NKC!$B$7:$B$3006,$J343))</f>
        <v/>
      </c>
      <c r="B343" s="95">
        <f>IF($J343="","",INDEX(NKC!$C$7:$C$3006,$J343))</f>
        <v/>
      </c>
      <c r="C343" s="131">
        <f>IF($J343="","",INDEX(NKC!$D$7:$D$3006,$J343))</f>
        <v/>
      </c>
      <c r="D343" s="97">
        <f>IF($J343="","",INDEX(NKC!$E$7:$E$3006,$J343))</f>
        <v/>
      </c>
      <c r="E343" s="95">
        <f>IF($J343="","",IF(LEFT(INDEX(NKC!$F$7:$F$3006,$J343),LEN($B$5))=$B$5,INDEX(NKC!$G$7:$G$3006,$J343),INDEX(NKC!$F$7:$F$3006,$J343)))</f>
        <v/>
      </c>
      <c r="F343" s="125">
        <f>IF($J343="","",IF(LEFT(INDEX(NKC!$F$7:$F$3006,$J343),LEN($B$5))=$B$5,INDEX(NKC!$H$7:$H$3006,$J343),""))</f>
        <v/>
      </c>
      <c r="G343" s="125">
        <f>IF($J343="","",IF(LEFT(INDEX(NKC!$G$7:$G$3006,$J343),LEN($B$5))=$B$5,INDEX(NKC!$H$7:$H$3006,$J343),""))</f>
        <v/>
      </c>
      <c r="H343" s="132">
        <f>IF($J343="","",H342+N(F343)-N(G343))</f>
        <v/>
      </c>
      <c r="J343" s="117">
        <f>IFERROR(MATCH(336,NKC!$P$7:$P$3006,0),"")</f>
        <v/>
      </c>
    </row>
    <row r="344" ht="15" customHeight="1" s="78">
      <c r="A344" s="131">
        <f>IF($J344="","",INDEX(NKC!$B$7:$B$3006,$J344))</f>
        <v/>
      </c>
      <c r="B344" s="95">
        <f>IF($J344="","",INDEX(NKC!$C$7:$C$3006,$J344))</f>
        <v/>
      </c>
      <c r="C344" s="131">
        <f>IF($J344="","",INDEX(NKC!$D$7:$D$3006,$J344))</f>
        <v/>
      </c>
      <c r="D344" s="97">
        <f>IF($J344="","",INDEX(NKC!$E$7:$E$3006,$J344))</f>
        <v/>
      </c>
      <c r="E344" s="95">
        <f>IF($J344="","",IF(LEFT(INDEX(NKC!$F$7:$F$3006,$J344),LEN($B$5))=$B$5,INDEX(NKC!$G$7:$G$3006,$J344),INDEX(NKC!$F$7:$F$3006,$J344)))</f>
        <v/>
      </c>
      <c r="F344" s="125">
        <f>IF($J344="","",IF(LEFT(INDEX(NKC!$F$7:$F$3006,$J344),LEN($B$5))=$B$5,INDEX(NKC!$H$7:$H$3006,$J344),""))</f>
        <v/>
      </c>
      <c r="G344" s="125">
        <f>IF($J344="","",IF(LEFT(INDEX(NKC!$G$7:$G$3006,$J344),LEN($B$5))=$B$5,INDEX(NKC!$H$7:$H$3006,$J344),""))</f>
        <v/>
      </c>
      <c r="H344" s="132">
        <f>IF($J344="","",H343+N(F344)-N(G344))</f>
        <v/>
      </c>
      <c r="J344" s="117">
        <f>IFERROR(MATCH(337,NKC!$P$7:$P$3006,0),"")</f>
        <v/>
      </c>
    </row>
    <row r="345" ht="15" customHeight="1" s="78">
      <c r="A345" s="131">
        <f>IF($J345="","",INDEX(NKC!$B$7:$B$3006,$J345))</f>
        <v/>
      </c>
      <c r="B345" s="95">
        <f>IF($J345="","",INDEX(NKC!$C$7:$C$3006,$J345))</f>
        <v/>
      </c>
      <c r="C345" s="131">
        <f>IF($J345="","",INDEX(NKC!$D$7:$D$3006,$J345))</f>
        <v/>
      </c>
      <c r="D345" s="97">
        <f>IF($J345="","",INDEX(NKC!$E$7:$E$3006,$J345))</f>
        <v/>
      </c>
      <c r="E345" s="95">
        <f>IF($J345="","",IF(LEFT(INDEX(NKC!$F$7:$F$3006,$J345),LEN($B$5))=$B$5,INDEX(NKC!$G$7:$G$3006,$J345),INDEX(NKC!$F$7:$F$3006,$J345)))</f>
        <v/>
      </c>
      <c r="F345" s="125">
        <f>IF($J345="","",IF(LEFT(INDEX(NKC!$F$7:$F$3006,$J345),LEN($B$5))=$B$5,INDEX(NKC!$H$7:$H$3006,$J345),""))</f>
        <v/>
      </c>
      <c r="G345" s="125">
        <f>IF($J345="","",IF(LEFT(INDEX(NKC!$G$7:$G$3006,$J345),LEN($B$5))=$B$5,INDEX(NKC!$H$7:$H$3006,$J345),""))</f>
        <v/>
      </c>
      <c r="H345" s="132">
        <f>IF($J345="","",H344+N(F345)-N(G345))</f>
        <v/>
      </c>
      <c r="J345" s="117">
        <f>IFERROR(MATCH(338,NKC!$P$7:$P$3006,0),"")</f>
        <v/>
      </c>
    </row>
    <row r="346" ht="15" customHeight="1" s="78">
      <c r="A346" s="131">
        <f>IF($J346="","",INDEX(NKC!$B$7:$B$3006,$J346))</f>
        <v/>
      </c>
      <c r="B346" s="95">
        <f>IF($J346="","",INDEX(NKC!$C$7:$C$3006,$J346))</f>
        <v/>
      </c>
      <c r="C346" s="131">
        <f>IF($J346="","",INDEX(NKC!$D$7:$D$3006,$J346))</f>
        <v/>
      </c>
      <c r="D346" s="97">
        <f>IF($J346="","",INDEX(NKC!$E$7:$E$3006,$J346))</f>
        <v/>
      </c>
      <c r="E346" s="95">
        <f>IF($J346="","",IF(LEFT(INDEX(NKC!$F$7:$F$3006,$J346),LEN($B$5))=$B$5,INDEX(NKC!$G$7:$G$3006,$J346),INDEX(NKC!$F$7:$F$3006,$J346)))</f>
        <v/>
      </c>
      <c r="F346" s="125">
        <f>IF($J346="","",IF(LEFT(INDEX(NKC!$F$7:$F$3006,$J346),LEN($B$5))=$B$5,INDEX(NKC!$H$7:$H$3006,$J346),""))</f>
        <v/>
      </c>
      <c r="G346" s="125">
        <f>IF($J346="","",IF(LEFT(INDEX(NKC!$G$7:$G$3006,$J346),LEN($B$5))=$B$5,INDEX(NKC!$H$7:$H$3006,$J346),""))</f>
        <v/>
      </c>
      <c r="H346" s="132">
        <f>IF($J346="","",H345+N(F346)-N(G346))</f>
        <v/>
      </c>
      <c r="J346" s="117">
        <f>IFERROR(MATCH(339,NKC!$P$7:$P$3006,0),"")</f>
        <v/>
      </c>
    </row>
    <row r="347" ht="15" customHeight="1" s="78">
      <c r="A347" s="131">
        <f>IF($J347="","",INDEX(NKC!$B$7:$B$3006,$J347))</f>
        <v/>
      </c>
      <c r="B347" s="95">
        <f>IF($J347="","",INDEX(NKC!$C$7:$C$3006,$J347))</f>
        <v/>
      </c>
      <c r="C347" s="131">
        <f>IF($J347="","",INDEX(NKC!$D$7:$D$3006,$J347))</f>
        <v/>
      </c>
      <c r="D347" s="97">
        <f>IF($J347="","",INDEX(NKC!$E$7:$E$3006,$J347))</f>
        <v/>
      </c>
      <c r="E347" s="95">
        <f>IF($J347="","",IF(LEFT(INDEX(NKC!$F$7:$F$3006,$J347),LEN($B$5))=$B$5,INDEX(NKC!$G$7:$G$3006,$J347),INDEX(NKC!$F$7:$F$3006,$J347)))</f>
        <v/>
      </c>
      <c r="F347" s="125">
        <f>IF($J347="","",IF(LEFT(INDEX(NKC!$F$7:$F$3006,$J347),LEN($B$5))=$B$5,INDEX(NKC!$H$7:$H$3006,$J347),""))</f>
        <v/>
      </c>
      <c r="G347" s="125">
        <f>IF($J347="","",IF(LEFT(INDEX(NKC!$G$7:$G$3006,$J347),LEN($B$5))=$B$5,INDEX(NKC!$H$7:$H$3006,$J347),""))</f>
        <v/>
      </c>
      <c r="H347" s="132">
        <f>IF($J347="","",H346+N(F347)-N(G347))</f>
        <v/>
      </c>
      <c r="J347" s="117">
        <f>IFERROR(MATCH(340,NKC!$P$7:$P$3006,0),"")</f>
        <v/>
      </c>
    </row>
    <row r="348" ht="15" customHeight="1" s="78">
      <c r="A348" s="131">
        <f>IF($J348="","",INDEX(NKC!$B$7:$B$3006,$J348))</f>
        <v/>
      </c>
      <c r="B348" s="95">
        <f>IF($J348="","",INDEX(NKC!$C$7:$C$3006,$J348))</f>
        <v/>
      </c>
      <c r="C348" s="131">
        <f>IF($J348="","",INDEX(NKC!$D$7:$D$3006,$J348))</f>
        <v/>
      </c>
      <c r="D348" s="97">
        <f>IF($J348="","",INDEX(NKC!$E$7:$E$3006,$J348))</f>
        <v/>
      </c>
      <c r="E348" s="95">
        <f>IF($J348="","",IF(LEFT(INDEX(NKC!$F$7:$F$3006,$J348),LEN($B$5))=$B$5,INDEX(NKC!$G$7:$G$3006,$J348),INDEX(NKC!$F$7:$F$3006,$J348)))</f>
        <v/>
      </c>
      <c r="F348" s="125">
        <f>IF($J348="","",IF(LEFT(INDEX(NKC!$F$7:$F$3006,$J348),LEN($B$5))=$B$5,INDEX(NKC!$H$7:$H$3006,$J348),""))</f>
        <v/>
      </c>
      <c r="G348" s="125">
        <f>IF($J348="","",IF(LEFT(INDEX(NKC!$G$7:$G$3006,$J348),LEN($B$5))=$B$5,INDEX(NKC!$H$7:$H$3006,$J348),""))</f>
        <v/>
      </c>
      <c r="H348" s="132">
        <f>IF($J348="","",H347+N(F348)-N(G348))</f>
        <v/>
      </c>
      <c r="J348" s="117">
        <f>IFERROR(MATCH(341,NKC!$P$7:$P$3006,0),"")</f>
        <v/>
      </c>
    </row>
    <row r="349" ht="15" customHeight="1" s="78">
      <c r="A349" s="131">
        <f>IF($J349="","",INDEX(NKC!$B$7:$B$3006,$J349))</f>
        <v/>
      </c>
      <c r="B349" s="95">
        <f>IF($J349="","",INDEX(NKC!$C$7:$C$3006,$J349))</f>
        <v/>
      </c>
      <c r="C349" s="131">
        <f>IF($J349="","",INDEX(NKC!$D$7:$D$3006,$J349))</f>
        <v/>
      </c>
      <c r="D349" s="97">
        <f>IF($J349="","",INDEX(NKC!$E$7:$E$3006,$J349))</f>
        <v/>
      </c>
      <c r="E349" s="95">
        <f>IF($J349="","",IF(LEFT(INDEX(NKC!$F$7:$F$3006,$J349),LEN($B$5))=$B$5,INDEX(NKC!$G$7:$G$3006,$J349),INDEX(NKC!$F$7:$F$3006,$J349)))</f>
        <v/>
      </c>
      <c r="F349" s="125">
        <f>IF($J349="","",IF(LEFT(INDEX(NKC!$F$7:$F$3006,$J349),LEN($B$5))=$B$5,INDEX(NKC!$H$7:$H$3006,$J349),""))</f>
        <v/>
      </c>
      <c r="G349" s="125">
        <f>IF($J349="","",IF(LEFT(INDEX(NKC!$G$7:$G$3006,$J349),LEN($B$5))=$B$5,INDEX(NKC!$H$7:$H$3006,$J349),""))</f>
        <v/>
      </c>
      <c r="H349" s="132">
        <f>IF($J349="","",H348+N(F349)-N(G349))</f>
        <v/>
      </c>
      <c r="J349" s="117">
        <f>IFERROR(MATCH(342,NKC!$P$7:$P$3006,0),"")</f>
        <v/>
      </c>
    </row>
    <row r="350" ht="15" customHeight="1" s="78">
      <c r="A350" s="131">
        <f>IF($J350="","",INDEX(NKC!$B$7:$B$3006,$J350))</f>
        <v/>
      </c>
      <c r="B350" s="95">
        <f>IF($J350="","",INDEX(NKC!$C$7:$C$3006,$J350))</f>
        <v/>
      </c>
      <c r="C350" s="131">
        <f>IF($J350="","",INDEX(NKC!$D$7:$D$3006,$J350))</f>
        <v/>
      </c>
      <c r="D350" s="97">
        <f>IF($J350="","",INDEX(NKC!$E$7:$E$3006,$J350))</f>
        <v/>
      </c>
      <c r="E350" s="95">
        <f>IF($J350="","",IF(LEFT(INDEX(NKC!$F$7:$F$3006,$J350),LEN($B$5))=$B$5,INDEX(NKC!$G$7:$G$3006,$J350),INDEX(NKC!$F$7:$F$3006,$J350)))</f>
        <v/>
      </c>
      <c r="F350" s="125">
        <f>IF($J350="","",IF(LEFT(INDEX(NKC!$F$7:$F$3006,$J350),LEN($B$5))=$B$5,INDEX(NKC!$H$7:$H$3006,$J350),""))</f>
        <v/>
      </c>
      <c r="G350" s="125">
        <f>IF($J350="","",IF(LEFT(INDEX(NKC!$G$7:$G$3006,$J350),LEN($B$5))=$B$5,INDEX(NKC!$H$7:$H$3006,$J350),""))</f>
        <v/>
      </c>
      <c r="H350" s="132">
        <f>IF($J350="","",H349+N(F350)-N(G350))</f>
        <v/>
      </c>
      <c r="J350" s="117">
        <f>IFERROR(MATCH(343,NKC!$P$7:$P$3006,0),"")</f>
        <v/>
      </c>
    </row>
    <row r="351" ht="15" customHeight="1" s="78">
      <c r="A351" s="131">
        <f>IF($J351="","",INDEX(NKC!$B$7:$B$3006,$J351))</f>
        <v/>
      </c>
      <c r="B351" s="95">
        <f>IF($J351="","",INDEX(NKC!$C$7:$C$3006,$J351))</f>
        <v/>
      </c>
      <c r="C351" s="131">
        <f>IF($J351="","",INDEX(NKC!$D$7:$D$3006,$J351))</f>
        <v/>
      </c>
      <c r="D351" s="97">
        <f>IF($J351="","",INDEX(NKC!$E$7:$E$3006,$J351))</f>
        <v/>
      </c>
      <c r="E351" s="95">
        <f>IF($J351="","",IF(LEFT(INDEX(NKC!$F$7:$F$3006,$J351),LEN($B$5))=$B$5,INDEX(NKC!$G$7:$G$3006,$J351),INDEX(NKC!$F$7:$F$3006,$J351)))</f>
        <v/>
      </c>
      <c r="F351" s="125">
        <f>IF($J351="","",IF(LEFT(INDEX(NKC!$F$7:$F$3006,$J351),LEN($B$5))=$B$5,INDEX(NKC!$H$7:$H$3006,$J351),""))</f>
        <v/>
      </c>
      <c r="G351" s="125">
        <f>IF($J351="","",IF(LEFT(INDEX(NKC!$G$7:$G$3006,$J351),LEN($B$5))=$B$5,INDEX(NKC!$H$7:$H$3006,$J351),""))</f>
        <v/>
      </c>
      <c r="H351" s="132">
        <f>IF($J351="","",H350+N(F351)-N(G351))</f>
        <v/>
      </c>
      <c r="J351" s="117">
        <f>IFERROR(MATCH(344,NKC!$P$7:$P$3006,0),"")</f>
        <v/>
      </c>
    </row>
    <row r="352" ht="15" customHeight="1" s="78">
      <c r="A352" s="131">
        <f>IF($J352="","",INDEX(NKC!$B$7:$B$3006,$J352))</f>
        <v/>
      </c>
      <c r="B352" s="95">
        <f>IF($J352="","",INDEX(NKC!$C$7:$C$3006,$J352))</f>
        <v/>
      </c>
      <c r="C352" s="131">
        <f>IF($J352="","",INDEX(NKC!$D$7:$D$3006,$J352))</f>
        <v/>
      </c>
      <c r="D352" s="97">
        <f>IF($J352="","",INDEX(NKC!$E$7:$E$3006,$J352))</f>
        <v/>
      </c>
      <c r="E352" s="95">
        <f>IF($J352="","",IF(LEFT(INDEX(NKC!$F$7:$F$3006,$J352),LEN($B$5))=$B$5,INDEX(NKC!$G$7:$G$3006,$J352),INDEX(NKC!$F$7:$F$3006,$J352)))</f>
        <v/>
      </c>
      <c r="F352" s="125">
        <f>IF($J352="","",IF(LEFT(INDEX(NKC!$F$7:$F$3006,$J352),LEN($B$5))=$B$5,INDEX(NKC!$H$7:$H$3006,$J352),""))</f>
        <v/>
      </c>
      <c r="G352" s="125">
        <f>IF($J352="","",IF(LEFT(INDEX(NKC!$G$7:$G$3006,$J352),LEN($B$5))=$B$5,INDEX(NKC!$H$7:$H$3006,$J352),""))</f>
        <v/>
      </c>
      <c r="H352" s="132">
        <f>IF($J352="","",H351+N(F352)-N(G352))</f>
        <v/>
      </c>
      <c r="J352" s="117">
        <f>IFERROR(MATCH(345,NKC!$P$7:$P$3006,0),"")</f>
        <v/>
      </c>
    </row>
    <row r="353" ht="15" customHeight="1" s="78">
      <c r="A353" s="131">
        <f>IF($J353="","",INDEX(NKC!$B$7:$B$3006,$J353))</f>
        <v/>
      </c>
      <c r="B353" s="95">
        <f>IF($J353="","",INDEX(NKC!$C$7:$C$3006,$J353))</f>
        <v/>
      </c>
      <c r="C353" s="131">
        <f>IF($J353="","",INDEX(NKC!$D$7:$D$3006,$J353))</f>
        <v/>
      </c>
      <c r="D353" s="97">
        <f>IF($J353="","",INDEX(NKC!$E$7:$E$3006,$J353))</f>
        <v/>
      </c>
      <c r="E353" s="95">
        <f>IF($J353="","",IF(LEFT(INDEX(NKC!$F$7:$F$3006,$J353),LEN($B$5))=$B$5,INDEX(NKC!$G$7:$G$3006,$J353),INDEX(NKC!$F$7:$F$3006,$J353)))</f>
        <v/>
      </c>
      <c r="F353" s="125">
        <f>IF($J353="","",IF(LEFT(INDEX(NKC!$F$7:$F$3006,$J353),LEN($B$5))=$B$5,INDEX(NKC!$H$7:$H$3006,$J353),""))</f>
        <v/>
      </c>
      <c r="G353" s="125">
        <f>IF($J353="","",IF(LEFT(INDEX(NKC!$G$7:$G$3006,$J353),LEN($B$5))=$B$5,INDEX(NKC!$H$7:$H$3006,$J353),""))</f>
        <v/>
      </c>
      <c r="H353" s="132">
        <f>IF($J353="","",H352+N(F353)-N(G353))</f>
        <v/>
      </c>
      <c r="J353" s="117">
        <f>IFERROR(MATCH(346,NKC!$P$7:$P$3006,0),"")</f>
        <v/>
      </c>
    </row>
    <row r="354" ht="15" customHeight="1" s="78">
      <c r="A354" s="131">
        <f>IF($J354="","",INDEX(NKC!$B$7:$B$3006,$J354))</f>
        <v/>
      </c>
      <c r="B354" s="95">
        <f>IF($J354="","",INDEX(NKC!$C$7:$C$3006,$J354))</f>
        <v/>
      </c>
      <c r="C354" s="131">
        <f>IF($J354="","",INDEX(NKC!$D$7:$D$3006,$J354))</f>
        <v/>
      </c>
      <c r="D354" s="97">
        <f>IF($J354="","",INDEX(NKC!$E$7:$E$3006,$J354))</f>
        <v/>
      </c>
      <c r="E354" s="95">
        <f>IF($J354="","",IF(LEFT(INDEX(NKC!$F$7:$F$3006,$J354),LEN($B$5))=$B$5,INDEX(NKC!$G$7:$G$3006,$J354),INDEX(NKC!$F$7:$F$3006,$J354)))</f>
        <v/>
      </c>
      <c r="F354" s="125">
        <f>IF($J354="","",IF(LEFT(INDEX(NKC!$F$7:$F$3006,$J354),LEN($B$5))=$B$5,INDEX(NKC!$H$7:$H$3006,$J354),""))</f>
        <v/>
      </c>
      <c r="G354" s="125">
        <f>IF($J354="","",IF(LEFT(INDEX(NKC!$G$7:$G$3006,$J354),LEN($B$5))=$B$5,INDEX(NKC!$H$7:$H$3006,$J354),""))</f>
        <v/>
      </c>
      <c r="H354" s="132">
        <f>IF($J354="","",H353+N(F354)-N(G354))</f>
        <v/>
      </c>
      <c r="J354" s="117">
        <f>IFERROR(MATCH(347,NKC!$P$7:$P$3006,0),"")</f>
        <v/>
      </c>
    </row>
    <row r="355" ht="15" customHeight="1" s="78">
      <c r="A355" s="131">
        <f>IF($J355="","",INDEX(NKC!$B$7:$B$3006,$J355))</f>
        <v/>
      </c>
      <c r="B355" s="95">
        <f>IF($J355="","",INDEX(NKC!$C$7:$C$3006,$J355))</f>
        <v/>
      </c>
      <c r="C355" s="131">
        <f>IF($J355="","",INDEX(NKC!$D$7:$D$3006,$J355))</f>
        <v/>
      </c>
      <c r="D355" s="97">
        <f>IF($J355="","",INDEX(NKC!$E$7:$E$3006,$J355))</f>
        <v/>
      </c>
      <c r="E355" s="95">
        <f>IF($J355="","",IF(LEFT(INDEX(NKC!$F$7:$F$3006,$J355),LEN($B$5))=$B$5,INDEX(NKC!$G$7:$G$3006,$J355),INDEX(NKC!$F$7:$F$3006,$J355)))</f>
        <v/>
      </c>
      <c r="F355" s="125">
        <f>IF($J355="","",IF(LEFT(INDEX(NKC!$F$7:$F$3006,$J355),LEN($B$5))=$B$5,INDEX(NKC!$H$7:$H$3006,$J355),""))</f>
        <v/>
      </c>
      <c r="G355" s="125">
        <f>IF($J355="","",IF(LEFT(INDEX(NKC!$G$7:$G$3006,$J355),LEN($B$5))=$B$5,INDEX(NKC!$H$7:$H$3006,$J355),""))</f>
        <v/>
      </c>
      <c r="H355" s="132">
        <f>IF($J355="","",H354+N(F355)-N(G355))</f>
        <v/>
      </c>
      <c r="J355" s="117">
        <f>IFERROR(MATCH(348,NKC!$P$7:$P$3006,0),"")</f>
        <v/>
      </c>
    </row>
    <row r="356" ht="15" customHeight="1" s="78">
      <c r="A356" s="131">
        <f>IF($J356="","",INDEX(NKC!$B$7:$B$3006,$J356))</f>
        <v/>
      </c>
      <c r="B356" s="95">
        <f>IF($J356="","",INDEX(NKC!$C$7:$C$3006,$J356))</f>
        <v/>
      </c>
      <c r="C356" s="131">
        <f>IF($J356="","",INDEX(NKC!$D$7:$D$3006,$J356))</f>
        <v/>
      </c>
      <c r="D356" s="97">
        <f>IF($J356="","",INDEX(NKC!$E$7:$E$3006,$J356))</f>
        <v/>
      </c>
      <c r="E356" s="95">
        <f>IF($J356="","",IF(LEFT(INDEX(NKC!$F$7:$F$3006,$J356),LEN($B$5))=$B$5,INDEX(NKC!$G$7:$G$3006,$J356),INDEX(NKC!$F$7:$F$3006,$J356)))</f>
        <v/>
      </c>
      <c r="F356" s="125">
        <f>IF($J356="","",IF(LEFT(INDEX(NKC!$F$7:$F$3006,$J356),LEN($B$5))=$B$5,INDEX(NKC!$H$7:$H$3006,$J356),""))</f>
        <v/>
      </c>
      <c r="G356" s="125">
        <f>IF($J356="","",IF(LEFT(INDEX(NKC!$G$7:$G$3006,$J356),LEN($B$5))=$B$5,INDEX(NKC!$H$7:$H$3006,$J356),""))</f>
        <v/>
      </c>
      <c r="H356" s="132">
        <f>IF($J356="","",H355+N(F356)-N(G356))</f>
        <v/>
      </c>
      <c r="J356" s="117">
        <f>IFERROR(MATCH(349,NKC!$P$7:$P$3006,0),"")</f>
        <v/>
      </c>
    </row>
    <row r="357" ht="15" customHeight="1" s="78">
      <c r="A357" s="131">
        <f>IF($J357="","",INDEX(NKC!$B$7:$B$3006,$J357))</f>
        <v/>
      </c>
      <c r="B357" s="95">
        <f>IF($J357="","",INDEX(NKC!$C$7:$C$3006,$J357))</f>
        <v/>
      </c>
      <c r="C357" s="131">
        <f>IF($J357="","",INDEX(NKC!$D$7:$D$3006,$J357))</f>
        <v/>
      </c>
      <c r="D357" s="97">
        <f>IF($J357="","",INDEX(NKC!$E$7:$E$3006,$J357))</f>
        <v/>
      </c>
      <c r="E357" s="95">
        <f>IF($J357="","",IF(LEFT(INDEX(NKC!$F$7:$F$3006,$J357),LEN($B$5))=$B$5,INDEX(NKC!$G$7:$G$3006,$J357),INDEX(NKC!$F$7:$F$3006,$J357)))</f>
        <v/>
      </c>
      <c r="F357" s="125">
        <f>IF($J357="","",IF(LEFT(INDEX(NKC!$F$7:$F$3006,$J357),LEN($B$5))=$B$5,INDEX(NKC!$H$7:$H$3006,$J357),""))</f>
        <v/>
      </c>
      <c r="G357" s="125">
        <f>IF($J357="","",IF(LEFT(INDEX(NKC!$G$7:$G$3006,$J357),LEN($B$5))=$B$5,INDEX(NKC!$H$7:$H$3006,$J357),""))</f>
        <v/>
      </c>
      <c r="H357" s="132">
        <f>IF($J357="","",H356+N(F357)-N(G357))</f>
        <v/>
      </c>
      <c r="J357" s="117">
        <f>IFERROR(MATCH(350,NKC!$P$7:$P$3006,0),"")</f>
        <v/>
      </c>
    </row>
    <row r="358" ht="15" customHeight="1" s="78">
      <c r="A358" s="131">
        <f>IF($J358="","",INDEX(NKC!$B$7:$B$3006,$J358))</f>
        <v/>
      </c>
      <c r="B358" s="95">
        <f>IF($J358="","",INDEX(NKC!$C$7:$C$3006,$J358))</f>
        <v/>
      </c>
      <c r="C358" s="131">
        <f>IF($J358="","",INDEX(NKC!$D$7:$D$3006,$J358))</f>
        <v/>
      </c>
      <c r="D358" s="97">
        <f>IF($J358="","",INDEX(NKC!$E$7:$E$3006,$J358))</f>
        <v/>
      </c>
      <c r="E358" s="95">
        <f>IF($J358="","",IF(LEFT(INDEX(NKC!$F$7:$F$3006,$J358),LEN($B$5))=$B$5,INDEX(NKC!$G$7:$G$3006,$J358),INDEX(NKC!$F$7:$F$3006,$J358)))</f>
        <v/>
      </c>
      <c r="F358" s="125">
        <f>IF($J358="","",IF(LEFT(INDEX(NKC!$F$7:$F$3006,$J358),LEN($B$5))=$B$5,INDEX(NKC!$H$7:$H$3006,$J358),""))</f>
        <v/>
      </c>
      <c r="G358" s="125">
        <f>IF($J358="","",IF(LEFT(INDEX(NKC!$G$7:$G$3006,$J358),LEN($B$5))=$B$5,INDEX(NKC!$H$7:$H$3006,$J358),""))</f>
        <v/>
      </c>
      <c r="H358" s="132">
        <f>IF($J358="","",H357+N(F358)-N(G358))</f>
        <v/>
      </c>
      <c r="J358" s="117">
        <f>IFERROR(MATCH(351,NKC!$P$7:$P$3006,0),"")</f>
        <v/>
      </c>
    </row>
    <row r="359" ht="15" customHeight="1" s="78">
      <c r="A359" s="131">
        <f>IF($J359="","",INDEX(NKC!$B$7:$B$3006,$J359))</f>
        <v/>
      </c>
      <c r="B359" s="95">
        <f>IF($J359="","",INDEX(NKC!$C$7:$C$3006,$J359))</f>
        <v/>
      </c>
      <c r="C359" s="131">
        <f>IF($J359="","",INDEX(NKC!$D$7:$D$3006,$J359))</f>
        <v/>
      </c>
      <c r="D359" s="97">
        <f>IF($J359="","",INDEX(NKC!$E$7:$E$3006,$J359))</f>
        <v/>
      </c>
      <c r="E359" s="95">
        <f>IF($J359="","",IF(LEFT(INDEX(NKC!$F$7:$F$3006,$J359),LEN($B$5))=$B$5,INDEX(NKC!$G$7:$G$3006,$J359),INDEX(NKC!$F$7:$F$3006,$J359)))</f>
        <v/>
      </c>
      <c r="F359" s="125">
        <f>IF($J359="","",IF(LEFT(INDEX(NKC!$F$7:$F$3006,$J359),LEN($B$5))=$B$5,INDEX(NKC!$H$7:$H$3006,$J359),""))</f>
        <v/>
      </c>
      <c r="G359" s="125">
        <f>IF($J359="","",IF(LEFT(INDEX(NKC!$G$7:$G$3006,$J359),LEN($B$5))=$B$5,INDEX(NKC!$H$7:$H$3006,$J359),""))</f>
        <v/>
      </c>
      <c r="H359" s="132">
        <f>IF($J359="","",H358+N(F359)-N(G359))</f>
        <v/>
      </c>
      <c r="J359" s="117">
        <f>IFERROR(MATCH(352,NKC!$P$7:$P$3006,0),"")</f>
        <v/>
      </c>
    </row>
    <row r="360" ht="15" customHeight="1" s="78">
      <c r="A360" s="131">
        <f>IF($J360="","",INDEX(NKC!$B$7:$B$3006,$J360))</f>
        <v/>
      </c>
      <c r="B360" s="95">
        <f>IF($J360="","",INDEX(NKC!$C$7:$C$3006,$J360))</f>
        <v/>
      </c>
      <c r="C360" s="131">
        <f>IF($J360="","",INDEX(NKC!$D$7:$D$3006,$J360))</f>
        <v/>
      </c>
      <c r="D360" s="97">
        <f>IF($J360="","",INDEX(NKC!$E$7:$E$3006,$J360))</f>
        <v/>
      </c>
      <c r="E360" s="95">
        <f>IF($J360="","",IF(LEFT(INDEX(NKC!$F$7:$F$3006,$J360),LEN($B$5))=$B$5,INDEX(NKC!$G$7:$G$3006,$J360),INDEX(NKC!$F$7:$F$3006,$J360)))</f>
        <v/>
      </c>
      <c r="F360" s="125">
        <f>IF($J360="","",IF(LEFT(INDEX(NKC!$F$7:$F$3006,$J360),LEN($B$5))=$B$5,INDEX(NKC!$H$7:$H$3006,$J360),""))</f>
        <v/>
      </c>
      <c r="G360" s="125">
        <f>IF($J360="","",IF(LEFT(INDEX(NKC!$G$7:$G$3006,$J360),LEN($B$5))=$B$5,INDEX(NKC!$H$7:$H$3006,$J360),""))</f>
        <v/>
      </c>
      <c r="H360" s="132">
        <f>IF($J360="","",H359+N(F360)-N(G360))</f>
        <v/>
      </c>
      <c r="J360" s="117">
        <f>IFERROR(MATCH(353,NKC!$P$7:$P$3006,0),"")</f>
        <v/>
      </c>
    </row>
    <row r="361" ht="15" customHeight="1" s="78">
      <c r="A361" s="131">
        <f>IF($J361="","",INDEX(NKC!$B$7:$B$3006,$J361))</f>
        <v/>
      </c>
      <c r="B361" s="95">
        <f>IF($J361="","",INDEX(NKC!$C$7:$C$3006,$J361))</f>
        <v/>
      </c>
      <c r="C361" s="131">
        <f>IF($J361="","",INDEX(NKC!$D$7:$D$3006,$J361))</f>
        <v/>
      </c>
      <c r="D361" s="97">
        <f>IF($J361="","",INDEX(NKC!$E$7:$E$3006,$J361))</f>
        <v/>
      </c>
      <c r="E361" s="95">
        <f>IF($J361="","",IF(LEFT(INDEX(NKC!$F$7:$F$3006,$J361),LEN($B$5))=$B$5,INDEX(NKC!$G$7:$G$3006,$J361),INDEX(NKC!$F$7:$F$3006,$J361)))</f>
        <v/>
      </c>
      <c r="F361" s="125">
        <f>IF($J361="","",IF(LEFT(INDEX(NKC!$F$7:$F$3006,$J361),LEN($B$5))=$B$5,INDEX(NKC!$H$7:$H$3006,$J361),""))</f>
        <v/>
      </c>
      <c r="G361" s="125">
        <f>IF($J361="","",IF(LEFT(INDEX(NKC!$G$7:$G$3006,$J361),LEN($B$5))=$B$5,INDEX(NKC!$H$7:$H$3006,$J361),""))</f>
        <v/>
      </c>
      <c r="H361" s="132">
        <f>IF($J361="","",H360+N(F361)-N(G361))</f>
        <v/>
      </c>
      <c r="J361" s="117">
        <f>IFERROR(MATCH(354,NKC!$P$7:$P$3006,0),"")</f>
        <v/>
      </c>
    </row>
    <row r="362" ht="15" customHeight="1" s="78">
      <c r="A362" s="131">
        <f>IF($J362="","",INDEX(NKC!$B$7:$B$3006,$J362))</f>
        <v/>
      </c>
      <c r="B362" s="95">
        <f>IF($J362="","",INDEX(NKC!$C$7:$C$3006,$J362))</f>
        <v/>
      </c>
      <c r="C362" s="131">
        <f>IF($J362="","",INDEX(NKC!$D$7:$D$3006,$J362))</f>
        <v/>
      </c>
      <c r="D362" s="97">
        <f>IF($J362="","",INDEX(NKC!$E$7:$E$3006,$J362))</f>
        <v/>
      </c>
      <c r="E362" s="95">
        <f>IF($J362="","",IF(LEFT(INDEX(NKC!$F$7:$F$3006,$J362),LEN($B$5))=$B$5,INDEX(NKC!$G$7:$G$3006,$J362),INDEX(NKC!$F$7:$F$3006,$J362)))</f>
        <v/>
      </c>
      <c r="F362" s="125">
        <f>IF($J362="","",IF(LEFT(INDEX(NKC!$F$7:$F$3006,$J362),LEN($B$5))=$B$5,INDEX(NKC!$H$7:$H$3006,$J362),""))</f>
        <v/>
      </c>
      <c r="G362" s="125">
        <f>IF($J362="","",IF(LEFT(INDEX(NKC!$G$7:$G$3006,$J362),LEN($B$5))=$B$5,INDEX(NKC!$H$7:$H$3006,$J362),""))</f>
        <v/>
      </c>
      <c r="H362" s="132">
        <f>IF($J362="","",H361+N(F362)-N(G362))</f>
        <v/>
      </c>
      <c r="J362" s="117">
        <f>IFERROR(MATCH(355,NKC!$P$7:$P$3006,0),"")</f>
        <v/>
      </c>
    </row>
    <row r="363" ht="15" customHeight="1" s="78">
      <c r="A363" s="131">
        <f>IF($J363="","",INDEX(NKC!$B$7:$B$3006,$J363))</f>
        <v/>
      </c>
      <c r="B363" s="95">
        <f>IF($J363="","",INDEX(NKC!$C$7:$C$3006,$J363))</f>
        <v/>
      </c>
      <c r="C363" s="131">
        <f>IF($J363="","",INDEX(NKC!$D$7:$D$3006,$J363))</f>
        <v/>
      </c>
      <c r="D363" s="97">
        <f>IF($J363="","",INDEX(NKC!$E$7:$E$3006,$J363))</f>
        <v/>
      </c>
      <c r="E363" s="95">
        <f>IF($J363="","",IF(LEFT(INDEX(NKC!$F$7:$F$3006,$J363),LEN($B$5))=$B$5,INDEX(NKC!$G$7:$G$3006,$J363),INDEX(NKC!$F$7:$F$3006,$J363)))</f>
        <v/>
      </c>
      <c r="F363" s="125">
        <f>IF($J363="","",IF(LEFT(INDEX(NKC!$F$7:$F$3006,$J363),LEN($B$5))=$B$5,INDEX(NKC!$H$7:$H$3006,$J363),""))</f>
        <v/>
      </c>
      <c r="G363" s="125">
        <f>IF($J363="","",IF(LEFT(INDEX(NKC!$G$7:$G$3006,$J363),LEN($B$5))=$B$5,INDEX(NKC!$H$7:$H$3006,$J363),""))</f>
        <v/>
      </c>
      <c r="H363" s="132">
        <f>IF($J363="","",H362+N(F363)-N(G363))</f>
        <v/>
      </c>
      <c r="J363" s="117">
        <f>IFERROR(MATCH(356,NKC!$P$7:$P$3006,0),"")</f>
        <v/>
      </c>
    </row>
    <row r="364" ht="15" customHeight="1" s="78">
      <c r="A364" s="131">
        <f>IF($J364="","",INDEX(NKC!$B$7:$B$3006,$J364))</f>
        <v/>
      </c>
      <c r="B364" s="95">
        <f>IF($J364="","",INDEX(NKC!$C$7:$C$3006,$J364))</f>
        <v/>
      </c>
      <c r="C364" s="131">
        <f>IF($J364="","",INDEX(NKC!$D$7:$D$3006,$J364))</f>
        <v/>
      </c>
      <c r="D364" s="97">
        <f>IF($J364="","",INDEX(NKC!$E$7:$E$3006,$J364))</f>
        <v/>
      </c>
      <c r="E364" s="95">
        <f>IF($J364="","",IF(LEFT(INDEX(NKC!$F$7:$F$3006,$J364),LEN($B$5))=$B$5,INDEX(NKC!$G$7:$G$3006,$J364),INDEX(NKC!$F$7:$F$3006,$J364)))</f>
        <v/>
      </c>
      <c r="F364" s="125">
        <f>IF($J364="","",IF(LEFT(INDEX(NKC!$F$7:$F$3006,$J364),LEN($B$5))=$B$5,INDEX(NKC!$H$7:$H$3006,$J364),""))</f>
        <v/>
      </c>
      <c r="G364" s="125">
        <f>IF($J364="","",IF(LEFT(INDEX(NKC!$G$7:$G$3006,$J364),LEN($B$5))=$B$5,INDEX(NKC!$H$7:$H$3006,$J364),""))</f>
        <v/>
      </c>
      <c r="H364" s="132">
        <f>IF($J364="","",H363+N(F364)-N(G364))</f>
        <v/>
      </c>
      <c r="J364" s="117">
        <f>IFERROR(MATCH(357,NKC!$P$7:$P$3006,0),"")</f>
        <v/>
      </c>
    </row>
    <row r="365" ht="15" customHeight="1" s="78">
      <c r="A365" s="131">
        <f>IF($J365="","",INDEX(NKC!$B$7:$B$3006,$J365))</f>
        <v/>
      </c>
      <c r="B365" s="95">
        <f>IF($J365="","",INDEX(NKC!$C$7:$C$3006,$J365))</f>
        <v/>
      </c>
      <c r="C365" s="131">
        <f>IF($J365="","",INDEX(NKC!$D$7:$D$3006,$J365))</f>
        <v/>
      </c>
      <c r="D365" s="97">
        <f>IF($J365="","",INDEX(NKC!$E$7:$E$3006,$J365))</f>
        <v/>
      </c>
      <c r="E365" s="95">
        <f>IF($J365="","",IF(LEFT(INDEX(NKC!$F$7:$F$3006,$J365),LEN($B$5))=$B$5,INDEX(NKC!$G$7:$G$3006,$J365),INDEX(NKC!$F$7:$F$3006,$J365)))</f>
        <v/>
      </c>
      <c r="F365" s="125">
        <f>IF($J365="","",IF(LEFT(INDEX(NKC!$F$7:$F$3006,$J365),LEN($B$5))=$B$5,INDEX(NKC!$H$7:$H$3006,$J365),""))</f>
        <v/>
      </c>
      <c r="G365" s="125">
        <f>IF($J365="","",IF(LEFT(INDEX(NKC!$G$7:$G$3006,$J365),LEN($B$5))=$B$5,INDEX(NKC!$H$7:$H$3006,$J365),""))</f>
        <v/>
      </c>
      <c r="H365" s="132">
        <f>IF($J365="","",H364+N(F365)-N(G365))</f>
        <v/>
      </c>
      <c r="J365" s="117">
        <f>IFERROR(MATCH(358,NKC!$P$7:$P$3006,0),"")</f>
        <v/>
      </c>
    </row>
    <row r="366" ht="15" customHeight="1" s="78">
      <c r="A366" s="131">
        <f>IF($J366="","",INDEX(NKC!$B$7:$B$3006,$J366))</f>
        <v/>
      </c>
      <c r="B366" s="95">
        <f>IF($J366="","",INDEX(NKC!$C$7:$C$3006,$J366))</f>
        <v/>
      </c>
      <c r="C366" s="131">
        <f>IF($J366="","",INDEX(NKC!$D$7:$D$3006,$J366))</f>
        <v/>
      </c>
      <c r="D366" s="97">
        <f>IF($J366="","",INDEX(NKC!$E$7:$E$3006,$J366))</f>
        <v/>
      </c>
      <c r="E366" s="95">
        <f>IF($J366="","",IF(LEFT(INDEX(NKC!$F$7:$F$3006,$J366),LEN($B$5))=$B$5,INDEX(NKC!$G$7:$G$3006,$J366),INDEX(NKC!$F$7:$F$3006,$J366)))</f>
        <v/>
      </c>
      <c r="F366" s="125">
        <f>IF($J366="","",IF(LEFT(INDEX(NKC!$F$7:$F$3006,$J366),LEN($B$5))=$B$5,INDEX(NKC!$H$7:$H$3006,$J366),""))</f>
        <v/>
      </c>
      <c r="G366" s="125">
        <f>IF($J366="","",IF(LEFT(INDEX(NKC!$G$7:$G$3006,$J366),LEN($B$5))=$B$5,INDEX(NKC!$H$7:$H$3006,$J366),""))</f>
        <v/>
      </c>
      <c r="H366" s="132">
        <f>IF($J366="","",H365+N(F366)-N(G366))</f>
        <v/>
      </c>
      <c r="J366" s="117">
        <f>IFERROR(MATCH(359,NKC!$P$7:$P$3006,0),"")</f>
        <v/>
      </c>
    </row>
    <row r="367" ht="15" customHeight="1" s="78">
      <c r="A367" s="131">
        <f>IF($J367="","",INDEX(NKC!$B$7:$B$3006,$J367))</f>
        <v/>
      </c>
      <c r="B367" s="95">
        <f>IF($J367="","",INDEX(NKC!$C$7:$C$3006,$J367))</f>
        <v/>
      </c>
      <c r="C367" s="131">
        <f>IF($J367="","",INDEX(NKC!$D$7:$D$3006,$J367))</f>
        <v/>
      </c>
      <c r="D367" s="97">
        <f>IF($J367="","",INDEX(NKC!$E$7:$E$3006,$J367))</f>
        <v/>
      </c>
      <c r="E367" s="95">
        <f>IF($J367="","",IF(LEFT(INDEX(NKC!$F$7:$F$3006,$J367),LEN($B$5))=$B$5,INDEX(NKC!$G$7:$G$3006,$J367),INDEX(NKC!$F$7:$F$3006,$J367)))</f>
        <v/>
      </c>
      <c r="F367" s="125">
        <f>IF($J367="","",IF(LEFT(INDEX(NKC!$F$7:$F$3006,$J367),LEN($B$5))=$B$5,INDEX(NKC!$H$7:$H$3006,$J367),""))</f>
        <v/>
      </c>
      <c r="G367" s="125">
        <f>IF($J367="","",IF(LEFT(INDEX(NKC!$G$7:$G$3006,$J367),LEN($B$5))=$B$5,INDEX(NKC!$H$7:$H$3006,$J367),""))</f>
        <v/>
      </c>
      <c r="H367" s="132">
        <f>IF($J367="","",H366+N(F367)-N(G367))</f>
        <v/>
      </c>
      <c r="J367" s="117">
        <f>IFERROR(MATCH(360,NKC!$P$7:$P$3006,0),"")</f>
        <v/>
      </c>
    </row>
    <row r="368" ht="15" customHeight="1" s="78">
      <c r="A368" s="131">
        <f>IF($J368="","",INDEX(NKC!$B$7:$B$3006,$J368))</f>
        <v/>
      </c>
      <c r="B368" s="95">
        <f>IF($J368="","",INDEX(NKC!$C$7:$C$3006,$J368))</f>
        <v/>
      </c>
      <c r="C368" s="131">
        <f>IF($J368="","",INDEX(NKC!$D$7:$D$3006,$J368))</f>
        <v/>
      </c>
      <c r="D368" s="97">
        <f>IF($J368="","",INDEX(NKC!$E$7:$E$3006,$J368))</f>
        <v/>
      </c>
      <c r="E368" s="95">
        <f>IF($J368="","",IF(LEFT(INDEX(NKC!$F$7:$F$3006,$J368),LEN($B$5))=$B$5,INDEX(NKC!$G$7:$G$3006,$J368),INDEX(NKC!$F$7:$F$3006,$J368)))</f>
        <v/>
      </c>
      <c r="F368" s="125">
        <f>IF($J368="","",IF(LEFT(INDEX(NKC!$F$7:$F$3006,$J368),LEN($B$5))=$B$5,INDEX(NKC!$H$7:$H$3006,$J368),""))</f>
        <v/>
      </c>
      <c r="G368" s="125">
        <f>IF($J368="","",IF(LEFT(INDEX(NKC!$G$7:$G$3006,$J368),LEN($B$5))=$B$5,INDEX(NKC!$H$7:$H$3006,$J368),""))</f>
        <v/>
      </c>
      <c r="H368" s="132">
        <f>IF($J368="","",H367+N(F368)-N(G368))</f>
        <v/>
      </c>
      <c r="J368" s="117">
        <f>IFERROR(MATCH(361,NKC!$P$7:$P$3006,0),"")</f>
        <v/>
      </c>
    </row>
    <row r="369" ht="15" customHeight="1" s="78">
      <c r="A369" s="131">
        <f>IF($J369="","",INDEX(NKC!$B$7:$B$3006,$J369))</f>
        <v/>
      </c>
      <c r="B369" s="95">
        <f>IF($J369="","",INDEX(NKC!$C$7:$C$3006,$J369))</f>
        <v/>
      </c>
      <c r="C369" s="131">
        <f>IF($J369="","",INDEX(NKC!$D$7:$D$3006,$J369))</f>
        <v/>
      </c>
      <c r="D369" s="97">
        <f>IF($J369="","",INDEX(NKC!$E$7:$E$3006,$J369))</f>
        <v/>
      </c>
      <c r="E369" s="95">
        <f>IF($J369="","",IF(LEFT(INDEX(NKC!$F$7:$F$3006,$J369),LEN($B$5))=$B$5,INDEX(NKC!$G$7:$G$3006,$J369),INDEX(NKC!$F$7:$F$3006,$J369)))</f>
        <v/>
      </c>
      <c r="F369" s="125">
        <f>IF($J369="","",IF(LEFT(INDEX(NKC!$F$7:$F$3006,$J369),LEN($B$5))=$B$5,INDEX(NKC!$H$7:$H$3006,$J369),""))</f>
        <v/>
      </c>
      <c r="G369" s="125">
        <f>IF($J369="","",IF(LEFT(INDEX(NKC!$G$7:$G$3006,$J369),LEN($B$5))=$B$5,INDEX(NKC!$H$7:$H$3006,$J369),""))</f>
        <v/>
      </c>
      <c r="H369" s="132">
        <f>IF($J369="","",H368+N(F369)-N(G369))</f>
        <v/>
      </c>
      <c r="J369" s="117">
        <f>IFERROR(MATCH(362,NKC!$P$7:$P$3006,0),"")</f>
        <v/>
      </c>
    </row>
    <row r="370" ht="15" customHeight="1" s="78">
      <c r="A370" s="131">
        <f>IF($J370="","",INDEX(NKC!$B$7:$B$3006,$J370))</f>
        <v/>
      </c>
      <c r="B370" s="95">
        <f>IF($J370="","",INDEX(NKC!$C$7:$C$3006,$J370))</f>
        <v/>
      </c>
      <c r="C370" s="131">
        <f>IF($J370="","",INDEX(NKC!$D$7:$D$3006,$J370))</f>
        <v/>
      </c>
      <c r="D370" s="97">
        <f>IF($J370="","",INDEX(NKC!$E$7:$E$3006,$J370))</f>
        <v/>
      </c>
      <c r="E370" s="95">
        <f>IF($J370="","",IF(LEFT(INDEX(NKC!$F$7:$F$3006,$J370),LEN($B$5))=$B$5,INDEX(NKC!$G$7:$G$3006,$J370),INDEX(NKC!$F$7:$F$3006,$J370)))</f>
        <v/>
      </c>
      <c r="F370" s="125">
        <f>IF($J370="","",IF(LEFT(INDEX(NKC!$F$7:$F$3006,$J370),LEN($B$5))=$B$5,INDEX(NKC!$H$7:$H$3006,$J370),""))</f>
        <v/>
      </c>
      <c r="G370" s="125">
        <f>IF($J370="","",IF(LEFT(INDEX(NKC!$G$7:$G$3006,$J370),LEN($B$5))=$B$5,INDEX(NKC!$H$7:$H$3006,$J370),""))</f>
        <v/>
      </c>
      <c r="H370" s="132">
        <f>IF($J370="","",H369+N(F370)-N(G370))</f>
        <v/>
      </c>
      <c r="J370" s="117">
        <f>IFERROR(MATCH(363,NKC!$P$7:$P$3006,0),"")</f>
        <v/>
      </c>
    </row>
    <row r="371" ht="15" customHeight="1" s="78">
      <c r="A371" s="131">
        <f>IF($J371="","",INDEX(NKC!$B$7:$B$3006,$J371))</f>
        <v/>
      </c>
      <c r="B371" s="95">
        <f>IF($J371="","",INDEX(NKC!$C$7:$C$3006,$J371))</f>
        <v/>
      </c>
      <c r="C371" s="131">
        <f>IF($J371="","",INDEX(NKC!$D$7:$D$3006,$J371))</f>
        <v/>
      </c>
      <c r="D371" s="97">
        <f>IF($J371="","",INDEX(NKC!$E$7:$E$3006,$J371))</f>
        <v/>
      </c>
      <c r="E371" s="95">
        <f>IF($J371="","",IF(LEFT(INDEX(NKC!$F$7:$F$3006,$J371),LEN($B$5))=$B$5,INDEX(NKC!$G$7:$G$3006,$J371),INDEX(NKC!$F$7:$F$3006,$J371)))</f>
        <v/>
      </c>
      <c r="F371" s="125">
        <f>IF($J371="","",IF(LEFT(INDEX(NKC!$F$7:$F$3006,$J371),LEN($B$5))=$B$5,INDEX(NKC!$H$7:$H$3006,$J371),""))</f>
        <v/>
      </c>
      <c r="G371" s="125">
        <f>IF($J371="","",IF(LEFT(INDEX(NKC!$G$7:$G$3006,$J371),LEN($B$5))=$B$5,INDEX(NKC!$H$7:$H$3006,$J371),""))</f>
        <v/>
      </c>
      <c r="H371" s="132">
        <f>IF($J371="","",H370+N(F371)-N(G371))</f>
        <v/>
      </c>
      <c r="J371" s="117">
        <f>IFERROR(MATCH(364,NKC!$P$7:$P$3006,0),"")</f>
        <v/>
      </c>
    </row>
    <row r="372" ht="15" customHeight="1" s="78">
      <c r="A372" s="131">
        <f>IF($J372="","",INDEX(NKC!$B$7:$B$3006,$J372))</f>
        <v/>
      </c>
      <c r="B372" s="95">
        <f>IF($J372="","",INDEX(NKC!$C$7:$C$3006,$J372))</f>
        <v/>
      </c>
      <c r="C372" s="131">
        <f>IF($J372="","",INDEX(NKC!$D$7:$D$3006,$J372))</f>
        <v/>
      </c>
      <c r="D372" s="97">
        <f>IF($J372="","",INDEX(NKC!$E$7:$E$3006,$J372))</f>
        <v/>
      </c>
      <c r="E372" s="95">
        <f>IF($J372="","",IF(LEFT(INDEX(NKC!$F$7:$F$3006,$J372),LEN($B$5))=$B$5,INDEX(NKC!$G$7:$G$3006,$J372),INDEX(NKC!$F$7:$F$3006,$J372)))</f>
        <v/>
      </c>
      <c r="F372" s="125">
        <f>IF($J372="","",IF(LEFT(INDEX(NKC!$F$7:$F$3006,$J372),LEN($B$5))=$B$5,INDEX(NKC!$H$7:$H$3006,$J372),""))</f>
        <v/>
      </c>
      <c r="G372" s="125">
        <f>IF($J372="","",IF(LEFT(INDEX(NKC!$G$7:$G$3006,$J372),LEN($B$5))=$B$5,INDEX(NKC!$H$7:$H$3006,$J372),""))</f>
        <v/>
      </c>
      <c r="H372" s="132">
        <f>IF($J372="","",H371+N(F372)-N(G372))</f>
        <v/>
      </c>
      <c r="J372" s="117">
        <f>IFERROR(MATCH(365,NKC!$P$7:$P$3006,0),"")</f>
        <v/>
      </c>
    </row>
    <row r="373" ht="15" customHeight="1" s="78">
      <c r="A373" s="131">
        <f>IF($J373="","",INDEX(NKC!$B$7:$B$3006,$J373))</f>
        <v/>
      </c>
      <c r="B373" s="95">
        <f>IF($J373="","",INDEX(NKC!$C$7:$C$3006,$J373))</f>
        <v/>
      </c>
      <c r="C373" s="131">
        <f>IF($J373="","",INDEX(NKC!$D$7:$D$3006,$J373))</f>
        <v/>
      </c>
      <c r="D373" s="97">
        <f>IF($J373="","",INDEX(NKC!$E$7:$E$3006,$J373))</f>
        <v/>
      </c>
      <c r="E373" s="95">
        <f>IF($J373="","",IF(LEFT(INDEX(NKC!$F$7:$F$3006,$J373),LEN($B$5))=$B$5,INDEX(NKC!$G$7:$G$3006,$J373),INDEX(NKC!$F$7:$F$3006,$J373)))</f>
        <v/>
      </c>
      <c r="F373" s="125">
        <f>IF($J373="","",IF(LEFT(INDEX(NKC!$F$7:$F$3006,$J373),LEN($B$5))=$B$5,INDEX(NKC!$H$7:$H$3006,$J373),""))</f>
        <v/>
      </c>
      <c r="G373" s="125">
        <f>IF($J373="","",IF(LEFT(INDEX(NKC!$G$7:$G$3006,$J373),LEN($B$5))=$B$5,INDEX(NKC!$H$7:$H$3006,$J373),""))</f>
        <v/>
      </c>
      <c r="H373" s="132">
        <f>IF($J373="","",H372+N(F373)-N(G373))</f>
        <v/>
      </c>
      <c r="J373" s="117">
        <f>IFERROR(MATCH(366,NKC!$P$7:$P$3006,0),"")</f>
        <v/>
      </c>
    </row>
    <row r="374" ht="15" customHeight="1" s="78">
      <c r="A374" s="131">
        <f>IF($J374="","",INDEX(NKC!$B$7:$B$3006,$J374))</f>
        <v/>
      </c>
      <c r="B374" s="95">
        <f>IF($J374="","",INDEX(NKC!$C$7:$C$3006,$J374))</f>
        <v/>
      </c>
      <c r="C374" s="131">
        <f>IF($J374="","",INDEX(NKC!$D$7:$D$3006,$J374))</f>
        <v/>
      </c>
      <c r="D374" s="97">
        <f>IF($J374="","",INDEX(NKC!$E$7:$E$3006,$J374))</f>
        <v/>
      </c>
      <c r="E374" s="95">
        <f>IF($J374="","",IF(LEFT(INDEX(NKC!$F$7:$F$3006,$J374),LEN($B$5))=$B$5,INDEX(NKC!$G$7:$G$3006,$J374),INDEX(NKC!$F$7:$F$3006,$J374)))</f>
        <v/>
      </c>
      <c r="F374" s="125">
        <f>IF($J374="","",IF(LEFT(INDEX(NKC!$F$7:$F$3006,$J374),LEN($B$5))=$B$5,INDEX(NKC!$H$7:$H$3006,$J374),""))</f>
        <v/>
      </c>
      <c r="G374" s="125">
        <f>IF($J374="","",IF(LEFT(INDEX(NKC!$G$7:$G$3006,$J374),LEN($B$5))=$B$5,INDEX(NKC!$H$7:$H$3006,$J374),""))</f>
        <v/>
      </c>
      <c r="H374" s="132">
        <f>IF($J374="","",H373+N(F374)-N(G374))</f>
        <v/>
      </c>
      <c r="J374" s="117">
        <f>IFERROR(MATCH(367,NKC!$P$7:$P$3006,0),"")</f>
        <v/>
      </c>
    </row>
    <row r="375" ht="15" customHeight="1" s="78">
      <c r="A375" s="131">
        <f>IF($J375="","",INDEX(NKC!$B$7:$B$3006,$J375))</f>
        <v/>
      </c>
      <c r="B375" s="95">
        <f>IF($J375="","",INDEX(NKC!$C$7:$C$3006,$J375))</f>
        <v/>
      </c>
      <c r="C375" s="131">
        <f>IF($J375="","",INDEX(NKC!$D$7:$D$3006,$J375))</f>
        <v/>
      </c>
      <c r="D375" s="97">
        <f>IF($J375="","",INDEX(NKC!$E$7:$E$3006,$J375))</f>
        <v/>
      </c>
      <c r="E375" s="95">
        <f>IF($J375="","",IF(LEFT(INDEX(NKC!$F$7:$F$3006,$J375),LEN($B$5))=$B$5,INDEX(NKC!$G$7:$G$3006,$J375),INDEX(NKC!$F$7:$F$3006,$J375)))</f>
        <v/>
      </c>
      <c r="F375" s="125">
        <f>IF($J375="","",IF(LEFT(INDEX(NKC!$F$7:$F$3006,$J375),LEN($B$5))=$B$5,INDEX(NKC!$H$7:$H$3006,$J375),""))</f>
        <v/>
      </c>
      <c r="G375" s="125">
        <f>IF($J375="","",IF(LEFT(INDEX(NKC!$G$7:$G$3006,$J375),LEN($B$5))=$B$5,INDEX(NKC!$H$7:$H$3006,$J375),""))</f>
        <v/>
      </c>
      <c r="H375" s="132">
        <f>IF($J375="","",H374+N(F375)-N(G375))</f>
        <v/>
      </c>
      <c r="J375" s="117">
        <f>IFERROR(MATCH(368,NKC!$P$7:$P$3006,0),"")</f>
        <v/>
      </c>
    </row>
    <row r="376" ht="15" customHeight="1" s="78">
      <c r="A376" s="131">
        <f>IF($J376="","",INDEX(NKC!$B$7:$B$3006,$J376))</f>
        <v/>
      </c>
      <c r="B376" s="95">
        <f>IF($J376="","",INDEX(NKC!$C$7:$C$3006,$J376))</f>
        <v/>
      </c>
      <c r="C376" s="131">
        <f>IF($J376="","",INDEX(NKC!$D$7:$D$3006,$J376))</f>
        <v/>
      </c>
      <c r="D376" s="97">
        <f>IF($J376="","",INDEX(NKC!$E$7:$E$3006,$J376))</f>
        <v/>
      </c>
      <c r="E376" s="95">
        <f>IF($J376="","",IF(LEFT(INDEX(NKC!$F$7:$F$3006,$J376),LEN($B$5))=$B$5,INDEX(NKC!$G$7:$G$3006,$J376),INDEX(NKC!$F$7:$F$3006,$J376)))</f>
        <v/>
      </c>
      <c r="F376" s="125">
        <f>IF($J376="","",IF(LEFT(INDEX(NKC!$F$7:$F$3006,$J376),LEN($B$5))=$B$5,INDEX(NKC!$H$7:$H$3006,$J376),""))</f>
        <v/>
      </c>
      <c r="G376" s="125">
        <f>IF($J376="","",IF(LEFT(INDEX(NKC!$G$7:$G$3006,$J376),LEN($B$5))=$B$5,INDEX(NKC!$H$7:$H$3006,$J376),""))</f>
        <v/>
      </c>
      <c r="H376" s="132">
        <f>IF($J376="","",H375+N(F376)-N(G376))</f>
        <v/>
      </c>
      <c r="J376" s="117">
        <f>IFERROR(MATCH(369,NKC!$P$7:$P$3006,0),"")</f>
        <v/>
      </c>
    </row>
    <row r="377" ht="15" customHeight="1" s="78">
      <c r="A377" s="131">
        <f>IF($J377="","",INDEX(NKC!$B$7:$B$3006,$J377))</f>
        <v/>
      </c>
      <c r="B377" s="95">
        <f>IF($J377="","",INDEX(NKC!$C$7:$C$3006,$J377))</f>
        <v/>
      </c>
      <c r="C377" s="131">
        <f>IF($J377="","",INDEX(NKC!$D$7:$D$3006,$J377))</f>
        <v/>
      </c>
      <c r="D377" s="97">
        <f>IF($J377="","",INDEX(NKC!$E$7:$E$3006,$J377))</f>
        <v/>
      </c>
      <c r="E377" s="95">
        <f>IF($J377="","",IF(LEFT(INDEX(NKC!$F$7:$F$3006,$J377),LEN($B$5))=$B$5,INDEX(NKC!$G$7:$G$3006,$J377),INDEX(NKC!$F$7:$F$3006,$J377)))</f>
        <v/>
      </c>
      <c r="F377" s="125">
        <f>IF($J377="","",IF(LEFT(INDEX(NKC!$F$7:$F$3006,$J377),LEN($B$5))=$B$5,INDEX(NKC!$H$7:$H$3006,$J377),""))</f>
        <v/>
      </c>
      <c r="G377" s="125">
        <f>IF($J377="","",IF(LEFT(INDEX(NKC!$G$7:$G$3006,$J377),LEN($B$5))=$B$5,INDEX(NKC!$H$7:$H$3006,$J377),""))</f>
        <v/>
      </c>
      <c r="H377" s="132">
        <f>IF($J377="","",H376+N(F377)-N(G377))</f>
        <v/>
      </c>
      <c r="J377" s="117">
        <f>IFERROR(MATCH(370,NKC!$P$7:$P$3006,0),"")</f>
        <v/>
      </c>
    </row>
    <row r="378" ht="15" customHeight="1" s="78">
      <c r="A378" s="131">
        <f>IF($J378="","",INDEX(NKC!$B$7:$B$3006,$J378))</f>
        <v/>
      </c>
      <c r="B378" s="95">
        <f>IF($J378="","",INDEX(NKC!$C$7:$C$3006,$J378))</f>
        <v/>
      </c>
      <c r="C378" s="131">
        <f>IF($J378="","",INDEX(NKC!$D$7:$D$3006,$J378))</f>
        <v/>
      </c>
      <c r="D378" s="97">
        <f>IF($J378="","",INDEX(NKC!$E$7:$E$3006,$J378))</f>
        <v/>
      </c>
      <c r="E378" s="95">
        <f>IF($J378="","",IF(LEFT(INDEX(NKC!$F$7:$F$3006,$J378),LEN($B$5))=$B$5,INDEX(NKC!$G$7:$G$3006,$J378),INDEX(NKC!$F$7:$F$3006,$J378)))</f>
        <v/>
      </c>
      <c r="F378" s="125">
        <f>IF($J378="","",IF(LEFT(INDEX(NKC!$F$7:$F$3006,$J378),LEN($B$5))=$B$5,INDEX(NKC!$H$7:$H$3006,$J378),""))</f>
        <v/>
      </c>
      <c r="G378" s="125">
        <f>IF($J378="","",IF(LEFT(INDEX(NKC!$G$7:$G$3006,$J378),LEN($B$5))=$B$5,INDEX(NKC!$H$7:$H$3006,$J378),""))</f>
        <v/>
      </c>
      <c r="H378" s="132">
        <f>IF($J378="","",H377+N(F378)-N(G378))</f>
        <v/>
      </c>
      <c r="J378" s="117">
        <f>IFERROR(MATCH(371,NKC!$P$7:$P$3006,0),"")</f>
        <v/>
      </c>
    </row>
    <row r="379" ht="15" customHeight="1" s="78">
      <c r="A379" s="131">
        <f>IF($J379="","",INDEX(NKC!$B$7:$B$3006,$J379))</f>
        <v/>
      </c>
      <c r="B379" s="95">
        <f>IF($J379="","",INDEX(NKC!$C$7:$C$3006,$J379))</f>
        <v/>
      </c>
      <c r="C379" s="131">
        <f>IF($J379="","",INDEX(NKC!$D$7:$D$3006,$J379))</f>
        <v/>
      </c>
      <c r="D379" s="97">
        <f>IF($J379="","",INDEX(NKC!$E$7:$E$3006,$J379))</f>
        <v/>
      </c>
      <c r="E379" s="95">
        <f>IF($J379="","",IF(LEFT(INDEX(NKC!$F$7:$F$3006,$J379),LEN($B$5))=$B$5,INDEX(NKC!$G$7:$G$3006,$J379),INDEX(NKC!$F$7:$F$3006,$J379)))</f>
        <v/>
      </c>
      <c r="F379" s="125">
        <f>IF($J379="","",IF(LEFT(INDEX(NKC!$F$7:$F$3006,$J379),LEN($B$5))=$B$5,INDEX(NKC!$H$7:$H$3006,$J379),""))</f>
        <v/>
      </c>
      <c r="G379" s="125">
        <f>IF($J379="","",IF(LEFT(INDEX(NKC!$G$7:$G$3006,$J379),LEN($B$5))=$B$5,INDEX(NKC!$H$7:$H$3006,$J379),""))</f>
        <v/>
      </c>
      <c r="H379" s="132">
        <f>IF($J379="","",H378+N(F379)-N(G379))</f>
        <v/>
      </c>
      <c r="J379" s="117">
        <f>IFERROR(MATCH(372,NKC!$P$7:$P$3006,0),"")</f>
        <v/>
      </c>
    </row>
    <row r="380" ht="15" customHeight="1" s="78">
      <c r="A380" s="131">
        <f>IF($J380="","",INDEX(NKC!$B$7:$B$3006,$J380))</f>
        <v/>
      </c>
      <c r="B380" s="95">
        <f>IF($J380="","",INDEX(NKC!$C$7:$C$3006,$J380))</f>
        <v/>
      </c>
      <c r="C380" s="131">
        <f>IF($J380="","",INDEX(NKC!$D$7:$D$3006,$J380))</f>
        <v/>
      </c>
      <c r="D380" s="97">
        <f>IF($J380="","",INDEX(NKC!$E$7:$E$3006,$J380))</f>
        <v/>
      </c>
      <c r="E380" s="95">
        <f>IF($J380="","",IF(LEFT(INDEX(NKC!$F$7:$F$3006,$J380),LEN($B$5))=$B$5,INDEX(NKC!$G$7:$G$3006,$J380),INDEX(NKC!$F$7:$F$3006,$J380)))</f>
        <v/>
      </c>
      <c r="F380" s="125">
        <f>IF($J380="","",IF(LEFT(INDEX(NKC!$F$7:$F$3006,$J380),LEN($B$5))=$B$5,INDEX(NKC!$H$7:$H$3006,$J380),""))</f>
        <v/>
      </c>
      <c r="G380" s="125">
        <f>IF($J380="","",IF(LEFT(INDEX(NKC!$G$7:$G$3006,$J380),LEN($B$5))=$B$5,INDEX(NKC!$H$7:$H$3006,$J380),""))</f>
        <v/>
      </c>
      <c r="H380" s="132">
        <f>IF($J380="","",H379+N(F380)-N(G380))</f>
        <v/>
      </c>
      <c r="J380" s="117">
        <f>IFERROR(MATCH(373,NKC!$P$7:$P$3006,0),"")</f>
        <v/>
      </c>
    </row>
    <row r="381" ht="15" customHeight="1" s="78">
      <c r="A381" s="131">
        <f>IF($J381="","",INDEX(NKC!$B$7:$B$3006,$J381))</f>
        <v/>
      </c>
      <c r="B381" s="95">
        <f>IF($J381="","",INDEX(NKC!$C$7:$C$3006,$J381))</f>
        <v/>
      </c>
      <c r="C381" s="131">
        <f>IF($J381="","",INDEX(NKC!$D$7:$D$3006,$J381))</f>
        <v/>
      </c>
      <c r="D381" s="97">
        <f>IF($J381="","",INDEX(NKC!$E$7:$E$3006,$J381))</f>
        <v/>
      </c>
      <c r="E381" s="95">
        <f>IF($J381="","",IF(LEFT(INDEX(NKC!$F$7:$F$3006,$J381),LEN($B$5))=$B$5,INDEX(NKC!$G$7:$G$3006,$J381),INDEX(NKC!$F$7:$F$3006,$J381)))</f>
        <v/>
      </c>
      <c r="F381" s="125">
        <f>IF($J381="","",IF(LEFT(INDEX(NKC!$F$7:$F$3006,$J381),LEN($B$5))=$B$5,INDEX(NKC!$H$7:$H$3006,$J381),""))</f>
        <v/>
      </c>
      <c r="G381" s="125">
        <f>IF($J381="","",IF(LEFT(INDEX(NKC!$G$7:$G$3006,$J381),LEN($B$5))=$B$5,INDEX(NKC!$H$7:$H$3006,$J381),""))</f>
        <v/>
      </c>
      <c r="H381" s="132">
        <f>IF($J381="","",H380+N(F381)-N(G381))</f>
        <v/>
      </c>
      <c r="J381" s="117">
        <f>IFERROR(MATCH(374,NKC!$P$7:$P$3006,0),"")</f>
        <v/>
      </c>
    </row>
    <row r="382" ht="15" customHeight="1" s="78">
      <c r="A382" s="131">
        <f>IF($J382="","",INDEX(NKC!$B$7:$B$3006,$J382))</f>
        <v/>
      </c>
      <c r="B382" s="95">
        <f>IF($J382="","",INDEX(NKC!$C$7:$C$3006,$J382))</f>
        <v/>
      </c>
      <c r="C382" s="131">
        <f>IF($J382="","",INDEX(NKC!$D$7:$D$3006,$J382))</f>
        <v/>
      </c>
      <c r="D382" s="97">
        <f>IF($J382="","",INDEX(NKC!$E$7:$E$3006,$J382))</f>
        <v/>
      </c>
      <c r="E382" s="95">
        <f>IF($J382="","",IF(LEFT(INDEX(NKC!$F$7:$F$3006,$J382),LEN($B$5))=$B$5,INDEX(NKC!$G$7:$G$3006,$J382),INDEX(NKC!$F$7:$F$3006,$J382)))</f>
        <v/>
      </c>
      <c r="F382" s="125">
        <f>IF($J382="","",IF(LEFT(INDEX(NKC!$F$7:$F$3006,$J382),LEN($B$5))=$B$5,INDEX(NKC!$H$7:$H$3006,$J382),""))</f>
        <v/>
      </c>
      <c r="G382" s="125">
        <f>IF($J382="","",IF(LEFT(INDEX(NKC!$G$7:$G$3006,$J382),LEN($B$5))=$B$5,INDEX(NKC!$H$7:$H$3006,$J382),""))</f>
        <v/>
      </c>
      <c r="H382" s="132">
        <f>IF($J382="","",H381+N(F382)-N(G382))</f>
        <v/>
      </c>
      <c r="J382" s="117">
        <f>IFERROR(MATCH(375,NKC!$P$7:$P$3006,0),"")</f>
        <v/>
      </c>
    </row>
    <row r="383" ht="15" customHeight="1" s="78">
      <c r="A383" s="131">
        <f>IF($J383="","",INDEX(NKC!$B$7:$B$3006,$J383))</f>
        <v/>
      </c>
      <c r="B383" s="95">
        <f>IF($J383="","",INDEX(NKC!$C$7:$C$3006,$J383))</f>
        <v/>
      </c>
      <c r="C383" s="131">
        <f>IF($J383="","",INDEX(NKC!$D$7:$D$3006,$J383))</f>
        <v/>
      </c>
      <c r="D383" s="97">
        <f>IF($J383="","",INDEX(NKC!$E$7:$E$3006,$J383))</f>
        <v/>
      </c>
      <c r="E383" s="95">
        <f>IF($J383="","",IF(LEFT(INDEX(NKC!$F$7:$F$3006,$J383),LEN($B$5))=$B$5,INDEX(NKC!$G$7:$G$3006,$J383),INDEX(NKC!$F$7:$F$3006,$J383)))</f>
        <v/>
      </c>
      <c r="F383" s="125">
        <f>IF($J383="","",IF(LEFT(INDEX(NKC!$F$7:$F$3006,$J383),LEN($B$5))=$B$5,INDEX(NKC!$H$7:$H$3006,$J383),""))</f>
        <v/>
      </c>
      <c r="G383" s="125">
        <f>IF($J383="","",IF(LEFT(INDEX(NKC!$G$7:$G$3006,$J383),LEN($B$5))=$B$5,INDEX(NKC!$H$7:$H$3006,$J383),""))</f>
        <v/>
      </c>
      <c r="H383" s="132">
        <f>IF($J383="","",H382+N(F383)-N(G383))</f>
        <v/>
      </c>
      <c r="J383" s="117">
        <f>IFERROR(MATCH(376,NKC!$P$7:$P$3006,0),"")</f>
        <v/>
      </c>
    </row>
    <row r="384" ht="15" customHeight="1" s="78">
      <c r="A384" s="131">
        <f>IF($J384="","",INDEX(NKC!$B$7:$B$3006,$J384))</f>
        <v/>
      </c>
      <c r="B384" s="95">
        <f>IF($J384="","",INDEX(NKC!$C$7:$C$3006,$J384))</f>
        <v/>
      </c>
      <c r="C384" s="131">
        <f>IF($J384="","",INDEX(NKC!$D$7:$D$3006,$J384))</f>
        <v/>
      </c>
      <c r="D384" s="97">
        <f>IF($J384="","",INDEX(NKC!$E$7:$E$3006,$J384))</f>
        <v/>
      </c>
      <c r="E384" s="95">
        <f>IF($J384="","",IF(LEFT(INDEX(NKC!$F$7:$F$3006,$J384),LEN($B$5))=$B$5,INDEX(NKC!$G$7:$G$3006,$J384),INDEX(NKC!$F$7:$F$3006,$J384)))</f>
        <v/>
      </c>
      <c r="F384" s="125">
        <f>IF($J384="","",IF(LEFT(INDEX(NKC!$F$7:$F$3006,$J384),LEN($B$5))=$B$5,INDEX(NKC!$H$7:$H$3006,$J384),""))</f>
        <v/>
      </c>
      <c r="G384" s="125">
        <f>IF($J384="","",IF(LEFT(INDEX(NKC!$G$7:$G$3006,$J384),LEN($B$5))=$B$5,INDEX(NKC!$H$7:$H$3006,$J384),""))</f>
        <v/>
      </c>
      <c r="H384" s="132">
        <f>IF($J384="","",H383+N(F384)-N(G384))</f>
        <v/>
      </c>
      <c r="J384" s="117">
        <f>IFERROR(MATCH(377,NKC!$P$7:$P$3006,0),"")</f>
        <v/>
      </c>
    </row>
    <row r="385" ht="15" customHeight="1" s="78">
      <c r="A385" s="131">
        <f>IF($J385="","",INDEX(NKC!$B$7:$B$3006,$J385))</f>
        <v/>
      </c>
      <c r="B385" s="95">
        <f>IF($J385="","",INDEX(NKC!$C$7:$C$3006,$J385))</f>
        <v/>
      </c>
      <c r="C385" s="131">
        <f>IF($J385="","",INDEX(NKC!$D$7:$D$3006,$J385))</f>
        <v/>
      </c>
      <c r="D385" s="97">
        <f>IF($J385="","",INDEX(NKC!$E$7:$E$3006,$J385))</f>
        <v/>
      </c>
      <c r="E385" s="95">
        <f>IF($J385="","",IF(LEFT(INDEX(NKC!$F$7:$F$3006,$J385),LEN($B$5))=$B$5,INDEX(NKC!$G$7:$G$3006,$J385),INDEX(NKC!$F$7:$F$3006,$J385)))</f>
        <v/>
      </c>
      <c r="F385" s="125">
        <f>IF($J385="","",IF(LEFT(INDEX(NKC!$F$7:$F$3006,$J385),LEN($B$5))=$B$5,INDEX(NKC!$H$7:$H$3006,$J385),""))</f>
        <v/>
      </c>
      <c r="G385" s="125">
        <f>IF($J385="","",IF(LEFT(INDEX(NKC!$G$7:$G$3006,$J385),LEN($B$5))=$B$5,INDEX(NKC!$H$7:$H$3006,$J385),""))</f>
        <v/>
      </c>
      <c r="H385" s="132">
        <f>IF($J385="","",H384+N(F385)-N(G385))</f>
        <v/>
      </c>
      <c r="J385" s="117">
        <f>IFERROR(MATCH(378,NKC!$P$7:$P$3006,0),"")</f>
        <v/>
      </c>
    </row>
    <row r="386" ht="15" customHeight="1" s="78">
      <c r="A386" s="131">
        <f>IF($J386="","",INDEX(NKC!$B$7:$B$3006,$J386))</f>
        <v/>
      </c>
      <c r="B386" s="95">
        <f>IF($J386="","",INDEX(NKC!$C$7:$C$3006,$J386))</f>
        <v/>
      </c>
      <c r="C386" s="131">
        <f>IF($J386="","",INDEX(NKC!$D$7:$D$3006,$J386))</f>
        <v/>
      </c>
      <c r="D386" s="97">
        <f>IF($J386="","",INDEX(NKC!$E$7:$E$3006,$J386))</f>
        <v/>
      </c>
      <c r="E386" s="95">
        <f>IF($J386="","",IF(LEFT(INDEX(NKC!$F$7:$F$3006,$J386),LEN($B$5))=$B$5,INDEX(NKC!$G$7:$G$3006,$J386),INDEX(NKC!$F$7:$F$3006,$J386)))</f>
        <v/>
      </c>
      <c r="F386" s="125">
        <f>IF($J386="","",IF(LEFT(INDEX(NKC!$F$7:$F$3006,$J386),LEN($B$5))=$B$5,INDEX(NKC!$H$7:$H$3006,$J386),""))</f>
        <v/>
      </c>
      <c r="G386" s="125">
        <f>IF($J386="","",IF(LEFT(INDEX(NKC!$G$7:$G$3006,$J386),LEN($B$5))=$B$5,INDEX(NKC!$H$7:$H$3006,$J386),""))</f>
        <v/>
      </c>
      <c r="H386" s="132">
        <f>IF($J386="","",H385+N(F386)-N(G386))</f>
        <v/>
      </c>
      <c r="J386" s="117">
        <f>IFERROR(MATCH(379,NKC!$P$7:$P$3006,0),"")</f>
        <v/>
      </c>
    </row>
    <row r="387" ht="15" customHeight="1" s="78">
      <c r="A387" s="131">
        <f>IF($J387="","",INDEX(NKC!$B$7:$B$3006,$J387))</f>
        <v/>
      </c>
      <c r="B387" s="95">
        <f>IF($J387="","",INDEX(NKC!$C$7:$C$3006,$J387))</f>
        <v/>
      </c>
      <c r="C387" s="131">
        <f>IF($J387="","",INDEX(NKC!$D$7:$D$3006,$J387))</f>
        <v/>
      </c>
      <c r="D387" s="97">
        <f>IF($J387="","",INDEX(NKC!$E$7:$E$3006,$J387))</f>
        <v/>
      </c>
      <c r="E387" s="95">
        <f>IF($J387="","",IF(LEFT(INDEX(NKC!$F$7:$F$3006,$J387),LEN($B$5))=$B$5,INDEX(NKC!$G$7:$G$3006,$J387),INDEX(NKC!$F$7:$F$3006,$J387)))</f>
        <v/>
      </c>
      <c r="F387" s="125">
        <f>IF($J387="","",IF(LEFT(INDEX(NKC!$F$7:$F$3006,$J387),LEN($B$5))=$B$5,INDEX(NKC!$H$7:$H$3006,$J387),""))</f>
        <v/>
      </c>
      <c r="G387" s="125">
        <f>IF($J387="","",IF(LEFT(INDEX(NKC!$G$7:$G$3006,$J387),LEN($B$5))=$B$5,INDEX(NKC!$H$7:$H$3006,$J387),""))</f>
        <v/>
      </c>
      <c r="H387" s="132">
        <f>IF($J387="","",H386+N(F387)-N(G387))</f>
        <v/>
      </c>
      <c r="J387" s="117">
        <f>IFERROR(MATCH(380,NKC!$P$7:$P$3006,0),"")</f>
        <v/>
      </c>
    </row>
    <row r="388" ht="15" customHeight="1" s="78">
      <c r="A388" s="131">
        <f>IF($J388="","",INDEX(NKC!$B$7:$B$3006,$J388))</f>
        <v/>
      </c>
      <c r="B388" s="95">
        <f>IF($J388="","",INDEX(NKC!$C$7:$C$3006,$J388))</f>
        <v/>
      </c>
      <c r="C388" s="131">
        <f>IF($J388="","",INDEX(NKC!$D$7:$D$3006,$J388))</f>
        <v/>
      </c>
      <c r="D388" s="97">
        <f>IF($J388="","",INDEX(NKC!$E$7:$E$3006,$J388))</f>
        <v/>
      </c>
      <c r="E388" s="95">
        <f>IF($J388="","",IF(LEFT(INDEX(NKC!$F$7:$F$3006,$J388),LEN($B$5))=$B$5,INDEX(NKC!$G$7:$G$3006,$J388),INDEX(NKC!$F$7:$F$3006,$J388)))</f>
        <v/>
      </c>
      <c r="F388" s="125">
        <f>IF($J388="","",IF(LEFT(INDEX(NKC!$F$7:$F$3006,$J388),LEN($B$5))=$B$5,INDEX(NKC!$H$7:$H$3006,$J388),""))</f>
        <v/>
      </c>
      <c r="G388" s="125">
        <f>IF($J388="","",IF(LEFT(INDEX(NKC!$G$7:$G$3006,$J388),LEN($B$5))=$B$5,INDEX(NKC!$H$7:$H$3006,$J388),""))</f>
        <v/>
      </c>
      <c r="H388" s="132">
        <f>IF($J388="","",H387+N(F388)-N(G388))</f>
        <v/>
      </c>
      <c r="J388" s="117">
        <f>IFERROR(MATCH(381,NKC!$P$7:$P$3006,0),"")</f>
        <v/>
      </c>
    </row>
    <row r="389" ht="15" customHeight="1" s="78">
      <c r="A389" s="131">
        <f>IF($J389="","",INDEX(NKC!$B$7:$B$3006,$J389))</f>
        <v/>
      </c>
      <c r="B389" s="95">
        <f>IF($J389="","",INDEX(NKC!$C$7:$C$3006,$J389))</f>
        <v/>
      </c>
      <c r="C389" s="131">
        <f>IF($J389="","",INDEX(NKC!$D$7:$D$3006,$J389))</f>
        <v/>
      </c>
      <c r="D389" s="97">
        <f>IF($J389="","",INDEX(NKC!$E$7:$E$3006,$J389))</f>
        <v/>
      </c>
      <c r="E389" s="95">
        <f>IF($J389="","",IF(LEFT(INDEX(NKC!$F$7:$F$3006,$J389),LEN($B$5))=$B$5,INDEX(NKC!$G$7:$G$3006,$J389),INDEX(NKC!$F$7:$F$3006,$J389)))</f>
        <v/>
      </c>
      <c r="F389" s="125">
        <f>IF($J389="","",IF(LEFT(INDEX(NKC!$F$7:$F$3006,$J389),LEN($B$5))=$B$5,INDEX(NKC!$H$7:$H$3006,$J389),""))</f>
        <v/>
      </c>
      <c r="G389" s="125">
        <f>IF($J389="","",IF(LEFT(INDEX(NKC!$G$7:$G$3006,$J389),LEN($B$5))=$B$5,INDEX(NKC!$H$7:$H$3006,$J389),""))</f>
        <v/>
      </c>
      <c r="H389" s="132">
        <f>IF($J389="","",H388+N(F389)-N(G389))</f>
        <v/>
      </c>
      <c r="J389" s="117">
        <f>IFERROR(MATCH(382,NKC!$P$7:$P$3006,0),"")</f>
        <v/>
      </c>
    </row>
    <row r="390" ht="15" customHeight="1" s="78">
      <c r="A390" s="131">
        <f>IF($J390="","",INDEX(NKC!$B$7:$B$3006,$J390))</f>
        <v/>
      </c>
      <c r="B390" s="95">
        <f>IF($J390="","",INDEX(NKC!$C$7:$C$3006,$J390))</f>
        <v/>
      </c>
      <c r="C390" s="131">
        <f>IF($J390="","",INDEX(NKC!$D$7:$D$3006,$J390))</f>
        <v/>
      </c>
      <c r="D390" s="97">
        <f>IF($J390="","",INDEX(NKC!$E$7:$E$3006,$J390))</f>
        <v/>
      </c>
      <c r="E390" s="95">
        <f>IF($J390="","",IF(LEFT(INDEX(NKC!$F$7:$F$3006,$J390),LEN($B$5))=$B$5,INDEX(NKC!$G$7:$G$3006,$J390),INDEX(NKC!$F$7:$F$3006,$J390)))</f>
        <v/>
      </c>
      <c r="F390" s="125">
        <f>IF($J390="","",IF(LEFT(INDEX(NKC!$F$7:$F$3006,$J390),LEN($B$5))=$B$5,INDEX(NKC!$H$7:$H$3006,$J390),""))</f>
        <v/>
      </c>
      <c r="G390" s="125">
        <f>IF($J390="","",IF(LEFT(INDEX(NKC!$G$7:$G$3006,$J390),LEN($B$5))=$B$5,INDEX(NKC!$H$7:$H$3006,$J390),""))</f>
        <v/>
      </c>
      <c r="H390" s="132">
        <f>IF($J390="","",H389+N(F390)-N(G390))</f>
        <v/>
      </c>
      <c r="J390" s="117">
        <f>IFERROR(MATCH(383,NKC!$P$7:$P$3006,0),"")</f>
        <v/>
      </c>
    </row>
    <row r="391" ht="15" customHeight="1" s="78">
      <c r="A391" s="131">
        <f>IF($J391="","",INDEX(NKC!$B$7:$B$3006,$J391))</f>
        <v/>
      </c>
      <c r="B391" s="95">
        <f>IF($J391="","",INDEX(NKC!$C$7:$C$3006,$J391))</f>
        <v/>
      </c>
      <c r="C391" s="131">
        <f>IF($J391="","",INDEX(NKC!$D$7:$D$3006,$J391))</f>
        <v/>
      </c>
      <c r="D391" s="97">
        <f>IF($J391="","",INDEX(NKC!$E$7:$E$3006,$J391))</f>
        <v/>
      </c>
      <c r="E391" s="95">
        <f>IF($J391="","",IF(LEFT(INDEX(NKC!$F$7:$F$3006,$J391),LEN($B$5))=$B$5,INDEX(NKC!$G$7:$G$3006,$J391),INDEX(NKC!$F$7:$F$3006,$J391)))</f>
        <v/>
      </c>
      <c r="F391" s="125">
        <f>IF($J391="","",IF(LEFT(INDEX(NKC!$F$7:$F$3006,$J391),LEN($B$5))=$B$5,INDEX(NKC!$H$7:$H$3006,$J391),""))</f>
        <v/>
      </c>
      <c r="G391" s="125">
        <f>IF($J391="","",IF(LEFT(INDEX(NKC!$G$7:$G$3006,$J391),LEN($B$5))=$B$5,INDEX(NKC!$H$7:$H$3006,$J391),""))</f>
        <v/>
      </c>
      <c r="H391" s="132">
        <f>IF($J391="","",H390+N(F391)-N(G391))</f>
        <v/>
      </c>
      <c r="J391" s="117">
        <f>IFERROR(MATCH(384,NKC!$P$7:$P$3006,0),"")</f>
        <v/>
      </c>
    </row>
    <row r="392" ht="15" customHeight="1" s="78">
      <c r="A392" s="131">
        <f>IF($J392="","",INDEX(NKC!$B$7:$B$3006,$J392))</f>
        <v/>
      </c>
      <c r="B392" s="95">
        <f>IF($J392="","",INDEX(NKC!$C$7:$C$3006,$J392))</f>
        <v/>
      </c>
      <c r="C392" s="131">
        <f>IF($J392="","",INDEX(NKC!$D$7:$D$3006,$J392))</f>
        <v/>
      </c>
      <c r="D392" s="97">
        <f>IF($J392="","",INDEX(NKC!$E$7:$E$3006,$J392))</f>
        <v/>
      </c>
      <c r="E392" s="95">
        <f>IF($J392="","",IF(LEFT(INDEX(NKC!$F$7:$F$3006,$J392),LEN($B$5))=$B$5,INDEX(NKC!$G$7:$G$3006,$J392),INDEX(NKC!$F$7:$F$3006,$J392)))</f>
        <v/>
      </c>
      <c r="F392" s="125">
        <f>IF($J392="","",IF(LEFT(INDEX(NKC!$F$7:$F$3006,$J392),LEN($B$5))=$B$5,INDEX(NKC!$H$7:$H$3006,$J392),""))</f>
        <v/>
      </c>
      <c r="G392" s="125">
        <f>IF($J392="","",IF(LEFT(INDEX(NKC!$G$7:$G$3006,$J392),LEN($B$5))=$B$5,INDEX(NKC!$H$7:$H$3006,$J392),""))</f>
        <v/>
      </c>
      <c r="H392" s="132">
        <f>IF($J392="","",H391+N(F392)-N(G392))</f>
        <v/>
      </c>
      <c r="J392" s="117">
        <f>IFERROR(MATCH(385,NKC!$P$7:$P$3006,0),"")</f>
        <v/>
      </c>
    </row>
    <row r="393" ht="15" customHeight="1" s="78">
      <c r="A393" s="131">
        <f>IF($J393="","",INDEX(NKC!$B$7:$B$3006,$J393))</f>
        <v/>
      </c>
      <c r="B393" s="95">
        <f>IF($J393="","",INDEX(NKC!$C$7:$C$3006,$J393))</f>
        <v/>
      </c>
      <c r="C393" s="131">
        <f>IF($J393="","",INDEX(NKC!$D$7:$D$3006,$J393))</f>
        <v/>
      </c>
      <c r="D393" s="97">
        <f>IF($J393="","",INDEX(NKC!$E$7:$E$3006,$J393))</f>
        <v/>
      </c>
      <c r="E393" s="95">
        <f>IF($J393="","",IF(LEFT(INDEX(NKC!$F$7:$F$3006,$J393),LEN($B$5))=$B$5,INDEX(NKC!$G$7:$G$3006,$J393),INDEX(NKC!$F$7:$F$3006,$J393)))</f>
        <v/>
      </c>
      <c r="F393" s="125">
        <f>IF($J393="","",IF(LEFT(INDEX(NKC!$F$7:$F$3006,$J393),LEN($B$5))=$B$5,INDEX(NKC!$H$7:$H$3006,$J393),""))</f>
        <v/>
      </c>
      <c r="G393" s="125">
        <f>IF($J393="","",IF(LEFT(INDEX(NKC!$G$7:$G$3006,$J393),LEN($B$5))=$B$5,INDEX(NKC!$H$7:$H$3006,$J393),""))</f>
        <v/>
      </c>
      <c r="H393" s="132">
        <f>IF($J393="","",H392+N(F393)-N(G393))</f>
        <v/>
      </c>
      <c r="J393" s="117">
        <f>IFERROR(MATCH(386,NKC!$P$7:$P$3006,0),"")</f>
        <v/>
      </c>
    </row>
    <row r="394" ht="15" customHeight="1" s="78">
      <c r="A394" s="131">
        <f>IF($J394="","",INDEX(NKC!$B$7:$B$3006,$J394))</f>
        <v/>
      </c>
      <c r="B394" s="95">
        <f>IF($J394="","",INDEX(NKC!$C$7:$C$3006,$J394))</f>
        <v/>
      </c>
      <c r="C394" s="131">
        <f>IF($J394="","",INDEX(NKC!$D$7:$D$3006,$J394))</f>
        <v/>
      </c>
      <c r="D394" s="97">
        <f>IF($J394="","",INDEX(NKC!$E$7:$E$3006,$J394))</f>
        <v/>
      </c>
      <c r="E394" s="95">
        <f>IF($J394="","",IF(LEFT(INDEX(NKC!$F$7:$F$3006,$J394),LEN($B$5))=$B$5,INDEX(NKC!$G$7:$G$3006,$J394),INDEX(NKC!$F$7:$F$3006,$J394)))</f>
        <v/>
      </c>
      <c r="F394" s="125">
        <f>IF($J394="","",IF(LEFT(INDEX(NKC!$F$7:$F$3006,$J394),LEN($B$5))=$B$5,INDEX(NKC!$H$7:$H$3006,$J394),""))</f>
        <v/>
      </c>
      <c r="G394" s="125">
        <f>IF($J394="","",IF(LEFT(INDEX(NKC!$G$7:$G$3006,$J394),LEN($B$5))=$B$5,INDEX(NKC!$H$7:$H$3006,$J394),""))</f>
        <v/>
      </c>
      <c r="H394" s="132">
        <f>IF($J394="","",H393+N(F394)-N(G394))</f>
        <v/>
      </c>
      <c r="J394" s="117">
        <f>IFERROR(MATCH(387,NKC!$P$7:$P$3006,0),"")</f>
        <v/>
      </c>
    </row>
    <row r="395" ht="15" customHeight="1" s="78">
      <c r="A395" s="131">
        <f>IF($J395="","",INDEX(NKC!$B$7:$B$3006,$J395))</f>
        <v/>
      </c>
      <c r="B395" s="95">
        <f>IF($J395="","",INDEX(NKC!$C$7:$C$3006,$J395))</f>
        <v/>
      </c>
      <c r="C395" s="131">
        <f>IF($J395="","",INDEX(NKC!$D$7:$D$3006,$J395))</f>
        <v/>
      </c>
      <c r="D395" s="97">
        <f>IF($J395="","",INDEX(NKC!$E$7:$E$3006,$J395))</f>
        <v/>
      </c>
      <c r="E395" s="95">
        <f>IF($J395="","",IF(LEFT(INDEX(NKC!$F$7:$F$3006,$J395),LEN($B$5))=$B$5,INDEX(NKC!$G$7:$G$3006,$J395),INDEX(NKC!$F$7:$F$3006,$J395)))</f>
        <v/>
      </c>
      <c r="F395" s="125">
        <f>IF($J395="","",IF(LEFT(INDEX(NKC!$F$7:$F$3006,$J395),LEN($B$5))=$B$5,INDEX(NKC!$H$7:$H$3006,$J395),""))</f>
        <v/>
      </c>
      <c r="G395" s="125">
        <f>IF($J395="","",IF(LEFT(INDEX(NKC!$G$7:$G$3006,$J395),LEN($B$5))=$B$5,INDEX(NKC!$H$7:$H$3006,$J395),""))</f>
        <v/>
      </c>
      <c r="H395" s="132">
        <f>IF($J395="","",H394+N(F395)-N(G395))</f>
        <v/>
      </c>
      <c r="J395" s="117">
        <f>IFERROR(MATCH(388,NKC!$P$7:$P$3006,0),"")</f>
        <v/>
      </c>
    </row>
    <row r="396" ht="15" customHeight="1" s="78">
      <c r="A396" s="131">
        <f>IF($J396="","",INDEX(NKC!$B$7:$B$3006,$J396))</f>
        <v/>
      </c>
      <c r="B396" s="95">
        <f>IF($J396="","",INDEX(NKC!$C$7:$C$3006,$J396))</f>
        <v/>
      </c>
      <c r="C396" s="131">
        <f>IF($J396="","",INDEX(NKC!$D$7:$D$3006,$J396))</f>
        <v/>
      </c>
      <c r="D396" s="97">
        <f>IF($J396="","",INDEX(NKC!$E$7:$E$3006,$J396))</f>
        <v/>
      </c>
      <c r="E396" s="95">
        <f>IF($J396="","",IF(LEFT(INDEX(NKC!$F$7:$F$3006,$J396),LEN($B$5))=$B$5,INDEX(NKC!$G$7:$G$3006,$J396),INDEX(NKC!$F$7:$F$3006,$J396)))</f>
        <v/>
      </c>
      <c r="F396" s="125">
        <f>IF($J396="","",IF(LEFT(INDEX(NKC!$F$7:$F$3006,$J396),LEN($B$5))=$B$5,INDEX(NKC!$H$7:$H$3006,$J396),""))</f>
        <v/>
      </c>
      <c r="G396" s="125">
        <f>IF($J396="","",IF(LEFT(INDEX(NKC!$G$7:$G$3006,$J396),LEN($B$5))=$B$5,INDEX(NKC!$H$7:$H$3006,$J396),""))</f>
        <v/>
      </c>
      <c r="H396" s="132">
        <f>IF($J396="","",H395+N(F396)-N(G396))</f>
        <v/>
      </c>
      <c r="J396" s="117">
        <f>IFERROR(MATCH(389,NKC!$P$7:$P$3006,0),"")</f>
        <v/>
      </c>
    </row>
    <row r="397" ht="15" customHeight="1" s="78">
      <c r="A397" s="131">
        <f>IF($J397="","",INDEX(NKC!$B$7:$B$3006,$J397))</f>
        <v/>
      </c>
      <c r="B397" s="95">
        <f>IF($J397="","",INDEX(NKC!$C$7:$C$3006,$J397))</f>
        <v/>
      </c>
      <c r="C397" s="131">
        <f>IF($J397="","",INDEX(NKC!$D$7:$D$3006,$J397))</f>
        <v/>
      </c>
      <c r="D397" s="97">
        <f>IF($J397="","",INDEX(NKC!$E$7:$E$3006,$J397))</f>
        <v/>
      </c>
      <c r="E397" s="95">
        <f>IF($J397="","",IF(LEFT(INDEX(NKC!$F$7:$F$3006,$J397),LEN($B$5))=$B$5,INDEX(NKC!$G$7:$G$3006,$J397),INDEX(NKC!$F$7:$F$3006,$J397)))</f>
        <v/>
      </c>
      <c r="F397" s="125">
        <f>IF($J397="","",IF(LEFT(INDEX(NKC!$F$7:$F$3006,$J397),LEN($B$5))=$B$5,INDEX(NKC!$H$7:$H$3006,$J397),""))</f>
        <v/>
      </c>
      <c r="G397" s="125">
        <f>IF($J397="","",IF(LEFT(INDEX(NKC!$G$7:$G$3006,$J397),LEN($B$5))=$B$5,INDEX(NKC!$H$7:$H$3006,$J397),""))</f>
        <v/>
      </c>
      <c r="H397" s="132">
        <f>IF($J397="","",H396+N(F397)-N(G397))</f>
        <v/>
      </c>
      <c r="J397" s="117">
        <f>IFERROR(MATCH(390,NKC!$P$7:$P$3006,0),"")</f>
        <v/>
      </c>
    </row>
    <row r="398" ht="15" customHeight="1" s="78">
      <c r="A398" s="131">
        <f>IF($J398="","",INDEX(NKC!$B$7:$B$3006,$J398))</f>
        <v/>
      </c>
      <c r="B398" s="95">
        <f>IF($J398="","",INDEX(NKC!$C$7:$C$3006,$J398))</f>
        <v/>
      </c>
      <c r="C398" s="131">
        <f>IF($J398="","",INDEX(NKC!$D$7:$D$3006,$J398))</f>
        <v/>
      </c>
      <c r="D398" s="97">
        <f>IF($J398="","",INDEX(NKC!$E$7:$E$3006,$J398))</f>
        <v/>
      </c>
      <c r="E398" s="95">
        <f>IF($J398="","",IF(LEFT(INDEX(NKC!$F$7:$F$3006,$J398),LEN($B$5))=$B$5,INDEX(NKC!$G$7:$G$3006,$J398),INDEX(NKC!$F$7:$F$3006,$J398)))</f>
        <v/>
      </c>
      <c r="F398" s="125">
        <f>IF($J398="","",IF(LEFT(INDEX(NKC!$F$7:$F$3006,$J398),LEN($B$5))=$B$5,INDEX(NKC!$H$7:$H$3006,$J398),""))</f>
        <v/>
      </c>
      <c r="G398" s="125">
        <f>IF($J398="","",IF(LEFT(INDEX(NKC!$G$7:$G$3006,$J398),LEN($B$5))=$B$5,INDEX(NKC!$H$7:$H$3006,$J398),""))</f>
        <v/>
      </c>
      <c r="H398" s="132">
        <f>IF($J398="","",H397+N(F398)-N(G398))</f>
        <v/>
      </c>
      <c r="J398" s="117">
        <f>IFERROR(MATCH(391,NKC!$P$7:$P$3006,0),"")</f>
        <v/>
      </c>
    </row>
    <row r="399" ht="15" customHeight="1" s="78">
      <c r="A399" s="131">
        <f>IF($J399="","",INDEX(NKC!$B$7:$B$3006,$J399))</f>
        <v/>
      </c>
      <c r="B399" s="95">
        <f>IF($J399="","",INDEX(NKC!$C$7:$C$3006,$J399))</f>
        <v/>
      </c>
      <c r="C399" s="131">
        <f>IF($J399="","",INDEX(NKC!$D$7:$D$3006,$J399))</f>
        <v/>
      </c>
      <c r="D399" s="97">
        <f>IF($J399="","",INDEX(NKC!$E$7:$E$3006,$J399))</f>
        <v/>
      </c>
      <c r="E399" s="95">
        <f>IF($J399="","",IF(LEFT(INDEX(NKC!$F$7:$F$3006,$J399),LEN($B$5))=$B$5,INDEX(NKC!$G$7:$G$3006,$J399),INDEX(NKC!$F$7:$F$3006,$J399)))</f>
        <v/>
      </c>
      <c r="F399" s="125">
        <f>IF($J399="","",IF(LEFT(INDEX(NKC!$F$7:$F$3006,$J399),LEN($B$5))=$B$5,INDEX(NKC!$H$7:$H$3006,$J399),""))</f>
        <v/>
      </c>
      <c r="G399" s="125">
        <f>IF($J399="","",IF(LEFT(INDEX(NKC!$G$7:$G$3006,$J399),LEN($B$5))=$B$5,INDEX(NKC!$H$7:$H$3006,$J399),""))</f>
        <v/>
      </c>
      <c r="H399" s="132">
        <f>IF($J399="","",H398+N(F399)-N(G399))</f>
        <v/>
      </c>
      <c r="J399" s="117">
        <f>IFERROR(MATCH(392,NKC!$P$7:$P$3006,0),"")</f>
        <v/>
      </c>
    </row>
    <row r="400" ht="15" customHeight="1" s="78">
      <c r="A400" s="131">
        <f>IF($J400="","",INDEX(NKC!$B$7:$B$3006,$J400))</f>
        <v/>
      </c>
      <c r="B400" s="95">
        <f>IF($J400="","",INDEX(NKC!$C$7:$C$3006,$J400))</f>
        <v/>
      </c>
      <c r="C400" s="131">
        <f>IF($J400="","",INDEX(NKC!$D$7:$D$3006,$J400))</f>
        <v/>
      </c>
      <c r="D400" s="97">
        <f>IF($J400="","",INDEX(NKC!$E$7:$E$3006,$J400))</f>
        <v/>
      </c>
      <c r="E400" s="95">
        <f>IF($J400="","",IF(LEFT(INDEX(NKC!$F$7:$F$3006,$J400),LEN($B$5))=$B$5,INDEX(NKC!$G$7:$G$3006,$J400),INDEX(NKC!$F$7:$F$3006,$J400)))</f>
        <v/>
      </c>
      <c r="F400" s="125">
        <f>IF($J400="","",IF(LEFT(INDEX(NKC!$F$7:$F$3006,$J400),LEN($B$5))=$B$5,INDEX(NKC!$H$7:$H$3006,$J400),""))</f>
        <v/>
      </c>
      <c r="G400" s="125">
        <f>IF($J400="","",IF(LEFT(INDEX(NKC!$G$7:$G$3006,$J400),LEN($B$5))=$B$5,INDEX(NKC!$H$7:$H$3006,$J400),""))</f>
        <v/>
      </c>
      <c r="H400" s="132">
        <f>IF($J400="","",H399+N(F400)-N(G400))</f>
        <v/>
      </c>
      <c r="J400" s="117">
        <f>IFERROR(MATCH(393,NKC!$P$7:$P$3006,0),"")</f>
        <v/>
      </c>
    </row>
    <row r="401" ht="15" customHeight="1" s="78">
      <c r="A401" s="131">
        <f>IF($J401="","",INDEX(NKC!$B$7:$B$3006,$J401))</f>
        <v/>
      </c>
      <c r="B401" s="95">
        <f>IF($J401="","",INDEX(NKC!$C$7:$C$3006,$J401))</f>
        <v/>
      </c>
      <c r="C401" s="131">
        <f>IF($J401="","",INDEX(NKC!$D$7:$D$3006,$J401))</f>
        <v/>
      </c>
      <c r="D401" s="97">
        <f>IF($J401="","",INDEX(NKC!$E$7:$E$3006,$J401))</f>
        <v/>
      </c>
      <c r="E401" s="95">
        <f>IF($J401="","",IF(LEFT(INDEX(NKC!$F$7:$F$3006,$J401),LEN($B$5))=$B$5,INDEX(NKC!$G$7:$G$3006,$J401),INDEX(NKC!$F$7:$F$3006,$J401)))</f>
        <v/>
      </c>
      <c r="F401" s="125">
        <f>IF($J401="","",IF(LEFT(INDEX(NKC!$F$7:$F$3006,$J401),LEN($B$5))=$B$5,INDEX(NKC!$H$7:$H$3006,$J401),""))</f>
        <v/>
      </c>
      <c r="G401" s="125">
        <f>IF($J401="","",IF(LEFT(INDEX(NKC!$G$7:$G$3006,$J401),LEN($B$5))=$B$5,INDEX(NKC!$H$7:$H$3006,$J401),""))</f>
        <v/>
      </c>
      <c r="H401" s="132">
        <f>IF($J401="","",H400+N(F401)-N(G401))</f>
        <v/>
      </c>
      <c r="J401" s="117">
        <f>IFERROR(MATCH(394,NKC!$P$7:$P$3006,0),"")</f>
        <v/>
      </c>
    </row>
    <row r="402" ht="15" customHeight="1" s="78">
      <c r="A402" s="131">
        <f>IF($J402="","",INDEX(NKC!$B$7:$B$3006,$J402))</f>
        <v/>
      </c>
      <c r="B402" s="95">
        <f>IF($J402="","",INDEX(NKC!$C$7:$C$3006,$J402))</f>
        <v/>
      </c>
      <c r="C402" s="131">
        <f>IF($J402="","",INDEX(NKC!$D$7:$D$3006,$J402))</f>
        <v/>
      </c>
      <c r="D402" s="97">
        <f>IF($J402="","",INDEX(NKC!$E$7:$E$3006,$J402))</f>
        <v/>
      </c>
      <c r="E402" s="95">
        <f>IF($J402="","",IF(LEFT(INDEX(NKC!$F$7:$F$3006,$J402),LEN($B$5))=$B$5,INDEX(NKC!$G$7:$G$3006,$J402),INDEX(NKC!$F$7:$F$3006,$J402)))</f>
        <v/>
      </c>
      <c r="F402" s="125">
        <f>IF($J402="","",IF(LEFT(INDEX(NKC!$F$7:$F$3006,$J402),LEN($B$5))=$B$5,INDEX(NKC!$H$7:$H$3006,$J402),""))</f>
        <v/>
      </c>
      <c r="G402" s="125">
        <f>IF($J402="","",IF(LEFT(INDEX(NKC!$G$7:$G$3006,$J402),LEN($B$5))=$B$5,INDEX(NKC!$H$7:$H$3006,$J402),""))</f>
        <v/>
      </c>
      <c r="H402" s="132">
        <f>IF($J402="","",H401+N(F402)-N(G402))</f>
        <v/>
      </c>
      <c r="J402" s="117">
        <f>IFERROR(MATCH(395,NKC!$P$7:$P$3006,0),"")</f>
        <v/>
      </c>
    </row>
    <row r="403" ht="15" customHeight="1" s="78">
      <c r="A403" s="131">
        <f>IF($J403="","",INDEX(NKC!$B$7:$B$3006,$J403))</f>
        <v/>
      </c>
      <c r="B403" s="95">
        <f>IF($J403="","",INDEX(NKC!$C$7:$C$3006,$J403))</f>
        <v/>
      </c>
      <c r="C403" s="131">
        <f>IF($J403="","",INDEX(NKC!$D$7:$D$3006,$J403))</f>
        <v/>
      </c>
      <c r="D403" s="97">
        <f>IF($J403="","",INDEX(NKC!$E$7:$E$3006,$J403))</f>
        <v/>
      </c>
      <c r="E403" s="95">
        <f>IF($J403="","",IF(LEFT(INDEX(NKC!$F$7:$F$3006,$J403),LEN($B$5))=$B$5,INDEX(NKC!$G$7:$G$3006,$J403),INDEX(NKC!$F$7:$F$3006,$J403)))</f>
        <v/>
      </c>
      <c r="F403" s="125">
        <f>IF($J403="","",IF(LEFT(INDEX(NKC!$F$7:$F$3006,$J403),LEN($B$5))=$B$5,INDEX(NKC!$H$7:$H$3006,$J403),""))</f>
        <v/>
      </c>
      <c r="G403" s="125">
        <f>IF($J403="","",IF(LEFT(INDEX(NKC!$G$7:$G$3006,$J403),LEN($B$5))=$B$5,INDEX(NKC!$H$7:$H$3006,$J403),""))</f>
        <v/>
      </c>
      <c r="H403" s="132">
        <f>IF($J403="","",H402+N(F403)-N(G403))</f>
        <v/>
      </c>
      <c r="J403" s="117">
        <f>IFERROR(MATCH(396,NKC!$P$7:$P$3006,0),"")</f>
        <v/>
      </c>
    </row>
    <row r="404" ht="15" customHeight="1" s="78">
      <c r="A404" s="131">
        <f>IF($J404="","",INDEX(NKC!$B$7:$B$3006,$J404))</f>
        <v/>
      </c>
      <c r="B404" s="95">
        <f>IF($J404="","",INDEX(NKC!$C$7:$C$3006,$J404))</f>
        <v/>
      </c>
      <c r="C404" s="131">
        <f>IF($J404="","",INDEX(NKC!$D$7:$D$3006,$J404))</f>
        <v/>
      </c>
      <c r="D404" s="97">
        <f>IF($J404="","",INDEX(NKC!$E$7:$E$3006,$J404))</f>
        <v/>
      </c>
      <c r="E404" s="95">
        <f>IF($J404="","",IF(LEFT(INDEX(NKC!$F$7:$F$3006,$J404),LEN($B$5))=$B$5,INDEX(NKC!$G$7:$G$3006,$J404),INDEX(NKC!$F$7:$F$3006,$J404)))</f>
        <v/>
      </c>
      <c r="F404" s="125">
        <f>IF($J404="","",IF(LEFT(INDEX(NKC!$F$7:$F$3006,$J404),LEN($B$5))=$B$5,INDEX(NKC!$H$7:$H$3006,$J404),""))</f>
        <v/>
      </c>
      <c r="G404" s="125">
        <f>IF($J404="","",IF(LEFT(INDEX(NKC!$G$7:$G$3006,$J404),LEN($B$5))=$B$5,INDEX(NKC!$H$7:$H$3006,$J404),""))</f>
        <v/>
      </c>
      <c r="H404" s="132">
        <f>IF($J404="","",H403+N(F404)-N(G404))</f>
        <v/>
      </c>
      <c r="J404" s="117">
        <f>IFERROR(MATCH(397,NKC!$P$7:$P$3006,0),"")</f>
        <v/>
      </c>
    </row>
    <row r="405" ht="15" customHeight="1" s="78">
      <c r="A405" s="131">
        <f>IF($J405="","",INDEX(NKC!$B$7:$B$3006,$J405))</f>
        <v/>
      </c>
      <c r="B405" s="95">
        <f>IF($J405="","",INDEX(NKC!$C$7:$C$3006,$J405))</f>
        <v/>
      </c>
      <c r="C405" s="131">
        <f>IF($J405="","",INDEX(NKC!$D$7:$D$3006,$J405))</f>
        <v/>
      </c>
      <c r="D405" s="97">
        <f>IF($J405="","",INDEX(NKC!$E$7:$E$3006,$J405))</f>
        <v/>
      </c>
      <c r="E405" s="95">
        <f>IF($J405="","",IF(LEFT(INDEX(NKC!$F$7:$F$3006,$J405),LEN($B$5))=$B$5,INDEX(NKC!$G$7:$G$3006,$J405),INDEX(NKC!$F$7:$F$3006,$J405)))</f>
        <v/>
      </c>
      <c r="F405" s="125">
        <f>IF($J405="","",IF(LEFT(INDEX(NKC!$F$7:$F$3006,$J405),LEN($B$5))=$B$5,INDEX(NKC!$H$7:$H$3006,$J405),""))</f>
        <v/>
      </c>
      <c r="G405" s="125">
        <f>IF($J405="","",IF(LEFT(INDEX(NKC!$G$7:$G$3006,$J405),LEN($B$5))=$B$5,INDEX(NKC!$H$7:$H$3006,$J405),""))</f>
        <v/>
      </c>
      <c r="H405" s="132">
        <f>IF($J405="","",H404+N(F405)-N(G405))</f>
        <v/>
      </c>
      <c r="J405" s="117">
        <f>IFERROR(MATCH(398,NKC!$P$7:$P$3006,0),"")</f>
        <v/>
      </c>
    </row>
    <row r="406" ht="15" customHeight="1" s="78">
      <c r="A406" s="131">
        <f>IF($J406="","",INDEX(NKC!$B$7:$B$3006,$J406))</f>
        <v/>
      </c>
      <c r="B406" s="95">
        <f>IF($J406="","",INDEX(NKC!$C$7:$C$3006,$J406))</f>
        <v/>
      </c>
      <c r="C406" s="131">
        <f>IF($J406="","",INDEX(NKC!$D$7:$D$3006,$J406))</f>
        <v/>
      </c>
      <c r="D406" s="97">
        <f>IF($J406="","",INDEX(NKC!$E$7:$E$3006,$J406))</f>
        <v/>
      </c>
      <c r="E406" s="95">
        <f>IF($J406="","",IF(LEFT(INDEX(NKC!$F$7:$F$3006,$J406),LEN($B$5))=$B$5,INDEX(NKC!$G$7:$G$3006,$J406),INDEX(NKC!$F$7:$F$3006,$J406)))</f>
        <v/>
      </c>
      <c r="F406" s="125">
        <f>IF($J406="","",IF(LEFT(INDEX(NKC!$F$7:$F$3006,$J406),LEN($B$5))=$B$5,INDEX(NKC!$H$7:$H$3006,$J406),""))</f>
        <v/>
      </c>
      <c r="G406" s="125">
        <f>IF($J406="","",IF(LEFT(INDEX(NKC!$G$7:$G$3006,$J406),LEN($B$5))=$B$5,INDEX(NKC!$H$7:$H$3006,$J406),""))</f>
        <v/>
      </c>
      <c r="H406" s="132">
        <f>IF($J406="","",H405+N(F406)-N(G406))</f>
        <v/>
      </c>
      <c r="J406" s="117">
        <f>IFERROR(MATCH(399,NKC!$P$7:$P$3006,0),"")</f>
        <v/>
      </c>
    </row>
    <row r="407" ht="15" customHeight="1" s="78">
      <c r="A407" s="131">
        <f>IF($J407="","",INDEX(NKC!$B$7:$B$3006,$J407))</f>
        <v/>
      </c>
      <c r="B407" s="95">
        <f>IF($J407="","",INDEX(NKC!$C$7:$C$3006,$J407))</f>
        <v/>
      </c>
      <c r="C407" s="131">
        <f>IF($J407="","",INDEX(NKC!$D$7:$D$3006,$J407))</f>
        <v/>
      </c>
      <c r="D407" s="97">
        <f>IF($J407="","",INDEX(NKC!$E$7:$E$3006,$J407))</f>
        <v/>
      </c>
      <c r="E407" s="95">
        <f>IF($J407="","",IF(LEFT(INDEX(NKC!$F$7:$F$3006,$J407),LEN($B$5))=$B$5,INDEX(NKC!$G$7:$G$3006,$J407),INDEX(NKC!$F$7:$F$3006,$J407)))</f>
        <v/>
      </c>
      <c r="F407" s="125">
        <f>IF($J407="","",IF(LEFT(INDEX(NKC!$F$7:$F$3006,$J407),LEN($B$5))=$B$5,INDEX(NKC!$H$7:$H$3006,$J407),""))</f>
        <v/>
      </c>
      <c r="G407" s="125">
        <f>IF($J407="","",IF(LEFT(INDEX(NKC!$G$7:$G$3006,$J407),LEN($B$5))=$B$5,INDEX(NKC!$H$7:$H$3006,$J407),""))</f>
        <v/>
      </c>
      <c r="H407" s="132">
        <f>IF($J407="","",H406+N(F407)-N(G407))</f>
        <v/>
      </c>
      <c r="J407" s="117">
        <f>IFERROR(MATCH(400,NKC!$P$7:$P$3006,0),"")</f>
        <v/>
      </c>
    </row>
    <row r="408" ht="15" customHeight="1" s="78">
      <c r="A408" s="131">
        <f>IF($J408="","",INDEX(NKC!$B$7:$B$3006,$J408))</f>
        <v/>
      </c>
      <c r="B408" s="95">
        <f>IF($J408="","",INDEX(NKC!$C$7:$C$3006,$J408))</f>
        <v/>
      </c>
      <c r="C408" s="131">
        <f>IF($J408="","",INDEX(NKC!$D$7:$D$3006,$J408))</f>
        <v/>
      </c>
      <c r="D408" s="97">
        <f>IF($J408="","",INDEX(NKC!$E$7:$E$3006,$J408))</f>
        <v/>
      </c>
      <c r="E408" s="95">
        <f>IF($J408="","",IF(LEFT(INDEX(NKC!$F$7:$F$3006,$J408),LEN($B$5))=$B$5,INDEX(NKC!$G$7:$G$3006,$J408),INDEX(NKC!$F$7:$F$3006,$J408)))</f>
        <v/>
      </c>
      <c r="F408" s="125">
        <f>IF($J408="","",IF(LEFT(INDEX(NKC!$F$7:$F$3006,$J408),LEN($B$5))=$B$5,INDEX(NKC!$H$7:$H$3006,$J408),""))</f>
        <v/>
      </c>
      <c r="G408" s="125">
        <f>IF($J408="","",IF(LEFT(INDEX(NKC!$G$7:$G$3006,$J408),LEN($B$5))=$B$5,INDEX(NKC!$H$7:$H$3006,$J408),""))</f>
        <v/>
      </c>
      <c r="H408" s="132">
        <f>IF($J408="","",H407+N(F408)-N(G408))</f>
        <v/>
      </c>
      <c r="J408" s="117">
        <f>IFERROR(MATCH(401,NKC!$P$7:$P$3006,0),"")</f>
        <v/>
      </c>
    </row>
    <row r="409" ht="15" customHeight="1" s="78">
      <c r="A409" s="131">
        <f>IF($J409="","",INDEX(NKC!$B$7:$B$3006,$J409))</f>
        <v/>
      </c>
      <c r="B409" s="95">
        <f>IF($J409="","",INDEX(NKC!$C$7:$C$3006,$J409))</f>
        <v/>
      </c>
      <c r="C409" s="131">
        <f>IF($J409="","",INDEX(NKC!$D$7:$D$3006,$J409))</f>
        <v/>
      </c>
      <c r="D409" s="97">
        <f>IF($J409="","",INDEX(NKC!$E$7:$E$3006,$J409))</f>
        <v/>
      </c>
      <c r="E409" s="95">
        <f>IF($J409="","",IF(LEFT(INDEX(NKC!$F$7:$F$3006,$J409),LEN($B$5))=$B$5,INDEX(NKC!$G$7:$G$3006,$J409),INDEX(NKC!$F$7:$F$3006,$J409)))</f>
        <v/>
      </c>
      <c r="F409" s="125">
        <f>IF($J409="","",IF(LEFT(INDEX(NKC!$F$7:$F$3006,$J409),LEN($B$5))=$B$5,INDEX(NKC!$H$7:$H$3006,$J409),""))</f>
        <v/>
      </c>
      <c r="G409" s="125">
        <f>IF($J409="","",IF(LEFT(INDEX(NKC!$G$7:$G$3006,$J409),LEN($B$5))=$B$5,INDEX(NKC!$H$7:$H$3006,$J409),""))</f>
        <v/>
      </c>
      <c r="H409" s="132">
        <f>IF($J409="","",H408+N(F409)-N(G409))</f>
        <v/>
      </c>
      <c r="J409" s="117">
        <f>IFERROR(MATCH(402,NKC!$P$7:$P$3006,0),"")</f>
        <v/>
      </c>
    </row>
    <row r="410" ht="15" customHeight="1" s="78">
      <c r="A410" s="131">
        <f>IF($J410="","",INDEX(NKC!$B$7:$B$3006,$J410))</f>
        <v/>
      </c>
      <c r="B410" s="95">
        <f>IF($J410="","",INDEX(NKC!$C$7:$C$3006,$J410))</f>
        <v/>
      </c>
      <c r="C410" s="131">
        <f>IF($J410="","",INDEX(NKC!$D$7:$D$3006,$J410))</f>
        <v/>
      </c>
      <c r="D410" s="97">
        <f>IF($J410="","",INDEX(NKC!$E$7:$E$3006,$J410))</f>
        <v/>
      </c>
      <c r="E410" s="95">
        <f>IF($J410="","",IF(LEFT(INDEX(NKC!$F$7:$F$3006,$J410),LEN($B$5))=$B$5,INDEX(NKC!$G$7:$G$3006,$J410),INDEX(NKC!$F$7:$F$3006,$J410)))</f>
        <v/>
      </c>
      <c r="F410" s="125">
        <f>IF($J410="","",IF(LEFT(INDEX(NKC!$F$7:$F$3006,$J410),LEN($B$5))=$B$5,INDEX(NKC!$H$7:$H$3006,$J410),""))</f>
        <v/>
      </c>
      <c r="G410" s="125">
        <f>IF($J410="","",IF(LEFT(INDEX(NKC!$G$7:$G$3006,$J410),LEN($B$5))=$B$5,INDEX(NKC!$H$7:$H$3006,$J410),""))</f>
        <v/>
      </c>
      <c r="H410" s="132">
        <f>IF($J410="","",H409+N(F410)-N(G410))</f>
        <v/>
      </c>
      <c r="J410" s="117">
        <f>IFERROR(MATCH(403,NKC!$P$7:$P$3006,0),"")</f>
        <v/>
      </c>
    </row>
    <row r="411" ht="15" customHeight="1" s="78">
      <c r="A411" s="131">
        <f>IF($J411="","",INDEX(NKC!$B$7:$B$3006,$J411))</f>
        <v/>
      </c>
      <c r="B411" s="95">
        <f>IF($J411="","",INDEX(NKC!$C$7:$C$3006,$J411))</f>
        <v/>
      </c>
      <c r="C411" s="131">
        <f>IF($J411="","",INDEX(NKC!$D$7:$D$3006,$J411))</f>
        <v/>
      </c>
      <c r="D411" s="97">
        <f>IF($J411="","",INDEX(NKC!$E$7:$E$3006,$J411))</f>
        <v/>
      </c>
      <c r="E411" s="95">
        <f>IF($J411="","",IF(LEFT(INDEX(NKC!$F$7:$F$3006,$J411),LEN($B$5))=$B$5,INDEX(NKC!$G$7:$G$3006,$J411),INDEX(NKC!$F$7:$F$3006,$J411)))</f>
        <v/>
      </c>
      <c r="F411" s="125">
        <f>IF($J411="","",IF(LEFT(INDEX(NKC!$F$7:$F$3006,$J411),LEN($B$5))=$B$5,INDEX(NKC!$H$7:$H$3006,$J411),""))</f>
        <v/>
      </c>
      <c r="G411" s="125">
        <f>IF($J411="","",IF(LEFT(INDEX(NKC!$G$7:$G$3006,$J411),LEN($B$5))=$B$5,INDEX(NKC!$H$7:$H$3006,$J411),""))</f>
        <v/>
      </c>
      <c r="H411" s="132">
        <f>IF($J411="","",H410+N(F411)-N(G411))</f>
        <v/>
      </c>
      <c r="J411" s="117">
        <f>IFERROR(MATCH(404,NKC!$P$7:$P$3006,0),"")</f>
        <v/>
      </c>
    </row>
    <row r="412" ht="15" customHeight="1" s="78">
      <c r="A412" s="131">
        <f>IF($J412="","",INDEX(NKC!$B$7:$B$3006,$J412))</f>
        <v/>
      </c>
      <c r="B412" s="95">
        <f>IF($J412="","",INDEX(NKC!$C$7:$C$3006,$J412))</f>
        <v/>
      </c>
      <c r="C412" s="131">
        <f>IF($J412="","",INDEX(NKC!$D$7:$D$3006,$J412))</f>
        <v/>
      </c>
      <c r="D412" s="97">
        <f>IF($J412="","",INDEX(NKC!$E$7:$E$3006,$J412))</f>
        <v/>
      </c>
      <c r="E412" s="95">
        <f>IF($J412="","",IF(LEFT(INDEX(NKC!$F$7:$F$3006,$J412),LEN($B$5))=$B$5,INDEX(NKC!$G$7:$G$3006,$J412),INDEX(NKC!$F$7:$F$3006,$J412)))</f>
        <v/>
      </c>
      <c r="F412" s="125">
        <f>IF($J412="","",IF(LEFT(INDEX(NKC!$F$7:$F$3006,$J412),LEN($B$5))=$B$5,INDEX(NKC!$H$7:$H$3006,$J412),""))</f>
        <v/>
      </c>
      <c r="G412" s="125">
        <f>IF($J412="","",IF(LEFT(INDEX(NKC!$G$7:$G$3006,$J412),LEN($B$5))=$B$5,INDEX(NKC!$H$7:$H$3006,$J412),""))</f>
        <v/>
      </c>
      <c r="H412" s="132">
        <f>IF($J412="","",H411+N(F412)-N(G412))</f>
        <v/>
      </c>
      <c r="J412" s="117">
        <f>IFERROR(MATCH(405,NKC!$P$7:$P$3006,0),"")</f>
        <v/>
      </c>
    </row>
    <row r="413" ht="15" customHeight="1" s="78">
      <c r="A413" s="131">
        <f>IF($J413="","",INDEX(NKC!$B$7:$B$3006,$J413))</f>
        <v/>
      </c>
      <c r="B413" s="95">
        <f>IF($J413="","",INDEX(NKC!$C$7:$C$3006,$J413))</f>
        <v/>
      </c>
      <c r="C413" s="131">
        <f>IF($J413="","",INDEX(NKC!$D$7:$D$3006,$J413))</f>
        <v/>
      </c>
      <c r="D413" s="97">
        <f>IF($J413="","",INDEX(NKC!$E$7:$E$3006,$J413))</f>
        <v/>
      </c>
      <c r="E413" s="95">
        <f>IF($J413="","",IF(LEFT(INDEX(NKC!$F$7:$F$3006,$J413),LEN($B$5))=$B$5,INDEX(NKC!$G$7:$G$3006,$J413),INDEX(NKC!$F$7:$F$3006,$J413)))</f>
        <v/>
      </c>
      <c r="F413" s="125">
        <f>IF($J413="","",IF(LEFT(INDEX(NKC!$F$7:$F$3006,$J413),LEN($B$5))=$B$5,INDEX(NKC!$H$7:$H$3006,$J413),""))</f>
        <v/>
      </c>
      <c r="G413" s="125">
        <f>IF($J413="","",IF(LEFT(INDEX(NKC!$G$7:$G$3006,$J413),LEN($B$5))=$B$5,INDEX(NKC!$H$7:$H$3006,$J413),""))</f>
        <v/>
      </c>
      <c r="H413" s="132">
        <f>IF($J413="","",H412+N(F413)-N(G413))</f>
        <v/>
      </c>
      <c r="J413" s="117">
        <f>IFERROR(MATCH(406,NKC!$P$7:$P$3006,0),"")</f>
        <v/>
      </c>
    </row>
    <row r="414" ht="15" customHeight="1" s="78">
      <c r="A414" s="131">
        <f>IF($J414="","",INDEX(NKC!$B$7:$B$3006,$J414))</f>
        <v/>
      </c>
      <c r="B414" s="95">
        <f>IF($J414="","",INDEX(NKC!$C$7:$C$3006,$J414))</f>
        <v/>
      </c>
      <c r="C414" s="131">
        <f>IF($J414="","",INDEX(NKC!$D$7:$D$3006,$J414))</f>
        <v/>
      </c>
      <c r="D414" s="97">
        <f>IF($J414="","",INDEX(NKC!$E$7:$E$3006,$J414))</f>
        <v/>
      </c>
      <c r="E414" s="95">
        <f>IF($J414="","",IF(LEFT(INDEX(NKC!$F$7:$F$3006,$J414),LEN($B$5))=$B$5,INDEX(NKC!$G$7:$G$3006,$J414),INDEX(NKC!$F$7:$F$3006,$J414)))</f>
        <v/>
      </c>
      <c r="F414" s="125">
        <f>IF($J414="","",IF(LEFT(INDEX(NKC!$F$7:$F$3006,$J414),LEN($B$5))=$B$5,INDEX(NKC!$H$7:$H$3006,$J414),""))</f>
        <v/>
      </c>
      <c r="G414" s="125">
        <f>IF($J414="","",IF(LEFT(INDEX(NKC!$G$7:$G$3006,$J414),LEN($B$5))=$B$5,INDEX(NKC!$H$7:$H$3006,$J414),""))</f>
        <v/>
      </c>
      <c r="H414" s="132">
        <f>IF($J414="","",H413+N(F414)-N(G414))</f>
        <v/>
      </c>
      <c r="J414" s="117">
        <f>IFERROR(MATCH(407,NKC!$P$7:$P$3006,0),"")</f>
        <v/>
      </c>
    </row>
    <row r="415" ht="15" customHeight="1" s="78">
      <c r="A415" s="131">
        <f>IF($J415="","",INDEX(NKC!$B$7:$B$3006,$J415))</f>
        <v/>
      </c>
      <c r="B415" s="95">
        <f>IF($J415="","",INDEX(NKC!$C$7:$C$3006,$J415))</f>
        <v/>
      </c>
      <c r="C415" s="131">
        <f>IF($J415="","",INDEX(NKC!$D$7:$D$3006,$J415))</f>
        <v/>
      </c>
      <c r="D415" s="97">
        <f>IF($J415="","",INDEX(NKC!$E$7:$E$3006,$J415))</f>
        <v/>
      </c>
      <c r="E415" s="95">
        <f>IF($J415="","",IF(LEFT(INDEX(NKC!$F$7:$F$3006,$J415),LEN($B$5))=$B$5,INDEX(NKC!$G$7:$G$3006,$J415),INDEX(NKC!$F$7:$F$3006,$J415)))</f>
        <v/>
      </c>
      <c r="F415" s="125">
        <f>IF($J415="","",IF(LEFT(INDEX(NKC!$F$7:$F$3006,$J415),LEN($B$5))=$B$5,INDEX(NKC!$H$7:$H$3006,$J415),""))</f>
        <v/>
      </c>
      <c r="G415" s="125">
        <f>IF($J415="","",IF(LEFT(INDEX(NKC!$G$7:$G$3006,$J415),LEN($B$5))=$B$5,INDEX(NKC!$H$7:$H$3006,$J415),""))</f>
        <v/>
      </c>
      <c r="H415" s="132">
        <f>IF($J415="","",H414+N(F415)-N(G415))</f>
        <v/>
      </c>
      <c r="J415" s="117">
        <f>IFERROR(MATCH(408,NKC!$P$7:$P$3006,0),"")</f>
        <v/>
      </c>
    </row>
    <row r="416" ht="15" customHeight="1" s="78">
      <c r="A416" s="131">
        <f>IF($J416="","",INDEX(NKC!$B$7:$B$3006,$J416))</f>
        <v/>
      </c>
      <c r="B416" s="95">
        <f>IF($J416="","",INDEX(NKC!$C$7:$C$3006,$J416))</f>
        <v/>
      </c>
      <c r="C416" s="131">
        <f>IF($J416="","",INDEX(NKC!$D$7:$D$3006,$J416))</f>
        <v/>
      </c>
      <c r="D416" s="97">
        <f>IF($J416="","",INDEX(NKC!$E$7:$E$3006,$J416))</f>
        <v/>
      </c>
      <c r="E416" s="95">
        <f>IF($J416="","",IF(LEFT(INDEX(NKC!$F$7:$F$3006,$J416),LEN($B$5))=$B$5,INDEX(NKC!$G$7:$G$3006,$J416),INDEX(NKC!$F$7:$F$3006,$J416)))</f>
        <v/>
      </c>
      <c r="F416" s="125">
        <f>IF($J416="","",IF(LEFT(INDEX(NKC!$F$7:$F$3006,$J416),LEN($B$5))=$B$5,INDEX(NKC!$H$7:$H$3006,$J416),""))</f>
        <v/>
      </c>
      <c r="G416" s="125">
        <f>IF($J416="","",IF(LEFT(INDEX(NKC!$G$7:$G$3006,$J416),LEN($B$5))=$B$5,INDEX(NKC!$H$7:$H$3006,$J416),""))</f>
        <v/>
      </c>
      <c r="H416" s="132">
        <f>IF($J416="","",H415+N(F416)-N(G416))</f>
        <v/>
      </c>
      <c r="J416" s="117">
        <f>IFERROR(MATCH(409,NKC!$P$7:$P$3006,0),"")</f>
        <v/>
      </c>
    </row>
    <row r="417" ht="15" customHeight="1" s="78">
      <c r="A417" s="131">
        <f>IF($J417="","",INDEX(NKC!$B$7:$B$3006,$J417))</f>
        <v/>
      </c>
      <c r="B417" s="95">
        <f>IF($J417="","",INDEX(NKC!$C$7:$C$3006,$J417))</f>
        <v/>
      </c>
      <c r="C417" s="131">
        <f>IF($J417="","",INDEX(NKC!$D$7:$D$3006,$J417))</f>
        <v/>
      </c>
      <c r="D417" s="97">
        <f>IF($J417="","",INDEX(NKC!$E$7:$E$3006,$J417))</f>
        <v/>
      </c>
      <c r="E417" s="95">
        <f>IF($J417="","",IF(LEFT(INDEX(NKC!$F$7:$F$3006,$J417),LEN($B$5))=$B$5,INDEX(NKC!$G$7:$G$3006,$J417),INDEX(NKC!$F$7:$F$3006,$J417)))</f>
        <v/>
      </c>
      <c r="F417" s="125">
        <f>IF($J417="","",IF(LEFT(INDEX(NKC!$F$7:$F$3006,$J417),LEN($B$5))=$B$5,INDEX(NKC!$H$7:$H$3006,$J417),""))</f>
        <v/>
      </c>
      <c r="G417" s="125">
        <f>IF($J417="","",IF(LEFT(INDEX(NKC!$G$7:$G$3006,$J417),LEN($B$5))=$B$5,INDEX(NKC!$H$7:$H$3006,$J417),""))</f>
        <v/>
      </c>
      <c r="H417" s="132">
        <f>IF($J417="","",H416+N(F417)-N(G417))</f>
        <v/>
      </c>
      <c r="J417" s="117">
        <f>IFERROR(MATCH(410,NKC!$P$7:$P$3006,0),"")</f>
        <v/>
      </c>
    </row>
    <row r="418" ht="15" customHeight="1" s="78">
      <c r="A418" s="131">
        <f>IF($J418="","",INDEX(NKC!$B$7:$B$3006,$J418))</f>
        <v/>
      </c>
      <c r="B418" s="95">
        <f>IF($J418="","",INDEX(NKC!$C$7:$C$3006,$J418))</f>
        <v/>
      </c>
      <c r="C418" s="131">
        <f>IF($J418="","",INDEX(NKC!$D$7:$D$3006,$J418))</f>
        <v/>
      </c>
      <c r="D418" s="97">
        <f>IF($J418="","",INDEX(NKC!$E$7:$E$3006,$J418))</f>
        <v/>
      </c>
      <c r="E418" s="95">
        <f>IF($J418="","",IF(LEFT(INDEX(NKC!$F$7:$F$3006,$J418),LEN($B$5))=$B$5,INDEX(NKC!$G$7:$G$3006,$J418),INDEX(NKC!$F$7:$F$3006,$J418)))</f>
        <v/>
      </c>
      <c r="F418" s="125">
        <f>IF($J418="","",IF(LEFT(INDEX(NKC!$F$7:$F$3006,$J418),LEN($B$5))=$B$5,INDEX(NKC!$H$7:$H$3006,$J418),""))</f>
        <v/>
      </c>
      <c r="G418" s="125">
        <f>IF($J418="","",IF(LEFT(INDEX(NKC!$G$7:$G$3006,$J418),LEN($B$5))=$B$5,INDEX(NKC!$H$7:$H$3006,$J418),""))</f>
        <v/>
      </c>
      <c r="H418" s="132">
        <f>IF($J418="","",H417+N(F418)-N(G418))</f>
        <v/>
      </c>
      <c r="J418" s="117">
        <f>IFERROR(MATCH(411,NKC!$P$7:$P$3006,0),"")</f>
        <v/>
      </c>
    </row>
    <row r="419" ht="15" customHeight="1" s="78">
      <c r="A419" s="131">
        <f>IF($J419="","",INDEX(NKC!$B$7:$B$3006,$J419))</f>
        <v/>
      </c>
      <c r="B419" s="95">
        <f>IF($J419="","",INDEX(NKC!$C$7:$C$3006,$J419))</f>
        <v/>
      </c>
      <c r="C419" s="131">
        <f>IF($J419="","",INDEX(NKC!$D$7:$D$3006,$J419))</f>
        <v/>
      </c>
      <c r="D419" s="97">
        <f>IF($J419="","",INDEX(NKC!$E$7:$E$3006,$J419))</f>
        <v/>
      </c>
      <c r="E419" s="95">
        <f>IF($J419="","",IF(LEFT(INDEX(NKC!$F$7:$F$3006,$J419),LEN($B$5))=$B$5,INDEX(NKC!$G$7:$G$3006,$J419),INDEX(NKC!$F$7:$F$3006,$J419)))</f>
        <v/>
      </c>
      <c r="F419" s="125">
        <f>IF($J419="","",IF(LEFT(INDEX(NKC!$F$7:$F$3006,$J419),LEN($B$5))=$B$5,INDEX(NKC!$H$7:$H$3006,$J419),""))</f>
        <v/>
      </c>
      <c r="G419" s="125">
        <f>IF($J419="","",IF(LEFT(INDEX(NKC!$G$7:$G$3006,$J419),LEN($B$5))=$B$5,INDEX(NKC!$H$7:$H$3006,$J419),""))</f>
        <v/>
      </c>
      <c r="H419" s="132">
        <f>IF($J419="","",H418+N(F419)-N(G419))</f>
        <v/>
      </c>
      <c r="J419" s="117">
        <f>IFERROR(MATCH(412,NKC!$P$7:$P$3006,0),"")</f>
        <v/>
      </c>
    </row>
    <row r="420" ht="15" customHeight="1" s="78">
      <c r="A420" s="131">
        <f>IF($J420="","",INDEX(NKC!$B$7:$B$3006,$J420))</f>
        <v/>
      </c>
      <c r="B420" s="95">
        <f>IF($J420="","",INDEX(NKC!$C$7:$C$3006,$J420))</f>
        <v/>
      </c>
      <c r="C420" s="131">
        <f>IF($J420="","",INDEX(NKC!$D$7:$D$3006,$J420))</f>
        <v/>
      </c>
      <c r="D420" s="97">
        <f>IF($J420="","",INDEX(NKC!$E$7:$E$3006,$J420))</f>
        <v/>
      </c>
      <c r="E420" s="95">
        <f>IF($J420="","",IF(LEFT(INDEX(NKC!$F$7:$F$3006,$J420),LEN($B$5))=$B$5,INDEX(NKC!$G$7:$G$3006,$J420),INDEX(NKC!$F$7:$F$3006,$J420)))</f>
        <v/>
      </c>
      <c r="F420" s="125">
        <f>IF($J420="","",IF(LEFT(INDEX(NKC!$F$7:$F$3006,$J420),LEN($B$5))=$B$5,INDEX(NKC!$H$7:$H$3006,$J420),""))</f>
        <v/>
      </c>
      <c r="G420" s="125">
        <f>IF($J420="","",IF(LEFT(INDEX(NKC!$G$7:$G$3006,$J420),LEN($B$5))=$B$5,INDEX(NKC!$H$7:$H$3006,$J420),""))</f>
        <v/>
      </c>
      <c r="H420" s="132">
        <f>IF($J420="","",H419+N(F420)-N(G420))</f>
        <v/>
      </c>
      <c r="J420" s="117">
        <f>IFERROR(MATCH(413,NKC!$P$7:$P$3006,0),"")</f>
        <v/>
      </c>
    </row>
    <row r="421" ht="15" customHeight="1" s="78">
      <c r="A421" s="131">
        <f>IF($J421="","",INDEX(NKC!$B$7:$B$3006,$J421))</f>
        <v/>
      </c>
      <c r="B421" s="95">
        <f>IF($J421="","",INDEX(NKC!$C$7:$C$3006,$J421))</f>
        <v/>
      </c>
      <c r="C421" s="131">
        <f>IF($J421="","",INDEX(NKC!$D$7:$D$3006,$J421))</f>
        <v/>
      </c>
      <c r="D421" s="97">
        <f>IF($J421="","",INDEX(NKC!$E$7:$E$3006,$J421))</f>
        <v/>
      </c>
      <c r="E421" s="95">
        <f>IF($J421="","",IF(LEFT(INDEX(NKC!$F$7:$F$3006,$J421),LEN($B$5))=$B$5,INDEX(NKC!$G$7:$G$3006,$J421),INDEX(NKC!$F$7:$F$3006,$J421)))</f>
        <v/>
      </c>
      <c r="F421" s="125">
        <f>IF($J421="","",IF(LEFT(INDEX(NKC!$F$7:$F$3006,$J421),LEN($B$5))=$B$5,INDEX(NKC!$H$7:$H$3006,$J421),""))</f>
        <v/>
      </c>
      <c r="G421" s="125">
        <f>IF($J421="","",IF(LEFT(INDEX(NKC!$G$7:$G$3006,$J421),LEN($B$5))=$B$5,INDEX(NKC!$H$7:$H$3006,$J421),""))</f>
        <v/>
      </c>
      <c r="H421" s="132">
        <f>IF($J421="","",H420+N(F421)-N(G421))</f>
        <v/>
      </c>
      <c r="J421" s="117">
        <f>IFERROR(MATCH(414,NKC!$P$7:$P$3006,0),"")</f>
        <v/>
      </c>
    </row>
    <row r="422" ht="15" customHeight="1" s="78">
      <c r="A422" s="131">
        <f>IF($J422="","",INDEX(NKC!$B$7:$B$3006,$J422))</f>
        <v/>
      </c>
      <c r="B422" s="95">
        <f>IF($J422="","",INDEX(NKC!$C$7:$C$3006,$J422))</f>
        <v/>
      </c>
      <c r="C422" s="131">
        <f>IF($J422="","",INDEX(NKC!$D$7:$D$3006,$J422))</f>
        <v/>
      </c>
      <c r="D422" s="97">
        <f>IF($J422="","",INDEX(NKC!$E$7:$E$3006,$J422))</f>
        <v/>
      </c>
      <c r="E422" s="95">
        <f>IF($J422="","",IF(LEFT(INDEX(NKC!$F$7:$F$3006,$J422),LEN($B$5))=$B$5,INDEX(NKC!$G$7:$G$3006,$J422),INDEX(NKC!$F$7:$F$3006,$J422)))</f>
        <v/>
      </c>
      <c r="F422" s="125">
        <f>IF($J422="","",IF(LEFT(INDEX(NKC!$F$7:$F$3006,$J422),LEN($B$5))=$B$5,INDEX(NKC!$H$7:$H$3006,$J422),""))</f>
        <v/>
      </c>
      <c r="G422" s="125">
        <f>IF($J422="","",IF(LEFT(INDEX(NKC!$G$7:$G$3006,$J422),LEN($B$5))=$B$5,INDEX(NKC!$H$7:$H$3006,$J422),""))</f>
        <v/>
      </c>
      <c r="H422" s="132">
        <f>IF($J422="","",H421+N(F422)-N(G422))</f>
        <v/>
      </c>
      <c r="J422" s="117">
        <f>IFERROR(MATCH(415,NKC!$P$7:$P$3006,0),"")</f>
        <v/>
      </c>
    </row>
    <row r="423" ht="15" customHeight="1" s="78">
      <c r="A423" s="131">
        <f>IF($J423="","",INDEX(NKC!$B$7:$B$3006,$J423))</f>
        <v/>
      </c>
      <c r="B423" s="95">
        <f>IF($J423="","",INDEX(NKC!$C$7:$C$3006,$J423))</f>
        <v/>
      </c>
      <c r="C423" s="131">
        <f>IF($J423="","",INDEX(NKC!$D$7:$D$3006,$J423))</f>
        <v/>
      </c>
      <c r="D423" s="97">
        <f>IF($J423="","",INDEX(NKC!$E$7:$E$3006,$J423))</f>
        <v/>
      </c>
      <c r="E423" s="95">
        <f>IF($J423="","",IF(LEFT(INDEX(NKC!$F$7:$F$3006,$J423),LEN($B$5))=$B$5,INDEX(NKC!$G$7:$G$3006,$J423),INDEX(NKC!$F$7:$F$3006,$J423)))</f>
        <v/>
      </c>
      <c r="F423" s="125">
        <f>IF($J423="","",IF(LEFT(INDEX(NKC!$F$7:$F$3006,$J423),LEN($B$5))=$B$5,INDEX(NKC!$H$7:$H$3006,$J423),""))</f>
        <v/>
      </c>
      <c r="G423" s="125">
        <f>IF($J423="","",IF(LEFT(INDEX(NKC!$G$7:$G$3006,$J423),LEN($B$5))=$B$5,INDEX(NKC!$H$7:$H$3006,$J423),""))</f>
        <v/>
      </c>
      <c r="H423" s="132">
        <f>IF($J423="","",H422+N(F423)-N(G423))</f>
        <v/>
      </c>
      <c r="J423" s="117">
        <f>IFERROR(MATCH(416,NKC!$P$7:$P$3006,0),"")</f>
        <v/>
      </c>
    </row>
    <row r="424" ht="15" customHeight="1" s="78">
      <c r="A424" s="131">
        <f>IF($J424="","",INDEX(NKC!$B$7:$B$3006,$J424))</f>
        <v/>
      </c>
      <c r="B424" s="95">
        <f>IF($J424="","",INDEX(NKC!$C$7:$C$3006,$J424))</f>
        <v/>
      </c>
      <c r="C424" s="131">
        <f>IF($J424="","",INDEX(NKC!$D$7:$D$3006,$J424))</f>
        <v/>
      </c>
      <c r="D424" s="97">
        <f>IF($J424="","",INDEX(NKC!$E$7:$E$3006,$J424))</f>
        <v/>
      </c>
      <c r="E424" s="95">
        <f>IF($J424="","",IF(LEFT(INDEX(NKC!$F$7:$F$3006,$J424),LEN($B$5))=$B$5,INDEX(NKC!$G$7:$G$3006,$J424),INDEX(NKC!$F$7:$F$3006,$J424)))</f>
        <v/>
      </c>
      <c r="F424" s="125">
        <f>IF($J424="","",IF(LEFT(INDEX(NKC!$F$7:$F$3006,$J424),LEN($B$5))=$B$5,INDEX(NKC!$H$7:$H$3006,$J424),""))</f>
        <v/>
      </c>
      <c r="G424" s="125">
        <f>IF($J424="","",IF(LEFT(INDEX(NKC!$G$7:$G$3006,$J424),LEN($B$5))=$B$5,INDEX(NKC!$H$7:$H$3006,$J424),""))</f>
        <v/>
      </c>
      <c r="H424" s="132">
        <f>IF($J424="","",H423+N(F424)-N(G424))</f>
        <v/>
      </c>
      <c r="J424" s="117">
        <f>IFERROR(MATCH(417,NKC!$P$7:$P$3006,0),"")</f>
        <v/>
      </c>
    </row>
    <row r="425" ht="15" customHeight="1" s="78">
      <c r="A425" s="131">
        <f>IF($J425="","",INDEX(NKC!$B$7:$B$3006,$J425))</f>
        <v/>
      </c>
      <c r="B425" s="95">
        <f>IF($J425="","",INDEX(NKC!$C$7:$C$3006,$J425))</f>
        <v/>
      </c>
      <c r="C425" s="131">
        <f>IF($J425="","",INDEX(NKC!$D$7:$D$3006,$J425))</f>
        <v/>
      </c>
      <c r="D425" s="97">
        <f>IF($J425="","",INDEX(NKC!$E$7:$E$3006,$J425))</f>
        <v/>
      </c>
      <c r="E425" s="95">
        <f>IF($J425="","",IF(LEFT(INDEX(NKC!$F$7:$F$3006,$J425),LEN($B$5))=$B$5,INDEX(NKC!$G$7:$G$3006,$J425),INDEX(NKC!$F$7:$F$3006,$J425)))</f>
        <v/>
      </c>
      <c r="F425" s="125">
        <f>IF($J425="","",IF(LEFT(INDEX(NKC!$F$7:$F$3006,$J425),LEN($B$5))=$B$5,INDEX(NKC!$H$7:$H$3006,$J425),""))</f>
        <v/>
      </c>
      <c r="G425" s="125">
        <f>IF($J425="","",IF(LEFT(INDEX(NKC!$G$7:$G$3006,$J425),LEN($B$5))=$B$5,INDEX(NKC!$H$7:$H$3006,$J425),""))</f>
        <v/>
      </c>
      <c r="H425" s="132">
        <f>IF($J425="","",H424+N(F425)-N(G425))</f>
        <v/>
      </c>
      <c r="J425" s="117">
        <f>IFERROR(MATCH(418,NKC!$P$7:$P$3006,0),"")</f>
        <v/>
      </c>
    </row>
    <row r="426" ht="15" customHeight="1" s="78">
      <c r="A426" s="131">
        <f>IF($J426="","",INDEX(NKC!$B$7:$B$3006,$J426))</f>
        <v/>
      </c>
      <c r="B426" s="95">
        <f>IF($J426="","",INDEX(NKC!$C$7:$C$3006,$J426))</f>
        <v/>
      </c>
      <c r="C426" s="131">
        <f>IF($J426="","",INDEX(NKC!$D$7:$D$3006,$J426))</f>
        <v/>
      </c>
      <c r="D426" s="97">
        <f>IF($J426="","",INDEX(NKC!$E$7:$E$3006,$J426))</f>
        <v/>
      </c>
      <c r="E426" s="95">
        <f>IF($J426="","",IF(LEFT(INDEX(NKC!$F$7:$F$3006,$J426),LEN($B$5))=$B$5,INDEX(NKC!$G$7:$G$3006,$J426),INDEX(NKC!$F$7:$F$3006,$J426)))</f>
        <v/>
      </c>
      <c r="F426" s="125">
        <f>IF($J426="","",IF(LEFT(INDEX(NKC!$F$7:$F$3006,$J426),LEN($B$5))=$B$5,INDEX(NKC!$H$7:$H$3006,$J426),""))</f>
        <v/>
      </c>
      <c r="G426" s="125">
        <f>IF($J426="","",IF(LEFT(INDEX(NKC!$G$7:$G$3006,$J426),LEN($B$5))=$B$5,INDEX(NKC!$H$7:$H$3006,$J426),""))</f>
        <v/>
      </c>
      <c r="H426" s="132">
        <f>IF($J426="","",H425+N(F426)-N(G426))</f>
        <v/>
      </c>
      <c r="J426" s="117">
        <f>IFERROR(MATCH(419,NKC!$P$7:$P$3006,0),"")</f>
        <v/>
      </c>
    </row>
    <row r="427" ht="15" customHeight="1" s="78">
      <c r="A427" s="131">
        <f>IF($J427="","",INDEX(NKC!$B$7:$B$3006,$J427))</f>
        <v/>
      </c>
      <c r="B427" s="95">
        <f>IF($J427="","",INDEX(NKC!$C$7:$C$3006,$J427))</f>
        <v/>
      </c>
      <c r="C427" s="131">
        <f>IF($J427="","",INDEX(NKC!$D$7:$D$3006,$J427))</f>
        <v/>
      </c>
      <c r="D427" s="97">
        <f>IF($J427="","",INDEX(NKC!$E$7:$E$3006,$J427))</f>
        <v/>
      </c>
      <c r="E427" s="95">
        <f>IF($J427="","",IF(LEFT(INDEX(NKC!$F$7:$F$3006,$J427),LEN($B$5))=$B$5,INDEX(NKC!$G$7:$G$3006,$J427),INDEX(NKC!$F$7:$F$3006,$J427)))</f>
        <v/>
      </c>
      <c r="F427" s="125">
        <f>IF($J427="","",IF(LEFT(INDEX(NKC!$F$7:$F$3006,$J427),LEN($B$5))=$B$5,INDEX(NKC!$H$7:$H$3006,$J427),""))</f>
        <v/>
      </c>
      <c r="G427" s="125">
        <f>IF($J427="","",IF(LEFT(INDEX(NKC!$G$7:$G$3006,$J427),LEN($B$5))=$B$5,INDEX(NKC!$H$7:$H$3006,$J427),""))</f>
        <v/>
      </c>
      <c r="H427" s="132">
        <f>IF($J427="","",H426+N(F427)-N(G427))</f>
        <v/>
      </c>
      <c r="J427" s="117">
        <f>IFERROR(MATCH(420,NKC!$P$7:$P$3006,0),"")</f>
        <v/>
      </c>
    </row>
    <row r="428" ht="15" customHeight="1" s="78">
      <c r="A428" s="131">
        <f>IF($J428="","",INDEX(NKC!$B$7:$B$3006,$J428))</f>
        <v/>
      </c>
      <c r="B428" s="95">
        <f>IF($J428="","",INDEX(NKC!$C$7:$C$3006,$J428))</f>
        <v/>
      </c>
      <c r="C428" s="131">
        <f>IF($J428="","",INDEX(NKC!$D$7:$D$3006,$J428))</f>
        <v/>
      </c>
      <c r="D428" s="97">
        <f>IF($J428="","",INDEX(NKC!$E$7:$E$3006,$J428))</f>
        <v/>
      </c>
      <c r="E428" s="95">
        <f>IF($J428="","",IF(LEFT(INDEX(NKC!$F$7:$F$3006,$J428),LEN($B$5))=$B$5,INDEX(NKC!$G$7:$G$3006,$J428),INDEX(NKC!$F$7:$F$3006,$J428)))</f>
        <v/>
      </c>
      <c r="F428" s="125">
        <f>IF($J428="","",IF(LEFT(INDEX(NKC!$F$7:$F$3006,$J428),LEN($B$5))=$B$5,INDEX(NKC!$H$7:$H$3006,$J428),""))</f>
        <v/>
      </c>
      <c r="G428" s="125">
        <f>IF($J428="","",IF(LEFT(INDEX(NKC!$G$7:$G$3006,$J428),LEN($B$5))=$B$5,INDEX(NKC!$H$7:$H$3006,$J428),""))</f>
        <v/>
      </c>
      <c r="H428" s="132">
        <f>IF($J428="","",H427+N(F428)-N(G428))</f>
        <v/>
      </c>
      <c r="J428" s="117">
        <f>IFERROR(MATCH(421,NKC!$P$7:$P$3006,0),"")</f>
        <v/>
      </c>
    </row>
    <row r="429" ht="15" customHeight="1" s="78">
      <c r="A429" s="131">
        <f>IF($J429="","",INDEX(NKC!$B$7:$B$3006,$J429))</f>
        <v/>
      </c>
      <c r="B429" s="95">
        <f>IF($J429="","",INDEX(NKC!$C$7:$C$3006,$J429))</f>
        <v/>
      </c>
      <c r="C429" s="131">
        <f>IF($J429="","",INDEX(NKC!$D$7:$D$3006,$J429))</f>
        <v/>
      </c>
      <c r="D429" s="97">
        <f>IF($J429="","",INDEX(NKC!$E$7:$E$3006,$J429))</f>
        <v/>
      </c>
      <c r="E429" s="95">
        <f>IF($J429="","",IF(LEFT(INDEX(NKC!$F$7:$F$3006,$J429),LEN($B$5))=$B$5,INDEX(NKC!$G$7:$G$3006,$J429),INDEX(NKC!$F$7:$F$3006,$J429)))</f>
        <v/>
      </c>
      <c r="F429" s="125">
        <f>IF($J429="","",IF(LEFT(INDEX(NKC!$F$7:$F$3006,$J429),LEN($B$5))=$B$5,INDEX(NKC!$H$7:$H$3006,$J429),""))</f>
        <v/>
      </c>
      <c r="G429" s="125">
        <f>IF($J429="","",IF(LEFT(INDEX(NKC!$G$7:$G$3006,$J429),LEN($B$5))=$B$5,INDEX(NKC!$H$7:$H$3006,$J429),""))</f>
        <v/>
      </c>
      <c r="H429" s="132">
        <f>IF($J429="","",H428+N(F429)-N(G429))</f>
        <v/>
      </c>
      <c r="J429" s="117">
        <f>IFERROR(MATCH(422,NKC!$P$7:$P$3006,0),"")</f>
        <v/>
      </c>
    </row>
    <row r="430" ht="15" customHeight="1" s="78">
      <c r="A430" s="131">
        <f>IF($J430="","",INDEX(NKC!$B$7:$B$3006,$J430))</f>
        <v/>
      </c>
      <c r="B430" s="95">
        <f>IF($J430="","",INDEX(NKC!$C$7:$C$3006,$J430))</f>
        <v/>
      </c>
      <c r="C430" s="131">
        <f>IF($J430="","",INDEX(NKC!$D$7:$D$3006,$J430))</f>
        <v/>
      </c>
      <c r="D430" s="97">
        <f>IF($J430="","",INDEX(NKC!$E$7:$E$3006,$J430))</f>
        <v/>
      </c>
      <c r="E430" s="95">
        <f>IF($J430="","",IF(LEFT(INDEX(NKC!$F$7:$F$3006,$J430),LEN($B$5))=$B$5,INDEX(NKC!$G$7:$G$3006,$J430),INDEX(NKC!$F$7:$F$3006,$J430)))</f>
        <v/>
      </c>
      <c r="F430" s="125">
        <f>IF($J430="","",IF(LEFT(INDEX(NKC!$F$7:$F$3006,$J430),LEN($B$5))=$B$5,INDEX(NKC!$H$7:$H$3006,$J430),""))</f>
        <v/>
      </c>
      <c r="G430" s="125">
        <f>IF($J430="","",IF(LEFT(INDEX(NKC!$G$7:$G$3006,$J430),LEN($B$5))=$B$5,INDEX(NKC!$H$7:$H$3006,$J430),""))</f>
        <v/>
      </c>
      <c r="H430" s="132">
        <f>IF($J430="","",H429+N(F430)-N(G430))</f>
        <v/>
      </c>
      <c r="J430" s="117">
        <f>IFERROR(MATCH(423,NKC!$P$7:$P$3006,0),"")</f>
        <v/>
      </c>
    </row>
    <row r="431" ht="15" customHeight="1" s="78">
      <c r="A431" s="131">
        <f>IF($J431="","",INDEX(NKC!$B$7:$B$3006,$J431))</f>
        <v/>
      </c>
      <c r="B431" s="95">
        <f>IF($J431="","",INDEX(NKC!$C$7:$C$3006,$J431))</f>
        <v/>
      </c>
      <c r="C431" s="131">
        <f>IF($J431="","",INDEX(NKC!$D$7:$D$3006,$J431))</f>
        <v/>
      </c>
      <c r="D431" s="97">
        <f>IF($J431="","",INDEX(NKC!$E$7:$E$3006,$J431))</f>
        <v/>
      </c>
      <c r="E431" s="95">
        <f>IF($J431="","",IF(LEFT(INDEX(NKC!$F$7:$F$3006,$J431),LEN($B$5))=$B$5,INDEX(NKC!$G$7:$G$3006,$J431),INDEX(NKC!$F$7:$F$3006,$J431)))</f>
        <v/>
      </c>
      <c r="F431" s="125">
        <f>IF($J431="","",IF(LEFT(INDEX(NKC!$F$7:$F$3006,$J431),LEN($B$5))=$B$5,INDEX(NKC!$H$7:$H$3006,$J431),""))</f>
        <v/>
      </c>
      <c r="G431" s="125">
        <f>IF($J431="","",IF(LEFT(INDEX(NKC!$G$7:$G$3006,$J431),LEN($B$5))=$B$5,INDEX(NKC!$H$7:$H$3006,$J431),""))</f>
        <v/>
      </c>
      <c r="H431" s="132">
        <f>IF($J431="","",H430+N(F431)-N(G431))</f>
        <v/>
      </c>
      <c r="J431" s="117">
        <f>IFERROR(MATCH(424,NKC!$P$7:$P$3006,0),"")</f>
        <v/>
      </c>
    </row>
    <row r="432" ht="15" customHeight="1" s="78">
      <c r="A432" s="131">
        <f>IF($J432="","",INDEX(NKC!$B$7:$B$3006,$J432))</f>
        <v/>
      </c>
      <c r="B432" s="95">
        <f>IF($J432="","",INDEX(NKC!$C$7:$C$3006,$J432))</f>
        <v/>
      </c>
      <c r="C432" s="131">
        <f>IF($J432="","",INDEX(NKC!$D$7:$D$3006,$J432))</f>
        <v/>
      </c>
      <c r="D432" s="97">
        <f>IF($J432="","",INDEX(NKC!$E$7:$E$3006,$J432))</f>
        <v/>
      </c>
      <c r="E432" s="95">
        <f>IF($J432="","",IF(LEFT(INDEX(NKC!$F$7:$F$3006,$J432),LEN($B$5))=$B$5,INDEX(NKC!$G$7:$G$3006,$J432),INDEX(NKC!$F$7:$F$3006,$J432)))</f>
        <v/>
      </c>
      <c r="F432" s="125">
        <f>IF($J432="","",IF(LEFT(INDEX(NKC!$F$7:$F$3006,$J432),LEN($B$5))=$B$5,INDEX(NKC!$H$7:$H$3006,$J432),""))</f>
        <v/>
      </c>
      <c r="G432" s="125">
        <f>IF($J432="","",IF(LEFT(INDEX(NKC!$G$7:$G$3006,$J432),LEN($B$5))=$B$5,INDEX(NKC!$H$7:$H$3006,$J432),""))</f>
        <v/>
      </c>
      <c r="H432" s="132">
        <f>IF($J432="","",H431+N(F432)-N(G432))</f>
        <v/>
      </c>
      <c r="J432" s="117">
        <f>IFERROR(MATCH(425,NKC!$P$7:$P$3006,0),"")</f>
        <v/>
      </c>
    </row>
    <row r="433" ht="15" customHeight="1" s="78">
      <c r="A433" s="131">
        <f>IF($J433="","",INDEX(NKC!$B$7:$B$3006,$J433))</f>
        <v/>
      </c>
      <c r="B433" s="95">
        <f>IF($J433="","",INDEX(NKC!$C$7:$C$3006,$J433))</f>
        <v/>
      </c>
      <c r="C433" s="131">
        <f>IF($J433="","",INDEX(NKC!$D$7:$D$3006,$J433))</f>
        <v/>
      </c>
      <c r="D433" s="97">
        <f>IF($J433="","",INDEX(NKC!$E$7:$E$3006,$J433))</f>
        <v/>
      </c>
      <c r="E433" s="95">
        <f>IF($J433="","",IF(LEFT(INDEX(NKC!$F$7:$F$3006,$J433),LEN($B$5))=$B$5,INDEX(NKC!$G$7:$G$3006,$J433),INDEX(NKC!$F$7:$F$3006,$J433)))</f>
        <v/>
      </c>
      <c r="F433" s="125">
        <f>IF($J433="","",IF(LEFT(INDEX(NKC!$F$7:$F$3006,$J433),LEN($B$5))=$B$5,INDEX(NKC!$H$7:$H$3006,$J433),""))</f>
        <v/>
      </c>
      <c r="G433" s="125">
        <f>IF($J433="","",IF(LEFT(INDEX(NKC!$G$7:$G$3006,$J433),LEN($B$5))=$B$5,INDEX(NKC!$H$7:$H$3006,$J433),""))</f>
        <v/>
      </c>
      <c r="H433" s="132">
        <f>IF($J433="","",H432+N(F433)-N(G433))</f>
        <v/>
      </c>
      <c r="J433" s="117">
        <f>IFERROR(MATCH(426,NKC!$P$7:$P$3006,0),"")</f>
        <v/>
      </c>
    </row>
    <row r="434" ht="15" customHeight="1" s="78">
      <c r="A434" s="131">
        <f>IF($J434="","",INDEX(NKC!$B$7:$B$3006,$J434))</f>
        <v/>
      </c>
      <c r="B434" s="95">
        <f>IF($J434="","",INDEX(NKC!$C$7:$C$3006,$J434))</f>
        <v/>
      </c>
      <c r="C434" s="131">
        <f>IF($J434="","",INDEX(NKC!$D$7:$D$3006,$J434))</f>
        <v/>
      </c>
      <c r="D434" s="97">
        <f>IF($J434="","",INDEX(NKC!$E$7:$E$3006,$J434))</f>
        <v/>
      </c>
      <c r="E434" s="95">
        <f>IF($J434="","",IF(LEFT(INDEX(NKC!$F$7:$F$3006,$J434),LEN($B$5))=$B$5,INDEX(NKC!$G$7:$G$3006,$J434),INDEX(NKC!$F$7:$F$3006,$J434)))</f>
        <v/>
      </c>
      <c r="F434" s="125">
        <f>IF($J434="","",IF(LEFT(INDEX(NKC!$F$7:$F$3006,$J434),LEN($B$5))=$B$5,INDEX(NKC!$H$7:$H$3006,$J434),""))</f>
        <v/>
      </c>
      <c r="G434" s="125">
        <f>IF($J434="","",IF(LEFT(INDEX(NKC!$G$7:$G$3006,$J434),LEN($B$5))=$B$5,INDEX(NKC!$H$7:$H$3006,$J434),""))</f>
        <v/>
      </c>
      <c r="H434" s="132">
        <f>IF($J434="","",H433+N(F434)-N(G434))</f>
        <v/>
      </c>
      <c r="J434" s="117">
        <f>IFERROR(MATCH(427,NKC!$P$7:$P$3006,0),"")</f>
        <v/>
      </c>
    </row>
    <row r="435" ht="15" customHeight="1" s="78">
      <c r="A435" s="131">
        <f>IF($J435="","",INDEX(NKC!$B$7:$B$3006,$J435))</f>
        <v/>
      </c>
      <c r="B435" s="95">
        <f>IF($J435="","",INDEX(NKC!$C$7:$C$3006,$J435))</f>
        <v/>
      </c>
      <c r="C435" s="131">
        <f>IF($J435="","",INDEX(NKC!$D$7:$D$3006,$J435))</f>
        <v/>
      </c>
      <c r="D435" s="97">
        <f>IF($J435="","",INDEX(NKC!$E$7:$E$3006,$J435))</f>
        <v/>
      </c>
      <c r="E435" s="95">
        <f>IF($J435="","",IF(LEFT(INDEX(NKC!$F$7:$F$3006,$J435),LEN($B$5))=$B$5,INDEX(NKC!$G$7:$G$3006,$J435),INDEX(NKC!$F$7:$F$3006,$J435)))</f>
        <v/>
      </c>
      <c r="F435" s="125">
        <f>IF($J435="","",IF(LEFT(INDEX(NKC!$F$7:$F$3006,$J435),LEN($B$5))=$B$5,INDEX(NKC!$H$7:$H$3006,$J435),""))</f>
        <v/>
      </c>
      <c r="G435" s="125">
        <f>IF($J435="","",IF(LEFT(INDEX(NKC!$G$7:$G$3006,$J435),LEN($B$5))=$B$5,INDEX(NKC!$H$7:$H$3006,$J435),""))</f>
        <v/>
      </c>
      <c r="H435" s="132">
        <f>IF($J435="","",H434+N(F435)-N(G435))</f>
        <v/>
      </c>
      <c r="J435" s="117">
        <f>IFERROR(MATCH(428,NKC!$P$7:$P$3006,0),"")</f>
        <v/>
      </c>
    </row>
    <row r="436" ht="15" customHeight="1" s="78">
      <c r="A436" s="131">
        <f>IF($J436="","",INDEX(NKC!$B$7:$B$3006,$J436))</f>
        <v/>
      </c>
      <c r="B436" s="95">
        <f>IF($J436="","",INDEX(NKC!$C$7:$C$3006,$J436))</f>
        <v/>
      </c>
      <c r="C436" s="131">
        <f>IF($J436="","",INDEX(NKC!$D$7:$D$3006,$J436))</f>
        <v/>
      </c>
      <c r="D436" s="97">
        <f>IF($J436="","",INDEX(NKC!$E$7:$E$3006,$J436))</f>
        <v/>
      </c>
      <c r="E436" s="95">
        <f>IF($J436="","",IF(LEFT(INDEX(NKC!$F$7:$F$3006,$J436),LEN($B$5))=$B$5,INDEX(NKC!$G$7:$G$3006,$J436),INDEX(NKC!$F$7:$F$3006,$J436)))</f>
        <v/>
      </c>
      <c r="F436" s="125">
        <f>IF($J436="","",IF(LEFT(INDEX(NKC!$F$7:$F$3006,$J436),LEN($B$5))=$B$5,INDEX(NKC!$H$7:$H$3006,$J436),""))</f>
        <v/>
      </c>
      <c r="G436" s="125">
        <f>IF($J436="","",IF(LEFT(INDEX(NKC!$G$7:$G$3006,$J436),LEN($B$5))=$B$5,INDEX(NKC!$H$7:$H$3006,$J436),""))</f>
        <v/>
      </c>
      <c r="H436" s="132">
        <f>IF($J436="","",H435+N(F436)-N(G436))</f>
        <v/>
      </c>
      <c r="J436" s="117">
        <f>IFERROR(MATCH(429,NKC!$P$7:$P$3006,0),"")</f>
        <v/>
      </c>
    </row>
    <row r="437" ht="15" customHeight="1" s="78">
      <c r="A437" s="131">
        <f>IF($J437="","",INDEX(NKC!$B$7:$B$3006,$J437))</f>
        <v/>
      </c>
      <c r="B437" s="95">
        <f>IF($J437="","",INDEX(NKC!$C$7:$C$3006,$J437))</f>
        <v/>
      </c>
      <c r="C437" s="131">
        <f>IF($J437="","",INDEX(NKC!$D$7:$D$3006,$J437))</f>
        <v/>
      </c>
      <c r="D437" s="97">
        <f>IF($J437="","",INDEX(NKC!$E$7:$E$3006,$J437))</f>
        <v/>
      </c>
      <c r="E437" s="95">
        <f>IF($J437="","",IF(LEFT(INDEX(NKC!$F$7:$F$3006,$J437),LEN($B$5))=$B$5,INDEX(NKC!$G$7:$G$3006,$J437),INDEX(NKC!$F$7:$F$3006,$J437)))</f>
        <v/>
      </c>
      <c r="F437" s="125">
        <f>IF($J437="","",IF(LEFT(INDEX(NKC!$F$7:$F$3006,$J437),LEN($B$5))=$B$5,INDEX(NKC!$H$7:$H$3006,$J437),""))</f>
        <v/>
      </c>
      <c r="G437" s="125">
        <f>IF($J437="","",IF(LEFT(INDEX(NKC!$G$7:$G$3006,$J437),LEN($B$5))=$B$5,INDEX(NKC!$H$7:$H$3006,$J437),""))</f>
        <v/>
      </c>
      <c r="H437" s="132">
        <f>IF($J437="","",H436+N(F437)-N(G437))</f>
        <v/>
      </c>
      <c r="J437" s="117">
        <f>IFERROR(MATCH(430,NKC!$P$7:$P$3006,0),"")</f>
        <v/>
      </c>
    </row>
    <row r="438" ht="15" customHeight="1" s="78">
      <c r="A438" s="131">
        <f>IF($J438="","",INDEX(NKC!$B$7:$B$3006,$J438))</f>
        <v/>
      </c>
      <c r="B438" s="95">
        <f>IF($J438="","",INDEX(NKC!$C$7:$C$3006,$J438))</f>
        <v/>
      </c>
      <c r="C438" s="131">
        <f>IF($J438="","",INDEX(NKC!$D$7:$D$3006,$J438))</f>
        <v/>
      </c>
      <c r="D438" s="97">
        <f>IF($J438="","",INDEX(NKC!$E$7:$E$3006,$J438))</f>
        <v/>
      </c>
      <c r="E438" s="95">
        <f>IF($J438="","",IF(LEFT(INDEX(NKC!$F$7:$F$3006,$J438),LEN($B$5))=$B$5,INDEX(NKC!$G$7:$G$3006,$J438),INDEX(NKC!$F$7:$F$3006,$J438)))</f>
        <v/>
      </c>
      <c r="F438" s="125">
        <f>IF($J438="","",IF(LEFT(INDEX(NKC!$F$7:$F$3006,$J438),LEN($B$5))=$B$5,INDEX(NKC!$H$7:$H$3006,$J438),""))</f>
        <v/>
      </c>
      <c r="G438" s="125">
        <f>IF($J438="","",IF(LEFT(INDEX(NKC!$G$7:$G$3006,$J438),LEN($B$5))=$B$5,INDEX(NKC!$H$7:$H$3006,$J438),""))</f>
        <v/>
      </c>
      <c r="H438" s="132">
        <f>IF($J438="","",H437+N(F438)-N(G438))</f>
        <v/>
      </c>
      <c r="J438" s="117">
        <f>IFERROR(MATCH(431,NKC!$P$7:$P$3006,0),"")</f>
        <v/>
      </c>
    </row>
    <row r="439" ht="15" customHeight="1" s="78">
      <c r="A439" s="131">
        <f>IF($J439="","",INDEX(NKC!$B$7:$B$3006,$J439))</f>
        <v/>
      </c>
      <c r="B439" s="95">
        <f>IF($J439="","",INDEX(NKC!$C$7:$C$3006,$J439))</f>
        <v/>
      </c>
      <c r="C439" s="131">
        <f>IF($J439="","",INDEX(NKC!$D$7:$D$3006,$J439))</f>
        <v/>
      </c>
      <c r="D439" s="97">
        <f>IF($J439="","",INDEX(NKC!$E$7:$E$3006,$J439))</f>
        <v/>
      </c>
      <c r="E439" s="95">
        <f>IF($J439="","",IF(LEFT(INDEX(NKC!$F$7:$F$3006,$J439),LEN($B$5))=$B$5,INDEX(NKC!$G$7:$G$3006,$J439),INDEX(NKC!$F$7:$F$3006,$J439)))</f>
        <v/>
      </c>
      <c r="F439" s="125">
        <f>IF($J439="","",IF(LEFT(INDEX(NKC!$F$7:$F$3006,$J439),LEN($B$5))=$B$5,INDEX(NKC!$H$7:$H$3006,$J439),""))</f>
        <v/>
      </c>
      <c r="G439" s="125">
        <f>IF($J439="","",IF(LEFT(INDEX(NKC!$G$7:$G$3006,$J439),LEN($B$5))=$B$5,INDEX(NKC!$H$7:$H$3006,$J439),""))</f>
        <v/>
      </c>
      <c r="H439" s="132">
        <f>IF($J439="","",H438+N(F439)-N(G439))</f>
        <v/>
      </c>
      <c r="J439" s="117">
        <f>IFERROR(MATCH(432,NKC!$P$7:$P$3006,0),"")</f>
        <v/>
      </c>
    </row>
    <row r="440" ht="15" customHeight="1" s="78">
      <c r="A440" s="131">
        <f>IF($J440="","",INDEX(NKC!$B$7:$B$3006,$J440))</f>
        <v/>
      </c>
      <c r="B440" s="95">
        <f>IF($J440="","",INDEX(NKC!$C$7:$C$3006,$J440))</f>
        <v/>
      </c>
      <c r="C440" s="131">
        <f>IF($J440="","",INDEX(NKC!$D$7:$D$3006,$J440))</f>
        <v/>
      </c>
      <c r="D440" s="97">
        <f>IF($J440="","",INDEX(NKC!$E$7:$E$3006,$J440))</f>
        <v/>
      </c>
      <c r="E440" s="95">
        <f>IF($J440="","",IF(LEFT(INDEX(NKC!$F$7:$F$3006,$J440),LEN($B$5))=$B$5,INDEX(NKC!$G$7:$G$3006,$J440),INDEX(NKC!$F$7:$F$3006,$J440)))</f>
        <v/>
      </c>
      <c r="F440" s="125">
        <f>IF($J440="","",IF(LEFT(INDEX(NKC!$F$7:$F$3006,$J440),LEN($B$5))=$B$5,INDEX(NKC!$H$7:$H$3006,$J440),""))</f>
        <v/>
      </c>
      <c r="G440" s="125">
        <f>IF($J440="","",IF(LEFT(INDEX(NKC!$G$7:$G$3006,$J440),LEN($B$5))=$B$5,INDEX(NKC!$H$7:$H$3006,$J440),""))</f>
        <v/>
      </c>
      <c r="H440" s="132">
        <f>IF($J440="","",H439+N(F440)-N(G440))</f>
        <v/>
      </c>
      <c r="J440" s="117">
        <f>IFERROR(MATCH(433,NKC!$P$7:$P$3006,0),"")</f>
        <v/>
      </c>
    </row>
    <row r="441" ht="15" customHeight="1" s="78">
      <c r="A441" s="131">
        <f>IF($J441="","",INDEX(NKC!$B$7:$B$3006,$J441))</f>
        <v/>
      </c>
      <c r="B441" s="95">
        <f>IF($J441="","",INDEX(NKC!$C$7:$C$3006,$J441))</f>
        <v/>
      </c>
      <c r="C441" s="131">
        <f>IF($J441="","",INDEX(NKC!$D$7:$D$3006,$J441))</f>
        <v/>
      </c>
      <c r="D441" s="97">
        <f>IF($J441="","",INDEX(NKC!$E$7:$E$3006,$J441))</f>
        <v/>
      </c>
      <c r="E441" s="95">
        <f>IF($J441="","",IF(LEFT(INDEX(NKC!$F$7:$F$3006,$J441),LEN($B$5))=$B$5,INDEX(NKC!$G$7:$G$3006,$J441),INDEX(NKC!$F$7:$F$3006,$J441)))</f>
        <v/>
      </c>
      <c r="F441" s="125">
        <f>IF($J441="","",IF(LEFT(INDEX(NKC!$F$7:$F$3006,$J441),LEN($B$5))=$B$5,INDEX(NKC!$H$7:$H$3006,$J441),""))</f>
        <v/>
      </c>
      <c r="G441" s="125">
        <f>IF($J441="","",IF(LEFT(INDEX(NKC!$G$7:$G$3006,$J441),LEN($B$5))=$B$5,INDEX(NKC!$H$7:$H$3006,$J441),""))</f>
        <v/>
      </c>
      <c r="H441" s="132">
        <f>IF($J441="","",H440+N(F441)-N(G441))</f>
        <v/>
      </c>
      <c r="J441" s="117">
        <f>IFERROR(MATCH(434,NKC!$P$7:$P$3006,0),"")</f>
        <v/>
      </c>
    </row>
    <row r="442" ht="15" customHeight="1" s="78">
      <c r="A442" s="131">
        <f>IF($J442="","",INDEX(NKC!$B$7:$B$3006,$J442))</f>
        <v/>
      </c>
      <c r="B442" s="95">
        <f>IF($J442="","",INDEX(NKC!$C$7:$C$3006,$J442))</f>
        <v/>
      </c>
      <c r="C442" s="131">
        <f>IF($J442="","",INDEX(NKC!$D$7:$D$3006,$J442))</f>
        <v/>
      </c>
      <c r="D442" s="97">
        <f>IF($J442="","",INDEX(NKC!$E$7:$E$3006,$J442))</f>
        <v/>
      </c>
      <c r="E442" s="95">
        <f>IF($J442="","",IF(LEFT(INDEX(NKC!$F$7:$F$3006,$J442),LEN($B$5))=$B$5,INDEX(NKC!$G$7:$G$3006,$J442),INDEX(NKC!$F$7:$F$3006,$J442)))</f>
        <v/>
      </c>
      <c r="F442" s="125">
        <f>IF($J442="","",IF(LEFT(INDEX(NKC!$F$7:$F$3006,$J442),LEN($B$5))=$B$5,INDEX(NKC!$H$7:$H$3006,$J442),""))</f>
        <v/>
      </c>
      <c r="G442" s="125">
        <f>IF($J442="","",IF(LEFT(INDEX(NKC!$G$7:$G$3006,$J442),LEN($B$5))=$B$5,INDEX(NKC!$H$7:$H$3006,$J442),""))</f>
        <v/>
      </c>
      <c r="H442" s="132">
        <f>IF($J442="","",H441+N(F442)-N(G442))</f>
        <v/>
      </c>
      <c r="J442" s="117">
        <f>IFERROR(MATCH(435,NKC!$P$7:$P$3006,0),"")</f>
        <v/>
      </c>
    </row>
    <row r="443" ht="15" customHeight="1" s="78">
      <c r="A443" s="131">
        <f>IF($J443="","",INDEX(NKC!$B$7:$B$3006,$J443))</f>
        <v/>
      </c>
      <c r="B443" s="95">
        <f>IF($J443="","",INDEX(NKC!$C$7:$C$3006,$J443))</f>
        <v/>
      </c>
      <c r="C443" s="131">
        <f>IF($J443="","",INDEX(NKC!$D$7:$D$3006,$J443))</f>
        <v/>
      </c>
      <c r="D443" s="97">
        <f>IF($J443="","",INDEX(NKC!$E$7:$E$3006,$J443))</f>
        <v/>
      </c>
      <c r="E443" s="95">
        <f>IF($J443="","",IF(LEFT(INDEX(NKC!$F$7:$F$3006,$J443),LEN($B$5))=$B$5,INDEX(NKC!$G$7:$G$3006,$J443),INDEX(NKC!$F$7:$F$3006,$J443)))</f>
        <v/>
      </c>
      <c r="F443" s="125">
        <f>IF($J443="","",IF(LEFT(INDEX(NKC!$F$7:$F$3006,$J443),LEN($B$5))=$B$5,INDEX(NKC!$H$7:$H$3006,$J443),""))</f>
        <v/>
      </c>
      <c r="G443" s="125">
        <f>IF($J443="","",IF(LEFT(INDEX(NKC!$G$7:$G$3006,$J443),LEN($B$5))=$B$5,INDEX(NKC!$H$7:$H$3006,$J443),""))</f>
        <v/>
      </c>
      <c r="H443" s="132">
        <f>IF($J443="","",H442+N(F443)-N(G443))</f>
        <v/>
      </c>
      <c r="J443" s="117">
        <f>IFERROR(MATCH(436,NKC!$P$7:$P$3006,0),"")</f>
        <v/>
      </c>
    </row>
    <row r="444" ht="15" customHeight="1" s="78">
      <c r="A444" s="131">
        <f>IF($J444="","",INDEX(NKC!$B$7:$B$3006,$J444))</f>
        <v/>
      </c>
      <c r="B444" s="95">
        <f>IF($J444="","",INDEX(NKC!$C$7:$C$3006,$J444))</f>
        <v/>
      </c>
      <c r="C444" s="131">
        <f>IF($J444="","",INDEX(NKC!$D$7:$D$3006,$J444))</f>
        <v/>
      </c>
      <c r="D444" s="97">
        <f>IF($J444="","",INDEX(NKC!$E$7:$E$3006,$J444))</f>
        <v/>
      </c>
      <c r="E444" s="95">
        <f>IF($J444="","",IF(LEFT(INDEX(NKC!$F$7:$F$3006,$J444),LEN($B$5))=$B$5,INDEX(NKC!$G$7:$G$3006,$J444),INDEX(NKC!$F$7:$F$3006,$J444)))</f>
        <v/>
      </c>
      <c r="F444" s="125">
        <f>IF($J444="","",IF(LEFT(INDEX(NKC!$F$7:$F$3006,$J444),LEN($B$5))=$B$5,INDEX(NKC!$H$7:$H$3006,$J444),""))</f>
        <v/>
      </c>
      <c r="G444" s="125">
        <f>IF($J444="","",IF(LEFT(INDEX(NKC!$G$7:$G$3006,$J444),LEN($B$5))=$B$5,INDEX(NKC!$H$7:$H$3006,$J444),""))</f>
        <v/>
      </c>
      <c r="H444" s="132">
        <f>IF($J444="","",H443+N(F444)-N(G444))</f>
        <v/>
      </c>
      <c r="J444" s="117">
        <f>IFERROR(MATCH(437,NKC!$P$7:$P$3006,0),"")</f>
        <v/>
      </c>
    </row>
    <row r="445" ht="15" customHeight="1" s="78">
      <c r="A445" s="131">
        <f>IF($J445="","",INDEX(NKC!$B$7:$B$3006,$J445))</f>
        <v/>
      </c>
      <c r="B445" s="95">
        <f>IF($J445="","",INDEX(NKC!$C$7:$C$3006,$J445))</f>
        <v/>
      </c>
      <c r="C445" s="131">
        <f>IF($J445="","",INDEX(NKC!$D$7:$D$3006,$J445))</f>
        <v/>
      </c>
      <c r="D445" s="97">
        <f>IF($J445="","",INDEX(NKC!$E$7:$E$3006,$J445))</f>
        <v/>
      </c>
      <c r="E445" s="95">
        <f>IF($J445="","",IF(LEFT(INDEX(NKC!$F$7:$F$3006,$J445),LEN($B$5))=$B$5,INDEX(NKC!$G$7:$G$3006,$J445),INDEX(NKC!$F$7:$F$3006,$J445)))</f>
        <v/>
      </c>
      <c r="F445" s="125">
        <f>IF($J445="","",IF(LEFT(INDEX(NKC!$F$7:$F$3006,$J445),LEN($B$5))=$B$5,INDEX(NKC!$H$7:$H$3006,$J445),""))</f>
        <v/>
      </c>
      <c r="G445" s="125">
        <f>IF($J445="","",IF(LEFT(INDEX(NKC!$G$7:$G$3006,$J445),LEN($B$5))=$B$5,INDEX(NKC!$H$7:$H$3006,$J445),""))</f>
        <v/>
      </c>
      <c r="H445" s="132">
        <f>IF($J445="","",H444+N(F445)-N(G445))</f>
        <v/>
      </c>
      <c r="J445" s="117">
        <f>IFERROR(MATCH(438,NKC!$P$7:$P$3006,0),"")</f>
        <v/>
      </c>
    </row>
    <row r="446" ht="15" customHeight="1" s="78">
      <c r="A446" s="131">
        <f>IF($J446="","",INDEX(NKC!$B$7:$B$3006,$J446))</f>
        <v/>
      </c>
      <c r="B446" s="95">
        <f>IF($J446="","",INDEX(NKC!$C$7:$C$3006,$J446))</f>
        <v/>
      </c>
      <c r="C446" s="131">
        <f>IF($J446="","",INDEX(NKC!$D$7:$D$3006,$J446))</f>
        <v/>
      </c>
      <c r="D446" s="97">
        <f>IF($J446="","",INDEX(NKC!$E$7:$E$3006,$J446))</f>
        <v/>
      </c>
      <c r="E446" s="95">
        <f>IF($J446="","",IF(LEFT(INDEX(NKC!$F$7:$F$3006,$J446),LEN($B$5))=$B$5,INDEX(NKC!$G$7:$G$3006,$J446),INDEX(NKC!$F$7:$F$3006,$J446)))</f>
        <v/>
      </c>
      <c r="F446" s="125">
        <f>IF($J446="","",IF(LEFT(INDEX(NKC!$F$7:$F$3006,$J446),LEN($B$5))=$B$5,INDEX(NKC!$H$7:$H$3006,$J446),""))</f>
        <v/>
      </c>
      <c r="G446" s="125">
        <f>IF($J446="","",IF(LEFT(INDEX(NKC!$G$7:$G$3006,$J446),LEN($B$5))=$B$5,INDEX(NKC!$H$7:$H$3006,$J446),""))</f>
        <v/>
      </c>
      <c r="H446" s="132">
        <f>IF($J446="","",H445+N(F446)-N(G446))</f>
        <v/>
      </c>
      <c r="J446" s="117">
        <f>IFERROR(MATCH(439,NKC!$P$7:$P$3006,0),"")</f>
        <v/>
      </c>
    </row>
    <row r="447" ht="15" customHeight="1" s="78">
      <c r="A447" s="131">
        <f>IF($J447="","",INDEX(NKC!$B$7:$B$3006,$J447))</f>
        <v/>
      </c>
      <c r="B447" s="95">
        <f>IF($J447="","",INDEX(NKC!$C$7:$C$3006,$J447))</f>
        <v/>
      </c>
      <c r="C447" s="131">
        <f>IF($J447="","",INDEX(NKC!$D$7:$D$3006,$J447))</f>
        <v/>
      </c>
      <c r="D447" s="97">
        <f>IF($J447="","",INDEX(NKC!$E$7:$E$3006,$J447))</f>
        <v/>
      </c>
      <c r="E447" s="95">
        <f>IF($J447="","",IF(LEFT(INDEX(NKC!$F$7:$F$3006,$J447),LEN($B$5))=$B$5,INDEX(NKC!$G$7:$G$3006,$J447),INDEX(NKC!$F$7:$F$3006,$J447)))</f>
        <v/>
      </c>
      <c r="F447" s="125">
        <f>IF($J447="","",IF(LEFT(INDEX(NKC!$F$7:$F$3006,$J447),LEN($B$5))=$B$5,INDEX(NKC!$H$7:$H$3006,$J447),""))</f>
        <v/>
      </c>
      <c r="G447" s="125">
        <f>IF($J447="","",IF(LEFT(INDEX(NKC!$G$7:$G$3006,$J447),LEN($B$5))=$B$5,INDEX(NKC!$H$7:$H$3006,$J447),""))</f>
        <v/>
      </c>
      <c r="H447" s="132">
        <f>IF($J447="","",H446+N(F447)-N(G447))</f>
        <v/>
      </c>
      <c r="J447" s="117">
        <f>IFERROR(MATCH(440,NKC!$P$7:$P$3006,0),"")</f>
        <v/>
      </c>
    </row>
    <row r="448" ht="15" customHeight="1" s="78">
      <c r="A448" s="131">
        <f>IF($J448="","",INDEX(NKC!$B$7:$B$3006,$J448))</f>
        <v/>
      </c>
      <c r="B448" s="95">
        <f>IF($J448="","",INDEX(NKC!$C$7:$C$3006,$J448))</f>
        <v/>
      </c>
      <c r="C448" s="131">
        <f>IF($J448="","",INDEX(NKC!$D$7:$D$3006,$J448))</f>
        <v/>
      </c>
      <c r="D448" s="97">
        <f>IF($J448="","",INDEX(NKC!$E$7:$E$3006,$J448))</f>
        <v/>
      </c>
      <c r="E448" s="95">
        <f>IF($J448="","",IF(LEFT(INDEX(NKC!$F$7:$F$3006,$J448),LEN($B$5))=$B$5,INDEX(NKC!$G$7:$G$3006,$J448),INDEX(NKC!$F$7:$F$3006,$J448)))</f>
        <v/>
      </c>
      <c r="F448" s="125">
        <f>IF($J448="","",IF(LEFT(INDEX(NKC!$F$7:$F$3006,$J448),LEN($B$5))=$B$5,INDEX(NKC!$H$7:$H$3006,$J448),""))</f>
        <v/>
      </c>
      <c r="G448" s="125">
        <f>IF($J448="","",IF(LEFT(INDEX(NKC!$G$7:$G$3006,$J448),LEN($B$5))=$B$5,INDEX(NKC!$H$7:$H$3006,$J448),""))</f>
        <v/>
      </c>
      <c r="H448" s="132">
        <f>IF($J448="","",H447+N(F448)-N(G448))</f>
        <v/>
      </c>
      <c r="J448" s="117">
        <f>IFERROR(MATCH(441,NKC!$P$7:$P$3006,0),"")</f>
        <v/>
      </c>
    </row>
    <row r="449" ht="15" customHeight="1" s="78">
      <c r="A449" s="131">
        <f>IF($J449="","",INDEX(NKC!$B$7:$B$3006,$J449))</f>
        <v/>
      </c>
      <c r="B449" s="95">
        <f>IF($J449="","",INDEX(NKC!$C$7:$C$3006,$J449))</f>
        <v/>
      </c>
      <c r="C449" s="131">
        <f>IF($J449="","",INDEX(NKC!$D$7:$D$3006,$J449))</f>
        <v/>
      </c>
      <c r="D449" s="97">
        <f>IF($J449="","",INDEX(NKC!$E$7:$E$3006,$J449))</f>
        <v/>
      </c>
      <c r="E449" s="95">
        <f>IF($J449="","",IF(LEFT(INDEX(NKC!$F$7:$F$3006,$J449),LEN($B$5))=$B$5,INDEX(NKC!$G$7:$G$3006,$J449),INDEX(NKC!$F$7:$F$3006,$J449)))</f>
        <v/>
      </c>
      <c r="F449" s="125">
        <f>IF($J449="","",IF(LEFT(INDEX(NKC!$F$7:$F$3006,$J449),LEN($B$5))=$B$5,INDEX(NKC!$H$7:$H$3006,$J449),""))</f>
        <v/>
      </c>
      <c r="G449" s="125">
        <f>IF($J449="","",IF(LEFT(INDEX(NKC!$G$7:$G$3006,$J449),LEN($B$5))=$B$5,INDEX(NKC!$H$7:$H$3006,$J449),""))</f>
        <v/>
      </c>
      <c r="H449" s="132">
        <f>IF($J449="","",H448+N(F449)-N(G449))</f>
        <v/>
      </c>
      <c r="J449" s="117">
        <f>IFERROR(MATCH(442,NKC!$P$7:$P$3006,0),"")</f>
        <v/>
      </c>
    </row>
    <row r="450" ht="15" customHeight="1" s="78">
      <c r="A450" s="131">
        <f>IF($J450="","",INDEX(NKC!$B$7:$B$3006,$J450))</f>
        <v/>
      </c>
      <c r="B450" s="95">
        <f>IF($J450="","",INDEX(NKC!$C$7:$C$3006,$J450))</f>
        <v/>
      </c>
      <c r="C450" s="131">
        <f>IF($J450="","",INDEX(NKC!$D$7:$D$3006,$J450))</f>
        <v/>
      </c>
      <c r="D450" s="97">
        <f>IF($J450="","",INDEX(NKC!$E$7:$E$3006,$J450))</f>
        <v/>
      </c>
      <c r="E450" s="95">
        <f>IF($J450="","",IF(LEFT(INDEX(NKC!$F$7:$F$3006,$J450),LEN($B$5))=$B$5,INDEX(NKC!$G$7:$G$3006,$J450),INDEX(NKC!$F$7:$F$3006,$J450)))</f>
        <v/>
      </c>
      <c r="F450" s="125">
        <f>IF($J450="","",IF(LEFT(INDEX(NKC!$F$7:$F$3006,$J450),LEN($B$5))=$B$5,INDEX(NKC!$H$7:$H$3006,$J450),""))</f>
        <v/>
      </c>
      <c r="G450" s="125">
        <f>IF($J450="","",IF(LEFT(INDEX(NKC!$G$7:$G$3006,$J450),LEN($B$5))=$B$5,INDEX(NKC!$H$7:$H$3006,$J450),""))</f>
        <v/>
      </c>
      <c r="H450" s="132">
        <f>IF($J450="","",H449+N(F450)-N(G450))</f>
        <v/>
      </c>
      <c r="J450" s="117">
        <f>IFERROR(MATCH(443,NKC!$P$7:$P$3006,0),"")</f>
        <v/>
      </c>
    </row>
    <row r="451" ht="15" customHeight="1" s="78">
      <c r="A451" s="131">
        <f>IF($J451="","",INDEX(NKC!$B$7:$B$3006,$J451))</f>
        <v/>
      </c>
      <c r="B451" s="95">
        <f>IF($J451="","",INDEX(NKC!$C$7:$C$3006,$J451))</f>
        <v/>
      </c>
      <c r="C451" s="131">
        <f>IF($J451="","",INDEX(NKC!$D$7:$D$3006,$J451))</f>
        <v/>
      </c>
      <c r="D451" s="97">
        <f>IF($J451="","",INDEX(NKC!$E$7:$E$3006,$J451))</f>
        <v/>
      </c>
      <c r="E451" s="95">
        <f>IF($J451="","",IF(LEFT(INDEX(NKC!$F$7:$F$3006,$J451),LEN($B$5))=$B$5,INDEX(NKC!$G$7:$G$3006,$J451),INDEX(NKC!$F$7:$F$3006,$J451)))</f>
        <v/>
      </c>
      <c r="F451" s="125">
        <f>IF($J451="","",IF(LEFT(INDEX(NKC!$F$7:$F$3006,$J451),LEN($B$5))=$B$5,INDEX(NKC!$H$7:$H$3006,$J451),""))</f>
        <v/>
      </c>
      <c r="G451" s="125">
        <f>IF($J451="","",IF(LEFT(INDEX(NKC!$G$7:$G$3006,$J451),LEN($B$5))=$B$5,INDEX(NKC!$H$7:$H$3006,$J451),""))</f>
        <v/>
      </c>
      <c r="H451" s="132">
        <f>IF($J451="","",H450+N(F451)-N(G451))</f>
        <v/>
      </c>
      <c r="J451" s="117">
        <f>IFERROR(MATCH(444,NKC!$P$7:$P$3006,0),"")</f>
        <v/>
      </c>
    </row>
    <row r="452" ht="15" customHeight="1" s="78">
      <c r="A452" s="131">
        <f>IF($J452="","",INDEX(NKC!$B$7:$B$3006,$J452))</f>
        <v/>
      </c>
      <c r="B452" s="95">
        <f>IF($J452="","",INDEX(NKC!$C$7:$C$3006,$J452))</f>
        <v/>
      </c>
      <c r="C452" s="131">
        <f>IF($J452="","",INDEX(NKC!$D$7:$D$3006,$J452))</f>
        <v/>
      </c>
      <c r="D452" s="97">
        <f>IF($J452="","",INDEX(NKC!$E$7:$E$3006,$J452))</f>
        <v/>
      </c>
      <c r="E452" s="95">
        <f>IF($J452="","",IF(LEFT(INDEX(NKC!$F$7:$F$3006,$J452),LEN($B$5))=$B$5,INDEX(NKC!$G$7:$G$3006,$J452),INDEX(NKC!$F$7:$F$3006,$J452)))</f>
        <v/>
      </c>
      <c r="F452" s="125">
        <f>IF($J452="","",IF(LEFT(INDEX(NKC!$F$7:$F$3006,$J452),LEN($B$5))=$B$5,INDEX(NKC!$H$7:$H$3006,$J452),""))</f>
        <v/>
      </c>
      <c r="G452" s="125">
        <f>IF($J452="","",IF(LEFT(INDEX(NKC!$G$7:$G$3006,$J452),LEN($B$5))=$B$5,INDEX(NKC!$H$7:$H$3006,$J452),""))</f>
        <v/>
      </c>
      <c r="H452" s="132">
        <f>IF($J452="","",H451+N(F452)-N(G452))</f>
        <v/>
      </c>
      <c r="J452" s="117">
        <f>IFERROR(MATCH(445,NKC!$P$7:$P$3006,0),"")</f>
        <v/>
      </c>
    </row>
    <row r="453" ht="15" customHeight="1" s="78">
      <c r="A453" s="131">
        <f>IF($J453="","",INDEX(NKC!$B$7:$B$3006,$J453))</f>
        <v/>
      </c>
      <c r="B453" s="95">
        <f>IF($J453="","",INDEX(NKC!$C$7:$C$3006,$J453))</f>
        <v/>
      </c>
      <c r="C453" s="131">
        <f>IF($J453="","",INDEX(NKC!$D$7:$D$3006,$J453))</f>
        <v/>
      </c>
      <c r="D453" s="97">
        <f>IF($J453="","",INDEX(NKC!$E$7:$E$3006,$J453))</f>
        <v/>
      </c>
      <c r="E453" s="95">
        <f>IF($J453="","",IF(LEFT(INDEX(NKC!$F$7:$F$3006,$J453),LEN($B$5))=$B$5,INDEX(NKC!$G$7:$G$3006,$J453),INDEX(NKC!$F$7:$F$3006,$J453)))</f>
        <v/>
      </c>
      <c r="F453" s="125">
        <f>IF($J453="","",IF(LEFT(INDEX(NKC!$F$7:$F$3006,$J453),LEN($B$5))=$B$5,INDEX(NKC!$H$7:$H$3006,$J453),""))</f>
        <v/>
      </c>
      <c r="G453" s="125">
        <f>IF($J453="","",IF(LEFT(INDEX(NKC!$G$7:$G$3006,$J453),LEN($B$5))=$B$5,INDEX(NKC!$H$7:$H$3006,$J453),""))</f>
        <v/>
      </c>
      <c r="H453" s="132">
        <f>IF($J453="","",H452+N(F453)-N(G453))</f>
        <v/>
      </c>
      <c r="J453" s="117">
        <f>IFERROR(MATCH(446,NKC!$P$7:$P$3006,0),"")</f>
        <v/>
      </c>
    </row>
    <row r="454" ht="15" customHeight="1" s="78">
      <c r="A454" s="131">
        <f>IF($J454="","",INDEX(NKC!$B$7:$B$3006,$J454))</f>
        <v/>
      </c>
      <c r="B454" s="95">
        <f>IF($J454="","",INDEX(NKC!$C$7:$C$3006,$J454))</f>
        <v/>
      </c>
      <c r="C454" s="131">
        <f>IF($J454="","",INDEX(NKC!$D$7:$D$3006,$J454))</f>
        <v/>
      </c>
      <c r="D454" s="97">
        <f>IF($J454="","",INDEX(NKC!$E$7:$E$3006,$J454))</f>
        <v/>
      </c>
      <c r="E454" s="95">
        <f>IF($J454="","",IF(LEFT(INDEX(NKC!$F$7:$F$3006,$J454),LEN($B$5))=$B$5,INDEX(NKC!$G$7:$G$3006,$J454),INDEX(NKC!$F$7:$F$3006,$J454)))</f>
        <v/>
      </c>
      <c r="F454" s="125">
        <f>IF($J454="","",IF(LEFT(INDEX(NKC!$F$7:$F$3006,$J454),LEN($B$5))=$B$5,INDEX(NKC!$H$7:$H$3006,$J454),""))</f>
        <v/>
      </c>
      <c r="G454" s="125">
        <f>IF($J454="","",IF(LEFT(INDEX(NKC!$G$7:$G$3006,$J454),LEN($B$5))=$B$5,INDEX(NKC!$H$7:$H$3006,$J454),""))</f>
        <v/>
      </c>
      <c r="H454" s="132">
        <f>IF($J454="","",H453+N(F454)-N(G454))</f>
        <v/>
      </c>
      <c r="J454" s="117">
        <f>IFERROR(MATCH(447,NKC!$P$7:$P$3006,0),"")</f>
        <v/>
      </c>
    </row>
    <row r="455" ht="15" customHeight="1" s="78">
      <c r="A455" s="131">
        <f>IF($J455="","",INDEX(NKC!$B$7:$B$3006,$J455))</f>
        <v/>
      </c>
      <c r="B455" s="95">
        <f>IF($J455="","",INDEX(NKC!$C$7:$C$3006,$J455))</f>
        <v/>
      </c>
      <c r="C455" s="131">
        <f>IF($J455="","",INDEX(NKC!$D$7:$D$3006,$J455))</f>
        <v/>
      </c>
      <c r="D455" s="97">
        <f>IF($J455="","",INDEX(NKC!$E$7:$E$3006,$J455))</f>
        <v/>
      </c>
      <c r="E455" s="95">
        <f>IF($J455="","",IF(LEFT(INDEX(NKC!$F$7:$F$3006,$J455),LEN($B$5))=$B$5,INDEX(NKC!$G$7:$G$3006,$J455),INDEX(NKC!$F$7:$F$3006,$J455)))</f>
        <v/>
      </c>
      <c r="F455" s="125">
        <f>IF($J455="","",IF(LEFT(INDEX(NKC!$F$7:$F$3006,$J455),LEN($B$5))=$B$5,INDEX(NKC!$H$7:$H$3006,$J455),""))</f>
        <v/>
      </c>
      <c r="G455" s="125">
        <f>IF($J455="","",IF(LEFT(INDEX(NKC!$G$7:$G$3006,$J455),LEN($B$5))=$B$5,INDEX(NKC!$H$7:$H$3006,$J455),""))</f>
        <v/>
      </c>
      <c r="H455" s="132">
        <f>IF($J455="","",H454+N(F455)-N(G455))</f>
        <v/>
      </c>
      <c r="J455" s="117">
        <f>IFERROR(MATCH(448,NKC!$P$7:$P$3006,0),"")</f>
        <v/>
      </c>
    </row>
    <row r="456" ht="15" customHeight="1" s="78">
      <c r="A456" s="131">
        <f>IF($J456="","",INDEX(NKC!$B$7:$B$3006,$J456))</f>
        <v/>
      </c>
      <c r="B456" s="95">
        <f>IF($J456="","",INDEX(NKC!$C$7:$C$3006,$J456))</f>
        <v/>
      </c>
      <c r="C456" s="131">
        <f>IF($J456="","",INDEX(NKC!$D$7:$D$3006,$J456))</f>
        <v/>
      </c>
      <c r="D456" s="97">
        <f>IF($J456="","",INDEX(NKC!$E$7:$E$3006,$J456))</f>
        <v/>
      </c>
      <c r="E456" s="95">
        <f>IF($J456="","",IF(LEFT(INDEX(NKC!$F$7:$F$3006,$J456),LEN($B$5))=$B$5,INDEX(NKC!$G$7:$G$3006,$J456),INDEX(NKC!$F$7:$F$3006,$J456)))</f>
        <v/>
      </c>
      <c r="F456" s="125">
        <f>IF($J456="","",IF(LEFT(INDEX(NKC!$F$7:$F$3006,$J456),LEN($B$5))=$B$5,INDEX(NKC!$H$7:$H$3006,$J456),""))</f>
        <v/>
      </c>
      <c r="G456" s="125">
        <f>IF($J456="","",IF(LEFT(INDEX(NKC!$G$7:$G$3006,$J456),LEN($B$5))=$B$5,INDEX(NKC!$H$7:$H$3006,$J456),""))</f>
        <v/>
      </c>
      <c r="H456" s="132">
        <f>IF($J456="","",H455+N(F456)-N(G456))</f>
        <v/>
      </c>
      <c r="J456" s="117">
        <f>IFERROR(MATCH(449,NKC!$P$7:$P$3006,0),"")</f>
        <v/>
      </c>
    </row>
    <row r="457" ht="15" customHeight="1" s="78">
      <c r="A457" s="131">
        <f>IF($J457="","",INDEX(NKC!$B$7:$B$3006,$J457))</f>
        <v/>
      </c>
      <c r="B457" s="95">
        <f>IF($J457="","",INDEX(NKC!$C$7:$C$3006,$J457))</f>
        <v/>
      </c>
      <c r="C457" s="131">
        <f>IF($J457="","",INDEX(NKC!$D$7:$D$3006,$J457))</f>
        <v/>
      </c>
      <c r="D457" s="97">
        <f>IF($J457="","",INDEX(NKC!$E$7:$E$3006,$J457))</f>
        <v/>
      </c>
      <c r="E457" s="95">
        <f>IF($J457="","",IF(LEFT(INDEX(NKC!$F$7:$F$3006,$J457),LEN($B$5))=$B$5,INDEX(NKC!$G$7:$G$3006,$J457),INDEX(NKC!$F$7:$F$3006,$J457)))</f>
        <v/>
      </c>
      <c r="F457" s="125">
        <f>IF($J457="","",IF(LEFT(INDEX(NKC!$F$7:$F$3006,$J457),LEN($B$5))=$B$5,INDEX(NKC!$H$7:$H$3006,$J457),""))</f>
        <v/>
      </c>
      <c r="G457" s="125">
        <f>IF($J457="","",IF(LEFT(INDEX(NKC!$G$7:$G$3006,$J457),LEN($B$5))=$B$5,INDEX(NKC!$H$7:$H$3006,$J457),""))</f>
        <v/>
      </c>
      <c r="H457" s="132">
        <f>IF($J457="","",H456+N(F457)-N(G457))</f>
        <v/>
      </c>
      <c r="J457" s="117">
        <f>IFERROR(MATCH(450,NKC!$P$7:$P$3006,0),"")</f>
        <v/>
      </c>
    </row>
    <row r="458" ht="15" customHeight="1" s="78">
      <c r="A458" s="131">
        <f>IF($J458="","",INDEX(NKC!$B$7:$B$3006,$J458))</f>
        <v/>
      </c>
      <c r="B458" s="95">
        <f>IF($J458="","",INDEX(NKC!$C$7:$C$3006,$J458))</f>
        <v/>
      </c>
      <c r="C458" s="131">
        <f>IF($J458="","",INDEX(NKC!$D$7:$D$3006,$J458))</f>
        <v/>
      </c>
      <c r="D458" s="97">
        <f>IF($J458="","",INDEX(NKC!$E$7:$E$3006,$J458))</f>
        <v/>
      </c>
      <c r="E458" s="95">
        <f>IF($J458="","",IF(LEFT(INDEX(NKC!$F$7:$F$3006,$J458),LEN($B$5))=$B$5,INDEX(NKC!$G$7:$G$3006,$J458),INDEX(NKC!$F$7:$F$3006,$J458)))</f>
        <v/>
      </c>
      <c r="F458" s="125">
        <f>IF($J458="","",IF(LEFT(INDEX(NKC!$F$7:$F$3006,$J458),LEN($B$5))=$B$5,INDEX(NKC!$H$7:$H$3006,$J458),""))</f>
        <v/>
      </c>
      <c r="G458" s="125">
        <f>IF($J458="","",IF(LEFT(INDEX(NKC!$G$7:$G$3006,$J458),LEN($B$5))=$B$5,INDEX(NKC!$H$7:$H$3006,$J458),""))</f>
        <v/>
      </c>
      <c r="H458" s="132">
        <f>IF($J458="","",H457+N(F458)-N(G458))</f>
        <v/>
      </c>
      <c r="J458" s="117">
        <f>IFERROR(MATCH(451,NKC!$P$7:$P$3006,0),"")</f>
        <v/>
      </c>
    </row>
    <row r="459" ht="15" customHeight="1" s="78">
      <c r="A459" s="131">
        <f>IF($J459="","",INDEX(NKC!$B$7:$B$3006,$J459))</f>
        <v/>
      </c>
      <c r="B459" s="95">
        <f>IF($J459="","",INDEX(NKC!$C$7:$C$3006,$J459))</f>
        <v/>
      </c>
      <c r="C459" s="131">
        <f>IF($J459="","",INDEX(NKC!$D$7:$D$3006,$J459))</f>
        <v/>
      </c>
      <c r="D459" s="97">
        <f>IF($J459="","",INDEX(NKC!$E$7:$E$3006,$J459))</f>
        <v/>
      </c>
      <c r="E459" s="95">
        <f>IF($J459="","",IF(LEFT(INDEX(NKC!$F$7:$F$3006,$J459),LEN($B$5))=$B$5,INDEX(NKC!$G$7:$G$3006,$J459),INDEX(NKC!$F$7:$F$3006,$J459)))</f>
        <v/>
      </c>
      <c r="F459" s="125">
        <f>IF($J459="","",IF(LEFT(INDEX(NKC!$F$7:$F$3006,$J459),LEN($B$5))=$B$5,INDEX(NKC!$H$7:$H$3006,$J459),""))</f>
        <v/>
      </c>
      <c r="G459" s="125">
        <f>IF($J459="","",IF(LEFT(INDEX(NKC!$G$7:$G$3006,$J459),LEN($B$5))=$B$5,INDEX(NKC!$H$7:$H$3006,$J459),""))</f>
        <v/>
      </c>
      <c r="H459" s="132">
        <f>IF($J459="","",H458+N(F459)-N(G459))</f>
        <v/>
      </c>
      <c r="J459" s="117">
        <f>IFERROR(MATCH(452,NKC!$P$7:$P$3006,0),"")</f>
        <v/>
      </c>
    </row>
    <row r="460" ht="15" customHeight="1" s="78">
      <c r="A460" s="131">
        <f>IF($J460="","",INDEX(NKC!$B$7:$B$3006,$J460))</f>
        <v/>
      </c>
      <c r="B460" s="95">
        <f>IF($J460="","",INDEX(NKC!$C$7:$C$3006,$J460))</f>
        <v/>
      </c>
      <c r="C460" s="131">
        <f>IF($J460="","",INDEX(NKC!$D$7:$D$3006,$J460))</f>
        <v/>
      </c>
      <c r="D460" s="97">
        <f>IF($J460="","",INDEX(NKC!$E$7:$E$3006,$J460))</f>
        <v/>
      </c>
      <c r="E460" s="95">
        <f>IF($J460="","",IF(LEFT(INDEX(NKC!$F$7:$F$3006,$J460),LEN($B$5))=$B$5,INDEX(NKC!$G$7:$G$3006,$J460),INDEX(NKC!$F$7:$F$3006,$J460)))</f>
        <v/>
      </c>
      <c r="F460" s="125">
        <f>IF($J460="","",IF(LEFT(INDEX(NKC!$F$7:$F$3006,$J460),LEN($B$5))=$B$5,INDEX(NKC!$H$7:$H$3006,$J460),""))</f>
        <v/>
      </c>
      <c r="G460" s="125">
        <f>IF($J460="","",IF(LEFT(INDEX(NKC!$G$7:$G$3006,$J460),LEN($B$5))=$B$5,INDEX(NKC!$H$7:$H$3006,$J460),""))</f>
        <v/>
      </c>
      <c r="H460" s="132">
        <f>IF($J460="","",H459+N(F460)-N(G460))</f>
        <v/>
      </c>
      <c r="J460" s="117">
        <f>IFERROR(MATCH(453,NKC!$P$7:$P$3006,0),"")</f>
        <v/>
      </c>
    </row>
    <row r="461" ht="15" customHeight="1" s="78">
      <c r="A461" s="131">
        <f>IF($J461="","",INDEX(NKC!$B$7:$B$3006,$J461))</f>
        <v/>
      </c>
      <c r="B461" s="95">
        <f>IF($J461="","",INDEX(NKC!$C$7:$C$3006,$J461))</f>
        <v/>
      </c>
      <c r="C461" s="131">
        <f>IF($J461="","",INDEX(NKC!$D$7:$D$3006,$J461))</f>
        <v/>
      </c>
      <c r="D461" s="97">
        <f>IF($J461="","",INDEX(NKC!$E$7:$E$3006,$J461))</f>
        <v/>
      </c>
      <c r="E461" s="95">
        <f>IF($J461="","",IF(LEFT(INDEX(NKC!$F$7:$F$3006,$J461),LEN($B$5))=$B$5,INDEX(NKC!$G$7:$G$3006,$J461),INDEX(NKC!$F$7:$F$3006,$J461)))</f>
        <v/>
      </c>
      <c r="F461" s="125">
        <f>IF($J461="","",IF(LEFT(INDEX(NKC!$F$7:$F$3006,$J461),LEN($B$5))=$B$5,INDEX(NKC!$H$7:$H$3006,$J461),""))</f>
        <v/>
      </c>
      <c r="G461" s="125">
        <f>IF($J461="","",IF(LEFT(INDEX(NKC!$G$7:$G$3006,$J461),LEN($B$5))=$B$5,INDEX(NKC!$H$7:$H$3006,$J461),""))</f>
        <v/>
      </c>
      <c r="H461" s="132">
        <f>IF($J461="","",H460+N(F461)-N(G461))</f>
        <v/>
      </c>
      <c r="J461" s="117">
        <f>IFERROR(MATCH(454,NKC!$P$7:$P$3006,0),"")</f>
        <v/>
      </c>
    </row>
    <row r="462" ht="15" customHeight="1" s="78">
      <c r="A462" s="131">
        <f>IF($J462="","",INDEX(NKC!$B$7:$B$3006,$J462))</f>
        <v/>
      </c>
      <c r="B462" s="95">
        <f>IF($J462="","",INDEX(NKC!$C$7:$C$3006,$J462))</f>
        <v/>
      </c>
      <c r="C462" s="131">
        <f>IF($J462="","",INDEX(NKC!$D$7:$D$3006,$J462))</f>
        <v/>
      </c>
      <c r="D462" s="97">
        <f>IF($J462="","",INDEX(NKC!$E$7:$E$3006,$J462))</f>
        <v/>
      </c>
      <c r="E462" s="95">
        <f>IF($J462="","",IF(LEFT(INDEX(NKC!$F$7:$F$3006,$J462),LEN($B$5))=$B$5,INDEX(NKC!$G$7:$G$3006,$J462),INDEX(NKC!$F$7:$F$3006,$J462)))</f>
        <v/>
      </c>
      <c r="F462" s="125">
        <f>IF($J462="","",IF(LEFT(INDEX(NKC!$F$7:$F$3006,$J462),LEN($B$5))=$B$5,INDEX(NKC!$H$7:$H$3006,$J462),""))</f>
        <v/>
      </c>
      <c r="G462" s="125">
        <f>IF($J462="","",IF(LEFT(INDEX(NKC!$G$7:$G$3006,$J462),LEN($B$5))=$B$5,INDEX(NKC!$H$7:$H$3006,$J462),""))</f>
        <v/>
      </c>
      <c r="H462" s="132">
        <f>IF($J462="","",H461+N(F462)-N(G462))</f>
        <v/>
      </c>
      <c r="J462" s="117">
        <f>IFERROR(MATCH(455,NKC!$P$7:$P$3006,0),"")</f>
        <v/>
      </c>
    </row>
    <row r="463" ht="15" customHeight="1" s="78">
      <c r="A463" s="131">
        <f>IF($J463="","",INDEX(NKC!$B$7:$B$3006,$J463))</f>
        <v/>
      </c>
      <c r="B463" s="95">
        <f>IF($J463="","",INDEX(NKC!$C$7:$C$3006,$J463))</f>
        <v/>
      </c>
      <c r="C463" s="131">
        <f>IF($J463="","",INDEX(NKC!$D$7:$D$3006,$J463))</f>
        <v/>
      </c>
      <c r="D463" s="97">
        <f>IF($J463="","",INDEX(NKC!$E$7:$E$3006,$J463))</f>
        <v/>
      </c>
      <c r="E463" s="95">
        <f>IF($J463="","",IF(LEFT(INDEX(NKC!$F$7:$F$3006,$J463),LEN($B$5))=$B$5,INDEX(NKC!$G$7:$G$3006,$J463),INDEX(NKC!$F$7:$F$3006,$J463)))</f>
        <v/>
      </c>
      <c r="F463" s="125">
        <f>IF($J463="","",IF(LEFT(INDEX(NKC!$F$7:$F$3006,$J463),LEN($B$5))=$B$5,INDEX(NKC!$H$7:$H$3006,$J463),""))</f>
        <v/>
      </c>
      <c r="G463" s="125">
        <f>IF($J463="","",IF(LEFT(INDEX(NKC!$G$7:$G$3006,$J463),LEN($B$5))=$B$5,INDEX(NKC!$H$7:$H$3006,$J463),""))</f>
        <v/>
      </c>
      <c r="H463" s="132">
        <f>IF($J463="","",H462+N(F463)-N(G463))</f>
        <v/>
      </c>
      <c r="J463" s="117">
        <f>IFERROR(MATCH(456,NKC!$P$7:$P$3006,0),"")</f>
        <v/>
      </c>
    </row>
    <row r="464" ht="15" customHeight="1" s="78">
      <c r="A464" s="131">
        <f>IF($J464="","",INDEX(NKC!$B$7:$B$3006,$J464))</f>
        <v/>
      </c>
      <c r="B464" s="95">
        <f>IF($J464="","",INDEX(NKC!$C$7:$C$3006,$J464))</f>
        <v/>
      </c>
      <c r="C464" s="131">
        <f>IF($J464="","",INDEX(NKC!$D$7:$D$3006,$J464))</f>
        <v/>
      </c>
      <c r="D464" s="97">
        <f>IF($J464="","",INDEX(NKC!$E$7:$E$3006,$J464))</f>
        <v/>
      </c>
      <c r="E464" s="95">
        <f>IF($J464="","",IF(LEFT(INDEX(NKC!$F$7:$F$3006,$J464),LEN($B$5))=$B$5,INDEX(NKC!$G$7:$G$3006,$J464),INDEX(NKC!$F$7:$F$3006,$J464)))</f>
        <v/>
      </c>
      <c r="F464" s="125">
        <f>IF($J464="","",IF(LEFT(INDEX(NKC!$F$7:$F$3006,$J464),LEN($B$5))=$B$5,INDEX(NKC!$H$7:$H$3006,$J464),""))</f>
        <v/>
      </c>
      <c r="G464" s="125">
        <f>IF($J464="","",IF(LEFT(INDEX(NKC!$G$7:$G$3006,$J464),LEN($B$5))=$B$5,INDEX(NKC!$H$7:$H$3006,$J464),""))</f>
        <v/>
      </c>
      <c r="H464" s="132">
        <f>IF($J464="","",H463+N(F464)-N(G464))</f>
        <v/>
      </c>
      <c r="J464" s="117">
        <f>IFERROR(MATCH(457,NKC!$P$7:$P$3006,0),"")</f>
        <v/>
      </c>
    </row>
    <row r="465" ht="15" customHeight="1" s="78">
      <c r="A465" s="131">
        <f>IF($J465="","",INDEX(NKC!$B$7:$B$3006,$J465))</f>
        <v/>
      </c>
      <c r="B465" s="95">
        <f>IF($J465="","",INDEX(NKC!$C$7:$C$3006,$J465))</f>
        <v/>
      </c>
      <c r="C465" s="131">
        <f>IF($J465="","",INDEX(NKC!$D$7:$D$3006,$J465))</f>
        <v/>
      </c>
      <c r="D465" s="97">
        <f>IF($J465="","",INDEX(NKC!$E$7:$E$3006,$J465))</f>
        <v/>
      </c>
      <c r="E465" s="95">
        <f>IF($J465="","",IF(LEFT(INDEX(NKC!$F$7:$F$3006,$J465),LEN($B$5))=$B$5,INDEX(NKC!$G$7:$G$3006,$J465),INDEX(NKC!$F$7:$F$3006,$J465)))</f>
        <v/>
      </c>
      <c r="F465" s="125">
        <f>IF($J465="","",IF(LEFT(INDEX(NKC!$F$7:$F$3006,$J465),LEN($B$5))=$B$5,INDEX(NKC!$H$7:$H$3006,$J465),""))</f>
        <v/>
      </c>
      <c r="G465" s="125">
        <f>IF($J465="","",IF(LEFT(INDEX(NKC!$G$7:$G$3006,$J465),LEN($B$5))=$B$5,INDEX(NKC!$H$7:$H$3006,$J465),""))</f>
        <v/>
      </c>
      <c r="H465" s="132">
        <f>IF($J465="","",H464+N(F465)-N(G465))</f>
        <v/>
      </c>
      <c r="J465" s="117">
        <f>IFERROR(MATCH(458,NKC!$P$7:$P$3006,0),"")</f>
        <v/>
      </c>
    </row>
    <row r="466" ht="15" customHeight="1" s="78">
      <c r="A466" s="131">
        <f>IF($J466="","",INDEX(NKC!$B$7:$B$3006,$J466))</f>
        <v/>
      </c>
      <c r="B466" s="95">
        <f>IF($J466="","",INDEX(NKC!$C$7:$C$3006,$J466))</f>
        <v/>
      </c>
      <c r="C466" s="131">
        <f>IF($J466="","",INDEX(NKC!$D$7:$D$3006,$J466))</f>
        <v/>
      </c>
      <c r="D466" s="97">
        <f>IF($J466="","",INDEX(NKC!$E$7:$E$3006,$J466))</f>
        <v/>
      </c>
      <c r="E466" s="95">
        <f>IF($J466="","",IF(LEFT(INDEX(NKC!$F$7:$F$3006,$J466),LEN($B$5))=$B$5,INDEX(NKC!$G$7:$G$3006,$J466),INDEX(NKC!$F$7:$F$3006,$J466)))</f>
        <v/>
      </c>
      <c r="F466" s="125">
        <f>IF($J466="","",IF(LEFT(INDEX(NKC!$F$7:$F$3006,$J466),LEN($B$5))=$B$5,INDEX(NKC!$H$7:$H$3006,$J466),""))</f>
        <v/>
      </c>
      <c r="G466" s="125">
        <f>IF($J466="","",IF(LEFT(INDEX(NKC!$G$7:$G$3006,$J466),LEN($B$5))=$B$5,INDEX(NKC!$H$7:$H$3006,$J466),""))</f>
        <v/>
      </c>
      <c r="H466" s="132">
        <f>IF($J466="","",H465+N(F466)-N(G466))</f>
        <v/>
      </c>
      <c r="J466" s="117">
        <f>IFERROR(MATCH(459,NKC!$P$7:$P$3006,0),"")</f>
        <v/>
      </c>
    </row>
    <row r="467" ht="15" customHeight="1" s="78">
      <c r="A467" s="131">
        <f>IF($J467="","",INDEX(NKC!$B$7:$B$3006,$J467))</f>
        <v/>
      </c>
      <c r="B467" s="95">
        <f>IF($J467="","",INDEX(NKC!$C$7:$C$3006,$J467))</f>
        <v/>
      </c>
      <c r="C467" s="131">
        <f>IF($J467="","",INDEX(NKC!$D$7:$D$3006,$J467))</f>
        <v/>
      </c>
      <c r="D467" s="97">
        <f>IF($J467="","",INDEX(NKC!$E$7:$E$3006,$J467))</f>
        <v/>
      </c>
      <c r="E467" s="95">
        <f>IF($J467="","",IF(LEFT(INDEX(NKC!$F$7:$F$3006,$J467),LEN($B$5))=$B$5,INDEX(NKC!$G$7:$G$3006,$J467),INDEX(NKC!$F$7:$F$3006,$J467)))</f>
        <v/>
      </c>
      <c r="F467" s="125">
        <f>IF($J467="","",IF(LEFT(INDEX(NKC!$F$7:$F$3006,$J467),LEN($B$5))=$B$5,INDEX(NKC!$H$7:$H$3006,$J467),""))</f>
        <v/>
      </c>
      <c r="G467" s="125">
        <f>IF($J467="","",IF(LEFT(INDEX(NKC!$G$7:$G$3006,$J467),LEN($B$5))=$B$5,INDEX(NKC!$H$7:$H$3006,$J467),""))</f>
        <v/>
      </c>
      <c r="H467" s="132">
        <f>IF($J467="","",H466+N(F467)-N(G467))</f>
        <v/>
      </c>
      <c r="J467" s="117">
        <f>IFERROR(MATCH(460,NKC!$P$7:$P$3006,0),"")</f>
        <v/>
      </c>
    </row>
    <row r="468" ht="15" customHeight="1" s="78">
      <c r="A468" s="131">
        <f>IF($J468="","",INDEX(NKC!$B$7:$B$3006,$J468))</f>
        <v/>
      </c>
      <c r="B468" s="95">
        <f>IF($J468="","",INDEX(NKC!$C$7:$C$3006,$J468))</f>
        <v/>
      </c>
      <c r="C468" s="131">
        <f>IF($J468="","",INDEX(NKC!$D$7:$D$3006,$J468))</f>
        <v/>
      </c>
      <c r="D468" s="97">
        <f>IF($J468="","",INDEX(NKC!$E$7:$E$3006,$J468))</f>
        <v/>
      </c>
      <c r="E468" s="95">
        <f>IF($J468="","",IF(LEFT(INDEX(NKC!$F$7:$F$3006,$J468),LEN($B$5))=$B$5,INDEX(NKC!$G$7:$G$3006,$J468),INDEX(NKC!$F$7:$F$3006,$J468)))</f>
        <v/>
      </c>
      <c r="F468" s="125">
        <f>IF($J468="","",IF(LEFT(INDEX(NKC!$F$7:$F$3006,$J468),LEN($B$5))=$B$5,INDEX(NKC!$H$7:$H$3006,$J468),""))</f>
        <v/>
      </c>
      <c r="G468" s="125">
        <f>IF($J468="","",IF(LEFT(INDEX(NKC!$G$7:$G$3006,$J468),LEN($B$5))=$B$5,INDEX(NKC!$H$7:$H$3006,$J468),""))</f>
        <v/>
      </c>
      <c r="H468" s="132">
        <f>IF($J468="","",H467+N(F468)-N(G468))</f>
        <v/>
      </c>
      <c r="J468" s="117">
        <f>IFERROR(MATCH(461,NKC!$P$7:$P$3006,0),"")</f>
        <v/>
      </c>
    </row>
    <row r="469" ht="15" customHeight="1" s="78">
      <c r="A469" s="131">
        <f>IF($J469="","",INDEX(NKC!$B$7:$B$3006,$J469))</f>
        <v/>
      </c>
      <c r="B469" s="95">
        <f>IF($J469="","",INDEX(NKC!$C$7:$C$3006,$J469))</f>
        <v/>
      </c>
      <c r="C469" s="131">
        <f>IF($J469="","",INDEX(NKC!$D$7:$D$3006,$J469))</f>
        <v/>
      </c>
      <c r="D469" s="97">
        <f>IF($J469="","",INDEX(NKC!$E$7:$E$3006,$J469))</f>
        <v/>
      </c>
      <c r="E469" s="95">
        <f>IF($J469="","",IF(LEFT(INDEX(NKC!$F$7:$F$3006,$J469),LEN($B$5))=$B$5,INDEX(NKC!$G$7:$G$3006,$J469),INDEX(NKC!$F$7:$F$3006,$J469)))</f>
        <v/>
      </c>
      <c r="F469" s="125">
        <f>IF($J469="","",IF(LEFT(INDEX(NKC!$F$7:$F$3006,$J469),LEN($B$5))=$B$5,INDEX(NKC!$H$7:$H$3006,$J469),""))</f>
        <v/>
      </c>
      <c r="G469" s="125">
        <f>IF($J469="","",IF(LEFT(INDEX(NKC!$G$7:$G$3006,$J469),LEN($B$5))=$B$5,INDEX(NKC!$H$7:$H$3006,$J469),""))</f>
        <v/>
      </c>
      <c r="H469" s="132">
        <f>IF($J469="","",H468+N(F469)-N(G469))</f>
        <v/>
      </c>
      <c r="J469" s="117">
        <f>IFERROR(MATCH(462,NKC!$P$7:$P$3006,0),"")</f>
        <v/>
      </c>
    </row>
    <row r="470" ht="15" customHeight="1" s="78">
      <c r="A470" s="131">
        <f>IF($J470="","",INDEX(NKC!$B$7:$B$3006,$J470))</f>
        <v/>
      </c>
      <c r="B470" s="95">
        <f>IF($J470="","",INDEX(NKC!$C$7:$C$3006,$J470))</f>
        <v/>
      </c>
      <c r="C470" s="131">
        <f>IF($J470="","",INDEX(NKC!$D$7:$D$3006,$J470))</f>
        <v/>
      </c>
      <c r="D470" s="97">
        <f>IF($J470="","",INDEX(NKC!$E$7:$E$3006,$J470))</f>
        <v/>
      </c>
      <c r="E470" s="95">
        <f>IF($J470="","",IF(LEFT(INDEX(NKC!$F$7:$F$3006,$J470),LEN($B$5))=$B$5,INDEX(NKC!$G$7:$G$3006,$J470),INDEX(NKC!$F$7:$F$3006,$J470)))</f>
        <v/>
      </c>
      <c r="F470" s="125">
        <f>IF($J470="","",IF(LEFT(INDEX(NKC!$F$7:$F$3006,$J470),LEN($B$5))=$B$5,INDEX(NKC!$H$7:$H$3006,$J470),""))</f>
        <v/>
      </c>
      <c r="G470" s="125">
        <f>IF($J470="","",IF(LEFT(INDEX(NKC!$G$7:$G$3006,$J470),LEN($B$5))=$B$5,INDEX(NKC!$H$7:$H$3006,$J470),""))</f>
        <v/>
      </c>
      <c r="H470" s="132">
        <f>IF($J470="","",H469+N(F470)-N(G470))</f>
        <v/>
      </c>
      <c r="J470" s="117">
        <f>IFERROR(MATCH(463,NKC!$P$7:$P$3006,0),"")</f>
        <v/>
      </c>
    </row>
    <row r="471" ht="15" customHeight="1" s="78">
      <c r="A471" s="131">
        <f>IF($J471="","",INDEX(NKC!$B$7:$B$3006,$J471))</f>
        <v/>
      </c>
      <c r="B471" s="95">
        <f>IF($J471="","",INDEX(NKC!$C$7:$C$3006,$J471))</f>
        <v/>
      </c>
      <c r="C471" s="131">
        <f>IF($J471="","",INDEX(NKC!$D$7:$D$3006,$J471))</f>
        <v/>
      </c>
      <c r="D471" s="97">
        <f>IF($J471="","",INDEX(NKC!$E$7:$E$3006,$J471))</f>
        <v/>
      </c>
      <c r="E471" s="95">
        <f>IF($J471="","",IF(LEFT(INDEX(NKC!$F$7:$F$3006,$J471),LEN($B$5))=$B$5,INDEX(NKC!$G$7:$G$3006,$J471),INDEX(NKC!$F$7:$F$3006,$J471)))</f>
        <v/>
      </c>
      <c r="F471" s="125">
        <f>IF($J471="","",IF(LEFT(INDEX(NKC!$F$7:$F$3006,$J471),LEN($B$5))=$B$5,INDEX(NKC!$H$7:$H$3006,$J471),""))</f>
        <v/>
      </c>
      <c r="G471" s="125">
        <f>IF($J471="","",IF(LEFT(INDEX(NKC!$G$7:$G$3006,$J471),LEN($B$5))=$B$5,INDEX(NKC!$H$7:$H$3006,$J471),""))</f>
        <v/>
      </c>
      <c r="H471" s="132">
        <f>IF($J471="","",H470+N(F471)-N(G471))</f>
        <v/>
      </c>
      <c r="J471" s="117">
        <f>IFERROR(MATCH(464,NKC!$P$7:$P$3006,0),"")</f>
        <v/>
      </c>
    </row>
    <row r="472" ht="15" customHeight="1" s="78">
      <c r="A472" s="131">
        <f>IF($J472="","",INDEX(NKC!$B$7:$B$3006,$J472))</f>
        <v/>
      </c>
      <c r="B472" s="95">
        <f>IF($J472="","",INDEX(NKC!$C$7:$C$3006,$J472))</f>
        <v/>
      </c>
      <c r="C472" s="131">
        <f>IF($J472="","",INDEX(NKC!$D$7:$D$3006,$J472))</f>
        <v/>
      </c>
      <c r="D472" s="97">
        <f>IF($J472="","",INDEX(NKC!$E$7:$E$3006,$J472))</f>
        <v/>
      </c>
      <c r="E472" s="95">
        <f>IF($J472="","",IF(LEFT(INDEX(NKC!$F$7:$F$3006,$J472),LEN($B$5))=$B$5,INDEX(NKC!$G$7:$G$3006,$J472),INDEX(NKC!$F$7:$F$3006,$J472)))</f>
        <v/>
      </c>
      <c r="F472" s="125">
        <f>IF($J472="","",IF(LEFT(INDEX(NKC!$F$7:$F$3006,$J472),LEN($B$5))=$B$5,INDEX(NKC!$H$7:$H$3006,$J472),""))</f>
        <v/>
      </c>
      <c r="G472" s="125">
        <f>IF($J472="","",IF(LEFT(INDEX(NKC!$G$7:$G$3006,$J472),LEN($B$5))=$B$5,INDEX(NKC!$H$7:$H$3006,$J472),""))</f>
        <v/>
      </c>
      <c r="H472" s="132">
        <f>IF($J472="","",H471+N(F472)-N(G472))</f>
        <v/>
      </c>
      <c r="J472" s="117">
        <f>IFERROR(MATCH(465,NKC!$P$7:$P$3006,0),"")</f>
        <v/>
      </c>
    </row>
    <row r="473" ht="15" customHeight="1" s="78">
      <c r="A473" s="131">
        <f>IF($J473="","",INDEX(NKC!$B$7:$B$3006,$J473))</f>
        <v/>
      </c>
      <c r="B473" s="95">
        <f>IF($J473="","",INDEX(NKC!$C$7:$C$3006,$J473))</f>
        <v/>
      </c>
      <c r="C473" s="131">
        <f>IF($J473="","",INDEX(NKC!$D$7:$D$3006,$J473))</f>
        <v/>
      </c>
      <c r="D473" s="97">
        <f>IF($J473="","",INDEX(NKC!$E$7:$E$3006,$J473))</f>
        <v/>
      </c>
      <c r="E473" s="95">
        <f>IF($J473="","",IF(LEFT(INDEX(NKC!$F$7:$F$3006,$J473),LEN($B$5))=$B$5,INDEX(NKC!$G$7:$G$3006,$J473),INDEX(NKC!$F$7:$F$3006,$J473)))</f>
        <v/>
      </c>
      <c r="F473" s="125">
        <f>IF($J473="","",IF(LEFT(INDEX(NKC!$F$7:$F$3006,$J473),LEN($B$5))=$B$5,INDEX(NKC!$H$7:$H$3006,$J473),""))</f>
        <v/>
      </c>
      <c r="G473" s="125">
        <f>IF($J473="","",IF(LEFT(INDEX(NKC!$G$7:$G$3006,$J473),LEN($B$5))=$B$5,INDEX(NKC!$H$7:$H$3006,$J473),""))</f>
        <v/>
      </c>
      <c r="H473" s="132">
        <f>IF($J473="","",H472+N(F473)-N(G473))</f>
        <v/>
      </c>
      <c r="J473" s="117">
        <f>IFERROR(MATCH(466,NKC!$P$7:$P$3006,0),"")</f>
        <v/>
      </c>
    </row>
    <row r="474" ht="15" customHeight="1" s="78">
      <c r="A474" s="131">
        <f>IF($J474="","",INDEX(NKC!$B$7:$B$3006,$J474))</f>
        <v/>
      </c>
      <c r="B474" s="95">
        <f>IF($J474="","",INDEX(NKC!$C$7:$C$3006,$J474))</f>
        <v/>
      </c>
      <c r="C474" s="131">
        <f>IF($J474="","",INDEX(NKC!$D$7:$D$3006,$J474))</f>
        <v/>
      </c>
      <c r="D474" s="97">
        <f>IF($J474="","",INDEX(NKC!$E$7:$E$3006,$J474))</f>
        <v/>
      </c>
      <c r="E474" s="95">
        <f>IF($J474="","",IF(LEFT(INDEX(NKC!$F$7:$F$3006,$J474),LEN($B$5))=$B$5,INDEX(NKC!$G$7:$G$3006,$J474),INDEX(NKC!$F$7:$F$3006,$J474)))</f>
        <v/>
      </c>
      <c r="F474" s="125">
        <f>IF($J474="","",IF(LEFT(INDEX(NKC!$F$7:$F$3006,$J474),LEN($B$5))=$B$5,INDEX(NKC!$H$7:$H$3006,$J474),""))</f>
        <v/>
      </c>
      <c r="G474" s="125">
        <f>IF($J474="","",IF(LEFT(INDEX(NKC!$G$7:$G$3006,$J474),LEN($B$5))=$B$5,INDEX(NKC!$H$7:$H$3006,$J474),""))</f>
        <v/>
      </c>
      <c r="H474" s="132">
        <f>IF($J474="","",H473+N(F474)-N(G474))</f>
        <v/>
      </c>
      <c r="J474" s="117">
        <f>IFERROR(MATCH(467,NKC!$P$7:$P$3006,0),"")</f>
        <v/>
      </c>
    </row>
    <row r="475" ht="15" customHeight="1" s="78">
      <c r="A475" s="131">
        <f>IF($J475="","",INDEX(NKC!$B$7:$B$3006,$J475))</f>
        <v/>
      </c>
      <c r="B475" s="95">
        <f>IF($J475="","",INDEX(NKC!$C$7:$C$3006,$J475))</f>
        <v/>
      </c>
      <c r="C475" s="131">
        <f>IF($J475="","",INDEX(NKC!$D$7:$D$3006,$J475))</f>
        <v/>
      </c>
      <c r="D475" s="97">
        <f>IF($J475="","",INDEX(NKC!$E$7:$E$3006,$J475))</f>
        <v/>
      </c>
      <c r="E475" s="95">
        <f>IF($J475="","",IF(LEFT(INDEX(NKC!$F$7:$F$3006,$J475),LEN($B$5))=$B$5,INDEX(NKC!$G$7:$G$3006,$J475),INDEX(NKC!$F$7:$F$3006,$J475)))</f>
        <v/>
      </c>
      <c r="F475" s="125">
        <f>IF($J475="","",IF(LEFT(INDEX(NKC!$F$7:$F$3006,$J475),LEN($B$5))=$B$5,INDEX(NKC!$H$7:$H$3006,$J475),""))</f>
        <v/>
      </c>
      <c r="G475" s="125">
        <f>IF($J475="","",IF(LEFT(INDEX(NKC!$G$7:$G$3006,$J475),LEN($B$5))=$B$5,INDEX(NKC!$H$7:$H$3006,$J475),""))</f>
        <v/>
      </c>
      <c r="H475" s="132">
        <f>IF($J475="","",H474+N(F475)-N(G475))</f>
        <v/>
      </c>
      <c r="J475" s="117">
        <f>IFERROR(MATCH(468,NKC!$P$7:$P$3006,0),"")</f>
        <v/>
      </c>
    </row>
    <row r="476" ht="15" customHeight="1" s="78">
      <c r="A476" s="131">
        <f>IF($J476="","",INDEX(NKC!$B$7:$B$3006,$J476))</f>
        <v/>
      </c>
      <c r="B476" s="95">
        <f>IF($J476="","",INDEX(NKC!$C$7:$C$3006,$J476))</f>
        <v/>
      </c>
      <c r="C476" s="131">
        <f>IF($J476="","",INDEX(NKC!$D$7:$D$3006,$J476))</f>
        <v/>
      </c>
      <c r="D476" s="97">
        <f>IF($J476="","",INDEX(NKC!$E$7:$E$3006,$J476))</f>
        <v/>
      </c>
      <c r="E476" s="95">
        <f>IF($J476="","",IF(LEFT(INDEX(NKC!$F$7:$F$3006,$J476),LEN($B$5))=$B$5,INDEX(NKC!$G$7:$G$3006,$J476),INDEX(NKC!$F$7:$F$3006,$J476)))</f>
        <v/>
      </c>
      <c r="F476" s="125">
        <f>IF($J476="","",IF(LEFT(INDEX(NKC!$F$7:$F$3006,$J476),LEN($B$5))=$B$5,INDEX(NKC!$H$7:$H$3006,$J476),""))</f>
        <v/>
      </c>
      <c r="G476" s="125">
        <f>IF($J476="","",IF(LEFT(INDEX(NKC!$G$7:$G$3006,$J476),LEN($B$5))=$B$5,INDEX(NKC!$H$7:$H$3006,$J476),""))</f>
        <v/>
      </c>
      <c r="H476" s="132">
        <f>IF($J476="","",H475+N(F476)-N(G476))</f>
        <v/>
      </c>
      <c r="J476" s="117">
        <f>IFERROR(MATCH(469,NKC!$P$7:$P$3006,0),"")</f>
        <v/>
      </c>
    </row>
    <row r="477" ht="15" customHeight="1" s="78">
      <c r="A477" s="131">
        <f>IF($J477="","",INDEX(NKC!$B$7:$B$3006,$J477))</f>
        <v/>
      </c>
      <c r="B477" s="95">
        <f>IF($J477="","",INDEX(NKC!$C$7:$C$3006,$J477))</f>
        <v/>
      </c>
      <c r="C477" s="131">
        <f>IF($J477="","",INDEX(NKC!$D$7:$D$3006,$J477))</f>
        <v/>
      </c>
      <c r="D477" s="97">
        <f>IF($J477="","",INDEX(NKC!$E$7:$E$3006,$J477))</f>
        <v/>
      </c>
      <c r="E477" s="95">
        <f>IF($J477="","",IF(LEFT(INDEX(NKC!$F$7:$F$3006,$J477),LEN($B$5))=$B$5,INDEX(NKC!$G$7:$G$3006,$J477),INDEX(NKC!$F$7:$F$3006,$J477)))</f>
        <v/>
      </c>
      <c r="F477" s="125">
        <f>IF($J477="","",IF(LEFT(INDEX(NKC!$F$7:$F$3006,$J477),LEN($B$5))=$B$5,INDEX(NKC!$H$7:$H$3006,$J477),""))</f>
        <v/>
      </c>
      <c r="G477" s="125">
        <f>IF($J477="","",IF(LEFT(INDEX(NKC!$G$7:$G$3006,$J477),LEN($B$5))=$B$5,INDEX(NKC!$H$7:$H$3006,$J477),""))</f>
        <v/>
      </c>
      <c r="H477" s="132">
        <f>IF($J477="","",H476+N(F477)-N(G477))</f>
        <v/>
      </c>
      <c r="J477" s="117">
        <f>IFERROR(MATCH(470,NKC!$P$7:$P$3006,0),"")</f>
        <v/>
      </c>
    </row>
    <row r="478" ht="15" customHeight="1" s="78">
      <c r="A478" s="131">
        <f>IF($J478="","",INDEX(NKC!$B$7:$B$3006,$J478))</f>
        <v/>
      </c>
      <c r="B478" s="95">
        <f>IF($J478="","",INDEX(NKC!$C$7:$C$3006,$J478))</f>
        <v/>
      </c>
      <c r="C478" s="131">
        <f>IF($J478="","",INDEX(NKC!$D$7:$D$3006,$J478))</f>
        <v/>
      </c>
      <c r="D478" s="97">
        <f>IF($J478="","",INDEX(NKC!$E$7:$E$3006,$J478))</f>
        <v/>
      </c>
      <c r="E478" s="95">
        <f>IF($J478="","",IF(LEFT(INDEX(NKC!$F$7:$F$3006,$J478),LEN($B$5))=$B$5,INDEX(NKC!$G$7:$G$3006,$J478),INDEX(NKC!$F$7:$F$3006,$J478)))</f>
        <v/>
      </c>
      <c r="F478" s="125">
        <f>IF($J478="","",IF(LEFT(INDEX(NKC!$F$7:$F$3006,$J478),LEN($B$5))=$B$5,INDEX(NKC!$H$7:$H$3006,$J478),""))</f>
        <v/>
      </c>
      <c r="G478" s="125">
        <f>IF($J478="","",IF(LEFT(INDEX(NKC!$G$7:$G$3006,$J478),LEN($B$5))=$B$5,INDEX(NKC!$H$7:$H$3006,$J478),""))</f>
        <v/>
      </c>
      <c r="H478" s="132">
        <f>IF($J478="","",H477+N(F478)-N(G478))</f>
        <v/>
      </c>
      <c r="J478" s="117">
        <f>IFERROR(MATCH(471,NKC!$P$7:$P$3006,0),"")</f>
        <v/>
      </c>
    </row>
    <row r="479" ht="15" customHeight="1" s="78">
      <c r="A479" s="131">
        <f>IF($J479="","",INDEX(NKC!$B$7:$B$3006,$J479))</f>
        <v/>
      </c>
      <c r="B479" s="95">
        <f>IF($J479="","",INDEX(NKC!$C$7:$C$3006,$J479))</f>
        <v/>
      </c>
      <c r="C479" s="131">
        <f>IF($J479="","",INDEX(NKC!$D$7:$D$3006,$J479))</f>
        <v/>
      </c>
      <c r="D479" s="97">
        <f>IF($J479="","",INDEX(NKC!$E$7:$E$3006,$J479))</f>
        <v/>
      </c>
      <c r="E479" s="95">
        <f>IF($J479="","",IF(LEFT(INDEX(NKC!$F$7:$F$3006,$J479),LEN($B$5))=$B$5,INDEX(NKC!$G$7:$G$3006,$J479),INDEX(NKC!$F$7:$F$3006,$J479)))</f>
        <v/>
      </c>
      <c r="F479" s="125">
        <f>IF($J479="","",IF(LEFT(INDEX(NKC!$F$7:$F$3006,$J479),LEN($B$5))=$B$5,INDEX(NKC!$H$7:$H$3006,$J479),""))</f>
        <v/>
      </c>
      <c r="G479" s="125">
        <f>IF($J479="","",IF(LEFT(INDEX(NKC!$G$7:$G$3006,$J479),LEN($B$5))=$B$5,INDEX(NKC!$H$7:$H$3006,$J479),""))</f>
        <v/>
      </c>
      <c r="H479" s="132">
        <f>IF($J479="","",H478+N(F479)-N(G479))</f>
        <v/>
      </c>
      <c r="J479" s="117">
        <f>IFERROR(MATCH(472,NKC!$P$7:$P$3006,0),"")</f>
        <v/>
      </c>
    </row>
    <row r="480" ht="15" customHeight="1" s="78">
      <c r="A480" s="131">
        <f>IF($J480="","",INDEX(NKC!$B$7:$B$3006,$J480))</f>
        <v/>
      </c>
      <c r="B480" s="95">
        <f>IF($J480="","",INDEX(NKC!$C$7:$C$3006,$J480))</f>
        <v/>
      </c>
      <c r="C480" s="131">
        <f>IF($J480="","",INDEX(NKC!$D$7:$D$3006,$J480))</f>
        <v/>
      </c>
      <c r="D480" s="97">
        <f>IF($J480="","",INDEX(NKC!$E$7:$E$3006,$J480))</f>
        <v/>
      </c>
      <c r="E480" s="95">
        <f>IF($J480="","",IF(LEFT(INDEX(NKC!$F$7:$F$3006,$J480),LEN($B$5))=$B$5,INDEX(NKC!$G$7:$G$3006,$J480),INDEX(NKC!$F$7:$F$3006,$J480)))</f>
        <v/>
      </c>
      <c r="F480" s="125">
        <f>IF($J480="","",IF(LEFT(INDEX(NKC!$F$7:$F$3006,$J480),LEN($B$5))=$B$5,INDEX(NKC!$H$7:$H$3006,$J480),""))</f>
        <v/>
      </c>
      <c r="G480" s="125">
        <f>IF($J480="","",IF(LEFT(INDEX(NKC!$G$7:$G$3006,$J480),LEN($B$5))=$B$5,INDEX(NKC!$H$7:$H$3006,$J480),""))</f>
        <v/>
      </c>
      <c r="H480" s="132">
        <f>IF($J480="","",H479+N(F480)-N(G480))</f>
        <v/>
      </c>
      <c r="J480" s="117">
        <f>IFERROR(MATCH(473,NKC!$P$7:$P$3006,0),"")</f>
        <v/>
      </c>
    </row>
    <row r="481" ht="15" customHeight="1" s="78">
      <c r="A481" s="131">
        <f>IF($J481="","",INDEX(NKC!$B$7:$B$3006,$J481))</f>
        <v/>
      </c>
      <c r="B481" s="95">
        <f>IF($J481="","",INDEX(NKC!$C$7:$C$3006,$J481))</f>
        <v/>
      </c>
      <c r="C481" s="131">
        <f>IF($J481="","",INDEX(NKC!$D$7:$D$3006,$J481))</f>
        <v/>
      </c>
      <c r="D481" s="97">
        <f>IF($J481="","",INDEX(NKC!$E$7:$E$3006,$J481))</f>
        <v/>
      </c>
      <c r="E481" s="95">
        <f>IF($J481="","",IF(LEFT(INDEX(NKC!$F$7:$F$3006,$J481),LEN($B$5))=$B$5,INDEX(NKC!$G$7:$G$3006,$J481),INDEX(NKC!$F$7:$F$3006,$J481)))</f>
        <v/>
      </c>
      <c r="F481" s="125">
        <f>IF($J481="","",IF(LEFT(INDEX(NKC!$F$7:$F$3006,$J481),LEN($B$5))=$B$5,INDEX(NKC!$H$7:$H$3006,$J481),""))</f>
        <v/>
      </c>
      <c r="G481" s="125">
        <f>IF($J481="","",IF(LEFT(INDEX(NKC!$G$7:$G$3006,$J481),LEN($B$5))=$B$5,INDEX(NKC!$H$7:$H$3006,$J481),""))</f>
        <v/>
      </c>
      <c r="H481" s="132">
        <f>IF($J481="","",H480+N(F481)-N(G481))</f>
        <v/>
      </c>
      <c r="J481" s="117">
        <f>IFERROR(MATCH(474,NKC!$P$7:$P$3006,0),"")</f>
        <v/>
      </c>
    </row>
    <row r="482" ht="15" customHeight="1" s="78">
      <c r="A482" s="131">
        <f>IF($J482="","",INDEX(NKC!$B$7:$B$3006,$J482))</f>
        <v/>
      </c>
      <c r="B482" s="95">
        <f>IF($J482="","",INDEX(NKC!$C$7:$C$3006,$J482))</f>
        <v/>
      </c>
      <c r="C482" s="131">
        <f>IF($J482="","",INDEX(NKC!$D$7:$D$3006,$J482))</f>
        <v/>
      </c>
      <c r="D482" s="97">
        <f>IF($J482="","",INDEX(NKC!$E$7:$E$3006,$J482))</f>
        <v/>
      </c>
      <c r="E482" s="95">
        <f>IF($J482="","",IF(LEFT(INDEX(NKC!$F$7:$F$3006,$J482),LEN($B$5))=$B$5,INDEX(NKC!$G$7:$G$3006,$J482),INDEX(NKC!$F$7:$F$3006,$J482)))</f>
        <v/>
      </c>
      <c r="F482" s="125">
        <f>IF($J482="","",IF(LEFT(INDEX(NKC!$F$7:$F$3006,$J482),LEN($B$5))=$B$5,INDEX(NKC!$H$7:$H$3006,$J482),""))</f>
        <v/>
      </c>
      <c r="G482" s="125">
        <f>IF($J482="","",IF(LEFT(INDEX(NKC!$G$7:$G$3006,$J482),LEN($B$5))=$B$5,INDEX(NKC!$H$7:$H$3006,$J482),""))</f>
        <v/>
      </c>
      <c r="H482" s="132">
        <f>IF($J482="","",H481+N(F482)-N(G482))</f>
        <v/>
      </c>
      <c r="J482" s="117">
        <f>IFERROR(MATCH(475,NKC!$P$7:$P$3006,0),"")</f>
        <v/>
      </c>
    </row>
    <row r="483" ht="15" customHeight="1" s="78">
      <c r="A483" s="131">
        <f>IF($J483="","",INDEX(NKC!$B$7:$B$3006,$J483))</f>
        <v/>
      </c>
      <c r="B483" s="95">
        <f>IF($J483="","",INDEX(NKC!$C$7:$C$3006,$J483))</f>
        <v/>
      </c>
      <c r="C483" s="131">
        <f>IF($J483="","",INDEX(NKC!$D$7:$D$3006,$J483))</f>
        <v/>
      </c>
      <c r="D483" s="97">
        <f>IF($J483="","",INDEX(NKC!$E$7:$E$3006,$J483))</f>
        <v/>
      </c>
      <c r="E483" s="95">
        <f>IF($J483="","",IF(LEFT(INDEX(NKC!$F$7:$F$3006,$J483),LEN($B$5))=$B$5,INDEX(NKC!$G$7:$G$3006,$J483),INDEX(NKC!$F$7:$F$3006,$J483)))</f>
        <v/>
      </c>
      <c r="F483" s="125">
        <f>IF($J483="","",IF(LEFT(INDEX(NKC!$F$7:$F$3006,$J483),LEN($B$5))=$B$5,INDEX(NKC!$H$7:$H$3006,$J483),""))</f>
        <v/>
      </c>
      <c r="G483" s="125">
        <f>IF($J483="","",IF(LEFT(INDEX(NKC!$G$7:$G$3006,$J483),LEN($B$5))=$B$5,INDEX(NKC!$H$7:$H$3006,$J483),""))</f>
        <v/>
      </c>
      <c r="H483" s="132">
        <f>IF($J483="","",H482+N(F483)-N(G483))</f>
        <v/>
      </c>
      <c r="J483" s="117">
        <f>IFERROR(MATCH(476,NKC!$P$7:$P$3006,0),"")</f>
        <v/>
      </c>
    </row>
    <row r="484" ht="15" customHeight="1" s="78">
      <c r="A484" s="131">
        <f>IF($J484="","",INDEX(NKC!$B$7:$B$3006,$J484))</f>
        <v/>
      </c>
      <c r="B484" s="95">
        <f>IF($J484="","",INDEX(NKC!$C$7:$C$3006,$J484))</f>
        <v/>
      </c>
      <c r="C484" s="131">
        <f>IF($J484="","",INDEX(NKC!$D$7:$D$3006,$J484))</f>
        <v/>
      </c>
      <c r="D484" s="97">
        <f>IF($J484="","",INDEX(NKC!$E$7:$E$3006,$J484))</f>
        <v/>
      </c>
      <c r="E484" s="95">
        <f>IF($J484="","",IF(LEFT(INDEX(NKC!$F$7:$F$3006,$J484),LEN($B$5))=$B$5,INDEX(NKC!$G$7:$G$3006,$J484),INDEX(NKC!$F$7:$F$3006,$J484)))</f>
        <v/>
      </c>
      <c r="F484" s="125">
        <f>IF($J484="","",IF(LEFT(INDEX(NKC!$F$7:$F$3006,$J484),LEN($B$5))=$B$5,INDEX(NKC!$H$7:$H$3006,$J484),""))</f>
        <v/>
      </c>
      <c r="G484" s="125">
        <f>IF($J484="","",IF(LEFT(INDEX(NKC!$G$7:$G$3006,$J484),LEN($B$5))=$B$5,INDEX(NKC!$H$7:$H$3006,$J484),""))</f>
        <v/>
      </c>
      <c r="H484" s="132">
        <f>IF($J484="","",H483+N(F484)-N(G484))</f>
        <v/>
      </c>
      <c r="J484" s="117">
        <f>IFERROR(MATCH(477,NKC!$P$7:$P$3006,0),"")</f>
        <v/>
      </c>
    </row>
    <row r="485" ht="15" customHeight="1" s="78">
      <c r="A485" s="131">
        <f>IF($J485="","",INDEX(NKC!$B$7:$B$3006,$J485))</f>
        <v/>
      </c>
      <c r="B485" s="95">
        <f>IF($J485="","",INDEX(NKC!$C$7:$C$3006,$J485))</f>
        <v/>
      </c>
      <c r="C485" s="131">
        <f>IF($J485="","",INDEX(NKC!$D$7:$D$3006,$J485))</f>
        <v/>
      </c>
      <c r="D485" s="97">
        <f>IF($J485="","",INDEX(NKC!$E$7:$E$3006,$J485))</f>
        <v/>
      </c>
      <c r="E485" s="95">
        <f>IF($J485="","",IF(LEFT(INDEX(NKC!$F$7:$F$3006,$J485),LEN($B$5))=$B$5,INDEX(NKC!$G$7:$G$3006,$J485),INDEX(NKC!$F$7:$F$3006,$J485)))</f>
        <v/>
      </c>
      <c r="F485" s="125">
        <f>IF($J485="","",IF(LEFT(INDEX(NKC!$F$7:$F$3006,$J485),LEN($B$5))=$B$5,INDEX(NKC!$H$7:$H$3006,$J485),""))</f>
        <v/>
      </c>
      <c r="G485" s="125">
        <f>IF($J485="","",IF(LEFT(INDEX(NKC!$G$7:$G$3006,$J485),LEN($B$5))=$B$5,INDEX(NKC!$H$7:$H$3006,$J485),""))</f>
        <v/>
      </c>
      <c r="H485" s="132">
        <f>IF($J485="","",H484+N(F485)-N(G485))</f>
        <v/>
      </c>
      <c r="J485" s="117">
        <f>IFERROR(MATCH(478,NKC!$P$7:$P$3006,0),"")</f>
        <v/>
      </c>
    </row>
    <row r="486" ht="15" customHeight="1" s="78">
      <c r="A486" s="131">
        <f>IF($J486="","",INDEX(NKC!$B$7:$B$3006,$J486))</f>
        <v/>
      </c>
      <c r="B486" s="95">
        <f>IF($J486="","",INDEX(NKC!$C$7:$C$3006,$J486))</f>
        <v/>
      </c>
      <c r="C486" s="131">
        <f>IF($J486="","",INDEX(NKC!$D$7:$D$3006,$J486))</f>
        <v/>
      </c>
      <c r="D486" s="97">
        <f>IF($J486="","",INDEX(NKC!$E$7:$E$3006,$J486))</f>
        <v/>
      </c>
      <c r="E486" s="95">
        <f>IF($J486="","",IF(LEFT(INDEX(NKC!$F$7:$F$3006,$J486),LEN($B$5))=$B$5,INDEX(NKC!$G$7:$G$3006,$J486),INDEX(NKC!$F$7:$F$3006,$J486)))</f>
        <v/>
      </c>
      <c r="F486" s="125">
        <f>IF($J486="","",IF(LEFT(INDEX(NKC!$F$7:$F$3006,$J486),LEN($B$5))=$B$5,INDEX(NKC!$H$7:$H$3006,$J486),""))</f>
        <v/>
      </c>
      <c r="G486" s="125">
        <f>IF($J486="","",IF(LEFT(INDEX(NKC!$G$7:$G$3006,$J486),LEN($B$5))=$B$5,INDEX(NKC!$H$7:$H$3006,$J486),""))</f>
        <v/>
      </c>
      <c r="H486" s="132">
        <f>IF($J486="","",H485+N(F486)-N(G486))</f>
        <v/>
      </c>
      <c r="J486" s="117">
        <f>IFERROR(MATCH(479,NKC!$P$7:$P$3006,0),"")</f>
        <v/>
      </c>
    </row>
    <row r="487" ht="15" customHeight="1" s="78">
      <c r="A487" s="131">
        <f>IF($J487="","",INDEX(NKC!$B$7:$B$3006,$J487))</f>
        <v/>
      </c>
      <c r="B487" s="95">
        <f>IF($J487="","",INDEX(NKC!$C$7:$C$3006,$J487))</f>
        <v/>
      </c>
      <c r="C487" s="131">
        <f>IF($J487="","",INDEX(NKC!$D$7:$D$3006,$J487))</f>
        <v/>
      </c>
      <c r="D487" s="97">
        <f>IF($J487="","",INDEX(NKC!$E$7:$E$3006,$J487))</f>
        <v/>
      </c>
      <c r="E487" s="95">
        <f>IF($J487="","",IF(LEFT(INDEX(NKC!$F$7:$F$3006,$J487),LEN($B$5))=$B$5,INDEX(NKC!$G$7:$G$3006,$J487),INDEX(NKC!$F$7:$F$3006,$J487)))</f>
        <v/>
      </c>
      <c r="F487" s="125">
        <f>IF($J487="","",IF(LEFT(INDEX(NKC!$F$7:$F$3006,$J487),LEN($B$5))=$B$5,INDEX(NKC!$H$7:$H$3006,$J487),""))</f>
        <v/>
      </c>
      <c r="G487" s="125">
        <f>IF($J487="","",IF(LEFT(INDEX(NKC!$G$7:$G$3006,$J487),LEN($B$5))=$B$5,INDEX(NKC!$H$7:$H$3006,$J487),""))</f>
        <v/>
      </c>
      <c r="H487" s="132">
        <f>IF($J487="","",H486+N(F487)-N(G487))</f>
        <v/>
      </c>
      <c r="J487" s="117">
        <f>IFERROR(MATCH(480,NKC!$P$7:$P$3006,0),"")</f>
        <v/>
      </c>
    </row>
    <row r="488" ht="15" customHeight="1" s="78">
      <c r="A488" s="131">
        <f>IF($J488="","",INDEX(NKC!$B$7:$B$3006,$J488))</f>
        <v/>
      </c>
      <c r="B488" s="95">
        <f>IF($J488="","",INDEX(NKC!$C$7:$C$3006,$J488))</f>
        <v/>
      </c>
      <c r="C488" s="131">
        <f>IF($J488="","",INDEX(NKC!$D$7:$D$3006,$J488))</f>
        <v/>
      </c>
      <c r="D488" s="97">
        <f>IF($J488="","",INDEX(NKC!$E$7:$E$3006,$J488))</f>
        <v/>
      </c>
      <c r="E488" s="95">
        <f>IF($J488="","",IF(LEFT(INDEX(NKC!$F$7:$F$3006,$J488),LEN($B$5))=$B$5,INDEX(NKC!$G$7:$G$3006,$J488),INDEX(NKC!$F$7:$F$3006,$J488)))</f>
        <v/>
      </c>
      <c r="F488" s="125">
        <f>IF($J488="","",IF(LEFT(INDEX(NKC!$F$7:$F$3006,$J488),LEN($B$5))=$B$5,INDEX(NKC!$H$7:$H$3006,$J488),""))</f>
        <v/>
      </c>
      <c r="G488" s="125">
        <f>IF($J488="","",IF(LEFT(INDEX(NKC!$G$7:$G$3006,$J488),LEN($B$5))=$B$5,INDEX(NKC!$H$7:$H$3006,$J488),""))</f>
        <v/>
      </c>
      <c r="H488" s="132">
        <f>IF($J488="","",H487+N(F488)-N(G488))</f>
        <v/>
      </c>
      <c r="J488" s="117">
        <f>IFERROR(MATCH(481,NKC!$P$7:$P$3006,0),"")</f>
        <v/>
      </c>
    </row>
    <row r="489" ht="15" customHeight="1" s="78">
      <c r="A489" s="131">
        <f>IF($J489="","",INDEX(NKC!$B$7:$B$3006,$J489))</f>
        <v/>
      </c>
      <c r="B489" s="95">
        <f>IF($J489="","",INDEX(NKC!$C$7:$C$3006,$J489))</f>
        <v/>
      </c>
      <c r="C489" s="131">
        <f>IF($J489="","",INDEX(NKC!$D$7:$D$3006,$J489))</f>
        <v/>
      </c>
      <c r="D489" s="97">
        <f>IF($J489="","",INDEX(NKC!$E$7:$E$3006,$J489))</f>
        <v/>
      </c>
      <c r="E489" s="95">
        <f>IF($J489="","",IF(LEFT(INDEX(NKC!$F$7:$F$3006,$J489),LEN($B$5))=$B$5,INDEX(NKC!$G$7:$G$3006,$J489),INDEX(NKC!$F$7:$F$3006,$J489)))</f>
        <v/>
      </c>
      <c r="F489" s="125">
        <f>IF($J489="","",IF(LEFT(INDEX(NKC!$F$7:$F$3006,$J489),LEN($B$5))=$B$5,INDEX(NKC!$H$7:$H$3006,$J489),""))</f>
        <v/>
      </c>
      <c r="G489" s="125">
        <f>IF($J489="","",IF(LEFT(INDEX(NKC!$G$7:$G$3006,$J489),LEN($B$5))=$B$5,INDEX(NKC!$H$7:$H$3006,$J489),""))</f>
        <v/>
      </c>
      <c r="H489" s="132">
        <f>IF($J489="","",H488+N(F489)-N(G489))</f>
        <v/>
      </c>
      <c r="J489" s="117">
        <f>IFERROR(MATCH(482,NKC!$P$7:$P$3006,0),"")</f>
        <v/>
      </c>
    </row>
    <row r="490" ht="15" customHeight="1" s="78">
      <c r="A490" s="131">
        <f>IF($J490="","",INDEX(NKC!$B$7:$B$3006,$J490))</f>
        <v/>
      </c>
      <c r="B490" s="95">
        <f>IF($J490="","",INDEX(NKC!$C$7:$C$3006,$J490))</f>
        <v/>
      </c>
      <c r="C490" s="131">
        <f>IF($J490="","",INDEX(NKC!$D$7:$D$3006,$J490))</f>
        <v/>
      </c>
      <c r="D490" s="97">
        <f>IF($J490="","",INDEX(NKC!$E$7:$E$3006,$J490))</f>
        <v/>
      </c>
      <c r="E490" s="95">
        <f>IF($J490="","",IF(LEFT(INDEX(NKC!$F$7:$F$3006,$J490),LEN($B$5))=$B$5,INDEX(NKC!$G$7:$G$3006,$J490),INDEX(NKC!$F$7:$F$3006,$J490)))</f>
        <v/>
      </c>
      <c r="F490" s="125">
        <f>IF($J490="","",IF(LEFT(INDEX(NKC!$F$7:$F$3006,$J490),LEN($B$5))=$B$5,INDEX(NKC!$H$7:$H$3006,$J490),""))</f>
        <v/>
      </c>
      <c r="G490" s="125">
        <f>IF($J490="","",IF(LEFT(INDEX(NKC!$G$7:$G$3006,$J490),LEN($B$5))=$B$5,INDEX(NKC!$H$7:$H$3006,$J490),""))</f>
        <v/>
      </c>
      <c r="H490" s="132">
        <f>IF($J490="","",H489+N(F490)-N(G490))</f>
        <v/>
      </c>
      <c r="J490" s="117">
        <f>IFERROR(MATCH(483,NKC!$P$7:$P$3006,0),"")</f>
        <v/>
      </c>
    </row>
    <row r="491" ht="15" customHeight="1" s="78">
      <c r="A491" s="131">
        <f>IF($J491="","",INDEX(NKC!$B$7:$B$3006,$J491))</f>
        <v/>
      </c>
      <c r="B491" s="95">
        <f>IF($J491="","",INDEX(NKC!$C$7:$C$3006,$J491))</f>
        <v/>
      </c>
      <c r="C491" s="131">
        <f>IF($J491="","",INDEX(NKC!$D$7:$D$3006,$J491))</f>
        <v/>
      </c>
      <c r="D491" s="97">
        <f>IF($J491="","",INDEX(NKC!$E$7:$E$3006,$J491))</f>
        <v/>
      </c>
      <c r="E491" s="95">
        <f>IF($J491="","",IF(LEFT(INDEX(NKC!$F$7:$F$3006,$J491),LEN($B$5))=$B$5,INDEX(NKC!$G$7:$G$3006,$J491),INDEX(NKC!$F$7:$F$3006,$J491)))</f>
        <v/>
      </c>
      <c r="F491" s="125">
        <f>IF($J491="","",IF(LEFT(INDEX(NKC!$F$7:$F$3006,$J491),LEN($B$5))=$B$5,INDEX(NKC!$H$7:$H$3006,$J491),""))</f>
        <v/>
      </c>
      <c r="G491" s="125">
        <f>IF($J491="","",IF(LEFT(INDEX(NKC!$G$7:$G$3006,$J491),LEN($B$5))=$B$5,INDEX(NKC!$H$7:$H$3006,$J491),""))</f>
        <v/>
      </c>
      <c r="H491" s="132">
        <f>IF($J491="","",H490+N(F491)-N(G491))</f>
        <v/>
      </c>
      <c r="J491" s="117">
        <f>IFERROR(MATCH(484,NKC!$P$7:$P$3006,0),"")</f>
        <v/>
      </c>
    </row>
    <row r="492" ht="15" customHeight="1" s="78">
      <c r="A492" s="131">
        <f>IF($J492="","",INDEX(NKC!$B$7:$B$3006,$J492))</f>
        <v/>
      </c>
      <c r="B492" s="95">
        <f>IF($J492="","",INDEX(NKC!$C$7:$C$3006,$J492))</f>
        <v/>
      </c>
      <c r="C492" s="131">
        <f>IF($J492="","",INDEX(NKC!$D$7:$D$3006,$J492))</f>
        <v/>
      </c>
      <c r="D492" s="97">
        <f>IF($J492="","",INDEX(NKC!$E$7:$E$3006,$J492))</f>
        <v/>
      </c>
      <c r="E492" s="95">
        <f>IF($J492="","",IF(LEFT(INDEX(NKC!$F$7:$F$3006,$J492),LEN($B$5))=$B$5,INDEX(NKC!$G$7:$G$3006,$J492),INDEX(NKC!$F$7:$F$3006,$J492)))</f>
        <v/>
      </c>
      <c r="F492" s="125">
        <f>IF($J492="","",IF(LEFT(INDEX(NKC!$F$7:$F$3006,$J492),LEN($B$5))=$B$5,INDEX(NKC!$H$7:$H$3006,$J492),""))</f>
        <v/>
      </c>
      <c r="G492" s="125">
        <f>IF($J492="","",IF(LEFT(INDEX(NKC!$G$7:$G$3006,$J492),LEN($B$5))=$B$5,INDEX(NKC!$H$7:$H$3006,$J492),""))</f>
        <v/>
      </c>
      <c r="H492" s="132">
        <f>IF($J492="","",H491+N(F492)-N(G492))</f>
        <v/>
      </c>
      <c r="J492" s="117">
        <f>IFERROR(MATCH(485,NKC!$P$7:$P$3006,0),"")</f>
        <v/>
      </c>
    </row>
    <row r="493" ht="15" customHeight="1" s="78">
      <c r="A493" s="131">
        <f>IF($J493="","",INDEX(NKC!$B$7:$B$3006,$J493))</f>
        <v/>
      </c>
      <c r="B493" s="95">
        <f>IF($J493="","",INDEX(NKC!$C$7:$C$3006,$J493))</f>
        <v/>
      </c>
      <c r="C493" s="131">
        <f>IF($J493="","",INDEX(NKC!$D$7:$D$3006,$J493))</f>
        <v/>
      </c>
      <c r="D493" s="97">
        <f>IF($J493="","",INDEX(NKC!$E$7:$E$3006,$J493))</f>
        <v/>
      </c>
      <c r="E493" s="95">
        <f>IF($J493="","",IF(LEFT(INDEX(NKC!$F$7:$F$3006,$J493),LEN($B$5))=$B$5,INDEX(NKC!$G$7:$G$3006,$J493),INDEX(NKC!$F$7:$F$3006,$J493)))</f>
        <v/>
      </c>
      <c r="F493" s="125">
        <f>IF($J493="","",IF(LEFT(INDEX(NKC!$F$7:$F$3006,$J493),LEN($B$5))=$B$5,INDEX(NKC!$H$7:$H$3006,$J493),""))</f>
        <v/>
      </c>
      <c r="G493" s="125">
        <f>IF($J493="","",IF(LEFT(INDEX(NKC!$G$7:$G$3006,$J493),LEN($B$5))=$B$5,INDEX(NKC!$H$7:$H$3006,$J493),""))</f>
        <v/>
      </c>
      <c r="H493" s="132">
        <f>IF($J493="","",H492+N(F493)-N(G493))</f>
        <v/>
      </c>
      <c r="J493" s="117">
        <f>IFERROR(MATCH(486,NKC!$P$7:$P$3006,0),"")</f>
        <v/>
      </c>
    </row>
    <row r="494" ht="15" customHeight="1" s="78">
      <c r="A494" s="131">
        <f>IF($J494="","",INDEX(NKC!$B$7:$B$3006,$J494))</f>
        <v/>
      </c>
      <c r="B494" s="95">
        <f>IF($J494="","",INDEX(NKC!$C$7:$C$3006,$J494))</f>
        <v/>
      </c>
      <c r="C494" s="131">
        <f>IF($J494="","",INDEX(NKC!$D$7:$D$3006,$J494))</f>
        <v/>
      </c>
      <c r="D494" s="97">
        <f>IF($J494="","",INDEX(NKC!$E$7:$E$3006,$J494))</f>
        <v/>
      </c>
      <c r="E494" s="95">
        <f>IF($J494="","",IF(LEFT(INDEX(NKC!$F$7:$F$3006,$J494),LEN($B$5))=$B$5,INDEX(NKC!$G$7:$G$3006,$J494),INDEX(NKC!$F$7:$F$3006,$J494)))</f>
        <v/>
      </c>
      <c r="F494" s="125">
        <f>IF($J494="","",IF(LEFT(INDEX(NKC!$F$7:$F$3006,$J494),LEN($B$5))=$B$5,INDEX(NKC!$H$7:$H$3006,$J494),""))</f>
        <v/>
      </c>
      <c r="G494" s="125">
        <f>IF($J494="","",IF(LEFT(INDEX(NKC!$G$7:$G$3006,$J494),LEN($B$5))=$B$5,INDEX(NKC!$H$7:$H$3006,$J494),""))</f>
        <v/>
      </c>
      <c r="H494" s="132">
        <f>IF($J494="","",H493+N(F494)-N(G494))</f>
        <v/>
      </c>
      <c r="J494" s="117">
        <f>IFERROR(MATCH(487,NKC!$P$7:$P$3006,0),"")</f>
        <v/>
      </c>
    </row>
    <row r="495" ht="15" customHeight="1" s="78">
      <c r="A495" s="131">
        <f>IF($J495="","",INDEX(NKC!$B$7:$B$3006,$J495))</f>
        <v/>
      </c>
      <c r="B495" s="95">
        <f>IF($J495="","",INDEX(NKC!$C$7:$C$3006,$J495))</f>
        <v/>
      </c>
      <c r="C495" s="131">
        <f>IF($J495="","",INDEX(NKC!$D$7:$D$3006,$J495))</f>
        <v/>
      </c>
      <c r="D495" s="97">
        <f>IF($J495="","",INDEX(NKC!$E$7:$E$3006,$J495))</f>
        <v/>
      </c>
      <c r="E495" s="95">
        <f>IF($J495="","",IF(LEFT(INDEX(NKC!$F$7:$F$3006,$J495),LEN($B$5))=$B$5,INDEX(NKC!$G$7:$G$3006,$J495),INDEX(NKC!$F$7:$F$3006,$J495)))</f>
        <v/>
      </c>
      <c r="F495" s="125">
        <f>IF($J495="","",IF(LEFT(INDEX(NKC!$F$7:$F$3006,$J495),LEN($B$5))=$B$5,INDEX(NKC!$H$7:$H$3006,$J495),""))</f>
        <v/>
      </c>
      <c r="G495" s="125">
        <f>IF($J495="","",IF(LEFT(INDEX(NKC!$G$7:$G$3006,$J495),LEN($B$5))=$B$5,INDEX(NKC!$H$7:$H$3006,$J495),""))</f>
        <v/>
      </c>
      <c r="H495" s="132">
        <f>IF($J495="","",H494+N(F495)-N(G495))</f>
        <v/>
      </c>
      <c r="J495" s="117">
        <f>IFERROR(MATCH(488,NKC!$P$7:$P$3006,0),"")</f>
        <v/>
      </c>
    </row>
    <row r="496" ht="15" customHeight="1" s="78">
      <c r="A496" s="131">
        <f>IF($J496="","",INDEX(NKC!$B$7:$B$3006,$J496))</f>
        <v/>
      </c>
      <c r="B496" s="95">
        <f>IF($J496="","",INDEX(NKC!$C$7:$C$3006,$J496))</f>
        <v/>
      </c>
      <c r="C496" s="131">
        <f>IF($J496="","",INDEX(NKC!$D$7:$D$3006,$J496))</f>
        <v/>
      </c>
      <c r="D496" s="97">
        <f>IF($J496="","",INDEX(NKC!$E$7:$E$3006,$J496))</f>
        <v/>
      </c>
      <c r="E496" s="95">
        <f>IF($J496="","",IF(LEFT(INDEX(NKC!$F$7:$F$3006,$J496),LEN($B$5))=$B$5,INDEX(NKC!$G$7:$G$3006,$J496),INDEX(NKC!$F$7:$F$3006,$J496)))</f>
        <v/>
      </c>
      <c r="F496" s="125">
        <f>IF($J496="","",IF(LEFT(INDEX(NKC!$F$7:$F$3006,$J496),LEN($B$5))=$B$5,INDEX(NKC!$H$7:$H$3006,$J496),""))</f>
        <v/>
      </c>
      <c r="G496" s="125">
        <f>IF($J496="","",IF(LEFT(INDEX(NKC!$G$7:$G$3006,$J496),LEN($B$5))=$B$5,INDEX(NKC!$H$7:$H$3006,$J496),""))</f>
        <v/>
      </c>
      <c r="H496" s="132">
        <f>IF($J496="","",H495+N(F496)-N(G496))</f>
        <v/>
      </c>
      <c r="J496" s="117">
        <f>IFERROR(MATCH(489,NKC!$P$7:$P$3006,0),"")</f>
        <v/>
      </c>
    </row>
    <row r="497" ht="15" customHeight="1" s="78">
      <c r="A497" s="131">
        <f>IF($J497="","",INDEX(NKC!$B$7:$B$3006,$J497))</f>
        <v/>
      </c>
      <c r="B497" s="95">
        <f>IF($J497="","",INDEX(NKC!$C$7:$C$3006,$J497))</f>
        <v/>
      </c>
      <c r="C497" s="131">
        <f>IF($J497="","",INDEX(NKC!$D$7:$D$3006,$J497))</f>
        <v/>
      </c>
      <c r="D497" s="97">
        <f>IF($J497="","",INDEX(NKC!$E$7:$E$3006,$J497))</f>
        <v/>
      </c>
      <c r="E497" s="95">
        <f>IF($J497="","",IF(LEFT(INDEX(NKC!$F$7:$F$3006,$J497),LEN($B$5))=$B$5,INDEX(NKC!$G$7:$G$3006,$J497),INDEX(NKC!$F$7:$F$3006,$J497)))</f>
        <v/>
      </c>
      <c r="F497" s="125">
        <f>IF($J497="","",IF(LEFT(INDEX(NKC!$F$7:$F$3006,$J497),LEN($B$5))=$B$5,INDEX(NKC!$H$7:$H$3006,$J497),""))</f>
        <v/>
      </c>
      <c r="G497" s="125">
        <f>IF($J497="","",IF(LEFT(INDEX(NKC!$G$7:$G$3006,$J497),LEN($B$5))=$B$5,INDEX(NKC!$H$7:$H$3006,$J497),""))</f>
        <v/>
      </c>
      <c r="H497" s="132">
        <f>IF($J497="","",H496+N(F497)-N(G497))</f>
        <v/>
      </c>
      <c r="J497" s="117">
        <f>IFERROR(MATCH(490,NKC!$P$7:$P$3006,0),"")</f>
        <v/>
      </c>
    </row>
    <row r="498" ht="15" customHeight="1" s="78">
      <c r="A498" s="131">
        <f>IF($J498="","",INDEX(NKC!$B$7:$B$3006,$J498))</f>
        <v/>
      </c>
      <c r="B498" s="95">
        <f>IF($J498="","",INDEX(NKC!$C$7:$C$3006,$J498))</f>
        <v/>
      </c>
      <c r="C498" s="131">
        <f>IF($J498="","",INDEX(NKC!$D$7:$D$3006,$J498))</f>
        <v/>
      </c>
      <c r="D498" s="97">
        <f>IF($J498="","",INDEX(NKC!$E$7:$E$3006,$J498))</f>
        <v/>
      </c>
      <c r="E498" s="95">
        <f>IF($J498="","",IF(LEFT(INDEX(NKC!$F$7:$F$3006,$J498),LEN($B$5))=$B$5,INDEX(NKC!$G$7:$G$3006,$J498),INDEX(NKC!$F$7:$F$3006,$J498)))</f>
        <v/>
      </c>
      <c r="F498" s="125">
        <f>IF($J498="","",IF(LEFT(INDEX(NKC!$F$7:$F$3006,$J498),LEN($B$5))=$B$5,INDEX(NKC!$H$7:$H$3006,$J498),""))</f>
        <v/>
      </c>
      <c r="G498" s="125">
        <f>IF($J498="","",IF(LEFT(INDEX(NKC!$G$7:$G$3006,$J498),LEN($B$5))=$B$5,INDEX(NKC!$H$7:$H$3006,$J498),""))</f>
        <v/>
      </c>
      <c r="H498" s="132">
        <f>IF($J498="","",H497+N(F498)-N(G498))</f>
        <v/>
      </c>
      <c r="J498" s="117">
        <f>IFERROR(MATCH(491,NKC!$P$7:$P$3006,0),"")</f>
        <v/>
      </c>
    </row>
    <row r="499" ht="15" customHeight="1" s="78">
      <c r="A499" s="131">
        <f>IF($J499="","",INDEX(NKC!$B$7:$B$3006,$J499))</f>
        <v/>
      </c>
      <c r="B499" s="95">
        <f>IF($J499="","",INDEX(NKC!$C$7:$C$3006,$J499))</f>
        <v/>
      </c>
      <c r="C499" s="131">
        <f>IF($J499="","",INDEX(NKC!$D$7:$D$3006,$J499))</f>
        <v/>
      </c>
      <c r="D499" s="97">
        <f>IF($J499="","",INDEX(NKC!$E$7:$E$3006,$J499))</f>
        <v/>
      </c>
      <c r="E499" s="95">
        <f>IF($J499="","",IF(LEFT(INDEX(NKC!$F$7:$F$3006,$J499),LEN($B$5))=$B$5,INDEX(NKC!$G$7:$G$3006,$J499),INDEX(NKC!$F$7:$F$3006,$J499)))</f>
        <v/>
      </c>
      <c r="F499" s="125">
        <f>IF($J499="","",IF(LEFT(INDEX(NKC!$F$7:$F$3006,$J499),LEN($B$5))=$B$5,INDEX(NKC!$H$7:$H$3006,$J499),""))</f>
        <v/>
      </c>
      <c r="G499" s="125">
        <f>IF($J499="","",IF(LEFT(INDEX(NKC!$G$7:$G$3006,$J499),LEN($B$5))=$B$5,INDEX(NKC!$H$7:$H$3006,$J499),""))</f>
        <v/>
      </c>
      <c r="H499" s="132">
        <f>IF($J499="","",H498+N(F499)-N(G499))</f>
        <v/>
      </c>
      <c r="J499" s="117">
        <f>IFERROR(MATCH(492,NKC!$P$7:$P$3006,0),"")</f>
        <v/>
      </c>
    </row>
    <row r="500" ht="15" customHeight="1" s="78">
      <c r="A500" s="131">
        <f>IF($J500="","",INDEX(NKC!$B$7:$B$3006,$J500))</f>
        <v/>
      </c>
      <c r="B500" s="95">
        <f>IF($J500="","",INDEX(NKC!$C$7:$C$3006,$J500))</f>
        <v/>
      </c>
      <c r="C500" s="131">
        <f>IF($J500="","",INDEX(NKC!$D$7:$D$3006,$J500))</f>
        <v/>
      </c>
      <c r="D500" s="97">
        <f>IF($J500="","",INDEX(NKC!$E$7:$E$3006,$J500))</f>
        <v/>
      </c>
      <c r="E500" s="95">
        <f>IF($J500="","",IF(LEFT(INDEX(NKC!$F$7:$F$3006,$J500),LEN($B$5))=$B$5,INDEX(NKC!$G$7:$G$3006,$J500),INDEX(NKC!$F$7:$F$3006,$J500)))</f>
        <v/>
      </c>
      <c r="F500" s="125">
        <f>IF($J500="","",IF(LEFT(INDEX(NKC!$F$7:$F$3006,$J500),LEN($B$5))=$B$5,INDEX(NKC!$H$7:$H$3006,$J500),""))</f>
        <v/>
      </c>
      <c r="G500" s="125">
        <f>IF($J500="","",IF(LEFT(INDEX(NKC!$G$7:$G$3006,$J500),LEN($B$5))=$B$5,INDEX(NKC!$H$7:$H$3006,$J500),""))</f>
        <v/>
      </c>
      <c r="H500" s="132">
        <f>IF($J500="","",H499+N(F500)-N(G500))</f>
        <v/>
      </c>
      <c r="J500" s="117">
        <f>IFERROR(MATCH(493,NKC!$P$7:$P$3006,0),"")</f>
        <v/>
      </c>
    </row>
    <row r="501" ht="15" customHeight="1" s="78">
      <c r="A501" s="131">
        <f>IF($J501="","",INDEX(NKC!$B$7:$B$3006,$J501))</f>
        <v/>
      </c>
      <c r="B501" s="95">
        <f>IF($J501="","",INDEX(NKC!$C$7:$C$3006,$J501))</f>
        <v/>
      </c>
      <c r="C501" s="131">
        <f>IF($J501="","",INDEX(NKC!$D$7:$D$3006,$J501))</f>
        <v/>
      </c>
      <c r="D501" s="97">
        <f>IF($J501="","",INDEX(NKC!$E$7:$E$3006,$J501))</f>
        <v/>
      </c>
      <c r="E501" s="95">
        <f>IF($J501="","",IF(LEFT(INDEX(NKC!$F$7:$F$3006,$J501),LEN($B$5))=$B$5,INDEX(NKC!$G$7:$G$3006,$J501),INDEX(NKC!$F$7:$F$3006,$J501)))</f>
        <v/>
      </c>
      <c r="F501" s="125">
        <f>IF($J501="","",IF(LEFT(INDEX(NKC!$F$7:$F$3006,$J501),LEN($B$5))=$B$5,INDEX(NKC!$H$7:$H$3006,$J501),""))</f>
        <v/>
      </c>
      <c r="G501" s="125">
        <f>IF($J501="","",IF(LEFT(INDEX(NKC!$G$7:$G$3006,$J501),LEN($B$5))=$B$5,INDEX(NKC!$H$7:$H$3006,$J501),""))</f>
        <v/>
      </c>
      <c r="H501" s="132">
        <f>IF($J501="","",H500+N(F501)-N(G501))</f>
        <v/>
      </c>
      <c r="J501" s="117">
        <f>IFERROR(MATCH(494,NKC!$P$7:$P$3006,0),"")</f>
        <v/>
      </c>
    </row>
    <row r="502" ht="15" customHeight="1" s="78">
      <c r="A502" s="131">
        <f>IF($J502="","",INDEX(NKC!$B$7:$B$3006,$J502))</f>
        <v/>
      </c>
      <c r="B502" s="95">
        <f>IF($J502="","",INDEX(NKC!$C$7:$C$3006,$J502))</f>
        <v/>
      </c>
      <c r="C502" s="131">
        <f>IF($J502="","",INDEX(NKC!$D$7:$D$3006,$J502))</f>
        <v/>
      </c>
      <c r="D502" s="97">
        <f>IF($J502="","",INDEX(NKC!$E$7:$E$3006,$J502))</f>
        <v/>
      </c>
      <c r="E502" s="95">
        <f>IF($J502="","",IF(LEFT(INDEX(NKC!$F$7:$F$3006,$J502),LEN($B$5))=$B$5,INDEX(NKC!$G$7:$G$3006,$J502),INDEX(NKC!$F$7:$F$3006,$J502)))</f>
        <v/>
      </c>
      <c r="F502" s="125">
        <f>IF($J502="","",IF(LEFT(INDEX(NKC!$F$7:$F$3006,$J502),LEN($B$5))=$B$5,INDEX(NKC!$H$7:$H$3006,$J502),""))</f>
        <v/>
      </c>
      <c r="G502" s="125">
        <f>IF($J502="","",IF(LEFT(INDEX(NKC!$G$7:$G$3006,$J502),LEN($B$5))=$B$5,INDEX(NKC!$H$7:$H$3006,$J502),""))</f>
        <v/>
      </c>
      <c r="H502" s="132">
        <f>IF($J502="","",H501+N(F502)-N(G502))</f>
        <v/>
      </c>
      <c r="J502" s="117">
        <f>IFERROR(MATCH(495,NKC!$P$7:$P$3006,0),"")</f>
        <v/>
      </c>
    </row>
    <row r="503" ht="15" customHeight="1" s="78">
      <c r="A503" s="131">
        <f>IF($J503="","",INDEX(NKC!$B$7:$B$3006,$J503))</f>
        <v/>
      </c>
      <c r="B503" s="95">
        <f>IF($J503="","",INDEX(NKC!$C$7:$C$3006,$J503))</f>
        <v/>
      </c>
      <c r="C503" s="131">
        <f>IF($J503="","",INDEX(NKC!$D$7:$D$3006,$J503))</f>
        <v/>
      </c>
      <c r="D503" s="97">
        <f>IF($J503="","",INDEX(NKC!$E$7:$E$3006,$J503))</f>
        <v/>
      </c>
      <c r="E503" s="95">
        <f>IF($J503="","",IF(LEFT(INDEX(NKC!$F$7:$F$3006,$J503),LEN($B$5))=$B$5,INDEX(NKC!$G$7:$G$3006,$J503),INDEX(NKC!$F$7:$F$3006,$J503)))</f>
        <v/>
      </c>
      <c r="F503" s="125">
        <f>IF($J503="","",IF(LEFT(INDEX(NKC!$F$7:$F$3006,$J503),LEN($B$5))=$B$5,INDEX(NKC!$H$7:$H$3006,$J503),""))</f>
        <v/>
      </c>
      <c r="G503" s="125">
        <f>IF($J503="","",IF(LEFT(INDEX(NKC!$G$7:$G$3006,$J503),LEN($B$5))=$B$5,INDEX(NKC!$H$7:$H$3006,$J503),""))</f>
        <v/>
      </c>
      <c r="H503" s="132">
        <f>IF($J503="","",H502+N(F503)-N(G503))</f>
        <v/>
      </c>
      <c r="J503" s="117">
        <f>IFERROR(MATCH(496,NKC!$P$7:$P$3006,0),"")</f>
        <v/>
      </c>
    </row>
    <row r="504" ht="15" customHeight="1" s="78">
      <c r="A504" s="131">
        <f>IF($J504="","",INDEX(NKC!$B$7:$B$3006,$J504))</f>
        <v/>
      </c>
      <c r="B504" s="95">
        <f>IF($J504="","",INDEX(NKC!$C$7:$C$3006,$J504))</f>
        <v/>
      </c>
      <c r="C504" s="131">
        <f>IF($J504="","",INDEX(NKC!$D$7:$D$3006,$J504))</f>
        <v/>
      </c>
      <c r="D504" s="97">
        <f>IF($J504="","",INDEX(NKC!$E$7:$E$3006,$J504))</f>
        <v/>
      </c>
      <c r="E504" s="95">
        <f>IF($J504="","",IF(LEFT(INDEX(NKC!$F$7:$F$3006,$J504),LEN($B$5))=$B$5,INDEX(NKC!$G$7:$G$3006,$J504),INDEX(NKC!$F$7:$F$3006,$J504)))</f>
        <v/>
      </c>
      <c r="F504" s="125">
        <f>IF($J504="","",IF(LEFT(INDEX(NKC!$F$7:$F$3006,$J504),LEN($B$5))=$B$5,INDEX(NKC!$H$7:$H$3006,$J504),""))</f>
        <v/>
      </c>
      <c r="G504" s="125">
        <f>IF($J504="","",IF(LEFT(INDEX(NKC!$G$7:$G$3006,$J504),LEN($B$5))=$B$5,INDEX(NKC!$H$7:$H$3006,$J504),""))</f>
        <v/>
      </c>
      <c r="H504" s="132">
        <f>IF($J504="","",H503+N(F504)-N(G504))</f>
        <v/>
      </c>
      <c r="J504" s="117">
        <f>IFERROR(MATCH(497,NKC!$P$7:$P$3006,0),"")</f>
        <v/>
      </c>
    </row>
    <row r="505" ht="15" customHeight="1" s="78">
      <c r="A505" s="131">
        <f>IF($J505="","",INDEX(NKC!$B$7:$B$3006,$J505))</f>
        <v/>
      </c>
      <c r="B505" s="95">
        <f>IF($J505="","",INDEX(NKC!$C$7:$C$3006,$J505))</f>
        <v/>
      </c>
      <c r="C505" s="131">
        <f>IF($J505="","",INDEX(NKC!$D$7:$D$3006,$J505))</f>
        <v/>
      </c>
      <c r="D505" s="97">
        <f>IF($J505="","",INDEX(NKC!$E$7:$E$3006,$J505))</f>
        <v/>
      </c>
      <c r="E505" s="95">
        <f>IF($J505="","",IF(LEFT(INDEX(NKC!$F$7:$F$3006,$J505),LEN($B$5))=$B$5,INDEX(NKC!$G$7:$G$3006,$J505),INDEX(NKC!$F$7:$F$3006,$J505)))</f>
        <v/>
      </c>
      <c r="F505" s="125">
        <f>IF($J505="","",IF(LEFT(INDEX(NKC!$F$7:$F$3006,$J505),LEN($B$5))=$B$5,INDEX(NKC!$H$7:$H$3006,$J505),""))</f>
        <v/>
      </c>
      <c r="G505" s="125">
        <f>IF($J505="","",IF(LEFT(INDEX(NKC!$G$7:$G$3006,$J505),LEN($B$5))=$B$5,INDEX(NKC!$H$7:$H$3006,$J505),""))</f>
        <v/>
      </c>
      <c r="H505" s="132">
        <f>IF($J505="","",H504+N(F505)-N(G505))</f>
        <v/>
      </c>
      <c r="J505" s="117">
        <f>IFERROR(MATCH(498,NKC!$P$7:$P$3006,0),"")</f>
        <v/>
      </c>
    </row>
    <row r="506" ht="15" customHeight="1" s="78">
      <c r="A506" s="131">
        <f>IF($J506="","",INDEX(NKC!$B$7:$B$3006,$J506))</f>
        <v/>
      </c>
      <c r="B506" s="95">
        <f>IF($J506="","",INDEX(NKC!$C$7:$C$3006,$J506))</f>
        <v/>
      </c>
      <c r="C506" s="131">
        <f>IF($J506="","",INDEX(NKC!$D$7:$D$3006,$J506))</f>
        <v/>
      </c>
      <c r="D506" s="97">
        <f>IF($J506="","",INDEX(NKC!$E$7:$E$3006,$J506))</f>
        <v/>
      </c>
      <c r="E506" s="95">
        <f>IF($J506="","",IF(LEFT(INDEX(NKC!$F$7:$F$3006,$J506),LEN($B$5))=$B$5,INDEX(NKC!$G$7:$G$3006,$J506),INDEX(NKC!$F$7:$F$3006,$J506)))</f>
        <v/>
      </c>
      <c r="F506" s="125">
        <f>IF($J506="","",IF(LEFT(INDEX(NKC!$F$7:$F$3006,$J506),LEN($B$5))=$B$5,INDEX(NKC!$H$7:$H$3006,$J506),""))</f>
        <v/>
      </c>
      <c r="G506" s="125">
        <f>IF($J506="","",IF(LEFT(INDEX(NKC!$G$7:$G$3006,$J506),LEN($B$5))=$B$5,INDEX(NKC!$H$7:$H$3006,$J506),""))</f>
        <v/>
      </c>
      <c r="H506" s="132">
        <f>IF($J506="","",H505+N(F506)-N(G506))</f>
        <v/>
      </c>
      <c r="J506" s="117">
        <f>IFERROR(MATCH(499,NKC!$P$7:$P$3006,0),"")</f>
        <v/>
      </c>
    </row>
    <row r="507" ht="15" customHeight="1" s="78">
      <c r="A507" s="131">
        <f>IF($J507="","",INDEX(NKC!$B$7:$B$3006,$J507))</f>
        <v/>
      </c>
      <c r="B507" s="95">
        <f>IF($J507="","",INDEX(NKC!$C$7:$C$3006,$J507))</f>
        <v/>
      </c>
      <c r="C507" s="131">
        <f>IF($J507="","",INDEX(NKC!$D$7:$D$3006,$J507))</f>
        <v/>
      </c>
      <c r="D507" s="97">
        <f>IF($J507="","",INDEX(NKC!$E$7:$E$3006,$J507))</f>
        <v/>
      </c>
      <c r="E507" s="95">
        <f>IF($J507="","",IF(LEFT(INDEX(NKC!$F$7:$F$3006,$J507),LEN($B$5))=$B$5,INDEX(NKC!$G$7:$G$3006,$J507),INDEX(NKC!$F$7:$F$3006,$J507)))</f>
        <v/>
      </c>
      <c r="F507" s="125">
        <f>IF($J507="","",IF(LEFT(INDEX(NKC!$F$7:$F$3006,$J507),LEN($B$5))=$B$5,INDEX(NKC!$H$7:$H$3006,$J507),""))</f>
        <v/>
      </c>
      <c r="G507" s="125">
        <f>IF($J507="","",IF(LEFT(INDEX(NKC!$G$7:$G$3006,$J507),LEN($B$5))=$B$5,INDEX(NKC!$H$7:$H$3006,$J507),""))</f>
        <v/>
      </c>
      <c r="H507" s="132">
        <f>IF($J507="","",H506+N(F507)-N(G507))</f>
        <v/>
      </c>
      <c r="J507" s="117">
        <f>IFERROR(MATCH(500,NKC!$P$7:$P$3006,0),"")</f>
        <v/>
      </c>
    </row>
    <row r="508" ht="15" customHeight="1" s="78">
      <c r="A508" s="131">
        <f>IF($J508="","",INDEX(NKC!$B$7:$B$3006,$J508))</f>
        <v/>
      </c>
      <c r="B508" s="95">
        <f>IF($J508="","",INDEX(NKC!$C$7:$C$3006,$J508))</f>
        <v/>
      </c>
      <c r="C508" s="131">
        <f>IF($J508="","",INDEX(NKC!$D$7:$D$3006,$J508))</f>
        <v/>
      </c>
      <c r="D508" s="97">
        <f>IF($J508="","",INDEX(NKC!$E$7:$E$3006,$J508))</f>
        <v/>
      </c>
      <c r="E508" s="95">
        <f>IF($J508="","",IF(LEFT(INDEX(NKC!$F$7:$F$3006,$J508),LEN($B$5))=$B$5,INDEX(NKC!$G$7:$G$3006,$J508),INDEX(NKC!$F$7:$F$3006,$J508)))</f>
        <v/>
      </c>
      <c r="F508" s="125">
        <f>IF($J508="","",IF(LEFT(INDEX(NKC!$F$7:$F$3006,$J508),LEN($B$5))=$B$5,INDEX(NKC!$H$7:$H$3006,$J508),""))</f>
        <v/>
      </c>
      <c r="G508" s="125">
        <f>IF($J508="","",IF(LEFT(INDEX(NKC!$G$7:$G$3006,$J508),LEN($B$5))=$B$5,INDEX(NKC!$H$7:$H$3006,$J508),""))</f>
        <v/>
      </c>
      <c r="H508" s="132">
        <f>IF($J508="","",H507+N(F508)-N(G508))</f>
        <v/>
      </c>
      <c r="J508" s="117">
        <f>IFERROR(MATCH(501,NKC!$P$7:$P$3006,0),"")</f>
        <v/>
      </c>
    </row>
    <row r="509" ht="15" customHeight="1" s="78">
      <c r="A509" s="131">
        <f>IF($J509="","",INDEX(NKC!$B$7:$B$3006,$J509))</f>
        <v/>
      </c>
      <c r="B509" s="95">
        <f>IF($J509="","",INDEX(NKC!$C$7:$C$3006,$J509))</f>
        <v/>
      </c>
      <c r="C509" s="131">
        <f>IF($J509="","",INDEX(NKC!$D$7:$D$3006,$J509))</f>
        <v/>
      </c>
      <c r="D509" s="97">
        <f>IF($J509="","",INDEX(NKC!$E$7:$E$3006,$J509))</f>
        <v/>
      </c>
      <c r="E509" s="95">
        <f>IF($J509="","",IF(LEFT(INDEX(NKC!$F$7:$F$3006,$J509),LEN($B$5))=$B$5,INDEX(NKC!$G$7:$G$3006,$J509),INDEX(NKC!$F$7:$F$3006,$J509)))</f>
        <v/>
      </c>
      <c r="F509" s="125">
        <f>IF($J509="","",IF(LEFT(INDEX(NKC!$F$7:$F$3006,$J509),LEN($B$5))=$B$5,INDEX(NKC!$H$7:$H$3006,$J509),""))</f>
        <v/>
      </c>
      <c r="G509" s="125">
        <f>IF($J509="","",IF(LEFT(INDEX(NKC!$G$7:$G$3006,$J509),LEN($B$5))=$B$5,INDEX(NKC!$H$7:$H$3006,$J509),""))</f>
        <v/>
      </c>
      <c r="H509" s="132">
        <f>IF($J509="","",H508+N(F509)-N(G509))</f>
        <v/>
      </c>
      <c r="J509" s="117">
        <f>IFERROR(MATCH(502,NKC!$P$7:$P$3006,0),"")</f>
        <v/>
      </c>
    </row>
    <row r="510" ht="15" customHeight="1" s="78">
      <c r="A510" s="131">
        <f>IF($J510="","",INDEX(NKC!$B$7:$B$3006,$J510))</f>
        <v/>
      </c>
      <c r="B510" s="95">
        <f>IF($J510="","",INDEX(NKC!$C$7:$C$3006,$J510))</f>
        <v/>
      </c>
      <c r="C510" s="131">
        <f>IF($J510="","",INDEX(NKC!$D$7:$D$3006,$J510))</f>
        <v/>
      </c>
      <c r="D510" s="97">
        <f>IF($J510="","",INDEX(NKC!$E$7:$E$3006,$J510))</f>
        <v/>
      </c>
      <c r="E510" s="95">
        <f>IF($J510="","",IF(LEFT(INDEX(NKC!$F$7:$F$3006,$J510),LEN($B$5))=$B$5,INDEX(NKC!$G$7:$G$3006,$J510),INDEX(NKC!$F$7:$F$3006,$J510)))</f>
        <v/>
      </c>
      <c r="F510" s="125">
        <f>IF($J510="","",IF(LEFT(INDEX(NKC!$F$7:$F$3006,$J510),LEN($B$5))=$B$5,INDEX(NKC!$H$7:$H$3006,$J510),""))</f>
        <v/>
      </c>
      <c r="G510" s="125">
        <f>IF($J510="","",IF(LEFT(INDEX(NKC!$G$7:$G$3006,$J510),LEN($B$5))=$B$5,INDEX(NKC!$H$7:$H$3006,$J510),""))</f>
        <v/>
      </c>
      <c r="H510" s="132">
        <f>IF($J510="","",H509+N(F510)-N(G510))</f>
        <v/>
      </c>
      <c r="J510" s="117">
        <f>IFERROR(MATCH(503,NKC!$P$7:$P$3006,0),"")</f>
        <v/>
      </c>
    </row>
    <row r="511" ht="15" customHeight="1" s="78">
      <c r="A511" s="131">
        <f>IF($J511="","",INDEX(NKC!$B$7:$B$3006,$J511))</f>
        <v/>
      </c>
      <c r="B511" s="95">
        <f>IF($J511="","",INDEX(NKC!$C$7:$C$3006,$J511))</f>
        <v/>
      </c>
      <c r="C511" s="131">
        <f>IF($J511="","",INDEX(NKC!$D$7:$D$3006,$J511))</f>
        <v/>
      </c>
      <c r="D511" s="97">
        <f>IF($J511="","",INDEX(NKC!$E$7:$E$3006,$J511))</f>
        <v/>
      </c>
      <c r="E511" s="95">
        <f>IF($J511="","",IF(LEFT(INDEX(NKC!$F$7:$F$3006,$J511),LEN($B$5))=$B$5,INDEX(NKC!$G$7:$G$3006,$J511),INDEX(NKC!$F$7:$F$3006,$J511)))</f>
        <v/>
      </c>
      <c r="F511" s="125">
        <f>IF($J511="","",IF(LEFT(INDEX(NKC!$F$7:$F$3006,$J511),LEN($B$5))=$B$5,INDEX(NKC!$H$7:$H$3006,$J511),""))</f>
        <v/>
      </c>
      <c r="G511" s="125">
        <f>IF($J511="","",IF(LEFT(INDEX(NKC!$G$7:$G$3006,$J511),LEN($B$5))=$B$5,INDEX(NKC!$H$7:$H$3006,$J511),""))</f>
        <v/>
      </c>
      <c r="H511" s="132">
        <f>IF($J511="","",H510+N(F511)-N(G511))</f>
        <v/>
      </c>
      <c r="J511" s="117">
        <f>IFERROR(MATCH(504,NKC!$P$7:$P$3006,0),"")</f>
        <v/>
      </c>
    </row>
    <row r="512" ht="15" customHeight="1" s="78">
      <c r="A512" s="131">
        <f>IF($J512="","",INDEX(NKC!$B$7:$B$3006,$J512))</f>
        <v/>
      </c>
      <c r="B512" s="95">
        <f>IF($J512="","",INDEX(NKC!$C$7:$C$3006,$J512))</f>
        <v/>
      </c>
      <c r="C512" s="131">
        <f>IF($J512="","",INDEX(NKC!$D$7:$D$3006,$J512))</f>
        <v/>
      </c>
      <c r="D512" s="97">
        <f>IF($J512="","",INDEX(NKC!$E$7:$E$3006,$J512))</f>
        <v/>
      </c>
      <c r="E512" s="95">
        <f>IF($J512="","",IF(LEFT(INDEX(NKC!$F$7:$F$3006,$J512),LEN($B$5))=$B$5,INDEX(NKC!$G$7:$G$3006,$J512),INDEX(NKC!$F$7:$F$3006,$J512)))</f>
        <v/>
      </c>
      <c r="F512" s="125">
        <f>IF($J512="","",IF(LEFT(INDEX(NKC!$F$7:$F$3006,$J512),LEN($B$5))=$B$5,INDEX(NKC!$H$7:$H$3006,$J512),""))</f>
        <v/>
      </c>
      <c r="G512" s="125">
        <f>IF($J512="","",IF(LEFT(INDEX(NKC!$G$7:$G$3006,$J512),LEN($B$5))=$B$5,INDEX(NKC!$H$7:$H$3006,$J512),""))</f>
        <v/>
      </c>
      <c r="H512" s="132">
        <f>IF($J512="","",H511+N(F512)-N(G512))</f>
        <v/>
      </c>
      <c r="J512" s="117">
        <f>IFERROR(MATCH(505,NKC!$P$7:$P$3006,0),"")</f>
        <v/>
      </c>
    </row>
    <row r="513" ht="15" customHeight="1" s="78">
      <c r="A513" s="131">
        <f>IF($J513="","",INDEX(NKC!$B$7:$B$3006,$J513))</f>
        <v/>
      </c>
      <c r="B513" s="95">
        <f>IF($J513="","",INDEX(NKC!$C$7:$C$3006,$J513))</f>
        <v/>
      </c>
      <c r="C513" s="131">
        <f>IF($J513="","",INDEX(NKC!$D$7:$D$3006,$J513))</f>
        <v/>
      </c>
      <c r="D513" s="97">
        <f>IF($J513="","",INDEX(NKC!$E$7:$E$3006,$J513))</f>
        <v/>
      </c>
      <c r="E513" s="95">
        <f>IF($J513="","",IF(LEFT(INDEX(NKC!$F$7:$F$3006,$J513),LEN($B$5))=$B$5,INDEX(NKC!$G$7:$G$3006,$J513),INDEX(NKC!$F$7:$F$3006,$J513)))</f>
        <v/>
      </c>
      <c r="F513" s="125">
        <f>IF($J513="","",IF(LEFT(INDEX(NKC!$F$7:$F$3006,$J513),LEN($B$5))=$B$5,INDEX(NKC!$H$7:$H$3006,$J513),""))</f>
        <v/>
      </c>
      <c r="G513" s="125">
        <f>IF($J513="","",IF(LEFT(INDEX(NKC!$G$7:$G$3006,$J513),LEN($B$5))=$B$5,INDEX(NKC!$H$7:$H$3006,$J513),""))</f>
        <v/>
      </c>
      <c r="H513" s="132">
        <f>IF($J513="","",H512+N(F513)-N(G513))</f>
        <v/>
      </c>
      <c r="J513" s="117">
        <f>IFERROR(MATCH(506,NKC!$P$7:$P$3006,0),"")</f>
        <v/>
      </c>
    </row>
    <row r="514" ht="15" customHeight="1" s="78">
      <c r="A514" s="131">
        <f>IF($J514="","",INDEX(NKC!$B$7:$B$3006,$J514))</f>
        <v/>
      </c>
      <c r="B514" s="95">
        <f>IF($J514="","",INDEX(NKC!$C$7:$C$3006,$J514))</f>
        <v/>
      </c>
      <c r="C514" s="131">
        <f>IF($J514="","",INDEX(NKC!$D$7:$D$3006,$J514))</f>
        <v/>
      </c>
      <c r="D514" s="97">
        <f>IF($J514="","",INDEX(NKC!$E$7:$E$3006,$J514))</f>
        <v/>
      </c>
      <c r="E514" s="95">
        <f>IF($J514="","",IF(LEFT(INDEX(NKC!$F$7:$F$3006,$J514),LEN($B$5))=$B$5,INDEX(NKC!$G$7:$G$3006,$J514),INDEX(NKC!$F$7:$F$3006,$J514)))</f>
        <v/>
      </c>
      <c r="F514" s="125">
        <f>IF($J514="","",IF(LEFT(INDEX(NKC!$F$7:$F$3006,$J514),LEN($B$5))=$B$5,INDEX(NKC!$H$7:$H$3006,$J514),""))</f>
        <v/>
      </c>
      <c r="G514" s="125">
        <f>IF($J514="","",IF(LEFT(INDEX(NKC!$G$7:$G$3006,$J514),LEN($B$5))=$B$5,INDEX(NKC!$H$7:$H$3006,$J514),""))</f>
        <v/>
      </c>
      <c r="H514" s="132">
        <f>IF($J514="","",H513+N(F514)-N(G514))</f>
        <v/>
      </c>
      <c r="J514" s="117">
        <f>IFERROR(MATCH(507,NKC!$P$7:$P$3006,0),"")</f>
        <v/>
      </c>
    </row>
    <row r="515" ht="15" customHeight="1" s="78">
      <c r="A515" s="131">
        <f>IF($J515="","",INDEX(NKC!$B$7:$B$3006,$J515))</f>
        <v/>
      </c>
      <c r="B515" s="95">
        <f>IF($J515="","",INDEX(NKC!$C$7:$C$3006,$J515))</f>
        <v/>
      </c>
      <c r="C515" s="131">
        <f>IF($J515="","",INDEX(NKC!$D$7:$D$3006,$J515))</f>
        <v/>
      </c>
      <c r="D515" s="97">
        <f>IF($J515="","",INDEX(NKC!$E$7:$E$3006,$J515))</f>
        <v/>
      </c>
      <c r="E515" s="95">
        <f>IF($J515="","",IF(LEFT(INDEX(NKC!$F$7:$F$3006,$J515),LEN($B$5))=$B$5,INDEX(NKC!$G$7:$G$3006,$J515),INDEX(NKC!$F$7:$F$3006,$J515)))</f>
        <v/>
      </c>
      <c r="F515" s="125">
        <f>IF($J515="","",IF(LEFT(INDEX(NKC!$F$7:$F$3006,$J515),LEN($B$5))=$B$5,INDEX(NKC!$H$7:$H$3006,$J515),""))</f>
        <v/>
      </c>
      <c r="G515" s="125">
        <f>IF($J515="","",IF(LEFT(INDEX(NKC!$G$7:$G$3006,$J515),LEN($B$5))=$B$5,INDEX(NKC!$H$7:$H$3006,$J515),""))</f>
        <v/>
      </c>
      <c r="H515" s="132">
        <f>IF($J515="","",H514+N(F515)-N(G515))</f>
        <v/>
      </c>
      <c r="J515" s="117">
        <f>IFERROR(MATCH(508,NKC!$P$7:$P$3006,0),"")</f>
        <v/>
      </c>
    </row>
    <row r="516" ht="15" customHeight="1" s="78">
      <c r="A516" s="131">
        <f>IF($J516="","",INDEX(NKC!$B$7:$B$3006,$J516))</f>
        <v/>
      </c>
      <c r="B516" s="95">
        <f>IF($J516="","",INDEX(NKC!$C$7:$C$3006,$J516))</f>
        <v/>
      </c>
      <c r="C516" s="131">
        <f>IF($J516="","",INDEX(NKC!$D$7:$D$3006,$J516))</f>
        <v/>
      </c>
      <c r="D516" s="97">
        <f>IF($J516="","",INDEX(NKC!$E$7:$E$3006,$J516))</f>
        <v/>
      </c>
      <c r="E516" s="95">
        <f>IF($J516="","",IF(LEFT(INDEX(NKC!$F$7:$F$3006,$J516),LEN($B$5))=$B$5,INDEX(NKC!$G$7:$G$3006,$J516),INDEX(NKC!$F$7:$F$3006,$J516)))</f>
        <v/>
      </c>
      <c r="F516" s="125">
        <f>IF($J516="","",IF(LEFT(INDEX(NKC!$F$7:$F$3006,$J516),LEN($B$5))=$B$5,INDEX(NKC!$H$7:$H$3006,$J516),""))</f>
        <v/>
      </c>
      <c r="G516" s="125">
        <f>IF($J516="","",IF(LEFT(INDEX(NKC!$G$7:$G$3006,$J516),LEN($B$5))=$B$5,INDEX(NKC!$H$7:$H$3006,$J516),""))</f>
        <v/>
      </c>
      <c r="H516" s="132">
        <f>IF($J516="","",H515+N(F516)-N(G516))</f>
        <v/>
      </c>
      <c r="J516" s="117">
        <f>IFERROR(MATCH(509,NKC!$P$7:$P$3006,0),"")</f>
        <v/>
      </c>
    </row>
    <row r="517" ht="15" customHeight="1" s="78">
      <c r="A517" s="131">
        <f>IF($J517="","",INDEX(NKC!$B$7:$B$3006,$J517))</f>
        <v/>
      </c>
      <c r="B517" s="95">
        <f>IF($J517="","",INDEX(NKC!$C$7:$C$3006,$J517))</f>
        <v/>
      </c>
      <c r="C517" s="131">
        <f>IF($J517="","",INDEX(NKC!$D$7:$D$3006,$J517))</f>
        <v/>
      </c>
      <c r="D517" s="97">
        <f>IF($J517="","",INDEX(NKC!$E$7:$E$3006,$J517))</f>
        <v/>
      </c>
      <c r="E517" s="95">
        <f>IF($J517="","",IF(LEFT(INDEX(NKC!$F$7:$F$3006,$J517),LEN($B$5))=$B$5,INDEX(NKC!$G$7:$G$3006,$J517),INDEX(NKC!$F$7:$F$3006,$J517)))</f>
        <v/>
      </c>
      <c r="F517" s="125">
        <f>IF($J517="","",IF(LEFT(INDEX(NKC!$F$7:$F$3006,$J517),LEN($B$5))=$B$5,INDEX(NKC!$H$7:$H$3006,$J517),""))</f>
        <v/>
      </c>
      <c r="G517" s="125">
        <f>IF($J517="","",IF(LEFT(INDEX(NKC!$G$7:$G$3006,$J517),LEN($B$5))=$B$5,INDEX(NKC!$H$7:$H$3006,$J517),""))</f>
        <v/>
      </c>
      <c r="H517" s="132">
        <f>IF($J517="","",H516+N(F517)-N(G517))</f>
        <v/>
      </c>
      <c r="J517" s="117">
        <f>IFERROR(MATCH(510,NKC!$P$7:$P$3006,0),"")</f>
        <v/>
      </c>
    </row>
    <row r="518" ht="15" customHeight="1" s="78">
      <c r="A518" s="131">
        <f>IF($J518="","",INDEX(NKC!$B$7:$B$3006,$J518))</f>
        <v/>
      </c>
      <c r="B518" s="95">
        <f>IF($J518="","",INDEX(NKC!$C$7:$C$3006,$J518))</f>
        <v/>
      </c>
      <c r="C518" s="131">
        <f>IF($J518="","",INDEX(NKC!$D$7:$D$3006,$J518))</f>
        <v/>
      </c>
      <c r="D518" s="97">
        <f>IF($J518="","",INDEX(NKC!$E$7:$E$3006,$J518))</f>
        <v/>
      </c>
      <c r="E518" s="95">
        <f>IF($J518="","",IF(LEFT(INDEX(NKC!$F$7:$F$3006,$J518),LEN($B$5))=$B$5,INDEX(NKC!$G$7:$G$3006,$J518),INDEX(NKC!$F$7:$F$3006,$J518)))</f>
        <v/>
      </c>
      <c r="F518" s="125">
        <f>IF($J518="","",IF(LEFT(INDEX(NKC!$F$7:$F$3006,$J518),LEN($B$5))=$B$5,INDEX(NKC!$H$7:$H$3006,$J518),""))</f>
        <v/>
      </c>
      <c r="G518" s="125">
        <f>IF($J518="","",IF(LEFT(INDEX(NKC!$G$7:$G$3006,$J518),LEN($B$5))=$B$5,INDEX(NKC!$H$7:$H$3006,$J518),""))</f>
        <v/>
      </c>
      <c r="H518" s="132">
        <f>IF($J518="","",H517+N(F518)-N(G518))</f>
        <v/>
      </c>
      <c r="J518" s="117">
        <f>IFERROR(MATCH(511,NKC!$P$7:$P$3006,0),"")</f>
        <v/>
      </c>
    </row>
    <row r="519" ht="15" customHeight="1" s="78">
      <c r="A519" s="131">
        <f>IF($J519="","",INDEX(NKC!$B$7:$B$3006,$J519))</f>
        <v/>
      </c>
      <c r="B519" s="95">
        <f>IF($J519="","",INDEX(NKC!$C$7:$C$3006,$J519))</f>
        <v/>
      </c>
      <c r="C519" s="131">
        <f>IF($J519="","",INDEX(NKC!$D$7:$D$3006,$J519))</f>
        <v/>
      </c>
      <c r="D519" s="97">
        <f>IF($J519="","",INDEX(NKC!$E$7:$E$3006,$J519))</f>
        <v/>
      </c>
      <c r="E519" s="95">
        <f>IF($J519="","",IF(LEFT(INDEX(NKC!$F$7:$F$3006,$J519),LEN($B$5))=$B$5,INDEX(NKC!$G$7:$G$3006,$J519),INDEX(NKC!$F$7:$F$3006,$J519)))</f>
        <v/>
      </c>
      <c r="F519" s="125">
        <f>IF($J519="","",IF(LEFT(INDEX(NKC!$F$7:$F$3006,$J519),LEN($B$5))=$B$5,INDEX(NKC!$H$7:$H$3006,$J519),""))</f>
        <v/>
      </c>
      <c r="G519" s="125">
        <f>IF($J519="","",IF(LEFT(INDEX(NKC!$G$7:$G$3006,$J519),LEN($B$5))=$B$5,INDEX(NKC!$H$7:$H$3006,$J519),""))</f>
        <v/>
      </c>
      <c r="H519" s="132">
        <f>IF($J519="","",H518+N(F519)-N(G519))</f>
        <v/>
      </c>
      <c r="J519" s="117">
        <f>IFERROR(MATCH(512,NKC!$P$7:$P$3006,0),"")</f>
        <v/>
      </c>
    </row>
    <row r="520" ht="15" customHeight="1" s="78">
      <c r="A520" s="131">
        <f>IF($J520="","",INDEX(NKC!$B$7:$B$3006,$J520))</f>
        <v/>
      </c>
      <c r="B520" s="95">
        <f>IF($J520="","",INDEX(NKC!$C$7:$C$3006,$J520))</f>
        <v/>
      </c>
      <c r="C520" s="131">
        <f>IF($J520="","",INDEX(NKC!$D$7:$D$3006,$J520))</f>
        <v/>
      </c>
      <c r="D520" s="97">
        <f>IF($J520="","",INDEX(NKC!$E$7:$E$3006,$J520))</f>
        <v/>
      </c>
      <c r="E520" s="95">
        <f>IF($J520="","",IF(LEFT(INDEX(NKC!$F$7:$F$3006,$J520),LEN($B$5))=$B$5,INDEX(NKC!$G$7:$G$3006,$J520),INDEX(NKC!$F$7:$F$3006,$J520)))</f>
        <v/>
      </c>
      <c r="F520" s="125">
        <f>IF($J520="","",IF(LEFT(INDEX(NKC!$F$7:$F$3006,$J520),LEN($B$5))=$B$5,INDEX(NKC!$H$7:$H$3006,$J520),""))</f>
        <v/>
      </c>
      <c r="G520" s="125">
        <f>IF($J520="","",IF(LEFT(INDEX(NKC!$G$7:$G$3006,$J520),LEN($B$5))=$B$5,INDEX(NKC!$H$7:$H$3006,$J520),""))</f>
        <v/>
      </c>
      <c r="H520" s="132">
        <f>IF($J520="","",H519+N(F520)-N(G520))</f>
        <v/>
      </c>
      <c r="J520" s="117">
        <f>IFERROR(MATCH(513,NKC!$P$7:$P$3006,0),"")</f>
        <v/>
      </c>
    </row>
    <row r="521" ht="15" customHeight="1" s="78">
      <c r="A521" s="131">
        <f>IF($J521="","",INDEX(NKC!$B$7:$B$3006,$J521))</f>
        <v/>
      </c>
      <c r="B521" s="95">
        <f>IF($J521="","",INDEX(NKC!$C$7:$C$3006,$J521))</f>
        <v/>
      </c>
      <c r="C521" s="131">
        <f>IF($J521="","",INDEX(NKC!$D$7:$D$3006,$J521))</f>
        <v/>
      </c>
      <c r="D521" s="97">
        <f>IF($J521="","",INDEX(NKC!$E$7:$E$3006,$J521))</f>
        <v/>
      </c>
      <c r="E521" s="95">
        <f>IF($J521="","",IF(LEFT(INDEX(NKC!$F$7:$F$3006,$J521),LEN($B$5))=$B$5,INDEX(NKC!$G$7:$G$3006,$J521),INDEX(NKC!$F$7:$F$3006,$J521)))</f>
        <v/>
      </c>
      <c r="F521" s="125">
        <f>IF($J521="","",IF(LEFT(INDEX(NKC!$F$7:$F$3006,$J521),LEN($B$5))=$B$5,INDEX(NKC!$H$7:$H$3006,$J521),""))</f>
        <v/>
      </c>
      <c r="G521" s="125">
        <f>IF($J521="","",IF(LEFT(INDEX(NKC!$G$7:$G$3006,$J521),LEN($B$5))=$B$5,INDEX(NKC!$H$7:$H$3006,$J521),""))</f>
        <v/>
      </c>
      <c r="H521" s="132">
        <f>IF($J521="","",H520+N(F521)-N(G521))</f>
        <v/>
      </c>
      <c r="J521" s="117">
        <f>IFERROR(MATCH(514,NKC!$P$7:$P$3006,0),"")</f>
        <v/>
      </c>
    </row>
    <row r="522" ht="15" customHeight="1" s="78">
      <c r="A522" s="131">
        <f>IF($J522="","",INDEX(NKC!$B$7:$B$3006,$J522))</f>
        <v/>
      </c>
      <c r="B522" s="95">
        <f>IF($J522="","",INDEX(NKC!$C$7:$C$3006,$J522))</f>
        <v/>
      </c>
      <c r="C522" s="131">
        <f>IF($J522="","",INDEX(NKC!$D$7:$D$3006,$J522))</f>
        <v/>
      </c>
      <c r="D522" s="97">
        <f>IF($J522="","",INDEX(NKC!$E$7:$E$3006,$J522))</f>
        <v/>
      </c>
      <c r="E522" s="95">
        <f>IF($J522="","",IF(LEFT(INDEX(NKC!$F$7:$F$3006,$J522),LEN($B$5))=$B$5,INDEX(NKC!$G$7:$G$3006,$J522),INDEX(NKC!$F$7:$F$3006,$J522)))</f>
        <v/>
      </c>
      <c r="F522" s="125">
        <f>IF($J522="","",IF(LEFT(INDEX(NKC!$F$7:$F$3006,$J522),LEN($B$5))=$B$5,INDEX(NKC!$H$7:$H$3006,$J522),""))</f>
        <v/>
      </c>
      <c r="G522" s="125">
        <f>IF($J522="","",IF(LEFT(INDEX(NKC!$G$7:$G$3006,$J522),LEN($B$5))=$B$5,INDEX(NKC!$H$7:$H$3006,$J522),""))</f>
        <v/>
      </c>
      <c r="H522" s="132">
        <f>IF($J522="","",H521+N(F522)-N(G522))</f>
        <v/>
      </c>
      <c r="J522" s="117">
        <f>IFERROR(MATCH(515,NKC!$P$7:$P$3006,0),"")</f>
        <v/>
      </c>
    </row>
    <row r="523" ht="15" customHeight="1" s="78">
      <c r="A523" s="131">
        <f>IF($J523="","",INDEX(NKC!$B$7:$B$3006,$J523))</f>
        <v/>
      </c>
      <c r="B523" s="95">
        <f>IF($J523="","",INDEX(NKC!$C$7:$C$3006,$J523))</f>
        <v/>
      </c>
      <c r="C523" s="131">
        <f>IF($J523="","",INDEX(NKC!$D$7:$D$3006,$J523))</f>
        <v/>
      </c>
      <c r="D523" s="97">
        <f>IF($J523="","",INDEX(NKC!$E$7:$E$3006,$J523))</f>
        <v/>
      </c>
      <c r="E523" s="95">
        <f>IF($J523="","",IF(LEFT(INDEX(NKC!$F$7:$F$3006,$J523),LEN($B$5))=$B$5,INDEX(NKC!$G$7:$G$3006,$J523),INDEX(NKC!$F$7:$F$3006,$J523)))</f>
        <v/>
      </c>
      <c r="F523" s="125">
        <f>IF($J523="","",IF(LEFT(INDEX(NKC!$F$7:$F$3006,$J523),LEN($B$5))=$B$5,INDEX(NKC!$H$7:$H$3006,$J523),""))</f>
        <v/>
      </c>
      <c r="G523" s="125">
        <f>IF($J523="","",IF(LEFT(INDEX(NKC!$G$7:$G$3006,$J523),LEN($B$5))=$B$5,INDEX(NKC!$H$7:$H$3006,$J523),""))</f>
        <v/>
      </c>
      <c r="H523" s="132">
        <f>IF($J523="","",H522+N(F523)-N(G523))</f>
        <v/>
      </c>
      <c r="J523" s="117">
        <f>IFERROR(MATCH(516,NKC!$P$7:$P$3006,0),"")</f>
        <v/>
      </c>
    </row>
    <row r="524" ht="15" customHeight="1" s="78">
      <c r="A524" s="131">
        <f>IF($J524="","",INDEX(NKC!$B$7:$B$3006,$J524))</f>
        <v/>
      </c>
      <c r="B524" s="95">
        <f>IF($J524="","",INDEX(NKC!$C$7:$C$3006,$J524))</f>
        <v/>
      </c>
      <c r="C524" s="131">
        <f>IF($J524="","",INDEX(NKC!$D$7:$D$3006,$J524))</f>
        <v/>
      </c>
      <c r="D524" s="97">
        <f>IF($J524="","",INDEX(NKC!$E$7:$E$3006,$J524))</f>
        <v/>
      </c>
      <c r="E524" s="95">
        <f>IF($J524="","",IF(LEFT(INDEX(NKC!$F$7:$F$3006,$J524),LEN($B$5))=$B$5,INDEX(NKC!$G$7:$G$3006,$J524),INDEX(NKC!$F$7:$F$3006,$J524)))</f>
        <v/>
      </c>
      <c r="F524" s="125">
        <f>IF($J524="","",IF(LEFT(INDEX(NKC!$F$7:$F$3006,$J524),LEN($B$5))=$B$5,INDEX(NKC!$H$7:$H$3006,$J524),""))</f>
        <v/>
      </c>
      <c r="G524" s="125">
        <f>IF($J524="","",IF(LEFT(INDEX(NKC!$G$7:$G$3006,$J524),LEN($B$5))=$B$5,INDEX(NKC!$H$7:$H$3006,$J524),""))</f>
        <v/>
      </c>
      <c r="H524" s="132">
        <f>IF($J524="","",H523+N(F524)-N(G524))</f>
        <v/>
      </c>
      <c r="J524" s="117">
        <f>IFERROR(MATCH(517,NKC!$P$7:$P$3006,0),"")</f>
        <v/>
      </c>
    </row>
    <row r="525" ht="15" customHeight="1" s="78">
      <c r="A525" s="131">
        <f>IF($J525="","",INDEX(NKC!$B$7:$B$3006,$J525))</f>
        <v/>
      </c>
      <c r="B525" s="95">
        <f>IF($J525="","",INDEX(NKC!$C$7:$C$3006,$J525))</f>
        <v/>
      </c>
      <c r="C525" s="131">
        <f>IF($J525="","",INDEX(NKC!$D$7:$D$3006,$J525))</f>
        <v/>
      </c>
      <c r="D525" s="97">
        <f>IF($J525="","",INDEX(NKC!$E$7:$E$3006,$J525))</f>
        <v/>
      </c>
      <c r="E525" s="95">
        <f>IF($J525="","",IF(LEFT(INDEX(NKC!$F$7:$F$3006,$J525),LEN($B$5))=$B$5,INDEX(NKC!$G$7:$G$3006,$J525),INDEX(NKC!$F$7:$F$3006,$J525)))</f>
        <v/>
      </c>
      <c r="F525" s="125">
        <f>IF($J525="","",IF(LEFT(INDEX(NKC!$F$7:$F$3006,$J525),LEN($B$5))=$B$5,INDEX(NKC!$H$7:$H$3006,$J525),""))</f>
        <v/>
      </c>
      <c r="G525" s="125">
        <f>IF($J525="","",IF(LEFT(INDEX(NKC!$G$7:$G$3006,$J525),LEN($B$5))=$B$5,INDEX(NKC!$H$7:$H$3006,$J525),""))</f>
        <v/>
      </c>
      <c r="H525" s="132">
        <f>IF($J525="","",H524+N(F525)-N(G525))</f>
        <v/>
      </c>
      <c r="J525" s="117">
        <f>IFERROR(MATCH(518,NKC!$P$7:$P$3006,0),"")</f>
        <v/>
      </c>
    </row>
    <row r="526" ht="15" customHeight="1" s="78">
      <c r="A526" s="131">
        <f>IF($J526="","",INDEX(NKC!$B$7:$B$3006,$J526))</f>
        <v/>
      </c>
      <c r="B526" s="95">
        <f>IF($J526="","",INDEX(NKC!$C$7:$C$3006,$J526))</f>
        <v/>
      </c>
      <c r="C526" s="131">
        <f>IF($J526="","",INDEX(NKC!$D$7:$D$3006,$J526))</f>
        <v/>
      </c>
      <c r="D526" s="97">
        <f>IF($J526="","",INDEX(NKC!$E$7:$E$3006,$J526))</f>
        <v/>
      </c>
      <c r="E526" s="95">
        <f>IF($J526="","",IF(LEFT(INDEX(NKC!$F$7:$F$3006,$J526),LEN($B$5))=$B$5,INDEX(NKC!$G$7:$G$3006,$J526),INDEX(NKC!$F$7:$F$3006,$J526)))</f>
        <v/>
      </c>
      <c r="F526" s="125">
        <f>IF($J526="","",IF(LEFT(INDEX(NKC!$F$7:$F$3006,$J526),LEN($B$5))=$B$5,INDEX(NKC!$H$7:$H$3006,$J526),""))</f>
        <v/>
      </c>
      <c r="G526" s="125">
        <f>IF($J526="","",IF(LEFT(INDEX(NKC!$G$7:$G$3006,$J526),LEN($B$5))=$B$5,INDEX(NKC!$H$7:$H$3006,$J526),""))</f>
        <v/>
      </c>
      <c r="H526" s="132">
        <f>IF($J526="","",H525+N(F526)-N(G526))</f>
        <v/>
      </c>
      <c r="J526" s="117">
        <f>IFERROR(MATCH(519,NKC!$P$7:$P$3006,0),"")</f>
        <v/>
      </c>
    </row>
    <row r="527" ht="15" customHeight="1" s="78">
      <c r="A527" s="131">
        <f>IF($J527="","",INDEX(NKC!$B$7:$B$3006,$J527))</f>
        <v/>
      </c>
      <c r="B527" s="95">
        <f>IF($J527="","",INDEX(NKC!$C$7:$C$3006,$J527))</f>
        <v/>
      </c>
      <c r="C527" s="131">
        <f>IF($J527="","",INDEX(NKC!$D$7:$D$3006,$J527))</f>
        <v/>
      </c>
      <c r="D527" s="97">
        <f>IF($J527="","",INDEX(NKC!$E$7:$E$3006,$J527))</f>
        <v/>
      </c>
      <c r="E527" s="95">
        <f>IF($J527="","",IF(LEFT(INDEX(NKC!$F$7:$F$3006,$J527),LEN($B$5))=$B$5,INDEX(NKC!$G$7:$G$3006,$J527),INDEX(NKC!$F$7:$F$3006,$J527)))</f>
        <v/>
      </c>
      <c r="F527" s="125">
        <f>IF($J527="","",IF(LEFT(INDEX(NKC!$F$7:$F$3006,$J527),LEN($B$5))=$B$5,INDEX(NKC!$H$7:$H$3006,$J527),""))</f>
        <v/>
      </c>
      <c r="G527" s="125">
        <f>IF($J527="","",IF(LEFT(INDEX(NKC!$G$7:$G$3006,$J527),LEN($B$5))=$B$5,INDEX(NKC!$H$7:$H$3006,$J527),""))</f>
        <v/>
      </c>
      <c r="H527" s="132">
        <f>IF($J527="","",H526+N(F527)-N(G527))</f>
        <v/>
      </c>
      <c r="J527" s="117">
        <f>IFERROR(MATCH(520,NKC!$P$7:$P$3006,0),"")</f>
        <v/>
      </c>
    </row>
    <row r="528" ht="15" customHeight="1" s="78">
      <c r="A528" s="131">
        <f>IF($J528="","",INDEX(NKC!$B$7:$B$3006,$J528))</f>
        <v/>
      </c>
      <c r="B528" s="95">
        <f>IF($J528="","",INDEX(NKC!$C$7:$C$3006,$J528))</f>
        <v/>
      </c>
      <c r="C528" s="131">
        <f>IF($J528="","",INDEX(NKC!$D$7:$D$3006,$J528))</f>
        <v/>
      </c>
      <c r="D528" s="97">
        <f>IF($J528="","",INDEX(NKC!$E$7:$E$3006,$J528))</f>
        <v/>
      </c>
      <c r="E528" s="95">
        <f>IF($J528="","",IF(LEFT(INDEX(NKC!$F$7:$F$3006,$J528),LEN($B$5))=$B$5,INDEX(NKC!$G$7:$G$3006,$J528),INDEX(NKC!$F$7:$F$3006,$J528)))</f>
        <v/>
      </c>
      <c r="F528" s="125">
        <f>IF($J528="","",IF(LEFT(INDEX(NKC!$F$7:$F$3006,$J528),LEN($B$5))=$B$5,INDEX(NKC!$H$7:$H$3006,$J528),""))</f>
        <v/>
      </c>
      <c r="G528" s="125">
        <f>IF($J528="","",IF(LEFT(INDEX(NKC!$G$7:$G$3006,$J528),LEN($B$5))=$B$5,INDEX(NKC!$H$7:$H$3006,$J528),""))</f>
        <v/>
      </c>
      <c r="H528" s="132">
        <f>IF($J528="","",H527+N(F528)-N(G528))</f>
        <v/>
      </c>
      <c r="J528" s="117">
        <f>IFERROR(MATCH(521,NKC!$P$7:$P$3006,0),"")</f>
        <v/>
      </c>
    </row>
    <row r="529" ht="15" customHeight="1" s="78">
      <c r="A529" s="131">
        <f>IF($J529="","",INDEX(NKC!$B$7:$B$3006,$J529))</f>
        <v/>
      </c>
      <c r="B529" s="95">
        <f>IF($J529="","",INDEX(NKC!$C$7:$C$3006,$J529))</f>
        <v/>
      </c>
      <c r="C529" s="131">
        <f>IF($J529="","",INDEX(NKC!$D$7:$D$3006,$J529))</f>
        <v/>
      </c>
      <c r="D529" s="97">
        <f>IF($J529="","",INDEX(NKC!$E$7:$E$3006,$J529))</f>
        <v/>
      </c>
      <c r="E529" s="95">
        <f>IF($J529="","",IF(LEFT(INDEX(NKC!$F$7:$F$3006,$J529),LEN($B$5))=$B$5,INDEX(NKC!$G$7:$G$3006,$J529),INDEX(NKC!$F$7:$F$3006,$J529)))</f>
        <v/>
      </c>
      <c r="F529" s="125">
        <f>IF($J529="","",IF(LEFT(INDEX(NKC!$F$7:$F$3006,$J529),LEN($B$5))=$B$5,INDEX(NKC!$H$7:$H$3006,$J529),""))</f>
        <v/>
      </c>
      <c r="G529" s="125">
        <f>IF($J529="","",IF(LEFT(INDEX(NKC!$G$7:$G$3006,$J529),LEN($B$5))=$B$5,INDEX(NKC!$H$7:$H$3006,$J529),""))</f>
        <v/>
      </c>
      <c r="H529" s="132">
        <f>IF($J529="","",H528+N(F529)-N(G529))</f>
        <v/>
      </c>
      <c r="J529" s="117">
        <f>IFERROR(MATCH(522,NKC!$P$7:$P$3006,0),"")</f>
        <v/>
      </c>
    </row>
    <row r="530" ht="15" customHeight="1" s="78">
      <c r="A530" s="131">
        <f>IF($J530="","",INDEX(NKC!$B$7:$B$3006,$J530))</f>
        <v/>
      </c>
      <c r="B530" s="95">
        <f>IF($J530="","",INDEX(NKC!$C$7:$C$3006,$J530))</f>
        <v/>
      </c>
      <c r="C530" s="131">
        <f>IF($J530="","",INDEX(NKC!$D$7:$D$3006,$J530))</f>
        <v/>
      </c>
      <c r="D530" s="97">
        <f>IF($J530="","",INDEX(NKC!$E$7:$E$3006,$J530))</f>
        <v/>
      </c>
      <c r="E530" s="95">
        <f>IF($J530="","",IF(LEFT(INDEX(NKC!$F$7:$F$3006,$J530),LEN($B$5))=$B$5,INDEX(NKC!$G$7:$G$3006,$J530),INDEX(NKC!$F$7:$F$3006,$J530)))</f>
        <v/>
      </c>
      <c r="F530" s="125">
        <f>IF($J530="","",IF(LEFT(INDEX(NKC!$F$7:$F$3006,$J530),LEN($B$5))=$B$5,INDEX(NKC!$H$7:$H$3006,$J530),""))</f>
        <v/>
      </c>
      <c r="G530" s="125">
        <f>IF($J530="","",IF(LEFT(INDEX(NKC!$G$7:$G$3006,$J530),LEN($B$5))=$B$5,INDEX(NKC!$H$7:$H$3006,$J530),""))</f>
        <v/>
      </c>
      <c r="H530" s="132">
        <f>IF($J530="","",H529+N(F530)-N(G530))</f>
        <v/>
      </c>
      <c r="J530" s="117">
        <f>IFERROR(MATCH(523,NKC!$P$7:$P$3006,0),"")</f>
        <v/>
      </c>
    </row>
    <row r="531" ht="15" customHeight="1" s="78">
      <c r="A531" s="131">
        <f>IF($J531="","",INDEX(NKC!$B$7:$B$3006,$J531))</f>
        <v/>
      </c>
      <c r="B531" s="95">
        <f>IF($J531="","",INDEX(NKC!$C$7:$C$3006,$J531))</f>
        <v/>
      </c>
      <c r="C531" s="131">
        <f>IF($J531="","",INDEX(NKC!$D$7:$D$3006,$J531))</f>
        <v/>
      </c>
      <c r="D531" s="97">
        <f>IF($J531="","",INDEX(NKC!$E$7:$E$3006,$J531))</f>
        <v/>
      </c>
      <c r="E531" s="95">
        <f>IF($J531="","",IF(LEFT(INDEX(NKC!$F$7:$F$3006,$J531),LEN($B$5))=$B$5,INDEX(NKC!$G$7:$G$3006,$J531),INDEX(NKC!$F$7:$F$3006,$J531)))</f>
        <v/>
      </c>
      <c r="F531" s="125">
        <f>IF($J531="","",IF(LEFT(INDEX(NKC!$F$7:$F$3006,$J531),LEN($B$5))=$B$5,INDEX(NKC!$H$7:$H$3006,$J531),""))</f>
        <v/>
      </c>
      <c r="G531" s="125">
        <f>IF($J531="","",IF(LEFT(INDEX(NKC!$G$7:$G$3006,$J531),LEN($B$5))=$B$5,INDEX(NKC!$H$7:$H$3006,$J531),""))</f>
        <v/>
      </c>
      <c r="H531" s="132">
        <f>IF($J531="","",H530+N(F531)-N(G531))</f>
        <v/>
      </c>
      <c r="J531" s="117">
        <f>IFERROR(MATCH(524,NKC!$P$7:$P$3006,0),"")</f>
        <v/>
      </c>
    </row>
    <row r="532" ht="15" customHeight="1" s="78">
      <c r="A532" s="131">
        <f>IF($J532="","",INDEX(NKC!$B$7:$B$3006,$J532))</f>
        <v/>
      </c>
      <c r="B532" s="95">
        <f>IF($J532="","",INDEX(NKC!$C$7:$C$3006,$J532))</f>
        <v/>
      </c>
      <c r="C532" s="131">
        <f>IF($J532="","",INDEX(NKC!$D$7:$D$3006,$J532))</f>
        <v/>
      </c>
      <c r="D532" s="97">
        <f>IF($J532="","",INDEX(NKC!$E$7:$E$3006,$J532))</f>
        <v/>
      </c>
      <c r="E532" s="95">
        <f>IF($J532="","",IF(LEFT(INDEX(NKC!$F$7:$F$3006,$J532),LEN($B$5))=$B$5,INDEX(NKC!$G$7:$G$3006,$J532),INDEX(NKC!$F$7:$F$3006,$J532)))</f>
        <v/>
      </c>
      <c r="F532" s="125">
        <f>IF($J532="","",IF(LEFT(INDEX(NKC!$F$7:$F$3006,$J532),LEN($B$5))=$B$5,INDEX(NKC!$H$7:$H$3006,$J532),""))</f>
        <v/>
      </c>
      <c r="G532" s="125">
        <f>IF($J532="","",IF(LEFT(INDEX(NKC!$G$7:$G$3006,$J532),LEN($B$5))=$B$5,INDEX(NKC!$H$7:$H$3006,$J532),""))</f>
        <v/>
      </c>
      <c r="H532" s="132">
        <f>IF($J532="","",H531+N(F532)-N(G532))</f>
        <v/>
      </c>
      <c r="J532" s="117">
        <f>IFERROR(MATCH(525,NKC!$P$7:$P$3006,0),"")</f>
        <v/>
      </c>
    </row>
    <row r="533" ht="15" customHeight="1" s="78">
      <c r="A533" s="131">
        <f>IF($J533="","",INDEX(NKC!$B$7:$B$3006,$J533))</f>
        <v/>
      </c>
      <c r="B533" s="95">
        <f>IF($J533="","",INDEX(NKC!$C$7:$C$3006,$J533))</f>
        <v/>
      </c>
      <c r="C533" s="131">
        <f>IF($J533="","",INDEX(NKC!$D$7:$D$3006,$J533))</f>
        <v/>
      </c>
      <c r="D533" s="97">
        <f>IF($J533="","",INDEX(NKC!$E$7:$E$3006,$J533))</f>
        <v/>
      </c>
      <c r="E533" s="95">
        <f>IF($J533="","",IF(LEFT(INDEX(NKC!$F$7:$F$3006,$J533),LEN($B$5))=$B$5,INDEX(NKC!$G$7:$G$3006,$J533),INDEX(NKC!$F$7:$F$3006,$J533)))</f>
        <v/>
      </c>
      <c r="F533" s="125">
        <f>IF($J533="","",IF(LEFT(INDEX(NKC!$F$7:$F$3006,$J533),LEN($B$5))=$B$5,INDEX(NKC!$H$7:$H$3006,$J533),""))</f>
        <v/>
      </c>
      <c r="G533" s="125">
        <f>IF($J533="","",IF(LEFT(INDEX(NKC!$G$7:$G$3006,$J533),LEN($B$5))=$B$5,INDEX(NKC!$H$7:$H$3006,$J533),""))</f>
        <v/>
      </c>
      <c r="H533" s="132">
        <f>IF($J533="","",H532+N(F533)-N(G533))</f>
        <v/>
      </c>
      <c r="J533" s="117">
        <f>IFERROR(MATCH(526,NKC!$P$7:$P$3006,0),"")</f>
        <v/>
      </c>
    </row>
    <row r="534" ht="15" customHeight="1" s="78">
      <c r="A534" s="131">
        <f>IF($J534="","",INDEX(NKC!$B$7:$B$3006,$J534))</f>
        <v/>
      </c>
      <c r="B534" s="95">
        <f>IF($J534="","",INDEX(NKC!$C$7:$C$3006,$J534))</f>
        <v/>
      </c>
      <c r="C534" s="131">
        <f>IF($J534="","",INDEX(NKC!$D$7:$D$3006,$J534))</f>
        <v/>
      </c>
      <c r="D534" s="97">
        <f>IF($J534="","",INDEX(NKC!$E$7:$E$3006,$J534))</f>
        <v/>
      </c>
      <c r="E534" s="95">
        <f>IF($J534="","",IF(LEFT(INDEX(NKC!$F$7:$F$3006,$J534),LEN($B$5))=$B$5,INDEX(NKC!$G$7:$G$3006,$J534),INDEX(NKC!$F$7:$F$3006,$J534)))</f>
        <v/>
      </c>
      <c r="F534" s="125">
        <f>IF($J534="","",IF(LEFT(INDEX(NKC!$F$7:$F$3006,$J534),LEN($B$5))=$B$5,INDEX(NKC!$H$7:$H$3006,$J534),""))</f>
        <v/>
      </c>
      <c r="G534" s="125">
        <f>IF($J534="","",IF(LEFT(INDEX(NKC!$G$7:$G$3006,$J534),LEN($B$5))=$B$5,INDEX(NKC!$H$7:$H$3006,$J534),""))</f>
        <v/>
      </c>
      <c r="H534" s="132">
        <f>IF($J534="","",H533+N(F534)-N(G534))</f>
        <v/>
      </c>
      <c r="J534" s="117">
        <f>IFERROR(MATCH(527,NKC!$P$7:$P$3006,0),"")</f>
        <v/>
      </c>
    </row>
    <row r="535" ht="15" customHeight="1" s="78">
      <c r="A535" s="131">
        <f>IF($J535="","",INDEX(NKC!$B$7:$B$3006,$J535))</f>
        <v/>
      </c>
      <c r="B535" s="95">
        <f>IF($J535="","",INDEX(NKC!$C$7:$C$3006,$J535))</f>
        <v/>
      </c>
      <c r="C535" s="131">
        <f>IF($J535="","",INDEX(NKC!$D$7:$D$3006,$J535))</f>
        <v/>
      </c>
      <c r="D535" s="97">
        <f>IF($J535="","",INDEX(NKC!$E$7:$E$3006,$J535))</f>
        <v/>
      </c>
      <c r="E535" s="95">
        <f>IF($J535="","",IF(LEFT(INDEX(NKC!$F$7:$F$3006,$J535),LEN($B$5))=$B$5,INDEX(NKC!$G$7:$G$3006,$J535),INDEX(NKC!$F$7:$F$3006,$J535)))</f>
        <v/>
      </c>
      <c r="F535" s="125">
        <f>IF($J535="","",IF(LEFT(INDEX(NKC!$F$7:$F$3006,$J535),LEN($B$5))=$B$5,INDEX(NKC!$H$7:$H$3006,$J535),""))</f>
        <v/>
      </c>
      <c r="G535" s="125">
        <f>IF($J535="","",IF(LEFT(INDEX(NKC!$G$7:$G$3006,$J535),LEN($B$5))=$B$5,INDEX(NKC!$H$7:$H$3006,$J535),""))</f>
        <v/>
      </c>
      <c r="H535" s="132">
        <f>IF($J535="","",H534+N(F535)-N(G535))</f>
        <v/>
      </c>
      <c r="J535" s="117">
        <f>IFERROR(MATCH(528,NKC!$P$7:$P$3006,0),"")</f>
        <v/>
      </c>
    </row>
    <row r="536" ht="15" customHeight="1" s="78">
      <c r="A536" s="131">
        <f>IF($J536="","",INDEX(NKC!$B$7:$B$3006,$J536))</f>
        <v/>
      </c>
      <c r="B536" s="95">
        <f>IF($J536="","",INDEX(NKC!$C$7:$C$3006,$J536))</f>
        <v/>
      </c>
      <c r="C536" s="131">
        <f>IF($J536="","",INDEX(NKC!$D$7:$D$3006,$J536))</f>
        <v/>
      </c>
      <c r="D536" s="97">
        <f>IF($J536="","",INDEX(NKC!$E$7:$E$3006,$J536))</f>
        <v/>
      </c>
      <c r="E536" s="95">
        <f>IF($J536="","",IF(LEFT(INDEX(NKC!$F$7:$F$3006,$J536),LEN($B$5))=$B$5,INDEX(NKC!$G$7:$G$3006,$J536),INDEX(NKC!$F$7:$F$3006,$J536)))</f>
        <v/>
      </c>
      <c r="F536" s="125">
        <f>IF($J536="","",IF(LEFT(INDEX(NKC!$F$7:$F$3006,$J536),LEN($B$5))=$B$5,INDEX(NKC!$H$7:$H$3006,$J536),""))</f>
        <v/>
      </c>
      <c r="G536" s="125">
        <f>IF($J536="","",IF(LEFT(INDEX(NKC!$G$7:$G$3006,$J536),LEN($B$5))=$B$5,INDEX(NKC!$H$7:$H$3006,$J536),""))</f>
        <v/>
      </c>
      <c r="H536" s="132">
        <f>IF($J536="","",H535+N(F536)-N(G536))</f>
        <v/>
      </c>
      <c r="J536" s="117">
        <f>IFERROR(MATCH(529,NKC!$P$7:$P$3006,0),"")</f>
        <v/>
      </c>
    </row>
    <row r="537" ht="15" customHeight="1" s="78">
      <c r="A537" s="131">
        <f>IF($J537="","",INDEX(NKC!$B$7:$B$3006,$J537))</f>
        <v/>
      </c>
      <c r="B537" s="95">
        <f>IF($J537="","",INDEX(NKC!$C$7:$C$3006,$J537))</f>
        <v/>
      </c>
      <c r="C537" s="131">
        <f>IF($J537="","",INDEX(NKC!$D$7:$D$3006,$J537))</f>
        <v/>
      </c>
      <c r="D537" s="97">
        <f>IF($J537="","",INDEX(NKC!$E$7:$E$3006,$J537))</f>
        <v/>
      </c>
      <c r="E537" s="95">
        <f>IF($J537="","",IF(LEFT(INDEX(NKC!$F$7:$F$3006,$J537),LEN($B$5))=$B$5,INDEX(NKC!$G$7:$G$3006,$J537),INDEX(NKC!$F$7:$F$3006,$J537)))</f>
        <v/>
      </c>
      <c r="F537" s="125">
        <f>IF($J537="","",IF(LEFT(INDEX(NKC!$F$7:$F$3006,$J537),LEN($B$5))=$B$5,INDEX(NKC!$H$7:$H$3006,$J537),""))</f>
        <v/>
      </c>
      <c r="G537" s="125">
        <f>IF($J537="","",IF(LEFT(INDEX(NKC!$G$7:$G$3006,$J537),LEN($B$5))=$B$5,INDEX(NKC!$H$7:$H$3006,$J537),""))</f>
        <v/>
      </c>
      <c r="H537" s="132">
        <f>IF($J537="","",H536+N(F537)-N(G537))</f>
        <v/>
      </c>
      <c r="J537" s="117">
        <f>IFERROR(MATCH(530,NKC!$P$7:$P$3006,0),"")</f>
        <v/>
      </c>
    </row>
    <row r="538" ht="15" customHeight="1" s="78">
      <c r="A538" s="131">
        <f>IF($J538="","",INDEX(NKC!$B$7:$B$3006,$J538))</f>
        <v/>
      </c>
      <c r="B538" s="95">
        <f>IF($J538="","",INDEX(NKC!$C$7:$C$3006,$J538))</f>
        <v/>
      </c>
      <c r="C538" s="131">
        <f>IF($J538="","",INDEX(NKC!$D$7:$D$3006,$J538))</f>
        <v/>
      </c>
      <c r="D538" s="97">
        <f>IF($J538="","",INDEX(NKC!$E$7:$E$3006,$J538))</f>
        <v/>
      </c>
      <c r="E538" s="95">
        <f>IF($J538="","",IF(LEFT(INDEX(NKC!$F$7:$F$3006,$J538),LEN($B$5))=$B$5,INDEX(NKC!$G$7:$G$3006,$J538),INDEX(NKC!$F$7:$F$3006,$J538)))</f>
        <v/>
      </c>
      <c r="F538" s="125">
        <f>IF($J538="","",IF(LEFT(INDEX(NKC!$F$7:$F$3006,$J538),LEN($B$5))=$B$5,INDEX(NKC!$H$7:$H$3006,$J538),""))</f>
        <v/>
      </c>
      <c r="G538" s="125">
        <f>IF($J538="","",IF(LEFT(INDEX(NKC!$G$7:$G$3006,$J538),LEN($B$5))=$B$5,INDEX(NKC!$H$7:$H$3006,$J538),""))</f>
        <v/>
      </c>
      <c r="H538" s="132">
        <f>IF($J538="","",H537+N(F538)-N(G538))</f>
        <v/>
      </c>
      <c r="J538" s="117">
        <f>IFERROR(MATCH(531,NKC!$P$7:$P$3006,0),"")</f>
        <v/>
      </c>
    </row>
    <row r="539" ht="15" customHeight="1" s="78">
      <c r="A539" s="131">
        <f>IF($J539="","",INDEX(NKC!$B$7:$B$3006,$J539))</f>
        <v/>
      </c>
      <c r="B539" s="95">
        <f>IF($J539="","",INDEX(NKC!$C$7:$C$3006,$J539))</f>
        <v/>
      </c>
      <c r="C539" s="131">
        <f>IF($J539="","",INDEX(NKC!$D$7:$D$3006,$J539))</f>
        <v/>
      </c>
      <c r="D539" s="97">
        <f>IF($J539="","",INDEX(NKC!$E$7:$E$3006,$J539))</f>
        <v/>
      </c>
      <c r="E539" s="95">
        <f>IF($J539="","",IF(LEFT(INDEX(NKC!$F$7:$F$3006,$J539),LEN($B$5))=$B$5,INDEX(NKC!$G$7:$G$3006,$J539),INDEX(NKC!$F$7:$F$3006,$J539)))</f>
        <v/>
      </c>
      <c r="F539" s="125">
        <f>IF($J539="","",IF(LEFT(INDEX(NKC!$F$7:$F$3006,$J539),LEN($B$5))=$B$5,INDEX(NKC!$H$7:$H$3006,$J539),""))</f>
        <v/>
      </c>
      <c r="G539" s="125">
        <f>IF($J539="","",IF(LEFT(INDEX(NKC!$G$7:$G$3006,$J539),LEN($B$5))=$B$5,INDEX(NKC!$H$7:$H$3006,$J539),""))</f>
        <v/>
      </c>
      <c r="H539" s="132">
        <f>IF($J539="","",H538+N(F539)-N(G539))</f>
        <v/>
      </c>
      <c r="J539" s="117">
        <f>IFERROR(MATCH(532,NKC!$P$7:$P$3006,0),"")</f>
        <v/>
      </c>
    </row>
    <row r="540" ht="15" customHeight="1" s="78">
      <c r="A540" s="131">
        <f>IF($J540="","",INDEX(NKC!$B$7:$B$3006,$J540))</f>
        <v/>
      </c>
      <c r="B540" s="95">
        <f>IF($J540="","",INDEX(NKC!$C$7:$C$3006,$J540))</f>
        <v/>
      </c>
      <c r="C540" s="131">
        <f>IF($J540="","",INDEX(NKC!$D$7:$D$3006,$J540))</f>
        <v/>
      </c>
      <c r="D540" s="97">
        <f>IF($J540="","",INDEX(NKC!$E$7:$E$3006,$J540))</f>
        <v/>
      </c>
      <c r="E540" s="95">
        <f>IF($J540="","",IF(LEFT(INDEX(NKC!$F$7:$F$3006,$J540),LEN($B$5))=$B$5,INDEX(NKC!$G$7:$G$3006,$J540),INDEX(NKC!$F$7:$F$3006,$J540)))</f>
        <v/>
      </c>
      <c r="F540" s="125">
        <f>IF($J540="","",IF(LEFT(INDEX(NKC!$F$7:$F$3006,$J540),LEN($B$5))=$B$5,INDEX(NKC!$H$7:$H$3006,$J540),""))</f>
        <v/>
      </c>
      <c r="G540" s="125">
        <f>IF($J540="","",IF(LEFT(INDEX(NKC!$G$7:$G$3006,$J540),LEN($B$5))=$B$5,INDEX(NKC!$H$7:$H$3006,$J540),""))</f>
        <v/>
      </c>
      <c r="H540" s="132">
        <f>IF($J540="","",H539+N(F540)-N(G540))</f>
        <v/>
      </c>
      <c r="J540" s="117">
        <f>IFERROR(MATCH(533,NKC!$P$7:$P$3006,0),"")</f>
        <v/>
      </c>
    </row>
    <row r="541" ht="15" customHeight="1" s="78">
      <c r="A541" s="131">
        <f>IF($J541="","",INDEX(NKC!$B$7:$B$3006,$J541))</f>
        <v/>
      </c>
      <c r="B541" s="95">
        <f>IF($J541="","",INDEX(NKC!$C$7:$C$3006,$J541))</f>
        <v/>
      </c>
      <c r="C541" s="131">
        <f>IF($J541="","",INDEX(NKC!$D$7:$D$3006,$J541))</f>
        <v/>
      </c>
      <c r="D541" s="97">
        <f>IF($J541="","",INDEX(NKC!$E$7:$E$3006,$J541))</f>
        <v/>
      </c>
      <c r="E541" s="95">
        <f>IF($J541="","",IF(LEFT(INDEX(NKC!$F$7:$F$3006,$J541),LEN($B$5))=$B$5,INDEX(NKC!$G$7:$G$3006,$J541),INDEX(NKC!$F$7:$F$3006,$J541)))</f>
        <v/>
      </c>
      <c r="F541" s="125">
        <f>IF($J541="","",IF(LEFT(INDEX(NKC!$F$7:$F$3006,$J541),LEN($B$5))=$B$5,INDEX(NKC!$H$7:$H$3006,$J541),""))</f>
        <v/>
      </c>
      <c r="G541" s="125">
        <f>IF($J541="","",IF(LEFT(INDEX(NKC!$G$7:$G$3006,$J541),LEN($B$5))=$B$5,INDEX(NKC!$H$7:$H$3006,$J541),""))</f>
        <v/>
      </c>
      <c r="H541" s="132">
        <f>IF($J541="","",H540+N(F541)-N(G541))</f>
        <v/>
      </c>
      <c r="J541" s="117">
        <f>IFERROR(MATCH(534,NKC!$P$7:$P$3006,0),"")</f>
        <v/>
      </c>
    </row>
    <row r="542" ht="15" customHeight="1" s="78">
      <c r="A542" s="131">
        <f>IF($J542="","",INDEX(NKC!$B$7:$B$3006,$J542))</f>
        <v/>
      </c>
      <c r="B542" s="95">
        <f>IF($J542="","",INDEX(NKC!$C$7:$C$3006,$J542))</f>
        <v/>
      </c>
      <c r="C542" s="131">
        <f>IF($J542="","",INDEX(NKC!$D$7:$D$3006,$J542))</f>
        <v/>
      </c>
      <c r="D542" s="97">
        <f>IF($J542="","",INDEX(NKC!$E$7:$E$3006,$J542))</f>
        <v/>
      </c>
      <c r="E542" s="95">
        <f>IF($J542="","",IF(LEFT(INDEX(NKC!$F$7:$F$3006,$J542),LEN($B$5))=$B$5,INDEX(NKC!$G$7:$G$3006,$J542),INDEX(NKC!$F$7:$F$3006,$J542)))</f>
        <v/>
      </c>
      <c r="F542" s="125">
        <f>IF($J542="","",IF(LEFT(INDEX(NKC!$F$7:$F$3006,$J542),LEN($B$5))=$B$5,INDEX(NKC!$H$7:$H$3006,$J542),""))</f>
        <v/>
      </c>
      <c r="G542" s="125">
        <f>IF($J542="","",IF(LEFT(INDEX(NKC!$G$7:$G$3006,$J542),LEN($B$5))=$B$5,INDEX(NKC!$H$7:$H$3006,$J542),""))</f>
        <v/>
      </c>
      <c r="H542" s="132">
        <f>IF($J542="","",H541+N(F542)-N(G542))</f>
        <v/>
      </c>
      <c r="J542" s="117">
        <f>IFERROR(MATCH(535,NKC!$P$7:$P$3006,0),"")</f>
        <v/>
      </c>
    </row>
    <row r="543" ht="15" customHeight="1" s="78">
      <c r="A543" s="131">
        <f>IF($J543="","",INDEX(NKC!$B$7:$B$3006,$J543))</f>
        <v/>
      </c>
      <c r="B543" s="95">
        <f>IF($J543="","",INDEX(NKC!$C$7:$C$3006,$J543))</f>
        <v/>
      </c>
      <c r="C543" s="131">
        <f>IF($J543="","",INDEX(NKC!$D$7:$D$3006,$J543))</f>
        <v/>
      </c>
      <c r="D543" s="97">
        <f>IF($J543="","",INDEX(NKC!$E$7:$E$3006,$J543))</f>
        <v/>
      </c>
      <c r="E543" s="95">
        <f>IF($J543="","",IF(LEFT(INDEX(NKC!$F$7:$F$3006,$J543),LEN($B$5))=$B$5,INDEX(NKC!$G$7:$G$3006,$J543),INDEX(NKC!$F$7:$F$3006,$J543)))</f>
        <v/>
      </c>
      <c r="F543" s="125">
        <f>IF($J543="","",IF(LEFT(INDEX(NKC!$F$7:$F$3006,$J543),LEN($B$5))=$B$5,INDEX(NKC!$H$7:$H$3006,$J543),""))</f>
        <v/>
      </c>
      <c r="G543" s="125">
        <f>IF($J543="","",IF(LEFT(INDEX(NKC!$G$7:$G$3006,$J543),LEN($B$5))=$B$5,INDEX(NKC!$H$7:$H$3006,$J543),""))</f>
        <v/>
      </c>
      <c r="H543" s="132">
        <f>IF($J543="","",H542+N(F543)-N(G543))</f>
        <v/>
      </c>
      <c r="J543" s="117">
        <f>IFERROR(MATCH(536,NKC!$P$7:$P$3006,0),"")</f>
        <v/>
      </c>
    </row>
    <row r="544" ht="15" customHeight="1" s="78">
      <c r="A544" s="131">
        <f>IF($J544="","",INDEX(NKC!$B$7:$B$3006,$J544))</f>
        <v/>
      </c>
      <c r="B544" s="95">
        <f>IF($J544="","",INDEX(NKC!$C$7:$C$3006,$J544))</f>
        <v/>
      </c>
      <c r="C544" s="131">
        <f>IF($J544="","",INDEX(NKC!$D$7:$D$3006,$J544))</f>
        <v/>
      </c>
      <c r="D544" s="97">
        <f>IF($J544="","",INDEX(NKC!$E$7:$E$3006,$J544))</f>
        <v/>
      </c>
      <c r="E544" s="95">
        <f>IF($J544="","",IF(LEFT(INDEX(NKC!$F$7:$F$3006,$J544),LEN($B$5))=$B$5,INDEX(NKC!$G$7:$G$3006,$J544),INDEX(NKC!$F$7:$F$3006,$J544)))</f>
        <v/>
      </c>
      <c r="F544" s="125">
        <f>IF($J544="","",IF(LEFT(INDEX(NKC!$F$7:$F$3006,$J544),LEN($B$5))=$B$5,INDEX(NKC!$H$7:$H$3006,$J544),""))</f>
        <v/>
      </c>
      <c r="G544" s="125">
        <f>IF($J544="","",IF(LEFT(INDEX(NKC!$G$7:$G$3006,$J544),LEN($B$5))=$B$5,INDEX(NKC!$H$7:$H$3006,$J544),""))</f>
        <v/>
      </c>
      <c r="H544" s="132">
        <f>IF($J544="","",H543+N(F544)-N(G544))</f>
        <v/>
      </c>
      <c r="J544" s="117">
        <f>IFERROR(MATCH(537,NKC!$P$7:$P$3006,0),"")</f>
        <v/>
      </c>
    </row>
    <row r="545" ht="15" customHeight="1" s="78">
      <c r="A545" s="131">
        <f>IF($J545="","",INDEX(NKC!$B$7:$B$3006,$J545))</f>
        <v/>
      </c>
      <c r="B545" s="95">
        <f>IF($J545="","",INDEX(NKC!$C$7:$C$3006,$J545))</f>
        <v/>
      </c>
      <c r="C545" s="131">
        <f>IF($J545="","",INDEX(NKC!$D$7:$D$3006,$J545))</f>
        <v/>
      </c>
      <c r="D545" s="97">
        <f>IF($J545="","",INDEX(NKC!$E$7:$E$3006,$J545))</f>
        <v/>
      </c>
      <c r="E545" s="95">
        <f>IF($J545="","",IF(LEFT(INDEX(NKC!$F$7:$F$3006,$J545),LEN($B$5))=$B$5,INDEX(NKC!$G$7:$G$3006,$J545),INDEX(NKC!$F$7:$F$3006,$J545)))</f>
        <v/>
      </c>
      <c r="F545" s="125">
        <f>IF($J545="","",IF(LEFT(INDEX(NKC!$F$7:$F$3006,$J545),LEN($B$5))=$B$5,INDEX(NKC!$H$7:$H$3006,$J545),""))</f>
        <v/>
      </c>
      <c r="G545" s="125">
        <f>IF($J545="","",IF(LEFT(INDEX(NKC!$G$7:$G$3006,$J545),LEN($B$5))=$B$5,INDEX(NKC!$H$7:$H$3006,$J545),""))</f>
        <v/>
      </c>
      <c r="H545" s="132">
        <f>IF($J545="","",H544+N(F545)-N(G545))</f>
        <v/>
      </c>
      <c r="J545" s="117">
        <f>IFERROR(MATCH(538,NKC!$P$7:$P$3006,0),"")</f>
        <v/>
      </c>
    </row>
    <row r="546" ht="15" customHeight="1" s="78">
      <c r="A546" s="131">
        <f>IF($J546="","",INDEX(NKC!$B$7:$B$3006,$J546))</f>
        <v/>
      </c>
      <c r="B546" s="95">
        <f>IF($J546="","",INDEX(NKC!$C$7:$C$3006,$J546))</f>
        <v/>
      </c>
      <c r="C546" s="131">
        <f>IF($J546="","",INDEX(NKC!$D$7:$D$3006,$J546))</f>
        <v/>
      </c>
      <c r="D546" s="97">
        <f>IF($J546="","",INDEX(NKC!$E$7:$E$3006,$J546))</f>
        <v/>
      </c>
      <c r="E546" s="95">
        <f>IF($J546="","",IF(LEFT(INDEX(NKC!$F$7:$F$3006,$J546),LEN($B$5))=$B$5,INDEX(NKC!$G$7:$G$3006,$J546),INDEX(NKC!$F$7:$F$3006,$J546)))</f>
        <v/>
      </c>
      <c r="F546" s="125">
        <f>IF($J546="","",IF(LEFT(INDEX(NKC!$F$7:$F$3006,$J546),LEN($B$5))=$B$5,INDEX(NKC!$H$7:$H$3006,$J546),""))</f>
        <v/>
      </c>
      <c r="G546" s="125">
        <f>IF($J546="","",IF(LEFT(INDEX(NKC!$G$7:$G$3006,$J546),LEN($B$5))=$B$5,INDEX(NKC!$H$7:$H$3006,$J546),""))</f>
        <v/>
      </c>
      <c r="H546" s="132">
        <f>IF($J546="","",H545+N(F546)-N(G546))</f>
        <v/>
      </c>
      <c r="J546" s="117">
        <f>IFERROR(MATCH(539,NKC!$P$7:$P$3006,0),"")</f>
        <v/>
      </c>
    </row>
    <row r="547" ht="15" customHeight="1" s="78">
      <c r="A547" s="131">
        <f>IF($J547="","",INDEX(NKC!$B$7:$B$3006,$J547))</f>
        <v/>
      </c>
      <c r="B547" s="95">
        <f>IF($J547="","",INDEX(NKC!$C$7:$C$3006,$J547))</f>
        <v/>
      </c>
      <c r="C547" s="131">
        <f>IF($J547="","",INDEX(NKC!$D$7:$D$3006,$J547))</f>
        <v/>
      </c>
      <c r="D547" s="97">
        <f>IF($J547="","",INDEX(NKC!$E$7:$E$3006,$J547))</f>
        <v/>
      </c>
      <c r="E547" s="95">
        <f>IF($J547="","",IF(LEFT(INDEX(NKC!$F$7:$F$3006,$J547),LEN($B$5))=$B$5,INDEX(NKC!$G$7:$G$3006,$J547),INDEX(NKC!$F$7:$F$3006,$J547)))</f>
        <v/>
      </c>
      <c r="F547" s="125">
        <f>IF($J547="","",IF(LEFT(INDEX(NKC!$F$7:$F$3006,$J547),LEN($B$5))=$B$5,INDEX(NKC!$H$7:$H$3006,$J547),""))</f>
        <v/>
      </c>
      <c r="G547" s="125">
        <f>IF($J547="","",IF(LEFT(INDEX(NKC!$G$7:$G$3006,$J547),LEN($B$5))=$B$5,INDEX(NKC!$H$7:$H$3006,$J547),""))</f>
        <v/>
      </c>
      <c r="H547" s="132">
        <f>IF($J547="","",H546+N(F547)-N(G547))</f>
        <v/>
      </c>
      <c r="J547" s="117">
        <f>IFERROR(MATCH(540,NKC!$P$7:$P$3006,0),"")</f>
        <v/>
      </c>
    </row>
    <row r="548" ht="15" customHeight="1" s="78">
      <c r="A548" s="131">
        <f>IF($J548="","",INDEX(NKC!$B$7:$B$3006,$J548))</f>
        <v/>
      </c>
      <c r="B548" s="95">
        <f>IF($J548="","",INDEX(NKC!$C$7:$C$3006,$J548))</f>
        <v/>
      </c>
      <c r="C548" s="131">
        <f>IF($J548="","",INDEX(NKC!$D$7:$D$3006,$J548))</f>
        <v/>
      </c>
      <c r="D548" s="97">
        <f>IF($J548="","",INDEX(NKC!$E$7:$E$3006,$J548))</f>
        <v/>
      </c>
      <c r="E548" s="95">
        <f>IF($J548="","",IF(LEFT(INDEX(NKC!$F$7:$F$3006,$J548),LEN($B$5))=$B$5,INDEX(NKC!$G$7:$G$3006,$J548),INDEX(NKC!$F$7:$F$3006,$J548)))</f>
        <v/>
      </c>
      <c r="F548" s="125">
        <f>IF($J548="","",IF(LEFT(INDEX(NKC!$F$7:$F$3006,$J548),LEN($B$5))=$B$5,INDEX(NKC!$H$7:$H$3006,$J548),""))</f>
        <v/>
      </c>
      <c r="G548" s="125">
        <f>IF($J548="","",IF(LEFT(INDEX(NKC!$G$7:$G$3006,$J548),LEN($B$5))=$B$5,INDEX(NKC!$H$7:$H$3006,$J548),""))</f>
        <v/>
      </c>
      <c r="H548" s="132">
        <f>IF($J548="","",H547+N(F548)-N(G548))</f>
        <v/>
      </c>
      <c r="J548" s="117">
        <f>IFERROR(MATCH(541,NKC!$P$7:$P$3006,0),"")</f>
        <v/>
      </c>
    </row>
    <row r="549" ht="15" customHeight="1" s="78">
      <c r="A549" s="131">
        <f>IF($J549="","",INDEX(NKC!$B$7:$B$3006,$J549))</f>
        <v/>
      </c>
      <c r="B549" s="95">
        <f>IF($J549="","",INDEX(NKC!$C$7:$C$3006,$J549))</f>
        <v/>
      </c>
      <c r="C549" s="131">
        <f>IF($J549="","",INDEX(NKC!$D$7:$D$3006,$J549))</f>
        <v/>
      </c>
      <c r="D549" s="97">
        <f>IF($J549="","",INDEX(NKC!$E$7:$E$3006,$J549))</f>
        <v/>
      </c>
      <c r="E549" s="95">
        <f>IF($J549="","",IF(LEFT(INDEX(NKC!$F$7:$F$3006,$J549),LEN($B$5))=$B$5,INDEX(NKC!$G$7:$G$3006,$J549),INDEX(NKC!$F$7:$F$3006,$J549)))</f>
        <v/>
      </c>
      <c r="F549" s="125">
        <f>IF($J549="","",IF(LEFT(INDEX(NKC!$F$7:$F$3006,$J549),LEN($B$5))=$B$5,INDEX(NKC!$H$7:$H$3006,$J549),""))</f>
        <v/>
      </c>
      <c r="G549" s="125">
        <f>IF($J549="","",IF(LEFT(INDEX(NKC!$G$7:$G$3006,$J549),LEN($B$5))=$B$5,INDEX(NKC!$H$7:$H$3006,$J549),""))</f>
        <v/>
      </c>
      <c r="H549" s="132">
        <f>IF($J549="","",H548+N(F549)-N(G549))</f>
        <v/>
      </c>
      <c r="J549" s="117">
        <f>IFERROR(MATCH(542,NKC!$P$7:$P$3006,0),"")</f>
        <v/>
      </c>
    </row>
    <row r="550" ht="15" customHeight="1" s="78">
      <c r="A550" s="131">
        <f>IF($J550="","",INDEX(NKC!$B$7:$B$3006,$J550))</f>
        <v/>
      </c>
      <c r="B550" s="95">
        <f>IF($J550="","",INDEX(NKC!$C$7:$C$3006,$J550))</f>
        <v/>
      </c>
      <c r="C550" s="131">
        <f>IF($J550="","",INDEX(NKC!$D$7:$D$3006,$J550))</f>
        <v/>
      </c>
      <c r="D550" s="97">
        <f>IF($J550="","",INDEX(NKC!$E$7:$E$3006,$J550))</f>
        <v/>
      </c>
      <c r="E550" s="95">
        <f>IF($J550="","",IF(LEFT(INDEX(NKC!$F$7:$F$3006,$J550),LEN($B$5))=$B$5,INDEX(NKC!$G$7:$G$3006,$J550),INDEX(NKC!$F$7:$F$3006,$J550)))</f>
        <v/>
      </c>
      <c r="F550" s="125">
        <f>IF($J550="","",IF(LEFT(INDEX(NKC!$F$7:$F$3006,$J550),LEN($B$5))=$B$5,INDEX(NKC!$H$7:$H$3006,$J550),""))</f>
        <v/>
      </c>
      <c r="G550" s="125">
        <f>IF($J550="","",IF(LEFT(INDEX(NKC!$G$7:$G$3006,$J550),LEN($B$5))=$B$5,INDEX(NKC!$H$7:$H$3006,$J550),""))</f>
        <v/>
      </c>
      <c r="H550" s="132">
        <f>IF($J550="","",H549+N(F550)-N(G550))</f>
        <v/>
      </c>
      <c r="J550" s="117">
        <f>IFERROR(MATCH(543,NKC!$P$7:$P$3006,0),"")</f>
        <v/>
      </c>
    </row>
    <row r="551" ht="15" customHeight="1" s="78">
      <c r="A551" s="131">
        <f>IF($J551="","",INDEX(NKC!$B$7:$B$3006,$J551))</f>
        <v/>
      </c>
      <c r="B551" s="95">
        <f>IF($J551="","",INDEX(NKC!$C$7:$C$3006,$J551))</f>
        <v/>
      </c>
      <c r="C551" s="131">
        <f>IF($J551="","",INDEX(NKC!$D$7:$D$3006,$J551))</f>
        <v/>
      </c>
      <c r="D551" s="97">
        <f>IF($J551="","",INDEX(NKC!$E$7:$E$3006,$J551))</f>
        <v/>
      </c>
      <c r="E551" s="95">
        <f>IF($J551="","",IF(LEFT(INDEX(NKC!$F$7:$F$3006,$J551),LEN($B$5))=$B$5,INDEX(NKC!$G$7:$G$3006,$J551),INDEX(NKC!$F$7:$F$3006,$J551)))</f>
        <v/>
      </c>
      <c r="F551" s="125">
        <f>IF($J551="","",IF(LEFT(INDEX(NKC!$F$7:$F$3006,$J551),LEN($B$5))=$B$5,INDEX(NKC!$H$7:$H$3006,$J551),""))</f>
        <v/>
      </c>
      <c r="G551" s="125">
        <f>IF($J551="","",IF(LEFT(INDEX(NKC!$G$7:$G$3006,$J551),LEN($B$5))=$B$5,INDEX(NKC!$H$7:$H$3006,$J551),""))</f>
        <v/>
      </c>
      <c r="H551" s="132">
        <f>IF($J551="","",H550+N(F551)-N(G551))</f>
        <v/>
      </c>
      <c r="J551" s="117">
        <f>IFERROR(MATCH(544,NKC!$P$7:$P$3006,0),"")</f>
        <v/>
      </c>
    </row>
    <row r="552" ht="15" customHeight="1" s="78">
      <c r="A552" s="131">
        <f>IF($J552="","",INDEX(NKC!$B$7:$B$3006,$J552))</f>
        <v/>
      </c>
      <c r="B552" s="95">
        <f>IF($J552="","",INDEX(NKC!$C$7:$C$3006,$J552))</f>
        <v/>
      </c>
      <c r="C552" s="131">
        <f>IF($J552="","",INDEX(NKC!$D$7:$D$3006,$J552))</f>
        <v/>
      </c>
      <c r="D552" s="97">
        <f>IF($J552="","",INDEX(NKC!$E$7:$E$3006,$J552))</f>
        <v/>
      </c>
      <c r="E552" s="95">
        <f>IF($J552="","",IF(LEFT(INDEX(NKC!$F$7:$F$3006,$J552),LEN($B$5))=$B$5,INDEX(NKC!$G$7:$G$3006,$J552),INDEX(NKC!$F$7:$F$3006,$J552)))</f>
        <v/>
      </c>
      <c r="F552" s="125">
        <f>IF($J552="","",IF(LEFT(INDEX(NKC!$F$7:$F$3006,$J552),LEN($B$5))=$B$5,INDEX(NKC!$H$7:$H$3006,$J552),""))</f>
        <v/>
      </c>
      <c r="G552" s="125">
        <f>IF($J552="","",IF(LEFT(INDEX(NKC!$G$7:$G$3006,$J552),LEN($B$5))=$B$5,INDEX(NKC!$H$7:$H$3006,$J552),""))</f>
        <v/>
      </c>
      <c r="H552" s="132">
        <f>IF($J552="","",H551+N(F552)-N(G552))</f>
        <v/>
      </c>
      <c r="J552" s="117">
        <f>IFERROR(MATCH(545,NKC!$P$7:$P$3006,0),"")</f>
        <v/>
      </c>
    </row>
    <row r="553" ht="15" customHeight="1" s="78">
      <c r="A553" s="131">
        <f>IF($J553="","",INDEX(NKC!$B$7:$B$3006,$J553))</f>
        <v/>
      </c>
      <c r="B553" s="95">
        <f>IF($J553="","",INDEX(NKC!$C$7:$C$3006,$J553))</f>
        <v/>
      </c>
      <c r="C553" s="131">
        <f>IF($J553="","",INDEX(NKC!$D$7:$D$3006,$J553))</f>
        <v/>
      </c>
      <c r="D553" s="97">
        <f>IF($J553="","",INDEX(NKC!$E$7:$E$3006,$J553))</f>
        <v/>
      </c>
      <c r="E553" s="95">
        <f>IF($J553="","",IF(LEFT(INDEX(NKC!$F$7:$F$3006,$J553),LEN($B$5))=$B$5,INDEX(NKC!$G$7:$G$3006,$J553),INDEX(NKC!$F$7:$F$3006,$J553)))</f>
        <v/>
      </c>
      <c r="F553" s="125">
        <f>IF($J553="","",IF(LEFT(INDEX(NKC!$F$7:$F$3006,$J553),LEN($B$5))=$B$5,INDEX(NKC!$H$7:$H$3006,$J553),""))</f>
        <v/>
      </c>
      <c r="G553" s="125">
        <f>IF($J553="","",IF(LEFT(INDEX(NKC!$G$7:$G$3006,$J553),LEN($B$5))=$B$5,INDEX(NKC!$H$7:$H$3006,$J553),""))</f>
        <v/>
      </c>
      <c r="H553" s="132">
        <f>IF($J553="","",H552+N(F553)-N(G553))</f>
        <v/>
      </c>
      <c r="J553" s="117">
        <f>IFERROR(MATCH(546,NKC!$P$7:$P$3006,0),"")</f>
        <v/>
      </c>
    </row>
    <row r="554" ht="15" customHeight="1" s="78">
      <c r="A554" s="131">
        <f>IF($J554="","",INDEX(NKC!$B$7:$B$3006,$J554))</f>
        <v/>
      </c>
      <c r="B554" s="95">
        <f>IF($J554="","",INDEX(NKC!$C$7:$C$3006,$J554))</f>
        <v/>
      </c>
      <c r="C554" s="131">
        <f>IF($J554="","",INDEX(NKC!$D$7:$D$3006,$J554))</f>
        <v/>
      </c>
      <c r="D554" s="97">
        <f>IF($J554="","",INDEX(NKC!$E$7:$E$3006,$J554))</f>
        <v/>
      </c>
      <c r="E554" s="95">
        <f>IF($J554="","",IF(LEFT(INDEX(NKC!$F$7:$F$3006,$J554),LEN($B$5))=$B$5,INDEX(NKC!$G$7:$G$3006,$J554),INDEX(NKC!$F$7:$F$3006,$J554)))</f>
        <v/>
      </c>
      <c r="F554" s="125">
        <f>IF($J554="","",IF(LEFT(INDEX(NKC!$F$7:$F$3006,$J554),LEN($B$5))=$B$5,INDEX(NKC!$H$7:$H$3006,$J554),""))</f>
        <v/>
      </c>
      <c r="G554" s="125">
        <f>IF($J554="","",IF(LEFT(INDEX(NKC!$G$7:$G$3006,$J554),LEN($B$5))=$B$5,INDEX(NKC!$H$7:$H$3006,$J554),""))</f>
        <v/>
      </c>
      <c r="H554" s="132">
        <f>IF($J554="","",H553+N(F554)-N(G554))</f>
        <v/>
      </c>
      <c r="J554" s="117">
        <f>IFERROR(MATCH(547,NKC!$P$7:$P$3006,0),"")</f>
        <v/>
      </c>
    </row>
    <row r="555" ht="15" customHeight="1" s="78">
      <c r="A555" s="131">
        <f>IF($J555="","",INDEX(NKC!$B$7:$B$3006,$J555))</f>
        <v/>
      </c>
      <c r="B555" s="95">
        <f>IF($J555="","",INDEX(NKC!$C$7:$C$3006,$J555))</f>
        <v/>
      </c>
      <c r="C555" s="131">
        <f>IF($J555="","",INDEX(NKC!$D$7:$D$3006,$J555))</f>
        <v/>
      </c>
      <c r="D555" s="97">
        <f>IF($J555="","",INDEX(NKC!$E$7:$E$3006,$J555))</f>
        <v/>
      </c>
      <c r="E555" s="95">
        <f>IF($J555="","",IF(LEFT(INDEX(NKC!$F$7:$F$3006,$J555),LEN($B$5))=$B$5,INDEX(NKC!$G$7:$G$3006,$J555),INDEX(NKC!$F$7:$F$3006,$J555)))</f>
        <v/>
      </c>
      <c r="F555" s="125">
        <f>IF($J555="","",IF(LEFT(INDEX(NKC!$F$7:$F$3006,$J555),LEN($B$5))=$B$5,INDEX(NKC!$H$7:$H$3006,$J555),""))</f>
        <v/>
      </c>
      <c r="G555" s="125">
        <f>IF($J555="","",IF(LEFT(INDEX(NKC!$G$7:$G$3006,$J555),LEN($B$5))=$B$5,INDEX(NKC!$H$7:$H$3006,$J555),""))</f>
        <v/>
      </c>
      <c r="H555" s="132">
        <f>IF($J555="","",H554+N(F555)-N(G555))</f>
        <v/>
      </c>
      <c r="J555" s="117">
        <f>IFERROR(MATCH(548,NKC!$P$7:$P$3006,0),"")</f>
        <v/>
      </c>
    </row>
    <row r="556" ht="15" customHeight="1" s="78">
      <c r="A556" s="131">
        <f>IF($J556="","",INDEX(NKC!$B$7:$B$3006,$J556))</f>
        <v/>
      </c>
      <c r="B556" s="95">
        <f>IF($J556="","",INDEX(NKC!$C$7:$C$3006,$J556))</f>
        <v/>
      </c>
      <c r="C556" s="131">
        <f>IF($J556="","",INDEX(NKC!$D$7:$D$3006,$J556))</f>
        <v/>
      </c>
      <c r="D556" s="97">
        <f>IF($J556="","",INDEX(NKC!$E$7:$E$3006,$J556))</f>
        <v/>
      </c>
      <c r="E556" s="95">
        <f>IF($J556="","",IF(LEFT(INDEX(NKC!$F$7:$F$3006,$J556),LEN($B$5))=$B$5,INDEX(NKC!$G$7:$G$3006,$J556),INDEX(NKC!$F$7:$F$3006,$J556)))</f>
        <v/>
      </c>
      <c r="F556" s="125">
        <f>IF($J556="","",IF(LEFT(INDEX(NKC!$F$7:$F$3006,$J556),LEN($B$5))=$B$5,INDEX(NKC!$H$7:$H$3006,$J556),""))</f>
        <v/>
      </c>
      <c r="G556" s="125">
        <f>IF($J556="","",IF(LEFT(INDEX(NKC!$G$7:$G$3006,$J556),LEN($B$5))=$B$5,INDEX(NKC!$H$7:$H$3006,$J556),""))</f>
        <v/>
      </c>
      <c r="H556" s="132">
        <f>IF($J556="","",H555+N(F556)-N(G556))</f>
        <v/>
      </c>
      <c r="J556" s="117">
        <f>IFERROR(MATCH(549,NKC!$P$7:$P$3006,0),"")</f>
        <v/>
      </c>
    </row>
    <row r="557" ht="15" customHeight="1" s="78">
      <c r="A557" s="131">
        <f>IF($J557="","",INDEX(NKC!$B$7:$B$3006,$J557))</f>
        <v/>
      </c>
      <c r="B557" s="95">
        <f>IF($J557="","",INDEX(NKC!$C$7:$C$3006,$J557))</f>
        <v/>
      </c>
      <c r="C557" s="131">
        <f>IF($J557="","",INDEX(NKC!$D$7:$D$3006,$J557))</f>
        <v/>
      </c>
      <c r="D557" s="97">
        <f>IF($J557="","",INDEX(NKC!$E$7:$E$3006,$J557))</f>
        <v/>
      </c>
      <c r="E557" s="95">
        <f>IF($J557="","",IF(LEFT(INDEX(NKC!$F$7:$F$3006,$J557),LEN($B$5))=$B$5,INDEX(NKC!$G$7:$G$3006,$J557),INDEX(NKC!$F$7:$F$3006,$J557)))</f>
        <v/>
      </c>
      <c r="F557" s="125">
        <f>IF($J557="","",IF(LEFT(INDEX(NKC!$F$7:$F$3006,$J557),LEN($B$5))=$B$5,INDEX(NKC!$H$7:$H$3006,$J557),""))</f>
        <v/>
      </c>
      <c r="G557" s="125">
        <f>IF($J557="","",IF(LEFT(INDEX(NKC!$G$7:$G$3006,$J557),LEN($B$5))=$B$5,INDEX(NKC!$H$7:$H$3006,$J557),""))</f>
        <v/>
      </c>
      <c r="H557" s="132">
        <f>IF($J557="","",H556+N(F557)-N(G557))</f>
        <v/>
      </c>
      <c r="J557" s="117">
        <f>IFERROR(MATCH(550,NKC!$P$7:$P$3006,0),"")</f>
        <v/>
      </c>
    </row>
    <row r="558" ht="15" customHeight="1" s="78">
      <c r="A558" s="131">
        <f>IF($J558="","",INDEX(NKC!$B$7:$B$3006,$J558))</f>
        <v/>
      </c>
      <c r="B558" s="95">
        <f>IF($J558="","",INDEX(NKC!$C$7:$C$3006,$J558))</f>
        <v/>
      </c>
      <c r="C558" s="131">
        <f>IF($J558="","",INDEX(NKC!$D$7:$D$3006,$J558))</f>
        <v/>
      </c>
      <c r="D558" s="97">
        <f>IF($J558="","",INDEX(NKC!$E$7:$E$3006,$J558))</f>
        <v/>
      </c>
      <c r="E558" s="95">
        <f>IF($J558="","",IF(LEFT(INDEX(NKC!$F$7:$F$3006,$J558),LEN($B$5))=$B$5,INDEX(NKC!$G$7:$G$3006,$J558),INDEX(NKC!$F$7:$F$3006,$J558)))</f>
        <v/>
      </c>
      <c r="F558" s="125">
        <f>IF($J558="","",IF(LEFT(INDEX(NKC!$F$7:$F$3006,$J558),LEN($B$5))=$B$5,INDEX(NKC!$H$7:$H$3006,$J558),""))</f>
        <v/>
      </c>
      <c r="G558" s="125">
        <f>IF($J558="","",IF(LEFT(INDEX(NKC!$G$7:$G$3006,$J558),LEN($B$5))=$B$5,INDEX(NKC!$H$7:$H$3006,$J558),""))</f>
        <v/>
      </c>
      <c r="H558" s="132">
        <f>IF($J558="","",H557+N(F558)-N(G558))</f>
        <v/>
      </c>
      <c r="J558" s="117">
        <f>IFERROR(MATCH(551,NKC!$P$7:$P$3006,0),"")</f>
        <v/>
      </c>
    </row>
    <row r="559" ht="15" customHeight="1" s="78">
      <c r="A559" s="131">
        <f>IF($J559="","",INDEX(NKC!$B$7:$B$3006,$J559))</f>
        <v/>
      </c>
      <c r="B559" s="95">
        <f>IF($J559="","",INDEX(NKC!$C$7:$C$3006,$J559))</f>
        <v/>
      </c>
      <c r="C559" s="131">
        <f>IF($J559="","",INDEX(NKC!$D$7:$D$3006,$J559))</f>
        <v/>
      </c>
      <c r="D559" s="97">
        <f>IF($J559="","",INDEX(NKC!$E$7:$E$3006,$J559))</f>
        <v/>
      </c>
      <c r="E559" s="95">
        <f>IF($J559="","",IF(LEFT(INDEX(NKC!$F$7:$F$3006,$J559),LEN($B$5))=$B$5,INDEX(NKC!$G$7:$G$3006,$J559),INDEX(NKC!$F$7:$F$3006,$J559)))</f>
        <v/>
      </c>
      <c r="F559" s="125">
        <f>IF($J559="","",IF(LEFT(INDEX(NKC!$F$7:$F$3006,$J559),LEN($B$5))=$B$5,INDEX(NKC!$H$7:$H$3006,$J559),""))</f>
        <v/>
      </c>
      <c r="G559" s="125">
        <f>IF($J559="","",IF(LEFT(INDEX(NKC!$G$7:$G$3006,$J559),LEN($B$5))=$B$5,INDEX(NKC!$H$7:$H$3006,$J559),""))</f>
        <v/>
      </c>
      <c r="H559" s="132">
        <f>IF($J559="","",H558+N(F559)-N(G559))</f>
        <v/>
      </c>
      <c r="J559" s="117">
        <f>IFERROR(MATCH(552,NKC!$P$7:$P$3006,0),"")</f>
        <v/>
      </c>
    </row>
    <row r="560" ht="15" customHeight="1" s="78">
      <c r="A560" s="131">
        <f>IF($J560="","",INDEX(NKC!$B$7:$B$3006,$J560))</f>
        <v/>
      </c>
      <c r="B560" s="95">
        <f>IF($J560="","",INDEX(NKC!$C$7:$C$3006,$J560))</f>
        <v/>
      </c>
      <c r="C560" s="131">
        <f>IF($J560="","",INDEX(NKC!$D$7:$D$3006,$J560))</f>
        <v/>
      </c>
      <c r="D560" s="97">
        <f>IF($J560="","",INDEX(NKC!$E$7:$E$3006,$J560))</f>
        <v/>
      </c>
      <c r="E560" s="95">
        <f>IF($J560="","",IF(LEFT(INDEX(NKC!$F$7:$F$3006,$J560),LEN($B$5))=$B$5,INDEX(NKC!$G$7:$G$3006,$J560),INDEX(NKC!$F$7:$F$3006,$J560)))</f>
        <v/>
      </c>
      <c r="F560" s="125">
        <f>IF($J560="","",IF(LEFT(INDEX(NKC!$F$7:$F$3006,$J560),LEN($B$5))=$B$5,INDEX(NKC!$H$7:$H$3006,$J560),""))</f>
        <v/>
      </c>
      <c r="G560" s="125">
        <f>IF($J560="","",IF(LEFT(INDEX(NKC!$G$7:$G$3006,$J560),LEN($B$5))=$B$5,INDEX(NKC!$H$7:$H$3006,$J560),""))</f>
        <v/>
      </c>
      <c r="H560" s="132">
        <f>IF($J560="","",H559+N(F560)-N(G560))</f>
        <v/>
      </c>
      <c r="J560" s="117">
        <f>IFERROR(MATCH(553,NKC!$P$7:$P$3006,0),"")</f>
        <v/>
      </c>
    </row>
    <row r="561" ht="15" customHeight="1" s="78">
      <c r="A561" s="131">
        <f>IF($J561="","",INDEX(NKC!$B$7:$B$3006,$J561))</f>
        <v/>
      </c>
      <c r="B561" s="95">
        <f>IF($J561="","",INDEX(NKC!$C$7:$C$3006,$J561))</f>
        <v/>
      </c>
      <c r="C561" s="131">
        <f>IF($J561="","",INDEX(NKC!$D$7:$D$3006,$J561))</f>
        <v/>
      </c>
      <c r="D561" s="97">
        <f>IF($J561="","",INDEX(NKC!$E$7:$E$3006,$J561))</f>
        <v/>
      </c>
      <c r="E561" s="95">
        <f>IF($J561="","",IF(LEFT(INDEX(NKC!$F$7:$F$3006,$J561),LEN($B$5))=$B$5,INDEX(NKC!$G$7:$G$3006,$J561),INDEX(NKC!$F$7:$F$3006,$J561)))</f>
        <v/>
      </c>
      <c r="F561" s="125">
        <f>IF($J561="","",IF(LEFT(INDEX(NKC!$F$7:$F$3006,$J561),LEN($B$5))=$B$5,INDEX(NKC!$H$7:$H$3006,$J561),""))</f>
        <v/>
      </c>
      <c r="G561" s="125">
        <f>IF($J561="","",IF(LEFT(INDEX(NKC!$G$7:$G$3006,$J561),LEN($B$5))=$B$5,INDEX(NKC!$H$7:$H$3006,$J561),""))</f>
        <v/>
      </c>
      <c r="H561" s="132">
        <f>IF($J561="","",H560+N(F561)-N(G561))</f>
        <v/>
      </c>
      <c r="J561" s="117">
        <f>IFERROR(MATCH(554,NKC!$P$7:$P$3006,0),"")</f>
        <v/>
      </c>
    </row>
    <row r="562" ht="15" customHeight="1" s="78">
      <c r="A562" s="131">
        <f>IF($J562="","",INDEX(NKC!$B$7:$B$3006,$J562))</f>
        <v/>
      </c>
      <c r="B562" s="95">
        <f>IF($J562="","",INDEX(NKC!$C$7:$C$3006,$J562))</f>
        <v/>
      </c>
      <c r="C562" s="131">
        <f>IF($J562="","",INDEX(NKC!$D$7:$D$3006,$J562))</f>
        <v/>
      </c>
      <c r="D562" s="97">
        <f>IF($J562="","",INDEX(NKC!$E$7:$E$3006,$J562))</f>
        <v/>
      </c>
      <c r="E562" s="95">
        <f>IF($J562="","",IF(LEFT(INDEX(NKC!$F$7:$F$3006,$J562),LEN($B$5))=$B$5,INDEX(NKC!$G$7:$G$3006,$J562),INDEX(NKC!$F$7:$F$3006,$J562)))</f>
        <v/>
      </c>
      <c r="F562" s="125">
        <f>IF($J562="","",IF(LEFT(INDEX(NKC!$F$7:$F$3006,$J562),LEN($B$5))=$B$5,INDEX(NKC!$H$7:$H$3006,$J562),""))</f>
        <v/>
      </c>
      <c r="G562" s="125">
        <f>IF($J562="","",IF(LEFT(INDEX(NKC!$G$7:$G$3006,$J562),LEN($B$5))=$B$5,INDEX(NKC!$H$7:$H$3006,$J562),""))</f>
        <v/>
      </c>
      <c r="H562" s="132">
        <f>IF($J562="","",H561+N(F562)-N(G562))</f>
        <v/>
      </c>
      <c r="J562" s="117">
        <f>IFERROR(MATCH(555,NKC!$P$7:$P$3006,0),"")</f>
        <v/>
      </c>
    </row>
    <row r="563" ht="15" customHeight="1" s="78">
      <c r="A563" s="131">
        <f>IF($J563="","",INDEX(NKC!$B$7:$B$3006,$J563))</f>
        <v/>
      </c>
      <c r="B563" s="95">
        <f>IF($J563="","",INDEX(NKC!$C$7:$C$3006,$J563))</f>
        <v/>
      </c>
      <c r="C563" s="131">
        <f>IF($J563="","",INDEX(NKC!$D$7:$D$3006,$J563))</f>
        <v/>
      </c>
      <c r="D563" s="97">
        <f>IF($J563="","",INDEX(NKC!$E$7:$E$3006,$J563))</f>
        <v/>
      </c>
      <c r="E563" s="95">
        <f>IF($J563="","",IF(LEFT(INDEX(NKC!$F$7:$F$3006,$J563),LEN($B$5))=$B$5,INDEX(NKC!$G$7:$G$3006,$J563),INDEX(NKC!$F$7:$F$3006,$J563)))</f>
        <v/>
      </c>
      <c r="F563" s="125">
        <f>IF($J563="","",IF(LEFT(INDEX(NKC!$F$7:$F$3006,$J563),LEN($B$5))=$B$5,INDEX(NKC!$H$7:$H$3006,$J563),""))</f>
        <v/>
      </c>
      <c r="G563" s="125">
        <f>IF($J563="","",IF(LEFT(INDEX(NKC!$G$7:$G$3006,$J563),LEN($B$5))=$B$5,INDEX(NKC!$H$7:$H$3006,$J563),""))</f>
        <v/>
      </c>
      <c r="H563" s="132">
        <f>IF($J563="","",H562+N(F563)-N(G563))</f>
        <v/>
      </c>
      <c r="J563" s="117">
        <f>IFERROR(MATCH(556,NKC!$P$7:$P$3006,0),"")</f>
        <v/>
      </c>
    </row>
    <row r="564" ht="15" customHeight="1" s="78">
      <c r="A564" s="131">
        <f>IF($J564="","",INDEX(NKC!$B$7:$B$3006,$J564))</f>
        <v/>
      </c>
      <c r="B564" s="95">
        <f>IF($J564="","",INDEX(NKC!$C$7:$C$3006,$J564))</f>
        <v/>
      </c>
      <c r="C564" s="131">
        <f>IF($J564="","",INDEX(NKC!$D$7:$D$3006,$J564))</f>
        <v/>
      </c>
      <c r="D564" s="97">
        <f>IF($J564="","",INDEX(NKC!$E$7:$E$3006,$J564))</f>
        <v/>
      </c>
      <c r="E564" s="95">
        <f>IF($J564="","",IF(LEFT(INDEX(NKC!$F$7:$F$3006,$J564),LEN($B$5))=$B$5,INDEX(NKC!$G$7:$G$3006,$J564),INDEX(NKC!$F$7:$F$3006,$J564)))</f>
        <v/>
      </c>
      <c r="F564" s="125">
        <f>IF($J564="","",IF(LEFT(INDEX(NKC!$F$7:$F$3006,$J564),LEN($B$5))=$B$5,INDEX(NKC!$H$7:$H$3006,$J564),""))</f>
        <v/>
      </c>
      <c r="G564" s="125">
        <f>IF($J564="","",IF(LEFT(INDEX(NKC!$G$7:$G$3006,$J564),LEN($B$5))=$B$5,INDEX(NKC!$H$7:$H$3006,$J564),""))</f>
        <v/>
      </c>
      <c r="H564" s="132">
        <f>IF($J564="","",H563+N(F564)-N(G564))</f>
        <v/>
      </c>
      <c r="J564" s="117">
        <f>IFERROR(MATCH(557,NKC!$P$7:$P$3006,0),"")</f>
        <v/>
      </c>
    </row>
    <row r="565" ht="15" customHeight="1" s="78">
      <c r="A565" s="131">
        <f>IF($J565="","",INDEX(NKC!$B$7:$B$3006,$J565))</f>
        <v/>
      </c>
      <c r="B565" s="95">
        <f>IF($J565="","",INDEX(NKC!$C$7:$C$3006,$J565))</f>
        <v/>
      </c>
      <c r="C565" s="131">
        <f>IF($J565="","",INDEX(NKC!$D$7:$D$3006,$J565))</f>
        <v/>
      </c>
      <c r="D565" s="97">
        <f>IF($J565="","",INDEX(NKC!$E$7:$E$3006,$J565))</f>
        <v/>
      </c>
      <c r="E565" s="95">
        <f>IF($J565="","",IF(LEFT(INDEX(NKC!$F$7:$F$3006,$J565),LEN($B$5))=$B$5,INDEX(NKC!$G$7:$G$3006,$J565),INDEX(NKC!$F$7:$F$3006,$J565)))</f>
        <v/>
      </c>
      <c r="F565" s="125">
        <f>IF($J565="","",IF(LEFT(INDEX(NKC!$F$7:$F$3006,$J565),LEN($B$5))=$B$5,INDEX(NKC!$H$7:$H$3006,$J565),""))</f>
        <v/>
      </c>
      <c r="G565" s="125">
        <f>IF($J565="","",IF(LEFT(INDEX(NKC!$G$7:$G$3006,$J565),LEN($B$5))=$B$5,INDEX(NKC!$H$7:$H$3006,$J565),""))</f>
        <v/>
      </c>
      <c r="H565" s="132">
        <f>IF($J565="","",H564+N(F565)-N(G565))</f>
        <v/>
      </c>
      <c r="J565" s="117">
        <f>IFERROR(MATCH(558,NKC!$P$7:$P$3006,0),"")</f>
        <v/>
      </c>
    </row>
    <row r="566" ht="15" customHeight="1" s="78">
      <c r="A566" s="131">
        <f>IF($J566="","",INDEX(NKC!$B$7:$B$3006,$J566))</f>
        <v/>
      </c>
      <c r="B566" s="95">
        <f>IF($J566="","",INDEX(NKC!$C$7:$C$3006,$J566))</f>
        <v/>
      </c>
      <c r="C566" s="131">
        <f>IF($J566="","",INDEX(NKC!$D$7:$D$3006,$J566))</f>
        <v/>
      </c>
      <c r="D566" s="97">
        <f>IF($J566="","",INDEX(NKC!$E$7:$E$3006,$J566))</f>
        <v/>
      </c>
      <c r="E566" s="95">
        <f>IF($J566="","",IF(LEFT(INDEX(NKC!$F$7:$F$3006,$J566),LEN($B$5))=$B$5,INDEX(NKC!$G$7:$G$3006,$J566),INDEX(NKC!$F$7:$F$3006,$J566)))</f>
        <v/>
      </c>
      <c r="F566" s="125">
        <f>IF($J566="","",IF(LEFT(INDEX(NKC!$F$7:$F$3006,$J566),LEN($B$5))=$B$5,INDEX(NKC!$H$7:$H$3006,$J566),""))</f>
        <v/>
      </c>
      <c r="G566" s="125">
        <f>IF($J566="","",IF(LEFT(INDEX(NKC!$G$7:$G$3006,$J566),LEN($B$5))=$B$5,INDEX(NKC!$H$7:$H$3006,$J566),""))</f>
        <v/>
      </c>
      <c r="H566" s="132">
        <f>IF($J566="","",H565+N(F566)-N(G566))</f>
        <v/>
      </c>
      <c r="J566" s="117">
        <f>IFERROR(MATCH(559,NKC!$P$7:$P$3006,0),"")</f>
        <v/>
      </c>
    </row>
    <row r="567" ht="15" customHeight="1" s="78">
      <c r="A567" s="131">
        <f>IF($J567="","",INDEX(NKC!$B$7:$B$3006,$J567))</f>
        <v/>
      </c>
      <c r="B567" s="95">
        <f>IF($J567="","",INDEX(NKC!$C$7:$C$3006,$J567))</f>
        <v/>
      </c>
      <c r="C567" s="131">
        <f>IF($J567="","",INDEX(NKC!$D$7:$D$3006,$J567))</f>
        <v/>
      </c>
      <c r="D567" s="97">
        <f>IF($J567="","",INDEX(NKC!$E$7:$E$3006,$J567))</f>
        <v/>
      </c>
      <c r="E567" s="95">
        <f>IF($J567="","",IF(LEFT(INDEX(NKC!$F$7:$F$3006,$J567),LEN($B$5))=$B$5,INDEX(NKC!$G$7:$G$3006,$J567),INDEX(NKC!$F$7:$F$3006,$J567)))</f>
        <v/>
      </c>
      <c r="F567" s="125">
        <f>IF($J567="","",IF(LEFT(INDEX(NKC!$F$7:$F$3006,$J567),LEN($B$5))=$B$5,INDEX(NKC!$H$7:$H$3006,$J567),""))</f>
        <v/>
      </c>
      <c r="G567" s="125">
        <f>IF($J567="","",IF(LEFT(INDEX(NKC!$G$7:$G$3006,$J567),LEN($B$5))=$B$5,INDEX(NKC!$H$7:$H$3006,$J567),""))</f>
        <v/>
      </c>
      <c r="H567" s="132">
        <f>IF($J567="","",H566+N(F567)-N(G567))</f>
        <v/>
      </c>
      <c r="J567" s="117">
        <f>IFERROR(MATCH(560,NKC!$P$7:$P$3006,0),"")</f>
        <v/>
      </c>
    </row>
    <row r="568" ht="15" customHeight="1" s="78">
      <c r="A568" s="131">
        <f>IF($J568="","",INDEX(NKC!$B$7:$B$3006,$J568))</f>
        <v/>
      </c>
      <c r="B568" s="95">
        <f>IF($J568="","",INDEX(NKC!$C$7:$C$3006,$J568))</f>
        <v/>
      </c>
      <c r="C568" s="131">
        <f>IF($J568="","",INDEX(NKC!$D$7:$D$3006,$J568))</f>
        <v/>
      </c>
      <c r="D568" s="97">
        <f>IF($J568="","",INDEX(NKC!$E$7:$E$3006,$J568))</f>
        <v/>
      </c>
      <c r="E568" s="95">
        <f>IF($J568="","",IF(LEFT(INDEX(NKC!$F$7:$F$3006,$J568),LEN($B$5))=$B$5,INDEX(NKC!$G$7:$G$3006,$J568),INDEX(NKC!$F$7:$F$3006,$J568)))</f>
        <v/>
      </c>
      <c r="F568" s="125">
        <f>IF($J568="","",IF(LEFT(INDEX(NKC!$F$7:$F$3006,$J568),LEN($B$5))=$B$5,INDEX(NKC!$H$7:$H$3006,$J568),""))</f>
        <v/>
      </c>
      <c r="G568" s="125">
        <f>IF($J568="","",IF(LEFT(INDEX(NKC!$G$7:$G$3006,$J568),LEN($B$5))=$B$5,INDEX(NKC!$H$7:$H$3006,$J568),""))</f>
        <v/>
      </c>
      <c r="H568" s="132">
        <f>IF($J568="","",H567+N(F568)-N(G568))</f>
        <v/>
      </c>
      <c r="J568" s="117">
        <f>IFERROR(MATCH(561,NKC!$P$7:$P$3006,0),"")</f>
        <v/>
      </c>
    </row>
    <row r="569" ht="15" customHeight="1" s="78">
      <c r="A569" s="131">
        <f>IF($J569="","",INDEX(NKC!$B$7:$B$3006,$J569))</f>
        <v/>
      </c>
      <c r="B569" s="95">
        <f>IF($J569="","",INDEX(NKC!$C$7:$C$3006,$J569))</f>
        <v/>
      </c>
      <c r="C569" s="131">
        <f>IF($J569="","",INDEX(NKC!$D$7:$D$3006,$J569))</f>
        <v/>
      </c>
      <c r="D569" s="97">
        <f>IF($J569="","",INDEX(NKC!$E$7:$E$3006,$J569))</f>
        <v/>
      </c>
      <c r="E569" s="95">
        <f>IF($J569="","",IF(LEFT(INDEX(NKC!$F$7:$F$3006,$J569),LEN($B$5))=$B$5,INDEX(NKC!$G$7:$G$3006,$J569),INDEX(NKC!$F$7:$F$3006,$J569)))</f>
        <v/>
      </c>
      <c r="F569" s="125">
        <f>IF($J569="","",IF(LEFT(INDEX(NKC!$F$7:$F$3006,$J569),LEN($B$5))=$B$5,INDEX(NKC!$H$7:$H$3006,$J569),""))</f>
        <v/>
      </c>
      <c r="G569" s="125">
        <f>IF($J569="","",IF(LEFT(INDEX(NKC!$G$7:$G$3006,$J569),LEN($B$5))=$B$5,INDEX(NKC!$H$7:$H$3006,$J569),""))</f>
        <v/>
      </c>
      <c r="H569" s="132">
        <f>IF($J569="","",H568+N(F569)-N(G569))</f>
        <v/>
      </c>
      <c r="J569" s="117">
        <f>IFERROR(MATCH(562,NKC!$P$7:$P$3006,0),"")</f>
        <v/>
      </c>
    </row>
    <row r="570" ht="15" customHeight="1" s="78">
      <c r="A570" s="131">
        <f>IF($J570="","",INDEX(NKC!$B$7:$B$3006,$J570))</f>
        <v/>
      </c>
      <c r="B570" s="95">
        <f>IF($J570="","",INDEX(NKC!$C$7:$C$3006,$J570))</f>
        <v/>
      </c>
      <c r="C570" s="131">
        <f>IF($J570="","",INDEX(NKC!$D$7:$D$3006,$J570))</f>
        <v/>
      </c>
      <c r="D570" s="97">
        <f>IF($J570="","",INDEX(NKC!$E$7:$E$3006,$J570))</f>
        <v/>
      </c>
      <c r="E570" s="95">
        <f>IF($J570="","",IF(LEFT(INDEX(NKC!$F$7:$F$3006,$J570),LEN($B$5))=$B$5,INDEX(NKC!$G$7:$G$3006,$J570),INDEX(NKC!$F$7:$F$3006,$J570)))</f>
        <v/>
      </c>
      <c r="F570" s="125">
        <f>IF($J570="","",IF(LEFT(INDEX(NKC!$F$7:$F$3006,$J570),LEN($B$5))=$B$5,INDEX(NKC!$H$7:$H$3006,$J570),""))</f>
        <v/>
      </c>
      <c r="G570" s="125">
        <f>IF($J570="","",IF(LEFT(INDEX(NKC!$G$7:$G$3006,$J570),LEN($B$5))=$B$5,INDEX(NKC!$H$7:$H$3006,$J570),""))</f>
        <v/>
      </c>
      <c r="H570" s="132">
        <f>IF($J570="","",H569+N(F570)-N(G570))</f>
        <v/>
      </c>
      <c r="J570" s="117">
        <f>IFERROR(MATCH(563,NKC!$P$7:$P$3006,0),"")</f>
        <v/>
      </c>
    </row>
    <row r="571" ht="15" customHeight="1" s="78">
      <c r="A571" s="131">
        <f>IF($J571="","",INDEX(NKC!$B$7:$B$3006,$J571))</f>
        <v/>
      </c>
      <c r="B571" s="95">
        <f>IF($J571="","",INDEX(NKC!$C$7:$C$3006,$J571))</f>
        <v/>
      </c>
      <c r="C571" s="131">
        <f>IF($J571="","",INDEX(NKC!$D$7:$D$3006,$J571))</f>
        <v/>
      </c>
      <c r="D571" s="97">
        <f>IF($J571="","",INDEX(NKC!$E$7:$E$3006,$J571))</f>
        <v/>
      </c>
      <c r="E571" s="95">
        <f>IF($J571="","",IF(LEFT(INDEX(NKC!$F$7:$F$3006,$J571),LEN($B$5))=$B$5,INDEX(NKC!$G$7:$G$3006,$J571),INDEX(NKC!$F$7:$F$3006,$J571)))</f>
        <v/>
      </c>
      <c r="F571" s="125">
        <f>IF($J571="","",IF(LEFT(INDEX(NKC!$F$7:$F$3006,$J571),LEN($B$5))=$B$5,INDEX(NKC!$H$7:$H$3006,$J571),""))</f>
        <v/>
      </c>
      <c r="G571" s="125">
        <f>IF($J571="","",IF(LEFT(INDEX(NKC!$G$7:$G$3006,$J571),LEN($B$5))=$B$5,INDEX(NKC!$H$7:$H$3006,$J571),""))</f>
        <v/>
      </c>
      <c r="H571" s="132">
        <f>IF($J571="","",H570+N(F571)-N(G571))</f>
        <v/>
      </c>
      <c r="J571" s="117">
        <f>IFERROR(MATCH(564,NKC!$P$7:$P$3006,0),"")</f>
        <v/>
      </c>
    </row>
    <row r="572" ht="15" customHeight="1" s="78">
      <c r="A572" s="131">
        <f>IF($J572="","",INDEX(NKC!$B$7:$B$3006,$J572))</f>
        <v/>
      </c>
      <c r="B572" s="95">
        <f>IF($J572="","",INDEX(NKC!$C$7:$C$3006,$J572))</f>
        <v/>
      </c>
      <c r="C572" s="131">
        <f>IF($J572="","",INDEX(NKC!$D$7:$D$3006,$J572))</f>
        <v/>
      </c>
      <c r="D572" s="97">
        <f>IF($J572="","",INDEX(NKC!$E$7:$E$3006,$J572))</f>
        <v/>
      </c>
      <c r="E572" s="95">
        <f>IF($J572="","",IF(LEFT(INDEX(NKC!$F$7:$F$3006,$J572),LEN($B$5))=$B$5,INDEX(NKC!$G$7:$G$3006,$J572),INDEX(NKC!$F$7:$F$3006,$J572)))</f>
        <v/>
      </c>
      <c r="F572" s="125">
        <f>IF($J572="","",IF(LEFT(INDEX(NKC!$F$7:$F$3006,$J572),LEN($B$5))=$B$5,INDEX(NKC!$H$7:$H$3006,$J572),""))</f>
        <v/>
      </c>
      <c r="G572" s="125">
        <f>IF($J572="","",IF(LEFT(INDEX(NKC!$G$7:$G$3006,$J572),LEN($B$5))=$B$5,INDEX(NKC!$H$7:$H$3006,$J572),""))</f>
        <v/>
      </c>
      <c r="H572" s="132">
        <f>IF($J572="","",H571+N(F572)-N(G572))</f>
        <v/>
      </c>
      <c r="J572" s="117">
        <f>IFERROR(MATCH(565,NKC!$P$7:$P$3006,0),"")</f>
        <v/>
      </c>
    </row>
    <row r="573" ht="15" customHeight="1" s="78">
      <c r="A573" s="131">
        <f>IF($J573="","",INDEX(NKC!$B$7:$B$3006,$J573))</f>
        <v/>
      </c>
      <c r="B573" s="95">
        <f>IF($J573="","",INDEX(NKC!$C$7:$C$3006,$J573))</f>
        <v/>
      </c>
      <c r="C573" s="131">
        <f>IF($J573="","",INDEX(NKC!$D$7:$D$3006,$J573))</f>
        <v/>
      </c>
      <c r="D573" s="97">
        <f>IF($J573="","",INDEX(NKC!$E$7:$E$3006,$J573))</f>
        <v/>
      </c>
      <c r="E573" s="95">
        <f>IF($J573="","",IF(LEFT(INDEX(NKC!$F$7:$F$3006,$J573),LEN($B$5))=$B$5,INDEX(NKC!$G$7:$G$3006,$J573),INDEX(NKC!$F$7:$F$3006,$J573)))</f>
        <v/>
      </c>
      <c r="F573" s="125">
        <f>IF($J573="","",IF(LEFT(INDEX(NKC!$F$7:$F$3006,$J573),LEN($B$5))=$B$5,INDEX(NKC!$H$7:$H$3006,$J573),""))</f>
        <v/>
      </c>
      <c r="G573" s="125">
        <f>IF($J573="","",IF(LEFT(INDEX(NKC!$G$7:$G$3006,$J573),LEN($B$5))=$B$5,INDEX(NKC!$H$7:$H$3006,$J573),""))</f>
        <v/>
      </c>
      <c r="H573" s="132">
        <f>IF($J573="","",H572+N(F573)-N(G573))</f>
        <v/>
      </c>
      <c r="J573" s="117">
        <f>IFERROR(MATCH(566,NKC!$P$7:$P$3006,0),"")</f>
        <v/>
      </c>
    </row>
    <row r="574" ht="15" customHeight="1" s="78">
      <c r="A574" s="131">
        <f>IF($J574="","",INDEX(NKC!$B$7:$B$3006,$J574))</f>
        <v/>
      </c>
      <c r="B574" s="95">
        <f>IF($J574="","",INDEX(NKC!$C$7:$C$3006,$J574))</f>
        <v/>
      </c>
      <c r="C574" s="131">
        <f>IF($J574="","",INDEX(NKC!$D$7:$D$3006,$J574))</f>
        <v/>
      </c>
      <c r="D574" s="97">
        <f>IF($J574="","",INDEX(NKC!$E$7:$E$3006,$J574))</f>
        <v/>
      </c>
      <c r="E574" s="95">
        <f>IF($J574="","",IF(LEFT(INDEX(NKC!$F$7:$F$3006,$J574),LEN($B$5))=$B$5,INDEX(NKC!$G$7:$G$3006,$J574),INDEX(NKC!$F$7:$F$3006,$J574)))</f>
        <v/>
      </c>
      <c r="F574" s="125">
        <f>IF($J574="","",IF(LEFT(INDEX(NKC!$F$7:$F$3006,$J574),LEN($B$5))=$B$5,INDEX(NKC!$H$7:$H$3006,$J574),""))</f>
        <v/>
      </c>
      <c r="G574" s="125">
        <f>IF($J574="","",IF(LEFT(INDEX(NKC!$G$7:$G$3006,$J574),LEN($B$5))=$B$5,INDEX(NKC!$H$7:$H$3006,$J574),""))</f>
        <v/>
      </c>
      <c r="H574" s="132">
        <f>IF($J574="","",H573+N(F574)-N(G574))</f>
        <v/>
      </c>
      <c r="J574" s="117">
        <f>IFERROR(MATCH(567,NKC!$P$7:$P$3006,0),"")</f>
        <v/>
      </c>
    </row>
    <row r="575" ht="15" customHeight="1" s="78">
      <c r="A575" s="131">
        <f>IF($J575="","",INDEX(NKC!$B$7:$B$3006,$J575))</f>
        <v/>
      </c>
      <c r="B575" s="95">
        <f>IF($J575="","",INDEX(NKC!$C$7:$C$3006,$J575))</f>
        <v/>
      </c>
      <c r="C575" s="131">
        <f>IF($J575="","",INDEX(NKC!$D$7:$D$3006,$J575))</f>
        <v/>
      </c>
      <c r="D575" s="97">
        <f>IF($J575="","",INDEX(NKC!$E$7:$E$3006,$J575))</f>
        <v/>
      </c>
      <c r="E575" s="95">
        <f>IF($J575="","",IF(LEFT(INDEX(NKC!$F$7:$F$3006,$J575),LEN($B$5))=$B$5,INDEX(NKC!$G$7:$G$3006,$J575),INDEX(NKC!$F$7:$F$3006,$J575)))</f>
        <v/>
      </c>
      <c r="F575" s="125">
        <f>IF($J575="","",IF(LEFT(INDEX(NKC!$F$7:$F$3006,$J575),LEN($B$5))=$B$5,INDEX(NKC!$H$7:$H$3006,$J575),""))</f>
        <v/>
      </c>
      <c r="G575" s="125">
        <f>IF($J575="","",IF(LEFT(INDEX(NKC!$G$7:$G$3006,$J575),LEN($B$5))=$B$5,INDEX(NKC!$H$7:$H$3006,$J575),""))</f>
        <v/>
      </c>
      <c r="H575" s="132">
        <f>IF($J575="","",H574+N(F575)-N(G575))</f>
        <v/>
      </c>
      <c r="J575" s="117">
        <f>IFERROR(MATCH(568,NKC!$P$7:$P$3006,0),"")</f>
        <v/>
      </c>
    </row>
    <row r="576" ht="15" customHeight="1" s="78">
      <c r="A576" s="131">
        <f>IF($J576="","",INDEX(NKC!$B$7:$B$3006,$J576))</f>
        <v/>
      </c>
      <c r="B576" s="95">
        <f>IF($J576="","",INDEX(NKC!$C$7:$C$3006,$J576))</f>
        <v/>
      </c>
      <c r="C576" s="131">
        <f>IF($J576="","",INDEX(NKC!$D$7:$D$3006,$J576))</f>
        <v/>
      </c>
      <c r="D576" s="97">
        <f>IF($J576="","",INDEX(NKC!$E$7:$E$3006,$J576))</f>
        <v/>
      </c>
      <c r="E576" s="95">
        <f>IF($J576="","",IF(LEFT(INDEX(NKC!$F$7:$F$3006,$J576),LEN($B$5))=$B$5,INDEX(NKC!$G$7:$G$3006,$J576),INDEX(NKC!$F$7:$F$3006,$J576)))</f>
        <v/>
      </c>
      <c r="F576" s="125">
        <f>IF($J576="","",IF(LEFT(INDEX(NKC!$F$7:$F$3006,$J576),LEN($B$5))=$B$5,INDEX(NKC!$H$7:$H$3006,$J576),""))</f>
        <v/>
      </c>
      <c r="G576" s="125">
        <f>IF($J576="","",IF(LEFT(INDEX(NKC!$G$7:$G$3006,$J576),LEN($B$5))=$B$5,INDEX(NKC!$H$7:$H$3006,$J576),""))</f>
        <v/>
      </c>
      <c r="H576" s="132">
        <f>IF($J576="","",H575+N(F576)-N(G576))</f>
        <v/>
      </c>
      <c r="J576" s="117">
        <f>IFERROR(MATCH(569,NKC!$P$7:$P$3006,0),"")</f>
        <v/>
      </c>
    </row>
    <row r="577" ht="15" customHeight="1" s="78">
      <c r="A577" s="131">
        <f>IF($J577="","",INDEX(NKC!$B$7:$B$3006,$J577))</f>
        <v/>
      </c>
      <c r="B577" s="95">
        <f>IF($J577="","",INDEX(NKC!$C$7:$C$3006,$J577))</f>
        <v/>
      </c>
      <c r="C577" s="131">
        <f>IF($J577="","",INDEX(NKC!$D$7:$D$3006,$J577))</f>
        <v/>
      </c>
      <c r="D577" s="97">
        <f>IF($J577="","",INDEX(NKC!$E$7:$E$3006,$J577))</f>
        <v/>
      </c>
      <c r="E577" s="95">
        <f>IF($J577="","",IF(LEFT(INDEX(NKC!$F$7:$F$3006,$J577),LEN($B$5))=$B$5,INDEX(NKC!$G$7:$G$3006,$J577),INDEX(NKC!$F$7:$F$3006,$J577)))</f>
        <v/>
      </c>
      <c r="F577" s="125">
        <f>IF($J577="","",IF(LEFT(INDEX(NKC!$F$7:$F$3006,$J577),LEN($B$5))=$B$5,INDEX(NKC!$H$7:$H$3006,$J577),""))</f>
        <v/>
      </c>
      <c r="G577" s="125">
        <f>IF($J577="","",IF(LEFT(INDEX(NKC!$G$7:$G$3006,$J577),LEN($B$5))=$B$5,INDEX(NKC!$H$7:$H$3006,$J577),""))</f>
        <v/>
      </c>
      <c r="H577" s="132">
        <f>IF($J577="","",H576+N(F577)-N(G577))</f>
        <v/>
      </c>
      <c r="J577" s="117">
        <f>IFERROR(MATCH(570,NKC!$P$7:$P$3006,0),"")</f>
        <v/>
      </c>
    </row>
    <row r="578" ht="15" customHeight="1" s="78">
      <c r="A578" s="131">
        <f>IF($J578="","",INDEX(NKC!$B$7:$B$3006,$J578))</f>
        <v/>
      </c>
      <c r="B578" s="95">
        <f>IF($J578="","",INDEX(NKC!$C$7:$C$3006,$J578))</f>
        <v/>
      </c>
      <c r="C578" s="131">
        <f>IF($J578="","",INDEX(NKC!$D$7:$D$3006,$J578))</f>
        <v/>
      </c>
      <c r="D578" s="97">
        <f>IF($J578="","",INDEX(NKC!$E$7:$E$3006,$J578))</f>
        <v/>
      </c>
      <c r="E578" s="95">
        <f>IF($J578="","",IF(LEFT(INDEX(NKC!$F$7:$F$3006,$J578),LEN($B$5))=$B$5,INDEX(NKC!$G$7:$G$3006,$J578),INDEX(NKC!$F$7:$F$3006,$J578)))</f>
        <v/>
      </c>
      <c r="F578" s="125">
        <f>IF($J578="","",IF(LEFT(INDEX(NKC!$F$7:$F$3006,$J578),LEN($B$5))=$B$5,INDEX(NKC!$H$7:$H$3006,$J578),""))</f>
        <v/>
      </c>
      <c r="G578" s="125">
        <f>IF($J578="","",IF(LEFT(INDEX(NKC!$G$7:$G$3006,$J578),LEN($B$5))=$B$5,INDEX(NKC!$H$7:$H$3006,$J578),""))</f>
        <v/>
      </c>
      <c r="H578" s="132">
        <f>IF($J578="","",H577+N(F578)-N(G578))</f>
        <v/>
      </c>
      <c r="J578" s="117">
        <f>IFERROR(MATCH(571,NKC!$P$7:$P$3006,0),"")</f>
        <v/>
      </c>
    </row>
    <row r="579" ht="15" customHeight="1" s="78">
      <c r="A579" s="131">
        <f>IF($J579="","",INDEX(NKC!$B$7:$B$3006,$J579))</f>
        <v/>
      </c>
      <c r="B579" s="95">
        <f>IF($J579="","",INDEX(NKC!$C$7:$C$3006,$J579))</f>
        <v/>
      </c>
      <c r="C579" s="131">
        <f>IF($J579="","",INDEX(NKC!$D$7:$D$3006,$J579))</f>
        <v/>
      </c>
      <c r="D579" s="97">
        <f>IF($J579="","",INDEX(NKC!$E$7:$E$3006,$J579))</f>
        <v/>
      </c>
      <c r="E579" s="95">
        <f>IF($J579="","",IF(LEFT(INDEX(NKC!$F$7:$F$3006,$J579),LEN($B$5))=$B$5,INDEX(NKC!$G$7:$G$3006,$J579),INDEX(NKC!$F$7:$F$3006,$J579)))</f>
        <v/>
      </c>
      <c r="F579" s="125">
        <f>IF($J579="","",IF(LEFT(INDEX(NKC!$F$7:$F$3006,$J579),LEN($B$5))=$B$5,INDEX(NKC!$H$7:$H$3006,$J579),""))</f>
        <v/>
      </c>
      <c r="G579" s="125">
        <f>IF($J579="","",IF(LEFT(INDEX(NKC!$G$7:$G$3006,$J579),LEN($B$5))=$B$5,INDEX(NKC!$H$7:$H$3006,$J579),""))</f>
        <v/>
      </c>
      <c r="H579" s="132">
        <f>IF($J579="","",H578+N(F579)-N(G579))</f>
        <v/>
      </c>
      <c r="J579" s="117">
        <f>IFERROR(MATCH(572,NKC!$P$7:$P$3006,0),"")</f>
        <v/>
      </c>
    </row>
    <row r="580" ht="15" customHeight="1" s="78">
      <c r="A580" s="131">
        <f>IF($J580="","",INDEX(NKC!$B$7:$B$3006,$J580))</f>
        <v/>
      </c>
      <c r="B580" s="95">
        <f>IF($J580="","",INDEX(NKC!$C$7:$C$3006,$J580))</f>
        <v/>
      </c>
      <c r="C580" s="131">
        <f>IF($J580="","",INDEX(NKC!$D$7:$D$3006,$J580))</f>
        <v/>
      </c>
      <c r="D580" s="97">
        <f>IF($J580="","",INDEX(NKC!$E$7:$E$3006,$J580))</f>
        <v/>
      </c>
      <c r="E580" s="95">
        <f>IF($J580="","",IF(LEFT(INDEX(NKC!$F$7:$F$3006,$J580),LEN($B$5))=$B$5,INDEX(NKC!$G$7:$G$3006,$J580),INDEX(NKC!$F$7:$F$3006,$J580)))</f>
        <v/>
      </c>
      <c r="F580" s="125">
        <f>IF($J580="","",IF(LEFT(INDEX(NKC!$F$7:$F$3006,$J580),LEN($B$5))=$B$5,INDEX(NKC!$H$7:$H$3006,$J580),""))</f>
        <v/>
      </c>
      <c r="G580" s="125">
        <f>IF($J580="","",IF(LEFT(INDEX(NKC!$G$7:$G$3006,$J580),LEN($B$5))=$B$5,INDEX(NKC!$H$7:$H$3006,$J580),""))</f>
        <v/>
      </c>
      <c r="H580" s="132">
        <f>IF($J580="","",H579+N(F580)-N(G580))</f>
        <v/>
      </c>
      <c r="J580" s="117">
        <f>IFERROR(MATCH(573,NKC!$P$7:$P$3006,0),"")</f>
        <v/>
      </c>
    </row>
    <row r="581" ht="15" customHeight="1" s="78">
      <c r="A581" s="131">
        <f>IF($J581="","",INDEX(NKC!$B$7:$B$3006,$J581))</f>
        <v/>
      </c>
      <c r="B581" s="95">
        <f>IF($J581="","",INDEX(NKC!$C$7:$C$3006,$J581))</f>
        <v/>
      </c>
      <c r="C581" s="131">
        <f>IF($J581="","",INDEX(NKC!$D$7:$D$3006,$J581))</f>
        <v/>
      </c>
      <c r="D581" s="97">
        <f>IF($J581="","",INDEX(NKC!$E$7:$E$3006,$J581))</f>
        <v/>
      </c>
      <c r="E581" s="95">
        <f>IF($J581="","",IF(LEFT(INDEX(NKC!$F$7:$F$3006,$J581),LEN($B$5))=$B$5,INDEX(NKC!$G$7:$G$3006,$J581),INDEX(NKC!$F$7:$F$3006,$J581)))</f>
        <v/>
      </c>
      <c r="F581" s="125">
        <f>IF($J581="","",IF(LEFT(INDEX(NKC!$F$7:$F$3006,$J581),LEN($B$5))=$B$5,INDEX(NKC!$H$7:$H$3006,$J581),""))</f>
        <v/>
      </c>
      <c r="G581" s="125">
        <f>IF($J581="","",IF(LEFT(INDEX(NKC!$G$7:$G$3006,$J581),LEN($B$5))=$B$5,INDEX(NKC!$H$7:$H$3006,$J581),""))</f>
        <v/>
      </c>
      <c r="H581" s="132">
        <f>IF($J581="","",H580+N(F581)-N(G581))</f>
        <v/>
      </c>
      <c r="J581" s="117">
        <f>IFERROR(MATCH(574,NKC!$P$7:$P$3006,0),"")</f>
        <v/>
      </c>
    </row>
    <row r="582" ht="15" customHeight="1" s="78">
      <c r="A582" s="131">
        <f>IF($J582="","",INDEX(NKC!$B$7:$B$3006,$J582))</f>
        <v/>
      </c>
      <c r="B582" s="95">
        <f>IF($J582="","",INDEX(NKC!$C$7:$C$3006,$J582))</f>
        <v/>
      </c>
      <c r="C582" s="131">
        <f>IF($J582="","",INDEX(NKC!$D$7:$D$3006,$J582))</f>
        <v/>
      </c>
      <c r="D582" s="97">
        <f>IF($J582="","",INDEX(NKC!$E$7:$E$3006,$J582))</f>
        <v/>
      </c>
      <c r="E582" s="95">
        <f>IF($J582="","",IF(LEFT(INDEX(NKC!$F$7:$F$3006,$J582),LEN($B$5))=$B$5,INDEX(NKC!$G$7:$G$3006,$J582),INDEX(NKC!$F$7:$F$3006,$J582)))</f>
        <v/>
      </c>
      <c r="F582" s="125">
        <f>IF($J582="","",IF(LEFT(INDEX(NKC!$F$7:$F$3006,$J582),LEN($B$5))=$B$5,INDEX(NKC!$H$7:$H$3006,$J582),""))</f>
        <v/>
      </c>
      <c r="G582" s="125">
        <f>IF($J582="","",IF(LEFT(INDEX(NKC!$G$7:$G$3006,$J582),LEN($B$5))=$B$5,INDEX(NKC!$H$7:$H$3006,$J582),""))</f>
        <v/>
      </c>
      <c r="H582" s="132">
        <f>IF($J582="","",H581+N(F582)-N(G582))</f>
        <v/>
      </c>
      <c r="J582" s="117">
        <f>IFERROR(MATCH(575,NKC!$P$7:$P$3006,0),"")</f>
        <v/>
      </c>
    </row>
    <row r="583" ht="15" customHeight="1" s="78">
      <c r="A583" s="131">
        <f>IF($J583="","",INDEX(NKC!$B$7:$B$3006,$J583))</f>
        <v/>
      </c>
      <c r="B583" s="95">
        <f>IF($J583="","",INDEX(NKC!$C$7:$C$3006,$J583))</f>
        <v/>
      </c>
      <c r="C583" s="131">
        <f>IF($J583="","",INDEX(NKC!$D$7:$D$3006,$J583))</f>
        <v/>
      </c>
      <c r="D583" s="97">
        <f>IF($J583="","",INDEX(NKC!$E$7:$E$3006,$J583))</f>
        <v/>
      </c>
      <c r="E583" s="95">
        <f>IF($J583="","",IF(LEFT(INDEX(NKC!$F$7:$F$3006,$J583),LEN($B$5))=$B$5,INDEX(NKC!$G$7:$G$3006,$J583),INDEX(NKC!$F$7:$F$3006,$J583)))</f>
        <v/>
      </c>
      <c r="F583" s="125">
        <f>IF($J583="","",IF(LEFT(INDEX(NKC!$F$7:$F$3006,$J583),LEN($B$5))=$B$5,INDEX(NKC!$H$7:$H$3006,$J583),""))</f>
        <v/>
      </c>
      <c r="G583" s="125">
        <f>IF($J583="","",IF(LEFT(INDEX(NKC!$G$7:$G$3006,$J583),LEN($B$5))=$B$5,INDEX(NKC!$H$7:$H$3006,$J583),""))</f>
        <v/>
      </c>
      <c r="H583" s="132">
        <f>IF($J583="","",H582+N(F583)-N(G583))</f>
        <v/>
      </c>
      <c r="J583" s="117">
        <f>IFERROR(MATCH(576,NKC!$P$7:$P$3006,0),"")</f>
        <v/>
      </c>
    </row>
    <row r="584" ht="15" customHeight="1" s="78">
      <c r="A584" s="131">
        <f>IF($J584="","",INDEX(NKC!$B$7:$B$3006,$J584))</f>
        <v/>
      </c>
      <c r="B584" s="95">
        <f>IF($J584="","",INDEX(NKC!$C$7:$C$3006,$J584))</f>
        <v/>
      </c>
      <c r="C584" s="131">
        <f>IF($J584="","",INDEX(NKC!$D$7:$D$3006,$J584))</f>
        <v/>
      </c>
      <c r="D584" s="97">
        <f>IF($J584="","",INDEX(NKC!$E$7:$E$3006,$J584))</f>
        <v/>
      </c>
      <c r="E584" s="95">
        <f>IF($J584="","",IF(LEFT(INDEX(NKC!$F$7:$F$3006,$J584),LEN($B$5))=$B$5,INDEX(NKC!$G$7:$G$3006,$J584),INDEX(NKC!$F$7:$F$3006,$J584)))</f>
        <v/>
      </c>
      <c r="F584" s="125">
        <f>IF($J584="","",IF(LEFT(INDEX(NKC!$F$7:$F$3006,$J584),LEN($B$5))=$B$5,INDEX(NKC!$H$7:$H$3006,$J584),""))</f>
        <v/>
      </c>
      <c r="G584" s="125">
        <f>IF($J584="","",IF(LEFT(INDEX(NKC!$G$7:$G$3006,$J584),LEN($B$5))=$B$5,INDEX(NKC!$H$7:$H$3006,$J584),""))</f>
        <v/>
      </c>
      <c r="H584" s="132">
        <f>IF($J584="","",H583+N(F584)-N(G584))</f>
        <v/>
      </c>
      <c r="J584" s="117">
        <f>IFERROR(MATCH(577,NKC!$P$7:$P$3006,0),"")</f>
        <v/>
      </c>
    </row>
    <row r="585" ht="15" customHeight="1" s="78">
      <c r="A585" s="131">
        <f>IF($J585="","",INDEX(NKC!$B$7:$B$3006,$J585))</f>
        <v/>
      </c>
      <c r="B585" s="95">
        <f>IF($J585="","",INDEX(NKC!$C$7:$C$3006,$J585))</f>
        <v/>
      </c>
      <c r="C585" s="131">
        <f>IF($J585="","",INDEX(NKC!$D$7:$D$3006,$J585))</f>
        <v/>
      </c>
      <c r="D585" s="97">
        <f>IF($J585="","",INDEX(NKC!$E$7:$E$3006,$J585))</f>
        <v/>
      </c>
      <c r="E585" s="95">
        <f>IF($J585="","",IF(LEFT(INDEX(NKC!$F$7:$F$3006,$J585),LEN($B$5))=$B$5,INDEX(NKC!$G$7:$G$3006,$J585),INDEX(NKC!$F$7:$F$3006,$J585)))</f>
        <v/>
      </c>
      <c r="F585" s="125">
        <f>IF($J585="","",IF(LEFT(INDEX(NKC!$F$7:$F$3006,$J585),LEN($B$5))=$B$5,INDEX(NKC!$H$7:$H$3006,$J585),""))</f>
        <v/>
      </c>
      <c r="G585" s="125">
        <f>IF($J585="","",IF(LEFT(INDEX(NKC!$G$7:$G$3006,$J585),LEN($B$5))=$B$5,INDEX(NKC!$H$7:$H$3006,$J585),""))</f>
        <v/>
      </c>
      <c r="H585" s="132">
        <f>IF($J585="","",H584+N(F585)-N(G585))</f>
        <v/>
      </c>
      <c r="J585" s="117">
        <f>IFERROR(MATCH(578,NKC!$P$7:$P$3006,0),"")</f>
        <v/>
      </c>
    </row>
    <row r="586" ht="15" customHeight="1" s="78">
      <c r="A586" s="131">
        <f>IF($J586="","",INDEX(NKC!$B$7:$B$3006,$J586))</f>
        <v/>
      </c>
      <c r="B586" s="95">
        <f>IF($J586="","",INDEX(NKC!$C$7:$C$3006,$J586))</f>
        <v/>
      </c>
      <c r="C586" s="131">
        <f>IF($J586="","",INDEX(NKC!$D$7:$D$3006,$J586))</f>
        <v/>
      </c>
      <c r="D586" s="97">
        <f>IF($J586="","",INDEX(NKC!$E$7:$E$3006,$J586))</f>
        <v/>
      </c>
      <c r="E586" s="95">
        <f>IF($J586="","",IF(LEFT(INDEX(NKC!$F$7:$F$3006,$J586),LEN($B$5))=$B$5,INDEX(NKC!$G$7:$G$3006,$J586),INDEX(NKC!$F$7:$F$3006,$J586)))</f>
        <v/>
      </c>
      <c r="F586" s="125">
        <f>IF($J586="","",IF(LEFT(INDEX(NKC!$F$7:$F$3006,$J586),LEN($B$5))=$B$5,INDEX(NKC!$H$7:$H$3006,$J586),""))</f>
        <v/>
      </c>
      <c r="G586" s="125">
        <f>IF($J586="","",IF(LEFT(INDEX(NKC!$G$7:$G$3006,$J586),LEN($B$5))=$B$5,INDEX(NKC!$H$7:$H$3006,$J586),""))</f>
        <v/>
      </c>
      <c r="H586" s="132">
        <f>IF($J586="","",H585+N(F586)-N(G586))</f>
        <v/>
      </c>
      <c r="J586" s="117">
        <f>IFERROR(MATCH(579,NKC!$P$7:$P$3006,0),"")</f>
        <v/>
      </c>
    </row>
    <row r="587" ht="15" customHeight="1" s="78">
      <c r="A587" s="131">
        <f>IF($J587="","",INDEX(NKC!$B$7:$B$3006,$J587))</f>
        <v/>
      </c>
      <c r="B587" s="95">
        <f>IF($J587="","",INDEX(NKC!$C$7:$C$3006,$J587))</f>
        <v/>
      </c>
      <c r="C587" s="131">
        <f>IF($J587="","",INDEX(NKC!$D$7:$D$3006,$J587))</f>
        <v/>
      </c>
      <c r="D587" s="97">
        <f>IF($J587="","",INDEX(NKC!$E$7:$E$3006,$J587))</f>
        <v/>
      </c>
      <c r="E587" s="95">
        <f>IF($J587="","",IF(LEFT(INDEX(NKC!$F$7:$F$3006,$J587),LEN($B$5))=$B$5,INDEX(NKC!$G$7:$G$3006,$J587),INDEX(NKC!$F$7:$F$3006,$J587)))</f>
        <v/>
      </c>
      <c r="F587" s="125">
        <f>IF($J587="","",IF(LEFT(INDEX(NKC!$F$7:$F$3006,$J587),LEN($B$5))=$B$5,INDEX(NKC!$H$7:$H$3006,$J587),""))</f>
        <v/>
      </c>
      <c r="G587" s="125">
        <f>IF($J587="","",IF(LEFT(INDEX(NKC!$G$7:$G$3006,$J587),LEN($B$5))=$B$5,INDEX(NKC!$H$7:$H$3006,$J587),""))</f>
        <v/>
      </c>
      <c r="H587" s="132">
        <f>IF($J587="","",H586+N(F587)-N(G587))</f>
        <v/>
      </c>
      <c r="J587" s="117">
        <f>IFERROR(MATCH(580,NKC!$P$7:$P$3006,0),"")</f>
        <v/>
      </c>
    </row>
    <row r="588" ht="15" customHeight="1" s="78">
      <c r="A588" s="131">
        <f>IF($J588="","",INDEX(NKC!$B$7:$B$3006,$J588))</f>
        <v/>
      </c>
      <c r="B588" s="95">
        <f>IF($J588="","",INDEX(NKC!$C$7:$C$3006,$J588))</f>
        <v/>
      </c>
      <c r="C588" s="131">
        <f>IF($J588="","",INDEX(NKC!$D$7:$D$3006,$J588))</f>
        <v/>
      </c>
      <c r="D588" s="97">
        <f>IF($J588="","",INDEX(NKC!$E$7:$E$3006,$J588))</f>
        <v/>
      </c>
      <c r="E588" s="95">
        <f>IF($J588="","",IF(LEFT(INDEX(NKC!$F$7:$F$3006,$J588),LEN($B$5))=$B$5,INDEX(NKC!$G$7:$G$3006,$J588),INDEX(NKC!$F$7:$F$3006,$J588)))</f>
        <v/>
      </c>
      <c r="F588" s="125">
        <f>IF($J588="","",IF(LEFT(INDEX(NKC!$F$7:$F$3006,$J588),LEN($B$5))=$B$5,INDEX(NKC!$H$7:$H$3006,$J588),""))</f>
        <v/>
      </c>
      <c r="G588" s="125">
        <f>IF($J588="","",IF(LEFT(INDEX(NKC!$G$7:$G$3006,$J588),LEN($B$5))=$B$5,INDEX(NKC!$H$7:$H$3006,$J588),""))</f>
        <v/>
      </c>
      <c r="H588" s="132">
        <f>IF($J588="","",H587+N(F588)-N(G588))</f>
        <v/>
      </c>
      <c r="J588" s="117">
        <f>IFERROR(MATCH(581,NKC!$P$7:$P$3006,0),"")</f>
        <v/>
      </c>
    </row>
    <row r="589" ht="15" customHeight="1" s="78">
      <c r="A589" s="131">
        <f>IF($J589="","",INDEX(NKC!$B$7:$B$3006,$J589))</f>
        <v/>
      </c>
      <c r="B589" s="95">
        <f>IF($J589="","",INDEX(NKC!$C$7:$C$3006,$J589))</f>
        <v/>
      </c>
      <c r="C589" s="131">
        <f>IF($J589="","",INDEX(NKC!$D$7:$D$3006,$J589))</f>
        <v/>
      </c>
      <c r="D589" s="97">
        <f>IF($J589="","",INDEX(NKC!$E$7:$E$3006,$J589))</f>
        <v/>
      </c>
      <c r="E589" s="95">
        <f>IF($J589="","",IF(LEFT(INDEX(NKC!$F$7:$F$3006,$J589),LEN($B$5))=$B$5,INDEX(NKC!$G$7:$G$3006,$J589),INDEX(NKC!$F$7:$F$3006,$J589)))</f>
        <v/>
      </c>
      <c r="F589" s="125">
        <f>IF($J589="","",IF(LEFT(INDEX(NKC!$F$7:$F$3006,$J589),LEN($B$5))=$B$5,INDEX(NKC!$H$7:$H$3006,$J589),""))</f>
        <v/>
      </c>
      <c r="G589" s="125">
        <f>IF($J589="","",IF(LEFT(INDEX(NKC!$G$7:$G$3006,$J589),LEN($B$5))=$B$5,INDEX(NKC!$H$7:$H$3006,$J589),""))</f>
        <v/>
      </c>
      <c r="H589" s="132">
        <f>IF($J589="","",H588+N(F589)-N(G589))</f>
        <v/>
      </c>
      <c r="J589" s="117">
        <f>IFERROR(MATCH(582,NKC!$P$7:$P$3006,0),"")</f>
        <v/>
      </c>
    </row>
    <row r="590" ht="15" customHeight="1" s="78">
      <c r="A590" s="131">
        <f>IF($J590="","",INDEX(NKC!$B$7:$B$3006,$J590))</f>
        <v/>
      </c>
      <c r="B590" s="95">
        <f>IF($J590="","",INDEX(NKC!$C$7:$C$3006,$J590))</f>
        <v/>
      </c>
      <c r="C590" s="131">
        <f>IF($J590="","",INDEX(NKC!$D$7:$D$3006,$J590))</f>
        <v/>
      </c>
      <c r="D590" s="97">
        <f>IF($J590="","",INDEX(NKC!$E$7:$E$3006,$J590))</f>
        <v/>
      </c>
      <c r="E590" s="95">
        <f>IF($J590="","",IF(LEFT(INDEX(NKC!$F$7:$F$3006,$J590),LEN($B$5))=$B$5,INDEX(NKC!$G$7:$G$3006,$J590),INDEX(NKC!$F$7:$F$3006,$J590)))</f>
        <v/>
      </c>
      <c r="F590" s="125">
        <f>IF($J590="","",IF(LEFT(INDEX(NKC!$F$7:$F$3006,$J590),LEN($B$5))=$B$5,INDEX(NKC!$H$7:$H$3006,$J590),""))</f>
        <v/>
      </c>
      <c r="G590" s="125">
        <f>IF($J590="","",IF(LEFT(INDEX(NKC!$G$7:$G$3006,$J590),LEN($B$5))=$B$5,INDEX(NKC!$H$7:$H$3006,$J590),""))</f>
        <v/>
      </c>
      <c r="H590" s="132">
        <f>IF($J590="","",H589+N(F590)-N(G590))</f>
        <v/>
      </c>
      <c r="J590" s="117">
        <f>IFERROR(MATCH(583,NKC!$P$7:$P$3006,0),"")</f>
        <v/>
      </c>
    </row>
    <row r="591" ht="15" customHeight="1" s="78">
      <c r="A591" s="131">
        <f>IF($J591="","",INDEX(NKC!$B$7:$B$3006,$J591))</f>
        <v/>
      </c>
      <c r="B591" s="95">
        <f>IF($J591="","",INDEX(NKC!$C$7:$C$3006,$J591))</f>
        <v/>
      </c>
      <c r="C591" s="131">
        <f>IF($J591="","",INDEX(NKC!$D$7:$D$3006,$J591))</f>
        <v/>
      </c>
      <c r="D591" s="97">
        <f>IF($J591="","",INDEX(NKC!$E$7:$E$3006,$J591))</f>
        <v/>
      </c>
      <c r="E591" s="95">
        <f>IF($J591="","",IF(LEFT(INDEX(NKC!$F$7:$F$3006,$J591),LEN($B$5))=$B$5,INDEX(NKC!$G$7:$G$3006,$J591),INDEX(NKC!$F$7:$F$3006,$J591)))</f>
        <v/>
      </c>
      <c r="F591" s="125">
        <f>IF($J591="","",IF(LEFT(INDEX(NKC!$F$7:$F$3006,$J591),LEN($B$5))=$B$5,INDEX(NKC!$H$7:$H$3006,$J591),""))</f>
        <v/>
      </c>
      <c r="G591" s="125">
        <f>IF($J591="","",IF(LEFT(INDEX(NKC!$G$7:$G$3006,$J591),LEN($B$5))=$B$5,INDEX(NKC!$H$7:$H$3006,$J591),""))</f>
        <v/>
      </c>
      <c r="H591" s="132">
        <f>IF($J591="","",H590+N(F591)-N(G591))</f>
        <v/>
      </c>
      <c r="J591" s="117">
        <f>IFERROR(MATCH(584,NKC!$P$7:$P$3006,0),"")</f>
        <v/>
      </c>
    </row>
    <row r="592" ht="15" customHeight="1" s="78">
      <c r="A592" s="131">
        <f>IF($J592="","",INDEX(NKC!$B$7:$B$3006,$J592))</f>
        <v/>
      </c>
      <c r="B592" s="95">
        <f>IF($J592="","",INDEX(NKC!$C$7:$C$3006,$J592))</f>
        <v/>
      </c>
      <c r="C592" s="131">
        <f>IF($J592="","",INDEX(NKC!$D$7:$D$3006,$J592))</f>
        <v/>
      </c>
      <c r="D592" s="97">
        <f>IF($J592="","",INDEX(NKC!$E$7:$E$3006,$J592))</f>
        <v/>
      </c>
      <c r="E592" s="95">
        <f>IF($J592="","",IF(LEFT(INDEX(NKC!$F$7:$F$3006,$J592),LEN($B$5))=$B$5,INDEX(NKC!$G$7:$G$3006,$J592),INDEX(NKC!$F$7:$F$3006,$J592)))</f>
        <v/>
      </c>
      <c r="F592" s="125">
        <f>IF($J592="","",IF(LEFT(INDEX(NKC!$F$7:$F$3006,$J592),LEN($B$5))=$B$5,INDEX(NKC!$H$7:$H$3006,$J592),""))</f>
        <v/>
      </c>
      <c r="G592" s="125">
        <f>IF($J592="","",IF(LEFT(INDEX(NKC!$G$7:$G$3006,$J592),LEN($B$5))=$B$5,INDEX(NKC!$H$7:$H$3006,$J592),""))</f>
        <v/>
      </c>
      <c r="H592" s="132">
        <f>IF($J592="","",H591+N(F592)-N(G592))</f>
        <v/>
      </c>
      <c r="J592" s="117">
        <f>IFERROR(MATCH(585,NKC!$P$7:$P$3006,0),"")</f>
        <v/>
      </c>
    </row>
    <row r="593" ht="15" customHeight="1" s="78">
      <c r="A593" s="131">
        <f>IF($J593="","",INDEX(NKC!$B$7:$B$3006,$J593))</f>
        <v/>
      </c>
      <c r="B593" s="95">
        <f>IF($J593="","",INDEX(NKC!$C$7:$C$3006,$J593))</f>
        <v/>
      </c>
      <c r="C593" s="131">
        <f>IF($J593="","",INDEX(NKC!$D$7:$D$3006,$J593))</f>
        <v/>
      </c>
      <c r="D593" s="97">
        <f>IF($J593="","",INDEX(NKC!$E$7:$E$3006,$J593))</f>
        <v/>
      </c>
      <c r="E593" s="95">
        <f>IF($J593="","",IF(LEFT(INDEX(NKC!$F$7:$F$3006,$J593),LEN($B$5))=$B$5,INDEX(NKC!$G$7:$G$3006,$J593),INDEX(NKC!$F$7:$F$3006,$J593)))</f>
        <v/>
      </c>
      <c r="F593" s="125">
        <f>IF($J593="","",IF(LEFT(INDEX(NKC!$F$7:$F$3006,$J593),LEN($B$5))=$B$5,INDEX(NKC!$H$7:$H$3006,$J593),""))</f>
        <v/>
      </c>
      <c r="G593" s="125">
        <f>IF($J593="","",IF(LEFT(INDEX(NKC!$G$7:$G$3006,$J593),LEN($B$5))=$B$5,INDEX(NKC!$H$7:$H$3006,$J593),""))</f>
        <v/>
      </c>
      <c r="H593" s="132">
        <f>IF($J593="","",H592+N(F593)-N(G593))</f>
        <v/>
      </c>
      <c r="J593" s="117">
        <f>IFERROR(MATCH(586,NKC!$P$7:$P$3006,0),"")</f>
        <v/>
      </c>
    </row>
    <row r="594" ht="15" customHeight="1" s="78">
      <c r="A594" s="131">
        <f>IF($J594="","",INDEX(NKC!$B$7:$B$3006,$J594))</f>
        <v/>
      </c>
      <c r="B594" s="95">
        <f>IF($J594="","",INDEX(NKC!$C$7:$C$3006,$J594))</f>
        <v/>
      </c>
      <c r="C594" s="131">
        <f>IF($J594="","",INDEX(NKC!$D$7:$D$3006,$J594))</f>
        <v/>
      </c>
      <c r="D594" s="97">
        <f>IF($J594="","",INDEX(NKC!$E$7:$E$3006,$J594))</f>
        <v/>
      </c>
      <c r="E594" s="95">
        <f>IF($J594="","",IF(LEFT(INDEX(NKC!$F$7:$F$3006,$J594),LEN($B$5))=$B$5,INDEX(NKC!$G$7:$G$3006,$J594),INDEX(NKC!$F$7:$F$3006,$J594)))</f>
        <v/>
      </c>
      <c r="F594" s="125">
        <f>IF($J594="","",IF(LEFT(INDEX(NKC!$F$7:$F$3006,$J594),LEN($B$5))=$B$5,INDEX(NKC!$H$7:$H$3006,$J594),""))</f>
        <v/>
      </c>
      <c r="G594" s="125">
        <f>IF($J594="","",IF(LEFT(INDEX(NKC!$G$7:$G$3006,$J594),LEN($B$5))=$B$5,INDEX(NKC!$H$7:$H$3006,$J594),""))</f>
        <v/>
      </c>
      <c r="H594" s="132">
        <f>IF($J594="","",H593+N(F594)-N(G594))</f>
        <v/>
      </c>
      <c r="J594" s="117">
        <f>IFERROR(MATCH(587,NKC!$P$7:$P$3006,0),"")</f>
        <v/>
      </c>
    </row>
    <row r="595" ht="15" customHeight="1" s="78">
      <c r="A595" s="131">
        <f>IF($J595="","",INDEX(NKC!$B$7:$B$3006,$J595))</f>
        <v/>
      </c>
      <c r="B595" s="95">
        <f>IF($J595="","",INDEX(NKC!$C$7:$C$3006,$J595))</f>
        <v/>
      </c>
      <c r="C595" s="131">
        <f>IF($J595="","",INDEX(NKC!$D$7:$D$3006,$J595))</f>
        <v/>
      </c>
      <c r="D595" s="97">
        <f>IF($J595="","",INDEX(NKC!$E$7:$E$3006,$J595))</f>
        <v/>
      </c>
      <c r="E595" s="95">
        <f>IF($J595="","",IF(LEFT(INDEX(NKC!$F$7:$F$3006,$J595),LEN($B$5))=$B$5,INDEX(NKC!$G$7:$G$3006,$J595),INDEX(NKC!$F$7:$F$3006,$J595)))</f>
        <v/>
      </c>
      <c r="F595" s="125">
        <f>IF($J595="","",IF(LEFT(INDEX(NKC!$F$7:$F$3006,$J595),LEN($B$5))=$B$5,INDEX(NKC!$H$7:$H$3006,$J595),""))</f>
        <v/>
      </c>
      <c r="G595" s="125">
        <f>IF($J595="","",IF(LEFT(INDEX(NKC!$G$7:$G$3006,$J595),LEN($B$5))=$B$5,INDEX(NKC!$H$7:$H$3006,$J595),""))</f>
        <v/>
      </c>
      <c r="H595" s="132">
        <f>IF($J595="","",H594+N(F595)-N(G595))</f>
        <v/>
      </c>
      <c r="J595" s="117">
        <f>IFERROR(MATCH(588,NKC!$P$7:$P$3006,0),"")</f>
        <v/>
      </c>
    </row>
    <row r="596" ht="15" customHeight="1" s="78">
      <c r="A596" s="131">
        <f>IF($J596="","",INDEX(NKC!$B$7:$B$3006,$J596))</f>
        <v/>
      </c>
      <c r="B596" s="95">
        <f>IF($J596="","",INDEX(NKC!$C$7:$C$3006,$J596))</f>
        <v/>
      </c>
      <c r="C596" s="131">
        <f>IF($J596="","",INDEX(NKC!$D$7:$D$3006,$J596))</f>
        <v/>
      </c>
      <c r="D596" s="97">
        <f>IF($J596="","",INDEX(NKC!$E$7:$E$3006,$J596))</f>
        <v/>
      </c>
      <c r="E596" s="95">
        <f>IF($J596="","",IF(LEFT(INDEX(NKC!$F$7:$F$3006,$J596),LEN($B$5))=$B$5,INDEX(NKC!$G$7:$G$3006,$J596),INDEX(NKC!$F$7:$F$3006,$J596)))</f>
        <v/>
      </c>
      <c r="F596" s="125">
        <f>IF($J596="","",IF(LEFT(INDEX(NKC!$F$7:$F$3006,$J596),LEN($B$5))=$B$5,INDEX(NKC!$H$7:$H$3006,$J596),""))</f>
        <v/>
      </c>
      <c r="G596" s="125">
        <f>IF($J596="","",IF(LEFT(INDEX(NKC!$G$7:$G$3006,$J596),LEN($B$5))=$B$5,INDEX(NKC!$H$7:$H$3006,$J596),""))</f>
        <v/>
      </c>
      <c r="H596" s="132">
        <f>IF($J596="","",H595+N(F596)-N(G596))</f>
        <v/>
      </c>
      <c r="J596" s="117">
        <f>IFERROR(MATCH(589,NKC!$P$7:$P$3006,0),"")</f>
        <v/>
      </c>
    </row>
    <row r="597" ht="15" customHeight="1" s="78">
      <c r="A597" s="131">
        <f>IF($J597="","",INDEX(NKC!$B$7:$B$3006,$J597))</f>
        <v/>
      </c>
      <c r="B597" s="95">
        <f>IF($J597="","",INDEX(NKC!$C$7:$C$3006,$J597))</f>
        <v/>
      </c>
      <c r="C597" s="131">
        <f>IF($J597="","",INDEX(NKC!$D$7:$D$3006,$J597))</f>
        <v/>
      </c>
      <c r="D597" s="97">
        <f>IF($J597="","",INDEX(NKC!$E$7:$E$3006,$J597))</f>
        <v/>
      </c>
      <c r="E597" s="95">
        <f>IF($J597="","",IF(LEFT(INDEX(NKC!$F$7:$F$3006,$J597),LEN($B$5))=$B$5,INDEX(NKC!$G$7:$G$3006,$J597),INDEX(NKC!$F$7:$F$3006,$J597)))</f>
        <v/>
      </c>
      <c r="F597" s="125">
        <f>IF($J597="","",IF(LEFT(INDEX(NKC!$F$7:$F$3006,$J597),LEN($B$5))=$B$5,INDEX(NKC!$H$7:$H$3006,$J597),""))</f>
        <v/>
      </c>
      <c r="G597" s="125">
        <f>IF($J597="","",IF(LEFT(INDEX(NKC!$G$7:$G$3006,$J597),LEN($B$5))=$B$5,INDEX(NKC!$H$7:$H$3006,$J597),""))</f>
        <v/>
      </c>
      <c r="H597" s="132">
        <f>IF($J597="","",H596+N(F597)-N(G597))</f>
        <v/>
      </c>
      <c r="J597" s="117">
        <f>IFERROR(MATCH(590,NKC!$P$7:$P$3006,0),"")</f>
        <v/>
      </c>
    </row>
    <row r="598" ht="15" customHeight="1" s="78">
      <c r="A598" s="131">
        <f>IF($J598="","",INDEX(NKC!$B$7:$B$3006,$J598))</f>
        <v/>
      </c>
      <c r="B598" s="95">
        <f>IF($J598="","",INDEX(NKC!$C$7:$C$3006,$J598))</f>
        <v/>
      </c>
      <c r="C598" s="131">
        <f>IF($J598="","",INDEX(NKC!$D$7:$D$3006,$J598))</f>
        <v/>
      </c>
      <c r="D598" s="97">
        <f>IF($J598="","",INDEX(NKC!$E$7:$E$3006,$J598))</f>
        <v/>
      </c>
      <c r="E598" s="95">
        <f>IF($J598="","",IF(LEFT(INDEX(NKC!$F$7:$F$3006,$J598),LEN($B$5))=$B$5,INDEX(NKC!$G$7:$G$3006,$J598),INDEX(NKC!$F$7:$F$3006,$J598)))</f>
        <v/>
      </c>
      <c r="F598" s="125">
        <f>IF($J598="","",IF(LEFT(INDEX(NKC!$F$7:$F$3006,$J598),LEN($B$5))=$B$5,INDEX(NKC!$H$7:$H$3006,$J598),""))</f>
        <v/>
      </c>
      <c r="G598" s="125">
        <f>IF($J598="","",IF(LEFT(INDEX(NKC!$G$7:$G$3006,$J598),LEN($B$5))=$B$5,INDEX(NKC!$H$7:$H$3006,$J598),""))</f>
        <v/>
      </c>
      <c r="H598" s="132">
        <f>IF($J598="","",H597+N(F598)-N(G598))</f>
        <v/>
      </c>
      <c r="J598" s="117">
        <f>IFERROR(MATCH(591,NKC!$P$7:$P$3006,0),"")</f>
        <v/>
      </c>
    </row>
    <row r="599" ht="15" customHeight="1" s="78">
      <c r="A599" s="131">
        <f>IF($J599="","",INDEX(NKC!$B$7:$B$3006,$J599))</f>
        <v/>
      </c>
      <c r="B599" s="95">
        <f>IF($J599="","",INDEX(NKC!$C$7:$C$3006,$J599))</f>
        <v/>
      </c>
      <c r="C599" s="131">
        <f>IF($J599="","",INDEX(NKC!$D$7:$D$3006,$J599))</f>
        <v/>
      </c>
      <c r="D599" s="97">
        <f>IF($J599="","",INDEX(NKC!$E$7:$E$3006,$J599))</f>
        <v/>
      </c>
      <c r="E599" s="95">
        <f>IF($J599="","",IF(LEFT(INDEX(NKC!$F$7:$F$3006,$J599),LEN($B$5))=$B$5,INDEX(NKC!$G$7:$G$3006,$J599),INDEX(NKC!$F$7:$F$3006,$J599)))</f>
        <v/>
      </c>
      <c r="F599" s="125">
        <f>IF($J599="","",IF(LEFT(INDEX(NKC!$F$7:$F$3006,$J599),LEN($B$5))=$B$5,INDEX(NKC!$H$7:$H$3006,$J599),""))</f>
        <v/>
      </c>
      <c r="G599" s="125">
        <f>IF($J599="","",IF(LEFT(INDEX(NKC!$G$7:$G$3006,$J599),LEN($B$5))=$B$5,INDEX(NKC!$H$7:$H$3006,$J599),""))</f>
        <v/>
      </c>
      <c r="H599" s="132">
        <f>IF($J599="","",H598+N(F599)-N(G599))</f>
        <v/>
      </c>
      <c r="J599" s="117">
        <f>IFERROR(MATCH(592,NKC!$P$7:$P$3006,0),"")</f>
        <v/>
      </c>
    </row>
    <row r="600" ht="15" customHeight="1" s="78">
      <c r="A600" s="131">
        <f>IF($J600="","",INDEX(NKC!$B$7:$B$3006,$J600))</f>
        <v/>
      </c>
      <c r="B600" s="95">
        <f>IF($J600="","",INDEX(NKC!$C$7:$C$3006,$J600))</f>
        <v/>
      </c>
      <c r="C600" s="131">
        <f>IF($J600="","",INDEX(NKC!$D$7:$D$3006,$J600))</f>
        <v/>
      </c>
      <c r="D600" s="97">
        <f>IF($J600="","",INDEX(NKC!$E$7:$E$3006,$J600))</f>
        <v/>
      </c>
      <c r="E600" s="95">
        <f>IF($J600="","",IF(LEFT(INDEX(NKC!$F$7:$F$3006,$J600),LEN($B$5))=$B$5,INDEX(NKC!$G$7:$G$3006,$J600),INDEX(NKC!$F$7:$F$3006,$J600)))</f>
        <v/>
      </c>
      <c r="F600" s="125">
        <f>IF($J600="","",IF(LEFT(INDEX(NKC!$F$7:$F$3006,$J600),LEN($B$5))=$B$5,INDEX(NKC!$H$7:$H$3006,$J600),""))</f>
        <v/>
      </c>
      <c r="G600" s="125">
        <f>IF($J600="","",IF(LEFT(INDEX(NKC!$G$7:$G$3006,$J600),LEN($B$5))=$B$5,INDEX(NKC!$H$7:$H$3006,$J600),""))</f>
        <v/>
      </c>
      <c r="H600" s="132">
        <f>IF($J600="","",H599+N(F600)-N(G600))</f>
        <v/>
      </c>
      <c r="J600" s="117">
        <f>IFERROR(MATCH(593,NKC!$P$7:$P$3006,0),"")</f>
        <v/>
      </c>
    </row>
    <row r="601" ht="15" customHeight="1" s="78">
      <c r="A601" s="131">
        <f>IF($J601="","",INDEX(NKC!$B$7:$B$3006,$J601))</f>
        <v/>
      </c>
      <c r="B601" s="95">
        <f>IF($J601="","",INDEX(NKC!$C$7:$C$3006,$J601))</f>
        <v/>
      </c>
      <c r="C601" s="131">
        <f>IF($J601="","",INDEX(NKC!$D$7:$D$3006,$J601))</f>
        <v/>
      </c>
      <c r="D601" s="97">
        <f>IF($J601="","",INDEX(NKC!$E$7:$E$3006,$J601))</f>
        <v/>
      </c>
      <c r="E601" s="95">
        <f>IF($J601="","",IF(LEFT(INDEX(NKC!$F$7:$F$3006,$J601),LEN($B$5))=$B$5,INDEX(NKC!$G$7:$G$3006,$J601),INDEX(NKC!$F$7:$F$3006,$J601)))</f>
        <v/>
      </c>
      <c r="F601" s="125">
        <f>IF($J601="","",IF(LEFT(INDEX(NKC!$F$7:$F$3006,$J601),LEN($B$5))=$B$5,INDEX(NKC!$H$7:$H$3006,$J601),""))</f>
        <v/>
      </c>
      <c r="G601" s="125">
        <f>IF($J601="","",IF(LEFT(INDEX(NKC!$G$7:$G$3006,$J601),LEN($B$5))=$B$5,INDEX(NKC!$H$7:$H$3006,$J601),""))</f>
        <v/>
      </c>
      <c r="H601" s="132">
        <f>IF($J601="","",H600+N(F601)-N(G601))</f>
        <v/>
      </c>
      <c r="J601" s="117">
        <f>IFERROR(MATCH(594,NKC!$P$7:$P$3006,0),"")</f>
        <v/>
      </c>
    </row>
    <row r="602" ht="15" customHeight="1" s="78">
      <c r="A602" s="131">
        <f>IF($J602="","",INDEX(NKC!$B$7:$B$3006,$J602))</f>
        <v/>
      </c>
      <c r="B602" s="95">
        <f>IF($J602="","",INDEX(NKC!$C$7:$C$3006,$J602))</f>
        <v/>
      </c>
      <c r="C602" s="131">
        <f>IF($J602="","",INDEX(NKC!$D$7:$D$3006,$J602))</f>
        <v/>
      </c>
      <c r="D602" s="97">
        <f>IF($J602="","",INDEX(NKC!$E$7:$E$3006,$J602))</f>
        <v/>
      </c>
      <c r="E602" s="95">
        <f>IF($J602="","",IF(LEFT(INDEX(NKC!$F$7:$F$3006,$J602),LEN($B$5))=$B$5,INDEX(NKC!$G$7:$G$3006,$J602),INDEX(NKC!$F$7:$F$3006,$J602)))</f>
        <v/>
      </c>
      <c r="F602" s="125">
        <f>IF($J602="","",IF(LEFT(INDEX(NKC!$F$7:$F$3006,$J602),LEN($B$5))=$B$5,INDEX(NKC!$H$7:$H$3006,$J602),""))</f>
        <v/>
      </c>
      <c r="G602" s="125">
        <f>IF($J602="","",IF(LEFT(INDEX(NKC!$G$7:$G$3006,$J602),LEN($B$5))=$B$5,INDEX(NKC!$H$7:$H$3006,$J602),""))</f>
        <v/>
      </c>
      <c r="H602" s="132">
        <f>IF($J602="","",H601+N(F602)-N(G602))</f>
        <v/>
      </c>
      <c r="J602" s="117">
        <f>IFERROR(MATCH(595,NKC!$P$7:$P$3006,0),"")</f>
        <v/>
      </c>
    </row>
    <row r="603" ht="15" customHeight="1" s="78">
      <c r="A603" s="131">
        <f>IF($J603="","",INDEX(NKC!$B$7:$B$3006,$J603))</f>
        <v/>
      </c>
      <c r="B603" s="95">
        <f>IF($J603="","",INDEX(NKC!$C$7:$C$3006,$J603))</f>
        <v/>
      </c>
      <c r="C603" s="131">
        <f>IF($J603="","",INDEX(NKC!$D$7:$D$3006,$J603))</f>
        <v/>
      </c>
      <c r="D603" s="97">
        <f>IF($J603="","",INDEX(NKC!$E$7:$E$3006,$J603))</f>
        <v/>
      </c>
      <c r="E603" s="95">
        <f>IF($J603="","",IF(LEFT(INDEX(NKC!$F$7:$F$3006,$J603),LEN($B$5))=$B$5,INDEX(NKC!$G$7:$G$3006,$J603),INDEX(NKC!$F$7:$F$3006,$J603)))</f>
        <v/>
      </c>
      <c r="F603" s="125">
        <f>IF($J603="","",IF(LEFT(INDEX(NKC!$F$7:$F$3006,$J603),LEN($B$5))=$B$5,INDEX(NKC!$H$7:$H$3006,$J603),""))</f>
        <v/>
      </c>
      <c r="G603" s="125">
        <f>IF($J603="","",IF(LEFT(INDEX(NKC!$G$7:$G$3006,$J603),LEN($B$5))=$B$5,INDEX(NKC!$H$7:$H$3006,$J603),""))</f>
        <v/>
      </c>
      <c r="H603" s="132">
        <f>IF($J603="","",H602+N(F603)-N(G603))</f>
        <v/>
      </c>
      <c r="J603" s="117">
        <f>IFERROR(MATCH(596,NKC!$P$7:$P$3006,0),"")</f>
        <v/>
      </c>
    </row>
    <row r="604" ht="15" customHeight="1" s="78">
      <c r="A604" s="131">
        <f>IF($J604="","",INDEX(NKC!$B$7:$B$3006,$J604))</f>
        <v/>
      </c>
      <c r="B604" s="95">
        <f>IF($J604="","",INDEX(NKC!$C$7:$C$3006,$J604))</f>
        <v/>
      </c>
      <c r="C604" s="131">
        <f>IF($J604="","",INDEX(NKC!$D$7:$D$3006,$J604))</f>
        <v/>
      </c>
      <c r="D604" s="97">
        <f>IF($J604="","",INDEX(NKC!$E$7:$E$3006,$J604))</f>
        <v/>
      </c>
      <c r="E604" s="95">
        <f>IF($J604="","",IF(LEFT(INDEX(NKC!$F$7:$F$3006,$J604),LEN($B$5))=$B$5,INDEX(NKC!$G$7:$G$3006,$J604),INDEX(NKC!$F$7:$F$3006,$J604)))</f>
        <v/>
      </c>
      <c r="F604" s="125">
        <f>IF($J604="","",IF(LEFT(INDEX(NKC!$F$7:$F$3006,$J604),LEN($B$5))=$B$5,INDEX(NKC!$H$7:$H$3006,$J604),""))</f>
        <v/>
      </c>
      <c r="G604" s="125">
        <f>IF($J604="","",IF(LEFT(INDEX(NKC!$G$7:$G$3006,$J604),LEN($B$5))=$B$5,INDEX(NKC!$H$7:$H$3006,$J604),""))</f>
        <v/>
      </c>
      <c r="H604" s="132">
        <f>IF($J604="","",H603+N(F604)-N(G604))</f>
        <v/>
      </c>
      <c r="J604" s="117">
        <f>IFERROR(MATCH(597,NKC!$P$7:$P$3006,0),"")</f>
        <v/>
      </c>
    </row>
    <row r="605" ht="15" customHeight="1" s="78">
      <c r="A605" s="131">
        <f>IF($J605="","",INDEX(NKC!$B$7:$B$3006,$J605))</f>
        <v/>
      </c>
      <c r="B605" s="95">
        <f>IF($J605="","",INDEX(NKC!$C$7:$C$3006,$J605))</f>
        <v/>
      </c>
      <c r="C605" s="131">
        <f>IF($J605="","",INDEX(NKC!$D$7:$D$3006,$J605))</f>
        <v/>
      </c>
      <c r="D605" s="97">
        <f>IF($J605="","",INDEX(NKC!$E$7:$E$3006,$J605))</f>
        <v/>
      </c>
      <c r="E605" s="95">
        <f>IF($J605="","",IF(LEFT(INDEX(NKC!$F$7:$F$3006,$J605),LEN($B$5))=$B$5,INDEX(NKC!$G$7:$G$3006,$J605),INDEX(NKC!$F$7:$F$3006,$J605)))</f>
        <v/>
      </c>
      <c r="F605" s="125">
        <f>IF($J605="","",IF(LEFT(INDEX(NKC!$F$7:$F$3006,$J605),LEN($B$5))=$B$5,INDEX(NKC!$H$7:$H$3006,$J605),""))</f>
        <v/>
      </c>
      <c r="G605" s="125">
        <f>IF($J605="","",IF(LEFT(INDEX(NKC!$G$7:$G$3006,$J605),LEN($B$5))=$B$5,INDEX(NKC!$H$7:$H$3006,$J605),""))</f>
        <v/>
      </c>
      <c r="H605" s="132">
        <f>IF($J605="","",H604+N(F605)-N(G605))</f>
        <v/>
      </c>
      <c r="J605" s="117">
        <f>IFERROR(MATCH(598,NKC!$P$7:$P$3006,0),"")</f>
        <v/>
      </c>
    </row>
    <row r="606" ht="15" customHeight="1" s="78">
      <c r="A606" s="131">
        <f>IF($J606="","",INDEX(NKC!$B$7:$B$3006,$J606))</f>
        <v/>
      </c>
      <c r="B606" s="95">
        <f>IF($J606="","",INDEX(NKC!$C$7:$C$3006,$J606))</f>
        <v/>
      </c>
      <c r="C606" s="131">
        <f>IF($J606="","",INDEX(NKC!$D$7:$D$3006,$J606))</f>
        <v/>
      </c>
      <c r="D606" s="97">
        <f>IF($J606="","",INDEX(NKC!$E$7:$E$3006,$J606))</f>
        <v/>
      </c>
      <c r="E606" s="95">
        <f>IF($J606="","",IF(LEFT(INDEX(NKC!$F$7:$F$3006,$J606),LEN($B$5))=$B$5,INDEX(NKC!$G$7:$G$3006,$J606),INDEX(NKC!$F$7:$F$3006,$J606)))</f>
        <v/>
      </c>
      <c r="F606" s="125">
        <f>IF($J606="","",IF(LEFT(INDEX(NKC!$F$7:$F$3006,$J606),LEN($B$5))=$B$5,INDEX(NKC!$H$7:$H$3006,$J606),""))</f>
        <v/>
      </c>
      <c r="G606" s="125">
        <f>IF($J606="","",IF(LEFT(INDEX(NKC!$G$7:$G$3006,$J606),LEN($B$5))=$B$5,INDEX(NKC!$H$7:$H$3006,$J606),""))</f>
        <v/>
      </c>
      <c r="H606" s="132">
        <f>IF($J606="","",H605+N(F606)-N(G606))</f>
        <v/>
      </c>
      <c r="J606" s="117">
        <f>IFERROR(MATCH(599,NKC!$P$7:$P$3006,0),"")</f>
        <v/>
      </c>
    </row>
    <row r="607" ht="15" customHeight="1" s="78">
      <c r="A607" s="131">
        <f>IF($J607="","",INDEX(NKC!$B$7:$B$3006,$J607))</f>
        <v/>
      </c>
      <c r="B607" s="95">
        <f>IF($J607="","",INDEX(NKC!$C$7:$C$3006,$J607))</f>
        <v/>
      </c>
      <c r="C607" s="131">
        <f>IF($J607="","",INDEX(NKC!$D$7:$D$3006,$J607))</f>
        <v/>
      </c>
      <c r="D607" s="97">
        <f>IF($J607="","",INDEX(NKC!$E$7:$E$3006,$J607))</f>
        <v/>
      </c>
      <c r="E607" s="95">
        <f>IF($J607="","",IF(LEFT(INDEX(NKC!$F$7:$F$3006,$J607),LEN($B$5))=$B$5,INDEX(NKC!$G$7:$G$3006,$J607),INDEX(NKC!$F$7:$F$3006,$J607)))</f>
        <v/>
      </c>
      <c r="F607" s="125">
        <f>IF($J607="","",IF(LEFT(INDEX(NKC!$F$7:$F$3006,$J607),LEN($B$5))=$B$5,INDEX(NKC!$H$7:$H$3006,$J607),""))</f>
        <v/>
      </c>
      <c r="G607" s="125">
        <f>IF($J607="","",IF(LEFT(INDEX(NKC!$G$7:$G$3006,$J607),LEN($B$5))=$B$5,INDEX(NKC!$H$7:$H$3006,$J607),""))</f>
        <v/>
      </c>
      <c r="H607" s="132">
        <f>IF($J607="","",H606+N(F607)-N(G607))</f>
        <v/>
      </c>
      <c r="J607" s="117">
        <f>IFERROR(MATCH(600,NKC!$P$7:$P$3006,0),"")</f>
        <v/>
      </c>
    </row>
    <row r="608" ht="15" customHeight="1" s="78">
      <c r="A608" s="131">
        <f>IF($J608="","",INDEX(NKC!$B$7:$B$3006,$J608))</f>
        <v/>
      </c>
      <c r="B608" s="95">
        <f>IF($J608="","",INDEX(NKC!$C$7:$C$3006,$J608))</f>
        <v/>
      </c>
      <c r="C608" s="131">
        <f>IF($J608="","",INDEX(NKC!$D$7:$D$3006,$J608))</f>
        <v/>
      </c>
      <c r="D608" s="97">
        <f>IF($J608="","",INDEX(NKC!$E$7:$E$3006,$J608))</f>
        <v/>
      </c>
      <c r="E608" s="95">
        <f>IF($J608="","",IF(LEFT(INDEX(NKC!$F$7:$F$3006,$J608),LEN($B$5))=$B$5,INDEX(NKC!$G$7:$G$3006,$J608),INDEX(NKC!$F$7:$F$3006,$J608)))</f>
        <v/>
      </c>
      <c r="F608" s="125">
        <f>IF($J608="","",IF(LEFT(INDEX(NKC!$F$7:$F$3006,$J608),LEN($B$5))=$B$5,INDEX(NKC!$H$7:$H$3006,$J608),""))</f>
        <v/>
      </c>
      <c r="G608" s="125">
        <f>IF($J608="","",IF(LEFT(INDEX(NKC!$G$7:$G$3006,$J608),LEN($B$5))=$B$5,INDEX(NKC!$H$7:$H$3006,$J608),""))</f>
        <v/>
      </c>
      <c r="H608" s="132">
        <f>IF($J608="","",H607+N(F608)-N(G608))</f>
        <v/>
      </c>
      <c r="J608" s="117">
        <f>IFERROR(MATCH(601,NKC!$P$7:$P$3006,0),"")</f>
        <v/>
      </c>
    </row>
    <row r="609" ht="15" customHeight="1" s="78">
      <c r="A609" s="131">
        <f>IF($J609="","",INDEX(NKC!$B$7:$B$3006,$J609))</f>
        <v/>
      </c>
      <c r="B609" s="95">
        <f>IF($J609="","",INDEX(NKC!$C$7:$C$3006,$J609))</f>
        <v/>
      </c>
      <c r="C609" s="131">
        <f>IF($J609="","",INDEX(NKC!$D$7:$D$3006,$J609))</f>
        <v/>
      </c>
      <c r="D609" s="97">
        <f>IF($J609="","",INDEX(NKC!$E$7:$E$3006,$J609))</f>
        <v/>
      </c>
      <c r="E609" s="95">
        <f>IF($J609="","",IF(LEFT(INDEX(NKC!$F$7:$F$3006,$J609),LEN($B$5))=$B$5,INDEX(NKC!$G$7:$G$3006,$J609),INDEX(NKC!$F$7:$F$3006,$J609)))</f>
        <v/>
      </c>
      <c r="F609" s="125">
        <f>IF($J609="","",IF(LEFT(INDEX(NKC!$F$7:$F$3006,$J609),LEN($B$5))=$B$5,INDEX(NKC!$H$7:$H$3006,$J609),""))</f>
        <v/>
      </c>
      <c r="G609" s="125">
        <f>IF($J609="","",IF(LEFT(INDEX(NKC!$G$7:$G$3006,$J609),LEN($B$5))=$B$5,INDEX(NKC!$H$7:$H$3006,$J609),""))</f>
        <v/>
      </c>
      <c r="H609" s="132">
        <f>IF($J609="","",H608+N(F609)-N(G609))</f>
        <v/>
      </c>
      <c r="J609" s="117">
        <f>IFERROR(MATCH(602,NKC!$P$7:$P$3006,0),"")</f>
        <v/>
      </c>
    </row>
    <row r="610" ht="15" customHeight="1" s="78">
      <c r="A610" s="131">
        <f>IF($J610="","",INDEX(NKC!$B$7:$B$3006,$J610))</f>
        <v/>
      </c>
      <c r="B610" s="95">
        <f>IF($J610="","",INDEX(NKC!$C$7:$C$3006,$J610))</f>
        <v/>
      </c>
      <c r="C610" s="131">
        <f>IF($J610="","",INDEX(NKC!$D$7:$D$3006,$J610))</f>
        <v/>
      </c>
      <c r="D610" s="97">
        <f>IF($J610="","",INDEX(NKC!$E$7:$E$3006,$J610))</f>
        <v/>
      </c>
      <c r="E610" s="95">
        <f>IF($J610="","",IF(LEFT(INDEX(NKC!$F$7:$F$3006,$J610),LEN($B$5))=$B$5,INDEX(NKC!$G$7:$G$3006,$J610),INDEX(NKC!$F$7:$F$3006,$J610)))</f>
        <v/>
      </c>
      <c r="F610" s="125">
        <f>IF($J610="","",IF(LEFT(INDEX(NKC!$F$7:$F$3006,$J610),LEN($B$5))=$B$5,INDEX(NKC!$H$7:$H$3006,$J610),""))</f>
        <v/>
      </c>
      <c r="G610" s="125">
        <f>IF($J610="","",IF(LEFT(INDEX(NKC!$G$7:$G$3006,$J610),LEN($B$5))=$B$5,INDEX(NKC!$H$7:$H$3006,$J610),""))</f>
        <v/>
      </c>
      <c r="H610" s="132">
        <f>IF($J610="","",H609+N(F610)-N(G610))</f>
        <v/>
      </c>
      <c r="J610" s="117">
        <f>IFERROR(MATCH(603,NKC!$P$7:$P$3006,0),"")</f>
        <v/>
      </c>
    </row>
    <row r="611" ht="15" customHeight="1" s="78">
      <c r="A611" s="131">
        <f>IF($J611="","",INDEX(NKC!$B$7:$B$3006,$J611))</f>
        <v/>
      </c>
      <c r="B611" s="95">
        <f>IF($J611="","",INDEX(NKC!$C$7:$C$3006,$J611))</f>
        <v/>
      </c>
      <c r="C611" s="131">
        <f>IF($J611="","",INDEX(NKC!$D$7:$D$3006,$J611))</f>
        <v/>
      </c>
      <c r="D611" s="97">
        <f>IF($J611="","",INDEX(NKC!$E$7:$E$3006,$J611))</f>
        <v/>
      </c>
      <c r="E611" s="95">
        <f>IF($J611="","",IF(LEFT(INDEX(NKC!$F$7:$F$3006,$J611),LEN($B$5))=$B$5,INDEX(NKC!$G$7:$G$3006,$J611),INDEX(NKC!$F$7:$F$3006,$J611)))</f>
        <v/>
      </c>
      <c r="F611" s="125">
        <f>IF($J611="","",IF(LEFT(INDEX(NKC!$F$7:$F$3006,$J611),LEN($B$5))=$B$5,INDEX(NKC!$H$7:$H$3006,$J611),""))</f>
        <v/>
      </c>
      <c r="G611" s="125">
        <f>IF($J611="","",IF(LEFT(INDEX(NKC!$G$7:$G$3006,$J611),LEN($B$5))=$B$5,INDEX(NKC!$H$7:$H$3006,$J611),""))</f>
        <v/>
      </c>
      <c r="H611" s="132">
        <f>IF($J611="","",H610+N(F611)-N(G611))</f>
        <v/>
      </c>
      <c r="J611" s="117">
        <f>IFERROR(MATCH(604,NKC!$P$7:$P$3006,0),"")</f>
        <v/>
      </c>
    </row>
    <row r="612" ht="15" customHeight="1" s="78">
      <c r="A612" s="131">
        <f>IF($J612="","",INDEX(NKC!$B$7:$B$3006,$J612))</f>
        <v/>
      </c>
      <c r="B612" s="95">
        <f>IF($J612="","",INDEX(NKC!$C$7:$C$3006,$J612))</f>
        <v/>
      </c>
      <c r="C612" s="131">
        <f>IF($J612="","",INDEX(NKC!$D$7:$D$3006,$J612))</f>
        <v/>
      </c>
      <c r="D612" s="97">
        <f>IF($J612="","",INDEX(NKC!$E$7:$E$3006,$J612))</f>
        <v/>
      </c>
      <c r="E612" s="95">
        <f>IF($J612="","",IF(LEFT(INDEX(NKC!$F$7:$F$3006,$J612),LEN($B$5))=$B$5,INDEX(NKC!$G$7:$G$3006,$J612),INDEX(NKC!$F$7:$F$3006,$J612)))</f>
        <v/>
      </c>
      <c r="F612" s="125">
        <f>IF($J612="","",IF(LEFT(INDEX(NKC!$F$7:$F$3006,$J612),LEN($B$5))=$B$5,INDEX(NKC!$H$7:$H$3006,$J612),""))</f>
        <v/>
      </c>
      <c r="G612" s="125">
        <f>IF($J612="","",IF(LEFT(INDEX(NKC!$G$7:$G$3006,$J612),LEN($B$5))=$B$5,INDEX(NKC!$H$7:$H$3006,$J612),""))</f>
        <v/>
      </c>
      <c r="H612" s="132">
        <f>IF($J612="","",H611+N(F612)-N(G612))</f>
        <v/>
      </c>
      <c r="J612" s="117">
        <f>IFERROR(MATCH(605,NKC!$P$7:$P$3006,0),"")</f>
        <v/>
      </c>
    </row>
    <row r="613" ht="15" customHeight="1" s="78">
      <c r="A613" s="131">
        <f>IF($J613="","",INDEX(NKC!$B$7:$B$3006,$J613))</f>
        <v/>
      </c>
      <c r="B613" s="95">
        <f>IF($J613="","",INDEX(NKC!$C$7:$C$3006,$J613))</f>
        <v/>
      </c>
      <c r="C613" s="131">
        <f>IF($J613="","",INDEX(NKC!$D$7:$D$3006,$J613))</f>
        <v/>
      </c>
      <c r="D613" s="97">
        <f>IF($J613="","",INDEX(NKC!$E$7:$E$3006,$J613))</f>
        <v/>
      </c>
      <c r="E613" s="95">
        <f>IF($J613="","",IF(LEFT(INDEX(NKC!$F$7:$F$3006,$J613),LEN($B$5))=$B$5,INDEX(NKC!$G$7:$G$3006,$J613),INDEX(NKC!$F$7:$F$3006,$J613)))</f>
        <v/>
      </c>
      <c r="F613" s="125">
        <f>IF($J613="","",IF(LEFT(INDEX(NKC!$F$7:$F$3006,$J613),LEN($B$5))=$B$5,INDEX(NKC!$H$7:$H$3006,$J613),""))</f>
        <v/>
      </c>
      <c r="G613" s="125">
        <f>IF($J613="","",IF(LEFT(INDEX(NKC!$G$7:$G$3006,$J613),LEN($B$5))=$B$5,INDEX(NKC!$H$7:$H$3006,$J613),""))</f>
        <v/>
      </c>
      <c r="H613" s="132">
        <f>IF($J613="","",H612+N(F613)-N(G613))</f>
        <v/>
      </c>
      <c r="J613" s="117">
        <f>IFERROR(MATCH(606,NKC!$P$7:$P$3006,0),"")</f>
        <v/>
      </c>
    </row>
    <row r="614" ht="15" customHeight="1" s="78">
      <c r="A614" s="131">
        <f>IF($J614="","",INDEX(NKC!$B$7:$B$3006,$J614))</f>
        <v/>
      </c>
      <c r="B614" s="95">
        <f>IF($J614="","",INDEX(NKC!$C$7:$C$3006,$J614))</f>
        <v/>
      </c>
      <c r="C614" s="131">
        <f>IF($J614="","",INDEX(NKC!$D$7:$D$3006,$J614))</f>
        <v/>
      </c>
      <c r="D614" s="97">
        <f>IF($J614="","",INDEX(NKC!$E$7:$E$3006,$J614))</f>
        <v/>
      </c>
      <c r="E614" s="95">
        <f>IF($J614="","",IF(LEFT(INDEX(NKC!$F$7:$F$3006,$J614),LEN($B$5))=$B$5,INDEX(NKC!$G$7:$G$3006,$J614),INDEX(NKC!$F$7:$F$3006,$J614)))</f>
        <v/>
      </c>
      <c r="F614" s="125">
        <f>IF($J614="","",IF(LEFT(INDEX(NKC!$F$7:$F$3006,$J614),LEN($B$5))=$B$5,INDEX(NKC!$H$7:$H$3006,$J614),""))</f>
        <v/>
      </c>
      <c r="G614" s="125">
        <f>IF($J614="","",IF(LEFT(INDEX(NKC!$G$7:$G$3006,$J614),LEN($B$5))=$B$5,INDEX(NKC!$H$7:$H$3006,$J614),""))</f>
        <v/>
      </c>
      <c r="H614" s="132">
        <f>IF($J614="","",H613+N(F614)-N(G614))</f>
        <v/>
      </c>
      <c r="J614" s="117">
        <f>IFERROR(MATCH(607,NKC!$P$7:$P$3006,0),"")</f>
        <v/>
      </c>
    </row>
    <row r="615" ht="15" customHeight="1" s="78">
      <c r="A615" s="131">
        <f>IF($J615="","",INDEX(NKC!$B$7:$B$3006,$J615))</f>
        <v/>
      </c>
      <c r="B615" s="95">
        <f>IF($J615="","",INDEX(NKC!$C$7:$C$3006,$J615))</f>
        <v/>
      </c>
      <c r="C615" s="131">
        <f>IF($J615="","",INDEX(NKC!$D$7:$D$3006,$J615))</f>
        <v/>
      </c>
      <c r="D615" s="97">
        <f>IF($J615="","",INDEX(NKC!$E$7:$E$3006,$J615))</f>
        <v/>
      </c>
      <c r="E615" s="95">
        <f>IF($J615="","",IF(LEFT(INDEX(NKC!$F$7:$F$3006,$J615),LEN($B$5))=$B$5,INDEX(NKC!$G$7:$G$3006,$J615),INDEX(NKC!$F$7:$F$3006,$J615)))</f>
        <v/>
      </c>
      <c r="F615" s="125">
        <f>IF($J615="","",IF(LEFT(INDEX(NKC!$F$7:$F$3006,$J615),LEN($B$5))=$B$5,INDEX(NKC!$H$7:$H$3006,$J615),""))</f>
        <v/>
      </c>
      <c r="G615" s="125">
        <f>IF($J615="","",IF(LEFT(INDEX(NKC!$G$7:$G$3006,$J615),LEN($B$5))=$B$5,INDEX(NKC!$H$7:$H$3006,$J615),""))</f>
        <v/>
      </c>
      <c r="H615" s="132">
        <f>IF($J615="","",H614+N(F615)-N(G615))</f>
        <v/>
      </c>
      <c r="J615" s="117">
        <f>IFERROR(MATCH(608,NKC!$P$7:$P$3006,0),"")</f>
        <v/>
      </c>
    </row>
    <row r="616" ht="15" customHeight="1" s="78">
      <c r="A616" s="131">
        <f>IF($J616="","",INDEX(NKC!$B$7:$B$3006,$J616))</f>
        <v/>
      </c>
      <c r="B616" s="95">
        <f>IF($J616="","",INDEX(NKC!$C$7:$C$3006,$J616))</f>
        <v/>
      </c>
      <c r="C616" s="131">
        <f>IF($J616="","",INDEX(NKC!$D$7:$D$3006,$J616))</f>
        <v/>
      </c>
      <c r="D616" s="97">
        <f>IF($J616="","",INDEX(NKC!$E$7:$E$3006,$J616))</f>
        <v/>
      </c>
      <c r="E616" s="95">
        <f>IF($J616="","",IF(LEFT(INDEX(NKC!$F$7:$F$3006,$J616),LEN($B$5))=$B$5,INDEX(NKC!$G$7:$G$3006,$J616),INDEX(NKC!$F$7:$F$3006,$J616)))</f>
        <v/>
      </c>
      <c r="F616" s="125">
        <f>IF($J616="","",IF(LEFT(INDEX(NKC!$F$7:$F$3006,$J616),LEN($B$5))=$B$5,INDEX(NKC!$H$7:$H$3006,$J616),""))</f>
        <v/>
      </c>
      <c r="G616" s="125">
        <f>IF($J616="","",IF(LEFT(INDEX(NKC!$G$7:$G$3006,$J616),LEN($B$5))=$B$5,INDEX(NKC!$H$7:$H$3006,$J616),""))</f>
        <v/>
      </c>
      <c r="H616" s="132">
        <f>IF($J616="","",H615+N(F616)-N(G616))</f>
        <v/>
      </c>
      <c r="J616" s="117">
        <f>IFERROR(MATCH(609,NKC!$P$7:$P$3006,0),"")</f>
        <v/>
      </c>
    </row>
    <row r="617" ht="15" customHeight="1" s="78">
      <c r="A617" s="131">
        <f>IF($J617="","",INDEX(NKC!$B$7:$B$3006,$J617))</f>
        <v/>
      </c>
      <c r="B617" s="95">
        <f>IF($J617="","",INDEX(NKC!$C$7:$C$3006,$J617))</f>
        <v/>
      </c>
      <c r="C617" s="131">
        <f>IF($J617="","",INDEX(NKC!$D$7:$D$3006,$J617))</f>
        <v/>
      </c>
      <c r="D617" s="97">
        <f>IF($J617="","",INDEX(NKC!$E$7:$E$3006,$J617))</f>
        <v/>
      </c>
      <c r="E617" s="95">
        <f>IF($J617="","",IF(LEFT(INDEX(NKC!$F$7:$F$3006,$J617),LEN($B$5))=$B$5,INDEX(NKC!$G$7:$G$3006,$J617),INDEX(NKC!$F$7:$F$3006,$J617)))</f>
        <v/>
      </c>
      <c r="F617" s="125">
        <f>IF($J617="","",IF(LEFT(INDEX(NKC!$F$7:$F$3006,$J617),LEN($B$5))=$B$5,INDEX(NKC!$H$7:$H$3006,$J617),""))</f>
        <v/>
      </c>
      <c r="G617" s="125">
        <f>IF($J617="","",IF(LEFT(INDEX(NKC!$G$7:$G$3006,$J617),LEN($B$5))=$B$5,INDEX(NKC!$H$7:$H$3006,$J617),""))</f>
        <v/>
      </c>
      <c r="H617" s="132">
        <f>IF($J617="","",H616+N(F617)-N(G617))</f>
        <v/>
      </c>
      <c r="J617" s="117">
        <f>IFERROR(MATCH(610,NKC!$P$7:$P$3006,0),"")</f>
        <v/>
      </c>
    </row>
    <row r="618" ht="15" customHeight="1" s="78">
      <c r="A618" s="131">
        <f>IF($J618="","",INDEX(NKC!$B$7:$B$3006,$J618))</f>
        <v/>
      </c>
      <c r="B618" s="95">
        <f>IF($J618="","",INDEX(NKC!$C$7:$C$3006,$J618))</f>
        <v/>
      </c>
      <c r="C618" s="131">
        <f>IF($J618="","",INDEX(NKC!$D$7:$D$3006,$J618))</f>
        <v/>
      </c>
      <c r="D618" s="97">
        <f>IF($J618="","",INDEX(NKC!$E$7:$E$3006,$J618))</f>
        <v/>
      </c>
      <c r="E618" s="95">
        <f>IF($J618="","",IF(LEFT(INDEX(NKC!$F$7:$F$3006,$J618),LEN($B$5))=$B$5,INDEX(NKC!$G$7:$G$3006,$J618),INDEX(NKC!$F$7:$F$3006,$J618)))</f>
        <v/>
      </c>
      <c r="F618" s="125">
        <f>IF($J618="","",IF(LEFT(INDEX(NKC!$F$7:$F$3006,$J618),LEN($B$5))=$B$5,INDEX(NKC!$H$7:$H$3006,$J618),""))</f>
        <v/>
      </c>
      <c r="G618" s="125">
        <f>IF($J618="","",IF(LEFT(INDEX(NKC!$G$7:$G$3006,$J618),LEN($B$5))=$B$5,INDEX(NKC!$H$7:$H$3006,$J618),""))</f>
        <v/>
      </c>
      <c r="H618" s="132">
        <f>IF($J618="","",H617+N(F618)-N(G618))</f>
        <v/>
      </c>
      <c r="J618" s="117">
        <f>IFERROR(MATCH(611,NKC!$P$7:$P$3006,0),"")</f>
        <v/>
      </c>
    </row>
    <row r="619" ht="15" customHeight="1" s="78">
      <c r="A619" s="131">
        <f>IF($J619="","",INDEX(NKC!$B$7:$B$3006,$J619))</f>
        <v/>
      </c>
      <c r="B619" s="95">
        <f>IF($J619="","",INDEX(NKC!$C$7:$C$3006,$J619))</f>
        <v/>
      </c>
      <c r="C619" s="131">
        <f>IF($J619="","",INDEX(NKC!$D$7:$D$3006,$J619))</f>
        <v/>
      </c>
      <c r="D619" s="97">
        <f>IF($J619="","",INDEX(NKC!$E$7:$E$3006,$J619))</f>
        <v/>
      </c>
      <c r="E619" s="95">
        <f>IF($J619="","",IF(LEFT(INDEX(NKC!$F$7:$F$3006,$J619),LEN($B$5))=$B$5,INDEX(NKC!$G$7:$G$3006,$J619),INDEX(NKC!$F$7:$F$3006,$J619)))</f>
        <v/>
      </c>
      <c r="F619" s="125">
        <f>IF($J619="","",IF(LEFT(INDEX(NKC!$F$7:$F$3006,$J619),LEN($B$5))=$B$5,INDEX(NKC!$H$7:$H$3006,$J619),""))</f>
        <v/>
      </c>
      <c r="G619" s="125">
        <f>IF($J619="","",IF(LEFT(INDEX(NKC!$G$7:$G$3006,$J619),LEN($B$5))=$B$5,INDEX(NKC!$H$7:$H$3006,$J619),""))</f>
        <v/>
      </c>
      <c r="H619" s="132">
        <f>IF($J619="","",H618+N(F619)-N(G619))</f>
        <v/>
      </c>
      <c r="J619" s="117">
        <f>IFERROR(MATCH(612,NKC!$P$7:$P$3006,0),"")</f>
        <v/>
      </c>
    </row>
    <row r="620" ht="15" customHeight="1" s="78">
      <c r="A620" s="131">
        <f>IF($J620="","",INDEX(NKC!$B$7:$B$3006,$J620))</f>
        <v/>
      </c>
      <c r="B620" s="95">
        <f>IF($J620="","",INDEX(NKC!$C$7:$C$3006,$J620))</f>
        <v/>
      </c>
      <c r="C620" s="131">
        <f>IF($J620="","",INDEX(NKC!$D$7:$D$3006,$J620))</f>
        <v/>
      </c>
      <c r="D620" s="97">
        <f>IF($J620="","",INDEX(NKC!$E$7:$E$3006,$J620))</f>
        <v/>
      </c>
      <c r="E620" s="95">
        <f>IF($J620="","",IF(LEFT(INDEX(NKC!$F$7:$F$3006,$J620),LEN($B$5))=$B$5,INDEX(NKC!$G$7:$G$3006,$J620),INDEX(NKC!$F$7:$F$3006,$J620)))</f>
        <v/>
      </c>
      <c r="F620" s="125">
        <f>IF($J620="","",IF(LEFT(INDEX(NKC!$F$7:$F$3006,$J620),LEN($B$5))=$B$5,INDEX(NKC!$H$7:$H$3006,$J620),""))</f>
        <v/>
      </c>
      <c r="G620" s="125">
        <f>IF($J620="","",IF(LEFT(INDEX(NKC!$G$7:$G$3006,$J620),LEN($B$5))=$B$5,INDEX(NKC!$H$7:$H$3006,$J620),""))</f>
        <v/>
      </c>
      <c r="H620" s="132">
        <f>IF($J620="","",H619+N(F620)-N(G620))</f>
        <v/>
      </c>
      <c r="J620" s="117">
        <f>IFERROR(MATCH(613,NKC!$P$7:$P$3006,0),"")</f>
        <v/>
      </c>
    </row>
    <row r="621" ht="15" customHeight="1" s="78">
      <c r="A621" s="131">
        <f>IF($J621="","",INDEX(NKC!$B$7:$B$3006,$J621))</f>
        <v/>
      </c>
      <c r="B621" s="95">
        <f>IF($J621="","",INDEX(NKC!$C$7:$C$3006,$J621))</f>
        <v/>
      </c>
      <c r="C621" s="131">
        <f>IF($J621="","",INDEX(NKC!$D$7:$D$3006,$J621))</f>
        <v/>
      </c>
      <c r="D621" s="97">
        <f>IF($J621="","",INDEX(NKC!$E$7:$E$3006,$J621))</f>
        <v/>
      </c>
      <c r="E621" s="95">
        <f>IF($J621="","",IF(LEFT(INDEX(NKC!$F$7:$F$3006,$J621),LEN($B$5))=$B$5,INDEX(NKC!$G$7:$G$3006,$J621),INDEX(NKC!$F$7:$F$3006,$J621)))</f>
        <v/>
      </c>
      <c r="F621" s="125">
        <f>IF($J621="","",IF(LEFT(INDEX(NKC!$F$7:$F$3006,$J621),LEN($B$5))=$B$5,INDEX(NKC!$H$7:$H$3006,$J621),""))</f>
        <v/>
      </c>
      <c r="G621" s="125">
        <f>IF($J621="","",IF(LEFT(INDEX(NKC!$G$7:$G$3006,$J621),LEN($B$5))=$B$5,INDEX(NKC!$H$7:$H$3006,$J621),""))</f>
        <v/>
      </c>
      <c r="H621" s="132">
        <f>IF($J621="","",H620+N(F621)-N(G621))</f>
        <v/>
      </c>
      <c r="J621" s="117">
        <f>IFERROR(MATCH(614,NKC!$P$7:$P$3006,0),"")</f>
        <v/>
      </c>
    </row>
    <row r="622" ht="15" customHeight="1" s="78">
      <c r="A622" s="131">
        <f>IF($J622="","",INDEX(NKC!$B$7:$B$3006,$J622))</f>
        <v/>
      </c>
      <c r="B622" s="95">
        <f>IF($J622="","",INDEX(NKC!$C$7:$C$3006,$J622))</f>
        <v/>
      </c>
      <c r="C622" s="131">
        <f>IF($J622="","",INDEX(NKC!$D$7:$D$3006,$J622))</f>
        <v/>
      </c>
      <c r="D622" s="97">
        <f>IF($J622="","",INDEX(NKC!$E$7:$E$3006,$J622))</f>
        <v/>
      </c>
      <c r="E622" s="95">
        <f>IF($J622="","",IF(LEFT(INDEX(NKC!$F$7:$F$3006,$J622),LEN($B$5))=$B$5,INDEX(NKC!$G$7:$G$3006,$J622),INDEX(NKC!$F$7:$F$3006,$J622)))</f>
        <v/>
      </c>
      <c r="F622" s="125">
        <f>IF($J622="","",IF(LEFT(INDEX(NKC!$F$7:$F$3006,$J622),LEN($B$5))=$B$5,INDEX(NKC!$H$7:$H$3006,$J622),""))</f>
        <v/>
      </c>
      <c r="G622" s="125">
        <f>IF($J622="","",IF(LEFT(INDEX(NKC!$G$7:$G$3006,$J622),LEN($B$5))=$B$5,INDEX(NKC!$H$7:$H$3006,$J622),""))</f>
        <v/>
      </c>
      <c r="H622" s="132">
        <f>IF($J622="","",H621+N(F622)-N(G622))</f>
        <v/>
      </c>
      <c r="J622" s="117">
        <f>IFERROR(MATCH(615,NKC!$P$7:$P$3006,0),"")</f>
        <v/>
      </c>
    </row>
    <row r="623" ht="15" customHeight="1" s="78">
      <c r="A623" s="131">
        <f>IF($J623="","",INDEX(NKC!$B$7:$B$3006,$J623))</f>
        <v/>
      </c>
      <c r="B623" s="95">
        <f>IF($J623="","",INDEX(NKC!$C$7:$C$3006,$J623))</f>
        <v/>
      </c>
      <c r="C623" s="131">
        <f>IF($J623="","",INDEX(NKC!$D$7:$D$3006,$J623))</f>
        <v/>
      </c>
      <c r="D623" s="97">
        <f>IF($J623="","",INDEX(NKC!$E$7:$E$3006,$J623))</f>
        <v/>
      </c>
      <c r="E623" s="95">
        <f>IF($J623="","",IF(LEFT(INDEX(NKC!$F$7:$F$3006,$J623),LEN($B$5))=$B$5,INDEX(NKC!$G$7:$G$3006,$J623),INDEX(NKC!$F$7:$F$3006,$J623)))</f>
        <v/>
      </c>
      <c r="F623" s="125">
        <f>IF($J623="","",IF(LEFT(INDEX(NKC!$F$7:$F$3006,$J623),LEN($B$5))=$B$5,INDEX(NKC!$H$7:$H$3006,$J623),""))</f>
        <v/>
      </c>
      <c r="G623" s="125">
        <f>IF($J623="","",IF(LEFT(INDEX(NKC!$G$7:$G$3006,$J623),LEN($B$5))=$B$5,INDEX(NKC!$H$7:$H$3006,$J623),""))</f>
        <v/>
      </c>
      <c r="H623" s="132">
        <f>IF($J623="","",H622+N(F623)-N(G623))</f>
        <v/>
      </c>
      <c r="J623" s="117">
        <f>IFERROR(MATCH(616,NKC!$P$7:$P$3006,0),"")</f>
        <v/>
      </c>
    </row>
    <row r="624" ht="15" customHeight="1" s="78">
      <c r="A624" s="131">
        <f>IF($J624="","",INDEX(NKC!$B$7:$B$3006,$J624))</f>
        <v/>
      </c>
      <c r="B624" s="95">
        <f>IF($J624="","",INDEX(NKC!$C$7:$C$3006,$J624))</f>
        <v/>
      </c>
      <c r="C624" s="131">
        <f>IF($J624="","",INDEX(NKC!$D$7:$D$3006,$J624))</f>
        <v/>
      </c>
      <c r="D624" s="97">
        <f>IF($J624="","",INDEX(NKC!$E$7:$E$3006,$J624))</f>
        <v/>
      </c>
      <c r="E624" s="95">
        <f>IF($J624="","",IF(LEFT(INDEX(NKC!$F$7:$F$3006,$J624),LEN($B$5))=$B$5,INDEX(NKC!$G$7:$G$3006,$J624),INDEX(NKC!$F$7:$F$3006,$J624)))</f>
        <v/>
      </c>
      <c r="F624" s="125">
        <f>IF($J624="","",IF(LEFT(INDEX(NKC!$F$7:$F$3006,$J624),LEN($B$5))=$B$5,INDEX(NKC!$H$7:$H$3006,$J624),""))</f>
        <v/>
      </c>
      <c r="G624" s="125">
        <f>IF($J624="","",IF(LEFT(INDEX(NKC!$G$7:$G$3006,$J624),LEN($B$5))=$B$5,INDEX(NKC!$H$7:$H$3006,$J624),""))</f>
        <v/>
      </c>
      <c r="H624" s="132">
        <f>IF($J624="","",H623+N(F624)-N(G624))</f>
        <v/>
      </c>
      <c r="J624" s="117">
        <f>IFERROR(MATCH(617,NKC!$P$7:$P$3006,0),"")</f>
        <v/>
      </c>
    </row>
    <row r="625" ht="15" customHeight="1" s="78">
      <c r="A625" s="131">
        <f>IF($J625="","",INDEX(NKC!$B$7:$B$3006,$J625))</f>
        <v/>
      </c>
      <c r="B625" s="95">
        <f>IF($J625="","",INDEX(NKC!$C$7:$C$3006,$J625))</f>
        <v/>
      </c>
      <c r="C625" s="131">
        <f>IF($J625="","",INDEX(NKC!$D$7:$D$3006,$J625))</f>
        <v/>
      </c>
      <c r="D625" s="97">
        <f>IF($J625="","",INDEX(NKC!$E$7:$E$3006,$J625))</f>
        <v/>
      </c>
      <c r="E625" s="95">
        <f>IF($J625="","",IF(LEFT(INDEX(NKC!$F$7:$F$3006,$J625),LEN($B$5))=$B$5,INDEX(NKC!$G$7:$G$3006,$J625),INDEX(NKC!$F$7:$F$3006,$J625)))</f>
        <v/>
      </c>
      <c r="F625" s="125">
        <f>IF($J625="","",IF(LEFT(INDEX(NKC!$F$7:$F$3006,$J625),LEN($B$5))=$B$5,INDEX(NKC!$H$7:$H$3006,$J625),""))</f>
        <v/>
      </c>
      <c r="G625" s="125">
        <f>IF($J625="","",IF(LEFT(INDEX(NKC!$G$7:$G$3006,$J625),LEN($B$5))=$B$5,INDEX(NKC!$H$7:$H$3006,$J625),""))</f>
        <v/>
      </c>
      <c r="H625" s="132">
        <f>IF($J625="","",H624+N(F625)-N(G625))</f>
        <v/>
      </c>
      <c r="J625" s="117">
        <f>IFERROR(MATCH(618,NKC!$P$7:$P$3006,0),"")</f>
        <v/>
      </c>
    </row>
    <row r="626" ht="15" customHeight="1" s="78">
      <c r="A626" s="131">
        <f>IF($J626="","",INDEX(NKC!$B$7:$B$3006,$J626))</f>
        <v/>
      </c>
      <c r="B626" s="95">
        <f>IF($J626="","",INDEX(NKC!$C$7:$C$3006,$J626))</f>
        <v/>
      </c>
      <c r="C626" s="131">
        <f>IF($J626="","",INDEX(NKC!$D$7:$D$3006,$J626))</f>
        <v/>
      </c>
      <c r="D626" s="97">
        <f>IF($J626="","",INDEX(NKC!$E$7:$E$3006,$J626))</f>
        <v/>
      </c>
      <c r="E626" s="95">
        <f>IF($J626="","",IF(LEFT(INDEX(NKC!$F$7:$F$3006,$J626),LEN($B$5))=$B$5,INDEX(NKC!$G$7:$G$3006,$J626),INDEX(NKC!$F$7:$F$3006,$J626)))</f>
        <v/>
      </c>
      <c r="F626" s="125">
        <f>IF($J626="","",IF(LEFT(INDEX(NKC!$F$7:$F$3006,$J626),LEN($B$5))=$B$5,INDEX(NKC!$H$7:$H$3006,$J626),""))</f>
        <v/>
      </c>
      <c r="G626" s="125">
        <f>IF($J626="","",IF(LEFT(INDEX(NKC!$G$7:$G$3006,$J626),LEN($B$5))=$B$5,INDEX(NKC!$H$7:$H$3006,$J626),""))</f>
        <v/>
      </c>
      <c r="H626" s="132">
        <f>IF($J626="","",H625+N(F626)-N(G626))</f>
        <v/>
      </c>
      <c r="J626" s="117">
        <f>IFERROR(MATCH(619,NKC!$P$7:$P$3006,0),"")</f>
        <v/>
      </c>
    </row>
    <row r="627" ht="15" customHeight="1" s="78">
      <c r="A627" s="131">
        <f>IF($J627="","",INDEX(NKC!$B$7:$B$3006,$J627))</f>
        <v/>
      </c>
      <c r="B627" s="95">
        <f>IF($J627="","",INDEX(NKC!$C$7:$C$3006,$J627))</f>
        <v/>
      </c>
      <c r="C627" s="131">
        <f>IF($J627="","",INDEX(NKC!$D$7:$D$3006,$J627))</f>
        <v/>
      </c>
      <c r="D627" s="97">
        <f>IF($J627="","",INDEX(NKC!$E$7:$E$3006,$J627))</f>
        <v/>
      </c>
      <c r="E627" s="95">
        <f>IF($J627="","",IF(LEFT(INDEX(NKC!$F$7:$F$3006,$J627),LEN($B$5))=$B$5,INDEX(NKC!$G$7:$G$3006,$J627),INDEX(NKC!$F$7:$F$3006,$J627)))</f>
        <v/>
      </c>
      <c r="F627" s="125">
        <f>IF($J627="","",IF(LEFT(INDEX(NKC!$F$7:$F$3006,$J627),LEN($B$5))=$B$5,INDEX(NKC!$H$7:$H$3006,$J627),""))</f>
        <v/>
      </c>
      <c r="G627" s="125">
        <f>IF($J627="","",IF(LEFT(INDEX(NKC!$G$7:$G$3006,$J627),LEN($B$5))=$B$5,INDEX(NKC!$H$7:$H$3006,$J627),""))</f>
        <v/>
      </c>
      <c r="H627" s="132">
        <f>IF($J627="","",H626+N(F627)-N(G627))</f>
        <v/>
      </c>
      <c r="J627" s="117">
        <f>IFERROR(MATCH(620,NKC!$P$7:$P$3006,0),"")</f>
        <v/>
      </c>
    </row>
    <row r="628" ht="15" customHeight="1" s="78">
      <c r="A628" s="131">
        <f>IF($J628="","",INDEX(NKC!$B$7:$B$3006,$J628))</f>
        <v/>
      </c>
      <c r="B628" s="95">
        <f>IF($J628="","",INDEX(NKC!$C$7:$C$3006,$J628))</f>
        <v/>
      </c>
      <c r="C628" s="131">
        <f>IF($J628="","",INDEX(NKC!$D$7:$D$3006,$J628))</f>
        <v/>
      </c>
      <c r="D628" s="97">
        <f>IF($J628="","",INDEX(NKC!$E$7:$E$3006,$J628))</f>
        <v/>
      </c>
      <c r="E628" s="95">
        <f>IF($J628="","",IF(LEFT(INDEX(NKC!$F$7:$F$3006,$J628),LEN($B$5))=$B$5,INDEX(NKC!$G$7:$G$3006,$J628),INDEX(NKC!$F$7:$F$3006,$J628)))</f>
        <v/>
      </c>
      <c r="F628" s="125">
        <f>IF($J628="","",IF(LEFT(INDEX(NKC!$F$7:$F$3006,$J628),LEN($B$5))=$B$5,INDEX(NKC!$H$7:$H$3006,$J628),""))</f>
        <v/>
      </c>
      <c r="G628" s="125">
        <f>IF($J628="","",IF(LEFT(INDEX(NKC!$G$7:$G$3006,$J628),LEN($B$5))=$B$5,INDEX(NKC!$H$7:$H$3006,$J628),""))</f>
        <v/>
      </c>
      <c r="H628" s="132">
        <f>IF($J628="","",H627+N(F628)-N(G628))</f>
        <v/>
      </c>
      <c r="J628" s="117">
        <f>IFERROR(MATCH(621,NKC!$P$7:$P$3006,0),"")</f>
        <v/>
      </c>
    </row>
    <row r="629" ht="15" customHeight="1" s="78">
      <c r="A629" s="131">
        <f>IF($J629="","",INDEX(NKC!$B$7:$B$3006,$J629))</f>
        <v/>
      </c>
      <c r="B629" s="95">
        <f>IF($J629="","",INDEX(NKC!$C$7:$C$3006,$J629))</f>
        <v/>
      </c>
      <c r="C629" s="131">
        <f>IF($J629="","",INDEX(NKC!$D$7:$D$3006,$J629))</f>
        <v/>
      </c>
      <c r="D629" s="97">
        <f>IF($J629="","",INDEX(NKC!$E$7:$E$3006,$J629))</f>
        <v/>
      </c>
      <c r="E629" s="95">
        <f>IF($J629="","",IF(LEFT(INDEX(NKC!$F$7:$F$3006,$J629),LEN($B$5))=$B$5,INDEX(NKC!$G$7:$G$3006,$J629),INDEX(NKC!$F$7:$F$3006,$J629)))</f>
        <v/>
      </c>
      <c r="F629" s="125">
        <f>IF($J629="","",IF(LEFT(INDEX(NKC!$F$7:$F$3006,$J629),LEN($B$5))=$B$5,INDEX(NKC!$H$7:$H$3006,$J629),""))</f>
        <v/>
      </c>
      <c r="G629" s="125">
        <f>IF($J629="","",IF(LEFT(INDEX(NKC!$G$7:$G$3006,$J629),LEN($B$5))=$B$5,INDEX(NKC!$H$7:$H$3006,$J629),""))</f>
        <v/>
      </c>
      <c r="H629" s="132">
        <f>IF($J629="","",H628+N(F629)-N(G629))</f>
        <v/>
      </c>
      <c r="J629" s="117">
        <f>IFERROR(MATCH(622,NKC!$P$7:$P$3006,0),"")</f>
        <v/>
      </c>
    </row>
    <row r="630" ht="15" customHeight="1" s="78">
      <c r="A630" s="131">
        <f>IF($J630="","",INDEX(NKC!$B$7:$B$3006,$J630))</f>
        <v/>
      </c>
      <c r="B630" s="95">
        <f>IF($J630="","",INDEX(NKC!$C$7:$C$3006,$J630))</f>
        <v/>
      </c>
      <c r="C630" s="131">
        <f>IF($J630="","",INDEX(NKC!$D$7:$D$3006,$J630))</f>
        <v/>
      </c>
      <c r="D630" s="97">
        <f>IF($J630="","",INDEX(NKC!$E$7:$E$3006,$J630))</f>
        <v/>
      </c>
      <c r="E630" s="95">
        <f>IF($J630="","",IF(LEFT(INDEX(NKC!$F$7:$F$3006,$J630),LEN($B$5))=$B$5,INDEX(NKC!$G$7:$G$3006,$J630),INDEX(NKC!$F$7:$F$3006,$J630)))</f>
        <v/>
      </c>
      <c r="F630" s="125">
        <f>IF($J630="","",IF(LEFT(INDEX(NKC!$F$7:$F$3006,$J630),LEN($B$5))=$B$5,INDEX(NKC!$H$7:$H$3006,$J630),""))</f>
        <v/>
      </c>
      <c r="G630" s="125">
        <f>IF($J630="","",IF(LEFT(INDEX(NKC!$G$7:$G$3006,$J630),LEN($B$5))=$B$5,INDEX(NKC!$H$7:$H$3006,$J630),""))</f>
        <v/>
      </c>
      <c r="H630" s="132">
        <f>IF($J630="","",H629+N(F630)-N(G630))</f>
        <v/>
      </c>
      <c r="J630" s="117">
        <f>IFERROR(MATCH(623,NKC!$P$7:$P$3006,0),"")</f>
        <v/>
      </c>
    </row>
    <row r="631" ht="15" customHeight="1" s="78">
      <c r="A631" s="131">
        <f>IF($J631="","",INDEX(NKC!$B$7:$B$3006,$J631))</f>
        <v/>
      </c>
      <c r="B631" s="95">
        <f>IF($J631="","",INDEX(NKC!$C$7:$C$3006,$J631))</f>
        <v/>
      </c>
      <c r="C631" s="131">
        <f>IF($J631="","",INDEX(NKC!$D$7:$D$3006,$J631))</f>
        <v/>
      </c>
      <c r="D631" s="97">
        <f>IF($J631="","",INDEX(NKC!$E$7:$E$3006,$J631))</f>
        <v/>
      </c>
      <c r="E631" s="95">
        <f>IF($J631="","",IF(LEFT(INDEX(NKC!$F$7:$F$3006,$J631),LEN($B$5))=$B$5,INDEX(NKC!$G$7:$G$3006,$J631),INDEX(NKC!$F$7:$F$3006,$J631)))</f>
        <v/>
      </c>
      <c r="F631" s="125">
        <f>IF($J631="","",IF(LEFT(INDEX(NKC!$F$7:$F$3006,$J631),LEN($B$5))=$B$5,INDEX(NKC!$H$7:$H$3006,$J631),""))</f>
        <v/>
      </c>
      <c r="G631" s="125">
        <f>IF($J631="","",IF(LEFT(INDEX(NKC!$G$7:$G$3006,$J631),LEN($B$5))=$B$5,INDEX(NKC!$H$7:$H$3006,$J631),""))</f>
        <v/>
      </c>
      <c r="H631" s="132">
        <f>IF($J631="","",H630+N(F631)-N(G631))</f>
        <v/>
      </c>
      <c r="J631" s="117">
        <f>IFERROR(MATCH(624,NKC!$P$7:$P$3006,0),"")</f>
        <v/>
      </c>
    </row>
    <row r="632" ht="15" customHeight="1" s="78">
      <c r="A632" s="131">
        <f>IF($J632="","",INDEX(NKC!$B$7:$B$3006,$J632))</f>
        <v/>
      </c>
      <c r="B632" s="95">
        <f>IF($J632="","",INDEX(NKC!$C$7:$C$3006,$J632))</f>
        <v/>
      </c>
      <c r="C632" s="131">
        <f>IF($J632="","",INDEX(NKC!$D$7:$D$3006,$J632))</f>
        <v/>
      </c>
      <c r="D632" s="97">
        <f>IF($J632="","",INDEX(NKC!$E$7:$E$3006,$J632))</f>
        <v/>
      </c>
      <c r="E632" s="95">
        <f>IF($J632="","",IF(LEFT(INDEX(NKC!$F$7:$F$3006,$J632),LEN($B$5))=$B$5,INDEX(NKC!$G$7:$G$3006,$J632),INDEX(NKC!$F$7:$F$3006,$J632)))</f>
        <v/>
      </c>
      <c r="F632" s="125">
        <f>IF($J632="","",IF(LEFT(INDEX(NKC!$F$7:$F$3006,$J632),LEN($B$5))=$B$5,INDEX(NKC!$H$7:$H$3006,$J632),""))</f>
        <v/>
      </c>
      <c r="G632" s="125">
        <f>IF($J632="","",IF(LEFT(INDEX(NKC!$G$7:$G$3006,$J632),LEN($B$5))=$B$5,INDEX(NKC!$H$7:$H$3006,$J632),""))</f>
        <v/>
      </c>
      <c r="H632" s="132">
        <f>IF($J632="","",H631+N(F632)-N(G632))</f>
        <v/>
      </c>
      <c r="J632" s="117">
        <f>IFERROR(MATCH(625,NKC!$P$7:$P$3006,0),"")</f>
        <v/>
      </c>
    </row>
    <row r="633" ht="15" customHeight="1" s="78">
      <c r="A633" s="131">
        <f>IF($J633="","",INDEX(NKC!$B$7:$B$3006,$J633))</f>
        <v/>
      </c>
      <c r="B633" s="95">
        <f>IF($J633="","",INDEX(NKC!$C$7:$C$3006,$J633))</f>
        <v/>
      </c>
      <c r="C633" s="131">
        <f>IF($J633="","",INDEX(NKC!$D$7:$D$3006,$J633))</f>
        <v/>
      </c>
      <c r="D633" s="97">
        <f>IF($J633="","",INDEX(NKC!$E$7:$E$3006,$J633))</f>
        <v/>
      </c>
      <c r="E633" s="95">
        <f>IF($J633="","",IF(LEFT(INDEX(NKC!$F$7:$F$3006,$J633),LEN($B$5))=$B$5,INDEX(NKC!$G$7:$G$3006,$J633),INDEX(NKC!$F$7:$F$3006,$J633)))</f>
        <v/>
      </c>
      <c r="F633" s="125">
        <f>IF($J633="","",IF(LEFT(INDEX(NKC!$F$7:$F$3006,$J633),LEN($B$5))=$B$5,INDEX(NKC!$H$7:$H$3006,$J633),""))</f>
        <v/>
      </c>
      <c r="G633" s="125">
        <f>IF($J633="","",IF(LEFT(INDEX(NKC!$G$7:$G$3006,$J633),LEN($B$5))=$B$5,INDEX(NKC!$H$7:$H$3006,$J633),""))</f>
        <v/>
      </c>
      <c r="H633" s="132">
        <f>IF($J633="","",H632+N(F633)-N(G633))</f>
        <v/>
      </c>
      <c r="J633" s="117">
        <f>IFERROR(MATCH(626,NKC!$P$7:$P$3006,0),"")</f>
        <v/>
      </c>
    </row>
    <row r="634" ht="15" customHeight="1" s="78">
      <c r="A634" s="131">
        <f>IF($J634="","",INDEX(NKC!$B$7:$B$3006,$J634))</f>
        <v/>
      </c>
      <c r="B634" s="95">
        <f>IF($J634="","",INDEX(NKC!$C$7:$C$3006,$J634))</f>
        <v/>
      </c>
      <c r="C634" s="131">
        <f>IF($J634="","",INDEX(NKC!$D$7:$D$3006,$J634))</f>
        <v/>
      </c>
      <c r="D634" s="97">
        <f>IF($J634="","",INDEX(NKC!$E$7:$E$3006,$J634))</f>
        <v/>
      </c>
      <c r="E634" s="95">
        <f>IF($J634="","",IF(LEFT(INDEX(NKC!$F$7:$F$3006,$J634),LEN($B$5))=$B$5,INDEX(NKC!$G$7:$G$3006,$J634),INDEX(NKC!$F$7:$F$3006,$J634)))</f>
        <v/>
      </c>
      <c r="F634" s="125">
        <f>IF($J634="","",IF(LEFT(INDEX(NKC!$F$7:$F$3006,$J634),LEN($B$5))=$B$5,INDEX(NKC!$H$7:$H$3006,$J634),""))</f>
        <v/>
      </c>
      <c r="G634" s="125">
        <f>IF($J634="","",IF(LEFT(INDEX(NKC!$G$7:$G$3006,$J634),LEN($B$5))=$B$5,INDEX(NKC!$H$7:$H$3006,$J634),""))</f>
        <v/>
      </c>
      <c r="H634" s="132">
        <f>IF($J634="","",H633+N(F634)-N(G634))</f>
        <v/>
      </c>
      <c r="J634" s="117">
        <f>IFERROR(MATCH(627,NKC!$P$7:$P$3006,0),"")</f>
        <v/>
      </c>
    </row>
    <row r="635" ht="15" customHeight="1" s="78">
      <c r="A635" s="131">
        <f>IF($J635="","",INDEX(NKC!$B$7:$B$3006,$J635))</f>
        <v/>
      </c>
      <c r="B635" s="95">
        <f>IF($J635="","",INDEX(NKC!$C$7:$C$3006,$J635))</f>
        <v/>
      </c>
      <c r="C635" s="131">
        <f>IF($J635="","",INDEX(NKC!$D$7:$D$3006,$J635))</f>
        <v/>
      </c>
      <c r="D635" s="97">
        <f>IF($J635="","",INDEX(NKC!$E$7:$E$3006,$J635))</f>
        <v/>
      </c>
      <c r="E635" s="95">
        <f>IF($J635="","",IF(LEFT(INDEX(NKC!$F$7:$F$3006,$J635),LEN($B$5))=$B$5,INDEX(NKC!$G$7:$G$3006,$J635),INDEX(NKC!$F$7:$F$3006,$J635)))</f>
        <v/>
      </c>
      <c r="F635" s="125">
        <f>IF($J635="","",IF(LEFT(INDEX(NKC!$F$7:$F$3006,$J635),LEN($B$5))=$B$5,INDEX(NKC!$H$7:$H$3006,$J635),""))</f>
        <v/>
      </c>
      <c r="G635" s="125">
        <f>IF($J635="","",IF(LEFT(INDEX(NKC!$G$7:$G$3006,$J635),LEN($B$5))=$B$5,INDEX(NKC!$H$7:$H$3006,$J635),""))</f>
        <v/>
      </c>
      <c r="H635" s="132">
        <f>IF($J635="","",H634+N(F635)-N(G635))</f>
        <v/>
      </c>
      <c r="J635" s="117">
        <f>IFERROR(MATCH(628,NKC!$P$7:$P$3006,0),"")</f>
        <v/>
      </c>
    </row>
    <row r="636" ht="15" customHeight="1" s="78">
      <c r="A636" s="131">
        <f>IF($J636="","",INDEX(NKC!$B$7:$B$3006,$J636))</f>
        <v/>
      </c>
      <c r="B636" s="95">
        <f>IF($J636="","",INDEX(NKC!$C$7:$C$3006,$J636))</f>
        <v/>
      </c>
      <c r="C636" s="131">
        <f>IF($J636="","",INDEX(NKC!$D$7:$D$3006,$J636))</f>
        <v/>
      </c>
      <c r="D636" s="97">
        <f>IF($J636="","",INDEX(NKC!$E$7:$E$3006,$J636))</f>
        <v/>
      </c>
      <c r="E636" s="95">
        <f>IF($J636="","",IF(LEFT(INDEX(NKC!$F$7:$F$3006,$J636),LEN($B$5))=$B$5,INDEX(NKC!$G$7:$G$3006,$J636),INDEX(NKC!$F$7:$F$3006,$J636)))</f>
        <v/>
      </c>
      <c r="F636" s="125">
        <f>IF($J636="","",IF(LEFT(INDEX(NKC!$F$7:$F$3006,$J636),LEN($B$5))=$B$5,INDEX(NKC!$H$7:$H$3006,$J636),""))</f>
        <v/>
      </c>
      <c r="G636" s="125">
        <f>IF($J636="","",IF(LEFT(INDEX(NKC!$G$7:$G$3006,$J636),LEN($B$5))=$B$5,INDEX(NKC!$H$7:$H$3006,$J636),""))</f>
        <v/>
      </c>
      <c r="H636" s="132">
        <f>IF($J636="","",H635+N(F636)-N(G636))</f>
        <v/>
      </c>
      <c r="J636" s="117">
        <f>IFERROR(MATCH(629,NKC!$P$7:$P$3006,0),"")</f>
        <v/>
      </c>
    </row>
    <row r="637" ht="15" customHeight="1" s="78">
      <c r="A637" s="131">
        <f>IF($J637="","",INDEX(NKC!$B$7:$B$3006,$J637))</f>
        <v/>
      </c>
      <c r="B637" s="95">
        <f>IF($J637="","",INDEX(NKC!$C$7:$C$3006,$J637))</f>
        <v/>
      </c>
      <c r="C637" s="131">
        <f>IF($J637="","",INDEX(NKC!$D$7:$D$3006,$J637))</f>
        <v/>
      </c>
      <c r="D637" s="97">
        <f>IF($J637="","",INDEX(NKC!$E$7:$E$3006,$J637))</f>
        <v/>
      </c>
      <c r="E637" s="95">
        <f>IF($J637="","",IF(LEFT(INDEX(NKC!$F$7:$F$3006,$J637),LEN($B$5))=$B$5,INDEX(NKC!$G$7:$G$3006,$J637),INDEX(NKC!$F$7:$F$3006,$J637)))</f>
        <v/>
      </c>
      <c r="F637" s="125">
        <f>IF($J637="","",IF(LEFT(INDEX(NKC!$F$7:$F$3006,$J637),LEN($B$5))=$B$5,INDEX(NKC!$H$7:$H$3006,$J637),""))</f>
        <v/>
      </c>
      <c r="G637" s="125">
        <f>IF($J637="","",IF(LEFT(INDEX(NKC!$G$7:$G$3006,$J637),LEN($B$5))=$B$5,INDEX(NKC!$H$7:$H$3006,$J637),""))</f>
        <v/>
      </c>
      <c r="H637" s="132">
        <f>IF($J637="","",H636+N(F637)-N(G637))</f>
        <v/>
      </c>
      <c r="J637" s="117">
        <f>IFERROR(MATCH(630,NKC!$P$7:$P$3006,0),"")</f>
        <v/>
      </c>
    </row>
    <row r="638" ht="15" customHeight="1" s="78">
      <c r="A638" s="131">
        <f>IF($J638="","",INDEX(NKC!$B$7:$B$3006,$J638))</f>
        <v/>
      </c>
      <c r="B638" s="95">
        <f>IF($J638="","",INDEX(NKC!$C$7:$C$3006,$J638))</f>
        <v/>
      </c>
      <c r="C638" s="131">
        <f>IF($J638="","",INDEX(NKC!$D$7:$D$3006,$J638))</f>
        <v/>
      </c>
      <c r="D638" s="97">
        <f>IF($J638="","",INDEX(NKC!$E$7:$E$3006,$J638))</f>
        <v/>
      </c>
      <c r="E638" s="95">
        <f>IF($J638="","",IF(LEFT(INDEX(NKC!$F$7:$F$3006,$J638),LEN($B$5))=$B$5,INDEX(NKC!$G$7:$G$3006,$J638),INDEX(NKC!$F$7:$F$3006,$J638)))</f>
        <v/>
      </c>
      <c r="F638" s="125">
        <f>IF($J638="","",IF(LEFT(INDEX(NKC!$F$7:$F$3006,$J638),LEN($B$5))=$B$5,INDEX(NKC!$H$7:$H$3006,$J638),""))</f>
        <v/>
      </c>
      <c r="G638" s="125">
        <f>IF($J638="","",IF(LEFT(INDEX(NKC!$G$7:$G$3006,$J638),LEN($B$5))=$B$5,INDEX(NKC!$H$7:$H$3006,$J638),""))</f>
        <v/>
      </c>
      <c r="H638" s="132">
        <f>IF($J638="","",H637+N(F638)-N(G638))</f>
        <v/>
      </c>
      <c r="J638" s="117">
        <f>IFERROR(MATCH(631,NKC!$P$7:$P$3006,0),"")</f>
        <v/>
      </c>
    </row>
    <row r="639" ht="15" customHeight="1" s="78">
      <c r="A639" s="131">
        <f>IF($J639="","",INDEX(NKC!$B$7:$B$3006,$J639))</f>
        <v/>
      </c>
      <c r="B639" s="95">
        <f>IF($J639="","",INDEX(NKC!$C$7:$C$3006,$J639))</f>
        <v/>
      </c>
      <c r="C639" s="131">
        <f>IF($J639="","",INDEX(NKC!$D$7:$D$3006,$J639))</f>
        <v/>
      </c>
      <c r="D639" s="97">
        <f>IF($J639="","",INDEX(NKC!$E$7:$E$3006,$J639))</f>
        <v/>
      </c>
      <c r="E639" s="95">
        <f>IF($J639="","",IF(LEFT(INDEX(NKC!$F$7:$F$3006,$J639),LEN($B$5))=$B$5,INDEX(NKC!$G$7:$G$3006,$J639),INDEX(NKC!$F$7:$F$3006,$J639)))</f>
        <v/>
      </c>
      <c r="F639" s="125">
        <f>IF($J639="","",IF(LEFT(INDEX(NKC!$F$7:$F$3006,$J639),LEN($B$5))=$B$5,INDEX(NKC!$H$7:$H$3006,$J639),""))</f>
        <v/>
      </c>
      <c r="G639" s="125">
        <f>IF($J639="","",IF(LEFT(INDEX(NKC!$G$7:$G$3006,$J639),LEN($B$5))=$B$5,INDEX(NKC!$H$7:$H$3006,$J639),""))</f>
        <v/>
      </c>
      <c r="H639" s="132">
        <f>IF($J639="","",H638+N(F639)-N(G639))</f>
        <v/>
      </c>
      <c r="J639" s="117">
        <f>IFERROR(MATCH(632,NKC!$P$7:$P$3006,0),"")</f>
        <v/>
      </c>
    </row>
    <row r="640" ht="15" customHeight="1" s="78">
      <c r="A640" s="131">
        <f>IF($J640="","",INDEX(NKC!$B$7:$B$3006,$J640))</f>
        <v/>
      </c>
      <c r="B640" s="95">
        <f>IF($J640="","",INDEX(NKC!$C$7:$C$3006,$J640))</f>
        <v/>
      </c>
      <c r="C640" s="131">
        <f>IF($J640="","",INDEX(NKC!$D$7:$D$3006,$J640))</f>
        <v/>
      </c>
      <c r="D640" s="97">
        <f>IF($J640="","",INDEX(NKC!$E$7:$E$3006,$J640))</f>
        <v/>
      </c>
      <c r="E640" s="95">
        <f>IF($J640="","",IF(LEFT(INDEX(NKC!$F$7:$F$3006,$J640),LEN($B$5))=$B$5,INDEX(NKC!$G$7:$G$3006,$J640),INDEX(NKC!$F$7:$F$3006,$J640)))</f>
        <v/>
      </c>
      <c r="F640" s="125">
        <f>IF($J640="","",IF(LEFT(INDEX(NKC!$F$7:$F$3006,$J640),LEN($B$5))=$B$5,INDEX(NKC!$H$7:$H$3006,$J640),""))</f>
        <v/>
      </c>
      <c r="G640" s="125">
        <f>IF($J640="","",IF(LEFT(INDEX(NKC!$G$7:$G$3006,$J640),LEN($B$5))=$B$5,INDEX(NKC!$H$7:$H$3006,$J640),""))</f>
        <v/>
      </c>
      <c r="H640" s="132">
        <f>IF($J640="","",H639+N(F640)-N(G640))</f>
        <v/>
      </c>
      <c r="J640" s="117">
        <f>IFERROR(MATCH(633,NKC!$P$7:$P$3006,0),"")</f>
        <v/>
      </c>
    </row>
    <row r="641" ht="15" customHeight="1" s="78">
      <c r="A641" s="131">
        <f>IF($J641="","",INDEX(NKC!$B$7:$B$3006,$J641))</f>
        <v/>
      </c>
      <c r="B641" s="95">
        <f>IF($J641="","",INDEX(NKC!$C$7:$C$3006,$J641))</f>
        <v/>
      </c>
      <c r="C641" s="131">
        <f>IF($J641="","",INDEX(NKC!$D$7:$D$3006,$J641))</f>
        <v/>
      </c>
      <c r="D641" s="97">
        <f>IF($J641="","",INDEX(NKC!$E$7:$E$3006,$J641))</f>
        <v/>
      </c>
      <c r="E641" s="95">
        <f>IF($J641="","",IF(LEFT(INDEX(NKC!$F$7:$F$3006,$J641),LEN($B$5))=$B$5,INDEX(NKC!$G$7:$G$3006,$J641),INDEX(NKC!$F$7:$F$3006,$J641)))</f>
        <v/>
      </c>
      <c r="F641" s="125">
        <f>IF($J641="","",IF(LEFT(INDEX(NKC!$F$7:$F$3006,$J641),LEN($B$5))=$B$5,INDEX(NKC!$H$7:$H$3006,$J641),""))</f>
        <v/>
      </c>
      <c r="G641" s="125">
        <f>IF($J641="","",IF(LEFT(INDEX(NKC!$G$7:$G$3006,$J641),LEN($B$5))=$B$5,INDEX(NKC!$H$7:$H$3006,$J641),""))</f>
        <v/>
      </c>
      <c r="H641" s="132">
        <f>IF($J641="","",H640+N(F641)-N(G641))</f>
        <v/>
      </c>
      <c r="J641" s="117">
        <f>IFERROR(MATCH(634,NKC!$P$7:$P$3006,0),"")</f>
        <v/>
      </c>
    </row>
    <row r="642" ht="15" customHeight="1" s="78">
      <c r="A642" s="131">
        <f>IF($J642="","",INDEX(NKC!$B$7:$B$3006,$J642))</f>
        <v/>
      </c>
      <c r="B642" s="95">
        <f>IF($J642="","",INDEX(NKC!$C$7:$C$3006,$J642))</f>
        <v/>
      </c>
      <c r="C642" s="131">
        <f>IF($J642="","",INDEX(NKC!$D$7:$D$3006,$J642))</f>
        <v/>
      </c>
      <c r="D642" s="97">
        <f>IF($J642="","",INDEX(NKC!$E$7:$E$3006,$J642))</f>
        <v/>
      </c>
      <c r="E642" s="95">
        <f>IF($J642="","",IF(LEFT(INDEX(NKC!$F$7:$F$3006,$J642),LEN($B$5))=$B$5,INDEX(NKC!$G$7:$G$3006,$J642),INDEX(NKC!$F$7:$F$3006,$J642)))</f>
        <v/>
      </c>
      <c r="F642" s="125">
        <f>IF($J642="","",IF(LEFT(INDEX(NKC!$F$7:$F$3006,$J642),LEN($B$5))=$B$5,INDEX(NKC!$H$7:$H$3006,$J642),""))</f>
        <v/>
      </c>
      <c r="G642" s="125">
        <f>IF($J642="","",IF(LEFT(INDEX(NKC!$G$7:$G$3006,$J642),LEN($B$5))=$B$5,INDEX(NKC!$H$7:$H$3006,$J642),""))</f>
        <v/>
      </c>
      <c r="H642" s="132">
        <f>IF($J642="","",H641+N(F642)-N(G642))</f>
        <v/>
      </c>
      <c r="J642" s="117">
        <f>IFERROR(MATCH(635,NKC!$P$7:$P$3006,0),"")</f>
        <v/>
      </c>
    </row>
    <row r="643" ht="15" customHeight="1" s="78">
      <c r="A643" s="131">
        <f>IF($J643="","",INDEX(NKC!$B$7:$B$3006,$J643))</f>
        <v/>
      </c>
      <c r="B643" s="95">
        <f>IF($J643="","",INDEX(NKC!$C$7:$C$3006,$J643))</f>
        <v/>
      </c>
      <c r="C643" s="131">
        <f>IF($J643="","",INDEX(NKC!$D$7:$D$3006,$J643))</f>
        <v/>
      </c>
      <c r="D643" s="97">
        <f>IF($J643="","",INDEX(NKC!$E$7:$E$3006,$J643))</f>
        <v/>
      </c>
      <c r="E643" s="95">
        <f>IF($J643="","",IF(LEFT(INDEX(NKC!$F$7:$F$3006,$J643),LEN($B$5))=$B$5,INDEX(NKC!$G$7:$G$3006,$J643),INDEX(NKC!$F$7:$F$3006,$J643)))</f>
        <v/>
      </c>
      <c r="F643" s="125">
        <f>IF($J643="","",IF(LEFT(INDEX(NKC!$F$7:$F$3006,$J643),LEN($B$5))=$B$5,INDEX(NKC!$H$7:$H$3006,$J643),""))</f>
        <v/>
      </c>
      <c r="G643" s="125">
        <f>IF($J643="","",IF(LEFT(INDEX(NKC!$G$7:$G$3006,$J643),LEN($B$5))=$B$5,INDEX(NKC!$H$7:$H$3006,$J643),""))</f>
        <v/>
      </c>
      <c r="H643" s="132">
        <f>IF($J643="","",H642+N(F643)-N(G643))</f>
        <v/>
      </c>
      <c r="J643" s="117">
        <f>IFERROR(MATCH(636,NKC!$P$7:$P$3006,0),"")</f>
        <v/>
      </c>
    </row>
    <row r="644" ht="15" customHeight="1" s="78">
      <c r="A644" s="131">
        <f>IF($J644="","",INDEX(NKC!$B$7:$B$3006,$J644))</f>
        <v/>
      </c>
      <c r="B644" s="95">
        <f>IF($J644="","",INDEX(NKC!$C$7:$C$3006,$J644))</f>
        <v/>
      </c>
      <c r="C644" s="131">
        <f>IF($J644="","",INDEX(NKC!$D$7:$D$3006,$J644))</f>
        <v/>
      </c>
      <c r="D644" s="97">
        <f>IF($J644="","",INDEX(NKC!$E$7:$E$3006,$J644))</f>
        <v/>
      </c>
      <c r="E644" s="95">
        <f>IF($J644="","",IF(LEFT(INDEX(NKC!$F$7:$F$3006,$J644),LEN($B$5))=$B$5,INDEX(NKC!$G$7:$G$3006,$J644),INDEX(NKC!$F$7:$F$3006,$J644)))</f>
        <v/>
      </c>
      <c r="F644" s="125">
        <f>IF($J644="","",IF(LEFT(INDEX(NKC!$F$7:$F$3006,$J644),LEN($B$5))=$B$5,INDEX(NKC!$H$7:$H$3006,$J644),""))</f>
        <v/>
      </c>
      <c r="G644" s="125">
        <f>IF($J644="","",IF(LEFT(INDEX(NKC!$G$7:$G$3006,$J644),LEN($B$5))=$B$5,INDEX(NKC!$H$7:$H$3006,$J644),""))</f>
        <v/>
      </c>
      <c r="H644" s="132">
        <f>IF($J644="","",H643+N(F644)-N(G644))</f>
        <v/>
      </c>
      <c r="J644" s="117">
        <f>IFERROR(MATCH(637,NKC!$P$7:$P$3006,0),"")</f>
        <v/>
      </c>
    </row>
    <row r="645" ht="15" customHeight="1" s="78">
      <c r="A645" s="131">
        <f>IF($J645="","",INDEX(NKC!$B$7:$B$3006,$J645))</f>
        <v/>
      </c>
      <c r="B645" s="95">
        <f>IF($J645="","",INDEX(NKC!$C$7:$C$3006,$J645))</f>
        <v/>
      </c>
      <c r="C645" s="131">
        <f>IF($J645="","",INDEX(NKC!$D$7:$D$3006,$J645))</f>
        <v/>
      </c>
      <c r="D645" s="97">
        <f>IF($J645="","",INDEX(NKC!$E$7:$E$3006,$J645))</f>
        <v/>
      </c>
      <c r="E645" s="95">
        <f>IF($J645="","",IF(LEFT(INDEX(NKC!$F$7:$F$3006,$J645),LEN($B$5))=$B$5,INDEX(NKC!$G$7:$G$3006,$J645),INDEX(NKC!$F$7:$F$3006,$J645)))</f>
        <v/>
      </c>
      <c r="F645" s="125">
        <f>IF($J645="","",IF(LEFT(INDEX(NKC!$F$7:$F$3006,$J645),LEN($B$5))=$B$5,INDEX(NKC!$H$7:$H$3006,$J645),""))</f>
        <v/>
      </c>
      <c r="G645" s="125">
        <f>IF($J645="","",IF(LEFT(INDEX(NKC!$G$7:$G$3006,$J645),LEN($B$5))=$B$5,INDEX(NKC!$H$7:$H$3006,$J645),""))</f>
        <v/>
      </c>
      <c r="H645" s="132">
        <f>IF($J645="","",H644+N(F645)-N(G645))</f>
        <v/>
      </c>
      <c r="J645" s="117">
        <f>IFERROR(MATCH(638,NKC!$P$7:$P$3006,0),"")</f>
        <v/>
      </c>
    </row>
    <row r="646" ht="15" customHeight="1" s="78">
      <c r="A646" s="131">
        <f>IF($J646="","",INDEX(NKC!$B$7:$B$3006,$J646))</f>
        <v/>
      </c>
      <c r="B646" s="95">
        <f>IF($J646="","",INDEX(NKC!$C$7:$C$3006,$J646))</f>
        <v/>
      </c>
      <c r="C646" s="131">
        <f>IF($J646="","",INDEX(NKC!$D$7:$D$3006,$J646))</f>
        <v/>
      </c>
      <c r="D646" s="97">
        <f>IF($J646="","",INDEX(NKC!$E$7:$E$3006,$J646))</f>
        <v/>
      </c>
      <c r="E646" s="95">
        <f>IF($J646="","",IF(LEFT(INDEX(NKC!$F$7:$F$3006,$J646),LEN($B$5))=$B$5,INDEX(NKC!$G$7:$G$3006,$J646),INDEX(NKC!$F$7:$F$3006,$J646)))</f>
        <v/>
      </c>
      <c r="F646" s="125">
        <f>IF($J646="","",IF(LEFT(INDEX(NKC!$F$7:$F$3006,$J646),LEN($B$5))=$B$5,INDEX(NKC!$H$7:$H$3006,$J646),""))</f>
        <v/>
      </c>
      <c r="G646" s="125">
        <f>IF($J646="","",IF(LEFT(INDEX(NKC!$G$7:$G$3006,$J646),LEN($B$5))=$B$5,INDEX(NKC!$H$7:$H$3006,$J646),""))</f>
        <v/>
      </c>
      <c r="H646" s="132">
        <f>IF($J646="","",H645+N(F646)-N(G646))</f>
        <v/>
      </c>
      <c r="J646" s="117">
        <f>IFERROR(MATCH(639,NKC!$P$7:$P$3006,0),"")</f>
        <v/>
      </c>
    </row>
    <row r="647" ht="15" customHeight="1" s="78">
      <c r="A647" s="131">
        <f>IF($J647="","",INDEX(NKC!$B$7:$B$3006,$J647))</f>
        <v/>
      </c>
      <c r="B647" s="95">
        <f>IF($J647="","",INDEX(NKC!$C$7:$C$3006,$J647))</f>
        <v/>
      </c>
      <c r="C647" s="131">
        <f>IF($J647="","",INDEX(NKC!$D$7:$D$3006,$J647))</f>
        <v/>
      </c>
      <c r="D647" s="97">
        <f>IF($J647="","",INDEX(NKC!$E$7:$E$3006,$J647))</f>
        <v/>
      </c>
      <c r="E647" s="95">
        <f>IF($J647="","",IF(LEFT(INDEX(NKC!$F$7:$F$3006,$J647),LEN($B$5))=$B$5,INDEX(NKC!$G$7:$G$3006,$J647),INDEX(NKC!$F$7:$F$3006,$J647)))</f>
        <v/>
      </c>
      <c r="F647" s="125">
        <f>IF($J647="","",IF(LEFT(INDEX(NKC!$F$7:$F$3006,$J647),LEN($B$5))=$B$5,INDEX(NKC!$H$7:$H$3006,$J647),""))</f>
        <v/>
      </c>
      <c r="G647" s="125">
        <f>IF($J647="","",IF(LEFT(INDEX(NKC!$G$7:$G$3006,$J647),LEN($B$5))=$B$5,INDEX(NKC!$H$7:$H$3006,$J647),""))</f>
        <v/>
      </c>
      <c r="H647" s="132">
        <f>IF($J647="","",H646+N(F647)-N(G647))</f>
        <v/>
      </c>
      <c r="J647" s="117">
        <f>IFERROR(MATCH(640,NKC!$P$7:$P$3006,0),"")</f>
        <v/>
      </c>
    </row>
    <row r="648" ht="15" customHeight="1" s="78">
      <c r="A648" s="131">
        <f>IF($J648="","",INDEX(NKC!$B$7:$B$3006,$J648))</f>
        <v/>
      </c>
      <c r="B648" s="95">
        <f>IF($J648="","",INDEX(NKC!$C$7:$C$3006,$J648))</f>
        <v/>
      </c>
      <c r="C648" s="131">
        <f>IF($J648="","",INDEX(NKC!$D$7:$D$3006,$J648))</f>
        <v/>
      </c>
      <c r="D648" s="97">
        <f>IF($J648="","",INDEX(NKC!$E$7:$E$3006,$J648))</f>
        <v/>
      </c>
      <c r="E648" s="95">
        <f>IF($J648="","",IF(LEFT(INDEX(NKC!$F$7:$F$3006,$J648),LEN($B$5))=$B$5,INDEX(NKC!$G$7:$G$3006,$J648),INDEX(NKC!$F$7:$F$3006,$J648)))</f>
        <v/>
      </c>
      <c r="F648" s="125">
        <f>IF($J648="","",IF(LEFT(INDEX(NKC!$F$7:$F$3006,$J648),LEN($B$5))=$B$5,INDEX(NKC!$H$7:$H$3006,$J648),""))</f>
        <v/>
      </c>
      <c r="G648" s="125">
        <f>IF($J648="","",IF(LEFT(INDEX(NKC!$G$7:$G$3006,$J648),LEN($B$5))=$B$5,INDEX(NKC!$H$7:$H$3006,$J648),""))</f>
        <v/>
      </c>
      <c r="H648" s="132">
        <f>IF($J648="","",H647+N(F648)-N(G648))</f>
        <v/>
      </c>
      <c r="J648" s="117">
        <f>IFERROR(MATCH(641,NKC!$P$7:$P$3006,0),"")</f>
        <v/>
      </c>
    </row>
    <row r="649" ht="15" customHeight="1" s="78">
      <c r="A649" s="131">
        <f>IF($J649="","",INDEX(NKC!$B$7:$B$3006,$J649))</f>
        <v/>
      </c>
      <c r="B649" s="95">
        <f>IF($J649="","",INDEX(NKC!$C$7:$C$3006,$J649))</f>
        <v/>
      </c>
      <c r="C649" s="131">
        <f>IF($J649="","",INDEX(NKC!$D$7:$D$3006,$J649))</f>
        <v/>
      </c>
      <c r="D649" s="97">
        <f>IF($J649="","",INDEX(NKC!$E$7:$E$3006,$J649))</f>
        <v/>
      </c>
      <c r="E649" s="95">
        <f>IF($J649="","",IF(LEFT(INDEX(NKC!$F$7:$F$3006,$J649),LEN($B$5))=$B$5,INDEX(NKC!$G$7:$G$3006,$J649),INDEX(NKC!$F$7:$F$3006,$J649)))</f>
        <v/>
      </c>
      <c r="F649" s="125">
        <f>IF($J649="","",IF(LEFT(INDEX(NKC!$F$7:$F$3006,$J649),LEN($B$5))=$B$5,INDEX(NKC!$H$7:$H$3006,$J649),""))</f>
        <v/>
      </c>
      <c r="G649" s="125">
        <f>IF($J649="","",IF(LEFT(INDEX(NKC!$G$7:$G$3006,$J649),LEN($B$5))=$B$5,INDEX(NKC!$H$7:$H$3006,$J649),""))</f>
        <v/>
      </c>
      <c r="H649" s="132">
        <f>IF($J649="","",H648+N(F649)-N(G649))</f>
        <v/>
      </c>
      <c r="J649" s="117">
        <f>IFERROR(MATCH(642,NKC!$P$7:$P$3006,0),"")</f>
        <v/>
      </c>
    </row>
    <row r="650" ht="15" customHeight="1" s="78">
      <c r="A650" s="131">
        <f>IF($J650="","",INDEX(NKC!$B$7:$B$3006,$J650))</f>
        <v/>
      </c>
      <c r="B650" s="95">
        <f>IF($J650="","",INDEX(NKC!$C$7:$C$3006,$J650))</f>
        <v/>
      </c>
      <c r="C650" s="131">
        <f>IF($J650="","",INDEX(NKC!$D$7:$D$3006,$J650))</f>
        <v/>
      </c>
      <c r="D650" s="97">
        <f>IF($J650="","",INDEX(NKC!$E$7:$E$3006,$J650))</f>
        <v/>
      </c>
      <c r="E650" s="95">
        <f>IF($J650="","",IF(LEFT(INDEX(NKC!$F$7:$F$3006,$J650),LEN($B$5))=$B$5,INDEX(NKC!$G$7:$G$3006,$J650),INDEX(NKC!$F$7:$F$3006,$J650)))</f>
        <v/>
      </c>
      <c r="F650" s="125">
        <f>IF($J650="","",IF(LEFT(INDEX(NKC!$F$7:$F$3006,$J650),LEN($B$5))=$B$5,INDEX(NKC!$H$7:$H$3006,$J650),""))</f>
        <v/>
      </c>
      <c r="G650" s="125">
        <f>IF($J650="","",IF(LEFT(INDEX(NKC!$G$7:$G$3006,$J650),LEN($B$5))=$B$5,INDEX(NKC!$H$7:$H$3006,$J650),""))</f>
        <v/>
      </c>
      <c r="H650" s="132">
        <f>IF($J650="","",H649+N(F650)-N(G650))</f>
        <v/>
      </c>
      <c r="J650" s="117">
        <f>IFERROR(MATCH(643,NKC!$P$7:$P$3006,0),"")</f>
        <v/>
      </c>
    </row>
    <row r="651" ht="15" customHeight="1" s="78">
      <c r="A651" s="131">
        <f>IF($J651="","",INDEX(NKC!$B$7:$B$3006,$J651))</f>
        <v/>
      </c>
      <c r="B651" s="95">
        <f>IF($J651="","",INDEX(NKC!$C$7:$C$3006,$J651))</f>
        <v/>
      </c>
      <c r="C651" s="131">
        <f>IF($J651="","",INDEX(NKC!$D$7:$D$3006,$J651))</f>
        <v/>
      </c>
      <c r="D651" s="97">
        <f>IF($J651="","",INDEX(NKC!$E$7:$E$3006,$J651))</f>
        <v/>
      </c>
      <c r="E651" s="95">
        <f>IF($J651="","",IF(LEFT(INDEX(NKC!$F$7:$F$3006,$J651),LEN($B$5))=$B$5,INDEX(NKC!$G$7:$G$3006,$J651),INDEX(NKC!$F$7:$F$3006,$J651)))</f>
        <v/>
      </c>
      <c r="F651" s="125">
        <f>IF($J651="","",IF(LEFT(INDEX(NKC!$F$7:$F$3006,$J651),LEN($B$5))=$B$5,INDEX(NKC!$H$7:$H$3006,$J651),""))</f>
        <v/>
      </c>
      <c r="G651" s="125">
        <f>IF($J651="","",IF(LEFT(INDEX(NKC!$G$7:$G$3006,$J651),LEN($B$5))=$B$5,INDEX(NKC!$H$7:$H$3006,$J651),""))</f>
        <v/>
      </c>
      <c r="H651" s="132">
        <f>IF($J651="","",H650+N(F651)-N(G651))</f>
        <v/>
      </c>
      <c r="J651" s="117">
        <f>IFERROR(MATCH(644,NKC!$P$7:$P$3006,0),"")</f>
        <v/>
      </c>
    </row>
    <row r="652" ht="15" customHeight="1" s="78">
      <c r="A652" s="131">
        <f>IF($J652="","",INDEX(NKC!$B$7:$B$3006,$J652))</f>
        <v/>
      </c>
      <c r="B652" s="95">
        <f>IF($J652="","",INDEX(NKC!$C$7:$C$3006,$J652))</f>
        <v/>
      </c>
      <c r="C652" s="131">
        <f>IF($J652="","",INDEX(NKC!$D$7:$D$3006,$J652))</f>
        <v/>
      </c>
      <c r="D652" s="97">
        <f>IF($J652="","",INDEX(NKC!$E$7:$E$3006,$J652))</f>
        <v/>
      </c>
      <c r="E652" s="95">
        <f>IF($J652="","",IF(LEFT(INDEX(NKC!$F$7:$F$3006,$J652),LEN($B$5))=$B$5,INDEX(NKC!$G$7:$G$3006,$J652),INDEX(NKC!$F$7:$F$3006,$J652)))</f>
        <v/>
      </c>
      <c r="F652" s="125">
        <f>IF($J652="","",IF(LEFT(INDEX(NKC!$F$7:$F$3006,$J652),LEN($B$5))=$B$5,INDEX(NKC!$H$7:$H$3006,$J652),""))</f>
        <v/>
      </c>
      <c r="G652" s="125">
        <f>IF($J652="","",IF(LEFT(INDEX(NKC!$G$7:$G$3006,$J652),LEN($B$5))=$B$5,INDEX(NKC!$H$7:$H$3006,$J652),""))</f>
        <v/>
      </c>
      <c r="H652" s="132">
        <f>IF($J652="","",H651+N(F652)-N(G652))</f>
        <v/>
      </c>
      <c r="J652" s="117">
        <f>IFERROR(MATCH(645,NKC!$P$7:$P$3006,0),"")</f>
        <v/>
      </c>
    </row>
    <row r="653" ht="15" customHeight="1" s="78">
      <c r="A653" s="131">
        <f>IF($J653="","",INDEX(NKC!$B$7:$B$3006,$J653))</f>
        <v/>
      </c>
      <c r="B653" s="95">
        <f>IF($J653="","",INDEX(NKC!$C$7:$C$3006,$J653))</f>
        <v/>
      </c>
      <c r="C653" s="131">
        <f>IF($J653="","",INDEX(NKC!$D$7:$D$3006,$J653))</f>
        <v/>
      </c>
      <c r="D653" s="97">
        <f>IF($J653="","",INDEX(NKC!$E$7:$E$3006,$J653))</f>
        <v/>
      </c>
      <c r="E653" s="95">
        <f>IF($J653="","",IF(LEFT(INDEX(NKC!$F$7:$F$3006,$J653),LEN($B$5))=$B$5,INDEX(NKC!$G$7:$G$3006,$J653),INDEX(NKC!$F$7:$F$3006,$J653)))</f>
        <v/>
      </c>
      <c r="F653" s="125">
        <f>IF($J653="","",IF(LEFT(INDEX(NKC!$F$7:$F$3006,$J653),LEN($B$5))=$B$5,INDEX(NKC!$H$7:$H$3006,$J653),""))</f>
        <v/>
      </c>
      <c r="G653" s="125">
        <f>IF($J653="","",IF(LEFT(INDEX(NKC!$G$7:$G$3006,$J653),LEN($B$5))=$B$5,INDEX(NKC!$H$7:$H$3006,$J653),""))</f>
        <v/>
      </c>
      <c r="H653" s="132">
        <f>IF($J653="","",H652+N(F653)-N(G653))</f>
        <v/>
      </c>
      <c r="J653" s="117">
        <f>IFERROR(MATCH(646,NKC!$P$7:$P$3006,0),"")</f>
        <v/>
      </c>
    </row>
    <row r="654" ht="15" customHeight="1" s="78">
      <c r="A654" s="131">
        <f>IF($J654="","",INDEX(NKC!$B$7:$B$3006,$J654))</f>
        <v/>
      </c>
      <c r="B654" s="95">
        <f>IF($J654="","",INDEX(NKC!$C$7:$C$3006,$J654))</f>
        <v/>
      </c>
      <c r="C654" s="131">
        <f>IF($J654="","",INDEX(NKC!$D$7:$D$3006,$J654))</f>
        <v/>
      </c>
      <c r="D654" s="97">
        <f>IF($J654="","",INDEX(NKC!$E$7:$E$3006,$J654))</f>
        <v/>
      </c>
      <c r="E654" s="95">
        <f>IF($J654="","",IF(LEFT(INDEX(NKC!$F$7:$F$3006,$J654),LEN($B$5))=$B$5,INDEX(NKC!$G$7:$G$3006,$J654),INDEX(NKC!$F$7:$F$3006,$J654)))</f>
        <v/>
      </c>
      <c r="F654" s="125">
        <f>IF($J654="","",IF(LEFT(INDEX(NKC!$F$7:$F$3006,$J654),LEN($B$5))=$B$5,INDEX(NKC!$H$7:$H$3006,$J654),""))</f>
        <v/>
      </c>
      <c r="G654" s="125">
        <f>IF($J654="","",IF(LEFT(INDEX(NKC!$G$7:$G$3006,$J654),LEN($B$5))=$B$5,INDEX(NKC!$H$7:$H$3006,$J654),""))</f>
        <v/>
      </c>
      <c r="H654" s="132">
        <f>IF($J654="","",H653+N(F654)-N(G654))</f>
        <v/>
      </c>
      <c r="J654" s="117">
        <f>IFERROR(MATCH(647,NKC!$P$7:$P$3006,0),"")</f>
        <v/>
      </c>
    </row>
    <row r="655" ht="15" customHeight="1" s="78">
      <c r="A655" s="131">
        <f>IF($J655="","",INDEX(NKC!$B$7:$B$3006,$J655))</f>
        <v/>
      </c>
      <c r="B655" s="95">
        <f>IF($J655="","",INDEX(NKC!$C$7:$C$3006,$J655))</f>
        <v/>
      </c>
      <c r="C655" s="131">
        <f>IF($J655="","",INDEX(NKC!$D$7:$D$3006,$J655))</f>
        <v/>
      </c>
      <c r="D655" s="97">
        <f>IF($J655="","",INDEX(NKC!$E$7:$E$3006,$J655))</f>
        <v/>
      </c>
      <c r="E655" s="95">
        <f>IF($J655="","",IF(LEFT(INDEX(NKC!$F$7:$F$3006,$J655),LEN($B$5))=$B$5,INDEX(NKC!$G$7:$G$3006,$J655),INDEX(NKC!$F$7:$F$3006,$J655)))</f>
        <v/>
      </c>
      <c r="F655" s="125">
        <f>IF($J655="","",IF(LEFT(INDEX(NKC!$F$7:$F$3006,$J655),LEN($B$5))=$B$5,INDEX(NKC!$H$7:$H$3006,$J655),""))</f>
        <v/>
      </c>
      <c r="G655" s="125">
        <f>IF($J655="","",IF(LEFT(INDEX(NKC!$G$7:$G$3006,$J655),LEN($B$5))=$B$5,INDEX(NKC!$H$7:$H$3006,$J655),""))</f>
        <v/>
      </c>
      <c r="H655" s="132">
        <f>IF($J655="","",H654+N(F655)-N(G655))</f>
        <v/>
      </c>
      <c r="J655" s="117">
        <f>IFERROR(MATCH(648,NKC!$P$7:$P$3006,0),"")</f>
        <v/>
      </c>
    </row>
    <row r="656" ht="15" customHeight="1" s="78">
      <c r="A656" s="131">
        <f>IF($J656="","",INDEX(NKC!$B$7:$B$3006,$J656))</f>
        <v/>
      </c>
      <c r="B656" s="95">
        <f>IF($J656="","",INDEX(NKC!$C$7:$C$3006,$J656))</f>
        <v/>
      </c>
      <c r="C656" s="131">
        <f>IF($J656="","",INDEX(NKC!$D$7:$D$3006,$J656))</f>
        <v/>
      </c>
      <c r="D656" s="97">
        <f>IF($J656="","",INDEX(NKC!$E$7:$E$3006,$J656))</f>
        <v/>
      </c>
      <c r="E656" s="95">
        <f>IF($J656="","",IF(LEFT(INDEX(NKC!$F$7:$F$3006,$J656),LEN($B$5))=$B$5,INDEX(NKC!$G$7:$G$3006,$J656),INDEX(NKC!$F$7:$F$3006,$J656)))</f>
        <v/>
      </c>
      <c r="F656" s="125">
        <f>IF($J656="","",IF(LEFT(INDEX(NKC!$F$7:$F$3006,$J656),LEN($B$5))=$B$5,INDEX(NKC!$H$7:$H$3006,$J656),""))</f>
        <v/>
      </c>
      <c r="G656" s="125">
        <f>IF($J656="","",IF(LEFT(INDEX(NKC!$G$7:$G$3006,$J656),LEN($B$5))=$B$5,INDEX(NKC!$H$7:$H$3006,$J656),""))</f>
        <v/>
      </c>
      <c r="H656" s="132">
        <f>IF($J656="","",H655+N(F656)-N(G656))</f>
        <v/>
      </c>
      <c r="J656" s="117">
        <f>IFERROR(MATCH(649,NKC!$P$7:$P$3006,0),"")</f>
        <v/>
      </c>
    </row>
    <row r="657" ht="15" customHeight="1" s="78">
      <c r="A657" s="131">
        <f>IF($J657="","",INDEX(NKC!$B$7:$B$3006,$J657))</f>
        <v/>
      </c>
      <c r="B657" s="95">
        <f>IF($J657="","",INDEX(NKC!$C$7:$C$3006,$J657))</f>
        <v/>
      </c>
      <c r="C657" s="131">
        <f>IF($J657="","",INDEX(NKC!$D$7:$D$3006,$J657))</f>
        <v/>
      </c>
      <c r="D657" s="97">
        <f>IF($J657="","",INDEX(NKC!$E$7:$E$3006,$J657))</f>
        <v/>
      </c>
      <c r="E657" s="95">
        <f>IF($J657="","",IF(LEFT(INDEX(NKC!$F$7:$F$3006,$J657),LEN($B$5))=$B$5,INDEX(NKC!$G$7:$G$3006,$J657),INDEX(NKC!$F$7:$F$3006,$J657)))</f>
        <v/>
      </c>
      <c r="F657" s="125">
        <f>IF($J657="","",IF(LEFT(INDEX(NKC!$F$7:$F$3006,$J657),LEN($B$5))=$B$5,INDEX(NKC!$H$7:$H$3006,$J657),""))</f>
        <v/>
      </c>
      <c r="G657" s="125">
        <f>IF($J657="","",IF(LEFT(INDEX(NKC!$G$7:$G$3006,$J657),LEN($B$5))=$B$5,INDEX(NKC!$H$7:$H$3006,$J657),""))</f>
        <v/>
      </c>
      <c r="H657" s="132">
        <f>IF($J657="","",H656+N(F657)-N(G657))</f>
        <v/>
      </c>
      <c r="J657" s="117">
        <f>IFERROR(MATCH(650,NKC!$P$7:$P$3006,0),"")</f>
        <v/>
      </c>
    </row>
    <row r="658" ht="15" customHeight="1" s="78">
      <c r="A658" s="131">
        <f>IF($J658="","",INDEX(NKC!$B$7:$B$3006,$J658))</f>
        <v/>
      </c>
      <c r="B658" s="95">
        <f>IF($J658="","",INDEX(NKC!$C$7:$C$3006,$J658))</f>
        <v/>
      </c>
      <c r="C658" s="131">
        <f>IF($J658="","",INDEX(NKC!$D$7:$D$3006,$J658))</f>
        <v/>
      </c>
      <c r="D658" s="97">
        <f>IF($J658="","",INDEX(NKC!$E$7:$E$3006,$J658))</f>
        <v/>
      </c>
      <c r="E658" s="95">
        <f>IF($J658="","",IF(LEFT(INDEX(NKC!$F$7:$F$3006,$J658),LEN($B$5))=$B$5,INDEX(NKC!$G$7:$G$3006,$J658),INDEX(NKC!$F$7:$F$3006,$J658)))</f>
        <v/>
      </c>
      <c r="F658" s="125">
        <f>IF($J658="","",IF(LEFT(INDEX(NKC!$F$7:$F$3006,$J658),LEN($B$5))=$B$5,INDEX(NKC!$H$7:$H$3006,$J658),""))</f>
        <v/>
      </c>
      <c r="G658" s="125">
        <f>IF($J658="","",IF(LEFT(INDEX(NKC!$G$7:$G$3006,$J658),LEN($B$5))=$B$5,INDEX(NKC!$H$7:$H$3006,$J658),""))</f>
        <v/>
      </c>
      <c r="H658" s="132">
        <f>IF($J658="","",H657+N(F658)-N(G658))</f>
        <v/>
      </c>
      <c r="J658" s="117">
        <f>IFERROR(MATCH(651,NKC!$P$7:$P$3006,0),"")</f>
        <v/>
      </c>
    </row>
    <row r="659" ht="15" customHeight="1" s="78">
      <c r="A659" s="131">
        <f>IF($J659="","",INDEX(NKC!$B$7:$B$3006,$J659))</f>
        <v/>
      </c>
      <c r="B659" s="95">
        <f>IF($J659="","",INDEX(NKC!$C$7:$C$3006,$J659))</f>
        <v/>
      </c>
      <c r="C659" s="131">
        <f>IF($J659="","",INDEX(NKC!$D$7:$D$3006,$J659))</f>
        <v/>
      </c>
      <c r="D659" s="97">
        <f>IF($J659="","",INDEX(NKC!$E$7:$E$3006,$J659))</f>
        <v/>
      </c>
      <c r="E659" s="95">
        <f>IF($J659="","",IF(LEFT(INDEX(NKC!$F$7:$F$3006,$J659),LEN($B$5))=$B$5,INDEX(NKC!$G$7:$G$3006,$J659),INDEX(NKC!$F$7:$F$3006,$J659)))</f>
        <v/>
      </c>
      <c r="F659" s="125">
        <f>IF($J659="","",IF(LEFT(INDEX(NKC!$F$7:$F$3006,$J659),LEN($B$5))=$B$5,INDEX(NKC!$H$7:$H$3006,$J659),""))</f>
        <v/>
      </c>
      <c r="G659" s="125">
        <f>IF($J659="","",IF(LEFT(INDEX(NKC!$G$7:$G$3006,$J659),LEN($B$5))=$B$5,INDEX(NKC!$H$7:$H$3006,$J659),""))</f>
        <v/>
      </c>
      <c r="H659" s="132">
        <f>IF($J659="","",H658+N(F659)-N(G659))</f>
        <v/>
      </c>
      <c r="J659" s="117">
        <f>IFERROR(MATCH(652,NKC!$P$7:$P$3006,0),"")</f>
        <v/>
      </c>
    </row>
    <row r="660" ht="15" customHeight="1" s="78">
      <c r="A660" s="131">
        <f>IF($J660="","",INDEX(NKC!$B$7:$B$3006,$J660))</f>
        <v/>
      </c>
      <c r="B660" s="95">
        <f>IF($J660="","",INDEX(NKC!$C$7:$C$3006,$J660))</f>
        <v/>
      </c>
      <c r="C660" s="131">
        <f>IF($J660="","",INDEX(NKC!$D$7:$D$3006,$J660))</f>
        <v/>
      </c>
      <c r="D660" s="97">
        <f>IF($J660="","",INDEX(NKC!$E$7:$E$3006,$J660))</f>
        <v/>
      </c>
      <c r="E660" s="95">
        <f>IF($J660="","",IF(LEFT(INDEX(NKC!$F$7:$F$3006,$J660),LEN($B$5))=$B$5,INDEX(NKC!$G$7:$G$3006,$J660),INDEX(NKC!$F$7:$F$3006,$J660)))</f>
        <v/>
      </c>
      <c r="F660" s="125">
        <f>IF($J660="","",IF(LEFT(INDEX(NKC!$F$7:$F$3006,$J660),LEN($B$5))=$B$5,INDEX(NKC!$H$7:$H$3006,$J660),""))</f>
        <v/>
      </c>
      <c r="G660" s="125">
        <f>IF($J660="","",IF(LEFT(INDEX(NKC!$G$7:$G$3006,$J660),LEN($B$5))=$B$5,INDEX(NKC!$H$7:$H$3006,$J660),""))</f>
        <v/>
      </c>
      <c r="H660" s="132">
        <f>IF($J660="","",H659+N(F660)-N(G660))</f>
        <v/>
      </c>
      <c r="J660" s="117">
        <f>IFERROR(MATCH(653,NKC!$P$7:$P$3006,0),"")</f>
        <v/>
      </c>
    </row>
    <row r="661" ht="15" customHeight="1" s="78">
      <c r="A661" s="131">
        <f>IF($J661="","",INDEX(NKC!$B$7:$B$3006,$J661))</f>
        <v/>
      </c>
      <c r="B661" s="95">
        <f>IF($J661="","",INDEX(NKC!$C$7:$C$3006,$J661))</f>
        <v/>
      </c>
      <c r="C661" s="131">
        <f>IF($J661="","",INDEX(NKC!$D$7:$D$3006,$J661))</f>
        <v/>
      </c>
      <c r="D661" s="97">
        <f>IF($J661="","",INDEX(NKC!$E$7:$E$3006,$J661))</f>
        <v/>
      </c>
      <c r="E661" s="95">
        <f>IF($J661="","",IF(LEFT(INDEX(NKC!$F$7:$F$3006,$J661),LEN($B$5))=$B$5,INDEX(NKC!$G$7:$G$3006,$J661),INDEX(NKC!$F$7:$F$3006,$J661)))</f>
        <v/>
      </c>
      <c r="F661" s="125">
        <f>IF($J661="","",IF(LEFT(INDEX(NKC!$F$7:$F$3006,$J661),LEN($B$5))=$B$5,INDEX(NKC!$H$7:$H$3006,$J661),""))</f>
        <v/>
      </c>
      <c r="G661" s="125">
        <f>IF($J661="","",IF(LEFT(INDEX(NKC!$G$7:$G$3006,$J661),LEN($B$5))=$B$5,INDEX(NKC!$H$7:$H$3006,$J661),""))</f>
        <v/>
      </c>
      <c r="H661" s="132">
        <f>IF($J661="","",H660+N(F661)-N(G661))</f>
        <v/>
      </c>
      <c r="J661" s="117">
        <f>IFERROR(MATCH(654,NKC!$P$7:$P$3006,0),"")</f>
        <v/>
      </c>
    </row>
    <row r="662" ht="15" customHeight="1" s="78">
      <c r="A662" s="131">
        <f>IF($J662="","",INDEX(NKC!$B$7:$B$3006,$J662))</f>
        <v/>
      </c>
      <c r="B662" s="95">
        <f>IF($J662="","",INDEX(NKC!$C$7:$C$3006,$J662))</f>
        <v/>
      </c>
      <c r="C662" s="131">
        <f>IF($J662="","",INDEX(NKC!$D$7:$D$3006,$J662))</f>
        <v/>
      </c>
      <c r="D662" s="97">
        <f>IF($J662="","",INDEX(NKC!$E$7:$E$3006,$J662))</f>
        <v/>
      </c>
      <c r="E662" s="95">
        <f>IF($J662="","",IF(LEFT(INDEX(NKC!$F$7:$F$3006,$J662),LEN($B$5))=$B$5,INDEX(NKC!$G$7:$G$3006,$J662),INDEX(NKC!$F$7:$F$3006,$J662)))</f>
        <v/>
      </c>
      <c r="F662" s="125">
        <f>IF($J662="","",IF(LEFT(INDEX(NKC!$F$7:$F$3006,$J662),LEN($B$5))=$B$5,INDEX(NKC!$H$7:$H$3006,$J662),""))</f>
        <v/>
      </c>
      <c r="G662" s="125">
        <f>IF($J662="","",IF(LEFT(INDEX(NKC!$G$7:$G$3006,$J662),LEN($B$5))=$B$5,INDEX(NKC!$H$7:$H$3006,$J662),""))</f>
        <v/>
      </c>
      <c r="H662" s="132">
        <f>IF($J662="","",H661+N(F662)-N(G662))</f>
        <v/>
      </c>
      <c r="J662" s="117">
        <f>IFERROR(MATCH(655,NKC!$P$7:$P$3006,0),"")</f>
        <v/>
      </c>
    </row>
    <row r="663" ht="15" customHeight="1" s="78">
      <c r="A663" s="131">
        <f>IF($J663="","",INDEX(NKC!$B$7:$B$3006,$J663))</f>
        <v/>
      </c>
      <c r="B663" s="95">
        <f>IF($J663="","",INDEX(NKC!$C$7:$C$3006,$J663))</f>
        <v/>
      </c>
      <c r="C663" s="131">
        <f>IF($J663="","",INDEX(NKC!$D$7:$D$3006,$J663))</f>
        <v/>
      </c>
      <c r="D663" s="97">
        <f>IF($J663="","",INDEX(NKC!$E$7:$E$3006,$J663))</f>
        <v/>
      </c>
      <c r="E663" s="95">
        <f>IF($J663="","",IF(LEFT(INDEX(NKC!$F$7:$F$3006,$J663),LEN($B$5))=$B$5,INDEX(NKC!$G$7:$G$3006,$J663),INDEX(NKC!$F$7:$F$3006,$J663)))</f>
        <v/>
      </c>
      <c r="F663" s="125">
        <f>IF($J663="","",IF(LEFT(INDEX(NKC!$F$7:$F$3006,$J663),LEN($B$5))=$B$5,INDEX(NKC!$H$7:$H$3006,$J663),""))</f>
        <v/>
      </c>
      <c r="G663" s="125">
        <f>IF($J663="","",IF(LEFT(INDEX(NKC!$G$7:$G$3006,$J663),LEN($B$5))=$B$5,INDEX(NKC!$H$7:$H$3006,$J663),""))</f>
        <v/>
      </c>
      <c r="H663" s="132">
        <f>IF($J663="","",H662+N(F663)-N(G663))</f>
        <v/>
      </c>
      <c r="J663" s="117">
        <f>IFERROR(MATCH(656,NKC!$P$7:$P$3006,0),"")</f>
        <v/>
      </c>
    </row>
    <row r="664" ht="15" customHeight="1" s="78">
      <c r="A664" s="131">
        <f>IF($J664="","",INDEX(NKC!$B$7:$B$3006,$J664))</f>
        <v/>
      </c>
      <c r="B664" s="95">
        <f>IF($J664="","",INDEX(NKC!$C$7:$C$3006,$J664))</f>
        <v/>
      </c>
      <c r="C664" s="131">
        <f>IF($J664="","",INDEX(NKC!$D$7:$D$3006,$J664))</f>
        <v/>
      </c>
      <c r="D664" s="97">
        <f>IF($J664="","",INDEX(NKC!$E$7:$E$3006,$J664))</f>
        <v/>
      </c>
      <c r="E664" s="95">
        <f>IF($J664="","",IF(LEFT(INDEX(NKC!$F$7:$F$3006,$J664),LEN($B$5))=$B$5,INDEX(NKC!$G$7:$G$3006,$J664),INDEX(NKC!$F$7:$F$3006,$J664)))</f>
        <v/>
      </c>
      <c r="F664" s="125">
        <f>IF($J664="","",IF(LEFT(INDEX(NKC!$F$7:$F$3006,$J664),LEN($B$5))=$B$5,INDEX(NKC!$H$7:$H$3006,$J664),""))</f>
        <v/>
      </c>
      <c r="G664" s="125">
        <f>IF($J664="","",IF(LEFT(INDEX(NKC!$G$7:$G$3006,$J664),LEN($B$5))=$B$5,INDEX(NKC!$H$7:$H$3006,$J664),""))</f>
        <v/>
      </c>
      <c r="H664" s="132">
        <f>IF($J664="","",H663+N(F664)-N(G664))</f>
        <v/>
      </c>
      <c r="J664" s="117">
        <f>IFERROR(MATCH(657,NKC!$P$7:$P$3006,0),"")</f>
        <v/>
      </c>
    </row>
    <row r="665" ht="15" customHeight="1" s="78">
      <c r="A665" s="131">
        <f>IF($J665="","",INDEX(NKC!$B$7:$B$3006,$J665))</f>
        <v/>
      </c>
      <c r="B665" s="95">
        <f>IF($J665="","",INDEX(NKC!$C$7:$C$3006,$J665))</f>
        <v/>
      </c>
      <c r="C665" s="131">
        <f>IF($J665="","",INDEX(NKC!$D$7:$D$3006,$J665))</f>
        <v/>
      </c>
      <c r="D665" s="97">
        <f>IF($J665="","",INDEX(NKC!$E$7:$E$3006,$J665))</f>
        <v/>
      </c>
      <c r="E665" s="95">
        <f>IF($J665="","",IF(LEFT(INDEX(NKC!$F$7:$F$3006,$J665),LEN($B$5))=$B$5,INDEX(NKC!$G$7:$G$3006,$J665),INDEX(NKC!$F$7:$F$3006,$J665)))</f>
        <v/>
      </c>
      <c r="F665" s="125">
        <f>IF($J665="","",IF(LEFT(INDEX(NKC!$F$7:$F$3006,$J665),LEN($B$5))=$B$5,INDEX(NKC!$H$7:$H$3006,$J665),""))</f>
        <v/>
      </c>
      <c r="G665" s="125">
        <f>IF($J665="","",IF(LEFT(INDEX(NKC!$G$7:$G$3006,$J665),LEN($B$5))=$B$5,INDEX(NKC!$H$7:$H$3006,$J665),""))</f>
        <v/>
      </c>
      <c r="H665" s="132">
        <f>IF($J665="","",H664+N(F665)-N(G665))</f>
        <v/>
      </c>
      <c r="J665" s="117">
        <f>IFERROR(MATCH(658,NKC!$P$7:$P$3006,0),"")</f>
        <v/>
      </c>
    </row>
    <row r="666" ht="15" customHeight="1" s="78">
      <c r="A666" s="131">
        <f>IF($J666="","",INDEX(NKC!$B$7:$B$3006,$J666))</f>
        <v/>
      </c>
      <c r="B666" s="95">
        <f>IF($J666="","",INDEX(NKC!$C$7:$C$3006,$J666))</f>
        <v/>
      </c>
      <c r="C666" s="131">
        <f>IF($J666="","",INDEX(NKC!$D$7:$D$3006,$J666))</f>
        <v/>
      </c>
      <c r="D666" s="97">
        <f>IF($J666="","",INDEX(NKC!$E$7:$E$3006,$J666))</f>
        <v/>
      </c>
      <c r="E666" s="95">
        <f>IF($J666="","",IF(LEFT(INDEX(NKC!$F$7:$F$3006,$J666),LEN($B$5))=$B$5,INDEX(NKC!$G$7:$G$3006,$J666),INDEX(NKC!$F$7:$F$3006,$J666)))</f>
        <v/>
      </c>
      <c r="F666" s="125">
        <f>IF($J666="","",IF(LEFT(INDEX(NKC!$F$7:$F$3006,$J666),LEN($B$5))=$B$5,INDEX(NKC!$H$7:$H$3006,$J666),""))</f>
        <v/>
      </c>
      <c r="G666" s="125">
        <f>IF($J666="","",IF(LEFT(INDEX(NKC!$G$7:$G$3006,$J666),LEN($B$5))=$B$5,INDEX(NKC!$H$7:$H$3006,$J666),""))</f>
        <v/>
      </c>
      <c r="H666" s="132">
        <f>IF($J666="","",H665+N(F666)-N(G666))</f>
        <v/>
      </c>
      <c r="J666" s="117">
        <f>IFERROR(MATCH(659,NKC!$P$7:$P$3006,0),"")</f>
        <v/>
      </c>
    </row>
    <row r="667" ht="15" customHeight="1" s="78">
      <c r="A667" s="131">
        <f>IF($J667="","",INDEX(NKC!$B$7:$B$3006,$J667))</f>
        <v/>
      </c>
      <c r="B667" s="95">
        <f>IF($J667="","",INDEX(NKC!$C$7:$C$3006,$J667))</f>
        <v/>
      </c>
      <c r="C667" s="131">
        <f>IF($J667="","",INDEX(NKC!$D$7:$D$3006,$J667))</f>
        <v/>
      </c>
      <c r="D667" s="97">
        <f>IF($J667="","",INDEX(NKC!$E$7:$E$3006,$J667))</f>
        <v/>
      </c>
      <c r="E667" s="95">
        <f>IF($J667="","",IF(LEFT(INDEX(NKC!$F$7:$F$3006,$J667),LEN($B$5))=$B$5,INDEX(NKC!$G$7:$G$3006,$J667),INDEX(NKC!$F$7:$F$3006,$J667)))</f>
        <v/>
      </c>
      <c r="F667" s="125">
        <f>IF($J667="","",IF(LEFT(INDEX(NKC!$F$7:$F$3006,$J667),LEN($B$5))=$B$5,INDEX(NKC!$H$7:$H$3006,$J667),""))</f>
        <v/>
      </c>
      <c r="G667" s="125">
        <f>IF($J667="","",IF(LEFT(INDEX(NKC!$G$7:$G$3006,$J667),LEN($B$5))=$B$5,INDEX(NKC!$H$7:$H$3006,$J667),""))</f>
        <v/>
      </c>
      <c r="H667" s="132">
        <f>IF($J667="","",H666+N(F667)-N(G667))</f>
        <v/>
      </c>
      <c r="J667" s="117">
        <f>IFERROR(MATCH(660,NKC!$P$7:$P$3006,0),"")</f>
        <v/>
      </c>
    </row>
    <row r="668" ht="15" customHeight="1" s="78">
      <c r="A668" s="131">
        <f>IF($J668="","",INDEX(NKC!$B$7:$B$3006,$J668))</f>
        <v/>
      </c>
      <c r="B668" s="95">
        <f>IF($J668="","",INDEX(NKC!$C$7:$C$3006,$J668))</f>
        <v/>
      </c>
      <c r="C668" s="131">
        <f>IF($J668="","",INDEX(NKC!$D$7:$D$3006,$J668))</f>
        <v/>
      </c>
      <c r="D668" s="97">
        <f>IF($J668="","",INDEX(NKC!$E$7:$E$3006,$J668))</f>
        <v/>
      </c>
      <c r="E668" s="95">
        <f>IF($J668="","",IF(LEFT(INDEX(NKC!$F$7:$F$3006,$J668),LEN($B$5))=$B$5,INDEX(NKC!$G$7:$G$3006,$J668),INDEX(NKC!$F$7:$F$3006,$J668)))</f>
        <v/>
      </c>
      <c r="F668" s="125">
        <f>IF($J668="","",IF(LEFT(INDEX(NKC!$F$7:$F$3006,$J668),LEN($B$5))=$B$5,INDEX(NKC!$H$7:$H$3006,$J668),""))</f>
        <v/>
      </c>
      <c r="G668" s="125">
        <f>IF($J668="","",IF(LEFT(INDEX(NKC!$G$7:$G$3006,$J668),LEN($B$5))=$B$5,INDEX(NKC!$H$7:$H$3006,$J668),""))</f>
        <v/>
      </c>
      <c r="H668" s="132">
        <f>IF($J668="","",H667+N(F668)-N(G668))</f>
        <v/>
      </c>
      <c r="J668" s="117">
        <f>IFERROR(MATCH(661,NKC!$P$7:$P$3006,0),"")</f>
        <v/>
      </c>
    </row>
    <row r="669" ht="15" customHeight="1" s="78">
      <c r="A669" s="131">
        <f>IF($J669="","",INDEX(NKC!$B$7:$B$3006,$J669))</f>
        <v/>
      </c>
      <c r="B669" s="95">
        <f>IF($J669="","",INDEX(NKC!$C$7:$C$3006,$J669))</f>
        <v/>
      </c>
      <c r="C669" s="131">
        <f>IF($J669="","",INDEX(NKC!$D$7:$D$3006,$J669))</f>
        <v/>
      </c>
      <c r="D669" s="97">
        <f>IF($J669="","",INDEX(NKC!$E$7:$E$3006,$J669))</f>
        <v/>
      </c>
      <c r="E669" s="95">
        <f>IF($J669="","",IF(LEFT(INDEX(NKC!$F$7:$F$3006,$J669),LEN($B$5))=$B$5,INDEX(NKC!$G$7:$G$3006,$J669),INDEX(NKC!$F$7:$F$3006,$J669)))</f>
        <v/>
      </c>
      <c r="F669" s="125">
        <f>IF($J669="","",IF(LEFT(INDEX(NKC!$F$7:$F$3006,$J669),LEN($B$5))=$B$5,INDEX(NKC!$H$7:$H$3006,$J669),""))</f>
        <v/>
      </c>
      <c r="G669" s="125">
        <f>IF($J669="","",IF(LEFT(INDEX(NKC!$G$7:$G$3006,$J669),LEN($B$5))=$B$5,INDEX(NKC!$H$7:$H$3006,$J669),""))</f>
        <v/>
      </c>
      <c r="H669" s="132">
        <f>IF($J669="","",H668+N(F669)-N(G669))</f>
        <v/>
      </c>
      <c r="J669" s="117">
        <f>IFERROR(MATCH(662,NKC!$P$7:$P$3006,0),"")</f>
        <v/>
      </c>
    </row>
    <row r="670" ht="15" customHeight="1" s="78">
      <c r="A670" s="131">
        <f>IF($J670="","",INDEX(NKC!$B$7:$B$3006,$J670))</f>
        <v/>
      </c>
      <c r="B670" s="95">
        <f>IF($J670="","",INDEX(NKC!$C$7:$C$3006,$J670))</f>
        <v/>
      </c>
      <c r="C670" s="131">
        <f>IF($J670="","",INDEX(NKC!$D$7:$D$3006,$J670))</f>
        <v/>
      </c>
      <c r="D670" s="97">
        <f>IF($J670="","",INDEX(NKC!$E$7:$E$3006,$J670))</f>
        <v/>
      </c>
      <c r="E670" s="95">
        <f>IF($J670="","",IF(LEFT(INDEX(NKC!$F$7:$F$3006,$J670),LEN($B$5))=$B$5,INDEX(NKC!$G$7:$G$3006,$J670),INDEX(NKC!$F$7:$F$3006,$J670)))</f>
        <v/>
      </c>
      <c r="F670" s="125">
        <f>IF($J670="","",IF(LEFT(INDEX(NKC!$F$7:$F$3006,$J670),LEN($B$5))=$B$5,INDEX(NKC!$H$7:$H$3006,$J670),""))</f>
        <v/>
      </c>
      <c r="G670" s="125">
        <f>IF($J670="","",IF(LEFT(INDEX(NKC!$G$7:$G$3006,$J670),LEN($B$5))=$B$5,INDEX(NKC!$H$7:$H$3006,$J670),""))</f>
        <v/>
      </c>
      <c r="H670" s="132">
        <f>IF($J670="","",H669+N(F670)-N(G670))</f>
        <v/>
      </c>
      <c r="J670" s="117">
        <f>IFERROR(MATCH(663,NKC!$P$7:$P$3006,0),"")</f>
        <v/>
      </c>
    </row>
    <row r="671" ht="15" customHeight="1" s="78">
      <c r="A671" s="131">
        <f>IF($J671="","",INDEX(NKC!$B$7:$B$3006,$J671))</f>
        <v/>
      </c>
      <c r="B671" s="95">
        <f>IF($J671="","",INDEX(NKC!$C$7:$C$3006,$J671))</f>
        <v/>
      </c>
      <c r="C671" s="131">
        <f>IF($J671="","",INDEX(NKC!$D$7:$D$3006,$J671))</f>
        <v/>
      </c>
      <c r="D671" s="97">
        <f>IF($J671="","",INDEX(NKC!$E$7:$E$3006,$J671))</f>
        <v/>
      </c>
      <c r="E671" s="95">
        <f>IF($J671="","",IF(LEFT(INDEX(NKC!$F$7:$F$3006,$J671),LEN($B$5))=$B$5,INDEX(NKC!$G$7:$G$3006,$J671),INDEX(NKC!$F$7:$F$3006,$J671)))</f>
        <v/>
      </c>
      <c r="F671" s="125">
        <f>IF($J671="","",IF(LEFT(INDEX(NKC!$F$7:$F$3006,$J671),LEN($B$5))=$B$5,INDEX(NKC!$H$7:$H$3006,$J671),""))</f>
        <v/>
      </c>
      <c r="G671" s="125">
        <f>IF($J671="","",IF(LEFT(INDEX(NKC!$G$7:$G$3006,$J671),LEN($B$5))=$B$5,INDEX(NKC!$H$7:$H$3006,$J671),""))</f>
        <v/>
      </c>
      <c r="H671" s="132">
        <f>IF($J671="","",H670+N(F671)-N(G671))</f>
        <v/>
      </c>
      <c r="J671" s="117">
        <f>IFERROR(MATCH(664,NKC!$P$7:$P$3006,0),"")</f>
        <v/>
      </c>
    </row>
    <row r="672" ht="15" customHeight="1" s="78">
      <c r="A672" s="131">
        <f>IF($J672="","",INDEX(NKC!$B$7:$B$3006,$J672))</f>
        <v/>
      </c>
      <c r="B672" s="95">
        <f>IF($J672="","",INDEX(NKC!$C$7:$C$3006,$J672))</f>
        <v/>
      </c>
      <c r="C672" s="131">
        <f>IF($J672="","",INDEX(NKC!$D$7:$D$3006,$J672))</f>
        <v/>
      </c>
      <c r="D672" s="97">
        <f>IF($J672="","",INDEX(NKC!$E$7:$E$3006,$J672))</f>
        <v/>
      </c>
      <c r="E672" s="95">
        <f>IF($J672="","",IF(LEFT(INDEX(NKC!$F$7:$F$3006,$J672),LEN($B$5))=$B$5,INDEX(NKC!$G$7:$G$3006,$J672),INDEX(NKC!$F$7:$F$3006,$J672)))</f>
        <v/>
      </c>
      <c r="F672" s="125">
        <f>IF($J672="","",IF(LEFT(INDEX(NKC!$F$7:$F$3006,$J672),LEN($B$5))=$B$5,INDEX(NKC!$H$7:$H$3006,$J672),""))</f>
        <v/>
      </c>
      <c r="G672" s="125">
        <f>IF($J672="","",IF(LEFT(INDEX(NKC!$G$7:$G$3006,$J672),LEN($B$5))=$B$5,INDEX(NKC!$H$7:$H$3006,$J672),""))</f>
        <v/>
      </c>
      <c r="H672" s="132">
        <f>IF($J672="","",H671+N(F672)-N(G672))</f>
        <v/>
      </c>
      <c r="J672" s="117">
        <f>IFERROR(MATCH(665,NKC!$P$7:$P$3006,0),"")</f>
        <v/>
      </c>
    </row>
    <row r="673" ht="15" customHeight="1" s="78">
      <c r="A673" s="131">
        <f>IF($J673="","",INDEX(NKC!$B$7:$B$3006,$J673))</f>
        <v/>
      </c>
      <c r="B673" s="95">
        <f>IF($J673="","",INDEX(NKC!$C$7:$C$3006,$J673))</f>
        <v/>
      </c>
      <c r="C673" s="131">
        <f>IF($J673="","",INDEX(NKC!$D$7:$D$3006,$J673))</f>
        <v/>
      </c>
      <c r="D673" s="97">
        <f>IF($J673="","",INDEX(NKC!$E$7:$E$3006,$J673))</f>
        <v/>
      </c>
      <c r="E673" s="95">
        <f>IF($J673="","",IF(LEFT(INDEX(NKC!$F$7:$F$3006,$J673),LEN($B$5))=$B$5,INDEX(NKC!$G$7:$G$3006,$J673),INDEX(NKC!$F$7:$F$3006,$J673)))</f>
        <v/>
      </c>
      <c r="F673" s="125">
        <f>IF($J673="","",IF(LEFT(INDEX(NKC!$F$7:$F$3006,$J673),LEN($B$5))=$B$5,INDEX(NKC!$H$7:$H$3006,$J673),""))</f>
        <v/>
      </c>
      <c r="G673" s="125">
        <f>IF($J673="","",IF(LEFT(INDEX(NKC!$G$7:$G$3006,$J673),LEN($B$5))=$B$5,INDEX(NKC!$H$7:$H$3006,$J673),""))</f>
        <v/>
      </c>
      <c r="H673" s="132">
        <f>IF($J673="","",H672+N(F673)-N(G673))</f>
        <v/>
      </c>
      <c r="J673" s="117">
        <f>IFERROR(MATCH(666,NKC!$P$7:$P$3006,0),"")</f>
        <v/>
      </c>
    </row>
    <row r="674" ht="15" customHeight="1" s="78">
      <c r="A674" s="131">
        <f>IF($J674="","",INDEX(NKC!$B$7:$B$3006,$J674))</f>
        <v/>
      </c>
      <c r="B674" s="95">
        <f>IF($J674="","",INDEX(NKC!$C$7:$C$3006,$J674))</f>
        <v/>
      </c>
      <c r="C674" s="131">
        <f>IF($J674="","",INDEX(NKC!$D$7:$D$3006,$J674))</f>
        <v/>
      </c>
      <c r="D674" s="97">
        <f>IF($J674="","",INDEX(NKC!$E$7:$E$3006,$J674))</f>
        <v/>
      </c>
      <c r="E674" s="95">
        <f>IF($J674="","",IF(LEFT(INDEX(NKC!$F$7:$F$3006,$J674),LEN($B$5))=$B$5,INDEX(NKC!$G$7:$G$3006,$J674),INDEX(NKC!$F$7:$F$3006,$J674)))</f>
        <v/>
      </c>
      <c r="F674" s="125">
        <f>IF($J674="","",IF(LEFT(INDEX(NKC!$F$7:$F$3006,$J674),LEN($B$5))=$B$5,INDEX(NKC!$H$7:$H$3006,$J674),""))</f>
        <v/>
      </c>
      <c r="G674" s="125">
        <f>IF($J674="","",IF(LEFT(INDEX(NKC!$G$7:$G$3006,$J674),LEN($B$5))=$B$5,INDEX(NKC!$H$7:$H$3006,$J674),""))</f>
        <v/>
      </c>
      <c r="H674" s="132">
        <f>IF($J674="","",H673+N(F674)-N(G674))</f>
        <v/>
      </c>
      <c r="J674" s="117">
        <f>IFERROR(MATCH(667,NKC!$P$7:$P$3006,0),"")</f>
        <v/>
      </c>
    </row>
    <row r="675" ht="15" customHeight="1" s="78">
      <c r="A675" s="131">
        <f>IF($J675="","",INDEX(NKC!$B$7:$B$3006,$J675))</f>
        <v/>
      </c>
      <c r="B675" s="95">
        <f>IF($J675="","",INDEX(NKC!$C$7:$C$3006,$J675))</f>
        <v/>
      </c>
      <c r="C675" s="131">
        <f>IF($J675="","",INDEX(NKC!$D$7:$D$3006,$J675))</f>
        <v/>
      </c>
      <c r="D675" s="97">
        <f>IF($J675="","",INDEX(NKC!$E$7:$E$3006,$J675))</f>
        <v/>
      </c>
      <c r="E675" s="95">
        <f>IF($J675="","",IF(LEFT(INDEX(NKC!$F$7:$F$3006,$J675),LEN($B$5))=$B$5,INDEX(NKC!$G$7:$G$3006,$J675),INDEX(NKC!$F$7:$F$3006,$J675)))</f>
        <v/>
      </c>
      <c r="F675" s="125">
        <f>IF($J675="","",IF(LEFT(INDEX(NKC!$F$7:$F$3006,$J675),LEN($B$5))=$B$5,INDEX(NKC!$H$7:$H$3006,$J675),""))</f>
        <v/>
      </c>
      <c r="G675" s="125">
        <f>IF($J675="","",IF(LEFT(INDEX(NKC!$G$7:$G$3006,$J675),LEN($B$5))=$B$5,INDEX(NKC!$H$7:$H$3006,$J675),""))</f>
        <v/>
      </c>
      <c r="H675" s="132">
        <f>IF($J675="","",H674+N(F675)-N(G675))</f>
        <v/>
      </c>
      <c r="J675" s="117">
        <f>IFERROR(MATCH(668,NKC!$P$7:$P$3006,0),"")</f>
        <v/>
      </c>
    </row>
    <row r="676" ht="15" customHeight="1" s="78">
      <c r="A676" s="131">
        <f>IF($J676="","",INDEX(NKC!$B$7:$B$3006,$J676))</f>
        <v/>
      </c>
      <c r="B676" s="95">
        <f>IF($J676="","",INDEX(NKC!$C$7:$C$3006,$J676))</f>
        <v/>
      </c>
      <c r="C676" s="131">
        <f>IF($J676="","",INDEX(NKC!$D$7:$D$3006,$J676))</f>
        <v/>
      </c>
      <c r="D676" s="97">
        <f>IF($J676="","",INDEX(NKC!$E$7:$E$3006,$J676))</f>
        <v/>
      </c>
      <c r="E676" s="95">
        <f>IF($J676="","",IF(LEFT(INDEX(NKC!$F$7:$F$3006,$J676),LEN($B$5))=$B$5,INDEX(NKC!$G$7:$G$3006,$J676),INDEX(NKC!$F$7:$F$3006,$J676)))</f>
        <v/>
      </c>
      <c r="F676" s="125">
        <f>IF($J676="","",IF(LEFT(INDEX(NKC!$F$7:$F$3006,$J676),LEN($B$5))=$B$5,INDEX(NKC!$H$7:$H$3006,$J676),""))</f>
        <v/>
      </c>
      <c r="G676" s="125">
        <f>IF($J676="","",IF(LEFT(INDEX(NKC!$G$7:$G$3006,$J676),LEN($B$5))=$B$5,INDEX(NKC!$H$7:$H$3006,$J676),""))</f>
        <v/>
      </c>
      <c r="H676" s="132">
        <f>IF($J676="","",H675+N(F676)-N(G676))</f>
        <v/>
      </c>
      <c r="J676" s="117">
        <f>IFERROR(MATCH(669,NKC!$P$7:$P$3006,0),"")</f>
        <v/>
      </c>
    </row>
    <row r="677" ht="15" customHeight="1" s="78">
      <c r="A677" s="131">
        <f>IF($J677="","",INDEX(NKC!$B$7:$B$3006,$J677))</f>
        <v/>
      </c>
      <c r="B677" s="95">
        <f>IF($J677="","",INDEX(NKC!$C$7:$C$3006,$J677))</f>
        <v/>
      </c>
      <c r="C677" s="131">
        <f>IF($J677="","",INDEX(NKC!$D$7:$D$3006,$J677))</f>
        <v/>
      </c>
      <c r="D677" s="97">
        <f>IF($J677="","",INDEX(NKC!$E$7:$E$3006,$J677))</f>
        <v/>
      </c>
      <c r="E677" s="95">
        <f>IF($J677="","",IF(LEFT(INDEX(NKC!$F$7:$F$3006,$J677),LEN($B$5))=$B$5,INDEX(NKC!$G$7:$G$3006,$J677),INDEX(NKC!$F$7:$F$3006,$J677)))</f>
        <v/>
      </c>
      <c r="F677" s="125">
        <f>IF($J677="","",IF(LEFT(INDEX(NKC!$F$7:$F$3006,$J677),LEN($B$5))=$B$5,INDEX(NKC!$H$7:$H$3006,$J677),""))</f>
        <v/>
      </c>
      <c r="G677" s="125">
        <f>IF($J677="","",IF(LEFT(INDEX(NKC!$G$7:$G$3006,$J677),LEN($B$5))=$B$5,INDEX(NKC!$H$7:$H$3006,$J677),""))</f>
        <v/>
      </c>
      <c r="H677" s="132">
        <f>IF($J677="","",H676+N(F677)-N(G677))</f>
        <v/>
      </c>
      <c r="J677" s="117">
        <f>IFERROR(MATCH(670,NKC!$P$7:$P$3006,0),"")</f>
        <v/>
      </c>
    </row>
    <row r="678" ht="15" customHeight="1" s="78">
      <c r="A678" s="131">
        <f>IF($J678="","",INDEX(NKC!$B$7:$B$3006,$J678))</f>
        <v/>
      </c>
      <c r="B678" s="95">
        <f>IF($J678="","",INDEX(NKC!$C$7:$C$3006,$J678))</f>
        <v/>
      </c>
      <c r="C678" s="131">
        <f>IF($J678="","",INDEX(NKC!$D$7:$D$3006,$J678))</f>
        <v/>
      </c>
      <c r="D678" s="97">
        <f>IF($J678="","",INDEX(NKC!$E$7:$E$3006,$J678))</f>
        <v/>
      </c>
      <c r="E678" s="95">
        <f>IF($J678="","",IF(LEFT(INDEX(NKC!$F$7:$F$3006,$J678),LEN($B$5))=$B$5,INDEX(NKC!$G$7:$G$3006,$J678),INDEX(NKC!$F$7:$F$3006,$J678)))</f>
        <v/>
      </c>
      <c r="F678" s="125">
        <f>IF($J678="","",IF(LEFT(INDEX(NKC!$F$7:$F$3006,$J678),LEN($B$5))=$B$5,INDEX(NKC!$H$7:$H$3006,$J678),""))</f>
        <v/>
      </c>
      <c r="G678" s="125">
        <f>IF($J678="","",IF(LEFT(INDEX(NKC!$G$7:$G$3006,$J678),LEN($B$5))=$B$5,INDEX(NKC!$H$7:$H$3006,$J678),""))</f>
        <v/>
      </c>
      <c r="H678" s="132">
        <f>IF($J678="","",H677+N(F678)-N(G678))</f>
        <v/>
      </c>
      <c r="J678" s="117">
        <f>IFERROR(MATCH(671,NKC!$P$7:$P$3006,0),"")</f>
        <v/>
      </c>
    </row>
    <row r="679" ht="15" customHeight="1" s="78">
      <c r="A679" s="131">
        <f>IF($J679="","",INDEX(NKC!$B$7:$B$3006,$J679))</f>
        <v/>
      </c>
      <c r="B679" s="95">
        <f>IF($J679="","",INDEX(NKC!$C$7:$C$3006,$J679))</f>
        <v/>
      </c>
      <c r="C679" s="131">
        <f>IF($J679="","",INDEX(NKC!$D$7:$D$3006,$J679))</f>
        <v/>
      </c>
      <c r="D679" s="97">
        <f>IF($J679="","",INDEX(NKC!$E$7:$E$3006,$J679))</f>
        <v/>
      </c>
      <c r="E679" s="95">
        <f>IF($J679="","",IF(LEFT(INDEX(NKC!$F$7:$F$3006,$J679),LEN($B$5))=$B$5,INDEX(NKC!$G$7:$G$3006,$J679),INDEX(NKC!$F$7:$F$3006,$J679)))</f>
        <v/>
      </c>
      <c r="F679" s="125">
        <f>IF($J679="","",IF(LEFT(INDEX(NKC!$F$7:$F$3006,$J679),LEN($B$5))=$B$5,INDEX(NKC!$H$7:$H$3006,$J679),""))</f>
        <v/>
      </c>
      <c r="G679" s="125">
        <f>IF($J679="","",IF(LEFT(INDEX(NKC!$G$7:$G$3006,$J679),LEN($B$5))=$B$5,INDEX(NKC!$H$7:$H$3006,$J679),""))</f>
        <v/>
      </c>
      <c r="H679" s="132">
        <f>IF($J679="","",H678+N(F679)-N(G679))</f>
        <v/>
      </c>
      <c r="J679" s="117">
        <f>IFERROR(MATCH(672,NKC!$P$7:$P$3006,0),"")</f>
        <v/>
      </c>
    </row>
    <row r="680" ht="15" customHeight="1" s="78">
      <c r="A680" s="131">
        <f>IF($J680="","",INDEX(NKC!$B$7:$B$3006,$J680))</f>
        <v/>
      </c>
      <c r="B680" s="95">
        <f>IF($J680="","",INDEX(NKC!$C$7:$C$3006,$J680))</f>
        <v/>
      </c>
      <c r="C680" s="131">
        <f>IF($J680="","",INDEX(NKC!$D$7:$D$3006,$J680))</f>
        <v/>
      </c>
      <c r="D680" s="97">
        <f>IF($J680="","",INDEX(NKC!$E$7:$E$3006,$J680))</f>
        <v/>
      </c>
      <c r="E680" s="95">
        <f>IF($J680="","",IF(LEFT(INDEX(NKC!$F$7:$F$3006,$J680),LEN($B$5))=$B$5,INDEX(NKC!$G$7:$G$3006,$J680),INDEX(NKC!$F$7:$F$3006,$J680)))</f>
        <v/>
      </c>
      <c r="F680" s="125">
        <f>IF($J680="","",IF(LEFT(INDEX(NKC!$F$7:$F$3006,$J680),LEN($B$5))=$B$5,INDEX(NKC!$H$7:$H$3006,$J680),""))</f>
        <v/>
      </c>
      <c r="G680" s="125">
        <f>IF($J680="","",IF(LEFT(INDEX(NKC!$G$7:$G$3006,$J680),LEN($B$5))=$B$5,INDEX(NKC!$H$7:$H$3006,$J680),""))</f>
        <v/>
      </c>
      <c r="H680" s="132">
        <f>IF($J680="","",H679+N(F680)-N(G680))</f>
        <v/>
      </c>
      <c r="J680" s="117">
        <f>IFERROR(MATCH(673,NKC!$P$7:$P$3006,0),"")</f>
        <v/>
      </c>
    </row>
    <row r="681" ht="15" customHeight="1" s="78">
      <c r="A681" s="131">
        <f>IF($J681="","",INDEX(NKC!$B$7:$B$3006,$J681))</f>
        <v/>
      </c>
      <c r="B681" s="95">
        <f>IF($J681="","",INDEX(NKC!$C$7:$C$3006,$J681))</f>
        <v/>
      </c>
      <c r="C681" s="131">
        <f>IF($J681="","",INDEX(NKC!$D$7:$D$3006,$J681))</f>
        <v/>
      </c>
      <c r="D681" s="97">
        <f>IF($J681="","",INDEX(NKC!$E$7:$E$3006,$J681))</f>
        <v/>
      </c>
      <c r="E681" s="95">
        <f>IF($J681="","",IF(LEFT(INDEX(NKC!$F$7:$F$3006,$J681),LEN($B$5))=$B$5,INDEX(NKC!$G$7:$G$3006,$J681),INDEX(NKC!$F$7:$F$3006,$J681)))</f>
        <v/>
      </c>
      <c r="F681" s="125">
        <f>IF($J681="","",IF(LEFT(INDEX(NKC!$F$7:$F$3006,$J681),LEN($B$5))=$B$5,INDEX(NKC!$H$7:$H$3006,$J681),""))</f>
        <v/>
      </c>
      <c r="G681" s="125">
        <f>IF($J681="","",IF(LEFT(INDEX(NKC!$G$7:$G$3006,$J681),LEN($B$5))=$B$5,INDEX(NKC!$H$7:$H$3006,$J681),""))</f>
        <v/>
      </c>
      <c r="H681" s="132">
        <f>IF($J681="","",H680+N(F681)-N(G681))</f>
        <v/>
      </c>
      <c r="J681" s="117">
        <f>IFERROR(MATCH(674,NKC!$P$7:$P$3006,0),"")</f>
        <v/>
      </c>
    </row>
    <row r="682" ht="15" customHeight="1" s="78">
      <c r="A682" s="131">
        <f>IF($J682="","",INDEX(NKC!$B$7:$B$3006,$J682))</f>
        <v/>
      </c>
      <c r="B682" s="95">
        <f>IF($J682="","",INDEX(NKC!$C$7:$C$3006,$J682))</f>
        <v/>
      </c>
      <c r="C682" s="131">
        <f>IF($J682="","",INDEX(NKC!$D$7:$D$3006,$J682))</f>
        <v/>
      </c>
      <c r="D682" s="97">
        <f>IF($J682="","",INDEX(NKC!$E$7:$E$3006,$J682))</f>
        <v/>
      </c>
      <c r="E682" s="95">
        <f>IF($J682="","",IF(LEFT(INDEX(NKC!$F$7:$F$3006,$J682),LEN($B$5))=$B$5,INDEX(NKC!$G$7:$G$3006,$J682),INDEX(NKC!$F$7:$F$3006,$J682)))</f>
        <v/>
      </c>
      <c r="F682" s="125">
        <f>IF($J682="","",IF(LEFT(INDEX(NKC!$F$7:$F$3006,$J682),LEN($B$5))=$B$5,INDEX(NKC!$H$7:$H$3006,$J682),""))</f>
        <v/>
      </c>
      <c r="G682" s="125">
        <f>IF($J682="","",IF(LEFT(INDEX(NKC!$G$7:$G$3006,$J682),LEN($B$5))=$B$5,INDEX(NKC!$H$7:$H$3006,$J682),""))</f>
        <v/>
      </c>
      <c r="H682" s="132">
        <f>IF($J682="","",H681+N(F682)-N(G682))</f>
        <v/>
      </c>
      <c r="J682" s="117">
        <f>IFERROR(MATCH(675,NKC!$P$7:$P$3006,0),"")</f>
        <v/>
      </c>
    </row>
    <row r="683" ht="15" customHeight="1" s="78">
      <c r="A683" s="131">
        <f>IF($J683="","",INDEX(NKC!$B$7:$B$3006,$J683))</f>
        <v/>
      </c>
      <c r="B683" s="95">
        <f>IF($J683="","",INDEX(NKC!$C$7:$C$3006,$J683))</f>
        <v/>
      </c>
      <c r="C683" s="131">
        <f>IF($J683="","",INDEX(NKC!$D$7:$D$3006,$J683))</f>
        <v/>
      </c>
      <c r="D683" s="97">
        <f>IF($J683="","",INDEX(NKC!$E$7:$E$3006,$J683))</f>
        <v/>
      </c>
      <c r="E683" s="95">
        <f>IF($J683="","",IF(LEFT(INDEX(NKC!$F$7:$F$3006,$J683),LEN($B$5))=$B$5,INDEX(NKC!$G$7:$G$3006,$J683),INDEX(NKC!$F$7:$F$3006,$J683)))</f>
        <v/>
      </c>
      <c r="F683" s="125">
        <f>IF($J683="","",IF(LEFT(INDEX(NKC!$F$7:$F$3006,$J683),LEN($B$5))=$B$5,INDEX(NKC!$H$7:$H$3006,$J683),""))</f>
        <v/>
      </c>
      <c r="G683" s="125">
        <f>IF($J683="","",IF(LEFT(INDEX(NKC!$G$7:$G$3006,$J683),LEN($B$5))=$B$5,INDEX(NKC!$H$7:$H$3006,$J683),""))</f>
        <v/>
      </c>
      <c r="H683" s="132">
        <f>IF($J683="","",H682+N(F683)-N(G683))</f>
        <v/>
      </c>
      <c r="J683" s="117">
        <f>IFERROR(MATCH(676,NKC!$P$7:$P$3006,0),"")</f>
        <v/>
      </c>
    </row>
    <row r="684" ht="15" customHeight="1" s="78">
      <c r="A684" s="131">
        <f>IF($J684="","",INDEX(NKC!$B$7:$B$3006,$J684))</f>
        <v/>
      </c>
      <c r="B684" s="95">
        <f>IF($J684="","",INDEX(NKC!$C$7:$C$3006,$J684))</f>
        <v/>
      </c>
      <c r="C684" s="131">
        <f>IF($J684="","",INDEX(NKC!$D$7:$D$3006,$J684))</f>
        <v/>
      </c>
      <c r="D684" s="97">
        <f>IF($J684="","",INDEX(NKC!$E$7:$E$3006,$J684))</f>
        <v/>
      </c>
      <c r="E684" s="95">
        <f>IF($J684="","",IF(LEFT(INDEX(NKC!$F$7:$F$3006,$J684),LEN($B$5))=$B$5,INDEX(NKC!$G$7:$G$3006,$J684),INDEX(NKC!$F$7:$F$3006,$J684)))</f>
        <v/>
      </c>
      <c r="F684" s="125">
        <f>IF($J684="","",IF(LEFT(INDEX(NKC!$F$7:$F$3006,$J684),LEN($B$5))=$B$5,INDEX(NKC!$H$7:$H$3006,$J684),""))</f>
        <v/>
      </c>
      <c r="G684" s="125">
        <f>IF($J684="","",IF(LEFT(INDEX(NKC!$G$7:$G$3006,$J684),LEN($B$5))=$B$5,INDEX(NKC!$H$7:$H$3006,$J684),""))</f>
        <v/>
      </c>
      <c r="H684" s="132">
        <f>IF($J684="","",H683+N(F684)-N(G684))</f>
        <v/>
      </c>
      <c r="J684" s="117">
        <f>IFERROR(MATCH(677,NKC!$P$7:$P$3006,0),"")</f>
        <v/>
      </c>
    </row>
    <row r="685" ht="15" customHeight="1" s="78">
      <c r="A685" s="131">
        <f>IF($J685="","",INDEX(NKC!$B$7:$B$3006,$J685))</f>
        <v/>
      </c>
      <c r="B685" s="95">
        <f>IF($J685="","",INDEX(NKC!$C$7:$C$3006,$J685))</f>
        <v/>
      </c>
      <c r="C685" s="131">
        <f>IF($J685="","",INDEX(NKC!$D$7:$D$3006,$J685))</f>
        <v/>
      </c>
      <c r="D685" s="97">
        <f>IF($J685="","",INDEX(NKC!$E$7:$E$3006,$J685))</f>
        <v/>
      </c>
      <c r="E685" s="95">
        <f>IF($J685="","",IF(LEFT(INDEX(NKC!$F$7:$F$3006,$J685),LEN($B$5))=$B$5,INDEX(NKC!$G$7:$G$3006,$J685),INDEX(NKC!$F$7:$F$3006,$J685)))</f>
        <v/>
      </c>
      <c r="F685" s="125">
        <f>IF($J685="","",IF(LEFT(INDEX(NKC!$F$7:$F$3006,$J685),LEN($B$5))=$B$5,INDEX(NKC!$H$7:$H$3006,$J685),""))</f>
        <v/>
      </c>
      <c r="G685" s="125">
        <f>IF($J685="","",IF(LEFT(INDEX(NKC!$G$7:$G$3006,$J685),LEN($B$5))=$B$5,INDEX(NKC!$H$7:$H$3006,$J685),""))</f>
        <v/>
      </c>
      <c r="H685" s="132">
        <f>IF($J685="","",H684+N(F685)-N(G685))</f>
        <v/>
      </c>
      <c r="J685" s="117">
        <f>IFERROR(MATCH(678,NKC!$P$7:$P$3006,0),"")</f>
        <v/>
      </c>
    </row>
    <row r="686" ht="15" customHeight="1" s="78">
      <c r="A686" s="131">
        <f>IF($J686="","",INDEX(NKC!$B$7:$B$3006,$J686))</f>
        <v/>
      </c>
      <c r="B686" s="95">
        <f>IF($J686="","",INDEX(NKC!$C$7:$C$3006,$J686))</f>
        <v/>
      </c>
      <c r="C686" s="131">
        <f>IF($J686="","",INDEX(NKC!$D$7:$D$3006,$J686))</f>
        <v/>
      </c>
      <c r="D686" s="97">
        <f>IF($J686="","",INDEX(NKC!$E$7:$E$3006,$J686))</f>
        <v/>
      </c>
      <c r="E686" s="95">
        <f>IF($J686="","",IF(LEFT(INDEX(NKC!$F$7:$F$3006,$J686),LEN($B$5))=$B$5,INDEX(NKC!$G$7:$G$3006,$J686),INDEX(NKC!$F$7:$F$3006,$J686)))</f>
        <v/>
      </c>
      <c r="F686" s="125">
        <f>IF($J686="","",IF(LEFT(INDEX(NKC!$F$7:$F$3006,$J686),LEN($B$5))=$B$5,INDEX(NKC!$H$7:$H$3006,$J686),""))</f>
        <v/>
      </c>
      <c r="G686" s="125">
        <f>IF($J686="","",IF(LEFT(INDEX(NKC!$G$7:$G$3006,$J686),LEN($B$5))=$B$5,INDEX(NKC!$H$7:$H$3006,$J686),""))</f>
        <v/>
      </c>
      <c r="H686" s="132">
        <f>IF($J686="","",H685+N(F686)-N(G686))</f>
        <v/>
      </c>
      <c r="J686" s="117">
        <f>IFERROR(MATCH(679,NKC!$P$7:$P$3006,0),"")</f>
        <v/>
      </c>
    </row>
    <row r="687" ht="15" customHeight="1" s="78">
      <c r="A687" s="131">
        <f>IF($J687="","",INDEX(NKC!$B$7:$B$3006,$J687))</f>
        <v/>
      </c>
      <c r="B687" s="95">
        <f>IF($J687="","",INDEX(NKC!$C$7:$C$3006,$J687))</f>
        <v/>
      </c>
      <c r="C687" s="131">
        <f>IF($J687="","",INDEX(NKC!$D$7:$D$3006,$J687))</f>
        <v/>
      </c>
      <c r="D687" s="97">
        <f>IF($J687="","",INDEX(NKC!$E$7:$E$3006,$J687))</f>
        <v/>
      </c>
      <c r="E687" s="95">
        <f>IF($J687="","",IF(LEFT(INDEX(NKC!$F$7:$F$3006,$J687),LEN($B$5))=$B$5,INDEX(NKC!$G$7:$G$3006,$J687),INDEX(NKC!$F$7:$F$3006,$J687)))</f>
        <v/>
      </c>
      <c r="F687" s="125">
        <f>IF($J687="","",IF(LEFT(INDEX(NKC!$F$7:$F$3006,$J687),LEN($B$5))=$B$5,INDEX(NKC!$H$7:$H$3006,$J687),""))</f>
        <v/>
      </c>
      <c r="G687" s="125">
        <f>IF($J687="","",IF(LEFT(INDEX(NKC!$G$7:$G$3006,$J687),LEN($B$5))=$B$5,INDEX(NKC!$H$7:$H$3006,$J687),""))</f>
        <v/>
      </c>
      <c r="H687" s="132">
        <f>IF($J687="","",H686+N(F687)-N(G687))</f>
        <v/>
      </c>
      <c r="J687" s="117">
        <f>IFERROR(MATCH(680,NKC!$P$7:$P$3006,0),"")</f>
        <v/>
      </c>
    </row>
    <row r="688" ht="15" customHeight="1" s="78">
      <c r="A688" s="131">
        <f>IF($J688="","",INDEX(NKC!$B$7:$B$3006,$J688))</f>
        <v/>
      </c>
      <c r="B688" s="95">
        <f>IF($J688="","",INDEX(NKC!$C$7:$C$3006,$J688))</f>
        <v/>
      </c>
      <c r="C688" s="131">
        <f>IF($J688="","",INDEX(NKC!$D$7:$D$3006,$J688))</f>
        <v/>
      </c>
      <c r="D688" s="97">
        <f>IF($J688="","",INDEX(NKC!$E$7:$E$3006,$J688))</f>
        <v/>
      </c>
      <c r="E688" s="95">
        <f>IF($J688="","",IF(LEFT(INDEX(NKC!$F$7:$F$3006,$J688),LEN($B$5))=$B$5,INDEX(NKC!$G$7:$G$3006,$J688),INDEX(NKC!$F$7:$F$3006,$J688)))</f>
        <v/>
      </c>
      <c r="F688" s="125">
        <f>IF($J688="","",IF(LEFT(INDEX(NKC!$F$7:$F$3006,$J688),LEN($B$5))=$B$5,INDEX(NKC!$H$7:$H$3006,$J688),""))</f>
        <v/>
      </c>
      <c r="G688" s="125">
        <f>IF($J688="","",IF(LEFT(INDEX(NKC!$G$7:$G$3006,$J688),LEN($B$5))=$B$5,INDEX(NKC!$H$7:$H$3006,$J688),""))</f>
        <v/>
      </c>
      <c r="H688" s="132">
        <f>IF($J688="","",H687+N(F688)-N(G688))</f>
        <v/>
      </c>
      <c r="J688" s="117">
        <f>IFERROR(MATCH(681,NKC!$P$7:$P$3006,0),"")</f>
        <v/>
      </c>
    </row>
    <row r="689" ht="15" customHeight="1" s="78">
      <c r="A689" s="131">
        <f>IF($J689="","",INDEX(NKC!$B$7:$B$3006,$J689))</f>
        <v/>
      </c>
      <c r="B689" s="95">
        <f>IF($J689="","",INDEX(NKC!$C$7:$C$3006,$J689))</f>
        <v/>
      </c>
      <c r="C689" s="131">
        <f>IF($J689="","",INDEX(NKC!$D$7:$D$3006,$J689))</f>
        <v/>
      </c>
      <c r="D689" s="97">
        <f>IF($J689="","",INDEX(NKC!$E$7:$E$3006,$J689))</f>
        <v/>
      </c>
      <c r="E689" s="95">
        <f>IF($J689="","",IF(LEFT(INDEX(NKC!$F$7:$F$3006,$J689),LEN($B$5))=$B$5,INDEX(NKC!$G$7:$G$3006,$J689),INDEX(NKC!$F$7:$F$3006,$J689)))</f>
        <v/>
      </c>
      <c r="F689" s="125">
        <f>IF($J689="","",IF(LEFT(INDEX(NKC!$F$7:$F$3006,$J689),LEN($B$5))=$B$5,INDEX(NKC!$H$7:$H$3006,$J689),""))</f>
        <v/>
      </c>
      <c r="G689" s="125">
        <f>IF($J689="","",IF(LEFT(INDEX(NKC!$G$7:$G$3006,$J689),LEN($B$5))=$B$5,INDEX(NKC!$H$7:$H$3006,$J689),""))</f>
        <v/>
      </c>
      <c r="H689" s="132">
        <f>IF($J689="","",H688+N(F689)-N(G689))</f>
        <v/>
      </c>
      <c r="J689" s="117">
        <f>IFERROR(MATCH(682,NKC!$P$7:$P$3006,0),"")</f>
        <v/>
      </c>
    </row>
    <row r="690" ht="15" customHeight="1" s="78">
      <c r="A690" s="131">
        <f>IF($J690="","",INDEX(NKC!$B$7:$B$3006,$J690))</f>
        <v/>
      </c>
      <c r="B690" s="95">
        <f>IF($J690="","",INDEX(NKC!$C$7:$C$3006,$J690))</f>
        <v/>
      </c>
      <c r="C690" s="131">
        <f>IF($J690="","",INDEX(NKC!$D$7:$D$3006,$J690))</f>
        <v/>
      </c>
      <c r="D690" s="97">
        <f>IF($J690="","",INDEX(NKC!$E$7:$E$3006,$J690))</f>
        <v/>
      </c>
      <c r="E690" s="95">
        <f>IF($J690="","",IF(LEFT(INDEX(NKC!$F$7:$F$3006,$J690),LEN($B$5))=$B$5,INDEX(NKC!$G$7:$G$3006,$J690),INDEX(NKC!$F$7:$F$3006,$J690)))</f>
        <v/>
      </c>
      <c r="F690" s="125">
        <f>IF($J690="","",IF(LEFT(INDEX(NKC!$F$7:$F$3006,$J690),LEN($B$5))=$B$5,INDEX(NKC!$H$7:$H$3006,$J690),""))</f>
        <v/>
      </c>
      <c r="G690" s="125">
        <f>IF($J690="","",IF(LEFT(INDEX(NKC!$G$7:$G$3006,$J690),LEN($B$5))=$B$5,INDEX(NKC!$H$7:$H$3006,$J690),""))</f>
        <v/>
      </c>
      <c r="H690" s="132">
        <f>IF($J690="","",H689+N(F690)-N(G690))</f>
        <v/>
      </c>
      <c r="J690" s="117">
        <f>IFERROR(MATCH(683,NKC!$P$7:$P$3006,0),"")</f>
        <v/>
      </c>
    </row>
    <row r="691" ht="15" customHeight="1" s="78">
      <c r="A691" s="131">
        <f>IF($J691="","",INDEX(NKC!$B$7:$B$3006,$J691))</f>
        <v/>
      </c>
      <c r="B691" s="95">
        <f>IF($J691="","",INDEX(NKC!$C$7:$C$3006,$J691))</f>
        <v/>
      </c>
      <c r="C691" s="131">
        <f>IF($J691="","",INDEX(NKC!$D$7:$D$3006,$J691))</f>
        <v/>
      </c>
      <c r="D691" s="97">
        <f>IF($J691="","",INDEX(NKC!$E$7:$E$3006,$J691))</f>
        <v/>
      </c>
      <c r="E691" s="95">
        <f>IF($J691="","",IF(LEFT(INDEX(NKC!$F$7:$F$3006,$J691),LEN($B$5))=$B$5,INDEX(NKC!$G$7:$G$3006,$J691),INDEX(NKC!$F$7:$F$3006,$J691)))</f>
        <v/>
      </c>
      <c r="F691" s="125">
        <f>IF($J691="","",IF(LEFT(INDEX(NKC!$F$7:$F$3006,$J691),LEN($B$5))=$B$5,INDEX(NKC!$H$7:$H$3006,$J691),""))</f>
        <v/>
      </c>
      <c r="G691" s="125">
        <f>IF($J691="","",IF(LEFT(INDEX(NKC!$G$7:$G$3006,$J691),LEN($B$5))=$B$5,INDEX(NKC!$H$7:$H$3006,$J691),""))</f>
        <v/>
      </c>
      <c r="H691" s="132">
        <f>IF($J691="","",H690+N(F691)-N(G691))</f>
        <v/>
      </c>
      <c r="J691" s="117">
        <f>IFERROR(MATCH(684,NKC!$P$7:$P$3006,0),"")</f>
        <v/>
      </c>
    </row>
    <row r="692" ht="15" customHeight="1" s="78">
      <c r="A692" s="131">
        <f>IF($J692="","",INDEX(NKC!$B$7:$B$3006,$J692))</f>
        <v/>
      </c>
      <c r="B692" s="95">
        <f>IF($J692="","",INDEX(NKC!$C$7:$C$3006,$J692))</f>
        <v/>
      </c>
      <c r="C692" s="131">
        <f>IF($J692="","",INDEX(NKC!$D$7:$D$3006,$J692))</f>
        <v/>
      </c>
      <c r="D692" s="97">
        <f>IF($J692="","",INDEX(NKC!$E$7:$E$3006,$J692))</f>
        <v/>
      </c>
      <c r="E692" s="95">
        <f>IF($J692="","",IF(LEFT(INDEX(NKC!$F$7:$F$3006,$J692),LEN($B$5))=$B$5,INDEX(NKC!$G$7:$G$3006,$J692),INDEX(NKC!$F$7:$F$3006,$J692)))</f>
        <v/>
      </c>
      <c r="F692" s="125">
        <f>IF($J692="","",IF(LEFT(INDEX(NKC!$F$7:$F$3006,$J692),LEN($B$5))=$B$5,INDEX(NKC!$H$7:$H$3006,$J692),""))</f>
        <v/>
      </c>
      <c r="G692" s="125">
        <f>IF($J692="","",IF(LEFT(INDEX(NKC!$G$7:$G$3006,$J692),LEN($B$5))=$B$5,INDEX(NKC!$H$7:$H$3006,$J692),""))</f>
        <v/>
      </c>
      <c r="H692" s="132">
        <f>IF($J692="","",H691+N(F692)-N(G692))</f>
        <v/>
      </c>
      <c r="J692" s="117">
        <f>IFERROR(MATCH(685,NKC!$P$7:$P$3006,0),"")</f>
        <v/>
      </c>
    </row>
    <row r="693" ht="15" customHeight="1" s="78">
      <c r="A693" s="131">
        <f>IF($J693="","",INDEX(NKC!$B$7:$B$3006,$J693))</f>
        <v/>
      </c>
      <c r="B693" s="95">
        <f>IF($J693="","",INDEX(NKC!$C$7:$C$3006,$J693))</f>
        <v/>
      </c>
      <c r="C693" s="131">
        <f>IF($J693="","",INDEX(NKC!$D$7:$D$3006,$J693))</f>
        <v/>
      </c>
      <c r="D693" s="97">
        <f>IF($J693="","",INDEX(NKC!$E$7:$E$3006,$J693))</f>
        <v/>
      </c>
      <c r="E693" s="95">
        <f>IF($J693="","",IF(LEFT(INDEX(NKC!$F$7:$F$3006,$J693),LEN($B$5))=$B$5,INDEX(NKC!$G$7:$G$3006,$J693),INDEX(NKC!$F$7:$F$3006,$J693)))</f>
        <v/>
      </c>
      <c r="F693" s="125">
        <f>IF($J693="","",IF(LEFT(INDEX(NKC!$F$7:$F$3006,$J693),LEN($B$5))=$B$5,INDEX(NKC!$H$7:$H$3006,$J693),""))</f>
        <v/>
      </c>
      <c r="G693" s="125">
        <f>IF($J693="","",IF(LEFT(INDEX(NKC!$G$7:$G$3006,$J693),LEN($B$5))=$B$5,INDEX(NKC!$H$7:$H$3006,$J693),""))</f>
        <v/>
      </c>
      <c r="H693" s="132">
        <f>IF($J693="","",H692+N(F693)-N(G693))</f>
        <v/>
      </c>
      <c r="J693" s="117">
        <f>IFERROR(MATCH(686,NKC!$P$7:$P$3006,0),"")</f>
        <v/>
      </c>
    </row>
    <row r="694" ht="15" customHeight="1" s="78">
      <c r="A694" s="131">
        <f>IF($J694="","",INDEX(NKC!$B$7:$B$3006,$J694))</f>
        <v/>
      </c>
      <c r="B694" s="95">
        <f>IF($J694="","",INDEX(NKC!$C$7:$C$3006,$J694))</f>
        <v/>
      </c>
      <c r="C694" s="131">
        <f>IF($J694="","",INDEX(NKC!$D$7:$D$3006,$J694))</f>
        <v/>
      </c>
      <c r="D694" s="97">
        <f>IF($J694="","",INDEX(NKC!$E$7:$E$3006,$J694))</f>
        <v/>
      </c>
      <c r="E694" s="95">
        <f>IF($J694="","",IF(LEFT(INDEX(NKC!$F$7:$F$3006,$J694),LEN($B$5))=$B$5,INDEX(NKC!$G$7:$G$3006,$J694),INDEX(NKC!$F$7:$F$3006,$J694)))</f>
        <v/>
      </c>
      <c r="F694" s="125">
        <f>IF($J694="","",IF(LEFT(INDEX(NKC!$F$7:$F$3006,$J694),LEN($B$5))=$B$5,INDEX(NKC!$H$7:$H$3006,$J694),""))</f>
        <v/>
      </c>
      <c r="G694" s="125">
        <f>IF($J694="","",IF(LEFT(INDEX(NKC!$G$7:$G$3006,$J694),LEN($B$5))=$B$5,INDEX(NKC!$H$7:$H$3006,$J694),""))</f>
        <v/>
      </c>
      <c r="H694" s="132">
        <f>IF($J694="","",H693+N(F694)-N(G694))</f>
        <v/>
      </c>
      <c r="J694" s="117">
        <f>IFERROR(MATCH(687,NKC!$P$7:$P$3006,0),"")</f>
        <v/>
      </c>
    </row>
    <row r="695" ht="15" customHeight="1" s="78">
      <c r="A695" s="131">
        <f>IF($J695="","",INDEX(NKC!$B$7:$B$3006,$J695))</f>
        <v/>
      </c>
      <c r="B695" s="95">
        <f>IF($J695="","",INDEX(NKC!$C$7:$C$3006,$J695))</f>
        <v/>
      </c>
      <c r="C695" s="131">
        <f>IF($J695="","",INDEX(NKC!$D$7:$D$3006,$J695))</f>
        <v/>
      </c>
      <c r="D695" s="97">
        <f>IF($J695="","",INDEX(NKC!$E$7:$E$3006,$J695))</f>
        <v/>
      </c>
      <c r="E695" s="95">
        <f>IF($J695="","",IF(LEFT(INDEX(NKC!$F$7:$F$3006,$J695),LEN($B$5))=$B$5,INDEX(NKC!$G$7:$G$3006,$J695),INDEX(NKC!$F$7:$F$3006,$J695)))</f>
        <v/>
      </c>
      <c r="F695" s="125">
        <f>IF($J695="","",IF(LEFT(INDEX(NKC!$F$7:$F$3006,$J695),LEN($B$5))=$B$5,INDEX(NKC!$H$7:$H$3006,$J695),""))</f>
        <v/>
      </c>
      <c r="G695" s="125">
        <f>IF($J695="","",IF(LEFT(INDEX(NKC!$G$7:$G$3006,$J695),LEN($B$5))=$B$5,INDEX(NKC!$H$7:$H$3006,$J695),""))</f>
        <v/>
      </c>
      <c r="H695" s="132">
        <f>IF($J695="","",H694+N(F695)-N(G695))</f>
        <v/>
      </c>
      <c r="J695" s="117">
        <f>IFERROR(MATCH(688,NKC!$P$7:$P$3006,0),"")</f>
        <v/>
      </c>
    </row>
    <row r="696" ht="15" customHeight="1" s="78">
      <c r="A696" s="131">
        <f>IF($J696="","",INDEX(NKC!$B$7:$B$3006,$J696))</f>
        <v/>
      </c>
      <c r="B696" s="95">
        <f>IF($J696="","",INDEX(NKC!$C$7:$C$3006,$J696))</f>
        <v/>
      </c>
      <c r="C696" s="131">
        <f>IF($J696="","",INDEX(NKC!$D$7:$D$3006,$J696))</f>
        <v/>
      </c>
      <c r="D696" s="97">
        <f>IF($J696="","",INDEX(NKC!$E$7:$E$3006,$J696))</f>
        <v/>
      </c>
      <c r="E696" s="95">
        <f>IF($J696="","",IF(LEFT(INDEX(NKC!$F$7:$F$3006,$J696),LEN($B$5))=$B$5,INDEX(NKC!$G$7:$G$3006,$J696),INDEX(NKC!$F$7:$F$3006,$J696)))</f>
        <v/>
      </c>
      <c r="F696" s="125">
        <f>IF($J696="","",IF(LEFT(INDEX(NKC!$F$7:$F$3006,$J696),LEN($B$5))=$B$5,INDEX(NKC!$H$7:$H$3006,$J696),""))</f>
        <v/>
      </c>
      <c r="G696" s="125">
        <f>IF($J696="","",IF(LEFT(INDEX(NKC!$G$7:$G$3006,$J696),LEN($B$5))=$B$5,INDEX(NKC!$H$7:$H$3006,$J696),""))</f>
        <v/>
      </c>
      <c r="H696" s="132">
        <f>IF($J696="","",H695+N(F696)-N(G696))</f>
        <v/>
      </c>
      <c r="J696" s="117">
        <f>IFERROR(MATCH(689,NKC!$P$7:$P$3006,0),"")</f>
        <v/>
      </c>
    </row>
    <row r="697" ht="15" customHeight="1" s="78">
      <c r="A697" s="131">
        <f>IF($J697="","",INDEX(NKC!$B$7:$B$3006,$J697))</f>
        <v/>
      </c>
      <c r="B697" s="95">
        <f>IF($J697="","",INDEX(NKC!$C$7:$C$3006,$J697))</f>
        <v/>
      </c>
      <c r="C697" s="131">
        <f>IF($J697="","",INDEX(NKC!$D$7:$D$3006,$J697))</f>
        <v/>
      </c>
      <c r="D697" s="97">
        <f>IF($J697="","",INDEX(NKC!$E$7:$E$3006,$J697))</f>
        <v/>
      </c>
      <c r="E697" s="95">
        <f>IF($J697="","",IF(LEFT(INDEX(NKC!$F$7:$F$3006,$J697),LEN($B$5))=$B$5,INDEX(NKC!$G$7:$G$3006,$J697),INDEX(NKC!$F$7:$F$3006,$J697)))</f>
        <v/>
      </c>
      <c r="F697" s="125">
        <f>IF($J697="","",IF(LEFT(INDEX(NKC!$F$7:$F$3006,$J697),LEN($B$5))=$B$5,INDEX(NKC!$H$7:$H$3006,$J697),""))</f>
        <v/>
      </c>
      <c r="G697" s="125">
        <f>IF($J697="","",IF(LEFT(INDEX(NKC!$G$7:$G$3006,$J697),LEN($B$5))=$B$5,INDEX(NKC!$H$7:$H$3006,$J697),""))</f>
        <v/>
      </c>
      <c r="H697" s="132">
        <f>IF($J697="","",H696+N(F697)-N(G697))</f>
        <v/>
      </c>
      <c r="J697" s="117">
        <f>IFERROR(MATCH(690,NKC!$P$7:$P$3006,0),"")</f>
        <v/>
      </c>
    </row>
    <row r="698" ht="15" customHeight="1" s="78">
      <c r="A698" s="131">
        <f>IF($J698="","",INDEX(NKC!$B$7:$B$3006,$J698))</f>
        <v/>
      </c>
      <c r="B698" s="95">
        <f>IF($J698="","",INDEX(NKC!$C$7:$C$3006,$J698))</f>
        <v/>
      </c>
      <c r="C698" s="131">
        <f>IF($J698="","",INDEX(NKC!$D$7:$D$3006,$J698))</f>
        <v/>
      </c>
      <c r="D698" s="97">
        <f>IF($J698="","",INDEX(NKC!$E$7:$E$3006,$J698))</f>
        <v/>
      </c>
      <c r="E698" s="95">
        <f>IF($J698="","",IF(LEFT(INDEX(NKC!$F$7:$F$3006,$J698),LEN($B$5))=$B$5,INDEX(NKC!$G$7:$G$3006,$J698),INDEX(NKC!$F$7:$F$3006,$J698)))</f>
        <v/>
      </c>
      <c r="F698" s="125">
        <f>IF($J698="","",IF(LEFT(INDEX(NKC!$F$7:$F$3006,$J698),LEN($B$5))=$B$5,INDEX(NKC!$H$7:$H$3006,$J698),""))</f>
        <v/>
      </c>
      <c r="G698" s="125">
        <f>IF($J698="","",IF(LEFT(INDEX(NKC!$G$7:$G$3006,$J698),LEN($B$5))=$B$5,INDEX(NKC!$H$7:$H$3006,$J698),""))</f>
        <v/>
      </c>
      <c r="H698" s="132">
        <f>IF($J698="","",H697+N(F698)-N(G698))</f>
        <v/>
      </c>
      <c r="J698" s="117">
        <f>IFERROR(MATCH(691,NKC!$P$7:$P$3006,0),"")</f>
        <v/>
      </c>
    </row>
    <row r="699" ht="15" customHeight="1" s="78">
      <c r="A699" s="131">
        <f>IF($J699="","",INDEX(NKC!$B$7:$B$3006,$J699))</f>
        <v/>
      </c>
      <c r="B699" s="95">
        <f>IF($J699="","",INDEX(NKC!$C$7:$C$3006,$J699))</f>
        <v/>
      </c>
      <c r="C699" s="131">
        <f>IF($J699="","",INDEX(NKC!$D$7:$D$3006,$J699))</f>
        <v/>
      </c>
      <c r="D699" s="97">
        <f>IF($J699="","",INDEX(NKC!$E$7:$E$3006,$J699))</f>
        <v/>
      </c>
      <c r="E699" s="95">
        <f>IF($J699="","",IF(LEFT(INDEX(NKC!$F$7:$F$3006,$J699),LEN($B$5))=$B$5,INDEX(NKC!$G$7:$G$3006,$J699),INDEX(NKC!$F$7:$F$3006,$J699)))</f>
        <v/>
      </c>
      <c r="F699" s="125">
        <f>IF($J699="","",IF(LEFT(INDEX(NKC!$F$7:$F$3006,$J699),LEN($B$5))=$B$5,INDEX(NKC!$H$7:$H$3006,$J699),""))</f>
        <v/>
      </c>
      <c r="G699" s="125">
        <f>IF($J699="","",IF(LEFT(INDEX(NKC!$G$7:$G$3006,$J699),LEN($B$5))=$B$5,INDEX(NKC!$H$7:$H$3006,$J699),""))</f>
        <v/>
      </c>
      <c r="H699" s="132">
        <f>IF($J699="","",H698+N(F699)-N(G699))</f>
        <v/>
      </c>
      <c r="J699" s="117">
        <f>IFERROR(MATCH(692,NKC!$P$7:$P$3006,0),"")</f>
        <v/>
      </c>
    </row>
    <row r="700" ht="15" customHeight="1" s="78">
      <c r="A700" s="131">
        <f>IF($J700="","",INDEX(NKC!$B$7:$B$3006,$J700))</f>
        <v/>
      </c>
      <c r="B700" s="95">
        <f>IF($J700="","",INDEX(NKC!$C$7:$C$3006,$J700))</f>
        <v/>
      </c>
      <c r="C700" s="131">
        <f>IF($J700="","",INDEX(NKC!$D$7:$D$3006,$J700))</f>
        <v/>
      </c>
      <c r="D700" s="97">
        <f>IF($J700="","",INDEX(NKC!$E$7:$E$3006,$J700))</f>
        <v/>
      </c>
      <c r="E700" s="95">
        <f>IF($J700="","",IF(LEFT(INDEX(NKC!$F$7:$F$3006,$J700),LEN($B$5))=$B$5,INDEX(NKC!$G$7:$G$3006,$J700),INDEX(NKC!$F$7:$F$3006,$J700)))</f>
        <v/>
      </c>
      <c r="F700" s="125">
        <f>IF($J700="","",IF(LEFT(INDEX(NKC!$F$7:$F$3006,$J700),LEN($B$5))=$B$5,INDEX(NKC!$H$7:$H$3006,$J700),""))</f>
        <v/>
      </c>
      <c r="G700" s="125">
        <f>IF($J700="","",IF(LEFT(INDEX(NKC!$G$7:$G$3006,$J700),LEN($B$5))=$B$5,INDEX(NKC!$H$7:$H$3006,$J700),""))</f>
        <v/>
      </c>
      <c r="H700" s="132">
        <f>IF($J700="","",H699+N(F700)-N(G700))</f>
        <v/>
      </c>
      <c r="J700" s="117">
        <f>IFERROR(MATCH(693,NKC!$P$7:$P$3006,0),"")</f>
        <v/>
      </c>
    </row>
    <row r="701" ht="15" customHeight="1" s="78">
      <c r="A701" s="131">
        <f>IF($J701="","",INDEX(NKC!$B$7:$B$3006,$J701))</f>
        <v/>
      </c>
      <c r="B701" s="95">
        <f>IF($J701="","",INDEX(NKC!$C$7:$C$3006,$J701))</f>
        <v/>
      </c>
      <c r="C701" s="131">
        <f>IF($J701="","",INDEX(NKC!$D$7:$D$3006,$J701))</f>
        <v/>
      </c>
      <c r="D701" s="97">
        <f>IF($J701="","",INDEX(NKC!$E$7:$E$3006,$J701))</f>
        <v/>
      </c>
      <c r="E701" s="95">
        <f>IF($J701="","",IF(LEFT(INDEX(NKC!$F$7:$F$3006,$J701),LEN($B$5))=$B$5,INDEX(NKC!$G$7:$G$3006,$J701),INDEX(NKC!$F$7:$F$3006,$J701)))</f>
        <v/>
      </c>
      <c r="F701" s="125">
        <f>IF($J701="","",IF(LEFT(INDEX(NKC!$F$7:$F$3006,$J701),LEN($B$5))=$B$5,INDEX(NKC!$H$7:$H$3006,$J701),""))</f>
        <v/>
      </c>
      <c r="G701" s="125">
        <f>IF($J701="","",IF(LEFT(INDEX(NKC!$G$7:$G$3006,$J701),LEN($B$5))=$B$5,INDEX(NKC!$H$7:$H$3006,$J701),""))</f>
        <v/>
      </c>
      <c r="H701" s="132">
        <f>IF($J701="","",H700+N(F701)-N(G701))</f>
        <v/>
      </c>
      <c r="J701" s="117">
        <f>IFERROR(MATCH(694,NKC!$P$7:$P$3006,0),"")</f>
        <v/>
      </c>
    </row>
    <row r="702" ht="15" customHeight="1" s="78">
      <c r="A702" s="131">
        <f>IF($J702="","",INDEX(NKC!$B$7:$B$3006,$J702))</f>
        <v/>
      </c>
      <c r="B702" s="95">
        <f>IF($J702="","",INDEX(NKC!$C$7:$C$3006,$J702))</f>
        <v/>
      </c>
      <c r="C702" s="131">
        <f>IF($J702="","",INDEX(NKC!$D$7:$D$3006,$J702))</f>
        <v/>
      </c>
      <c r="D702" s="97">
        <f>IF($J702="","",INDEX(NKC!$E$7:$E$3006,$J702))</f>
        <v/>
      </c>
      <c r="E702" s="95">
        <f>IF($J702="","",IF(LEFT(INDEX(NKC!$F$7:$F$3006,$J702),LEN($B$5))=$B$5,INDEX(NKC!$G$7:$G$3006,$J702),INDEX(NKC!$F$7:$F$3006,$J702)))</f>
        <v/>
      </c>
      <c r="F702" s="125">
        <f>IF($J702="","",IF(LEFT(INDEX(NKC!$F$7:$F$3006,$J702),LEN($B$5))=$B$5,INDEX(NKC!$H$7:$H$3006,$J702),""))</f>
        <v/>
      </c>
      <c r="G702" s="125">
        <f>IF($J702="","",IF(LEFT(INDEX(NKC!$G$7:$G$3006,$J702),LEN($B$5))=$B$5,INDEX(NKC!$H$7:$H$3006,$J702),""))</f>
        <v/>
      </c>
      <c r="H702" s="132">
        <f>IF($J702="","",H701+N(F702)-N(G702))</f>
        <v/>
      </c>
      <c r="J702" s="117">
        <f>IFERROR(MATCH(695,NKC!$P$7:$P$3006,0),"")</f>
        <v/>
      </c>
    </row>
    <row r="703" ht="15" customHeight="1" s="78">
      <c r="A703" s="131">
        <f>IF($J703="","",INDEX(NKC!$B$7:$B$3006,$J703))</f>
        <v/>
      </c>
      <c r="B703" s="95">
        <f>IF($J703="","",INDEX(NKC!$C$7:$C$3006,$J703))</f>
        <v/>
      </c>
      <c r="C703" s="131">
        <f>IF($J703="","",INDEX(NKC!$D$7:$D$3006,$J703))</f>
        <v/>
      </c>
      <c r="D703" s="97">
        <f>IF($J703="","",INDEX(NKC!$E$7:$E$3006,$J703))</f>
        <v/>
      </c>
      <c r="E703" s="95">
        <f>IF($J703="","",IF(LEFT(INDEX(NKC!$F$7:$F$3006,$J703),LEN($B$5))=$B$5,INDEX(NKC!$G$7:$G$3006,$J703),INDEX(NKC!$F$7:$F$3006,$J703)))</f>
        <v/>
      </c>
      <c r="F703" s="125">
        <f>IF($J703="","",IF(LEFT(INDEX(NKC!$F$7:$F$3006,$J703),LEN($B$5))=$B$5,INDEX(NKC!$H$7:$H$3006,$J703),""))</f>
        <v/>
      </c>
      <c r="G703" s="125">
        <f>IF($J703="","",IF(LEFT(INDEX(NKC!$G$7:$G$3006,$J703),LEN($B$5))=$B$5,INDEX(NKC!$H$7:$H$3006,$J703),""))</f>
        <v/>
      </c>
      <c r="H703" s="132">
        <f>IF($J703="","",H702+N(F703)-N(G703))</f>
        <v/>
      </c>
      <c r="J703" s="117">
        <f>IFERROR(MATCH(696,NKC!$P$7:$P$3006,0),"")</f>
        <v/>
      </c>
    </row>
    <row r="704" ht="15" customHeight="1" s="78">
      <c r="A704" s="131">
        <f>IF($J704="","",INDEX(NKC!$B$7:$B$3006,$J704))</f>
        <v/>
      </c>
      <c r="B704" s="95">
        <f>IF($J704="","",INDEX(NKC!$C$7:$C$3006,$J704))</f>
        <v/>
      </c>
      <c r="C704" s="131">
        <f>IF($J704="","",INDEX(NKC!$D$7:$D$3006,$J704))</f>
        <v/>
      </c>
      <c r="D704" s="97">
        <f>IF($J704="","",INDEX(NKC!$E$7:$E$3006,$J704))</f>
        <v/>
      </c>
      <c r="E704" s="95">
        <f>IF($J704="","",IF(LEFT(INDEX(NKC!$F$7:$F$3006,$J704),LEN($B$5))=$B$5,INDEX(NKC!$G$7:$G$3006,$J704),INDEX(NKC!$F$7:$F$3006,$J704)))</f>
        <v/>
      </c>
      <c r="F704" s="125">
        <f>IF($J704="","",IF(LEFT(INDEX(NKC!$F$7:$F$3006,$J704),LEN($B$5))=$B$5,INDEX(NKC!$H$7:$H$3006,$J704),""))</f>
        <v/>
      </c>
      <c r="G704" s="125">
        <f>IF($J704="","",IF(LEFT(INDEX(NKC!$G$7:$G$3006,$J704),LEN($B$5))=$B$5,INDEX(NKC!$H$7:$H$3006,$J704),""))</f>
        <v/>
      </c>
      <c r="H704" s="132">
        <f>IF($J704="","",H703+N(F704)-N(G704))</f>
        <v/>
      </c>
      <c r="J704" s="117">
        <f>IFERROR(MATCH(697,NKC!$P$7:$P$3006,0),"")</f>
        <v/>
      </c>
    </row>
    <row r="705" ht="15" customHeight="1" s="78">
      <c r="A705" s="131">
        <f>IF($J705="","",INDEX(NKC!$B$7:$B$3006,$J705))</f>
        <v/>
      </c>
      <c r="B705" s="95">
        <f>IF($J705="","",INDEX(NKC!$C$7:$C$3006,$J705))</f>
        <v/>
      </c>
      <c r="C705" s="131">
        <f>IF($J705="","",INDEX(NKC!$D$7:$D$3006,$J705))</f>
        <v/>
      </c>
      <c r="D705" s="97">
        <f>IF($J705="","",INDEX(NKC!$E$7:$E$3006,$J705))</f>
        <v/>
      </c>
      <c r="E705" s="95">
        <f>IF($J705="","",IF(LEFT(INDEX(NKC!$F$7:$F$3006,$J705),LEN($B$5))=$B$5,INDEX(NKC!$G$7:$G$3006,$J705),INDEX(NKC!$F$7:$F$3006,$J705)))</f>
        <v/>
      </c>
      <c r="F705" s="125">
        <f>IF($J705="","",IF(LEFT(INDEX(NKC!$F$7:$F$3006,$J705),LEN($B$5))=$B$5,INDEX(NKC!$H$7:$H$3006,$J705),""))</f>
        <v/>
      </c>
      <c r="G705" s="125">
        <f>IF($J705="","",IF(LEFT(INDEX(NKC!$G$7:$G$3006,$J705),LEN($B$5))=$B$5,INDEX(NKC!$H$7:$H$3006,$J705),""))</f>
        <v/>
      </c>
      <c r="H705" s="132">
        <f>IF($J705="","",H704+N(F705)-N(G705))</f>
        <v/>
      </c>
      <c r="J705" s="117">
        <f>IFERROR(MATCH(698,NKC!$P$7:$P$3006,0),"")</f>
        <v/>
      </c>
    </row>
    <row r="706" ht="15" customHeight="1" s="78">
      <c r="A706" s="131">
        <f>IF($J706="","",INDEX(NKC!$B$7:$B$3006,$J706))</f>
        <v/>
      </c>
      <c r="B706" s="95">
        <f>IF($J706="","",INDEX(NKC!$C$7:$C$3006,$J706))</f>
        <v/>
      </c>
      <c r="C706" s="131">
        <f>IF($J706="","",INDEX(NKC!$D$7:$D$3006,$J706))</f>
        <v/>
      </c>
      <c r="D706" s="97">
        <f>IF($J706="","",INDEX(NKC!$E$7:$E$3006,$J706))</f>
        <v/>
      </c>
      <c r="E706" s="95">
        <f>IF($J706="","",IF(LEFT(INDEX(NKC!$F$7:$F$3006,$J706),LEN($B$5))=$B$5,INDEX(NKC!$G$7:$G$3006,$J706),INDEX(NKC!$F$7:$F$3006,$J706)))</f>
        <v/>
      </c>
      <c r="F706" s="125">
        <f>IF($J706="","",IF(LEFT(INDEX(NKC!$F$7:$F$3006,$J706),LEN($B$5))=$B$5,INDEX(NKC!$H$7:$H$3006,$J706),""))</f>
        <v/>
      </c>
      <c r="G706" s="125">
        <f>IF($J706="","",IF(LEFT(INDEX(NKC!$G$7:$G$3006,$J706),LEN($B$5))=$B$5,INDEX(NKC!$H$7:$H$3006,$J706),""))</f>
        <v/>
      </c>
      <c r="H706" s="132">
        <f>IF($J706="","",H705+N(F706)-N(G706))</f>
        <v/>
      </c>
      <c r="J706" s="117">
        <f>IFERROR(MATCH(699,NKC!$P$7:$P$3006,0),"")</f>
        <v/>
      </c>
    </row>
    <row r="707" ht="15" customHeight="1" s="78">
      <c r="A707" s="131">
        <f>IF($J707="","",INDEX(NKC!$B$7:$B$3006,$J707))</f>
        <v/>
      </c>
      <c r="B707" s="95">
        <f>IF($J707="","",INDEX(NKC!$C$7:$C$3006,$J707))</f>
        <v/>
      </c>
      <c r="C707" s="131">
        <f>IF($J707="","",INDEX(NKC!$D$7:$D$3006,$J707))</f>
        <v/>
      </c>
      <c r="D707" s="97">
        <f>IF($J707="","",INDEX(NKC!$E$7:$E$3006,$J707))</f>
        <v/>
      </c>
      <c r="E707" s="95">
        <f>IF($J707="","",IF(LEFT(INDEX(NKC!$F$7:$F$3006,$J707),LEN($B$5))=$B$5,INDEX(NKC!$G$7:$G$3006,$J707),INDEX(NKC!$F$7:$F$3006,$J707)))</f>
        <v/>
      </c>
      <c r="F707" s="125">
        <f>IF($J707="","",IF(LEFT(INDEX(NKC!$F$7:$F$3006,$J707),LEN($B$5))=$B$5,INDEX(NKC!$H$7:$H$3006,$J707),""))</f>
        <v/>
      </c>
      <c r="G707" s="125">
        <f>IF($J707="","",IF(LEFT(INDEX(NKC!$G$7:$G$3006,$J707),LEN($B$5))=$B$5,INDEX(NKC!$H$7:$H$3006,$J707),""))</f>
        <v/>
      </c>
      <c r="H707" s="132">
        <f>IF($J707="","",H706+N(F707)-N(G707))</f>
        <v/>
      </c>
      <c r="J707" s="117">
        <f>IFERROR(MATCH(700,NKC!$P$7:$P$3006,0),"")</f>
        <v/>
      </c>
    </row>
    <row r="708" ht="15" customHeight="1" s="78">
      <c r="A708" s="131">
        <f>IF($J708="","",INDEX(NKC!$B$7:$B$3006,$J708))</f>
        <v/>
      </c>
      <c r="B708" s="95">
        <f>IF($J708="","",INDEX(NKC!$C$7:$C$3006,$J708))</f>
        <v/>
      </c>
      <c r="C708" s="131">
        <f>IF($J708="","",INDEX(NKC!$D$7:$D$3006,$J708))</f>
        <v/>
      </c>
      <c r="D708" s="97">
        <f>IF($J708="","",INDEX(NKC!$E$7:$E$3006,$J708))</f>
        <v/>
      </c>
      <c r="E708" s="95">
        <f>IF($J708="","",IF(LEFT(INDEX(NKC!$F$7:$F$3006,$J708),LEN($B$5))=$B$5,INDEX(NKC!$G$7:$G$3006,$J708),INDEX(NKC!$F$7:$F$3006,$J708)))</f>
        <v/>
      </c>
      <c r="F708" s="125">
        <f>IF($J708="","",IF(LEFT(INDEX(NKC!$F$7:$F$3006,$J708),LEN($B$5))=$B$5,INDEX(NKC!$H$7:$H$3006,$J708),""))</f>
        <v/>
      </c>
      <c r="G708" s="125">
        <f>IF($J708="","",IF(LEFT(INDEX(NKC!$G$7:$G$3006,$J708),LEN($B$5))=$B$5,INDEX(NKC!$H$7:$H$3006,$J708),""))</f>
        <v/>
      </c>
      <c r="H708" s="132">
        <f>IF($J708="","",H707+N(F708)-N(G708))</f>
        <v/>
      </c>
      <c r="J708" s="117">
        <f>IFERROR(MATCH(701,NKC!$P$7:$P$3006,0),"")</f>
        <v/>
      </c>
    </row>
    <row r="709" ht="15" customHeight="1" s="78">
      <c r="A709" s="131">
        <f>IF($J709="","",INDEX(NKC!$B$7:$B$3006,$J709))</f>
        <v/>
      </c>
      <c r="B709" s="95">
        <f>IF($J709="","",INDEX(NKC!$C$7:$C$3006,$J709))</f>
        <v/>
      </c>
      <c r="C709" s="131">
        <f>IF($J709="","",INDEX(NKC!$D$7:$D$3006,$J709))</f>
        <v/>
      </c>
      <c r="D709" s="97">
        <f>IF($J709="","",INDEX(NKC!$E$7:$E$3006,$J709))</f>
        <v/>
      </c>
      <c r="E709" s="95">
        <f>IF($J709="","",IF(LEFT(INDEX(NKC!$F$7:$F$3006,$J709),LEN($B$5))=$B$5,INDEX(NKC!$G$7:$G$3006,$J709),INDEX(NKC!$F$7:$F$3006,$J709)))</f>
        <v/>
      </c>
      <c r="F709" s="125">
        <f>IF($J709="","",IF(LEFT(INDEX(NKC!$F$7:$F$3006,$J709),LEN($B$5))=$B$5,INDEX(NKC!$H$7:$H$3006,$J709),""))</f>
        <v/>
      </c>
      <c r="G709" s="125">
        <f>IF($J709="","",IF(LEFT(INDEX(NKC!$G$7:$G$3006,$J709),LEN($B$5))=$B$5,INDEX(NKC!$H$7:$H$3006,$J709),""))</f>
        <v/>
      </c>
      <c r="H709" s="132">
        <f>IF($J709="","",H708+N(F709)-N(G709))</f>
        <v/>
      </c>
      <c r="J709" s="117">
        <f>IFERROR(MATCH(702,NKC!$P$7:$P$3006,0),"")</f>
        <v/>
      </c>
    </row>
    <row r="710" ht="15" customHeight="1" s="78">
      <c r="A710" s="131">
        <f>IF($J710="","",INDEX(NKC!$B$7:$B$3006,$J710))</f>
        <v/>
      </c>
      <c r="B710" s="95">
        <f>IF($J710="","",INDEX(NKC!$C$7:$C$3006,$J710))</f>
        <v/>
      </c>
      <c r="C710" s="131">
        <f>IF($J710="","",INDEX(NKC!$D$7:$D$3006,$J710))</f>
        <v/>
      </c>
      <c r="D710" s="97">
        <f>IF($J710="","",INDEX(NKC!$E$7:$E$3006,$J710))</f>
        <v/>
      </c>
      <c r="E710" s="95">
        <f>IF($J710="","",IF(LEFT(INDEX(NKC!$F$7:$F$3006,$J710),LEN($B$5))=$B$5,INDEX(NKC!$G$7:$G$3006,$J710),INDEX(NKC!$F$7:$F$3006,$J710)))</f>
        <v/>
      </c>
      <c r="F710" s="125">
        <f>IF($J710="","",IF(LEFT(INDEX(NKC!$F$7:$F$3006,$J710),LEN($B$5))=$B$5,INDEX(NKC!$H$7:$H$3006,$J710),""))</f>
        <v/>
      </c>
      <c r="G710" s="125">
        <f>IF($J710="","",IF(LEFT(INDEX(NKC!$G$7:$G$3006,$J710),LEN($B$5))=$B$5,INDEX(NKC!$H$7:$H$3006,$J710),""))</f>
        <v/>
      </c>
      <c r="H710" s="132">
        <f>IF($J710="","",H709+N(F710)-N(G710))</f>
        <v/>
      </c>
      <c r="J710" s="117">
        <f>IFERROR(MATCH(703,NKC!$P$7:$P$3006,0),"")</f>
        <v/>
      </c>
    </row>
    <row r="711" ht="15" customHeight="1" s="78">
      <c r="A711" s="131">
        <f>IF($J711="","",INDEX(NKC!$B$7:$B$3006,$J711))</f>
        <v/>
      </c>
      <c r="B711" s="95">
        <f>IF($J711="","",INDEX(NKC!$C$7:$C$3006,$J711))</f>
        <v/>
      </c>
      <c r="C711" s="131">
        <f>IF($J711="","",INDEX(NKC!$D$7:$D$3006,$J711))</f>
        <v/>
      </c>
      <c r="D711" s="97">
        <f>IF($J711="","",INDEX(NKC!$E$7:$E$3006,$J711))</f>
        <v/>
      </c>
      <c r="E711" s="95">
        <f>IF($J711="","",IF(LEFT(INDEX(NKC!$F$7:$F$3006,$J711),LEN($B$5))=$B$5,INDEX(NKC!$G$7:$G$3006,$J711),INDEX(NKC!$F$7:$F$3006,$J711)))</f>
        <v/>
      </c>
      <c r="F711" s="125">
        <f>IF($J711="","",IF(LEFT(INDEX(NKC!$F$7:$F$3006,$J711),LEN($B$5))=$B$5,INDEX(NKC!$H$7:$H$3006,$J711),""))</f>
        <v/>
      </c>
      <c r="G711" s="125">
        <f>IF($J711="","",IF(LEFT(INDEX(NKC!$G$7:$G$3006,$J711),LEN($B$5))=$B$5,INDEX(NKC!$H$7:$H$3006,$J711),""))</f>
        <v/>
      </c>
      <c r="H711" s="132">
        <f>IF($J711="","",H710+N(F711)-N(G711))</f>
        <v/>
      </c>
      <c r="J711" s="117">
        <f>IFERROR(MATCH(704,NKC!$P$7:$P$3006,0),"")</f>
        <v/>
      </c>
    </row>
    <row r="712" ht="15" customHeight="1" s="78">
      <c r="A712" s="131">
        <f>IF($J712="","",INDEX(NKC!$B$7:$B$3006,$J712))</f>
        <v/>
      </c>
      <c r="B712" s="95">
        <f>IF($J712="","",INDEX(NKC!$C$7:$C$3006,$J712))</f>
        <v/>
      </c>
      <c r="C712" s="131">
        <f>IF($J712="","",INDEX(NKC!$D$7:$D$3006,$J712))</f>
        <v/>
      </c>
      <c r="D712" s="97">
        <f>IF($J712="","",INDEX(NKC!$E$7:$E$3006,$J712))</f>
        <v/>
      </c>
      <c r="E712" s="95">
        <f>IF($J712="","",IF(LEFT(INDEX(NKC!$F$7:$F$3006,$J712),LEN($B$5))=$B$5,INDEX(NKC!$G$7:$G$3006,$J712),INDEX(NKC!$F$7:$F$3006,$J712)))</f>
        <v/>
      </c>
      <c r="F712" s="125">
        <f>IF($J712="","",IF(LEFT(INDEX(NKC!$F$7:$F$3006,$J712),LEN($B$5))=$B$5,INDEX(NKC!$H$7:$H$3006,$J712),""))</f>
        <v/>
      </c>
      <c r="G712" s="125">
        <f>IF($J712="","",IF(LEFT(INDEX(NKC!$G$7:$G$3006,$J712),LEN($B$5))=$B$5,INDEX(NKC!$H$7:$H$3006,$J712),""))</f>
        <v/>
      </c>
      <c r="H712" s="132">
        <f>IF($J712="","",H711+N(F712)-N(G712))</f>
        <v/>
      </c>
      <c r="J712" s="117">
        <f>IFERROR(MATCH(705,NKC!$P$7:$P$3006,0),"")</f>
        <v/>
      </c>
    </row>
    <row r="713" ht="15" customHeight="1" s="78">
      <c r="A713" s="131">
        <f>IF($J713="","",INDEX(NKC!$B$7:$B$3006,$J713))</f>
        <v/>
      </c>
      <c r="B713" s="95">
        <f>IF($J713="","",INDEX(NKC!$C$7:$C$3006,$J713))</f>
        <v/>
      </c>
      <c r="C713" s="131">
        <f>IF($J713="","",INDEX(NKC!$D$7:$D$3006,$J713))</f>
        <v/>
      </c>
      <c r="D713" s="97">
        <f>IF($J713="","",INDEX(NKC!$E$7:$E$3006,$J713))</f>
        <v/>
      </c>
      <c r="E713" s="95">
        <f>IF($J713="","",IF(LEFT(INDEX(NKC!$F$7:$F$3006,$J713),LEN($B$5))=$B$5,INDEX(NKC!$G$7:$G$3006,$J713),INDEX(NKC!$F$7:$F$3006,$J713)))</f>
        <v/>
      </c>
      <c r="F713" s="125">
        <f>IF($J713="","",IF(LEFT(INDEX(NKC!$F$7:$F$3006,$J713),LEN($B$5))=$B$5,INDEX(NKC!$H$7:$H$3006,$J713),""))</f>
        <v/>
      </c>
      <c r="G713" s="125">
        <f>IF($J713="","",IF(LEFT(INDEX(NKC!$G$7:$G$3006,$J713),LEN($B$5))=$B$5,INDEX(NKC!$H$7:$H$3006,$J713),""))</f>
        <v/>
      </c>
      <c r="H713" s="132">
        <f>IF($J713="","",H712+N(F713)-N(G713))</f>
        <v/>
      </c>
      <c r="J713" s="117">
        <f>IFERROR(MATCH(706,NKC!$P$7:$P$3006,0),"")</f>
        <v/>
      </c>
    </row>
    <row r="714" ht="15" customHeight="1" s="78">
      <c r="A714" s="131">
        <f>IF($J714="","",INDEX(NKC!$B$7:$B$3006,$J714))</f>
        <v/>
      </c>
      <c r="B714" s="95">
        <f>IF($J714="","",INDEX(NKC!$C$7:$C$3006,$J714))</f>
        <v/>
      </c>
      <c r="C714" s="131">
        <f>IF($J714="","",INDEX(NKC!$D$7:$D$3006,$J714))</f>
        <v/>
      </c>
      <c r="D714" s="97">
        <f>IF($J714="","",INDEX(NKC!$E$7:$E$3006,$J714))</f>
        <v/>
      </c>
      <c r="E714" s="95">
        <f>IF($J714="","",IF(LEFT(INDEX(NKC!$F$7:$F$3006,$J714),LEN($B$5))=$B$5,INDEX(NKC!$G$7:$G$3006,$J714),INDEX(NKC!$F$7:$F$3006,$J714)))</f>
        <v/>
      </c>
      <c r="F714" s="125">
        <f>IF($J714="","",IF(LEFT(INDEX(NKC!$F$7:$F$3006,$J714),LEN($B$5))=$B$5,INDEX(NKC!$H$7:$H$3006,$J714),""))</f>
        <v/>
      </c>
      <c r="G714" s="125">
        <f>IF($J714="","",IF(LEFT(INDEX(NKC!$G$7:$G$3006,$J714),LEN($B$5))=$B$5,INDEX(NKC!$H$7:$H$3006,$J714),""))</f>
        <v/>
      </c>
      <c r="H714" s="132">
        <f>IF($J714="","",H713+N(F714)-N(G714))</f>
        <v/>
      </c>
      <c r="J714" s="117">
        <f>IFERROR(MATCH(707,NKC!$P$7:$P$3006,0),"")</f>
        <v/>
      </c>
    </row>
    <row r="715" ht="15" customHeight="1" s="78">
      <c r="A715" s="131">
        <f>IF($J715="","",INDEX(NKC!$B$7:$B$3006,$J715))</f>
        <v/>
      </c>
      <c r="B715" s="95">
        <f>IF($J715="","",INDEX(NKC!$C$7:$C$3006,$J715))</f>
        <v/>
      </c>
      <c r="C715" s="131">
        <f>IF($J715="","",INDEX(NKC!$D$7:$D$3006,$J715))</f>
        <v/>
      </c>
      <c r="D715" s="97">
        <f>IF($J715="","",INDEX(NKC!$E$7:$E$3006,$J715))</f>
        <v/>
      </c>
      <c r="E715" s="95">
        <f>IF($J715="","",IF(LEFT(INDEX(NKC!$F$7:$F$3006,$J715),LEN($B$5))=$B$5,INDEX(NKC!$G$7:$G$3006,$J715),INDEX(NKC!$F$7:$F$3006,$J715)))</f>
        <v/>
      </c>
      <c r="F715" s="125">
        <f>IF($J715="","",IF(LEFT(INDEX(NKC!$F$7:$F$3006,$J715),LEN($B$5))=$B$5,INDEX(NKC!$H$7:$H$3006,$J715),""))</f>
        <v/>
      </c>
      <c r="G715" s="125">
        <f>IF($J715="","",IF(LEFT(INDEX(NKC!$G$7:$G$3006,$J715),LEN($B$5))=$B$5,INDEX(NKC!$H$7:$H$3006,$J715),""))</f>
        <v/>
      </c>
      <c r="H715" s="132">
        <f>IF($J715="","",H714+N(F715)-N(G715))</f>
        <v/>
      </c>
      <c r="J715" s="117">
        <f>IFERROR(MATCH(708,NKC!$P$7:$P$3006,0),"")</f>
        <v/>
      </c>
    </row>
    <row r="716" ht="15" customHeight="1" s="78">
      <c r="A716" s="131">
        <f>IF($J716="","",INDEX(NKC!$B$7:$B$3006,$J716))</f>
        <v/>
      </c>
      <c r="B716" s="95">
        <f>IF($J716="","",INDEX(NKC!$C$7:$C$3006,$J716))</f>
        <v/>
      </c>
      <c r="C716" s="131">
        <f>IF($J716="","",INDEX(NKC!$D$7:$D$3006,$J716))</f>
        <v/>
      </c>
      <c r="D716" s="97">
        <f>IF($J716="","",INDEX(NKC!$E$7:$E$3006,$J716))</f>
        <v/>
      </c>
      <c r="E716" s="95">
        <f>IF($J716="","",IF(LEFT(INDEX(NKC!$F$7:$F$3006,$J716),LEN($B$5))=$B$5,INDEX(NKC!$G$7:$G$3006,$J716),INDEX(NKC!$F$7:$F$3006,$J716)))</f>
        <v/>
      </c>
      <c r="F716" s="125">
        <f>IF($J716="","",IF(LEFT(INDEX(NKC!$F$7:$F$3006,$J716),LEN($B$5))=$B$5,INDEX(NKC!$H$7:$H$3006,$J716),""))</f>
        <v/>
      </c>
      <c r="G716" s="125">
        <f>IF($J716="","",IF(LEFT(INDEX(NKC!$G$7:$G$3006,$J716),LEN($B$5))=$B$5,INDEX(NKC!$H$7:$H$3006,$J716),""))</f>
        <v/>
      </c>
      <c r="H716" s="132">
        <f>IF($J716="","",H715+N(F716)-N(G716))</f>
        <v/>
      </c>
      <c r="J716" s="117">
        <f>IFERROR(MATCH(709,NKC!$P$7:$P$3006,0),"")</f>
        <v/>
      </c>
    </row>
    <row r="717" ht="15" customHeight="1" s="78">
      <c r="A717" s="131">
        <f>IF($J717="","",INDEX(NKC!$B$7:$B$3006,$J717))</f>
        <v/>
      </c>
      <c r="B717" s="95">
        <f>IF($J717="","",INDEX(NKC!$C$7:$C$3006,$J717))</f>
        <v/>
      </c>
      <c r="C717" s="131">
        <f>IF($J717="","",INDEX(NKC!$D$7:$D$3006,$J717))</f>
        <v/>
      </c>
      <c r="D717" s="97">
        <f>IF($J717="","",INDEX(NKC!$E$7:$E$3006,$J717))</f>
        <v/>
      </c>
      <c r="E717" s="95">
        <f>IF($J717="","",IF(LEFT(INDEX(NKC!$F$7:$F$3006,$J717),LEN($B$5))=$B$5,INDEX(NKC!$G$7:$G$3006,$J717),INDEX(NKC!$F$7:$F$3006,$J717)))</f>
        <v/>
      </c>
      <c r="F717" s="125">
        <f>IF($J717="","",IF(LEFT(INDEX(NKC!$F$7:$F$3006,$J717),LEN($B$5))=$B$5,INDEX(NKC!$H$7:$H$3006,$J717),""))</f>
        <v/>
      </c>
      <c r="G717" s="125">
        <f>IF($J717="","",IF(LEFT(INDEX(NKC!$G$7:$G$3006,$J717),LEN($B$5))=$B$5,INDEX(NKC!$H$7:$H$3006,$J717),""))</f>
        <v/>
      </c>
      <c r="H717" s="132">
        <f>IF($J717="","",H716+N(F717)-N(G717))</f>
        <v/>
      </c>
      <c r="J717" s="117">
        <f>IFERROR(MATCH(710,NKC!$P$7:$P$3006,0),"")</f>
        <v/>
      </c>
    </row>
    <row r="718" ht="15" customHeight="1" s="78">
      <c r="A718" s="131">
        <f>IF($J718="","",INDEX(NKC!$B$7:$B$3006,$J718))</f>
        <v/>
      </c>
      <c r="B718" s="95">
        <f>IF($J718="","",INDEX(NKC!$C$7:$C$3006,$J718))</f>
        <v/>
      </c>
      <c r="C718" s="131">
        <f>IF($J718="","",INDEX(NKC!$D$7:$D$3006,$J718))</f>
        <v/>
      </c>
      <c r="D718" s="97">
        <f>IF($J718="","",INDEX(NKC!$E$7:$E$3006,$J718))</f>
        <v/>
      </c>
      <c r="E718" s="95">
        <f>IF($J718="","",IF(LEFT(INDEX(NKC!$F$7:$F$3006,$J718),LEN($B$5))=$B$5,INDEX(NKC!$G$7:$G$3006,$J718),INDEX(NKC!$F$7:$F$3006,$J718)))</f>
        <v/>
      </c>
      <c r="F718" s="125">
        <f>IF($J718="","",IF(LEFT(INDEX(NKC!$F$7:$F$3006,$J718),LEN($B$5))=$B$5,INDEX(NKC!$H$7:$H$3006,$J718),""))</f>
        <v/>
      </c>
      <c r="G718" s="125">
        <f>IF($J718="","",IF(LEFT(INDEX(NKC!$G$7:$G$3006,$J718),LEN($B$5))=$B$5,INDEX(NKC!$H$7:$H$3006,$J718),""))</f>
        <v/>
      </c>
      <c r="H718" s="132">
        <f>IF($J718="","",H717+N(F718)-N(G718))</f>
        <v/>
      </c>
      <c r="J718" s="117">
        <f>IFERROR(MATCH(711,NKC!$P$7:$P$3006,0),"")</f>
        <v/>
      </c>
    </row>
    <row r="719" ht="15" customHeight="1" s="78">
      <c r="A719" s="131">
        <f>IF($J719="","",INDEX(NKC!$B$7:$B$3006,$J719))</f>
        <v/>
      </c>
      <c r="B719" s="95">
        <f>IF($J719="","",INDEX(NKC!$C$7:$C$3006,$J719))</f>
        <v/>
      </c>
      <c r="C719" s="131">
        <f>IF($J719="","",INDEX(NKC!$D$7:$D$3006,$J719))</f>
        <v/>
      </c>
      <c r="D719" s="97">
        <f>IF($J719="","",INDEX(NKC!$E$7:$E$3006,$J719))</f>
        <v/>
      </c>
      <c r="E719" s="95">
        <f>IF($J719="","",IF(LEFT(INDEX(NKC!$F$7:$F$3006,$J719),LEN($B$5))=$B$5,INDEX(NKC!$G$7:$G$3006,$J719),INDEX(NKC!$F$7:$F$3006,$J719)))</f>
        <v/>
      </c>
      <c r="F719" s="125">
        <f>IF($J719="","",IF(LEFT(INDEX(NKC!$F$7:$F$3006,$J719),LEN($B$5))=$B$5,INDEX(NKC!$H$7:$H$3006,$J719),""))</f>
        <v/>
      </c>
      <c r="G719" s="125">
        <f>IF($J719="","",IF(LEFT(INDEX(NKC!$G$7:$G$3006,$J719),LEN($B$5))=$B$5,INDEX(NKC!$H$7:$H$3006,$J719),""))</f>
        <v/>
      </c>
      <c r="H719" s="132">
        <f>IF($J719="","",H718+N(F719)-N(G719))</f>
        <v/>
      </c>
      <c r="J719" s="117">
        <f>IFERROR(MATCH(712,NKC!$P$7:$P$3006,0),"")</f>
        <v/>
      </c>
    </row>
    <row r="720" ht="15" customHeight="1" s="78">
      <c r="A720" s="131">
        <f>IF($J720="","",INDEX(NKC!$B$7:$B$3006,$J720))</f>
        <v/>
      </c>
      <c r="B720" s="95">
        <f>IF($J720="","",INDEX(NKC!$C$7:$C$3006,$J720))</f>
        <v/>
      </c>
      <c r="C720" s="131">
        <f>IF($J720="","",INDEX(NKC!$D$7:$D$3006,$J720))</f>
        <v/>
      </c>
      <c r="D720" s="97">
        <f>IF($J720="","",INDEX(NKC!$E$7:$E$3006,$J720))</f>
        <v/>
      </c>
      <c r="E720" s="95">
        <f>IF($J720="","",IF(LEFT(INDEX(NKC!$F$7:$F$3006,$J720),LEN($B$5))=$B$5,INDEX(NKC!$G$7:$G$3006,$J720),INDEX(NKC!$F$7:$F$3006,$J720)))</f>
        <v/>
      </c>
      <c r="F720" s="125">
        <f>IF($J720="","",IF(LEFT(INDEX(NKC!$F$7:$F$3006,$J720),LEN($B$5))=$B$5,INDEX(NKC!$H$7:$H$3006,$J720),""))</f>
        <v/>
      </c>
      <c r="G720" s="125">
        <f>IF($J720="","",IF(LEFT(INDEX(NKC!$G$7:$G$3006,$J720),LEN($B$5))=$B$5,INDEX(NKC!$H$7:$H$3006,$J720),""))</f>
        <v/>
      </c>
      <c r="H720" s="132">
        <f>IF($J720="","",H719+N(F720)-N(G720))</f>
        <v/>
      </c>
      <c r="J720" s="117">
        <f>IFERROR(MATCH(713,NKC!$P$7:$P$3006,0),"")</f>
        <v/>
      </c>
    </row>
    <row r="721" ht="15" customHeight="1" s="78">
      <c r="A721" s="131">
        <f>IF($J721="","",INDEX(NKC!$B$7:$B$3006,$J721))</f>
        <v/>
      </c>
      <c r="B721" s="95">
        <f>IF($J721="","",INDEX(NKC!$C$7:$C$3006,$J721))</f>
        <v/>
      </c>
      <c r="C721" s="131">
        <f>IF($J721="","",INDEX(NKC!$D$7:$D$3006,$J721))</f>
        <v/>
      </c>
      <c r="D721" s="97">
        <f>IF($J721="","",INDEX(NKC!$E$7:$E$3006,$J721))</f>
        <v/>
      </c>
      <c r="E721" s="95">
        <f>IF($J721="","",IF(LEFT(INDEX(NKC!$F$7:$F$3006,$J721),LEN($B$5))=$B$5,INDEX(NKC!$G$7:$G$3006,$J721),INDEX(NKC!$F$7:$F$3006,$J721)))</f>
        <v/>
      </c>
      <c r="F721" s="125">
        <f>IF($J721="","",IF(LEFT(INDEX(NKC!$F$7:$F$3006,$J721),LEN($B$5))=$B$5,INDEX(NKC!$H$7:$H$3006,$J721),""))</f>
        <v/>
      </c>
      <c r="G721" s="125">
        <f>IF($J721="","",IF(LEFT(INDEX(NKC!$G$7:$G$3006,$J721),LEN($B$5))=$B$5,INDEX(NKC!$H$7:$H$3006,$J721),""))</f>
        <v/>
      </c>
      <c r="H721" s="132">
        <f>IF($J721="","",H720+N(F721)-N(G721))</f>
        <v/>
      </c>
      <c r="J721" s="117">
        <f>IFERROR(MATCH(714,NKC!$P$7:$P$3006,0),"")</f>
        <v/>
      </c>
    </row>
    <row r="722" ht="15" customHeight="1" s="78">
      <c r="A722" s="131">
        <f>IF($J722="","",INDEX(NKC!$B$7:$B$3006,$J722))</f>
        <v/>
      </c>
      <c r="B722" s="95">
        <f>IF($J722="","",INDEX(NKC!$C$7:$C$3006,$J722))</f>
        <v/>
      </c>
      <c r="C722" s="131">
        <f>IF($J722="","",INDEX(NKC!$D$7:$D$3006,$J722))</f>
        <v/>
      </c>
      <c r="D722" s="97">
        <f>IF($J722="","",INDEX(NKC!$E$7:$E$3006,$J722))</f>
        <v/>
      </c>
      <c r="E722" s="95">
        <f>IF($J722="","",IF(LEFT(INDEX(NKC!$F$7:$F$3006,$J722),LEN($B$5))=$B$5,INDEX(NKC!$G$7:$G$3006,$J722),INDEX(NKC!$F$7:$F$3006,$J722)))</f>
        <v/>
      </c>
      <c r="F722" s="125">
        <f>IF($J722="","",IF(LEFT(INDEX(NKC!$F$7:$F$3006,$J722),LEN($B$5))=$B$5,INDEX(NKC!$H$7:$H$3006,$J722),""))</f>
        <v/>
      </c>
      <c r="G722" s="125">
        <f>IF($J722="","",IF(LEFT(INDEX(NKC!$G$7:$G$3006,$J722),LEN($B$5))=$B$5,INDEX(NKC!$H$7:$H$3006,$J722),""))</f>
        <v/>
      </c>
      <c r="H722" s="132">
        <f>IF($J722="","",H721+N(F722)-N(G722))</f>
        <v/>
      </c>
      <c r="J722" s="117">
        <f>IFERROR(MATCH(715,NKC!$P$7:$P$3006,0),"")</f>
        <v/>
      </c>
    </row>
    <row r="723" ht="15" customHeight="1" s="78">
      <c r="A723" s="131">
        <f>IF($J723="","",INDEX(NKC!$B$7:$B$3006,$J723))</f>
        <v/>
      </c>
      <c r="B723" s="95">
        <f>IF($J723="","",INDEX(NKC!$C$7:$C$3006,$J723))</f>
        <v/>
      </c>
      <c r="C723" s="131">
        <f>IF($J723="","",INDEX(NKC!$D$7:$D$3006,$J723))</f>
        <v/>
      </c>
      <c r="D723" s="97">
        <f>IF($J723="","",INDEX(NKC!$E$7:$E$3006,$J723))</f>
        <v/>
      </c>
      <c r="E723" s="95">
        <f>IF($J723="","",IF(LEFT(INDEX(NKC!$F$7:$F$3006,$J723),LEN($B$5))=$B$5,INDEX(NKC!$G$7:$G$3006,$J723),INDEX(NKC!$F$7:$F$3006,$J723)))</f>
        <v/>
      </c>
      <c r="F723" s="125">
        <f>IF($J723="","",IF(LEFT(INDEX(NKC!$F$7:$F$3006,$J723),LEN($B$5))=$B$5,INDEX(NKC!$H$7:$H$3006,$J723),""))</f>
        <v/>
      </c>
      <c r="G723" s="125">
        <f>IF($J723="","",IF(LEFT(INDEX(NKC!$G$7:$G$3006,$J723),LEN($B$5))=$B$5,INDEX(NKC!$H$7:$H$3006,$J723),""))</f>
        <v/>
      </c>
      <c r="H723" s="132">
        <f>IF($J723="","",H722+N(F723)-N(G723))</f>
        <v/>
      </c>
      <c r="J723" s="117">
        <f>IFERROR(MATCH(716,NKC!$P$7:$P$3006,0),"")</f>
        <v/>
      </c>
    </row>
    <row r="724" ht="15" customHeight="1" s="78">
      <c r="A724" s="131">
        <f>IF($J724="","",INDEX(NKC!$B$7:$B$3006,$J724))</f>
        <v/>
      </c>
      <c r="B724" s="95">
        <f>IF($J724="","",INDEX(NKC!$C$7:$C$3006,$J724))</f>
        <v/>
      </c>
      <c r="C724" s="131">
        <f>IF($J724="","",INDEX(NKC!$D$7:$D$3006,$J724))</f>
        <v/>
      </c>
      <c r="D724" s="97">
        <f>IF($J724="","",INDEX(NKC!$E$7:$E$3006,$J724))</f>
        <v/>
      </c>
      <c r="E724" s="95">
        <f>IF($J724="","",IF(LEFT(INDEX(NKC!$F$7:$F$3006,$J724),LEN($B$5))=$B$5,INDEX(NKC!$G$7:$G$3006,$J724),INDEX(NKC!$F$7:$F$3006,$J724)))</f>
        <v/>
      </c>
      <c r="F724" s="125">
        <f>IF($J724="","",IF(LEFT(INDEX(NKC!$F$7:$F$3006,$J724),LEN($B$5))=$B$5,INDEX(NKC!$H$7:$H$3006,$J724),""))</f>
        <v/>
      </c>
      <c r="G724" s="125">
        <f>IF($J724="","",IF(LEFT(INDEX(NKC!$G$7:$G$3006,$J724),LEN($B$5))=$B$5,INDEX(NKC!$H$7:$H$3006,$J724),""))</f>
        <v/>
      </c>
      <c r="H724" s="132">
        <f>IF($J724="","",H723+N(F724)-N(G724))</f>
        <v/>
      </c>
      <c r="J724" s="117">
        <f>IFERROR(MATCH(717,NKC!$P$7:$P$3006,0),"")</f>
        <v/>
      </c>
    </row>
    <row r="725" ht="15" customHeight="1" s="78">
      <c r="A725" s="131">
        <f>IF($J725="","",INDEX(NKC!$B$7:$B$3006,$J725))</f>
        <v/>
      </c>
      <c r="B725" s="95">
        <f>IF($J725="","",INDEX(NKC!$C$7:$C$3006,$J725))</f>
        <v/>
      </c>
      <c r="C725" s="131">
        <f>IF($J725="","",INDEX(NKC!$D$7:$D$3006,$J725))</f>
        <v/>
      </c>
      <c r="D725" s="97">
        <f>IF($J725="","",INDEX(NKC!$E$7:$E$3006,$J725))</f>
        <v/>
      </c>
      <c r="E725" s="95">
        <f>IF($J725="","",IF(LEFT(INDEX(NKC!$F$7:$F$3006,$J725),LEN($B$5))=$B$5,INDEX(NKC!$G$7:$G$3006,$J725),INDEX(NKC!$F$7:$F$3006,$J725)))</f>
        <v/>
      </c>
      <c r="F725" s="125">
        <f>IF($J725="","",IF(LEFT(INDEX(NKC!$F$7:$F$3006,$J725),LEN($B$5))=$B$5,INDEX(NKC!$H$7:$H$3006,$J725),""))</f>
        <v/>
      </c>
      <c r="G725" s="125">
        <f>IF($J725="","",IF(LEFT(INDEX(NKC!$G$7:$G$3006,$J725),LEN($B$5))=$B$5,INDEX(NKC!$H$7:$H$3006,$J725),""))</f>
        <v/>
      </c>
      <c r="H725" s="132">
        <f>IF($J725="","",H724+N(F725)-N(G725))</f>
        <v/>
      </c>
      <c r="J725" s="117">
        <f>IFERROR(MATCH(718,NKC!$P$7:$P$3006,0),"")</f>
        <v/>
      </c>
    </row>
    <row r="726" ht="15" customHeight="1" s="78">
      <c r="A726" s="131">
        <f>IF($J726="","",INDEX(NKC!$B$7:$B$3006,$J726))</f>
        <v/>
      </c>
      <c r="B726" s="95">
        <f>IF($J726="","",INDEX(NKC!$C$7:$C$3006,$J726))</f>
        <v/>
      </c>
      <c r="C726" s="131">
        <f>IF($J726="","",INDEX(NKC!$D$7:$D$3006,$J726))</f>
        <v/>
      </c>
      <c r="D726" s="97">
        <f>IF($J726="","",INDEX(NKC!$E$7:$E$3006,$J726))</f>
        <v/>
      </c>
      <c r="E726" s="95">
        <f>IF($J726="","",IF(LEFT(INDEX(NKC!$F$7:$F$3006,$J726),LEN($B$5))=$B$5,INDEX(NKC!$G$7:$G$3006,$J726),INDEX(NKC!$F$7:$F$3006,$J726)))</f>
        <v/>
      </c>
      <c r="F726" s="125">
        <f>IF($J726="","",IF(LEFT(INDEX(NKC!$F$7:$F$3006,$J726),LEN($B$5))=$B$5,INDEX(NKC!$H$7:$H$3006,$J726),""))</f>
        <v/>
      </c>
      <c r="G726" s="125">
        <f>IF($J726="","",IF(LEFT(INDEX(NKC!$G$7:$G$3006,$J726),LEN($B$5))=$B$5,INDEX(NKC!$H$7:$H$3006,$J726),""))</f>
        <v/>
      </c>
      <c r="H726" s="132">
        <f>IF($J726="","",H725+N(F726)-N(G726))</f>
        <v/>
      </c>
      <c r="J726" s="117">
        <f>IFERROR(MATCH(719,NKC!$P$7:$P$3006,0),"")</f>
        <v/>
      </c>
    </row>
    <row r="727" ht="15" customHeight="1" s="78">
      <c r="A727" s="131">
        <f>IF($J727="","",INDEX(NKC!$B$7:$B$3006,$J727))</f>
        <v/>
      </c>
      <c r="B727" s="95">
        <f>IF($J727="","",INDEX(NKC!$C$7:$C$3006,$J727))</f>
        <v/>
      </c>
      <c r="C727" s="131">
        <f>IF($J727="","",INDEX(NKC!$D$7:$D$3006,$J727))</f>
        <v/>
      </c>
      <c r="D727" s="97">
        <f>IF($J727="","",INDEX(NKC!$E$7:$E$3006,$J727))</f>
        <v/>
      </c>
      <c r="E727" s="95">
        <f>IF($J727="","",IF(LEFT(INDEX(NKC!$F$7:$F$3006,$J727),LEN($B$5))=$B$5,INDEX(NKC!$G$7:$G$3006,$J727),INDEX(NKC!$F$7:$F$3006,$J727)))</f>
        <v/>
      </c>
      <c r="F727" s="125">
        <f>IF($J727="","",IF(LEFT(INDEX(NKC!$F$7:$F$3006,$J727),LEN($B$5))=$B$5,INDEX(NKC!$H$7:$H$3006,$J727),""))</f>
        <v/>
      </c>
      <c r="G727" s="125">
        <f>IF($J727="","",IF(LEFT(INDEX(NKC!$G$7:$G$3006,$J727),LEN($B$5))=$B$5,INDEX(NKC!$H$7:$H$3006,$J727),""))</f>
        <v/>
      </c>
      <c r="H727" s="132">
        <f>IF($J727="","",H726+N(F727)-N(G727))</f>
        <v/>
      </c>
      <c r="J727" s="117">
        <f>IFERROR(MATCH(720,NKC!$P$7:$P$3006,0),"")</f>
        <v/>
      </c>
    </row>
    <row r="728" ht="15" customHeight="1" s="78">
      <c r="A728" s="131">
        <f>IF($J728="","",INDEX(NKC!$B$7:$B$3006,$J728))</f>
        <v/>
      </c>
      <c r="B728" s="95">
        <f>IF($J728="","",INDEX(NKC!$C$7:$C$3006,$J728))</f>
        <v/>
      </c>
      <c r="C728" s="131">
        <f>IF($J728="","",INDEX(NKC!$D$7:$D$3006,$J728))</f>
        <v/>
      </c>
      <c r="D728" s="97">
        <f>IF($J728="","",INDEX(NKC!$E$7:$E$3006,$J728))</f>
        <v/>
      </c>
      <c r="E728" s="95">
        <f>IF($J728="","",IF(LEFT(INDEX(NKC!$F$7:$F$3006,$J728),LEN($B$5))=$B$5,INDEX(NKC!$G$7:$G$3006,$J728),INDEX(NKC!$F$7:$F$3006,$J728)))</f>
        <v/>
      </c>
      <c r="F728" s="125">
        <f>IF($J728="","",IF(LEFT(INDEX(NKC!$F$7:$F$3006,$J728),LEN($B$5))=$B$5,INDEX(NKC!$H$7:$H$3006,$J728),""))</f>
        <v/>
      </c>
      <c r="G728" s="125">
        <f>IF($J728="","",IF(LEFT(INDEX(NKC!$G$7:$G$3006,$J728),LEN($B$5))=$B$5,INDEX(NKC!$H$7:$H$3006,$J728),""))</f>
        <v/>
      </c>
      <c r="H728" s="132">
        <f>IF($J728="","",H727+N(F728)-N(G728))</f>
        <v/>
      </c>
      <c r="J728" s="117">
        <f>IFERROR(MATCH(721,NKC!$P$7:$P$3006,0),"")</f>
        <v/>
      </c>
    </row>
    <row r="729" ht="15" customHeight="1" s="78">
      <c r="A729" s="131">
        <f>IF($J729="","",INDEX(NKC!$B$7:$B$3006,$J729))</f>
        <v/>
      </c>
      <c r="B729" s="95">
        <f>IF($J729="","",INDEX(NKC!$C$7:$C$3006,$J729))</f>
        <v/>
      </c>
      <c r="C729" s="131">
        <f>IF($J729="","",INDEX(NKC!$D$7:$D$3006,$J729))</f>
        <v/>
      </c>
      <c r="D729" s="97">
        <f>IF($J729="","",INDEX(NKC!$E$7:$E$3006,$J729))</f>
        <v/>
      </c>
      <c r="E729" s="95">
        <f>IF($J729="","",IF(LEFT(INDEX(NKC!$F$7:$F$3006,$J729),LEN($B$5))=$B$5,INDEX(NKC!$G$7:$G$3006,$J729),INDEX(NKC!$F$7:$F$3006,$J729)))</f>
        <v/>
      </c>
      <c r="F729" s="125">
        <f>IF($J729="","",IF(LEFT(INDEX(NKC!$F$7:$F$3006,$J729),LEN($B$5))=$B$5,INDEX(NKC!$H$7:$H$3006,$J729),""))</f>
        <v/>
      </c>
      <c r="G729" s="125">
        <f>IF($J729="","",IF(LEFT(INDEX(NKC!$G$7:$G$3006,$J729),LEN($B$5))=$B$5,INDEX(NKC!$H$7:$H$3006,$J729),""))</f>
        <v/>
      </c>
      <c r="H729" s="132">
        <f>IF($J729="","",H728+N(F729)-N(G729))</f>
        <v/>
      </c>
      <c r="J729" s="117">
        <f>IFERROR(MATCH(722,NKC!$P$7:$P$3006,0),"")</f>
        <v/>
      </c>
    </row>
    <row r="730" ht="15" customHeight="1" s="78">
      <c r="A730" s="131">
        <f>IF($J730="","",INDEX(NKC!$B$7:$B$3006,$J730))</f>
        <v/>
      </c>
      <c r="B730" s="95">
        <f>IF($J730="","",INDEX(NKC!$C$7:$C$3006,$J730))</f>
        <v/>
      </c>
      <c r="C730" s="131">
        <f>IF($J730="","",INDEX(NKC!$D$7:$D$3006,$J730))</f>
        <v/>
      </c>
      <c r="D730" s="97">
        <f>IF($J730="","",INDEX(NKC!$E$7:$E$3006,$J730))</f>
        <v/>
      </c>
      <c r="E730" s="95">
        <f>IF($J730="","",IF(LEFT(INDEX(NKC!$F$7:$F$3006,$J730),LEN($B$5))=$B$5,INDEX(NKC!$G$7:$G$3006,$J730),INDEX(NKC!$F$7:$F$3006,$J730)))</f>
        <v/>
      </c>
      <c r="F730" s="125">
        <f>IF($J730="","",IF(LEFT(INDEX(NKC!$F$7:$F$3006,$J730),LEN($B$5))=$B$5,INDEX(NKC!$H$7:$H$3006,$J730),""))</f>
        <v/>
      </c>
      <c r="G730" s="125">
        <f>IF($J730="","",IF(LEFT(INDEX(NKC!$G$7:$G$3006,$J730),LEN($B$5))=$B$5,INDEX(NKC!$H$7:$H$3006,$J730),""))</f>
        <v/>
      </c>
      <c r="H730" s="132">
        <f>IF($J730="","",H729+N(F730)-N(G730))</f>
        <v/>
      </c>
      <c r="J730" s="117">
        <f>IFERROR(MATCH(723,NKC!$P$7:$P$3006,0),"")</f>
        <v/>
      </c>
    </row>
    <row r="731" ht="15" customHeight="1" s="78">
      <c r="A731" s="131">
        <f>IF($J731="","",INDEX(NKC!$B$7:$B$3006,$J731))</f>
        <v/>
      </c>
      <c r="B731" s="95">
        <f>IF($J731="","",INDEX(NKC!$C$7:$C$3006,$J731))</f>
        <v/>
      </c>
      <c r="C731" s="131">
        <f>IF($J731="","",INDEX(NKC!$D$7:$D$3006,$J731))</f>
        <v/>
      </c>
      <c r="D731" s="97">
        <f>IF($J731="","",INDEX(NKC!$E$7:$E$3006,$J731))</f>
        <v/>
      </c>
      <c r="E731" s="95">
        <f>IF($J731="","",IF(LEFT(INDEX(NKC!$F$7:$F$3006,$J731),LEN($B$5))=$B$5,INDEX(NKC!$G$7:$G$3006,$J731),INDEX(NKC!$F$7:$F$3006,$J731)))</f>
        <v/>
      </c>
      <c r="F731" s="125">
        <f>IF($J731="","",IF(LEFT(INDEX(NKC!$F$7:$F$3006,$J731),LEN($B$5))=$B$5,INDEX(NKC!$H$7:$H$3006,$J731),""))</f>
        <v/>
      </c>
      <c r="G731" s="125">
        <f>IF($J731="","",IF(LEFT(INDEX(NKC!$G$7:$G$3006,$J731),LEN($B$5))=$B$5,INDEX(NKC!$H$7:$H$3006,$J731),""))</f>
        <v/>
      </c>
      <c r="H731" s="132">
        <f>IF($J731="","",H730+N(F731)-N(G731))</f>
        <v/>
      </c>
      <c r="J731" s="117">
        <f>IFERROR(MATCH(724,NKC!$P$7:$P$3006,0),"")</f>
        <v/>
      </c>
    </row>
    <row r="732" ht="15" customHeight="1" s="78">
      <c r="A732" s="131">
        <f>IF($J732="","",INDEX(NKC!$B$7:$B$3006,$J732))</f>
        <v/>
      </c>
      <c r="B732" s="95">
        <f>IF($J732="","",INDEX(NKC!$C$7:$C$3006,$J732))</f>
        <v/>
      </c>
      <c r="C732" s="131">
        <f>IF($J732="","",INDEX(NKC!$D$7:$D$3006,$J732))</f>
        <v/>
      </c>
      <c r="D732" s="97">
        <f>IF($J732="","",INDEX(NKC!$E$7:$E$3006,$J732))</f>
        <v/>
      </c>
      <c r="E732" s="95">
        <f>IF($J732="","",IF(LEFT(INDEX(NKC!$F$7:$F$3006,$J732),LEN($B$5))=$B$5,INDEX(NKC!$G$7:$G$3006,$J732),INDEX(NKC!$F$7:$F$3006,$J732)))</f>
        <v/>
      </c>
      <c r="F732" s="125">
        <f>IF($J732="","",IF(LEFT(INDEX(NKC!$F$7:$F$3006,$J732),LEN($B$5))=$B$5,INDEX(NKC!$H$7:$H$3006,$J732),""))</f>
        <v/>
      </c>
      <c r="G732" s="125">
        <f>IF($J732="","",IF(LEFT(INDEX(NKC!$G$7:$G$3006,$J732),LEN($B$5))=$B$5,INDEX(NKC!$H$7:$H$3006,$J732),""))</f>
        <v/>
      </c>
      <c r="H732" s="132">
        <f>IF($J732="","",H731+N(F732)-N(G732))</f>
        <v/>
      </c>
      <c r="J732" s="117">
        <f>IFERROR(MATCH(725,NKC!$P$7:$P$3006,0),"")</f>
        <v/>
      </c>
    </row>
    <row r="733" ht="15" customHeight="1" s="78">
      <c r="A733" s="131">
        <f>IF($J733="","",INDEX(NKC!$B$7:$B$3006,$J733))</f>
        <v/>
      </c>
      <c r="B733" s="95">
        <f>IF($J733="","",INDEX(NKC!$C$7:$C$3006,$J733))</f>
        <v/>
      </c>
      <c r="C733" s="131">
        <f>IF($J733="","",INDEX(NKC!$D$7:$D$3006,$J733))</f>
        <v/>
      </c>
      <c r="D733" s="97">
        <f>IF($J733="","",INDEX(NKC!$E$7:$E$3006,$J733))</f>
        <v/>
      </c>
      <c r="E733" s="95">
        <f>IF($J733="","",IF(LEFT(INDEX(NKC!$F$7:$F$3006,$J733),LEN($B$5))=$B$5,INDEX(NKC!$G$7:$G$3006,$J733),INDEX(NKC!$F$7:$F$3006,$J733)))</f>
        <v/>
      </c>
      <c r="F733" s="125">
        <f>IF($J733="","",IF(LEFT(INDEX(NKC!$F$7:$F$3006,$J733),LEN($B$5))=$B$5,INDEX(NKC!$H$7:$H$3006,$J733),""))</f>
        <v/>
      </c>
      <c r="G733" s="125">
        <f>IF($J733="","",IF(LEFT(INDEX(NKC!$G$7:$G$3006,$J733),LEN($B$5))=$B$5,INDEX(NKC!$H$7:$H$3006,$J733),""))</f>
        <v/>
      </c>
      <c r="H733" s="132">
        <f>IF($J733="","",H732+N(F733)-N(G733))</f>
        <v/>
      </c>
      <c r="J733" s="117">
        <f>IFERROR(MATCH(726,NKC!$P$7:$P$3006,0),"")</f>
        <v/>
      </c>
    </row>
    <row r="734" ht="15" customHeight="1" s="78">
      <c r="A734" s="131">
        <f>IF($J734="","",INDEX(NKC!$B$7:$B$3006,$J734))</f>
        <v/>
      </c>
      <c r="B734" s="95">
        <f>IF($J734="","",INDEX(NKC!$C$7:$C$3006,$J734))</f>
        <v/>
      </c>
      <c r="C734" s="131">
        <f>IF($J734="","",INDEX(NKC!$D$7:$D$3006,$J734))</f>
        <v/>
      </c>
      <c r="D734" s="97">
        <f>IF($J734="","",INDEX(NKC!$E$7:$E$3006,$J734))</f>
        <v/>
      </c>
      <c r="E734" s="95">
        <f>IF($J734="","",IF(LEFT(INDEX(NKC!$F$7:$F$3006,$J734),LEN($B$5))=$B$5,INDEX(NKC!$G$7:$G$3006,$J734),INDEX(NKC!$F$7:$F$3006,$J734)))</f>
        <v/>
      </c>
      <c r="F734" s="125">
        <f>IF($J734="","",IF(LEFT(INDEX(NKC!$F$7:$F$3006,$J734),LEN($B$5))=$B$5,INDEX(NKC!$H$7:$H$3006,$J734),""))</f>
        <v/>
      </c>
      <c r="G734" s="125">
        <f>IF($J734="","",IF(LEFT(INDEX(NKC!$G$7:$G$3006,$J734),LEN($B$5))=$B$5,INDEX(NKC!$H$7:$H$3006,$J734),""))</f>
        <v/>
      </c>
      <c r="H734" s="132">
        <f>IF($J734="","",H733+N(F734)-N(G734))</f>
        <v/>
      </c>
      <c r="J734" s="117">
        <f>IFERROR(MATCH(727,NKC!$P$7:$P$3006,0),"")</f>
        <v/>
      </c>
    </row>
    <row r="735" ht="15" customHeight="1" s="78">
      <c r="A735" s="131">
        <f>IF($J735="","",INDEX(NKC!$B$7:$B$3006,$J735))</f>
        <v/>
      </c>
      <c r="B735" s="95">
        <f>IF($J735="","",INDEX(NKC!$C$7:$C$3006,$J735))</f>
        <v/>
      </c>
      <c r="C735" s="131">
        <f>IF($J735="","",INDEX(NKC!$D$7:$D$3006,$J735))</f>
        <v/>
      </c>
      <c r="D735" s="97">
        <f>IF($J735="","",INDEX(NKC!$E$7:$E$3006,$J735))</f>
        <v/>
      </c>
      <c r="E735" s="95">
        <f>IF($J735="","",IF(LEFT(INDEX(NKC!$F$7:$F$3006,$J735),LEN($B$5))=$B$5,INDEX(NKC!$G$7:$G$3006,$J735),INDEX(NKC!$F$7:$F$3006,$J735)))</f>
        <v/>
      </c>
      <c r="F735" s="125">
        <f>IF($J735="","",IF(LEFT(INDEX(NKC!$F$7:$F$3006,$J735),LEN($B$5))=$B$5,INDEX(NKC!$H$7:$H$3006,$J735),""))</f>
        <v/>
      </c>
      <c r="G735" s="125">
        <f>IF($J735="","",IF(LEFT(INDEX(NKC!$G$7:$G$3006,$J735),LEN($B$5))=$B$5,INDEX(NKC!$H$7:$H$3006,$J735),""))</f>
        <v/>
      </c>
      <c r="H735" s="132">
        <f>IF($J735="","",H734+N(F735)-N(G735))</f>
        <v/>
      </c>
      <c r="J735" s="117">
        <f>IFERROR(MATCH(728,NKC!$P$7:$P$3006,0),"")</f>
        <v/>
      </c>
    </row>
    <row r="736" ht="15" customHeight="1" s="78">
      <c r="A736" s="131">
        <f>IF($J736="","",INDEX(NKC!$B$7:$B$3006,$J736))</f>
        <v/>
      </c>
      <c r="B736" s="95">
        <f>IF($J736="","",INDEX(NKC!$C$7:$C$3006,$J736))</f>
        <v/>
      </c>
      <c r="C736" s="131">
        <f>IF($J736="","",INDEX(NKC!$D$7:$D$3006,$J736))</f>
        <v/>
      </c>
      <c r="D736" s="97">
        <f>IF($J736="","",INDEX(NKC!$E$7:$E$3006,$J736))</f>
        <v/>
      </c>
      <c r="E736" s="95">
        <f>IF($J736="","",IF(LEFT(INDEX(NKC!$F$7:$F$3006,$J736),LEN($B$5))=$B$5,INDEX(NKC!$G$7:$G$3006,$J736),INDEX(NKC!$F$7:$F$3006,$J736)))</f>
        <v/>
      </c>
      <c r="F736" s="125">
        <f>IF($J736="","",IF(LEFT(INDEX(NKC!$F$7:$F$3006,$J736),LEN($B$5))=$B$5,INDEX(NKC!$H$7:$H$3006,$J736),""))</f>
        <v/>
      </c>
      <c r="G736" s="125">
        <f>IF($J736="","",IF(LEFT(INDEX(NKC!$G$7:$G$3006,$J736),LEN($B$5))=$B$5,INDEX(NKC!$H$7:$H$3006,$J736),""))</f>
        <v/>
      </c>
      <c r="H736" s="132">
        <f>IF($J736="","",H735+N(F736)-N(G736))</f>
        <v/>
      </c>
      <c r="J736" s="117">
        <f>IFERROR(MATCH(729,NKC!$P$7:$P$3006,0),"")</f>
        <v/>
      </c>
    </row>
    <row r="737" ht="15" customHeight="1" s="78">
      <c r="A737" s="131">
        <f>IF($J737="","",INDEX(NKC!$B$7:$B$3006,$J737))</f>
        <v/>
      </c>
      <c r="B737" s="95">
        <f>IF($J737="","",INDEX(NKC!$C$7:$C$3006,$J737))</f>
        <v/>
      </c>
      <c r="C737" s="131">
        <f>IF($J737="","",INDEX(NKC!$D$7:$D$3006,$J737))</f>
        <v/>
      </c>
      <c r="D737" s="97">
        <f>IF($J737="","",INDEX(NKC!$E$7:$E$3006,$J737))</f>
        <v/>
      </c>
      <c r="E737" s="95">
        <f>IF($J737="","",IF(LEFT(INDEX(NKC!$F$7:$F$3006,$J737),LEN($B$5))=$B$5,INDEX(NKC!$G$7:$G$3006,$J737),INDEX(NKC!$F$7:$F$3006,$J737)))</f>
        <v/>
      </c>
      <c r="F737" s="125">
        <f>IF($J737="","",IF(LEFT(INDEX(NKC!$F$7:$F$3006,$J737),LEN($B$5))=$B$5,INDEX(NKC!$H$7:$H$3006,$J737),""))</f>
        <v/>
      </c>
      <c r="G737" s="125">
        <f>IF($J737="","",IF(LEFT(INDEX(NKC!$G$7:$G$3006,$J737),LEN($B$5))=$B$5,INDEX(NKC!$H$7:$H$3006,$J737),""))</f>
        <v/>
      </c>
      <c r="H737" s="132">
        <f>IF($J737="","",H736+N(F737)-N(G737))</f>
        <v/>
      </c>
      <c r="J737" s="117">
        <f>IFERROR(MATCH(730,NKC!$P$7:$P$3006,0),"")</f>
        <v/>
      </c>
    </row>
    <row r="738" ht="15" customHeight="1" s="78">
      <c r="A738" s="131">
        <f>IF($J738="","",INDEX(NKC!$B$7:$B$3006,$J738))</f>
        <v/>
      </c>
      <c r="B738" s="95">
        <f>IF($J738="","",INDEX(NKC!$C$7:$C$3006,$J738))</f>
        <v/>
      </c>
      <c r="C738" s="131">
        <f>IF($J738="","",INDEX(NKC!$D$7:$D$3006,$J738))</f>
        <v/>
      </c>
      <c r="D738" s="97">
        <f>IF($J738="","",INDEX(NKC!$E$7:$E$3006,$J738))</f>
        <v/>
      </c>
      <c r="E738" s="95">
        <f>IF($J738="","",IF(LEFT(INDEX(NKC!$F$7:$F$3006,$J738),LEN($B$5))=$B$5,INDEX(NKC!$G$7:$G$3006,$J738),INDEX(NKC!$F$7:$F$3006,$J738)))</f>
        <v/>
      </c>
      <c r="F738" s="125">
        <f>IF($J738="","",IF(LEFT(INDEX(NKC!$F$7:$F$3006,$J738),LEN($B$5))=$B$5,INDEX(NKC!$H$7:$H$3006,$J738),""))</f>
        <v/>
      </c>
      <c r="G738" s="125">
        <f>IF($J738="","",IF(LEFT(INDEX(NKC!$G$7:$G$3006,$J738),LEN($B$5))=$B$5,INDEX(NKC!$H$7:$H$3006,$J738),""))</f>
        <v/>
      </c>
      <c r="H738" s="132">
        <f>IF($J738="","",H737+N(F738)-N(G738))</f>
        <v/>
      </c>
      <c r="J738" s="117">
        <f>IFERROR(MATCH(731,NKC!$P$7:$P$3006,0),"")</f>
        <v/>
      </c>
    </row>
    <row r="739" ht="15" customHeight="1" s="78">
      <c r="A739" s="131">
        <f>IF($J739="","",INDEX(NKC!$B$7:$B$3006,$J739))</f>
        <v/>
      </c>
      <c r="B739" s="95">
        <f>IF($J739="","",INDEX(NKC!$C$7:$C$3006,$J739))</f>
        <v/>
      </c>
      <c r="C739" s="131">
        <f>IF($J739="","",INDEX(NKC!$D$7:$D$3006,$J739))</f>
        <v/>
      </c>
      <c r="D739" s="97">
        <f>IF($J739="","",INDEX(NKC!$E$7:$E$3006,$J739))</f>
        <v/>
      </c>
      <c r="E739" s="95">
        <f>IF($J739="","",IF(LEFT(INDEX(NKC!$F$7:$F$3006,$J739),LEN($B$5))=$B$5,INDEX(NKC!$G$7:$G$3006,$J739),INDEX(NKC!$F$7:$F$3006,$J739)))</f>
        <v/>
      </c>
      <c r="F739" s="125">
        <f>IF($J739="","",IF(LEFT(INDEX(NKC!$F$7:$F$3006,$J739),LEN($B$5))=$B$5,INDEX(NKC!$H$7:$H$3006,$J739),""))</f>
        <v/>
      </c>
      <c r="G739" s="125">
        <f>IF($J739="","",IF(LEFT(INDEX(NKC!$G$7:$G$3006,$J739),LEN($B$5))=$B$5,INDEX(NKC!$H$7:$H$3006,$J739),""))</f>
        <v/>
      </c>
      <c r="H739" s="132">
        <f>IF($J739="","",H738+N(F739)-N(G739))</f>
        <v/>
      </c>
      <c r="J739" s="117">
        <f>IFERROR(MATCH(732,NKC!$P$7:$P$3006,0),"")</f>
        <v/>
      </c>
    </row>
    <row r="740" ht="15" customHeight="1" s="78">
      <c r="A740" s="131">
        <f>IF($J740="","",INDEX(NKC!$B$7:$B$3006,$J740))</f>
        <v/>
      </c>
      <c r="B740" s="95">
        <f>IF($J740="","",INDEX(NKC!$C$7:$C$3006,$J740))</f>
        <v/>
      </c>
      <c r="C740" s="131">
        <f>IF($J740="","",INDEX(NKC!$D$7:$D$3006,$J740))</f>
        <v/>
      </c>
      <c r="D740" s="97">
        <f>IF($J740="","",INDEX(NKC!$E$7:$E$3006,$J740))</f>
        <v/>
      </c>
      <c r="E740" s="95">
        <f>IF($J740="","",IF(LEFT(INDEX(NKC!$F$7:$F$3006,$J740),LEN($B$5))=$B$5,INDEX(NKC!$G$7:$G$3006,$J740),INDEX(NKC!$F$7:$F$3006,$J740)))</f>
        <v/>
      </c>
      <c r="F740" s="125">
        <f>IF($J740="","",IF(LEFT(INDEX(NKC!$F$7:$F$3006,$J740),LEN($B$5))=$B$5,INDEX(NKC!$H$7:$H$3006,$J740),""))</f>
        <v/>
      </c>
      <c r="G740" s="125">
        <f>IF($J740="","",IF(LEFT(INDEX(NKC!$G$7:$G$3006,$J740),LEN($B$5))=$B$5,INDEX(NKC!$H$7:$H$3006,$J740),""))</f>
        <v/>
      </c>
      <c r="H740" s="132">
        <f>IF($J740="","",H739+N(F740)-N(G740))</f>
        <v/>
      </c>
      <c r="J740" s="117">
        <f>IFERROR(MATCH(733,NKC!$P$7:$P$3006,0),"")</f>
        <v/>
      </c>
    </row>
    <row r="741" ht="15" customHeight="1" s="78">
      <c r="A741" s="131">
        <f>IF($J741="","",INDEX(NKC!$B$7:$B$3006,$J741))</f>
        <v/>
      </c>
      <c r="B741" s="95">
        <f>IF($J741="","",INDEX(NKC!$C$7:$C$3006,$J741))</f>
        <v/>
      </c>
      <c r="C741" s="131">
        <f>IF($J741="","",INDEX(NKC!$D$7:$D$3006,$J741))</f>
        <v/>
      </c>
      <c r="D741" s="97">
        <f>IF($J741="","",INDEX(NKC!$E$7:$E$3006,$J741))</f>
        <v/>
      </c>
      <c r="E741" s="95">
        <f>IF($J741="","",IF(LEFT(INDEX(NKC!$F$7:$F$3006,$J741),LEN($B$5))=$B$5,INDEX(NKC!$G$7:$G$3006,$J741),INDEX(NKC!$F$7:$F$3006,$J741)))</f>
        <v/>
      </c>
      <c r="F741" s="125">
        <f>IF($J741="","",IF(LEFT(INDEX(NKC!$F$7:$F$3006,$J741),LEN($B$5))=$B$5,INDEX(NKC!$H$7:$H$3006,$J741),""))</f>
        <v/>
      </c>
      <c r="G741" s="125">
        <f>IF($J741="","",IF(LEFT(INDEX(NKC!$G$7:$G$3006,$J741),LEN($B$5))=$B$5,INDEX(NKC!$H$7:$H$3006,$J741),""))</f>
        <v/>
      </c>
      <c r="H741" s="132">
        <f>IF($J741="","",H740+N(F741)-N(G741))</f>
        <v/>
      </c>
      <c r="J741" s="117">
        <f>IFERROR(MATCH(734,NKC!$P$7:$P$3006,0),"")</f>
        <v/>
      </c>
    </row>
    <row r="742" ht="15" customHeight="1" s="78">
      <c r="A742" s="131">
        <f>IF($J742="","",INDEX(NKC!$B$7:$B$3006,$J742))</f>
        <v/>
      </c>
      <c r="B742" s="95">
        <f>IF($J742="","",INDEX(NKC!$C$7:$C$3006,$J742))</f>
        <v/>
      </c>
      <c r="C742" s="131">
        <f>IF($J742="","",INDEX(NKC!$D$7:$D$3006,$J742))</f>
        <v/>
      </c>
      <c r="D742" s="97">
        <f>IF($J742="","",INDEX(NKC!$E$7:$E$3006,$J742))</f>
        <v/>
      </c>
      <c r="E742" s="95">
        <f>IF($J742="","",IF(LEFT(INDEX(NKC!$F$7:$F$3006,$J742),LEN($B$5))=$B$5,INDEX(NKC!$G$7:$G$3006,$J742),INDEX(NKC!$F$7:$F$3006,$J742)))</f>
        <v/>
      </c>
      <c r="F742" s="125">
        <f>IF($J742="","",IF(LEFT(INDEX(NKC!$F$7:$F$3006,$J742),LEN($B$5))=$B$5,INDEX(NKC!$H$7:$H$3006,$J742),""))</f>
        <v/>
      </c>
      <c r="G742" s="125">
        <f>IF($J742="","",IF(LEFT(INDEX(NKC!$G$7:$G$3006,$J742),LEN($B$5))=$B$5,INDEX(NKC!$H$7:$H$3006,$J742),""))</f>
        <v/>
      </c>
      <c r="H742" s="132">
        <f>IF($J742="","",H741+N(F742)-N(G742))</f>
        <v/>
      </c>
      <c r="J742" s="117">
        <f>IFERROR(MATCH(735,NKC!$P$7:$P$3006,0),"")</f>
        <v/>
      </c>
    </row>
    <row r="743" ht="15" customHeight="1" s="78">
      <c r="A743" s="131">
        <f>IF($J743="","",INDEX(NKC!$B$7:$B$3006,$J743))</f>
        <v/>
      </c>
      <c r="B743" s="95">
        <f>IF($J743="","",INDEX(NKC!$C$7:$C$3006,$J743))</f>
        <v/>
      </c>
      <c r="C743" s="131">
        <f>IF($J743="","",INDEX(NKC!$D$7:$D$3006,$J743))</f>
        <v/>
      </c>
      <c r="D743" s="97">
        <f>IF($J743="","",INDEX(NKC!$E$7:$E$3006,$J743))</f>
        <v/>
      </c>
      <c r="E743" s="95">
        <f>IF($J743="","",IF(LEFT(INDEX(NKC!$F$7:$F$3006,$J743),LEN($B$5))=$B$5,INDEX(NKC!$G$7:$G$3006,$J743),INDEX(NKC!$F$7:$F$3006,$J743)))</f>
        <v/>
      </c>
      <c r="F743" s="125">
        <f>IF($J743="","",IF(LEFT(INDEX(NKC!$F$7:$F$3006,$J743),LEN($B$5))=$B$5,INDEX(NKC!$H$7:$H$3006,$J743),""))</f>
        <v/>
      </c>
      <c r="G743" s="125">
        <f>IF($J743="","",IF(LEFT(INDEX(NKC!$G$7:$G$3006,$J743),LEN($B$5))=$B$5,INDEX(NKC!$H$7:$H$3006,$J743),""))</f>
        <v/>
      </c>
      <c r="H743" s="132">
        <f>IF($J743="","",H742+N(F743)-N(G743))</f>
        <v/>
      </c>
      <c r="J743" s="117">
        <f>IFERROR(MATCH(736,NKC!$P$7:$P$3006,0),"")</f>
        <v/>
      </c>
    </row>
    <row r="744" ht="15" customHeight="1" s="78">
      <c r="A744" s="131">
        <f>IF($J744="","",INDEX(NKC!$B$7:$B$3006,$J744))</f>
        <v/>
      </c>
      <c r="B744" s="95">
        <f>IF($J744="","",INDEX(NKC!$C$7:$C$3006,$J744))</f>
        <v/>
      </c>
      <c r="C744" s="131">
        <f>IF($J744="","",INDEX(NKC!$D$7:$D$3006,$J744))</f>
        <v/>
      </c>
      <c r="D744" s="97">
        <f>IF($J744="","",INDEX(NKC!$E$7:$E$3006,$J744))</f>
        <v/>
      </c>
      <c r="E744" s="95">
        <f>IF($J744="","",IF(LEFT(INDEX(NKC!$F$7:$F$3006,$J744),LEN($B$5))=$B$5,INDEX(NKC!$G$7:$G$3006,$J744),INDEX(NKC!$F$7:$F$3006,$J744)))</f>
        <v/>
      </c>
      <c r="F744" s="125">
        <f>IF($J744="","",IF(LEFT(INDEX(NKC!$F$7:$F$3006,$J744),LEN($B$5))=$B$5,INDEX(NKC!$H$7:$H$3006,$J744),""))</f>
        <v/>
      </c>
      <c r="G744" s="125">
        <f>IF($J744="","",IF(LEFT(INDEX(NKC!$G$7:$G$3006,$J744),LEN($B$5))=$B$5,INDEX(NKC!$H$7:$H$3006,$J744),""))</f>
        <v/>
      </c>
      <c r="H744" s="132">
        <f>IF($J744="","",H743+N(F744)-N(G744))</f>
        <v/>
      </c>
      <c r="J744" s="117">
        <f>IFERROR(MATCH(737,NKC!$P$7:$P$3006,0),"")</f>
        <v/>
      </c>
    </row>
    <row r="745" ht="15" customHeight="1" s="78">
      <c r="A745" s="131">
        <f>IF($J745="","",INDEX(NKC!$B$7:$B$3006,$J745))</f>
        <v/>
      </c>
      <c r="B745" s="95">
        <f>IF($J745="","",INDEX(NKC!$C$7:$C$3006,$J745))</f>
        <v/>
      </c>
      <c r="C745" s="131">
        <f>IF($J745="","",INDEX(NKC!$D$7:$D$3006,$J745))</f>
        <v/>
      </c>
      <c r="D745" s="97">
        <f>IF($J745="","",INDEX(NKC!$E$7:$E$3006,$J745))</f>
        <v/>
      </c>
      <c r="E745" s="95">
        <f>IF($J745="","",IF(LEFT(INDEX(NKC!$F$7:$F$3006,$J745),LEN($B$5))=$B$5,INDEX(NKC!$G$7:$G$3006,$J745),INDEX(NKC!$F$7:$F$3006,$J745)))</f>
        <v/>
      </c>
      <c r="F745" s="125">
        <f>IF($J745="","",IF(LEFT(INDEX(NKC!$F$7:$F$3006,$J745),LEN($B$5))=$B$5,INDEX(NKC!$H$7:$H$3006,$J745),""))</f>
        <v/>
      </c>
      <c r="G745" s="125">
        <f>IF($J745="","",IF(LEFT(INDEX(NKC!$G$7:$G$3006,$J745),LEN($B$5))=$B$5,INDEX(NKC!$H$7:$H$3006,$J745),""))</f>
        <v/>
      </c>
      <c r="H745" s="132">
        <f>IF($J745="","",H744+N(F745)-N(G745))</f>
        <v/>
      </c>
      <c r="J745" s="117">
        <f>IFERROR(MATCH(738,NKC!$P$7:$P$3006,0),"")</f>
        <v/>
      </c>
    </row>
    <row r="746" ht="15" customHeight="1" s="78">
      <c r="A746" s="131">
        <f>IF($J746="","",INDEX(NKC!$B$7:$B$3006,$J746))</f>
        <v/>
      </c>
      <c r="B746" s="95">
        <f>IF($J746="","",INDEX(NKC!$C$7:$C$3006,$J746))</f>
        <v/>
      </c>
      <c r="C746" s="131">
        <f>IF($J746="","",INDEX(NKC!$D$7:$D$3006,$J746))</f>
        <v/>
      </c>
      <c r="D746" s="97">
        <f>IF($J746="","",INDEX(NKC!$E$7:$E$3006,$J746))</f>
        <v/>
      </c>
      <c r="E746" s="95">
        <f>IF($J746="","",IF(LEFT(INDEX(NKC!$F$7:$F$3006,$J746),LEN($B$5))=$B$5,INDEX(NKC!$G$7:$G$3006,$J746),INDEX(NKC!$F$7:$F$3006,$J746)))</f>
        <v/>
      </c>
      <c r="F746" s="125">
        <f>IF($J746="","",IF(LEFT(INDEX(NKC!$F$7:$F$3006,$J746),LEN($B$5))=$B$5,INDEX(NKC!$H$7:$H$3006,$J746),""))</f>
        <v/>
      </c>
      <c r="G746" s="125">
        <f>IF($J746="","",IF(LEFT(INDEX(NKC!$G$7:$G$3006,$J746),LEN($B$5))=$B$5,INDEX(NKC!$H$7:$H$3006,$J746),""))</f>
        <v/>
      </c>
      <c r="H746" s="132">
        <f>IF($J746="","",H745+N(F746)-N(G746))</f>
        <v/>
      </c>
      <c r="J746" s="117">
        <f>IFERROR(MATCH(739,NKC!$P$7:$P$3006,0),"")</f>
        <v/>
      </c>
    </row>
    <row r="747" ht="15" customHeight="1" s="78">
      <c r="A747" s="131">
        <f>IF($J747="","",INDEX(NKC!$B$7:$B$3006,$J747))</f>
        <v/>
      </c>
      <c r="B747" s="95">
        <f>IF($J747="","",INDEX(NKC!$C$7:$C$3006,$J747))</f>
        <v/>
      </c>
      <c r="C747" s="131">
        <f>IF($J747="","",INDEX(NKC!$D$7:$D$3006,$J747))</f>
        <v/>
      </c>
      <c r="D747" s="97">
        <f>IF($J747="","",INDEX(NKC!$E$7:$E$3006,$J747))</f>
        <v/>
      </c>
      <c r="E747" s="95">
        <f>IF($J747="","",IF(LEFT(INDEX(NKC!$F$7:$F$3006,$J747),LEN($B$5))=$B$5,INDEX(NKC!$G$7:$G$3006,$J747),INDEX(NKC!$F$7:$F$3006,$J747)))</f>
        <v/>
      </c>
      <c r="F747" s="125">
        <f>IF($J747="","",IF(LEFT(INDEX(NKC!$F$7:$F$3006,$J747),LEN($B$5))=$B$5,INDEX(NKC!$H$7:$H$3006,$J747),""))</f>
        <v/>
      </c>
      <c r="G747" s="125">
        <f>IF($J747="","",IF(LEFT(INDEX(NKC!$G$7:$G$3006,$J747),LEN($B$5))=$B$5,INDEX(NKC!$H$7:$H$3006,$J747),""))</f>
        <v/>
      </c>
      <c r="H747" s="132">
        <f>IF($J747="","",H746+N(F747)-N(G747))</f>
        <v/>
      </c>
      <c r="J747" s="117">
        <f>IFERROR(MATCH(740,NKC!$P$7:$P$3006,0),"")</f>
        <v/>
      </c>
    </row>
    <row r="748" ht="15" customHeight="1" s="78">
      <c r="A748" s="131">
        <f>IF($J748="","",INDEX(NKC!$B$7:$B$3006,$J748))</f>
        <v/>
      </c>
      <c r="B748" s="95">
        <f>IF($J748="","",INDEX(NKC!$C$7:$C$3006,$J748))</f>
        <v/>
      </c>
      <c r="C748" s="131">
        <f>IF($J748="","",INDEX(NKC!$D$7:$D$3006,$J748))</f>
        <v/>
      </c>
      <c r="D748" s="97">
        <f>IF($J748="","",INDEX(NKC!$E$7:$E$3006,$J748))</f>
        <v/>
      </c>
      <c r="E748" s="95">
        <f>IF($J748="","",IF(LEFT(INDEX(NKC!$F$7:$F$3006,$J748),LEN($B$5))=$B$5,INDEX(NKC!$G$7:$G$3006,$J748),INDEX(NKC!$F$7:$F$3006,$J748)))</f>
        <v/>
      </c>
      <c r="F748" s="125">
        <f>IF($J748="","",IF(LEFT(INDEX(NKC!$F$7:$F$3006,$J748),LEN($B$5))=$B$5,INDEX(NKC!$H$7:$H$3006,$J748),""))</f>
        <v/>
      </c>
      <c r="G748" s="125">
        <f>IF($J748="","",IF(LEFT(INDEX(NKC!$G$7:$G$3006,$J748),LEN($B$5))=$B$5,INDEX(NKC!$H$7:$H$3006,$J748),""))</f>
        <v/>
      </c>
      <c r="H748" s="132">
        <f>IF($J748="","",H747+N(F748)-N(G748))</f>
        <v/>
      </c>
      <c r="J748" s="117">
        <f>IFERROR(MATCH(741,NKC!$P$7:$P$3006,0),"")</f>
        <v/>
      </c>
    </row>
    <row r="749" ht="15" customHeight="1" s="78">
      <c r="A749" s="131">
        <f>IF($J749="","",INDEX(NKC!$B$7:$B$3006,$J749))</f>
        <v/>
      </c>
      <c r="B749" s="95">
        <f>IF($J749="","",INDEX(NKC!$C$7:$C$3006,$J749))</f>
        <v/>
      </c>
      <c r="C749" s="131">
        <f>IF($J749="","",INDEX(NKC!$D$7:$D$3006,$J749))</f>
        <v/>
      </c>
      <c r="D749" s="97">
        <f>IF($J749="","",INDEX(NKC!$E$7:$E$3006,$J749))</f>
        <v/>
      </c>
      <c r="E749" s="95">
        <f>IF($J749="","",IF(LEFT(INDEX(NKC!$F$7:$F$3006,$J749),LEN($B$5))=$B$5,INDEX(NKC!$G$7:$G$3006,$J749),INDEX(NKC!$F$7:$F$3006,$J749)))</f>
        <v/>
      </c>
      <c r="F749" s="125">
        <f>IF($J749="","",IF(LEFT(INDEX(NKC!$F$7:$F$3006,$J749),LEN($B$5))=$B$5,INDEX(NKC!$H$7:$H$3006,$J749),""))</f>
        <v/>
      </c>
      <c r="G749" s="125">
        <f>IF($J749="","",IF(LEFT(INDEX(NKC!$G$7:$G$3006,$J749),LEN($B$5))=$B$5,INDEX(NKC!$H$7:$H$3006,$J749),""))</f>
        <v/>
      </c>
      <c r="H749" s="132">
        <f>IF($J749="","",H748+N(F749)-N(G749))</f>
        <v/>
      </c>
      <c r="J749" s="117">
        <f>IFERROR(MATCH(742,NKC!$P$7:$P$3006,0),"")</f>
        <v/>
      </c>
    </row>
    <row r="750" ht="15" customHeight="1" s="78">
      <c r="A750" s="131">
        <f>IF($J750="","",INDEX(NKC!$B$7:$B$3006,$J750))</f>
        <v/>
      </c>
      <c r="B750" s="95">
        <f>IF($J750="","",INDEX(NKC!$C$7:$C$3006,$J750))</f>
        <v/>
      </c>
      <c r="C750" s="131">
        <f>IF($J750="","",INDEX(NKC!$D$7:$D$3006,$J750))</f>
        <v/>
      </c>
      <c r="D750" s="97">
        <f>IF($J750="","",INDEX(NKC!$E$7:$E$3006,$J750))</f>
        <v/>
      </c>
      <c r="E750" s="95">
        <f>IF($J750="","",IF(LEFT(INDEX(NKC!$F$7:$F$3006,$J750),LEN($B$5))=$B$5,INDEX(NKC!$G$7:$G$3006,$J750),INDEX(NKC!$F$7:$F$3006,$J750)))</f>
        <v/>
      </c>
      <c r="F750" s="125">
        <f>IF($J750="","",IF(LEFT(INDEX(NKC!$F$7:$F$3006,$J750),LEN($B$5))=$B$5,INDEX(NKC!$H$7:$H$3006,$J750),""))</f>
        <v/>
      </c>
      <c r="G750" s="125">
        <f>IF($J750="","",IF(LEFT(INDEX(NKC!$G$7:$G$3006,$J750),LEN($B$5))=$B$5,INDEX(NKC!$H$7:$H$3006,$J750),""))</f>
        <v/>
      </c>
      <c r="H750" s="132">
        <f>IF($J750="","",H749+N(F750)-N(G750))</f>
        <v/>
      </c>
      <c r="J750" s="117">
        <f>IFERROR(MATCH(743,NKC!$P$7:$P$3006,0),"")</f>
        <v/>
      </c>
    </row>
    <row r="751" ht="15" customHeight="1" s="78">
      <c r="A751" s="131">
        <f>IF($J751="","",INDEX(NKC!$B$7:$B$3006,$J751))</f>
        <v/>
      </c>
      <c r="B751" s="95">
        <f>IF($J751="","",INDEX(NKC!$C$7:$C$3006,$J751))</f>
        <v/>
      </c>
      <c r="C751" s="131">
        <f>IF($J751="","",INDEX(NKC!$D$7:$D$3006,$J751))</f>
        <v/>
      </c>
      <c r="D751" s="97">
        <f>IF($J751="","",INDEX(NKC!$E$7:$E$3006,$J751))</f>
        <v/>
      </c>
      <c r="E751" s="95">
        <f>IF($J751="","",IF(LEFT(INDEX(NKC!$F$7:$F$3006,$J751),LEN($B$5))=$B$5,INDEX(NKC!$G$7:$G$3006,$J751),INDEX(NKC!$F$7:$F$3006,$J751)))</f>
        <v/>
      </c>
      <c r="F751" s="125">
        <f>IF($J751="","",IF(LEFT(INDEX(NKC!$F$7:$F$3006,$J751),LEN($B$5))=$B$5,INDEX(NKC!$H$7:$H$3006,$J751),""))</f>
        <v/>
      </c>
      <c r="G751" s="125">
        <f>IF($J751="","",IF(LEFT(INDEX(NKC!$G$7:$G$3006,$J751),LEN($B$5))=$B$5,INDEX(NKC!$H$7:$H$3006,$J751),""))</f>
        <v/>
      </c>
      <c r="H751" s="132">
        <f>IF($J751="","",H750+N(F751)-N(G751))</f>
        <v/>
      </c>
      <c r="J751" s="117">
        <f>IFERROR(MATCH(744,NKC!$P$7:$P$3006,0),"")</f>
        <v/>
      </c>
    </row>
    <row r="752" ht="15" customHeight="1" s="78">
      <c r="A752" s="131">
        <f>IF($J752="","",INDEX(NKC!$B$7:$B$3006,$J752))</f>
        <v/>
      </c>
      <c r="B752" s="95">
        <f>IF($J752="","",INDEX(NKC!$C$7:$C$3006,$J752))</f>
        <v/>
      </c>
      <c r="C752" s="131">
        <f>IF($J752="","",INDEX(NKC!$D$7:$D$3006,$J752))</f>
        <v/>
      </c>
      <c r="D752" s="97">
        <f>IF($J752="","",INDEX(NKC!$E$7:$E$3006,$J752))</f>
        <v/>
      </c>
      <c r="E752" s="95">
        <f>IF($J752="","",IF(LEFT(INDEX(NKC!$F$7:$F$3006,$J752),LEN($B$5))=$B$5,INDEX(NKC!$G$7:$G$3006,$J752),INDEX(NKC!$F$7:$F$3006,$J752)))</f>
        <v/>
      </c>
      <c r="F752" s="125">
        <f>IF($J752="","",IF(LEFT(INDEX(NKC!$F$7:$F$3006,$J752),LEN($B$5))=$B$5,INDEX(NKC!$H$7:$H$3006,$J752),""))</f>
        <v/>
      </c>
      <c r="G752" s="125">
        <f>IF($J752="","",IF(LEFT(INDEX(NKC!$G$7:$G$3006,$J752),LEN($B$5))=$B$5,INDEX(NKC!$H$7:$H$3006,$J752),""))</f>
        <v/>
      </c>
      <c r="H752" s="132">
        <f>IF($J752="","",H751+N(F752)-N(G752))</f>
        <v/>
      </c>
      <c r="J752" s="117">
        <f>IFERROR(MATCH(745,NKC!$P$7:$P$3006,0),"")</f>
        <v/>
      </c>
    </row>
    <row r="753" ht="15" customHeight="1" s="78">
      <c r="A753" s="131">
        <f>IF($J753="","",INDEX(NKC!$B$7:$B$3006,$J753))</f>
        <v/>
      </c>
      <c r="B753" s="95">
        <f>IF($J753="","",INDEX(NKC!$C$7:$C$3006,$J753))</f>
        <v/>
      </c>
      <c r="C753" s="131">
        <f>IF($J753="","",INDEX(NKC!$D$7:$D$3006,$J753))</f>
        <v/>
      </c>
      <c r="D753" s="97">
        <f>IF($J753="","",INDEX(NKC!$E$7:$E$3006,$J753))</f>
        <v/>
      </c>
      <c r="E753" s="95">
        <f>IF($J753="","",IF(LEFT(INDEX(NKC!$F$7:$F$3006,$J753),LEN($B$5))=$B$5,INDEX(NKC!$G$7:$G$3006,$J753),INDEX(NKC!$F$7:$F$3006,$J753)))</f>
        <v/>
      </c>
      <c r="F753" s="125">
        <f>IF($J753="","",IF(LEFT(INDEX(NKC!$F$7:$F$3006,$J753),LEN($B$5))=$B$5,INDEX(NKC!$H$7:$H$3006,$J753),""))</f>
        <v/>
      </c>
      <c r="G753" s="125">
        <f>IF($J753="","",IF(LEFT(INDEX(NKC!$G$7:$G$3006,$J753),LEN($B$5))=$B$5,INDEX(NKC!$H$7:$H$3006,$J753),""))</f>
        <v/>
      </c>
      <c r="H753" s="132">
        <f>IF($J753="","",H752+N(F753)-N(G753))</f>
        <v/>
      </c>
      <c r="J753" s="117">
        <f>IFERROR(MATCH(746,NKC!$P$7:$P$3006,0),"")</f>
        <v/>
      </c>
    </row>
    <row r="754" ht="15" customHeight="1" s="78">
      <c r="A754" s="131">
        <f>IF($J754="","",INDEX(NKC!$B$7:$B$3006,$J754))</f>
        <v/>
      </c>
      <c r="B754" s="95">
        <f>IF($J754="","",INDEX(NKC!$C$7:$C$3006,$J754))</f>
        <v/>
      </c>
      <c r="C754" s="131">
        <f>IF($J754="","",INDEX(NKC!$D$7:$D$3006,$J754))</f>
        <v/>
      </c>
      <c r="D754" s="97">
        <f>IF($J754="","",INDEX(NKC!$E$7:$E$3006,$J754))</f>
        <v/>
      </c>
      <c r="E754" s="95">
        <f>IF($J754="","",IF(LEFT(INDEX(NKC!$F$7:$F$3006,$J754),LEN($B$5))=$B$5,INDEX(NKC!$G$7:$G$3006,$J754),INDEX(NKC!$F$7:$F$3006,$J754)))</f>
        <v/>
      </c>
      <c r="F754" s="125">
        <f>IF($J754="","",IF(LEFT(INDEX(NKC!$F$7:$F$3006,$J754),LEN($B$5))=$B$5,INDEX(NKC!$H$7:$H$3006,$J754),""))</f>
        <v/>
      </c>
      <c r="G754" s="125">
        <f>IF($J754="","",IF(LEFT(INDEX(NKC!$G$7:$G$3006,$J754),LEN($B$5))=$B$5,INDEX(NKC!$H$7:$H$3006,$J754),""))</f>
        <v/>
      </c>
      <c r="H754" s="132">
        <f>IF($J754="","",H753+N(F754)-N(G754))</f>
        <v/>
      </c>
      <c r="J754" s="117">
        <f>IFERROR(MATCH(747,NKC!$P$7:$P$3006,0),"")</f>
        <v/>
      </c>
    </row>
    <row r="755" ht="15" customHeight="1" s="78">
      <c r="A755" s="131">
        <f>IF($J755="","",INDEX(NKC!$B$7:$B$3006,$J755))</f>
        <v/>
      </c>
      <c r="B755" s="95">
        <f>IF($J755="","",INDEX(NKC!$C$7:$C$3006,$J755))</f>
        <v/>
      </c>
      <c r="C755" s="131">
        <f>IF($J755="","",INDEX(NKC!$D$7:$D$3006,$J755))</f>
        <v/>
      </c>
      <c r="D755" s="97">
        <f>IF($J755="","",INDEX(NKC!$E$7:$E$3006,$J755))</f>
        <v/>
      </c>
      <c r="E755" s="95">
        <f>IF($J755="","",IF(LEFT(INDEX(NKC!$F$7:$F$3006,$J755),LEN($B$5))=$B$5,INDEX(NKC!$G$7:$G$3006,$J755),INDEX(NKC!$F$7:$F$3006,$J755)))</f>
        <v/>
      </c>
      <c r="F755" s="125">
        <f>IF($J755="","",IF(LEFT(INDEX(NKC!$F$7:$F$3006,$J755),LEN($B$5))=$B$5,INDEX(NKC!$H$7:$H$3006,$J755),""))</f>
        <v/>
      </c>
      <c r="G755" s="125">
        <f>IF($J755="","",IF(LEFT(INDEX(NKC!$G$7:$G$3006,$J755),LEN($B$5))=$B$5,INDEX(NKC!$H$7:$H$3006,$J755),""))</f>
        <v/>
      </c>
      <c r="H755" s="132">
        <f>IF($J755="","",H754+N(F755)-N(G755))</f>
        <v/>
      </c>
      <c r="J755" s="117">
        <f>IFERROR(MATCH(748,NKC!$P$7:$P$3006,0),"")</f>
        <v/>
      </c>
    </row>
    <row r="756" ht="15" customHeight="1" s="78">
      <c r="A756" s="131">
        <f>IF($J756="","",INDEX(NKC!$B$7:$B$3006,$J756))</f>
        <v/>
      </c>
      <c r="B756" s="95">
        <f>IF($J756="","",INDEX(NKC!$C$7:$C$3006,$J756))</f>
        <v/>
      </c>
      <c r="C756" s="131">
        <f>IF($J756="","",INDEX(NKC!$D$7:$D$3006,$J756))</f>
        <v/>
      </c>
      <c r="D756" s="97">
        <f>IF($J756="","",INDEX(NKC!$E$7:$E$3006,$J756))</f>
        <v/>
      </c>
      <c r="E756" s="95">
        <f>IF($J756="","",IF(LEFT(INDEX(NKC!$F$7:$F$3006,$J756),LEN($B$5))=$B$5,INDEX(NKC!$G$7:$G$3006,$J756),INDEX(NKC!$F$7:$F$3006,$J756)))</f>
        <v/>
      </c>
      <c r="F756" s="125">
        <f>IF($J756="","",IF(LEFT(INDEX(NKC!$F$7:$F$3006,$J756),LEN($B$5))=$B$5,INDEX(NKC!$H$7:$H$3006,$J756),""))</f>
        <v/>
      </c>
      <c r="G756" s="125">
        <f>IF($J756="","",IF(LEFT(INDEX(NKC!$G$7:$G$3006,$J756),LEN($B$5))=$B$5,INDEX(NKC!$H$7:$H$3006,$J756),""))</f>
        <v/>
      </c>
      <c r="H756" s="132">
        <f>IF($J756="","",H755+N(F756)-N(G756))</f>
        <v/>
      </c>
      <c r="J756" s="117">
        <f>IFERROR(MATCH(749,NKC!$P$7:$P$3006,0),"")</f>
        <v/>
      </c>
    </row>
    <row r="757" ht="15" customHeight="1" s="78">
      <c r="A757" s="131">
        <f>IF($J757="","",INDEX(NKC!$B$7:$B$3006,$J757))</f>
        <v/>
      </c>
      <c r="B757" s="95">
        <f>IF($J757="","",INDEX(NKC!$C$7:$C$3006,$J757))</f>
        <v/>
      </c>
      <c r="C757" s="131">
        <f>IF($J757="","",INDEX(NKC!$D$7:$D$3006,$J757))</f>
        <v/>
      </c>
      <c r="D757" s="97">
        <f>IF($J757="","",INDEX(NKC!$E$7:$E$3006,$J757))</f>
        <v/>
      </c>
      <c r="E757" s="95">
        <f>IF($J757="","",IF(LEFT(INDEX(NKC!$F$7:$F$3006,$J757),LEN($B$5))=$B$5,INDEX(NKC!$G$7:$G$3006,$J757),INDEX(NKC!$F$7:$F$3006,$J757)))</f>
        <v/>
      </c>
      <c r="F757" s="125">
        <f>IF($J757="","",IF(LEFT(INDEX(NKC!$F$7:$F$3006,$J757),LEN($B$5))=$B$5,INDEX(NKC!$H$7:$H$3006,$J757),""))</f>
        <v/>
      </c>
      <c r="G757" s="125">
        <f>IF($J757="","",IF(LEFT(INDEX(NKC!$G$7:$G$3006,$J757),LEN($B$5))=$B$5,INDEX(NKC!$H$7:$H$3006,$J757),""))</f>
        <v/>
      </c>
      <c r="H757" s="132">
        <f>IF($J757="","",H756+N(F757)-N(G757))</f>
        <v/>
      </c>
      <c r="J757" s="117">
        <f>IFERROR(MATCH(750,NKC!$P$7:$P$3006,0),"")</f>
        <v/>
      </c>
    </row>
    <row r="758" ht="15" customHeight="1" s="78">
      <c r="A758" s="131">
        <f>IF($J758="","",INDEX(NKC!$B$7:$B$3006,$J758))</f>
        <v/>
      </c>
      <c r="B758" s="95">
        <f>IF($J758="","",INDEX(NKC!$C$7:$C$3006,$J758))</f>
        <v/>
      </c>
      <c r="C758" s="131">
        <f>IF($J758="","",INDEX(NKC!$D$7:$D$3006,$J758))</f>
        <v/>
      </c>
      <c r="D758" s="97">
        <f>IF($J758="","",INDEX(NKC!$E$7:$E$3006,$J758))</f>
        <v/>
      </c>
      <c r="E758" s="95">
        <f>IF($J758="","",IF(LEFT(INDEX(NKC!$F$7:$F$3006,$J758),LEN($B$5))=$B$5,INDEX(NKC!$G$7:$G$3006,$J758),INDEX(NKC!$F$7:$F$3006,$J758)))</f>
        <v/>
      </c>
      <c r="F758" s="125">
        <f>IF($J758="","",IF(LEFT(INDEX(NKC!$F$7:$F$3006,$J758),LEN($B$5))=$B$5,INDEX(NKC!$H$7:$H$3006,$J758),""))</f>
        <v/>
      </c>
      <c r="G758" s="125">
        <f>IF($J758="","",IF(LEFT(INDEX(NKC!$G$7:$G$3006,$J758),LEN($B$5))=$B$5,INDEX(NKC!$H$7:$H$3006,$J758),""))</f>
        <v/>
      </c>
      <c r="H758" s="132">
        <f>IF($J758="","",H757+N(F758)-N(G758))</f>
        <v/>
      </c>
      <c r="J758" s="117">
        <f>IFERROR(MATCH(751,NKC!$P$7:$P$3006,0),"")</f>
        <v/>
      </c>
    </row>
    <row r="759" ht="15" customHeight="1" s="78">
      <c r="A759" s="131">
        <f>IF($J759="","",INDEX(NKC!$B$7:$B$3006,$J759))</f>
        <v/>
      </c>
      <c r="B759" s="95">
        <f>IF($J759="","",INDEX(NKC!$C$7:$C$3006,$J759))</f>
        <v/>
      </c>
      <c r="C759" s="131">
        <f>IF($J759="","",INDEX(NKC!$D$7:$D$3006,$J759))</f>
        <v/>
      </c>
      <c r="D759" s="97">
        <f>IF($J759="","",INDEX(NKC!$E$7:$E$3006,$J759))</f>
        <v/>
      </c>
      <c r="E759" s="95">
        <f>IF($J759="","",IF(LEFT(INDEX(NKC!$F$7:$F$3006,$J759),LEN($B$5))=$B$5,INDEX(NKC!$G$7:$G$3006,$J759),INDEX(NKC!$F$7:$F$3006,$J759)))</f>
        <v/>
      </c>
      <c r="F759" s="125">
        <f>IF($J759="","",IF(LEFT(INDEX(NKC!$F$7:$F$3006,$J759),LEN($B$5))=$B$5,INDEX(NKC!$H$7:$H$3006,$J759),""))</f>
        <v/>
      </c>
      <c r="G759" s="125">
        <f>IF($J759="","",IF(LEFT(INDEX(NKC!$G$7:$G$3006,$J759),LEN($B$5))=$B$5,INDEX(NKC!$H$7:$H$3006,$J759),""))</f>
        <v/>
      </c>
      <c r="H759" s="132">
        <f>IF($J759="","",H758+N(F759)-N(G759))</f>
        <v/>
      </c>
      <c r="J759" s="117">
        <f>IFERROR(MATCH(752,NKC!$P$7:$P$3006,0),"")</f>
        <v/>
      </c>
    </row>
    <row r="760" ht="15" customHeight="1" s="78">
      <c r="A760" s="131">
        <f>IF($J760="","",INDEX(NKC!$B$7:$B$3006,$J760))</f>
        <v/>
      </c>
      <c r="B760" s="95">
        <f>IF($J760="","",INDEX(NKC!$C$7:$C$3006,$J760))</f>
        <v/>
      </c>
      <c r="C760" s="131">
        <f>IF($J760="","",INDEX(NKC!$D$7:$D$3006,$J760))</f>
        <v/>
      </c>
      <c r="D760" s="97">
        <f>IF($J760="","",INDEX(NKC!$E$7:$E$3006,$J760))</f>
        <v/>
      </c>
      <c r="E760" s="95">
        <f>IF($J760="","",IF(LEFT(INDEX(NKC!$F$7:$F$3006,$J760),LEN($B$5))=$B$5,INDEX(NKC!$G$7:$G$3006,$J760),INDEX(NKC!$F$7:$F$3006,$J760)))</f>
        <v/>
      </c>
      <c r="F760" s="125">
        <f>IF($J760="","",IF(LEFT(INDEX(NKC!$F$7:$F$3006,$J760),LEN($B$5))=$B$5,INDEX(NKC!$H$7:$H$3006,$J760),""))</f>
        <v/>
      </c>
      <c r="G760" s="125">
        <f>IF($J760="","",IF(LEFT(INDEX(NKC!$G$7:$G$3006,$J760),LEN($B$5))=$B$5,INDEX(NKC!$H$7:$H$3006,$J760),""))</f>
        <v/>
      </c>
      <c r="H760" s="132">
        <f>IF($J760="","",H759+N(F760)-N(G760))</f>
        <v/>
      </c>
      <c r="J760" s="117">
        <f>IFERROR(MATCH(753,NKC!$P$7:$P$3006,0),"")</f>
        <v/>
      </c>
    </row>
    <row r="761" ht="15" customHeight="1" s="78">
      <c r="A761" s="131">
        <f>IF($J761="","",INDEX(NKC!$B$7:$B$3006,$J761))</f>
        <v/>
      </c>
      <c r="B761" s="95">
        <f>IF($J761="","",INDEX(NKC!$C$7:$C$3006,$J761))</f>
        <v/>
      </c>
      <c r="C761" s="131">
        <f>IF($J761="","",INDEX(NKC!$D$7:$D$3006,$J761))</f>
        <v/>
      </c>
      <c r="D761" s="97">
        <f>IF($J761="","",INDEX(NKC!$E$7:$E$3006,$J761))</f>
        <v/>
      </c>
      <c r="E761" s="95">
        <f>IF($J761="","",IF(LEFT(INDEX(NKC!$F$7:$F$3006,$J761),LEN($B$5))=$B$5,INDEX(NKC!$G$7:$G$3006,$J761),INDEX(NKC!$F$7:$F$3006,$J761)))</f>
        <v/>
      </c>
      <c r="F761" s="125">
        <f>IF($J761="","",IF(LEFT(INDEX(NKC!$F$7:$F$3006,$J761),LEN($B$5))=$B$5,INDEX(NKC!$H$7:$H$3006,$J761),""))</f>
        <v/>
      </c>
      <c r="G761" s="125">
        <f>IF($J761="","",IF(LEFT(INDEX(NKC!$G$7:$G$3006,$J761),LEN($B$5))=$B$5,INDEX(NKC!$H$7:$H$3006,$J761),""))</f>
        <v/>
      </c>
      <c r="H761" s="132">
        <f>IF($J761="","",H760+N(F761)-N(G761))</f>
        <v/>
      </c>
      <c r="J761" s="117">
        <f>IFERROR(MATCH(754,NKC!$P$7:$P$3006,0),"")</f>
        <v/>
      </c>
    </row>
    <row r="762" ht="15" customHeight="1" s="78">
      <c r="A762" s="131">
        <f>IF($J762="","",INDEX(NKC!$B$7:$B$3006,$J762))</f>
        <v/>
      </c>
      <c r="B762" s="95">
        <f>IF($J762="","",INDEX(NKC!$C$7:$C$3006,$J762))</f>
        <v/>
      </c>
      <c r="C762" s="131">
        <f>IF($J762="","",INDEX(NKC!$D$7:$D$3006,$J762))</f>
        <v/>
      </c>
      <c r="D762" s="97">
        <f>IF($J762="","",INDEX(NKC!$E$7:$E$3006,$J762))</f>
        <v/>
      </c>
      <c r="E762" s="95">
        <f>IF($J762="","",IF(LEFT(INDEX(NKC!$F$7:$F$3006,$J762),LEN($B$5))=$B$5,INDEX(NKC!$G$7:$G$3006,$J762),INDEX(NKC!$F$7:$F$3006,$J762)))</f>
        <v/>
      </c>
      <c r="F762" s="125">
        <f>IF($J762="","",IF(LEFT(INDEX(NKC!$F$7:$F$3006,$J762),LEN($B$5))=$B$5,INDEX(NKC!$H$7:$H$3006,$J762),""))</f>
        <v/>
      </c>
      <c r="G762" s="125">
        <f>IF($J762="","",IF(LEFT(INDEX(NKC!$G$7:$G$3006,$J762),LEN($B$5))=$B$5,INDEX(NKC!$H$7:$H$3006,$J762),""))</f>
        <v/>
      </c>
      <c r="H762" s="132">
        <f>IF($J762="","",H761+N(F762)-N(G762))</f>
        <v/>
      </c>
      <c r="J762" s="117">
        <f>IFERROR(MATCH(755,NKC!$P$7:$P$3006,0),"")</f>
        <v/>
      </c>
    </row>
    <row r="763" ht="15" customHeight="1" s="78">
      <c r="A763" s="131">
        <f>IF($J763="","",INDEX(NKC!$B$7:$B$3006,$J763))</f>
        <v/>
      </c>
      <c r="B763" s="95">
        <f>IF($J763="","",INDEX(NKC!$C$7:$C$3006,$J763))</f>
        <v/>
      </c>
      <c r="C763" s="131">
        <f>IF($J763="","",INDEX(NKC!$D$7:$D$3006,$J763))</f>
        <v/>
      </c>
      <c r="D763" s="97">
        <f>IF($J763="","",INDEX(NKC!$E$7:$E$3006,$J763))</f>
        <v/>
      </c>
      <c r="E763" s="95">
        <f>IF($J763="","",IF(LEFT(INDEX(NKC!$F$7:$F$3006,$J763),LEN($B$5))=$B$5,INDEX(NKC!$G$7:$G$3006,$J763),INDEX(NKC!$F$7:$F$3006,$J763)))</f>
        <v/>
      </c>
      <c r="F763" s="125">
        <f>IF($J763="","",IF(LEFT(INDEX(NKC!$F$7:$F$3006,$J763),LEN($B$5))=$B$5,INDEX(NKC!$H$7:$H$3006,$J763),""))</f>
        <v/>
      </c>
      <c r="G763" s="125">
        <f>IF($J763="","",IF(LEFT(INDEX(NKC!$G$7:$G$3006,$J763),LEN($B$5))=$B$5,INDEX(NKC!$H$7:$H$3006,$J763),""))</f>
        <v/>
      </c>
      <c r="H763" s="132">
        <f>IF($J763="","",H762+N(F763)-N(G763))</f>
        <v/>
      </c>
      <c r="J763" s="117">
        <f>IFERROR(MATCH(756,NKC!$P$7:$P$3006,0),"")</f>
        <v/>
      </c>
    </row>
    <row r="764" ht="15" customHeight="1" s="78">
      <c r="A764" s="131">
        <f>IF($J764="","",INDEX(NKC!$B$7:$B$3006,$J764))</f>
        <v/>
      </c>
      <c r="B764" s="95">
        <f>IF($J764="","",INDEX(NKC!$C$7:$C$3006,$J764))</f>
        <v/>
      </c>
      <c r="C764" s="131">
        <f>IF($J764="","",INDEX(NKC!$D$7:$D$3006,$J764))</f>
        <v/>
      </c>
      <c r="D764" s="97">
        <f>IF($J764="","",INDEX(NKC!$E$7:$E$3006,$J764))</f>
        <v/>
      </c>
      <c r="E764" s="95">
        <f>IF($J764="","",IF(LEFT(INDEX(NKC!$F$7:$F$3006,$J764),LEN($B$5))=$B$5,INDEX(NKC!$G$7:$G$3006,$J764),INDEX(NKC!$F$7:$F$3006,$J764)))</f>
        <v/>
      </c>
      <c r="F764" s="125">
        <f>IF($J764="","",IF(LEFT(INDEX(NKC!$F$7:$F$3006,$J764),LEN($B$5))=$B$5,INDEX(NKC!$H$7:$H$3006,$J764),""))</f>
        <v/>
      </c>
      <c r="G764" s="125">
        <f>IF($J764="","",IF(LEFT(INDEX(NKC!$G$7:$G$3006,$J764),LEN($B$5))=$B$5,INDEX(NKC!$H$7:$H$3006,$J764),""))</f>
        <v/>
      </c>
      <c r="H764" s="132">
        <f>IF($J764="","",H763+N(F764)-N(G764))</f>
        <v/>
      </c>
      <c r="J764" s="117">
        <f>IFERROR(MATCH(757,NKC!$P$7:$P$3006,0),"")</f>
        <v/>
      </c>
    </row>
    <row r="765" ht="15" customHeight="1" s="78">
      <c r="A765" s="131">
        <f>IF($J765="","",INDEX(NKC!$B$7:$B$3006,$J765))</f>
        <v/>
      </c>
      <c r="B765" s="95">
        <f>IF($J765="","",INDEX(NKC!$C$7:$C$3006,$J765))</f>
        <v/>
      </c>
      <c r="C765" s="131">
        <f>IF($J765="","",INDEX(NKC!$D$7:$D$3006,$J765))</f>
        <v/>
      </c>
      <c r="D765" s="97">
        <f>IF($J765="","",INDEX(NKC!$E$7:$E$3006,$J765))</f>
        <v/>
      </c>
      <c r="E765" s="95">
        <f>IF($J765="","",IF(LEFT(INDEX(NKC!$F$7:$F$3006,$J765),LEN($B$5))=$B$5,INDEX(NKC!$G$7:$G$3006,$J765),INDEX(NKC!$F$7:$F$3006,$J765)))</f>
        <v/>
      </c>
      <c r="F765" s="125">
        <f>IF($J765="","",IF(LEFT(INDEX(NKC!$F$7:$F$3006,$J765),LEN($B$5))=$B$5,INDEX(NKC!$H$7:$H$3006,$J765),""))</f>
        <v/>
      </c>
      <c r="G765" s="125">
        <f>IF($J765="","",IF(LEFT(INDEX(NKC!$G$7:$G$3006,$J765),LEN($B$5))=$B$5,INDEX(NKC!$H$7:$H$3006,$J765),""))</f>
        <v/>
      </c>
      <c r="H765" s="132">
        <f>IF($J765="","",H764+N(F765)-N(G765))</f>
        <v/>
      </c>
      <c r="J765" s="117">
        <f>IFERROR(MATCH(758,NKC!$P$7:$P$3006,0),"")</f>
        <v/>
      </c>
    </row>
    <row r="766" ht="15" customHeight="1" s="78">
      <c r="A766" s="131">
        <f>IF($J766="","",INDEX(NKC!$B$7:$B$3006,$J766))</f>
        <v/>
      </c>
      <c r="B766" s="95">
        <f>IF($J766="","",INDEX(NKC!$C$7:$C$3006,$J766))</f>
        <v/>
      </c>
      <c r="C766" s="131">
        <f>IF($J766="","",INDEX(NKC!$D$7:$D$3006,$J766))</f>
        <v/>
      </c>
      <c r="D766" s="97">
        <f>IF($J766="","",INDEX(NKC!$E$7:$E$3006,$J766))</f>
        <v/>
      </c>
      <c r="E766" s="95">
        <f>IF($J766="","",IF(LEFT(INDEX(NKC!$F$7:$F$3006,$J766),LEN($B$5))=$B$5,INDEX(NKC!$G$7:$G$3006,$J766),INDEX(NKC!$F$7:$F$3006,$J766)))</f>
        <v/>
      </c>
      <c r="F766" s="125">
        <f>IF($J766="","",IF(LEFT(INDEX(NKC!$F$7:$F$3006,$J766),LEN($B$5))=$B$5,INDEX(NKC!$H$7:$H$3006,$J766),""))</f>
        <v/>
      </c>
      <c r="G766" s="125">
        <f>IF($J766="","",IF(LEFT(INDEX(NKC!$G$7:$G$3006,$J766),LEN($B$5))=$B$5,INDEX(NKC!$H$7:$H$3006,$J766),""))</f>
        <v/>
      </c>
      <c r="H766" s="132">
        <f>IF($J766="","",H765+N(F766)-N(G766))</f>
        <v/>
      </c>
      <c r="J766" s="117">
        <f>IFERROR(MATCH(759,NKC!$P$7:$P$3006,0),"")</f>
        <v/>
      </c>
    </row>
    <row r="767" ht="15" customHeight="1" s="78">
      <c r="A767" s="131">
        <f>IF($J767="","",INDEX(NKC!$B$7:$B$3006,$J767))</f>
        <v/>
      </c>
      <c r="B767" s="95">
        <f>IF($J767="","",INDEX(NKC!$C$7:$C$3006,$J767))</f>
        <v/>
      </c>
      <c r="C767" s="131">
        <f>IF($J767="","",INDEX(NKC!$D$7:$D$3006,$J767))</f>
        <v/>
      </c>
      <c r="D767" s="97">
        <f>IF($J767="","",INDEX(NKC!$E$7:$E$3006,$J767))</f>
        <v/>
      </c>
      <c r="E767" s="95">
        <f>IF($J767="","",IF(LEFT(INDEX(NKC!$F$7:$F$3006,$J767),LEN($B$5))=$B$5,INDEX(NKC!$G$7:$G$3006,$J767),INDEX(NKC!$F$7:$F$3006,$J767)))</f>
        <v/>
      </c>
      <c r="F767" s="125">
        <f>IF($J767="","",IF(LEFT(INDEX(NKC!$F$7:$F$3006,$J767),LEN($B$5))=$B$5,INDEX(NKC!$H$7:$H$3006,$J767),""))</f>
        <v/>
      </c>
      <c r="G767" s="125">
        <f>IF($J767="","",IF(LEFT(INDEX(NKC!$G$7:$G$3006,$J767),LEN($B$5))=$B$5,INDEX(NKC!$H$7:$H$3006,$J767),""))</f>
        <v/>
      </c>
      <c r="H767" s="132">
        <f>IF($J767="","",H766+N(F767)-N(G767))</f>
        <v/>
      </c>
      <c r="J767" s="117">
        <f>IFERROR(MATCH(760,NKC!$P$7:$P$3006,0),"")</f>
        <v/>
      </c>
    </row>
    <row r="768" ht="15" customHeight="1" s="78">
      <c r="A768" s="131">
        <f>IF($J768="","",INDEX(NKC!$B$7:$B$3006,$J768))</f>
        <v/>
      </c>
      <c r="B768" s="95">
        <f>IF($J768="","",INDEX(NKC!$C$7:$C$3006,$J768))</f>
        <v/>
      </c>
      <c r="C768" s="131">
        <f>IF($J768="","",INDEX(NKC!$D$7:$D$3006,$J768))</f>
        <v/>
      </c>
      <c r="D768" s="97">
        <f>IF($J768="","",INDEX(NKC!$E$7:$E$3006,$J768))</f>
        <v/>
      </c>
      <c r="E768" s="95">
        <f>IF($J768="","",IF(LEFT(INDEX(NKC!$F$7:$F$3006,$J768),LEN($B$5))=$B$5,INDEX(NKC!$G$7:$G$3006,$J768),INDEX(NKC!$F$7:$F$3006,$J768)))</f>
        <v/>
      </c>
      <c r="F768" s="125">
        <f>IF($J768="","",IF(LEFT(INDEX(NKC!$F$7:$F$3006,$J768),LEN($B$5))=$B$5,INDEX(NKC!$H$7:$H$3006,$J768),""))</f>
        <v/>
      </c>
      <c r="G768" s="125">
        <f>IF($J768="","",IF(LEFT(INDEX(NKC!$G$7:$G$3006,$J768),LEN($B$5))=$B$5,INDEX(NKC!$H$7:$H$3006,$J768),""))</f>
        <v/>
      </c>
      <c r="H768" s="132">
        <f>IF($J768="","",H767+N(F768)-N(G768))</f>
        <v/>
      </c>
      <c r="J768" s="117">
        <f>IFERROR(MATCH(761,NKC!$P$7:$P$3006,0),"")</f>
        <v/>
      </c>
    </row>
    <row r="769" ht="15" customHeight="1" s="78">
      <c r="A769" s="131">
        <f>IF($J769="","",INDEX(NKC!$B$7:$B$3006,$J769))</f>
        <v/>
      </c>
      <c r="B769" s="95">
        <f>IF($J769="","",INDEX(NKC!$C$7:$C$3006,$J769))</f>
        <v/>
      </c>
      <c r="C769" s="131">
        <f>IF($J769="","",INDEX(NKC!$D$7:$D$3006,$J769))</f>
        <v/>
      </c>
      <c r="D769" s="97">
        <f>IF($J769="","",INDEX(NKC!$E$7:$E$3006,$J769))</f>
        <v/>
      </c>
      <c r="E769" s="95">
        <f>IF($J769="","",IF(LEFT(INDEX(NKC!$F$7:$F$3006,$J769),LEN($B$5))=$B$5,INDEX(NKC!$G$7:$G$3006,$J769),INDEX(NKC!$F$7:$F$3006,$J769)))</f>
        <v/>
      </c>
      <c r="F769" s="125">
        <f>IF($J769="","",IF(LEFT(INDEX(NKC!$F$7:$F$3006,$J769),LEN($B$5))=$B$5,INDEX(NKC!$H$7:$H$3006,$J769),""))</f>
        <v/>
      </c>
      <c r="G769" s="125">
        <f>IF($J769="","",IF(LEFT(INDEX(NKC!$G$7:$G$3006,$J769),LEN($B$5))=$B$5,INDEX(NKC!$H$7:$H$3006,$J769),""))</f>
        <v/>
      </c>
      <c r="H769" s="132">
        <f>IF($J769="","",H768+N(F769)-N(G769))</f>
        <v/>
      </c>
      <c r="J769" s="117">
        <f>IFERROR(MATCH(762,NKC!$P$7:$P$3006,0),"")</f>
        <v/>
      </c>
    </row>
    <row r="770" ht="15" customHeight="1" s="78">
      <c r="A770" s="131">
        <f>IF($J770="","",INDEX(NKC!$B$7:$B$3006,$J770))</f>
        <v/>
      </c>
      <c r="B770" s="95">
        <f>IF($J770="","",INDEX(NKC!$C$7:$C$3006,$J770))</f>
        <v/>
      </c>
      <c r="C770" s="131">
        <f>IF($J770="","",INDEX(NKC!$D$7:$D$3006,$J770))</f>
        <v/>
      </c>
      <c r="D770" s="97">
        <f>IF($J770="","",INDEX(NKC!$E$7:$E$3006,$J770))</f>
        <v/>
      </c>
      <c r="E770" s="95">
        <f>IF($J770="","",IF(LEFT(INDEX(NKC!$F$7:$F$3006,$J770),LEN($B$5))=$B$5,INDEX(NKC!$G$7:$G$3006,$J770),INDEX(NKC!$F$7:$F$3006,$J770)))</f>
        <v/>
      </c>
      <c r="F770" s="125">
        <f>IF($J770="","",IF(LEFT(INDEX(NKC!$F$7:$F$3006,$J770),LEN($B$5))=$B$5,INDEX(NKC!$H$7:$H$3006,$J770),""))</f>
        <v/>
      </c>
      <c r="G770" s="125">
        <f>IF($J770="","",IF(LEFT(INDEX(NKC!$G$7:$G$3006,$J770),LEN($B$5))=$B$5,INDEX(NKC!$H$7:$H$3006,$J770),""))</f>
        <v/>
      </c>
      <c r="H770" s="132">
        <f>IF($J770="","",H769+N(F770)-N(G770))</f>
        <v/>
      </c>
      <c r="J770" s="117">
        <f>IFERROR(MATCH(763,NKC!$P$7:$P$3006,0),"")</f>
        <v/>
      </c>
    </row>
    <row r="771" ht="15" customHeight="1" s="78">
      <c r="A771" s="131">
        <f>IF($J771="","",INDEX(NKC!$B$7:$B$3006,$J771))</f>
        <v/>
      </c>
      <c r="B771" s="95">
        <f>IF($J771="","",INDEX(NKC!$C$7:$C$3006,$J771))</f>
        <v/>
      </c>
      <c r="C771" s="131">
        <f>IF($J771="","",INDEX(NKC!$D$7:$D$3006,$J771))</f>
        <v/>
      </c>
      <c r="D771" s="97">
        <f>IF($J771="","",INDEX(NKC!$E$7:$E$3006,$J771))</f>
        <v/>
      </c>
      <c r="E771" s="95">
        <f>IF($J771="","",IF(LEFT(INDEX(NKC!$F$7:$F$3006,$J771),LEN($B$5))=$B$5,INDEX(NKC!$G$7:$G$3006,$J771),INDEX(NKC!$F$7:$F$3006,$J771)))</f>
        <v/>
      </c>
      <c r="F771" s="125">
        <f>IF($J771="","",IF(LEFT(INDEX(NKC!$F$7:$F$3006,$J771),LEN($B$5))=$B$5,INDEX(NKC!$H$7:$H$3006,$J771),""))</f>
        <v/>
      </c>
      <c r="G771" s="125">
        <f>IF($J771="","",IF(LEFT(INDEX(NKC!$G$7:$G$3006,$J771),LEN($B$5))=$B$5,INDEX(NKC!$H$7:$H$3006,$J771),""))</f>
        <v/>
      </c>
      <c r="H771" s="132">
        <f>IF($J771="","",H770+N(F771)-N(G771))</f>
        <v/>
      </c>
      <c r="J771" s="117">
        <f>IFERROR(MATCH(764,NKC!$P$7:$P$3006,0),"")</f>
        <v/>
      </c>
    </row>
    <row r="772" ht="15" customHeight="1" s="78">
      <c r="A772" s="131">
        <f>IF($J772="","",INDEX(NKC!$B$7:$B$3006,$J772))</f>
        <v/>
      </c>
      <c r="B772" s="95">
        <f>IF($J772="","",INDEX(NKC!$C$7:$C$3006,$J772))</f>
        <v/>
      </c>
      <c r="C772" s="131">
        <f>IF($J772="","",INDEX(NKC!$D$7:$D$3006,$J772))</f>
        <v/>
      </c>
      <c r="D772" s="97">
        <f>IF($J772="","",INDEX(NKC!$E$7:$E$3006,$J772))</f>
        <v/>
      </c>
      <c r="E772" s="95">
        <f>IF($J772="","",IF(LEFT(INDEX(NKC!$F$7:$F$3006,$J772),LEN($B$5))=$B$5,INDEX(NKC!$G$7:$G$3006,$J772),INDEX(NKC!$F$7:$F$3006,$J772)))</f>
        <v/>
      </c>
      <c r="F772" s="125">
        <f>IF($J772="","",IF(LEFT(INDEX(NKC!$F$7:$F$3006,$J772),LEN($B$5))=$B$5,INDEX(NKC!$H$7:$H$3006,$J772),""))</f>
        <v/>
      </c>
      <c r="G772" s="125">
        <f>IF($J772="","",IF(LEFT(INDEX(NKC!$G$7:$G$3006,$J772),LEN($B$5))=$B$5,INDEX(NKC!$H$7:$H$3006,$J772),""))</f>
        <v/>
      </c>
      <c r="H772" s="132">
        <f>IF($J772="","",H771+N(F772)-N(G772))</f>
        <v/>
      </c>
      <c r="J772" s="117">
        <f>IFERROR(MATCH(765,NKC!$P$7:$P$3006,0),"")</f>
        <v/>
      </c>
    </row>
    <row r="773" ht="15" customHeight="1" s="78">
      <c r="A773" s="131">
        <f>IF($J773="","",INDEX(NKC!$B$7:$B$3006,$J773))</f>
        <v/>
      </c>
      <c r="B773" s="95">
        <f>IF($J773="","",INDEX(NKC!$C$7:$C$3006,$J773))</f>
        <v/>
      </c>
      <c r="C773" s="131">
        <f>IF($J773="","",INDEX(NKC!$D$7:$D$3006,$J773))</f>
        <v/>
      </c>
      <c r="D773" s="97">
        <f>IF($J773="","",INDEX(NKC!$E$7:$E$3006,$J773))</f>
        <v/>
      </c>
      <c r="E773" s="95">
        <f>IF($J773="","",IF(LEFT(INDEX(NKC!$F$7:$F$3006,$J773),LEN($B$5))=$B$5,INDEX(NKC!$G$7:$G$3006,$J773),INDEX(NKC!$F$7:$F$3006,$J773)))</f>
        <v/>
      </c>
      <c r="F773" s="125">
        <f>IF($J773="","",IF(LEFT(INDEX(NKC!$F$7:$F$3006,$J773),LEN($B$5))=$B$5,INDEX(NKC!$H$7:$H$3006,$J773),""))</f>
        <v/>
      </c>
      <c r="G773" s="125">
        <f>IF($J773="","",IF(LEFT(INDEX(NKC!$G$7:$G$3006,$J773),LEN($B$5))=$B$5,INDEX(NKC!$H$7:$H$3006,$J773),""))</f>
        <v/>
      </c>
      <c r="H773" s="132">
        <f>IF($J773="","",H772+N(F773)-N(G773))</f>
        <v/>
      </c>
      <c r="J773" s="117">
        <f>IFERROR(MATCH(766,NKC!$P$7:$P$3006,0),"")</f>
        <v/>
      </c>
    </row>
    <row r="774" ht="15" customHeight="1" s="78">
      <c r="A774" s="131">
        <f>IF($J774="","",INDEX(NKC!$B$7:$B$3006,$J774))</f>
        <v/>
      </c>
      <c r="B774" s="95">
        <f>IF($J774="","",INDEX(NKC!$C$7:$C$3006,$J774))</f>
        <v/>
      </c>
      <c r="C774" s="131">
        <f>IF($J774="","",INDEX(NKC!$D$7:$D$3006,$J774))</f>
        <v/>
      </c>
      <c r="D774" s="97">
        <f>IF($J774="","",INDEX(NKC!$E$7:$E$3006,$J774))</f>
        <v/>
      </c>
      <c r="E774" s="95">
        <f>IF($J774="","",IF(LEFT(INDEX(NKC!$F$7:$F$3006,$J774),LEN($B$5))=$B$5,INDEX(NKC!$G$7:$G$3006,$J774),INDEX(NKC!$F$7:$F$3006,$J774)))</f>
        <v/>
      </c>
      <c r="F774" s="125">
        <f>IF($J774="","",IF(LEFT(INDEX(NKC!$F$7:$F$3006,$J774),LEN($B$5))=$B$5,INDEX(NKC!$H$7:$H$3006,$J774),""))</f>
        <v/>
      </c>
      <c r="G774" s="125">
        <f>IF($J774="","",IF(LEFT(INDEX(NKC!$G$7:$G$3006,$J774),LEN($B$5))=$B$5,INDEX(NKC!$H$7:$H$3006,$J774),""))</f>
        <v/>
      </c>
      <c r="H774" s="132">
        <f>IF($J774="","",H773+N(F774)-N(G774))</f>
        <v/>
      </c>
      <c r="J774" s="117">
        <f>IFERROR(MATCH(767,NKC!$P$7:$P$3006,0),"")</f>
        <v/>
      </c>
    </row>
    <row r="775" ht="15" customHeight="1" s="78">
      <c r="A775" s="131">
        <f>IF($J775="","",INDEX(NKC!$B$7:$B$3006,$J775))</f>
        <v/>
      </c>
      <c r="B775" s="95">
        <f>IF($J775="","",INDEX(NKC!$C$7:$C$3006,$J775))</f>
        <v/>
      </c>
      <c r="C775" s="131">
        <f>IF($J775="","",INDEX(NKC!$D$7:$D$3006,$J775))</f>
        <v/>
      </c>
      <c r="D775" s="97">
        <f>IF($J775="","",INDEX(NKC!$E$7:$E$3006,$J775))</f>
        <v/>
      </c>
      <c r="E775" s="95">
        <f>IF($J775="","",IF(LEFT(INDEX(NKC!$F$7:$F$3006,$J775),LEN($B$5))=$B$5,INDEX(NKC!$G$7:$G$3006,$J775),INDEX(NKC!$F$7:$F$3006,$J775)))</f>
        <v/>
      </c>
      <c r="F775" s="125">
        <f>IF($J775="","",IF(LEFT(INDEX(NKC!$F$7:$F$3006,$J775),LEN($B$5))=$B$5,INDEX(NKC!$H$7:$H$3006,$J775),""))</f>
        <v/>
      </c>
      <c r="G775" s="125">
        <f>IF($J775="","",IF(LEFT(INDEX(NKC!$G$7:$G$3006,$J775),LEN($B$5))=$B$5,INDEX(NKC!$H$7:$H$3006,$J775),""))</f>
        <v/>
      </c>
      <c r="H775" s="132">
        <f>IF($J775="","",H774+N(F775)-N(G775))</f>
        <v/>
      </c>
      <c r="J775" s="117">
        <f>IFERROR(MATCH(768,NKC!$P$7:$P$3006,0),"")</f>
        <v/>
      </c>
    </row>
    <row r="776" ht="15" customHeight="1" s="78">
      <c r="A776" s="131">
        <f>IF($J776="","",INDEX(NKC!$B$7:$B$3006,$J776))</f>
        <v/>
      </c>
      <c r="B776" s="95">
        <f>IF($J776="","",INDEX(NKC!$C$7:$C$3006,$J776))</f>
        <v/>
      </c>
      <c r="C776" s="131">
        <f>IF($J776="","",INDEX(NKC!$D$7:$D$3006,$J776))</f>
        <v/>
      </c>
      <c r="D776" s="97">
        <f>IF($J776="","",INDEX(NKC!$E$7:$E$3006,$J776))</f>
        <v/>
      </c>
      <c r="E776" s="95">
        <f>IF($J776="","",IF(LEFT(INDEX(NKC!$F$7:$F$3006,$J776),LEN($B$5))=$B$5,INDEX(NKC!$G$7:$G$3006,$J776),INDEX(NKC!$F$7:$F$3006,$J776)))</f>
        <v/>
      </c>
      <c r="F776" s="125">
        <f>IF($J776="","",IF(LEFT(INDEX(NKC!$F$7:$F$3006,$J776),LEN($B$5))=$B$5,INDEX(NKC!$H$7:$H$3006,$J776),""))</f>
        <v/>
      </c>
      <c r="G776" s="125">
        <f>IF($J776="","",IF(LEFT(INDEX(NKC!$G$7:$G$3006,$J776),LEN($B$5))=$B$5,INDEX(NKC!$H$7:$H$3006,$J776),""))</f>
        <v/>
      </c>
      <c r="H776" s="132">
        <f>IF($J776="","",H775+N(F776)-N(G776))</f>
        <v/>
      </c>
      <c r="J776" s="117">
        <f>IFERROR(MATCH(769,NKC!$P$7:$P$3006,0),"")</f>
        <v/>
      </c>
    </row>
    <row r="777" ht="15" customHeight="1" s="78">
      <c r="A777" s="131">
        <f>IF($J777="","",INDEX(NKC!$B$7:$B$3006,$J777))</f>
        <v/>
      </c>
      <c r="B777" s="95">
        <f>IF($J777="","",INDEX(NKC!$C$7:$C$3006,$J777))</f>
        <v/>
      </c>
      <c r="C777" s="131">
        <f>IF($J777="","",INDEX(NKC!$D$7:$D$3006,$J777))</f>
        <v/>
      </c>
      <c r="D777" s="97">
        <f>IF($J777="","",INDEX(NKC!$E$7:$E$3006,$J777))</f>
        <v/>
      </c>
      <c r="E777" s="95">
        <f>IF($J777="","",IF(LEFT(INDEX(NKC!$F$7:$F$3006,$J777),LEN($B$5))=$B$5,INDEX(NKC!$G$7:$G$3006,$J777),INDEX(NKC!$F$7:$F$3006,$J777)))</f>
        <v/>
      </c>
      <c r="F777" s="125">
        <f>IF($J777="","",IF(LEFT(INDEX(NKC!$F$7:$F$3006,$J777),LEN($B$5))=$B$5,INDEX(NKC!$H$7:$H$3006,$J777),""))</f>
        <v/>
      </c>
      <c r="G777" s="125">
        <f>IF($J777="","",IF(LEFT(INDEX(NKC!$G$7:$G$3006,$J777),LEN($B$5))=$B$5,INDEX(NKC!$H$7:$H$3006,$J777),""))</f>
        <v/>
      </c>
      <c r="H777" s="132">
        <f>IF($J777="","",H776+N(F777)-N(G777))</f>
        <v/>
      </c>
      <c r="J777" s="117">
        <f>IFERROR(MATCH(770,NKC!$P$7:$P$3006,0),"")</f>
        <v/>
      </c>
    </row>
    <row r="778" ht="15" customHeight="1" s="78">
      <c r="A778" s="131">
        <f>IF($J778="","",INDEX(NKC!$B$7:$B$3006,$J778))</f>
        <v/>
      </c>
      <c r="B778" s="95">
        <f>IF($J778="","",INDEX(NKC!$C$7:$C$3006,$J778))</f>
        <v/>
      </c>
      <c r="C778" s="131">
        <f>IF($J778="","",INDEX(NKC!$D$7:$D$3006,$J778))</f>
        <v/>
      </c>
      <c r="D778" s="97">
        <f>IF($J778="","",INDEX(NKC!$E$7:$E$3006,$J778))</f>
        <v/>
      </c>
      <c r="E778" s="95">
        <f>IF($J778="","",IF(LEFT(INDEX(NKC!$F$7:$F$3006,$J778),LEN($B$5))=$B$5,INDEX(NKC!$G$7:$G$3006,$J778),INDEX(NKC!$F$7:$F$3006,$J778)))</f>
        <v/>
      </c>
      <c r="F778" s="125">
        <f>IF($J778="","",IF(LEFT(INDEX(NKC!$F$7:$F$3006,$J778),LEN($B$5))=$B$5,INDEX(NKC!$H$7:$H$3006,$J778),""))</f>
        <v/>
      </c>
      <c r="G778" s="125">
        <f>IF($J778="","",IF(LEFT(INDEX(NKC!$G$7:$G$3006,$J778),LEN($B$5))=$B$5,INDEX(NKC!$H$7:$H$3006,$J778),""))</f>
        <v/>
      </c>
      <c r="H778" s="132">
        <f>IF($J778="","",H777+N(F778)-N(G778))</f>
        <v/>
      </c>
      <c r="J778" s="117">
        <f>IFERROR(MATCH(771,NKC!$P$7:$P$3006,0),"")</f>
        <v/>
      </c>
    </row>
    <row r="779" ht="15" customHeight="1" s="78">
      <c r="A779" s="131">
        <f>IF($J779="","",INDEX(NKC!$B$7:$B$3006,$J779))</f>
        <v/>
      </c>
      <c r="B779" s="95">
        <f>IF($J779="","",INDEX(NKC!$C$7:$C$3006,$J779))</f>
        <v/>
      </c>
      <c r="C779" s="131">
        <f>IF($J779="","",INDEX(NKC!$D$7:$D$3006,$J779))</f>
        <v/>
      </c>
      <c r="D779" s="97">
        <f>IF($J779="","",INDEX(NKC!$E$7:$E$3006,$J779))</f>
        <v/>
      </c>
      <c r="E779" s="95">
        <f>IF($J779="","",IF(LEFT(INDEX(NKC!$F$7:$F$3006,$J779),LEN($B$5))=$B$5,INDEX(NKC!$G$7:$G$3006,$J779),INDEX(NKC!$F$7:$F$3006,$J779)))</f>
        <v/>
      </c>
      <c r="F779" s="125">
        <f>IF($J779="","",IF(LEFT(INDEX(NKC!$F$7:$F$3006,$J779),LEN($B$5))=$B$5,INDEX(NKC!$H$7:$H$3006,$J779),""))</f>
        <v/>
      </c>
      <c r="G779" s="125">
        <f>IF($J779="","",IF(LEFT(INDEX(NKC!$G$7:$G$3006,$J779),LEN($B$5))=$B$5,INDEX(NKC!$H$7:$H$3006,$J779),""))</f>
        <v/>
      </c>
      <c r="H779" s="132">
        <f>IF($J779="","",H778+N(F779)-N(G779))</f>
        <v/>
      </c>
      <c r="J779" s="117">
        <f>IFERROR(MATCH(772,NKC!$P$7:$P$3006,0),"")</f>
        <v/>
      </c>
    </row>
    <row r="780" ht="15" customHeight="1" s="78">
      <c r="A780" s="131">
        <f>IF($J780="","",INDEX(NKC!$B$7:$B$3006,$J780))</f>
        <v/>
      </c>
      <c r="B780" s="95">
        <f>IF($J780="","",INDEX(NKC!$C$7:$C$3006,$J780))</f>
        <v/>
      </c>
      <c r="C780" s="131">
        <f>IF($J780="","",INDEX(NKC!$D$7:$D$3006,$J780))</f>
        <v/>
      </c>
      <c r="D780" s="97">
        <f>IF($J780="","",INDEX(NKC!$E$7:$E$3006,$J780))</f>
        <v/>
      </c>
      <c r="E780" s="95">
        <f>IF($J780="","",IF(LEFT(INDEX(NKC!$F$7:$F$3006,$J780),LEN($B$5))=$B$5,INDEX(NKC!$G$7:$G$3006,$J780),INDEX(NKC!$F$7:$F$3006,$J780)))</f>
        <v/>
      </c>
      <c r="F780" s="125">
        <f>IF($J780="","",IF(LEFT(INDEX(NKC!$F$7:$F$3006,$J780),LEN($B$5))=$B$5,INDEX(NKC!$H$7:$H$3006,$J780),""))</f>
        <v/>
      </c>
      <c r="G780" s="125">
        <f>IF($J780="","",IF(LEFT(INDEX(NKC!$G$7:$G$3006,$J780),LEN($B$5))=$B$5,INDEX(NKC!$H$7:$H$3006,$J780),""))</f>
        <v/>
      </c>
      <c r="H780" s="132">
        <f>IF($J780="","",H779+N(F780)-N(G780))</f>
        <v/>
      </c>
      <c r="J780" s="117">
        <f>IFERROR(MATCH(773,NKC!$P$7:$P$3006,0),"")</f>
        <v/>
      </c>
    </row>
    <row r="781" ht="15" customHeight="1" s="78">
      <c r="A781" s="131">
        <f>IF($J781="","",INDEX(NKC!$B$7:$B$3006,$J781))</f>
        <v/>
      </c>
      <c r="B781" s="95">
        <f>IF($J781="","",INDEX(NKC!$C$7:$C$3006,$J781))</f>
        <v/>
      </c>
      <c r="C781" s="131">
        <f>IF($J781="","",INDEX(NKC!$D$7:$D$3006,$J781))</f>
        <v/>
      </c>
      <c r="D781" s="97">
        <f>IF($J781="","",INDEX(NKC!$E$7:$E$3006,$J781))</f>
        <v/>
      </c>
      <c r="E781" s="95">
        <f>IF($J781="","",IF(LEFT(INDEX(NKC!$F$7:$F$3006,$J781),LEN($B$5))=$B$5,INDEX(NKC!$G$7:$G$3006,$J781),INDEX(NKC!$F$7:$F$3006,$J781)))</f>
        <v/>
      </c>
      <c r="F781" s="125">
        <f>IF($J781="","",IF(LEFT(INDEX(NKC!$F$7:$F$3006,$J781),LEN($B$5))=$B$5,INDEX(NKC!$H$7:$H$3006,$J781),""))</f>
        <v/>
      </c>
      <c r="G781" s="125">
        <f>IF($J781="","",IF(LEFT(INDEX(NKC!$G$7:$G$3006,$J781),LEN($B$5))=$B$5,INDEX(NKC!$H$7:$H$3006,$J781),""))</f>
        <v/>
      </c>
      <c r="H781" s="132">
        <f>IF($J781="","",H780+N(F781)-N(G781))</f>
        <v/>
      </c>
      <c r="J781" s="117">
        <f>IFERROR(MATCH(774,NKC!$P$7:$P$3006,0),"")</f>
        <v/>
      </c>
    </row>
    <row r="782" ht="15" customHeight="1" s="78">
      <c r="A782" s="131">
        <f>IF($J782="","",INDEX(NKC!$B$7:$B$3006,$J782))</f>
        <v/>
      </c>
      <c r="B782" s="95">
        <f>IF($J782="","",INDEX(NKC!$C$7:$C$3006,$J782))</f>
        <v/>
      </c>
      <c r="C782" s="131">
        <f>IF($J782="","",INDEX(NKC!$D$7:$D$3006,$J782))</f>
        <v/>
      </c>
      <c r="D782" s="97">
        <f>IF($J782="","",INDEX(NKC!$E$7:$E$3006,$J782))</f>
        <v/>
      </c>
      <c r="E782" s="95">
        <f>IF($J782="","",IF(LEFT(INDEX(NKC!$F$7:$F$3006,$J782),LEN($B$5))=$B$5,INDEX(NKC!$G$7:$G$3006,$J782),INDEX(NKC!$F$7:$F$3006,$J782)))</f>
        <v/>
      </c>
      <c r="F782" s="125">
        <f>IF($J782="","",IF(LEFT(INDEX(NKC!$F$7:$F$3006,$J782),LEN($B$5))=$B$5,INDEX(NKC!$H$7:$H$3006,$J782),""))</f>
        <v/>
      </c>
      <c r="G782" s="125">
        <f>IF($J782="","",IF(LEFT(INDEX(NKC!$G$7:$G$3006,$J782),LEN($B$5))=$B$5,INDEX(NKC!$H$7:$H$3006,$J782),""))</f>
        <v/>
      </c>
      <c r="H782" s="132">
        <f>IF($J782="","",H781+N(F782)-N(G782))</f>
        <v/>
      </c>
      <c r="J782" s="117">
        <f>IFERROR(MATCH(775,NKC!$P$7:$P$3006,0),"")</f>
        <v/>
      </c>
    </row>
    <row r="783" ht="15" customHeight="1" s="78">
      <c r="A783" s="131">
        <f>IF($J783="","",INDEX(NKC!$B$7:$B$3006,$J783))</f>
        <v/>
      </c>
      <c r="B783" s="95">
        <f>IF($J783="","",INDEX(NKC!$C$7:$C$3006,$J783))</f>
        <v/>
      </c>
      <c r="C783" s="131">
        <f>IF($J783="","",INDEX(NKC!$D$7:$D$3006,$J783))</f>
        <v/>
      </c>
      <c r="D783" s="97">
        <f>IF($J783="","",INDEX(NKC!$E$7:$E$3006,$J783))</f>
        <v/>
      </c>
      <c r="E783" s="95">
        <f>IF($J783="","",IF(LEFT(INDEX(NKC!$F$7:$F$3006,$J783),LEN($B$5))=$B$5,INDEX(NKC!$G$7:$G$3006,$J783),INDEX(NKC!$F$7:$F$3006,$J783)))</f>
        <v/>
      </c>
      <c r="F783" s="125">
        <f>IF($J783="","",IF(LEFT(INDEX(NKC!$F$7:$F$3006,$J783),LEN($B$5))=$B$5,INDEX(NKC!$H$7:$H$3006,$J783),""))</f>
        <v/>
      </c>
      <c r="G783" s="125">
        <f>IF($J783="","",IF(LEFT(INDEX(NKC!$G$7:$G$3006,$J783),LEN($B$5))=$B$5,INDEX(NKC!$H$7:$H$3006,$J783),""))</f>
        <v/>
      </c>
      <c r="H783" s="132">
        <f>IF($J783="","",H782+N(F783)-N(G783))</f>
        <v/>
      </c>
      <c r="J783" s="117">
        <f>IFERROR(MATCH(776,NKC!$P$7:$P$3006,0),"")</f>
        <v/>
      </c>
    </row>
    <row r="784" ht="15" customHeight="1" s="78">
      <c r="A784" s="131">
        <f>IF($J784="","",INDEX(NKC!$B$7:$B$3006,$J784))</f>
        <v/>
      </c>
      <c r="B784" s="95">
        <f>IF($J784="","",INDEX(NKC!$C$7:$C$3006,$J784))</f>
        <v/>
      </c>
      <c r="C784" s="131">
        <f>IF($J784="","",INDEX(NKC!$D$7:$D$3006,$J784))</f>
        <v/>
      </c>
      <c r="D784" s="97">
        <f>IF($J784="","",INDEX(NKC!$E$7:$E$3006,$J784))</f>
        <v/>
      </c>
      <c r="E784" s="95">
        <f>IF($J784="","",IF(LEFT(INDEX(NKC!$F$7:$F$3006,$J784),LEN($B$5))=$B$5,INDEX(NKC!$G$7:$G$3006,$J784),INDEX(NKC!$F$7:$F$3006,$J784)))</f>
        <v/>
      </c>
      <c r="F784" s="125">
        <f>IF($J784="","",IF(LEFT(INDEX(NKC!$F$7:$F$3006,$J784),LEN($B$5))=$B$5,INDEX(NKC!$H$7:$H$3006,$J784),""))</f>
        <v/>
      </c>
      <c r="G784" s="125">
        <f>IF($J784="","",IF(LEFT(INDEX(NKC!$G$7:$G$3006,$J784),LEN($B$5))=$B$5,INDEX(NKC!$H$7:$H$3006,$J784),""))</f>
        <v/>
      </c>
      <c r="H784" s="132">
        <f>IF($J784="","",H783+N(F784)-N(G784))</f>
        <v/>
      </c>
      <c r="J784" s="117">
        <f>IFERROR(MATCH(777,NKC!$P$7:$P$3006,0),"")</f>
        <v/>
      </c>
    </row>
    <row r="785" ht="15" customHeight="1" s="78">
      <c r="A785" s="131">
        <f>IF($J785="","",INDEX(NKC!$B$7:$B$3006,$J785))</f>
        <v/>
      </c>
      <c r="B785" s="95">
        <f>IF($J785="","",INDEX(NKC!$C$7:$C$3006,$J785))</f>
        <v/>
      </c>
      <c r="C785" s="131">
        <f>IF($J785="","",INDEX(NKC!$D$7:$D$3006,$J785))</f>
        <v/>
      </c>
      <c r="D785" s="97">
        <f>IF($J785="","",INDEX(NKC!$E$7:$E$3006,$J785))</f>
        <v/>
      </c>
      <c r="E785" s="95">
        <f>IF($J785="","",IF(LEFT(INDEX(NKC!$F$7:$F$3006,$J785),LEN($B$5))=$B$5,INDEX(NKC!$G$7:$G$3006,$J785),INDEX(NKC!$F$7:$F$3006,$J785)))</f>
        <v/>
      </c>
      <c r="F785" s="125">
        <f>IF($J785="","",IF(LEFT(INDEX(NKC!$F$7:$F$3006,$J785),LEN($B$5))=$B$5,INDEX(NKC!$H$7:$H$3006,$J785),""))</f>
        <v/>
      </c>
      <c r="G785" s="125">
        <f>IF($J785="","",IF(LEFT(INDEX(NKC!$G$7:$G$3006,$J785),LEN($B$5))=$B$5,INDEX(NKC!$H$7:$H$3006,$J785),""))</f>
        <v/>
      </c>
      <c r="H785" s="132">
        <f>IF($J785="","",H784+N(F785)-N(G785))</f>
        <v/>
      </c>
      <c r="J785" s="117">
        <f>IFERROR(MATCH(778,NKC!$P$7:$P$3006,0),"")</f>
        <v/>
      </c>
    </row>
    <row r="786" ht="15" customHeight="1" s="78">
      <c r="A786" s="131">
        <f>IF($J786="","",INDEX(NKC!$B$7:$B$3006,$J786))</f>
        <v/>
      </c>
      <c r="B786" s="95">
        <f>IF($J786="","",INDEX(NKC!$C$7:$C$3006,$J786))</f>
        <v/>
      </c>
      <c r="C786" s="131">
        <f>IF($J786="","",INDEX(NKC!$D$7:$D$3006,$J786))</f>
        <v/>
      </c>
      <c r="D786" s="97">
        <f>IF($J786="","",INDEX(NKC!$E$7:$E$3006,$J786))</f>
        <v/>
      </c>
      <c r="E786" s="95">
        <f>IF($J786="","",IF(LEFT(INDEX(NKC!$F$7:$F$3006,$J786),LEN($B$5))=$B$5,INDEX(NKC!$G$7:$G$3006,$J786),INDEX(NKC!$F$7:$F$3006,$J786)))</f>
        <v/>
      </c>
      <c r="F786" s="125">
        <f>IF($J786="","",IF(LEFT(INDEX(NKC!$F$7:$F$3006,$J786),LEN($B$5))=$B$5,INDEX(NKC!$H$7:$H$3006,$J786),""))</f>
        <v/>
      </c>
      <c r="G786" s="125">
        <f>IF($J786="","",IF(LEFT(INDEX(NKC!$G$7:$G$3006,$J786),LEN($B$5))=$B$5,INDEX(NKC!$H$7:$H$3006,$J786),""))</f>
        <v/>
      </c>
      <c r="H786" s="132">
        <f>IF($J786="","",H785+N(F786)-N(G786))</f>
        <v/>
      </c>
      <c r="J786" s="117">
        <f>IFERROR(MATCH(779,NKC!$P$7:$P$3006,0),"")</f>
        <v/>
      </c>
    </row>
    <row r="787" ht="15" customHeight="1" s="78">
      <c r="A787" s="131">
        <f>IF($J787="","",INDEX(NKC!$B$7:$B$3006,$J787))</f>
        <v/>
      </c>
      <c r="B787" s="95">
        <f>IF($J787="","",INDEX(NKC!$C$7:$C$3006,$J787))</f>
        <v/>
      </c>
      <c r="C787" s="131">
        <f>IF($J787="","",INDEX(NKC!$D$7:$D$3006,$J787))</f>
        <v/>
      </c>
      <c r="D787" s="97">
        <f>IF($J787="","",INDEX(NKC!$E$7:$E$3006,$J787))</f>
        <v/>
      </c>
      <c r="E787" s="95">
        <f>IF($J787="","",IF(LEFT(INDEX(NKC!$F$7:$F$3006,$J787),LEN($B$5))=$B$5,INDEX(NKC!$G$7:$G$3006,$J787),INDEX(NKC!$F$7:$F$3006,$J787)))</f>
        <v/>
      </c>
      <c r="F787" s="125">
        <f>IF($J787="","",IF(LEFT(INDEX(NKC!$F$7:$F$3006,$J787),LEN($B$5))=$B$5,INDEX(NKC!$H$7:$H$3006,$J787),""))</f>
        <v/>
      </c>
      <c r="G787" s="125">
        <f>IF($J787="","",IF(LEFT(INDEX(NKC!$G$7:$G$3006,$J787),LEN($B$5))=$B$5,INDEX(NKC!$H$7:$H$3006,$J787),""))</f>
        <v/>
      </c>
      <c r="H787" s="132">
        <f>IF($J787="","",H786+N(F787)-N(G787))</f>
        <v/>
      </c>
      <c r="J787" s="117">
        <f>IFERROR(MATCH(780,NKC!$P$7:$P$3006,0),"")</f>
        <v/>
      </c>
    </row>
    <row r="788" ht="15" customHeight="1" s="78">
      <c r="A788" s="131">
        <f>IF($J788="","",INDEX(NKC!$B$7:$B$3006,$J788))</f>
        <v/>
      </c>
      <c r="B788" s="95">
        <f>IF($J788="","",INDEX(NKC!$C$7:$C$3006,$J788))</f>
        <v/>
      </c>
      <c r="C788" s="131">
        <f>IF($J788="","",INDEX(NKC!$D$7:$D$3006,$J788))</f>
        <v/>
      </c>
      <c r="D788" s="97">
        <f>IF($J788="","",INDEX(NKC!$E$7:$E$3006,$J788))</f>
        <v/>
      </c>
      <c r="E788" s="95">
        <f>IF($J788="","",IF(LEFT(INDEX(NKC!$F$7:$F$3006,$J788),LEN($B$5))=$B$5,INDEX(NKC!$G$7:$G$3006,$J788),INDEX(NKC!$F$7:$F$3006,$J788)))</f>
        <v/>
      </c>
      <c r="F788" s="125">
        <f>IF($J788="","",IF(LEFT(INDEX(NKC!$F$7:$F$3006,$J788),LEN($B$5))=$B$5,INDEX(NKC!$H$7:$H$3006,$J788),""))</f>
        <v/>
      </c>
      <c r="G788" s="125">
        <f>IF($J788="","",IF(LEFT(INDEX(NKC!$G$7:$G$3006,$J788),LEN($B$5))=$B$5,INDEX(NKC!$H$7:$H$3006,$J788),""))</f>
        <v/>
      </c>
      <c r="H788" s="132">
        <f>IF($J788="","",H787+N(F788)-N(G788))</f>
        <v/>
      </c>
      <c r="J788" s="117">
        <f>IFERROR(MATCH(781,NKC!$P$7:$P$3006,0),"")</f>
        <v/>
      </c>
    </row>
    <row r="789" ht="15" customHeight="1" s="78">
      <c r="A789" s="131">
        <f>IF($J789="","",INDEX(NKC!$B$7:$B$3006,$J789))</f>
        <v/>
      </c>
      <c r="B789" s="95">
        <f>IF($J789="","",INDEX(NKC!$C$7:$C$3006,$J789))</f>
        <v/>
      </c>
      <c r="C789" s="131">
        <f>IF($J789="","",INDEX(NKC!$D$7:$D$3006,$J789))</f>
        <v/>
      </c>
      <c r="D789" s="97">
        <f>IF($J789="","",INDEX(NKC!$E$7:$E$3006,$J789))</f>
        <v/>
      </c>
      <c r="E789" s="95">
        <f>IF($J789="","",IF(LEFT(INDEX(NKC!$F$7:$F$3006,$J789),LEN($B$5))=$B$5,INDEX(NKC!$G$7:$G$3006,$J789),INDEX(NKC!$F$7:$F$3006,$J789)))</f>
        <v/>
      </c>
      <c r="F789" s="125">
        <f>IF($J789="","",IF(LEFT(INDEX(NKC!$F$7:$F$3006,$J789),LEN($B$5))=$B$5,INDEX(NKC!$H$7:$H$3006,$J789),""))</f>
        <v/>
      </c>
      <c r="G789" s="125">
        <f>IF($J789="","",IF(LEFT(INDEX(NKC!$G$7:$G$3006,$J789),LEN($B$5))=$B$5,INDEX(NKC!$H$7:$H$3006,$J789),""))</f>
        <v/>
      </c>
      <c r="H789" s="132">
        <f>IF($J789="","",H788+N(F789)-N(G789))</f>
        <v/>
      </c>
      <c r="J789" s="117">
        <f>IFERROR(MATCH(782,NKC!$P$7:$P$3006,0),"")</f>
        <v/>
      </c>
    </row>
    <row r="790" ht="15" customHeight="1" s="78">
      <c r="A790" s="131">
        <f>IF($J790="","",INDEX(NKC!$B$7:$B$3006,$J790))</f>
        <v/>
      </c>
      <c r="B790" s="95">
        <f>IF($J790="","",INDEX(NKC!$C$7:$C$3006,$J790))</f>
        <v/>
      </c>
      <c r="C790" s="131">
        <f>IF($J790="","",INDEX(NKC!$D$7:$D$3006,$J790))</f>
        <v/>
      </c>
      <c r="D790" s="97">
        <f>IF($J790="","",INDEX(NKC!$E$7:$E$3006,$J790))</f>
        <v/>
      </c>
      <c r="E790" s="95">
        <f>IF($J790="","",IF(LEFT(INDEX(NKC!$F$7:$F$3006,$J790),LEN($B$5))=$B$5,INDEX(NKC!$G$7:$G$3006,$J790),INDEX(NKC!$F$7:$F$3006,$J790)))</f>
        <v/>
      </c>
      <c r="F790" s="125">
        <f>IF($J790="","",IF(LEFT(INDEX(NKC!$F$7:$F$3006,$J790),LEN($B$5))=$B$5,INDEX(NKC!$H$7:$H$3006,$J790),""))</f>
        <v/>
      </c>
      <c r="G790" s="125">
        <f>IF($J790="","",IF(LEFT(INDEX(NKC!$G$7:$G$3006,$J790),LEN($B$5))=$B$5,INDEX(NKC!$H$7:$H$3006,$J790),""))</f>
        <v/>
      </c>
      <c r="H790" s="132">
        <f>IF($J790="","",H789+N(F790)-N(G790))</f>
        <v/>
      </c>
      <c r="J790" s="117">
        <f>IFERROR(MATCH(783,NKC!$P$7:$P$3006,0),"")</f>
        <v/>
      </c>
    </row>
    <row r="791" ht="15" customHeight="1" s="78">
      <c r="A791" s="131">
        <f>IF($J791="","",INDEX(NKC!$B$7:$B$3006,$J791))</f>
        <v/>
      </c>
      <c r="B791" s="95">
        <f>IF($J791="","",INDEX(NKC!$C$7:$C$3006,$J791))</f>
        <v/>
      </c>
      <c r="C791" s="131">
        <f>IF($J791="","",INDEX(NKC!$D$7:$D$3006,$J791))</f>
        <v/>
      </c>
      <c r="D791" s="97">
        <f>IF($J791="","",INDEX(NKC!$E$7:$E$3006,$J791))</f>
        <v/>
      </c>
      <c r="E791" s="95">
        <f>IF($J791="","",IF(LEFT(INDEX(NKC!$F$7:$F$3006,$J791),LEN($B$5))=$B$5,INDEX(NKC!$G$7:$G$3006,$J791),INDEX(NKC!$F$7:$F$3006,$J791)))</f>
        <v/>
      </c>
      <c r="F791" s="125">
        <f>IF($J791="","",IF(LEFT(INDEX(NKC!$F$7:$F$3006,$J791),LEN($B$5))=$B$5,INDEX(NKC!$H$7:$H$3006,$J791),""))</f>
        <v/>
      </c>
      <c r="G791" s="125">
        <f>IF($J791="","",IF(LEFT(INDEX(NKC!$G$7:$G$3006,$J791),LEN($B$5))=$B$5,INDEX(NKC!$H$7:$H$3006,$J791),""))</f>
        <v/>
      </c>
      <c r="H791" s="132">
        <f>IF($J791="","",H790+N(F791)-N(G791))</f>
        <v/>
      </c>
      <c r="J791" s="117">
        <f>IFERROR(MATCH(784,NKC!$P$7:$P$3006,0),"")</f>
        <v/>
      </c>
    </row>
    <row r="792" ht="15" customHeight="1" s="78">
      <c r="A792" s="131">
        <f>IF($J792="","",INDEX(NKC!$B$7:$B$3006,$J792))</f>
        <v/>
      </c>
      <c r="B792" s="95">
        <f>IF($J792="","",INDEX(NKC!$C$7:$C$3006,$J792))</f>
        <v/>
      </c>
      <c r="C792" s="131">
        <f>IF($J792="","",INDEX(NKC!$D$7:$D$3006,$J792))</f>
        <v/>
      </c>
      <c r="D792" s="97">
        <f>IF($J792="","",INDEX(NKC!$E$7:$E$3006,$J792))</f>
        <v/>
      </c>
      <c r="E792" s="95">
        <f>IF($J792="","",IF(LEFT(INDEX(NKC!$F$7:$F$3006,$J792),LEN($B$5))=$B$5,INDEX(NKC!$G$7:$G$3006,$J792),INDEX(NKC!$F$7:$F$3006,$J792)))</f>
        <v/>
      </c>
      <c r="F792" s="125">
        <f>IF($J792="","",IF(LEFT(INDEX(NKC!$F$7:$F$3006,$J792),LEN($B$5))=$B$5,INDEX(NKC!$H$7:$H$3006,$J792),""))</f>
        <v/>
      </c>
      <c r="G792" s="125">
        <f>IF($J792="","",IF(LEFT(INDEX(NKC!$G$7:$G$3006,$J792),LEN($B$5))=$B$5,INDEX(NKC!$H$7:$H$3006,$J792),""))</f>
        <v/>
      </c>
      <c r="H792" s="132">
        <f>IF($J792="","",H791+N(F792)-N(G792))</f>
        <v/>
      </c>
      <c r="J792" s="117">
        <f>IFERROR(MATCH(785,NKC!$P$7:$P$3006,0),"")</f>
        <v/>
      </c>
    </row>
    <row r="793" ht="15" customHeight="1" s="78">
      <c r="A793" s="131">
        <f>IF($J793="","",INDEX(NKC!$B$7:$B$3006,$J793))</f>
        <v/>
      </c>
      <c r="B793" s="95">
        <f>IF($J793="","",INDEX(NKC!$C$7:$C$3006,$J793))</f>
        <v/>
      </c>
      <c r="C793" s="131">
        <f>IF($J793="","",INDEX(NKC!$D$7:$D$3006,$J793))</f>
        <v/>
      </c>
      <c r="D793" s="97">
        <f>IF($J793="","",INDEX(NKC!$E$7:$E$3006,$J793))</f>
        <v/>
      </c>
      <c r="E793" s="95">
        <f>IF($J793="","",IF(LEFT(INDEX(NKC!$F$7:$F$3006,$J793),LEN($B$5))=$B$5,INDEX(NKC!$G$7:$G$3006,$J793),INDEX(NKC!$F$7:$F$3006,$J793)))</f>
        <v/>
      </c>
      <c r="F793" s="125">
        <f>IF($J793="","",IF(LEFT(INDEX(NKC!$F$7:$F$3006,$J793),LEN($B$5))=$B$5,INDEX(NKC!$H$7:$H$3006,$J793),""))</f>
        <v/>
      </c>
      <c r="G793" s="125">
        <f>IF($J793="","",IF(LEFT(INDEX(NKC!$G$7:$G$3006,$J793),LEN($B$5))=$B$5,INDEX(NKC!$H$7:$H$3006,$J793),""))</f>
        <v/>
      </c>
      <c r="H793" s="132">
        <f>IF($J793="","",H792+N(F793)-N(G793))</f>
        <v/>
      </c>
      <c r="J793" s="117">
        <f>IFERROR(MATCH(786,NKC!$P$7:$P$3006,0),"")</f>
        <v/>
      </c>
    </row>
    <row r="794" ht="15" customHeight="1" s="78">
      <c r="A794" s="131">
        <f>IF($J794="","",INDEX(NKC!$B$7:$B$3006,$J794))</f>
        <v/>
      </c>
      <c r="B794" s="95">
        <f>IF($J794="","",INDEX(NKC!$C$7:$C$3006,$J794))</f>
        <v/>
      </c>
      <c r="C794" s="131">
        <f>IF($J794="","",INDEX(NKC!$D$7:$D$3006,$J794))</f>
        <v/>
      </c>
      <c r="D794" s="97">
        <f>IF($J794="","",INDEX(NKC!$E$7:$E$3006,$J794))</f>
        <v/>
      </c>
      <c r="E794" s="95">
        <f>IF($J794="","",IF(LEFT(INDEX(NKC!$F$7:$F$3006,$J794),LEN($B$5))=$B$5,INDEX(NKC!$G$7:$G$3006,$J794),INDEX(NKC!$F$7:$F$3006,$J794)))</f>
        <v/>
      </c>
      <c r="F794" s="125">
        <f>IF($J794="","",IF(LEFT(INDEX(NKC!$F$7:$F$3006,$J794),LEN($B$5))=$B$5,INDEX(NKC!$H$7:$H$3006,$J794),""))</f>
        <v/>
      </c>
      <c r="G794" s="125">
        <f>IF($J794="","",IF(LEFT(INDEX(NKC!$G$7:$G$3006,$J794),LEN($B$5))=$B$5,INDEX(NKC!$H$7:$H$3006,$J794),""))</f>
        <v/>
      </c>
      <c r="H794" s="132">
        <f>IF($J794="","",H793+N(F794)-N(G794))</f>
        <v/>
      </c>
      <c r="J794" s="117">
        <f>IFERROR(MATCH(787,NKC!$P$7:$P$3006,0),"")</f>
        <v/>
      </c>
    </row>
    <row r="795" ht="15" customHeight="1" s="78">
      <c r="A795" s="131">
        <f>IF($J795="","",INDEX(NKC!$B$7:$B$3006,$J795))</f>
        <v/>
      </c>
      <c r="B795" s="95">
        <f>IF($J795="","",INDEX(NKC!$C$7:$C$3006,$J795))</f>
        <v/>
      </c>
      <c r="C795" s="131">
        <f>IF($J795="","",INDEX(NKC!$D$7:$D$3006,$J795))</f>
        <v/>
      </c>
      <c r="D795" s="97">
        <f>IF($J795="","",INDEX(NKC!$E$7:$E$3006,$J795))</f>
        <v/>
      </c>
      <c r="E795" s="95">
        <f>IF($J795="","",IF(LEFT(INDEX(NKC!$F$7:$F$3006,$J795),LEN($B$5))=$B$5,INDEX(NKC!$G$7:$G$3006,$J795),INDEX(NKC!$F$7:$F$3006,$J795)))</f>
        <v/>
      </c>
      <c r="F795" s="125">
        <f>IF($J795="","",IF(LEFT(INDEX(NKC!$F$7:$F$3006,$J795),LEN($B$5))=$B$5,INDEX(NKC!$H$7:$H$3006,$J795),""))</f>
        <v/>
      </c>
      <c r="G795" s="125">
        <f>IF($J795="","",IF(LEFT(INDEX(NKC!$G$7:$G$3006,$J795),LEN($B$5))=$B$5,INDEX(NKC!$H$7:$H$3006,$J795),""))</f>
        <v/>
      </c>
      <c r="H795" s="132">
        <f>IF($J795="","",H794+N(F795)-N(G795))</f>
        <v/>
      </c>
      <c r="J795" s="117">
        <f>IFERROR(MATCH(788,NKC!$P$7:$P$3006,0),"")</f>
        <v/>
      </c>
    </row>
    <row r="796" ht="15" customHeight="1" s="78">
      <c r="A796" s="131">
        <f>IF($J796="","",INDEX(NKC!$B$7:$B$3006,$J796))</f>
        <v/>
      </c>
      <c r="B796" s="95">
        <f>IF($J796="","",INDEX(NKC!$C$7:$C$3006,$J796))</f>
        <v/>
      </c>
      <c r="C796" s="131">
        <f>IF($J796="","",INDEX(NKC!$D$7:$D$3006,$J796))</f>
        <v/>
      </c>
      <c r="D796" s="97">
        <f>IF($J796="","",INDEX(NKC!$E$7:$E$3006,$J796))</f>
        <v/>
      </c>
      <c r="E796" s="95">
        <f>IF($J796="","",IF(LEFT(INDEX(NKC!$F$7:$F$3006,$J796),LEN($B$5))=$B$5,INDEX(NKC!$G$7:$G$3006,$J796),INDEX(NKC!$F$7:$F$3006,$J796)))</f>
        <v/>
      </c>
      <c r="F796" s="125">
        <f>IF($J796="","",IF(LEFT(INDEX(NKC!$F$7:$F$3006,$J796),LEN($B$5))=$B$5,INDEX(NKC!$H$7:$H$3006,$J796),""))</f>
        <v/>
      </c>
      <c r="G796" s="125">
        <f>IF($J796="","",IF(LEFT(INDEX(NKC!$G$7:$G$3006,$J796),LEN($B$5))=$B$5,INDEX(NKC!$H$7:$H$3006,$J796),""))</f>
        <v/>
      </c>
      <c r="H796" s="132">
        <f>IF($J796="","",H795+N(F796)-N(G796))</f>
        <v/>
      </c>
      <c r="J796" s="117">
        <f>IFERROR(MATCH(789,NKC!$P$7:$P$3006,0),"")</f>
        <v/>
      </c>
    </row>
    <row r="797" ht="15" customHeight="1" s="78">
      <c r="A797" s="131">
        <f>IF($J797="","",INDEX(NKC!$B$7:$B$3006,$J797))</f>
        <v/>
      </c>
      <c r="B797" s="95">
        <f>IF($J797="","",INDEX(NKC!$C$7:$C$3006,$J797))</f>
        <v/>
      </c>
      <c r="C797" s="131">
        <f>IF($J797="","",INDEX(NKC!$D$7:$D$3006,$J797))</f>
        <v/>
      </c>
      <c r="D797" s="97">
        <f>IF($J797="","",INDEX(NKC!$E$7:$E$3006,$J797))</f>
        <v/>
      </c>
      <c r="E797" s="95">
        <f>IF($J797="","",IF(LEFT(INDEX(NKC!$F$7:$F$3006,$J797),LEN($B$5))=$B$5,INDEX(NKC!$G$7:$G$3006,$J797),INDEX(NKC!$F$7:$F$3006,$J797)))</f>
        <v/>
      </c>
      <c r="F797" s="125">
        <f>IF($J797="","",IF(LEFT(INDEX(NKC!$F$7:$F$3006,$J797),LEN($B$5))=$B$5,INDEX(NKC!$H$7:$H$3006,$J797),""))</f>
        <v/>
      </c>
      <c r="G797" s="125">
        <f>IF($J797="","",IF(LEFT(INDEX(NKC!$G$7:$G$3006,$J797),LEN($B$5))=$B$5,INDEX(NKC!$H$7:$H$3006,$J797),""))</f>
        <v/>
      </c>
      <c r="H797" s="132">
        <f>IF($J797="","",H796+N(F797)-N(G797))</f>
        <v/>
      </c>
      <c r="J797" s="117">
        <f>IFERROR(MATCH(790,NKC!$P$7:$P$3006,0),"")</f>
        <v/>
      </c>
    </row>
    <row r="798" ht="15" customHeight="1" s="78">
      <c r="A798" s="131">
        <f>IF($J798="","",INDEX(NKC!$B$7:$B$3006,$J798))</f>
        <v/>
      </c>
      <c r="B798" s="95">
        <f>IF($J798="","",INDEX(NKC!$C$7:$C$3006,$J798))</f>
        <v/>
      </c>
      <c r="C798" s="131">
        <f>IF($J798="","",INDEX(NKC!$D$7:$D$3006,$J798))</f>
        <v/>
      </c>
      <c r="D798" s="97">
        <f>IF($J798="","",INDEX(NKC!$E$7:$E$3006,$J798))</f>
        <v/>
      </c>
      <c r="E798" s="95">
        <f>IF($J798="","",IF(LEFT(INDEX(NKC!$F$7:$F$3006,$J798),LEN($B$5))=$B$5,INDEX(NKC!$G$7:$G$3006,$J798),INDEX(NKC!$F$7:$F$3006,$J798)))</f>
        <v/>
      </c>
      <c r="F798" s="125">
        <f>IF($J798="","",IF(LEFT(INDEX(NKC!$F$7:$F$3006,$J798),LEN($B$5))=$B$5,INDEX(NKC!$H$7:$H$3006,$J798),""))</f>
        <v/>
      </c>
      <c r="G798" s="125">
        <f>IF($J798="","",IF(LEFT(INDEX(NKC!$G$7:$G$3006,$J798),LEN($B$5))=$B$5,INDEX(NKC!$H$7:$H$3006,$J798),""))</f>
        <v/>
      </c>
      <c r="H798" s="132">
        <f>IF($J798="","",H797+N(F798)-N(G798))</f>
        <v/>
      </c>
      <c r="J798" s="117">
        <f>IFERROR(MATCH(791,NKC!$P$7:$P$3006,0),"")</f>
        <v/>
      </c>
    </row>
    <row r="799" ht="15" customHeight="1" s="78">
      <c r="A799" s="131">
        <f>IF($J799="","",INDEX(NKC!$B$7:$B$3006,$J799))</f>
        <v/>
      </c>
      <c r="B799" s="95">
        <f>IF($J799="","",INDEX(NKC!$C$7:$C$3006,$J799))</f>
        <v/>
      </c>
      <c r="C799" s="131">
        <f>IF($J799="","",INDEX(NKC!$D$7:$D$3006,$J799))</f>
        <v/>
      </c>
      <c r="D799" s="97">
        <f>IF($J799="","",INDEX(NKC!$E$7:$E$3006,$J799))</f>
        <v/>
      </c>
      <c r="E799" s="95">
        <f>IF($J799="","",IF(LEFT(INDEX(NKC!$F$7:$F$3006,$J799),LEN($B$5))=$B$5,INDEX(NKC!$G$7:$G$3006,$J799),INDEX(NKC!$F$7:$F$3006,$J799)))</f>
        <v/>
      </c>
      <c r="F799" s="125">
        <f>IF($J799="","",IF(LEFT(INDEX(NKC!$F$7:$F$3006,$J799),LEN($B$5))=$B$5,INDEX(NKC!$H$7:$H$3006,$J799),""))</f>
        <v/>
      </c>
      <c r="G799" s="125">
        <f>IF($J799="","",IF(LEFT(INDEX(NKC!$G$7:$G$3006,$J799),LEN($B$5))=$B$5,INDEX(NKC!$H$7:$H$3006,$J799),""))</f>
        <v/>
      </c>
      <c r="H799" s="132">
        <f>IF($J799="","",H798+N(F799)-N(G799))</f>
        <v/>
      </c>
      <c r="J799" s="117">
        <f>IFERROR(MATCH(792,NKC!$P$7:$P$3006,0),"")</f>
        <v/>
      </c>
    </row>
    <row r="800" ht="15" customHeight="1" s="78">
      <c r="A800" s="131">
        <f>IF($J800="","",INDEX(NKC!$B$7:$B$3006,$J800))</f>
        <v/>
      </c>
      <c r="B800" s="95">
        <f>IF($J800="","",INDEX(NKC!$C$7:$C$3006,$J800))</f>
        <v/>
      </c>
      <c r="C800" s="131">
        <f>IF($J800="","",INDEX(NKC!$D$7:$D$3006,$J800))</f>
        <v/>
      </c>
      <c r="D800" s="97">
        <f>IF($J800="","",INDEX(NKC!$E$7:$E$3006,$J800))</f>
        <v/>
      </c>
      <c r="E800" s="95">
        <f>IF($J800="","",IF(LEFT(INDEX(NKC!$F$7:$F$3006,$J800),LEN($B$5))=$B$5,INDEX(NKC!$G$7:$G$3006,$J800),INDEX(NKC!$F$7:$F$3006,$J800)))</f>
        <v/>
      </c>
      <c r="F800" s="125">
        <f>IF($J800="","",IF(LEFT(INDEX(NKC!$F$7:$F$3006,$J800),LEN($B$5))=$B$5,INDEX(NKC!$H$7:$H$3006,$J800),""))</f>
        <v/>
      </c>
      <c r="G800" s="125">
        <f>IF($J800="","",IF(LEFT(INDEX(NKC!$G$7:$G$3006,$J800),LEN($B$5))=$B$5,INDEX(NKC!$H$7:$H$3006,$J800),""))</f>
        <v/>
      </c>
      <c r="H800" s="132">
        <f>IF($J800="","",H799+N(F800)-N(G800))</f>
        <v/>
      </c>
      <c r="J800" s="117">
        <f>IFERROR(MATCH(793,NKC!$P$7:$P$3006,0),"")</f>
        <v/>
      </c>
    </row>
    <row r="801" ht="15" customHeight="1" s="78">
      <c r="A801" s="131">
        <f>IF($J801="","",INDEX(NKC!$B$7:$B$3006,$J801))</f>
        <v/>
      </c>
      <c r="B801" s="95">
        <f>IF($J801="","",INDEX(NKC!$C$7:$C$3006,$J801))</f>
        <v/>
      </c>
      <c r="C801" s="131">
        <f>IF($J801="","",INDEX(NKC!$D$7:$D$3006,$J801))</f>
        <v/>
      </c>
      <c r="D801" s="97">
        <f>IF($J801="","",INDEX(NKC!$E$7:$E$3006,$J801))</f>
        <v/>
      </c>
      <c r="E801" s="95">
        <f>IF($J801="","",IF(LEFT(INDEX(NKC!$F$7:$F$3006,$J801),LEN($B$5))=$B$5,INDEX(NKC!$G$7:$G$3006,$J801),INDEX(NKC!$F$7:$F$3006,$J801)))</f>
        <v/>
      </c>
      <c r="F801" s="125">
        <f>IF($J801="","",IF(LEFT(INDEX(NKC!$F$7:$F$3006,$J801),LEN($B$5))=$B$5,INDEX(NKC!$H$7:$H$3006,$J801),""))</f>
        <v/>
      </c>
      <c r="G801" s="125">
        <f>IF($J801="","",IF(LEFT(INDEX(NKC!$G$7:$G$3006,$J801),LEN($B$5))=$B$5,INDEX(NKC!$H$7:$H$3006,$J801),""))</f>
        <v/>
      </c>
      <c r="H801" s="132">
        <f>IF($J801="","",H800+N(F801)-N(G801))</f>
        <v/>
      </c>
      <c r="J801" s="117">
        <f>IFERROR(MATCH(794,NKC!$P$7:$P$3006,0),"")</f>
        <v/>
      </c>
    </row>
    <row r="802" ht="15" customHeight="1" s="78">
      <c r="A802" s="131">
        <f>IF($J802="","",INDEX(NKC!$B$7:$B$3006,$J802))</f>
        <v/>
      </c>
      <c r="B802" s="95">
        <f>IF($J802="","",INDEX(NKC!$C$7:$C$3006,$J802))</f>
        <v/>
      </c>
      <c r="C802" s="131">
        <f>IF($J802="","",INDEX(NKC!$D$7:$D$3006,$J802))</f>
        <v/>
      </c>
      <c r="D802" s="97">
        <f>IF($J802="","",INDEX(NKC!$E$7:$E$3006,$J802))</f>
        <v/>
      </c>
      <c r="E802" s="95">
        <f>IF($J802="","",IF(LEFT(INDEX(NKC!$F$7:$F$3006,$J802),LEN($B$5))=$B$5,INDEX(NKC!$G$7:$G$3006,$J802),INDEX(NKC!$F$7:$F$3006,$J802)))</f>
        <v/>
      </c>
      <c r="F802" s="125">
        <f>IF($J802="","",IF(LEFT(INDEX(NKC!$F$7:$F$3006,$J802),LEN($B$5))=$B$5,INDEX(NKC!$H$7:$H$3006,$J802),""))</f>
        <v/>
      </c>
      <c r="G802" s="125">
        <f>IF($J802="","",IF(LEFT(INDEX(NKC!$G$7:$G$3006,$J802),LEN($B$5))=$B$5,INDEX(NKC!$H$7:$H$3006,$J802),""))</f>
        <v/>
      </c>
      <c r="H802" s="132">
        <f>IF($J802="","",H801+N(F802)-N(G802))</f>
        <v/>
      </c>
      <c r="J802" s="117">
        <f>IFERROR(MATCH(795,NKC!$P$7:$P$3006,0),"")</f>
        <v/>
      </c>
    </row>
    <row r="803" ht="15" customHeight="1" s="78">
      <c r="A803" s="131">
        <f>IF($J803="","",INDEX(NKC!$B$7:$B$3006,$J803))</f>
        <v/>
      </c>
      <c r="B803" s="95">
        <f>IF($J803="","",INDEX(NKC!$C$7:$C$3006,$J803))</f>
        <v/>
      </c>
      <c r="C803" s="131">
        <f>IF($J803="","",INDEX(NKC!$D$7:$D$3006,$J803))</f>
        <v/>
      </c>
      <c r="D803" s="97">
        <f>IF($J803="","",INDEX(NKC!$E$7:$E$3006,$J803))</f>
        <v/>
      </c>
      <c r="E803" s="95">
        <f>IF($J803="","",IF(LEFT(INDEX(NKC!$F$7:$F$3006,$J803),LEN($B$5))=$B$5,INDEX(NKC!$G$7:$G$3006,$J803),INDEX(NKC!$F$7:$F$3006,$J803)))</f>
        <v/>
      </c>
      <c r="F803" s="125">
        <f>IF($J803="","",IF(LEFT(INDEX(NKC!$F$7:$F$3006,$J803),LEN($B$5))=$B$5,INDEX(NKC!$H$7:$H$3006,$J803),""))</f>
        <v/>
      </c>
      <c r="G803" s="125">
        <f>IF($J803="","",IF(LEFT(INDEX(NKC!$G$7:$G$3006,$J803),LEN($B$5))=$B$5,INDEX(NKC!$H$7:$H$3006,$J803),""))</f>
        <v/>
      </c>
      <c r="H803" s="132">
        <f>IF($J803="","",H802+N(F803)-N(G803))</f>
        <v/>
      </c>
      <c r="J803" s="117">
        <f>IFERROR(MATCH(796,NKC!$P$7:$P$3006,0),"")</f>
        <v/>
      </c>
    </row>
    <row r="804" ht="15" customHeight="1" s="78">
      <c r="A804" s="131">
        <f>IF($J804="","",INDEX(NKC!$B$7:$B$3006,$J804))</f>
        <v/>
      </c>
      <c r="B804" s="95">
        <f>IF($J804="","",INDEX(NKC!$C$7:$C$3006,$J804))</f>
        <v/>
      </c>
      <c r="C804" s="131">
        <f>IF($J804="","",INDEX(NKC!$D$7:$D$3006,$J804))</f>
        <v/>
      </c>
      <c r="D804" s="97">
        <f>IF($J804="","",INDEX(NKC!$E$7:$E$3006,$J804))</f>
        <v/>
      </c>
      <c r="E804" s="95">
        <f>IF($J804="","",IF(LEFT(INDEX(NKC!$F$7:$F$3006,$J804),LEN($B$5))=$B$5,INDEX(NKC!$G$7:$G$3006,$J804),INDEX(NKC!$F$7:$F$3006,$J804)))</f>
        <v/>
      </c>
      <c r="F804" s="125">
        <f>IF($J804="","",IF(LEFT(INDEX(NKC!$F$7:$F$3006,$J804),LEN($B$5))=$B$5,INDEX(NKC!$H$7:$H$3006,$J804),""))</f>
        <v/>
      </c>
      <c r="G804" s="125">
        <f>IF($J804="","",IF(LEFT(INDEX(NKC!$G$7:$G$3006,$J804),LEN($B$5))=$B$5,INDEX(NKC!$H$7:$H$3006,$J804),""))</f>
        <v/>
      </c>
      <c r="H804" s="132">
        <f>IF($J804="","",H803+N(F804)-N(G804))</f>
        <v/>
      </c>
      <c r="J804" s="117">
        <f>IFERROR(MATCH(797,NKC!$P$7:$P$3006,0),"")</f>
        <v/>
      </c>
    </row>
    <row r="805" ht="15" customHeight="1" s="78">
      <c r="A805" s="131">
        <f>IF($J805="","",INDEX(NKC!$B$7:$B$3006,$J805))</f>
        <v/>
      </c>
      <c r="B805" s="95">
        <f>IF($J805="","",INDEX(NKC!$C$7:$C$3006,$J805))</f>
        <v/>
      </c>
      <c r="C805" s="131">
        <f>IF($J805="","",INDEX(NKC!$D$7:$D$3006,$J805))</f>
        <v/>
      </c>
      <c r="D805" s="97">
        <f>IF($J805="","",INDEX(NKC!$E$7:$E$3006,$J805))</f>
        <v/>
      </c>
      <c r="E805" s="95">
        <f>IF($J805="","",IF(LEFT(INDEX(NKC!$F$7:$F$3006,$J805),LEN($B$5))=$B$5,INDEX(NKC!$G$7:$G$3006,$J805),INDEX(NKC!$F$7:$F$3006,$J805)))</f>
        <v/>
      </c>
      <c r="F805" s="125">
        <f>IF($J805="","",IF(LEFT(INDEX(NKC!$F$7:$F$3006,$J805),LEN($B$5))=$B$5,INDEX(NKC!$H$7:$H$3006,$J805),""))</f>
        <v/>
      </c>
      <c r="G805" s="125">
        <f>IF($J805="","",IF(LEFT(INDEX(NKC!$G$7:$G$3006,$J805),LEN($B$5))=$B$5,INDEX(NKC!$H$7:$H$3006,$J805),""))</f>
        <v/>
      </c>
      <c r="H805" s="132">
        <f>IF($J805="","",H804+N(F805)-N(G805))</f>
        <v/>
      </c>
      <c r="J805" s="117">
        <f>IFERROR(MATCH(798,NKC!$P$7:$P$3006,0),"")</f>
        <v/>
      </c>
    </row>
    <row r="806" ht="15" customHeight="1" s="78">
      <c r="A806" s="131">
        <f>IF($J806="","",INDEX(NKC!$B$7:$B$3006,$J806))</f>
        <v/>
      </c>
      <c r="B806" s="95">
        <f>IF($J806="","",INDEX(NKC!$C$7:$C$3006,$J806))</f>
        <v/>
      </c>
      <c r="C806" s="131">
        <f>IF($J806="","",INDEX(NKC!$D$7:$D$3006,$J806))</f>
        <v/>
      </c>
      <c r="D806" s="97">
        <f>IF($J806="","",INDEX(NKC!$E$7:$E$3006,$J806))</f>
        <v/>
      </c>
      <c r="E806" s="95">
        <f>IF($J806="","",IF(LEFT(INDEX(NKC!$F$7:$F$3006,$J806),LEN($B$5))=$B$5,INDEX(NKC!$G$7:$G$3006,$J806),INDEX(NKC!$F$7:$F$3006,$J806)))</f>
        <v/>
      </c>
      <c r="F806" s="125">
        <f>IF($J806="","",IF(LEFT(INDEX(NKC!$F$7:$F$3006,$J806),LEN($B$5))=$B$5,INDEX(NKC!$H$7:$H$3006,$J806),""))</f>
        <v/>
      </c>
      <c r="G806" s="125">
        <f>IF($J806="","",IF(LEFT(INDEX(NKC!$G$7:$G$3006,$J806),LEN($B$5))=$B$5,INDEX(NKC!$H$7:$H$3006,$J806),""))</f>
        <v/>
      </c>
      <c r="H806" s="132">
        <f>IF($J806="","",H805+N(F806)-N(G806))</f>
        <v/>
      </c>
      <c r="J806" s="117">
        <f>IFERROR(MATCH(799,NKC!$P$7:$P$3006,0),"")</f>
        <v/>
      </c>
    </row>
    <row r="807" ht="15" customHeight="1" s="78">
      <c r="A807" s="131">
        <f>IF($J807="","",INDEX(NKC!$B$7:$B$3006,$J807))</f>
        <v/>
      </c>
      <c r="B807" s="95">
        <f>IF($J807="","",INDEX(NKC!$C$7:$C$3006,$J807))</f>
        <v/>
      </c>
      <c r="C807" s="131">
        <f>IF($J807="","",INDEX(NKC!$D$7:$D$3006,$J807))</f>
        <v/>
      </c>
      <c r="D807" s="97">
        <f>IF($J807="","",INDEX(NKC!$E$7:$E$3006,$J807))</f>
        <v/>
      </c>
      <c r="E807" s="95">
        <f>IF($J807="","",IF(LEFT(INDEX(NKC!$F$7:$F$3006,$J807),LEN($B$5))=$B$5,INDEX(NKC!$G$7:$G$3006,$J807),INDEX(NKC!$F$7:$F$3006,$J807)))</f>
        <v/>
      </c>
      <c r="F807" s="125">
        <f>IF($J807="","",IF(LEFT(INDEX(NKC!$F$7:$F$3006,$J807),LEN($B$5))=$B$5,INDEX(NKC!$H$7:$H$3006,$J807),""))</f>
        <v/>
      </c>
      <c r="G807" s="125">
        <f>IF($J807="","",IF(LEFT(INDEX(NKC!$G$7:$G$3006,$J807),LEN($B$5))=$B$5,INDEX(NKC!$H$7:$H$3006,$J807),""))</f>
        <v/>
      </c>
      <c r="H807" s="132">
        <f>IF($J807="","",H806+N(F807)-N(G807))</f>
        <v/>
      </c>
      <c r="J807" s="117">
        <f>IFERROR(MATCH(800,NKC!$P$7:$P$3006,0),"")</f>
        <v/>
      </c>
    </row>
    <row r="809" ht="15" customHeight="1" s="78">
      <c r="A809" s="91" t="inlineStr">
        <is>
          <t>Lưu ý: sổ hiển thị tối đa 800 dòng phát sinh của tài khoản được chọn (gồm cả các TK con nếu chọn TK cha).</t>
        </is>
      </c>
    </row>
  </sheetData>
  <sheetProtection selectLockedCells="0" selectUnlockedCells="0" sheet="1" objects="0" insertRows="1" insertHyperlinks="1" autoFilter="0" scenarios="0" formatColumns="0" deleteColumns="1" insertColumns="1" pivotTables="1" deleteRows="1" formatCells="0" formatRows="0" sort="0"/>
  <mergeCells count="2">
    <mergeCell ref="C5:F5"/>
    <mergeCell ref="A3:H3"/>
  </mergeCells>
  <dataValidations count="1">
    <dataValidation sqref="B5" showDropDown="0" showInputMessage="0" showErrorMessage="0" allowBlank="1" type="list" errorStyle="stop" operator="between">
      <formula1>DMTK!$A$7:$A$250</formula1>
      <formula2>0</formula2>
    </dataValidation>
  </dataValidations>
  <printOptions horizontalCentered="0" verticalCentered="0" headings="0" gridLines="0" gridLinesSet="1"/>
  <pageMargins left="0.75" right="0.75" top="1" bottom="1" header="0.511811023622047" footer="0.5"/>
  <pageSetup orientation="landscape" paperSize="9" scale="100" fitToHeight="0" fitToWidth="1" pageOrder="downThenOver" blackAndWhite="0" draft="0" horizontalDpi="300" verticalDpi="300" copies="1"/>
  <headerFooter differentOddEven="0" differentFirst="0">
    <oddHeader/>
    <oddFooter>&amp;L&amp;8 &amp;K808080Mr Wick Kiểm toán — Phần mềm kế toán TT 99/2025&amp;R&amp;8 &amp;K808080Trang &amp;P/&amp;N</oddFooter>
    <evenHeader/>
    <evenFooter/>
    <firstHeader/>
    <firstFooter/>
  </headerFooter>
</worksheet>
</file>

<file path=xl/worksheets/sheet9.xml><?xml version="1.0" encoding="utf-8"?>
<worksheet xmlns="http://schemas.openxmlformats.org/spreadsheetml/2006/main">
  <sheetPr filterMode="0">
    <outlinePr summaryBelow="1" summaryRight="1"/>
    <pageSetUpPr fitToPage="1"/>
  </sheetPr>
  <dimension ref="A1:H613"/>
  <sheetViews>
    <sheetView showFormulas="0" showGridLines="1" showRowColHeaders="1" showZeros="1" rightToLeft="0" tabSelected="0" showOutlineSymbols="1" defaultGridColor="1"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77" min="1" max="1"/>
    <col width="42" customWidth="1" style="77" min="2" max="2"/>
    <col width="16" customWidth="1" style="77" min="3" max="8"/>
  </cols>
  <sheetData>
    <row r="1"/>
    <row r="2" ht="17.35" customHeight="1" s="78">
      <c r="A2" s="84" t="inlineStr">
        <is>
          <t>SỔ CHI TIẾT CÔNG NỢ THEO ĐỐI TƯỢNG (TK 131 &amp; TK 331)</t>
        </is>
      </c>
    </row>
    <row r="3" ht="15" customHeight="1" s="78">
      <c r="A3" s="85">
        <f>CONCATENATE("Đơn vị: ",TT_DN!$C$5," — Lũy kế từ đầu năm đến ",TEXT(DEN_NGAY,"DD/MM/YYYY")," — Số liệu tự động từ NKC (cột Mã ĐT) và SDDK")</f>
        <v/>
      </c>
    </row>
    <row r="4"/>
    <row r="5" ht="15" customHeight="1" s="78">
      <c r="A5" s="111" t="inlineStr">
        <is>
          <t>I. TK 131 — PHẢI THU CỦA KHÁCH HÀNG (dư Có = khách hàng trả tiền trước)</t>
        </is>
      </c>
    </row>
    <row r="6"/>
    <row r="7" ht="27.75" customHeight="1" s="78">
      <c r="A7" s="92" t="inlineStr">
        <is>
          <t>Mã ĐT</t>
        </is>
      </c>
      <c r="B7" s="92" t="inlineStr">
        <is>
          <t>Tên đối tượng</t>
        </is>
      </c>
      <c r="C7" s="92" t="inlineStr">
        <is>
          <t>Dư Nợ đầu năm</t>
        </is>
      </c>
      <c r="D7" s="92" t="inlineStr">
        <is>
          <t>Dư Có đầu năm</t>
        </is>
      </c>
      <c r="E7" s="92" t="inlineStr">
        <is>
          <t>PS Nợ lũy kế</t>
        </is>
      </c>
      <c r="F7" s="92" t="inlineStr">
        <is>
          <t>PS Có lũy kế</t>
        </is>
      </c>
      <c r="G7" s="92" t="inlineStr">
        <is>
          <t>Dư Nợ cuối kỳ</t>
        </is>
      </c>
      <c r="H7" s="92" t="inlineStr">
        <is>
          <t>Dư Có cuối kỳ</t>
        </is>
      </c>
    </row>
    <row r="8" ht="15" customHeight="1" s="78">
      <c r="A8" s="96">
        <f>IF(DM_DT!$A7="","",DM_DT!$A7&amp;"")</f>
        <v/>
      </c>
      <c r="B8" s="97">
        <f>IF($A8="","",DM_DT!$B7)</f>
        <v/>
      </c>
      <c r="C8" s="125">
        <f>IF($A8="","",SUMIFS(SDDK!$D$256:$D$375,SDDK!$A$256:$A$375,"131",SDDK!$B$256:$B$375,$A8))</f>
        <v/>
      </c>
      <c r="D8" s="125">
        <f>IF($A8="","",SUMIFS(SDDK!$E$256:$E$375,SDDK!$A$256:$A$375,"131",SDDK!$B$256:$B$375,$A8))</f>
        <v/>
      </c>
      <c r="E8" s="125">
        <f>IF($A8="","",SUMIFS(NKC!$H$7:$H$3006,NKC!$F$7:$F$3006,"131*",NKC!$I$7:$I$3006,$A8,NKC!$B$7:$B$3006,"&lt;="&amp;DEN_NGAY))</f>
        <v/>
      </c>
      <c r="F8" s="125">
        <f>IF($A8="","",SUMIFS(NKC!$H$7:$H$3006,NKC!$G$7:$G$3006,"131*",NKC!$I$7:$I$3006,$A8,NKC!$B$7:$B$3006,"&lt;="&amp;DEN_NGAY))</f>
        <v/>
      </c>
      <c r="G8" s="125">
        <f>IF($A8="","",MAX($C8-$D8+$E8-$F8,0))</f>
        <v/>
      </c>
      <c r="H8" s="125">
        <f>IF($A8="","",MAX(-($C8-$D8+$E8-$F8),0))</f>
        <v/>
      </c>
    </row>
    <row r="9" ht="15" customHeight="1" s="78">
      <c r="A9" s="96">
        <f>IF(DM_DT!$A8="","",DM_DT!$A8&amp;"")</f>
        <v/>
      </c>
      <c r="B9" s="97">
        <f>IF($A9="","",DM_DT!$B8)</f>
        <v/>
      </c>
      <c r="C9" s="125">
        <f>IF($A9="","",SUMIFS(SDDK!$D$256:$D$375,SDDK!$A$256:$A$375,"131",SDDK!$B$256:$B$375,$A9))</f>
        <v/>
      </c>
      <c r="D9" s="125">
        <f>IF($A9="","",SUMIFS(SDDK!$E$256:$E$375,SDDK!$A$256:$A$375,"131",SDDK!$B$256:$B$375,$A9))</f>
        <v/>
      </c>
      <c r="E9" s="125">
        <f>IF($A9="","",SUMIFS(NKC!$H$7:$H$3006,NKC!$F$7:$F$3006,"131*",NKC!$I$7:$I$3006,$A9,NKC!$B$7:$B$3006,"&lt;="&amp;DEN_NGAY))</f>
        <v/>
      </c>
      <c r="F9" s="125">
        <f>IF($A9="","",SUMIFS(NKC!$H$7:$H$3006,NKC!$G$7:$G$3006,"131*",NKC!$I$7:$I$3006,$A9,NKC!$B$7:$B$3006,"&lt;="&amp;DEN_NGAY))</f>
        <v/>
      </c>
      <c r="G9" s="125">
        <f>IF($A9="","",MAX($C9-$D9+$E9-$F9,0))</f>
        <v/>
      </c>
      <c r="H9" s="125">
        <f>IF($A9="","",MAX(-($C9-$D9+$E9-$F9),0))</f>
        <v/>
      </c>
    </row>
    <row r="10" ht="15" customHeight="1" s="78">
      <c r="A10" s="96">
        <f>IF(DM_DT!$A9="","",DM_DT!$A9&amp;"")</f>
        <v/>
      </c>
      <c r="B10" s="97">
        <f>IF($A10="","",DM_DT!$B9)</f>
        <v/>
      </c>
      <c r="C10" s="125">
        <f>IF($A10="","",SUMIFS(SDDK!$D$256:$D$375,SDDK!$A$256:$A$375,"131",SDDK!$B$256:$B$375,$A10))</f>
        <v/>
      </c>
      <c r="D10" s="125">
        <f>IF($A10="","",SUMIFS(SDDK!$E$256:$E$375,SDDK!$A$256:$A$375,"131",SDDK!$B$256:$B$375,$A10))</f>
        <v/>
      </c>
      <c r="E10" s="125">
        <f>IF($A10="","",SUMIFS(NKC!$H$7:$H$3006,NKC!$F$7:$F$3006,"131*",NKC!$I$7:$I$3006,$A10,NKC!$B$7:$B$3006,"&lt;="&amp;DEN_NGAY))</f>
        <v/>
      </c>
      <c r="F10" s="125">
        <f>IF($A10="","",SUMIFS(NKC!$H$7:$H$3006,NKC!$G$7:$G$3006,"131*",NKC!$I$7:$I$3006,$A10,NKC!$B$7:$B$3006,"&lt;="&amp;DEN_NGAY))</f>
        <v/>
      </c>
      <c r="G10" s="125">
        <f>IF($A10="","",MAX($C10-$D10+$E10-$F10,0))</f>
        <v/>
      </c>
      <c r="H10" s="125">
        <f>IF($A10="","",MAX(-($C10-$D10+$E10-$F10),0))</f>
        <v/>
      </c>
    </row>
    <row r="11" ht="15" customHeight="1" s="78">
      <c r="A11" s="96">
        <f>IF(DM_DT!$A10="","",DM_DT!$A10&amp;"")</f>
        <v/>
      </c>
      <c r="B11" s="97">
        <f>IF($A11="","",DM_DT!$B10)</f>
        <v/>
      </c>
      <c r="C11" s="125">
        <f>IF($A11="","",SUMIFS(SDDK!$D$256:$D$375,SDDK!$A$256:$A$375,"131",SDDK!$B$256:$B$375,$A11))</f>
        <v/>
      </c>
      <c r="D11" s="125">
        <f>IF($A11="","",SUMIFS(SDDK!$E$256:$E$375,SDDK!$A$256:$A$375,"131",SDDK!$B$256:$B$375,$A11))</f>
        <v/>
      </c>
      <c r="E11" s="125">
        <f>IF($A11="","",SUMIFS(NKC!$H$7:$H$3006,NKC!$F$7:$F$3006,"131*",NKC!$I$7:$I$3006,$A11,NKC!$B$7:$B$3006,"&lt;="&amp;DEN_NGAY))</f>
        <v/>
      </c>
      <c r="F11" s="125">
        <f>IF($A11="","",SUMIFS(NKC!$H$7:$H$3006,NKC!$G$7:$G$3006,"131*",NKC!$I$7:$I$3006,$A11,NKC!$B$7:$B$3006,"&lt;="&amp;DEN_NGAY))</f>
        <v/>
      </c>
      <c r="G11" s="125">
        <f>IF($A11="","",MAX($C11-$D11+$E11-$F11,0))</f>
        <v/>
      </c>
      <c r="H11" s="125">
        <f>IF($A11="","",MAX(-($C11-$D11+$E11-$F11),0))</f>
        <v/>
      </c>
    </row>
    <row r="12" ht="15" customHeight="1" s="78">
      <c r="A12" s="96">
        <f>IF(DM_DT!$A11="","",DM_DT!$A11&amp;"")</f>
        <v/>
      </c>
      <c r="B12" s="97">
        <f>IF($A12="","",DM_DT!$B11)</f>
        <v/>
      </c>
      <c r="C12" s="125">
        <f>IF($A12="","",SUMIFS(SDDK!$D$256:$D$375,SDDK!$A$256:$A$375,"131",SDDK!$B$256:$B$375,$A12))</f>
        <v/>
      </c>
      <c r="D12" s="125">
        <f>IF($A12="","",SUMIFS(SDDK!$E$256:$E$375,SDDK!$A$256:$A$375,"131",SDDK!$B$256:$B$375,$A12))</f>
        <v/>
      </c>
      <c r="E12" s="125">
        <f>IF($A12="","",SUMIFS(NKC!$H$7:$H$3006,NKC!$F$7:$F$3006,"131*",NKC!$I$7:$I$3006,$A12,NKC!$B$7:$B$3006,"&lt;="&amp;DEN_NGAY))</f>
        <v/>
      </c>
      <c r="F12" s="125">
        <f>IF($A12="","",SUMIFS(NKC!$H$7:$H$3006,NKC!$G$7:$G$3006,"131*",NKC!$I$7:$I$3006,$A12,NKC!$B$7:$B$3006,"&lt;="&amp;DEN_NGAY))</f>
        <v/>
      </c>
      <c r="G12" s="125">
        <f>IF($A12="","",MAX($C12-$D12+$E12-$F12,0))</f>
        <v/>
      </c>
      <c r="H12" s="125">
        <f>IF($A12="","",MAX(-($C12-$D12+$E12-$F12),0))</f>
        <v/>
      </c>
    </row>
    <row r="13" ht="15" customHeight="1" s="78">
      <c r="A13" s="96">
        <f>IF(DM_DT!$A12="","",DM_DT!$A12&amp;"")</f>
        <v/>
      </c>
      <c r="B13" s="97">
        <f>IF($A13="","",DM_DT!$B12)</f>
        <v/>
      </c>
      <c r="C13" s="125">
        <f>IF($A13="","",SUMIFS(SDDK!$D$256:$D$375,SDDK!$A$256:$A$375,"131",SDDK!$B$256:$B$375,$A13))</f>
        <v/>
      </c>
      <c r="D13" s="125">
        <f>IF($A13="","",SUMIFS(SDDK!$E$256:$E$375,SDDK!$A$256:$A$375,"131",SDDK!$B$256:$B$375,$A13))</f>
        <v/>
      </c>
      <c r="E13" s="125">
        <f>IF($A13="","",SUMIFS(NKC!$H$7:$H$3006,NKC!$F$7:$F$3006,"131*",NKC!$I$7:$I$3006,$A13,NKC!$B$7:$B$3006,"&lt;="&amp;DEN_NGAY))</f>
        <v/>
      </c>
      <c r="F13" s="125">
        <f>IF($A13="","",SUMIFS(NKC!$H$7:$H$3006,NKC!$G$7:$G$3006,"131*",NKC!$I$7:$I$3006,$A13,NKC!$B$7:$B$3006,"&lt;="&amp;DEN_NGAY))</f>
        <v/>
      </c>
      <c r="G13" s="125">
        <f>IF($A13="","",MAX($C13-$D13+$E13-$F13,0))</f>
        <v/>
      </c>
      <c r="H13" s="125">
        <f>IF($A13="","",MAX(-($C13-$D13+$E13-$F13),0))</f>
        <v/>
      </c>
    </row>
    <row r="14" ht="15" customHeight="1" s="78">
      <c r="A14" s="96">
        <f>IF(DM_DT!$A13="","",DM_DT!$A13&amp;"")</f>
        <v/>
      </c>
      <c r="B14" s="97">
        <f>IF($A14="","",DM_DT!$B13)</f>
        <v/>
      </c>
      <c r="C14" s="125">
        <f>IF($A14="","",SUMIFS(SDDK!$D$256:$D$375,SDDK!$A$256:$A$375,"131",SDDK!$B$256:$B$375,$A14))</f>
        <v/>
      </c>
      <c r="D14" s="125">
        <f>IF($A14="","",SUMIFS(SDDK!$E$256:$E$375,SDDK!$A$256:$A$375,"131",SDDK!$B$256:$B$375,$A14))</f>
        <v/>
      </c>
      <c r="E14" s="125">
        <f>IF($A14="","",SUMIFS(NKC!$H$7:$H$3006,NKC!$F$7:$F$3006,"131*",NKC!$I$7:$I$3006,$A14,NKC!$B$7:$B$3006,"&lt;="&amp;DEN_NGAY))</f>
        <v/>
      </c>
      <c r="F14" s="125">
        <f>IF($A14="","",SUMIFS(NKC!$H$7:$H$3006,NKC!$G$7:$G$3006,"131*",NKC!$I$7:$I$3006,$A14,NKC!$B$7:$B$3006,"&lt;="&amp;DEN_NGAY))</f>
        <v/>
      </c>
      <c r="G14" s="125">
        <f>IF($A14="","",MAX($C14-$D14+$E14-$F14,0))</f>
        <v/>
      </c>
      <c r="H14" s="125">
        <f>IF($A14="","",MAX(-($C14-$D14+$E14-$F14),0))</f>
        <v/>
      </c>
    </row>
    <row r="15" ht="15" customHeight="1" s="78">
      <c r="A15" s="96">
        <f>IF(DM_DT!$A14="","",DM_DT!$A14&amp;"")</f>
        <v/>
      </c>
      <c r="B15" s="97">
        <f>IF($A15="","",DM_DT!$B14)</f>
        <v/>
      </c>
      <c r="C15" s="125">
        <f>IF($A15="","",SUMIFS(SDDK!$D$256:$D$375,SDDK!$A$256:$A$375,"131",SDDK!$B$256:$B$375,$A15))</f>
        <v/>
      </c>
      <c r="D15" s="125">
        <f>IF($A15="","",SUMIFS(SDDK!$E$256:$E$375,SDDK!$A$256:$A$375,"131",SDDK!$B$256:$B$375,$A15))</f>
        <v/>
      </c>
      <c r="E15" s="125">
        <f>IF($A15="","",SUMIFS(NKC!$H$7:$H$3006,NKC!$F$7:$F$3006,"131*",NKC!$I$7:$I$3006,$A15,NKC!$B$7:$B$3006,"&lt;="&amp;DEN_NGAY))</f>
        <v/>
      </c>
      <c r="F15" s="125">
        <f>IF($A15="","",SUMIFS(NKC!$H$7:$H$3006,NKC!$G$7:$G$3006,"131*",NKC!$I$7:$I$3006,$A15,NKC!$B$7:$B$3006,"&lt;="&amp;DEN_NGAY))</f>
        <v/>
      </c>
      <c r="G15" s="125">
        <f>IF($A15="","",MAX($C15-$D15+$E15-$F15,0))</f>
        <v/>
      </c>
      <c r="H15" s="125">
        <f>IF($A15="","",MAX(-($C15-$D15+$E15-$F15),0))</f>
        <v/>
      </c>
    </row>
    <row r="16" ht="15" customHeight="1" s="78">
      <c r="A16" s="96">
        <f>IF(DM_DT!$A15="","",DM_DT!$A15&amp;"")</f>
        <v/>
      </c>
      <c r="B16" s="97">
        <f>IF($A16="","",DM_DT!$B15)</f>
        <v/>
      </c>
      <c r="C16" s="125">
        <f>IF($A16="","",SUMIFS(SDDK!$D$256:$D$375,SDDK!$A$256:$A$375,"131",SDDK!$B$256:$B$375,$A16))</f>
        <v/>
      </c>
      <c r="D16" s="125">
        <f>IF($A16="","",SUMIFS(SDDK!$E$256:$E$375,SDDK!$A$256:$A$375,"131",SDDK!$B$256:$B$375,$A16))</f>
        <v/>
      </c>
      <c r="E16" s="125">
        <f>IF($A16="","",SUMIFS(NKC!$H$7:$H$3006,NKC!$F$7:$F$3006,"131*",NKC!$I$7:$I$3006,$A16,NKC!$B$7:$B$3006,"&lt;="&amp;DEN_NGAY))</f>
        <v/>
      </c>
      <c r="F16" s="125">
        <f>IF($A16="","",SUMIFS(NKC!$H$7:$H$3006,NKC!$G$7:$G$3006,"131*",NKC!$I$7:$I$3006,$A16,NKC!$B$7:$B$3006,"&lt;="&amp;DEN_NGAY))</f>
        <v/>
      </c>
      <c r="G16" s="125">
        <f>IF($A16="","",MAX($C16-$D16+$E16-$F16,0))</f>
        <v/>
      </c>
      <c r="H16" s="125">
        <f>IF($A16="","",MAX(-($C16-$D16+$E16-$F16),0))</f>
        <v/>
      </c>
    </row>
    <row r="17" ht="15" customHeight="1" s="78">
      <c r="A17" s="96">
        <f>IF(DM_DT!$A16="","",DM_DT!$A16&amp;"")</f>
        <v/>
      </c>
      <c r="B17" s="97">
        <f>IF($A17="","",DM_DT!$B16)</f>
        <v/>
      </c>
      <c r="C17" s="125">
        <f>IF($A17="","",SUMIFS(SDDK!$D$256:$D$375,SDDK!$A$256:$A$375,"131",SDDK!$B$256:$B$375,$A17))</f>
        <v/>
      </c>
      <c r="D17" s="125">
        <f>IF($A17="","",SUMIFS(SDDK!$E$256:$E$375,SDDK!$A$256:$A$375,"131",SDDK!$B$256:$B$375,$A17))</f>
        <v/>
      </c>
      <c r="E17" s="125">
        <f>IF($A17="","",SUMIFS(NKC!$H$7:$H$3006,NKC!$F$7:$F$3006,"131*",NKC!$I$7:$I$3006,$A17,NKC!$B$7:$B$3006,"&lt;="&amp;DEN_NGAY))</f>
        <v/>
      </c>
      <c r="F17" s="125">
        <f>IF($A17="","",SUMIFS(NKC!$H$7:$H$3006,NKC!$G$7:$G$3006,"131*",NKC!$I$7:$I$3006,$A17,NKC!$B$7:$B$3006,"&lt;="&amp;DEN_NGAY))</f>
        <v/>
      </c>
      <c r="G17" s="125">
        <f>IF($A17="","",MAX($C17-$D17+$E17-$F17,0))</f>
        <v/>
      </c>
      <c r="H17" s="125">
        <f>IF($A17="","",MAX(-($C17-$D17+$E17-$F17),0))</f>
        <v/>
      </c>
    </row>
    <row r="18" ht="15" customHeight="1" s="78">
      <c r="A18" s="96">
        <f>IF(DM_DT!$A17="","",DM_DT!$A17&amp;"")</f>
        <v/>
      </c>
      <c r="B18" s="97">
        <f>IF($A18="","",DM_DT!$B17)</f>
        <v/>
      </c>
      <c r="C18" s="125">
        <f>IF($A18="","",SUMIFS(SDDK!$D$256:$D$375,SDDK!$A$256:$A$375,"131",SDDK!$B$256:$B$375,$A18))</f>
        <v/>
      </c>
      <c r="D18" s="125">
        <f>IF($A18="","",SUMIFS(SDDK!$E$256:$E$375,SDDK!$A$256:$A$375,"131",SDDK!$B$256:$B$375,$A18))</f>
        <v/>
      </c>
      <c r="E18" s="125">
        <f>IF($A18="","",SUMIFS(NKC!$H$7:$H$3006,NKC!$F$7:$F$3006,"131*",NKC!$I$7:$I$3006,$A18,NKC!$B$7:$B$3006,"&lt;="&amp;DEN_NGAY))</f>
        <v/>
      </c>
      <c r="F18" s="125">
        <f>IF($A18="","",SUMIFS(NKC!$H$7:$H$3006,NKC!$G$7:$G$3006,"131*",NKC!$I$7:$I$3006,$A18,NKC!$B$7:$B$3006,"&lt;="&amp;DEN_NGAY))</f>
        <v/>
      </c>
      <c r="G18" s="125">
        <f>IF($A18="","",MAX($C18-$D18+$E18-$F18,0))</f>
        <v/>
      </c>
      <c r="H18" s="125">
        <f>IF($A18="","",MAX(-($C18-$D18+$E18-$F18),0))</f>
        <v/>
      </c>
    </row>
    <row r="19" ht="15" customHeight="1" s="78">
      <c r="A19" s="96">
        <f>IF(DM_DT!$A18="","",DM_DT!$A18&amp;"")</f>
        <v/>
      </c>
      <c r="B19" s="97">
        <f>IF($A19="","",DM_DT!$B18)</f>
        <v/>
      </c>
      <c r="C19" s="125">
        <f>IF($A19="","",SUMIFS(SDDK!$D$256:$D$375,SDDK!$A$256:$A$375,"131",SDDK!$B$256:$B$375,$A19))</f>
        <v/>
      </c>
      <c r="D19" s="125">
        <f>IF($A19="","",SUMIFS(SDDK!$E$256:$E$375,SDDK!$A$256:$A$375,"131",SDDK!$B$256:$B$375,$A19))</f>
        <v/>
      </c>
      <c r="E19" s="125">
        <f>IF($A19="","",SUMIFS(NKC!$H$7:$H$3006,NKC!$F$7:$F$3006,"131*",NKC!$I$7:$I$3006,$A19,NKC!$B$7:$B$3006,"&lt;="&amp;DEN_NGAY))</f>
        <v/>
      </c>
      <c r="F19" s="125">
        <f>IF($A19="","",SUMIFS(NKC!$H$7:$H$3006,NKC!$G$7:$G$3006,"131*",NKC!$I$7:$I$3006,$A19,NKC!$B$7:$B$3006,"&lt;="&amp;DEN_NGAY))</f>
        <v/>
      </c>
      <c r="G19" s="125">
        <f>IF($A19="","",MAX($C19-$D19+$E19-$F19,0))</f>
        <v/>
      </c>
      <c r="H19" s="125">
        <f>IF($A19="","",MAX(-($C19-$D19+$E19-$F19),0))</f>
        <v/>
      </c>
    </row>
    <row r="20" ht="15" customHeight="1" s="78">
      <c r="A20" s="96">
        <f>IF(DM_DT!$A19="","",DM_DT!$A19&amp;"")</f>
        <v/>
      </c>
      <c r="B20" s="97">
        <f>IF($A20="","",DM_DT!$B19)</f>
        <v/>
      </c>
      <c r="C20" s="125">
        <f>IF($A20="","",SUMIFS(SDDK!$D$256:$D$375,SDDK!$A$256:$A$375,"131",SDDK!$B$256:$B$375,$A20))</f>
        <v/>
      </c>
      <c r="D20" s="125">
        <f>IF($A20="","",SUMIFS(SDDK!$E$256:$E$375,SDDK!$A$256:$A$375,"131",SDDK!$B$256:$B$375,$A20))</f>
        <v/>
      </c>
      <c r="E20" s="125">
        <f>IF($A20="","",SUMIFS(NKC!$H$7:$H$3006,NKC!$F$7:$F$3006,"131*",NKC!$I$7:$I$3006,$A20,NKC!$B$7:$B$3006,"&lt;="&amp;DEN_NGAY))</f>
        <v/>
      </c>
      <c r="F20" s="125">
        <f>IF($A20="","",SUMIFS(NKC!$H$7:$H$3006,NKC!$G$7:$G$3006,"131*",NKC!$I$7:$I$3006,$A20,NKC!$B$7:$B$3006,"&lt;="&amp;DEN_NGAY))</f>
        <v/>
      </c>
      <c r="G20" s="125">
        <f>IF($A20="","",MAX($C20-$D20+$E20-$F20,0))</f>
        <v/>
      </c>
      <c r="H20" s="125">
        <f>IF($A20="","",MAX(-($C20-$D20+$E20-$F20),0))</f>
        <v/>
      </c>
    </row>
    <row r="21" ht="15" customHeight="1" s="78">
      <c r="A21" s="96">
        <f>IF(DM_DT!$A20="","",DM_DT!$A20&amp;"")</f>
        <v/>
      </c>
      <c r="B21" s="97">
        <f>IF($A21="","",DM_DT!$B20)</f>
        <v/>
      </c>
      <c r="C21" s="125">
        <f>IF($A21="","",SUMIFS(SDDK!$D$256:$D$375,SDDK!$A$256:$A$375,"131",SDDK!$B$256:$B$375,$A21))</f>
        <v/>
      </c>
      <c r="D21" s="125">
        <f>IF($A21="","",SUMIFS(SDDK!$E$256:$E$375,SDDK!$A$256:$A$375,"131",SDDK!$B$256:$B$375,$A21))</f>
        <v/>
      </c>
      <c r="E21" s="125">
        <f>IF($A21="","",SUMIFS(NKC!$H$7:$H$3006,NKC!$F$7:$F$3006,"131*",NKC!$I$7:$I$3006,$A21,NKC!$B$7:$B$3006,"&lt;="&amp;DEN_NGAY))</f>
        <v/>
      </c>
      <c r="F21" s="125">
        <f>IF($A21="","",SUMIFS(NKC!$H$7:$H$3006,NKC!$G$7:$G$3006,"131*",NKC!$I$7:$I$3006,$A21,NKC!$B$7:$B$3006,"&lt;="&amp;DEN_NGAY))</f>
        <v/>
      </c>
      <c r="G21" s="125">
        <f>IF($A21="","",MAX($C21-$D21+$E21-$F21,0))</f>
        <v/>
      </c>
      <c r="H21" s="125">
        <f>IF($A21="","",MAX(-($C21-$D21+$E21-$F21),0))</f>
        <v/>
      </c>
    </row>
    <row r="22" ht="15" customHeight="1" s="78">
      <c r="A22" s="96">
        <f>IF(DM_DT!$A21="","",DM_DT!$A21&amp;"")</f>
        <v/>
      </c>
      <c r="B22" s="97">
        <f>IF($A22="","",DM_DT!$B21)</f>
        <v/>
      </c>
      <c r="C22" s="125">
        <f>IF($A22="","",SUMIFS(SDDK!$D$256:$D$375,SDDK!$A$256:$A$375,"131",SDDK!$B$256:$B$375,$A22))</f>
        <v/>
      </c>
      <c r="D22" s="125">
        <f>IF($A22="","",SUMIFS(SDDK!$E$256:$E$375,SDDK!$A$256:$A$375,"131",SDDK!$B$256:$B$375,$A22))</f>
        <v/>
      </c>
      <c r="E22" s="125">
        <f>IF($A22="","",SUMIFS(NKC!$H$7:$H$3006,NKC!$F$7:$F$3006,"131*",NKC!$I$7:$I$3006,$A22,NKC!$B$7:$B$3006,"&lt;="&amp;DEN_NGAY))</f>
        <v/>
      </c>
      <c r="F22" s="125">
        <f>IF($A22="","",SUMIFS(NKC!$H$7:$H$3006,NKC!$G$7:$G$3006,"131*",NKC!$I$7:$I$3006,$A22,NKC!$B$7:$B$3006,"&lt;="&amp;DEN_NGAY))</f>
        <v/>
      </c>
      <c r="G22" s="125">
        <f>IF($A22="","",MAX($C22-$D22+$E22-$F22,0))</f>
        <v/>
      </c>
      <c r="H22" s="125">
        <f>IF($A22="","",MAX(-($C22-$D22+$E22-$F22),0))</f>
        <v/>
      </c>
    </row>
    <row r="23" ht="15" customHeight="1" s="78">
      <c r="A23" s="96">
        <f>IF(DM_DT!$A22="","",DM_DT!$A22&amp;"")</f>
        <v/>
      </c>
      <c r="B23" s="97">
        <f>IF($A23="","",DM_DT!$B22)</f>
        <v/>
      </c>
      <c r="C23" s="125">
        <f>IF($A23="","",SUMIFS(SDDK!$D$256:$D$375,SDDK!$A$256:$A$375,"131",SDDK!$B$256:$B$375,$A23))</f>
        <v/>
      </c>
      <c r="D23" s="125">
        <f>IF($A23="","",SUMIFS(SDDK!$E$256:$E$375,SDDK!$A$256:$A$375,"131",SDDK!$B$256:$B$375,$A23))</f>
        <v/>
      </c>
      <c r="E23" s="125">
        <f>IF($A23="","",SUMIFS(NKC!$H$7:$H$3006,NKC!$F$7:$F$3006,"131*",NKC!$I$7:$I$3006,$A23,NKC!$B$7:$B$3006,"&lt;="&amp;DEN_NGAY))</f>
        <v/>
      </c>
      <c r="F23" s="125">
        <f>IF($A23="","",SUMIFS(NKC!$H$7:$H$3006,NKC!$G$7:$G$3006,"131*",NKC!$I$7:$I$3006,$A23,NKC!$B$7:$B$3006,"&lt;="&amp;DEN_NGAY))</f>
        <v/>
      </c>
      <c r="G23" s="125">
        <f>IF($A23="","",MAX($C23-$D23+$E23-$F23,0))</f>
        <v/>
      </c>
      <c r="H23" s="125">
        <f>IF($A23="","",MAX(-($C23-$D23+$E23-$F23),0))</f>
        <v/>
      </c>
    </row>
    <row r="24" ht="15" customHeight="1" s="78">
      <c r="A24" s="96">
        <f>IF(DM_DT!$A23="","",DM_DT!$A23&amp;"")</f>
        <v/>
      </c>
      <c r="B24" s="97">
        <f>IF($A24="","",DM_DT!$B23)</f>
        <v/>
      </c>
      <c r="C24" s="125">
        <f>IF($A24="","",SUMIFS(SDDK!$D$256:$D$375,SDDK!$A$256:$A$375,"131",SDDK!$B$256:$B$375,$A24))</f>
        <v/>
      </c>
      <c r="D24" s="125">
        <f>IF($A24="","",SUMIFS(SDDK!$E$256:$E$375,SDDK!$A$256:$A$375,"131",SDDK!$B$256:$B$375,$A24))</f>
        <v/>
      </c>
      <c r="E24" s="125">
        <f>IF($A24="","",SUMIFS(NKC!$H$7:$H$3006,NKC!$F$7:$F$3006,"131*",NKC!$I$7:$I$3006,$A24,NKC!$B$7:$B$3006,"&lt;="&amp;DEN_NGAY))</f>
        <v/>
      </c>
      <c r="F24" s="125">
        <f>IF($A24="","",SUMIFS(NKC!$H$7:$H$3006,NKC!$G$7:$G$3006,"131*",NKC!$I$7:$I$3006,$A24,NKC!$B$7:$B$3006,"&lt;="&amp;DEN_NGAY))</f>
        <v/>
      </c>
      <c r="G24" s="125">
        <f>IF($A24="","",MAX($C24-$D24+$E24-$F24,0))</f>
        <v/>
      </c>
      <c r="H24" s="125">
        <f>IF($A24="","",MAX(-($C24-$D24+$E24-$F24),0))</f>
        <v/>
      </c>
    </row>
    <row r="25" ht="15" customHeight="1" s="78">
      <c r="A25" s="96">
        <f>IF(DM_DT!$A24="","",DM_DT!$A24&amp;"")</f>
        <v/>
      </c>
      <c r="B25" s="97">
        <f>IF($A25="","",DM_DT!$B24)</f>
        <v/>
      </c>
      <c r="C25" s="125">
        <f>IF($A25="","",SUMIFS(SDDK!$D$256:$D$375,SDDK!$A$256:$A$375,"131",SDDK!$B$256:$B$375,$A25))</f>
        <v/>
      </c>
      <c r="D25" s="125">
        <f>IF($A25="","",SUMIFS(SDDK!$E$256:$E$375,SDDK!$A$256:$A$375,"131",SDDK!$B$256:$B$375,$A25))</f>
        <v/>
      </c>
      <c r="E25" s="125">
        <f>IF($A25="","",SUMIFS(NKC!$H$7:$H$3006,NKC!$F$7:$F$3006,"131*",NKC!$I$7:$I$3006,$A25,NKC!$B$7:$B$3006,"&lt;="&amp;DEN_NGAY))</f>
        <v/>
      </c>
      <c r="F25" s="125">
        <f>IF($A25="","",SUMIFS(NKC!$H$7:$H$3006,NKC!$G$7:$G$3006,"131*",NKC!$I$7:$I$3006,$A25,NKC!$B$7:$B$3006,"&lt;="&amp;DEN_NGAY))</f>
        <v/>
      </c>
      <c r="G25" s="125">
        <f>IF($A25="","",MAX($C25-$D25+$E25-$F25,0))</f>
        <v/>
      </c>
      <c r="H25" s="125">
        <f>IF($A25="","",MAX(-($C25-$D25+$E25-$F25),0))</f>
        <v/>
      </c>
    </row>
    <row r="26" ht="15" customHeight="1" s="78">
      <c r="A26" s="96">
        <f>IF(DM_DT!$A25="","",DM_DT!$A25&amp;"")</f>
        <v/>
      </c>
      <c r="B26" s="97">
        <f>IF($A26="","",DM_DT!$B25)</f>
        <v/>
      </c>
      <c r="C26" s="125">
        <f>IF($A26="","",SUMIFS(SDDK!$D$256:$D$375,SDDK!$A$256:$A$375,"131",SDDK!$B$256:$B$375,$A26))</f>
        <v/>
      </c>
      <c r="D26" s="125">
        <f>IF($A26="","",SUMIFS(SDDK!$E$256:$E$375,SDDK!$A$256:$A$375,"131",SDDK!$B$256:$B$375,$A26))</f>
        <v/>
      </c>
      <c r="E26" s="125">
        <f>IF($A26="","",SUMIFS(NKC!$H$7:$H$3006,NKC!$F$7:$F$3006,"131*",NKC!$I$7:$I$3006,$A26,NKC!$B$7:$B$3006,"&lt;="&amp;DEN_NGAY))</f>
        <v/>
      </c>
      <c r="F26" s="125">
        <f>IF($A26="","",SUMIFS(NKC!$H$7:$H$3006,NKC!$G$7:$G$3006,"131*",NKC!$I$7:$I$3006,$A26,NKC!$B$7:$B$3006,"&lt;="&amp;DEN_NGAY))</f>
        <v/>
      </c>
      <c r="G26" s="125">
        <f>IF($A26="","",MAX($C26-$D26+$E26-$F26,0))</f>
        <v/>
      </c>
      <c r="H26" s="125">
        <f>IF($A26="","",MAX(-($C26-$D26+$E26-$F26),0))</f>
        <v/>
      </c>
    </row>
    <row r="27" ht="15" customHeight="1" s="78">
      <c r="A27" s="96">
        <f>IF(DM_DT!$A26="","",DM_DT!$A26&amp;"")</f>
        <v/>
      </c>
      <c r="B27" s="97">
        <f>IF($A27="","",DM_DT!$B26)</f>
        <v/>
      </c>
      <c r="C27" s="125">
        <f>IF($A27="","",SUMIFS(SDDK!$D$256:$D$375,SDDK!$A$256:$A$375,"131",SDDK!$B$256:$B$375,$A27))</f>
        <v/>
      </c>
      <c r="D27" s="125">
        <f>IF($A27="","",SUMIFS(SDDK!$E$256:$E$375,SDDK!$A$256:$A$375,"131",SDDK!$B$256:$B$375,$A27))</f>
        <v/>
      </c>
      <c r="E27" s="125">
        <f>IF($A27="","",SUMIFS(NKC!$H$7:$H$3006,NKC!$F$7:$F$3006,"131*",NKC!$I$7:$I$3006,$A27,NKC!$B$7:$B$3006,"&lt;="&amp;DEN_NGAY))</f>
        <v/>
      </c>
      <c r="F27" s="125">
        <f>IF($A27="","",SUMIFS(NKC!$H$7:$H$3006,NKC!$G$7:$G$3006,"131*",NKC!$I$7:$I$3006,$A27,NKC!$B$7:$B$3006,"&lt;="&amp;DEN_NGAY))</f>
        <v/>
      </c>
      <c r="G27" s="125">
        <f>IF($A27="","",MAX($C27-$D27+$E27-$F27,0))</f>
        <v/>
      </c>
      <c r="H27" s="125">
        <f>IF($A27="","",MAX(-($C27-$D27+$E27-$F27),0))</f>
        <v/>
      </c>
    </row>
    <row r="28" ht="15" customHeight="1" s="78">
      <c r="A28" s="96">
        <f>IF(DM_DT!$A27="","",DM_DT!$A27&amp;"")</f>
        <v/>
      </c>
      <c r="B28" s="97">
        <f>IF($A28="","",DM_DT!$B27)</f>
        <v/>
      </c>
      <c r="C28" s="125">
        <f>IF($A28="","",SUMIFS(SDDK!$D$256:$D$375,SDDK!$A$256:$A$375,"131",SDDK!$B$256:$B$375,$A28))</f>
        <v/>
      </c>
      <c r="D28" s="125">
        <f>IF($A28="","",SUMIFS(SDDK!$E$256:$E$375,SDDK!$A$256:$A$375,"131",SDDK!$B$256:$B$375,$A28))</f>
        <v/>
      </c>
      <c r="E28" s="125">
        <f>IF($A28="","",SUMIFS(NKC!$H$7:$H$3006,NKC!$F$7:$F$3006,"131*",NKC!$I$7:$I$3006,$A28,NKC!$B$7:$B$3006,"&lt;="&amp;DEN_NGAY))</f>
        <v/>
      </c>
      <c r="F28" s="125">
        <f>IF($A28="","",SUMIFS(NKC!$H$7:$H$3006,NKC!$G$7:$G$3006,"131*",NKC!$I$7:$I$3006,$A28,NKC!$B$7:$B$3006,"&lt;="&amp;DEN_NGAY))</f>
        <v/>
      </c>
      <c r="G28" s="125">
        <f>IF($A28="","",MAX($C28-$D28+$E28-$F28,0))</f>
        <v/>
      </c>
      <c r="H28" s="125">
        <f>IF($A28="","",MAX(-($C28-$D28+$E28-$F28),0))</f>
        <v/>
      </c>
    </row>
    <row r="29" ht="15" customHeight="1" s="78">
      <c r="A29" s="96">
        <f>IF(DM_DT!$A28="","",DM_DT!$A28&amp;"")</f>
        <v/>
      </c>
      <c r="B29" s="97">
        <f>IF($A29="","",DM_DT!$B28)</f>
        <v/>
      </c>
      <c r="C29" s="125">
        <f>IF($A29="","",SUMIFS(SDDK!$D$256:$D$375,SDDK!$A$256:$A$375,"131",SDDK!$B$256:$B$375,$A29))</f>
        <v/>
      </c>
      <c r="D29" s="125">
        <f>IF($A29="","",SUMIFS(SDDK!$E$256:$E$375,SDDK!$A$256:$A$375,"131",SDDK!$B$256:$B$375,$A29))</f>
        <v/>
      </c>
      <c r="E29" s="125">
        <f>IF($A29="","",SUMIFS(NKC!$H$7:$H$3006,NKC!$F$7:$F$3006,"131*",NKC!$I$7:$I$3006,$A29,NKC!$B$7:$B$3006,"&lt;="&amp;DEN_NGAY))</f>
        <v/>
      </c>
      <c r="F29" s="125">
        <f>IF($A29="","",SUMIFS(NKC!$H$7:$H$3006,NKC!$G$7:$G$3006,"131*",NKC!$I$7:$I$3006,$A29,NKC!$B$7:$B$3006,"&lt;="&amp;DEN_NGAY))</f>
        <v/>
      </c>
      <c r="G29" s="125">
        <f>IF($A29="","",MAX($C29-$D29+$E29-$F29,0))</f>
        <v/>
      </c>
      <c r="H29" s="125">
        <f>IF($A29="","",MAX(-($C29-$D29+$E29-$F29),0))</f>
        <v/>
      </c>
    </row>
    <row r="30" ht="15" customHeight="1" s="78">
      <c r="A30" s="96">
        <f>IF(DM_DT!$A29="","",DM_DT!$A29&amp;"")</f>
        <v/>
      </c>
      <c r="B30" s="97">
        <f>IF($A30="","",DM_DT!$B29)</f>
        <v/>
      </c>
      <c r="C30" s="125">
        <f>IF($A30="","",SUMIFS(SDDK!$D$256:$D$375,SDDK!$A$256:$A$375,"131",SDDK!$B$256:$B$375,$A30))</f>
        <v/>
      </c>
      <c r="D30" s="125">
        <f>IF($A30="","",SUMIFS(SDDK!$E$256:$E$375,SDDK!$A$256:$A$375,"131",SDDK!$B$256:$B$375,$A30))</f>
        <v/>
      </c>
      <c r="E30" s="125">
        <f>IF($A30="","",SUMIFS(NKC!$H$7:$H$3006,NKC!$F$7:$F$3006,"131*",NKC!$I$7:$I$3006,$A30,NKC!$B$7:$B$3006,"&lt;="&amp;DEN_NGAY))</f>
        <v/>
      </c>
      <c r="F30" s="125">
        <f>IF($A30="","",SUMIFS(NKC!$H$7:$H$3006,NKC!$G$7:$G$3006,"131*",NKC!$I$7:$I$3006,$A30,NKC!$B$7:$B$3006,"&lt;="&amp;DEN_NGAY))</f>
        <v/>
      </c>
      <c r="G30" s="125">
        <f>IF($A30="","",MAX($C30-$D30+$E30-$F30,0))</f>
        <v/>
      </c>
      <c r="H30" s="125">
        <f>IF($A30="","",MAX(-($C30-$D30+$E30-$F30),0))</f>
        <v/>
      </c>
    </row>
    <row r="31" ht="15" customHeight="1" s="78">
      <c r="A31" s="96">
        <f>IF(DM_DT!$A30="","",DM_DT!$A30&amp;"")</f>
        <v/>
      </c>
      <c r="B31" s="97">
        <f>IF($A31="","",DM_DT!$B30)</f>
        <v/>
      </c>
      <c r="C31" s="125">
        <f>IF($A31="","",SUMIFS(SDDK!$D$256:$D$375,SDDK!$A$256:$A$375,"131",SDDK!$B$256:$B$375,$A31))</f>
        <v/>
      </c>
      <c r="D31" s="125">
        <f>IF($A31="","",SUMIFS(SDDK!$E$256:$E$375,SDDK!$A$256:$A$375,"131",SDDK!$B$256:$B$375,$A31))</f>
        <v/>
      </c>
      <c r="E31" s="125">
        <f>IF($A31="","",SUMIFS(NKC!$H$7:$H$3006,NKC!$F$7:$F$3006,"131*",NKC!$I$7:$I$3006,$A31,NKC!$B$7:$B$3006,"&lt;="&amp;DEN_NGAY))</f>
        <v/>
      </c>
      <c r="F31" s="125">
        <f>IF($A31="","",SUMIFS(NKC!$H$7:$H$3006,NKC!$G$7:$G$3006,"131*",NKC!$I$7:$I$3006,$A31,NKC!$B$7:$B$3006,"&lt;="&amp;DEN_NGAY))</f>
        <v/>
      </c>
      <c r="G31" s="125">
        <f>IF($A31="","",MAX($C31-$D31+$E31-$F31,0))</f>
        <v/>
      </c>
      <c r="H31" s="125">
        <f>IF($A31="","",MAX(-($C31-$D31+$E31-$F31),0))</f>
        <v/>
      </c>
    </row>
    <row r="32" ht="15" customHeight="1" s="78">
      <c r="A32" s="96">
        <f>IF(DM_DT!$A31="","",DM_DT!$A31&amp;"")</f>
        <v/>
      </c>
      <c r="B32" s="97">
        <f>IF($A32="","",DM_DT!$B31)</f>
        <v/>
      </c>
      <c r="C32" s="125">
        <f>IF($A32="","",SUMIFS(SDDK!$D$256:$D$375,SDDK!$A$256:$A$375,"131",SDDK!$B$256:$B$375,$A32))</f>
        <v/>
      </c>
      <c r="D32" s="125">
        <f>IF($A32="","",SUMIFS(SDDK!$E$256:$E$375,SDDK!$A$256:$A$375,"131",SDDK!$B$256:$B$375,$A32))</f>
        <v/>
      </c>
      <c r="E32" s="125">
        <f>IF($A32="","",SUMIFS(NKC!$H$7:$H$3006,NKC!$F$7:$F$3006,"131*",NKC!$I$7:$I$3006,$A32,NKC!$B$7:$B$3006,"&lt;="&amp;DEN_NGAY))</f>
        <v/>
      </c>
      <c r="F32" s="125">
        <f>IF($A32="","",SUMIFS(NKC!$H$7:$H$3006,NKC!$G$7:$G$3006,"131*",NKC!$I$7:$I$3006,$A32,NKC!$B$7:$B$3006,"&lt;="&amp;DEN_NGAY))</f>
        <v/>
      </c>
      <c r="G32" s="125">
        <f>IF($A32="","",MAX($C32-$D32+$E32-$F32,0))</f>
        <v/>
      </c>
      <c r="H32" s="125">
        <f>IF($A32="","",MAX(-($C32-$D32+$E32-$F32),0))</f>
        <v/>
      </c>
    </row>
    <row r="33" ht="15" customHeight="1" s="78">
      <c r="A33" s="96">
        <f>IF(DM_DT!$A32="","",DM_DT!$A32&amp;"")</f>
        <v/>
      </c>
      <c r="B33" s="97">
        <f>IF($A33="","",DM_DT!$B32)</f>
        <v/>
      </c>
      <c r="C33" s="125">
        <f>IF($A33="","",SUMIFS(SDDK!$D$256:$D$375,SDDK!$A$256:$A$375,"131",SDDK!$B$256:$B$375,$A33))</f>
        <v/>
      </c>
      <c r="D33" s="125">
        <f>IF($A33="","",SUMIFS(SDDK!$E$256:$E$375,SDDK!$A$256:$A$375,"131",SDDK!$B$256:$B$375,$A33))</f>
        <v/>
      </c>
      <c r="E33" s="125">
        <f>IF($A33="","",SUMIFS(NKC!$H$7:$H$3006,NKC!$F$7:$F$3006,"131*",NKC!$I$7:$I$3006,$A33,NKC!$B$7:$B$3006,"&lt;="&amp;DEN_NGAY))</f>
        <v/>
      </c>
      <c r="F33" s="125">
        <f>IF($A33="","",SUMIFS(NKC!$H$7:$H$3006,NKC!$G$7:$G$3006,"131*",NKC!$I$7:$I$3006,$A33,NKC!$B$7:$B$3006,"&lt;="&amp;DEN_NGAY))</f>
        <v/>
      </c>
      <c r="G33" s="125">
        <f>IF($A33="","",MAX($C33-$D33+$E33-$F33,0))</f>
        <v/>
      </c>
      <c r="H33" s="125">
        <f>IF($A33="","",MAX(-($C33-$D33+$E33-$F33),0))</f>
        <v/>
      </c>
    </row>
    <row r="34" ht="15" customHeight="1" s="78">
      <c r="A34" s="96">
        <f>IF(DM_DT!$A33="","",DM_DT!$A33&amp;"")</f>
        <v/>
      </c>
      <c r="B34" s="97">
        <f>IF($A34="","",DM_DT!$B33)</f>
        <v/>
      </c>
      <c r="C34" s="125">
        <f>IF($A34="","",SUMIFS(SDDK!$D$256:$D$375,SDDK!$A$256:$A$375,"131",SDDK!$B$256:$B$375,$A34))</f>
        <v/>
      </c>
      <c r="D34" s="125">
        <f>IF($A34="","",SUMIFS(SDDK!$E$256:$E$375,SDDK!$A$256:$A$375,"131",SDDK!$B$256:$B$375,$A34))</f>
        <v/>
      </c>
      <c r="E34" s="125">
        <f>IF($A34="","",SUMIFS(NKC!$H$7:$H$3006,NKC!$F$7:$F$3006,"131*",NKC!$I$7:$I$3006,$A34,NKC!$B$7:$B$3006,"&lt;="&amp;DEN_NGAY))</f>
        <v/>
      </c>
      <c r="F34" s="125">
        <f>IF($A34="","",SUMIFS(NKC!$H$7:$H$3006,NKC!$G$7:$G$3006,"131*",NKC!$I$7:$I$3006,$A34,NKC!$B$7:$B$3006,"&lt;="&amp;DEN_NGAY))</f>
        <v/>
      </c>
      <c r="G34" s="125">
        <f>IF($A34="","",MAX($C34-$D34+$E34-$F34,0))</f>
        <v/>
      </c>
      <c r="H34" s="125">
        <f>IF($A34="","",MAX(-($C34-$D34+$E34-$F34),0))</f>
        <v/>
      </c>
    </row>
    <row r="35" ht="15" customHeight="1" s="78">
      <c r="A35" s="96">
        <f>IF(DM_DT!$A34="","",DM_DT!$A34&amp;"")</f>
        <v/>
      </c>
      <c r="B35" s="97">
        <f>IF($A35="","",DM_DT!$B34)</f>
        <v/>
      </c>
      <c r="C35" s="125">
        <f>IF($A35="","",SUMIFS(SDDK!$D$256:$D$375,SDDK!$A$256:$A$375,"131",SDDK!$B$256:$B$375,$A35))</f>
        <v/>
      </c>
      <c r="D35" s="125">
        <f>IF($A35="","",SUMIFS(SDDK!$E$256:$E$375,SDDK!$A$256:$A$375,"131",SDDK!$B$256:$B$375,$A35))</f>
        <v/>
      </c>
      <c r="E35" s="125">
        <f>IF($A35="","",SUMIFS(NKC!$H$7:$H$3006,NKC!$F$7:$F$3006,"131*",NKC!$I$7:$I$3006,$A35,NKC!$B$7:$B$3006,"&lt;="&amp;DEN_NGAY))</f>
        <v/>
      </c>
      <c r="F35" s="125">
        <f>IF($A35="","",SUMIFS(NKC!$H$7:$H$3006,NKC!$G$7:$G$3006,"131*",NKC!$I$7:$I$3006,$A35,NKC!$B$7:$B$3006,"&lt;="&amp;DEN_NGAY))</f>
        <v/>
      </c>
      <c r="G35" s="125">
        <f>IF($A35="","",MAX($C35-$D35+$E35-$F35,0))</f>
        <v/>
      </c>
      <c r="H35" s="125">
        <f>IF($A35="","",MAX(-($C35-$D35+$E35-$F35),0))</f>
        <v/>
      </c>
    </row>
    <row r="36" ht="15" customHeight="1" s="78">
      <c r="A36" s="96">
        <f>IF(DM_DT!$A35="","",DM_DT!$A35&amp;"")</f>
        <v/>
      </c>
      <c r="B36" s="97">
        <f>IF($A36="","",DM_DT!$B35)</f>
        <v/>
      </c>
      <c r="C36" s="125">
        <f>IF($A36="","",SUMIFS(SDDK!$D$256:$D$375,SDDK!$A$256:$A$375,"131",SDDK!$B$256:$B$375,$A36))</f>
        <v/>
      </c>
      <c r="D36" s="125">
        <f>IF($A36="","",SUMIFS(SDDK!$E$256:$E$375,SDDK!$A$256:$A$375,"131",SDDK!$B$256:$B$375,$A36))</f>
        <v/>
      </c>
      <c r="E36" s="125">
        <f>IF($A36="","",SUMIFS(NKC!$H$7:$H$3006,NKC!$F$7:$F$3006,"131*",NKC!$I$7:$I$3006,$A36,NKC!$B$7:$B$3006,"&lt;="&amp;DEN_NGAY))</f>
        <v/>
      </c>
      <c r="F36" s="125">
        <f>IF($A36="","",SUMIFS(NKC!$H$7:$H$3006,NKC!$G$7:$G$3006,"131*",NKC!$I$7:$I$3006,$A36,NKC!$B$7:$B$3006,"&lt;="&amp;DEN_NGAY))</f>
        <v/>
      </c>
      <c r="G36" s="125">
        <f>IF($A36="","",MAX($C36-$D36+$E36-$F36,0))</f>
        <v/>
      </c>
      <c r="H36" s="125">
        <f>IF($A36="","",MAX(-($C36-$D36+$E36-$F36),0))</f>
        <v/>
      </c>
    </row>
    <row r="37" ht="15" customHeight="1" s="78">
      <c r="A37" s="96">
        <f>IF(DM_DT!$A36="","",DM_DT!$A36&amp;"")</f>
        <v/>
      </c>
      <c r="B37" s="97">
        <f>IF($A37="","",DM_DT!$B36)</f>
        <v/>
      </c>
      <c r="C37" s="125">
        <f>IF($A37="","",SUMIFS(SDDK!$D$256:$D$375,SDDK!$A$256:$A$375,"131",SDDK!$B$256:$B$375,$A37))</f>
        <v/>
      </c>
      <c r="D37" s="125">
        <f>IF($A37="","",SUMIFS(SDDK!$E$256:$E$375,SDDK!$A$256:$A$375,"131",SDDK!$B$256:$B$375,$A37))</f>
        <v/>
      </c>
      <c r="E37" s="125">
        <f>IF($A37="","",SUMIFS(NKC!$H$7:$H$3006,NKC!$F$7:$F$3006,"131*",NKC!$I$7:$I$3006,$A37,NKC!$B$7:$B$3006,"&lt;="&amp;DEN_NGAY))</f>
        <v/>
      </c>
      <c r="F37" s="125">
        <f>IF($A37="","",SUMIFS(NKC!$H$7:$H$3006,NKC!$G$7:$G$3006,"131*",NKC!$I$7:$I$3006,$A37,NKC!$B$7:$B$3006,"&lt;="&amp;DEN_NGAY))</f>
        <v/>
      </c>
      <c r="G37" s="125">
        <f>IF($A37="","",MAX($C37-$D37+$E37-$F37,0))</f>
        <v/>
      </c>
      <c r="H37" s="125">
        <f>IF($A37="","",MAX(-($C37-$D37+$E37-$F37),0))</f>
        <v/>
      </c>
    </row>
    <row r="38" ht="15" customHeight="1" s="78">
      <c r="A38" s="96">
        <f>IF(DM_DT!$A37="","",DM_DT!$A37&amp;"")</f>
        <v/>
      </c>
      <c r="B38" s="97">
        <f>IF($A38="","",DM_DT!$B37)</f>
        <v/>
      </c>
      <c r="C38" s="125">
        <f>IF($A38="","",SUMIFS(SDDK!$D$256:$D$375,SDDK!$A$256:$A$375,"131",SDDK!$B$256:$B$375,$A38))</f>
        <v/>
      </c>
      <c r="D38" s="125">
        <f>IF($A38="","",SUMIFS(SDDK!$E$256:$E$375,SDDK!$A$256:$A$375,"131",SDDK!$B$256:$B$375,$A38))</f>
        <v/>
      </c>
      <c r="E38" s="125">
        <f>IF($A38="","",SUMIFS(NKC!$H$7:$H$3006,NKC!$F$7:$F$3006,"131*",NKC!$I$7:$I$3006,$A38,NKC!$B$7:$B$3006,"&lt;="&amp;DEN_NGAY))</f>
        <v/>
      </c>
      <c r="F38" s="125">
        <f>IF($A38="","",SUMIFS(NKC!$H$7:$H$3006,NKC!$G$7:$G$3006,"131*",NKC!$I$7:$I$3006,$A38,NKC!$B$7:$B$3006,"&lt;="&amp;DEN_NGAY))</f>
        <v/>
      </c>
      <c r="G38" s="125">
        <f>IF($A38="","",MAX($C38-$D38+$E38-$F38,0))</f>
        <v/>
      </c>
      <c r="H38" s="125">
        <f>IF($A38="","",MAX(-($C38-$D38+$E38-$F38),0))</f>
        <v/>
      </c>
    </row>
    <row r="39" ht="15" customHeight="1" s="78">
      <c r="A39" s="96">
        <f>IF(DM_DT!$A38="","",DM_DT!$A38&amp;"")</f>
        <v/>
      </c>
      <c r="B39" s="97">
        <f>IF($A39="","",DM_DT!$B38)</f>
        <v/>
      </c>
      <c r="C39" s="125">
        <f>IF($A39="","",SUMIFS(SDDK!$D$256:$D$375,SDDK!$A$256:$A$375,"131",SDDK!$B$256:$B$375,$A39))</f>
        <v/>
      </c>
      <c r="D39" s="125">
        <f>IF($A39="","",SUMIFS(SDDK!$E$256:$E$375,SDDK!$A$256:$A$375,"131",SDDK!$B$256:$B$375,$A39))</f>
        <v/>
      </c>
      <c r="E39" s="125">
        <f>IF($A39="","",SUMIFS(NKC!$H$7:$H$3006,NKC!$F$7:$F$3006,"131*",NKC!$I$7:$I$3006,$A39,NKC!$B$7:$B$3006,"&lt;="&amp;DEN_NGAY))</f>
        <v/>
      </c>
      <c r="F39" s="125">
        <f>IF($A39="","",SUMIFS(NKC!$H$7:$H$3006,NKC!$G$7:$G$3006,"131*",NKC!$I$7:$I$3006,$A39,NKC!$B$7:$B$3006,"&lt;="&amp;DEN_NGAY))</f>
        <v/>
      </c>
      <c r="G39" s="125">
        <f>IF($A39="","",MAX($C39-$D39+$E39-$F39,0))</f>
        <v/>
      </c>
      <c r="H39" s="125">
        <f>IF($A39="","",MAX(-($C39-$D39+$E39-$F39),0))</f>
        <v/>
      </c>
    </row>
    <row r="40" ht="15" customHeight="1" s="78">
      <c r="A40" s="96">
        <f>IF(DM_DT!$A39="","",DM_DT!$A39&amp;"")</f>
        <v/>
      </c>
      <c r="B40" s="97">
        <f>IF($A40="","",DM_DT!$B39)</f>
        <v/>
      </c>
      <c r="C40" s="125">
        <f>IF($A40="","",SUMIFS(SDDK!$D$256:$D$375,SDDK!$A$256:$A$375,"131",SDDK!$B$256:$B$375,$A40))</f>
        <v/>
      </c>
      <c r="D40" s="125">
        <f>IF($A40="","",SUMIFS(SDDK!$E$256:$E$375,SDDK!$A$256:$A$375,"131",SDDK!$B$256:$B$375,$A40))</f>
        <v/>
      </c>
      <c r="E40" s="125">
        <f>IF($A40="","",SUMIFS(NKC!$H$7:$H$3006,NKC!$F$7:$F$3006,"131*",NKC!$I$7:$I$3006,$A40,NKC!$B$7:$B$3006,"&lt;="&amp;DEN_NGAY))</f>
        <v/>
      </c>
      <c r="F40" s="125">
        <f>IF($A40="","",SUMIFS(NKC!$H$7:$H$3006,NKC!$G$7:$G$3006,"131*",NKC!$I$7:$I$3006,$A40,NKC!$B$7:$B$3006,"&lt;="&amp;DEN_NGAY))</f>
        <v/>
      </c>
      <c r="G40" s="125">
        <f>IF($A40="","",MAX($C40-$D40+$E40-$F40,0))</f>
        <v/>
      </c>
      <c r="H40" s="125">
        <f>IF($A40="","",MAX(-($C40-$D40+$E40-$F40),0))</f>
        <v/>
      </c>
    </row>
    <row r="41" ht="15" customHeight="1" s="78">
      <c r="A41" s="96">
        <f>IF(DM_DT!$A40="","",DM_DT!$A40&amp;"")</f>
        <v/>
      </c>
      <c r="B41" s="97">
        <f>IF($A41="","",DM_DT!$B40)</f>
        <v/>
      </c>
      <c r="C41" s="125">
        <f>IF($A41="","",SUMIFS(SDDK!$D$256:$D$375,SDDK!$A$256:$A$375,"131",SDDK!$B$256:$B$375,$A41))</f>
        <v/>
      </c>
      <c r="D41" s="125">
        <f>IF($A41="","",SUMIFS(SDDK!$E$256:$E$375,SDDK!$A$256:$A$375,"131",SDDK!$B$256:$B$375,$A41))</f>
        <v/>
      </c>
      <c r="E41" s="125">
        <f>IF($A41="","",SUMIFS(NKC!$H$7:$H$3006,NKC!$F$7:$F$3006,"131*",NKC!$I$7:$I$3006,$A41,NKC!$B$7:$B$3006,"&lt;="&amp;DEN_NGAY))</f>
        <v/>
      </c>
      <c r="F41" s="125">
        <f>IF($A41="","",SUMIFS(NKC!$H$7:$H$3006,NKC!$G$7:$G$3006,"131*",NKC!$I$7:$I$3006,$A41,NKC!$B$7:$B$3006,"&lt;="&amp;DEN_NGAY))</f>
        <v/>
      </c>
      <c r="G41" s="125">
        <f>IF($A41="","",MAX($C41-$D41+$E41-$F41,0))</f>
        <v/>
      </c>
      <c r="H41" s="125">
        <f>IF($A41="","",MAX(-($C41-$D41+$E41-$F41),0))</f>
        <v/>
      </c>
    </row>
    <row r="42" ht="15" customHeight="1" s="78">
      <c r="A42" s="96">
        <f>IF(DM_DT!$A41="","",DM_DT!$A41&amp;"")</f>
        <v/>
      </c>
      <c r="B42" s="97">
        <f>IF($A42="","",DM_DT!$B41)</f>
        <v/>
      </c>
      <c r="C42" s="125">
        <f>IF($A42="","",SUMIFS(SDDK!$D$256:$D$375,SDDK!$A$256:$A$375,"131",SDDK!$B$256:$B$375,$A42))</f>
        <v/>
      </c>
      <c r="D42" s="125">
        <f>IF($A42="","",SUMIFS(SDDK!$E$256:$E$375,SDDK!$A$256:$A$375,"131",SDDK!$B$256:$B$375,$A42))</f>
        <v/>
      </c>
      <c r="E42" s="125">
        <f>IF($A42="","",SUMIFS(NKC!$H$7:$H$3006,NKC!$F$7:$F$3006,"131*",NKC!$I$7:$I$3006,$A42,NKC!$B$7:$B$3006,"&lt;="&amp;DEN_NGAY))</f>
        <v/>
      </c>
      <c r="F42" s="125">
        <f>IF($A42="","",SUMIFS(NKC!$H$7:$H$3006,NKC!$G$7:$G$3006,"131*",NKC!$I$7:$I$3006,$A42,NKC!$B$7:$B$3006,"&lt;="&amp;DEN_NGAY))</f>
        <v/>
      </c>
      <c r="G42" s="125">
        <f>IF($A42="","",MAX($C42-$D42+$E42-$F42,0))</f>
        <v/>
      </c>
      <c r="H42" s="125">
        <f>IF($A42="","",MAX(-($C42-$D42+$E42-$F42),0))</f>
        <v/>
      </c>
    </row>
    <row r="43" ht="15" customHeight="1" s="78">
      <c r="A43" s="96">
        <f>IF(DM_DT!$A42="","",DM_DT!$A42&amp;"")</f>
        <v/>
      </c>
      <c r="B43" s="97">
        <f>IF($A43="","",DM_DT!$B42)</f>
        <v/>
      </c>
      <c r="C43" s="125">
        <f>IF($A43="","",SUMIFS(SDDK!$D$256:$D$375,SDDK!$A$256:$A$375,"131",SDDK!$B$256:$B$375,$A43))</f>
        <v/>
      </c>
      <c r="D43" s="125">
        <f>IF($A43="","",SUMIFS(SDDK!$E$256:$E$375,SDDK!$A$256:$A$375,"131",SDDK!$B$256:$B$375,$A43))</f>
        <v/>
      </c>
      <c r="E43" s="125">
        <f>IF($A43="","",SUMIFS(NKC!$H$7:$H$3006,NKC!$F$7:$F$3006,"131*",NKC!$I$7:$I$3006,$A43,NKC!$B$7:$B$3006,"&lt;="&amp;DEN_NGAY))</f>
        <v/>
      </c>
      <c r="F43" s="125">
        <f>IF($A43="","",SUMIFS(NKC!$H$7:$H$3006,NKC!$G$7:$G$3006,"131*",NKC!$I$7:$I$3006,$A43,NKC!$B$7:$B$3006,"&lt;="&amp;DEN_NGAY))</f>
        <v/>
      </c>
      <c r="G43" s="125">
        <f>IF($A43="","",MAX($C43-$D43+$E43-$F43,0))</f>
        <v/>
      </c>
      <c r="H43" s="125">
        <f>IF($A43="","",MAX(-($C43-$D43+$E43-$F43),0))</f>
        <v/>
      </c>
    </row>
    <row r="44" ht="15" customHeight="1" s="78">
      <c r="A44" s="96">
        <f>IF(DM_DT!$A43="","",DM_DT!$A43&amp;"")</f>
        <v/>
      </c>
      <c r="B44" s="97">
        <f>IF($A44="","",DM_DT!$B43)</f>
        <v/>
      </c>
      <c r="C44" s="125">
        <f>IF($A44="","",SUMIFS(SDDK!$D$256:$D$375,SDDK!$A$256:$A$375,"131",SDDK!$B$256:$B$375,$A44))</f>
        <v/>
      </c>
      <c r="D44" s="125">
        <f>IF($A44="","",SUMIFS(SDDK!$E$256:$E$375,SDDK!$A$256:$A$375,"131",SDDK!$B$256:$B$375,$A44))</f>
        <v/>
      </c>
      <c r="E44" s="125">
        <f>IF($A44="","",SUMIFS(NKC!$H$7:$H$3006,NKC!$F$7:$F$3006,"131*",NKC!$I$7:$I$3006,$A44,NKC!$B$7:$B$3006,"&lt;="&amp;DEN_NGAY))</f>
        <v/>
      </c>
      <c r="F44" s="125">
        <f>IF($A44="","",SUMIFS(NKC!$H$7:$H$3006,NKC!$G$7:$G$3006,"131*",NKC!$I$7:$I$3006,$A44,NKC!$B$7:$B$3006,"&lt;="&amp;DEN_NGAY))</f>
        <v/>
      </c>
      <c r="G44" s="125">
        <f>IF($A44="","",MAX($C44-$D44+$E44-$F44,0))</f>
        <v/>
      </c>
      <c r="H44" s="125">
        <f>IF($A44="","",MAX(-($C44-$D44+$E44-$F44),0))</f>
        <v/>
      </c>
    </row>
    <row r="45" ht="15" customHeight="1" s="78">
      <c r="A45" s="96">
        <f>IF(DM_DT!$A44="","",DM_DT!$A44&amp;"")</f>
        <v/>
      </c>
      <c r="B45" s="97">
        <f>IF($A45="","",DM_DT!$B44)</f>
        <v/>
      </c>
      <c r="C45" s="125">
        <f>IF($A45="","",SUMIFS(SDDK!$D$256:$D$375,SDDK!$A$256:$A$375,"131",SDDK!$B$256:$B$375,$A45))</f>
        <v/>
      </c>
      <c r="D45" s="125">
        <f>IF($A45="","",SUMIFS(SDDK!$E$256:$E$375,SDDK!$A$256:$A$375,"131",SDDK!$B$256:$B$375,$A45))</f>
        <v/>
      </c>
      <c r="E45" s="125">
        <f>IF($A45="","",SUMIFS(NKC!$H$7:$H$3006,NKC!$F$7:$F$3006,"131*",NKC!$I$7:$I$3006,$A45,NKC!$B$7:$B$3006,"&lt;="&amp;DEN_NGAY))</f>
        <v/>
      </c>
      <c r="F45" s="125">
        <f>IF($A45="","",SUMIFS(NKC!$H$7:$H$3006,NKC!$G$7:$G$3006,"131*",NKC!$I$7:$I$3006,$A45,NKC!$B$7:$B$3006,"&lt;="&amp;DEN_NGAY))</f>
        <v/>
      </c>
      <c r="G45" s="125">
        <f>IF($A45="","",MAX($C45-$D45+$E45-$F45,0))</f>
        <v/>
      </c>
      <c r="H45" s="125">
        <f>IF($A45="","",MAX(-($C45-$D45+$E45-$F45),0))</f>
        <v/>
      </c>
    </row>
    <row r="46" ht="15" customHeight="1" s="78">
      <c r="A46" s="96">
        <f>IF(DM_DT!$A45="","",DM_DT!$A45&amp;"")</f>
        <v/>
      </c>
      <c r="B46" s="97">
        <f>IF($A46="","",DM_DT!$B45)</f>
        <v/>
      </c>
      <c r="C46" s="125">
        <f>IF($A46="","",SUMIFS(SDDK!$D$256:$D$375,SDDK!$A$256:$A$375,"131",SDDK!$B$256:$B$375,$A46))</f>
        <v/>
      </c>
      <c r="D46" s="125">
        <f>IF($A46="","",SUMIFS(SDDK!$E$256:$E$375,SDDK!$A$256:$A$375,"131",SDDK!$B$256:$B$375,$A46))</f>
        <v/>
      </c>
      <c r="E46" s="125">
        <f>IF($A46="","",SUMIFS(NKC!$H$7:$H$3006,NKC!$F$7:$F$3006,"131*",NKC!$I$7:$I$3006,$A46,NKC!$B$7:$B$3006,"&lt;="&amp;DEN_NGAY))</f>
        <v/>
      </c>
      <c r="F46" s="125">
        <f>IF($A46="","",SUMIFS(NKC!$H$7:$H$3006,NKC!$G$7:$G$3006,"131*",NKC!$I$7:$I$3006,$A46,NKC!$B$7:$B$3006,"&lt;="&amp;DEN_NGAY))</f>
        <v/>
      </c>
      <c r="G46" s="125">
        <f>IF($A46="","",MAX($C46-$D46+$E46-$F46,0))</f>
        <v/>
      </c>
      <c r="H46" s="125">
        <f>IF($A46="","",MAX(-($C46-$D46+$E46-$F46),0))</f>
        <v/>
      </c>
    </row>
    <row r="47" ht="15" customHeight="1" s="78">
      <c r="A47" s="96">
        <f>IF(DM_DT!$A46="","",DM_DT!$A46&amp;"")</f>
        <v/>
      </c>
      <c r="B47" s="97">
        <f>IF($A47="","",DM_DT!$B46)</f>
        <v/>
      </c>
      <c r="C47" s="125">
        <f>IF($A47="","",SUMIFS(SDDK!$D$256:$D$375,SDDK!$A$256:$A$375,"131",SDDK!$B$256:$B$375,$A47))</f>
        <v/>
      </c>
      <c r="D47" s="125">
        <f>IF($A47="","",SUMIFS(SDDK!$E$256:$E$375,SDDK!$A$256:$A$375,"131",SDDK!$B$256:$B$375,$A47))</f>
        <v/>
      </c>
      <c r="E47" s="125">
        <f>IF($A47="","",SUMIFS(NKC!$H$7:$H$3006,NKC!$F$7:$F$3006,"131*",NKC!$I$7:$I$3006,$A47,NKC!$B$7:$B$3006,"&lt;="&amp;DEN_NGAY))</f>
        <v/>
      </c>
      <c r="F47" s="125">
        <f>IF($A47="","",SUMIFS(NKC!$H$7:$H$3006,NKC!$G$7:$G$3006,"131*",NKC!$I$7:$I$3006,$A47,NKC!$B$7:$B$3006,"&lt;="&amp;DEN_NGAY))</f>
        <v/>
      </c>
      <c r="G47" s="125">
        <f>IF($A47="","",MAX($C47-$D47+$E47-$F47,0))</f>
        <v/>
      </c>
      <c r="H47" s="125">
        <f>IF($A47="","",MAX(-($C47-$D47+$E47-$F47),0))</f>
        <v/>
      </c>
    </row>
    <row r="48" ht="15" customHeight="1" s="78">
      <c r="A48" s="96">
        <f>IF(DM_DT!$A47="","",DM_DT!$A47&amp;"")</f>
        <v/>
      </c>
      <c r="B48" s="97">
        <f>IF($A48="","",DM_DT!$B47)</f>
        <v/>
      </c>
      <c r="C48" s="125">
        <f>IF($A48="","",SUMIFS(SDDK!$D$256:$D$375,SDDK!$A$256:$A$375,"131",SDDK!$B$256:$B$375,$A48))</f>
        <v/>
      </c>
      <c r="D48" s="125">
        <f>IF($A48="","",SUMIFS(SDDK!$E$256:$E$375,SDDK!$A$256:$A$375,"131",SDDK!$B$256:$B$375,$A48))</f>
        <v/>
      </c>
      <c r="E48" s="125">
        <f>IF($A48="","",SUMIFS(NKC!$H$7:$H$3006,NKC!$F$7:$F$3006,"131*",NKC!$I$7:$I$3006,$A48,NKC!$B$7:$B$3006,"&lt;="&amp;DEN_NGAY))</f>
        <v/>
      </c>
      <c r="F48" s="125">
        <f>IF($A48="","",SUMIFS(NKC!$H$7:$H$3006,NKC!$G$7:$G$3006,"131*",NKC!$I$7:$I$3006,$A48,NKC!$B$7:$B$3006,"&lt;="&amp;DEN_NGAY))</f>
        <v/>
      </c>
      <c r="G48" s="125">
        <f>IF($A48="","",MAX($C48-$D48+$E48-$F48,0))</f>
        <v/>
      </c>
      <c r="H48" s="125">
        <f>IF($A48="","",MAX(-($C48-$D48+$E48-$F48),0))</f>
        <v/>
      </c>
    </row>
    <row r="49" ht="15" customHeight="1" s="78">
      <c r="A49" s="96">
        <f>IF(DM_DT!$A48="","",DM_DT!$A48&amp;"")</f>
        <v/>
      </c>
      <c r="B49" s="97">
        <f>IF($A49="","",DM_DT!$B48)</f>
        <v/>
      </c>
      <c r="C49" s="125">
        <f>IF($A49="","",SUMIFS(SDDK!$D$256:$D$375,SDDK!$A$256:$A$375,"131",SDDK!$B$256:$B$375,$A49))</f>
        <v/>
      </c>
      <c r="D49" s="125">
        <f>IF($A49="","",SUMIFS(SDDK!$E$256:$E$375,SDDK!$A$256:$A$375,"131",SDDK!$B$256:$B$375,$A49))</f>
        <v/>
      </c>
      <c r="E49" s="125">
        <f>IF($A49="","",SUMIFS(NKC!$H$7:$H$3006,NKC!$F$7:$F$3006,"131*",NKC!$I$7:$I$3006,$A49,NKC!$B$7:$B$3006,"&lt;="&amp;DEN_NGAY))</f>
        <v/>
      </c>
      <c r="F49" s="125">
        <f>IF($A49="","",SUMIFS(NKC!$H$7:$H$3006,NKC!$G$7:$G$3006,"131*",NKC!$I$7:$I$3006,$A49,NKC!$B$7:$B$3006,"&lt;="&amp;DEN_NGAY))</f>
        <v/>
      </c>
      <c r="G49" s="125">
        <f>IF($A49="","",MAX($C49-$D49+$E49-$F49,0))</f>
        <v/>
      </c>
      <c r="H49" s="125">
        <f>IF($A49="","",MAX(-($C49-$D49+$E49-$F49),0))</f>
        <v/>
      </c>
    </row>
    <row r="50" ht="15" customHeight="1" s="78">
      <c r="A50" s="96">
        <f>IF(DM_DT!$A49="","",DM_DT!$A49&amp;"")</f>
        <v/>
      </c>
      <c r="B50" s="97">
        <f>IF($A50="","",DM_DT!$B49)</f>
        <v/>
      </c>
      <c r="C50" s="125">
        <f>IF($A50="","",SUMIFS(SDDK!$D$256:$D$375,SDDK!$A$256:$A$375,"131",SDDK!$B$256:$B$375,$A50))</f>
        <v/>
      </c>
      <c r="D50" s="125">
        <f>IF($A50="","",SUMIFS(SDDK!$E$256:$E$375,SDDK!$A$256:$A$375,"131",SDDK!$B$256:$B$375,$A50))</f>
        <v/>
      </c>
      <c r="E50" s="125">
        <f>IF($A50="","",SUMIFS(NKC!$H$7:$H$3006,NKC!$F$7:$F$3006,"131*",NKC!$I$7:$I$3006,$A50,NKC!$B$7:$B$3006,"&lt;="&amp;DEN_NGAY))</f>
        <v/>
      </c>
      <c r="F50" s="125">
        <f>IF($A50="","",SUMIFS(NKC!$H$7:$H$3006,NKC!$G$7:$G$3006,"131*",NKC!$I$7:$I$3006,$A50,NKC!$B$7:$B$3006,"&lt;="&amp;DEN_NGAY))</f>
        <v/>
      </c>
      <c r="G50" s="125">
        <f>IF($A50="","",MAX($C50-$D50+$E50-$F50,0))</f>
        <v/>
      </c>
      <c r="H50" s="125">
        <f>IF($A50="","",MAX(-($C50-$D50+$E50-$F50),0))</f>
        <v/>
      </c>
    </row>
    <row r="51" ht="15" customHeight="1" s="78">
      <c r="A51" s="96">
        <f>IF(DM_DT!$A50="","",DM_DT!$A50&amp;"")</f>
        <v/>
      </c>
      <c r="B51" s="97">
        <f>IF($A51="","",DM_DT!$B50)</f>
        <v/>
      </c>
      <c r="C51" s="125">
        <f>IF($A51="","",SUMIFS(SDDK!$D$256:$D$375,SDDK!$A$256:$A$375,"131",SDDK!$B$256:$B$375,$A51))</f>
        <v/>
      </c>
      <c r="D51" s="125">
        <f>IF($A51="","",SUMIFS(SDDK!$E$256:$E$375,SDDK!$A$256:$A$375,"131",SDDK!$B$256:$B$375,$A51))</f>
        <v/>
      </c>
      <c r="E51" s="125">
        <f>IF($A51="","",SUMIFS(NKC!$H$7:$H$3006,NKC!$F$7:$F$3006,"131*",NKC!$I$7:$I$3006,$A51,NKC!$B$7:$B$3006,"&lt;="&amp;DEN_NGAY))</f>
        <v/>
      </c>
      <c r="F51" s="125">
        <f>IF($A51="","",SUMIFS(NKC!$H$7:$H$3006,NKC!$G$7:$G$3006,"131*",NKC!$I$7:$I$3006,$A51,NKC!$B$7:$B$3006,"&lt;="&amp;DEN_NGAY))</f>
        <v/>
      </c>
      <c r="G51" s="125">
        <f>IF($A51="","",MAX($C51-$D51+$E51-$F51,0))</f>
        <v/>
      </c>
      <c r="H51" s="125">
        <f>IF($A51="","",MAX(-($C51-$D51+$E51-$F51),0))</f>
        <v/>
      </c>
    </row>
    <row r="52" ht="15" customHeight="1" s="78">
      <c r="A52" s="96">
        <f>IF(DM_DT!$A51="","",DM_DT!$A51&amp;"")</f>
        <v/>
      </c>
      <c r="B52" s="97">
        <f>IF($A52="","",DM_DT!$B51)</f>
        <v/>
      </c>
      <c r="C52" s="125">
        <f>IF($A52="","",SUMIFS(SDDK!$D$256:$D$375,SDDK!$A$256:$A$375,"131",SDDK!$B$256:$B$375,$A52))</f>
        <v/>
      </c>
      <c r="D52" s="125">
        <f>IF($A52="","",SUMIFS(SDDK!$E$256:$E$375,SDDK!$A$256:$A$375,"131",SDDK!$B$256:$B$375,$A52))</f>
        <v/>
      </c>
      <c r="E52" s="125">
        <f>IF($A52="","",SUMIFS(NKC!$H$7:$H$3006,NKC!$F$7:$F$3006,"131*",NKC!$I$7:$I$3006,$A52,NKC!$B$7:$B$3006,"&lt;="&amp;DEN_NGAY))</f>
        <v/>
      </c>
      <c r="F52" s="125">
        <f>IF($A52="","",SUMIFS(NKC!$H$7:$H$3006,NKC!$G$7:$G$3006,"131*",NKC!$I$7:$I$3006,$A52,NKC!$B$7:$B$3006,"&lt;="&amp;DEN_NGAY))</f>
        <v/>
      </c>
      <c r="G52" s="125">
        <f>IF($A52="","",MAX($C52-$D52+$E52-$F52,0))</f>
        <v/>
      </c>
      <c r="H52" s="125">
        <f>IF($A52="","",MAX(-($C52-$D52+$E52-$F52),0))</f>
        <v/>
      </c>
    </row>
    <row r="53" ht="15" customHeight="1" s="78">
      <c r="A53" s="96">
        <f>IF(DM_DT!$A52="","",DM_DT!$A52&amp;"")</f>
        <v/>
      </c>
      <c r="B53" s="97">
        <f>IF($A53="","",DM_DT!$B52)</f>
        <v/>
      </c>
      <c r="C53" s="125">
        <f>IF($A53="","",SUMIFS(SDDK!$D$256:$D$375,SDDK!$A$256:$A$375,"131",SDDK!$B$256:$B$375,$A53))</f>
        <v/>
      </c>
      <c r="D53" s="125">
        <f>IF($A53="","",SUMIFS(SDDK!$E$256:$E$375,SDDK!$A$256:$A$375,"131",SDDK!$B$256:$B$375,$A53))</f>
        <v/>
      </c>
      <c r="E53" s="125">
        <f>IF($A53="","",SUMIFS(NKC!$H$7:$H$3006,NKC!$F$7:$F$3006,"131*",NKC!$I$7:$I$3006,$A53,NKC!$B$7:$B$3006,"&lt;="&amp;DEN_NGAY))</f>
        <v/>
      </c>
      <c r="F53" s="125">
        <f>IF($A53="","",SUMIFS(NKC!$H$7:$H$3006,NKC!$G$7:$G$3006,"131*",NKC!$I$7:$I$3006,$A53,NKC!$B$7:$B$3006,"&lt;="&amp;DEN_NGAY))</f>
        <v/>
      </c>
      <c r="G53" s="125">
        <f>IF($A53="","",MAX($C53-$D53+$E53-$F53,0))</f>
        <v/>
      </c>
      <c r="H53" s="125">
        <f>IF($A53="","",MAX(-($C53-$D53+$E53-$F53),0))</f>
        <v/>
      </c>
    </row>
    <row r="54" ht="15" customHeight="1" s="78">
      <c r="A54" s="96">
        <f>IF(DM_DT!$A53="","",DM_DT!$A53&amp;"")</f>
        <v/>
      </c>
      <c r="B54" s="97">
        <f>IF($A54="","",DM_DT!$B53)</f>
        <v/>
      </c>
      <c r="C54" s="125">
        <f>IF($A54="","",SUMIFS(SDDK!$D$256:$D$375,SDDK!$A$256:$A$375,"131",SDDK!$B$256:$B$375,$A54))</f>
        <v/>
      </c>
      <c r="D54" s="125">
        <f>IF($A54="","",SUMIFS(SDDK!$E$256:$E$375,SDDK!$A$256:$A$375,"131",SDDK!$B$256:$B$375,$A54))</f>
        <v/>
      </c>
      <c r="E54" s="125">
        <f>IF($A54="","",SUMIFS(NKC!$H$7:$H$3006,NKC!$F$7:$F$3006,"131*",NKC!$I$7:$I$3006,$A54,NKC!$B$7:$B$3006,"&lt;="&amp;DEN_NGAY))</f>
        <v/>
      </c>
      <c r="F54" s="125">
        <f>IF($A54="","",SUMIFS(NKC!$H$7:$H$3006,NKC!$G$7:$G$3006,"131*",NKC!$I$7:$I$3006,$A54,NKC!$B$7:$B$3006,"&lt;="&amp;DEN_NGAY))</f>
        <v/>
      </c>
      <c r="G54" s="125">
        <f>IF($A54="","",MAX($C54-$D54+$E54-$F54,0))</f>
        <v/>
      </c>
      <c r="H54" s="125">
        <f>IF($A54="","",MAX(-($C54-$D54+$E54-$F54),0))</f>
        <v/>
      </c>
    </row>
    <row r="55" ht="15" customHeight="1" s="78">
      <c r="A55" s="96">
        <f>IF(DM_DT!$A54="","",DM_DT!$A54&amp;"")</f>
        <v/>
      </c>
      <c r="B55" s="97">
        <f>IF($A55="","",DM_DT!$B54)</f>
        <v/>
      </c>
      <c r="C55" s="125">
        <f>IF($A55="","",SUMIFS(SDDK!$D$256:$D$375,SDDK!$A$256:$A$375,"131",SDDK!$B$256:$B$375,$A55))</f>
        <v/>
      </c>
      <c r="D55" s="125">
        <f>IF($A55="","",SUMIFS(SDDK!$E$256:$E$375,SDDK!$A$256:$A$375,"131",SDDK!$B$256:$B$375,$A55))</f>
        <v/>
      </c>
      <c r="E55" s="125">
        <f>IF($A55="","",SUMIFS(NKC!$H$7:$H$3006,NKC!$F$7:$F$3006,"131*",NKC!$I$7:$I$3006,$A55,NKC!$B$7:$B$3006,"&lt;="&amp;DEN_NGAY))</f>
        <v/>
      </c>
      <c r="F55" s="125">
        <f>IF($A55="","",SUMIFS(NKC!$H$7:$H$3006,NKC!$G$7:$G$3006,"131*",NKC!$I$7:$I$3006,$A55,NKC!$B$7:$B$3006,"&lt;="&amp;DEN_NGAY))</f>
        <v/>
      </c>
      <c r="G55" s="125">
        <f>IF($A55="","",MAX($C55-$D55+$E55-$F55,0))</f>
        <v/>
      </c>
      <c r="H55" s="125">
        <f>IF($A55="","",MAX(-($C55-$D55+$E55-$F55),0))</f>
        <v/>
      </c>
    </row>
    <row r="56" ht="15" customHeight="1" s="78">
      <c r="A56" s="96">
        <f>IF(DM_DT!$A55="","",DM_DT!$A55&amp;"")</f>
        <v/>
      </c>
      <c r="B56" s="97">
        <f>IF($A56="","",DM_DT!$B55)</f>
        <v/>
      </c>
      <c r="C56" s="125">
        <f>IF($A56="","",SUMIFS(SDDK!$D$256:$D$375,SDDK!$A$256:$A$375,"131",SDDK!$B$256:$B$375,$A56))</f>
        <v/>
      </c>
      <c r="D56" s="125">
        <f>IF($A56="","",SUMIFS(SDDK!$E$256:$E$375,SDDK!$A$256:$A$375,"131",SDDK!$B$256:$B$375,$A56))</f>
        <v/>
      </c>
      <c r="E56" s="125">
        <f>IF($A56="","",SUMIFS(NKC!$H$7:$H$3006,NKC!$F$7:$F$3006,"131*",NKC!$I$7:$I$3006,$A56,NKC!$B$7:$B$3006,"&lt;="&amp;DEN_NGAY))</f>
        <v/>
      </c>
      <c r="F56" s="125">
        <f>IF($A56="","",SUMIFS(NKC!$H$7:$H$3006,NKC!$G$7:$G$3006,"131*",NKC!$I$7:$I$3006,$A56,NKC!$B$7:$B$3006,"&lt;="&amp;DEN_NGAY))</f>
        <v/>
      </c>
      <c r="G56" s="125">
        <f>IF($A56="","",MAX($C56-$D56+$E56-$F56,0))</f>
        <v/>
      </c>
      <c r="H56" s="125">
        <f>IF($A56="","",MAX(-($C56-$D56+$E56-$F56),0))</f>
        <v/>
      </c>
    </row>
    <row r="57" ht="15" customHeight="1" s="78">
      <c r="A57" s="96">
        <f>IF(DM_DT!$A56="","",DM_DT!$A56&amp;"")</f>
        <v/>
      </c>
      <c r="B57" s="97">
        <f>IF($A57="","",DM_DT!$B56)</f>
        <v/>
      </c>
      <c r="C57" s="125">
        <f>IF($A57="","",SUMIFS(SDDK!$D$256:$D$375,SDDK!$A$256:$A$375,"131",SDDK!$B$256:$B$375,$A57))</f>
        <v/>
      </c>
      <c r="D57" s="125">
        <f>IF($A57="","",SUMIFS(SDDK!$E$256:$E$375,SDDK!$A$256:$A$375,"131",SDDK!$B$256:$B$375,$A57))</f>
        <v/>
      </c>
      <c r="E57" s="125">
        <f>IF($A57="","",SUMIFS(NKC!$H$7:$H$3006,NKC!$F$7:$F$3006,"131*",NKC!$I$7:$I$3006,$A57,NKC!$B$7:$B$3006,"&lt;="&amp;DEN_NGAY))</f>
        <v/>
      </c>
      <c r="F57" s="125">
        <f>IF($A57="","",SUMIFS(NKC!$H$7:$H$3006,NKC!$G$7:$G$3006,"131*",NKC!$I$7:$I$3006,$A57,NKC!$B$7:$B$3006,"&lt;="&amp;DEN_NGAY))</f>
        <v/>
      </c>
      <c r="G57" s="125">
        <f>IF($A57="","",MAX($C57-$D57+$E57-$F57,0))</f>
        <v/>
      </c>
      <c r="H57" s="125">
        <f>IF($A57="","",MAX(-($C57-$D57+$E57-$F57),0))</f>
        <v/>
      </c>
    </row>
    <row r="58" ht="15" customHeight="1" s="78">
      <c r="A58" s="96">
        <f>IF(DM_DT!$A57="","",DM_DT!$A57&amp;"")</f>
        <v/>
      </c>
      <c r="B58" s="97">
        <f>IF($A58="","",DM_DT!$B57)</f>
        <v/>
      </c>
      <c r="C58" s="125">
        <f>IF($A58="","",SUMIFS(SDDK!$D$256:$D$375,SDDK!$A$256:$A$375,"131",SDDK!$B$256:$B$375,$A58))</f>
        <v/>
      </c>
      <c r="D58" s="125">
        <f>IF($A58="","",SUMIFS(SDDK!$E$256:$E$375,SDDK!$A$256:$A$375,"131",SDDK!$B$256:$B$375,$A58))</f>
        <v/>
      </c>
      <c r="E58" s="125">
        <f>IF($A58="","",SUMIFS(NKC!$H$7:$H$3006,NKC!$F$7:$F$3006,"131*",NKC!$I$7:$I$3006,$A58,NKC!$B$7:$B$3006,"&lt;="&amp;DEN_NGAY))</f>
        <v/>
      </c>
      <c r="F58" s="125">
        <f>IF($A58="","",SUMIFS(NKC!$H$7:$H$3006,NKC!$G$7:$G$3006,"131*",NKC!$I$7:$I$3006,$A58,NKC!$B$7:$B$3006,"&lt;="&amp;DEN_NGAY))</f>
        <v/>
      </c>
      <c r="G58" s="125">
        <f>IF($A58="","",MAX($C58-$D58+$E58-$F58,0))</f>
        <v/>
      </c>
      <c r="H58" s="125">
        <f>IF($A58="","",MAX(-($C58-$D58+$E58-$F58),0))</f>
        <v/>
      </c>
    </row>
    <row r="59" ht="15" customHeight="1" s="78">
      <c r="A59" s="96">
        <f>IF(DM_DT!$A58="","",DM_DT!$A58&amp;"")</f>
        <v/>
      </c>
      <c r="B59" s="97">
        <f>IF($A59="","",DM_DT!$B58)</f>
        <v/>
      </c>
      <c r="C59" s="125">
        <f>IF($A59="","",SUMIFS(SDDK!$D$256:$D$375,SDDK!$A$256:$A$375,"131",SDDK!$B$256:$B$375,$A59))</f>
        <v/>
      </c>
      <c r="D59" s="125">
        <f>IF($A59="","",SUMIFS(SDDK!$E$256:$E$375,SDDK!$A$256:$A$375,"131",SDDK!$B$256:$B$375,$A59))</f>
        <v/>
      </c>
      <c r="E59" s="125">
        <f>IF($A59="","",SUMIFS(NKC!$H$7:$H$3006,NKC!$F$7:$F$3006,"131*",NKC!$I$7:$I$3006,$A59,NKC!$B$7:$B$3006,"&lt;="&amp;DEN_NGAY))</f>
        <v/>
      </c>
      <c r="F59" s="125">
        <f>IF($A59="","",SUMIFS(NKC!$H$7:$H$3006,NKC!$G$7:$G$3006,"131*",NKC!$I$7:$I$3006,$A59,NKC!$B$7:$B$3006,"&lt;="&amp;DEN_NGAY))</f>
        <v/>
      </c>
      <c r="G59" s="125">
        <f>IF($A59="","",MAX($C59-$D59+$E59-$F59,0))</f>
        <v/>
      </c>
      <c r="H59" s="125">
        <f>IF($A59="","",MAX(-($C59-$D59+$E59-$F59),0))</f>
        <v/>
      </c>
    </row>
    <row r="60" ht="15" customHeight="1" s="78">
      <c r="A60" s="96">
        <f>IF(DM_DT!$A59="","",DM_DT!$A59&amp;"")</f>
        <v/>
      </c>
      <c r="B60" s="97">
        <f>IF($A60="","",DM_DT!$B59)</f>
        <v/>
      </c>
      <c r="C60" s="125">
        <f>IF($A60="","",SUMIFS(SDDK!$D$256:$D$375,SDDK!$A$256:$A$375,"131",SDDK!$B$256:$B$375,$A60))</f>
        <v/>
      </c>
      <c r="D60" s="125">
        <f>IF($A60="","",SUMIFS(SDDK!$E$256:$E$375,SDDK!$A$256:$A$375,"131",SDDK!$B$256:$B$375,$A60))</f>
        <v/>
      </c>
      <c r="E60" s="125">
        <f>IF($A60="","",SUMIFS(NKC!$H$7:$H$3006,NKC!$F$7:$F$3006,"131*",NKC!$I$7:$I$3006,$A60,NKC!$B$7:$B$3006,"&lt;="&amp;DEN_NGAY))</f>
        <v/>
      </c>
      <c r="F60" s="125">
        <f>IF($A60="","",SUMIFS(NKC!$H$7:$H$3006,NKC!$G$7:$G$3006,"131*",NKC!$I$7:$I$3006,$A60,NKC!$B$7:$B$3006,"&lt;="&amp;DEN_NGAY))</f>
        <v/>
      </c>
      <c r="G60" s="125">
        <f>IF($A60="","",MAX($C60-$D60+$E60-$F60,0))</f>
        <v/>
      </c>
      <c r="H60" s="125">
        <f>IF($A60="","",MAX(-($C60-$D60+$E60-$F60),0))</f>
        <v/>
      </c>
    </row>
    <row r="61" ht="15" customHeight="1" s="78">
      <c r="A61" s="96">
        <f>IF(DM_DT!$A60="","",DM_DT!$A60&amp;"")</f>
        <v/>
      </c>
      <c r="B61" s="97">
        <f>IF($A61="","",DM_DT!$B60)</f>
        <v/>
      </c>
      <c r="C61" s="125">
        <f>IF($A61="","",SUMIFS(SDDK!$D$256:$D$375,SDDK!$A$256:$A$375,"131",SDDK!$B$256:$B$375,$A61))</f>
        <v/>
      </c>
      <c r="D61" s="125">
        <f>IF($A61="","",SUMIFS(SDDK!$E$256:$E$375,SDDK!$A$256:$A$375,"131",SDDK!$B$256:$B$375,$A61))</f>
        <v/>
      </c>
      <c r="E61" s="125">
        <f>IF($A61="","",SUMIFS(NKC!$H$7:$H$3006,NKC!$F$7:$F$3006,"131*",NKC!$I$7:$I$3006,$A61,NKC!$B$7:$B$3006,"&lt;="&amp;DEN_NGAY))</f>
        <v/>
      </c>
      <c r="F61" s="125">
        <f>IF($A61="","",SUMIFS(NKC!$H$7:$H$3006,NKC!$G$7:$G$3006,"131*",NKC!$I$7:$I$3006,$A61,NKC!$B$7:$B$3006,"&lt;="&amp;DEN_NGAY))</f>
        <v/>
      </c>
      <c r="G61" s="125">
        <f>IF($A61="","",MAX($C61-$D61+$E61-$F61,0))</f>
        <v/>
      </c>
      <c r="H61" s="125">
        <f>IF($A61="","",MAX(-($C61-$D61+$E61-$F61),0))</f>
        <v/>
      </c>
    </row>
    <row r="62" ht="15" customHeight="1" s="78">
      <c r="A62" s="96">
        <f>IF(DM_DT!$A61="","",DM_DT!$A61&amp;"")</f>
        <v/>
      </c>
      <c r="B62" s="97">
        <f>IF($A62="","",DM_DT!$B61)</f>
        <v/>
      </c>
      <c r="C62" s="125">
        <f>IF($A62="","",SUMIFS(SDDK!$D$256:$D$375,SDDK!$A$256:$A$375,"131",SDDK!$B$256:$B$375,$A62))</f>
        <v/>
      </c>
      <c r="D62" s="125">
        <f>IF($A62="","",SUMIFS(SDDK!$E$256:$E$375,SDDK!$A$256:$A$375,"131",SDDK!$B$256:$B$375,$A62))</f>
        <v/>
      </c>
      <c r="E62" s="125">
        <f>IF($A62="","",SUMIFS(NKC!$H$7:$H$3006,NKC!$F$7:$F$3006,"131*",NKC!$I$7:$I$3006,$A62,NKC!$B$7:$B$3006,"&lt;="&amp;DEN_NGAY))</f>
        <v/>
      </c>
      <c r="F62" s="125">
        <f>IF($A62="","",SUMIFS(NKC!$H$7:$H$3006,NKC!$G$7:$G$3006,"131*",NKC!$I$7:$I$3006,$A62,NKC!$B$7:$B$3006,"&lt;="&amp;DEN_NGAY))</f>
        <v/>
      </c>
      <c r="G62" s="125">
        <f>IF($A62="","",MAX($C62-$D62+$E62-$F62,0))</f>
        <v/>
      </c>
      <c r="H62" s="125">
        <f>IF($A62="","",MAX(-($C62-$D62+$E62-$F62),0))</f>
        <v/>
      </c>
    </row>
    <row r="63" ht="15" customHeight="1" s="78">
      <c r="A63" s="96">
        <f>IF(DM_DT!$A62="","",DM_DT!$A62&amp;"")</f>
        <v/>
      </c>
      <c r="B63" s="97">
        <f>IF($A63="","",DM_DT!$B62)</f>
        <v/>
      </c>
      <c r="C63" s="125">
        <f>IF($A63="","",SUMIFS(SDDK!$D$256:$D$375,SDDK!$A$256:$A$375,"131",SDDK!$B$256:$B$375,$A63))</f>
        <v/>
      </c>
      <c r="D63" s="125">
        <f>IF($A63="","",SUMIFS(SDDK!$E$256:$E$375,SDDK!$A$256:$A$375,"131",SDDK!$B$256:$B$375,$A63))</f>
        <v/>
      </c>
      <c r="E63" s="125">
        <f>IF($A63="","",SUMIFS(NKC!$H$7:$H$3006,NKC!$F$7:$F$3006,"131*",NKC!$I$7:$I$3006,$A63,NKC!$B$7:$B$3006,"&lt;="&amp;DEN_NGAY))</f>
        <v/>
      </c>
      <c r="F63" s="125">
        <f>IF($A63="","",SUMIFS(NKC!$H$7:$H$3006,NKC!$G$7:$G$3006,"131*",NKC!$I$7:$I$3006,$A63,NKC!$B$7:$B$3006,"&lt;="&amp;DEN_NGAY))</f>
        <v/>
      </c>
      <c r="G63" s="125">
        <f>IF($A63="","",MAX($C63-$D63+$E63-$F63,0))</f>
        <v/>
      </c>
      <c r="H63" s="125">
        <f>IF($A63="","",MAX(-($C63-$D63+$E63-$F63),0))</f>
        <v/>
      </c>
    </row>
    <row r="64" ht="15" customHeight="1" s="78">
      <c r="A64" s="96">
        <f>IF(DM_DT!$A63="","",DM_DT!$A63&amp;"")</f>
        <v/>
      </c>
      <c r="B64" s="97">
        <f>IF($A64="","",DM_DT!$B63)</f>
        <v/>
      </c>
      <c r="C64" s="125">
        <f>IF($A64="","",SUMIFS(SDDK!$D$256:$D$375,SDDK!$A$256:$A$375,"131",SDDK!$B$256:$B$375,$A64))</f>
        <v/>
      </c>
      <c r="D64" s="125">
        <f>IF($A64="","",SUMIFS(SDDK!$E$256:$E$375,SDDK!$A$256:$A$375,"131",SDDK!$B$256:$B$375,$A64))</f>
        <v/>
      </c>
      <c r="E64" s="125">
        <f>IF($A64="","",SUMIFS(NKC!$H$7:$H$3006,NKC!$F$7:$F$3006,"131*",NKC!$I$7:$I$3006,$A64,NKC!$B$7:$B$3006,"&lt;="&amp;DEN_NGAY))</f>
        <v/>
      </c>
      <c r="F64" s="125">
        <f>IF($A64="","",SUMIFS(NKC!$H$7:$H$3006,NKC!$G$7:$G$3006,"131*",NKC!$I$7:$I$3006,$A64,NKC!$B$7:$B$3006,"&lt;="&amp;DEN_NGAY))</f>
        <v/>
      </c>
      <c r="G64" s="125">
        <f>IF($A64="","",MAX($C64-$D64+$E64-$F64,0))</f>
        <v/>
      </c>
      <c r="H64" s="125">
        <f>IF($A64="","",MAX(-($C64-$D64+$E64-$F64),0))</f>
        <v/>
      </c>
    </row>
    <row r="65" ht="15" customHeight="1" s="78">
      <c r="A65" s="96">
        <f>IF(DM_DT!$A64="","",DM_DT!$A64&amp;"")</f>
        <v/>
      </c>
      <c r="B65" s="97">
        <f>IF($A65="","",DM_DT!$B64)</f>
        <v/>
      </c>
      <c r="C65" s="125">
        <f>IF($A65="","",SUMIFS(SDDK!$D$256:$D$375,SDDK!$A$256:$A$375,"131",SDDK!$B$256:$B$375,$A65))</f>
        <v/>
      </c>
      <c r="D65" s="125">
        <f>IF($A65="","",SUMIFS(SDDK!$E$256:$E$375,SDDK!$A$256:$A$375,"131",SDDK!$B$256:$B$375,$A65))</f>
        <v/>
      </c>
      <c r="E65" s="125">
        <f>IF($A65="","",SUMIFS(NKC!$H$7:$H$3006,NKC!$F$7:$F$3006,"131*",NKC!$I$7:$I$3006,$A65,NKC!$B$7:$B$3006,"&lt;="&amp;DEN_NGAY))</f>
        <v/>
      </c>
      <c r="F65" s="125">
        <f>IF($A65="","",SUMIFS(NKC!$H$7:$H$3006,NKC!$G$7:$G$3006,"131*",NKC!$I$7:$I$3006,$A65,NKC!$B$7:$B$3006,"&lt;="&amp;DEN_NGAY))</f>
        <v/>
      </c>
      <c r="G65" s="125">
        <f>IF($A65="","",MAX($C65-$D65+$E65-$F65,0))</f>
        <v/>
      </c>
      <c r="H65" s="125">
        <f>IF($A65="","",MAX(-($C65-$D65+$E65-$F65),0))</f>
        <v/>
      </c>
    </row>
    <row r="66" ht="15" customHeight="1" s="78">
      <c r="A66" s="96">
        <f>IF(DM_DT!$A65="","",DM_DT!$A65&amp;"")</f>
        <v/>
      </c>
      <c r="B66" s="97">
        <f>IF($A66="","",DM_DT!$B65)</f>
        <v/>
      </c>
      <c r="C66" s="125">
        <f>IF($A66="","",SUMIFS(SDDK!$D$256:$D$375,SDDK!$A$256:$A$375,"131",SDDK!$B$256:$B$375,$A66))</f>
        <v/>
      </c>
      <c r="D66" s="125">
        <f>IF($A66="","",SUMIFS(SDDK!$E$256:$E$375,SDDK!$A$256:$A$375,"131",SDDK!$B$256:$B$375,$A66))</f>
        <v/>
      </c>
      <c r="E66" s="125">
        <f>IF($A66="","",SUMIFS(NKC!$H$7:$H$3006,NKC!$F$7:$F$3006,"131*",NKC!$I$7:$I$3006,$A66,NKC!$B$7:$B$3006,"&lt;="&amp;DEN_NGAY))</f>
        <v/>
      </c>
      <c r="F66" s="125">
        <f>IF($A66="","",SUMIFS(NKC!$H$7:$H$3006,NKC!$G$7:$G$3006,"131*",NKC!$I$7:$I$3006,$A66,NKC!$B$7:$B$3006,"&lt;="&amp;DEN_NGAY))</f>
        <v/>
      </c>
      <c r="G66" s="125">
        <f>IF($A66="","",MAX($C66-$D66+$E66-$F66,0))</f>
        <v/>
      </c>
      <c r="H66" s="125">
        <f>IF($A66="","",MAX(-($C66-$D66+$E66-$F66),0))</f>
        <v/>
      </c>
    </row>
    <row r="67" ht="15" customHeight="1" s="78">
      <c r="A67" s="96">
        <f>IF(DM_DT!$A66="","",DM_DT!$A66&amp;"")</f>
        <v/>
      </c>
      <c r="B67" s="97">
        <f>IF($A67="","",DM_DT!$B66)</f>
        <v/>
      </c>
      <c r="C67" s="125">
        <f>IF($A67="","",SUMIFS(SDDK!$D$256:$D$375,SDDK!$A$256:$A$375,"131",SDDK!$B$256:$B$375,$A67))</f>
        <v/>
      </c>
      <c r="D67" s="125">
        <f>IF($A67="","",SUMIFS(SDDK!$E$256:$E$375,SDDK!$A$256:$A$375,"131",SDDK!$B$256:$B$375,$A67))</f>
        <v/>
      </c>
      <c r="E67" s="125">
        <f>IF($A67="","",SUMIFS(NKC!$H$7:$H$3006,NKC!$F$7:$F$3006,"131*",NKC!$I$7:$I$3006,$A67,NKC!$B$7:$B$3006,"&lt;="&amp;DEN_NGAY))</f>
        <v/>
      </c>
      <c r="F67" s="125">
        <f>IF($A67="","",SUMIFS(NKC!$H$7:$H$3006,NKC!$G$7:$G$3006,"131*",NKC!$I$7:$I$3006,$A67,NKC!$B$7:$B$3006,"&lt;="&amp;DEN_NGAY))</f>
        <v/>
      </c>
      <c r="G67" s="125">
        <f>IF($A67="","",MAX($C67-$D67+$E67-$F67,0))</f>
        <v/>
      </c>
      <c r="H67" s="125">
        <f>IF($A67="","",MAX(-($C67-$D67+$E67-$F67),0))</f>
        <v/>
      </c>
    </row>
    <row r="68" ht="15" customHeight="1" s="78">
      <c r="A68" s="96">
        <f>IF(DM_DT!$A67="","",DM_DT!$A67&amp;"")</f>
        <v/>
      </c>
      <c r="B68" s="97">
        <f>IF($A68="","",DM_DT!$B67)</f>
        <v/>
      </c>
      <c r="C68" s="125">
        <f>IF($A68="","",SUMIFS(SDDK!$D$256:$D$375,SDDK!$A$256:$A$375,"131",SDDK!$B$256:$B$375,$A68))</f>
        <v/>
      </c>
      <c r="D68" s="125">
        <f>IF($A68="","",SUMIFS(SDDK!$E$256:$E$375,SDDK!$A$256:$A$375,"131",SDDK!$B$256:$B$375,$A68))</f>
        <v/>
      </c>
      <c r="E68" s="125">
        <f>IF($A68="","",SUMIFS(NKC!$H$7:$H$3006,NKC!$F$7:$F$3006,"131*",NKC!$I$7:$I$3006,$A68,NKC!$B$7:$B$3006,"&lt;="&amp;DEN_NGAY))</f>
        <v/>
      </c>
      <c r="F68" s="125">
        <f>IF($A68="","",SUMIFS(NKC!$H$7:$H$3006,NKC!$G$7:$G$3006,"131*",NKC!$I$7:$I$3006,$A68,NKC!$B$7:$B$3006,"&lt;="&amp;DEN_NGAY))</f>
        <v/>
      </c>
      <c r="G68" s="125">
        <f>IF($A68="","",MAX($C68-$D68+$E68-$F68,0))</f>
        <v/>
      </c>
      <c r="H68" s="125">
        <f>IF($A68="","",MAX(-($C68-$D68+$E68-$F68),0))</f>
        <v/>
      </c>
    </row>
    <row r="69" ht="15" customHeight="1" s="78">
      <c r="A69" s="96">
        <f>IF(DM_DT!$A68="","",DM_DT!$A68&amp;"")</f>
        <v/>
      </c>
      <c r="B69" s="97">
        <f>IF($A69="","",DM_DT!$B68)</f>
        <v/>
      </c>
      <c r="C69" s="125">
        <f>IF($A69="","",SUMIFS(SDDK!$D$256:$D$375,SDDK!$A$256:$A$375,"131",SDDK!$B$256:$B$375,$A69))</f>
        <v/>
      </c>
      <c r="D69" s="125">
        <f>IF($A69="","",SUMIFS(SDDK!$E$256:$E$375,SDDK!$A$256:$A$375,"131",SDDK!$B$256:$B$375,$A69))</f>
        <v/>
      </c>
      <c r="E69" s="125">
        <f>IF($A69="","",SUMIFS(NKC!$H$7:$H$3006,NKC!$F$7:$F$3006,"131*",NKC!$I$7:$I$3006,$A69,NKC!$B$7:$B$3006,"&lt;="&amp;DEN_NGAY))</f>
        <v/>
      </c>
      <c r="F69" s="125">
        <f>IF($A69="","",SUMIFS(NKC!$H$7:$H$3006,NKC!$G$7:$G$3006,"131*",NKC!$I$7:$I$3006,$A69,NKC!$B$7:$B$3006,"&lt;="&amp;DEN_NGAY))</f>
        <v/>
      </c>
      <c r="G69" s="125">
        <f>IF($A69="","",MAX($C69-$D69+$E69-$F69,0))</f>
        <v/>
      </c>
      <c r="H69" s="125">
        <f>IF($A69="","",MAX(-($C69-$D69+$E69-$F69),0))</f>
        <v/>
      </c>
    </row>
    <row r="70" ht="15" customHeight="1" s="78">
      <c r="A70" s="96">
        <f>IF(DM_DT!$A69="","",DM_DT!$A69&amp;"")</f>
        <v/>
      </c>
      <c r="B70" s="97">
        <f>IF($A70="","",DM_DT!$B69)</f>
        <v/>
      </c>
      <c r="C70" s="125">
        <f>IF($A70="","",SUMIFS(SDDK!$D$256:$D$375,SDDK!$A$256:$A$375,"131",SDDK!$B$256:$B$375,$A70))</f>
        <v/>
      </c>
      <c r="D70" s="125">
        <f>IF($A70="","",SUMIFS(SDDK!$E$256:$E$375,SDDK!$A$256:$A$375,"131",SDDK!$B$256:$B$375,$A70))</f>
        <v/>
      </c>
      <c r="E70" s="125">
        <f>IF($A70="","",SUMIFS(NKC!$H$7:$H$3006,NKC!$F$7:$F$3006,"131*",NKC!$I$7:$I$3006,$A70,NKC!$B$7:$B$3006,"&lt;="&amp;DEN_NGAY))</f>
        <v/>
      </c>
      <c r="F70" s="125">
        <f>IF($A70="","",SUMIFS(NKC!$H$7:$H$3006,NKC!$G$7:$G$3006,"131*",NKC!$I$7:$I$3006,$A70,NKC!$B$7:$B$3006,"&lt;="&amp;DEN_NGAY))</f>
        <v/>
      </c>
      <c r="G70" s="125">
        <f>IF($A70="","",MAX($C70-$D70+$E70-$F70,0))</f>
        <v/>
      </c>
      <c r="H70" s="125">
        <f>IF($A70="","",MAX(-($C70-$D70+$E70-$F70),0))</f>
        <v/>
      </c>
    </row>
    <row r="71" ht="15" customHeight="1" s="78">
      <c r="A71" s="96">
        <f>IF(DM_DT!$A70="","",DM_DT!$A70&amp;"")</f>
        <v/>
      </c>
      <c r="B71" s="97">
        <f>IF($A71="","",DM_DT!$B70)</f>
        <v/>
      </c>
      <c r="C71" s="125">
        <f>IF($A71="","",SUMIFS(SDDK!$D$256:$D$375,SDDK!$A$256:$A$375,"131",SDDK!$B$256:$B$375,$A71))</f>
        <v/>
      </c>
      <c r="D71" s="125">
        <f>IF($A71="","",SUMIFS(SDDK!$E$256:$E$375,SDDK!$A$256:$A$375,"131",SDDK!$B$256:$B$375,$A71))</f>
        <v/>
      </c>
      <c r="E71" s="125">
        <f>IF($A71="","",SUMIFS(NKC!$H$7:$H$3006,NKC!$F$7:$F$3006,"131*",NKC!$I$7:$I$3006,$A71,NKC!$B$7:$B$3006,"&lt;="&amp;DEN_NGAY))</f>
        <v/>
      </c>
      <c r="F71" s="125">
        <f>IF($A71="","",SUMIFS(NKC!$H$7:$H$3006,NKC!$G$7:$G$3006,"131*",NKC!$I$7:$I$3006,$A71,NKC!$B$7:$B$3006,"&lt;="&amp;DEN_NGAY))</f>
        <v/>
      </c>
      <c r="G71" s="125">
        <f>IF($A71="","",MAX($C71-$D71+$E71-$F71,0))</f>
        <v/>
      </c>
      <c r="H71" s="125">
        <f>IF($A71="","",MAX(-($C71-$D71+$E71-$F71),0))</f>
        <v/>
      </c>
    </row>
    <row r="72" ht="15" customHeight="1" s="78">
      <c r="A72" s="96">
        <f>IF(DM_DT!$A71="","",DM_DT!$A71&amp;"")</f>
        <v/>
      </c>
      <c r="B72" s="97">
        <f>IF($A72="","",DM_DT!$B71)</f>
        <v/>
      </c>
      <c r="C72" s="125">
        <f>IF($A72="","",SUMIFS(SDDK!$D$256:$D$375,SDDK!$A$256:$A$375,"131",SDDK!$B$256:$B$375,$A72))</f>
        <v/>
      </c>
      <c r="D72" s="125">
        <f>IF($A72="","",SUMIFS(SDDK!$E$256:$E$375,SDDK!$A$256:$A$375,"131",SDDK!$B$256:$B$375,$A72))</f>
        <v/>
      </c>
      <c r="E72" s="125">
        <f>IF($A72="","",SUMIFS(NKC!$H$7:$H$3006,NKC!$F$7:$F$3006,"131*",NKC!$I$7:$I$3006,$A72,NKC!$B$7:$B$3006,"&lt;="&amp;DEN_NGAY))</f>
        <v/>
      </c>
      <c r="F72" s="125">
        <f>IF($A72="","",SUMIFS(NKC!$H$7:$H$3006,NKC!$G$7:$G$3006,"131*",NKC!$I$7:$I$3006,$A72,NKC!$B$7:$B$3006,"&lt;="&amp;DEN_NGAY))</f>
        <v/>
      </c>
      <c r="G72" s="125">
        <f>IF($A72="","",MAX($C72-$D72+$E72-$F72,0))</f>
        <v/>
      </c>
      <c r="H72" s="125">
        <f>IF($A72="","",MAX(-($C72-$D72+$E72-$F72),0))</f>
        <v/>
      </c>
    </row>
    <row r="73" ht="15" customHeight="1" s="78">
      <c r="A73" s="96">
        <f>IF(DM_DT!$A72="","",DM_DT!$A72&amp;"")</f>
        <v/>
      </c>
      <c r="B73" s="97">
        <f>IF($A73="","",DM_DT!$B72)</f>
        <v/>
      </c>
      <c r="C73" s="125">
        <f>IF($A73="","",SUMIFS(SDDK!$D$256:$D$375,SDDK!$A$256:$A$375,"131",SDDK!$B$256:$B$375,$A73))</f>
        <v/>
      </c>
      <c r="D73" s="125">
        <f>IF($A73="","",SUMIFS(SDDK!$E$256:$E$375,SDDK!$A$256:$A$375,"131",SDDK!$B$256:$B$375,$A73))</f>
        <v/>
      </c>
      <c r="E73" s="125">
        <f>IF($A73="","",SUMIFS(NKC!$H$7:$H$3006,NKC!$F$7:$F$3006,"131*",NKC!$I$7:$I$3006,$A73,NKC!$B$7:$B$3006,"&lt;="&amp;DEN_NGAY))</f>
        <v/>
      </c>
      <c r="F73" s="125">
        <f>IF($A73="","",SUMIFS(NKC!$H$7:$H$3006,NKC!$G$7:$G$3006,"131*",NKC!$I$7:$I$3006,$A73,NKC!$B$7:$B$3006,"&lt;="&amp;DEN_NGAY))</f>
        <v/>
      </c>
      <c r="G73" s="125">
        <f>IF($A73="","",MAX($C73-$D73+$E73-$F73,0))</f>
        <v/>
      </c>
      <c r="H73" s="125">
        <f>IF($A73="","",MAX(-($C73-$D73+$E73-$F73),0))</f>
        <v/>
      </c>
    </row>
    <row r="74" ht="15" customHeight="1" s="78">
      <c r="A74" s="96">
        <f>IF(DM_DT!$A73="","",DM_DT!$A73&amp;"")</f>
        <v/>
      </c>
      <c r="B74" s="97">
        <f>IF($A74="","",DM_DT!$B73)</f>
        <v/>
      </c>
      <c r="C74" s="125">
        <f>IF($A74="","",SUMIFS(SDDK!$D$256:$D$375,SDDK!$A$256:$A$375,"131",SDDK!$B$256:$B$375,$A74))</f>
        <v/>
      </c>
      <c r="D74" s="125">
        <f>IF($A74="","",SUMIFS(SDDK!$E$256:$E$375,SDDK!$A$256:$A$375,"131",SDDK!$B$256:$B$375,$A74))</f>
        <v/>
      </c>
      <c r="E74" s="125">
        <f>IF($A74="","",SUMIFS(NKC!$H$7:$H$3006,NKC!$F$7:$F$3006,"131*",NKC!$I$7:$I$3006,$A74,NKC!$B$7:$B$3006,"&lt;="&amp;DEN_NGAY))</f>
        <v/>
      </c>
      <c r="F74" s="125">
        <f>IF($A74="","",SUMIFS(NKC!$H$7:$H$3006,NKC!$G$7:$G$3006,"131*",NKC!$I$7:$I$3006,$A74,NKC!$B$7:$B$3006,"&lt;="&amp;DEN_NGAY))</f>
        <v/>
      </c>
      <c r="G74" s="125">
        <f>IF($A74="","",MAX($C74-$D74+$E74-$F74,0))</f>
        <v/>
      </c>
      <c r="H74" s="125">
        <f>IF($A74="","",MAX(-($C74-$D74+$E74-$F74),0))</f>
        <v/>
      </c>
    </row>
    <row r="75" ht="15" customHeight="1" s="78">
      <c r="A75" s="96">
        <f>IF(DM_DT!$A74="","",DM_DT!$A74&amp;"")</f>
        <v/>
      </c>
      <c r="B75" s="97">
        <f>IF($A75="","",DM_DT!$B74)</f>
        <v/>
      </c>
      <c r="C75" s="125">
        <f>IF($A75="","",SUMIFS(SDDK!$D$256:$D$375,SDDK!$A$256:$A$375,"131",SDDK!$B$256:$B$375,$A75))</f>
        <v/>
      </c>
      <c r="D75" s="125">
        <f>IF($A75="","",SUMIFS(SDDK!$E$256:$E$375,SDDK!$A$256:$A$375,"131",SDDK!$B$256:$B$375,$A75))</f>
        <v/>
      </c>
      <c r="E75" s="125">
        <f>IF($A75="","",SUMIFS(NKC!$H$7:$H$3006,NKC!$F$7:$F$3006,"131*",NKC!$I$7:$I$3006,$A75,NKC!$B$7:$B$3006,"&lt;="&amp;DEN_NGAY))</f>
        <v/>
      </c>
      <c r="F75" s="125">
        <f>IF($A75="","",SUMIFS(NKC!$H$7:$H$3006,NKC!$G$7:$G$3006,"131*",NKC!$I$7:$I$3006,$A75,NKC!$B$7:$B$3006,"&lt;="&amp;DEN_NGAY))</f>
        <v/>
      </c>
      <c r="G75" s="125">
        <f>IF($A75="","",MAX($C75-$D75+$E75-$F75,0))</f>
        <v/>
      </c>
      <c r="H75" s="125">
        <f>IF($A75="","",MAX(-($C75-$D75+$E75-$F75),0))</f>
        <v/>
      </c>
    </row>
    <row r="76" ht="15" customHeight="1" s="78">
      <c r="A76" s="96">
        <f>IF(DM_DT!$A75="","",DM_DT!$A75&amp;"")</f>
        <v/>
      </c>
      <c r="B76" s="97">
        <f>IF($A76="","",DM_DT!$B75)</f>
        <v/>
      </c>
      <c r="C76" s="125">
        <f>IF($A76="","",SUMIFS(SDDK!$D$256:$D$375,SDDK!$A$256:$A$375,"131",SDDK!$B$256:$B$375,$A76))</f>
        <v/>
      </c>
      <c r="D76" s="125">
        <f>IF($A76="","",SUMIFS(SDDK!$E$256:$E$375,SDDK!$A$256:$A$375,"131",SDDK!$B$256:$B$375,$A76))</f>
        <v/>
      </c>
      <c r="E76" s="125">
        <f>IF($A76="","",SUMIFS(NKC!$H$7:$H$3006,NKC!$F$7:$F$3006,"131*",NKC!$I$7:$I$3006,$A76,NKC!$B$7:$B$3006,"&lt;="&amp;DEN_NGAY))</f>
        <v/>
      </c>
      <c r="F76" s="125">
        <f>IF($A76="","",SUMIFS(NKC!$H$7:$H$3006,NKC!$G$7:$G$3006,"131*",NKC!$I$7:$I$3006,$A76,NKC!$B$7:$B$3006,"&lt;="&amp;DEN_NGAY))</f>
        <v/>
      </c>
      <c r="G76" s="125">
        <f>IF($A76="","",MAX($C76-$D76+$E76-$F76,0))</f>
        <v/>
      </c>
      <c r="H76" s="125">
        <f>IF($A76="","",MAX(-($C76-$D76+$E76-$F76),0))</f>
        <v/>
      </c>
    </row>
    <row r="77" ht="15" customHeight="1" s="78">
      <c r="A77" s="96">
        <f>IF(DM_DT!$A76="","",DM_DT!$A76&amp;"")</f>
        <v/>
      </c>
      <c r="B77" s="97">
        <f>IF($A77="","",DM_DT!$B76)</f>
        <v/>
      </c>
      <c r="C77" s="125">
        <f>IF($A77="","",SUMIFS(SDDK!$D$256:$D$375,SDDK!$A$256:$A$375,"131",SDDK!$B$256:$B$375,$A77))</f>
        <v/>
      </c>
      <c r="D77" s="125">
        <f>IF($A77="","",SUMIFS(SDDK!$E$256:$E$375,SDDK!$A$256:$A$375,"131",SDDK!$B$256:$B$375,$A77))</f>
        <v/>
      </c>
      <c r="E77" s="125">
        <f>IF($A77="","",SUMIFS(NKC!$H$7:$H$3006,NKC!$F$7:$F$3006,"131*",NKC!$I$7:$I$3006,$A77,NKC!$B$7:$B$3006,"&lt;="&amp;DEN_NGAY))</f>
        <v/>
      </c>
      <c r="F77" s="125">
        <f>IF($A77="","",SUMIFS(NKC!$H$7:$H$3006,NKC!$G$7:$G$3006,"131*",NKC!$I$7:$I$3006,$A77,NKC!$B$7:$B$3006,"&lt;="&amp;DEN_NGAY))</f>
        <v/>
      </c>
      <c r="G77" s="125">
        <f>IF($A77="","",MAX($C77-$D77+$E77-$F77,0))</f>
        <v/>
      </c>
      <c r="H77" s="125">
        <f>IF($A77="","",MAX(-($C77-$D77+$E77-$F77),0))</f>
        <v/>
      </c>
    </row>
    <row r="78" ht="15" customHeight="1" s="78">
      <c r="A78" s="96">
        <f>IF(DM_DT!$A77="","",DM_DT!$A77&amp;"")</f>
        <v/>
      </c>
      <c r="B78" s="97">
        <f>IF($A78="","",DM_DT!$B77)</f>
        <v/>
      </c>
      <c r="C78" s="125">
        <f>IF($A78="","",SUMIFS(SDDK!$D$256:$D$375,SDDK!$A$256:$A$375,"131",SDDK!$B$256:$B$375,$A78))</f>
        <v/>
      </c>
      <c r="D78" s="125">
        <f>IF($A78="","",SUMIFS(SDDK!$E$256:$E$375,SDDK!$A$256:$A$375,"131",SDDK!$B$256:$B$375,$A78))</f>
        <v/>
      </c>
      <c r="E78" s="125">
        <f>IF($A78="","",SUMIFS(NKC!$H$7:$H$3006,NKC!$F$7:$F$3006,"131*",NKC!$I$7:$I$3006,$A78,NKC!$B$7:$B$3006,"&lt;="&amp;DEN_NGAY))</f>
        <v/>
      </c>
      <c r="F78" s="125">
        <f>IF($A78="","",SUMIFS(NKC!$H$7:$H$3006,NKC!$G$7:$G$3006,"131*",NKC!$I$7:$I$3006,$A78,NKC!$B$7:$B$3006,"&lt;="&amp;DEN_NGAY))</f>
        <v/>
      </c>
      <c r="G78" s="125">
        <f>IF($A78="","",MAX($C78-$D78+$E78-$F78,0))</f>
        <v/>
      </c>
      <c r="H78" s="125">
        <f>IF($A78="","",MAX(-($C78-$D78+$E78-$F78),0))</f>
        <v/>
      </c>
    </row>
    <row r="79" ht="15" customHeight="1" s="78">
      <c r="A79" s="96">
        <f>IF(DM_DT!$A78="","",DM_DT!$A78&amp;"")</f>
        <v/>
      </c>
      <c r="B79" s="97">
        <f>IF($A79="","",DM_DT!$B78)</f>
        <v/>
      </c>
      <c r="C79" s="125">
        <f>IF($A79="","",SUMIFS(SDDK!$D$256:$D$375,SDDK!$A$256:$A$375,"131",SDDK!$B$256:$B$375,$A79))</f>
        <v/>
      </c>
      <c r="D79" s="125">
        <f>IF($A79="","",SUMIFS(SDDK!$E$256:$E$375,SDDK!$A$256:$A$375,"131",SDDK!$B$256:$B$375,$A79))</f>
        <v/>
      </c>
      <c r="E79" s="125">
        <f>IF($A79="","",SUMIFS(NKC!$H$7:$H$3006,NKC!$F$7:$F$3006,"131*",NKC!$I$7:$I$3006,$A79,NKC!$B$7:$B$3006,"&lt;="&amp;DEN_NGAY))</f>
        <v/>
      </c>
      <c r="F79" s="125">
        <f>IF($A79="","",SUMIFS(NKC!$H$7:$H$3006,NKC!$G$7:$G$3006,"131*",NKC!$I$7:$I$3006,$A79,NKC!$B$7:$B$3006,"&lt;="&amp;DEN_NGAY))</f>
        <v/>
      </c>
      <c r="G79" s="125">
        <f>IF($A79="","",MAX($C79-$D79+$E79-$F79,0))</f>
        <v/>
      </c>
      <c r="H79" s="125">
        <f>IF($A79="","",MAX(-($C79-$D79+$E79-$F79),0))</f>
        <v/>
      </c>
    </row>
    <row r="80" ht="15" customHeight="1" s="78">
      <c r="A80" s="96">
        <f>IF(DM_DT!$A79="","",DM_DT!$A79&amp;"")</f>
        <v/>
      </c>
      <c r="B80" s="97">
        <f>IF($A80="","",DM_DT!$B79)</f>
        <v/>
      </c>
      <c r="C80" s="125">
        <f>IF($A80="","",SUMIFS(SDDK!$D$256:$D$375,SDDK!$A$256:$A$375,"131",SDDK!$B$256:$B$375,$A80))</f>
        <v/>
      </c>
      <c r="D80" s="125">
        <f>IF($A80="","",SUMIFS(SDDK!$E$256:$E$375,SDDK!$A$256:$A$375,"131",SDDK!$B$256:$B$375,$A80))</f>
        <v/>
      </c>
      <c r="E80" s="125">
        <f>IF($A80="","",SUMIFS(NKC!$H$7:$H$3006,NKC!$F$7:$F$3006,"131*",NKC!$I$7:$I$3006,$A80,NKC!$B$7:$B$3006,"&lt;="&amp;DEN_NGAY))</f>
        <v/>
      </c>
      <c r="F80" s="125">
        <f>IF($A80="","",SUMIFS(NKC!$H$7:$H$3006,NKC!$G$7:$G$3006,"131*",NKC!$I$7:$I$3006,$A80,NKC!$B$7:$B$3006,"&lt;="&amp;DEN_NGAY))</f>
        <v/>
      </c>
      <c r="G80" s="125">
        <f>IF($A80="","",MAX($C80-$D80+$E80-$F80,0))</f>
        <v/>
      </c>
      <c r="H80" s="125">
        <f>IF($A80="","",MAX(-($C80-$D80+$E80-$F80),0))</f>
        <v/>
      </c>
    </row>
    <row r="81" ht="15" customHeight="1" s="78">
      <c r="A81" s="96">
        <f>IF(DM_DT!$A80="","",DM_DT!$A80&amp;"")</f>
        <v/>
      </c>
      <c r="B81" s="97">
        <f>IF($A81="","",DM_DT!$B80)</f>
        <v/>
      </c>
      <c r="C81" s="125">
        <f>IF($A81="","",SUMIFS(SDDK!$D$256:$D$375,SDDK!$A$256:$A$375,"131",SDDK!$B$256:$B$375,$A81))</f>
        <v/>
      </c>
      <c r="D81" s="125">
        <f>IF($A81="","",SUMIFS(SDDK!$E$256:$E$375,SDDK!$A$256:$A$375,"131",SDDK!$B$256:$B$375,$A81))</f>
        <v/>
      </c>
      <c r="E81" s="125">
        <f>IF($A81="","",SUMIFS(NKC!$H$7:$H$3006,NKC!$F$7:$F$3006,"131*",NKC!$I$7:$I$3006,$A81,NKC!$B$7:$B$3006,"&lt;="&amp;DEN_NGAY))</f>
        <v/>
      </c>
      <c r="F81" s="125">
        <f>IF($A81="","",SUMIFS(NKC!$H$7:$H$3006,NKC!$G$7:$G$3006,"131*",NKC!$I$7:$I$3006,$A81,NKC!$B$7:$B$3006,"&lt;="&amp;DEN_NGAY))</f>
        <v/>
      </c>
      <c r="G81" s="125">
        <f>IF($A81="","",MAX($C81-$D81+$E81-$F81,0))</f>
        <v/>
      </c>
      <c r="H81" s="125">
        <f>IF($A81="","",MAX(-($C81-$D81+$E81-$F81),0))</f>
        <v/>
      </c>
    </row>
    <row r="82" ht="15" customHeight="1" s="78">
      <c r="A82" s="96">
        <f>IF(DM_DT!$A81="","",DM_DT!$A81&amp;"")</f>
        <v/>
      </c>
      <c r="B82" s="97">
        <f>IF($A82="","",DM_DT!$B81)</f>
        <v/>
      </c>
      <c r="C82" s="125">
        <f>IF($A82="","",SUMIFS(SDDK!$D$256:$D$375,SDDK!$A$256:$A$375,"131",SDDK!$B$256:$B$375,$A82))</f>
        <v/>
      </c>
      <c r="D82" s="125">
        <f>IF($A82="","",SUMIFS(SDDK!$E$256:$E$375,SDDK!$A$256:$A$375,"131",SDDK!$B$256:$B$375,$A82))</f>
        <v/>
      </c>
      <c r="E82" s="125">
        <f>IF($A82="","",SUMIFS(NKC!$H$7:$H$3006,NKC!$F$7:$F$3006,"131*",NKC!$I$7:$I$3006,$A82,NKC!$B$7:$B$3006,"&lt;="&amp;DEN_NGAY))</f>
        <v/>
      </c>
      <c r="F82" s="125">
        <f>IF($A82="","",SUMIFS(NKC!$H$7:$H$3006,NKC!$G$7:$G$3006,"131*",NKC!$I$7:$I$3006,$A82,NKC!$B$7:$B$3006,"&lt;="&amp;DEN_NGAY))</f>
        <v/>
      </c>
      <c r="G82" s="125">
        <f>IF($A82="","",MAX($C82-$D82+$E82-$F82,0))</f>
        <v/>
      </c>
      <c r="H82" s="125">
        <f>IF($A82="","",MAX(-($C82-$D82+$E82-$F82),0))</f>
        <v/>
      </c>
    </row>
    <row r="83" ht="15" customHeight="1" s="78">
      <c r="A83" s="96">
        <f>IF(DM_DT!$A82="","",DM_DT!$A82&amp;"")</f>
        <v/>
      </c>
      <c r="B83" s="97">
        <f>IF($A83="","",DM_DT!$B82)</f>
        <v/>
      </c>
      <c r="C83" s="125">
        <f>IF($A83="","",SUMIFS(SDDK!$D$256:$D$375,SDDK!$A$256:$A$375,"131",SDDK!$B$256:$B$375,$A83))</f>
        <v/>
      </c>
      <c r="D83" s="125">
        <f>IF($A83="","",SUMIFS(SDDK!$E$256:$E$375,SDDK!$A$256:$A$375,"131",SDDK!$B$256:$B$375,$A83))</f>
        <v/>
      </c>
      <c r="E83" s="125">
        <f>IF($A83="","",SUMIFS(NKC!$H$7:$H$3006,NKC!$F$7:$F$3006,"131*",NKC!$I$7:$I$3006,$A83,NKC!$B$7:$B$3006,"&lt;="&amp;DEN_NGAY))</f>
        <v/>
      </c>
      <c r="F83" s="125">
        <f>IF($A83="","",SUMIFS(NKC!$H$7:$H$3006,NKC!$G$7:$G$3006,"131*",NKC!$I$7:$I$3006,$A83,NKC!$B$7:$B$3006,"&lt;="&amp;DEN_NGAY))</f>
        <v/>
      </c>
      <c r="G83" s="125">
        <f>IF($A83="","",MAX($C83-$D83+$E83-$F83,0))</f>
        <v/>
      </c>
      <c r="H83" s="125">
        <f>IF($A83="","",MAX(-($C83-$D83+$E83-$F83),0))</f>
        <v/>
      </c>
    </row>
    <row r="84" ht="15" customHeight="1" s="78">
      <c r="A84" s="96">
        <f>IF(DM_DT!$A83="","",DM_DT!$A83&amp;"")</f>
        <v/>
      </c>
      <c r="B84" s="97">
        <f>IF($A84="","",DM_DT!$B83)</f>
        <v/>
      </c>
      <c r="C84" s="125">
        <f>IF($A84="","",SUMIFS(SDDK!$D$256:$D$375,SDDK!$A$256:$A$375,"131",SDDK!$B$256:$B$375,$A84))</f>
        <v/>
      </c>
      <c r="D84" s="125">
        <f>IF($A84="","",SUMIFS(SDDK!$E$256:$E$375,SDDK!$A$256:$A$375,"131",SDDK!$B$256:$B$375,$A84))</f>
        <v/>
      </c>
      <c r="E84" s="125">
        <f>IF($A84="","",SUMIFS(NKC!$H$7:$H$3006,NKC!$F$7:$F$3006,"131*",NKC!$I$7:$I$3006,$A84,NKC!$B$7:$B$3006,"&lt;="&amp;DEN_NGAY))</f>
        <v/>
      </c>
      <c r="F84" s="125">
        <f>IF($A84="","",SUMIFS(NKC!$H$7:$H$3006,NKC!$G$7:$G$3006,"131*",NKC!$I$7:$I$3006,$A84,NKC!$B$7:$B$3006,"&lt;="&amp;DEN_NGAY))</f>
        <v/>
      </c>
      <c r="G84" s="125">
        <f>IF($A84="","",MAX($C84-$D84+$E84-$F84,0))</f>
        <v/>
      </c>
      <c r="H84" s="125">
        <f>IF($A84="","",MAX(-($C84-$D84+$E84-$F84),0))</f>
        <v/>
      </c>
    </row>
    <row r="85" ht="15" customHeight="1" s="78">
      <c r="A85" s="96">
        <f>IF(DM_DT!$A84="","",DM_DT!$A84&amp;"")</f>
        <v/>
      </c>
      <c r="B85" s="97">
        <f>IF($A85="","",DM_DT!$B84)</f>
        <v/>
      </c>
      <c r="C85" s="125">
        <f>IF($A85="","",SUMIFS(SDDK!$D$256:$D$375,SDDK!$A$256:$A$375,"131",SDDK!$B$256:$B$375,$A85))</f>
        <v/>
      </c>
      <c r="D85" s="125">
        <f>IF($A85="","",SUMIFS(SDDK!$E$256:$E$375,SDDK!$A$256:$A$375,"131",SDDK!$B$256:$B$375,$A85))</f>
        <v/>
      </c>
      <c r="E85" s="125">
        <f>IF($A85="","",SUMIFS(NKC!$H$7:$H$3006,NKC!$F$7:$F$3006,"131*",NKC!$I$7:$I$3006,$A85,NKC!$B$7:$B$3006,"&lt;="&amp;DEN_NGAY))</f>
        <v/>
      </c>
      <c r="F85" s="125">
        <f>IF($A85="","",SUMIFS(NKC!$H$7:$H$3006,NKC!$G$7:$G$3006,"131*",NKC!$I$7:$I$3006,$A85,NKC!$B$7:$B$3006,"&lt;="&amp;DEN_NGAY))</f>
        <v/>
      </c>
      <c r="G85" s="125">
        <f>IF($A85="","",MAX($C85-$D85+$E85-$F85,0))</f>
        <v/>
      </c>
      <c r="H85" s="125">
        <f>IF($A85="","",MAX(-($C85-$D85+$E85-$F85),0))</f>
        <v/>
      </c>
    </row>
    <row r="86" ht="15" customHeight="1" s="78">
      <c r="A86" s="96">
        <f>IF(DM_DT!$A85="","",DM_DT!$A85&amp;"")</f>
        <v/>
      </c>
      <c r="B86" s="97">
        <f>IF($A86="","",DM_DT!$B85)</f>
        <v/>
      </c>
      <c r="C86" s="125">
        <f>IF($A86="","",SUMIFS(SDDK!$D$256:$D$375,SDDK!$A$256:$A$375,"131",SDDK!$B$256:$B$375,$A86))</f>
        <v/>
      </c>
      <c r="D86" s="125">
        <f>IF($A86="","",SUMIFS(SDDK!$E$256:$E$375,SDDK!$A$256:$A$375,"131",SDDK!$B$256:$B$375,$A86))</f>
        <v/>
      </c>
      <c r="E86" s="125">
        <f>IF($A86="","",SUMIFS(NKC!$H$7:$H$3006,NKC!$F$7:$F$3006,"131*",NKC!$I$7:$I$3006,$A86,NKC!$B$7:$B$3006,"&lt;="&amp;DEN_NGAY))</f>
        <v/>
      </c>
      <c r="F86" s="125">
        <f>IF($A86="","",SUMIFS(NKC!$H$7:$H$3006,NKC!$G$7:$G$3006,"131*",NKC!$I$7:$I$3006,$A86,NKC!$B$7:$B$3006,"&lt;="&amp;DEN_NGAY))</f>
        <v/>
      </c>
      <c r="G86" s="125">
        <f>IF($A86="","",MAX($C86-$D86+$E86-$F86,0))</f>
        <v/>
      </c>
      <c r="H86" s="125">
        <f>IF($A86="","",MAX(-($C86-$D86+$E86-$F86),0))</f>
        <v/>
      </c>
    </row>
    <row r="87" ht="15" customHeight="1" s="78">
      <c r="A87" s="96">
        <f>IF(DM_DT!$A86="","",DM_DT!$A86&amp;"")</f>
        <v/>
      </c>
      <c r="B87" s="97">
        <f>IF($A87="","",DM_DT!$B86)</f>
        <v/>
      </c>
      <c r="C87" s="125">
        <f>IF($A87="","",SUMIFS(SDDK!$D$256:$D$375,SDDK!$A$256:$A$375,"131",SDDK!$B$256:$B$375,$A87))</f>
        <v/>
      </c>
      <c r="D87" s="125">
        <f>IF($A87="","",SUMIFS(SDDK!$E$256:$E$375,SDDK!$A$256:$A$375,"131",SDDK!$B$256:$B$375,$A87))</f>
        <v/>
      </c>
      <c r="E87" s="125">
        <f>IF($A87="","",SUMIFS(NKC!$H$7:$H$3006,NKC!$F$7:$F$3006,"131*",NKC!$I$7:$I$3006,$A87,NKC!$B$7:$B$3006,"&lt;="&amp;DEN_NGAY))</f>
        <v/>
      </c>
      <c r="F87" s="125">
        <f>IF($A87="","",SUMIFS(NKC!$H$7:$H$3006,NKC!$G$7:$G$3006,"131*",NKC!$I$7:$I$3006,$A87,NKC!$B$7:$B$3006,"&lt;="&amp;DEN_NGAY))</f>
        <v/>
      </c>
      <c r="G87" s="125">
        <f>IF($A87="","",MAX($C87-$D87+$E87-$F87,0))</f>
        <v/>
      </c>
      <c r="H87" s="125">
        <f>IF($A87="","",MAX(-($C87-$D87+$E87-$F87),0))</f>
        <v/>
      </c>
    </row>
    <row r="88" ht="15" customHeight="1" s="78">
      <c r="A88" s="96">
        <f>IF(DM_DT!$A87="","",DM_DT!$A87&amp;"")</f>
        <v/>
      </c>
      <c r="B88" s="97">
        <f>IF($A88="","",DM_DT!$B87)</f>
        <v/>
      </c>
      <c r="C88" s="125">
        <f>IF($A88="","",SUMIFS(SDDK!$D$256:$D$375,SDDK!$A$256:$A$375,"131",SDDK!$B$256:$B$375,$A88))</f>
        <v/>
      </c>
      <c r="D88" s="125">
        <f>IF($A88="","",SUMIFS(SDDK!$E$256:$E$375,SDDK!$A$256:$A$375,"131",SDDK!$B$256:$B$375,$A88))</f>
        <v/>
      </c>
      <c r="E88" s="125">
        <f>IF($A88="","",SUMIFS(NKC!$H$7:$H$3006,NKC!$F$7:$F$3006,"131*",NKC!$I$7:$I$3006,$A88,NKC!$B$7:$B$3006,"&lt;="&amp;DEN_NGAY))</f>
        <v/>
      </c>
      <c r="F88" s="125">
        <f>IF($A88="","",SUMIFS(NKC!$H$7:$H$3006,NKC!$G$7:$G$3006,"131*",NKC!$I$7:$I$3006,$A88,NKC!$B$7:$B$3006,"&lt;="&amp;DEN_NGAY))</f>
        <v/>
      </c>
      <c r="G88" s="125">
        <f>IF($A88="","",MAX($C88-$D88+$E88-$F88,0))</f>
        <v/>
      </c>
      <c r="H88" s="125">
        <f>IF($A88="","",MAX(-($C88-$D88+$E88-$F88),0))</f>
        <v/>
      </c>
    </row>
    <row r="89" ht="15" customHeight="1" s="78">
      <c r="A89" s="96">
        <f>IF(DM_DT!$A88="","",DM_DT!$A88&amp;"")</f>
        <v/>
      </c>
      <c r="B89" s="97">
        <f>IF($A89="","",DM_DT!$B88)</f>
        <v/>
      </c>
      <c r="C89" s="125">
        <f>IF($A89="","",SUMIFS(SDDK!$D$256:$D$375,SDDK!$A$256:$A$375,"131",SDDK!$B$256:$B$375,$A89))</f>
        <v/>
      </c>
      <c r="D89" s="125">
        <f>IF($A89="","",SUMIFS(SDDK!$E$256:$E$375,SDDK!$A$256:$A$375,"131",SDDK!$B$256:$B$375,$A89))</f>
        <v/>
      </c>
      <c r="E89" s="125">
        <f>IF($A89="","",SUMIFS(NKC!$H$7:$H$3006,NKC!$F$7:$F$3006,"131*",NKC!$I$7:$I$3006,$A89,NKC!$B$7:$B$3006,"&lt;="&amp;DEN_NGAY))</f>
        <v/>
      </c>
      <c r="F89" s="125">
        <f>IF($A89="","",SUMIFS(NKC!$H$7:$H$3006,NKC!$G$7:$G$3006,"131*",NKC!$I$7:$I$3006,$A89,NKC!$B$7:$B$3006,"&lt;="&amp;DEN_NGAY))</f>
        <v/>
      </c>
      <c r="G89" s="125">
        <f>IF($A89="","",MAX($C89-$D89+$E89-$F89,0))</f>
        <v/>
      </c>
      <c r="H89" s="125">
        <f>IF($A89="","",MAX(-($C89-$D89+$E89-$F89),0))</f>
        <v/>
      </c>
    </row>
    <row r="90" ht="15" customHeight="1" s="78">
      <c r="A90" s="96">
        <f>IF(DM_DT!$A89="","",DM_DT!$A89&amp;"")</f>
        <v/>
      </c>
      <c r="B90" s="97">
        <f>IF($A90="","",DM_DT!$B89)</f>
        <v/>
      </c>
      <c r="C90" s="125">
        <f>IF($A90="","",SUMIFS(SDDK!$D$256:$D$375,SDDK!$A$256:$A$375,"131",SDDK!$B$256:$B$375,$A90))</f>
        <v/>
      </c>
      <c r="D90" s="125">
        <f>IF($A90="","",SUMIFS(SDDK!$E$256:$E$375,SDDK!$A$256:$A$375,"131",SDDK!$B$256:$B$375,$A90))</f>
        <v/>
      </c>
      <c r="E90" s="125">
        <f>IF($A90="","",SUMIFS(NKC!$H$7:$H$3006,NKC!$F$7:$F$3006,"131*",NKC!$I$7:$I$3006,$A90,NKC!$B$7:$B$3006,"&lt;="&amp;DEN_NGAY))</f>
        <v/>
      </c>
      <c r="F90" s="125">
        <f>IF($A90="","",SUMIFS(NKC!$H$7:$H$3006,NKC!$G$7:$G$3006,"131*",NKC!$I$7:$I$3006,$A90,NKC!$B$7:$B$3006,"&lt;="&amp;DEN_NGAY))</f>
        <v/>
      </c>
      <c r="G90" s="125">
        <f>IF($A90="","",MAX($C90-$D90+$E90-$F90,0))</f>
        <v/>
      </c>
      <c r="H90" s="125">
        <f>IF($A90="","",MAX(-($C90-$D90+$E90-$F90),0))</f>
        <v/>
      </c>
    </row>
    <row r="91" ht="15" customHeight="1" s="78">
      <c r="A91" s="96">
        <f>IF(DM_DT!$A90="","",DM_DT!$A90&amp;"")</f>
        <v/>
      </c>
      <c r="B91" s="97">
        <f>IF($A91="","",DM_DT!$B90)</f>
        <v/>
      </c>
      <c r="C91" s="125">
        <f>IF($A91="","",SUMIFS(SDDK!$D$256:$D$375,SDDK!$A$256:$A$375,"131",SDDK!$B$256:$B$375,$A91))</f>
        <v/>
      </c>
      <c r="D91" s="125">
        <f>IF($A91="","",SUMIFS(SDDK!$E$256:$E$375,SDDK!$A$256:$A$375,"131",SDDK!$B$256:$B$375,$A91))</f>
        <v/>
      </c>
      <c r="E91" s="125">
        <f>IF($A91="","",SUMIFS(NKC!$H$7:$H$3006,NKC!$F$7:$F$3006,"131*",NKC!$I$7:$I$3006,$A91,NKC!$B$7:$B$3006,"&lt;="&amp;DEN_NGAY))</f>
        <v/>
      </c>
      <c r="F91" s="125">
        <f>IF($A91="","",SUMIFS(NKC!$H$7:$H$3006,NKC!$G$7:$G$3006,"131*",NKC!$I$7:$I$3006,$A91,NKC!$B$7:$B$3006,"&lt;="&amp;DEN_NGAY))</f>
        <v/>
      </c>
      <c r="G91" s="125">
        <f>IF($A91="","",MAX($C91-$D91+$E91-$F91,0))</f>
        <v/>
      </c>
      <c r="H91" s="125">
        <f>IF($A91="","",MAX(-($C91-$D91+$E91-$F91),0))</f>
        <v/>
      </c>
    </row>
    <row r="92" ht="15" customHeight="1" s="78">
      <c r="A92" s="96">
        <f>IF(DM_DT!$A91="","",DM_DT!$A91&amp;"")</f>
        <v/>
      </c>
      <c r="B92" s="97">
        <f>IF($A92="","",DM_DT!$B91)</f>
        <v/>
      </c>
      <c r="C92" s="125">
        <f>IF($A92="","",SUMIFS(SDDK!$D$256:$D$375,SDDK!$A$256:$A$375,"131",SDDK!$B$256:$B$375,$A92))</f>
        <v/>
      </c>
      <c r="D92" s="125">
        <f>IF($A92="","",SUMIFS(SDDK!$E$256:$E$375,SDDK!$A$256:$A$375,"131",SDDK!$B$256:$B$375,$A92))</f>
        <v/>
      </c>
      <c r="E92" s="125">
        <f>IF($A92="","",SUMIFS(NKC!$H$7:$H$3006,NKC!$F$7:$F$3006,"131*",NKC!$I$7:$I$3006,$A92,NKC!$B$7:$B$3006,"&lt;="&amp;DEN_NGAY))</f>
        <v/>
      </c>
      <c r="F92" s="125">
        <f>IF($A92="","",SUMIFS(NKC!$H$7:$H$3006,NKC!$G$7:$G$3006,"131*",NKC!$I$7:$I$3006,$A92,NKC!$B$7:$B$3006,"&lt;="&amp;DEN_NGAY))</f>
        <v/>
      </c>
      <c r="G92" s="125">
        <f>IF($A92="","",MAX($C92-$D92+$E92-$F92,0))</f>
        <v/>
      </c>
      <c r="H92" s="125">
        <f>IF($A92="","",MAX(-($C92-$D92+$E92-$F92),0))</f>
        <v/>
      </c>
    </row>
    <row r="93" ht="15" customHeight="1" s="78">
      <c r="A93" s="96">
        <f>IF(DM_DT!$A92="","",DM_DT!$A92&amp;"")</f>
        <v/>
      </c>
      <c r="B93" s="97">
        <f>IF($A93="","",DM_DT!$B92)</f>
        <v/>
      </c>
      <c r="C93" s="125">
        <f>IF($A93="","",SUMIFS(SDDK!$D$256:$D$375,SDDK!$A$256:$A$375,"131",SDDK!$B$256:$B$375,$A93))</f>
        <v/>
      </c>
      <c r="D93" s="125">
        <f>IF($A93="","",SUMIFS(SDDK!$E$256:$E$375,SDDK!$A$256:$A$375,"131",SDDK!$B$256:$B$375,$A93))</f>
        <v/>
      </c>
      <c r="E93" s="125">
        <f>IF($A93="","",SUMIFS(NKC!$H$7:$H$3006,NKC!$F$7:$F$3006,"131*",NKC!$I$7:$I$3006,$A93,NKC!$B$7:$B$3006,"&lt;="&amp;DEN_NGAY))</f>
        <v/>
      </c>
      <c r="F93" s="125">
        <f>IF($A93="","",SUMIFS(NKC!$H$7:$H$3006,NKC!$G$7:$G$3006,"131*",NKC!$I$7:$I$3006,$A93,NKC!$B$7:$B$3006,"&lt;="&amp;DEN_NGAY))</f>
        <v/>
      </c>
      <c r="G93" s="125">
        <f>IF($A93="","",MAX($C93-$D93+$E93-$F93,0))</f>
        <v/>
      </c>
      <c r="H93" s="125">
        <f>IF($A93="","",MAX(-($C93-$D93+$E93-$F93),0))</f>
        <v/>
      </c>
    </row>
    <row r="94" ht="15" customHeight="1" s="78">
      <c r="A94" s="96">
        <f>IF(DM_DT!$A93="","",DM_DT!$A93&amp;"")</f>
        <v/>
      </c>
      <c r="B94" s="97">
        <f>IF($A94="","",DM_DT!$B93)</f>
        <v/>
      </c>
      <c r="C94" s="125">
        <f>IF($A94="","",SUMIFS(SDDK!$D$256:$D$375,SDDK!$A$256:$A$375,"131",SDDK!$B$256:$B$375,$A94))</f>
        <v/>
      </c>
      <c r="D94" s="125">
        <f>IF($A94="","",SUMIFS(SDDK!$E$256:$E$375,SDDK!$A$256:$A$375,"131",SDDK!$B$256:$B$375,$A94))</f>
        <v/>
      </c>
      <c r="E94" s="125">
        <f>IF($A94="","",SUMIFS(NKC!$H$7:$H$3006,NKC!$F$7:$F$3006,"131*",NKC!$I$7:$I$3006,$A94,NKC!$B$7:$B$3006,"&lt;="&amp;DEN_NGAY))</f>
        <v/>
      </c>
      <c r="F94" s="125">
        <f>IF($A94="","",SUMIFS(NKC!$H$7:$H$3006,NKC!$G$7:$G$3006,"131*",NKC!$I$7:$I$3006,$A94,NKC!$B$7:$B$3006,"&lt;="&amp;DEN_NGAY))</f>
        <v/>
      </c>
      <c r="G94" s="125">
        <f>IF($A94="","",MAX($C94-$D94+$E94-$F94,0))</f>
        <v/>
      </c>
      <c r="H94" s="125">
        <f>IF($A94="","",MAX(-($C94-$D94+$E94-$F94),0))</f>
        <v/>
      </c>
    </row>
    <row r="95" ht="15" customHeight="1" s="78">
      <c r="A95" s="96">
        <f>IF(DM_DT!$A94="","",DM_DT!$A94&amp;"")</f>
        <v/>
      </c>
      <c r="B95" s="97">
        <f>IF($A95="","",DM_DT!$B94)</f>
        <v/>
      </c>
      <c r="C95" s="125">
        <f>IF($A95="","",SUMIFS(SDDK!$D$256:$D$375,SDDK!$A$256:$A$375,"131",SDDK!$B$256:$B$375,$A95))</f>
        <v/>
      </c>
      <c r="D95" s="125">
        <f>IF($A95="","",SUMIFS(SDDK!$E$256:$E$375,SDDK!$A$256:$A$375,"131",SDDK!$B$256:$B$375,$A95))</f>
        <v/>
      </c>
      <c r="E95" s="125">
        <f>IF($A95="","",SUMIFS(NKC!$H$7:$H$3006,NKC!$F$7:$F$3006,"131*",NKC!$I$7:$I$3006,$A95,NKC!$B$7:$B$3006,"&lt;="&amp;DEN_NGAY))</f>
        <v/>
      </c>
      <c r="F95" s="125">
        <f>IF($A95="","",SUMIFS(NKC!$H$7:$H$3006,NKC!$G$7:$G$3006,"131*",NKC!$I$7:$I$3006,$A95,NKC!$B$7:$B$3006,"&lt;="&amp;DEN_NGAY))</f>
        <v/>
      </c>
      <c r="G95" s="125">
        <f>IF($A95="","",MAX($C95-$D95+$E95-$F95,0))</f>
        <v/>
      </c>
      <c r="H95" s="125">
        <f>IF($A95="","",MAX(-($C95-$D95+$E95-$F95),0))</f>
        <v/>
      </c>
    </row>
    <row r="96" ht="15" customHeight="1" s="78">
      <c r="A96" s="96">
        <f>IF(DM_DT!$A95="","",DM_DT!$A95&amp;"")</f>
        <v/>
      </c>
      <c r="B96" s="97">
        <f>IF($A96="","",DM_DT!$B95)</f>
        <v/>
      </c>
      <c r="C96" s="125">
        <f>IF($A96="","",SUMIFS(SDDK!$D$256:$D$375,SDDK!$A$256:$A$375,"131",SDDK!$B$256:$B$375,$A96))</f>
        <v/>
      </c>
      <c r="D96" s="125">
        <f>IF($A96="","",SUMIFS(SDDK!$E$256:$E$375,SDDK!$A$256:$A$375,"131",SDDK!$B$256:$B$375,$A96))</f>
        <v/>
      </c>
      <c r="E96" s="125">
        <f>IF($A96="","",SUMIFS(NKC!$H$7:$H$3006,NKC!$F$7:$F$3006,"131*",NKC!$I$7:$I$3006,$A96,NKC!$B$7:$B$3006,"&lt;="&amp;DEN_NGAY))</f>
        <v/>
      </c>
      <c r="F96" s="125">
        <f>IF($A96="","",SUMIFS(NKC!$H$7:$H$3006,NKC!$G$7:$G$3006,"131*",NKC!$I$7:$I$3006,$A96,NKC!$B$7:$B$3006,"&lt;="&amp;DEN_NGAY))</f>
        <v/>
      </c>
      <c r="G96" s="125">
        <f>IF($A96="","",MAX($C96-$D96+$E96-$F96,0))</f>
        <v/>
      </c>
      <c r="H96" s="125">
        <f>IF($A96="","",MAX(-($C96-$D96+$E96-$F96),0))</f>
        <v/>
      </c>
    </row>
    <row r="97" ht="15" customHeight="1" s="78">
      <c r="A97" s="96">
        <f>IF(DM_DT!$A96="","",DM_DT!$A96&amp;"")</f>
        <v/>
      </c>
      <c r="B97" s="97">
        <f>IF($A97="","",DM_DT!$B96)</f>
        <v/>
      </c>
      <c r="C97" s="125">
        <f>IF($A97="","",SUMIFS(SDDK!$D$256:$D$375,SDDK!$A$256:$A$375,"131",SDDK!$B$256:$B$375,$A97))</f>
        <v/>
      </c>
      <c r="D97" s="125">
        <f>IF($A97="","",SUMIFS(SDDK!$E$256:$E$375,SDDK!$A$256:$A$375,"131",SDDK!$B$256:$B$375,$A97))</f>
        <v/>
      </c>
      <c r="E97" s="125">
        <f>IF($A97="","",SUMIFS(NKC!$H$7:$H$3006,NKC!$F$7:$F$3006,"131*",NKC!$I$7:$I$3006,$A97,NKC!$B$7:$B$3006,"&lt;="&amp;DEN_NGAY))</f>
        <v/>
      </c>
      <c r="F97" s="125">
        <f>IF($A97="","",SUMIFS(NKC!$H$7:$H$3006,NKC!$G$7:$G$3006,"131*",NKC!$I$7:$I$3006,$A97,NKC!$B$7:$B$3006,"&lt;="&amp;DEN_NGAY))</f>
        <v/>
      </c>
      <c r="G97" s="125">
        <f>IF($A97="","",MAX($C97-$D97+$E97-$F97,0))</f>
        <v/>
      </c>
      <c r="H97" s="125">
        <f>IF($A97="","",MAX(-($C97-$D97+$E97-$F97),0))</f>
        <v/>
      </c>
    </row>
    <row r="98" ht="15" customHeight="1" s="78">
      <c r="A98" s="96">
        <f>IF(DM_DT!$A97="","",DM_DT!$A97&amp;"")</f>
        <v/>
      </c>
      <c r="B98" s="97">
        <f>IF($A98="","",DM_DT!$B97)</f>
        <v/>
      </c>
      <c r="C98" s="125">
        <f>IF($A98="","",SUMIFS(SDDK!$D$256:$D$375,SDDK!$A$256:$A$375,"131",SDDK!$B$256:$B$375,$A98))</f>
        <v/>
      </c>
      <c r="D98" s="125">
        <f>IF($A98="","",SUMIFS(SDDK!$E$256:$E$375,SDDK!$A$256:$A$375,"131",SDDK!$B$256:$B$375,$A98))</f>
        <v/>
      </c>
      <c r="E98" s="125">
        <f>IF($A98="","",SUMIFS(NKC!$H$7:$H$3006,NKC!$F$7:$F$3006,"131*",NKC!$I$7:$I$3006,$A98,NKC!$B$7:$B$3006,"&lt;="&amp;DEN_NGAY))</f>
        <v/>
      </c>
      <c r="F98" s="125">
        <f>IF($A98="","",SUMIFS(NKC!$H$7:$H$3006,NKC!$G$7:$G$3006,"131*",NKC!$I$7:$I$3006,$A98,NKC!$B$7:$B$3006,"&lt;="&amp;DEN_NGAY))</f>
        <v/>
      </c>
      <c r="G98" s="125">
        <f>IF($A98="","",MAX($C98-$D98+$E98-$F98,0))</f>
        <v/>
      </c>
      <c r="H98" s="125">
        <f>IF($A98="","",MAX(-($C98-$D98+$E98-$F98),0))</f>
        <v/>
      </c>
    </row>
    <row r="99" ht="15" customHeight="1" s="78">
      <c r="A99" s="96">
        <f>IF(DM_DT!$A98="","",DM_DT!$A98&amp;"")</f>
        <v/>
      </c>
      <c r="B99" s="97">
        <f>IF($A99="","",DM_DT!$B98)</f>
        <v/>
      </c>
      <c r="C99" s="125">
        <f>IF($A99="","",SUMIFS(SDDK!$D$256:$D$375,SDDK!$A$256:$A$375,"131",SDDK!$B$256:$B$375,$A99))</f>
        <v/>
      </c>
      <c r="D99" s="125">
        <f>IF($A99="","",SUMIFS(SDDK!$E$256:$E$375,SDDK!$A$256:$A$375,"131",SDDK!$B$256:$B$375,$A99))</f>
        <v/>
      </c>
      <c r="E99" s="125">
        <f>IF($A99="","",SUMIFS(NKC!$H$7:$H$3006,NKC!$F$7:$F$3006,"131*",NKC!$I$7:$I$3006,$A99,NKC!$B$7:$B$3006,"&lt;="&amp;DEN_NGAY))</f>
        <v/>
      </c>
      <c r="F99" s="125">
        <f>IF($A99="","",SUMIFS(NKC!$H$7:$H$3006,NKC!$G$7:$G$3006,"131*",NKC!$I$7:$I$3006,$A99,NKC!$B$7:$B$3006,"&lt;="&amp;DEN_NGAY))</f>
        <v/>
      </c>
      <c r="G99" s="125">
        <f>IF($A99="","",MAX($C99-$D99+$E99-$F99,0))</f>
        <v/>
      </c>
      <c r="H99" s="125">
        <f>IF($A99="","",MAX(-($C99-$D99+$E99-$F99),0))</f>
        <v/>
      </c>
    </row>
    <row r="100" ht="15" customHeight="1" s="78">
      <c r="A100" s="96">
        <f>IF(DM_DT!$A99="","",DM_DT!$A99&amp;"")</f>
        <v/>
      </c>
      <c r="B100" s="97">
        <f>IF($A100="","",DM_DT!$B99)</f>
        <v/>
      </c>
      <c r="C100" s="125">
        <f>IF($A100="","",SUMIFS(SDDK!$D$256:$D$375,SDDK!$A$256:$A$375,"131",SDDK!$B$256:$B$375,$A100))</f>
        <v/>
      </c>
      <c r="D100" s="125">
        <f>IF($A100="","",SUMIFS(SDDK!$E$256:$E$375,SDDK!$A$256:$A$375,"131",SDDK!$B$256:$B$375,$A100))</f>
        <v/>
      </c>
      <c r="E100" s="125">
        <f>IF($A100="","",SUMIFS(NKC!$H$7:$H$3006,NKC!$F$7:$F$3006,"131*",NKC!$I$7:$I$3006,$A100,NKC!$B$7:$B$3006,"&lt;="&amp;DEN_NGAY))</f>
        <v/>
      </c>
      <c r="F100" s="125">
        <f>IF($A100="","",SUMIFS(NKC!$H$7:$H$3006,NKC!$G$7:$G$3006,"131*",NKC!$I$7:$I$3006,$A100,NKC!$B$7:$B$3006,"&lt;="&amp;DEN_NGAY))</f>
        <v/>
      </c>
      <c r="G100" s="125">
        <f>IF($A100="","",MAX($C100-$D100+$E100-$F100,0))</f>
        <v/>
      </c>
      <c r="H100" s="125">
        <f>IF($A100="","",MAX(-($C100-$D100+$E100-$F100),0))</f>
        <v/>
      </c>
    </row>
    <row r="101" ht="15" customHeight="1" s="78">
      <c r="A101" s="96">
        <f>IF(DM_DT!$A100="","",DM_DT!$A100&amp;"")</f>
        <v/>
      </c>
      <c r="B101" s="97">
        <f>IF($A101="","",DM_DT!$B100)</f>
        <v/>
      </c>
      <c r="C101" s="125">
        <f>IF($A101="","",SUMIFS(SDDK!$D$256:$D$375,SDDK!$A$256:$A$375,"131",SDDK!$B$256:$B$375,$A101))</f>
        <v/>
      </c>
      <c r="D101" s="125">
        <f>IF($A101="","",SUMIFS(SDDK!$E$256:$E$375,SDDK!$A$256:$A$375,"131",SDDK!$B$256:$B$375,$A101))</f>
        <v/>
      </c>
      <c r="E101" s="125">
        <f>IF($A101="","",SUMIFS(NKC!$H$7:$H$3006,NKC!$F$7:$F$3006,"131*",NKC!$I$7:$I$3006,$A101,NKC!$B$7:$B$3006,"&lt;="&amp;DEN_NGAY))</f>
        <v/>
      </c>
      <c r="F101" s="125">
        <f>IF($A101="","",SUMIFS(NKC!$H$7:$H$3006,NKC!$G$7:$G$3006,"131*",NKC!$I$7:$I$3006,$A101,NKC!$B$7:$B$3006,"&lt;="&amp;DEN_NGAY))</f>
        <v/>
      </c>
      <c r="G101" s="125">
        <f>IF($A101="","",MAX($C101-$D101+$E101-$F101,0))</f>
        <v/>
      </c>
      <c r="H101" s="125">
        <f>IF($A101="","",MAX(-($C101-$D101+$E101-$F101),0))</f>
        <v/>
      </c>
    </row>
    <row r="102" ht="15" customHeight="1" s="78">
      <c r="A102" s="96">
        <f>IF(DM_DT!$A101="","",DM_DT!$A101&amp;"")</f>
        <v/>
      </c>
      <c r="B102" s="97">
        <f>IF($A102="","",DM_DT!$B101)</f>
        <v/>
      </c>
      <c r="C102" s="125">
        <f>IF($A102="","",SUMIFS(SDDK!$D$256:$D$375,SDDK!$A$256:$A$375,"131",SDDK!$B$256:$B$375,$A102))</f>
        <v/>
      </c>
      <c r="D102" s="125">
        <f>IF($A102="","",SUMIFS(SDDK!$E$256:$E$375,SDDK!$A$256:$A$375,"131",SDDK!$B$256:$B$375,$A102))</f>
        <v/>
      </c>
      <c r="E102" s="125">
        <f>IF($A102="","",SUMIFS(NKC!$H$7:$H$3006,NKC!$F$7:$F$3006,"131*",NKC!$I$7:$I$3006,$A102,NKC!$B$7:$B$3006,"&lt;="&amp;DEN_NGAY))</f>
        <v/>
      </c>
      <c r="F102" s="125">
        <f>IF($A102="","",SUMIFS(NKC!$H$7:$H$3006,NKC!$G$7:$G$3006,"131*",NKC!$I$7:$I$3006,$A102,NKC!$B$7:$B$3006,"&lt;="&amp;DEN_NGAY))</f>
        <v/>
      </c>
      <c r="G102" s="125">
        <f>IF($A102="","",MAX($C102-$D102+$E102-$F102,0))</f>
        <v/>
      </c>
      <c r="H102" s="125">
        <f>IF($A102="","",MAX(-($C102-$D102+$E102-$F102),0))</f>
        <v/>
      </c>
    </row>
    <row r="103" ht="15" customHeight="1" s="78">
      <c r="A103" s="96">
        <f>IF(DM_DT!$A102="","",DM_DT!$A102&amp;"")</f>
        <v/>
      </c>
      <c r="B103" s="97">
        <f>IF($A103="","",DM_DT!$B102)</f>
        <v/>
      </c>
      <c r="C103" s="125">
        <f>IF($A103="","",SUMIFS(SDDK!$D$256:$D$375,SDDK!$A$256:$A$375,"131",SDDK!$B$256:$B$375,$A103))</f>
        <v/>
      </c>
      <c r="D103" s="125">
        <f>IF($A103="","",SUMIFS(SDDK!$E$256:$E$375,SDDK!$A$256:$A$375,"131",SDDK!$B$256:$B$375,$A103))</f>
        <v/>
      </c>
      <c r="E103" s="125">
        <f>IF($A103="","",SUMIFS(NKC!$H$7:$H$3006,NKC!$F$7:$F$3006,"131*",NKC!$I$7:$I$3006,$A103,NKC!$B$7:$B$3006,"&lt;="&amp;DEN_NGAY))</f>
        <v/>
      </c>
      <c r="F103" s="125">
        <f>IF($A103="","",SUMIFS(NKC!$H$7:$H$3006,NKC!$G$7:$G$3006,"131*",NKC!$I$7:$I$3006,$A103,NKC!$B$7:$B$3006,"&lt;="&amp;DEN_NGAY))</f>
        <v/>
      </c>
      <c r="G103" s="125">
        <f>IF($A103="","",MAX($C103-$D103+$E103-$F103,0))</f>
        <v/>
      </c>
      <c r="H103" s="125">
        <f>IF($A103="","",MAX(-($C103-$D103+$E103-$F103),0))</f>
        <v/>
      </c>
    </row>
    <row r="104" ht="15" customHeight="1" s="78">
      <c r="A104" s="96">
        <f>IF(DM_DT!$A103="","",DM_DT!$A103&amp;"")</f>
        <v/>
      </c>
      <c r="B104" s="97">
        <f>IF($A104="","",DM_DT!$B103)</f>
        <v/>
      </c>
      <c r="C104" s="125">
        <f>IF($A104="","",SUMIFS(SDDK!$D$256:$D$375,SDDK!$A$256:$A$375,"131",SDDK!$B$256:$B$375,$A104))</f>
        <v/>
      </c>
      <c r="D104" s="125">
        <f>IF($A104="","",SUMIFS(SDDK!$E$256:$E$375,SDDK!$A$256:$A$375,"131",SDDK!$B$256:$B$375,$A104))</f>
        <v/>
      </c>
      <c r="E104" s="125">
        <f>IF($A104="","",SUMIFS(NKC!$H$7:$H$3006,NKC!$F$7:$F$3006,"131*",NKC!$I$7:$I$3006,$A104,NKC!$B$7:$B$3006,"&lt;="&amp;DEN_NGAY))</f>
        <v/>
      </c>
      <c r="F104" s="125">
        <f>IF($A104="","",SUMIFS(NKC!$H$7:$H$3006,NKC!$G$7:$G$3006,"131*",NKC!$I$7:$I$3006,$A104,NKC!$B$7:$B$3006,"&lt;="&amp;DEN_NGAY))</f>
        <v/>
      </c>
      <c r="G104" s="125">
        <f>IF($A104="","",MAX($C104-$D104+$E104-$F104,0))</f>
        <v/>
      </c>
      <c r="H104" s="125">
        <f>IF($A104="","",MAX(-($C104-$D104+$E104-$F104),0))</f>
        <v/>
      </c>
    </row>
    <row r="105" ht="15" customHeight="1" s="78">
      <c r="A105" s="96">
        <f>IF(DM_DT!$A104="","",DM_DT!$A104&amp;"")</f>
        <v/>
      </c>
      <c r="B105" s="97">
        <f>IF($A105="","",DM_DT!$B104)</f>
        <v/>
      </c>
      <c r="C105" s="125">
        <f>IF($A105="","",SUMIFS(SDDK!$D$256:$D$375,SDDK!$A$256:$A$375,"131",SDDK!$B$256:$B$375,$A105))</f>
        <v/>
      </c>
      <c r="D105" s="125">
        <f>IF($A105="","",SUMIFS(SDDK!$E$256:$E$375,SDDK!$A$256:$A$375,"131",SDDK!$B$256:$B$375,$A105))</f>
        <v/>
      </c>
      <c r="E105" s="125">
        <f>IF($A105="","",SUMIFS(NKC!$H$7:$H$3006,NKC!$F$7:$F$3006,"131*",NKC!$I$7:$I$3006,$A105,NKC!$B$7:$B$3006,"&lt;="&amp;DEN_NGAY))</f>
        <v/>
      </c>
      <c r="F105" s="125">
        <f>IF($A105="","",SUMIFS(NKC!$H$7:$H$3006,NKC!$G$7:$G$3006,"131*",NKC!$I$7:$I$3006,$A105,NKC!$B$7:$B$3006,"&lt;="&amp;DEN_NGAY))</f>
        <v/>
      </c>
      <c r="G105" s="125">
        <f>IF($A105="","",MAX($C105-$D105+$E105-$F105,0))</f>
        <v/>
      </c>
      <c r="H105" s="125">
        <f>IF($A105="","",MAX(-($C105-$D105+$E105-$F105),0))</f>
        <v/>
      </c>
    </row>
    <row r="106" ht="15" customHeight="1" s="78">
      <c r="A106" s="96">
        <f>IF(DM_DT!$A105="","",DM_DT!$A105&amp;"")</f>
        <v/>
      </c>
      <c r="B106" s="97">
        <f>IF($A106="","",DM_DT!$B105)</f>
        <v/>
      </c>
      <c r="C106" s="125">
        <f>IF($A106="","",SUMIFS(SDDK!$D$256:$D$375,SDDK!$A$256:$A$375,"131",SDDK!$B$256:$B$375,$A106))</f>
        <v/>
      </c>
      <c r="D106" s="125">
        <f>IF($A106="","",SUMIFS(SDDK!$E$256:$E$375,SDDK!$A$256:$A$375,"131",SDDK!$B$256:$B$375,$A106))</f>
        <v/>
      </c>
      <c r="E106" s="125">
        <f>IF($A106="","",SUMIFS(NKC!$H$7:$H$3006,NKC!$F$7:$F$3006,"131*",NKC!$I$7:$I$3006,$A106,NKC!$B$7:$B$3006,"&lt;="&amp;DEN_NGAY))</f>
        <v/>
      </c>
      <c r="F106" s="125">
        <f>IF($A106="","",SUMIFS(NKC!$H$7:$H$3006,NKC!$G$7:$G$3006,"131*",NKC!$I$7:$I$3006,$A106,NKC!$B$7:$B$3006,"&lt;="&amp;DEN_NGAY))</f>
        <v/>
      </c>
      <c r="G106" s="125">
        <f>IF($A106="","",MAX($C106-$D106+$E106-$F106,0))</f>
        <v/>
      </c>
      <c r="H106" s="125">
        <f>IF($A106="","",MAX(-($C106-$D106+$E106-$F106),0))</f>
        <v/>
      </c>
    </row>
    <row r="107" ht="15" customHeight="1" s="78">
      <c r="A107" s="96">
        <f>IF(DM_DT!$A106="","",DM_DT!$A106&amp;"")</f>
        <v/>
      </c>
      <c r="B107" s="97">
        <f>IF($A107="","",DM_DT!$B106)</f>
        <v/>
      </c>
      <c r="C107" s="125">
        <f>IF($A107="","",SUMIFS(SDDK!$D$256:$D$375,SDDK!$A$256:$A$375,"131",SDDK!$B$256:$B$375,$A107))</f>
        <v/>
      </c>
      <c r="D107" s="125">
        <f>IF($A107="","",SUMIFS(SDDK!$E$256:$E$375,SDDK!$A$256:$A$375,"131",SDDK!$B$256:$B$375,$A107))</f>
        <v/>
      </c>
      <c r="E107" s="125">
        <f>IF($A107="","",SUMIFS(NKC!$H$7:$H$3006,NKC!$F$7:$F$3006,"131*",NKC!$I$7:$I$3006,$A107,NKC!$B$7:$B$3006,"&lt;="&amp;DEN_NGAY))</f>
        <v/>
      </c>
      <c r="F107" s="125">
        <f>IF($A107="","",SUMIFS(NKC!$H$7:$H$3006,NKC!$G$7:$G$3006,"131*",NKC!$I$7:$I$3006,$A107,NKC!$B$7:$B$3006,"&lt;="&amp;DEN_NGAY))</f>
        <v/>
      </c>
      <c r="G107" s="125">
        <f>IF($A107="","",MAX($C107-$D107+$E107-$F107,0))</f>
        <v/>
      </c>
      <c r="H107" s="125">
        <f>IF($A107="","",MAX(-($C107-$D107+$E107-$F107),0))</f>
        <v/>
      </c>
    </row>
    <row r="108" ht="15" customHeight="1" s="78">
      <c r="A108" s="96">
        <f>IF(DM_DT!$A107="","",DM_DT!$A107&amp;"")</f>
        <v/>
      </c>
      <c r="B108" s="97">
        <f>IF($A108="","",DM_DT!$B107)</f>
        <v/>
      </c>
      <c r="C108" s="125">
        <f>IF($A108="","",SUMIFS(SDDK!$D$256:$D$375,SDDK!$A$256:$A$375,"131",SDDK!$B$256:$B$375,$A108))</f>
        <v/>
      </c>
      <c r="D108" s="125">
        <f>IF($A108="","",SUMIFS(SDDK!$E$256:$E$375,SDDK!$A$256:$A$375,"131",SDDK!$B$256:$B$375,$A108))</f>
        <v/>
      </c>
      <c r="E108" s="125">
        <f>IF($A108="","",SUMIFS(NKC!$H$7:$H$3006,NKC!$F$7:$F$3006,"131*",NKC!$I$7:$I$3006,$A108,NKC!$B$7:$B$3006,"&lt;="&amp;DEN_NGAY))</f>
        <v/>
      </c>
      <c r="F108" s="125">
        <f>IF($A108="","",SUMIFS(NKC!$H$7:$H$3006,NKC!$G$7:$G$3006,"131*",NKC!$I$7:$I$3006,$A108,NKC!$B$7:$B$3006,"&lt;="&amp;DEN_NGAY))</f>
        <v/>
      </c>
      <c r="G108" s="125">
        <f>IF($A108="","",MAX($C108-$D108+$E108-$F108,0))</f>
        <v/>
      </c>
      <c r="H108" s="125">
        <f>IF($A108="","",MAX(-($C108-$D108+$E108-$F108),0))</f>
        <v/>
      </c>
    </row>
    <row r="109" ht="15" customHeight="1" s="78">
      <c r="A109" s="96">
        <f>IF(DM_DT!$A108="","",DM_DT!$A108&amp;"")</f>
        <v/>
      </c>
      <c r="B109" s="97">
        <f>IF($A109="","",DM_DT!$B108)</f>
        <v/>
      </c>
      <c r="C109" s="125">
        <f>IF($A109="","",SUMIFS(SDDK!$D$256:$D$375,SDDK!$A$256:$A$375,"131",SDDK!$B$256:$B$375,$A109))</f>
        <v/>
      </c>
      <c r="D109" s="125">
        <f>IF($A109="","",SUMIFS(SDDK!$E$256:$E$375,SDDK!$A$256:$A$375,"131",SDDK!$B$256:$B$375,$A109))</f>
        <v/>
      </c>
      <c r="E109" s="125">
        <f>IF($A109="","",SUMIFS(NKC!$H$7:$H$3006,NKC!$F$7:$F$3006,"131*",NKC!$I$7:$I$3006,$A109,NKC!$B$7:$B$3006,"&lt;="&amp;DEN_NGAY))</f>
        <v/>
      </c>
      <c r="F109" s="125">
        <f>IF($A109="","",SUMIFS(NKC!$H$7:$H$3006,NKC!$G$7:$G$3006,"131*",NKC!$I$7:$I$3006,$A109,NKC!$B$7:$B$3006,"&lt;="&amp;DEN_NGAY))</f>
        <v/>
      </c>
      <c r="G109" s="125">
        <f>IF($A109="","",MAX($C109-$D109+$E109-$F109,0))</f>
        <v/>
      </c>
      <c r="H109" s="125">
        <f>IF($A109="","",MAX(-($C109-$D109+$E109-$F109),0))</f>
        <v/>
      </c>
    </row>
    <row r="110" ht="15" customHeight="1" s="78">
      <c r="A110" s="96">
        <f>IF(DM_DT!$A109="","",DM_DT!$A109&amp;"")</f>
        <v/>
      </c>
      <c r="B110" s="97">
        <f>IF($A110="","",DM_DT!$B109)</f>
        <v/>
      </c>
      <c r="C110" s="125">
        <f>IF($A110="","",SUMIFS(SDDK!$D$256:$D$375,SDDK!$A$256:$A$375,"131",SDDK!$B$256:$B$375,$A110))</f>
        <v/>
      </c>
      <c r="D110" s="125">
        <f>IF($A110="","",SUMIFS(SDDK!$E$256:$E$375,SDDK!$A$256:$A$375,"131",SDDK!$B$256:$B$375,$A110))</f>
        <v/>
      </c>
      <c r="E110" s="125">
        <f>IF($A110="","",SUMIFS(NKC!$H$7:$H$3006,NKC!$F$7:$F$3006,"131*",NKC!$I$7:$I$3006,$A110,NKC!$B$7:$B$3006,"&lt;="&amp;DEN_NGAY))</f>
        <v/>
      </c>
      <c r="F110" s="125">
        <f>IF($A110="","",SUMIFS(NKC!$H$7:$H$3006,NKC!$G$7:$G$3006,"131*",NKC!$I$7:$I$3006,$A110,NKC!$B$7:$B$3006,"&lt;="&amp;DEN_NGAY))</f>
        <v/>
      </c>
      <c r="G110" s="125">
        <f>IF($A110="","",MAX($C110-$D110+$E110-$F110,0))</f>
        <v/>
      </c>
      <c r="H110" s="125">
        <f>IF($A110="","",MAX(-($C110-$D110+$E110-$F110),0))</f>
        <v/>
      </c>
    </row>
    <row r="111" ht="15" customHeight="1" s="78">
      <c r="A111" s="96">
        <f>IF(DM_DT!$A110="","",DM_DT!$A110&amp;"")</f>
        <v/>
      </c>
      <c r="B111" s="97">
        <f>IF($A111="","",DM_DT!$B110)</f>
        <v/>
      </c>
      <c r="C111" s="125">
        <f>IF($A111="","",SUMIFS(SDDK!$D$256:$D$375,SDDK!$A$256:$A$375,"131",SDDK!$B$256:$B$375,$A111))</f>
        <v/>
      </c>
      <c r="D111" s="125">
        <f>IF($A111="","",SUMIFS(SDDK!$E$256:$E$375,SDDK!$A$256:$A$375,"131",SDDK!$B$256:$B$375,$A111))</f>
        <v/>
      </c>
      <c r="E111" s="125">
        <f>IF($A111="","",SUMIFS(NKC!$H$7:$H$3006,NKC!$F$7:$F$3006,"131*",NKC!$I$7:$I$3006,$A111,NKC!$B$7:$B$3006,"&lt;="&amp;DEN_NGAY))</f>
        <v/>
      </c>
      <c r="F111" s="125">
        <f>IF($A111="","",SUMIFS(NKC!$H$7:$H$3006,NKC!$G$7:$G$3006,"131*",NKC!$I$7:$I$3006,$A111,NKC!$B$7:$B$3006,"&lt;="&amp;DEN_NGAY))</f>
        <v/>
      </c>
      <c r="G111" s="125">
        <f>IF($A111="","",MAX($C111-$D111+$E111-$F111,0))</f>
        <v/>
      </c>
      <c r="H111" s="125">
        <f>IF($A111="","",MAX(-($C111-$D111+$E111-$F111),0))</f>
        <v/>
      </c>
    </row>
    <row r="112" ht="15" customHeight="1" s="78">
      <c r="A112" s="96">
        <f>IF(DM_DT!$A111="","",DM_DT!$A111&amp;"")</f>
        <v/>
      </c>
      <c r="B112" s="97">
        <f>IF($A112="","",DM_DT!$B111)</f>
        <v/>
      </c>
      <c r="C112" s="125">
        <f>IF($A112="","",SUMIFS(SDDK!$D$256:$D$375,SDDK!$A$256:$A$375,"131",SDDK!$B$256:$B$375,$A112))</f>
        <v/>
      </c>
      <c r="D112" s="125">
        <f>IF($A112="","",SUMIFS(SDDK!$E$256:$E$375,SDDK!$A$256:$A$375,"131",SDDK!$B$256:$B$375,$A112))</f>
        <v/>
      </c>
      <c r="E112" s="125">
        <f>IF($A112="","",SUMIFS(NKC!$H$7:$H$3006,NKC!$F$7:$F$3006,"131*",NKC!$I$7:$I$3006,$A112,NKC!$B$7:$B$3006,"&lt;="&amp;DEN_NGAY))</f>
        <v/>
      </c>
      <c r="F112" s="125">
        <f>IF($A112="","",SUMIFS(NKC!$H$7:$H$3006,NKC!$G$7:$G$3006,"131*",NKC!$I$7:$I$3006,$A112,NKC!$B$7:$B$3006,"&lt;="&amp;DEN_NGAY))</f>
        <v/>
      </c>
      <c r="G112" s="125">
        <f>IF($A112="","",MAX($C112-$D112+$E112-$F112,0))</f>
        <v/>
      </c>
      <c r="H112" s="125">
        <f>IF($A112="","",MAX(-($C112-$D112+$E112-$F112),0))</f>
        <v/>
      </c>
    </row>
    <row r="113" ht="15" customHeight="1" s="78">
      <c r="A113" s="96">
        <f>IF(DM_DT!$A112="","",DM_DT!$A112&amp;"")</f>
        <v/>
      </c>
      <c r="B113" s="97">
        <f>IF($A113="","",DM_DT!$B112)</f>
        <v/>
      </c>
      <c r="C113" s="125">
        <f>IF($A113="","",SUMIFS(SDDK!$D$256:$D$375,SDDK!$A$256:$A$375,"131",SDDK!$B$256:$B$375,$A113))</f>
        <v/>
      </c>
      <c r="D113" s="125">
        <f>IF($A113="","",SUMIFS(SDDK!$E$256:$E$375,SDDK!$A$256:$A$375,"131",SDDK!$B$256:$B$375,$A113))</f>
        <v/>
      </c>
      <c r="E113" s="125">
        <f>IF($A113="","",SUMIFS(NKC!$H$7:$H$3006,NKC!$F$7:$F$3006,"131*",NKC!$I$7:$I$3006,$A113,NKC!$B$7:$B$3006,"&lt;="&amp;DEN_NGAY))</f>
        <v/>
      </c>
      <c r="F113" s="125">
        <f>IF($A113="","",SUMIFS(NKC!$H$7:$H$3006,NKC!$G$7:$G$3006,"131*",NKC!$I$7:$I$3006,$A113,NKC!$B$7:$B$3006,"&lt;="&amp;DEN_NGAY))</f>
        <v/>
      </c>
      <c r="G113" s="125">
        <f>IF($A113="","",MAX($C113-$D113+$E113-$F113,0))</f>
        <v/>
      </c>
      <c r="H113" s="125">
        <f>IF($A113="","",MAX(-($C113-$D113+$E113-$F113),0))</f>
        <v/>
      </c>
    </row>
    <row r="114" ht="15" customHeight="1" s="78">
      <c r="A114" s="96">
        <f>IF(DM_DT!$A113="","",DM_DT!$A113&amp;"")</f>
        <v/>
      </c>
      <c r="B114" s="97">
        <f>IF($A114="","",DM_DT!$B113)</f>
        <v/>
      </c>
      <c r="C114" s="125">
        <f>IF($A114="","",SUMIFS(SDDK!$D$256:$D$375,SDDK!$A$256:$A$375,"131",SDDK!$B$256:$B$375,$A114))</f>
        <v/>
      </c>
      <c r="D114" s="125">
        <f>IF($A114="","",SUMIFS(SDDK!$E$256:$E$375,SDDK!$A$256:$A$375,"131",SDDK!$B$256:$B$375,$A114))</f>
        <v/>
      </c>
      <c r="E114" s="125">
        <f>IF($A114="","",SUMIFS(NKC!$H$7:$H$3006,NKC!$F$7:$F$3006,"131*",NKC!$I$7:$I$3006,$A114,NKC!$B$7:$B$3006,"&lt;="&amp;DEN_NGAY))</f>
        <v/>
      </c>
      <c r="F114" s="125">
        <f>IF($A114="","",SUMIFS(NKC!$H$7:$H$3006,NKC!$G$7:$G$3006,"131*",NKC!$I$7:$I$3006,$A114,NKC!$B$7:$B$3006,"&lt;="&amp;DEN_NGAY))</f>
        <v/>
      </c>
      <c r="G114" s="125">
        <f>IF($A114="","",MAX($C114-$D114+$E114-$F114,0))</f>
        <v/>
      </c>
      <c r="H114" s="125">
        <f>IF($A114="","",MAX(-($C114-$D114+$E114-$F114),0))</f>
        <v/>
      </c>
    </row>
    <row r="115" ht="15" customHeight="1" s="78">
      <c r="A115" s="96">
        <f>IF(DM_DT!$A114="","",DM_DT!$A114&amp;"")</f>
        <v/>
      </c>
      <c r="B115" s="97">
        <f>IF($A115="","",DM_DT!$B114)</f>
        <v/>
      </c>
      <c r="C115" s="125">
        <f>IF($A115="","",SUMIFS(SDDK!$D$256:$D$375,SDDK!$A$256:$A$375,"131",SDDK!$B$256:$B$375,$A115))</f>
        <v/>
      </c>
      <c r="D115" s="125">
        <f>IF($A115="","",SUMIFS(SDDK!$E$256:$E$375,SDDK!$A$256:$A$375,"131",SDDK!$B$256:$B$375,$A115))</f>
        <v/>
      </c>
      <c r="E115" s="125">
        <f>IF($A115="","",SUMIFS(NKC!$H$7:$H$3006,NKC!$F$7:$F$3006,"131*",NKC!$I$7:$I$3006,$A115,NKC!$B$7:$B$3006,"&lt;="&amp;DEN_NGAY))</f>
        <v/>
      </c>
      <c r="F115" s="125">
        <f>IF($A115="","",SUMIFS(NKC!$H$7:$H$3006,NKC!$G$7:$G$3006,"131*",NKC!$I$7:$I$3006,$A115,NKC!$B$7:$B$3006,"&lt;="&amp;DEN_NGAY))</f>
        <v/>
      </c>
      <c r="G115" s="125">
        <f>IF($A115="","",MAX($C115-$D115+$E115-$F115,0))</f>
        <v/>
      </c>
      <c r="H115" s="125">
        <f>IF($A115="","",MAX(-($C115-$D115+$E115-$F115),0))</f>
        <v/>
      </c>
    </row>
    <row r="116" ht="15" customHeight="1" s="78">
      <c r="A116" s="96">
        <f>IF(DM_DT!$A115="","",DM_DT!$A115&amp;"")</f>
        <v/>
      </c>
      <c r="B116" s="97">
        <f>IF($A116="","",DM_DT!$B115)</f>
        <v/>
      </c>
      <c r="C116" s="125">
        <f>IF($A116="","",SUMIFS(SDDK!$D$256:$D$375,SDDK!$A$256:$A$375,"131",SDDK!$B$256:$B$375,$A116))</f>
        <v/>
      </c>
      <c r="D116" s="125">
        <f>IF($A116="","",SUMIFS(SDDK!$E$256:$E$375,SDDK!$A$256:$A$375,"131",SDDK!$B$256:$B$375,$A116))</f>
        <v/>
      </c>
      <c r="E116" s="125">
        <f>IF($A116="","",SUMIFS(NKC!$H$7:$H$3006,NKC!$F$7:$F$3006,"131*",NKC!$I$7:$I$3006,$A116,NKC!$B$7:$B$3006,"&lt;="&amp;DEN_NGAY))</f>
        <v/>
      </c>
      <c r="F116" s="125">
        <f>IF($A116="","",SUMIFS(NKC!$H$7:$H$3006,NKC!$G$7:$G$3006,"131*",NKC!$I$7:$I$3006,$A116,NKC!$B$7:$B$3006,"&lt;="&amp;DEN_NGAY))</f>
        <v/>
      </c>
      <c r="G116" s="125">
        <f>IF($A116="","",MAX($C116-$D116+$E116-$F116,0))</f>
        <v/>
      </c>
      <c r="H116" s="125">
        <f>IF($A116="","",MAX(-($C116-$D116+$E116-$F116),0))</f>
        <v/>
      </c>
    </row>
    <row r="117" ht="15" customHeight="1" s="78">
      <c r="A117" s="96">
        <f>IF(DM_DT!$A116="","",DM_DT!$A116&amp;"")</f>
        <v/>
      </c>
      <c r="B117" s="97">
        <f>IF($A117="","",DM_DT!$B116)</f>
        <v/>
      </c>
      <c r="C117" s="125">
        <f>IF($A117="","",SUMIFS(SDDK!$D$256:$D$375,SDDK!$A$256:$A$375,"131",SDDK!$B$256:$B$375,$A117))</f>
        <v/>
      </c>
      <c r="D117" s="125">
        <f>IF($A117="","",SUMIFS(SDDK!$E$256:$E$375,SDDK!$A$256:$A$375,"131",SDDK!$B$256:$B$375,$A117))</f>
        <v/>
      </c>
      <c r="E117" s="125">
        <f>IF($A117="","",SUMIFS(NKC!$H$7:$H$3006,NKC!$F$7:$F$3006,"131*",NKC!$I$7:$I$3006,$A117,NKC!$B$7:$B$3006,"&lt;="&amp;DEN_NGAY))</f>
        <v/>
      </c>
      <c r="F117" s="125">
        <f>IF($A117="","",SUMIFS(NKC!$H$7:$H$3006,NKC!$G$7:$G$3006,"131*",NKC!$I$7:$I$3006,$A117,NKC!$B$7:$B$3006,"&lt;="&amp;DEN_NGAY))</f>
        <v/>
      </c>
      <c r="G117" s="125">
        <f>IF($A117="","",MAX($C117-$D117+$E117-$F117,0))</f>
        <v/>
      </c>
      <c r="H117" s="125">
        <f>IF($A117="","",MAX(-($C117-$D117+$E117-$F117),0))</f>
        <v/>
      </c>
    </row>
    <row r="118" ht="15" customHeight="1" s="78">
      <c r="A118" s="96">
        <f>IF(DM_DT!$A117="","",DM_DT!$A117&amp;"")</f>
        <v/>
      </c>
      <c r="B118" s="97">
        <f>IF($A118="","",DM_DT!$B117)</f>
        <v/>
      </c>
      <c r="C118" s="125">
        <f>IF($A118="","",SUMIFS(SDDK!$D$256:$D$375,SDDK!$A$256:$A$375,"131",SDDK!$B$256:$B$375,$A118))</f>
        <v/>
      </c>
      <c r="D118" s="125">
        <f>IF($A118="","",SUMIFS(SDDK!$E$256:$E$375,SDDK!$A$256:$A$375,"131",SDDK!$B$256:$B$375,$A118))</f>
        <v/>
      </c>
      <c r="E118" s="125">
        <f>IF($A118="","",SUMIFS(NKC!$H$7:$H$3006,NKC!$F$7:$F$3006,"131*",NKC!$I$7:$I$3006,$A118,NKC!$B$7:$B$3006,"&lt;="&amp;DEN_NGAY))</f>
        <v/>
      </c>
      <c r="F118" s="125">
        <f>IF($A118="","",SUMIFS(NKC!$H$7:$H$3006,NKC!$G$7:$G$3006,"131*",NKC!$I$7:$I$3006,$A118,NKC!$B$7:$B$3006,"&lt;="&amp;DEN_NGAY))</f>
        <v/>
      </c>
      <c r="G118" s="125">
        <f>IF($A118="","",MAX($C118-$D118+$E118-$F118,0))</f>
        <v/>
      </c>
      <c r="H118" s="125">
        <f>IF($A118="","",MAX(-($C118-$D118+$E118-$F118),0))</f>
        <v/>
      </c>
    </row>
    <row r="119" ht="15" customHeight="1" s="78">
      <c r="A119" s="96">
        <f>IF(DM_DT!$A118="","",DM_DT!$A118&amp;"")</f>
        <v/>
      </c>
      <c r="B119" s="97">
        <f>IF($A119="","",DM_DT!$B118)</f>
        <v/>
      </c>
      <c r="C119" s="125">
        <f>IF($A119="","",SUMIFS(SDDK!$D$256:$D$375,SDDK!$A$256:$A$375,"131",SDDK!$B$256:$B$375,$A119))</f>
        <v/>
      </c>
      <c r="D119" s="125">
        <f>IF($A119="","",SUMIFS(SDDK!$E$256:$E$375,SDDK!$A$256:$A$375,"131",SDDK!$B$256:$B$375,$A119))</f>
        <v/>
      </c>
      <c r="E119" s="125">
        <f>IF($A119="","",SUMIFS(NKC!$H$7:$H$3006,NKC!$F$7:$F$3006,"131*",NKC!$I$7:$I$3006,$A119,NKC!$B$7:$B$3006,"&lt;="&amp;DEN_NGAY))</f>
        <v/>
      </c>
      <c r="F119" s="125">
        <f>IF($A119="","",SUMIFS(NKC!$H$7:$H$3006,NKC!$G$7:$G$3006,"131*",NKC!$I$7:$I$3006,$A119,NKC!$B$7:$B$3006,"&lt;="&amp;DEN_NGAY))</f>
        <v/>
      </c>
      <c r="G119" s="125">
        <f>IF($A119="","",MAX($C119-$D119+$E119-$F119,0))</f>
        <v/>
      </c>
      <c r="H119" s="125">
        <f>IF($A119="","",MAX(-($C119-$D119+$E119-$F119),0))</f>
        <v/>
      </c>
    </row>
    <row r="120" ht="15" customHeight="1" s="78">
      <c r="A120" s="96">
        <f>IF(DM_DT!$A119="","",DM_DT!$A119&amp;"")</f>
        <v/>
      </c>
      <c r="B120" s="97">
        <f>IF($A120="","",DM_DT!$B119)</f>
        <v/>
      </c>
      <c r="C120" s="125">
        <f>IF($A120="","",SUMIFS(SDDK!$D$256:$D$375,SDDK!$A$256:$A$375,"131",SDDK!$B$256:$B$375,$A120))</f>
        <v/>
      </c>
      <c r="D120" s="125">
        <f>IF($A120="","",SUMIFS(SDDK!$E$256:$E$375,SDDK!$A$256:$A$375,"131",SDDK!$B$256:$B$375,$A120))</f>
        <v/>
      </c>
      <c r="E120" s="125">
        <f>IF($A120="","",SUMIFS(NKC!$H$7:$H$3006,NKC!$F$7:$F$3006,"131*",NKC!$I$7:$I$3006,$A120,NKC!$B$7:$B$3006,"&lt;="&amp;DEN_NGAY))</f>
        <v/>
      </c>
      <c r="F120" s="125">
        <f>IF($A120="","",SUMIFS(NKC!$H$7:$H$3006,NKC!$G$7:$G$3006,"131*",NKC!$I$7:$I$3006,$A120,NKC!$B$7:$B$3006,"&lt;="&amp;DEN_NGAY))</f>
        <v/>
      </c>
      <c r="G120" s="125">
        <f>IF($A120="","",MAX($C120-$D120+$E120-$F120,0))</f>
        <v/>
      </c>
      <c r="H120" s="125">
        <f>IF($A120="","",MAX(-($C120-$D120+$E120-$F120),0))</f>
        <v/>
      </c>
    </row>
    <row r="121" ht="15" customHeight="1" s="78">
      <c r="A121" s="96">
        <f>IF(DM_DT!$A120="","",DM_DT!$A120&amp;"")</f>
        <v/>
      </c>
      <c r="B121" s="97">
        <f>IF($A121="","",DM_DT!$B120)</f>
        <v/>
      </c>
      <c r="C121" s="125">
        <f>IF($A121="","",SUMIFS(SDDK!$D$256:$D$375,SDDK!$A$256:$A$375,"131",SDDK!$B$256:$B$375,$A121))</f>
        <v/>
      </c>
      <c r="D121" s="125">
        <f>IF($A121="","",SUMIFS(SDDK!$E$256:$E$375,SDDK!$A$256:$A$375,"131",SDDK!$B$256:$B$375,$A121))</f>
        <v/>
      </c>
      <c r="E121" s="125">
        <f>IF($A121="","",SUMIFS(NKC!$H$7:$H$3006,NKC!$F$7:$F$3006,"131*",NKC!$I$7:$I$3006,$A121,NKC!$B$7:$B$3006,"&lt;="&amp;DEN_NGAY))</f>
        <v/>
      </c>
      <c r="F121" s="125">
        <f>IF($A121="","",SUMIFS(NKC!$H$7:$H$3006,NKC!$G$7:$G$3006,"131*",NKC!$I$7:$I$3006,$A121,NKC!$B$7:$B$3006,"&lt;="&amp;DEN_NGAY))</f>
        <v/>
      </c>
      <c r="G121" s="125">
        <f>IF($A121="","",MAX($C121-$D121+$E121-$F121,0))</f>
        <v/>
      </c>
      <c r="H121" s="125">
        <f>IF($A121="","",MAX(-($C121-$D121+$E121-$F121),0))</f>
        <v/>
      </c>
    </row>
    <row r="122" ht="15" customHeight="1" s="78">
      <c r="A122" s="96">
        <f>IF(DM_DT!$A121="","",DM_DT!$A121&amp;"")</f>
        <v/>
      </c>
      <c r="B122" s="97">
        <f>IF($A122="","",DM_DT!$B121)</f>
        <v/>
      </c>
      <c r="C122" s="125">
        <f>IF($A122="","",SUMIFS(SDDK!$D$256:$D$375,SDDK!$A$256:$A$375,"131",SDDK!$B$256:$B$375,$A122))</f>
        <v/>
      </c>
      <c r="D122" s="125">
        <f>IF($A122="","",SUMIFS(SDDK!$E$256:$E$375,SDDK!$A$256:$A$375,"131",SDDK!$B$256:$B$375,$A122))</f>
        <v/>
      </c>
      <c r="E122" s="125">
        <f>IF($A122="","",SUMIFS(NKC!$H$7:$H$3006,NKC!$F$7:$F$3006,"131*",NKC!$I$7:$I$3006,$A122,NKC!$B$7:$B$3006,"&lt;="&amp;DEN_NGAY))</f>
        <v/>
      </c>
      <c r="F122" s="125">
        <f>IF($A122="","",SUMIFS(NKC!$H$7:$H$3006,NKC!$G$7:$G$3006,"131*",NKC!$I$7:$I$3006,$A122,NKC!$B$7:$B$3006,"&lt;="&amp;DEN_NGAY))</f>
        <v/>
      </c>
      <c r="G122" s="125">
        <f>IF($A122="","",MAX($C122-$D122+$E122-$F122,0))</f>
        <v/>
      </c>
      <c r="H122" s="125">
        <f>IF($A122="","",MAX(-($C122-$D122+$E122-$F122),0))</f>
        <v/>
      </c>
    </row>
    <row r="123" ht="15" customHeight="1" s="78">
      <c r="A123" s="96">
        <f>IF(DM_DT!$A122="","",DM_DT!$A122&amp;"")</f>
        <v/>
      </c>
      <c r="B123" s="97">
        <f>IF($A123="","",DM_DT!$B122)</f>
        <v/>
      </c>
      <c r="C123" s="125">
        <f>IF($A123="","",SUMIFS(SDDK!$D$256:$D$375,SDDK!$A$256:$A$375,"131",SDDK!$B$256:$B$375,$A123))</f>
        <v/>
      </c>
      <c r="D123" s="125">
        <f>IF($A123="","",SUMIFS(SDDK!$E$256:$E$375,SDDK!$A$256:$A$375,"131",SDDK!$B$256:$B$375,$A123))</f>
        <v/>
      </c>
      <c r="E123" s="125">
        <f>IF($A123="","",SUMIFS(NKC!$H$7:$H$3006,NKC!$F$7:$F$3006,"131*",NKC!$I$7:$I$3006,$A123,NKC!$B$7:$B$3006,"&lt;="&amp;DEN_NGAY))</f>
        <v/>
      </c>
      <c r="F123" s="125">
        <f>IF($A123="","",SUMIFS(NKC!$H$7:$H$3006,NKC!$G$7:$G$3006,"131*",NKC!$I$7:$I$3006,$A123,NKC!$B$7:$B$3006,"&lt;="&amp;DEN_NGAY))</f>
        <v/>
      </c>
      <c r="G123" s="125">
        <f>IF($A123="","",MAX($C123-$D123+$E123-$F123,0))</f>
        <v/>
      </c>
      <c r="H123" s="125">
        <f>IF($A123="","",MAX(-($C123-$D123+$E123-$F123),0))</f>
        <v/>
      </c>
    </row>
    <row r="124" ht="15" customHeight="1" s="78">
      <c r="A124" s="96">
        <f>IF(DM_DT!$A123="","",DM_DT!$A123&amp;"")</f>
        <v/>
      </c>
      <c r="B124" s="97">
        <f>IF($A124="","",DM_DT!$B123)</f>
        <v/>
      </c>
      <c r="C124" s="125">
        <f>IF($A124="","",SUMIFS(SDDK!$D$256:$D$375,SDDK!$A$256:$A$375,"131",SDDK!$B$256:$B$375,$A124))</f>
        <v/>
      </c>
      <c r="D124" s="125">
        <f>IF($A124="","",SUMIFS(SDDK!$E$256:$E$375,SDDK!$A$256:$A$375,"131",SDDK!$B$256:$B$375,$A124))</f>
        <v/>
      </c>
      <c r="E124" s="125">
        <f>IF($A124="","",SUMIFS(NKC!$H$7:$H$3006,NKC!$F$7:$F$3006,"131*",NKC!$I$7:$I$3006,$A124,NKC!$B$7:$B$3006,"&lt;="&amp;DEN_NGAY))</f>
        <v/>
      </c>
      <c r="F124" s="125">
        <f>IF($A124="","",SUMIFS(NKC!$H$7:$H$3006,NKC!$G$7:$G$3006,"131*",NKC!$I$7:$I$3006,$A124,NKC!$B$7:$B$3006,"&lt;="&amp;DEN_NGAY))</f>
        <v/>
      </c>
      <c r="G124" s="125">
        <f>IF($A124="","",MAX($C124-$D124+$E124-$F124,0))</f>
        <v/>
      </c>
      <c r="H124" s="125">
        <f>IF($A124="","",MAX(-($C124-$D124+$E124-$F124),0))</f>
        <v/>
      </c>
    </row>
    <row r="125" ht="15" customHeight="1" s="78">
      <c r="A125" s="96">
        <f>IF(DM_DT!$A124="","",DM_DT!$A124&amp;"")</f>
        <v/>
      </c>
      <c r="B125" s="97">
        <f>IF($A125="","",DM_DT!$B124)</f>
        <v/>
      </c>
      <c r="C125" s="125">
        <f>IF($A125="","",SUMIFS(SDDK!$D$256:$D$375,SDDK!$A$256:$A$375,"131",SDDK!$B$256:$B$375,$A125))</f>
        <v/>
      </c>
      <c r="D125" s="125">
        <f>IF($A125="","",SUMIFS(SDDK!$E$256:$E$375,SDDK!$A$256:$A$375,"131",SDDK!$B$256:$B$375,$A125))</f>
        <v/>
      </c>
      <c r="E125" s="125">
        <f>IF($A125="","",SUMIFS(NKC!$H$7:$H$3006,NKC!$F$7:$F$3006,"131*",NKC!$I$7:$I$3006,$A125,NKC!$B$7:$B$3006,"&lt;="&amp;DEN_NGAY))</f>
        <v/>
      </c>
      <c r="F125" s="125">
        <f>IF($A125="","",SUMIFS(NKC!$H$7:$H$3006,NKC!$G$7:$G$3006,"131*",NKC!$I$7:$I$3006,$A125,NKC!$B$7:$B$3006,"&lt;="&amp;DEN_NGAY))</f>
        <v/>
      </c>
      <c r="G125" s="125">
        <f>IF($A125="","",MAX($C125-$D125+$E125-$F125,0))</f>
        <v/>
      </c>
      <c r="H125" s="125">
        <f>IF($A125="","",MAX(-($C125-$D125+$E125-$F125),0))</f>
        <v/>
      </c>
    </row>
    <row r="126" ht="15" customHeight="1" s="78">
      <c r="A126" s="96">
        <f>IF(DM_DT!$A125="","",DM_DT!$A125&amp;"")</f>
        <v/>
      </c>
      <c r="B126" s="97">
        <f>IF($A126="","",DM_DT!$B125)</f>
        <v/>
      </c>
      <c r="C126" s="125">
        <f>IF($A126="","",SUMIFS(SDDK!$D$256:$D$375,SDDK!$A$256:$A$375,"131",SDDK!$B$256:$B$375,$A126))</f>
        <v/>
      </c>
      <c r="D126" s="125">
        <f>IF($A126="","",SUMIFS(SDDK!$E$256:$E$375,SDDK!$A$256:$A$375,"131",SDDK!$B$256:$B$375,$A126))</f>
        <v/>
      </c>
      <c r="E126" s="125">
        <f>IF($A126="","",SUMIFS(NKC!$H$7:$H$3006,NKC!$F$7:$F$3006,"131*",NKC!$I$7:$I$3006,$A126,NKC!$B$7:$B$3006,"&lt;="&amp;DEN_NGAY))</f>
        <v/>
      </c>
      <c r="F126" s="125">
        <f>IF($A126="","",SUMIFS(NKC!$H$7:$H$3006,NKC!$G$7:$G$3006,"131*",NKC!$I$7:$I$3006,$A126,NKC!$B$7:$B$3006,"&lt;="&amp;DEN_NGAY))</f>
        <v/>
      </c>
      <c r="G126" s="125">
        <f>IF($A126="","",MAX($C126-$D126+$E126-$F126,0))</f>
        <v/>
      </c>
      <c r="H126" s="125">
        <f>IF($A126="","",MAX(-($C126-$D126+$E126-$F126),0))</f>
        <v/>
      </c>
    </row>
    <row r="127" ht="15" customHeight="1" s="78">
      <c r="A127" s="96">
        <f>IF(DM_DT!$A126="","",DM_DT!$A126&amp;"")</f>
        <v/>
      </c>
      <c r="B127" s="97">
        <f>IF($A127="","",DM_DT!$B126)</f>
        <v/>
      </c>
      <c r="C127" s="125">
        <f>IF($A127="","",SUMIFS(SDDK!$D$256:$D$375,SDDK!$A$256:$A$375,"131",SDDK!$B$256:$B$375,$A127))</f>
        <v/>
      </c>
      <c r="D127" s="125">
        <f>IF($A127="","",SUMIFS(SDDK!$E$256:$E$375,SDDK!$A$256:$A$375,"131",SDDK!$B$256:$B$375,$A127))</f>
        <v/>
      </c>
      <c r="E127" s="125">
        <f>IF($A127="","",SUMIFS(NKC!$H$7:$H$3006,NKC!$F$7:$F$3006,"131*",NKC!$I$7:$I$3006,$A127,NKC!$B$7:$B$3006,"&lt;="&amp;DEN_NGAY))</f>
        <v/>
      </c>
      <c r="F127" s="125">
        <f>IF($A127="","",SUMIFS(NKC!$H$7:$H$3006,NKC!$G$7:$G$3006,"131*",NKC!$I$7:$I$3006,$A127,NKC!$B$7:$B$3006,"&lt;="&amp;DEN_NGAY))</f>
        <v/>
      </c>
      <c r="G127" s="125">
        <f>IF($A127="","",MAX($C127-$D127+$E127-$F127,0))</f>
        <v/>
      </c>
      <c r="H127" s="125">
        <f>IF($A127="","",MAX(-($C127-$D127+$E127-$F127),0))</f>
        <v/>
      </c>
    </row>
    <row r="128" ht="15" customHeight="1" s="78">
      <c r="A128" s="96">
        <f>IF(DM_DT!$A127="","",DM_DT!$A127&amp;"")</f>
        <v/>
      </c>
      <c r="B128" s="97">
        <f>IF($A128="","",DM_DT!$B127)</f>
        <v/>
      </c>
      <c r="C128" s="125">
        <f>IF($A128="","",SUMIFS(SDDK!$D$256:$D$375,SDDK!$A$256:$A$375,"131",SDDK!$B$256:$B$375,$A128))</f>
        <v/>
      </c>
      <c r="D128" s="125">
        <f>IF($A128="","",SUMIFS(SDDK!$E$256:$E$375,SDDK!$A$256:$A$375,"131",SDDK!$B$256:$B$375,$A128))</f>
        <v/>
      </c>
      <c r="E128" s="125">
        <f>IF($A128="","",SUMIFS(NKC!$H$7:$H$3006,NKC!$F$7:$F$3006,"131*",NKC!$I$7:$I$3006,$A128,NKC!$B$7:$B$3006,"&lt;="&amp;DEN_NGAY))</f>
        <v/>
      </c>
      <c r="F128" s="125">
        <f>IF($A128="","",SUMIFS(NKC!$H$7:$H$3006,NKC!$G$7:$G$3006,"131*",NKC!$I$7:$I$3006,$A128,NKC!$B$7:$B$3006,"&lt;="&amp;DEN_NGAY))</f>
        <v/>
      </c>
      <c r="G128" s="125">
        <f>IF($A128="","",MAX($C128-$D128+$E128-$F128,0))</f>
        <v/>
      </c>
      <c r="H128" s="125">
        <f>IF($A128="","",MAX(-($C128-$D128+$E128-$F128),0))</f>
        <v/>
      </c>
    </row>
    <row r="129" ht="15" customHeight="1" s="78">
      <c r="A129" s="96">
        <f>IF(DM_DT!$A128="","",DM_DT!$A128&amp;"")</f>
        <v/>
      </c>
      <c r="B129" s="97">
        <f>IF($A129="","",DM_DT!$B128)</f>
        <v/>
      </c>
      <c r="C129" s="125">
        <f>IF($A129="","",SUMIFS(SDDK!$D$256:$D$375,SDDK!$A$256:$A$375,"131",SDDK!$B$256:$B$375,$A129))</f>
        <v/>
      </c>
      <c r="D129" s="125">
        <f>IF($A129="","",SUMIFS(SDDK!$E$256:$E$375,SDDK!$A$256:$A$375,"131",SDDK!$B$256:$B$375,$A129))</f>
        <v/>
      </c>
      <c r="E129" s="125">
        <f>IF($A129="","",SUMIFS(NKC!$H$7:$H$3006,NKC!$F$7:$F$3006,"131*",NKC!$I$7:$I$3006,$A129,NKC!$B$7:$B$3006,"&lt;="&amp;DEN_NGAY))</f>
        <v/>
      </c>
      <c r="F129" s="125">
        <f>IF($A129="","",SUMIFS(NKC!$H$7:$H$3006,NKC!$G$7:$G$3006,"131*",NKC!$I$7:$I$3006,$A129,NKC!$B$7:$B$3006,"&lt;="&amp;DEN_NGAY))</f>
        <v/>
      </c>
      <c r="G129" s="125">
        <f>IF($A129="","",MAX($C129-$D129+$E129-$F129,0))</f>
        <v/>
      </c>
      <c r="H129" s="125">
        <f>IF($A129="","",MAX(-($C129-$D129+$E129-$F129),0))</f>
        <v/>
      </c>
    </row>
    <row r="130" ht="15" customHeight="1" s="78">
      <c r="A130" s="96">
        <f>IF(DM_DT!$A129="","",DM_DT!$A129&amp;"")</f>
        <v/>
      </c>
      <c r="B130" s="97">
        <f>IF($A130="","",DM_DT!$B129)</f>
        <v/>
      </c>
      <c r="C130" s="125">
        <f>IF($A130="","",SUMIFS(SDDK!$D$256:$D$375,SDDK!$A$256:$A$375,"131",SDDK!$B$256:$B$375,$A130))</f>
        <v/>
      </c>
      <c r="D130" s="125">
        <f>IF($A130="","",SUMIFS(SDDK!$E$256:$E$375,SDDK!$A$256:$A$375,"131",SDDK!$B$256:$B$375,$A130))</f>
        <v/>
      </c>
      <c r="E130" s="125">
        <f>IF($A130="","",SUMIFS(NKC!$H$7:$H$3006,NKC!$F$7:$F$3006,"131*",NKC!$I$7:$I$3006,$A130,NKC!$B$7:$B$3006,"&lt;="&amp;DEN_NGAY))</f>
        <v/>
      </c>
      <c r="F130" s="125">
        <f>IF($A130="","",SUMIFS(NKC!$H$7:$H$3006,NKC!$G$7:$G$3006,"131*",NKC!$I$7:$I$3006,$A130,NKC!$B$7:$B$3006,"&lt;="&amp;DEN_NGAY))</f>
        <v/>
      </c>
      <c r="G130" s="125">
        <f>IF($A130="","",MAX($C130-$D130+$E130-$F130,0))</f>
        <v/>
      </c>
      <c r="H130" s="125">
        <f>IF($A130="","",MAX(-($C130-$D130+$E130-$F130),0))</f>
        <v/>
      </c>
    </row>
    <row r="131" ht="15" customHeight="1" s="78">
      <c r="A131" s="96">
        <f>IF(DM_DT!$A130="","",DM_DT!$A130&amp;"")</f>
        <v/>
      </c>
      <c r="B131" s="97">
        <f>IF($A131="","",DM_DT!$B130)</f>
        <v/>
      </c>
      <c r="C131" s="125">
        <f>IF($A131="","",SUMIFS(SDDK!$D$256:$D$375,SDDK!$A$256:$A$375,"131",SDDK!$B$256:$B$375,$A131))</f>
        <v/>
      </c>
      <c r="D131" s="125">
        <f>IF($A131="","",SUMIFS(SDDK!$E$256:$E$375,SDDK!$A$256:$A$375,"131",SDDK!$B$256:$B$375,$A131))</f>
        <v/>
      </c>
      <c r="E131" s="125">
        <f>IF($A131="","",SUMIFS(NKC!$H$7:$H$3006,NKC!$F$7:$F$3006,"131*",NKC!$I$7:$I$3006,$A131,NKC!$B$7:$B$3006,"&lt;="&amp;DEN_NGAY))</f>
        <v/>
      </c>
      <c r="F131" s="125">
        <f>IF($A131="","",SUMIFS(NKC!$H$7:$H$3006,NKC!$G$7:$G$3006,"131*",NKC!$I$7:$I$3006,$A131,NKC!$B$7:$B$3006,"&lt;="&amp;DEN_NGAY))</f>
        <v/>
      </c>
      <c r="G131" s="125">
        <f>IF($A131="","",MAX($C131-$D131+$E131-$F131,0))</f>
        <v/>
      </c>
      <c r="H131" s="125">
        <f>IF($A131="","",MAX(-($C131-$D131+$E131-$F131),0))</f>
        <v/>
      </c>
    </row>
    <row r="132" ht="15" customHeight="1" s="78">
      <c r="A132" s="96">
        <f>IF(DM_DT!$A131="","",DM_DT!$A131&amp;"")</f>
        <v/>
      </c>
      <c r="B132" s="97">
        <f>IF($A132="","",DM_DT!$B131)</f>
        <v/>
      </c>
      <c r="C132" s="125">
        <f>IF($A132="","",SUMIFS(SDDK!$D$256:$D$375,SDDK!$A$256:$A$375,"131",SDDK!$B$256:$B$375,$A132))</f>
        <v/>
      </c>
      <c r="D132" s="125">
        <f>IF($A132="","",SUMIFS(SDDK!$E$256:$E$375,SDDK!$A$256:$A$375,"131",SDDK!$B$256:$B$375,$A132))</f>
        <v/>
      </c>
      <c r="E132" s="125">
        <f>IF($A132="","",SUMIFS(NKC!$H$7:$H$3006,NKC!$F$7:$F$3006,"131*",NKC!$I$7:$I$3006,$A132,NKC!$B$7:$B$3006,"&lt;="&amp;DEN_NGAY))</f>
        <v/>
      </c>
      <c r="F132" s="125">
        <f>IF($A132="","",SUMIFS(NKC!$H$7:$H$3006,NKC!$G$7:$G$3006,"131*",NKC!$I$7:$I$3006,$A132,NKC!$B$7:$B$3006,"&lt;="&amp;DEN_NGAY))</f>
        <v/>
      </c>
      <c r="G132" s="125">
        <f>IF($A132="","",MAX($C132-$D132+$E132-$F132,0))</f>
        <v/>
      </c>
      <c r="H132" s="125">
        <f>IF($A132="","",MAX(-($C132-$D132+$E132-$F132),0))</f>
        <v/>
      </c>
    </row>
    <row r="133" ht="15" customHeight="1" s="78">
      <c r="A133" s="96">
        <f>IF(DM_DT!$A132="","",DM_DT!$A132&amp;"")</f>
        <v/>
      </c>
      <c r="B133" s="97">
        <f>IF($A133="","",DM_DT!$B132)</f>
        <v/>
      </c>
      <c r="C133" s="125">
        <f>IF($A133="","",SUMIFS(SDDK!$D$256:$D$375,SDDK!$A$256:$A$375,"131",SDDK!$B$256:$B$375,$A133))</f>
        <v/>
      </c>
      <c r="D133" s="125">
        <f>IF($A133="","",SUMIFS(SDDK!$E$256:$E$375,SDDK!$A$256:$A$375,"131",SDDK!$B$256:$B$375,$A133))</f>
        <v/>
      </c>
      <c r="E133" s="125">
        <f>IF($A133="","",SUMIFS(NKC!$H$7:$H$3006,NKC!$F$7:$F$3006,"131*",NKC!$I$7:$I$3006,$A133,NKC!$B$7:$B$3006,"&lt;="&amp;DEN_NGAY))</f>
        <v/>
      </c>
      <c r="F133" s="125">
        <f>IF($A133="","",SUMIFS(NKC!$H$7:$H$3006,NKC!$G$7:$G$3006,"131*",NKC!$I$7:$I$3006,$A133,NKC!$B$7:$B$3006,"&lt;="&amp;DEN_NGAY))</f>
        <v/>
      </c>
      <c r="G133" s="125">
        <f>IF($A133="","",MAX($C133-$D133+$E133-$F133,0))</f>
        <v/>
      </c>
      <c r="H133" s="125">
        <f>IF($A133="","",MAX(-($C133-$D133+$E133-$F133),0))</f>
        <v/>
      </c>
    </row>
    <row r="134" ht="15" customHeight="1" s="78">
      <c r="A134" s="96">
        <f>IF(DM_DT!$A133="","",DM_DT!$A133&amp;"")</f>
        <v/>
      </c>
      <c r="B134" s="97">
        <f>IF($A134="","",DM_DT!$B133)</f>
        <v/>
      </c>
      <c r="C134" s="125">
        <f>IF($A134="","",SUMIFS(SDDK!$D$256:$D$375,SDDK!$A$256:$A$375,"131",SDDK!$B$256:$B$375,$A134))</f>
        <v/>
      </c>
      <c r="D134" s="125">
        <f>IF($A134="","",SUMIFS(SDDK!$E$256:$E$375,SDDK!$A$256:$A$375,"131",SDDK!$B$256:$B$375,$A134))</f>
        <v/>
      </c>
      <c r="E134" s="125">
        <f>IF($A134="","",SUMIFS(NKC!$H$7:$H$3006,NKC!$F$7:$F$3006,"131*",NKC!$I$7:$I$3006,$A134,NKC!$B$7:$B$3006,"&lt;="&amp;DEN_NGAY))</f>
        <v/>
      </c>
      <c r="F134" s="125">
        <f>IF($A134="","",SUMIFS(NKC!$H$7:$H$3006,NKC!$G$7:$G$3006,"131*",NKC!$I$7:$I$3006,$A134,NKC!$B$7:$B$3006,"&lt;="&amp;DEN_NGAY))</f>
        <v/>
      </c>
      <c r="G134" s="125">
        <f>IF($A134="","",MAX($C134-$D134+$E134-$F134,0))</f>
        <v/>
      </c>
      <c r="H134" s="125">
        <f>IF($A134="","",MAX(-($C134-$D134+$E134-$F134),0))</f>
        <v/>
      </c>
    </row>
    <row r="135" ht="15" customHeight="1" s="78">
      <c r="A135" s="96">
        <f>IF(DM_DT!$A134="","",DM_DT!$A134&amp;"")</f>
        <v/>
      </c>
      <c r="B135" s="97">
        <f>IF($A135="","",DM_DT!$B134)</f>
        <v/>
      </c>
      <c r="C135" s="125">
        <f>IF($A135="","",SUMIFS(SDDK!$D$256:$D$375,SDDK!$A$256:$A$375,"131",SDDK!$B$256:$B$375,$A135))</f>
        <v/>
      </c>
      <c r="D135" s="125">
        <f>IF($A135="","",SUMIFS(SDDK!$E$256:$E$375,SDDK!$A$256:$A$375,"131",SDDK!$B$256:$B$375,$A135))</f>
        <v/>
      </c>
      <c r="E135" s="125">
        <f>IF($A135="","",SUMIFS(NKC!$H$7:$H$3006,NKC!$F$7:$F$3006,"131*",NKC!$I$7:$I$3006,$A135,NKC!$B$7:$B$3006,"&lt;="&amp;DEN_NGAY))</f>
        <v/>
      </c>
      <c r="F135" s="125">
        <f>IF($A135="","",SUMIFS(NKC!$H$7:$H$3006,NKC!$G$7:$G$3006,"131*",NKC!$I$7:$I$3006,$A135,NKC!$B$7:$B$3006,"&lt;="&amp;DEN_NGAY))</f>
        <v/>
      </c>
      <c r="G135" s="125">
        <f>IF($A135="","",MAX($C135-$D135+$E135-$F135,0))</f>
        <v/>
      </c>
      <c r="H135" s="125">
        <f>IF($A135="","",MAX(-($C135-$D135+$E135-$F135),0))</f>
        <v/>
      </c>
    </row>
    <row r="136" ht="15" customHeight="1" s="78">
      <c r="A136" s="96">
        <f>IF(DM_DT!$A135="","",DM_DT!$A135&amp;"")</f>
        <v/>
      </c>
      <c r="B136" s="97">
        <f>IF($A136="","",DM_DT!$B135)</f>
        <v/>
      </c>
      <c r="C136" s="125">
        <f>IF($A136="","",SUMIFS(SDDK!$D$256:$D$375,SDDK!$A$256:$A$375,"131",SDDK!$B$256:$B$375,$A136))</f>
        <v/>
      </c>
      <c r="D136" s="125">
        <f>IF($A136="","",SUMIFS(SDDK!$E$256:$E$375,SDDK!$A$256:$A$375,"131",SDDK!$B$256:$B$375,$A136))</f>
        <v/>
      </c>
      <c r="E136" s="125">
        <f>IF($A136="","",SUMIFS(NKC!$H$7:$H$3006,NKC!$F$7:$F$3006,"131*",NKC!$I$7:$I$3006,$A136,NKC!$B$7:$B$3006,"&lt;="&amp;DEN_NGAY))</f>
        <v/>
      </c>
      <c r="F136" s="125">
        <f>IF($A136="","",SUMIFS(NKC!$H$7:$H$3006,NKC!$G$7:$G$3006,"131*",NKC!$I$7:$I$3006,$A136,NKC!$B$7:$B$3006,"&lt;="&amp;DEN_NGAY))</f>
        <v/>
      </c>
      <c r="G136" s="125">
        <f>IF($A136="","",MAX($C136-$D136+$E136-$F136,0))</f>
        <v/>
      </c>
      <c r="H136" s="125">
        <f>IF($A136="","",MAX(-($C136-$D136+$E136-$F136),0))</f>
        <v/>
      </c>
    </row>
    <row r="137" ht="15" customHeight="1" s="78">
      <c r="A137" s="96">
        <f>IF(DM_DT!$A136="","",DM_DT!$A136&amp;"")</f>
        <v/>
      </c>
      <c r="B137" s="97">
        <f>IF($A137="","",DM_DT!$B136)</f>
        <v/>
      </c>
      <c r="C137" s="125">
        <f>IF($A137="","",SUMIFS(SDDK!$D$256:$D$375,SDDK!$A$256:$A$375,"131",SDDK!$B$256:$B$375,$A137))</f>
        <v/>
      </c>
      <c r="D137" s="125">
        <f>IF($A137="","",SUMIFS(SDDK!$E$256:$E$375,SDDK!$A$256:$A$375,"131",SDDK!$B$256:$B$375,$A137))</f>
        <v/>
      </c>
      <c r="E137" s="125">
        <f>IF($A137="","",SUMIFS(NKC!$H$7:$H$3006,NKC!$F$7:$F$3006,"131*",NKC!$I$7:$I$3006,$A137,NKC!$B$7:$B$3006,"&lt;="&amp;DEN_NGAY))</f>
        <v/>
      </c>
      <c r="F137" s="125">
        <f>IF($A137="","",SUMIFS(NKC!$H$7:$H$3006,NKC!$G$7:$G$3006,"131*",NKC!$I$7:$I$3006,$A137,NKC!$B$7:$B$3006,"&lt;="&amp;DEN_NGAY))</f>
        <v/>
      </c>
      <c r="G137" s="125">
        <f>IF($A137="","",MAX($C137-$D137+$E137-$F137,0))</f>
        <v/>
      </c>
      <c r="H137" s="125">
        <f>IF($A137="","",MAX(-($C137-$D137+$E137-$F137),0))</f>
        <v/>
      </c>
    </row>
    <row r="138" ht="15" customHeight="1" s="78">
      <c r="A138" s="96">
        <f>IF(DM_DT!$A137="","",DM_DT!$A137&amp;"")</f>
        <v/>
      </c>
      <c r="B138" s="97">
        <f>IF($A138="","",DM_DT!$B137)</f>
        <v/>
      </c>
      <c r="C138" s="125">
        <f>IF($A138="","",SUMIFS(SDDK!$D$256:$D$375,SDDK!$A$256:$A$375,"131",SDDK!$B$256:$B$375,$A138))</f>
        <v/>
      </c>
      <c r="D138" s="125">
        <f>IF($A138="","",SUMIFS(SDDK!$E$256:$E$375,SDDK!$A$256:$A$375,"131",SDDK!$B$256:$B$375,$A138))</f>
        <v/>
      </c>
      <c r="E138" s="125">
        <f>IF($A138="","",SUMIFS(NKC!$H$7:$H$3006,NKC!$F$7:$F$3006,"131*",NKC!$I$7:$I$3006,$A138,NKC!$B$7:$B$3006,"&lt;="&amp;DEN_NGAY))</f>
        <v/>
      </c>
      <c r="F138" s="125">
        <f>IF($A138="","",SUMIFS(NKC!$H$7:$H$3006,NKC!$G$7:$G$3006,"131*",NKC!$I$7:$I$3006,$A138,NKC!$B$7:$B$3006,"&lt;="&amp;DEN_NGAY))</f>
        <v/>
      </c>
      <c r="G138" s="125">
        <f>IF($A138="","",MAX($C138-$D138+$E138-$F138,0))</f>
        <v/>
      </c>
      <c r="H138" s="125">
        <f>IF($A138="","",MAX(-($C138-$D138+$E138-$F138),0))</f>
        <v/>
      </c>
    </row>
    <row r="139" ht="15" customHeight="1" s="78">
      <c r="A139" s="96">
        <f>IF(DM_DT!$A138="","",DM_DT!$A138&amp;"")</f>
        <v/>
      </c>
      <c r="B139" s="97">
        <f>IF($A139="","",DM_DT!$B138)</f>
        <v/>
      </c>
      <c r="C139" s="125">
        <f>IF($A139="","",SUMIFS(SDDK!$D$256:$D$375,SDDK!$A$256:$A$375,"131",SDDK!$B$256:$B$375,$A139))</f>
        <v/>
      </c>
      <c r="D139" s="125">
        <f>IF($A139="","",SUMIFS(SDDK!$E$256:$E$375,SDDK!$A$256:$A$375,"131",SDDK!$B$256:$B$375,$A139))</f>
        <v/>
      </c>
      <c r="E139" s="125">
        <f>IF($A139="","",SUMIFS(NKC!$H$7:$H$3006,NKC!$F$7:$F$3006,"131*",NKC!$I$7:$I$3006,$A139,NKC!$B$7:$B$3006,"&lt;="&amp;DEN_NGAY))</f>
        <v/>
      </c>
      <c r="F139" s="125">
        <f>IF($A139="","",SUMIFS(NKC!$H$7:$H$3006,NKC!$G$7:$G$3006,"131*",NKC!$I$7:$I$3006,$A139,NKC!$B$7:$B$3006,"&lt;="&amp;DEN_NGAY))</f>
        <v/>
      </c>
      <c r="G139" s="125">
        <f>IF($A139="","",MAX($C139-$D139+$E139-$F139,0))</f>
        <v/>
      </c>
      <c r="H139" s="125">
        <f>IF($A139="","",MAX(-($C139-$D139+$E139-$F139),0))</f>
        <v/>
      </c>
    </row>
    <row r="140" ht="15" customHeight="1" s="78">
      <c r="A140" s="96">
        <f>IF(DM_DT!$A139="","",DM_DT!$A139&amp;"")</f>
        <v/>
      </c>
      <c r="B140" s="97">
        <f>IF($A140="","",DM_DT!$B139)</f>
        <v/>
      </c>
      <c r="C140" s="125">
        <f>IF($A140="","",SUMIFS(SDDK!$D$256:$D$375,SDDK!$A$256:$A$375,"131",SDDK!$B$256:$B$375,$A140))</f>
        <v/>
      </c>
      <c r="D140" s="125">
        <f>IF($A140="","",SUMIFS(SDDK!$E$256:$E$375,SDDK!$A$256:$A$375,"131",SDDK!$B$256:$B$375,$A140))</f>
        <v/>
      </c>
      <c r="E140" s="125">
        <f>IF($A140="","",SUMIFS(NKC!$H$7:$H$3006,NKC!$F$7:$F$3006,"131*",NKC!$I$7:$I$3006,$A140,NKC!$B$7:$B$3006,"&lt;="&amp;DEN_NGAY))</f>
        <v/>
      </c>
      <c r="F140" s="125">
        <f>IF($A140="","",SUMIFS(NKC!$H$7:$H$3006,NKC!$G$7:$G$3006,"131*",NKC!$I$7:$I$3006,$A140,NKC!$B$7:$B$3006,"&lt;="&amp;DEN_NGAY))</f>
        <v/>
      </c>
      <c r="G140" s="125">
        <f>IF($A140="","",MAX($C140-$D140+$E140-$F140,0))</f>
        <v/>
      </c>
      <c r="H140" s="125">
        <f>IF($A140="","",MAX(-($C140-$D140+$E140-$F140),0))</f>
        <v/>
      </c>
    </row>
    <row r="141" ht="15" customHeight="1" s="78">
      <c r="A141" s="96">
        <f>IF(DM_DT!$A140="","",DM_DT!$A140&amp;"")</f>
        <v/>
      </c>
      <c r="B141" s="97">
        <f>IF($A141="","",DM_DT!$B140)</f>
        <v/>
      </c>
      <c r="C141" s="125">
        <f>IF($A141="","",SUMIFS(SDDK!$D$256:$D$375,SDDK!$A$256:$A$375,"131",SDDK!$B$256:$B$375,$A141))</f>
        <v/>
      </c>
      <c r="D141" s="125">
        <f>IF($A141="","",SUMIFS(SDDK!$E$256:$E$375,SDDK!$A$256:$A$375,"131",SDDK!$B$256:$B$375,$A141))</f>
        <v/>
      </c>
      <c r="E141" s="125">
        <f>IF($A141="","",SUMIFS(NKC!$H$7:$H$3006,NKC!$F$7:$F$3006,"131*",NKC!$I$7:$I$3006,$A141,NKC!$B$7:$B$3006,"&lt;="&amp;DEN_NGAY))</f>
        <v/>
      </c>
      <c r="F141" s="125">
        <f>IF($A141="","",SUMIFS(NKC!$H$7:$H$3006,NKC!$G$7:$G$3006,"131*",NKC!$I$7:$I$3006,$A141,NKC!$B$7:$B$3006,"&lt;="&amp;DEN_NGAY))</f>
        <v/>
      </c>
      <c r="G141" s="125">
        <f>IF($A141="","",MAX($C141-$D141+$E141-$F141,0))</f>
        <v/>
      </c>
      <c r="H141" s="125">
        <f>IF($A141="","",MAX(-($C141-$D141+$E141-$F141),0))</f>
        <v/>
      </c>
    </row>
    <row r="142" ht="15" customHeight="1" s="78">
      <c r="A142" s="96">
        <f>IF(DM_DT!$A141="","",DM_DT!$A141&amp;"")</f>
        <v/>
      </c>
      <c r="B142" s="97">
        <f>IF($A142="","",DM_DT!$B141)</f>
        <v/>
      </c>
      <c r="C142" s="125">
        <f>IF($A142="","",SUMIFS(SDDK!$D$256:$D$375,SDDK!$A$256:$A$375,"131",SDDK!$B$256:$B$375,$A142))</f>
        <v/>
      </c>
      <c r="D142" s="125">
        <f>IF($A142="","",SUMIFS(SDDK!$E$256:$E$375,SDDK!$A$256:$A$375,"131",SDDK!$B$256:$B$375,$A142))</f>
        <v/>
      </c>
      <c r="E142" s="125">
        <f>IF($A142="","",SUMIFS(NKC!$H$7:$H$3006,NKC!$F$7:$F$3006,"131*",NKC!$I$7:$I$3006,$A142,NKC!$B$7:$B$3006,"&lt;="&amp;DEN_NGAY))</f>
        <v/>
      </c>
      <c r="F142" s="125">
        <f>IF($A142="","",SUMIFS(NKC!$H$7:$H$3006,NKC!$G$7:$G$3006,"131*",NKC!$I$7:$I$3006,$A142,NKC!$B$7:$B$3006,"&lt;="&amp;DEN_NGAY))</f>
        <v/>
      </c>
      <c r="G142" s="125">
        <f>IF($A142="","",MAX($C142-$D142+$E142-$F142,0))</f>
        <v/>
      </c>
      <c r="H142" s="125">
        <f>IF($A142="","",MAX(-($C142-$D142+$E142-$F142),0))</f>
        <v/>
      </c>
    </row>
    <row r="143" ht="15" customHeight="1" s="78">
      <c r="A143" s="96">
        <f>IF(DM_DT!$A142="","",DM_DT!$A142&amp;"")</f>
        <v/>
      </c>
      <c r="B143" s="97">
        <f>IF($A143="","",DM_DT!$B142)</f>
        <v/>
      </c>
      <c r="C143" s="125">
        <f>IF($A143="","",SUMIFS(SDDK!$D$256:$D$375,SDDK!$A$256:$A$375,"131",SDDK!$B$256:$B$375,$A143))</f>
        <v/>
      </c>
      <c r="D143" s="125">
        <f>IF($A143="","",SUMIFS(SDDK!$E$256:$E$375,SDDK!$A$256:$A$375,"131",SDDK!$B$256:$B$375,$A143))</f>
        <v/>
      </c>
      <c r="E143" s="125">
        <f>IF($A143="","",SUMIFS(NKC!$H$7:$H$3006,NKC!$F$7:$F$3006,"131*",NKC!$I$7:$I$3006,$A143,NKC!$B$7:$B$3006,"&lt;="&amp;DEN_NGAY))</f>
        <v/>
      </c>
      <c r="F143" s="125">
        <f>IF($A143="","",SUMIFS(NKC!$H$7:$H$3006,NKC!$G$7:$G$3006,"131*",NKC!$I$7:$I$3006,$A143,NKC!$B$7:$B$3006,"&lt;="&amp;DEN_NGAY))</f>
        <v/>
      </c>
      <c r="G143" s="125">
        <f>IF($A143="","",MAX($C143-$D143+$E143-$F143,0))</f>
        <v/>
      </c>
      <c r="H143" s="125">
        <f>IF($A143="","",MAX(-($C143-$D143+$E143-$F143),0))</f>
        <v/>
      </c>
    </row>
    <row r="144" ht="15" customHeight="1" s="78">
      <c r="A144" s="96">
        <f>IF(DM_DT!$A143="","",DM_DT!$A143&amp;"")</f>
        <v/>
      </c>
      <c r="B144" s="97">
        <f>IF($A144="","",DM_DT!$B143)</f>
        <v/>
      </c>
      <c r="C144" s="125">
        <f>IF($A144="","",SUMIFS(SDDK!$D$256:$D$375,SDDK!$A$256:$A$375,"131",SDDK!$B$256:$B$375,$A144))</f>
        <v/>
      </c>
      <c r="D144" s="125">
        <f>IF($A144="","",SUMIFS(SDDK!$E$256:$E$375,SDDK!$A$256:$A$375,"131",SDDK!$B$256:$B$375,$A144))</f>
        <v/>
      </c>
      <c r="E144" s="125">
        <f>IF($A144="","",SUMIFS(NKC!$H$7:$H$3006,NKC!$F$7:$F$3006,"131*",NKC!$I$7:$I$3006,$A144,NKC!$B$7:$B$3006,"&lt;="&amp;DEN_NGAY))</f>
        <v/>
      </c>
      <c r="F144" s="125">
        <f>IF($A144="","",SUMIFS(NKC!$H$7:$H$3006,NKC!$G$7:$G$3006,"131*",NKC!$I$7:$I$3006,$A144,NKC!$B$7:$B$3006,"&lt;="&amp;DEN_NGAY))</f>
        <v/>
      </c>
      <c r="G144" s="125">
        <f>IF($A144="","",MAX($C144-$D144+$E144-$F144,0))</f>
        <v/>
      </c>
      <c r="H144" s="125">
        <f>IF($A144="","",MAX(-($C144-$D144+$E144-$F144),0))</f>
        <v/>
      </c>
    </row>
    <row r="145" ht="15" customHeight="1" s="78">
      <c r="A145" s="96">
        <f>IF(DM_DT!$A144="","",DM_DT!$A144&amp;"")</f>
        <v/>
      </c>
      <c r="B145" s="97">
        <f>IF($A145="","",DM_DT!$B144)</f>
        <v/>
      </c>
      <c r="C145" s="125">
        <f>IF($A145="","",SUMIFS(SDDK!$D$256:$D$375,SDDK!$A$256:$A$375,"131",SDDK!$B$256:$B$375,$A145))</f>
        <v/>
      </c>
      <c r="D145" s="125">
        <f>IF($A145="","",SUMIFS(SDDK!$E$256:$E$375,SDDK!$A$256:$A$375,"131",SDDK!$B$256:$B$375,$A145))</f>
        <v/>
      </c>
      <c r="E145" s="125">
        <f>IF($A145="","",SUMIFS(NKC!$H$7:$H$3006,NKC!$F$7:$F$3006,"131*",NKC!$I$7:$I$3006,$A145,NKC!$B$7:$B$3006,"&lt;="&amp;DEN_NGAY))</f>
        <v/>
      </c>
      <c r="F145" s="125">
        <f>IF($A145="","",SUMIFS(NKC!$H$7:$H$3006,NKC!$G$7:$G$3006,"131*",NKC!$I$7:$I$3006,$A145,NKC!$B$7:$B$3006,"&lt;="&amp;DEN_NGAY))</f>
        <v/>
      </c>
      <c r="G145" s="125">
        <f>IF($A145="","",MAX($C145-$D145+$E145-$F145,0))</f>
        <v/>
      </c>
      <c r="H145" s="125">
        <f>IF($A145="","",MAX(-($C145-$D145+$E145-$F145),0))</f>
        <v/>
      </c>
    </row>
    <row r="146" ht="15" customHeight="1" s="78">
      <c r="A146" s="96">
        <f>IF(DM_DT!$A145="","",DM_DT!$A145&amp;"")</f>
        <v/>
      </c>
      <c r="B146" s="97">
        <f>IF($A146="","",DM_DT!$B145)</f>
        <v/>
      </c>
      <c r="C146" s="125">
        <f>IF($A146="","",SUMIFS(SDDK!$D$256:$D$375,SDDK!$A$256:$A$375,"131",SDDK!$B$256:$B$375,$A146))</f>
        <v/>
      </c>
      <c r="D146" s="125">
        <f>IF($A146="","",SUMIFS(SDDK!$E$256:$E$375,SDDK!$A$256:$A$375,"131",SDDK!$B$256:$B$375,$A146))</f>
        <v/>
      </c>
      <c r="E146" s="125">
        <f>IF($A146="","",SUMIFS(NKC!$H$7:$H$3006,NKC!$F$7:$F$3006,"131*",NKC!$I$7:$I$3006,$A146,NKC!$B$7:$B$3006,"&lt;="&amp;DEN_NGAY))</f>
        <v/>
      </c>
      <c r="F146" s="125">
        <f>IF($A146="","",SUMIFS(NKC!$H$7:$H$3006,NKC!$G$7:$G$3006,"131*",NKC!$I$7:$I$3006,$A146,NKC!$B$7:$B$3006,"&lt;="&amp;DEN_NGAY))</f>
        <v/>
      </c>
      <c r="G146" s="125">
        <f>IF($A146="","",MAX($C146-$D146+$E146-$F146,0))</f>
        <v/>
      </c>
      <c r="H146" s="125">
        <f>IF($A146="","",MAX(-($C146-$D146+$E146-$F146),0))</f>
        <v/>
      </c>
    </row>
    <row r="147" ht="15" customHeight="1" s="78">
      <c r="A147" s="96">
        <f>IF(DM_DT!$A146="","",DM_DT!$A146&amp;"")</f>
        <v/>
      </c>
      <c r="B147" s="97">
        <f>IF($A147="","",DM_DT!$B146)</f>
        <v/>
      </c>
      <c r="C147" s="125">
        <f>IF($A147="","",SUMIFS(SDDK!$D$256:$D$375,SDDK!$A$256:$A$375,"131",SDDK!$B$256:$B$375,$A147))</f>
        <v/>
      </c>
      <c r="D147" s="125">
        <f>IF($A147="","",SUMIFS(SDDK!$E$256:$E$375,SDDK!$A$256:$A$375,"131",SDDK!$B$256:$B$375,$A147))</f>
        <v/>
      </c>
      <c r="E147" s="125">
        <f>IF($A147="","",SUMIFS(NKC!$H$7:$H$3006,NKC!$F$7:$F$3006,"131*",NKC!$I$7:$I$3006,$A147,NKC!$B$7:$B$3006,"&lt;="&amp;DEN_NGAY))</f>
        <v/>
      </c>
      <c r="F147" s="125">
        <f>IF($A147="","",SUMIFS(NKC!$H$7:$H$3006,NKC!$G$7:$G$3006,"131*",NKC!$I$7:$I$3006,$A147,NKC!$B$7:$B$3006,"&lt;="&amp;DEN_NGAY))</f>
        <v/>
      </c>
      <c r="G147" s="125">
        <f>IF($A147="","",MAX($C147-$D147+$E147-$F147,0))</f>
        <v/>
      </c>
      <c r="H147" s="125">
        <f>IF($A147="","",MAX(-($C147-$D147+$E147-$F147),0))</f>
        <v/>
      </c>
    </row>
    <row r="148" ht="15" customHeight="1" s="78">
      <c r="A148" s="96">
        <f>IF(DM_DT!$A147="","",DM_DT!$A147&amp;"")</f>
        <v/>
      </c>
      <c r="B148" s="97">
        <f>IF($A148="","",DM_DT!$B147)</f>
        <v/>
      </c>
      <c r="C148" s="125">
        <f>IF($A148="","",SUMIFS(SDDK!$D$256:$D$375,SDDK!$A$256:$A$375,"131",SDDK!$B$256:$B$375,$A148))</f>
        <v/>
      </c>
      <c r="D148" s="125">
        <f>IF($A148="","",SUMIFS(SDDK!$E$256:$E$375,SDDK!$A$256:$A$375,"131",SDDK!$B$256:$B$375,$A148))</f>
        <v/>
      </c>
      <c r="E148" s="125">
        <f>IF($A148="","",SUMIFS(NKC!$H$7:$H$3006,NKC!$F$7:$F$3006,"131*",NKC!$I$7:$I$3006,$A148,NKC!$B$7:$B$3006,"&lt;="&amp;DEN_NGAY))</f>
        <v/>
      </c>
      <c r="F148" s="125">
        <f>IF($A148="","",SUMIFS(NKC!$H$7:$H$3006,NKC!$G$7:$G$3006,"131*",NKC!$I$7:$I$3006,$A148,NKC!$B$7:$B$3006,"&lt;="&amp;DEN_NGAY))</f>
        <v/>
      </c>
      <c r="G148" s="125">
        <f>IF($A148="","",MAX($C148-$D148+$E148-$F148,0))</f>
        <v/>
      </c>
      <c r="H148" s="125">
        <f>IF($A148="","",MAX(-($C148-$D148+$E148-$F148),0))</f>
        <v/>
      </c>
    </row>
    <row r="149" ht="15" customHeight="1" s="78">
      <c r="A149" s="96">
        <f>IF(DM_DT!$A148="","",DM_DT!$A148&amp;"")</f>
        <v/>
      </c>
      <c r="B149" s="97">
        <f>IF($A149="","",DM_DT!$B148)</f>
        <v/>
      </c>
      <c r="C149" s="125">
        <f>IF($A149="","",SUMIFS(SDDK!$D$256:$D$375,SDDK!$A$256:$A$375,"131",SDDK!$B$256:$B$375,$A149))</f>
        <v/>
      </c>
      <c r="D149" s="125">
        <f>IF($A149="","",SUMIFS(SDDK!$E$256:$E$375,SDDK!$A$256:$A$375,"131",SDDK!$B$256:$B$375,$A149))</f>
        <v/>
      </c>
      <c r="E149" s="125">
        <f>IF($A149="","",SUMIFS(NKC!$H$7:$H$3006,NKC!$F$7:$F$3006,"131*",NKC!$I$7:$I$3006,$A149,NKC!$B$7:$B$3006,"&lt;="&amp;DEN_NGAY))</f>
        <v/>
      </c>
      <c r="F149" s="125">
        <f>IF($A149="","",SUMIFS(NKC!$H$7:$H$3006,NKC!$G$7:$G$3006,"131*",NKC!$I$7:$I$3006,$A149,NKC!$B$7:$B$3006,"&lt;="&amp;DEN_NGAY))</f>
        <v/>
      </c>
      <c r="G149" s="125">
        <f>IF($A149="","",MAX($C149-$D149+$E149-$F149,0))</f>
        <v/>
      </c>
      <c r="H149" s="125">
        <f>IF($A149="","",MAX(-($C149-$D149+$E149-$F149),0))</f>
        <v/>
      </c>
    </row>
    <row r="150" ht="15" customHeight="1" s="78">
      <c r="A150" s="96">
        <f>IF(DM_DT!$A149="","",DM_DT!$A149&amp;"")</f>
        <v/>
      </c>
      <c r="B150" s="97">
        <f>IF($A150="","",DM_DT!$B149)</f>
        <v/>
      </c>
      <c r="C150" s="125">
        <f>IF($A150="","",SUMIFS(SDDK!$D$256:$D$375,SDDK!$A$256:$A$375,"131",SDDK!$B$256:$B$375,$A150))</f>
        <v/>
      </c>
      <c r="D150" s="125">
        <f>IF($A150="","",SUMIFS(SDDK!$E$256:$E$375,SDDK!$A$256:$A$375,"131",SDDK!$B$256:$B$375,$A150))</f>
        <v/>
      </c>
      <c r="E150" s="125">
        <f>IF($A150="","",SUMIFS(NKC!$H$7:$H$3006,NKC!$F$7:$F$3006,"131*",NKC!$I$7:$I$3006,$A150,NKC!$B$7:$B$3006,"&lt;="&amp;DEN_NGAY))</f>
        <v/>
      </c>
      <c r="F150" s="125">
        <f>IF($A150="","",SUMIFS(NKC!$H$7:$H$3006,NKC!$G$7:$G$3006,"131*",NKC!$I$7:$I$3006,$A150,NKC!$B$7:$B$3006,"&lt;="&amp;DEN_NGAY))</f>
        <v/>
      </c>
      <c r="G150" s="125">
        <f>IF($A150="","",MAX($C150-$D150+$E150-$F150,0))</f>
        <v/>
      </c>
      <c r="H150" s="125">
        <f>IF($A150="","",MAX(-($C150-$D150+$E150-$F150),0))</f>
        <v/>
      </c>
    </row>
    <row r="151" ht="15" customHeight="1" s="78">
      <c r="A151" s="96">
        <f>IF(DM_DT!$A150="","",DM_DT!$A150&amp;"")</f>
        <v/>
      </c>
      <c r="B151" s="97">
        <f>IF($A151="","",DM_DT!$B150)</f>
        <v/>
      </c>
      <c r="C151" s="125">
        <f>IF($A151="","",SUMIFS(SDDK!$D$256:$D$375,SDDK!$A$256:$A$375,"131",SDDK!$B$256:$B$375,$A151))</f>
        <v/>
      </c>
      <c r="D151" s="125">
        <f>IF($A151="","",SUMIFS(SDDK!$E$256:$E$375,SDDK!$A$256:$A$375,"131",SDDK!$B$256:$B$375,$A151))</f>
        <v/>
      </c>
      <c r="E151" s="125">
        <f>IF($A151="","",SUMIFS(NKC!$H$7:$H$3006,NKC!$F$7:$F$3006,"131*",NKC!$I$7:$I$3006,$A151,NKC!$B$7:$B$3006,"&lt;="&amp;DEN_NGAY))</f>
        <v/>
      </c>
      <c r="F151" s="125">
        <f>IF($A151="","",SUMIFS(NKC!$H$7:$H$3006,NKC!$G$7:$G$3006,"131*",NKC!$I$7:$I$3006,$A151,NKC!$B$7:$B$3006,"&lt;="&amp;DEN_NGAY))</f>
        <v/>
      </c>
      <c r="G151" s="125">
        <f>IF($A151="","",MAX($C151-$D151+$E151-$F151,0))</f>
        <v/>
      </c>
      <c r="H151" s="125">
        <f>IF($A151="","",MAX(-($C151-$D151+$E151-$F151),0))</f>
        <v/>
      </c>
    </row>
    <row r="152" ht="15" customHeight="1" s="78">
      <c r="A152" s="96">
        <f>IF(DM_DT!$A151="","",DM_DT!$A151&amp;"")</f>
        <v/>
      </c>
      <c r="B152" s="97">
        <f>IF($A152="","",DM_DT!$B151)</f>
        <v/>
      </c>
      <c r="C152" s="125">
        <f>IF($A152="","",SUMIFS(SDDK!$D$256:$D$375,SDDK!$A$256:$A$375,"131",SDDK!$B$256:$B$375,$A152))</f>
        <v/>
      </c>
      <c r="D152" s="125">
        <f>IF($A152="","",SUMIFS(SDDK!$E$256:$E$375,SDDK!$A$256:$A$375,"131",SDDK!$B$256:$B$375,$A152))</f>
        <v/>
      </c>
      <c r="E152" s="125">
        <f>IF($A152="","",SUMIFS(NKC!$H$7:$H$3006,NKC!$F$7:$F$3006,"131*",NKC!$I$7:$I$3006,$A152,NKC!$B$7:$B$3006,"&lt;="&amp;DEN_NGAY))</f>
        <v/>
      </c>
      <c r="F152" s="125">
        <f>IF($A152="","",SUMIFS(NKC!$H$7:$H$3006,NKC!$G$7:$G$3006,"131*",NKC!$I$7:$I$3006,$A152,NKC!$B$7:$B$3006,"&lt;="&amp;DEN_NGAY))</f>
        <v/>
      </c>
      <c r="G152" s="125">
        <f>IF($A152="","",MAX($C152-$D152+$E152-$F152,0))</f>
        <v/>
      </c>
      <c r="H152" s="125">
        <f>IF($A152="","",MAX(-($C152-$D152+$E152-$F152),0))</f>
        <v/>
      </c>
    </row>
    <row r="153" ht="15" customHeight="1" s="78">
      <c r="A153" s="96">
        <f>IF(DM_DT!$A152="","",DM_DT!$A152&amp;"")</f>
        <v/>
      </c>
      <c r="B153" s="97">
        <f>IF($A153="","",DM_DT!$B152)</f>
        <v/>
      </c>
      <c r="C153" s="125">
        <f>IF($A153="","",SUMIFS(SDDK!$D$256:$D$375,SDDK!$A$256:$A$375,"131",SDDK!$B$256:$B$375,$A153))</f>
        <v/>
      </c>
      <c r="D153" s="125">
        <f>IF($A153="","",SUMIFS(SDDK!$E$256:$E$375,SDDK!$A$256:$A$375,"131",SDDK!$B$256:$B$375,$A153))</f>
        <v/>
      </c>
      <c r="E153" s="125">
        <f>IF($A153="","",SUMIFS(NKC!$H$7:$H$3006,NKC!$F$7:$F$3006,"131*",NKC!$I$7:$I$3006,$A153,NKC!$B$7:$B$3006,"&lt;="&amp;DEN_NGAY))</f>
        <v/>
      </c>
      <c r="F153" s="125">
        <f>IF($A153="","",SUMIFS(NKC!$H$7:$H$3006,NKC!$G$7:$G$3006,"131*",NKC!$I$7:$I$3006,$A153,NKC!$B$7:$B$3006,"&lt;="&amp;DEN_NGAY))</f>
        <v/>
      </c>
      <c r="G153" s="125">
        <f>IF($A153="","",MAX($C153-$D153+$E153-$F153,0))</f>
        <v/>
      </c>
      <c r="H153" s="125">
        <f>IF($A153="","",MAX(-($C153-$D153+$E153-$F153),0))</f>
        <v/>
      </c>
    </row>
    <row r="154" ht="15" customHeight="1" s="78">
      <c r="A154" s="96">
        <f>IF(DM_DT!$A153="","",DM_DT!$A153&amp;"")</f>
        <v/>
      </c>
      <c r="B154" s="97">
        <f>IF($A154="","",DM_DT!$B153)</f>
        <v/>
      </c>
      <c r="C154" s="125">
        <f>IF($A154="","",SUMIFS(SDDK!$D$256:$D$375,SDDK!$A$256:$A$375,"131",SDDK!$B$256:$B$375,$A154))</f>
        <v/>
      </c>
      <c r="D154" s="125">
        <f>IF($A154="","",SUMIFS(SDDK!$E$256:$E$375,SDDK!$A$256:$A$375,"131",SDDK!$B$256:$B$375,$A154))</f>
        <v/>
      </c>
      <c r="E154" s="125">
        <f>IF($A154="","",SUMIFS(NKC!$H$7:$H$3006,NKC!$F$7:$F$3006,"131*",NKC!$I$7:$I$3006,$A154,NKC!$B$7:$B$3006,"&lt;="&amp;DEN_NGAY))</f>
        <v/>
      </c>
      <c r="F154" s="125">
        <f>IF($A154="","",SUMIFS(NKC!$H$7:$H$3006,NKC!$G$7:$G$3006,"131*",NKC!$I$7:$I$3006,$A154,NKC!$B$7:$B$3006,"&lt;="&amp;DEN_NGAY))</f>
        <v/>
      </c>
      <c r="G154" s="125">
        <f>IF($A154="","",MAX($C154-$D154+$E154-$F154,0))</f>
        <v/>
      </c>
      <c r="H154" s="125">
        <f>IF($A154="","",MAX(-($C154-$D154+$E154-$F154),0))</f>
        <v/>
      </c>
    </row>
    <row r="155" ht="15" customHeight="1" s="78">
      <c r="A155" s="96">
        <f>IF(DM_DT!$A154="","",DM_DT!$A154&amp;"")</f>
        <v/>
      </c>
      <c r="B155" s="97">
        <f>IF($A155="","",DM_DT!$B154)</f>
        <v/>
      </c>
      <c r="C155" s="125">
        <f>IF($A155="","",SUMIFS(SDDK!$D$256:$D$375,SDDK!$A$256:$A$375,"131",SDDK!$B$256:$B$375,$A155))</f>
        <v/>
      </c>
      <c r="D155" s="125">
        <f>IF($A155="","",SUMIFS(SDDK!$E$256:$E$375,SDDK!$A$256:$A$375,"131",SDDK!$B$256:$B$375,$A155))</f>
        <v/>
      </c>
      <c r="E155" s="125">
        <f>IF($A155="","",SUMIFS(NKC!$H$7:$H$3006,NKC!$F$7:$F$3006,"131*",NKC!$I$7:$I$3006,$A155,NKC!$B$7:$B$3006,"&lt;="&amp;DEN_NGAY))</f>
        <v/>
      </c>
      <c r="F155" s="125">
        <f>IF($A155="","",SUMIFS(NKC!$H$7:$H$3006,NKC!$G$7:$G$3006,"131*",NKC!$I$7:$I$3006,$A155,NKC!$B$7:$B$3006,"&lt;="&amp;DEN_NGAY))</f>
        <v/>
      </c>
      <c r="G155" s="125">
        <f>IF($A155="","",MAX($C155-$D155+$E155-$F155,0))</f>
        <v/>
      </c>
      <c r="H155" s="125">
        <f>IF($A155="","",MAX(-($C155-$D155+$E155-$F155),0))</f>
        <v/>
      </c>
    </row>
    <row r="156" ht="15" customHeight="1" s="78">
      <c r="A156" s="96">
        <f>IF(DM_DT!$A155="","",DM_DT!$A155&amp;"")</f>
        <v/>
      </c>
      <c r="B156" s="97">
        <f>IF($A156="","",DM_DT!$B155)</f>
        <v/>
      </c>
      <c r="C156" s="125">
        <f>IF($A156="","",SUMIFS(SDDK!$D$256:$D$375,SDDK!$A$256:$A$375,"131",SDDK!$B$256:$B$375,$A156))</f>
        <v/>
      </c>
      <c r="D156" s="125">
        <f>IF($A156="","",SUMIFS(SDDK!$E$256:$E$375,SDDK!$A$256:$A$375,"131",SDDK!$B$256:$B$375,$A156))</f>
        <v/>
      </c>
      <c r="E156" s="125">
        <f>IF($A156="","",SUMIFS(NKC!$H$7:$H$3006,NKC!$F$7:$F$3006,"131*",NKC!$I$7:$I$3006,$A156,NKC!$B$7:$B$3006,"&lt;="&amp;DEN_NGAY))</f>
        <v/>
      </c>
      <c r="F156" s="125">
        <f>IF($A156="","",SUMIFS(NKC!$H$7:$H$3006,NKC!$G$7:$G$3006,"131*",NKC!$I$7:$I$3006,$A156,NKC!$B$7:$B$3006,"&lt;="&amp;DEN_NGAY))</f>
        <v/>
      </c>
      <c r="G156" s="125">
        <f>IF($A156="","",MAX($C156-$D156+$E156-$F156,0))</f>
        <v/>
      </c>
      <c r="H156" s="125">
        <f>IF($A156="","",MAX(-($C156-$D156+$E156-$F156),0))</f>
        <v/>
      </c>
    </row>
    <row r="157" ht="15" customHeight="1" s="78">
      <c r="A157" s="96">
        <f>IF(DM_DT!$A156="","",DM_DT!$A156&amp;"")</f>
        <v/>
      </c>
      <c r="B157" s="97">
        <f>IF($A157="","",DM_DT!$B156)</f>
        <v/>
      </c>
      <c r="C157" s="125">
        <f>IF($A157="","",SUMIFS(SDDK!$D$256:$D$375,SDDK!$A$256:$A$375,"131",SDDK!$B$256:$B$375,$A157))</f>
        <v/>
      </c>
      <c r="D157" s="125">
        <f>IF($A157="","",SUMIFS(SDDK!$E$256:$E$375,SDDK!$A$256:$A$375,"131",SDDK!$B$256:$B$375,$A157))</f>
        <v/>
      </c>
      <c r="E157" s="125">
        <f>IF($A157="","",SUMIFS(NKC!$H$7:$H$3006,NKC!$F$7:$F$3006,"131*",NKC!$I$7:$I$3006,$A157,NKC!$B$7:$B$3006,"&lt;="&amp;DEN_NGAY))</f>
        <v/>
      </c>
      <c r="F157" s="125">
        <f>IF($A157="","",SUMIFS(NKC!$H$7:$H$3006,NKC!$G$7:$G$3006,"131*",NKC!$I$7:$I$3006,$A157,NKC!$B$7:$B$3006,"&lt;="&amp;DEN_NGAY))</f>
        <v/>
      </c>
      <c r="G157" s="125">
        <f>IF($A157="","",MAX($C157-$D157+$E157-$F157,0))</f>
        <v/>
      </c>
      <c r="H157" s="125">
        <f>IF($A157="","",MAX(-($C157-$D157+$E157-$F157),0))</f>
        <v/>
      </c>
    </row>
    <row r="158" ht="15" customHeight="1" s="78">
      <c r="A158" s="96">
        <f>IF(DM_DT!$A157="","",DM_DT!$A157&amp;"")</f>
        <v/>
      </c>
      <c r="B158" s="97">
        <f>IF($A158="","",DM_DT!$B157)</f>
        <v/>
      </c>
      <c r="C158" s="125">
        <f>IF($A158="","",SUMIFS(SDDK!$D$256:$D$375,SDDK!$A$256:$A$375,"131",SDDK!$B$256:$B$375,$A158))</f>
        <v/>
      </c>
      <c r="D158" s="125">
        <f>IF($A158="","",SUMIFS(SDDK!$E$256:$E$375,SDDK!$A$256:$A$375,"131",SDDK!$B$256:$B$375,$A158))</f>
        <v/>
      </c>
      <c r="E158" s="125">
        <f>IF($A158="","",SUMIFS(NKC!$H$7:$H$3006,NKC!$F$7:$F$3006,"131*",NKC!$I$7:$I$3006,$A158,NKC!$B$7:$B$3006,"&lt;="&amp;DEN_NGAY))</f>
        <v/>
      </c>
      <c r="F158" s="125">
        <f>IF($A158="","",SUMIFS(NKC!$H$7:$H$3006,NKC!$G$7:$G$3006,"131*",NKC!$I$7:$I$3006,$A158,NKC!$B$7:$B$3006,"&lt;="&amp;DEN_NGAY))</f>
        <v/>
      </c>
      <c r="G158" s="125">
        <f>IF($A158="","",MAX($C158-$D158+$E158-$F158,0))</f>
        <v/>
      </c>
      <c r="H158" s="125">
        <f>IF($A158="","",MAX(-($C158-$D158+$E158-$F158),0))</f>
        <v/>
      </c>
    </row>
    <row r="159" ht="15" customHeight="1" s="78">
      <c r="A159" s="96">
        <f>IF(DM_DT!$A158="","",DM_DT!$A158&amp;"")</f>
        <v/>
      </c>
      <c r="B159" s="97">
        <f>IF($A159="","",DM_DT!$B158)</f>
        <v/>
      </c>
      <c r="C159" s="125">
        <f>IF($A159="","",SUMIFS(SDDK!$D$256:$D$375,SDDK!$A$256:$A$375,"131",SDDK!$B$256:$B$375,$A159))</f>
        <v/>
      </c>
      <c r="D159" s="125">
        <f>IF($A159="","",SUMIFS(SDDK!$E$256:$E$375,SDDK!$A$256:$A$375,"131",SDDK!$B$256:$B$375,$A159))</f>
        <v/>
      </c>
      <c r="E159" s="125">
        <f>IF($A159="","",SUMIFS(NKC!$H$7:$H$3006,NKC!$F$7:$F$3006,"131*",NKC!$I$7:$I$3006,$A159,NKC!$B$7:$B$3006,"&lt;="&amp;DEN_NGAY))</f>
        <v/>
      </c>
      <c r="F159" s="125">
        <f>IF($A159="","",SUMIFS(NKC!$H$7:$H$3006,NKC!$G$7:$G$3006,"131*",NKC!$I$7:$I$3006,$A159,NKC!$B$7:$B$3006,"&lt;="&amp;DEN_NGAY))</f>
        <v/>
      </c>
      <c r="G159" s="125">
        <f>IF($A159="","",MAX($C159-$D159+$E159-$F159,0))</f>
        <v/>
      </c>
      <c r="H159" s="125">
        <f>IF($A159="","",MAX(-($C159-$D159+$E159-$F159),0))</f>
        <v/>
      </c>
    </row>
    <row r="160" ht="15" customHeight="1" s="78">
      <c r="A160" s="96">
        <f>IF(DM_DT!$A159="","",DM_DT!$A159&amp;"")</f>
        <v/>
      </c>
      <c r="B160" s="97">
        <f>IF($A160="","",DM_DT!$B159)</f>
        <v/>
      </c>
      <c r="C160" s="125">
        <f>IF($A160="","",SUMIFS(SDDK!$D$256:$D$375,SDDK!$A$256:$A$375,"131",SDDK!$B$256:$B$375,$A160))</f>
        <v/>
      </c>
      <c r="D160" s="125">
        <f>IF($A160="","",SUMIFS(SDDK!$E$256:$E$375,SDDK!$A$256:$A$375,"131",SDDK!$B$256:$B$375,$A160))</f>
        <v/>
      </c>
      <c r="E160" s="125">
        <f>IF($A160="","",SUMIFS(NKC!$H$7:$H$3006,NKC!$F$7:$F$3006,"131*",NKC!$I$7:$I$3006,$A160,NKC!$B$7:$B$3006,"&lt;="&amp;DEN_NGAY))</f>
        <v/>
      </c>
      <c r="F160" s="125">
        <f>IF($A160="","",SUMIFS(NKC!$H$7:$H$3006,NKC!$G$7:$G$3006,"131*",NKC!$I$7:$I$3006,$A160,NKC!$B$7:$B$3006,"&lt;="&amp;DEN_NGAY))</f>
        <v/>
      </c>
      <c r="G160" s="125">
        <f>IF($A160="","",MAX($C160-$D160+$E160-$F160,0))</f>
        <v/>
      </c>
      <c r="H160" s="125">
        <f>IF($A160="","",MAX(-($C160-$D160+$E160-$F160),0))</f>
        <v/>
      </c>
    </row>
    <row r="161" ht="15" customHeight="1" s="78">
      <c r="A161" s="96">
        <f>IF(DM_DT!$A160="","",DM_DT!$A160&amp;"")</f>
        <v/>
      </c>
      <c r="B161" s="97">
        <f>IF($A161="","",DM_DT!$B160)</f>
        <v/>
      </c>
      <c r="C161" s="125">
        <f>IF($A161="","",SUMIFS(SDDK!$D$256:$D$375,SDDK!$A$256:$A$375,"131",SDDK!$B$256:$B$375,$A161))</f>
        <v/>
      </c>
      <c r="D161" s="125">
        <f>IF($A161="","",SUMIFS(SDDK!$E$256:$E$375,SDDK!$A$256:$A$375,"131",SDDK!$B$256:$B$375,$A161))</f>
        <v/>
      </c>
      <c r="E161" s="125">
        <f>IF($A161="","",SUMIFS(NKC!$H$7:$H$3006,NKC!$F$7:$F$3006,"131*",NKC!$I$7:$I$3006,$A161,NKC!$B$7:$B$3006,"&lt;="&amp;DEN_NGAY))</f>
        <v/>
      </c>
      <c r="F161" s="125">
        <f>IF($A161="","",SUMIFS(NKC!$H$7:$H$3006,NKC!$G$7:$G$3006,"131*",NKC!$I$7:$I$3006,$A161,NKC!$B$7:$B$3006,"&lt;="&amp;DEN_NGAY))</f>
        <v/>
      </c>
      <c r="G161" s="125">
        <f>IF($A161="","",MAX($C161-$D161+$E161-$F161,0))</f>
        <v/>
      </c>
      <c r="H161" s="125">
        <f>IF($A161="","",MAX(-($C161-$D161+$E161-$F161),0))</f>
        <v/>
      </c>
    </row>
    <row r="162" ht="15" customHeight="1" s="78">
      <c r="A162" s="96">
        <f>IF(DM_DT!$A161="","",DM_DT!$A161&amp;"")</f>
        <v/>
      </c>
      <c r="B162" s="97">
        <f>IF($A162="","",DM_DT!$B161)</f>
        <v/>
      </c>
      <c r="C162" s="125">
        <f>IF($A162="","",SUMIFS(SDDK!$D$256:$D$375,SDDK!$A$256:$A$375,"131",SDDK!$B$256:$B$375,$A162))</f>
        <v/>
      </c>
      <c r="D162" s="125">
        <f>IF($A162="","",SUMIFS(SDDK!$E$256:$E$375,SDDK!$A$256:$A$375,"131",SDDK!$B$256:$B$375,$A162))</f>
        <v/>
      </c>
      <c r="E162" s="125">
        <f>IF($A162="","",SUMIFS(NKC!$H$7:$H$3006,NKC!$F$7:$F$3006,"131*",NKC!$I$7:$I$3006,$A162,NKC!$B$7:$B$3006,"&lt;="&amp;DEN_NGAY))</f>
        <v/>
      </c>
      <c r="F162" s="125">
        <f>IF($A162="","",SUMIFS(NKC!$H$7:$H$3006,NKC!$G$7:$G$3006,"131*",NKC!$I$7:$I$3006,$A162,NKC!$B$7:$B$3006,"&lt;="&amp;DEN_NGAY))</f>
        <v/>
      </c>
      <c r="G162" s="125">
        <f>IF($A162="","",MAX($C162-$D162+$E162-$F162,0))</f>
        <v/>
      </c>
      <c r="H162" s="125">
        <f>IF($A162="","",MAX(-($C162-$D162+$E162-$F162),0))</f>
        <v/>
      </c>
    </row>
    <row r="163" ht="15" customHeight="1" s="78">
      <c r="A163" s="96">
        <f>IF(DM_DT!$A162="","",DM_DT!$A162&amp;"")</f>
        <v/>
      </c>
      <c r="B163" s="97">
        <f>IF($A163="","",DM_DT!$B162)</f>
        <v/>
      </c>
      <c r="C163" s="125">
        <f>IF($A163="","",SUMIFS(SDDK!$D$256:$D$375,SDDK!$A$256:$A$375,"131",SDDK!$B$256:$B$375,$A163))</f>
        <v/>
      </c>
      <c r="D163" s="125">
        <f>IF($A163="","",SUMIFS(SDDK!$E$256:$E$375,SDDK!$A$256:$A$375,"131",SDDK!$B$256:$B$375,$A163))</f>
        <v/>
      </c>
      <c r="E163" s="125">
        <f>IF($A163="","",SUMIFS(NKC!$H$7:$H$3006,NKC!$F$7:$F$3006,"131*",NKC!$I$7:$I$3006,$A163,NKC!$B$7:$B$3006,"&lt;="&amp;DEN_NGAY))</f>
        <v/>
      </c>
      <c r="F163" s="125">
        <f>IF($A163="","",SUMIFS(NKC!$H$7:$H$3006,NKC!$G$7:$G$3006,"131*",NKC!$I$7:$I$3006,$A163,NKC!$B$7:$B$3006,"&lt;="&amp;DEN_NGAY))</f>
        <v/>
      </c>
      <c r="G163" s="125">
        <f>IF($A163="","",MAX($C163-$D163+$E163-$F163,0))</f>
        <v/>
      </c>
      <c r="H163" s="125">
        <f>IF($A163="","",MAX(-($C163-$D163+$E163-$F163),0))</f>
        <v/>
      </c>
    </row>
    <row r="164" ht="15" customHeight="1" s="78">
      <c r="A164" s="96">
        <f>IF(DM_DT!$A163="","",DM_DT!$A163&amp;"")</f>
        <v/>
      </c>
      <c r="B164" s="97">
        <f>IF($A164="","",DM_DT!$B163)</f>
        <v/>
      </c>
      <c r="C164" s="125">
        <f>IF($A164="","",SUMIFS(SDDK!$D$256:$D$375,SDDK!$A$256:$A$375,"131",SDDK!$B$256:$B$375,$A164))</f>
        <v/>
      </c>
      <c r="D164" s="125">
        <f>IF($A164="","",SUMIFS(SDDK!$E$256:$E$375,SDDK!$A$256:$A$375,"131",SDDK!$B$256:$B$375,$A164))</f>
        <v/>
      </c>
      <c r="E164" s="125">
        <f>IF($A164="","",SUMIFS(NKC!$H$7:$H$3006,NKC!$F$7:$F$3006,"131*",NKC!$I$7:$I$3006,$A164,NKC!$B$7:$B$3006,"&lt;="&amp;DEN_NGAY))</f>
        <v/>
      </c>
      <c r="F164" s="125">
        <f>IF($A164="","",SUMIFS(NKC!$H$7:$H$3006,NKC!$G$7:$G$3006,"131*",NKC!$I$7:$I$3006,$A164,NKC!$B$7:$B$3006,"&lt;="&amp;DEN_NGAY))</f>
        <v/>
      </c>
      <c r="G164" s="125">
        <f>IF($A164="","",MAX($C164-$D164+$E164-$F164,0))</f>
        <v/>
      </c>
      <c r="H164" s="125">
        <f>IF($A164="","",MAX(-($C164-$D164+$E164-$F164),0))</f>
        <v/>
      </c>
    </row>
    <row r="165" ht="15" customHeight="1" s="78">
      <c r="A165" s="96">
        <f>IF(DM_DT!$A164="","",DM_DT!$A164&amp;"")</f>
        <v/>
      </c>
      <c r="B165" s="97">
        <f>IF($A165="","",DM_DT!$B164)</f>
        <v/>
      </c>
      <c r="C165" s="125">
        <f>IF($A165="","",SUMIFS(SDDK!$D$256:$D$375,SDDK!$A$256:$A$375,"131",SDDK!$B$256:$B$375,$A165))</f>
        <v/>
      </c>
      <c r="D165" s="125">
        <f>IF($A165="","",SUMIFS(SDDK!$E$256:$E$375,SDDK!$A$256:$A$375,"131",SDDK!$B$256:$B$375,$A165))</f>
        <v/>
      </c>
      <c r="E165" s="125">
        <f>IF($A165="","",SUMIFS(NKC!$H$7:$H$3006,NKC!$F$7:$F$3006,"131*",NKC!$I$7:$I$3006,$A165,NKC!$B$7:$B$3006,"&lt;="&amp;DEN_NGAY))</f>
        <v/>
      </c>
      <c r="F165" s="125">
        <f>IF($A165="","",SUMIFS(NKC!$H$7:$H$3006,NKC!$G$7:$G$3006,"131*",NKC!$I$7:$I$3006,$A165,NKC!$B$7:$B$3006,"&lt;="&amp;DEN_NGAY))</f>
        <v/>
      </c>
      <c r="G165" s="125">
        <f>IF($A165="","",MAX($C165-$D165+$E165-$F165,0))</f>
        <v/>
      </c>
      <c r="H165" s="125">
        <f>IF($A165="","",MAX(-($C165-$D165+$E165-$F165),0))</f>
        <v/>
      </c>
    </row>
    <row r="166" ht="15" customHeight="1" s="78">
      <c r="A166" s="96">
        <f>IF(DM_DT!$A165="","",DM_DT!$A165&amp;"")</f>
        <v/>
      </c>
      <c r="B166" s="97">
        <f>IF($A166="","",DM_DT!$B165)</f>
        <v/>
      </c>
      <c r="C166" s="125">
        <f>IF($A166="","",SUMIFS(SDDK!$D$256:$D$375,SDDK!$A$256:$A$375,"131",SDDK!$B$256:$B$375,$A166))</f>
        <v/>
      </c>
      <c r="D166" s="125">
        <f>IF($A166="","",SUMIFS(SDDK!$E$256:$E$375,SDDK!$A$256:$A$375,"131",SDDK!$B$256:$B$375,$A166))</f>
        <v/>
      </c>
      <c r="E166" s="125">
        <f>IF($A166="","",SUMIFS(NKC!$H$7:$H$3006,NKC!$F$7:$F$3006,"131*",NKC!$I$7:$I$3006,$A166,NKC!$B$7:$B$3006,"&lt;="&amp;DEN_NGAY))</f>
        <v/>
      </c>
      <c r="F166" s="125">
        <f>IF($A166="","",SUMIFS(NKC!$H$7:$H$3006,NKC!$G$7:$G$3006,"131*",NKC!$I$7:$I$3006,$A166,NKC!$B$7:$B$3006,"&lt;="&amp;DEN_NGAY))</f>
        <v/>
      </c>
      <c r="G166" s="125">
        <f>IF($A166="","",MAX($C166-$D166+$E166-$F166,0))</f>
        <v/>
      </c>
      <c r="H166" s="125">
        <f>IF($A166="","",MAX(-($C166-$D166+$E166-$F166),0))</f>
        <v/>
      </c>
    </row>
    <row r="167" ht="15" customHeight="1" s="78">
      <c r="A167" s="96">
        <f>IF(DM_DT!$A166="","",DM_DT!$A166&amp;"")</f>
        <v/>
      </c>
      <c r="B167" s="97">
        <f>IF($A167="","",DM_DT!$B166)</f>
        <v/>
      </c>
      <c r="C167" s="125">
        <f>IF($A167="","",SUMIFS(SDDK!$D$256:$D$375,SDDK!$A$256:$A$375,"131",SDDK!$B$256:$B$375,$A167))</f>
        <v/>
      </c>
      <c r="D167" s="125">
        <f>IF($A167="","",SUMIFS(SDDK!$E$256:$E$375,SDDK!$A$256:$A$375,"131",SDDK!$B$256:$B$375,$A167))</f>
        <v/>
      </c>
      <c r="E167" s="125">
        <f>IF($A167="","",SUMIFS(NKC!$H$7:$H$3006,NKC!$F$7:$F$3006,"131*",NKC!$I$7:$I$3006,$A167,NKC!$B$7:$B$3006,"&lt;="&amp;DEN_NGAY))</f>
        <v/>
      </c>
      <c r="F167" s="125">
        <f>IF($A167="","",SUMIFS(NKC!$H$7:$H$3006,NKC!$G$7:$G$3006,"131*",NKC!$I$7:$I$3006,$A167,NKC!$B$7:$B$3006,"&lt;="&amp;DEN_NGAY))</f>
        <v/>
      </c>
      <c r="G167" s="125">
        <f>IF($A167="","",MAX($C167-$D167+$E167-$F167,0))</f>
        <v/>
      </c>
      <c r="H167" s="125">
        <f>IF($A167="","",MAX(-($C167-$D167+$E167-$F167),0))</f>
        <v/>
      </c>
    </row>
    <row r="168" ht="15" customHeight="1" s="78">
      <c r="A168" s="96">
        <f>IF(DM_DT!$A167="","",DM_DT!$A167&amp;"")</f>
        <v/>
      </c>
      <c r="B168" s="97">
        <f>IF($A168="","",DM_DT!$B167)</f>
        <v/>
      </c>
      <c r="C168" s="125">
        <f>IF($A168="","",SUMIFS(SDDK!$D$256:$D$375,SDDK!$A$256:$A$375,"131",SDDK!$B$256:$B$375,$A168))</f>
        <v/>
      </c>
      <c r="D168" s="125">
        <f>IF($A168="","",SUMIFS(SDDK!$E$256:$E$375,SDDK!$A$256:$A$375,"131",SDDK!$B$256:$B$375,$A168))</f>
        <v/>
      </c>
      <c r="E168" s="125">
        <f>IF($A168="","",SUMIFS(NKC!$H$7:$H$3006,NKC!$F$7:$F$3006,"131*",NKC!$I$7:$I$3006,$A168,NKC!$B$7:$B$3006,"&lt;="&amp;DEN_NGAY))</f>
        <v/>
      </c>
      <c r="F168" s="125">
        <f>IF($A168="","",SUMIFS(NKC!$H$7:$H$3006,NKC!$G$7:$G$3006,"131*",NKC!$I$7:$I$3006,$A168,NKC!$B$7:$B$3006,"&lt;="&amp;DEN_NGAY))</f>
        <v/>
      </c>
      <c r="G168" s="125">
        <f>IF($A168="","",MAX($C168-$D168+$E168-$F168,0))</f>
        <v/>
      </c>
      <c r="H168" s="125">
        <f>IF($A168="","",MAX(-($C168-$D168+$E168-$F168),0))</f>
        <v/>
      </c>
    </row>
    <row r="169" ht="15" customHeight="1" s="78">
      <c r="A169" s="96">
        <f>IF(DM_DT!$A168="","",DM_DT!$A168&amp;"")</f>
        <v/>
      </c>
      <c r="B169" s="97">
        <f>IF($A169="","",DM_DT!$B168)</f>
        <v/>
      </c>
      <c r="C169" s="125">
        <f>IF($A169="","",SUMIFS(SDDK!$D$256:$D$375,SDDK!$A$256:$A$375,"131",SDDK!$B$256:$B$375,$A169))</f>
        <v/>
      </c>
      <c r="D169" s="125">
        <f>IF($A169="","",SUMIFS(SDDK!$E$256:$E$375,SDDK!$A$256:$A$375,"131",SDDK!$B$256:$B$375,$A169))</f>
        <v/>
      </c>
      <c r="E169" s="125">
        <f>IF($A169="","",SUMIFS(NKC!$H$7:$H$3006,NKC!$F$7:$F$3006,"131*",NKC!$I$7:$I$3006,$A169,NKC!$B$7:$B$3006,"&lt;="&amp;DEN_NGAY))</f>
        <v/>
      </c>
      <c r="F169" s="125">
        <f>IF($A169="","",SUMIFS(NKC!$H$7:$H$3006,NKC!$G$7:$G$3006,"131*",NKC!$I$7:$I$3006,$A169,NKC!$B$7:$B$3006,"&lt;="&amp;DEN_NGAY))</f>
        <v/>
      </c>
      <c r="G169" s="125">
        <f>IF($A169="","",MAX($C169-$D169+$E169-$F169,0))</f>
        <v/>
      </c>
      <c r="H169" s="125">
        <f>IF($A169="","",MAX(-($C169-$D169+$E169-$F169),0))</f>
        <v/>
      </c>
    </row>
    <row r="170" ht="15" customHeight="1" s="78">
      <c r="A170" s="96">
        <f>IF(DM_DT!$A169="","",DM_DT!$A169&amp;"")</f>
        <v/>
      </c>
      <c r="B170" s="97">
        <f>IF($A170="","",DM_DT!$B169)</f>
        <v/>
      </c>
      <c r="C170" s="125">
        <f>IF($A170="","",SUMIFS(SDDK!$D$256:$D$375,SDDK!$A$256:$A$375,"131",SDDK!$B$256:$B$375,$A170))</f>
        <v/>
      </c>
      <c r="D170" s="125">
        <f>IF($A170="","",SUMIFS(SDDK!$E$256:$E$375,SDDK!$A$256:$A$375,"131",SDDK!$B$256:$B$375,$A170))</f>
        <v/>
      </c>
      <c r="E170" s="125">
        <f>IF($A170="","",SUMIFS(NKC!$H$7:$H$3006,NKC!$F$7:$F$3006,"131*",NKC!$I$7:$I$3006,$A170,NKC!$B$7:$B$3006,"&lt;="&amp;DEN_NGAY))</f>
        <v/>
      </c>
      <c r="F170" s="125">
        <f>IF($A170="","",SUMIFS(NKC!$H$7:$H$3006,NKC!$G$7:$G$3006,"131*",NKC!$I$7:$I$3006,$A170,NKC!$B$7:$B$3006,"&lt;="&amp;DEN_NGAY))</f>
        <v/>
      </c>
      <c r="G170" s="125">
        <f>IF($A170="","",MAX($C170-$D170+$E170-$F170,0))</f>
        <v/>
      </c>
      <c r="H170" s="125">
        <f>IF($A170="","",MAX(-($C170-$D170+$E170-$F170),0))</f>
        <v/>
      </c>
    </row>
    <row r="171" ht="15" customHeight="1" s="78">
      <c r="A171" s="96">
        <f>IF(DM_DT!$A170="","",DM_DT!$A170&amp;"")</f>
        <v/>
      </c>
      <c r="B171" s="97">
        <f>IF($A171="","",DM_DT!$B170)</f>
        <v/>
      </c>
      <c r="C171" s="125">
        <f>IF($A171="","",SUMIFS(SDDK!$D$256:$D$375,SDDK!$A$256:$A$375,"131",SDDK!$B$256:$B$375,$A171))</f>
        <v/>
      </c>
      <c r="D171" s="125">
        <f>IF($A171="","",SUMIFS(SDDK!$E$256:$E$375,SDDK!$A$256:$A$375,"131",SDDK!$B$256:$B$375,$A171))</f>
        <v/>
      </c>
      <c r="E171" s="125">
        <f>IF($A171="","",SUMIFS(NKC!$H$7:$H$3006,NKC!$F$7:$F$3006,"131*",NKC!$I$7:$I$3006,$A171,NKC!$B$7:$B$3006,"&lt;="&amp;DEN_NGAY))</f>
        <v/>
      </c>
      <c r="F171" s="125">
        <f>IF($A171="","",SUMIFS(NKC!$H$7:$H$3006,NKC!$G$7:$G$3006,"131*",NKC!$I$7:$I$3006,$A171,NKC!$B$7:$B$3006,"&lt;="&amp;DEN_NGAY))</f>
        <v/>
      </c>
      <c r="G171" s="125">
        <f>IF($A171="","",MAX($C171-$D171+$E171-$F171,0))</f>
        <v/>
      </c>
      <c r="H171" s="125">
        <f>IF($A171="","",MAX(-($C171-$D171+$E171-$F171),0))</f>
        <v/>
      </c>
    </row>
    <row r="172" ht="15" customHeight="1" s="78">
      <c r="A172" s="96">
        <f>IF(DM_DT!$A171="","",DM_DT!$A171&amp;"")</f>
        <v/>
      </c>
      <c r="B172" s="97">
        <f>IF($A172="","",DM_DT!$B171)</f>
        <v/>
      </c>
      <c r="C172" s="125">
        <f>IF($A172="","",SUMIFS(SDDK!$D$256:$D$375,SDDK!$A$256:$A$375,"131",SDDK!$B$256:$B$375,$A172))</f>
        <v/>
      </c>
      <c r="D172" s="125">
        <f>IF($A172="","",SUMIFS(SDDK!$E$256:$E$375,SDDK!$A$256:$A$375,"131",SDDK!$B$256:$B$375,$A172))</f>
        <v/>
      </c>
      <c r="E172" s="125">
        <f>IF($A172="","",SUMIFS(NKC!$H$7:$H$3006,NKC!$F$7:$F$3006,"131*",NKC!$I$7:$I$3006,$A172,NKC!$B$7:$B$3006,"&lt;="&amp;DEN_NGAY))</f>
        <v/>
      </c>
      <c r="F172" s="125">
        <f>IF($A172="","",SUMIFS(NKC!$H$7:$H$3006,NKC!$G$7:$G$3006,"131*",NKC!$I$7:$I$3006,$A172,NKC!$B$7:$B$3006,"&lt;="&amp;DEN_NGAY))</f>
        <v/>
      </c>
      <c r="G172" s="125">
        <f>IF($A172="","",MAX($C172-$D172+$E172-$F172,0))</f>
        <v/>
      </c>
      <c r="H172" s="125">
        <f>IF($A172="","",MAX(-($C172-$D172+$E172-$F172),0))</f>
        <v/>
      </c>
    </row>
    <row r="173" ht="15" customHeight="1" s="78">
      <c r="A173" s="96">
        <f>IF(DM_DT!$A172="","",DM_DT!$A172&amp;"")</f>
        <v/>
      </c>
      <c r="B173" s="97">
        <f>IF($A173="","",DM_DT!$B172)</f>
        <v/>
      </c>
      <c r="C173" s="125">
        <f>IF($A173="","",SUMIFS(SDDK!$D$256:$D$375,SDDK!$A$256:$A$375,"131",SDDK!$B$256:$B$375,$A173))</f>
        <v/>
      </c>
      <c r="D173" s="125">
        <f>IF($A173="","",SUMIFS(SDDK!$E$256:$E$375,SDDK!$A$256:$A$375,"131",SDDK!$B$256:$B$375,$A173))</f>
        <v/>
      </c>
      <c r="E173" s="125">
        <f>IF($A173="","",SUMIFS(NKC!$H$7:$H$3006,NKC!$F$7:$F$3006,"131*",NKC!$I$7:$I$3006,$A173,NKC!$B$7:$B$3006,"&lt;="&amp;DEN_NGAY))</f>
        <v/>
      </c>
      <c r="F173" s="125">
        <f>IF($A173="","",SUMIFS(NKC!$H$7:$H$3006,NKC!$G$7:$G$3006,"131*",NKC!$I$7:$I$3006,$A173,NKC!$B$7:$B$3006,"&lt;="&amp;DEN_NGAY))</f>
        <v/>
      </c>
      <c r="G173" s="125">
        <f>IF($A173="","",MAX($C173-$D173+$E173-$F173,0))</f>
        <v/>
      </c>
      <c r="H173" s="125">
        <f>IF($A173="","",MAX(-($C173-$D173+$E173-$F173),0))</f>
        <v/>
      </c>
    </row>
    <row r="174" ht="15" customHeight="1" s="78">
      <c r="A174" s="96">
        <f>IF(DM_DT!$A173="","",DM_DT!$A173&amp;"")</f>
        <v/>
      </c>
      <c r="B174" s="97">
        <f>IF($A174="","",DM_DT!$B173)</f>
        <v/>
      </c>
      <c r="C174" s="125">
        <f>IF($A174="","",SUMIFS(SDDK!$D$256:$D$375,SDDK!$A$256:$A$375,"131",SDDK!$B$256:$B$375,$A174))</f>
        <v/>
      </c>
      <c r="D174" s="125">
        <f>IF($A174="","",SUMIFS(SDDK!$E$256:$E$375,SDDK!$A$256:$A$375,"131",SDDK!$B$256:$B$375,$A174))</f>
        <v/>
      </c>
      <c r="E174" s="125">
        <f>IF($A174="","",SUMIFS(NKC!$H$7:$H$3006,NKC!$F$7:$F$3006,"131*",NKC!$I$7:$I$3006,$A174,NKC!$B$7:$B$3006,"&lt;="&amp;DEN_NGAY))</f>
        <v/>
      </c>
      <c r="F174" s="125">
        <f>IF($A174="","",SUMIFS(NKC!$H$7:$H$3006,NKC!$G$7:$G$3006,"131*",NKC!$I$7:$I$3006,$A174,NKC!$B$7:$B$3006,"&lt;="&amp;DEN_NGAY))</f>
        <v/>
      </c>
      <c r="G174" s="125">
        <f>IF($A174="","",MAX($C174-$D174+$E174-$F174,0))</f>
        <v/>
      </c>
      <c r="H174" s="125">
        <f>IF($A174="","",MAX(-($C174-$D174+$E174-$F174),0))</f>
        <v/>
      </c>
    </row>
    <row r="175" ht="15" customHeight="1" s="78">
      <c r="A175" s="96">
        <f>IF(DM_DT!$A174="","",DM_DT!$A174&amp;"")</f>
        <v/>
      </c>
      <c r="B175" s="97">
        <f>IF($A175="","",DM_DT!$B174)</f>
        <v/>
      </c>
      <c r="C175" s="125">
        <f>IF($A175="","",SUMIFS(SDDK!$D$256:$D$375,SDDK!$A$256:$A$375,"131",SDDK!$B$256:$B$375,$A175))</f>
        <v/>
      </c>
      <c r="D175" s="125">
        <f>IF($A175="","",SUMIFS(SDDK!$E$256:$E$375,SDDK!$A$256:$A$375,"131",SDDK!$B$256:$B$375,$A175))</f>
        <v/>
      </c>
      <c r="E175" s="125">
        <f>IF($A175="","",SUMIFS(NKC!$H$7:$H$3006,NKC!$F$7:$F$3006,"131*",NKC!$I$7:$I$3006,$A175,NKC!$B$7:$B$3006,"&lt;="&amp;DEN_NGAY))</f>
        <v/>
      </c>
      <c r="F175" s="125">
        <f>IF($A175="","",SUMIFS(NKC!$H$7:$H$3006,NKC!$G$7:$G$3006,"131*",NKC!$I$7:$I$3006,$A175,NKC!$B$7:$B$3006,"&lt;="&amp;DEN_NGAY))</f>
        <v/>
      </c>
      <c r="G175" s="125">
        <f>IF($A175="","",MAX($C175-$D175+$E175-$F175,0))</f>
        <v/>
      </c>
      <c r="H175" s="125">
        <f>IF($A175="","",MAX(-($C175-$D175+$E175-$F175),0))</f>
        <v/>
      </c>
    </row>
    <row r="176" ht="15" customHeight="1" s="78">
      <c r="A176" s="96">
        <f>IF(DM_DT!$A175="","",DM_DT!$A175&amp;"")</f>
        <v/>
      </c>
      <c r="B176" s="97">
        <f>IF($A176="","",DM_DT!$B175)</f>
        <v/>
      </c>
      <c r="C176" s="125">
        <f>IF($A176="","",SUMIFS(SDDK!$D$256:$D$375,SDDK!$A$256:$A$375,"131",SDDK!$B$256:$B$375,$A176))</f>
        <v/>
      </c>
      <c r="D176" s="125">
        <f>IF($A176="","",SUMIFS(SDDK!$E$256:$E$375,SDDK!$A$256:$A$375,"131",SDDK!$B$256:$B$375,$A176))</f>
        <v/>
      </c>
      <c r="E176" s="125">
        <f>IF($A176="","",SUMIFS(NKC!$H$7:$H$3006,NKC!$F$7:$F$3006,"131*",NKC!$I$7:$I$3006,$A176,NKC!$B$7:$B$3006,"&lt;="&amp;DEN_NGAY))</f>
        <v/>
      </c>
      <c r="F176" s="125">
        <f>IF($A176="","",SUMIFS(NKC!$H$7:$H$3006,NKC!$G$7:$G$3006,"131*",NKC!$I$7:$I$3006,$A176,NKC!$B$7:$B$3006,"&lt;="&amp;DEN_NGAY))</f>
        <v/>
      </c>
      <c r="G176" s="125">
        <f>IF($A176="","",MAX($C176-$D176+$E176-$F176,0))</f>
        <v/>
      </c>
      <c r="H176" s="125">
        <f>IF($A176="","",MAX(-($C176-$D176+$E176-$F176),0))</f>
        <v/>
      </c>
    </row>
    <row r="177" ht="15" customHeight="1" s="78">
      <c r="A177" s="96">
        <f>IF(DM_DT!$A176="","",DM_DT!$A176&amp;"")</f>
        <v/>
      </c>
      <c r="B177" s="97">
        <f>IF($A177="","",DM_DT!$B176)</f>
        <v/>
      </c>
      <c r="C177" s="125">
        <f>IF($A177="","",SUMIFS(SDDK!$D$256:$D$375,SDDK!$A$256:$A$375,"131",SDDK!$B$256:$B$375,$A177))</f>
        <v/>
      </c>
      <c r="D177" s="125">
        <f>IF($A177="","",SUMIFS(SDDK!$E$256:$E$375,SDDK!$A$256:$A$375,"131",SDDK!$B$256:$B$375,$A177))</f>
        <v/>
      </c>
      <c r="E177" s="125">
        <f>IF($A177="","",SUMIFS(NKC!$H$7:$H$3006,NKC!$F$7:$F$3006,"131*",NKC!$I$7:$I$3006,$A177,NKC!$B$7:$B$3006,"&lt;="&amp;DEN_NGAY))</f>
        <v/>
      </c>
      <c r="F177" s="125">
        <f>IF($A177="","",SUMIFS(NKC!$H$7:$H$3006,NKC!$G$7:$G$3006,"131*",NKC!$I$7:$I$3006,$A177,NKC!$B$7:$B$3006,"&lt;="&amp;DEN_NGAY))</f>
        <v/>
      </c>
      <c r="G177" s="125">
        <f>IF($A177="","",MAX($C177-$D177+$E177-$F177,0))</f>
        <v/>
      </c>
      <c r="H177" s="125">
        <f>IF($A177="","",MAX(-($C177-$D177+$E177-$F177),0))</f>
        <v/>
      </c>
    </row>
    <row r="178" ht="15" customHeight="1" s="78">
      <c r="A178" s="96">
        <f>IF(DM_DT!$A177="","",DM_DT!$A177&amp;"")</f>
        <v/>
      </c>
      <c r="B178" s="97">
        <f>IF($A178="","",DM_DT!$B177)</f>
        <v/>
      </c>
      <c r="C178" s="125">
        <f>IF($A178="","",SUMIFS(SDDK!$D$256:$D$375,SDDK!$A$256:$A$375,"131",SDDK!$B$256:$B$375,$A178))</f>
        <v/>
      </c>
      <c r="D178" s="125">
        <f>IF($A178="","",SUMIFS(SDDK!$E$256:$E$375,SDDK!$A$256:$A$375,"131",SDDK!$B$256:$B$375,$A178))</f>
        <v/>
      </c>
      <c r="E178" s="125">
        <f>IF($A178="","",SUMIFS(NKC!$H$7:$H$3006,NKC!$F$7:$F$3006,"131*",NKC!$I$7:$I$3006,$A178,NKC!$B$7:$B$3006,"&lt;="&amp;DEN_NGAY))</f>
        <v/>
      </c>
      <c r="F178" s="125">
        <f>IF($A178="","",SUMIFS(NKC!$H$7:$H$3006,NKC!$G$7:$G$3006,"131*",NKC!$I$7:$I$3006,$A178,NKC!$B$7:$B$3006,"&lt;="&amp;DEN_NGAY))</f>
        <v/>
      </c>
      <c r="G178" s="125">
        <f>IF($A178="","",MAX($C178-$D178+$E178-$F178,0))</f>
        <v/>
      </c>
      <c r="H178" s="125">
        <f>IF($A178="","",MAX(-($C178-$D178+$E178-$F178),0))</f>
        <v/>
      </c>
    </row>
    <row r="179" ht="15" customHeight="1" s="78">
      <c r="A179" s="96">
        <f>IF(DM_DT!$A178="","",DM_DT!$A178&amp;"")</f>
        <v/>
      </c>
      <c r="B179" s="97">
        <f>IF($A179="","",DM_DT!$B178)</f>
        <v/>
      </c>
      <c r="C179" s="125">
        <f>IF($A179="","",SUMIFS(SDDK!$D$256:$D$375,SDDK!$A$256:$A$375,"131",SDDK!$B$256:$B$375,$A179))</f>
        <v/>
      </c>
      <c r="D179" s="125">
        <f>IF($A179="","",SUMIFS(SDDK!$E$256:$E$375,SDDK!$A$256:$A$375,"131",SDDK!$B$256:$B$375,$A179))</f>
        <v/>
      </c>
      <c r="E179" s="125">
        <f>IF($A179="","",SUMIFS(NKC!$H$7:$H$3006,NKC!$F$7:$F$3006,"131*",NKC!$I$7:$I$3006,$A179,NKC!$B$7:$B$3006,"&lt;="&amp;DEN_NGAY))</f>
        <v/>
      </c>
      <c r="F179" s="125">
        <f>IF($A179="","",SUMIFS(NKC!$H$7:$H$3006,NKC!$G$7:$G$3006,"131*",NKC!$I$7:$I$3006,$A179,NKC!$B$7:$B$3006,"&lt;="&amp;DEN_NGAY))</f>
        <v/>
      </c>
      <c r="G179" s="125">
        <f>IF($A179="","",MAX($C179-$D179+$E179-$F179,0))</f>
        <v/>
      </c>
      <c r="H179" s="125">
        <f>IF($A179="","",MAX(-($C179-$D179+$E179-$F179),0))</f>
        <v/>
      </c>
    </row>
    <row r="180" ht="15" customHeight="1" s="78">
      <c r="A180" s="96">
        <f>IF(DM_DT!$A179="","",DM_DT!$A179&amp;"")</f>
        <v/>
      </c>
      <c r="B180" s="97">
        <f>IF($A180="","",DM_DT!$B179)</f>
        <v/>
      </c>
      <c r="C180" s="125">
        <f>IF($A180="","",SUMIFS(SDDK!$D$256:$D$375,SDDK!$A$256:$A$375,"131",SDDK!$B$256:$B$375,$A180))</f>
        <v/>
      </c>
      <c r="D180" s="125">
        <f>IF($A180="","",SUMIFS(SDDK!$E$256:$E$375,SDDK!$A$256:$A$375,"131",SDDK!$B$256:$B$375,$A180))</f>
        <v/>
      </c>
      <c r="E180" s="125">
        <f>IF($A180="","",SUMIFS(NKC!$H$7:$H$3006,NKC!$F$7:$F$3006,"131*",NKC!$I$7:$I$3006,$A180,NKC!$B$7:$B$3006,"&lt;="&amp;DEN_NGAY))</f>
        <v/>
      </c>
      <c r="F180" s="125">
        <f>IF($A180="","",SUMIFS(NKC!$H$7:$H$3006,NKC!$G$7:$G$3006,"131*",NKC!$I$7:$I$3006,$A180,NKC!$B$7:$B$3006,"&lt;="&amp;DEN_NGAY))</f>
        <v/>
      </c>
      <c r="G180" s="125">
        <f>IF($A180="","",MAX($C180-$D180+$E180-$F180,0))</f>
        <v/>
      </c>
      <c r="H180" s="125">
        <f>IF($A180="","",MAX(-($C180-$D180+$E180-$F180),0))</f>
        <v/>
      </c>
    </row>
    <row r="181" ht="15" customHeight="1" s="78">
      <c r="A181" s="96">
        <f>IF(DM_DT!$A180="","",DM_DT!$A180&amp;"")</f>
        <v/>
      </c>
      <c r="B181" s="97">
        <f>IF($A181="","",DM_DT!$B180)</f>
        <v/>
      </c>
      <c r="C181" s="125">
        <f>IF($A181="","",SUMIFS(SDDK!$D$256:$D$375,SDDK!$A$256:$A$375,"131",SDDK!$B$256:$B$375,$A181))</f>
        <v/>
      </c>
      <c r="D181" s="125">
        <f>IF($A181="","",SUMIFS(SDDK!$E$256:$E$375,SDDK!$A$256:$A$375,"131",SDDK!$B$256:$B$375,$A181))</f>
        <v/>
      </c>
      <c r="E181" s="125">
        <f>IF($A181="","",SUMIFS(NKC!$H$7:$H$3006,NKC!$F$7:$F$3006,"131*",NKC!$I$7:$I$3006,$A181,NKC!$B$7:$B$3006,"&lt;="&amp;DEN_NGAY))</f>
        <v/>
      </c>
      <c r="F181" s="125">
        <f>IF($A181="","",SUMIFS(NKC!$H$7:$H$3006,NKC!$G$7:$G$3006,"131*",NKC!$I$7:$I$3006,$A181,NKC!$B$7:$B$3006,"&lt;="&amp;DEN_NGAY))</f>
        <v/>
      </c>
      <c r="G181" s="125">
        <f>IF($A181="","",MAX($C181-$D181+$E181-$F181,0))</f>
        <v/>
      </c>
      <c r="H181" s="125">
        <f>IF($A181="","",MAX(-($C181-$D181+$E181-$F181),0))</f>
        <v/>
      </c>
    </row>
    <row r="182" ht="15" customHeight="1" s="78">
      <c r="A182" s="96">
        <f>IF(DM_DT!$A181="","",DM_DT!$A181&amp;"")</f>
        <v/>
      </c>
      <c r="B182" s="97">
        <f>IF($A182="","",DM_DT!$B181)</f>
        <v/>
      </c>
      <c r="C182" s="125">
        <f>IF($A182="","",SUMIFS(SDDK!$D$256:$D$375,SDDK!$A$256:$A$375,"131",SDDK!$B$256:$B$375,$A182))</f>
        <v/>
      </c>
      <c r="D182" s="125">
        <f>IF($A182="","",SUMIFS(SDDK!$E$256:$E$375,SDDK!$A$256:$A$375,"131",SDDK!$B$256:$B$375,$A182))</f>
        <v/>
      </c>
      <c r="E182" s="125">
        <f>IF($A182="","",SUMIFS(NKC!$H$7:$H$3006,NKC!$F$7:$F$3006,"131*",NKC!$I$7:$I$3006,$A182,NKC!$B$7:$B$3006,"&lt;="&amp;DEN_NGAY))</f>
        <v/>
      </c>
      <c r="F182" s="125">
        <f>IF($A182="","",SUMIFS(NKC!$H$7:$H$3006,NKC!$G$7:$G$3006,"131*",NKC!$I$7:$I$3006,$A182,NKC!$B$7:$B$3006,"&lt;="&amp;DEN_NGAY))</f>
        <v/>
      </c>
      <c r="G182" s="125">
        <f>IF($A182="","",MAX($C182-$D182+$E182-$F182,0))</f>
        <v/>
      </c>
      <c r="H182" s="125">
        <f>IF($A182="","",MAX(-($C182-$D182+$E182-$F182),0))</f>
        <v/>
      </c>
    </row>
    <row r="183" ht="15" customHeight="1" s="78">
      <c r="A183" s="96">
        <f>IF(DM_DT!$A182="","",DM_DT!$A182&amp;"")</f>
        <v/>
      </c>
      <c r="B183" s="97">
        <f>IF($A183="","",DM_DT!$B182)</f>
        <v/>
      </c>
      <c r="C183" s="125">
        <f>IF($A183="","",SUMIFS(SDDK!$D$256:$D$375,SDDK!$A$256:$A$375,"131",SDDK!$B$256:$B$375,$A183))</f>
        <v/>
      </c>
      <c r="D183" s="125">
        <f>IF($A183="","",SUMIFS(SDDK!$E$256:$E$375,SDDK!$A$256:$A$375,"131",SDDK!$B$256:$B$375,$A183))</f>
        <v/>
      </c>
      <c r="E183" s="125">
        <f>IF($A183="","",SUMIFS(NKC!$H$7:$H$3006,NKC!$F$7:$F$3006,"131*",NKC!$I$7:$I$3006,$A183,NKC!$B$7:$B$3006,"&lt;="&amp;DEN_NGAY))</f>
        <v/>
      </c>
      <c r="F183" s="125">
        <f>IF($A183="","",SUMIFS(NKC!$H$7:$H$3006,NKC!$G$7:$G$3006,"131*",NKC!$I$7:$I$3006,$A183,NKC!$B$7:$B$3006,"&lt;="&amp;DEN_NGAY))</f>
        <v/>
      </c>
      <c r="G183" s="125">
        <f>IF($A183="","",MAX($C183-$D183+$E183-$F183,0))</f>
        <v/>
      </c>
      <c r="H183" s="125">
        <f>IF($A183="","",MAX(-($C183-$D183+$E183-$F183),0))</f>
        <v/>
      </c>
    </row>
    <row r="184" ht="15" customHeight="1" s="78">
      <c r="A184" s="96">
        <f>IF(DM_DT!$A183="","",DM_DT!$A183&amp;"")</f>
        <v/>
      </c>
      <c r="B184" s="97">
        <f>IF($A184="","",DM_DT!$B183)</f>
        <v/>
      </c>
      <c r="C184" s="125">
        <f>IF($A184="","",SUMIFS(SDDK!$D$256:$D$375,SDDK!$A$256:$A$375,"131",SDDK!$B$256:$B$375,$A184))</f>
        <v/>
      </c>
      <c r="D184" s="125">
        <f>IF($A184="","",SUMIFS(SDDK!$E$256:$E$375,SDDK!$A$256:$A$375,"131",SDDK!$B$256:$B$375,$A184))</f>
        <v/>
      </c>
      <c r="E184" s="125">
        <f>IF($A184="","",SUMIFS(NKC!$H$7:$H$3006,NKC!$F$7:$F$3006,"131*",NKC!$I$7:$I$3006,$A184,NKC!$B$7:$B$3006,"&lt;="&amp;DEN_NGAY))</f>
        <v/>
      </c>
      <c r="F184" s="125">
        <f>IF($A184="","",SUMIFS(NKC!$H$7:$H$3006,NKC!$G$7:$G$3006,"131*",NKC!$I$7:$I$3006,$A184,NKC!$B$7:$B$3006,"&lt;="&amp;DEN_NGAY))</f>
        <v/>
      </c>
      <c r="G184" s="125">
        <f>IF($A184="","",MAX($C184-$D184+$E184-$F184,0))</f>
        <v/>
      </c>
      <c r="H184" s="125">
        <f>IF($A184="","",MAX(-($C184-$D184+$E184-$F184),0))</f>
        <v/>
      </c>
    </row>
    <row r="185" ht="15" customHeight="1" s="78">
      <c r="A185" s="96">
        <f>IF(DM_DT!$A184="","",DM_DT!$A184&amp;"")</f>
        <v/>
      </c>
      <c r="B185" s="97">
        <f>IF($A185="","",DM_DT!$B184)</f>
        <v/>
      </c>
      <c r="C185" s="125">
        <f>IF($A185="","",SUMIFS(SDDK!$D$256:$D$375,SDDK!$A$256:$A$375,"131",SDDK!$B$256:$B$375,$A185))</f>
        <v/>
      </c>
      <c r="D185" s="125">
        <f>IF($A185="","",SUMIFS(SDDK!$E$256:$E$375,SDDK!$A$256:$A$375,"131",SDDK!$B$256:$B$375,$A185))</f>
        <v/>
      </c>
      <c r="E185" s="125">
        <f>IF($A185="","",SUMIFS(NKC!$H$7:$H$3006,NKC!$F$7:$F$3006,"131*",NKC!$I$7:$I$3006,$A185,NKC!$B$7:$B$3006,"&lt;="&amp;DEN_NGAY))</f>
        <v/>
      </c>
      <c r="F185" s="125">
        <f>IF($A185="","",SUMIFS(NKC!$H$7:$H$3006,NKC!$G$7:$G$3006,"131*",NKC!$I$7:$I$3006,$A185,NKC!$B$7:$B$3006,"&lt;="&amp;DEN_NGAY))</f>
        <v/>
      </c>
      <c r="G185" s="125">
        <f>IF($A185="","",MAX($C185-$D185+$E185-$F185,0))</f>
        <v/>
      </c>
      <c r="H185" s="125">
        <f>IF($A185="","",MAX(-($C185-$D185+$E185-$F185),0))</f>
        <v/>
      </c>
    </row>
    <row r="186" ht="15" customHeight="1" s="78">
      <c r="A186" s="96">
        <f>IF(DM_DT!$A185="","",DM_DT!$A185&amp;"")</f>
        <v/>
      </c>
      <c r="B186" s="97">
        <f>IF($A186="","",DM_DT!$B185)</f>
        <v/>
      </c>
      <c r="C186" s="125">
        <f>IF($A186="","",SUMIFS(SDDK!$D$256:$D$375,SDDK!$A$256:$A$375,"131",SDDK!$B$256:$B$375,$A186))</f>
        <v/>
      </c>
      <c r="D186" s="125">
        <f>IF($A186="","",SUMIFS(SDDK!$E$256:$E$375,SDDK!$A$256:$A$375,"131",SDDK!$B$256:$B$375,$A186))</f>
        <v/>
      </c>
      <c r="E186" s="125">
        <f>IF($A186="","",SUMIFS(NKC!$H$7:$H$3006,NKC!$F$7:$F$3006,"131*",NKC!$I$7:$I$3006,$A186,NKC!$B$7:$B$3006,"&lt;="&amp;DEN_NGAY))</f>
        <v/>
      </c>
      <c r="F186" s="125">
        <f>IF($A186="","",SUMIFS(NKC!$H$7:$H$3006,NKC!$G$7:$G$3006,"131*",NKC!$I$7:$I$3006,$A186,NKC!$B$7:$B$3006,"&lt;="&amp;DEN_NGAY))</f>
        <v/>
      </c>
      <c r="G186" s="125">
        <f>IF($A186="","",MAX($C186-$D186+$E186-$F186,0))</f>
        <v/>
      </c>
      <c r="H186" s="125">
        <f>IF($A186="","",MAX(-($C186-$D186+$E186-$F186),0))</f>
        <v/>
      </c>
    </row>
    <row r="187" ht="15" customHeight="1" s="78">
      <c r="A187" s="96">
        <f>IF(DM_DT!$A186="","",DM_DT!$A186&amp;"")</f>
        <v/>
      </c>
      <c r="B187" s="97">
        <f>IF($A187="","",DM_DT!$B186)</f>
        <v/>
      </c>
      <c r="C187" s="125">
        <f>IF($A187="","",SUMIFS(SDDK!$D$256:$D$375,SDDK!$A$256:$A$375,"131",SDDK!$B$256:$B$375,$A187))</f>
        <v/>
      </c>
      <c r="D187" s="125">
        <f>IF($A187="","",SUMIFS(SDDK!$E$256:$E$375,SDDK!$A$256:$A$375,"131",SDDK!$B$256:$B$375,$A187))</f>
        <v/>
      </c>
      <c r="E187" s="125">
        <f>IF($A187="","",SUMIFS(NKC!$H$7:$H$3006,NKC!$F$7:$F$3006,"131*",NKC!$I$7:$I$3006,$A187,NKC!$B$7:$B$3006,"&lt;="&amp;DEN_NGAY))</f>
        <v/>
      </c>
      <c r="F187" s="125">
        <f>IF($A187="","",SUMIFS(NKC!$H$7:$H$3006,NKC!$G$7:$G$3006,"131*",NKC!$I$7:$I$3006,$A187,NKC!$B$7:$B$3006,"&lt;="&amp;DEN_NGAY))</f>
        <v/>
      </c>
      <c r="G187" s="125">
        <f>IF($A187="","",MAX($C187-$D187+$E187-$F187,0))</f>
        <v/>
      </c>
      <c r="H187" s="125">
        <f>IF($A187="","",MAX(-($C187-$D187+$E187-$F187),0))</f>
        <v/>
      </c>
    </row>
    <row r="188" ht="15" customHeight="1" s="78">
      <c r="A188" s="96">
        <f>IF(DM_DT!$A187="","",DM_DT!$A187&amp;"")</f>
        <v/>
      </c>
      <c r="B188" s="97">
        <f>IF($A188="","",DM_DT!$B187)</f>
        <v/>
      </c>
      <c r="C188" s="125">
        <f>IF($A188="","",SUMIFS(SDDK!$D$256:$D$375,SDDK!$A$256:$A$375,"131",SDDK!$B$256:$B$375,$A188))</f>
        <v/>
      </c>
      <c r="D188" s="125">
        <f>IF($A188="","",SUMIFS(SDDK!$E$256:$E$375,SDDK!$A$256:$A$375,"131",SDDK!$B$256:$B$375,$A188))</f>
        <v/>
      </c>
      <c r="E188" s="125">
        <f>IF($A188="","",SUMIFS(NKC!$H$7:$H$3006,NKC!$F$7:$F$3006,"131*",NKC!$I$7:$I$3006,$A188,NKC!$B$7:$B$3006,"&lt;="&amp;DEN_NGAY))</f>
        <v/>
      </c>
      <c r="F188" s="125">
        <f>IF($A188="","",SUMIFS(NKC!$H$7:$H$3006,NKC!$G$7:$G$3006,"131*",NKC!$I$7:$I$3006,$A188,NKC!$B$7:$B$3006,"&lt;="&amp;DEN_NGAY))</f>
        <v/>
      </c>
      <c r="G188" s="125">
        <f>IF($A188="","",MAX($C188-$D188+$E188-$F188,0))</f>
        <v/>
      </c>
      <c r="H188" s="125">
        <f>IF($A188="","",MAX(-($C188-$D188+$E188-$F188),0))</f>
        <v/>
      </c>
    </row>
    <row r="189" ht="15" customHeight="1" s="78">
      <c r="A189" s="96">
        <f>IF(DM_DT!$A188="","",DM_DT!$A188&amp;"")</f>
        <v/>
      </c>
      <c r="B189" s="97">
        <f>IF($A189="","",DM_DT!$B188)</f>
        <v/>
      </c>
      <c r="C189" s="125">
        <f>IF($A189="","",SUMIFS(SDDK!$D$256:$D$375,SDDK!$A$256:$A$375,"131",SDDK!$B$256:$B$375,$A189))</f>
        <v/>
      </c>
      <c r="D189" s="125">
        <f>IF($A189="","",SUMIFS(SDDK!$E$256:$E$375,SDDK!$A$256:$A$375,"131",SDDK!$B$256:$B$375,$A189))</f>
        <v/>
      </c>
      <c r="E189" s="125">
        <f>IF($A189="","",SUMIFS(NKC!$H$7:$H$3006,NKC!$F$7:$F$3006,"131*",NKC!$I$7:$I$3006,$A189,NKC!$B$7:$B$3006,"&lt;="&amp;DEN_NGAY))</f>
        <v/>
      </c>
      <c r="F189" s="125">
        <f>IF($A189="","",SUMIFS(NKC!$H$7:$H$3006,NKC!$G$7:$G$3006,"131*",NKC!$I$7:$I$3006,$A189,NKC!$B$7:$B$3006,"&lt;="&amp;DEN_NGAY))</f>
        <v/>
      </c>
      <c r="G189" s="125">
        <f>IF($A189="","",MAX($C189-$D189+$E189-$F189,0))</f>
        <v/>
      </c>
      <c r="H189" s="125">
        <f>IF($A189="","",MAX(-($C189-$D189+$E189-$F189),0))</f>
        <v/>
      </c>
    </row>
    <row r="190" ht="15" customHeight="1" s="78">
      <c r="A190" s="96">
        <f>IF(DM_DT!$A189="","",DM_DT!$A189&amp;"")</f>
        <v/>
      </c>
      <c r="B190" s="97">
        <f>IF($A190="","",DM_DT!$B189)</f>
        <v/>
      </c>
      <c r="C190" s="125">
        <f>IF($A190="","",SUMIFS(SDDK!$D$256:$D$375,SDDK!$A$256:$A$375,"131",SDDK!$B$256:$B$375,$A190))</f>
        <v/>
      </c>
      <c r="D190" s="125">
        <f>IF($A190="","",SUMIFS(SDDK!$E$256:$E$375,SDDK!$A$256:$A$375,"131",SDDK!$B$256:$B$375,$A190))</f>
        <v/>
      </c>
      <c r="E190" s="125">
        <f>IF($A190="","",SUMIFS(NKC!$H$7:$H$3006,NKC!$F$7:$F$3006,"131*",NKC!$I$7:$I$3006,$A190,NKC!$B$7:$B$3006,"&lt;="&amp;DEN_NGAY))</f>
        <v/>
      </c>
      <c r="F190" s="125">
        <f>IF($A190="","",SUMIFS(NKC!$H$7:$H$3006,NKC!$G$7:$G$3006,"131*",NKC!$I$7:$I$3006,$A190,NKC!$B$7:$B$3006,"&lt;="&amp;DEN_NGAY))</f>
        <v/>
      </c>
      <c r="G190" s="125">
        <f>IF($A190="","",MAX($C190-$D190+$E190-$F190,0))</f>
        <v/>
      </c>
      <c r="H190" s="125">
        <f>IF($A190="","",MAX(-($C190-$D190+$E190-$F190),0))</f>
        <v/>
      </c>
    </row>
    <row r="191" ht="15" customHeight="1" s="78">
      <c r="A191" s="96">
        <f>IF(DM_DT!$A190="","",DM_DT!$A190&amp;"")</f>
        <v/>
      </c>
      <c r="B191" s="97">
        <f>IF($A191="","",DM_DT!$B190)</f>
        <v/>
      </c>
      <c r="C191" s="125">
        <f>IF($A191="","",SUMIFS(SDDK!$D$256:$D$375,SDDK!$A$256:$A$375,"131",SDDK!$B$256:$B$375,$A191))</f>
        <v/>
      </c>
      <c r="D191" s="125">
        <f>IF($A191="","",SUMIFS(SDDK!$E$256:$E$375,SDDK!$A$256:$A$375,"131",SDDK!$B$256:$B$375,$A191))</f>
        <v/>
      </c>
      <c r="E191" s="125">
        <f>IF($A191="","",SUMIFS(NKC!$H$7:$H$3006,NKC!$F$7:$F$3006,"131*",NKC!$I$7:$I$3006,$A191,NKC!$B$7:$B$3006,"&lt;="&amp;DEN_NGAY))</f>
        <v/>
      </c>
      <c r="F191" s="125">
        <f>IF($A191="","",SUMIFS(NKC!$H$7:$H$3006,NKC!$G$7:$G$3006,"131*",NKC!$I$7:$I$3006,$A191,NKC!$B$7:$B$3006,"&lt;="&amp;DEN_NGAY))</f>
        <v/>
      </c>
      <c r="G191" s="125">
        <f>IF($A191="","",MAX($C191-$D191+$E191-$F191,0))</f>
        <v/>
      </c>
      <c r="H191" s="125">
        <f>IF($A191="","",MAX(-($C191-$D191+$E191-$F191),0))</f>
        <v/>
      </c>
    </row>
    <row r="192" ht="15" customHeight="1" s="78">
      <c r="A192" s="96">
        <f>IF(DM_DT!$A191="","",DM_DT!$A191&amp;"")</f>
        <v/>
      </c>
      <c r="B192" s="97">
        <f>IF($A192="","",DM_DT!$B191)</f>
        <v/>
      </c>
      <c r="C192" s="125">
        <f>IF($A192="","",SUMIFS(SDDK!$D$256:$D$375,SDDK!$A$256:$A$375,"131",SDDK!$B$256:$B$375,$A192))</f>
        <v/>
      </c>
      <c r="D192" s="125">
        <f>IF($A192="","",SUMIFS(SDDK!$E$256:$E$375,SDDK!$A$256:$A$375,"131",SDDK!$B$256:$B$375,$A192))</f>
        <v/>
      </c>
      <c r="E192" s="125">
        <f>IF($A192="","",SUMIFS(NKC!$H$7:$H$3006,NKC!$F$7:$F$3006,"131*",NKC!$I$7:$I$3006,$A192,NKC!$B$7:$B$3006,"&lt;="&amp;DEN_NGAY))</f>
        <v/>
      </c>
      <c r="F192" s="125">
        <f>IF($A192="","",SUMIFS(NKC!$H$7:$H$3006,NKC!$G$7:$G$3006,"131*",NKC!$I$7:$I$3006,$A192,NKC!$B$7:$B$3006,"&lt;="&amp;DEN_NGAY))</f>
        <v/>
      </c>
      <c r="G192" s="125">
        <f>IF($A192="","",MAX($C192-$D192+$E192-$F192,0))</f>
        <v/>
      </c>
      <c r="H192" s="125">
        <f>IF($A192="","",MAX(-($C192-$D192+$E192-$F192),0))</f>
        <v/>
      </c>
    </row>
    <row r="193" ht="15" customHeight="1" s="78">
      <c r="A193" s="96">
        <f>IF(DM_DT!$A192="","",DM_DT!$A192&amp;"")</f>
        <v/>
      </c>
      <c r="B193" s="97">
        <f>IF($A193="","",DM_DT!$B192)</f>
        <v/>
      </c>
      <c r="C193" s="125">
        <f>IF($A193="","",SUMIFS(SDDK!$D$256:$D$375,SDDK!$A$256:$A$375,"131",SDDK!$B$256:$B$375,$A193))</f>
        <v/>
      </c>
      <c r="D193" s="125">
        <f>IF($A193="","",SUMIFS(SDDK!$E$256:$E$375,SDDK!$A$256:$A$375,"131",SDDK!$B$256:$B$375,$A193))</f>
        <v/>
      </c>
      <c r="E193" s="125">
        <f>IF($A193="","",SUMIFS(NKC!$H$7:$H$3006,NKC!$F$7:$F$3006,"131*",NKC!$I$7:$I$3006,$A193,NKC!$B$7:$B$3006,"&lt;="&amp;DEN_NGAY))</f>
        <v/>
      </c>
      <c r="F193" s="125">
        <f>IF($A193="","",SUMIFS(NKC!$H$7:$H$3006,NKC!$G$7:$G$3006,"131*",NKC!$I$7:$I$3006,$A193,NKC!$B$7:$B$3006,"&lt;="&amp;DEN_NGAY))</f>
        <v/>
      </c>
      <c r="G193" s="125">
        <f>IF($A193="","",MAX($C193-$D193+$E193-$F193,0))</f>
        <v/>
      </c>
      <c r="H193" s="125">
        <f>IF($A193="","",MAX(-($C193-$D193+$E193-$F193),0))</f>
        <v/>
      </c>
    </row>
    <row r="194" ht="15" customHeight="1" s="78">
      <c r="A194" s="96">
        <f>IF(DM_DT!$A193="","",DM_DT!$A193&amp;"")</f>
        <v/>
      </c>
      <c r="B194" s="97">
        <f>IF($A194="","",DM_DT!$B193)</f>
        <v/>
      </c>
      <c r="C194" s="125">
        <f>IF($A194="","",SUMIFS(SDDK!$D$256:$D$375,SDDK!$A$256:$A$375,"131",SDDK!$B$256:$B$375,$A194))</f>
        <v/>
      </c>
      <c r="D194" s="125">
        <f>IF($A194="","",SUMIFS(SDDK!$E$256:$E$375,SDDK!$A$256:$A$375,"131",SDDK!$B$256:$B$375,$A194))</f>
        <v/>
      </c>
      <c r="E194" s="125">
        <f>IF($A194="","",SUMIFS(NKC!$H$7:$H$3006,NKC!$F$7:$F$3006,"131*",NKC!$I$7:$I$3006,$A194,NKC!$B$7:$B$3006,"&lt;="&amp;DEN_NGAY))</f>
        <v/>
      </c>
      <c r="F194" s="125">
        <f>IF($A194="","",SUMIFS(NKC!$H$7:$H$3006,NKC!$G$7:$G$3006,"131*",NKC!$I$7:$I$3006,$A194,NKC!$B$7:$B$3006,"&lt;="&amp;DEN_NGAY))</f>
        <v/>
      </c>
      <c r="G194" s="125">
        <f>IF($A194="","",MAX($C194-$D194+$E194-$F194,0))</f>
        <v/>
      </c>
      <c r="H194" s="125">
        <f>IF($A194="","",MAX(-($C194-$D194+$E194-$F194),0))</f>
        <v/>
      </c>
    </row>
    <row r="195" ht="15" customHeight="1" s="78">
      <c r="A195" s="96">
        <f>IF(DM_DT!$A194="","",DM_DT!$A194&amp;"")</f>
        <v/>
      </c>
      <c r="B195" s="97">
        <f>IF($A195="","",DM_DT!$B194)</f>
        <v/>
      </c>
      <c r="C195" s="125">
        <f>IF($A195="","",SUMIFS(SDDK!$D$256:$D$375,SDDK!$A$256:$A$375,"131",SDDK!$B$256:$B$375,$A195))</f>
        <v/>
      </c>
      <c r="D195" s="125">
        <f>IF($A195="","",SUMIFS(SDDK!$E$256:$E$375,SDDK!$A$256:$A$375,"131",SDDK!$B$256:$B$375,$A195))</f>
        <v/>
      </c>
      <c r="E195" s="125">
        <f>IF($A195="","",SUMIFS(NKC!$H$7:$H$3006,NKC!$F$7:$F$3006,"131*",NKC!$I$7:$I$3006,$A195,NKC!$B$7:$B$3006,"&lt;="&amp;DEN_NGAY))</f>
        <v/>
      </c>
      <c r="F195" s="125">
        <f>IF($A195="","",SUMIFS(NKC!$H$7:$H$3006,NKC!$G$7:$G$3006,"131*",NKC!$I$7:$I$3006,$A195,NKC!$B$7:$B$3006,"&lt;="&amp;DEN_NGAY))</f>
        <v/>
      </c>
      <c r="G195" s="125">
        <f>IF($A195="","",MAX($C195-$D195+$E195-$F195,0))</f>
        <v/>
      </c>
      <c r="H195" s="125">
        <f>IF($A195="","",MAX(-($C195-$D195+$E195-$F195),0))</f>
        <v/>
      </c>
    </row>
    <row r="196" ht="15" customHeight="1" s="78">
      <c r="A196" s="96">
        <f>IF(DM_DT!$A195="","",DM_DT!$A195&amp;"")</f>
        <v/>
      </c>
      <c r="B196" s="97">
        <f>IF($A196="","",DM_DT!$B195)</f>
        <v/>
      </c>
      <c r="C196" s="125">
        <f>IF($A196="","",SUMIFS(SDDK!$D$256:$D$375,SDDK!$A$256:$A$375,"131",SDDK!$B$256:$B$375,$A196))</f>
        <v/>
      </c>
      <c r="D196" s="125">
        <f>IF($A196="","",SUMIFS(SDDK!$E$256:$E$375,SDDK!$A$256:$A$375,"131",SDDK!$B$256:$B$375,$A196))</f>
        <v/>
      </c>
      <c r="E196" s="125">
        <f>IF($A196="","",SUMIFS(NKC!$H$7:$H$3006,NKC!$F$7:$F$3006,"131*",NKC!$I$7:$I$3006,$A196,NKC!$B$7:$B$3006,"&lt;="&amp;DEN_NGAY))</f>
        <v/>
      </c>
      <c r="F196" s="125">
        <f>IF($A196="","",SUMIFS(NKC!$H$7:$H$3006,NKC!$G$7:$G$3006,"131*",NKC!$I$7:$I$3006,$A196,NKC!$B$7:$B$3006,"&lt;="&amp;DEN_NGAY))</f>
        <v/>
      </c>
      <c r="G196" s="125">
        <f>IF($A196="","",MAX($C196-$D196+$E196-$F196,0))</f>
        <v/>
      </c>
      <c r="H196" s="125">
        <f>IF($A196="","",MAX(-($C196-$D196+$E196-$F196),0))</f>
        <v/>
      </c>
    </row>
    <row r="197" ht="15" customHeight="1" s="78">
      <c r="A197" s="96">
        <f>IF(DM_DT!$A196="","",DM_DT!$A196&amp;"")</f>
        <v/>
      </c>
      <c r="B197" s="97">
        <f>IF($A197="","",DM_DT!$B196)</f>
        <v/>
      </c>
      <c r="C197" s="125">
        <f>IF($A197="","",SUMIFS(SDDK!$D$256:$D$375,SDDK!$A$256:$A$375,"131",SDDK!$B$256:$B$375,$A197))</f>
        <v/>
      </c>
      <c r="D197" s="125">
        <f>IF($A197="","",SUMIFS(SDDK!$E$256:$E$375,SDDK!$A$256:$A$375,"131",SDDK!$B$256:$B$375,$A197))</f>
        <v/>
      </c>
      <c r="E197" s="125">
        <f>IF($A197="","",SUMIFS(NKC!$H$7:$H$3006,NKC!$F$7:$F$3006,"131*",NKC!$I$7:$I$3006,$A197,NKC!$B$7:$B$3006,"&lt;="&amp;DEN_NGAY))</f>
        <v/>
      </c>
      <c r="F197" s="125">
        <f>IF($A197="","",SUMIFS(NKC!$H$7:$H$3006,NKC!$G$7:$G$3006,"131*",NKC!$I$7:$I$3006,$A197,NKC!$B$7:$B$3006,"&lt;="&amp;DEN_NGAY))</f>
        <v/>
      </c>
      <c r="G197" s="125">
        <f>IF($A197="","",MAX($C197-$D197+$E197-$F197,0))</f>
        <v/>
      </c>
      <c r="H197" s="125">
        <f>IF($A197="","",MAX(-($C197-$D197+$E197-$F197),0))</f>
        <v/>
      </c>
    </row>
    <row r="198" ht="15" customHeight="1" s="78">
      <c r="A198" s="96">
        <f>IF(DM_DT!$A197="","",DM_DT!$A197&amp;"")</f>
        <v/>
      </c>
      <c r="B198" s="97">
        <f>IF($A198="","",DM_DT!$B197)</f>
        <v/>
      </c>
      <c r="C198" s="125">
        <f>IF($A198="","",SUMIFS(SDDK!$D$256:$D$375,SDDK!$A$256:$A$375,"131",SDDK!$B$256:$B$375,$A198))</f>
        <v/>
      </c>
      <c r="D198" s="125">
        <f>IF($A198="","",SUMIFS(SDDK!$E$256:$E$375,SDDK!$A$256:$A$375,"131",SDDK!$B$256:$B$375,$A198))</f>
        <v/>
      </c>
      <c r="E198" s="125">
        <f>IF($A198="","",SUMIFS(NKC!$H$7:$H$3006,NKC!$F$7:$F$3006,"131*",NKC!$I$7:$I$3006,$A198,NKC!$B$7:$B$3006,"&lt;="&amp;DEN_NGAY))</f>
        <v/>
      </c>
      <c r="F198" s="125">
        <f>IF($A198="","",SUMIFS(NKC!$H$7:$H$3006,NKC!$G$7:$G$3006,"131*",NKC!$I$7:$I$3006,$A198,NKC!$B$7:$B$3006,"&lt;="&amp;DEN_NGAY))</f>
        <v/>
      </c>
      <c r="G198" s="125">
        <f>IF($A198="","",MAX($C198-$D198+$E198-$F198,0))</f>
        <v/>
      </c>
      <c r="H198" s="125">
        <f>IF($A198="","",MAX(-($C198-$D198+$E198-$F198),0))</f>
        <v/>
      </c>
    </row>
    <row r="199" ht="15" customHeight="1" s="78">
      <c r="A199" s="96">
        <f>IF(DM_DT!$A198="","",DM_DT!$A198&amp;"")</f>
        <v/>
      </c>
      <c r="B199" s="97">
        <f>IF($A199="","",DM_DT!$B198)</f>
        <v/>
      </c>
      <c r="C199" s="125">
        <f>IF($A199="","",SUMIFS(SDDK!$D$256:$D$375,SDDK!$A$256:$A$375,"131",SDDK!$B$256:$B$375,$A199))</f>
        <v/>
      </c>
      <c r="D199" s="125">
        <f>IF($A199="","",SUMIFS(SDDK!$E$256:$E$375,SDDK!$A$256:$A$375,"131",SDDK!$B$256:$B$375,$A199))</f>
        <v/>
      </c>
      <c r="E199" s="125">
        <f>IF($A199="","",SUMIFS(NKC!$H$7:$H$3006,NKC!$F$7:$F$3006,"131*",NKC!$I$7:$I$3006,$A199,NKC!$B$7:$B$3006,"&lt;="&amp;DEN_NGAY))</f>
        <v/>
      </c>
      <c r="F199" s="125">
        <f>IF($A199="","",SUMIFS(NKC!$H$7:$H$3006,NKC!$G$7:$G$3006,"131*",NKC!$I$7:$I$3006,$A199,NKC!$B$7:$B$3006,"&lt;="&amp;DEN_NGAY))</f>
        <v/>
      </c>
      <c r="G199" s="125">
        <f>IF($A199="","",MAX($C199-$D199+$E199-$F199,0))</f>
        <v/>
      </c>
      <c r="H199" s="125">
        <f>IF($A199="","",MAX(-($C199-$D199+$E199-$F199),0))</f>
        <v/>
      </c>
    </row>
    <row r="200" ht="15" customHeight="1" s="78">
      <c r="A200" s="96">
        <f>IF(DM_DT!$A199="","",DM_DT!$A199&amp;"")</f>
        <v/>
      </c>
      <c r="B200" s="97">
        <f>IF($A200="","",DM_DT!$B199)</f>
        <v/>
      </c>
      <c r="C200" s="125">
        <f>IF($A200="","",SUMIFS(SDDK!$D$256:$D$375,SDDK!$A$256:$A$375,"131",SDDK!$B$256:$B$375,$A200))</f>
        <v/>
      </c>
      <c r="D200" s="125">
        <f>IF($A200="","",SUMIFS(SDDK!$E$256:$E$375,SDDK!$A$256:$A$375,"131",SDDK!$B$256:$B$375,$A200))</f>
        <v/>
      </c>
      <c r="E200" s="125">
        <f>IF($A200="","",SUMIFS(NKC!$H$7:$H$3006,NKC!$F$7:$F$3006,"131*",NKC!$I$7:$I$3006,$A200,NKC!$B$7:$B$3006,"&lt;="&amp;DEN_NGAY))</f>
        <v/>
      </c>
      <c r="F200" s="125">
        <f>IF($A200="","",SUMIFS(NKC!$H$7:$H$3006,NKC!$G$7:$G$3006,"131*",NKC!$I$7:$I$3006,$A200,NKC!$B$7:$B$3006,"&lt;="&amp;DEN_NGAY))</f>
        <v/>
      </c>
      <c r="G200" s="125">
        <f>IF($A200="","",MAX($C200-$D200+$E200-$F200,0))</f>
        <v/>
      </c>
      <c r="H200" s="125">
        <f>IF($A200="","",MAX(-($C200-$D200+$E200-$F200),0))</f>
        <v/>
      </c>
    </row>
    <row r="201" ht="15" customHeight="1" s="78">
      <c r="A201" s="96">
        <f>IF(DM_DT!$A200="","",DM_DT!$A200&amp;"")</f>
        <v/>
      </c>
      <c r="B201" s="97">
        <f>IF($A201="","",DM_DT!$B200)</f>
        <v/>
      </c>
      <c r="C201" s="125">
        <f>IF($A201="","",SUMIFS(SDDK!$D$256:$D$375,SDDK!$A$256:$A$375,"131",SDDK!$B$256:$B$375,$A201))</f>
        <v/>
      </c>
      <c r="D201" s="125">
        <f>IF($A201="","",SUMIFS(SDDK!$E$256:$E$375,SDDK!$A$256:$A$375,"131",SDDK!$B$256:$B$375,$A201))</f>
        <v/>
      </c>
      <c r="E201" s="125">
        <f>IF($A201="","",SUMIFS(NKC!$H$7:$H$3006,NKC!$F$7:$F$3006,"131*",NKC!$I$7:$I$3006,$A201,NKC!$B$7:$B$3006,"&lt;="&amp;DEN_NGAY))</f>
        <v/>
      </c>
      <c r="F201" s="125">
        <f>IF($A201="","",SUMIFS(NKC!$H$7:$H$3006,NKC!$G$7:$G$3006,"131*",NKC!$I$7:$I$3006,$A201,NKC!$B$7:$B$3006,"&lt;="&amp;DEN_NGAY))</f>
        <v/>
      </c>
      <c r="G201" s="125">
        <f>IF($A201="","",MAX($C201-$D201+$E201-$F201,0))</f>
        <v/>
      </c>
      <c r="H201" s="125">
        <f>IF($A201="","",MAX(-($C201-$D201+$E201-$F201),0))</f>
        <v/>
      </c>
    </row>
    <row r="202" ht="15" customHeight="1" s="78">
      <c r="A202" s="96">
        <f>IF(DM_DT!$A201="","",DM_DT!$A201&amp;"")</f>
        <v/>
      </c>
      <c r="B202" s="97">
        <f>IF($A202="","",DM_DT!$B201)</f>
        <v/>
      </c>
      <c r="C202" s="125">
        <f>IF($A202="","",SUMIFS(SDDK!$D$256:$D$375,SDDK!$A$256:$A$375,"131",SDDK!$B$256:$B$375,$A202))</f>
        <v/>
      </c>
      <c r="D202" s="125">
        <f>IF($A202="","",SUMIFS(SDDK!$E$256:$E$375,SDDK!$A$256:$A$375,"131",SDDK!$B$256:$B$375,$A202))</f>
        <v/>
      </c>
      <c r="E202" s="125">
        <f>IF($A202="","",SUMIFS(NKC!$H$7:$H$3006,NKC!$F$7:$F$3006,"131*",NKC!$I$7:$I$3006,$A202,NKC!$B$7:$B$3006,"&lt;="&amp;DEN_NGAY))</f>
        <v/>
      </c>
      <c r="F202" s="125">
        <f>IF($A202="","",SUMIFS(NKC!$H$7:$H$3006,NKC!$G$7:$G$3006,"131*",NKC!$I$7:$I$3006,$A202,NKC!$B$7:$B$3006,"&lt;="&amp;DEN_NGAY))</f>
        <v/>
      </c>
      <c r="G202" s="125">
        <f>IF($A202="","",MAX($C202-$D202+$E202-$F202,0))</f>
        <v/>
      </c>
      <c r="H202" s="125">
        <f>IF($A202="","",MAX(-($C202-$D202+$E202-$F202),0))</f>
        <v/>
      </c>
    </row>
    <row r="203" ht="15" customHeight="1" s="78">
      <c r="A203" s="96">
        <f>IF(DM_DT!$A202="","",DM_DT!$A202&amp;"")</f>
        <v/>
      </c>
      <c r="B203" s="97">
        <f>IF($A203="","",DM_DT!$B202)</f>
        <v/>
      </c>
      <c r="C203" s="125">
        <f>IF($A203="","",SUMIFS(SDDK!$D$256:$D$375,SDDK!$A$256:$A$375,"131",SDDK!$B$256:$B$375,$A203))</f>
        <v/>
      </c>
      <c r="D203" s="125">
        <f>IF($A203="","",SUMIFS(SDDK!$E$256:$E$375,SDDK!$A$256:$A$375,"131",SDDK!$B$256:$B$375,$A203))</f>
        <v/>
      </c>
      <c r="E203" s="125">
        <f>IF($A203="","",SUMIFS(NKC!$H$7:$H$3006,NKC!$F$7:$F$3006,"131*",NKC!$I$7:$I$3006,$A203,NKC!$B$7:$B$3006,"&lt;="&amp;DEN_NGAY))</f>
        <v/>
      </c>
      <c r="F203" s="125">
        <f>IF($A203="","",SUMIFS(NKC!$H$7:$H$3006,NKC!$G$7:$G$3006,"131*",NKC!$I$7:$I$3006,$A203,NKC!$B$7:$B$3006,"&lt;="&amp;DEN_NGAY))</f>
        <v/>
      </c>
      <c r="G203" s="125">
        <f>IF($A203="","",MAX($C203-$D203+$E203-$F203,0))</f>
        <v/>
      </c>
      <c r="H203" s="125">
        <f>IF($A203="","",MAX(-($C203-$D203+$E203-$F203),0))</f>
        <v/>
      </c>
    </row>
    <row r="204" ht="15" customHeight="1" s="78">
      <c r="A204" s="96">
        <f>IF(DM_DT!$A203="","",DM_DT!$A203&amp;"")</f>
        <v/>
      </c>
      <c r="B204" s="97">
        <f>IF($A204="","",DM_DT!$B203)</f>
        <v/>
      </c>
      <c r="C204" s="125">
        <f>IF($A204="","",SUMIFS(SDDK!$D$256:$D$375,SDDK!$A$256:$A$375,"131",SDDK!$B$256:$B$375,$A204))</f>
        <v/>
      </c>
      <c r="D204" s="125">
        <f>IF($A204="","",SUMIFS(SDDK!$E$256:$E$375,SDDK!$A$256:$A$375,"131",SDDK!$B$256:$B$375,$A204))</f>
        <v/>
      </c>
      <c r="E204" s="125">
        <f>IF($A204="","",SUMIFS(NKC!$H$7:$H$3006,NKC!$F$7:$F$3006,"131*",NKC!$I$7:$I$3006,$A204,NKC!$B$7:$B$3006,"&lt;="&amp;DEN_NGAY))</f>
        <v/>
      </c>
      <c r="F204" s="125">
        <f>IF($A204="","",SUMIFS(NKC!$H$7:$H$3006,NKC!$G$7:$G$3006,"131*",NKC!$I$7:$I$3006,$A204,NKC!$B$7:$B$3006,"&lt;="&amp;DEN_NGAY))</f>
        <v/>
      </c>
      <c r="G204" s="125">
        <f>IF($A204="","",MAX($C204-$D204+$E204-$F204,0))</f>
        <v/>
      </c>
      <c r="H204" s="125">
        <f>IF($A204="","",MAX(-($C204-$D204+$E204-$F204),0))</f>
        <v/>
      </c>
    </row>
    <row r="205" ht="15" customHeight="1" s="78">
      <c r="A205" s="96">
        <f>IF(DM_DT!$A204="","",DM_DT!$A204&amp;"")</f>
        <v/>
      </c>
      <c r="B205" s="97">
        <f>IF($A205="","",DM_DT!$B204)</f>
        <v/>
      </c>
      <c r="C205" s="125">
        <f>IF($A205="","",SUMIFS(SDDK!$D$256:$D$375,SDDK!$A$256:$A$375,"131",SDDK!$B$256:$B$375,$A205))</f>
        <v/>
      </c>
      <c r="D205" s="125">
        <f>IF($A205="","",SUMIFS(SDDK!$E$256:$E$375,SDDK!$A$256:$A$375,"131",SDDK!$B$256:$B$375,$A205))</f>
        <v/>
      </c>
      <c r="E205" s="125">
        <f>IF($A205="","",SUMIFS(NKC!$H$7:$H$3006,NKC!$F$7:$F$3006,"131*",NKC!$I$7:$I$3006,$A205,NKC!$B$7:$B$3006,"&lt;="&amp;DEN_NGAY))</f>
        <v/>
      </c>
      <c r="F205" s="125">
        <f>IF($A205="","",SUMIFS(NKC!$H$7:$H$3006,NKC!$G$7:$G$3006,"131*",NKC!$I$7:$I$3006,$A205,NKC!$B$7:$B$3006,"&lt;="&amp;DEN_NGAY))</f>
        <v/>
      </c>
      <c r="G205" s="125">
        <f>IF($A205="","",MAX($C205-$D205+$E205-$F205,0))</f>
        <v/>
      </c>
      <c r="H205" s="125">
        <f>IF($A205="","",MAX(-($C205-$D205+$E205-$F205),0))</f>
        <v/>
      </c>
    </row>
    <row r="206" ht="15" customHeight="1" s="78">
      <c r="A206" s="96">
        <f>IF(DM_DT!$A205="","",DM_DT!$A205&amp;"")</f>
        <v/>
      </c>
      <c r="B206" s="97">
        <f>IF($A206="","",DM_DT!$B205)</f>
        <v/>
      </c>
      <c r="C206" s="125">
        <f>IF($A206="","",SUMIFS(SDDK!$D$256:$D$375,SDDK!$A$256:$A$375,"131",SDDK!$B$256:$B$375,$A206))</f>
        <v/>
      </c>
      <c r="D206" s="125">
        <f>IF($A206="","",SUMIFS(SDDK!$E$256:$E$375,SDDK!$A$256:$A$375,"131",SDDK!$B$256:$B$375,$A206))</f>
        <v/>
      </c>
      <c r="E206" s="125">
        <f>IF($A206="","",SUMIFS(NKC!$H$7:$H$3006,NKC!$F$7:$F$3006,"131*",NKC!$I$7:$I$3006,$A206,NKC!$B$7:$B$3006,"&lt;="&amp;DEN_NGAY))</f>
        <v/>
      </c>
      <c r="F206" s="125">
        <f>IF($A206="","",SUMIFS(NKC!$H$7:$H$3006,NKC!$G$7:$G$3006,"131*",NKC!$I$7:$I$3006,$A206,NKC!$B$7:$B$3006,"&lt;="&amp;DEN_NGAY))</f>
        <v/>
      </c>
      <c r="G206" s="125">
        <f>IF($A206="","",MAX($C206-$D206+$E206-$F206,0))</f>
        <v/>
      </c>
      <c r="H206" s="125">
        <f>IF($A206="","",MAX(-($C206-$D206+$E206-$F206),0))</f>
        <v/>
      </c>
    </row>
    <row r="207" ht="15" customHeight="1" s="78">
      <c r="A207" s="96">
        <f>IF(DM_DT!$A206="","",DM_DT!$A206&amp;"")</f>
        <v/>
      </c>
      <c r="B207" s="97">
        <f>IF($A207="","",DM_DT!$B206)</f>
        <v/>
      </c>
      <c r="C207" s="125">
        <f>IF($A207="","",SUMIFS(SDDK!$D$256:$D$375,SDDK!$A$256:$A$375,"131",SDDK!$B$256:$B$375,$A207))</f>
        <v/>
      </c>
      <c r="D207" s="125">
        <f>IF($A207="","",SUMIFS(SDDK!$E$256:$E$375,SDDK!$A$256:$A$375,"131",SDDK!$B$256:$B$375,$A207))</f>
        <v/>
      </c>
      <c r="E207" s="125">
        <f>IF($A207="","",SUMIFS(NKC!$H$7:$H$3006,NKC!$F$7:$F$3006,"131*",NKC!$I$7:$I$3006,$A207,NKC!$B$7:$B$3006,"&lt;="&amp;DEN_NGAY))</f>
        <v/>
      </c>
      <c r="F207" s="125">
        <f>IF($A207="","",SUMIFS(NKC!$H$7:$H$3006,NKC!$G$7:$G$3006,"131*",NKC!$I$7:$I$3006,$A207,NKC!$B$7:$B$3006,"&lt;="&amp;DEN_NGAY))</f>
        <v/>
      </c>
      <c r="G207" s="125">
        <f>IF($A207="","",MAX($C207-$D207+$E207-$F207,0))</f>
        <v/>
      </c>
      <c r="H207" s="125">
        <f>IF($A207="","",MAX(-($C207-$D207+$E207-$F207),0))</f>
        <v/>
      </c>
    </row>
    <row r="208" ht="15" customHeight="1" s="78">
      <c r="A208" s="96">
        <f>IF(DM_DT!$A207="","",DM_DT!$A207&amp;"")</f>
        <v/>
      </c>
      <c r="B208" s="97">
        <f>IF($A208="","",DM_DT!$B207)</f>
        <v/>
      </c>
      <c r="C208" s="125">
        <f>IF($A208="","",SUMIFS(SDDK!$D$256:$D$375,SDDK!$A$256:$A$375,"131",SDDK!$B$256:$B$375,$A208))</f>
        <v/>
      </c>
      <c r="D208" s="125">
        <f>IF($A208="","",SUMIFS(SDDK!$E$256:$E$375,SDDK!$A$256:$A$375,"131",SDDK!$B$256:$B$375,$A208))</f>
        <v/>
      </c>
      <c r="E208" s="125">
        <f>IF($A208="","",SUMIFS(NKC!$H$7:$H$3006,NKC!$F$7:$F$3006,"131*",NKC!$I$7:$I$3006,$A208,NKC!$B$7:$B$3006,"&lt;="&amp;DEN_NGAY))</f>
        <v/>
      </c>
      <c r="F208" s="125">
        <f>IF($A208="","",SUMIFS(NKC!$H$7:$H$3006,NKC!$G$7:$G$3006,"131*",NKC!$I$7:$I$3006,$A208,NKC!$B$7:$B$3006,"&lt;="&amp;DEN_NGAY))</f>
        <v/>
      </c>
      <c r="G208" s="125">
        <f>IF($A208="","",MAX($C208-$D208+$E208-$F208,0))</f>
        <v/>
      </c>
      <c r="H208" s="125">
        <f>IF($A208="","",MAX(-($C208-$D208+$E208-$F208),0))</f>
        <v/>
      </c>
    </row>
    <row r="209" ht="15" customHeight="1" s="78">
      <c r="A209" s="96">
        <f>IF(DM_DT!$A208="","",DM_DT!$A208&amp;"")</f>
        <v/>
      </c>
      <c r="B209" s="97">
        <f>IF($A209="","",DM_DT!$B208)</f>
        <v/>
      </c>
      <c r="C209" s="125">
        <f>IF($A209="","",SUMIFS(SDDK!$D$256:$D$375,SDDK!$A$256:$A$375,"131",SDDK!$B$256:$B$375,$A209))</f>
        <v/>
      </c>
      <c r="D209" s="125">
        <f>IF($A209="","",SUMIFS(SDDK!$E$256:$E$375,SDDK!$A$256:$A$375,"131",SDDK!$B$256:$B$375,$A209))</f>
        <v/>
      </c>
      <c r="E209" s="125">
        <f>IF($A209="","",SUMIFS(NKC!$H$7:$H$3006,NKC!$F$7:$F$3006,"131*",NKC!$I$7:$I$3006,$A209,NKC!$B$7:$B$3006,"&lt;="&amp;DEN_NGAY))</f>
        <v/>
      </c>
      <c r="F209" s="125">
        <f>IF($A209="","",SUMIFS(NKC!$H$7:$H$3006,NKC!$G$7:$G$3006,"131*",NKC!$I$7:$I$3006,$A209,NKC!$B$7:$B$3006,"&lt;="&amp;DEN_NGAY))</f>
        <v/>
      </c>
      <c r="G209" s="125">
        <f>IF($A209="","",MAX($C209-$D209+$E209-$F209,0))</f>
        <v/>
      </c>
      <c r="H209" s="125">
        <f>IF($A209="","",MAX(-($C209-$D209+$E209-$F209),0))</f>
        <v/>
      </c>
    </row>
    <row r="210" ht="15" customHeight="1" s="78">
      <c r="A210" s="96">
        <f>IF(DM_DT!$A209="","",DM_DT!$A209&amp;"")</f>
        <v/>
      </c>
      <c r="B210" s="97">
        <f>IF($A210="","",DM_DT!$B209)</f>
        <v/>
      </c>
      <c r="C210" s="125">
        <f>IF($A210="","",SUMIFS(SDDK!$D$256:$D$375,SDDK!$A$256:$A$375,"131",SDDK!$B$256:$B$375,$A210))</f>
        <v/>
      </c>
      <c r="D210" s="125">
        <f>IF($A210="","",SUMIFS(SDDK!$E$256:$E$375,SDDK!$A$256:$A$375,"131",SDDK!$B$256:$B$375,$A210))</f>
        <v/>
      </c>
      <c r="E210" s="125">
        <f>IF($A210="","",SUMIFS(NKC!$H$7:$H$3006,NKC!$F$7:$F$3006,"131*",NKC!$I$7:$I$3006,$A210,NKC!$B$7:$B$3006,"&lt;="&amp;DEN_NGAY))</f>
        <v/>
      </c>
      <c r="F210" s="125">
        <f>IF($A210="","",SUMIFS(NKC!$H$7:$H$3006,NKC!$G$7:$G$3006,"131*",NKC!$I$7:$I$3006,$A210,NKC!$B$7:$B$3006,"&lt;="&amp;DEN_NGAY))</f>
        <v/>
      </c>
      <c r="G210" s="125">
        <f>IF($A210="","",MAX($C210-$D210+$E210-$F210,0))</f>
        <v/>
      </c>
      <c r="H210" s="125">
        <f>IF($A210="","",MAX(-($C210-$D210+$E210-$F210),0))</f>
        <v/>
      </c>
    </row>
    <row r="211" ht="15" customHeight="1" s="78">
      <c r="A211" s="96">
        <f>IF(DM_DT!$A210="","",DM_DT!$A210&amp;"")</f>
        <v/>
      </c>
      <c r="B211" s="97">
        <f>IF($A211="","",DM_DT!$B210)</f>
        <v/>
      </c>
      <c r="C211" s="125">
        <f>IF($A211="","",SUMIFS(SDDK!$D$256:$D$375,SDDK!$A$256:$A$375,"131",SDDK!$B$256:$B$375,$A211))</f>
        <v/>
      </c>
      <c r="D211" s="125">
        <f>IF($A211="","",SUMIFS(SDDK!$E$256:$E$375,SDDK!$A$256:$A$375,"131",SDDK!$B$256:$B$375,$A211))</f>
        <v/>
      </c>
      <c r="E211" s="125">
        <f>IF($A211="","",SUMIFS(NKC!$H$7:$H$3006,NKC!$F$7:$F$3006,"131*",NKC!$I$7:$I$3006,$A211,NKC!$B$7:$B$3006,"&lt;="&amp;DEN_NGAY))</f>
        <v/>
      </c>
      <c r="F211" s="125">
        <f>IF($A211="","",SUMIFS(NKC!$H$7:$H$3006,NKC!$G$7:$G$3006,"131*",NKC!$I$7:$I$3006,$A211,NKC!$B$7:$B$3006,"&lt;="&amp;DEN_NGAY))</f>
        <v/>
      </c>
      <c r="G211" s="125">
        <f>IF($A211="","",MAX($C211-$D211+$E211-$F211,0))</f>
        <v/>
      </c>
      <c r="H211" s="125">
        <f>IF($A211="","",MAX(-($C211-$D211+$E211-$F211),0))</f>
        <v/>
      </c>
    </row>
    <row r="212" ht="15" customHeight="1" s="78">
      <c r="A212" s="96">
        <f>IF(DM_DT!$A211="","",DM_DT!$A211&amp;"")</f>
        <v/>
      </c>
      <c r="B212" s="97">
        <f>IF($A212="","",DM_DT!$B211)</f>
        <v/>
      </c>
      <c r="C212" s="125">
        <f>IF($A212="","",SUMIFS(SDDK!$D$256:$D$375,SDDK!$A$256:$A$375,"131",SDDK!$B$256:$B$375,$A212))</f>
        <v/>
      </c>
      <c r="D212" s="125">
        <f>IF($A212="","",SUMIFS(SDDK!$E$256:$E$375,SDDK!$A$256:$A$375,"131",SDDK!$B$256:$B$375,$A212))</f>
        <v/>
      </c>
      <c r="E212" s="125">
        <f>IF($A212="","",SUMIFS(NKC!$H$7:$H$3006,NKC!$F$7:$F$3006,"131*",NKC!$I$7:$I$3006,$A212,NKC!$B$7:$B$3006,"&lt;="&amp;DEN_NGAY))</f>
        <v/>
      </c>
      <c r="F212" s="125">
        <f>IF($A212="","",SUMIFS(NKC!$H$7:$H$3006,NKC!$G$7:$G$3006,"131*",NKC!$I$7:$I$3006,$A212,NKC!$B$7:$B$3006,"&lt;="&amp;DEN_NGAY))</f>
        <v/>
      </c>
      <c r="G212" s="125">
        <f>IF($A212="","",MAX($C212-$D212+$E212-$F212,0))</f>
        <v/>
      </c>
      <c r="H212" s="125">
        <f>IF($A212="","",MAX(-($C212-$D212+$E212-$F212),0))</f>
        <v/>
      </c>
    </row>
    <row r="213" ht="15" customHeight="1" s="78">
      <c r="A213" s="96">
        <f>IF(DM_DT!$A212="","",DM_DT!$A212&amp;"")</f>
        <v/>
      </c>
      <c r="B213" s="97">
        <f>IF($A213="","",DM_DT!$B212)</f>
        <v/>
      </c>
      <c r="C213" s="125">
        <f>IF($A213="","",SUMIFS(SDDK!$D$256:$D$375,SDDK!$A$256:$A$375,"131",SDDK!$B$256:$B$375,$A213))</f>
        <v/>
      </c>
      <c r="D213" s="125">
        <f>IF($A213="","",SUMIFS(SDDK!$E$256:$E$375,SDDK!$A$256:$A$375,"131",SDDK!$B$256:$B$375,$A213))</f>
        <v/>
      </c>
      <c r="E213" s="125">
        <f>IF($A213="","",SUMIFS(NKC!$H$7:$H$3006,NKC!$F$7:$F$3006,"131*",NKC!$I$7:$I$3006,$A213,NKC!$B$7:$B$3006,"&lt;="&amp;DEN_NGAY))</f>
        <v/>
      </c>
      <c r="F213" s="125">
        <f>IF($A213="","",SUMIFS(NKC!$H$7:$H$3006,NKC!$G$7:$G$3006,"131*",NKC!$I$7:$I$3006,$A213,NKC!$B$7:$B$3006,"&lt;="&amp;DEN_NGAY))</f>
        <v/>
      </c>
      <c r="G213" s="125">
        <f>IF($A213="","",MAX($C213-$D213+$E213-$F213,0))</f>
        <v/>
      </c>
      <c r="H213" s="125">
        <f>IF($A213="","",MAX(-($C213-$D213+$E213-$F213),0))</f>
        <v/>
      </c>
    </row>
    <row r="214" ht="15" customHeight="1" s="78">
      <c r="A214" s="96">
        <f>IF(DM_DT!$A213="","",DM_DT!$A213&amp;"")</f>
        <v/>
      </c>
      <c r="B214" s="97">
        <f>IF($A214="","",DM_DT!$B213)</f>
        <v/>
      </c>
      <c r="C214" s="125">
        <f>IF($A214="","",SUMIFS(SDDK!$D$256:$D$375,SDDK!$A$256:$A$375,"131",SDDK!$B$256:$B$375,$A214))</f>
        <v/>
      </c>
      <c r="D214" s="125">
        <f>IF($A214="","",SUMIFS(SDDK!$E$256:$E$375,SDDK!$A$256:$A$375,"131",SDDK!$B$256:$B$375,$A214))</f>
        <v/>
      </c>
      <c r="E214" s="125">
        <f>IF($A214="","",SUMIFS(NKC!$H$7:$H$3006,NKC!$F$7:$F$3006,"131*",NKC!$I$7:$I$3006,$A214,NKC!$B$7:$B$3006,"&lt;="&amp;DEN_NGAY))</f>
        <v/>
      </c>
      <c r="F214" s="125">
        <f>IF($A214="","",SUMIFS(NKC!$H$7:$H$3006,NKC!$G$7:$G$3006,"131*",NKC!$I$7:$I$3006,$A214,NKC!$B$7:$B$3006,"&lt;="&amp;DEN_NGAY))</f>
        <v/>
      </c>
      <c r="G214" s="125">
        <f>IF($A214="","",MAX($C214-$D214+$E214-$F214,0))</f>
        <v/>
      </c>
      <c r="H214" s="125">
        <f>IF($A214="","",MAX(-($C214-$D214+$E214-$F214),0))</f>
        <v/>
      </c>
    </row>
    <row r="215" ht="15" customHeight="1" s="78">
      <c r="A215" s="96">
        <f>IF(DM_DT!$A214="","",DM_DT!$A214&amp;"")</f>
        <v/>
      </c>
      <c r="B215" s="97">
        <f>IF($A215="","",DM_DT!$B214)</f>
        <v/>
      </c>
      <c r="C215" s="125">
        <f>IF($A215="","",SUMIFS(SDDK!$D$256:$D$375,SDDK!$A$256:$A$375,"131",SDDK!$B$256:$B$375,$A215))</f>
        <v/>
      </c>
      <c r="D215" s="125">
        <f>IF($A215="","",SUMIFS(SDDK!$E$256:$E$375,SDDK!$A$256:$A$375,"131",SDDK!$B$256:$B$375,$A215))</f>
        <v/>
      </c>
      <c r="E215" s="125">
        <f>IF($A215="","",SUMIFS(NKC!$H$7:$H$3006,NKC!$F$7:$F$3006,"131*",NKC!$I$7:$I$3006,$A215,NKC!$B$7:$B$3006,"&lt;="&amp;DEN_NGAY))</f>
        <v/>
      </c>
      <c r="F215" s="125">
        <f>IF($A215="","",SUMIFS(NKC!$H$7:$H$3006,NKC!$G$7:$G$3006,"131*",NKC!$I$7:$I$3006,$A215,NKC!$B$7:$B$3006,"&lt;="&amp;DEN_NGAY))</f>
        <v/>
      </c>
      <c r="G215" s="125">
        <f>IF($A215="","",MAX($C215-$D215+$E215-$F215,0))</f>
        <v/>
      </c>
      <c r="H215" s="125">
        <f>IF($A215="","",MAX(-($C215-$D215+$E215-$F215),0))</f>
        <v/>
      </c>
    </row>
    <row r="216" ht="15" customHeight="1" s="78">
      <c r="A216" s="96">
        <f>IF(DM_DT!$A215="","",DM_DT!$A215&amp;"")</f>
        <v/>
      </c>
      <c r="B216" s="97">
        <f>IF($A216="","",DM_DT!$B215)</f>
        <v/>
      </c>
      <c r="C216" s="125">
        <f>IF($A216="","",SUMIFS(SDDK!$D$256:$D$375,SDDK!$A$256:$A$375,"131",SDDK!$B$256:$B$375,$A216))</f>
        <v/>
      </c>
      <c r="D216" s="125">
        <f>IF($A216="","",SUMIFS(SDDK!$E$256:$E$375,SDDK!$A$256:$A$375,"131",SDDK!$B$256:$B$375,$A216))</f>
        <v/>
      </c>
      <c r="E216" s="125">
        <f>IF($A216="","",SUMIFS(NKC!$H$7:$H$3006,NKC!$F$7:$F$3006,"131*",NKC!$I$7:$I$3006,$A216,NKC!$B$7:$B$3006,"&lt;="&amp;DEN_NGAY))</f>
        <v/>
      </c>
      <c r="F216" s="125">
        <f>IF($A216="","",SUMIFS(NKC!$H$7:$H$3006,NKC!$G$7:$G$3006,"131*",NKC!$I$7:$I$3006,$A216,NKC!$B$7:$B$3006,"&lt;="&amp;DEN_NGAY))</f>
        <v/>
      </c>
      <c r="G216" s="125">
        <f>IF($A216="","",MAX($C216-$D216+$E216-$F216,0))</f>
        <v/>
      </c>
      <c r="H216" s="125">
        <f>IF($A216="","",MAX(-($C216-$D216+$E216-$F216),0))</f>
        <v/>
      </c>
    </row>
    <row r="217" ht="15" customHeight="1" s="78">
      <c r="A217" s="96">
        <f>IF(DM_DT!$A216="","",DM_DT!$A216&amp;"")</f>
        <v/>
      </c>
      <c r="B217" s="97">
        <f>IF($A217="","",DM_DT!$B216)</f>
        <v/>
      </c>
      <c r="C217" s="125">
        <f>IF($A217="","",SUMIFS(SDDK!$D$256:$D$375,SDDK!$A$256:$A$375,"131",SDDK!$B$256:$B$375,$A217))</f>
        <v/>
      </c>
      <c r="D217" s="125">
        <f>IF($A217="","",SUMIFS(SDDK!$E$256:$E$375,SDDK!$A$256:$A$375,"131",SDDK!$B$256:$B$375,$A217))</f>
        <v/>
      </c>
      <c r="E217" s="125">
        <f>IF($A217="","",SUMIFS(NKC!$H$7:$H$3006,NKC!$F$7:$F$3006,"131*",NKC!$I$7:$I$3006,$A217,NKC!$B$7:$B$3006,"&lt;="&amp;DEN_NGAY))</f>
        <v/>
      </c>
      <c r="F217" s="125">
        <f>IF($A217="","",SUMIFS(NKC!$H$7:$H$3006,NKC!$G$7:$G$3006,"131*",NKC!$I$7:$I$3006,$A217,NKC!$B$7:$B$3006,"&lt;="&amp;DEN_NGAY))</f>
        <v/>
      </c>
      <c r="G217" s="125">
        <f>IF($A217="","",MAX($C217-$D217+$E217-$F217,0))</f>
        <v/>
      </c>
      <c r="H217" s="125">
        <f>IF($A217="","",MAX(-($C217-$D217+$E217-$F217),0))</f>
        <v/>
      </c>
    </row>
    <row r="218" ht="15" customHeight="1" s="78">
      <c r="A218" s="96">
        <f>IF(DM_DT!$A217="","",DM_DT!$A217&amp;"")</f>
        <v/>
      </c>
      <c r="B218" s="97">
        <f>IF($A218="","",DM_DT!$B217)</f>
        <v/>
      </c>
      <c r="C218" s="125">
        <f>IF($A218="","",SUMIFS(SDDK!$D$256:$D$375,SDDK!$A$256:$A$375,"131",SDDK!$B$256:$B$375,$A218))</f>
        <v/>
      </c>
      <c r="D218" s="125">
        <f>IF($A218="","",SUMIFS(SDDK!$E$256:$E$375,SDDK!$A$256:$A$375,"131",SDDK!$B$256:$B$375,$A218))</f>
        <v/>
      </c>
      <c r="E218" s="125">
        <f>IF($A218="","",SUMIFS(NKC!$H$7:$H$3006,NKC!$F$7:$F$3006,"131*",NKC!$I$7:$I$3006,$A218,NKC!$B$7:$B$3006,"&lt;="&amp;DEN_NGAY))</f>
        <v/>
      </c>
      <c r="F218" s="125">
        <f>IF($A218="","",SUMIFS(NKC!$H$7:$H$3006,NKC!$G$7:$G$3006,"131*",NKC!$I$7:$I$3006,$A218,NKC!$B$7:$B$3006,"&lt;="&amp;DEN_NGAY))</f>
        <v/>
      </c>
      <c r="G218" s="125">
        <f>IF($A218="","",MAX($C218-$D218+$E218-$F218,0))</f>
        <v/>
      </c>
      <c r="H218" s="125">
        <f>IF($A218="","",MAX(-($C218-$D218+$E218-$F218),0))</f>
        <v/>
      </c>
    </row>
    <row r="219" ht="15" customHeight="1" s="78">
      <c r="A219" s="96">
        <f>IF(DM_DT!$A218="","",DM_DT!$A218&amp;"")</f>
        <v/>
      </c>
      <c r="B219" s="97">
        <f>IF($A219="","",DM_DT!$B218)</f>
        <v/>
      </c>
      <c r="C219" s="125">
        <f>IF($A219="","",SUMIFS(SDDK!$D$256:$D$375,SDDK!$A$256:$A$375,"131",SDDK!$B$256:$B$375,$A219))</f>
        <v/>
      </c>
      <c r="D219" s="125">
        <f>IF($A219="","",SUMIFS(SDDK!$E$256:$E$375,SDDK!$A$256:$A$375,"131",SDDK!$B$256:$B$375,$A219))</f>
        <v/>
      </c>
      <c r="E219" s="125">
        <f>IF($A219="","",SUMIFS(NKC!$H$7:$H$3006,NKC!$F$7:$F$3006,"131*",NKC!$I$7:$I$3006,$A219,NKC!$B$7:$B$3006,"&lt;="&amp;DEN_NGAY))</f>
        <v/>
      </c>
      <c r="F219" s="125">
        <f>IF($A219="","",SUMIFS(NKC!$H$7:$H$3006,NKC!$G$7:$G$3006,"131*",NKC!$I$7:$I$3006,$A219,NKC!$B$7:$B$3006,"&lt;="&amp;DEN_NGAY))</f>
        <v/>
      </c>
      <c r="G219" s="125">
        <f>IF($A219="","",MAX($C219-$D219+$E219-$F219,0))</f>
        <v/>
      </c>
      <c r="H219" s="125">
        <f>IF($A219="","",MAX(-($C219-$D219+$E219-$F219),0))</f>
        <v/>
      </c>
    </row>
    <row r="220" ht="15" customHeight="1" s="78">
      <c r="A220" s="96">
        <f>IF(DM_DT!$A219="","",DM_DT!$A219&amp;"")</f>
        <v/>
      </c>
      <c r="B220" s="97">
        <f>IF($A220="","",DM_DT!$B219)</f>
        <v/>
      </c>
      <c r="C220" s="125">
        <f>IF($A220="","",SUMIFS(SDDK!$D$256:$D$375,SDDK!$A$256:$A$375,"131",SDDK!$B$256:$B$375,$A220))</f>
        <v/>
      </c>
      <c r="D220" s="125">
        <f>IF($A220="","",SUMIFS(SDDK!$E$256:$E$375,SDDK!$A$256:$A$375,"131",SDDK!$B$256:$B$375,$A220))</f>
        <v/>
      </c>
      <c r="E220" s="125">
        <f>IF($A220="","",SUMIFS(NKC!$H$7:$H$3006,NKC!$F$7:$F$3006,"131*",NKC!$I$7:$I$3006,$A220,NKC!$B$7:$B$3006,"&lt;="&amp;DEN_NGAY))</f>
        <v/>
      </c>
      <c r="F220" s="125">
        <f>IF($A220="","",SUMIFS(NKC!$H$7:$H$3006,NKC!$G$7:$G$3006,"131*",NKC!$I$7:$I$3006,$A220,NKC!$B$7:$B$3006,"&lt;="&amp;DEN_NGAY))</f>
        <v/>
      </c>
      <c r="G220" s="125">
        <f>IF($A220="","",MAX($C220-$D220+$E220-$F220,0))</f>
        <v/>
      </c>
      <c r="H220" s="125">
        <f>IF($A220="","",MAX(-($C220-$D220+$E220-$F220),0))</f>
        <v/>
      </c>
    </row>
    <row r="221" ht="15" customHeight="1" s="78">
      <c r="A221" s="96">
        <f>IF(DM_DT!$A220="","",DM_DT!$A220&amp;"")</f>
        <v/>
      </c>
      <c r="B221" s="97">
        <f>IF($A221="","",DM_DT!$B220)</f>
        <v/>
      </c>
      <c r="C221" s="125">
        <f>IF($A221="","",SUMIFS(SDDK!$D$256:$D$375,SDDK!$A$256:$A$375,"131",SDDK!$B$256:$B$375,$A221))</f>
        <v/>
      </c>
      <c r="D221" s="125">
        <f>IF($A221="","",SUMIFS(SDDK!$E$256:$E$375,SDDK!$A$256:$A$375,"131",SDDK!$B$256:$B$375,$A221))</f>
        <v/>
      </c>
      <c r="E221" s="125">
        <f>IF($A221="","",SUMIFS(NKC!$H$7:$H$3006,NKC!$F$7:$F$3006,"131*",NKC!$I$7:$I$3006,$A221,NKC!$B$7:$B$3006,"&lt;="&amp;DEN_NGAY))</f>
        <v/>
      </c>
      <c r="F221" s="125">
        <f>IF($A221="","",SUMIFS(NKC!$H$7:$H$3006,NKC!$G$7:$G$3006,"131*",NKC!$I$7:$I$3006,$A221,NKC!$B$7:$B$3006,"&lt;="&amp;DEN_NGAY))</f>
        <v/>
      </c>
      <c r="G221" s="125">
        <f>IF($A221="","",MAX($C221-$D221+$E221-$F221,0))</f>
        <v/>
      </c>
      <c r="H221" s="125">
        <f>IF($A221="","",MAX(-($C221-$D221+$E221-$F221),0))</f>
        <v/>
      </c>
    </row>
    <row r="222" ht="15" customHeight="1" s="78">
      <c r="A222" s="96">
        <f>IF(DM_DT!$A221="","",DM_DT!$A221&amp;"")</f>
        <v/>
      </c>
      <c r="B222" s="97">
        <f>IF($A222="","",DM_DT!$B221)</f>
        <v/>
      </c>
      <c r="C222" s="125">
        <f>IF($A222="","",SUMIFS(SDDK!$D$256:$D$375,SDDK!$A$256:$A$375,"131",SDDK!$B$256:$B$375,$A222))</f>
        <v/>
      </c>
      <c r="D222" s="125">
        <f>IF($A222="","",SUMIFS(SDDK!$E$256:$E$375,SDDK!$A$256:$A$375,"131",SDDK!$B$256:$B$375,$A222))</f>
        <v/>
      </c>
      <c r="E222" s="125">
        <f>IF($A222="","",SUMIFS(NKC!$H$7:$H$3006,NKC!$F$7:$F$3006,"131*",NKC!$I$7:$I$3006,$A222,NKC!$B$7:$B$3006,"&lt;="&amp;DEN_NGAY))</f>
        <v/>
      </c>
      <c r="F222" s="125">
        <f>IF($A222="","",SUMIFS(NKC!$H$7:$H$3006,NKC!$G$7:$G$3006,"131*",NKC!$I$7:$I$3006,$A222,NKC!$B$7:$B$3006,"&lt;="&amp;DEN_NGAY))</f>
        <v/>
      </c>
      <c r="G222" s="125">
        <f>IF($A222="","",MAX($C222-$D222+$E222-$F222,0))</f>
        <v/>
      </c>
      <c r="H222" s="125">
        <f>IF($A222="","",MAX(-($C222-$D222+$E222-$F222),0))</f>
        <v/>
      </c>
    </row>
    <row r="223" ht="15" customHeight="1" s="78">
      <c r="A223" s="96">
        <f>IF(DM_DT!$A222="","",DM_DT!$A222&amp;"")</f>
        <v/>
      </c>
      <c r="B223" s="97">
        <f>IF($A223="","",DM_DT!$B222)</f>
        <v/>
      </c>
      <c r="C223" s="125">
        <f>IF($A223="","",SUMIFS(SDDK!$D$256:$D$375,SDDK!$A$256:$A$375,"131",SDDK!$B$256:$B$375,$A223))</f>
        <v/>
      </c>
      <c r="D223" s="125">
        <f>IF($A223="","",SUMIFS(SDDK!$E$256:$E$375,SDDK!$A$256:$A$375,"131",SDDK!$B$256:$B$375,$A223))</f>
        <v/>
      </c>
      <c r="E223" s="125">
        <f>IF($A223="","",SUMIFS(NKC!$H$7:$H$3006,NKC!$F$7:$F$3006,"131*",NKC!$I$7:$I$3006,$A223,NKC!$B$7:$B$3006,"&lt;="&amp;DEN_NGAY))</f>
        <v/>
      </c>
      <c r="F223" s="125">
        <f>IF($A223="","",SUMIFS(NKC!$H$7:$H$3006,NKC!$G$7:$G$3006,"131*",NKC!$I$7:$I$3006,$A223,NKC!$B$7:$B$3006,"&lt;="&amp;DEN_NGAY))</f>
        <v/>
      </c>
      <c r="G223" s="125">
        <f>IF($A223="","",MAX($C223-$D223+$E223-$F223,0))</f>
        <v/>
      </c>
      <c r="H223" s="125">
        <f>IF($A223="","",MAX(-($C223-$D223+$E223-$F223),0))</f>
        <v/>
      </c>
    </row>
    <row r="224" ht="15" customHeight="1" s="78">
      <c r="A224" s="96">
        <f>IF(DM_DT!$A223="","",DM_DT!$A223&amp;"")</f>
        <v/>
      </c>
      <c r="B224" s="97">
        <f>IF($A224="","",DM_DT!$B223)</f>
        <v/>
      </c>
      <c r="C224" s="125">
        <f>IF($A224="","",SUMIFS(SDDK!$D$256:$D$375,SDDK!$A$256:$A$375,"131",SDDK!$B$256:$B$375,$A224))</f>
        <v/>
      </c>
      <c r="D224" s="125">
        <f>IF($A224="","",SUMIFS(SDDK!$E$256:$E$375,SDDK!$A$256:$A$375,"131",SDDK!$B$256:$B$375,$A224))</f>
        <v/>
      </c>
      <c r="E224" s="125">
        <f>IF($A224="","",SUMIFS(NKC!$H$7:$H$3006,NKC!$F$7:$F$3006,"131*",NKC!$I$7:$I$3006,$A224,NKC!$B$7:$B$3006,"&lt;="&amp;DEN_NGAY))</f>
        <v/>
      </c>
      <c r="F224" s="125">
        <f>IF($A224="","",SUMIFS(NKC!$H$7:$H$3006,NKC!$G$7:$G$3006,"131*",NKC!$I$7:$I$3006,$A224,NKC!$B$7:$B$3006,"&lt;="&amp;DEN_NGAY))</f>
        <v/>
      </c>
      <c r="G224" s="125">
        <f>IF($A224="","",MAX($C224-$D224+$E224-$F224,0))</f>
        <v/>
      </c>
      <c r="H224" s="125">
        <f>IF($A224="","",MAX(-($C224-$D224+$E224-$F224),0))</f>
        <v/>
      </c>
    </row>
    <row r="225" ht="15" customHeight="1" s="78">
      <c r="A225" s="96">
        <f>IF(DM_DT!$A224="","",DM_DT!$A224&amp;"")</f>
        <v/>
      </c>
      <c r="B225" s="97">
        <f>IF($A225="","",DM_DT!$B224)</f>
        <v/>
      </c>
      <c r="C225" s="125">
        <f>IF($A225="","",SUMIFS(SDDK!$D$256:$D$375,SDDK!$A$256:$A$375,"131",SDDK!$B$256:$B$375,$A225))</f>
        <v/>
      </c>
      <c r="D225" s="125">
        <f>IF($A225="","",SUMIFS(SDDK!$E$256:$E$375,SDDK!$A$256:$A$375,"131",SDDK!$B$256:$B$375,$A225))</f>
        <v/>
      </c>
      <c r="E225" s="125">
        <f>IF($A225="","",SUMIFS(NKC!$H$7:$H$3006,NKC!$F$7:$F$3006,"131*",NKC!$I$7:$I$3006,$A225,NKC!$B$7:$B$3006,"&lt;="&amp;DEN_NGAY))</f>
        <v/>
      </c>
      <c r="F225" s="125">
        <f>IF($A225="","",SUMIFS(NKC!$H$7:$H$3006,NKC!$G$7:$G$3006,"131*",NKC!$I$7:$I$3006,$A225,NKC!$B$7:$B$3006,"&lt;="&amp;DEN_NGAY))</f>
        <v/>
      </c>
      <c r="G225" s="125">
        <f>IF($A225="","",MAX($C225-$D225+$E225-$F225,0))</f>
        <v/>
      </c>
      <c r="H225" s="125">
        <f>IF($A225="","",MAX(-($C225-$D225+$E225-$F225),0))</f>
        <v/>
      </c>
    </row>
    <row r="226" ht="15" customHeight="1" s="78">
      <c r="A226" s="96">
        <f>IF(DM_DT!$A225="","",DM_DT!$A225&amp;"")</f>
        <v/>
      </c>
      <c r="B226" s="97">
        <f>IF($A226="","",DM_DT!$B225)</f>
        <v/>
      </c>
      <c r="C226" s="125">
        <f>IF($A226="","",SUMIFS(SDDK!$D$256:$D$375,SDDK!$A$256:$A$375,"131",SDDK!$B$256:$B$375,$A226))</f>
        <v/>
      </c>
      <c r="D226" s="125">
        <f>IF($A226="","",SUMIFS(SDDK!$E$256:$E$375,SDDK!$A$256:$A$375,"131",SDDK!$B$256:$B$375,$A226))</f>
        <v/>
      </c>
      <c r="E226" s="125">
        <f>IF($A226="","",SUMIFS(NKC!$H$7:$H$3006,NKC!$F$7:$F$3006,"131*",NKC!$I$7:$I$3006,$A226,NKC!$B$7:$B$3006,"&lt;="&amp;DEN_NGAY))</f>
        <v/>
      </c>
      <c r="F226" s="125">
        <f>IF($A226="","",SUMIFS(NKC!$H$7:$H$3006,NKC!$G$7:$G$3006,"131*",NKC!$I$7:$I$3006,$A226,NKC!$B$7:$B$3006,"&lt;="&amp;DEN_NGAY))</f>
        <v/>
      </c>
      <c r="G226" s="125">
        <f>IF($A226="","",MAX($C226-$D226+$E226-$F226,0))</f>
        <v/>
      </c>
      <c r="H226" s="125">
        <f>IF($A226="","",MAX(-($C226-$D226+$E226-$F226),0))</f>
        <v/>
      </c>
    </row>
    <row r="227" ht="15" customHeight="1" s="78">
      <c r="A227" s="96">
        <f>IF(DM_DT!$A226="","",DM_DT!$A226&amp;"")</f>
        <v/>
      </c>
      <c r="B227" s="97">
        <f>IF($A227="","",DM_DT!$B226)</f>
        <v/>
      </c>
      <c r="C227" s="125">
        <f>IF($A227="","",SUMIFS(SDDK!$D$256:$D$375,SDDK!$A$256:$A$375,"131",SDDK!$B$256:$B$375,$A227))</f>
        <v/>
      </c>
      <c r="D227" s="125">
        <f>IF($A227="","",SUMIFS(SDDK!$E$256:$E$375,SDDK!$A$256:$A$375,"131",SDDK!$B$256:$B$375,$A227))</f>
        <v/>
      </c>
      <c r="E227" s="125">
        <f>IF($A227="","",SUMIFS(NKC!$H$7:$H$3006,NKC!$F$7:$F$3006,"131*",NKC!$I$7:$I$3006,$A227,NKC!$B$7:$B$3006,"&lt;="&amp;DEN_NGAY))</f>
        <v/>
      </c>
      <c r="F227" s="125">
        <f>IF($A227="","",SUMIFS(NKC!$H$7:$H$3006,NKC!$G$7:$G$3006,"131*",NKC!$I$7:$I$3006,$A227,NKC!$B$7:$B$3006,"&lt;="&amp;DEN_NGAY))</f>
        <v/>
      </c>
      <c r="G227" s="125">
        <f>IF($A227="","",MAX($C227-$D227+$E227-$F227,0))</f>
        <v/>
      </c>
      <c r="H227" s="125">
        <f>IF($A227="","",MAX(-($C227-$D227+$E227-$F227),0))</f>
        <v/>
      </c>
    </row>
    <row r="228" ht="15" customHeight="1" s="78">
      <c r="A228" s="96">
        <f>IF(DM_DT!$A227="","",DM_DT!$A227&amp;"")</f>
        <v/>
      </c>
      <c r="B228" s="97">
        <f>IF($A228="","",DM_DT!$B227)</f>
        <v/>
      </c>
      <c r="C228" s="125">
        <f>IF($A228="","",SUMIFS(SDDK!$D$256:$D$375,SDDK!$A$256:$A$375,"131",SDDK!$B$256:$B$375,$A228))</f>
        <v/>
      </c>
      <c r="D228" s="125">
        <f>IF($A228="","",SUMIFS(SDDK!$E$256:$E$375,SDDK!$A$256:$A$375,"131",SDDK!$B$256:$B$375,$A228))</f>
        <v/>
      </c>
      <c r="E228" s="125">
        <f>IF($A228="","",SUMIFS(NKC!$H$7:$H$3006,NKC!$F$7:$F$3006,"131*",NKC!$I$7:$I$3006,$A228,NKC!$B$7:$B$3006,"&lt;="&amp;DEN_NGAY))</f>
        <v/>
      </c>
      <c r="F228" s="125">
        <f>IF($A228="","",SUMIFS(NKC!$H$7:$H$3006,NKC!$G$7:$G$3006,"131*",NKC!$I$7:$I$3006,$A228,NKC!$B$7:$B$3006,"&lt;="&amp;DEN_NGAY))</f>
        <v/>
      </c>
      <c r="G228" s="125">
        <f>IF($A228="","",MAX($C228-$D228+$E228-$F228,0))</f>
        <v/>
      </c>
      <c r="H228" s="125">
        <f>IF($A228="","",MAX(-($C228-$D228+$E228-$F228),0))</f>
        <v/>
      </c>
    </row>
    <row r="229" ht="15" customHeight="1" s="78">
      <c r="A229" s="96">
        <f>IF(DM_DT!$A228="","",DM_DT!$A228&amp;"")</f>
        <v/>
      </c>
      <c r="B229" s="97">
        <f>IF($A229="","",DM_DT!$B228)</f>
        <v/>
      </c>
      <c r="C229" s="125">
        <f>IF($A229="","",SUMIFS(SDDK!$D$256:$D$375,SDDK!$A$256:$A$375,"131",SDDK!$B$256:$B$375,$A229))</f>
        <v/>
      </c>
      <c r="D229" s="125">
        <f>IF($A229="","",SUMIFS(SDDK!$E$256:$E$375,SDDK!$A$256:$A$375,"131",SDDK!$B$256:$B$375,$A229))</f>
        <v/>
      </c>
      <c r="E229" s="125">
        <f>IF($A229="","",SUMIFS(NKC!$H$7:$H$3006,NKC!$F$7:$F$3006,"131*",NKC!$I$7:$I$3006,$A229,NKC!$B$7:$B$3006,"&lt;="&amp;DEN_NGAY))</f>
        <v/>
      </c>
      <c r="F229" s="125">
        <f>IF($A229="","",SUMIFS(NKC!$H$7:$H$3006,NKC!$G$7:$G$3006,"131*",NKC!$I$7:$I$3006,$A229,NKC!$B$7:$B$3006,"&lt;="&amp;DEN_NGAY))</f>
        <v/>
      </c>
      <c r="G229" s="125">
        <f>IF($A229="","",MAX($C229-$D229+$E229-$F229,0))</f>
        <v/>
      </c>
      <c r="H229" s="125">
        <f>IF($A229="","",MAX(-($C229-$D229+$E229-$F229),0))</f>
        <v/>
      </c>
    </row>
    <row r="230" ht="15" customHeight="1" s="78">
      <c r="A230" s="96">
        <f>IF(DM_DT!$A229="","",DM_DT!$A229&amp;"")</f>
        <v/>
      </c>
      <c r="B230" s="97">
        <f>IF($A230="","",DM_DT!$B229)</f>
        <v/>
      </c>
      <c r="C230" s="125">
        <f>IF($A230="","",SUMIFS(SDDK!$D$256:$D$375,SDDK!$A$256:$A$375,"131",SDDK!$B$256:$B$375,$A230))</f>
        <v/>
      </c>
      <c r="D230" s="125">
        <f>IF($A230="","",SUMIFS(SDDK!$E$256:$E$375,SDDK!$A$256:$A$375,"131",SDDK!$B$256:$B$375,$A230))</f>
        <v/>
      </c>
      <c r="E230" s="125">
        <f>IF($A230="","",SUMIFS(NKC!$H$7:$H$3006,NKC!$F$7:$F$3006,"131*",NKC!$I$7:$I$3006,$A230,NKC!$B$7:$B$3006,"&lt;="&amp;DEN_NGAY))</f>
        <v/>
      </c>
      <c r="F230" s="125">
        <f>IF($A230="","",SUMIFS(NKC!$H$7:$H$3006,NKC!$G$7:$G$3006,"131*",NKC!$I$7:$I$3006,$A230,NKC!$B$7:$B$3006,"&lt;="&amp;DEN_NGAY))</f>
        <v/>
      </c>
      <c r="G230" s="125">
        <f>IF($A230="","",MAX($C230-$D230+$E230-$F230,0))</f>
        <v/>
      </c>
      <c r="H230" s="125">
        <f>IF($A230="","",MAX(-($C230-$D230+$E230-$F230),0))</f>
        <v/>
      </c>
    </row>
    <row r="231" ht="15" customHeight="1" s="78">
      <c r="A231" s="96">
        <f>IF(DM_DT!$A230="","",DM_DT!$A230&amp;"")</f>
        <v/>
      </c>
      <c r="B231" s="97">
        <f>IF($A231="","",DM_DT!$B230)</f>
        <v/>
      </c>
      <c r="C231" s="125">
        <f>IF($A231="","",SUMIFS(SDDK!$D$256:$D$375,SDDK!$A$256:$A$375,"131",SDDK!$B$256:$B$375,$A231))</f>
        <v/>
      </c>
      <c r="D231" s="125">
        <f>IF($A231="","",SUMIFS(SDDK!$E$256:$E$375,SDDK!$A$256:$A$375,"131",SDDK!$B$256:$B$375,$A231))</f>
        <v/>
      </c>
      <c r="E231" s="125">
        <f>IF($A231="","",SUMIFS(NKC!$H$7:$H$3006,NKC!$F$7:$F$3006,"131*",NKC!$I$7:$I$3006,$A231,NKC!$B$7:$B$3006,"&lt;="&amp;DEN_NGAY))</f>
        <v/>
      </c>
      <c r="F231" s="125">
        <f>IF($A231="","",SUMIFS(NKC!$H$7:$H$3006,NKC!$G$7:$G$3006,"131*",NKC!$I$7:$I$3006,$A231,NKC!$B$7:$B$3006,"&lt;="&amp;DEN_NGAY))</f>
        <v/>
      </c>
      <c r="G231" s="125">
        <f>IF($A231="","",MAX($C231-$D231+$E231-$F231,0))</f>
        <v/>
      </c>
      <c r="H231" s="125">
        <f>IF($A231="","",MAX(-($C231-$D231+$E231-$F231),0))</f>
        <v/>
      </c>
    </row>
    <row r="232" ht="15" customHeight="1" s="78">
      <c r="A232" s="96">
        <f>IF(DM_DT!$A231="","",DM_DT!$A231&amp;"")</f>
        <v/>
      </c>
      <c r="B232" s="97">
        <f>IF($A232="","",DM_DT!$B231)</f>
        <v/>
      </c>
      <c r="C232" s="125">
        <f>IF($A232="","",SUMIFS(SDDK!$D$256:$D$375,SDDK!$A$256:$A$375,"131",SDDK!$B$256:$B$375,$A232))</f>
        <v/>
      </c>
      <c r="D232" s="125">
        <f>IF($A232="","",SUMIFS(SDDK!$E$256:$E$375,SDDK!$A$256:$A$375,"131",SDDK!$B$256:$B$375,$A232))</f>
        <v/>
      </c>
      <c r="E232" s="125">
        <f>IF($A232="","",SUMIFS(NKC!$H$7:$H$3006,NKC!$F$7:$F$3006,"131*",NKC!$I$7:$I$3006,$A232,NKC!$B$7:$B$3006,"&lt;="&amp;DEN_NGAY))</f>
        <v/>
      </c>
      <c r="F232" s="125">
        <f>IF($A232="","",SUMIFS(NKC!$H$7:$H$3006,NKC!$G$7:$G$3006,"131*",NKC!$I$7:$I$3006,$A232,NKC!$B$7:$B$3006,"&lt;="&amp;DEN_NGAY))</f>
        <v/>
      </c>
      <c r="G232" s="125">
        <f>IF($A232="","",MAX($C232-$D232+$E232-$F232,0))</f>
        <v/>
      </c>
      <c r="H232" s="125">
        <f>IF($A232="","",MAX(-($C232-$D232+$E232-$F232),0))</f>
        <v/>
      </c>
    </row>
    <row r="233" ht="15" customHeight="1" s="78">
      <c r="A233" s="96">
        <f>IF(DM_DT!$A232="","",DM_DT!$A232&amp;"")</f>
        <v/>
      </c>
      <c r="B233" s="97">
        <f>IF($A233="","",DM_DT!$B232)</f>
        <v/>
      </c>
      <c r="C233" s="125">
        <f>IF($A233="","",SUMIFS(SDDK!$D$256:$D$375,SDDK!$A$256:$A$375,"131",SDDK!$B$256:$B$375,$A233))</f>
        <v/>
      </c>
      <c r="D233" s="125">
        <f>IF($A233="","",SUMIFS(SDDK!$E$256:$E$375,SDDK!$A$256:$A$375,"131",SDDK!$B$256:$B$375,$A233))</f>
        <v/>
      </c>
      <c r="E233" s="125">
        <f>IF($A233="","",SUMIFS(NKC!$H$7:$H$3006,NKC!$F$7:$F$3006,"131*",NKC!$I$7:$I$3006,$A233,NKC!$B$7:$B$3006,"&lt;="&amp;DEN_NGAY))</f>
        <v/>
      </c>
      <c r="F233" s="125">
        <f>IF($A233="","",SUMIFS(NKC!$H$7:$H$3006,NKC!$G$7:$G$3006,"131*",NKC!$I$7:$I$3006,$A233,NKC!$B$7:$B$3006,"&lt;="&amp;DEN_NGAY))</f>
        <v/>
      </c>
      <c r="G233" s="125">
        <f>IF($A233="","",MAX($C233-$D233+$E233-$F233,0))</f>
        <v/>
      </c>
      <c r="H233" s="125">
        <f>IF($A233="","",MAX(-($C233-$D233+$E233-$F233),0))</f>
        <v/>
      </c>
    </row>
    <row r="234" ht="15" customHeight="1" s="78">
      <c r="A234" s="96">
        <f>IF(DM_DT!$A233="","",DM_DT!$A233&amp;"")</f>
        <v/>
      </c>
      <c r="B234" s="97">
        <f>IF($A234="","",DM_DT!$B233)</f>
        <v/>
      </c>
      <c r="C234" s="125">
        <f>IF($A234="","",SUMIFS(SDDK!$D$256:$D$375,SDDK!$A$256:$A$375,"131",SDDK!$B$256:$B$375,$A234))</f>
        <v/>
      </c>
      <c r="D234" s="125">
        <f>IF($A234="","",SUMIFS(SDDK!$E$256:$E$375,SDDK!$A$256:$A$375,"131",SDDK!$B$256:$B$375,$A234))</f>
        <v/>
      </c>
      <c r="E234" s="125">
        <f>IF($A234="","",SUMIFS(NKC!$H$7:$H$3006,NKC!$F$7:$F$3006,"131*",NKC!$I$7:$I$3006,$A234,NKC!$B$7:$B$3006,"&lt;="&amp;DEN_NGAY))</f>
        <v/>
      </c>
      <c r="F234" s="125">
        <f>IF($A234="","",SUMIFS(NKC!$H$7:$H$3006,NKC!$G$7:$G$3006,"131*",NKC!$I$7:$I$3006,$A234,NKC!$B$7:$B$3006,"&lt;="&amp;DEN_NGAY))</f>
        <v/>
      </c>
      <c r="G234" s="125">
        <f>IF($A234="","",MAX($C234-$D234+$E234-$F234,0))</f>
        <v/>
      </c>
      <c r="H234" s="125">
        <f>IF($A234="","",MAX(-($C234-$D234+$E234-$F234),0))</f>
        <v/>
      </c>
    </row>
    <row r="235" ht="15" customHeight="1" s="78">
      <c r="A235" s="96">
        <f>IF(DM_DT!$A234="","",DM_DT!$A234&amp;"")</f>
        <v/>
      </c>
      <c r="B235" s="97">
        <f>IF($A235="","",DM_DT!$B234)</f>
        <v/>
      </c>
      <c r="C235" s="125">
        <f>IF($A235="","",SUMIFS(SDDK!$D$256:$D$375,SDDK!$A$256:$A$375,"131",SDDK!$B$256:$B$375,$A235))</f>
        <v/>
      </c>
      <c r="D235" s="125">
        <f>IF($A235="","",SUMIFS(SDDK!$E$256:$E$375,SDDK!$A$256:$A$375,"131",SDDK!$B$256:$B$375,$A235))</f>
        <v/>
      </c>
      <c r="E235" s="125">
        <f>IF($A235="","",SUMIFS(NKC!$H$7:$H$3006,NKC!$F$7:$F$3006,"131*",NKC!$I$7:$I$3006,$A235,NKC!$B$7:$B$3006,"&lt;="&amp;DEN_NGAY))</f>
        <v/>
      </c>
      <c r="F235" s="125">
        <f>IF($A235="","",SUMIFS(NKC!$H$7:$H$3006,NKC!$G$7:$G$3006,"131*",NKC!$I$7:$I$3006,$A235,NKC!$B$7:$B$3006,"&lt;="&amp;DEN_NGAY))</f>
        <v/>
      </c>
      <c r="G235" s="125">
        <f>IF($A235="","",MAX($C235-$D235+$E235-$F235,0))</f>
        <v/>
      </c>
      <c r="H235" s="125">
        <f>IF($A235="","",MAX(-($C235-$D235+$E235-$F235),0))</f>
        <v/>
      </c>
    </row>
    <row r="236" ht="15" customHeight="1" s="78">
      <c r="A236" s="96">
        <f>IF(DM_DT!$A235="","",DM_DT!$A235&amp;"")</f>
        <v/>
      </c>
      <c r="B236" s="97">
        <f>IF($A236="","",DM_DT!$B235)</f>
        <v/>
      </c>
      <c r="C236" s="125">
        <f>IF($A236="","",SUMIFS(SDDK!$D$256:$D$375,SDDK!$A$256:$A$375,"131",SDDK!$B$256:$B$375,$A236))</f>
        <v/>
      </c>
      <c r="D236" s="125">
        <f>IF($A236="","",SUMIFS(SDDK!$E$256:$E$375,SDDK!$A$256:$A$375,"131",SDDK!$B$256:$B$375,$A236))</f>
        <v/>
      </c>
      <c r="E236" s="125">
        <f>IF($A236="","",SUMIFS(NKC!$H$7:$H$3006,NKC!$F$7:$F$3006,"131*",NKC!$I$7:$I$3006,$A236,NKC!$B$7:$B$3006,"&lt;="&amp;DEN_NGAY))</f>
        <v/>
      </c>
      <c r="F236" s="125">
        <f>IF($A236="","",SUMIFS(NKC!$H$7:$H$3006,NKC!$G$7:$G$3006,"131*",NKC!$I$7:$I$3006,$A236,NKC!$B$7:$B$3006,"&lt;="&amp;DEN_NGAY))</f>
        <v/>
      </c>
      <c r="G236" s="125">
        <f>IF($A236="","",MAX($C236-$D236+$E236-$F236,0))</f>
        <v/>
      </c>
      <c r="H236" s="125">
        <f>IF($A236="","",MAX(-($C236-$D236+$E236-$F236),0))</f>
        <v/>
      </c>
    </row>
    <row r="237" ht="15" customHeight="1" s="78">
      <c r="A237" s="96">
        <f>IF(DM_DT!$A236="","",DM_DT!$A236&amp;"")</f>
        <v/>
      </c>
      <c r="B237" s="97">
        <f>IF($A237="","",DM_DT!$B236)</f>
        <v/>
      </c>
      <c r="C237" s="125">
        <f>IF($A237="","",SUMIFS(SDDK!$D$256:$D$375,SDDK!$A$256:$A$375,"131",SDDK!$B$256:$B$375,$A237))</f>
        <v/>
      </c>
      <c r="D237" s="125">
        <f>IF($A237="","",SUMIFS(SDDK!$E$256:$E$375,SDDK!$A$256:$A$375,"131",SDDK!$B$256:$B$375,$A237))</f>
        <v/>
      </c>
      <c r="E237" s="125">
        <f>IF($A237="","",SUMIFS(NKC!$H$7:$H$3006,NKC!$F$7:$F$3006,"131*",NKC!$I$7:$I$3006,$A237,NKC!$B$7:$B$3006,"&lt;="&amp;DEN_NGAY))</f>
        <v/>
      </c>
      <c r="F237" s="125">
        <f>IF($A237="","",SUMIFS(NKC!$H$7:$H$3006,NKC!$G$7:$G$3006,"131*",NKC!$I$7:$I$3006,$A237,NKC!$B$7:$B$3006,"&lt;="&amp;DEN_NGAY))</f>
        <v/>
      </c>
      <c r="G237" s="125">
        <f>IF($A237="","",MAX($C237-$D237+$E237-$F237,0))</f>
        <v/>
      </c>
      <c r="H237" s="125">
        <f>IF($A237="","",MAX(-($C237-$D237+$E237-$F237),0))</f>
        <v/>
      </c>
    </row>
    <row r="238" ht="15" customHeight="1" s="78">
      <c r="A238" s="96">
        <f>IF(DM_DT!$A237="","",DM_DT!$A237&amp;"")</f>
        <v/>
      </c>
      <c r="B238" s="97">
        <f>IF($A238="","",DM_DT!$B237)</f>
        <v/>
      </c>
      <c r="C238" s="125">
        <f>IF($A238="","",SUMIFS(SDDK!$D$256:$D$375,SDDK!$A$256:$A$375,"131",SDDK!$B$256:$B$375,$A238))</f>
        <v/>
      </c>
      <c r="D238" s="125">
        <f>IF($A238="","",SUMIFS(SDDK!$E$256:$E$375,SDDK!$A$256:$A$375,"131",SDDK!$B$256:$B$375,$A238))</f>
        <v/>
      </c>
      <c r="E238" s="125">
        <f>IF($A238="","",SUMIFS(NKC!$H$7:$H$3006,NKC!$F$7:$F$3006,"131*",NKC!$I$7:$I$3006,$A238,NKC!$B$7:$B$3006,"&lt;="&amp;DEN_NGAY))</f>
        <v/>
      </c>
      <c r="F238" s="125">
        <f>IF($A238="","",SUMIFS(NKC!$H$7:$H$3006,NKC!$G$7:$G$3006,"131*",NKC!$I$7:$I$3006,$A238,NKC!$B$7:$B$3006,"&lt;="&amp;DEN_NGAY))</f>
        <v/>
      </c>
      <c r="G238" s="125">
        <f>IF($A238="","",MAX($C238-$D238+$E238-$F238,0))</f>
        <v/>
      </c>
      <c r="H238" s="125">
        <f>IF($A238="","",MAX(-($C238-$D238+$E238-$F238),0))</f>
        <v/>
      </c>
    </row>
    <row r="239" ht="15" customHeight="1" s="78">
      <c r="A239" s="96">
        <f>IF(DM_DT!$A238="","",DM_DT!$A238&amp;"")</f>
        <v/>
      </c>
      <c r="B239" s="97">
        <f>IF($A239="","",DM_DT!$B238)</f>
        <v/>
      </c>
      <c r="C239" s="125">
        <f>IF($A239="","",SUMIFS(SDDK!$D$256:$D$375,SDDK!$A$256:$A$375,"131",SDDK!$B$256:$B$375,$A239))</f>
        <v/>
      </c>
      <c r="D239" s="125">
        <f>IF($A239="","",SUMIFS(SDDK!$E$256:$E$375,SDDK!$A$256:$A$375,"131",SDDK!$B$256:$B$375,$A239))</f>
        <v/>
      </c>
      <c r="E239" s="125">
        <f>IF($A239="","",SUMIFS(NKC!$H$7:$H$3006,NKC!$F$7:$F$3006,"131*",NKC!$I$7:$I$3006,$A239,NKC!$B$7:$B$3006,"&lt;="&amp;DEN_NGAY))</f>
        <v/>
      </c>
      <c r="F239" s="125">
        <f>IF($A239="","",SUMIFS(NKC!$H$7:$H$3006,NKC!$G$7:$G$3006,"131*",NKC!$I$7:$I$3006,$A239,NKC!$B$7:$B$3006,"&lt;="&amp;DEN_NGAY))</f>
        <v/>
      </c>
      <c r="G239" s="125">
        <f>IF($A239="","",MAX($C239-$D239+$E239-$F239,0))</f>
        <v/>
      </c>
      <c r="H239" s="125">
        <f>IF($A239="","",MAX(-($C239-$D239+$E239-$F239),0))</f>
        <v/>
      </c>
    </row>
    <row r="240" ht="15" customHeight="1" s="78">
      <c r="A240" s="96">
        <f>IF(DM_DT!$A239="","",DM_DT!$A239&amp;"")</f>
        <v/>
      </c>
      <c r="B240" s="97">
        <f>IF($A240="","",DM_DT!$B239)</f>
        <v/>
      </c>
      <c r="C240" s="125">
        <f>IF($A240="","",SUMIFS(SDDK!$D$256:$D$375,SDDK!$A$256:$A$375,"131",SDDK!$B$256:$B$375,$A240))</f>
        <v/>
      </c>
      <c r="D240" s="125">
        <f>IF($A240="","",SUMIFS(SDDK!$E$256:$E$375,SDDK!$A$256:$A$375,"131",SDDK!$B$256:$B$375,$A240))</f>
        <v/>
      </c>
      <c r="E240" s="125">
        <f>IF($A240="","",SUMIFS(NKC!$H$7:$H$3006,NKC!$F$7:$F$3006,"131*",NKC!$I$7:$I$3006,$A240,NKC!$B$7:$B$3006,"&lt;="&amp;DEN_NGAY))</f>
        <v/>
      </c>
      <c r="F240" s="125">
        <f>IF($A240="","",SUMIFS(NKC!$H$7:$H$3006,NKC!$G$7:$G$3006,"131*",NKC!$I$7:$I$3006,$A240,NKC!$B$7:$B$3006,"&lt;="&amp;DEN_NGAY))</f>
        <v/>
      </c>
      <c r="G240" s="125">
        <f>IF($A240="","",MAX($C240-$D240+$E240-$F240,0))</f>
        <v/>
      </c>
      <c r="H240" s="125">
        <f>IF($A240="","",MAX(-($C240-$D240+$E240-$F240),0))</f>
        <v/>
      </c>
    </row>
    <row r="241" ht="15" customHeight="1" s="78">
      <c r="A241" s="96">
        <f>IF(DM_DT!$A240="","",DM_DT!$A240&amp;"")</f>
        <v/>
      </c>
      <c r="B241" s="97">
        <f>IF($A241="","",DM_DT!$B240)</f>
        <v/>
      </c>
      <c r="C241" s="125">
        <f>IF($A241="","",SUMIFS(SDDK!$D$256:$D$375,SDDK!$A$256:$A$375,"131",SDDK!$B$256:$B$375,$A241))</f>
        <v/>
      </c>
      <c r="D241" s="125">
        <f>IF($A241="","",SUMIFS(SDDK!$E$256:$E$375,SDDK!$A$256:$A$375,"131",SDDK!$B$256:$B$375,$A241))</f>
        <v/>
      </c>
      <c r="E241" s="125">
        <f>IF($A241="","",SUMIFS(NKC!$H$7:$H$3006,NKC!$F$7:$F$3006,"131*",NKC!$I$7:$I$3006,$A241,NKC!$B$7:$B$3006,"&lt;="&amp;DEN_NGAY))</f>
        <v/>
      </c>
      <c r="F241" s="125">
        <f>IF($A241="","",SUMIFS(NKC!$H$7:$H$3006,NKC!$G$7:$G$3006,"131*",NKC!$I$7:$I$3006,$A241,NKC!$B$7:$B$3006,"&lt;="&amp;DEN_NGAY))</f>
        <v/>
      </c>
      <c r="G241" s="125">
        <f>IF($A241="","",MAX($C241-$D241+$E241-$F241,0))</f>
        <v/>
      </c>
      <c r="H241" s="125">
        <f>IF($A241="","",MAX(-($C241-$D241+$E241-$F241),0))</f>
        <v/>
      </c>
    </row>
    <row r="242" ht="15" customHeight="1" s="78">
      <c r="A242" s="96">
        <f>IF(DM_DT!$A241="","",DM_DT!$A241&amp;"")</f>
        <v/>
      </c>
      <c r="B242" s="97">
        <f>IF($A242="","",DM_DT!$B241)</f>
        <v/>
      </c>
      <c r="C242" s="125">
        <f>IF($A242="","",SUMIFS(SDDK!$D$256:$D$375,SDDK!$A$256:$A$375,"131",SDDK!$B$256:$B$375,$A242))</f>
        <v/>
      </c>
      <c r="D242" s="125">
        <f>IF($A242="","",SUMIFS(SDDK!$E$256:$E$375,SDDK!$A$256:$A$375,"131",SDDK!$B$256:$B$375,$A242))</f>
        <v/>
      </c>
      <c r="E242" s="125">
        <f>IF($A242="","",SUMIFS(NKC!$H$7:$H$3006,NKC!$F$7:$F$3006,"131*",NKC!$I$7:$I$3006,$A242,NKC!$B$7:$B$3006,"&lt;="&amp;DEN_NGAY))</f>
        <v/>
      </c>
      <c r="F242" s="125">
        <f>IF($A242="","",SUMIFS(NKC!$H$7:$H$3006,NKC!$G$7:$G$3006,"131*",NKC!$I$7:$I$3006,$A242,NKC!$B$7:$B$3006,"&lt;="&amp;DEN_NGAY))</f>
        <v/>
      </c>
      <c r="G242" s="125">
        <f>IF($A242="","",MAX($C242-$D242+$E242-$F242,0))</f>
        <v/>
      </c>
      <c r="H242" s="125">
        <f>IF($A242="","",MAX(-($C242-$D242+$E242-$F242),0))</f>
        <v/>
      </c>
    </row>
    <row r="243" ht="15" customHeight="1" s="78">
      <c r="A243" s="96">
        <f>IF(DM_DT!$A242="","",DM_DT!$A242&amp;"")</f>
        <v/>
      </c>
      <c r="B243" s="97">
        <f>IF($A243="","",DM_DT!$B242)</f>
        <v/>
      </c>
      <c r="C243" s="125">
        <f>IF($A243="","",SUMIFS(SDDK!$D$256:$D$375,SDDK!$A$256:$A$375,"131",SDDK!$B$256:$B$375,$A243))</f>
        <v/>
      </c>
      <c r="D243" s="125">
        <f>IF($A243="","",SUMIFS(SDDK!$E$256:$E$375,SDDK!$A$256:$A$375,"131",SDDK!$B$256:$B$375,$A243))</f>
        <v/>
      </c>
      <c r="E243" s="125">
        <f>IF($A243="","",SUMIFS(NKC!$H$7:$H$3006,NKC!$F$7:$F$3006,"131*",NKC!$I$7:$I$3006,$A243,NKC!$B$7:$B$3006,"&lt;="&amp;DEN_NGAY))</f>
        <v/>
      </c>
      <c r="F243" s="125">
        <f>IF($A243="","",SUMIFS(NKC!$H$7:$H$3006,NKC!$G$7:$G$3006,"131*",NKC!$I$7:$I$3006,$A243,NKC!$B$7:$B$3006,"&lt;="&amp;DEN_NGAY))</f>
        <v/>
      </c>
      <c r="G243" s="125">
        <f>IF($A243="","",MAX($C243-$D243+$E243-$F243,0))</f>
        <v/>
      </c>
      <c r="H243" s="125">
        <f>IF($A243="","",MAX(-($C243-$D243+$E243-$F243),0))</f>
        <v/>
      </c>
    </row>
    <row r="244" ht="15" customHeight="1" s="78">
      <c r="A244" s="96">
        <f>IF(DM_DT!$A243="","",DM_DT!$A243&amp;"")</f>
        <v/>
      </c>
      <c r="B244" s="97">
        <f>IF($A244="","",DM_DT!$B243)</f>
        <v/>
      </c>
      <c r="C244" s="125">
        <f>IF($A244="","",SUMIFS(SDDK!$D$256:$D$375,SDDK!$A$256:$A$375,"131",SDDK!$B$256:$B$375,$A244))</f>
        <v/>
      </c>
      <c r="D244" s="125">
        <f>IF($A244="","",SUMIFS(SDDK!$E$256:$E$375,SDDK!$A$256:$A$375,"131",SDDK!$B$256:$B$375,$A244))</f>
        <v/>
      </c>
      <c r="E244" s="125">
        <f>IF($A244="","",SUMIFS(NKC!$H$7:$H$3006,NKC!$F$7:$F$3006,"131*",NKC!$I$7:$I$3006,$A244,NKC!$B$7:$B$3006,"&lt;="&amp;DEN_NGAY))</f>
        <v/>
      </c>
      <c r="F244" s="125">
        <f>IF($A244="","",SUMIFS(NKC!$H$7:$H$3006,NKC!$G$7:$G$3006,"131*",NKC!$I$7:$I$3006,$A244,NKC!$B$7:$B$3006,"&lt;="&amp;DEN_NGAY))</f>
        <v/>
      </c>
      <c r="G244" s="125">
        <f>IF($A244="","",MAX($C244-$D244+$E244-$F244,0))</f>
        <v/>
      </c>
      <c r="H244" s="125">
        <f>IF($A244="","",MAX(-($C244-$D244+$E244-$F244),0))</f>
        <v/>
      </c>
    </row>
    <row r="245" ht="15" customHeight="1" s="78">
      <c r="A245" s="96">
        <f>IF(DM_DT!$A244="","",DM_DT!$A244&amp;"")</f>
        <v/>
      </c>
      <c r="B245" s="97">
        <f>IF($A245="","",DM_DT!$B244)</f>
        <v/>
      </c>
      <c r="C245" s="125">
        <f>IF($A245="","",SUMIFS(SDDK!$D$256:$D$375,SDDK!$A$256:$A$375,"131",SDDK!$B$256:$B$375,$A245))</f>
        <v/>
      </c>
      <c r="D245" s="125">
        <f>IF($A245="","",SUMIFS(SDDK!$E$256:$E$375,SDDK!$A$256:$A$375,"131",SDDK!$B$256:$B$375,$A245))</f>
        <v/>
      </c>
      <c r="E245" s="125">
        <f>IF($A245="","",SUMIFS(NKC!$H$7:$H$3006,NKC!$F$7:$F$3006,"131*",NKC!$I$7:$I$3006,$A245,NKC!$B$7:$B$3006,"&lt;="&amp;DEN_NGAY))</f>
        <v/>
      </c>
      <c r="F245" s="125">
        <f>IF($A245="","",SUMIFS(NKC!$H$7:$H$3006,NKC!$G$7:$G$3006,"131*",NKC!$I$7:$I$3006,$A245,NKC!$B$7:$B$3006,"&lt;="&amp;DEN_NGAY))</f>
        <v/>
      </c>
      <c r="G245" s="125">
        <f>IF($A245="","",MAX($C245-$D245+$E245-$F245,0))</f>
        <v/>
      </c>
      <c r="H245" s="125">
        <f>IF($A245="","",MAX(-($C245-$D245+$E245-$F245),0))</f>
        <v/>
      </c>
    </row>
    <row r="246" ht="15" customHeight="1" s="78">
      <c r="A246" s="96">
        <f>IF(DM_DT!$A245="","",DM_DT!$A245&amp;"")</f>
        <v/>
      </c>
      <c r="B246" s="97">
        <f>IF($A246="","",DM_DT!$B245)</f>
        <v/>
      </c>
      <c r="C246" s="125">
        <f>IF($A246="","",SUMIFS(SDDK!$D$256:$D$375,SDDK!$A$256:$A$375,"131",SDDK!$B$256:$B$375,$A246))</f>
        <v/>
      </c>
      <c r="D246" s="125">
        <f>IF($A246="","",SUMIFS(SDDK!$E$256:$E$375,SDDK!$A$256:$A$375,"131",SDDK!$B$256:$B$375,$A246))</f>
        <v/>
      </c>
      <c r="E246" s="125">
        <f>IF($A246="","",SUMIFS(NKC!$H$7:$H$3006,NKC!$F$7:$F$3006,"131*",NKC!$I$7:$I$3006,$A246,NKC!$B$7:$B$3006,"&lt;="&amp;DEN_NGAY))</f>
        <v/>
      </c>
      <c r="F246" s="125">
        <f>IF($A246="","",SUMIFS(NKC!$H$7:$H$3006,NKC!$G$7:$G$3006,"131*",NKC!$I$7:$I$3006,$A246,NKC!$B$7:$B$3006,"&lt;="&amp;DEN_NGAY))</f>
        <v/>
      </c>
      <c r="G246" s="125">
        <f>IF($A246="","",MAX($C246-$D246+$E246-$F246,0))</f>
        <v/>
      </c>
      <c r="H246" s="125">
        <f>IF($A246="","",MAX(-($C246-$D246+$E246-$F246),0))</f>
        <v/>
      </c>
    </row>
    <row r="247" ht="15" customHeight="1" s="78">
      <c r="A247" s="96">
        <f>IF(DM_DT!$A246="","",DM_DT!$A246&amp;"")</f>
        <v/>
      </c>
      <c r="B247" s="97">
        <f>IF($A247="","",DM_DT!$B246)</f>
        <v/>
      </c>
      <c r="C247" s="125">
        <f>IF($A247="","",SUMIFS(SDDK!$D$256:$D$375,SDDK!$A$256:$A$375,"131",SDDK!$B$256:$B$375,$A247))</f>
        <v/>
      </c>
      <c r="D247" s="125">
        <f>IF($A247="","",SUMIFS(SDDK!$E$256:$E$375,SDDK!$A$256:$A$375,"131",SDDK!$B$256:$B$375,$A247))</f>
        <v/>
      </c>
      <c r="E247" s="125">
        <f>IF($A247="","",SUMIFS(NKC!$H$7:$H$3006,NKC!$F$7:$F$3006,"131*",NKC!$I$7:$I$3006,$A247,NKC!$B$7:$B$3006,"&lt;="&amp;DEN_NGAY))</f>
        <v/>
      </c>
      <c r="F247" s="125">
        <f>IF($A247="","",SUMIFS(NKC!$H$7:$H$3006,NKC!$G$7:$G$3006,"131*",NKC!$I$7:$I$3006,$A247,NKC!$B$7:$B$3006,"&lt;="&amp;DEN_NGAY))</f>
        <v/>
      </c>
      <c r="G247" s="125">
        <f>IF($A247="","",MAX($C247-$D247+$E247-$F247,0))</f>
        <v/>
      </c>
      <c r="H247" s="125">
        <f>IF($A247="","",MAX(-($C247-$D247+$E247-$F247),0))</f>
        <v/>
      </c>
    </row>
    <row r="248" ht="15" customHeight="1" s="78">
      <c r="A248" s="96">
        <f>IF(DM_DT!$A247="","",DM_DT!$A247&amp;"")</f>
        <v/>
      </c>
      <c r="B248" s="97">
        <f>IF($A248="","",DM_DT!$B247)</f>
        <v/>
      </c>
      <c r="C248" s="125">
        <f>IF($A248="","",SUMIFS(SDDK!$D$256:$D$375,SDDK!$A$256:$A$375,"131",SDDK!$B$256:$B$375,$A248))</f>
        <v/>
      </c>
      <c r="D248" s="125">
        <f>IF($A248="","",SUMIFS(SDDK!$E$256:$E$375,SDDK!$A$256:$A$375,"131",SDDK!$B$256:$B$375,$A248))</f>
        <v/>
      </c>
      <c r="E248" s="125">
        <f>IF($A248="","",SUMIFS(NKC!$H$7:$H$3006,NKC!$F$7:$F$3006,"131*",NKC!$I$7:$I$3006,$A248,NKC!$B$7:$B$3006,"&lt;="&amp;DEN_NGAY))</f>
        <v/>
      </c>
      <c r="F248" s="125">
        <f>IF($A248="","",SUMIFS(NKC!$H$7:$H$3006,NKC!$G$7:$G$3006,"131*",NKC!$I$7:$I$3006,$A248,NKC!$B$7:$B$3006,"&lt;="&amp;DEN_NGAY))</f>
        <v/>
      </c>
      <c r="G248" s="125">
        <f>IF($A248="","",MAX($C248-$D248+$E248-$F248,0))</f>
        <v/>
      </c>
      <c r="H248" s="125">
        <f>IF($A248="","",MAX(-($C248-$D248+$E248-$F248),0))</f>
        <v/>
      </c>
    </row>
    <row r="249" ht="15" customHeight="1" s="78">
      <c r="A249" s="96">
        <f>IF(DM_DT!$A248="","",DM_DT!$A248&amp;"")</f>
        <v/>
      </c>
      <c r="B249" s="97">
        <f>IF($A249="","",DM_DT!$B248)</f>
        <v/>
      </c>
      <c r="C249" s="125">
        <f>IF($A249="","",SUMIFS(SDDK!$D$256:$D$375,SDDK!$A$256:$A$375,"131",SDDK!$B$256:$B$375,$A249))</f>
        <v/>
      </c>
      <c r="D249" s="125">
        <f>IF($A249="","",SUMIFS(SDDK!$E$256:$E$375,SDDK!$A$256:$A$375,"131",SDDK!$B$256:$B$375,$A249))</f>
        <v/>
      </c>
      <c r="E249" s="125">
        <f>IF($A249="","",SUMIFS(NKC!$H$7:$H$3006,NKC!$F$7:$F$3006,"131*",NKC!$I$7:$I$3006,$A249,NKC!$B$7:$B$3006,"&lt;="&amp;DEN_NGAY))</f>
        <v/>
      </c>
      <c r="F249" s="125">
        <f>IF($A249="","",SUMIFS(NKC!$H$7:$H$3006,NKC!$G$7:$G$3006,"131*",NKC!$I$7:$I$3006,$A249,NKC!$B$7:$B$3006,"&lt;="&amp;DEN_NGAY))</f>
        <v/>
      </c>
      <c r="G249" s="125">
        <f>IF($A249="","",MAX($C249-$D249+$E249-$F249,0))</f>
        <v/>
      </c>
      <c r="H249" s="125">
        <f>IF($A249="","",MAX(-($C249-$D249+$E249-$F249),0))</f>
        <v/>
      </c>
    </row>
    <row r="250" ht="15" customHeight="1" s="78">
      <c r="A250" s="96">
        <f>IF(DM_DT!$A249="","",DM_DT!$A249&amp;"")</f>
        <v/>
      </c>
      <c r="B250" s="97">
        <f>IF($A250="","",DM_DT!$B249)</f>
        <v/>
      </c>
      <c r="C250" s="125">
        <f>IF($A250="","",SUMIFS(SDDK!$D$256:$D$375,SDDK!$A$256:$A$375,"131",SDDK!$B$256:$B$375,$A250))</f>
        <v/>
      </c>
      <c r="D250" s="125">
        <f>IF($A250="","",SUMIFS(SDDK!$E$256:$E$375,SDDK!$A$256:$A$375,"131",SDDK!$B$256:$B$375,$A250))</f>
        <v/>
      </c>
      <c r="E250" s="125">
        <f>IF($A250="","",SUMIFS(NKC!$H$7:$H$3006,NKC!$F$7:$F$3006,"131*",NKC!$I$7:$I$3006,$A250,NKC!$B$7:$B$3006,"&lt;="&amp;DEN_NGAY))</f>
        <v/>
      </c>
      <c r="F250" s="125">
        <f>IF($A250="","",SUMIFS(NKC!$H$7:$H$3006,NKC!$G$7:$G$3006,"131*",NKC!$I$7:$I$3006,$A250,NKC!$B$7:$B$3006,"&lt;="&amp;DEN_NGAY))</f>
        <v/>
      </c>
      <c r="G250" s="125">
        <f>IF($A250="","",MAX($C250-$D250+$E250-$F250,0))</f>
        <v/>
      </c>
      <c r="H250" s="125">
        <f>IF($A250="","",MAX(-($C250-$D250+$E250-$F250),0))</f>
        <v/>
      </c>
    </row>
    <row r="251" ht="15" customHeight="1" s="78">
      <c r="A251" s="96">
        <f>IF(DM_DT!$A250="","",DM_DT!$A250&amp;"")</f>
        <v/>
      </c>
      <c r="B251" s="97">
        <f>IF($A251="","",DM_DT!$B250)</f>
        <v/>
      </c>
      <c r="C251" s="125">
        <f>IF($A251="","",SUMIFS(SDDK!$D$256:$D$375,SDDK!$A$256:$A$375,"131",SDDK!$B$256:$B$375,$A251))</f>
        <v/>
      </c>
      <c r="D251" s="125">
        <f>IF($A251="","",SUMIFS(SDDK!$E$256:$E$375,SDDK!$A$256:$A$375,"131",SDDK!$B$256:$B$375,$A251))</f>
        <v/>
      </c>
      <c r="E251" s="125">
        <f>IF($A251="","",SUMIFS(NKC!$H$7:$H$3006,NKC!$F$7:$F$3006,"131*",NKC!$I$7:$I$3006,$A251,NKC!$B$7:$B$3006,"&lt;="&amp;DEN_NGAY))</f>
        <v/>
      </c>
      <c r="F251" s="125">
        <f>IF($A251="","",SUMIFS(NKC!$H$7:$H$3006,NKC!$G$7:$G$3006,"131*",NKC!$I$7:$I$3006,$A251,NKC!$B$7:$B$3006,"&lt;="&amp;DEN_NGAY))</f>
        <v/>
      </c>
      <c r="G251" s="125">
        <f>IF($A251="","",MAX($C251-$D251+$E251-$F251,0))</f>
        <v/>
      </c>
      <c r="H251" s="125">
        <f>IF($A251="","",MAX(-($C251-$D251+$E251-$F251),0))</f>
        <v/>
      </c>
    </row>
    <row r="252" ht="15" customHeight="1" s="78">
      <c r="A252" s="96">
        <f>IF(DM_DT!$A251="","",DM_DT!$A251&amp;"")</f>
        <v/>
      </c>
      <c r="B252" s="97">
        <f>IF($A252="","",DM_DT!$B251)</f>
        <v/>
      </c>
      <c r="C252" s="125">
        <f>IF($A252="","",SUMIFS(SDDK!$D$256:$D$375,SDDK!$A$256:$A$375,"131",SDDK!$B$256:$B$375,$A252))</f>
        <v/>
      </c>
      <c r="D252" s="125">
        <f>IF($A252="","",SUMIFS(SDDK!$E$256:$E$375,SDDK!$A$256:$A$375,"131",SDDK!$B$256:$B$375,$A252))</f>
        <v/>
      </c>
      <c r="E252" s="125">
        <f>IF($A252="","",SUMIFS(NKC!$H$7:$H$3006,NKC!$F$7:$F$3006,"131*",NKC!$I$7:$I$3006,$A252,NKC!$B$7:$B$3006,"&lt;="&amp;DEN_NGAY))</f>
        <v/>
      </c>
      <c r="F252" s="125">
        <f>IF($A252="","",SUMIFS(NKC!$H$7:$H$3006,NKC!$G$7:$G$3006,"131*",NKC!$I$7:$I$3006,$A252,NKC!$B$7:$B$3006,"&lt;="&amp;DEN_NGAY))</f>
        <v/>
      </c>
      <c r="G252" s="125">
        <f>IF($A252="","",MAX($C252-$D252+$E252-$F252,0))</f>
        <v/>
      </c>
      <c r="H252" s="125">
        <f>IF($A252="","",MAX(-($C252-$D252+$E252-$F252),0))</f>
        <v/>
      </c>
    </row>
    <row r="253" ht="15" customHeight="1" s="78">
      <c r="A253" s="96">
        <f>IF(DM_DT!$A252="","",DM_DT!$A252&amp;"")</f>
        <v/>
      </c>
      <c r="B253" s="97">
        <f>IF($A253="","",DM_DT!$B252)</f>
        <v/>
      </c>
      <c r="C253" s="125">
        <f>IF($A253="","",SUMIFS(SDDK!$D$256:$D$375,SDDK!$A$256:$A$375,"131",SDDK!$B$256:$B$375,$A253))</f>
        <v/>
      </c>
      <c r="D253" s="125">
        <f>IF($A253="","",SUMIFS(SDDK!$E$256:$E$375,SDDK!$A$256:$A$375,"131",SDDK!$B$256:$B$375,$A253))</f>
        <v/>
      </c>
      <c r="E253" s="125">
        <f>IF($A253="","",SUMIFS(NKC!$H$7:$H$3006,NKC!$F$7:$F$3006,"131*",NKC!$I$7:$I$3006,$A253,NKC!$B$7:$B$3006,"&lt;="&amp;DEN_NGAY))</f>
        <v/>
      </c>
      <c r="F253" s="125">
        <f>IF($A253="","",SUMIFS(NKC!$H$7:$H$3006,NKC!$G$7:$G$3006,"131*",NKC!$I$7:$I$3006,$A253,NKC!$B$7:$B$3006,"&lt;="&amp;DEN_NGAY))</f>
        <v/>
      </c>
      <c r="G253" s="125">
        <f>IF($A253="","",MAX($C253-$D253+$E253-$F253,0))</f>
        <v/>
      </c>
      <c r="H253" s="125">
        <f>IF($A253="","",MAX(-($C253-$D253+$E253-$F253),0))</f>
        <v/>
      </c>
    </row>
    <row r="254" ht="15" customHeight="1" s="78">
      <c r="A254" s="96">
        <f>IF(DM_DT!$A253="","",DM_DT!$A253&amp;"")</f>
        <v/>
      </c>
      <c r="B254" s="97">
        <f>IF($A254="","",DM_DT!$B253)</f>
        <v/>
      </c>
      <c r="C254" s="125">
        <f>IF($A254="","",SUMIFS(SDDK!$D$256:$D$375,SDDK!$A$256:$A$375,"131",SDDK!$B$256:$B$375,$A254))</f>
        <v/>
      </c>
      <c r="D254" s="125">
        <f>IF($A254="","",SUMIFS(SDDK!$E$256:$E$375,SDDK!$A$256:$A$375,"131",SDDK!$B$256:$B$375,$A254))</f>
        <v/>
      </c>
      <c r="E254" s="125">
        <f>IF($A254="","",SUMIFS(NKC!$H$7:$H$3006,NKC!$F$7:$F$3006,"131*",NKC!$I$7:$I$3006,$A254,NKC!$B$7:$B$3006,"&lt;="&amp;DEN_NGAY))</f>
        <v/>
      </c>
      <c r="F254" s="125">
        <f>IF($A254="","",SUMIFS(NKC!$H$7:$H$3006,NKC!$G$7:$G$3006,"131*",NKC!$I$7:$I$3006,$A254,NKC!$B$7:$B$3006,"&lt;="&amp;DEN_NGAY))</f>
        <v/>
      </c>
      <c r="G254" s="125">
        <f>IF($A254="","",MAX($C254-$D254+$E254-$F254,0))</f>
        <v/>
      </c>
      <c r="H254" s="125">
        <f>IF($A254="","",MAX(-($C254-$D254+$E254-$F254),0))</f>
        <v/>
      </c>
    </row>
    <row r="255" ht="15" customHeight="1" s="78">
      <c r="A255" s="96">
        <f>IF(DM_DT!$A254="","",DM_DT!$A254&amp;"")</f>
        <v/>
      </c>
      <c r="B255" s="97">
        <f>IF($A255="","",DM_DT!$B254)</f>
        <v/>
      </c>
      <c r="C255" s="125">
        <f>IF($A255="","",SUMIFS(SDDK!$D$256:$D$375,SDDK!$A$256:$A$375,"131",SDDK!$B$256:$B$375,$A255))</f>
        <v/>
      </c>
      <c r="D255" s="125">
        <f>IF($A255="","",SUMIFS(SDDK!$E$256:$E$375,SDDK!$A$256:$A$375,"131",SDDK!$B$256:$B$375,$A255))</f>
        <v/>
      </c>
      <c r="E255" s="125">
        <f>IF($A255="","",SUMIFS(NKC!$H$7:$H$3006,NKC!$F$7:$F$3006,"131*",NKC!$I$7:$I$3006,$A255,NKC!$B$7:$B$3006,"&lt;="&amp;DEN_NGAY))</f>
        <v/>
      </c>
      <c r="F255" s="125">
        <f>IF($A255="","",SUMIFS(NKC!$H$7:$H$3006,NKC!$G$7:$G$3006,"131*",NKC!$I$7:$I$3006,$A255,NKC!$B$7:$B$3006,"&lt;="&amp;DEN_NGAY))</f>
        <v/>
      </c>
      <c r="G255" s="125">
        <f>IF($A255="","",MAX($C255-$D255+$E255-$F255,0))</f>
        <v/>
      </c>
      <c r="H255" s="125">
        <f>IF($A255="","",MAX(-($C255-$D255+$E255-$F255),0))</f>
        <v/>
      </c>
    </row>
    <row r="256" ht="15" customHeight="1" s="78">
      <c r="A256" s="96">
        <f>IF(DM_DT!$A255="","",DM_DT!$A255&amp;"")</f>
        <v/>
      </c>
      <c r="B256" s="97">
        <f>IF($A256="","",DM_DT!$B255)</f>
        <v/>
      </c>
      <c r="C256" s="125">
        <f>IF($A256="","",SUMIFS(SDDK!$D$256:$D$375,SDDK!$A$256:$A$375,"131",SDDK!$B$256:$B$375,$A256))</f>
        <v/>
      </c>
      <c r="D256" s="125">
        <f>IF($A256="","",SUMIFS(SDDK!$E$256:$E$375,SDDK!$A$256:$A$375,"131",SDDK!$B$256:$B$375,$A256))</f>
        <v/>
      </c>
      <c r="E256" s="125">
        <f>IF($A256="","",SUMIFS(NKC!$H$7:$H$3006,NKC!$F$7:$F$3006,"131*",NKC!$I$7:$I$3006,$A256,NKC!$B$7:$B$3006,"&lt;="&amp;DEN_NGAY))</f>
        <v/>
      </c>
      <c r="F256" s="125">
        <f>IF($A256="","",SUMIFS(NKC!$H$7:$H$3006,NKC!$G$7:$G$3006,"131*",NKC!$I$7:$I$3006,$A256,NKC!$B$7:$B$3006,"&lt;="&amp;DEN_NGAY))</f>
        <v/>
      </c>
      <c r="G256" s="125">
        <f>IF($A256="","",MAX($C256-$D256+$E256-$F256,0))</f>
        <v/>
      </c>
      <c r="H256" s="125">
        <f>IF($A256="","",MAX(-($C256-$D256+$E256-$F256),0))</f>
        <v/>
      </c>
    </row>
    <row r="257" ht="15" customHeight="1" s="78">
      <c r="A257" s="96">
        <f>IF(DM_DT!$A256="","",DM_DT!$A256&amp;"")</f>
        <v/>
      </c>
      <c r="B257" s="97">
        <f>IF($A257="","",DM_DT!$B256)</f>
        <v/>
      </c>
      <c r="C257" s="125">
        <f>IF($A257="","",SUMIFS(SDDK!$D$256:$D$375,SDDK!$A$256:$A$375,"131",SDDK!$B$256:$B$375,$A257))</f>
        <v/>
      </c>
      <c r="D257" s="125">
        <f>IF($A257="","",SUMIFS(SDDK!$E$256:$E$375,SDDK!$A$256:$A$375,"131",SDDK!$B$256:$B$375,$A257))</f>
        <v/>
      </c>
      <c r="E257" s="125">
        <f>IF($A257="","",SUMIFS(NKC!$H$7:$H$3006,NKC!$F$7:$F$3006,"131*",NKC!$I$7:$I$3006,$A257,NKC!$B$7:$B$3006,"&lt;="&amp;DEN_NGAY))</f>
        <v/>
      </c>
      <c r="F257" s="125">
        <f>IF($A257="","",SUMIFS(NKC!$H$7:$H$3006,NKC!$G$7:$G$3006,"131*",NKC!$I$7:$I$3006,$A257,NKC!$B$7:$B$3006,"&lt;="&amp;DEN_NGAY))</f>
        <v/>
      </c>
      <c r="G257" s="125">
        <f>IF($A257="","",MAX($C257-$D257+$E257-$F257,0))</f>
        <v/>
      </c>
      <c r="H257" s="125">
        <f>IF($A257="","",MAX(-($C257-$D257+$E257-$F257),0))</f>
        <v/>
      </c>
    </row>
    <row r="258" ht="15" customHeight="1" s="78">
      <c r="A258" s="96">
        <f>IF(DM_DT!$A257="","",DM_DT!$A257&amp;"")</f>
        <v/>
      </c>
      <c r="B258" s="97">
        <f>IF($A258="","",DM_DT!$B257)</f>
        <v/>
      </c>
      <c r="C258" s="125">
        <f>IF($A258="","",SUMIFS(SDDK!$D$256:$D$375,SDDK!$A$256:$A$375,"131",SDDK!$B$256:$B$375,$A258))</f>
        <v/>
      </c>
      <c r="D258" s="125">
        <f>IF($A258="","",SUMIFS(SDDK!$E$256:$E$375,SDDK!$A$256:$A$375,"131",SDDK!$B$256:$B$375,$A258))</f>
        <v/>
      </c>
      <c r="E258" s="125">
        <f>IF($A258="","",SUMIFS(NKC!$H$7:$H$3006,NKC!$F$7:$F$3006,"131*",NKC!$I$7:$I$3006,$A258,NKC!$B$7:$B$3006,"&lt;="&amp;DEN_NGAY))</f>
        <v/>
      </c>
      <c r="F258" s="125">
        <f>IF($A258="","",SUMIFS(NKC!$H$7:$H$3006,NKC!$G$7:$G$3006,"131*",NKC!$I$7:$I$3006,$A258,NKC!$B$7:$B$3006,"&lt;="&amp;DEN_NGAY))</f>
        <v/>
      </c>
      <c r="G258" s="125">
        <f>IF($A258="","",MAX($C258-$D258+$E258-$F258,0))</f>
        <v/>
      </c>
      <c r="H258" s="125">
        <f>IF($A258="","",MAX(-($C258-$D258+$E258-$F258),0))</f>
        <v/>
      </c>
    </row>
    <row r="259" ht="15" customHeight="1" s="78">
      <c r="A259" s="96">
        <f>IF(DM_DT!$A258="","",DM_DT!$A258&amp;"")</f>
        <v/>
      </c>
      <c r="B259" s="97">
        <f>IF($A259="","",DM_DT!$B258)</f>
        <v/>
      </c>
      <c r="C259" s="125">
        <f>IF($A259="","",SUMIFS(SDDK!$D$256:$D$375,SDDK!$A$256:$A$375,"131",SDDK!$B$256:$B$375,$A259))</f>
        <v/>
      </c>
      <c r="D259" s="125">
        <f>IF($A259="","",SUMIFS(SDDK!$E$256:$E$375,SDDK!$A$256:$A$375,"131",SDDK!$B$256:$B$375,$A259))</f>
        <v/>
      </c>
      <c r="E259" s="125">
        <f>IF($A259="","",SUMIFS(NKC!$H$7:$H$3006,NKC!$F$7:$F$3006,"131*",NKC!$I$7:$I$3006,$A259,NKC!$B$7:$B$3006,"&lt;="&amp;DEN_NGAY))</f>
        <v/>
      </c>
      <c r="F259" s="125">
        <f>IF($A259="","",SUMIFS(NKC!$H$7:$H$3006,NKC!$G$7:$G$3006,"131*",NKC!$I$7:$I$3006,$A259,NKC!$B$7:$B$3006,"&lt;="&amp;DEN_NGAY))</f>
        <v/>
      </c>
      <c r="G259" s="125">
        <f>IF($A259="","",MAX($C259-$D259+$E259-$F259,0))</f>
        <v/>
      </c>
      <c r="H259" s="125">
        <f>IF($A259="","",MAX(-($C259-$D259+$E259-$F259),0))</f>
        <v/>
      </c>
    </row>
    <row r="260" ht="15" customHeight="1" s="78">
      <c r="A260" s="96">
        <f>IF(DM_DT!$A259="","",DM_DT!$A259&amp;"")</f>
        <v/>
      </c>
      <c r="B260" s="97">
        <f>IF($A260="","",DM_DT!$B259)</f>
        <v/>
      </c>
      <c r="C260" s="125">
        <f>IF($A260="","",SUMIFS(SDDK!$D$256:$D$375,SDDK!$A$256:$A$375,"131",SDDK!$B$256:$B$375,$A260))</f>
        <v/>
      </c>
      <c r="D260" s="125">
        <f>IF($A260="","",SUMIFS(SDDK!$E$256:$E$375,SDDK!$A$256:$A$375,"131",SDDK!$B$256:$B$375,$A260))</f>
        <v/>
      </c>
      <c r="E260" s="125">
        <f>IF($A260="","",SUMIFS(NKC!$H$7:$H$3006,NKC!$F$7:$F$3006,"131*",NKC!$I$7:$I$3006,$A260,NKC!$B$7:$B$3006,"&lt;="&amp;DEN_NGAY))</f>
        <v/>
      </c>
      <c r="F260" s="125">
        <f>IF($A260="","",SUMIFS(NKC!$H$7:$H$3006,NKC!$G$7:$G$3006,"131*",NKC!$I$7:$I$3006,$A260,NKC!$B$7:$B$3006,"&lt;="&amp;DEN_NGAY))</f>
        <v/>
      </c>
      <c r="G260" s="125">
        <f>IF($A260="","",MAX($C260-$D260+$E260-$F260,0))</f>
        <v/>
      </c>
      <c r="H260" s="125">
        <f>IF($A260="","",MAX(-($C260-$D260+$E260-$F260),0))</f>
        <v/>
      </c>
    </row>
    <row r="261" ht="15" customHeight="1" s="78">
      <c r="A261" s="96">
        <f>IF(DM_DT!$A260="","",DM_DT!$A260&amp;"")</f>
        <v/>
      </c>
      <c r="B261" s="97">
        <f>IF($A261="","",DM_DT!$B260)</f>
        <v/>
      </c>
      <c r="C261" s="125">
        <f>IF($A261="","",SUMIFS(SDDK!$D$256:$D$375,SDDK!$A$256:$A$375,"131",SDDK!$B$256:$B$375,$A261))</f>
        <v/>
      </c>
      <c r="D261" s="125">
        <f>IF($A261="","",SUMIFS(SDDK!$E$256:$E$375,SDDK!$A$256:$A$375,"131",SDDK!$B$256:$B$375,$A261))</f>
        <v/>
      </c>
      <c r="E261" s="125">
        <f>IF($A261="","",SUMIFS(NKC!$H$7:$H$3006,NKC!$F$7:$F$3006,"131*",NKC!$I$7:$I$3006,$A261,NKC!$B$7:$B$3006,"&lt;="&amp;DEN_NGAY))</f>
        <v/>
      </c>
      <c r="F261" s="125">
        <f>IF($A261="","",SUMIFS(NKC!$H$7:$H$3006,NKC!$G$7:$G$3006,"131*",NKC!$I$7:$I$3006,$A261,NKC!$B$7:$B$3006,"&lt;="&amp;DEN_NGAY))</f>
        <v/>
      </c>
      <c r="G261" s="125">
        <f>IF($A261="","",MAX($C261-$D261+$E261-$F261,0))</f>
        <v/>
      </c>
      <c r="H261" s="125">
        <f>IF($A261="","",MAX(-($C261-$D261+$E261-$F261),0))</f>
        <v/>
      </c>
    </row>
    <row r="262" ht="15" customHeight="1" s="78">
      <c r="A262" s="96">
        <f>IF(DM_DT!$A261="","",DM_DT!$A261&amp;"")</f>
        <v/>
      </c>
      <c r="B262" s="97">
        <f>IF($A262="","",DM_DT!$B261)</f>
        <v/>
      </c>
      <c r="C262" s="125">
        <f>IF($A262="","",SUMIFS(SDDK!$D$256:$D$375,SDDK!$A$256:$A$375,"131",SDDK!$B$256:$B$375,$A262))</f>
        <v/>
      </c>
      <c r="D262" s="125">
        <f>IF($A262="","",SUMIFS(SDDK!$E$256:$E$375,SDDK!$A$256:$A$375,"131",SDDK!$B$256:$B$375,$A262))</f>
        <v/>
      </c>
      <c r="E262" s="125">
        <f>IF($A262="","",SUMIFS(NKC!$H$7:$H$3006,NKC!$F$7:$F$3006,"131*",NKC!$I$7:$I$3006,$A262,NKC!$B$7:$B$3006,"&lt;="&amp;DEN_NGAY))</f>
        <v/>
      </c>
      <c r="F262" s="125">
        <f>IF($A262="","",SUMIFS(NKC!$H$7:$H$3006,NKC!$G$7:$G$3006,"131*",NKC!$I$7:$I$3006,$A262,NKC!$B$7:$B$3006,"&lt;="&amp;DEN_NGAY))</f>
        <v/>
      </c>
      <c r="G262" s="125">
        <f>IF($A262="","",MAX($C262-$D262+$E262-$F262,0))</f>
        <v/>
      </c>
      <c r="H262" s="125">
        <f>IF($A262="","",MAX(-($C262-$D262+$E262-$F262),0))</f>
        <v/>
      </c>
    </row>
    <row r="263" ht="15" customHeight="1" s="78">
      <c r="A263" s="96">
        <f>IF(DM_DT!$A262="","",DM_DT!$A262&amp;"")</f>
        <v/>
      </c>
      <c r="B263" s="97">
        <f>IF($A263="","",DM_DT!$B262)</f>
        <v/>
      </c>
      <c r="C263" s="125">
        <f>IF($A263="","",SUMIFS(SDDK!$D$256:$D$375,SDDK!$A$256:$A$375,"131",SDDK!$B$256:$B$375,$A263))</f>
        <v/>
      </c>
      <c r="D263" s="125">
        <f>IF($A263="","",SUMIFS(SDDK!$E$256:$E$375,SDDK!$A$256:$A$375,"131",SDDK!$B$256:$B$375,$A263))</f>
        <v/>
      </c>
      <c r="E263" s="125">
        <f>IF($A263="","",SUMIFS(NKC!$H$7:$H$3006,NKC!$F$7:$F$3006,"131*",NKC!$I$7:$I$3006,$A263,NKC!$B$7:$B$3006,"&lt;="&amp;DEN_NGAY))</f>
        <v/>
      </c>
      <c r="F263" s="125">
        <f>IF($A263="","",SUMIFS(NKC!$H$7:$H$3006,NKC!$G$7:$G$3006,"131*",NKC!$I$7:$I$3006,$A263,NKC!$B$7:$B$3006,"&lt;="&amp;DEN_NGAY))</f>
        <v/>
      </c>
      <c r="G263" s="125">
        <f>IF($A263="","",MAX($C263-$D263+$E263-$F263,0))</f>
        <v/>
      </c>
      <c r="H263" s="125">
        <f>IF($A263="","",MAX(-($C263-$D263+$E263-$F263),0))</f>
        <v/>
      </c>
    </row>
    <row r="264" ht="15" customHeight="1" s="78">
      <c r="A264" s="96">
        <f>IF(DM_DT!$A263="","",DM_DT!$A263&amp;"")</f>
        <v/>
      </c>
      <c r="B264" s="97">
        <f>IF($A264="","",DM_DT!$B263)</f>
        <v/>
      </c>
      <c r="C264" s="125">
        <f>IF($A264="","",SUMIFS(SDDK!$D$256:$D$375,SDDK!$A$256:$A$375,"131",SDDK!$B$256:$B$375,$A264))</f>
        <v/>
      </c>
      <c r="D264" s="125">
        <f>IF($A264="","",SUMIFS(SDDK!$E$256:$E$375,SDDK!$A$256:$A$375,"131",SDDK!$B$256:$B$375,$A264))</f>
        <v/>
      </c>
      <c r="E264" s="125">
        <f>IF($A264="","",SUMIFS(NKC!$H$7:$H$3006,NKC!$F$7:$F$3006,"131*",NKC!$I$7:$I$3006,$A264,NKC!$B$7:$B$3006,"&lt;="&amp;DEN_NGAY))</f>
        <v/>
      </c>
      <c r="F264" s="125">
        <f>IF($A264="","",SUMIFS(NKC!$H$7:$H$3006,NKC!$G$7:$G$3006,"131*",NKC!$I$7:$I$3006,$A264,NKC!$B$7:$B$3006,"&lt;="&amp;DEN_NGAY))</f>
        <v/>
      </c>
      <c r="G264" s="125">
        <f>IF($A264="","",MAX($C264-$D264+$E264-$F264,0))</f>
        <v/>
      </c>
      <c r="H264" s="125">
        <f>IF($A264="","",MAX(-($C264-$D264+$E264-$F264),0))</f>
        <v/>
      </c>
    </row>
    <row r="265" ht="15" customHeight="1" s="78">
      <c r="A265" s="96">
        <f>IF(DM_DT!$A264="","",DM_DT!$A264&amp;"")</f>
        <v/>
      </c>
      <c r="B265" s="97">
        <f>IF($A265="","",DM_DT!$B264)</f>
        <v/>
      </c>
      <c r="C265" s="125">
        <f>IF($A265="","",SUMIFS(SDDK!$D$256:$D$375,SDDK!$A$256:$A$375,"131",SDDK!$B$256:$B$375,$A265))</f>
        <v/>
      </c>
      <c r="D265" s="125">
        <f>IF($A265="","",SUMIFS(SDDK!$E$256:$E$375,SDDK!$A$256:$A$375,"131",SDDK!$B$256:$B$375,$A265))</f>
        <v/>
      </c>
      <c r="E265" s="125">
        <f>IF($A265="","",SUMIFS(NKC!$H$7:$H$3006,NKC!$F$7:$F$3006,"131*",NKC!$I$7:$I$3006,$A265,NKC!$B$7:$B$3006,"&lt;="&amp;DEN_NGAY))</f>
        <v/>
      </c>
      <c r="F265" s="125">
        <f>IF($A265="","",SUMIFS(NKC!$H$7:$H$3006,NKC!$G$7:$G$3006,"131*",NKC!$I$7:$I$3006,$A265,NKC!$B$7:$B$3006,"&lt;="&amp;DEN_NGAY))</f>
        <v/>
      </c>
      <c r="G265" s="125">
        <f>IF($A265="","",MAX($C265-$D265+$E265-$F265,0))</f>
        <v/>
      </c>
      <c r="H265" s="125">
        <f>IF($A265="","",MAX(-($C265-$D265+$E265-$F265),0))</f>
        <v/>
      </c>
    </row>
    <row r="266" ht="15" customHeight="1" s="78">
      <c r="A266" s="96">
        <f>IF(DM_DT!$A265="","",DM_DT!$A265&amp;"")</f>
        <v/>
      </c>
      <c r="B266" s="97">
        <f>IF($A266="","",DM_DT!$B265)</f>
        <v/>
      </c>
      <c r="C266" s="125">
        <f>IF($A266="","",SUMIFS(SDDK!$D$256:$D$375,SDDK!$A$256:$A$375,"131",SDDK!$B$256:$B$375,$A266))</f>
        <v/>
      </c>
      <c r="D266" s="125">
        <f>IF($A266="","",SUMIFS(SDDK!$E$256:$E$375,SDDK!$A$256:$A$375,"131",SDDK!$B$256:$B$375,$A266))</f>
        <v/>
      </c>
      <c r="E266" s="125">
        <f>IF($A266="","",SUMIFS(NKC!$H$7:$H$3006,NKC!$F$7:$F$3006,"131*",NKC!$I$7:$I$3006,$A266,NKC!$B$7:$B$3006,"&lt;="&amp;DEN_NGAY))</f>
        <v/>
      </c>
      <c r="F266" s="125">
        <f>IF($A266="","",SUMIFS(NKC!$H$7:$H$3006,NKC!$G$7:$G$3006,"131*",NKC!$I$7:$I$3006,$A266,NKC!$B$7:$B$3006,"&lt;="&amp;DEN_NGAY))</f>
        <v/>
      </c>
      <c r="G266" s="125">
        <f>IF($A266="","",MAX($C266-$D266+$E266-$F266,0))</f>
        <v/>
      </c>
      <c r="H266" s="125">
        <f>IF($A266="","",MAX(-($C266-$D266+$E266-$F266),0))</f>
        <v/>
      </c>
    </row>
    <row r="267" ht="15" customHeight="1" s="78">
      <c r="A267" s="96">
        <f>IF(DM_DT!$A266="","",DM_DT!$A266&amp;"")</f>
        <v/>
      </c>
      <c r="B267" s="97">
        <f>IF($A267="","",DM_DT!$B266)</f>
        <v/>
      </c>
      <c r="C267" s="125">
        <f>IF($A267="","",SUMIFS(SDDK!$D$256:$D$375,SDDK!$A$256:$A$375,"131",SDDK!$B$256:$B$375,$A267))</f>
        <v/>
      </c>
      <c r="D267" s="125">
        <f>IF($A267="","",SUMIFS(SDDK!$E$256:$E$375,SDDK!$A$256:$A$375,"131",SDDK!$B$256:$B$375,$A267))</f>
        <v/>
      </c>
      <c r="E267" s="125">
        <f>IF($A267="","",SUMIFS(NKC!$H$7:$H$3006,NKC!$F$7:$F$3006,"131*",NKC!$I$7:$I$3006,$A267,NKC!$B$7:$B$3006,"&lt;="&amp;DEN_NGAY))</f>
        <v/>
      </c>
      <c r="F267" s="125">
        <f>IF($A267="","",SUMIFS(NKC!$H$7:$H$3006,NKC!$G$7:$G$3006,"131*",NKC!$I$7:$I$3006,$A267,NKC!$B$7:$B$3006,"&lt;="&amp;DEN_NGAY))</f>
        <v/>
      </c>
      <c r="G267" s="125">
        <f>IF($A267="","",MAX($C267-$D267+$E267-$F267,0))</f>
        <v/>
      </c>
      <c r="H267" s="125">
        <f>IF($A267="","",MAX(-($C267-$D267+$E267-$F267),0))</f>
        <v/>
      </c>
    </row>
    <row r="268" ht="15" customHeight="1" s="78">
      <c r="A268" s="96">
        <f>IF(DM_DT!$A267="","",DM_DT!$A267&amp;"")</f>
        <v/>
      </c>
      <c r="B268" s="97">
        <f>IF($A268="","",DM_DT!$B267)</f>
        <v/>
      </c>
      <c r="C268" s="125">
        <f>IF($A268="","",SUMIFS(SDDK!$D$256:$D$375,SDDK!$A$256:$A$375,"131",SDDK!$B$256:$B$375,$A268))</f>
        <v/>
      </c>
      <c r="D268" s="125">
        <f>IF($A268="","",SUMIFS(SDDK!$E$256:$E$375,SDDK!$A$256:$A$375,"131",SDDK!$B$256:$B$375,$A268))</f>
        <v/>
      </c>
      <c r="E268" s="125">
        <f>IF($A268="","",SUMIFS(NKC!$H$7:$H$3006,NKC!$F$7:$F$3006,"131*",NKC!$I$7:$I$3006,$A268,NKC!$B$7:$B$3006,"&lt;="&amp;DEN_NGAY))</f>
        <v/>
      </c>
      <c r="F268" s="125">
        <f>IF($A268="","",SUMIFS(NKC!$H$7:$H$3006,NKC!$G$7:$G$3006,"131*",NKC!$I$7:$I$3006,$A268,NKC!$B$7:$B$3006,"&lt;="&amp;DEN_NGAY))</f>
        <v/>
      </c>
      <c r="G268" s="125">
        <f>IF($A268="","",MAX($C268-$D268+$E268-$F268,0))</f>
        <v/>
      </c>
      <c r="H268" s="125">
        <f>IF($A268="","",MAX(-($C268-$D268+$E268-$F268),0))</f>
        <v/>
      </c>
    </row>
    <row r="269" ht="15" customHeight="1" s="78">
      <c r="A269" s="96">
        <f>IF(DM_DT!$A268="","",DM_DT!$A268&amp;"")</f>
        <v/>
      </c>
      <c r="B269" s="97">
        <f>IF($A269="","",DM_DT!$B268)</f>
        <v/>
      </c>
      <c r="C269" s="125">
        <f>IF($A269="","",SUMIFS(SDDK!$D$256:$D$375,SDDK!$A$256:$A$375,"131",SDDK!$B$256:$B$375,$A269))</f>
        <v/>
      </c>
      <c r="D269" s="125">
        <f>IF($A269="","",SUMIFS(SDDK!$E$256:$E$375,SDDK!$A$256:$A$375,"131",SDDK!$B$256:$B$375,$A269))</f>
        <v/>
      </c>
      <c r="E269" s="125">
        <f>IF($A269="","",SUMIFS(NKC!$H$7:$H$3006,NKC!$F$7:$F$3006,"131*",NKC!$I$7:$I$3006,$A269,NKC!$B$7:$B$3006,"&lt;="&amp;DEN_NGAY))</f>
        <v/>
      </c>
      <c r="F269" s="125">
        <f>IF($A269="","",SUMIFS(NKC!$H$7:$H$3006,NKC!$G$7:$G$3006,"131*",NKC!$I$7:$I$3006,$A269,NKC!$B$7:$B$3006,"&lt;="&amp;DEN_NGAY))</f>
        <v/>
      </c>
      <c r="G269" s="125">
        <f>IF($A269="","",MAX($C269-$D269+$E269-$F269,0))</f>
        <v/>
      </c>
      <c r="H269" s="125">
        <f>IF($A269="","",MAX(-($C269-$D269+$E269-$F269),0))</f>
        <v/>
      </c>
    </row>
    <row r="270" ht="15" customHeight="1" s="78">
      <c r="A270" s="96">
        <f>IF(DM_DT!$A269="","",DM_DT!$A269&amp;"")</f>
        <v/>
      </c>
      <c r="B270" s="97">
        <f>IF($A270="","",DM_DT!$B269)</f>
        <v/>
      </c>
      <c r="C270" s="125">
        <f>IF($A270="","",SUMIFS(SDDK!$D$256:$D$375,SDDK!$A$256:$A$375,"131",SDDK!$B$256:$B$375,$A270))</f>
        <v/>
      </c>
      <c r="D270" s="125">
        <f>IF($A270="","",SUMIFS(SDDK!$E$256:$E$375,SDDK!$A$256:$A$375,"131",SDDK!$B$256:$B$375,$A270))</f>
        <v/>
      </c>
      <c r="E270" s="125">
        <f>IF($A270="","",SUMIFS(NKC!$H$7:$H$3006,NKC!$F$7:$F$3006,"131*",NKC!$I$7:$I$3006,$A270,NKC!$B$7:$B$3006,"&lt;="&amp;DEN_NGAY))</f>
        <v/>
      </c>
      <c r="F270" s="125">
        <f>IF($A270="","",SUMIFS(NKC!$H$7:$H$3006,NKC!$G$7:$G$3006,"131*",NKC!$I$7:$I$3006,$A270,NKC!$B$7:$B$3006,"&lt;="&amp;DEN_NGAY))</f>
        <v/>
      </c>
      <c r="G270" s="125">
        <f>IF($A270="","",MAX($C270-$D270+$E270-$F270,0))</f>
        <v/>
      </c>
      <c r="H270" s="125">
        <f>IF($A270="","",MAX(-($C270-$D270+$E270-$F270),0))</f>
        <v/>
      </c>
    </row>
    <row r="271" ht="15" customHeight="1" s="78">
      <c r="A271" s="96">
        <f>IF(DM_DT!$A270="","",DM_DT!$A270&amp;"")</f>
        <v/>
      </c>
      <c r="B271" s="97">
        <f>IF($A271="","",DM_DT!$B270)</f>
        <v/>
      </c>
      <c r="C271" s="125">
        <f>IF($A271="","",SUMIFS(SDDK!$D$256:$D$375,SDDK!$A$256:$A$375,"131",SDDK!$B$256:$B$375,$A271))</f>
        <v/>
      </c>
      <c r="D271" s="125">
        <f>IF($A271="","",SUMIFS(SDDK!$E$256:$E$375,SDDK!$A$256:$A$375,"131",SDDK!$B$256:$B$375,$A271))</f>
        <v/>
      </c>
      <c r="E271" s="125">
        <f>IF($A271="","",SUMIFS(NKC!$H$7:$H$3006,NKC!$F$7:$F$3006,"131*",NKC!$I$7:$I$3006,$A271,NKC!$B$7:$B$3006,"&lt;="&amp;DEN_NGAY))</f>
        <v/>
      </c>
      <c r="F271" s="125">
        <f>IF($A271="","",SUMIFS(NKC!$H$7:$H$3006,NKC!$G$7:$G$3006,"131*",NKC!$I$7:$I$3006,$A271,NKC!$B$7:$B$3006,"&lt;="&amp;DEN_NGAY))</f>
        <v/>
      </c>
      <c r="G271" s="125">
        <f>IF($A271="","",MAX($C271-$D271+$E271-$F271,0))</f>
        <v/>
      </c>
      <c r="H271" s="125">
        <f>IF($A271="","",MAX(-($C271-$D271+$E271-$F271),0))</f>
        <v/>
      </c>
    </row>
    <row r="272" ht="15" customHeight="1" s="78">
      <c r="A272" s="96">
        <f>IF(DM_DT!$A271="","",DM_DT!$A271&amp;"")</f>
        <v/>
      </c>
      <c r="B272" s="97">
        <f>IF($A272="","",DM_DT!$B271)</f>
        <v/>
      </c>
      <c r="C272" s="125">
        <f>IF($A272="","",SUMIFS(SDDK!$D$256:$D$375,SDDK!$A$256:$A$375,"131",SDDK!$B$256:$B$375,$A272))</f>
        <v/>
      </c>
      <c r="D272" s="125">
        <f>IF($A272="","",SUMIFS(SDDK!$E$256:$E$375,SDDK!$A$256:$A$375,"131",SDDK!$B$256:$B$375,$A272))</f>
        <v/>
      </c>
      <c r="E272" s="125">
        <f>IF($A272="","",SUMIFS(NKC!$H$7:$H$3006,NKC!$F$7:$F$3006,"131*",NKC!$I$7:$I$3006,$A272,NKC!$B$7:$B$3006,"&lt;="&amp;DEN_NGAY))</f>
        <v/>
      </c>
      <c r="F272" s="125">
        <f>IF($A272="","",SUMIFS(NKC!$H$7:$H$3006,NKC!$G$7:$G$3006,"131*",NKC!$I$7:$I$3006,$A272,NKC!$B$7:$B$3006,"&lt;="&amp;DEN_NGAY))</f>
        <v/>
      </c>
      <c r="G272" s="125">
        <f>IF($A272="","",MAX($C272-$D272+$E272-$F272,0))</f>
        <v/>
      </c>
      <c r="H272" s="125">
        <f>IF($A272="","",MAX(-($C272-$D272+$E272-$F272),0))</f>
        <v/>
      </c>
    </row>
    <row r="273" ht="15" customHeight="1" s="78">
      <c r="A273" s="96">
        <f>IF(DM_DT!$A272="","",DM_DT!$A272&amp;"")</f>
        <v/>
      </c>
      <c r="B273" s="97">
        <f>IF($A273="","",DM_DT!$B272)</f>
        <v/>
      </c>
      <c r="C273" s="125">
        <f>IF($A273="","",SUMIFS(SDDK!$D$256:$D$375,SDDK!$A$256:$A$375,"131",SDDK!$B$256:$B$375,$A273))</f>
        <v/>
      </c>
      <c r="D273" s="125">
        <f>IF($A273="","",SUMIFS(SDDK!$E$256:$E$375,SDDK!$A$256:$A$375,"131",SDDK!$B$256:$B$375,$A273))</f>
        <v/>
      </c>
      <c r="E273" s="125">
        <f>IF($A273="","",SUMIFS(NKC!$H$7:$H$3006,NKC!$F$7:$F$3006,"131*",NKC!$I$7:$I$3006,$A273,NKC!$B$7:$B$3006,"&lt;="&amp;DEN_NGAY))</f>
        <v/>
      </c>
      <c r="F273" s="125">
        <f>IF($A273="","",SUMIFS(NKC!$H$7:$H$3006,NKC!$G$7:$G$3006,"131*",NKC!$I$7:$I$3006,$A273,NKC!$B$7:$B$3006,"&lt;="&amp;DEN_NGAY))</f>
        <v/>
      </c>
      <c r="G273" s="125">
        <f>IF($A273="","",MAX($C273-$D273+$E273-$F273,0))</f>
        <v/>
      </c>
      <c r="H273" s="125">
        <f>IF($A273="","",MAX(-($C273-$D273+$E273-$F273),0))</f>
        <v/>
      </c>
    </row>
    <row r="274" ht="15" customHeight="1" s="78">
      <c r="A274" s="96">
        <f>IF(DM_DT!$A273="","",DM_DT!$A273&amp;"")</f>
        <v/>
      </c>
      <c r="B274" s="97">
        <f>IF($A274="","",DM_DT!$B273)</f>
        <v/>
      </c>
      <c r="C274" s="125">
        <f>IF($A274="","",SUMIFS(SDDK!$D$256:$D$375,SDDK!$A$256:$A$375,"131",SDDK!$B$256:$B$375,$A274))</f>
        <v/>
      </c>
      <c r="D274" s="125">
        <f>IF($A274="","",SUMIFS(SDDK!$E$256:$E$375,SDDK!$A$256:$A$375,"131",SDDK!$B$256:$B$375,$A274))</f>
        <v/>
      </c>
      <c r="E274" s="125">
        <f>IF($A274="","",SUMIFS(NKC!$H$7:$H$3006,NKC!$F$7:$F$3006,"131*",NKC!$I$7:$I$3006,$A274,NKC!$B$7:$B$3006,"&lt;="&amp;DEN_NGAY))</f>
        <v/>
      </c>
      <c r="F274" s="125">
        <f>IF($A274="","",SUMIFS(NKC!$H$7:$H$3006,NKC!$G$7:$G$3006,"131*",NKC!$I$7:$I$3006,$A274,NKC!$B$7:$B$3006,"&lt;="&amp;DEN_NGAY))</f>
        <v/>
      </c>
      <c r="G274" s="125">
        <f>IF($A274="","",MAX($C274-$D274+$E274-$F274,0))</f>
        <v/>
      </c>
      <c r="H274" s="125">
        <f>IF($A274="","",MAX(-($C274-$D274+$E274-$F274),0))</f>
        <v/>
      </c>
    </row>
    <row r="275" ht="15" customHeight="1" s="78">
      <c r="A275" s="96">
        <f>IF(DM_DT!$A274="","",DM_DT!$A274&amp;"")</f>
        <v/>
      </c>
      <c r="B275" s="97">
        <f>IF($A275="","",DM_DT!$B274)</f>
        <v/>
      </c>
      <c r="C275" s="125">
        <f>IF($A275="","",SUMIFS(SDDK!$D$256:$D$375,SDDK!$A$256:$A$375,"131",SDDK!$B$256:$B$375,$A275))</f>
        <v/>
      </c>
      <c r="D275" s="125">
        <f>IF($A275="","",SUMIFS(SDDK!$E$256:$E$375,SDDK!$A$256:$A$375,"131",SDDK!$B$256:$B$375,$A275))</f>
        <v/>
      </c>
      <c r="E275" s="125">
        <f>IF($A275="","",SUMIFS(NKC!$H$7:$H$3006,NKC!$F$7:$F$3006,"131*",NKC!$I$7:$I$3006,$A275,NKC!$B$7:$B$3006,"&lt;="&amp;DEN_NGAY))</f>
        <v/>
      </c>
      <c r="F275" s="125">
        <f>IF($A275="","",SUMIFS(NKC!$H$7:$H$3006,NKC!$G$7:$G$3006,"131*",NKC!$I$7:$I$3006,$A275,NKC!$B$7:$B$3006,"&lt;="&amp;DEN_NGAY))</f>
        <v/>
      </c>
      <c r="G275" s="125">
        <f>IF($A275="","",MAX($C275-$D275+$E275-$F275,0))</f>
        <v/>
      </c>
      <c r="H275" s="125">
        <f>IF($A275="","",MAX(-($C275-$D275+$E275-$F275),0))</f>
        <v/>
      </c>
    </row>
    <row r="276" ht="15" customHeight="1" s="78">
      <c r="A276" s="96">
        <f>IF(DM_DT!$A275="","",DM_DT!$A275&amp;"")</f>
        <v/>
      </c>
      <c r="B276" s="97">
        <f>IF($A276="","",DM_DT!$B275)</f>
        <v/>
      </c>
      <c r="C276" s="125">
        <f>IF($A276="","",SUMIFS(SDDK!$D$256:$D$375,SDDK!$A$256:$A$375,"131",SDDK!$B$256:$B$375,$A276))</f>
        <v/>
      </c>
      <c r="D276" s="125">
        <f>IF($A276="","",SUMIFS(SDDK!$E$256:$E$375,SDDK!$A$256:$A$375,"131",SDDK!$B$256:$B$375,$A276))</f>
        <v/>
      </c>
      <c r="E276" s="125">
        <f>IF($A276="","",SUMIFS(NKC!$H$7:$H$3006,NKC!$F$7:$F$3006,"131*",NKC!$I$7:$I$3006,$A276,NKC!$B$7:$B$3006,"&lt;="&amp;DEN_NGAY))</f>
        <v/>
      </c>
      <c r="F276" s="125">
        <f>IF($A276="","",SUMIFS(NKC!$H$7:$H$3006,NKC!$G$7:$G$3006,"131*",NKC!$I$7:$I$3006,$A276,NKC!$B$7:$B$3006,"&lt;="&amp;DEN_NGAY))</f>
        <v/>
      </c>
      <c r="G276" s="125">
        <f>IF($A276="","",MAX($C276-$D276+$E276-$F276,0))</f>
        <v/>
      </c>
      <c r="H276" s="125">
        <f>IF($A276="","",MAX(-($C276-$D276+$E276-$F276),0))</f>
        <v/>
      </c>
    </row>
    <row r="277" ht="15" customHeight="1" s="78">
      <c r="A277" s="96">
        <f>IF(DM_DT!$A276="","",DM_DT!$A276&amp;"")</f>
        <v/>
      </c>
      <c r="B277" s="97">
        <f>IF($A277="","",DM_DT!$B276)</f>
        <v/>
      </c>
      <c r="C277" s="125">
        <f>IF($A277="","",SUMIFS(SDDK!$D$256:$D$375,SDDK!$A$256:$A$375,"131",SDDK!$B$256:$B$375,$A277))</f>
        <v/>
      </c>
      <c r="D277" s="125">
        <f>IF($A277="","",SUMIFS(SDDK!$E$256:$E$375,SDDK!$A$256:$A$375,"131",SDDK!$B$256:$B$375,$A277))</f>
        <v/>
      </c>
      <c r="E277" s="125">
        <f>IF($A277="","",SUMIFS(NKC!$H$7:$H$3006,NKC!$F$7:$F$3006,"131*",NKC!$I$7:$I$3006,$A277,NKC!$B$7:$B$3006,"&lt;="&amp;DEN_NGAY))</f>
        <v/>
      </c>
      <c r="F277" s="125">
        <f>IF($A277="","",SUMIFS(NKC!$H$7:$H$3006,NKC!$G$7:$G$3006,"131*",NKC!$I$7:$I$3006,$A277,NKC!$B$7:$B$3006,"&lt;="&amp;DEN_NGAY))</f>
        <v/>
      </c>
      <c r="G277" s="125">
        <f>IF($A277="","",MAX($C277-$D277+$E277-$F277,0))</f>
        <v/>
      </c>
      <c r="H277" s="125">
        <f>IF($A277="","",MAX(-($C277-$D277+$E277-$F277),0))</f>
        <v/>
      </c>
    </row>
    <row r="278" ht="15" customHeight="1" s="78">
      <c r="A278" s="96">
        <f>IF(DM_DT!$A277="","",DM_DT!$A277&amp;"")</f>
        <v/>
      </c>
      <c r="B278" s="97">
        <f>IF($A278="","",DM_DT!$B277)</f>
        <v/>
      </c>
      <c r="C278" s="125">
        <f>IF($A278="","",SUMIFS(SDDK!$D$256:$D$375,SDDK!$A$256:$A$375,"131",SDDK!$B$256:$B$375,$A278))</f>
        <v/>
      </c>
      <c r="D278" s="125">
        <f>IF($A278="","",SUMIFS(SDDK!$E$256:$E$375,SDDK!$A$256:$A$375,"131",SDDK!$B$256:$B$375,$A278))</f>
        <v/>
      </c>
      <c r="E278" s="125">
        <f>IF($A278="","",SUMIFS(NKC!$H$7:$H$3006,NKC!$F$7:$F$3006,"131*",NKC!$I$7:$I$3006,$A278,NKC!$B$7:$B$3006,"&lt;="&amp;DEN_NGAY))</f>
        <v/>
      </c>
      <c r="F278" s="125">
        <f>IF($A278="","",SUMIFS(NKC!$H$7:$H$3006,NKC!$G$7:$G$3006,"131*",NKC!$I$7:$I$3006,$A278,NKC!$B$7:$B$3006,"&lt;="&amp;DEN_NGAY))</f>
        <v/>
      </c>
      <c r="G278" s="125">
        <f>IF($A278="","",MAX($C278-$D278+$E278-$F278,0))</f>
        <v/>
      </c>
      <c r="H278" s="125">
        <f>IF($A278="","",MAX(-($C278-$D278+$E278-$F278),0))</f>
        <v/>
      </c>
    </row>
    <row r="279" ht="15" customHeight="1" s="78">
      <c r="A279" s="96">
        <f>IF(DM_DT!$A278="","",DM_DT!$A278&amp;"")</f>
        <v/>
      </c>
      <c r="B279" s="97">
        <f>IF($A279="","",DM_DT!$B278)</f>
        <v/>
      </c>
      <c r="C279" s="125">
        <f>IF($A279="","",SUMIFS(SDDK!$D$256:$D$375,SDDK!$A$256:$A$375,"131",SDDK!$B$256:$B$375,$A279))</f>
        <v/>
      </c>
      <c r="D279" s="125">
        <f>IF($A279="","",SUMIFS(SDDK!$E$256:$E$375,SDDK!$A$256:$A$375,"131",SDDK!$B$256:$B$375,$A279))</f>
        <v/>
      </c>
      <c r="E279" s="125">
        <f>IF($A279="","",SUMIFS(NKC!$H$7:$H$3006,NKC!$F$7:$F$3006,"131*",NKC!$I$7:$I$3006,$A279,NKC!$B$7:$B$3006,"&lt;="&amp;DEN_NGAY))</f>
        <v/>
      </c>
      <c r="F279" s="125">
        <f>IF($A279="","",SUMIFS(NKC!$H$7:$H$3006,NKC!$G$7:$G$3006,"131*",NKC!$I$7:$I$3006,$A279,NKC!$B$7:$B$3006,"&lt;="&amp;DEN_NGAY))</f>
        <v/>
      </c>
      <c r="G279" s="125">
        <f>IF($A279="","",MAX($C279-$D279+$E279-$F279,0))</f>
        <v/>
      </c>
      <c r="H279" s="125">
        <f>IF($A279="","",MAX(-($C279-$D279+$E279-$F279),0))</f>
        <v/>
      </c>
    </row>
    <row r="280" ht="15" customHeight="1" s="78">
      <c r="A280" s="96">
        <f>IF(DM_DT!$A279="","",DM_DT!$A279&amp;"")</f>
        <v/>
      </c>
      <c r="B280" s="97">
        <f>IF($A280="","",DM_DT!$B279)</f>
        <v/>
      </c>
      <c r="C280" s="125">
        <f>IF($A280="","",SUMIFS(SDDK!$D$256:$D$375,SDDK!$A$256:$A$375,"131",SDDK!$B$256:$B$375,$A280))</f>
        <v/>
      </c>
      <c r="D280" s="125">
        <f>IF($A280="","",SUMIFS(SDDK!$E$256:$E$375,SDDK!$A$256:$A$375,"131",SDDK!$B$256:$B$375,$A280))</f>
        <v/>
      </c>
      <c r="E280" s="125">
        <f>IF($A280="","",SUMIFS(NKC!$H$7:$H$3006,NKC!$F$7:$F$3006,"131*",NKC!$I$7:$I$3006,$A280,NKC!$B$7:$B$3006,"&lt;="&amp;DEN_NGAY))</f>
        <v/>
      </c>
      <c r="F280" s="125">
        <f>IF($A280="","",SUMIFS(NKC!$H$7:$H$3006,NKC!$G$7:$G$3006,"131*",NKC!$I$7:$I$3006,$A280,NKC!$B$7:$B$3006,"&lt;="&amp;DEN_NGAY))</f>
        <v/>
      </c>
      <c r="G280" s="125">
        <f>IF($A280="","",MAX($C280-$D280+$E280-$F280,0))</f>
        <v/>
      </c>
      <c r="H280" s="125">
        <f>IF($A280="","",MAX(-($C280-$D280+$E280-$F280),0))</f>
        <v/>
      </c>
    </row>
    <row r="281" ht="15" customHeight="1" s="78">
      <c r="A281" s="96">
        <f>IF(DM_DT!$A280="","",DM_DT!$A280&amp;"")</f>
        <v/>
      </c>
      <c r="B281" s="97">
        <f>IF($A281="","",DM_DT!$B280)</f>
        <v/>
      </c>
      <c r="C281" s="125">
        <f>IF($A281="","",SUMIFS(SDDK!$D$256:$D$375,SDDK!$A$256:$A$375,"131",SDDK!$B$256:$B$375,$A281))</f>
        <v/>
      </c>
      <c r="D281" s="125">
        <f>IF($A281="","",SUMIFS(SDDK!$E$256:$E$375,SDDK!$A$256:$A$375,"131",SDDK!$B$256:$B$375,$A281))</f>
        <v/>
      </c>
      <c r="E281" s="125">
        <f>IF($A281="","",SUMIFS(NKC!$H$7:$H$3006,NKC!$F$7:$F$3006,"131*",NKC!$I$7:$I$3006,$A281,NKC!$B$7:$B$3006,"&lt;="&amp;DEN_NGAY))</f>
        <v/>
      </c>
      <c r="F281" s="125">
        <f>IF($A281="","",SUMIFS(NKC!$H$7:$H$3006,NKC!$G$7:$G$3006,"131*",NKC!$I$7:$I$3006,$A281,NKC!$B$7:$B$3006,"&lt;="&amp;DEN_NGAY))</f>
        <v/>
      </c>
      <c r="G281" s="125">
        <f>IF($A281="","",MAX($C281-$D281+$E281-$F281,0))</f>
        <v/>
      </c>
      <c r="H281" s="125">
        <f>IF($A281="","",MAX(-($C281-$D281+$E281-$F281),0))</f>
        <v/>
      </c>
    </row>
    <row r="282" ht="15" customHeight="1" s="78">
      <c r="A282" s="96">
        <f>IF(DM_DT!$A281="","",DM_DT!$A281&amp;"")</f>
        <v/>
      </c>
      <c r="B282" s="97">
        <f>IF($A282="","",DM_DT!$B281)</f>
        <v/>
      </c>
      <c r="C282" s="125">
        <f>IF($A282="","",SUMIFS(SDDK!$D$256:$D$375,SDDK!$A$256:$A$375,"131",SDDK!$B$256:$B$375,$A282))</f>
        <v/>
      </c>
      <c r="D282" s="125">
        <f>IF($A282="","",SUMIFS(SDDK!$E$256:$E$375,SDDK!$A$256:$A$375,"131",SDDK!$B$256:$B$375,$A282))</f>
        <v/>
      </c>
      <c r="E282" s="125">
        <f>IF($A282="","",SUMIFS(NKC!$H$7:$H$3006,NKC!$F$7:$F$3006,"131*",NKC!$I$7:$I$3006,$A282,NKC!$B$7:$B$3006,"&lt;="&amp;DEN_NGAY))</f>
        <v/>
      </c>
      <c r="F282" s="125">
        <f>IF($A282="","",SUMIFS(NKC!$H$7:$H$3006,NKC!$G$7:$G$3006,"131*",NKC!$I$7:$I$3006,$A282,NKC!$B$7:$B$3006,"&lt;="&amp;DEN_NGAY))</f>
        <v/>
      </c>
      <c r="G282" s="125">
        <f>IF($A282="","",MAX($C282-$D282+$E282-$F282,0))</f>
        <v/>
      </c>
      <c r="H282" s="125">
        <f>IF($A282="","",MAX(-($C282-$D282+$E282-$F282),0))</f>
        <v/>
      </c>
    </row>
    <row r="283" ht="15" customHeight="1" s="78">
      <c r="A283" s="96">
        <f>IF(DM_DT!$A282="","",DM_DT!$A282&amp;"")</f>
        <v/>
      </c>
      <c r="B283" s="97">
        <f>IF($A283="","",DM_DT!$B282)</f>
        <v/>
      </c>
      <c r="C283" s="125">
        <f>IF($A283="","",SUMIFS(SDDK!$D$256:$D$375,SDDK!$A$256:$A$375,"131",SDDK!$B$256:$B$375,$A283))</f>
        <v/>
      </c>
      <c r="D283" s="125">
        <f>IF($A283="","",SUMIFS(SDDK!$E$256:$E$375,SDDK!$A$256:$A$375,"131",SDDK!$B$256:$B$375,$A283))</f>
        <v/>
      </c>
      <c r="E283" s="125">
        <f>IF($A283="","",SUMIFS(NKC!$H$7:$H$3006,NKC!$F$7:$F$3006,"131*",NKC!$I$7:$I$3006,$A283,NKC!$B$7:$B$3006,"&lt;="&amp;DEN_NGAY))</f>
        <v/>
      </c>
      <c r="F283" s="125">
        <f>IF($A283="","",SUMIFS(NKC!$H$7:$H$3006,NKC!$G$7:$G$3006,"131*",NKC!$I$7:$I$3006,$A283,NKC!$B$7:$B$3006,"&lt;="&amp;DEN_NGAY))</f>
        <v/>
      </c>
      <c r="G283" s="125">
        <f>IF($A283="","",MAX($C283-$D283+$E283-$F283,0))</f>
        <v/>
      </c>
      <c r="H283" s="125">
        <f>IF($A283="","",MAX(-($C283-$D283+$E283-$F283),0))</f>
        <v/>
      </c>
    </row>
    <row r="284" ht="15" customHeight="1" s="78">
      <c r="A284" s="96">
        <f>IF(DM_DT!$A283="","",DM_DT!$A283&amp;"")</f>
        <v/>
      </c>
      <c r="B284" s="97">
        <f>IF($A284="","",DM_DT!$B283)</f>
        <v/>
      </c>
      <c r="C284" s="125">
        <f>IF($A284="","",SUMIFS(SDDK!$D$256:$D$375,SDDK!$A$256:$A$375,"131",SDDK!$B$256:$B$375,$A284))</f>
        <v/>
      </c>
      <c r="D284" s="125">
        <f>IF($A284="","",SUMIFS(SDDK!$E$256:$E$375,SDDK!$A$256:$A$375,"131",SDDK!$B$256:$B$375,$A284))</f>
        <v/>
      </c>
      <c r="E284" s="125">
        <f>IF($A284="","",SUMIFS(NKC!$H$7:$H$3006,NKC!$F$7:$F$3006,"131*",NKC!$I$7:$I$3006,$A284,NKC!$B$7:$B$3006,"&lt;="&amp;DEN_NGAY))</f>
        <v/>
      </c>
      <c r="F284" s="125">
        <f>IF($A284="","",SUMIFS(NKC!$H$7:$H$3006,NKC!$G$7:$G$3006,"131*",NKC!$I$7:$I$3006,$A284,NKC!$B$7:$B$3006,"&lt;="&amp;DEN_NGAY))</f>
        <v/>
      </c>
      <c r="G284" s="125">
        <f>IF($A284="","",MAX($C284-$D284+$E284-$F284,0))</f>
        <v/>
      </c>
      <c r="H284" s="125">
        <f>IF($A284="","",MAX(-($C284-$D284+$E284-$F284),0))</f>
        <v/>
      </c>
    </row>
    <row r="285" ht="15" customHeight="1" s="78">
      <c r="A285" s="96">
        <f>IF(DM_DT!$A284="","",DM_DT!$A284&amp;"")</f>
        <v/>
      </c>
      <c r="B285" s="97">
        <f>IF($A285="","",DM_DT!$B284)</f>
        <v/>
      </c>
      <c r="C285" s="125">
        <f>IF($A285="","",SUMIFS(SDDK!$D$256:$D$375,SDDK!$A$256:$A$375,"131",SDDK!$B$256:$B$375,$A285))</f>
        <v/>
      </c>
      <c r="D285" s="125">
        <f>IF($A285="","",SUMIFS(SDDK!$E$256:$E$375,SDDK!$A$256:$A$375,"131",SDDK!$B$256:$B$375,$A285))</f>
        <v/>
      </c>
      <c r="E285" s="125">
        <f>IF($A285="","",SUMIFS(NKC!$H$7:$H$3006,NKC!$F$7:$F$3006,"131*",NKC!$I$7:$I$3006,$A285,NKC!$B$7:$B$3006,"&lt;="&amp;DEN_NGAY))</f>
        <v/>
      </c>
      <c r="F285" s="125">
        <f>IF($A285="","",SUMIFS(NKC!$H$7:$H$3006,NKC!$G$7:$G$3006,"131*",NKC!$I$7:$I$3006,$A285,NKC!$B$7:$B$3006,"&lt;="&amp;DEN_NGAY))</f>
        <v/>
      </c>
      <c r="G285" s="125">
        <f>IF($A285="","",MAX($C285-$D285+$E285-$F285,0))</f>
        <v/>
      </c>
      <c r="H285" s="125">
        <f>IF($A285="","",MAX(-($C285-$D285+$E285-$F285),0))</f>
        <v/>
      </c>
    </row>
    <row r="286" ht="15" customHeight="1" s="78">
      <c r="A286" s="96">
        <f>IF(DM_DT!$A285="","",DM_DT!$A285&amp;"")</f>
        <v/>
      </c>
      <c r="B286" s="97">
        <f>IF($A286="","",DM_DT!$B285)</f>
        <v/>
      </c>
      <c r="C286" s="125">
        <f>IF($A286="","",SUMIFS(SDDK!$D$256:$D$375,SDDK!$A$256:$A$375,"131",SDDK!$B$256:$B$375,$A286))</f>
        <v/>
      </c>
      <c r="D286" s="125">
        <f>IF($A286="","",SUMIFS(SDDK!$E$256:$E$375,SDDK!$A$256:$A$375,"131",SDDK!$B$256:$B$375,$A286))</f>
        <v/>
      </c>
      <c r="E286" s="125">
        <f>IF($A286="","",SUMIFS(NKC!$H$7:$H$3006,NKC!$F$7:$F$3006,"131*",NKC!$I$7:$I$3006,$A286,NKC!$B$7:$B$3006,"&lt;="&amp;DEN_NGAY))</f>
        <v/>
      </c>
      <c r="F286" s="125">
        <f>IF($A286="","",SUMIFS(NKC!$H$7:$H$3006,NKC!$G$7:$G$3006,"131*",NKC!$I$7:$I$3006,$A286,NKC!$B$7:$B$3006,"&lt;="&amp;DEN_NGAY))</f>
        <v/>
      </c>
      <c r="G286" s="125">
        <f>IF($A286="","",MAX($C286-$D286+$E286-$F286,0))</f>
        <v/>
      </c>
      <c r="H286" s="125">
        <f>IF($A286="","",MAX(-($C286-$D286+$E286-$F286),0))</f>
        <v/>
      </c>
    </row>
    <row r="287" ht="15" customHeight="1" s="78">
      <c r="A287" s="96">
        <f>IF(DM_DT!$A286="","",DM_DT!$A286&amp;"")</f>
        <v/>
      </c>
      <c r="B287" s="97">
        <f>IF($A287="","",DM_DT!$B286)</f>
        <v/>
      </c>
      <c r="C287" s="125">
        <f>IF($A287="","",SUMIFS(SDDK!$D$256:$D$375,SDDK!$A$256:$A$375,"131",SDDK!$B$256:$B$375,$A287))</f>
        <v/>
      </c>
      <c r="D287" s="125">
        <f>IF($A287="","",SUMIFS(SDDK!$E$256:$E$375,SDDK!$A$256:$A$375,"131",SDDK!$B$256:$B$375,$A287))</f>
        <v/>
      </c>
      <c r="E287" s="125">
        <f>IF($A287="","",SUMIFS(NKC!$H$7:$H$3006,NKC!$F$7:$F$3006,"131*",NKC!$I$7:$I$3006,$A287,NKC!$B$7:$B$3006,"&lt;="&amp;DEN_NGAY))</f>
        <v/>
      </c>
      <c r="F287" s="125">
        <f>IF($A287="","",SUMIFS(NKC!$H$7:$H$3006,NKC!$G$7:$G$3006,"131*",NKC!$I$7:$I$3006,$A287,NKC!$B$7:$B$3006,"&lt;="&amp;DEN_NGAY))</f>
        <v/>
      </c>
      <c r="G287" s="125">
        <f>IF($A287="","",MAX($C287-$D287+$E287-$F287,0))</f>
        <v/>
      </c>
      <c r="H287" s="125">
        <f>IF($A287="","",MAX(-($C287-$D287+$E287-$F287),0))</f>
        <v/>
      </c>
    </row>
    <row r="288" ht="15" customHeight="1" s="78">
      <c r="A288" s="96">
        <f>IF(DM_DT!$A287="","",DM_DT!$A287&amp;"")</f>
        <v/>
      </c>
      <c r="B288" s="97">
        <f>IF($A288="","",DM_DT!$B287)</f>
        <v/>
      </c>
      <c r="C288" s="125">
        <f>IF($A288="","",SUMIFS(SDDK!$D$256:$D$375,SDDK!$A$256:$A$375,"131",SDDK!$B$256:$B$375,$A288))</f>
        <v/>
      </c>
      <c r="D288" s="125">
        <f>IF($A288="","",SUMIFS(SDDK!$E$256:$E$375,SDDK!$A$256:$A$375,"131",SDDK!$B$256:$B$375,$A288))</f>
        <v/>
      </c>
      <c r="E288" s="125">
        <f>IF($A288="","",SUMIFS(NKC!$H$7:$H$3006,NKC!$F$7:$F$3006,"131*",NKC!$I$7:$I$3006,$A288,NKC!$B$7:$B$3006,"&lt;="&amp;DEN_NGAY))</f>
        <v/>
      </c>
      <c r="F288" s="125">
        <f>IF($A288="","",SUMIFS(NKC!$H$7:$H$3006,NKC!$G$7:$G$3006,"131*",NKC!$I$7:$I$3006,$A288,NKC!$B$7:$B$3006,"&lt;="&amp;DEN_NGAY))</f>
        <v/>
      </c>
      <c r="G288" s="125">
        <f>IF($A288="","",MAX($C288-$D288+$E288-$F288,0))</f>
        <v/>
      </c>
      <c r="H288" s="125">
        <f>IF($A288="","",MAX(-($C288-$D288+$E288-$F288),0))</f>
        <v/>
      </c>
    </row>
    <row r="289" ht="15" customHeight="1" s="78">
      <c r="A289" s="96">
        <f>IF(DM_DT!$A288="","",DM_DT!$A288&amp;"")</f>
        <v/>
      </c>
      <c r="B289" s="97">
        <f>IF($A289="","",DM_DT!$B288)</f>
        <v/>
      </c>
      <c r="C289" s="125">
        <f>IF($A289="","",SUMIFS(SDDK!$D$256:$D$375,SDDK!$A$256:$A$375,"131",SDDK!$B$256:$B$375,$A289))</f>
        <v/>
      </c>
      <c r="D289" s="125">
        <f>IF($A289="","",SUMIFS(SDDK!$E$256:$E$375,SDDK!$A$256:$A$375,"131",SDDK!$B$256:$B$375,$A289))</f>
        <v/>
      </c>
      <c r="E289" s="125">
        <f>IF($A289="","",SUMIFS(NKC!$H$7:$H$3006,NKC!$F$7:$F$3006,"131*",NKC!$I$7:$I$3006,$A289,NKC!$B$7:$B$3006,"&lt;="&amp;DEN_NGAY))</f>
        <v/>
      </c>
      <c r="F289" s="125">
        <f>IF($A289="","",SUMIFS(NKC!$H$7:$H$3006,NKC!$G$7:$G$3006,"131*",NKC!$I$7:$I$3006,$A289,NKC!$B$7:$B$3006,"&lt;="&amp;DEN_NGAY))</f>
        <v/>
      </c>
      <c r="G289" s="125">
        <f>IF($A289="","",MAX($C289-$D289+$E289-$F289,0))</f>
        <v/>
      </c>
      <c r="H289" s="125">
        <f>IF($A289="","",MAX(-($C289-$D289+$E289-$F289),0))</f>
        <v/>
      </c>
    </row>
    <row r="290" ht="15" customHeight="1" s="78">
      <c r="A290" s="96">
        <f>IF(DM_DT!$A289="","",DM_DT!$A289&amp;"")</f>
        <v/>
      </c>
      <c r="B290" s="97">
        <f>IF($A290="","",DM_DT!$B289)</f>
        <v/>
      </c>
      <c r="C290" s="125">
        <f>IF($A290="","",SUMIFS(SDDK!$D$256:$D$375,SDDK!$A$256:$A$375,"131",SDDK!$B$256:$B$375,$A290))</f>
        <v/>
      </c>
      <c r="D290" s="125">
        <f>IF($A290="","",SUMIFS(SDDK!$E$256:$E$375,SDDK!$A$256:$A$375,"131",SDDK!$B$256:$B$375,$A290))</f>
        <v/>
      </c>
      <c r="E290" s="125">
        <f>IF($A290="","",SUMIFS(NKC!$H$7:$H$3006,NKC!$F$7:$F$3006,"131*",NKC!$I$7:$I$3006,$A290,NKC!$B$7:$B$3006,"&lt;="&amp;DEN_NGAY))</f>
        <v/>
      </c>
      <c r="F290" s="125">
        <f>IF($A290="","",SUMIFS(NKC!$H$7:$H$3006,NKC!$G$7:$G$3006,"131*",NKC!$I$7:$I$3006,$A290,NKC!$B$7:$B$3006,"&lt;="&amp;DEN_NGAY))</f>
        <v/>
      </c>
      <c r="G290" s="125">
        <f>IF($A290="","",MAX($C290-$D290+$E290-$F290,0))</f>
        <v/>
      </c>
      <c r="H290" s="125">
        <f>IF($A290="","",MAX(-($C290-$D290+$E290-$F290),0))</f>
        <v/>
      </c>
    </row>
    <row r="291" ht="15" customHeight="1" s="78">
      <c r="A291" s="96">
        <f>IF(DM_DT!$A290="","",DM_DT!$A290&amp;"")</f>
        <v/>
      </c>
      <c r="B291" s="97">
        <f>IF($A291="","",DM_DT!$B290)</f>
        <v/>
      </c>
      <c r="C291" s="125">
        <f>IF($A291="","",SUMIFS(SDDK!$D$256:$D$375,SDDK!$A$256:$A$375,"131",SDDK!$B$256:$B$375,$A291))</f>
        <v/>
      </c>
      <c r="D291" s="125">
        <f>IF($A291="","",SUMIFS(SDDK!$E$256:$E$375,SDDK!$A$256:$A$375,"131",SDDK!$B$256:$B$375,$A291))</f>
        <v/>
      </c>
      <c r="E291" s="125">
        <f>IF($A291="","",SUMIFS(NKC!$H$7:$H$3006,NKC!$F$7:$F$3006,"131*",NKC!$I$7:$I$3006,$A291,NKC!$B$7:$B$3006,"&lt;="&amp;DEN_NGAY))</f>
        <v/>
      </c>
      <c r="F291" s="125">
        <f>IF($A291="","",SUMIFS(NKC!$H$7:$H$3006,NKC!$G$7:$G$3006,"131*",NKC!$I$7:$I$3006,$A291,NKC!$B$7:$B$3006,"&lt;="&amp;DEN_NGAY))</f>
        <v/>
      </c>
      <c r="G291" s="125">
        <f>IF($A291="","",MAX($C291-$D291+$E291-$F291,0))</f>
        <v/>
      </c>
      <c r="H291" s="125">
        <f>IF($A291="","",MAX(-($C291-$D291+$E291-$F291),0))</f>
        <v/>
      </c>
    </row>
    <row r="292" ht="15" customHeight="1" s="78">
      <c r="A292" s="96">
        <f>IF(DM_DT!$A291="","",DM_DT!$A291&amp;"")</f>
        <v/>
      </c>
      <c r="B292" s="97">
        <f>IF($A292="","",DM_DT!$B291)</f>
        <v/>
      </c>
      <c r="C292" s="125">
        <f>IF($A292="","",SUMIFS(SDDK!$D$256:$D$375,SDDK!$A$256:$A$375,"131",SDDK!$B$256:$B$375,$A292))</f>
        <v/>
      </c>
      <c r="D292" s="125">
        <f>IF($A292="","",SUMIFS(SDDK!$E$256:$E$375,SDDK!$A$256:$A$375,"131",SDDK!$B$256:$B$375,$A292))</f>
        <v/>
      </c>
      <c r="E292" s="125">
        <f>IF($A292="","",SUMIFS(NKC!$H$7:$H$3006,NKC!$F$7:$F$3006,"131*",NKC!$I$7:$I$3006,$A292,NKC!$B$7:$B$3006,"&lt;="&amp;DEN_NGAY))</f>
        <v/>
      </c>
      <c r="F292" s="125">
        <f>IF($A292="","",SUMIFS(NKC!$H$7:$H$3006,NKC!$G$7:$G$3006,"131*",NKC!$I$7:$I$3006,$A292,NKC!$B$7:$B$3006,"&lt;="&amp;DEN_NGAY))</f>
        <v/>
      </c>
      <c r="G292" s="125">
        <f>IF($A292="","",MAX($C292-$D292+$E292-$F292,0))</f>
        <v/>
      </c>
      <c r="H292" s="125">
        <f>IF($A292="","",MAX(-($C292-$D292+$E292-$F292),0))</f>
        <v/>
      </c>
    </row>
    <row r="293" ht="15" customHeight="1" s="78">
      <c r="A293" s="96">
        <f>IF(DM_DT!$A292="","",DM_DT!$A292&amp;"")</f>
        <v/>
      </c>
      <c r="B293" s="97">
        <f>IF($A293="","",DM_DT!$B292)</f>
        <v/>
      </c>
      <c r="C293" s="125">
        <f>IF($A293="","",SUMIFS(SDDK!$D$256:$D$375,SDDK!$A$256:$A$375,"131",SDDK!$B$256:$B$375,$A293))</f>
        <v/>
      </c>
      <c r="D293" s="125">
        <f>IF($A293="","",SUMIFS(SDDK!$E$256:$E$375,SDDK!$A$256:$A$375,"131",SDDK!$B$256:$B$375,$A293))</f>
        <v/>
      </c>
      <c r="E293" s="125">
        <f>IF($A293="","",SUMIFS(NKC!$H$7:$H$3006,NKC!$F$7:$F$3006,"131*",NKC!$I$7:$I$3006,$A293,NKC!$B$7:$B$3006,"&lt;="&amp;DEN_NGAY))</f>
        <v/>
      </c>
      <c r="F293" s="125">
        <f>IF($A293="","",SUMIFS(NKC!$H$7:$H$3006,NKC!$G$7:$G$3006,"131*",NKC!$I$7:$I$3006,$A293,NKC!$B$7:$B$3006,"&lt;="&amp;DEN_NGAY))</f>
        <v/>
      </c>
      <c r="G293" s="125">
        <f>IF($A293="","",MAX($C293-$D293+$E293-$F293,0))</f>
        <v/>
      </c>
      <c r="H293" s="125">
        <f>IF($A293="","",MAX(-($C293-$D293+$E293-$F293),0))</f>
        <v/>
      </c>
    </row>
    <row r="294" ht="15" customHeight="1" s="78">
      <c r="A294" s="96">
        <f>IF(DM_DT!$A293="","",DM_DT!$A293&amp;"")</f>
        <v/>
      </c>
      <c r="B294" s="97">
        <f>IF($A294="","",DM_DT!$B293)</f>
        <v/>
      </c>
      <c r="C294" s="125">
        <f>IF($A294="","",SUMIFS(SDDK!$D$256:$D$375,SDDK!$A$256:$A$375,"131",SDDK!$B$256:$B$375,$A294))</f>
        <v/>
      </c>
      <c r="D294" s="125">
        <f>IF($A294="","",SUMIFS(SDDK!$E$256:$E$375,SDDK!$A$256:$A$375,"131",SDDK!$B$256:$B$375,$A294))</f>
        <v/>
      </c>
      <c r="E294" s="125">
        <f>IF($A294="","",SUMIFS(NKC!$H$7:$H$3006,NKC!$F$7:$F$3006,"131*",NKC!$I$7:$I$3006,$A294,NKC!$B$7:$B$3006,"&lt;="&amp;DEN_NGAY))</f>
        <v/>
      </c>
      <c r="F294" s="125">
        <f>IF($A294="","",SUMIFS(NKC!$H$7:$H$3006,NKC!$G$7:$G$3006,"131*",NKC!$I$7:$I$3006,$A294,NKC!$B$7:$B$3006,"&lt;="&amp;DEN_NGAY))</f>
        <v/>
      </c>
      <c r="G294" s="125">
        <f>IF($A294="","",MAX($C294-$D294+$E294-$F294,0))</f>
        <v/>
      </c>
      <c r="H294" s="125">
        <f>IF($A294="","",MAX(-($C294-$D294+$E294-$F294),0))</f>
        <v/>
      </c>
    </row>
    <row r="295" ht="15" customHeight="1" s="78">
      <c r="A295" s="96">
        <f>IF(DM_DT!$A294="","",DM_DT!$A294&amp;"")</f>
        <v/>
      </c>
      <c r="B295" s="97">
        <f>IF($A295="","",DM_DT!$B294)</f>
        <v/>
      </c>
      <c r="C295" s="125">
        <f>IF($A295="","",SUMIFS(SDDK!$D$256:$D$375,SDDK!$A$256:$A$375,"131",SDDK!$B$256:$B$375,$A295))</f>
        <v/>
      </c>
      <c r="D295" s="125">
        <f>IF($A295="","",SUMIFS(SDDK!$E$256:$E$375,SDDK!$A$256:$A$375,"131",SDDK!$B$256:$B$375,$A295))</f>
        <v/>
      </c>
      <c r="E295" s="125">
        <f>IF($A295="","",SUMIFS(NKC!$H$7:$H$3006,NKC!$F$7:$F$3006,"131*",NKC!$I$7:$I$3006,$A295,NKC!$B$7:$B$3006,"&lt;="&amp;DEN_NGAY))</f>
        <v/>
      </c>
      <c r="F295" s="125">
        <f>IF($A295="","",SUMIFS(NKC!$H$7:$H$3006,NKC!$G$7:$G$3006,"131*",NKC!$I$7:$I$3006,$A295,NKC!$B$7:$B$3006,"&lt;="&amp;DEN_NGAY))</f>
        <v/>
      </c>
      <c r="G295" s="125">
        <f>IF($A295="","",MAX($C295-$D295+$E295-$F295,0))</f>
        <v/>
      </c>
      <c r="H295" s="125">
        <f>IF($A295="","",MAX(-($C295-$D295+$E295-$F295),0))</f>
        <v/>
      </c>
    </row>
    <row r="296" ht="15" customHeight="1" s="78">
      <c r="A296" s="96">
        <f>IF(DM_DT!$A295="","",DM_DT!$A295&amp;"")</f>
        <v/>
      </c>
      <c r="B296" s="97">
        <f>IF($A296="","",DM_DT!$B295)</f>
        <v/>
      </c>
      <c r="C296" s="125">
        <f>IF($A296="","",SUMIFS(SDDK!$D$256:$D$375,SDDK!$A$256:$A$375,"131",SDDK!$B$256:$B$375,$A296))</f>
        <v/>
      </c>
      <c r="D296" s="125">
        <f>IF($A296="","",SUMIFS(SDDK!$E$256:$E$375,SDDK!$A$256:$A$375,"131",SDDK!$B$256:$B$375,$A296))</f>
        <v/>
      </c>
      <c r="E296" s="125">
        <f>IF($A296="","",SUMIFS(NKC!$H$7:$H$3006,NKC!$F$7:$F$3006,"131*",NKC!$I$7:$I$3006,$A296,NKC!$B$7:$B$3006,"&lt;="&amp;DEN_NGAY))</f>
        <v/>
      </c>
      <c r="F296" s="125">
        <f>IF($A296="","",SUMIFS(NKC!$H$7:$H$3006,NKC!$G$7:$G$3006,"131*",NKC!$I$7:$I$3006,$A296,NKC!$B$7:$B$3006,"&lt;="&amp;DEN_NGAY))</f>
        <v/>
      </c>
      <c r="G296" s="125">
        <f>IF($A296="","",MAX($C296-$D296+$E296-$F296,0))</f>
        <v/>
      </c>
      <c r="H296" s="125">
        <f>IF($A296="","",MAX(-($C296-$D296+$E296-$F296),0))</f>
        <v/>
      </c>
    </row>
    <row r="297" ht="15" customHeight="1" s="78">
      <c r="A297" s="96">
        <f>IF(DM_DT!$A296="","",DM_DT!$A296&amp;"")</f>
        <v/>
      </c>
      <c r="B297" s="97">
        <f>IF($A297="","",DM_DT!$B296)</f>
        <v/>
      </c>
      <c r="C297" s="125">
        <f>IF($A297="","",SUMIFS(SDDK!$D$256:$D$375,SDDK!$A$256:$A$375,"131",SDDK!$B$256:$B$375,$A297))</f>
        <v/>
      </c>
      <c r="D297" s="125">
        <f>IF($A297="","",SUMIFS(SDDK!$E$256:$E$375,SDDK!$A$256:$A$375,"131",SDDK!$B$256:$B$375,$A297))</f>
        <v/>
      </c>
      <c r="E297" s="125">
        <f>IF($A297="","",SUMIFS(NKC!$H$7:$H$3006,NKC!$F$7:$F$3006,"131*",NKC!$I$7:$I$3006,$A297,NKC!$B$7:$B$3006,"&lt;="&amp;DEN_NGAY))</f>
        <v/>
      </c>
      <c r="F297" s="125">
        <f>IF($A297="","",SUMIFS(NKC!$H$7:$H$3006,NKC!$G$7:$G$3006,"131*",NKC!$I$7:$I$3006,$A297,NKC!$B$7:$B$3006,"&lt;="&amp;DEN_NGAY))</f>
        <v/>
      </c>
      <c r="G297" s="125">
        <f>IF($A297="","",MAX($C297-$D297+$E297-$F297,0))</f>
        <v/>
      </c>
      <c r="H297" s="125">
        <f>IF($A297="","",MAX(-($C297-$D297+$E297-$F297),0))</f>
        <v/>
      </c>
    </row>
    <row r="298" ht="15" customHeight="1" s="78">
      <c r="A298" s="96">
        <f>IF(DM_DT!$A297="","",DM_DT!$A297&amp;"")</f>
        <v/>
      </c>
      <c r="B298" s="97">
        <f>IF($A298="","",DM_DT!$B297)</f>
        <v/>
      </c>
      <c r="C298" s="125">
        <f>IF($A298="","",SUMIFS(SDDK!$D$256:$D$375,SDDK!$A$256:$A$375,"131",SDDK!$B$256:$B$375,$A298))</f>
        <v/>
      </c>
      <c r="D298" s="125">
        <f>IF($A298="","",SUMIFS(SDDK!$E$256:$E$375,SDDK!$A$256:$A$375,"131",SDDK!$B$256:$B$375,$A298))</f>
        <v/>
      </c>
      <c r="E298" s="125">
        <f>IF($A298="","",SUMIFS(NKC!$H$7:$H$3006,NKC!$F$7:$F$3006,"131*",NKC!$I$7:$I$3006,$A298,NKC!$B$7:$B$3006,"&lt;="&amp;DEN_NGAY))</f>
        <v/>
      </c>
      <c r="F298" s="125">
        <f>IF($A298="","",SUMIFS(NKC!$H$7:$H$3006,NKC!$G$7:$G$3006,"131*",NKC!$I$7:$I$3006,$A298,NKC!$B$7:$B$3006,"&lt;="&amp;DEN_NGAY))</f>
        <v/>
      </c>
      <c r="G298" s="125">
        <f>IF($A298="","",MAX($C298-$D298+$E298-$F298,0))</f>
        <v/>
      </c>
      <c r="H298" s="125">
        <f>IF($A298="","",MAX(-($C298-$D298+$E298-$F298),0))</f>
        <v/>
      </c>
    </row>
    <row r="299" ht="15" customHeight="1" s="78">
      <c r="A299" s="96">
        <f>IF(DM_DT!$A298="","",DM_DT!$A298&amp;"")</f>
        <v/>
      </c>
      <c r="B299" s="97">
        <f>IF($A299="","",DM_DT!$B298)</f>
        <v/>
      </c>
      <c r="C299" s="125">
        <f>IF($A299="","",SUMIFS(SDDK!$D$256:$D$375,SDDK!$A$256:$A$375,"131",SDDK!$B$256:$B$375,$A299))</f>
        <v/>
      </c>
      <c r="D299" s="125">
        <f>IF($A299="","",SUMIFS(SDDK!$E$256:$E$375,SDDK!$A$256:$A$375,"131",SDDK!$B$256:$B$375,$A299))</f>
        <v/>
      </c>
      <c r="E299" s="125">
        <f>IF($A299="","",SUMIFS(NKC!$H$7:$H$3006,NKC!$F$7:$F$3006,"131*",NKC!$I$7:$I$3006,$A299,NKC!$B$7:$B$3006,"&lt;="&amp;DEN_NGAY))</f>
        <v/>
      </c>
      <c r="F299" s="125">
        <f>IF($A299="","",SUMIFS(NKC!$H$7:$H$3006,NKC!$G$7:$G$3006,"131*",NKC!$I$7:$I$3006,$A299,NKC!$B$7:$B$3006,"&lt;="&amp;DEN_NGAY))</f>
        <v/>
      </c>
      <c r="G299" s="125">
        <f>IF($A299="","",MAX($C299-$D299+$E299-$F299,0))</f>
        <v/>
      </c>
      <c r="H299" s="125">
        <f>IF($A299="","",MAX(-($C299-$D299+$E299-$F299),0))</f>
        <v/>
      </c>
    </row>
    <row r="300" ht="15" customHeight="1" s="78">
      <c r="A300" s="96">
        <f>IF(DM_DT!$A299="","",DM_DT!$A299&amp;"")</f>
        <v/>
      </c>
      <c r="B300" s="97">
        <f>IF($A300="","",DM_DT!$B299)</f>
        <v/>
      </c>
      <c r="C300" s="125">
        <f>IF($A300="","",SUMIFS(SDDK!$D$256:$D$375,SDDK!$A$256:$A$375,"131",SDDK!$B$256:$B$375,$A300))</f>
        <v/>
      </c>
      <c r="D300" s="125">
        <f>IF($A300="","",SUMIFS(SDDK!$E$256:$E$375,SDDK!$A$256:$A$375,"131",SDDK!$B$256:$B$375,$A300))</f>
        <v/>
      </c>
      <c r="E300" s="125">
        <f>IF($A300="","",SUMIFS(NKC!$H$7:$H$3006,NKC!$F$7:$F$3006,"131*",NKC!$I$7:$I$3006,$A300,NKC!$B$7:$B$3006,"&lt;="&amp;DEN_NGAY))</f>
        <v/>
      </c>
      <c r="F300" s="125">
        <f>IF($A300="","",SUMIFS(NKC!$H$7:$H$3006,NKC!$G$7:$G$3006,"131*",NKC!$I$7:$I$3006,$A300,NKC!$B$7:$B$3006,"&lt;="&amp;DEN_NGAY))</f>
        <v/>
      </c>
      <c r="G300" s="125">
        <f>IF($A300="","",MAX($C300-$D300+$E300-$F300,0))</f>
        <v/>
      </c>
      <c r="H300" s="125">
        <f>IF($A300="","",MAX(-($C300-$D300+$E300-$F300),0))</f>
        <v/>
      </c>
    </row>
    <row r="301" ht="15" customHeight="1" s="78">
      <c r="A301" s="96">
        <f>IF(DM_DT!$A300="","",DM_DT!$A300&amp;"")</f>
        <v/>
      </c>
      <c r="B301" s="97">
        <f>IF($A301="","",DM_DT!$B300)</f>
        <v/>
      </c>
      <c r="C301" s="125">
        <f>IF($A301="","",SUMIFS(SDDK!$D$256:$D$375,SDDK!$A$256:$A$375,"131",SDDK!$B$256:$B$375,$A301))</f>
        <v/>
      </c>
      <c r="D301" s="125">
        <f>IF($A301="","",SUMIFS(SDDK!$E$256:$E$375,SDDK!$A$256:$A$375,"131",SDDK!$B$256:$B$375,$A301))</f>
        <v/>
      </c>
      <c r="E301" s="125">
        <f>IF($A301="","",SUMIFS(NKC!$H$7:$H$3006,NKC!$F$7:$F$3006,"131*",NKC!$I$7:$I$3006,$A301,NKC!$B$7:$B$3006,"&lt;="&amp;DEN_NGAY))</f>
        <v/>
      </c>
      <c r="F301" s="125">
        <f>IF($A301="","",SUMIFS(NKC!$H$7:$H$3006,NKC!$G$7:$G$3006,"131*",NKC!$I$7:$I$3006,$A301,NKC!$B$7:$B$3006,"&lt;="&amp;DEN_NGAY))</f>
        <v/>
      </c>
      <c r="G301" s="125">
        <f>IF($A301="","",MAX($C301-$D301+$E301-$F301,0))</f>
        <v/>
      </c>
      <c r="H301" s="125">
        <f>IF($A301="","",MAX(-($C301-$D301+$E301-$F301),0))</f>
        <v/>
      </c>
    </row>
    <row r="302" ht="15" customHeight="1" s="78">
      <c r="A302" s="96">
        <f>IF(DM_DT!$A301="","",DM_DT!$A301&amp;"")</f>
        <v/>
      </c>
      <c r="B302" s="97">
        <f>IF($A302="","",DM_DT!$B301)</f>
        <v/>
      </c>
      <c r="C302" s="125">
        <f>IF($A302="","",SUMIFS(SDDK!$D$256:$D$375,SDDK!$A$256:$A$375,"131",SDDK!$B$256:$B$375,$A302))</f>
        <v/>
      </c>
      <c r="D302" s="125">
        <f>IF($A302="","",SUMIFS(SDDK!$E$256:$E$375,SDDK!$A$256:$A$375,"131",SDDK!$B$256:$B$375,$A302))</f>
        <v/>
      </c>
      <c r="E302" s="125">
        <f>IF($A302="","",SUMIFS(NKC!$H$7:$H$3006,NKC!$F$7:$F$3006,"131*",NKC!$I$7:$I$3006,$A302,NKC!$B$7:$B$3006,"&lt;="&amp;DEN_NGAY))</f>
        <v/>
      </c>
      <c r="F302" s="125">
        <f>IF($A302="","",SUMIFS(NKC!$H$7:$H$3006,NKC!$G$7:$G$3006,"131*",NKC!$I$7:$I$3006,$A302,NKC!$B$7:$B$3006,"&lt;="&amp;DEN_NGAY))</f>
        <v/>
      </c>
      <c r="G302" s="125">
        <f>IF($A302="","",MAX($C302-$D302+$E302-$F302,0))</f>
        <v/>
      </c>
      <c r="H302" s="125">
        <f>IF($A302="","",MAX(-($C302-$D302+$E302-$F302),0))</f>
        <v/>
      </c>
    </row>
    <row r="303" ht="15" customHeight="1" s="78">
      <c r="A303" s="96">
        <f>IF(DM_DT!$A302="","",DM_DT!$A302&amp;"")</f>
        <v/>
      </c>
      <c r="B303" s="97">
        <f>IF($A303="","",DM_DT!$B302)</f>
        <v/>
      </c>
      <c r="C303" s="125">
        <f>IF($A303="","",SUMIFS(SDDK!$D$256:$D$375,SDDK!$A$256:$A$375,"131",SDDK!$B$256:$B$375,$A303))</f>
        <v/>
      </c>
      <c r="D303" s="125">
        <f>IF($A303="","",SUMIFS(SDDK!$E$256:$E$375,SDDK!$A$256:$A$375,"131",SDDK!$B$256:$B$375,$A303))</f>
        <v/>
      </c>
      <c r="E303" s="125">
        <f>IF($A303="","",SUMIFS(NKC!$H$7:$H$3006,NKC!$F$7:$F$3006,"131*",NKC!$I$7:$I$3006,$A303,NKC!$B$7:$B$3006,"&lt;="&amp;DEN_NGAY))</f>
        <v/>
      </c>
      <c r="F303" s="125">
        <f>IF($A303="","",SUMIFS(NKC!$H$7:$H$3006,NKC!$G$7:$G$3006,"131*",NKC!$I$7:$I$3006,$A303,NKC!$B$7:$B$3006,"&lt;="&amp;DEN_NGAY))</f>
        <v/>
      </c>
      <c r="G303" s="125">
        <f>IF($A303="","",MAX($C303-$D303+$E303-$F303,0))</f>
        <v/>
      </c>
      <c r="H303" s="125">
        <f>IF($A303="","",MAX(-($C303-$D303+$E303-$F303),0))</f>
        <v/>
      </c>
    </row>
    <row r="304" ht="15" customHeight="1" s="78">
      <c r="A304" s="96">
        <f>IF(DM_DT!$A303="","",DM_DT!$A303&amp;"")</f>
        <v/>
      </c>
      <c r="B304" s="97">
        <f>IF($A304="","",DM_DT!$B303)</f>
        <v/>
      </c>
      <c r="C304" s="125">
        <f>IF($A304="","",SUMIFS(SDDK!$D$256:$D$375,SDDK!$A$256:$A$375,"131",SDDK!$B$256:$B$375,$A304))</f>
        <v/>
      </c>
      <c r="D304" s="125">
        <f>IF($A304="","",SUMIFS(SDDK!$E$256:$E$375,SDDK!$A$256:$A$375,"131",SDDK!$B$256:$B$375,$A304))</f>
        <v/>
      </c>
      <c r="E304" s="125">
        <f>IF($A304="","",SUMIFS(NKC!$H$7:$H$3006,NKC!$F$7:$F$3006,"131*",NKC!$I$7:$I$3006,$A304,NKC!$B$7:$B$3006,"&lt;="&amp;DEN_NGAY))</f>
        <v/>
      </c>
      <c r="F304" s="125">
        <f>IF($A304="","",SUMIFS(NKC!$H$7:$H$3006,NKC!$G$7:$G$3006,"131*",NKC!$I$7:$I$3006,$A304,NKC!$B$7:$B$3006,"&lt;="&amp;DEN_NGAY))</f>
        <v/>
      </c>
      <c r="G304" s="125">
        <f>IF($A304="","",MAX($C304-$D304+$E304-$F304,0))</f>
        <v/>
      </c>
      <c r="H304" s="125">
        <f>IF($A304="","",MAX(-($C304-$D304+$E304-$F304),0))</f>
        <v/>
      </c>
    </row>
    <row r="305" ht="15" customHeight="1" s="78">
      <c r="A305" s="96">
        <f>IF(DM_DT!$A304="","",DM_DT!$A304&amp;"")</f>
        <v/>
      </c>
      <c r="B305" s="97">
        <f>IF($A305="","",DM_DT!$B304)</f>
        <v/>
      </c>
      <c r="C305" s="125">
        <f>IF($A305="","",SUMIFS(SDDK!$D$256:$D$375,SDDK!$A$256:$A$375,"131",SDDK!$B$256:$B$375,$A305))</f>
        <v/>
      </c>
      <c r="D305" s="125">
        <f>IF($A305="","",SUMIFS(SDDK!$E$256:$E$375,SDDK!$A$256:$A$375,"131",SDDK!$B$256:$B$375,$A305))</f>
        <v/>
      </c>
      <c r="E305" s="125">
        <f>IF($A305="","",SUMIFS(NKC!$H$7:$H$3006,NKC!$F$7:$F$3006,"131*",NKC!$I$7:$I$3006,$A305,NKC!$B$7:$B$3006,"&lt;="&amp;DEN_NGAY))</f>
        <v/>
      </c>
      <c r="F305" s="125">
        <f>IF($A305="","",SUMIFS(NKC!$H$7:$H$3006,NKC!$G$7:$G$3006,"131*",NKC!$I$7:$I$3006,$A305,NKC!$B$7:$B$3006,"&lt;="&amp;DEN_NGAY))</f>
        <v/>
      </c>
      <c r="G305" s="125">
        <f>IF($A305="","",MAX($C305-$D305+$E305-$F305,0))</f>
        <v/>
      </c>
      <c r="H305" s="125">
        <f>IF($A305="","",MAX(-($C305-$D305+$E305-$F305),0))</f>
        <v/>
      </c>
    </row>
    <row r="306" ht="15" customHeight="1" s="78">
      <c r="A306" s="96">
        <f>IF(DM_DT!$A305="","",DM_DT!$A305&amp;"")</f>
        <v/>
      </c>
      <c r="B306" s="97">
        <f>IF($A306="","",DM_DT!$B305)</f>
        <v/>
      </c>
      <c r="C306" s="125">
        <f>IF($A306="","",SUMIFS(SDDK!$D$256:$D$375,SDDK!$A$256:$A$375,"131",SDDK!$B$256:$B$375,$A306))</f>
        <v/>
      </c>
      <c r="D306" s="125">
        <f>IF($A306="","",SUMIFS(SDDK!$E$256:$E$375,SDDK!$A$256:$A$375,"131",SDDK!$B$256:$B$375,$A306))</f>
        <v/>
      </c>
      <c r="E306" s="125">
        <f>IF($A306="","",SUMIFS(NKC!$H$7:$H$3006,NKC!$F$7:$F$3006,"131*",NKC!$I$7:$I$3006,$A306,NKC!$B$7:$B$3006,"&lt;="&amp;DEN_NGAY))</f>
        <v/>
      </c>
      <c r="F306" s="125">
        <f>IF($A306="","",SUMIFS(NKC!$H$7:$H$3006,NKC!$G$7:$G$3006,"131*",NKC!$I$7:$I$3006,$A306,NKC!$B$7:$B$3006,"&lt;="&amp;DEN_NGAY))</f>
        <v/>
      </c>
      <c r="G306" s="125">
        <f>IF($A306="","",MAX($C306-$D306+$E306-$F306,0))</f>
        <v/>
      </c>
      <c r="H306" s="125">
        <f>IF($A306="","",MAX(-($C306-$D306+$E306-$F306),0))</f>
        <v/>
      </c>
    </row>
    <row r="307" ht="15" customHeight="1" s="78">
      <c r="A307" s="96">
        <f>IF(DM_DT!$A306="","",DM_DT!$A306&amp;"")</f>
        <v/>
      </c>
      <c r="B307" s="97">
        <f>IF($A307="","",DM_DT!$B306)</f>
        <v/>
      </c>
      <c r="C307" s="125">
        <f>IF($A307="","",SUMIFS(SDDK!$D$256:$D$375,SDDK!$A$256:$A$375,"131",SDDK!$B$256:$B$375,$A307))</f>
        <v/>
      </c>
      <c r="D307" s="125">
        <f>IF($A307="","",SUMIFS(SDDK!$E$256:$E$375,SDDK!$A$256:$A$375,"131",SDDK!$B$256:$B$375,$A307))</f>
        <v/>
      </c>
      <c r="E307" s="125">
        <f>IF($A307="","",SUMIFS(NKC!$H$7:$H$3006,NKC!$F$7:$F$3006,"131*",NKC!$I$7:$I$3006,$A307,NKC!$B$7:$B$3006,"&lt;="&amp;DEN_NGAY))</f>
        <v/>
      </c>
      <c r="F307" s="125">
        <f>IF($A307="","",SUMIFS(NKC!$H$7:$H$3006,NKC!$G$7:$G$3006,"131*",NKC!$I$7:$I$3006,$A307,NKC!$B$7:$B$3006,"&lt;="&amp;DEN_NGAY))</f>
        <v/>
      </c>
      <c r="G307" s="125">
        <f>IF($A307="","",MAX($C307-$D307+$E307-$F307,0))</f>
        <v/>
      </c>
      <c r="H307" s="125">
        <f>IF($A307="","",MAX(-($C307-$D307+$E307-$F307),0))</f>
        <v/>
      </c>
    </row>
    <row r="308" ht="15" customHeight="1" s="78">
      <c r="A308" s="126" t="inlineStr">
        <is>
          <t>TỔNG</t>
        </is>
      </c>
      <c r="B308" s="127" t="inlineStr">
        <is>
          <t>Cộng TK 131</t>
        </is>
      </c>
      <c r="C308" s="105">
        <f>SUM(C8:C307)</f>
        <v/>
      </c>
      <c r="D308" s="105">
        <f>SUM(D8:D307)</f>
        <v/>
      </c>
      <c r="E308" s="105">
        <f>SUM(E8:E307)</f>
        <v/>
      </c>
      <c r="F308" s="105">
        <f>SUM(F8:F307)</f>
        <v/>
      </c>
      <c r="G308" s="105">
        <f>SUM(G8:G307)</f>
        <v/>
      </c>
      <c r="H308" s="105">
        <f>SUM(H8:H307)</f>
        <v/>
      </c>
    </row>
    <row r="310" ht="15" customHeight="1" s="78">
      <c r="A310" s="111" t="inlineStr">
        <is>
          <t>II. TK 331 — PHẢI TRẢ CHO NGƯỜI BÁN (dư Nợ = trả trước cho người bán)</t>
        </is>
      </c>
    </row>
    <row r="312" ht="27.75" customHeight="1" s="78">
      <c r="A312" s="92" t="inlineStr">
        <is>
          <t>Mã ĐT</t>
        </is>
      </c>
      <c r="B312" s="92" t="inlineStr">
        <is>
          <t>Tên đối tượng</t>
        </is>
      </c>
      <c r="C312" s="92" t="inlineStr">
        <is>
          <t>Dư Nợ đầu năm</t>
        </is>
      </c>
      <c r="D312" s="92" t="inlineStr">
        <is>
          <t>Dư Có đầu năm</t>
        </is>
      </c>
      <c r="E312" s="92" t="inlineStr">
        <is>
          <t>PS Nợ lũy kế</t>
        </is>
      </c>
      <c r="F312" s="92" t="inlineStr">
        <is>
          <t>PS Có lũy kế</t>
        </is>
      </c>
      <c r="G312" s="92" t="inlineStr">
        <is>
          <t>Dư Nợ cuối kỳ</t>
        </is>
      </c>
      <c r="H312" s="92" t="inlineStr">
        <is>
          <t>Dư Có cuối kỳ</t>
        </is>
      </c>
    </row>
    <row r="313" ht="15" customHeight="1" s="78">
      <c r="A313" s="96">
        <f>IF(DM_DT!$A7="","",DM_DT!$A7&amp;"")</f>
        <v/>
      </c>
      <c r="B313" s="97">
        <f>IF($A313="","",DM_DT!$B7)</f>
        <v/>
      </c>
      <c r="C313" s="125">
        <f>IF($A313="","",SUMIFS(SDDK!$D$256:$D$375,SDDK!$A$256:$A$375,"331",SDDK!$B$256:$B$375,$A313))</f>
        <v/>
      </c>
      <c r="D313" s="125">
        <f>IF($A313="","",SUMIFS(SDDK!$E$256:$E$375,SDDK!$A$256:$A$375,"331",SDDK!$B$256:$B$375,$A313))</f>
        <v/>
      </c>
      <c r="E313" s="125">
        <f>IF($A313="","",SUMIFS(NKC!$H$7:$H$3006,NKC!$F$7:$F$3006,"331*",NKC!$I$7:$I$3006,$A313,NKC!$B$7:$B$3006,"&lt;="&amp;DEN_NGAY))</f>
        <v/>
      </c>
      <c r="F313" s="125">
        <f>IF($A313="","",SUMIFS(NKC!$H$7:$H$3006,NKC!$G$7:$G$3006,"331*",NKC!$I$7:$I$3006,$A313,NKC!$B$7:$B$3006,"&lt;="&amp;DEN_NGAY))</f>
        <v/>
      </c>
      <c r="G313" s="125">
        <f>IF($A313="","",MAX($C313-$D313+$E313-$F313,0))</f>
        <v/>
      </c>
      <c r="H313" s="125">
        <f>IF($A313="","",MAX(-($C313-$D313+$E313-$F313),0))</f>
        <v/>
      </c>
    </row>
    <row r="314" ht="15" customHeight="1" s="78">
      <c r="A314" s="96">
        <f>IF(DM_DT!$A8="","",DM_DT!$A8&amp;"")</f>
        <v/>
      </c>
      <c r="B314" s="97">
        <f>IF($A314="","",DM_DT!$B8)</f>
        <v/>
      </c>
      <c r="C314" s="125">
        <f>IF($A314="","",SUMIFS(SDDK!$D$256:$D$375,SDDK!$A$256:$A$375,"331",SDDK!$B$256:$B$375,$A314))</f>
        <v/>
      </c>
      <c r="D314" s="125">
        <f>IF($A314="","",SUMIFS(SDDK!$E$256:$E$375,SDDK!$A$256:$A$375,"331",SDDK!$B$256:$B$375,$A314))</f>
        <v/>
      </c>
      <c r="E314" s="125">
        <f>IF($A314="","",SUMIFS(NKC!$H$7:$H$3006,NKC!$F$7:$F$3006,"331*",NKC!$I$7:$I$3006,$A314,NKC!$B$7:$B$3006,"&lt;="&amp;DEN_NGAY))</f>
        <v/>
      </c>
      <c r="F314" s="125">
        <f>IF($A314="","",SUMIFS(NKC!$H$7:$H$3006,NKC!$G$7:$G$3006,"331*",NKC!$I$7:$I$3006,$A314,NKC!$B$7:$B$3006,"&lt;="&amp;DEN_NGAY))</f>
        <v/>
      </c>
      <c r="G314" s="125">
        <f>IF($A314="","",MAX($C314-$D314+$E314-$F314,0))</f>
        <v/>
      </c>
      <c r="H314" s="125">
        <f>IF($A314="","",MAX(-($C314-$D314+$E314-$F314),0))</f>
        <v/>
      </c>
    </row>
    <row r="315" ht="15" customHeight="1" s="78">
      <c r="A315" s="96">
        <f>IF(DM_DT!$A9="","",DM_DT!$A9&amp;"")</f>
        <v/>
      </c>
      <c r="B315" s="97">
        <f>IF($A315="","",DM_DT!$B9)</f>
        <v/>
      </c>
      <c r="C315" s="125">
        <f>IF($A315="","",SUMIFS(SDDK!$D$256:$D$375,SDDK!$A$256:$A$375,"331",SDDK!$B$256:$B$375,$A315))</f>
        <v/>
      </c>
      <c r="D315" s="125">
        <f>IF($A315="","",SUMIFS(SDDK!$E$256:$E$375,SDDK!$A$256:$A$375,"331",SDDK!$B$256:$B$375,$A315))</f>
        <v/>
      </c>
      <c r="E315" s="125">
        <f>IF($A315="","",SUMIFS(NKC!$H$7:$H$3006,NKC!$F$7:$F$3006,"331*",NKC!$I$7:$I$3006,$A315,NKC!$B$7:$B$3006,"&lt;="&amp;DEN_NGAY))</f>
        <v/>
      </c>
      <c r="F315" s="125">
        <f>IF($A315="","",SUMIFS(NKC!$H$7:$H$3006,NKC!$G$7:$G$3006,"331*",NKC!$I$7:$I$3006,$A315,NKC!$B$7:$B$3006,"&lt;="&amp;DEN_NGAY))</f>
        <v/>
      </c>
      <c r="G315" s="125">
        <f>IF($A315="","",MAX($C315-$D315+$E315-$F315,0))</f>
        <v/>
      </c>
      <c r="H315" s="125">
        <f>IF($A315="","",MAX(-($C315-$D315+$E315-$F315),0))</f>
        <v/>
      </c>
    </row>
    <row r="316" ht="15" customHeight="1" s="78">
      <c r="A316" s="96">
        <f>IF(DM_DT!$A10="","",DM_DT!$A10&amp;"")</f>
        <v/>
      </c>
      <c r="B316" s="97">
        <f>IF($A316="","",DM_DT!$B10)</f>
        <v/>
      </c>
      <c r="C316" s="125">
        <f>IF($A316="","",SUMIFS(SDDK!$D$256:$D$375,SDDK!$A$256:$A$375,"331",SDDK!$B$256:$B$375,$A316))</f>
        <v/>
      </c>
      <c r="D316" s="125">
        <f>IF($A316="","",SUMIFS(SDDK!$E$256:$E$375,SDDK!$A$256:$A$375,"331",SDDK!$B$256:$B$375,$A316))</f>
        <v/>
      </c>
      <c r="E316" s="125">
        <f>IF($A316="","",SUMIFS(NKC!$H$7:$H$3006,NKC!$F$7:$F$3006,"331*",NKC!$I$7:$I$3006,$A316,NKC!$B$7:$B$3006,"&lt;="&amp;DEN_NGAY))</f>
        <v/>
      </c>
      <c r="F316" s="125">
        <f>IF($A316="","",SUMIFS(NKC!$H$7:$H$3006,NKC!$G$7:$G$3006,"331*",NKC!$I$7:$I$3006,$A316,NKC!$B$7:$B$3006,"&lt;="&amp;DEN_NGAY))</f>
        <v/>
      </c>
      <c r="G316" s="125">
        <f>IF($A316="","",MAX($C316-$D316+$E316-$F316,0))</f>
        <v/>
      </c>
      <c r="H316" s="125">
        <f>IF($A316="","",MAX(-($C316-$D316+$E316-$F316),0))</f>
        <v/>
      </c>
    </row>
    <row r="317" ht="15" customHeight="1" s="78">
      <c r="A317" s="96">
        <f>IF(DM_DT!$A11="","",DM_DT!$A11&amp;"")</f>
        <v/>
      </c>
      <c r="B317" s="97">
        <f>IF($A317="","",DM_DT!$B11)</f>
        <v/>
      </c>
      <c r="C317" s="125">
        <f>IF($A317="","",SUMIFS(SDDK!$D$256:$D$375,SDDK!$A$256:$A$375,"331",SDDK!$B$256:$B$375,$A317))</f>
        <v/>
      </c>
      <c r="D317" s="125">
        <f>IF($A317="","",SUMIFS(SDDK!$E$256:$E$375,SDDK!$A$256:$A$375,"331",SDDK!$B$256:$B$375,$A317))</f>
        <v/>
      </c>
      <c r="E317" s="125">
        <f>IF($A317="","",SUMIFS(NKC!$H$7:$H$3006,NKC!$F$7:$F$3006,"331*",NKC!$I$7:$I$3006,$A317,NKC!$B$7:$B$3006,"&lt;="&amp;DEN_NGAY))</f>
        <v/>
      </c>
      <c r="F317" s="125">
        <f>IF($A317="","",SUMIFS(NKC!$H$7:$H$3006,NKC!$G$7:$G$3006,"331*",NKC!$I$7:$I$3006,$A317,NKC!$B$7:$B$3006,"&lt;="&amp;DEN_NGAY))</f>
        <v/>
      </c>
      <c r="G317" s="125">
        <f>IF($A317="","",MAX($C317-$D317+$E317-$F317,0))</f>
        <v/>
      </c>
      <c r="H317" s="125">
        <f>IF($A317="","",MAX(-($C317-$D317+$E317-$F317),0))</f>
        <v/>
      </c>
    </row>
    <row r="318" ht="15" customHeight="1" s="78">
      <c r="A318" s="96">
        <f>IF(DM_DT!$A12="","",DM_DT!$A12&amp;"")</f>
        <v/>
      </c>
      <c r="B318" s="97">
        <f>IF($A318="","",DM_DT!$B12)</f>
        <v/>
      </c>
      <c r="C318" s="125">
        <f>IF($A318="","",SUMIFS(SDDK!$D$256:$D$375,SDDK!$A$256:$A$375,"331",SDDK!$B$256:$B$375,$A318))</f>
        <v/>
      </c>
      <c r="D318" s="125">
        <f>IF($A318="","",SUMIFS(SDDK!$E$256:$E$375,SDDK!$A$256:$A$375,"331",SDDK!$B$256:$B$375,$A318))</f>
        <v/>
      </c>
      <c r="E318" s="125">
        <f>IF($A318="","",SUMIFS(NKC!$H$7:$H$3006,NKC!$F$7:$F$3006,"331*",NKC!$I$7:$I$3006,$A318,NKC!$B$7:$B$3006,"&lt;="&amp;DEN_NGAY))</f>
        <v/>
      </c>
      <c r="F318" s="125">
        <f>IF($A318="","",SUMIFS(NKC!$H$7:$H$3006,NKC!$G$7:$G$3006,"331*",NKC!$I$7:$I$3006,$A318,NKC!$B$7:$B$3006,"&lt;="&amp;DEN_NGAY))</f>
        <v/>
      </c>
      <c r="G318" s="125">
        <f>IF($A318="","",MAX($C318-$D318+$E318-$F318,0))</f>
        <v/>
      </c>
      <c r="H318" s="125">
        <f>IF($A318="","",MAX(-($C318-$D318+$E318-$F318),0))</f>
        <v/>
      </c>
    </row>
    <row r="319" ht="15" customHeight="1" s="78">
      <c r="A319" s="96">
        <f>IF(DM_DT!$A13="","",DM_DT!$A13&amp;"")</f>
        <v/>
      </c>
      <c r="B319" s="97">
        <f>IF($A319="","",DM_DT!$B13)</f>
        <v/>
      </c>
      <c r="C319" s="125">
        <f>IF($A319="","",SUMIFS(SDDK!$D$256:$D$375,SDDK!$A$256:$A$375,"331",SDDK!$B$256:$B$375,$A319))</f>
        <v/>
      </c>
      <c r="D319" s="125">
        <f>IF($A319="","",SUMIFS(SDDK!$E$256:$E$375,SDDK!$A$256:$A$375,"331",SDDK!$B$256:$B$375,$A319))</f>
        <v/>
      </c>
      <c r="E319" s="125">
        <f>IF($A319="","",SUMIFS(NKC!$H$7:$H$3006,NKC!$F$7:$F$3006,"331*",NKC!$I$7:$I$3006,$A319,NKC!$B$7:$B$3006,"&lt;="&amp;DEN_NGAY))</f>
        <v/>
      </c>
      <c r="F319" s="125">
        <f>IF($A319="","",SUMIFS(NKC!$H$7:$H$3006,NKC!$G$7:$G$3006,"331*",NKC!$I$7:$I$3006,$A319,NKC!$B$7:$B$3006,"&lt;="&amp;DEN_NGAY))</f>
        <v/>
      </c>
      <c r="G319" s="125">
        <f>IF($A319="","",MAX($C319-$D319+$E319-$F319,0))</f>
        <v/>
      </c>
      <c r="H319" s="125">
        <f>IF($A319="","",MAX(-($C319-$D319+$E319-$F319),0))</f>
        <v/>
      </c>
    </row>
    <row r="320" ht="15" customHeight="1" s="78">
      <c r="A320" s="96">
        <f>IF(DM_DT!$A14="","",DM_DT!$A14&amp;"")</f>
        <v/>
      </c>
      <c r="B320" s="97">
        <f>IF($A320="","",DM_DT!$B14)</f>
        <v/>
      </c>
      <c r="C320" s="125">
        <f>IF($A320="","",SUMIFS(SDDK!$D$256:$D$375,SDDK!$A$256:$A$375,"331",SDDK!$B$256:$B$375,$A320))</f>
        <v/>
      </c>
      <c r="D320" s="125">
        <f>IF($A320="","",SUMIFS(SDDK!$E$256:$E$375,SDDK!$A$256:$A$375,"331",SDDK!$B$256:$B$375,$A320))</f>
        <v/>
      </c>
      <c r="E320" s="125">
        <f>IF($A320="","",SUMIFS(NKC!$H$7:$H$3006,NKC!$F$7:$F$3006,"331*",NKC!$I$7:$I$3006,$A320,NKC!$B$7:$B$3006,"&lt;="&amp;DEN_NGAY))</f>
        <v/>
      </c>
      <c r="F320" s="125">
        <f>IF($A320="","",SUMIFS(NKC!$H$7:$H$3006,NKC!$G$7:$G$3006,"331*",NKC!$I$7:$I$3006,$A320,NKC!$B$7:$B$3006,"&lt;="&amp;DEN_NGAY))</f>
        <v/>
      </c>
      <c r="G320" s="125">
        <f>IF($A320="","",MAX($C320-$D320+$E320-$F320,0))</f>
        <v/>
      </c>
      <c r="H320" s="125">
        <f>IF($A320="","",MAX(-($C320-$D320+$E320-$F320),0))</f>
        <v/>
      </c>
    </row>
    <row r="321" ht="15" customHeight="1" s="78">
      <c r="A321" s="96">
        <f>IF(DM_DT!$A15="","",DM_DT!$A15&amp;"")</f>
        <v/>
      </c>
      <c r="B321" s="97">
        <f>IF($A321="","",DM_DT!$B15)</f>
        <v/>
      </c>
      <c r="C321" s="125">
        <f>IF($A321="","",SUMIFS(SDDK!$D$256:$D$375,SDDK!$A$256:$A$375,"331",SDDK!$B$256:$B$375,$A321))</f>
        <v/>
      </c>
      <c r="D321" s="125">
        <f>IF($A321="","",SUMIFS(SDDK!$E$256:$E$375,SDDK!$A$256:$A$375,"331",SDDK!$B$256:$B$375,$A321))</f>
        <v/>
      </c>
      <c r="E321" s="125">
        <f>IF($A321="","",SUMIFS(NKC!$H$7:$H$3006,NKC!$F$7:$F$3006,"331*",NKC!$I$7:$I$3006,$A321,NKC!$B$7:$B$3006,"&lt;="&amp;DEN_NGAY))</f>
        <v/>
      </c>
      <c r="F321" s="125">
        <f>IF($A321="","",SUMIFS(NKC!$H$7:$H$3006,NKC!$G$7:$G$3006,"331*",NKC!$I$7:$I$3006,$A321,NKC!$B$7:$B$3006,"&lt;="&amp;DEN_NGAY))</f>
        <v/>
      </c>
      <c r="G321" s="125">
        <f>IF($A321="","",MAX($C321-$D321+$E321-$F321,0))</f>
        <v/>
      </c>
      <c r="H321" s="125">
        <f>IF($A321="","",MAX(-($C321-$D321+$E321-$F321),0))</f>
        <v/>
      </c>
    </row>
    <row r="322" ht="15" customHeight="1" s="78">
      <c r="A322" s="96">
        <f>IF(DM_DT!$A16="","",DM_DT!$A16&amp;"")</f>
        <v/>
      </c>
      <c r="B322" s="97">
        <f>IF($A322="","",DM_DT!$B16)</f>
        <v/>
      </c>
      <c r="C322" s="125">
        <f>IF($A322="","",SUMIFS(SDDK!$D$256:$D$375,SDDK!$A$256:$A$375,"331",SDDK!$B$256:$B$375,$A322))</f>
        <v/>
      </c>
      <c r="D322" s="125">
        <f>IF($A322="","",SUMIFS(SDDK!$E$256:$E$375,SDDK!$A$256:$A$375,"331",SDDK!$B$256:$B$375,$A322))</f>
        <v/>
      </c>
      <c r="E322" s="125">
        <f>IF($A322="","",SUMIFS(NKC!$H$7:$H$3006,NKC!$F$7:$F$3006,"331*",NKC!$I$7:$I$3006,$A322,NKC!$B$7:$B$3006,"&lt;="&amp;DEN_NGAY))</f>
        <v/>
      </c>
      <c r="F322" s="125">
        <f>IF($A322="","",SUMIFS(NKC!$H$7:$H$3006,NKC!$G$7:$G$3006,"331*",NKC!$I$7:$I$3006,$A322,NKC!$B$7:$B$3006,"&lt;="&amp;DEN_NGAY))</f>
        <v/>
      </c>
      <c r="G322" s="125">
        <f>IF($A322="","",MAX($C322-$D322+$E322-$F322,0))</f>
        <v/>
      </c>
      <c r="H322" s="125">
        <f>IF($A322="","",MAX(-($C322-$D322+$E322-$F322),0))</f>
        <v/>
      </c>
    </row>
    <row r="323" ht="15" customHeight="1" s="78">
      <c r="A323" s="96">
        <f>IF(DM_DT!$A17="","",DM_DT!$A17&amp;"")</f>
        <v/>
      </c>
      <c r="B323" s="97">
        <f>IF($A323="","",DM_DT!$B17)</f>
        <v/>
      </c>
      <c r="C323" s="125">
        <f>IF($A323="","",SUMIFS(SDDK!$D$256:$D$375,SDDK!$A$256:$A$375,"331",SDDK!$B$256:$B$375,$A323))</f>
        <v/>
      </c>
      <c r="D323" s="125">
        <f>IF($A323="","",SUMIFS(SDDK!$E$256:$E$375,SDDK!$A$256:$A$375,"331",SDDK!$B$256:$B$375,$A323))</f>
        <v/>
      </c>
      <c r="E323" s="125">
        <f>IF($A323="","",SUMIFS(NKC!$H$7:$H$3006,NKC!$F$7:$F$3006,"331*",NKC!$I$7:$I$3006,$A323,NKC!$B$7:$B$3006,"&lt;="&amp;DEN_NGAY))</f>
        <v/>
      </c>
      <c r="F323" s="125">
        <f>IF($A323="","",SUMIFS(NKC!$H$7:$H$3006,NKC!$G$7:$G$3006,"331*",NKC!$I$7:$I$3006,$A323,NKC!$B$7:$B$3006,"&lt;="&amp;DEN_NGAY))</f>
        <v/>
      </c>
      <c r="G323" s="125">
        <f>IF($A323="","",MAX($C323-$D323+$E323-$F323,0))</f>
        <v/>
      </c>
      <c r="H323" s="125">
        <f>IF($A323="","",MAX(-($C323-$D323+$E323-$F323),0))</f>
        <v/>
      </c>
    </row>
    <row r="324" ht="15" customHeight="1" s="78">
      <c r="A324" s="96">
        <f>IF(DM_DT!$A18="","",DM_DT!$A18&amp;"")</f>
        <v/>
      </c>
      <c r="B324" s="97">
        <f>IF($A324="","",DM_DT!$B18)</f>
        <v/>
      </c>
      <c r="C324" s="125">
        <f>IF($A324="","",SUMIFS(SDDK!$D$256:$D$375,SDDK!$A$256:$A$375,"331",SDDK!$B$256:$B$375,$A324))</f>
        <v/>
      </c>
      <c r="D324" s="125">
        <f>IF($A324="","",SUMIFS(SDDK!$E$256:$E$375,SDDK!$A$256:$A$375,"331",SDDK!$B$256:$B$375,$A324))</f>
        <v/>
      </c>
      <c r="E324" s="125">
        <f>IF($A324="","",SUMIFS(NKC!$H$7:$H$3006,NKC!$F$7:$F$3006,"331*",NKC!$I$7:$I$3006,$A324,NKC!$B$7:$B$3006,"&lt;="&amp;DEN_NGAY))</f>
        <v/>
      </c>
      <c r="F324" s="125">
        <f>IF($A324="","",SUMIFS(NKC!$H$7:$H$3006,NKC!$G$7:$G$3006,"331*",NKC!$I$7:$I$3006,$A324,NKC!$B$7:$B$3006,"&lt;="&amp;DEN_NGAY))</f>
        <v/>
      </c>
      <c r="G324" s="125">
        <f>IF($A324="","",MAX($C324-$D324+$E324-$F324,0))</f>
        <v/>
      </c>
      <c r="H324" s="125">
        <f>IF($A324="","",MAX(-($C324-$D324+$E324-$F324),0))</f>
        <v/>
      </c>
    </row>
    <row r="325" ht="15" customHeight="1" s="78">
      <c r="A325" s="96">
        <f>IF(DM_DT!$A19="","",DM_DT!$A19&amp;"")</f>
        <v/>
      </c>
      <c r="B325" s="97">
        <f>IF($A325="","",DM_DT!$B19)</f>
        <v/>
      </c>
      <c r="C325" s="125">
        <f>IF($A325="","",SUMIFS(SDDK!$D$256:$D$375,SDDK!$A$256:$A$375,"331",SDDK!$B$256:$B$375,$A325))</f>
        <v/>
      </c>
      <c r="D325" s="125">
        <f>IF($A325="","",SUMIFS(SDDK!$E$256:$E$375,SDDK!$A$256:$A$375,"331",SDDK!$B$256:$B$375,$A325))</f>
        <v/>
      </c>
      <c r="E325" s="125">
        <f>IF($A325="","",SUMIFS(NKC!$H$7:$H$3006,NKC!$F$7:$F$3006,"331*",NKC!$I$7:$I$3006,$A325,NKC!$B$7:$B$3006,"&lt;="&amp;DEN_NGAY))</f>
        <v/>
      </c>
      <c r="F325" s="125">
        <f>IF($A325="","",SUMIFS(NKC!$H$7:$H$3006,NKC!$G$7:$G$3006,"331*",NKC!$I$7:$I$3006,$A325,NKC!$B$7:$B$3006,"&lt;="&amp;DEN_NGAY))</f>
        <v/>
      </c>
      <c r="G325" s="125">
        <f>IF($A325="","",MAX($C325-$D325+$E325-$F325,0))</f>
        <v/>
      </c>
      <c r="H325" s="125">
        <f>IF($A325="","",MAX(-($C325-$D325+$E325-$F325),0))</f>
        <v/>
      </c>
    </row>
    <row r="326" ht="15" customHeight="1" s="78">
      <c r="A326" s="96">
        <f>IF(DM_DT!$A20="","",DM_DT!$A20&amp;"")</f>
        <v/>
      </c>
      <c r="B326" s="97">
        <f>IF($A326="","",DM_DT!$B20)</f>
        <v/>
      </c>
      <c r="C326" s="125">
        <f>IF($A326="","",SUMIFS(SDDK!$D$256:$D$375,SDDK!$A$256:$A$375,"331",SDDK!$B$256:$B$375,$A326))</f>
        <v/>
      </c>
      <c r="D326" s="125">
        <f>IF($A326="","",SUMIFS(SDDK!$E$256:$E$375,SDDK!$A$256:$A$375,"331",SDDK!$B$256:$B$375,$A326))</f>
        <v/>
      </c>
      <c r="E326" s="125">
        <f>IF($A326="","",SUMIFS(NKC!$H$7:$H$3006,NKC!$F$7:$F$3006,"331*",NKC!$I$7:$I$3006,$A326,NKC!$B$7:$B$3006,"&lt;="&amp;DEN_NGAY))</f>
        <v/>
      </c>
      <c r="F326" s="125">
        <f>IF($A326="","",SUMIFS(NKC!$H$7:$H$3006,NKC!$G$7:$G$3006,"331*",NKC!$I$7:$I$3006,$A326,NKC!$B$7:$B$3006,"&lt;="&amp;DEN_NGAY))</f>
        <v/>
      </c>
      <c r="G326" s="125">
        <f>IF($A326="","",MAX($C326-$D326+$E326-$F326,0))</f>
        <v/>
      </c>
      <c r="H326" s="125">
        <f>IF($A326="","",MAX(-($C326-$D326+$E326-$F326),0))</f>
        <v/>
      </c>
    </row>
    <row r="327" ht="15" customHeight="1" s="78">
      <c r="A327" s="96">
        <f>IF(DM_DT!$A21="","",DM_DT!$A21&amp;"")</f>
        <v/>
      </c>
      <c r="B327" s="97">
        <f>IF($A327="","",DM_DT!$B21)</f>
        <v/>
      </c>
      <c r="C327" s="125">
        <f>IF($A327="","",SUMIFS(SDDK!$D$256:$D$375,SDDK!$A$256:$A$375,"331",SDDK!$B$256:$B$375,$A327))</f>
        <v/>
      </c>
      <c r="D327" s="125">
        <f>IF($A327="","",SUMIFS(SDDK!$E$256:$E$375,SDDK!$A$256:$A$375,"331",SDDK!$B$256:$B$375,$A327))</f>
        <v/>
      </c>
      <c r="E327" s="125">
        <f>IF($A327="","",SUMIFS(NKC!$H$7:$H$3006,NKC!$F$7:$F$3006,"331*",NKC!$I$7:$I$3006,$A327,NKC!$B$7:$B$3006,"&lt;="&amp;DEN_NGAY))</f>
        <v/>
      </c>
      <c r="F327" s="125">
        <f>IF($A327="","",SUMIFS(NKC!$H$7:$H$3006,NKC!$G$7:$G$3006,"331*",NKC!$I$7:$I$3006,$A327,NKC!$B$7:$B$3006,"&lt;="&amp;DEN_NGAY))</f>
        <v/>
      </c>
      <c r="G327" s="125">
        <f>IF($A327="","",MAX($C327-$D327+$E327-$F327,0))</f>
        <v/>
      </c>
      <c r="H327" s="125">
        <f>IF($A327="","",MAX(-($C327-$D327+$E327-$F327),0))</f>
        <v/>
      </c>
    </row>
    <row r="328" ht="15" customHeight="1" s="78">
      <c r="A328" s="96">
        <f>IF(DM_DT!$A22="","",DM_DT!$A22&amp;"")</f>
        <v/>
      </c>
      <c r="B328" s="97">
        <f>IF($A328="","",DM_DT!$B22)</f>
        <v/>
      </c>
      <c r="C328" s="125">
        <f>IF($A328="","",SUMIFS(SDDK!$D$256:$D$375,SDDK!$A$256:$A$375,"331",SDDK!$B$256:$B$375,$A328))</f>
        <v/>
      </c>
      <c r="D328" s="125">
        <f>IF($A328="","",SUMIFS(SDDK!$E$256:$E$375,SDDK!$A$256:$A$375,"331",SDDK!$B$256:$B$375,$A328))</f>
        <v/>
      </c>
      <c r="E328" s="125">
        <f>IF($A328="","",SUMIFS(NKC!$H$7:$H$3006,NKC!$F$7:$F$3006,"331*",NKC!$I$7:$I$3006,$A328,NKC!$B$7:$B$3006,"&lt;="&amp;DEN_NGAY))</f>
        <v/>
      </c>
      <c r="F328" s="125">
        <f>IF($A328="","",SUMIFS(NKC!$H$7:$H$3006,NKC!$G$7:$G$3006,"331*",NKC!$I$7:$I$3006,$A328,NKC!$B$7:$B$3006,"&lt;="&amp;DEN_NGAY))</f>
        <v/>
      </c>
      <c r="G328" s="125">
        <f>IF($A328="","",MAX($C328-$D328+$E328-$F328,0))</f>
        <v/>
      </c>
      <c r="H328" s="125">
        <f>IF($A328="","",MAX(-($C328-$D328+$E328-$F328),0))</f>
        <v/>
      </c>
    </row>
    <row r="329" ht="15" customHeight="1" s="78">
      <c r="A329" s="96">
        <f>IF(DM_DT!$A23="","",DM_DT!$A23&amp;"")</f>
        <v/>
      </c>
      <c r="B329" s="97">
        <f>IF($A329="","",DM_DT!$B23)</f>
        <v/>
      </c>
      <c r="C329" s="125">
        <f>IF($A329="","",SUMIFS(SDDK!$D$256:$D$375,SDDK!$A$256:$A$375,"331",SDDK!$B$256:$B$375,$A329))</f>
        <v/>
      </c>
      <c r="D329" s="125">
        <f>IF($A329="","",SUMIFS(SDDK!$E$256:$E$375,SDDK!$A$256:$A$375,"331",SDDK!$B$256:$B$375,$A329))</f>
        <v/>
      </c>
      <c r="E329" s="125">
        <f>IF($A329="","",SUMIFS(NKC!$H$7:$H$3006,NKC!$F$7:$F$3006,"331*",NKC!$I$7:$I$3006,$A329,NKC!$B$7:$B$3006,"&lt;="&amp;DEN_NGAY))</f>
        <v/>
      </c>
      <c r="F329" s="125">
        <f>IF($A329="","",SUMIFS(NKC!$H$7:$H$3006,NKC!$G$7:$G$3006,"331*",NKC!$I$7:$I$3006,$A329,NKC!$B$7:$B$3006,"&lt;="&amp;DEN_NGAY))</f>
        <v/>
      </c>
      <c r="G329" s="125">
        <f>IF($A329="","",MAX($C329-$D329+$E329-$F329,0))</f>
        <v/>
      </c>
      <c r="H329" s="125">
        <f>IF($A329="","",MAX(-($C329-$D329+$E329-$F329),0))</f>
        <v/>
      </c>
    </row>
    <row r="330" ht="15" customHeight="1" s="78">
      <c r="A330" s="96">
        <f>IF(DM_DT!$A24="","",DM_DT!$A24&amp;"")</f>
        <v/>
      </c>
      <c r="B330" s="97">
        <f>IF($A330="","",DM_DT!$B24)</f>
        <v/>
      </c>
      <c r="C330" s="125">
        <f>IF($A330="","",SUMIFS(SDDK!$D$256:$D$375,SDDK!$A$256:$A$375,"331",SDDK!$B$256:$B$375,$A330))</f>
        <v/>
      </c>
      <c r="D330" s="125">
        <f>IF($A330="","",SUMIFS(SDDK!$E$256:$E$375,SDDK!$A$256:$A$375,"331",SDDK!$B$256:$B$375,$A330))</f>
        <v/>
      </c>
      <c r="E330" s="125">
        <f>IF($A330="","",SUMIFS(NKC!$H$7:$H$3006,NKC!$F$7:$F$3006,"331*",NKC!$I$7:$I$3006,$A330,NKC!$B$7:$B$3006,"&lt;="&amp;DEN_NGAY))</f>
        <v/>
      </c>
      <c r="F330" s="125">
        <f>IF($A330="","",SUMIFS(NKC!$H$7:$H$3006,NKC!$G$7:$G$3006,"331*",NKC!$I$7:$I$3006,$A330,NKC!$B$7:$B$3006,"&lt;="&amp;DEN_NGAY))</f>
        <v/>
      </c>
      <c r="G330" s="125">
        <f>IF($A330="","",MAX($C330-$D330+$E330-$F330,0))</f>
        <v/>
      </c>
      <c r="H330" s="125">
        <f>IF($A330="","",MAX(-($C330-$D330+$E330-$F330),0))</f>
        <v/>
      </c>
    </row>
    <row r="331" ht="15" customHeight="1" s="78">
      <c r="A331" s="96">
        <f>IF(DM_DT!$A25="","",DM_DT!$A25&amp;"")</f>
        <v/>
      </c>
      <c r="B331" s="97">
        <f>IF($A331="","",DM_DT!$B25)</f>
        <v/>
      </c>
      <c r="C331" s="125">
        <f>IF($A331="","",SUMIFS(SDDK!$D$256:$D$375,SDDK!$A$256:$A$375,"331",SDDK!$B$256:$B$375,$A331))</f>
        <v/>
      </c>
      <c r="D331" s="125">
        <f>IF($A331="","",SUMIFS(SDDK!$E$256:$E$375,SDDK!$A$256:$A$375,"331",SDDK!$B$256:$B$375,$A331))</f>
        <v/>
      </c>
      <c r="E331" s="125">
        <f>IF($A331="","",SUMIFS(NKC!$H$7:$H$3006,NKC!$F$7:$F$3006,"331*",NKC!$I$7:$I$3006,$A331,NKC!$B$7:$B$3006,"&lt;="&amp;DEN_NGAY))</f>
        <v/>
      </c>
      <c r="F331" s="125">
        <f>IF($A331="","",SUMIFS(NKC!$H$7:$H$3006,NKC!$G$7:$G$3006,"331*",NKC!$I$7:$I$3006,$A331,NKC!$B$7:$B$3006,"&lt;="&amp;DEN_NGAY))</f>
        <v/>
      </c>
      <c r="G331" s="125">
        <f>IF($A331="","",MAX($C331-$D331+$E331-$F331,0))</f>
        <v/>
      </c>
      <c r="H331" s="125">
        <f>IF($A331="","",MAX(-($C331-$D331+$E331-$F331),0))</f>
        <v/>
      </c>
    </row>
    <row r="332" ht="15" customHeight="1" s="78">
      <c r="A332" s="96">
        <f>IF(DM_DT!$A26="","",DM_DT!$A26&amp;"")</f>
        <v/>
      </c>
      <c r="B332" s="97">
        <f>IF($A332="","",DM_DT!$B26)</f>
        <v/>
      </c>
      <c r="C332" s="125">
        <f>IF($A332="","",SUMIFS(SDDK!$D$256:$D$375,SDDK!$A$256:$A$375,"331",SDDK!$B$256:$B$375,$A332))</f>
        <v/>
      </c>
      <c r="D332" s="125">
        <f>IF($A332="","",SUMIFS(SDDK!$E$256:$E$375,SDDK!$A$256:$A$375,"331",SDDK!$B$256:$B$375,$A332))</f>
        <v/>
      </c>
      <c r="E332" s="125">
        <f>IF($A332="","",SUMIFS(NKC!$H$7:$H$3006,NKC!$F$7:$F$3006,"331*",NKC!$I$7:$I$3006,$A332,NKC!$B$7:$B$3006,"&lt;="&amp;DEN_NGAY))</f>
        <v/>
      </c>
      <c r="F332" s="125">
        <f>IF($A332="","",SUMIFS(NKC!$H$7:$H$3006,NKC!$G$7:$G$3006,"331*",NKC!$I$7:$I$3006,$A332,NKC!$B$7:$B$3006,"&lt;="&amp;DEN_NGAY))</f>
        <v/>
      </c>
      <c r="G332" s="125">
        <f>IF($A332="","",MAX($C332-$D332+$E332-$F332,0))</f>
        <v/>
      </c>
      <c r="H332" s="125">
        <f>IF($A332="","",MAX(-($C332-$D332+$E332-$F332),0))</f>
        <v/>
      </c>
    </row>
    <row r="333" ht="15" customHeight="1" s="78">
      <c r="A333" s="96">
        <f>IF(DM_DT!$A27="","",DM_DT!$A27&amp;"")</f>
        <v/>
      </c>
      <c r="B333" s="97">
        <f>IF($A333="","",DM_DT!$B27)</f>
        <v/>
      </c>
      <c r="C333" s="125">
        <f>IF($A333="","",SUMIFS(SDDK!$D$256:$D$375,SDDK!$A$256:$A$375,"331",SDDK!$B$256:$B$375,$A333))</f>
        <v/>
      </c>
      <c r="D333" s="125">
        <f>IF($A333="","",SUMIFS(SDDK!$E$256:$E$375,SDDK!$A$256:$A$375,"331",SDDK!$B$256:$B$375,$A333))</f>
        <v/>
      </c>
      <c r="E333" s="125">
        <f>IF($A333="","",SUMIFS(NKC!$H$7:$H$3006,NKC!$F$7:$F$3006,"331*",NKC!$I$7:$I$3006,$A333,NKC!$B$7:$B$3006,"&lt;="&amp;DEN_NGAY))</f>
        <v/>
      </c>
      <c r="F333" s="125">
        <f>IF($A333="","",SUMIFS(NKC!$H$7:$H$3006,NKC!$G$7:$G$3006,"331*",NKC!$I$7:$I$3006,$A333,NKC!$B$7:$B$3006,"&lt;="&amp;DEN_NGAY))</f>
        <v/>
      </c>
      <c r="G333" s="125">
        <f>IF($A333="","",MAX($C333-$D333+$E333-$F333,0))</f>
        <v/>
      </c>
      <c r="H333" s="125">
        <f>IF($A333="","",MAX(-($C333-$D333+$E333-$F333),0))</f>
        <v/>
      </c>
    </row>
    <row r="334" ht="15" customHeight="1" s="78">
      <c r="A334" s="96">
        <f>IF(DM_DT!$A28="","",DM_DT!$A28&amp;"")</f>
        <v/>
      </c>
      <c r="B334" s="97">
        <f>IF($A334="","",DM_DT!$B28)</f>
        <v/>
      </c>
      <c r="C334" s="125">
        <f>IF($A334="","",SUMIFS(SDDK!$D$256:$D$375,SDDK!$A$256:$A$375,"331",SDDK!$B$256:$B$375,$A334))</f>
        <v/>
      </c>
      <c r="D334" s="125">
        <f>IF($A334="","",SUMIFS(SDDK!$E$256:$E$375,SDDK!$A$256:$A$375,"331",SDDK!$B$256:$B$375,$A334))</f>
        <v/>
      </c>
      <c r="E334" s="125">
        <f>IF($A334="","",SUMIFS(NKC!$H$7:$H$3006,NKC!$F$7:$F$3006,"331*",NKC!$I$7:$I$3006,$A334,NKC!$B$7:$B$3006,"&lt;="&amp;DEN_NGAY))</f>
        <v/>
      </c>
      <c r="F334" s="125">
        <f>IF($A334="","",SUMIFS(NKC!$H$7:$H$3006,NKC!$G$7:$G$3006,"331*",NKC!$I$7:$I$3006,$A334,NKC!$B$7:$B$3006,"&lt;="&amp;DEN_NGAY))</f>
        <v/>
      </c>
      <c r="G334" s="125">
        <f>IF($A334="","",MAX($C334-$D334+$E334-$F334,0))</f>
        <v/>
      </c>
      <c r="H334" s="125">
        <f>IF($A334="","",MAX(-($C334-$D334+$E334-$F334),0))</f>
        <v/>
      </c>
    </row>
    <row r="335" ht="15" customHeight="1" s="78">
      <c r="A335" s="96">
        <f>IF(DM_DT!$A29="","",DM_DT!$A29&amp;"")</f>
        <v/>
      </c>
      <c r="B335" s="97">
        <f>IF($A335="","",DM_DT!$B29)</f>
        <v/>
      </c>
      <c r="C335" s="125">
        <f>IF($A335="","",SUMIFS(SDDK!$D$256:$D$375,SDDK!$A$256:$A$375,"331",SDDK!$B$256:$B$375,$A335))</f>
        <v/>
      </c>
      <c r="D335" s="125">
        <f>IF($A335="","",SUMIFS(SDDK!$E$256:$E$375,SDDK!$A$256:$A$375,"331",SDDK!$B$256:$B$375,$A335))</f>
        <v/>
      </c>
      <c r="E335" s="125">
        <f>IF($A335="","",SUMIFS(NKC!$H$7:$H$3006,NKC!$F$7:$F$3006,"331*",NKC!$I$7:$I$3006,$A335,NKC!$B$7:$B$3006,"&lt;="&amp;DEN_NGAY))</f>
        <v/>
      </c>
      <c r="F335" s="125">
        <f>IF($A335="","",SUMIFS(NKC!$H$7:$H$3006,NKC!$G$7:$G$3006,"331*",NKC!$I$7:$I$3006,$A335,NKC!$B$7:$B$3006,"&lt;="&amp;DEN_NGAY))</f>
        <v/>
      </c>
      <c r="G335" s="125">
        <f>IF($A335="","",MAX($C335-$D335+$E335-$F335,0))</f>
        <v/>
      </c>
      <c r="H335" s="125">
        <f>IF($A335="","",MAX(-($C335-$D335+$E335-$F335),0))</f>
        <v/>
      </c>
    </row>
    <row r="336" ht="15" customHeight="1" s="78">
      <c r="A336" s="96">
        <f>IF(DM_DT!$A30="","",DM_DT!$A30&amp;"")</f>
        <v/>
      </c>
      <c r="B336" s="97">
        <f>IF($A336="","",DM_DT!$B30)</f>
        <v/>
      </c>
      <c r="C336" s="125">
        <f>IF($A336="","",SUMIFS(SDDK!$D$256:$D$375,SDDK!$A$256:$A$375,"331",SDDK!$B$256:$B$375,$A336))</f>
        <v/>
      </c>
      <c r="D336" s="125">
        <f>IF($A336="","",SUMIFS(SDDK!$E$256:$E$375,SDDK!$A$256:$A$375,"331",SDDK!$B$256:$B$375,$A336))</f>
        <v/>
      </c>
      <c r="E336" s="125">
        <f>IF($A336="","",SUMIFS(NKC!$H$7:$H$3006,NKC!$F$7:$F$3006,"331*",NKC!$I$7:$I$3006,$A336,NKC!$B$7:$B$3006,"&lt;="&amp;DEN_NGAY))</f>
        <v/>
      </c>
      <c r="F336" s="125">
        <f>IF($A336="","",SUMIFS(NKC!$H$7:$H$3006,NKC!$G$7:$G$3006,"331*",NKC!$I$7:$I$3006,$A336,NKC!$B$7:$B$3006,"&lt;="&amp;DEN_NGAY))</f>
        <v/>
      </c>
      <c r="G336" s="125">
        <f>IF($A336="","",MAX($C336-$D336+$E336-$F336,0))</f>
        <v/>
      </c>
      <c r="H336" s="125">
        <f>IF($A336="","",MAX(-($C336-$D336+$E336-$F336),0))</f>
        <v/>
      </c>
    </row>
    <row r="337" ht="15" customHeight="1" s="78">
      <c r="A337" s="96">
        <f>IF(DM_DT!$A31="","",DM_DT!$A31&amp;"")</f>
        <v/>
      </c>
      <c r="B337" s="97">
        <f>IF($A337="","",DM_DT!$B31)</f>
        <v/>
      </c>
      <c r="C337" s="125">
        <f>IF($A337="","",SUMIFS(SDDK!$D$256:$D$375,SDDK!$A$256:$A$375,"331",SDDK!$B$256:$B$375,$A337))</f>
        <v/>
      </c>
      <c r="D337" s="125">
        <f>IF($A337="","",SUMIFS(SDDK!$E$256:$E$375,SDDK!$A$256:$A$375,"331",SDDK!$B$256:$B$375,$A337))</f>
        <v/>
      </c>
      <c r="E337" s="125">
        <f>IF($A337="","",SUMIFS(NKC!$H$7:$H$3006,NKC!$F$7:$F$3006,"331*",NKC!$I$7:$I$3006,$A337,NKC!$B$7:$B$3006,"&lt;="&amp;DEN_NGAY))</f>
        <v/>
      </c>
      <c r="F337" s="125">
        <f>IF($A337="","",SUMIFS(NKC!$H$7:$H$3006,NKC!$G$7:$G$3006,"331*",NKC!$I$7:$I$3006,$A337,NKC!$B$7:$B$3006,"&lt;="&amp;DEN_NGAY))</f>
        <v/>
      </c>
      <c r="G337" s="125">
        <f>IF($A337="","",MAX($C337-$D337+$E337-$F337,0))</f>
        <v/>
      </c>
      <c r="H337" s="125">
        <f>IF($A337="","",MAX(-($C337-$D337+$E337-$F337),0))</f>
        <v/>
      </c>
    </row>
    <row r="338" ht="15" customHeight="1" s="78">
      <c r="A338" s="96">
        <f>IF(DM_DT!$A32="","",DM_DT!$A32&amp;"")</f>
        <v/>
      </c>
      <c r="B338" s="97">
        <f>IF($A338="","",DM_DT!$B32)</f>
        <v/>
      </c>
      <c r="C338" s="125">
        <f>IF($A338="","",SUMIFS(SDDK!$D$256:$D$375,SDDK!$A$256:$A$375,"331",SDDK!$B$256:$B$375,$A338))</f>
        <v/>
      </c>
      <c r="D338" s="125">
        <f>IF($A338="","",SUMIFS(SDDK!$E$256:$E$375,SDDK!$A$256:$A$375,"331",SDDK!$B$256:$B$375,$A338))</f>
        <v/>
      </c>
      <c r="E338" s="125">
        <f>IF($A338="","",SUMIFS(NKC!$H$7:$H$3006,NKC!$F$7:$F$3006,"331*",NKC!$I$7:$I$3006,$A338,NKC!$B$7:$B$3006,"&lt;="&amp;DEN_NGAY))</f>
        <v/>
      </c>
      <c r="F338" s="125">
        <f>IF($A338="","",SUMIFS(NKC!$H$7:$H$3006,NKC!$G$7:$G$3006,"331*",NKC!$I$7:$I$3006,$A338,NKC!$B$7:$B$3006,"&lt;="&amp;DEN_NGAY))</f>
        <v/>
      </c>
      <c r="G338" s="125">
        <f>IF($A338="","",MAX($C338-$D338+$E338-$F338,0))</f>
        <v/>
      </c>
      <c r="H338" s="125">
        <f>IF($A338="","",MAX(-($C338-$D338+$E338-$F338),0))</f>
        <v/>
      </c>
    </row>
    <row r="339" ht="15" customHeight="1" s="78">
      <c r="A339" s="96">
        <f>IF(DM_DT!$A33="","",DM_DT!$A33&amp;"")</f>
        <v/>
      </c>
      <c r="B339" s="97">
        <f>IF($A339="","",DM_DT!$B33)</f>
        <v/>
      </c>
      <c r="C339" s="125">
        <f>IF($A339="","",SUMIFS(SDDK!$D$256:$D$375,SDDK!$A$256:$A$375,"331",SDDK!$B$256:$B$375,$A339))</f>
        <v/>
      </c>
      <c r="D339" s="125">
        <f>IF($A339="","",SUMIFS(SDDK!$E$256:$E$375,SDDK!$A$256:$A$375,"331",SDDK!$B$256:$B$375,$A339))</f>
        <v/>
      </c>
      <c r="E339" s="125">
        <f>IF($A339="","",SUMIFS(NKC!$H$7:$H$3006,NKC!$F$7:$F$3006,"331*",NKC!$I$7:$I$3006,$A339,NKC!$B$7:$B$3006,"&lt;="&amp;DEN_NGAY))</f>
        <v/>
      </c>
      <c r="F339" s="125">
        <f>IF($A339="","",SUMIFS(NKC!$H$7:$H$3006,NKC!$G$7:$G$3006,"331*",NKC!$I$7:$I$3006,$A339,NKC!$B$7:$B$3006,"&lt;="&amp;DEN_NGAY))</f>
        <v/>
      </c>
      <c r="G339" s="125">
        <f>IF($A339="","",MAX($C339-$D339+$E339-$F339,0))</f>
        <v/>
      </c>
      <c r="H339" s="125">
        <f>IF($A339="","",MAX(-($C339-$D339+$E339-$F339),0))</f>
        <v/>
      </c>
    </row>
    <row r="340" ht="15" customHeight="1" s="78">
      <c r="A340" s="96">
        <f>IF(DM_DT!$A34="","",DM_DT!$A34&amp;"")</f>
        <v/>
      </c>
      <c r="B340" s="97">
        <f>IF($A340="","",DM_DT!$B34)</f>
        <v/>
      </c>
      <c r="C340" s="125">
        <f>IF($A340="","",SUMIFS(SDDK!$D$256:$D$375,SDDK!$A$256:$A$375,"331",SDDK!$B$256:$B$375,$A340))</f>
        <v/>
      </c>
      <c r="D340" s="125">
        <f>IF($A340="","",SUMIFS(SDDK!$E$256:$E$375,SDDK!$A$256:$A$375,"331",SDDK!$B$256:$B$375,$A340))</f>
        <v/>
      </c>
      <c r="E340" s="125">
        <f>IF($A340="","",SUMIFS(NKC!$H$7:$H$3006,NKC!$F$7:$F$3006,"331*",NKC!$I$7:$I$3006,$A340,NKC!$B$7:$B$3006,"&lt;="&amp;DEN_NGAY))</f>
        <v/>
      </c>
      <c r="F340" s="125">
        <f>IF($A340="","",SUMIFS(NKC!$H$7:$H$3006,NKC!$G$7:$G$3006,"331*",NKC!$I$7:$I$3006,$A340,NKC!$B$7:$B$3006,"&lt;="&amp;DEN_NGAY))</f>
        <v/>
      </c>
      <c r="G340" s="125">
        <f>IF($A340="","",MAX($C340-$D340+$E340-$F340,0))</f>
        <v/>
      </c>
      <c r="H340" s="125">
        <f>IF($A340="","",MAX(-($C340-$D340+$E340-$F340),0))</f>
        <v/>
      </c>
    </row>
    <row r="341" ht="15" customHeight="1" s="78">
      <c r="A341" s="96">
        <f>IF(DM_DT!$A35="","",DM_DT!$A35&amp;"")</f>
        <v/>
      </c>
      <c r="B341" s="97">
        <f>IF($A341="","",DM_DT!$B35)</f>
        <v/>
      </c>
      <c r="C341" s="125">
        <f>IF($A341="","",SUMIFS(SDDK!$D$256:$D$375,SDDK!$A$256:$A$375,"331",SDDK!$B$256:$B$375,$A341))</f>
        <v/>
      </c>
      <c r="D341" s="125">
        <f>IF($A341="","",SUMIFS(SDDK!$E$256:$E$375,SDDK!$A$256:$A$375,"331",SDDK!$B$256:$B$375,$A341))</f>
        <v/>
      </c>
      <c r="E341" s="125">
        <f>IF($A341="","",SUMIFS(NKC!$H$7:$H$3006,NKC!$F$7:$F$3006,"331*",NKC!$I$7:$I$3006,$A341,NKC!$B$7:$B$3006,"&lt;="&amp;DEN_NGAY))</f>
        <v/>
      </c>
      <c r="F341" s="125">
        <f>IF($A341="","",SUMIFS(NKC!$H$7:$H$3006,NKC!$G$7:$G$3006,"331*",NKC!$I$7:$I$3006,$A341,NKC!$B$7:$B$3006,"&lt;="&amp;DEN_NGAY))</f>
        <v/>
      </c>
      <c r="G341" s="125">
        <f>IF($A341="","",MAX($C341-$D341+$E341-$F341,0))</f>
        <v/>
      </c>
      <c r="H341" s="125">
        <f>IF($A341="","",MAX(-($C341-$D341+$E341-$F341),0))</f>
        <v/>
      </c>
    </row>
    <row r="342" ht="15" customHeight="1" s="78">
      <c r="A342" s="96">
        <f>IF(DM_DT!$A36="","",DM_DT!$A36&amp;"")</f>
        <v/>
      </c>
      <c r="B342" s="97">
        <f>IF($A342="","",DM_DT!$B36)</f>
        <v/>
      </c>
      <c r="C342" s="125">
        <f>IF($A342="","",SUMIFS(SDDK!$D$256:$D$375,SDDK!$A$256:$A$375,"331",SDDK!$B$256:$B$375,$A342))</f>
        <v/>
      </c>
      <c r="D342" s="125">
        <f>IF($A342="","",SUMIFS(SDDK!$E$256:$E$375,SDDK!$A$256:$A$375,"331",SDDK!$B$256:$B$375,$A342))</f>
        <v/>
      </c>
      <c r="E342" s="125">
        <f>IF($A342="","",SUMIFS(NKC!$H$7:$H$3006,NKC!$F$7:$F$3006,"331*",NKC!$I$7:$I$3006,$A342,NKC!$B$7:$B$3006,"&lt;="&amp;DEN_NGAY))</f>
        <v/>
      </c>
      <c r="F342" s="125">
        <f>IF($A342="","",SUMIFS(NKC!$H$7:$H$3006,NKC!$G$7:$G$3006,"331*",NKC!$I$7:$I$3006,$A342,NKC!$B$7:$B$3006,"&lt;="&amp;DEN_NGAY))</f>
        <v/>
      </c>
      <c r="G342" s="125">
        <f>IF($A342="","",MAX($C342-$D342+$E342-$F342,0))</f>
        <v/>
      </c>
      <c r="H342" s="125">
        <f>IF($A342="","",MAX(-($C342-$D342+$E342-$F342),0))</f>
        <v/>
      </c>
    </row>
    <row r="343" ht="15" customHeight="1" s="78">
      <c r="A343" s="96">
        <f>IF(DM_DT!$A37="","",DM_DT!$A37&amp;"")</f>
        <v/>
      </c>
      <c r="B343" s="97">
        <f>IF($A343="","",DM_DT!$B37)</f>
        <v/>
      </c>
      <c r="C343" s="125">
        <f>IF($A343="","",SUMIFS(SDDK!$D$256:$D$375,SDDK!$A$256:$A$375,"331",SDDK!$B$256:$B$375,$A343))</f>
        <v/>
      </c>
      <c r="D343" s="125">
        <f>IF($A343="","",SUMIFS(SDDK!$E$256:$E$375,SDDK!$A$256:$A$375,"331",SDDK!$B$256:$B$375,$A343))</f>
        <v/>
      </c>
      <c r="E343" s="125">
        <f>IF($A343="","",SUMIFS(NKC!$H$7:$H$3006,NKC!$F$7:$F$3006,"331*",NKC!$I$7:$I$3006,$A343,NKC!$B$7:$B$3006,"&lt;="&amp;DEN_NGAY))</f>
        <v/>
      </c>
      <c r="F343" s="125">
        <f>IF($A343="","",SUMIFS(NKC!$H$7:$H$3006,NKC!$G$7:$G$3006,"331*",NKC!$I$7:$I$3006,$A343,NKC!$B$7:$B$3006,"&lt;="&amp;DEN_NGAY))</f>
        <v/>
      </c>
      <c r="G343" s="125">
        <f>IF($A343="","",MAX($C343-$D343+$E343-$F343,0))</f>
        <v/>
      </c>
      <c r="H343" s="125">
        <f>IF($A343="","",MAX(-($C343-$D343+$E343-$F343),0))</f>
        <v/>
      </c>
    </row>
    <row r="344" ht="15" customHeight="1" s="78">
      <c r="A344" s="96">
        <f>IF(DM_DT!$A38="","",DM_DT!$A38&amp;"")</f>
        <v/>
      </c>
      <c r="B344" s="97">
        <f>IF($A344="","",DM_DT!$B38)</f>
        <v/>
      </c>
      <c r="C344" s="125">
        <f>IF($A344="","",SUMIFS(SDDK!$D$256:$D$375,SDDK!$A$256:$A$375,"331",SDDK!$B$256:$B$375,$A344))</f>
        <v/>
      </c>
      <c r="D344" s="125">
        <f>IF($A344="","",SUMIFS(SDDK!$E$256:$E$375,SDDK!$A$256:$A$375,"331",SDDK!$B$256:$B$375,$A344))</f>
        <v/>
      </c>
      <c r="E344" s="125">
        <f>IF($A344="","",SUMIFS(NKC!$H$7:$H$3006,NKC!$F$7:$F$3006,"331*",NKC!$I$7:$I$3006,$A344,NKC!$B$7:$B$3006,"&lt;="&amp;DEN_NGAY))</f>
        <v/>
      </c>
      <c r="F344" s="125">
        <f>IF($A344="","",SUMIFS(NKC!$H$7:$H$3006,NKC!$G$7:$G$3006,"331*",NKC!$I$7:$I$3006,$A344,NKC!$B$7:$B$3006,"&lt;="&amp;DEN_NGAY))</f>
        <v/>
      </c>
      <c r="G344" s="125">
        <f>IF($A344="","",MAX($C344-$D344+$E344-$F344,0))</f>
        <v/>
      </c>
      <c r="H344" s="125">
        <f>IF($A344="","",MAX(-($C344-$D344+$E344-$F344),0))</f>
        <v/>
      </c>
    </row>
    <row r="345" ht="15" customHeight="1" s="78">
      <c r="A345" s="96">
        <f>IF(DM_DT!$A39="","",DM_DT!$A39&amp;"")</f>
        <v/>
      </c>
      <c r="B345" s="97">
        <f>IF($A345="","",DM_DT!$B39)</f>
        <v/>
      </c>
      <c r="C345" s="125">
        <f>IF($A345="","",SUMIFS(SDDK!$D$256:$D$375,SDDK!$A$256:$A$375,"331",SDDK!$B$256:$B$375,$A345))</f>
        <v/>
      </c>
      <c r="D345" s="125">
        <f>IF($A345="","",SUMIFS(SDDK!$E$256:$E$375,SDDK!$A$256:$A$375,"331",SDDK!$B$256:$B$375,$A345))</f>
        <v/>
      </c>
      <c r="E345" s="125">
        <f>IF($A345="","",SUMIFS(NKC!$H$7:$H$3006,NKC!$F$7:$F$3006,"331*",NKC!$I$7:$I$3006,$A345,NKC!$B$7:$B$3006,"&lt;="&amp;DEN_NGAY))</f>
        <v/>
      </c>
      <c r="F345" s="125">
        <f>IF($A345="","",SUMIFS(NKC!$H$7:$H$3006,NKC!$G$7:$G$3006,"331*",NKC!$I$7:$I$3006,$A345,NKC!$B$7:$B$3006,"&lt;="&amp;DEN_NGAY))</f>
        <v/>
      </c>
      <c r="G345" s="125">
        <f>IF($A345="","",MAX($C345-$D345+$E345-$F345,0))</f>
        <v/>
      </c>
      <c r="H345" s="125">
        <f>IF($A345="","",MAX(-($C345-$D345+$E345-$F345),0))</f>
        <v/>
      </c>
    </row>
    <row r="346" ht="15" customHeight="1" s="78">
      <c r="A346" s="96">
        <f>IF(DM_DT!$A40="","",DM_DT!$A40&amp;"")</f>
        <v/>
      </c>
      <c r="B346" s="97">
        <f>IF($A346="","",DM_DT!$B40)</f>
        <v/>
      </c>
      <c r="C346" s="125">
        <f>IF($A346="","",SUMIFS(SDDK!$D$256:$D$375,SDDK!$A$256:$A$375,"331",SDDK!$B$256:$B$375,$A346))</f>
        <v/>
      </c>
      <c r="D346" s="125">
        <f>IF($A346="","",SUMIFS(SDDK!$E$256:$E$375,SDDK!$A$256:$A$375,"331",SDDK!$B$256:$B$375,$A346))</f>
        <v/>
      </c>
      <c r="E346" s="125">
        <f>IF($A346="","",SUMIFS(NKC!$H$7:$H$3006,NKC!$F$7:$F$3006,"331*",NKC!$I$7:$I$3006,$A346,NKC!$B$7:$B$3006,"&lt;="&amp;DEN_NGAY))</f>
        <v/>
      </c>
      <c r="F346" s="125">
        <f>IF($A346="","",SUMIFS(NKC!$H$7:$H$3006,NKC!$G$7:$G$3006,"331*",NKC!$I$7:$I$3006,$A346,NKC!$B$7:$B$3006,"&lt;="&amp;DEN_NGAY))</f>
        <v/>
      </c>
      <c r="G346" s="125">
        <f>IF($A346="","",MAX($C346-$D346+$E346-$F346,0))</f>
        <v/>
      </c>
      <c r="H346" s="125">
        <f>IF($A346="","",MAX(-($C346-$D346+$E346-$F346),0))</f>
        <v/>
      </c>
    </row>
    <row r="347" ht="15" customHeight="1" s="78">
      <c r="A347" s="96">
        <f>IF(DM_DT!$A41="","",DM_DT!$A41&amp;"")</f>
        <v/>
      </c>
      <c r="B347" s="97">
        <f>IF($A347="","",DM_DT!$B41)</f>
        <v/>
      </c>
      <c r="C347" s="125">
        <f>IF($A347="","",SUMIFS(SDDK!$D$256:$D$375,SDDK!$A$256:$A$375,"331",SDDK!$B$256:$B$375,$A347))</f>
        <v/>
      </c>
      <c r="D347" s="125">
        <f>IF($A347="","",SUMIFS(SDDK!$E$256:$E$375,SDDK!$A$256:$A$375,"331",SDDK!$B$256:$B$375,$A347))</f>
        <v/>
      </c>
      <c r="E347" s="125">
        <f>IF($A347="","",SUMIFS(NKC!$H$7:$H$3006,NKC!$F$7:$F$3006,"331*",NKC!$I$7:$I$3006,$A347,NKC!$B$7:$B$3006,"&lt;="&amp;DEN_NGAY))</f>
        <v/>
      </c>
      <c r="F347" s="125">
        <f>IF($A347="","",SUMIFS(NKC!$H$7:$H$3006,NKC!$G$7:$G$3006,"331*",NKC!$I$7:$I$3006,$A347,NKC!$B$7:$B$3006,"&lt;="&amp;DEN_NGAY))</f>
        <v/>
      </c>
      <c r="G347" s="125">
        <f>IF($A347="","",MAX($C347-$D347+$E347-$F347,0))</f>
        <v/>
      </c>
      <c r="H347" s="125">
        <f>IF($A347="","",MAX(-($C347-$D347+$E347-$F347),0))</f>
        <v/>
      </c>
    </row>
    <row r="348" ht="15" customHeight="1" s="78">
      <c r="A348" s="96">
        <f>IF(DM_DT!$A42="","",DM_DT!$A42&amp;"")</f>
        <v/>
      </c>
      <c r="B348" s="97">
        <f>IF($A348="","",DM_DT!$B42)</f>
        <v/>
      </c>
      <c r="C348" s="125">
        <f>IF($A348="","",SUMIFS(SDDK!$D$256:$D$375,SDDK!$A$256:$A$375,"331",SDDK!$B$256:$B$375,$A348))</f>
        <v/>
      </c>
      <c r="D348" s="125">
        <f>IF($A348="","",SUMIFS(SDDK!$E$256:$E$375,SDDK!$A$256:$A$375,"331",SDDK!$B$256:$B$375,$A348))</f>
        <v/>
      </c>
      <c r="E348" s="125">
        <f>IF($A348="","",SUMIFS(NKC!$H$7:$H$3006,NKC!$F$7:$F$3006,"331*",NKC!$I$7:$I$3006,$A348,NKC!$B$7:$B$3006,"&lt;="&amp;DEN_NGAY))</f>
        <v/>
      </c>
      <c r="F348" s="125">
        <f>IF($A348="","",SUMIFS(NKC!$H$7:$H$3006,NKC!$G$7:$G$3006,"331*",NKC!$I$7:$I$3006,$A348,NKC!$B$7:$B$3006,"&lt;="&amp;DEN_NGAY))</f>
        <v/>
      </c>
      <c r="G348" s="125">
        <f>IF($A348="","",MAX($C348-$D348+$E348-$F348,0))</f>
        <v/>
      </c>
      <c r="H348" s="125">
        <f>IF($A348="","",MAX(-($C348-$D348+$E348-$F348),0))</f>
        <v/>
      </c>
    </row>
    <row r="349" ht="15" customHeight="1" s="78">
      <c r="A349" s="96">
        <f>IF(DM_DT!$A43="","",DM_DT!$A43&amp;"")</f>
        <v/>
      </c>
      <c r="B349" s="97">
        <f>IF($A349="","",DM_DT!$B43)</f>
        <v/>
      </c>
      <c r="C349" s="125">
        <f>IF($A349="","",SUMIFS(SDDK!$D$256:$D$375,SDDK!$A$256:$A$375,"331",SDDK!$B$256:$B$375,$A349))</f>
        <v/>
      </c>
      <c r="D349" s="125">
        <f>IF($A349="","",SUMIFS(SDDK!$E$256:$E$375,SDDK!$A$256:$A$375,"331",SDDK!$B$256:$B$375,$A349))</f>
        <v/>
      </c>
      <c r="E349" s="125">
        <f>IF($A349="","",SUMIFS(NKC!$H$7:$H$3006,NKC!$F$7:$F$3006,"331*",NKC!$I$7:$I$3006,$A349,NKC!$B$7:$B$3006,"&lt;="&amp;DEN_NGAY))</f>
        <v/>
      </c>
      <c r="F349" s="125">
        <f>IF($A349="","",SUMIFS(NKC!$H$7:$H$3006,NKC!$G$7:$G$3006,"331*",NKC!$I$7:$I$3006,$A349,NKC!$B$7:$B$3006,"&lt;="&amp;DEN_NGAY))</f>
        <v/>
      </c>
      <c r="G349" s="125">
        <f>IF($A349="","",MAX($C349-$D349+$E349-$F349,0))</f>
        <v/>
      </c>
      <c r="H349" s="125">
        <f>IF($A349="","",MAX(-($C349-$D349+$E349-$F349),0))</f>
        <v/>
      </c>
    </row>
    <row r="350" ht="15" customHeight="1" s="78">
      <c r="A350" s="96">
        <f>IF(DM_DT!$A44="","",DM_DT!$A44&amp;"")</f>
        <v/>
      </c>
      <c r="B350" s="97">
        <f>IF($A350="","",DM_DT!$B44)</f>
        <v/>
      </c>
      <c r="C350" s="125">
        <f>IF($A350="","",SUMIFS(SDDK!$D$256:$D$375,SDDK!$A$256:$A$375,"331",SDDK!$B$256:$B$375,$A350))</f>
        <v/>
      </c>
      <c r="D350" s="125">
        <f>IF($A350="","",SUMIFS(SDDK!$E$256:$E$375,SDDK!$A$256:$A$375,"331",SDDK!$B$256:$B$375,$A350))</f>
        <v/>
      </c>
      <c r="E350" s="125">
        <f>IF($A350="","",SUMIFS(NKC!$H$7:$H$3006,NKC!$F$7:$F$3006,"331*",NKC!$I$7:$I$3006,$A350,NKC!$B$7:$B$3006,"&lt;="&amp;DEN_NGAY))</f>
        <v/>
      </c>
      <c r="F350" s="125">
        <f>IF($A350="","",SUMIFS(NKC!$H$7:$H$3006,NKC!$G$7:$G$3006,"331*",NKC!$I$7:$I$3006,$A350,NKC!$B$7:$B$3006,"&lt;="&amp;DEN_NGAY))</f>
        <v/>
      </c>
      <c r="G350" s="125">
        <f>IF($A350="","",MAX($C350-$D350+$E350-$F350,0))</f>
        <v/>
      </c>
      <c r="H350" s="125">
        <f>IF($A350="","",MAX(-($C350-$D350+$E350-$F350),0))</f>
        <v/>
      </c>
    </row>
    <row r="351" ht="15" customHeight="1" s="78">
      <c r="A351" s="96">
        <f>IF(DM_DT!$A45="","",DM_DT!$A45&amp;"")</f>
        <v/>
      </c>
      <c r="B351" s="97">
        <f>IF($A351="","",DM_DT!$B45)</f>
        <v/>
      </c>
      <c r="C351" s="125">
        <f>IF($A351="","",SUMIFS(SDDK!$D$256:$D$375,SDDK!$A$256:$A$375,"331",SDDK!$B$256:$B$375,$A351))</f>
        <v/>
      </c>
      <c r="D351" s="125">
        <f>IF($A351="","",SUMIFS(SDDK!$E$256:$E$375,SDDK!$A$256:$A$375,"331",SDDK!$B$256:$B$375,$A351))</f>
        <v/>
      </c>
      <c r="E351" s="125">
        <f>IF($A351="","",SUMIFS(NKC!$H$7:$H$3006,NKC!$F$7:$F$3006,"331*",NKC!$I$7:$I$3006,$A351,NKC!$B$7:$B$3006,"&lt;="&amp;DEN_NGAY))</f>
        <v/>
      </c>
      <c r="F351" s="125">
        <f>IF($A351="","",SUMIFS(NKC!$H$7:$H$3006,NKC!$G$7:$G$3006,"331*",NKC!$I$7:$I$3006,$A351,NKC!$B$7:$B$3006,"&lt;="&amp;DEN_NGAY))</f>
        <v/>
      </c>
      <c r="G351" s="125">
        <f>IF($A351="","",MAX($C351-$D351+$E351-$F351,0))</f>
        <v/>
      </c>
      <c r="H351" s="125">
        <f>IF($A351="","",MAX(-($C351-$D351+$E351-$F351),0))</f>
        <v/>
      </c>
    </row>
    <row r="352" ht="15" customHeight="1" s="78">
      <c r="A352" s="96">
        <f>IF(DM_DT!$A46="","",DM_DT!$A46&amp;"")</f>
        <v/>
      </c>
      <c r="B352" s="97">
        <f>IF($A352="","",DM_DT!$B46)</f>
        <v/>
      </c>
      <c r="C352" s="125">
        <f>IF($A352="","",SUMIFS(SDDK!$D$256:$D$375,SDDK!$A$256:$A$375,"331",SDDK!$B$256:$B$375,$A352))</f>
        <v/>
      </c>
      <c r="D352" s="125">
        <f>IF($A352="","",SUMIFS(SDDK!$E$256:$E$375,SDDK!$A$256:$A$375,"331",SDDK!$B$256:$B$375,$A352))</f>
        <v/>
      </c>
      <c r="E352" s="125">
        <f>IF($A352="","",SUMIFS(NKC!$H$7:$H$3006,NKC!$F$7:$F$3006,"331*",NKC!$I$7:$I$3006,$A352,NKC!$B$7:$B$3006,"&lt;="&amp;DEN_NGAY))</f>
        <v/>
      </c>
      <c r="F352" s="125">
        <f>IF($A352="","",SUMIFS(NKC!$H$7:$H$3006,NKC!$G$7:$G$3006,"331*",NKC!$I$7:$I$3006,$A352,NKC!$B$7:$B$3006,"&lt;="&amp;DEN_NGAY))</f>
        <v/>
      </c>
      <c r="G352" s="125">
        <f>IF($A352="","",MAX($C352-$D352+$E352-$F352,0))</f>
        <v/>
      </c>
      <c r="H352" s="125">
        <f>IF($A352="","",MAX(-($C352-$D352+$E352-$F352),0))</f>
        <v/>
      </c>
    </row>
    <row r="353" ht="15" customHeight="1" s="78">
      <c r="A353" s="96">
        <f>IF(DM_DT!$A47="","",DM_DT!$A47&amp;"")</f>
        <v/>
      </c>
      <c r="B353" s="97">
        <f>IF($A353="","",DM_DT!$B47)</f>
        <v/>
      </c>
      <c r="C353" s="125">
        <f>IF($A353="","",SUMIFS(SDDK!$D$256:$D$375,SDDK!$A$256:$A$375,"331",SDDK!$B$256:$B$375,$A353))</f>
        <v/>
      </c>
      <c r="D353" s="125">
        <f>IF($A353="","",SUMIFS(SDDK!$E$256:$E$375,SDDK!$A$256:$A$375,"331",SDDK!$B$256:$B$375,$A353))</f>
        <v/>
      </c>
      <c r="E353" s="125">
        <f>IF($A353="","",SUMIFS(NKC!$H$7:$H$3006,NKC!$F$7:$F$3006,"331*",NKC!$I$7:$I$3006,$A353,NKC!$B$7:$B$3006,"&lt;="&amp;DEN_NGAY))</f>
        <v/>
      </c>
      <c r="F353" s="125">
        <f>IF($A353="","",SUMIFS(NKC!$H$7:$H$3006,NKC!$G$7:$G$3006,"331*",NKC!$I$7:$I$3006,$A353,NKC!$B$7:$B$3006,"&lt;="&amp;DEN_NGAY))</f>
        <v/>
      </c>
      <c r="G353" s="125">
        <f>IF($A353="","",MAX($C353-$D353+$E353-$F353,0))</f>
        <v/>
      </c>
      <c r="H353" s="125">
        <f>IF($A353="","",MAX(-($C353-$D353+$E353-$F353),0))</f>
        <v/>
      </c>
    </row>
    <row r="354" ht="15" customHeight="1" s="78">
      <c r="A354" s="96">
        <f>IF(DM_DT!$A48="","",DM_DT!$A48&amp;"")</f>
        <v/>
      </c>
      <c r="B354" s="97">
        <f>IF($A354="","",DM_DT!$B48)</f>
        <v/>
      </c>
      <c r="C354" s="125">
        <f>IF($A354="","",SUMIFS(SDDK!$D$256:$D$375,SDDK!$A$256:$A$375,"331",SDDK!$B$256:$B$375,$A354))</f>
        <v/>
      </c>
      <c r="D354" s="125">
        <f>IF($A354="","",SUMIFS(SDDK!$E$256:$E$375,SDDK!$A$256:$A$375,"331",SDDK!$B$256:$B$375,$A354))</f>
        <v/>
      </c>
      <c r="E354" s="125">
        <f>IF($A354="","",SUMIFS(NKC!$H$7:$H$3006,NKC!$F$7:$F$3006,"331*",NKC!$I$7:$I$3006,$A354,NKC!$B$7:$B$3006,"&lt;="&amp;DEN_NGAY))</f>
        <v/>
      </c>
      <c r="F354" s="125">
        <f>IF($A354="","",SUMIFS(NKC!$H$7:$H$3006,NKC!$G$7:$G$3006,"331*",NKC!$I$7:$I$3006,$A354,NKC!$B$7:$B$3006,"&lt;="&amp;DEN_NGAY))</f>
        <v/>
      </c>
      <c r="G354" s="125">
        <f>IF($A354="","",MAX($C354-$D354+$E354-$F354,0))</f>
        <v/>
      </c>
      <c r="H354" s="125">
        <f>IF($A354="","",MAX(-($C354-$D354+$E354-$F354),0))</f>
        <v/>
      </c>
    </row>
    <row r="355" ht="15" customHeight="1" s="78">
      <c r="A355" s="96">
        <f>IF(DM_DT!$A49="","",DM_DT!$A49&amp;"")</f>
        <v/>
      </c>
      <c r="B355" s="97">
        <f>IF($A355="","",DM_DT!$B49)</f>
        <v/>
      </c>
      <c r="C355" s="125">
        <f>IF($A355="","",SUMIFS(SDDK!$D$256:$D$375,SDDK!$A$256:$A$375,"331",SDDK!$B$256:$B$375,$A355))</f>
        <v/>
      </c>
      <c r="D355" s="125">
        <f>IF($A355="","",SUMIFS(SDDK!$E$256:$E$375,SDDK!$A$256:$A$375,"331",SDDK!$B$256:$B$375,$A355))</f>
        <v/>
      </c>
      <c r="E355" s="125">
        <f>IF($A355="","",SUMIFS(NKC!$H$7:$H$3006,NKC!$F$7:$F$3006,"331*",NKC!$I$7:$I$3006,$A355,NKC!$B$7:$B$3006,"&lt;="&amp;DEN_NGAY))</f>
        <v/>
      </c>
      <c r="F355" s="125">
        <f>IF($A355="","",SUMIFS(NKC!$H$7:$H$3006,NKC!$G$7:$G$3006,"331*",NKC!$I$7:$I$3006,$A355,NKC!$B$7:$B$3006,"&lt;="&amp;DEN_NGAY))</f>
        <v/>
      </c>
      <c r="G355" s="125">
        <f>IF($A355="","",MAX($C355-$D355+$E355-$F355,0))</f>
        <v/>
      </c>
      <c r="H355" s="125">
        <f>IF($A355="","",MAX(-($C355-$D355+$E355-$F355),0))</f>
        <v/>
      </c>
    </row>
    <row r="356" ht="15" customHeight="1" s="78">
      <c r="A356" s="96">
        <f>IF(DM_DT!$A50="","",DM_DT!$A50&amp;"")</f>
        <v/>
      </c>
      <c r="B356" s="97">
        <f>IF($A356="","",DM_DT!$B50)</f>
        <v/>
      </c>
      <c r="C356" s="125">
        <f>IF($A356="","",SUMIFS(SDDK!$D$256:$D$375,SDDK!$A$256:$A$375,"331",SDDK!$B$256:$B$375,$A356))</f>
        <v/>
      </c>
      <c r="D356" s="125">
        <f>IF($A356="","",SUMIFS(SDDK!$E$256:$E$375,SDDK!$A$256:$A$375,"331",SDDK!$B$256:$B$375,$A356))</f>
        <v/>
      </c>
      <c r="E356" s="125">
        <f>IF($A356="","",SUMIFS(NKC!$H$7:$H$3006,NKC!$F$7:$F$3006,"331*",NKC!$I$7:$I$3006,$A356,NKC!$B$7:$B$3006,"&lt;="&amp;DEN_NGAY))</f>
        <v/>
      </c>
      <c r="F356" s="125">
        <f>IF($A356="","",SUMIFS(NKC!$H$7:$H$3006,NKC!$G$7:$G$3006,"331*",NKC!$I$7:$I$3006,$A356,NKC!$B$7:$B$3006,"&lt;="&amp;DEN_NGAY))</f>
        <v/>
      </c>
      <c r="G356" s="125">
        <f>IF($A356="","",MAX($C356-$D356+$E356-$F356,0))</f>
        <v/>
      </c>
      <c r="H356" s="125">
        <f>IF($A356="","",MAX(-($C356-$D356+$E356-$F356),0))</f>
        <v/>
      </c>
    </row>
    <row r="357" ht="15" customHeight="1" s="78">
      <c r="A357" s="96">
        <f>IF(DM_DT!$A51="","",DM_DT!$A51&amp;"")</f>
        <v/>
      </c>
      <c r="B357" s="97">
        <f>IF($A357="","",DM_DT!$B51)</f>
        <v/>
      </c>
      <c r="C357" s="125">
        <f>IF($A357="","",SUMIFS(SDDK!$D$256:$D$375,SDDK!$A$256:$A$375,"331",SDDK!$B$256:$B$375,$A357))</f>
        <v/>
      </c>
      <c r="D357" s="125">
        <f>IF($A357="","",SUMIFS(SDDK!$E$256:$E$375,SDDK!$A$256:$A$375,"331",SDDK!$B$256:$B$375,$A357))</f>
        <v/>
      </c>
      <c r="E357" s="125">
        <f>IF($A357="","",SUMIFS(NKC!$H$7:$H$3006,NKC!$F$7:$F$3006,"331*",NKC!$I$7:$I$3006,$A357,NKC!$B$7:$B$3006,"&lt;="&amp;DEN_NGAY))</f>
        <v/>
      </c>
      <c r="F357" s="125">
        <f>IF($A357="","",SUMIFS(NKC!$H$7:$H$3006,NKC!$G$7:$G$3006,"331*",NKC!$I$7:$I$3006,$A357,NKC!$B$7:$B$3006,"&lt;="&amp;DEN_NGAY))</f>
        <v/>
      </c>
      <c r="G357" s="125">
        <f>IF($A357="","",MAX($C357-$D357+$E357-$F357,0))</f>
        <v/>
      </c>
      <c r="H357" s="125">
        <f>IF($A357="","",MAX(-($C357-$D357+$E357-$F357),0))</f>
        <v/>
      </c>
    </row>
    <row r="358" ht="15" customHeight="1" s="78">
      <c r="A358" s="96">
        <f>IF(DM_DT!$A52="","",DM_DT!$A52&amp;"")</f>
        <v/>
      </c>
      <c r="B358" s="97">
        <f>IF($A358="","",DM_DT!$B52)</f>
        <v/>
      </c>
      <c r="C358" s="125">
        <f>IF($A358="","",SUMIFS(SDDK!$D$256:$D$375,SDDK!$A$256:$A$375,"331",SDDK!$B$256:$B$375,$A358))</f>
        <v/>
      </c>
      <c r="D358" s="125">
        <f>IF($A358="","",SUMIFS(SDDK!$E$256:$E$375,SDDK!$A$256:$A$375,"331",SDDK!$B$256:$B$375,$A358))</f>
        <v/>
      </c>
      <c r="E358" s="125">
        <f>IF($A358="","",SUMIFS(NKC!$H$7:$H$3006,NKC!$F$7:$F$3006,"331*",NKC!$I$7:$I$3006,$A358,NKC!$B$7:$B$3006,"&lt;="&amp;DEN_NGAY))</f>
        <v/>
      </c>
      <c r="F358" s="125">
        <f>IF($A358="","",SUMIFS(NKC!$H$7:$H$3006,NKC!$G$7:$G$3006,"331*",NKC!$I$7:$I$3006,$A358,NKC!$B$7:$B$3006,"&lt;="&amp;DEN_NGAY))</f>
        <v/>
      </c>
      <c r="G358" s="125">
        <f>IF($A358="","",MAX($C358-$D358+$E358-$F358,0))</f>
        <v/>
      </c>
      <c r="H358" s="125">
        <f>IF($A358="","",MAX(-($C358-$D358+$E358-$F358),0))</f>
        <v/>
      </c>
    </row>
    <row r="359" ht="15" customHeight="1" s="78">
      <c r="A359" s="96">
        <f>IF(DM_DT!$A53="","",DM_DT!$A53&amp;"")</f>
        <v/>
      </c>
      <c r="B359" s="97">
        <f>IF($A359="","",DM_DT!$B53)</f>
        <v/>
      </c>
      <c r="C359" s="125">
        <f>IF($A359="","",SUMIFS(SDDK!$D$256:$D$375,SDDK!$A$256:$A$375,"331",SDDK!$B$256:$B$375,$A359))</f>
        <v/>
      </c>
      <c r="D359" s="125">
        <f>IF($A359="","",SUMIFS(SDDK!$E$256:$E$375,SDDK!$A$256:$A$375,"331",SDDK!$B$256:$B$375,$A359))</f>
        <v/>
      </c>
      <c r="E359" s="125">
        <f>IF($A359="","",SUMIFS(NKC!$H$7:$H$3006,NKC!$F$7:$F$3006,"331*",NKC!$I$7:$I$3006,$A359,NKC!$B$7:$B$3006,"&lt;="&amp;DEN_NGAY))</f>
        <v/>
      </c>
      <c r="F359" s="125">
        <f>IF($A359="","",SUMIFS(NKC!$H$7:$H$3006,NKC!$G$7:$G$3006,"331*",NKC!$I$7:$I$3006,$A359,NKC!$B$7:$B$3006,"&lt;="&amp;DEN_NGAY))</f>
        <v/>
      </c>
      <c r="G359" s="125">
        <f>IF($A359="","",MAX($C359-$D359+$E359-$F359,0))</f>
        <v/>
      </c>
      <c r="H359" s="125">
        <f>IF($A359="","",MAX(-($C359-$D359+$E359-$F359),0))</f>
        <v/>
      </c>
    </row>
    <row r="360" ht="15" customHeight="1" s="78">
      <c r="A360" s="96">
        <f>IF(DM_DT!$A54="","",DM_DT!$A54&amp;"")</f>
        <v/>
      </c>
      <c r="B360" s="97">
        <f>IF($A360="","",DM_DT!$B54)</f>
        <v/>
      </c>
      <c r="C360" s="125">
        <f>IF($A360="","",SUMIFS(SDDK!$D$256:$D$375,SDDK!$A$256:$A$375,"331",SDDK!$B$256:$B$375,$A360))</f>
        <v/>
      </c>
      <c r="D360" s="125">
        <f>IF($A360="","",SUMIFS(SDDK!$E$256:$E$375,SDDK!$A$256:$A$375,"331",SDDK!$B$256:$B$375,$A360))</f>
        <v/>
      </c>
      <c r="E360" s="125">
        <f>IF($A360="","",SUMIFS(NKC!$H$7:$H$3006,NKC!$F$7:$F$3006,"331*",NKC!$I$7:$I$3006,$A360,NKC!$B$7:$B$3006,"&lt;="&amp;DEN_NGAY))</f>
        <v/>
      </c>
      <c r="F360" s="125">
        <f>IF($A360="","",SUMIFS(NKC!$H$7:$H$3006,NKC!$G$7:$G$3006,"331*",NKC!$I$7:$I$3006,$A360,NKC!$B$7:$B$3006,"&lt;="&amp;DEN_NGAY))</f>
        <v/>
      </c>
      <c r="G360" s="125">
        <f>IF($A360="","",MAX($C360-$D360+$E360-$F360,0))</f>
        <v/>
      </c>
      <c r="H360" s="125">
        <f>IF($A360="","",MAX(-($C360-$D360+$E360-$F360),0))</f>
        <v/>
      </c>
    </row>
    <row r="361" ht="15" customHeight="1" s="78">
      <c r="A361" s="96">
        <f>IF(DM_DT!$A55="","",DM_DT!$A55&amp;"")</f>
        <v/>
      </c>
      <c r="B361" s="97">
        <f>IF($A361="","",DM_DT!$B55)</f>
        <v/>
      </c>
      <c r="C361" s="125">
        <f>IF($A361="","",SUMIFS(SDDK!$D$256:$D$375,SDDK!$A$256:$A$375,"331",SDDK!$B$256:$B$375,$A361))</f>
        <v/>
      </c>
      <c r="D361" s="125">
        <f>IF($A361="","",SUMIFS(SDDK!$E$256:$E$375,SDDK!$A$256:$A$375,"331",SDDK!$B$256:$B$375,$A361))</f>
        <v/>
      </c>
      <c r="E361" s="125">
        <f>IF($A361="","",SUMIFS(NKC!$H$7:$H$3006,NKC!$F$7:$F$3006,"331*",NKC!$I$7:$I$3006,$A361,NKC!$B$7:$B$3006,"&lt;="&amp;DEN_NGAY))</f>
        <v/>
      </c>
      <c r="F361" s="125">
        <f>IF($A361="","",SUMIFS(NKC!$H$7:$H$3006,NKC!$G$7:$G$3006,"331*",NKC!$I$7:$I$3006,$A361,NKC!$B$7:$B$3006,"&lt;="&amp;DEN_NGAY))</f>
        <v/>
      </c>
      <c r="G361" s="125">
        <f>IF($A361="","",MAX($C361-$D361+$E361-$F361,0))</f>
        <v/>
      </c>
      <c r="H361" s="125">
        <f>IF($A361="","",MAX(-($C361-$D361+$E361-$F361),0))</f>
        <v/>
      </c>
    </row>
    <row r="362" ht="15" customHeight="1" s="78">
      <c r="A362" s="96">
        <f>IF(DM_DT!$A56="","",DM_DT!$A56&amp;"")</f>
        <v/>
      </c>
      <c r="B362" s="97">
        <f>IF($A362="","",DM_DT!$B56)</f>
        <v/>
      </c>
      <c r="C362" s="125">
        <f>IF($A362="","",SUMIFS(SDDK!$D$256:$D$375,SDDK!$A$256:$A$375,"331",SDDK!$B$256:$B$375,$A362))</f>
        <v/>
      </c>
      <c r="D362" s="125">
        <f>IF($A362="","",SUMIFS(SDDK!$E$256:$E$375,SDDK!$A$256:$A$375,"331",SDDK!$B$256:$B$375,$A362))</f>
        <v/>
      </c>
      <c r="E362" s="125">
        <f>IF($A362="","",SUMIFS(NKC!$H$7:$H$3006,NKC!$F$7:$F$3006,"331*",NKC!$I$7:$I$3006,$A362,NKC!$B$7:$B$3006,"&lt;="&amp;DEN_NGAY))</f>
        <v/>
      </c>
      <c r="F362" s="125">
        <f>IF($A362="","",SUMIFS(NKC!$H$7:$H$3006,NKC!$G$7:$G$3006,"331*",NKC!$I$7:$I$3006,$A362,NKC!$B$7:$B$3006,"&lt;="&amp;DEN_NGAY))</f>
        <v/>
      </c>
      <c r="G362" s="125">
        <f>IF($A362="","",MAX($C362-$D362+$E362-$F362,0))</f>
        <v/>
      </c>
      <c r="H362" s="125">
        <f>IF($A362="","",MAX(-($C362-$D362+$E362-$F362),0))</f>
        <v/>
      </c>
    </row>
    <row r="363" ht="15" customHeight="1" s="78">
      <c r="A363" s="96">
        <f>IF(DM_DT!$A57="","",DM_DT!$A57&amp;"")</f>
        <v/>
      </c>
      <c r="B363" s="97">
        <f>IF($A363="","",DM_DT!$B57)</f>
        <v/>
      </c>
      <c r="C363" s="125">
        <f>IF($A363="","",SUMIFS(SDDK!$D$256:$D$375,SDDK!$A$256:$A$375,"331",SDDK!$B$256:$B$375,$A363))</f>
        <v/>
      </c>
      <c r="D363" s="125">
        <f>IF($A363="","",SUMIFS(SDDK!$E$256:$E$375,SDDK!$A$256:$A$375,"331",SDDK!$B$256:$B$375,$A363))</f>
        <v/>
      </c>
      <c r="E363" s="125">
        <f>IF($A363="","",SUMIFS(NKC!$H$7:$H$3006,NKC!$F$7:$F$3006,"331*",NKC!$I$7:$I$3006,$A363,NKC!$B$7:$B$3006,"&lt;="&amp;DEN_NGAY))</f>
        <v/>
      </c>
      <c r="F363" s="125">
        <f>IF($A363="","",SUMIFS(NKC!$H$7:$H$3006,NKC!$G$7:$G$3006,"331*",NKC!$I$7:$I$3006,$A363,NKC!$B$7:$B$3006,"&lt;="&amp;DEN_NGAY))</f>
        <v/>
      </c>
      <c r="G363" s="125">
        <f>IF($A363="","",MAX($C363-$D363+$E363-$F363,0))</f>
        <v/>
      </c>
      <c r="H363" s="125">
        <f>IF($A363="","",MAX(-($C363-$D363+$E363-$F363),0))</f>
        <v/>
      </c>
    </row>
    <row r="364" ht="15" customHeight="1" s="78">
      <c r="A364" s="96">
        <f>IF(DM_DT!$A58="","",DM_DT!$A58&amp;"")</f>
        <v/>
      </c>
      <c r="B364" s="97">
        <f>IF($A364="","",DM_DT!$B58)</f>
        <v/>
      </c>
      <c r="C364" s="125">
        <f>IF($A364="","",SUMIFS(SDDK!$D$256:$D$375,SDDK!$A$256:$A$375,"331",SDDK!$B$256:$B$375,$A364))</f>
        <v/>
      </c>
      <c r="D364" s="125">
        <f>IF($A364="","",SUMIFS(SDDK!$E$256:$E$375,SDDK!$A$256:$A$375,"331",SDDK!$B$256:$B$375,$A364))</f>
        <v/>
      </c>
      <c r="E364" s="125">
        <f>IF($A364="","",SUMIFS(NKC!$H$7:$H$3006,NKC!$F$7:$F$3006,"331*",NKC!$I$7:$I$3006,$A364,NKC!$B$7:$B$3006,"&lt;="&amp;DEN_NGAY))</f>
        <v/>
      </c>
      <c r="F364" s="125">
        <f>IF($A364="","",SUMIFS(NKC!$H$7:$H$3006,NKC!$G$7:$G$3006,"331*",NKC!$I$7:$I$3006,$A364,NKC!$B$7:$B$3006,"&lt;="&amp;DEN_NGAY))</f>
        <v/>
      </c>
      <c r="G364" s="125">
        <f>IF($A364="","",MAX($C364-$D364+$E364-$F364,0))</f>
        <v/>
      </c>
      <c r="H364" s="125">
        <f>IF($A364="","",MAX(-($C364-$D364+$E364-$F364),0))</f>
        <v/>
      </c>
    </row>
    <row r="365" ht="15" customHeight="1" s="78">
      <c r="A365" s="96">
        <f>IF(DM_DT!$A59="","",DM_DT!$A59&amp;"")</f>
        <v/>
      </c>
      <c r="B365" s="97">
        <f>IF($A365="","",DM_DT!$B59)</f>
        <v/>
      </c>
      <c r="C365" s="125">
        <f>IF($A365="","",SUMIFS(SDDK!$D$256:$D$375,SDDK!$A$256:$A$375,"331",SDDK!$B$256:$B$375,$A365))</f>
        <v/>
      </c>
      <c r="D365" s="125">
        <f>IF($A365="","",SUMIFS(SDDK!$E$256:$E$375,SDDK!$A$256:$A$375,"331",SDDK!$B$256:$B$375,$A365))</f>
        <v/>
      </c>
      <c r="E365" s="125">
        <f>IF($A365="","",SUMIFS(NKC!$H$7:$H$3006,NKC!$F$7:$F$3006,"331*",NKC!$I$7:$I$3006,$A365,NKC!$B$7:$B$3006,"&lt;="&amp;DEN_NGAY))</f>
        <v/>
      </c>
      <c r="F365" s="125">
        <f>IF($A365="","",SUMIFS(NKC!$H$7:$H$3006,NKC!$G$7:$G$3006,"331*",NKC!$I$7:$I$3006,$A365,NKC!$B$7:$B$3006,"&lt;="&amp;DEN_NGAY))</f>
        <v/>
      </c>
      <c r="G365" s="125">
        <f>IF($A365="","",MAX($C365-$D365+$E365-$F365,0))</f>
        <v/>
      </c>
      <c r="H365" s="125">
        <f>IF($A365="","",MAX(-($C365-$D365+$E365-$F365),0))</f>
        <v/>
      </c>
    </row>
    <row r="366" ht="15" customHeight="1" s="78">
      <c r="A366" s="96">
        <f>IF(DM_DT!$A60="","",DM_DT!$A60&amp;"")</f>
        <v/>
      </c>
      <c r="B366" s="97">
        <f>IF($A366="","",DM_DT!$B60)</f>
        <v/>
      </c>
      <c r="C366" s="125">
        <f>IF($A366="","",SUMIFS(SDDK!$D$256:$D$375,SDDK!$A$256:$A$375,"331",SDDK!$B$256:$B$375,$A366))</f>
        <v/>
      </c>
      <c r="D366" s="125">
        <f>IF($A366="","",SUMIFS(SDDK!$E$256:$E$375,SDDK!$A$256:$A$375,"331",SDDK!$B$256:$B$375,$A366))</f>
        <v/>
      </c>
      <c r="E366" s="125">
        <f>IF($A366="","",SUMIFS(NKC!$H$7:$H$3006,NKC!$F$7:$F$3006,"331*",NKC!$I$7:$I$3006,$A366,NKC!$B$7:$B$3006,"&lt;="&amp;DEN_NGAY))</f>
        <v/>
      </c>
      <c r="F366" s="125">
        <f>IF($A366="","",SUMIFS(NKC!$H$7:$H$3006,NKC!$G$7:$G$3006,"331*",NKC!$I$7:$I$3006,$A366,NKC!$B$7:$B$3006,"&lt;="&amp;DEN_NGAY))</f>
        <v/>
      </c>
      <c r="G366" s="125">
        <f>IF($A366="","",MAX($C366-$D366+$E366-$F366,0))</f>
        <v/>
      </c>
      <c r="H366" s="125">
        <f>IF($A366="","",MAX(-($C366-$D366+$E366-$F366),0))</f>
        <v/>
      </c>
    </row>
    <row r="367" ht="15" customHeight="1" s="78">
      <c r="A367" s="96">
        <f>IF(DM_DT!$A61="","",DM_DT!$A61&amp;"")</f>
        <v/>
      </c>
      <c r="B367" s="97">
        <f>IF($A367="","",DM_DT!$B61)</f>
        <v/>
      </c>
      <c r="C367" s="125">
        <f>IF($A367="","",SUMIFS(SDDK!$D$256:$D$375,SDDK!$A$256:$A$375,"331",SDDK!$B$256:$B$375,$A367))</f>
        <v/>
      </c>
      <c r="D367" s="125">
        <f>IF($A367="","",SUMIFS(SDDK!$E$256:$E$375,SDDK!$A$256:$A$375,"331",SDDK!$B$256:$B$375,$A367))</f>
        <v/>
      </c>
      <c r="E367" s="125">
        <f>IF($A367="","",SUMIFS(NKC!$H$7:$H$3006,NKC!$F$7:$F$3006,"331*",NKC!$I$7:$I$3006,$A367,NKC!$B$7:$B$3006,"&lt;="&amp;DEN_NGAY))</f>
        <v/>
      </c>
      <c r="F367" s="125">
        <f>IF($A367="","",SUMIFS(NKC!$H$7:$H$3006,NKC!$G$7:$G$3006,"331*",NKC!$I$7:$I$3006,$A367,NKC!$B$7:$B$3006,"&lt;="&amp;DEN_NGAY))</f>
        <v/>
      </c>
      <c r="G367" s="125">
        <f>IF($A367="","",MAX($C367-$D367+$E367-$F367,0))</f>
        <v/>
      </c>
      <c r="H367" s="125">
        <f>IF($A367="","",MAX(-($C367-$D367+$E367-$F367),0))</f>
        <v/>
      </c>
    </row>
    <row r="368" ht="15" customHeight="1" s="78">
      <c r="A368" s="96">
        <f>IF(DM_DT!$A62="","",DM_DT!$A62&amp;"")</f>
        <v/>
      </c>
      <c r="B368" s="97">
        <f>IF($A368="","",DM_DT!$B62)</f>
        <v/>
      </c>
      <c r="C368" s="125">
        <f>IF($A368="","",SUMIFS(SDDK!$D$256:$D$375,SDDK!$A$256:$A$375,"331",SDDK!$B$256:$B$375,$A368))</f>
        <v/>
      </c>
      <c r="D368" s="125">
        <f>IF($A368="","",SUMIFS(SDDK!$E$256:$E$375,SDDK!$A$256:$A$375,"331",SDDK!$B$256:$B$375,$A368))</f>
        <v/>
      </c>
      <c r="E368" s="125">
        <f>IF($A368="","",SUMIFS(NKC!$H$7:$H$3006,NKC!$F$7:$F$3006,"331*",NKC!$I$7:$I$3006,$A368,NKC!$B$7:$B$3006,"&lt;="&amp;DEN_NGAY))</f>
        <v/>
      </c>
      <c r="F368" s="125">
        <f>IF($A368="","",SUMIFS(NKC!$H$7:$H$3006,NKC!$G$7:$G$3006,"331*",NKC!$I$7:$I$3006,$A368,NKC!$B$7:$B$3006,"&lt;="&amp;DEN_NGAY))</f>
        <v/>
      </c>
      <c r="G368" s="125">
        <f>IF($A368="","",MAX($C368-$D368+$E368-$F368,0))</f>
        <v/>
      </c>
      <c r="H368" s="125">
        <f>IF($A368="","",MAX(-($C368-$D368+$E368-$F368),0))</f>
        <v/>
      </c>
    </row>
    <row r="369" ht="15" customHeight="1" s="78">
      <c r="A369" s="96">
        <f>IF(DM_DT!$A63="","",DM_DT!$A63&amp;"")</f>
        <v/>
      </c>
      <c r="B369" s="97">
        <f>IF($A369="","",DM_DT!$B63)</f>
        <v/>
      </c>
      <c r="C369" s="125">
        <f>IF($A369="","",SUMIFS(SDDK!$D$256:$D$375,SDDK!$A$256:$A$375,"331",SDDK!$B$256:$B$375,$A369))</f>
        <v/>
      </c>
      <c r="D369" s="125">
        <f>IF($A369="","",SUMIFS(SDDK!$E$256:$E$375,SDDK!$A$256:$A$375,"331",SDDK!$B$256:$B$375,$A369))</f>
        <v/>
      </c>
      <c r="E369" s="125">
        <f>IF($A369="","",SUMIFS(NKC!$H$7:$H$3006,NKC!$F$7:$F$3006,"331*",NKC!$I$7:$I$3006,$A369,NKC!$B$7:$B$3006,"&lt;="&amp;DEN_NGAY))</f>
        <v/>
      </c>
      <c r="F369" s="125">
        <f>IF($A369="","",SUMIFS(NKC!$H$7:$H$3006,NKC!$G$7:$G$3006,"331*",NKC!$I$7:$I$3006,$A369,NKC!$B$7:$B$3006,"&lt;="&amp;DEN_NGAY))</f>
        <v/>
      </c>
      <c r="G369" s="125">
        <f>IF($A369="","",MAX($C369-$D369+$E369-$F369,0))</f>
        <v/>
      </c>
      <c r="H369" s="125">
        <f>IF($A369="","",MAX(-($C369-$D369+$E369-$F369),0))</f>
        <v/>
      </c>
    </row>
    <row r="370" ht="15" customHeight="1" s="78">
      <c r="A370" s="96">
        <f>IF(DM_DT!$A64="","",DM_DT!$A64&amp;"")</f>
        <v/>
      </c>
      <c r="B370" s="97">
        <f>IF($A370="","",DM_DT!$B64)</f>
        <v/>
      </c>
      <c r="C370" s="125">
        <f>IF($A370="","",SUMIFS(SDDK!$D$256:$D$375,SDDK!$A$256:$A$375,"331",SDDK!$B$256:$B$375,$A370))</f>
        <v/>
      </c>
      <c r="D370" s="125">
        <f>IF($A370="","",SUMIFS(SDDK!$E$256:$E$375,SDDK!$A$256:$A$375,"331",SDDK!$B$256:$B$375,$A370))</f>
        <v/>
      </c>
      <c r="E370" s="125">
        <f>IF($A370="","",SUMIFS(NKC!$H$7:$H$3006,NKC!$F$7:$F$3006,"331*",NKC!$I$7:$I$3006,$A370,NKC!$B$7:$B$3006,"&lt;="&amp;DEN_NGAY))</f>
        <v/>
      </c>
      <c r="F370" s="125">
        <f>IF($A370="","",SUMIFS(NKC!$H$7:$H$3006,NKC!$G$7:$G$3006,"331*",NKC!$I$7:$I$3006,$A370,NKC!$B$7:$B$3006,"&lt;="&amp;DEN_NGAY))</f>
        <v/>
      </c>
      <c r="G370" s="125">
        <f>IF($A370="","",MAX($C370-$D370+$E370-$F370,0))</f>
        <v/>
      </c>
      <c r="H370" s="125">
        <f>IF($A370="","",MAX(-($C370-$D370+$E370-$F370),0))</f>
        <v/>
      </c>
    </row>
    <row r="371" ht="15" customHeight="1" s="78">
      <c r="A371" s="96">
        <f>IF(DM_DT!$A65="","",DM_DT!$A65&amp;"")</f>
        <v/>
      </c>
      <c r="B371" s="97">
        <f>IF($A371="","",DM_DT!$B65)</f>
        <v/>
      </c>
      <c r="C371" s="125">
        <f>IF($A371="","",SUMIFS(SDDK!$D$256:$D$375,SDDK!$A$256:$A$375,"331",SDDK!$B$256:$B$375,$A371))</f>
        <v/>
      </c>
      <c r="D371" s="125">
        <f>IF($A371="","",SUMIFS(SDDK!$E$256:$E$375,SDDK!$A$256:$A$375,"331",SDDK!$B$256:$B$375,$A371))</f>
        <v/>
      </c>
      <c r="E371" s="125">
        <f>IF($A371="","",SUMIFS(NKC!$H$7:$H$3006,NKC!$F$7:$F$3006,"331*",NKC!$I$7:$I$3006,$A371,NKC!$B$7:$B$3006,"&lt;="&amp;DEN_NGAY))</f>
        <v/>
      </c>
      <c r="F371" s="125">
        <f>IF($A371="","",SUMIFS(NKC!$H$7:$H$3006,NKC!$G$7:$G$3006,"331*",NKC!$I$7:$I$3006,$A371,NKC!$B$7:$B$3006,"&lt;="&amp;DEN_NGAY))</f>
        <v/>
      </c>
      <c r="G371" s="125">
        <f>IF($A371="","",MAX($C371-$D371+$E371-$F371,0))</f>
        <v/>
      </c>
      <c r="H371" s="125">
        <f>IF($A371="","",MAX(-($C371-$D371+$E371-$F371),0))</f>
        <v/>
      </c>
    </row>
    <row r="372" ht="15" customHeight="1" s="78">
      <c r="A372" s="96">
        <f>IF(DM_DT!$A66="","",DM_DT!$A66&amp;"")</f>
        <v/>
      </c>
      <c r="B372" s="97">
        <f>IF($A372="","",DM_DT!$B66)</f>
        <v/>
      </c>
      <c r="C372" s="125">
        <f>IF($A372="","",SUMIFS(SDDK!$D$256:$D$375,SDDK!$A$256:$A$375,"331",SDDK!$B$256:$B$375,$A372))</f>
        <v/>
      </c>
      <c r="D372" s="125">
        <f>IF($A372="","",SUMIFS(SDDK!$E$256:$E$375,SDDK!$A$256:$A$375,"331",SDDK!$B$256:$B$375,$A372))</f>
        <v/>
      </c>
      <c r="E372" s="125">
        <f>IF($A372="","",SUMIFS(NKC!$H$7:$H$3006,NKC!$F$7:$F$3006,"331*",NKC!$I$7:$I$3006,$A372,NKC!$B$7:$B$3006,"&lt;="&amp;DEN_NGAY))</f>
        <v/>
      </c>
      <c r="F372" s="125">
        <f>IF($A372="","",SUMIFS(NKC!$H$7:$H$3006,NKC!$G$7:$G$3006,"331*",NKC!$I$7:$I$3006,$A372,NKC!$B$7:$B$3006,"&lt;="&amp;DEN_NGAY))</f>
        <v/>
      </c>
      <c r="G372" s="125">
        <f>IF($A372="","",MAX($C372-$D372+$E372-$F372,0))</f>
        <v/>
      </c>
      <c r="H372" s="125">
        <f>IF($A372="","",MAX(-($C372-$D372+$E372-$F372),0))</f>
        <v/>
      </c>
    </row>
    <row r="373" ht="15" customHeight="1" s="78">
      <c r="A373" s="96">
        <f>IF(DM_DT!$A67="","",DM_DT!$A67&amp;"")</f>
        <v/>
      </c>
      <c r="B373" s="97">
        <f>IF($A373="","",DM_DT!$B67)</f>
        <v/>
      </c>
      <c r="C373" s="125">
        <f>IF($A373="","",SUMIFS(SDDK!$D$256:$D$375,SDDK!$A$256:$A$375,"331",SDDK!$B$256:$B$375,$A373))</f>
        <v/>
      </c>
      <c r="D373" s="125">
        <f>IF($A373="","",SUMIFS(SDDK!$E$256:$E$375,SDDK!$A$256:$A$375,"331",SDDK!$B$256:$B$375,$A373))</f>
        <v/>
      </c>
      <c r="E373" s="125">
        <f>IF($A373="","",SUMIFS(NKC!$H$7:$H$3006,NKC!$F$7:$F$3006,"331*",NKC!$I$7:$I$3006,$A373,NKC!$B$7:$B$3006,"&lt;="&amp;DEN_NGAY))</f>
        <v/>
      </c>
      <c r="F373" s="125">
        <f>IF($A373="","",SUMIFS(NKC!$H$7:$H$3006,NKC!$G$7:$G$3006,"331*",NKC!$I$7:$I$3006,$A373,NKC!$B$7:$B$3006,"&lt;="&amp;DEN_NGAY))</f>
        <v/>
      </c>
      <c r="G373" s="125">
        <f>IF($A373="","",MAX($C373-$D373+$E373-$F373,0))</f>
        <v/>
      </c>
      <c r="H373" s="125">
        <f>IF($A373="","",MAX(-($C373-$D373+$E373-$F373),0))</f>
        <v/>
      </c>
    </row>
    <row r="374" ht="15" customHeight="1" s="78">
      <c r="A374" s="96">
        <f>IF(DM_DT!$A68="","",DM_DT!$A68&amp;"")</f>
        <v/>
      </c>
      <c r="B374" s="97">
        <f>IF($A374="","",DM_DT!$B68)</f>
        <v/>
      </c>
      <c r="C374" s="125">
        <f>IF($A374="","",SUMIFS(SDDK!$D$256:$D$375,SDDK!$A$256:$A$375,"331",SDDK!$B$256:$B$375,$A374))</f>
        <v/>
      </c>
      <c r="D374" s="125">
        <f>IF($A374="","",SUMIFS(SDDK!$E$256:$E$375,SDDK!$A$256:$A$375,"331",SDDK!$B$256:$B$375,$A374))</f>
        <v/>
      </c>
      <c r="E374" s="125">
        <f>IF($A374="","",SUMIFS(NKC!$H$7:$H$3006,NKC!$F$7:$F$3006,"331*",NKC!$I$7:$I$3006,$A374,NKC!$B$7:$B$3006,"&lt;="&amp;DEN_NGAY))</f>
        <v/>
      </c>
      <c r="F374" s="125">
        <f>IF($A374="","",SUMIFS(NKC!$H$7:$H$3006,NKC!$G$7:$G$3006,"331*",NKC!$I$7:$I$3006,$A374,NKC!$B$7:$B$3006,"&lt;="&amp;DEN_NGAY))</f>
        <v/>
      </c>
      <c r="G374" s="125">
        <f>IF($A374="","",MAX($C374-$D374+$E374-$F374,0))</f>
        <v/>
      </c>
      <c r="H374" s="125">
        <f>IF($A374="","",MAX(-($C374-$D374+$E374-$F374),0))</f>
        <v/>
      </c>
    </row>
    <row r="375" ht="15" customHeight="1" s="78">
      <c r="A375" s="96">
        <f>IF(DM_DT!$A69="","",DM_DT!$A69&amp;"")</f>
        <v/>
      </c>
      <c r="B375" s="97">
        <f>IF($A375="","",DM_DT!$B69)</f>
        <v/>
      </c>
      <c r="C375" s="125">
        <f>IF($A375="","",SUMIFS(SDDK!$D$256:$D$375,SDDK!$A$256:$A$375,"331",SDDK!$B$256:$B$375,$A375))</f>
        <v/>
      </c>
      <c r="D375" s="125">
        <f>IF($A375="","",SUMIFS(SDDK!$E$256:$E$375,SDDK!$A$256:$A$375,"331",SDDK!$B$256:$B$375,$A375))</f>
        <v/>
      </c>
      <c r="E375" s="125">
        <f>IF($A375="","",SUMIFS(NKC!$H$7:$H$3006,NKC!$F$7:$F$3006,"331*",NKC!$I$7:$I$3006,$A375,NKC!$B$7:$B$3006,"&lt;="&amp;DEN_NGAY))</f>
        <v/>
      </c>
      <c r="F375" s="125">
        <f>IF($A375="","",SUMIFS(NKC!$H$7:$H$3006,NKC!$G$7:$G$3006,"331*",NKC!$I$7:$I$3006,$A375,NKC!$B$7:$B$3006,"&lt;="&amp;DEN_NGAY))</f>
        <v/>
      </c>
      <c r="G375" s="125">
        <f>IF($A375="","",MAX($C375-$D375+$E375-$F375,0))</f>
        <v/>
      </c>
      <c r="H375" s="125">
        <f>IF($A375="","",MAX(-($C375-$D375+$E375-$F375),0))</f>
        <v/>
      </c>
    </row>
    <row r="376" ht="15" customHeight="1" s="78">
      <c r="A376" s="96">
        <f>IF(DM_DT!$A70="","",DM_DT!$A70&amp;"")</f>
        <v/>
      </c>
      <c r="B376" s="97">
        <f>IF($A376="","",DM_DT!$B70)</f>
        <v/>
      </c>
      <c r="C376" s="125">
        <f>IF($A376="","",SUMIFS(SDDK!$D$256:$D$375,SDDK!$A$256:$A$375,"331",SDDK!$B$256:$B$375,$A376))</f>
        <v/>
      </c>
      <c r="D376" s="125">
        <f>IF($A376="","",SUMIFS(SDDK!$E$256:$E$375,SDDK!$A$256:$A$375,"331",SDDK!$B$256:$B$375,$A376))</f>
        <v/>
      </c>
      <c r="E376" s="125">
        <f>IF($A376="","",SUMIFS(NKC!$H$7:$H$3006,NKC!$F$7:$F$3006,"331*",NKC!$I$7:$I$3006,$A376,NKC!$B$7:$B$3006,"&lt;="&amp;DEN_NGAY))</f>
        <v/>
      </c>
      <c r="F376" s="125">
        <f>IF($A376="","",SUMIFS(NKC!$H$7:$H$3006,NKC!$G$7:$G$3006,"331*",NKC!$I$7:$I$3006,$A376,NKC!$B$7:$B$3006,"&lt;="&amp;DEN_NGAY))</f>
        <v/>
      </c>
      <c r="G376" s="125">
        <f>IF($A376="","",MAX($C376-$D376+$E376-$F376,0))</f>
        <v/>
      </c>
      <c r="H376" s="125">
        <f>IF($A376="","",MAX(-($C376-$D376+$E376-$F376),0))</f>
        <v/>
      </c>
    </row>
    <row r="377" ht="15" customHeight="1" s="78">
      <c r="A377" s="96">
        <f>IF(DM_DT!$A71="","",DM_DT!$A71&amp;"")</f>
        <v/>
      </c>
      <c r="B377" s="97">
        <f>IF($A377="","",DM_DT!$B71)</f>
        <v/>
      </c>
      <c r="C377" s="125">
        <f>IF($A377="","",SUMIFS(SDDK!$D$256:$D$375,SDDK!$A$256:$A$375,"331",SDDK!$B$256:$B$375,$A377))</f>
        <v/>
      </c>
      <c r="D377" s="125">
        <f>IF($A377="","",SUMIFS(SDDK!$E$256:$E$375,SDDK!$A$256:$A$375,"331",SDDK!$B$256:$B$375,$A377))</f>
        <v/>
      </c>
      <c r="E377" s="125">
        <f>IF($A377="","",SUMIFS(NKC!$H$7:$H$3006,NKC!$F$7:$F$3006,"331*",NKC!$I$7:$I$3006,$A377,NKC!$B$7:$B$3006,"&lt;="&amp;DEN_NGAY))</f>
        <v/>
      </c>
      <c r="F377" s="125">
        <f>IF($A377="","",SUMIFS(NKC!$H$7:$H$3006,NKC!$G$7:$G$3006,"331*",NKC!$I$7:$I$3006,$A377,NKC!$B$7:$B$3006,"&lt;="&amp;DEN_NGAY))</f>
        <v/>
      </c>
      <c r="G377" s="125">
        <f>IF($A377="","",MAX($C377-$D377+$E377-$F377,0))</f>
        <v/>
      </c>
      <c r="H377" s="125">
        <f>IF($A377="","",MAX(-($C377-$D377+$E377-$F377),0))</f>
        <v/>
      </c>
    </row>
    <row r="378" ht="15" customHeight="1" s="78">
      <c r="A378" s="96">
        <f>IF(DM_DT!$A72="","",DM_DT!$A72&amp;"")</f>
        <v/>
      </c>
      <c r="B378" s="97">
        <f>IF($A378="","",DM_DT!$B72)</f>
        <v/>
      </c>
      <c r="C378" s="125">
        <f>IF($A378="","",SUMIFS(SDDK!$D$256:$D$375,SDDK!$A$256:$A$375,"331",SDDK!$B$256:$B$375,$A378))</f>
        <v/>
      </c>
      <c r="D378" s="125">
        <f>IF($A378="","",SUMIFS(SDDK!$E$256:$E$375,SDDK!$A$256:$A$375,"331",SDDK!$B$256:$B$375,$A378))</f>
        <v/>
      </c>
      <c r="E378" s="125">
        <f>IF($A378="","",SUMIFS(NKC!$H$7:$H$3006,NKC!$F$7:$F$3006,"331*",NKC!$I$7:$I$3006,$A378,NKC!$B$7:$B$3006,"&lt;="&amp;DEN_NGAY))</f>
        <v/>
      </c>
      <c r="F378" s="125">
        <f>IF($A378="","",SUMIFS(NKC!$H$7:$H$3006,NKC!$G$7:$G$3006,"331*",NKC!$I$7:$I$3006,$A378,NKC!$B$7:$B$3006,"&lt;="&amp;DEN_NGAY))</f>
        <v/>
      </c>
      <c r="G378" s="125">
        <f>IF($A378="","",MAX($C378-$D378+$E378-$F378,0))</f>
        <v/>
      </c>
      <c r="H378" s="125">
        <f>IF($A378="","",MAX(-($C378-$D378+$E378-$F378),0))</f>
        <v/>
      </c>
    </row>
    <row r="379" ht="15" customHeight="1" s="78">
      <c r="A379" s="96">
        <f>IF(DM_DT!$A73="","",DM_DT!$A73&amp;"")</f>
        <v/>
      </c>
      <c r="B379" s="97">
        <f>IF($A379="","",DM_DT!$B73)</f>
        <v/>
      </c>
      <c r="C379" s="125">
        <f>IF($A379="","",SUMIFS(SDDK!$D$256:$D$375,SDDK!$A$256:$A$375,"331",SDDK!$B$256:$B$375,$A379))</f>
        <v/>
      </c>
      <c r="D379" s="125">
        <f>IF($A379="","",SUMIFS(SDDK!$E$256:$E$375,SDDK!$A$256:$A$375,"331",SDDK!$B$256:$B$375,$A379))</f>
        <v/>
      </c>
      <c r="E379" s="125">
        <f>IF($A379="","",SUMIFS(NKC!$H$7:$H$3006,NKC!$F$7:$F$3006,"331*",NKC!$I$7:$I$3006,$A379,NKC!$B$7:$B$3006,"&lt;="&amp;DEN_NGAY))</f>
        <v/>
      </c>
      <c r="F379" s="125">
        <f>IF($A379="","",SUMIFS(NKC!$H$7:$H$3006,NKC!$G$7:$G$3006,"331*",NKC!$I$7:$I$3006,$A379,NKC!$B$7:$B$3006,"&lt;="&amp;DEN_NGAY))</f>
        <v/>
      </c>
      <c r="G379" s="125">
        <f>IF($A379="","",MAX($C379-$D379+$E379-$F379,0))</f>
        <v/>
      </c>
      <c r="H379" s="125">
        <f>IF($A379="","",MAX(-($C379-$D379+$E379-$F379),0))</f>
        <v/>
      </c>
    </row>
    <row r="380" ht="15" customHeight="1" s="78">
      <c r="A380" s="96">
        <f>IF(DM_DT!$A74="","",DM_DT!$A74&amp;"")</f>
        <v/>
      </c>
      <c r="B380" s="97">
        <f>IF($A380="","",DM_DT!$B74)</f>
        <v/>
      </c>
      <c r="C380" s="125">
        <f>IF($A380="","",SUMIFS(SDDK!$D$256:$D$375,SDDK!$A$256:$A$375,"331",SDDK!$B$256:$B$375,$A380))</f>
        <v/>
      </c>
      <c r="D380" s="125">
        <f>IF($A380="","",SUMIFS(SDDK!$E$256:$E$375,SDDK!$A$256:$A$375,"331",SDDK!$B$256:$B$375,$A380))</f>
        <v/>
      </c>
      <c r="E380" s="125">
        <f>IF($A380="","",SUMIFS(NKC!$H$7:$H$3006,NKC!$F$7:$F$3006,"331*",NKC!$I$7:$I$3006,$A380,NKC!$B$7:$B$3006,"&lt;="&amp;DEN_NGAY))</f>
        <v/>
      </c>
      <c r="F380" s="125">
        <f>IF($A380="","",SUMIFS(NKC!$H$7:$H$3006,NKC!$G$7:$G$3006,"331*",NKC!$I$7:$I$3006,$A380,NKC!$B$7:$B$3006,"&lt;="&amp;DEN_NGAY))</f>
        <v/>
      </c>
      <c r="G380" s="125">
        <f>IF($A380="","",MAX($C380-$D380+$E380-$F380,0))</f>
        <v/>
      </c>
      <c r="H380" s="125">
        <f>IF($A380="","",MAX(-($C380-$D380+$E380-$F380),0))</f>
        <v/>
      </c>
    </row>
    <row r="381" ht="15" customHeight="1" s="78">
      <c r="A381" s="96">
        <f>IF(DM_DT!$A75="","",DM_DT!$A75&amp;"")</f>
        <v/>
      </c>
      <c r="B381" s="97">
        <f>IF($A381="","",DM_DT!$B75)</f>
        <v/>
      </c>
      <c r="C381" s="125">
        <f>IF($A381="","",SUMIFS(SDDK!$D$256:$D$375,SDDK!$A$256:$A$375,"331",SDDK!$B$256:$B$375,$A381))</f>
        <v/>
      </c>
      <c r="D381" s="125">
        <f>IF($A381="","",SUMIFS(SDDK!$E$256:$E$375,SDDK!$A$256:$A$375,"331",SDDK!$B$256:$B$375,$A381))</f>
        <v/>
      </c>
      <c r="E381" s="125">
        <f>IF($A381="","",SUMIFS(NKC!$H$7:$H$3006,NKC!$F$7:$F$3006,"331*",NKC!$I$7:$I$3006,$A381,NKC!$B$7:$B$3006,"&lt;="&amp;DEN_NGAY))</f>
        <v/>
      </c>
      <c r="F381" s="125">
        <f>IF($A381="","",SUMIFS(NKC!$H$7:$H$3006,NKC!$G$7:$G$3006,"331*",NKC!$I$7:$I$3006,$A381,NKC!$B$7:$B$3006,"&lt;="&amp;DEN_NGAY))</f>
        <v/>
      </c>
      <c r="G381" s="125">
        <f>IF($A381="","",MAX($C381-$D381+$E381-$F381,0))</f>
        <v/>
      </c>
      <c r="H381" s="125">
        <f>IF($A381="","",MAX(-($C381-$D381+$E381-$F381),0))</f>
        <v/>
      </c>
    </row>
    <row r="382" ht="15" customHeight="1" s="78">
      <c r="A382" s="96">
        <f>IF(DM_DT!$A76="","",DM_DT!$A76&amp;"")</f>
        <v/>
      </c>
      <c r="B382" s="97">
        <f>IF($A382="","",DM_DT!$B76)</f>
        <v/>
      </c>
      <c r="C382" s="125">
        <f>IF($A382="","",SUMIFS(SDDK!$D$256:$D$375,SDDK!$A$256:$A$375,"331",SDDK!$B$256:$B$375,$A382))</f>
        <v/>
      </c>
      <c r="D382" s="125">
        <f>IF($A382="","",SUMIFS(SDDK!$E$256:$E$375,SDDK!$A$256:$A$375,"331",SDDK!$B$256:$B$375,$A382))</f>
        <v/>
      </c>
      <c r="E382" s="125">
        <f>IF($A382="","",SUMIFS(NKC!$H$7:$H$3006,NKC!$F$7:$F$3006,"331*",NKC!$I$7:$I$3006,$A382,NKC!$B$7:$B$3006,"&lt;="&amp;DEN_NGAY))</f>
        <v/>
      </c>
      <c r="F382" s="125">
        <f>IF($A382="","",SUMIFS(NKC!$H$7:$H$3006,NKC!$G$7:$G$3006,"331*",NKC!$I$7:$I$3006,$A382,NKC!$B$7:$B$3006,"&lt;="&amp;DEN_NGAY))</f>
        <v/>
      </c>
      <c r="G382" s="125">
        <f>IF($A382="","",MAX($C382-$D382+$E382-$F382,0))</f>
        <v/>
      </c>
      <c r="H382" s="125">
        <f>IF($A382="","",MAX(-($C382-$D382+$E382-$F382),0))</f>
        <v/>
      </c>
    </row>
    <row r="383" ht="15" customHeight="1" s="78">
      <c r="A383" s="96">
        <f>IF(DM_DT!$A77="","",DM_DT!$A77&amp;"")</f>
        <v/>
      </c>
      <c r="B383" s="97">
        <f>IF($A383="","",DM_DT!$B77)</f>
        <v/>
      </c>
      <c r="C383" s="125">
        <f>IF($A383="","",SUMIFS(SDDK!$D$256:$D$375,SDDK!$A$256:$A$375,"331",SDDK!$B$256:$B$375,$A383))</f>
        <v/>
      </c>
      <c r="D383" s="125">
        <f>IF($A383="","",SUMIFS(SDDK!$E$256:$E$375,SDDK!$A$256:$A$375,"331",SDDK!$B$256:$B$375,$A383))</f>
        <v/>
      </c>
      <c r="E383" s="125">
        <f>IF($A383="","",SUMIFS(NKC!$H$7:$H$3006,NKC!$F$7:$F$3006,"331*",NKC!$I$7:$I$3006,$A383,NKC!$B$7:$B$3006,"&lt;="&amp;DEN_NGAY))</f>
        <v/>
      </c>
      <c r="F383" s="125">
        <f>IF($A383="","",SUMIFS(NKC!$H$7:$H$3006,NKC!$G$7:$G$3006,"331*",NKC!$I$7:$I$3006,$A383,NKC!$B$7:$B$3006,"&lt;="&amp;DEN_NGAY))</f>
        <v/>
      </c>
      <c r="G383" s="125">
        <f>IF($A383="","",MAX($C383-$D383+$E383-$F383,0))</f>
        <v/>
      </c>
      <c r="H383" s="125">
        <f>IF($A383="","",MAX(-($C383-$D383+$E383-$F383),0))</f>
        <v/>
      </c>
    </row>
    <row r="384" ht="15" customHeight="1" s="78">
      <c r="A384" s="96">
        <f>IF(DM_DT!$A78="","",DM_DT!$A78&amp;"")</f>
        <v/>
      </c>
      <c r="B384" s="97">
        <f>IF($A384="","",DM_DT!$B78)</f>
        <v/>
      </c>
      <c r="C384" s="125">
        <f>IF($A384="","",SUMIFS(SDDK!$D$256:$D$375,SDDK!$A$256:$A$375,"331",SDDK!$B$256:$B$375,$A384))</f>
        <v/>
      </c>
      <c r="D384" s="125">
        <f>IF($A384="","",SUMIFS(SDDK!$E$256:$E$375,SDDK!$A$256:$A$375,"331",SDDK!$B$256:$B$375,$A384))</f>
        <v/>
      </c>
      <c r="E384" s="125">
        <f>IF($A384="","",SUMIFS(NKC!$H$7:$H$3006,NKC!$F$7:$F$3006,"331*",NKC!$I$7:$I$3006,$A384,NKC!$B$7:$B$3006,"&lt;="&amp;DEN_NGAY))</f>
        <v/>
      </c>
      <c r="F384" s="125">
        <f>IF($A384="","",SUMIFS(NKC!$H$7:$H$3006,NKC!$G$7:$G$3006,"331*",NKC!$I$7:$I$3006,$A384,NKC!$B$7:$B$3006,"&lt;="&amp;DEN_NGAY))</f>
        <v/>
      </c>
      <c r="G384" s="125">
        <f>IF($A384="","",MAX($C384-$D384+$E384-$F384,0))</f>
        <v/>
      </c>
      <c r="H384" s="125">
        <f>IF($A384="","",MAX(-($C384-$D384+$E384-$F384),0))</f>
        <v/>
      </c>
    </row>
    <row r="385" ht="15" customHeight="1" s="78">
      <c r="A385" s="96">
        <f>IF(DM_DT!$A79="","",DM_DT!$A79&amp;"")</f>
        <v/>
      </c>
      <c r="B385" s="97">
        <f>IF($A385="","",DM_DT!$B79)</f>
        <v/>
      </c>
      <c r="C385" s="125">
        <f>IF($A385="","",SUMIFS(SDDK!$D$256:$D$375,SDDK!$A$256:$A$375,"331",SDDK!$B$256:$B$375,$A385))</f>
        <v/>
      </c>
      <c r="D385" s="125">
        <f>IF($A385="","",SUMIFS(SDDK!$E$256:$E$375,SDDK!$A$256:$A$375,"331",SDDK!$B$256:$B$375,$A385))</f>
        <v/>
      </c>
      <c r="E385" s="125">
        <f>IF($A385="","",SUMIFS(NKC!$H$7:$H$3006,NKC!$F$7:$F$3006,"331*",NKC!$I$7:$I$3006,$A385,NKC!$B$7:$B$3006,"&lt;="&amp;DEN_NGAY))</f>
        <v/>
      </c>
      <c r="F385" s="125">
        <f>IF($A385="","",SUMIFS(NKC!$H$7:$H$3006,NKC!$G$7:$G$3006,"331*",NKC!$I$7:$I$3006,$A385,NKC!$B$7:$B$3006,"&lt;="&amp;DEN_NGAY))</f>
        <v/>
      </c>
      <c r="G385" s="125">
        <f>IF($A385="","",MAX($C385-$D385+$E385-$F385,0))</f>
        <v/>
      </c>
      <c r="H385" s="125">
        <f>IF($A385="","",MAX(-($C385-$D385+$E385-$F385),0))</f>
        <v/>
      </c>
    </row>
    <row r="386" ht="15" customHeight="1" s="78">
      <c r="A386" s="96">
        <f>IF(DM_DT!$A80="","",DM_DT!$A80&amp;"")</f>
        <v/>
      </c>
      <c r="B386" s="97">
        <f>IF($A386="","",DM_DT!$B80)</f>
        <v/>
      </c>
      <c r="C386" s="125">
        <f>IF($A386="","",SUMIFS(SDDK!$D$256:$D$375,SDDK!$A$256:$A$375,"331",SDDK!$B$256:$B$375,$A386))</f>
        <v/>
      </c>
      <c r="D386" s="125">
        <f>IF($A386="","",SUMIFS(SDDK!$E$256:$E$375,SDDK!$A$256:$A$375,"331",SDDK!$B$256:$B$375,$A386))</f>
        <v/>
      </c>
      <c r="E386" s="125">
        <f>IF($A386="","",SUMIFS(NKC!$H$7:$H$3006,NKC!$F$7:$F$3006,"331*",NKC!$I$7:$I$3006,$A386,NKC!$B$7:$B$3006,"&lt;="&amp;DEN_NGAY))</f>
        <v/>
      </c>
      <c r="F386" s="125">
        <f>IF($A386="","",SUMIFS(NKC!$H$7:$H$3006,NKC!$G$7:$G$3006,"331*",NKC!$I$7:$I$3006,$A386,NKC!$B$7:$B$3006,"&lt;="&amp;DEN_NGAY))</f>
        <v/>
      </c>
      <c r="G386" s="125">
        <f>IF($A386="","",MAX($C386-$D386+$E386-$F386,0))</f>
        <v/>
      </c>
      <c r="H386" s="125">
        <f>IF($A386="","",MAX(-($C386-$D386+$E386-$F386),0))</f>
        <v/>
      </c>
    </row>
    <row r="387" ht="15" customHeight="1" s="78">
      <c r="A387" s="96">
        <f>IF(DM_DT!$A81="","",DM_DT!$A81&amp;"")</f>
        <v/>
      </c>
      <c r="B387" s="97">
        <f>IF($A387="","",DM_DT!$B81)</f>
        <v/>
      </c>
      <c r="C387" s="125">
        <f>IF($A387="","",SUMIFS(SDDK!$D$256:$D$375,SDDK!$A$256:$A$375,"331",SDDK!$B$256:$B$375,$A387))</f>
        <v/>
      </c>
      <c r="D387" s="125">
        <f>IF($A387="","",SUMIFS(SDDK!$E$256:$E$375,SDDK!$A$256:$A$375,"331",SDDK!$B$256:$B$375,$A387))</f>
        <v/>
      </c>
      <c r="E387" s="125">
        <f>IF($A387="","",SUMIFS(NKC!$H$7:$H$3006,NKC!$F$7:$F$3006,"331*",NKC!$I$7:$I$3006,$A387,NKC!$B$7:$B$3006,"&lt;="&amp;DEN_NGAY))</f>
        <v/>
      </c>
      <c r="F387" s="125">
        <f>IF($A387="","",SUMIFS(NKC!$H$7:$H$3006,NKC!$G$7:$G$3006,"331*",NKC!$I$7:$I$3006,$A387,NKC!$B$7:$B$3006,"&lt;="&amp;DEN_NGAY))</f>
        <v/>
      </c>
      <c r="G387" s="125">
        <f>IF($A387="","",MAX($C387-$D387+$E387-$F387,0))</f>
        <v/>
      </c>
      <c r="H387" s="125">
        <f>IF($A387="","",MAX(-($C387-$D387+$E387-$F387),0))</f>
        <v/>
      </c>
    </row>
    <row r="388" ht="15" customHeight="1" s="78">
      <c r="A388" s="96">
        <f>IF(DM_DT!$A82="","",DM_DT!$A82&amp;"")</f>
        <v/>
      </c>
      <c r="B388" s="97">
        <f>IF($A388="","",DM_DT!$B82)</f>
        <v/>
      </c>
      <c r="C388" s="125">
        <f>IF($A388="","",SUMIFS(SDDK!$D$256:$D$375,SDDK!$A$256:$A$375,"331",SDDK!$B$256:$B$375,$A388))</f>
        <v/>
      </c>
      <c r="D388" s="125">
        <f>IF($A388="","",SUMIFS(SDDK!$E$256:$E$375,SDDK!$A$256:$A$375,"331",SDDK!$B$256:$B$375,$A388))</f>
        <v/>
      </c>
      <c r="E388" s="125">
        <f>IF($A388="","",SUMIFS(NKC!$H$7:$H$3006,NKC!$F$7:$F$3006,"331*",NKC!$I$7:$I$3006,$A388,NKC!$B$7:$B$3006,"&lt;="&amp;DEN_NGAY))</f>
        <v/>
      </c>
      <c r="F388" s="125">
        <f>IF($A388="","",SUMIFS(NKC!$H$7:$H$3006,NKC!$G$7:$G$3006,"331*",NKC!$I$7:$I$3006,$A388,NKC!$B$7:$B$3006,"&lt;="&amp;DEN_NGAY))</f>
        <v/>
      </c>
      <c r="G388" s="125">
        <f>IF($A388="","",MAX($C388-$D388+$E388-$F388,0))</f>
        <v/>
      </c>
      <c r="H388" s="125">
        <f>IF($A388="","",MAX(-($C388-$D388+$E388-$F388),0))</f>
        <v/>
      </c>
    </row>
    <row r="389" ht="15" customHeight="1" s="78">
      <c r="A389" s="96">
        <f>IF(DM_DT!$A83="","",DM_DT!$A83&amp;"")</f>
        <v/>
      </c>
      <c r="B389" s="97">
        <f>IF($A389="","",DM_DT!$B83)</f>
        <v/>
      </c>
      <c r="C389" s="125">
        <f>IF($A389="","",SUMIFS(SDDK!$D$256:$D$375,SDDK!$A$256:$A$375,"331",SDDK!$B$256:$B$375,$A389))</f>
        <v/>
      </c>
      <c r="D389" s="125">
        <f>IF($A389="","",SUMIFS(SDDK!$E$256:$E$375,SDDK!$A$256:$A$375,"331",SDDK!$B$256:$B$375,$A389))</f>
        <v/>
      </c>
      <c r="E389" s="125">
        <f>IF($A389="","",SUMIFS(NKC!$H$7:$H$3006,NKC!$F$7:$F$3006,"331*",NKC!$I$7:$I$3006,$A389,NKC!$B$7:$B$3006,"&lt;="&amp;DEN_NGAY))</f>
        <v/>
      </c>
      <c r="F389" s="125">
        <f>IF($A389="","",SUMIFS(NKC!$H$7:$H$3006,NKC!$G$7:$G$3006,"331*",NKC!$I$7:$I$3006,$A389,NKC!$B$7:$B$3006,"&lt;="&amp;DEN_NGAY))</f>
        <v/>
      </c>
      <c r="G389" s="125">
        <f>IF($A389="","",MAX($C389-$D389+$E389-$F389,0))</f>
        <v/>
      </c>
      <c r="H389" s="125">
        <f>IF($A389="","",MAX(-($C389-$D389+$E389-$F389),0))</f>
        <v/>
      </c>
    </row>
    <row r="390" ht="15" customHeight="1" s="78">
      <c r="A390" s="96">
        <f>IF(DM_DT!$A84="","",DM_DT!$A84&amp;"")</f>
        <v/>
      </c>
      <c r="B390" s="97">
        <f>IF($A390="","",DM_DT!$B84)</f>
        <v/>
      </c>
      <c r="C390" s="125">
        <f>IF($A390="","",SUMIFS(SDDK!$D$256:$D$375,SDDK!$A$256:$A$375,"331",SDDK!$B$256:$B$375,$A390))</f>
        <v/>
      </c>
      <c r="D390" s="125">
        <f>IF($A390="","",SUMIFS(SDDK!$E$256:$E$375,SDDK!$A$256:$A$375,"331",SDDK!$B$256:$B$375,$A390))</f>
        <v/>
      </c>
      <c r="E390" s="125">
        <f>IF($A390="","",SUMIFS(NKC!$H$7:$H$3006,NKC!$F$7:$F$3006,"331*",NKC!$I$7:$I$3006,$A390,NKC!$B$7:$B$3006,"&lt;="&amp;DEN_NGAY))</f>
        <v/>
      </c>
      <c r="F390" s="125">
        <f>IF($A390="","",SUMIFS(NKC!$H$7:$H$3006,NKC!$G$7:$G$3006,"331*",NKC!$I$7:$I$3006,$A390,NKC!$B$7:$B$3006,"&lt;="&amp;DEN_NGAY))</f>
        <v/>
      </c>
      <c r="G390" s="125">
        <f>IF($A390="","",MAX($C390-$D390+$E390-$F390,0))</f>
        <v/>
      </c>
      <c r="H390" s="125">
        <f>IF($A390="","",MAX(-($C390-$D390+$E390-$F390),0))</f>
        <v/>
      </c>
    </row>
    <row r="391" ht="15" customHeight="1" s="78">
      <c r="A391" s="96">
        <f>IF(DM_DT!$A85="","",DM_DT!$A85&amp;"")</f>
        <v/>
      </c>
      <c r="B391" s="97">
        <f>IF($A391="","",DM_DT!$B85)</f>
        <v/>
      </c>
      <c r="C391" s="125">
        <f>IF($A391="","",SUMIFS(SDDK!$D$256:$D$375,SDDK!$A$256:$A$375,"331",SDDK!$B$256:$B$375,$A391))</f>
        <v/>
      </c>
      <c r="D391" s="125">
        <f>IF($A391="","",SUMIFS(SDDK!$E$256:$E$375,SDDK!$A$256:$A$375,"331",SDDK!$B$256:$B$375,$A391))</f>
        <v/>
      </c>
      <c r="E391" s="125">
        <f>IF($A391="","",SUMIFS(NKC!$H$7:$H$3006,NKC!$F$7:$F$3006,"331*",NKC!$I$7:$I$3006,$A391,NKC!$B$7:$B$3006,"&lt;="&amp;DEN_NGAY))</f>
        <v/>
      </c>
      <c r="F391" s="125">
        <f>IF($A391="","",SUMIFS(NKC!$H$7:$H$3006,NKC!$G$7:$G$3006,"331*",NKC!$I$7:$I$3006,$A391,NKC!$B$7:$B$3006,"&lt;="&amp;DEN_NGAY))</f>
        <v/>
      </c>
      <c r="G391" s="125">
        <f>IF($A391="","",MAX($C391-$D391+$E391-$F391,0))</f>
        <v/>
      </c>
      <c r="H391" s="125">
        <f>IF($A391="","",MAX(-($C391-$D391+$E391-$F391),0))</f>
        <v/>
      </c>
    </row>
    <row r="392" ht="15" customHeight="1" s="78">
      <c r="A392" s="96">
        <f>IF(DM_DT!$A86="","",DM_DT!$A86&amp;"")</f>
        <v/>
      </c>
      <c r="B392" s="97">
        <f>IF($A392="","",DM_DT!$B86)</f>
        <v/>
      </c>
      <c r="C392" s="125">
        <f>IF($A392="","",SUMIFS(SDDK!$D$256:$D$375,SDDK!$A$256:$A$375,"331",SDDK!$B$256:$B$375,$A392))</f>
        <v/>
      </c>
      <c r="D392" s="125">
        <f>IF($A392="","",SUMIFS(SDDK!$E$256:$E$375,SDDK!$A$256:$A$375,"331",SDDK!$B$256:$B$375,$A392))</f>
        <v/>
      </c>
      <c r="E392" s="125">
        <f>IF($A392="","",SUMIFS(NKC!$H$7:$H$3006,NKC!$F$7:$F$3006,"331*",NKC!$I$7:$I$3006,$A392,NKC!$B$7:$B$3006,"&lt;="&amp;DEN_NGAY))</f>
        <v/>
      </c>
      <c r="F392" s="125">
        <f>IF($A392="","",SUMIFS(NKC!$H$7:$H$3006,NKC!$G$7:$G$3006,"331*",NKC!$I$7:$I$3006,$A392,NKC!$B$7:$B$3006,"&lt;="&amp;DEN_NGAY))</f>
        <v/>
      </c>
      <c r="G392" s="125">
        <f>IF($A392="","",MAX($C392-$D392+$E392-$F392,0))</f>
        <v/>
      </c>
      <c r="H392" s="125">
        <f>IF($A392="","",MAX(-($C392-$D392+$E392-$F392),0))</f>
        <v/>
      </c>
    </row>
    <row r="393" ht="15" customHeight="1" s="78">
      <c r="A393" s="96">
        <f>IF(DM_DT!$A87="","",DM_DT!$A87&amp;"")</f>
        <v/>
      </c>
      <c r="B393" s="97">
        <f>IF($A393="","",DM_DT!$B87)</f>
        <v/>
      </c>
      <c r="C393" s="125">
        <f>IF($A393="","",SUMIFS(SDDK!$D$256:$D$375,SDDK!$A$256:$A$375,"331",SDDK!$B$256:$B$375,$A393))</f>
        <v/>
      </c>
      <c r="D393" s="125">
        <f>IF($A393="","",SUMIFS(SDDK!$E$256:$E$375,SDDK!$A$256:$A$375,"331",SDDK!$B$256:$B$375,$A393))</f>
        <v/>
      </c>
      <c r="E393" s="125">
        <f>IF($A393="","",SUMIFS(NKC!$H$7:$H$3006,NKC!$F$7:$F$3006,"331*",NKC!$I$7:$I$3006,$A393,NKC!$B$7:$B$3006,"&lt;="&amp;DEN_NGAY))</f>
        <v/>
      </c>
      <c r="F393" s="125">
        <f>IF($A393="","",SUMIFS(NKC!$H$7:$H$3006,NKC!$G$7:$G$3006,"331*",NKC!$I$7:$I$3006,$A393,NKC!$B$7:$B$3006,"&lt;="&amp;DEN_NGAY))</f>
        <v/>
      </c>
      <c r="G393" s="125">
        <f>IF($A393="","",MAX($C393-$D393+$E393-$F393,0))</f>
        <v/>
      </c>
      <c r="H393" s="125">
        <f>IF($A393="","",MAX(-($C393-$D393+$E393-$F393),0))</f>
        <v/>
      </c>
    </row>
    <row r="394" ht="15" customHeight="1" s="78">
      <c r="A394" s="96">
        <f>IF(DM_DT!$A88="","",DM_DT!$A88&amp;"")</f>
        <v/>
      </c>
      <c r="B394" s="97">
        <f>IF($A394="","",DM_DT!$B88)</f>
        <v/>
      </c>
      <c r="C394" s="125">
        <f>IF($A394="","",SUMIFS(SDDK!$D$256:$D$375,SDDK!$A$256:$A$375,"331",SDDK!$B$256:$B$375,$A394))</f>
        <v/>
      </c>
      <c r="D394" s="125">
        <f>IF($A394="","",SUMIFS(SDDK!$E$256:$E$375,SDDK!$A$256:$A$375,"331",SDDK!$B$256:$B$375,$A394))</f>
        <v/>
      </c>
      <c r="E394" s="125">
        <f>IF($A394="","",SUMIFS(NKC!$H$7:$H$3006,NKC!$F$7:$F$3006,"331*",NKC!$I$7:$I$3006,$A394,NKC!$B$7:$B$3006,"&lt;="&amp;DEN_NGAY))</f>
        <v/>
      </c>
      <c r="F394" s="125">
        <f>IF($A394="","",SUMIFS(NKC!$H$7:$H$3006,NKC!$G$7:$G$3006,"331*",NKC!$I$7:$I$3006,$A394,NKC!$B$7:$B$3006,"&lt;="&amp;DEN_NGAY))</f>
        <v/>
      </c>
      <c r="G394" s="125">
        <f>IF($A394="","",MAX($C394-$D394+$E394-$F394,0))</f>
        <v/>
      </c>
      <c r="H394" s="125">
        <f>IF($A394="","",MAX(-($C394-$D394+$E394-$F394),0))</f>
        <v/>
      </c>
    </row>
    <row r="395" ht="15" customHeight="1" s="78">
      <c r="A395" s="96">
        <f>IF(DM_DT!$A89="","",DM_DT!$A89&amp;"")</f>
        <v/>
      </c>
      <c r="B395" s="97">
        <f>IF($A395="","",DM_DT!$B89)</f>
        <v/>
      </c>
      <c r="C395" s="125">
        <f>IF($A395="","",SUMIFS(SDDK!$D$256:$D$375,SDDK!$A$256:$A$375,"331",SDDK!$B$256:$B$375,$A395))</f>
        <v/>
      </c>
      <c r="D395" s="125">
        <f>IF($A395="","",SUMIFS(SDDK!$E$256:$E$375,SDDK!$A$256:$A$375,"331",SDDK!$B$256:$B$375,$A395))</f>
        <v/>
      </c>
      <c r="E395" s="125">
        <f>IF($A395="","",SUMIFS(NKC!$H$7:$H$3006,NKC!$F$7:$F$3006,"331*",NKC!$I$7:$I$3006,$A395,NKC!$B$7:$B$3006,"&lt;="&amp;DEN_NGAY))</f>
        <v/>
      </c>
      <c r="F395" s="125">
        <f>IF($A395="","",SUMIFS(NKC!$H$7:$H$3006,NKC!$G$7:$G$3006,"331*",NKC!$I$7:$I$3006,$A395,NKC!$B$7:$B$3006,"&lt;="&amp;DEN_NGAY))</f>
        <v/>
      </c>
      <c r="G395" s="125">
        <f>IF($A395="","",MAX($C395-$D395+$E395-$F395,0))</f>
        <v/>
      </c>
      <c r="H395" s="125">
        <f>IF($A395="","",MAX(-($C395-$D395+$E395-$F395),0))</f>
        <v/>
      </c>
    </row>
    <row r="396" ht="15" customHeight="1" s="78">
      <c r="A396" s="96">
        <f>IF(DM_DT!$A90="","",DM_DT!$A90&amp;"")</f>
        <v/>
      </c>
      <c r="B396" s="97">
        <f>IF($A396="","",DM_DT!$B90)</f>
        <v/>
      </c>
      <c r="C396" s="125">
        <f>IF($A396="","",SUMIFS(SDDK!$D$256:$D$375,SDDK!$A$256:$A$375,"331",SDDK!$B$256:$B$375,$A396))</f>
        <v/>
      </c>
      <c r="D396" s="125">
        <f>IF($A396="","",SUMIFS(SDDK!$E$256:$E$375,SDDK!$A$256:$A$375,"331",SDDK!$B$256:$B$375,$A396))</f>
        <v/>
      </c>
      <c r="E396" s="125">
        <f>IF($A396="","",SUMIFS(NKC!$H$7:$H$3006,NKC!$F$7:$F$3006,"331*",NKC!$I$7:$I$3006,$A396,NKC!$B$7:$B$3006,"&lt;="&amp;DEN_NGAY))</f>
        <v/>
      </c>
      <c r="F396" s="125">
        <f>IF($A396="","",SUMIFS(NKC!$H$7:$H$3006,NKC!$G$7:$G$3006,"331*",NKC!$I$7:$I$3006,$A396,NKC!$B$7:$B$3006,"&lt;="&amp;DEN_NGAY))</f>
        <v/>
      </c>
      <c r="G396" s="125">
        <f>IF($A396="","",MAX($C396-$D396+$E396-$F396,0))</f>
        <v/>
      </c>
      <c r="H396" s="125">
        <f>IF($A396="","",MAX(-($C396-$D396+$E396-$F396),0))</f>
        <v/>
      </c>
    </row>
    <row r="397" ht="15" customHeight="1" s="78">
      <c r="A397" s="96">
        <f>IF(DM_DT!$A91="","",DM_DT!$A91&amp;"")</f>
        <v/>
      </c>
      <c r="B397" s="97">
        <f>IF($A397="","",DM_DT!$B91)</f>
        <v/>
      </c>
      <c r="C397" s="125">
        <f>IF($A397="","",SUMIFS(SDDK!$D$256:$D$375,SDDK!$A$256:$A$375,"331",SDDK!$B$256:$B$375,$A397))</f>
        <v/>
      </c>
      <c r="D397" s="125">
        <f>IF($A397="","",SUMIFS(SDDK!$E$256:$E$375,SDDK!$A$256:$A$375,"331",SDDK!$B$256:$B$375,$A397))</f>
        <v/>
      </c>
      <c r="E397" s="125">
        <f>IF($A397="","",SUMIFS(NKC!$H$7:$H$3006,NKC!$F$7:$F$3006,"331*",NKC!$I$7:$I$3006,$A397,NKC!$B$7:$B$3006,"&lt;="&amp;DEN_NGAY))</f>
        <v/>
      </c>
      <c r="F397" s="125">
        <f>IF($A397="","",SUMIFS(NKC!$H$7:$H$3006,NKC!$G$7:$G$3006,"331*",NKC!$I$7:$I$3006,$A397,NKC!$B$7:$B$3006,"&lt;="&amp;DEN_NGAY))</f>
        <v/>
      </c>
      <c r="G397" s="125">
        <f>IF($A397="","",MAX($C397-$D397+$E397-$F397,0))</f>
        <v/>
      </c>
      <c r="H397" s="125">
        <f>IF($A397="","",MAX(-($C397-$D397+$E397-$F397),0))</f>
        <v/>
      </c>
    </row>
    <row r="398" ht="15" customHeight="1" s="78">
      <c r="A398" s="96">
        <f>IF(DM_DT!$A92="","",DM_DT!$A92&amp;"")</f>
        <v/>
      </c>
      <c r="B398" s="97">
        <f>IF($A398="","",DM_DT!$B92)</f>
        <v/>
      </c>
      <c r="C398" s="125">
        <f>IF($A398="","",SUMIFS(SDDK!$D$256:$D$375,SDDK!$A$256:$A$375,"331",SDDK!$B$256:$B$375,$A398))</f>
        <v/>
      </c>
      <c r="D398" s="125">
        <f>IF($A398="","",SUMIFS(SDDK!$E$256:$E$375,SDDK!$A$256:$A$375,"331",SDDK!$B$256:$B$375,$A398))</f>
        <v/>
      </c>
      <c r="E398" s="125">
        <f>IF($A398="","",SUMIFS(NKC!$H$7:$H$3006,NKC!$F$7:$F$3006,"331*",NKC!$I$7:$I$3006,$A398,NKC!$B$7:$B$3006,"&lt;="&amp;DEN_NGAY))</f>
        <v/>
      </c>
      <c r="F398" s="125">
        <f>IF($A398="","",SUMIFS(NKC!$H$7:$H$3006,NKC!$G$7:$G$3006,"331*",NKC!$I$7:$I$3006,$A398,NKC!$B$7:$B$3006,"&lt;="&amp;DEN_NGAY))</f>
        <v/>
      </c>
      <c r="G398" s="125">
        <f>IF($A398="","",MAX($C398-$D398+$E398-$F398,0))</f>
        <v/>
      </c>
      <c r="H398" s="125">
        <f>IF($A398="","",MAX(-($C398-$D398+$E398-$F398),0))</f>
        <v/>
      </c>
    </row>
    <row r="399" ht="15" customHeight="1" s="78">
      <c r="A399" s="96">
        <f>IF(DM_DT!$A93="","",DM_DT!$A93&amp;"")</f>
        <v/>
      </c>
      <c r="B399" s="97">
        <f>IF($A399="","",DM_DT!$B93)</f>
        <v/>
      </c>
      <c r="C399" s="125">
        <f>IF($A399="","",SUMIFS(SDDK!$D$256:$D$375,SDDK!$A$256:$A$375,"331",SDDK!$B$256:$B$375,$A399))</f>
        <v/>
      </c>
      <c r="D399" s="125">
        <f>IF($A399="","",SUMIFS(SDDK!$E$256:$E$375,SDDK!$A$256:$A$375,"331",SDDK!$B$256:$B$375,$A399))</f>
        <v/>
      </c>
      <c r="E399" s="125">
        <f>IF($A399="","",SUMIFS(NKC!$H$7:$H$3006,NKC!$F$7:$F$3006,"331*",NKC!$I$7:$I$3006,$A399,NKC!$B$7:$B$3006,"&lt;="&amp;DEN_NGAY))</f>
        <v/>
      </c>
      <c r="F399" s="125">
        <f>IF($A399="","",SUMIFS(NKC!$H$7:$H$3006,NKC!$G$7:$G$3006,"331*",NKC!$I$7:$I$3006,$A399,NKC!$B$7:$B$3006,"&lt;="&amp;DEN_NGAY))</f>
        <v/>
      </c>
      <c r="G399" s="125">
        <f>IF($A399="","",MAX($C399-$D399+$E399-$F399,0))</f>
        <v/>
      </c>
      <c r="H399" s="125">
        <f>IF($A399="","",MAX(-($C399-$D399+$E399-$F399),0))</f>
        <v/>
      </c>
    </row>
    <row r="400" ht="15" customHeight="1" s="78">
      <c r="A400" s="96">
        <f>IF(DM_DT!$A94="","",DM_DT!$A94&amp;"")</f>
        <v/>
      </c>
      <c r="B400" s="97">
        <f>IF($A400="","",DM_DT!$B94)</f>
        <v/>
      </c>
      <c r="C400" s="125">
        <f>IF($A400="","",SUMIFS(SDDK!$D$256:$D$375,SDDK!$A$256:$A$375,"331",SDDK!$B$256:$B$375,$A400))</f>
        <v/>
      </c>
      <c r="D400" s="125">
        <f>IF($A400="","",SUMIFS(SDDK!$E$256:$E$375,SDDK!$A$256:$A$375,"331",SDDK!$B$256:$B$375,$A400))</f>
        <v/>
      </c>
      <c r="E400" s="125">
        <f>IF($A400="","",SUMIFS(NKC!$H$7:$H$3006,NKC!$F$7:$F$3006,"331*",NKC!$I$7:$I$3006,$A400,NKC!$B$7:$B$3006,"&lt;="&amp;DEN_NGAY))</f>
        <v/>
      </c>
      <c r="F400" s="125">
        <f>IF($A400="","",SUMIFS(NKC!$H$7:$H$3006,NKC!$G$7:$G$3006,"331*",NKC!$I$7:$I$3006,$A400,NKC!$B$7:$B$3006,"&lt;="&amp;DEN_NGAY))</f>
        <v/>
      </c>
      <c r="G400" s="125">
        <f>IF($A400="","",MAX($C400-$D400+$E400-$F400,0))</f>
        <v/>
      </c>
      <c r="H400" s="125">
        <f>IF($A400="","",MAX(-($C400-$D400+$E400-$F400),0))</f>
        <v/>
      </c>
    </row>
    <row r="401" ht="15" customHeight="1" s="78">
      <c r="A401" s="96">
        <f>IF(DM_DT!$A95="","",DM_DT!$A95&amp;"")</f>
        <v/>
      </c>
      <c r="B401" s="97">
        <f>IF($A401="","",DM_DT!$B95)</f>
        <v/>
      </c>
      <c r="C401" s="125">
        <f>IF($A401="","",SUMIFS(SDDK!$D$256:$D$375,SDDK!$A$256:$A$375,"331",SDDK!$B$256:$B$375,$A401))</f>
        <v/>
      </c>
      <c r="D401" s="125">
        <f>IF($A401="","",SUMIFS(SDDK!$E$256:$E$375,SDDK!$A$256:$A$375,"331",SDDK!$B$256:$B$375,$A401))</f>
        <v/>
      </c>
      <c r="E401" s="125">
        <f>IF($A401="","",SUMIFS(NKC!$H$7:$H$3006,NKC!$F$7:$F$3006,"331*",NKC!$I$7:$I$3006,$A401,NKC!$B$7:$B$3006,"&lt;="&amp;DEN_NGAY))</f>
        <v/>
      </c>
      <c r="F401" s="125">
        <f>IF($A401="","",SUMIFS(NKC!$H$7:$H$3006,NKC!$G$7:$G$3006,"331*",NKC!$I$7:$I$3006,$A401,NKC!$B$7:$B$3006,"&lt;="&amp;DEN_NGAY))</f>
        <v/>
      </c>
      <c r="G401" s="125">
        <f>IF($A401="","",MAX($C401-$D401+$E401-$F401,0))</f>
        <v/>
      </c>
      <c r="H401" s="125">
        <f>IF($A401="","",MAX(-($C401-$D401+$E401-$F401),0))</f>
        <v/>
      </c>
    </row>
    <row r="402" ht="15" customHeight="1" s="78">
      <c r="A402" s="96">
        <f>IF(DM_DT!$A96="","",DM_DT!$A96&amp;"")</f>
        <v/>
      </c>
      <c r="B402" s="97">
        <f>IF($A402="","",DM_DT!$B96)</f>
        <v/>
      </c>
      <c r="C402" s="125">
        <f>IF($A402="","",SUMIFS(SDDK!$D$256:$D$375,SDDK!$A$256:$A$375,"331",SDDK!$B$256:$B$375,$A402))</f>
        <v/>
      </c>
      <c r="D402" s="125">
        <f>IF($A402="","",SUMIFS(SDDK!$E$256:$E$375,SDDK!$A$256:$A$375,"331",SDDK!$B$256:$B$375,$A402))</f>
        <v/>
      </c>
      <c r="E402" s="125">
        <f>IF($A402="","",SUMIFS(NKC!$H$7:$H$3006,NKC!$F$7:$F$3006,"331*",NKC!$I$7:$I$3006,$A402,NKC!$B$7:$B$3006,"&lt;="&amp;DEN_NGAY))</f>
        <v/>
      </c>
      <c r="F402" s="125">
        <f>IF($A402="","",SUMIFS(NKC!$H$7:$H$3006,NKC!$G$7:$G$3006,"331*",NKC!$I$7:$I$3006,$A402,NKC!$B$7:$B$3006,"&lt;="&amp;DEN_NGAY))</f>
        <v/>
      </c>
      <c r="G402" s="125">
        <f>IF($A402="","",MAX($C402-$D402+$E402-$F402,0))</f>
        <v/>
      </c>
      <c r="H402" s="125">
        <f>IF($A402="","",MAX(-($C402-$D402+$E402-$F402),0))</f>
        <v/>
      </c>
    </row>
    <row r="403" ht="15" customHeight="1" s="78">
      <c r="A403" s="96">
        <f>IF(DM_DT!$A97="","",DM_DT!$A97&amp;"")</f>
        <v/>
      </c>
      <c r="B403" s="97">
        <f>IF($A403="","",DM_DT!$B97)</f>
        <v/>
      </c>
      <c r="C403" s="125">
        <f>IF($A403="","",SUMIFS(SDDK!$D$256:$D$375,SDDK!$A$256:$A$375,"331",SDDK!$B$256:$B$375,$A403))</f>
        <v/>
      </c>
      <c r="D403" s="125">
        <f>IF($A403="","",SUMIFS(SDDK!$E$256:$E$375,SDDK!$A$256:$A$375,"331",SDDK!$B$256:$B$375,$A403))</f>
        <v/>
      </c>
      <c r="E403" s="125">
        <f>IF($A403="","",SUMIFS(NKC!$H$7:$H$3006,NKC!$F$7:$F$3006,"331*",NKC!$I$7:$I$3006,$A403,NKC!$B$7:$B$3006,"&lt;="&amp;DEN_NGAY))</f>
        <v/>
      </c>
      <c r="F403" s="125">
        <f>IF($A403="","",SUMIFS(NKC!$H$7:$H$3006,NKC!$G$7:$G$3006,"331*",NKC!$I$7:$I$3006,$A403,NKC!$B$7:$B$3006,"&lt;="&amp;DEN_NGAY))</f>
        <v/>
      </c>
      <c r="G403" s="125">
        <f>IF($A403="","",MAX($C403-$D403+$E403-$F403,0))</f>
        <v/>
      </c>
      <c r="H403" s="125">
        <f>IF($A403="","",MAX(-($C403-$D403+$E403-$F403),0))</f>
        <v/>
      </c>
    </row>
    <row r="404" ht="15" customHeight="1" s="78">
      <c r="A404" s="96">
        <f>IF(DM_DT!$A98="","",DM_DT!$A98&amp;"")</f>
        <v/>
      </c>
      <c r="B404" s="97">
        <f>IF($A404="","",DM_DT!$B98)</f>
        <v/>
      </c>
      <c r="C404" s="125">
        <f>IF($A404="","",SUMIFS(SDDK!$D$256:$D$375,SDDK!$A$256:$A$375,"331",SDDK!$B$256:$B$375,$A404))</f>
        <v/>
      </c>
      <c r="D404" s="125">
        <f>IF($A404="","",SUMIFS(SDDK!$E$256:$E$375,SDDK!$A$256:$A$375,"331",SDDK!$B$256:$B$375,$A404))</f>
        <v/>
      </c>
      <c r="E404" s="125">
        <f>IF($A404="","",SUMIFS(NKC!$H$7:$H$3006,NKC!$F$7:$F$3006,"331*",NKC!$I$7:$I$3006,$A404,NKC!$B$7:$B$3006,"&lt;="&amp;DEN_NGAY))</f>
        <v/>
      </c>
      <c r="F404" s="125">
        <f>IF($A404="","",SUMIFS(NKC!$H$7:$H$3006,NKC!$G$7:$G$3006,"331*",NKC!$I$7:$I$3006,$A404,NKC!$B$7:$B$3006,"&lt;="&amp;DEN_NGAY))</f>
        <v/>
      </c>
      <c r="G404" s="125">
        <f>IF($A404="","",MAX($C404-$D404+$E404-$F404,0))</f>
        <v/>
      </c>
      <c r="H404" s="125">
        <f>IF($A404="","",MAX(-($C404-$D404+$E404-$F404),0))</f>
        <v/>
      </c>
    </row>
    <row r="405" ht="15" customHeight="1" s="78">
      <c r="A405" s="96">
        <f>IF(DM_DT!$A99="","",DM_DT!$A99&amp;"")</f>
        <v/>
      </c>
      <c r="B405" s="97">
        <f>IF($A405="","",DM_DT!$B99)</f>
        <v/>
      </c>
      <c r="C405" s="125">
        <f>IF($A405="","",SUMIFS(SDDK!$D$256:$D$375,SDDK!$A$256:$A$375,"331",SDDK!$B$256:$B$375,$A405))</f>
        <v/>
      </c>
      <c r="D405" s="125">
        <f>IF($A405="","",SUMIFS(SDDK!$E$256:$E$375,SDDK!$A$256:$A$375,"331",SDDK!$B$256:$B$375,$A405))</f>
        <v/>
      </c>
      <c r="E405" s="125">
        <f>IF($A405="","",SUMIFS(NKC!$H$7:$H$3006,NKC!$F$7:$F$3006,"331*",NKC!$I$7:$I$3006,$A405,NKC!$B$7:$B$3006,"&lt;="&amp;DEN_NGAY))</f>
        <v/>
      </c>
      <c r="F405" s="125">
        <f>IF($A405="","",SUMIFS(NKC!$H$7:$H$3006,NKC!$G$7:$G$3006,"331*",NKC!$I$7:$I$3006,$A405,NKC!$B$7:$B$3006,"&lt;="&amp;DEN_NGAY))</f>
        <v/>
      </c>
      <c r="G405" s="125">
        <f>IF($A405="","",MAX($C405-$D405+$E405-$F405,0))</f>
        <v/>
      </c>
      <c r="H405" s="125">
        <f>IF($A405="","",MAX(-($C405-$D405+$E405-$F405),0))</f>
        <v/>
      </c>
    </row>
    <row r="406" ht="15" customHeight="1" s="78">
      <c r="A406" s="96">
        <f>IF(DM_DT!$A100="","",DM_DT!$A100&amp;"")</f>
        <v/>
      </c>
      <c r="B406" s="97">
        <f>IF($A406="","",DM_DT!$B100)</f>
        <v/>
      </c>
      <c r="C406" s="125">
        <f>IF($A406="","",SUMIFS(SDDK!$D$256:$D$375,SDDK!$A$256:$A$375,"331",SDDK!$B$256:$B$375,$A406))</f>
        <v/>
      </c>
      <c r="D406" s="125">
        <f>IF($A406="","",SUMIFS(SDDK!$E$256:$E$375,SDDK!$A$256:$A$375,"331",SDDK!$B$256:$B$375,$A406))</f>
        <v/>
      </c>
      <c r="E406" s="125">
        <f>IF($A406="","",SUMIFS(NKC!$H$7:$H$3006,NKC!$F$7:$F$3006,"331*",NKC!$I$7:$I$3006,$A406,NKC!$B$7:$B$3006,"&lt;="&amp;DEN_NGAY))</f>
        <v/>
      </c>
      <c r="F406" s="125">
        <f>IF($A406="","",SUMIFS(NKC!$H$7:$H$3006,NKC!$G$7:$G$3006,"331*",NKC!$I$7:$I$3006,$A406,NKC!$B$7:$B$3006,"&lt;="&amp;DEN_NGAY))</f>
        <v/>
      </c>
      <c r="G406" s="125">
        <f>IF($A406="","",MAX($C406-$D406+$E406-$F406,0))</f>
        <v/>
      </c>
      <c r="H406" s="125">
        <f>IF($A406="","",MAX(-($C406-$D406+$E406-$F406),0))</f>
        <v/>
      </c>
    </row>
    <row r="407" ht="15" customHeight="1" s="78">
      <c r="A407" s="96">
        <f>IF(DM_DT!$A101="","",DM_DT!$A101&amp;"")</f>
        <v/>
      </c>
      <c r="B407" s="97">
        <f>IF($A407="","",DM_DT!$B101)</f>
        <v/>
      </c>
      <c r="C407" s="125">
        <f>IF($A407="","",SUMIFS(SDDK!$D$256:$D$375,SDDK!$A$256:$A$375,"331",SDDK!$B$256:$B$375,$A407))</f>
        <v/>
      </c>
      <c r="D407" s="125">
        <f>IF($A407="","",SUMIFS(SDDK!$E$256:$E$375,SDDK!$A$256:$A$375,"331",SDDK!$B$256:$B$375,$A407))</f>
        <v/>
      </c>
      <c r="E407" s="125">
        <f>IF($A407="","",SUMIFS(NKC!$H$7:$H$3006,NKC!$F$7:$F$3006,"331*",NKC!$I$7:$I$3006,$A407,NKC!$B$7:$B$3006,"&lt;="&amp;DEN_NGAY))</f>
        <v/>
      </c>
      <c r="F407" s="125">
        <f>IF($A407="","",SUMIFS(NKC!$H$7:$H$3006,NKC!$G$7:$G$3006,"331*",NKC!$I$7:$I$3006,$A407,NKC!$B$7:$B$3006,"&lt;="&amp;DEN_NGAY))</f>
        <v/>
      </c>
      <c r="G407" s="125">
        <f>IF($A407="","",MAX($C407-$D407+$E407-$F407,0))</f>
        <v/>
      </c>
      <c r="H407" s="125">
        <f>IF($A407="","",MAX(-($C407-$D407+$E407-$F407),0))</f>
        <v/>
      </c>
    </row>
    <row r="408" ht="15" customHeight="1" s="78">
      <c r="A408" s="96">
        <f>IF(DM_DT!$A102="","",DM_DT!$A102&amp;"")</f>
        <v/>
      </c>
      <c r="B408" s="97">
        <f>IF($A408="","",DM_DT!$B102)</f>
        <v/>
      </c>
      <c r="C408" s="125">
        <f>IF($A408="","",SUMIFS(SDDK!$D$256:$D$375,SDDK!$A$256:$A$375,"331",SDDK!$B$256:$B$375,$A408))</f>
        <v/>
      </c>
      <c r="D408" s="125">
        <f>IF($A408="","",SUMIFS(SDDK!$E$256:$E$375,SDDK!$A$256:$A$375,"331",SDDK!$B$256:$B$375,$A408))</f>
        <v/>
      </c>
      <c r="E408" s="125">
        <f>IF($A408="","",SUMIFS(NKC!$H$7:$H$3006,NKC!$F$7:$F$3006,"331*",NKC!$I$7:$I$3006,$A408,NKC!$B$7:$B$3006,"&lt;="&amp;DEN_NGAY))</f>
        <v/>
      </c>
      <c r="F408" s="125">
        <f>IF($A408="","",SUMIFS(NKC!$H$7:$H$3006,NKC!$G$7:$G$3006,"331*",NKC!$I$7:$I$3006,$A408,NKC!$B$7:$B$3006,"&lt;="&amp;DEN_NGAY))</f>
        <v/>
      </c>
      <c r="G408" s="125">
        <f>IF($A408="","",MAX($C408-$D408+$E408-$F408,0))</f>
        <v/>
      </c>
      <c r="H408" s="125">
        <f>IF($A408="","",MAX(-($C408-$D408+$E408-$F408),0))</f>
        <v/>
      </c>
    </row>
    <row r="409" ht="15" customHeight="1" s="78">
      <c r="A409" s="96">
        <f>IF(DM_DT!$A103="","",DM_DT!$A103&amp;"")</f>
        <v/>
      </c>
      <c r="B409" s="97">
        <f>IF($A409="","",DM_DT!$B103)</f>
        <v/>
      </c>
      <c r="C409" s="125">
        <f>IF($A409="","",SUMIFS(SDDK!$D$256:$D$375,SDDK!$A$256:$A$375,"331",SDDK!$B$256:$B$375,$A409))</f>
        <v/>
      </c>
      <c r="D409" s="125">
        <f>IF($A409="","",SUMIFS(SDDK!$E$256:$E$375,SDDK!$A$256:$A$375,"331",SDDK!$B$256:$B$375,$A409))</f>
        <v/>
      </c>
      <c r="E409" s="125">
        <f>IF($A409="","",SUMIFS(NKC!$H$7:$H$3006,NKC!$F$7:$F$3006,"331*",NKC!$I$7:$I$3006,$A409,NKC!$B$7:$B$3006,"&lt;="&amp;DEN_NGAY))</f>
        <v/>
      </c>
      <c r="F409" s="125">
        <f>IF($A409="","",SUMIFS(NKC!$H$7:$H$3006,NKC!$G$7:$G$3006,"331*",NKC!$I$7:$I$3006,$A409,NKC!$B$7:$B$3006,"&lt;="&amp;DEN_NGAY))</f>
        <v/>
      </c>
      <c r="G409" s="125">
        <f>IF($A409="","",MAX($C409-$D409+$E409-$F409,0))</f>
        <v/>
      </c>
      <c r="H409" s="125">
        <f>IF($A409="","",MAX(-($C409-$D409+$E409-$F409),0))</f>
        <v/>
      </c>
    </row>
    <row r="410" ht="15" customHeight="1" s="78">
      <c r="A410" s="96">
        <f>IF(DM_DT!$A104="","",DM_DT!$A104&amp;"")</f>
        <v/>
      </c>
      <c r="B410" s="97">
        <f>IF($A410="","",DM_DT!$B104)</f>
        <v/>
      </c>
      <c r="C410" s="125">
        <f>IF($A410="","",SUMIFS(SDDK!$D$256:$D$375,SDDK!$A$256:$A$375,"331",SDDK!$B$256:$B$375,$A410))</f>
        <v/>
      </c>
      <c r="D410" s="125">
        <f>IF($A410="","",SUMIFS(SDDK!$E$256:$E$375,SDDK!$A$256:$A$375,"331",SDDK!$B$256:$B$375,$A410))</f>
        <v/>
      </c>
      <c r="E410" s="125">
        <f>IF($A410="","",SUMIFS(NKC!$H$7:$H$3006,NKC!$F$7:$F$3006,"331*",NKC!$I$7:$I$3006,$A410,NKC!$B$7:$B$3006,"&lt;="&amp;DEN_NGAY))</f>
        <v/>
      </c>
      <c r="F410" s="125">
        <f>IF($A410="","",SUMIFS(NKC!$H$7:$H$3006,NKC!$G$7:$G$3006,"331*",NKC!$I$7:$I$3006,$A410,NKC!$B$7:$B$3006,"&lt;="&amp;DEN_NGAY))</f>
        <v/>
      </c>
      <c r="G410" s="125">
        <f>IF($A410="","",MAX($C410-$D410+$E410-$F410,0))</f>
        <v/>
      </c>
      <c r="H410" s="125">
        <f>IF($A410="","",MAX(-($C410-$D410+$E410-$F410),0))</f>
        <v/>
      </c>
    </row>
    <row r="411" ht="15" customHeight="1" s="78">
      <c r="A411" s="96">
        <f>IF(DM_DT!$A105="","",DM_DT!$A105&amp;"")</f>
        <v/>
      </c>
      <c r="B411" s="97">
        <f>IF($A411="","",DM_DT!$B105)</f>
        <v/>
      </c>
      <c r="C411" s="125">
        <f>IF($A411="","",SUMIFS(SDDK!$D$256:$D$375,SDDK!$A$256:$A$375,"331",SDDK!$B$256:$B$375,$A411))</f>
        <v/>
      </c>
      <c r="D411" s="125">
        <f>IF($A411="","",SUMIFS(SDDK!$E$256:$E$375,SDDK!$A$256:$A$375,"331",SDDK!$B$256:$B$375,$A411))</f>
        <v/>
      </c>
      <c r="E411" s="125">
        <f>IF($A411="","",SUMIFS(NKC!$H$7:$H$3006,NKC!$F$7:$F$3006,"331*",NKC!$I$7:$I$3006,$A411,NKC!$B$7:$B$3006,"&lt;="&amp;DEN_NGAY))</f>
        <v/>
      </c>
      <c r="F411" s="125">
        <f>IF($A411="","",SUMIFS(NKC!$H$7:$H$3006,NKC!$G$7:$G$3006,"331*",NKC!$I$7:$I$3006,$A411,NKC!$B$7:$B$3006,"&lt;="&amp;DEN_NGAY))</f>
        <v/>
      </c>
      <c r="G411" s="125">
        <f>IF($A411="","",MAX($C411-$D411+$E411-$F411,0))</f>
        <v/>
      </c>
      <c r="H411" s="125">
        <f>IF($A411="","",MAX(-($C411-$D411+$E411-$F411),0))</f>
        <v/>
      </c>
    </row>
    <row r="412" ht="15" customHeight="1" s="78">
      <c r="A412" s="96">
        <f>IF(DM_DT!$A106="","",DM_DT!$A106&amp;"")</f>
        <v/>
      </c>
      <c r="B412" s="97">
        <f>IF($A412="","",DM_DT!$B106)</f>
        <v/>
      </c>
      <c r="C412" s="125">
        <f>IF($A412="","",SUMIFS(SDDK!$D$256:$D$375,SDDK!$A$256:$A$375,"331",SDDK!$B$256:$B$375,$A412))</f>
        <v/>
      </c>
      <c r="D412" s="125">
        <f>IF($A412="","",SUMIFS(SDDK!$E$256:$E$375,SDDK!$A$256:$A$375,"331",SDDK!$B$256:$B$375,$A412))</f>
        <v/>
      </c>
      <c r="E412" s="125">
        <f>IF($A412="","",SUMIFS(NKC!$H$7:$H$3006,NKC!$F$7:$F$3006,"331*",NKC!$I$7:$I$3006,$A412,NKC!$B$7:$B$3006,"&lt;="&amp;DEN_NGAY))</f>
        <v/>
      </c>
      <c r="F412" s="125">
        <f>IF($A412="","",SUMIFS(NKC!$H$7:$H$3006,NKC!$G$7:$G$3006,"331*",NKC!$I$7:$I$3006,$A412,NKC!$B$7:$B$3006,"&lt;="&amp;DEN_NGAY))</f>
        <v/>
      </c>
      <c r="G412" s="125">
        <f>IF($A412="","",MAX($C412-$D412+$E412-$F412,0))</f>
        <v/>
      </c>
      <c r="H412" s="125">
        <f>IF($A412="","",MAX(-($C412-$D412+$E412-$F412),0))</f>
        <v/>
      </c>
    </row>
    <row r="413" ht="15" customHeight="1" s="78">
      <c r="A413" s="96">
        <f>IF(DM_DT!$A107="","",DM_DT!$A107&amp;"")</f>
        <v/>
      </c>
      <c r="B413" s="97">
        <f>IF($A413="","",DM_DT!$B107)</f>
        <v/>
      </c>
      <c r="C413" s="125">
        <f>IF($A413="","",SUMIFS(SDDK!$D$256:$D$375,SDDK!$A$256:$A$375,"331",SDDK!$B$256:$B$375,$A413))</f>
        <v/>
      </c>
      <c r="D413" s="125">
        <f>IF($A413="","",SUMIFS(SDDK!$E$256:$E$375,SDDK!$A$256:$A$375,"331",SDDK!$B$256:$B$375,$A413))</f>
        <v/>
      </c>
      <c r="E413" s="125">
        <f>IF($A413="","",SUMIFS(NKC!$H$7:$H$3006,NKC!$F$7:$F$3006,"331*",NKC!$I$7:$I$3006,$A413,NKC!$B$7:$B$3006,"&lt;="&amp;DEN_NGAY))</f>
        <v/>
      </c>
      <c r="F413" s="125">
        <f>IF($A413="","",SUMIFS(NKC!$H$7:$H$3006,NKC!$G$7:$G$3006,"331*",NKC!$I$7:$I$3006,$A413,NKC!$B$7:$B$3006,"&lt;="&amp;DEN_NGAY))</f>
        <v/>
      </c>
      <c r="G413" s="125">
        <f>IF($A413="","",MAX($C413-$D413+$E413-$F413,0))</f>
        <v/>
      </c>
      <c r="H413" s="125">
        <f>IF($A413="","",MAX(-($C413-$D413+$E413-$F413),0))</f>
        <v/>
      </c>
    </row>
    <row r="414" ht="15" customHeight="1" s="78">
      <c r="A414" s="96">
        <f>IF(DM_DT!$A108="","",DM_DT!$A108&amp;"")</f>
        <v/>
      </c>
      <c r="B414" s="97">
        <f>IF($A414="","",DM_DT!$B108)</f>
        <v/>
      </c>
      <c r="C414" s="125">
        <f>IF($A414="","",SUMIFS(SDDK!$D$256:$D$375,SDDK!$A$256:$A$375,"331",SDDK!$B$256:$B$375,$A414))</f>
        <v/>
      </c>
      <c r="D414" s="125">
        <f>IF($A414="","",SUMIFS(SDDK!$E$256:$E$375,SDDK!$A$256:$A$375,"331",SDDK!$B$256:$B$375,$A414))</f>
        <v/>
      </c>
      <c r="E414" s="125">
        <f>IF($A414="","",SUMIFS(NKC!$H$7:$H$3006,NKC!$F$7:$F$3006,"331*",NKC!$I$7:$I$3006,$A414,NKC!$B$7:$B$3006,"&lt;="&amp;DEN_NGAY))</f>
        <v/>
      </c>
      <c r="F414" s="125">
        <f>IF($A414="","",SUMIFS(NKC!$H$7:$H$3006,NKC!$G$7:$G$3006,"331*",NKC!$I$7:$I$3006,$A414,NKC!$B$7:$B$3006,"&lt;="&amp;DEN_NGAY))</f>
        <v/>
      </c>
      <c r="G414" s="125">
        <f>IF($A414="","",MAX($C414-$D414+$E414-$F414,0))</f>
        <v/>
      </c>
      <c r="H414" s="125">
        <f>IF($A414="","",MAX(-($C414-$D414+$E414-$F414),0))</f>
        <v/>
      </c>
    </row>
    <row r="415" ht="15" customHeight="1" s="78">
      <c r="A415" s="96">
        <f>IF(DM_DT!$A109="","",DM_DT!$A109&amp;"")</f>
        <v/>
      </c>
      <c r="B415" s="97">
        <f>IF($A415="","",DM_DT!$B109)</f>
        <v/>
      </c>
      <c r="C415" s="125">
        <f>IF($A415="","",SUMIFS(SDDK!$D$256:$D$375,SDDK!$A$256:$A$375,"331",SDDK!$B$256:$B$375,$A415))</f>
        <v/>
      </c>
      <c r="D415" s="125">
        <f>IF($A415="","",SUMIFS(SDDK!$E$256:$E$375,SDDK!$A$256:$A$375,"331",SDDK!$B$256:$B$375,$A415))</f>
        <v/>
      </c>
      <c r="E415" s="125">
        <f>IF($A415="","",SUMIFS(NKC!$H$7:$H$3006,NKC!$F$7:$F$3006,"331*",NKC!$I$7:$I$3006,$A415,NKC!$B$7:$B$3006,"&lt;="&amp;DEN_NGAY))</f>
        <v/>
      </c>
      <c r="F415" s="125">
        <f>IF($A415="","",SUMIFS(NKC!$H$7:$H$3006,NKC!$G$7:$G$3006,"331*",NKC!$I$7:$I$3006,$A415,NKC!$B$7:$B$3006,"&lt;="&amp;DEN_NGAY))</f>
        <v/>
      </c>
      <c r="G415" s="125">
        <f>IF($A415="","",MAX($C415-$D415+$E415-$F415,0))</f>
        <v/>
      </c>
      <c r="H415" s="125">
        <f>IF($A415="","",MAX(-($C415-$D415+$E415-$F415),0))</f>
        <v/>
      </c>
    </row>
    <row r="416" ht="15" customHeight="1" s="78">
      <c r="A416" s="96">
        <f>IF(DM_DT!$A110="","",DM_DT!$A110&amp;"")</f>
        <v/>
      </c>
      <c r="B416" s="97">
        <f>IF($A416="","",DM_DT!$B110)</f>
        <v/>
      </c>
      <c r="C416" s="125">
        <f>IF($A416="","",SUMIFS(SDDK!$D$256:$D$375,SDDK!$A$256:$A$375,"331",SDDK!$B$256:$B$375,$A416))</f>
        <v/>
      </c>
      <c r="D416" s="125">
        <f>IF($A416="","",SUMIFS(SDDK!$E$256:$E$375,SDDK!$A$256:$A$375,"331",SDDK!$B$256:$B$375,$A416))</f>
        <v/>
      </c>
      <c r="E416" s="125">
        <f>IF($A416="","",SUMIFS(NKC!$H$7:$H$3006,NKC!$F$7:$F$3006,"331*",NKC!$I$7:$I$3006,$A416,NKC!$B$7:$B$3006,"&lt;="&amp;DEN_NGAY))</f>
        <v/>
      </c>
      <c r="F416" s="125">
        <f>IF($A416="","",SUMIFS(NKC!$H$7:$H$3006,NKC!$G$7:$G$3006,"331*",NKC!$I$7:$I$3006,$A416,NKC!$B$7:$B$3006,"&lt;="&amp;DEN_NGAY))</f>
        <v/>
      </c>
      <c r="G416" s="125">
        <f>IF($A416="","",MAX($C416-$D416+$E416-$F416,0))</f>
        <v/>
      </c>
      <c r="H416" s="125">
        <f>IF($A416="","",MAX(-($C416-$D416+$E416-$F416),0))</f>
        <v/>
      </c>
    </row>
    <row r="417" ht="15" customHeight="1" s="78">
      <c r="A417" s="96">
        <f>IF(DM_DT!$A111="","",DM_DT!$A111&amp;"")</f>
        <v/>
      </c>
      <c r="B417" s="97">
        <f>IF($A417="","",DM_DT!$B111)</f>
        <v/>
      </c>
      <c r="C417" s="125">
        <f>IF($A417="","",SUMIFS(SDDK!$D$256:$D$375,SDDK!$A$256:$A$375,"331",SDDK!$B$256:$B$375,$A417))</f>
        <v/>
      </c>
      <c r="D417" s="125">
        <f>IF($A417="","",SUMIFS(SDDK!$E$256:$E$375,SDDK!$A$256:$A$375,"331",SDDK!$B$256:$B$375,$A417))</f>
        <v/>
      </c>
      <c r="E417" s="125">
        <f>IF($A417="","",SUMIFS(NKC!$H$7:$H$3006,NKC!$F$7:$F$3006,"331*",NKC!$I$7:$I$3006,$A417,NKC!$B$7:$B$3006,"&lt;="&amp;DEN_NGAY))</f>
        <v/>
      </c>
      <c r="F417" s="125">
        <f>IF($A417="","",SUMIFS(NKC!$H$7:$H$3006,NKC!$G$7:$G$3006,"331*",NKC!$I$7:$I$3006,$A417,NKC!$B$7:$B$3006,"&lt;="&amp;DEN_NGAY))</f>
        <v/>
      </c>
      <c r="G417" s="125">
        <f>IF($A417="","",MAX($C417-$D417+$E417-$F417,0))</f>
        <v/>
      </c>
      <c r="H417" s="125">
        <f>IF($A417="","",MAX(-($C417-$D417+$E417-$F417),0))</f>
        <v/>
      </c>
    </row>
    <row r="418" ht="15" customHeight="1" s="78">
      <c r="A418" s="96">
        <f>IF(DM_DT!$A112="","",DM_DT!$A112&amp;"")</f>
        <v/>
      </c>
      <c r="B418" s="97">
        <f>IF($A418="","",DM_DT!$B112)</f>
        <v/>
      </c>
      <c r="C418" s="125">
        <f>IF($A418="","",SUMIFS(SDDK!$D$256:$D$375,SDDK!$A$256:$A$375,"331",SDDK!$B$256:$B$375,$A418))</f>
        <v/>
      </c>
      <c r="D418" s="125">
        <f>IF($A418="","",SUMIFS(SDDK!$E$256:$E$375,SDDK!$A$256:$A$375,"331",SDDK!$B$256:$B$375,$A418))</f>
        <v/>
      </c>
      <c r="E418" s="125">
        <f>IF($A418="","",SUMIFS(NKC!$H$7:$H$3006,NKC!$F$7:$F$3006,"331*",NKC!$I$7:$I$3006,$A418,NKC!$B$7:$B$3006,"&lt;="&amp;DEN_NGAY))</f>
        <v/>
      </c>
      <c r="F418" s="125">
        <f>IF($A418="","",SUMIFS(NKC!$H$7:$H$3006,NKC!$G$7:$G$3006,"331*",NKC!$I$7:$I$3006,$A418,NKC!$B$7:$B$3006,"&lt;="&amp;DEN_NGAY))</f>
        <v/>
      </c>
      <c r="G418" s="125">
        <f>IF($A418="","",MAX($C418-$D418+$E418-$F418,0))</f>
        <v/>
      </c>
      <c r="H418" s="125">
        <f>IF($A418="","",MAX(-($C418-$D418+$E418-$F418),0))</f>
        <v/>
      </c>
    </row>
    <row r="419" ht="15" customHeight="1" s="78">
      <c r="A419" s="96">
        <f>IF(DM_DT!$A113="","",DM_DT!$A113&amp;"")</f>
        <v/>
      </c>
      <c r="B419" s="97">
        <f>IF($A419="","",DM_DT!$B113)</f>
        <v/>
      </c>
      <c r="C419" s="125">
        <f>IF($A419="","",SUMIFS(SDDK!$D$256:$D$375,SDDK!$A$256:$A$375,"331",SDDK!$B$256:$B$375,$A419))</f>
        <v/>
      </c>
      <c r="D419" s="125">
        <f>IF($A419="","",SUMIFS(SDDK!$E$256:$E$375,SDDK!$A$256:$A$375,"331",SDDK!$B$256:$B$375,$A419))</f>
        <v/>
      </c>
      <c r="E419" s="125">
        <f>IF($A419="","",SUMIFS(NKC!$H$7:$H$3006,NKC!$F$7:$F$3006,"331*",NKC!$I$7:$I$3006,$A419,NKC!$B$7:$B$3006,"&lt;="&amp;DEN_NGAY))</f>
        <v/>
      </c>
      <c r="F419" s="125">
        <f>IF($A419="","",SUMIFS(NKC!$H$7:$H$3006,NKC!$G$7:$G$3006,"331*",NKC!$I$7:$I$3006,$A419,NKC!$B$7:$B$3006,"&lt;="&amp;DEN_NGAY))</f>
        <v/>
      </c>
      <c r="G419" s="125">
        <f>IF($A419="","",MAX($C419-$D419+$E419-$F419,0))</f>
        <v/>
      </c>
      <c r="H419" s="125">
        <f>IF($A419="","",MAX(-($C419-$D419+$E419-$F419),0))</f>
        <v/>
      </c>
    </row>
    <row r="420" ht="15" customHeight="1" s="78">
      <c r="A420" s="96">
        <f>IF(DM_DT!$A114="","",DM_DT!$A114&amp;"")</f>
        <v/>
      </c>
      <c r="B420" s="97">
        <f>IF($A420="","",DM_DT!$B114)</f>
        <v/>
      </c>
      <c r="C420" s="125">
        <f>IF($A420="","",SUMIFS(SDDK!$D$256:$D$375,SDDK!$A$256:$A$375,"331",SDDK!$B$256:$B$375,$A420))</f>
        <v/>
      </c>
      <c r="D420" s="125">
        <f>IF($A420="","",SUMIFS(SDDK!$E$256:$E$375,SDDK!$A$256:$A$375,"331",SDDK!$B$256:$B$375,$A420))</f>
        <v/>
      </c>
      <c r="E420" s="125">
        <f>IF($A420="","",SUMIFS(NKC!$H$7:$H$3006,NKC!$F$7:$F$3006,"331*",NKC!$I$7:$I$3006,$A420,NKC!$B$7:$B$3006,"&lt;="&amp;DEN_NGAY))</f>
        <v/>
      </c>
      <c r="F420" s="125">
        <f>IF($A420="","",SUMIFS(NKC!$H$7:$H$3006,NKC!$G$7:$G$3006,"331*",NKC!$I$7:$I$3006,$A420,NKC!$B$7:$B$3006,"&lt;="&amp;DEN_NGAY))</f>
        <v/>
      </c>
      <c r="G420" s="125">
        <f>IF($A420="","",MAX($C420-$D420+$E420-$F420,0))</f>
        <v/>
      </c>
      <c r="H420" s="125">
        <f>IF($A420="","",MAX(-($C420-$D420+$E420-$F420),0))</f>
        <v/>
      </c>
    </row>
    <row r="421" ht="15" customHeight="1" s="78">
      <c r="A421" s="96">
        <f>IF(DM_DT!$A115="","",DM_DT!$A115&amp;"")</f>
        <v/>
      </c>
      <c r="B421" s="97">
        <f>IF($A421="","",DM_DT!$B115)</f>
        <v/>
      </c>
      <c r="C421" s="125">
        <f>IF($A421="","",SUMIFS(SDDK!$D$256:$D$375,SDDK!$A$256:$A$375,"331",SDDK!$B$256:$B$375,$A421))</f>
        <v/>
      </c>
      <c r="D421" s="125">
        <f>IF($A421="","",SUMIFS(SDDK!$E$256:$E$375,SDDK!$A$256:$A$375,"331",SDDK!$B$256:$B$375,$A421))</f>
        <v/>
      </c>
      <c r="E421" s="125">
        <f>IF($A421="","",SUMIFS(NKC!$H$7:$H$3006,NKC!$F$7:$F$3006,"331*",NKC!$I$7:$I$3006,$A421,NKC!$B$7:$B$3006,"&lt;="&amp;DEN_NGAY))</f>
        <v/>
      </c>
      <c r="F421" s="125">
        <f>IF($A421="","",SUMIFS(NKC!$H$7:$H$3006,NKC!$G$7:$G$3006,"331*",NKC!$I$7:$I$3006,$A421,NKC!$B$7:$B$3006,"&lt;="&amp;DEN_NGAY))</f>
        <v/>
      </c>
      <c r="G421" s="125">
        <f>IF($A421="","",MAX($C421-$D421+$E421-$F421,0))</f>
        <v/>
      </c>
      <c r="H421" s="125">
        <f>IF($A421="","",MAX(-($C421-$D421+$E421-$F421),0))</f>
        <v/>
      </c>
    </row>
    <row r="422" ht="15" customHeight="1" s="78">
      <c r="A422" s="96">
        <f>IF(DM_DT!$A116="","",DM_DT!$A116&amp;"")</f>
        <v/>
      </c>
      <c r="B422" s="97">
        <f>IF($A422="","",DM_DT!$B116)</f>
        <v/>
      </c>
      <c r="C422" s="125">
        <f>IF($A422="","",SUMIFS(SDDK!$D$256:$D$375,SDDK!$A$256:$A$375,"331",SDDK!$B$256:$B$375,$A422))</f>
        <v/>
      </c>
      <c r="D422" s="125">
        <f>IF($A422="","",SUMIFS(SDDK!$E$256:$E$375,SDDK!$A$256:$A$375,"331",SDDK!$B$256:$B$375,$A422))</f>
        <v/>
      </c>
      <c r="E422" s="125">
        <f>IF($A422="","",SUMIFS(NKC!$H$7:$H$3006,NKC!$F$7:$F$3006,"331*",NKC!$I$7:$I$3006,$A422,NKC!$B$7:$B$3006,"&lt;="&amp;DEN_NGAY))</f>
        <v/>
      </c>
      <c r="F422" s="125">
        <f>IF($A422="","",SUMIFS(NKC!$H$7:$H$3006,NKC!$G$7:$G$3006,"331*",NKC!$I$7:$I$3006,$A422,NKC!$B$7:$B$3006,"&lt;="&amp;DEN_NGAY))</f>
        <v/>
      </c>
      <c r="G422" s="125">
        <f>IF($A422="","",MAX($C422-$D422+$E422-$F422,0))</f>
        <v/>
      </c>
      <c r="H422" s="125">
        <f>IF($A422="","",MAX(-($C422-$D422+$E422-$F422),0))</f>
        <v/>
      </c>
    </row>
    <row r="423" ht="15" customHeight="1" s="78">
      <c r="A423" s="96">
        <f>IF(DM_DT!$A117="","",DM_DT!$A117&amp;"")</f>
        <v/>
      </c>
      <c r="B423" s="97">
        <f>IF($A423="","",DM_DT!$B117)</f>
        <v/>
      </c>
      <c r="C423" s="125">
        <f>IF($A423="","",SUMIFS(SDDK!$D$256:$D$375,SDDK!$A$256:$A$375,"331",SDDK!$B$256:$B$375,$A423))</f>
        <v/>
      </c>
      <c r="D423" s="125">
        <f>IF($A423="","",SUMIFS(SDDK!$E$256:$E$375,SDDK!$A$256:$A$375,"331",SDDK!$B$256:$B$375,$A423))</f>
        <v/>
      </c>
      <c r="E423" s="125">
        <f>IF($A423="","",SUMIFS(NKC!$H$7:$H$3006,NKC!$F$7:$F$3006,"331*",NKC!$I$7:$I$3006,$A423,NKC!$B$7:$B$3006,"&lt;="&amp;DEN_NGAY))</f>
        <v/>
      </c>
      <c r="F423" s="125">
        <f>IF($A423="","",SUMIFS(NKC!$H$7:$H$3006,NKC!$G$7:$G$3006,"331*",NKC!$I$7:$I$3006,$A423,NKC!$B$7:$B$3006,"&lt;="&amp;DEN_NGAY))</f>
        <v/>
      </c>
      <c r="G423" s="125">
        <f>IF($A423="","",MAX($C423-$D423+$E423-$F423,0))</f>
        <v/>
      </c>
      <c r="H423" s="125">
        <f>IF($A423="","",MAX(-($C423-$D423+$E423-$F423),0))</f>
        <v/>
      </c>
    </row>
    <row r="424" ht="15" customHeight="1" s="78">
      <c r="A424" s="96">
        <f>IF(DM_DT!$A118="","",DM_DT!$A118&amp;"")</f>
        <v/>
      </c>
      <c r="B424" s="97">
        <f>IF($A424="","",DM_DT!$B118)</f>
        <v/>
      </c>
      <c r="C424" s="125">
        <f>IF($A424="","",SUMIFS(SDDK!$D$256:$D$375,SDDK!$A$256:$A$375,"331",SDDK!$B$256:$B$375,$A424))</f>
        <v/>
      </c>
      <c r="D424" s="125">
        <f>IF($A424="","",SUMIFS(SDDK!$E$256:$E$375,SDDK!$A$256:$A$375,"331",SDDK!$B$256:$B$375,$A424))</f>
        <v/>
      </c>
      <c r="E424" s="125">
        <f>IF($A424="","",SUMIFS(NKC!$H$7:$H$3006,NKC!$F$7:$F$3006,"331*",NKC!$I$7:$I$3006,$A424,NKC!$B$7:$B$3006,"&lt;="&amp;DEN_NGAY))</f>
        <v/>
      </c>
      <c r="F424" s="125">
        <f>IF($A424="","",SUMIFS(NKC!$H$7:$H$3006,NKC!$G$7:$G$3006,"331*",NKC!$I$7:$I$3006,$A424,NKC!$B$7:$B$3006,"&lt;="&amp;DEN_NGAY))</f>
        <v/>
      </c>
      <c r="G424" s="125">
        <f>IF($A424="","",MAX($C424-$D424+$E424-$F424,0))</f>
        <v/>
      </c>
      <c r="H424" s="125">
        <f>IF($A424="","",MAX(-($C424-$D424+$E424-$F424),0))</f>
        <v/>
      </c>
    </row>
    <row r="425" ht="15" customHeight="1" s="78">
      <c r="A425" s="96">
        <f>IF(DM_DT!$A119="","",DM_DT!$A119&amp;"")</f>
        <v/>
      </c>
      <c r="B425" s="97">
        <f>IF($A425="","",DM_DT!$B119)</f>
        <v/>
      </c>
      <c r="C425" s="125">
        <f>IF($A425="","",SUMIFS(SDDK!$D$256:$D$375,SDDK!$A$256:$A$375,"331",SDDK!$B$256:$B$375,$A425))</f>
        <v/>
      </c>
      <c r="D425" s="125">
        <f>IF($A425="","",SUMIFS(SDDK!$E$256:$E$375,SDDK!$A$256:$A$375,"331",SDDK!$B$256:$B$375,$A425))</f>
        <v/>
      </c>
      <c r="E425" s="125">
        <f>IF($A425="","",SUMIFS(NKC!$H$7:$H$3006,NKC!$F$7:$F$3006,"331*",NKC!$I$7:$I$3006,$A425,NKC!$B$7:$B$3006,"&lt;="&amp;DEN_NGAY))</f>
        <v/>
      </c>
      <c r="F425" s="125">
        <f>IF($A425="","",SUMIFS(NKC!$H$7:$H$3006,NKC!$G$7:$G$3006,"331*",NKC!$I$7:$I$3006,$A425,NKC!$B$7:$B$3006,"&lt;="&amp;DEN_NGAY))</f>
        <v/>
      </c>
      <c r="G425" s="125">
        <f>IF($A425="","",MAX($C425-$D425+$E425-$F425,0))</f>
        <v/>
      </c>
      <c r="H425" s="125">
        <f>IF($A425="","",MAX(-($C425-$D425+$E425-$F425),0))</f>
        <v/>
      </c>
    </row>
    <row r="426" ht="15" customHeight="1" s="78">
      <c r="A426" s="96">
        <f>IF(DM_DT!$A120="","",DM_DT!$A120&amp;"")</f>
        <v/>
      </c>
      <c r="B426" s="97">
        <f>IF($A426="","",DM_DT!$B120)</f>
        <v/>
      </c>
      <c r="C426" s="125">
        <f>IF($A426="","",SUMIFS(SDDK!$D$256:$D$375,SDDK!$A$256:$A$375,"331",SDDK!$B$256:$B$375,$A426))</f>
        <v/>
      </c>
      <c r="D426" s="125">
        <f>IF($A426="","",SUMIFS(SDDK!$E$256:$E$375,SDDK!$A$256:$A$375,"331",SDDK!$B$256:$B$375,$A426))</f>
        <v/>
      </c>
      <c r="E426" s="125">
        <f>IF($A426="","",SUMIFS(NKC!$H$7:$H$3006,NKC!$F$7:$F$3006,"331*",NKC!$I$7:$I$3006,$A426,NKC!$B$7:$B$3006,"&lt;="&amp;DEN_NGAY))</f>
        <v/>
      </c>
      <c r="F426" s="125">
        <f>IF($A426="","",SUMIFS(NKC!$H$7:$H$3006,NKC!$G$7:$G$3006,"331*",NKC!$I$7:$I$3006,$A426,NKC!$B$7:$B$3006,"&lt;="&amp;DEN_NGAY))</f>
        <v/>
      </c>
      <c r="G426" s="125">
        <f>IF($A426="","",MAX($C426-$D426+$E426-$F426,0))</f>
        <v/>
      </c>
      <c r="H426" s="125">
        <f>IF($A426="","",MAX(-($C426-$D426+$E426-$F426),0))</f>
        <v/>
      </c>
    </row>
    <row r="427" ht="15" customHeight="1" s="78">
      <c r="A427" s="96">
        <f>IF(DM_DT!$A121="","",DM_DT!$A121&amp;"")</f>
        <v/>
      </c>
      <c r="B427" s="97">
        <f>IF($A427="","",DM_DT!$B121)</f>
        <v/>
      </c>
      <c r="C427" s="125">
        <f>IF($A427="","",SUMIFS(SDDK!$D$256:$D$375,SDDK!$A$256:$A$375,"331",SDDK!$B$256:$B$375,$A427))</f>
        <v/>
      </c>
      <c r="D427" s="125">
        <f>IF($A427="","",SUMIFS(SDDK!$E$256:$E$375,SDDK!$A$256:$A$375,"331",SDDK!$B$256:$B$375,$A427))</f>
        <v/>
      </c>
      <c r="E427" s="125">
        <f>IF($A427="","",SUMIFS(NKC!$H$7:$H$3006,NKC!$F$7:$F$3006,"331*",NKC!$I$7:$I$3006,$A427,NKC!$B$7:$B$3006,"&lt;="&amp;DEN_NGAY))</f>
        <v/>
      </c>
      <c r="F427" s="125">
        <f>IF($A427="","",SUMIFS(NKC!$H$7:$H$3006,NKC!$G$7:$G$3006,"331*",NKC!$I$7:$I$3006,$A427,NKC!$B$7:$B$3006,"&lt;="&amp;DEN_NGAY))</f>
        <v/>
      </c>
      <c r="G427" s="125">
        <f>IF($A427="","",MAX($C427-$D427+$E427-$F427,0))</f>
        <v/>
      </c>
      <c r="H427" s="125">
        <f>IF($A427="","",MAX(-($C427-$D427+$E427-$F427),0))</f>
        <v/>
      </c>
    </row>
    <row r="428" ht="15" customHeight="1" s="78">
      <c r="A428" s="96">
        <f>IF(DM_DT!$A122="","",DM_DT!$A122&amp;"")</f>
        <v/>
      </c>
      <c r="B428" s="97">
        <f>IF($A428="","",DM_DT!$B122)</f>
        <v/>
      </c>
      <c r="C428" s="125">
        <f>IF($A428="","",SUMIFS(SDDK!$D$256:$D$375,SDDK!$A$256:$A$375,"331",SDDK!$B$256:$B$375,$A428))</f>
        <v/>
      </c>
      <c r="D428" s="125">
        <f>IF($A428="","",SUMIFS(SDDK!$E$256:$E$375,SDDK!$A$256:$A$375,"331",SDDK!$B$256:$B$375,$A428))</f>
        <v/>
      </c>
      <c r="E428" s="125">
        <f>IF($A428="","",SUMIFS(NKC!$H$7:$H$3006,NKC!$F$7:$F$3006,"331*",NKC!$I$7:$I$3006,$A428,NKC!$B$7:$B$3006,"&lt;="&amp;DEN_NGAY))</f>
        <v/>
      </c>
      <c r="F428" s="125">
        <f>IF($A428="","",SUMIFS(NKC!$H$7:$H$3006,NKC!$G$7:$G$3006,"331*",NKC!$I$7:$I$3006,$A428,NKC!$B$7:$B$3006,"&lt;="&amp;DEN_NGAY))</f>
        <v/>
      </c>
      <c r="G428" s="125">
        <f>IF($A428="","",MAX($C428-$D428+$E428-$F428,0))</f>
        <v/>
      </c>
      <c r="H428" s="125">
        <f>IF($A428="","",MAX(-($C428-$D428+$E428-$F428),0))</f>
        <v/>
      </c>
    </row>
    <row r="429" ht="15" customHeight="1" s="78">
      <c r="A429" s="96">
        <f>IF(DM_DT!$A123="","",DM_DT!$A123&amp;"")</f>
        <v/>
      </c>
      <c r="B429" s="97">
        <f>IF($A429="","",DM_DT!$B123)</f>
        <v/>
      </c>
      <c r="C429" s="125">
        <f>IF($A429="","",SUMIFS(SDDK!$D$256:$D$375,SDDK!$A$256:$A$375,"331",SDDK!$B$256:$B$375,$A429))</f>
        <v/>
      </c>
      <c r="D429" s="125">
        <f>IF($A429="","",SUMIFS(SDDK!$E$256:$E$375,SDDK!$A$256:$A$375,"331",SDDK!$B$256:$B$375,$A429))</f>
        <v/>
      </c>
      <c r="E429" s="125">
        <f>IF($A429="","",SUMIFS(NKC!$H$7:$H$3006,NKC!$F$7:$F$3006,"331*",NKC!$I$7:$I$3006,$A429,NKC!$B$7:$B$3006,"&lt;="&amp;DEN_NGAY))</f>
        <v/>
      </c>
      <c r="F429" s="125">
        <f>IF($A429="","",SUMIFS(NKC!$H$7:$H$3006,NKC!$G$7:$G$3006,"331*",NKC!$I$7:$I$3006,$A429,NKC!$B$7:$B$3006,"&lt;="&amp;DEN_NGAY))</f>
        <v/>
      </c>
      <c r="G429" s="125">
        <f>IF($A429="","",MAX($C429-$D429+$E429-$F429,0))</f>
        <v/>
      </c>
      <c r="H429" s="125">
        <f>IF($A429="","",MAX(-($C429-$D429+$E429-$F429),0))</f>
        <v/>
      </c>
    </row>
    <row r="430" ht="15" customHeight="1" s="78">
      <c r="A430" s="96">
        <f>IF(DM_DT!$A124="","",DM_DT!$A124&amp;"")</f>
        <v/>
      </c>
      <c r="B430" s="97">
        <f>IF($A430="","",DM_DT!$B124)</f>
        <v/>
      </c>
      <c r="C430" s="125">
        <f>IF($A430="","",SUMIFS(SDDK!$D$256:$D$375,SDDK!$A$256:$A$375,"331",SDDK!$B$256:$B$375,$A430))</f>
        <v/>
      </c>
      <c r="D430" s="125">
        <f>IF($A430="","",SUMIFS(SDDK!$E$256:$E$375,SDDK!$A$256:$A$375,"331",SDDK!$B$256:$B$375,$A430))</f>
        <v/>
      </c>
      <c r="E430" s="125">
        <f>IF($A430="","",SUMIFS(NKC!$H$7:$H$3006,NKC!$F$7:$F$3006,"331*",NKC!$I$7:$I$3006,$A430,NKC!$B$7:$B$3006,"&lt;="&amp;DEN_NGAY))</f>
        <v/>
      </c>
      <c r="F430" s="125">
        <f>IF($A430="","",SUMIFS(NKC!$H$7:$H$3006,NKC!$G$7:$G$3006,"331*",NKC!$I$7:$I$3006,$A430,NKC!$B$7:$B$3006,"&lt;="&amp;DEN_NGAY))</f>
        <v/>
      </c>
      <c r="G430" s="125">
        <f>IF($A430="","",MAX($C430-$D430+$E430-$F430,0))</f>
        <v/>
      </c>
      <c r="H430" s="125">
        <f>IF($A430="","",MAX(-($C430-$D430+$E430-$F430),0))</f>
        <v/>
      </c>
    </row>
    <row r="431" ht="15" customHeight="1" s="78">
      <c r="A431" s="96">
        <f>IF(DM_DT!$A125="","",DM_DT!$A125&amp;"")</f>
        <v/>
      </c>
      <c r="B431" s="97">
        <f>IF($A431="","",DM_DT!$B125)</f>
        <v/>
      </c>
      <c r="C431" s="125">
        <f>IF($A431="","",SUMIFS(SDDK!$D$256:$D$375,SDDK!$A$256:$A$375,"331",SDDK!$B$256:$B$375,$A431))</f>
        <v/>
      </c>
      <c r="D431" s="125">
        <f>IF($A431="","",SUMIFS(SDDK!$E$256:$E$375,SDDK!$A$256:$A$375,"331",SDDK!$B$256:$B$375,$A431))</f>
        <v/>
      </c>
      <c r="E431" s="125">
        <f>IF($A431="","",SUMIFS(NKC!$H$7:$H$3006,NKC!$F$7:$F$3006,"331*",NKC!$I$7:$I$3006,$A431,NKC!$B$7:$B$3006,"&lt;="&amp;DEN_NGAY))</f>
        <v/>
      </c>
      <c r="F431" s="125">
        <f>IF($A431="","",SUMIFS(NKC!$H$7:$H$3006,NKC!$G$7:$G$3006,"331*",NKC!$I$7:$I$3006,$A431,NKC!$B$7:$B$3006,"&lt;="&amp;DEN_NGAY))</f>
        <v/>
      </c>
      <c r="G431" s="125">
        <f>IF($A431="","",MAX($C431-$D431+$E431-$F431,0))</f>
        <v/>
      </c>
      <c r="H431" s="125">
        <f>IF($A431="","",MAX(-($C431-$D431+$E431-$F431),0))</f>
        <v/>
      </c>
    </row>
    <row r="432" ht="15" customHeight="1" s="78">
      <c r="A432" s="96">
        <f>IF(DM_DT!$A126="","",DM_DT!$A126&amp;"")</f>
        <v/>
      </c>
      <c r="B432" s="97">
        <f>IF($A432="","",DM_DT!$B126)</f>
        <v/>
      </c>
      <c r="C432" s="125">
        <f>IF($A432="","",SUMIFS(SDDK!$D$256:$D$375,SDDK!$A$256:$A$375,"331",SDDK!$B$256:$B$375,$A432))</f>
        <v/>
      </c>
      <c r="D432" s="125">
        <f>IF($A432="","",SUMIFS(SDDK!$E$256:$E$375,SDDK!$A$256:$A$375,"331",SDDK!$B$256:$B$375,$A432))</f>
        <v/>
      </c>
      <c r="E432" s="125">
        <f>IF($A432="","",SUMIFS(NKC!$H$7:$H$3006,NKC!$F$7:$F$3006,"331*",NKC!$I$7:$I$3006,$A432,NKC!$B$7:$B$3006,"&lt;="&amp;DEN_NGAY))</f>
        <v/>
      </c>
      <c r="F432" s="125">
        <f>IF($A432="","",SUMIFS(NKC!$H$7:$H$3006,NKC!$G$7:$G$3006,"331*",NKC!$I$7:$I$3006,$A432,NKC!$B$7:$B$3006,"&lt;="&amp;DEN_NGAY))</f>
        <v/>
      </c>
      <c r="G432" s="125">
        <f>IF($A432="","",MAX($C432-$D432+$E432-$F432,0))</f>
        <v/>
      </c>
      <c r="H432" s="125">
        <f>IF($A432="","",MAX(-($C432-$D432+$E432-$F432),0))</f>
        <v/>
      </c>
    </row>
    <row r="433" ht="15" customHeight="1" s="78">
      <c r="A433" s="96">
        <f>IF(DM_DT!$A127="","",DM_DT!$A127&amp;"")</f>
        <v/>
      </c>
      <c r="B433" s="97">
        <f>IF($A433="","",DM_DT!$B127)</f>
        <v/>
      </c>
      <c r="C433" s="125">
        <f>IF($A433="","",SUMIFS(SDDK!$D$256:$D$375,SDDK!$A$256:$A$375,"331",SDDK!$B$256:$B$375,$A433))</f>
        <v/>
      </c>
      <c r="D433" s="125">
        <f>IF($A433="","",SUMIFS(SDDK!$E$256:$E$375,SDDK!$A$256:$A$375,"331",SDDK!$B$256:$B$375,$A433))</f>
        <v/>
      </c>
      <c r="E433" s="125">
        <f>IF($A433="","",SUMIFS(NKC!$H$7:$H$3006,NKC!$F$7:$F$3006,"331*",NKC!$I$7:$I$3006,$A433,NKC!$B$7:$B$3006,"&lt;="&amp;DEN_NGAY))</f>
        <v/>
      </c>
      <c r="F433" s="125">
        <f>IF($A433="","",SUMIFS(NKC!$H$7:$H$3006,NKC!$G$7:$G$3006,"331*",NKC!$I$7:$I$3006,$A433,NKC!$B$7:$B$3006,"&lt;="&amp;DEN_NGAY))</f>
        <v/>
      </c>
      <c r="G433" s="125">
        <f>IF($A433="","",MAX($C433-$D433+$E433-$F433,0))</f>
        <v/>
      </c>
      <c r="H433" s="125">
        <f>IF($A433="","",MAX(-($C433-$D433+$E433-$F433),0))</f>
        <v/>
      </c>
    </row>
    <row r="434" ht="15" customHeight="1" s="78">
      <c r="A434" s="96">
        <f>IF(DM_DT!$A128="","",DM_DT!$A128&amp;"")</f>
        <v/>
      </c>
      <c r="B434" s="97">
        <f>IF($A434="","",DM_DT!$B128)</f>
        <v/>
      </c>
      <c r="C434" s="125">
        <f>IF($A434="","",SUMIFS(SDDK!$D$256:$D$375,SDDK!$A$256:$A$375,"331",SDDK!$B$256:$B$375,$A434))</f>
        <v/>
      </c>
      <c r="D434" s="125">
        <f>IF($A434="","",SUMIFS(SDDK!$E$256:$E$375,SDDK!$A$256:$A$375,"331",SDDK!$B$256:$B$375,$A434))</f>
        <v/>
      </c>
      <c r="E434" s="125">
        <f>IF($A434="","",SUMIFS(NKC!$H$7:$H$3006,NKC!$F$7:$F$3006,"331*",NKC!$I$7:$I$3006,$A434,NKC!$B$7:$B$3006,"&lt;="&amp;DEN_NGAY))</f>
        <v/>
      </c>
      <c r="F434" s="125">
        <f>IF($A434="","",SUMIFS(NKC!$H$7:$H$3006,NKC!$G$7:$G$3006,"331*",NKC!$I$7:$I$3006,$A434,NKC!$B$7:$B$3006,"&lt;="&amp;DEN_NGAY))</f>
        <v/>
      </c>
      <c r="G434" s="125">
        <f>IF($A434="","",MAX($C434-$D434+$E434-$F434,0))</f>
        <v/>
      </c>
      <c r="H434" s="125">
        <f>IF($A434="","",MAX(-($C434-$D434+$E434-$F434),0))</f>
        <v/>
      </c>
    </row>
    <row r="435" ht="15" customHeight="1" s="78">
      <c r="A435" s="96">
        <f>IF(DM_DT!$A129="","",DM_DT!$A129&amp;"")</f>
        <v/>
      </c>
      <c r="B435" s="97">
        <f>IF($A435="","",DM_DT!$B129)</f>
        <v/>
      </c>
      <c r="C435" s="125">
        <f>IF($A435="","",SUMIFS(SDDK!$D$256:$D$375,SDDK!$A$256:$A$375,"331",SDDK!$B$256:$B$375,$A435))</f>
        <v/>
      </c>
      <c r="D435" s="125">
        <f>IF($A435="","",SUMIFS(SDDK!$E$256:$E$375,SDDK!$A$256:$A$375,"331",SDDK!$B$256:$B$375,$A435))</f>
        <v/>
      </c>
      <c r="E435" s="125">
        <f>IF($A435="","",SUMIFS(NKC!$H$7:$H$3006,NKC!$F$7:$F$3006,"331*",NKC!$I$7:$I$3006,$A435,NKC!$B$7:$B$3006,"&lt;="&amp;DEN_NGAY))</f>
        <v/>
      </c>
      <c r="F435" s="125">
        <f>IF($A435="","",SUMIFS(NKC!$H$7:$H$3006,NKC!$G$7:$G$3006,"331*",NKC!$I$7:$I$3006,$A435,NKC!$B$7:$B$3006,"&lt;="&amp;DEN_NGAY))</f>
        <v/>
      </c>
      <c r="G435" s="125">
        <f>IF($A435="","",MAX($C435-$D435+$E435-$F435,0))</f>
        <v/>
      </c>
      <c r="H435" s="125">
        <f>IF($A435="","",MAX(-($C435-$D435+$E435-$F435),0))</f>
        <v/>
      </c>
    </row>
    <row r="436" ht="15" customHeight="1" s="78">
      <c r="A436" s="96">
        <f>IF(DM_DT!$A130="","",DM_DT!$A130&amp;"")</f>
        <v/>
      </c>
      <c r="B436" s="97">
        <f>IF($A436="","",DM_DT!$B130)</f>
        <v/>
      </c>
      <c r="C436" s="125">
        <f>IF($A436="","",SUMIFS(SDDK!$D$256:$D$375,SDDK!$A$256:$A$375,"331",SDDK!$B$256:$B$375,$A436))</f>
        <v/>
      </c>
      <c r="D436" s="125">
        <f>IF($A436="","",SUMIFS(SDDK!$E$256:$E$375,SDDK!$A$256:$A$375,"331",SDDK!$B$256:$B$375,$A436))</f>
        <v/>
      </c>
      <c r="E436" s="125">
        <f>IF($A436="","",SUMIFS(NKC!$H$7:$H$3006,NKC!$F$7:$F$3006,"331*",NKC!$I$7:$I$3006,$A436,NKC!$B$7:$B$3006,"&lt;="&amp;DEN_NGAY))</f>
        <v/>
      </c>
      <c r="F436" s="125">
        <f>IF($A436="","",SUMIFS(NKC!$H$7:$H$3006,NKC!$G$7:$G$3006,"331*",NKC!$I$7:$I$3006,$A436,NKC!$B$7:$B$3006,"&lt;="&amp;DEN_NGAY))</f>
        <v/>
      </c>
      <c r="G436" s="125">
        <f>IF($A436="","",MAX($C436-$D436+$E436-$F436,0))</f>
        <v/>
      </c>
      <c r="H436" s="125">
        <f>IF($A436="","",MAX(-($C436-$D436+$E436-$F436),0))</f>
        <v/>
      </c>
    </row>
    <row r="437" ht="15" customHeight="1" s="78">
      <c r="A437" s="96">
        <f>IF(DM_DT!$A131="","",DM_DT!$A131&amp;"")</f>
        <v/>
      </c>
      <c r="B437" s="97">
        <f>IF($A437="","",DM_DT!$B131)</f>
        <v/>
      </c>
      <c r="C437" s="125">
        <f>IF($A437="","",SUMIFS(SDDK!$D$256:$D$375,SDDK!$A$256:$A$375,"331",SDDK!$B$256:$B$375,$A437))</f>
        <v/>
      </c>
      <c r="D437" s="125">
        <f>IF($A437="","",SUMIFS(SDDK!$E$256:$E$375,SDDK!$A$256:$A$375,"331",SDDK!$B$256:$B$375,$A437))</f>
        <v/>
      </c>
      <c r="E437" s="125">
        <f>IF($A437="","",SUMIFS(NKC!$H$7:$H$3006,NKC!$F$7:$F$3006,"331*",NKC!$I$7:$I$3006,$A437,NKC!$B$7:$B$3006,"&lt;="&amp;DEN_NGAY))</f>
        <v/>
      </c>
      <c r="F437" s="125">
        <f>IF($A437="","",SUMIFS(NKC!$H$7:$H$3006,NKC!$G$7:$G$3006,"331*",NKC!$I$7:$I$3006,$A437,NKC!$B$7:$B$3006,"&lt;="&amp;DEN_NGAY))</f>
        <v/>
      </c>
      <c r="G437" s="125">
        <f>IF($A437="","",MAX($C437-$D437+$E437-$F437,0))</f>
        <v/>
      </c>
      <c r="H437" s="125">
        <f>IF($A437="","",MAX(-($C437-$D437+$E437-$F437),0))</f>
        <v/>
      </c>
    </row>
    <row r="438" ht="15" customHeight="1" s="78">
      <c r="A438" s="96">
        <f>IF(DM_DT!$A132="","",DM_DT!$A132&amp;"")</f>
        <v/>
      </c>
      <c r="B438" s="97">
        <f>IF($A438="","",DM_DT!$B132)</f>
        <v/>
      </c>
      <c r="C438" s="125">
        <f>IF($A438="","",SUMIFS(SDDK!$D$256:$D$375,SDDK!$A$256:$A$375,"331",SDDK!$B$256:$B$375,$A438))</f>
        <v/>
      </c>
      <c r="D438" s="125">
        <f>IF($A438="","",SUMIFS(SDDK!$E$256:$E$375,SDDK!$A$256:$A$375,"331",SDDK!$B$256:$B$375,$A438))</f>
        <v/>
      </c>
      <c r="E438" s="125">
        <f>IF($A438="","",SUMIFS(NKC!$H$7:$H$3006,NKC!$F$7:$F$3006,"331*",NKC!$I$7:$I$3006,$A438,NKC!$B$7:$B$3006,"&lt;="&amp;DEN_NGAY))</f>
        <v/>
      </c>
      <c r="F438" s="125">
        <f>IF($A438="","",SUMIFS(NKC!$H$7:$H$3006,NKC!$G$7:$G$3006,"331*",NKC!$I$7:$I$3006,$A438,NKC!$B$7:$B$3006,"&lt;="&amp;DEN_NGAY))</f>
        <v/>
      </c>
      <c r="G438" s="125">
        <f>IF($A438="","",MAX($C438-$D438+$E438-$F438,0))</f>
        <v/>
      </c>
      <c r="H438" s="125">
        <f>IF($A438="","",MAX(-($C438-$D438+$E438-$F438),0))</f>
        <v/>
      </c>
    </row>
    <row r="439" ht="15" customHeight="1" s="78">
      <c r="A439" s="96">
        <f>IF(DM_DT!$A133="","",DM_DT!$A133&amp;"")</f>
        <v/>
      </c>
      <c r="B439" s="97">
        <f>IF($A439="","",DM_DT!$B133)</f>
        <v/>
      </c>
      <c r="C439" s="125">
        <f>IF($A439="","",SUMIFS(SDDK!$D$256:$D$375,SDDK!$A$256:$A$375,"331",SDDK!$B$256:$B$375,$A439))</f>
        <v/>
      </c>
      <c r="D439" s="125">
        <f>IF($A439="","",SUMIFS(SDDK!$E$256:$E$375,SDDK!$A$256:$A$375,"331",SDDK!$B$256:$B$375,$A439))</f>
        <v/>
      </c>
      <c r="E439" s="125">
        <f>IF($A439="","",SUMIFS(NKC!$H$7:$H$3006,NKC!$F$7:$F$3006,"331*",NKC!$I$7:$I$3006,$A439,NKC!$B$7:$B$3006,"&lt;="&amp;DEN_NGAY))</f>
        <v/>
      </c>
      <c r="F439" s="125">
        <f>IF($A439="","",SUMIFS(NKC!$H$7:$H$3006,NKC!$G$7:$G$3006,"331*",NKC!$I$7:$I$3006,$A439,NKC!$B$7:$B$3006,"&lt;="&amp;DEN_NGAY))</f>
        <v/>
      </c>
      <c r="G439" s="125">
        <f>IF($A439="","",MAX($C439-$D439+$E439-$F439,0))</f>
        <v/>
      </c>
      <c r="H439" s="125">
        <f>IF($A439="","",MAX(-($C439-$D439+$E439-$F439),0))</f>
        <v/>
      </c>
    </row>
    <row r="440" ht="15" customHeight="1" s="78">
      <c r="A440" s="96">
        <f>IF(DM_DT!$A134="","",DM_DT!$A134&amp;"")</f>
        <v/>
      </c>
      <c r="B440" s="97">
        <f>IF($A440="","",DM_DT!$B134)</f>
        <v/>
      </c>
      <c r="C440" s="125">
        <f>IF($A440="","",SUMIFS(SDDK!$D$256:$D$375,SDDK!$A$256:$A$375,"331",SDDK!$B$256:$B$375,$A440))</f>
        <v/>
      </c>
      <c r="D440" s="125">
        <f>IF($A440="","",SUMIFS(SDDK!$E$256:$E$375,SDDK!$A$256:$A$375,"331",SDDK!$B$256:$B$375,$A440))</f>
        <v/>
      </c>
      <c r="E440" s="125">
        <f>IF($A440="","",SUMIFS(NKC!$H$7:$H$3006,NKC!$F$7:$F$3006,"331*",NKC!$I$7:$I$3006,$A440,NKC!$B$7:$B$3006,"&lt;="&amp;DEN_NGAY))</f>
        <v/>
      </c>
      <c r="F440" s="125">
        <f>IF($A440="","",SUMIFS(NKC!$H$7:$H$3006,NKC!$G$7:$G$3006,"331*",NKC!$I$7:$I$3006,$A440,NKC!$B$7:$B$3006,"&lt;="&amp;DEN_NGAY))</f>
        <v/>
      </c>
      <c r="G440" s="125">
        <f>IF($A440="","",MAX($C440-$D440+$E440-$F440,0))</f>
        <v/>
      </c>
      <c r="H440" s="125">
        <f>IF($A440="","",MAX(-($C440-$D440+$E440-$F440),0))</f>
        <v/>
      </c>
    </row>
    <row r="441" ht="15" customHeight="1" s="78">
      <c r="A441" s="96">
        <f>IF(DM_DT!$A135="","",DM_DT!$A135&amp;"")</f>
        <v/>
      </c>
      <c r="B441" s="97">
        <f>IF($A441="","",DM_DT!$B135)</f>
        <v/>
      </c>
      <c r="C441" s="125">
        <f>IF($A441="","",SUMIFS(SDDK!$D$256:$D$375,SDDK!$A$256:$A$375,"331",SDDK!$B$256:$B$375,$A441))</f>
        <v/>
      </c>
      <c r="D441" s="125">
        <f>IF($A441="","",SUMIFS(SDDK!$E$256:$E$375,SDDK!$A$256:$A$375,"331",SDDK!$B$256:$B$375,$A441))</f>
        <v/>
      </c>
      <c r="E441" s="125">
        <f>IF($A441="","",SUMIFS(NKC!$H$7:$H$3006,NKC!$F$7:$F$3006,"331*",NKC!$I$7:$I$3006,$A441,NKC!$B$7:$B$3006,"&lt;="&amp;DEN_NGAY))</f>
        <v/>
      </c>
      <c r="F441" s="125">
        <f>IF($A441="","",SUMIFS(NKC!$H$7:$H$3006,NKC!$G$7:$G$3006,"331*",NKC!$I$7:$I$3006,$A441,NKC!$B$7:$B$3006,"&lt;="&amp;DEN_NGAY))</f>
        <v/>
      </c>
      <c r="G441" s="125">
        <f>IF($A441="","",MAX($C441-$D441+$E441-$F441,0))</f>
        <v/>
      </c>
      <c r="H441" s="125">
        <f>IF($A441="","",MAX(-($C441-$D441+$E441-$F441),0))</f>
        <v/>
      </c>
    </row>
    <row r="442" ht="15" customHeight="1" s="78">
      <c r="A442" s="96">
        <f>IF(DM_DT!$A136="","",DM_DT!$A136&amp;"")</f>
        <v/>
      </c>
      <c r="B442" s="97">
        <f>IF($A442="","",DM_DT!$B136)</f>
        <v/>
      </c>
      <c r="C442" s="125">
        <f>IF($A442="","",SUMIFS(SDDK!$D$256:$D$375,SDDK!$A$256:$A$375,"331",SDDK!$B$256:$B$375,$A442))</f>
        <v/>
      </c>
      <c r="D442" s="125">
        <f>IF($A442="","",SUMIFS(SDDK!$E$256:$E$375,SDDK!$A$256:$A$375,"331",SDDK!$B$256:$B$375,$A442))</f>
        <v/>
      </c>
      <c r="E442" s="125">
        <f>IF($A442="","",SUMIFS(NKC!$H$7:$H$3006,NKC!$F$7:$F$3006,"331*",NKC!$I$7:$I$3006,$A442,NKC!$B$7:$B$3006,"&lt;="&amp;DEN_NGAY))</f>
        <v/>
      </c>
      <c r="F442" s="125">
        <f>IF($A442="","",SUMIFS(NKC!$H$7:$H$3006,NKC!$G$7:$G$3006,"331*",NKC!$I$7:$I$3006,$A442,NKC!$B$7:$B$3006,"&lt;="&amp;DEN_NGAY))</f>
        <v/>
      </c>
      <c r="G442" s="125">
        <f>IF($A442="","",MAX($C442-$D442+$E442-$F442,0))</f>
        <v/>
      </c>
      <c r="H442" s="125">
        <f>IF($A442="","",MAX(-($C442-$D442+$E442-$F442),0))</f>
        <v/>
      </c>
    </row>
    <row r="443" ht="15" customHeight="1" s="78">
      <c r="A443" s="96">
        <f>IF(DM_DT!$A137="","",DM_DT!$A137&amp;"")</f>
        <v/>
      </c>
      <c r="B443" s="97">
        <f>IF($A443="","",DM_DT!$B137)</f>
        <v/>
      </c>
      <c r="C443" s="125">
        <f>IF($A443="","",SUMIFS(SDDK!$D$256:$D$375,SDDK!$A$256:$A$375,"331",SDDK!$B$256:$B$375,$A443))</f>
        <v/>
      </c>
      <c r="D443" s="125">
        <f>IF($A443="","",SUMIFS(SDDK!$E$256:$E$375,SDDK!$A$256:$A$375,"331",SDDK!$B$256:$B$375,$A443))</f>
        <v/>
      </c>
      <c r="E443" s="125">
        <f>IF($A443="","",SUMIFS(NKC!$H$7:$H$3006,NKC!$F$7:$F$3006,"331*",NKC!$I$7:$I$3006,$A443,NKC!$B$7:$B$3006,"&lt;="&amp;DEN_NGAY))</f>
        <v/>
      </c>
      <c r="F443" s="125">
        <f>IF($A443="","",SUMIFS(NKC!$H$7:$H$3006,NKC!$G$7:$G$3006,"331*",NKC!$I$7:$I$3006,$A443,NKC!$B$7:$B$3006,"&lt;="&amp;DEN_NGAY))</f>
        <v/>
      </c>
      <c r="G443" s="125">
        <f>IF($A443="","",MAX($C443-$D443+$E443-$F443,0))</f>
        <v/>
      </c>
      <c r="H443" s="125">
        <f>IF($A443="","",MAX(-($C443-$D443+$E443-$F443),0))</f>
        <v/>
      </c>
    </row>
    <row r="444" ht="15" customHeight="1" s="78">
      <c r="A444" s="96">
        <f>IF(DM_DT!$A138="","",DM_DT!$A138&amp;"")</f>
        <v/>
      </c>
      <c r="B444" s="97">
        <f>IF($A444="","",DM_DT!$B138)</f>
        <v/>
      </c>
      <c r="C444" s="125">
        <f>IF($A444="","",SUMIFS(SDDK!$D$256:$D$375,SDDK!$A$256:$A$375,"331",SDDK!$B$256:$B$375,$A444))</f>
        <v/>
      </c>
      <c r="D444" s="125">
        <f>IF($A444="","",SUMIFS(SDDK!$E$256:$E$375,SDDK!$A$256:$A$375,"331",SDDK!$B$256:$B$375,$A444))</f>
        <v/>
      </c>
      <c r="E444" s="125">
        <f>IF($A444="","",SUMIFS(NKC!$H$7:$H$3006,NKC!$F$7:$F$3006,"331*",NKC!$I$7:$I$3006,$A444,NKC!$B$7:$B$3006,"&lt;="&amp;DEN_NGAY))</f>
        <v/>
      </c>
      <c r="F444" s="125">
        <f>IF($A444="","",SUMIFS(NKC!$H$7:$H$3006,NKC!$G$7:$G$3006,"331*",NKC!$I$7:$I$3006,$A444,NKC!$B$7:$B$3006,"&lt;="&amp;DEN_NGAY))</f>
        <v/>
      </c>
      <c r="G444" s="125">
        <f>IF($A444="","",MAX($C444-$D444+$E444-$F444,0))</f>
        <v/>
      </c>
      <c r="H444" s="125">
        <f>IF($A444="","",MAX(-($C444-$D444+$E444-$F444),0))</f>
        <v/>
      </c>
    </row>
    <row r="445" ht="15" customHeight="1" s="78">
      <c r="A445" s="96">
        <f>IF(DM_DT!$A139="","",DM_DT!$A139&amp;"")</f>
        <v/>
      </c>
      <c r="B445" s="97">
        <f>IF($A445="","",DM_DT!$B139)</f>
        <v/>
      </c>
      <c r="C445" s="125">
        <f>IF($A445="","",SUMIFS(SDDK!$D$256:$D$375,SDDK!$A$256:$A$375,"331",SDDK!$B$256:$B$375,$A445))</f>
        <v/>
      </c>
      <c r="D445" s="125">
        <f>IF($A445="","",SUMIFS(SDDK!$E$256:$E$375,SDDK!$A$256:$A$375,"331",SDDK!$B$256:$B$375,$A445))</f>
        <v/>
      </c>
      <c r="E445" s="125">
        <f>IF($A445="","",SUMIFS(NKC!$H$7:$H$3006,NKC!$F$7:$F$3006,"331*",NKC!$I$7:$I$3006,$A445,NKC!$B$7:$B$3006,"&lt;="&amp;DEN_NGAY))</f>
        <v/>
      </c>
      <c r="F445" s="125">
        <f>IF($A445="","",SUMIFS(NKC!$H$7:$H$3006,NKC!$G$7:$G$3006,"331*",NKC!$I$7:$I$3006,$A445,NKC!$B$7:$B$3006,"&lt;="&amp;DEN_NGAY))</f>
        <v/>
      </c>
      <c r="G445" s="125">
        <f>IF($A445="","",MAX($C445-$D445+$E445-$F445,0))</f>
        <v/>
      </c>
      <c r="H445" s="125">
        <f>IF($A445="","",MAX(-($C445-$D445+$E445-$F445),0))</f>
        <v/>
      </c>
    </row>
    <row r="446" ht="15" customHeight="1" s="78">
      <c r="A446" s="96">
        <f>IF(DM_DT!$A140="","",DM_DT!$A140&amp;"")</f>
        <v/>
      </c>
      <c r="B446" s="97">
        <f>IF($A446="","",DM_DT!$B140)</f>
        <v/>
      </c>
      <c r="C446" s="125">
        <f>IF($A446="","",SUMIFS(SDDK!$D$256:$D$375,SDDK!$A$256:$A$375,"331",SDDK!$B$256:$B$375,$A446))</f>
        <v/>
      </c>
      <c r="D446" s="125">
        <f>IF($A446="","",SUMIFS(SDDK!$E$256:$E$375,SDDK!$A$256:$A$375,"331",SDDK!$B$256:$B$375,$A446))</f>
        <v/>
      </c>
      <c r="E446" s="125">
        <f>IF($A446="","",SUMIFS(NKC!$H$7:$H$3006,NKC!$F$7:$F$3006,"331*",NKC!$I$7:$I$3006,$A446,NKC!$B$7:$B$3006,"&lt;="&amp;DEN_NGAY))</f>
        <v/>
      </c>
      <c r="F446" s="125">
        <f>IF($A446="","",SUMIFS(NKC!$H$7:$H$3006,NKC!$G$7:$G$3006,"331*",NKC!$I$7:$I$3006,$A446,NKC!$B$7:$B$3006,"&lt;="&amp;DEN_NGAY))</f>
        <v/>
      </c>
      <c r="G446" s="125">
        <f>IF($A446="","",MAX($C446-$D446+$E446-$F446,0))</f>
        <v/>
      </c>
      <c r="H446" s="125">
        <f>IF($A446="","",MAX(-($C446-$D446+$E446-$F446),0))</f>
        <v/>
      </c>
    </row>
    <row r="447" ht="15" customHeight="1" s="78">
      <c r="A447" s="96">
        <f>IF(DM_DT!$A141="","",DM_DT!$A141&amp;"")</f>
        <v/>
      </c>
      <c r="B447" s="97">
        <f>IF($A447="","",DM_DT!$B141)</f>
        <v/>
      </c>
      <c r="C447" s="125">
        <f>IF($A447="","",SUMIFS(SDDK!$D$256:$D$375,SDDK!$A$256:$A$375,"331",SDDK!$B$256:$B$375,$A447))</f>
        <v/>
      </c>
      <c r="D447" s="125">
        <f>IF($A447="","",SUMIFS(SDDK!$E$256:$E$375,SDDK!$A$256:$A$375,"331",SDDK!$B$256:$B$375,$A447))</f>
        <v/>
      </c>
      <c r="E447" s="125">
        <f>IF($A447="","",SUMIFS(NKC!$H$7:$H$3006,NKC!$F$7:$F$3006,"331*",NKC!$I$7:$I$3006,$A447,NKC!$B$7:$B$3006,"&lt;="&amp;DEN_NGAY))</f>
        <v/>
      </c>
      <c r="F447" s="125">
        <f>IF($A447="","",SUMIFS(NKC!$H$7:$H$3006,NKC!$G$7:$G$3006,"331*",NKC!$I$7:$I$3006,$A447,NKC!$B$7:$B$3006,"&lt;="&amp;DEN_NGAY))</f>
        <v/>
      </c>
      <c r="G447" s="125">
        <f>IF($A447="","",MAX($C447-$D447+$E447-$F447,0))</f>
        <v/>
      </c>
      <c r="H447" s="125">
        <f>IF($A447="","",MAX(-($C447-$D447+$E447-$F447),0))</f>
        <v/>
      </c>
    </row>
    <row r="448" ht="15" customHeight="1" s="78">
      <c r="A448" s="96">
        <f>IF(DM_DT!$A142="","",DM_DT!$A142&amp;"")</f>
        <v/>
      </c>
      <c r="B448" s="97">
        <f>IF($A448="","",DM_DT!$B142)</f>
        <v/>
      </c>
      <c r="C448" s="125">
        <f>IF($A448="","",SUMIFS(SDDK!$D$256:$D$375,SDDK!$A$256:$A$375,"331",SDDK!$B$256:$B$375,$A448))</f>
        <v/>
      </c>
      <c r="D448" s="125">
        <f>IF($A448="","",SUMIFS(SDDK!$E$256:$E$375,SDDK!$A$256:$A$375,"331",SDDK!$B$256:$B$375,$A448))</f>
        <v/>
      </c>
      <c r="E448" s="125">
        <f>IF($A448="","",SUMIFS(NKC!$H$7:$H$3006,NKC!$F$7:$F$3006,"331*",NKC!$I$7:$I$3006,$A448,NKC!$B$7:$B$3006,"&lt;="&amp;DEN_NGAY))</f>
        <v/>
      </c>
      <c r="F448" s="125">
        <f>IF($A448="","",SUMIFS(NKC!$H$7:$H$3006,NKC!$G$7:$G$3006,"331*",NKC!$I$7:$I$3006,$A448,NKC!$B$7:$B$3006,"&lt;="&amp;DEN_NGAY))</f>
        <v/>
      </c>
      <c r="G448" s="125">
        <f>IF($A448="","",MAX($C448-$D448+$E448-$F448,0))</f>
        <v/>
      </c>
      <c r="H448" s="125">
        <f>IF($A448="","",MAX(-($C448-$D448+$E448-$F448),0))</f>
        <v/>
      </c>
    </row>
    <row r="449" ht="15" customHeight="1" s="78">
      <c r="A449" s="96">
        <f>IF(DM_DT!$A143="","",DM_DT!$A143&amp;"")</f>
        <v/>
      </c>
      <c r="B449" s="97">
        <f>IF($A449="","",DM_DT!$B143)</f>
        <v/>
      </c>
      <c r="C449" s="125">
        <f>IF($A449="","",SUMIFS(SDDK!$D$256:$D$375,SDDK!$A$256:$A$375,"331",SDDK!$B$256:$B$375,$A449))</f>
        <v/>
      </c>
      <c r="D449" s="125">
        <f>IF($A449="","",SUMIFS(SDDK!$E$256:$E$375,SDDK!$A$256:$A$375,"331",SDDK!$B$256:$B$375,$A449))</f>
        <v/>
      </c>
      <c r="E449" s="125">
        <f>IF($A449="","",SUMIFS(NKC!$H$7:$H$3006,NKC!$F$7:$F$3006,"331*",NKC!$I$7:$I$3006,$A449,NKC!$B$7:$B$3006,"&lt;="&amp;DEN_NGAY))</f>
        <v/>
      </c>
      <c r="F449" s="125">
        <f>IF($A449="","",SUMIFS(NKC!$H$7:$H$3006,NKC!$G$7:$G$3006,"331*",NKC!$I$7:$I$3006,$A449,NKC!$B$7:$B$3006,"&lt;="&amp;DEN_NGAY))</f>
        <v/>
      </c>
      <c r="G449" s="125">
        <f>IF($A449="","",MAX($C449-$D449+$E449-$F449,0))</f>
        <v/>
      </c>
      <c r="H449" s="125">
        <f>IF($A449="","",MAX(-($C449-$D449+$E449-$F449),0))</f>
        <v/>
      </c>
    </row>
    <row r="450" ht="15" customHeight="1" s="78">
      <c r="A450" s="96">
        <f>IF(DM_DT!$A144="","",DM_DT!$A144&amp;"")</f>
        <v/>
      </c>
      <c r="B450" s="97">
        <f>IF($A450="","",DM_DT!$B144)</f>
        <v/>
      </c>
      <c r="C450" s="125">
        <f>IF($A450="","",SUMIFS(SDDK!$D$256:$D$375,SDDK!$A$256:$A$375,"331",SDDK!$B$256:$B$375,$A450))</f>
        <v/>
      </c>
      <c r="D450" s="125">
        <f>IF($A450="","",SUMIFS(SDDK!$E$256:$E$375,SDDK!$A$256:$A$375,"331",SDDK!$B$256:$B$375,$A450))</f>
        <v/>
      </c>
      <c r="E450" s="125">
        <f>IF($A450="","",SUMIFS(NKC!$H$7:$H$3006,NKC!$F$7:$F$3006,"331*",NKC!$I$7:$I$3006,$A450,NKC!$B$7:$B$3006,"&lt;="&amp;DEN_NGAY))</f>
        <v/>
      </c>
      <c r="F450" s="125">
        <f>IF($A450="","",SUMIFS(NKC!$H$7:$H$3006,NKC!$G$7:$G$3006,"331*",NKC!$I$7:$I$3006,$A450,NKC!$B$7:$B$3006,"&lt;="&amp;DEN_NGAY))</f>
        <v/>
      </c>
      <c r="G450" s="125">
        <f>IF($A450="","",MAX($C450-$D450+$E450-$F450,0))</f>
        <v/>
      </c>
      <c r="H450" s="125">
        <f>IF($A450="","",MAX(-($C450-$D450+$E450-$F450),0))</f>
        <v/>
      </c>
    </row>
    <row r="451" ht="15" customHeight="1" s="78">
      <c r="A451" s="96">
        <f>IF(DM_DT!$A145="","",DM_DT!$A145&amp;"")</f>
        <v/>
      </c>
      <c r="B451" s="97">
        <f>IF($A451="","",DM_DT!$B145)</f>
        <v/>
      </c>
      <c r="C451" s="125">
        <f>IF($A451="","",SUMIFS(SDDK!$D$256:$D$375,SDDK!$A$256:$A$375,"331",SDDK!$B$256:$B$375,$A451))</f>
        <v/>
      </c>
      <c r="D451" s="125">
        <f>IF($A451="","",SUMIFS(SDDK!$E$256:$E$375,SDDK!$A$256:$A$375,"331",SDDK!$B$256:$B$375,$A451))</f>
        <v/>
      </c>
      <c r="E451" s="125">
        <f>IF($A451="","",SUMIFS(NKC!$H$7:$H$3006,NKC!$F$7:$F$3006,"331*",NKC!$I$7:$I$3006,$A451,NKC!$B$7:$B$3006,"&lt;="&amp;DEN_NGAY))</f>
        <v/>
      </c>
      <c r="F451" s="125">
        <f>IF($A451="","",SUMIFS(NKC!$H$7:$H$3006,NKC!$G$7:$G$3006,"331*",NKC!$I$7:$I$3006,$A451,NKC!$B$7:$B$3006,"&lt;="&amp;DEN_NGAY))</f>
        <v/>
      </c>
      <c r="G451" s="125">
        <f>IF($A451="","",MAX($C451-$D451+$E451-$F451,0))</f>
        <v/>
      </c>
      <c r="H451" s="125">
        <f>IF($A451="","",MAX(-($C451-$D451+$E451-$F451),0))</f>
        <v/>
      </c>
    </row>
    <row r="452" ht="15" customHeight="1" s="78">
      <c r="A452" s="96">
        <f>IF(DM_DT!$A146="","",DM_DT!$A146&amp;"")</f>
        <v/>
      </c>
      <c r="B452" s="97">
        <f>IF($A452="","",DM_DT!$B146)</f>
        <v/>
      </c>
      <c r="C452" s="125">
        <f>IF($A452="","",SUMIFS(SDDK!$D$256:$D$375,SDDK!$A$256:$A$375,"331",SDDK!$B$256:$B$375,$A452))</f>
        <v/>
      </c>
      <c r="D452" s="125">
        <f>IF($A452="","",SUMIFS(SDDK!$E$256:$E$375,SDDK!$A$256:$A$375,"331",SDDK!$B$256:$B$375,$A452))</f>
        <v/>
      </c>
      <c r="E452" s="125">
        <f>IF($A452="","",SUMIFS(NKC!$H$7:$H$3006,NKC!$F$7:$F$3006,"331*",NKC!$I$7:$I$3006,$A452,NKC!$B$7:$B$3006,"&lt;="&amp;DEN_NGAY))</f>
        <v/>
      </c>
      <c r="F452" s="125">
        <f>IF($A452="","",SUMIFS(NKC!$H$7:$H$3006,NKC!$G$7:$G$3006,"331*",NKC!$I$7:$I$3006,$A452,NKC!$B$7:$B$3006,"&lt;="&amp;DEN_NGAY))</f>
        <v/>
      </c>
      <c r="G452" s="125">
        <f>IF($A452="","",MAX($C452-$D452+$E452-$F452,0))</f>
        <v/>
      </c>
      <c r="H452" s="125">
        <f>IF($A452="","",MAX(-($C452-$D452+$E452-$F452),0))</f>
        <v/>
      </c>
    </row>
    <row r="453" ht="15" customHeight="1" s="78">
      <c r="A453" s="96">
        <f>IF(DM_DT!$A147="","",DM_DT!$A147&amp;"")</f>
        <v/>
      </c>
      <c r="B453" s="97">
        <f>IF($A453="","",DM_DT!$B147)</f>
        <v/>
      </c>
      <c r="C453" s="125">
        <f>IF($A453="","",SUMIFS(SDDK!$D$256:$D$375,SDDK!$A$256:$A$375,"331",SDDK!$B$256:$B$375,$A453))</f>
        <v/>
      </c>
      <c r="D453" s="125">
        <f>IF($A453="","",SUMIFS(SDDK!$E$256:$E$375,SDDK!$A$256:$A$375,"331",SDDK!$B$256:$B$375,$A453))</f>
        <v/>
      </c>
      <c r="E453" s="125">
        <f>IF($A453="","",SUMIFS(NKC!$H$7:$H$3006,NKC!$F$7:$F$3006,"331*",NKC!$I$7:$I$3006,$A453,NKC!$B$7:$B$3006,"&lt;="&amp;DEN_NGAY))</f>
        <v/>
      </c>
      <c r="F453" s="125">
        <f>IF($A453="","",SUMIFS(NKC!$H$7:$H$3006,NKC!$G$7:$G$3006,"331*",NKC!$I$7:$I$3006,$A453,NKC!$B$7:$B$3006,"&lt;="&amp;DEN_NGAY))</f>
        <v/>
      </c>
      <c r="G453" s="125">
        <f>IF($A453="","",MAX($C453-$D453+$E453-$F453,0))</f>
        <v/>
      </c>
      <c r="H453" s="125">
        <f>IF($A453="","",MAX(-($C453-$D453+$E453-$F453),0))</f>
        <v/>
      </c>
    </row>
    <row r="454" ht="15" customHeight="1" s="78">
      <c r="A454" s="96">
        <f>IF(DM_DT!$A148="","",DM_DT!$A148&amp;"")</f>
        <v/>
      </c>
      <c r="B454" s="97">
        <f>IF($A454="","",DM_DT!$B148)</f>
        <v/>
      </c>
      <c r="C454" s="125">
        <f>IF($A454="","",SUMIFS(SDDK!$D$256:$D$375,SDDK!$A$256:$A$375,"331",SDDK!$B$256:$B$375,$A454))</f>
        <v/>
      </c>
      <c r="D454" s="125">
        <f>IF($A454="","",SUMIFS(SDDK!$E$256:$E$375,SDDK!$A$256:$A$375,"331",SDDK!$B$256:$B$375,$A454))</f>
        <v/>
      </c>
      <c r="E454" s="125">
        <f>IF($A454="","",SUMIFS(NKC!$H$7:$H$3006,NKC!$F$7:$F$3006,"331*",NKC!$I$7:$I$3006,$A454,NKC!$B$7:$B$3006,"&lt;="&amp;DEN_NGAY))</f>
        <v/>
      </c>
      <c r="F454" s="125">
        <f>IF($A454="","",SUMIFS(NKC!$H$7:$H$3006,NKC!$G$7:$G$3006,"331*",NKC!$I$7:$I$3006,$A454,NKC!$B$7:$B$3006,"&lt;="&amp;DEN_NGAY))</f>
        <v/>
      </c>
      <c r="G454" s="125">
        <f>IF($A454="","",MAX($C454-$D454+$E454-$F454,0))</f>
        <v/>
      </c>
      <c r="H454" s="125">
        <f>IF($A454="","",MAX(-($C454-$D454+$E454-$F454),0))</f>
        <v/>
      </c>
    </row>
    <row r="455" ht="15" customHeight="1" s="78">
      <c r="A455" s="96">
        <f>IF(DM_DT!$A149="","",DM_DT!$A149&amp;"")</f>
        <v/>
      </c>
      <c r="B455" s="97">
        <f>IF($A455="","",DM_DT!$B149)</f>
        <v/>
      </c>
      <c r="C455" s="125">
        <f>IF($A455="","",SUMIFS(SDDK!$D$256:$D$375,SDDK!$A$256:$A$375,"331",SDDK!$B$256:$B$375,$A455))</f>
        <v/>
      </c>
      <c r="D455" s="125">
        <f>IF($A455="","",SUMIFS(SDDK!$E$256:$E$375,SDDK!$A$256:$A$375,"331",SDDK!$B$256:$B$375,$A455))</f>
        <v/>
      </c>
      <c r="E455" s="125">
        <f>IF($A455="","",SUMIFS(NKC!$H$7:$H$3006,NKC!$F$7:$F$3006,"331*",NKC!$I$7:$I$3006,$A455,NKC!$B$7:$B$3006,"&lt;="&amp;DEN_NGAY))</f>
        <v/>
      </c>
      <c r="F455" s="125">
        <f>IF($A455="","",SUMIFS(NKC!$H$7:$H$3006,NKC!$G$7:$G$3006,"331*",NKC!$I$7:$I$3006,$A455,NKC!$B$7:$B$3006,"&lt;="&amp;DEN_NGAY))</f>
        <v/>
      </c>
      <c r="G455" s="125">
        <f>IF($A455="","",MAX($C455-$D455+$E455-$F455,0))</f>
        <v/>
      </c>
      <c r="H455" s="125">
        <f>IF($A455="","",MAX(-($C455-$D455+$E455-$F455),0))</f>
        <v/>
      </c>
    </row>
    <row r="456" ht="15" customHeight="1" s="78">
      <c r="A456" s="96">
        <f>IF(DM_DT!$A150="","",DM_DT!$A150&amp;"")</f>
        <v/>
      </c>
      <c r="B456" s="97">
        <f>IF($A456="","",DM_DT!$B150)</f>
        <v/>
      </c>
      <c r="C456" s="125">
        <f>IF($A456="","",SUMIFS(SDDK!$D$256:$D$375,SDDK!$A$256:$A$375,"331",SDDK!$B$256:$B$375,$A456))</f>
        <v/>
      </c>
      <c r="D456" s="125">
        <f>IF($A456="","",SUMIFS(SDDK!$E$256:$E$375,SDDK!$A$256:$A$375,"331",SDDK!$B$256:$B$375,$A456))</f>
        <v/>
      </c>
      <c r="E456" s="125">
        <f>IF($A456="","",SUMIFS(NKC!$H$7:$H$3006,NKC!$F$7:$F$3006,"331*",NKC!$I$7:$I$3006,$A456,NKC!$B$7:$B$3006,"&lt;="&amp;DEN_NGAY))</f>
        <v/>
      </c>
      <c r="F456" s="125">
        <f>IF($A456="","",SUMIFS(NKC!$H$7:$H$3006,NKC!$G$7:$G$3006,"331*",NKC!$I$7:$I$3006,$A456,NKC!$B$7:$B$3006,"&lt;="&amp;DEN_NGAY))</f>
        <v/>
      </c>
      <c r="G456" s="125">
        <f>IF($A456="","",MAX($C456-$D456+$E456-$F456,0))</f>
        <v/>
      </c>
      <c r="H456" s="125">
        <f>IF($A456="","",MAX(-($C456-$D456+$E456-$F456),0))</f>
        <v/>
      </c>
    </row>
    <row r="457" ht="15" customHeight="1" s="78">
      <c r="A457" s="96">
        <f>IF(DM_DT!$A151="","",DM_DT!$A151&amp;"")</f>
        <v/>
      </c>
      <c r="B457" s="97">
        <f>IF($A457="","",DM_DT!$B151)</f>
        <v/>
      </c>
      <c r="C457" s="125">
        <f>IF($A457="","",SUMIFS(SDDK!$D$256:$D$375,SDDK!$A$256:$A$375,"331",SDDK!$B$256:$B$375,$A457))</f>
        <v/>
      </c>
      <c r="D457" s="125">
        <f>IF($A457="","",SUMIFS(SDDK!$E$256:$E$375,SDDK!$A$256:$A$375,"331",SDDK!$B$256:$B$375,$A457))</f>
        <v/>
      </c>
      <c r="E457" s="125">
        <f>IF($A457="","",SUMIFS(NKC!$H$7:$H$3006,NKC!$F$7:$F$3006,"331*",NKC!$I$7:$I$3006,$A457,NKC!$B$7:$B$3006,"&lt;="&amp;DEN_NGAY))</f>
        <v/>
      </c>
      <c r="F457" s="125">
        <f>IF($A457="","",SUMIFS(NKC!$H$7:$H$3006,NKC!$G$7:$G$3006,"331*",NKC!$I$7:$I$3006,$A457,NKC!$B$7:$B$3006,"&lt;="&amp;DEN_NGAY))</f>
        <v/>
      </c>
      <c r="G457" s="125">
        <f>IF($A457="","",MAX($C457-$D457+$E457-$F457,0))</f>
        <v/>
      </c>
      <c r="H457" s="125">
        <f>IF($A457="","",MAX(-($C457-$D457+$E457-$F457),0))</f>
        <v/>
      </c>
    </row>
    <row r="458" ht="15" customHeight="1" s="78">
      <c r="A458" s="96">
        <f>IF(DM_DT!$A152="","",DM_DT!$A152&amp;"")</f>
        <v/>
      </c>
      <c r="B458" s="97">
        <f>IF($A458="","",DM_DT!$B152)</f>
        <v/>
      </c>
      <c r="C458" s="125">
        <f>IF($A458="","",SUMIFS(SDDK!$D$256:$D$375,SDDK!$A$256:$A$375,"331",SDDK!$B$256:$B$375,$A458))</f>
        <v/>
      </c>
      <c r="D458" s="125">
        <f>IF($A458="","",SUMIFS(SDDK!$E$256:$E$375,SDDK!$A$256:$A$375,"331",SDDK!$B$256:$B$375,$A458))</f>
        <v/>
      </c>
      <c r="E458" s="125">
        <f>IF($A458="","",SUMIFS(NKC!$H$7:$H$3006,NKC!$F$7:$F$3006,"331*",NKC!$I$7:$I$3006,$A458,NKC!$B$7:$B$3006,"&lt;="&amp;DEN_NGAY))</f>
        <v/>
      </c>
      <c r="F458" s="125">
        <f>IF($A458="","",SUMIFS(NKC!$H$7:$H$3006,NKC!$G$7:$G$3006,"331*",NKC!$I$7:$I$3006,$A458,NKC!$B$7:$B$3006,"&lt;="&amp;DEN_NGAY))</f>
        <v/>
      </c>
      <c r="G458" s="125">
        <f>IF($A458="","",MAX($C458-$D458+$E458-$F458,0))</f>
        <v/>
      </c>
      <c r="H458" s="125">
        <f>IF($A458="","",MAX(-($C458-$D458+$E458-$F458),0))</f>
        <v/>
      </c>
    </row>
    <row r="459" ht="15" customHeight="1" s="78">
      <c r="A459" s="96">
        <f>IF(DM_DT!$A153="","",DM_DT!$A153&amp;"")</f>
        <v/>
      </c>
      <c r="B459" s="97">
        <f>IF($A459="","",DM_DT!$B153)</f>
        <v/>
      </c>
      <c r="C459" s="125">
        <f>IF($A459="","",SUMIFS(SDDK!$D$256:$D$375,SDDK!$A$256:$A$375,"331",SDDK!$B$256:$B$375,$A459))</f>
        <v/>
      </c>
      <c r="D459" s="125">
        <f>IF($A459="","",SUMIFS(SDDK!$E$256:$E$375,SDDK!$A$256:$A$375,"331",SDDK!$B$256:$B$375,$A459))</f>
        <v/>
      </c>
      <c r="E459" s="125">
        <f>IF($A459="","",SUMIFS(NKC!$H$7:$H$3006,NKC!$F$7:$F$3006,"331*",NKC!$I$7:$I$3006,$A459,NKC!$B$7:$B$3006,"&lt;="&amp;DEN_NGAY))</f>
        <v/>
      </c>
      <c r="F459" s="125">
        <f>IF($A459="","",SUMIFS(NKC!$H$7:$H$3006,NKC!$G$7:$G$3006,"331*",NKC!$I$7:$I$3006,$A459,NKC!$B$7:$B$3006,"&lt;="&amp;DEN_NGAY))</f>
        <v/>
      </c>
      <c r="G459" s="125">
        <f>IF($A459="","",MAX($C459-$D459+$E459-$F459,0))</f>
        <v/>
      </c>
      <c r="H459" s="125">
        <f>IF($A459="","",MAX(-($C459-$D459+$E459-$F459),0))</f>
        <v/>
      </c>
    </row>
    <row r="460" ht="15" customHeight="1" s="78">
      <c r="A460" s="96">
        <f>IF(DM_DT!$A154="","",DM_DT!$A154&amp;"")</f>
        <v/>
      </c>
      <c r="B460" s="97">
        <f>IF($A460="","",DM_DT!$B154)</f>
        <v/>
      </c>
      <c r="C460" s="125">
        <f>IF($A460="","",SUMIFS(SDDK!$D$256:$D$375,SDDK!$A$256:$A$375,"331",SDDK!$B$256:$B$375,$A460))</f>
        <v/>
      </c>
      <c r="D460" s="125">
        <f>IF($A460="","",SUMIFS(SDDK!$E$256:$E$375,SDDK!$A$256:$A$375,"331",SDDK!$B$256:$B$375,$A460))</f>
        <v/>
      </c>
      <c r="E460" s="125">
        <f>IF($A460="","",SUMIFS(NKC!$H$7:$H$3006,NKC!$F$7:$F$3006,"331*",NKC!$I$7:$I$3006,$A460,NKC!$B$7:$B$3006,"&lt;="&amp;DEN_NGAY))</f>
        <v/>
      </c>
      <c r="F460" s="125">
        <f>IF($A460="","",SUMIFS(NKC!$H$7:$H$3006,NKC!$G$7:$G$3006,"331*",NKC!$I$7:$I$3006,$A460,NKC!$B$7:$B$3006,"&lt;="&amp;DEN_NGAY))</f>
        <v/>
      </c>
      <c r="G460" s="125">
        <f>IF($A460="","",MAX($C460-$D460+$E460-$F460,0))</f>
        <v/>
      </c>
      <c r="H460" s="125">
        <f>IF($A460="","",MAX(-($C460-$D460+$E460-$F460),0))</f>
        <v/>
      </c>
    </row>
    <row r="461" ht="15" customHeight="1" s="78">
      <c r="A461" s="96">
        <f>IF(DM_DT!$A155="","",DM_DT!$A155&amp;"")</f>
        <v/>
      </c>
      <c r="B461" s="97">
        <f>IF($A461="","",DM_DT!$B155)</f>
        <v/>
      </c>
      <c r="C461" s="125">
        <f>IF($A461="","",SUMIFS(SDDK!$D$256:$D$375,SDDK!$A$256:$A$375,"331",SDDK!$B$256:$B$375,$A461))</f>
        <v/>
      </c>
      <c r="D461" s="125">
        <f>IF($A461="","",SUMIFS(SDDK!$E$256:$E$375,SDDK!$A$256:$A$375,"331",SDDK!$B$256:$B$375,$A461))</f>
        <v/>
      </c>
      <c r="E461" s="125">
        <f>IF($A461="","",SUMIFS(NKC!$H$7:$H$3006,NKC!$F$7:$F$3006,"331*",NKC!$I$7:$I$3006,$A461,NKC!$B$7:$B$3006,"&lt;="&amp;DEN_NGAY))</f>
        <v/>
      </c>
      <c r="F461" s="125">
        <f>IF($A461="","",SUMIFS(NKC!$H$7:$H$3006,NKC!$G$7:$G$3006,"331*",NKC!$I$7:$I$3006,$A461,NKC!$B$7:$B$3006,"&lt;="&amp;DEN_NGAY))</f>
        <v/>
      </c>
      <c r="G461" s="125">
        <f>IF($A461="","",MAX($C461-$D461+$E461-$F461,0))</f>
        <v/>
      </c>
      <c r="H461" s="125">
        <f>IF($A461="","",MAX(-($C461-$D461+$E461-$F461),0))</f>
        <v/>
      </c>
    </row>
    <row r="462" ht="15" customHeight="1" s="78">
      <c r="A462" s="96">
        <f>IF(DM_DT!$A156="","",DM_DT!$A156&amp;"")</f>
        <v/>
      </c>
      <c r="B462" s="97">
        <f>IF($A462="","",DM_DT!$B156)</f>
        <v/>
      </c>
      <c r="C462" s="125">
        <f>IF($A462="","",SUMIFS(SDDK!$D$256:$D$375,SDDK!$A$256:$A$375,"331",SDDK!$B$256:$B$375,$A462))</f>
        <v/>
      </c>
      <c r="D462" s="125">
        <f>IF($A462="","",SUMIFS(SDDK!$E$256:$E$375,SDDK!$A$256:$A$375,"331",SDDK!$B$256:$B$375,$A462))</f>
        <v/>
      </c>
      <c r="E462" s="125">
        <f>IF($A462="","",SUMIFS(NKC!$H$7:$H$3006,NKC!$F$7:$F$3006,"331*",NKC!$I$7:$I$3006,$A462,NKC!$B$7:$B$3006,"&lt;="&amp;DEN_NGAY))</f>
        <v/>
      </c>
      <c r="F462" s="125">
        <f>IF($A462="","",SUMIFS(NKC!$H$7:$H$3006,NKC!$G$7:$G$3006,"331*",NKC!$I$7:$I$3006,$A462,NKC!$B$7:$B$3006,"&lt;="&amp;DEN_NGAY))</f>
        <v/>
      </c>
      <c r="G462" s="125">
        <f>IF($A462="","",MAX($C462-$D462+$E462-$F462,0))</f>
        <v/>
      </c>
      <c r="H462" s="125">
        <f>IF($A462="","",MAX(-($C462-$D462+$E462-$F462),0))</f>
        <v/>
      </c>
    </row>
    <row r="463" ht="15" customHeight="1" s="78">
      <c r="A463" s="96">
        <f>IF(DM_DT!$A157="","",DM_DT!$A157&amp;"")</f>
        <v/>
      </c>
      <c r="B463" s="97">
        <f>IF($A463="","",DM_DT!$B157)</f>
        <v/>
      </c>
      <c r="C463" s="125">
        <f>IF($A463="","",SUMIFS(SDDK!$D$256:$D$375,SDDK!$A$256:$A$375,"331",SDDK!$B$256:$B$375,$A463))</f>
        <v/>
      </c>
      <c r="D463" s="125">
        <f>IF($A463="","",SUMIFS(SDDK!$E$256:$E$375,SDDK!$A$256:$A$375,"331",SDDK!$B$256:$B$375,$A463))</f>
        <v/>
      </c>
      <c r="E463" s="125">
        <f>IF($A463="","",SUMIFS(NKC!$H$7:$H$3006,NKC!$F$7:$F$3006,"331*",NKC!$I$7:$I$3006,$A463,NKC!$B$7:$B$3006,"&lt;="&amp;DEN_NGAY))</f>
        <v/>
      </c>
      <c r="F463" s="125">
        <f>IF($A463="","",SUMIFS(NKC!$H$7:$H$3006,NKC!$G$7:$G$3006,"331*",NKC!$I$7:$I$3006,$A463,NKC!$B$7:$B$3006,"&lt;="&amp;DEN_NGAY))</f>
        <v/>
      </c>
      <c r="G463" s="125">
        <f>IF($A463="","",MAX($C463-$D463+$E463-$F463,0))</f>
        <v/>
      </c>
      <c r="H463" s="125">
        <f>IF($A463="","",MAX(-($C463-$D463+$E463-$F463),0))</f>
        <v/>
      </c>
    </row>
    <row r="464" ht="15" customHeight="1" s="78">
      <c r="A464" s="96">
        <f>IF(DM_DT!$A158="","",DM_DT!$A158&amp;"")</f>
        <v/>
      </c>
      <c r="B464" s="97">
        <f>IF($A464="","",DM_DT!$B158)</f>
        <v/>
      </c>
      <c r="C464" s="125">
        <f>IF($A464="","",SUMIFS(SDDK!$D$256:$D$375,SDDK!$A$256:$A$375,"331",SDDK!$B$256:$B$375,$A464))</f>
        <v/>
      </c>
      <c r="D464" s="125">
        <f>IF($A464="","",SUMIFS(SDDK!$E$256:$E$375,SDDK!$A$256:$A$375,"331",SDDK!$B$256:$B$375,$A464))</f>
        <v/>
      </c>
      <c r="E464" s="125">
        <f>IF($A464="","",SUMIFS(NKC!$H$7:$H$3006,NKC!$F$7:$F$3006,"331*",NKC!$I$7:$I$3006,$A464,NKC!$B$7:$B$3006,"&lt;="&amp;DEN_NGAY))</f>
        <v/>
      </c>
      <c r="F464" s="125">
        <f>IF($A464="","",SUMIFS(NKC!$H$7:$H$3006,NKC!$G$7:$G$3006,"331*",NKC!$I$7:$I$3006,$A464,NKC!$B$7:$B$3006,"&lt;="&amp;DEN_NGAY))</f>
        <v/>
      </c>
      <c r="G464" s="125">
        <f>IF($A464="","",MAX($C464-$D464+$E464-$F464,0))</f>
        <v/>
      </c>
      <c r="H464" s="125">
        <f>IF($A464="","",MAX(-($C464-$D464+$E464-$F464),0))</f>
        <v/>
      </c>
    </row>
    <row r="465" ht="15" customHeight="1" s="78">
      <c r="A465" s="96">
        <f>IF(DM_DT!$A159="","",DM_DT!$A159&amp;"")</f>
        <v/>
      </c>
      <c r="B465" s="97">
        <f>IF($A465="","",DM_DT!$B159)</f>
        <v/>
      </c>
      <c r="C465" s="125">
        <f>IF($A465="","",SUMIFS(SDDK!$D$256:$D$375,SDDK!$A$256:$A$375,"331",SDDK!$B$256:$B$375,$A465))</f>
        <v/>
      </c>
      <c r="D465" s="125">
        <f>IF($A465="","",SUMIFS(SDDK!$E$256:$E$375,SDDK!$A$256:$A$375,"331",SDDK!$B$256:$B$375,$A465))</f>
        <v/>
      </c>
      <c r="E465" s="125">
        <f>IF($A465="","",SUMIFS(NKC!$H$7:$H$3006,NKC!$F$7:$F$3006,"331*",NKC!$I$7:$I$3006,$A465,NKC!$B$7:$B$3006,"&lt;="&amp;DEN_NGAY))</f>
        <v/>
      </c>
      <c r="F465" s="125">
        <f>IF($A465="","",SUMIFS(NKC!$H$7:$H$3006,NKC!$G$7:$G$3006,"331*",NKC!$I$7:$I$3006,$A465,NKC!$B$7:$B$3006,"&lt;="&amp;DEN_NGAY))</f>
        <v/>
      </c>
      <c r="G465" s="125">
        <f>IF($A465="","",MAX($C465-$D465+$E465-$F465,0))</f>
        <v/>
      </c>
      <c r="H465" s="125">
        <f>IF($A465="","",MAX(-($C465-$D465+$E465-$F465),0))</f>
        <v/>
      </c>
    </row>
    <row r="466" ht="15" customHeight="1" s="78">
      <c r="A466" s="96">
        <f>IF(DM_DT!$A160="","",DM_DT!$A160&amp;"")</f>
        <v/>
      </c>
      <c r="B466" s="97">
        <f>IF($A466="","",DM_DT!$B160)</f>
        <v/>
      </c>
      <c r="C466" s="125">
        <f>IF($A466="","",SUMIFS(SDDK!$D$256:$D$375,SDDK!$A$256:$A$375,"331",SDDK!$B$256:$B$375,$A466))</f>
        <v/>
      </c>
      <c r="D466" s="125">
        <f>IF($A466="","",SUMIFS(SDDK!$E$256:$E$375,SDDK!$A$256:$A$375,"331",SDDK!$B$256:$B$375,$A466))</f>
        <v/>
      </c>
      <c r="E466" s="125">
        <f>IF($A466="","",SUMIFS(NKC!$H$7:$H$3006,NKC!$F$7:$F$3006,"331*",NKC!$I$7:$I$3006,$A466,NKC!$B$7:$B$3006,"&lt;="&amp;DEN_NGAY))</f>
        <v/>
      </c>
      <c r="F466" s="125">
        <f>IF($A466="","",SUMIFS(NKC!$H$7:$H$3006,NKC!$G$7:$G$3006,"331*",NKC!$I$7:$I$3006,$A466,NKC!$B$7:$B$3006,"&lt;="&amp;DEN_NGAY))</f>
        <v/>
      </c>
      <c r="G466" s="125">
        <f>IF($A466="","",MAX($C466-$D466+$E466-$F466,0))</f>
        <v/>
      </c>
      <c r="H466" s="125">
        <f>IF($A466="","",MAX(-($C466-$D466+$E466-$F466),0))</f>
        <v/>
      </c>
    </row>
    <row r="467" ht="15" customHeight="1" s="78">
      <c r="A467" s="96">
        <f>IF(DM_DT!$A161="","",DM_DT!$A161&amp;"")</f>
        <v/>
      </c>
      <c r="B467" s="97">
        <f>IF($A467="","",DM_DT!$B161)</f>
        <v/>
      </c>
      <c r="C467" s="125">
        <f>IF($A467="","",SUMIFS(SDDK!$D$256:$D$375,SDDK!$A$256:$A$375,"331",SDDK!$B$256:$B$375,$A467))</f>
        <v/>
      </c>
      <c r="D467" s="125">
        <f>IF($A467="","",SUMIFS(SDDK!$E$256:$E$375,SDDK!$A$256:$A$375,"331",SDDK!$B$256:$B$375,$A467))</f>
        <v/>
      </c>
      <c r="E467" s="125">
        <f>IF($A467="","",SUMIFS(NKC!$H$7:$H$3006,NKC!$F$7:$F$3006,"331*",NKC!$I$7:$I$3006,$A467,NKC!$B$7:$B$3006,"&lt;="&amp;DEN_NGAY))</f>
        <v/>
      </c>
      <c r="F467" s="125">
        <f>IF($A467="","",SUMIFS(NKC!$H$7:$H$3006,NKC!$G$7:$G$3006,"331*",NKC!$I$7:$I$3006,$A467,NKC!$B$7:$B$3006,"&lt;="&amp;DEN_NGAY))</f>
        <v/>
      </c>
      <c r="G467" s="125">
        <f>IF($A467="","",MAX($C467-$D467+$E467-$F467,0))</f>
        <v/>
      </c>
      <c r="H467" s="125">
        <f>IF($A467="","",MAX(-($C467-$D467+$E467-$F467),0))</f>
        <v/>
      </c>
    </row>
    <row r="468" ht="15" customHeight="1" s="78">
      <c r="A468" s="96">
        <f>IF(DM_DT!$A162="","",DM_DT!$A162&amp;"")</f>
        <v/>
      </c>
      <c r="B468" s="97">
        <f>IF($A468="","",DM_DT!$B162)</f>
        <v/>
      </c>
      <c r="C468" s="125">
        <f>IF($A468="","",SUMIFS(SDDK!$D$256:$D$375,SDDK!$A$256:$A$375,"331",SDDK!$B$256:$B$375,$A468))</f>
        <v/>
      </c>
      <c r="D468" s="125">
        <f>IF($A468="","",SUMIFS(SDDK!$E$256:$E$375,SDDK!$A$256:$A$375,"331",SDDK!$B$256:$B$375,$A468))</f>
        <v/>
      </c>
      <c r="E468" s="125">
        <f>IF($A468="","",SUMIFS(NKC!$H$7:$H$3006,NKC!$F$7:$F$3006,"331*",NKC!$I$7:$I$3006,$A468,NKC!$B$7:$B$3006,"&lt;="&amp;DEN_NGAY))</f>
        <v/>
      </c>
      <c r="F468" s="125">
        <f>IF($A468="","",SUMIFS(NKC!$H$7:$H$3006,NKC!$G$7:$G$3006,"331*",NKC!$I$7:$I$3006,$A468,NKC!$B$7:$B$3006,"&lt;="&amp;DEN_NGAY))</f>
        <v/>
      </c>
      <c r="G468" s="125">
        <f>IF($A468="","",MAX($C468-$D468+$E468-$F468,0))</f>
        <v/>
      </c>
      <c r="H468" s="125">
        <f>IF($A468="","",MAX(-($C468-$D468+$E468-$F468),0))</f>
        <v/>
      </c>
    </row>
    <row r="469" ht="15" customHeight="1" s="78">
      <c r="A469" s="96">
        <f>IF(DM_DT!$A163="","",DM_DT!$A163&amp;"")</f>
        <v/>
      </c>
      <c r="B469" s="97">
        <f>IF($A469="","",DM_DT!$B163)</f>
        <v/>
      </c>
      <c r="C469" s="125">
        <f>IF($A469="","",SUMIFS(SDDK!$D$256:$D$375,SDDK!$A$256:$A$375,"331",SDDK!$B$256:$B$375,$A469))</f>
        <v/>
      </c>
      <c r="D469" s="125">
        <f>IF($A469="","",SUMIFS(SDDK!$E$256:$E$375,SDDK!$A$256:$A$375,"331",SDDK!$B$256:$B$375,$A469))</f>
        <v/>
      </c>
      <c r="E469" s="125">
        <f>IF($A469="","",SUMIFS(NKC!$H$7:$H$3006,NKC!$F$7:$F$3006,"331*",NKC!$I$7:$I$3006,$A469,NKC!$B$7:$B$3006,"&lt;="&amp;DEN_NGAY))</f>
        <v/>
      </c>
      <c r="F469" s="125">
        <f>IF($A469="","",SUMIFS(NKC!$H$7:$H$3006,NKC!$G$7:$G$3006,"331*",NKC!$I$7:$I$3006,$A469,NKC!$B$7:$B$3006,"&lt;="&amp;DEN_NGAY))</f>
        <v/>
      </c>
      <c r="G469" s="125">
        <f>IF($A469="","",MAX($C469-$D469+$E469-$F469,0))</f>
        <v/>
      </c>
      <c r="H469" s="125">
        <f>IF($A469="","",MAX(-($C469-$D469+$E469-$F469),0))</f>
        <v/>
      </c>
    </row>
    <row r="470" ht="15" customHeight="1" s="78">
      <c r="A470" s="96">
        <f>IF(DM_DT!$A164="","",DM_DT!$A164&amp;"")</f>
        <v/>
      </c>
      <c r="B470" s="97">
        <f>IF($A470="","",DM_DT!$B164)</f>
        <v/>
      </c>
      <c r="C470" s="125">
        <f>IF($A470="","",SUMIFS(SDDK!$D$256:$D$375,SDDK!$A$256:$A$375,"331",SDDK!$B$256:$B$375,$A470))</f>
        <v/>
      </c>
      <c r="D470" s="125">
        <f>IF($A470="","",SUMIFS(SDDK!$E$256:$E$375,SDDK!$A$256:$A$375,"331",SDDK!$B$256:$B$375,$A470))</f>
        <v/>
      </c>
      <c r="E470" s="125">
        <f>IF($A470="","",SUMIFS(NKC!$H$7:$H$3006,NKC!$F$7:$F$3006,"331*",NKC!$I$7:$I$3006,$A470,NKC!$B$7:$B$3006,"&lt;="&amp;DEN_NGAY))</f>
        <v/>
      </c>
      <c r="F470" s="125">
        <f>IF($A470="","",SUMIFS(NKC!$H$7:$H$3006,NKC!$G$7:$G$3006,"331*",NKC!$I$7:$I$3006,$A470,NKC!$B$7:$B$3006,"&lt;="&amp;DEN_NGAY))</f>
        <v/>
      </c>
      <c r="G470" s="125">
        <f>IF($A470="","",MAX($C470-$D470+$E470-$F470,0))</f>
        <v/>
      </c>
      <c r="H470" s="125">
        <f>IF($A470="","",MAX(-($C470-$D470+$E470-$F470),0))</f>
        <v/>
      </c>
    </row>
    <row r="471" ht="15" customHeight="1" s="78">
      <c r="A471" s="96">
        <f>IF(DM_DT!$A165="","",DM_DT!$A165&amp;"")</f>
        <v/>
      </c>
      <c r="B471" s="97">
        <f>IF($A471="","",DM_DT!$B165)</f>
        <v/>
      </c>
      <c r="C471" s="125">
        <f>IF($A471="","",SUMIFS(SDDK!$D$256:$D$375,SDDK!$A$256:$A$375,"331",SDDK!$B$256:$B$375,$A471))</f>
        <v/>
      </c>
      <c r="D471" s="125">
        <f>IF($A471="","",SUMIFS(SDDK!$E$256:$E$375,SDDK!$A$256:$A$375,"331",SDDK!$B$256:$B$375,$A471))</f>
        <v/>
      </c>
      <c r="E471" s="125">
        <f>IF($A471="","",SUMIFS(NKC!$H$7:$H$3006,NKC!$F$7:$F$3006,"331*",NKC!$I$7:$I$3006,$A471,NKC!$B$7:$B$3006,"&lt;="&amp;DEN_NGAY))</f>
        <v/>
      </c>
      <c r="F471" s="125">
        <f>IF($A471="","",SUMIFS(NKC!$H$7:$H$3006,NKC!$G$7:$G$3006,"331*",NKC!$I$7:$I$3006,$A471,NKC!$B$7:$B$3006,"&lt;="&amp;DEN_NGAY))</f>
        <v/>
      </c>
      <c r="G471" s="125">
        <f>IF($A471="","",MAX($C471-$D471+$E471-$F471,0))</f>
        <v/>
      </c>
      <c r="H471" s="125">
        <f>IF($A471="","",MAX(-($C471-$D471+$E471-$F471),0))</f>
        <v/>
      </c>
    </row>
    <row r="472" ht="15" customHeight="1" s="78">
      <c r="A472" s="96">
        <f>IF(DM_DT!$A166="","",DM_DT!$A166&amp;"")</f>
        <v/>
      </c>
      <c r="B472" s="97">
        <f>IF($A472="","",DM_DT!$B166)</f>
        <v/>
      </c>
      <c r="C472" s="125">
        <f>IF($A472="","",SUMIFS(SDDK!$D$256:$D$375,SDDK!$A$256:$A$375,"331",SDDK!$B$256:$B$375,$A472))</f>
        <v/>
      </c>
      <c r="D472" s="125">
        <f>IF($A472="","",SUMIFS(SDDK!$E$256:$E$375,SDDK!$A$256:$A$375,"331",SDDK!$B$256:$B$375,$A472))</f>
        <v/>
      </c>
      <c r="E472" s="125">
        <f>IF($A472="","",SUMIFS(NKC!$H$7:$H$3006,NKC!$F$7:$F$3006,"331*",NKC!$I$7:$I$3006,$A472,NKC!$B$7:$B$3006,"&lt;="&amp;DEN_NGAY))</f>
        <v/>
      </c>
      <c r="F472" s="125">
        <f>IF($A472="","",SUMIFS(NKC!$H$7:$H$3006,NKC!$G$7:$G$3006,"331*",NKC!$I$7:$I$3006,$A472,NKC!$B$7:$B$3006,"&lt;="&amp;DEN_NGAY))</f>
        <v/>
      </c>
      <c r="G472" s="125">
        <f>IF($A472="","",MAX($C472-$D472+$E472-$F472,0))</f>
        <v/>
      </c>
      <c r="H472" s="125">
        <f>IF($A472="","",MAX(-($C472-$D472+$E472-$F472),0))</f>
        <v/>
      </c>
    </row>
    <row r="473" ht="15" customHeight="1" s="78">
      <c r="A473" s="96">
        <f>IF(DM_DT!$A167="","",DM_DT!$A167&amp;"")</f>
        <v/>
      </c>
      <c r="B473" s="97">
        <f>IF($A473="","",DM_DT!$B167)</f>
        <v/>
      </c>
      <c r="C473" s="125">
        <f>IF($A473="","",SUMIFS(SDDK!$D$256:$D$375,SDDK!$A$256:$A$375,"331",SDDK!$B$256:$B$375,$A473))</f>
        <v/>
      </c>
      <c r="D473" s="125">
        <f>IF($A473="","",SUMIFS(SDDK!$E$256:$E$375,SDDK!$A$256:$A$375,"331",SDDK!$B$256:$B$375,$A473))</f>
        <v/>
      </c>
      <c r="E473" s="125">
        <f>IF($A473="","",SUMIFS(NKC!$H$7:$H$3006,NKC!$F$7:$F$3006,"331*",NKC!$I$7:$I$3006,$A473,NKC!$B$7:$B$3006,"&lt;="&amp;DEN_NGAY))</f>
        <v/>
      </c>
      <c r="F473" s="125">
        <f>IF($A473="","",SUMIFS(NKC!$H$7:$H$3006,NKC!$G$7:$G$3006,"331*",NKC!$I$7:$I$3006,$A473,NKC!$B$7:$B$3006,"&lt;="&amp;DEN_NGAY))</f>
        <v/>
      </c>
      <c r="G473" s="125">
        <f>IF($A473="","",MAX($C473-$D473+$E473-$F473,0))</f>
        <v/>
      </c>
      <c r="H473" s="125">
        <f>IF($A473="","",MAX(-($C473-$D473+$E473-$F473),0))</f>
        <v/>
      </c>
    </row>
    <row r="474" ht="15" customHeight="1" s="78">
      <c r="A474" s="96">
        <f>IF(DM_DT!$A168="","",DM_DT!$A168&amp;"")</f>
        <v/>
      </c>
      <c r="B474" s="97">
        <f>IF($A474="","",DM_DT!$B168)</f>
        <v/>
      </c>
      <c r="C474" s="125">
        <f>IF($A474="","",SUMIFS(SDDK!$D$256:$D$375,SDDK!$A$256:$A$375,"331",SDDK!$B$256:$B$375,$A474))</f>
        <v/>
      </c>
      <c r="D474" s="125">
        <f>IF($A474="","",SUMIFS(SDDK!$E$256:$E$375,SDDK!$A$256:$A$375,"331",SDDK!$B$256:$B$375,$A474))</f>
        <v/>
      </c>
      <c r="E474" s="125">
        <f>IF($A474="","",SUMIFS(NKC!$H$7:$H$3006,NKC!$F$7:$F$3006,"331*",NKC!$I$7:$I$3006,$A474,NKC!$B$7:$B$3006,"&lt;="&amp;DEN_NGAY))</f>
        <v/>
      </c>
      <c r="F474" s="125">
        <f>IF($A474="","",SUMIFS(NKC!$H$7:$H$3006,NKC!$G$7:$G$3006,"331*",NKC!$I$7:$I$3006,$A474,NKC!$B$7:$B$3006,"&lt;="&amp;DEN_NGAY))</f>
        <v/>
      </c>
      <c r="G474" s="125">
        <f>IF($A474="","",MAX($C474-$D474+$E474-$F474,0))</f>
        <v/>
      </c>
      <c r="H474" s="125">
        <f>IF($A474="","",MAX(-($C474-$D474+$E474-$F474),0))</f>
        <v/>
      </c>
    </row>
    <row r="475" ht="15" customHeight="1" s="78">
      <c r="A475" s="96">
        <f>IF(DM_DT!$A169="","",DM_DT!$A169&amp;"")</f>
        <v/>
      </c>
      <c r="B475" s="97">
        <f>IF($A475="","",DM_DT!$B169)</f>
        <v/>
      </c>
      <c r="C475" s="125">
        <f>IF($A475="","",SUMIFS(SDDK!$D$256:$D$375,SDDK!$A$256:$A$375,"331",SDDK!$B$256:$B$375,$A475))</f>
        <v/>
      </c>
      <c r="D475" s="125">
        <f>IF($A475="","",SUMIFS(SDDK!$E$256:$E$375,SDDK!$A$256:$A$375,"331",SDDK!$B$256:$B$375,$A475))</f>
        <v/>
      </c>
      <c r="E475" s="125">
        <f>IF($A475="","",SUMIFS(NKC!$H$7:$H$3006,NKC!$F$7:$F$3006,"331*",NKC!$I$7:$I$3006,$A475,NKC!$B$7:$B$3006,"&lt;="&amp;DEN_NGAY))</f>
        <v/>
      </c>
      <c r="F475" s="125">
        <f>IF($A475="","",SUMIFS(NKC!$H$7:$H$3006,NKC!$G$7:$G$3006,"331*",NKC!$I$7:$I$3006,$A475,NKC!$B$7:$B$3006,"&lt;="&amp;DEN_NGAY))</f>
        <v/>
      </c>
      <c r="G475" s="125">
        <f>IF($A475="","",MAX($C475-$D475+$E475-$F475,0))</f>
        <v/>
      </c>
      <c r="H475" s="125">
        <f>IF($A475="","",MAX(-($C475-$D475+$E475-$F475),0))</f>
        <v/>
      </c>
    </row>
    <row r="476" ht="15" customHeight="1" s="78">
      <c r="A476" s="96">
        <f>IF(DM_DT!$A170="","",DM_DT!$A170&amp;"")</f>
        <v/>
      </c>
      <c r="B476" s="97">
        <f>IF($A476="","",DM_DT!$B170)</f>
        <v/>
      </c>
      <c r="C476" s="125">
        <f>IF($A476="","",SUMIFS(SDDK!$D$256:$D$375,SDDK!$A$256:$A$375,"331",SDDK!$B$256:$B$375,$A476))</f>
        <v/>
      </c>
      <c r="D476" s="125">
        <f>IF($A476="","",SUMIFS(SDDK!$E$256:$E$375,SDDK!$A$256:$A$375,"331",SDDK!$B$256:$B$375,$A476))</f>
        <v/>
      </c>
      <c r="E476" s="125">
        <f>IF($A476="","",SUMIFS(NKC!$H$7:$H$3006,NKC!$F$7:$F$3006,"331*",NKC!$I$7:$I$3006,$A476,NKC!$B$7:$B$3006,"&lt;="&amp;DEN_NGAY))</f>
        <v/>
      </c>
      <c r="F476" s="125">
        <f>IF($A476="","",SUMIFS(NKC!$H$7:$H$3006,NKC!$G$7:$G$3006,"331*",NKC!$I$7:$I$3006,$A476,NKC!$B$7:$B$3006,"&lt;="&amp;DEN_NGAY))</f>
        <v/>
      </c>
      <c r="G476" s="125">
        <f>IF($A476="","",MAX($C476-$D476+$E476-$F476,0))</f>
        <v/>
      </c>
      <c r="H476" s="125">
        <f>IF($A476="","",MAX(-($C476-$D476+$E476-$F476),0))</f>
        <v/>
      </c>
    </row>
    <row r="477" ht="15" customHeight="1" s="78">
      <c r="A477" s="96">
        <f>IF(DM_DT!$A171="","",DM_DT!$A171&amp;"")</f>
        <v/>
      </c>
      <c r="B477" s="97">
        <f>IF($A477="","",DM_DT!$B171)</f>
        <v/>
      </c>
      <c r="C477" s="125">
        <f>IF($A477="","",SUMIFS(SDDK!$D$256:$D$375,SDDK!$A$256:$A$375,"331",SDDK!$B$256:$B$375,$A477))</f>
        <v/>
      </c>
      <c r="D477" s="125">
        <f>IF($A477="","",SUMIFS(SDDK!$E$256:$E$375,SDDK!$A$256:$A$375,"331",SDDK!$B$256:$B$375,$A477))</f>
        <v/>
      </c>
      <c r="E477" s="125">
        <f>IF($A477="","",SUMIFS(NKC!$H$7:$H$3006,NKC!$F$7:$F$3006,"331*",NKC!$I$7:$I$3006,$A477,NKC!$B$7:$B$3006,"&lt;="&amp;DEN_NGAY))</f>
        <v/>
      </c>
      <c r="F477" s="125">
        <f>IF($A477="","",SUMIFS(NKC!$H$7:$H$3006,NKC!$G$7:$G$3006,"331*",NKC!$I$7:$I$3006,$A477,NKC!$B$7:$B$3006,"&lt;="&amp;DEN_NGAY))</f>
        <v/>
      </c>
      <c r="G477" s="125">
        <f>IF($A477="","",MAX($C477-$D477+$E477-$F477,0))</f>
        <v/>
      </c>
      <c r="H477" s="125">
        <f>IF($A477="","",MAX(-($C477-$D477+$E477-$F477),0))</f>
        <v/>
      </c>
    </row>
    <row r="478" ht="15" customHeight="1" s="78">
      <c r="A478" s="96">
        <f>IF(DM_DT!$A172="","",DM_DT!$A172&amp;"")</f>
        <v/>
      </c>
      <c r="B478" s="97">
        <f>IF($A478="","",DM_DT!$B172)</f>
        <v/>
      </c>
      <c r="C478" s="125">
        <f>IF($A478="","",SUMIFS(SDDK!$D$256:$D$375,SDDK!$A$256:$A$375,"331",SDDK!$B$256:$B$375,$A478))</f>
        <v/>
      </c>
      <c r="D478" s="125">
        <f>IF($A478="","",SUMIFS(SDDK!$E$256:$E$375,SDDK!$A$256:$A$375,"331",SDDK!$B$256:$B$375,$A478))</f>
        <v/>
      </c>
      <c r="E478" s="125">
        <f>IF($A478="","",SUMIFS(NKC!$H$7:$H$3006,NKC!$F$7:$F$3006,"331*",NKC!$I$7:$I$3006,$A478,NKC!$B$7:$B$3006,"&lt;="&amp;DEN_NGAY))</f>
        <v/>
      </c>
      <c r="F478" s="125">
        <f>IF($A478="","",SUMIFS(NKC!$H$7:$H$3006,NKC!$G$7:$G$3006,"331*",NKC!$I$7:$I$3006,$A478,NKC!$B$7:$B$3006,"&lt;="&amp;DEN_NGAY))</f>
        <v/>
      </c>
      <c r="G478" s="125">
        <f>IF($A478="","",MAX($C478-$D478+$E478-$F478,0))</f>
        <v/>
      </c>
      <c r="H478" s="125">
        <f>IF($A478="","",MAX(-($C478-$D478+$E478-$F478),0))</f>
        <v/>
      </c>
    </row>
    <row r="479" ht="15" customHeight="1" s="78">
      <c r="A479" s="96">
        <f>IF(DM_DT!$A173="","",DM_DT!$A173&amp;"")</f>
        <v/>
      </c>
      <c r="B479" s="97">
        <f>IF($A479="","",DM_DT!$B173)</f>
        <v/>
      </c>
      <c r="C479" s="125">
        <f>IF($A479="","",SUMIFS(SDDK!$D$256:$D$375,SDDK!$A$256:$A$375,"331",SDDK!$B$256:$B$375,$A479))</f>
        <v/>
      </c>
      <c r="D479" s="125">
        <f>IF($A479="","",SUMIFS(SDDK!$E$256:$E$375,SDDK!$A$256:$A$375,"331",SDDK!$B$256:$B$375,$A479))</f>
        <v/>
      </c>
      <c r="E479" s="125">
        <f>IF($A479="","",SUMIFS(NKC!$H$7:$H$3006,NKC!$F$7:$F$3006,"331*",NKC!$I$7:$I$3006,$A479,NKC!$B$7:$B$3006,"&lt;="&amp;DEN_NGAY))</f>
        <v/>
      </c>
      <c r="F479" s="125">
        <f>IF($A479="","",SUMIFS(NKC!$H$7:$H$3006,NKC!$G$7:$G$3006,"331*",NKC!$I$7:$I$3006,$A479,NKC!$B$7:$B$3006,"&lt;="&amp;DEN_NGAY))</f>
        <v/>
      </c>
      <c r="G479" s="125">
        <f>IF($A479="","",MAX($C479-$D479+$E479-$F479,0))</f>
        <v/>
      </c>
      <c r="H479" s="125">
        <f>IF($A479="","",MAX(-($C479-$D479+$E479-$F479),0))</f>
        <v/>
      </c>
    </row>
    <row r="480" ht="15" customHeight="1" s="78">
      <c r="A480" s="96">
        <f>IF(DM_DT!$A174="","",DM_DT!$A174&amp;"")</f>
        <v/>
      </c>
      <c r="B480" s="97">
        <f>IF($A480="","",DM_DT!$B174)</f>
        <v/>
      </c>
      <c r="C480" s="125">
        <f>IF($A480="","",SUMIFS(SDDK!$D$256:$D$375,SDDK!$A$256:$A$375,"331",SDDK!$B$256:$B$375,$A480))</f>
        <v/>
      </c>
      <c r="D480" s="125">
        <f>IF($A480="","",SUMIFS(SDDK!$E$256:$E$375,SDDK!$A$256:$A$375,"331",SDDK!$B$256:$B$375,$A480))</f>
        <v/>
      </c>
      <c r="E480" s="125">
        <f>IF($A480="","",SUMIFS(NKC!$H$7:$H$3006,NKC!$F$7:$F$3006,"331*",NKC!$I$7:$I$3006,$A480,NKC!$B$7:$B$3006,"&lt;="&amp;DEN_NGAY))</f>
        <v/>
      </c>
      <c r="F480" s="125">
        <f>IF($A480="","",SUMIFS(NKC!$H$7:$H$3006,NKC!$G$7:$G$3006,"331*",NKC!$I$7:$I$3006,$A480,NKC!$B$7:$B$3006,"&lt;="&amp;DEN_NGAY))</f>
        <v/>
      </c>
      <c r="G480" s="125">
        <f>IF($A480="","",MAX($C480-$D480+$E480-$F480,0))</f>
        <v/>
      </c>
      <c r="H480" s="125">
        <f>IF($A480="","",MAX(-($C480-$D480+$E480-$F480),0))</f>
        <v/>
      </c>
    </row>
    <row r="481" ht="15" customHeight="1" s="78">
      <c r="A481" s="96">
        <f>IF(DM_DT!$A175="","",DM_DT!$A175&amp;"")</f>
        <v/>
      </c>
      <c r="B481" s="97">
        <f>IF($A481="","",DM_DT!$B175)</f>
        <v/>
      </c>
      <c r="C481" s="125">
        <f>IF($A481="","",SUMIFS(SDDK!$D$256:$D$375,SDDK!$A$256:$A$375,"331",SDDK!$B$256:$B$375,$A481))</f>
        <v/>
      </c>
      <c r="D481" s="125">
        <f>IF($A481="","",SUMIFS(SDDK!$E$256:$E$375,SDDK!$A$256:$A$375,"331",SDDK!$B$256:$B$375,$A481))</f>
        <v/>
      </c>
      <c r="E481" s="125">
        <f>IF($A481="","",SUMIFS(NKC!$H$7:$H$3006,NKC!$F$7:$F$3006,"331*",NKC!$I$7:$I$3006,$A481,NKC!$B$7:$B$3006,"&lt;="&amp;DEN_NGAY))</f>
        <v/>
      </c>
      <c r="F481" s="125">
        <f>IF($A481="","",SUMIFS(NKC!$H$7:$H$3006,NKC!$G$7:$G$3006,"331*",NKC!$I$7:$I$3006,$A481,NKC!$B$7:$B$3006,"&lt;="&amp;DEN_NGAY))</f>
        <v/>
      </c>
      <c r="G481" s="125">
        <f>IF($A481="","",MAX($C481-$D481+$E481-$F481,0))</f>
        <v/>
      </c>
      <c r="H481" s="125">
        <f>IF($A481="","",MAX(-($C481-$D481+$E481-$F481),0))</f>
        <v/>
      </c>
    </row>
    <row r="482" ht="15" customHeight="1" s="78">
      <c r="A482" s="96">
        <f>IF(DM_DT!$A176="","",DM_DT!$A176&amp;"")</f>
        <v/>
      </c>
      <c r="B482" s="97">
        <f>IF($A482="","",DM_DT!$B176)</f>
        <v/>
      </c>
      <c r="C482" s="125">
        <f>IF($A482="","",SUMIFS(SDDK!$D$256:$D$375,SDDK!$A$256:$A$375,"331",SDDK!$B$256:$B$375,$A482))</f>
        <v/>
      </c>
      <c r="D482" s="125">
        <f>IF($A482="","",SUMIFS(SDDK!$E$256:$E$375,SDDK!$A$256:$A$375,"331",SDDK!$B$256:$B$375,$A482))</f>
        <v/>
      </c>
      <c r="E482" s="125">
        <f>IF($A482="","",SUMIFS(NKC!$H$7:$H$3006,NKC!$F$7:$F$3006,"331*",NKC!$I$7:$I$3006,$A482,NKC!$B$7:$B$3006,"&lt;="&amp;DEN_NGAY))</f>
        <v/>
      </c>
      <c r="F482" s="125">
        <f>IF($A482="","",SUMIFS(NKC!$H$7:$H$3006,NKC!$G$7:$G$3006,"331*",NKC!$I$7:$I$3006,$A482,NKC!$B$7:$B$3006,"&lt;="&amp;DEN_NGAY))</f>
        <v/>
      </c>
      <c r="G482" s="125">
        <f>IF($A482="","",MAX($C482-$D482+$E482-$F482,0))</f>
        <v/>
      </c>
      <c r="H482" s="125">
        <f>IF($A482="","",MAX(-($C482-$D482+$E482-$F482),0))</f>
        <v/>
      </c>
    </row>
    <row r="483" ht="15" customHeight="1" s="78">
      <c r="A483" s="96">
        <f>IF(DM_DT!$A177="","",DM_DT!$A177&amp;"")</f>
        <v/>
      </c>
      <c r="B483" s="97">
        <f>IF($A483="","",DM_DT!$B177)</f>
        <v/>
      </c>
      <c r="C483" s="125">
        <f>IF($A483="","",SUMIFS(SDDK!$D$256:$D$375,SDDK!$A$256:$A$375,"331",SDDK!$B$256:$B$375,$A483))</f>
        <v/>
      </c>
      <c r="D483" s="125">
        <f>IF($A483="","",SUMIFS(SDDK!$E$256:$E$375,SDDK!$A$256:$A$375,"331",SDDK!$B$256:$B$375,$A483))</f>
        <v/>
      </c>
      <c r="E483" s="125">
        <f>IF($A483="","",SUMIFS(NKC!$H$7:$H$3006,NKC!$F$7:$F$3006,"331*",NKC!$I$7:$I$3006,$A483,NKC!$B$7:$B$3006,"&lt;="&amp;DEN_NGAY))</f>
        <v/>
      </c>
      <c r="F483" s="125">
        <f>IF($A483="","",SUMIFS(NKC!$H$7:$H$3006,NKC!$G$7:$G$3006,"331*",NKC!$I$7:$I$3006,$A483,NKC!$B$7:$B$3006,"&lt;="&amp;DEN_NGAY))</f>
        <v/>
      </c>
      <c r="G483" s="125">
        <f>IF($A483="","",MAX($C483-$D483+$E483-$F483,0))</f>
        <v/>
      </c>
      <c r="H483" s="125">
        <f>IF($A483="","",MAX(-($C483-$D483+$E483-$F483),0))</f>
        <v/>
      </c>
    </row>
    <row r="484" ht="15" customHeight="1" s="78">
      <c r="A484" s="96">
        <f>IF(DM_DT!$A178="","",DM_DT!$A178&amp;"")</f>
        <v/>
      </c>
      <c r="B484" s="97">
        <f>IF($A484="","",DM_DT!$B178)</f>
        <v/>
      </c>
      <c r="C484" s="125">
        <f>IF($A484="","",SUMIFS(SDDK!$D$256:$D$375,SDDK!$A$256:$A$375,"331",SDDK!$B$256:$B$375,$A484))</f>
        <v/>
      </c>
      <c r="D484" s="125">
        <f>IF($A484="","",SUMIFS(SDDK!$E$256:$E$375,SDDK!$A$256:$A$375,"331",SDDK!$B$256:$B$375,$A484))</f>
        <v/>
      </c>
      <c r="E484" s="125">
        <f>IF($A484="","",SUMIFS(NKC!$H$7:$H$3006,NKC!$F$7:$F$3006,"331*",NKC!$I$7:$I$3006,$A484,NKC!$B$7:$B$3006,"&lt;="&amp;DEN_NGAY))</f>
        <v/>
      </c>
      <c r="F484" s="125">
        <f>IF($A484="","",SUMIFS(NKC!$H$7:$H$3006,NKC!$G$7:$G$3006,"331*",NKC!$I$7:$I$3006,$A484,NKC!$B$7:$B$3006,"&lt;="&amp;DEN_NGAY))</f>
        <v/>
      </c>
      <c r="G484" s="125">
        <f>IF($A484="","",MAX($C484-$D484+$E484-$F484,0))</f>
        <v/>
      </c>
      <c r="H484" s="125">
        <f>IF($A484="","",MAX(-($C484-$D484+$E484-$F484),0))</f>
        <v/>
      </c>
    </row>
    <row r="485" ht="15" customHeight="1" s="78">
      <c r="A485" s="96">
        <f>IF(DM_DT!$A179="","",DM_DT!$A179&amp;"")</f>
        <v/>
      </c>
      <c r="B485" s="97">
        <f>IF($A485="","",DM_DT!$B179)</f>
        <v/>
      </c>
      <c r="C485" s="125">
        <f>IF($A485="","",SUMIFS(SDDK!$D$256:$D$375,SDDK!$A$256:$A$375,"331",SDDK!$B$256:$B$375,$A485))</f>
        <v/>
      </c>
      <c r="D485" s="125">
        <f>IF($A485="","",SUMIFS(SDDK!$E$256:$E$375,SDDK!$A$256:$A$375,"331",SDDK!$B$256:$B$375,$A485))</f>
        <v/>
      </c>
      <c r="E485" s="125">
        <f>IF($A485="","",SUMIFS(NKC!$H$7:$H$3006,NKC!$F$7:$F$3006,"331*",NKC!$I$7:$I$3006,$A485,NKC!$B$7:$B$3006,"&lt;="&amp;DEN_NGAY))</f>
        <v/>
      </c>
      <c r="F485" s="125">
        <f>IF($A485="","",SUMIFS(NKC!$H$7:$H$3006,NKC!$G$7:$G$3006,"331*",NKC!$I$7:$I$3006,$A485,NKC!$B$7:$B$3006,"&lt;="&amp;DEN_NGAY))</f>
        <v/>
      </c>
      <c r="G485" s="125">
        <f>IF($A485="","",MAX($C485-$D485+$E485-$F485,0))</f>
        <v/>
      </c>
      <c r="H485" s="125">
        <f>IF($A485="","",MAX(-($C485-$D485+$E485-$F485),0))</f>
        <v/>
      </c>
    </row>
    <row r="486" ht="15" customHeight="1" s="78">
      <c r="A486" s="96">
        <f>IF(DM_DT!$A180="","",DM_DT!$A180&amp;"")</f>
        <v/>
      </c>
      <c r="B486" s="97">
        <f>IF($A486="","",DM_DT!$B180)</f>
        <v/>
      </c>
      <c r="C486" s="125">
        <f>IF($A486="","",SUMIFS(SDDK!$D$256:$D$375,SDDK!$A$256:$A$375,"331",SDDK!$B$256:$B$375,$A486))</f>
        <v/>
      </c>
      <c r="D486" s="125">
        <f>IF($A486="","",SUMIFS(SDDK!$E$256:$E$375,SDDK!$A$256:$A$375,"331",SDDK!$B$256:$B$375,$A486))</f>
        <v/>
      </c>
      <c r="E486" s="125">
        <f>IF($A486="","",SUMIFS(NKC!$H$7:$H$3006,NKC!$F$7:$F$3006,"331*",NKC!$I$7:$I$3006,$A486,NKC!$B$7:$B$3006,"&lt;="&amp;DEN_NGAY))</f>
        <v/>
      </c>
      <c r="F486" s="125">
        <f>IF($A486="","",SUMIFS(NKC!$H$7:$H$3006,NKC!$G$7:$G$3006,"331*",NKC!$I$7:$I$3006,$A486,NKC!$B$7:$B$3006,"&lt;="&amp;DEN_NGAY))</f>
        <v/>
      </c>
      <c r="G486" s="125">
        <f>IF($A486="","",MAX($C486-$D486+$E486-$F486,0))</f>
        <v/>
      </c>
      <c r="H486" s="125">
        <f>IF($A486="","",MAX(-($C486-$D486+$E486-$F486),0))</f>
        <v/>
      </c>
    </row>
    <row r="487" ht="15" customHeight="1" s="78">
      <c r="A487" s="96">
        <f>IF(DM_DT!$A181="","",DM_DT!$A181&amp;"")</f>
        <v/>
      </c>
      <c r="B487" s="97">
        <f>IF($A487="","",DM_DT!$B181)</f>
        <v/>
      </c>
      <c r="C487" s="125">
        <f>IF($A487="","",SUMIFS(SDDK!$D$256:$D$375,SDDK!$A$256:$A$375,"331",SDDK!$B$256:$B$375,$A487))</f>
        <v/>
      </c>
      <c r="D487" s="125">
        <f>IF($A487="","",SUMIFS(SDDK!$E$256:$E$375,SDDK!$A$256:$A$375,"331",SDDK!$B$256:$B$375,$A487))</f>
        <v/>
      </c>
      <c r="E487" s="125">
        <f>IF($A487="","",SUMIFS(NKC!$H$7:$H$3006,NKC!$F$7:$F$3006,"331*",NKC!$I$7:$I$3006,$A487,NKC!$B$7:$B$3006,"&lt;="&amp;DEN_NGAY))</f>
        <v/>
      </c>
      <c r="F487" s="125">
        <f>IF($A487="","",SUMIFS(NKC!$H$7:$H$3006,NKC!$G$7:$G$3006,"331*",NKC!$I$7:$I$3006,$A487,NKC!$B$7:$B$3006,"&lt;="&amp;DEN_NGAY))</f>
        <v/>
      </c>
      <c r="G487" s="125">
        <f>IF($A487="","",MAX($C487-$D487+$E487-$F487,0))</f>
        <v/>
      </c>
      <c r="H487" s="125">
        <f>IF($A487="","",MAX(-($C487-$D487+$E487-$F487),0))</f>
        <v/>
      </c>
    </row>
    <row r="488" ht="15" customHeight="1" s="78">
      <c r="A488" s="96">
        <f>IF(DM_DT!$A182="","",DM_DT!$A182&amp;"")</f>
        <v/>
      </c>
      <c r="B488" s="97">
        <f>IF($A488="","",DM_DT!$B182)</f>
        <v/>
      </c>
      <c r="C488" s="125">
        <f>IF($A488="","",SUMIFS(SDDK!$D$256:$D$375,SDDK!$A$256:$A$375,"331",SDDK!$B$256:$B$375,$A488))</f>
        <v/>
      </c>
      <c r="D488" s="125">
        <f>IF($A488="","",SUMIFS(SDDK!$E$256:$E$375,SDDK!$A$256:$A$375,"331",SDDK!$B$256:$B$375,$A488))</f>
        <v/>
      </c>
      <c r="E488" s="125">
        <f>IF($A488="","",SUMIFS(NKC!$H$7:$H$3006,NKC!$F$7:$F$3006,"331*",NKC!$I$7:$I$3006,$A488,NKC!$B$7:$B$3006,"&lt;="&amp;DEN_NGAY))</f>
        <v/>
      </c>
      <c r="F488" s="125">
        <f>IF($A488="","",SUMIFS(NKC!$H$7:$H$3006,NKC!$G$7:$G$3006,"331*",NKC!$I$7:$I$3006,$A488,NKC!$B$7:$B$3006,"&lt;="&amp;DEN_NGAY))</f>
        <v/>
      </c>
      <c r="G488" s="125">
        <f>IF($A488="","",MAX($C488-$D488+$E488-$F488,0))</f>
        <v/>
      </c>
      <c r="H488" s="125">
        <f>IF($A488="","",MAX(-($C488-$D488+$E488-$F488),0))</f>
        <v/>
      </c>
    </row>
    <row r="489" ht="15" customHeight="1" s="78">
      <c r="A489" s="96">
        <f>IF(DM_DT!$A183="","",DM_DT!$A183&amp;"")</f>
        <v/>
      </c>
      <c r="B489" s="97">
        <f>IF($A489="","",DM_DT!$B183)</f>
        <v/>
      </c>
      <c r="C489" s="125">
        <f>IF($A489="","",SUMIFS(SDDK!$D$256:$D$375,SDDK!$A$256:$A$375,"331",SDDK!$B$256:$B$375,$A489))</f>
        <v/>
      </c>
      <c r="D489" s="125">
        <f>IF($A489="","",SUMIFS(SDDK!$E$256:$E$375,SDDK!$A$256:$A$375,"331",SDDK!$B$256:$B$375,$A489))</f>
        <v/>
      </c>
      <c r="E489" s="125">
        <f>IF($A489="","",SUMIFS(NKC!$H$7:$H$3006,NKC!$F$7:$F$3006,"331*",NKC!$I$7:$I$3006,$A489,NKC!$B$7:$B$3006,"&lt;="&amp;DEN_NGAY))</f>
        <v/>
      </c>
      <c r="F489" s="125">
        <f>IF($A489="","",SUMIFS(NKC!$H$7:$H$3006,NKC!$G$7:$G$3006,"331*",NKC!$I$7:$I$3006,$A489,NKC!$B$7:$B$3006,"&lt;="&amp;DEN_NGAY))</f>
        <v/>
      </c>
      <c r="G489" s="125">
        <f>IF($A489="","",MAX($C489-$D489+$E489-$F489,0))</f>
        <v/>
      </c>
      <c r="H489" s="125">
        <f>IF($A489="","",MAX(-($C489-$D489+$E489-$F489),0))</f>
        <v/>
      </c>
    </row>
    <row r="490" ht="15" customHeight="1" s="78">
      <c r="A490" s="96">
        <f>IF(DM_DT!$A184="","",DM_DT!$A184&amp;"")</f>
        <v/>
      </c>
      <c r="B490" s="97">
        <f>IF($A490="","",DM_DT!$B184)</f>
        <v/>
      </c>
      <c r="C490" s="125">
        <f>IF($A490="","",SUMIFS(SDDK!$D$256:$D$375,SDDK!$A$256:$A$375,"331",SDDK!$B$256:$B$375,$A490))</f>
        <v/>
      </c>
      <c r="D490" s="125">
        <f>IF($A490="","",SUMIFS(SDDK!$E$256:$E$375,SDDK!$A$256:$A$375,"331",SDDK!$B$256:$B$375,$A490))</f>
        <v/>
      </c>
      <c r="E490" s="125">
        <f>IF($A490="","",SUMIFS(NKC!$H$7:$H$3006,NKC!$F$7:$F$3006,"331*",NKC!$I$7:$I$3006,$A490,NKC!$B$7:$B$3006,"&lt;="&amp;DEN_NGAY))</f>
        <v/>
      </c>
      <c r="F490" s="125">
        <f>IF($A490="","",SUMIFS(NKC!$H$7:$H$3006,NKC!$G$7:$G$3006,"331*",NKC!$I$7:$I$3006,$A490,NKC!$B$7:$B$3006,"&lt;="&amp;DEN_NGAY))</f>
        <v/>
      </c>
      <c r="G490" s="125">
        <f>IF($A490="","",MAX($C490-$D490+$E490-$F490,0))</f>
        <v/>
      </c>
      <c r="H490" s="125">
        <f>IF($A490="","",MAX(-($C490-$D490+$E490-$F490),0))</f>
        <v/>
      </c>
    </row>
    <row r="491" ht="15" customHeight="1" s="78">
      <c r="A491" s="96">
        <f>IF(DM_DT!$A185="","",DM_DT!$A185&amp;"")</f>
        <v/>
      </c>
      <c r="B491" s="97">
        <f>IF($A491="","",DM_DT!$B185)</f>
        <v/>
      </c>
      <c r="C491" s="125">
        <f>IF($A491="","",SUMIFS(SDDK!$D$256:$D$375,SDDK!$A$256:$A$375,"331",SDDK!$B$256:$B$375,$A491))</f>
        <v/>
      </c>
      <c r="D491" s="125">
        <f>IF($A491="","",SUMIFS(SDDK!$E$256:$E$375,SDDK!$A$256:$A$375,"331",SDDK!$B$256:$B$375,$A491))</f>
        <v/>
      </c>
      <c r="E491" s="125">
        <f>IF($A491="","",SUMIFS(NKC!$H$7:$H$3006,NKC!$F$7:$F$3006,"331*",NKC!$I$7:$I$3006,$A491,NKC!$B$7:$B$3006,"&lt;="&amp;DEN_NGAY))</f>
        <v/>
      </c>
      <c r="F491" s="125">
        <f>IF($A491="","",SUMIFS(NKC!$H$7:$H$3006,NKC!$G$7:$G$3006,"331*",NKC!$I$7:$I$3006,$A491,NKC!$B$7:$B$3006,"&lt;="&amp;DEN_NGAY))</f>
        <v/>
      </c>
      <c r="G491" s="125">
        <f>IF($A491="","",MAX($C491-$D491+$E491-$F491,0))</f>
        <v/>
      </c>
      <c r="H491" s="125">
        <f>IF($A491="","",MAX(-($C491-$D491+$E491-$F491),0))</f>
        <v/>
      </c>
    </row>
    <row r="492" ht="15" customHeight="1" s="78">
      <c r="A492" s="96">
        <f>IF(DM_DT!$A186="","",DM_DT!$A186&amp;"")</f>
        <v/>
      </c>
      <c r="B492" s="97">
        <f>IF($A492="","",DM_DT!$B186)</f>
        <v/>
      </c>
      <c r="C492" s="125">
        <f>IF($A492="","",SUMIFS(SDDK!$D$256:$D$375,SDDK!$A$256:$A$375,"331",SDDK!$B$256:$B$375,$A492))</f>
        <v/>
      </c>
      <c r="D492" s="125">
        <f>IF($A492="","",SUMIFS(SDDK!$E$256:$E$375,SDDK!$A$256:$A$375,"331",SDDK!$B$256:$B$375,$A492))</f>
        <v/>
      </c>
      <c r="E492" s="125">
        <f>IF($A492="","",SUMIFS(NKC!$H$7:$H$3006,NKC!$F$7:$F$3006,"331*",NKC!$I$7:$I$3006,$A492,NKC!$B$7:$B$3006,"&lt;="&amp;DEN_NGAY))</f>
        <v/>
      </c>
      <c r="F492" s="125">
        <f>IF($A492="","",SUMIFS(NKC!$H$7:$H$3006,NKC!$G$7:$G$3006,"331*",NKC!$I$7:$I$3006,$A492,NKC!$B$7:$B$3006,"&lt;="&amp;DEN_NGAY))</f>
        <v/>
      </c>
      <c r="G492" s="125">
        <f>IF($A492="","",MAX($C492-$D492+$E492-$F492,0))</f>
        <v/>
      </c>
      <c r="H492" s="125">
        <f>IF($A492="","",MAX(-($C492-$D492+$E492-$F492),0))</f>
        <v/>
      </c>
    </row>
    <row r="493" ht="15" customHeight="1" s="78">
      <c r="A493" s="96">
        <f>IF(DM_DT!$A187="","",DM_DT!$A187&amp;"")</f>
        <v/>
      </c>
      <c r="B493" s="97">
        <f>IF($A493="","",DM_DT!$B187)</f>
        <v/>
      </c>
      <c r="C493" s="125">
        <f>IF($A493="","",SUMIFS(SDDK!$D$256:$D$375,SDDK!$A$256:$A$375,"331",SDDK!$B$256:$B$375,$A493))</f>
        <v/>
      </c>
      <c r="D493" s="125">
        <f>IF($A493="","",SUMIFS(SDDK!$E$256:$E$375,SDDK!$A$256:$A$375,"331",SDDK!$B$256:$B$375,$A493))</f>
        <v/>
      </c>
      <c r="E493" s="125">
        <f>IF($A493="","",SUMIFS(NKC!$H$7:$H$3006,NKC!$F$7:$F$3006,"331*",NKC!$I$7:$I$3006,$A493,NKC!$B$7:$B$3006,"&lt;="&amp;DEN_NGAY))</f>
        <v/>
      </c>
      <c r="F493" s="125">
        <f>IF($A493="","",SUMIFS(NKC!$H$7:$H$3006,NKC!$G$7:$G$3006,"331*",NKC!$I$7:$I$3006,$A493,NKC!$B$7:$B$3006,"&lt;="&amp;DEN_NGAY))</f>
        <v/>
      </c>
      <c r="G493" s="125">
        <f>IF($A493="","",MAX($C493-$D493+$E493-$F493,0))</f>
        <v/>
      </c>
      <c r="H493" s="125">
        <f>IF($A493="","",MAX(-($C493-$D493+$E493-$F493),0))</f>
        <v/>
      </c>
    </row>
    <row r="494" ht="15" customHeight="1" s="78">
      <c r="A494" s="96">
        <f>IF(DM_DT!$A188="","",DM_DT!$A188&amp;"")</f>
        <v/>
      </c>
      <c r="B494" s="97">
        <f>IF($A494="","",DM_DT!$B188)</f>
        <v/>
      </c>
      <c r="C494" s="125">
        <f>IF($A494="","",SUMIFS(SDDK!$D$256:$D$375,SDDK!$A$256:$A$375,"331",SDDK!$B$256:$B$375,$A494))</f>
        <v/>
      </c>
      <c r="D494" s="125">
        <f>IF($A494="","",SUMIFS(SDDK!$E$256:$E$375,SDDK!$A$256:$A$375,"331",SDDK!$B$256:$B$375,$A494))</f>
        <v/>
      </c>
      <c r="E494" s="125">
        <f>IF($A494="","",SUMIFS(NKC!$H$7:$H$3006,NKC!$F$7:$F$3006,"331*",NKC!$I$7:$I$3006,$A494,NKC!$B$7:$B$3006,"&lt;="&amp;DEN_NGAY))</f>
        <v/>
      </c>
      <c r="F494" s="125">
        <f>IF($A494="","",SUMIFS(NKC!$H$7:$H$3006,NKC!$G$7:$G$3006,"331*",NKC!$I$7:$I$3006,$A494,NKC!$B$7:$B$3006,"&lt;="&amp;DEN_NGAY))</f>
        <v/>
      </c>
      <c r="G494" s="125">
        <f>IF($A494="","",MAX($C494-$D494+$E494-$F494,0))</f>
        <v/>
      </c>
      <c r="H494" s="125">
        <f>IF($A494="","",MAX(-($C494-$D494+$E494-$F494),0))</f>
        <v/>
      </c>
    </row>
    <row r="495" ht="15" customHeight="1" s="78">
      <c r="A495" s="96">
        <f>IF(DM_DT!$A189="","",DM_DT!$A189&amp;"")</f>
        <v/>
      </c>
      <c r="B495" s="97">
        <f>IF($A495="","",DM_DT!$B189)</f>
        <v/>
      </c>
      <c r="C495" s="125">
        <f>IF($A495="","",SUMIFS(SDDK!$D$256:$D$375,SDDK!$A$256:$A$375,"331",SDDK!$B$256:$B$375,$A495))</f>
        <v/>
      </c>
      <c r="D495" s="125">
        <f>IF($A495="","",SUMIFS(SDDK!$E$256:$E$375,SDDK!$A$256:$A$375,"331",SDDK!$B$256:$B$375,$A495))</f>
        <v/>
      </c>
      <c r="E495" s="125">
        <f>IF($A495="","",SUMIFS(NKC!$H$7:$H$3006,NKC!$F$7:$F$3006,"331*",NKC!$I$7:$I$3006,$A495,NKC!$B$7:$B$3006,"&lt;="&amp;DEN_NGAY))</f>
        <v/>
      </c>
      <c r="F495" s="125">
        <f>IF($A495="","",SUMIFS(NKC!$H$7:$H$3006,NKC!$G$7:$G$3006,"331*",NKC!$I$7:$I$3006,$A495,NKC!$B$7:$B$3006,"&lt;="&amp;DEN_NGAY))</f>
        <v/>
      </c>
      <c r="G495" s="125">
        <f>IF($A495="","",MAX($C495-$D495+$E495-$F495,0))</f>
        <v/>
      </c>
      <c r="H495" s="125">
        <f>IF($A495="","",MAX(-($C495-$D495+$E495-$F495),0))</f>
        <v/>
      </c>
    </row>
    <row r="496" ht="15" customHeight="1" s="78">
      <c r="A496" s="96">
        <f>IF(DM_DT!$A190="","",DM_DT!$A190&amp;"")</f>
        <v/>
      </c>
      <c r="B496" s="97">
        <f>IF($A496="","",DM_DT!$B190)</f>
        <v/>
      </c>
      <c r="C496" s="125">
        <f>IF($A496="","",SUMIFS(SDDK!$D$256:$D$375,SDDK!$A$256:$A$375,"331",SDDK!$B$256:$B$375,$A496))</f>
        <v/>
      </c>
      <c r="D496" s="125">
        <f>IF($A496="","",SUMIFS(SDDK!$E$256:$E$375,SDDK!$A$256:$A$375,"331",SDDK!$B$256:$B$375,$A496))</f>
        <v/>
      </c>
      <c r="E496" s="125">
        <f>IF($A496="","",SUMIFS(NKC!$H$7:$H$3006,NKC!$F$7:$F$3006,"331*",NKC!$I$7:$I$3006,$A496,NKC!$B$7:$B$3006,"&lt;="&amp;DEN_NGAY))</f>
        <v/>
      </c>
      <c r="F496" s="125">
        <f>IF($A496="","",SUMIFS(NKC!$H$7:$H$3006,NKC!$G$7:$G$3006,"331*",NKC!$I$7:$I$3006,$A496,NKC!$B$7:$B$3006,"&lt;="&amp;DEN_NGAY))</f>
        <v/>
      </c>
      <c r="G496" s="125">
        <f>IF($A496="","",MAX($C496-$D496+$E496-$F496,0))</f>
        <v/>
      </c>
      <c r="H496" s="125">
        <f>IF($A496="","",MAX(-($C496-$D496+$E496-$F496),0))</f>
        <v/>
      </c>
    </row>
    <row r="497" ht="15" customHeight="1" s="78">
      <c r="A497" s="96">
        <f>IF(DM_DT!$A191="","",DM_DT!$A191&amp;"")</f>
        <v/>
      </c>
      <c r="B497" s="97">
        <f>IF($A497="","",DM_DT!$B191)</f>
        <v/>
      </c>
      <c r="C497" s="125">
        <f>IF($A497="","",SUMIFS(SDDK!$D$256:$D$375,SDDK!$A$256:$A$375,"331",SDDK!$B$256:$B$375,$A497))</f>
        <v/>
      </c>
      <c r="D497" s="125">
        <f>IF($A497="","",SUMIFS(SDDK!$E$256:$E$375,SDDK!$A$256:$A$375,"331",SDDK!$B$256:$B$375,$A497))</f>
        <v/>
      </c>
      <c r="E497" s="125">
        <f>IF($A497="","",SUMIFS(NKC!$H$7:$H$3006,NKC!$F$7:$F$3006,"331*",NKC!$I$7:$I$3006,$A497,NKC!$B$7:$B$3006,"&lt;="&amp;DEN_NGAY))</f>
        <v/>
      </c>
      <c r="F497" s="125">
        <f>IF($A497="","",SUMIFS(NKC!$H$7:$H$3006,NKC!$G$7:$G$3006,"331*",NKC!$I$7:$I$3006,$A497,NKC!$B$7:$B$3006,"&lt;="&amp;DEN_NGAY))</f>
        <v/>
      </c>
      <c r="G497" s="125">
        <f>IF($A497="","",MAX($C497-$D497+$E497-$F497,0))</f>
        <v/>
      </c>
      <c r="H497" s="125">
        <f>IF($A497="","",MAX(-($C497-$D497+$E497-$F497),0))</f>
        <v/>
      </c>
    </row>
    <row r="498" ht="15" customHeight="1" s="78">
      <c r="A498" s="96">
        <f>IF(DM_DT!$A192="","",DM_DT!$A192&amp;"")</f>
        <v/>
      </c>
      <c r="B498" s="97">
        <f>IF($A498="","",DM_DT!$B192)</f>
        <v/>
      </c>
      <c r="C498" s="125">
        <f>IF($A498="","",SUMIFS(SDDK!$D$256:$D$375,SDDK!$A$256:$A$375,"331",SDDK!$B$256:$B$375,$A498))</f>
        <v/>
      </c>
      <c r="D498" s="125">
        <f>IF($A498="","",SUMIFS(SDDK!$E$256:$E$375,SDDK!$A$256:$A$375,"331",SDDK!$B$256:$B$375,$A498))</f>
        <v/>
      </c>
      <c r="E498" s="125">
        <f>IF($A498="","",SUMIFS(NKC!$H$7:$H$3006,NKC!$F$7:$F$3006,"331*",NKC!$I$7:$I$3006,$A498,NKC!$B$7:$B$3006,"&lt;="&amp;DEN_NGAY))</f>
        <v/>
      </c>
      <c r="F498" s="125">
        <f>IF($A498="","",SUMIFS(NKC!$H$7:$H$3006,NKC!$G$7:$G$3006,"331*",NKC!$I$7:$I$3006,$A498,NKC!$B$7:$B$3006,"&lt;="&amp;DEN_NGAY))</f>
        <v/>
      </c>
      <c r="G498" s="125">
        <f>IF($A498="","",MAX($C498-$D498+$E498-$F498,0))</f>
        <v/>
      </c>
      <c r="H498" s="125">
        <f>IF($A498="","",MAX(-($C498-$D498+$E498-$F498),0))</f>
        <v/>
      </c>
    </row>
    <row r="499" ht="15" customHeight="1" s="78">
      <c r="A499" s="96">
        <f>IF(DM_DT!$A193="","",DM_DT!$A193&amp;"")</f>
        <v/>
      </c>
      <c r="B499" s="97">
        <f>IF($A499="","",DM_DT!$B193)</f>
        <v/>
      </c>
      <c r="C499" s="125">
        <f>IF($A499="","",SUMIFS(SDDK!$D$256:$D$375,SDDK!$A$256:$A$375,"331",SDDK!$B$256:$B$375,$A499))</f>
        <v/>
      </c>
      <c r="D499" s="125">
        <f>IF($A499="","",SUMIFS(SDDK!$E$256:$E$375,SDDK!$A$256:$A$375,"331",SDDK!$B$256:$B$375,$A499))</f>
        <v/>
      </c>
      <c r="E499" s="125">
        <f>IF($A499="","",SUMIFS(NKC!$H$7:$H$3006,NKC!$F$7:$F$3006,"331*",NKC!$I$7:$I$3006,$A499,NKC!$B$7:$B$3006,"&lt;="&amp;DEN_NGAY))</f>
        <v/>
      </c>
      <c r="F499" s="125">
        <f>IF($A499="","",SUMIFS(NKC!$H$7:$H$3006,NKC!$G$7:$G$3006,"331*",NKC!$I$7:$I$3006,$A499,NKC!$B$7:$B$3006,"&lt;="&amp;DEN_NGAY))</f>
        <v/>
      </c>
      <c r="G499" s="125">
        <f>IF($A499="","",MAX($C499-$D499+$E499-$F499,0))</f>
        <v/>
      </c>
      <c r="H499" s="125">
        <f>IF($A499="","",MAX(-($C499-$D499+$E499-$F499),0))</f>
        <v/>
      </c>
    </row>
    <row r="500" ht="15" customHeight="1" s="78">
      <c r="A500" s="96">
        <f>IF(DM_DT!$A194="","",DM_DT!$A194&amp;"")</f>
        <v/>
      </c>
      <c r="B500" s="97">
        <f>IF($A500="","",DM_DT!$B194)</f>
        <v/>
      </c>
      <c r="C500" s="125">
        <f>IF($A500="","",SUMIFS(SDDK!$D$256:$D$375,SDDK!$A$256:$A$375,"331",SDDK!$B$256:$B$375,$A500))</f>
        <v/>
      </c>
      <c r="D500" s="125">
        <f>IF($A500="","",SUMIFS(SDDK!$E$256:$E$375,SDDK!$A$256:$A$375,"331",SDDK!$B$256:$B$375,$A500))</f>
        <v/>
      </c>
      <c r="E500" s="125">
        <f>IF($A500="","",SUMIFS(NKC!$H$7:$H$3006,NKC!$F$7:$F$3006,"331*",NKC!$I$7:$I$3006,$A500,NKC!$B$7:$B$3006,"&lt;="&amp;DEN_NGAY))</f>
        <v/>
      </c>
      <c r="F500" s="125">
        <f>IF($A500="","",SUMIFS(NKC!$H$7:$H$3006,NKC!$G$7:$G$3006,"331*",NKC!$I$7:$I$3006,$A500,NKC!$B$7:$B$3006,"&lt;="&amp;DEN_NGAY))</f>
        <v/>
      </c>
      <c r="G500" s="125">
        <f>IF($A500="","",MAX($C500-$D500+$E500-$F500,0))</f>
        <v/>
      </c>
      <c r="H500" s="125">
        <f>IF($A500="","",MAX(-($C500-$D500+$E500-$F500),0))</f>
        <v/>
      </c>
    </row>
    <row r="501" ht="15" customHeight="1" s="78">
      <c r="A501" s="96">
        <f>IF(DM_DT!$A195="","",DM_DT!$A195&amp;"")</f>
        <v/>
      </c>
      <c r="B501" s="97">
        <f>IF($A501="","",DM_DT!$B195)</f>
        <v/>
      </c>
      <c r="C501" s="125">
        <f>IF($A501="","",SUMIFS(SDDK!$D$256:$D$375,SDDK!$A$256:$A$375,"331",SDDK!$B$256:$B$375,$A501))</f>
        <v/>
      </c>
      <c r="D501" s="125">
        <f>IF($A501="","",SUMIFS(SDDK!$E$256:$E$375,SDDK!$A$256:$A$375,"331",SDDK!$B$256:$B$375,$A501))</f>
        <v/>
      </c>
      <c r="E501" s="125">
        <f>IF($A501="","",SUMIFS(NKC!$H$7:$H$3006,NKC!$F$7:$F$3006,"331*",NKC!$I$7:$I$3006,$A501,NKC!$B$7:$B$3006,"&lt;="&amp;DEN_NGAY))</f>
        <v/>
      </c>
      <c r="F501" s="125">
        <f>IF($A501="","",SUMIFS(NKC!$H$7:$H$3006,NKC!$G$7:$G$3006,"331*",NKC!$I$7:$I$3006,$A501,NKC!$B$7:$B$3006,"&lt;="&amp;DEN_NGAY))</f>
        <v/>
      </c>
      <c r="G501" s="125">
        <f>IF($A501="","",MAX($C501-$D501+$E501-$F501,0))</f>
        <v/>
      </c>
      <c r="H501" s="125">
        <f>IF($A501="","",MAX(-($C501-$D501+$E501-$F501),0))</f>
        <v/>
      </c>
    </row>
    <row r="502" ht="15" customHeight="1" s="78">
      <c r="A502" s="96">
        <f>IF(DM_DT!$A196="","",DM_DT!$A196&amp;"")</f>
        <v/>
      </c>
      <c r="B502" s="97">
        <f>IF($A502="","",DM_DT!$B196)</f>
        <v/>
      </c>
      <c r="C502" s="125">
        <f>IF($A502="","",SUMIFS(SDDK!$D$256:$D$375,SDDK!$A$256:$A$375,"331",SDDK!$B$256:$B$375,$A502))</f>
        <v/>
      </c>
      <c r="D502" s="125">
        <f>IF($A502="","",SUMIFS(SDDK!$E$256:$E$375,SDDK!$A$256:$A$375,"331",SDDK!$B$256:$B$375,$A502))</f>
        <v/>
      </c>
      <c r="E502" s="125">
        <f>IF($A502="","",SUMIFS(NKC!$H$7:$H$3006,NKC!$F$7:$F$3006,"331*",NKC!$I$7:$I$3006,$A502,NKC!$B$7:$B$3006,"&lt;="&amp;DEN_NGAY))</f>
        <v/>
      </c>
      <c r="F502" s="125">
        <f>IF($A502="","",SUMIFS(NKC!$H$7:$H$3006,NKC!$G$7:$G$3006,"331*",NKC!$I$7:$I$3006,$A502,NKC!$B$7:$B$3006,"&lt;="&amp;DEN_NGAY))</f>
        <v/>
      </c>
      <c r="G502" s="125">
        <f>IF($A502="","",MAX($C502-$D502+$E502-$F502,0))</f>
        <v/>
      </c>
      <c r="H502" s="125">
        <f>IF($A502="","",MAX(-($C502-$D502+$E502-$F502),0))</f>
        <v/>
      </c>
    </row>
    <row r="503" ht="15" customHeight="1" s="78">
      <c r="A503" s="96">
        <f>IF(DM_DT!$A197="","",DM_DT!$A197&amp;"")</f>
        <v/>
      </c>
      <c r="B503" s="97">
        <f>IF($A503="","",DM_DT!$B197)</f>
        <v/>
      </c>
      <c r="C503" s="125">
        <f>IF($A503="","",SUMIFS(SDDK!$D$256:$D$375,SDDK!$A$256:$A$375,"331",SDDK!$B$256:$B$375,$A503))</f>
        <v/>
      </c>
      <c r="D503" s="125">
        <f>IF($A503="","",SUMIFS(SDDK!$E$256:$E$375,SDDK!$A$256:$A$375,"331",SDDK!$B$256:$B$375,$A503))</f>
        <v/>
      </c>
      <c r="E503" s="125">
        <f>IF($A503="","",SUMIFS(NKC!$H$7:$H$3006,NKC!$F$7:$F$3006,"331*",NKC!$I$7:$I$3006,$A503,NKC!$B$7:$B$3006,"&lt;="&amp;DEN_NGAY))</f>
        <v/>
      </c>
      <c r="F503" s="125">
        <f>IF($A503="","",SUMIFS(NKC!$H$7:$H$3006,NKC!$G$7:$G$3006,"331*",NKC!$I$7:$I$3006,$A503,NKC!$B$7:$B$3006,"&lt;="&amp;DEN_NGAY))</f>
        <v/>
      </c>
      <c r="G503" s="125">
        <f>IF($A503="","",MAX($C503-$D503+$E503-$F503,0))</f>
        <v/>
      </c>
      <c r="H503" s="125">
        <f>IF($A503="","",MAX(-($C503-$D503+$E503-$F503),0))</f>
        <v/>
      </c>
    </row>
    <row r="504" ht="15" customHeight="1" s="78">
      <c r="A504" s="96">
        <f>IF(DM_DT!$A198="","",DM_DT!$A198&amp;"")</f>
        <v/>
      </c>
      <c r="B504" s="97">
        <f>IF($A504="","",DM_DT!$B198)</f>
        <v/>
      </c>
      <c r="C504" s="125">
        <f>IF($A504="","",SUMIFS(SDDK!$D$256:$D$375,SDDK!$A$256:$A$375,"331",SDDK!$B$256:$B$375,$A504))</f>
        <v/>
      </c>
      <c r="D504" s="125">
        <f>IF($A504="","",SUMIFS(SDDK!$E$256:$E$375,SDDK!$A$256:$A$375,"331",SDDK!$B$256:$B$375,$A504))</f>
        <v/>
      </c>
      <c r="E504" s="125">
        <f>IF($A504="","",SUMIFS(NKC!$H$7:$H$3006,NKC!$F$7:$F$3006,"331*",NKC!$I$7:$I$3006,$A504,NKC!$B$7:$B$3006,"&lt;="&amp;DEN_NGAY))</f>
        <v/>
      </c>
      <c r="F504" s="125">
        <f>IF($A504="","",SUMIFS(NKC!$H$7:$H$3006,NKC!$G$7:$G$3006,"331*",NKC!$I$7:$I$3006,$A504,NKC!$B$7:$B$3006,"&lt;="&amp;DEN_NGAY))</f>
        <v/>
      </c>
      <c r="G504" s="125">
        <f>IF($A504="","",MAX($C504-$D504+$E504-$F504,0))</f>
        <v/>
      </c>
      <c r="H504" s="125">
        <f>IF($A504="","",MAX(-($C504-$D504+$E504-$F504),0))</f>
        <v/>
      </c>
    </row>
    <row r="505" ht="15" customHeight="1" s="78">
      <c r="A505" s="96">
        <f>IF(DM_DT!$A199="","",DM_DT!$A199&amp;"")</f>
        <v/>
      </c>
      <c r="B505" s="97">
        <f>IF($A505="","",DM_DT!$B199)</f>
        <v/>
      </c>
      <c r="C505" s="125">
        <f>IF($A505="","",SUMIFS(SDDK!$D$256:$D$375,SDDK!$A$256:$A$375,"331",SDDK!$B$256:$B$375,$A505))</f>
        <v/>
      </c>
      <c r="D505" s="125">
        <f>IF($A505="","",SUMIFS(SDDK!$E$256:$E$375,SDDK!$A$256:$A$375,"331",SDDK!$B$256:$B$375,$A505))</f>
        <v/>
      </c>
      <c r="E505" s="125">
        <f>IF($A505="","",SUMIFS(NKC!$H$7:$H$3006,NKC!$F$7:$F$3006,"331*",NKC!$I$7:$I$3006,$A505,NKC!$B$7:$B$3006,"&lt;="&amp;DEN_NGAY))</f>
        <v/>
      </c>
      <c r="F505" s="125">
        <f>IF($A505="","",SUMIFS(NKC!$H$7:$H$3006,NKC!$G$7:$G$3006,"331*",NKC!$I$7:$I$3006,$A505,NKC!$B$7:$B$3006,"&lt;="&amp;DEN_NGAY))</f>
        <v/>
      </c>
      <c r="G505" s="125">
        <f>IF($A505="","",MAX($C505-$D505+$E505-$F505,0))</f>
        <v/>
      </c>
      <c r="H505" s="125">
        <f>IF($A505="","",MAX(-($C505-$D505+$E505-$F505),0))</f>
        <v/>
      </c>
    </row>
    <row r="506" ht="15" customHeight="1" s="78">
      <c r="A506" s="96">
        <f>IF(DM_DT!$A200="","",DM_DT!$A200&amp;"")</f>
        <v/>
      </c>
      <c r="B506" s="97">
        <f>IF($A506="","",DM_DT!$B200)</f>
        <v/>
      </c>
      <c r="C506" s="125">
        <f>IF($A506="","",SUMIFS(SDDK!$D$256:$D$375,SDDK!$A$256:$A$375,"331",SDDK!$B$256:$B$375,$A506))</f>
        <v/>
      </c>
      <c r="D506" s="125">
        <f>IF($A506="","",SUMIFS(SDDK!$E$256:$E$375,SDDK!$A$256:$A$375,"331",SDDK!$B$256:$B$375,$A506))</f>
        <v/>
      </c>
      <c r="E506" s="125">
        <f>IF($A506="","",SUMIFS(NKC!$H$7:$H$3006,NKC!$F$7:$F$3006,"331*",NKC!$I$7:$I$3006,$A506,NKC!$B$7:$B$3006,"&lt;="&amp;DEN_NGAY))</f>
        <v/>
      </c>
      <c r="F506" s="125">
        <f>IF($A506="","",SUMIFS(NKC!$H$7:$H$3006,NKC!$G$7:$G$3006,"331*",NKC!$I$7:$I$3006,$A506,NKC!$B$7:$B$3006,"&lt;="&amp;DEN_NGAY))</f>
        <v/>
      </c>
      <c r="G506" s="125">
        <f>IF($A506="","",MAX($C506-$D506+$E506-$F506,0))</f>
        <v/>
      </c>
      <c r="H506" s="125">
        <f>IF($A506="","",MAX(-($C506-$D506+$E506-$F506),0))</f>
        <v/>
      </c>
    </row>
    <row r="507" ht="15" customHeight="1" s="78">
      <c r="A507" s="96">
        <f>IF(DM_DT!$A201="","",DM_DT!$A201&amp;"")</f>
        <v/>
      </c>
      <c r="B507" s="97">
        <f>IF($A507="","",DM_DT!$B201)</f>
        <v/>
      </c>
      <c r="C507" s="125">
        <f>IF($A507="","",SUMIFS(SDDK!$D$256:$D$375,SDDK!$A$256:$A$375,"331",SDDK!$B$256:$B$375,$A507))</f>
        <v/>
      </c>
      <c r="D507" s="125">
        <f>IF($A507="","",SUMIFS(SDDK!$E$256:$E$375,SDDK!$A$256:$A$375,"331",SDDK!$B$256:$B$375,$A507))</f>
        <v/>
      </c>
      <c r="E507" s="125">
        <f>IF($A507="","",SUMIFS(NKC!$H$7:$H$3006,NKC!$F$7:$F$3006,"331*",NKC!$I$7:$I$3006,$A507,NKC!$B$7:$B$3006,"&lt;="&amp;DEN_NGAY))</f>
        <v/>
      </c>
      <c r="F507" s="125">
        <f>IF($A507="","",SUMIFS(NKC!$H$7:$H$3006,NKC!$G$7:$G$3006,"331*",NKC!$I$7:$I$3006,$A507,NKC!$B$7:$B$3006,"&lt;="&amp;DEN_NGAY))</f>
        <v/>
      </c>
      <c r="G507" s="125">
        <f>IF($A507="","",MAX($C507-$D507+$E507-$F507,0))</f>
        <v/>
      </c>
      <c r="H507" s="125">
        <f>IF($A507="","",MAX(-($C507-$D507+$E507-$F507),0))</f>
        <v/>
      </c>
    </row>
    <row r="508" ht="15" customHeight="1" s="78">
      <c r="A508" s="96">
        <f>IF(DM_DT!$A202="","",DM_DT!$A202&amp;"")</f>
        <v/>
      </c>
      <c r="B508" s="97">
        <f>IF($A508="","",DM_DT!$B202)</f>
        <v/>
      </c>
      <c r="C508" s="125">
        <f>IF($A508="","",SUMIFS(SDDK!$D$256:$D$375,SDDK!$A$256:$A$375,"331",SDDK!$B$256:$B$375,$A508))</f>
        <v/>
      </c>
      <c r="D508" s="125">
        <f>IF($A508="","",SUMIFS(SDDK!$E$256:$E$375,SDDK!$A$256:$A$375,"331",SDDK!$B$256:$B$375,$A508))</f>
        <v/>
      </c>
      <c r="E508" s="125">
        <f>IF($A508="","",SUMIFS(NKC!$H$7:$H$3006,NKC!$F$7:$F$3006,"331*",NKC!$I$7:$I$3006,$A508,NKC!$B$7:$B$3006,"&lt;="&amp;DEN_NGAY))</f>
        <v/>
      </c>
      <c r="F508" s="125">
        <f>IF($A508="","",SUMIFS(NKC!$H$7:$H$3006,NKC!$G$7:$G$3006,"331*",NKC!$I$7:$I$3006,$A508,NKC!$B$7:$B$3006,"&lt;="&amp;DEN_NGAY))</f>
        <v/>
      </c>
      <c r="G508" s="125">
        <f>IF($A508="","",MAX($C508-$D508+$E508-$F508,0))</f>
        <v/>
      </c>
      <c r="H508" s="125">
        <f>IF($A508="","",MAX(-($C508-$D508+$E508-$F508),0))</f>
        <v/>
      </c>
    </row>
    <row r="509" ht="15" customHeight="1" s="78">
      <c r="A509" s="96">
        <f>IF(DM_DT!$A203="","",DM_DT!$A203&amp;"")</f>
        <v/>
      </c>
      <c r="B509" s="97">
        <f>IF($A509="","",DM_DT!$B203)</f>
        <v/>
      </c>
      <c r="C509" s="125">
        <f>IF($A509="","",SUMIFS(SDDK!$D$256:$D$375,SDDK!$A$256:$A$375,"331",SDDK!$B$256:$B$375,$A509))</f>
        <v/>
      </c>
      <c r="D509" s="125">
        <f>IF($A509="","",SUMIFS(SDDK!$E$256:$E$375,SDDK!$A$256:$A$375,"331",SDDK!$B$256:$B$375,$A509))</f>
        <v/>
      </c>
      <c r="E509" s="125">
        <f>IF($A509="","",SUMIFS(NKC!$H$7:$H$3006,NKC!$F$7:$F$3006,"331*",NKC!$I$7:$I$3006,$A509,NKC!$B$7:$B$3006,"&lt;="&amp;DEN_NGAY))</f>
        <v/>
      </c>
      <c r="F509" s="125">
        <f>IF($A509="","",SUMIFS(NKC!$H$7:$H$3006,NKC!$G$7:$G$3006,"331*",NKC!$I$7:$I$3006,$A509,NKC!$B$7:$B$3006,"&lt;="&amp;DEN_NGAY))</f>
        <v/>
      </c>
      <c r="G509" s="125">
        <f>IF($A509="","",MAX($C509-$D509+$E509-$F509,0))</f>
        <v/>
      </c>
      <c r="H509" s="125">
        <f>IF($A509="","",MAX(-($C509-$D509+$E509-$F509),0))</f>
        <v/>
      </c>
    </row>
    <row r="510" ht="15" customHeight="1" s="78">
      <c r="A510" s="96">
        <f>IF(DM_DT!$A204="","",DM_DT!$A204&amp;"")</f>
        <v/>
      </c>
      <c r="B510" s="97">
        <f>IF($A510="","",DM_DT!$B204)</f>
        <v/>
      </c>
      <c r="C510" s="125">
        <f>IF($A510="","",SUMIFS(SDDK!$D$256:$D$375,SDDK!$A$256:$A$375,"331",SDDK!$B$256:$B$375,$A510))</f>
        <v/>
      </c>
      <c r="D510" s="125">
        <f>IF($A510="","",SUMIFS(SDDK!$E$256:$E$375,SDDK!$A$256:$A$375,"331",SDDK!$B$256:$B$375,$A510))</f>
        <v/>
      </c>
      <c r="E510" s="125">
        <f>IF($A510="","",SUMIFS(NKC!$H$7:$H$3006,NKC!$F$7:$F$3006,"331*",NKC!$I$7:$I$3006,$A510,NKC!$B$7:$B$3006,"&lt;="&amp;DEN_NGAY))</f>
        <v/>
      </c>
      <c r="F510" s="125">
        <f>IF($A510="","",SUMIFS(NKC!$H$7:$H$3006,NKC!$G$7:$G$3006,"331*",NKC!$I$7:$I$3006,$A510,NKC!$B$7:$B$3006,"&lt;="&amp;DEN_NGAY))</f>
        <v/>
      </c>
      <c r="G510" s="125">
        <f>IF($A510="","",MAX($C510-$D510+$E510-$F510,0))</f>
        <v/>
      </c>
      <c r="H510" s="125">
        <f>IF($A510="","",MAX(-($C510-$D510+$E510-$F510),0))</f>
        <v/>
      </c>
    </row>
    <row r="511" ht="15" customHeight="1" s="78">
      <c r="A511" s="96">
        <f>IF(DM_DT!$A205="","",DM_DT!$A205&amp;"")</f>
        <v/>
      </c>
      <c r="B511" s="97">
        <f>IF($A511="","",DM_DT!$B205)</f>
        <v/>
      </c>
      <c r="C511" s="125">
        <f>IF($A511="","",SUMIFS(SDDK!$D$256:$D$375,SDDK!$A$256:$A$375,"331",SDDK!$B$256:$B$375,$A511))</f>
        <v/>
      </c>
      <c r="D511" s="125">
        <f>IF($A511="","",SUMIFS(SDDK!$E$256:$E$375,SDDK!$A$256:$A$375,"331",SDDK!$B$256:$B$375,$A511))</f>
        <v/>
      </c>
      <c r="E511" s="125">
        <f>IF($A511="","",SUMIFS(NKC!$H$7:$H$3006,NKC!$F$7:$F$3006,"331*",NKC!$I$7:$I$3006,$A511,NKC!$B$7:$B$3006,"&lt;="&amp;DEN_NGAY))</f>
        <v/>
      </c>
      <c r="F511" s="125">
        <f>IF($A511="","",SUMIFS(NKC!$H$7:$H$3006,NKC!$G$7:$G$3006,"331*",NKC!$I$7:$I$3006,$A511,NKC!$B$7:$B$3006,"&lt;="&amp;DEN_NGAY))</f>
        <v/>
      </c>
      <c r="G511" s="125">
        <f>IF($A511="","",MAX($C511-$D511+$E511-$F511,0))</f>
        <v/>
      </c>
      <c r="H511" s="125">
        <f>IF($A511="","",MAX(-($C511-$D511+$E511-$F511),0))</f>
        <v/>
      </c>
    </row>
    <row r="512" ht="15" customHeight="1" s="78">
      <c r="A512" s="96">
        <f>IF(DM_DT!$A206="","",DM_DT!$A206&amp;"")</f>
        <v/>
      </c>
      <c r="B512" s="97">
        <f>IF($A512="","",DM_DT!$B206)</f>
        <v/>
      </c>
      <c r="C512" s="125">
        <f>IF($A512="","",SUMIFS(SDDK!$D$256:$D$375,SDDK!$A$256:$A$375,"331",SDDK!$B$256:$B$375,$A512))</f>
        <v/>
      </c>
      <c r="D512" s="125">
        <f>IF($A512="","",SUMIFS(SDDK!$E$256:$E$375,SDDK!$A$256:$A$375,"331",SDDK!$B$256:$B$375,$A512))</f>
        <v/>
      </c>
      <c r="E512" s="125">
        <f>IF($A512="","",SUMIFS(NKC!$H$7:$H$3006,NKC!$F$7:$F$3006,"331*",NKC!$I$7:$I$3006,$A512,NKC!$B$7:$B$3006,"&lt;="&amp;DEN_NGAY))</f>
        <v/>
      </c>
      <c r="F512" s="125">
        <f>IF($A512="","",SUMIFS(NKC!$H$7:$H$3006,NKC!$G$7:$G$3006,"331*",NKC!$I$7:$I$3006,$A512,NKC!$B$7:$B$3006,"&lt;="&amp;DEN_NGAY))</f>
        <v/>
      </c>
      <c r="G512" s="125">
        <f>IF($A512="","",MAX($C512-$D512+$E512-$F512,0))</f>
        <v/>
      </c>
      <c r="H512" s="125">
        <f>IF($A512="","",MAX(-($C512-$D512+$E512-$F512),0))</f>
        <v/>
      </c>
    </row>
    <row r="513" ht="15" customHeight="1" s="78">
      <c r="A513" s="96">
        <f>IF(DM_DT!$A207="","",DM_DT!$A207&amp;"")</f>
        <v/>
      </c>
      <c r="B513" s="97">
        <f>IF($A513="","",DM_DT!$B207)</f>
        <v/>
      </c>
      <c r="C513" s="125">
        <f>IF($A513="","",SUMIFS(SDDK!$D$256:$D$375,SDDK!$A$256:$A$375,"331",SDDK!$B$256:$B$375,$A513))</f>
        <v/>
      </c>
      <c r="D513" s="125">
        <f>IF($A513="","",SUMIFS(SDDK!$E$256:$E$375,SDDK!$A$256:$A$375,"331",SDDK!$B$256:$B$375,$A513))</f>
        <v/>
      </c>
      <c r="E513" s="125">
        <f>IF($A513="","",SUMIFS(NKC!$H$7:$H$3006,NKC!$F$7:$F$3006,"331*",NKC!$I$7:$I$3006,$A513,NKC!$B$7:$B$3006,"&lt;="&amp;DEN_NGAY))</f>
        <v/>
      </c>
      <c r="F513" s="125">
        <f>IF($A513="","",SUMIFS(NKC!$H$7:$H$3006,NKC!$G$7:$G$3006,"331*",NKC!$I$7:$I$3006,$A513,NKC!$B$7:$B$3006,"&lt;="&amp;DEN_NGAY))</f>
        <v/>
      </c>
      <c r="G513" s="125">
        <f>IF($A513="","",MAX($C513-$D513+$E513-$F513,0))</f>
        <v/>
      </c>
      <c r="H513" s="125">
        <f>IF($A513="","",MAX(-($C513-$D513+$E513-$F513),0))</f>
        <v/>
      </c>
    </row>
    <row r="514" ht="15" customHeight="1" s="78">
      <c r="A514" s="96">
        <f>IF(DM_DT!$A208="","",DM_DT!$A208&amp;"")</f>
        <v/>
      </c>
      <c r="B514" s="97">
        <f>IF($A514="","",DM_DT!$B208)</f>
        <v/>
      </c>
      <c r="C514" s="125">
        <f>IF($A514="","",SUMIFS(SDDK!$D$256:$D$375,SDDK!$A$256:$A$375,"331",SDDK!$B$256:$B$375,$A514))</f>
        <v/>
      </c>
      <c r="D514" s="125">
        <f>IF($A514="","",SUMIFS(SDDK!$E$256:$E$375,SDDK!$A$256:$A$375,"331",SDDK!$B$256:$B$375,$A514))</f>
        <v/>
      </c>
      <c r="E514" s="125">
        <f>IF($A514="","",SUMIFS(NKC!$H$7:$H$3006,NKC!$F$7:$F$3006,"331*",NKC!$I$7:$I$3006,$A514,NKC!$B$7:$B$3006,"&lt;="&amp;DEN_NGAY))</f>
        <v/>
      </c>
      <c r="F514" s="125">
        <f>IF($A514="","",SUMIFS(NKC!$H$7:$H$3006,NKC!$G$7:$G$3006,"331*",NKC!$I$7:$I$3006,$A514,NKC!$B$7:$B$3006,"&lt;="&amp;DEN_NGAY))</f>
        <v/>
      </c>
      <c r="G514" s="125">
        <f>IF($A514="","",MAX($C514-$D514+$E514-$F514,0))</f>
        <v/>
      </c>
      <c r="H514" s="125">
        <f>IF($A514="","",MAX(-($C514-$D514+$E514-$F514),0))</f>
        <v/>
      </c>
    </row>
    <row r="515" ht="15" customHeight="1" s="78">
      <c r="A515" s="96">
        <f>IF(DM_DT!$A209="","",DM_DT!$A209&amp;"")</f>
        <v/>
      </c>
      <c r="B515" s="97">
        <f>IF($A515="","",DM_DT!$B209)</f>
        <v/>
      </c>
      <c r="C515" s="125">
        <f>IF($A515="","",SUMIFS(SDDK!$D$256:$D$375,SDDK!$A$256:$A$375,"331",SDDK!$B$256:$B$375,$A515))</f>
        <v/>
      </c>
      <c r="D515" s="125">
        <f>IF($A515="","",SUMIFS(SDDK!$E$256:$E$375,SDDK!$A$256:$A$375,"331",SDDK!$B$256:$B$375,$A515))</f>
        <v/>
      </c>
      <c r="E515" s="125">
        <f>IF($A515="","",SUMIFS(NKC!$H$7:$H$3006,NKC!$F$7:$F$3006,"331*",NKC!$I$7:$I$3006,$A515,NKC!$B$7:$B$3006,"&lt;="&amp;DEN_NGAY))</f>
        <v/>
      </c>
      <c r="F515" s="125">
        <f>IF($A515="","",SUMIFS(NKC!$H$7:$H$3006,NKC!$G$7:$G$3006,"331*",NKC!$I$7:$I$3006,$A515,NKC!$B$7:$B$3006,"&lt;="&amp;DEN_NGAY))</f>
        <v/>
      </c>
      <c r="G515" s="125">
        <f>IF($A515="","",MAX($C515-$D515+$E515-$F515,0))</f>
        <v/>
      </c>
      <c r="H515" s="125">
        <f>IF($A515="","",MAX(-($C515-$D515+$E515-$F515),0))</f>
        <v/>
      </c>
    </row>
    <row r="516" ht="15" customHeight="1" s="78">
      <c r="A516" s="96">
        <f>IF(DM_DT!$A210="","",DM_DT!$A210&amp;"")</f>
        <v/>
      </c>
      <c r="B516" s="97">
        <f>IF($A516="","",DM_DT!$B210)</f>
        <v/>
      </c>
      <c r="C516" s="125">
        <f>IF($A516="","",SUMIFS(SDDK!$D$256:$D$375,SDDK!$A$256:$A$375,"331",SDDK!$B$256:$B$375,$A516))</f>
        <v/>
      </c>
      <c r="D516" s="125">
        <f>IF($A516="","",SUMIFS(SDDK!$E$256:$E$375,SDDK!$A$256:$A$375,"331",SDDK!$B$256:$B$375,$A516))</f>
        <v/>
      </c>
      <c r="E516" s="125">
        <f>IF($A516="","",SUMIFS(NKC!$H$7:$H$3006,NKC!$F$7:$F$3006,"331*",NKC!$I$7:$I$3006,$A516,NKC!$B$7:$B$3006,"&lt;="&amp;DEN_NGAY))</f>
        <v/>
      </c>
      <c r="F516" s="125">
        <f>IF($A516="","",SUMIFS(NKC!$H$7:$H$3006,NKC!$G$7:$G$3006,"331*",NKC!$I$7:$I$3006,$A516,NKC!$B$7:$B$3006,"&lt;="&amp;DEN_NGAY))</f>
        <v/>
      </c>
      <c r="G516" s="125">
        <f>IF($A516="","",MAX($C516-$D516+$E516-$F516,0))</f>
        <v/>
      </c>
      <c r="H516" s="125">
        <f>IF($A516="","",MAX(-($C516-$D516+$E516-$F516),0))</f>
        <v/>
      </c>
    </row>
    <row r="517" ht="15" customHeight="1" s="78">
      <c r="A517" s="96">
        <f>IF(DM_DT!$A211="","",DM_DT!$A211&amp;"")</f>
        <v/>
      </c>
      <c r="B517" s="97">
        <f>IF($A517="","",DM_DT!$B211)</f>
        <v/>
      </c>
      <c r="C517" s="125">
        <f>IF($A517="","",SUMIFS(SDDK!$D$256:$D$375,SDDK!$A$256:$A$375,"331",SDDK!$B$256:$B$375,$A517))</f>
        <v/>
      </c>
      <c r="D517" s="125">
        <f>IF($A517="","",SUMIFS(SDDK!$E$256:$E$375,SDDK!$A$256:$A$375,"331",SDDK!$B$256:$B$375,$A517))</f>
        <v/>
      </c>
      <c r="E517" s="125">
        <f>IF($A517="","",SUMIFS(NKC!$H$7:$H$3006,NKC!$F$7:$F$3006,"331*",NKC!$I$7:$I$3006,$A517,NKC!$B$7:$B$3006,"&lt;="&amp;DEN_NGAY))</f>
        <v/>
      </c>
      <c r="F517" s="125">
        <f>IF($A517="","",SUMIFS(NKC!$H$7:$H$3006,NKC!$G$7:$G$3006,"331*",NKC!$I$7:$I$3006,$A517,NKC!$B$7:$B$3006,"&lt;="&amp;DEN_NGAY))</f>
        <v/>
      </c>
      <c r="G517" s="125">
        <f>IF($A517="","",MAX($C517-$D517+$E517-$F517,0))</f>
        <v/>
      </c>
      <c r="H517" s="125">
        <f>IF($A517="","",MAX(-($C517-$D517+$E517-$F517),0))</f>
        <v/>
      </c>
    </row>
    <row r="518" ht="15" customHeight="1" s="78">
      <c r="A518" s="96">
        <f>IF(DM_DT!$A212="","",DM_DT!$A212&amp;"")</f>
        <v/>
      </c>
      <c r="B518" s="97">
        <f>IF($A518="","",DM_DT!$B212)</f>
        <v/>
      </c>
      <c r="C518" s="125">
        <f>IF($A518="","",SUMIFS(SDDK!$D$256:$D$375,SDDK!$A$256:$A$375,"331",SDDK!$B$256:$B$375,$A518))</f>
        <v/>
      </c>
      <c r="D518" s="125">
        <f>IF($A518="","",SUMIFS(SDDK!$E$256:$E$375,SDDK!$A$256:$A$375,"331",SDDK!$B$256:$B$375,$A518))</f>
        <v/>
      </c>
      <c r="E518" s="125">
        <f>IF($A518="","",SUMIFS(NKC!$H$7:$H$3006,NKC!$F$7:$F$3006,"331*",NKC!$I$7:$I$3006,$A518,NKC!$B$7:$B$3006,"&lt;="&amp;DEN_NGAY))</f>
        <v/>
      </c>
      <c r="F518" s="125">
        <f>IF($A518="","",SUMIFS(NKC!$H$7:$H$3006,NKC!$G$7:$G$3006,"331*",NKC!$I$7:$I$3006,$A518,NKC!$B$7:$B$3006,"&lt;="&amp;DEN_NGAY))</f>
        <v/>
      </c>
      <c r="G518" s="125">
        <f>IF($A518="","",MAX($C518-$D518+$E518-$F518,0))</f>
        <v/>
      </c>
      <c r="H518" s="125">
        <f>IF($A518="","",MAX(-($C518-$D518+$E518-$F518),0))</f>
        <v/>
      </c>
    </row>
    <row r="519" ht="15" customHeight="1" s="78">
      <c r="A519" s="96">
        <f>IF(DM_DT!$A213="","",DM_DT!$A213&amp;"")</f>
        <v/>
      </c>
      <c r="B519" s="97">
        <f>IF($A519="","",DM_DT!$B213)</f>
        <v/>
      </c>
      <c r="C519" s="125">
        <f>IF($A519="","",SUMIFS(SDDK!$D$256:$D$375,SDDK!$A$256:$A$375,"331",SDDK!$B$256:$B$375,$A519))</f>
        <v/>
      </c>
      <c r="D519" s="125">
        <f>IF($A519="","",SUMIFS(SDDK!$E$256:$E$375,SDDK!$A$256:$A$375,"331",SDDK!$B$256:$B$375,$A519))</f>
        <v/>
      </c>
      <c r="E519" s="125">
        <f>IF($A519="","",SUMIFS(NKC!$H$7:$H$3006,NKC!$F$7:$F$3006,"331*",NKC!$I$7:$I$3006,$A519,NKC!$B$7:$B$3006,"&lt;="&amp;DEN_NGAY))</f>
        <v/>
      </c>
      <c r="F519" s="125">
        <f>IF($A519="","",SUMIFS(NKC!$H$7:$H$3006,NKC!$G$7:$G$3006,"331*",NKC!$I$7:$I$3006,$A519,NKC!$B$7:$B$3006,"&lt;="&amp;DEN_NGAY))</f>
        <v/>
      </c>
      <c r="G519" s="125">
        <f>IF($A519="","",MAX($C519-$D519+$E519-$F519,0))</f>
        <v/>
      </c>
      <c r="H519" s="125">
        <f>IF($A519="","",MAX(-($C519-$D519+$E519-$F519),0))</f>
        <v/>
      </c>
    </row>
    <row r="520" ht="15" customHeight="1" s="78">
      <c r="A520" s="96">
        <f>IF(DM_DT!$A214="","",DM_DT!$A214&amp;"")</f>
        <v/>
      </c>
      <c r="B520" s="97">
        <f>IF($A520="","",DM_DT!$B214)</f>
        <v/>
      </c>
      <c r="C520" s="125">
        <f>IF($A520="","",SUMIFS(SDDK!$D$256:$D$375,SDDK!$A$256:$A$375,"331",SDDK!$B$256:$B$375,$A520))</f>
        <v/>
      </c>
      <c r="D520" s="125">
        <f>IF($A520="","",SUMIFS(SDDK!$E$256:$E$375,SDDK!$A$256:$A$375,"331",SDDK!$B$256:$B$375,$A520))</f>
        <v/>
      </c>
      <c r="E520" s="125">
        <f>IF($A520="","",SUMIFS(NKC!$H$7:$H$3006,NKC!$F$7:$F$3006,"331*",NKC!$I$7:$I$3006,$A520,NKC!$B$7:$B$3006,"&lt;="&amp;DEN_NGAY))</f>
        <v/>
      </c>
      <c r="F520" s="125">
        <f>IF($A520="","",SUMIFS(NKC!$H$7:$H$3006,NKC!$G$7:$G$3006,"331*",NKC!$I$7:$I$3006,$A520,NKC!$B$7:$B$3006,"&lt;="&amp;DEN_NGAY))</f>
        <v/>
      </c>
      <c r="G520" s="125">
        <f>IF($A520="","",MAX($C520-$D520+$E520-$F520,0))</f>
        <v/>
      </c>
      <c r="H520" s="125">
        <f>IF($A520="","",MAX(-($C520-$D520+$E520-$F520),0))</f>
        <v/>
      </c>
    </row>
    <row r="521" ht="15" customHeight="1" s="78">
      <c r="A521" s="96">
        <f>IF(DM_DT!$A215="","",DM_DT!$A215&amp;"")</f>
        <v/>
      </c>
      <c r="B521" s="97">
        <f>IF($A521="","",DM_DT!$B215)</f>
        <v/>
      </c>
      <c r="C521" s="125">
        <f>IF($A521="","",SUMIFS(SDDK!$D$256:$D$375,SDDK!$A$256:$A$375,"331",SDDK!$B$256:$B$375,$A521))</f>
        <v/>
      </c>
      <c r="D521" s="125">
        <f>IF($A521="","",SUMIFS(SDDK!$E$256:$E$375,SDDK!$A$256:$A$375,"331",SDDK!$B$256:$B$375,$A521))</f>
        <v/>
      </c>
      <c r="E521" s="125">
        <f>IF($A521="","",SUMIFS(NKC!$H$7:$H$3006,NKC!$F$7:$F$3006,"331*",NKC!$I$7:$I$3006,$A521,NKC!$B$7:$B$3006,"&lt;="&amp;DEN_NGAY))</f>
        <v/>
      </c>
      <c r="F521" s="125">
        <f>IF($A521="","",SUMIFS(NKC!$H$7:$H$3006,NKC!$G$7:$G$3006,"331*",NKC!$I$7:$I$3006,$A521,NKC!$B$7:$B$3006,"&lt;="&amp;DEN_NGAY))</f>
        <v/>
      </c>
      <c r="G521" s="125">
        <f>IF($A521="","",MAX($C521-$D521+$E521-$F521,0))</f>
        <v/>
      </c>
      <c r="H521" s="125">
        <f>IF($A521="","",MAX(-($C521-$D521+$E521-$F521),0))</f>
        <v/>
      </c>
    </row>
    <row r="522" ht="15" customHeight="1" s="78">
      <c r="A522" s="96">
        <f>IF(DM_DT!$A216="","",DM_DT!$A216&amp;"")</f>
        <v/>
      </c>
      <c r="B522" s="97">
        <f>IF($A522="","",DM_DT!$B216)</f>
        <v/>
      </c>
      <c r="C522" s="125">
        <f>IF($A522="","",SUMIFS(SDDK!$D$256:$D$375,SDDK!$A$256:$A$375,"331",SDDK!$B$256:$B$375,$A522))</f>
        <v/>
      </c>
      <c r="D522" s="125">
        <f>IF($A522="","",SUMIFS(SDDK!$E$256:$E$375,SDDK!$A$256:$A$375,"331",SDDK!$B$256:$B$375,$A522))</f>
        <v/>
      </c>
      <c r="E522" s="125">
        <f>IF($A522="","",SUMIFS(NKC!$H$7:$H$3006,NKC!$F$7:$F$3006,"331*",NKC!$I$7:$I$3006,$A522,NKC!$B$7:$B$3006,"&lt;="&amp;DEN_NGAY))</f>
        <v/>
      </c>
      <c r="F522" s="125">
        <f>IF($A522="","",SUMIFS(NKC!$H$7:$H$3006,NKC!$G$7:$G$3006,"331*",NKC!$I$7:$I$3006,$A522,NKC!$B$7:$B$3006,"&lt;="&amp;DEN_NGAY))</f>
        <v/>
      </c>
      <c r="G522" s="125">
        <f>IF($A522="","",MAX($C522-$D522+$E522-$F522,0))</f>
        <v/>
      </c>
      <c r="H522" s="125">
        <f>IF($A522="","",MAX(-($C522-$D522+$E522-$F522),0))</f>
        <v/>
      </c>
    </row>
    <row r="523" ht="15" customHeight="1" s="78">
      <c r="A523" s="96">
        <f>IF(DM_DT!$A217="","",DM_DT!$A217&amp;"")</f>
        <v/>
      </c>
      <c r="B523" s="97">
        <f>IF($A523="","",DM_DT!$B217)</f>
        <v/>
      </c>
      <c r="C523" s="125">
        <f>IF($A523="","",SUMIFS(SDDK!$D$256:$D$375,SDDK!$A$256:$A$375,"331",SDDK!$B$256:$B$375,$A523))</f>
        <v/>
      </c>
      <c r="D523" s="125">
        <f>IF($A523="","",SUMIFS(SDDK!$E$256:$E$375,SDDK!$A$256:$A$375,"331",SDDK!$B$256:$B$375,$A523))</f>
        <v/>
      </c>
      <c r="E523" s="125">
        <f>IF($A523="","",SUMIFS(NKC!$H$7:$H$3006,NKC!$F$7:$F$3006,"331*",NKC!$I$7:$I$3006,$A523,NKC!$B$7:$B$3006,"&lt;="&amp;DEN_NGAY))</f>
        <v/>
      </c>
      <c r="F523" s="125">
        <f>IF($A523="","",SUMIFS(NKC!$H$7:$H$3006,NKC!$G$7:$G$3006,"331*",NKC!$I$7:$I$3006,$A523,NKC!$B$7:$B$3006,"&lt;="&amp;DEN_NGAY))</f>
        <v/>
      </c>
      <c r="G523" s="125">
        <f>IF($A523="","",MAX($C523-$D523+$E523-$F523,0))</f>
        <v/>
      </c>
      <c r="H523" s="125">
        <f>IF($A523="","",MAX(-($C523-$D523+$E523-$F523),0))</f>
        <v/>
      </c>
    </row>
    <row r="524" ht="15" customHeight="1" s="78">
      <c r="A524" s="96">
        <f>IF(DM_DT!$A218="","",DM_DT!$A218&amp;"")</f>
        <v/>
      </c>
      <c r="B524" s="97">
        <f>IF($A524="","",DM_DT!$B218)</f>
        <v/>
      </c>
      <c r="C524" s="125">
        <f>IF($A524="","",SUMIFS(SDDK!$D$256:$D$375,SDDK!$A$256:$A$375,"331",SDDK!$B$256:$B$375,$A524))</f>
        <v/>
      </c>
      <c r="D524" s="125">
        <f>IF($A524="","",SUMIFS(SDDK!$E$256:$E$375,SDDK!$A$256:$A$375,"331",SDDK!$B$256:$B$375,$A524))</f>
        <v/>
      </c>
      <c r="E524" s="125">
        <f>IF($A524="","",SUMIFS(NKC!$H$7:$H$3006,NKC!$F$7:$F$3006,"331*",NKC!$I$7:$I$3006,$A524,NKC!$B$7:$B$3006,"&lt;="&amp;DEN_NGAY))</f>
        <v/>
      </c>
      <c r="F524" s="125">
        <f>IF($A524="","",SUMIFS(NKC!$H$7:$H$3006,NKC!$G$7:$G$3006,"331*",NKC!$I$7:$I$3006,$A524,NKC!$B$7:$B$3006,"&lt;="&amp;DEN_NGAY))</f>
        <v/>
      </c>
      <c r="G524" s="125">
        <f>IF($A524="","",MAX($C524-$D524+$E524-$F524,0))</f>
        <v/>
      </c>
      <c r="H524" s="125">
        <f>IF($A524="","",MAX(-($C524-$D524+$E524-$F524),0))</f>
        <v/>
      </c>
    </row>
    <row r="525" ht="15" customHeight="1" s="78">
      <c r="A525" s="96">
        <f>IF(DM_DT!$A219="","",DM_DT!$A219&amp;"")</f>
        <v/>
      </c>
      <c r="B525" s="97">
        <f>IF($A525="","",DM_DT!$B219)</f>
        <v/>
      </c>
      <c r="C525" s="125">
        <f>IF($A525="","",SUMIFS(SDDK!$D$256:$D$375,SDDK!$A$256:$A$375,"331",SDDK!$B$256:$B$375,$A525))</f>
        <v/>
      </c>
      <c r="D525" s="125">
        <f>IF($A525="","",SUMIFS(SDDK!$E$256:$E$375,SDDK!$A$256:$A$375,"331",SDDK!$B$256:$B$375,$A525))</f>
        <v/>
      </c>
      <c r="E525" s="125">
        <f>IF($A525="","",SUMIFS(NKC!$H$7:$H$3006,NKC!$F$7:$F$3006,"331*",NKC!$I$7:$I$3006,$A525,NKC!$B$7:$B$3006,"&lt;="&amp;DEN_NGAY))</f>
        <v/>
      </c>
      <c r="F525" s="125">
        <f>IF($A525="","",SUMIFS(NKC!$H$7:$H$3006,NKC!$G$7:$G$3006,"331*",NKC!$I$7:$I$3006,$A525,NKC!$B$7:$B$3006,"&lt;="&amp;DEN_NGAY))</f>
        <v/>
      </c>
      <c r="G525" s="125">
        <f>IF($A525="","",MAX($C525-$D525+$E525-$F525,0))</f>
        <v/>
      </c>
      <c r="H525" s="125">
        <f>IF($A525="","",MAX(-($C525-$D525+$E525-$F525),0))</f>
        <v/>
      </c>
    </row>
    <row r="526" ht="15" customHeight="1" s="78">
      <c r="A526" s="96">
        <f>IF(DM_DT!$A220="","",DM_DT!$A220&amp;"")</f>
        <v/>
      </c>
      <c r="B526" s="97">
        <f>IF($A526="","",DM_DT!$B220)</f>
        <v/>
      </c>
      <c r="C526" s="125">
        <f>IF($A526="","",SUMIFS(SDDK!$D$256:$D$375,SDDK!$A$256:$A$375,"331",SDDK!$B$256:$B$375,$A526))</f>
        <v/>
      </c>
      <c r="D526" s="125">
        <f>IF($A526="","",SUMIFS(SDDK!$E$256:$E$375,SDDK!$A$256:$A$375,"331",SDDK!$B$256:$B$375,$A526))</f>
        <v/>
      </c>
      <c r="E526" s="125">
        <f>IF($A526="","",SUMIFS(NKC!$H$7:$H$3006,NKC!$F$7:$F$3006,"331*",NKC!$I$7:$I$3006,$A526,NKC!$B$7:$B$3006,"&lt;="&amp;DEN_NGAY))</f>
        <v/>
      </c>
      <c r="F526" s="125">
        <f>IF($A526="","",SUMIFS(NKC!$H$7:$H$3006,NKC!$G$7:$G$3006,"331*",NKC!$I$7:$I$3006,$A526,NKC!$B$7:$B$3006,"&lt;="&amp;DEN_NGAY))</f>
        <v/>
      </c>
      <c r="G526" s="125">
        <f>IF($A526="","",MAX($C526-$D526+$E526-$F526,0))</f>
        <v/>
      </c>
      <c r="H526" s="125">
        <f>IF($A526="","",MAX(-($C526-$D526+$E526-$F526),0))</f>
        <v/>
      </c>
    </row>
    <row r="527" ht="15" customHeight="1" s="78">
      <c r="A527" s="96">
        <f>IF(DM_DT!$A221="","",DM_DT!$A221&amp;"")</f>
        <v/>
      </c>
      <c r="B527" s="97">
        <f>IF($A527="","",DM_DT!$B221)</f>
        <v/>
      </c>
      <c r="C527" s="125">
        <f>IF($A527="","",SUMIFS(SDDK!$D$256:$D$375,SDDK!$A$256:$A$375,"331",SDDK!$B$256:$B$375,$A527))</f>
        <v/>
      </c>
      <c r="D527" s="125">
        <f>IF($A527="","",SUMIFS(SDDK!$E$256:$E$375,SDDK!$A$256:$A$375,"331",SDDK!$B$256:$B$375,$A527))</f>
        <v/>
      </c>
      <c r="E527" s="125">
        <f>IF($A527="","",SUMIFS(NKC!$H$7:$H$3006,NKC!$F$7:$F$3006,"331*",NKC!$I$7:$I$3006,$A527,NKC!$B$7:$B$3006,"&lt;="&amp;DEN_NGAY))</f>
        <v/>
      </c>
      <c r="F527" s="125">
        <f>IF($A527="","",SUMIFS(NKC!$H$7:$H$3006,NKC!$G$7:$G$3006,"331*",NKC!$I$7:$I$3006,$A527,NKC!$B$7:$B$3006,"&lt;="&amp;DEN_NGAY))</f>
        <v/>
      </c>
      <c r="G527" s="125">
        <f>IF($A527="","",MAX($C527-$D527+$E527-$F527,0))</f>
        <v/>
      </c>
      <c r="H527" s="125">
        <f>IF($A527="","",MAX(-($C527-$D527+$E527-$F527),0))</f>
        <v/>
      </c>
    </row>
    <row r="528" ht="15" customHeight="1" s="78">
      <c r="A528" s="96">
        <f>IF(DM_DT!$A222="","",DM_DT!$A222&amp;"")</f>
        <v/>
      </c>
      <c r="B528" s="97">
        <f>IF($A528="","",DM_DT!$B222)</f>
        <v/>
      </c>
      <c r="C528" s="125">
        <f>IF($A528="","",SUMIFS(SDDK!$D$256:$D$375,SDDK!$A$256:$A$375,"331",SDDK!$B$256:$B$375,$A528))</f>
        <v/>
      </c>
      <c r="D528" s="125">
        <f>IF($A528="","",SUMIFS(SDDK!$E$256:$E$375,SDDK!$A$256:$A$375,"331",SDDK!$B$256:$B$375,$A528))</f>
        <v/>
      </c>
      <c r="E528" s="125">
        <f>IF($A528="","",SUMIFS(NKC!$H$7:$H$3006,NKC!$F$7:$F$3006,"331*",NKC!$I$7:$I$3006,$A528,NKC!$B$7:$B$3006,"&lt;="&amp;DEN_NGAY))</f>
        <v/>
      </c>
      <c r="F528" s="125">
        <f>IF($A528="","",SUMIFS(NKC!$H$7:$H$3006,NKC!$G$7:$G$3006,"331*",NKC!$I$7:$I$3006,$A528,NKC!$B$7:$B$3006,"&lt;="&amp;DEN_NGAY))</f>
        <v/>
      </c>
      <c r="G528" s="125">
        <f>IF($A528="","",MAX($C528-$D528+$E528-$F528,0))</f>
        <v/>
      </c>
      <c r="H528" s="125">
        <f>IF($A528="","",MAX(-($C528-$D528+$E528-$F528),0))</f>
        <v/>
      </c>
    </row>
    <row r="529" ht="15" customHeight="1" s="78">
      <c r="A529" s="96">
        <f>IF(DM_DT!$A223="","",DM_DT!$A223&amp;"")</f>
        <v/>
      </c>
      <c r="B529" s="97">
        <f>IF($A529="","",DM_DT!$B223)</f>
        <v/>
      </c>
      <c r="C529" s="125">
        <f>IF($A529="","",SUMIFS(SDDK!$D$256:$D$375,SDDK!$A$256:$A$375,"331",SDDK!$B$256:$B$375,$A529))</f>
        <v/>
      </c>
      <c r="D529" s="125">
        <f>IF($A529="","",SUMIFS(SDDK!$E$256:$E$375,SDDK!$A$256:$A$375,"331",SDDK!$B$256:$B$375,$A529))</f>
        <v/>
      </c>
      <c r="E529" s="125">
        <f>IF($A529="","",SUMIFS(NKC!$H$7:$H$3006,NKC!$F$7:$F$3006,"331*",NKC!$I$7:$I$3006,$A529,NKC!$B$7:$B$3006,"&lt;="&amp;DEN_NGAY))</f>
        <v/>
      </c>
      <c r="F529" s="125">
        <f>IF($A529="","",SUMIFS(NKC!$H$7:$H$3006,NKC!$G$7:$G$3006,"331*",NKC!$I$7:$I$3006,$A529,NKC!$B$7:$B$3006,"&lt;="&amp;DEN_NGAY))</f>
        <v/>
      </c>
      <c r="G529" s="125">
        <f>IF($A529="","",MAX($C529-$D529+$E529-$F529,0))</f>
        <v/>
      </c>
      <c r="H529" s="125">
        <f>IF($A529="","",MAX(-($C529-$D529+$E529-$F529),0))</f>
        <v/>
      </c>
    </row>
    <row r="530" ht="15" customHeight="1" s="78">
      <c r="A530" s="96">
        <f>IF(DM_DT!$A224="","",DM_DT!$A224&amp;"")</f>
        <v/>
      </c>
      <c r="B530" s="97">
        <f>IF($A530="","",DM_DT!$B224)</f>
        <v/>
      </c>
      <c r="C530" s="125">
        <f>IF($A530="","",SUMIFS(SDDK!$D$256:$D$375,SDDK!$A$256:$A$375,"331",SDDK!$B$256:$B$375,$A530))</f>
        <v/>
      </c>
      <c r="D530" s="125">
        <f>IF($A530="","",SUMIFS(SDDK!$E$256:$E$375,SDDK!$A$256:$A$375,"331",SDDK!$B$256:$B$375,$A530))</f>
        <v/>
      </c>
      <c r="E530" s="125">
        <f>IF($A530="","",SUMIFS(NKC!$H$7:$H$3006,NKC!$F$7:$F$3006,"331*",NKC!$I$7:$I$3006,$A530,NKC!$B$7:$B$3006,"&lt;="&amp;DEN_NGAY))</f>
        <v/>
      </c>
      <c r="F530" s="125">
        <f>IF($A530="","",SUMIFS(NKC!$H$7:$H$3006,NKC!$G$7:$G$3006,"331*",NKC!$I$7:$I$3006,$A530,NKC!$B$7:$B$3006,"&lt;="&amp;DEN_NGAY))</f>
        <v/>
      </c>
      <c r="G530" s="125">
        <f>IF($A530="","",MAX($C530-$D530+$E530-$F530,0))</f>
        <v/>
      </c>
      <c r="H530" s="125">
        <f>IF($A530="","",MAX(-($C530-$D530+$E530-$F530),0))</f>
        <v/>
      </c>
    </row>
    <row r="531" ht="15" customHeight="1" s="78">
      <c r="A531" s="96">
        <f>IF(DM_DT!$A225="","",DM_DT!$A225&amp;"")</f>
        <v/>
      </c>
      <c r="B531" s="97">
        <f>IF($A531="","",DM_DT!$B225)</f>
        <v/>
      </c>
      <c r="C531" s="125">
        <f>IF($A531="","",SUMIFS(SDDK!$D$256:$D$375,SDDK!$A$256:$A$375,"331",SDDK!$B$256:$B$375,$A531))</f>
        <v/>
      </c>
      <c r="D531" s="125">
        <f>IF($A531="","",SUMIFS(SDDK!$E$256:$E$375,SDDK!$A$256:$A$375,"331",SDDK!$B$256:$B$375,$A531))</f>
        <v/>
      </c>
      <c r="E531" s="125">
        <f>IF($A531="","",SUMIFS(NKC!$H$7:$H$3006,NKC!$F$7:$F$3006,"331*",NKC!$I$7:$I$3006,$A531,NKC!$B$7:$B$3006,"&lt;="&amp;DEN_NGAY))</f>
        <v/>
      </c>
      <c r="F531" s="125">
        <f>IF($A531="","",SUMIFS(NKC!$H$7:$H$3006,NKC!$G$7:$G$3006,"331*",NKC!$I$7:$I$3006,$A531,NKC!$B$7:$B$3006,"&lt;="&amp;DEN_NGAY))</f>
        <v/>
      </c>
      <c r="G531" s="125">
        <f>IF($A531="","",MAX($C531-$D531+$E531-$F531,0))</f>
        <v/>
      </c>
      <c r="H531" s="125">
        <f>IF($A531="","",MAX(-($C531-$D531+$E531-$F531),0))</f>
        <v/>
      </c>
    </row>
    <row r="532" ht="15" customHeight="1" s="78">
      <c r="A532" s="96">
        <f>IF(DM_DT!$A226="","",DM_DT!$A226&amp;"")</f>
        <v/>
      </c>
      <c r="B532" s="97">
        <f>IF($A532="","",DM_DT!$B226)</f>
        <v/>
      </c>
      <c r="C532" s="125">
        <f>IF($A532="","",SUMIFS(SDDK!$D$256:$D$375,SDDK!$A$256:$A$375,"331",SDDK!$B$256:$B$375,$A532))</f>
        <v/>
      </c>
      <c r="D532" s="125">
        <f>IF($A532="","",SUMIFS(SDDK!$E$256:$E$375,SDDK!$A$256:$A$375,"331",SDDK!$B$256:$B$375,$A532))</f>
        <v/>
      </c>
      <c r="E532" s="125">
        <f>IF($A532="","",SUMIFS(NKC!$H$7:$H$3006,NKC!$F$7:$F$3006,"331*",NKC!$I$7:$I$3006,$A532,NKC!$B$7:$B$3006,"&lt;="&amp;DEN_NGAY))</f>
        <v/>
      </c>
      <c r="F532" s="125">
        <f>IF($A532="","",SUMIFS(NKC!$H$7:$H$3006,NKC!$G$7:$G$3006,"331*",NKC!$I$7:$I$3006,$A532,NKC!$B$7:$B$3006,"&lt;="&amp;DEN_NGAY))</f>
        <v/>
      </c>
      <c r="G532" s="125">
        <f>IF($A532="","",MAX($C532-$D532+$E532-$F532,0))</f>
        <v/>
      </c>
      <c r="H532" s="125">
        <f>IF($A532="","",MAX(-($C532-$D532+$E532-$F532),0))</f>
        <v/>
      </c>
    </row>
    <row r="533" ht="15" customHeight="1" s="78">
      <c r="A533" s="96">
        <f>IF(DM_DT!$A227="","",DM_DT!$A227&amp;"")</f>
        <v/>
      </c>
      <c r="B533" s="97">
        <f>IF($A533="","",DM_DT!$B227)</f>
        <v/>
      </c>
      <c r="C533" s="125">
        <f>IF($A533="","",SUMIFS(SDDK!$D$256:$D$375,SDDK!$A$256:$A$375,"331",SDDK!$B$256:$B$375,$A533))</f>
        <v/>
      </c>
      <c r="D533" s="125">
        <f>IF($A533="","",SUMIFS(SDDK!$E$256:$E$375,SDDK!$A$256:$A$375,"331",SDDK!$B$256:$B$375,$A533))</f>
        <v/>
      </c>
      <c r="E533" s="125">
        <f>IF($A533="","",SUMIFS(NKC!$H$7:$H$3006,NKC!$F$7:$F$3006,"331*",NKC!$I$7:$I$3006,$A533,NKC!$B$7:$B$3006,"&lt;="&amp;DEN_NGAY))</f>
        <v/>
      </c>
      <c r="F533" s="125">
        <f>IF($A533="","",SUMIFS(NKC!$H$7:$H$3006,NKC!$G$7:$G$3006,"331*",NKC!$I$7:$I$3006,$A533,NKC!$B$7:$B$3006,"&lt;="&amp;DEN_NGAY))</f>
        <v/>
      </c>
      <c r="G533" s="125">
        <f>IF($A533="","",MAX($C533-$D533+$E533-$F533,0))</f>
        <v/>
      </c>
      <c r="H533" s="125">
        <f>IF($A533="","",MAX(-($C533-$D533+$E533-$F533),0))</f>
        <v/>
      </c>
    </row>
    <row r="534" ht="15" customHeight="1" s="78">
      <c r="A534" s="96">
        <f>IF(DM_DT!$A228="","",DM_DT!$A228&amp;"")</f>
        <v/>
      </c>
      <c r="B534" s="97">
        <f>IF($A534="","",DM_DT!$B228)</f>
        <v/>
      </c>
      <c r="C534" s="125">
        <f>IF($A534="","",SUMIFS(SDDK!$D$256:$D$375,SDDK!$A$256:$A$375,"331",SDDK!$B$256:$B$375,$A534))</f>
        <v/>
      </c>
      <c r="D534" s="125">
        <f>IF($A534="","",SUMIFS(SDDK!$E$256:$E$375,SDDK!$A$256:$A$375,"331",SDDK!$B$256:$B$375,$A534))</f>
        <v/>
      </c>
      <c r="E534" s="125">
        <f>IF($A534="","",SUMIFS(NKC!$H$7:$H$3006,NKC!$F$7:$F$3006,"331*",NKC!$I$7:$I$3006,$A534,NKC!$B$7:$B$3006,"&lt;="&amp;DEN_NGAY))</f>
        <v/>
      </c>
      <c r="F534" s="125">
        <f>IF($A534="","",SUMIFS(NKC!$H$7:$H$3006,NKC!$G$7:$G$3006,"331*",NKC!$I$7:$I$3006,$A534,NKC!$B$7:$B$3006,"&lt;="&amp;DEN_NGAY))</f>
        <v/>
      </c>
      <c r="G534" s="125">
        <f>IF($A534="","",MAX($C534-$D534+$E534-$F534,0))</f>
        <v/>
      </c>
      <c r="H534" s="125">
        <f>IF($A534="","",MAX(-($C534-$D534+$E534-$F534),0))</f>
        <v/>
      </c>
    </row>
    <row r="535" ht="15" customHeight="1" s="78">
      <c r="A535" s="96">
        <f>IF(DM_DT!$A229="","",DM_DT!$A229&amp;"")</f>
        <v/>
      </c>
      <c r="B535" s="97">
        <f>IF($A535="","",DM_DT!$B229)</f>
        <v/>
      </c>
      <c r="C535" s="125">
        <f>IF($A535="","",SUMIFS(SDDK!$D$256:$D$375,SDDK!$A$256:$A$375,"331",SDDK!$B$256:$B$375,$A535))</f>
        <v/>
      </c>
      <c r="D535" s="125">
        <f>IF($A535="","",SUMIFS(SDDK!$E$256:$E$375,SDDK!$A$256:$A$375,"331",SDDK!$B$256:$B$375,$A535))</f>
        <v/>
      </c>
      <c r="E535" s="125">
        <f>IF($A535="","",SUMIFS(NKC!$H$7:$H$3006,NKC!$F$7:$F$3006,"331*",NKC!$I$7:$I$3006,$A535,NKC!$B$7:$B$3006,"&lt;="&amp;DEN_NGAY))</f>
        <v/>
      </c>
      <c r="F535" s="125">
        <f>IF($A535="","",SUMIFS(NKC!$H$7:$H$3006,NKC!$G$7:$G$3006,"331*",NKC!$I$7:$I$3006,$A535,NKC!$B$7:$B$3006,"&lt;="&amp;DEN_NGAY))</f>
        <v/>
      </c>
      <c r="G535" s="125">
        <f>IF($A535="","",MAX($C535-$D535+$E535-$F535,0))</f>
        <v/>
      </c>
      <c r="H535" s="125">
        <f>IF($A535="","",MAX(-($C535-$D535+$E535-$F535),0))</f>
        <v/>
      </c>
    </row>
    <row r="536" ht="15" customHeight="1" s="78">
      <c r="A536" s="96">
        <f>IF(DM_DT!$A230="","",DM_DT!$A230&amp;"")</f>
        <v/>
      </c>
      <c r="B536" s="97">
        <f>IF($A536="","",DM_DT!$B230)</f>
        <v/>
      </c>
      <c r="C536" s="125">
        <f>IF($A536="","",SUMIFS(SDDK!$D$256:$D$375,SDDK!$A$256:$A$375,"331",SDDK!$B$256:$B$375,$A536))</f>
        <v/>
      </c>
      <c r="D536" s="125">
        <f>IF($A536="","",SUMIFS(SDDK!$E$256:$E$375,SDDK!$A$256:$A$375,"331",SDDK!$B$256:$B$375,$A536))</f>
        <v/>
      </c>
      <c r="E536" s="125">
        <f>IF($A536="","",SUMIFS(NKC!$H$7:$H$3006,NKC!$F$7:$F$3006,"331*",NKC!$I$7:$I$3006,$A536,NKC!$B$7:$B$3006,"&lt;="&amp;DEN_NGAY))</f>
        <v/>
      </c>
      <c r="F536" s="125">
        <f>IF($A536="","",SUMIFS(NKC!$H$7:$H$3006,NKC!$G$7:$G$3006,"331*",NKC!$I$7:$I$3006,$A536,NKC!$B$7:$B$3006,"&lt;="&amp;DEN_NGAY))</f>
        <v/>
      </c>
      <c r="G536" s="125">
        <f>IF($A536="","",MAX($C536-$D536+$E536-$F536,0))</f>
        <v/>
      </c>
      <c r="H536" s="125">
        <f>IF($A536="","",MAX(-($C536-$D536+$E536-$F536),0))</f>
        <v/>
      </c>
    </row>
    <row r="537" ht="15" customHeight="1" s="78">
      <c r="A537" s="96">
        <f>IF(DM_DT!$A231="","",DM_DT!$A231&amp;"")</f>
        <v/>
      </c>
      <c r="B537" s="97">
        <f>IF($A537="","",DM_DT!$B231)</f>
        <v/>
      </c>
      <c r="C537" s="125">
        <f>IF($A537="","",SUMIFS(SDDK!$D$256:$D$375,SDDK!$A$256:$A$375,"331",SDDK!$B$256:$B$375,$A537))</f>
        <v/>
      </c>
      <c r="D537" s="125">
        <f>IF($A537="","",SUMIFS(SDDK!$E$256:$E$375,SDDK!$A$256:$A$375,"331",SDDK!$B$256:$B$375,$A537))</f>
        <v/>
      </c>
      <c r="E537" s="125">
        <f>IF($A537="","",SUMIFS(NKC!$H$7:$H$3006,NKC!$F$7:$F$3006,"331*",NKC!$I$7:$I$3006,$A537,NKC!$B$7:$B$3006,"&lt;="&amp;DEN_NGAY))</f>
        <v/>
      </c>
      <c r="F537" s="125">
        <f>IF($A537="","",SUMIFS(NKC!$H$7:$H$3006,NKC!$G$7:$G$3006,"331*",NKC!$I$7:$I$3006,$A537,NKC!$B$7:$B$3006,"&lt;="&amp;DEN_NGAY))</f>
        <v/>
      </c>
      <c r="G537" s="125">
        <f>IF($A537="","",MAX($C537-$D537+$E537-$F537,0))</f>
        <v/>
      </c>
      <c r="H537" s="125">
        <f>IF($A537="","",MAX(-($C537-$D537+$E537-$F537),0))</f>
        <v/>
      </c>
    </row>
    <row r="538" ht="15" customHeight="1" s="78">
      <c r="A538" s="96">
        <f>IF(DM_DT!$A232="","",DM_DT!$A232&amp;"")</f>
        <v/>
      </c>
      <c r="B538" s="97">
        <f>IF($A538="","",DM_DT!$B232)</f>
        <v/>
      </c>
      <c r="C538" s="125">
        <f>IF($A538="","",SUMIFS(SDDK!$D$256:$D$375,SDDK!$A$256:$A$375,"331",SDDK!$B$256:$B$375,$A538))</f>
        <v/>
      </c>
      <c r="D538" s="125">
        <f>IF($A538="","",SUMIFS(SDDK!$E$256:$E$375,SDDK!$A$256:$A$375,"331",SDDK!$B$256:$B$375,$A538))</f>
        <v/>
      </c>
      <c r="E538" s="125">
        <f>IF($A538="","",SUMIFS(NKC!$H$7:$H$3006,NKC!$F$7:$F$3006,"331*",NKC!$I$7:$I$3006,$A538,NKC!$B$7:$B$3006,"&lt;="&amp;DEN_NGAY))</f>
        <v/>
      </c>
      <c r="F538" s="125">
        <f>IF($A538="","",SUMIFS(NKC!$H$7:$H$3006,NKC!$G$7:$G$3006,"331*",NKC!$I$7:$I$3006,$A538,NKC!$B$7:$B$3006,"&lt;="&amp;DEN_NGAY))</f>
        <v/>
      </c>
      <c r="G538" s="125">
        <f>IF($A538="","",MAX($C538-$D538+$E538-$F538,0))</f>
        <v/>
      </c>
      <c r="H538" s="125">
        <f>IF($A538="","",MAX(-($C538-$D538+$E538-$F538),0))</f>
        <v/>
      </c>
    </row>
    <row r="539" ht="15" customHeight="1" s="78">
      <c r="A539" s="96">
        <f>IF(DM_DT!$A233="","",DM_DT!$A233&amp;"")</f>
        <v/>
      </c>
      <c r="B539" s="97">
        <f>IF($A539="","",DM_DT!$B233)</f>
        <v/>
      </c>
      <c r="C539" s="125">
        <f>IF($A539="","",SUMIFS(SDDK!$D$256:$D$375,SDDK!$A$256:$A$375,"331",SDDK!$B$256:$B$375,$A539))</f>
        <v/>
      </c>
      <c r="D539" s="125">
        <f>IF($A539="","",SUMIFS(SDDK!$E$256:$E$375,SDDK!$A$256:$A$375,"331",SDDK!$B$256:$B$375,$A539))</f>
        <v/>
      </c>
      <c r="E539" s="125">
        <f>IF($A539="","",SUMIFS(NKC!$H$7:$H$3006,NKC!$F$7:$F$3006,"331*",NKC!$I$7:$I$3006,$A539,NKC!$B$7:$B$3006,"&lt;="&amp;DEN_NGAY))</f>
        <v/>
      </c>
      <c r="F539" s="125">
        <f>IF($A539="","",SUMIFS(NKC!$H$7:$H$3006,NKC!$G$7:$G$3006,"331*",NKC!$I$7:$I$3006,$A539,NKC!$B$7:$B$3006,"&lt;="&amp;DEN_NGAY))</f>
        <v/>
      </c>
      <c r="G539" s="125">
        <f>IF($A539="","",MAX($C539-$D539+$E539-$F539,0))</f>
        <v/>
      </c>
      <c r="H539" s="125">
        <f>IF($A539="","",MAX(-($C539-$D539+$E539-$F539),0))</f>
        <v/>
      </c>
    </row>
    <row r="540" ht="15" customHeight="1" s="78">
      <c r="A540" s="96">
        <f>IF(DM_DT!$A234="","",DM_DT!$A234&amp;"")</f>
        <v/>
      </c>
      <c r="B540" s="97">
        <f>IF($A540="","",DM_DT!$B234)</f>
        <v/>
      </c>
      <c r="C540" s="125">
        <f>IF($A540="","",SUMIFS(SDDK!$D$256:$D$375,SDDK!$A$256:$A$375,"331",SDDK!$B$256:$B$375,$A540))</f>
        <v/>
      </c>
      <c r="D540" s="125">
        <f>IF($A540="","",SUMIFS(SDDK!$E$256:$E$375,SDDK!$A$256:$A$375,"331",SDDK!$B$256:$B$375,$A540))</f>
        <v/>
      </c>
      <c r="E540" s="125">
        <f>IF($A540="","",SUMIFS(NKC!$H$7:$H$3006,NKC!$F$7:$F$3006,"331*",NKC!$I$7:$I$3006,$A540,NKC!$B$7:$B$3006,"&lt;="&amp;DEN_NGAY))</f>
        <v/>
      </c>
      <c r="F540" s="125">
        <f>IF($A540="","",SUMIFS(NKC!$H$7:$H$3006,NKC!$G$7:$G$3006,"331*",NKC!$I$7:$I$3006,$A540,NKC!$B$7:$B$3006,"&lt;="&amp;DEN_NGAY))</f>
        <v/>
      </c>
      <c r="G540" s="125">
        <f>IF($A540="","",MAX($C540-$D540+$E540-$F540,0))</f>
        <v/>
      </c>
      <c r="H540" s="125">
        <f>IF($A540="","",MAX(-($C540-$D540+$E540-$F540),0))</f>
        <v/>
      </c>
    </row>
    <row r="541" ht="15" customHeight="1" s="78">
      <c r="A541" s="96">
        <f>IF(DM_DT!$A235="","",DM_DT!$A235&amp;"")</f>
        <v/>
      </c>
      <c r="B541" s="97">
        <f>IF($A541="","",DM_DT!$B235)</f>
        <v/>
      </c>
      <c r="C541" s="125">
        <f>IF($A541="","",SUMIFS(SDDK!$D$256:$D$375,SDDK!$A$256:$A$375,"331",SDDK!$B$256:$B$375,$A541))</f>
        <v/>
      </c>
      <c r="D541" s="125">
        <f>IF($A541="","",SUMIFS(SDDK!$E$256:$E$375,SDDK!$A$256:$A$375,"331",SDDK!$B$256:$B$375,$A541))</f>
        <v/>
      </c>
      <c r="E541" s="125">
        <f>IF($A541="","",SUMIFS(NKC!$H$7:$H$3006,NKC!$F$7:$F$3006,"331*",NKC!$I$7:$I$3006,$A541,NKC!$B$7:$B$3006,"&lt;="&amp;DEN_NGAY))</f>
        <v/>
      </c>
      <c r="F541" s="125">
        <f>IF($A541="","",SUMIFS(NKC!$H$7:$H$3006,NKC!$G$7:$G$3006,"331*",NKC!$I$7:$I$3006,$A541,NKC!$B$7:$B$3006,"&lt;="&amp;DEN_NGAY))</f>
        <v/>
      </c>
      <c r="G541" s="125">
        <f>IF($A541="","",MAX($C541-$D541+$E541-$F541,0))</f>
        <v/>
      </c>
      <c r="H541" s="125">
        <f>IF($A541="","",MAX(-($C541-$D541+$E541-$F541),0))</f>
        <v/>
      </c>
    </row>
    <row r="542" ht="15" customHeight="1" s="78">
      <c r="A542" s="96">
        <f>IF(DM_DT!$A236="","",DM_DT!$A236&amp;"")</f>
        <v/>
      </c>
      <c r="B542" s="97">
        <f>IF($A542="","",DM_DT!$B236)</f>
        <v/>
      </c>
      <c r="C542" s="125">
        <f>IF($A542="","",SUMIFS(SDDK!$D$256:$D$375,SDDK!$A$256:$A$375,"331",SDDK!$B$256:$B$375,$A542))</f>
        <v/>
      </c>
      <c r="D542" s="125">
        <f>IF($A542="","",SUMIFS(SDDK!$E$256:$E$375,SDDK!$A$256:$A$375,"331",SDDK!$B$256:$B$375,$A542))</f>
        <v/>
      </c>
      <c r="E542" s="125">
        <f>IF($A542="","",SUMIFS(NKC!$H$7:$H$3006,NKC!$F$7:$F$3006,"331*",NKC!$I$7:$I$3006,$A542,NKC!$B$7:$B$3006,"&lt;="&amp;DEN_NGAY))</f>
        <v/>
      </c>
      <c r="F542" s="125">
        <f>IF($A542="","",SUMIFS(NKC!$H$7:$H$3006,NKC!$G$7:$G$3006,"331*",NKC!$I$7:$I$3006,$A542,NKC!$B$7:$B$3006,"&lt;="&amp;DEN_NGAY))</f>
        <v/>
      </c>
      <c r="G542" s="125">
        <f>IF($A542="","",MAX($C542-$D542+$E542-$F542,0))</f>
        <v/>
      </c>
      <c r="H542" s="125">
        <f>IF($A542="","",MAX(-($C542-$D542+$E542-$F542),0))</f>
        <v/>
      </c>
    </row>
    <row r="543" ht="15" customHeight="1" s="78">
      <c r="A543" s="96">
        <f>IF(DM_DT!$A237="","",DM_DT!$A237&amp;"")</f>
        <v/>
      </c>
      <c r="B543" s="97">
        <f>IF($A543="","",DM_DT!$B237)</f>
        <v/>
      </c>
      <c r="C543" s="125">
        <f>IF($A543="","",SUMIFS(SDDK!$D$256:$D$375,SDDK!$A$256:$A$375,"331",SDDK!$B$256:$B$375,$A543))</f>
        <v/>
      </c>
      <c r="D543" s="125">
        <f>IF($A543="","",SUMIFS(SDDK!$E$256:$E$375,SDDK!$A$256:$A$375,"331",SDDK!$B$256:$B$375,$A543))</f>
        <v/>
      </c>
      <c r="E543" s="125">
        <f>IF($A543="","",SUMIFS(NKC!$H$7:$H$3006,NKC!$F$7:$F$3006,"331*",NKC!$I$7:$I$3006,$A543,NKC!$B$7:$B$3006,"&lt;="&amp;DEN_NGAY))</f>
        <v/>
      </c>
      <c r="F543" s="125">
        <f>IF($A543="","",SUMIFS(NKC!$H$7:$H$3006,NKC!$G$7:$G$3006,"331*",NKC!$I$7:$I$3006,$A543,NKC!$B$7:$B$3006,"&lt;="&amp;DEN_NGAY))</f>
        <v/>
      </c>
      <c r="G543" s="125">
        <f>IF($A543="","",MAX($C543-$D543+$E543-$F543,0))</f>
        <v/>
      </c>
      <c r="H543" s="125">
        <f>IF($A543="","",MAX(-($C543-$D543+$E543-$F543),0))</f>
        <v/>
      </c>
    </row>
    <row r="544" ht="15" customHeight="1" s="78">
      <c r="A544" s="96">
        <f>IF(DM_DT!$A238="","",DM_DT!$A238&amp;"")</f>
        <v/>
      </c>
      <c r="B544" s="97">
        <f>IF($A544="","",DM_DT!$B238)</f>
        <v/>
      </c>
      <c r="C544" s="125">
        <f>IF($A544="","",SUMIFS(SDDK!$D$256:$D$375,SDDK!$A$256:$A$375,"331",SDDK!$B$256:$B$375,$A544))</f>
        <v/>
      </c>
      <c r="D544" s="125">
        <f>IF($A544="","",SUMIFS(SDDK!$E$256:$E$375,SDDK!$A$256:$A$375,"331",SDDK!$B$256:$B$375,$A544))</f>
        <v/>
      </c>
      <c r="E544" s="125">
        <f>IF($A544="","",SUMIFS(NKC!$H$7:$H$3006,NKC!$F$7:$F$3006,"331*",NKC!$I$7:$I$3006,$A544,NKC!$B$7:$B$3006,"&lt;="&amp;DEN_NGAY))</f>
        <v/>
      </c>
      <c r="F544" s="125">
        <f>IF($A544="","",SUMIFS(NKC!$H$7:$H$3006,NKC!$G$7:$G$3006,"331*",NKC!$I$7:$I$3006,$A544,NKC!$B$7:$B$3006,"&lt;="&amp;DEN_NGAY))</f>
        <v/>
      </c>
      <c r="G544" s="125">
        <f>IF($A544="","",MAX($C544-$D544+$E544-$F544,0))</f>
        <v/>
      </c>
      <c r="H544" s="125">
        <f>IF($A544="","",MAX(-($C544-$D544+$E544-$F544),0))</f>
        <v/>
      </c>
    </row>
    <row r="545" ht="15" customHeight="1" s="78">
      <c r="A545" s="96">
        <f>IF(DM_DT!$A239="","",DM_DT!$A239&amp;"")</f>
        <v/>
      </c>
      <c r="B545" s="97">
        <f>IF($A545="","",DM_DT!$B239)</f>
        <v/>
      </c>
      <c r="C545" s="125">
        <f>IF($A545="","",SUMIFS(SDDK!$D$256:$D$375,SDDK!$A$256:$A$375,"331",SDDK!$B$256:$B$375,$A545))</f>
        <v/>
      </c>
      <c r="D545" s="125">
        <f>IF($A545="","",SUMIFS(SDDK!$E$256:$E$375,SDDK!$A$256:$A$375,"331",SDDK!$B$256:$B$375,$A545))</f>
        <v/>
      </c>
      <c r="E545" s="125">
        <f>IF($A545="","",SUMIFS(NKC!$H$7:$H$3006,NKC!$F$7:$F$3006,"331*",NKC!$I$7:$I$3006,$A545,NKC!$B$7:$B$3006,"&lt;="&amp;DEN_NGAY))</f>
        <v/>
      </c>
      <c r="F545" s="125">
        <f>IF($A545="","",SUMIFS(NKC!$H$7:$H$3006,NKC!$G$7:$G$3006,"331*",NKC!$I$7:$I$3006,$A545,NKC!$B$7:$B$3006,"&lt;="&amp;DEN_NGAY))</f>
        <v/>
      </c>
      <c r="G545" s="125">
        <f>IF($A545="","",MAX($C545-$D545+$E545-$F545,0))</f>
        <v/>
      </c>
      <c r="H545" s="125">
        <f>IF($A545="","",MAX(-($C545-$D545+$E545-$F545),0))</f>
        <v/>
      </c>
    </row>
    <row r="546" ht="15" customHeight="1" s="78">
      <c r="A546" s="96">
        <f>IF(DM_DT!$A240="","",DM_DT!$A240&amp;"")</f>
        <v/>
      </c>
      <c r="B546" s="97">
        <f>IF($A546="","",DM_DT!$B240)</f>
        <v/>
      </c>
      <c r="C546" s="125">
        <f>IF($A546="","",SUMIFS(SDDK!$D$256:$D$375,SDDK!$A$256:$A$375,"331",SDDK!$B$256:$B$375,$A546))</f>
        <v/>
      </c>
      <c r="D546" s="125">
        <f>IF($A546="","",SUMIFS(SDDK!$E$256:$E$375,SDDK!$A$256:$A$375,"331",SDDK!$B$256:$B$375,$A546))</f>
        <v/>
      </c>
      <c r="E546" s="125">
        <f>IF($A546="","",SUMIFS(NKC!$H$7:$H$3006,NKC!$F$7:$F$3006,"331*",NKC!$I$7:$I$3006,$A546,NKC!$B$7:$B$3006,"&lt;="&amp;DEN_NGAY))</f>
        <v/>
      </c>
      <c r="F546" s="125">
        <f>IF($A546="","",SUMIFS(NKC!$H$7:$H$3006,NKC!$G$7:$G$3006,"331*",NKC!$I$7:$I$3006,$A546,NKC!$B$7:$B$3006,"&lt;="&amp;DEN_NGAY))</f>
        <v/>
      </c>
      <c r="G546" s="125">
        <f>IF($A546="","",MAX($C546-$D546+$E546-$F546,0))</f>
        <v/>
      </c>
      <c r="H546" s="125">
        <f>IF($A546="","",MAX(-($C546-$D546+$E546-$F546),0))</f>
        <v/>
      </c>
    </row>
    <row r="547" ht="15" customHeight="1" s="78">
      <c r="A547" s="96">
        <f>IF(DM_DT!$A241="","",DM_DT!$A241&amp;"")</f>
        <v/>
      </c>
      <c r="B547" s="97">
        <f>IF($A547="","",DM_DT!$B241)</f>
        <v/>
      </c>
      <c r="C547" s="125">
        <f>IF($A547="","",SUMIFS(SDDK!$D$256:$D$375,SDDK!$A$256:$A$375,"331",SDDK!$B$256:$B$375,$A547))</f>
        <v/>
      </c>
      <c r="D547" s="125">
        <f>IF($A547="","",SUMIFS(SDDK!$E$256:$E$375,SDDK!$A$256:$A$375,"331",SDDK!$B$256:$B$375,$A547))</f>
        <v/>
      </c>
      <c r="E547" s="125">
        <f>IF($A547="","",SUMIFS(NKC!$H$7:$H$3006,NKC!$F$7:$F$3006,"331*",NKC!$I$7:$I$3006,$A547,NKC!$B$7:$B$3006,"&lt;="&amp;DEN_NGAY))</f>
        <v/>
      </c>
      <c r="F547" s="125">
        <f>IF($A547="","",SUMIFS(NKC!$H$7:$H$3006,NKC!$G$7:$G$3006,"331*",NKC!$I$7:$I$3006,$A547,NKC!$B$7:$B$3006,"&lt;="&amp;DEN_NGAY))</f>
        <v/>
      </c>
      <c r="G547" s="125">
        <f>IF($A547="","",MAX($C547-$D547+$E547-$F547,0))</f>
        <v/>
      </c>
      <c r="H547" s="125">
        <f>IF($A547="","",MAX(-($C547-$D547+$E547-$F547),0))</f>
        <v/>
      </c>
    </row>
    <row r="548" ht="15" customHeight="1" s="78">
      <c r="A548" s="96">
        <f>IF(DM_DT!$A242="","",DM_DT!$A242&amp;"")</f>
        <v/>
      </c>
      <c r="B548" s="97">
        <f>IF($A548="","",DM_DT!$B242)</f>
        <v/>
      </c>
      <c r="C548" s="125">
        <f>IF($A548="","",SUMIFS(SDDK!$D$256:$D$375,SDDK!$A$256:$A$375,"331",SDDK!$B$256:$B$375,$A548))</f>
        <v/>
      </c>
      <c r="D548" s="125">
        <f>IF($A548="","",SUMIFS(SDDK!$E$256:$E$375,SDDK!$A$256:$A$375,"331",SDDK!$B$256:$B$375,$A548))</f>
        <v/>
      </c>
      <c r="E548" s="125">
        <f>IF($A548="","",SUMIFS(NKC!$H$7:$H$3006,NKC!$F$7:$F$3006,"331*",NKC!$I$7:$I$3006,$A548,NKC!$B$7:$B$3006,"&lt;="&amp;DEN_NGAY))</f>
        <v/>
      </c>
      <c r="F548" s="125">
        <f>IF($A548="","",SUMIFS(NKC!$H$7:$H$3006,NKC!$G$7:$G$3006,"331*",NKC!$I$7:$I$3006,$A548,NKC!$B$7:$B$3006,"&lt;="&amp;DEN_NGAY))</f>
        <v/>
      </c>
      <c r="G548" s="125">
        <f>IF($A548="","",MAX($C548-$D548+$E548-$F548,0))</f>
        <v/>
      </c>
      <c r="H548" s="125">
        <f>IF($A548="","",MAX(-($C548-$D548+$E548-$F548),0))</f>
        <v/>
      </c>
    </row>
    <row r="549" ht="15" customHeight="1" s="78">
      <c r="A549" s="96">
        <f>IF(DM_DT!$A243="","",DM_DT!$A243&amp;"")</f>
        <v/>
      </c>
      <c r="B549" s="97">
        <f>IF($A549="","",DM_DT!$B243)</f>
        <v/>
      </c>
      <c r="C549" s="125">
        <f>IF($A549="","",SUMIFS(SDDK!$D$256:$D$375,SDDK!$A$256:$A$375,"331",SDDK!$B$256:$B$375,$A549))</f>
        <v/>
      </c>
      <c r="D549" s="125">
        <f>IF($A549="","",SUMIFS(SDDK!$E$256:$E$375,SDDK!$A$256:$A$375,"331",SDDK!$B$256:$B$375,$A549))</f>
        <v/>
      </c>
      <c r="E549" s="125">
        <f>IF($A549="","",SUMIFS(NKC!$H$7:$H$3006,NKC!$F$7:$F$3006,"331*",NKC!$I$7:$I$3006,$A549,NKC!$B$7:$B$3006,"&lt;="&amp;DEN_NGAY))</f>
        <v/>
      </c>
      <c r="F549" s="125">
        <f>IF($A549="","",SUMIFS(NKC!$H$7:$H$3006,NKC!$G$7:$G$3006,"331*",NKC!$I$7:$I$3006,$A549,NKC!$B$7:$B$3006,"&lt;="&amp;DEN_NGAY))</f>
        <v/>
      </c>
      <c r="G549" s="125">
        <f>IF($A549="","",MAX($C549-$D549+$E549-$F549,0))</f>
        <v/>
      </c>
      <c r="H549" s="125">
        <f>IF($A549="","",MAX(-($C549-$D549+$E549-$F549),0))</f>
        <v/>
      </c>
    </row>
    <row r="550" ht="15" customHeight="1" s="78">
      <c r="A550" s="96">
        <f>IF(DM_DT!$A244="","",DM_DT!$A244&amp;"")</f>
        <v/>
      </c>
      <c r="B550" s="97">
        <f>IF($A550="","",DM_DT!$B244)</f>
        <v/>
      </c>
      <c r="C550" s="125">
        <f>IF($A550="","",SUMIFS(SDDK!$D$256:$D$375,SDDK!$A$256:$A$375,"331",SDDK!$B$256:$B$375,$A550))</f>
        <v/>
      </c>
      <c r="D550" s="125">
        <f>IF($A550="","",SUMIFS(SDDK!$E$256:$E$375,SDDK!$A$256:$A$375,"331",SDDK!$B$256:$B$375,$A550))</f>
        <v/>
      </c>
      <c r="E550" s="125">
        <f>IF($A550="","",SUMIFS(NKC!$H$7:$H$3006,NKC!$F$7:$F$3006,"331*",NKC!$I$7:$I$3006,$A550,NKC!$B$7:$B$3006,"&lt;="&amp;DEN_NGAY))</f>
        <v/>
      </c>
      <c r="F550" s="125">
        <f>IF($A550="","",SUMIFS(NKC!$H$7:$H$3006,NKC!$G$7:$G$3006,"331*",NKC!$I$7:$I$3006,$A550,NKC!$B$7:$B$3006,"&lt;="&amp;DEN_NGAY))</f>
        <v/>
      </c>
      <c r="G550" s="125">
        <f>IF($A550="","",MAX($C550-$D550+$E550-$F550,0))</f>
        <v/>
      </c>
      <c r="H550" s="125">
        <f>IF($A550="","",MAX(-($C550-$D550+$E550-$F550),0))</f>
        <v/>
      </c>
    </row>
    <row r="551" ht="15" customHeight="1" s="78">
      <c r="A551" s="96">
        <f>IF(DM_DT!$A245="","",DM_DT!$A245&amp;"")</f>
        <v/>
      </c>
      <c r="B551" s="97">
        <f>IF($A551="","",DM_DT!$B245)</f>
        <v/>
      </c>
      <c r="C551" s="125">
        <f>IF($A551="","",SUMIFS(SDDK!$D$256:$D$375,SDDK!$A$256:$A$375,"331",SDDK!$B$256:$B$375,$A551))</f>
        <v/>
      </c>
      <c r="D551" s="125">
        <f>IF($A551="","",SUMIFS(SDDK!$E$256:$E$375,SDDK!$A$256:$A$375,"331",SDDK!$B$256:$B$375,$A551))</f>
        <v/>
      </c>
      <c r="E551" s="125">
        <f>IF($A551="","",SUMIFS(NKC!$H$7:$H$3006,NKC!$F$7:$F$3006,"331*",NKC!$I$7:$I$3006,$A551,NKC!$B$7:$B$3006,"&lt;="&amp;DEN_NGAY))</f>
        <v/>
      </c>
      <c r="F551" s="125">
        <f>IF($A551="","",SUMIFS(NKC!$H$7:$H$3006,NKC!$G$7:$G$3006,"331*",NKC!$I$7:$I$3006,$A551,NKC!$B$7:$B$3006,"&lt;="&amp;DEN_NGAY))</f>
        <v/>
      </c>
      <c r="G551" s="125">
        <f>IF($A551="","",MAX($C551-$D551+$E551-$F551,0))</f>
        <v/>
      </c>
      <c r="H551" s="125">
        <f>IF($A551="","",MAX(-($C551-$D551+$E551-$F551),0))</f>
        <v/>
      </c>
    </row>
    <row r="552" ht="15" customHeight="1" s="78">
      <c r="A552" s="96">
        <f>IF(DM_DT!$A246="","",DM_DT!$A246&amp;"")</f>
        <v/>
      </c>
      <c r="B552" s="97">
        <f>IF($A552="","",DM_DT!$B246)</f>
        <v/>
      </c>
      <c r="C552" s="125">
        <f>IF($A552="","",SUMIFS(SDDK!$D$256:$D$375,SDDK!$A$256:$A$375,"331",SDDK!$B$256:$B$375,$A552))</f>
        <v/>
      </c>
      <c r="D552" s="125">
        <f>IF($A552="","",SUMIFS(SDDK!$E$256:$E$375,SDDK!$A$256:$A$375,"331",SDDK!$B$256:$B$375,$A552))</f>
        <v/>
      </c>
      <c r="E552" s="125">
        <f>IF($A552="","",SUMIFS(NKC!$H$7:$H$3006,NKC!$F$7:$F$3006,"331*",NKC!$I$7:$I$3006,$A552,NKC!$B$7:$B$3006,"&lt;="&amp;DEN_NGAY))</f>
        <v/>
      </c>
      <c r="F552" s="125">
        <f>IF($A552="","",SUMIFS(NKC!$H$7:$H$3006,NKC!$G$7:$G$3006,"331*",NKC!$I$7:$I$3006,$A552,NKC!$B$7:$B$3006,"&lt;="&amp;DEN_NGAY))</f>
        <v/>
      </c>
      <c r="G552" s="125">
        <f>IF($A552="","",MAX($C552-$D552+$E552-$F552,0))</f>
        <v/>
      </c>
      <c r="H552" s="125">
        <f>IF($A552="","",MAX(-($C552-$D552+$E552-$F552),0))</f>
        <v/>
      </c>
    </row>
    <row r="553" ht="15" customHeight="1" s="78">
      <c r="A553" s="96">
        <f>IF(DM_DT!$A247="","",DM_DT!$A247&amp;"")</f>
        <v/>
      </c>
      <c r="B553" s="97">
        <f>IF($A553="","",DM_DT!$B247)</f>
        <v/>
      </c>
      <c r="C553" s="125">
        <f>IF($A553="","",SUMIFS(SDDK!$D$256:$D$375,SDDK!$A$256:$A$375,"331",SDDK!$B$256:$B$375,$A553))</f>
        <v/>
      </c>
      <c r="D553" s="125">
        <f>IF($A553="","",SUMIFS(SDDK!$E$256:$E$375,SDDK!$A$256:$A$375,"331",SDDK!$B$256:$B$375,$A553))</f>
        <v/>
      </c>
      <c r="E553" s="125">
        <f>IF($A553="","",SUMIFS(NKC!$H$7:$H$3006,NKC!$F$7:$F$3006,"331*",NKC!$I$7:$I$3006,$A553,NKC!$B$7:$B$3006,"&lt;="&amp;DEN_NGAY))</f>
        <v/>
      </c>
      <c r="F553" s="125">
        <f>IF($A553="","",SUMIFS(NKC!$H$7:$H$3006,NKC!$G$7:$G$3006,"331*",NKC!$I$7:$I$3006,$A553,NKC!$B$7:$B$3006,"&lt;="&amp;DEN_NGAY))</f>
        <v/>
      </c>
      <c r="G553" s="125">
        <f>IF($A553="","",MAX($C553-$D553+$E553-$F553,0))</f>
        <v/>
      </c>
      <c r="H553" s="125">
        <f>IF($A553="","",MAX(-($C553-$D553+$E553-$F553),0))</f>
        <v/>
      </c>
    </row>
    <row r="554" ht="15" customHeight="1" s="78">
      <c r="A554" s="96">
        <f>IF(DM_DT!$A248="","",DM_DT!$A248&amp;"")</f>
        <v/>
      </c>
      <c r="B554" s="97">
        <f>IF($A554="","",DM_DT!$B248)</f>
        <v/>
      </c>
      <c r="C554" s="125">
        <f>IF($A554="","",SUMIFS(SDDK!$D$256:$D$375,SDDK!$A$256:$A$375,"331",SDDK!$B$256:$B$375,$A554))</f>
        <v/>
      </c>
      <c r="D554" s="125">
        <f>IF($A554="","",SUMIFS(SDDK!$E$256:$E$375,SDDK!$A$256:$A$375,"331",SDDK!$B$256:$B$375,$A554))</f>
        <v/>
      </c>
      <c r="E554" s="125">
        <f>IF($A554="","",SUMIFS(NKC!$H$7:$H$3006,NKC!$F$7:$F$3006,"331*",NKC!$I$7:$I$3006,$A554,NKC!$B$7:$B$3006,"&lt;="&amp;DEN_NGAY))</f>
        <v/>
      </c>
      <c r="F554" s="125">
        <f>IF($A554="","",SUMIFS(NKC!$H$7:$H$3006,NKC!$G$7:$G$3006,"331*",NKC!$I$7:$I$3006,$A554,NKC!$B$7:$B$3006,"&lt;="&amp;DEN_NGAY))</f>
        <v/>
      </c>
      <c r="G554" s="125">
        <f>IF($A554="","",MAX($C554-$D554+$E554-$F554,0))</f>
        <v/>
      </c>
      <c r="H554" s="125">
        <f>IF($A554="","",MAX(-($C554-$D554+$E554-$F554),0))</f>
        <v/>
      </c>
    </row>
    <row r="555" ht="15" customHeight="1" s="78">
      <c r="A555" s="96">
        <f>IF(DM_DT!$A249="","",DM_DT!$A249&amp;"")</f>
        <v/>
      </c>
      <c r="B555" s="97">
        <f>IF($A555="","",DM_DT!$B249)</f>
        <v/>
      </c>
      <c r="C555" s="125">
        <f>IF($A555="","",SUMIFS(SDDK!$D$256:$D$375,SDDK!$A$256:$A$375,"331",SDDK!$B$256:$B$375,$A555))</f>
        <v/>
      </c>
      <c r="D555" s="125">
        <f>IF($A555="","",SUMIFS(SDDK!$E$256:$E$375,SDDK!$A$256:$A$375,"331",SDDK!$B$256:$B$375,$A555))</f>
        <v/>
      </c>
      <c r="E555" s="125">
        <f>IF($A555="","",SUMIFS(NKC!$H$7:$H$3006,NKC!$F$7:$F$3006,"331*",NKC!$I$7:$I$3006,$A555,NKC!$B$7:$B$3006,"&lt;="&amp;DEN_NGAY))</f>
        <v/>
      </c>
      <c r="F555" s="125">
        <f>IF($A555="","",SUMIFS(NKC!$H$7:$H$3006,NKC!$G$7:$G$3006,"331*",NKC!$I$7:$I$3006,$A555,NKC!$B$7:$B$3006,"&lt;="&amp;DEN_NGAY))</f>
        <v/>
      </c>
      <c r="G555" s="125">
        <f>IF($A555="","",MAX($C555-$D555+$E555-$F555,0))</f>
        <v/>
      </c>
      <c r="H555" s="125">
        <f>IF($A555="","",MAX(-($C555-$D555+$E555-$F555),0))</f>
        <v/>
      </c>
    </row>
    <row r="556" ht="15" customHeight="1" s="78">
      <c r="A556" s="96">
        <f>IF(DM_DT!$A250="","",DM_DT!$A250&amp;"")</f>
        <v/>
      </c>
      <c r="B556" s="97">
        <f>IF($A556="","",DM_DT!$B250)</f>
        <v/>
      </c>
      <c r="C556" s="125">
        <f>IF($A556="","",SUMIFS(SDDK!$D$256:$D$375,SDDK!$A$256:$A$375,"331",SDDK!$B$256:$B$375,$A556))</f>
        <v/>
      </c>
      <c r="D556" s="125">
        <f>IF($A556="","",SUMIFS(SDDK!$E$256:$E$375,SDDK!$A$256:$A$375,"331",SDDK!$B$256:$B$375,$A556))</f>
        <v/>
      </c>
      <c r="E556" s="125">
        <f>IF($A556="","",SUMIFS(NKC!$H$7:$H$3006,NKC!$F$7:$F$3006,"331*",NKC!$I$7:$I$3006,$A556,NKC!$B$7:$B$3006,"&lt;="&amp;DEN_NGAY))</f>
        <v/>
      </c>
      <c r="F556" s="125">
        <f>IF($A556="","",SUMIFS(NKC!$H$7:$H$3006,NKC!$G$7:$G$3006,"331*",NKC!$I$7:$I$3006,$A556,NKC!$B$7:$B$3006,"&lt;="&amp;DEN_NGAY))</f>
        <v/>
      </c>
      <c r="G556" s="125">
        <f>IF($A556="","",MAX($C556-$D556+$E556-$F556,0))</f>
        <v/>
      </c>
      <c r="H556" s="125">
        <f>IF($A556="","",MAX(-($C556-$D556+$E556-$F556),0))</f>
        <v/>
      </c>
    </row>
    <row r="557" ht="15" customHeight="1" s="78">
      <c r="A557" s="96">
        <f>IF(DM_DT!$A251="","",DM_DT!$A251&amp;"")</f>
        <v/>
      </c>
      <c r="B557" s="97">
        <f>IF($A557="","",DM_DT!$B251)</f>
        <v/>
      </c>
      <c r="C557" s="125">
        <f>IF($A557="","",SUMIFS(SDDK!$D$256:$D$375,SDDK!$A$256:$A$375,"331",SDDK!$B$256:$B$375,$A557))</f>
        <v/>
      </c>
      <c r="D557" s="125">
        <f>IF($A557="","",SUMIFS(SDDK!$E$256:$E$375,SDDK!$A$256:$A$375,"331",SDDK!$B$256:$B$375,$A557))</f>
        <v/>
      </c>
      <c r="E557" s="125">
        <f>IF($A557="","",SUMIFS(NKC!$H$7:$H$3006,NKC!$F$7:$F$3006,"331*",NKC!$I$7:$I$3006,$A557,NKC!$B$7:$B$3006,"&lt;="&amp;DEN_NGAY))</f>
        <v/>
      </c>
      <c r="F557" s="125">
        <f>IF($A557="","",SUMIFS(NKC!$H$7:$H$3006,NKC!$G$7:$G$3006,"331*",NKC!$I$7:$I$3006,$A557,NKC!$B$7:$B$3006,"&lt;="&amp;DEN_NGAY))</f>
        <v/>
      </c>
      <c r="G557" s="125">
        <f>IF($A557="","",MAX($C557-$D557+$E557-$F557,0))</f>
        <v/>
      </c>
      <c r="H557" s="125">
        <f>IF($A557="","",MAX(-($C557-$D557+$E557-$F557),0))</f>
        <v/>
      </c>
    </row>
    <row r="558" ht="15" customHeight="1" s="78">
      <c r="A558" s="96">
        <f>IF(DM_DT!$A252="","",DM_DT!$A252&amp;"")</f>
        <v/>
      </c>
      <c r="B558" s="97">
        <f>IF($A558="","",DM_DT!$B252)</f>
        <v/>
      </c>
      <c r="C558" s="125">
        <f>IF($A558="","",SUMIFS(SDDK!$D$256:$D$375,SDDK!$A$256:$A$375,"331",SDDK!$B$256:$B$375,$A558))</f>
        <v/>
      </c>
      <c r="D558" s="125">
        <f>IF($A558="","",SUMIFS(SDDK!$E$256:$E$375,SDDK!$A$256:$A$375,"331",SDDK!$B$256:$B$375,$A558))</f>
        <v/>
      </c>
      <c r="E558" s="125">
        <f>IF($A558="","",SUMIFS(NKC!$H$7:$H$3006,NKC!$F$7:$F$3006,"331*",NKC!$I$7:$I$3006,$A558,NKC!$B$7:$B$3006,"&lt;="&amp;DEN_NGAY))</f>
        <v/>
      </c>
      <c r="F558" s="125">
        <f>IF($A558="","",SUMIFS(NKC!$H$7:$H$3006,NKC!$G$7:$G$3006,"331*",NKC!$I$7:$I$3006,$A558,NKC!$B$7:$B$3006,"&lt;="&amp;DEN_NGAY))</f>
        <v/>
      </c>
      <c r="G558" s="125">
        <f>IF($A558="","",MAX($C558-$D558+$E558-$F558,0))</f>
        <v/>
      </c>
      <c r="H558" s="125">
        <f>IF($A558="","",MAX(-($C558-$D558+$E558-$F558),0))</f>
        <v/>
      </c>
    </row>
    <row r="559" ht="15" customHeight="1" s="78">
      <c r="A559" s="96">
        <f>IF(DM_DT!$A253="","",DM_DT!$A253&amp;"")</f>
        <v/>
      </c>
      <c r="B559" s="97">
        <f>IF($A559="","",DM_DT!$B253)</f>
        <v/>
      </c>
      <c r="C559" s="125">
        <f>IF($A559="","",SUMIFS(SDDK!$D$256:$D$375,SDDK!$A$256:$A$375,"331",SDDK!$B$256:$B$375,$A559))</f>
        <v/>
      </c>
      <c r="D559" s="125">
        <f>IF($A559="","",SUMIFS(SDDK!$E$256:$E$375,SDDK!$A$256:$A$375,"331",SDDK!$B$256:$B$375,$A559))</f>
        <v/>
      </c>
      <c r="E559" s="125">
        <f>IF($A559="","",SUMIFS(NKC!$H$7:$H$3006,NKC!$F$7:$F$3006,"331*",NKC!$I$7:$I$3006,$A559,NKC!$B$7:$B$3006,"&lt;="&amp;DEN_NGAY))</f>
        <v/>
      </c>
      <c r="F559" s="125">
        <f>IF($A559="","",SUMIFS(NKC!$H$7:$H$3006,NKC!$G$7:$G$3006,"331*",NKC!$I$7:$I$3006,$A559,NKC!$B$7:$B$3006,"&lt;="&amp;DEN_NGAY))</f>
        <v/>
      </c>
      <c r="G559" s="125">
        <f>IF($A559="","",MAX($C559-$D559+$E559-$F559,0))</f>
        <v/>
      </c>
      <c r="H559" s="125">
        <f>IF($A559="","",MAX(-($C559-$D559+$E559-$F559),0))</f>
        <v/>
      </c>
    </row>
    <row r="560" ht="15" customHeight="1" s="78">
      <c r="A560" s="96">
        <f>IF(DM_DT!$A254="","",DM_DT!$A254&amp;"")</f>
        <v/>
      </c>
      <c r="B560" s="97">
        <f>IF($A560="","",DM_DT!$B254)</f>
        <v/>
      </c>
      <c r="C560" s="125">
        <f>IF($A560="","",SUMIFS(SDDK!$D$256:$D$375,SDDK!$A$256:$A$375,"331",SDDK!$B$256:$B$375,$A560))</f>
        <v/>
      </c>
      <c r="D560" s="125">
        <f>IF($A560="","",SUMIFS(SDDK!$E$256:$E$375,SDDK!$A$256:$A$375,"331",SDDK!$B$256:$B$375,$A560))</f>
        <v/>
      </c>
      <c r="E560" s="125">
        <f>IF($A560="","",SUMIFS(NKC!$H$7:$H$3006,NKC!$F$7:$F$3006,"331*",NKC!$I$7:$I$3006,$A560,NKC!$B$7:$B$3006,"&lt;="&amp;DEN_NGAY))</f>
        <v/>
      </c>
      <c r="F560" s="125">
        <f>IF($A560="","",SUMIFS(NKC!$H$7:$H$3006,NKC!$G$7:$G$3006,"331*",NKC!$I$7:$I$3006,$A560,NKC!$B$7:$B$3006,"&lt;="&amp;DEN_NGAY))</f>
        <v/>
      </c>
      <c r="G560" s="125">
        <f>IF($A560="","",MAX($C560-$D560+$E560-$F560,0))</f>
        <v/>
      </c>
      <c r="H560" s="125">
        <f>IF($A560="","",MAX(-($C560-$D560+$E560-$F560),0))</f>
        <v/>
      </c>
    </row>
    <row r="561" ht="15" customHeight="1" s="78">
      <c r="A561" s="96">
        <f>IF(DM_DT!$A255="","",DM_DT!$A255&amp;"")</f>
        <v/>
      </c>
      <c r="B561" s="97">
        <f>IF($A561="","",DM_DT!$B255)</f>
        <v/>
      </c>
      <c r="C561" s="125">
        <f>IF($A561="","",SUMIFS(SDDK!$D$256:$D$375,SDDK!$A$256:$A$375,"331",SDDK!$B$256:$B$375,$A561))</f>
        <v/>
      </c>
      <c r="D561" s="125">
        <f>IF($A561="","",SUMIFS(SDDK!$E$256:$E$375,SDDK!$A$256:$A$375,"331",SDDK!$B$256:$B$375,$A561))</f>
        <v/>
      </c>
      <c r="E561" s="125">
        <f>IF($A561="","",SUMIFS(NKC!$H$7:$H$3006,NKC!$F$7:$F$3006,"331*",NKC!$I$7:$I$3006,$A561,NKC!$B$7:$B$3006,"&lt;="&amp;DEN_NGAY))</f>
        <v/>
      </c>
      <c r="F561" s="125">
        <f>IF($A561="","",SUMIFS(NKC!$H$7:$H$3006,NKC!$G$7:$G$3006,"331*",NKC!$I$7:$I$3006,$A561,NKC!$B$7:$B$3006,"&lt;="&amp;DEN_NGAY))</f>
        <v/>
      </c>
      <c r="G561" s="125">
        <f>IF($A561="","",MAX($C561-$D561+$E561-$F561,0))</f>
        <v/>
      </c>
      <c r="H561" s="125">
        <f>IF($A561="","",MAX(-($C561-$D561+$E561-$F561),0))</f>
        <v/>
      </c>
    </row>
    <row r="562" ht="15" customHeight="1" s="78">
      <c r="A562" s="96">
        <f>IF(DM_DT!$A256="","",DM_DT!$A256&amp;"")</f>
        <v/>
      </c>
      <c r="B562" s="97">
        <f>IF($A562="","",DM_DT!$B256)</f>
        <v/>
      </c>
      <c r="C562" s="125">
        <f>IF($A562="","",SUMIFS(SDDK!$D$256:$D$375,SDDK!$A$256:$A$375,"331",SDDK!$B$256:$B$375,$A562))</f>
        <v/>
      </c>
      <c r="D562" s="125">
        <f>IF($A562="","",SUMIFS(SDDK!$E$256:$E$375,SDDK!$A$256:$A$375,"331",SDDK!$B$256:$B$375,$A562))</f>
        <v/>
      </c>
      <c r="E562" s="125">
        <f>IF($A562="","",SUMIFS(NKC!$H$7:$H$3006,NKC!$F$7:$F$3006,"331*",NKC!$I$7:$I$3006,$A562,NKC!$B$7:$B$3006,"&lt;="&amp;DEN_NGAY))</f>
        <v/>
      </c>
      <c r="F562" s="125">
        <f>IF($A562="","",SUMIFS(NKC!$H$7:$H$3006,NKC!$G$7:$G$3006,"331*",NKC!$I$7:$I$3006,$A562,NKC!$B$7:$B$3006,"&lt;="&amp;DEN_NGAY))</f>
        <v/>
      </c>
      <c r="G562" s="125">
        <f>IF($A562="","",MAX($C562-$D562+$E562-$F562,0))</f>
        <v/>
      </c>
      <c r="H562" s="125">
        <f>IF($A562="","",MAX(-($C562-$D562+$E562-$F562),0))</f>
        <v/>
      </c>
    </row>
    <row r="563" ht="15" customHeight="1" s="78">
      <c r="A563" s="96">
        <f>IF(DM_DT!$A257="","",DM_DT!$A257&amp;"")</f>
        <v/>
      </c>
      <c r="B563" s="97">
        <f>IF($A563="","",DM_DT!$B257)</f>
        <v/>
      </c>
      <c r="C563" s="125">
        <f>IF($A563="","",SUMIFS(SDDK!$D$256:$D$375,SDDK!$A$256:$A$375,"331",SDDK!$B$256:$B$375,$A563))</f>
        <v/>
      </c>
      <c r="D563" s="125">
        <f>IF($A563="","",SUMIFS(SDDK!$E$256:$E$375,SDDK!$A$256:$A$375,"331",SDDK!$B$256:$B$375,$A563))</f>
        <v/>
      </c>
      <c r="E563" s="125">
        <f>IF($A563="","",SUMIFS(NKC!$H$7:$H$3006,NKC!$F$7:$F$3006,"331*",NKC!$I$7:$I$3006,$A563,NKC!$B$7:$B$3006,"&lt;="&amp;DEN_NGAY))</f>
        <v/>
      </c>
      <c r="F563" s="125">
        <f>IF($A563="","",SUMIFS(NKC!$H$7:$H$3006,NKC!$G$7:$G$3006,"331*",NKC!$I$7:$I$3006,$A563,NKC!$B$7:$B$3006,"&lt;="&amp;DEN_NGAY))</f>
        <v/>
      </c>
      <c r="G563" s="125">
        <f>IF($A563="","",MAX($C563-$D563+$E563-$F563,0))</f>
        <v/>
      </c>
      <c r="H563" s="125">
        <f>IF($A563="","",MAX(-($C563-$D563+$E563-$F563),0))</f>
        <v/>
      </c>
    </row>
    <row r="564" ht="15" customHeight="1" s="78">
      <c r="A564" s="96">
        <f>IF(DM_DT!$A258="","",DM_DT!$A258&amp;"")</f>
        <v/>
      </c>
      <c r="B564" s="97">
        <f>IF($A564="","",DM_DT!$B258)</f>
        <v/>
      </c>
      <c r="C564" s="125">
        <f>IF($A564="","",SUMIFS(SDDK!$D$256:$D$375,SDDK!$A$256:$A$375,"331",SDDK!$B$256:$B$375,$A564))</f>
        <v/>
      </c>
      <c r="D564" s="125">
        <f>IF($A564="","",SUMIFS(SDDK!$E$256:$E$375,SDDK!$A$256:$A$375,"331",SDDK!$B$256:$B$375,$A564))</f>
        <v/>
      </c>
      <c r="E564" s="125">
        <f>IF($A564="","",SUMIFS(NKC!$H$7:$H$3006,NKC!$F$7:$F$3006,"331*",NKC!$I$7:$I$3006,$A564,NKC!$B$7:$B$3006,"&lt;="&amp;DEN_NGAY))</f>
        <v/>
      </c>
      <c r="F564" s="125">
        <f>IF($A564="","",SUMIFS(NKC!$H$7:$H$3006,NKC!$G$7:$G$3006,"331*",NKC!$I$7:$I$3006,$A564,NKC!$B$7:$B$3006,"&lt;="&amp;DEN_NGAY))</f>
        <v/>
      </c>
      <c r="G564" s="125">
        <f>IF($A564="","",MAX($C564-$D564+$E564-$F564,0))</f>
        <v/>
      </c>
      <c r="H564" s="125">
        <f>IF($A564="","",MAX(-($C564-$D564+$E564-$F564),0))</f>
        <v/>
      </c>
    </row>
    <row r="565" ht="15" customHeight="1" s="78">
      <c r="A565" s="96">
        <f>IF(DM_DT!$A259="","",DM_DT!$A259&amp;"")</f>
        <v/>
      </c>
      <c r="B565" s="97">
        <f>IF($A565="","",DM_DT!$B259)</f>
        <v/>
      </c>
      <c r="C565" s="125">
        <f>IF($A565="","",SUMIFS(SDDK!$D$256:$D$375,SDDK!$A$256:$A$375,"331",SDDK!$B$256:$B$375,$A565))</f>
        <v/>
      </c>
      <c r="D565" s="125">
        <f>IF($A565="","",SUMIFS(SDDK!$E$256:$E$375,SDDK!$A$256:$A$375,"331",SDDK!$B$256:$B$375,$A565))</f>
        <v/>
      </c>
      <c r="E565" s="125">
        <f>IF($A565="","",SUMIFS(NKC!$H$7:$H$3006,NKC!$F$7:$F$3006,"331*",NKC!$I$7:$I$3006,$A565,NKC!$B$7:$B$3006,"&lt;="&amp;DEN_NGAY))</f>
        <v/>
      </c>
      <c r="F565" s="125">
        <f>IF($A565="","",SUMIFS(NKC!$H$7:$H$3006,NKC!$G$7:$G$3006,"331*",NKC!$I$7:$I$3006,$A565,NKC!$B$7:$B$3006,"&lt;="&amp;DEN_NGAY))</f>
        <v/>
      </c>
      <c r="G565" s="125">
        <f>IF($A565="","",MAX($C565-$D565+$E565-$F565,0))</f>
        <v/>
      </c>
      <c r="H565" s="125">
        <f>IF($A565="","",MAX(-($C565-$D565+$E565-$F565),0))</f>
        <v/>
      </c>
    </row>
    <row r="566" ht="15" customHeight="1" s="78">
      <c r="A566" s="96">
        <f>IF(DM_DT!$A260="","",DM_DT!$A260&amp;"")</f>
        <v/>
      </c>
      <c r="B566" s="97">
        <f>IF($A566="","",DM_DT!$B260)</f>
        <v/>
      </c>
      <c r="C566" s="125">
        <f>IF($A566="","",SUMIFS(SDDK!$D$256:$D$375,SDDK!$A$256:$A$375,"331",SDDK!$B$256:$B$375,$A566))</f>
        <v/>
      </c>
      <c r="D566" s="125">
        <f>IF($A566="","",SUMIFS(SDDK!$E$256:$E$375,SDDK!$A$256:$A$375,"331",SDDK!$B$256:$B$375,$A566))</f>
        <v/>
      </c>
      <c r="E566" s="125">
        <f>IF($A566="","",SUMIFS(NKC!$H$7:$H$3006,NKC!$F$7:$F$3006,"331*",NKC!$I$7:$I$3006,$A566,NKC!$B$7:$B$3006,"&lt;="&amp;DEN_NGAY))</f>
        <v/>
      </c>
      <c r="F566" s="125">
        <f>IF($A566="","",SUMIFS(NKC!$H$7:$H$3006,NKC!$G$7:$G$3006,"331*",NKC!$I$7:$I$3006,$A566,NKC!$B$7:$B$3006,"&lt;="&amp;DEN_NGAY))</f>
        <v/>
      </c>
      <c r="G566" s="125">
        <f>IF($A566="","",MAX($C566-$D566+$E566-$F566,0))</f>
        <v/>
      </c>
      <c r="H566" s="125">
        <f>IF($A566="","",MAX(-($C566-$D566+$E566-$F566),0))</f>
        <v/>
      </c>
    </row>
    <row r="567" ht="15" customHeight="1" s="78">
      <c r="A567" s="96">
        <f>IF(DM_DT!$A261="","",DM_DT!$A261&amp;"")</f>
        <v/>
      </c>
      <c r="B567" s="97">
        <f>IF($A567="","",DM_DT!$B261)</f>
        <v/>
      </c>
      <c r="C567" s="125">
        <f>IF($A567="","",SUMIFS(SDDK!$D$256:$D$375,SDDK!$A$256:$A$375,"331",SDDK!$B$256:$B$375,$A567))</f>
        <v/>
      </c>
      <c r="D567" s="125">
        <f>IF($A567="","",SUMIFS(SDDK!$E$256:$E$375,SDDK!$A$256:$A$375,"331",SDDK!$B$256:$B$375,$A567))</f>
        <v/>
      </c>
      <c r="E567" s="125">
        <f>IF($A567="","",SUMIFS(NKC!$H$7:$H$3006,NKC!$F$7:$F$3006,"331*",NKC!$I$7:$I$3006,$A567,NKC!$B$7:$B$3006,"&lt;="&amp;DEN_NGAY))</f>
        <v/>
      </c>
      <c r="F567" s="125">
        <f>IF($A567="","",SUMIFS(NKC!$H$7:$H$3006,NKC!$G$7:$G$3006,"331*",NKC!$I$7:$I$3006,$A567,NKC!$B$7:$B$3006,"&lt;="&amp;DEN_NGAY))</f>
        <v/>
      </c>
      <c r="G567" s="125">
        <f>IF($A567="","",MAX($C567-$D567+$E567-$F567,0))</f>
        <v/>
      </c>
      <c r="H567" s="125">
        <f>IF($A567="","",MAX(-($C567-$D567+$E567-$F567),0))</f>
        <v/>
      </c>
    </row>
    <row r="568" ht="15" customHeight="1" s="78">
      <c r="A568" s="96">
        <f>IF(DM_DT!$A262="","",DM_DT!$A262&amp;"")</f>
        <v/>
      </c>
      <c r="B568" s="97">
        <f>IF($A568="","",DM_DT!$B262)</f>
        <v/>
      </c>
      <c r="C568" s="125">
        <f>IF($A568="","",SUMIFS(SDDK!$D$256:$D$375,SDDK!$A$256:$A$375,"331",SDDK!$B$256:$B$375,$A568))</f>
        <v/>
      </c>
      <c r="D568" s="125">
        <f>IF($A568="","",SUMIFS(SDDK!$E$256:$E$375,SDDK!$A$256:$A$375,"331",SDDK!$B$256:$B$375,$A568))</f>
        <v/>
      </c>
      <c r="E568" s="125">
        <f>IF($A568="","",SUMIFS(NKC!$H$7:$H$3006,NKC!$F$7:$F$3006,"331*",NKC!$I$7:$I$3006,$A568,NKC!$B$7:$B$3006,"&lt;="&amp;DEN_NGAY))</f>
        <v/>
      </c>
      <c r="F568" s="125">
        <f>IF($A568="","",SUMIFS(NKC!$H$7:$H$3006,NKC!$G$7:$G$3006,"331*",NKC!$I$7:$I$3006,$A568,NKC!$B$7:$B$3006,"&lt;="&amp;DEN_NGAY))</f>
        <v/>
      </c>
      <c r="G568" s="125">
        <f>IF($A568="","",MAX($C568-$D568+$E568-$F568,0))</f>
        <v/>
      </c>
      <c r="H568" s="125">
        <f>IF($A568="","",MAX(-($C568-$D568+$E568-$F568),0))</f>
        <v/>
      </c>
    </row>
    <row r="569" ht="15" customHeight="1" s="78">
      <c r="A569" s="96">
        <f>IF(DM_DT!$A263="","",DM_DT!$A263&amp;"")</f>
        <v/>
      </c>
      <c r="B569" s="97">
        <f>IF($A569="","",DM_DT!$B263)</f>
        <v/>
      </c>
      <c r="C569" s="125">
        <f>IF($A569="","",SUMIFS(SDDK!$D$256:$D$375,SDDK!$A$256:$A$375,"331",SDDK!$B$256:$B$375,$A569))</f>
        <v/>
      </c>
      <c r="D569" s="125">
        <f>IF($A569="","",SUMIFS(SDDK!$E$256:$E$375,SDDK!$A$256:$A$375,"331",SDDK!$B$256:$B$375,$A569))</f>
        <v/>
      </c>
      <c r="E569" s="125">
        <f>IF($A569="","",SUMIFS(NKC!$H$7:$H$3006,NKC!$F$7:$F$3006,"331*",NKC!$I$7:$I$3006,$A569,NKC!$B$7:$B$3006,"&lt;="&amp;DEN_NGAY))</f>
        <v/>
      </c>
      <c r="F569" s="125">
        <f>IF($A569="","",SUMIFS(NKC!$H$7:$H$3006,NKC!$G$7:$G$3006,"331*",NKC!$I$7:$I$3006,$A569,NKC!$B$7:$B$3006,"&lt;="&amp;DEN_NGAY))</f>
        <v/>
      </c>
      <c r="G569" s="125">
        <f>IF($A569="","",MAX($C569-$D569+$E569-$F569,0))</f>
        <v/>
      </c>
      <c r="H569" s="125">
        <f>IF($A569="","",MAX(-($C569-$D569+$E569-$F569),0))</f>
        <v/>
      </c>
    </row>
    <row r="570" ht="15" customHeight="1" s="78">
      <c r="A570" s="96">
        <f>IF(DM_DT!$A264="","",DM_DT!$A264&amp;"")</f>
        <v/>
      </c>
      <c r="B570" s="97">
        <f>IF($A570="","",DM_DT!$B264)</f>
        <v/>
      </c>
      <c r="C570" s="125">
        <f>IF($A570="","",SUMIFS(SDDK!$D$256:$D$375,SDDK!$A$256:$A$375,"331",SDDK!$B$256:$B$375,$A570))</f>
        <v/>
      </c>
      <c r="D570" s="125">
        <f>IF($A570="","",SUMIFS(SDDK!$E$256:$E$375,SDDK!$A$256:$A$375,"331",SDDK!$B$256:$B$375,$A570))</f>
        <v/>
      </c>
      <c r="E570" s="125">
        <f>IF($A570="","",SUMIFS(NKC!$H$7:$H$3006,NKC!$F$7:$F$3006,"331*",NKC!$I$7:$I$3006,$A570,NKC!$B$7:$B$3006,"&lt;="&amp;DEN_NGAY))</f>
        <v/>
      </c>
      <c r="F570" s="125">
        <f>IF($A570="","",SUMIFS(NKC!$H$7:$H$3006,NKC!$G$7:$G$3006,"331*",NKC!$I$7:$I$3006,$A570,NKC!$B$7:$B$3006,"&lt;="&amp;DEN_NGAY))</f>
        <v/>
      </c>
      <c r="G570" s="125">
        <f>IF($A570="","",MAX($C570-$D570+$E570-$F570,0))</f>
        <v/>
      </c>
      <c r="H570" s="125">
        <f>IF($A570="","",MAX(-($C570-$D570+$E570-$F570),0))</f>
        <v/>
      </c>
    </row>
    <row r="571" ht="15" customHeight="1" s="78">
      <c r="A571" s="96">
        <f>IF(DM_DT!$A265="","",DM_DT!$A265&amp;"")</f>
        <v/>
      </c>
      <c r="B571" s="97">
        <f>IF($A571="","",DM_DT!$B265)</f>
        <v/>
      </c>
      <c r="C571" s="125">
        <f>IF($A571="","",SUMIFS(SDDK!$D$256:$D$375,SDDK!$A$256:$A$375,"331",SDDK!$B$256:$B$375,$A571))</f>
        <v/>
      </c>
      <c r="D571" s="125">
        <f>IF($A571="","",SUMIFS(SDDK!$E$256:$E$375,SDDK!$A$256:$A$375,"331",SDDK!$B$256:$B$375,$A571))</f>
        <v/>
      </c>
      <c r="E571" s="125">
        <f>IF($A571="","",SUMIFS(NKC!$H$7:$H$3006,NKC!$F$7:$F$3006,"331*",NKC!$I$7:$I$3006,$A571,NKC!$B$7:$B$3006,"&lt;="&amp;DEN_NGAY))</f>
        <v/>
      </c>
      <c r="F571" s="125">
        <f>IF($A571="","",SUMIFS(NKC!$H$7:$H$3006,NKC!$G$7:$G$3006,"331*",NKC!$I$7:$I$3006,$A571,NKC!$B$7:$B$3006,"&lt;="&amp;DEN_NGAY))</f>
        <v/>
      </c>
      <c r="G571" s="125">
        <f>IF($A571="","",MAX($C571-$D571+$E571-$F571,0))</f>
        <v/>
      </c>
      <c r="H571" s="125">
        <f>IF($A571="","",MAX(-($C571-$D571+$E571-$F571),0))</f>
        <v/>
      </c>
    </row>
    <row r="572" ht="15" customHeight="1" s="78">
      <c r="A572" s="96">
        <f>IF(DM_DT!$A266="","",DM_DT!$A266&amp;"")</f>
        <v/>
      </c>
      <c r="B572" s="97">
        <f>IF($A572="","",DM_DT!$B266)</f>
        <v/>
      </c>
      <c r="C572" s="125">
        <f>IF($A572="","",SUMIFS(SDDK!$D$256:$D$375,SDDK!$A$256:$A$375,"331",SDDK!$B$256:$B$375,$A572))</f>
        <v/>
      </c>
      <c r="D572" s="125">
        <f>IF($A572="","",SUMIFS(SDDK!$E$256:$E$375,SDDK!$A$256:$A$375,"331",SDDK!$B$256:$B$375,$A572))</f>
        <v/>
      </c>
      <c r="E572" s="125">
        <f>IF($A572="","",SUMIFS(NKC!$H$7:$H$3006,NKC!$F$7:$F$3006,"331*",NKC!$I$7:$I$3006,$A572,NKC!$B$7:$B$3006,"&lt;="&amp;DEN_NGAY))</f>
        <v/>
      </c>
      <c r="F572" s="125">
        <f>IF($A572="","",SUMIFS(NKC!$H$7:$H$3006,NKC!$G$7:$G$3006,"331*",NKC!$I$7:$I$3006,$A572,NKC!$B$7:$B$3006,"&lt;="&amp;DEN_NGAY))</f>
        <v/>
      </c>
      <c r="G572" s="125">
        <f>IF($A572="","",MAX($C572-$D572+$E572-$F572,0))</f>
        <v/>
      </c>
      <c r="H572" s="125">
        <f>IF($A572="","",MAX(-($C572-$D572+$E572-$F572),0))</f>
        <v/>
      </c>
    </row>
    <row r="573" ht="15" customHeight="1" s="78">
      <c r="A573" s="96">
        <f>IF(DM_DT!$A267="","",DM_DT!$A267&amp;"")</f>
        <v/>
      </c>
      <c r="B573" s="97">
        <f>IF($A573="","",DM_DT!$B267)</f>
        <v/>
      </c>
      <c r="C573" s="125">
        <f>IF($A573="","",SUMIFS(SDDK!$D$256:$D$375,SDDK!$A$256:$A$375,"331",SDDK!$B$256:$B$375,$A573))</f>
        <v/>
      </c>
      <c r="D573" s="125">
        <f>IF($A573="","",SUMIFS(SDDK!$E$256:$E$375,SDDK!$A$256:$A$375,"331",SDDK!$B$256:$B$375,$A573))</f>
        <v/>
      </c>
      <c r="E573" s="125">
        <f>IF($A573="","",SUMIFS(NKC!$H$7:$H$3006,NKC!$F$7:$F$3006,"331*",NKC!$I$7:$I$3006,$A573,NKC!$B$7:$B$3006,"&lt;="&amp;DEN_NGAY))</f>
        <v/>
      </c>
      <c r="F573" s="125">
        <f>IF($A573="","",SUMIFS(NKC!$H$7:$H$3006,NKC!$G$7:$G$3006,"331*",NKC!$I$7:$I$3006,$A573,NKC!$B$7:$B$3006,"&lt;="&amp;DEN_NGAY))</f>
        <v/>
      </c>
      <c r="G573" s="125">
        <f>IF($A573="","",MAX($C573-$D573+$E573-$F573,0))</f>
        <v/>
      </c>
      <c r="H573" s="125">
        <f>IF($A573="","",MAX(-($C573-$D573+$E573-$F573),0))</f>
        <v/>
      </c>
    </row>
    <row r="574" ht="15" customHeight="1" s="78">
      <c r="A574" s="96">
        <f>IF(DM_DT!$A268="","",DM_DT!$A268&amp;"")</f>
        <v/>
      </c>
      <c r="B574" s="97">
        <f>IF($A574="","",DM_DT!$B268)</f>
        <v/>
      </c>
      <c r="C574" s="125">
        <f>IF($A574="","",SUMIFS(SDDK!$D$256:$D$375,SDDK!$A$256:$A$375,"331",SDDK!$B$256:$B$375,$A574))</f>
        <v/>
      </c>
      <c r="D574" s="125">
        <f>IF($A574="","",SUMIFS(SDDK!$E$256:$E$375,SDDK!$A$256:$A$375,"331",SDDK!$B$256:$B$375,$A574))</f>
        <v/>
      </c>
      <c r="E574" s="125">
        <f>IF($A574="","",SUMIFS(NKC!$H$7:$H$3006,NKC!$F$7:$F$3006,"331*",NKC!$I$7:$I$3006,$A574,NKC!$B$7:$B$3006,"&lt;="&amp;DEN_NGAY))</f>
        <v/>
      </c>
      <c r="F574" s="125">
        <f>IF($A574="","",SUMIFS(NKC!$H$7:$H$3006,NKC!$G$7:$G$3006,"331*",NKC!$I$7:$I$3006,$A574,NKC!$B$7:$B$3006,"&lt;="&amp;DEN_NGAY))</f>
        <v/>
      </c>
      <c r="G574" s="125">
        <f>IF($A574="","",MAX($C574-$D574+$E574-$F574,0))</f>
        <v/>
      </c>
      <c r="H574" s="125">
        <f>IF($A574="","",MAX(-($C574-$D574+$E574-$F574),0))</f>
        <v/>
      </c>
    </row>
    <row r="575" ht="15" customHeight="1" s="78">
      <c r="A575" s="96">
        <f>IF(DM_DT!$A269="","",DM_DT!$A269&amp;"")</f>
        <v/>
      </c>
      <c r="B575" s="97">
        <f>IF($A575="","",DM_DT!$B269)</f>
        <v/>
      </c>
      <c r="C575" s="125">
        <f>IF($A575="","",SUMIFS(SDDK!$D$256:$D$375,SDDK!$A$256:$A$375,"331",SDDK!$B$256:$B$375,$A575))</f>
        <v/>
      </c>
      <c r="D575" s="125">
        <f>IF($A575="","",SUMIFS(SDDK!$E$256:$E$375,SDDK!$A$256:$A$375,"331",SDDK!$B$256:$B$375,$A575))</f>
        <v/>
      </c>
      <c r="E575" s="125">
        <f>IF($A575="","",SUMIFS(NKC!$H$7:$H$3006,NKC!$F$7:$F$3006,"331*",NKC!$I$7:$I$3006,$A575,NKC!$B$7:$B$3006,"&lt;="&amp;DEN_NGAY))</f>
        <v/>
      </c>
      <c r="F575" s="125">
        <f>IF($A575="","",SUMIFS(NKC!$H$7:$H$3006,NKC!$G$7:$G$3006,"331*",NKC!$I$7:$I$3006,$A575,NKC!$B$7:$B$3006,"&lt;="&amp;DEN_NGAY))</f>
        <v/>
      </c>
      <c r="G575" s="125">
        <f>IF($A575="","",MAX($C575-$D575+$E575-$F575,0))</f>
        <v/>
      </c>
      <c r="H575" s="125">
        <f>IF($A575="","",MAX(-($C575-$D575+$E575-$F575),0))</f>
        <v/>
      </c>
    </row>
    <row r="576" ht="15" customHeight="1" s="78">
      <c r="A576" s="96">
        <f>IF(DM_DT!$A270="","",DM_DT!$A270&amp;"")</f>
        <v/>
      </c>
      <c r="B576" s="97">
        <f>IF($A576="","",DM_DT!$B270)</f>
        <v/>
      </c>
      <c r="C576" s="125">
        <f>IF($A576="","",SUMIFS(SDDK!$D$256:$D$375,SDDK!$A$256:$A$375,"331",SDDK!$B$256:$B$375,$A576))</f>
        <v/>
      </c>
      <c r="D576" s="125">
        <f>IF($A576="","",SUMIFS(SDDK!$E$256:$E$375,SDDK!$A$256:$A$375,"331",SDDK!$B$256:$B$375,$A576))</f>
        <v/>
      </c>
      <c r="E576" s="125">
        <f>IF($A576="","",SUMIFS(NKC!$H$7:$H$3006,NKC!$F$7:$F$3006,"331*",NKC!$I$7:$I$3006,$A576,NKC!$B$7:$B$3006,"&lt;="&amp;DEN_NGAY))</f>
        <v/>
      </c>
      <c r="F576" s="125">
        <f>IF($A576="","",SUMIFS(NKC!$H$7:$H$3006,NKC!$G$7:$G$3006,"331*",NKC!$I$7:$I$3006,$A576,NKC!$B$7:$B$3006,"&lt;="&amp;DEN_NGAY))</f>
        <v/>
      </c>
      <c r="G576" s="125">
        <f>IF($A576="","",MAX($C576-$D576+$E576-$F576,0))</f>
        <v/>
      </c>
      <c r="H576" s="125">
        <f>IF($A576="","",MAX(-($C576-$D576+$E576-$F576),0))</f>
        <v/>
      </c>
    </row>
    <row r="577" ht="15" customHeight="1" s="78">
      <c r="A577" s="96">
        <f>IF(DM_DT!$A271="","",DM_DT!$A271&amp;"")</f>
        <v/>
      </c>
      <c r="B577" s="97">
        <f>IF($A577="","",DM_DT!$B271)</f>
        <v/>
      </c>
      <c r="C577" s="125">
        <f>IF($A577="","",SUMIFS(SDDK!$D$256:$D$375,SDDK!$A$256:$A$375,"331",SDDK!$B$256:$B$375,$A577))</f>
        <v/>
      </c>
      <c r="D577" s="125">
        <f>IF($A577="","",SUMIFS(SDDK!$E$256:$E$375,SDDK!$A$256:$A$375,"331",SDDK!$B$256:$B$375,$A577))</f>
        <v/>
      </c>
      <c r="E577" s="125">
        <f>IF($A577="","",SUMIFS(NKC!$H$7:$H$3006,NKC!$F$7:$F$3006,"331*",NKC!$I$7:$I$3006,$A577,NKC!$B$7:$B$3006,"&lt;="&amp;DEN_NGAY))</f>
        <v/>
      </c>
      <c r="F577" s="125">
        <f>IF($A577="","",SUMIFS(NKC!$H$7:$H$3006,NKC!$G$7:$G$3006,"331*",NKC!$I$7:$I$3006,$A577,NKC!$B$7:$B$3006,"&lt;="&amp;DEN_NGAY))</f>
        <v/>
      </c>
      <c r="G577" s="125">
        <f>IF($A577="","",MAX($C577-$D577+$E577-$F577,0))</f>
        <v/>
      </c>
      <c r="H577" s="125">
        <f>IF($A577="","",MAX(-($C577-$D577+$E577-$F577),0))</f>
        <v/>
      </c>
    </row>
    <row r="578" ht="15" customHeight="1" s="78">
      <c r="A578" s="96">
        <f>IF(DM_DT!$A272="","",DM_DT!$A272&amp;"")</f>
        <v/>
      </c>
      <c r="B578" s="97">
        <f>IF($A578="","",DM_DT!$B272)</f>
        <v/>
      </c>
      <c r="C578" s="125">
        <f>IF($A578="","",SUMIFS(SDDK!$D$256:$D$375,SDDK!$A$256:$A$375,"331",SDDK!$B$256:$B$375,$A578))</f>
        <v/>
      </c>
      <c r="D578" s="125">
        <f>IF($A578="","",SUMIFS(SDDK!$E$256:$E$375,SDDK!$A$256:$A$375,"331",SDDK!$B$256:$B$375,$A578))</f>
        <v/>
      </c>
      <c r="E578" s="125">
        <f>IF($A578="","",SUMIFS(NKC!$H$7:$H$3006,NKC!$F$7:$F$3006,"331*",NKC!$I$7:$I$3006,$A578,NKC!$B$7:$B$3006,"&lt;="&amp;DEN_NGAY))</f>
        <v/>
      </c>
      <c r="F578" s="125">
        <f>IF($A578="","",SUMIFS(NKC!$H$7:$H$3006,NKC!$G$7:$G$3006,"331*",NKC!$I$7:$I$3006,$A578,NKC!$B$7:$B$3006,"&lt;="&amp;DEN_NGAY))</f>
        <v/>
      </c>
      <c r="G578" s="125">
        <f>IF($A578="","",MAX($C578-$D578+$E578-$F578,0))</f>
        <v/>
      </c>
      <c r="H578" s="125">
        <f>IF($A578="","",MAX(-($C578-$D578+$E578-$F578),0))</f>
        <v/>
      </c>
    </row>
    <row r="579" ht="15" customHeight="1" s="78">
      <c r="A579" s="96">
        <f>IF(DM_DT!$A273="","",DM_DT!$A273&amp;"")</f>
        <v/>
      </c>
      <c r="B579" s="97">
        <f>IF($A579="","",DM_DT!$B273)</f>
        <v/>
      </c>
      <c r="C579" s="125">
        <f>IF($A579="","",SUMIFS(SDDK!$D$256:$D$375,SDDK!$A$256:$A$375,"331",SDDK!$B$256:$B$375,$A579))</f>
        <v/>
      </c>
      <c r="D579" s="125">
        <f>IF($A579="","",SUMIFS(SDDK!$E$256:$E$375,SDDK!$A$256:$A$375,"331",SDDK!$B$256:$B$375,$A579))</f>
        <v/>
      </c>
      <c r="E579" s="125">
        <f>IF($A579="","",SUMIFS(NKC!$H$7:$H$3006,NKC!$F$7:$F$3006,"331*",NKC!$I$7:$I$3006,$A579,NKC!$B$7:$B$3006,"&lt;="&amp;DEN_NGAY))</f>
        <v/>
      </c>
      <c r="F579" s="125">
        <f>IF($A579="","",SUMIFS(NKC!$H$7:$H$3006,NKC!$G$7:$G$3006,"331*",NKC!$I$7:$I$3006,$A579,NKC!$B$7:$B$3006,"&lt;="&amp;DEN_NGAY))</f>
        <v/>
      </c>
      <c r="G579" s="125">
        <f>IF($A579="","",MAX($C579-$D579+$E579-$F579,0))</f>
        <v/>
      </c>
      <c r="H579" s="125">
        <f>IF($A579="","",MAX(-($C579-$D579+$E579-$F579),0))</f>
        <v/>
      </c>
    </row>
    <row r="580" ht="15" customHeight="1" s="78">
      <c r="A580" s="96">
        <f>IF(DM_DT!$A274="","",DM_DT!$A274&amp;"")</f>
        <v/>
      </c>
      <c r="B580" s="97">
        <f>IF($A580="","",DM_DT!$B274)</f>
        <v/>
      </c>
      <c r="C580" s="125">
        <f>IF($A580="","",SUMIFS(SDDK!$D$256:$D$375,SDDK!$A$256:$A$375,"331",SDDK!$B$256:$B$375,$A580))</f>
        <v/>
      </c>
      <c r="D580" s="125">
        <f>IF($A580="","",SUMIFS(SDDK!$E$256:$E$375,SDDK!$A$256:$A$375,"331",SDDK!$B$256:$B$375,$A580))</f>
        <v/>
      </c>
      <c r="E580" s="125">
        <f>IF($A580="","",SUMIFS(NKC!$H$7:$H$3006,NKC!$F$7:$F$3006,"331*",NKC!$I$7:$I$3006,$A580,NKC!$B$7:$B$3006,"&lt;="&amp;DEN_NGAY))</f>
        <v/>
      </c>
      <c r="F580" s="125">
        <f>IF($A580="","",SUMIFS(NKC!$H$7:$H$3006,NKC!$G$7:$G$3006,"331*",NKC!$I$7:$I$3006,$A580,NKC!$B$7:$B$3006,"&lt;="&amp;DEN_NGAY))</f>
        <v/>
      </c>
      <c r="G580" s="125">
        <f>IF($A580="","",MAX($C580-$D580+$E580-$F580,0))</f>
        <v/>
      </c>
      <c r="H580" s="125">
        <f>IF($A580="","",MAX(-($C580-$D580+$E580-$F580),0))</f>
        <v/>
      </c>
    </row>
    <row r="581" ht="15" customHeight="1" s="78">
      <c r="A581" s="96">
        <f>IF(DM_DT!$A275="","",DM_DT!$A275&amp;"")</f>
        <v/>
      </c>
      <c r="B581" s="97">
        <f>IF($A581="","",DM_DT!$B275)</f>
        <v/>
      </c>
      <c r="C581" s="125">
        <f>IF($A581="","",SUMIFS(SDDK!$D$256:$D$375,SDDK!$A$256:$A$375,"331",SDDK!$B$256:$B$375,$A581))</f>
        <v/>
      </c>
      <c r="D581" s="125">
        <f>IF($A581="","",SUMIFS(SDDK!$E$256:$E$375,SDDK!$A$256:$A$375,"331",SDDK!$B$256:$B$375,$A581))</f>
        <v/>
      </c>
      <c r="E581" s="125">
        <f>IF($A581="","",SUMIFS(NKC!$H$7:$H$3006,NKC!$F$7:$F$3006,"331*",NKC!$I$7:$I$3006,$A581,NKC!$B$7:$B$3006,"&lt;="&amp;DEN_NGAY))</f>
        <v/>
      </c>
      <c r="F581" s="125">
        <f>IF($A581="","",SUMIFS(NKC!$H$7:$H$3006,NKC!$G$7:$G$3006,"331*",NKC!$I$7:$I$3006,$A581,NKC!$B$7:$B$3006,"&lt;="&amp;DEN_NGAY))</f>
        <v/>
      </c>
      <c r="G581" s="125">
        <f>IF($A581="","",MAX($C581-$D581+$E581-$F581,0))</f>
        <v/>
      </c>
      <c r="H581" s="125">
        <f>IF($A581="","",MAX(-($C581-$D581+$E581-$F581),0))</f>
        <v/>
      </c>
    </row>
    <row r="582" ht="15" customHeight="1" s="78">
      <c r="A582" s="96">
        <f>IF(DM_DT!$A276="","",DM_DT!$A276&amp;"")</f>
        <v/>
      </c>
      <c r="B582" s="97">
        <f>IF($A582="","",DM_DT!$B276)</f>
        <v/>
      </c>
      <c r="C582" s="125">
        <f>IF($A582="","",SUMIFS(SDDK!$D$256:$D$375,SDDK!$A$256:$A$375,"331",SDDK!$B$256:$B$375,$A582))</f>
        <v/>
      </c>
      <c r="D582" s="125">
        <f>IF($A582="","",SUMIFS(SDDK!$E$256:$E$375,SDDK!$A$256:$A$375,"331",SDDK!$B$256:$B$375,$A582))</f>
        <v/>
      </c>
      <c r="E582" s="125">
        <f>IF($A582="","",SUMIFS(NKC!$H$7:$H$3006,NKC!$F$7:$F$3006,"331*",NKC!$I$7:$I$3006,$A582,NKC!$B$7:$B$3006,"&lt;="&amp;DEN_NGAY))</f>
        <v/>
      </c>
      <c r="F582" s="125">
        <f>IF($A582="","",SUMIFS(NKC!$H$7:$H$3006,NKC!$G$7:$G$3006,"331*",NKC!$I$7:$I$3006,$A582,NKC!$B$7:$B$3006,"&lt;="&amp;DEN_NGAY))</f>
        <v/>
      </c>
      <c r="G582" s="125">
        <f>IF($A582="","",MAX($C582-$D582+$E582-$F582,0))</f>
        <v/>
      </c>
      <c r="H582" s="125">
        <f>IF($A582="","",MAX(-($C582-$D582+$E582-$F582),0))</f>
        <v/>
      </c>
    </row>
    <row r="583" ht="15" customHeight="1" s="78">
      <c r="A583" s="96">
        <f>IF(DM_DT!$A277="","",DM_DT!$A277&amp;"")</f>
        <v/>
      </c>
      <c r="B583" s="97">
        <f>IF($A583="","",DM_DT!$B277)</f>
        <v/>
      </c>
      <c r="C583" s="125">
        <f>IF($A583="","",SUMIFS(SDDK!$D$256:$D$375,SDDK!$A$256:$A$375,"331",SDDK!$B$256:$B$375,$A583))</f>
        <v/>
      </c>
      <c r="D583" s="125">
        <f>IF($A583="","",SUMIFS(SDDK!$E$256:$E$375,SDDK!$A$256:$A$375,"331",SDDK!$B$256:$B$375,$A583))</f>
        <v/>
      </c>
      <c r="E583" s="125">
        <f>IF($A583="","",SUMIFS(NKC!$H$7:$H$3006,NKC!$F$7:$F$3006,"331*",NKC!$I$7:$I$3006,$A583,NKC!$B$7:$B$3006,"&lt;="&amp;DEN_NGAY))</f>
        <v/>
      </c>
      <c r="F583" s="125">
        <f>IF($A583="","",SUMIFS(NKC!$H$7:$H$3006,NKC!$G$7:$G$3006,"331*",NKC!$I$7:$I$3006,$A583,NKC!$B$7:$B$3006,"&lt;="&amp;DEN_NGAY))</f>
        <v/>
      </c>
      <c r="G583" s="125">
        <f>IF($A583="","",MAX($C583-$D583+$E583-$F583,0))</f>
        <v/>
      </c>
      <c r="H583" s="125">
        <f>IF($A583="","",MAX(-($C583-$D583+$E583-$F583),0))</f>
        <v/>
      </c>
    </row>
    <row r="584" ht="15" customHeight="1" s="78">
      <c r="A584" s="96">
        <f>IF(DM_DT!$A278="","",DM_DT!$A278&amp;"")</f>
        <v/>
      </c>
      <c r="B584" s="97">
        <f>IF($A584="","",DM_DT!$B278)</f>
        <v/>
      </c>
      <c r="C584" s="125">
        <f>IF($A584="","",SUMIFS(SDDK!$D$256:$D$375,SDDK!$A$256:$A$375,"331",SDDK!$B$256:$B$375,$A584))</f>
        <v/>
      </c>
      <c r="D584" s="125">
        <f>IF($A584="","",SUMIFS(SDDK!$E$256:$E$375,SDDK!$A$256:$A$375,"331",SDDK!$B$256:$B$375,$A584))</f>
        <v/>
      </c>
      <c r="E584" s="125">
        <f>IF($A584="","",SUMIFS(NKC!$H$7:$H$3006,NKC!$F$7:$F$3006,"331*",NKC!$I$7:$I$3006,$A584,NKC!$B$7:$B$3006,"&lt;="&amp;DEN_NGAY))</f>
        <v/>
      </c>
      <c r="F584" s="125">
        <f>IF($A584="","",SUMIFS(NKC!$H$7:$H$3006,NKC!$G$7:$G$3006,"331*",NKC!$I$7:$I$3006,$A584,NKC!$B$7:$B$3006,"&lt;="&amp;DEN_NGAY))</f>
        <v/>
      </c>
      <c r="G584" s="125">
        <f>IF($A584="","",MAX($C584-$D584+$E584-$F584,0))</f>
        <v/>
      </c>
      <c r="H584" s="125">
        <f>IF($A584="","",MAX(-($C584-$D584+$E584-$F584),0))</f>
        <v/>
      </c>
    </row>
    <row r="585" ht="15" customHeight="1" s="78">
      <c r="A585" s="96">
        <f>IF(DM_DT!$A279="","",DM_DT!$A279&amp;"")</f>
        <v/>
      </c>
      <c r="B585" s="97">
        <f>IF($A585="","",DM_DT!$B279)</f>
        <v/>
      </c>
      <c r="C585" s="125">
        <f>IF($A585="","",SUMIFS(SDDK!$D$256:$D$375,SDDK!$A$256:$A$375,"331",SDDK!$B$256:$B$375,$A585))</f>
        <v/>
      </c>
      <c r="D585" s="125">
        <f>IF($A585="","",SUMIFS(SDDK!$E$256:$E$375,SDDK!$A$256:$A$375,"331",SDDK!$B$256:$B$375,$A585))</f>
        <v/>
      </c>
      <c r="E585" s="125">
        <f>IF($A585="","",SUMIFS(NKC!$H$7:$H$3006,NKC!$F$7:$F$3006,"331*",NKC!$I$7:$I$3006,$A585,NKC!$B$7:$B$3006,"&lt;="&amp;DEN_NGAY))</f>
        <v/>
      </c>
      <c r="F585" s="125">
        <f>IF($A585="","",SUMIFS(NKC!$H$7:$H$3006,NKC!$G$7:$G$3006,"331*",NKC!$I$7:$I$3006,$A585,NKC!$B$7:$B$3006,"&lt;="&amp;DEN_NGAY))</f>
        <v/>
      </c>
      <c r="G585" s="125">
        <f>IF($A585="","",MAX($C585-$D585+$E585-$F585,0))</f>
        <v/>
      </c>
      <c r="H585" s="125">
        <f>IF($A585="","",MAX(-($C585-$D585+$E585-$F585),0))</f>
        <v/>
      </c>
    </row>
    <row r="586" ht="15" customHeight="1" s="78">
      <c r="A586" s="96">
        <f>IF(DM_DT!$A280="","",DM_DT!$A280&amp;"")</f>
        <v/>
      </c>
      <c r="B586" s="97">
        <f>IF($A586="","",DM_DT!$B280)</f>
        <v/>
      </c>
      <c r="C586" s="125">
        <f>IF($A586="","",SUMIFS(SDDK!$D$256:$D$375,SDDK!$A$256:$A$375,"331",SDDK!$B$256:$B$375,$A586))</f>
        <v/>
      </c>
      <c r="D586" s="125">
        <f>IF($A586="","",SUMIFS(SDDK!$E$256:$E$375,SDDK!$A$256:$A$375,"331",SDDK!$B$256:$B$375,$A586))</f>
        <v/>
      </c>
      <c r="E586" s="125">
        <f>IF($A586="","",SUMIFS(NKC!$H$7:$H$3006,NKC!$F$7:$F$3006,"331*",NKC!$I$7:$I$3006,$A586,NKC!$B$7:$B$3006,"&lt;="&amp;DEN_NGAY))</f>
        <v/>
      </c>
      <c r="F586" s="125">
        <f>IF($A586="","",SUMIFS(NKC!$H$7:$H$3006,NKC!$G$7:$G$3006,"331*",NKC!$I$7:$I$3006,$A586,NKC!$B$7:$B$3006,"&lt;="&amp;DEN_NGAY))</f>
        <v/>
      </c>
      <c r="G586" s="125">
        <f>IF($A586="","",MAX($C586-$D586+$E586-$F586,0))</f>
        <v/>
      </c>
      <c r="H586" s="125">
        <f>IF($A586="","",MAX(-($C586-$D586+$E586-$F586),0))</f>
        <v/>
      </c>
    </row>
    <row r="587" ht="15" customHeight="1" s="78">
      <c r="A587" s="96">
        <f>IF(DM_DT!$A281="","",DM_DT!$A281&amp;"")</f>
        <v/>
      </c>
      <c r="B587" s="97">
        <f>IF($A587="","",DM_DT!$B281)</f>
        <v/>
      </c>
      <c r="C587" s="125">
        <f>IF($A587="","",SUMIFS(SDDK!$D$256:$D$375,SDDK!$A$256:$A$375,"331",SDDK!$B$256:$B$375,$A587))</f>
        <v/>
      </c>
      <c r="D587" s="125">
        <f>IF($A587="","",SUMIFS(SDDK!$E$256:$E$375,SDDK!$A$256:$A$375,"331",SDDK!$B$256:$B$375,$A587))</f>
        <v/>
      </c>
      <c r="E587" s="125">
        <f>IF($A587="","",SUMIFS(NKC!$H$7:$H$3006,NKC!$F$7:$F$3006,"331*",NKC!$I$7:$I$3006,$A587,NKC!$B$7:$B$3006,"&lt;="&amp;DEN_NGAY))</f>
        <v/>
      </c>
      <c r="F587" s="125">
        <f>IF($A587="","",SUMIFS(NKC!$H$7:$H$3006,NKC!$G$7:$G$3006,"331*",NKC!$I$7:$I$3006,$A587,NKC!$B$7:$B$3006,"&lt;="&amp;DEN_NGAY))</f>
        <v/>
      </c>
      <c r="G587" s="125">
        <f>IF($A587="","",MAX($C587-$D587+$E587-$F587,0))</f>
        <v/>
      </c>
      <c r="H587" s="125">
        <f>IF($A587="","",MAX(-($C587-$D587+$E587-$F587),0))</f>
        <v/>
      </c>
    </row>
    <row r="588" ht="15" customHeight="1" s="78">
      <c r="A588" s="96">
        <f>IF(DM_DT!$A282="","",DM_DT!$A282&amp;"")</f>
        <v/>
      </c>
      <c r="B588" s="97">
        <f>IF($A588="","",DM_DT!$B282)</f>
        <v/>
      </c>
      <c r="C588" s="125">
        <f>IF($A588="","",SUMIFS(SDDK!$D$256:$D$375,SDDK!$A$256:$A$375,"331",SDDK!$B$256:$B$375,$A588))</f>
        <v/>
      </c>
      <c r="D588" s="125">
        <f>IF($A588="","",SUMIFS(SDDK!$E$256:$E$375,SDDK!$A$256:$A$375,"331",SDDK!$B$256:$B$375,$A588))</f>
        <v/>
      </c>
      <c r="E588" s="125">
        <f>IF($A588="","",SUMIFS(NKC!$H$7:$H$3006,NKC!$F$7:$F$3006,"331*",NKC!$I$7:$I$3006,$A588,NKC!$B$7:$B$3006,"&lt;="&amp;DEN_NGAY))</f>
        <v/>
      </c>
      <c r="F588" s="125">
        <f>IF($A588="","",SUMIFS(NKC!$H$7:$H$3006,NKC!$G$7:$G$3006,"331*",NKC!$I$7:$I$3006,$A588,NKC!$B$7:$B$3006,"&lt;="&amp;DEN_NGAY))</f>
        <v/>
      </c>
      <c r="G588" s="125">
        <f>IF($A588="","",MAX($C588-$D588+$E588-$F588,0))</f>
        <v/>
      </c>
      <c r="H588" s="125">
        <f>IF($A588="","",MAX(-($C588-$D588+$E588-$F588),0))</f>
        <v/>
      </c>
    </row>
    <row r="589" ht="15" customHeight="1" s="78">
      <c r="A589" s="96">
        <f>IF(DM_DT!$A283="","",DM_DT!$A283&amp;"")</f>
        <v/>
      </c>
      <c r="B589" s="97">
        <f>IF($A589="","",DM_DT!$B283)</f>
        <v/>
      </c>
      <c r="C589" s="125">
        <f>IF($A589="","",SUMIFS(SDDK!$D$256:$D$375,SDDK!$A$256:$A$375,"331",SDDK!$B$256:$B$375,$A589))</f>
        <v/>
      </c>
      <c r="D589" s="125">
        <f>IF($A589="","",SUMIFS(SDDK!$E$256:$E$375,SDDK!$A$256:$A$375,"331",SDDK!$B$256:$B$375,$A589))</f>
        <v/>
      </c>
      <c r="E589" s="125">
        <f>IF($A589="","",SUMIFS(NKC!$H$7:$H$3006,NKC!$F$7:$F$3006,"331*",NKC!$I$7:$I$3006,$A589,NKC!$B$7:$B$3006,"&lt;="&amp;DEN_NGAY))</f>
        <v/>
      </c>
      <c r="F589" s="125">
        <f>IF($A589="","",SUMIFS(NKC!$H$7:$H$3006,NKC!$G$7:$G$3006,"331*",NKC!$I$7:$I$3006,$A589,NKC!$B$7:$B$3006,"&lt;="&amp;DEN_NGAY))</f>
        <v/>
      </c>
      <c r="G589" s="125">
        <f>IF($A589="","",MAX($C589-$D589+$E589-$F589,0))</f>
        <v/>
      </c>
      <c r="H589" s="125">
        <f>IF($A589="","",MAX(-($C589-$D589+$E589-$F589),0))</f>
        <v/>
      </c>
    </row>
    <row r="590" ht="15" customHeight="1" s="78">
      <c r="A590" s="96">
        <f>IF(DM_DT!$A284="","",DM_DT!$A284&amp;"")</f>
        <v/>
      </c>
      <c r="B590" s="97">
        <f>IF($A590="","",DM_DT!$B284)</f>
        <v/>
      </c>
      <c r="C590" s="125">
        <f>IF($A590="","",SUMIFS(SDDK!$D$256:$D$375,SDDK!$A$256:$A$375,"331",SDDK!$B$256:$B$375,$A590))</f>
        <v/>
      </c>
      <c r="D590" s="125">
        <f>IF($A590="","",SUMIFS(SDDK!$E$256:$E$375,SDDK!$A$256:$A$375,"331",SDDK!$B$256:$B$375,$A590))</f>
        <v/>
      </c>
      <c r="E590" s="125">
        <f>IF($A590="","",SUMIFS(NKC!$H$7:$H$3006,NKC!$F$7:$F$3006,"331*",NKC!$I$7:$I$3006,$A590,NKC!$B$7:$B$3006,"&lt;="&amp;DEN_NGAY))</f>
        <v/>
      </c>
      <c r="F590" s="125">
        <f>IF($A590="","",SUMIFS(NKC!$H$7:$H$3006,NKC!$G$7:$G$3006,"331*",NKC!$I$7:$I$3006,$A590,NKC!$B$7:$B$3006,"&lt;="&amp;DEN_NGAY))</f>
        <v/>
      </c>
      <c r="G590" s="125">
        <f>IF($A590="","",MAX($C590-$D590+$E590-$F590,0))</f>
        <v/>
      </c>
      <c r="H590" s="125">
        <f>IF($A590="","",MAX(-($C590-$D590+$E590-$F590),0))</f>
        <v/>
      </c>
    </row>
    <row r="591" ht="15" customHeight="1" s="78">
      <c r="A591" s="96">
        <f>IF(DM_DT!$A285="","",DM_DT!$A285&amp;"")</f>
        <v/>
      </c>
      <c r="B591" s="97">
        <f>IF($A591="","",DM_DT!$B285)</f>
        <v/>
      </c>
      <c r="C591" s="125">
        <f>IF($A591="","",SUMIFS(SDDK!$D$256:$D$375,SDDK!$A$256:$A$375,"331",SDDK!$B$256:$B$375,$A591))</f>
        <v/>
      </c>
      <c r="D591" s="125">
        <f>IF($A591="","",SUMIFS(SDDK!$E$256:$E$375,SDDK!$A$256:$A$375,"331",SDDK!$B$256:$B$375,$A591))</f>
        <v/>
      </c>
      <c r="E591" s="125">
        <f>IF($A591="","",SUMIFS(NKC!$H$7:$H$3006,NKC!$F$7:$F$3006,"331*",NKC!$I$7:$I$3006,$A591,NKC!$B$7:$B$3006,"&lt;="&amp;DEN_NGAY))</f>
        <v/>
      </c>
      <c r="F591" s="125">
        <f>IF($A591="","",SUMIFS(NKC!$H$7:$H$3006,NKC!$G$7:$G$3006,"331*",NKC!$I$7:$I$3006,$A591,NKC!$B$7:$B$3006,"&lt;="&amp;DEN_NGAY))</f>
        <v/>
      </c>
      <c r="G591" s="125">
        <f>IF($A591="","",MAX($C591-$D591+$E591-$F591,0))</f>
        <v/>
      </c>
      <c r="H591" s="125">
        <f>IF($A591="","",MAX(-($C591-$D591+$E591-$F591),0))</f>
        <v/>
      </c>
    </row>
    <row r="592" ht="15" customHeight="1" s="78">
      <c r="A592" s="96">
        <f>IF(DM_DT!$A286="","",DM_DT!$A286&amp;"")</f>
        <v/>
      </c>
      <c r="B592" s="97">
        <f>IF($A592="","",DM_DT!$B286)</f>
        <v/>
      </c>
      <c r="C592" s="125">
        <f>IF($A592="","",SUMIFS(SDDK!$D$256:$D$375,SDDK!$A$256:$A$375,"331",SDDK!$B$256:$B$375,$A592))</f>
        <v/>
      </c>
      <c r="D592" s="125">
        <f>IF($A592="","",SUMIFS(SDDK!$E$256:$E$375,SDDK!$A$256:$A$375,"331",SDDK!$B$256:$B$375,$A592))</f>
        <v/>
      </c>
      <c r="E592" s="125">
        <f>IF($A592="","",SUMIFS(NKC!$H$7:$H$3006,NKC!$F$7:$F$3006,"331*",NKC!$I$7:$I$3006,$A592,NKC!$B$7:$B$3006,"&lt;="&amp;DEN_NGAY))</f>
        <v/>
      </c>
      <c r="F592" s="125">
        <f>IF($A592="","",SUMIFS(NKC!$H$7:$H$3006,NKC!$G$7:$G$3006,"331*",NKC!$I$7:$I$3006,$A592,NKC!$B$7:$B$3006,"&lt;="&amp;DEN_NGAY))</f>
        <v/>
      </c>
      <c r="G592" s="125">
        <f>IF($A592="","",MAX($C592-$D592+$E592-$F592,0))</f>
        <v/>
      </c>
      <c r="H592" s="125">
        <f>IF($A592="","",MAX(-($C592-$D592+$E592-$F592),0))</f>
        <v/>
      </c>
    </row>
    <row r="593" ht="15" customHeight="1" s="78">
      <c r="A593" s="96">
        <f>IF(DM_DT!$A287="","",DM_DT!$A287&amp;"")</f>
        <v/>
      </c>
      <c r="B593" s="97">
        <f>IF($A593="","",DM_DT!$B287)</f>
        <v/>
      </c>
      <c r="C593" s="125">
        <f>IF($A593="","",SUMIFS(SDDK!$D$256:$D$375,SDDK!$A$256:$A$375,"331",SDDK!$B$256:$B$375,$A593))</f>
        <v/>
      </c>
      <c r="D593" s="125">
        <f>IF($A593="","",SUMIFS(SDDK!$E$256:$E$375,SDDK!$A$256:$A$375,"331",SDDK!$B$256:$B$375,$A593))</f>
        <v/>
      </c>
      <c r="E593" s="125">
        <f>IF($A593="","",SUMIFS(NKC!$H$7:$H$3006,NKC!$F$7:$F$3006,"331*",NKC!$I$7:$I$3006,$A593,NKC!$B$7:$B$3006,"&lt;="&amp;DEN_NGAY))</f>
        <v/>
      </c>
      <c r="F593" s="125">
        <f>IF($A593="","",SUMIFS(NKC!$H$7:$H$3006,NKC!$G$7:$G$3006,"331*",NKC!$I$7:$I$3006,$A593,NKC!$B$7:$B$3006,"&lt;="&amp;DEN_NGAY))</f>
        <v/>
      </c>
      <c r="G593" s="125">
        <f>IF($A593="","",MAX($C593-$D593+$E593-$F593,0))</f>
        <v/>
      </c>
      <c r="H593" s="125">
        <f>IF($A593="","",MAX(-($C593-$D593+$E593-$F593),0))</f>
        <v/>
      </c>
    </row>
    <row r="594" ht="15" customHeight="1" s="78">
      <c r="A594" s="96">
        <f>IF(DM_DT!$A288="","",DM_DT!$A288&amp;"")</f>
        <v/>
      </c>
      <c r="B594" s="97">
        <f>IF($A594="","",DM_DT!$B288)</f>
        <v/>
      </c>
      <c r="C594" s="125">
        <f>IF($A594="","",SUMIFS(SDDK!$D$256:$D$375,SDDK!$A$256:$A$375,"331",SDDK!$B$256:$B$375,$A594))</f>
        <v/>
      </c>
      <c r="D594" s="125">
        <f>IF($A594="","",SUMIFS(SDDK!$E$256:$E$375,SDDK!$A$256:$A$375,"331",SDDK!$B$256:$B$375,$A594))</f>
        <v/>
      </c>
      <c r="E594" s="125">
        <f>IF($A594="","",SUMIFS(NKC!$H$7:$H$3006,NKC!$F$7:$F$3006,"331*",NKC!$I$7:$I$3006,$A594,NKC!$B$7:$B$3006,"&lt;="&amp;DEN_NGAY))</f>
        <v/>
      </c>
      <c r="F594" s="125">
        <f>IF($A594="","",SUMIFS(NKC!$H$7:$H$3006,NKC!$G$7:$G$3006,"331*",NKC!$I$7:$I$3006,$A594,NKC!$B$7:$B$3006,"&lt;="&amp;DEN_NGAY))</f>
        <v/>
      </c>
      <c r="G594" s="125">
        <f>IF($A594="","",MAX($C594-$D594+$E594-$F594,0))</f>
        <v/>
      </c>
      <c r="H594" s="125">
        <f>IF($A594="","",MAX(-($C594-$D594+$E594-$F594),0))</f>
        <v/>
      </c>
    </row>
    <row r="595" ht="15" customHeight="1" s="78">
      <c r="A595" s="96">
        <f>IF(DM_DT!$A289="","",DM_DT!$A289&amp;"")</f>
        <v/>
      </c>
      <c r="B595" s="97">
        <f>IF($A595="","",DM_DT!$B289)</f>
        <v/>
      </c>
      <c r="C595" s="125">
        <f>IF($A595="","",SUMIFS(SDDK!$D$256:$D$375,SDDK!$A$256:$A$375,"331",SDDK!$B$256:$B$375,$A595))</f>
        <v/>
      </c>
      <c r="D595" s="125">
        <f>IF($A595="","",SUMIFS(SDDK!$E$256:$E$375,SDDK!$A$256:$A$375,"331",SDDK!$B$256:$B$375,$A595))</f>
        <v/>
      </c>
      <c r="E595" s="125">
        <f>IF($A595="","",SUMIFS(NKC!$H$7:$H$3006,NKC!$F$7:$F$3006,"331*",NKC!$I$7:$I$3006,$A595,NKC!$B$7:$B$3006,"&lt;="&amp;DEN_NGAY))</f>
        <v/>
      </c>
      <c r="F595" s="125">
        <f>IF($A595="","",SUMIFS(NKC!$H$7:$H$3006,NKC!$G$7:$G$3006,"331*",NKC!$I$7:$I$3006,$A595,NKC!$B$7:$B$3006,"&lt;="&amp;DEN_NGAY))</f>
        <v/>
      </c>
      <c r="G595" s="125">
        <f>IF($A595="","",MAX($C595-$D595+$E595-$F595,0))</f>
        <v/>
      </c>
      <c r="H595" s="125">
        <f>IF($A595="","",MAX(-($C595-$D595+$E595-$F595),0))</f>
        <v/>
      </c>
    </row>
    <row r="596" ht="15" customHeight="1" s="78">
      <c r="A596" s="96">
        <f>IF(DM_DT!$A290="","",DM_DT!$A290&amp;"")</f>
        <v/>
      </c>
      <c r="B596" s="97">
        <f>IF($A596="","",DM_DT!$B290)</f>
        <v/>
      </c>
      <c r="C596" s="125">
        <f>IF($A596="","",SUMIFS(SDDK!$D$256:$D$375,SDDK!$A$256:$A$375,"331",SDDK!$B$256:$B$375,$A596))</f>
        <v/>
      </c>
      <c r="D596" s="125">
        <f>IF($A596="","",SUMIFS(SDDK!$E$256:$E$375,SDDK!$A$256:$A$375,"331",SDDK!$B$256:$B$375,$A596))</f>
        <v/>
      </c>
      <c r="E596" s="125">
        <f>IF($A596="","",SUMIFS(NKC!$H$7:$H$3006,NKC!$F$7:$F$3006,"331*",NKC!$I$7:$I$3006,$A596,NKC!$B$7:$B$3006,"&lt;="&amp;DEN_NGAY))</f>
        <v/>
      </c>
      <c r="F596" s="125">
        <f>IF($A596="","",SUMIFS(NKC!$H$7:$H$3006,NKC!$G$7:$G$3006,"331*",NKC!$I$7:$I$3006,$A596,NKC!$B$7:$B$3006,"&lt;="&amp;DEN_NGAY))</f>
        <v/>
      </c>
      <c r="G596" s="125">
        <f>IF($A596="","",MAX($C596-$D596+$E596-$F596,0))</f>
        <v/>
      </c>
      <c r="H596" s="125">
        <f>IF($A596="","",MAX(-($C596-$D596+$E596-$F596),0))</f>
        <v/>
      </c>
    </row>
    <row r="597" ht="15" customHeight="1" s="78">
      <c r="A597" s="96">
        <f>IF(DM_DT!$A291="","",DM_DT!$A291&amp;"")</f>
        <v/>
      </c>
      <c r="B597" s="97">
        <f>IF($A597="","",DM_DT!$B291)</f>
        <v/>
      </c>
      <c r="C597" s="125">
        <f>IF($A597="","",SUMIFS(SDDK!$D$256:$D$375,SDDK!$A$256:$A$375,"331",SDDK!$B$256:$B$375,$A597))</f>
        <v/>
      </c>
      <c r="D597" s="125">
        <f>IF($A597="","",SUMIFS(SDDK!$E$256:$E$375,SDDK!$A$256:$A$375,"331",SDDK!$B$256:$B$375,$A597))</f>
        <v/>
      </c>
      <c r="E597" s="125">
        <f>IF($A597="","",SUMIFS(NKC!$H$7:$H$3006,NKC!$F$7:$F$3006,"331*",NKC!$I$7:$I$3006,$A597,NKC!$B$7:$B$3006,"&lt;="&amp;DEN_NGAY))</f>
        <v/>
      </c>
      <c r="F597" s="125">
        <f>IF($A597="","",SUMIFS(NKC!$H$7:$H$3006,NKC!$G$7:$G$3006,"331*",NKC!$I$7:$I$3006,$A597,NKC!$B$7:$B$3006,"&lt;="&amp;DEN_NGAY))</f>
        <v/>
      </c>
      <c r="G597" s="125">
        <f>IF($A597="","",MAX($C597-$D597+$E597-$F597,0))</f>
        <v/>
      </c>
      <c r="H597" s="125">
        <f>IF($A597="","",MAX(-($C597-$D597+$E597-$F597),0))</f>
        <v/>
      </c>
    </row>
    <row r="598" ht="15" customHeight="1" s="78">
      <c r="A598" s="96">
        <f>IF(DM_DT!$A292="","",DM_DT!$A292&amp;"")</f>
        <v/>
      </c>
      <c r="B598" s="97">
        <f>IF($A598="","",DM_DT!$B292)</f>
        <v/>
      </c>
      <c r="C598" s="125">
        <f>IF($A598="","",SUMIFS(SDDK!$D$256:$D$375,SDDK!$A$256:$A$375,"331",SDDK!$B$256:$B$375,$A598))</f>
        <v/>
      </c>
      <c r="D598" s="125">
        <f>IF($A598="","",SUMIFS(SDDK!$E$256:$E$375,SDDK!$A$256:$A$375,"331",SDDK!$B$256:$B$375,$A598))</f>
        <v/>
      </c>
      <c r="E598" s="125">
        <f>IF($A598="","",SUMIFS(NKC!$H$7:$H$3006,NKC!$F$7:$F$3006,"331*",NKC!$I$7:$I$3006,$A598,NKC!$B$7:$B$3006,"&lt;="&amp;DEN_NGAY))</f>
        <v/>
      </c>
      <c r="F598" s="125">
        <f>IF($A598="","",SUMIFS(NKC!$H$7:$H$3006,NKC!$G$7:$G$3006,"331*",NKC!$I$7:$I$3006,$A598,NKC!$B$7:$B$3006,"&lt;="&amp;DEN_NGAY))</f>
        <v/>
      </c>
      <c r="G598" s="125">
        <f>IF($A598="","",MAX($C598-$D598+$E598-$F598,0))</f>
        <v/>
      </c>
      <c r="H598" s="125">
        <f>IF($A598="","",MAX(-($C598-$D598+$E598-$F598),0))</f>
        <v/>
      </c>
    </row>
    <row r="599" ht="15" customHeight="1" s="78">
      <c r="A599" s="96">
        <f>IF(DM_DT!$A293="","",DM_DT!$A293&amp;"")</f>
        <v/>
      </c>
      <c r="B599" s="97">
        <f>IF($A599="","",DM_DT!$B293)</f>
        <v/>
      </c>
      <c r="C599" s="125">
        <f>IF($A599="","",SUMIFS(SDDK!$D$256:$D$375,SDDK!$A$256:$A$375,"331",SDDK!$B$256:$B$375,$A599))</f>
        <v/>
      </c>
      <c r="D599" s="125">
        <f>IF($A599="","",SUMIFS(SDDK!$E$256:$E$375,SDDK!$A$256:$A$375,"331",SDDK!$B$256:$B$375,$A599))</f>
        <v/>
      </c>
      <c r="E599" s="125">
        <f>IF($A599="","",SUMIFS(NKC!$H$7:$H$3006,NKC!$F$7:$F$3006,"331*",NKC!$I$7:$I$3006,$A599,NKC!$B$7:$B$3006,"&lt;="&amp;DEN_NGAY))</f>
        <v/>
      </c>
      <c r="F599" s="125">
        <f>IF($A599="","",SUMIFS(NKC!$H$7:$H$3006,NKC!$G$7:$G$3006,"331*",NKC!$I$7:$I$3006,$A599,NKC!$B$7:$B$3006,"&lt;="&amp;DEN_NGAY))</f>
        <v/>
      </c>
      <c r="G599" s="125">
        <f>IF($A599="","",MAX($C599-$D599+$E599-$F599,0))</f>
        <v/>
      </c>
      <c r="H599" s="125">
        <f>IF($A599="","",MAX(-($C599-$D599+$E599-$F599),0))</f>
        <v/>
      </c>
    </row>
    <row r="600" ht="15" customHeight="1" s="78">
      <c r="A600" s="96">
        <f>IF(DM_DT!$A294="","",DM_DT!$A294&amp;"")</f>
        <v/>
      </c>
      <c r="B600" s="97">
        <f>IF($A600="","",DM_DT!$B294)</f>
        <v/>
      </c>
      <c r="C600" s="125">
        <f>IF($A600="","",SUMIFS(SDDK!$D$256:$D$375,SDDK!$A$256:$A$375,"331",SDDK!$B$256:$B$375,$A600))</f>
        <v/>
      </c>
      <c r="D600" s="125">
        <f>IF($A600="","",SUMIFS(SDDK!$E$256:$E$375,SDDK!$A$256:$A$375,"331",SDDK!$B$256:$B$375,$A600))</f>
        <v/>
      </c>
      <c r="E600" s="125">
        <f>IF($A600="","",SUMIFS(NKC!$H$7:$H$3006,NKC!$F$7:$F$3006,"331*",NKC!$I$7:$I$3006,$A600,NKC!$B$7:$B$3006,"&lt;="&amp;DEN_NGAY))</f>
        <v/>
      </c>
      <c r="F600" s="125">
        <f>IF($A600="","",SUMIFS(NKC!$H$7:$H$3006,NKC!$G$7:$G$3006,"331*",NKC!$I$7:$I$3006,$A600,NKC!$B$7:$B$3006,"&lt;="&amp;DEN_NGAY))</f>
        <v/>
      </c>
      <c r="G600" s="125">
        <f>IF($A600="","",MAX($C600-$D600+$E600-$F600,0))</f>
        <v/>
      </c>
      <c r="H600" s="125">
        <f>IF($A600="","",MAX(-($C600-$D600+$E600-$F600),0))</f>
        <v/>
      </c>
    </row>
    <row r="601" ht="15" customHeight="1" s="78">
      <c r="A601" s="96">
        <f>IF(DM_DT!$A295="","",DM_DT!$A295&amp;"")</f>
        <v/>
      </c>
      <c r="B601" s="97">
        <f>IF($A601="","",DM_DT!$B295)</f>
        <v/>
      </c>
      <c r="C601" s="125">
        <f>IF($A601="","",SUMIFS(SDDK!$D$256:$D$375,SDDK!$A$256:$A$375,"331",SDDK!$B$256:$B$375,$A601))</f>
        <v/>
      </c>
      <c r="D601" s="125">
        <f>IF($A601="","",SUMIFS(SDDK!$E$256:$E$375,SDDK!$A$256:$A$375,"331",SDDK!$B$256:$B$375,$A601))</f>
        <v/>
      </c>
      <c r="E601" s="125">
        <f>IF($A601="","",SUMIFS(NKC!$H$7:$H$3006,NKC!$F$7:$F$3006,"331*",NKC!$I$7:$I$3006,$A601,NKC!$B$7:$B$3006,"&lt;="&amp;DEN_NGAY))</f>
        <v/>
      </c>
      <c r="F601" s="125">
        <f>IF($A601="","",SUMIFS(NKC!$H$7:$H$3006,NKC!$G$7:$G$3006,"331*",NKC!$I$7:$I$3006,$A601,NKC!$B$7:$B$3006,"&lt;="&amp;DEN_NGAY))</f>
        <v/>
      </c>
      <c r="G601" s="125">
        <f>IF($A601="","",MAX($C601-$D601+$E601-$F601,0))</f>
        <v/>
      </c>
      <c r="H601" s="125">
        <f>IF($A601="","",MAX(-($C601-$D601+$E601-$F601),0))</f>
        <v/>
      </c>
    </row>
    <row r="602" ht="15" customHeight="1" s="78">
      <c r="A602" s="96">
        <f>IF(DM_DT!$A296="","",DM_DT!$A296&amp;"")</f>
        <v/>
      </c>
      <c r="B602" s="97">
        <f>IF($A602="","",DM_DT!$B296)</f>
        <v/>
      </c>
      <c r="C602" s="125">
        <f>IF($A602="","",SUMIFS(SDDK!$D$256:$D$375,SDDK!$A$256:$A$375,"331",SDDK!$B$256:$B$375,$A602))</f>
        <v/>
      </c>
      <c r="D602" s="125">
        <f>IF($A602="","",SUMIFS(SDDK!$E$256:$E$375,SDDK!$A$256:$A$375,"331",SDDK!$B$256:$B$375,$A602))</f>
        <v/>
      </c>
      <c r="E602" s="125">
        <f>IF($A602="","",SUMIFS(NKC!$H$7:$H$3006,NKC!$F$7:$F$3006,"331*",NKC!$I$7:$I$3006,$A602,NKC!$B$7:$B$3006,"&lt;="&amp;DEN_NGAY))</f>
        <v/>
      </c>
      <c r="F602" s="125">
        <f>IF($A602="","",SUMIFS(NKC!$H$7:$H$3006,NKC!$G$7:$G$3006,"331*",NKC!$I$7:$I$3006,$A602,NKC!$B$7:$B$3006,"&lt;="&amp;DEN_NGAY))</f>
        <v/>
      </c>
      <c r="G602" s="125">
        <f>IF($A602="","",MAX($C602-$D602+$E602-$F602,0))</f>
        <v/>
      </c>
      <c r="H602" s="125">
        <f>IF($A602="","",MAX(-($C602-$D602+$E602-$F602),0))</f>
        <v/>
      </c>
    </row>
    <row r="603" ht="15" customHeight="1" s="78">
      <c r="A603" s="96">
        <f>IF(DM_DT!$A297="","",DM_DT!$A297&amp;"")</f>
        <v/>
      </c>
      <c r="B603" s="97">
        <f>IF($A603="","",DM_DT!$B297)</f>
        <v/>
      </c>
      <c r="C603" s="125">
        <f>IF($A603="","",SUMIFS(SDDK!$D$256:$D$375,SDDK!$A$256:$A$375,"331",SDDK!$B$256:$B$375,$A603))</f>
        <v/>
      </c>
      <c r="D603" s="125">
        <f>IF($A603="","",SUMIFS(SDDK!$E$256:$E$375,SDDK!$A$256:$A$375,"331",SDDK!$B$256:$B$375,$A603))</f>
        <v/>
      </c>
      <c r="E603" s="125">
        <f>IF($A603="","",SUMIFS(NKC!$H$7:$H$3006,NKC!$F$7:$F$3006,"331*",NKC!$I$7:$I$3006,$A603,NKC!$B$7:$B$3006,"&lt;="&amp;DEN_NGAY))</f>
        <v/>
      </c>
      <c r="F603" s="125">
        <f>IF($A603="","",SUMIFS(NKC!$H$7:$H$3006,NKC!$G$7:$G$3006,"331*",NKC!$I$7:$I$3006,$A603,NKC!$B$7:$B$3006,"&lt;="&amp;DEN_NGAY))</f>
        <v/>
      </c>
      <c r="G603" s="125">
        <f>IF($A603="","",MAX($C603-$D603+$E603-$F603,0))</f>
        <v/>
      </c>
      <c r="H603" s="125">
        <f>IF($A603="","",MAX(-($C603-$D603+$E603-$F603),0))</f>
        <v/>
      </c>
    </row>
    <row r="604" ht="15" customHeight="1" s="78">
      <c r="A604" s="96">
        <f>IF(DM_DT!$A298="","",DM_DT!$A298&amp;"")</f>
        <v/>
      </c>
      <c r="B604" s="97">
        <f>IF($A604="","",DM_DT!$B298)</f>
        <v/>
      </c>
      <c r="C604" s="125">
        <f>IF($A604="","",SUMIFS(SDDK!$D$256:$D$375,SDDK!$A$256:$A$375,"331",SDDK!$B$256:$B$375,$A604))</f>
        <v/>
      </c>
      <c r="D604" s="125">
        <f>IF($A604="","",SUMIFS(SDDK!$E$256:$E$375,SDDK!$A$256:$A$375,"331",SDDK!$B$256:$B$375,$A604))</f>
        <v/>
      </c>
      <c r="E604" s="125">
        <f>IF($A604="","",SUMIFS(NKC!$H$7:$H$3006,NKC!$F$7:$F$3006,"331*",NKC!$I$7:$I$3006,$A604,NKC!$B$7:$B$3006,"&lt;="&amp;DEN_NGAY))</f>
        <v/>
      </c>
      <c r="F604" s="125">
        <f>IF($A604="","",SUMIFS(NKC!$H$7:$H$3006,NKC!$G$7:$G$3006,"331*",NKC!$I$7:$I$3006,$A604,NKC!$B$7:$B$3006,"&lt;="&amp;DEN_NGAY))</f>
        <v/>
      </c>
      <c r="G604" s="125">
        <f>IF($A604="","",MAX($C604-$D604+$E604-$F604,0))</f>
        <v/>
      </c>
      <c r="H604" s="125">
        <f>IF($A604="","",MAX(-($C604-$D604+$E604-$F604),0))</f>
        <v/>
      </c>
    </row>
    <row r="605" ht="15" customHeight="1" s="78">
      <c r="A605" s="96">
        <f>IF(DM_DT!$A299="","",DM_DT!$A299&amp;"")</f>
        <v/>
      </c>
      <c r="B605" s="97">
        <f>IF($A605="","",DM_DT!$B299)</f>
        <v/>
      </c>
      <c r="C605" s="125">
        <f>IF($A605="","",SUMIFS(SDDK!$D$256:$D$375,SDDK!$A$256:$A$375,"331",SDDK!$B$256:$B$375,$A605))</f>
        <v/>
      </c>
      <c r="D605" s="125">
        <f>IF($A605="","",SUMIFS(SDDK!$E$256:$E$375,SDDK!$A$256:$A$375,"331",SDDK!$B$256:$B$375,$A605))</f>
        <v/>
      </c>
      <c r="E605" s="125">
        <f>IF($A605="","",SUMIFS(NKC!$H$7:$H$3006,NKC!$F$7:$F$3006,"331*",NKC!$I$7:$I$3006,$A605,NKC!$B$7:$B$3006,"&lt;="&amp;DEN_NGAY))</f>
        <v/>
      </c>
      <c r="F605" s="125">
        <f>IF($A605="","",SUMIFS(NKC!$H$7:$H$3006,NKC!$G$7:$G$3006,"331*",NKC!$I$7:$I$3006,$A605,NKC!$B$7:$B$3006,"&lt;="&amp;DEN_NGAY))</f>
        <v/>
      </c>
      <c r="G605" s="125">
        <f>IF($A605="","",MAX($C605-$D605+$E605-$F605,0))</f>
        <v/>
      </c>
      <c r="H605" s="125">
        <f>IF($A605="","",MAX(-($C605-$D605+$E605-$F605),0))</f>
        <v/>
      </c>
    </row>
    <row r="606" ht="15" customHeight="1" s="78">
      <c r="A606" s="96">
        <f>IF(DM_DT!$A300="","",DM_DT!$A300&amp;"")</f>
        <v/>
      </c>
      <c r="B606" s="97">
        <f>IF($A606="","",DM_DT!$B300)</f>
        <v/>
      </c>
      <c r="C606" s="125">
        <f>IF($A606="","",SUMIFS(SDDK!$D$256:$D$375,SDDK!$A$256:$A$375,"331",SDDK!$B$256:$B$375,$A606))</f>
        <v/>
      </c>
      <c r="D606" s="125">
        <f>IF($A606="","",SUMIFS(SDDK!$E$256:$E$375,SDDK!$A$256:$A$375,"331",SDDK!$B$256:$B$375,$A606))</f>
        <v/>
      </c>
      <c r="E606" s="125">
        <f>IF($A606="","",SUMIFS(NKC!$H$7:$H$3006,NKC!$F$7:$F$3006,"331*",NKC!$I$7:$I$3006,$A606,NKC!$B$7:$B$3006,"&lt;="&amp;DEN_NGAY))</f>
        <v/>
      </c>
      <c r="F606" s="125">
        <f>IF($A606="","",SUMIFS(NKC!$H$7:$H$3006,NKC!$G$7:$G$3006,"331*",NKC!$I$7:$I$3006,$A606,NKC!$B$7:$B$3006,"&lt;="&amp;DEN_NGAY))</f>
        <v/>
      </c>
      <c r="G606" s="125">
        <f>IF($A606="","",MAX($C606-$D606+$E606-$F606,0))</f>
        <v/>
      </c>
      <c r="H606" s="125">
        <f>IF($A606="","",MAX(-($C606-$D606+$E606-$F606),0))</f>
        <v/>
      </c>
    </row>
    <row r="607" ht="15" customHeight="1" s="78">
      <c r="A607" s="96">
        <f>IF(DM_DT!$A301="","",DM_DT!$A301&amp;"")</f>
        <v/>
      </c>
      <c r="B607" s="97">
        <f>IF($A607="","",DM_DT!$B301)</f>
        <v/>
      </c>
      <c r="C607" s="125">
        <f>IF($A607="","",SUMIFS(SDDK!$D$256:$D$375,SDDK!$A$256:$A$375,"331",SDDK!$B$256:$B$375,$A607))</f>
        <v/>
      </c>
      <c r="D607" s="125">
        <f>IF($A607="","",SUMIFS(SDDK!$E$256:$E$375,SDDK!$A$256:$A$375,"331",SDDK!$B$256:$B$375,$A607))</f>
        <v/>
      </c>
      <c r="E607" s="125">
        <f>IF($A607="","",SUMIFS(NKC!$H$7:$H$3006,NKC!$F$7:$F$3006,"331*",NKC!$I$7:$I$3006,$A607,NKC!$B$7:$B$3006,"&lt;="&amp;DEN_NGAY))</f>
        <v/>
      </c>
      <c r="F607" s="125">
        <f>IF($A607="","",SUMIFS(NKC!$H$7:$H$3006,NKC!$G$7:$G$3006,"331*",NKC!$I$7:$I$3006,$A607,NKC!$B$7:$B$3006,"&lt;="&amp;DEN_NGAY))</f>
        <v/>
      </c>
      <c r="G607" s="125">
        <f>IF($A607="","",MAX($C607-$D607+$E607-$F607,0))</f>
        <v/>
      </c>
      <c r="H607" s="125">
        <f>IF($A607="","",MAX(-($C607-$D607+$E607-$F607),0))</f>
        <v/>
      </c>
    </row>
    <row r="608" ht="15" customHeight="1" s="78">
      <c r="A608" s="96">
        <f>IF(DM_DT!$A302="","",DM_DT!$A302&amp;"")</f>
        <v/>
      </c>
      <c r="B608" s="97">
        <f>IF($A608="","",DM_DT!$B302)</f>
        <v/>
      </c>
      <c r="C608" s="125">
        <f>IF($A608="","",SUMIFS(SDDK!$D$256:$D$375,SDDK!$A$256:$A$375,"331",SDDK!$B$256:$B$375,$A608))</f>
        <v/>
      </c>
      <c r="D608" s="125">
        <f>IF($A608="","",SUMIFS(SDDK!$E$256:$E$375,SDDK!$A$256:$A$375,"331",SDDK!$B$256:$B$375,$A608))</f>
        <v/>
      </c>
      <c r="E608" s="125">
        <f>IF($A608="","",SUMIFS(NKC!$H$7:$H$3006,NKC!$F$7:$F$3006,"331*",NKC!$I$7:$I$3006,$A608,NKC!$B$7:$B$3006,"&lt;="&amp;DEN_NGAY))</f>
        <v/>
      </c>
      <c r="F608" s="125">
        <f>IF($A608="","",SUMIFS(NKC!$H$7:$H$3006,NKC!$G$7:$G$3006,"331*",NKC!$I$7:$I$3006,$A608,NKC!$B$7:$B$3006,"&lt;="&amp;DEN_NGAY))</f>
        <v/>
      </c>
      <c r="G608" s="125">
        <f>IF($A608="","",MAX($C608-$D608+$E608-$F608,0))</f>
        <v/>
      </c>
      <c r="H608" s="125">
        <f>IF($A608="","",MAX(-($C608-$D608+$E608-$F608),0))</f>
        <v/>
      </c>
    </row>
    <row r="609" ht="15" customHeight="1" s="78">
      <c r="A609" s="96">
        <f>IF(DM_DT!$A303="","",DM_DT!$A303&amp;"")</f>
        <v/>
      </c>
      <c r="B609" s="97">
        <f>IF($A609="","",DM_DT!$B303)</f>
        <v/>
      </c>
      <c r="C609" s="125">
        <f>IF($A609="","",SUMIFS(SDDK!$D$256:$D$375,SDDK!$A$256:$A$375,"331",SDDK!$B$256:$B$375,$A609))</f>
        <v/>
      </c>
      <c r="D609" s="125">
        <f>IF($A609="","",SUMIFS(SDDK!$E$256:$E$375,SDDK!$A$256:$A$375,"331",SDDK!$B$256:$B$375,$A609))</f>
        <v/>
      </c>
      <c r="E609" s="125">
        <f>IF($A609="","",SUMIFS(NKC!$H$7:$H$3006,NKC!$F$7:$F$3006,"331*",NKC!$I$7:$I$3006,$A609,NKC!$B$7:$B$3006,"&lt;="&amp;DEN_NGAY))</f>
        <v/>
      </c>
      <c r="F609" s="125">
        <f>IF($A609="","",SUMIFS(NKC!$H$7:$H$3006,NKC!$G$7:$G$3006,"331*",NKC!$I$7:$I$3006,$A609,NKC!$B$7:$B$3006,"&lt;="&amp;DEN_NGAY))</f>
        <v/>
      </c>
      <c r="G609" s="125">
        <f>IF($A609="","",MAX($C609-$D609+$E609-$F609,0))</f>
        <v/>
      </c>
      <c r="H609" s="125">
        <f>IF($A609="","",MAX(-($C609-$D609+$E609-$F609),0))</f>
        <v/>
      </c>
    </row>
    <row r="610" ht="15" customHeight="1" s="78">
      <c r="A610" s="96">
        <f>IF(DM_DT!$A304="","",DM_DT!$A304&amp;"")</f>
        <v/>
      </c>
      <c r="B610" s="97">
        <f>IF($A610="","",DM_DT!$B304)</f>
        <v/>
      </c>
      <c r="C610" s="125">
        <f>IF($A610="","",SUMIFS(SDDK!$D$256:$D$375,SDDK!$A$256:$A$375,"331",SDDK!$B$256:$B$375,$A610))</f>
        <v/>
      </c>
      <c r="D610" s="125">
        <f>IF($A610="","",SUMIFS(SDDK!$E$256:$E$375,SDDK!$A$256:$A$375,"331",SDDK!$B$256:$B$375,$A610))</f>
        <v/>
      </c>
      <c r="E610" s="125">
        <f>IF($A610="","",SUMIFS(NKC!$H$7:$H$3006,NKC!$F$7:$F$3006,"331*",NKC!$I$7:$I$3006,$A610,NKC!$B$7:$B$3006,"&lt;="&amp;DEN_NGAY))</f>
        <v/>
      </c>
      <c r="F610" s="125">
        <f>IF($A610="","",SUMIFS(NKC!$H$7:$H$3006,NKC!$G$7:$G$3006,"331*",NKC!$I$7:$I$3006,$A610,NKC!$B$7:$B$3006,"&lt;="&amp;DEN_NGAY))</f>
        <v/>
      </c>
      <c r="G610" s="125">
        <f>IF($A610="","",MAX($C610-$D610+$E610-$F610,0))</f>
        <v/>
      </c>
      <c r="H610" s="125">
        <f>IF($A610="","",MAX(-($C610-$D610+$E610-$F610),0))</f>
        <v/>
      </c>
    </row>
    <row r="611" ht="15" customHeight="1" s="78">
      <c r="A611" s="96">
        <f>IF(DM_DT!$A305="","",DM_DT!$A305&amp;"")</f>
        <v/>
      </c>
      <c r="B611" s="97">
        <f>IF($A611="","",DM_DT!$B305)</f>
        <v/>
      </c>
      <c r="C611" s="125">
        <f>IF($A611="","",SUMIFS(SDDK!$D$256:$D$375,SDDK!$A$256:$A$375,"331",SDDK!$B$256:$B$375,$A611))</f>
        <v/>
      </c>
      <c r="D611" s="125">
        <f>IF($A611="","",SUMIFS(SDDK!$E$256:$E$375,SDDK!$A$256:$A$375,"331",SDDK!$B$256:$B$375,$A611))</f>
        <v/>
      </c>
      <c r="E611" s="125">
        <f>IF($A611="","",SUMIFS(NKC!$H$7:$H$3006,NKC!$F$7:$F$3006,"331*",NKC!$I$7:$I$3006,$A611,NKC!$B$7:$B$3006,"&lt;="&amp;DEN_NGAY))</f>
        <v/>
      </c>
      <c r="F611" s="125">
        <f>IF($A611="","",SUMIFS(NKC!$H$7:$H$3006,NKC!$G$7:$G$3006,"331*",NKC!$I$7:$I$3006,$A611,NKC!$B$7:$B$3006,"&lt;="&amp;DEN_NGAY))</f>
        <v/>
      </c>
      <c r="G611" s="125">
        <f>IF($A611="","",MAX($C611-$D611+$E611-$F611,0))</f>
        <v/>
      </c>
      <c r="H611" s="125">
        <f>IF($A611="","",MAX(-($C611-$D611+$E611-$F611),0))</f>
        <v/>
      </c>
    </row>
    <row r="612" ht="15" customHeight="1" s="78">
      <c r="A612" s="96">
        <f>IF(DM_DT!$A306="","",DM_DT!$A306&amp;"")</f>
        <v/>
      </c>
      <c r="B612" s="97">
        <f>IF($A612="","",DM_DT!$B306)</f>
        <v/>
      </c>
      <c r="C612" s="125">
        <f>IF($A612="","",SUMIFS(SDDK!$D$256:$D$375,SDDK!$A$256:$A$375,"331",SDDK!$B$256:$B$375,$A612))</f>
        <v/>
      </c>
      <c r="D612" s="125">
        <f>IF($A612="","",SUMIFS(SDDK!$E$256:$E$375,SDDK!$A$256:$A$375,"331",SDDK!$B$256:$B$375,$A612))</f>
        <v/>
      </c>
      <c r="E612" s="125">
        <f>IF($A612="","",SUMIFS(NKC!$H$7:$H$3006,NKC!$F$7:$F$3006,"331*",NKC!$I$7:$I$3006,$A612,NKC!$B$7:$B$3006,"&lt;="&amp;DEN_NGAY))</f>
        <v/>
      </c>
      <c r="F612" s="125">
        <f>IF($A612="","",SUMIFS(NKC!$H$7:$H$3006,NKC!$G$7:$G$3006,"331*",NKC!$I$7:$I$3006,$A612,NKC!$B$7:$B$3006,"&lt;="&amp;DEN_NGAY))</f>
        <v/>
      </c>
      <c r="G612" s="125">
        <f>IF($A612="","",MAX($C612-$D612+$E612-$F612,0))</f>
        <v/>
      </c>
      <c r="H612" s="125">
        <f>IF($A612="","",MAX(-($C612-$D612+$E612-$F612),0))</f>
        <v/>
      </c>
    </row>
    <row r="613" ht="15" customHeight="1" s="78">
      <c r="A613" s="126" t="inlineStr">
        <is>
          <t>TỔNG</t>
        </is>
      </c>
      <c r="B613" s="127" t="inlineStr">
        <is>
          <t>Cộng TK 331</t>
        </is>
      </c>
      <c r="C613" s="105">
        <f>SUM(C313:C612)</f>
        <v/>
      </c>
      <c r="D613" s="105">
        <f>SUM(D313:D612)</f>
        <v/>
      </c>
      <c r="E613" s="105">
        <f>SUM(E313:E612)</f>
        <v/>
      </c>
      <c r="F613" s="105">
        <f>SUM(F313:F612)</f>
        <v/>
      </c>
      <c r="G613" s="105">
        <f>SUM(G313:G612)</f>
        <v/>
      </c>
      <c r="H613" s="105">
        <f>SUM(H313:H612)</f>
        <v/>
      </c>
    </row>
  </sheetData>
  <sheetProtection selectLockedCells="0" selectUnlockedCells="0" sheet="1" objects="0" insertRows="1" insertHyperlinks="1" autoFilter="0" scenarios="0" formatColumns="0" deleteColumns="1" insertColumns="1" pivotTables="1" deleteRows="1" formatCells="0" formatRows="0" sort="0"/>
  <mergeCells count="3">
    <mergeCell ref="A2:H2"/>
    <mergeCell ref="A310:H310"/>
    <mergeCell ref="A5:H5"/>
  </mergeCells>
  <printOptions horizontalCentered="0" verticalCentered="0" headings="0" gridLines="0" gridLinesSet="1"/>
  <pageMargins left="0.75" right="0.75" top="1" bottom="1" header="0.511811023622047" footer="0.5"/>
  <pageSetup orientation="landscape" paperSize="9" scale="100" fitToHeight="0" fitToWidth="1" pageOrder="downThenOver" blackAndWhite="0" draft="0" horizontalDpi="300" verticalDpi="300" copies="1"/>
  <headerFooter differentOddEven="0" differentFirst="0">
    <oddHeader/>
    <oddFooter>&amp;L&amp;8 &amp;K808080Mr Wick Kiểm toán — Phần mềm kế toán TT 99/2025&amp;R&amp;8 &amp;K808080Trang &amp;P/&amp;N</oddFooter>
    <evenHeader/>
    <evenFooter/>
    <firstHeader/>
    <firstFooter/>
  </headerFooter>
</worksheet>
</file>

<file path=xl/worksheets/sheet10.xml><?xml version="1.0" encoding="utf-8"?>
<worksheet xmlns="http://schemas.openxmlformats.org/spreadsheetml/2006/main">
  <sheetPr filterMode="0">
    <outlinePr summaryBelow="1" summaryRight="1"/>
    <pageSetUpPr fitToPage="1"/>
  </sheetPr>
  <dimension ref="A1:L141"/>
  <sheetViews>
    <sheetView showFormulas="0" showGridLines="0" showRowColHeaders="1" showZeros="1" rightToLeft="0" tabSelected="0" showOutlineSymbols="1" defaultGridColor="1"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77" min="1" max="1"/>
    <col width="58" customWidth="1" style="77" min="2" max="2"/>
    <col width="8" customWidth="1" style="77" min="3" max="3"/>
    <col width="10" customWidth="1" style="77" min="4" max="4"/>
    <col width="17" customWidth="1" style="77" min="5" max="6"/>
    <col width="3" customWidth="1" style="77" min="7" max="7"/>
    <col width="44" customWidth="1" style="77" min="8" max="8"/>
    <col width="8" customWidth="1" style="77" min="9" max="10"/>
    <col width="15" customWidth="1" style="77" min="11" max="12"/>
  </cols>
  <sheetData>
    <row r="1" ht="15" customHeight="1" s="78">
      <c r="A1" s="88">
        <f>TT_DN!$C$5</f>
        <v/>
      </c>
      <c r="E1" s="118" t="inlineStr">
        <is>
          <t>Mẫu số B01-DN</t>
        </is>
      </c>
    </row>
    <row r="2" ht="53.7" customHeight="1" s="78">
      <c r="A2" s="89">
        <f>TT_DN!$C$7</f>
        <v/>
      </c>
      <c r="E2" s="117" t="inlineStr">
        <is>
          <t>(Ban hành kèm theo Thông tư số 99/2025/TT-BTC ngày 27/10/2025 của Bộ Tài chính)</t>
        </is>
      </c>
    </row>
    <row r="3" ht="17.35" customHeight="1" s="78">
      <c r="A3" s="84" t="inlineStr">
        <is>
          <t>BÁO CÁO TÌNH HÌNH TÀI CHÍNH</t>
        </is>
      </c>
    </row>
    <row r="4" ht="15" customHeight="1" s="78">
      <c r="A4" s="119">
        <f>CONCATENATE("Tại ngày ",TEXT(DEN_NGAY,"DD/MM/YYYY")," — Đơn vị tính: Đồng Việt Nam")</f>
        <v/>
      </c>
    </row>
    <row r="5"/>
    <row r="6"/>
    <row r="7" ht="15" customHeight="1" s="78">
      <c r="H7" s="88" t="inlineStr">
        <is>
          <t>PHÂN LOẠI LẠI NGẮN HẠN/DÀI HẠN &amp; TƯƠNG ĐƯƠNG TIỀN (nhập số dương)</t>
        </is>
      </c>
    </row>
    <row r="8" ht="27.75" customHeight="1" s="78">
      <c r="B8" s="92" t="inlineStr">
        <is>
          <t>CHỈ TIÊU</t>
        </is>
      </c>
      <c r="C8" s="92" t="inlineStr">
        <is>
          <t>Mã số</t>
        </is>
      </c>
      <c r="D8" s="92" t="inlineStr">
        <is>
          <t>Thuyết minh</t>
        </is>
      </c>
      <c r="E8" s="92" t="inlineStr">
        <is>
          <t>Số cuối kỳ</t>
        </is>
      </c>
      <c r="F8" s="92" t="inlineStr">
        <is>
          <t>Số đầu năm</t>
        </is>
      </c>
      <c r="H8" s="133" t="inlineStr">
        <is>
          <t>Nội dung</t>
        </is>
      </c>
      <c r="I8" s="133" t="inlineStr">
        <is>
          <t>Từ mã</t>
        </is>
      </c>
      <c r="J8" s="133" t="inlineStr">
        <is>
          <t>Sang mã</t>
        </is>
      </c>
      <c r="K8" s="133" t="inlineStr">
        <is>
          <t>Số cuối kỳ</t>
        </is>
      </c>
      <c r="L8" s="133" t="inlineStr">
        <is>
          <t>Số đầu năm</t>
        </is>
      </c>
    </row>
    <row r="9" ht="15" customHeight="1" s="78">
      <c r="A9" s="134" t="n"/>
      <c r="B9" s="135" t="inlineStr">
        <is>
          <t>A. TÀI SẢN NGẮN HẠN</t>
        </is>
      </c>
      <c r="C9" s="136" t="inlineStr">
        <is>
          <t>100</t>
        </is>
      </c>
      <c r="D9" s="137" t="n"/>
      <c r="E9" s="138">
        <f>E10+E13+E20+E28+E31+E35</f>
        <v/>
      </c>
      <c r="F9" s="138">
        <f>F10+F13+F20+F28+F31+F35</f>
        <v/>
      </c>
      <c r="H9" s="97" t="inlineStr">
        <is>
          <t>Tương đương tiền (đầu tư ≤ 3 tháng)</t>
        </is>
      </c>
      <c r="I9" s="102" t="inlineStr">
        <is>
          <t>123</t>
        </is>
      </c>
      <c r="J9" s="102" t="inlineStr">
        <is>
          <t>112</t>
        </is>
      </c>
      <c r="K9" s="107" t="n"/>
      <c r="L9" s="107" t="n"/>
    </row>
    <row r="10" ht="15" customHeight="1" s="78">
      <c r="A10" s="139" t="n"/>
      <c r="B10" s="140" t="inlineStr">
        <is>
          <t xml:space="preserve">    I. Tiền và các khoản tương đương tiền</t>
        </is>
      </c>
      <c r="C10" s="141" t="inlineStr">
        <is>
          <t>110</t>
        </is>
      </c>
      <c r="D10" s="95" t="n"/>
      <c r="E10" s="123">
        <f>E11+E12</f>
        <v/>
      </c>
      <c r="F10" s="123">
        <f>F11+F12</f>
        <v/>
      </c>
      <c r="H10" s="97" t="inlineStr">
        <is>
          <t>Dự phòng đầu tư nắm giữ đến đáo hạn NH</t>
        </is>
      </c>
      <c r="I10" s="102" t="inlineStr">
        <is>
          <t>264</t>
        </is>
      </c>
      <c r="J10" s="102" t="inlineStr">
        <is>
          <t>124</t>
        </is>
      </c>
      <c r="K10" s="107" t="n"/>
      <c r="L10" s="107" t="n"/>
    </row>
    <row r="11" ht="15" customHeight="1" s="78">
      <c r="A11" s="139" t="n"/>
      <c r="B11" s="97" t="inlineStr">
        <is>
          <t xml:space="preserve">        1. Tiền</t>
        </is>
      </c>
      <c r="C11" s="96" t="inlineStr">
        <is>
          <t>111</t>
        </is>
      </c>
      <c r="D11" s="95" t="inlineStr">
        <is>
          <t>V.1</t>
        </is>
      </c>
      <c r="E11" s="125">
        <f>CDPS!$H$8+CDPS!$H$9+CDPS!$H$10+SUMIF($J$9:$J$30,$C11,$K$9:$K$30)-SUMIF($I$9:$I$30,$C11,$K$9:$K$30)</f>
        <v/>
      </c>
      <c r="F11" s="125">
        <f>CDPS!$D$8+CDPS!$D$9+CDPS!$D$10+SUMIF($J$9:$J$30,$C11,$L$9:$L$30)-SUMIF($I$9:$I$30,$C11,$L$9:$L$30)</f>
        <v/>
      </c>
      <c r="H11" s="97" t="inlineStr">
        <is>
          <t>Đầu tư ngắn hạn khác</t>
        </is>
      </c>
      <c r="I11" s="102" t="inlineStr">
        <is>
          <t>274</t>
        </is>
      </c>
      <c r="J11" s="102" t="inlineStr">
        <is>
          <t>125</t>
        </is>
      </c>
      <c r="K11" s="107" t="n"/>
      <c r="L11" s="107" t="n"/>
    </row>
    <row r="12" ht="15" customHeight="1" s="78">
      <c r="A12" s="139" t="n"/>
      <c r="B12" s="97" t="inlineStr">
        <is>
          <t xml:space="preserve">        2. Các khoản tương đương tiền</t>
        </is>
      </c>
      <c r="C12" s="96" t="inlineStr">
        <is>
          <t>112</t>
        </is>
      </c>
      <c r="D12" s="95" t="inlineStr">
        <is>
          <t>V.1</t>
        </is>
      </c>
      <c r="E12" s="125">
        <f>0+SUMIF($J$9:$J$30,$C12,$K$9:$K$30)-SUMIF($I$9:$I$30,$C12,$K$9:$K$30)</f>
        <v/>
      </c>
      <c r="F12" s="125">
        <f>0+SUMIF($J$9:$J$30,$C12,$L$9:$L$30)-SUMIF($I$9:$I$30,$C12,$L$9:$L$30)</f>
        <v/>
      </c>
      <c r="H12" s="97" t="inlineStr">
        <is>
          <t>Tài sản sinh học ngắn hạn → dài hạn</t>
        </is>
      </c>
      <c r="I12" s="102" t="inlineStr">
        <is>
          <t>151</t>
        </is>
      </c>
      <c r="J12" s="102" t="inlineStr">
        <is>
          <t>236</t>
        </is>
      </c>
      <c r="K12" s="107" t="n"/>
      <c r="L12" s="107" t="n"/>
    </row>
    <row r="13" ht="15" customHeight="1" s="78">
      <c r="A13" s="139" t="n"/>
      <c r="B13" s="140" t="inlineStr">
        <is>
          <t xml:space="preserve">    II. Đầu tư tài chính ngắn hạn</t>
        </is>
      </c>
      <c r="C13" s="141" t="inlineStr">
        <is>
          <t>120</t>
        </is>
      </c>
      <c r="D13" s="95" t="n"/>
      <c r="E13" s="123">
        <f>E14+E15+E16+E17+E18+E19</f>
        <v/>
      </c>
      <c r="F13" s="123">
        <f>F14+F15+F16+F17+F18+F19</f>
        <v/>
      </c>
      <c r="H13" s="97" t="inlineStr">
        <is>
          <t>Phải thu KH có kỳ hạn thu &gt; 12 tháng</t>
        </is>
      </c>
      <c r="I13" s="102" t="inlineStr">
        <is>
          <t>131</t>
        </is>
      </c>
      <c r="J13" s="102" t="inlineStr">
        <is>
          <t>211</t>
        </is>
      </c>
      <c r="K13" s="107" t="n"/>
      <c r="L13" s="107" t="n"/>
    </row>
    <row r="14" ht="15" customHeight="1" s="78">
      <c r="A14" s="139" t="n"/>
      <c r="B14" s="97" t="inlineStr">
        <is>
          <t xml:space="preserve">        1. Chứng khoán kinh doanh</t>
        </is>
      </c>
      <c r="C14" s="96" t="inlineStr">
        <is>
          <t>121</t>
        </is>
      </c>
      <c r="D14" s="95" t="inlineStr">
        <is>
          <t>V.2</t>
        </is>
      </c>
      <c r="E14" s="125">
        <f>CDPS!$H$11+SUMIF($J$9:$J$30,$C14,$K$9:$K$30)-SUMIF($I$9:$I$30,$C14,$K$9:$K$30)</f>
        <v/>
      </c>
      <c r="F14" s="125">
        <f>CDPS!$D$11+SUMIF($J$9:$J$30,$C14,$L$9:$L$30)-SUMIF($I$9:$I$30,$C14,$L$9:$L$30)</f>
        <v/>
      </c>
      <c r="H14" s="97" t="inlineStr">
        <is>
          <t>Trả trước người bán &gt; 12 tháng</t>
        </is>
      </c>
      <c r="I14" s="102" t="inlineStr">
        <is>
          <t>132</t>
        </is>
      </c>
      <c r="J14" s="102" t="inlineStr">
        <is>
          <t>212</t>
        </is>
      </c>
      <c r="K14" s="107" t="n"/>
      <c r="L14" s="107" t="n"/>
    </row>
    <row r="15" ht="15" customHeight="1" s="78">
      <c r="A15" s="139" t="n"/>
      <c r="B15" s="97" t="inlineStr">
        <is>
          <t xml:space="preserve">        2. Dự phòng giảm giá chứng khoán kinh doanh (*)</t>
        </is>
      </c>
      <c r="C15" s="96" t="inlineStr">
        <is>
          <t>122</t>
        </is>
      </c>
      <c r="D15" s="95" t="n"/>
      <c r="E15" s="125">
        <f>-CDPS!$I$63+SUMIF($J$9:$J$30,$C15,$K$9:$K$30)-SUMIF($I$9:$I$30,$C15,$K$9:$K$30)</f>
        <v/>
      </c>
      <c r="F15" s="125">
        <f>-CDPS!$E$63+SUMIF($J$9:$J$30,$C15,$L$9:$L$30)-SUMIF($I$9:$I$30,$C15,$L$9:$L$30)</f>
        <v/>
      </c>
      <c r="H15" s="97" t="inlineStr">
        <is>
          <t>Phải thu khác &gt; 12 tháng</t>
        </is>
      </c>
      <c r="I15" s="102" t="inlineStr">
        <is>
          <t>135</t>
        </is>
      </c>
      <c r="J15" s="102" t="inlineStr">
        <is>
          <t>215</t>
        </is>
      </c>
      <c r="K15" s="107" t="n"/>
      <c r="L15" s="107" t="n"/>
    </row>
    <row r="16" ht="15" customHeight="1" s="78">
      <c r="A16" s="139" t="n"/>
      <c r="B16" s="97" t="inlineStr">
        <is>
          <t xml:space="preserve">        3. Đầu tư nắm giữ đến ngày đáo hạn ngắn hạn</t>
        </is>
      </c>
      <c r="C16" s="96" t="inlineStr">
        <is>
          <t>123</t>
        </is>
      </c>
      <c r="D16" s="95" t="inlineStr">
        <is>
          <t>V.2</t>
        </is>
      </c>
      <c r="E16" s="125">
        <f>0+SUMIF($J$9:$J$30,$C16,$K$9:$K$30)-SUMIF($I$9:$I$30,$C16,$K$9:$K$30)</f>
        <v/>
      </c>
      <c r="F16" s="125">
        <f>0+SUMIF($J$9:$J$30,$C16,$L$9:$L$30)-SUMIF($I$9:$I$30,$C16,$L$9:$L$30)</f>
        <v/>
      </c>
      <c r="H16" s="97" t="inlineStr">
        <is>
          <t>Đầu tư nắm giữ đến đáo hạn &gt; 12 tháng</t>
        </is>
      </c>
      <c r="I16" s="102" t="inlineStr">
        <is>
          <t>123</t>
        </is>
      </c>
      <c r="J16" s="102" t="inlineStr">
        <is>
          <t>265</t>
        </is>
      </c>
      <c r="K16" s="107" t="n"/>
      <c r="L16" s="107" t="n"/>
    </row>
    <row r="17" ht="15" customHeight="1" s="78">
      <c r="A17" s="139" t="n"/>
      <c r="B17" s="97" t="inlineStr">
        <is>
          <t xml:space="preserve">        4. Dự phòng đầu tư nắm giữ đến ngày đáo hạn ngắn hạn (*)</t>
        </is>
      </c>
      <c r="C17" s="96" t="inlineStr">
        <is>
          <t>124</t>
        </is>
      </c>
      <c r="D17" s="95" t="n"/>
      <c r="E17" s="125">
        <f>0+SUMIF($J$9:$J$30,$C17,$K$9:$K$30)-SUMIF($I$9:$I$30,$C17,$K$9:$K$30)</f>
        <v/>
      </c>
      <c r="F17" s="125">
        <f>0+SUMIF($J$9:$J$30,$C17,$L$9:$L$30)-SUMIF($I$9:$I$30,$C17,$L$9:$L$30)</f>
        <v/>
      </c>
      <c r="H17" s="97" t="inlineStr">
        <is>
          <t>Chi phí chờ phân bổ &gt; 12 tháng</t>
        </is>
      </c>
      <c r="I17" s="102" t="inlineStr">
        <is>
          <t>161</t>
        </is>
      </c>
      <c r="J17" s="102" t="inlineStr">
        <is>
          <t>271</t>
        </is>
      </c>
      <c r="K17" s="107" t="n"/>
      <c r="L17" s="107" t="n"/>
    </row>
    <row r="18" ht="25.35" customHeight="1" s="78">
      <c r="A18" s="139" t="n"/>
      <c r="B18" s="97" t="inlineStr">
        <is>
          <t xml:space="preserve">        5. Đầu tư ngắn hạn khác</t>
        </is>
      </c>
      <c r="C18" s="96" t="inlineStr">
        <is>
          <t>125</t>
        </is>
      </c>
      <c r="D18" s="95" t="n"/>
      <c r="E18" s="125">
        <f>0+SUMIF($J$9:$J$30,$C18,$K$9:$K$30)-SUMIF($I$9:$I$30,$C18,$K$9:$K$30)</f>
        <v/>
      </c>
      <c r="F18" s="125">
        <f>0+SUMIF($J$9:$J$30,$C18,$L$9:$L$30)-SUMIF($I$9:$I$30,$C18,$L$9:$L$30)</f>
        <v/>
      </c>
      <c r="H18" s="97" t="inlineStr">
        <is>
          <t>Hàng tồn kho chậm luân chuyển/dở dang &gt; 12 tháng</t>
        </is>
      </c>
      <c r="I18" s="102" t="inlineStr">
        <is>
          <t>141</t>
        </is>
      </c>
      <c r="J18" s="102" t="inlineStr">
        <is>
          <t>251</t>
        </is>
      </c>
      <c r="K18" s="107" t="n"/>
      <c r="L18" s="107" t="n"/>
    </row>
    <row r="19" ht="15" customHeight="1" s="78">
      <c r="A19" s="139" t="n"/>
      <c r="B19" s="97" t="inlineStr">
        <is>
          <t xml:space="preserve">        6. Dự phòng tổn thất đầu tư ngắn hạn khác (*)</t>
        </is>
      </c>
      <c r="C19" s="96" t="inlineStr">
        <is>
          <t>126</t>
        </is>
      </c>
      <c r="D19" s="95" t="n"/>
      <c r="E19" s="125">
        <f>0+SUMIF($J$9:$J$30,$C19,$K$9:$K$30)-SUMIF($I$9:$I$30,$C19,$K$9:$K$30)</f>
        <v/>
      </c>
      <c r="F19" s="125">
        <f>0+SUMIF($J$9:$J$30,$C19,$L$9:$L$30)-SUMIF($I$9:$I$30,$C19,$L$9:$L$30)</f>
        <v/>
      </c>
      <c r="H19" s="97" t="inlineStr">
        <is>
          <t>Thiết bị, vật tư thay thế &gt; 12 tháng</t>
        </is>
      </c>
      <c r="I19" s="102" t="inlineStr">
        <is>
          <t>141</t>
        </is>
      </c>
      <c r="J19" s="102" t="inlineStr">
        <is>
          <t>273</t>
        </is>
      </c>
      <c r="K19" s="107" t="n"/>
      <c r="L19" s="107" t="n"/>
    </row>
    <row r="20" ht="15" customHeight="1" s="78">
      <c r="A20" s="139" t="n"/>
      <c r="B20" s="140" t="inlineStr">
        <is>
          <t xml:space="preserve">    III. Các khoản phải thu ngắn hạn</t>
        </is>
      </c>
      <c r="C20" s="141" t="inlineStr">
        <is>
          <t>130</t>
        </is>
      </c>
      <c r="D20" s="95" t="n"/>
      <c r="E20" s="123">
        <f>E21+E22+E23+E24+E25+E26+E27</f>
        <v/>
      </c>
      <c r="F20" s="123">
        <f>F21+F22+F23+F24+F25+F26+F27</f>
        <v/>
      </c>
      <c r="H20" s="97" t="inlineStr">
        <is>
          <t>Phải trả người bán &gt; 12 tháng</t>
        </is>
      </c>
      <c r="I20" s="102" t="inlineStr">
        <is>
          <t>311</t>
        </is>
      </c>
      <c r="J20" s="102" t="inlineStr">
        <is>
          <t>331</t>
        </is>
      </c>
      <c r="K20" s="107" t="n"/>
      <c r="L20" s="107" t="n"/>
    </row>
    <row r="21" ht="15" customHeight="1" s="78">
      <c r="A21" s="139" t="n"/>
      <c r="B21" s="97" t="inlineStr">
        <is>
          <t xml:space="preserve">        1. Phải thu ngắn hạn của khách hàng</t>
        </is>
      </c>
      <c r="C21" s="96" t="inlineStr">
        <is>
          <t>131</t>
        </is>
      </c>
      <c r="D21" s="95" t="inlineStr">
        <is>
          <t>V.3</t>
        </is>
      </c>
      <c r="E21" s="125">
        <f>CONGNO!$G$308+SUMIF($J$9:$J$30,$C21,$K$9:$K$30)-SUMIF($I$9:$I$30,$C21,$K$9:$K$30)</f>
        <v/>
      </c>
      <c r="F21" s="125">
        <f>CONGNO!$C$308+SUMIF($J$9:$J$30,$C21,$L$9:$L$30)-SUMIF($I$9:$I$30,$C21,$L$9:$L$30)</f>
        <v/>
      </c>
      <c r="H21" s="97" t="inlineStr">
        <is>
          <t>Người mua trả trước &gt; 12 tháng</t>
        </is>
      </c>
      <c r="I21" s="102" t="inlineStr">
        <is>
          <t>312</t>
        </is>
      </c>
      <c r="J21" s="102" t="inlineStr">
        <is>
          <t>332</t>
        </is>
      </c>
      <c r="K21" s="107" t="n"/>
      <c r="L21" s="107" t="n"/>
    </row>
    <row r="22" ht="15" customHeight="1" s="78">
      <c r="A22" s="139" t="n"/>
      <c r="B22" s="97" t="inlineStr">
        <is>
          <t xml:space="preserve">        2. Trả trước cho người bán ngắn hạn</t>
        </is>
      </c>
      <c r="C22" s="96" t="inlineStr">
        <is>
          <t>132</t>
        </is>
      </c>
      <c r="D22" s="95" t="inlineStr">
        <is>
          <t>V.3</t>
        </is>
      </c>
      <c r="E22" s="125">
        <f>CONGNO!$G$613+SUMIF($J$9:$J$30,$C22,$K$9:$K$30)-SUMIF($I$9:$I$30,$C22,$K$9:$K$30)</f>
        <v/>
      </c>
      <c r="F22" s="125">
        <f>CONGNO!$C$613+SUMIF($J$9:$J$30,$C22,$L$9:$L$30)-SUMIF($I$9:$I$30,$C22,$L$9:$L$30)</f>
        <v/>
      </c>
      <c r="H22" s="97" t="inlineStr">
        <is>
          <t>Chi phí phải trả &gt; 12 tháng</t>
        </is>
      </c>
      <c r="I22" s="102" t="inlineStr">
        <is>
          <t>316</t>
        </is>
      </c>
      <c r="J22" s="102" t="inlineStr">
        <is>
          <t>334</t>
        </is>
      </c>
      <c r="K22" s="107" t="n"/>
      <c r="L22" s="107" t="n"/>
    </row>
    <row r="23" ht="15" customHeight="1" s="78">
      <c r="A23" s="139" t="n"/>
      <c r="B23" s="97" t="inlineStr">
        <is>
          <t xml:space="preserve">        3. Phải thu nội bộ ngắn hạn</t>
        </is>
      </c>
      <c r="C23" s="96" t="inlineStr">
        <is>
          <t>133</t>
        </is>
      </c>
      <c r="D23" s="95" t="n"/>
      <c r="E23" s="125">
        <f>CDPS!$H$23+CDPS!$H$24+CDPS!$H$25+SUMIF($J$9:$J$30,$C23,$K$9:$K$30)-SUMIF($I$9:$I$30,$C23,$K$9:$K$30)</f>
        <v/>
      </c>
      <c r="F23" s="125">
        <f>CDPS!$D$23+CDPS!$D$24+CDPS!$D$25+SUMIF($J$9:$J$30,$C23,$L$9:$L$30)-SUMIF($I$9:$I$30,$C23,$L$9:$L$30)</f>
        <v/>
      </c>
      <c r="H23" s="97" t="inlineStr">
        <is>
          <t>Doanh thu chờ phân bổ &gt; 12 tháng</t>
        </is>
      </c>
      <c r="I23" s="102" t="inlineStr">
        <is>
          <t>319</t>
        </is>
      </c>
      <c r="J23" s="102" t="inlineStr">
        <is>
          <t>337</t>
        </is>
      </c>
      <c r="K23" s="107" t="n"/>
      <c r="L23" s="107" t="n"/>
    </row>
    <row r="24" ht="15" customHeight="1" s="78">
      <c r="A24" s="139" t="n"/>
      <c r="B24" s="97" t="inlineStr">
        <is>
          <t xml:space="preserve">        4. Phải thu theo tiến độ kế hoạch hợp đồng xây dựng</t>
        </is>
      </c>
      <c r="C24" s="96" t="inlineStr">
        <is>
          <t>134</t>
        </is>
      </c>
      <c r="D24" s="95" t="n"/>
      <c r="E24" s="125">
        <f>CDPS!$H$99+SUMIF($J$9:$J$30,$C24,$K$9:$K$30)-SUMIF($I$9:$I$30,$C24,$K$9:$K$30)</f>
        <v/>
      </c>
      <c r="F24" s="125">
        <f>CDPS!$D$99+SUMIF($J$9:$J$30,$C24,$L$9:$L$30)-SUMIF($I$9:$I$30,$C24,$L$9:$L$30)</f>
        <v/>
      </c>
      <c r="H24" s="97" t="inlineStr">
        <is>
          <t>Phải trả khác &gt; 12 tháng</t>
        </is>
      </c>
      <c r="I24" s="102" t="inlineStr">
        <is>
          <t>320</t>
        </is>
      </c>
      <c r="J24" s="102" t="inlineStr">
        <is>
          <t>338</t>
        </is>
      </c>
      <c r="K24" s="107" t="n"/>
      <c r="L24" s="107" t="n"/>
    </row>
    <row r="25" ht="15" customHeight="1" s="78">
      <c r="A25" s="139" t="n"/>
      <c r="B25" s="97" t="inlineStr">
        <is>
          <t xml:space="preserve">        5. Phải thu ngắn hạn khác</t>
        </is>
      </c>
      <c r="C25" s="96" t="inlineStr">
        <is>
          <t>135</t>
        </is>
      </c>
      <c r="D25" s="95" t="n"/>
      <c r="E25" s="125">
        <f>CDPS!$H$29+CDPS!$H$30+CDPS!$H$75+CDPS!$H$92+CDPS!$H$100+SUMIF($J$9:$J$30,$C25,$K$9:$K$30)-SUMIF($I$9:$I$30,$C25,$K$9:$K$30)</f>
        <v/>
      </c>
      <c r="F25" s="125">
        <f>CDPS!$D$29+CDPS!$D$30+CDPS!$D$75+CDPS!$D$92+CDPS!$D$100+SUMIF($J$9:$J$30,$C25,$L$9:$L$30)-SUMIF($I$9:$I$30,$C25,$L$9:$L$30)</f>
        <v/>
      </c>
      <c r="H25" s="97" t="inlineStr">
        <is>
          <t>Vay và nợ thuê tài chính đến hạn trả &gt; 12 tháng</t>
        </is>
      </c>
      <c r="I25" s="102" t="inlineStr">
        <is>
          <t>321</t>
        </is>
      </c>
      <c r="J25" s="102" t="inlineStr">
        <is>
          <t>339</t>
        </is>
      </c>
      <c r="K25" s="107" t="n"/>
      <c r="L25" s="107" t="n"/>
    </row>
    <row r="26" ht="15" customHeight="1" s="78">
      <c r="A26" s="139" t="n"/>
      <c r="B26" s="97" t="inlineStr">
        <is>
          <t xml:space="preserve">        6. Dự phòng phải thu ngắn hạn khó đòi (*)</t>
        </is>
      </c>
      <c r="C26" s="96" t="inlineStr">
        <is>
          <t>136</t>
        </is>
      </c>
      <c r="D26" s="95" t="n"/>
      <c r="E26" s="125">
        <f>-CDPS!$I$65+SUMIF($J$9:$J$30,$C26,$K$9:$K$30)-SUMIF($I$9:$I$30,$C26,$K$9:$K$30)</f>
        <v/>
      </c>
      <c r="F26" s="125">
        <f>-CDPS!$E$65+SUMIF($J$9:$J$30,$C26,$L$9:$L$30)-SUMIF($I$9:$I$30,$C26,$L$9:$L$30)</f>
        <v/>
      </c>
      <c r="H26" s="97" t="inlineStr">
        <is>
          <t>Dự phòng phải trả &gt; 12 tháng</t>
        </is>
      </c>
      <c r="I26" s="102" t="inlineStr">
        <is>
          <t>322</t>
        </is>
      </c>
      <c r="J26" s="102" t="inlineStr">
        <is>
          <t>343</t>
        </is>
      </c>
      <c r="K26" s="107" t="n"/>
      <c r="L26" s="107" t="n"/>
    </row>
    <row r="27" ht="15" customHeight="1" s="78">
      <c r="A27" s="139" t="n"/>
      <c r="B27" s="97" t="inlineStr">
        <is>
          <t xml:space="preserve">        7. Tài sản thiếu chờ xử lý</t>
        </is>
      </c>
      <c r="C27" s="96" t="inlineStr">
        <is>
          <t>137</t>
        </is>
      </c>
      <c r="D27" s="95" t="n"/>
      <c r="E27" s="125">
        <f>CDPS!$H$27+SUMIF($J$9:$J$30,$C27,$K$9:$K$30)-SUMIF($I$9:$I$30,$C27,$K$9:$K$30)</f>
        <v/>
      </c>
      <c r="F27" s="125">
        <f>CDPS!$D$27+SUMIF($J$9:$J$30,$C27,$L$9:$L$30)-SUMIF($I$9:$I$30,$C27,$L$9:$L$30)</f>
        <v/>
      </c>
      <c r="H27" s="103" t="n"/>
      <c r="I27" s="102" t="n"/>
      <c r="J27" s="102" t="n"/>
      <c r="K27" s="107" t="n"/>
      <c r="L27" s="107" t="n"/>
    </row>
    <row r="28" ht="15" customHeight="1" s="78">
      <c r="A28" s="139" t="n"/>
      <c r="B28" s="140" t="inlineStr">
        <is>
          <t xml:space="preserve">    IV. Hàng tồn kho</t>
        </is>
      </c>
      <c r="C28" s="141" t="inlineStr">
        <is>
          <t>140</t>
        </is>
      </c>
      <c r="D28" s="95" t="n"/>
      <c r="E28" s="123">
        <f>E29+E30</f>
        <v/>
      </c>
      <c r="F28" s="123">
        <f>F29+F30</f>
        <v/>
      </c>
      <c r="H28" s="103" t="n"/>
      <c r="I28" s="102" t="n"/>
      <c r="J28" s="102" t="n"/>
      <c r="K28" s="107" t="n"/>
      <c r="L28" s="107" t="n"/>
    </row>
    <row r="29" ht="15" customHeight="1" s="78">
      <c r="A29" s="139" t="n"/>
      <c r="B29" s="97" t="inlineStr">
        <is>
          <t xml:space="preserve">        1. Hàng tồn kho</t>
        </is>
      </c>
      <c r="C29" s="96" t="inlineStr">
        <is>
          <t>141</t>
        </is>
      </c>
      <c r="D29" s="95" t="inlineStr">
        <is>
          <t>V.4</t>
        </is>
      </c>
      <c r="E29" s="125">
        <f>CDPS!$H$31+CDPS!$H$32+CDPS!$H$33+CDPS!$H$34+CDPS!$H$35+CDPS!$H$36+CDPS!$H$37+CDPS!$H$38+SUMIF($J$9:$J$30,$C29,$K$9:$K$30)-SUMIF($I$9:$I$30,$C29,$K$9:$K$30)</f>
        <v/>
      </c>
      <c r="F29" s="125">
        <f>CDPS!$D$31+CDPS!$D$32+CDPS!$D$33+CDPS!$D$34+CDPS!$D$35+CDPS!$D$36+CDPS!$D$37+CDPS!$D$38+SUMIF($J$9:$J$30,$C29,$L$9:$L$30)-SUMIF($I$9:$I$30,$C29,$L$9:$L$30)</f>
        <v/>
      </c>
      <c r="H29" s="103" t="n"/>
      <c r="I29" s="102" t="n"/>
      <c r="J29" s="102" t="n"/>
      <c r="K29" s="107" t="n"/>
      <c r="L29" s="107" t="n"/>
    </row>
    <row r="30" ht="15" customHeight="1" s="78">
      <c r="A30" s="139" t="n"/>
      <c r="B30" s="97" t="inlineStr">
        <is>
          <t xml:space="preserve">        2. Dự phòng giảm giá hàng tồn kho (*)</t>
        </is>
      </c>
      <c r="C30" s="96" t="inlineStr">
        <is>
          <t>142</t>
        </is>
      </c>
      <c r="D30" s="95" t="inlineStr">
        <is>
          <t>V.4</t>
        </is>
      </c>
      <c r="E30" s="125">
        <f>-CDPS!$I$66+SUMIF($J$9:$J$30,$C30,$K$9:$K$30)-SUMIF($I$9:$I$30,$C30,$K$9:$K$30)</f>
        <v/>
      </c>
      <c r="F30" s="125">
        <f>-CDPS!$E$66+SUMIF($J$9:$J$30,$C30,$L$9:$L$30)-SUMIF($I$9:$I$30,$C30,$L$9:$L$30)</f>
        <v/>
      </c>
      <c r="H30" s="103" t="n"/>
      <c r="I30" s="102" t="n"/>
      <c r="J30" s="102" t="n"/>
      <c r="K30" s="107" t="n"/>
      <c r="L30" s="107" t="n"/>
    </row>
    <row r="31" ht="32.8" customHeight="1" s="78">
      <c r="A31" s="139" t="n"/>
      <c r="B31" s="140" t="inlineStr">
        <is>
          <t xml:space="preserve">    V. Tài sản sinh học ngắn hạn</t>
        </is>
      </c>
      <c r="C31" s="141" t="inlineStr">
        <is>
          <t>150</t>
        </is>
      </c>
      <c r="D31" s="95" t="n"/>
      <c r="E31" s="123">
        <f>E32+E33+E34</f>
        <v/>
      </c>
      <c r="F31" s="123">
        <f>F32+F33+F34</f>
        <v/>
      </c>
      <c r="H31" s="142" t="inlineStr">
        <is>
          <t>Cách dùng: nhập số cần chuyển giữa hai chỉ tiêu (giữ nguyên tổng cân đối). Ví dụ khoản vay 200tr đáo hạn 2028: Từ mã 321 → Sang mã 339, số tiền 200.000.000.</t>
        </is>
      </c>
    </row>
    <row r="32" ht="15" customHeight="1" s="78">
      <c r="A32" s="139" t="n"/>
      <c r="B32" s="97" t="inlineStr">
        <is>
          <t xml:space="preserve">        1. Súc vật nuôi lấy sản phẩm một lần ngắn hạn</t>
        </is>
      </c>
      <c r="C32" s="96" t="inlineStr">
        <is>
          <t>151</t>
        </is>
      </c>
      <c r="D32" s="95" t="n"/>
      <c r="E32" s="125">
        <f>CDPS!$H$54+SUMIF($J$9:$J$30,$C32,$K$9:$K$30)-SUMIF($I$9:$I$30,$C32,$K$9:$K$30)</f>
        <v/>
      </c>
      <c r="F32" s="125">
        <f>CDPS!$D$54+SUMIF($J$9:$J$30,$C32,$L$9:$L$30)-SUMIF($I$9:$I$30,$C32,$L$9:$L$30)</f>
        <v/>
      </c>
    </row>
    <row r="33" ht="15" customHeight="1" s="78">
      <c r="A33" s="139" t="n"/>
      <c r="B33" s="97" t="inlineStr">
        <is>
          <t xml:space="preserve">        2. Cây trồng theo mùa vụ hoặc lấy sản phẩm một lần ngắn hạn</t>
        </is>
      </c>
      <c r="C33" s="96" t="inlineStr">
        <is>
          <t>152</t>
        </is>
      </c>
      <c r="D33" s="95" t="n"/>
      <c r="E33" s="125">
        <f>CDPS!$H$55+SUMIF($J$9:$J$30,$C33,$K$9:$K$30)-SUMIF($I$9:$I$30,$C33,$K$9:$K$30)</f>
        <v/>
      </c>
      <c r="F33" s="125">
        <f>CDPS!$D$55+SUMIF($J$9:$J$30,$C33,$L$9:$L$30)-SUMIF($I$9:$I$30,$C33,$L$9:$L$30)</f>
        <v/>
      </c>
    </row>
    <row r="34" ht="15" customHeight="1" s="78">
      <c r="A34" s="139" t="n"/>
      <c r="B34" s="97" t="inlineStr">
        <is>
          <t xml:space="preserve">        3. Dự phòng tổn thất tài sản sinh học ngắn hạn (*)</t>
        </is>
      </c>
      <c r="C34" s="96" t="inlineStr">
        <is>
          <t>153</t>
        </is>
      </c>
      <c r="D34" s="95" t="n"/>
      <c r="E34" s="125">
        <f>-CDPS!$I$67+SUMIF($J$9:$J$30,$C34,$K$9:$K$30)-SUMIF($I$9:$I$30,$C34,$K$9:$K$30)</f>
        <v/>
      </c>
      <c r="F34" s="125">
        <f>-CDPS!$E$67+SUMIF($J$9:$J$30,$C34,$L$9:$L$30)-SUMIF($I$9:$I$30,$C34,$L$9:$L$30)</f>
        <v/>
      </c>
    </row>
    <row r="35" ht="15" customHeight="1" s="78">
      <c r="A35" s="139" t="n"/>
      <c r="B35" s="140" t="inlineStr">
        <is>
          <t xml:space="preserve">    VI. Tài sản ngắn hạn khác</t>
        </is>
      </c>
      <c r="C35" s="141" t="inlineStr">
        <is>
          <t>160</t>
        </is>
      </c>
      <c r="D35" s="95" t="n"/>
      <c r="E35" s="123">
        <f>E36+E37+E38+E39+E40</f>
        <v/>
      </c>
      <c r="F35" s="123">
        <f>F36+F37+F38+F39+F40</f>
        <v/>
      </c>
    </row>
    <row r="36" ht="15" customHeight="1" s="78">
      <c r="A36" s="139" t="n"/>
      <c r="B36" s="97" t="inlineStr">
        <is>
          <t xml:space="preserve">        1. Chi phí chờ phân bổ ngắn hạn</t>
        </is>
      </c>
      <c r="C36" s="96" t="inlineStr">
        <is>
          <t>161</t>
        </is>
      </c>
      <c r="D36" s="95" t="inlineStr">
        <is>
          <t>V.6</t>
        </is>
      </c>
      <c r="E36" s="125">
        <f>CDPS!$H$73+SUMIF($J$9:$J$30,$C36,$K$9:$K$30)-SUMIF($I$9:$I$30,$C36,$K$9:$K$30)</f>
        <v/>
      </c>
      <c r="F36" s="125">
        <f>CDPS!$D$73+SUMIF($J$9:$J$30,$C36,$L$9:$L$30)-SUMIF($I$9:$I$30,$C36,$L$9:$L$30)</f>
        <v/>
      </c>
    </row>
    <row r="37" ht="15" customHeight="1" s="78">
      <c r="A37" s="139" t="n"/>
      <c r="B37" s="97" t="inlineStr">
        <is>
          <t xml:space="preserve">        2. Thuế giá trị gia tăng được khấu trừ</t>
        </is>
      </c>
      <c r="C37" s="96" t="inlineStr">
        <is>
          <t>162</t>
        </is>
      </c>
      <c r="D37" s="95" t="n"/>
      <c r="E37" s="125">
        <f>CDPS!$H$18+SUMIF($J$9:$J$30,$C37,$K$9:$K$30)-SUMIF($I$9:$I$30,$C37,$K$9:$K$30)</f>
        <v/>
      </c>
      <c r="F37" s="125">
        <f>CDPS!$D$18+SUMIF($J$9:$J$30,$C37,$L$9:$L$30)-SUMIF($I$9:$I$30,$C37,$L$9:$L$30)</f>
        <v/>
      </c>
    </row>
    <row r="38" ht="15" customHeight="1" s="78">
      <c r="A38" s="139" t="n"/>
      <c r="B38" s="97" t="inlineStr">
        <is>
          <t xml:space="preserve">        3. Thuế và các khoản khác phải thu Nhà nước</t>
        </is>
      </c>
      <c r="C38" s="96" t="inlineStr">
        <is>
          <t>163</t>
        </is>
      </c>
      <c r="D38" s="95" t="n"/>
      <c r="E38" s="125">
        <f>CDPS!$H$28+CDPS!$H$78+SUMIF($J$9:$J$30,$C38,$K$9:$K$30)-SUMIF($I$9:$I$30,$C38,$K$9:$K$30)</f>
        <v/>
      </c>
      <c r="F38" s="125">
        <f>CDPS!$D$28+CDPS!$D$78+SUMIF($J$9:$J$30,$C38,$L$9:$L$30)-SUMIF($I$9:$I$30,$C38,$L$9:$L$30)</f>
        <v/>
      </c>
    </row>
    <row r="39" ht="15" customHeight="1" s="78">
      <c r="A39" s="139" t="n"/>
      <c r="B39" s="97" t="inlineStr">
        <is>
          <t xml:space="preserve">        4. Giao dịch mua bán lại trái phiếu Chính phủ</t>
        </is>
      </c>
      <c r="C39" s="96" t="inlineStr">
        <is>
          <t>164</t>
        </is>
      </c>
      <c r="D39" s="95" t="n"/>
      <c r="E39" s="125">
        <f>CDPS!$H$39+SUMIF($J$9:$J$30,$C39,$K$9:$K$30)-SUMIF($I$9:$I$30,$C39,$K$9:$K$30)</f>
        <v/>
      </c>
      <c r="F39" s="125">
        <f>CDPS!$D$39+SUMIF($J$9:$J$30,$C39,$L$9:$L$30)-SUMIF($I$9:$I$30,$C39,$L$9:$L$30)</f>
        <v/>
      </c>
    </row>
    <row r="40" ht="15" customHeight="1" s="78">
      <c r="A40" s="139" t="n"/>
      <c r="B40" s="97" t="inlineStr">
        <is>
          <t xml:space="preserve">        5. Tài sản ngắn hạn khác</t>
        </is>
      </c>
      <c r="C40" s="96" t="inlineStr">
        <is>
          <t>165</t>
        </is>
      </c>
      <c r="D40" s="95" t="n"/>
      <c r="E40" s="125">
        <f>0+SUMIF($J$9:$J$30,$C40,$K$9:$K$30)-SUMIF($I$9:$I$30,$C40,$K$9:$K$30)</f>
        <v/>
      </c>
      <c r="F40" s="125">
        <f>0+SUMIF($J$9:$J$30,$C40,$L$9:$L$30)-SUMIF($I$9:$I$30,$C40,$L$9:$L$30)</f>
        <v/>
      </c>
    </row>
    <row r="41" ht="15" customHeight="1" s="78">
      <c r="A41" s="134" t="n"/>
      <c r="B41" s="135" t="inlineStr">
        <is>
          <t>B. TÀI SẢN DÀI HẠN</t>
        </is>
      </c>
      <c r="C41" s="136" t="inlineStr">
        <is>
          <t>200</t>
        </is>
      </c>
      <c r="D41" s="137" t="n"/>
      <c r="E41" s="138">
        <f>E42+E49+E59+E68+E71+E74+E81</f>
        <v/>
      </c>
      <c r="F41" s="138">
        <f>F42+F49+F59+F68+F71+F74+F81</f>
        <v/>
      </c>
    </row>
    <row r="42" ht="15" customHeight="1" s="78">
      <c r="A42" s="139" t="n"/>
      <c r="B42" s="140" t="inlineStr">
        <is>
          <t xml:space="preserve">    I. Các khoản phải thu dài hạn</t>
        </is>
      </c>
      <c r="C42" s="141" t="inlineStr">
        <is>
          <t>210</t>
        </is>
      </c>
      <c r="D42" s="95" t="n"/>
      <c r="E42" s="123">
        <f>E43+E44+E45+E46+E47+E48</f>
        <v/>
      </c>
      <c r="F42" s="123">
        <f>F43+F44+F45+F46+F47+F48</f>
        <v/>
      </c>
    </row>
    <row r="43" ht="15" customHeight="1" s="78">
      <c r="A43" s="139" t="n"/>
      <c r="B43" s="97" t="inlineStr">
        <is>
          <t xml:space="preserve">        1. Phải thu dài hạn của khách hàng</t>
        </is>
      </c>
      <c r="C43" s="96" t="inlineStr">
        <is>
          <t>211</t>
        </is>
      </c>
      <c r="D43" s="95" t="n"/>
      <c r="E43" s="125">
        <f>0+SUMIF($J$9:$J$30,$C43,$K$9:$K$30)-SUMIF($I$9:$I$30,$C43,$K$9:$K$30)</f>
        <v/>
      </c>
      <c r="F43" s="125">
        <f>0+SUMIF($J$9:$J$30,$C43,$L$9:$L$30)-SUMIF($I$9:$I$30,$C43,$L$9:$L$30)</f>
        <v/>
      </c>
    </row>
    <row r="44" ht="15" customHeight="1" s="78">
      <c r="A44" s="139" t="n"/>
      <c r="B44" s="97" t="inlineStr">
        <is>
          <t xml:space="preserve">        2. Trả trước cho người bán dài hạn</t>
        </is>
      </c>
      <c r="C44" s="96" t="inlineStr">
        <is>
          <t>212</t>
        </is>
      </c>
      <c r="D44" s="95" t="n"/>
      <c r="E44" s="125">
        <f>0+SUMIF($J$9:$J$30,$C44,$K$9:$K$30)-SUMIF($I$9:$I$30,$C44,$K$9:$K$30)</f>
        <v/>
      </c>
      <c r="F44" s="125">
        <f>0+SUMIF($J$9:$J$30,$C44,$L$9:$L$30)-SUMIF($I$9:$I$30,$C44,$L$9:$L$30)</f>
        <v/>
      </c>
    </row>
    <row r="45" ht="15" customHeight="1" s="78">
      <c r="A45" s="139" t="n"/>
      <c r="B45" s="97" t="inlineStr">
        <is>
          <t xml:space="preserve">        3. Vốn kinh doanh ở đơn vị trực thuộc</t>
        </is>
      </c>
      <c r="C45" s="96" t="inlineStr">
        <is>
          <t>213</t>
        </is>
      </c>
      <c r="D45" s="95" t="n"/>
      <c r="E45" s="125">
        <f>CDPS!$H$22+SUMIF($J$9:$J$30,$C45,$K$9:$K$30)-SUMIF($I$9:$I$30,$C45,$K$9:$K$30)</f>
        <v/>
      </c>
      <c r="F45" s="125">
        <f>CDPS!$D$22+SUMIF($J$9:$J$30,$C45,$L$9:$L$30)-SUMIF($I$9:$I$30,$C45,$L$9:$L$30)</f>
        <v/>
      </c>
    </row>
    <row r="46" ht="15" customHeight="1" s="78">
      <c r="A46" s="139" t="n"/>
      <c r="B46" s="97" t="inlineStr">
        <is>
          <t xml:space="preserve">        4. Phải thu nội bộ dài hạn</t>
        </is>
      </c>
      <c r="C46" s="96" t="inlineStr">
        <is>
          <t>214</t>
        </is>
      </c>
      <c r="D46" s="95" t="n"/>
      <c r="E46" s="125">
        <f>0+SUMIF($J$9:$J$30,$C46,$K$9:$K$30)-SUMIF($I$9:$I$30,$C46,$K$9:$K$30)</f>
        <v/>
      </c>
      <c r="F46" s="125">
        <f>0+SUMIF($J$9:$J$30,$C46,$L$9:$L$30)-SUMIF($I$9:$I$30,$C46,$L$9:$L$30)</f>
        <v/>
      </c>
    </row>
    <row r="47" ht="15" customHeight="1" s="78">
      <c r="A47" s="139" t="n"/>
      <c r="B47" s="97" t="inlineStr">
        <is>
          <t xml:space="preserve">        5. Phải thu dài hạn khác</t>
        </is>
      </c>
      <c r="C47" s="96" t="inlineStr">
        <is>
          <t>215</t>
        </is>
      </c>
      <c r="D47" s="95" t="n"/>
      <c r="E47" s="125">
        <f>0+SUMIF($J$9:$J$30,$C47,$K$9:$K$30)-SUMIF($I$9:$I$30,$C47,$K$9:$K$30)</f>
        <v/>
      </c>
      <c r="F47" s="125">
        <f>0+SUMIF($J$9:$J$30,$C47,$L$9:$L$30)-SUMIF($I$9:$I$30,$C47,$L$9:$L$30)</f>
        <v/>
      </c>
    </row>
    <row r="48" ht="15" customHeight="1" s="78">
      <c r="A48" s="139" t="n"/>
      <c r="B48" s="97" t="inlineStr">
        <is>
          <t xml:space="preserve">        6. Dự phòng phải thu dài hạn khó đòi (*)</t>
        </is>
      </c>
      <c r="C48" s="96" t="inlineStr">
        <is>
          <t>216</t>
        </is>
      </c>
      <c r="D48" s="95" t="n"/>
      <c r="E48" s="125">
        <f>0+SUMIF($J$9:$J$30,$C48,$K$9:$K$30)-SUMIF($I$9:$I$30,$C48,$K$9:$K$30)</f>
        <v/>
      </c>
      <c r="F48" s="125">
        <f>0+SUMIF($J$9:$J$30,$C48,$L$9:$L$30)-SUMIF($I$9:$I$30,$C48,$L$9:$L$30)</f>
        <v/>
      </c>
    </row>
    <row r="49" ht="15" customHeight="1" s="78">
      <c r="A49" s="139" t="n"/>
      <c r="B49" s="140" t="inlineStr">
        <is>
          <t xml:space="preserve">    II. Tài sản cố định</t>
        </is>
      </c>
      <c r="C49" s="141" t="inlineStr">
        <is>
          <t>220</t>
        </is>
      </c>
      <c r="D49" s="95" t="n"/>
      <c r="E49" s="123">
        <f>E50+E53+E56</f>
        <v/>
      </c>
      <c r="F49" s="123">
        <f>F50+F53+F56</f>
        <v/>
      </c>
    </row>
    <row r="50" ht="15" customHeight="1" s="78">
      <c r="A50" s="139" t="n"/>
      <c r="B50" s="97" t="inlineStr">
        <is>
          <t xml:space="preserve">        1. Tài sản cố định hữu hình</t>
        </is>
      </c>
      <c r="C50" s="96" t="inlineStr">
        <is>
          <t>221</t>
        </is>
      </c>
      <c r="D50" s="95" t="n"/>
      <c r="E50" s="125">
        <f>E51+E52</f>
        <v/>
      </c>
      <c r="F50" s="125">
        <f>F51+F52</f>
        <v/>
      </c>
    </row>
    <row r="51" ht="15" customHeight="1" s="78">
      <c r="A51" s="139" t="n"/>
      <c r="B51" s="97" t="inlineStr">
        <is>
          <t xml:space="preserve">            - Nguyên giá</t>
        </is>
      </c>
      <c r="C51" s="96" t="inlineStr">
        <is>
          <t>222</t>
        </is>
      </c>
      <c r="D51" s="95" t="inlineStr">
        <is>
          <t>V.5</t>
        </is>
      </c>
      <c r="E51" s="125">
        <f>CDPS!$H$40+SUMIF($J$9:$J$30,$C51,$K$9:$K$30)-SUMIF($I$9:$I$30,$C51,$K$9:$K$30)</f>
        <v/>
      </c>
      <c r="F51" s="125">
        <f>CDPS!$D$40+SUMIF($J$9:$J$30,$C51,$L$9:$L$30)-SUMIF($I$9:$I$30,$C51,$L$9:$L$30)</f>
        <v/>
      </c>
    </row>
    <row r="52" ht="15" customHeight="1" s="78">
      <c r="A52" s="139" t="n"/>
      <c r="B52" s="97" t="inlineStr">
        <is>
          <t xml:space="preserve">            - Giá trị hao mòn lũy kế (*)</t>
        </is>
      </c>
      <c r="C52" s="96" t="inlineStr">
        <is>
          <t>223</t>
        </is>
      </c>
      <c r="D52" s="95" t="inlineStr">
        <is>
          <t>V.5</t>
        </is>
      </c>
      <c r="E52" s="125">
        <f>-CDPS!$I$44+SUMIF($J$9:$J$30,$C52,$K$9:$K$30)-SUMIF($I$9:$I$30,$C52,$K$9:$K$30)</f>
        <v/>
      </c>
      <c r="F52" s="125">
        <f>-CDPS!$E$44+SUMIF($J$9:$J$30,$C52,$L$9:$L$30)-SUMIF($I$9:$I$30,$C52,$L$9:$L$30)</f>
        <v/>
      </c>
    </row>
    <row r="53" ht="15" customHeight="1" s="78">
      <c r="A53" s="139" t="n"/>
      <c r="B53" s="97" t="inlineStr">
        <is>
          <t xml:space="preserve">        2. Tài sản cố định thuê tài chính</t>
        </is>
      </c>
      <c r="C53" s="96" t="inlineStr">
        <is>
          <t>224</t>
        </is>
      </c>
      <c r="D53" s="95" t="n"/>
      <c r="E53" s="125">
        <f>E54+E55</f>
        <v/>
      </c>
      <c r="F53" s="125">
        <f>F54+F55</f>
        <v/>
      </c>
    </row>
    <row r="54" ht="15" customHeight="1" s="78">
      <c r="A54" s="139" t="n"/>
      <c r="B54" s="97" t="inlineStr">
        <is>
          <t xml:space="preserve">            - Nguyên giá</t>
        </is>
      </c>
      <c r="C54" s="96" t="inlineStr">
        <is>
          <t>225</t>
        </is>
      </c>
      <c r="D54" s="95" t="n"/>
      <c r="E54" s="125">
        <f>CDPS!$H$41+SUMIF($J$9:$J$30,$C54,$K$9:$K$30)-SUMIF($I$9:$I$30,$C54,$K$9:$K$30)</f>
        <v/>
      </c>
      <c r="F54" s="125">
        <f>CDPS!$D$41+SUMIF($J$9:$J$30,$C54,$L$9:$L$30)-SUMIF($I$9:$I$30,$C54,$L$9:$L$30)</f>
        <v/>
      </c>
    </row>
    <row r="55" ht="15" customHeight="1" s="78">
      <c r="A55" s="139" t="n"/>
      <c r="B55" s="97" t="inlineStr">
        <is>
          <t xml:space="preserve">            - Giá trị hao mòn lũy kế (*)</t>
        </is>
      </c>
      <c r="C55" s="96" t="inlineStr">
        <is>
          <t>226</t>
        </is>
      </c>
      <c r="D55" s="95" t="n"/>
      <c r="E55" s="125">
        <f>-CDPS!$I$45+SUMIF($J$9:$J$30,$C55,$K$9:$K$30)-SUMIF($I$9:$I$30,$C55,$K$9:$K$30)</f>
        <v/>
      </c>
      <c r="F55" s="125">
        <f>-CDPS!$E$45+SUMIF($J$9:$J$30,$C55,$L$9:$L$30)-SUMIF($I$9:$I$30,$C55,$L$9:$L$30)</f>
        <v/>
      </c>
    </row>
    <row r="56" ht="15" customHeight="1" s="78">
      <c r="A56" s="139" t="n"/>
      <c r="B56" s="97" t="inlineStr">
        <is>
          <t xml:space="preserve">        3. Tài sản cố định vô hình</t>
        </is>
      </c>
      <c r="C56" s="96" t="inlineStr">
        <is>
          <t>227</t>
        </is>
      </c>
      <c r="D56" s="95" t="n"/>
      <c r="E56" s="125">
        <f>E57+E58</f>
        <v/>
      </c>
      <c r="F56" s="125">
        <f>F57+F58</f>
        <v/>
      </c>
    </row>
    <row r="57" ht="15" customHeight="1" s="78">
      <c r="A57" s="139" t="n"/>
      <c r="B57" s="97" t="inlineStr">
        <is>
          <t xml:space="preserve">            - Nguyên giá</t>
        </is>
      </c>
      <c r="C57" s="96" t="inlineStr">
        <is>
          <t>228</t>
        </is>
      </c>
      <c r="D57" s="95" t="inlineStr">
        <is>
          <t>V.5</t>
        </is>
      </c>
      <c r="E57" s="125">
        <f>CDPS!$H$42+SUMIF($J$9:$J$30,$C57,$K$9:$K$30)-SUMIF($I$9:$I$30,$C57,$K$9:$K$30)</f>
        <v/>
      </c>
      <c r="F57" s="125">
        <f>CDPS!$D$42+SUMIF($J$9:$J$30,$C57,$L$9:$L$30)-SUMIF($I$9:$I$30,$C57,$L$9:$L$30)</f>
        <v/>
      </c>
    </row>
    <row r="58" ht="15" customHeight="1" s="78">
      <c r="A58" s="139" t="n"/>
      <c r="B58" s="97" t="inlineStr">
        <is>
          <t xml:space="preserve">            - Giá trị hao mòn lũy kế (*)</t>
        </is>
      </c>
      <c r="C58" s="96" t="inlineStr">
        <is>
          <t>229</t>
        </is>
      </c>
      <c r="D58" s="95" t="inlineStr">
        <is>
          <t>V.5</t>
        </is>
      </c>
      <c r="E58" s="125">
        <f>-CDPS!$I$46+SUMIF($J$9:$J$30,$C58,$K$9:$K$30)-SUMIF($I$9:$I$30,$C58,$K$9:$K$30)</f>
        <v/>
      </c>
      <c r="F58" s="125">
        <f>-CDPS!$E$46+SUMIF($J$9:$J$30,$C58,$L$9:$L$30)-SUMIF($I$9:$I$30,$C58,$L$9:$L$30)</f>
        <v/>
      </c>
    </row>
    <row r="59" ht="15" customHeight="1" s="78">
      <c r="A59" s="139" t="n"/>
      <c r="B59" s="140" t="inlineStr">
        <is>
          <t xml:space="preserve">    III. Tài sản sinh học dài hạn</t>
        </is>
      </c>
      <c r="C59" s="141" t="inlineStr">
        <is>
          <t>230</t>
        </is>
      </c>
      <c r="D59" s="95" t="n"/>
      <c r="E59" s="123">
        <f>E60+E65+E66+E67</f>
        <v/>
      </c>
      <c r="F59" s="123">
        <f>F60+F65+F66+F67</f>
        <v/>
      </c>
    </row>
    <row r="60" ht="15" customHeight="1" s="78">
      <c r="A60" s="139" t="n"/>
      <c r="B60" s="97" t="inlineStr">
        <is>
          <t xml:space="preserve">        1. Súc vật nuôi cho sản phẩm định kỳ dài hạn</t>
        </is>
      </c>
      <c r="C60" s="96" t="inlineStr">
        <is>
          <t>231</t>
        </is>
      </c>
      <c r="D60" s="95" t="n"/>
      <c r="E60" s="125">
        <f>E61+E62</f>
        <v/>
      </c>
      <c r="F60" s="125">
        <f>F61+F62</f>
        <v/>
      </c>
    </row>
    <row r="61" ht="15" customHeight="1" s="78">
      <c r="A61" s="139" t="n"/>
      <c r="B61" s="97" t="inlineStr">
        <is>
          <t xml:space="preserve">            - Chưa đến giai đoạn trưởng thành</t>
        </is>
      </c>
      <c r="C61" s="96" t="inlineStr">
        <is>
          <t>232</t>
        </is>
      </c>
      <c r="D61" s="95" t="n"/>
      <c r="E61" s="125">
        <f>CDPS!$H$50+SUMIF($J$9:$J$30,$C61,$K$9:$K$30)-SUMIF($I$9:$I$30,$C61,$K$9:$K$30)</f>
        <v/>
      </c>
      <c r="F61" s="125">
        <f>CDPS!$D$50+SUMIF($J$9:$J$30,$C61,$L$9:$L$30)-SUMIF($I$9:$I$30,$C61,$L$9:$L$30)</f>
        <v/>
      </c>
    </row>
    <row r="62" ht="15" customHeight="1" s="78">
      <c r="A62" s="139" t="n"/>
      <c r="B62" s="97" t="inlineStr">
        <is>
          <t xml:space="preserve">            - Đạt giai đoạn trưởng thành</t>
        </is>
      </c>
      <c r="C62" s="96" t="inlineStr">
        <is>
          <t>233</t>
        </is>
      </c>
      <c r="D62" s="95" t="n"/>
      <c r="E62" s="125">
        <f>E63+E64</f>
        <v/>
      </c>
      <c r="F62" s="125">
        <f>F63+F64</f>
        <v/>
      </c>
    </row>
    <row r="63" ht="15" customHeight="1" s="78">
      <c r="A63" s="139" t="n"/>
      <c r="B63" s="97" t="inlineStr">
        <is>
          <t xml:space="preserve">                + Nguyên giá</t>
        </is>
      </c>
      <c r="C63" s="96" t="inlineStr">
        <is>
          <t>234</t>
        </is>
      </c>
      <c r="D63" s="95" t="n"/>
      <c r="E63" s="125">
        <f>CDPS!$H$52+SUMIF($J$9:$J$30,$C63,$K$9:$K$30)-SUMIF($I$9:$I$30,$C63,$K$9:$K$30)</f>
        <v/>
      </c>
      <c r="F63" s="125">
        <f>CDPS!$D$52+SUMIF($J$9:$J$30,$C63,$L$9:$L$30)-SUMIF($I$9:$I$30,$C63,$L$9:$L$30)</f>
        <v/>
      </c>
    </row>
    <row r="64" ht="15" customHeight="1" s="78">
      <c r="A64" s="139" t="n"/>
      <c r="B64" s="97" t="inlineStr">
        <is>
          <t xml:space="preserve">                + Giá trị khấu hao lũy kế (*)</t>
        </is>
      </c>
      <c r="C64" s="96" t="inlineStr">
        <is>
          <t>235</t>
        </is>
      </c>
      <c r="D64" s="95" t="n"/>
      <c r="E64" s="125">
        <f>-CDPS!$I$53+SUMIF($J$9:$J$30,$C64,$K$9:$K$30)-SUMIF($I$9:$I$30,$C64,$K$9:$K$30)</f>
        <v/>
      </c>
      <c r="F64" s="125">
        <f>-CDPS!$E$53+SUMIF($J$9:$J$30,$C64,$L$9:$L$30)-SUMIF($I$9:$I$30,$C64,$L$9:$L$30)</f>
        <v/>
      </c>
    </row>
    <row r="65" ht="15" customHeight="1" s="78">
      <c r="A65" s="139" t="n"/>
      <c r="B65" s="97" t="inlineStr">
        <is>
          <t xml:space="preserve">        2. Súc vật nuôi lấy sản phẩm một lần dài hạn</t>
        </is>
      </c>
      <c r="C65" s="96" t="inlineStr">
        <is>
          <t>236</t>
        </is>
      </c>
      <c r="D65" s="95" t="n"/>
      <c r="E65" s="125">
        <f>0+SUMIF($J$9:$J$30,$C65,$K$9:$K$30)-SUMIF($I$9:$I$30,$C65,$K$9:$K$30)</f>
        <v/>
      </c>
      <c r="F65" s="125">
        <f>0+SUMIF($J$9:$J$30,$C65,$L$9:$L$30)-SUMIF($I$9:$I$30,$C65,$L$9:$L$30)</f>
        <v/>
      </c>
    </row>
    <row r="66" ht="15" customHeight="1" s="78">
      <c r="A66" s="139" t="n"/>
      <c r="B66" s="97" t="inlineStr">
        <is>
          <t xml:space="preserve">        3. Cây trồng theo mùa vụ hoặc lấy sản phẩm một lần dài hạn</t>
        </is>
      </c>
      <c r="C66" s="96" t="inlineStr">
        <is>
          <t>237</t>
        </is>
      </c>
      <c r="D66" s="95" t="n"/>
      <c r="E66" s="125">
        <f>0+SUMIF($J$9:$J$30,$C66,$K$9:$K$30)-SUMIF($I$9:$I$30,$C66,$K$9:$K$30)</f>
        <v/>
      </c>
      <c r="F66" s="125">
        <f>0+SUMIF($J$9:$J$30,$C66,$L$9:$L$30)-SUMIF($I$9:$I$30,$C66,$L$9:$L$30)</f>
        <v/>
      </c>
    </row>
    <row r="67" ht="15" customHeight="1" s="78">
      <c r="A67" s="139" t="n"/>
      <c r="B67" s="97" t="inlineStr">
        <is>
          <t xml:space="preserve">        4. Dự phòng tổn thất tài sản sinh học dài hạn (*)</t>
        </is>
      </c>
      <c r="C67" s="96" t="inlineStr">
        <is>
          <t>238</t>
        </is>
      </c>
      <c r="D67" s="95" t="n"/>
      <c r="E67" s="125">
        <f>0+SUMIF($J$9:$J$30,$C67,$K$9:$K$30)-SUMIF($I$9:$I$30,$C67,$K$9:$K$30)</f>
        <v/>
      </c>
      <c r="F67" s="125">
        <f>0+SUMIF($J$9:$J$30,$C67,$L$9:$L$30)-SUMIF($I$9:$I$30,$C67,$L$9:$L$30)</f>
        <v/>
      </c>
    </row>
    <row r="68" ht="15" customHeight="1" s="78">
      <c r="A68" s="139" t="n"/>
      <c r="B68" s="140" t="inlineStr">
        <is>
          <t xml:space="preserve">    IV. Bất động sản đầu tư</t>
        </is>
      </c>
      <c r="C68" s="141" t="inlineStr">
        <is>
          <t>240</t>
        </is>
      </c>
      <c r="D68" s="95" t="n"/>
      <c r="E68" s="123">
        <f>E69+E70</f>
        <v/>
      </c>
      <c r="F68" s="123">
        <f>F69+F70</f>
        <v/>
      </c>
    </row>
    <row r="69" ht="15" customHeight="1" s="78">
      <c r="A69" s="139" t="n"/>
      <c r="B69" s="97" t="inlineStr">
        <is>
          <t xml:space="preserve">        - Nguyên giá</t>
        </is>
      </c>
      <c r="C69" s="96" t="inlineStr">
        <is>
          <t>241</t>
        </is>
      </c>
      <c r="D69" s="95" t="n"/>
      <c r="E69" s="125">
        <f>CDPS!$H$56+SUMIF($J$9:$J$30,$C69,$K$9:$K$30)-SUMIF($I$9:$I$30,$C69,$K$9:$K$30)</f>
        <v/>
      </c>
      <c r="F69" s="125">
        <f>CDPS!$D$56+SUMIF($J$9:$J$30,$C69,$L$9:$L$30)-SUMIF($I$9:$I$30,$C69,$L$9:$L$30)</f>
        <v/>
      </c>
    </row>
    <row r="70" ht="15" customHeight="1" s="78">
      <c r="A70" s="139" t="n"/>
      <c r="B70" s="97" t="inlineStr">
        <is>
          <t xml:space="preserve">        - Giá trị hao mòn lũy kế (*)</t>
        </is>
      </c>
      <c r="C70" s="96" t="inlineStr">
        <is>
          <t>242</t>
        </is>
      </c>
      <c r="D70" s="95" t="n"/>
      <c r="E70" s="125">
        <f>-CDPS!$I$47+SUMIF($J$9:$J$30,$C70,$K$9:$K$30)-SUMIF($I$9:$I$30,$C70,$K$9:$K$30)</f>
        <v/>
      </c>
      <c r="F70" s="125">
        <f>-CDPS!$E$47+SUMIF($J$9:$J$30,$C70,$L$9:$L$30)-SUMIF($I$9:$I$30,$C70,$L$9:$L$30)</f>
        <v/>
      </c>
    </row>
    <row r="71" ht="15" customHeight="1" s="78">
      <c r="A71" s="139" t="n"/>
      <c r="B71" s="140" t="inlineStr">
        <is>
          <t xml:space="preserve">    V. Tài sản dở dang dài hạn</t>
        </is>
      </c>
      <c r="C71" s="141" t="inlineStr">
        <is>
          <t>250</t>
        </is>
      </c>
      <c r="D71" s="95" t="n"/>
      <c r="E71" s="123">
        <f>E72+E73</f>
        <v/>
      </c>
      <c r="F71" s="123">
        <f>F72+F73</f>
        <v/>
      </c>
    </row>
    <row r="72" ht="15" customHeight="1" s="78">
      <c r="A72" s="139" t="n"/>
      <c r="B72" s="97" t="inlineStr">
        <is>
          <t xml:space="preserve">        1. Chi phí sản xuất, kinh doanh dở dang dài hạn</t>
        </is>
      </c>
      <c r="C72" s="96" t="inlineStr">
        <is>
          <t>251</t>
        </is>
      </c>
      <c r="D72" s="95" t="n"/>
      <c r="E72" s="125">
        <f>0+SUMIF($J$9:$J$30,$C72,$K$9:$K$30)-SUMIF($I$9:$I$30,$C72,$K$9:$K$30)</f>
        <v/>
      </c>
      <c r="F72" s="125">
        <f>0+SUMIF($J$9:$J$30,$C72,$L$9:$L$30)-SUMIF($I$9:$I$30,$C72,$L$9:$L$30)</f>
        <v/>
      </c>
    </row>
    <row r="73" ht="15" customHeight="1" s="78">
      <c r="A73" s="139" t="n"/>
      <c r="B73" s="97" t="inlineStr">
        <is>
          <t xml:space="preserve">        2. Chi phí xây dựng cơ bản dở dang</t>
        </is>
      </c>
      <c r="C73" s="96" t="inlineStr">
        <is>
          <t>252</t>
        </is>
      </c>
      <c r="D73" s="95" t="n"/>
      <c r="E73" s="125">
        <f>CDPS!$H$68+SUMIF($J$9:$J$30,$C73,$K$9:$K$30)-SUMIF($I$9:$I$30,$C73,$K$9:$K$30)</f>
        <v/>
      </c>
      <c r="F73" s="125">
        <f>CDPS!$D$68+SUMIF($J$9:$J$30,$C73,$L$9:$L$30)-SUMIF($I$9:$I$30,$C73,$L$9:$L$30)</f>
        <v/>
      </c>
    </row>
    <row r="74" ht="15" customHeight="1" s="78">
      <c r="A74" s="139" t="n"/>
      <c r="B74" s="140" t="inlineStr">
        <is>
          <t xml:space="preserve">    VI. Đầu tư tài chính dài hạn</t>
        </is>
      </c>
      <c r="C74" s="141" t="inlineStr">
        <is>
          <t>260</t>
        </is>
      </c>
      <c r="D74" s="95" t="n"/>
      <c r="E74" s="123">
        <f>E75+E76+E77+E78+E79+E80</f>
        <v/>
      </c>
      <c r="F74" s="123">
        <f>F75+F76+F77+F78+F79+F80</f>
        <v/>
      </c>
    </row>
    <row r="75" ht="15" customHeight="1" s="78">
      <c r="A75" s="139" t="n"/>
      <c r="B75" s="97" t="inlineStr">
        <is>
          <t xml:space="preserve">        1. Đầu tư vào công ty con</t>
        </is>
      </c>
      <c r="C75" s="96" t="inlineStr">
        <is>
          <t>261</t>
        </is>
      </c>
      <c r="D75" s="95" t="n"/>
      <c r="E75" s="125">
        <f>CDPS!$H$57+SUMIF($J$9:$J$30,$C75,$K$9:$K$30)-SUMIF($I$9:$I$30,$C75,$K$9:$K$30)</f>
        <v/>
      </c>
      <c r="F75" s="125">
        <f>CDPS!$D$57+SUMIF($J$9:$J$30,$C75,$L$9:$L$30)-SUMIF($I$9:$I$30,$C75,$L$9:$L$30)</f>
        <v/>
      </c>
    </row>
    <row r="76" ht="15" customHeight="1" s="78">
      <c r="A76" s="139" t="n"/>
      <c r="B76" s="97" t="inlineStr">
        <is>
          <t xml:space="preserve">        2. Đầu tư vào công ty liên doanh, liên kết</t>
        </is>
      </c>
      <c r="C76" s="96" t="inlineStr">
        <is>
          <t>262</t>
        </is>
      </c>
      <c r="D76" s="95" t="n"/>
      <c r="E76" s="125">
        <f>CDPS!$H$58+SUMIF($J$9:$J$30,$C76,$K$9:$K$30)-SUMIF($I$9:$I$30,$C76,$K$9:$K$30)</f>
        <v/>
      </c>
      <c r="F76" s="125">
        <f>CDPS!$D$58+SUMIF($J$9:$J$30,$C76,$L$9:$L$30)-SUMIF($I$9:$I$30,$C76,$L$9:$L$30)</f>
        <v/>
      </c>
    </row>
    <row r="77" ht="15" customHeight="1" s="78">
      <c r="A77" s="139" t="n"/>
      <c r="B77" s="97" t="inlineStr">
        <is>
          <t xml:space="preserve">        3. Đầu tư góp vốn vào đơn vị khác</t>
        </is>
      </c>
      <c r="C77" s="96" t="inlineStr">
        <is>
          <t>263</t>
        </is>
      </c>
      <c r="D77" s="95" t="inlineStr">
        <is>
          <t>V.2</t>
        </is>
      </c>
      <c r="E77" s="125">
        <f>CDPS!$H$60+SUMIF($J$9:$J$30,$C77,$K$9:$K$30)-SUMIF($I$9:$I$30,$C77,$K$9:$K$30)</f>
        <v/>
      </c>
      <c r="F77" s="125">
        <f>CDPS!$D$60+SUMIF($J$9:$J$30,$C77,$L$9:$L$30)-SUMIF($I$9:$I$30,$C77,$L$9:$L$30)</f>
        <v/>
      </c>
    </row>
    <row r="78" ht="15" customHeight="1" s="78">
      <c r="A78" s="139" t="n"/>
      <c r="B78" s="97" t="inlineStr">
        <is>
          <t xml:space="preserve">        4. Dự phòng tổn thất đầu tư vào đơn vị khác (*)</t>
        </is>
      </c>
      <c r="C78" s="96" t="inlineStr">
        <is>
          <t>264</t>
        </is>
      </c>
      <c r="D78" s="95" t="n"/>
      <c r="E78" s="125">
        <f>-CDPS!$I$64+SUMIF($J$9:$J$30,$C78,$K$9:$K$30)-SUMIF($I$9:$I$30,$C78,$K$9:$K$30)</f>
        <v/>
      </c>
      <c r="F78" s="125">
        <f>-CDPS!$E$64+SUMIF($J$9:$J$30,$C78,$L$9:$L$30)-SUMIF($I$9:$I$30,$C78,$L$9:$L$30)</f>
        <v/>
      </c>
    </row>
    <row r="79" ht="15" customHeight="1" s="78">
      <c r="A79" s="139" t="n"/>
      <c r="B79" s="97" t="inlineStr">
        <is>
          <t xml:space="preserve">        5. Đầu tư nắm giữ đến ngày đáo hạn dài hạn</t>
        </is>
      </c>
      <c r="C79" s="96" t="inlineStr">
        <is>
          <t>265</t>
        </is>
      </c>
      <c r="D79" s="95" t="n"/>
      <c r="E79" s="125">
        <f>0+SUMIF($J$9:$J$30,$C79,$K$9:$K$30)-SUMIF($I$9:$I$30,$C79,$K$9:$K$30)</f>
        <v/>
      </c>
      <c r="F79" s="125">
        <f>0+SUMIF($J$9:$J$30,$C79,$L$9:$L$30)-SUMIF($I$9:$I$30,$C79,$L$9:$L$30)</f>
        <v/>
      </c>
    </row>
    <row r="80" ht="15" customHeight="1" s="78">
      <c r="A80" s="139" t="n"/>
      <c r="B80" s="97" t="inlineStr">
        <is>
          <t xml:space="preserve">        6. Dự phòng đầu tư nắm giữ đến ngày đáo hạn dài hạn (*)</t>
        </is>
      </c>
      <c r="C80" s="96" t="inlineStr">
        <is>
          <t>266</t>
        </is>
      </c>
      <c r="D80" s="95" t="n"/>
      <c r="E80" s="125">
        <f>0+SUMIF($J$9:$J$30,$C80,$K$9:$K$30)-SUMIF($I$9:$I$30,$C80,$K$9:$K$30)</f>
        <v/>
      </c>
      <c r="F80" s="125">
        <f>0+SUMIF($J$9:$J$30,$C80,$L$9:$L$30)-SUMIF($I$9:$I$30,$C80,$L$9:$L$30)</f>
        <v/>
      </c>
    </row>
    <row r="81" ht="15" customHeight="1" s="78">
      <c r="A81" s="139" t="n"/>
      <c r="B81" s="140" t="inlineStr">
        <is>
          <t xml:space="preserve">    VII. Tài sản dài hạn khác</t>
        </is>
      </c>
      <c r="C81" s="141" t="inlineStr">
        <is>
          <t>270</t>
        </is>
      </c>
      <c r="D81" s="95" t="n"/>
      <c r="E81" s="123">
        <f>E82+E83+E84+E85</f>
        <v/>
      </c>
      <c r="F81" s="123">
        <f>F82+F83+F84+F85</f>
        <v/>
      </c>
    </row>
    <row r="82" ht="15" customHeight="1" s="78">
      <c r="A82" s="139" t="n"/>
      <c r="B82" s="97" t="inlineStr">
        <is>
          <t xml:space="preserve">        1. Chi phí chờ phân bổ dài hạn</t>
        </is>
      </c>
      <c r="C82" s="96" t="inlineStr">
        <is>
          <t>271</t>
        </is>
      </c>
      <c r="D82" s="95" t="inlineStr">
        <is>
          <t>V.6</t>
        </is>
      </c>
      <c r="E82" s="125">
        <f>0+SUMIF($J$9:$J$30,$C82,$K$9:$K$30)-SUMIF($I$9:$I$30,$C82,$K$9:$K$30)</f>
        <v/>
      </c>
      <c r="F82" s="125">
        <f>0+SUMIF($J$9:$J$30,$C82,$L$9:$L$30)-SUMIF($I$9:$I$30,$C82,$L$9:$L$30)</f>
        <v/>
      </c>
    </row>
    <row r="83" ht="15" customHeight="1" s="78">
      <c r="A83" s="139" t="n"/>
      <c r="B83" s="97" t="inlineStr">
        <is>
          <t xml:space="preserve">        2. Tài sản thuế thu nhập hoãn lại</t>
        </is>
      </c>
      <c r="C83" s="96" t="inlineStr">
        <is>
          <t>272</t>
        </is>
      </c>
      <c r="D83" s="95" t="n"/>
      <c r="E83" s="125">
        <f>CDPS!$H$74+SUMIF($J$9:$J$30,$C83,$K$9:$K$30)-SUMIF($I$9:$I$30,$C83,$K$9:$K$30)</f>
        <v/>
      </c>
      <c r="F83" s="125">
        <f>CDPS!$D$74+SUMIF($J$9:$J$30,$C83,$L$9:$L$30)-SUMIF($I$9:$I$30,$C83,$L$9:$L$30)</f>
        <v/>
      </c>
    </row>
    <row r="84" ht="15" customHeight="1" s="78">
      <c r="A84" s="139" t="n"/>
      <c r="B84" s="97" t="inlineStr">
        <is>
          <t xml:space="preserve">        3. Thiết bị, vật tư, phụ tùng thay thế dài hạn</t>
        </is>
      </c>
      <c r="C84" s="96" t="inlineStr">
        <is>
          <t>273</t>
        </is>
      </c>
      <c r="D84" s="95" t="n"/>
      <c r="E84" s="125">
        <f>0+SUMIF($J$9:$J$30,$C84,$K$9:$K$30)-SUMIF($I$9:$I$30,$C84,$K$9:$K$30)</f>
        <v/>
      </c>
      <c r="F84" s="125">
        <f>0+SUMIF($J$9:$J$30,$C84,$L$9:$L$30)-SUMIF($I$9:$I$30,$C84,$L$9:$L$30)</f>
        <v/>
      </c>
    </row>
    <row r="85" ht="15" customHeight="1" s="78">
      <c r="A85" s="139" t="n"/>
      <c r="B85" s="97" t="inlineStr">
        <is>
          <t xml:space="preserve">        4. Tài sản dài hạn khác</t>
        </is>
      </c>
      <c r="C85" s="96" t="inlineStr">
        <is>
          <t>274</t>
        </is>
      </c>
      <c r="D85" s="95" t="n"/>
      <c r="E85" s="125">
        <f>CDPS!$H$61+SUMIF($J$9:$J$30,$C85,$K$9:$K$30)-SUMIF($I$9:$I$30,$C85,$K$9:$K$30)</f>
        <v/>
      </c>
      <c r="F85" s="125">
        <f>CDPS!$D$61+SUMIF($J$9:$J$30,$C85,$L$9:$L$30)-SUMIF($I$9:$I$30,$C85,$L$9:$L$30)</f>
        <v/>
      </c>
    </row>
    <row r="86" ht="15" customHeight="1" s="78">
      <c r="A86" s="134" t="n"/>
      <c r="B86" s="135" t="inlineStr">
        <is>
          <t>TỔNG CỘNG TÀI SẢN (280 = 100 + 200)</t>
        </is>
      </c>
      <c r="C86" s="136" t="inlineStr">
        <is>
          <t>280</t>
        </is>
      </c>
      <c r="D86" s="137" t="n"/>
      <c r="E86" s="143">
        <f>E9+E41</f>
        <v/>
      </c>
      <c r="F86" s="143">
        <f>F9+F41</f>
        <v/>
      </c>
    </row>
    <row r="87" ht="15" customHeight="1" s="78">
      <c r="A87" s="134" t="n"/>
      <c r="B87" s="135" t="inlineStr">
        <is>
          <t>C. NỢ PHẢI TRẢ</t>
        </is>
      </c>
      <c r="C87" s="136" t="inlineStr">
        <is>
          <t>300</t>
        </is>
      </c>
      <c r="D87" s="137" t="n"/>
      <c r="E87" s="138">
        <f>E88+E104</f>
        <v/>
      </c>
      <c r="F87" s="138">
        <f>F88+F104</f>
        <v/>
      </c>
    </row>
    <row r="88" ht="15" customHeight="1" s="78">
      <c r="A88" s="139" t="n"/>
      <c r="B88" s="140" t="inlineStr">
        <is>
          <t xml:space="preserve">    I. Nợ ngắn hạn</t>
        </is>
      </c>
      <c r="C88" s="141" t="inlineStr">
        <is>
          <t>310</t>
        </is>
      </c>
      <c r="D88" s="95" t="n"/>
      <c r="E88" s="123">
        <f>E89+E90+E91+E92+E93+E94+E95+E96+E97+E98+E99+E100+E101+E102+E103</f>
        <v/>
      </c>
      <c r="F88" s="123">
        <f>F89+F90+F91+F92+F93+F94+F95+F96+F97+F98+F99+F100+F101+F102+F103</f>
        <v/>
      </c>
    </row>
    <row r="89" ht="15" customHeight="1" s="78">
      <c r="A89" s="139" t="n"/>
      <c r="B89" s="97" t="inlineStr">
        <is>
          <t xml:space="preserve">        1. Phải trả người bán ngắn hạn</t>
        </is>
      </c>
      <c r="C89" s="96" t="inlineStr">
        <is>
          <t>311</t>
        </is>
      </c>
      <c r="D89" s="95" t="inlineStr">
        <is>
          <t>V.7</t>
        </is>
      </c>
      <c r="E89" s="125">
        <f>CONGNO!$H$613+SUMIF($J$9:$J$30,$C89,$K$9:$K$30)-SUMIF($I$9:$I$30,$C89,$K$9:$K$30)</f>
        <v/>
      </c>
      <c r="F89" s="125">
        <f>CONGNO!$D$613+SUMIF($J$9:$J$30,$C89,$L$9:$L$30)-SUMIF($I$9:$I$30,$C89,$L$9:$L$30)</f>
        <v/>
      </c>
    </row>
    <row r="90" ht="15" customHeight="1" s="78">
      <c r="A90" s="139" t="n"/>
      <c r="B90" s="97" t="inlineStr">
        <is>
          <t xml:space="preserve">        2. Người mua trả tiền trước ngắn hạn</t>
        </is>
      </c>
      <c r="C90" s="96" t="inlineStr">
        <is>
          <t>312</t>
        </is>
      </c>
      <c r="D90" s="95" t="n"/>
      <c r="E90" s="125">
        <f>CONGNO!$H$308+SUMIF($J$9:$J$30,$C90,$K$9:$K$30)-SUMIF($I$9:$I$30,$C90,$K$9:$K$30)</f>
        <v/>
      </c>
      <c r="F90" s="125">
        <f>CONGNO!$D$308+SUMIF($J$9:$J$30,$C90,$L$9:$L$30)-SUMIF($I$9:$I$30,$C90,$L$9:$L$30)</f>
        <v/>
      </c>
    </row>
    <row r="91" ht="15" customHeight="1" s="78">
      <c r="A91" s="139" t="n"/>
      <c r="B91" s="97" t="inlineStr">
        <is>
          <t xml:space="preserve">        3. Phải trả cổ tức, lợi nhuận</t>
        </is>
      </c>
      <c r="C91" s="96" t="inlineStr">
        <is>
          <t>313</t>
        </is>
      </c>
      <c r="D91" s="95" t="inlineStr">
        <is>
          <t>V.10</t>
        </is>
      </c>
      <c r="E91" s="125">
        <f>CDPS!$I$77+SUMIF($J$9:$J$30,$C91,$K$9:$K$30)-SUMIF($I$9:$I$30,$C91,$K$9:$K$30)</f>
        <v/>
      </c>
      <c r="F91" s="125">
        <f>CDPS!$E$77+SUMIF($J$9:$J$30,$C91,$L$9:$L$30)-SUMIF($I$9:$I$30,$C91,$L$9:$L$30)</f>
        <v/>
      </c>
    </row>
    <row r="92" ht="15" customHeight="1" s="78">
      <c r="A92" s="139" t="n"/>
      <c r="B92" s="97" t="inlineStr">
        <is>
          <t xml:space="preserve">        4. Thuế và các khoản phải nộp Nhà nước ngắn hạn</t>
        </is>
      </c>
      <c r="C92" s="96" t="inlineStr">
        <is>
          <t>314</t>
        </is>
      </c>
      <c r="D92" s="95" t="inlineStr">
        <is>
          <t>V.8</t>
        </is>
      </c>
      <c r="E92" s="125">
        <f>CDPS!$I$78+SUMIF($J$9:$J$30,$C92,$K$9:$K$30)-SUMIF($I$9:$I$30,$C92,$K$9:$K$30)</f>
        <v/>
      </c>
      <c r="F92" s="125">
        <f>CDPS!$E$78+SUMIF($J$9:$J$30,$C92,$L$9:$L$30)-SUMIF($I$9:$I$30,$C92,$L$9:$L$30)</f>
        <v/>
      </c>
    </row>
    <row r="93" ht="15" customHeight="1" s="78">
      <c r="A93" s="139" t="n"/>
      <c r="B93" s="97" t="inlineStr">
        <is>
          <t xml:space="preserve">        5. Phải trả người lao động</t>
        </is>
      </c>
      <c r="C93" s="96" t="inlineStr">
        <is>
          <t>315</t>
        </is>
      </c>
      <c r="D93" s="95" t="n"/>
      <c r="E93" s="125">
        <f>CDPS!$I$92+SUMIF($J$9:$J$30,$C93,$K$9:$K$30)-SUMIF($I$9:$I$30,$C93,$K$9:$K$30)</f>
        <v/>
      </c>
      <c r="F93" s="125">
        <f>CDPS!$E$92+SUMIF($J$9:$J$30,$C93,$L$9:$L$30)-SUMIF($I$9:$I$30,$C93,$L$9:$L$30)</f>
        <v/>
      </c>
    </row>
    <row r="94" ht="15" customHeight="1" s="78">
      <c r="A94" s="139" t="n"/>
      <c r="B94" s="97" t="inlineStr">
        <is>
          <t xml:space="preserve">        6. Chi phí phải trả ngắn hạn</t>
        </is>
      </c>
      <c r="C94" s="96" t="inlineStr">
        <is>
          <t>316</t>
        </is>
      </c>
      <c r="D94" s="95" t="inlineStr">
        <is>
          <t>V.10</t>
        </is>
      </c>
      <c r="E94" s="125">
        <f>CDPS!$I$93+SUMIF($J$9:$J$30,$C94,$K$9:$K$30)-SUMIF($I$9:$I$30,$C94,$K$9:$K$30)</f>
        <v/>
      </c>
      <c r="F94" s="125">
        <f>CDPS!$E$93+SUMIF($J$9:$J$30,$C94,$L$9:$L$30)-SUMIF($I$9:$I$30,$C94,$L$9:$L$30)</f>
        <v/>
      </c>
    </row>
    <row r="95" ht="15" customHeight="1" s="78">
      <c r="A95" s="139" t="n"/>
      <c r="B95" s="97" t="inlineStr">
        <is>
          <t xml:space="preserve">        7. Phải trả nội bộ ngắn hạn</t>
        </is>
      </c>
      <c r="C95" s="96" t="inlineStr">
        <is>
          <t>317</t>
        </is>
      </c>
      <c r="D95" s="95" t="n"/>
      <c r="E95" s="125">
        <f>CDPS!$I$96+CDPS!$I$97+CDPS!$I$98+SUMIF($J$9:$J$30,$C95,$K$9:$K$30)-SUMIF($I$9:$I$30,$C95,$K$9:$K$30)</f>
        <v/>
      </c>
      <c r="F95" s="125">
        <f>CDPS!$E$96+CDPS!$E$97+CDPS!$E$98+SUMIF($J$9:$J$30,$C95,$L$9:$L$30)-SUMIF($I$9:$I$30,$C95,$L$9:$L$30)</f>
        <v/>
      </c>
    </row>
    <row r="96" ht="15" customHeight="1" s="78">
      <c r="A96" s="139" t="n"/>
      <c r="B96" s="97" t="inlineStr">
        <is>
          <t xml:space="preserve">        8. Phải trả theo tiến độ kế hoạch hợp đồng xây dựng</t>
        </is>
      </c>
      <c r="C96" s="96" t="inlineStr">
        <is>
          <t>318</t>
        </is>
      </c>
      <c r="D96" s="95" t="n"/>
      <c r="E96" s="125">
        <f>CDPS!$I$99+SUMIF($J$9:$J$30,$C96,$K$9:$K$30)-SUMIF($I$9:$I$30,$C96,$K$9:$K$30)</f>
        <v/>
      </c>
      <c r="F96" s="125">
        <f>CDPS!$E$99+SUMIF($J$9:$J$30,$C96,$L$9:$L$30)-SUMIF($I$9:$I$30,$C96,$L$9:$L$30)</f>
        <v/>
      </c>
    </row>
    <row r="97" ht="15" customHeight="1" s="78">
      <c r="A97" s="139" t="n"/>
      <c r="B97" s="97" t="inlineStr">
        <is>
          <t xml:space="preserve">        9. Doanh thu chờ phân bổ ngắn hạn</t>
        </is>
      </c>
      <c r="C97" s="96" t="inlineStr">
        <is>
          <t>319</t>
        </is>
      </c>
      <c r="D97" s="95" t="n"/>
      <c r="E97" s="125">
        <f>CDPS!$I$106+SUMIF($J$9:$J$30,$C97,$K$9:$K$30)-SUMIF($I$9:$I$30,$C97,$K$9:$K$30)</f>
        <v/>
      </c>
      <c r="F97" s="125">
        <f>CDPS!$E$106+SUMIF($J$9:$J$30,$C97,$L$9:$L$30)-SUMIF($I$9:$I$30,$C97,$L$9:$L$30)</f>
        <v/>
      </c>
    </row>
    <row r="98" ht="15" customHeight="1" s="78">
      <c r="A98" s="139" t="n"/>
      <c r="B98" s="97" t="inlineStr">
        <is>
          <t xml:space="preserve">        10. Phải trả ngắn hạn khác</t>
        </is>
      </c>
      <c r="C98" s="96" t="inlineStr">
        <is>
          <t>320</t>
        </is>
      </c>
      <c r="D98" s="95" t="inlineStr">
        <is>
          <t>V.10</t>
        </is>
      </c>
      <c r="E98" s="125">
        <f>CDPS!$I$101+CDPS!$I$102+CDPS!$I$103+CDPS!$I$104+CDPS!$I$105+CDPS!$I$107+CDPS!$I$26+CDPS!$I$114+SUMIF($J$9:$J$30,$C98,$K$9:$K$30)-SUMIF($I$9:$I$30,$C98,$K$9:$K$30)</f>
        <v/>
      </c>
      <c r="F98" s="125">
        <f>CDPS!$E$101+CDPS!$E$102+CDPS!$E$103+CDPS!$E$104+CDPS!$E$105+CDPS!$E$107+CDPS!$E$26+CDPS!$E$114+SUMIF($J$9:$J$30,$C98,$L$9:$L$30)-SUMIF($I$9:$I$30,$C98,$L$9:$L$30)</f>
        <v/>
      </c>
    </row>
    <row r="99" ht="15" customHeight="1" s="78">
      <c r="A99" s="139" t="n"/>
      <c r="B99" s="97" t="inlineStr">
        <is>
          <t xml:space="preserve">        11. Vay và nợ thuê tài chính ngắn hạn</t>
        </is>
      </c>
      <c r="C99" s="96" t="inlineStr">
        <is>
          <t>321</t>
        </is>
      </c>
      <c r="D99" s="95" t="inlineStr">
        <is>
          <t>V.9</t>
        </is>
      </c>
      <c r="E99" s="125">
        <f>CDPS!$I$108+CDPS!$I$111+SUMIF($J$9:$J$30,$C99,$K$9:$K$30)-SUMIF($I$9:$I$30,$C99,$K$9:$K$30)</f>
        <v/>
      </c>
      <c r="F99" s="125">
        <f>CDPS!$E$108+CDPS!$E$111+SUMIF($J$9:$J$30,$C99,$L$9:$L$30)-SUMIF($I$9:$I$30,$C99,$L$9:$L$30)</f>
        <v/>
      </c>
    </row>
    <row r="100" ht="15" customHeight="1" s="78">
      <c r="A100" s="139" t="n"/>
      <c r="B100" s="97" t="inlineStr">
        <is>
          <t xml:space="preserve">        12. Dự phòng phải trả ngắn hạn</t>
        </is>
      </c>
      <c r="C100" s="96" t="inlineStr">
        <is>
          <t>322</t>
        </is>
      </c>
      <c r="D100" s="95" t="n"/>
      <c r="E100" s="125">
        <f>CDPS!$I$116+SUMIF($J$9:$J$30,$C100,$K$9:$K$30)-SUMIF($I$9:$I$30,$C100,$K$9:$K$30)</f>
        <v/>
      </c>
      <c r="F100" s="125">
        <f>CDPS!$E$116+SUMIF($J$9:$J$30,$C100,$L$9:$L$30)-SUMIF($I$9:$I$30,$C100,$L$9:$L$30)</f>
        <v/>
      </c>
    </row>
    <row r="101" ht="15" customHeight="1" s="78">
      <c r="A101" s="139" t="n"/>
      <c r="B101" s="97" t="inlineStr">
        <is>
          <t xml:space="preserve">        13. Quỹ khen thưởng, phúc lợi</t>
        </is>
      </c>
      <c r="C101" s="96" t="inlineStr">
        <is>
          <t>323</t>
        </is>
      </c>
      <c r="D101" s="95" t="n"/>
      <c r="E101" s="125">
        <f>CDPS!$I$121+SUMIF($J$9:$J$30,$C101,$K$9:$K$30)-SUMIF($I$9:$I$30,$C101,$K$9:$K$30)</f>
        <v/>
      </c>
      <c r="F101" s="125">
        <f>CDPS!$E$121+SUMIF($J$9:$J$30,$C101,$L$9:$L$30)-SUMIF($I$9:$I$30,$C101,$L$9:$L$30)</f>
        <v/>
      </c>
    </row>
    <row r="102" ht="15" customHeight="1" s="78">
      <c r="A102" s="139" t="n"/>
      <c r="B102" s="97" t="inlineStr">
        <is>
          <t xml:space="preserve">        14. Quỹ bình ổn giá</t>
        </is>
      </c>
      <c r="C102" s="96" t="inlineStr">
        <is>
          <t>324</t>
        </is>
      </c>
      <c r="D102" s="95" t="n"/>
      <c r="E102" s="125">
        <f>CDPS!$I$129+SUMIF($J$9:$J$30,$C102,$K$9:$K$30)-SUMIF($I$9:$I$30,$C102,$K$9:$K$30)</f>
        <v/>
      </c>
      <c r="F102" s="125">
        <f>CDPS!$E$129+SUMIF($J$9:$J$30,$C102,$L$9:$L$30)-SUMIF($I$9:$I$30,$C102,$L$9:$L$30)</f>
        <v/>
      </c>
    </row>
    <row r="103" ht="15" customHeight="1" s="78">
      <c r="A103" s="139" t="n"/>
      <c r="B103" s="97" t="inlineStr">
        <is>
          <t xml:space="preserve">        15. Giao dịch mua bán lại trái phiếu Chính phủ</t>
        </is>
      </c>
      <c r="C103" s="96" t="inlineStr">
        <is>
          <t>325</t>
        </is>
      </c>
      <c r="D103" s="95" t="n"/>
      <c r="E103" s="125">
        <f>CDPS!$I$39+SUMIF($J$9:$J$30,$C103,$K$9:$K$30)-SUMIF($I$9:$I$30,$C103,$K$9:$K$30)</f>
        <v/>
      </c>
      <c r="F103" s="125">
        <f>CDPS!$E$39+SUMIF($J$9:$J$30,$C103,$L$9:$L$30)-SUMIF($I$9:$I$30,$C103,$L$9:$L$30)</f>
        <v/>
      </c>
    </row>
    <row r="104" ht="15" customHeight="1" s="78">
      <c r="A104" s="139" t="n"/>
      <c r="B104" s="140" t="inlineStr">
        <is>
          <t xml:space="preserve">    II. Nợ dài hạn</t>
        </is>
      </c>
      <c r="C104" s="141" t="inlineStr">
        <is>
          <t>330</t>
        </is>
      </c>
      <c r="D104" s="95" t="n"/>
      <c r="E104" s="123">
        <f>E105+E106+E107+E108+E109+E110+E111+E112+E113+E114+E115+E116+E117+E118</f>
        <v/>
      </c>
      <c r="F104" s="123">
        <f>F105+F106+F107+F108+F109+F110+F111+F112+F113+F114+F115+F116+F117+F118</f>
        <v/>
      </c>
    </row>
    <row r="105" ht="15" customHeight="1" s="78">
      <c r="A105" s="139" t="n"/>
      <c r="B105" s="97" t="inlineStr">
        <is>
          <t xml:space="preserve">        1. Phải trả người bán dài hạn</t>
        </is>
      </c>
      <c r="C105" s="96" t="inlineStr">
        <is>
          <t>331</t>
        </is>
      </c>
      <c r="D105" s="95" t="n"/>
      <c r="E105" s="125">
        <f>0+SUMIF($J$9:$J$30,$C105,$K$9:$K$30)-SUMIF($I$9:$I$30,$C105,$K$9:$K$30)</f>
        <v/>
      </c>
      <c r="F105" s="125">
        <f>0+SUMIF($J$9:$J$30,$C105,$L$9:$L$30)-SUMIF($I$9:$I$30,$C105,$L$9:$L$30)</f>
        <v/>
      </c>
    </row>
    <row r="106" ht="15" customHeight="1" s="78">
      <c r="A106" s="139" t="n"/>
      <c r="B106" s="97" t="inlineStr">
        <is>
          <t xml:space="preserve">        2. Người mua trả tiền trước dài hạn</t>
        </is>
      </c>
      <c r="C106" s="96" t="inlineStr">
        <is>
          <t>332</t>
        </is>
      </c>
      <c r="D106" s="95" t="n"/>
      <c r="E106" s="125">
        <f>0+SUMIF($J$9:$J$30,$C106,$K$9:$K$30)-SUMIF($I$9:$I$30,$C106,$K$9:$K$30)</f>
        <v/>
      </c>
      <c r="F106" s="125">
        <f>0+SUMIF($J$9:$J$30,$C106,$L$9:$L$30)-SUMIF($I$9:$I$30,$C106,$L$9:$L$30)</f>
        <v/>
      </c>
    </row>
    <row r="107" ht="15" customHeight="1" s="78">
      <c r="A107" s="139" t="n"/>
      <c r="B107" s="97" t="inlineStr">
        <is>
          <t xml:space="preserve">        3. Thuế và các khoản phải nộp Nhà nước dài hạn</t>
        </is>
      </c>
      <c r="C107" s="96" t="inlineStr">
        <is>
          <t>333</t>
        </is>
      </c>
      <c r="D107" s="95" t="n"/>
      <c r="E107" s="125">
        <f>0+SUMIF($J$9:$J$30,$C107,$K$9:$K$30)-SUMIF($I$9:$I$30,$C107,$K$9:$K$30)</f>
        <v/>
      </c>
      <c r="F107" s="125">
        <f>0+SUMIF($J$9:$J$30,$C107,$L$9:$L$30)-SUMIF($I$9:$I$30,$C107,$L$9:$L$30)</f>
        <v/>
      </c>
    </row>
    <row r="108" ht="15" customHeight="1" s="78">
      <c r="A108" s="139" t="n"/>
      <c r="B108" s="97" t="inlineStr">
        <is>
          <t xml:space="preserve">        4. Chi phí phải trả dài hạn</t>
        </is>
      </c>
      <c r="C108" s="96" t="inlineStr">
        <is>
          <t>334</t>
        </is>
      </c>
      <c r="D108" s="95" t="n"/>
      <c r="E108" s="125">
        <f>0+SUMIF($J$9:$J$30,$C108,$K$9:$K$30)-SUMIF($I$9:$I$30,$C108,$K$9:$K$30)</f>
        <v/>
      </c>
      <c r="F108" s="125">
        <f>0+SUMIF($J$9:$J$30,$C108,$L$9:$L$30)-SUMIF($I$9:$I$30,$C108,$L$9:$L$30)</f>
        <v/>
      </c>
    </row>
    <row r="109" ht="15" customHeight="1" s="78">
      <c r="A109" s="139" t="n"/>
      <c r="B109" s="97" t="inlineStr">
        <is>
          <t xml:space="preserve">        5. Phải trả nội bộ về vốn kinh doanh</t>
        </is>
      </c>
      <c r="C109" s="96" t="inlineStr">
        <is>
          <t>335</t>
        </is>
      </c>
      <c r="D109" s="95" t="n"/>
      <c r="E109" s="125">
        <f>CDPS!$I$95+SUMIF($J$9:$J$30,$C109,$K$9:$K$30)-SUMIF($I$9:$I$30,$C109,$K$9:$K$30)</f>
        <v/>
      </c>
      <c r="F109" s="125">
        <f>CDPS!$E$95+SUMIF($J$9:$J$30,$C109,$L$9:$L$30)-SUMIF($I$9:$I$30,$C109,$L$9:$L$30)</f>
        <v/>
      </c>
    </row>
    <row r="110" ht="15" customHeight="1" s="78">
      <c r="A110" s="139" t="n"/>
      <c r="B110" s="97" t="inlineStr">
        <is>
          <t xml:space="preserve">        6. Phải trả nội bộ dài hạn</t>
        </is>
      </c>
      <c r="C110" s="96" t="inlineStr">
        <is>
          <t>336</t>
        </is>
      </c>
      <c r="D110" s="95" t="n"/>
      <c r="E110" s="125">
        <f>0+SUMIF($J$9:$J$30,$C110,$K$9:$K$30)-SUMIF($I$9:$I$30,$C110,$K$9:$K$30)</f>
        <v/>
      </c>
      <c r="F110" s="125">
        <f>0+SUMIF($J$9:$J$30,$C110,$L$9:$L$30)-SUMIF($I$9:$I$30,$C110,$L$9:$L$30)</f>
        <v/>
      </c>
    </row>
    <row r="111" ht="15" customHeight="1" s="78">
      <c r="A111" s="139" t="n"/>
      <c r="B111" s="97" t="inlineStr">
        <is>
          <t xml:space="preserve">        7. Doanh thu chờ phân bổ dài hạn</t>
        </is>
      </c>
      <c r="C111" s="96" t="inlineStr">
        <is>
          <t>337</t>
        </is>
      </c>
      <c r="D111" s="95" t="n"/>
      <c r="E111" s="125">
        <f>0+SUMIF($J$9:$J$30,$C111,$K$9:$K$30)-SUMIF($I$9:$I$30,$C111,$K$9:$K$30)</f>
        <v/>
      </c>
      <c r="F111" s="125">
        <f>0+SUMIF($J$9:$J$30,$C111,$L$9:$L$30)-SUMIF($I$9:$I$30,$C111,$L$9:$L$30)</f>
        <v/>
      </c>
    </row>
    <row r="112" ht="15" customHeight="1" s="78">
      <c r="A112" s="139" t="n"/>
      <c r="B112" s="97" t="inlineStr">
        <is>
          <t xml:space="preserve">        8. Phải trả dài hạn khác</t>
        </is>
      </c>
      <c r="C112" s="96" t="inlineStr">
        <is>
          <t>338</t>
        </is>
      </c>
      <c r="D112" s="95" t="n"/>
      <c r="E112" s="125">
        <f>0+SUMIF($J$9:$J$30,$C112,$K$9:$K$30)-SUMIF($I$9:$I$30,$C112,$K$9:$K$30)</f>
        <v/>
      </c>
      <c r="F112" s="125">
        <f>0+SUMIF($J$9:$J$30,$C112,$L$9:$L$30)-SUMIF($I$9:$I$30,$C112,$L$9:$L$30)</f>
        <v/>
      </c>
    </row>
    <row r="113" ht="15" customHeight="1" s="78">
      <c r="A113" s="139" t="n"/>
      <c r="B113" s="97" t="inlineStr">
        <is>
          <t xml:space="preserve">        9. Vay và nợ thuê tài chính dài hạn</t>
        </is>
      </c>
      <c r="C113" s="96" t="inlineStr">
        <is>
          <t>339</t>
        </is>
      </c>
      <c r="D113" s="95" t="inlineStr">
        <is>
          <t>V.9</t>
        </is>
      </c>
      <c r="E113" s="125">
        <f>0+SUMIF($J$9:$J$30,$C113,$K$9:$K$30)-SUMIF($I$9:$I$30,$C113,$K$9:$K$30)</f>
        <v/>
      </c>
      <c r="F113" s="125">
        <f>0+SUMIF($J$9:$J$30,$C113,$L$9:$L$30)-SUMIF($I$9:$I$30,$C113,$L$9:$L$30)</f>
        <v/>
      </c>
    </row>
    <row r="114" ht="15" customHeight="1" s="78">
      <c r="A114" s="139" t="n"/>
      <c r="B114" s="97" t="inlineStr">
        <is>
          <t xml:space="preserve">        10. Trái phiếu chuyển đổi</t>
        </is>
      </c>
      <c r="C114" s="96" t="inlineStr">
        <is>
          <t>340</t>
        </is>
      </c>
      <c r="D114" s="95" t="n"/>
      <c r="E114" s="125">
        <f>CDPS!$I$113+SUMIF($J$9:$J$30,$C114,$K$9:$K$30)-SUMIF($I$9:$I$30,$C114,$K$9:$K$30)</f>
        <v/>
      </c>
      <c r="F114" s="125">
        <f>CDPS!$E$113+SUMIF($J$9:$J$30,$C114,$L$9:$L$30)-SUMIF($I$9:$I$30,$C114,$L$9:$L$30)</f>
        <v/>
      </c>
    </row>
    <row r="115" ht="15" customHeight="1" s="78">
      <c r="A115" s="139" t="n"/>
      <c r="B115" s="97" t="inlineStr">
        <is>
          <t xml:space="preserve">        11. Cổ phiếu ưu đãi</t>
        </is>
      </c>
      <c r="C115" s="96" t="inlineStr">
        <is>
          <t>341</t>
        </is>
      </c>
      <c r="D115" s="95" t="n"/>
      <c r="E115" s="125">
        <f>0+SUMIF($J$9:$J$30,$C115,$K$9:$K$30)-SUMIF($I$9:$I$30,$C115,$K$9:$K$30)</f>
        <v/>
      </c>
      <c r="F115" s="125">
        <f>0+SUMIF($J$9:$J$30,$C115,$L$9:$L$30)-SUMIF($I$9:$I$30,$C115,$L$9:$L$30)</f>
        <v/>
      </c>
    </row>
    <row r="116" ht="15" customHeight="1" s="78">
      <c r="A116" s="139" t="n"/>
      <c r="B116" s="97" t="inlineStr">
        <is>
          <t xml:space="preserve">        12. Thuế thu nhập hoãn lại phải trả</t>
        </is>
      </c>
      <c r="C116" s="96" t="inlineStr">
        <is>
          <t>342</t>
        </is>
      </c>
      <c r="D116" s="95" t="n"/>
      <c r="E116" s="125">
        <f>CDPS!$I$115+SUMIF($J$9:$J$30,$C116,$K$9:$K$30)-SUMIF($I$9:$I$30,$C116,$K$9:$K$30)</f>
        <v/>
      </c>
      <c r="F116" s="125">
        <f>CDPS!$E$115+SUMIF($J$9:$J$30,$C116,$L$9:$L$30)-SUMIF($I$9:$I$30,$C116,$L$9:$L$30)</f>
        <v/>
      </c>
    </row>
    <row r="117" ht="15" customHeight="1" s="78">
      <c r="A117" s="139" t="n"/>
      <c r="B117" s="97" t="inlineStr">
        <is>
          <t xml:space="preserve">        13. Dự phòng phải trả dài hạn</t>
        </is>
      </c>
      <c r="C117" s="96" t="inlineStr">
        <is>
          <t>343</t>
        </is>
      </c>
      <c r="D117" s="95" t="n"/>
      <c r="E117" s="125">
        <f>0+SUMIF($J$9:$J$30,$C117,$K$9:$K$30)-SUMIF($I$9:$I$30,$C117,$K$9:$K$30)</f>
        <v/>
      </c>
      <c r="F117" s="125">
        <f>0+SUMIF($J$9:$J$30,$C117,$L$9:$L$30)-SUMIF($I$9:$I$30,$C117,$L$9:$L$30)</f>
        <v/>
      </c>
    </row>
    <row r="118" ht="15" customHeight="1" s="78">
      <c r="A118" s="139" t="n"/>
      <c r="B118" s="97" t="inlineStr">
        <is>
          <t xml:space="preserve">        14. Quỹ phát triển khoa học và công nghệ</t>
        </is>
      </c>
      <c r="C118" s="96" t="inlineStr">
        <is>
          <t>344</t>
        </is>
      </c>
      <c r="D118" s="95" t="n"/>
      <c r="E118" s="125">
        <f>CDPS!$I$126+SUMIF($J$9:$J$30,$C118,$K$9:$K$30)-SUMIF($I$9:$I$30,$C118,$K$9:$K$30)</f>
        <v/>
      </c>
      <c r="F118" s="125">
        <f>CDPS!$E$126+SUMIF($J$9:$J$30,$C118,$L$9:$L$30)-SUMIF($I$9:$I$30,$C118,$L$9:$L$30)</f>
        <v/>
      </c>
    </row>
    <row r="119" ht="15" customHeight="1" s="78">
      <c r="A119" s="134" t="n"/>
      <c r="B119" s="135" t="inlineStr">
        <is>
          <t>D. VỐN CHỦ SỞ HỮU</t>
        </is>
      </c>
      <c r="C119" s="136" t="inlineStr">
        <is>
          <t>400</t>
        </is>
      </c>
      <c r="D119" s="137" t="n"/>
      <c r="E119" s="138">
        <f>E120+E123+E124+E125+E126+E127+E128+E129+E130+E131</f>
        <v/>
      </c>
      <c r="F119" s="138">
        <f>F120+F123+F124+F125+F126+F127+F128+F129+F130+F131</f>
        <v/>
      </c>
    </row>
    <row r="120" ht="15" customHeight="1" s="78">
      <c r="A120" s="139" t="n"/>
      <c r="B120" s="140" t="inlineStr">
        <is>
          <t xml:space="preserve">    1. Vốn góp của chủ sở hữu</t>
        </is>
      </c>
      <c r="C120" s="141" t="inlineStr">
        <is>
          <t>411</t>
        </is>
      </c>
      <c r="D120" s="95" t="inlineStr">
        <is>
          <t>V.11</t>
        </is>
      </c>
      <c r="E120" s="123">
        <f>CDPS!$I$131+SUMIF($J$9:$J$30,$C120,$K$9:$K$30)-SUMIF($I$9:$I$30,$C120,$K$9:$K$30)</f>
        <v/>
      </c>
      <c r="F120" s="123">
        <f>CDPS!$E$131+SUMIF($J$9:$J$30,$C120,$L$9:$L$30)-SUMIF($I$9:$I$30,$C120,$L$9:$L$30)</f>
        <v/>
      </c>
    </row>
    <row r="121" ht="15" customHeight="1" s="78">
      <c r="A121" s="139" t="n"/>
      <c r="B121" s="97" t="inlineStr">
        <is>
          <t xml:space="preserve">        - Cổ phiếu phổ thông có quyền biểu quyết</t>
        </is>
      </c>
      <c r="C121" s="96" t="inlineStr">
        <is>
          <t>411a</t>
        </is>
      </c>
      <c r="D121" s="95" t="n"/>
      <c r="E121" s="125">
        <f>CDPS!$I$132+SUMIF($J$9:$J$30,$C121,$K$9:$K$30)-SUMIF($I$9:$I$30,$C121,$K$9:$K$30)</f>
        <v/>
      </c>
      <c r="F121" s="125">
        <f>CDPS!$E$132+SUMIF($J$9:$J$30,$C121,$L$9:$L$30)-SUMIF($I$9:$I$30,$C121,$L$9:$L$30)</f>
        <v/>
      </c>
    </row>
    <row r="122" ht="15" customHeight="1" s="78">
      <c r="A122" s="139" t="n"/>
      <c r="B122" s="97" t="inlineStr">
        <is>
          <t xml:space="preserve">        - Cổ phiếu ưu đãi</t>
        </is>
      </c>
      <c r="C122" s="96" t="inlineStr">
        <is>
          <t>411b</t>
        </is>
      </c>
      <c r="D122" s="95" t="n"/>
      <c r="E122" s="125">
        <f>CDPS!$I$133+SUMIF($J$9:$J$30,$C122,$K$9:$K$30)-SUMIF($I$9:$I$30,$C122,$K$9:$K$30)</f>
        <v/>
      </c>
      <c r="F122" s="125">
        <f>CDPS!$E$133+SUMIF($J$9:$J$30,$C122,$L$9:$L$30)-SUMIF($I$9:$I$30,$C122,$L$9:$L$30)</f>
        <v/>
      </c>
    </row>
    <row r="123" ht="15" customHeight="1" s="78">
      <c r="A123" s="139" t="n"/>
      <c r="B123" s="140" t="inlineStr">
        <is>
          <t xml:space="preserve">    2. Thặng dư vốn cổ phần</t>
        </is>
      </c>
      <c r="C123" s="141" t="inlineStr">
        <is>
          <t>412</t>
        </is>
      </c>
      <c r="D123" s="95" t="n"/>
      <c r="E123" s="123">
        <f>(CDPS!$I$134-CDPS!$H$134)+SUMIF($J$9:$J$30,$C123,$K$9:$K$30)-SUMIF($I$9:$I$30,$C123,$K$9:$K$30)</f>
        <v/>
      </c>
      <c r="F123" s="123">
        <f>(CDPS!$E$134-CDPS!$D$134)+SUMIF($J$9:$J$30,$C123,$L$9:$L$30)-SUMIF($I$9:$I$30,$C123,$L$9:$L$30)</f>
        <v/>
      </c>
    </row>
    <row r="124" ht="15" customHeight="1" s="78">
      <c r="A124" s="139" t="n"/>
      <c r="B124" s="140" t="inlineStr">
        <is>
          <t xml:space="preserve">    3. Quyền chọn chuyển đổi trái phiếu</t>
        </is>
      </c>
      <c r="C124" s="141" t="inlineStr">
        <is>
          <t>413</t>
        </is>
      </c>
      <c r="D124" s="95" t="n"/>
      <c r="E124" s="123">
        <f>CDPS!$I$135+SUMIF($J$9:$J$30,$C124,$K$9:$K$30)-SUMIF($I$9:$I$30,$C124,$K$9:$K$30)</f>
        <v/>
      </c>
      <c r="F124" s="123">
        <f>CDPS!$E$135+SUMIF($J$9:$J$30,$C124,$L$9:$L$30)-SUMIF($I$9:$I$30,$C124,$L$9:$L$30)</f>
        <v/>
      </c>
    </row>
    <row r="125" ht="15" customHeight="1" s="78">
      <c r="A125" s="139" t="n"/>
      <c r="B125" s="140" t="inlineStr">
        <is>
          <t xml:space="preserve">    4. Vốn khác của chủ sở hữu</t>
        </is>
      </c>
      <c r="C125" s="141" t="inlineStr">
        <is>
          <t>414</t>
        </is>
      </c>
      <c r="D125" s="95" t="n"/>
      <c r="E125" s="123">
        <f>CDPS!$I$136+SUMIF($J$9:$J$30,$C125,$K$9:$K$30)-SUMIF($I$9:$I$30,$C125,$K$9:$K$30)</f>
        <v/>
      </c>
      <c r="F125" s="123">
        <f>CDPS!$E$136+SUMIF($J$9:$J$30,$C125,$L$9:$L$30)-SUMIF($I$9:$I$30,$C125,$L$9:$L$30)</f>
        <v/>
      </c>
    </row>
    <row r="126" ht="15" customHeight="1" s="78">
      <c r="A126" s="139" t="n"/>
      <c r="B126" s="140" t="inlineStr">
        <is>
          <t xml:space="preserve">    5. Cổ phiếu mua lại của chính mình (*)</t>
        </is>
      </c>
      <c r="C126" s="141" t="inlineStr">
        <is>
          <t>415</t>
        </is>
      </c>
      <c r="D126" s="95" t="n"/>
      <c r="E126" s="123">
        <f>-CDPS!$H$141+SUMIF($J$9:$J$30,$C126,$K$9:$K$30)-SUMIF($I$9:$I$30,$C126,$K$9:$K$30)</f>
        <v/>
      </c>
      <c r="F126" s="123">
        <f>-CDPS!$D$141+SUMIF($J$9:$J$30,$C126,$L$9:$L$30)-SUMIF($I$9:$I$30,$C126,$L$9:$L$30)</f>
        <v/>
      </c>
    </row>
    <row r="127" ht="15" customHeight="1" s="78">
      <c r="A127" s="139" t="n"/>
      <c r="B127" s="140" t="inlineStr">
        <is>
          <t xml:space="preserve">    6. Chênh lệch đánh giá lại tài sản</t>
        </is>
      </c>
      <c r="C127" s="141" t="inlineStr">
        <is>
          <t>416</t>
        </is>
      </c>
      <c r="D127" s="95" t="n"/>
      <c r="E127" s="123">
        <f>(CDPS!$I$137-CDPS!$H$137)+SUMIF($J$9:$J$30,$C127,$K$9:$K$30)-SUMIF($I$9:$I$30,$C127,$K$9:$K$30)</f>
        <v/>
      </c>
      <c r="F127" s="123">
        <f>(CDPS!$E$137-CDPS!$D$137)+SUMIF($J$9:$J$30,$C127,$L$9:$L$30)-SUMIF($I$9:$I$30,$C127,$L$9:$L$30)</f>
        <v/>
      </c>
    </row>
    <row r="128" ht="15" customHeight="1" s="78">
      <c r="A128" s="139" t="n"/>
      <c r="B128" s="140" t="inlineStr">
        <is>
          <t xml:space="preserve">    7. Chênh lệch tỷ giá hối đoái</t>
        </is>
      </c>
      <c r="C128" s="141" t="inlineStr">
        <is>
          <t>417</t>
        </is>
      </c>
      <c r="D128" s="95" t="n"/>
      <c r="E128" s="123">
        <f>(CDPS!$I$138-CDPS!$H$138)+SUMIF($J$9:$J$30,$C128,$K$9:$K$30)-SUMIF($I$9:$I$30,$C128,$K$9:$K$30)</f>
        <v/>
      </c>
      <c r="F128" s="123">
        <f>(CDPS!$E$138-CDPS!$D$138)+SUMIF($J$9:$J$30,$C128,$L$9:$L$30)-SUMIF($I$9:$I$30,$C128,$L$9:$L$30)</f>
        <v/>
      </c>
    </row>
    <row r="129" ht="15" customHeight="1" s="78">
      <c r="A129" s="139" t="n"/>
      <c r="B129" s="140" t="inlineStr">
        <is>
          <t xml:space="preserve">    8. Quỹ đầu tư phát triển</t>
        </is>
      </c>
      <c r="C129" s="141" t="inlineStr">
        <is>
          <t>418</t>
        </is>
      </c>
      <c r="D129" s="95" t="n"/>
      <c r="E129" s="123">
        <f>CDPS!$I$139+SUMIF($J$9:$J$30,$C129,$K$9:$K$30)-SUMIF($I$9:$I$30,$C129,$K$9:$K$30)</f>
        <v/>
      </c>
      <c r="F129" s="123">
        <f>CDPS!$E$139+SUMIF($J$9:$J$30,$C129,$L$9:$L$30)-SUMIF($I$9:$I$30,$C129,$L$9:$L$30)</f>
        <v/>
      </c>
    </row>
    <row r="130" ht="15" customHeight="1" s="78">
      <c r="A130" s="139" t="n"/>
      <c r="B130" s="140" t="inlineStr">
        <is>
          <t xml:space="preserve">    9. Quỹ khác thuộc vốn chủ sở hữu</t>
        </is>
      </c>
      <c r="C130" s="141" t="inlineStr">
        <is>
          <t>419</t>
        </is>
      </c>
      <c r="D130" s="95" t="n"/>
      <c r="E130" s="123">
        <f>CDPS!$I$140+SUMIF($J$9:$J$30,$C130,$K$9:$K$30)-SUMIF($I$9:$I$30,$C130,$K$9:$K$30)</f>
        <v/>
      </c>
      <c r="F130" s="123">
        <f>CDPS!$E$140+SUMIF($J$9:$J$30,$C130,$L$9:$L$30)-SUMIF($I$9:$I$30,$C130,$L$9:$L$30)</f>
        <v/>
      </c>
    </row>
    <row r="131" ht="15" customHeight="1" s="78">
      <c r="A131" s="139" t="n"/>
      <c r="B131" s="140" t="inlineStr">
        <is>
          <t xml:space="preserve">    10. Lợi nhuận sau thuế chưa phân phối</t>
        </is>
      </c>
      <c r="C131" s="141" t="inlineStr">
        <is>
          <t>420</t>
        </is>
      </c>
      <c r="D131" s="95" t="inlineStr">
        <is>
          <t>V.11</t>
        </is>
      </c>
      <c r="E131" s="123">
        <f>E132+E133</f>
        <v/>
      </c>
      <c r="F131" s="123">
        <f>F132+F133</f>
        <v/>
      </c>
    </row>
    <row r="132" ht="15" customHeight="1" s="78">
      <c r="A132" s="139" t="n"/>
      <c r="B132" s="97" t="inlineStr">
        <is>
          <t xml:space="preserve">        - LNST chưa phân phối lũy kế đến cuối kỳ trước</t>
        </is>
      </c>
      <c r="C132" s="96" t="inlineStr">
        <is>
          <t>420a</t>
        </is>
      </c>
      <c r="D132" s="95" t="n"/>
      <c r="E132" s="125">
        <f>(CDPS!$I$143-CDPS!$H$143)+SUMIF($J$9:$J$30,$C132,$K$9:$K$30)-SUMIF($I$9:$I$30,$C132,$K$9:$K$30)</f>
        <v/>
      </c>
      <c r="F132" s="125">
        <f>(CDPS!$E$143-CDPS!$D$143)+SUMIF($J$9:$J$30,$C132,$L$9:$L$30)-SUMIF($I$9:$I$30,$C132,$L$9:$L$30)</f>
        <v/>
      </c>
    </row>
    <row r="133" ht="15" customHeight="1" s="78">
      <c r="A133" s="139" t="n"/>
      <c r="B133" s="97" t="inlineStr">
        <is>
          <t xml:space="preserve">        - LNST chưa phân phối kỳ này</t>
        </is>
      </c>
      <c r="C133" s="96" t="inlineStr">
        <is>
          <t>420b</t>
        </is>
      </c>
      <c r="D133" s="95" t="n"/>
      <c r="E133" s="125">
        <f>(CDPS!$I$144-CDPS!$H$144)+(SUMIFS(NKC!$H$7:$H$3006,NKC!$G$7:$G$3006,"5*",NKC!$B$7:$B$3006,"&lt;="&amp;DEN_NGAY)+SUMIFS(NKC!$H$7:$H$3006,NKC!$G$7:$G$3006,"6*",NKC!$B$7:$B$3006,"&lt;="&amp;DEN_NGAY)+SUMIFS(NKC!$H$7:$H$3006,NKC!$G$7:$G$3006,"7*",NKC!$B$7:$B$3006,"&lt;="&amp;DEN_NGAY)+SUMIFS(NKC!$H$7:$H$3006,NKC!$G$7:$G$3006,"8*",NKC!$B$7:$B$3006,"&lt;="&amp;DEN_NGAY)+SUMIFS(NKC!$H$7:$H$3006,NKC!$G$7:$G$3006,"9*",NKC!$B$7:$B$3006,"&lt;="&amp;DEN_NGAY))-(SUMIFS(NKC!$H$7:$H$3006,NKC!$F$7:$F$3006,"5*",NKC!$B$7:$B$3006,"&lt;="&amp;DEN_NGAY)+SUMIFS(NKC!$H$7:$H$3006,NKC!$F$7:$F$3006,"6*",NKC!$B$7:$B$3006,"&lt;="&amp;DEN_NGAY)+SUMIFS(NKC!$H$7:$H$3006,NKC!$F$7:$F$3006,"7*",NKC!$B$7:$B$3006,"&lt;="&amp;DEN_NGAY)+SUMIFS(NKC!$H$7:$H$3006,NKC!$F$7:$F$3006,"8*",NKC!$B$7:$B$3006,"&lt;="&amp;DEN_NGAY)+SUMIFS(NKC!$H$7:$H$3006,NKC!$F$7:$F$3006,"9*",NKC!$B$7:$B$3006,"&lt;="&amp;DEN_NGAY))+SUMIF($J$9:$J$30,$C133,$K$9:$K$30)-SUMIF($I$9:$I$30,$C133,$K$9:$K$30)</f>
        <v/>
      </c>
      <c r="F133" s="125">
        <f>(CDPS!$E$144-CDPS!$D$144)+SUMIF($J$9:$J$30,$C133,$L$9:$L$30)-SUMIF($I$9:$I$30,$C133,$L$9:$L$30)</f>
        <v/>
      </c>
    </row>
    <row r="134" ht="15" customHeight="1" s="78">
      <c r="A134" s="134" t="n"/>
      <c r="B134" s="135" t="inlineStr">
        <is>
          <t>TỔNG CỘNG NGUỒN VỐN (440 = 300 + 400)</t>
        </is>
      </c>
      <c r="C134" s="136" t="inlineStr">
        <is>
          <t>440</t>
        </is>
      </c>
      <c r="D134" s="137" t="n"/>
      <c r="E134" s="143">
        <f>E87+E119</f>
        <v/>
      </c>
      <c r="F134" s="143">
        <f>F87+F119</f>
        <v/>
      </c>
    </row>
    <row r="135"/>
    <row r="136" ht="25.35" customHeight="1" s="78">
      <c r="E136" s="119">
        <f>"Lập, ngày "&amp;DAY(DEN_NGAY)&amp;" tháng "&amp;MONTH(DEN_NGAY)&amp;" năm "&amp;YEAR(DEN_NGAY)</f>
        <v/>
      </c>
    </row>
    <row r="137" ht="25.35" customHeight="1" s="78">
      <c r="B137" s="118" t="inlineStr">
        <is>
          <t>Người lập biểu</t>
        </is>
      </c>
      <c r="D137" s="118" t="inlineStr">
        <is>
          <t>Kế toán trưởng</t>
        </is>
      </c>
      <c r="E137" s="118" t="inlineStr">
        <is>
          <t>Người đại diện theo pháp luật</t>
        </is>
      </c>
    </row>
    <row r="138" ht="15" customHeight="1" s="78">
      <c r="B138" s="117" t="inlineStr">
        <is>
          <t>(Ký, họ tên)</t>
        </is>
      </c>
      <c r="D138" s="117" t="inlineStr">
        <is>
          <t>(Ký, họ tên)</t>
        </is>
      </c>
      <c r="E138" s="117" t="inlineStr">
        <is>
          <t>(Ký, họ tên)</t>
        </is>
      </c>
    </row>
    <row r="139"/>
    <row r="140"/>
    <row r="141" ht="25.35" customHeight="1" s="78">
      <c r="B141" s="144">
        <f>TT_DN!$C$10</f>
        <v/>
      </c>
      <c r="D141" s="144">
        <f>TT_DN!$C$11</f>
        <v/>
      </c>
      <c r="E141" s="144">
        <f>TT_DN!$C$12</f>
        <v/>
      </c>
    </row>
  </sheetData>
  <sheetProtection selectLockedCells="0" selectUnlockedCells="0" sheet="1" objects="0" insertRows="1" insertHyperlinks="1" autoFilter="0" scenarios="0" formatColumns="0" deleteColumns="1" insertColumns="1" pivotTables="1" deleteRows="1" formatCells="0" formatRows="0" sort="0"/>
  <mergeCells count="2">
    <mergeCell ref="A3:F3"/>
    <mergeCell ref="A4:F4"/>
  </mergeCells>
  <conditionalFormatting sqref="E86:F86">
    <cfRule type="expression" rank="0" priority="2" equalAverage="0" aboveAverage="0" dxfId="6" text="" percent="0" bottom="0">
      <formula>E$86&lt;&gt;E$134</formula>
    </cfRule>
  </conditionalFormatting>
  <printOptions horizontalCentered="0" verticalCentered="0" headings="0" gridLines="0" gridLinesSet="1"/>
  <pageMargins left="0.75" right="0.75" top="1" bottom="1" header="0.511811023622047" footer="0.5"/>
  <pageSetup orientation="portrait" paperSize="9" scale="100" fitToHeight="0" fitToWidth="1" pageOrder="downThenOver" blackAndWhite="0" draft="0" horizontalDpi="300" verticalDpi="300" copies="1"/>
  <headerFooter differentOddEven="0" differentFirst="0">
    <oddHeader/>
    <oddFooter>&amp;L&amp;8 &amp;K808080Mr Wick Kiểm toán — Phần mềm kế toán TT 99/2025&amp;R&amp;8 &amp;K808080Trang &amp;P/&amp;N</oddFooter>
    <evenHeader/>
    <evenFooter/>
    <firstHeader/>
    <firstFooter/>
  </headerFooter>
</worksheet>
</file>

<file path=xl/worksheets/sheet11.xml><?xml version="1.0" encoding="utf-8"?>
<worksheet xmlns="http://schemas.openxmlformats.org/spreadsheetml/2006/main">
  <sheetPr filterMode="0">
    <outlinePr summaryBelow="1" summaryRight="1"/>
    <pageSetUpPr fitToPage="1"/>
  </sheetPr>
  <dimension ref="A1:F39"/>
  <sheetViews>
    <sheetView showFormulas="0" showGridLines="0" showRowColHeaders="1" showZeros="1" rightToLeft="0" tabSelected="0" showOutlineSymbols="1" defaultGridColor="1"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77" min="1" max="1"/>
    <col width="64" customWidth="1" style="77" min="2" max="2"/>
    <col width="8" customWidth="1" style="77" min="3" max="3"/>
    <col width="10" customWidth="1" style="77" min="4" max="4"/>
    <col width="18" customWidth="1" style="77" min="5" max="6"/>
  </cols>
  <sheetData>
    <row r="1" ht="15" customHeight="1" s="78">
      <c r="A1" s="88">
        <f>TT_DN!$C$5</f>
        <v/>
      </c>
      <c r="E1" s="118" t="inlineStr">
        <is>
          <t>Mẫu số B02-DN</t>
        </is>
      </c>
    </row>
    <row r="2" ht="43.25" customHeight="1" s="78">
      <c r="A2" s="89">
        <f>TT_DN!$C$7</f>
        <v/>
      </c>
      <c r="E2" s="117" t="inlineStr">
        <is>
          <t>(Ban hành kèm theo Thông tư số 99/2025/TT-BTC ngày 27/10/2025 của Bộ Tài chính)</t>
        </is>
      </c>
    </row>
    <row r="3" ht="17.35" customHeight="1" s="78">
      <c r="A3" s="84" t="inlineStr">
        <is>
          <t>BÁO CÁO KẾT QUẢ HOẠT ĐỘNG KINH DOANH</t>
        </is>
      </c>
    </row>
    <row r="4" ht="15" customHeight="1" s="78">
      <c r="A4" s="119">
        <f>CONCATENATE("Kỳ: từ ",TEXT(TU_NGAY,"DD/MM/YYYY")," đến ",TEXT(DEN_NGAY,"DD/MM/YYYY")," — Đơn vị tính: Đồng Việt Nam")</f>
        <v/>
      </c>
    </row>
    <row r="5"/>
    <row r="6"/>
    <row r="7"/>
    <row r="8" ht="27.75" customHeight="1" s="78">
      <c r="B8" s="92" t="inlineStr">
        <is>
          <t>CHỈ TIÊU</t>
        </is>
      </c>
      <c r="C8" s="92" t="inlineStr">
        <is>
          <t>Mã số</t>
        </is>
      </c>
      <c r="D8" s="92" t="inlineStr">
        <is>
          <t>Thuyết minh</t>
        </is>
      </c>
      <c r="E8" s="92" t="inlineStr">
        <is>
          <t>Năm nay</t>
        </is>
      </c>
      <c r="F8" s="92" t="inlineStr">
        <is>
          <t>Năm trước</t>
        </is>
      </c>
    </row>
    <row r="9" ht="15" customHeight="1" s="78">
      <c r="A9" s="139" t="n"/>
      <c r="B9" s="140" t="inlineStr">
        <is>
          <t>1. Doanh thu bán hàng và cung cấp dịch vụ</t>
        </is>
      </c>
      <c r="C9" s="141" t="inlineStr">
        <is>
          <t>01</t>
        </is>
      </c>
      <c r="D9" s="95" t="inlineStr">
        <is>
          <t>VI.1</t>
        </is>
      </c>
      <c r="E9" s="123">
        <f>SUMIFS(NKC!$H$7:$H$3006,NKC!$G$7:$G$3006,"511*",NKC!$B$7:$B$3006,"&gt;="&amp;TU_NGAY,NKC!$B$7:$B$3006,"&lt;="&amp;DEN_NGAY)-(SUMIFS(NKC!$H$7:$H$3006,NKC!$F$7:$F$3006,"511*",NKC!$B$7:$B$3006,"&gt;="&amp;TU_NGAY,NKC!$B$7:$B$3006,"&lt;="&amp;DEN_NGAY)-SUMIFS(NKC!$H$7:$H$3006,NKC!$F$7:$F$3006,"511*",NKC!$G$7:$G$3006,"911*",NKC!$B$7:$B$3006,"&gt;="&amp;TU_NGAY,NKC!$B$7:$B$3006,"&lt;="&amp;DEN_NGAY)-SUMIFS(NKC!$H$7:$H$3006,NKC!$F$7:$F$3006,"511*",NKC!$G$7:$G$3006,"521*",NKC!$B$7:$B$3006,"&gt;="&amp;TU_NGAY,NKC!$B$7:$B$3006,"&lt;="&amp;DEN_NGAY))</f>
        <v/>
      </c>
      <c r="F9" s="107" t="n"/>
    </row>
    <row r="10" ht="15" customHeight="1" s="78">
      <c r="A10" s="139" t="n"/>
      <c r="B10" s="97" t="inlineStr">
        <is>
          <t>2. Các khoản giảm trừ doanh thu</t>
        </is>
      </c>
      <c r="C10" s="96" t="inlineStr">
        <is>
          <t>02</t>
        </is>
      </c>
      <c r="D10" s="95" t="inlineStr">
        <is>
          <t>VI.2</t>
        </is>
      </c>
      <c r="E10" s="125">
        <f>SUMIFS(NKC!$H$7:$H$3006,NKC!$F$7:$F$3006,"521*",NKC!$B$7:$B$3006,"&gt;="&amp;TU_NGAY,NKC!$B$7:$B$3006,"&lt;="&amp;DEN_NGAY)-(SUMIFS(NKC!$H$7:$H$3006,NKC!$G$7:$G$3006,"521*",NKC!$B$7:$B$3006,"&gt;="&amp;TU_NGAY,NKC!$B$7:$B$3006,"&lt;="&amp;DEN_NGAY)-SUMIFS(NKC!$H$7:$H$3006,NKC!$G$7:$G$3006,"521*",NKC!$F$7:$F$3006,"911*",NKC!$B$7:$B$3006,"&gt;="&amp;TU_NGAY,NKC!$B$7:$B$3006,"&lt;="&amp;DEN_NGAY)-SUMIFS(NKC!$H$7:$H$3006,NKC!$G$7:$G$3006,"521*",NKC!$F$7:$F$3006,"511*",NKC!$B$7:$B$3006,"&gt;="&amp;TU_NGAY,NKC!$B$7:$B$3006,"&lt;="&amp;DEN_NGAY))</f>
        <v/>
      </c>
      <c r="F10" s="107" t="n"/>
    </row>
    <row r="11" ht="15" customHeight="1" s="78">
      <c r="A11" s="139" t="n"/>
      <c r="B11" s="140" t="inlineStr">
        <is>
          <t>3. Doanh thu thuần về bán hàng và cung cấp dịch vụ (10 = 01 - 02)</t>
        </is>
      </c>
      <c r="C11" s="141" t="inlineStr">
        <is>
          <t>10</t>
        </is>
      </c>
      <c r="D11" s="95" t="n"/>
      <c r="E11" s="123">
        <f>E9-E10</f>
        <v/>
      </c>
      <c r="F11" s="107" t="n"/>
    </row>
    <row r="12" ht="15" customHeight="1" s="78">
      <c r="A12" s="139" t="n"/>
      <c r="B12" s="97" t="inlineStr">
        <is>
          <t>4. Giá vốn hàng bán</t>
        </is>
      </c>
      <c r="C12" s="96" t="inlineStr">
        <is>
          <t>11</t>
        </is>
      </c>
      <c r="D12" s="95" t="inlineStr">
        <is>
          <t>VI.3</t>
        </is>
      </c>
      <c r="E12" s="125">
        <f>SUMIFS(NKC!$H$7:$H$3006,NKC!$F$7:$F$3006,"632*",NKC!$B$7:$B$3006,"&gt;="&amp;TU_NGAY,NKC!$B$7:$B$3006,"&lt;="&amp;DEN_NGAY)-(SUMIFS(NKC!$H$7:$H$3006,NKC!$G$7:$G$3006,"632*",NKC!$B$7:$B$3006,"&gt;="&amp;TU_NGAY,NKC!$B$7:$B$3006,"&lt;="&amp;DEN_NGAY)-SUMIFS(NKC!$H$7:$H$3006,NKC!$G$7:$G$3006,"632*",NKC!$F$7:$F$3006,"911*",NKC!$B$7:$B$3006,"&gt;="&amp;TU_NGAY,NKC!$B$7:$B$3006,"&lt;="&amp;DEN_NGAY))</f>
        <v/>
      </c>
      <c r="F12" s="107" t="n"/>
    </row>
    <row r="13" ht="15" customHeight="1" s="78">
      <c r="A13" s="139" t="n"/>
      <c r="B13" s="140" t="inlineStr">
        <is>
          <t>5. Lợi nhuận gộp về bán hàng và cung cấp dịch vụ (20 = 10 - 11)</t>
        </is>
      </c>
      <c r="C13" s="141" t="inlineStr">
        <is>
          <t>20</t>
        </is>
      </c>
      <c r="D13" s="95" t="n"/>
      <c r="E13" s="123">
        <f>E11-E12</f>
        <v/>
      </c>
      <c r="F13" s="107" t="n"/>
    </row>
    <row r="14" ht="15" customHeight="1" s="78">
      <c r="A14" s="139" t="n"/>
      <c r="B14" s="97" t="inlineStr">
        <is>
          <t>6. Lãi/lỗ của hoạt động bán, thanh lý bất động sản đầu tư</t>
        </is>
      </c>
      <c r="C14" s="96" t="inlineStr">
        <is>
          <t>21</t>
        </is>
      </c>
      <c r="D14" s="95" t="n"/>
      <c r="E14" s="107" t="n">
        <v>0</v>
      </c>
      <c r="F14" s="107" t="n"/>
    </row>
    <row r="15" ht="15" customHeight="1" s="78">
      <c r="A15" s="139" t="n"/>
      <c r="B15" s="97" t="inlineStr">
        <is>
          <t>7. Doanh thu hoạt động tài chính</t>
        </is>
      </c>
      <c r="C15" s="96" t="inlineStr">
        <is>
          <t>22</t>
        </is>
      </c>
      <c r="D15" s="95" t="inlineStr">
        <is>
          <t>VI.5</t>
        </is>
      </c>
      <c r="E15" s="125">
        <f>SUMIFS(NKC!$H$7:$H$3006,NKC!$G$7:$G$3006,"515*",NKC!$B$7:$B$3006,"&gt;="&amp;TU_NGAY,NKC!$B$7:$B$3006,"&lt;="&amp;DEN_NGAY)-(SUMIFS(NKC!$H$7:$H$3006,NKC!$F$7:$F$3006,"515*",NKC!$B$7:$B$3006,"&gt;="&amp;TU_NGAY,NKC!$B$7:$B$3006,"&lt;="&amp;DEN_NGAY)-SUMIFS(NKC!$H$7:$H$3006,NKC!$F$7:$F$3006,"515*",NKC!$G$7:$G$3006,"911*",NKC!$B$7:$B$3006,"&gt;="&amp;TU_NGAY,NKC!$B$7:$B$3006,"&lt;="&amp;DEN_NGAY))</f>
        <v/>
      </c>
      <c r="F15" s="107" t="n"/>
    </row>
    <row r="16" ht="15" customHeight="1" s="78">
      <c r="A16" s="139" t="n"/>
      <c r="B16" s="97" t="inlineStr">
        <is>
          <t>8. Chi phí tài chính</t>
        </is>
      </c>
      <c r="C16" s="96" t="inlineStr">
        <is>
          <t>23</t>
        </is>
      </c>
      <c r="D16" s="95" t="inlineStr">
        <is>
          <t>VI.6</t>
        </is>
      </c>
      <c r="E16" s="125">
        <f>SUMIFS(NKC!$H$7:$H$3006,NKC!$F$7:$F$3006,"635*",NKC!$B$7:$B$3006,"&gt;="&amp;TU_NGAY,NKC!$B$7:$B$3006,"&lt;="&amp;DEN_NGAY)-(SUMIFS(NKC!$H$7:$H$3006,NKC!$G$7:$G$3006,"635*",NKC!$B$7:$B$3006,"&gt;="&amp;TU_NGAY,NKC!$B$7:$B$3006,"&lt;="&amp;DEN_NGAY)-SUMIFS(NKC!$H$7:$H$3006,NKC!$G$7:$G$3006,"635*",NKC!$F$7:$F$3006,"911*",NKC!$B$7:$B$3006,"&gt;="&amp;TU_NGAY,NKC!$B$7:$B$3006,"&lt;="&amp;DEN_NGAY))</f>
        <v/>
      </c>
      <c r="F16" s="107" t="n"/>
    </row>
    <row r="17" ht="15" customHeight="1" s="78">
      <c r="A17" s="139" t="n"/>
      <c r="B17" s="97" t="inlineStr">
        <is>
          <t>- Trong đó: Chi phí đi vay</t>
        </is>
      </c>
      <c r="C17" s="96" t="inlineStr">
        <is>
          <t>24</t>
        </is>
      </c>
      <c r="D17" s="95" t="n"/>
      <c r="E17" s="107">
        <f>E16</f>
        <v/>
      </c>
      <c r="F17" s="107" t="n"/>
    </row>
    <row r="18" ht="15" customHeight="1" s="78">
      <c r="A18" s="139" t="n"/>
      <c r="B18" s="97" t="inlineStr">
        <is>
          <t>9. Chi phí bán hàng</t>
        </is>
      </c>
      <c r="C18" s="96" t="inlineStr">
        <is>
          <t>25</t>
        </is>
      </c>
      <c r="D18" s="95" t="inlineStr">
        <is>
          <t>VI.7</t>
        </is>
      </c>
      <c r="E18" s="125">
        <f>SUMIFS(NKC!$H$7:$H$3006,NKC!$F$7:$F$3006,"641*",NKC!$B$7:$B$3006,"&gt;="&amp;TU_NGAY,NKC!$B$7:$B$3006,"&lt;="&amp;DEN_NGAY)-(SUMIFS(NKC!$H$7:$H$3006,NKC!$G$7:$G$3006,"641*",NKC!$B$7:$B$3006,"&gt;="&amp;TU_NGAY,NKC!$B$7:$B$3006,"&lt;="&amp;DEN_NGAY)-SUMIFS(NKC!$H$7:$H$3006,NKC!$G$7:$G$3006,"641*",NKC!$F$7:$F$3006,"911*",NKC!$B$7:$B$3006,"&gt;="&amp;TU_NGAY,NKC!$B$7:$B$3006,"&lt;="&amp;DEN_NGAY))</f>
        <v/>
      </c>
      <c r="F18" s="107" t="n"/>
    </row>
    <row r="19" ht="15" customHeight="1" s="78">
      <c r="A19" s="139" t="n"/>
      <c r="B19" s="97" t="inlineStr">
        <is>
          <t>10. Chi phí quản lý doanh nghiệp</t>
        </is>
      </c>
      <c r="C19" s="96" t="inlineStr">
        <is>
          <t>26</t>
        </is>
      </c>
      <c r="D19" s="95" t="inlineStr">
        <is>
          <t>VI.7</t>
        </is>
      </c>
      <c r="E19" s="125">
        <f>SUMIFS(NKC!$H$7:$H$3006,NKC!$F$7:$F$3006,"642*",NKC!$B$7:$B$3006,"&gt;="&amp;TU_NGAY,NKC!$B$7:$B$3006,"&lt;="&amp;DEN_NGAY)-(SUMIFS(NKC!$H$7:$H$3006,NKC!$G$7:$G$3006,"642*",NKC!$B$7:$B$3006,"&gt;="&amp;TU_NGAY,NKC!$B$7:$B$3006,"&lt;="&amp;DEN_NGAY)-SUMIFS(NKC!$H$7:$H$3006,NKC!$G$7:$G$3006,"642*",NKC!$F$7:$F$3006,"911*",NKC!$B$7:$B$3006,"&gt;="&amp;TU_NGAY,NKC!$B$7:$B$3006,"&lt;="&amp;DEN_NGAY))</f>
        <v/>
      </c>
      <c r="F19" s="107" t="n"/>
    </row>
    <row r="20" ht="25.35" customHeight="1" s="78">
      <c r="A20" s="139" t="n"/>
      <c r="B20" s="140" t="inlineStr">
        <is>
          <t>11. Lợi nhuận thuần từ hoạt động kinh doanh (30 = 20 + 21 + 22 - 23 - 25 - 26)</t>
        </is>
      </c>
      <c r="C20" s="141" t="inlineStr">
        <is>
          <t>30</t>
        </is>
      </c>
      <c r="D20" s="95" t="n"/>
      <c r="E20" s="123">
        <f>E13+E14+E15-E16-E18-E19</f>
        <v/>
      </c>
      <c r="F20" s="107" t="n"/>
    </row>
    <row r="21" ht="15" customHeight="1" s="78">
      <c r="A21" s="139" t="n"/>
      <c r="B21" s="97" t="inlineStr">
        <is>
          <t>12. Thu nhập khác</t>
        </is>
      </c>
      <c r="C21" s="96" t="inlineStr">
        <is>
          <t>31</t>
        </is>
      </c>
      <c r="D21" s="95" t="inlineStr">
        <is>
          <t>VI.8</t>
        </is>
      </c>
      <c r="E21" s="125">
        <f>SUMIFS(NKC!$H$7:$H$3006,NKC!$G$7:$G$3006,"711*",NKC!$B$7:$B$3006,"&gt;="&amp;TU_NGAY,NKC!$B$7:$B$3006,"&lt;="&amp;DEN_NGAY)-(SUMIFS(NKC!$H$7:$H$3006,NKC!$F$7:$F$3006,"711*",NKC!$B$7:$B$3006,"&gt;="&amp;TU_NGAY,NKC!$B$7:$B$3006,"&lt;="&amp;DEN_NGAY)-SUMIFS(NKC!$H$7:$H$3006,NKC!$F$7:$F$3006,"711*",NKC!$G$7:$G$3006,"911*",NKC!$B$7:$B$3006,"&gt;="&amp;TU_NGAY,NKC!$B$7:$B$3006,"&lt;="&amp;DEN_NGAY))</f>
        <v/>
      </c>
      <c r="F21" s="107" t="n"/>
    </row>
    <row r="22" ht="15" customHeight="1" s="78">
      <c r="A22" s="139" t="n"/>
      <c r="B22" s="97" t="inlineStr">
        <is>
          <t>13. Chi phí khác</t>
        </is>
      </c>
      <c r="C22" s="96" t="inlineStr">
        <is>
          <t>32</t>
        </is>
      </c>
      <c r="D22" s="95" t="inlineStr">
        <is>
          <t>VI.8</t>
        </is>
      </c>
      <c r="E22" s="125">
        <f>SUMIFS(NKC!$H$7:$H$3006,NKC!$F$7:$F$3006,"811*",NKC!$B$7:$B$3006,"&gt;="&amp;TU_NGAY,NKC!$B$7:$B$3006,"&lt;="&amp;DEN_NGAY)-(SUMIFS(NKC!$H$7:$H$3006,NKC!$G$7:$G$3006,"811*",NKC!$B$7:$B$3006,"&gt;="&amp;TU_NGAY,NKC!$B$7:$B$3006,"&lt;="&amp;DEN_NGAY)-SUMIFS(NKC!$H$7:$H$3006,NKC!$G$7:$G$3006,"811*",NKC!$F$7:$F$3006,"911*",NKC!$B$7:$B$3006,"&gt;="&amp;TU_NGAY,NKC!$B$7:$B$3006,"&lt;="&amp;DEN_NGAY))</f>
        <v/>
      </c>
      <c r="F22" s="107" t="n"/>
    </row>
    <row r="23" ht="15" customHeight="1" s="78">
      <c r="A23" s="139" t="n"/>
      <c r="B23" s="140" t="inlineStr">
        <is>
          <t>14. Lợi nhuận khác (40 = 31 - 32)</t>
        </is>
      </c>
      <c r="C23" s="141" t="inlineStr">
        <is>
          <t>40</t>
        </is>
      </c>
      <c r="D23" s="95" t="n"/>
      <c r="E23" s="123">
        <f>E21-E22</f>
        <v/>
      </c>
      <c r="F23" s="107" t="n"/>
    </row>
    <row r="24" ht="15" customHeight="1" s="78">
      <c r="A24" s="139" t="n"/>
      <c r="B24" s="140" t="inlineStr">
        <is>
          <t>15. Tổng lợi nhuận kế toán trước thuế (50 = 30 + 40)</t>
        </is>
      </c>
      <c r="C24" s="141" t="inlineStr">
        <is>
          <t>50</t>
        </is>
      </c>
      <c r="D24" s="95" t="n"/>
      <c r="E24" s="143">
        <f>E20+E23</f>
        <v/>
      </c>
      <c r="F24" s="107" t="n"/>
    </row>
    <row r="25" ht="15" customHeight="1" s="78">
      <c r="A25" s="139" t="n"/>
      <c r="B25" s="97" t="inlineStr">
        <is>
          <t>16. Chi phí thuế TNDN hiện hành</t>
        </is>
      </c>
      <c r="C25" s="96" t="inlineStr">
        <is>
          <t>51</t>
        </is>
      </c>
      <c r="D25" s="95" t="n"/>
      <c r="E25" s="125">
        <f>SUMIFS(NKC!$H$7:$H$3006,NKC!$F$7:$F$3006,"8211*",NKC!$B$7:$B$3006,"&gt;="&amp;TU_NGAY,NKC!$B$7:$B$3006,"&lt;="&amp;DEN_NGAY)-(SUMIFS(NKC!$H$7:$H$3006,NKC!$G$7:$G$3006,"8211*",NKC!$B$7:$B$3006,"&gt;="&amp;TU_NGAY,NKC!$B$7:$B$3006,"&lt;="&amp;DEN_NGAY)-SUMIFS(NKC!$H$7:$H$3006,NKC!$G$7:$G$3006,"8211*",NKC!$F$7:$F$3006,"911*",NKC!$B$7:$B$3006,"&gt;="&amp;TU_NGAY,NKC!$B$7:$B$3006,"&lt;="&amp;DEN_NGAY))</f>
        <v/>
      </c>
      <c r="F25" s="107" t="n"/>
    </row>
    <row r="26" ht="15" customHeight="1" s="78">
      <c r="A26" s="139" t="n"/>
      <c r="B26" s="97" t="inlineStr">
        <is>
          <t>17. Chi phí thuế TNDN hoãn lại</t>
        </is>
      </c>
      <c r="C26" s="96" t="inlineStr">
        <is>
          <t>52</t>
        </is>
      </c>
      <c r="D26" s="95" t="n"/>
      <c r="E26" s="125">
        <f>SUMIFS(NKC!$H$7:$H$3006,NKC!$F$7:$F$3006,"8212*",NKC!$B$7:$B$3006,"&gt;="&amp;TU_NGAY,NKC!$B$7:$B$3006,"&lt;="&amp;DEN_NGAY)-(SUMIFS(NKC!$H$7:$H$3006,NKC!$G$7:$G$3006,"8212*",NKC!$B$7:$B$3006,"&gt;="&amp;TU_NGAY,NKC!$B$7:$B$3006,"&lt;="&amp;DEN_NGAY)-SUMIFS(NKC!$H$7:$H$3006,NKC!$G$7:$G$3006,"8212*",NKC!$F$7:$F$3006,"911*",NKC!$B$7:$B$3006,"&gt;="&amp;TU_NGAY,NKC!$B$7:$B$3006,"&lt;="&amp;DEN_NGAY))</f>
        <v/>
      </c>
      <c r="F26" s="107" t="n"/>
    </row>
    <row r="27" ht="15" customHeight="1" s="78">
      <c r="A27" s="139" t="n"/>
      <c r="B27" s="140" t="inlineStr">
        <is>
          <t>18. Lợi nhuận sau thuế thu nhập doanh nghiệp (60 = 50 - 51 - 52)</t>
        </is>
      </c>
      <c r="C27" s="141" t="inlineStr">
        <is>
          <t>60</t>
        </is>
      </c>
      <c r="D27" s="95" t="n"/>
      <c r="E27" s="143">
        <f>E24-E25-E26</f>
        <v/>
      </c>
      <c r="F27" s="107" t="n"/>
    </row>
    <row r="28" ht="15" customHeight="1" s="78">
      <c r="A28" s="139" t="n"/>
      <c r="B28" s="97" t="inlineStr">
        <is>
          <t>19. Lãi cơ bản trên cổ phiếu (*)</t>
        </is>
      </c>
      <c r="C28" s="96" t="inlineStr">
        <is>
          <t>70</t>
        </is>
      </c>
      <c r="D28" s="95" t="n"/>
      <c r="E28" s="107" t="n"/>
      <c r="F28" s="107" t="n"/>
    </row>
    <row r="29" ht="15" customHeight="1" s="78">
      <c r="A29" s="139" t="n"/>
      <c r="B29" s="97" t="inlineStr">
        <is>
          <t>20. Lãi suy giảm trên cổ phiếu (*)</t>
        </is>
      </c>
      <c r="C29" s="96" t="inlineStr">
        <is>
          <t>71</t>
        </is>
      </c>
      <c r="D29" s="95" t="n"/>
      <c r="E29" s="107" t="n"/>
      <c r="F29" s="107" t="n"/>
    </row>
    <row r="30"/>
    <row r="31" ht="22.35" customHeight="1" s="78">
      <c r="B31" s="142" t="inlineStr">
        <is>
          <t>Cột 'Năm trước' nhập tay từ BCTC năm trước (trình bày lại theo mẫu TT99 nếu năm trước lập theo TT200). Mã 21 chỉ dùng khi có bán/thanh lý BĐS đầu tư. Mã 24 mặc định = toàn bộ chi phí tài chính, sửa lại nếu TK 635 có khoản không phải chi phí đi vay.</t>
        </is>
      </c>
    </row>
    <row r="32"/>
    <row r="33"/>
    <row r="34" ht="25.35" customHeight="1" s="78">
      <c r="E34" s="119">
        <f>"Lập, ngày "&amp;DAY(DEN_NGAY)&amp;" tháng "&amp;MONTH(DEN_NGAY)&amp;" năm "&amp;YEAR(DEN_NGAY)</f>
        <v/>
      </c>
    </row>
    <row r="35" ht="25.35" customHeight="1" s="78">
      <c r="B35" s="118" t="inlineStr">
        <is>
          <t>Người lập biểu</t>
        </is>
      </c>
      <c r="D35" s="118" t="inlineStr">
        <is>
          <t>Kế toán trưởng</t>
        </is>
      </c>
      <c r="E35" s="118" t="inlineStr">
        <is>
          <t>Người đại diện theo pháp luật</t>
        </is>
      </c>
    </row>
    <row r="36" ht="15" customHeight="1" s="78">
      <c r="B36" s="117" t="inlineStr">
        <is>
          <t>(Ký, họ tên)</t>
        </is>
      </c>
      <c r="D36" s="117" t="inlineStr">
        <is>
          <t>(Ký, họ tên)</t>
        </is>
      </c>
      <c r="E36" s="117" t="inlineStr">
        <is>
          <t>(Ký, họ tên)</t>
        </is>
      </c>
    </row>
    <row r="37"/>
    <row r="38"/>
    <row r="39" ht="25.35" customHeight="1" s="78">
      <c r="B39" s="144">
        <f>TT_DN!$C$10</f>
        <v/>
      </c>
      <c r="D39" s="144">
        <f>TT_DN!$C$11</f>
        <v/>
      </c>
      <c r="E39" s="144">
        <f>TT_DN!$C$12</f>
        <v/>
      </c>
    </row>
  </sheetData>
  <sheetProtection selectLockedCells="0" selectUnlockedCells="0" sheet="1" objects="0" insertRows="1" insertHyperlinks="1" autoFilter="0" scenarios="0" formatColumns="0" deleteColumns="1" insertColumns="1" pivotTables="1" deleteRows="1" formatCells="0" formatRows="0" sort="0"/>
  <mergeCells count="3">
    <mergeCell ref="A3:F3"/>
    <mergeCell ref="B31:F31"/>
    <mergeCell ref="A4:F4"/>
  </mergeCells>
  <printOptions horizontalCentered="0" verticalCentered="0" headings="0" gridLines="0" gridLinesSet="1"/>
  <pageMargins left="0.75" right="0.75" top="1" bottom="1" header="0.511811023622047" footer="0.5"/>
  <pageSetup orientation="portrait" paperSize="9" scale="100" fitToHeight="0" fitToWidth="1" pageOrder="downThenOver" blackAndWhite="0" draft="0" horizontalDpi="300" verticalDpi="300" copies="1"/>
  <headerFooter differentOddEven="0" differentFirst="0">
    <oddHeader/>
    <oddFooter>&amp;L&amp;8 &amp;K808080Mr Wick Kiểm toán — Phần mềm kế toán TT 99/2025&amp;R&amp;8 &amp;K808080Trang &amp;P/&amp;N</oddFooter>
    <evenHeader/>
    <evenFooter/>
    <firstHeader/>
    <firstFooter/>
  </headerFooter>
</worksheet>
</file>

<file path=xl/worksheets/sheet12.xml><?xml version="1.0" encoding="utf-8"?>
<worksheet xmlns="http://schemas.openxmlformats.org/spreadsheetml/2006/main">
  <sheetPr filterMode="0">
    <outlinePr summaryBelow="1" summaryRight="1"/>
    <pageSetUpPr fitToPage="1"/>
  </sheetPr>
  <dimension ref="A1:F48"/>
  <sheetViews>
    <sheetView showFormulas="0" showGridLines="0" showRowColHeaders="1" showZeros="1" rightToLeft="0" tabSelected="0" showOutlineSymbols="1" defaultGridColor="1"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77" min="1" max="1"/>
    <col width="62" customWidth="1" style="77" min="2" max="2"/>
    <col width="8" customWidth="1" style="77" min="3" max="3"/>
    <col width="10" customWidth="1" style="77" min="4" max="4"/>
    <col width="18" customWidth="1" style="77" min="5" max="6"/>
  </cols>
  <sheetData>
    <row r="1" ht="15" customHeight="1" s="78">
      <c r="A1" s="88">
        <f>TT_DN!$C$5</f>
        <v/>
      </c>
      <c r="E1" s="118" t="inlineStr">
        <is>
          <t>Mẫu số B03-DN</t>
        </is>
      </c>
    </row>
    <row r="2" ht="43.25" customHeight="1" s="78">
      <c r="A2" s="89">
        <f>TT_DN!$C$7</f>
        <v/>
      </c>
      <c r="E2" s="117" t="inlineStr">
        <is>
          <t>(Ban hành kèm theo Thông tư số 99/2025/TT-BTC ngày 27/10/2025 của Bộ Tài chính)</t>
        </is>
      </c>
    </row>
    <row r="3" ht="17.35" customHeight="1" s="78">
      <c r="A3" s="84" t="inlineStr">
        <is>
          <t>BÁO CÁO LƯU CHUYỂN TIỀN TỆ</t>
        </is>
      </c>
    </row>
    <row r="4" ht="15" customHeight="1" s="78">
      <c r="A4" s="118" t="inlineStr">
        <is>
          <t>(Theo phương pháp trực tiếp)</t>
        </is>
      </c>
    </row>
    <row r="5" ht="15" customHeight="1" s="78">
      <c r="A5" s="119">
        <f>CONCATENATE("Kỳ: từ ",TEXT(TU_NGAY,"DD/MM/YYYY")," đến ",TEXT(DEN_NGAY,"DD/MM/YYYY")," — Đơn vị tính: Đồng Việt Nam")</f>
        <v/>
      </c>
    </row>
    <row r="6"/>
    <row r="7"/>
    <row r="8" ht="27.75" customHeight="1" s="78">
      <c r="B8" s="92" t="inlineStr">
        <is>
          <t>CHỈ TIÊU</t>
        </is>
      </c>
      <c r="C8" s="92" t="inlineStr">
        <is>
          <t>Mã số</t>
        </is>
      </c>
      <c r="D8" s="92" t="inlineStr">
        <is>
          <t>Thuyết minh</t>
        </is>
      </c>
      <c r="E8" s="92" t="inlineStr">
        <is>
          <t>Năm nay</t>
        </is>
      </c>
      <c r="F8" s="92" t="inlineStr">
        <is>
          <t>Năm trước</t>
        </is>
      </c>
    </row>
    <row r="9" ht="15" customHeight="1" s="78">
      <c r="A9" s="134" t="n"/>
      <c r="B9" s="135" t="inlineStr">
        <is>
          <t>I. LƯU CHUYỂN TIỀN TỪ HOẠT ĐỘNG KINH DOANH</t>
        </is>
      </c>
      <c r="C9" s="136" t="n"/>
      <c r="D9" s="137" t="n"/>
      <c r="E9" s="134" t="n"/>
      <c r="F9" s="134" t="n"/>
    </row>
    <row r="10" ht="15" customHeight="1" s="78">
      <c r="A10" s="139" t="n"/>
      <c r="B10" s="97" t="inlineStr">
        <is>
          <t>1. Tiền thu từ bán hàng, cung cấp dịch vụ và doanh thu khác</t>
        </is>
      </c>
      <c r="C10" s="96" t="inlineStr">
        <is>
          <t>01</t>
        </is>
      </c>
      <c r="D10" s="95" t="n"/>
      <c r="E10" s="125">
        <f>SUMIFS(NKC!$H$7:$H$3006,NKC!$O$7:$O$3006,"01",NKC!$M$7:$M$3006,"THU",NKC!$B$7:$B$3006,"&gt;="&amp;TU_NGAY,NKC!$B$7:$B$3006,"&lt;="&amp;DEN_NGAY)-SUMIFS(NKC!$H$7:$H$3006,NKC!$O$7:$O$3006,"01",NKC!$M$7:$M$3006,"CHI",NKC!$B$7:$B$3006,"&gt;="&amp;TU_NGAY,NKC!$B$7:$B$3006,"&lt;="&amp;DEN_NGAY)</f>
        <v/>
      </c>
      <c r="F10" s="107" t="n"/>
    </row>
    <row r="11" ht="15" customHeight="1" s="78">
      <c r="A11" s="139" t="n"/>
      <c r="B11" s="97" t="inlineStr">
        <is>
          <t>2. Tiền chi trả cho người cung cấp hàng hóa, dịch vụ</t>
        </is>
      </c>
      <c r="C11" s="96" t="inlineStr">
        <is>
          <t>02</t>
        </is>
      </c>
      <c r="D11" s="95" t="n"/>
      <c r="E11" s="125">
        <f>SUMIFS(NKC!$H$7:$H$3006,NKC!$O$7:$O$3006,"02",NKC!$M$7:$M$3006,"THU",NKC!$B$7:$B$3006,"&gt;="&amp;TU_NGAY,NKC!$B$7:$B$3006,"&lt;="&amp;DEN_NGAY)-SUMIFS(NKC!$H$7:$H$3006,NKC!$O$7:$O$3006,"02",NKC!$M$7:$M$3006,"CHI",NKC!$B$7:$B$3006,"&gt;="&amp;TU_NGAY,NKC!$B$7:$B$3006,"&lt;="&amp;DEN_NGAY)</f>
        <v/>
      </c>
      <c r="F11" s="107" t="n"/>
    </row>
    <row r="12" ht="15" customHeight="1" s="78">
      <c r="A12" s="139" t="n"/>
      <c r="B12" s="97" t="inlineStr">
        <is>
          <t>3. Tiền chi trả cho người lao động</t>
        </is>
      </c>
      <c r="C12" s="96" t="inlineStr">
        <is>
          <t>03</t>
        </is>
      </c>
      <c r="D12" s="95" t="n"/>
      <c r="E12" s="125">
        <f>SUMIFS(NKC!$H$7:$H$3006,NKC!$O$7:$O$3006,"03",NKC!$M$7:$M$3006,"THU",NKC!$B$7:$B$3006,"&gt;="&amp;TU_NGAY,NKC!$B$7:$B$3006,"&lt;="&amp;DEN_NGAY)-SUMIFS(NKC!$H$7:$H$3006,NKC!$O$7:$O$3006,"03",NKC!$M$7:$M$3006,"CHI",NKC!$B$7:$B$3006,"&gt;="&amp;TU_NGAY,NKC!$B$7:$B$3006,"&lt;="&amp;DEN_NGAY)</f>
        <v/>
      </c>
      <c r="F12" s="107" t="n"/>
    </row>
    <row r="13" ht="15" customHeight="1" s="78">
      <c r="A13" s="139" t="n"/>
      <c r="B13" s="97" t="inlineStr">
        <is>
          <t>4. Chi phí đi vay đã trả</t>
        </is>
      </c>
      <c r="C13" s="96" t="inlineStr">
        <is>
          <t>04</t>
        </is>
      </c>
      <c r="D13" s="95" t="n"/>
      <c r="E13" s="125">
        <f>SUMIFS(NKC!$H$7:$H$3006,NKC!$O$7:$O$3006,"04",NKC!$M$7:$M$3006,"THU",NKC!$B$7:$B$3006,"&gt;="&amp;TU_NGAY,NKC!$B$7:$B$3006,"&lt;="&amp;DEN_NGAY)-SUMIFS(NKC!$H$7:$H$3006,NKC!$O$7:$O$3006,"04",NKC!$M$7:$M$3006,"CHI",NKC!$B$7:$B$3006,"&gt;="&amp;TU_NGAY,NKC!$B$7:$B$3006,"&lt;="&amp;DEN_NGAY)</f>
        <v/>
      </c>
      <c r="F13" s="107" t="n"/>
    </row>
    <row r="14" ht="15" customHeight="1" s="78">
      <c r="A14" s="139" t="n"/>
      <c r="B14" s="97" t="inlineStr">
        <is>
          <t>5. Thuế thu nhập doanh nghiệp đã nộp</t>
        </is>
      </c>
      <c r="C14" s="96" t="inlineStr">
        <is>
          <t>05</t>
        </is>
      </c>
      <c r="D14" s="95" t="n"/>
      <c r="E14" s="125">
        <f>SUMIFS(NKC!$H$7:$H$3006,NKC!$O$7:$O$3006,"05",NKC!$M$7:$M$3006,"THU",NKC!$B$7:$B$3006,"&gt;="&amp;TU_NGAY,NKC!$B$7:$B$3006,"&lt;="&amp;DEN_NGAY)-SUMIFS(NKC!$H$7:$H$3006,NKC!$O$7:$O$3006,"05",NKC!$M$7:$M$3006,"CHI",NKC!$B$7:$B$3006,"&gt;="&amp;TU_NGAY,NKC!$B$7:$B$3006,"&lt;="&amp;DEN_NGAY)</f>
        <v/>
      </c>
      <c r="F14" s="107" t="n"/>
    </row>
    <row r="15" ht="15" customHeight="1" s="78">
      <c r="A15" s="139" t="n"/>
      <c r="B15" s="97" t="inlineStr">
        <is>
          <t>6. Tiền thu khác từ hoạt động kinh doanh</t>
        </is>
      </c>
      <c r="C15" s="96" t="inlineStr">
        <is>
          <t>06</t>
        </is>
      </c>
      <c r="D15" s="95" t="n"/>
      <c r="E15" s="125">
        <f>SUMIFS(NKC!$H$7:$H$3006,NKC!$O$7:$O$3006,"06",NKC!$M$7:$M$3006,"THU",NKC!$B$7:$B$3006,"&gt;="&amp;TU_NGAY,NKC!$B$7:$B$3006,"&lt;="&amp;DEN_NGAY)-SUMIFS(NKC!$H$7:$H$3006,NKC!$O$7:$O$3006,"06",NKC!$M$7:$M$3006,"CHI",NKC!$B$7:$B$3006,"&gt;="&amp;TU_NGAY,NKC!$B$7:$B$3006,"&lt;="&amp;DEN_NGAY)</f>
        <v/>
      </c>
      <c r="F15" s="107" t="n"/>
    </row>
    <row r="16" ht="15" customHeight="1" s="78">
      <c r="A16" s="139" t="n"/>
      <c r="B16" s="97" t="inlineStr">
        <is>
          <t>7. Tiền chi khác cho hoạt động kinh doanh</t>
        </is>
      </c>
      <c r="C16" s="96" t="inlineStr">
        <is>
          <t>07</t>
        </is>
      </c>
      <c r="D16" s="95" t="n"/>
      <c r="E16" s="125">
        <f>SUMIFS(NKC!$H$7:$H$3006,NKC!$O$7:$O$3006,"07",NKC!$M$7:$M$3006,"THU",NKC!$B$7:$B$3006,"&gt;="&amp;TU_NGAY,NKC!$B$7:$B$3006,"&lt;="&amp;DEN_NGAY)-SUMIFS(NKC!$H$7:$H$3006,NKC!$O$7:$O$3006,"07",NKC!$M$7:$M$3006,"CHI",NKC!$B$7:$B$3006,"&gt;="&amp;TU_NGAY,NKC!$B$7:$B$3006,"&lt;="&amp;DEN_NGAY)</f>
        <v/>
      </c>
      <c r="F16" s="107" t="n"/>
    </row>
    <row r="17" ht="15" customHeight="1" s="78">
      <c r="A17" s="139" t="n"/>
      <c r="B17" s="140" t="inlineStr">
        <is>
          <t>Lưu chuyển tiền thuần từ hoạt động kinh doanh</t>
        </is>
      </c>
      <c r="C17" s="141" t="inlineStr">
        <is>
          <t>20</t>
        </is>
      </c>
      <c r="D17" s="95" t="n"/>
      <c r="E17" s="143">
        <f>E10+E11+E12+E13+E14+E15+E16</f>
        <v/>
      </c>
      <c r="F17" s="107" t="n"/>
    </row>
    <row r="18" ht="15" customHeight="1" s="78">
      <c r="A18" s="134" t="n"/>
      <c r="B18" s="135" t="inlineStr">
        <is>
          <t>II. LƯU CHUYỂN TIỀN TỪ HOẠT ĐỘNG ĐẦU TƯ</t>
        </is>
      </c>
      <c r="C18" s="136" t="n"/>
      <c r="D18" s="137" t="n"/>
      <c r="E18" s="134" t="n"/>
      <c r="F18" s="134" t="n"/>
    </row>
    <row r="19" ht="15" customHeight="1" s="78">
      <c r="A19" s="139" t="n"/>
      <c r="B19" s="97" t="inlineStr">
        <is>
          <t>1. Tiền chi để mua sắm, xây dựng TSCĐ và các tài sản dài hạn khác</t>
        </is>
      </c>
      <c r="C19" s="96" t="inlineStr">
        <is>
          <t>21</t>
        </is>
      </c>
      <c r="D19" s="95" t="n"/>
      <c r="E19" s="125">
        <f>SUMIFS(NKC!$H$7:$H$3006,NKC!$O$7:$O$3006,"21",NKC!$M$7:$M$3006,"THU",NKC!$B$7:$B$3006,"&gt;="&amp;TU_NGAY,NKC!$B$7:$B$3006,"&lt;="&amp;DEN_NGAY)-SUMIFS(NKC!$H$7:$H$3006,NKC!$O$7:$O$3006,"21",NKC!$M$7:$M$3006,"CHI",NKC!$B$7:$B$3006,"&gt;="&amp;TU_NGAY,NKC!$B$7:$B$3006,"&lt;="&amp;DEN_NGAY)</f>
        <v/>
      </c>
      <c r="F19" s="107" t="n"/>
    </row>
    <row r="20" ht="15" customHeight="1" s="78">
      <c r="A20" s="139" t="n"/>
      <c r="B20" s="97" t="inlineStr">
        <is>
          <t>2. Tiền thu từ thanh lý, nhượng bán TSCĐ và các tài sản dài hạn khác</t>
        </is>
      </c>
      <c r="C20" s="96" t="inlineStr">
        <is>
          <t>22</t>
        </is>
      </c>
      <c r="D20" s="95" t="n"/>
      <c r="E20" s="125">
        <f>SUMIFS(NKC!$H$7:$H$3006,NKC!$O$7:$O$3006,"22",NKC!$M$7:$M$3006,"THU",NKC!$B$7:$B$3006,"&gt;="&amp;TU_NGAY,NKC!$B$7:$B$3006,"&lt;="&amp;DEN_NGAY)-SUMIFS(NKC!$H$7:$H$3006,NKC!$O$7:$O$3006,"22",NKC!$M$7:$M$3006,"CHI",NKC!$B$7:$B$3006,"&gt;="&amp;TU_NGAY,NKC!$B$7:$B$3006,"&lt;="&amp;DEN_NGAY)</f>
        <v/>
      </c>
      <c r="F20" s="107" t="n"/>
    </row>
    <row r="21" ht="15" customHeight="1" s="78">
      <c r="A21" s="139" t="n"/>
      <c r="B21" s="97" t="inlineStr">
        <is>
          <t>3. Tiền chi cho vay, mua các công cụ nợ của đơn vị khác</t>
        </is>
      </c>
      <c r="C21" s="96" t="inlineStr">
        <is>
          <t>23</t>
        </is>
      </c>
      <c r="D21" s="95" t="n"/>
      <c r="E21" s="125">
        <f>SUMIFS(NKC!$H$7:$H$3006,NKC!$O$7:$O$3006,"23",NKC!$M$7:$M$3006,"THU",NKC!$B$7:$B$3006,"&gt;="&amp;TU_NGAY,NKC!$B$7:$B$3006,"&lt;="&amp;DEN_NGAY)-SUMIFS(NKC!$H$7:$H$3006,NKC!$O$7:$O$3006,"23",NKC!$M$7:$M$3006,"CHI",NKC!$B$7:$B$3006,"&gt;="&amp;TU_NGAY,NKC!$B$7:$B$3006,"&lt;="&amp;DEN_NGAY)</f>
        <v/>
      </c>
      <c r="F21" s="107" t="n"/>
    </row>
    <row r="22" ht="15" customHeight="1" s="78">
      <c r="A22" s="139" t="n"/>
      <c r="B22" s="97" t="inlineStr">
        <is>
          <t>4. Tiền thu hồi cho vay, bán lại các công cụ nợ của đơn vị khác</t>
        </is>
      </c>
      <c r="C22" s="96" t="inlineStr">
        <is>
          <t>24</t>
        </is>
      </c>
      <c r="D22" s="95" t="n"/>
      <c r="E22" s="125">
        <f>SUMIFS(NKC!$H$7:$H$3006,NKC!$O$7:$O$3006,"24",NKC!$M$7:$M$3006,"THU",NKC!$B$7:$B$3006,"&gt;="&amp;TU_NGAY,NKC!$B$7:$B$3006,"&lt;="&amp;DEN_NGAY)-SUMIFS(NKC!$H$7:$H$3006,NKC!$O$7:$O$3006,"24",NKC!$M$7:$M$3006,"CHI",NKC!$B$7:$B$3006,"&gt;="&amp;TU_NGAY,NKC!$B$7:$B$3006,"&lt;="&amp;DEN_NGAY)</f>
        <v/>
      </c>
      <c r="F22" s="107" t="n"/>
    </row>
    <row r="23" ht="15" customHeight="1" s="78">
      <c r="A23" s="139" t="n"/>
      <c r="B23" s="97" t="inlineStr">
        <is>
          <t>5. Tiền chi đầu tư góp vốn vào đơn vị khác</t>
        </is>
      </c>
      <c r="C23" s="96" t="inlineStr">
        <is>
          <t>25</t>
        </is>
      </c>
      <c r="D23" s="95" t="n"/>
      <c r="E23" s="125">
        <f>SUMIFS(NKC!$H$7:$H$3006,NKC!$O$7:$O$3006,"25",NKC!$M$7:$M$3006,"THU",NKC!$B$7:$B$3006,"&gt;="&amp;TU_NGAY,NKC!$B$7:$B$3006,"&lt;="&amp;DEN_NGAY)-SUMIFS(NKC!$H$7:$H$3006,NKC!$O$7:$O$3006,"25",NKC!$M$7:$M$3006,"CHI",NKC!$B$7:$B$3006,"&gt;="&amp;TU_NGAY,NKC!$B$7:$B$3006,"&lt;="&amp;DEN_NGAY)</f>
        <v/>
      </c>
      <c r="F23" s="107" t="n"/>
    </row>
    <row r="24" ht="15" customHeight="1" s="78">
      <c r="A24" s="139" t="n"/>
      <c r="B24" s="97" t="inlineStr">
        <is>
          <t>6. Tiền thu hồi đầu tư góp vốn vào đơn vị khác</t>
        </is>
      </c>
      <c r="C24" s="96" t="inlineStr">
        <is>
          <t>26</t>
        </is>
      </c>
      <c r="D24" s="95" t="n"/>
      <c r="E24" s="125">
        <f>SUMIFS(NKC!$H$7:$H$3006,NKC!$O$7:$O$3006,"26",NKC!$M$7:$M$3006,"THU",NKC!$B$7:$B$3006,"&gt;="&amp;TU_NGAY,NKC!$B$7:$B$3006,"&lt;="&amp;DEN_NGAY)-SUMIFS(NKC!$H$7:$H$3006,NKC!$O$7:$O$3006,"26",NKC!$M$7:$M$3006,"CHI",NKC!$B$7:$B$3006,"&gt;="&amp;TU_NGAY,NKC!$B$7:$B$3006,"&lt;="&amp;DEN_NGAY)</f>
        <v/>
      </c>
      <c r="F24" s="107" t="n"/>
    </row>
    <row r="25" ht="15" customHeight="1" s="78">
      <c r="A25" s="139" t="n"/>
      <c r="B25" s="97" t="inlineStr">
        <is>
          <t>7. Tiền thu lãi cho vay, cổ tức và lợi nhuận được chia</t>
        </is>
      </c>
      <c r="C25" s="96" t="inlineStr">
        <is>
          <t>27</t>
        </is>
      </c>
      <c r="D25" s="95" t="n"/>
      <c r="E25" s="125">
        <f>SUMIFS(NKC!$H$7:$H$3006,NKC!$O$7:$O$3006,"27",NKC!$M$7:$M$3006,"THU",NKC!$B$7:$B$3006,"&gt;="&amp;TU_NGAY,NKC!$B$7:$B$3006,"&lt;="&amp;DEN_NGAY)-SUMIFS(NKC!$H$7:$H$3006,NKC!$O$7:$O$3006,"27",NKC!$M$7:$M$3006,"CHI",NKC!$B$7:$B$3006,"&gt;="&amp;TU_NGAY,NKC!$B$7:$B$3006,"&lt;="&amp;DEN_NGAY)</f>
        <v/>
      </c>
      <c r="F25" s="107" t="n"/>
    </row>
    <row r="26" ht="15" customHeight="1" s="78">
      <c r="A26" s="139" t="n"/>
      <c r="B26" s="140" t="inlineStr">
        <is>
          <t>Lưu chuyển tiền thuần từ hoạt động đầu tư</t>
        </is>
      </c>
      <c r="C26" s="141" t="inlineStr">
        <is>
          <t>30</t>
        </is>
      </c>
      <c r="D26" s="95" t="n"/>
      <c r="E26" s="143">
        <f>E19+E20+E21+E22+E23+E24+E25</f>
        <v/>
      </c>
      <c r="F26" s="107" t="n"/>
    </row>
    <row r="27" ht="15" customHeight="1" s="78">
      <c r="A27" s="134" t="n"/>
      <c r="B27" s="135" t="inlineStr">
        <is>
          <t>III. LƯU CHUYỂN TIỀN TỪ HOẠT ĐỘNG TÀI CHÍNH</t>
        </is>
      </c>
      <c r="C27" s="136" t="n"/>
      <c r="D27" s="137" t="n"/>
      <c r="E27" s="134" t="n"/>
      <c r="F27" s="134" t="n"/>
    </row>
    <row r="28" ht="15" customHeight="1" s="78">
      <c r="A28" s="139" t="n"/>
      <c r="B28" s="97" t="inlineStr">
        <is>
          <t>1. Tiền thu từ phát hành cổ phiếu, nhận vốn góp của chủ sở hữu</t>
        </is>
      </c>
      <c r="C28" s="96" t="inlineStr">
        <is>
          <t>31</t>
        </is>
      </c>
      <c r="D28" s="95" t="n"/>
      <c r="E28" s="125">
        <f>SUMIFS(NKC!$H$7:$H$3006,NKC!$O$7:$O$3006,"31",NKC!$M$7:$M$3006,"THU",NKC!$B$7:$B$3006,"&gt;="&amp;TU_NGAY,NKC!$B$7:$B$3006,"&lt;="&amp;DEN_NGAY)-SUMIFS(NKC!$H$7:$H$3006,NKC!$O$7:$O$3006,"31",NKC!$M$7:$M$3006,"CHI",NKC!$B$7:$B$3006,"&gt;="&amp;TU_NGAY,NKC!$B$7:$B$3006,"&lt;="&amp;DEN_NGAY)</f>
        <v/>
      </c>
      <c r="F28" s="107" t="n"/>
    </row>
    <row r="29" ht="15" customHeight="1" s="78">
      <c r="A29" s="139" t="n"/>
      <c r="B29" s="97" t="inlineStr">
        <is>
          <t>2. Tiền trả lại vốn góp cho các chủ sở hữu, mua lại cổ phiếu đã phát hành</t>
        </is>
      </c>
      <c r="C29" s="96" t="inlineStr">
        <is>
          <t>32</t>
        </is>
      </c>
      <c r="D29" s="95" t="n"/>
      <c r="E29" s="125">
        <f>SUMIFS(NKC!$H$7:$H$3006,NKC!$O$7:$O$3006,"32",NKC!$M$7:$M$3006,"THU",NKC!$B$7:$B$3006,"&gt;="&amp;TU_NGAY,NKC!$B$7:$B$3006,"&lt;="&amp;DEN_NGAY)-SUMIFS(NKC!$H$7:$H$3006,NKC!$O$7:$O$3006,"32",NKC!$M$7:$M$3006,"CHI",NKC!$B$7:$B$3006,"&gt;="&amp;TU_NGAY,NKC!$B$7:$B$3006,"&lt;="&amp;DEN_NGAY)</f>
        <v/>
      </c>
      <c r="F29" s="107" t="n"/>
    </row>
    <row r="30" ht="15" customHeight="1" s="78">
      <c r="A30" s="139" t="n"/>
      <c r="B30" s="97" t="inlineStr">
        <is>
          <t>3. Tiền thu từ đi vay</t>
        </is>
      </c>
      <c r="C30" s="96" t="inlineStr">
        <is>
          <t>33</t>
        </is>
      </c>
      <c r="D30" s="95" t="n"/>
      <c r="E30" s="125">
        <f>SUMIFS(NKC!$H$7:$H$3006,NKC!$O$7:$O$3006,"33",NKC!$M$7:$M$3006,"THU",NKC!$B$7:$B$3006,"&gt;="&amp;TU_NGAY,NKC!$B$7:$B$3006,"&lt;="&amp;DEN_NGAY)-SUMIFS(NKC!$H$7:$H$3006,NKC!$O$7:$O$3006,"33",NKC!$M$7:$M$3006,"CHI",NKC!$B$7:$B$3006,"&gt;="&amp;TU_NGAY,NKC!$B$7:$B$3006,"&lt;="&amp;DEN_NGAY)</f>
        <v/>
      </c>
      <c r="F30" s="107" t="n"/>
    </row>
    <row r="31" ht="15" customHeight="1" s="78">
      <c r="A31" s="139" t="n"/>
      <c r="B31" s="97" t="inlineStr">
        <is>
          <t>4. Tiền trả nợ gốc vay</t>
        </is>
      </c>
      <c r="C31" s="96" t="inlineStr">
        <is>
          <t>34</t>
        </is>
      </c>
      <c r="D31" s="95" t="n"/>
      <c r="E31" s="125">
        <f>SUMIFS(NKC!$H$7:$H$3006,NKC!$O$7:$O$3006,"34",NKC!$M$7:$M$3006,"THU",NKC!$B$7:$B$3006,"&gt;="&amp;TU_NGAY,NKC!$B$7:$B$3006,"&lt;="&amp;DEN_NGAY)-SUMIFS(NKC!$H$7:$H$3006,NKC!$O$7:$O$3006,"34",NKC!$M$7:$M$3006,"CHI",NKC!$B$7:$B$3006,"&gt;="&amp;TU_NGAY,NKC!$B$7:$B$3006,"&lt;="&amp;DEN_NGAY)</f>
        <v/>
      </c>
      <c r="F31" s="107" t="n"/>
    </row>
    <row r="32" ht="15" customHeight="1" s="78">
      <c r="A32" s="139" t="n"/>
      <c r="B32" s="97" t="inlineStr">
        <is>
          <t>5. Tiền trả nợ gốc thuê tài chính</t>
        </is>
      </c>
      <c r="C32" s="96" t="inlineStr">
        <is>
          <t>35</t>
        </is>
      </c>
      <c r="D32" s="95" t="n"/>
      <c r="E32" s="125">
        <f>SUMIFS(NKC!$H$7:$H$3006,NKC!$O$7:$O$3006,"35",NKC!$M$7:$M$3006,"THU",NKC!$B$7:$B$3006,"&gt;="&amp;TU_NGAY,NKC!$B$7:$B$3006,"&lt;="&amp;DEN_NGAY)-SUMIFS(NKC!$H$7:$H$3006,NKC!$O$7:$O$3006,"35",NKC!$M$7:$M$3006,"CHI",NKC!$B$7:$B$3006,"&gt;="&amp;TU_NGAY,NKC!$B$7:$B$3006,"&lt;="&amp;DEN_NGAY)</f>
        <v/>
      </c>
      <c r="F32" s="107" t="n"/>
    </row>
    <row r="33" ht="15" customHeight="1" s="78">
      <c r="A33" s="139" t="n"/>
      <c r="B33" s="97" t="inlineStr">
        <is>
          <t>6. Cổ tức, lợi nhuận đã trả cho chủ sở hữu</t>
        </is>
      </c>
      <c r="C33" s="96" t="inlineStr">
        <is>
          <t>36</t>
        </is>
      </c>
      <c r="D33" s="95" t="n"/>
      <c r="E33" s="125">
        <f>SUMIFS(NKC!$H$7:$H$3006,NKC!$O$7:$O$3006,"36",NKC!$M$7:$M$3006,"THU",NKC!$B$7:$B$3006,"&gt;="&amp;TU_NGAY,NKC!$B$7:$B$3006,"&lt;="&amp;DEN_NGAY)-SUMIFS(NKC!$H$7:$H$3006,NKC!$O$7:$O$3006,"36",NKC!$M$7:$M$3006,"CHI",NKC!$B$7:$B$3006,"&gt;="&amp;TU_NGAY,NKC!$B$7:$B$3006,"&lt;="&amp;DEN_NGAY)</f>
        <v/>
      </c>
      <c r="F33" s="107" t="n"/>
    </row>
    <row r="34" ht="15" customHeight="1" s="78">
      <c r="A34" s="139" t="n"/>
      <c r="B34" s="140" t="inlineStr">
        <is>
          <t>Lưu chuyển tiền thuần từ hoạt động tài chính</t>
        </is>
      </c>
      <c r="C34" s="141" t="inlineStr">
        <is>
          <t>40</t>
        </is>
      </c>
      <c r="D34" s="95" t="n"/>
      <c r="E34" s="143">
        <f>E28+E29+E30+E31+E32+E33</f>
        <v/>
      </c>
      <c r="F34" s="107" t="n"/>
    </row>
    <row r="35" ht="15" customHeight="1" s="78">
      <c r="A35" s="139" t="n"/>
      <c r="B35" s="140" t="inlineStr">
        <is>
          <t>Lưu chuyển tiền thuần trong kỳ (50 = 20+30+40)</t>
        </is>
      </c>
      <c r="C35" s="141" t="inlineStr">
        <is>
          <t>50</t>
        </is>
      </c>
      <c r="D35" s="95" t="n"/>
      <c r="E35" s="143">
        <f>E17+E26+E34</f>
        <v/>
      </c>
      <c r="F35" s="107" t="n"/>
    </row>
    <row r="36" ht="15" customHeight="1" s="78">
      <c r="A36" s="139" t="n"/>
      <c r="B36" s="97" t="inlineStr">
        <is>
          <t>Tiền và tương đương tiền đầu kỳ</t>
        </is>
      </c>
      <c r="C36" s="96" t="inlineStr">
        <is>
          <t>60</t>
        </is>
      </c>
      <c r="D36" s="95" t="n"/>
      <c r="E36" s="125">
        <f>(CDPS!$D$8-CDPS!$E$8)+(CDPS!$D$9-CDPS!$E$9)+(CDPS!$D$10-CDPS!$E$10)</f>
        <v/>
      </c>
      <c r="F36" s="107" t="n"/>
    </row>
    <row r="37" ht="15" customHeight="1" s="78">
      <c r="A37" s="139" t="n"/>
      <c r="B37" s="97" t="inlineStr">
        <is>
          <t>Ảnh hưởng của thay đổi tỷ giá hối đoái quy đổi ngoại tệ</t>
        </is>
      </c>
      <c r="C37" s="96" t="inlineStr">
        <is>
          <t>61</t>
        </is>
      </c>
      <c r="D37" s="95" t="n"/>
      <c r="E37" s="107" t="n">
        <v>0</v>
      </c>
      <c r="F37" s="107" t="n"/>
    </row>
    <row r="38" ht="15" customHeight="1" s="78">
      <c r="A38" s="139" t="n"/>
      <c r="B38" s="140" t="inlineStr">
        <is>
          <t>Tiền và tương đương tiền cuối kỳ (70 = 50+60+61)</t>
        </is>
      </c>
      <c r="C38" s="141" t="inlineStr">
        <is>
          <t>70</t>
        </is>
      </c>
      <c r="D38" s="95" t="n"/>
      <c r="E38" s="143">
        <f>E35+E36+E37</f>
        <v/>
      </c>
      <c r="F38" s="107" t="n"/>
    </row>
    <row r="39"/>
    <row r="40" ht="22.35" customHeight="1" s="78">
      <c r="B40" s="142" t="inlineStr">
        <is>
          <t>Tiền = TK 111, 112, 113. Chuyển tiền nội bộ (cả 2 vế đều là TK tiền) tự loại trừ. Mã 61 (ảnh hưởng tỷ giá) nhập tay khi có đánh giá lại ngoại tệ. Mã 112 trên B01 (tương đương tiền) nếu có thì cộng thêm vào mã 60/70 tương ứng.</t>
        </is>
      </c>
    </row>
    <row r="41"/>
    <row r="42"/>
    <row r="43" ht="25.35" customHeight="1" s="78">
      <c r="E43" s="119">
        <f>"Lập, ngày "&amp;DAY(DEN_NGAY)&amp;" tháng "&amp;MONTH(DEN_NGAY)&amp;" năm "&amp;YEAR(DEN_NGAY)</f>
        <v/>
      </c>
    </row>
    <row r="44" ht="25.35" customHeight="1" s="78">
      <c r="B44" s="118" t="inlineStr">
        <is>
          <t>Người lập biểu</t>
        </is>
      </c>
      <c r="D44" s="118" t="inlineStr">
        <is>
          <t>Kế toán trưởng</t>
        </is>
      </c>
      <c r="E44" s="118" t="inlineStr">
        <is>
          <t>Người đại diện theo pháp luật</t>
        </is>
      </c>
    </row>
    <row r="45" ht="15" customHeight="1" s="78">
      <c r="B45" s="117" t="inlineStr">
        <is>
          <t>(Ký, họ tên)</t>
        </is>
      </c>
      <c r="D45" s="117" t="inlineStr">
        <is>
          <t>(Ký, họ tên)</t>
        </is>
      </c>
      <c r="E45" s="117" t="inlineStr">
        <is>
          <t>(Ký, họ tên)</t>
        </is>
      </c>
    </row>
    <row r="46"/>
    <row r="47"/>
    <row r="48" ht="25.35" customHeight="1" s="78">
      <c r="B48" s="144">
        <f>TT_DN!$C$10</f>
        <v/>
      </c>
      <c r="D48" s="144">
        <f>TT_DN!$C$11</f>
        <v/>
      </c>
      <c r="E48" s="144">
        <f>TT_DN!$C$12</f>
        <v/>
      </c>
    </row>
  </sheetData>
  <sheetProtection selectLockedCells="0" selectUnlockedCells="0" sheet="1" objects="0" insertRows="1" insertHyperlinks="1" autoFilter="0" scenarios="0" formatColumns="0" deleteColumns="1" insertColumns="1" pivotTables="1" deleteRows="1" formatCells="0" formatRows="0" sort="0"/>
  <mergeCells count="4">
    <mergeCell ref="A3:F3"/>
    <mergeCell ref="B40:F40"/>
    <mergeCell ref="A5:F5"/>
    <mergeCell ref="A4:F4"/>
  </mergeCells>
  <printOptions horizontalCentered="0" verticalCentered="0" headings="0" gridLines="0" gridLinesSet="1"/>
  <pageMargins left="0.75" right="0.75" top="1" bottom="1" header="0.511811023622047" footer="0.5"/>
  <pageSetup orientation="portrait" paperSize="9" scale="100" fitToHeight="0" fitToWidth="1" pageOrder="downThenOver" blackAndWhite="0" draft="0" horizontalDpi="300" verticalDpi="300" copies="1"/>
  <headerFooter differentOddEven="0" differentFirst="0">
    <oddHeader/>
    <oddFooter>&amp;L&amp;8 &amp;K808080Mr Wick Kiểm toán — Phần mềm kế toán TT 99/2025&amp;R&amp;8 &amp;K808080Trang &amp;P/&amp;N</oddFooter>
    <evenHeader/>
    <evenFooter/>
    <firstHeader/>
    <firstFooter/>
  </headerFooter>
</worksheet>
</file>

<file path=xl/worksheets/sheet13.xml><?xml version="1.0" encoding="utf-8"?>
<worksheet xmlns="http://schemas.openxmlformats.org/spreadsheetml/2006/main">
  <sheetPr filterMode="0">
    <outlinePr summaryBelow="1" summaryRight="1"/>
    <pageSetUpPr fitToPage="1"/>
  </sheetPr>
  <dimension ref="A1:H59"/>
  <sheetViews>
    <sheetView showFormulas="0" showGridLines="0" showRowColHeaders="1" showZeros="1" rightToLeft="0" tabSelected="0" showOutlineSymbols="1" defaultGridColor="1"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77" min="1" max="1"/>
    <col width="56" customWidth="1" style="77" min="2" max="2"/>
    <col width="8" customWidth="1" style="77" min="3" max="3"/>
    <col width="15" customWidth="1" style="77" min="4" max="5"/>
    <col width="16" customWidth="1" style="77" min="6" max="6"/>
    <col width="18" customWidth="1" style="77" min="7" max="7"/>
    <col width="16" customWidth="1" style="77" min="8" max="8"/>
    <col width="30" customWidth="1" style="77" min="9" max="9"/>
  </cols>
  <sheetData>
    <row r="1" ht="15" customHeight="1" s="78">
      <c r="A1" s="88">
        <f>TT_DN!$C$5</f>
        <v/>
      </c>
      <c r="G1" s="118" t="inlineStr">
        <is>
          <t>Mẫu số B03-DN</t>
        </is>
      </c>
    </row>
    <row r="2" ht="43.25" customHeight="1" s="78">
      <c r="A2" s="89">
        <f>TT_DN!$C$7</f>
        <v/>
      </c>
      <c r="G2" s="117" t="inlineStr">
        <is>
          <t>(Ban hành kèm theo Thông tư số 99/2025/TT-BTC ngày 27/10/2025 của Bộ Tài chính)</t>
        </is>
      </c>
    </row>
    <row r="3" ht="17.35" customHeight="1" s="78">
      <c r="A3" s="84" t="inlineStr">
        <is>
          <t>BÁO CÁO LƯU CHUYỂN TIỀN TỆ</t>
        </is>
      </c>
    </row>
    <row r="4" ht="15" customHeight="1" s="78">
      <c r="A4" s="118" t="inlineStr">
        <is>
          <t>(Theo phương pháp gián tiếp)</t>
        </is>
      </c>
    </row>
    <row r="5" ht="15" customHeight="1" s="78">
      <c r="A5" s="119">
        <f>CONCATENATE("Kỳ: từ ",TEXT(TU_NGAY,"DD/MM/YYYY")," đến ",TEXT(DEN_NGAY,"DD/MM/YYYY")," — Đơn vị tính: Đồng Việt Nam")</f>
        <v/>
      </c>
    </row>
    <row r="6"/>
    <row r="7"/>
    <row r="8" ht="27.75" customHeight="1" s="78">
      <c r="B8" s="92" t="inlineStr">
        <is>
          <t>CHỈ TIÊU</t>
        </is>
      </c>
      <c r="C8" s="92" t="inlineStr">
        <is>
          <t>Mã số</t>
        </is>
      </c>
      <c r="D8" s="92" t="inlineStr">
        <is>
          <t>Tự động</t>
        </is>
      </c>
      <c r="E8" s="92" t="inlineStr">
        <is>
          <t>Điều chỉnh (+/-)</t>
        </is>
      </c>
      <c r="F8" s="92" t="inlineStr">
        <is>
          <t>Năm nay</t>
        </is>
      </c>
      <c r="G8" s="92" t="inlineStr">
        <is>
          <t>Năm trước</t>
        </is>
      </c>
      <c r="H8" s="92" t="inlineStr">
        <is>
          <t>Ghi chú</t>
        </is>
      </c>
    </row>
    <row r="9" ht="15" customHeight="1" s="78">
      <c r="A9" s="134" t="n"/>
      <c r="B9" s="135" t="inlineStr">
        <is>
          <t>I. LƯU CHUYỂN TIỀN TỪ HOẠT ĐỘNG KINH DOANH</t>
        </is>
      </c>
      <c r="C9" s="136" t="n"/>
      <c r="D9" s="134" t="n"/>
      <c r="E9" s="134" t="n"/>
      <c r="F9" s="134" t="n"/>
      <c r="G9" s="134" t="n"/>
      <c r="H9" s="134" t="n"/>
    </row>
    <row r="10" ht="15" customHeight="1" s="78">
      <c r="A10" s="139" t="n"/>
      <c r="B10" s="97" t="inlineStr">
        <is>
          <t>1. Lợi nhuận trước thuế</t>
        </is>
      </c>
      <c r="C10" s="96" t="inlineStr">
        <is>
          <t>01</t>
        </is>
      </c>
      <c r="D10" s="125">
        <f>B02!E24</f>
        <v/>
      </c>
      <c r="E10" s="107" t="n"/>
      <c r="F10" s="125">
        <f>N(D10)+N(E10)</f>
        <v/>
      </c>
      <c r="G10" s="107" t="n"/>
      <c r="H10" s="139" t="n"/>
    </row>
    <row r="11" ht="15" customHeight="1" s="78">
      <c r="A11" s="134" t="n"/>
      <c r="B11" s="135" t="inlineStr">
        <is>
          <t>2. Điều chỉnh cho các khoản:</t>
        </is>
      </c>
      <c r="C11" s="136" t="n"/>
      <c r="D11" s="134" t="n"/>
      <c r="E11" s="134" t="n"/>
      <c r="F11" s="134" t="n"/>
      <c r="G11" s="134" t="n"/>
      <c r="H11" s="134" t="n"/>
    </row>
    <row r="12" ht="22.35" customHeight="1" s="78">
      <c r="A12" s="139" t="n"/>
      <c r="B12" s="97" t="inlineStr">
        <is>
          <t>- Khấu hao TSCĐ và bất động sản đầu tư</t>
        </is>
      </c>
      <c r="C12" s="96" t="inlineStr">
        <is>
          <t>02</t>
        </is>
      </c>
      <c r="D12" s="125">
        <f>SUMIFS(NKC!$H$7:$H$3006,NKC!$G$7:$G$3006,"214*",NKC!$F$7:$F$3006,"6*",NKC!$B$7:$B$3006,"&gt;="&amp;TU_NGAY,NKC!$B$7:$B$3006,"&lt;="&amp;DEN_NGAY)+SUMIFS(NKC!$H$7:$H$3006,NKC!$G$7:$G$3006,"215122",NKC!$F$7:$F$3006,"6*",NKC!$B$7:$B$3006,"&gt;="&amp;TU_NGAY,NKC!$B$7:$B$3006,"&lt;="&amp;DEN_NGAY)</f>
        <v/>
      </c>
      <c r="E12" s="107" t="n"/>
      <c r="F12" s="125">
        <f>N(D12)+N(E12)</f>
        <v/>
      </c>
      <c r="G12" s="107" t="n"/>
      <c r="H12" s="98" t="inlineStr">
        <is>
          <t>PS Có 214 đối ứng TK chi phí (6*)</t>
        </is>
      </c>
    </row>
    <row r="13" ht="32.8" customHeight="1" s="78">
      <c r="A13" s="139" t="n"/>
      <c r="B13" s="97" t="inlineStr">
        <is>
          <t>- Các khoản dự phòng</t>
        </is>
      </c>
      <c r="C13" s="96" t="inlineStr">
        <is>
          <t>03</t>
        </is>
      </c>
      <c r="D13" s="125">
        <f>(CDPS!$I$62+CDPS!$I$116)-(CDPS!$E$62+CDPS!$E$116)</f>
        <v/>
      </c>
      <c r="E13" s="107" t="n"/>
      <c r="F13" s="125">
        <f>N(D13)+N(E13)</f>
        <v/>
      </c>
      <c r="G13" s="107" t="n"/>
      <c r="H13" s="98" t="inlineStr">
        <is>
          <t>Chênh lệch số dư dự phòng 229, 352 cuối kỳ - đầu kỳ</t>
        </is>
      </c>
    </row>
    <row r="14" ht="25.35" customHeight="1" s="78">
      <c r="A14" s="139" t="n"/>
      <c r="B14" s="97" t="inlineStr">
        <is>
          <t>- Lãi, lỗ chênh lệch tỷ giá hối đoái do đánh giá lại các khoản mục tiền tệ có gốc ngoại tệ</t>
        </is>
      </c>
      <c r="C14" s="96" t="inlineStr">
        <is>
          <t>04</t>
        </is>
      </c>
      <c r="D14" s="125" t="n">
        <v>0</v>
      </c>
      <c r="E14" s="107" t="n"/>
      <c r="F14" s="125">
        <f>N(D14)+N(E14)</f>
        <v/>
      </c>
      <c r="G14" s="107" t="n"/>
      <c r="H14" s="139" t="n"/>
    </row>
    <row r="15" ht="32.8" customHeight="1" s="78">
      <c r="A15" s="139" t="n"/>
      <c r="B15" s="97" t="inlineStr">
        <is>
          <t>- Lãi, lỗ từ hoạt động đầu tư, tài chính</t>
        </is>
      </c>
      <c r="C15" s="96" t="inlineStr">
        <is>
          <t>05</t>
        </is>
      </c>
      <c r="D15" s="125">
        <f>-B02!E15-B02!E21+B02!E22+(B02!E16-B02!E17)-B02!E14</f>
        <v/>
      </c>
      <c r="E15" s="107" t="n"/>
      <c r="F15" s="125">
        <f>N(D15)+N(E15)</f>
        <v/>
      </c>
      <c r="G15" s="107" t="n"/>
      <c r="H15" s="98" t="inlineStr">
        <is>
          <t>Loại lãi/lỗ thuộc đầu tư, tài chính khỏi LNTT</t>
        </is>
      </c>
    </row>
    <row r="16" ht="22.35" customHeight="1" s="78">
      <c r="A16" s="139" t="n"/>
      <c r="B16" s="97" t="inlineStr">
        <is>
          <t>- Chi phí đi vay</t>
        </is>
      </c>
      <c r="C16" s="96" t="inlineStr">
        <is>
          <t>06</t>
        </is>
      </c>
      <c r="D16" s="125">
        <f>B02!E17</f>
        <v/>
      </c>
      <c r="E16" s="107" t="n"/>
      <c r="F16" s="125">
        <f>N(D16)+N(E16)</f>
        <v/>
      </c>
      <c r="G16" s="107" t="n"/>
      <c r="H16" s="98" t="inlineStr">
        <is>
          <t>Bằng chỉ tiêu 24 trên B02</t>
        </is>
      </c>
    </row>
    <row r="17" ht="15" customHeight="1" s="78">
      <c r="A17" s="139" t="n"/>
      <c r="B17" s="97" t="inlineStr">
        <is>
          <t>- Các khoản điều chỉnh khác</t>
        </is>
      </c>
      <c r="C17" s="96" t="inlineStr">
        <is>
          <t>07</t>
        </is>
      </c>
      <c r="D17" s="125" t="n">
        <v>0</v>
      </c>
      <c r="E17" s="107" t="n">
        <v>19200000</v>
      </c>
      <c r="F17" s="125">
        <f>N(D17)+N(E17)</f>
        <v/>
      </c>
      <c r="G17" s="107" t="n"/>
      <c r="H17" s="139" t="inlineStr">
        <is>
          <t>Thuế GTGT đầu vào của xe tải đã trả trong dòng tiền đầu tư (mã 21)</t>
        </is>
      </c>
    </row>
    <row r="18" ht="25.35" customHeight="1" s="78">
      <c r="A18" s="139" t="n"/>
      <c r="B18" s="140" t="inlineStr">
        <is>
          <t>3. Lợi nhuận từ hoạt động kinh doanh trước thay đổi vốn lưu động</t>
        </is>
      </c>
      <c r="C18" s="141" t="inlineStr">
        <is>
          <t>08</t>
        </is>
      </c>
      <c r="D18" s="139" t="n"/>
      <c r="E18" s="139" t="n"/>
      <c r="F18" s="143">
        <f>F10+F12+F13+F14+F15+F16+F17</f>
        <v/>
      </c>
      <c r="G18" s="107" t="n"/>
      <c r="H18" s="139" t="n"/>
    </row>
    <row r="19" ht="22.35" customHeight="1" s="78">
      <c r="A19" s="139" t="n"/>
      <c r="B19" s="97" t="inlineStr">
        <is>
          <t>- Tăng, giảm các khoản phải thu</t>
        </is>
      </c>
      <c r="C19" s="96" t="inlineStr">
        <is>
          <t>09</t>
        </is>
      </c>
      <c r="D19" s="125">
        <f>-((CONGNO!$G$308+CONGNO!$G$613+CDPS!$H$18+CDPS!$H$21+CDPS!$H$26+CDPS!$H$30)-(CONGNO!$C$308+CONGNO!$C$613+CDPS!$D$18+CDPS!$D$21+CDPS!$D$26+CDPS!$D$30))</f>
        <v/>
      </c>
      <c r="E19" s="107" t="n"/>
      <c r="F19" s="125">
        <f>N(D19)+N(E19)</f>
        <v/>
      </c>
      <c r="G19" s="107" t="n"/>
      <c r="H19" s="98" t="inlineStr">
        <is>
          <t>Δ 131, 331 (dư Nợ), 133, 136, 138, 141</t>
        </is>
      </c>
    </row>
    <row r="20" ht="15" customHeight="1" s="78">
      <c r="A20" s="139" t="n"/>
      <c r="B20" s="97" t="inlineStr">
        <is>
          <t>- Tăng, giảm hàng tồn kho</t>
        </is>
      </c>
      <c r="C20" s="96" t="inlineStr">
        <is>
          <t>10</t>
        </is>
      </c>
      <c r="D20" s="125">
        <f>-((CDPS!$H$31+CDPS!$H$32+CDPS!$H$33+CDPS!$H$34+CDPS!$H$35+CDPS!$H$36+CDPS!$H$37+CDPS!$H$38)-(CDPS!$D$31+CDPS!$D$32+CDPS!$D$33+CDPS!$D$34+CDPS!$D$35+CDPS!$D$36+CDPS!$D$37+CDPS!$D$38))</f>
        <v/>
      </c>
      <c r="E20" s="107" t="n"/>
      <c r="F20" s="125">
        <f>N(D20)+N(E20)</f>
        <v/>
      </c>
      <c r="G20" s="107" t="n"/>
      <c r="H20" s="139" t="n"/>
    </row>
    <row r="21" ht="43.25" customHeight="1" s="78">
      <c r="A21" s="139" t="n"/>
      <c r="B21" s="97" t="inlineStr">
        <is>
          <t>- Tăng, giảm các khoản phải trả (không kể lãi vay phải trả, thuế TNDN phải nộp)</t>
        </is>
      </c>
      <c r="C21" s="96" t="inlineStr">
        <is>
          <t>11</t>
        </is>
      </c>
      <c r="D21" s="125">
        <f>(CONGNO!$H$613+CONGNO!$H$308+CDPS!$I$78-CDPS!$I$84+CDPS!$I$92+CDPS!$I$100+CDPS!$I$77)-(CONGNO!$D$613+CONGNO!$D$308+CDPS!$E$78-CDPS!$E$84+CDPS!$E$92+CDPS!$E$100+CDPS!$E$77)</f>
        <v/>
      </c>
      <c r="E21" s="107" t="n"/>
      <c r="F21" s="125">
        <f>N(D21)+N(E21)</f>
        <v/>
      </c>
      <c r="G21" s="107" t="n"/>
      <c r="H21" s="98" t="inlineStr">
        <is>
          <t>Δ 331, 131 (dư Có), 333 (trừ 3334), 334, 338, 332; không gồm 335</t>
        </is>
      </c>
    </row>
    <row r="22" ht="15" customHeight="1" s="78">
      <c r="A22" s="139" t="n"/>
      <c r="B22" s="97" t="inlineStr">
        <is>
          <t>- Tăng, giảm chi phí chờ phân bổ</t>
        </is>
      </c>
      <c r="C22" s="96" t="inlineStr">
        <is>
          <t>12</t>
        </is>
      </c>
      <c r="D22" s="125">
        <f>(CDPS!$D$73)-(CDPS!$H$73)</f>
        <v/>
      </c>
      <c r="E22" s="107" t="n"/>
      <c r="F22" s="125">
        <f>N(D22)+N(E22)</f>
        <v/>
      </c>
      <c r="G22" s="107" t="n"/>
      <c r="H22" s="139" t="n"/>
    </row>
    <row r="23" ht="15" customHeight="1" s="78">
      <c r="A23" s="139" t="n"/>
      <c r="B23" s="97" t="inlineStr">
        <is>
          <t>- Tăng, giảm chứng khoán kinh doanh</t>
        </is>
      </c>
      <c r="C23" s="96" t="inlineStr">
        <is>
          <t>13</t>
        </is>
      </c>
      <c r="D23" s="125">
        <f>(CDPS!$D$11)-(CDPS!$H$11)</f>
        <v/>
      </c>
      <c r="E23" s="107" t="n"/>
      <c r="F23" s="125">
        <f>N(D23)+N(E23)</f>
        <v/>
      </c>
      <c r="G23" s="107" t="n"/>
      <c r="H23" s="139" t="n"/>
    </row>
    <row r="24" ht="22.35" customHeight="1" s="78">
      <c r="A24" s="139" t="n"/>
      <c r="B24" s="97" t="inlineStr">
        <is>
          <t>- Chi phí đi vay đã trả</t>
        </is>
      </c>
      <c r="C24" s="96" t="inlineStr">
        <is>
          <t>14</t>
        </is>
      </c>
      <c r="D24" s="125">
        <f>B03_TT!E13</f>
        <v/>
      </c>
      <c r="E24" s="107" t="n"/>
      <c r="F24" s="125">
        <f>N(D24)+N(E24)</f>
        <v/>
      </c>
      <c r="G24" s="107" t="n"/>
      <c r="H24" s="98" t="inlineStr">
        <is>
          <t>Bằng mã 04 của B03 trực tiếp</t>
        </is>
      </c>
    </row>
    <row r="25" ht="22.35" customHeight="1" s="78">
      <c r="A25" s="139" t="n"/>
      <c r="B25" s="97" t="inlineStr">
        <is>
          <t>- Thuế thu nhập doanh nghiệp đã nộp</t>
        </is>
      </c>
      <c r="C25" s="96" t="inlineStr">
        <is>
          <t>15</t>
        </is>
      </c>
      <c r="D25" s="125">
        <f>B03_TT!E14</f>
        <v/>
      </c>
      <c r="E25" s="107" t="n"/>
      <c r="F25" s="125">
        <f>N(D25)+N(E25)</f>
        <v/>
      </c>
      <c r="G25" s="107" t="n"/>
      <c r="H25" s="98" t="inlineStr">
        <is>
          <t>Bằng mã 05 của B03 trực tiếp</t>
        </is>
      </c>
    </row>
    <row r="26" ht="32.8" customHeight="1" s="78">
      <c r="A26" s="139" t="n"/>
      <c r="B26" s="97" t="inlineStr">
        <is>
          <t>- Tiền thu khác từ hoạt động kinh doanh</t>
        </is>
      </c>
      <c r="C26" s="96" t="inlineStr">
        <is>
          <t>16</t>
        </is>
      </c>
      <c r="D26" s="125" t="n">
        <v>0</v>
      </c>
      <c r="E26" s="107" t="n">
        <v>6000000</v>
      </c>
      <c r="F26" s="125">
        <f>N(D26)+N(E26)</f>
        <v/>
      </c>
      <c r="G26" s="107" t="n"/>
      <c r="H26" s="98" t="inlineStr">
        <is>
          <t>Thu bán phế liệu (đã loại khỏi LNTT tại mã 05)</t>
        </is>
      </c>
    </row>
    <row r="27" ht="22.35" customHeight="1" s="78">
      <c r="A27" s="139" t="n"/>
      <c r="B27" s="97" t="inlineStr">
        <is>
          <t>- Tiền chi khác cho hoạt động kinh doanh</t>
        </is>
      </c>
      <c r="C27" s="96" t="inlineStr">
        <is>
          <t>17</t>
        </is>
      </c>
      <c r="D27" s="125" t="n">
        <v>0</v>
      </c>
      <c r="E27" s="107" t="n">
        <v>-3000000</v>
      </c>
      <c r="F27" s="125">
        <f>N(D27)+N(E27)</f>
        <v/>
      </c>
      <c r="G27" s="107" t="n"/>
      <c r="H27" s="98" t="inlineStr">
        <is>
          <t>Chi nộp phạt (đã loại khỏi LNTT tại mã 05)</t>
        </is>
      </c>
    </row>
    <row r="28" ht="15" customHeight="1" s="78">
      <c r="A28" s="139" t="n"/>
      <c r="B28" s="140" t="inlineStr">
        <is>
          <t>Lưu chuyển tiền thuần từ hoạt động kinh doanh</t>
        </is>
      </c>
      <c r="C28" s="141" t="inlineStr">
        <is>
          <t>20</t>
        </is>
      </c>
      <c r="D28" s="139" t="n"/>
      <c r="E28" s="139" t="n"/>
      <c r="F28" s="143">
        <f>F18+F19+F20+F21+F22+F23+F24+F25+F26+F27</f>
        <v/>
      </c>
      <c r="G28" s="107" t="n"/>
      <c r="H28" s="139" t="n"/>
    </row>
    <row r="29" ht="15" customHeight="1" s="78">
      <c r="A29" s="134" t="n"/>
      <c r="B29" s="135" t="inlineStr">
        <is>
          <t>II. LƯU CHUYỂN TIỀN TỪ HOẠT ĐỘNG ĐẦU TƯ</t>
        </is>
      </c>
      <c r="C29" s="136" t="n"/>
      <c r="D29" s="134" t="n"/>
      <c r="E29" s="134" t="n"/>
      <c r="F29" s="134" t="n"/>
      <c r="G29" s="134" t="n"/>
      <c r="H29" s="134" t="n"/>
    </row>
    <row r="30" ht="25.35" customHeight="1" s="78">
      <c r="A30" s="139" t="n"/>
      <c r="B30" s="97" t="inlineStr">
        <is>
          <t>1. Tiền chi để mua sắm, xây dựng TSCĐ và các tài sản dài hạn khác</t>
        </is>
      </c>
      <c r="C30" s="96" t="inlineStr">
        <is>
          <t>21</t>
        </is>
      </c>
      <c r="D30" s="139" t="n"/>
      <c r="E30" s="139" t="n"/>
      <c r="F30" s="145">
        <f>B03_TT!E19</f>
        <v/>
      </c>
      <c r="G30" s="107" t="n"/>
      <c r="H30" s="139" t="n"/>
    </row>
    <row r="31" ht="25.35" customHeight="1" s="78">
      <c r="A31" s="139" t="n"/>
      <c r="B31" s="97" t="inlineStr">
        <is>
          <t>2. Tiền thu từ thanh lý, nhượng bán TSCĐ và các tài sản dài hạn khác</t>
        </is>
      </c>
      <c r="C31" s="96" t="inlineStr">
        <is>
          <t>22</t>
        </is>
      </c>
      <c r="D31" s="139" t="n"/>
      <c r="E31" s="139" t="n"/>
      <c r="F31" s="145">
        <f>B03_TT!E20</f>
        <v/>
      </c>
      <c r="G31" s="107" t="n"/>
      <c r="H31" s="139" t="n"/>
    </row>
    <row r="32" ht="15" customHeight="1" s="78">
      <c r="A32" s="139" t="n"/>
      <c r="B32" s="97" t="inlineStr">
        <is>
          <t>3. Tiền chi cho vay, mua các công cụ nợ của đơn vị khác</t>
        </is>
      </c>
      <c r="C32" s="96" t="inlineStr">
        <is>
          <t>23</t>
        </is>
      </c>
      <c r="D32" s="139" t="n"/>
      <c r="E32" s="139" t="n"/>
      <c r="F32" s="145">
        <f>B03_TT!E21</f>
        <v/>
      </c>
      <c r="G32" s="107" t="n"/>
      <c r="H32" s="139" t="n"/>
    </row>
    <row r="33" ht="15" customHeight="1" s="78">
      <c r="A33" s="139" t="n"/>
      <c r="B33" s="97" t="inlineStr">
        <is>
          <t>4. Tiền thu hồi cho vay, bán lại các công cụ nợ của đơn vị khác</t>
        </is>
      </c>
      <c r="C33" s="96" t="inlineStr">
        <is>
          <t>24</t>
        </is>
      </c>
      <c r="D33" s="139" t="n"/>
      <c r="E33" s="139" t="n"/>
      <c r="F33" s="145">
        <f>B03_TT!E22</f>
        <v/>
      </c>
      <c r="G33" s="107" t="n"/>
      <c r="H33" s="139" t="n"/>
    </row>
    <row r="34" ht="15" customHeight="1" s="78">
      <c r="A34" s="139" t="n"/>
      <c r="B34" s="97" t="inlineStr">
        <is>
          <t>5. Tiền chi đầu tư góp vốn vào đơn vị khác</t>
        </is>
      </c>
      <c r="C34" s="96" t="inlineStr">
        <is>
          <t>25</t>
        </is>
      </c>
      <c r="D34" s="139" t="n"/>
      <c r="E34" s="139" t="n"/>
      <c r="F34" s="145">
        <f>B03_TT!E23</f>
        <v/>
      </c>
      <c r="G34" s="107" t="n"/>
      <c r="H34" s="139" t="n"/>
    </row>
    <row r="35" ht="15" customHeight="1" s="78">
      <c r="A35" s="139" t="n"/>
      <c r="B35" s="97" t="inlineStr">
        <is>
          <t>6. Tiền thu hồi đầu tư góp vốn vào đơn vị khác</t>
        </is>
      </c>
      <c r="C35" s="96" t="inlineStr">
        <is>
          <t>26</t>
        </is>
      </c>
      <c r="D35" s="139" t="n"/>
      <c r="E35" s="139" t="n"/>
      <c r="F35" s="145">
        <f>B03_TT!E24</f>
        <v/>
      </c>
      <c r="G35" s="107" t="n"/>
      <c r="H35" s="139" t="n"/>
    </row>
    <row r="36" ht="15" customHeight="1" s="78">
      <c r="A36" s="139" t="n"/>
      <c r="B36" s="97" t="inlineStr">
        <is>
          <t>7. Tiền thu lãi cho vay, cổ tức và lợi nhuận được chia</t>
        </is>
      </c>
      <c r="C36" s="96" t="inlineStr">
        <is>
          <t>27</t>
        </is>
      </c>
      <c r="D36" s="139" t="n"/>
      <c r="E36" s="139" t="n"/>
      <c r="F36" s="145">
        <f>B03_TT!E25</f>
        <v/>
      </c>
      <c r="G36" s="107" t="n"/>
      <c r="H36" s="139" t="n"/>
    </row>
    <row r="37" ht="15" customHeight="1" s="78">
      <c r="A37" s="139" t="n"/>
      <c r="B37" s="140" t="inlineStr">
        <is>
          <t>Lưu chuyển tiền thuần từ hoạt động đầu tư</t>
        </is>
      </c>
      <c r="C37" s="141" t="inlineStr">
        <is>
          <t>30</t>
        </is>
      </c>
      <c r="D37" s="139" t="n"/>
      <c r="E37" s="139" t="n"/>
      <c r="F37" s="143">
        <f>F30+F31+F32+F33+F34+F35+F36</f>
        <v/>
      </c>
      <c r="G37" s="107" t="n"/>
      <c r="H37" s="139" t="n"/>
    </row>
    <row r="38" ht="15" customHeight="1" s="78">
      <c r="A38" s="134" t="n"/>
      <c r="B38" s="135" t="inlineStr">
        <is>
          <t>III. LƯU CHUYỂN TIỀN TỪ HOẠT ĐỘNG TÀI CHÍNH</t>
        </is>
      </c>
      <c r="C38" s="136" t="n"/>
      <c r="D38" s="134" t="n"/>
      <c r="E38" s="134" t="n"/>
      <c r="F38" s="134" t="n"/>
      <c r="G38" s="134" t="n"/>
      <c r="H38" s="134" t="n"/>
    </row>
    <row r="39" ht="15" customHeight="1" s="78">
      <c r="A39" s="139" t="n"/>
      <c r="B39" s="97" t="inlineStr">
        <is>
          <t>1. Tiền thu từ phát hành cổ phiếu, nhận vốn góp của chủ sở hữu</t>
        </is>
      </c>
      <c r="C39" s="96" t="inlineStr">
        <is>
          <t>31</t>
        </is>
      </c>
      <c r="D39" s="139" t="n"/>
      <c r="E39" s="139" t="n"/>
      <c r="F39" s="145">
        <f>B03_TT!E28</f>
        <v/>
      </c>
      <c r="G39" s="107" t="n"/>
      <c r="H39" s="139" t="n"/>
    </row>
    <row r="40" ht="25.35" customHeight="1" s="78">
      <c r="A40" s="139" t="n"/>
      <c r="B40" s="97" t="inlineStr">
        <is>
          <t>2. Tiền trả lại vốn góp cho các chủ sở hữu, mua lại cổ phiếu đã phát hành</t>
        </is>
      </c>
      <c r="C40" s="96" t="inlineStr">
        <is>
          <t>32</t>
        </is>
      </c>
      <c r="D40" s="139" t="n"/>
      <c r="E40" s="139" t="n"/>
      <c r="F40" s="145">
        <f>B03_TT!E29</f>
        <v/>
      </c>
      <c r="G40" s="107" t="n"/>
      <c r="H40" s="139" t="n"/>
    </row>
    <row r="41" ht="15" customHeight="1" s="78">
      <c r="A41" s="139" t="n"/>
      <c r="B41" s="97" t="inlineStr">
        <is>
          <t>3. Tiền thu từ đi vay</t>
        </is>
      </c>
      <c r="C41" s="96" t="inlineStr">
        <is>
          <t>33</t>
        </is>
      </c>
      <c r="D41" s="139" t="n"/>
      <c r="E41" s="139" t="n"/>
      <c r="F41" s="145">
        <f>B03_TT!E30</f>
        <v/>
      </c>
      <c r="G41" s="107" t="n"/>
      <c r="H41" s="139" t="n"/>
    </row>
    <row r="42" ht="15" customHeight="1" s="78">
      <c r="A42" s="139" t="n"/>
      <c r="B42" s="97" t="inlineStr">
        <is>
          <t>4. Tiền trả nợ gốc vay</t>
        </is>
      </c>
      <c r="C42" s="96" t="inlineStr">
        <is>
          <t>34</t>
        </is>
      </c>
      <c r="D42" s="139" t="n"/>
      <c r="E42" s="139" t="n"/>
      <c r="F42" s="145">
        <f>B03_TT!E31</f>
        <v/>
      </c>
      <c r="G42" s="107" t="n"/>
      <c r="H42" s="139" t="n"/>
    </row>
    <row r="43" ht="15" customHeight="1" s="78">
      <c r="A43" s="139" t="n"/>
      <c r="B43" s="97" t="inlineStr">
        <is>
          <t>5. Tiền trả nợ gốc thuê tài chính</t>
        </is>
      </c>
      <c r="C43" s="96" t="inlineStr">
        <is>
          <t>35</t>
        </is>
      </c>
      <c r="D43" s="139" t="n"/>
      <c r="E43" s="139" t="n"/>
      <c r="F43" s="145">
        <f>B03_TT!E32</f>
        <v/>
      </c>
      <c r="G43" s="107" t="n"/>
      <c r="H43" s="139" t="n"/>
    </row>
    <row r="44" ht="15" customHeight="1" s="78">
      <c r="A44" s="139" t="n"/>
      <c r="B44" s="97" t="inlineStr">
        <is>
          <t>6. Cổ tức, lợi nhuận đã trả cho chủ sở hữu</t>
        </is>
      </c>
      <c r="C44" s="96" t="inlineStr">
        <is>
          <t>36</t>
        </is>
      </c>
      <c r="D44" s="139" t="n"/>
      <c r="E44" s="139" t="n"/>
      <c r="F44" s="145">
        <f>B03_TT!E33</f>
        <v/>
      </c>
      <c r="G44" s="107" t="n"/>
      <c r="H44" s="139" t="n"/>
    </row>
    <row r="45" ht="15" customHeight="1" s="78">
      <c r="A45" s="139" t="n"/>
      <c r="B45" s="140" t="inlineStr">
        <is>
          <t>Lưu chuyển tiền thuần từ hoạt động tài chính</t>
        </is>
      </c>
      <c r="C45" s="141" t="inlineStr">
        <is>
          <t>40</t>
        </is>
      </c>
      <c r="D45" s="139" t="n"/>
      <c r="E45" s="139" t="n"/>
      <c r="F45" s="143">
        <f>F39+F40+F41+F42+F43+F44</f>
        <v/>
      </c>
      <c r="G45" s="107" t="n"/>
      <c r="H45" s="139" t="n"/>
    </row>
    <row r="46" ht="15" customHeight="1" s="78">
      <c r="A46" s="139" t="n"/>
      <c r="B46" s="140" t="inlineStr">
        <is>
          <t>Lưu chuyển tiền thuần trong kỳ (50 = 20+30+40)</t>
        </is>
      </c>
      <c r="C46" s="141" t="inlineStr">
        <is>
          <t>50</t>
        </is>
      </c>
      <c r="D46" s="139" t="n"/>
      <c r="E46" s="139" t="n"/>
      <c r="F46" s="143">
        <f>F28+F37+F45</f>
        <v/>
      </c>
      <c r="G46" s="107" t="n"/>
      <c r="H46" s="139" t="n"/>
    </row>
    <row r="47" ht="15" customHeight="1" s="78">
      <c r="A47" s="139" t="n"/>
      <c r="B47" s="97" t="inlineStr">
        <is>
          <t>Tiền và tương đương tiền đầu kỳ</t>
        </is>
      </c>
      <c r="C47" s="96" t="inlineStr">
        <is>
          <t>60</t>
        </is>
      </c>
      <c r="D47" s="139" t="n"/>
      <c r="E47" s="139" t="n"/>
      <c r="F47" s="145">
        <f>B03_TT!E36</f>
        <v/>
      </c>
      <c r="G47" s="107" t="n"/>
      <c r="H47" s="139" t="n"/>
    </row>
    <row r="48" ht="15" customHeight="1" s="78">
      <c r="A48" s="139" t="n"/>
      <c r="B48" s="97" t="inlineStr">
        <is>
          <t>Ảnh hưởng của thay đổi tỷ giá hối đoái quy đổi ngoại tệ</t>
        </is>
      </c>
      <c r="C48" s="96" t="inlineStr">
        <is>
          <t>61</t>
        </is>
      </c>
      <c r="D48" s="139" t="n"/>
      <c r="E48" s="139" t="n"/>
      <c r="F48" s="145">
        <f>B03_TT!E37</f>
        <v/>
      </c>
      <c r="G48" s="107" t="n"/>
      <c r="H48" s="139" t="n"/>
    </row>
    <row r="49" ht="15" customHeight="1" s="78">
      <c r="A49" s="139" t="n"/>
      <c r="B49" s="140" t="inlineStr">
        <is>
          <t>Tiền và tương đương tiền cuối kỳ (70 = 50+60+61)</t>
        </is>
      </c>
      <c r="C49" s="141" t="inlineStr">
        <is>
          <t>70</t>
        </is>
      </c>
      <c r="D49" s="139" t="n"/>
      <c r="E49" s="139" t="n"/>
      <c r="F49" s="143">
        <f>F46+F47+F48</f>
        <v/>
      </c>
      <c r="G49" s="107" t="n"/>
      <c r="H49" s="139" t="n"/>
    </row>
    <row r="50"/>
    <row r="51" ht="22.35" customHeight="1" s="78">
      <c r="B51" s="142" t="inlineStr">
        <is>
          <t>Phương pháp gián tiếp cần một số điều chỉnh thủ công (cột vàng). Đối chiếu: mã 20 ở đây phải bằng mã 20 của B03_TT (xem sheet KIEMTRA). Chênh lệch thường do: thuế GTGT đã trả trong dòng tiền đầu tư, thanh lý TSCĐ, các khoản phi tiền tệ khác — điều chỉnh vào mã 07/16/17.</t>
        </is>
      </c>
    </row>
    <row r="52"/>
    <row r="53"/>
    <row r="54" ht="37.3" customHeight="1" s="78">
      <c r="F54" s="119">
        <f>"Lập, ngày "&amp;DAY(DEN_NGAY)&amp;" tháng "&amp;MONTH(DEN_NGAY)&amp;" năm "&amp;YEAR(DEN_NGAY)</f>
        <v/>
      </c>
    </row>
    <row r="55" ht="25.35" customHeight="1" s="78">
      <c r="B55" s="118" t="inlineStr">
        <is>
          <t>Người lập biểu</t>
        </is>
      </c>
      <c r="D55" s="118" t="inlineStr">
        <is>
          <t>Kế toán trưởng</t>
        </is>
      </c>
      <c r="F55" s="118" t="inlineStr">
        <is>
          <t>Người đại diện theo pháp luật</t>
        </is>
      </c>
    </row>
    <row r="56" ht="15" customHeight="1" s="78">
      <c r="B56" s="117" t="inlineStr">
        <is>
          <t>(Ký, họ tên)</t>
        </is>
      </c>
      <c r="D56" s="117" t="inlineStr">
        <is>
          <t>(Ký, họ tên)</t>
        </is>
      </c>
      <c r="F56" s="117" t="inlineStr">
        <is>
          <t>(Ký, họ tên)</t>
        </is>
      </c>
    </row>
    <row r="57"/>
    <row r="58"/>
    <row r="59" ht="15" customHeight="1" s="78">
      <c r="B59" s="144">
        <f>TT_DN!$C$10</f>
        <v/>
      </c>
      <c r="D59" s="144">
        <f>TT_DN!$C$11</f>
        <v/>
      </c>
      <c r="F59" s="144">
        <f>TT_DN!$C$12</f>
        <v/>
      </c>
    </row>
  </sheetData>
  <sheetProtection selectLockedCells="0" selectUnlockedCells="0" sheet="1" objects="0" insertRows="1" insertHyperlinks="1" autoFilter="0" scenarios="0" formatColumns="0" deleteColumns="1" insertColumns="1" pivotTables="1" deleteRows="1" formatCells="0" formatRows="0" sort="0"/>
  <mergeCells count="4">
    <mergeCell ref="A4:H4"/>
    <mergeCell ref="B51:H51"/>
    <mergeCell ref="A3:H3"/>
    <mergeCell ref="A5:H5"/>
  </mergeCells>
  <printOptions horizontalCentered="0" verticalCentered="0" headings="0" gridLines="0" gridLinesSet="1"/>
  <pageMargins left="0.75" right="0.75" top="1" bottom="1" header="0.511811023622047" footer="0.5"/>
  <pageSetup orientation="portrait" paperSize="9" scale="100" fitToHeight="0" fitToWidth="1" pageOrder="downThenOver" blackAndWhite="0" draft="0" horizontalDpi="300" verticalDpi="300" copies="1"/>
  <headerFooter differentOddEven="0" differentFirst="0">
    <oddHeader/>
    <oddFooter>&amp;L&amp;8 &amp;K808080Mr Wick Kiểm toán — Phần mềm kế toán TT 99/2025&amp;R&amp;8 &amp;K808080Trang &amp;P/&amp;N</oddFooter>
    <evenHeader/>
    <evenFooter/>
    <firstHeader/>
    <firstFooter/>
  </headerFooter>
</worksheet>
</file>

<file path=xl/worksheets/sheet14.xml><?xml version="1.0" encoding="utf-8"?>
<worksheet xmlns="http://schemas.openxmlformats.org/spreadsheetml/2006/main">
  <sheetPr filterMode="0">
    <tabColor rgb="FF70AD47"/>
    <outlinePr summaryBelow="1" summaryRight="1"/>
    <pageSetUpPr fitToPage="1"/>
  </sheetPr>
  <dimension ref="A1:G199"/>
  <sheetViews>
    <sheetView showFormulas="0" showGridLines="0"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4" customWidth="1" style="77" min="1" max="1"/>
    <col width="16" customWidth="1" style="77" min="2" max="2"/>
    <col width="17" customWidth="1" style="77" min="3" max="7"/>
  </cols>
  <sheetData>
    <row r="1" ht="15" customHeight="1" s="78">
      <c r="A1" s="88">
        <f>TT_DN!$C$5</f>
        <v/>
      </c>
      <c r="F1" s="118" t="inlineStr">
        <is>
          <t>Mẫu số B09-DN</t>
        </is>
      </c>
    </row>
    <row r="2" ht="53.7" customHeight="1" s="78">
      <c r="A2" s="89">
        <f>TT_DN!$C$7</f>
        <v/>
      </c>
      <c r="F2" s="117" t="inlineStr">
        <is>
          <t>(Ban hành kèm theo Thông tư số 99/2025/TT-BTC ngày 27/10/2025 của Bộ Tài chính)</t>
        </is>
      </c>
    </row>
    <row r="3" ht="17.35" customHeight="1" s="78">
      <c r="A3" s="84" t="inlineStr">
        <is>
          <t>BẢN THUYẾT MINH BÁO CÁO TÀI CHÍNH</t>
        </is>
      </c>
    </row>
    <row r="4" ht="15" customHeight="1" s="78">
      <c r="A4" s="119">
        <f>CONCATENATE("Kỳ: từ ",TEXT(TU_NGAY,"DD/MM/YYYY")," đến ",TEXT(DEN_NGAY,"DD/MM/YYYY")," — Đơn vị tính: Đồng Việt Nam")</f>
        <v/>
      </c>
    </row>
    <row r="5" ht="15" customHeight="1" s="78">
      <c r="A5" s="91" t="inlineStr">
        <is>
          <t>Ô màu vàng: sửa nội dung cho phù hợp doanh nghiệp. Ô trắng trong bảng: số liệu tự động từ sổ kế toán.</t>
        </is>
      </c>
    </row>
    <row r="6"/>
    <row r="7" ht="15" customHeight="1" s="78">
      <c r="A7" s="82" t="inlineStr">
        <is>
          <t>I. ĐẶC ĐIỂM HOẠT ĐỘNG CỦA DOANH NGHIỆP</t>
        </is>
      </c>
    </row>
    <row r="8" ht="15" customHeight="1" s="78">
      <c r="A8" s="146" t="inlineStr">
        <is>
          <t>1. Hình thức sở hữu vốn</t>
        </is>
      </c>
      <c r="C8" s="147" t="inlineStr">
        <is>
          <t>Công ty trách nhiệm hữu hạn</t>
        </is>
      </c>
      <c r="D8" s="148" t="n"/>
      <c r="E8" s="148" t="n"/>
      <c r="F8" s="148" t="n"/>
      <c r="G8" s="148" t="n"/>
    </row>
    <row r="9" ht="15" customHeight="1" s="78">
      <c r="A9" s="146" t="inlineStr">
        <is>
          <t>2. Lĩnh vực kinh doanh</t>
        </is>
      </c>
      <c r="C9" s="147" t="inlineStr">
        <is>
          <t>Thương mại, dịch vụ</t>
        </is>
      </c>
      <c r="D9" s="148" t="n"/>
      <c r="E9" s="148" t="n"/>
      <c r="F9" s="148" t="n"/>
      <c r="G9" s="148" t="n"/>
    </row>
    <row r="10" ht="15" customHeight="1" s="78">
      <c r="A10" s="146" t="inlineStr">
        <is>
          <t>3. Ngành nghề kinh doanh</t>
        </is>
      </c>
      <c r="C10" s="147" t="inlineStr">
        <is>
          <t>Bán buôn hàng tiêu dùng; dịch vụ vận chuyển hàng hóa</t>
        </is>
      </c>
      <c r="D10" s="148" t="n"/>
      <c r="E10" s="148" t="n"/>
      <c r="F10" s="148" t="n"/>
      <c r="G10" s="148" t="n"/>
    </row>
    <row r="11" ht="15" customHeight="1" s="78">
      <c r="A11" s="146" t="inlineStr">
        <is>
          <t>4. Chu kỳ sản xuất, kinh doanh thông thường</t>
        </is>
      </c>
      <c r="C11" s="147" t="inlineStr">
        <is>
          <t>12 tháng</t>
        </is>
      </c>
      <c r="D11" s="148" t="n"/>
      <c r="E11" s="148" t="n"/>
      <c r="F11" s="148" t="n"/>
      <c r="G11" s="148" t="n"/>
    </row>
    <row r="12" ht="25.35" customHeight="1" s="78">
      <c r="A12" s="146" t="inlineStr">
        <is>
          <t>5. Đặc điểm hoạt động trong năm ảnh hưởng đến BCTC</t>
        </is>
      </c>
      <c r="C12" s="147" t="inlineStr">
        <is>
          <t>Không có biến động bất thường</t>
        </is>
      </c>
      <c r="D12" s="148" t="n"/>
      <c r="E12" s="148" t="n"/>
      <c r="F12" s="148" t="n"/>
      <c r="G12" s="148" t="n"/>
    </row>
    <row r="13" ht="15" customHeight="1" s="78">
      <c r="A13" s="146" t="inlineStr">
        <is>
          <t>6. Cấu trúc doanh nghiệp</t>
        </is>
      </c>
      <c r="C13" s="147" t="inlineStr">
        <is>
          <t>Không có công ty con, chi nhánh, đơn vị trực thuộc</t>
        </is>
      </c>
      <c r="D13" s="148" t="n"/>
      <c r="E13" s="148" t="n"/>
      <c r="F13" s="148" t="n"/>
      <c r="G13" s="148" t="n"/>
    </row>
    <row r="14" ht="15" customHeight="1" s="78">
      <c r="A14" s="146" t="inlineStr">
        <is>
          <t>7. Số lượng người lao động cuối kỳ</t>
        </is>
      </c>
      <c r="C14" s="147" t="inlineStr">
        <is>
          <t>… người</t>
        </is>
      </c>
      <c r="D14" s="148" t="n"/>
      <c r="E14" s="148" t="n"/>
      <c r="F14" s="148" t="n"/>
      <c r="G14" s="148" t="n"/>
    </row>
    <row r="15" ht="25.35" customHeight="1" s="78">
      <c r="A15" s="146" t="inlineStr">
        <is>
          <t>8. Tuyên bố về khả năng so sánh thông tin trên BCTC</t>
        </is>
      </c>
      <c r="C15" s="147" t="inlineStr">
        <is>
          <t>Năm 2026 là năm đầu áp dụng Thông tư 99/2025/TT-BTC; số liệu so sánh năm trước được trình bày lại theo mẫu biểu mới</t>
        </is>
      </c>
      <c r="D15" s="148" t="n"/>
      <c r="E15" s="148" t="n"/>
      <c r="F15" s="148" t="n"/>
      <c r="G15" s="148" t="n"/>
    </row>
    <row r="16" ht="15" customHeight="1" s="78">
      <c r="A16" s="146" t="inlineStr">
        <is>
          <t>9. Thuyết minh thông tin khác</t>
        </is>
      </c>
      <c r="C16" s="147" t="inlineStr">
        <is>
          <t>Không</t>
        </is>
      </c>
      <c r="D16" s="148" t="n"/>
      <c r="E16" s="148" t="n"/>
      <c r="F16" s="148" t="n"/>
      <c r="G16" s="148" t="n"/>
    </row>
    <row r="17" ht="15" customHeight="1" s="78">
      <c r="A17" s="82" t="inlineStr">
        <is>
          <t>II. KỲ KẾ TOÁN, ĐƠN VỊ TIỀN TỆ SỬ DỤNG TRONG KẾ TOÁN</t>
        </is>
      </c>
    </row>
    <row r="18" ht="15" customHeight="1" s="78">
      <c r="A18" s="146" t="inlineStr">
        <is>
          <t>1. Kỳ kế toán năm</t>
        </is>
      </c>
      <c r="C18" s="83">
        <f>CONCATENATE("Từ ngày ",TEXT(TU_NGAY,"DD/MM/YYYY")," đến ngày ",TEXT(DEN_NGAY,"DD/MM/YYYY"))</f>
        <v/>
      </c>
    </row>
    <row r="19" ht="15" customHeight="1" s="78">
      <c r="A19" s="146" t="inlineStr">
        <is>
          <t>2. Đơn vị tiền tệ sử dụng trong kế toán</t>
        </is>
      </c>
      <c r="C19" s="147" t="inlineStr">
        <is>
          <t>Đồng Việt Nam (VND)</t>
        </is>
      </c>
      <c r="D19" s="148" t="n"/>
      <c r="E19" s="148" t="n"/>
      <c r="F19" s="148" t="n"/>
      <c r="G19" s="148" t="n"/>
    </row>
    <row r="20" ht="15" customHeight="1" s="78">
      <c r="A20" s="82" t="inlineStr">
        <is>
          <t>III. CHUẨN MỰC VÀ CHẾ ĐỘ KẾ TOÁN ÁP DỤNG</t>
        </is>
      </c>
    </row>
    <row r="21" ht="25.35" customHeight="1" s="78">
      <c r="A21" s="146" t="inlineStr">
        <is>
          <t>1. Chế độ kế toán áp dụng</t>
        </is>
      </c>
      <c r="C21" s="147" t="inlineStr">
        <is>
          <t>Chế độ kế toán doanh nghiệp ban hành theo Thông tư số 99/2025/TT-BTC ngày 27/10/2025 của Bộ Tài chính</t>
        </is>
      </c>
      <c r="D21" s="148" t="n"/>
      <c r="E21" s="148" t="n"/>
      <c r="F21" s="148" t="n"/>
      <c r="G21" s="148" t="n"/>
    </row>
    <row r="22" ht="25.35" customHeight="1" s="78">
      <c r="A22" s="146" t="inlineStr">
        <is>
          <t>2. Tuyên bố về việc tuân thủ Chuẩn mực kế toán và Chế độ kế toán</t>
        </is>
      </c>
      <c r="C22" s="147" t="inlineStr">
        <is>
          <t>Báo cáo tài chính được lập và trình bày phù hợp với các Chuẩn mực kế toán Việt Nam và Chế độ kế toán doanh nghiệp hiện hành</t>
        </is>
      </c>
      <c r="D22" s="148" t="n"/>
      <c r="E22" s="148" t="n"/>
      <c r="F22" s="148" t="n"/>
      <c r="G22" s="148" t="n"/>
    </row>
    <row r="23" ht="15" customHeight="1" s="78">
      <c r="A23" s="82" t="inlineStr">
        <is>
          <t>IV. CÁC CHÍNH SÁCH KẾ TOÁN ÁP DỤNG</t>
        </is>
      </c>
    </row>
    <row r="24" ht="25.35" customHeight="1" s="78">
      <c r="A24" s="146" t="inlineStr">
        <is>
          <t>1. Nguyên tắc ghi nhận tiền và các khoản tương đương tiền</t>
        </is>
      </c>
      <c r="C24" s="147" t="inlineStr">
        <is>
          <t>Tiền gồm tiền mặt, tiền gửi ngân hàng không kỳ hạn. Tương đương tiền là các khoản đầu tư có thời hạn thu hồi không quá 3 tháng, thanh khoản cao</t>
        </is>
      </c>
      <c r="D24" s="148" t="n"/>
      <c r="E24" s="148" t="n"/>
      <c r="F24" s="148" t="n"/>
      <c r="G24" s="148" t="n"/>
    </row>
    <row r="25" ht="15" customHeight="1" s="78">
      <c r="A25" s="146" t="inlineStr">
        <is>
          <t>2. Nguyên tắc ghi nhận các khoản phải thu</t>
        </is>
      </c>
      <c r="C25" s="147" t="inlineStr">
        <is>
          <t>Theo giá gốc trừ dự phòng phải thu khó đòi; phân loại ngắn hạn/dài hạn theo kỳ hạn còn lại</t>
        </is>
      </c>
      <c r="D25" s="148" t="n"/>
      <c r="E25" s="148" t="n"/>
      <c r="F25" s="148" t="n"/>
      <c r="G25" s="148" t="n"/>
    </row>
    <row r="26" ht="25.35" customHeight="1" s="78">
      <c r="A26" s="146" t="inlineStr">
        <is>
          <t>3. Nguyên tắc ghi nhận hàng tồn kho</t>
        </is>
      </c>
      <c r="C26" s="147" t="inlineStr">
        <is>
          <t>Ghi nhận theo giá gốc; tính giá xuất kho theo phương pháp bình quân gia quyền; hạch toán theo phương pháp kê khai thường xuyên</t>
        </is>
      </c>
      <c r="D26" s="148" t="n"/>
      <c r="E26" s="148" t="n"/>
      <c r="F26" s="148" t="n"/>
      <c r="G26" s="148" t="n"/>
    </row>
    <row r="27" ht="25.35" customHeight="1" s="78">
      <c r="A27" s="146" t="inlineStr">
        <is>
          <t>4. Nguyên tắc ghi nhận và khấu hao TSCĐ</t>
        </is>
      </c>
      <c r="C27" s="147" t="inlineStr">
        <is>
          <t>TSCĐ ghi nhận theo nguyên giá; khấu hao theo phương pháp đường thẳng theo thời gian sử dụng hữu ích ước tính</t>
        </is>
      </c>
      <c r="D27" s="148" t="n"/>
      <c r="E27" s="148" t="n"/>
      <c r="F27" s="148" t="n"/>
      <c r="G27" s="148" t="n"/>
    </row>
    <row r="28" ht="15" customHeight="1" s="78">
      <c r="A28" s="146" t="inlineStr">
        <is>
          <t>5. Nguyên tắc ghi nhận chi phí chờ phân bổ</t>
        </is>
      </c>
      <c r="C28" s="147" t="inlineStr">
        <is>
          <t>Phân bổ dần vào chi phí SXKD theo phương pháp đường thẳng phù hợp với thời gian hưởng lợi</t>
        </is>
      </c>
      <c r="D28" s="148" t="n"/>
      <c r="E28" s="148" t="n"/>
      <c r="F28" s="148" t="n"/>
      <c r="G28" s="148" t="n"/>
    </row>
    <row r="29" ht="15" customHeight="1" s="78">
      <c r="A29" s="146" t="inlineStr">
        <is>
          <t>6. Nguyên tắc ghi nhận nợ phải trả</t>
        </is>
      </c>
      <c r="C29" s="147" t="inlineStr">
        <is>
          <t>Theo giá gốc; phân loại ngắn hạn/dài hạn theo kỳ hạn còn lại</t>
        </is>
      </c>
      <c r="D29" s="148" t="n"/>
      <c r="E29" s="148" t="n"/>
      <c r="F29" s="148" t="n"/>
      <c r="G29" s="148" t="n"/>
    </row>
    <row r="30" ht="25.35" customHeight="1" s="78">
      <c r="A30" s="146" t="inlineStr">
        <is>
          <t>7. Nguyên tắc ghi nhận vốn chủ sở hữu</t>
        </is>
      </c>
      <c r="C30" s="147" t="inlineStr">
        <is>
          <t>Vốn góp ghi theo số thực góp; LNST chưa phân phối là kết quả kinh doanh sau thuế trừ các khoản đã phân phối</t>
        </is>
      </c>
      <c r="D30" s="148" t="n"/>
      <c r="E30" s="148" t="n"/>
      <c r="F30" s="148" t="n"/>
      <c r="G30" s="148" t="n"/>
    </row>
    <row r="31" ht="25.35" customHeight="1" s="78">
      <c r="A31" s="146" t="inlineStr">
        <is>
          <t>8. Nguyên tắc ghi nhận doanh thu</t>
        </is>
      </c>
      <c r="C31" s="147" t="inlineStr">
        <is>
          <t>Doanh thu bán hàng ghi nhận khi chuyển giao phần lớn rủi ro và lợi ích gắn với quyền sở hữu; doanh thu dịch vụ ghi nhận theo phần công việc đã hoàn thành</t>
        </is>
      </c>
      <c r="D31" s="148" t="n"/>
      <c r="E31" s="148" t="n"/>
      <c r="F31" s="148" t="n"/>
      <c r="G31" s="148" t="n"/>
    </row>
    <row r="32" ht="15" customHeight="1" s="78">
      <c r="A32" s="146" t="inlineStr">
        <is>
          <t>9. Nguyên tắc ghi nhận chi phí thuế TNDN</t>
        </is>
      </c>
      <c r="C32" s="147" t="inlineStr">
        <is>
          <t>Thuế TNDN hiện hành xác định theo thu nhập chịu thuế và thuế suất hiện hành</t>
        </is>
      </c>
      <c r="D32" s="148" t="n"/>
      <c r="E32" s="148" t="n"/>
      <c r="F32" s="148" t="n"/>
      <c r="G32" s="148" t="n"/>
    </row>
    <row r="33" ht="15" customHeight="1" s="78">
      <c r="A33" s="146" t="inlineStr">
        <is>
          <t>10. Các nguyên tắc, chính sách khác</t>
        </is>
      </c>
      <c r="C33" s="147" t="inlineStr">
        <is>
          <t>Không có</t>
        </is>
      </c>
      <c r="D33" s="148" t="n"/>
      <c r="E33" s="148" t="n"/>
      <c r="F33" s="148" t="n"/>
      <c r="G33" s="148" t="n"/>
    </row>
    <row r="34" ht="15" customHeight="1" s="78">
      <c r="A34" s="82" t="inlineStr">
        <is>
          <t>V. THÔNG TIN BỔ SUNG CHO CÁC KHOẢN MỤC TRÌNH BÀY TRONG BÁO CÁO TÌNH HÌNH TÀI CHÍNH</t>
        </is>
      </c>
    </row>
    <row r="35"/>
    <row r="36" ht="15" customHeight="1" s="78">
      <c r="A36" s="146" t="inlineStr">
        <is>
          <t>V.1. Tiền và các khoản tương đương tiền</t>
        </is>
      </c>
      <c r="C36" s="83" t="n"/>
    </row>
    <row r="37" ht="15" customHeight="1" s="78">
      <c r="A37" s="92" t="inlineStr">
        <is>
          <t>Chỉ tiêu</t>
        </is>
      </c>
      <c r="C37" s="92" t="inlineStr">
        <is>
          <t>Cuối kỳ</t>
        </is>
      </c>
      <c r="D37" s="92" t="inlineStr">
        <is>
          <t>Đầu năm</t>
        </is>
      </c>
    </row>
    <row r="38" ht="15" customHeight="1" s="78">
      <c r="A38" s="97" t="inlineStr">
        <is>
          <t xml:space="preserve">    Tiền mặt</t>
        </is>
      </c>
      <c r="B38" s="120" t="n"/>
      <c r="C38" s="125">
        <f>CDPS!$H$8</f>
        <v/>
      </c>
      <c r="D38" s="125">
        <f>CDPS!$D$8</f>
        <v/>
      </c>
      <c r="E38" s="125" t="n"/>
      <c r="F38" s="125" t="n"/>
      <c r="G38" s="125" t="n"/>
    </row>
    <row r="39" ht="15" customHeight="1" s="78">
      <c r="A39" s="97" t="inlineStr">
        <is>
          <t xml:space="preserve">    Tiền gửi không kỳ hạn</t>
        </is>
      </c>
      <c r="B39" s="120" t="n"/>
      <c r="C39" s="125">
        <f>CDPS!$H$9</f>
        <v/>
      </c>
      <c r="D39" s="125">
        <f>CDPS!$D$9</f>
        <v/>
      </c>
      <c r="E39" s="125" t="n"/>
      <c r="F39" s="125" t="n"/>
      <c r="G39" s="125" t="n"/>
    </row>
    <row r="40" ht="15" customHeight="1" s="78">
      <c r="A40" s="97" t="inlineStr">
        <is>
          <t xml:space="preserve">    Tiền đang chuyển</t>
        </is>
      </c>
      <c r="B40" s="120" t="n"/>
      <c r="C40" s="125">
        <f>CDPS!$H$10</f>
        <v/>
      </c>
      <c r="D40" s="125">
        <f>CDPS!$D$10</f>
        <v/>
      </c>
      <c r="E40" s="125" t="n"/>
      <c r="F40" s="125" t="n"/>
      <c r="G40" s="125" t="n"/>
    </row>
    <row r="41" ht="15" customHeight="1" s="78">
      <c r="A41" s="97" t="inlineStr">
        <is>
          <t xml:space="preserve">    Các khoản tương đương tiền</t>
        </is>
      </c>
      <c r="B41" s="120" t="n"/>
      <c r="C41" s="125">
        <f>B01!E12</f>
        <v/>
      </c>
      <c r="D41" s="125">
        <f>B01!F12</f>
        <v/>
      </c>
      <c r="E41" s="125" t="n"/>
      <c r="F41" s="125" t="n"/>
      <c r="G41" s="125" t="n"/>
    </row>
    <row r="42" ht="15" customHeight="1" s="78">
      <c r="A42" s="127" t="inlineStr">
        <is>
          <t xml:space="preserve">    Cộng</t>
        </is>
      </c>
      <c r="B42" s="120" t="n"/>
      <c r="C42" s="143">
        <f>SUM(C38:C41)</f>
        <v/>
      </c>
      <c r="D42" s="143">
        <f>SUM(D38:D41)</f>
        <v/>
      </c>
      <c r="E42" s="149" t="n"/>
      <c r="F42" s="149" t="n"/>
      <c r="G42" s="149" t="n"/>
    </row>
    <row r="43" ht="15" customHeight="1" s="78">
      <c r="A43" s="147" t="inlineStr">
        <is>
          <t>Trong đó: tiền gửi tại ngân hàng chiếm từ 10% tổng số dư trở lên: … (nêu tên ngân hàng, số dư); các khoản tiền bị hạn chế sử dụng: không có</t>
        </is>
      </c>
      <c r="B43" s="148" t="n"/>
      <c r="C43" s="148" t="n"/>
      <c r="D43" s="148" t="n"/>
      <c r="E43" s="148" t="n"/>
      <c r="F43" s="148" t="n"/>
      <c r="G43" s="148" t="n"/>
    </row>
    <row r="44"/>
    <row r="45" ht="15" customHeight="1" s="78">
      <c r="A45" s="146" t="inlineStr">
        <is>
          <t>V.2. Các khoản đầu tư tài chính</t>
        </is>
      </c>
      <c r="C45" s="83" t="n"/>
    </row>
    <row r="46" ht="15" customHeight="1" s="78">
      <c r="A46" s="92" t="inlineStr">
        <is>
          <t>Chỉ tiêu</t>
        </is>
      </c>
      <c r="C46" s="92" t="inlineStr">
        <is>
          <t>Cuối kỳ</t>
        </is>
      </c>
      <c r="D46" s="92" t="inlineStr">
        <is>
          <t>Đầu năm</t>
        </is>
      </c>
    </row>
    <row r="47" ht="15" customHeight="1" s="78">
      <c r="A47" s="97" t="inlineStr">
        <is>
          <t xml:space="preserve">    Chứng khoán kinh doanh (TK 121)</t>
        </is>
      </c>
      <c r="B47" s="120" t="n"/>
      <c r="C47" s="125">
        <f>CDPS!$H$11</f>
        <v/>
      </c>
      <c r="D47" s="125">
        <f>CDPS!$D$11</f>
        <v/>
      </c>
      <c r="E47" s="125" t="n"/>
      <c r="F47" s="125" t="n"/>
      <c r="G47" s="125" t="n"/>
    </row>
    <row r="48" ht="15" customHeight="1" s="78">
      <c r="A48" s="97" t="inlineStr">
        <is>
          <t xml:space="preserve">    Đầu tư nắm giữ đến ngày đáo hạn (TK 128)</t>
        </is>
      </c>
      <c r="B48" s="120" t="n"/>
      <c r="C48" s="125">
        <f>CDPS!$H$12</f>
        <v/>
      </c>
      <c r="D48" s="125">
        <f>CDPS!$D$12</f>
        <v/>
      </c>
      <c r="E48" s="125" t="n"/>
      <c r="F48" s="125" t="n"/>
      <c r="G48" s="125" t="n"/>
    </row>
    <row r="49" ht="15" customHeight="1" s="78">
      <c r="A49" s="97" t="inlineStr">
        <is>
          <t xml:space="preserve">    Đầu tư góp vốn vào đơn vị khác (TK 221, 222, 228)</t>
        </is>
      </c>
      <c r="B49" s="120" t="n"/>
      <c r="C49" s="125">
        <f>CDPS!$H$57+CDPS!$H$58+CDPS!$H$59</f>
        <v/>
      </c>
      <c r="D49" s="125">
        <f>CDPS!$D$57+CDPS!$D$58+CDPS!$D$59</f>
        <v/>
      </c>
      <c r="E49" s="125" t="n"/>
      <c r="F49" s="125" t="n"/>
      <c r="G49" s="125" t="n"/>
    </row>
    <row r="50" ht="15" customHeight="1" s="78">
      <c r="A50" s="97" t="inlineStr">
        <is>
          <t xml:space="preserve">    Dự phòng tổn thất tài sản (TK 229) (*)</t>
        </is>
      </c>
      <c r="B50" s="120" t="n"/>
      <c r="C50" s="125">
        <f>-CDPS!$I$62</f>
        <v/>
      </c>
      <c r="D50" s="125">
        <f>-CDPS!$E$62</f>
        <v/>
      </c>
      <c r="E50" s="125" t="n"/>
      <c r="F50" s="125" t="n"/>
      <c r="G50" s="125" t="n"/>
    </row>
    <row r="51"/>
    <row r="52" ht="25.35" customHeight="1" s="78">
      <c r="A52" s="146" t="inlineStr">
        <is>
          <t>V.3. Phải thu của khách hàng &amp; trả trước cho người bán</t>
        </is>
      </c>
      <c r="C52" s="83" t="n"/>
    </row>
    <row r="53" ht="15" customHeight="1" s="78">
      <c r="A53" s="92" t="inlineStr">
        <is>
          <t>Chỉ tiêu</t>
        </is>
      </c>
      <c r="C53" s="92" t="inlineStr">
        <is>
          <t>Cuối kỳ</t>
        </is>
      </c>
      <c r="D53" s="92" t="inlineStr">
        <is>
          <t>Đầu năm</t>
        </is>
      </c>
    </row>
    <row r="54" ht="15" customHeight="1" s="78">
      <c r="A54" s="127" t="inlineStr">
        <is>
          <t xml:space="preserve">    a) Phải thu của khách hàng (dư Nợ TK 131)</t>
        </is>
      </c>
      <c r="B54" s="120" t="n"/>
      <c r="C54" s="143">
        <f>CONGNO!$G$308</f>
        <v/>
      </c>
      <c r="D54" s="143">
        <f>CONGNO!$C$308</f>
        <v/>
      </c>
      <c r="E54" s="149" t="n"/>
      <c r="F54" s="149" t="n"/>
      <c r="G54" s="149" t="n"/>
    </row>
    <row r="55" ht="15" customHeight="1" s="78">
      <c r="A55" s="97" t="inlineStr">
        <is>
          <t xml:space="preserve">        =IF(CONGNO!$A8="","- …","- "&amp;CONGNO!$B8)</t>
        </is>
      </c>
      <c r="B55" s="120" t="n"/>
      <c r="C55" s="125">
        <f>IF(CONGNO!$A8="","",CONGNO!$G8)</f>
        <v/>
      </c>
      <c r="D55" s="125">
        <f>IF(CONGNO!$A8="","",CONGNO!$C8)</f>
        <v/>
      </c>
      <c r="E55" s="125" t="n"/>
      <c r="F55" s="125" t="n"/>
      <c r="G55" s="125" t="n"/>
    </row>
    <row r="56" ht="15" customHeight="1" s="78">
      <c r="A56" s="97" t="inlineStr">
        <is>
          <t xml:space="preserve">        =IF(CONGNO!$A9="","- …","- "&amp;CONGNO!$B9)</t>
        </is>
      </c>
      <c r="B56" s="120" t="n"/>
      <c r="C56" s="125">
        <f>IF(CONGNO!$A9="","",CONGNO!$G9)</f>
        <v/>
      </c>
      <c r="D56" s="125">
        <f>IF(CONGNO!$A9="","",CONGNO!$C9)</f>
        <v/>
      </c>
      <c r="E56" s="125" t="n"/>
      <c r="F56" s="125" t="n"/>
      <c r="G56" s="125" t="n"/>
    </row>
    <row r="57" ht="25.35" customHeight="1" s="78">
      <c r="A57" s="97" t="inlineStr">
        <is>
          <t xml:space="preserve">        =IF(CONGNO!$A10="","- …","- "&amp;CONGNO!$B10)</t>
        </is>
      </c>
      <c r="B57" s="120" t="n"/>
      <c r="C57" s="125">
        <f>IF(CONGNO!$A10="","",CONGNO!$G10)</f>
        <v/>
      </c>
      <c r="D57" s="125">
        <f>IF(CONGNO!$A10="","",CONGNO!$C10)</f>
        <v/>
      </c>
      <c r="E57" s="125" t="n"/>
      <c r="F57" s="125" t="n"/>
      <c r="G57" s="125" t="n"/>
    </row>
    <row r="58" ht="25.35" customHeight="1" s="78">
      <c r="A58" s="97" t="inlineStr">
        <is>
          <t xml:space="preserve">        =IF(CONGNO!$A11="","- …","- "&amp;CONGNO!$B11)</t>
        </is>
      </c>
      <c r="B58" s="120" t="n"/>
      <c r="C58" s="125">
        <f>IF(CONGNO!$A11="","",CONGNO!$G11)</f>
        <v/>
      </c>
      <c r="D58" s="125">
        <f>IF(CONGNO!$A11="","",CONGNO!$C11)</f>
        <v/>
      </c>
      <c r="E58" s="125" t="n"/>
      <c r="F58" s="125" t="n"/>
      <c r="G58" s="125" t="n"/>
    </row>
    <row r="59" ht="25.35" customHeight="1" s="78">
      <c r="A59" s="97" t="inlineStr">
        <is>
          <t xml:space="preserve">        =IF(CONGNO!$A12="","- …","- "&amp;CONGNO!$B12)</t>
        </is>
      </c>
      <c r="B59" s="120" t="n"/>
      <c r="C59" s="125">
        <f>IF(CONGNO!$A12="","",CONGNO!$G12)</f>
        <v/>
      </c>
      <c r="D59" s="125">
        <f>IF(CONGNO!$A12="","",CONGNO!$C12)</f>
        <v/>
      </c>
      <c r="E59" s="125" t="n"/>
      <c r="F59" s="125" t="n"/>
      <c r="G59" s="125" t="n"/>
    </row>
    <row r="60" ht="15" customHeight="1" s="78">
      <c r="A60" s="97" t="inlineStr">
        <is>
          <t xml:space="preserve">        - Các đối tượng khác</t>
        </is>
      </c>
      <c r="B60" s="120" t="n"/>
      <c r="C60" s="125">
        <f>CONGNO!$G$308-SUM(C55:C59)</f>
        <v/>
      </c>
      <c r="D60" s="125">
        <f>CONGNO!$C$308-SUM(D55:D59)</f>
        <v/>
      </c>
      <c r="E60" s="125" t="n"/>
      <c r="F60" s="125" t="n"/>
      <c r="G60" s="125" t="n"/>
    </row>
    <row r="61" ht="15" customHeight="1" s="78">
      <c r="A61" s="127" t="inlineStr">
        <is>
          <t xml:space="preserve">    b) Trả trước cho người bán (dư Nợ TK 331)</t>
        </is>
      </c>
      <c r="B61" s="120" t="n"/>
      <c r="C61" s="143">
        <f>CONGNO!$G$613</f>
        <v/>
      </c>
      <c r="D61" s="143">
        <f>CONGNO!$C$613</f>
        <v/>
      </c>
      <c r="E61" s="149" t="n"/>
      <c r="F61" s="149" t="n"/>
      <c r="G61" s="149" t="n"/>
    </row>
    <row r="62"/>
    <row r="63" ht="15" customHeight="1" s="78">
      <c r="A63" s="146" t="inlineStr">
        <is>
          <t>V.4. Hàng tồn kho</t>
        </is>
      </c>
      <c r="C63" s="83" t="n"/>
    </row>
    <row r="64" ht="15" customHeight="1" s="78">
      <c r="A64" s="92" t="inlineStr">
        <is>
          <t>Chỉ tiêu</t>
        </is>
      </c>
      <c r="C64" s="92" t="inlineStr">
        <is>
          <t>Cuối kỳ</t>
        </is>
      </c>
      <c r="D64" s="92" t="inlineStr">
        <is>
          <t>Đầu năm</t>
        </is>
      </c>
    </row>
    <row r="65" ht="15" customHeight="1" s="78">
      <c r="A65" s="97" t="inlineStr">
        <is>
          <t xml:space="preserve">    Hàng mua đang đi đường</t>
        </is>
      </c>
      <c r="B65" s="120" t="n"/>
      <c r="C65" s="125">
        <f>CDPS!$H$31</f>
        <v/>
      </c>
      <c r="D65" s="125">
        <f>CDPS!$D$31</f>
        <v/>
      </c>
      <c r="E65" s="125" t="n"/>
      <c r="F65" s="125" t="n"/>
      <c r="G65" s="125" t="n"/>
    </row>
    <row r="66" ht="15" customHeight="1" s="78">
      <c r="A66" s="97" t="inlineStr">
        <is>
          <t xml:space="preserve">    Nguyên liệu, vật liệu</t>
        </is>
      </c>
      <c r="B66" s="120" t="n"/>
      <c r="C66" s="125">
        <f>CDPS!$H$32</f>
        <v/>
      </c>
      <c r="D66" s="125">
        <f>CDPS!$D$32</f>
        <v/>
      </c>
      <c r="E66" s="125" t="n"/>
      <c r="F66" s="125" t="n"/>
      <c r="G66" s="125" t="n"/>
    </row>
    <row r="67" ht="15" customHeight="1" s="78">
      <c r="A67" s="97" t="inlineStr">
        <is>
          <t xml:space="preserve">    Công cụ, dụng cụ</t>
        </is>
      </c>
      <c r="B67" s="120" t="n"/>
      <c r="C67" s="125">
        <f>CDPS!$H$33</f>
        <v/>
      </c>
      <c r="D67" s="125">
        <f>CDPS!$D$33</f>
        <v/>
      </c>
      <c r="E67" s="125" t="n"/>
      <c r="F67" s="125" t="n"/>
      <c r="G67" s="125" t="n"/>
    </row>
    <row r="68" ht="15" customHeight="1" s="78">
      <c r="A68" s="97" t="inlineStr">
        <is>
          <t xml:space="preserve">    Chi phí SXKD dở dang</t>
        </is>
      </c>
      <c r="B68" s="120" t="n"/>
      <c r="C68" s="125">
        <f>CDPS!$H$34</f>
        <v/>
      </c>
      <c r="D68" s="125">
        <f>CDPS!$D$34</f>
        <v/>
      </c>
      <c r="E68" s="125" t="n"/>
      <c r="F68" s="125" t="n"/>
      <c r="G68" s="125" t="n"/>
    </row>
    <row r="69" ht="15" customHeight="1" s="78">
      <c r="A69" s="97" t="inlineStr">
        <is>
          <t xml:space="preserve">    Sản phẩm</t>
        </is>
      </c>
      <c r="B69" s="120" t="n"/>
      <c r="C69" s="125">
        <f>CDPS!$H$35</f>
        <v/>
      </c>
      <c r="D69" s="125">
        <f>CDPS!$D$35</f>
        <v/>
      </c>
      <c r="E69" s="125" t="n"/>
      <c r="F69" s="125" t="n"/>
      <c r="G69" s="125" t="n"/>
    </row>
    <row r="70" ht="15" customHeight="1" s="78">
      <c r="A70" s="97" t="inlineStr">
        <is>
          <t xml:space="preserve">    Hàng hóa</t>
        </is>
      </c>
      <c r="B70" s="120" t="n"/>
      <c r="C70" s="125">
        <f>CDPS!$H$36</f>
        <v/>
      </c>
      <c r="D70" s="125">
        <f>CDPS!$D$36</f>
        <v/>
      </c>
      <c r="E70" s="125" t="n"/>
      <c r="F70" s="125" t="n"/>
      <c r="G70" s="125" t="n"/>
    </row>
    <row r="71" ht="15" customHeight="1" s="78">
      <c r="A71" s="97" t="inlineStr">
        <is>
          <t xml:space="preserve">    Hàng gửi đi bán</t>
        </is>
      </c>
      <c r="B71" s="120" t="n"/>
      <c r="C71" s="125">
        <f>CDPS!$H$37</f>
        <v/>
      </c>
      <c r="D71" s="125">
        <f>CDPS!$D$37</f>
        <v/>
      </c>
      <c r="E71" s="125" t="n"/>
      <c r="F71" s="125" t="n"/>
      <c r="G71" s="125" t="n"/>
    </row>
    <row r="72" ht="15" customHeight="1" s="78">
      <c r="A72" s="97" t="inlineStr">
        <is>
          <t xml:space="preserve">    NL, vật tư tại kho bảo thuế</t>
        </is>
      </c>
      <c r="B72" s="120" t="n"/>
      <c r="C72" s="125">
        <f>CDPS!$H$38</f>
        <v/>
      </c>
      <c r="D72" s="125">
        <f>CDPS!$D$38</f>
        <v/>
      </c>
      <c r="E72" s="125" t="n"/>
      <c r="F72" s="125" t="n"/>
      <c r="G72" s="125" t="n"/>
    </row>
    <row r="73" ht="15" customHeight="1" s="78">
      <c r="A73" s="127" t="inlineStr">
        <is>
          <t xml:space="preserve">    Cộng giá gốc hàng tồn kho</t>
        </is>
      </c>
      <c r="B73" s="120" t="n"/>
      <c r="C73" s="143">
        <f>SUM(C65:C72)</f>
        <v/>
      </c>
      <c r="D73" s="143">
        <f>SUM(D65:D72)</f>
        <v/>
      </c>
      <c r="E73" s="149" t="n"/>
      <c r="F73" s="149" t="n"/>
      <c r="G73" s="149" t="n"/>
    </row>
    <row r="74" ht="15" customHeight="1" s="78">
      <c r="A74" s="97" t="inlineStr">
        <is>
          <t xml:space="preserve">    Dự phòng giảm giá hàng tồn kho (TK 2294) (*)</t>
        </is>
      </c>
      <c r="B74" s="120" t="n"/>
      <c r="C74" s="125">
        <f>-CDPS!$I$66</f>
        <v/>
      </c>
      <c r="D74" s="125">
        <f>-CDPS!$E$66</f>
        <v/>
      </c>
      <c r="E74" s="125" t="n"/>
      <c r="F74" s="125" t="n"/>
      <c r="G74" s="125" t="n"/>
    </row>
    <row r="75"/>
    <row r="76" ht="15" customHeight="1" s="78">
      <c r="A76" s="146" t="inlineStr">
        <is>
          <t>V.5. Tăng, giảm tài sản cố định</t>
        </is>
      </c>
      <c r="C76" s="83" t="n"/>
    </row>
    <row r="77" ht="15" customHeight="1" s="78">
      <c r="A77" s="92" t="inlineStr">
        <is>
          <t>Chỉ tiêu</t>
        </is>
      </c>
      <c r="C77" s="92" t="inlineStr">
        <is>
          <t>TSCĐ hữu hình</t>
        </is>
      </c>
      <c r="D77" s="92" t="inlineStr">
        <is>
          <t>TSCĐ thuê TC</t>
        </is>
      </c>
      <c r="E77" s="92" t="inlineStr">
        <is>
          <t>TSCĐ vô hình</t>
        </is>
      </c>
      <c r="F77" s="92" t="inlineStr">
        <is>
          <t>Cộng</t>
        </is>
      </c>
    </row>
    <row r="78" ht="15" customHeight="1" s="78">
      <c r="A78" s="127" t="inlineStr">
        <is>
          <t xml:space="preserve">    Nguyên giá đầu năm</t>
        </is>
      </c>
      <c r="B78" s="120" t="n"/>
      <c r="C78" s="143">
        <f>CDPS!$D$40</f>
        <v/>
      </c>
      <c r="D78" s="143">
        <f>CDPS!$D$41</f>
        <v/>
      </c>
      <c r="E78" s="143">
        <f>CDPS!$D$42</f>
        <v/>
      </c>
      <c r="F78" s="143">
        <f>CDPS!$D$40+CDPS!$D$41+CDPS!$D$42</f>
        <v/>
      </c>
      <c r="G78" s="149" t="n"/>
    </row>
    <row r="79" ht="15" customHeight="1" s="78">
      <c r="A79" s="97" t="inlineStr">
        <is>
          <t xml:space="preserve">    - Tăng trong kỳ</t>
        </is>
      </c>
      <c r="B79" s="120" t="n"/>
      <c r="C79" s="125">
        <f>CDPS!$F$40</f>
        <v/>
      </c>
      <c r="D79" s="125">
        <f>CDPS!$F$41</f>
        <v/>
      </c>
      <c r="E79" s="125">
        <f>CDPS!$F$42</f>
        <v/>
      </c>
      <c r="F79" s="125">
        <f>CDPS!$F$40+CDPS!$F$41+CDPS!$F$42</f>
        <v/>
      </c>
      <c r="G79" s="125" t="n"/>
    </row>
    <row r="80" ht="15" customHeight="1" s="78">
      <c r="A80" s="97" t="inlineStr">
        <is>
          <t xml:space="preserve">    - Giảm trong kỳ</t>
        </is>
      </c>
      <c r="B80" s="120" t="n"/>
      <c r="C80" s="125">
        <f>CDPS!$G$40</f>
        <v/>
      </c>
      <c r="D80" s="125">
        <f>CDPS!$G$41</f>
        <v/>
      </c>
      <c r="E80" s="125">
        <f>CDPS!$G$42</f>
        <v/>
      </c>
      <c r="F80" s="125">
        <f>CDPS!$G$40+CDPS!$G$41+CDPS!$G$42</f>
        <v/>
      </c>
      <c r="G80" s="125" t="n"/>
    </row>
    <row r="81" ht="15" customHeight="1" s="78">
      <c r="A81" s="127" t="inlineStr">
        <is>
          <t xml:space="preserve">    Nguyên giá cuối kỳ</t>
        </is>
      </c>
      <c r="B81" s="120" t="n"/>
      <c r="C81" s="143">
        <f>CDPS!$H$40</f>
        <v/>
      </c>
      <c r="D81" s="143">
        <f>CDPS!$H$41</f>
        <v/>
      </c>
      <c r="E81" s="143">
        <f>CDPS!$H$42</f>
        <v/>
      </c>
      <c r="F81" s="143">
        <f>CDPS!$H$40+CDPS!$H$41+CDPS!$H$42</f>
        <v/>
      </c>
      <c r="G81" s="149" t="n"/>
    </row>
    <row r="82" ht="15" customHeight="1" s="78">
      <c r="A82" s="127" t="inlineStr">
        <is>
          <t xml:space="preserve">    Hao mòn lũy kế đầu năm</t>
        </is>
      </c>
      <c r="B82" s="120" t="n"/>
      <c r="C82" s="143">
        <f>CDPS!$E$44</f>
        <v/>
      </c>
      <c r="D82" s="143">
        <f>CDPS!$E$45</f>
        <v/>
      </c>
      <c r="E82" s="143">
        <f>CDPS!$E$46</f>
        <v/>
      </c>
      <c r="F82" s="143">
        <f>CDPS!$E$44+CDPS!$E$45+CDPS!$E$46</f>
        <v/>
      </c>
      <c r="G82" s="149" t="n"/>
    </row>
    <row r="83" ht="15" customHeight="1" s="78">
      <c r="A83" s="97" t="inlineStr">
        <is>
          <t xml:space="preserve">    - Khấu hao trong kỳ</t>
        </is>
      </c>
      <c r="B83" s="120" t="n"/>
      <c r="C83" s="125">
        <f>CDPS!$G$44</f>
        <v/>
      </c>
      <c r="D83" s="125">
        <f>CDPS!$G$45</f>
        <v/>
      </c>
      <c r="E83" s="125">
        <f>CDPS!$G$46</f>
        <v/>
      </c>
      <c r="F83" s="125">
        <f>CDPS!$G$44+CDPS!$G$45+CDPS!$G$46</f>
        <v/>
      </c>
      <c r="G83" s="125" t="n"/>
    </row>
    <row r="84" ht="15" customHeight="1" s="78">
      <c r="A84" s="97" t="inlineStr">
        <is>
          <t xml:space="preserve">    - Giảm hao mòn trong kỳ</t>
        </is>
      </c>
      <c r="B84" s="120" t="n"/>
      <c r="C84" s="125">
        <f>CDPS!$F$44</f>
        <v/>
      </c>
      <c r="D84" s="125">
        <f>CDPS!$F$45</f>
        <v/>
      </c>
      <c r="E84" s="125">
        <f>CDPS!$F$46</f>
        <v/>
      </c>
      <c r="F84" s="125">
        <f>CDPS!$F$44+CDPS!$F$45+CDPS!$F$46</f>
        <v/>
      </c>
      <c r="G84" s="125" t="n"/>
    </row>
    <row r="85" ht="15" customHeight="1" s="78">
      <c r="A85" s="127" t="inlineStr">
        <is>
          <t xml:space="preserve">    Hao mòn lũy kế cuối kỳ</t>
        </is>
      </c>
      <c r="B85" s="120" t="n"/>
      <c r="C85" s="143">
        <f>CDPS!$I$44</f>
        <v/>
      </c>
      <c r="D85" s="143">
        <f>CDPS!$I$45</f>
        <v/>
      </c>
      <c r="E85" s="143">
        <f>CDPS!$I$46</f>
        <v/>
      </c>
      <c r="F85" s="143">
        <f>CDPS!$I$44+CDPS!$I$45+CDPS!$I$46</f>
        <v/>
      </c>
      <c r="G85" s="149" t="n"/>
    </row>
    <row r="86" ht="15" customHeight="1" s="78">
      <c r="A86" s="127" t="inlineStr">
        <is>
          <t xml:space="preserve">    Giá trị còn lại cuối kỳ</t>
        </is>
      </c>
      <c r="B86" s="120" t="n"/>
      <c r="C86" s="149" t="n"/>
      <c r="D86" s="149" t="n"/>
      <c r="E86" s="149" t="n"/>
      <c r="F86" s="143">
        <f>(CDPS!$H$40+CDPS!$H$41+CDPS!$H$42)-(CDPS!$I$44+CDPS!$I$45+CDPS!$I$46)</f>
        <v/>
      </c>
      <c r="G86" s="149" t="n"/>
    </row>
    <row r="87"/>
    <row r="88" ht="15" customHeight="1" s="78">
      <c r="A88" s="146" t="inlineStr">
        <is>
          <t>V.6. Chi phí chờ phân bổ</t>
        </is>
      </c>
      <c r="C88" s="83" t="n"/>
    </row>
    <row r="89" ht="15" customHeight="1" s="78">
      <c r="A89" s="92" t="inlineStr">
        <is>
          <t>Chỉ tiêu</t>
        </is>
      </c>
      <c r="C89" s="92" t="inlineStr">
        <is>
          <t>Số tiền</t>
        </is>
      </c>
    </row>
    <row r="90" ht="15" customHeight="1" s="78">
      <c r="A90" s="97" t="inlineStr">
        <is>
          <t xml:space="preserve">    Số dư đầu năm</t>
        </is>
      </c>
      <c r="B90" s="120" t="n"/>
      <c r="C90" s="125">
        <f>CDPS!$D$73</f>
        <v/>
      </c>
      <c r="D90" s="125" t="n"/>
      <c r="E90" s="125" t="n"/>
      <c r="F90" s="125" t="n"/>
      <c r="G90" s="125" t="n"/>
    </row>
    <row r="91" ht="15" customHeight="1" s="78">
      <c r="A91" s="97" t="inlineStr">
        <is>
          <t xml:space="preserve">    Tăng trong kỳ</t>
        </is>
      </c>
      <c r="B91" s="120" t="n"/>
      <c r="C91" s="125">
        <f>CDPS!$F$73</f>
        <v/>
      </c>
      <c r="D91" s="125" t="n"/>
      <c r="E91" s="125" t="n"/>
      <c r="F91" s="125" t="n"/>
      <c r="G91" s="125" t="n"/>
    </row>
    <row r="92" ht="15" customHeight="1" s="78">
      <c r="A92" s="97" t="inlineStr">
        <is>
          <t xml:space="preserve">    Đã phân bổ vào chi phí trong kỳ</t>
        </is>
      </c>
      <c r="B92" s="120" t="n"/>
      <c r="C92" s="125">
        <f>CDPS!$G$73</f>
        <v/>
      </c>
      <c r="D92" s="125" t="n"/>
      <c r="E92" s="125" t="n"/>
      <c r="F92" s="125" t="n"/>
      <c r="G92" s="125" t="n"/>
    </row>
    <row r="93" ht="15" customHeight="1" s="78">
      <c r="A93" s="127" t="inlineStr">
        <is>
          <t xml:space="preserve">    Số dư cuối kỳ</t>
        </is>
      </c>
      <c r="B93" s="120" t="n"/>
      <c r="C93" s="143">
        <f>CDPS!$H$73</f>
        <v/>
      </c>
      <c r="D93" s="149" t="n"/>
      <c r="E93" s="149" t="n"/>
      <c r="F93" s="149" t="n"/>
      <c r="G93" s="149" t="n"/>
    </row>
    <row r="94"/>
    <row r="95" ht="15" customHeight="1" s="78">
      <c r="A95" s="146" t="inlineStr">
        <is>
          <t>V.7. Phải trả người bán &amp; người mua trả tiền trước</t>
        </is>
      </c>
      <c r="C95" s="83" t="n"/>
    </row>
    <row r="96" ht="15" customHeight="1" s="78">
      <c r="A96" s="92" t="inlineStr">
        <is>
          <t>Chỉ tiêu</t>
        </is>
      </c>
      <c r="C96" s="92" t="inlineStr">
        <is>
          <t>Cuối kỳ</t>
        </is>
      </c>
      <c r="D96" s="92" t="inlineStr">
        <is>
          <t>Đầu năm</t>
        </is>
      </c>
    </row>
    <row r="97" ht="15" customHeight="1" s="78">
      <c r="A97" s="127" t="inlineStr">
        <is>
          <t xml:space="preserve">    a) Phải trả người bán (dư Có TK 331)</t>
        </is>
      </c>
      <c r="B97" s="120" t="n"/>
      <c r="C97" s="143">
        <f>CONGNO!$H$613</f>
        <v/>
      </c>
      <c r="D97" s="143">
        <f>CONGNO!$D$613</f>
        <v/>
      </c>
      <c r="E97" s="149" t="n"/>
      <c r="F97" s="149" t="n"/>
      <c r="G97" s="149" t="n"/>
    </row>
    <row r="98" ht="25.35" customHeight="1" s="78">
      <c r="A98" s="97" t="inlineStr">
        <is>
          <t xml:space="preserve">        =IF(CONGNO!$A313="","- …","- "&amp;CONGNO!$B313)</t>
        </is>
      </c>
      <c r="B98" s="120" t="n"/>
      <c r="C98" s="125">
        <f>IF(CONGNO!$A313="","",CONGNO!$H313)</f>
        <v/>
      </c>
      <c r="D98" s="125">
        <f>IF(CONGNO!$A313="","",CONGNO!$D313)</f>
        <v/>
      </c>
      <c r="E98" s="125" t="n"/>
      <c r="F98" s="125" t="n"/>
      <c r="G98" s="125" t="n"/>
    </row>
    <row r="99" ht="25.35" customHeight="1" s="78">
      <c r="A99" s="97" t="inlineStr">
        <is>
          <t xml:space="preserve">        =IF(CONGNO!$A314="","- …","- "&amp;CONGNO!$B314)</t>
        </is>
      </c>
      <c r="B99" s="120" t="n"/>
      <c r="C99" s="125">
        <f>IF(CONGNO!$A314="","",CONGNO!$H314)</f>
        <v/>
      </c>
      <c r="D99" s="125">
        <f>IF(CONGNO!$A314="","",CONGNO!$D314)</f>
        <v/>
      </c>
      <c r="E99" s="125" t="n"/>
      <c r="F99" s="125" t="n"/>
      <c r="G99" s="125" t="n"/>
    </row>
    <row r="100" ht="25.35" customHeight="1" s="78">
      <c r="A100" s="97" t="inlineStr">
        <is>
          <t xml:space="preserve">        =IF(CONGNO!$A315="","- …","- "&amp;CONGNO!$B315)</t>
        </is>
      </c>
      <c r="B100" s="120" t="n"/>
      <c r="C100" s="125">
        <f>IF(CONGNO!$A315="","",CONGNO!$H315)</f>
        <v/>
      </c>
      <c r="D100" s="125">
        <f>IF(CONGNO!$A315="","",CONGNO!$D315)</f>
        <v/>
      </c>
      <c r="E100" s="125" t="n"/>
      <c r="F100" s="125" t="n"/>
      <c r="G100" s="125" t="n"/>
    </row>
    <row r="101" ht="25.35" customHeight="1" s="78">
      <c r="A101" s="97" t="inlineStr">
        <is>
          <t xml:space="preserve">        =IF(CONGNO!$A316="","- …","- "&amp;CONGNO!$B316)</t>
        </is>
      </c>
      <c r="B101" s="120" t="n"/>
      <c r="C101" s="125">
        <f>IF(CONGNO!$A316="","",CONGNO!$H316)</f>
        <v/>
      </c>
      <c r="D101" s="125">
        <f>IF(CONGNO!$A316="","",CONGNO!$D316)</f>
        <v/>
      </c>
      <c r="E101" s="125" t="n"/>
      <c r="F101" s="125" t="n"/>
      <c r="G101" s="125" t="n"/>
    </row>
    <row r="102" ht="25.35" customHeight="1" s="78">
      <c r="A102" s="97" t="inlineStr">
        <is>
          <t xml:space="preserve">        =IF(CONGNO!$A317="","- …","- "&amp;CONGNO!$B317)</t>
        </is>
      </c>
      <c r="B102" s="120" t="n"/>
      <c r="C102" s="125">
        <f>IF(CONGNO!$A317="","",CONGNO!$H317)</f>
        <v/>
      </c>
      <c r="D102" s="125">
        <f>IF(CONGNO!$A317="","",CONGNO!$D317)</f>
        <v/>
      </c>
      <c r="E102" s="125" t="n"/>
      <c r="F102" s="125" t="n"/>
      <c r="G102" s="125" t="n"/>
    </row>
    <row r="103" ht="15" customHeight="1" s="78">
      <c r="A103" s="97" t="inlineStr">
        <is>
          <t xml:space="preserve">        - Các đối tượng khác</t>
        </is>
      </c>
      <c r="B103" s="120" t="n"/>
      <c r="C103" s="125">
        <f>CONGNO!$H$613-SUM(C98:C102)</f>
        <v/>
      </c>
      <c r="D103" s="125">
        <f>CONGNO!$D$613-SUM(D98:D102)</f>
        <v/>
      </c>
      <c r="E103" s="125" t="n"/>
      <c r="F103" s="125" t="n"/>
      <c r="G103" s="125" t="n"/>
    </row>
    <row r="104" ht="15" customHeight="1" s="78">
      <c r="A104" s="127" t="inlineStr">
        <is>
          <t xml:space="preserve">    b) Người mua trả tiền trước (dư Có TK 131)</t>
        </is>
      </c>
      <c r="B104" s="120" t="n"/>
      <c r="C104" s="143">
        <f>CONGNO!$H$308</f>
        <v/>
      </c>
      <c r="D104" s="143">
        <f>CONGNO!$D$308</f>
        <v/>
      </c>
      <c r="E104" s="149" t="n"/>
      <c r="F104" s="149" t="n"/>
      <c r="G104" s="149" t="n"/>
    </row>
    <row r="105"/>
    <row r="106" ht="15" customHeight="1" s="78">
      <c r="A106" s="146" t="inlineStr">
        <is>
          <t>V.8. Thuế và các khoản phải nộp Nhà nước</t>
        </is>
      </c>
      <c r="C106" s="83" t="n"/>
    </row>
    <row r="107" ht="25.35" customHeight="1" s="78">
      <c r="A107" s="92" t="inlineStr">
        <is>
          <t>Chỉ tiêu</t>
        </is>
      </c>
      <c r="C107" s="92" t="inlineStr">
        <is>
          <t>Đầu năm (phải nộp)</t>
        </is>
      </c>
      <c r="D107" s="92" t="inlineStr">
        <is>
          <t>Số phải nộp trong kỳ</t>
        </is>
      </c>
      <c r="E107" s="92" t="inlineStr">
        <is>
          <t>Số đã nộp/khấu trừ</t>
        </is>
      </c>
      <c r="F107" s="92" t="inlineStr">
        <is>
          <t>Cuối kỳ (phải nộp)</t>
        </is>
      </c>
    </row>
    <row r="108" ht="15" customHeight="1" s="78">
      <c r="A108" s="97" t="inlineStr">
        <is>
          <t xml:space="preserve">    Thuế GTGT phải nộp</t>
        </is>
      </c>
      <c r="B108" s="120" t="n"/>
      <c r="C108" s="125">
        <f>CDPS!$E$79-CDPS!$D$79</f>
        <v/>
      </c>
      <c r="D108" s="125">
        <f>CDPS!$G$79</f>
        <v/>
      </c>
      <c r="E108" s="125">
        <f>CDPS!$F$79</f>
        <v/>
      </c>
      <c r="F108" s="125">
        <f>CDPS!$I$79-CDPS!$H$79</f>
        <v/>
      </c>
      <c r="G108" s="125" t="n"/>
    </row>
    <row r="109" ht="15" customHeight="1" s="78">
      <c r="A109" s="97" t="inlineStr">
        <is>
          <t xml:space="preserve">    Thuế TTĐB</t>
        </is>
      </c>
      <c r="B109" s="120" t="n"/>
      <c r="C109" s="125">
        <f>CDPS!$E$82-CDPS!$D$82</f>
        <v/>
      </c>
      <c r="D109" s="125">
        <f>CDPS!$G$82</f>
        <v/>
      </c>
      <c r="E109" s="125">
        <f>CDPS!$F$82</f>
        <v/>
      </c>
      <c r="F109" s="125">
        <f>CDPS!$I$82-CDPS!$H$82</f>
        <v/>
      </c>
      <c r="G109" s="125" t="n"/>
    </row>
    <row r="110" ht="15" customHeight="1" s="78">
      <c r="A110" s="97" t="inlineStr">
        <is>
          <t xml:space="preserve">    Thuế xuất, nhập khẩu</t>
        </is>
      </c>
      <c r="B110" s="120" t="n"/>
      <c r="C110" s="125">
        <f>CDPS!$E$83-CDPS!$D$83</f>
        <v/>
      </c>
      <c r="D110" s="125">
        <f>CDPS!$G$83</f>
        <v/>
      </c>
      <c r="E110" s="125">
        <f>CDPS!$F$83</f>
        <v/>
      </c>
      <c r="F110" s="125">
        <f>CDPS!$I$83-CDPS!$H$83</f>
        <v/>
      </c>
      <c r="G110" s="125" t="n"/>
    </row>
    <row r="111" ht="15" customHeight="1" s="78">
      <c r="A111" s="97" t="inlineStr">
        <is>
          <t xml:space="preserve">    Thuế TNDN</t>
        </is>
      </c>
      <c r="B111" s="120" t="n"/>
      <c r="C111" s="125">
        <f>CDPS!$E$84-CDPS!$D$84</f>
        <v/>
      </c>
      <c r="D111" s="125">
        <f>CDPS!$G$84</f>
        <v/>
      </c>
      <c r="E111" s="125">
        <f>CDPS!$F$84</f>
        <v/>
      </c>
      <c r="F111" s="125">
        <f>CDPS!$I$84-CDPS!$H$84</f>
        <v/>
      </c>
      <c r="G111" s="125" t="n"/>
    </row>
    <row r="112" ht="15" customHeight="1" s="78">
      <c r="A112" s="97" t="inlineStr">
        <is>
          <t xml:space="preserve">    Thuế TNCN</t>
        </is>
      </c>
      <c r="B112" s="120" t="n"/>
      <c r="C112" s="125">
        <f>CDPS!$E$85-CDPS!$D$85</f>
        <v/>
      </c>
      <c r="D112" s="125">
        <f>CDPS!$G$85</f>
        <v/>
      </c>
      <c r="E112" s="125">
        <f>CDPS!$F$85</f>
        <v/>
      </c>
      <c r="F112" s="125">
        <f>CDPS!$I$85-CDPS!$H$85</f>
        <v/>
      </c>
      <c r="G112" s="125" t="n"/>
    </row>
    <row r="113" ht="15" customHeight="1" s="78">
      <c r="A113" s="97" t="inlineStr">
        <is>
          <t xml:space="preserve">    Thuế tài nguyên</t>
        </is>
      </c>
      <c r="B113" s="120" t="n"/>
      <c r="C113" s="125">
        <f>CDPS!$E$86-CDPS!$D$86</f>
        <v/>
      </c>
      <c r="D113" s="125">
        <f>CDPS!$G$86</f>
        <v/>
      </c>
      <c r="E113" s="125">
        <f>CDPS!$F$86</f>
        <v/>
      </c>
      <c r="F113" s="125">
        <f>CDPS!$I$86-CDPS!$H$86</f>
        <v/>
      </c>
      <c r="G113" s="125" t="n"/>
    </row>
    <row r="114" ht="15" customHeight="1" s="78">
      <c r="A114" s="97" t="inlineStr">
        <is>
          <t xml:space="preserve">    Thuế nhà đất, tiền thuê đất</t>
        </is>
      </c>
      <c r="B114" s="120" t="n"/>
      <c r="C114" s="125">
        <f>CDPS!$E$87-CDPS!$D$87</f>
        <v/>
      </c>
      <c r="D114" s="125">
        <f>CDPS!$G$87</f>
        <v/>
      </c>
      <c r="E114" s="125">
        <f>CDPS!$F$87</f>
        <v/>
      </c>
      <c r="F114" s="125">
        <f>CDPS!$I$87-CDPS!$H$87</f>
        <v/>
      </c>
      <c r="G114" s="125" t="n"/>
    </row>
    <row r="115" ht="15" customHeight="1" s="78">
      <c r="A115" s="97" t="inlineStr">
        <is>
          <t xml:space="preserve">    Thuế BVMT và thuế khác</t>
        </is>
      </c>
      <c r="B115" s="120" t="n"/>
      <c r="C115" s="125">
        <f>CDPS!$E$88-CDPS!$D$88</f>
        <v/>
      </c>
      <c r="D115" s="125">
        <f>CDPS!$G$88</f>
        <v/>
      </c>
      <c r="E115" s="125">
        <f>CDPS!$F$88</f>
        <v/>
      </c>
      <c r="F115" s="125">
        <f>CDPS!$I$88-CDPS!$H$88</f>
        <v/>
      </c>
      <c r="G115" s="125" t="n"/>
    </row>
    <row r="116" ht="15" customHeight="1" s="78">
      <c r="A116" s="97" t="inlineStr">
        <is>
          <t xml:space="preserve">    Phí, lệ phí và khoản phải nộp khác</t>
        </is>
      </c>
      <c r="B116" s="120" t="n"/>
      <c r="C116" s="125">
        <f>CDPS!$E$91-CDPS!$D$91</f>
        <v/>
      </c>
      <c r="D116" s="125">
        <f>CDPS!$G$91</f>
        <v/>
      </c>
      <c r="E116" s="125">
        <f>CDPS!$F$91</f>
        <v/>
      </c>
      <c r="F116" s="125">
        <f>CDPS!$I$91-CDPS!$H$91</f>
        <v/>
      </c>
      <c r="G116" s="125" t="n"/>
    </row>
    <row r="117" ht="15" customHeight="1" s="78">
      <c r="A117" s="127" t="inlineStr">
        <is>
          <t xml:space="preserve">    Cộng</t>
        </is>
      </c>
      <c r="B117" s="120" t="n"/>
      <c r="C117" s="143">
        <f>SUM(C108:C116)</f>
        <v/>
      </c>
      <c r="D117" s="143">
        <f>SUM(D108:D116)</f>
        <v/>
      </c>
      <c r="E117" s="143">
        <f>SUM(E108:E116)</f>
        <v/>
      </c>
      <c r="F117" s="143">
        <f>SUM(F108:F116)</f>
        <v/>
      </c>
      <c r="G117" s="149" t="n"/>
    </row>
    <row r="118"/>
    <row r="119" ht="15" customHeight="1" s="78">
      <c r="A119" s="146" t="inlineStr">
        <is>
          <t>V.9. Vay và nợ thuê tài chính</t>
        </is>
      </c>
      <c r="C119" s="83" t="n"/>
    </row>
    <row r="120" ht="25.35" customHeight="1" s="78">
      <c r="A120" s="92" t="inlineStr">
        <is>
          <t>Chỉ tiêu</t>
        </is>
      </c>
      <c r="C120" s="92" t="inlineStr">
        <is>
          <t>Đầu năm</t>
        </is>
      </c>
      <c r="D120" s="92" t="inlineStr">
        <is>
          <t>Vay/nhận nợ trong kỳ</t>
        </is>
      </c>
      <c r="E120" s="92" t="inlineStr">
        <is>
          <t>Trả nợ trong kỳ</t>
        </is>
      </c>
      <c r="F120" s="92" t="inlineStr">
        <is>
          <t>Cuối kỳ</t>
        </is>
      </c>
    </row>
    <row r="121" ht="15" customHeight="1" s="78">
      <c r="A121" s="97" t="inlineStr">
        <is>
          <t xml:space="preserve">    Các khoản đi vay (TK 3411)</t>
        </is>
      </c>
      <c r="B121" s="120" t="n"/>
      <c r="C121" s="125">
        <f>CDPS!$E$109</f>
        <v/>
      </c>
      <c r="D121" s="125">
        <f>CDPS!$G$109</f>
        <v/>
      </c>
      <c r="E121" s="125">
        <f>CDPS!$F$109</f>
        <v/>
      </c>
      <c r="F121" s="125">
        <f>CDPS!$I$109</f>
        <v/>
      </c>
      <c r="G121" s="125" t="n"/>
    </row>
    <row r="122" ht="15" customHeight="1" s="78">
      <c r="A122" s="97" t="inlineStr">
        <is>
          <t xml:space="preserve">    Nợ thuê tài chính (TK 3412)</t>
        </is>
      </c>
      <c r="B122" s="120" t="n"/>
      <c r="C122" s="125">
        <f>CDPS!$E$110</f>
        <v/>
      </c>
      <c r="D122" s="125">
        <f>CDPS!$G$110</f>
        <v/>
      </c>
      <c r="E122" s="125">
        <f>CDPS!$F$110</f>
        <v/>
      </c>
      <c r="F122" s="125">
        <f>CDPS!$I$110</f>
        <v/>
      </c>
      <c r="G122" s="125" t="n"/>
    </row>
    <row r="123" ht="15" customHeight="1" s="78">
      <c r="A123" s="97" t="inlineStr">
        <is>
          <t xml:space="preserve">    Trái phiếu phát hành (TK 343)</t>
        </is>
      </c>
      <c r="B123" s="120" t="n"/>
      <c r="C123" s="125">
        <f>CDPS!$E$111</f>
        <v/>
      </c>
      <c r="D123" s="125">
        <f>CDPS!$G$111</f>
        <v/>
      </c>
      <c r="E123" s="125">
        <f>CDPS!$F$111</f>
        <v/>
      </c>
      <c r="F123" s="125">
        <f>CDPS!$I$111</f>
        <v/>
      </c>
      <c r="G123" s="125" t="n"/>
    </row>
    <row r="124" ht="15" customHeight="1" s="78">
      <c r="A124" s="127" t="inlineStr">
        <is>
          <t xml:space="preserve">    Cộng</t>
        </is>
      </c>
      <c r="B124" s="120" t="n"/>
      <c r="C124" s="143">
        <f>SUM(C121:C123)</f>
        <v/>
      </c>
      <c r="D124" s="143">
        <f>SUM(D121:D123)</f>
        <v/>
      </c>
      <c r="E124" s="143">
        <f>SUM(E121:E123)</f>
        <v/>
      </c>
      <c r="F124" s="143">
        <f>SUM(F121:F123)</f>
        <v/>
      </c>
      <c r="G124" s="149" t="n"/>
    </row>
    <row r="125" ht="15" customHeight="1" s="78">
      <c r="A125" s="147" t="inlineStr">
        <is>
          <t>Thuyết minh thêm: lãi suất, tài sản bảo đảm, kỳ hạn trả nợ của từng khoản vay: …</t>
        </is>
      </c>
      <c r="B125" s="148" t="n"/>
      <c r="C125" s="148" t="n"/>
      <c r="D125" s="148" t="n"/>
      <c r="E125" s="148" t="n"/>
      <c r="F125" s="148" t="n"/>
      <c r="G125" s="148" t="n"/>
    </row>
    <row r="126"/>
    <row r="127" ht="25.35" customHeight="1" s="78">
      <c r="A127" s="146" t="inlineStr">
        <is>
          <t>V.10. Chi phí phải trả, cổ tức phải trả và các khoản phải trả khác</t>
        </is>
      </c>
      <c r="C127" s="83" t="n"/>
    </row>
    <row r="128" ht="15" customHeight="1" s="78">
      <c r="A128" s="92" t="inlineStr">
        <is>
          <t>Chỉ tiêu</t>
        </is>
      </c>
      <c r="C128" s="92" t="inlineStr">
        <is>
          <t>Cuối kỳ</t>
        </is>
      </c>
      <c r="D128" s="92" t="inlineStr">
        <is>
          <t>Đầu năm</t>
        </is>
      </c>
    </row>
    <row r="129" ht="15" customHeight="1" s="78">
      <c r="A129" s="97" t="inlineStr">
        <is>
          <t xml:space="preserve">    Chi phí phải trả (TK 335)</t>
        </is>
      </c>
      <c r="B129" s="120" t="n"/>
      <c r="C129" s="125">
        <f>CDPS!$I$93</f>
        <v/>
      </c>
      <c r="D129" s="125">
        <f>CDPS!$E$93</f>
        <v/>
      </c>
      <c r="E129" s="125" t="n"/>
      <c r="F129" s="125" t="n"/>
      <c r="G129" s="125" t="n"/>
    </row>
    <row r="130" ht="15" customHeight="1" s="78">
      <c r="A130" s="97" t="inlineStr">
        <is>
          <t xml:space="preserve">    Phải trả cổ tức, lợi nhuận (TK 332)</t>
        </is>
      </c>
      <c r="B130" s="120" t="n"/>
      <c r="C130" s="125">
        <f>CDPS!$I$77</f>
        <v/>
      </c>
      <c r="D130" s="125">
        <f>CDPS!$E$77</f>
        <v/>
      </c>
      <c r="E130" s="125" t="n"/>
      <c r="F130" s="125" t="n"/>
      <c r="G130" s="125" t="n"/>
    </row>
    <row r="131" ht="15" customHeight="1" s="78">
      <c r="A131" s="97" t="inlineStr">
        <is>
          <t xml:space="preserve">    Kinh phí công đoàn (TK 3382)</t>
        </is>
      </c>
      <c r="B131" s="120" t="n"/>
      <c r="C131" s="125">
        <f>CDPS!$I$102</f>
        <v/>
      </c>
      <c r="D131" s="125">
        <f>CDPS!$E$102</f>
        <v/>
      </c>
      <c r="E131" s="125" t="n"/>
      <c r="F131" s="125" t="n"/>
      <c r="G131" s="125" t="n"/>
    </row>
    <row r="132" ht="15" customHeight="1" s="78">
      <c r="A132" s="97" t="inlineStr">
        <is>
          <t xml:space="preserve">    BHXH, BHYT, BHTN (TK 3383, 3384, 3386)</t>
        </is>
      </c>
      <c r="B132" s="120" t="n"/>
      <c r="C132" s="125">
        <f>CDPS!$I$103+CDPS!$I$104+CDPS!$I$105</f>
        <v/>
      </c>
      <c r="D132" s="125">
        <f>CDPS!$E$103+CDPS!$E$104+CDPS!$E$105</f>
        <v/>
      </c>
      <c r="E132" s="125" t="n"/>
      <c r="F132" s="125" t="n"/>
      <c r="G132" s="125" t="n"/>
    </row>
    <row r="133" ht="15" customHeight="1" s="78">
      <c r="A133" s="97" t="inlineStr">
        <is>
          <t xml:space="preserve">    Doanh thu chờ phân bổ (TK 3387)</t>
        </is>
      </c>
      <c r="B133" s="120" t="n"/>
      <c r="C133" s="125">
        <f>CDPS!$I$106</f>
        <v/>
      </c>
      <c r="D133" s="125">
        <f>CDPS!$E$106</f>
        <v/>
      </c>
      <c r="E133" s="125" t="n"/>
      <c r="F133" s="125" t="n"/>
      <c r="G133" s="125" t="n"/>
    </row>
    <row r="134" ht="15" customHeight="1" s="78">
      <c r="A134" s="97" t="inlineStr">
        <is>
          <t xml:space="preserve">    Phải trả, phải nộp khác (TK 3388, 3381)</t>
        </is>
      </c>
      <c r="B134" s="120" t="n"/>
      <c r="C134" s="125">
        <f>CDPS!$I$107+CDPS!$I$101</f>
        <v/>
      </c>
      <c r="D134" s="125">
        <f>CDPS!$E$107+CDPS!$E$101</f>
        <v/>
      </c>
      <c r="E134" s="125" t="n"/>
      <c r="F134" s="125" t="n"/>
      <c r="G134" s="125" t="n"/>
    </row>
    <row r="135"/>
    <row r="136" ht="15" customHeight="1" s="78">
      <c r="A136" s="146" t="inlineStr">
        <is>
          <t>V.11. Vốn chủ sở hữu — bảng đối chiếu biến động</t>
        </is>
      </c>
      <c r="C136" s="83" t="n"/>
    </row>
    <row r="137" ht="15" customHeight="1" s="78">
      <c r="A137" s="92" t="inlineStr">
        <is>
          <t>Chỉ tiêu</t>
        </is>
      </c>
      <c r="C137" s="92" t="inlineStr">
        <is>
          <t>Đầu năm</t>
        </is>
      </c>
      <c r="D137" s="92" t="inlineStr">
        <is>
          <t>Tăng trong kỳ</t>
        </is>
      </c>
      <c r="E137" s="92" t="inlineStr">
        <is>
          <t>Giảm trong kỳ</t>
        </is>
      </c>
      <c r="F137" s="92" t="inlineStr">
        <is>
          <t>Cuối kỳ</t>
        </is>
      </c>
    </row>
    <row r="138" ht="15" customHeight="1" s="78">
      <c r="A138" s="97" t="inlineStr">
        <is>
          <t xml:space="preserve">    Vốn góp của chủ sở hữu (TK 411)</t>
        </is>
      </c>
      <c r="B138" s="120" t="n"/>
      <c r="C138" s="125">
        <f>CDPS!$E$130</f>
        <v/>
      </c>
      <c r="D138" s="125">
        <f>CDPS!$G$130</f>
        <v/>
      </c>
      <c r="E138" s="125">
        <f>CDPS!$F$130</f>
        <v/>
      </c>
      <c r="F138" s="125">
        <f>CDPS!$I$130</f>
        <v/>
      </c>
      <c r="G138" s="125" t="n"/>
    </row>
    <row r="139" ht="15" customHeight="1" s="78">
      <c r="A139" s="97" t="inlineStr">
        <is>
          <t xml:space="preserve">    Quỹ thuộc vốn chủ sở hữu (TK 414, 418)</t>
        </is>
      </c>
      <c r="B139" s="120" t="n"/>
      <c r="C139" s="125">
        <f>CDPS!$E$139+CDPS!$E$140</f>
        <v/>
      </c>
      <c r="D139" s="125">
        <f>CDPS!$G$139+CDPS!$G$140</f>
        <v/>
      </c>
      <c r="E139" s="125">
        <f>CDPS!$F$139+CDPS!$F$140</f>
        <v/>
      </c>
      <c r="F139" s="125">
        <f>CDPS!$I$139+CDPS!$I$140</f>
        <v/>
      </c>
      <c r="G139" s="125" t="n"/>
    </row>
    <row r="140" ht="25.35" customHeight="1" s="78">
      <c r="A140" s="97" t="inlineStr">
        <is>
          <t xml:space="preserve">    LNST chưa phân phối (TK 421 + lãi kỳ này chưa kết chuyển)</t>
        </is>
      </c>
      <c r="B140" s="120" t="n"/>
      <c r="C140" s="125">
        <f>B01!F131</f>
        <v/>
      </c>
      <c r="D140" s="125" t="n"/>
      <c r="E140" s="125" t="n"/>
      <c r="F140" s="125">
        <f>B01!E131</f>
        <v/>
      </c>
      <c r="G140" s="125" t="n"/>
    </row>
    <row r="141" ht="15" customHeight="1" s="78">
      <c r="A141" s="127" t="inlineStr">
        <is>
          <t xml:space="preserve">    Cộng</t>
        </is>
      </c>
      <c r="B141" s="120" t="n"/>
      <c r="C141" s="143">
        <f>SUM(C138:C140)</f>
        <v/>
      </c>
      <c r="D141" s="149" t="n"/>
      <c r="E141" s="149" t="n"/>
      <c r="F141" s="143">
        <f>SUM(F138:F140)</f>
        <v/>
      </c>
      <c r="G141" s="149" t="n"/>
    </row>
    <row r="142"/>
    <row r="143" ht="15" customHeight="1" s="78">
      <c r="A143" s="82" t="inlineStr">
        <is>
          <t>VI. THÔNG TIN BỔ SUNG CHO CÁC KHOẢN MỤC TRÌNH BÀY TRONG BÁO CÁO KẾT QUẢ HOẠT ĐỘNG KINH DOANH</t>
        </is>
      </c>
    </row>
    <row r="144"/>
    <row r="145" ht="15" customHeight="1" s="78">
      <c r="A145" s="146" t="inlineStr">
        <is>
          <t>VI.1. Doanh thu bán hàng và cung cấp dịch vụ</t>
        </is>
      </c>
      <c r="C145" s="83" t="n"/>
    </row>
    <row r="146" ht="15" customHeight="1" s="78">
      <c r="A146" s="92" t="inlineStr">
        <is>
          <t>Chỉ tiêu</t>
        </is>
      </c>
      <c r="C146" s="92" t="inlineStr">
        <is>
          <t>Năm nay</t>
        </is>
      </c>
      <c r="D146" s="92" t="inlineStr">
        <is>
          <t>Năm trước</t>
        </is>
      </c>
    </row>
    <row r="147" ht="15" customHeight="1" s="78">
      <c r="A147" s="127" t="inlineStr">
        <is>
          <t xml:space="preserve">    Tổng doanh thu (mã 01 B02)</t>
        </is>
      </c>
      <c r="B147" s="120" t="n"/>
      <c r="C147" s="143">
        <f>B02!E9</f>
        <v/>
      </c>
      <c r="D147" s="107" t="n"/>
      <c r="E147" s="149" t="n"/>
      <c r="F147" s="149" t="n"/>
      <c r="G147" s="149" t="n"/>
    </row>
    <row r="148" ht="15" customHeight="1" s="78">
      <c r="A148" s="97" t="inlineStr">
        <is>
          <t xml:space="preserve">        Trong đó: - Doanh thu bán hàng hóa</t>
        </is>
      </c>
      <c r="B148" s="120" t="n"/>
      <c r="C148" s="107" t="n"/>
      <c r="D148" s="107" t="n"/>
      <c r="E148" s="125" t="n"/>
      <c r="F148" s="125" t="n"/>
      <c r="G148" s="125" t="n"/>
    </row>
    <row r="149" ht="15" customHeight="1" s="78">
      <c r="A149" s="97" t="inlineStr">
        <is>
          <t xml:space="preserve">        - Doanh thu cung cấp dịch vụ</t>
        </is>
      </c>
      <c r="B149" s="120" t="n"/>
      <c r="C149" s="107" t="n"/>
      <c r="D149" s="107" t="n"/>
      <c r="E149" s="125" t="n"/>
      <c r="F149" s="125" t="n"/>
      <c r="G149" s="125" t="n"/>
    </row>
    <row r="150" ht="15" customHeight="1" s="78">
      <c r="A150" s="146" t="inlineStr">
        <is>
          <t>VI.2. Các khoản giảm trừ doanh thu</t>
        </is>
      </c>
      <c r="C150" s="83" t="n"/>
    </row>
    <row r="151" ht="15" customHeight="1" s="78">
      <c r="A151" s="92" t="inlineStr">
        <is>
          <t>Chỉ tiêu</t>
        </is>
      </c>
      <c r="C151" s="92" t="inlineStr">
        <is>
          <t>Năm nay</t>
        </is>
      </c>
      <c r="D151" s="92" t="inlineStr">
        <is>
          <t>Năm trước</t>
        </is>
      </c>
    </row>
    <row r="152" ht="25.35" customHeight="1" s="78">
      <c r="A152" s="97" t="inlineStr">
        <is>
          <t xml:space="preserve">    Chiết khấu thương mại, giảm giá, hàng bán bị trả lại (TK 521)</t>
        </is>
      </c>
      <c r="B152" s="120" t="n"/>
      <c r="C152" s="125">
        <f>B02!E10</f>
        <v/>
      </c>
      <c r="D152" s="107" t="n"/>
      <c r="E152" s="125" t="n"/>
      <c r="F152" s="125" t="n"/>
      <c r="G152" s="125" t="n"/>
    </row>
    <row r="153" ht="15" customHeight="1" s="78">
      <c r="A153" s="146" t="inlineStr">
        <is>
          <t>VI.3. Giá vốn hàng bán</t>
        </is>
      </c>
      <c r="C153" s="83" t="n"/>
    </row>
    <row r="154" ht="15" customHeight="1" s="78">
      <c r="A154" s="92" t="inlineStr">
        <is>
          <t>Chỉ tiêu</t>
        </is>
      </c>
      <c r="C154" s="92" t="inlineStr">
        <is>
          <t>Năm nay</t>
        </is>
      </c>
      <c r="D154" s="92" t="inlineStr">
        <is>
          <t>Năm trước</t>
        </is>
      </c>
    </row>
    <row r="155" ht="15" customHeight="1" s="78">
      <c r="A155" s="97" t="inlineStr">
        <is>
          <t xml:space="preserve">    Giá vốn hàng bán (mã 11 B02)</t>
        </is>
      </c>
      <c r="B155" s="120" t="n"/>
      <c r="C155" s="125">
        <f>B02!E12</f>
        <v/>
      </c>
      <c r="D155" s="107" t="n"/>
      <c r="E155" s="125" t="n"/>
      <c r="F155" s="125" t="n"/>
      <c r="G155" s="125" t="n"/>
    </row>
    <row r="156" ht="15" customHeight="1" s="78">
      <c r="A156" s="146" t="inlineStr">
        <is>
          <t>VI.4. Doanh thu hoạt động tài chính</t>
        </is>
      </c>
      <c r="C156" s="83" t="n"/>
    </row>
    <row r="157" ht="15" customHeight="1" s="78">
      <c r="A157" s="92" t="inlineStr">
        <is>
          <t>Chỉ tiêu</t>
        </is>
      </c>
      <c r="C157" s="92" t="inlineStr">
        <is>
          <t>Năm nay</t>
        </is>
      </c>
      <c r="D157" s="92" t="inlineStr">
        <is>
          <t>Năm trước</t>
        </is>
      </c>
    </row>
    <row r="158" ht="15" customHeight="1" s="78">
      <c r="A158" s="97" t="inlineStr">
        <is>
          <t xml:space="preserve">    Lãi tiền gửi, lãi cho vay, cổ tức, lãi khác (TK 515)</t>
        </is>
      </c>
      <c r="B158" s="120" t="n"/>
      <c r="C158" s="125">
        <f>B02!E15</f>
        <v/>
      </c>
      <c r="D158" s="107" t="n"/>
      <c r="E158" s="125" t="n"/>
      <c r="F158" s="125" t="n"/>
      <c r="G158" s="125" t="n"/>
    </row>
    <row r="159" ht="15" customHeight="1" s="78">
      <c r="A159" s="146" t="inlineStr">
        <is>
          <t>VI.5. Chi phí tài chính</t>
        </is>
      </c>
      <c r="C159" s="83" t="n"/>
    </row>
    <row r="160" ht="15" customHeight="1" s="78">
      <c r="A160" s="92" t="inlineStr">
        <is>
          <t>Chỉ tiêu</t>
        </is>
      </c>
      <c r="C160" s="92" t="inlineStr">
        <is>
          <t>Năm nay</t>
        </is>
      </c>
      <c r="D160" s="92" t="inlineStr">
        <is>
          <t>Năm trước</t>
        </is>
      </c>
    </row>
    <row r="161" ht="15" customHeight="1" s="78">
      <c r="A161" s="97" t="inlineStr">
        <is>
          <t xml:space="preserve">    Chi phí tài chính (TK 635)</t>
        </is>
      </c>
      <c r="B161" s="120" t="n"/>
      <c r="C161" s="125">
        <f>B02!E16</f>
        <v/>
      </c>
      <c r="D161" s="107" t="n"/>
      <c r="E161" s="125" t="n"/>
      <c r="F161" s="125" t="n"/>
      <c r="G161" s="125" t="n"/>
    </row>
    <row r="162" ht="15" customHeight="1" s="78">
      <c r="A162" s="97" t="inlineStr">
        <is>
          <t xml:space="preserve">        Trong đó: chi phí đi vay</t>
        </is>
      </c>
      <c r="B162" s="120" t="n"/>
      <c r="C162" s="125">
        <f>B02!E17</f>
        <v/>
      </c>
      <c r="D162" s="107" t="n"/>
      <c r="E162" s="125" t="n"/>
      <c r="F162" s="125" t="n"/>
      <c r="G162" s="125" t="n"/>
    </row>
    <row r="163" ht="25.35" customHeight="1" s="78">
      <c r="A163" s="146" t="inlineStr">
        <is>
          <t>VI.6. Chi phí bán hàng và chi phí quản lý doanh nghiệp theo yếu tố</t>
        </is>
      </c>
      <c r="C163" s="83" t="n"/>
    </row>
    <row r="164" ht="25.35" customHeight="1" s="78">
      <c r="A164" s="92" t="inlineStr">
        <is>
          <t>Yếu tố chi phí</t>
        </is>
      </c>
      <c r="C164" s="92" t="inlineStr">
        <is>
          <t>Chi phí bán hàng (641)</t>
        </is>
      </c>
      <c r="D164" s="92" t="inlineStr">
        <is>
          <t>Chi phí QLDN (642)</t>
        </is>
      </c>
    </row>
    <row r="165" ht="15" customHeight="1" s="78">
      <c r="A165" s="97" t="inlineStr">
        <is>
          <t xml:space="preserve">    Chi phí nhân viên</t>
        </is>
      </c>
      <c r="B165" s="120" t="n"/>
      <c r="C165" s="125">
        <f>CDPS!$F$168-CDPS!$G$168</f>
        <v/>
      </c>
      <c r="D165" s="125">
        <f>CDPS!$F$176-CDPS!$G$176</f>
        <v/>
      </c>
      <c r="E165" s="125" t="n"/>
      <c r="F165" s="125" t="n"/>
      <c r="G165" s="125" t="n"/>
    </row>
    <row r="166" ht="15" customHeight="1" s="78">
      <c r="A166" s="97" t="inlineStr">
        <is>
          <t xml:space="preserve">    Chi phí vật liệu, bao bì/đồ dùng</t>
        </is>
      </c>
      <c r="B166" s="120" t="n"/>
      <c r="C166" s="125">
        <f>CDPS!$F$169-CDPS!$G$169</f>
        <v/>
      </c>
      <c r="D166" s="125">
        <f>CDPS!$F$177-CDPS!$G$177</f>
        <v/>
      </c>
      <c r="E166" s="125" t="n"/>
      <c r="F166" s="125" t="n"/>
      <c r="G166" s="125" t="n"/>
    </row>
    <row r="167" ht="15" customHeight="1" s="78">
      <c r="A167" s="97" t="inlineStr">
        <is>
          <t xml:space="preserve">    Chi phí dụng cụ, đồ dùng văn phòng</t>
        </is>
      </c>
      <c r="B167" s="120" t="n"/>
      <c r="C167" s="125">
        <f>CDPS!$F$170-CDPS!$G$170</f>
        <v/>
      </c>
      <c r="D167" s="125">
        <f>CDPS!$F$178-CDPS!$G$178</f>
        <v/>
      </c>
      <c r="E167" s="125" t="n"/>
      <c r="F167" s="125" t="n"/>
      <c r="G167" s="125" t="n"/>
    </row>
    <row r="168" ht="15" customHeight="1" s="78">
      <c r="A168" s="97" t="inlineStr">
        <is>
          <t xml:space="preserve">    Chi phí khấu hao TSCĐ</t>
        </is>
      </c>
      <c r="B168" s="120" t="n"/>
      <c r="C168" s="125">
        <f>CDPS!$F$171-CDPS!$G$171</f>
        <v/>
      </c>
      <c r="D168" s="125">
        <f>CDPS!$F$179-CDPS!$G$179</f>
        <v/>
      </c>
      <c r="E168" s="125" t="n"/>
      <c r="F168" s="125" t="n"/>
      <c r="G168" s="125" t="n"/>
    </row>
    <row r="169" ht="15" customHeight="1" s="78">
      <c r="A169" s="97" t="inlineStr">
        <is>
          <t xml:space="preserve">    Thuế, phí và lệ phí</t>
        </is>
      </c>
      <c r="B169" s="120" t="n"/>
      <c r="C169" s="125">
        <f>CDPS!$F$172-CDPS!$G$172</f>
        <v/>
      </c>
      <c r="D169" s="125">
        <f>CDPS!$F$180-CDPS!$G$180</f>
        <v/>
      </c>
      <c r="E169" s="125" t="n"/>
      <c r="F169" s="125" t="n"/>
      <c r="G169" s="125" t="n"/>
    </row>
    <row r="170" ht="15" customHeight="1" s="78">
      <c r="A170" s="97" t="inlineStr">
        <is>
          <t xml:space="preserve">    Chi phí dự phòng</t>
        </is>
      </c>
      <c r="B170" s="120" t="n"/>
      <c r="C170" s="125">
        <f>0</f>
        <v/>
      </c>
      <c r="D170" s="125">
        <f>CDPS!$F$181-CDPS!$G$181</f>
        <v/>
      </c>
      <c r="E170" s="125" t="n"/>
      <c r="F170" s="125" t="n"/>
      <c r="G170" s="125" t="n"/>
    </row>
    <row r="171" ht="15" customHeight="1" s="78">
      <c r="A171" s="97" t="inlineStr">
        <is>
          <t xml:space="preserve">    Chi phí dịch vụ mua ngoài</t>
        </is>
      </c>
      <c r="B171" s="120" t="n"/>
      <c r="C171" s="125">
        <f>CDPS!$F$173-CDPS!$G$173</f>
        <v/>
      </c>
      <c r="D171" s="125">
        <f>CDPS!$F$182-CDPS!$G$182</f>
        <v/>
      </c>
      <c r="E171" s="125" t="n"/>
      <c r="F171" s="125" t="n"/>
      <c r="G171" s="125" t="n"/>
    </row>
    <row r="172" ht="15" customHeight="1" s="78">
      <c r="A172" s="97" t="inlineStr">
        <is>
          <t xml:space="preserve">    Chi phí bằng tiền khác</t>
        </is>
      </c>
      <c r="B172" s="120" t="n"/>
      <c r="C172" s="125">
        <f>CDPS!$F$174-CDPS!$G$174</f>
        <v/>
      </c>
      <c r="D172" s="125">
        <f>CDPS!$F$183-CDPS!$G$183</f>
        <v/>
      </c>
      <c r="E172" s="125" t="n"/>
      <c r="F172" s="125" t="n"/>
      <c r="G172" s="125" t="n"/>
    </row>
    <row r="173" ht="25.35" customHeight="1" s="78">
      <c r="A173" s="97" t="inlineStr">
        <is>
          <t xml:space="preserve">    Phát sinh trực tiếp trên TK 641/642 (không chia tiểu khoản)</t>
        </is>
      </c>
      <c r="B173" s="120" t="n"/>
      <c r="C173" s="125">
        <f>CDPS!$F$167-CDPS!$G$167-SUM(C165:C172)</f>
        <v/>
      </c>
      <c r="D173" s="125">
        <f>CDPS!$F$175-CDPS!$G$175-SUM(D165:D172)</f>
        <v/>
      </c>
      <c r="E173" s="125" t="n"/>
      <c r="F173" s="125" t="n"/>
      <c r="G173" s="125" t="n"/>
    </row>
    <row r="174" ht="15" customHeight="1" s="78">
      <c r="A174" s="127" t="inlineStr">
        <is>
          <t xml:space="preserve">    Cộng</t>
        </is>
      </c>
      <c r="B174" s="120" t="n"/>
      <c r="C174" s="143">
        <f>SUM(C165:C173)</f>
        <v/>
      </c>
      <c r="D174" s="143">
        <f>SUM(D165:D173)</f>
        <v/>
      </c>
      <c r="E174" s="149" t="n"/>
      <c r="F174" s="149" t="n"/>
      <c r="G174" s="149" t="n"/>
    </row>
    <row r="175" ht="15" customHeight="1" s="78">
      <c r="A175" s="147" t="inlineStr">
        <is>
          <t>Yêu cầu TT99: thuyết minh chi tiết các khoản chi phí chiếm từ 10% trở lên trên tổng chi phí: … (liệt kê nếu có)</t>
        </is>
      </c>
      <c r="B175" s="148" t="n"/>
      <c r="C175" s="148" t="n"/>
      <c r="D175" s="148" t="n"/>
      <c r="E175" s="148" t="n"/>
      <c r="F175" s="148" t="n"/>
      <c r="G175" s="148" t="n"/>
    </row>
    <row r="176" ht="15" customHeight="1" s="78">
      <c r="A176" s="146" t="inlineStr">
        <is>
          <t>VI.7. Thu nhập khác và chi phí khác</t>
        </is>
      </c>
      <c r="C176" s="83" t="n"/>
    </row>
    <row r="177" ht="15" customHeight="1" s="78">
      <c r="A177" s="92" t="inlineStr">
        <is>
          <t>Chỉ tiêu</t>
        </is>
      </c>
      <c r="C177" s="92" t="inlineStr">
        <is>
          <t>Năm nay</t>
        </is>
      </c>
      <c r="D177" s="92" t="inlineStr">
        <is>
          <t>Năm trước</t>
        </is>
      </c>
    </row>
    <row r="178" ht="15" customHeight="1" s="78">
      <c r="A178" s="97" t="inlineStr">
        <is>
          <t xml:space="preserve">    Thu nhập khác (TK 711)</t>
        </is>
      </c>
      <c r="B178" s="120" t="n"/>
      <c r="C178" s="125">
        <f>B02!E21</f>
        <v/>
      </c>
      <c r="D178" s="107" t="n"/>
      <c r="E178" s="125" t="n"/>
      <c r="F178" s="125" t="n"/>
      <c r="G178" s="125" t="n"/>
    </row>
    <row r="179" ht="15" customHeight="1" s="78">
      <c r="A179" s="97" t="inlineStr">
        <is>
          <t xml:space="preserve">    Chi phí khác (TK 811)</t>
        </is>
      </c>
      <c r="B179" s="120" t="n"/>
      <c r="C179" s="125">
        <f>B02!E22</f>
        <v/>
      </c>
      <c r="D179" s="107" t="n"/>
      <c r="E179" s="125" t="n"/>
      <c r="F179" s="125" t="n"/>
      <c r="G179" s="125" t="n"/>
    </row>
    <row r="180" ht="15" customHeight="1" s="78">
      <c r="A180" s="146" t="inlineStr">
        <is>
          <t>VI.8. Chi phí thuế TNDN hiện hành</t>
        </is>
      </c>
      <c r="C180" s="83" t="n"/>
    </row>
    <row r="181" ht="15" customHeight="1" s="78">
      <c r="A181" s="92" t="inlineStr">
        <is>
          <t>Chỉ tiêu</t>
        </is>
      </c>
      <c r="C181" s="92" t="inlineStr">
        <is>
          <t>Năm nay</t>
        </is>
      </c>
      <c r="D181" s="92" t="inlineStr">
        <is>
          <t>Năm trước</t>
        </is>
      </c>
    </row>
    <row r="182" ht="25.35" customHeight="1" s="78">
      <c r="A182" s="97" t="inlineStr">
        <is>
          <t xml:space="preserve">    Chi phí thuế TNDN tính trên thu nhập chịu thuế năm hiện hành</t>
        </is>
      </c>
      <c r="B182" s="120" t="n"/>
      <c r="C182" s="125">
        <f>B02!E25</f>
        <v/>
      </c>
      <c r="D182" s="107" t="n"/>
      <c r="E182" s="125" t="n"/>
      <c r="F182" s="125" t="n"/>
      <c r="G182" s="125" t="n"/>
    </row>
    <row r="184" ht="15" customHeight="1" s="78">
      <c r="A184" s="82" t="inlineStr">
        <is>
          <t>VII. THÔNG TIN BỔ SUNG CHO CÁC KHOẢN MỤC TRÌNH BÀY TRONG BÁO CÁO LƯU CHUYỂN TIỀN TỆ</t>
        </is>
      </c>
    </row>
    <row r="185" ht="25.35" customHeight="1" s="78">
      <c r="A185" s="146" t="inlineStr">
        <is>
          <t>1. Các giao dịch không bằng tiền ảnh hưởng đến BCLCTT</t>
        </is>
      </c>
      <c r="C185" s="147" t="inlineStr">
        <is>
          <t>Mua TSCĐ chưa thanh toán; trích trước chi phí đi vay; khấu trừ thuế GTGT (nếu có — liệt kê giá trị)</t>
        </is>
      </c>
      <c r="D185" s="148" t="n"/>
      <c r="E185" s="148" t="n"/>
      <c r="F185" s="148" t="n"/>
      <c r="G185" s="148" t="n"/>
    </row>
    <row r="186" ht="25.35" customHeight="1" s="78">
      <c r="A186" s="146" t="inlineStr">
        <is>
          <t>2. Các khoản tiền và tương đương tiền doanh nghiệp nắm giữ nhưng không được sử dụng</t>
        </is>
      </c>
      <c r="C186" s="147" t="inlineStr">
        <is>
          <t>Không có</t>
        </is>
      </c>
      <c r="D186" s="148" t="n"/>
      <c r="E186" s="148" t="n"/>
      <c r="F186" s="148" t="n"/>
      <c r="G186" s="148" t="n"/>
    </row>
    <row r="188" ht="15" customHeight="1" s="78">
      <c r="A188" s="82" t="inlineStr">
        <is>
          <t>VIII. NHỮNG THÔNG TIN KHÁC</t>
        </is>
      </c>
    </row>
    <row r="189" ht="25.35" customHeight="1" s="78">
      <c r="A189" s="146" t="inlineStr">
        <is>
          <t>1. Những sự kiện phát sinh sau ngày kết thúc kỳ kế toán năm</t>
        </is>
      </c>
      <c r="C189" s="147" t="inlineStr">
        <is>
          <t>Không có</t>
        </is>
      </c>
      <c r="D189" s="148" t="n"/>
      <c r="E189" s="148" t="n"/>
      <c r="F189" s="148" t="n"/>
      <c r="G189" s="148" t="n"/>
    </row>
    <row r="190" ht="15" customHeight="1" s="78">
      <c r="A190" s="146" t="inlineStr">
        <is>
          <t>2. Thông tin về các bên liên quan</t>
        </is>
      </c>
      <c r="C190" s="147" t="inlineStr">
        <is>
          <t>Không có giao dịch trọng yếu</t>
        </is>
      </c>
      <c r="D190" s="148" t="n"/>
      <c r="E190" s="148" t="n"/>
      <c r="F190" s="148" t="n"/>
      <c r="G190" s="148" t="n"/>
    </row>
    <row r="191" ht="25.35" customHeight="1" s="78">
      <c r="A191" s="146" t="inlineStr">
        <is>
          <t>3. Thông tin so sánh</t>
        </is>
      </c>
      <c r="C191" s="147" t="inlineStr">
        <is>
          <t>Số liệu 'Đầu năm/Năm trước' lấy theo BCTC năm trước đã trình bày lại theo mẫu biểu TT 99/2025/TT-BTC</t>
        </is>
      </c>
      <c r="D191" s="148" t="n"/>
      <c r="E191" s="148" t="n"/>
      <c r="F191" s="148" t="n"/>
      <c r="G191" s="148" t="n"/>
    </row>
    <row r="192" ht="15" customHeight="1" s="78">
      <c r="A192" s="146" t="inlineStr">
        <is>
          <t>4. Thông tin khác</t>
        </is>
      </c>
      <c r="C192" s="147" t="inlineStr">
        <is>
          <t>Không</t>
        </is>
      </c>
      <c r="D192" s="148" t="n"/>
      <c r="E192" s="148" t="n"/>
      <c r="F192" s="148" t="n"/>
      <c r="G192" s="148" t="n"/>
    </row>
    <row r="194" ht="25.35" customHeight="1" s="78">
      <c r="E194" s="119">
        <f>"Lập, ngày "&amp;DAY(DEN_NGAY)&amp;" tháng "&amp;MONTH(DEN_NGAY)&amp;" năm "&amp;YEAR(DEN_NGAY)</f>
        <v/>
      </c>
    </row>
    <row r="195" ht="25.35" customHeight="1" s="78">
      <c r="A195" s="118" t="inlineStr">
        <is>
          <t>Người lập biểu</t>
        </is>
      </c>
      <c r="C195" s="118" t="inlineStr">
        <is>
          <t>Kế toán trưởng</t>
        </is>
      </c>
      <c r="E195" s="118" t="inlineStr">
        <is>
          <t>Người đại diện theo pháp luật</t>
        </is>
      </c>
    </row>
    <row r="196" ht="15" customHeight="1" s="78">
      <c r="A196" s="117" t="inlineStr">
        <is>
          <t>(Ký, họ tên)</t>
        </is>
      </c>
      <c r="C196" s="117" t="inlineStr">
        <is>
          <t>(Ký, họ tên)</t>
        </is>
      </c>
      <c r="E196" s="117" t="inlineStr">
        <is>
          <t>(Ký, họ tên)</t>
        </is>
      </c>
    </row>
    <row r="199" ht="15" customHeight="1" s="78">
      <c r="A199" s="144">
        <f>TT_DN!$C$10</f>
        <v/>
      </c>
      <c r="C199" s="144">
        <f>TT_DN!$C$11</f>
        <v/>
      </c>
      <c r="E199" s="144">
        <f>TT_DN!$C$12</f>
        <v/>
      </c>
    </row>
  </sheetData>
  <mergeCells count="202">
    <mergeCell ref="A186:B186"/>
    <mergeCell ref="A15:B15"/>
    <mergeCell ref="A17:G17"/>
    <mergeCell ref="A98:B98"/>
    <mergeCell ref="A73:B73"/>
    <mergeCell ref="A188:G188"/>
    <mergeCell ref="A191:B191"/>
    <mergeCell ref="A178:B178"/>
    <mergeCell ref="C14:G14"/>
    <mergeCell ref="C45:G45"/>
    <mergeCell ref="A70:B70"/>
    <mergeCell ref="A88:B88"/>
    <mergeCell ref="A162:B162"/>
    <mergeCell ref="C29:G29"/>
    <mergeCell ref="A54:B54"/>
    <mergeCell ref="A143:G143"/>
    <mergeCell ref="A41:B41"/>
    <mergeCell ref="A90:B90"/>
    <mergeCell ref="A172:B172"/>
    <mergeCell ref="A99:B99"/>
    <mergeCell ref="C31:G31"/>
    <mergeCell ref="A74:B74"/>
    <mergeCell ref="A56:B56"/>
    <mergeCell ref="A27:B27"/>
    <mergeCell ref="A163:B163"/>
    <mergeCell ref="A101:B101"/>
    <mergeCell ref="C21:G21"/>
    <mergeCell ref="C192:G192"/>
    <mergeCell ref="C95:G95"/>
    <mergeCell ref="A76:B76"/>
    <mergeCell ref="A33:B33"/>
    <mergeCell ref="A85:B85"/>
    <mergeCell ref="A42:B42"/>
    <mergeCell ref="A140:B140"/>
    <mergeCell ref="A22:B22"/>
    <mergeCell ref="A109:B109"/>
    <mergeCell ref="A19:B19"/>
    <mergeCell ref="A68:B68"/>
    <mergeCell ref="A190:B190"/>
    <mergeCell ref="A28:B28"/>
    <mergeCell ref="A117:B117"/>
    <mergeCell ref="A111:B111"/>
    <mergeCell ref="A9:B9"/>
    <mergeCell ref="C189:G189"/>
    <mergeCell ref="C18:G18"/>
    <mergeCell ref="A39:B39"/>
    <mergeCell ref="A167:B167"/>
    <mergeCell ref="A23:G23"/>
    <mergeCell ref="A48:B48"/>
    <mergeCell ref="A30:B30"/>
    <mergeCell ref="A59:B59"/>
    <mergeCell ref="A11:B11"/>
    <mergeCell ref="A182:B182"/>
    <mergeCell ref="A184:G184"/>
    <mergeCell ref="A45:B45"/>
    <mergeCell ref="A103:B103"/>
    <mergeCell ref="A169:B169"/>
    <mergeCell ref="A79:B79"/>
    <mergeCell ref="A61:B61"/>
    <mergeCell ref="A153:B153"/>
    <mergeCell ref="A34:G34"/>
    <mergeCell ref="C180:G180"/>
    <mergeCell ref="C22:G22"/>
    <mergeCell ref="C127:G127"/>
    <mergeCell ref="A136:B136"/>
    <mergeCell ref="A192:B192"/>
    <mergeCell ref="C176:G176"/>
    <mergeCell ref="A145:B145"/>
    <mergeCell ref="A26:B26"/>
    <mergeCell ref="A139:B139"/>
    <mergeCell ref="C12:G12"/>
    <mergeCell ref="A179:B179"/>
    <mergeCell ref="A71:B71"/>
    <mergeCell ref="A129:B129"/>
    <mergeCell ref="A116:B116"/>
    <mergeCell ref="A8:B8"/>
    <mergeCell ref="C159:G159"/>
    <mergeCell ref="A91:B91"/>
    <mergeCell ref="C153:G153"/>
    <mergeCell ref="A131:B131"/>
    <mergeCell ref="A100:B100"/>
    <mergeCell ref="C106:G106"/>
    <mergeCell ref="A171:B171"/>
    <mergeCell ref="A52:B52"/>
    <mergeCell ref="A165:B165"/>
    <mergeCell ref="A180:B180"/>
    <mergeCell ref="C32:G32"/>
    <mergeCell ref="A3:G3"/>
    <mergeCell ref="A63:B63"/>
    <mergeCell ref="A10:B10"/>
    <mergeCell ref="A115:B115"/>
    <mergeCell ref="A155:B155"/>
    <mergeCell ref="A93:B93"/>
    <mergeCell ref="A102:B102"/>
    <mergeCell ref="A173:B173"/>
    <mergeCell ref="A175:G175"/>
    <mergeCell ref="C145:G145"/>
    <mergeCell ref="A83:B83"/>
    <mergeCell ref="A92:B92"/>
    <mergeCell ref="A166:B166"/>
    <mergeCell ref="C24:G24"/>
    <mergeCell ref="A49:B49"/>
    <mergeCell ref="C33:G33"/>
    <mergeCell ref="A4:G4"/>
    <mergeCell ref="A36:B36"/>
    <mergeCell ref="C156:G156"/>
    <mergeCell ref="A119:B119"/>
    <mergeCell ref="A43:G43"/>
    <mergeCell ref="A168:B168"/>
    <mergeCell ref="C88:G88"/>
    <mergeCell ref="C26:G26"/>
    <mergeCell ref="A69:B69"/>
    <mergeCell ref="A78:B78"/>
    <mergeCell ref="A65:B65"/>
    <mergeCell ref="C10:G10"/>
    <mergeCell ref="C16:G16"/>
    <mergeCell ref="C25:G25"/>
    <mergeCell ref="A133:B133"/>
    <mergeCell ref="A80:B80"/>
    <mergeCell ref="C9:G9"/>
    <mergeCell ref="A55:B55"/>
    <mergeCell ref="A12:B12"/>
    <mergeCell ref="A21:B21"/>
    <mergeCell ref="A104:B104"/>
    <mergeCell ref="A57:B57"/>
    <mergeCell ref="A113:B113"/>
    <mergeCell ref="C11:G11"/>
    <mergeCell ref="A32:B32"/>
    <mergeCell ref="A14:B14"/>
    <mergeCell ref="A185:B185"/>
    <mergeCell ref="C52:G52"/>
    <mergeCell ref="A106:B106"/>
    <mergeCell ref="C150:G150"/>
    <mergeCell ref="A38:B38"/>
    <mergeCell ref="A147:B147"/>
    <mergeCell ref="A156:B156"/>
    <mergeCell ref="A170:B170"/>
    <mergeCell ref="C28:G28"/>
    <mergeCell ref="C186:G186"/>
    <mergeCell ref="A40:B40"/>
    <mergeCell ref="C13:G13"/>
    <mergeCell ref="A67:B67"/>
    <mergeCell ref="C136:G136"/>
    <mergeCell ref="A130:B130"/>
    <mergeCell ref="A24:B24"/>
    <mergeCell ref="C30:G30"/>
    <mergeCell ref="A148:B148"/>
    <mergeCell ref="A82:B82"/>
    <mergeCell ref="A60:B60"/>
    <mergeCell ref="C15:G15"/>
    <mergeCell ref="C185:G185"/>
    <mergeCell ref="C191:G191"/>
    <mergeCell ref="A20:G20"/>
    <mergeCell ref="A123:B123"/>
    <mergeCell ref="A125:G125"/>
    <mergeCell ref="A138:B138"/>
    <mergeCell ref="A132:B132"/>
    <mergeCell ref="A110:B110"/>
    <mergeCell ref="A124:B124"/>
    <mergeCell ref="A16:B16"/>
    <mergeCell ref="A25:B25"/>
    <mergeCell ref="A174:B174"/>
    <mergeCell ref="A108:B108"/>
    <mergeCell ref="C63:G63"/>
    <mergeCell ref="A84:B84"/>
    <mergeCell ref="A66:B66"/>
    <mergeCell ref="A149:B149"/>
    <mergeCell ref="A18:B18"/>
    <mergeCell ref="A189:B189"/>
    <mergeCell ref="A158:B158"/>
    <mergeCell ref="A50:B50"/>
    <mergeCell ref="A86:B86"/>
    <mergeCell ref="C163:G163"/>
    <mergeCell ref="A95:B95"/>
    <mergeCell ref="A47:B47"/>
    <mergeCell ref="C27:G27"/>
    <mergeCell ref="C76:G76"/>
    <mergeCell ref="A141:B141"/>
    <mergeCell ref="C36:G36"/>
    <mergeCell ref="A7:G7"/>
    <mergeCell ref="A150:B150"/>
    <mergeCell ref="C119:G119"/>
    <mergeCell ref="C8:G8"/>
    <mergeCell ref="A159:B159"/>
    <mergeCell ref="A122:B122"/>
    <mergeCell ref="A97:B97"/>
    <mergeCell ref="A72:B72"/>
    <mergeCell ref="A29:B29"/>
    <mergeCell ref="A134:B134"/>
    <mergeCell ref="A81:B81"/>
    <mergeCell ref="A112:B112"/>
    <mergeCell ref="A152:B152"/>
    <mergeCell ref="A121:B121"/>
    <mergeCell ref="A161:B161"/>
    <mergeCell ref="A13:B13"/>
    <mergeCell ref="C19:G19"/>
    <mergeCell ref="C190:G190"/>
    <mergeCell ref="A127:B127"/>
    <mergeCell ref="A31:B31"/>
    <mergeCell ref="A176:B176"/>
    <mergeCell ref="A58:B58"/>
    <mergeCell ref="A114:B114"/>
  </mergeCells>
  <printOptions horizontalCentered="0" verticalCentered="0" headings="0" gridLines="0" gridLinesSet="1"/>
  <pageMargins left="0.75" right="0.75" top="1" bottom="1" header="0.511811023622047" footer="0.5"/>
  <pageSetup orientation="portrait" paperSize="9" scale="100" fitToHeight="0" fitToWidth="1" pageOrder="downThenOver" blackAndWhite="0" draft="0" horizontalDpi="300" verticalDpi="300" copies="1"/>
  <headerFooter differentOddEven="0" differentFirst="0">
    <oddHeader/>
    <oddFooter>&amp;L&amp;8 &amp;K808080Mr Wick Kiểm toán — Phần mềm kế toán TT 99/2025&amp;R&amp;8 &amp;K808080Trang &amp;P/&amp;N</oddFooter>
    <evenHeader/>
    <evenFooter/>
    <firstHeader/>
    <firstFooter/>
  </headerFooter>
</worksheet>
</file>

<file path=xl/worksheets/sheet15.xml><?xml version="1.0" encoding="utf-8"?>
<worksheet xmlns="http://schemas.openxmlformats.org/spreadsheetml/2006/main">
  <sheetPr filterMode="0">
    <outlinePr summaryBelow="1" summaryRight="1"/>
    <pageSetUpPr fitToPage="1"/>
  </sheetPr>
  <dimension ref="A1:D66"/>
  <sheetViews>
    <sheetView showFormulas="0" showGridLines="1"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77" min="1" max="1"/>
    <col width="14" customWidth="1" style="77" min="2" max="3"/>
    <col width="78" customWidth="1" style="77" min="4" max="4"/>
  </cols>
  <sheetData>
    <row r="1"/>
    <row r="2" ht="15" customHeight="1" s="78">
      <c r="A2" s="150" t="inlineStr">
        <is>
          <t>BẢNG PHÂN LOẠI DÒNG TIỀN (Báo cáo LCTT - phương pháp trực tiếp)</t>
        </is>
      </c>
    </row>
    <row r="3" ht="15" customHeight="1" s="78">
      <c r="A3" s="85" t="inlineStr">
        <is>
          <t>Mỗi dòng thu/chi tiền trong NKC được phân loại theo TÀI KHOẢN ĐỐI ỨNG: hệ thống dò tiền tố dài nhất (4→3→2→1 ký tự). Không khớp: THU=06, CHI=07. Có thể sửa/thêm dòng, hoặc ghi đè từng bút toán tại cột 'Mã LCTT' trên NKC.</t>
        </is>
      </c>
    </row>
    <row r="4"/>
    <row r="5"/>
    <row r="6" ht="27.75" customHeight="1" s="78">
      <c r="A6" s="92" t="inlineStr">
        <is>
          <t>Tiền tố TK đối ứng</t>
        </is>
      </c>
      <c r="B6" s="92" t="inlineStr">
        <is>
          <t>Mã khi THU tiền</t>
        </is>
      </c>
      <c r="C6" s="92" t="inlineStr">
        <is>
          <t>Mã khi CHI tiền</t>
        </is>
      </c>
      <c r="D6" s="92" t="inlineStr">
        <is>
          <t>Ý nghĩa</t>
        </is>
      </c>
    </row>
    <row r="7" ht="15" customHeight="1" s="78">
      <c r="A7" s="102" t="inlineStr">
        <is>
          <t>511</t>
        </is>
      </c>
      <c r="B7" s="102" t="inlineStr">
        <is>
          <t>01</t>
        </is>
      </c>
      <c r="C7" s="102" t="inlineStr">
        <is>
          <t>01</t>
        </is>
      </c>
      <c r="D7" s="108" t="inlineStr">
        <is>
          <t>Bán hàng, cung cấp dịch vụ thu tiền ngay (kể cả hoàn trả lại)</t>
        </is>
      </c>
    </row>
    <row r="8" ht="15" customHeight="1" s="78">
      <c r="A8" s="102" t="inlineStr">
        <is>
          <t>521</t>
        </is>
      </c>
      <c r="B8" s="102" t="inlineStr">
        <is>
          <t>01</t>
        </is>
      </c>
      <c r="C8" s="102" t="inlineStr">
        <is>
          <t>01</t>
        </is>
      </c>
      <c r="D8" s="108" t="inlineStr">
        <is>
          <t>Chiết khấu, giảm giá, hàng trả lại chi bằng tiền</t>
        </is>
      </c>
    </row>
    <row r="9" ht="15" customHeight="1" s="78">
      <c r="A9" s="102" t="inlineStr">
        <is>
          <t>131</t>
        </is>
      </c>
      <c r="B9" s="102" t="inlineStr">
        <is>
          <t>01</t>
        </is>
      </c>
      <c r="C9" s="102" t="inlineStr">
        <is>
          <t>01</t>
        </is>
      </c>
      <c r="D9" s="108" t="inlineStr">
        <is>
          <t>Thu nợ khách hàng / trả lại tiền thừa cho khách</t>
        </is>
      </c>
    </row>
    <row r="10" ht="15" customHeight="1" s="78">
      <c r="A10" s="102" t="inlineStr">
        <is>
          <t>3331</t>
        </is>
      </c>
      <c r="B10" s="102" t="inlineStr">
        <is>
          <t>01</t>
        </is>
      </c>
      <c r="C10" s="102" t="inlineStr">
        <is>
          <t>07</t>
        </is>
      </c>
      <c r="D10" s="108" t="inlineStr">
        <is>
          <t>GTGT đầu ra thu cùng doanh thu / nộp thuế GTGT vào NSNN</t>
        </is>
      </c>
    </row>
    <row r="11" ht="15" customHeight="1" s="78">
      <c r="A11" s="102" t="inlineStr">
        <is>
          <t>3334</t>
        </is>
      </c>
      <c r="B11" s="102" t="inlineStr">
        <is>
          <t>06</t>
        </is>
      </c>
      <c r="C11" s="102" t="inlineStr">
        <is>
          <t>05</t>
        </is>
      </c>
      <c r="D11" s="108" t="inlineStr">
        <is>
          <t>Hoàn thuế TNDN / nộp thuế TNDN</t>
        </is>
      </c>
    </row>
    <row r="12" ht="15" customHeight="1" s="78">
      <c r="A12" s="102" t="inlineStr">
        <is>
          <t>333</t>
        </is>
      </c>
      <c r="B12" s="102" t="inlineStr">
        <is>
          <t>06</t>
        </is>
      </c>
      <c r="C12" s="102" t="inlineStr">
        <is>
          <t>07</t>
        </is>
      </c>
      <c r="D12" s="108" t="inlineStr">
        <is>
          <t>Hoàn thuế khác / nộp các loại thuế, phí khác</t>
        </is>
      </c>
    </row>
    <row r="13" ht="15" customHeight="1" s="78">
      <c r="A13" s="102" t="inlineStr">
        <is>
          <t>133</t>
        </is>
      </c>
      <c r="B13" s="102" t="inlineStr">
        <is>
          <t>06</t>
        </is>
      </c>
      <c r="C13" s="102" t="inlineStr">
        <is>
          <t>07</t>
        </is>
      </c>
      <c r="D13" s="108" t="inlineStr">
        <is>
          <t>Hoàn thuế GTGT đầu vào bằng tiền</t>
        </is>
      </c>
    </row>
    <row r="14" ht="15" customHeight="1" s="78">
      <c r="A14" s="102" t="inlineStr">
        <is>
          <t>331</t>
        </is>
      </c>
      <c r="B14" s="102" t="inlineStr">
        <is>
          <t>02</t>
        </is>
      </c>
      <c r="C14" s="102" t="inlineStr">
        <is>
          <t>02</t>
        </is>
      </c>
      <c r="D14" s="108" t="inlineStr">
        <is>
          <t>Trả tiền người bán / người bán hoàn lại (mua TSCĐ trả qua 331: ghi đè 21)</t>
        </is>
      </c>
    </row>
    <row r="15" ht="15" customHeight="1" s="78">
      <c r="A15" s="102" t="inlineStr">
        <is>
          <t>15</t>
        </is>
      </c>
      <c r="B15" s="102" t="inlineStr">
        <is>
          <t>06</t>
        </is>
      </c>
      <c r="C15" s="102" t="inlineStr">
        <is>
          <t>02</t>
        </is>
      </c>
      <c r="D15" s="108" t="inlineStr">
        <is>
          <t>Mua vật tư, hàng hóa trả tiền ngay</t>
        </is>
      </c>
    </row>
    <row r="16" ht="15" customHeight="1" s="78">
      <c r="A16" s="102" t="inlineStr">
        <is>
          <t>154</t>
        </is>
      </c>
      <c r="B16" s="102" t="inlineStr">
        <is>
          <t>06</t>
        </is>
      </c>
      <c r="C16" s="102" t="inlineStr">
        <is>
          <t>02</t>
        </is>
      </c>
      <c r="D16" s="108" t="inlineStr">
        <is>
          <t>Chi phí SXKD dở dang trả tiền ngay</t>
        </is>
      </c>
    </row>
    <row r="17" ht="15" customHeight="1" s="78">
      <c r="A17" s="102" t="inlineStr">
        <is>
          <t>635</t>
        </is>
      </c>
      <c r="B17" s="102" t="inlineStr">
        <is>
          <t>06</t>
        </is>
      </c>
      <c r="C17" s="102" t="inlineStr">
        <is>
          <t>04</t>
        </is>
      </c>
      <c r="D17" s="108" t="inlineStr">
        <is>
          <t>Chi phí đi vay đã trả bằng tiền</t>
        </is>
      </c>
    </row>
    <row r="18" ht="15" customHeight="1" s="78">
      <c r="A18" s="102" t="inlineStr">
        <is>
          <t>6</t>
        </is>
      </c>
      <c r="B18" s="102" t="inlineStr">
        <is>
          <t>06</t>
        </is>
      </c>
      <c r="C18" s="102" t="inlineStr">
        <is>
          <t>02</t>
        </is>
      </c>
      <c r="D18" s="108" t="inlineStr">
        <is>
          <t>Chi phí dịch vụ mua ngoài, chi phí khác trả tiền ngay</t>
        </is>
      </c>
    </row>
    <row r="19" ht="15" customHeight="1" s="78">
      <c r="A19" s="102" t="inlineStr">
        <is>
          <t>334</t>
        </is>
      </c>
      <c r="B19" s="102" t="inlineStr">
        <is>
          <t>03</t>
        </is>
      </c>
      <c r="C19" s="102" t="inlineStr">
        <is>
          <t>03</t>
        </is>
      </c>
      <c r="D19" s="108" t="inlineStr">
        <is>
          <t>Trả lương, thưởng cho người lao động / thu hồi chi thừa</t>
        </is>
      </c>
    </row>
    <row r="20" ht="15" customHeight="1" s="78">
      <c r="A20" s="102" t="inlineStr">
        <is>
          <t>335</t>
        </is>
      </c>
      <c r="B20" s="102" t="inlineStr">
        <is>
          <t>06</t>
        </is>
      </c>
      <c r="C20" s="102" t="inlineStr">
        <is>
          <t>04</t>
        </is>
      </c>
      <c r="D20" s="108" t="inlineStr">
        <is>
          <t>Trả chi phí đi vay đã trích trước</t>
        </is>
      </c>
    </row>
    <row r="21" ht="15" customHeight="1" s="78">
      <c r="A21" s="102" t="inlineStr">
        <is>
          <t>338</t>
        </is>
      </c>
      <c r="B21" s="102" t="inlineStr">
        <is>
          <t>06</t>
        </is>
      </c>
      <c r="C21" s="102" t="inlineStr">
        <is>
          <t>07</t>
        </is>
      </c>
      <c r="D21" s="108" t="inlineStr">
        <is>
          <t>Nhận ký cược, thu khác / nộp BHXH-BHYT-BHTN-KPCĐ, chi khác</t>
        </is>
      </c>
    </row>
    <row r="22" ht="15" customHeight="1" s="78">
      <c r="A22" s="102" t="inlineStr">
        <is>
          <t>3387</t>
        </is>
      </c>
      <c r="B22" s="102" t="inlineStr">
        <is>
          <t>01</t>
        </is>
      </c>
      <c r="C22" s="102" t="inlineStr">
        <is>
          <t>07</t>
        </is>
      </c>
      <c r="D22" s="108" t="inlineStr">
        <is>
          <t>Người mua trả trước cho nhiều kỳ (doanh thu chờ phân bổ)</t>
        </is>
      </c>
    </row>
    <row r="23" ht="15" customHeight="1" s="78">
      <c r="A23" s="102" t="inlineStr">
        <is>
          <t>141</t>
        </is>
      </c>
      <c r="B23" s="102" t="inlineStr">
        <is>
          <t>06</t>
        </is>
      </c>
      <c r="C23" s="102" t="inlineStr">
        <is>
          <t>07</t>
        </is>
      </c>
      <c r="D23" s="108" t="inlineStr">
        <is>
          <t>Hoàn ứng / chi tạm ứng cho người lao động</t>
        </is>
      </c>
    </row>
    <row r="24" ht="15" customHeight="1" s="78">
      <c r="A24" s="102" t="inlineStr">
        <is>
          <t>138</t>
        </is>
      </c>
      <c r="B24" s="102" t="inlineStr">
        <is>
          <t>06</t>
        </is>
      </c>
      <c r="C24" s="102" t="inlineStr">
        <is>
          <t>07</t>
        </is>
      </c>
      <c r="D24" s="108" t="inlineStr">
        <is>
          <t>Thu khác / chi khác qua phải thu khác</t>
        </is>
      </c>
    </row>
    <row r="25" ht="15" customHeight="1" s="78">
      <c r="A25" s="102" t="inlineStr">
        <is>
          <t>136</t>
        </is>
      </c>
      <c r="B25" s="102" t="inlineStr">
        <is>
          <t>06</t>
        </is>
      </c>
      <c r="C25" s="102" t="inlineStr">
        <is>
          <t>07</t>
        </is>
      </c>
      <c r="D25" s="108" t="inlineStr">
        <is>
          <t>Thu, chi nội bộ hoạt động kinh doanh</t>
        </is>
      </c>
    </row>
    <row r="26" ht="15" customHeight="1" s="78">
      <c r="A26" s="102" t="inlineStr">
        <is>
          <t>336</t>
        </is>
      </c>
      <c r="B26" s="102" t="inlineStr">
        <is>
          <t>06</t>
        </is>
      </c>
      <c r="C26" s="102" t="inlineStr">
        <is>
          <t>07</t>
        </is>
      </c>
      <c r="D26" s="108" t="inlineStr">
        <is>
          <t>Thu, chi nội bộ hoạt động kinh doanh</t>
        </is>
      </c>
    </row>
    <row r="27" ht="15" customHeight="1" s="78">
      <c r="A27" s="102" t="inlineStr">
        <is>
          <t>244</t>
        </is>
      </c>
      <c r="B27" s="102" t="inlineStr">
        <is>
          <t>06</t>
        </is>
      </c>
      <c r="C27" s="102" t="inlineStr">
        <is>
          <t>07</t>
        </is>
      </c>
      <c r="D27" s="108" t="inlineStr">
        <is>
          <t>Thu hồi ký quỹ, ký cược / chi ký quỹ, ký cược</t>
        </is>
      </c>
    </row>
    <row r="28" ht="15" customHeight="1" s="78">
      <c r="A28" s="102" t="inlineStr">
        <is>
          <t>344</t>
        </is>
      </c>
      <c r="B28" s="102" t="inlineStr">
        <is>
          <t>06</t>
        </is>
      </c>
      <c r="C28" s="102" t="inlineStr">
        <is>
          <t>07</t>
        </is>
      </c>
      <c r="D28" s="108" t="inlineStr">
        <is>
          <t>Nhận ký quỹ, ký cược / hoàn trả ký quỹ, ký cược</t>
        </is>
      </c>
    </row>
    <row r="29" ht="15" customHeight="1" s="78">
      <c r="A29" s="102" t="inlineStr">
        <is>
          <t>352</t>
        </is>
      </c>
      <c r="B29" s="102" t="inlineStr">
        <is>
          <t>06</t>
        </is>
      </c>
      <c r="C29" s="102" t="inlineStr">
        <is>
          <t>07</t>
        </is>
      </c>
      <c r="D29" s="108" t="inlineStr">
        <is>
          <t>Chi từ dự phòng phải trả</t>
        </is>
      </c>
    </row>
    <row r="30" ht="15" customHeight="1" s="78">
      <c r="A30" s="102" t="inlineStr">
        <is>
          <t>353</t>
        </is>
      </c>
      <c r="B30" s="102" t="inlineStr">
        <is>
          <t>06</t>
        </is>
      </c>
      <c r="C30" s="102" t="inlineStr">
        <is>
          <t>07</t>
        </is>
      </c>
      <c r="D30" s="108" t="inlineStr">
        <is>
          <t>Chi khen thưởng, phúc lợi</t>
        </is>
      </c>
    </row>
    <row r="31" ht="15" customHeight="1" s="78">
      <c r="A31" s="102" t="inlineStr">
        <is>
          <t>121</t>
        </is>
      </c>
      <c r="B31" s="102" t="inlineStr">
        <is>
          <t>06</t>
        </is>
      </c>
      <c r="C31" s="102" t="inlineStr">
        <is>
          <t>07</t>
        </is>
      </c>
      <c r="D31" s="108" t="inlineStr">
        <is>
          <t>Mua, bán chứng khoán kinh doanh (thuộc HĐKD theo VAS 24)</t>
        </is>
      </c>
    </row>
    <row r="32" ht="15" customHeight="1" s="78">
      <c r="A32" s="102" t="inlineStr">
        <is>
          <t>711</t>
        </is>
      </c>
      <c r="B32" s="102" t="inlineStr">
        <is>
          <t>06</t>
        </is>
      </c>
      <c r="C32" s="102" t="inlineStr">
        <is>
          <t>06</t>
        </is>
      </c>
      <c r="D32" s="108" t="inlineStr">
        <is>
          <t>Thu nhập khác bằng tiền (thanh lý TSCĐ: ghi đè 22)</t>
        </is>
      </c>
    </row>
    <row r="33" ht="15" customHeight="1" s="78">
      <c r="A33" s="102" t="inlineStr">
        <is>
          <t>811</t>
        </is>
      </c>
      <c r="B33" s="102" t="inlineStr">
        <is>
          <t>06</t>
        </is>
      </c>
      <c r="C33" s="102" t="inlineStr">
        <is>
          <t>07</t>
        </is>
      </c>
      <c r="D33" s="108" t="inlineStr">
        <is>
          <t>Chi phí khác bằng tiền (chi thanh lý TSCĐ: ghi đè 22)</t>
        </is>
      </c>
    </row>
    <row r="34" ht="15" customHeight="1" s="78">
      <c r="A34" s="102" t="inlineStr">
        <is>
          <t>211</t>
        </is>
      </c>
      <c r="B34" s="102" t="inlineStr">
        <is>
          <t>22</t>
        </is>
      </c>
      <c r="C34" s="102" t="inlineStr">
        <is>
          <t>21</t>
        </is>
      </c>
      <c r="D34" s="108" t="inlineStr">
        <is>
          <t>Mua sắm / thanh lý TSCĐ hữu hình</t>
        </is>
      </c>
    </row>
    <row r="35" ht="15" customHeight="1" s="78">
      <c r="A35" s="102" t="inlineStr">
        <is>
          <t>212</t>
        </is>
      </c>
      <c r="B35" s="102" t="inlineStr">
        <is>
          <t>22</t>
        </is>
      </c>
      <c r="C35" s="102" t="inlineStr">
        <is>
          <t>21</t>
        </is>
      </c>
      <c r="D35" s="108" t="inlineStr">
        <is>
          <t>TSCĐ thuê tài chính</t>
        </is>
      </c>
    </row>
    <row r="36" ht="15" customHeight="1" s="78">
      <c r="A36" s="102" t="inlineStr">
        <is>
          <t>213</t>
        </is>
      </c>
      <c r="B36" s="102" t="inlineStr">
        <is>
          <t>22</t>
        </is>
      </c>
      <c r="C36" s="102" t="inlineStr">
        <is>
          <t>21</t>
        </is>
      </c>
      <c r="D36" s="108" t="inlineStr">
        <is>
          <t>Mua sắm / nhượng bán TSCĐ vô hình</t>
        </is>
      </c>
    </row>
    <row r="37" ht="15" customHeight="1" s="78">
      <c r="A37" s="102" t="inlineStr">
        <is>
          <t>215</t>
        </is>
      </c>
      <c r="B37" s="102" t="inlineStr">
        <is>
          <t>22</t>
        </is>
      </c>
      <c r="C37" s="102" t="inlineStr">
        <is>
          <t>21</t>
        </is>
      </c>
      <c r="D37" s="108" t="inlineStr">
        <is>
          <t>Mua / bán tài sản sinh học</t>
        </is>
      </c>
    </row>
    <row r="38" ht="15" customHeight="1" s="78">
      <c r="A38" s="102" t="inlineStr">
        <is>
          <t>217</t>
        </is>
      </c>
      <c r="B38" s="102" t="inlineStr">
        <is>
          <t>22</t>
        </is>
      </c>
      <c r="C38" s="102" t="inlineStr">
        <is>
          <t>21</t>
        </is>
      </c>
      <c r="D38" s="108" t="inlineStr">
        <is>
          <t>Mua / bán bất động sản đầu tư</t>
        </is>
      </c>
    </row>
    <row r="39" ht="15" customHeight="1" s="78">
      <c r="A39" s="102" t="inlineStr">
        <is>
          <t>241</t>
        </is>
      </c>
      <c r="B39" s="102" t="inlineStr">
        <is>
          <t>22</t>
        </is>
      </c>
      <c r="C39" s="102" t="inlineStr">
        <is>
          <t>21</t>
        </is>
      </c>
      <c r="D39" s="108" t="inlineStr">
        <is>
          <t>Chi đầu tư XDCB, mua sắm, nâng cấp TSCĐ</t>
        </is>
      </c>
    </row>
    <row r="40" ht="15" customHeight="1" s="78">
      <c r="A40" s="102" t="inlineStr">
        <is>
          <t>128</t>
        </is>
      </c>
      <c r="B40" s="102" t="inlineStr">
        <is>
          <t>24</t>
        </is>
      </c>
      <c r="C40" s="102" t="inlineStr">
        <is>
          <t>23</t>
        </is>
      </c>
      <c r="D40" s="108" t="inlineStr">
        <is>
          <t>Gửi tiền có kỳ hạn, cho vay / thu hồi</t>
        </is>
      </c>
    </row>
    <row r="41" ht="15" customHeight="1" s="78">
      <c r="A41" s="102" t="inlineStr">
        <is>
          <t>221</t>
        </is>
      </c>
      <c r="B41" s="102" t="inlineStr">
        <is>
          <t>26</t>
        </is>
      </c>
      <c r="C41" s="102" t="inlineStr">
        <is>
          <t>25</t>
        </is>
      </c>
      <c r="D41" s="108" t="inlineStr">
        <is>
          <t>Đầu tư vào công ty con</t>
        </is>
      </c>
    </row>
    <row r="42" ht="15" customHeight="1" s="78">
      <c r="A42" s="102" t="inlineStr">
        <is>
          <t>222</t>
        </is>
      </c>
      <c r="B42" s="102" t="inlineStr">
        <is>
          <t>26</t>
        </is>
      </c>
      <c r="C42" s="102" t="inlineStr">
        <is>
          <t>25</t>
        </is>
      </c>
      <c r="D42" s="108" t="inlineStr">
        <is>
          <t>Đầu tư liên doanh, liên kết</t>
        </is>
      </c>
    </row>
    <row r="43" ht="15" customHeight="1" s="78">
      <c r="A43" s="102" t="inlineStr">
        <is>
          <t>228</t>
        </is>
      </c>
      <c r="B43" s="102" t="inlineStr">
        <is>
          <t>26</t>
        </is>
      </c>
      <c r="C43" s="102" t="inlineStr">
        <is>
          <t>25</t>
        </is>
      </c>
      <c r="D43" s="108" t="inlineStr">
        <is>
          <t>Đầu tư góp vốn khác</t>
        </is>
      </c>
    </row>
    <row r="44" ht="15" customHeight="1" s="78">
      <c r="A44" s="102" t="inlineStr">
        <is>
          <t>515</t>
        </is>
      </c>
      <c r="B44" s="102" t="inlineStr">
        <is>
          <t>27</t>
        </is>
      </c>
      <c r="C44" s="102" t="inlineStr">
        <is>
          <t>07</t>
        </is>
      </c>
      <c r="D44" s="108" t="inlineStr">
        <is>
          <t>Thu lãi cho vay, lãi tiền gửi, cổ tức, lợi nhuận được chia</t>
        </is>
      </c>
    </row>
    <row r="45" ht="15" customHeight="1" s="78">
      <c r="A45" s="102" t="inlineStr">
        <is>
          <t>411</t>
        </is>
      </c>
      <c r="B45" s="102" t="inlineStr">
        <is>
          <t>31</t>
        </is>
      </c>
      <c r="C45" s="102" t="inlineStr">
        <is>
          <t>32</t>
        </is>
      </c>
      <c r="D45" s="108" t="inlineStr">
        <is>
          <t>Nhận vốn góp / trả lại vốn góp</t>
        </is>
      </c>
    </row>
    <row r="46" ht="15" customHeight="1" s="78">
      <c r="A46" s="102" t="inlineStr">
        <is>
          <t>419</t>
        </is>
      </c>
      <c r="B46" s="102" t="inlineStr">
        <is>
          <t>31</t>
        </is>
      </c>
      <c r="C46" s="102" t="inlineStr">
        <is>
          <t>32</t>
        </is>
      </c>
      <c r="D46" s="108" t="inlineStr">
        <is>
          <t>Bán cổ phiếu mua lại / mua lại cổ phiếu</t>
        </is>
      </c>
    </row>
    <row r="47" ht="15" customHeight="1" s="78">
      <c r="A47" s="102" t="inlineStr">
        <is>
          <t>3411</t>
        </is>
      </c>
      <c r="B47" s="102" t="inlineStr">
        <is>
          <t>33</t>
        </is>
      </c>
      <c r="C47" s="102" t="inlineStr">
        <is>
          <t>34</t>
        </is>
      </c>
      <c r="D47" s="108" t="inlineStr">
        <is>
          <t>Nhận tiền vay / trả nợ gốc vay</t>
        </is>
      </c>
    </row>
    <row r="48" ht="15" customHeight="1" s="78">
      <c r="A48" s="102" t="inlineStr">
        <is>
          <t>3412</t>
        </is>
      </c>
      <c r="B48" s="102" t="inlineStr">
        <is>
          <t>33</t>
        </is>
      </c>
      <c r="C48" s="102" t="inlineStr">
        <is>
          <t>35</t>
        </is>
      </c>
      <c r="D48" s="108" t="inlineStr">
        <is>
          <t>Trả nợ gốc thuê tài chính</t>
        </is>
      </c>
    </row>
    <row r="49" ht="15" customHeight="1" s="78">
      <c r="A49" s="102" t="inlineStr">
        <is>
          <t>341</t>
        </is>
      </c>
      <c r="B49" s="102" t="inlineStr">
        <is>
          <t>33</t>
        </is>
      </c>
      <c r="C49" s="102" t="inlineStr">
        <is>
          <t>34</t>
        </is>
      </c>
      <c r="D49" s="108" t="inlineStr">
        <is>
          <t>Nhận tiền vay / trả nợ gốc vay</t>
        </is>
      </c>
    </row>
    <row r="50" ht="15" customHeight="1" s="78">
      <c r="A50" s="102" t="inlineStr">
        <is>
          <t>343</t>
        </is>
      </c>
      <c r="B50" s="102" t="inlineStr">
        <is>
          <t>33</t>
        </is>
      </c>
      <c r="C50" s="102" t="inlineStr">
        <is>
          <t>34</t>
        </is>
      </c>
      <c r="D50" s="108" t="inlineStr">
        <is>
          <t>Phát hành / mua lại trái phiếu</t>
        </is>
      </c>
    </row>
    <row r="51" ht="15" customHeight="1" s="78">
      <c r="A51" s="102" t="inlineStr">
        <is>
          <t>332</t>
        </is>
      </c>
      <c r="B51" s="102" t="inlineStr">
        <is>
          <t>06</t>
        </is>
      </c>
      <c r="C51" s="102" t="inlineStr">
        <is>
          <t>36</t>
        </is>
      </c>
      <c r="D51" s="108" t="inlineStr">
        <is>
          <t>Cổ tức, lợi nhuận đã trả cho chủ sở hữu</t>
        </is>
      </c>
    </row>
    <row r="52" ht="15" customHeight="1" s="78">
      <c r="A52" s="102" t="inlineStr">
        <is>
          <t>421</t>
        </is>
      </c>
      <c r="B52" s="102" t="inlineStr">
        <is>
          <t>06</t>
        </is>
      </c>
      <c r="C52" s="102" t="inlineStr">
        <is>
          <t>36</t>
        </is>
      </c>
      <c r="D52" s="108" t="inlineStr">
        <is>
          <t>Chia cổ tức, lợi nhuận trực tiếp từ LNST</t>
        </is>
      </c>
    </row>
    <row r="53" ht="15" customHeight="1" s="78">
      <c r="A53" s="99" t="n"/>
      <c r="B53" s="102" t="n"/>
      <c r="C53" s="102" t="n"/>
      <c r="D53" s="103" t="n"/>
    </row>
    <row r="54" ht="15" customHeight="1" s="78">
      <c r="A54" s="99" t="n"/>
      <c r="B54" s="102" t="n"/>
      <c r="C54" s="102" t="n"/>
      <c r="D54" s="103" t="n"/>
    </row>
    <row r="55" ht="15" customHeight="1" s="78">
      <c r="A55" s="99" t="n"/>
      <c r="B55" s="102" t="n"/>
      <c r="C55" s="102" t="n"/>
      <c r="D55" s="103" t="n"/>
    </row>
    <row r="56" ht="15" customHeight="1" s="78">
      <c r="A56" s="99" t="n"/>
      <c r="B56" s="102" t="n"/>
      <c r="C56" s="102" t="n"/>
      <c r="D56" s="103" t="n"/>
    </row>
    <row r="57" ht="15" customHeight="1" s="78">
      <c r="A57" s="99" t="n"/>
      <c r="B57" s="102" t="n"/>
      <c r="C57" s="102" t="n"/>
      <c r="D57" s="103" t="n"/>
    </row>
    <row r="58" ht="15" customHeight="1" s="78">
      <c r="A58" s="99" t="n"/>
      <c r="B58" s="102" t="n"/>
      <c r="C58" s="102" t="n"/>
      <c r="D58" s="103" t="n"/>
    </row>
    <row r="59" ht="15" customHeight="1" s="78">
      <c r="A59" s="99" t="n"/>
      <c r="B59" s="102" t="n"/>
      <c r="C59" s="102" t="n"/>
      <c r="D59" s="103" t="n"/>
    </row>
    <row r="60" ht="15" customHeight="1" s="78">
      <c r="A60" s="99" t="n"/>
      <c r="B60" s="102" t="n"/>
      <c r="C60" s="102" t="n"/>
      <c r="D60" s="103" t="n"/>
    </row>
    <row r="61" ht="15" customHeight="1" s="78">
      <c r="A61" s="99" t="n"/>
      <c r="B61" s="102" t="n"/>
      <c r="C61" s="102" t="n"/>
      <c r="D61" s="103" t="n"/>
    </row>
    <row r="62" ht="15" customHeight="1" s="78">
      <c r="A62" s="99" t="n"/>
      <c r="B62" s="102" t="n"/>
      <c r="C62" s="102" t="n"/>
      <c r="D62" s="103" t="n"/>
    </row>
    <row r="63" ht="15" customHeight="1" s="78">
      <c r="A63" s="99" t="n"/>
      <c r="B63" s="102" t="n"/>
      <c r="C63" s="102" t="n"/>
      <c r="D63" s="103" t="n"/>
    </row>
    <row r="64" ht="15" customHeight="1" s="78">
      <c r="A64" s="99" t="n"/>
      <c r="B64" s="102" t="n"/>
      <c r="C64" s="102" t="n"/>
      <c r="D64" s="103" t="n"/>
    </row>
    <row r="65" ht="15" customHeight="1" s="78">
      <c r="A65" s="99" t="n"/>
      <c r="B65" s="102" t="n"/>
      <c r="C65" s="102" t="n"/>
      <c r="D65" s="103" t="n"/>
    </row>
    <row r="66" ht="15" customHeight="1" s="78">
      <c r="A66" s="99" t="n"/>
      <c r="B66" s="102" t="n"/>
      <c r="C66" s="102" t="n"/>
      <c r="D66" s="103" t="n"/>
    </row>
  </sheetData>
  <sheetProtection selectLockedCells="0" selectUnlockedCells="0" sheet="1" objects="0" insertRows="1" insertHyperlinks="1" autoFilter="0" scenarios="0" formatColumns="0" deleteColumns="1" insertColumns="1" pivotTables="1" deleteRows="1" formatCells="0" formatRows="0" sort="0"/>
  <mergeCells count="1">
    <mergeCell ref="A2:D2"/>
  </mergeCells>
  <printOptions horizontalCentered="0" verticalCentered="0" headings="0" gridLines="0" gridLinesSet="1"/>
  <pageMargins left="0.75" right="0.75" top="1" bottom="1" header="0.511811023622047" footer="0.5"/>
  <pageSetup orientation="portrait" paperSize="9" scale="100" fitToHeight="0" fitToWidth="1" pageOrder="downThenOver" blackAndWhite="0" draft="0" horizontalDpi="300" verticalDpi="300" copies="1"/>
  <headerFooter differentOddEven="0" differentFirst="0">
    <oddHeader/>
    <oddFooter>&amp;L&amp;8 &amp;K808080Mr Wick Kiểm toán — Phần mềm kế toán TT 99/2025&amp;R&amp;8 &amp;K808080Trang &amp;P/&amp;N</oddFooter>
    <evenHeader/>
    <evenFooter/>
    <firstHeader/>
    <firstFooter/>
  </headerFooter>
</worksheet>
</file>

<file path=xl/worksheets/sheet16.xml><?xml version="1.0" encoding="utf-8"?>
<worksheet xmlns="http://schemas.openxmlformats.org/spreadsheetml/2006/main">
  <sheetPr filterMode="0">
    <outlinePr summaryBelow="1" summaryRight="1"/>
    <pageSetUpPr fitToPage="1"/>
  </sheetPr>
  <dimension ref="A1:F2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 customWidth="1" style="77" min="1" max="1"/>
    <col width="66" customWidth="1" style="77" min="2" max="2"/>
    <col width="20" customWidth="1" style="77" min="3" max="4"/>
    <col width="16" customWidth="1" style="77" min="5" max="5"/>
    <col width="14" customWidth="1" style="77" min="6" max="6"/>
  </cols>
  <sheetData>
    <row r="1"/>
    <row r="2" ht="17.35" customHeight="1" s="78">
      <c r="A2" s="84" t="inlineStr">
        <is>
          <t>BẢNG KIỂM TRA ĐỐI CHIẾU SỐ LIỆU</t>
        </is>
      </c>
    </row>
    <row r="3" ht="15" customHeight="1" s="78">
      <c r="A3" s="85" t="inlineStr">
        <is>
          <t>Trước khi in báo cáo: tất cả các dòng phải ở trạng thái ✔. Nếu ✘, xem cột hướng dẫn xử lý bên dưới bảng.</t>
        </is>
      </c>
    </row>
    <row r="4"/>
    <row r="5" ht="27.75" customHeight="1" s="78">
      <c r="A5" s="92" t="inlineStr">
        <is>
          <t>STT</t>
        </is>
      </c>
      <c r="B5" s="92" t="inlineStr">
        <is>
          <t>Nội dung kiểm tra</t>
        </is>
      </c>
      <c r="C5" s="92" t="inlineStr">
        <is>
          <t>Giá trị 1</t>
        </is>
      </c>
      <c r="D5" s="92" t="inlineStr">
        <is>
          <t>Giá trị 2</t>
        </is>
      </c>
      <c r="E5" s="92" t="inlineStr">
        <is>
          <t>Chênh lệch</t>
        </is>
      </c>
      <c r="F5" s="92" t="inlineStr">
        <is>
          <t>Kết quả</t>
        </is>
      </c>
    </row>
    <row r="6" ht="15" customHeight="1" s="78">
      <c r="A6" s="95" t="n">
        <v>1</v>
      </c>
      <c r="B6" s="97" t="inlineStr">
        <is>
          <t>Số dư đầu năm: Tổng dư Nợ = Tổng dư Có</t>
        </is>
      </c>
      <c r="C6" s="125">
        <f>SDDK!$C$4</f>
        <v/>
      </c>
      <c r="D6" s="125">
        <f>SDDK!$D$4</f>
        <v/>
      </c>
      <c r="E6" s="125">
        <f>N(C6)-N(D6)</f>
        <v/>
      </c>
      <c r="F6" s="151">
        <f>IF(ROUND(N(E6),0)=0,"✔ Khớp","✘ Lệch")</f>
        <v/>
      </c>
    </row>
    <row r="7" ht="15" customHeight="1" s="78">
      <c r="A7" s="95" t="n">
        <v>2</v>
      </c>
      <c r="B7" s="97" t="inlineStr">
        <is>
          <t>Nhật ký chung: số dòng bị cảnh báo lỗi (phải = 0)</t>
        </is>
      </c>
      <c r="C7" s="125">
        <f>SUMPRODUCT((NKC!$L$7:$L$3006&lt;&gt;"")*1)</f>
        <v/>
      </c>
      <c r="D7" s="125">
        <f>0</f>
        <v/>
      </c>
      <c r="E7" s="125">
        <f>N(C7)-N(D7)</f>
        <v/>
      </c>
      <c r="F7" s="151">
        <f>IF(ROUND(N(E7),0)=0,"✔ Khớp","✘ Lệch")</f>
        <v/>
      </c>
    </row>
    <row r="8" ht="15" customHeight="1" s="78">
      <c r="A8" s="95" t="n">
        <v>3</v>
      </c>
      <c r="B8" s="97" t="inlineStr">
        <is>
          <t>CĐPS: Tổng dư đầu kỳ Nợ = Có</t>
        </is>
      </c>
      <c r="C8" s="125">
        <f>CDPS!$D$252</f>
        <v/>
      </c>
      <c r="D8" s="125">
        <f>CDPS!$E$252</f>
        <v/>
      </c>
      <c r="E8" s="125">
        <f>N(C8)-N(D8)</f>
        <v/>
      </c>
      <c r="F8" s="151">
        <f>IF(ROUND(N(E8),0)=0,"✔ Khớp","✘ Lệch")</f>
        <v/>
      </c>
    </row>
    <row r="9" ht="15" customHeight="1" s="78">
      <c r="A9" s="95" t="n">
        <v>4</v>
      </c>
      <c r="B9" s="97" t="inlineStr">
        <is>
          <t>CĐPS: Tổng phát sinh Nợ = Có</t>
        </is>
      </c>
      <c r="C9" s="125">
        <f>CDPS!$F$252</f>
        <v/>
      </c>
      <c r="D9" s="125">
        <f>CDPS!$G$252</f>
        <v/>
      </c>
      <c r="E9" s="125">
        <f>N(C9)-N(D9)</f>
        <v/>
      </c>
      <c r="F9" s="151">
        <f>IF(ROUND(N(E9),0)=0,"✔ Khớp","✘ Lệch")</f>
        <v/>
      </c>
    </row>
    <row r="10" ht="15" customHeight="1" s="78">
      <c r="A10" s="95" t="n">
        <v>5</v>
      </c>
      <c r="B10" s="97" t="inlineStr">
        <is>
          <t>CĐPS: Tổng dư cuối kỳ Nợ = Có</t>
        </is>
      </c>
      <c r="C10" s="125">
        <f>CDPS!$H$252</f>
        <v/>
      </c>
      <c r="D10" s="125">
        <f>CDPS!$I$252</f>
        <v/>
      </c>
      <c r="E10" s="125">
        <f>N(C10)-N(D10)</f>
        <v/>
      </c>
      <c r="F10" s="151">
        <f>IF(ROUND(N(E10),0)=0,"✔ Khớp","✘ Lệch")</f>
        <v/>
      </c>
    </row>
    <row r="11" ht="15" customHeight="1" s="78">
      <c r="A11" s="95" t="n">
        <v>6</v>
      </c>
      <c r="B11" s="97" t="inlineStr">
        <is>
          <t>B01: TỔNG TÀI SẢN = TỔNG NGUỒN VỐN (cuối kỳ)</t>
        </is>
      </c>
      <c r="C11" s="125">
        <f>B01!E86</f>
        <v/>
      </c>
      <c r="D11" s="125">
        <f>B01!E134</f>
        <v/>
      </c>
      <c r="E11" s="125">
        <f>N(C11)-N(D11)</f>
        <v/>
      </c>
      <c r="F11" s="151">
        <f>IF(ROUND(N(E11),0)=0,"✔ Khớp","✘ Lệch")</f>
        <v/>
      </c>
    </row>
    <row r="12" ht="15" customHeight="1" s="78">
      <c r="A12" s="95" t="n">
        <v>7</v>
      </c>
      <c r="B12" s="97" t="inlineStr">
        <is>
          <t>B01: TỔNG TÀI SẢN = TỔNG NGUỒN VỐN (đầu năm)</t>
        </is>
      </c>
      <c r="C12" s="125">
        <f>B01!F86</f>
        <v/>
      </c>
      <c r="D12" s="125">
        <f>B01!F134</f>
        <v/>
      </c>
      <c r="E12" s="125">
        <f>N(C12)-N(D12)</f>
        <v/>
      </c>
      <c r="F12" s="151">
        <f>IF(ROUND(N(E12),0)=0,"✔ Khớp","✘ Lệch")</f>
        <v/>
      </c>
    </row>
    <row r="13" ht="15" customHeight="1" s="78">
      <c r="A13" s="95" t="n">
        <v>8</v>
      </c>
      <c r="B13" s="97" t="inlineStr">
        <is>
          <t>B03 trực tiếp: Tiền cuối kỳ (mã 70) = Tiền trên CĐPS</t>
        </is>
      </c>
      <c r="C13" s="125">
        <f>B03_TT!E38</f>
        <v/>
      </c>
      <c r="D13" s="125">
        <f>(CDPS!$H$8-CDPS!$I$8)+(CDPS!$H$9-CDPS!$I$9)+(CDPS!$H$10-CDPS!$I$10)+B01!E12</f>
        <v/>
      </c>
      <c r="E13" s="125">
        <f>N(C13)-N(D13)</f>
        <v/>
      </c>
      <c r="F13" s="151">
        <f>IF(ROUND(N(E13),0)=0,"✔ Khớp","✘ Lệch")</f>
        <v/>
      </c>
    </row>
    <row r="14" ht="15" customHeight="1" s="78">
      <c r="A14" s="95" t="n">
        <v>9</v>
      </c>
      <c r="B14" s="97" t="inlineStr">
        <is>
          <t>B03 gián tiếp: Tiền cuối kỳ (mã 70) = B03 trực tiếp (mã 70)</t>
        </is>
      </c>
      <c r="C14" s="125">
        <f>B03_GT!F49</f>
        <v/>
      </c>
      <c r="D14" s="125">
        <f>B03_TT!E38</f>
        <v/>
      </c>
      <c r="E14" s="125">
        <f>N(C14)-N(D14)</f>
        <v/>
      </c>
      <c r="F14" s="151">
        <f>IF(ROUND(N(E14),0)=0,"✔ Khớp","✘ Lệch")</f>
        <v/>
      </c>
    </row>
    <row r="15" ht="15" customHeight="1" s="78">
      <c r="A15" s="95" t="n">
        <v>10</v>
      </c>
      <c r="B15" s="97" t="inlineStr">
        <is>
          <t>B03: LCTT thuần từ HĐKD — gián tiếp (mã 20) = trực tiếp (mã 20)</t>
        </is>
      </c>
      <c r="C15" s="125">
        <f>B03_GT!F28</f>
        <v/>
      </c>
      <c r="D15" s="125">
        <f>B03_TT!E17</f>
        <v/>
      </c>
      <c r="E15" s="125">
        <f>N(C15)-N(D15)</f>
        <v/>
      </c>
      <c r="F15" s="151">
        <f>IF(ROUND(N(E15),0)=0,"✔ Khớp","✘ Lệch")</f>
        <v/>
      </c>
    </row>
    <row r="16" ht="25.35" customHeight="1" s="78">
      <c r="A16" s="95" t="n">
        <v>11</v>
      </c>
      <c r="B16" s="97" t="inlineStr">
        <is>
          <t>Công nợ 131: PS Nợ trên sổ chi tiết = PS Nợ TK 131 trên CĐPS (lệch = bút toán 131 thiếu Mã ĐT)</t>
        </is>
      </c>
      <c r="C16" s="125">
        <f>CONGNO!$E$308</f>
        <v/>
      </c>
      <c r="D16" s="125">
        <f>CDPS!$F$17</f>
        <v/>
      </c>
      <c r="E16" s="125">
        <f>N(C16)-N(D16)</f>
        <v/>
      </c>
      <c r="F16" s="151">
        <f>IF(ROUND(N(E16),0)=0,"✔ Khớp","✘ Lệch")</f>
        <v/>
      </c>
    </row>
    <row r="17" ht="25.35" customHeight="1" s="78">
      <c r="A17" s="95" t="n">
        <v>12</v>
      </c>
      <c r="B17" s="97" t="inlineStr">
        <is>
          <t>Công nợ 331: PS Có trên sổ chi tiết = PS Có TK 331 trên CĐPS (lệch = bút toán 331 thiếu Mã ĐT)</t>
        </is>
      </c>
      <c r="C17" s="125">
        <f>CONGNO!$F$613</f>
        <v/>
      </c>
      <c r="D17" s="125">
        <f>CDPS!$G$76</f>
        <v/>
      </c>
      <c r="E17" s="125">
        <f>N(C17)-N(D17)</f>
        <v/>
      </c>
      <c r="F17" s="151">
        <f>IF(ROUND(N(E17),0)=0,"✔ Khớp","✘ Lệch")</f>
        <v/>
      </c>
    </row>
    <row r="18" ht="25.35" customHeight="1" s="78">
      <c r="A18" s="95" t="n">
        <v>13</v>
      </c>
      <c r="B18" s="97" t="inlineStr">
        <is>
          <t>B02: LNST (mã 60) = LNST chưa phân phối kỳ này trên B01 (mã 420b) — lệch nếu đã phân phối/kết chuyển 4212 (khi đó tự đối chiếu)</t>
        </is>
      </c>
      <c r="C18" s="125">
        <f>B02!E27</f>
        <v/>
      </c>
      <c r="D18" s="125">
        <f>B01!E133</f>
        <v/>
      </c>
      <c r="E18" s="125">
        <f>N(C18)-N(D18)</f>
        <v/>
      </c>
      <c r="F18" s="151">
        <f>IF(ROUND(N(E18),0)=0,"✔ Khớp","✘ Lệch")</f>
        <v/>
      </c>
    </row>
    <row r="19"/>
    <row r="20" ht="15" customHeight="1" s="78">
      <c r="B20" s="88" t="inlineStr">
        <is>
          <t>Hướng dẫn xử lý khi lệch:</t>
        </is>
      </c>
    </row>
    <row r="21" ht="22.35" customHeight="1" s="78">
      <c r="B21" s="142" t="inlineStr">
        <is>
          <t>• Dòng 2 lệch: mở NKC, lọc cột 'Kiểm tra dòng' để sửa từng lỗi (TK sai, thiếu ngày, thiếu Mã ĐT...).</t>
        </is>
      </c>
    </row>
    <row r="22" ht="22.35" customHeight="1" s="78">
      <c r="B22" s="142" t="inlineStr">
        <is>
          <t>• Dòng 11, 12 lệch: có bút toán 131/331 chưa ghi Mã ĐT hoặc Mã ĐT chưa khai báo trong DM_DT.</t>
        </is>
      </c>
    </row>
    <row r="23" ht="22.35" customHeight="1" s="78">
      <c r="B23" s="142" t="inlineStr">
        <is>
          <t>• Dòng 10 lệch: bổ sung điều chỉnh vào cột vàng của B03_GT (mã 07/16/17) — thường do thuế GTGT trả trong dòng tiền đầu tư, thanh lý TSCĐ, giao dịch phi tiền tệ.</t>
        </is>
      </c>
    </row>
    <row r="24" ht="22.35" customHeight="1" s="78">
      <c r="B24" s="142" t="inlineStr">
        <is>
          <t>• Dòng 13 lệch mà bạn ĐÃ kết chuyển 911/phân phối lợi nhuận trong năm: đây là điều bình thường, hãy tự đối chiếu 4212.</t>
        </is>
      </c>
    </row>
  </sheetData>
  <sheetProtection selectLockedCells="0" selectUnlockedCells="0" sheet="1" objects="0" insertRows="1" insertHyperlinks="1" autoFilter="0" scenarios="0" formatColumns="0" deleteColumns="1" insertColumns="1" pivotTables="1" deleteRows="1" formatCells="0" formatRows="0" sort="0"/>
  <mergeCells count="1">
    <mergeCell ref="A2:F2"/>
  </mergeCells>
  <conditionalFormatting sqref="F6:F18">
    <cfRule type="expression" rank="0" priority="2" equalAverage="0" aboveAverage="0" dxfId="0" text="" percent="0" bottom="0">
      <formula>LEFT($F6,1)="✘"</formula>
    </cfRule>
    <cfRule type="expression" rank="0" priority="3" equalAverage="0" aboveAverage="0" dxfId="7" text="" percent="0" bottom="0">
      <formula>LEFT($F6,1)="✔"</formula>
    </cfRule>
  </conditionalFormatting>
  <printOptions horizontalCentered="0" verticalCentered="0" headings="0" gridLines="0" gridLinesSet="1"/>
  <pageMargins left="0.75" right="0.75" top="1" bottom="1" header="0.511811023622047" footer="0.5"/>
  <pageSetup orientation="portrait" paperSize="9" scale="100" fitToHeight="0" fitToWidth="1" pageOrder="downThenOver" blackAndWhite="0" draft="0" horizontalDpi="300" verticalDpi="300" copies="1"/>
  <headerFooter differentOddEven="0" differentFirst="0">
    <oddHeader/>
    <oddFooter>&amp;L&amp;8 &amp;K808080Mr Wick Kiểm toán — Phần mềm kế toán TT 99/2025&amp;R&amp;8 &amp;K808080Trang &amp;P/&amp;N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Mr Wick Kiểm toán</dc:creator>
  <dc:title xmlns:dc="http://purl.org/dc/elements/1.1/">Phần mềm kế toán Excel — Chế độ kế toán TT 99/2025/TT-BTC</dc:title>
  <dc:description xmlns:dc="http://purl.org/dc/elements/1.1/">Xây dựng bởi Mr Wick Kiểm toán: Nhật ký chung → CĐPS → BCTC (B01, B02, B03) + Thuyết minh B09</dc:description>
  <dc:language xmlns:dc="http://purl.org/dc/elements/1.1/">en-US</dc:language>
  <dcterms:created xmlns:dcterms="http://purl.org/dc/terms/" xmlns:xsi="http://www.w3.org/2001/XMLSchema-instance" xsi:type="dcterms:W3CDTF">2026-07-13T03:16:25Z</dcterms:created>
  <dcterms:modified xmlns:dcterms="http://purl.org/dc/terms/" xmlns:xsi="http://www.w3.org/2001/XMLSchema-instance" xsi:type="dcterms:W3CDTF">2026-10-25T09:13:42Z</dcterms:modified>
  <cp:lastModifiedBy>Mr Wick Kiểm toán</cp:lastModifiedBy>
  <cp:revision>0</cp:revision>
  <cp:keywords>Mr Wick Kiểm toán kế toán Thông tư 99/2025 BCTC</cp:keywords>
</cp:coreProperties>
</file>